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gle_Sheets_Guide" sheetId="1" state="visible" r:id="rId1"/>
    <sheet xmlns:r="http://schemas.openxmlformats.org/officeDocument/2006/relationships" name="Source_Coverage" sheetId="2" state="visible" r:id="rId2"/>
    <sheet xmlns:r="http://schemas.openxmlformats.org/officeDocument/2006/relationships" name="README" sheetId="3" state="visible" r:id="rId3"/>
    <sheet xmlns:r="http://schemas.openxmlformats.org/officeDocument/2006/relationships" name="Metric_Catalog" sheetId="4" state="visible" r:id="rId4"/>
    <sheet xmlns:r="http://schemas.openxmlformats.org/officeDocument/2006/relationships" name="City_Universe" sheetId="5" state="visible" r:id="rId5"/>
    <sheet xmlns:r="http://schemas.openxmlformats.org/officeDocument/2006/relationships" name="Country_Context" sheetId="6" state="visible" r:id="rId6"/>
    <sheet xmlns:r="http://schemas.openxmlformats.org/officeDocument/2006/relationships" name="City_Inputs" sheetId="7" state="visible" r:id="rId7"/>
    <sheet xmlns:r="http://schemas.openxmlformats.org/officeDocument/2006/relationships" name="Norm_Stats" sheetId="8" state="visible" r:id="rId8"/>
    <sheet xmlns:r="http://schemas.openxmlformats.org/officeDocument/2006/relationships" name="Scores" sheetId="9" state="visible" r:id="rId9"/>
    <sheet xmlns:r="http://schemas.openxmlformats.org/officeDocument/2006/relationships" name="Leaderboard" sheetId="10" state="visible" r:id="rId10"/>
    <sheet xmlns:r="http://schemas.openxmlformats.org/officeDocument/2006/relationships" name="Region_Comparison" sheetId="11" state="visible" r:id="rId11"/>
    <sheet xmlns:r="http://schemas.openxmlformats.org/officeDocument/2006/relationships" name="Thai_Ranking_Scaffold" sheetId="12" state="visible" r:id="rId12"/>
    <sheet xmlns:r="http://schemas.openxmlformats.org/officeDocument/2006/relationships" name="Providers_Registry" sheetId="13" state="visible" r:id="rId13"/>
    <sheet xmlns:r="http://schemas.openxmlformats.org/officeDocument/2006/relationships" name="Field_Source_Guide" sheetId="14" state="visible" r:id="rId14"/>
    <sheet xmlns:r="http://schemas.openxmlformats.org/officeDocument/2006/relationships" name="City_Source_Playbook" sheetId="15" state="visible" r:id="rId15"/>
    <sheet xmlns:r="http://schemas.openxmlformats.org/officeDocument/2006/relationships" name="Country_Source_Rows" sheetId="16" state="visible" r:id="rId16"/>
    <sheet xmlns:r="http://schemas.openxmlformats.org/officeDocument/2006/relationships" name="City_Source_Rows" sheetId="17" state="visible" r:id="rId17"/>
  </sheets>
  <definedNames>
    <definedName name="_xlnm._FilterDatabase" localSheetId="3" hidden="1">'Metric_Catalog'!$A$1:$M$27</definedName>
    <definedName name="_xlnm._FilterDatabase" localSheetId="4" hidden="1">'City_Universe'!$A$1:$H$158</definedName>
    <definedName name="_xlnm._FilterDatabase" localSheetId="5" hidden="1">'Country_Context'!$A$1:$K$87</definedName>
    <definedName name="_xlnm._FilterDatabase" localSheetId="6" hidden="1">'City_Inputs'!$A$1:$BJ$158</definedName>
    <definedName name="_xlnm._FilterDatabase" localSheetId="7" hidden="1">'Norm_Stats'!$A$1:$H$26</definedName>
    <definedName name="_xlnm._FilterDatabase" localSheetId="8" hidden="1">'Scores'!$A$1:$BN$158</definedName>
    <definedName name="_xlnm._FilterDatabase" localSheetId="9" hidden="1">'Leaderboard'!$A$1:$N$211</definedName>
    <definedName name="_xlnm._FilterDatabase" localSheetId="10" hidden="1">'Region_Comparison'!$A$1:$G$11</definedName>
    <definedName name="_xlnm._FilterDatabase" localSheetId="11" hidden="1">'Thai_Ranking_Scaffold'!$A$1:$N$12</definedName>
    <definedName name="_xlnm._FilterDatabase" localSheetId="12" hidden="1">'Providers_Registry'!$A$1:$H$34</definedName>
    <definedName name="_xlnm._FilterDatabase" localSheetId="13" hidden="1">'Field_Source_Guide'!$A$1:$H$30</definedName>
    <definedName name="_xlnm._FilterDatabase" localSheetId="14" hidden="1">'City_Source_Playbook'!$A$1:$M$53</definedName>
    <definedName name="_xlnm._FilterDatabase" localSheetId="15" hidden="1">'Country_Source_Rows'!$A$1:$K$517</definedName>
    <definedName name="_xlnm._FilterDatabase" localSheetId="16" hidden="1">'City_Source_Rows'!$A$1:$N$4554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b val="1"/>
      <color rgb="001F2933"/>
      <sz val="14"/>
    </font>
    <font>
      <b val="1"/>
      <color rgb="001F2933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EEF2F5"/>
      </patternFill>
    </fill>
    <fill>
      <patternFill patternType="solid">
        <fgColor rgb="00F5F7FA"/>
      </patternFill>
    </fill>
    <fill>
      <patternFill patternType="solid">
        <fgColor rgb="00D9E2EC"/>
      </patternFill>
    </fill>
    <fill>
      <patternFill patternType="solid">
        <fgColor rgb="00E8F1FF"/>
      </patternFill>
    </fill>
    <fill>
      <patternFill patternType="solid">
        <fgColor rgb="00F3F0FF"/>
      </patternFill>
    </fill>
    <fill>
      <patternFill patternType="solid">
        <fgColor rgb="00E8F7F1"/>
      </patternFill>
    </fill>
    <fill>
      <patternFill patternType="solid">
        <fgColor rgb="000F2B60"/>
      </patternFill>
    </fill>
    <fill>
      <patternFill patternType="solid">
        <fgColor rgb="00F7FAFC"/>
      </patternFill>
    </fill>
    <fill>
      <patternFill patternType="solid">
        <fgColor rgb="00EAF2FF"/>
      </patternFill>
    </fill>
  </fills>
  <borders count="2">
    <border>
      <left/>
      <right/>
      <top/>
      <bottom/>
      <diagonal/>
    </border>
    <border>
      <bottom style="thin">
        <color rgb="00CBD2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pivotButton="0" quotePrefix="0" xfId="0"/>
    <xf numFmtId="9" fontId="0" fillId="0" borderId="0" pivotButton="0" quotePrefix="0" xfId="0"/>
    <xf numFmtId="0" fontId="2" fillId="4" borderId="1" applyAlignment="1" pivotButton="0" quotePrefix="0" xfId="0">
      <alignment vertical="top" wrapText="1"/>
    </xf>
    <xf numFmtId="164" fontId="0" fillId="0" borderId="0" pivotButton="0" quotePrefix="0" xfId="0"/>
    <xf numFmtId="165" fontId="0" fillId="0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6" borderId="0" pivotButton="0" quotePrefix="0" xfId="0"/>
    <xf numFmtId="9" fontId="0" fillId="6" borderId="0" applyAlignment="1" pivotButton="0" quotePrefix="0" xfId="0">
      <alignment vertical="top" wrapText="1"/>
    </xf>
    <xf numFmtId="166" fontId="0" fillId="6" borderId="0" applyAlignment="1" pivotButton="0" quotePrefix="0" xfId="0">
      <alignment vertical="top" wrapText="1"/>
    </xf>
    <xf numFmtId="0" fontId="1" fillId="2" borderId="0" pivotButton="0" quotePrefix="0" xfId="0"/>
    <xf numFmtId="0" fontId="3" fillId="8" borderId="0" pivotButton="0" quotePrefix="0" xfId="0"/>
    <xf numFmtId="0" fontId="4" fillId="9" borderId="0" pivotButton="0" quotePrefix="0" xfId="0"/>
    <xf numFmtId="0" fontId="4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12" customWidth="1" min="2" max="2"/>
  </cols>
  <sheetData>
    <row r="1">
      <c r="A1" s="17" t="inlineStr">
        <is>
          <t>SLIC Google Sheets Template</t>
        </is>
      </c>
    </row>
    <row r="2">
      <c r="A2" s="18" t="inlineStr">
        <is>
          <t>Import this workbook into Google Sheets to collect trusted source inputs, inspect formulas, and rerank transparently.</t>
        </is>
      </c>
    </row>
    <row r="3">
      <c r="A3" s="18" t="inlineStr">
        <is>
          <t>Current verified-source completion</t>
        </is>
      </c>
      <c r="B3" t="inlineStr">
        <is>
          <t>country values=359/516, city values=3486/4553</t>
        </is>
      </c>
    </row>
    <row r="4">
      <c r="A4" s="18" t="inlineStr">
        <is>
          <t>What to edit</t>
        </is>
      </c>
      <c r="B4" t="inlineStr">
        <is>
          <t>Country_Context and City_Inputs</t>
        </is>
      </c>
    </row>
    <row r="5">
      <c r="A5" s="18" t="inlineStr">
        <is>
          <t>What not to overwrite</t>
        </is>
      </c>
      <c r="B5" t="inlineStr">
        <is>
          <t>Keep formulas intact in Norm_Stats, Scores, and Leaderboard so the board recalculates correctly.</t>
        </is>
      </c>
    </row>
    <row r="6">
      <c r="A6" s="18" t="inlineStr">
        <is>
          <t>Trusted source policy</t>
        </is>
      </c>
      <c r="B6" t="inlineStr">
        <is>
          <t>Every filled value should keep a visible source URL, source tier, source date, and note trail.</t>
        </is>
      </c>
    </row>
    <row r="7">
      <c r="A7" s="18" t="inlineStr">
        <is>
          <t>Provider registry</t>
        </is>
      </c>
      <c r="B7" t="inlineStr">
        <is>
          <t>Use Providers_Registry as the starter reference for approved source families and tiers.</t>
        </is>
      </c>
    </row>
    <row r="8">
      <c r="A8" s="18" t="inlineStr">
        <is>
          <t>Raw audit tabs</t>
        </is>
      </c>
      <c r="B8" t="inlineStr">
        <is>
          <t>Country_Source_Rows and City_Source_Rows mirror the verified-source CSV pack so the collection workflow stays auditable.</t>
        </is>
      </c>
    </row>
    <row r="9">
      <c r="A9" s="18" t="inlineStr">
        <is>
          <t>Source guide tabs</t>
        </is>
      </c>
      <c r="B9" t="inlineStr">
        <is>
          <t>Field_Source_Guide sets the preferred evidence for each city metric, and City_Source_Playbook adds curated city-specific starting points such as Milan and Bologna.</t>
        </is>
      </c>
    </row>
    <row r="10">
      <c r="A10" s="18" t="inlineStr">
        <is>
          <t>Publishing rule</t>
        </is>
      </c>
      <c r="B10" t="inlineStr">
        <is>
          <t>Only publish rankings after the verified source pack yields ranked rows and the audit passes.</t>
        </is>
      </c>
    </row>
    <row r="12">
      <c r="A12" s="19" t="inlineStr">
        <is>
          <t>Current validation issues</t>
        </is>
      </c>
    </row>
    <row r="13">
      <c r="A13" t="inlineStr">
        <is>
          <t>No source-pack validation issues currently detected.</t>
        </is>
      </c>
    </row>
    <row r="15">
      <c r="A15" s="19" t="inlineStr">
        <is>
          <t>Suggested workflow</t>
        </is>
      </c>
    </row>
    <row r="16">
      <c r="A16" t="inlineStr">
        <is>
          <t>1. Fill country context rows first from official sources.</t>
        </is>
      </c>
    </row>
    <row r="17">
      <c r="A17" t="inlineStr">
        <is>
          <t>2. Use Field_Source_Guide and City_Source_Playbook before touching City_Source_Rows.</t>
        </is>
      </c>
    </row>
    <row r="18">
      <c r="A18" t="inlineStr">
        <is>
          <t>3. Fill city inputs with source URLs and dates attached to each pillar trail.</t>
        </is>
      </c>
    </row>
    <row r="19">
      <c r="A19" t="inlineStr">
        <is>
          <t>4. Re-import or keep editing in Google Sheets until the Leaderboard starts producing ranked rows.</t>
        </is>
      </c>
    </row>
    <row r="20">
      <c r="A20" t="inlineStr">
        <is>
          <t>5. Sync the same values back into the verified-source CSV pack for build-time publication.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4" customWidth="1" min="4" max="4"/>
  </cols>
  <sheetData>
    <row r="1">
      <c r="A1" s="17" t="inlineStr">
        <is>
          <t>Source Coverage Dashboard</t>
        </is>
      </c>
    </row>
    <row r="3">
      <c r="A3" s="19" t="inlineStr">
        <is>
          <t>Overall</t>
        </is>
      </c>
    </row>
    <row r="4">
      <c r="A4" s="18" t="inlineStr">
        <is>
          <t>Metric</t>
        </is>
      </c>
      <c r="B4" s="18" t="inlineStr">
        <is>
          <t>Filled</t>
        </is>
      </c>
      <c r="C4" s="18" t="inlineStr">
        <is>
          <t>Total</t>
        </is>
      </c>
      <c r="D4" s="18" t="inlineStr">
        <is>
          <t>Completion</t>
        </is>
      </c>
    </row>
    <row r="5">
      <c r="A5" t="inlineStr">
        <is>
          <t>Country_Context completion</t>
        </is>
      </c>
      <c r="B5" t="n">
        <v>359</v>
      </c>
      <c r="C5" t="n">
        <v>516</v>
      </c>
      <c r="D5" t="inlineStr">
        <is>
          <t>69.6%</t>
        </is>
      </c>
    </row>
    <row r="6">
      <c r="A6" t="inlineStr">
        <is>
          <t>City_Inputs completion</t>
        </is>
      </c>
      <c r="B6" t="n">
        <v>3486</v>
      </c>
      <c r="C6" t="n">
        <v>4553</v>
      </c>
      <c r="D6" t="inlineStr">
        <is>
          <t>76.6%</t>
        </is>
      </c>
    </row>
    <row r="7">
      <c r="A7" t="inlineStr">
        <is>
          <t>Curated city playbook rows</t>
        </is>
      </c>
      <c r="B7" t="n">
        <v>52</v>
      </c>
      <c r="C7" t="n">
        <v>52</v>
      </c>
      <c r="D7" t="inlineStr">
        <is>
          <t>100.0%</t>
        </is>
      </c>
    </row>
    <row r="8">
      <c r="A8" t="inlineStr">
        <is>
          <t>Current city universe</t>
        </is>
      </c>
      <c r="B8" t="n">
        <v>157</v>
      </c>
      <c r="C8" t="n">
        <v>157</v>
      </c>
      <c r="D8" t="inlineStr">
        <is>
          <t>100.0%</t>
        </is>
      </c>
    </row>
    <row r="11">
      <c r="A11" s="19" t="inlineStr">
        <is>
          <t>Country Field Coverage</t>
        </is>
      </c>
    </row>
    <row r="12">
      <c r="A12" s="18" t="inlineStr">
        <is>
          <t>Field</t>
        </is>
      </c>
      <c r="B12" s="18" t="inlineStr">
        <is>
          <t>Filled</t>
        </is>
      </c>
      <c r="C12" s="18" t="inlineStr">
        <is>
          <t>Total</t>
        </is>
      </c>
      <c r="D12" s="18" t="inlineStr">
        <is>
          <t>Completion</t>
        </is>
      </c>
    </row>
    <row r="13">
      <c r="A13" t="inlineStr">
        <is>
          <t>GDP per capita (PPP)</t>
        </is>
      </c>
      <c r="B13" t="n">
        <v>62</v>
      </c>
      <c r="C13" t="n">
        <v>86</v>
      </c>
      <c r="D13" t="inlineStr">
        <is>
          <t>72.1%</t>
        </is>
      </c>
    </row>
    <row r="14">
      <c r="A14" t="inlineStr">
        <is>
          <t>GDP growth</t>
        </is>
      </c>
      <c r="B14" t="n">
        <v>62</v>
      </c>
      <c r="C14" t="n">
        <v>86</v>
      </c>
      <c r="D14" t="inlineStr">
        <is>
          <t>72.1%</t>
        </is>
      </c>
    </row>
    <row r="15">
      <c r="A15" t="inlineStr">
        <is>
          <t>Gini coefficient</t>
        </is>
      </c>
      <c r="B15" t="n">
        <v>55</v>
      </c>
      <c r="C15" t="n">
        <v>86</v>
      </c>
      <c r="D15" t="inlineStr">
        <is>
          <t>64.0%</t>
        </is>
      </c>
    </row>
    <row r="16">
      <c r="A16" t="inlineStr">
        <is>
          <t>PPP private consumption factor</t>
        </is>
      </c>
      <c r="B16" t="n">
        <v>62</v>
      </c>
      <c r="C16" t="n">
        <v>86</v>
      </c>
      <c r="D16" t="inlineStr">
        <is>
          <t>72.1%</t>
        </is>
      </c>
    </row>
    <row r="17">
      <c r="A17" t="inlineStr">
        <is>
          <t>Tax rate assumption</t>
        </is>
      </c>
      <c r="B17" t="n">
        <v>57</v>
      </c>
      <c r="C17" t="n">
        <v>86</v>
      </c>
      <c r="D17" t="inlineStr">
        <is>
          <t>66.3%</t>
        </is>
      </c>
    </row>
    <row r="18">
      <c r="A18" t="inlineStr">
        <is>
          <t>Household debt proxy</t>
        </is>
      </c>
      <c r="B18" t="n">
        <v>61</v>
      </c>
      <c r="C18" t="n">
        <v>86</v>
      </c>
      <c r="D18" t="inlineStr">
        <is>
          <t>70.9%</t>
        </is>
      </c>
    </row>
    <row r="20">
      <c r="A20" s="19" t="inlineStr">
        <is>
          <t>Italy Spotlight</t>
        </is>
      </c>
    </row>
    <row r="21">
      <c r="A21" s="18" t="inlineStr">
        <is>
          <t>Target</t>
        </is>
      </c>
      <c r="B21" s="18" t="inlineStr">
        <is>
          <t>Filled</t>
        </is>
      </c>
      <c r="C21" s="18" t="inlineStr">
        <is>
          <t>Total</t>
        </is>
      </c>
      <c r="D21" s="18" t="inlineStr">
        <is>
          <t>Completion</t>
        </is>
      </c>
    </row>
    <row r="22">
      <c r="A22" t="inlineStr">
        <is>
          <t>Italy Country_Context</t>
        </is>
      </c>
      <c r="B22" t="n">
        <v>6</v>
      </c>
      <c r="C22" t="n">
        <v>6</v>
      </c>
      <c r="D22" t="inlineStr">
        <is>
          <t>100.0%</t>
        </is>
      </c>
    </row>
    <row r="23">
      <c r="A23" t="inlineStr">
        <is>
          <t>Milan City_Inputs</t>
        </is>
      </c>
      <c r="B23" t="n">
        <v>28</v>
      </c>
      <c r="C23" t="n">
        <v>29</v>
      </c>
      <c r="D23" t="inlineStr">
        <is>
          <t>96.6%</t>
        </is>
      </c>
    </row>
    <row r="24">
      <c r="A24" t="inlineStr">
        <is>
          <t>Bologna City_Inputs</t>
        </is>
      </c>
      <c r="B24" t="n">
        <v>25</v>
      </c>
      <c r="C24" t="n">
        <v>29</v>
      </c>
      <c r="D24" t="inlineStr">
        <is>
          <t>86.2%</t>
        </is>
      </c>
    </row>
    <row r="26">
      <c r="A26" s="19" t="inlineStr">
        <is>
          <t>City Field Coverage</t>
        </is>
      </c>
    </row>
    <row r="27">
      <c r="A27" s="18" t="inlineStr">
        <is>
          <t>Field</t>
        </is>
      </c>
      <c r="B27" s="18" t="inlineStr">
        <is>
          <t>Filled</t>
        </is>
      </c>
      <c r="C27" s="18" t="inlineStr">
        <is>
          <t>Total</t>
        </is>
      </c>
      <c r="D27" s="18" t="inlineStr">
        <is>
          <t>Completion</t>
        </is>
      </c>
    </row>
    <row r="28">
      <c r="A28" t="inlineStr">
        <is>
          <t>Gross income</t>
        </is>
      </c>
      <c r="B28" t="n">
        <v>157</v>
      </c>
      <c r="C28" t="n">
        <v>157</v>
      </c>
      <c r="D28" t="inlineStr">
        <is>
          <t>100.0%</t>
        </is>
      </c>
    </row>
    <row r="29">
      <c r="A29" t="inlineStr">
        <is>
          <t>Disposable income PPP (Raw)</t>
        </is>
      </c>
      <c r="B29" t="n">
        <v>0</v>
      </c>
      <c r="C29" t="n">
        <v>157</v>
      </c>
      <c r="D29" t="inlineStr">
        <is>
          <t>0.0%</t>
        </is>
      </c>
    </row>
    <row r="30">
      <c r="A30" t="inlineStr">
        <is>
          <t>Rent</t>
        </is>
      </c>
      <c r="B30" t="n">
        <v>157</v>
      </c>
      <c r="C30" t="n">
        <v>157</v>
      </c>
      <c r="D30" t="inlineStr">
        <is>
          <t>100.0%</t>
        </is>
      </c>
    </row>
    <row r="31">
      <c r="A31" t="inlineStr">
        <is>
          <t>Utilities</t>
        </is>
      </c>
      <c r="B31" t="n">
        <v>157</v>
      </c>
      <c r="C31" t="n">
        <v>157</v>
      </c>
      <c r="D31" t="inlineStr">
        <is>
          <t>100.0%</t>
        </is>
      </c>
    </row>
    <row r="32">
      <c r="A32" t="inlineStr">
        <is>
          <t>Transit cost</t>
        </is>
      </c>
      <c r="B32" t="n">
        <v>157</v>
      </c>
      <c r="C32" t="n">
        <v>157</v>
      </c>
      <c r="D32" t="inlineStr">
        <is>
          <t>100.0%</t>
        </is>
      </c>
    </row>
    <row r="33">
      <c r="A33" t="inlineStr">
        <is>
          <t>Internet cost</t>
        </is>
      </c>
      <c r="B33" t="n">
        <v>157</v>
      </c>
      <c r="C33" t="n">
        <v>157</v>
      </c>
      <c r="D33" t="inlineStr">
        <is>
          <t>100.0%</t>
        </is>
      </c>
    </row>
    <row r="34">
      <c r="A34" t="inlineStr">
        <is>
          <t>Food cost</t>
        </is>
      </c>
      <c r="B34" t="n">
        <v>157</v>
      </c>
      <c r="C34" t="n">
        <v>157</v>
      </c>
      <c r="D34" t="inlineStr">
        <is>
          <t>100.0%</t>
        </is>
      </c>
    </row>
    <row r="35">
      <c r="A35" t="inlineStr">
        <is>
          <t>Housing burden raw</t>
        </is>
      </c>
      <c r="B35" t="n">
        <v>157</v>
      </c>
      <c r="C35" t="n">
        <v>157</v>
      </c>
      <c r="D35" t="inlineStr">
        <is>
          <t>100.0%</t>
        </is>
      </c>
    </row>
    <row r="36">
      <c r="A36" t="inlineStr">
        <is>
          <t>Household debt burden raw</t>
        </is>
      </c>
      <c r="B36" t="n">
        <v>131</v>
      </c>
      <c r="C36" t="n">
        <v>157</v>
      </c>
      <c r="D36" t="inlineStr">
        <is>
          <t>83.4%</t>
        </is>
      </c>
    </row>
    <row r="37">
      <c r="A37" t="inlineStr">
        <is>
          <t>Working time pressure raw</t>
        </is>
      </c>
      <c r="B37" t="n">
        <v>120</v>
      </c>
      <c r="C37" t="n">
        <v>157</v>
      </c>
      <c r="D37" t="inlineStr">
        <is>
          <t>76.4%</t>
        </is>
      </c>
    </row>
    <row r="38">
      <c r="A38" t="inlineStr">
        <is>
          <t>Suicide or mental strain raw</t>
        </is>
      </c>
      <c r="B38" t="n">
        <v>135</v>
      </c>
      <c r="C38" t="n">
        <v>157</v>
      </c>
      <c r="D38" t="inlineStr">
        <is>
          <t>86.0%</t>
        </is>
      </c>
    </row>
    <row r="39">
      <c r="A39" t="inlineStr">
        <is>
          <t>Personal safety raw</t>
        </is>
      </c>
      <c r="B39" t="n">
        <v>129</v>
      </c>
      <c r="C39" t="n">
        <v>157</v>
      </c>
      <c r="D39" t="inlineStr">
        <is>
          <t>82.2%</t>
        </is>
      </c>
    </row>
    <row r="40">
      <c r="A40" t="inlineStr">
        <is>
          <t>Transit access and commute raw</t>
        </is>
      </c>
      <c r="B40" t="n">
        <v>1</v>
      </c>
      <c r="C40" t="n">
        <v>157</v>
      </c>
      <c r="D40" t="inlineStr">
        <is>
          <t>0.6%</t>
        </is>
      </c>
    </row>
    <row r="41">
      <c r="A41" t="inlineStr">
        <is>
          <t>Clean air raw</t>
        </is>
      </c>
      <c r="B41" t="n">
        <v>14</v>
      </c>
      <c r="C41" t="n">
        <v>157</v>
      </c>
      <c r="D41" t="inlineStr">
        <is>
          <t>8.9%</t>
        </is>
      </c>
    </row>
    <row r="42">
      <c r="A42" t="inlineStr">
        <is>
          <t>Water, sanitation, and utility raw</t>
        </is>
      </c>
      <c r="B42" t="n">
        <v>111</v>
      </c>
      <c r="C42" t="n">
        <v>157</v>
      </c>
      <c r="D42" t="inlineStr">
        <is>
          <t>70.7%</t>
        </is>
      </c>
    </row>
    <row r="43">
      <c r="A43" t="inlineStr">
        <is>
          <t>Digital infrastructure raw</t>
        </is>
      </c>
      <c r="B43" t="n">
        <v>133</v>
      </c>
      <c r="C43" t="n">
        <v>157</v>
      </c>
      <c r="D43" t="inlineStr">
        <is>
          <t>84.7%</t>
        </is>
      </c>
    </row>
    <row r="44">
      <c r="A44" t="inlineStr">
        <is>
          <t>Climate and sunlight livability raw</t>
        </is>
      </c>
      <c r="B44" t="n">
        <v>103</v>
      </c>
      <c r="C44" t="n">
        <v>157</v>
      </c>
      <c r="D44" t="inlineStr">
        <is>
          <t>65.6%</t>
        </is>
      </c>
    </row>
    <row r="45">
      <c r="A45" t="inlineStr">
        <is>
          <t>Healthcare quality raw</t>
        </is>
      </c>
      <c r="B45" t="n">
        <v>134</v>
      </c>
      <c r="C45" t="n">
        <v>157</v>
      </c>
      <c r="D45" t="inlineStr">
        <is>
          <t>85.4%</t>
        </is>
      </c>
    </row>
    <row r="46">
      <c r="A46" t="inlineStr">
        <is>
          <t>Education quality raw</t>
        </is>
      </c>
      <c r="B46" t="n">
        <v>131</v>
      </c>
      <c r="C46" t="n">
        <v>157</v>
      </c>
      <c r="D46" t="inlineStr">
        <is>
          <t>83.4%</t>
        </is>
      </c>
    </row>
    <row r="47">
      <c r="A47" t="inlineStr">
        <is>
          <t>Equal opportunity raw</t>
        </is>
      </c>
      <c r="B47" t="n">
        <v>133</v>
      </c>
      <c r="C47" t="n">
        <v>157</v>
      </c>
      <c r="D47" t="inlineStr">
        <is>
          <t>84.7%</t>
        </is>
      </c>
    </row>
    <row r="48">
      <c r="A48" t="inlineStr">
        <is>
          <t>Hospitality and belonging raw</t>
        </is>
      </c>
      <c r="B48" t="n">
        <v>131</v>
      </c>
      <c r="C48" t="n">
        <v>157</v>
      </c>
      <c r="D48" t="inlineStr">
        <is>
          <t>83.4%</t>
        </is>
      </c>
    </row>
    <row r="49">
      <c r="A49" t="inlineStr">
        <is>
          <t>Tolerance and pluralism raw</t>
        </is>
      </c>
      <c r="B49" t="n">
        <v>132</v>
      </c>
      <c r="C49" t="n">
        <v>157</v>
      </c>
      <c r="D49" t="inlineStr">
        <is>
          <t>84.1%</t>
        </is>
      </c>
    </row>
    <row r="50">
      <c r="A50" t="inlineStr">
        <is>
          <t>Cultural public life raw</t>
        </is>
      </c>
      <c r="B50" t="n">
        <v>133</v>
      </c>
      <c r="C50" t="n">
        <v>157</v>
      </c>
      <c r="D50" t="inlineStr">
        <is>
          <t>84.7%</t>
        </is>
      </c>
    </row>
    <row r="51">
      <c r="A51" t="inlineStr">
        <is>
          <t>Birth rate and societal optimism raw</t>
        </is>
      </c>
      <c r="B51" t="n">
        <v>108</v>
      </c>
      <c r="C51" t="n">
        <v>157</v>
      </c>
      <c r="D51" t="inlineStr">
        <is>
          <t>68.8%</t>
        </is>
      </c>
    </row>
    <row r="52">
      <c r="A52" t="inlineStr">
        <is>
          <t>Entrepreneurial dynamism raw</t>
        </is>
      </c>
      <c r="B52" t="n">
        <v>151</v>
      </c>
      <c r="C52" t="n">
        <v>157</v>
      </c>
      <c r="D52" t="inlineStr">
        <is>
          <t>96.2%</t>
        </is>
      </c>
    </row>
    <row r="53">
      <c r="A53" t="inlineStr">
        <is>
          <t>Innovation and research raw</t>
        </is>
      </c>
      <c r="B53" t="n">
        <v>145</v>
      </c>
      <c r="C53" t="n">
        <v>157</v>
      </c>
      <c r="D53" t="inlineStr">
        <is>
          <t>92.4%</t>
        </is>
      </c>
    </row>
    <row r="54">
      <c r="A54" t="inlineStr">
        <is>
          <t>Investment signal raw</t>
        </is>
      </c>
      <c r="B54" t="n">
        <v>154</v>
      </c>
      <c r="C54" t="n">
        <v>157</v>
      </c>
      <c r="D54" t="inlineStr">
        <is>
          <t>98.1%</t>
        </is>
      </c>
    </row>
    <row r="55">
      <c r="A55" t="inlineStr">
        <is>
          <t>Administrative investment friction raw</t>
        </is>
      </c>
      <c r="B55" t="n">
        <v>157</v>
      </c>
      <c r="C55" t="n">
        <v>157</v>
      </c>
      <c r="D55" t="inlineStr">
        <is>
          <t>100.0%</t>
        </is>
      </c>
    </row>
    <row r="56">
      <c r="A56" t="inlineStr">
        <is>
          <t>Visitor flow context raw</t>
        </is>
      </c>
      <c r="B56" t="n">
        <v>1</v>
      </c>
      <c r="C56" t="n">
        <v>157</v>
      </c>
      <c r="D56" t="inlineStr">
        <is>
          <t>0.6%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SLIC Scoring Workbook</t>
        </is>
      </c>
    </row>
    <row r="3">
      <c r="A3" s="2" t="inlineStr">
        <is>
          <t>Purpose</t>
        </is>
      </c>
      <c r="B3" s="3" t="inlineStr">
        <is>
          <t>This workbook is the operational source of truth for the global SLIC city ranking. Enter or import data into Country_Context and City_Inputs, then review Scores, Leaderboard, Region_Comparison, and the Thai-specific scaffold.</t>
        </is>
      </c>
    </row>
    <row r="4">
      <c r="A4" s="2" t="inlineStr">
        <is>
          <t>Official formula</t>
        </is>
      </c>
      <c r="B4" s="3" t="inlineStr">
        <is>
          <t>SLIC(c) = 0.25 Pressure + 0.22 Viability + 0.18 Capability + 0.15 Community + 0.20 Creative</t>
        </is>
      </c>
    </row>
    <row r="5">
      <c r="A5" s="2" t="inlineStr">
        <is>
          <t>Disposable income term</t>
        </is>
      </c>
      <c r="B5" s="3" t="inlineStr">
        <is>
          <t>DI_ppp = ((gross_income x (1 - tax_rate)) - rent - utilities - transit - internet - food) / ppp_private_consumption</t>
        </is>
      </c>
    </row>
    <row r="6">
      <c r="A6" s="2" t="inlineStr">
        <is>
          <t>Normalization</t>
        </is>
      </c>
      <c r="B6" s="3" t="inlineStr">
        <is>
          <t>Each scored input is winsorized at the 5th and 95th percentiles, then converted to a 0-100 score. Harmful variables such as crime, debt, suicide, PM2.5, and administrative friction are reverse-scored.</t>
        </is>
      </c>
    </row>
    <row r="7">
      <c r="A7" s="2" t="inlineStr">
        <is>
          <t>Coverage rules</t>
        </is>
      </c>
      <c r="B7" s="3" t="inlineStr">
        <is>
          <t>A city is Ranked only when overall weighted coverage is at least 50% and every pillar clears the 35% minimum. Coverage grades: A &gt;= 75%, B = 50-74%, C = 35-49%, below 35% = Watchlist.</t>
        </is>
      </c>
    </row>
    <row r="8">
      <c r="A8" s="2" t="inlineStr">
        <is>
          <t>Source hierarchy</t>
        </is>
      </c>
      <c r="B8" s="3" t="inlineStr">
        <is>
          <t>Tier 1 city/metro official data &gt; Tier 2 subnational official data &gt; Tier 3 national and international official data &gt; Tier 4 audited secondary and experimental layers.</t>
        </is>
      </c>
    </row>
    <row r="9">
      <c r="A9" s="2" t="inlineStr">
        <is>
          <t>Doctrinal rule: safety</t>
        </is>
      </c>
      <c r="B9" s="3" t="inlineStr">
        <is>
          <t>Safety is scored by harm and victimization outcomes, never by camera count or visible control hardware.</t>
        </is>
      </c>
    </row>
    <row r="10">
      <c r="A10" s="2" t="inlineStr">
        <is>
          <t>Doctrinal rule: tolerance</t>
        </is>
      </c>
      <c r="B10" s="3" t="inlineStr">
        <is>
          <t>Tolerance is scored through low-friction coexistence and real personal freedom, not symbolic branding proxies.</t>
        </is>
      </c>
    </row>
    <row r="11">
      <c r="A11" s="2" t="inlineStr">
        <is>
          <t>Doctrinal rule: visitor flows</t>
        </is>
      </c>
      <c r="B11" s="3" t="inlineStr">
        <is>
          <t>Visitor flow is contextual only. It should be reviewed against crime, civic strain, and public-life quality rather than treated as an automatic positive.</t>
        </is>
      </c>
    </row>
    <row r="12">
      <c r="A12" s="2" t="inlineStr">
        <is>
          <t>Country context</t>
        </is>
      </c>
      <c r="B12" s="3" t="inlineStr">
        <is>
          <t>GDP per capita PPP, GDP growth, Gini coefficient, PPP private consumption, and user-supplied tax rate are visible in Country_Context. GDP terms are capped context inputs, not headline determinants.</t>
        </is>
      </c>
    </row>
    <row r="13">
      <c r="A13" s="2" t="inlineStr">
        <is>
          <t>How tax works</t>
        </is>
      </c>
      <c r="B13" s="3" t="inlineStr">
        <is>
          <t>Populate tax_rate_assumption in Country_Context as a decimal such as 0.18. City_Inputs pulls that value automatically into tax_rate_context and recomputes di_ppp_raw.</t>
        </is>
      </c>
    </row>
    <row r="14">
      <c r="A14" s="2" t="inlineStr">
        <is>
          <t>Region comparison</t>
        </is>
      </c>
      <c r="B14" s="3" t="inlineStr">
        <is>
          <t>Region_Comparison summarizes ranked city counts and average scores by cohort so Europe, Asia, the Americas, Africa, the Middle East, and Oceania can be compared cleanly.</t>
        </is>
      </c>
    </row>
    <row r="15">
      <c r="A15" s="2" t="inlineStr">
        <is>
          <t>Thai companion</t>
        </is>
      </c>
      <c r="B15" s="3" t="inlineStr">
        <is>
          <t>Thai_Ranking_Scaffold is a separate sheet for a Thailand-only ranking. It emphasizes province GDP per capita, pollution, hospitals, schools, infrastructure, income, longevity, and competitiveness.</t>
        </is>
      </c>
    </row>
    <row r="18">
      <c r="A18" s="4" t="inlineStr">
        <is>
          <t>Coverage thresholds</t>
        </is>
      </c>
    </row>
    <row r="19">
      <c r="A19" t="inlineStr">
        <is>
          <t>ranked_min_overall</t>
        </is>
      </c>
      <c r="B19" s="5" t="n">
        <v>0.5</v>
      </c>
    </row>
    <row r="20">
      <c r="A20" t="inlineStr">
        <is>
          <t>ranked_min_pillar</t>
        </is>
      </c>
      <c r="B20" s="5" t="n">
        <v>0.35</v>
      </c>
    </row>
    <row r="21">
      <c r="A21" t="inlineStr">
        <is>
          <t>grade_a_min</t>
        </is>
      </c>
      <c r="B21" s="5" t="n">
        <v>0.75</v>
      </c>
    </row>
    <row r="22">
      <c r="A22" t="inlineStr">
        <is>
          <t>grade_b_min</t>
        </is>
      </c>
      <c r="B22" s="5" t="n">
        <v>0.5</v>
      </c>
    </row>
    <row r="23">
      <c r="A23" t="inlineStr">
        <is>
          <t>grade_c_min</t>
        </is>
      </c>
      <c r="B23" s="5" t="n">
        <v>0.35</v>
      </c>
    </row>
    <row r="26">
      <c r="A26" s="4" t="inlineStr">
        <is>
          <t>Source tiers</t>
        </is>
      </c>
    </row>
    <row r="27">
      <c r="A27" t="inlineStr">
        <is>
          <t>Tier 1</t>
        </is>
      </c>
      <c r="B27" t="inlineStr">
        <is>
          <t>City and metro official data</t>
        </is>
      </c>
      <c r="C27" s="3" t="inlineStr">
        <is>
          <t>Open-data portals, utility regulators, transit feeds, hospital quality releases, and city statistical offices.</t>
        </is>
      </c>
    </row>
    <row r="28">
      <c r="A28" t="inlineStr">
        <is>
          <t>Tier 2</t>
        </is>
      </c>
      <c r="B28" t="inlineStr">
        <is>
          <t>State, province, and subnational official data</t>
        </is>
      </c>
      <c r="C28" s="3" t="inlineStr">
        <is>
          <t>Regional statistical offices, metropolitan observatories, and subnational administrative datasets.</t>
        </is>
      </c>
    </row>
    <row r="29">
      <c r="A29" t="inlineStr">
        <is>
          <t>Tier 3</t>
        </is>
      </c>
      <c r="B29" t="inlineStr">
        <is>
          <t>National and international official datasets</t>
        </is>
      </c>
      <c r="C29" s="3" t="inlineStr">
        <is>
          <t>World Bank, WHO, ILO, UNESCO UIS, OECD, WIPO, and WHO/UNICEF JMP.</t>
        </is>
      </c>
    </row>
    <row r="30">
      <c r="A30" t="inlineStr">
        <is>
          <t>Tier 4</t>
        </is>
      </c>
      <c r="B30" t="inlineStr">
        <is>
          <t>Audited secondary and experimental layers</t>
        </is>
      </c>
      <c r="C30" s="3" t="inlineStr">
        <is>
          <t>OpenAQ, M-Lab, social listening, crowdsourced cost layers, and city testimony with visible caveats.</t>
        </is>
      </c>
    </row>
  </sheetData>
  <mergeCells count="14">
    <mergeCell ref="B4:F4"/>
    <mergeCell ref="B12:F12"/>
    <mergeCell ref="B7:F7"/>
    <mergeCell ref="B6:F6"/>
    <mergeCell ref="B15:F15"/>
    <mergeCell ref="B10:F10"/>
    <mergeCell ref="A1:F1"/>
    <mergeCell ref="B11:F11"/>
    <mergeCell ref="B3:F3"/>
    <mergeCell ref="B5:F5"/>
    <mergeCell ref="B14:F14"/>
    <mergeCell ref="B8:F8"/>
    <mergeCell ref="B9:F9"/>
    <mergeCell ref="B13:F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12" customWidth="1" min="3" max="3"/>
    <col width="13" customWidth="1" min="4" max="4"/>
    <col width="15" customWidth="1" min="5" max="5"/>
    <col width="15" customWidth="1" min="6" max="6"/>
    <col width="16" customWidth="1" min="7" max="7"/>
    <col width="18" customWidth="1" min="8" max="8"/>
    <col width="14" customWidth="1" min="9" max="9"/>
    <col width="36" customWidth="1" min="10" max="10"/>
    <col width="36" customWidth="1" min="11" max="11"/>
    <col width="36" customWidth="1" min="12" max="12"/>
    <col width="36" customWidth="1" min="13" max="13"/>
  </cols>
  <sheetData>
    <row r="1">
      <c r="A1" s="6" t="inlineStr">
        <is>
          <t>metric_id</t>
        </is>
      </c>
      <c r="B1" s="6" t="inlineStr">
        <is>
          <t>metric_name</t>
        </is>
      </c>
      <c r="C1" s="6" t="inlineStr">
        <is>
          <t>pillar_id</t>
        </is>
      </c>
      <c r="D1" s="6" t="inlineStr">
        <is>
          <t>pillar_name</t>
        </is>
      </c>
      <c r="E1" s="6" t="inlineStr">
        <is>
          <t>pillar_weight</t>
        </is>
      </c>
      <c r="F1" s="6" t="inlineStr">
        <is>
          <t>metric_weight</t>
        </is>
      </c>
      <c r="G1" s="6" t="inlineStr">
        <is>
          <t>directionality</t>
        </is>
      </c>
      <c r="H1" s="6" t="inlineStr">
        <is>
          <t>scoring_role</t>
        </is>
      </c>
      <c r="I1" s="6" t="inlineStr">
        <is>
          <t>requiredness</t>
        </is>
      </c>
      <c r="J1" s="6" t="inlineStr">
        <is>
          <t>data_level</t>
        </is>
      </c>
      <c r="K1" s="6" t="inlineStr">
        <is>
          <t>source_priority</t>
        </is>
      </c>
      <c r="L1" s="6" t="inlineStr">
        <is>
          <t>workbook_input</t>
        </is>
      </c>
      <c r="M1" s="6" t="inlineStr">
        <is>
          <t>notes</t>
        </is>
      </c>
    </row>
    <row r="2">
      <c r="A2" t="inlineStr">
        <is>
          <t>disposable_income_ppp</t>
        </is>
      </c>
      <c r="B2" t="inlineStr">
        <is>
          <t>Tax-adjusted PPP disposable income</t>
        </is>
      </c>
      <c r="C2" t="inlineStr">
        <is>
          <t>pressure</t>
        </is>
      </c>
      <c r="D2" t="inlineStr">
        <is>
          <t>Growth</t>
        </is>
      </c>
      <c r="E2" t="n">
        <v>25</v>
      </c>
      <c r="F2" t="n">
        <v>9</v>
      </c>
      <c r="G2" t="inlineStr">
        <is>
          <t>positive</t>
        </is>
      </c>
      <c r="H2" t="inlineStr">
        <is>
          <t>scored</t>
        </is>
      </c>
      <c r="I2" t="inlineStr">
        <is>
          <t>core</t>
        </is>
      </c>
      <c r="J2" t="inlineStr">
        <is>
          <t>city_or_metro_with_country_context</t>
        </is>
      </c>
      <c r="K2" t="inlineStr">
        <is>
          <t>Tier 1 city/metro &gt; Tier 2 subnational &gt; Tier 3 national/international &gt; Tier 4 audited secondary</t>
        </is>
      </c>
      <c r="L2" t="inlineStr">
        <is>
          <t>di_ppp_raw</t>
        </is>
      </c>
      <c r="M2" t="inlineStr">
        <is>
          <t>Derived from gross income, tax, rent, utilities, transit, internet, food, and PPP private consumption.</t>
        </is>
      </c>
    </row>
    <row r="3">
      <c r="A3" t="inlineStr">
        <is>
          <t>housing_burden</t>
        </is>
      </c>
      <c r="B3" t="inlineStr">
        <is>
          <t>Housing burden</t>
        </is>
      </c>
      <c r="C3" t="inlineStr">
        <is>
          <t>pressure</t>
        </is>
      </c>
      <c r="D3" t="inlineStr">
        <is>
          <t>Growth</t>
        </is>
      </c>
      <c r="E3" t="n">
        <v>25</v>
      </c>
      <c r="F3" t="n">
        <v>5</v>
      </c>
      <c r="G3" t="inlineStr">
        <is>
          <t>negative</t>
        </is>
      </c>
      <c r="H3" t="inlineStr">
        <is>
          <t>scored</t>
        </is>
      </c>
      <c r="I3" t="inlineStr">
        <is>
          <t>core</t>
        </is>
      </c>
      <c r="J3" t="inlineStr">
        <is>
          <t>city_or_metro</t>
        </is>
      </c>
      <c r="K3" t="inlineStr">
        <is>
          <t>Tier 1 city/metro &gt; Tier 2 subnational &gt; Tier 3 national/international &gt; Tier 4 audited secondary</t>
        </is>
      </c>
      <c r="L3" t="inlineStr">
        <is>
          <t>housing_burden_raw</t>
        </is>
      </c>
      <c r="M3" t="inlineStr">
        <is>
          <t>Higher rent or housing cost share scores worse.</t>
        </is>
      </c>
    </row>
    <row r="4">
      <c r="A4" t="inlineStr">
        <is>
          <t>household_debt_burden</t>
        </is>
      </c>
      <c r="B4" t="inlineStr">
        <is>
          <t>Household debt burden</t>
        </is>
      </c>
      <c r="C4" t="inlineStr">
        <is>
          <t>pressure</t>
        </is>
      </c>
      <c r="D4" t="inlineStr">
        <is>
          <t>Growth</t>
        </is>
      </c>
      <c r="E4" t="n">
        <v>25</v>
      </c>
      <c r="F4" t="n">
        <v>4</v>
      </c>
      <c r="G4" t="inlineStr">
        <is>
          <t>negative</t>
        </is>
      </c>
      <c r="H4" t="inlineStr">
        <is>
          <t>scored</t>
        </is>
      </c>
      <c r="I4" t="inlineStr">
        <is>
          <t>core</t>
        </is>
      </c>
      <c r="J4" t="inlineStr">
        <is>
          <t>city_with_country_proxy_fallback</t>
        </is>
      </c>
      <c r="K4" t="inlineStr">
        <is>
          <t>Tier 1 city/metro &gt; Tier 2 subnational &gt; Tier 3 country debt proxy &gt; Tier 4 audited secondary</t>
        </is>
      </c>
      <c r="L4" t="inlineStr">
        <is>
          <t>household_debt_effective_raw</t>
        </is>
      </c>
      <c r="M4" t="inlineStr">
        <is>
          <t>Uses country proxy when city debt burden is unavailable.</t>
        </is>
      </c>
    </row>
    <row r="5">
      <c r="A5" t="inlineStr">
        <is>
          <t>working_time_pressure</t>
        </is>
      </c>
      <c r="B5" t="inlineStr">
        <is>
          <t>Working time pressure</t>
        </is>
      </c>
      <c r="C5" t="inlineStr">
        <is>
          <t>pressure</t>
        </is>
      </c>
      <c r="D5" t="inlineStr">
        <is>
          <t>Growth</t>
        </is>
      </c>
      <c r="E5" t="n">
        <v>25</v>
      </c>
      <c r="F5" t="n">
        <v>4</v>
      </c>
      <c r="G5" t="inlineStr">
        <is>
          <t>negative</t>
        </is>
      </c>
      <c r="H5" t="inlineStr">
        <is>
          <t>scored</t>
        </is>
      </c>
      <c r="I5" t="inlineStr">
        <is>
          <t>core</t>
        </is>
      </c>
      <c r="J5" t="inlineStr">
        <is>
          <t>city_or_metro_with_subnational_fallback</t>
        </is>
      </c>
      <c r="K5" t="inlineStr">
        <is>
          <t>Tier 1 city/metro &gt; Tier 2 subnational &gt; Tier 3 ILO/national &gt; Tier 4 audited secondary</t>
        </is>
      </c>
      <c r="L5" t="inlineStr">
        <is>
          <t>working_time_pressure_raw</t>
        </is>
      </c>
      <c r="M5" t="inlineStr">
        <is>
          <t>Higher weekly-hours and overwork prevalence score worse.</t>
        </is>
      </c>
    </row>
    <row r="6">
      <c r="A6" t="inlineStr">
        <is>
          <t>suicide_mental_strain</t>
        </is>
      </c>
      <c r="B6" t="inlineStr">
        <is>
          <t>Suicide and severe mental strain</t>
        </is>
      </c>
      <c r="C6" t="inlineStr">
        <is>
          <t>pressure</t>
        </is>
      </c>
      <c r="D6" t="inlineStr">
        <is>
          <t>Growth</t>
        </is>
      </c>
      <c r="E6" t="n">
        <v>25</v>
      </c>
      <c r="F6" t="n">
        <v>5</v>
      </c>
      <c r="G6" t="inlineStr">
        <is>
          <t>negative</t>
        </is>
      </c>
      <c r="H6" t="inlineStr">
        <is>
          <t>scored</t>
        </is>
      </c>
      <c r="I6" t="inlineStr">
        <is>
          <t>core</t>
        </is>
      </c>
      <c r="J6" t="inlineStr">
        <is>
          <t>city_or_metro_with_subnational_fallback</t>
        </is>
      </c>
      <c r="K6" t="inlineStr">
        <is>
          <t>Tier 1 city/metro &gt; Tier 2 subnational &gt; Tier 3 WHO/national &gt; Tier 4 audited secondary</t>
        </is>
      </c>
      <c r="L6" t="inlineStr">
        <is>
          <t>suicide_mental_strain_raw</t>
        </is>
      </c>
      <c r="M6" t="inlineStr">
        <is>
          <t>Lower suicide or equivalent severe-strain rates score better. Weight increased to 5 to better capture mental wellbeing burden.</t>
        </is>
      </c>
    </row>
    <row r="7">
      <c r="A7" t="inlineStr">
        <is>
          <t>personal_safety</t>
        </is>
      </c>
      <c r="B7" t="inlineStr">
        <is>
          <t>Personal safety</t>
        </is>
      </c>
      <c r="C7" t="inlineStr">
        <is>
          <t>viability</t>
        </is>
      </c>
      <c r="D7" t="inlineStr">
        <is>
          <t>Viability</t>
        </is>
      </c>
      <c r="E7" t="n">
        <v>22</v>
      </c>
      <c r="F7" t="n">
        <v>5</v>
      </c>
      <c r="G7" t="inlineStr">
        <is>
          <t>negative</t>
        </is>
      </c>
      <c r="H7" t="inlineStr">
        <is>
          <t>scored</t>
        </is>
      </c>
      <c r="I7" t="inlineStr">
        <is>
          <t>core</t>
        </is>
      </c>
      <c r="J7" t="inlineStr">
        <is>
          <t>city_or_metro</t>
        </is>
      </c>
      <c r="K7" t="inlineStr">
        <is>
          <t>Tier 1 city/metro &gt; Tier 2 subnational &gt; Tier 3 national/international &gt; Tier 4 audited secondary</t>
        </is>
      </c>
      <c r="L7" t="inlineStr">
        <is>
          <t>personal_safety_raw</t>
        </is>
      </c>
      <c r="M7" t="inlineStr">
        <is>
          <t>Enter a harm-and-victimization index or rate. Camera counts do not score.</t>
        </is>
      </c>
    </row>
    <row r="8">
      <c r="A8" t="inlineStr">
        <is>
          <t>transit_access_commute</t>
        </is>
      </c>
      <c r="B8" t="inlineStr">
        <is>
          <t>Transit access and commute burden</t>
        </is>
      </c>
      <c r="C8" t="inlineStr">
        <is>
          <t>viability</t>
        </is>
      </c>
      <c r="D8" t="inlineStr">
        <is>
          <t>Viability</t>
        </is>
      </c>
      <c r="E8" t="n">
        <v>22</v>
      </c>
      <c r="F8" t="n">
        <v>5</v>
      </c>
      <c r="G8" t="inlineStr">
        <is>
          <t>positive</t>
        </is>
      </c>
      <c r="H8" t="inlineStr">
        <is>
          <t>scored</t>
        </is>
      </c>
      <c r="I8" t="inlineStr">
        <is>
          <t>core</t>
        </is>
      </c>
      <c r="J8" t="inlineStr">
        <is>
          <t>city_or_metro</t>
        </is>
      </c>
      <c r="K8" t="inlineStr">
        <is>
          <t>Tier 1 city/metro &gt; Tier 2 GTFS/subnational &gt; Tier 3 national/international &gt; Tier 4 audited secondary</t>
        </is>
      </c>
      <c r="L8" t="inlineStr">
        <is>
          <t>transit_access_commute_raw</t>
        </is>
      </c>
      <c r="M8" t="inlineStr">
        <is>
          <t>Enter a composite where better access and lower burden push the value upward.</t>
        </is>
      </c>
    </row>
    <row r="9">
      <c r="A9" t="inlineStr">
        <is>
          <t>clean_air</t>
        </is>
      </c>
      <c r="B9" t="inlineStr">
        <is>
          <t>Clean air</t>
        </is>
      </c>
      <c r="C9" t="inlineStr">
        <is>
          <t>viability</t>
        </is>
      </c>
      <c r="D9" t="inlineStr">
        <is>
          <t>Viability</t>
        </is>
      </c>
      <c r="E9" t="n">
        <v>22</v>
      </c>
      <c r="F9" t="n">
        <v>4</v>
      </c>
      <c r="G9" t="inlineStr">
        <is>
          <t>negative</t>
        </is>
      </c>
      <c r="H9" t="inlineStr">
        <is>
          <t>scored</t>
        </is>
      </c>
      <c r="I9" t="inlineStr">
        <is>
          <t>core</t>
        </is>
      </c>
      <c r="J9" t="inlineStr">
        <is>
          <t>city_or_metro</t>
        </is>
      </c>
      <c r="K9" t="inlineStr">
        <is>
          <t>Tier 1 city/metro &gt; Tier 3 WHO/OpenAQ/national &gt; Tier 4 audited secondary</t>
        </is>
      </c>
      <c r="L9" t="inlineStr">
        <is>
          <t>clean_air_raw</t>
        </is>
      </c>
      <c r="M9" t="inlineStr">
        <is>
          <t>Lower PM2.5 or pollution exposure scores better.</t>
        </is>
      </c>
    </row>
    <row r="10">
      <c r="A10" t="inlineStr">
        <is>
          <t>water_sanitation_utility</t>
        </is>
      </c>
      <c r="B10" t="inlineStr">
        <is>
          <t>Water, sanitation, and utility reliability</t>
        </is>
      </c>
      <c r="C10" t="inlineStr">
        <is>
          <t>viability</t>
        </is>
      </c>
      <c r="D10" t="inlineStr">
        <is>
          <t>Viability</t>
        </is>
      </c>
      <c r="E10" t="n">
        <v>22</v>
      </c>
      <c r="F10" t="n">
        <v>4</v>
      </c>
      <c r="G10" t="inlineStr">
        <is>
          <t>positive</t>
        </is>
      </c>
      <c r="H10" t="inlineStr">
        <is>
          <t>scored</t>
        </is>
      </c>
      <c r="I10" t="inlineStr">
        <is>
          <t>core</t>
        </is>
      </c>
      <c r="J10" t="inlineStr">
        <is>
          <t>city_or_metro_with_country_fallback</t>
        </is>
      </c>
      <c r="K10" t="inlineStr">
        <is>
          <t>Tier 1 city/metro &gt; Tier 2 subnational &gt; Tier 3 JMP/national &gt; Tier 4 audited secondary</t>
        </is>
      </c>
      <c r="L10" t="inlineStr">
        <is>
          <t>water_sanitation_utility_raw</t>
        </is>
      </c>
      <c r="M10" t="inlineStr">
        <is>
          <t>Enter a composite where safer access and higher reliability score better.</t>
        </is>
      </c>
    </row>
    <row r="11">
      <c r="A11" t="inlineStr">
        <is>
          <t>digital_infrastructure</t>
        </is>
      </c>
      <c r="B11" t="inlineStr">
        <is>
          <t>Digital infrastructure</t>
        </is>
      </c>
      <c r="C11" t="inlineStr">
        <is>
          <t>viability</t>
        </is>
      </c>
      <c r="D11" t="inlineStr">
        <is>
          <t>Viability</t>
        </is>
      </c>
      <c r="E11" t="n">
        <v>22</v>
      </c>
      <c r="F11" t="n">
        <v>4</v>
      </c>
      <c r="G11" t="inlineStr">
        <is>
          <t>positive</t>
        </is>
      </c>
      <c r="H11" t="inlineStr">
        <is>
          <t>scored</t>
        </is>
      </c>
      <c r="I11" t="inlineStr">
        <is>
          <t>core</t>
        </is>
      </c>
      <c r="J11" t="inlineStr">
        <is>
          <t>city_or_metro_with_country_fallback</t>
        </is>
      </c>
      <c r="K11" t="inlineStr">
        <is>
          <t>Tier 1 city/metro &gt; Tier 2 subnational &gt; Tier 3 OECD/World Bank/M-Lab &gt; Tier 4 audited secondary</t>
        </is>
      </c>
      <c r="L11" t="inlineStr">
        <is>
          <t>digital_infrastructure_raw</t>
        </is>
      </c>
      <c r="M11" t="inlineStr">
        <is>
          <t>Higher broadband quality, affordability, and fibre readiness score better.</t>
        </is>
      </c>
    </row>
    <row r="12">
      <c r="A12" t="inlineStr">
        <is>
          <t>climate_sunlight_livability</t>
        </is>
      </c>
      <c r="B12" t="inlineStr">
        <is>
          <t>Climate and sunlight livability</t>
        </is>
      </c>
      <c r="C12" t="inlineStr">
        <is>
          <t>viability</t>
        </is>
      </c>
      <c r="D12" t="inlineStr">
        <is>
          <t>Viability</t>
        </is>
      </c>
      <c r="E12" t="n">
        <v>22</v>
      </c>
      <c r="F12" t="n">
        <v>5</v>
      </c>
      <c r="G12" t="inlineStr">
        <is>
          <t>positive</t>
        </is>
      </c>
      <c r="H12" t="inlineStr">
        <is>
          <t>scored</t>
        </is>
      </c>
      <c r="I12" t="inlineStr">
        <is>
          <t>core</t>
        </is>
      </c>
      <c r="J12" t="inlineStr">
        <is>
          <t>city_or_metro</t>
        </is>
      </c>
      <c r="K12" t="inlineStr">
        <is>
          <t>Tier 1 city/metro climate data &gt; Tier 3 WMO/national &gt; Tier 4 audited secondary</t>
        </is>
      </c>
      <c r="L12" t="inlineStr">
        <is>
          <t>climate_sunlight_livability_raw</t>
        </is>
      </c>
      <c r="M12" t="inlineStr">
        <is>
          <t>Composite of annual sunshine hours, temperature comfort (distance from 22C optimum), and extreme weather frequency. Penalizes both extreme darkness (Nordic winter) and extreme heat (Gulf/desert). Higher = more livable climate.</t>
        </is>
      </c>
    </row>
    <row r="13">
      <c r="A13" t="inlineStr">
        <is>
          <t>healthcare_quality</t>
        </is>
      </c>
      <c r="B13" t="inlineStr">
        <is>
          <t>Healthcare quality</t>
        </is>
      </c>
      <c r="C13" t="inlineStr">
        <is>
          <t>capability</t>
        </is>
      </c>
      <c r="D13" t="inlineStr">
        <is>
          <t>Capability</t>
        </is>
      </c>
      <c r="E13" t="n">
        <v>18</v>
      </c>
      <c r="F13" t="n">
        <v>8</v>
      </c>
      <c r="G13" t="inlineStr">
        <is>
          <t>positive</t>
        </is>
      </c>
      <c r="H13" t="inlineStr">
        <is>
          <t>scored</t>
        </is>
      </c>
      <c r="I13" t="inlineStr">
        <is>
          <t>core</t>
        </is>
      </c>
      <c r="J13" t="inlineStr">
        <is>
          <t>city_or_metro_with_country_context</t>
        </is>
      </c>
      <c r="K13" t="inlineStr">
        <is>
          <t>Tier 1 city/metro &gt; Tier 2 subnational &gt; Tier 3 WHO/OECD/national &gt; Tier 4 audited secondary</t>
        </is>
      </c>
      <c r="L13" t="inlineStr">
        <is>
          <t>healthcare_quality_raw</t>
        </is>
      </c>
      <c r="M13" t="inlineStr">
        <is>
          <t>Higher effective-care access and outcome quality score better.</t>
        </is>
      </c>
    </row>
    <row r="14">
      <c r="A14" t="inlineStr">
        <is>
          <t>education_quality</t>
        </is>
      </c>
      <c r="B14" t="inlineStr">
        <is>
          <t>Education quality</t>
        </is>
      </c>
      <c r="C14" t="inlineStr">
        <is>
          <t>capability</t>
        </is>
      </c>
      <c r="D14" t="inlineStr">
        <is>
          <t>Capability</t>
        </is>
      </c>
      <c r="E14" t="n">
        <v>18</v>
      </c>
      <c r="F14" t="n">
        <v>6</v>
      </c>
      <c r="G14" t="inlineStr">
        <is>
          <t>positive</t>
        </is>
      </c>
      <c r="H14" t="inlineStr">
        <is>
          <t>scored</t>
        </is>
      </c>
      <c r="I14" t="inlineStr">
        <is>
          <t>core</t>
        </is>
      </c>
      <c r="J14" t="inlineStr">
        <is>
          <t>city_or_metro_with_country_context</t>
        </is>
      </c>
      <c r="K14" t="inlineStr">
        <is>
          <t>Tier 1 city/metro &gt; Tier 2 subnational &gt; Tier 3 UNESCO/OECD/World Bank &gt; Tier 4 audited secondary</t>
        </is>
      </c>
      <c r="L14" t="inlineStr">
        <is>
          <t>education_quality_raw</t>
        </is>
      </c>
      <c r="M14" t="inlineStr">
        <is>
          <t>Higher learning quality and skills formation score better.</t>
        </is>
      </c>
    </row>
    <row r="15">
      <c r="A15" t="inlineStr">
        <is>
          <t>equal_opportunity_distributional_fairness</t>
        </is>
      </c>
      <c r="B15" t="inlineStr">
        <is>
          <t>Equal opportunity and distributional fairness</t>
        </is>
      </c>
      <c r="C15" t="inlineStr">
        <is>
          <t>capability</t>
        </is>
      </c>
      <c r="D15" t="inlineStr">
        <is>
          <t>Capability</t>
        </is>
      </c>
      <c r="E15" t="n">
        <v>18</v>
      </c>
      <c r="F15" t="n">
        <v>4</v>
      </c>
      <c r="G15" t="inlineStr">
        <is>
          <t>positive</t>
        </is>
      </c>
      <c r="H15" t="inlineStr">
        <is>
          <t>composite_scored</t>
        </is>
      </c>
      <c r="I15" t="inlineStr">
        <is>
          <t>core</t>
        </is>
      </c>
      <c r="J15" t="inlineStr">
        <is>
          <t>city_with_country_context</t>
        </is>
      </c>
      <c r="K15" t="inlineStr">
        <is>
          <t>Tier 1 city/metro opportunity data + Tier 3 country Gini fallback</t>
        </is>
      </c>
      <c r="L15" t="inlineStr">
        <is>
          <t>equal_opportunity_raw + gini_coefficient_context</t>
        </is>
      </c>
      <c r="M15" t="inlineStr">
        <is>
          <t>Combines 70% equal-opportunity input with 30% reversed Gini context where available.</t>
        </is>
      </c>
    </row>
    <row r="16">
      <c r="A16" t="inlineStr">
        <is>
          <t>hospitality_belonging</t>
        </is>
      </c>
      <c r="B16" t="inlineStr">
        <is>
          <t>Hospitality and belonging</t>
        </is>
      </c>
      <c r="C16" t="inlineStr">
        <is>
          <t>community</t>
        </is>
      </c>
      <c r="D16" t="inlineStr">
        <is>
          <t>Community</t>
        </is>
      </c>
      <c r="E16" t="n">
        <v>15</v>
      </c>
      <c r="F16" t="n">
        <v>5</v>
      </c>
      <c r="G16" t="inlineStr">
        <is>
          <t>positive</t>
        </is>
      </c>
      <c r="H16" t="inlineStr">
        <is>
          <t>scored</t>
        </is>
      </c>
      <c r="I16" t="inlineStr">
        <is>
          <t>core</t>
        </is>
      </c>
      <c r="J16" t="inlineStr">
        <is>
          <t>city_or_metro_with_audited_perception_layer</t>
        </is>
      </c>
      <c r="K16" t="inlineStr">
        <is>
          <t>Tier 1 city services &gt; Tier 2 subnational &gt; Tier 4 audited social listening/testimony</t>
        </is>
      </c>
      <c r="L16" t="inlineStr">
        <is>
          <t>hospitality_belonging_raw</t>
        </is>
      </c>
      <c r="M16" t="inlineStr">
        <is>
          <t>Higher civic warmth, multilingual access, and resident attachment score better.</t>
        </is>
      </c>
    </row>
    <row r="17">
      <c r="A17" t="inlineStr">
        <is>
          <t>tolerance_pluralism</t>
        </is>
      </c>
      <c r="B17" t="inlineStr">
        <is>
          <t>Tolerance and pluralism</t>
        </is>
      </c>
      <c r="C17" t="inlineStr">
        <is>
          <t>community</t>
        </is>
      </c>
      <c r="D17" t="inlineStr">
        <is>
          <t>Community</t>
        </is>
      </c>
      <c r="E17" t="n">
        <v>15</v>
      </c>
      <c r="F17" t="n">
        <v>5</v>
      </c>
      <c r="G17" t="inlineStr">
        <is>
          <t>positive</t>
        </is>
      </c>
      <c r="H17" t="inlineStr">
        <is>
          <t>scored</t>
        </is>
      </c>
      <c r="I17" t="inlineStr">
        <is>
          <t>core</t>
        </is>
      </c>
      <c r="J17" t="inlineStr">
        <is>
          <t>city_or_metro_with_audited_perception_layer</t>
        </is>
      </c>
      <c r="K17" t="inlineStr">
        <is>
          <t>Tier 1 legal and policy openness &gt; Tier 2 subnational &gt; Tier 4 audited coexistence/testimony proxies</t>
        </is>
      </c>
      <c r="L17" t="inlineStr">
        <is>
          <t>tolerance_pluralism_raw</t>
        </is>
      </c>
      <c r="M17" t="inlineStr">
        <is>
          <t>Scores low-friction coexistence and openness, not symbolic branding proxies.</t>
        </is>
      </c>
    </row>
    <row r="18">
      <c r="A18" t="inlineStr">
        <is>
          <t>cultural_historic_public_life_vitality</t>
        </is>
      </c>
      <c r="B18" t="inlineStr">
        <is>
          <t>Cultural, historic, and public-life vitality</t>
        </is>
      </c>
      <c r="C18" t="inlineStr">
        <is>
          <t>community</t>
        </is>
      </c>
      <c r="D18" t="inlineStr">
        <is>
          <t>Community</t>
        </is>
      </c>
      <c r="E18" t="n">
        <v>15</v>
      </c>
      <c r="F18" t="n">
        <v>5</v>
      </c>
      <c r="G18" t="inlineStr">
        <is>
          <t>positive</t>
        </is>
      </c>
      <c r="H18" t="inlineStr">
        <is>
          <t>scored</t>
        </is>
      </c>
      <c r="I18" t="inlineStr">
        <is>
          <t>core</t>
        </is>
      </c>
      <c r="J18" t="inlineStr">
        <is>
          <t>city_or_metro_with_context_layer</t>
        </is>
      </c>
      <c r="K18" t="inlineStr">
        <is>
          <t>Tier 1 city/open data &gt; Tier 2 subnational &gt; Tier 4 audited cultural/testimony and visitor context</t>
        </is>
      </c>
      <c r="L18" t="inlineStr">
        <is>
          <t>cultural_public_life_raw</t>
        </is>
      </c>
      <c r="M18" t="inlineStr">
        <is>
          <t>Visitor flow is contextual only and should be triangulated separately, not scored directly here.</t>
        </is>
      </c>
    </row>
    <row r="19">
      <c r="A19" t="inlineStr">
        <is>
          <t>entrepreneurial_dynamism</t>
        </is>
      </c>
      <c r="B19" t="inlineStr">
        <is>
          <t>Entrepreneurial dynamism</t>
        </is>
      </c>
      <c r="C19" t="inlineStr">
        <is>
          <t>creative</t>
        </is>
      </c>
      <c r="D19" t="inlineStr">
        <is>
          <t>Creative</t>
        </is>
      </c>
      <c r="E19" t="n">
        <v>20</v>
      </c>
      <c r="F19" t="n">
        <v>6</v>
      </c>
      <c r="G19" t="inlineStr">
        <is>
          <t>positive</t>
        </is>
      </c>
      <c r="H19" t="inlineStr">
        <is>
          <t>scored</t>
        </is>
      </c>
      <c r="I19" t="inlineStr">
        <is>
          <t>core</t>
        </is>
      </c>
      <c r="J19" t="inlineStr">
        <is>
          <t>city_or_metro_with_country_context</t>
        </is>
      </c>
      <c r="K19" t="inlineStr">
        <is>
          <t>Tier 1 city/metro &gt; Tier 2 subnational &gt; Tier 3 World Bank/national &gt; Tier 4 audited secondary</t>
        </is>
      </c>
      <c r="L19" t="inlineStr">
        <is>
          <t>entrepreneurial_dynamism_raw</t>
        </is>
      </c>
      <c r="M19" t="inlineStr">
        <is>
          <t>Higher new-business density and startup formation score better.</t>
        </is>
      </c>
    </row>
    <row r="20">
      <c r="A20" t="inlineStr">
        <is>
          <t>innovation_research_intensity</t>
        </is>
      </c>
      <c r="B20" t="inlineStr">
        <is>
          <t>Innovation and research intensity</t>
        </is>
      </c>
      <c r="C20" t="inlineStr">
        <is>
          <t>creative</t>
        </is>
      </c>
      <c r="D20" t="inlineStr">
        <is>
          <t>Creative</t>
        </is>
      </c>
      <c r="E20" t="n">
        <v>20</v>
      </c>
      <c r="F20" t="n">
        <v>5</v>
      </c>
      <c r="G20" t="inlineStr">
        <is>
          <t>positive</t>
        </is>
      </c>
      <c r="H20" t="inlineStr">
        <is>
          <t>scored</t>
        </is>
      </c>
      <c r="I20" t="inlineStr">
        <is>
          <t>core</t>
        </is>
      </c>
      <c r="J20" t="inlineStr">
        <is>
          <t>city_or_metro_with_country_context</t>
        </is>
      </c>
      <c r="K20" t="inlineStr">
        <is>
          <t>Tier 1 city/metro &gt; Tier 2 subnational &gt; Tier 3 WIPO/OECD/national &gt; Tier 4 audited secondary</t>
        </is>
      </c>
      <c r="L20" t="inlineStr">
        <is>
          <t>innovation_research_intensity_raw</t>
        </is>
      </c>
      <c r="M20" t="inlineStr">
        <is>
          <t>Higher patent, research, and knowledge-production strength score better.</t>
        </is>
      </c>
    </row>
    <row r="21">
      <c r="A21" t="inlineStr">
        <is>
          <t>economic_vitality_productive_context</t>
        </is>
      </c>
      <c r="B21" t="inlineStr">
        <is>
          <t>Economic vitality and productive context</t>
        </is>
      </c>
      <c r="C21" t="inlineStr">
        <is>
          <t>creative</t>
        </is>
      </c>
      <c r="D21" t="inlineStr">
        <is>
          <t>Creative</t>
        </is>
      </c>
      <c r="E21" t="n">
        <v>20</v>
      </c>
      <c r="F21" t="n">
        <v>5</v>
      </c>
      <c r="G21" t="inlineStr">
        <is>
          <t>positive</t>
        </is>
      </c>
      <c r="H21" t="inlineStr">
        <is>
          <t>composite_scored</t>
        </is>
      </c>
      <c r="I21" t="inlineStr">
        <is>
          <t>core</t>
        </is>
      </c>
      <c r="J21" t="inlineStr">
        <is>
          <t>city_with_capped_country_context</t>
        </is>
      </c>
      <c r="K21" t="inlineStr">
        <is>
          <t>Tier 1 city investment signal + Tier 3 country macro context</t>
        </is>
      </c>
      <c r="L21" t="inlineStr">
        <is>
          <t>investment_signal_raw + gdp_per_capita_ppp_context + gdp_growth_context</t>
        </is>
      </c>
      <c r="M21" t="inlineStr">
        <is>
          <t>Combines 50% city investment signal, 30% GDP per capita PPP context, and 20% GDP growth context.</t>
        </is>
      </c>
    </row>
    <row r="22">
      <c r="A22" t="inlineStr">
        <is>
          <t>administrative_investment_friction</t>
        </is>
      </c>
      <c r="B22" t="inlineStr">
        <is>
          <t>Administrative and investment friction</t>
        </is>
      </c>
      <c r="C22" t="inlineStr">
        <is>
          <t>creative</t>
        </is>
      </c>
      <c r="D22" t="inlineStr">
        <is>
          <t>Creative</t>
        </is>
      </c>
      <c r="E22" t="n">
        <v>20</v>
      </c>
      <c r="F22" t="n">
        <v>4</v>
      </c>
      <c r="G22" t="inlineStr">
        <is>
          <t>negative</t>
        </is>
      </c>
      <c r="H22" t="inlineStr">
        <is>
          <t>scored</t>
        </is>
      </c>
      <c r="I22" t="inlineStr">
        <is>
          <t>core</t>
        </is>
      </c>
      <c r="J22" t="inlineStr">
        <is>
          <t>city_or_metro_with_country_context</t>
        </is>
      </c>
      <c r="K22" t="inlineStr">
        <is>
          <t>Tier 1 city/metro &gt; Tier 2 subnational &gt; Tier 3 national/international &gt; Tier 4 audited secondary</t>
        </is>
      </c>
      <c r="L22" t="inlineStr">
        <is>
          <t>administrative_investment_friction_raw</t>
        </is>
      </c>
      <c r="M22" t="inlineStr">
        <is>
          <t>Higher time-cost and licensing burden score worse.</t>
        </is>
      </c>
    </row>
    <row r="23">
      <c r="A23" t="inlineStr">
        <is>
          <t>gini_coefficient_context</t>
        </is>
      </c>
      <c r="B23" t="inlineStr">
        <is>
          <t>Gini coefficient context</t>
        </is>
      </c>
      <c r="C23" t="inlineStr">
        <is>
          <t>capability</t>
        </is>
      </c>
      <c r="D23" t="inlineStr">
        <is>
          <t>Capability</t>
        </is>
      </c>
      <c r="E23" t="n">
        <v>18</v>
      </c>
      <c r="F23" t="n">
        <v>0</v>
      </c>
      <c r="G23" t="inlineStr">
        <is>
          <t>negative</t>
        </is>
      </c>
      <c r="H23" t="inlineStr">
        <is>
          <t>context_capped</t>
        </is>
      </c>
      <c r="I23" t="inlineStr">
        <is>
          <t>supporting</t>
        </is>
      </c>
      <c r="J23" t="inlineStr">
        <is>
          <t>country_context</t>
        </is>
      </c>
      <c r="K23" t="inlineStr">
        <is>
          <t>Tier 3 World Bank/national</t>
        </is>
      </c>
      <c r="L23" t="inlineStr">
        <is>
          <t>gini_coefficient_context</t>
        </is>
      </c>
      <c r="M23" t="inlineStr">
        <is>
          <t>Country-level inequality context used inside equal opportunity and distributional fairness.</t>
        </is>
      </c>
    </row>
    <row r="24">
      <c r="A24" t="inlineStr">
        <is>
          <t>gdp_per_capita_ppp_context</t>
        </is>
      </c>
      <c r="B24" t="inlineStr">
        <is>
          <t>GDP per capita PPP context</t>
        </is>
      </c>
      <c r="C24" t="inlineStr">
        <is>
          <t>creative</t>
        </is>
      </c>
      <c r="D24" t="inlineStr">
        <is>
          <t>Creative</t>
        </is>
      </c>
      <c r="E24" t="n">
        <v>20</v>
      </c>
      <c r="F24" t="n">
        <v>0</v>
      </c>
      <c r="G24" t="inlineStr">
        <is>
          <t>positive</t>
        </is>
      </c>
      <c r="H24" t="inlineStr">
        <is>
          <t>context_capped</t>
        </is>
      </c>
      <c r="I24" t="inlineStr">
        <is>
          <t>supporting</t>
        </is>
      </c>
      <c r="J24" t="inlineStr">
        <is>
          <t>country_context</t>
        </is>
      </c>
      <c r="K24" t="inlineStr">
        <is>
          <t>Tier 3 World Bank/OECD</t>
        </is>
      </c>
      <c r="L24" t="inlineStr">
        <is>
          <t>gdp_per_capita_ppp_context</t>
        </is>
      </c>
      <c r="M24" t="inlineStr">
        <is>
          <t>Country-level macro context used as a capped term inside economic vitality.</t>
        </is>
      </c>
    </row>
    <row r="25">
      <c r="A25" t="inlineStr">
        <is>
          <t>gdp_growth_context</t>
        </is>
      </c>
      <c r="B25" t="inlineStr">
        <is>
          <t>GDP growth context</t>
        </is>
      </c>
      <c r="C25" t="inlineStr">
        <is>
          <t>creative</t>
        </is>
      </c>
      <c r="D25" t="inlineStr">
        <is>
          <t>Creative</t>
        </is>
      </c>
      <c r="E25" t="n">
        <v>20</v>
      </c>
      <c r="F25" t="n">
        <v>0</v>
      </c>
      <c r="G25" t="inlineStr">
        <is>
          <t>positive</t>
        </is>
      </c>
      <c r="H25" t="inlineStr">
        <is>
          <t>context_capped</t>
        </is>
      </c>
      <c r="I25" t="inlineStr">
        <is>
          <t>supporting</t>
        </is>
      </c>
      <c r="J25" t="inlineStr">
        <is>
          <t>country_context</t>
        </is>
      </c>
      <c r="K25" t="inlineStr">
        <is>
          <t>Tier 3 World Bank/OECD</t>
        </is>
      </c>
      <c r="L25" t="inlineStr">
        <is>
          <t>gdp_growth_context</t>
        </is>
      </c>
      <c r="M25" t="inlineStr">
        <is>
          <t>Country-level macro momentum used as a capped term inside economic vitality.</t>
        </is>
      </c>
    </row>
    <row r="26">
      <c r="A26" t="inlineStr">
        <is>
          <t>visitor_flow_context</t>
        </is>
      </c>
      <c r="B26" t="inlineStr">
        <is>
          <t>Visitor flow context</t>
        </is>
      </c>
      <c r="C26" t="inlineStr">
        <is>
          <t>community</t>
        </is>
      </c>
      <c r="D26" t="inlineStr">
        <is>
          <t>Community</t>
        </is>
      </c>
      <c r="E26" t="n">
        <v>15</v>
      </c>
      <c r="F26" t="n">
        <v>0</v>
      </c>
      <c r="G26" t="inlineStr">
        <is>
          <t>contextual</t>
        </is>
      </c>
      <c r="H26" t="inlineStr">
        <is>
          <t>context_only</t>
        </is>
      </c>
      <c r="I26" t="inlineStr">
        <is>
          <t>supporting</t>
        </is>
      </c>
      <c r="J26" t="inlineStr">
        <is>
          <t>city_or_metro</t>
        </is>
      </c>
      <c r="K26" t="inlineStr">
        <is>
          <t>Tier 1 tourism/open mobility &gt; Tier 4 audited secondary</t>
        </is>
      </c>
      <c r="L26" t="inlineStr">
        <is>
          <t>visitor_flow_context_raw</t>
        </is>
      </c>
      <c r="M26" t="inlineStr">
        <is>
          <t>Visible on the workbook and leaderboard context layer but not scored directly.</t>
        </is>
      </c>
    </row>
    <row r="27">
      <c r="A27" t="inlineStr">
        <is>
          <t>birth_rate_optimism</t>
        </is>
      </c>
      <c r="B27" t="inlineStr">
        <is>
          <t>Birth rate and societal optimism</t>
        </is>
      </c>
      <c r="C27" t="inlineStr">
        <is>
          <t>community</t>
        </is>
      </c>
      <c r="D27" t="inlineStr">
        <is>
          <t>Community</t>
        </is>
      </c>
      <c r="E27" t="n">
        <v>15</v>
      </c>
      <c r="F27" t="n">
        <v>4</v>
      </c>
      <c r="G27" t="inlineStr">
        <is>
          <t>positive</t>
        </is>
      </c>
      <c r="H27" t="inlineStr">
        <is>
          <t>scored</t>
        </is>
      </c>
      <c r="I27" t="inlineStr">
        <is>
          <t>core</t>
        </is>
      </c>
      <c r="J27" t="inlineStr">
        <is>
          <t>country_proxy_or_city</t>
        </is>
      </c>
      <c r="K27" t="inlineStr">
        <is>
          <t>Tier 1 city/metro &gt; Tier 3 national/international</t>
        </is>
      </c>
      <c r="L27" t="inlineStr">
        <is>
          <t>birth_rate_optimism_raw</t>
        </is>
      </c>
      <c r="M27" t="inlineStr">
        <is>
          <t>Total fertility rate or crude birth rate as proxy for societal optimism and family-friendliness.</t>
        </is>
      </c>
    </row>
  </sheetData>
  <autoFilter ref="A1:M2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36" customWidth="1" min="3" max="3"/>
    <col width="22" customWidth="1" min="4" max="4"/>
    <col width="36" customWidth="1" min="5" max="5"/>
    <col width="12" customWidth="1" min="6" max="6"/>
    <col width="17" customWidth="1" min="7" max="7"/>
    <col width="36" customWidth="1" min="8" max="8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fua_name</t>
        </is>
      </c>
      <c r="D1" s="6" t="inlineStr">
        <is>
          <t>country</t>
        </is>
      </c>
      <c r="E1" s="6" t="inlineStr">
        <is>
          <t>cohort</t>
        </is>
      </c>
      <c r="F1" s="6" t="inlineStr">
        <is>
          <t>city_type</t>
        </is>
      </c>
      <c r="G1" s="6" t="inlineStr">
        <is>
          <t>manifest_status</t>
        </is>
      </c>
      <c r="H1" s="6" t="inlineStr">
        <is>
          <t>inclusion_rationale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 Metropolitan Region</t>
        </is>
      </c>
      <c r="D2" t="inlineStr">
        <is>
          <t>Thailand</t>
        </is>
      </c>
      <c r="E2" t="inlineStr">
        <is>
          <t>Southeast Asia</t>
        </is>
      </c>
      <c r="F2" t="inlineStr">
        <is>
          <t>primary</t>
        </is>
      </c>
      <c r="G2" t="inlineStr">
        <is>
          <t>locked</t>
        </is>
      </c>
      <c r="H2" t="inlineStr">
        <is>
          <t>User anchor and regional benchmark for hospitality, economic dynamism, and affordability-pressure tradeoffs.</t>
        </is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Singapore</t>
        </is>
      </c>
      <c r="E3" t="inlineStr">
        <is>
          <t>Southeast Asia</t>
        </is>
      </c>
      <c r="F3" t="inlineStr">
        <is>
          <t>primary</t>
        </is>
      </c>
      <c r="G3" t="inlineStr">
        <is>
          <t>locked</t>
        </is>
      </c>
      <c r="H3" t="inlineStr">
        <is>
          <t>Global convenience benchmark included to test how systems quality interacts with pressure, cost, and meaning.</t>
        </is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Klang Valley</t>
        </is>
      </c>
      <c r="D4" t="inlineStr">
        <is>
          <t>Malaysia</t>
        </is>
      </c>
      <c r="E4" t="inlineStr">
        <is>
          <t>Southeast Asia</t>
        </is>
      </c>
      <c r="F4" t="inlineStr">
        <is>
          <t>primary</t>
        </is>
      </c>
      <c r="G4" t="inlineStr">
        <is>
          <t>locked</t>
        </is>
      </c>
      <c r="H4" t="inlineStr">
        <is>
          <t>User anchor and regional economic core with strong competitiveness, connectivity, and mixed affordability.</t>
        </is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Jakarta Metropolitan Area</t>
        </is>
      </c>
      <c r="D5" t="inlineStr">
        <is>
          <t>Indonesia</t>
        </is>
      </c>
      <c r="E5" t="inlineStr">
        <is>
          <t>Southeast Asia</t>
        </is>
      </c>
      <c r="F5" t="inlineStr">
        <is>
          <t>primary</t>
        </is>
      </c>
      <c r="G5" t="inlineStr">
        <is>
          <t>provisional</t>
        </is>
      </c>
      <c r="H5" t="inlineStr">
        <is>
          <t>Necessary Southeast Asian benchmark for scale, competitiveness, and infrastructure-pressure tradeoffs.</t>
        </is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Metro Manila Core Business District</t>
        </is>
      </c>
      <c r="D6" t="inlineStr">
        <is>
          <t>Philippines</t>
        </is>
      </c>
      <c r="E6" t="inlineStr">
        <is>
          <t>Southeast Asia</t>
        </is>
      </c>
      <c r="F6" t="inlineStr">
        <is>
          <t>primary</t>
        </is>
      </c>
      <c r="G6" t="inlineStr">
        <is>
          <t>provisional</t>
        </is>
      </c>
      <c r="H6" t="inlineStr">
        <is>
          <t>Metro-core Philippine test case included for business density, services, and lived-affordability stress.</t>
        </is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Penang Conurbation</t>
        </is>
      </c>
      <c r="D7" t="inlineStr">
        <is>
          <t>Malaysia</t>
        </is>
      </c>
      <c r="E7" t="inlineStr">
        <is>
          <t>Southeast Asia</t>
        </is>
      </c>
      <c r="F7" t="inlineStr">
        <is>
          <t>secondary</t>
        </is>
      </c>
      <c r="G7" t="inlineStr">
        <is>
          <t>locked</t>
        </is>
      </c>
      <c r="H7" t="inlineStr">
        <is>
          <t>User anchor for semiconductor economy, cultural texture, and secondary-city livability.</t>
        </is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Phuket Island Urban Area</t>
        </is>
      </c>
      <c r="D8" t="inlineStr">
        <is>
          <t>Thailand</t>
        </is>
      </c>
      <c r="E8" t="inlineStr">
        <is>
          <t>Southeast Asia</t>
        </is>
      </c>
      <c r="F8" t="inlineStr">
        <is>
          <t>secondary</t>
        </is>
      </c>
      <c r="G8" t="inlineStr">
        <is>
          <t>locked</t>
        </is>
      </c>
      <c r="H8" t="inlineStr">
        <is>
          <t>User anchor and tourism-livability stress test for cost, safety, and service quality.</t>
        </is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Chiang Mai Metropolitan Area</t>
        </is>
      </c>
      <c r="D9" t="inlineStr">
        <is>
          <t>Thailand</t>
        </is>
      </c>
      <c r="E9" t="inlineStr">
        <is>
          <t>Southeast Asia</t>
        </is>
      </c>
      <c r="F9" t="inlineStr">
        <is>
          <t>secondary</t>
        </is>
      </c>
      <c r="G9" t="inlineStr">
        <is>
          <t>locked</t>
        </is>
      </c>
      <c r="H9" t="inlineStr">
        <is>
          <t>User anchor for creativity, secondary-city ambition, and lifestyle viability.</t>
        </is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Greater Kuching</t>
        </is>
      </c>
      <c r="D10" t="inlineStr">
        <is>
          <t>Malaysia</t>
        </is>
      </c>
      <c r="E10" t="inlineStr">
        <is>
          <t>Southeast Asia</t>
        </is>
      </c>
      <c r="F10" t="inlineStr">
        <is>
          <t>secondary</t>
        </is>
      </c>
      <c r="G10" t="inlineStr">
        <is>
          <t>locked</t>
        </is>
      </c>
      <c r="H10" t="inlineStr">
        <is>
          <t>User anchor included as a calmer secondary-city comparator with strong everyday livability appeal.</t>
        </is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Kota Kinabalu Urban Area</t>
        </is>
      </c>
      <c r="D11" t="inlineStr">
        <is>
          <t>Malaysia</t>
        </is>
      </c>
      <c r="E11" t="inlineStr">
        <is>
          <t>Southeast Asia</t>
        </is>
      </c>
      <c r="F11" t="inlineStr">
        <is>
          <t>secondary</t>
        </is>
      </c>
      <c r="G11" t="inlineStr">
        <is>
          <t>provisional</t>
        </is>
      </c>
      <c r="H11" t="inlineStr">
        <is>
          <t>User anchor — nature tourism, safety, and affordable livability on Borneo's coast.</t>
        </is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Melaka Urban Area</t>
        </is>
      </c>
      <c r="D12" t="inlineStr">
        <is>
          <t>Malaysia</t>
        </is>
      </c>
      <c r="E12" t="inlineStr">
        <is>
          <t>Southeast Asia</t>
        </is>
      </c>
      <c r="F12" t="inlineStr">
        <is>
          <t>secondary</t>
        </is>
      </c>
      <c r="G12" t="inlineStr">
        <is>
          <t>provisional</t>
        </is>
      </c>
      <c r="H12" t="inlineStr">
        <is>
          <t>User anchor — deep cultural heritage, food scene, and underrated livability.</t>
        </is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Hat Yai-Songkhla Urban Area</t>
        </is>
      </c>
      <c r="D13" t="inlineStr">
        <is>
          <t>Thailand</t>
        </is>
      </c>
      <c r="E13" t="inlineStr">
        <is>
          <t>Southeast Asia</t>
        </is>
      </c>
      <c r="F13" t="inlineStr">
        <is>
          <t>secondary</t>
        </is>
      </c>
      <c r="G13" t="inlineStr">
        <is>
          <t>provisional</t>
        </is>
      </c>
      <c r="H13" t="inlineStr">
        <is>
          <t>Southern Thai trade and services challenger included to test regional depth beyond capital-city bias.</t>
        </is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Taipei-Keelung-Taoyuan Metropolitan Area</t>
        </is>
      </c>
      <c r="D14" t="inlineStr">
        <is>
          <t>Taiwan</t>
        </is>
      </c>
      <c r="E14" t="inlineStr">
        <is>
          <t>East Asia</t>
        </is>
      </c>
      <c r="F14" t="inlineStr">
        <is>
          <t>primary</t>
        </is>
      </c>
      <c r="G14" t="inlineStr">
        <is>
          <t>locked</t>
        </is>
      </c>
      <c r="H14" t="inlineStr">
        <is>
          <t>High-systems, high-street-life benchmark aligned with earlier SLIC discussion.</t>
        </is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Greater Busan</t>
        </is>
      </c>
      <c r="D15" t="inlineStr">
        <is>
          <t>South Korea</t>
        </is>
      </c>
      <c r="E15" t="inlineStr">
        <is>
          <t>East Asia</t>
        </is>
      </c>
      <c r="F15" t="inlineStr">
        <is>
          <t>primary</t>
        </is>
      </c>
      <c r="G15" t="inlineStr">
        <is>
          <t>locked</t>
        </is>
      </c>
      <c r="H15" t="inlineStr">
        <is>
          <t>User anchor for second-city infrastructure quality, coastal livability, and economic competence.</t>
        </is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Shanghai Metropolitan Area</t>
        </is>
      </c>
      <c r="D16" t="inlineStr">
        <is>
          <t>China</t>
        </is>
      </c>
      <c r="E16" t="inlineStr">
        <is>
          <t>East Asia</t>
        </is>
      </c>
      <c r="F16" t="inlineStr">
        <is>
          <t>primary</t>
        </is>
      </c>
      <c r="G16" t="inlineStr">
        <is>
          <t>provisional</t>
        </is>
      </c>
      <c r="H16" t="inlineStr">
        <is>
          <t>Economic gravity benchmark included to test how mega-city capability meets affordability and civic-pressure tradeoffs.</t>
        </is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Shenzhen Metropolitan Area</t>
        </is>
      </c>
      <c r="D17" t="inlineStr">
        <is>
          <t>China</t>
        </is>
      </c>
      <c r="E17" t="inlineStr">
        <is>
          <t>East Asia</t>
        </is>
      </c>
      <c r="F17" t="inlineStr">
        <is>
          <t>primary</t>
        </is>
      </c>
      <c r="G17" t="inlineStr">
        <is>
          <t>provisional</t>
        </is>
      </c>
      <c r="H17" t="inlineStr">
        <is>
          <t>Innovation and manufacturing benchmark included for productive economic strength and high-pressure urban modernity.</t>
        </is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Chengdu Metropolitan Area</t>
        </is>
      </c>
      <c r="D18" t="inlineStr">
        <is>
          <t>China</t>
        </is>
      </c>
      <c r="E18" t="inlineStr">
        <is>
          <t>East Asia</t>
        </is>
      </c>
      <c r="F18" t="inlineStr">
        <is>
          <t>primary</t>
        </is>
      </c>
      <c r="G18" t="inlineStr">
        <is>
          <t>provisional</t>
        </is>
      </c>
      <c r="H18" t="inlineStr">
        <is>
          <t>Western China lifestyle benchmark included for food culture, livability, and economic dynamism beyond coastal mega-cities.</t>
        </is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Chongqing Metropolitan Area</t>
        </is>
      </c>
      <c r="D19" t="inlineStr">
        <is>
          <t>China</t>
        </is>
      </c>
      <c r="E19" t="inlineStr">
        <is>
          <t>East Asia</t>
        </is>
      </c>
      <c r="F19" t="inlineStr">
        <is>
          <t>primary</t>
        </is>
      </c>
      <c r="G19" t="inlineStr">
        <is>
          <t>provisional</t>
        </is>
      </c>
      <c r="H19" t="inlineStr">
        <is>
          <t>Interior mega-city benchmark included for urban energy, affordability, and infrastructure ambition.</t>
        </is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Hangzhou Metropolitan Area</t>
        </is>
      </c>
      <c r="D20" t="inlineStr">
        <is>
          <t>China</t>
        </is>
      </c>
      <c r="E20" t="inlineStr">
        <is>
          <t>East Asia</t>
        </is>
      </c>
      <c r="F20" t="inlineStr">
        <is>
          <t>primary</t>
        </is>
      </c>
      <c r="G20" t="inlineStr">
        <is>
          <t>provisional</t>
        </is>
      </c>
      <c r="H20" t="inlineStr">
        <is>
          <t>Digital economy and cultural heritage benchmark included for tech-lifestyle balance and livability.</t>
        </is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Hiroshima Metropolitan Employment Area</t>
        </is>
      </c>
      <c r="D21" t="inlineStr">
        <is>
          <t>Japan</t>
        </is>
      </c>
      <c r="E21" t="inlineStr">
        <is>
          <t>East Asia</t>
        </is>
      </c>
      <c r="F21" t="inlineStr">
        <is>
          <t>primary</t>
        </is>
      </c>
      <c r="G21" t="inlineStr">
        <is>
          <t>provisional</t>
        </is>
      </c>
      <c r="H21" t="inlineStr">
        <is>
          <t>Provisional Japanese primary candidate with stronger everyday scale than megacity peers.</t>
        </is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Suwon Metropolitan Area</t>
        </is>
      </c>
      <c r="D22" t="inlineStr">
        <is>
          <t>South Korea</t>
        </is>
      </c>
      <c r="E22" t="inlineStr">
        <is>
          <t>East Asia</t>
        </is>
      </c>
      <c r="F22" t="inlineStr">
        <is>
          <t>primary</t>
        </is>
      </c>
      <c r="G22" t="inlineStr">
        <is>
          <t>provisional</t>
        </is>
      </c>
      <c r="H22" t="inlineStr">
        <is>
          <t>User anchor — strong challenger to Seoul with better livability, culture, and everyday quality.</t>
        </is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Jeju Urban Area</t>
        </is>
      </c>
      <c r="D23" t="inlineStr">
        <is>
          <t>South Korea</t>
        </is>
      </c>
      <c r="E23" t="inlineStr">
        <is>
          <t>East Asia</t>
        </is>
      </c>
      <c r="F23" t="inlineStr">
        <is>
          <t>secondary</t>
        </is>
      </c>
      <c r="G23" t="inlineStr">
        <is>
          <t>locked</t>
        </is>
      </c>
      <c r="H23" t="inlineStr">
        <is>
          <t>User anchor for lifestyle quality, hospitality, and island-scale livability.</t>
        </is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Fukuoka Metropolitan Area</t>
        </is>
      </c>
      <c r="D24" t="inlineStr">
        <is>
          <t>Japan</t>
        </is>
      </c>
      <c r="E24" t="inlineStr">
        <is>
          <t>East Asia</t>
        </is>
      </c>
      <c r="F24" t="inlineStr">
        <is>
          <t>secondary</t>
        </is>
      </c>
      <c r="G24" t="inlineStr">
        <is>
          <t>locked</t>
        </is>
      </c>
      <c r="H24" t="inlineStr">
        <is>
          <t>User anchor and strong challenger city for innovation, access, and livability balance.</t>
        </is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Kobe Metropolitan Area</t>
        </is>
      </c>
      <c r="D25" t="inlineStr">
        <is>
          <t>Japan</t>
        </is>
      </c>
      <c r="E25" t="inlineStr">
        <is>
          <t>East Asia</t>
        </is>
      </c>
      <c r="F25" t="inlineStr">
        <is>
          <t>secondary</t>
        </is>
      </c>
      <c r="G25" t="inlineStr">
        <is>
          <t>locked</t>
        </is>
      </c>
      <c r="H25" t="inlineStr">
        <is>
          <t>User anchor included as a port-city benchmark with strong urban form and quality-of-life reputation.</t>
        </is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Sapporo Metropolitan Area</t>
        </is>
      </c>
      <c r="D26" t="inlineStr">
        <is>
          <t>Japan</t>
        </is>
      </c>
      <c r="E26" t="inlineStr">
        <is>
          <t>East Asia</t>
        </is>
      </c>
      <c r="F26" t="inlineStr">
        <is>
          <t>secondary</t>
        </is>
      </c>
      <c r="G26" t="inlineStr">
        <is>
          <t>locked</t>
        </is>
      </c>
      <c r="H26" t="inlineStr">
        <is>
          <t>User anchor and climate-diversified challenger with strong everyday manageability.</t>
        </is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Tianjin Metropolitan Area</t>
        </is>
      </c>
      <c r="D27" t="inlineStr">
        <is>
          <t>China</t>
        </is>
      </c>
      <c r="E27" t="inlineStr">
        <is>
          <t>East Asia</t>
        </is>
      </c>
      <c r="F27" t="inlineStr">
        <is>
          <t>secondary</t>
        </is>
      </c>
      <c r="G27" t="inlineStr">
        <is>
          <t>provisional</t>
        </is>
      </c>
      <c r="H27" t="inlineStr">
        <is>
          <t>Secondary East Asian challenger included for industrial relevance, port-city utility, and relief from capital-city prestige bias.</t>
        </is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Bengaluru Metropolitan Area</t>
        </is>
      </c>
      <c r="D28" t="inlineStr">
        <is>
          <t>India</t>
        </is>
      </c>
      <c r="E28" t="inlineStr">
        <is>
          <t>South Asia</t>
        </is>
      </c>
      <c r="F28" t="inlineStr">
        <is>
          <t>primary</t>
        </is>
      </c>
      <c r="G28" t="inlineStr">
        <is>
          <t>locked</t>
        </is>
      </c>
      <c r="H28" t="inlineStr">
        <is>
          <t>Primary South Asian innovation benchmark included despite affordability and infrastructure pressures.</t>
        </is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Hyderabad Metropolitan Region</t>
        </is>
      </c>
      <c r="D29" t="inlineStr">
        <is>
          <t>India</t>
        </is>
      </c>
      <c r="E29" t="inlineStr">
        <is>
          <t>South Asia</t>
        </is>
      </c>
      <c r="F29" t="inlineStr">
        <is>
          <t>primary</t>
        </is>
      </c>
      <c r="G29" t="inlineStr">
        <is>
          <t>locked</t>
        </is>
      </c>
      <c r="H29" t="inlineStr">
        <is>
          <t>Paired with Bengaluru as a competitiveness and opportunity benchmark for South Asia.</t>
        </is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Chandigarh Tricity</t>
        </is>
      </c>
      <c r="D30" t="inlineStr">
        <is>
          <t>India</t>
        </is>
      </c>
      <c r="E30" t="inlineStr">
        <is>
          <t>South Asia</t>
        </is>
      </c>
      <c r="F30" t="inlineStr">
        <is>
          <t>primary</t>
        </is>
      </c>
      <c r="G30" t="inlineStr">
        <is>
          <t>provisional</t>
        </is>
      </c>
      <c r="H30" t="inlineStr">
        <is>
          <t>User anchor — cleanest and most organized Indian city with genuine livability and planning quality.</t>
        </is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Colombo Metropolitan Region</t>
        </is>
      </c>
      <c r="D31" t="inlineStr">
        <is>
          <t>Sri Lanka</t>
        </is>
      </c>
      <c r="E31" t="inlineStr">
        <is>
          <t>South Asia</t>
        </is>
      </c>
      <c r="F31" t="inlineStr">
        <is>
          <t>primary</t>
        </is>
      </c>
      <c r="G31" t="inlineStr">
        <is>
          <t>locked</t>
        </is>
      </c>
      <c r="H31" t="inlineStr">
        <is>
          <t>Regional capital-city comparator with manageable scale and stronger coastal livability potential.</t>
        </is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Dhaka Metropolitan Area</t>
        </is>
      </c>
      <c r="D32" t="inlineStr">
        <is>
          <t>Bangladesh</t>
        </is>
      </c>
      <c r="E32" t="inlineStr">
        <is>
          <t>South Asia</t>
        </is>
      </c>
      <c r="F32" t="inlineStr">
        <is>
          <t>primary</t>
        </is>
      </c>
      <c r="G32" t="inlineStr">
        <is>
          <t>provisional</t>
        </is>
      </c>
      <c r="H32" t="inlineStr">
        <is>
          <t>High-pressure megacity included provisionally as a contrast case inside the South Asian universe.</t>
        </is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Karachi Metropolitan Area</t>
        </is>
      </c>
      <c r="D33" t="inlineStr">
        <is>
          <t>Pakistan</t>
        </is>
      </c>
      <c r="E33" t="inlineStr">
        <is>
          <t>South Asia</t>
        </is>
      </c>
      <c r="F33" t="inlineStr">
        <is>
          <t>primary</t>
        </is>
      </c>
      <c r="G33" t="inlineStr">
        <is>
          <t>provisional</t>
        </is>
      </c>
      <c r="H33" t="inlineStr">
        <is>
          <t>Provisional large-metro comparator included to keep the South Asian candidate field honest and broad.</t>
        </is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Lahore Metropolitan Area</t>
        </is>
      </c>
      <c r="D34" t="inlineStr">
        <is>
          <t>Pakistan</t>
        </is>
      </c>
      <c r="E34" t="inlineStr">
        <is>
          <t>South Asia</t>
        </is>
      </c>
      <c r="F34" t="inlineStr">
        <is>
          <t>secondary</t>
        </is>
      </c>
      <c r="G34" t="inlineStr">
        <is>
          <t>locked</t>
        </is>
      </c>
      <c r="H34" t="inlineStr">
        <is>
          <t>Secondary challenger included for cultural weight and regional importance.</t>
        </is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Chattogram Metropolitan Area</t>
        </is>
      </c>
      <c r="D35" t="inlineStr">
        <is>
          <t>Bangladesh</t>
        </is>
      </c>
      <c r="E35" t="inlineStr">
        <is>
          <t>South Asia</t>
        </is>
      </c>
      <c r="F35" t="inlineStr">
        <is>
          <t>secondary</t>
        </is>
      </c>
      <c r="G35" t="inlineStr">
        <is>
          <t>locked</t>
        </is>
      </c>
      <c r="H35" t="inlineStr">
        <is>
          <t>Secondary port-city comparator for industrial relevance and everyday-scale testing.</t>
        </is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Kathmandu Valley</t>
        </is>
      </c>
      <c r="D36" t="inlineStr">
        <is>
          <t>Nepal</t>
        </is>
      </c>
      <c r="E36" t="inlineStr">
        <is>
          <t>South Asia</t>
        </is>
      </c>
      <c r="F36" t="inlineStr">
        <is>
          <t>secondary</t>
        </is>
      </c>
      <c r="G36" t="inlineStr">
        <is>
          <t>provisional</t>
        </is>
      </c>
      <c r="H36" t="inlineStr">
        <is>
          <t>Provisional cultural and tourism-weighted challenger with strong environmental tradeoffs.</t>
        </is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Thimphu Urban Area</t>
        </is>
      </c>
      <c r="D37" t="inlineStr">
        <is>
          <t>Bhutan</t>
        </is>
      </c>
      <c r="E37" t="inlineStr">
        <is>
          <t>South Asia</t>
        </is>
      </c>
      <c r="F37" t="inlineStr">
        <is>
          <t>secondary</t>
        </is>
      </c>
      <c r="G37" t="inlineStr">
        <is>
          <t>locked</t>
        </is>
      </c>
      <c r="H37" t="inlineStr">
        <is>
          <t>Smaller-scale South Asian challenger included for governance, environment, and lifestyle contrast.</t>
        </is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Male Urban Region</t>
        </is>
      </c>
      <c r="D38" t="inlineStr">
        <is>
          <t>Maldives</t>
        </is>
      </c>
      <c r="E38" t="inlineStr">
        <is>
          <t>South Asia</t>
        </is>
      </c>
      <c r="F38" t="inlineStr">
        <is>
          <t>secondary</t>
        </is>
      </c>
      <c r="G38" t="inlineStr">
        <is>
          <t>locked</t>
        </is>
      </c>
      <c r="H38" t="inlineStr">
        <is>
          <t>Island-city comparator included for service quality, compactness, and extreme spatial constraints.</t>
        </is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Paris Metropolitan Area</t>
        </is>
      </c>
      <c r="D39" t="inlineStr">
        <is>
          <t>France</t>
        </is>
      </c>
      <c r="E39" t="inlineStr">
        <is>
          <t>Western, Northern, and Southern Europe</t>
        </is>
      </c>
      <c r="F39" t="inlineStr">
        <is>
          <t>primary</t>
        </is>
      </c>
      <c r="G39" t="inlineStr">
        <is>
          <t>locked</t>
        </is>
      </c>
      <c r="H39" t="inlineStr">
        <is>
          <t>User anchor and global cultural capital included as a prestige city that SLIC can re-score through affordability and pressure.</t>
        </is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Vienna Metropolitan Area</t>
        </is>
      </c>
      <c r="D40" t="inlineStr">
        <is>
          <t>Austria</t>
        </is>
      </c>
      <c r="E40" t="inlineStr">
        <is>
          <t>Western, Northern, and Southern Europe</t>
        </is>
      </c>
      <c r="F40" t="inlineStr">
        <is>
          <t>primary</t>
        </is>
      </c>
      <c r="G40" t="inlineStr">
        <is>
          <t>locked</t>
        </is>
      </c>
      <c r="H40" t="inlineStr">
        <is>
          <t>User anchor included as a conventional benchmark that SLIC can test against pressure and creative vitality.</t>
        </is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Zurich Metropolitan Area</t>
        </is>
      </c>
      <c r="D41" t="inlineStr">
        <is>
          <t>Switzerland</t>
        </is>
      </c>
      <c r="E41" t="inlineStr">
        <is>
          <t>Western, Northern, and Southern Europe</t>
        </is>
      </c>
      <c r="F41" t="inlineStr">
        <is>
          <t>primary</t>
        </is>
      </c>
      <c r="G41" t="inlineStr">
        <is>
          <t>locked</t>
        </is>
      </c>
      <c r="H41" t="inlineStr">
        <is>
          <t>High-convenience benchmark included so SLIC can visibly penalize cost where necessary.</t>
        </is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Amsterdam Metropolitan Area</t>
        </is>
      </c>
      <c r="D42" t="inlineStr">
        <is>
          <t>Netherlands</t>
        </is>
      </c>
      <c r="E42" t="inlineStr">
        <is>
          <t>Western, Northern, and Southern Europe</t>
        </is>
      </c>
      <c r="F42" t="inlineStr">
        <is>
          <t>primary</t>
        </is>
      </c>
      <c r="G42" t="inlineStr">
        <is>
          <t>provisional</t>
        </is>
      </c>
      <c r="H42" t="inlineStr">
        <is>
          <t>Provisional benchmark for global talent pull, openness, and cost pressure.</t>
        </is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Copenhagen Metropolitan Area</t>
        </is>
      </c>
      <c r="D43" t="inlineStr">
        <is>
          <t>Denmark</t>
        </is>
      </c>
      <c r="E43" t="inlineStr">
        <is>
          <t>Western, Northern, and Southern Europe</t>
        </is>
      </c>
      <c r="F43" t="inlineStr">
        <is>
          <t>primary</t>
        </is>
      </c>
      <c r="G43" t="inlineStr">
        <is>
          <t>provisional</t>
        </is>
      </c>
      <c r="H43" t="inlineStr">
        <is>
          <t>Provisional systems-quality comparator included for mobility, governance, and cost tradeoffs.</t>
        </is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Milan Metropolitan Area</t>
        </is>
      </c>
      <c r="D44" t="inlineStr">
        <is>
          <t>Italy</t>
        </is>
      </c>
      <c r="E44" t="inlineStr">
        <is>
          <t>Western, Northern, and Southern Europe</t>
        </is>
      </c>
      <c r="F44" t="inlineStr">
        <is>
          <t>primary</t>
        </is>
      </c>
      <c r="G44" t="inlineStr">
        <is>
          <t>provisional</t>
        </is>
      </c>
      <c r="H44" t="inlineStr">
        <is>
          <t>Italian economic benchmark included for productive depth, design-industry vitality, and high-pressure affordability tradeoffs.</t>
        </is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Graz Urban Region</t>
        </is>
      </c>
      <c r="D45" t="inlineStr">
        <is>
          <t>Austria</t>
        </is>
      </c>
      <c r="E45" t="inlineStr">
        <is>
          <t>Western, Northern, and Southern Europe</t>
        </is>
      </c>
      <c r="F45" t="inlineStr">
        <is>
          <t>secondary</t>
        </is>
      </c>
      <c r="G45" t="inlineStr">
        <is>
          <t>locked</t>
        </is>
      </c>
      <c r="H45" t="inlineStr">
        <is>
          <t>User anchor and secondary Austrian challenger with lower prestige bias than Vienna.</t>
        </is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Porto Metropolitan Area</t>
        </is>
      </c>
      <c r="D46" t="inlineStr">
        <is>
          <t>Portugal</t>
        </is>
      </c>
      <c r="E46" t="inlineStr">
        <is>
          <t>Western, Northern, and Southern Europe</t>
        </is>
      </c>
      <c r="F46" t="inlineStr">
        <is>
          <t>secondary</t>
        </is>
      </c>
      <c r="G46" t="inlineStr">
        <is>
          <t>locked</t>
        </is>
      </c>
      <c r="H46" t="inlineStr">
        <is>
          <t>Secondary-city benchmark for cultural pull, walkability, and relative affordability.</t>
        </is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Braga Urban Area</t>
        </is>
      </c>
      <c r="D47" t="inlineStr">
        <is>
          <t>Portugal</t>
        </is>
      </c>
      <c r="E47" t="inlineStr">
        <is>
          <t>Western, Northern, and Southern Europe</t>
        </is>
      </c>
      <c r="F47" t="inlineStr">
        <is>
          <t>secondary</t>
        </is>
      </c>
      <c r="G47" t="inlineStr">
        <is>
          <t>locked</t>
        </is>
      </c>
      <c r="H47" t="inlineStr">
        <is>
          <t>Secondary Portuguese challenger with strong everyday livability and university-city energy.</t>
        </is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Tallinn Urban Area</t>
        </is>
      </c>
      <c r="D48" t="inlineStr">
        <is>
          <t>Estonia</t>
        </is>
      </c>
      <c r="E48" t="inlineStr">
        <is>
          <t>Western, Northern, and Southern Europe</t>
        </is>
      </c>
      <c r="F48" t="inlineStr">
        <is>
          <t>secondary</t>
        </is>
      </c>
      <c r="G48" t="inlineStr">
        <is>
          <t>locked</t>
        </is>
      </c>
      <c r="H48" t="inlineStr">
        <is>
          <t>Digitally competent northern-European challenger with manageable scale.</t>
        </is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Helsinki Metropolitan Area</t>
        </is>
      </c>
      <c r="D49" t="inlineStr">
        <is>
          <t>Finland</t>
        </is>
      </c>
      <c r="E49" t="inlineStr">
        <is>
          <t>Western, Northern, and Southern Europe</t>
        </is>
      </c>
      <c r="F49" t="inlineStr">
        <is>
          <t>secondary</t>
        </is>
      </c>
      <c r="G49" t="inlineStr">
        <is>
          <t>provisional</t>
        </is>
      </c>
      <c r="H49" t="inlineStr">
        <is>
          <t>Provisional Nordic comparator included for systems quality, climate, and cost balance.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Bologna Metropolitan Area</t>
        </is>
      </c>
      <c r="D50" t="inlineStr">
        <is>
          <t>Italy</t>
        </is>
      </c>
      <c r="E50" t="inlineStr">
        <is>
          <t>Western, Northern, and Southern Europe</t>
        </is>
      </c>
      <c r="F50" t="inlineStr">
        <is>
          <t>secondary</t>
        </is>
      </c>
      <c r="G50" t="inlineStr">
        <is>
          <t>provisional</t>
        </is>
      </c>
      <c r="H50" t="inlineStr">
        <is>
          <t>Italian secondary-city challenger included for university depth, civic texture, walkability, and manageable metropolitan scale.</t>
        </is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Moscow Metropolitan Area</t>
        </is>
      </c>
      <c r="D51" t="inlineStr">
        <is>
          <t>Russia</t>
        </is>
      </c>
      <c r="E51" t="inlineStr">
        <is>
          <t>Southern/Eastern Europe and Eurasia</t>
        </is>
      </c>
      <c r="F51" t="inlineStr">
        <is>
          <t>primary</t>
        </is>
      </c>
      <c r="G51" t="inlineStr">
        <is>
          <t>locked</t>
        </is>
      </c>
      <c r="H51" t="inlineStr">
        <is>
          <t>User anchor included for scale, culture, infrastructure depth, and Eurasian comparability.</t>
        </is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Budapest Metropolitan Area</t>
        </is>
      </c>
      <c r="D52" t="inlineStr">
        <is>
          <t>Hungary</t>
        </is>
      </c>
      <c r="E52" t="inlineStr">
        <is>
          <t>Southern/Eastern Europe and Eurasia</t>
        </is>
      </c>
      <c r="F52" t="inlineStr">
        <is>
          <t>primary</t>
        </is>
      </c>
      <c r="G52" t="inlineStr">
        <is>
          <t>locked</t>
        </is>
      </c>
      <c r="H52" t="inlineStr">
        <is>
          <t>User anchor with strong urban form, culture, and affordability relative to western peers.</t>
        </is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Krakow Metropolitan Area</t>
        </is>
      </c>
      <c r="D53" t="inlineStr">
        <is>
          <t>Poland</t>
        </is>
      </c>
      <c r="E53" t="inlineStr">
        <is>
          <t>Southern/Eastern Europe and Eurasia</t>
        </is>
      </c>
      <c r="F53" t="inlineStr">
        <is>
          <t>primary</t>
        </is>
      </c>
      <c r="G53" t="inlineStr">
        <is>
          <t>locked</t>
        </is>
      </c>
      <c r="H53" t="inlineStr">
        <is>
          <t>User anchor and strong central-European benchmark for heritage, education, and secondary-scale quality.</t>
        </is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Bucharest Metropolitan Area</t>
        </is>
      </c>
      <c r="D54" t="inlineStr">
        <is>
          <t>Romania</t>
        </is>
      </c>
      <c r="E54" t="inlineStr">
        <is>
          <t>Southern/Eastern Europe and Eurasia</t>
        </is>
      </c>
      <c r="F54" t="inlineStr">
        <is>
          <t>primary</t>
        </is>
      </c>
      <c r="G54" t="inlineStr">
        <is>
          <t>locked</t>
        </is>
      </c>
      <c r="H54" t="inlineStr">
        <is>
          <t>Regional capital included for affordability-competitiveness balance and infrastructure trajectory.</t>
        </is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Belgrade Metropolitan Area</t>
        </is>
      </c>
      <c r="D55" t="inlineStr">
        <is>
          <t>Serbia</t>
        </is>
      </c>
      <c r="E55" t="inlineStr">
        <is>
          <t>Southern/Eastern Europe and Eurasia</t>
        </is>
      </c>
      <c r="F55" t="inlineStr">
        <is>
          <t>primary</t>
        </is>
      </c>
      <c r="G55" t="inlineStr">
        <is>
          <t>locked</t>
        </is>
      </c>
      <c r="H55" t="inlineStr">
        <is>
          <t>Regional challenger included for dynamism, hospitality, and lower-cost competitiveness.</t>
        </is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Nizhny Novgorod Urban Agglomeration</t>
        </is>
      </c>
      <c r="D56" t="inlineStr">
        <is>
          <t>Russia</t>
        </is>
      </c>
      <c r="E56" t="inlineStr">
        <is>
          <t>Southern/Eastern Europe and Eurasia</t>
        </is>
      </c>
      <c r="F56" t="inlineStr">
        <is>
          <t>secondary</t>
        </is>
      </c>
      <c r="G56" t="inlineStr">
        <is>
          <t>provisional</t>
        </is>
      </c>
      <c r="H56" t="inlineStr">
        <is>
          <t>User-referenced Russian challenger included provisionally as a second-tier Eurasian comparator.</t>
        </is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Upper Silesian Metropolitan Association</t>
        </is>
      </c>
      <c r="D57" t="inlineStr">
        <is>
          <t>Poland</t>
        </is>
      </c>
      <c r="E57" t="inlineStr">
        <is>
          <t>Southern/Eastern Europe and Eurasia</t>
        </is>
      </c>
      <c r="F57" t="inlineStr">
        <is>
          <t>secondary</t>
        </is>
      </c>
      <c r="G57" t="inlineStr">
        <is>
          <t>locked</t>
        </is>
      </c>
      <c r="H57" t="inlineStr">
        <is>
          <t>User anchor included for industrial-transition competitiveness and metro-scale livability.</t>
        </is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Tricity Metropolitan Area</t>
        </is>
      </c>
      <c r="D58" t="inlineStr">
        <is>
          <t>Poland</t>
        </is>
      </c>
      <c r="E58" t="inlineStr">
        <is>
          <t>Southern/Eastern Europe and Eurasia</t>
        </is>
      </c>
      <c r="F58" t="inlineStr">
        <is>
          <t>secondary</t>
        </is>
      </c>
      <c r="G58" t="inlineStr">
        <is>
          <t>locked</t>
        </is>
      </c>
      <c r="H58" t="inlineStr">
        <is>
          <t>User anchor included for port-city vitality and Baltic urban quality.</t>
        </is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Torun Urban Area</t>
        </is>
      </c>
      <c r="D59" t="inlineStr">
        <is>
          <t>Poland</t>
        </is>
      </c>
      <c r="E59" t="inlineStr">
        <is>
          <t>Southern/Eastern Europe and Eurasia</t>
        </is>
      </c>
      <c r="F59" t="inlineStr">
        <is>
          <t>secondary</t>
        </is>
      </c>
      <c r="G59" t="inlineStr">
        <is>
          <t>provisional</t>
        </is>
      </c>
      <c r="H59" t="inlineStr">
        <is>
          <t>User-referenced university-city challenger retained provisionally for follow-up data testing.</t>
        </is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Bratislava Metropolitan Area</t>
        </is>
      </c>
      <c r="D60" t="inlineStr">
        <is>
          <t>Slovakia</t>
        </is>
      </c>
      <c r="E60" t="inlineStr">
        <is>
          <t>Southern/Eastern Europe and Eurasia</t>
        </is>
      </c>
      <c r="F60" t="inlineStr">
        <is>
          <t>secondary</t>
        </is>
      </c>
      <c r="G60" t="inlineStr">
        <is>
          <t>provisional</t>
        </is>
      </c>
      <c r="H60" t="inlineStr">
        <is>
          <t>Secondary central-European challenger included for affordability, cross-border access, and competitiveness.</t>
        </is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Chicago Metropolitan Area</t>
        </is>
      </c>
      <c r="D61" t="inlineStr">
        <is>
          <t>United States</t>
        </is>
      </c>
      <c r="E61" t="inlineStr">
        <is>
          <t>North America</t>
        </is>
      </c>
      <c r="F61" t="inlineStr">
        <is>
          <t>primary</t>
        </is>
      </c>
      <c r="G61" t="inlineStr">
        <is>
          <t>locked</t>
        </is>
      </c>
      <c r="H61" t="inlineStr">
        <is>
          <t>U.S. control city included for scale, connectivity, and relative affordability within the American field.</t>
        </is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Valley of Mexico Metropolitan Area</t>
        </is>
      </c>
      <c r="D62" t="inlineStr">
        <is>
          <t>Mexico</t>
        </is>
      </c>
      <c r="E62" t="inlineStr">
        <is>
          <t>North America</t>
        </is>
      </c>
      <c r="F62" t="inlineStr">
        <is>
          <t>primary</t>
        </is>
      </c>
      <c r="G62" t="inlineStr">
        <is>
          <t>locked</t>
        </is>
      </c>
      <c r="H62" t="inlineStr">
        <is>
          <t>North American megacity benchmark included for urban energy, culture, and affordability tension.</t>
        </is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Greater Toronto Area</t>
        </is>
      </c>
      <c r="D63" t="inlineStr">
        <is>
          <t>Canada</t>
        </is>
      </c>
      <c r="E63" t="inlineStr">
        <is>
          <t>North America</t>
        </is>
      </c>
      <c r="F63" t="inlineStr">
        <is>
          <t>primary</t>
        </is>
      </c>
      <c r="G63" t="inlineStr">
        <is>
          <t>provisional</t>
        </is>
      </c>
      <c r="H63" t="inlineStr">
        <is>
          <t>High-cost North American comparator included to test whether strong services can offset pressure.</t>
        </is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 City Metropolitan Area</t>
        </is>
      </c>
      <c r="D64" t="inlineStr">
        <is>
          <t>Panama</t>
        </is>
      </c>
      <c r="E64" t="inlineStr">
        <is>
          <t>North America</t>
        </is>
      </c>
      <c r="F64" t="inlineStr">
        <is>
          <t>primary</t>
        </is>
      </c>
      <c r="G64" t="inlineStr">
        <is>
          <t>locked</t>
        </is>
      </c>
      <c r="H64" t="inlineStr">
        <is>
          <t>Regional gateway benchmark included for connectivity, investment, and logistics-driven vitality.</t>
        </is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Greater Metropolitan Area of Costa Rica</t>
        </is>
      </c>
      <c r="D65" t="inlineStr">
        <is>
          <t>Costa Rica</t>
        </is>
      </c>
      <c r="E65" t="inlineStr">
        <is>
          <t>North America</t>
        </is>
      </c>
      <c r="F65" t="inlineStr">
        <is>
          <t>primary</t>
        </is>
      </c>
      <c r="G65" t="inlineStr">
        <is>
          <t>locked</t>
        </is>
      </c>
      <c r="H65" t="inlineStr">
        <is>
          <t>Smaller North American capital benchmark included for education, healthcare, and relative stability.</t>
        </is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Pittsburgh Metropolitan Area</t>
        </is>
      </c>
      <c r="D66" t="inlineStr">
        <is>
          <t>United States</t>
        </is>
      </c>
      <c r="E66" t="inlineStr">
        <is>
          <t>North America</t>
        </is>
      </c>
      <c r="F66" t="inlineStr">
        <is>
          <t>secondary</t>
        </is>
      </c>
      <c r="G66" t="inlineStr">
        <is>
          <t>locked</t>
        </is>
      </c>
      <c r="H66" t="inlineStr">
        <is>
          <t>Secondary U.S. challenger included for education, healthcare, and value relative to coastal hubs.</t>
        </is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Montreal Metropolitan Area</t>
        </is>
      </c>
      <c r="D67" t="inlineStr">
        <is>
          <t>Canada</t>
        </is>
      </c>
      <c r="E67" t="inlineStr">
        <is>
          <t>North America</t>
        </is>
      </c>
      <c r="F67" t="inlineStr">
        <is>
          <t>secondary</t>
        </is>
      </c>
      <c r="G67" t="inlineStr">
        <is>
          <t>locked</t>
        </is>
      </c>
      <c r="H67" t="inlineStr">
        <is>
          <t>Secondary Canadian benchmark with strong culture, transit, and urban texture.</t>
        </is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Guadalajara Metropolitan Area</t>
        </is>
      </c>
      <c r="D68" t="inlineStr">
        <is>
          <t>Mexico</t>
        </is>
      </c>
      <c r="E68" t="inlineStr">
        <is>
          <t>North America</t>
        </is>
      </c>
      <c r="F68" t="inlineStr">
        <is>
          <t>secondary</t>
        </is>
      </c>
      <c r="G68" t="inlineStr">
        <is>
          <t>locked</t>
        </is>
      </c>
      <c r="H68" t="inlineStr">
        <is>
          <t>Secondary Mexican challenger for entrepreneurship, liveability, and cost competitiveness.</t>
        </is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San Juan Metropolitan Area</t>
        </is>
      </c>
      <c r="D69" t="inlineStr">
        <is>
          <t>Puerto Rico</t>
        </is>
      </c>
      <c r="E69" t="inlineStr">
        <is>
          <t>North America</t>
        </is>
      </c>
      <c r="F69" t="inlineStr">
        <is>
          <t>secondary</t>
        </is>
      </c>
      <c r="G69" t="inlineStr">
        <is>
          <t>provisional</t>
        </is>
      </c>
      <c r="H69" t="inlineStr">
        <is>
          <t>Caribbean urban challenger included provisionally for climate, connectivity, and services testing.</t>
        </is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Merida Metropolitan Area</t>
        </is>
      </c>
      <c r="D70" t="inlineStr">
        <is>
          <t>Mexico</t>
        </is>
      </c>
      <c r="E70" t="inlineStr">
        <is>
          <t>North America</t>
        </is>
      </c>
      <c r="F70" t="inlineStr">
        <is>
          <t>secondary</t>
        </is>
      </c>
      <c r="G70" t="inlineStr">
        <is>
          <t>provisional</t>
        </is>
      </c>
      <c r="H70" t="inlineStr">
        <is>
          <t>Lower-pressure Mexican challenger included provisionally for safety and lifestyle contrast.</t>
        </is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Sao Paulo Metropolitan Area</t>
        </is>
      </c>
      <c r="D71" t="inlineStr">
        <is>
          <t>Brazil</t>
        </is>
      </c>
      <c r="E71" t="inlineStr">
        <is>
          <t>Latin America</t>
        </is>
      </c>
      <c r="F71" t="inlineStr">
        <is>
          <t>primary</t>
        </is>
      </c>
      <c r="G71" t="inlineStr">
        <is>
          <t>locked</t>
        </is>
      </c>
      <c r="H71" t="inlineStr">
        <is>
          <t>User anchor and Latin American scale benchmark for competitiveness and opportunity.</t>
        </is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Greater Buenos Aires</t>
        </is>
      </c>
      <c r="D72" t="inlineStr">
        <is>
          <t>Argentina</t>
        </is>
      </c>
      <c r="E72" t="inlineStr">
        <is>
          <t>Latin America</t>
        </is>
      </c>
      <c r="F72" t="inlineStr">
        <is>
          <t>primary</t>
        </is>
      </c>
      <c r="G72" t="inlineStr">
        <is>
          <t>locked</t>
        </is>
      </c>
      <c r="H72" t="inlineStr">
        <is>
          <t>Primary benchmark for culture, human capital, and urban texture across Latin America.</t>
        </is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Greater Santiago</t>
        </is>
      </c>
      <c r="D73" t="inlineStr">
        <is>
          <t>Chile</t>
        </is>
      </c>
      <c r="E73" t="inlineStr">
        <is>
          <t>Latin America</t>
        </is>
      </c>
      <c r="F73" t="inlineStr">
        <is>
          <t>primary</t>
        </is>
      </c>
      <c r="G73" t="inlineStr">
        <is>
          <t>locked</t>
        </is>
      </c>
      <c r="H73" t="inlineStr">
        <is>
          <t>Regional systems-quality benchmark included to compare efficiency against cost and social strain.</t>
        </is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Bogota Metropolitan Area</t>
        </is>
      </c>
      <c r="D74" t="inlineStr">
        <is>
          <t>Colombia</t>
        </is>
      </c>
      <c r="E74" t="inlineStr">
        <is>
          <t>Latin America</t>
        </is>
      </c>
      <c r="F74" t="inlineStr">
        <is>
          <t>primary</t>
        </is>
      </c>
      <c r="G74" t="inlineStr">
        <is>
          <t>locked</t>
        </is>
      </c>
      <c r="H74" t="inlineStr">
        <is>
          <t>Primary comparator for scale, transit reform, education, and competitiveness.</t>
        </is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Lima Metropolitan Area</t>
        </is>
      </c>
      <c r="D75" t="inlineStr">
        <is>
          <t>Peru</t>
        </is>
      </c>
      <c r="E75" t="inlineStr">
        <is>
          <t>Latin America</t>
        </is>
      </c>
      <c r="F75" t="inlineStr">
        <is>
          <t>primary</t>
        </is>
      </c>
      <c r="G75" t="inlineStr">
        <is>
          <t>provisional</t>
        </is>
      </c>
      <c r="H75" t="inlineStr">
        <is>
          <t>Provisional Pacific-capital comparator included for scale and coastal livability tradeoffs.</t>
        </is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Curitiba Metropolitan Area</t>
        </is>
      </c>
      <c r="D76" t="inlineStr">
        <is>
          <t>Brazil</t>
        </is>
      </c>
      <c r="E76" t="inlineStr">
        <is>
          <t>Latin America</t>
        </is>
      </c>
      <c r="F76" t="inlineStr">
        <is>
          <t>secondary</t>
        </is>
      </c>
      <c r="G76" t="inlineStr">
        <is>
          <t>locked</t>
        </is>
      </c>
      <c r="H76" t="inlineStr">
        <is>
          <t>Secondary benchmark for planning reputation, mobility, and relative affordability.</t>
        </is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Aburra Valley Metropolitan Area</t>
        </is>
      </c>
      <c r="D77" t="inlineStr">
        <is>
          <t>Colombia</t>
        </is>
      </c>
      <c r="E77" t="inlineStr">
        <is>
          <t>Latin America</t>
        </is>
      </c>
      <c r="F77" t="inlineStr">
        <is>
          <t>secondary</t>
        </is>
      </c>
      <c r="G77" t="inlineStr">
        <is>
          <t>locked</t>
        </is>
      </c>
      <c r="H77" t="inlineStr">
        <is>
          <t>Secondary challenger for entrepreneurship, hillside transit, and urban transformation.</t>
        </is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Montevideo Metropolitan Area</t>
        </is>
      </c>
      <c r="D78" t="inlineStr">
        <is>
          <t>Uruguay</t>
        </is>
      </c>
      <c r="E78" t="inlineStr">
        <is>
          <t>Latin America</t>
        </is>
      </c>
      <c r="F78" t="inlineStr">
        <is>
          <t>secondary</t>
        </is>
      </c>
      <c r="G78" t="inlineStr">
        <is>
          <t>locked</t>
        </is>
      </c>
      <c r="H78" t="inlineStr">
        <is>
          <t>Lower-pressure South American benchmark with strong civic and social indicators.</t>
        </is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Cordoba Metropolitan Area</t>
        </is>
      </c>
      <c r="D79" t="inlineStr">
        <is>
          <t>Argentina</t>
        </is>
      </c>
      <c r="E79" t="inlineStr">
        <is>
          <t>Latin America</t>
        </is>
      </c>
      <c r="F79" t="inlineStr">
        <is>
          <t>secondary</t>
        </is>
      </c>
      <c r="G79" t="inlineStr">
        <is>
          <t>provisional</t>
        </is>
      </c>
      <c r="H79" t="inlineStr">
        <is>
          <t>Secondary Argentine challenger included provisionally for education, cost, and regional depth.</t>
        </is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Greater Valparaiso</t>
        </is>
      </c>
      <c r="D80" t="inlineStr">
        <is>
          <t>Chile</t>
        </is>
      </c>
      <c r="E80" t="inlineStr">
        <is>
          <t>Latin America</t>
        </is>
      </c>
      <c r="F80" t="inlineStr">
        <is>
          <t>secondary</t>
        </is>
      </c>
      <c r="G80" t="inlineStr">
        <is>
          <t>provisional</t>
        </is>
      </c>
      <c r="H80" t="inlineStr">
        <is>
          <t>Port-city challenger included provisionally for culture and coastal public-life potential.</t>
        </is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Dubai Metropolitan Area</t>
        </is>
      </c>
      <c r="D81" t="inlineStr">
        <is>
          <t>United Arab Emirates</t>
        </is>
      </c>
      <c r="E81" t="inlineStr">
        <is>
          <t>Middle East</t>
        </is>
      </c>
      <c r="F81" t="inlineStr">
        <is>
          <t>primary</t>
        </is>
      </c>
      <c r="G81" t="inlineStr">
        <is>
          <t>locked</t>
        </is>
      </c>
      <c r="H81" t="inlineStr">
        <is>
          <t>Regional convenience and connectivity benchmark included to test cost and social texture tradeoffs.</t>
        </is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Abu Dhabi Metropolitan Area</t>
        </is>
      </c>
      <c r="D82" t="inlineStr">
        <is>
          <t>United Arab Emirates</t>
        </is>
      </c>
      <c r="E82" t="inlineStr">
        <is>
          <t>Middle East</t>
        </is>
      </c>
      <c r="F82" t="inlineStr">
        <is>
          <t>primary</t>
        </is>
      </c>
      <c r="G82" t="inlineStr">
        <is>
          <t>locked</t>
        </is>
      </c>
      <c r="H82" t="inlineStr">
        <is>
          <t>Systems-quality comparator with strong state capacity and high service competence.</t>
        </is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Doha Metropolitan Area</t>
        </is>
      </c>
      <c r="D83" t="inlineStr">
        <is>
          <t>Qatar</t>
        </is>
      </c>
      <c r="E83" t="inlineStr">
        <is>
          <t>Middle East</t>
        </is>
      </c>
      <c r="F83" t="inlineStr">
        <is>
          <t>primary</t>
        </is>
      </c>
      <c r="G83" t="inlineStr">
        <is>
          <t>locked</t>
        </is>
      </c>
      <c r="H83" t="inlineStr">
        <is>
          <t>High-capacity Gulf benchmark included for infrastructure, safety, and cost testing.</t>
        </is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Riyadh Metropolitan Area</t>
        </is>
      </c>
      <c r="D84" t="inlineStr">
        <is>
          <t>Saudi Arabia</t>
        </is>
      </c>
      <c r="E84" t="inlineStr">
        <is>
          <t>Middle East</t>
        </is>
      </c>
      <c r="F84" t="inlineStr">
        <is>
          <t>primary</t>
        </is>
      </c>
      <c r="G84" t="inlineStr">
        <is>
          <t>provisional</t>
        </is>
      </c>
      <c r="H84" t="inlineStr">
        <is>
          <t>Provisional primary comparator included for scale, investment, and administrative reform testing.</t>
        </is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Tel Aviv Metropolitan Area</t>
        </is>
      </c>
      <c r="D85" t="inlineStr">
        <is>
          <t>Israel</t>
        </is>
      </c>
      <c r="E85" t="inlineStr">
        <is>
          <t>Middle East</t>
        </is>
      </c>
      <c r="F85" t="inlineStr">
        <is>
          <t>primary</t>
        </is>
      </c>
      <c r="G85" t="inlineStr">
        <is>
          <t>provisional</t>
        </is>
      </c>
      <c r="H85" t="inlineStr">
        <is>
          <t>Provisional innovation benchmark included for startup intensity, openness, and high cost.</t>
        </is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Muscat Metropolitan Area</t>
        </is>
      </c>
      <c r="D86" t="inlineStr">
        <is>
          <t>Oman</t>
        </is>
      </c>
      <c r="E86" t="inlineStr">
        <is>
          <t>Middle East</t>
        </is>
      </c>
      <c r="F86" t="inlineStr">
        <is>
          <t>secondary</t>
        </is>
      </c>
      <c r="G86" t="inlineStr">
        <is>
          <t>locked</t>
        </is>
      </c>
      <c r="H86" t="inlineStr">
        <is>
          <t>Lower-pressure Gulf challenger with strong everyday service quality potential.</t>
        </is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Greater Manama</t>
        </is>
      </c>
      <c r="D87" t="inlineStr">
        <is>
          <t>Bahrain</t>
        </is>
      </c>
      <c r="E87" t="inlineStr">
        <is>
          <t>Middle East</t>
        </is>
      </c>
      <c r="F87" t="inlineStr">
        <is>
          <t>secondary</t>
        </is>
      </c>
      <c r="G87" t="inlineStr">
        <is>
          <t>locked</t>
        </is>
      </c>
      <c r="H87" t="inlineStr">
        <is>
          <t>Secondary Gulf comparator for openness, compactness, and service-led economy.</t>
        </is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Jeddah Metropolitan Area</t>
        </is>
      </c>
      <c r="D88" t="inlineStr">
        <is>
          <t>Saudi Arabia</t>
        </is>
      </c>
      <c r="E88" t="inlineStr">
        <is>
          <t>Middle East</t>
        </is>
      </c>
      <c r="F88" t="inlineStr">
        <is>
          <t>secondary</t>
        </is>
      </c>
      <c r="G88" t="inlineStr">
        <is>
          <t>locked</t>
        </is>
      </c>
      <c r="H88" t="inlineStr">
        <is>
          <t>Coastal Saudi challenger included for commerce, lifestyle, and second-city comparison.</t>
        </is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 Metropolitan Area</t>
        </is>
      </c>
      <c r="D89" t="inlineStr">
        <is>
          <t>Kuwait</t>
        </is>
      </c>
      <c r="E89" t="inlineStr">
        <is>
          <t>Middle East</t>
        </is>
      </c>
      <c r="F89" t="inlineStr">
        <is>
          <t>secondary</t>
        </is>
      </c>
      <c r="G89" t="inlineStr">
        <is>
          <t>locked</t>
        </is>
      </c>
      <c r="H89" t="inlineStr">
        <is>
          <t>Compact Gulf benchmark included for service quality and economic strength.</t>
        </is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Greater Amman</t>
        </is>
      </c>
      <c r="D90" t="inlineStr">
        <is>
          <t>Jordan</t>
        </is>
      </c>
      <c r="E90" t="inlineStr">
        <is>
          <t>Middle East</t>
        </is>
      </c>
      <c r="F90" t="inlineStr">
        <is>
          <t>secondary</t>
        </is>
      </c>
      <c r="G90" t="inlineStr">
        <is>
          <t>provisional</t>
        </is>
      </c>
      <c r="H90" t="inlineStr">
        <is>
          <t>Provisional Levantine challenger included for education, services, and regional resilience.</t>
        </is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Cape Town Metropolitan Area</t>
        </is>
      </c>
      <c r="D91" t="inlineStr">
        <is>
          <t>South Africa</t>
        </is>
      </c>
      <c r="E91" t="inlineStr">
        <is>
          <t>Africa</t>
        </is>
      </c>
      <c r="F91" t="inlineStr">
        <is>
          <t>primary</t>
        </is>
      </c>
      <c r="G91" t="inlineStr">
        <is>
          <t>locked</t>
        </is>
      </c>
      <c r="H91" t="inlineStr">
        <is>
          <t>African benchmark for environment, urban form, and inequality tradeoffs.</t>
        </is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Johannesburg Metropolitan Area</t>
        </is>
      </c>
      <c r="D92" t="inlineStr">
        <is>
          <t>South Africa</t>
        </is>
      </c>
      <c r="E92" t="inlineStr">
        <is>
          <t>Africa</t>
        </is>
      </c>
      <c r="F92" t="inlineStr">
        <is>
          <t>primary</t>
        </is>
      </c>
      <c r="G92" t="inlineStr">
        <is>
          <t>provisional</t>
        </is>
      </c>
      <c r="H92" t="inlineStr">
        <is>
          <t>Provisional large-metro comparator included for competitiveness and safety-pressure contrasts.</t>
        </is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Nairobi Metropolitan Area</t>
        </is>
      </c>
      <c r="D93" t="inlineStr">
        <is>
          <t>Kenya</t>
        </is>
      </c>
      <c r="E93" t="inlineStr">
        <is>
          <t>Africa</t>
        </is>
      </c>
      <c r="F93" t="inlineStr">
        <is>
          <t>primary</t>
        </is>
      </c>
      <c r="G93" t="inlineStr">
        <is>
          <t>locked</t>
        </is>
      </c>
      <c r="H93" t="inlineStr">
        <is>
          <t>Primary East African benchmark for entrepreneurship, services, and regional gravity.</t>
        </is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Kigali Urban Area</t>
        </is>
      </c>
      <c r="D94" t="inlineStr">
        <is>
          <t>Rwanda</t>
        </is>
      </c>
      <c r="E94" t="inlineStr">
        <is>
          <t>Africa</t>
        </is>
      </c>
      <c r="F94" t="inlineStr">
        <is>
          <t>primary</t>
        </is>
      </c>
      <c r="G94" t="inlineStr">
        <is>
          <t>locked</t>
        </is>
      </c>
      <c r="H94" t="inlineStr">
        <is>
          <t>Primary challenger included for cleanliness, public order, and service reliability.</t>
        </is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Casablanca Metropolitan Area</t>
        </is>
      </c>
      <c r="D95" t="inlineStr">
        <is>
          <t>Morocco</t>
        </is>
      </c>
      <c r="E95" t="inlineStr">
        <is>
          <t>Africa</t>
        </is>
      </c>
      <c r="F95" t="inlineStr">
        <is>
          <t>primary</t>
        </is>
      </c>
      <c r="G95" t="inlineStr">
        <is>
          <t>provisional</t>
        </is>
      </c>
      <c r="H95" t="inlineStr">
        <is>
          <t>Provisional north-African benchmark for scale, port economy, and urban vitality.</t>
        </is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Port Louis Urban Area</t>
        </is>
      </c>
      <c r="D96" t="inlineStr">
        <is>
          <t>Mauritius</t>
        </is>
      </c>
      <c r="E96" t="inlineStr">
        <is>
          <t>Africa</t>
        </is>
      </c>
      <c r="F96" t="inlineStr">
        <is>
          <t>secondary</t>
        </is>
      </c>
      <c r="G96" t="inlineStr">
        <is>
          <t>locked</t>
        </is>
      </c>
      <c r="H96" t="inlineStr">
        <is>
          <t>Island-city challenger included for service quality, openness, and governance stability.</t>
        </is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Greater Gaborone</t>
        </is>
      </c>
      <c r="D97" t="inlineStr">
        <is>
          <t>Botswana</t>
        </is>
      </c>
      <c r="E97" t="inlineStr">
        <is>
          <t>Africa</t>
        </is>
      </c>
      <c r="F97" t="inlineStr">
        <is>
          <t>secondary</t>
        </is>
      </c>
      <c r="G97" t="inlineStr">
        <is>
          <t>locked</t>
        </is>
      </c>
      <c r="H97" t="inlineStr">
        <is>
          <t>Lower-pressure southern-African challenger with cleaner administrative profile.</t>
        </is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Windhoek Urban Area</t>
        </is>
      </c>
      <c r="D98" t="inlineStr">
        <is>
          <t>Namibia</t>
        </is>
      </c>
      <c r="E98" t="inlineStr">
        <is>
          <t>Africa</t>
        </is>
      </c>
      <c r="F98" t="inlineStr">
        <is>
          <t>secondary</t>
        </is>
      </c>
      <c r="G98" t="inlineStr">
        <is>
          <t>locked</t>
        </is>
      </c>
      <c r="H98" t="inlineStr">
        <is>
          <t>Secondary challenger included for manageable scale and baseline service competence.</t>
        </is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Greater Accra Metropolitan Area</t>
        </is>
      </c>
      <c r="D99" t="inlineStr">
        <is>
          <t>Ghana</t>
        </is>
      </c>
      <c r="E99" t="inlineStr">
        <is>
          <t>Africa</t>
        </is>
      </c>
      <c r="F99" t="inlineStr">
        <is>
          <t>secondary</t>
        </is>
      </c>
      <c r="G99" t="inlineStr">
        <is>
          <t>locked</t>
        </is>
      </c>
      <c r="H99" t="inlineStr">
        <is>
          <t>West African benchmark for talent, services, and regional connectivity.</t>
        </is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Dakar Metropolitan Area</t>
        </is>
      </c>
      <c r="D100" t="inlineStr">
        <is>
          <t>Senegal</t>
        </is>
      </c>
      <c r="E100" t="inlineStr">
        <is>
          <t>Africa</t>
        </is>
      </c>
      <c r="F100" t="inlineStr">
        <is>
          <t>secondary</t>
        </is>
      </c>
      <c r="G100" t="inlineStr">
        <is>
          <t>provisional</t>
        </is>
      </c>
      <c r="H100" t="inlineStr">
        <is>
          <t>Provisional francophone west-African challenger with cultural and regional pull.</t>
        </is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Auckland Metropolitan Area</t>
        </is>
      </c>
      <c r="D101" t="inlineStr">
        <is>
          <t>New Zealand</t>
        </is>
      </c>
      <c r="E101" t="inlineStr">
        <is>
          <t>Oceania</t>
        </is>
      </c>
      <c r="F101" t="inlineStr">
        <is>
          <t>primary</t>
        </is>
      </c>
      <c r="G101" t="inlineStr">
        <is>
          <t>locked</t>
        </is>
      </c>
      <c r="H101" t="inlineStr">
        <is>
          <t>Primary Oceanian benchmark for human-capital quality, openness, and cost pressure.</t>
        </is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Greater Sydney</t>
        </is>
      </c>
      <c r="D102" t="inlineStr">
        <is>
          <t>Australia</t>
        </is>
      </c>
      <c r="E102" t="inlineStr">
        <is>
          <t>Oceania</t>
        </is>
      </c>
      <c r="F102" t="inlineStr">
        <is>
          <t>primary</t>
        </is>
      </c>
      <c r="G102" t="inlineStr">
        <is>
          <t>provisional</t>
        </is>
      </c>
      <c r="H102" t="inlineStr">
        <is>
          <t>Global city control included so SLIC can test whether systems quality survives extreme cost pressure.</t>
        </is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Greater Melbourne</t>
        </is>
      </c>
      <c r="D103" t="inlineStr">
        <is>
          <t>Australia</t>
        </is>
      </c>
      <c r="E103" t="inlineStr">
        <is>
          <t>Oceania</t>
        </is>
      </c>
      <c r="F103" t="inlineStr">
        <is>
          <t>primary</t>
        </is>
      </c>
      <c r="G103" t="inlineStr">
        <is>
          <t>provisional</t>
        </is>
      </c>
      <c r="H103" t="inlineStr">
        <is>
          <t>Prestige benchmark included to compare mainstream rankings against SLIC's pressure logic.</t>
        </is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Greater Brisbane</t>
        </is>
      </c>
      <c r="D104" t="inlineStr">
        <is>
          <t>Australia</t>
        </is>
      </c>
      <c r="E104" t="inlineStr">
        <is>
          <t>Oceania</t>
        </is>
      </c>
      <c r="F104" t="inlineStr">
        <is>
          <t>primary</t>
        </is>
      </c>
      <c r="G104" t="inlineStr">
        <is>
          <t>locked</t>
        </is>
      </c>
      <c r="H104" t="inlineStr">
        <is>
          <t>Primary Australian challenger with lower cost pressure than Sydney and Melbourne.</t>
        </is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Wellington Metropolitan Area</t>
        </is>
      </c>
      <c r="D105" t="inlineStr">
        <is>
          <t>New Zealand</t>
        </is>
      </c>
      <c r="E105" t="inlineStr">
        <is>
          <t>Oceania</t>
        </is>
      </c>
      <c r="F105" t="inlineStr">
        <is>
          <t>primary</t>
        </is>
      </c>
      <c r="G105" t="inlineStr">
        <is>
          <t>locked</t>
        </is>
      </c>
      <c r="H105" t="inlineStr">
        <is>
          <t>Compact capital benchmark included for services, education, and public-life quality.</t>
        </is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Greater Perth</t>
        </is>
      </c>
      <c r="D106" t="inlineStr">
        <is>
          <t>Australia</t>
        </is>
      </c>
      <c r="E106" t="inlineStr">
        <is>
          <t>Oceania</t>
        </is>
      </c>
      <c r="F106" t="inlineStr">
        <is>
          <t>secondary</t>
        </is>
      </c>
      <c r="G106" t="inlineStr">
        <is>
          <t>locked</t>
        </is>
      </c>
      <c r="H106" t="inlineStr">
        <is>
          <t>Western Australian challenger included for lifestyle, wages, and geographic isolation tradeoffs.</t>
        </is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Greater Adelaide</t>
        </is>
      </c>
      <c r="D107" t="inlineStr">
        <is>
          <t>Australia</t>
        </is>
      </c>
      <c r="E107" t="inlineStr">
        <is>
          <t>Oceania</t>
        </is>
      </c>
      <c r="F107" t="inlineStr">
        <is>
          <t>secondary</t>
        </is>
      </c>
      <c r="G107" t="inlineStr">
        <is>
          <t>locked</t>
        </is>
      </c>
      <c r="H107" t="inlineStr">
        <is>
          <t>Secondary challenger with strong everyday scale and relatively lower housing pressure.</t>
        </is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Greater Hobart</t>
        </is>
      </c>
      <c r="D108" t="inlineStr">
        <is>
          <t>Australia</t>
        </is>
      </c>
      <c r="E108" t="inlineStr">
        <is>
          <t>Oceania</t>
        </is>
      </c>
      <c r="F108" t="inlineStr">
        <is>
          <t>secondary</t>
        </is>
      </c>
      <c r="G108" t="inlineStr">
        <is>
          <t>locked</t>
        </is>
      </c>
      <c r="H108" t="inlineStr">
        <is>
          <t>Smaller-scale challenger included for lifestyle quality and public-environment strength.</t>
        </is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Christchurch Metropolitan Area</t>
        </is>
      </c>
      <c r="D109" t="inlineStr">
        <is>
          <t>New Zealand</t>
        </is>
      </c>
      <c r="E109" t="inlineStr">
        <is>
          <t>Oceania</t>
        </is>
      </c>
      <c r="F109" t="inlineStr">
        <is>
          <t>secondary</t>
        </is>
      </c>
      <c r="G109" t="inlineStr">
        <is>
          <t>provisional</t>
        </is>
      </c>
      <c r="H109" t="inlineStr">
        <is>
          <t>Provisional challenger included for rebuild-era infrastructure and lower-pressure urban living.</t>
        </is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Greater Suva</t>
        </is>
      </c>
      <c r="D110" t="inlineStr">
        <is>
          <t>Fiji</t>
        </is>
      </c>
      <c r="E110" t="inlineStr">
        <is>
          <t>Oceania</t>
        </is>
      </c>
      <c r="F110" t="inlineStr">
        <is>
          <t>secondary</t>
        </is>
      </c>
      <c r="G110" t="inlineStr">
        <is>
          <t>locked</t>
        </is>
      </c>
      <c r="H110" t="inlineStr">
        <is>
          <t>Pacific regional challenger included so Oceania is not reduced to Australia and New Zealand alone.</t>
        </is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Gerbangkertosusila</t>
        </is>
      </c>
      <c r="D111" t="inlineStr">
        <is>
          <t>Indonesia</t>
        </is>
      </c>
      <c r="E111" t="inlineStr">
        <is>
          <t>Southeast Asia</t>
        </is>
      </c>
      <c r="F111" t="inlineStr">
        <is>
          <t>secondary</t>
        </is>
      </c>
      <c r="G111" t="inlineStr">
        <is>
          <t>provisional</t>
        </is>
      </c>
      <c r="H111" t="inlineStr">
        <is>
          <t>Reserve Indonesian comparator added for a second-tier metro with realistic official-data coverage and a distinct affordability-services profile.</t>
        </is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Metro Cebu</t>
        </is>
      </c>
      <c r="D112" t="inlineStr">
        <is>
          <t>Philippines</t>
        </is>
      </c>
      <c r="E112" t="inlineStr">
        <is>
          <t>Southeast Asia</t>
        </is>
      </c>
      <c r="F112" t="inlineStr">
        <is>
          <t>secondary</t>
        </is>
      </c>
      <c r="G112" t="inlineStr">
        <is>
          <t>provisional</t>
        </is>
      </c>
      <c r="H112" t="inlineStr">
        <is>
          <t>Reserve Philippine comparator added to widen the archipelago view beyond Metro Manila and test secondary-metro resilience.</t>
        </is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Da Nang Metropolitan Area</t>
        </is>
      </c>
      <c r="D113" t="inlineStr">
        <is>
          <t>Vietnam</t>
        </is>
      </c>
      <c r="E113" t="inlineStr">
        <is>
          <t>Southeast Asia</t>
        </is>
      </c>
      <c r="F113" t="inlineStr">
        <is>
          <t>secondary</t>
        </is>
      </c>
      <c r="G113" t="inlineStr">
        <is>
          <t>provisional</t>
        </is>
      </c>
      <c r="H113" t="inlineStr">
        <is>
          <t>Reserve Vietnamese coastal comparator added for transport, public-space, and tourism-pressure benchmarking.</t>
        </is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Phnom Penh Capital Region</t>
        </is>
      </c>
      <c r="D114" t="inlineStr">
        <is>
          <t>Cambodia</t>
        </is>
      </c>
      <c r="E114" t="inlineStr">
        <is>
          <t>Southeast Asia</t>
        </is>
      </c>
      <c r="F114" t="inlineStr">
        <is>
          <t>primary</t>
        </is>
      </c>
      <c r="G114" t="inlineStr">
        <is>
          <t>provisional</t>
        </is>
      </c>
      <c r="H114" t="inlineStr">
        <is>
          <t>Reserve capital comparator added to deepen mainland Southeast Asia coverage where official sources remain feasible.</t>
        </is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Taichung Metropolitan Area</t>
        </is>
      </c>
      <c r="D115" t="inlineStr">
        <is>
          <t>Taiwan</t>
        </is>
      </c>
      <c r="E115" t="inlineStr">
        <is>
          <t>East Asia</t>
        </is>
      </c>
      <c r="F115" t="inlineStr">
        <is>
          <t>primary</t>
        </is>
      </c>
      <c r="G115" t="inlineStr">
        <is>
          <t>provisional</t>
        </is>
      </c>
      <c r="H115" t="inlineStr">
        <is>
          <t>Reserve Taiwanese metro added for a lower-pressure manufacturing and services counterpoint to Taipei.</t>
        </is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Kaohsiung Metropolitan Area</t>
        </is>
      </c>
      <c r="D116" t="inlineStr">
        <is>
          <t>Taiwan</t>
        </is>
      </c>
      <c r="E116" t="inlineStr">
        <is>
          <t>East Asia</t>
        </is>
      </c>
      <c r="F116" t="inlineStr">
        <is>
          <t>primary</t>
        </is>
      </c>
      <c r="G116" t="inlineStr">
        <is>
          <t>locked</t>
        </is>
      </c>
      <c r="H116" t="inlineStr">
        <is>
          <t>User anchor — amazing in every way: port city with culture, food, climate, and livability.</t>
        </is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Incheon Metropolitan City</t>
        </is>
      </c>
      <c r="D117" t="inlineStr">
        <is>
          <t>South Korea</t>
        </is>
      </c>
      <c r="E117" t="inlineStr">
        <is>
          <t>East Asia</t>
        </is>
      </c>
      <c r="F117" t="inlineStr">
        <is>
          <t>primary</t>
        </is>
      </c>
      <c r="G117" t="inlineStr">
        <is>
          <t>provisional</t>
        </is>
      </c>
      <c r="H117" t="inlineStr">
        <is>
          <t>Reserve Korean metro added for airport-led connectivity and a distinct daily-livability profile outside Seoul's core gravity.</t>
        </is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Guangzhou-Foshan Metropolitan Area</t>
        </is>
      </c>
      <c r="D118" t="inlineStr">
        <is>
          <t>China</t>
        </is>
      </c>
      <c r="E118" t="inlineStr">
        <is>
          <t>East Asia</t>
        </is>
      </c>
      <c r="F118" t="inlineStr">
        <is>
          <t>primary</t>
        </is>
      </c>
      <c r="G118" t="inlineStr">
        <is>
          <t>provisional</t>
        </is>
      </c>
      <c r="H118" t="inlineStr">
        <is>
          <t>Reserve Pearl River comparator added for manufacturing scale, trade, and high-capacity urban services.</t>
        </is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Pune Metropolitan Region</t>
        </is>
      </c>
      <c r="D119" t="inlineStr">
        <is>
          <t>India</t>
        </is>
      </c>
      <c r="E119" t="inlineStr">
        <is>
          <t>South Asia</t>
        </is>
      </c>
      <c r="F119" t="inlineStr">
        <is>
          <t>primary</t>
        </is>
      </c>
      <c r="G119" t="inlineStr">
        <is>
          <t>provisional</t>
        </is>
      </c>
      <c r="H119" t="inlineStr">
        <is>
          <t>Reserve Indian metro added for higher-skill employment, education depth, and lower-pressure contrast with larger Indian cores.</t>
        </is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Islamabad-Rawalpindi Metropolitan Area</t>
        </is>
      </c>
      <c r="D120" t="inlineStr">
        <is>
          <t>Pakistan</t>
        </is>
      </c>
      <c r="E120" t="inlineStr">
        <is>
          <t>South Asia</t>
        </is>
      </c>
      <c r="F120" t="inlineStr">
        <is>
          <t>primary</t>
        </is>
      </c>
      <c r="G120" t="inlineStr">
        <is>
          <t>provisional</t>
        </is>
      </c>
      <c r="H120" t="inlineStr">
        <is>
          <t>Reserve Pakistani capital comparator added for a more administrative and planned urban profile than Karachi or Lahore.</t>
        </is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Greater Kandy</t>
        </is>
      </c>
      <c r="D121" t="inlineStr">
        <is>
          <t>Sri Lanka</t>
        </is>
      </c>
      <c r="E121" t="inlineStr">
        <is>
          <t>South Asia</t>
        </is>
      </c>
      <c r="F121" t="inlineStr">
        <is>
          <t>secondary</t>
        </is>
      </c>
      <c r="G121" t="inlineStr">
        <is>
          <t>provisional</t>
        </is>
      </c>
      <c r="H121" t="inlineStr">
        <is>
          <t>Reserve Sri Lankan inland challenger added for cultural depth and a smaller-scale urban services comparison.</t>
        </is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Pokhara Valley</t>
        </is>
      </c>
      <c r="D122" t="inlineStr">
        <is>
          <t>Nepal</t>
        </is>
      </c>
      <c r="E122" t="inlineStr">
        <is>
          <t>South Asia</t>
        </is>
      </c>
      <c r="F122" t="inlineStr">
        <is>
          <t>secondary</t>
        </is>
      </c>
      <c r="G122" t="inlineStr">
        <is>
          <t>provisional</t>
        </is>
      </c>
      <c r="H122" t="inlineStr">
        <is>
          <t>Reserve Nepali challenger added for tourism, environmental pressure, and smaller-city everyday-livability comparison.</t>
        </is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Brno Metropolitan Area</t>
        </is>
      </c>
      <c r="D123" t="inlineStr">
        <is>
          <t>Czechia</t>
        </is>
      </c>
      <c r="E123" t="inlineStr">
        <is>
          <t>Southern/Eastern Europe and Eurasia</t>
        </is>
      </c>
      <c r="F123" t="inlineStr">
        <is>
          <t>secondary</t>
        </is>
      </c>
      <c r="G123" t="inlineStr">
        <is>
          <t>provisional</t>
        </is>
      </c>
      <c r="H123" t="inlineStr">
        <is>
          <t>Reserve Central European university-city comparator added for innovation depth outside capital-city dominance.</t>
        </is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Ljubljana Urban Region</t>
        </is>
      </c>
      <c r="D124" t="inlineStr">
        <is>
          <t>Slovenia</t>
        </is>
      </c>
      <c r="E124" t="inlineStr">
        <is>
          <t>Southern/Eastern Europe and Eurasia</t>
        </is>
      </c>
      <c r="F124" t="inlineStr">
        <is>
          <t>primary</t>
        </is>
      </c>
      <c r="G124" t="inlineStr">
        <is>
          <t>provisional</t>
        </is>
      </c>
      <c r="H124" t="inlineStr">
        <is>
          <t>Reserve small-capital comparator added for transit, human-scale urbanism, and strong administrative legibility.</t>
        </is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Zagreb Metropolitan Area</t>
        </is>
      </c>
      <c r="D125" t="inlineStr">
        <is>
          <t>Croatia</t>
        </is>
      </c>
      <c r="E125" t="inlineStr">
        <is>
          <t>Southern/Eastern Europe and Eurasia</t>
        </is>
      </c>
      <c r="F125" t="inlineStr">
        <is>
          <t>primary</t>
        </is>
      </c>
      <c r="G125" t="inlineStr">
        <is>
          <t>provisional</t>
        </is>
      </c>
      <c r="H125" t="inlineStr">
        <is>
          <t>Reserve Balkan capital comparator added for services, education, and regional gateway analysis.</t>
        </is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Vilnius Metropolitan Area</t>
        </is>
      </c>
      <c r="D126" t="inlineStr">
        <is>
          <t>Lithuania</t>
        </is>
      </c>
      <c r="E126" t="inlineStr">
        <is>
          <t>Southern/Eastern Europe and Eurasia</t>
        </is>
      </c>
      <c r="F126" t="inlineStr">
        <is>
          <t>primary</t>
        </is>
      </c>
      <c r="G126" t="inlineStr">
        <is>
          <t>provisional</t>
        </is>
      </c>
      <c r="H126" t="inlineStr">
        <is>
          <t>Reserve Baltic capital comparator added for digital administration and smaller-market European competitiveness.</t>
        </is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Riga Metropolitan Area</t>
        </is>
      </c>
      <c r="D127" t="inlineStr">
        <is>
          <t>Latvia</t>
        </is>
      </c>
      <c r="E127" t="inlineStr">
        <is>
          <t>Southern/Eastern Europe and Eurasia</t>
        </is>
      </c>
      <c r="F127" t="inlineStr">
        <is>
          <t>primary</t>
        </is>
      </c>
      <c r="G127" t="inlineStr">
        <is>
          <t>provisional</t>
        </is>
      </c>
      <c r="H127" t="inlineStr">
        <is>
          <t>Reserve Baltic port-capital comparator added for logistics, housing pressure, and public-services benchmarking.</t>
        </is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Tbilisi Metropolitan Area</t>
        </is>
      </c>
      <c r="D128" t="inlineStr">
        <is>
          <t>Georgia</t>
        </is>
      </c>
      <c r="E128" t="inlineStr">
        <is>
          <t>Southern/Eastern Europe and Eurasia</t>
        </is>
      </c>
      <c r="F128" t="inlineStr">
        <is>
          <t>primary</t>
        </is>
      </c>
      <c r="G128" t="inlineStr">
        <is>
          <t>provisional</t>
        </is>
      </c>
      <c r="H128" t="inlineStr">
        <is>
          <t>Reserve Caucasus capital comparator added for Eurasian crossover, reform visibility, and rapid-change testing.</t>
        </is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Lyon Metropolitan Area</t>
        </is>
      </c>
      <c r="D129" t="inlineStr">
        <is>
          <t>France</t>
        </is>
      </c>
      <c r="E129" t="inlineStr">
        <is>
          <t>Western, Northern, and Southern Europe</t>
        </is>
      </c>
      <c r="F129" t="inlineStr">
        <is>
          <t>primary</t>
        </is>
      </c>
      <c r="G129" t="inlineStr">
        <is>
          <t>provisional</t>
        </is>
      </c>
      <c r="H129" t="inlineStr">
        <is>
          <t>Reserve French metro added for a strong non-capital benchmark with credible official data and major service depth.</t>
        </is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Valencia Metropolitan Area</t>
        </is>
      </c>
      <c r="D130" t="inlineStr">
        <is>
          <t>Spain</t>
        </is>
      </c>
      <c r="E130" t="inlineStr">
        <is>
          <t>Western, Northern, and Southern Europe</t>
        </is>
      </c>
      <c r="F130" t="inlineStr">
        <is>
          <t>primary</t>
        </is>
      </c>
      <c r="G130" t="inlineStr">
        <is>
          <t>provisional</t>
        </is>
      </c>
      <c r="H130" t="inlineStr">
        <is>
          <t>Reserve Mediterranean comparator added for climate, public life, and port-city livability tradeoffs.</t>
        </is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Munich Metropolitan Region</t>
        </is>
      </c>
      <c r="D131" t="inlineStr">
        <is>
          <t>Germany</t>
        </is>
      </c>
      <c r="E131" t="inlineStr">
        <is>
          <t>Western, Northern, and Southern Europe</t>
        </is>
      </c>
      <c r="F131" t="inlineStr">
        <is>
          <t>primary</t>
        </is>
      </c>
      <c r="G131" t="inlineStr">
        <is>
          <t>provisional</t>
        </is>
      </c>
      <c r="H131" t="inlineStr">
        <is>
          <t>Reserve German comparator added for high-productivity urban life with strong official and subnational data coverage.</t>
        </is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Antwerp Metropolitan Area</t>
        </is>
      </c>
      <c r="D132" t="inlineStr">
        <is>
          <t>Belgium</t>
        </is>
      </c>
      <c r="E132" t="inlineStr">
        <is>
          <t>Western, Northern, and Southern Europe</t>
        </is>
      </c>
      <c r="F132" t="inlineStr">
        <is>
          <t>secondary</t>
        </is>
      </c>
      <c r="G132" t="inlineStr">
        <is>
          <t>provisional</t>
        </is>
      </c>
      <c r="H132" t="inlineStr">
        <is>
          <t>Reserve Benelux port-city comparator added for logistics, affordability, and cultural-public-life benchmarking.</t>
        </is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Cork Metropolitan Area</t>
        </is>
      </c>
      <c r="D133" t="inlineStr">
        <is>
          <t>Ireland</t>
        </is>
      </c>
      <c r="E133" t="inlineStr">
        <is>
          <t>Western, Northern, and Southern Europe</t>
        </is>
      </c>
      <c r="F133" t="inlineStr">
        <is>
          <t>secondary</t>
        </is>
      </c>
      <c r="G133" t="inlineStr">
        <is>
          <t>provisional</t>
        </is>
      </c>
      <c r="H133" t="inlineStr">
        <is>
          <t>Reserve Irish second-city comparator added for scale discipline and innovation-driven regional growth analysis.</t>
        </is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Gothenburg Metropolitan Area</t>
        </is>
      </c>
      <c r="D134" t="inlineStr">
        <is>
          <t>Sweden</t>
        </is>
      </c>
      <c r="E134" t="inlineStr">
        <is>
          <t>Western, Northern, and Southern Europe</t>
        </is>
      </c>
      <c r="F134" t="inlineStr">
        <is>
          <t>primary</t>
        </is>
      </c>
      <c r="G134" t="inlineStr">
        <is>
          <t>provisional</t>
        </is>
      </c>
      <c r="H134" t="inlineStr">
        <is>
          <t>Reserve Nordic port-metro added for strong welfare systems, housing pressure, and export-economy comparison.</t>
        </is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Bergen Metropolitan Area</t>
        </is>
      </c>
      <c r="D135" t="inlineStr">
        <is>
          <t>Norway</t>
        </is>
      </c>
      <c r="E135" t="inlineStr">
        <is>
          <t>Western, Northern, and Southern Europe</t>
        </is>
      </c>
      <c r="F135" t="inlineStr">
        <is>
          <t>secondary</t>
        </is>
      </c>
      <c r="G135" t="inlineStr">
        <is>
          <t>provisional</t>
        </is>
      </c>
      <c r="H135" t="inlineStr">
        <is>
          <t>Reserve Norwegian challenger added for climate, public-services strength, and smaller-scale urban experience.</t>
        </is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Brainport Eindhoven</t>
        </is>
      </c>
      <c r="D136" t="inlineStr">
        <is>
          <t>Netherlands</t>
        </is>
      </c>
      <c r="E136" t="inlineStr">
        <is>
          <t>Western, Northern, and Southern Europe</t>
        </is>
      </c>
      <c r="F136" t="inlineStr">
        <is>
          <t>secondary</t>
        </is>
      </c>
      <c r="G136" t="inlineStr">
        <is>
          <t>provisional</t>
        </is>
      </c>
      <c r="H136" t="inlineStr">
        <is>
          <t>Reserve Dutch innovation-city comparator added for research intensity and productive specialization outside Amsterdam.</t>
        </is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Metro Vancouver</t>
        </is>
      </c>
      <c r="D137" t="inlineStr">
        <is>
          <t>Canada</t>
        </is>
      </c>
      <c r="E137" t="inlineStr">
        <is>
          <t>North America</t>
        </is>
      </c>
      <c r="F137" t="inlineStr">
        <is>
          <t>primary</t>
        </is>
      </c>
      <c r="G137" t="inlineStr">
        <is>
          <t>provisional</t>
        </is>
      </c>
      <c r="H137" t="inlineStr">
        <is>
          <t>Reserve Canadian Pacific comparator added for high-amenity urban life tested against acute housing pressure.</t>
        </is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Ottawa-Gatineau</t>
        </is>
      </c>
      <c r="D138" t="inlineStr">
        <is>
          <t>Canada</t>
        </is>
      </c>
      <c r="E138" t="inlineStr">
        <is>
          <t>North America</t>
        </is>
      </c>
      <c r="F138" t="inlineStr">
        <is>
          <t>primary</t>
        </is>
      </c>
      <c r="G138" t="inlineStr">
        <is>
          <t>provisional</t>
        </is>
      </c>
      <c r="H138" t="inlineStr">
        <is>
          <t>Reserve Canadian capital comparator added for public-sector stability and bilingual institutional depth.</t>
        </is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Twin Cities</t>
        </is>
      </c>
      <c r="D139" t="inlineStr">
        <is>
          <t>United States</t>
        </is>
      </c>
      <c r="E139" t="inlineStr">
        <is>
          <t>North America</t>
        </is>
      </c>
      <c r="F139" t="inlineStr">
        <is>
          <t>primary</t>
        </is>
      </c>
      <c r="G139" t="inlineStr">
        <is>
          <t>provisional</t>
        </is>
      </c>
      <c r="H139" t="inlineStr">
        <is>
          <t>Reserve U.S. upper-midwest comparator added for strong services, education, and moderate-scale urban benchmarking.</t>
        </is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Research Triangle</t>
        </is>
      </c>
      <c r="D140" t="inlineStr">
        <is>
          <t>United States</t>
        </is>
      </c>
      <c r="E140" t="inlineStr">
        <is>
          <t>North America</t>
        </is>
      </c>
      <c r="F140" t="inlineStr">
        <is>
          <t>secondary</t>
        </is>
      </c>
      <c r="G140" t="inlineStr">
        <is>
          <t>provisional</t>
        </is>
      </c>
      <c r="H140" t="inlineStr">
        <is>
          <t>Reserve U.S. research-region comparator added for innovation, education, and fast-growth governance testing.</t>
        </is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Greater Santo Domingo</t>
        </is>
      </c>
      <c r="D141" t="inlineStr">
        <is>
          <t>Dominican Republic</t>
        </is>
      </c>
      <c r="E141" t="inlineStr">
        <is>
          <t>North America</t>
        </is>
      </c>
      <c r="F141" t="inlineStr">
        <is>
          <t>primary</t>
        </is>
      </c>
      <c r="G141" t="inlineStr">
        <is>
          <t>provisional</t>
        </is>
      </c>
      <c r="H141" t="inlineStr">
        <is>
          <t>Reserve Caribbean capital comparator added for climate, tourism, and metropolitan services benchmarking.</t>
        </is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Greater Florianopolis</t>
        </is>
      </c>
      <c r="D142" t="inlineStr">
        <is>
          <t>Brazil</t>
        </is>
      </c>
      <c r="E142" t="inlineStr">
        <is>
          <t>Latin America</t>
        </is>
      </c>
      <c r="F142" t="inlineStr">
        <is>
          <t>secondary</t>
        </is>
      </c>
      <c r="G142" t="inlineStr">
        <is>
          <t>provisional</t>
        </is>
      </c>
      <c r="H142" t="inlineStr">
        <is>
          <t>Reserve Brazilian coastal challenger added for innovation, safety tradeoffs, and quality-of-life comparison.</t>
        </is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Arequipa Metropolitan Area</t>
        </is>
      </c>
      <c r="D143" t="inlineStr">
        <is>
          <t>Peru</t>
        </is>
      </c>
      <c r="E143" t="inlineStr">
        <is>
          <t>Latin America</t>
        </is>
      </c>
      <c r="F143" t="inlineStr">
        <is>
          <t>secondary</t>
        </is>
      </c>
      <c r="G143" t="inlineStr">
        <is>
          <t>provisional</t>
        </is>
      </c>
      <c r="H143" t="inlineStr">
        <is>
          <t>Reserve Peruvian second-city comparator added for altitude, affordability, and regional depth outside Lima.</t>
        </is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Cuenca Metropolitan Area</t>
        </is>
      </c>
      <c r="D144" t="inlineStr">
        <is>
          <t>Ecuador</t>
        </is>
      </c>
      <c r="E144" t="inlineStr">
        <is>
          <t>Latin America</t>
        </is>
      </c>
      <c r="F144" t="inlineStr">
        <is>
          <t>secondary</t>
        </is>
      </c>
      <c r="G144" t="inlineStr">
        <is>
          <t>provisional</t>
        </is>
      </c>
      <c r="H144" t="inlineStr">
        <is>
          <t>Reserve Andean challenger added for lower-pressure city form, heritage, and retiree-inflow effects.</t>
        </is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Greater Asuncion</t>
        </is>
      </c>
      <c r="D145" t="inlineStr">
        <is>
          <t>Paraguay</t>
        </is>
      </c>
      <c r="E145" t="inlineStr">
        <is>
          <t>Latin America</t>
        </is>
      </c>
      <c r="F145" t="inlineStr">
        <is>
          <t>primary</t>
        </is>
      </c>
      <c r="G145" t="inlineStr">
        <is>
          <t>provisional</t>
        </is>
      </c>
      <c r="H145" t="inlineStr">
        <is>
          <t>Reserve inland capital comparator added for under-covered Southern Cone urban economics and governance.</t>
        </is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Haifa Metropolitan Area</t>
        </is>
      </c>
      <c r="D146" t="inlineStr">
        <is>
          <t>Israel</t>
        </is>
      </c>
      <c r="E146" t="inlineStr">
        <is>
          <t>Middle East</t>
        </is>
      </c>
      <c r="F146" t="inlineStr">
        <is>
          <t>secondary</t>
        </is>
      </c>
      <c r="G146" t="inlineStr">
        <is>
          <t>provisional</t>
        </is>
      </c>
      <c r="H146" t="inlineStr">
        <is>
          <t>Reserve Israeli port-city comparator added for industrial depth, coexistence testing, and hillside urban form.</t>
        </is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Salalah Metropolitan Area</t>
        </is>
      </c>
      <c r="D147" t="inlineStr">
        <is>
          <t>Oman</t>
        </is>
      </c>
      <c r="E147" t="inlineStr">
        <is>
          <t>Middle East</t>
        </is>
      </c>
      <c r="F147" t="inlineStr">
        <is>
          <t>secondary</t>
        </is>
      </c>
      <c r="G147" t="inlineStr">
        <is>
          <t>provisional</t>
        </is>
      </c>
      <c r="H147" t="inlineStr">
        <is>
          <t>Reserve Omani secondary-city comparator added for climate seasonality and lower-pressure Gulf urban living.</t>
        </is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Greater Aqaba</t>
        </is>
      </c>
      <c r="D148" t="inlineStr">
        <is>
          <t>Jordan</t>
        </is>
      </c>
      <c r="E148" t="inlineStr">
        <is>
          <t>Middle East</t>
        </is>
      </c>
      <c r="F148" t="inlineStr">
        <is>
          <t>secondary</t>
        </is>
      </c>
      <c r="G148" t="inlineStr">
        <is>
          <t>provisional</t>
        </is>
      </c>
      <c r="H148" t="inlineStr">
        <is>
          <t>Reserve Red Sea gateway comparator added for logistics, tourism, and smaller-scale Middle East benchmarking.</t>
        </is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Dammam Metropolitan Area</t>
        </is>
      </c>
      <c r="D149" t="inlineStr">
        <is>
          <t>Saudi Arabia</t>
        </is>
      </c>
      <c r="E149" t="inlineStr">
        <is>
          <t>Middle East</t>
        </is>
      </c>
      <c r="F149" t="inlineStr">
        <is>
          <t>secondary</t>
        </is>
      </c>
      <c r="G149" t="inlineStr">
        <is>
          <t>provisional</t>
        </is>
      </c>
      <c r="H149" t="inlineStr">
        <is>
          <t>Reserve Gulf comparator added for private-sector employment, oil-economy transition, and cross-border business context.</t>
        </is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Rabat-Sale Metropolitan Area</t>
        </is>
      </c>
      <c r="D150" t="inlineStr">
        <is>
          <t>Morocco</t>
        </is>
      </c>
      <c r="E150" t="inlineStr">
        <is>
          <t>Africa</t>
        </is>
      </c>
      <c r="F150" t="inlineStr">
        <is>
          <t>primary</t>
        </is>
      </c>
      <c r="G150" t="inlineStr">
        <is>
          <t>provisional</t>
        </is>
      </c>
      <c r="H150" t="inlineStr">
        <is>
          <t>Reserve North African capital comparator added for administrative competence and Atlantic urban quality comparisons.</t>
        </is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Alexandria Metropolitan Area</t>
        </is>
      </c>
      <c r="D151" t="inlineStr">
        <is>
          <t>Egypt</t>
        </is>
      </c>
      <c r="E151" t="inlineStr">
        <is>
          <t>Africa</t>
        </is>
      </c>
      <c r="F151" t="inlineStr">
        <is>
          <t>primary</t>
        </is>
      </c>
      <c r="G151" t="inlineStr">
        <is>
          <t>provisional</t>
        </is>
      </c>
      <c r="H151" t="inlineStr">
        <is>
          <t>Reserve Mediterranean African comparator added for port-city history, density, and climate-exposure tradeoffs.</t>
        </is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Dar es Salaam Metropolitan Area</t>
        </is>
      </c>
      <c r="D152" t="inlineStr">
        <is>
          <t>Tanzania</t>
        </is>
      </c>
      <c r="E152" t="inlineStr">
        <is>
          <t>Africa</t>
        </is>
      </c>
      <c r="F152" t="inlineStr">
        <is>
          <t>primary</t>
        </is>
      </c>
      <c r="G152" t="inlineStr">
        <is>
          <t>provisional</t>
        </is>
      </c>
      <c r="H152" t="inlineStr">
        <is>
          <t>Reserve East African metro added for growth pressure, transport, and coastal services comparison.</t>
        </is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Kampala Metropolitan Area</t>
        </is>
      </c>
      <c r="D153" t="inlineStr">
        <is>
          <t>Uganda</t>
        </is>
      </c>
      <c r="E153" t="inlineStr">
        <is>
          <t>Africa</t>
        </is>
      </c>
      <c r="F153" t="inlineStr">
        <is>
          <t>primary</t>
        </is>
      </c>
      <c r="G153" t="inlineStr">
        <is>
          <t>provisional</t>
        </is>
      </c>
      <c r="H153" t="inlineStr">
        <is>
          <t>Reserve Great Lakes capital comparator added for regional services, affordability pressure, and urban governance testing.</t>
        </is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Greater Kumasi</t>
        </is>
      </c>
      <c r="D154" t="inlineStr">
        <is>
          <t>Ghana</t>
        </is>
      </c>
      <c r="E154" t="inlineStr">
        <is>
          <t>Africa</t>
        </is>
      </c>
      <c r="F154" t="inlineStr">
        <is>
          <t>secondary</t>
        </is>
      </c>
      <c r="G154" t="inlineStr">
        <is>
          <t>provisional</t>
        </is>
      </c>
      <c r="H154" t="inlineStr">
        <is>
          <t>Reserve Ghanaian secondary-city comparator added for inland services, education depth, and lower-cost urban life.</t>
        </is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Greater Dunedin</t>
        </is>
      </c>
      <c r="D155" t="inlineStr">
        <is>
          <t>New Zealand</t>
        </is>
      </c>
      <c r="E155" t="inlineStr">
        <is>
          <t>Oceania</t>
        </is>
      </c>
      <c r="F155" t="inlineStr">
        <is>
          <t>secondary</t>
        </is>
      </c>
      <c r="G155" t="inlineStr">
        <is>
          <t>provisional</t>
        </is>
      </c>
      <c r="H155" t="inlineStr">
        <is>
          <t>Reserve New Zealand challenger added for smaller-scale education-led urban life and colder-climate comparison.</t>
        </is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Port Moresby Metropolitan Area</t>
        </is>
      </c>
      <c r="D156" t="inlineStr">
        <is>
          <t>Papua New Guinea</t>
        </is>
      </c>
      <c r="E156" t="inlineStr">
        <is>
          <t>Oceania</t>
        </is>
      </c>
      <c r="F156" t="inlineStr">
        <is>
          <t>primary</t>
        </is>
      </c>
      <c r="G156" t="inlineStr">
        <is>
          <t>provisional</t>
        </is>
      </c>
      <c r="H156" t="inlineStr">
        <is>
          <t>Reserve Melanesian capital comparator added so the Pacific reserve pool is not reduced to microstates and high-income systems.</t>
        </is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Greater Apia</t>
        </is>
      </c>
      <c r="D157" t="inlineStr">
        <is>
          <t>Samoa</t>
        </is>
      </c>
      <c r="E157" t="inlineStr">
        <is>
          <t>Oceania</t>
        </is>
      </c>
      <c r="F157" t="inlineStr">
        <is>
          <t>primary</t>
        </is>
      </c>
      <c r="G157" t="inlineStr">
        <is>
          <t>provisional</t>
        </is>
      </c>
      <c r="H157" t="inlineStr">
        <is>
          <t>Reserve Polynesian capital comparator added for small-island services, climate resilience, and Pacific governance depth.</t>
        </is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Greater Port Vila</t>
        </is>
      </c>
      <c r="D158" t="inlineStr">
        <is>
          <t>Vanuatu</t>
        </is>
      </c>
      <c r="E158" t="inlineStr">
        <is>
          <t>Oceania</t>
        </is>
      </c>
      <c r="F158" t="inlineStr">
        <is>
          <t>primary</t>
        </is>
      </c>
      <c r="G158" t="inlineStr">
        <is>
          <t>provisional</t>
        </is>
      </c>
      <c r="H158" t="inlineStr">
        <is>
          <t>Reserve Pacific capital comparator added for tourism, climate exposure, and utility-reliability benchmarking.</t>
        </is>
      </c>
    </row>
  </sheetData>
  <autoFilter ref="A1:H15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18" customWidth="1" min="4" max="4"/>
    <col width="25" customWidth="1" min="5" max="5"/>
    <col width="21" customWidth="1" min="6" max="6"/>
    <col width="22" customWidth="1" min="7" max="7"/>
    <col width="12" customWidth="1" min="8" max="8"/>
    <col width="13" customWidth="1" min="9" max="9"/>
    <col width="13" customWidth="1" min="10" max="10"/>
    <col width="36" customWidth="1" min="11" max="11"/>
  </cols>
  <sheetData>
    <row r="1">
      <c r="A1" s="6" t="inlineStr">
        <is>
          <t>country</t>
        </is>
      </c>
      <c r="B1" s="6" t="inlineStr">
        <is>
          <t>gdp_per_capita_ppp</t>
        </is>
      </c>
      <c r="C1" s="6" t="inlineStr">
        <is>
          <t>gdp_growth</t>
        </is>
      </c>
      <c r="D1" s="6" t="inlineStr">
        <is>
          <t>gini_coefficient</t>
        </is>
      </c>
      <c r="E1" s="6" t="inlineStr">
        <is>
          <t>ppp_private_consumption</t>
        </is>
      </c>
      <c r="F1" s="6" t="inlineStr">
        <is>
          <t>tax_rate_assumption</t>
        </is>
      </c>
      <c r="G1" s="6" t="inlineStr">
        <is>
          <t>household_debt_proxy</t>
        </is>
      </c>
      <c r="H1" s="6" t="inlineStr">
        <is>
          <t>source_url</t>
        </is>
      </c>
      <c r="I1" s="6" t="inlineStr">
        <is>
          <t>source_tier</t>
        </is>
      </c>
      <c r="J1" s="6" t="inlineStr">
        <is>
          <t>update_date</t>
        </is>
      </c>
      <c r="K1" s="6" t="inlineStr">
        <is>
          <t>notes</t>
        </is>
      </c>
    </row>
    <row r="2">
      <c r="A2" t="inlineStr">
        <is>
          <t>Thailand</t>
        </is>
      </c>
      <c r="B2" t="n">
        <v>24712.07</v>
      </c>
      <c r="C2" s="7" t="n">
        <v>2.5418</v>
      </c>
      <c r="D2" t="n">
        <v>33.5</v>
      </c>
      <c r="E2" t="n">
        <v>10.945576</v>
      </c>
      <c r="F2" s="7" t="n">
        <v>0.152577</v>
      </c>
      <c r="G2" t="n">
        <v>115.1054</v>
      </c>
      <c r="H2" t="inlineStr">
        <is>
          <t>https://api.worldbank.org/v2/country/THA/indicator/NY.GDP.PCAP.PP.CD?format=json&amp;mrv=30 | https://api.worldbank.org/v2/country/THA/indicator/NY.GDP.MKTP.KD.ZG?format=json&amp;mrv=30 | https://api.worldbank.org/v2/country/THA/indicator/SI.POV.GINI?format=json&amp;mrv=30 | +3 more</t>
        </is>
      </c>
      <c r="I2" t="inlineStr">
        <is>
          <t>Tier 3</t>
        </is>
      </c>
      <c r="J2" s="8" t="inlineStr">
        <is>
          <t>2024-12-31</t>
        </is>
      </c>
      <c r="K2" t="inlineStr">
        <is>
          <t>providers=world_bank; fields=gdp_per_capita_ppp, gdp_growth, gini_coefficient, ppp_private_consumption; +2 additional fields</t>
        </is>
      </c>
    </row>
    <row r="3">
      <c r="A3" t="inlineStr">
        <is>
          <t>Singapore</t>
        </is>
      </c>
      <c r="B3" t="n">
        <v>150689.3</v>
      </c>
      <c r="C3" s="7" t="n">
        <v>4.388</v>
      </c>
      <c r="E3" t="n">
        <v>1.04203</v>
      </c>
      <c r="F3" s="7" t="n">
        <v>0.141917</v>
      </c>
      <c r="G3" t="n">
        <v>129.1908</v>
      </c>
      <c r="H3" t="inlineStr">
        <is>
          <t>https://api.worldbank.org/v2/country/SGP/indicator/NY.GDP.PCAP.PP.CD?format=json&amp;mrv=30 | https://api.worldbank.org/v2/country/SGP/indicator/NY.GDP.MKTP.KD.ZG?format=json&amp;mrv=30 | https://api.worldbank.org/v2/country/SGP/indicator/PA.NUS.PRVT.PP?format=json&amp;mrv=30 | +2 more</t>
        </is>
      </c>
      <c r="I3" t="inlineStr">
        <is>
          <t>Tier 3</t>
        </is>
      </c>
      <c r="J3" s="8" t="inlineStr">
        <is>
          <t>2024-12-31</t>
        </is>
      </c>
      <c r="K3" t="inlineStr">
        <is>
          <t>providers=world_bank; fields=gdp_per_capita_ppp, gdp_growth, ppp_private_consumption, tax_rate_assumption; +1 additional fields</t>
        </is>
      </c>
    </row>
    <row r="4">
      <c r="A4" t="inlineStr">
        <is>
          <t>Malaysia</t>
        </is>
      </c>
      <c r="B4" t="n">
        <v>38779.28</v>
      </c>
      <c r="C4" s="7" t="n">
        <v>5.1055</v>
      </c>
      <c r="D4" t="n">
        <v>40.7</v>
      </c>
      <c r="E4" t="n">
        <v>1.449227</v>
      </c>
      <c r="F4" s="7" t="n">
        <v>0.125648</v>
      </c>
      <c r="G4" t="n">
        <v>116.0773</v>
      </c>
      <c r="H4" t="inlineStr">
        <is>
          <t>https://api.worldbank.org/v2/country/MYS/indicator/NY.GDP.PCAP.PP.CD?format=json&amp;mrv=30 | https://api.worldbank.org/v2/country/MYS/indicator/NY.GDP.MKTP.KD.ZG?format=json&amp;mrv=30 | https://api.worldbank.org/v2/country/MYS/indicator/SI.POV.GINI?format=json&amp;mrv=30 | +3 more</t>
        </is>
      </c>
      <c r="I4" t="inlineStr">
        <is>
          <t>Tier 3</t>
        </is>
      </c>
      <c r="J4" s="8" t="inlineStr">
        <is>
          <t>2024-12-31</t>
        </is>
      </c>
      <c r="K4" t="inlineStr">
        <is>
          <t>providers=world_bank; fields=gdp_per_capita_ppp, gdp_growth, gini_coefficient, ppp_private_consumption; +2 additional fields</t>
        </is>
      </c>
    </row>
    <row r="5">
      <c r="A5" t="inlineStr">
        <is>
          <t>Indonesia</t>
        </is>
      </c>
      <c r="B5" t="n">
        <v>16448.28</v>
      </c>
      <c r="C5" s="7" t="n">
        <v>5.0303</v>
      </c>
      <c r="D5" t="n">
        <v>34.9</v>
      </c>
      <c r="E5" t="n">
        <v>5104.98432</v>
      </c>
      <c r="F5" s="7" t="n">
        <v>0.110578</v>
      </c>
      <c r="G5" t="n">
        <v>31.7861</v>
      </c>
      <c r="H5" t="inlineStr">
        <is>
          <t>https://api.worldbank.org/v2/country/IDN/indicator/NY.GDP.PCAP.PP.CD?format=json&amp;mrv=30 | https://api.worldbank.org/v2/country/IDN/indicator/NY.GDP.MKTP.KD.ZG?format=json&amp;mrv=30 | https://api.worldbank.org/v2/country/IDN/indicator/SI.POV.GINI?format=json&amp;mrv=30 | +3 more</t>
        </is>
      </c>
      <c r="I5" t="inlineStr">
        <is>
          <t>Tier 3</t>
        </is>
      </c>
      <c r="J5" s="8" t="inlineStr">
        <is>
          <t>2024-12-31</t>
        </is>
      </c>
      <c r="K5" t="inlineStr">
        <is>
          <t>providers=world_bank; fields=gdp_per_capita_ppp, gdp_growth, gini_coefficient, ppp_private_consumption; +2 additional fields</t>
        </is>
      </c>
    </row>
    <row r="6">
      <c r="A6" t="inlineStr">
        <is>
          <t>Philippines</t>
        </is>
      </c>
      <c r="B6" t="n">
        <v>11794.14</v>
      </c>
      <c r="C6" s="7" t="n">
        <v>5.692</v>
      </c>
      <c r="D6" t="n">
        <v>39.3</v>
      </c>
      <c r="E6" t="n">
        <v>20.743506</v>
      </c>
      <c r="F6" s="7" t="n">
        <v>0.141044</v>
      </c>
      <c r="G6" t="n">
        <v>49.8137</v>
      </c>
      <c r="H6" t="inlineStr">
        <is>
          <t>https://api.worldbank.org/v2/country/PHL/indicator/NY.GDP.PCAP.PP.CD?format=json&amp;mrv=30 | https://api.worldbank.org/v2/country/PHL/indicator/NY.GDP.MKTP.KD.ZG?format=json&amp;mrv=30 | https://api.worldbank.org/v2/country/PHL/indicator/SI.POV.GINI?format=json&amp;mrv=30 | +3 more</t>
        </is>
      </c>
      <c r="I6" t="inlineStr">
        <is>
          <t>Tier 3</t>
        </is>
      </c>
      <c r="J6" s="8" t="inlineStr">
        <is>
          <t>2024-12-31</t>
        </is>
      </c>
      <c r="K6" t="inlineStr">
        <is>
          <t>providers=world_bank; fields=gdp_per_capita_ppp, gdp_growth, gini_coefficient, ppp_private_consumption; +2 additional fields</t>
        </is>
      </c>
    </row>
    <row r="7">
      <c r="A7" t="inlineStr">
        <is>
          <t>Taiwan</t>
        </is>
      </c>
      <c r="C7" s="7" t="inlineStr"/>
      <c r="F7" s="7" t="inlineStr"/>
      <c r="J7" s="8" t="inlineStr"/>
      <c r="K7" t="inlineStr">
        <is>
          <t>Populate official country context inputs before ranking.</t>
        </is>
      </c>
    </row>
    <row r="8">
      <c r="A8" t="inlineStr">
        <is>
          <t>South Korea</t>
        </is>
      </c>
      <c r="B8" t="n">
        <v>61051.35</v>
      </c>
      <c r="C8" s="7" t="n">
        <v>2.0036</v>
      </c>
      <c r="D8" t="n">
        <v>32.9</v>
      </c>
      <c r="E8" t="n">
        <v>872.468736</v>
      </c>
      <c r="F8" s="7" t="n">
        <v>0.145991</v>
      </c>
      <c r="G8" t="n">
        <v>160.3472</v>
      </c>
      <c r="H8" t="inlineStr">
        <is>
          <t>https://api.worldbank.org/v2/country/KOR/indicator/NY.GDP.PCAP.PP.CD?format=json&amp;mrv=30 | https://api.worldbank.org/v2/country/KOR/indicator/NY.GDP.MKTP.KD.ZG?format=json&amp;mrv=30 | https://api.worldbank.org/v2/country/KOR/indicator/SI.POV.GINI?format=json&amp;mrv=30 | +3 more</t>
        </is>
      </c>
      <c r="I8" t="inlineStr">
        <is>
          <t>Tier 3</t>
        </is>
      </c>
      <c r="J8" s="8" t="inlineStr">
        <is>
          <t>2024-12-31</t>
        </is>
      </c>
      <c r="K8" t="inlineStr">
        <is>
          <t>providers=world_bank; fields=gdp_per_capita_ppp, gdp_growth, gini_coefficient, ppp_private_consumption; +2 additional fields</t>
        </is>
      </c>
    </row>
    <row r="9">
      <c r="A9" t="inlineStr">
        <is>
          <t>China</t>
        </is>
      </c>
      <c r="B9" t="n">
        <v>27104.87</v>
      </c>
      <c r="C9" s="7" t="n">
        <v>4.9774</v>
      </c>
      <c r="D9" t="n">
        <v>36</v>
      </c>
      <c r="E9" t="n">
        <v>3.550789</v>
      </c>
      <c r="F9" s="7" t="n">
        <v>0.07638200000000001</v>
      </c>
      <c r="G9" t="n">
        <v>194.166</v>
      </c>
      <c r="H9" t="inlineStr">
        <is>
          <t>https://api.worldbank.org/v2/country/CHN/indicator/NY.GDP.PCAP.PP.CD?format=json&amp;mrv=30 | https://api.worldbank.org/v2/country/CHN/indicator/NY.GDP.MKTP.KD.ZG?format=json&amp;mrv=30 | https://api.worldbank.org/v2/country/CHN/indicator/SI.POV.GINI?format=json&amp;mrv=30 | +3 more</t>
        </is>
      </c>
      <c r="I9" t="inlineStr">
        <is>
          <t>Tier 3</t>
        </is>
      </c>
      <c r="J9" s="8" t="inlineStr">
        <is>
          <t>2024-12-31</t>
        </is>
      </c>
      <c r="K9" t="inlineStr">
        <is>
          <t>providers=world_bank; fields=gdp_per_capita_ppp, gdp_growth, gini_coefficient, ppp_private_consumption; +2 additional fields</t>
        </is>
      </c>
    </row>
    <row r="10">
      <c r="A10" t="inlineStr">
        <is>
          <t>Japan</t>
        </is>
      </c>
      <c r="B10" t="n">
        <v>52039.17</v>
      </c>
      <c r="C10" s="7" t="n">
        <v>0.1043</v>
      </c>
      <c r="D10" t="n">
        <v>32.3</v>
      </c>
      <c r="E10" t="n">
        <v>99.384798</v>
      </c>
      <c r="F10" s="7" t="inlineStr"/>
      <c r="G10" t="n">
        <v>123.1289</v>
      </c>
      <c r="H10" t="inlineStr">
        <is>
          <t>https://api.worldbank.org/v2/country/JPN/indicator/NY.GDP.PCAP.PP.CD?format=json&amp;mrv=30 | https://api.worldbank.org/v2/country/JPN/indicator/NY.GDP.MKTP.KD.ZG?format=json&amp;mrv=30 | https://api.worldbank.org/v2/country/JPN/indicator/SI.POV.GINI?format=json&amp;mrv=30 | +2 more</t>
        </is>
      </c>
      <c r="I10" t="inlineStr">
        <is>
          <t>Tier 3</t>
        </is>
      </c>
      <c r="J10" s="8" t="inlineStr">
        <is>
          <t>2024-12-31</t>
        </is>
      </c>
      <c r="K10" t="inlineStr">
        <is>
          <t>providers=world_bank; fields=gdp_per_capita_ppp, gdp_growth, gini_coefficient, ppp_private_consumption; +1 additional fields</t>
        </is>
      </c>
    </row>
    <row r="11">
      <c r="A11" t="inlineStr">
        <is>
          <t>India</t>
        </is>
      </c>
      <c r="B11" t="n">
        <v>11159.99</v>
      </c>
      <c r="C11" s="7" t="n">
        <v>6.4948</v>
      </c>
      <c r="D11" t="n">
        <v>25.5</v>
      </c>
      <c r="E11" t="n">
        <v>19.896916</v>
      </c>
      <c r="F11" s="7" t="n">
        <v>0.067344</v>
      </c>
      <c r="G11" t="n">
        <v>50.1422</v>
      </c>
      <c r="H11" t="inlineStr">
        <is>
          <t>https://api.worldbank.org/v2/country/IND/indicator/NY.GDP.PCAP.PP.CD?format=json&amp;mrv=30 | https://api.worldbank.org/v2/country/IND/indicator/NY.GDP.MKTP.KD.ZG?format=json&amp;mrv=30 | https://api.worldbank.org/v2/country/IND/indicator/SI.POV.GINI?format=json&amp;mrv=30 | +3 more</t>
        </is>
      </c>
      <c r="I11" t="inlineStr">
        <is>
          <t>Tier 3</t>
        </is>
      </c>
      <c r="J11" s="8" t="inlineStr">
        <is>
          <t>2024-12-31</t>
        </is>
      </c>
      <c r="K11" t="inlineStr">
        <is>
          <t>providers=world_bank; fields=gdp_per_capita_ppp, gdp_growth, gini_coefficient, ppp_private_consumption; +2 additional fields</t>
        </is>
      </c>
    </row>
    <row r="12">
      <c r="A12" t="inlineStr">
        <is>
          <t>Sri Lanka</t>
        </is>
      </c>
      <c r="B12" t="n">
        <v>15632.59</v>
      </c>
      <c r="C12" s="7" t="n">
        <v>5.0087</v>
      </c>
      <c r="D12" t="n">
        <v>37.7</v>
      </c>
      <c r="E12" t="n">
        <v>87.489315</v>
      </c>
      <c r="F12" s="7" t="n">
        <v>0.099219</v>
      </c>
      <c r="G12" t="n">
        <v>46.8716</v>
      </c>
      <c r="H12" t="inlineStr">
        <is>
          <t>https://api.worldbank.org/v2/country/LKA/indicator/NY.GDP.PCAP.PP.CD?format=json&amp;mrv=30 | https://api.worldbank.org/v2/country/LKA/indicator/NY.GDP.MKTP.KD.ZG?format=json&amp;mrv=30 | https://api.worldbank.org/v2/country/LKA/indicator/SI.POV.GINI?format=json&amp;mrv=30 | +3 more</t>
        </is>
      </c>
      <c r="I12" t="inlineStr">
        <is>
          <t>Tier 3</t>
        </is>
      </c>
      <c r="J12" s="8" t="inlineStr">
        <is>
          <t>2024-12-31</t>
        </is>
      </c>
      <c r="K12" t="inlineStr">
        <is>
          <t>providers=world_bank; fields=gdp_per_capita_ppp, gdp_growth, gini_coefficient, ppp_private_consumption; +2 additional fields</t>
        </is>
      </c>
    </row>
    <row r="13">
      <c r="A13" t="inlineStr">
        <is>
          <t>Bangladesh</t>
        </is>
      </c>
      <c r="B13" t="n">
        <v>9646.77</v>
      </c>
      <c r="C13" s="7" t="n">
        <v>4.2233</v>
      </c>
      <c r="D13" t="n">
        <v>30.9</v>
      </c>
      <c r="E13" t="n">
        <v>32.990539</v>
      </c>
      <c r="F13" s="7" t="n">
        <v>0.07642400000000001</v>
      </c>
      <c r="G13" t="n">
        <v>35.7061</v>
      </c>
      <c r="H13" t="inlineStr">
        <is>
          <t>https://api.worldbank.org/v2/country/BGD/indicator/NY.GDP.PCAP.PP.CD?format=json&amp;mrv=30 | https://api.worldbank.org/v2/country/BGD/indicator/NY.GDP.MKTP.KD.ZG?format=json&amp;mrv=30 | https://api.worldbank.org/v2/country/BGD/indicator/SI.POV.GINI?format=json&amp;mrv=30 | +3 more</t>
        </is>
      </c>
      <c r="I13" t="inlineStr">
        <is>
          <t>Tier 3</t>
        </is>
      </c>
      <c r="J13" s="8" t="inlineStr">
        <is>
          <t>2024-12-31</t>
        </is>
      </c>
      <c r="K13" t="inlineStr">
        <is>
          <t>providers=world_bank; fields=gdp_per_capita_ppp, gdp_growth, gini_coefficient, ppp_private_consumption; +2 additional fields</t>
        </is>
      </c>
    </row>
    <row r="14">
      <c r="A14" t="inlineStr">
        <is>
          <t>Pakistan</t>
        </is>
      </c>
      <c r="B14" t="n">
        <v>6252.12</v>
      </c>
      <c r="C14" s="7" t="n">
        <v>3.049</v>
      </c>
      <c r="D14" t="n">
        <v>29.6</v>
      </c>
      <c r="E14" t="n">
        <v>64.86099400000001</v>
      </c>
      <c r="F14" s="7" t="inlineStr"/>
      <c r="G14" t="n">
        <v>11.3901</v>
      </c>
      <c r="H14" t="inlineStr">
        <is>
          <t>https://api.worldbank.org/v2/country/PAK/indicator/NY.GDP.PCAP.PP.CD?format=json&amp;mrv=30 | https://api.worldbank.org/v2/country/PAK/indicator/NY.GDP.MKTP.KD.ZG?format=json&amp;mrv=30 | https://api.worldbank.org/v2/country/PAK/indicator/SI.POV.GINI?format=json&amp;mrv=30 | +2 more</t>
        </is>
      </c>
      <c r="I14" t="inlineStr">
        <is>
          <t>Tier 3</t>
        </is>
      </c>
      <c r="J14" s="8" t="inlineStr">
        <is>
          <t>2024-12-31</t>
        </is>
      </c>
      <c r="K14" t="inlineStr">
        <is>
          <t>providers=world_bank; fields=gdp_per_capita_ppp, gdp_growth, gini_coefficient, ppp_private_consumption; +1 additional fields</t>
        </is>
      </c>
    </row>
    <row r="15">
      <c r="A15" t="inlineStr">
        <is>
          <t>Nepal</t>
        </is>
      </c>
      <c r="B15" t="n">
        <v>5736.62</v>
      </c>
      <c r="C15" s="7" t="n">
        <v>3.6654</v>
      </c>
      <c r="D15" t="n">
        <v>30</v>
      </c>
      <c r="E15" t="n">
        <v>35.285741</v>
      </c>
      <c r="F15" s="7" t="n">
        <v>0.139449</v>
      </c>
      <c r="G15" t="n">
        <v>91.9385</v>
      </c>
      <c r="H15" t="inlineStr">
        <is>
          <t>https://api.worldbank.org/v2/country/NPL/indicator/NY.GDP.PCAP.PP.CD?format=json&amp;mrv=30 | https://api.worldbank.org/v2/country/NPL/indicator/NY.GDP.MKTP.KD.ZG?format=json&amp;mrv=30 | https://api.worldbank.org/v2/country/NPL/indicator/SI.POV.GINI?format=json&amp;mrv=30 | +3 more</t>
        </is>
      </c>
      <c r="I15" t="inlineStr">
        <is>
          <t>Tier 3</t>
        </is>
      </c>
      <c r="J15" s="8" t="inlineStr">
        <is>
          <t>2024-12-31</t>
        </is>
      </c>
      <c r="K15" t="inlineStr">
        <is>
          <t>providers=world_bank; fields=gdp_per_capita_ppp, gdp_growth, gini_coefficient, ppp_private_consumption; +2 additional fields</t>
        </is>
      </c>
    </row>
    <row r="16">
      <c r="A16" t="inlineStr">
        <is>
          <t>Bhutan</t>
        </is>
      </c>
      <c r="B16" t="n">
        <v>16215.15</v>
      </c>
      <c r="C16" s="7" t="n">
        <v>4.6322</v>
      </c>
      <c r="D16" t="n">
        <v>28.5</v>
      </c>
      <c r="E16" t="n">
        <v>20.878112</v>
      </c>
      <c r="F16" s="7" t="n">
        <v>0.122846</v>
      </c>
      <c r="G16" t="n">
        <v>51.8935</v>
      </c>
      <c r="H16" t="inlineStr">
        <is>
          <t>https://api.worldbank.org/v2/country/BTN/indicator/NY.GDP.PCAP.PP.CD?format=json&amp;mrv=30 | https://api.worldbank.org/v2/country/BTN/indicator/NY.GDP.MKTP.KD.ZG?format=json&amp;mrv=30 | https://api.worldbank.org/v2/country/BTN/indicator/SI.POV.GINI?format=json&amp;mrv=30 | +3 more</t>
        </is>
      </c>
      <c r="I16" t="inlineStr">
        <is>
          <t>Tier 3</t>
        </is>
      </c>
      <c r="J16" s="8" t="inlineStr">
        <is>
          <t>2024-12-31</t>
        </is>
      </c>
      <c r="K16" t="inlineStr">
        <is>
          <t>providers=world_bank; fields=gdp_per_capita_ppp, gdp_growth, gini_coefficient, ppp_private_consumption; +2 additional fields</t>
        </is>
      </c>
    </row>
    <row r="17">
      <c r="A17" t="inlineStr">
        <is>
          <t>Maldives</t>
        </is>
      </c>
      <c r="B17" t="n">
        <v>26182.78</v>
      </c>
      <c r="C17" s="7" t="n">
        <v>3.4944</v>
      </c>
      <c r="D17" t="n">
        <v>29.3</v>
      </c>
      <c r="E17" t="n">
        <v>9.455282</v>
      </c>
      <c r="F17" s="7" t="n">
        <v>0.194532</v>
      </c>
      <c r="G17" t="n">
        <v>31.5415</v>
      </c>
      <c r="H17" t="inlineStr">
        <is>
          <t>https://api.worldbank.org/v2/country/MDV/indicator/NY.GDP.PCAP.PP.CD?format=json&amp;mrv=30 | https://api.worldbank.org/v2/country/MDV/indicator/NY.GDP.MKTP.KD.ZG?format=json&amp;mrv=30 | https://api.worldbank.org/v2/country/MDV/indicator/SI.POV.GINI?format=json&amp;mrv=30 | +3 more</t>
        </is>
      </c>
      <c r="I17" t="inlineStr">
        <is>
          <t>Tier 3</t>
        </is>
      </c>
      <c r="J17" s="8" t="inlineStr">
        <is>
          <t>2024-12-31</t>
        </is>
      </c>
      <c r="K17" t="inlineStr">
        <is>
          <t>providers=world_bank; fields=gdp_per_capita_ppp, gdp_growth, gini_coefficient, ppp_private_consumption; +2 additional fields</t>
        </is>
      </c>
    </row>
    <row r="18">
      <c r="A18" t="inlineStr">
        <is>
          <t>France</t>
        </is>
      </c>
      <c r="B18" t="n">
        <v>62556.92</v>
      </c>
      <c r="C18" s="7" t="n">
        <v>1.1905</v>
      </c>
      <c r="D18" t="n">
        <v>31.8</v>
      </c>
      <c r="E18" t="n">
        <v>0.716934</v>
      </c>
      <c r="F18" s="7" t="n">
        <v>0.23077</v>
      </c>
      <c r="G18" t="n">
        <v>103.9081</v>
      </c>
      <c r="H18" t="inlineStr">
        <is>
          <t>https://api.worldbank.org/v2/country/FRA/indicator/NY.GDP.PCAP.PP.CD?format=json&amp;mrv=30 | https://api.worldbank.org/v2/country/FRA/indicator/NY.GDP.MKTP.KD.ZG?format=json&amp;mrv=30 | https://api.worldbank.org/v2/country/FRA/indicator/SI.POV.GINI?format=json&amp;mrv=30 | +3 more</t>
        </is>
      </c>
      <c r="I18" t="inlineStr">
        <is>
          <t>Tier 3</t>
        </is>
      </c>
      <c r="J18" s="8" t="inlineStr">
        <is>
          <t>2024-12-31</t>
        </is>
      </c>
      <c r="K18" t="inlineStr">
        <is>
          <t>providers=world_bank; fields=gdp_per_capita_ppp, gdp_growth, gini_coefficient, ppp_private_consumption; +2 additional fields</t>
        </is>
      </c>
    </row>
    <row r="19">
      <c r="A19" t="inlineStr">
        <is>
          <t>Austria</t>
        </is>
      </c>
      <c r="B19" t="n">
        <v>73911.44</v>
      </c>
      <c r="C19" s="7" t="n">
        <v>-0.6591</v>
      </c>
      <c r="D19" t="n">
        <v>31.2</v>
      </c>
      <c r="E19" t="n">
        <v>0.720487</v>
      </c>
      <c r="F19" s="7" t="n">
        <v>0.256407</v>
      </c>
      <c r="G19" t="n">
        <v>81.4953</v>
      </c>
      <c r="H19" t="inlineStr">
        <is>
          <t>https://api.worldbank.org/v2/country/AUT/indicator/NY.GDP.PCAP.PP.CD?format=json&amp;mrv=30 | https://api.worldbank.org/v2/country/AUT/indicator/NY.GDP.MKTP.KD.ZG?format=json&amp;mrv=30 | https://api.worldbank.org/v2/country/AUT/indicator/SI.POV.GINI?format=json&amp;mrv=30 | +3 more</t>
        </is>
      </c>
      <c r="I19" t="inlineStr">
        <is>
          <t>Tier 3</t>
        </is>
      </c>
      <c r="J19" s="8" t="inlineStr">
        <is>
          <t>2024-12-31</t>
        </is>
      </c>
      <c r="K19" t="inlineStr">
        <is>
          <t>providers=world_bank; fields=gdp_per_capita_ppp, gdp_growth, gini_coefficient, ppp_private_consumption; +2 additional fields</t>
        </is>
      </c>
    </row>
    <row r="20">
      <c r="A20" t="inlineStr">
        <is>
          <t>Switzerland</t>
        </is>
      </c>
      <c r="B20" t="n">
        <v>96497.69</v>
      </c>
      <c r="C20" s="7" t="n">
        <v>1.3023</v>
      </c>
      <c r="D20" t="n">
        <v>33.8</v>
      </c>
      <c r="E20" t="n">
        <v>1.062369</v>
      </c>
      <c r="F20" s="7" t="n">
        <v>0.090036</v>
      </c>
      <c r="G20" t="n">
        <v>170.3782</v>
      </c>
      <c r="H20" t="inlineStr">
        <is>
          <t>https://api.worldbank.org/v2/country/CHE/indicator/NY.GDP.PCAP.PP.CD?format=json&amp;mrv=30 | https://api.worldbank.org/v2/country/CHE/indicator/NY.GDP.MKTP.KD.ZG?format=json&amp;mrv=30 | https://api.worldbank.org/v2/country/CHE/indicator/SI.POV.GINI?format=json&amp;mrv=30 | +3 more</t>
        </is>
      </c>
      <c r="I20" t="inlineStr">
        <is>
          <t>Tier 3</t>
        </is>
      </c>
      <c r="J20" s="8" t="inlineStr">
        <is>
          <t>2024-12-31</t>
        </is>
      </c>
      <c r="K20" t="inlineStr">
        <is>
          <t>providers=world_bank; fields=gdp_per_capita_ppp, gdp_growth, gini_coefficient, ppp_private_consumption; +2 additional fields</t>
        </is>
      </c>
    </row>
    <row r="21">
      <c r="A21" t="inlineStr">
        <is>
          <t>Netherlands</t>
        </is>
      </c>
      <c r="B21" t="n">
        <v>86173.63</v>
      </c>
      <c r="C21" s="7" t="n">
        <v>1.081</v>
      </c>
      <c r="D21" t="n">
        <v>25.7</v>
      </c>
      <c r="E21" t="n">
        <v>0.74195</v>
      </c>
      <c r="F21" s="7" t="n">
        <v>0.25254</v>
      </c>
      <c r="G21" t="n">
        <v>82.3297</v>
      </c>
      <c r="H21" t="inlineStr">
        <is>
          <t>https://api.worldbank.org/v2/country/NLD/indicator/NY.GDP.PCAP.PP.CD?format=json&amp;mrv=30 | https://api.worldbank.org/v2/country/NLD/indicator/NY.GDP.MKTP.KD.ZG?format=json&amp;mrv=30 | https://api.worldbank.org/v2/country/NLD/indicator/SI.POV.GINI?format=json&amp;mrv=30 | +3 more</t>
        </is>
      </c>
      <c r="I21" t="inlineStr">
        <is>
          <t>Tier 3</t>
        </is>
      </c>
      <c r="J21" s="8" t="inlineStr">
        <is>
          <t>2024-12-31</t>
        </is>
      </c>
      <c r="K21" t="inlineStr">
        <is>
          <t>providers=world_bank; fields=gdp_per_capita_ppp, gdp_growth, gini_coefficient, ppp_private_consumption; +2 additional fields</t>
        </is>
      </c>
    </row>
    <row r="22">
      <c r="A22" t="inlineStr">
        <is>
          <t>Denmark</t>
        </is>
      </c>
      <c r="B22" t="n">
        <v>81878.23</v>
      </c>
      <c r="C22" s="7" t="n">
        <v>3.4778</v>
      </c>
      <c r="D22" t="n">
        <v>29.9</v>
      </c>
      <c r="E22" t="n">
        <v>6.764411</v>
      </c>
      <c r="F22" s="7" t="n">
        <v>0.315935</v>
      </c>
      <c r="G22" t="n">
        <v>144.0931</v>
      </c>
      <c r="H22" t="inlineStr">
        <is>
          <t>https://api.worldbank.org/v2/country/DNK/indicator/NY.GDP.PCAP.PP.CD?format=json&amp;mrv=30 | https://api.worldbank.org/v2/country/DNK/indicator/NY.GDP.MKTP.KD.ZG?format=json&amp;mrv=30 | https://api.worldbank.org/v2/country/DNK/indicator/SI.POV.GINI?format=json&amp;mrv=30 | +3 more</t>
        </is>
      </c>
      <c r="I22" t="inlineStr">
        <is>
          <t>Tier 3</t>
        </is>
      </c>
      <c r="J22" s="8" t="inlineStr">
        <is>
          <t>2024-12-31</t>
        </is>
      </c>
      <c r="K22" t="inlineStr">
        <is>
          <t>providers=world_bank; fields=gdp_per_capita_ppp, gdp_growth, gini_coefficient, ppp_private_consumption; +2 additional fields</t>
        </is>
      </c>
    </row>
    <row r="23">
      <c r="A23" t="inlineStr">
        <is>
          <t>Italy</t>
        </is>
      </c>
      <c r="B23" t="n">
        <v>62014.27</v>
      </c>
      <c r="C23" s="7" t="n">
        <v>0.6927</v>
      </c>
      <c r="D23" t="n">
        <v>34.3</v>
      </c>
      <c r="E23" t="n">
        <v>0.625157</v>
      </c>
      <c r="F23" s="7" t="n">
        <v>0.24708</v>
      </c>
      <c r="G23" t="n">
        <v>59.3116</v>
      </c>
      <c r="H23" t="inlineStr">
        <is>
          <t>https://api.worldbank.org/v2/country/ITA/indicator/NY.GDP.PCAP.PP.CD?format=json&amp;mrv=30 | https://api.worldbank.org/v2/country/ITA/indicator/NY.GDP.MKTP.KD.ZG?format=json&amp;mrv=30 | https://api.worldbank.org/v2/country/ITA/indicator/SI.POV.GINI?format=json&amp;mrv=30 | +3 more</t>
        </is>
      </c>
      <c r="I23" t="inlineStr">
        <is>
          <t>Tier 3</t>
        </is>
      </c>
      <c r="J23" s="8" t="inlineStr">
        <is>
          <t>2024-12-31</t>
        </is>
      </c>
      <c r="K23" t="inlineStr">
        <is>
          <t>providers=world_bank; fields=gdp_per_capita_ppp, gdp_growth, gini_coefficient, ppp_private_consumption; +2 additional fields</t>
        </is>
      </c>
    </row>
    <row r="24">
      <c r="A24" t="inlineStr">
        <is>
          <t>Portugal</t>
        </is>
      </c>
      <c r="B24" t="n">
        <v>51679.89</v>
      </c>
      <c r="C24" s="7" t="n">
        <v>2.1397</v>
      </c>
      <c r="D24" t="n">
        <v>33.9</v>
      </c>
      <c r="E24" t="n">
        <v>0.5587490000000001</v>
      </c>
      <c r="F24" s="7" t="n">
        <v>0.226188</v>
      </c>
      <c r="G24" t="n">
        <v>77.1375</v>
      </c>
      <c r="H24" t="inlineStr">
        <is>
          <t>https://api.worldbank.org/v2/country/PRT/indicator/NY.GDP.PCAP.PP.CD?format=json&amp;mrv=30 | https://api.worldbank.org/v2/country/PRT/indicator/NY.GDP.MKTP.KD.ZG?format=json&amp;mrv=30 | https://api.worldbank.org/v2/country/PRT/indicator/SI.POV.GINI?format=json&amp;mrv=30 | +3 more</t>
        </is>
      </c>
      <c r="I24" t="inlineStr">
        <is>
          <t>Tier 3</t>
        </is>
      </c>
      <c r="J24" s="8" t="inlineStr">
        <is>
          <t>2024-12-31</t>
        </is>
      </c>
      <c r="K24" t="inlineStr">
        <is>
          <t>providers=world_bank; fields=gdp_per_capita_ppp, gdp_growth, gini_coefficient, ppp_private_consumption; +2 additional fields</t>
        </is>
      </c>
    </row>
    <row r="25">
      <c r="A25" t="inlineStr">
        <is>
          <t>Estonia</t>
        </is>
      </c>
      <c r="B25" t="n">
        <v>49968.71</v>
      </c>
      <c r="C25" s="7" t="n">
        <v>-0.09</v>
      </c>
      <c r="D25" t="n">
        <v>30.7</v>
      </c>
      <c r="E25" t="n">
        <v>0.646078</v>
      </c>
      <c r="F25" s="7" t="n">
        <v>0.21329</v>
      </c>
      <c r="G25" t="n">
        <v>60.5329</v>
      </c>
      <c r="H25" t="inlineStr">
        <is>
          <t>https://api.worldbank.org/v2/country/EST/indicator/NY.GDP.PCAP.PP.CD?format=json&amp;mrv=30 | https://api.worldbank.org/v2/country/EST/indicator/NY.GDP.MKTP.KD.ZG?format=json&amp;mrv=30 | https://api.worldbank.org/v2/country/EST/indicator/SI.POV.GINI?format=json&amp;mrv=30 | +3 more</t>
        </is>
      </c>
      <c r="I25" t="inlineStr">
        <is>
          <t>Tier 3</t>
        </is>
      </c>
      <c r="J25" s="8" t="inlineStr">
        <is>
          <t>2024-12-31</t>
        </is>
      </c>
      <c r="K25" t="inlineStr">
        <is>
          <t>providers=world_bank; fields=gdp_per_capita_ppp, gdp_growth, gini_coefficient, ppp_private_consumption; +2 additional fields</t>
        </is>
      </c>
    </row>
    <row r="26">
      <c r="A26" t="inlineStr">
        <is>
          <t>Finland</t>
        </is>
      </c>
      <c r="B26" t="n">
        <v>65378.38</v>
      </c>
      <c r="C26" s="7" t="n">
        <v>0.4162</v>
      </c>
      <c r="D26" t="n">
        <v>27.4</v>
      </c>
      <c r="E26" t="n">
        <v>0.788236</v>
      </c>
      <c r="F26" s="7" t="n">
        <v>0.253757</v>
      </c>
      <c r="G26" t="n">
        <v>90.8647</v>
      </c>
      <c r="H26" t="inlineStr">
        <is>
          <t>https://api.worldbank.org/v2/country/FIN/indicator/NY.GDP.PCAP.PP.CD?format=json&amp;mrv=30 | https://api.worldbank.org/v2/country/FIN/indicator/NY.GDP.MKTP.KD.ZG?format=json&amp;mrv=30 | https://api.worldbank.org/v2/country/FIN/indicator/SI.POV.GINI?format=json&amp;mrv=30 | +3 more</t>
        </is>
      </c>
      <c r="I26" t="inlineStr">
        <is>
          <t>Tier 3</t>
        </is>
      </c>
      <c r="J26" s="8" t="inlineStr">
        <is>
          <t>2024-12-31</t>
        </is>
      </c>
      <c r="K26" t="inlineStr">
        <is>
          <t>providers=world_bank; fields=gdp_per_capita_ppp, gdp_growth, gini_coefficient, ppp_private_consumption; +2 additional fields</t>
        </is>
      </c>
    </row>
    <row r="27">
      <c r="A27" t="inlineStr">
        <is>
          <t>Russia</t>
        </is>
      </c>
      <c r="B27" t="n">
        <v>47404.96</v>
      </c>
      <c r="C27" s="7" t="n">
        <v>4.3444</v>
      </c>
      <c r="D27" t="n">
        <v>33</v>
      </c>
      <c r="E27" t="n">
        <v>29.049846</v>
      </c>
      <c r="F27" s="7" t="n">
        <v>0.120728</v>
      </c>
      <c r="G27" t="n">
        <v>54.6413</v>
      </c>
      <c r="H27" t="inlineStr">
        <is>
          <t>https://api.worldbank.org/v2/country/RUS/indicator/NY.GDP.PCAP.PP.CD?format=json&amp;mrv=30 | https://api.worldbank.org/v2/country/RUS/indicator/NY.GDP.MKTP.KD.ZG?format=json&amp;mrv=30 | https://api.worldbank.org/v2/country/RUS/indicator/SI.POV.GINI?format=json&amp;mrv=30 | +3 more</t>
        </is>
      </c>
      <c r="I27" t="inlineStr">
        <is>
          <t>Tier 3</t>
        </is>
      </c>
      <c r="J27" s="8" t="inlineStr">
        <is>
          <t>2024-12-31</t>
        </is>
      </c>
      <c r="K27" t="inlineStr">
        <is>
          <t>providers=world_bank; fields=gdp_per_capita_ppp, gdp_growth, gini_coefficient, ppp_private_consumption; +2 additional fields</t>
        </is>
      </c>
    </row>
    <row r="28">
      <c r="A28" t="inlineStr">
        <is>
          <t>Hungary</t>
        </is>
      </c>
      <c r="B28" t="n">
        <v>48552.47</v>
      </c>
      <c r="C28" s="7" t="n">
        <v>0.5601</v>
      </c>
      <c r="D28" t="n">
        <v>30.6</v>
      </c>
      <c r="E28" t="n">
        <v>189.314181</v>
      </c>
      <c r="F28" s="7" t="n">
        <v>0.234286</v>
      </c>
      <c r="G28" t="n">
        <v>32.1191</v>
      </c>
      <c r="H28" t="inlineStr">
        <is>
          <t>https://api.worldbank.org/v2/country/HUN/indicator/NY.GDP.PCAP.PP.CD?format=json&amp;mrv=30 | https://api.worldbank.org/v2/country/HUN/indicator/NY.GDP.MKTP.KD.ZG?format=json&amp;mrv=30 | https://api.worldbank.org/v2/country/HUN/indicator/SI.POV.GINI?format=json&amp;mrv=30 | +3 more</t>
        </is>
      </c>
      <c r="I28" t="inlineStr">
        <is>
          <t>Tier 3</t>
        </is>
      </c>
      <c r="J28" s="8" t="inlineStr">
        <is>
          <t>2024-12-31</t>
        </is>
      </c>
      <c r="K28" t="inlineStr">
        <is>
          <t>providers=world_bank; fields=gdp_per_capita_ppp, gdp_growth, gini_coefficient, ppp_private_consumption; +2 additional fields</t>
        </is>
      </c>
    </row>
    <row r="29">
      <c r="A29" t="inlineStr">
        <is>
          <t>Poland</t>
        </is>
      </c>
      <c r="B29" t="n">
        <v>51262.51</v>
      </c>
      <c r="C29" s="7" t="n">
        <v>3.0284</v>
      </c>
      <c r="D29" t="n">
        <v>28.5</v>
      </c>
      <c r="E29" t="n">
        <v>2.008043</v>
      </c>
      <c r="F29" s="7" t="n">
        <v>0.179988</v>
      </c>
      <c r="G29" t="n">
        <v>33.5851</v>
      </c>
      <c r="H29" t="inlineStr">
        <is>
          <t>https://api.worldbank.org/v2/country/POL/indicator/NY.GDP.PCAP.PP.CD?format=json&amp;mrv=30 | https://api.worldbank.org/v2/country/POL/indicator/NY.GDP.MKTP.KD.ZG?format=json&amp;mrv=30 | https://api.worldbank.org/v2/country/POL/indicator/SI.POV.GINI?format=json&amp;mrv=30 | +3 more</t>
        </is>
      </c>
      <c r="I29" t="inlineStr">
        <is>
          <t>Tier 3</t>
        </is>
      </c>
      <c r="J29" s="8" t="inlineStr">
        <is>
          <t>2024-12-31</t>
        </is>
      </c>
      <c r="K29" t="inlineStr">
        <is>
          <t>providers=world_bank; fields=gdp_per_capita_ppp, gdp_growth, gini_coefficient, ppp_private_consumption; +2 additional fields</t>
        </is>
      </c>
    </row>
    <row r="30">
      <c r="A30" t="inlineStr">
        <is>
          <t>Romania</t>
        </is>
      </c>
      <c r="B30" t="n">
        <v>49076.54</v>
      </c>
      <c r="C30" s="7" t="n">
        <v>0.916</v>
      </c>
      <c r="D30" t="n">
        <v>29.8</v>
      </c>
      <c r="E30" t="n">
        <v>2.056572</v>
      </c>
      <c r="F30" s="7" t="n">
        <v>0.162142</v>
      </c>
      <c r="G30" t="n">
        <v>22.7281</v>
      </c>
      <c r="H30" t="inlineStr">
        <is>
          <t>https://api.worldbank.org/v2/country/ROU/indicator/NY.GDP.PCAP.PP.CD?format=json&amp;mrv=30 | https://api.worldbank.org/v2/country/ROU/indicator/NY.GDP.MKTP.KD.ZG?format=json&amp;mrv=30 | https://api.worldbank.org/v2/country/ROU/indicator/SI.POV.GINI?format=json&amp;mrv=30 | +3 more</t>
        </is>
      </c>
      <c r="I30" t="inlineStr">
        <is>
          <t>Tier 3</t>
        </is>
      </c>
      <c r="J30" s="8" t="inlineStr">
        <is>
          <t>2024-12-31</t>
        </is>
      </c>
      <c r="K30" t="inlineStr">
        <is>
          <t>providers=world_bank; fields=gdp_per_capita_ppp, gdp_growth, gini_coefficient, ppp_private_consumption; +2 additional fields</t>
        </is>
      </c>
    </row>
    <row r="31">
      <c r="A31" t="inlineStr">
        <is>
          <t>Serbia</t>
        </is>
      </c>
      <c r="B31" t="n">
        <v>32832.18</v>
      </c>
      <c r="C31" s="7" t="n">
        <v>3.9499</v>
      </c>
      <c r="D31" t="n">
        <v>32.8</v>
      </c>
      <c r="E31" t="n">
        <v>50.584223</v>
      </c>
      <c r="F31" s="7" t="n">
        <v>0.23893</v>
      </c>
      <c r="G31" t="n">
        <v>32.6048</v>
      </c>
      <c r="H31" t="inlineStr">
        <is>
          <t>https://api.worldbank.org/v2/country/SRB/indicator/NY.GDP.PCAP.PP.CD?format=json&amp;mrv=30 | https://api.worldbank.org/v2/country/SRB/indicator/NY.GDP.MKTP.KD.ZG?format=json&amp;mrv=30 | https://api.worldbank.org/v2/country/SRB/indicator/SI.POV.GINI?format=json&amp;mrv=30 | +3 more</t>
        </is>
      </c>
      <c r="I31" t="inlineStr">
        <is>
          <t>Tier 3</t>
        </is>
      </c>
      <c r="J31" s="8" t="inlineStr">
        <is>
          <t>2024-12-31</t>
        </is>
      </c>
      <c r="K31" t="inlineStr">
        <is>
          <t>providers=world_bank; fields=gdp_per_capita_ppp, gdp_growth, gini_coefficient, ppp_private_consumption; +2 additional fields</t>
        </is>
      </c>
    </row>
    <row r="32">
      <c r="A32" t="inlineStr">
        <is>
          <t>Slovakia</t>
        </is>
      </c>
      <c r="B32" t="n">
        <v>48132.36</v>
      </c>
      <c r="C32" s="7" t="n">
        <v>1.9387</v>
      </c>
      <c r="D32" t="n">
        <v>23.8</v>
      </c>
      <c r="E32" t="n">
        <v>0.545311</v>
      </c>
      <c r="F32" s="7" t="n">
        <v>0.193079</v>
      </c>
      <c r="G32" t="n">
        <v>59.6386</v>
      </c>
      <c r="H32" t="inlineStr">
        <is>
          <t>https://api.worldbank.org/v2/country/SVK/indicator/NY.GDP.PCAP.PP.CD?format=json&amp;mrv=30 | https://api.worldbank.org/v2/country/SVK/indicator/NY.GDP.MKTP.KD.ZG?format=json&amp;mrv=30 | https://api.worldbank.org/v2/country/SVK/indicator/SI.POV.GINI?format=json&amp;mrv=30 | +3 more</t>
        </is>
      </c>
      <c r="I32" t="inlineStr">
        <is>
          <t>Tier 3</t>
        </is>
      </c>
      <c r="J32" s="8" t="inlineStr">
        <is>
          <t>2024-12-31</t>
        </is>
      </c>
      <c r="K32" t="inlineStr">
        <is>
          <t>providers=world_bank; fields=gdp_per_capita_ppp, gdp_growth, gini_coefficient, ppp_private_consumption; +2 additional fields</t>
        </is>
      </c>
    </row>
    <row r="33">
      <c r="A33" t="inlineStr">
        <is>
          <t>United States</t>
        </is>
      </c>
      <c r="B33" t="n">
        <v>85809.89999999999</v>
      </c>
      <c r="C33" s="7" t="n">
        <v>2.793</v>
      </c>
      <c r="D33" t="n">
        <v>41.8</v>
      </c>
      <c r="E33" t="n">
        <v>1</v>
      </c>
      <c r="F33" s="7" t="n">
        <v>0.108905</v>
      </c>
      <c r="G33" t="n">
        <v>46.8411</v>
      </c>
      <c r="H33" t="inlineStr">
        <is>
          <t>https://api.worldbank.org/v2/country/USA/indicator/NY.GDP.PCAP.PP.CD?format=json&amp;mrv=30 | https://api.worldbank.org/v2/country/USA/indicator/NY.GDP.MKTP.KD.ZG?format=json&amp;mrv=30 | https://api.worldbank.org/v2/country/USA/indicator/SI.POV.GINI?format=json&amp;mrv=30 | +3 more</t>
        </is>
      </c>
      <c r="I33" t="inlineStr">
        <is>
          <t>Tier 3</t>
        </is>
      </c>
      <c r="J33" s="8" t="inlineStr">
        <is>
          <t>2024-12-31</t>
        </is>
      </c>
      <c r="K33" t="inlineStr">
        <is>
          <t>providers=world_bank; fields=gdp_per_capita_ppp, gdp_growth, gini_coefficient, ppp_private_consumption; +2 additional fields</t>
        </is>
      </c>
    </row>
    <row r="34">
      <c r="A34" t="inlineStr">
        <is>
          <t>Mexico</t>
        </is>
      </c>
      <c r="B34" t="n">
        <v>26185.36</v>
      </c>
      <c r="C34" s="7" t="n">
        <v>1.4274</v>
      </c>
      <c r="D34" t="n">
        <v>43.5</v>
      </c>
      <c r="E34" t="n">
        <v>10.801299</v>
      </c>
      <c r="F34" s="7" t="n">
        <v>0.141936</v>
      </c>
      <c r="G34" t="n">
        <v>26.5628</v>
      </c>
      <c r="H34" t="inlineStr">
        <is>
          <t>https://api.worldbank.org/v2/country/MEX/indicator/NY.GDP.PCAP.PP.CD?format=json&amp;mrv=30 | https://api.worldbank.org/v2/country/MEX/indicator/NY.GDP.MKTP.KD.ZG?format=json&amp;mrv=30 | https://api.worldbank.org/v2/country/MEX/indicator/SI.POV.GINI?format=json&amp;mrv=30 | +3 more</t>
        </is>
      </c>
      <c r="I34" t="inlineStr">
        <is>
          <t>Tier 3</t>
        </is>
      </c>
      <c r="J34" s="8" t="inlineStr">
        <is>
          <t>2024-12-31</t>
        </is>
      </c>
      <c r="K34" t="inlineStr">
        <is>
          <t>providers=world_bank; fields=gdp_per_capita_ppp, gdp_growth, gini_coefficient, ppp_private_consumption; +2 additional fields</t>
        </is>
      </c>
    </row>
    <row r="35">
      <c r="A35" t="inlineStr">
        <is>
          <t>Canada</t>
        </is>
      </c>
      <c r="B35" t="n">
        <v>64610.38</v>
      </c>
      <c r="C35" s="7" t="n">
        <v>1.5548</v>
      </c>
      <c r="D35" t="n">
        <v>31.1</v>
      </c>
      <c r="E35" t="n">
        <v>1.240903</v>
      </c>
      <c r="F35" s="7" t="n">
        <v>0.142302</v>
      </c>
      <c r="G35" t="n">
        <v>124.0978</v>
      </c>
      <c r="H35" t="inlineStr">
        <is>
          <t>https://api.worldbank.org/v2/country/CAN/indicator/NY.GDP.PCAP.PP.CD?format=json&amp;mrv=30 | https://api.worldbank.org/v2/country/CAN/indicator/NY.GDP.MKTP.KD.ZG?format=json&amp;mrv=30 | https://api.worldbank.org/v2/country/CAN/indicator/SI.POV.GINI?format=json&amp;mrv=30 | +3 more</t>
        </is>
      </c>
      <c r="I35" t="inlineStr">
        <is>
          <t>Tier 3</t>
        </is>
      </c>
      <c r="J35" s="8" t="inlineStr">
        <is>
          <t>2024-12-31</t>
        </is>
      </c>
      <c r="K35" t="inlineStr">
        <is>
          <t>providers=world_bank; fields=gdp_per_capita_ppp, gdp_growth, gini_coefficient, ppp_private_consumption; +2 additional fields</t>
        </is>
      </c>
    </row>
    <row r="36">
      <c r="A36" t="inlineStr">
        <is>
          <t>Panama</t>
        </is>
      </c>
      <c r="B36" t="n">
        <v>41369.42</v>
      </c>
      <c r="C36" s="7" t="n">
        <v>2.7479</v>
      </c>
      <c r="D36" t="n">
        <v>49.7</v>
      </c>
      <c r="E36" t="n">
        <v>0.511074</v>
      </c>
      <c r="F36" s="7" t="n">
        <v>0.07460600000000001</v>
      </c>
      <c r="G36" t="n">
        <v>68.0947</v>
      </c>
      <c r="H36" t="inlineStr">
        <is>
          <t>https://api.worldbank.org/v2/country/PAN/indicator/NY.GDP.PCAP.PP.CD?format=json&amp;mrv=30 | https://api.worldbank.org/v2/country/PAN/indicator/NY.GDP.MKTP.KD.ZG?format=json&amp;mrv=30 | https://api.worldbank.org/v2/country/PAN/indicator/SI.POV.GINI?format=json&amp;mrv=30 | +3 more</t>
        </is>
      </c>
      <c r="I36" t="inlineStr">
        <is>
          <t>Tier 3</t>
        </is>
      </c>
      <c r="J36" s="8" t="inlineStr">
        <is>
          <t>2024-12-31</t>
        </is>
      </c>
      <c r="K36" t="inlineStr">
        <is>
          <t>providers=world_bank; fields=gdp_per_capita_ppp, gdp_growth, gini_coefficient, ppp_private_consumption; +2 additional fields</t>
        </is>
      </c>
    </row>
    <row r="37">
      <c r="A37" t="inlineStr">
        <is>
          <t>Costa Rica</t>
        </is>
      </c>
      <c r="B37" t="n">
        <v>31106.76</v>
      </c>
      <c r="C37" s="7" t="n">
        <v>4.3212</v>
      </c>
      <c r="D37" t="n">
        <v>45.8</v>
      </c>
      <c r="E37" t="n">
        <v>328.046587</v>
      </c>
      <c r="F37" s="7" t="n">
        <v>0.139115</v>
      </c>
      <c r="G37" t="n">
        <v>50.9742</v>
      </c>
      <c r="H37" t="inlineStr">
        <is>
          <t>https://api.worldbank.org/v2/country/CRI/indicator/NY.GDP.PCAP.PP.CD?format=json&amp;mrv=30 | https://api.worldbank.org/v2/country/CRI/indicator/NY.GDP.MKTP.KD.ZG?format=json&amp;mrv=30 | https://api.worldbank.org/v2/country/CRI/indicator/SI.POV.GINI?format=json&amp;mrv=30 | +3 more</t>
        </is>
      </c>
      <c r="I37" t="inlineStr">
        <is>
          <t>Tier 3</t>
        </is>
      </c>
      <c r="J37" s="8" t="inlineStr">
        <is>
          <t>2024-12-31</t>
        </is>
      </c>
      <c r="K37" t="inlineStr">
        <is>
          <t>providers=world_bank; fields=gdp_per_capita_ppp, gdp_growth, gini_coefficient, ppp_private_consumption; +2 additional fields</t>
        </is>
      </c>
    </row>
    <row r="38">
      <c r="A38" t="inlineStr">
        <is>
          <t>Puerto Rico</t>
        </is>
      </c>
      <c r="B38" t="n">
        <v>50247.85</v>
      </c>
      <c r="C38" s="7" t="n">
        <v>3.1771</v>
      </c>
      <c r="E38" t="n">
        <v>0.896932</v>
      </c>
      <c r="F38" s="7" t="inlineStr"/>
      <c r="H38" t="inlineStr">
        <is>
          <t>https://api.worldbank.org/v2/country/PRI/indicator/NY.GDP.PCAP.PP.CD?format=json&amp;mrv=30 | https://api.worldbank.org/v2/country/PRI/indicator/NY.GDP.MKTP.KD.ZG?format=json&amp;mrv=30 | https://api.worldbank.org/v2/country/PRI/indicator/PA.NUS.PRVT.PP?format=json&amp;mrv=30</t>
        </is>
      </c>
      <c r="I38" t="inlineStr">
        <is>
          <t>Tier 3</t>
        </is>
      </c>
      <c r="J38" s="8" t="inlineStr">
        <is>
          <t>2024-12-31</t>
        </is>
      </c>
      <c r="K38" t="inlineStr">
        <is>
          <t>providers=world_bank; fields=gdp_per_capita_ppp, gdp_growth, ppp_private_consumption</t>
        </is>
      </c>
    </row>
    <row r="39">
      <c r="A39" t="inlineStr">
        <is>
          <t>Brazil</t>
        </is>
      </c>
      <c r="B39" t="n">
        <v>22338.48</v>
      </c>
      <c r="C39" s="7" t="n">
        <v>3.4193</v>
      </c>
      <c r="D39" t="n">
        <v>51.6</v>
      </c>
      <c r="E39" t="n">
        <v>2.524497</v>
      </c>
      <c r="F39" s="7" t="n">
        <v>0.154102</v>
      </c>
      <c r="G39" t="n">
        <v>75.6164</v>
      </c>
      <c r="H39" t="inlineStr">
        <is>
          <t>https://api.worldbank.org/v2/country/BRA/indicator/NY.GDP.PCAP.PP.CD?format=json&amp;mrv=30 | https://api.worldbank.org/v2/country/BRA/indicator/NY.GDP.MKTP.KD.ZG?format=json&amp;mrv=30 | https://api.worldbank.org/v2/country/BRA/indicator/SI.POV.GINI?format=json&amp;mrv=30 | +3 more</t>
        </is>
      </c>
      <c r="I39" t="inlineStr">
        <is>
          <t>Tier 3</t>
        </is>
      </c>
      <c r="J39" s="8" t="inlineStr">
        <is>
          <t>2024-12-31</t>
        </is>
      </c>
      <c r="K39" t="inlineStr">
        <is>
          <t>providers=world_bank; fields=gdp_per_capita_ppp, gdp_growth, gini_coefficient, ppp_private_consumption; +2 additional fields</t>
        </is>
      </c>
    </row>
    <row r="40">
      <c r="A40" t="inlineStr">
        <is>
          <t>Argentina</t>
        </is>
      </c>
      <c r="B40" t="n">
        <v>30431.19</v>
      </c>
      <c r="C40" s="7" t="n">
        <v>-1.3429</v>
      </c>
      <c r="D40" t="n">
        <v>42.4</v>
      </c>
      <c r="E40" t="n">
        <v>42.98624</v>
      </c>
      <c r="F40" s="7" t="n">
        <v>0.099289</v>
      </c>
      <c r="G40" t="n">
        <v>13.0788</v>
      </c>
      <c r="H40" t="inlineStr">
        <is>
          <t>https://api.worldbank.org/v2/country/ARG/indicator/NY.GDP.PCAP.PP.CD?format=json&amp;mrv=30 | https://api.worldbank.org/v2/country/ARG/indicator/NY.GDP.MKTP.KD.ZG?format=json&amp;mrv=30 | https://api.worldbank.org/v2/country/ARG/indicator/SI.POV.GINI?format=json&amp;mrv=30 | +3 more</t>
        </is>
      </c>
      <c r="I40" t="inlineStr">
        <is>
          <t>Tier 3</t>
        </is>
      </c>
      <c r="J40" s="8" t="inlineStr">
        <is>
          <t>2024-12-31</t>
        </is>
      </c>
      <c r="K40" t="inlineStr">
        <is>
          <t>providers=world_bank; fields=gdp_per_capita_ppp, gdp_growth, gini_coefficient, ppp_private_consumption; +2 additional fields</t>
        </is>
      </c>
    </row>
    <row r="41">
      <c r="A41" t="inlineStr">
        <is>
          <t>Chile</t>
        </is>
      </c>
      <c r="B41" t="n">
        <v>36181.16</v>
      </c>
      <c r="C41" s="7" t="n">
        <v>2.6443</v>
      </c>
      <c r="D41" t="n">
        <v>43</v>
      </c>
      <c r="E41" t="n">
        <v>464.876032</v>
      </c>
      <c r="F41" s="7" t="n">
        <v>0.177194</v>
      </c>
      <c r="G41" t="n">
        <v>74.9355</v>
      </c>
      <c r="H41" t="inlineStr">
        <is>
          <t>https://api.worldbank.org/v2/country/CHL/indicator/NY.GDP.PCAP.PP.CD?format=json&amp;mrv=30 | https://api.worldbank.org/v2/country/CHL/indicator/NY.GDP.MKTP.KD.ZG?format=json&amp;mrv=30 | https://api.worldbank.org/v2/country/CHL/indicator/SI.POV.GINI?format=json&amp;mrv=30 | +3 more</t>
        </is>
      </c>
      <c r="I41" t="inlineStr">
        <is>
          <t>Tier 3</t>
        </is>
      </c>
      <c r="J41" s="8" t="inlineStr">
        <is>
          <t>2024-12-31</t>
        </is>
      </c>
      <c r="K41" t="inlineStr">
        <is>
          <t>providers=world_bank; fields=gdp_per_capita_ppp, gdp_growth, gini_coefficient, ppp_private_consumption; +2 additional fields</t>
        </is>
      </c>
    </row>
    <row r="42">
      <c r="A42" t="inlineStr">
        <is>
          <t>Colombia</t>
        </is>
      </c>
      <c r="B42" t="n">
        <v>22349.44</v>
      </c>
      <c r="C42" s="7" t="n">
        <v>1.5983</v>
      </c>
      <c r="D42" t="n">
        <v>53.9</v>
      </c>
      <c r="E42" t="n">
        <v>1542.193816</v>
      </c>
      <c r="F42" s="7" t="n">
        <v>0.152812</v>
      </c>
      <c r="G42" t="n">
        <v>39.5117</v>
      </c>
      <c r="H42" t="inlineStr">
        <is>
          <t>https://api.worldbank.org/v2/country/COL/indicator/NY.GDP.PCAP.PP.CD?format=json&amp;mrv=30 | https://api.worldbank.org/v2/country/COL/indicator/NY.GDP.MKTP.KD.ZG?format=json&amp;mrv=30 | https://api.worldbank.org/v2/country/COL/indicator/SI.POV.GINI?format=json&amp;mrv=30 | +3 more</t>
        </is>
      </c>
      <c r="I42" t="inlineStr">
        <is>
          <t>Tier 3</t>
        </is>
      </c>
      <c r="J42" s="8" t="inlineStr">
        <is>
          <t>2024-12-31</t>
        </is>
      </c>
      <c r="K42" t="inlineStr">
        <is>
          <t>providers=world_bank; fields=gdp_per_capita_ppp, gdp_growth, gini_coefficient, ppp_private_consumption; +2 additional fields</t>
        </is>
      </c>
    </row>
    <row r="43">
      <c r="A43" t="inlineStr">
        <is>
          <t>Peru</t>
        </is>
      </c>
      <c r="B43" t="n">
        <v>17802.42</v>
      </c>
      <c r="C43" s="7" t="n">
        <v>3.3039</v>
      </c>
      <c r="D43" t="n">
        <v>40.1</v>
      </c>
      <c r="E43" t="n">
        <v>1.94918</v>
      </c>
      <c r="F43" s="7" t="n">
        <v>0.159243</v>
      </c>
      <c r="G43" t="n">
        <v>45.668</v>
      </c>
      <c r="H43" t="inlineStr">
        <is>
          <t>https://api.worldbank.org/v2/country/PER/indicator/NY.GDP.PCAP.PP.CD?format=json&amp;mrv=30 | https://api.worldbank.org/v2/country/PER/indicator/NY.GDP.MKTP.KD.ZG?format=json&amp;mrv=30 | https://api.worldbank.org/v2/country/PER/indicator/SI.POV.GINI?format=json&amp;mrv=30 | +3 more</t>
        </is>
      </c>
      <c r="I43" t="inlineStr">
        <is>
          <t>Tier 3</t>
        </is>
      </c>
      <c r="J43" s="8" t="inlineStr">
        <is>
          <t>2024-12-31</t>
        </is>
      </c>
      <c r="K43" t="inlineStr">
        <is>
          <t>providers=world_bank; fields=gdp_per_capita_ppp, gdp_growth, gini_coefficient, ppp_private_consumption; +2 additional fields</t>
        </is>
      </c>
    </row>
    <row r="44">
      <c r="A44" t="inlineStr">
        <is>
          <t>Uruguay</t>
        </is>
      </c>
      <c r="B44" t="n">
        <v>36417.87</v>
      </c>
      <c r="C44" s="7" t="n">
        <v>3.1083</v>
      </c>
      <c r="D44" t="n">
        <v>40</v>
      </c>
      <c r="E44" t="n">
        <v>29.298217</v>
      </c>
      <c r="F44" s="7" t="n">
        <v>0.181624</v>
      </c>
      <c r="G44" t="n">
        <v>31.0608</v>
      </c>
      <c r="H44" t="inlineStr">
        <is>
          <t>https://api.worldbank.org/v2/country/URY/indicator/NY.GDP.PCAP.PP.CD?format=json&amp;mrv=30 | https://api.worldbank.org/v2/country/URY/indicator/NY.GDP.MKTP.KD.ZG?format=json&amp;mrv=30 | https://api.worldbank.org/v2/country/URY/indicator/SI.POV.GINI?format=json&amp;mrv=30 | +3 more</t>
        </is>
      </c>
      <c r="I44" t="inlineStr">
        <is>
          <t>Tier 3</t>
        </is>
      </c>
      <c r="J44" s="8" t="inlineStr">
        <is>
          <t>2024-12-31</t>
        </is>
      </c>
      <c r="K44" t="inlineStr">
        <is>
          <t>providers=world_bank; fields=gdp_per_capita_ppp, gdp_growth, gini_coefficient, ppp_private_consumption; +2 additional fields</t>
        </is>
      </c>
    </row>
    <row r="45">
      <c r="A45" t="inlineStr">
        <is>
          <t>United Arab Emirates</t>
        </is>
      </c>
      <c r="B45" t="n">
        <v>79228.74000000001</v>
      </c>
      <c r="C45" s="7" t="n">
        <v>3.9918</v>
      </c>
      <c r="D45" t="n">
        <v>26.4</v>
      </c>
      <c r="E45" t="n">
        <v>2.56311</v>
      </c>
      <c r="F45" s="7" t="n">
        <v>0.006475</v>
      </c>
      <c r="G45" t="n">
        <v>67.9658</v>
      </c>
      <c r="H45" t="inlineStr">
        <is>
          <t>https://api.worldbank.org/v2/country/ARE/indicator/NY.GDP.PCAP.PP.CD?format=json&amp;mrv=30 | https://api.worldbank.org/v2/country/ARE/indicator/NY.GDP.MKTP.KD.ZG?format=json&amp;mrv=30 | https://api.worldbank.org/v2/country/ARE/indicator/SI.POV.GINI?format=json&amp;mrv=30 | +3 more</t>
        </is>
      </c>
      <c r="I45" t="inlineStr">
        <is>
          <t>Tier 3</t>
        </is>
      </c>
      <c r="J45" s="8" t="inlineStr">
        <is>
          <t>2024-12-31</t>
        </is>
      </c>
      <c r="K45" t="inlineStr">
        <is>
          <t>providers=world_bank; fields=gdp_per_capita_ppp, gdp_growth, gini_coefficient, ppp_private_consumption; +2 additional fields</t>
        </is>
      </c>
    </row>
    <row r="46">
      <c r="A46" t="inlineStr">
        <is>
          <t>Qatar</t>
        </is>
      </c>
      <c r="B46" t="n">
        <v>126046.35</v>
      </c>
      <c r="C46" s="7" t="n">
        <v>2.3597</v>
      </c>
      <c r="D46" t="n">
        <v>35.1</v>
      </c>
      <c r="E46" t="n">
        <v>2.755487</v>
      </c>
      <c r="F46" s="7" t="inlineStr"/>
      <c r="G46" t="n">
        <v>118.8652</v>
      </c>
      <c r="H46" t="inlineStr">
        <is>
          <t>https://api.worldbank.org/v2/country/QAT/indicator/NY.GDP.PCAP.PP.CD?format=json&amp;mrv=30 | https://api.worldbank.org/v2/country/QAT/indicator/NY.GDP.MKTP.KD.ZG?format=json&amp;mrv=30 | https://api.worldbank.org/v2/country/QAT/indicator/SI.POV.GINI?format=json&amp;mrv=30 | +2 more</t>
        </is>
      </c>
      <c r="I46" t="inlineStr">
        <is>
          <t>Tier 3</t>
        </is>
      </c>
      <c r="J46" s="8" t="inlineStr">
        <is>
          <t>2024-12-31</t>
        </is>
      </c>
      <c r="K46" t="inlineStr">
        <is>
          <t>providers=world_bank; fields=gdp_per_capita_ppp, gdp_growth, gini_coefficient, ppp_private_consumption; +1 additional fields</t>
        </is>
      </c>
    </row>
    <row r="47">
      <c r="A47" t="inlineStr">
        <is>
          <t>Saudi Arabia</t>
        </is>
      </c>
      <c r="B47" t="n">
        <v>71375.37</v>
      </c>
      <c r="C47" s="7" t="n">
        <v>1.9965</v>
      </c>
      <c r="E47" t="n">
        <v>1.882361</v>
      </c>
      <c r="F47" s="7" t="n">
        <v>0.081847</v>
      </c>
      <c r="G47" t="n">
        <v>50.1376</v>
      </c>
      <c r="H47" t="inlineStr">
        <is>
          <t>https://api.worldbank.org/v2/country/SAU/indicator/NY.GDP.PCAP.PP.CD?format=json&amp;mrv=30 | https://api.worldbank.org/v2/country/SAU/indicator/NY.GDP.MKTP.KD.ZG?format=json&amp;mrv=30 | https://api.worldbank.org/v2/country/SAU/indicator/PA.NUS.PRVT.PP?format=json&amp;mrv=30 | +2 more</t>
        </is>
      </c>
      <c r="I47" t="inlineStr">
        <is>
          <t>Tier 3</t>
        </is>
      </c>
      <c r="J47" s="8" t="inlineStr">
        <is>
          <t>2024-12-31</t>
        </is>
      </c>
      <c r="K47" t="inlineStr">
        <is>
          <t>providers=world_bank; fields=gdp_per_capita_ppp, gdp_growth, ppp_private_consumption, tax_rate_assumption; +1 additional fields</t>
        </is>
      </c>
    </row>
    <row r="48">
      <c r="A48" t="inlineStr">
        <is>
          <t>Israel</t>
        </is>
      </c>
      <c r="B48" t="n">
        <v>57235.78</v>
      </c>
      <c r="C48" s="7" t="n">
        <v>0.872</v>
      </c>
      <c r="D48" t="n">
        <v>37.9</v>
      </c>
      <c r="E48" t="n">
        <v>3.607983</v>
      </c>
      <c r="F48" s="7" t="n">
        <v>0.221364</v>
      </c>
      <c r="G48" t="n">
        <v>69.7497</v>
      </c>
      <c r="H48" t="inlineStr">
        <is>
          <t>https://api.worldbank.org/v2/country/ISR/indicator/NY.GDP.PCAP.PP.CD?format=json&amp;mrv=30 | https://api.worldbank.org/v2/country/ISR/indicator/NY.GDP.MKTP.KD.ZG?format=json&amp;mrv=30 | https://api.worldbank.org/v2/country/ISR/indicator/SI.POV.GINI?format=json&amp;mrv=30 | +3 more</t>
        </is>
      </c>
      <c r="I48" t="inlineStr">
        <is>
          <t>Tier 3</t>
        </is>
      </c>
      <c r="J48" s="8" t="inlineStr">
        <is>
          <t>2024-12-31</t>
        </is>
      </c>
      <c r="K48" t="inlineStr">
        <is>
          <t>providers=world_bank; fields=gdp_per_capita_ppp, gdp_growth, gini_coefficient, ppp_private_consumption; +2 additional fields</t>
        </is>
      </c>
    </row>
    <row r="49">
      <c r="A49" t="inlineStr">
        <is>
          <t>Oman</t>
        </is>
      </c>
      <c r="B49" t="n">
        <v>41740.17</v>
      </c>
      <c r="C49" s="7" t="n">
        <v>1.6316</v>
      </c>
      <c r="E49" t="n">
        <v>0.184982</v>
      </c>
      <c r="F49" s="7" t="inlineStr"/>
      <c r="G49" t="n">
        <v>59.7083</v>
      </c>
      <c r="H49" t="inlineStr">
        <is>
          <t>https://api.worldbank.org/v2/country/OMN/indicator/NY.GDP.PCAP.PP.CD?format=json&amp;mrv=30 | https://api.worldbank.org/v2/country/OMN/indicator/NY.GDP.MKTP.KD.ZG?format=json&amp;mrv=30 | https://api.worldbank.org/v2/country/OMN/indicator/PA.NUS.PRVT.PP?format=json&amp;mrv=30 | +1 more</t>
        </is>
      </c>
      <c r="I49" t="inlineStr">
        <is>
          <t>Tier 3</t>
        </is>
      </c>
      <c r="J49" s="8" t="inlineStr">
        <is>
          <t>2024-12-31</t>
        </is>
      </c>
      <c r="K49" t="inlineStr">
        <is>
          <t>providers=world_bank; fields=gdp_per_capita_ppp, gdp_growth, ppp_private_consumption, household_debt_proxy</t>
        </is>
      </c>
    </row>
    <row r="50">
      <c r="A50" t="inlineStr">
        <is>
          <t>Bahrain</t>
        </is>
      </c>
      <c r="B50" t="n">
        <v>66941.24000000001</v>
      </c>
      <c r="C50" s="7" t="n">
        <v>2.6038</v>
      </c>
      <c r="E50" t="n">
        <v>0.188671</v>
      </c>
      <c r="F50" s="7" t="n">
        <v>0.028232</v>
      </c>
      <c r="G50" t="n">
        <v>70.5501</v>
      </c>
      <c r="H50" t="inlineStr">
        <is>
          <t>https://api.worldbank.org/v2/country/BHR/indicator/NY.GDP.PCAP.PP.CD?format=json&amp;mrv=30 | https://api.worldbank.org/v2/country/BHR/indicator/NY.GDP.MKTP.KD.ZG?format=json&amp;mrv=30 | https://api.worldbank.org/v2/country/BHR/indicator/PA.NUS.PRVT.PP?format=json&amp;mrv=30 | +2 more</t>
        </is>
      </c>
      <c r="I50" t="inlineStr">
        <is>
          <t>Tier 3</t>
        </is>
      </c>
      <c r="J50" s="8" t="inlineStr">
        <is>
          <t>2024-12-31</t>
        </is>
      </c>
      <c r="K50" t="inlineStr">
        <is>
          <t>providers=world_bank; fields=gdp_per_capita_ppp, gdp_growth, ppp_private_consumption, tax_rate_assumption; +1 additional fields</t>
        </is>
      </c>
    </row>
    <row r="51">
      <c r="A51" t="inlineStr">
        <is>
          <t>Kuwait</t>
        </is>
      </c>
      <c r="B51" t="n">
        <v>52443.6</v>
      </c>
      <c r="C51" s="7" t="n">
        <v>-2.5601</v>
      </c>
      <c r="E51" t="n">
        <v>0.183789</v>
      </c>
      <c r="F51" s="7" t="n">
        <v>0.014924</v>
      </c>
      <c r="G51" t="n">
        <v>4.3975</v>
      </c>
      <c r="H51" t="inlineStr">
        <is>
          <t>https://api.worldbank.org/v2/country/KWT/indicator/NY.GDP.PCAP.PP.CD?format=json&amp;mrv=30 | https://api.worldbank.org/v2/country/KWT/indicator/NY.GDP.MKTP.KD.ZG?format=json&amp;mrv=30 | https://api.worldbank.org/v2/country/KWT/indicator/PA.NUS.PRVT.PP?format=json&amp;mrv=30 | +2 more</t>
        </is>
      </c>
      <c r="I51" t="inlineStr">
        <is>
          <t>Tier 3</t>
        </is>
      </c>
      <c r="J51" s="8" t="inlineStr">
        <is>
          <t>2024-12-31</t>
        </is>
      </c>
      <c r="K51" t="inlineStr">
        <is>
          <t>providers=world_bank; fields=gdp_per_capita_ppp, gdp_growth, ppp_private_consumption, tax_rate_assumption; +1 additional fields</t>
        </is>
      </c>
    </row>
    <row r="52">
      <c r="A52" t="inlineStr">
        <is>
          <t>Jordan</t>
        </is>
      </c>
      <c r="B52" t="n">
        <v>10821.49</v>
      </c>
      <c r="C52" s="7" t="n">
        <v>2.4889</v>
      </c>
      <c r="D52" t="n">
        <v>33.7</v>
      </c>
      <c r="E52" t="n">
        <v>0.321203</v>
      </c>
      <c r="F52" s="7" t="n">
        <v>0.170491</v>
      </c>
      <c r="G52" t="n">
        <v>80.0729</v>
      </c>
      <c r="H52" t="inlineStr">
        <is>
          <t>https://api.worldbank.org/v2/country/JOR/indicator/NY.GDP.PCAP.PP.CD?format=json&amp;mrv=30 | https://api.worldbank.org/v2/country/JOR/indicator/NY.GDP.MKTP.KD.ZG?format=json&amp;mrv=30 | https://api.worldbank.org/v2/country/JOR/indicator/SI.POV.GINI?format=json&amp;mrv=30 | +3 more</t>
        </is>
      </c>
      <c r="I52" t="inlineStr">
        <is>
          <t>Tier 3</t>
        </is>
      </c>
      <c r="J52" s="8" t="inlineStr">
        <is>
          <t>2024-12-31</t>
        </is>
      </c>
      <c r="K52" t="inlineStr">
        <is>
          <t>providers=world_bank; fields=gdp_per_capita_ppp, gdp_growth, gini_coefficient, ppp_private_consumption; +2 additional fields</t>
        </is>
      </c>
    </row>
    <row r="53">
      <c r="A53" t="inlineStr">
        <is>
          <t>South Africa</t>
        </is>
      </c>
      <c r="B53" t="n">
        <v>15456.2</v>
      </c>
      <c r="C53" s="7" t="n">
        <v>0.5348000000000001</v>
      </c>
      <c r="D53" t="n">
        <v>63</v>
      </c>
      <c r="E53" t="n">
        <v>7.701915</v>
      </c>
      <c r="F53" s="7" t="n">
        <v>0.254005</v>
      </c>
      <c r="G53" t="n">
        <v>57.4717</v>
      </c>
      <c r="H53" t="inlineStr">
        <is>
          <t>https://api.worldbank.org/v2/country/ZAF/indicator/NY.GDP.PCAP.PP.CD?format=json&amp;mrv=30 | https://api.worldbank.org/v2/country/ZAF/indicator/NY.GDP.MKTP.KD.ZG?format=json&amp;mrv=30 | https://api.worldbank.org/v2/country/ZAF/indicator/SI.POV.GINI?format=json&amp;mrv=30 | +3 more</t>
        </is>
      </c>
      <c r="I53" t="inlineStr">
        <is>
          <t>Tier 3</t>
        </is>
      </c>
      <c r="J53" s="8" t="inlineStr">
        <is>
          <t>2024-12-31</t>
        </is>
      </c>
      <c r="K53" t="inlineStr">
        <is>
          <t>providers=world_bank; fields=gdp_per_capita_ppp, gdp_growth, gini_coefficient, ppp_private_consumption; +2 additional fields</t>
        </is>
      </c>
    </row>
    <row r="54">
      <c r="A54" t="inlineStr">
        <is>
          <t>Kenya</t>
        </is>
      </c>
      <c r="B54" t="n">
        <v>6644.13</v>
      </c>
      <c r="C54" s="7" t="n">
        <v>4.7247</v>
      </c>
      <c r="D54" t="n">
        <v>37.7</v>
      </c>
      <c r="E54" t="n">
        <v>44.391722</v>
      </c>
      <c r="F54" s="7" t="n">
        <v>0.140631</v>
      </c>
      <c r="G54" t="n">
        <v>31.7729</v>
      </c>
      <c r="H54" t="inlineStr">
        <is>
          <t>https://api.worldbank.org/v2/country/KEN/indicator/NY.GDP.PCAP.PP.CD?format=json&amp;mrv=30 | https://api.worldbank.org/v2/country/KEN/indicator/NY.GDP.MKTP.KD.ZG?format=json&amp;mrv=30 | https://api.worldbank.org/v2/country/KEN/indicator/SI.POV.GINI?format=json&amp;mrv=30 | +3 more</t>
        </is>
      </c>
      <c r="I54" t="inlineStr">
        <is>
          <t>Tier 3</t>
        </is>
      </c>
      <c r="J54" s="8" t="inlineStr">
        <is>
          <t>2024-12-31</t>
        </is>
      </c>
      <c r="K54" t="inlineStr">
        <is>
          <t>providers=world_bank; fields=gdp_per_capita_ppp, gdp_growth, gini_coefficient, ppp_private_consumption; +2 additional fields</t>
        </is>
      </c>
    </row>
    <row r="55">
      <c r="A55" t="inlineStr">
        <is>
          <t>Rwanda</t>
        </is>
      </c>
      <c r="B55" t="n">
        <v>3710.86</v>
      </c>
      <c r="C55" s="7" t="n">
        <v>8.890700000000001</v>
      </c>
      <c r="D55" t="n">
        <v>39.4</v>
      </c>
      <c r="E55" t="n">
        <v>361.39523</v>
      </c>
      <c r="F55" s="7" t="n">
        <v>0.135081</v>
      </c>
      <c r="G55" t="n">
        <v>22.5267</v>
      </c>
      <c r="H55" t="inlineStr">
        <is>
          <t>https://api.worldbank.org/v2/country/RWA/indicator/NY.GDP.PCAP.PP.CD?format=json&amp;mrv=30 | https://api.worldbank.org/v2/country/RWA/indicator/NY.GDP.MKTP.KD.ZG?format=json&amp;mrv=30 | https://api.worldbank.org/v2/country/RWA/indicator/SI.POV.GINI?format=json&amp;mrv=30 | +3 more</t>
        </is>
      </c>
      <c r="I55" t="inlineStr">
        <is>
          <t>Tier 3</t>
        </is>
      </c>
      <c r="J55" s="8" t="inlineStr">
        <is>
          <t>2024-12-31</t>
        </is>
      </c>
      <c r="K55" t="inlineStr">
        <is>
          <t>providers=world_bank; fields=gdp_per_capita_ppp, gdp_growth, gini_coefficient, ppp_private_consumption; +2 additional fields</t>
        </is>
      </c>
    </row>
    <row r="56">
      <c r="A56" t="inlineStr">
        <is>
          <t>Morocco</t>
        </is>
      </c>
      <c r="B56" t="n">
        <v>10415.12</v>
      </c>
      <c r="C56" s="7" t="n">
        <v>3.7934</v>
      </c>
      <c r="D56" t="n">
        <v>39.5</v>
      </c>
      <c r="E56" t="n">
        <v>4.038145</v>
      </c>
      <c r="F56" s="7" t="n">
        <v>0.207439</v>
      </c>
      <c r="G56" t="n">
        <v>54.7741</v>
      </c>
      <c r="H56" t="inlineStr">
        <is>
          <t>https://api.worldbank.org/v2/country/MAR/indicator/NY.GDP.PCAP.PP.CD?format=json&amp;mrv=30 | https://api.worldbank.org/v2/country/MAR/indicator/NY.GDP.MKTP.KD.ZG?format=json&amp;mrv=30 | https://api.worldbank.org/v2/country/MAR/indicator/SI.POV.GINI?format=json&amp;mrv=30 | +3 more</t>
        </is>
      </c>
      <c r="I56" t="inlineStr">
        <is>
          <t>Tier 3</t>
        </is>
      </c>
      <c r="J56" s="8" t="inlineStr">
        <is>
          <t>2024-12-31</t>
        </is>
      </c>
      <c r="K56" t="inlineStr">
        <is>
          <t>providers=world_bank; fields=gdp_per_capita_ppp, gdp_growth, gini_coefficient, ppp_private_consumption; +2 additional fields</t>
        </is>
      </c>
    </row>
    <row r="57">
      <c r="A57" t="inlineStr">
        <is>
          <t>Mauritius</t>
        </is>
      </c>
      <c r="B57" t="n">
        <v>31839.76</v>
      </c>
      <c r="C57" s="7" t="n">
        <v>4.9251</v>
      </c>
      <c r="D57" t="n">
        <v>36.8</v>
      </c>
      <c r="E57" t="n">
        <v>19.916335</v>
      </c>
      <c r="F57" s="7" t="n">
        <v>0.205324</v>
      </c>
      <c r="G57" t="n">
        <v>69.82210000000001</v>
      </c>
      <c r="H57" t="inlineStr">
        <is>
          <t>https://api.worldbank.org/v2/country/MUS/indicator/NY.GDP.PCAP.PP.CD?format=json&amp;mrv=30 | https://api.worldbank.org/v2/country/MUS/indicator/NY.GDP.MKTP.KD.ZG?format=json&amp;mrv=30 | https://api.worldbank.org/v2/country/MUS/indicator/SI.POV.GINI?format=json&amp;mrv=30 | +3 more</t>
        </is>
      </c>
      <c r="I57" t="inlineStr">
        <is>
          <t>Tier 3</t>
        </is>
      </c>
      <c r="J57" s="8" t="inlineStr">
        <is>
          <t>2024-12-31</t>
        </is>
      </c>
      <c r="K57" t="inlineStr">
        <is>
          <t>providers=world_bank; fields=gdp_per_capita_ppp, gdp_growth, gini_coefficient, ppp_private_consumption; +2 additional fields</t>
        </is>
      </c>
    </row>
    <row r="58">
      <c r="A58" t="inlineStr">
        <is>
          <t>Botswana</t>
        </is>
      </c>
      <c r="B58" t="n">
        <v>20538.13</v>
      </c>
      <c r="C58" s="7" t="n">
        <v>-2.9899</v>
      </c>
      <c r="D58" t="n">
        <v>54.9</v>
      </c>
      <c r="E58" t="n">
        <v>5.312715</v>
      </c>
      <c r="F58" s="7" t="n">
        <v>0.224882</v>
      </c>
      <c r="G58" t="n">
        <v>32.8462</v>
      </c>
      <c r="H58" t="inlineStr">
        <is>
          <t>https://api.worldbank.org/v2/country/BWA/indicator/NY.GDP.PCAP.PP.CD?format=json&amp;mrv=30 | https://api.worldbank.org/v2/country/BWA/indicator/NY.GDP.MKTP.KD.ZG?format=json&amp;mrv=30 | https://api.worldbank.org/v2/country/BWA/indicator/SI.POV.GINI?format=json&amp;mrv=30 | +3 more</t>
        </is>
      </c>
      <c r="I58" t="inlineStr">
        <is>
          <t>Tier 3</t>
        </is>
      </c>
      <c r="J58" s="8" t="inlineStr">
        <is>
          <t>2024-12-31</t>
        </is>
      </c>
      <c r="K58" t="inlineStr">
        <is>
          <t>providers=world_bank; fields=gdp_per_capita_ppp, gdp_growth, gini_coefficient, ppp_private_consumption; +2 additional fields</t>
        </is>
      </c>
    </row>
    <row r="59">
      <c r="A59" t="inlineStr">
        <is>
          <t>Namibia</t>
        </is>
      </c>
      <c r="B59" t="n">
        <v>11686.6</v>
      </c>
      <c r="C59" s="7" t="n">
        <v>3.7115</v>
      </c>
      <c r="D59" t="n">
        <v>59.1</v>
      </c>
      <c r="E59" t="n">
        <v>7.321244</v>
      </c>
      <c r="F59" s="7" t="n">
        <v>0.329629</v>
      </c>
      <c r="G59" t="n">
        <v>48.2075</v>
      </c>
      <c r="H59" t="inlineStr">
        <is>
          <t>https://api.worldbank.org/v2/country/NAM/indicator/NY.GDP.PCAP.PP.CD?format=json&amp;mrv=30 | https://api.worldbank.org/v2/country/NAM/indicator/NY.GDP.MKTP.KD.ZG?format=json&amp;mrv=30 | https://api.worldbank.org/v2/country/NAM/indicator/SI.POV.GINI?format=json&amp;mrv=30 | +3 more</t>
        </is>
      </c>
      <c r="I59" t="inlineStr">
        <is>
          <t>Tier 3</t>
        </is>
      </c>
      <c r="J59" s="8" t="inlineStr">
        <is>
          <t>2024-12-31</t>
        </is>
      </c>
      <c r="K59" t="inlineStr">
        <is>
          <t>providers=world_bank; fields=gdp_per_capita_ppp, gdp_growth, gini_coefficient, ppp_private_consumption; +2 additional fields</t>
        </is>
      </c>
    </row>
    <row r="60">
      <c r="A60" t="inlineStr">
        <is>
          <t>Ghana</t>
        </is>
      </c>
      <c r="B60" t="n">
        <v>8020</v>
      </c>
      <c r="C60" s="7" t="n">
        <v>5.5905</v>
      </c>
      <c r="D60" t="n">
        <v>43.5</v>
      </c>
      <c r="E60" t="n">
        <v>4.721006</v>
      </c>
      <c r="F60" s="7" t="n">
        <v>0.122975</v>
      </c>
      <c r="G60" t="n">
        <v>8.651199999999999</v>
      </c>
      <c r="H60" t="inlineStr">
        <is>
          <t>https://api.worldbank.org/v2/country/GHA/indicator/NY.GDP.PCAP.PP.CD?format=json&amp;mrv=30 | https://api.worldbank.org/v2/country/GHA/indicator/NY.GDP.MKTP.KD.ZG?format=json&amp;mrv=30 | https://api.worldbank.org/v2/country/GHA/indicator/SI.POV.GINI?format=json&amp;mrv=30 | +3 more</t>
        </is>
      </c>
      <c r="I60" t="inlineStr">
        <is>
          <t>Tier 3</t>
        </is>
      </c>
      <c r="J60" s="8" t="inlineStr">
        <is>
          <t>2024-12-31</t>
        </is>
      </c>
      <c r="K60" t="inlineStr">
        <is>
          <t>providers=world_bank; fields=gdp_per_capita_ppp, gdp_growth, gini_coefficient, ppp_private_consumption; +2 additional fields</t>
        </is>
      </c>
    </row>
    <row r="61">
      <c r="A61" t="inlineStr">
        <is>
          <t>Senegal</t>
        </is>
      </c>
      <c r="B61" t="n">
        <v>5070.65</v>
      </c>
      <c r="C61" s="7" t="n">
        <v>6.0606</v>
      </c>
      <c r="D61" t="n">
        <v>36.2</v>
      </c>
      <c r="E61" t="n">
        <v>229.280958</v>
      </c>
      <c r="F61" s="7" t="n">
        <v>0.195371</v>
      </c>
      <c r="G61" t="n">
        <v>29.205</v>
      </c>
      <c r="H61" t="inlineStr">
        <is>
          <t>https://api.worldbank.org/v2/country/SEN/indicator/NY.GDP.PCAP.PP.CD?format=json&amp;mrv=30 | https://api.worldbank.org/v2/country/SEN/indicator/NY.GDP.MKTP.KD.ZG?format=json&amp;mrv=30 | https://api.worldbank.org/v2/country/SEN/indicator/SI.POV.GINI?format=json&amp;mrv=30 | +3 more</t>
        </is>
      </c>
      <c r="I61" t="inlineStr">
        <is>
          <t>Tier 3</t>
        </is>
      </c>
      <c r="J61" s="8" t="inlineStr">
        <is>
          <t>2024-12-31</t>
        </is>
      </c>
      <c r="K61" t="inlineStr">
        <is>
          <t>providers=world_bank; fields=gdp_per_capita_ppp, gdp_growth, gini_coefficient, ppp_private_consumption; +2 additional fields</t>
        </is>
      </c>
    </row>
    <row r="62">
      <c r="A62" t="inlineStr">
        <is>
          <t>New Zealand</t>
        </is>
      </c>
      <c r="B62" t="n">
        <v>55551.14</v>
      </c>
      <c r="C62" s="7" t="n">
        <v>1.2886</v>
      </c>
      <c r="E62" t="n">
        <v>1.499938</v>
      </c>
      <c r="F62" s="7" t="n">
        <v>0.306678</v>
      </c>
      <c r="G62" t="n">
        <v>129.7971</v>
      </c>
      <c r="H62" t="inlineStr">
        <is>
          <t>https://api.worldbank.org/v2/country/NZL/indicator/NY.GDP.PCAP.PP.CD?format=json&amp;mrv=30 | https://api.worldbank.org/v2/country/NZL/indicator/NY.GDP.MKTP.KD.ZG?format=json&amp;mrv=30 | https://api.worldbank.org/v2/country/NZL/indicator/PA.NUS.PRVT.PP?format=json&amp;mrv=30 | +2 more</t>
        </is>
      </c>
      <c r="I62" t="inlineStr">
        <is>
          <t>Tier 3</t>
        </is>
      </c>
      <c r="J62" s="8" t="inlineStr">
        <is>
          <t>2024-12-31</t>
        </is>
      </c>
      <c r="K62" t="inlineStr">
        <is>
          <t>providers=world_bank; fields=gdp_per_capita_ppp, gdp_growth, ppp_private_consumption, tax_rate_assumption; +1 additional fields</t>
        </is>
      </c>
    </row>
    <row r="63">
      <c r="A63" t="inlineStr">
        <is>
          <t>Australia</t>
        </is>
      </c>
      <c r="B63" t="n">
        <v>72111.17999999999</v>
      </c>
      <c r="C63" s="7" t="n">
        <v>1.3734</v>
      </c>
      <c r="D63" t="n">
        <v>33.8</v>
      </c>
      <c r="E63" t="n">
        <v>1.427398</v>
      </c>
      <c r="F63" s="7" t="n">
        <v>0.235615</v>
      </c>
      <c r="G63" t="n">
        <v>129.3173</v>
      </c>
      <c r="H63" t="inlineStr">
        <is>
          <t>https://api.worldbank.org/v2/country/AUS/indicator/NY.GDP.PCAP.PP.CD?format=json&amp;mrv=30 | https://api.worldbank.org/v2/country/AUS/indicator/NY.GDP.MKTP.KD.ZG?format=json&amp;mrv=30 | https://api.worldbank.org/v2/country/AUS/indicator/SI.POV.GINI?format=json&amp;mrv=30 | +3 more</t>
        </is>
      </c>
      <c r="I63" t="inlineStr">
        <is>
          <t>Tier 3</t>
        </is>
      </c>
      <c r="J63" s="8" t="inlineStr">
        <is>
          <t>2024-12-31</t>
        </is>
      </c>
      <c r="K63" t="inlineStr">
        <is>
          <t>providers=world_bank; fields=gdp_per_capita_ppp, gdp_growth, gini_coefficient, ppp_private_consumption; +2 additional fields</t>
        </is>
      </c>
    </row>
    <row r="64">
      <c r="A64" t="inlineStr">
        <is>
          <t>Fiji</t>
        </is>
      </c>
      <c r="B64" t="n">
        <v>15450.3</v>
      </c>
      <c r="C64" s="7" t="n">
        <v>3.5309</v>
      </c>
      <c r="D64" t="n">
        <v>30.7</v>
      </c>
      <c r="E64" t="n">
        <v>0.910728</v>
      </c>
      <c r="F64" s="7" t="n">
        <v>0.20538</v>
      </c>
      <c r="G64" t="n">
        <v>75.99930000000001</v>
      </c>
      <c r="H64" t="inlineStr">
        <is>
          <t>https://api.worldbank.org/v2/country/FJI/indicator/NY.GDP.PCAP.PP.CD?format=json&amp;mrv=30 | https://api.worldbank.org/v2/country/FJI/indicator/NY.GDP.MKTP.KD.ZG?format=json&amp;mrv=30 | https://api.worldbank.org/v2/country/FJI/indicator/SI.POV.GINI?format=json&amp;mrv=30 | +3 more</t>
        </is>
      </c>
      <c r="I64" t="inlineStr">
        <is>
          <t>Tier 3</t>
        </is>
      </c>
      <c r="J64" s="8" t="inlineStr">
        <is>
          <t>2024-12-31</t>
        </is>
      </c>
      <c r="K64" t="inlineStr">
        <is>
          <t>providers=world_bank; fields=gdp_per_capita_ppp, gdp_growth, gini_coefficient, ppp_private_consumption; +2 additional fields</t>
        </is>
      </c>
    </row>
    <row r="65">
      <c r="A65" t="inlineStr">
        <is>
          <t>Vietnam</t>
        </is>
      </c>
      <c r="C65" s="7" t="inlineStr"/>
      <c r="F65" s="7" t="inlineStr"/>
      <c r="J65" s="8" t="inlineStr"/>
      <c r="K65" t="inlineStr">
        <is>
          <t>Populate official country context inputs before ranking.</t>
        </is>
      </c>
    </row>
    <row r="66">
      <c r="A66" t="inlineStr">
        <is>
          <t>Cambodia</t>
        </is>
      </c>
      <c r="C66" s="7" t="inlineStr"/>
      <c r="F66" s="7" t="inlineStr"/>
      <c r="J66" s="8" t="inlineStr"/>
      <c r="K66" t="inlineStr">
        <is>
          <t>Populate official country context inputs before ranking.</t>
        </is>
      </c>
    </row>
    <row r="67">
      <c r="A67" t="inlineStr">
        <is>
          <t>Czechia</t>
        </is>
      </c>
      <c r="C67" s="7" t="inlineStr"/>
      <c r="F67" s="7" t="inlineStr"/>
      <c r="J67" s="8" t="inlineStr"/>
      <c r="K67" t="inlineStr">
        <is>
          <t>Populate official country context inputs before ranking.</t>
        </is>
      </c>
    </row>
    <row r="68">
      <c r="A68" t="inlineStr">
        <is>
          <t>Slovenia</t>
        </is>
      </c>
      <c r="C68" s="7" t="inlineStr"/>
      <c r="F68" s="7" t="inlineStr"/>
      <c r="J68" s="8" t="inlineStr"/>
      <c r="K68" t="inlineStr">
        <is>
          <t>Populate official country context inputs before ranking.</t>
        </is>
      </c>
    </row>
    <row r="69">
      <c r="A69" t="inlineStr">
        <is>
          <t>Croatia</t>
        </is>
      </c>
      <c r="C69" s="7" t="inlineStr"/>
      <c r="F69" s="7" t="inlineStr"/>
      <c r="J69" s="8" t="inlineStr"/>
      <c r="K69" t="inlineStr">
        <is>
          <t>Populate official country context inputs before ranking.</t>
        </is>
      </c>
    </row>
    <row r="70">
      <c r="A70" t="inlineStr">
        <is>
          <t>Lithuania</t>
        </is>
      </c>
      <c r="C70" s="7" t="inlineStr"/>
      <c r="F70" s="7" t="inlineStr"/>
      <c r="J70" s="8" t="inlineStr"/>
      <c r="K70" t="inlineStr">
        <is>
          <t>Populate official country context inputs before ranking.</t>
        </is>
      </c>
    </row>
    <row r="71">
      <c r="A71" t="inlineStr">
        <is>
          <t>Latvia</t>
        </is>
      </c>
      <c r="C71" s="7" t="inlineStr"/>
      <c r="F71" s="7" t="inlineStr"/>
      <c r="J71" s="8" t="inlineStr"/>
      <c r="K71" t="inlineStr">
        <is>
          <t>Populate official country context inputs before ranking.</t>
        </is>
      </c>
    </row>
    <row r="72">
      <c r="A72" t="inlineStr">
        <is>
          <t>Georgia</t>
        </is>
      </c>
      <c r="C72" s="7" t="inlineStr"/>
      <c r="F72" s="7" t="inlineStr"/>
      <c r="J72" s="8" t="inlineStr"/>
      <c r="K72" t="inlineStr">
        <is>
          <t>Populate official country context inputs before ranking.</t>
        </is>
      </c>
    </row>
    <row r="73">
      <c r="A73" t="inlineStr">
        <is>
          <t>Spain</t>
        </is>
      </c>
      <c r="C73" s="7" t="inlineStr"/>
      <c r="F73" s="7" t="inlineStr"/>
      <c r="J73" s="8" t="inlineStr"/>
      <c r="K73" t="inlineStr">
        <is>
          <t>Populate official country context inputs before ranking.</t>
        </is>
      </c>
    </row>
    <row r="74">
      <c r="A74" t="inlineStr">
        <is>
          <t>Germany</t>
        </is>
      </c>
      <c r="C74" s="7" t="inlineStr"/>
      <c r="F74" s="7" t="inlineStr"/>
      <c r="J74" s="8" t="inlineStr"/>
      <c r="K74" t="inlineStr">
        <is>
          <t>Populate official country context inputs before ranking.</t>
        </is>
      </c>
    </row>
    <row r="75">
      <c r="A75" t="inlineStr">
        <is>
          <t>Belgium</t>
        </is>
      </c>
      <c r="C75" s="7" t="inlineStr"/>
      <c r="F75" s="7" t="inlineStr"/>
      <c r="J75" s="8" t="inlineStr"/>
      <c r="K75" t="inlineStr">
        <is>
          <t>Populate official country context inputs before ranking.</t>
        </is>
      </c>
    </row>
    <row r="76">
      <c r="A76" t="inlineStr">
        <is>
          <t>Ireland</t>
        </is>
      </c>
      <c r="C76" s="7" t="inlineStr"/>
      <c r="F76" s="7" t="inlineStr"/>
      <c r="J76" s="8" t="inlineStr"/>
      <c r="K76" t="inlineStr">
        <is>
          <t>Populate official country context inputs before ranking.</t>
        </is>
      </c>
    </row>
    <row r="77">
      <c r="A77" t="inlineStr">
        <is>
          <t>Sweden</t>
        </is>
      </c>
      <c r="C77" s="7" t="inlineStr"/>
      <c r="F77" s="7" t="inlineStr"/>
      <c r="J77" s="8" t="inlineStr"/>
      <c r="K77" t="inlineStr">
        <is>
          <t>Populate official country context inputs before ranking.</t>
        </is>
      </c>
    </row>
    <row r="78">
      <c r="A78" t="inlineStr">
        <is>
          <t>Norway</t>
        </is>
      </c>
      <c r="C78" s="7" t="inlineStr"/>
      <c r="F78" s="7" t="inlineStr"/>
      <c r="J78" s="8" t="inlineStr"/>
      <c r="K78" t="inlineStr">
        <is>
          <t>Populate official country context inputs before ranking.</t>
        </is>
      </c>
    </row>
    <row r="79">
      <c r="A79" t="inlineStr">
        <is>
          <t>Dominican Republic</t>
        </is>
      </c>
      <c r="C79" s="7" t="inlineStr"/>
      <c r="F79" s="7" t="inlineStr"/>
      <c r="J79" s="8" t="inlineStr"/>
      <c r="K79" t="inlineStr">
        <is>
          <t>Populate official country context inputs before ranking.</t>
        </is>
      </c>
    </row>
    <row r="80">
      <c r="A80" t="inlineStr">
        <is>
          <t>Ecuador</t>
        </is>
      </c>
      <c r="C80" s="7" t="inlineStr"/>
      <c r="F80" s="7" t="inlineStr"/>
      <c r="J80" s="8" t="inlineStr"/>
      <c r="K80" t="inlineStr">
        <is>
          <t>Populate official country context inputs before ranking.</t>
        </is>
      </c>
    </row>
    <row r="81">
      <c r="A81" t="inlineStr">
        <is>
          <t>Paraguay</t>
        </is>
      </c>
      <c r="C81" s="7" t="inlineStr"/>
      <c r="F81" s="7" t="inlineStr"/>
      <c r="J81" s="8" t="inlineStr"/>
      <c r="K81" t="inlineStr">
        <is>
          <t>Populate official country context inputs before ranking.</t>
        </is>
      </c>
    </row>
    <row r="82">
      <c r="A82" t="inlineStr">
        <is>
          <t>Egypt</t>
        </is>
      </c>
      <c r="C82" s="7" t="inlineStr"/>
      <c r="F82" s="7" t="inlineStr"/>
      <c r="J82" s="8" t="inlineStr"/>
      <c r="K82" t="inlineStr">
        <is>
          <t>Populate official country context inputs before ranking.</t>
        </is>
      </c>
    </row>
    <row r="83">
      <c r="A83" t="inlineStr">
        <is>
          <t>Tanzania</t>
        </is>
      </c>
      <c r="C83" s="7" t="inlineStr"/>
      <c r="F83" s="7" t="inlineStr"/>
      <c r="J83" s="8" t="inlineStr"/>
      <c r="K83" t="inlineStr">
        <is>
          <t>Populate official country context inputs before ranking.</t>
        </is>
      </c>
    </row>
    <row r="84">
      <c r="A84" t="inlineStr">
        <is>
          <t>Uganda</t>
        </is>
      </c>
      <c r="C84" s="7" t="inlineStr"/>
      <c r="F84" s="7" t="inlineStr"/>
      <c r="J84" s="8" t="inlineStr"/>
      <c r="K84" t="inlineStr">
        <is>
          <t>Populate official country context inputs before ranking.</t>
        </is>
      </c>
    </row>
    <row r="85">
      <c r="A85" t="inlineStr">
        <is>
          <t>Papua New Guinea</t>
        </is>
      </c>
      <c r="C85" s="7" t="inlineStr"/>
      <c r="F85" s="7" t="inlineStr"/>
      <c r="J85" s="8" t="inlineStr"/>
      <c r="K85" t="inlineStr">
        <is>
          <t>Populate official country context inputs before ranking.</t>
        </is>
      </c>
    </row>
    <row r="86">
      <c r="A86" t="inlineStr">
        <is>
          <t>Samoa</t>
        </is>
      </c>
      <c r="C86" s="7" t="inlineStr"/>
      <c r="F86" s="7" t="inlineStr"/>
      <c r="J86" s="8" t="inlineStr"/>
      <c r="K86" t="inlineStr">
        <is>
          <t>Populate official country context inputs before ranking.</t>
        </is>
      </c>
    </row>
    <row r="87">
      <c r="A87" t="inlineStr">
        <is>
          <t>Vanuatu</t>
        </is>
      </c>
      <c r="C87" s="7" t="inlineStr"/>
      <c r="F87" s="7" t="inlineStr"/>
      <c r="J87" s="8" t="inlineStr"/>
      <c r="K87" t="inlineStr">
        <is>
          <t>Populate official country context inputs before ranking.</t>
        </is>
      </c>
    </row>
  </sheetData>
  <autoFilter ref="A1:K8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J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30" customWidth="1" min="4" max="4"/>
    <col width="12" customWidth="1" min="5" max="5"/>
    <col width="17" customWidth="1" min="6" max="6"/>
    <col width="14" customWidth="1" min="7" max="7"/>
    <col width="12" customWidth="1" min="8" max="8"/>
    <col width="12" customWidth="1" min="9" max="9"/>
    <col width="14" customWidth="1" min="10" max="10"/>
    <col width="15" customWidth="1" min="11" max="11"/>
    <col width="12" customWidth="1" min="12" max="12"/>
    <col width="30" customWidth="1" min="13" max="13"/>
    <col width="20" customWidth="1" min="14" max="14"/>
    <col width="27" customWidth="1" min="15" max="15"/>
    <col width="30" customWidth="1" min="16" max="16"/>
    <col width="27" customWidth="1" min="17" max="17"/>
    <col width="27" customWidth="1" min="18" max="18"/>
    <col width="21" customWidth="1" min="19" max="19"/>
    <col width="28" customWidth="1" min="20" max="20"/>
    <col width="15" customWidth="1" min="21" max="21"/>
    <col width="30" customWidth="1" min="22" max="22"/>
    <col width="28" customWidth="1" min="23" max="23"/>
    <col width="30" customWidth="1" min="24" max="24"/>
    <col width="24" customWidth="1" min="25" max="25"/>
    <col width="23" customWidth="1" min="26" max="26"/>
    <col width="23" customWidth="1" min="27" max="27"/>
    <col width="27" customWidth="1" min="28" max="28"/>
    <col width="25" customWidth="1" min="29" max="29"/>
    <col width="26" customWidth="1" min="30" max="30"/>
    <col width="30" customWidth="1" min="31" max="31"/>
    <col width="30" customWidth="1" min="32" max="32"/>
    <col width="23" customWidth="1" min="33" max="33"/>
    <col width="30" customWidth="1" min="34" max="34"/>
    <col width="26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  <col width="30" customWidth="1" min="41" max="41"/>
    <col width="21" customWidth="1" min="42" max="42"/>
    <col width="22" customWidth="1" min="43" max="43"/>
    <col width="22" customWidth="1" min="44" max="44"/>
    <col width="16" customWidth="1" min="45" max="45"/>
    <col width="22" customWidth="1" min="46" max="46"/>
    <col width="23" customWidth="1" min="47" max="47"/>
    <col width="23" customWidth="1" min="48" max="48"/>
    <col width="17" customWidth="1" min="49" max="49"/>
    <col width="23" customWidth="1" min="50" max="50"/>
    <col width="24" customWidth="1" min="51" max="51"/>
    <col width="24" customWidth="1" min="52" max="52"/>
    <col width="18" customWidth="1" min="53" max="53"/>
    <col width="22" customWidth="1" min="54" max="54"/>
    <col width="23" customWidth="1" min="55" max="55"/>
    <col width="23" customWidth="1" min="56" max="56"/>
    <col width="17" customWidth="1" min="57" max="57"/>
    <col width="21" customWidth="1" min="58" max="58"/>
    <col width="22" customWidth="1" min="59" max="59"/>
    <col width="22" customWidth="1" min="60" max="60"/>
    <col width="16" customWidth="1" min="61" max="61"/>
    <col width="25" customWidth="1" min="62" max="62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city_type</t>
        </is>
      </c>
      <c r="F1" s="6" t="inlineStr">
        <is>
          <t>manifest_status</t>
        </is>
      </c>
      <c r="G1" s="6" t="inlineStr">
        <is>
          <t>gross_income</t>
        </is>
      </c>
      <c r="H1" s="6" t="inlineStr">
        <is>
          <t>rent</t>
        </is>
      </c>
      <c r="I1" s="6" t="inlineStr">
        <is>
          <t>utilities</t>
        </is>
      </c>
      <c r="J1" s="6" t="inlineStr">
        <is>
          <t>transit_cost</t>
        </is>
      </c>
      <c r="K1" s="6" t="inlineStr">
        <is>
          <t>internet_cost</t>
        </is>
      </c>
      <c r="L1" s="6" t="inlineStr">
        <is>
          <t>food_cost</t>
        </is>
      </c>
      <c r="M1" s="6" t="inlineStr">
        <is>
          <t>di_ppp_raw</t>
        </is>
      </c>
      <c r="N1" s="6" t="inlineStr">
        <is>
          <t>housing_burden_raw</t>
        </is>
      </c>
      <c r="O1" s="6" t="inlineStr">
        <is>
          <t>household_debt_burden_raw</t>
        </is>
      </c>
      <c r="P1" s="6" t="inlineStr">
        <is>
          <t>household_debt_effective_raw</t>
        </is>
      </c>
      <c r="Q1" s="6" t="inlineStr">
        <is>
          <t>working_time_pressure_raw</t>
        </is>
      </c>
      <c r="R1" s="6" t="inlineStr">
        <is>
          <t>suicide_mental_strain_raw</t>
        </is>
      </c>
      <c r="S1" s="6" t="inlineStr">
        <is>
          <t>personal_safety_raw</t>
        </is>
      </c>
      <c r="T1" s="6" t="inlineStr">
        <is>
          <t>transit_access_commute_raw</t>
        </is>
      </c>
      <c r="U1" s="6" t="inlineStr">
        <is>
          <t>clean_air_raw</t>
        </is>
      </c>
      <c r="V1" s="6" t="inlineStr">
        <is>
          <t>water_sanitation_utility_raw</t>
        </is>
      </c>
      <c r="W1" s="6" t="inlineStr">
        <is>
          <t>digital_infrastructure_raw</t>
        </is>
      </c>
      <c r="X1" s="6" t="inlineStr">
        <is>
          <t>climate_sunlight_livability_raw</t>
        </is>
      </c>
      <c r="Y1" s="6" t="inlineStr">
        <is>
          <t>healthcare_quality_raw</t>
        </is>
      </c>
      <c r="Z1" s="6" t="inlineStr">
        <is>
          <t>education_quality_raw</t>
        </is>
      </c>
      <c r="AA1" s="6" t="inlineStr">
        <is>
          <t>equal_opportunity_raw</t>
        </is>
      </c>
      <c r="AB1" s="6" t="inlineStr">
        <is>
          <t>hospitality_belonging_raw</t>
        </is>
      </c>
      <c r="AC1" s="6" t="inlineStr">
        <is>
          <t>tolerance_pluralism_raw</t>
        </is>
      </c>
      <c r="AD1" s="6" t="inlineStr">
        <is>
          <t>cultural_public_life_raw</t>
        </is>
      </c>
      <c r="AE1" s="6" t="inlineStr">
        <is>
          <t>entrepreneurial_dynamism_raw</t>
        </is>
      </c>
      <c r="AF1" s="6" t="inlineStr">
        <is>
          <t>innovation_research_intensity_raw</t>
        </is>
      </c>
      <c r="AG1" s="6" t="inlineStr">
        <is>
          <t>investment_signal_raw</t>
        </is>
      </c>
      <c r="AH1" s="6" t="inlineStr">
        <is>
          <t>administrative_investment_friction_raw</t>
        </is>
      </c>
      <c r="AI1" s="6" t="inlineStr">
        <is>
          <t>visitor_flow_context_raw</t>
        </is>
      </c>
      <c r="AJ1" s="6" t="inlineStr">
        <is>
          <t>gdp_per_capita_ppp_context</t>
        </is>
      </c>
      <c r="AK1" s="6" t="inlineStr">
        <is>
          <t>gdp_growth_context</t>
        </is>
      </c>
      <c r="AL1" s="6" t="inlineStr">
        <is>
          <t>gini_coefficient_context</t>
        </is>
      </c>
      <c r="AM1" s="6" t="inlineStr">
        <is>
          <t>ppp_private_consumption_context</t>
        </is>
      </c>
      <c r="AN1" s="6" t="inlineStr">
        <is>
          <t>tax_rate_context</t>
        </is>
      </c>
      <c r="AO1" s="6" t="inlineStr">
        <is>
          <t>household_debt_proxy_context</t>
        </is>
      </c>
      <c r="AP1" s="6" t="inlineStr">
        <is>
          <t>pressure_source_url</t>
        </is>
      </c>
      <c r="AQ1" s="6" t="inlineStr">
        <is>
          <t>pressure_source_tier</t>
        </is>
      </c>
      <c r="AR1" s="6" t="inlineStr">
        <is>
          <t>pressure_source_date</t>
        </is>
      </c>
      <c r="AS1" s="6" t="inlineStr">
        <is>
          <t>pressure_notes</t>
        </is>
      </c>
      <c r="AT1" s="6" t="inlineStr">
        <is>
          <t>viability_source_url</t>
        </is>
      </c>
      <c r="AU1" s="6" t="inlineStr">
        <is>
          <t>viability_source_tier</t>
        </is>
      </c>
      <c r="AV1" s="6" t="inlineStr">
        <is>
          <t>viability_source_date</t>
        </is>
      </c>
      <c r="AW1" s="6" t="inlineStr">
        <is>
          <t>viability_notes</t>
        </is>
      </c>
      <c r="AX1" s="6" t="inlineStr">
        <is>
          <t>capability_source_url</t>
        </is>
      </c>
      <c r="AY1" s="6" t="inlineStr">
        <is>
          <t>capability_source_tier</t>
        </is>
      </c>
      <c r="AZ1" s="6" t="inlineStr">
        <is>
          <t>capability_source_date</t>
        </is>
      </c>
      <c r="BA1" s="6" t="inlineStr">
        <is>
          <t>capability_notes</t>
        </is>
      </c>
      <c r="BB1" s="6" t="inlineStr">
        <is>
          <t>community_source_url</t>
        </is>
      </c>
      <c r="BC1" s="6" t="inlineStr">
        <is>
          <t>community_source_tier</t>
        </is>
      </c>
      <c r="BD1" s="6" t="inlineStr">
        <is>
          <t>community_source_date</t>
        </is>
      </c>
      <c r="BE1" s="6" t="inlineStr">
        <is>
          <t>community_notes</t>
        </is>
      </c>
      <c r="BF1" s="6" t="inlineStr">
        <is>
          <t>creative_source_url</t>
        </is>
      </c>
      <c r="BG1" s="6" t="inlineStr">
        <is>
          <t>creative_source_tier</t>
        </is>
      </c>
      <c r="BH1" s="6" t="inlineStr">
        <is>
          <t>creative_source_date</t>
        </is>
      </c>
      <c r="BI1" s="6" t="inlineStr">
        <is>
          <t>creative_notes</t>
        </is>
      </c>
      <c r="BJ1" s="6" t="inlineStr">
        <is>
          <t>birth_rate_optimism_raw</t>
        </is>
      </c>
    </row>
    <row r="2">
      <c r="A2" s="9" t="inlineStr">
        <is>
          <t>th-bangkok</t>
        </is>
      </c>
      <c r="B2" s="9" t="inlineStr">
        <is>
          <t>Bangkok</t>
        </is>
      </c>
      <c r="C2" s="9" t="inlineStr">
        <is>
          <t>Thailand</t>
        </is>
      </c>
      <c r="D2" s="9" t="inlineStr">
        <is>
          <t>Southeast Asia</t>
        </is>
      </c>
      <c r="E2" s="9" t="inlineStr">
        <is>
          <t>primary</t>
        </is>
      </c>
      <c r="F2" s="9" t="inlineStr">
        <is>
          <t>locked</t>
        </is>
      </c>
      <c r="G2" s="10" t="n">
        <v>1996.67</v>
      </c>
      <c r="H2" s="10" t="n">
        <v>399.33</v>
      </c>
      <c r="I2" s="10" t="n">
        <v>99.83</v>
      </c>
      <c r="J2" s="10" t="n">
        <v>79.87</v>
      </c>
      <c r="K2" s="10" t="n">
        <v>29.95</v>
      </c>
      <c r="L2" s="10" t="n">
        <v>439.27</v>
      </c>
      <c r="M2" s="11" t="inlineStr"/>
      <c r="N2" s="10" t="n">
        <v>19.9998</v>
      </c>
      <c r="O2" s="10" t="n">
        <v>115.1054</v>
      </c>
      <c r="P2" s="11">
        <f>IF($O2&lt;&gt;"",$O2,$AO2)</f>
        <v/>
      </c>
      <c r="Q2" s="10" t="n">
        <v>42.53</v>
      </c>
      <c r="R2" s="10" t="n">
        <v>16.59</v>
      </c>
      <c r="S2" s="10" t="n">
        <v>2.2</v>
      </c>
      <c r="T2" s="10" t="inlineStr"/>
      <c r="U2" s="10" t="n">
        <v>25</v>
      </c>
      <c r="V2" s="10" t="n">
        <v>93</v>
      </c>
      <c r="W2" s="10" t="n">
        <v>15.75</v>
      </c>
      <c r="X2" s="9" t="n">
        <v>72</v>
      </c>
      <c r="Y2" s="10" t="n">
        <v>82</v>
      </c>
      <c r="Z2" s="10" t="n">
        <v>49.08</v>
      </c>
      <c r="AA2" s="10" t="n">
        <v>33.5</v>
      </c>
      <c r="AB2" s="10" t="n">
        <v>50.38</v>
      </c>
      <c r="AC2" s="10" t="n">
        <v>42</v>
      </c>
      <c r="AD2" s="10" t="n">
        <v>556.96</v>
      </c>
      <c r="AE2" s="10" t="n">
        <v>1.54</v>
      </c>
      <c r="AF2" s="10" t="n">
        <v>1.16</v>
      </c>
      <c r="AG2" s="10" t="n">
        <v>2.72</v>
      </c>
      <c r="AH2" s="10" t="n">
        <v>2.34</v>
      </c>
      <c r="AI2" s="10" t="inlineStr"/>
      <c r="AJ2" s="11">
        <f>IFERROR(INDEX(Country_Context!$B$2:$B$87,MATCH($C2,Country_Context!$A$2:$A$87,0)),"")</f>
        <v/>
      </c>
      <c r="AK2" s="11">
        <f>IFERROR(INDEX(Country_Context!$C$2:$C$87,MATCH($C2,Country_Context!$A$2:$A$87,0)),"")</f>
        <v/>
      </c>
      <c r="AL2" s="11">
        <f>IFERROR(INDEX(Country_Context!$D$2:$D$87,MATCH($C2,Country_Context!$A$2:$A$87,0)),"")</f>
        <v/>
      </c>
      <c r="AM2" s="11">
        <f>IFERROR(INDEX(Country_Context!$E$2:$E$87,MATCH($C2,Country_Context!$A$2:$A$87,0)),"")</f>
        <v/>
      </c>
      <c r="AN2" s="11">
        <f>IFERROR(INDEX(Country_Context!$F$2:$F$87,MATCH($C2,Country_Context!$A$2:$A$87,0)),"")</f>
        <v/>
      </c>
      <c r="AO2" s="11">
        <f>IFERROR(INDEX(Country_Context!$G$2:$G$87,MATCH($C2,Country_Context!$A$2:$A$87,0)),"")</f>
        <v/>
      </c>
      <c r="AP2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2" s="12" t="inlineStr">
        <is>
          <t>Tier 3, Tier 4</t>
        </is>
      </c>
      <c r="AR2" s="12" t="inlineStr">
        <is>
          <t>2024-12-31</t>
        </is>
      </c>
      <c r="AS2" s="12" t="inlineStr">
        <is>
          <t>providers=world_bank_col_estimate, derived, ilo_ilostat, who_gho; fields=gross_income, rent, utilities, transit_cost; +9 additional fields</t>
        </is>
      </c>
      <c r="AT2" s="12" t="inlineStr">
        <is>
          <t>https://api.worldbank.org/v2/country/THA/indicator/VC.IHR.PSRC.P5?format=json&amp;mrv=10 | https://www.pcd.go.th/ | https://washdata.org | +2 more</t>
        </is>
      </c>
      <c r="AU2" s="12" t="inlineStr">
        <is>
          <t>Tier 2, Tier 3</t>
        </is>
      </c>
      <c r="AV2" s="12" t="inlineStr">
        <is>
          <t>2024-12-31</t>
        </is>
      </c>
      <c r="AW2" s="12" t="inlineStr">
        <is>
          <t>providers=world_bank, thai_gov_pcd_rsc, who_unicef_jmp; fields=personal_safety_raw, clean_air_raw, water_sanitation_utility_raw, digital_infrastructure_raw; +1 additional fields</t>
        </is>
      </c>
      <c r="AX2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2" s="12" t="inlineStr">
        <is>
          <t>Tier 3</t>
        </is>
      </c>
      <c r="AZ2" s="12" t="inlineStr">
        <is>
          <t>2025-12-31</t>
        </is>
      </c>
      <c r="BA2" s="12" t="inlineStr">
        <is>
          <t>providers=who_gho, world_bank; fields=healthcare_quality_raw, education_quality_raw, equal_opportunity_raw, gini_coefficient</t>
        </is>
      </c>
      <c r="BB2" s="12" t="inlineStr">
        <is>
          <t>https://api.worldbank.org/v2/country/THA/indicator/SM.POP.NETM?format=json&amp;mrv=10 | https://api.worldbank.org/v2/country/THA/indicator/SG.GEN.PARL.ZS?format=json | https://api.worldbank.org/v2/country/THA/indicator/ST.INT.ARVL?format=json&amp;mrv=10 | +1 more</t>
        </is>
      </c>
      <c r="BC2" s="12" t="inlineStr">
        <is>
          <t>Tier 3</t>
        </is>
      </c>
      <c r="BD2" s="12" t="inlineStr">
        <is>
          <t>2025-12-31</t>
        </is>
      </c>
      <c r="BE2" s="12" t="inlineStr">
        <is>
          <t>providers=world_bank; fields=hospitality_belonging_raw, tolerance_pluralism_raw, cultural_public_life_raw, birth_rate_optimism_raw</t>
        </is>
      </c>
      <c r="BF2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2" s="12" t="inlineStr">
        <is>
          <t>Tier 3</t>
        </is>
      </c>
      <c r="BH2" s="12" t="inlineStr">
        <is>
          <t>2024-12-31</t>
        </is>
      </c>
      <c r="BI2" s="12" t="inlineStr">
        <is>
          <t>providers=world_bank; fields=entrepreneurial_dynamism_raw, innovation_research_intensity_raw, investment_signal_raw, administrative_investment_friction_raw; +2 additional fields</t>
        </is>
      </c>
      <c r="BJ2" s="9" t="n">
        <v>1.08</v>
      </c>
    </row>
    <row r="3">
      <c r="A3" s="9" t="inlineStr">
        <is>
          <t>sg-singapore</t>
        </is>
      </c>
      <c r="B3" s="9" t="inlineStr">
        <is>
          <t>Singapore</t>
        </is>
      </c>
      <c r="C3" s="9" t="inlineStr">
        <is>
          <t>Singapore</t>
        </is>
      </c>
      <c r="D3" s="9" t="inlineStr">
        <is>
          <t>Southeast Asia</t>
        </is>
      </c>
      <c r="E3" s="9" t="inlineStr">
        <is>
          <t>primary</t>
        </is>
      </c>
      <c r="F3" s="9" t="inlineStr">
        <is>
          <t>locked</t>
        </is>
      </c>
      <c r="G3" s="10" t="n">
        <v>10515.83</v>
      </c>
      <c r="H3" s="10" t="n">
        <v>2839.27</v>
      </c>
      <c r="I3" s="10" t="n">
        <v>709.8200000000001</v>
      </c>
      <c r="J3" s="10" t="n">
        <v>567.85</v>
      </c>
      <c r="K3" s="10" t="n">
        <v>212.95</v>
      </c>
      <c r="L3" s="10" t="n">
        <v>3123.2</v>
      </c>
      <c r="M3" s="11" t="inlineStr"/>
      <c r="N3" s="10" t="n">
        <v>27</v>
      </c>
      <c r="O3" s="10" t="n">
        <v>129.1908</v>
      </c>
      <c r="P3" s="11">
        <f>IF($O3&lt;&gt;"",$O3,$AO3)</f>
        <v/>
      </c>
      <c r="Q3" s="10" t="n">
        <v>42.6</v>
      </c>
      <c r="R3" s="10" t="n">
        <v>8.1</v>
      </c>
      <c r="S3" s="10" t="n">
        <v>0.07000000000000001</v>
      </c>
      <c r="T3" s="10" t="inlineStr"/>
      <c r="U3" s="10" t="inlineStr"/>
      <c r="V3" s="10" t="n">
        <v>100</v>
      </c>
      <c r="W3" s="10" t="n">
        <v>27.43</v>
      </c>
      <c r="X3" s="9" t="n">
        <v>62</v>
      </c>
      <c r="Y3" s="10" t="n">
        <v>88</v>
      </c>
      <c r="Z3" s="10" t="n">
        <v>97.29000000000001</v>
      </c>
      <c r="AA3" s="10" t="inlineStr"/>
      <c r="AB3" s="10" t="n">
        <v>52.8</v>
      </c>
      <c r="AC3" s="10" t="n">
        <v>29.29</v>
      </c>
      <c r="AD3" s="10" t="n">
        <v>454.21</v>
      </c>
      <c r="AE3" s="10" t="n">
        <v>11.32</v>
      </c>
      <c r="AF3" s="10" t="n">
        <v>2.16</v>
      </c>
      <c r="AG3" s="10" t="n">
        <v>27.76</v>
      </c>
      <c r="AH3" s="10" t="n">
        <v>0.19</v>
      </c>
      <c r="AI3" s="10" t="inlineStr"/>
      <c r="AJ3" s="11">
        <f>IFERROR(INDEX(Country_Context!$B$2:$B$87,MATCH($C3,Country_Context!$A$2:$A$87,0)),"")</f>
        <v/>
      </c>
      <c r="AK3" s="11">
        <f>IFERROR(INDEX(Country_Context!$C$2:$C$87,MATCH($C3,Country_Context!$A$2:$A$87,0)),"")</f>
        <v/>
      </c>
      <c r="AL3" s="11">
        <f>IFERROR(INDEX(Country_Context!$D$2:$D$87,MATCH($C3,Country_Context!$A$2:$A$87,0)),"")</f>
        <v/>
      </c>
      <c r="AM3" s="11">
        <f>IFERROR(INDEX(Country_Context!$E$2:$E$87,MATCH($C3,Country_Context!$A$2:$A$87,0)),"")</f>
        <v/>
      </c>
      <c r="AN3" s="11">
        <f>IFERROR(INDEX(Country_Context!$F$2:$F$87,MATCH($C3,Country_Context!$A$2:$A$87,0)),"")</f>
        <v/>
      </c>
      <c r="AO3" s="11">
        <f>IFERROR(INDEX(Country_Context!$G$2:$G$87,MATCH($C3,Country_Context!$A$2:$A$87,0)),"")</f>
        <v/>
      </c>
      <c r="AP3" s="12" t="inlineStr">
        <is>
          <t>https://api.worldbank.org/v2/country/SGP/indicator/NY.GNP.PCAP.PP.CD?format=json&amp;mrv=10 | https://data.worldbank.org/indicator/NY.GNP.PCAP.PP.CD | https://ilostat.ilo.org/data/indicator/?id=HOW_TEMP_SEX_ECO_NB_A&amp;ref_area=SGP | +4 more</t>
        </is>
      </c>
      <c r="AQ3" s="12" t="inlineStr">
        <is>
          <t>Tier 3, Tier 4</t>
        </is>
      </c>
      <c r="AR3" s="12" t="inlineStr">
        <is>
          <t>2024-12-31</t>
        </is>
      </c>
      <c r="AS3" s="12" t="inlineStr">
        <is>
          <t>providers=world_bank_col_estimate, derived, ilo_ilostat, who_gho; fields=gross_income, rent, utilities, transit_cost; +9 additional fields</t>
        </is>
      </c>
      <c r="AT3" s="12" t="inlineStr">
        <is>
          <t>https://api.worldbank.org/v2/country/SGP/indicator/VC.IHR.PSRC.P5?format=json&amp;mrv=10 | https://api.worldbank.org/v2/country/SGP/indicator/SH.H2O.SMDW.ZS?format=json&amp;mrv=10 | https://api.worldbank.org/v2/country/SGP/indicator/IT.NET.BBND.P2?format=json&amp;mrv=10 | +1 more</t>
        </is>
      </c>
      <c r="AU3" s="12" t="inlineStr">
        <is>
          <t>Tier 3</t>
        </is>
      </c>
      <c r="AV3" s="12" t="inlineStr">
        <is>
          <t>2024-12-31</t>
        </is>
      </c>
      <c r="AW3" s="12" t="inlineStr">
        <is>
          <t>providers=world_bank, wmo_natl_met; fields=personal_safety_raw, water_sanitation_utility_raw, digital_infrastructure_raw, climate_sunlight_livability_raw</t>
        </is>
      </c>
      <c r="AX3" s="12" t="inlineStr">
        <is>
          <t>https://www.who.int/data/gho/data/indicators/indicator-details/GHO/UHC_INDEX_REPORTED | https://api.worldbank.org/v2/country/SGP/indicator/SE.TER.ENRR?format=json&amp;mrv=10</t>
        </is>
      </c>
      <c r="AY3" s="12" t="inlineStr">
        <is>
          <t>Tier 3</t>
        </is>
      </c>
      <c r="AZ3" s="12" t="inlineStr">
        <is>
          <t>2023-12-31</t>
        </is>
      </c>
      <c r="BA3" s="12" t="inlineStr">
        <is>
          <t>providers=who_gho, world_bank; fields=healthcare_quality_raw, education_quality_raw</t>
        </is>
      </c>
      <c r="BB3" s="12" t="inlineStr">
        <is>
          <t>https://api.worldbank.org/v2/country/SGP/indicator/SM.POP.NETM?format=json&amp;mrv=10 | https://api.worldbank.org/v2/country/SGP/indicator/SG.GEN.PARL.ZS?format=json&amp;mrv=10 | https://api.worldbank.org/v2/country/SGP/indicator/ST.INT.ARVL?format=json&amp;mrv=10 | +1 more</t>
        </is>
      </c>
      <c r="BC3" s="12" t="inlineStr">
        <is>
          <t>Tier 3</t>
        </is>
      </c>
      <c r="BD3" s="12" t="inlineStr">
        <is>
          <t>2025-12-31</t>
        </is>
      </c>
      <c r="BE3" s="12" t="inlineStr">
        <is>
          <t>providers=world_bank; fields=hospitality_belonging_raw, tolerance_pluralism_raw, cultural_public_life_raw, birth_rate_optimism_raw</t>
        </is>
      </c>
      <c r="BF3" s="12" t="inlineStr">
        <is>
          <t>https://api.worldbank.org/v2/country/SGP/indicator/IC.BUS.NDNS.ZS?format=json&amp;mrv=10 | https://api.worldbank.org/v2/country/SGP/indicator/GB.XPD.RSDV.GD.ZS?format=json&amp;mrv=10 | https://api.worldbank.org/v2/country/SGP/indicator/BX.KLT.DINV.WD.GD.ZS?format=json&amp;mrv=10 | +3 more</t>
        </is>
      </c>
      <c r="BG3" s="12" t="inlineStr">
        <is>
          <t>Tier 3</t>
        </is>
      </c>
      <c r="BH3" s="12" t="inlineStr">
        <is>
          <t>2024-12-31</t>
        </is>
      </c>
      <c r="BI3" s="12" t="inlineStr">
        <is>
          <t>providers=world_bank; fields=entrepreneurial_dynamism_raw, innovation_research_intensity_raw, investment_signal_raw, administrative_investment_friction_raw; +2 additional fields</t>
        </is>
      </c>
      <c r="BJ3" s="9" t="n">
        <v>0.97</v>
      </c>
    </row>
    <row r="4">
      <c r="A4" s="9" t="inlineStr">
        <is>
          <t>my-kuala-lumpur</t>
        </is>
      </c>
      <c r="B4" s="9" t="inlineStr">
        <is>
          <t>Kuala Lumpur</t>
        </is>
      </c>
      <c r="C4" s="9" t="inlineStr">
        <is>
          <t>Malaysia</t>
        </is>
      </c>
      <c r="D4" s="9" t="inlineStr">
        <is>
          <t>Southeast Asia</t>
        </is>
      </c>
      <c r="E4" s="9" t="inlineStr">
        <is>
          <t>primary</t>
        </is>
      </c>
      <c r="F4" s="9" t="inlineStr">
        <is>
          <t>locked</t>
        </is>
      </c>
      <c r="G4" s="10" t="n">
        <v>3120.83</v>
      </c>
      <c r="H4" s="10" t="n">
        <v>624.17</v>
      </c>
      <c r="I4" s="10" t="n">
        <v>156.04</v>
      </c>
      <c r="J4" s="10" t="n">
        <v>124.83</v>
      </c>
      <c r="K4" s="10" t="n">
        <v>46.81</v>
      </c>
      <c r="L4" s="10" t="n">
        <v>686.58</v>
      </c>
      <c r="M4" s="11" t="inlineStr"/>
      <c r="N4" s="10" t="n">
        <v>20.0001</v>
      </c>
      <c r="O4" s="10" t="n">
        <v>116.0773</v>
      </c>
      <c r="P4" s="11">
        <f>IF($O4&lt;&gt;"",$O4,$AO4)</f>
        <v/>
      </c>
      <c r="Q4" s="10" t="n">
        <v>44.7</v>
      </c>
      <c r="R4" s="10" t="n">
        <v>5.65</v>
      </c>
      <c r="S4" s="10" t="n">
        <v>0.73</v>
      </c>
      <c r="T4" s="10" t="inlineStr"/>
      <c r="U4" s="10" t="inlineStr"/>
      <c r="V4" s="10" t="n">
        <v>94.7</v>
      </c>
      <c r="W4" s="10" t="n">
        <v>13.03</v>
      </c>
      <c r="X4" s="9" t="n">
        <v>56</v>
      </c>
      <c r="Y4" s="10" t="n">
        <v>80</v>
      </c>
      <c r="Z4" s="10" t="n">
        <v>38.5</v>
      </c>
      <c r="AA4" s="10" t="n">
        <v>40.7</v>
      </c>
      <c r="AB4" s="10" t="n">
        <v>54.69</v>
      </c>
      <c r="AC4" s="10" t="n">
        <v>13.51</v>
      </c>
      <c r="AD4" s="10" t="n">
        <v>121.86</v>
      </c>
      <c r="AE4" s="10" t="n">
        <v>2.19</v>
      </c>
      <c r="AF4" s="10" t="n">
        <v>0.95</v>
      </c>
      <c r="AG4" s="10" t="n">
        <v>3.69</v>
      </c>
      <c r="AH4" s="10" t="n">
        <v>1.84</v>
      </c>
      <c r="AI4" s="10" t="inlineStr"/>
      <c r="AJ4" s="11">
        <f>IFERROR(INDEX(Country_Context!$B$2:$B$87,MATCH($C4,Country_Context!$A$2:$A$87,0)),"")</f>
        <v/>
      </c>
      <c r="AK4" s="11">
        <f>IFERROR(INDEX(Country_Context!$C$2:$C$87,MATCH($C4,Country_Context!$A$2:$A$87,0)),"")</f>
        <v/>
      </c>
      <c r="AL4" s="11">
        <f>IFERROR(INDEX(Country_Context!$D$2:$D$87,MATCH($C4,Country_Context!$A$2:$A$87,0)),"")</f>
        <v/>
      </c>
      <c r="AM4" s="11">
        <f>IFERROR(INDEX(Country_Context!$E$2:$E$87,MATCH($C4,Country_Context!$A$2:$A$87,0)),"")</f>
        <v/>
      </c>
      <c r="AN4" s="11">
        <f>IFERROR(INDEX(Country_Context!$F$2:$F$87,MATCH($C4,Country_Context!$A$2:$A$87,0)),"")</f>
        <v/>
      </c>
      <c r="AO4" s="11">
        <f>IFERROR(INDEX(Country_Context!$G$2:$G$87,MATCH($C4,Country_Context!$A$2:$A$87,0)),"")</f>
        <v/>
      </c>
      <c r="AP4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4" s="12" t="inlineStr">
        <is>
          <t>Tier 3, Tier 4</t>
        </is>
      </c>
      <c r="AR4" s="12" t="inlineStr">
        <is>
          <t>2024-12-31</t>
        </is>
      </c>
      <c r="AS4" s="12" t="inlineStr">
        <is>
          <t>providers=world_bank_col_estimate, derived, ilo_ilostat, who_gho; fields=gross_income, rent, utilities, transit_cost; +9 additional fields</t>
        </is>
      </c>
      <c r="AT4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 | +1 more</t>
        </is>
      </c>
      <c r="AU4" s="12" t="inlineStr">
        <is>
          <t>Tier 3</t>
        </is>
      </c>
      <c r="AV4" s="12" t="inlineStr">
        <is>
          <t>2024-12-31</t>
        </is>
      </c>
      <c r="AW4" s="12" t="inlineStr">
        <is>
          <t>providers=world_bank, wmo_natl_met; fields=personal_safety_raw, water_sanitation_utility_raw, digital_infrastructure_raw, climate_sunlight_livability_raw</t>
        </is>
      </c>
      <c r="AX4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4" s="12" t="inlineStr">
        <is>
          <t>Tier 3</t>
        </is>
      </c>
      <c r="AZ4" s="12" t="inlineStr">
        <is>
          <t>2024-12-31</t>
        </is>
      </c>
      <c r="BA4" s="12" t="inlineStr">
        <is>
          <t>providers=who_gho, world_bank; fields=healthcare_quality_raw, education_quality_raw, equal_opportunity_raw, gini_coefficient</t>
        </is>
      </c>
      <c r="BB4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4" s="12" t="inlineStr">
        <is>
          <t>Tier 3</t>
        </is>
      </c>
      <c r="BD4" s="12" t="inlineStr">
        <is>
          <t>2025-12-31</t>
        </is>
      </c>
      <c r="BE4" s="12" t="inlineStr">
        <is>
          <t>providers=world_bank; fields=hospitality_belonging_raw, tolerance_pluralism_raw, cultural_public_life_raw, birth_rate_optimism_raw</t>
        </is>
      </c>
      <c r="BF4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4" s="12" t="inlineStr">
        <is>
          <t>Tier 3</t>
        </is>
      </c>
      <c r="BH4" s="12" t="inlineStr">
        <is>
          <t>2024-12-31</t>
        </is>
      </c>
      <c r="BI4" s="12" t="inlineStr">
        <is>
          <t>providers=world_bank; fields=entrepreneurial_dynamism_raw, innovation_research_intensity_raw, investment_signal_raw, administrative_investment_friction_raw; +2 additional fields</t>
        </is>
      </c>
      <c r="BJ4" s="9" t="n">
        <v>1.6</v>
      </c>
    </row>
    <row r="5">
      <c r="A5" s="9" t="inlineStr">
        <is>
          <t>id-jakarta</t>
        </is>
      </c>
      <c r="B5" s="9" t="inlineStr">
        <is>
          <t>Jakarta</t>
        </is>
      </c>
      <c r="C5" s="9" t="inlineStr">
        <is>
          <t>Indonesia</t>
        </is>
      </c>
      <c r="D5" s="9" t="inlineStr">
        <is>
          <t>Southeast Asia</t>
        </is>
      </c>
      <c r="E5" s="9" t="inlineStr">
        <is>
          <t>primary</t>
        </is>
      </c>
      <c r="F5" s="9" t="inlineStr">
        <is>
          <t>provisional</t>
        </is>
      </c>
      <c r="G5" s="10" t="n">
        <v>1334.17</v>
      </c>
      <c r="H5" s="10" t="n">
        <v>266.83</v>
      </c>
      <c r="I5" s="10" t="n">
        <v>66.70999999999999</v>
      </c>
      <c r="J5" s="10" t="n">
        <v>53.37</v>
      </c>
      <c r="K5" s="10" t="n">
        <v>20.01</v>
      </c>
      <c r="L5" s="10" t="n">
        <v>293.52</v>
      </c>
      <c r="M5" s="11" t="inlineStr"/>
      <c r="N5" s="10" t="n">
        <v>19.9997</v>
      </c>
      <c r="O5" s="10" t="n">
        <v>31.7861</v>
      </c>
      <c r="P5" s="11">
        <f>IF($O5&lt;&gt;"",$O5,$AO5)</f>
        <v/>
      </c>
      <c r="Q5" s="10" t="n">
        <v>38.36</v>
      </c>
      <c r="R5" s="10" t="n">
        <v>1.2</v>
      </c>
      <c r="S5" s="10" t="n">
        <v>0.3</v>
      </c>
      <c r="T5" s="10" t="inlineStr"/>
      <c r="U5" s="10" t="inlineStr"/>
      <c r="V5" s="10" t="n">
        <v>30.46</v>
      </c>
      <c r="W5" s="10" t="n">
        <v>4.82</v>
      </c>
      <c r="X5" s="9" t="n">
        <v>54</v>
      </c>
      <c r="Y5" s="10" t="n">
        <v>67</v>
      </c>
      <c r="Z5" s="10" t="n">
        <v>44.88</v>
      </c>
      <c r="AA5" s="10" t="n">
        <v>34.9</v>
      </c>
      <c r="AB5" s="10" t="n">
        <v>49.86</v>
      </c>
      <c r="AC5" s="10" t="n">
        <v>21.03</v>
      </c>
      <c r="AD5" s="10" t="n">
        <v>14.3</v>
      </c>
      <c r="AE5" s="10" t="n">
        <v>0.33</v>
      </c>
      <c r="AF5" s="10" t="n">
        <v>0.28</v>
      </c>
      <c r="AG5" s="10" t="n">
        <v>1.74</v>
      </c>
      <c r="AH5" s="10" t="n">
        <v>2.2</v>
      </c>
      <c r="AI5" s="10" t="inlineStr"/>
      <c r="AJ5" s="11">
        <f>IFERROR(INDEX(Country_Context!$B$2:$B$87,MATCH($C5,Country_Context!$A$2:$A$87,0)),"")</f>
        <v/>
      </c>
      <c r="AK5" s="11">
        <f>IFERROR(INDEX(Country_Context!$C$2:$C$87,MATCH($C5,Country_Context!$A$2:$A$87,0)),"")</f>
        <v/>
      </c>
      <c r="AL5" s="11">
        <f>IFERROR(INDEX(Country_Context!$D$2:$D$87,MATCH($C5,Country_Context!$A$2:$A$87,0)),"")</f>
        <v/>
      </c>
      <c r="AM5" s="11">
        <f>IFERROR(INDEX(Country_Context!$E$2:$E$87,MATCH($C5,Country_Context!$A$2:$A$87,0)),"")</f>
        <v/>
      </c>
      <c r="AN5" s="11">
        <f>IFERROR(INDEX(Country_Context!$F$2:$F$87,MATCH($C5,Country_Context!$A$2:$A$87,0)),"")</f>
        <v/>
      </c>
      <c r="AO5" s="11">
        <f>IFERROR(INDEX(Country_Context!$G$2:$G$87,MATCH($C5,Country_Context!$A$2:$A$87,0)),"")</f>
        <v/>
      </c>
      <c r="AP5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5" s="12" t="inlineStr">
        <is>
          <t>Tier 3, Tier 4</t>
        </is>
      </c>
      <c r="AR5" s="12" t="inlineStr">
        <is>
          <t>2024-12-31</t>
        </is>
      </c>
      <c r="AS5" s="12" t="inlineStr">
        <is>
          <t>providers=world_bank_col_estimate, derived, ilo_ilostat, who_gho; fields=gross_income, rent, utilities, transit_cost; +9 additional fields</t>
        </is>
      </c>
      <c r="AT5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 | +1 more</t>
        </is>
      </c>
      <c r="AU5" s="12" t="inlineStr">
        <is>
          <t>Tier 3</t>
        </is>
      </c>
      <c r="AV5" s="12" t="inlineStr">
        <is>
          <t>2024-12-31</t>
        </is>
      </c>
      <c r="AW5" s="12" t="inlineStr">
        <is>
          <t>providers=world_bank, wmo_natl_met; fields=personal_safety_raw, water_sanitation_utility_raw, digital_infrastructure_raw, climate_sunlight_livability_raw</t>
        </is>
      </c>
      <c r="AX5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5" s="12" t="inlineStr">
        <is>
          <t>Tier 3</t>
        </is>
      </c>
      <c r="AZ5" s="12" t="inlineStr">
        <is>
          <t>2024-12-31</t>
        </is>
      </c>
      <c r="BA5" s="12" t="inlineStr">
        <is>
          <t>providers=who_gho, world_bank; fields=healthcare_quality_raw, education_quality_raw, equal_opportunity_raw, gini_coefficient</t>
        </is>
      </c>
      <c r="BB5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5" s="12" t="inlineStr">
        <is>
          <t>Tier 3</t>
        </is>
      </c>
      <c r="BD5" s="12" t="inlineStr">
        <is>
          <t>2025-12-31</t>
        </is>
      </c>
      <c r="BE5" s="12" t="inlineStr">
        <is>
          <t>providers=world_bank; fields=hospitality_belonging_raw, tolerance_pluralism_raw, cultural_public_life_raw</t>
        </is>
      </c>
      <c r="BF5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5" s="12" t="inlineStr">
        <is>
          <t>Tier 3</t>
        </is>
      </c>
      <c r="BH5" s="12" t="inlineStr">
        <is>
          <t>2024-12-31</t>
        </is>
      </c>
      <c r="BI5" s="12" t="inlineStr">
        <is>
          <t>providers=world_bank; fields=entrepreneurial_dynamism_raw, innovation_research_intensity_raw, investment_signal_raw, administrative_investment_friction_raw; +2 additional fields</t>
        </is>
      </c>
      <c r="BJ5" s="9" t="inlineStr"/>
    </row>
    <row r="6">
      <c r="A6" s="9" t="inlineStr">
        <is>
          <t>ph-makati</t>
        </is>
      </c>
      <c r="B6" s="9" t="inlineStr">
        <is>
          <t>Makati</t>
        </is>
      </c>
      <c r="C6" s="9" t="inlineStr">
        <is>
          <t>Philippines</t>
        </is>
      </c>
      <c r="D6" s="9" t="inlineStr">
        <is>
          <t>Southeast Asia</t>
        </is>
      </c>
      <c r="E6" s="9" t="inlineStr">
        <is>
          <t>primary</t>
        </is>
      </c>
      <c r="F6" s="9" t="inlineStr">
        <is>
          <t>provisional</t>
        </is>
      </c>
      <c r="G6" s="10" t="n">
        <v>1110.83</v>
      </c>
      <c r="H6" s="10" t="n">
        <v>222.17</v>
      </c>
      <c r="I6" s="10" t="n">
        <v>55.54</v>
      </c>
      <c r="J6" s="10" t="n">
        <v>44.43</v>
      </c>
      <c r="K6" s="10" t="n">
        <v>16.66</v>
      </c>
      <c r="L6" s="10" t="n">
        <v>244.38</v>
      </c>
      <c r="M6" s="11" t="inlineStr"/>
      <c r="N6" s="10" t="n">
        <v>20.0004</v>
      </c>
      <c r="O6" s="10" t="n">
        <v>49.8137</v>
      </c>
      <c r="P6" s="11">
        <f>IF($O6&lt;&gt;"",$O6,$AO6)</f>
        <v/>
      </c>
      <c r="Q6" s="10" t="n">
        <v>39.99</v>
      </c>
      <c r="R6" s="10" t="n">
        <v>3.49</v>
      </c>
      <c r="S6" s="10" t="n">
        <v>4.35</v>
      </c>
      <c r="T6" s="10" t="inlineStr"/>
      <c r="U6" s="10" t="inlineStr"/>
      <c r="V6" s="10" t="n">
        <v>48.48</v>
      </c>
      <c r="W6" s="10" t="n">
        <v>6.54</v>
      </c>
      <c r="X6" s="9" t="inlineStr"/>
      <c r="Y6" s="10" t="n">
        <v>69</v>
      </c>
      <c r="Z6" s="10" t="n">
        <v>47.41</v>
      </c>
      <c r="AA6" s="10" t="n">
        <v>39.3</v>
      </c>
      <c r="AB6" s="10" t="n">
        <v>48.71</v>
      </c>
      <c r="AC6" s="10" t="n">
        <v>27.33</v>
      </c>
      <c r="AD6" s="10" t="n">
        <v>12.8</v>
      </c>
      <c r="AE6" s="10" t="n">
        <v>0.34</v>
      </c>
      <c r="AF6" s="10" t="n">
        <v>0.32</v>
      </c>
      <c r="AG6" s="10" t="n">
        <v>2.04</v>
      </c>
      <c r="AH6" s="10" t="n">
        <v>2.34</v>
      </c>
      <c r="AI6" s="10" t="inlineStr"/>
      <c r="AJ6" s="11">
        <f>IFERROR(INDEX(Country_Context!$B$2:$B$87,MATCH($C6,Country_Context!$A$2:$A$87,0)),"")</f>
        <v/>
      </c>
      <c r="AK6" s="11">
        <f>IFERROR(INDEX(Country_Context!$C$2:$C$87,MATCH($C6,Country_Context!$A$2:$A$87,0)),"")</f>
        <v/>
      </c>
      <c r="AL6" s="11">
        <f>IFERROR(INDEX(Country_Context!$D$2:$D$87,MATCH($C6,Country_Context!$A$2:$A$87,0)),"")</f>
        <v/>
      </c>
      <c r="AM6" s="11">
        <f>IFERROR(INDEX(Country_Context!$E$2:$E$87,MATCH($C6,Country_Context!$A$2:$A$87,0)),"")</f>
        <v/>
      </c>
      <c r="AN6" s="11">
        <f>IFERROR(INDEX(Country_Context!$F$2:$F$87,MATCH($C6,Country_Context!$A$2:$A$87,0)),"")</f>
        <v/>
      </c>
      <c r="AO6" s="11">
        <f>IFERROR(INDEX(Country_Context!$G$2:$G$87,MATCH($C6,Country_Context!$A$2:$A$87,0)),"")</f>
        <v/>
      </c>
      <c r="AP6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6" s="12" t="inlineStr">
        <is>
          <t>Tier 3, Tier 4</t>
        </is>
      </c>
      <c r="AR6" s="12" t="inlineStr">
        <is>
          <t>2024-12-31</t>
        </is>
      </c>
      <c r="AS6" s="12" t="inlineStr">
        <is>
          <t>providers=world_bank_col_estimate, derived, ilo_ilostat, who_gho; fields=gross_income, rent, utilities, transit_cost; +9 additional fields</t>
        </is>
      </c>
      <c r="AT6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6" s="12" t="inlineStr">
        <is>
          <t>Tier 3</t>
        </is>
      </c>
      <c r="AV6" s="12" t="inlineStr">
        <is>
          <t>2024-12-31</t>
        </is>
      </c>
      <c r="AW6" s="12" t="inlineStr">
        <is>
          <t>providers=world_bank; fields=personal_safety_raw, water_sanitation_utility_raw, digital_infrastructure_raw</t>
        </is>
      </c>
      <c r="AX6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6" s="12" t="inlineStr">
        <is>
          <t>Tier 3</t>
        </is>
      </c>
      <c r="AZ6" s="12" t="inlineStr">
        <is>
          <t>2024-12-31</t>
        </is>
      </c>
      <c r="BA6" s="12" t="inlineStr">
        <is>
          <t>providers=who_gho, world_bank; fields=healthcare_quality_raw, education_quality_raw, equal_opportunity_raw, gini_coefficient</t>
        </is>
      </c>
      <c r="BB6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6" s="12" t="inlineStr">
        <is>
          <t>Tier 3</t>
        </is>
      </c>
      <c r="BD6" s="12" t="inlineStr">
        <is>
          <t>2025-12-31</t>
        </is>
      </c>
      <c r="BE6" s="12" t="inlineStr">
        <is>
          <t>providers=world_bank; fields=hospitality_belonging_raw, tolerance_pluralism_raw, cultural_public_life_raw</t>
        </is>
      </c>
      <c r="BF6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6" s="12" t="inlineStr">
        <is>
          <t>Tier 3</t>
        </is>
      </c>
      <c r="BH6" s="12" t="inlineStr">
        <is>
          <t>2024-12-31</t>
        </is>
      </c>
      <c r="BI6" s="12" t="inlineStr">
        <is>
          <t>providers=world_bank; fields=entrepreneurial_dynamism_raw, innovation_research_intensity_raw, investment_signal_raw, administrative_investment_friction_raw; +2 additional fields</t>
        </is>
      </c>
      <c r="BJ6" s="9" t="inlineStr"/>
    </row>
    <row r="7">
      <c r="A7" s="9" t="inlineStr">
        <is>
          <t>my-george-town</t>
        </is>
      </c>
      <c r="B7" s="9" t="inlineStr">
        <is>
          <t>George Town</t>
        </is>
      </c>
      <c r="C7" s="9" t="inlineStr">
        <is>
          <t>Malaysia</t>
        </is>
      </c>
      <c r="D7" s="9" t="inlineStr">
        <is>
          <t>Southeast Asia</t>
        </is>
      </c>
      <c r="E7" s="9" t="inlineStr">
        <is>
          <t>secondary</t>
        </is>
      </c>
      <c r="F7" s="9" t="inlineStr">
        <is>
          <t>locked</t>
        </is>
      </c>
      <c r="G7" s="10" t="n">
        <v>3120.83</v>
      </c>
      <c r="H7" s="10" t="n">
        <v>499.33</v>
      </c>
      <c r="I7" s="10" t="n">
        <v>124.83</v>
      </c>
      <c r="J7" s="10" t="n">
        <v>99.87</v>
      </c>
      <c r="K7" s="10" t="n">
        <v>37.45</v>
      </c>
      <c r="L7" s="10" t="n">
        <v>549.27</v>
      </c>
      <c r="M7" s="11" t="inlineStr"/>
      <c r="N7" s="10" t="n">
        <v>15.9999</v>
      </c>
      <c r="O7" s="10" t="n">
        <v>116.0773</v>
      </c>
      <c r="P7" s="11">
        <f>IF($O7&lt;&gt;"",$O7,$AO7)</f>
        <v/>
      </c>
      <c r="Q7" s="10" t="n">
        <v>44.7</v>
      </c>
      <c r="R7" s="10" t="n">
        <v>5.65</v>
      </c>
      <c r="S7" s="10" t="n">
        <v>0.73</v>
      </c>
      <c r="T7" s="10" t="inlineStr"/>
      <c r="U7" s="10" t="inlineStr"/>
      <c r="V7" s="10" t="n">
        <v>94.7</v>
      </c>
      <c r="W7" s="10" t="n">
        <v>13.03</v>
      </c>
      <c r="X7" s="9" t="inlineStr"/>
      <c r="Y7" s="10" t="n">
        <v>80</v>
      </c>
      <c r="Z7" s="10" t="n">
        <v>38.5</v>
      </c>
      <c r="AA7" s="10" t="n">
        <v>40.7</v>
      </c>
      <c r="AB7" s="10" t="n">
        <v>54.69</v>
      </c>
      <c r="AC7" s="10" t="n">
        <v>13.51</v>
      </c>
      <c r="AD7" s="10" t="n">
        <v>121.86</v>
      </c>
      <c r="AE7" s="10" t="n">
        <v>2.19</v>
      </c>
      <c r="AF7" s="10" t="n">
        <v>0.95</v>
      </c>
      <c r="AG7" s="10" t="n">
        <v>3.69</v>
      </c>
      <c r="AH7" s="10" t="n">
        <v>1.84</v>
      </c>
      <c r="AI7" s="10" t="inlineStr"/>
      <c r="AJ7" s="11">
        <f>IFERROR(INDEX(Country_Context!$B$2:$B$87,MATCH($C7,Country_Context!$A$2:$A$87,0)),"")</f>
        <v/>
      </c>
      <c r="AK7" s="11">
        <f>IFERROR(INDEX(Country_Context!$C$2:$C$87,MATCH($C7,Country_Context!$A$2:$A$87,0)),"")</f>
        <v/>
      </c>
      <c r="AL7" s="11">
        <f>IFERROR(INDEX(Country_Context!$D$2:$D$87,MATCH($C7,Country_Context!$A$2:$A$87,0)),"")</f>
        <v/>
      </c>
      <c r="AM7" s="11">
        <f>IFERROR(INDEX(Country_Context!$E$2:$E$87,MATCH($C7,Country_Context!$A$2:$A$87,0)),"")</f>
        <v/>
      </c>
      <c r="AN7" s="11">
        <f>IFERROR(INDEX(Country_Context!$F$2:$F$87,MATCH($C7,Country_Context!$A$2:$A$87,0)),"")</f>
        <v/>
      </c>
      <c r="AO7" s="11">
        <f>IFERROR(INDEX(Country_Context!$G$2:$G$87,MATCH($C7,Country_Context!$A$2:$A$87,0)),"")</f>
        <v/>
      </c>
      <c r="AP7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7" s="12" t="inlineStr">
        <is>
          <t>Tier 3, Tier 4</t>
        </is>
      </c>
      <c r="AR7" s="12" t="inlineStr">
        <is>
          <t>2024-12-31</t>
        </is>
      </c>
      <c r="AS7" s="12" t="inlineStr">
        <is>
          <t>providers=world_bank_col_estimate, derived, ilo_ilostat, who_gho; fields=gross_income, rent, utilities, transit_cost; +9 additional fields</t>
        </is>
      </c>
      <c r="AT7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7" s="12" t="inlineStr">
        <is>
          <t>Tier 3</t>
        </is>
      </c>
      <c r="AV7" s="12" t="inlineStr">
        <is>
          <t>2024-12-31</t>
        </is>
      </c>
      <c r="AW7" s="12" t="inlineStr">
        <is>
          <t>providers=world_bank; fields=personal_safety_raw, water_sanitation_utility_raw, digital_infrastructure_raw</t>
        </is>
      </c>
      <c r="AX7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7" s="12" t="inlineStr">
        <is>
          <t>Tier 3</t>
        </is>
      </c>
      <c r="AZ7" s="12" t="inlineStr">
        <is>
          <t>2024-12-31</t>
        </is>
      </c>
      <c r="BA7" s="12" t="inlineStr">
        <is>
          <t>providers=who_gho, world_bank; fields=healthcare_quality_raw, education_quality_raw, equal_opportunity_raw, gini_coefficient</t>
        </is>
      </c>
      <c r="BB7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7" s="12" t="inlineStr">
        <is>
          <t>Tier 3</t>
        </is>
      </c>
      <c r="BD7" s="12" t="inlineStr">
        <is>
          <t>2025-12-31</t>
        </is>
      </c>
      <c r="BE7" s="12" t="inlineStr">
        <is>
          <t>providers=world_bank; fields=hospitality_belonging_raw, tolerance_pluralism_raw, cultural_public_life_raw, birth_rate_optimism_raw</t>
        </is>
      </c>
      <c r="BF7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7" s="12" t="inlineStr">
        <is>
          <t>Tier 3</t>
        </is>
      </c>
      <c r="BH7" s="12" t="inlineStr">
        <is>
          <t>2024-12-31</t>
        </is>
      </c>
      <c r="BI7" s="12" t="inlineStr">
        <is>
          <t>providers=world_bank; fields=entrepreneurial_dynamism_raw, innovation_research_intensity_raw, investment_signal_raw, administrative_investment_friction_raw; +2 additional fields</t>
        </is>
      </c>
      <c r="BJ7" s="9" t="n">
        <v>1.6</v>
      </c>
    </row>
    <row r="8">
      <c r="A8" s="9" t="inlineStr">
        <is>
          <t>th-phuket</t>
        </is>
      </c>
      <c r="B8" s="9" t="inlineStr">
        <is>
          <t>Phuket</t>
        </is>
      </c>
      <c r="C8" s="9" t="inlineStr">
        <is>
          <t>Thailand</t>
        </is>
      </c>
      <c r="D8" s="9" t="inlineStr">
        <is>
          <t>Southeast Asia</t>
        </is>
      </c>
      <c r="E8" s="9" t="inlineStr">
        <is>
          <t>secondary</t>
        </is>
      </c>
      <c r="F8" s="9" t="inlineStr">
        <is>
          <t>locked</t>
        </is>
      </c>
      <c r="G8" s="10" t="n">
        <v>1996.67</v>
      </c>
      <c r="H8" s="10" t="n">
        <v>359.4</v>
      </c>
      <c r="I8" s="10" t="n">
        <v>89.84999999999999</v>
      </c>
      <c r="J8" s="10" t="n">
        <v>71.88</v>
      </c>
      <c r="K8" s="10" t="n">
        <v>26.96</v>
      </c>
      <c r="L8" s="10" t="n">
        <v>395.34</v>
      </c>
      <c r="M8" s="11" t="inlineStr"/>
      <c r="N8" s="10" t="n">
        <v>18</v>
      </c>
      <c r="O8" s="10" t="n">
        <v>115.1054</v>
      </c>
      <c r="P8" s="11">
        <f>IF($O8&lt;&gt;"",$O8,$AO8)</f>
        <v/>
      </c>
      <c r="Q8" s="10" t="n">
        <v>42.53</v>
      </c>
      <c r="R8" s="10" t="n">
        <v>16.59</v>
      </c>
      <c r="S8" s="10" t="inlineStr"/>
      <c r="T8" s="10" t="inlineStr"/>
      <c r="U8" s="10" t="n">
        <v>18</v>
      </c>
      <c r="V8" s="10" t="n">
        <v>90</v>
      </c>
      <c r="W8" s="10" t="n">
        <v>15.75</v>
      </c>
      <c r="X8" s="9" t="n">
        <v>60</v>
      </c>
      <c r="Y8" s="10" t="n">
        <v>82</v>
      </c>
      <c r="Z8" s="10" t="n">
        <v>49.08</v>
      </c>
      <c r="AA8" s="10" t="n">
        <v>33.5</v>
      </c>
      <c r="AB8" s="10" t="n">
        <v>50.38</v>
      </c>
      <c r="AC8" s="10" t="n">
        <v>19.4</v>
      </c>
      <c r="AD8" s="10" t="n">
        <v>556.96</v>
      </c>
      <c r="AE8" s="10" t="n">
        <v>1.54</v>
      </c>
      <c r="AF8" s="10" t="n">
        <v>1.16</v>
      </c>
      <c r="AG8" s="10" t="n">
        <v>2.72</v>
      </c>
      <c r="AH8" s="10" t="n">
        <v>2.34</v>
      </c>
      <c r="AI8" s="10" t="inlineStr"/>
      <c r="AJ8" s="11">
        <f>IFERROR(INDEX(Country_Context!$B$2:$B$87,MATCH($C8,Country_Context!$A$2:$A$87,0)),"")</f>
        <v/>
      </c>
      <c r="AK8" s="11">
        <f>IFERROR(INDEX(Country_Context!$C$2:$C$87,MATCH($C8,Country_Context!$A$2:$A$87,0)),"")</f>
        <v/>
      </c>
      <c r="AL8" s="11">
        <f>IFERROR(INDEX(Country_Context!$D$2:$D$87,MATCH($C8,Country_Context!$A$2:$A$87,0)),"")</f>
        <v/>
      </c>
      <c r="AM8" s="11">
        <f>IFERROR(INDEX(Country_Context!$E$2:$E$87,MATCH($C8,Country_Context!$A$2:$A$87,0)),"")</f>
        <v/>
      </c>
      <c r="AN8" s="11">
        <f>IFERROR(INDEX(Country_Context!$F$2:$F$87,MATCH($C8,Country_Context!$A$2:$A$87,0)),"")</f>
        <v/>
      </c>
      <c r="AO8" s="11">
        <f>IFERROR(INDEX(Country_Context!$G$2:$G$87,MATCH($C8,Country_Context!$A$2:$A$87,0)),"")</f>
        <v/>
      </c>
      <c r="AP8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8" s="12" t="inlineStr">
        <is>
          <t>Tier 3, Tier 4</t>
        </is>
      </c>
      <c r="AR8" s="12" t="inlineStr">
        <is>
          <t>2024-12-31</t>
        </is>
      </c>
      <c r="AS8" s="12" t="inlineStr">
        <is>
          <t>providers=world_bank_col_estimate, derived, ilo_ilostat, who_gho; fields=gross_income, rent, utilities, transit_cost; +9 additional fields</t>
        </is>
      </c>
      <c r="AT8" s="12" t="inlineStr">
        <is>
          <t>https://www.pcd.go.th/ | https://www.pwa.co.th/ | https://api.worldbank.org/v2/country/THA/indicator/IT.NET.BBND.P2?format=json&amp;mrv=10 | +1 more</t>
        </is>
      </c>
      <c r="AU8" s="12" t="inlineStr">
        <is>
          <t>Tier 2, Tier 3</t>
        </is>
      </c>
      <c r="AV8" s="12" t="inlineStr">
        <is>
          <t>2024-12-31</t>
        </is>
      </c>
      <c r="AW8" s="12" t="inlineStr">
        <is>
          <t>providers=thai_gov_pcd_rsc, world_bank, wmo_natl_met; fields=clean_air_raw, water_sanitation_utility_raw, digital_infrastructure_raw, climate_sunlight_livability_raw</t>
        </is>
      </c>
      <c r="AX8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8" s="12" t="inlineStr">
        <is>
          <t>Tier 3</t>
        </is>
      </c>
      <c r="AZ8" s="12" t="inlineStr">
        <is>
          <t>2025-12-31</t>
        </is>
      </c>
      <c r="BA8" s="12" t="inlineStr">
        <is>
          <t>providers=who_gho, world_bank; fields=healthcare_quality_raw, education_quality_raw, equal_opportunity_raw, gini_coefficient</t>
        </is>
      </c>
      <c r="BB8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8" s="12" t="inlineStr">
        <is>
          <t>Tier 3</t>
        </is>
      </c>
      <c r="BD8" s="12" t="inlineStr">
        <is>
          <t>2025-12-31</t>
        </is>
      </c>
      <c r="BE8" s="12" t="inlineStr">
        <is>
          <t>providers=world_bank; fields=hospitality_belonging_raw, tolerance_pluralism_raw, cultural_public_life_raw, birth_rate_optimism_raw</t>
        </is>
      </c>
      <c r="BF8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8" s="12" t="inlineStr">
        <is>
          <t>Tier 3</t>
        </is>
      </c>
      <c r="BH8" s="12" t="inlineStr">
        <is>
          <t>2024-12-31</t>
        </is>
      </c>
      <c r="BI8" s="12" t="inlineStr">
        <is>
          <t>providers=world_bank; fields=entrepreneurial_dynamism_raw, innovation_research_intensity_raw, investment_signal_raw, administrative_investment_friction_raw; +2 additional fields</t>
        </is>
      </c>
      <c r="BJ8" s="9" t="n">
        <v>1.08</v>
      </c>
    </row>
    <row r="9">
      <c r="A9" s="9" t="inlineStr">
        <is>
          <t>th-chiang-mai</t>
        </is>
      </c>
      <c r="B9" s="9" t="inlineStr">
        <is>
          <t>Chiang Mai</t>
        </is>
      </c>
      <c r="C9" s="9" t="inlineStr">
        <is>
          <t>Thailand</t>
        </is>
      </c>
      <c r="D9" s="9" t="inlineStr">
        <is>
          <t>Southeast Asia</t>
        </is>
      </c>
      <c r="E9" s="9" t="inlineStr">
        <is>
          <t>secondary</t>
        </is>
      </c>
      <c r="F9" s="9" t="inlineStr">
        <is>
          <t>locked</t>
        </is>
      </c>
      <c r="G9" s="10" t="n">
        <v>1996.67</v>
      </c>
      <c r="H9" s="10" t="n">
        <v>259.57</v>
      </c>
      <c r="I9" s="10" t="n">
        <v>64.89</v>
      </c>
      <c r="J9" s="10" t="n">
        <v>51.91</v>
      </c>
      <c r="K9" s="10" t="n">
        <v>19.47</v>
      </c>
      <c r="L9" s="10" t="n">
        <v>285.52</v>
      </c>
      <c r="M9" s="11" t="inlineStr"/>
      <c r="N9" s="10" t="n">
        <v>13.0001</v>
      </c>
      <c r="O9" s="10" t="n">
        <v>115.1054</v>
      </c>
      <c r="P9" s="11">
        <f>IF($O9&lt;&gt;"",$O9,$AO9)</f>
        <v/>
      </c>
      <c r="Q9" s="10" t="n">
        <v>42.53</v>
      </c>
      <c r="R9" s="10" t="n">
        <v>16.59</v>
      </c>
      <c r="S9" s="10" t="inlineStr"/>
      <c r="T9" s="10" t="inlineStr"/>
      <c r="U9" s="10" t="n">
        <v>35</v>
      </c>
      <c r="V9" s="10" t="n">
        <v>95</v>
      </c>
      <c r="W9" s="10" t="n">
        <v>15.75</v>
      </c>
      <c r="X9" s="9" t="n">
        <v>64</v>
      </c>
      <c r="Y9" s="10" t="n">
        <v>82</v>
      </c>
      <c r="Z9" s="10" t="n">
        <v>49.08</v>
      </c>
      <c r="AA9" s="10" t="n">
        <v>33.5</v>
      </c>
      <c r="AB9" s="10" t="n">
        <v>50.38</v>
      </c>
      <c r="AC9" s="10" t="n">
        <v>19.4</v>
      </c>
      <c r="AD9" s="10" t="n">
        <v>556.96</v>
      </c>
      <c r="AE9" s="10" t="n">
        <v>1.54</v>
      </c>
      <c r="AF9" s="10" t="n">
        <v>1.16</v>
      </c>
      <c r="AG9" s="10" t="n">
        <v>2.72</v>
      </c>
      <c r="AH9" s="10" t="n">
        <v>2.34</v>
      </c>
      <c r="AI9" s="10" t="inlineStr"/>
      <c r="AJ9" s="11">
        <f>IFERROR(INDEX(Country_Context!$B$2:$B$87,MATCH($C9,Country_Context!$A$2:$A$87,0)),"")</f>
        <v/>
      </c>
      <c r="AK9" s="11">
        <f>IFERROR(INDEX(Country_Context!$C$2:$C$87,MATCH($C9,Country_Context!$A$2:$A$87,0)),"")</f>
        <v/>
      </c>
      <c r="AL9" s="11">
        <f>IFERROR(INDEX(Country_Context!$D$2:$D$87,MATCH($C9,Country_Context!$A$2:$A$87,0)),"")</f>
        <v/>
      </c>
      <c r="AM9" s="11">
        <f>IFERROR(INDEX(Country_Context!$E$2:$E$87,MATCH($C9,Country_Context!$A$2:$A$87,0)),"")</f>
        <v/>
      </c>
      <c r="AN9" s="11">
        <f>IFERROR(INDEX(Country_Context!$F$2:$F$87,MATCH($C9,Country_Context!$A$2:$A$87,0)),"")</f>
        <v/>
      </c>
      <c r="AO9" s="11">
        <f>IFERROR(INDEX(Country_Context!$G$2:$G$87,MATCH($C9,Country_Context!$A$2:$A$87,0)),"")</f>
        <v/>
      </c>
      <c r="AP9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9" s="12" t="inlineStr">
        <is>
          <t>Tier 3, Tier 4</t>
        </is>
      </c>
      <c r="AR9" s="12" t="inlineStr">
        <is>
          <t>2024-12-31</t>
        </is>
      </c>
      <c r="AS9" s="12" t="inlineStr">
        <is>
          <t>providers=world_bank_col_estimate, derived, ilo_ilostat, who_gho; fields=gross_income, rent, utilities, transit_cost; +9 additional fields</t>
        </is>
      </c>
      <c r="AT9" s="12" t="inlineStr">
        <is>
          <t>https://www.pcd.go.th/ | https://www.pwa.co.th/ | https://api.worldbank.org/v2/country/THA/indicator/IT.NET.BBND.P2?format=json&amp;mrv=10 | +1 more</t>
        </is>
      </c>
      <c r="AU9" s="12" t="inlineStr">
        <is>
          <t>Tier 2, Tier 3</t>
        </is>
      </c>
      <c r="AV9" s="12" t="inlineStr">
        <is>
          <t>2024-12-31</t>
        </is>
      </c>
      <c r="AW9" s="12" t="inlineStr">
        <is>
          <t>providers=thai_gov_pcd_rsc, world_bank, wmo_natl_met; fields=clean_air_raw, water_sanitation_utility_raw, digital_infrastructure_raw, climate_sunlight_livability_raw</t>
        </is>
      </c>
      <c r="AX9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9" s="12" t="inlineStr">
        <is>
          <t>Tier 3</t>
        </is>
      </c>
      <c r="AZ9" s="12" t="inlineStr">
        <is>
          <t>2025-12-31</t>
        </is>
      </c>
      <c r="BA9" s="12" t="inlineStr">
        <is>
          <t>providers=who_gho, world_bank; fields=healthcare_quality_raw, education_quality_raw, equal_opportunity_raw, gini_coefficient</t>
        </is>
      </c>
      <c r="BB9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9" s="12" t="inlineStr">
        <is>
          <t>Tier 3</t>
        </is>
      </c>
      <c r="BD9" s="12" t="inlineStr">
        <is>
          <t>2025-12-31</t>
        </is>
      </c>
      <c r="BE9" s="12" t="inlineStr">
        <is>
          <t>providers=world_bank; fields=hospitality_belonging_raw, tolerance_pluralism_raw, cultural_public_life_raw, birth_rate_optimism_raw</t>
        </is>
      </c>
      <c r="BF9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9" s="12" t="inlineStr">
        <is>
          <t>Tier 3</t>
        </is>
      </c>
      <c r="BH9" s="12" t="inlineStr">
        <is>
          <t>2024-12-31</t>
        </is>
      </c>
      <c r="BI9" s="12" t="inlineStr">
        <is>
          <t>providers=world_bank; fields=entrepreneurial_dynamism_raw, innovation_research_intensity_raw, investment_signal_raw, administrative_investment_friction_raw; +2 additional fields</t>
        </is>
      </c>
      <c r="BJ9" s="9" t="n">
        <v>1.08</v>
      </c>
    </row>
    <row r="10">
      <c r="A10" s="9" t="inlineStr">
        <is>
          <t>my-kuching</t>
        </is>
      </c>
      <c r="B10" s="9" t="inlineStr">
        <is>
          <t>Kuching</t>
        </is>
      </c>
      <c r="C10" s="9" t="inlineStr">
        <is>
          <t>Malaysia</t>
        </is>
      </c>
      <c r="D10" s="9" t="inlineStr">
        <is>
          <t>Southeast Asia</t>
        </is>
      </c>
      <c r="E10" s="9" t="inlineStr">
        <is>
          <t>secondary</t>
        </is>
      </c>
      <c r="F10" s="9" t="inlineStr">
        <is>
          <t>locked</t>
        </is>
      </c>
      <c r="G10" s="10" t="n">
        <v>3120.83</v>
      </c>
      <c r="H10" s="10" t="n">
        <v>436.92</v>
      </c>
      <c r="I10" s="10" t="n">
        <v>109.23</v>
      </c>
      <c r="J10" s="10" t="n">
        <v>87.38</v>
      </c>
      <c r="K10" s="10" t="n">
        <v>32.77</v>
      </c>
      <c r="L10" s="10" t="n">
        <v>480.61</v>
      </c>
      <c r="M10" s="11" t="inlineStr"/>
      <c r="N10" s="10" t="n">
        <v>14.0001</v>
      </c>
      <c r="O10" s="10" t="n">
        <v>116.0773</v>
      </c>
      <c r="P10" s="11">
        <f>IF($O10&lt;&gt;"",$O10,$AO10)</f>
        <v/>
      </c>
      <c r="Q10" s="10" t="n">
        <v>44.7</v>
      </c>
      <c r="R10" s="10" t="n">
        <v>5.65</v>
      </c>
      <c r="S10" s="10" t="n">
        <v>0.73</v>
      </c>
      <c r="T10" s="10" t="inlineStr"/>
      <c r="U10" s="10" t="inlineStr"/>
      <c r="V10" s="10" t="n">
        <v>94.7</v>
      </c>
      <c r="W10" s="10" t="n">
        <v>13.03</v>
      </c>
      <c r="X10" s="9" t="inlineStr"/>
      <c r="Y10" s="10" t="n">
        <v>80</v>
      </c>
      <c r="Z10" s="10" t="n">
        <v>38.5</v>
      </c>
      <c r="AA10" s="10" t="n">
        <v>40.7</v>
      </c>
      <c r="AB10" s="10" t="n">
        <v>54.69</v>
      </c>
      <c r="AC10" s="10" t="n">
        <v>13.51</v>
      </c>
      <c r="AD10" s="10" t="n">
        <v>121.86</v>
      </c>
      <c r="AE10" s="10" t="n">
        <v>2.19</v>
      </c>
      <c r="AF10" s="10" t="n">
        <v>0.95</v>
      </c>
      <c r="AG10" s="10" t="n">
        <v>3.69</v>
      </c>
      <c r="AH10" s="10" t="n">
        <v>1.84</v>
      </c>
      <c r="AI10" s="10" t="inlineStr"/>
      <c r="AJ10" s="11">
        <f>IFERROR(INDEX(Country_Context!$B$2:$B$87,MATCH($C10,Country_Context!$A$2:$A$87,0)),"")</f>
        <v/>
      </c>
      <c r="AK10" s="11">
        <f>IFERROR(INDEX(Country_Context!$C$2:$C$87,MATCH($C10,Country_Context!$A$2:$A$87,0)),"")</f>
        <v/>
      </c>
      <c r="AL10" s="11">
        <f>IFERROR(INDEX(Country_Context!$D$2:$D$87,MATCH($C10,Country_Context!$A$2:$A$87,0)),"")</f>
        <v/>
      </c>
      <c r="AM10" s="11">
        <f>IFERROR(INDEX(Country_Context!$E$2:$E$87,MATCH($C10,Country_Context!$A$2:$A$87,0)),"")</f>
        <v/>
      </c>
      <c r="AN10" s="11">
        <f>IFERROR(INDEX(Country_Context!$F$2:$F$87,MATCH($C10,Country_Context!$A$2:$A$87,0)),"")</f>
        <v/>
      </c>
      <c r="AO10" s="11">
        <f>IFERROR(INDEX(Country_Context!$G$2:$G$87,MATCH($C10,Country_Context!$A$2:$A$87,0)),"")</f>
        <v/>
      </c>
      <c r="AP10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0" s="12" t="inlineStr">
        <is>
          <t>Tier 3, Tier 4</t>
        </is>
      </c>
      <c r="AR10" s="12" t="inlineStr">
        <is>
          <t>2024-12-31</t>
        </is>
      </c>
      <c r="AS10" s="12" t="inlineStr">
        <is>
          <t>providers=world_bank_col_estimate, derived, ilo_ilostat, who_gho; fields=gross_income, rent, utilities, transit_cost; +9 additional fields</t>
        </is>
      </c>
      <c r="AT10" s="12" t="inlineStr">
        <is>
          <t>https://api.worldbank.org/v2/country/MYS/indicator/VC.IHR.PSRC.P5?format=json&amp;mrv=10 | https://api.worldbank.org/v2/country/MYS/indicator/SH.H2O.SMDW.ZS?format=json&amp;mrv=10 | https://api.worldbank.org/v2/country/MYS/indicator/IT.NET.BBND.P2?format=json&amp;mrv=10</t>
        </is>
      </c>
      <c r="AU10" s="12" t="inlineStr">
        <is>
          <t>Tier 3</t>
        </is>
      </c>
      <c r="AV10" s="12" t="inlineStr">
        <is>
          <t>2024-12-31</t>
        </is>
      </c>
      <c r="AW10" s="12" t="inlineStr">
        <is>
          <t>providers=world_bank; fields=personal_safety_raw, water_sanitation_utility_raw, digital_infrastructure_raw</t>
        </is>
      </c>
      <c r="AX10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0" s="12" t="inlineStr">
        <is>
          <t>Tier 3</t>
        </is>
      </c>
      <c r="AZ10" s="12" t="inlineStr">
        <is>
          <t>2024-12-31</t>
        </is>
      </c>
      <c r="BA10" s="12" t="inlineStr">
        <is>
          <t>providers=who_gho, world_bank; fields=healthcare_quality_raw, education_quality_raw, equal_opportunity_raw, gini_coefficient</t>
        </is>
      </c>
      <c r="BB10" s="12" t="inlineStr">
        <is>
          <t>https://api.worldbank.org/v2/country/MYS/indicator/SM.POP.NETM?format=json&amp;mrv=10 | https://api.worldbank.org/v2/country/MYS/indicator/SG.GEN.PARL.ZS?format=json&amp;mrv=10 | https://api.worldbank.org/v2/country/MYS/indicator/ST.INT.ARVL?format=json&amp;mrv=10 | +1 more</t>
        </is>
      </c>
      <c r="BC10" s="12" t="inlineStr">
        <is>
          <t>Tier 3</t>
        </is>
      </c>
      <c r="BD10" s="12" t="inlineStr">
        <is>
          <t>2025-12-31</t>
        </is>
      </c>
      <c r="BE10" s="12" t="inlineStr">
        <is>
          <t>providers=world_bank; fields=hospitality_belonging_raw, tolerance_pluralism_raw, cultural_public_life_raw, birth_rate_optimism_raw</t>
        </is>
      </c>
      <c r="BF10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0" s="12" t="inlineStr">
        <is>
          <t>Tier 3</t>
        </is>
      </c>
      <c r="BH10" s="12" t="inlineStr">
        <is>
          <t>2024-12-31</t>
        </is>
      </c>
      <c r="BI10" s="12" t="inlineStr">
        <is>
          <t>providers=world_bank; fields=entrepreneurial_dynamism_raw, innovation_research_intensity_raw, investment_signal_raw, administrative_investment_friction_raw; +2 additional fields</t>
        </is>
      </c>
      <c r="BJ10" s="9" t="n">
        <v>1.6</v>
      </c>
    </row>
    <row r="11">
      <c r="A11" s="9" t="inlineStr">
        <is>
          <t>my-kota-kinabalu</t>
        </is>
      </c>
      <c r="B11" s="9" t="inlineStr">
        <is>
          <t>Kota Kinabalu</t>
        </is>
      </c>
      <c r="C11" s="9" t="inlineStr">
        <is>
          <t>Malaysia</t>
        </is>
      </c>
      <c r="D11" s="9" t="inlineStr">
        <is>
          <t>Southeast Asia</t>
        </is>
      </c>
      <c r="E11" s="9" t="inlineStr">
        <is>
          <t>secondary</t>
        </is>
      </c>
      <c r="F11" s="9" t="inlineStr">
        <is>
          <t>provisional</t>
        </is>
      </c>
      <c r="G11" s="10" t="n">
        <v>3120.83</v>
      </c>
      <c r="H11" s="10" t="n">
        <v>436.92</v>
      </c>
      <c r="I11" s="10" t="n">
        <v>109.23</v>
      </c>
      <c r="J11" s="10" t="n">
        <v>87.38</v>
      </c>
      <c r="K11" s="10" t="n">
        <v>32.77</v>
      </c>
      <c r="L11" s="10" t="n">
        <v>480.61</v>
      </c>
      <c r="M11" s="11" t="inlineStr"/>
      <c r="N11" s="10" t="n">
        <v>14.0001</v>
      </c>
      <c r="O11" s="10" t="n">
        <v>116.0773</v>
      </c>
      <c r="P11" s="11">
        <f>IF($O11&lt;&gt;"",$O11,$AO11)</f>
        <v/>
      </c>
      <c r="Q11" s="10" t="n">
        <v>44.7</v>
      </c>
      <c r="R11" s="10" t="n">
        <v>5.65</v>
      </c>
      <c r="S11" s="10" t="n">
        <v>0.73</v>
      </c>
      <c r="T11" s="10" t="inlineStr"/>
      <c r="U11" s="10" t="n">
        <v>15</v>
      </c>
      <c r="V11" s="10" t="n">
        <v>90</v>
      </c>
      <c r="W11" s="10" t="n">
        <v>13.03</v>
      </c>
      <c r="X11" s="9" t="n">
        <v>60</v>
      </c>
      <c r="Y11" s="10" t="n">
        <v>80</v>
      </c>
      <c r="Z11" s="10" t="n">
        <v>38.5</v>
      </c>
      <c r="AA11" s="10" t="n">
        <v>40.7</v>
      </c>
      <c r="AB11" s="10" t="n">
        <v>54.69</v>
      </c>
      <c r="AC11" s="10" t="n">
        <v>13.51</v>
      </c>
      <c r="AD11" s="10" t="n">
        <v>55</v>
      </c>
      <c r="AE11" s="10" t="n">
        <v>2.19</v>
      </c>
      <c r="AF11" s="10" t="n">
        <v>0.95</v>
      </c>
      <c r="AG11" s="10" t="n">
        <v>3.69</v>
      </c>
      <c r="AH11" s="10" t="n">
        <v>1.84</v>
      </c>
      <c r="AI11" s="10" t="inlineStr"/>
      <c r="AJ11" s="11">
        <f>IFERROR(INDEX(Country_Context!$B$2:$B$87,MATCH($C11,Country_Context!$A$2:$A$87,0)),"")</f>
        <v/>
      </c>
      <c r="AK11" s="11">
        <f>IFERROR(INDEX(Country_Context!$C$2:$C$87,MATCH($C11,Country_Context!$A$2:$A$87,0)),"")</f>
        <v/>
      </c>
      <c r="AL11" s="11">
        <f>IFERROR(INDEX(Country_Context!$D$2:$D$87,MATCH($C11,Country_Context!$A$2:$A$87,0)),"")</f>
        <v/>
      </c>
      <c r="AM11" s="11">
        <f>IFERROR(INDEX(Country_Context!$E$2:$E$87,MATCH($C11,Country_Context!$A$2:$A$87,0)),"")</f>
        <v/>
      </c>
      <c r="AN11" s="11">
        <f>IFERROR(INDEX(Country_Context!$F$2:$F$87,MATCH($C11,Country_Context!$A$2:$A$87,0)),"")</f>
        <v/>
      </c>
      <c r="AO11" s="11">
        <f>IFERROR(INDEX(Country_Context!$G$2:$G$87,MATCH($C11,Country_Context!$A$2:$A$87,0)),"")</f>
        <v/>
      </c>
      <c r="AP11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1" s="12" t="inlineStr">
        <is>
          <t>Tier 3, Tier 4</t>
        </is>
      </c>
      <c r="AR11" s="12" t="inlineStr">
        <is>
          <t>2024-12-31</t>
        </is>
      </c>
      <c r="AS11" s="12" t="inlineStr">
        <is>
          <t>providers=world_bank_col_estimate, derived, ilo_ilostat, who_gho; fields=gross_income, rent, utilities, transit_cost; +9 additional fields</t>
        </is>
      </c>
      <c r="AT11" s="12" t="inlineStr">
        <is>
          <t>https://api.worldbank.org/v2/country/MYS/indicator/VC.IHR.PSRC.P5?format=json&amp;mrv=10 | https://worldweather.wmo.int | https://washdata.org | +1 more</t>
        </is>
      </c>
      <c r="AU11" s="12" t="inlineStr">
        <is>
          <t>Tier 3</t>
        </is>
      </c>
      <c r="AV11" s="12" t="inlineStr">
        <is>
          <t>2024-12-31</t>
        </is>
      </c>
      <c r="AW11" s="12" t="inlineStr">
        <is>
          <t>providers=world_bank, wmo_natl_met, who_unicef_jmp; fields=personal_safety_raw, clean_air_raw, water_sanitation_utility_raw, digital_infrastructure_raw; +1 additional fields</t>
        </is>
      </c>
      <c r="AX11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1" s="12" t="inlineStr">
        <is>
          <t>Tier 3</t>
        </is>
      </c>
      <c r="AZ11" s="12" t="inlineStr">
        <is>
          <t>2024-12-31</t>
        </is>
      </c>
      <c r="BA11" s="12" t="inlineStr">
        <is>
          <t>providers=who_gho, world_bank; fields=healthcare_quality_raw, education_quality_raw, equal_opportunity_raw, gini_coefficient</t>
        </is>
      </c>
      <c r="BB11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1" s="12" t="inlineStr">
        <is>
          <t>Tier 3</t>
        </is>
      </c>
      <c r="BD11" s="12" t="inlineStr">
        <is>
          <t>2025-12-31</t>
        </is>
      </c>
      <c r="BE11" s="12" t="inlineStr">
        <is>
          <t>providers=world_bank, wmo_natl_met; fields=hospitality_belonging_raw, tolerance_pluralism_raw, cultural_public_life_raw, birth_rate_optimism_raw</t>
        </is>
      </c>
      <c r="BF11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1" s="12" t="inlineStr">
        <is>
          <t>Tier 3</t>
        </is>
      </c>
      <c r="BH11" s="12" t="inlineStr">
        <is>
          <t>2024-12-31</t>
        </is>
      </c>
      <c r="BI11" s="12" t="inlineStr">
        <is>
          <t>providers=world_bank; fields=entrepreneurial_dynamism_raw, innovation_research_intensity_raw, investment_signal_raw, administrative_investment_friction_raw; +2 additional fields</t>
        </is>
      </c>
      <c r="BJ11" s="9" t="n">
        <v>1.6</v>
      </c>
    </row>
    <row r="12">
      <c r="A12" s="9" t="inlineStr">
        <is>
          <t>my-melaka</t>
        </is>
      </c>
      <c r="B12" s="9" t="inlineStr">
        <is>
          <t>Melaka</t>
        </is>
      </c>
      <c r="C12" s="9" t="inlineStr">
        <is>
          <t>Malaysia</t>
        </is>
      </c>
      <c r="D12" s="9" t="inlineStr">
        <is>
          <t>Southeast Asia</t>
        </is>
      </c>
      <c r="E12" s="9" t="inlineStr">
        <is>
          <t>secondary</t>
        </is>
      </c>
      <c r="F12" s="9" t="inlineStr">
        <is>
          <t>provisional</t>
        </is>
      </c>
      <c r="G12" s="10" t="n">
        <v>3120.83</v>
      </c>
      <c r="H12" s="10" t="n">
        <v>405.71</v>
      </c>
      <c r="I12" s="10" t="n">
        <v>101.43</v>
      </c>
      <c r="J12" s="10" t="n">
        <v>81.14</v>
      </c>
      <c r="K12" s="10" t="n">
        <v>30.43</v>
      </c>
      <c r="L12" s="10" t="n">
        <v>446.28</v>
      </c>
      <c r="M12" s="11" t="inlineStr"/>
      <c r="N12" s="10" t="n">
        <v>13.0001</v>
      </c>
      <c r="O12" s="10" t="n">
        <v>116.0773</v>
      </c>
      <c r="P12" s="11">
        <f>IF($O12&lt;&gt;"",$O12,$AO12)</f>
        <v/>
      </c>
      <c r="Q12" s="10" t="n">
        <v>44.7</v>
      </c>
      <c r="R12" s="10" t="n">
        <v>5.65</v>
      </c>
      <c r="S12" s="10" t="n">
        <v>0.73</v>
      </c>
      <c r="T12" s="10" t="inlineStr"/>
      <c r="U12" s="10" t="n">
        <v>18</v>
      </c>
      <c r="V12" s="10" t="n">
        <v>90</v>
      </c>
      <c r="W12" s="10" t="n">
        <v>13.03</v>
      </c>
      <c r="X12" s="9" t="n">
        <v>56</v>
      </c>
      <c r="Y12" s="10" t="n">
        <v>80</v>
      </c>
      <c r="Z12" s="10" t="n">
        <v>38.5</v>
      </c>
      <c r="AA12" s="10" t="n">
        <v>40.7</v>
      </c>
      <c r="AB12" s="10" t="n">
        <v>54.69</v>
      </c>
      <c r="AC12" s="10" t="n">
        <v>13.51</v>
      </c>
      <c r="AD12" s="10" t="n">
        <v>75</v>
      </c>
      <c r="AE12" s="10" t="n">
        <v>2.19</v>
      </c>
      <c r="AF12" s="10" t="n">
        <v>0.95</v>
      </c>
      <c r="AG12" s="10" t="n">
        <v>3.69</v>
      </c>
      <c r="AH12" s="10" t="n">
        <v>1.84</v>
      </c>
      <c r="AI12" s="10" t="inlineStr"/>
      <c r="AJ12" s="11">
        <f>IFERROR(INDEX(Country_Context!$B$2:$B$87,MATCH($C12,Country_Context!$A$2:$A$87,0)),"")</f>
        <v/>
      </c>
      <c r="AK12" s="11">
        <f>IFERROR(INDEX(Country_Context!$C$2:$C$87,MATCH($C12,Country_Context!$A$2:$A$87,0)),"")</f>
        <v/>
      </c>
      <c r="AL12" s="11">
        <f>IFERROR(INDEX(Country_Context!$D$2:$D$87,MATCH($C12,Country_Context!$A$2:$A$87,0)),"")</f>
        <v/>
      </c>
      <c r="AM12" s="11">
        <f>IFERROR(INDEX(Country_Context!$E$2:$E$87,MATCH($C12,Country_Context!$A$2:$A$87,0)),"")</f>
        <v/>
      </c>
      <c r="AN12" s="11">
        <f>IFERROR(INDEX(Country_Context!$F$2:$F$87,MATCH($C12,Country_Context!$A$2:$A$87,0)),"")</f>
        <v/>
      </c>
      <c r="AO12" s="11">
        <f>IFERROR(INDEX(Country_Context!$G$2:$G$87,MATCH($C12,Country_Context!$A$2:$A$87,0)),"")</f>
        <v/>
      </c>
      <c r="AP12" s="12" t="inlineStr">
        <is>
          <t>https://api.worldbank.org/v2/country/MYS/indicator/NY.GNP.PCAP.PP.CD?format=json&amp;mrv=10 | https://data.worldbank.org/indicator/NY.GNP.PCAP.PP.CD | https://ilostat.ilo.org/data/indicator/?id=HOW_TEMP_SEX_ECO_NB_A&amp;ref_area=MYS | +4 more</t>
        </is>
      </c>
      <c r="AQ12" s="12" t="inlineStr">
        <is>
          <t>Tier 3, Tier 4</t>
        </is>
      </c>
      <c r="AR12" s="12" t="inlineStr">
        <is>
          <t>2024-12-31</t>
        </is>
      </c>
      <c r="AS12" s="12" t="inlineStr">
        <is>
          <t>providers=world_bank_col_estimate, derived, ilo_ilostat, who_gho; fields=gross_income, rent, utilities, transit_cost; +9 additional fields</t>
        </is>
      </c>
      <c r="AT12" s="12" t="inlineStr">
        <is>
          <t>https://api.worldbank.org/v2/country/MYS/indicator/VC.IHR.PSRC.P5?format=json&amp;mrv=10 | https://worldweather.wmo.int | https://washdata.org | +1 more</t>
        </is>
      </c>
      <c r="AU12" s="12" t="inlineStr">
        <is>
          <t>Tier 3</t>
        </is>
      </c>
      <c r="AV12" s="12" t="inlineStr">
        <is>
          <t>2024-12-31</t>
        </is>
      </c>
      <c r="AW12" s="12" t="inlineStr">
        <is>
          <t>providers=world_bank, wmo_natl_met, who_unicef_jmp; fields=personal_safety_raw, clean_air_raw, water_sanitation_utility_raw, digital_infrastructure_raw; +1 additional fields</t>
        </is>
      </c>
      <c r="AX12" s="12" t="inlineStr">
        <is>
          <t>https://www.who.int/data/gho/data/indicators/indicator-details/GHO/UHC_INDEX_REPORTED | https://api.worldbank.org/v2/country/MYS/indicator/SE.TER.ENRR?format=json&amp;mrv=10 | https://api.worldbank.org/v2/country/MYS/indicator/SI.POV.GINI?format=json&amp;mrv=10 | +1 more</t>
        </is>
      </c>
      <c r="AY12" s="12" t="inlineStr">
        <is>
          <t>Tier 3</t>
        </is>
      </c>
      <c r="AZ12" s="12" t="inlineStr">
        <is>
          <t>2024-12-31</t>
        </is>
      </c>
      <c r="BA12" s="12" t="inlineStr">
        <is>
          <t>providers=who_gho, world_bank; fields=healthcare_quality_raw, education_quality_raw, equal_opportunity_raw, gini_coefficient</t>
        </is>
      </c>
      <c r="BB12" s="12" t="inlineStr">
        <is>
          <t>https://api.worldbank.org/v2/country/MYS/indicator/SM.POP.NETM?format=json&amp;mrv=10 | https://api.worldbank.org/v2/country/MYS/indicator/SG.GEN.PARL.ZS?format=json&amp;mrv=10 | https://worldweather.wmo.int | +1 more</t>
        </is>
      </c>
      <c r="BC12" s="12" t="inlineStr">
        <is>
          <t>Tier 3</t>
        </is>
      </c>
      <c r="BD12" s="12" t="inlineStr">
        <is>
          <t>2025-12-31</t>
        </is>
      </c>
      <c r="BE12" s="12" t="inlineStr">
        <is>
          <t>providers=world_bank, wmo_natl_met; fields=hospitality_belonging_raw, tolerance_pluralism_raw, cultural_public_life_raw, birth_rate_optimism_raw</t>
        </is>
      </c>
      <c r="BF12" s="12" t="inlineStr">
        <is>
          <t>https://api.worldbank.org/v2/country/MYS/indicator/IC.BUS.NDNS.ZS?format=json&amp;mrv=10 | https://api.worldbank.org/v2/country/MYS/indicator/GB.XPD.RSDV.GD.ZS?format=json&amp;mrv=10 | https://api.worldbank.org/v2/country/MYS/indicator/BX.KLT.DINV.WD.GD.ZS?format=json&amp;mrv=10 | +3 more</t>
        </is>
      </c>
      <c r="BG12" s="12" t="inlineStr">
        <is>
          <t>Tier 3</t>
        </is>
      </c>
      <c r="BH12" s="12" t="inlineStr">
        <is>
          <t>2024-12-31</t>
        </is>
      </c>
      <c r="BI12" s="12" t="inlineStr">
        <is>
          <t>providers=world_bank; fields=entrepreneurial_dynamism_raw, innovation_research_intensity_raw, investment_signal_raw, administrative_investment_friction_raw; +2 additional fields</t>
        </is>
      </c>
      <c r="BJ12" s="9" t="n">
        <v>1.6</v>
      </c>
    </row>
    <row r="13">
      <c r="A13" s="9" t="inlineStr">
        <is>
          <t>th-hat-yai</t>
        </is>
      </c>
      <c r="B13" s="9" t="inlineStr">
        <is>
          <t>Hat Yai</t>
        </is>
      </c>
      <c r="C13" s="9" t="inlineStr">
        <is>
          <t>Thailand</t>
        </is>
      </c>
      <c r="D13" s="9" t="inlineStr">
        <is>
          <t>Southeast Asia</t>
        </is>
      </c>
      <c r="E13" s="9" t="inlineStr">
        <is>
          <t>secondary</t>
        </is>
      </c>
      <c r="F13" s="9" t="inlineStr">
        <is>
          <t>provisional</t>
        </is>
      </c>
      <c r="G13" s="10" t="n">
        <v>1996.67</v>
      </c>
      <c r="H13" s="10" t="n">
        <v>239.6</v>
      </c>
      <c r="I13" s="10" t="n">
        <v>59.9</v>
      </c>
      <c r="J13" s="10" t="n">
        <v>47.92</v>
      </c>
      <c r="K13" s="10" t="n">
        <v>17.97</v>
      </c>
      <c r="L13" s="10" t="n">
        <v>263.56</v>
      </c>
      <c r="M13" s="11" t="inlineStr"/>
      <c r="N13" s="10" t="n">
        <v>12</v>
      </c>
      <c r="O13" s="10" t="n">
        <v>115.1054</v>
      </c>
      <c r="P13" s="11">
        <f>IF($O13&lt;&gt;"",$O13,$AO13)</f>
        <v/>
      </c>
      <c r="Q13" s="10" t="n">
        <v>42.53</v>
      </c>
      <c r="R13" s="10" t="n">
        <v>16.59</v>
      </c>
      <c r="S13" s="10" t="inlineStr"/>
      <c r="T13" s="10" t="inlineStr"/>
      <c r="U13" s="10" t="n">
        <v>20</v>
      </c>
      <c r="V13" s="10" t="n">
        <v>92</v>
      </c>
      <c r="W13" s="10" t="n">
        <v>15.75</v>
      </c>
      <c r="X13" s="9" t="n">
        <v>55</v>
      </c>
      <c r="Y13" s="10" t="n">
        <v>82</v>
      </c>
      <c r="Z13" s="10" t="n">
        <v>49.08</v>
      </c>
      <c r="AA13" s="10" t="n">
        <v>33.5</v>
      </c>
      <c r="AB13" s="10" t="n">
        <v>50.38</v>
      </c>
      <c r="AC13" s="10" t="n">
        <v>19.4</v>
      </c>
      <c r="AD13" s="10" t="n">
        <v>556.96</v>
      </c>
      <c r="AE13" s="10" t="n">
        <v>1.54</v>
      </c>
      <c r="AF13" s="10" t="n">
        <v>1.16</v>
      </c>
      <c r="AG13" s="10" t="n">
        <v>2.72</v>
      </c>
      <c r="AH13" s="10" t="n">
        <v>2.34</v>
      </c>
      <c r="AI13" s="10" t="inlineStr"/>
      <c r="AJ13" s="11">
        <f>IFERROR(INDEX(Country_Context!$B$2:$B$87,MATCH($C13,Country_Context!$A$2:$A$87,0)),"")</f>
        <v/>
      </c>
      <c r="AK13" s="11">
        <f>IFERROR(INDEX(Country_Context!$C$2:$C$87,MATCH($C13,Country_Context!$A$2:$A$87,0)),"")</f>
        <v/>
      </c>
      <c r="AL13" s="11">
        <f>IFERROR(INDEX(Country_Context!$D$2:$D$87,MATCH($C13,Country_Context!$A$2:$A$87,0)),"")</f>
        <v/>
      </c>
      <c r="AM13" s="11">
        <f>IFERROR(INDEX(Country_Context!$E$2:$E$87,MATCH($C13,Country_Context!$A$2:$A$87,0)),"")</f>
        <v/>
      </c>
      <c r="AN13" s="11">
        <f>IFERROR(INDEX(Country_Context!$F$2:$F$87,MATCH($C13,Country_Context!$A$2:$A$87,0)),"")</f>
        <v/>
      </c>
      <c r="AO13" s="11">
        <f>IFERROR(INDEX(Country_Context!$G$2:$G$87,MATCH($C13,Country_Context!$A$2:$A$87,0)),"")</f>
        <v/>
      </c>
      <c r="AP13" s="12" t="inlineStr">
        <is>
          <t>https://api.worldbank.org/v2/country/THA/indicator/NY.GNP.PCAP.PP.CD?format=json&amp;mrv=10 | https://data.worldbank.org/indicator/NY.GNP.PCAP.PP.CD | https://ilostat.ilo.org/data/indicator/?id=HOW_TEMP_SEX_ECO_NB_A&amp;ref_area=THA | +4 more</t>
        </is>
      </c>
      <c r="AQ13" s="12" t="inlineStr">
        <is>
          <t>Tier 3, Tier 4</t>
        </is>
      </c>
      <c r="AR13" s="12" t="inlineStr">
        <is>
          <t>2024-12-31</t>
        </is>
      </c>
      <c r="AS13" s="12" t="inlineStr">
        <is>
          <t>providers=world_bank_col_estimate, derived, ilo_ilostat, who_gho; fields=gross_income, rent, utilities, transit_cost; +9 additional fields</t>
        </is>
      </c>
      <c r="AT13" s="12" t="inlineStr">
        <is>
          <t>https://www.pcd.go.th/ | https://www.pwa.co.th/ | https://api.worldbank.org/v2/country/THA/indicator/IT.NET.BBND.P2?format=json&amp;mrv=10 | +1 more</t>
        </is>
      </c>
      <c r="AU13" s="12" t="inlineStr">
        <is>
          <t>Tier 2, Tier 3</t>
        </is>
      </c>
      <c r="AV13" s="12" t="inlineStr">
        <is>
          <t>2024-12-31</t>
        </is>
      </c>
      <c r="AW13" s="12" t="inlineStr">
        <is>
          <t>providers=thai_gov_pcd_rsc, world_bank, wmo_natl_met; fields=clean_air_raw, water_sanitation_utility_raw, digital_infrastructure_raw, climate_sunlight_livability_raw</t>
        </is>
      </c>
      <c r="AX13" s="12" t="inlineStr">
        <is>
          <t>https://www.who.int/data/gho/data/indicators/indicator-details/GHO/UHC_INDEX_REPORTED | https://api.worldbank.org/v2/country/THA/indicator/SE.TER.ENRR?format=json&amp;mrv=10 | https://api.worldbank.org/v2/country/THA/indicator/SI.POV.GINI?format=json&amp;mrv=10 | +1 more</t>
        </is>
      </c>
      <c r="AY13" s="12" t="inlineStr">
        <is>
          <t>Tier 3</t>
        </is>
      </c>
      <c r="AZ13" s="12" t="inlineStr">
        <is>
          <t>2025-12-31</t>
        </is>
      </c>
      <c r="BA13" s="12" t="inlineStr">
        <is>
          <t>providers=who_gho, world_bank; fields=healthcare_quality_raw, education_quality_raw, equal_opportunity_raw, gini_coefficient</t>
        </is>
      </c>
      <c r="BB13" s="12" t="inlineStr">
        <is>
          <t>https://api.worldbank.org/v2/country/THA/indicator/SM.POP.NETM?format=json&amp;mrv=10 | https://api.worldbank.org/v2/country/THA/indicator/SG.GEN.PARL.ZS?format=json&amp;mrv=10 | https://api.worldbank.org/v2/country/THA/indicator/ST.INT.ARVL?format=json&amp;mrv=10 | +1 more</t>
        </is>
      </c>
      <c r="BC13" s="12" t="inlineStr">
        <is>
          <t>Tier 3</t>
        </is>
      </c>
      <c r="BD13" s="12" t="inlineStr">
        <is>
          <t>2025-12-31</t>
        </is>
      </c>
      <c r="BE13" s="12" t="inlineStr">
        <is>
          <t>providers=world_bank; fields=hospitality_belonging_raw, tolerance_pluralism_raw, cultural_public_life_raw, birth_rate_optimism_raw</t>
        </is>
      </c>
      <c r="BF13" s="12" t="inlineStr">
        <is>
          <t>https://api.worldbank.org/v2/country/THA/indicator/IC.BUS.NDNS.ZS?format=json&amp;mrv=10 | https://api.worldbank.org/v2/country/THA/indicator/GB.XPD.RSDV.GD.ZS?format=json&amp;mrv=10 | https://api.worldbank.org/v2/country/THA/indicator/BX.KLT.DINV.WD.GD.ZS?format=json&amp;mrv=10 | +3 more</t>
        </is>
      </c>
      <c r="BG13" s="12" t="inlineStr">
        <is>
          <t>Tier 3</t>
        </is>
      </c>
      <c r="BH13" s="12" t="inlineStr">
        <is>
          <t>2024-12-31</t>
        </is>
      </c>
      <c r="BI13" s="12" t="inlineStr">
        <is>
          <t>providers=world_bank; fields=entrepreneurial_dynamism_raw, innovation_research_intensity_raw, investment_signal_raw, administrative_investment_friction_raw; +2 additional fields</t>
        </is>
      </c>
      <c r="BJ13" s="9" t="n">
        <v>1.08</v>
      </c>
    </row>
    <row r="14">
      <c r="A14" s="9" t="inlineStr">
        <is>
          <t>tw-taipei</t>
        </is>
      </c>
      <c r="B14" s="9" t="inlineStr">
        <is>
          <t>Taipei</t>
        </is>
      </c>
      <c r="C14" s="9" t="inlineStr">
        <is>
          <t>Taiwan</t>
        </is>
      </c>
      <c r="D14" s="9" t="inlineStr">
        <is>
          <t>East Asia</t>
        </is>
      </c>
      <c r="E14" s="9" t="inlineStr">
        <is>
          <t>primary</t>
        </is>
      </c>
      <c r="F14" s="9" t="inlineStr">
        <is>
          <t>locked</t>
        </is>
      </c>
      <c r="G14" s="10" t="n">
        <v>5958.33</v>
      </c>
      <c r="H14" s="10" t="n">
        <v>1713.02</v>
      </c>
      <c r="I14" s="10" t="n">
        <v>411.12</v>
      </c>
      <c r="J14" s="10" t="n">
        <v>274.08</v>
      </c>
      <c r="K14" s="10" t="n">
        <v>102.78</v>
      </c>
      <c r="L14" s="10" t="n">
        <v>1370.42</v>
      </c>
      <c r="M14" s="11" t="inlineStr"/>
      <c r="N14" s="10" t="n">
        <v>28.75</v>
      </c>
      <c r="O14" s="10" t="n">
        <v>86</v>
      </c>
      <c r="P14" s="11">
        <f>IF($O14&lt;&gt;"",$O14,$AO14)</f>
        <v/>
      </c>
      <c r="Q14" s="10" t="n">
        <v>41.5</v>
      </c>
      <c r="R14" s="10" t="n">
        <v>16</v>
      </c>
      <c r="S14" s="10" t="n">
        <v>0.8</v>
      </c>
      <c r="T14" s="10" t="inlineStr"/>
      <c r="U14" s="10" t="n">
        <v>15</v>
      </c>
      <c r="V14" s="10" t="n">
        <v>99</v>
      </c>
      <c r="W14" s="10" t="n">
        <v>28</v>
      </c>
      <c r="X14" s="9" t="n">
        <v>62</v>
      </c>
      <c r="Y14" s="10" t="n">
        <v>88</v>
      </c>
      <c r="Z14" s="10" t="n">
        <v>95</v>
      </c>
      <c r="AA14" s="10" t="n">
        <v>45</v>
      </c>
      <c r="AB14" s="10" t="inlineStr"/>
      <c r="AC14" s="10" t="n">
        <v>45</v>
      </c>
      <c r="AD14" s="10" t="n">
        <v>60</v>
      </c>
      <c r="AE14" s="10" t="n">
        <v>7.5</v>
      </c>
      <c r="AF14" s="10" t="n">
        <v>3.6</v>
      </c>
      <c r="AG14" s="10" t="n">
        <v>65</v>
      </c>
      <c r="AH14" s="10" t="n">
        <v>9</v>
      </c>
      <c r="AI14" s="10" t="inlineStr"/>
      <c r="AJ14" s="11">
        <f>IFERROR(INDEX(Country_Context!$B$2:$B$87,MATCH($C14,Country_Context!$A$2:$A$87,0)),"")</f>
        <v/>
      </c>
      <c r="AK14" s="11">
        <f>IFERROR(INDEX(Country_Context!$C$2:$C$87,MATCH($C14,Country_Context!$A$2:$A$87,0)),"")</f>
        <v/>
      </c>
      <c r="AL14" s="11">
        <f>IFERROR(INDEX(Country_Context!$D$2:$D$87,MATCH($C14,Country_Context!$A$2:$A$87,0)),"")</f>
        <v/>
      </c>
      <c r="AM14" s="11">
        <f>IFERROR(INDEX(Country_Context!$E$2:$E$87,MATCH($C14,Country_Context!$A$2:$A$87,0)),"")</f>
        <v/>
      </c>
      <c r="AN14" s="11">
        <f>IFERROR(INDEX(Country_Context!$F$2:$F$87,MATCH($C14,Country_Context!$A$2:$A$87,0)),"")</f>
        <v/>
      </c>
      <c r="AO14" s="11">
        <f>IFERROR(INDEX(Country_Context!$G$2:$G$87,MATCH($C14,Country_Context!$A$2:$A$87,0)),"")</f>
        <v/>
      </c>
      <c r="AP14" s="12" t="inlineStr">
        <is>
          <t>https://data.worldbank.org/indicator/NY.GNP.PCAP.PP.CD | https://eng.dgbas.gov.tw | https://dep.mohw.gov.tw</t>
        </is>
      </c>
      <c r="AQ14" s="12" t="inlineStr">
        <is>
          <t>Tier 1, Tier 4</t>
        </is>
      </c>
      <c r="AR14" s="12" t="inlineStr">
        <is>
          <t>2024-01-01</t>
        </is>
      </c>
      <c r="AS14" s="12" t="inlineStr">
        <is>
          <t>providers=world_bank_col_estimate, derived, city_official_portal; fields=gross_income, rent, utilities, transit_cost; +6 additional fields</t>
        </is>
      </c>
      <c r="AT14" s="12" t="inlineStr">
        <is>
          <t>https://eng.dgbas.gov.tw | https://worldweather.wmo.int</t>
        </is>
      </c>
      <c r="AU14" s="12" t="inlineStr">
        <is>
          <t>Tier 1, Tier 3</t>
        </is>
      </c>
      <c r="AV14" s="12" t="inlineStr">
        <is>
          <t>2024-12-31</t>
        </is>
      </c>
      <c r="AW14" s="12" t="inlineStr">
        <is>
          <t>providers=city_official_portal, wmo_natl_met; fields=personal_safety_raw, clean_air_raw, water_sanitation_utility_raw, digital_infrastructure_raw; +1 additional fields</t>
        </is>
      </c>
      <c r="AX14" s="12" t="inlineStr">
        <is>
          <t>https://dep.mohw.gov.tw | https://eng.dgbas.gov.tw</t>
        </is>
      </c>
      <c r="AY14" s="12" t="inlineStr">
        <is>
          <t>Tier 1</t>
        </is>
      </c>
      <c r="AZ14" s="12" t="inlineStr">
        <is>
          <t>2023-12-31</t>
        </is>
      </c>
      <c r="BA14" s="12" t="inlineStr">
        <is>
          <t>providers=city_official_portal; fields=healthcare_quality_raw, education_quality_raw, equal_opportunity_raw</t>
        </is>
      </c>
      <c r="BB14" s="12" t="inlineStr">
        <is>
          <t>https://api.worldbank.org/v2/country/TWN | https://eng.dgbas.gov.tw | https://data.worldbank.org/indicator/SP.DYN.TFRT.IN</t>
        </is>
      </c>
      <c r="BC14" s="12" t="inlineStr">
        <is>
          <t>Tier 1, Tier 3</t>
        </is>
      </c>
      <c r="BD14" s="12" t="inlineStr">
        <is>
          <t>2024-12-31</t>
        </is>
      </c>
      <c r="BE14" s="12" t="inlineStr">
        <is>
          <t>providers=world_bank, city_official_portal; fields=tolerance_pluralism_raw, cultural_public_life_raw, birth_rate_optimism_raw</t>
        </is>
      </c>
      <c r="BF14" s="12" t="inlineStr">
        <is>
          <t>https://eng.dgbas.gov.tw</t>
        </is>
      </c>
      <c r="BG14" s="12" t="inlineStr">
        <is>
          <t>Tier 1</t>
        </is>
      </c>
      <c r="BH14" s="12" t="inlineStr">
        <is>
          <t>2023-12-31</t>
        </is>
      </c>
      <c r="BI14" s="12" t="inlineStr">
        <is>
          <t>providers=city_official_portal; fields=entrepreneurial_dynamism_raw, innovation_research_intensity_raw, investment_signal_raw, administrative_investment_friction_raw</t>
        </is>
      </c>
      <c r="BJ14" s="9" t="n">
        <v>0.87</v>
      </c>
    </row>
    <row r="15">
      <c r="A15" s="9" t="inlineStr">
        <is>
          <t>kr-busan</t>
        </is>
      </c>
      <c r="B15" s="9" t="inlineStr">
        <is>
          <t>Busan</t>
        </is>
      </c>
      <c r="C15" s="9" t="inlineStr">
        <is>
          <t>South Korea</t>
        </is>
      </c>
      <c r="D15" s="9" t="inlineStr">
        <is>
          <t>East Asia</t>
        </is>
      </c>
      <c r="E15" s="9" t="inlineStr">
        <is>
          <t>primary</t>
        </is>
      </c>
      <c r="F15" s="9" t="inlineStr">
        <is>
          <t>locked</t>
        </is>
      </c>
      <c r="G15" s="10" t="n">
        <v>4644.75</v>
      </c>
      <c r="H15" s="10" t="n">
        <v>987.01</v>
      </c>
      <c r="I15" s="10" t="n">
        <v>236.88</v>
      </c>
      <c r="J15" s="10" t="n">
        <v>157.92</v>
      </c>
      <c r="K15" s="10" t="n">
        <v>59.22</v>
      </c>
      <c r="L15" s="10" t="n">
        <v>789.61</v>
      </c>
      <c r="M15" s="11" t="inlineStr"/>
      <c r="N15" s="10" t="n">
        <v>21.25</v>
      </c>
      <c r="O15" s="10" t="n">
        <v>160.3472</v>
      </c>
      <c r="P15" s="11">
        <f>IF($O15&lt;&gt;"",$O15,$AO15)</f>
        <v/>
      </c>
      <c r="Q15" s="10" t="n">
        <v>38.49</v>
      </c>
      <c r="R15" s="10" t="n">
        <v>27.53</v>
      </c>
      <c r="S15" s="10" t="n">
        <v>0.48</v>
      </c>
      <c r="T15" s="10" t="inlineStr"/>
      <c r="U15" s="10" t="inlineStr"/>
      <c r="V15" s="10" t="n">
        <v>99.28</v>
      </c>
      <c r="W15" s="10" t="n">
        <v>46.57</v>
      </c>
      <c r="X15" s="9" t="n">
        <v>64</v>
      </c>
      <c r="Y15" s="10" t="n">
        <v>88</v>
      </c>
      <c r="Z15" s="10" t="n">
        <v>106.71</v>
      </c>
      <c r="AA15" s="10" t="n">
        <v>32.9</v>
      </c>
      <c r="AB15" s="10" t="n">
        <v>51.27</v>
      </c>
      <c r="AC15" s="10" t="n">
        <v>20</v>
      </c>
      <c r="AD15" s="10" t="n">
        <v>48.68</v>
      </c>
      <c r="AE15" s="10" t="n">
        <v>3.09</v>
      </c>
      <c r="AF15" s="10" t="n">
        <v>5.21</v>
      </c>
      <c r="AG15" s="10" t="n">
        <v>0.8100000000000001</v>
      </c>
      <c r="AH15" s="10" t="n">
        <v>1.38</v>
      </c>
      <c r="AI15" s="10" t="inlineStr"/>
      <c r="AJ15" s="11">
        <f>IFERROR(INDEX(Country_Context!$B$2:$B$87,MATCH($C15,Country_Context!$A$2:$A$87,0)),"")</f>
        <v/>
      </c>
      <c r="AK15" s="11">
        <f>IFERROR(INDEX(Country_Context!$C$2:$C$87,MATCH($C15,Country_Context!$A$2:$A$87,0)),"")</f>
        <v/>
      </c>
      <c r="AL15" s="11">
        <f>IFERROR(INDEX(Country_Context!$D$2:$D$87,MATCH($C15,Country_Context!$A$2:$A$87,0)),"")</f>
        <v/>
      </c>
      <c r="AM15" s="11">
        <f>IFERROR(INDEX(Country_Context!$E$2:$E$87,MATCH($C15,Country_Context!$A$2:$A$87,0)),"")</f>
        <v/>
      </c>
      <c r="AN15" s="11">
        <f>IFERROR(INDEX(Country_Context!$F$2:$F$87,MATCH($C15,Country_Context!$A$2:$A$87,0)),"")</f>
        <v/>
      </c>
      <c r="AO15" s="11">
        <f>IFERROR(INDEX(Country_Context!$G$2:$G$87,MATCH($C15,Country_Context!$A$2:$A$87,0)),"")</f>
        <v/>
      </c>
      <c r="AP15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5" s="12" t="inlineStr">
        <is>
          <t>Tier 3, Tier 4</t>
        </is>
      </c>
      <c r="AR15" s="12" t="inlineStr">
        <is>
          <t>2025-12-31</t>
        </is>
      </c>
      <c r="AS15" s="12" t="inlineStr">
        <is>
          <t>providers=world_bank_col_estimate, derived, ilo_ilostat, who_gho; fields=gross_income, rent, utilities, transit_cost; +9 additional fields</t>
        </is>
      </c>
      <c r="AT15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5" s="12" t="inlineStr">
        <is>
          <t>Tier 3</t>
        </is>
      </c>
      <c r="AV15" s="12" t="inlineStr">
        <is>
          <t>2024-12-31</t>
        </is>
      </c>
      <c r="AW15" s="12" t="inlineStr">
        <is>
          <t>providers=world_bank, wmo_natl_met; fields=personal_safety_raw, water_sanitation_utility_raw, digital_infrastructure_raw, climate_sunlight_livability_raw</t>
        </is>
      </c>
      <c r="AX15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5" s="12" t="inlineStr">
        <is>
          <t>Tier 3</t>
        </is>
      </c>
      <c r="AZ15" s="12" t="inlineStr">
        <is>
          <t>2023-12-31</t>
        </is>
      </c>
      <c r="BA15" s="12" t="inlineStr">
        <is>
          <t>providers=who_gho, world_bank; fields=healthcare_quality_raw, education_quality_raw, equal_opportunity_raw, gini_coefficient</t>
        </is>
      </c>
      <c r="BB15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5" s="12" t="inlineStr">
        <is>
          <t>Tier 3</t>
        </is>
      </c>
      <c r="BD15" s="12" t="inlineStr">
        <is>
          <t>2025-12-31</t>
        </is>
      </c>
      <c r="BE15" s="12" t="inlineStr">
        <is>
          <t>providers=world_bank; fields=hospitality_belonging_raw, tolerance_pluralism_raw, cultural_public_life_raw, birth_rate_optimism_raw</t>
        </is>
      </c>
      <c r="BF15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5" s="12" t="inlineStr">
        <is>
          <t>Tier 3</t>
        </is>
      </c>
      <c r="BH15" s="12" t="inlineStr">
        <is>
          <t>2024-12-31</t>
        </is>
      </c>
      <c r="BI15" s="12" t="inlineStr">
        <is>
          <t>providers=world_bank; fields=entrepreneurial_dynamism_raw, innovation_research_intensity_raw, investment_signal_raw, administrative_investment_friction_raw; +2 additional fields</t>
        </is>
      </c>
      <c r="BJ15" s="9" t="n">
        <v>0.72</v>
      </c>
    </row>
    <row r="16">
      <c r="A16" s="9" t="inlineStr">
        <is>
          <t>cn-shanghai</t>
        </is>
      </c>
      <c r="B16" s="9" t="inlineStr">
        <is>
          <t>Shanghai</t>
        </is>
      </c>
      <c r="C16" s="9" t="inlineStr">
        <is>
          <t>China</t>
        </is>
      </c>
      <c r="D16" s="9" t="inlineStr">
        <is>
          <t>East Asia</t>
        </is>
      </c>
      <c r="E16" s="9" t="inlineStr">
        <is>
          <t>primary</t>
        </is>
      </c>
      <c r="F16" s="9" t="inlineStr">
        <is>
          <t>provisional</t>
        </is>
      </c>
      <c r="G16" s="10" t="n">
        <v>3365</v>
      </c>
      <c r="H16" s="10" t="n">
        <v>1093.62</v>
      </c>
      <c r="I16" s="10" t="n">
        <v>262.47</v>
      </c>
      <c r="J16" s="10" t="n">
        <v>174.98</v>
      </c>
      <c r="K16" s="10" t="n">
        <v>65.62</v>
      </c>
      <c r="L16" s="10" t="n">
        <v>874.9</v>
      </c>
      <c r="M16" s="11" t="inlineStr"/>
      <c r="N16" s="10" t="n">
        <v>32.4999</v>
      </c>
      <c r="O16" s="10" t="n">
        <v>194.166</v>
      </c>
      <c r="P16" s="11">
        <f>IF($O16&lt;&gt;"",$O16,$AO16)</f>
        <v/>
      </c>
      <c r="Q16" s="10" t="inlineStr"/>
      <c r="R16" s="10" t="n">
        <v>8.949999999999999</v>
      </c>
      <c r="S16" s="10" t="n">
        <v>0.5</v>
      </c>
      <c r="T16" s="10" t="inlineStr"/>
      <c r="U16" s="10" t="inlineStr"/>
      <c r="V16" s="10" t="inlineStr"/>
      <c r="W16" s="10" t="n">
        <v>44.73</v>
      </c>
      <c r="X16" s="9" t="n">
        <v>58</v>
      </c>
      <c r="Y16" s="10" t="n">
        <v>85</v>
      </c>
      <c r="Z16" s="10" t="n">
        <v>76.88</v>
      </c>
      <c r="AA16" s="10" t="n">
        <v>36</v>
      </c>
      <c r="AB16" s="10" t="n">
        <v>49.81</v>
      </c>
      <c r="AC16" s="10" t="n">
        <v>26.54</v>
      </c>
      <c r="AD16" s="10" t="n">
        <v>21.58</v>
      </c>
      <c r="AE16" s="10" t="n">
        <v>8.58</v>
      </c>
      <c r="AF16" s="10" t="n">
        <v>2.56</v>
      </c>
      <c r="AG16" s="10" t="n">
        <v>0.1</v>
      </c>
      <c r="AH16" s="10" t="n">
        <v>2.86</v>
      </c>
      <c r="AI16" s="10" t="inlineStr"/>
      <c r="AJ16" s="11">
        <f>IFERROR(INDEX(Country_Context!$B$2:$B$87,MATCH($C16,Country_Context!$A$2:$A$87,0)),"")</f>
        <v/>
      </c>
      <c r="AK16" s="11">
        <f>IFERROR(INDEX(Country_Context!$C$2:$C$87,MATCH($C16,Country_Context!$A$2:$A$87,0)),"")</f>
        <v/>
      </c>
      <c r="AL16" s="11">
        <f>IFERROR(INDEX(Country_Context!$D$2:$D$87,MATCH($C16,Country_Context!$A$2:$A$87,0)),"")</f>
        <v/>
      </c>
      <c r="AM16" s="11">
        <f>IFERROR(INDEX(Country_Context!$E$2:$E$87,MATCH($C16,Country_Context!$A$2:$A$87,0)),"")</f>
        <v/>
      </c>
      <c r="AN16" s="11">
        <f>IFERROR(INDEX(Country_Context!$F$2:$F$87,MATCH($C16,Country_Context!$A$2:$A$87,0)),"")</f>
        <v/>
      </c>
      <c r="AO16" s="11">
        <f>IFERROR(INDEX(Country_Context!$G$2:$G$87,MATCH($C16,Country_Context!$A$2:$A$87,0)),"")</f>
        <v/>
      </c>
      <c r="AP16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6" s="12" t="inlineStr">
        <is>
          <t>Tier 3, Tier 4</t>
        </is>
      </c>
      <c r="AR16" s="12" t="inlineStr">
        <is>
          <t>2024-12-31</t>
        </is>
      </c>
      <c r="AS16" s="12" t="inlineStr">
        <is>
          <t>providers=world_bank_col_estimate, derived, who_gho, world_bank; fields=gross_income, rent, utilities, transit_cost; +8 additional fields</t>
        </is>
      </c>
      <c r="AT16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6" s="12" t="inlineStr">
        <is>
          <t>Tier 3</t>
        </is>
      </c>
      <c r="AV16" s="12" t="inlineStr">
        <is>
          <t>2024-12-31</t>
        </is>
      </c>
      <c r="AW16" s="12" t="inlineStr">
        <is>
          <t>providers=world_bank, wmo_natl_met; fields=personal_safety_raw, digital_infrastructure_raw, climate_sunlight_livability_raw</t>
        </is>
      </c>
      <c r="AX16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6" s="12" t="inlineStr">
        <is>
          <t>Tier 3</t>
        </is>
      </c>
      <c r="AZ16" s="12" t="inlineStr">
        <is>
          <t>2024-12-31</t>
        </is>
      </c>
      <c r="BA16" s="12" t="inlineStr">
        <is>
          <t>providers=who_gho, world_bank; fields=healthcare_quality_raw, education_quality_raw, equal_opportunity_raw, gini_coefficient</t>
        </is>
      </c>
      <c r="BB16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6" s="12" t="inlineStr">
        <is>
          <t>Tier 3</t>
        </is>
      </c>
      <c r="BD16" s="12" t="inlineStr">
        <is>
          <t>2025-12-31</t>
        </is>
      </c>
      <c r="BE16" s="12" t="inlineStr">
        <is>
          <t>providers=world_bank; fields=hospitality_belonging_raw, tolerance_pluralism_raw, cultural_public_life_raw, birth_rate_optimism_raw</t>
        </is>
      </c>
      <c r="BF16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6" s="12" t="inlineStr">
        <is>
          <t>Tier 3</t>
        </is>
      </c>
      <c r="BH16" s="12" t="inlineStr">
        <is>
          <t>2024-12-31</t>
        </is>
      </c>
      <c r="BI16" s="12" t="inlineStr">
        <is>
          <t>providers=world_bank; fields=entrepreneurial_dynamism_raw, innovation_research_intensity_raw, investment_signal_raw, administrative_investment_friction_raw; +2 additional fields</t>
        </is>
      </c>
      <c r="BJ16" s="9" t="n">
        <v>1</v>
      </c>
    </row>
    <row r="17">
      <c r="A17" s="9" t="inlineStr">
        <is>
          <t>cn-shenzhen</t>
        </is>
      </c>
      <c r="B17" s="9" t="inlineStr">
        <is>
          <t>Shenzhen</t>
        </is>
      </c>
      <c r="C17" s="9" t="inlineStr">
        <is>
          <t>China</t>
        </is>
      </c>
      <c r="D17" s="9" t="inlineStr">
        <is>
          <t>East Asia</t>
        </is>
      </c>
      <c r="E17" s="9" t="inlineStr">
        <is>
          <t>primary</t>
        </is>
      </c>
      <c r="F17" s="9" t="inlineStr">
        <is>
          <t>provisional</t>
        </is>
      </c>
      <c r="G17" s="10" t="n">
        <v>3140.67</v>
      </c>
      <c r="H17" s="10" t="n">
        <v>942.2</v>
      </c>
      <c r="I17" s="10" t="n">
        <v>226.13</v>
      </c>
      <c r="J17" s="10" t="n">
        <v>150.75</v>
      </c>
      <c r="K17" s="10" t="n">
        <v>56.53</v>
      </c>
      <c r="L17" s="10" t="n">
        <v>753.76</v>
      </c>
      <c r="M17" s="11" t="inlineStr"/>
      <c r="N17" s="10" t="n">
        <v>30</v>
      </c>
      <c r="O17" s="10" t="n">
        <v>194.166</v>
      </c>
      <c r="P17" s="11">
        <f>IF($O17&lt;&gt;"",$O17,$AO17)</f>
        <v/>
      </c>
      <c r="Q17" s="10" t="inlineStr"/>
      <c r="R17" s="10" t="n">
        <v>8.949999999999999</v>
      </c>
      <c r="S17" s="10" t="n">
        <v>0.5</v>
      </c>
      <c r="T17" s="10" t="inlineStr"/>
      <c r="U17" s="10" t="inlineStr"/>
      <c r="V17" s="10" t="inlineStr"/>
      <c r="W17" s="10" t="n">
        <v>44.73</v>
      </c>
      <c r="X17" s="9" t="n">
        <v>66</v>
      </c>
      <c r="Y17" s="10" t="n">
        <v>85</v>
      </c>
      <c r="Z17" s="10" t="n">
        <v>76.88</v>
      </c>
      <c r="AA17" s="10" t="n">
        <v>36</v>
      </c>
      <c r="AB17" s="10" t="n">
        <v>49.81</v>
      </c>
      <c r="AC17" s="10" t="n">
        <v>26.54</v>
      </c>
      <c r="AD17" s="10" t="n">
        <v>21.58</v>
      </c>
      <c r="AE17" s="10" t="n">
        <v>8.58</v>
      </c>
      <c r="AF17" s="10" t="n">
        <v>2.56</v>
      </c>
      <c r="AG17" s="10" t="n">
        <v>0.1</v>
      </c>
      <c r="AH17" s="10" t="n">
        <v>2.86</v>
      </c>
      <c r="AI17" s="10" t="inlineStr"/>
      <c r="AJ17" s="11">
        <f>IFERROR(INDEX(Country_Context!$B$2:$B$87,MATCH($C17,Country_Context!$A$2:$A$87,0)),"")</f>
        <v/>
      </c>
      <c r="AK17" s="11">
        <f>IFERROR(INDEX(Country_Context!$C$2:$C$87,MATCH($C17,Country_Context!$A$2:$A$87,0)),"")</f>
        <v/>
      </c>
      <c r="AL17" s="11">
        <f>IFERROR(INDEX(Country_Context!$D$2:$D$87,MATCH($C17,Country_Context!$A$2:$A$87,0)),"")</f>
        <v/>
      </c>
      <c r="AM17" s="11">
        <f>IFERROR(INDEX(Country_Context!$E$2:$E$87,MATCH($C17,Country_Context!$A$2:$A$87,0)),"")</f>
        <v/>
      </c>
      <c r="AN17" s="11">
        <f>IFERROR(INDEX(Country_Context!$F$2:$F$87,MATCH($C17,Country_Context!$A$2:$A$87,0)),"")</f>
        <v/>
      </c>
      <c r="AO17" s="11">
        <f>IFERROR(INDEX(Country_Context!$G$2:$G$87,MATCH($C17,Country_Context!$A$2:$A$87,0)),"")</f>
        <v/>
      </c>
      <c r="AP1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7" s="12" t="inlineStr">
        <is>
          <t>Tier 3, Tier 4</t>
        </is>
      </c>
      <c r="AR17" s="12" t="inlineStr">
        <is>
          <t>2024-12-31</t>
        </is>
      </c>
      <c r="AS17" s="12" t="inlineStr">
        <is>
          <t>providers=world_bank_col_estimate, derived, who_gho, world_bank; fields=gross_income, rent, utilities, transit_cost; +8 additional fields</t>
        </is>
      </c>
      <c r="AT1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7" s="12" t="inlineStr">
        <is>
          <t>Tier 3</t>
        </is>
      </c>
      <c r="AV17" s="12" t="inlineStr">
        <is>
          <t>2024-12-31</t>
        </is>
      </c>
      <c r="AW17" s="12" t="inlineStr">
        <is>
          <t>providers=world_bank, wmo_natl_met; fields=personal_safety_raw, digital_infrastructure_raw, climate_sunlight_livability_raw</t>
        </is>
      </c>
      <c r="AX1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7" s="12" t="inlineStr">
        <is>
          <t>Tier 3</t>
        </is>
      </c>
      <c r="AZ17" s="12" t="inlineStr">
        <is>
          <t>2024-12-31</t>
        </is>
      </c>
      <c r="BA17" s="12" t="inlineStr">
        <is>
          <t>providers=who_gho, world_bank; fields=healthcare_quality_raw, education_quality_raw, equal_opportunity_raw, gini_coefficient</t>
        </is>
      </c>
      <c r="BB1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7" s="12" t="inlineStr">
        <is>
          <t>Tier 3</t>
        </is>
      </c>
      <c r="BD17" s="12" t="inlineStr">
        <is>
          <t>2025-12-31</t>
        </is>
      </c>
      <c r="BE17" s="12" t="inlineStr">
        <is>
          <t>providers=world_bank; fields=hospitality_belonging_raw, tolerance_pluralism_raw, cultural_public_life_raw, birth_rate_optimism_raw</t>
        </is>
      </c>
      <c r="BF1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7" s="12" t="inlineStr">
        <is>
          <t>Tier 3</t>
        </is>
      </c>
      <c r="BH17" s="12" t="inlineStr">
        <is>
          <t>2024-12-31</t>
        </is>
      </c>
      <c r="BI17" s="12" t="inlineStr">
        <is>
          <t>providers=world_bank; fields=entrepreneurial_dynamism_raw, innovation_research_intensity_raw, investment_signal_raw, administrative_investment_friction_raw; +2 additional fields</t>
        </is>
      </c>
      <c r="BJ17" s="9" t="n">
        <v>1</v>
      </c>
    </row>
    <row r="18">
      <c r="A18" s="9" t="inlineStr">
        <is>
          <t>cn-chengdu</t>
        </is>
      </c>
      <c r="B18" s="9" t="inlineStr">
        <is>
          <t>Chengdu</t>
        </is>
      </c>
      <c r="C18" s="9" t="inlineStr">
        <is>
          <t>China</t>
        </is>
      </c>
      <c r="D18" s="9" t="inlineStr">
        <is>
          <t>East Asia</t>
        </is>
      </c>
      <c r="E18" s="9" t="inlineStr">
        <is>
          <t>primary</t>
        </is>
      </c>
      <c r="F18" s="9" t="inlineStr">
        <is>
          <t>provisional</t>
        </is>
      </c>
      <c r="G18" s="10" t="n">
        <v>2019</v>
      </c>
      <c r="H18" s="10" t="n">
        <v>429.04</v>
      </c>
      <c r="I18" s="10" t="n">
        <v>102.97</v>
      </c>
      <c r="J18" s="10" t="n">
        <v>68.65000000000001</v>
      </c>
      <c r="K18" s="10" t="n">
        <v>25.74</v>
      </c>
      <c r="L18" s="10" t="n">
        <v>343.23</v>
      </c>
      <c r="M18" s="11" t="inlineStr"/>
      <c r="N18" s="10" t="n">
        <v>21.2501</v>
      </c>
      <c r="O18" s="10" t="n">
        <v>194.166</v>
      </c>
      <c r="P18" s="11">
        <f>IF($O18&lt;&gt;"",$O18,$AO18)</f>
        <v/>
      </c>
      <c r="Q18" s="10" t="n">
        <v>46</v>
      </c>
      <c r="R18" s="10" t="n">
        <v>8.949999999999999</v>
      </c>
      <c r="S18" s="10" t="n">
        <v>0.5</v>
      </c>
      <c r="T18" s="10" t="inlineStr"/>
      <c r="U18" s="10" t="n">
        <v>38</v>
      </c>
      <c r="V18" s="10" t="n">
        <v>95</v>
      </c>
      <c r="W18" s="10" t="n">
        <v>44.73</v>
      </c>
      <c r="X18" s="9" t="n">
        <v>42</v>
      </c>
      <c r="Y18" s="10" t="n">
        <v>85</v>
      </c>
      <c r="Z18" s="10" t="n">
        <v>76.88</v>
      </c>
      <c r="AA18" s="10" t="n">
        <v>36</v>
      </c>
      <c r="AB18" s="10" t="n">
        <v>49.81</v>
      </c>
      <c r="AC18" s="10" t="n">
        <v>26.54</v>
      </c>
      <c r="AD18" s="10" t="n">
        <v>68</v>
      </c>
      <c r="AE18" s="10" t="n">
        <v>8.58</v>
      </c>
      <c r="AF18" s="10" t="n">
        <v>2.56</v>
      </c>
      <c r="AG18" s="10" t="n">
        <v>0.1</v>
      </c>
      <c r="AH18" s="10" t="n">
        <v>2.86</v>
      </c>
      <c r="AI18" s="10" t="inlineStr"/>
      <c r="AJ18" s="11">
        <f>IFERROR(INDEX(Country_Context!$B$2:$B$87,MATCH($C18,Country_Context!$A$2:$A$87,0)),"")</f>
        <v/>
      </c>
      <c r="AK18" s="11">
        <f>IFERROR(INDEX(Country_Context!$C$2:$C$87,MATCH($C18,Country_Context!$A$2:$A$87,0)),"")</f>
        <v/>
      </c>
      <c r="AL18" s="11">
        <f>IFERROR(INDEX(Country_Context!$D$2:$D$87,MATCH($C18,Country_Context!$A$2:$A$87,0)),"")</f>
        <v/>
      </c>
      <c r="AM18" s="11">
        <f>IFERROR(INDEX(Country_Context!$E$2:$E$87,MATCH($C18,Country_Context!$A$2:$A$87,0)),"")</f>
        <v/>
      </c>
      <c r="AN18" s="11">
        <f>IFERROR(INDEX(Country_Context!$F$2:$F$87,MATCH($C18,Country_Context!$A$2:$A$87,0)),"")</f>
        <v/>
      </c>
      <c r="AO18" s="11">
        <f>IFERROR(INDEX(Country_Context!$G$2:$G$87,MATCH($C18,Country_Context!$A$2:$A$87,0)),"")</f>
        <v/>
      </c>
      <c r="AP18" s="12" t="inlineStr">
        <is>
          <t>https://api.worldbank.org/v2/country/CHN/indicator/NY.GNP.PCAP.PP.CD?format=json&amp;mrv=10 | https://data.worldbank.org/indicator/NY.GNP.PCAP.PP.CD | https://ilostat.ilo.org | +4 more</t>
        </is>
      </c>
      <c r="AQ18" s="12" t="inlineStr">
        <is>
          <t>Tier 3, Tier 4</t>
        </is>
      </c>
      <c r="AR18" s="12" t="inlineStr">
        <is>
          <t>2024-12-31</t>
        </is>
      </c>
      <c r="AS18" s="12" t="inlineStr">
        <is>
          <t>providers=world_bank_col_estimate, derived, ilo_ilostat, who_gho; fields=gross_income, rent, utilities, transit_cost; +9 additional fields</t>
        </is>
      </c>
      <c r="AT18" s="12" t="inlineStr">
        <is>
          <t>https://api.worldbank.org/v2/country/CHN/indicator/VC.IHR.PSRC.P5?format=json&amp;mrv=10 | https://worldweather.wmo.int | https://washdata.org | +1 more</t>
        </is>
      </c>
      <c r="AU18" s="12" t="inlineStr">
        <is>
          <t>Tier 3</t>
        </is>
      </c>
      <c r="AV18" s="12" t="inlineStr">
        <is>
          <t>2024-12-31</t>
        </is>
      </c>
      <c r="AW18" s="12" t="inlineStr">
        <is>
          <t>providers=world_bank, wmo_natl_met, who_unicef_jmp; fields=personal_safety_raw, clean_air_raw, water_sanitation_utility_raw, digital_infrastructure_raw; +1 additional fields</t>
        </is>
      </c>
      <c r="AX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8" s="12" t="inlineStr">
        <is>
          <t>Tier 3</t>
        </is>
      </c>
      <c r="AZ18" s="12" t="inlineStr">
        <is>
          <t>2024-12-31</t>
        </is>
      </c>
      <c r="BA18" s="12" t="inlineStr">
        <is>
          <t>providers=who_gho, world_bank; fields=healthcare_quality_raw, education_quality_raw, equal_opportunity_raw, gini_coefficient</t>
        </is>
      </c>
      <c r="BB18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8" s="12" t="inlineStr">
        <is>
          <t>Tier 3</t>
        </is>
      </c>
      <c r="BD18" s="12" t="inlineStr">
        <is>
          <t>2025-12-31</t>
        </is>
      </c>
      <c r="BE18" s="12" t="inlineStr">
        <is>
          <t>providers=world_bank, wmo_natl_met; fields=hospitality_belonging_raw, tolerance_pluralism_raw, cultural_public_life_raw, birth_rate_optimism_raw</t>
        </is>
      </c>
      <c r="BF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8" s="12" t="inlineStr">
        <is>
          <t>Tier 3</t>
        </is>
      </c>
      <c r="BH18" s="12" t="inlineStr">
        <is>
          <t>2024-12-31</t>
        </is>
      </c>
      <c r="BI18" s="12" t="inlineStr">
        <is>
          <t>providers=world_bank; fields=entrepreneurial_dynamism_raw, innovation_research_intensity_raw, investment_signal_raw, administrative_investment_friction_raw; +2 additional fields</t>
        </is>
      </c>
      <c r="BJ18" s="9" t="n">
        <v>1</v>
      </c>
    </row>
    <row r="19">
      <c r="A19" s="9" t="inlineStr">
        <is>
          <t>cn-chongqing</t>
        </is>
      </c>
      <c r="B19" s="9" t="inlineStr">
        <is>
          <t>Chongqing</t>
        </is>
      </c>
      <c r="C19" s="9" t="inlineStr">
        <is>
          <t>China</t>
        </is>
      </c>
      <c r="D19" s="9" t="inlineStr">
        <is>
          <t>East Asia</t>
        </is>
      </c>
      <c r="E19" s="9" t="inlineStr">
        <is>
          <t>primary</t>
        </is>
      </c>
      <c r="F19" s="9" t="inlineStr">
        <is>
          <t>provisional</t>
        </is>
      </c>
      <c r="G19" s="10" t="n">
        <v>1906.83</v>
      </c>
      <c r="H19" s="10" t="n">
        <v>381.37</v>
      </c>
      <c r="I19" s="10" t="n">
        <v>91.53</v>
      </c>
      <c r="J19" s="10" t="n">
        <v>61.02</v>
      </c>
      <c r="K19" s="10" t="n">
        <v>22.88</v>
      </c>
      <c r="L19" s="10" t="n">
        <v>305.09</v>
      </c>
      <c r="M19" s="11" t="inlineStr"/>
      <c r="N19" s="10" t="n">
        <v>20.0002</v>
      </c>
      <c r="O19" s="10" t="n">
        <v>194.166</v>
      </c>
      <c r="P19" s="11">
        <f>IF($O19&lt;&gt;"",$O19,$AO19)</f>
        <v/>
      </c>
      <c r="Q19" s="10" t="n">
        <v>46</v>
      </c>
      <c r="R19" s="10" t="n">
        <v>8.949999999999999</v>
      </c>
      <c r="S19" s="10" t="n">
        <v>0.5</v>
      </c>
      <c r="T19" s="10" t="inlineStr"/>
      <c r="U19" s="10" t="n">
        <v>40</v>
      </c>
      <c r="V19" s="10" t="n">
        <v>95</v>
      </c>
      <c r="W19" s="10" t="n">
        <v>44.73</v>
      </c>
      <c r="X19" s="9" t="n">
        <v>44</v>
      </c>
      <c r="Y19" s="10" t="n">
        <v>85</v>
      </c>
      <c r="Z19" s="10" t="n">
        <v>76.88</v>
      </c>
      <c r="AA19" s="10" t="n">
        <v>36</v>
      </c>
      <c r="AB19" s="10" t="n">
        <v>49.81</v>
      </c>
      <c r="AC19" s="10" t="n">
        <v>26.54</v>
      </c>
      <c r="AD19" s="10" t="n">
        <v>58</v>
      </c>
      <c r="AE19" s="10" t="n">
        <v>8.58</v>
      </c>
      <c r="AF19" s="10" t="n">
        <v>2.56</v>
      </c>
      <c r="AG19" s="10" t="n">
        <v>0.1</v>
      </c>
      <c r="AH19" s="10" t="n">
        <v>2.86</v>
      </c>
      <c r="AI19" s="10" t="inlineStr"/>
      <c r="AJ19" s="11">
        <f>IFERROR(INDEX(Country_Context!$B$2:$B$87,MATCH($C19,Country_Context!$A$2:$A$87,0)),"")</f>
        <v/>
      </c>
      <c r="AK19" s="11">
        <f>IFERROR(INDEX(Country_Context!$C$2:$C$87,MATCH($C19,Country_Context!$A$2:$A$87,0)),"")</f>
        <v/>
      </c>
      <c r="AL19" s="11">
        <f>IFERROR(INDEX(Country_Context!$D$2:$D$87,MATCH($C19,Country_Context!$A$2:$A$87,0)),"")</f>
        <v/>
      </c>
      <c r="AM19" s="11">
        <f>IFERROR(INDEX(Country_Context!$E$2:$E$87,MATCH($C19,Country_Context!$A$2:$A$87,0)),"")</f>
        <v/>
      </c>
      <c r="AN19" s="11">
        <f>IFERROR(INDEX(Country_Context!$F$2:$F$87,MATCH($C19,Country_Context!$A$2:$A$87,0)),"")</f>
        <v/>
      </c>
      <c r="AO19" s="11">
        <f>IFERROR(INDEX(Country_Context!$G$2:$G$87,MATCH($C19,Country_Context!$A$2:$A$87,0)),"")</f>
        <v/>
      </c>
      <c r="AP19" s="12" t="inlineStr">
        <is>
          <t>https://api.worldbank.org/v2/country/CHN/indicator/NY.GNP.PCAP.PP.CD?format=json&amp;mrv=10 | https://data.worldbank.org/indicator/NY.GNP.PCAP.PP.CD | https://ilostat.ilo.org | +4 more</t>
        </is>
      </c>
      <c r="AQ19" s="12" t="inlineStr">
        <is>
          <t>Tier 3, Tier 4</t>
        </is>
      </c>
      <c r="AR19" s="12" t="inlineStr">
        <is>
          <t>2024-12-31</t>
        </is>
      </c>
      <c r="AS19" s="12" t="inlineStr">
        <is>
          <t>providers=world_bank_col_estimate, derived, ilo_ilostat, who_gho; fields=gross_income, rent, utilities, transit_cost; +9 additional fields</t>
        </is>
      </c>
      <c r="AT19" s="12" t="inlineStr">
        <is>
          <t>https://api.worldbank.org/v2/country/CHN/indicator/VC.IHR.PSRC.P5?format=json&amp;mrv=10 | https://worldweather.wmo.int | https://washdata.org | +1 more</t>
        </is>
      </c>
      <c r="AU19" s="12" t="inlineStr">
        <is>
          <t>Tier 3</t>
        </is>
      </c>
      <c r="AV19" s="12" t="inlineStr">
        <is>
          <t>2024-12-31</t>
        </is>
      </c>
      <c r="AW19" s="12" t="inlineStr">
        <is>
          <t>providers=world_bank, wmo_natl_met, who_unicef_jmp; fields=personal_safety_raw, clean_air_raw, water_sanitation_utility_raw, digital_infrastructure_raw; +1 additional fields</t>
        </is>
      </c>
      <c r="AX19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9" s="12" t="inlineStr">
        <is>
          <t>Tier 3</t>
        </is>
      </c>
      <c r="AZ19" s="12" t="inlineStr">
        <is>
          <t>2024-12-31</t>
        </is>
      </c>
      <c r="BA19" s="12" t="inlineStr">
        <is>
          <t>providers=who_gho, world_bank; fields=healthcare_quality_raw, education_quality_raw, equal_opportunity_raw, gini_coefficient</t>
        </is>
      </c>
      <c r="BB19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19" s="12" t="inlineStr">
        <is>
          <t>Tier 3</t>
        </is>
      </c>
      <c r="BD19" s="12" t="inlineStr">
        <is>
          <t>2025-12-31</t>
        </is>
      </c>
      <c r="BE19" s="12" t="inlineStr">
        <is>
          <t>providers=world_bank, wmo_natl_met; fields=hospitality_belonging_raw, tolerance_pluralism_raw, cultural_public_life_raw, birth_rate_optimism_raw</t>
        </is>
      </c>
      <c r="BF19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9" s="12" t="inlineStr">
        <is>
          <t>Tier 3</t>
        </is>
      </c>
      <c r="BH19" s="12" t="inlineStr">
        <is>
          <t>2024-12-31</t>
        </is>
      </c>
      <c r="BI19" s="12" t="inlineStr">
        <is>
          <t>providers=world_bank; fields=entrepreneurial_dynamism_raw, innovation_research_intensity_raw, investment_signal_raw, administrative_investment_friction_raw; +2 additional fields</t>
        </is>
      </c>
      <c r="BJ19" s="9" t="n">
        <v>1</v>
      </c>
    </row>
    <row r="20">
      <c r="A20" s="9" t="inlineStr">
        <is>
          <t>cn-hangzhou</t>
        </is>
      </c>
      <c r="B20" s="9" t="inlineStr">
        <is>
          <t>Hangzhou</t>
        </is>
      </c>
      <c r="C20" s="9" t="inlineStr">
        <is>
          <t>China</t>
        </is>
      </c>
      <c r="D20" s="9" t="inlineStr">
        <is>
          <t>East Asia</t>
        </is>
      </c>
      <c r="E20" s="9" t="inlineStr">
        <is>
          <t>primary</t>
        </is>
      </c>
      <c r="F20" s="9" t="inlineStr">
        <is>
          <t>provisional</t>
        </is>
      </c>
      <c r="G20" s="10" t="n">
        <v>2692</v>
      </c>
      <c r="H20" s="10" t="n">
        <v>740.3</v>
      </c>
      <c r="I20" s="10" t="n">
        <v>177.67</v>
      </c>
      <c r="J20" s="10" t="n">
        <v>118.45</v>
      </c>
      <c r="K20" s="10" t="n">
        <v>44.42</v>
      </c>
      <c r="L20" s="10" t="n">
        <v>592.24</v>
      </c>
      <c r="M20" s="11" t="inlineStr"/>
      <c r="N20" s="10" t="n">
        <v>27.5</v>
      </c>
      <c r="O20" s="10" t="n">
        <v>194.166</v>
      </c>
      <c r="P20" s="11">
        <f>IF($O20&lt;&gt;"",$O20,$AO20)</f>
        <v/>
      </c>
      <c r="Q20" s="10" t="n">
        <v>46</v>
      </c>
      <c r="R20" s="10" t="n">
        <v>8.949999999999999</v>
      </c>
      <c r="S20" s="10" t="n">
        <v>0.5</v>
      </c>
      <c r="T20" s="10" t="inlineStr"/>
      <c r="U20" s="10" t="n">
        <v>30</v>
      </c>
      <c r="V20" s="10" t="n">
        <v>95</v>
      </c>
      <c r="W20" s="10" t="n">
        <v>44.73</v>
      </c>
      <c r="X20" s="9" t="n">
        <v>56</v>
      </c>
      <c r="Y20" s="10" t="n">
        <v>85</v>
      </c>
      <c r="Z20" s="10" t="n">
        <v>76.88</v>
      </c>
      <c r="AA20" s="10" t="n">
        <v>36</v>
      </c>
      <c r="AB20" s="10" t="n">
        <v>49.81</v>
      </c>
      <c r="AC20" s="10" t="n">
        <v>26.54</v>
      </c>
      <c r="AD20" s="10" t="n">
        <v>72</v>
      </c>
      <c r="AE20" s="10" t="n">
        <v>8.58</v>
      </c>
      <c r="AF20" s="10" t="n">
        <v>2.56</v>
      </c>
      <c r="AG20" s="10" t="n">
        <v>0.1</v>
      </c>
      <c r="AH20" s="10" t="n">
        <v>2.86</v>
      </c>
      <c r="AI20" s="10" t="inlineStr"/>
      <c r="AJ20" s="11">
        <f>IFERROR(INDEX(Country_Context!$B$2:$B$87,MATCH($C20,Country_Context!$A$2:$A$87,0)),"")</f>
        <v/>
      </c>
      <c r="AK20" s="11">
        <f>IFERROR(INDEX(Country_Context!$C$2:$C$87,MATCH($C20,Country_Context!$A$2:$A$87,0)),"")</f>
        <v/>
      </c>
      <c r="AL20" s="11">
        <f>IFERROR(INDEX(Country_Context!$D$2:$D$87,MATCH($C20,Country_Context!$A$2:$A$87,0)),"")</f>
        <v/>
      </c>
      <c r="AM20" s="11">
        <f>IFERROR(INDEX(Country_Context!$E$2:$E$87,MATCH($C20,Country_Context!$A$2:$A$87,0)),"")</f>
        <v/>
      </c>
      <c r="AN20" s="11">
        <f>IFERROR(INDEX(Country_Context!$F$2:$F$87,MATCH($C20,Country_Context!$A$2:$A$87,0)),"")</f>
        <v/>
      </c>
      <c r="AO20" s="11">
        <f>IFERROR(INDEX(Country_Context!$G$2:$G$87,MATCH($C20,Country_Context!$A$2:$A$87,0)),"")</f>
        <v/>
      </c>
      <c r="AP20" s="12" t="inlineStr">
        <is>
          <t>https://api.worldbank.org/v2/country/CHN/indicator/NY.GNP.PCAP.PP.CD?format=json&amp;mrv=10 | https://data.worldbank.org/indicator/NY.GNP.PCAP.PP.CD | https://ilostat.ilo.org | +4 more</t>
        </is>
      </c>
      <c r="AQ20" s="12" t="inlineStr">
        <is>
          <t>Tier 3, Tier 4</t>
        </is>
      </c>
      <c r="AR20" s="12" t="inlineStr">
        <is>
          <t>2024-12-31</t>
        </is>
      </c>
      <c r="AS20" s="12" t="inlineStr">
        <is>
          <t>providers=world_bank_col_estimate, derived, ilo_ilostat, who_gho; fields=gross_income, rent, utilities, transit_cost; +9 additional fields</t>
        </is>
      </c>
      <c r="AT20" s="12" t="inlineStr">
        <is>
          <t>https://api.worldbank.org/v2/country/CHN/indicator/VC.IHR.PSRC.P5?format=json&amp;mrv=10 | https://worldweather.wmo.int | https://washdata.org | +1 more</t>
        </is>
      </c>
      <c r="AU20" s="12" t="inlineStr">
        <is>
          <t>Tier 3</t>
        </is>
      </c>
      <c r="AV20" s="12" t="inlineStr">
        <is>
          <t>2024-12-31</t>
        </is>
      </c>
      <c r="AW20" s="12" t="inlineStr">
        <is>
          <t>providers=world_bank, wmo_natl_met, who_unicef_jmp; fields=personal_safety_raw, clean_air_raw, water_sanitation_utility_raw, digital_infrastructure_raw; +1 additional fields</t>
        </is>
      </c>
      <c r="AX20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0" s="12" t="inlineStr">
        <is>
          <t>Tier 3</t>
        </is>
      </c>
      <c r="AZ20" s="12" t="inlineStr">
        <is>
          <t>2024-12-31</t>
        </is>
      </c>
      <c r="BA20" s="12" t="inlineStr">
        <is>
          <t>providers=who_gho, world_bank; fields=healthcare_quality_raw, education_quality_raw, equal_opportunity_raw, gini_coefficient</t>
        </is>
      </c>
      <c r="BB20" s="12" t="inlineStr">
        <is>
          <t>https://api.worldbank.org/v2/country/CHN/indicator/SM.POP.NETM?format=json&amp;mrv=10 | https://api.worldbank.org/v2/country/CHN/indicator/SG.GEN.PARL.ZS?format=json&amp;mrv=10 | https://worldweather.wmo.int | +1 more</t>
        </is>
      </c>
      <c r="BC20" s="12" t="inlineStr">
        <is>
          <t>Tier 3</t>
        </is>
      </c>
      <c r="BD20" s="12" t="inlineStr">
        <is>
          <t>2025-12-31</t>
        </is>
      </c>
      <c r="BE20" s="12" t="inlineStr">
        <is>
          <t>providers=world_bank, wmo_natl_met; fields=hospitality_belonging_raw, tolerance_pluralism_raw, cultural_public_life_raw, birth_rate_optimism_raw</t>
        </is>
      </c>
      <c r="BF20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0" s="12" t="inlineStr">
        <is>
          <t>Tier 3</t>
        </is>
      </c>
      <c r="BH20" s="12" t="inlineStr">
        <is>
          <t>2024-12-31</t>
        </is>
      </c>
      <c r="BI20" s="12" t="inlineStr">
        <is>
          <t>providers=world_bank; fields=entrepreneurial_dynamism_raw, innovation_research_intensity_raw, investment_signal_raw, administrative_investment_friction_raw; +2 additional fields</t>
        </is>
      </c>
      <c r="BJ20" s="9" t="n">
        <v>1</v>
      </c>
    </row>
    <row r="21">
      <c r="A21" s="9" t="inlineStr">
        <is>
          <t>jp-hiroshima</t>
        </is>
      </c>
      <c r="B21" s="9" t="inlineStr">
        <is>
          <t>Hiroshima</t>
        </is>
      </c>
      <c r="C21" s="9" t="inlineStr">
        <is>
          <t>Japan</t>
        </is>
      </c>
      <c r="D21" s="9" t="inlineStr">
        <is>
          <t>East Asia</t>
        </is>
      </c>
      <c r="E21" s="9" t="inlineStr">
        <is>
          <t>primary</t>
        </is>
      </c>
      <c r="F21" s="9" t="inlineStr">
        <is>
          <t>provisional</t>
        </is>
      </c>
      <c r="G21" s="10" t="n">
        <v>3930.54</v>
      </c>
      <c r="H21" s="10" t="n">
        <v>786.11</v>
      </c>
      <c r="I21" s="10" t="n">
        <v>188.67</v>
      </c>
      <c r="J21" s="10" t="n">
        <v>125.78</v>
      </c>
      <c r="K21" s="10" t="n">
        <v>47.17</v>
      </c>
      <c r="L21" s="10" t="n">
        <v>628.89</v>
      </c>
      <c r="M21" s="11" t="inlineStr"/>
      <c r="N21" s="10" t="n">
        <v>20.0001</v>
      </c>
      <c r="O21" s="10" t="n">
        <v>123.1289</v>
      </c>
      <c r="P21" s="11">
        <f>IF($O21&lt;&gt;"",$O21,$AO21)</f>
        <v/>
      </c>
      <c r="Q21" s="10" t="n">
        <v>36.6</v>
      </c>
      <c r="R21" s="10" t="n">
        <v>17.43</v>
      </c>
      <c r="S21" s="10" t="n">
        <v>0.23</v>
      </c>
      <c r="T21" s="10" t="inlineStr"/>
      <c r="U21" s="10" t="inlineStr"/>
      <c r="V21" s="10" t="n">
        <v>98.73</v>
      </c>
      <c r="W21" s="10" t="n">
        <v>38.63</v>
      </c>
      <c r="X21" s="9" t="inlineStr"/>
      <c r="Y21" s="10" t="n">
        <v>86</v>
      </c>
      <c r="Z21" s="10" t="n">
        <v>64.89</v>
      </c>
      <c r="AA21" s="10" t="n">
        <v>32.3</v>
      </c>
      <c r="AB21" s="10" t="n">
        <v>51.13</v>
      </c>
      <c r="AC21" s="10" t="n">
        <v>15.7</v>
      </c>
      <c r="AD21" s="10" t="n">
        <v>33.2</v>
      </c>
      <c r="AE21" s="10" t="n">
        <v>0.51</v>
      </c>
      <c r="AF21" s="10" t="n">
        <v>3.41</v>
      </c>
      <c r="AG21" s="10" t="n">
        <v>0.4</v>
      </c>
      <c r="AH21" s="10" t="n">
        <v>1.03</v>
      </c>
      <c r="AI21" s="10" t="inlineStr"/>
      <c r="AJ21" s="11">
        <f>IFERROR(INDEX(Country_Context!$B$2:$B$87,MATCH($C21,Country_Context!$A$2:$A$87,0)),"")</f>
        <v/>
      </c>
      <c r="AK21" s="11">
        <f>IFERROR(INDEX(Country_Context!$C$2:$C$87,MATCH($C21,Country_Context!$A$2:$A$87,0)),"")</f>
        <v/>
      </c>
      <c r="AL21" s="11">
        <f>IFERROR(INDEX(Country_Context!$D$2:$D$87,MATCH($C21,Country_Context!$A$2:$A$87,0)),"")</f>
        <v/>
      </c>
      <c r="AM21" s="11">
        <f>IFERROR(INDEX(Country_Context!$E$2:$E$87,MATCH($C21,Country_Context!$A$2:$A$87,0)),"")</f>
        <v/>
      </c>
      <c r="AN21" s="11">
        <f>IFERROR(INDEX(Country_Context!$F$2:$F$87,MATCH($C21,Country_Context!$A$2:$A$87,0)),"")</f>
        <v/>
      </c>
      <c r="AO21" s="11">
        <f>IFERROR(INDEX(Country_Context!$G$2:$G$87,MATCH($C21,Country_Context!$A$2:$A$87,0)),"")</f>
        <v/>
      </c>
      <c r="AP21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1" s="12" t="inlineStr">
        <is>
          <t>Tier 3, Tier 4</t>
        </is>
      </c>
      <c r="AR21" s="12" t="inlineStr">
        <is>
          <t>2024-12-31</t>
        </is>
      </c>
      <c r="AS21" s="12" t="inlineStr">
        <is>
          <t>providers=world_bank_col_estimate, derived, ilo_ilostat, who_gho; fields=gross_income, rent, utilities, transit_cost; +8 additional fields</t>
        </is>
      </c>
      <c r="AT21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1" s="12" t="inlineStr">
        <is>
          <t>Tier 3</t>
        </is>
      </c>
      <c r="AV21" s="12" t="inlineStr">
        <is>
          <t>2024-12-31</t>
        </is>
      </c>
      <c r="AW21" s="12" t="inlineStr">
        <is>
          <t>providers=world_bank; fields=personal_safety_raw, water_sanitation_utility_raw, digital_infrastructure_raw</t>
        </is>
      </c>
      <c r="AX21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1" s="12" t="inlineStr">
        <is>
          <t>Tier 3</t>
        </is>
      </c>
      <c r="AZ21" s="12" t="inlineStr">
        <is>
          <t>2023-12-31</t>
        </is>
      </c>
      <c r="BA21" s="12" t="inlineStr">
        <is>
          <t>providers=who_gho, world_bank; fields=healthcare_quality_raw, education_quality_raw, equal_opportunity_raw, gini_coefficient</t>
        </is>
      </c>
      <c r="BB21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1" s="12" t="inlineStr">
        <is>
          <t>Tier 3</t>
        </is>
      </c>
      <c r="BD21" s="12" t="inlineStr">
        <is>
          <t>2025-12-31</t>
        </is>
      </c>
      <c r="BE21" s="12" t="inlineStr">
        <is>
          <t>providers=world_bank; fields=hospitality_belonging_raw, tolerance_pluralism_raw, cultural_public_life_raw, birth_rate_optimism_raw</t>
        </is>
      </c>
      <c r="BF21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1" s="12" t="inlineStr">
        <is>
          <t>Tier 3</t>
        </is>
      </c>
      <c r="BH21" s="12" t="inlineStr">
        <is>
          <t>2024-12-31</t>
        </is>
      </c>
      <c r="BI21" s="12" t="inlineStr">
        <is>
          <t>providers=world_bank; fields=entrepreneurial_dynamism_raw, innovation_research_intensity_raw, investment_signal_raw, administrative_investment_friction_raw; +2 additional fields</t>
        </is>
      </c>
      <c r="BJ21" s="9" t="n">
        <v>1.2</v>
      </c>
    </row>
    <row r="22">
      <c r="A22" s="9" t="inlineStr">
        <is>
          <t>kr-suwon</t>
        </is>
      </c>
      <c r="B22" s="9" t="inlineStr">
        <is>
          <t>Suwon</t>
        </is>
      </c>
      <c r="C22" s="9" t="inlineStr">
        <is>
          <t>South Korea</t>
        </is>
      </c>
      <c r="D22" s="9" t="inlineStr">
        <is>
          <t>East Asia</t>
        </is>
      </c>
      <c r="E22" s="9" t="inlineStr">
        <is>
          <t>primary</t>
        </is>
      </c>
      <c r="F22" s="9" t="inlineStr">
        <is>
          <t>provisional</t>
        </is>
      </c>
      <c r="G22" s="10" t="n">
        <v>5160.83</v>
      </c>
      <c r="H22" s="10" t="n">
        <v>1161.19</v>
      </c>
      <c r="I22" s="10" t="n">
        <v>278.68</v>
      </c>
      <c r="J22" s="10" t="n">
        <v>185.79</v>
      </c>
      <c r="K22" s="10" t="n">
        <v>69.67</v>
      </c>
      <c r="L22" s="10" t="n">
        <v>928.95</v>
      </c>
      <c r="M22" s="11" t="inlineStr"/>
      <c r="N22" s="10" t="n">
        <v>22.5001</v>
      </c>
      <c r="O22" s="10" t="n">
        <v>160.3472</v>
      </c>
      <c r="P22" s="11">
        <f>IF($O22&lt;&gt;"",$O22,$AO22)</f>
        <v/>
      </c>
      <c r="Q22" s="10" t="n">
        <v>38.49</v>
      </c>
      <c r="R22" s="10" t="n">
        <v>27.53</v>
      </c>
      <c r="S22" s="10" t="n">
        <v>0.48</v>
      </c>
      <c r="T22" s="10" t="inlineStr"/>
      <c r="U22" s="10" t="n">
        <v>22</v>
      </c>
      <c r="V22" s="10" t="n">
        <v>99</v>
      </c>
      <c r="W22" s="10" t="n">
        <v>46.57</v>
      </c>
      <c r="X22" s="9" t="n">
        <v>60</v>
      </c>
      <c r="Y22" s="10" t="n">
        <v>88</v>
      </c>
      <c r="Z22" s="10" t="n">
        <v>106.71</v>
      </c>
      <c r="AA22" s="10" t="n">
        <v>32.9</v>
      </c>
      <c r="AB22" s="10" t="n">
        <v>51.27</v>
      </c>
      <c r="AC22" s="10" t="n">
        <v>20</v>
      </c>
      <c r="AD22" s="10" t="n">
        <v>65</v>
      </c>
      <c r="AE22" s="10" t="n">
        <v>3.09</v>
      </c>
      <c r="AF22" s="10" t="n">
        <v>5.21</v>
      </c>
      <c r="AG22" s="10" t="n">
        <v>0.8100000000000001</v>
      </c>
      <c r="AH22" s="10" t="n">
        <v>1.38</v>
      </c>
      <c r="AI22" s="10" t="inlineStr"/>
      <c r="AJ22" s="11">
        <f>IFERROR(INDEX(Country_Context!$B$2:$B$87,MATCH($C22,Country_Context!$A$2:$A$87,0)),"")</f>
        <v/>
      </c>
      <c r="AK22" s="11">
        <f>IFERROR(INDEX(Country_Context!$C$2:$C$87,MATCH($C22,Country_Context!$A$2:$A$87,0)),"")</f>
        <v/>
      </c>
      <c r="AL22" s="11">
        <f>IFERROR(INDEX(Country_Context!$D$2:$D$87,MATCH($C22,Country_Context!$A$2:$A$87,0)),"")</f>
        <v/>
      </c>
      <c r="AM22" s="11">
        <f>IFERROR(INDEX(Country_Context!$E$2:$E$87,MATCH($C22,Country_Context!$A$2:$A$87,0)),"")</f>
        <v/>
      </c>
      <c r="AN22" s="11">
        <f>IFERROR(INDEX(Country_Context!$F$2:$F$87,MATCH($C22,Country_Context!$A$2:$A$87,0)),"")</f>
        <v/>
      </c>
      <c r="AO22" s="11">
        <f>IFERROR(INDEX(Country_Context!$G$2:$G$87,MATCH($C22,Country_Context!$A$2:$A$87,0)),"")</f>
        <v/>
      </c>
      <c r="AP22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2" s="12" t="inlineStr">
        <is>
          <t>Tier 3, Tier 4</t>
        </is>
      </c>
      <c r="AR22" s="12" t="inlineStr">
        <is>
          <t>2025-12-31</t>
        </is>
      </c>
      <c r="AS22" s="12" t="inlineStr">
        <is>
          <t>providers=world_bank_col_estimate, derived, ilo_ilostat, who_gho; fields=gross_income, rent, utilities, transit_cost; +9 additional fields</t>
        </is>
      </c>
      <c r="AT22" s="12" t="inlineStr">
        <is>
          <t>https://api.worldbank.org/v2/country/KOR/indicator/VC.IHR.PSRC.P5?format=json&amp;mrv=10 | https://worldweather.wmo.int | https://washdata.org | +1 more</t>
        </is>
      </c>
      <c r="AU22" s="12" t="inlineStr">
        <is>
          <t>Tier 3</t>
        </is>
      </c>
      <c r="AV22" s="12" t="inlineStr">
        <is>
          <t>2024-12-31</t>
        </is>
      </c>
      <c r="AW22" s="12" t="inlineStr">
        <is>
          <t>providers=world_bank, wmo_natl_met, who_unicef_jmp; fields=personal_safety_raw, clean_air_raw, water_sanitation_utility_raw, digital_infrastructure_raw; +1 additional fields</t>
        </is>
      </c>
      <c r="AX22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2" s="12" t="inlineStr">
        <is>
          <t>Tier 3</t>
        </is>
      </c>
      <c r="AZ22" s="12" t="inlineStr">
        <is>
          <t>2023-12-31</t>
        </is>
      </c>
      <c r="BA22" s="12" t="inlineStr">
        <is>
          <t>providers=who_gho, world_bank; fields=healthcare_quality_raw, education_quality_raw, equal_opportunity_raw, gini_coefficient</t>
        </is>
      </c>
      <c r="BB22" s="12" t="inlineStr">
        <is>
          <t>https://api.worldbank.org/v2/country/KOR/indicator/SM.POP.NETM?format=json&amp;mrv=10 | https://api.worldbank.org/v2/country/KOR/indicator/SG.GEN.PARL.ZS?format=json&amp;mrv=10 | https://worldweather.wmo.int | +1 more</t>
        </is>
      </c>
      <c r="BC22" s="12" t="inlineStr">
        <is>
          <t>Tier 3</t>
        </is>
      </c>
      <c r="BD22" s="12" t="inlineStr">
        <is>
          <t>2025-12-31</t>
        </is>
      </c>
      <c r="BE22" s="12" t="inlineStr">
        <is>
          <t>providers=world_bank, wmo_natl_met; fields=hospitality_belonging_raw, tolerance_pluralism_raw, cultural_public_life_raw, birth_rate_optimism_raw</t>
        </is>
      </c>
      <c r="BF22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2" s="12" t="inlineStr">
        <is>
          <t>Tier 3</t>
        </is>
      </c>
      <c r="BH22" s="12" t="inlineStr">
        <is>
          <t>2024-12-31</t>
        </is>
      </c>
      <c r="BI22" s="12" t="inlineStr">
        <is>
          <t>providers=world_bank; fields=entrepreneurial_dynamism_raw, innovation_research_intensity_raw, investment_signal_raw, administrative_investment_friction_raw; +2 additional fields</t>
        </is>
      </c>
      <c r="BJ22" s="9" t="n">
        <v>0.72</v>
      </c>
    </row>
    <row r="23">
      <c r="A23" s="9" t="inlineStr">
        <is>
          <t>kr-jeju-city</t>
        </is>
      </c>
      <c r="B23" s="9" t="inlineStr">
        <is>
          <t>Jeju City</t>
        </is>
      </c>
      <c r="C23" s="9" t="inlineStr">
        <is>
          <t>South Korea</t>
        </is>
      </c>
      <c r="D23" s="9" t="inlineStr">
        <is>
          <t>East Asia</t>
        </is>
      </c>
      <c r="E23" s="9" t="inlineStr">
        <is>
          <t>secondary</t>
        </is>
      </c>
      <c r="F23" s="9" t="inlineStr">
        <is>
          <t>locked</t>
        </is>
      </c>
      <c r="G23" s="10" t="n">
        <v>5160.83</v>
      </c>
      <c r="H23" s="10" t="n">
        <v>1096.68</v>
      </c>
      <c r="I23" s="10" t="n">
        <v>263.2</v>
      </c>
      <c r="J23" s="10" t="n">
        <v>175.47</v>
      </c>
      <c r="K23" s="10" t="n">
        <v>65.8</v>
      </c>
      <c r="L23" s="10" t="n">
        <v>877.34</v>
      </c>
      <c r="M23" s="11" t="inlineStr"/>
      <c r="N23" s="10" t="n">
        <v>21.2501</v>
      </c>
      <c r="O23" s="10" t="n">
        <v>160.3472</v>
      </c>
      <c r="P23" s="11">
        <f>IF($O23&lt;&gt;"",$O23,$AO23)</f>
        <v/>
      </c>
      <c r="Q23" s="10" t="n">
        <v>38.49</v>
      </c>
      <c r="R23" s="10" t="n">
        <v>27.53</v>
      </c>
      <c r="S23" s="10" t="n">
        <v>0.48</v>
      </c>
      <c r="T23" s="10" t="inlineStr"/>
      <c r="U23" s="10" t="inlineStr"/>
      <c r="V23" s="10" t="n">
        <v>99.28</v>
      </c>
      <c r="W23" s="10" t="n">
        <v>46.57</v>
      </c>
      <c r="X23" s="9" t="n">
        <v>60</v>
      </c>
      <c r="Y23" s="10" t="n">
        <v>88</v>
      </c>
      <c r="Z23" s="10" t="n">
        <v>106.71</v>
      </c>
      <c r="AA23" s="10" t="n">
        <v>32.9</v>
      </c>
      <c r="AB23" s="10" t="n">
        <v>51.27</v>
      </c>
      <c r="AC23" s="10" t="n">
        <v>20</v>
      </c>
      <c r="AD23" s="10" t="n">
        <v>48.68</v>
      </c>
      <c r="AE23" s="10" t="n">
        <v>3.09</v>
      </c>
      <c r="AF23" s="10" t="n">
        <v>5.21</v>
      </c>
      <c r="AG23" s="10" t="n">
        <v>0.8100000000000001</v>
      </c>
      <c r="AH23" s="10" t="n">
        <v>1.38</v>
      </c>
      <c r="AI23" s="10" t="inlineStr"/>
      <c r="AJ23" s="11">
        <f>IFERROR(INDEX(Country_Context!$B$2:$B$87,MATCH($C23,Country_Context!$A$2:$A$87,0)),"")</f>
        <v/>
      </c>
      <c r="AK23" s="11">
        <f>IFERROR(INDEX(Country_Context!$C$2:$C$87,MATCH($C23,Country_Context!$A$2:$A$87,0)),"")</f>
        <v/>
      </c>
      <c r="AL23" s="11">
        <f>IFERROR(INDEX(Country_Context!$D$2:$D$87,MATCH($C23,Country_Context!$A$2:$A$87,0)),"")</f>
        <v/>
      </c>
      <c r="AM23" s="11">
        <f>IFERROR(INDEX(Country_Context!$E$2:$E$87,MATCH($C23,Country_Context!$A$2:$A$87,0)),"")</f>
        <v/>
      </c>
      <c r="AN23" s="11">
        <f>IFERROR(INDEX(Country_Context!$F$2:$F$87,MATCH($C23,Country_Context!$A$2:$A$87,0)),"")</f>
        <v/>
      </c>
      <c r="AO23" s="11">
        <f>IFERROR(INDEX(Country_Context!$G$2:$G$87,MATCH($C23,Country_Context!$A$2:$A$87,0)),"")</f>
        <v/>
      </c>
      <c r="AP23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23" s="12" t="inlineStr">
        <is>
          <t>Tier 3, Tier 4</t>
        </is>
      </c>
      <c r="AR23" s="12" t="inlineStr">
        <is>
          <t>2025-12-31</t>
        </is>
      </c>
      <c r="AS23" s="12" t="inlineStr">
        <is>
          <t>providers=world_bank_col_estimate, derived, ilo_ilostat, who_gho; fields=gross_income, rent, utilities, transit_cost; +9 additional fields</t>
        </is>
      </c>
      <c r="AT23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23" s="12" t="inlineStr">
        <is>
          <t>Tier 3</t>
        </is>
      </c>
      <c r="AV23" s="12" t="inlineStr">
        <is>
          <t>2024-12-31</t>
        </is>
      </c>
      <c r="AW23" s="12" t="inlineStr">
        <is>
          <t>providers=world_bank, wmo_natl_met; fields=personal_safety_raw, water_sanitation_utility_raw, digital_infrastructure_raw, climate_sunlight_livability_raw</t>
        </is>
      </c>
      <c r="AX23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23" s="12" t="inlineStr">
        <is>
          <t>Tier 3</t>
        </is>
      </c>
      <c r="AZ23" s="12" t="inlineStr">
        <is>
          <t>2023-12-31</t>
        </is>
      </c>
      <c r="BA23" s="12" t="inlineStr">
        <is>
          <t>providers=who_gho, world_bank; fields=healthcare_quality_raw, education_quality_raw, equal_opportunity_raw, gini_coefficient</t>
        </is>
      </c>
      <c r="BB23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23" s="12" t="inlineStr">
        <is>
          <t>Tier 3</t>
        </is>
      </c>
      <c r="BD23" s="12" t="inlineStr">
        <is>
          <t>2025-12-31</t>
        </is>
      </c>
      <c r="BE23" s="12" t="inlineStr">
        <is>
          <t>providers=world_bank; fields=hospitality_belonging_raw, tolerance_pluralism_raw, cultural_public_life_raw, birth_rate_optimism_raw</t>
        </is>
      </c>
      <c r="BF23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23" s="12" t="inlineStr">
        <is>
          <t>Tier 3</t>
        </is>
      </c>
      <c r="BH23" s="12" t="inlineStr">
        <is>
          <t>2024-12-31</t>
        </is>
      </c>
      <c r="BI23" s="12" t="inlineStr">
        <is>
          <t>providers=world_bank; fields=entrepreneurial_dynamism_raw, innovation_research_intensity_raw, investment_signal_raw, administrative_investment_friction_raw; +2 additional fields</t>
        </is>
      </c>
      <c r="BJ23" s="9" t="n">
        <v>0.72</v>
      </c>
    </row>
    <row r="24">
      <c r="A24" s="9" t="inlineStr">
        <is>
          <t>jp-fukuoka</t>
        </is>
      </c>
      <c r="B24" s="9" t="inlineStr">
        <is>
          <t>Fukuoka</t>
        </is>
      </c>
      <c r="C24" s="9" t="inlineStr">
        <is>
          <t>Japan</t>
        </is>
      </c>
      <c r="D24" s="9" t="inlineStr">
        <is>
          <t>East Asia</t>
        </is>
      </c>
      <c r="E24" s="9" t="inlineStr">
        <is>
          <t>secondary</t>
        </is>
      </c>
      <c r="F24" s="9" t="inlineStr">
        <is>
          <t>locked</t>
        </is>
      </c>
      <c r="G24" s="10" t="n">
        <v>3930.54</v>
      </c>
      <c r="H24" s="10" t="n">
        <v>786.11</v>
      </c>
      <c r="I24" s="10" t="n">
        <v>188.67</v>
      </c>
      <c r="J24" s="10" t="n">
        <v>125.78</v>
      </c>
      <c r="K24" s="10" t="n">
        <v>47.17</v>
      </c>
      <c r="L24" s="10" t="n">
        <v>628.89</v>
      </c>
      <c r="M24" s="11" t="inlineStr"/>
      <c r="N24" s="10" t="n">
        <v>20.0001</v>
      </c>
      <c r="O24" s="10" t="n">
        <v>123.1289</v>
      </c>
      <c r="P24" s="11">
        <f>IF($O24&lt;&gt;"",$O24,$AO24)</f>
        <v/>
      </c>
      <c r="Q24" s="10" t="n">
        <v>36.6</v>
      </c>
      <c r="R24" s="10" t="n">
        <v>17.43</v>
      </c>
      <c r="S24" s="10" t="n">
        <v>0.23</v>
      </c>
      <c r="T24" s="10" t="inlineStr"/>
      <c r="U24" s="10" t="inlineStr"/>
      <c r="V24" s="10" t="n">
        <v>98.73</v>
      </c>
      <c r="W24" s="10" t="n">
        <v>38.63</v>
      </c>
      <c r="X24" s="9" t="n">
        <v>67</v>
      </c>
      <c r="Y24" s="10" t="n">
        <v>86</v>
      </c>
      <c r="Z24" s="10" t="n">
        <v>64.89</v>
      </c>
      <c r="AA24" s="10" t="n">
        <v>32.3</v>
      </c>
      <c r="AB24" s="10" t="n">
        <v>51.13</v>
      </c>
      <c r="AC24" s="10" t="n">
        <v>15.7</v>
      </c>
      <c r="AD24" s="10" t="n">
        <v>33.2</v>
      </c>
      <c r="AE24" s="10" t="n">
        <v>0.51</v>
      </c>
      <c r="AF24" s="10" t="n">
        <v>3.41</v>
      </c>
      <c r="AG24" s="10" t="n">
        <v>0.4</v>
      </c>
      <c r="AH24" s="10" t="n">
        <v>1.03</v>
      </c>
      <c r="AI24" s="10" t="inlineStr"/>
      <c r="AJ24" s="11">
        <f>IFERROR(INDEX(Country_Context!$B$2:$B$87,MATCH($C24,Country_Context!$A$2:$A$87,0)),"")</f>
        <v/>
      </c>
      <c r="AK24" s="11">
        <f>IFERROR(INDEX(Country_Context!$C$2:$C$87,MATCH($C24,Country_Context!$A$2:$A$87,0)),"")</f>
        <v/>
      </c>
      <c r="AL24" s="11">
        <f>IFERROR(INDEX(Country_Context!$D$2:$D$87,MATCH($C24,Country_Context!$A$2:$A$87,0)),"")</f>
        <v/>
      </c>
      <c r="AM24" s="11">
        <f>IFERROR(INDEX(Country_Context!$E$2:$E$87,MATCH($C24,Country_Context!$A$2:$A$87,0)),"")</f>
        <v/>
      </c>
      <c r="AN24" s="11">
        <f>IFERROR(INDEX(Country_Context!$F$2:$F$87,MATCH($C24,Country_Context!$A$2:$A$87,0)),"")</f>
        <v/>
      </c>
      <c r="AO24" s="11">
        <f>IFERROR(INDEX(Country_Context!$G$2:$G$87,MATCH($C24,Country_Context!$A$2:$A$87,0)),"")</f>
        <v/>
      </c>
      <c r="AP24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4" s="12" t="inlineStr">
        <is>
          <t>Tier 3, Tier 4</t>
        </is>
      </c>
      <c r="AR24" s="12" t="inlineStr">
        <is>
          <t>2024-12-31</t>
        </is>
      </c>
      <c r="AS24" s="12" t="inlineStr">
        <is>
          <t>providers=world_bank_col_estimate, derived, ilo_ilostat, who_gho; fields=gross_income, rent, utilities, transit_cost; +8 additional fields</t>
        </is>
      </c>
      <c r="AT24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4" s="12" t="inlineStr">
        <is>
          <t>Tier 3</t>
        </is>
      </c>
      <c r="AV24" s="12" t="inlineStr">
        <is>
          <t>2024-12-31</t>
        </is>
      </c>
      <c r="AW24" s="12" t="inlineStr">
        <is>
          <t>providers=world_bank, wmo_natl_met; fields=personal_safety_raw, water_sanitation_utility_raw, digital_infrastructure_raw, climate_sunlight_livability_raw</t>
        </is>
      </c>
      <c r="AX24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4" s="12" t="inlineStr">
        <is>
          <t>Tier 3</t>
        </is>
      </c>
      <c r="AZ24" s="12" t="inlineStr">
        <is>
          <t>2023-12-31</t>
        </is>
      </c>
      <c r="BA24" s="12" t="inlineStr">
        <is>
          <t>providers=who_gho, world_bank; fields=healthcare_quality_raw, education_quality_raw, equal_opportunity_raw, gini_coefficient</t>
        </is>
      </c>
      <c r="BB24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4" s="12" t="inlineStr">
        <is>
          <t>Tier 3</t>
        </is>
      </c>
      <c r="BD24" s="12" t="inlineStr">
        <is>
          <t>2025-12-31</t>
        </is>
      </c>
      <c r="BE24" s="12" t="inlineStr">
        <is>
          <t>providers=world_bank; fields=hospitality_belonging_raw, tolerance_pluralism_raw, cultural_public_life_raw, birth_rate_optimism_raw</t>
        </is>
      </c>
      <c r="BF24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4" s="12" t="inlineStr">
        <is>
          <t>Tier 3</t>
        </is>
      </c>
      <c r="BH24" s="12" t="inlineStr">
        <is>
          <t>2024-12-31</t>
        </is>
      </c>
      <c r="BI24" s="12" t="inlineStr">
        <is>
          <t>providers=world_bank; fields=entrepreneurial_dynamism_raw, innovation_research_intensity_raw, investment_signal_raw, administrative_investment_friction_raw; +2 additional fields</t>
        </is>
      </c>
      <c r="BJ24" s="9" t="n">
        <v>1.2</v>
      </c>
    </row>
    <row r="25">
      <c r="A25" s="9" t="inlineStr">
        <is>
          <t>jp-kobe</t>
        </is>
      </c>
      <c r="B25" s="9" t="inlineStr">
        <is>
          <t>Kobe</t>
        </is>
      </c>
      <c r="C25" s="9" t="inlineStr">
        <is>
          <t>Japan</t>
        </is>
      </c>
      <c r="D25" s="9" t="inlineStr">
        <is>
          <t>East Asia</t>
        </is>
      </c>
      <c r="E25" s="9" t="inlineStr">
        <is>
          <t>secondary</t>
        </is>
      </c>
      <c r="F25" s="9" t="inlineStr">
        <is>
          <t>locked</t>
        </is>
      </c>
      <c r="G25" s="10" t="n">
        <v>4161.75</v>
      </c>
      <c r="H25" s="10" t="n">
        <v>884.37</v>
      </c>
      <c r="I25" s="10" t="n">
        <v>212.25</v>
      </c>
      <c r="J25" s="10" t="n">
        <v>141.5</v>
      </c>
      <c r="K25" s="10" t="n">
        <v>53.06</v>
      </c>
      <c r="L25" s="10" t="n">
        <v>707.5</v>
      </c>
      <c r="M25" s="11" t="inlineStr"/>
      <c r="N25" s="10" t="n">
        <v>21.25</v>
      </c>
      <c r="O25" s="10" t="n">
        <v>123.1289</v>
      </c>
      <c r="P25" s="11">
        <f>IF($O25&lt;&gt;"",$O25,$AO25)</f>
        <v/>
      </c>
      <c r="Q25" s="10" t="n">
        <v>36.6</v>
      </c>
      <c r="R25" s="10" t="n">
        <v>17.43</v>
      </c>
      <c r="S25" s="10" t="n">
        <v>0.23</v>
      </c>
      <c r="T25" s="10" t="inlineStr"/>
      <c r="U25" s="10" t="inlineStr"/>
      <c r="V25" s="10" t="n">
        <v>98.73</v>
      </c>
      <c r="W25" s="10" t="n">
        <v>38.63</v>
      </c>
      <c r="X25" s="9" t="inlineStr"/>
      <c r="Y25" s="10" t="n">
        <v>86</v>
      </c>
      <c r="Z25" s="10" t="n">
        <v>64.89</v>
      </c>
      <c r="AA25" s="10" t="n">
        <v>32.3</v>
      </c>
      <c r="AB25" s="10" t="n">
        <v>51.13</v>
      </c>
      <c r="AC25" s="10" t="n">
        <v>15.7</v>
      </c>
      <c r="AD25" s="10" t="n">
        <v>33.2</v>
      </c>
      <c r="AE25" s="10" t="n">
        <v>0.51</v>
      </c>
      <c r="AF25" s="10" t="n">
        <v>3.41</v>
      </c>
      <c r="AG25" s="10" t="n">
        <v>0.4</v>
      </c>
      <c r="AH25" s="10" t="n">
        <v>1.03</v>
      </c>
      <c r="AI25" s="10" t="inlineStr"/>
      <c r="AJ25" s="11">
        <f>IFERROR(INDEX(Country_Context!$B$2:$B$87,MATCH($C25,Country_Context!$A$2:$A$87,0)),"")</f>
        <v/>
      </c>
      <c r="AK25" s="11">
        <f>IFERROR(INDEX(Country_Context!$C$2:$C$87,MATCH($C25,Country_Context!$A$2:$A$87,0)),"")</f>
        <v/>
      </c>
      <c r="AL25" s="11">
        <f>IFERROR(INDEX(Country_Context!$D$2:$D$87,MATCH($C25,Country_Context!$A$2:$A$87,0)),"")</f>
        <v/>
      </c>
      <c r="AM25" s="11">
        <f>IFERROR(INDEX(Country_Context!$E$2:$E$87,MATCH($C25,Country_Context!$A$2:$A$87,0)),"")</f>
        <v/>
      </c>
      <c r="AN25" s="11">
        <f>IFERROR(INDEX(Country_Context!$F$2:$F$87,MATCH($C25,Country_Context!$A$2:$A$87,0)),"")</f>
        <v/>
      </c>
      <c r="AO25" s="11">
        <f>IFERROR(INDEX(Country_Context!$G$2:$G$87,MATCH($C25,Country_Context!$A$2:$A$87,0)),"")</f>
        <v/>
      </c>
      <c r="AP25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5" s="12" t="inlineStr">
        <is>
          <t>Tier 3, Tier 4</t>
        </is>
      </c>
      <c r="AR25" s="12" t="inlineStr">
        <is>
          <t>2024-12-31</t>
        </is>
      </c>
      <c r="AS25" s="12" t="inlineStr">
        <is>
          <t>providers=world_bank_col_estimate, derived, ilo_ilostat, who_gho; fields=gross_income, rent, utilities, transit_cost; +8 additional fields</t>
        </is>
      </c>
      <c r="AT25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</t>
        </is>
      </c>
      <c r="AU25" s="12" t="inlineStr">
        <is>
          <t>Tier 3</t>
        </is>
      </c>
      <c r="AV25" s="12" t="inlineStr">
        <is>
          <t>2024-12-31</t>
        </is>
      </c>
      <c r="AW25" s="12" t="inlineStr">
        <is>
          <t>providers=world_bank; fields=personal_safety_raw, water_sanitation_utility_raw, digital_infrastructure_raw</t>
        </is>
      </c>
      <c r="AX25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5" s="12" t="inlineStr">
        <is>
          <t>Tier 3</t>
        </is>
      </c>
      <c r="AZ25" s="12" t="inlineStr">
        <is>
          <t>2023-12-31</t>
        </is>
      </c>
      <c r="BA25" s="12" t="inlineStr">
        <is>
          <t>providers=who_gho, world_bank; fields=healthcare_quality_raw, education_quality_raw, equal_opportunity_raw, gini_coefficient</t>
        </is>
      </c>
      <c r="BB25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5" s="12" t="inlineStr">
        <is>
          <t>Tier 3</t>
        </is>
      </c>
      <c r="BD25" s="12" t="inlineStr">
        <is>
          <t>2025-12-31</t>
        </is>
      </c>
      <c r="BE25" s="12" t="inlineStr">
        <is>
          <t>providers=world_bank; fields=hospitality_belonging_raw, tolerance_pluralism_raw, cultural_public_life_raw, birth_rate_optimism_raw</t>
        </is>
      </c>
      <c r="BF25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5" s="12" t="inlineStr">
        <is>
          <t>Tier 3</t>
        </is>
      </c>
      <c r="BH25" s="12" t="inlineStr">
        <is>
          <t>2024-12-31</t>
        </is>
      </c>
      <c r="BI25" s="12" t="inlineStr">
        <is>
          <t>providers=world_bank; fields=entrepreneurial_dynamism_raw, innovation_research_intensity_raw, investment_signal_raw, administrative_investment_friction_raw; +2 additional fields</t>
        </is>
      </c>
      <c r="BJ25" s="9" t="n">
        <v>1.2</v>
      </c>
    </row>
    <row r="26">
      <c r="A26" s="9" t="inlineStr">
        <is>
          <t>jp-sapporo</t>
        </is>
      </c>
      <c r="B26" s="9" t="inlineStr">
        <is>
          <t>Sapporo</t>
        </is>
      </c>
      <c r="C26" s="9" t="inlineStr">
        <is>
          <t>Japan</t>
        </is>
      </c>
      <c r="D26" s="9" t="inlineStr">
        <is>
          <t>East Asia</t>
        </is>
      </c>
      <c r="E26" s="9" t="inlineStr">
        <is>
          <t>secondary</t>
        </is>
      </c>
      <c r="F26" s="9" t="inlineStr">
        <is>
          <t>locked</t>
        </is>
      </c>
      <c r="G26" s="10" t="n">
        <v>3930.54</v>
      </c>
      <c r="H26" s="10" t="n">
        <v>786.11</v>
      </c>
      <c r="I26" s="10" t="n">
        <v>188.67</v>
      </c>
      <c r="J26" s="10" t="n">
        <v>125.78</v>
      </c>
      <c r="K26" s="10" t="n">
        <v>47.17</v>
      </c>
      <c r="L26" s="10" t="n">
        <v>628.89</v>
      </c>
      <c r="M26" s="11" t="inlineStr"/>
      <c r="N26" s="10" t="n">
        <v>20.0001</v>
      </c>
      <c r="O26" s="10" t="n">
        <v>123.1289</v>
      </c>
      <c r="P26" s="11">
        <f>IF($O26&lt;&gt;"",$O26,$AO26)</f>
        <v/>
      </c>
      <c r="Q26" s="10" t="n">
        <v>36.6</v>
      </c>
      <c r="R26" s="10" t="n">
        <v>17.43</v>
      </c>
      <c r="S26" s="10" t="n">
        <v>0.23</v>
      </c>
      <c r="T26" s="10" t="inlineStr"/>
      <c r="U26" s="10" t="inlineStr"/>
      <c r="V26" s="10" t="n">
        <v>98.73</v>
      </c>
      <c r="W26" s="10" t="n">
        <v>38.63</v>
      </c>
      <c r="X26" s="9" t="n">
        <v>50</v>
      </c>
      <c r="Y26" s="10" t="n">
        <v>86</v>
      </c>
      <c r="Z26" s="10" t="n">
        <v>64.89</v>
      </c>
      <c r="AA26" s="10" t="n">
        <v>32.3</v>
      </c>
      <c r="AB26" s="10" t="n">
        <v>51.13</v>
      </c>
      <c r="AC26" s="10" t="n">
        <v>15.7</v>
      </c>
      <c r="AD26" s="10" t="n">
        <v>33.2</v>
      </c>
      <c r="AE26" s="10" t="n">
        <v>0.51</v>
      </c>
      <c r="AF26" s="10" t="n">
        <v>3.41</v>
      </c>
      <c r="AG26" s="10" t="n">
        <v>0.4</v>
      </c>
      <c r="AH26" s="10" t="n">
        <v>1.03</v>
      </c>
      <c r="AI26" s="10" t="inlineStr"/>
      <c r="AJ26" s="11">
        <f>IFERROR(INDEX(Country_Context!$B$2:$B$87,MATCH($C26,Country_Context!$A$2:$A$87,0)),"")</f>
        <v/>
      </c>
      <c r="AK26" s="11">
        <f>IFERROR(INDEX(Country_Context!$C$2:$C$87,MATCH($C26,Country_Context!$A$2:$A$87,0)),"")</f>
        <v/>
      </c>
      <c r="AL26" s="11">
        <f>IFERROR(INDEX(Country_Context!$D$2:$D$87,MATCH($C26,Country_Context!$A$2:$A$87,0)),"")</f>
        <v/>
      </c>
      <c r="AM26" s="11">
        <f>IFERROR(INDEX(Country_Context!$E$2:$E$87,MATCH($C26,Country_Context!$A$2:$A$87,0)),"")</f>
        <v/>
      </c>
      <c r="AN26" s="11">
        <f>IFERROR(INDEX(Country_Context!$F$2:$F$87,MATCH($C26,Country_Context!$A$2:$A$87,0)),"")</f>
        <v/>
      </c>
      <c r="AO26" s="11">
        <f>IFERROR(INDEX(Country_Context!$G$2:$G$87,MATCH($C26,Country_Context!$A$2:$A$87,0)),"")</f>
        <v/>
      </c>
      <c r="AP26" s="12" t="inlineStr">
        <is>
          <t>https://api.worldbank.org/v2/country/JPN/indicator/NY.GNP.PCAP.PP.CD?format=json&amp;mrv=10 | https://data.worldbank.org/indicator/NY.GNP.PCAP.PP.CD | https://ilostat.ilo.org/data/indicator/?id=HOW_TEMP_SEX_ECO_NB_A&amp;ref_area=JPN | +3 more</t>
        </is>
      </c>
      <c r="AQ26" s="12" t="inlineStr">
        <is>
          <t>Tier 3, Tier 4</t>
        </is>
      </c>
      <c r="AR26" s="12" t="inlineStr">
        <is>
          <t>2024-12-31</t>
        </is>
      </c>
      <c r="AS26" s="12" t="inlineStr">
        <is>
          <t>providers=world_bank_col_estimate, derived, ilo_ilostat, who_gho; fields=gross_income, rent, utilities, transit_cost; +8 additional fields</t>
        </is>
      </c>
      <c r="AT26" s="12" t="inlineStr">
        <is>
          <t>https://api.worldbank.org/v2/country/JPN/indicator/VC.IHR.PSRC.P5?format=json&amp;mrv=10 | https://api.worldbank.org/v2/country/JPN/indicator/SH.H2O.SMDW.ZS?format=json&amp;mrv=10 | https://api.worldbank.org/v2/country/JPN/indicator/IT.NET.BBND.P2?format=json&amp;mrv=10 | +1 more</t>
        </is>
      </c>
      <c r="AU26" s="12" t="inlineStr">
        <is>
          <t>Tier 3</t>
        </is>
      </c>
      <c r="AV26" s="12" t="inlineStr">
        <is>
          <t>2024-12-31</t>
        </is>
      </c>
      <c r="AW26" s="12" t="inlineStr">
        <is>
          <t>providers=world_bank, wmo_natl_met; fields=personal_safety_raw, water_sanitation_utility_raw, digital_infrastructure_raw, climate_sunlight_livability_raw</t>
        </is>
      </c>
      <c r="AX26" s="12" t="inlineStr">
        <is>
          <t>https://www.who.int/data/gho/data/indicators/indicator-details/GHO/UHC_INDEX_REPORTED | https://api.worldbank.org/v2/country/JPN/indicator/SE.TER.ENRR?format=json&amp;mrv=10 | https://api.worldbank.org/v2/country/JPN/indicator/SI.POV.GINI?format=json&amp;mrv=10 | +1 more</t>
        </is>
      </c>
      <c r="AY26" s="12" t="inlineStr">
        <is>
          <t>Tier 3</t>
        </is>
      </c>
      <c r="AZ26" s="12" t="inlineStr">
        <is>
          <t>2023-12-31</t>
        </is>
      </c>
      <c r="BA26" s="12" t="inlineStr">
        <is>
          <t>providers=who_gho, world_bank; fields=healthcare_quality_raw, education_quality_raw, equal_opportunity_raw, gini_coefficient</t>
        </is>
      </c>
      <c r="BB26" s="12" t="inlineStr">
        <is>
          <t>https://api.worldbank.org/v2/country/JPN/indicator/SM.POP.NETM?format=json&amp;mrv=10 | https://api.worldbank.org/v2/country/JPN/indicator/SG.GEN.PARL.ZS?format=json&amp;mrv=10 | https://api.worldbank.org/v2/country/JPN/indicator/ST.INT.ARVL?format=json&amp;mrv=10 | +1 more</t>
        </is>
      </c>
      <c r="BC26" s="12" t="inlineStr">
        <is>
          <t>Tier 3</t>
        </is>
      </c>
      <c r="BD26" s="12" t="inlineStr">
        <is>
          <t>2025-12-31</t>
        </is>
      </c>
      <c r="BE26" s="12" t="inlineStr">
        <is>
          <t>providers=world_bank; fields=hospitality_belonging_raw, tolerance_pluralism_raw, cultural_public_life_raw, birth_rate_optimism_raw</t>
        </is>
      </c>
      <c r="BF26" s="12" t="inlineStr">
        <is>
          <t>https://api.worldbank.org/v2/country/JPN/indicator/IC.BUS.NDNS.ZS?format=json&amp;mrv=10 | https://api.worldbank.org/v2/country/JPN/indicator/GB.XPD.RSDV.GD.ZS?format=json&amp;mrv=10 | https://api.worldbank.org/v2/country/JPN/indicator/BX.KLT.DINV.WD.GD.ZS?format=json&amp;mrv=10 | +3 more</t>
        </is>
      </c>
      <c r="BG26" s="12" t="inlineStr">
        <is>
          <t>Tier 3</t>
        </is>
      </c>
      <c r="BH26" s="12" t="inlineStr">
        <is>
          <t>2024-12-31</t>
        </is>
      </c>
      <c r="BI26" s="12" t="inlineStr">
        <is>
          <t>providers=world_bank; fields=entrepreneurial_dynamism_raw, innovation_research_intensity_raw, investment_signal_raw, administrative_investment_friction_raw; +2 additional fields</t>
        </is>
      </c>
      <c r="BJ26" s="9" t="n">
        <v>1.2</v>
      </c>
    </row>
    <row r="27">
      <c r="A27" s="9" t="inlineStr">
        <is>
          <t>cn-tianjin</t>
        </is>
      </c>
      <c r="B27" s="9" t="inlineStr">
        <is>
          <t>Tianjin</t>
        </is>
      </c>
      <c r="C27" s="9" t="inlineStr">
        <is>
          <t>China</t>
        </is>
      </c>
      <c r="D27" s="9" t="inlineStr">
        <is>
          <t>East Asia</t>
        </is>
      </c>
      <c r="E27" s="9" t="inlineStr">
        <is>
          <t>secondary</t>
        </is>
      </c>
      <c r="F27" s="9" t="inlineStr">
        <is>
          <t>provisional</t>
        </is>
      </c>
      <c r="G27" s="10" t="n">
        <v>2131.17</v>
      </c>
      <c r="H27" s="10" t="n">
        <v>452.87</v>
      </c>
      <c r="I27" s="10" t="n">
        <v>108.69</v>
      </c>
      <c r="J27" s="10" t="n">
        <v>72.45999999999999</v>
      </c>
      <c r="K27" s="10" t="n">
        <v>27.17</v>
      </c>
      <c r="L27" s="10" t="n">
        <v>362.3</v>
      </c>
      <c r="M27" s="11" t="inlineStr"/>
      <c r="N27" s="10" t="n">
        <v>21.2498</v>
      </c>
      <c r="O27" s="10" t="n">
        <v>194.166</v>
      </c>
      <c r="P27" s="11">
        <f>IF($O27&lt;&gt;"",$O27,$AO27)</f>
        <v/>
      </c>
      <c r="Q27" s="10" t="inlineStr"/>
      <c r="R27" s="10" t="n">
        <v>8.949999999999999</v>
      </c>
      <c r="S27" s="10" t="n">
        <v>0.5</v>
      </c>
      <c r="T27" s="10" t="inlineStr"/>
      <c r="U27" s="10" t="inlineStr"/>
      <c r="V27" s="10" t="inlineStr"/>
      <c r="W27" s="10" t="n">
        <v>44.73</v>
      </c>
      <c r="X27" s="9" t="n">
        <v>52</v>
      </c>
      <c r="Y27" s="10" t="n">
        <v>85</v>
      </c>
      <c r="Z27" s="10" t="n">
        <v>76.88</v>
      </c>
      <c r="AA27" s="10" t="n">
        <v>36</v>
      </c>
      <c r="AB27" s="10" t="n">
        <v>49.81</v>
      </c>
      <c r="AC27" s="10" t="n">
        <v>26.54</v>
      </c>
      <c r="AD27" s="10" t="n">
        <v>21.58</v>
      </c>
      <c r="AE27" s="10" t="n">
        <v>8.58</v>
      </c>
      <c r="AF27" s="10" t="n">
        <v>2.56</v>
      </c>
      <c r="AG27" s="10" t="n">
        <v>0.1</v>
      </c>
      <c r="AH27" s="10" t="n">
        <v>2.86</v>
      </c>
      <c r="AI27" s="10" t="inlineStr"/>
      <c r="AJ27" s="11">
        <f>IFERROR(INDEX(Country_Context!$B$2:$B$87,MATCH($C27,Country_Context!$A$2:$A$87,0)),"")</f>
        <v/>
      </c>
      <c r="AK27" s="11">
        <f>IFERROR(INDEX(Country_Context!$C$2:$C$87,MATCH($C27,Country_Context!$A$2:$A$87,0)),"")</f>
        <v/>
      </c>
      <c r="AL27" s="11">
        <f>IFERROR(INDEX(Country_Context!$D$2:$D$87,MATCH($C27,Country_Context!$A$2:$A$87,0)),"")</f>
        <v/>
      </c>
      <c r="AM27" s="11">
        <f>IFERROR(INDEX(Country_Context!$E$2:$E$87,MATCH($C27,Country_Context!$A$2:$A$87,0)),"")</f>
        <v/>
      </c>
      <c r="AN27" s="11">
        <f>IFERROR(INDEX(Country_Context!$F$2:$F$87,MATCH($C27,Country_Context!$A$2:$A$87,0)),"")</f>
        <v/>
      </c>
      <c r="AO27" s="11">
        <f>IFERROR(INDEX(Country_Context!$G$2:$G$87,MATCH($C27,Country_Context!$A$2:$A$87,0)),"")</f>
        <v/>
      </c>
      <c r="AP27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27" s="12" t="inlineStr">
        <is>
          <t>Tier 3, Tier 4</t>
        </is>
      </c>
      <c r="AR27" s="12" t="inlineStr">
        <is>
          <t>2024-12-31</t>
        </is>
      </c>
      <c r="AS27" s="12" t="inlineStr">
        <is>
          <t>providers=world_bank_col_estimate, derived, who_gho, world_bank; fields=gross_income, rent, utilities, transit_cost; +8 additional fields</t>
        </is>
      </c>
      <c r="AT27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27" s="12" t="inlineStr">
        <is>
          <t>Tier 3</t>
        </is>
      </c>
      <c r="AV27" s="12" t="inlineStr">
        <is>
          <t>2024-12-31</t>
        </is>
      </c>
      <c r="AW27" s="12" t="inlineStr">
        <is>
          <t>providers=world_bank, wmo_natl_met; fields=personal_safety_raw, digital_infrastructure_raw, climate_sunlight_livability_raw</t>
        </is>
      </c>
      <c r="AX27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27" s="12" t="inlineStr">
        <is>
          <t>Tier 3</t>
        </is>
      </c>
      <c r="AZ27" s="12" t="inlineStr">
        <is>
          <t>2024-12-31</t>
        </is>
      </c>
      <c r="BA27" s="12" t="inlineStr">
        <is>
          <t>providers=who_gho, world_bank; fields=healthcare_quality_raw, education_quality_raw, equal_opportunity_raw, gini_coefficient</t>
        </is>
      </c>
      <c r="BB27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27" s="12" t="inlineStr">
        <is>
          <t>Tier 3</t>
        </is>
      </c>
      <c r="BD27" s="12" t="inlineStr">
        <is>
          <t>2025-12-31</t>
        </is>
      </c>
      <c r="BE27" s="12" t="inlineStr">
        <is>
          <t>providers=world_bank; fields=hospitality_belonging_raw, tolerance_pluralism_raw, cultural_public_life_raw, birth_rate_optimism_raw</t>
        </is>
      </c>
      <c r="BF27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27" s="12" t="inlineStr">
        <is>
          <t>Tier 3</t>
        </is>
      </c>
      <c r="BH27" s="12" t="inlineStr">
        <is>
          <t>2024-12-31</t>
        </is>
      </c>
      <c r="BI27" s="12" t="inlineStr">
        <is>
          <t>providers=world_bank; fields=entrepreneurial_dynamism_raw, innovation_research_intensity_raw, investment_signal_raw, administrative_investment_friction_raw; +2 additional fields</t>
        </is>
      </c>
      <c r="BJ27" s="9" t="n">
        <v>1</v>
      </c>
    </row>
    <row r="28">
      <c r="A28" s="9" t="inlineStr">
        <is>
          <t>in-bengaluru</t>
        </is>
      </c>
      <c r="B28" s="9" t="inlineStr">
        <is>
          <t>Bengaluru</t>
        </is>
      </c>
      <c r="C28" s="9" t="inlineStr">
        <is>
          <t>India</t>
        </is>
      </c>
      <c r="D28" s="9" t="inlineStr">
        <is>
          <t>South Asia</t>
        </is>
      </c>
      <c r="E28" s="9" t="inlineStr">
        <is>
          <t>primary</t>
        </is>
      </c>
      <c r="F28" s="9" t="inlineStr">
        <is>
          <t>locked</t>
        </is>
      </c>
      <c r="G28" s="10" t="n">
        <v>1283.33</v>
      </c>
      <c r="H28" s="10" t="n">
        <v>221.37</v>
      </c>
      <c r="I28" s="10" t="n">
        <v>73.79000000000001</v>
      </c>
      <c r="J28" s="10" t="n">
        <v>44.27</v>
      </c>
      <c r="K28" s="10" t="n">
        <v>14.76</v>
      </c>
      <c r="L28" s="10" t="n">
        <v>368.96</v>
      </c>
      <c r="M28" s="11" t="inlineStr"/>
      <c r="N28" s="10" t="n">
        <v>17.2497</v>
      </c>
      <c r="O28" s="10" t="n">
        <v>50.1422</v>
      </c>
      <c r="P28" s="11">
        <f>IF($O28&lt;&gt;"",$O28,$AO28)</f>
        <v/>
      </c>
      <c r="Q28" s="10" t="n">
        <v>45.72</v>
      </c>
      <c r="R28" s="10" t="n">
        <v>12.56</v>
      </c>
      <c r="S28" s="10" t="n">
        <v>2.82</v>
      </c>
      <c r="T28" s="10" t="inlineStr"/>
      <c r="U28" s="10" t="inlineStr"/>
      <c r="V28" s="10" t="n">
        <v>76.44</v>
      </c>
      <c r="W28" s="10" t="n">
        <v>2.75</v>
      </c>
      <c r="X28" s="9" t="inlineStr"/>
      <c r="Y28" s="10" t="n">
        <v>69</v>
      </c>
      <c r="Z28" s="10" t="n">
        <v>34.42</v>
      </c>
      <c r="AA28" s="10" t="n">
        <v>25.5</v>
      </c>
      <c r="AB28" s="10" t="n">
        <v>49.66</v>
      </c>
      <c r="AC28" s="10" t="n">
        <v>13.65</v>
      </c>
      <c r="AD28" s="10" t="n">
        <v>12.35</v>
      </c>
      <c r="AE28" s="10" t="n">
        <v>0.18</v>
      </c>
      <c r="AF28" s="10" t="n">
        <v>0.65</v>
      </c>
      <c r="AG28" s="10" t="n">
        <v>0.6899999999999999</v>
      </c>
      <c r="AH28" s="10" t="n">
        <v>2.64</v>
      </c>
      <c r="AI28" s="10" t="inlineStr"/>
      <c r="AJ28" s="11">
        <f>IFERROR(INDEX(Country_Context!$B$2:$B$87,MATCH($C28,Country_Context!$A$2:$A$87,0)),"")</f>
        <v/>
      </c>
      <c r="AK28" s="11">
        <f>IFERROR(INDEX(Country_Context!$C$2:$C$87,MATCH($C28,Country_Context!$A$2:$A$87,0)),"")</f>
        <v/>
      </c>
      <c r="AL28" s="11">
        <f>IFERROR(INDEX(Country_Context!$D$2:$D$87,MATCH($C28,Country_Context!$A$2:$A$87,0)),"")</f>
        <v/>
      </c>
      <c r="AM28" s="11">
        <f>IFERROR(INDEX(Country_Context!$E$2:$E$87,MATCH($C28,Country_Context!$A$2:$A$87,0)),"")</f>
        <v/>
      </c>
      <c r="AN28" s="11">
        <f>IFERROR(INDEX(Country_Context!$F$2:$F$87,MATCH($C28,Country_Context!$A$2:$A$87,0)),"")</f>
        <v/>
      </c>
      <c r="AO28" s="11">
        <f>IFERROR(INDEX(Country_Context!$G$2:$G$87,MATCH($C28,Country_Context!$A$2:$A$87,0)),"")</f>
        <v/>
      </c>
      <c r="AP28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8" s="12" t="inlineStr">
        <is>
          <t>Tier 3, Tier 4</t>
        </is>
      </c>
      <c r="AR28" s="12" t="inlineStr">
        <is>
          <t>2024-12-31</t>
        </is>
      </c>
      <c r="AS28" s="12" t="inlineStr">
        <is>
          <t>providers=world_bank_col_estimate, derived, ilo_ilostat, who_gho; fields=gross_income, rent, utilities, transit_cost; +9 additional fields</t>
        </is>
      </c>
      <c r="AT28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</t>
        </is>
      </c>
      <c r="AU28" s="12" t="inlineStr">
        <is>
          <t>Tier 3</t>
        </is>
      </c>
      <c r="AV28" s="12" t="inlineStr">
        <is>
          <t>2024-12-31</t>
        </is>
      </c>
      <c r="AW28" s="12" t="inlineStr">
        <is>
          <t>providers=world_bank; fields=personal_safety_raw, water_sanitation_utility_raw, digital_infrastructure_raw</t>
        </is>
      </c>
      <c r="AX28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8" s="12" t="inlineStr">
        <is>
          <t>Tier 3</t>
        </is>
      </c>
      <c r="AZ28" s="12" t="inlineStr">
        <is>
          <t>2024-12-31</t>
        </is>
      </c>
      <c r="BA28" s="12" t="inlineStr">
        <is>
          <t>providers=who_gho, world_bank; fields=healthcare_quality_raw, education_quality_raw, equal_opportunity_raw, gini_coefficient</t>
        </is>
      </c>
      <c r="BB28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8" s="12" t="inlineStr">
        <is>
          <t>Tier 3</t>
        </is>
      </c>
      <c r="BD28" s="12" t="inlineStr">
        <is>
          <t>2025-12-31</t>
        </is>
      </c>
      <c r="BE28" s="12" t="inlineStr">
        <is>
          <t>providers=world_bank; fields=hospitality_belonging_raw, tolerance_pluralism_raw, cultural_public_life_raw, birth_rate_optimism_raw</t>
        </is>
      </c>
      <c r="BF28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8" s="12" t="inlineStr">
        <is>
          <t>Tier 3</t>
        </is>
      </c>
      <c r="BH28" s="12" t="inlineStr">
        <is>
          <t>2024-12-31</t>
        </is>
      </c>
      <c r="BI28" s="12" t="inlineStr">
        <is>
          <t>providers=world_bank; fields=entrepreneurial_dynamism_raw, innovation_research_intensity_raw, investment_signal_raw, administrative_investment_friction_raw; +2 additional fields</t>
        </is>
      </c>
      <c r="BJ28" s="9" t="n">
        <v>2</v>
      </c>
    </row>
    <row r="29">
      <c r="A29" s="9" t="inlineStr">
        <is>
          <t>in-hyderabad</t>
        </is>
      </c>
      <c r="B29" s="9" t="inlineStr">
        <is>
          <t>Hyderabad</t>
        </is>
      </c>
      <c r="C29" s="9" t="inlineStr">
        <is>
          <t>India</t>
        </is>
      </c>
      <c r="D29" s="9" t="inlineStr">
        <is>
          <t>South Asia</t>
        </is>
      </c>
      <c r="E29" s="9" t="inlineStr">
        <is>
          <t>primary</t>
        </is>
      </c>
      <c r="F29" s="9" t="inlineStr">
        <is>
          <t>locked</t>
        </is>
      </c>
      <c r="G29" s="10" t="n">
        <v>1145.83</v>
      </c>
      <c r="H29" s="10" t="n">
        <v>180.47</v>
      </c>
      <c r="I29" s="10" t="n">
        <v>60.16</v>
      </c>
      <c r="J29" s="10" t="n">
        <v>36.09</v>
      </c>
      <c r="K29" s="10" t="n">
        <v>12.03</v>
      </c>
      <c r="L29" s="10" t="n">
        <v>300.78</v>
      </c>
      <c r="M29" s="11" t="inlineStr"/>
      <c r="N29" s="10" t="n">
        <v>15.7502</v>
      </c>
      <c r="O29" s="10" t="n">
        <v>50.1422</v>
      </c>
      <c r="P29" s="11">
        <f>IF($O29&lt;&gt;"",$O29,$AO29)</f>
        <v/>
      </c>
      <c r="Q29" s="10" t="n">
        <v>45.72</v>
      </c>
      <c r="R29" s="10" t="n">
        <v>12.56</v>
      </c>
      <c r="S29" s="10" t="n">
        <v>2.82</v>
      </c>
      <c r="T29" s="10" t="inlineStr"/>
      <c r="U29" s="10" t="inlineStr"/>
      <c r="V29" s="10" t="n">
        <v>76.44</v>
      </c>
      <c r="W29" s="10" t="n">
        <v>2.75</v>
      </c>
      <c r="X29" s="9" t="n">
        <v>64</v>
      </c>
      <c r="Y29" s="10" t="n">
        <v>69</v>
      </c>
      <c r="Z29" s="10" t="n">
        <v>34.42</v>
      </c>
      <c r="AA29" s="10" t="n">
        <v>25.5</v>
      </c>
      <c r="AB29" s="10" t="n">
        <v>49.66</v>
      </c>
      <c r="AC29" s="10" t="n">
        <v>13.65</v>
      </c>
      <c r="AD29" s="10" t="n">
        <v>12.35</v>
      </c>
      <c r="AE29" s="10" t="n">
        <v>0.18</v>
      </c>
      <c r="AF29" s="10" t="n">
        <v>0.65</v>
      </c>
      <c r="AG29" s="10" t="n">
        <v>0.6899999999999999</v>
      </c>
      <c r="AH29" s="10" t="n">
        <v>2.64</v>
      </c>
      <c r="AI29" s="10" t="inlineStr"/>
      <c r="AJ29" s="11">
        <f>IFERROR(INDEX(Country_Context!$B$2:$B$87,MATCH($C29,Country_Context!$A$2:$A$87,0)),"")</f>
        <v/>
      </c>
      <c r="AK29" s="11">
        <f>IFERROR(INDEX(Country_Context!$C$2:$C$87,MATCH($C29,Country_Context!$A$2:$A$87,0)),"")</f>
        <v/>
      </c>
      <c r="AL29" s="11">
        <f>IFERROR(INDEX(Country_Context!$D$2:$D$87,MATCH($C29,Country_Context!$A$2:$A$87,0)),"")</f>
        <v/>
      </c>
      <c r="AM29" s="11">
        <f>IFERROR(INDEX(Country_Context!$E$2:$E$87,MATCH($C29,Country_Context!$A$2:$A$87,0)),"")</f>
        <v/>
      </c>
      <c r="AN29" s="11">
        <f>IFERROR(INDEX(Country_Context!$F$2:$F$87,MATCH($C29,Country_Context!$A$2:$A$87,0)),"")</f>
        <v/>
      </c>
      <c r="AO29" s="11">
        <f>IFERROR(INDEX(Country_Context!$G$2:$G$87,MATCH($C29,Country_Context!$A$2:$A$87,0)),"")</f>
        <v/>
      </c>
      <c r="AP2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29" s="12" t="inlineStr">
        <is>
          <t>Tier 3, Tier 4</t>
        </is>
      </c>
      <c r="AR29" s="12" t="inlineStr">
        <is>
          <t>2024-12-31</t>
        </is>
      </c>
      <c r="AS29" s="12" t="inlineStr">
        <is>
          <t>providers=world_bank_col_estimate, derived, ilo_ilostat, who_gho; fields=gross_income, rent, utilities, transit_cost; +9 additional fields</t>
        </is>
      </c>
      <c r="AT2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29" s="12" t="inlineStr">
        <is>
          <t>Tier 3</t>
        </is>
      </c>
      <c r="AV29" s="12" t="inlineStr">
        <is>
          <t>2024-12-31</t>
        </is>
      </c>
      <c r="AW29" s="12" t="inlineStr">
        <is>
          <t>providers=world_bank, wmo_natl_met; fields=personal_safety_raw, water_sanitation_utility_raw, digital_infrastructure_raw, climate_sunlight_livability_raw</t>
        </is>
      </c>
      <c r="AX2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29" s="12" t="inlineStr">
        <is>
          <t>Tier 3</t>
        </is>
      </c>
      <c r="AZ29" s="12" t="inlineStr">
        <is>
          <t>2024-12-31</t>
        </is>
      </c>
      <c r="BA29" s="12" t="inlineStr">
        <is>
          <t>providers=who_gho, world_bank; fields=healthcare_quality_raw, education_quality_raw, equal_opportunity_raw, gini_coefficient</t>
        </is>
      </c>
      <c r="BB2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29" s="12" t="inlineStr">
        <is>
          <t>Tier 3</t>
        </is>
      </c>
      <c r="BD29" s="12" t="inlineStr">
        <is>
          <t>2025-12-31</t>
        </is>
      </c>
      <c r="BE29" s="12" t="inlineStr">
        <is>
          <t>providers=world_bank; fields=hospitality_belonging_raw, tolerance_pluralism_raw, cultural_public_life_raw, birth_rate_optimism_raw</t>
        </is>
      </c>
      <c r="BF2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29" s="12" t="inlineStr">
        <is>
          <t>Tier 3</t>
        </is>
      </c>
      <c r="BH29" s="12" t="inlineStr">
        <is>
          <t>2024-12-31</t>
        </is>
      </c>
      <c r="BI29" s="12" t="inlineStr">
        <is>
          <t>providers=world_bank; fields=entrepreneurial_dynamism_raw, innovation_research_intensity_raw, investment_signal_raw, administrative_investment_friction_raw; +2 additional fields</t>
        </is>
      </c>
      <c r="BJ29" s="9" t="n">
        <v>2</v>
      </c>
    </row>
    <row r="30">
      <c r="A30" s="9" t="inlineStr">
        <is>
          <t>in-chandigarh</t>
        </is>
      </c>
      <c r="B30" s="9" t="inlineStr">
        <is>
          <t>Chandigarh</t>
        </is>
      </c>
      <c r="C30" s="9" t="inlineStr">
        <is>
          <t>India</t>
        </is>
      </c>
      <c r="D30" s="9" t="inlineStr">
        <is>
          <t>South Asia</t>
        </is>
      </c>
      <c r="E30" s="9" t="inlineStr">
        <is>
          <t>primary</t>
        </is>
      </c>
      <c r="F30" s="9" t="inlineStr">
        <is>
          <t>provisional</t>
        </is>
      </c>
      <c r="G30" s="10" t="n">
        <v>916.67</v>
      </c>
      <c r="H30" s="10" t="n">
        <v>137.5</v>
      </c>
      <c r="I30" s="10" t="n">
        <v>45.83</v>
      </c>
      <c r="J30" s="10" t="n">
        <v>27.5</v>
      </c>
      <c r="K30" s="10" t="n">
        <v>9.17</v>
      </c>
      <c r="L30" s="10" t="n">
        <v>229.17</v>
      </c>
      <c r="M30" s="11" t="inlineStr"/>
      <c r="N30" s="10" t="n">
        <v>14.9999</v>
      </c>
      <c r="O30" s="10" t="n">
        <v>50.1422</v>
      </c>
      <c r="P30" s="11">
        <f>IF($O30&lt;&gt;"",$O30,$AO30)</f>
        <v/>
      </c>
      <c r="Q30" s="10" t="n">
        <v>45.72</v>
      </c>
      <c r="R30" s="10" t="n">
        <v>12.56</v>
      </c>
      <c r="S30" s="10" t="n">
        <v>2.82</v>
      </c>
      <c r="T30" s="10" t="inlineStr"/>
      <c r="U30" s="10" t="n">
        <v>45</v>
      </c>
      <c r="V30" s="10" t="n">
        <v>85</v>
      </c>
      <c r="W30" s="10" t="n">
        <v>2.75</v>
      </c>
      <c r="X30" s="9" t="n">
        <v>55</v>
      </c>
      <c r="Y30" s="10" t="n">
        <v>69</v>
      </c>
      <c r="Z30" s="10" t="n">
        <v>34.42</v>
      </c>
      <c r="AA30" s="10" t="n">
        <v>25.5</v>
      </c>
      <c r="AB30" s="10" t="n">
        <v>49.66</v>
      </c>
      <c r="AC30" s="10" t="n">
        <v>13.65</v>
      </c>
      <c r="AD30" s="10" t="n">
        <v>50</v>
      </c>
      <c r="AE30" s="10" t="n">
        <v>0.18</v>
      </c>
      <c r="AF30" s="10" t="n">
        <v>0.65</v>
      </c>
      <c r="AG30" s="10" t="n">
        <v>0.6899999999999999</v>
      </c>
      <c r="AH30" s="10" t="n">
        <v>2.64</v>
      </c>
      <c r="AI30" s="10" t="inlineStr"/>
      <c r="AJ30" s="11">
        <f>IFERROR(INDEX(Country_Context!$B$2:$B$87,MATCH($C30,Country_Context!$A$2:$A$87,0)),"")</f>
        <v/>
      </c>
      <c r="AK30" s="11">
        <f>IFERROR(INDEX(Country_Context!$C$2:$C$87,MATCH($C30,Country_Context!$A$2:$A$87,0)),"")</f>
        <v/>
      </c>
      <c r="AL30" s="11">
        <f>IFERROR(INDEX(Country_Context!$D$2:$D$87,MATCH($C30,Country_Context!$A$2:$A$87,0)),"")</f>
        <v/>
      </c>
      <c r="AM30" s="11">
        <f>IFERROR(INDEX(Country_Context!$E$2:$E$87,MATCH($C30,Country_Context!$A$2:$A$87,0)),"")</f>
        <v/>
      </c>
      <c r="AN30" s="11">
        <f>IFERROR(INDEX(Country_Context!$F$2:$F$87,MATCH($C30,Country_Context!$A$2:$A$87,0)),"")</f>
        <v/>
      </c>
      <c r="AO30" s="11">
        <f>IFERROR(INDEX(Country_Context!$G$2:$G$87,MATCH($C30,Country_Context!$A$2:$A$87,0)),"")</f>
        <v/>
      </c>
      <c r="AP30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30" s="12" t="inlineStr">
        <is>
          <t>Tier 3, Tier 4</t>
        </is>
      </c>
      <c r="AR30" s="12" t="inlineStr">
        <is>
          <t>2024-12-31</t>
        </is>
      </c>
      <c r="AS30" s="12" t="inlineStr">
        <is>
          <t>providers=world_bank_col_estimate, derived, ilo_ilostat, who_gho; fields=gross_income, rent, utilities, transit_cost; +9 additional fields</t>
        </is>
      </c>
      <c r="AT30" s="12" t="inlineStr">
        <is>
          <t>https://api.worldbank.org/v2/country/IND/indicator/VC.IHR.PSRC.P5?format=json&amp;mrv=10 | https://worldweather.wmo.int | https://washdata.org | +1 more</t>
        </is>
      </c>
      <c r="AU30" s="12" t="inlineStr">
        <is>
          <t>Tier 3</t>
        </is>
      </c>
      <c r="AV30" s="12" t="inlineStr">
        <is>
          <t>2024-12-31</t>
        </is>
      </c>
      <c r="AW30" s="12" t="inlineStr">
        <is>
          <t>providers=world_bank, wmo_natl_met, who_unicef_jmp; fields=personal_safety_raw, clean_air_raw, water_sanitation_utility_raw, digital_infrastructure_raw; +1 additional fields</t>
        </is>
      </c>
      <c r="AX30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30" s="12" t="inlineStr">
        <is>
          <t>Tier 3</t>
        </is>
      </c>
      <c r="AZ30" s="12" t="inlineStr">
        <is>
          <t>2024-12-31</t>
        </is>
      </c>
      <c r="BA30" s="12" t="inlineStr">
        <is>
          <t>providers=who_gho, world_bank; fields=healthcare_quality_raw, education_quality_raw, equal_opportunity_raw, gini_coefficient</t>
        </is>
      </c>
      <c r="BB30" s="12" t="inlineStr">
        <is>
          <t>https://api.worldbank.org/v2/country/IND/indicator/SM.POP.NETM?format=json&amp;mrv=10 | https://api.worldbank.org/v2/country/IND/indicator/SG.GEN.PARL.ZS?format=json&amp;mrv=10 | https://worldweather.wmo.int | +1 more</t>
        </is>
      </c>
      <c r="BC30" s="12" t="inlineStr">
        <is>
          <t>Tier 3</t>
        </is>
      </c>
      <c r="BD30" s="12" t="inlineStr">
        <is>
          <t>2025-12-31</t>
        </is>
      </c>
      <c r="BE30" s="12" t="inlineStr">
        <is>
          <t>providers=world_bank, wmo_natl_met; fields=hospitality_belonging_raw, tolerance_pluralism_raw, cultural_public_life_raw, birth_rate_optimism_raw</t>
        </is>
      </c>
      <c r="BF30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30" s="12" t="inlineStr">
        <is>
          <t>Tier 3</t>
        </is>
      </c>
      <c r="BH30" s="12" t="inlineStr">
        <is>
          <t>2024-12-31</t>
        </is>
      </c>
      <c r="BI30" s="12" t="inlineStr">
        <is>
          <t>providers=world_bank; fields=entrepreneurial_dynamism_raw, innovation_research_intensity_raw, investment_signal_raw, administrative_investment_friction_raw; +2 additional fields</t>
        </is>
      </c>
      <c r="BJ30" s="9" t="n">
        <v>2</v>
      </c>
    </row>
    <row r="31">
      <c r="A31" s="9" t="inlineStr">
        <is>
          <t>lk-colombo</t>
        </is>
      </c>
      <c r="B31" s="9" t="inlineStr">
        <is>
          <t>Colombo</t>
        </is>
      </c>
      <c r="C31" s="9" t="inlineStr">
        <is>
          <t>Sri Lanka</t>
        </is>
      </c>
      <c r="D31" s="9" t="inlineStr">
        <is>
          <t>South Asia</t>
        </is>
      </c>
      <c r="E31" s="9" t="inlineStr">
        <is>
          <t>primary</t>
        </is>
      </c>
      <c r="F31" s="9" t="inlineStr">
        <is>
          <t>locked</t>
        </is>
      </c>
      <c r="G31" s="10" t="n">
        <v>1270</v>
      </c>
      <c r="H31" s="10" t="n">
        <v>190.5</v>
      </c>
      <c r="I31" s="10" t="n">
        <v>63.5</v>
      </c>
      <c r="J31" s="10" t="n">
        <v>38.1</v>
      </c>
      <c r="K31" s="10" t="n">
        <v>12.7</v>
      </c>
      <c r="L31" s="10" t="n">
        <v>317.5</v>
      </c>
      <c r="M31" s="11" t="inlineStr"/>
      <c r="N31" s="10" t="n">
        <v>15</v>
      </c>
      <c r="O31" s="10" t="n">
        <v>46.8716</v>
      </c>
      <c r="P31" s="11">
        <f>IF($O31&lt;&gt;"",$O31,$AO31)</f>
        <v/>
      </c>
      <c r="Q31" s="10" t="n">
        <v>41.72</v>
      </c>
      <c r="R31" s="10" t="n">
        <v>14.74</v>
      </c>
      <c r="S31" s="10" t="n">
        <v>3.31</v>
      </c>
      <c r="T31" s="10" t="inlineStr"/>
      <c r="U31" s="10" t="inlineStr"/>
      <c r="V31" s="10" t="n">
        <v>46.93</v>
      </c>
      <c r="W31" s="10" t="n">
        <v>8.77</v>
      </c>
      <c r="X31" s="9" t="inlineStr"/>
      <c r="Y31" s="10" t="n">
        <v>72</v>
      </c>
      <c r="Z31" s="10" t="n">
        <v>20.74</v>
      </c>
      <c r="AA31" s="10" t="n">
        <v>37.7</v>
      </c>
      <c r="AB31" s="10" t="n">
        <v>48.6</v>
      </c>
      <c r="AC31" s="10" t="n">
        <v>10</v>
      </c>
      <c r="AD31" s="10" t="n">
        <v>24.64</v>
      </c>
      <c r="AE31" s="10" t="n">
        <v>1.2</v>
      </c>
      <c r="AF31" s="10" t="n">
        <v>0.11</v>
      </c>
      <c r="AG31" s="10" t="n">
        <v>0.77</v>
      </c>
      <c r="AH31" s="10" t="n">
        <v>3.01</v>
      </c>
      <c r="AI31" s="10" t="inlineStr"/>
      <c r="AJ31" s="11">
        <f>IFERROR(INDEX(Country_Context!$B$2:$B$87,MATCH($C31,Country_Context!$A$2:$A$87,0)),"")</f>
        <v/>
      </c>
      <c r="AK31" s="11">
        <f>IFERROR(INDEX(Country_Context!$C$2:$C$87,MATCH($C31,Country_Context!$A$2:$A$87,0)),"")</f>
        <v/>
      </c>
      <c r="AL31" s="11">
        <f>IFERROR(INDEX(Country_Context!$D$2:$D$87,MATCH($C31,Country_Context!$A$2:$A$87,0)),"")</f>
        <v/>
      </c>
      <c r="AM31" s="11">
        <f>IFERROR(INDEX(Country_Context!$E$2:$E$87,MATCH($C31,Country_Context!$A$2:$A$87,0)),"")</f>
        <v/>
      </c>
      <c r="AN31" s="11">
        <f>IFERROR(INDEX(Country_Context!$F$2:$F$87,MATCH($C31,Country_Context!$A$2:$A$87,0)),"")</f>
        <v/>
      </c>
      <c r="AO31" s="11">
        <f>IFERROR(INDEX(Country_Context!$G$2:$G$87,MATCH($C31,Country_Context!$A$2:$A$87,0)),"")</f>
        <v/>
      </c>
      <c r="AP3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31" s="12" t="inlineStr">
        <is>
          <t>Tier 3, Tier 4</t>
        </is>
      </c>
      <c r="AR31" s="12" t="inlineStr">
        <is>
          <t>2024-12-31</t>
        </is>
      </c>
      <c r="AS31" s="12" t="inlineStr">
        <is>
          <t>providers=world_bank_col_estimate, derived, ilo_ilostat, who_gho; fields=gross_income, rent, utilities, transit_cost; +9 additional fields</t>
        </is>
      </c>
      <c r="AT3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31" s="12" t="inlineStr">
        <is>
          <t>Tier 3</t>
        </is>
      </c>
      <c r="AV31" s="12" t="inlineStr">
        <is>
          <t>2024-12-31</t>
        </is>
      </c>
      <c r="AW31" s="12" t="inlineStr">
        <is>
          <t>providers=world_bank; fields=personal_safety_raw, water_sanitation_utility_raw, digital_infrastructure_raw</t>
        </is>
      </c>
      <c r="AX3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31" s="12" t="inlineStr">
        <is>
          <t>Tier 3</t>
        </is>
      </c>
      <c r="AZ31" s="12" t="inlineStr">
        <is>
          <t>2023-12-31</t>
        </is>
      </c>
      <c r="BA31" s="12" t="inlineStr">
        <is>
          <t>providers=who_gho, world_bank; fields=healthcare_quality_raw, education_quality_raw, equal_opportunity_raw, gini_coefficient</t>
        </is>
      </c>
      <c r="BB3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31" s="12" t="inlineStr">
        <is>
          <t>Tier 3</t>
        </is>
      </c>
      <c r="BD31" s="12" t="inlineStr">
        <is>
          <t>2025-12-31</t>
        </is>
      </c>
      <c r="BE31" s="12" t="inlineStr">
        <is>
          <t>providers=world_bank; fields=hospitality_belonging_raw, tolerance_pluralism_raw, cultural_public_life_raw, birth_rate_optimism_raw</t>
        </is>
      </c>
      <c r="BF3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31" s="12" t="inlineStr">
        <is>
          <t>Tier 3</t>
        </is>
      </c>
      <c r="BH31" s="12" t="inlineStr">
        <is>
          <t>2024-12-31</t>
        </is>
      </c>
      <c r="BI31" s="12" t="inlineStr">
        <is>
          <t>providers=world_bank; fields=entrepreneurial_dynamism_raw, innovation_research_intensity_raw, investment_signal_raw, administrative_investment_friction_raw; +2 additional fields</t>
        </is>
      </c>
      <c r="BJ31" s="9" t="n">
        <v>1.99</v>
      </c>
    </row>
    <row r="32">
      <c r="A32" s="9" t="inlineStr">
        <is>
          <t>bd-dhaka</t>
        </is>
      </c>
      <c r="B32" s="9" t="inlineStr">
        <is>
          <t>Dhaka</t>
        </is>
      </c>
      <c r="C32" s="9" t="inlineStr">
        <is>
          <t>Bangladesh</t>
        </is>
      </c>
      <c r="D32" s="9" t="inlineStr">
        <is>
          <t>South Asia</t>
        </is>
      </c>
      <c r="E32" s="9" t="inlineStr">
        <is>
          <t>primary</t>
        </is>
      </c>
      <c r="F32" s="9" t="inlineStr">
        <is>
          <t>provisional</t>
        </is>
      </c>
      <c r="G32" s="10" t="n">
        <v>838.33</v>
      </c>
      <c r="H32" s="10" t="n">
        <v>125.75</v>
      </c>
      <c r="I32" s="10" t="n">
        <v>41.92</v>
      </c>
      <c r="J32" s="10" t="n">
        <v>25.15</v>
      </c>
      <c r="K32" s="10" t="n">
        <v>8.380000000000001</v>
      </c>
      <c r="L32" s="10" t="n">
        <v>209.58</v>
      </c>
      <c r="M32" s="11" t="inlineStr"/>
      <c r="N32" s="10" t="n">
        <v>15.0001</v>
      </c>
      <c r="O32" s="10" t="n">
        <v>35.7061</v>
      </c>
      <c r="P32" s="11">
        <f>IF($O32&lt;&gt;"",$O32,$AO32)</f>
        <v/>
      </c>
      <c r="Q32" s="10" t="n">
        <v>46.73</v>
      </c>
      <c r="R32" s="10" t="n">
        <v>2.81</v>
      </c>
      <c r="S32" s="10" t="n">
        <v>2.34</v>
      </c>
      <c r="T32" s="10" t="inlineStr"/>
      <c r="U32" s="10" t="inlineStr"/>
      <c r="V32" s="10" t="n">
        <v>59.13</v>
      </c>
      <c r="W32" s="10" t="n">
        <v>7.89</v>
      </c>
      <c r="X32" s="9" t="inlineStr"/>
      <c r="Y32" s="10" t="n">
        <v>54</v>
      </c>
      <c r="Z32" s="10" t="n">
        <v>23.73</v>
      </c>
      <c r="AA32" s="10" t="n">
        <v>30.9</v>
      </c>
      <c r="AB32" s="10" t="n">
        <v>47.68</v>
      </c>
      <c r="AC32" s="10" t="n">
        <v>20.86</v>
      </c>
      <c r="AD32" s="10" t="n">
        <v>1.86</v>
      </c>
      <c r="AE32" s="10" t="n">
        <v>0.04</v>
      </c>
      <c r="AF32" s="10" t="n">
        <v>2.58</v>
      </c>
      <c r="AG32" s="10" t="n">
        <v>0.29</v>
      </c>
      <c r="AH32" s="10" t="n">
        <v>3.41</v>
      </c>
      <c r="AI32" s="10" t="inlineStr"/>
      <c r="AJ32" s="11">
        <f>IFERROR(INDEX(Country_Context!$B$2:$B$87,MATCH($C32,Country_Context!$A$2:$A$87,0)),"")</f>
        <v/>
      </c>
      <c r="AK32" s="11">
        <f>IFERROR(INDEX(Country_Context!$C$2:$C$87,MATCH($C32,Country_Context!$A$2:$A$87,0)),"")</f>
        <v/>
      </c>
      <c r="AL32" s="11">
        <f>IFERROR(INDEX(Country_Context!$D$2:$D$87,MATCH($C32,Country_Context!$A$2:$A$87,0)),"")</f>
        <v/>
      </c>
      <c r="AM32" s="11">
        <f>IFERROR(INDEX(Country_Context!$E$2:$E$87,MATCH($C32,Country_Context!$A$2:$A$87,0)),"")</f>
        <v/>
      </c>
      <c r="AN32" s="11">
        <f>IFERROR(INDEX(Country_Context!$F$2:$F$87,MATCH($C32,Country_Context!$A$2:$A$87,0)),"")</f>
        <v/>
      </c>
      <c r="AO32" s="11">
        <f>IFERROR(INDEX(Country_Context!$G$2:$G$87,MATCH($C32,Country_Context!$A$2:$A$87,0)),"")</f>
        <v/>
      </c>
      <c r="AP32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2" s="12" t="inlineStr">
        <is>
          <t>Tier 3, Tier 4</t>
        </is>
      </c>
      <c r="AR32" s="12" t="inlineStr">
        <is>
          <t>2024-12-31</t>
        </is>
      </c>
      <c r="AS32" s="12" t="inlineStr">
        <is>
          <t>providers=world_bank_col_estimate, derived, ilo_ilostat, who_gho; fields=gross_income, rent, utilities, transit_cost; +9 additional fields</t>
        </is>
      </c>
      <c r="AT32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2" s="12" t="inlineStr">
        <is>
          <t>Tier 3</t>
        </is>
      </c>
      <c r="AV32" s="12" t="inlineStr">
        <is>
          <t>2024-12-31</t>
        </is>
      </c>
      <c r="AW32" s="12" t="inlineStr">
        <is>
          <t>providers=world_bank; fields=personal_safety_raw, water_sanitation_utility_raw, digital_infrastructure_raw</t>
        </is>
      </c>
      <c r="AX32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2" s="12" t="inlineStr">
        <is>
          <t>Tier 3</t>
        </is>
      </c>
      <c r="AZ32" s="12" t="inlineStr">
        <is>
          <t>2024-12-31</t>
        </is>
      </c>
      <c r="BA32" s="12" t="inlineStr">
        <is>
          <t>providers=who_gho, world_bank; fields=healthcare_quality_raw, education_quality_raw, equal_opportunity_raw, gini_coefficient</t>
        </is>
      </c>
      <c r="BB32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2" s="12" t="inlineStr">
        <is>
          <t>Tier 3</t>
        </is>
      </c>
      <c r="BD32" s="12" t="inlineStr">
        <is>
          <t>2025-12-31</t>
        </is>
      </c>
      <c r="BE32" s="12" t="inlineStr">
        <is>
          <t>providers=world_bank; fields=hospitality_belonging_raw, tolerance_pluralism_raw, cultural_public_life_raw, birth_rate_optimism_raw</t>
        </is>
      </c>
      <c r="BF32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2" s="12" t="inlineStr">
        <is>
          <t>Tier 3</t>
        </is>
      </c>
      <c r="BH32" s="12" t="inlineStr">
        <is>
          <t>2024-12-31</t>
        </is>
      </c>
      <c r="BI32" s="12" t="inlineStr">
        <is>
          <t>providers=world_bank; fields=entrepreneurial_dynamism_raw, innovation_research_intensity_raw, investment_signal_raw, administrative_investment_friction_raw; +2 additional fields</t>
        </is>
      </c>
      <c r="BJ32" s="9" t="n">
        <v>1.95</v>
      </c>
    </row>
    <row r="33">
      <c r="A33" s="9" t="inlineStr">
        <is>
          <t>pk-karachi</t>
        </is>
      </c>
      <c r="B33" s="9" t="inlineStr">
        <is>
          <t>Karachi</t>
        </is>
      </c>
      <c r="C33" s="9" t="inlineStr">
        <is>
          <t>Pakistan</t>
        </is>
      </c>
      <c r="D33" s="9" t="inlineStr">
        <is>
          <t>South Asia</t>
        </is>
      </c>
      <c r="E33" s="9" t="inlineStr">
        <is>
          <t>primary</t>
        </is>
      </c>
      <c r="F33" s="9" t="inlineStr">
        <is>
          <t>provisional</t>
        </is>
      </c>
      <c r="G33" s="10" t="n">
        <v>508.33</v>
      </c>
      <c r="H33" s="10" t="n">
        <v>68.62</v>
      </c>
      <c r="I33" s="10" t="n">
        <v>22.87</v>
      </c>
      <c r="J33" s="10" t="n">
        <v>13.72</v>
      </c>
      <c r="K33" s="10" t="n">
        <v>4.57</v>
      </c>
      <c r="L33" s="10" t="n">
        <v>114.37</v>
      </c>
      <c r="M33" s="11" t="inlineStr"/>
      <c r="N33" s="10" t="n">
        <v>13.4991</v>
      </c>
      <c r="O33" s="10" t="n">
        <v>11.3901</v>
      </c>
      <c r="P33" s="11">
        <f>IF($O33&lt;&gt;"",$O33,$AO33)</f>
        <v/>
      </c>
      <c r="Q33" s="10" t="n">
        <v>46.77</v>
      </c>
      <c r="R33" s="10" t="n">
        <v>5.64</v>
      </c>
      <c r="S33" s="10" t="n">
        <v>4.33</v>
      </c>
      <c r="T33" s="10" t="inlineStr"/>
      <c r="U33" s="10" t="inlineStr"/>
      <c r="V33" s="10" t="n">
        <v>44.97</v>
      </c>
      <c r="W33" s="10" t="n">
        <v>1.36</v>
      </c>
      <c r="X33" s="9" t="inlineStr"/>
      <c r="Y33" s="10" t="n">
        <v>56</v>
      </c>
      <c r="Z33" s="10" t="n">
        <v>10.86</v>
      </c>
      <c r="AA33" s="10" t="n">
        <v>29.6</v>
      </c>
      <c r="AB33" s="10" t="n">
        <v>45.08</v>
      </c>
      <c r="AC33" s="10" t="n">
        <v>17.04</v>
      </c>
      <c r="AD33" s="10" t="n">
        <v>30.61</v>
      </c>
      <c r="AE33" s="10" t="n">
        <v>0.19</v>
      </c>
      <c r="AF33" s="10" t="n">
        <v>0.16</v>
      </c>
      <c r="AG33" s="10" t="n">
        <v>0.72</v>
      </c>
      <c r="AH33" s="10" t="n">
        <v>3.4</v>
      </c>
      <c r="AI33" s="10" t="inlineStr"/>
      <c r="AJ33" s="11">
        <f>IFERROR(INDEX(Country_Context!$B$2:$B$87,MATCH($C33,Country_Context!$A$2:$A$87,0)),"")</f>
        <v/>
      </c>
      <c r="AK33" s="11">
        <f>IFERROR(INDEX(Country_Context!$C$2:$C$87,MATCH($C33,Country_Context!$A$2:$A$87,0)),"")</f>
        <v/>
      </c>
      <c r="AL33" s="11">
        <f>IFERROR(INDEX(Country_Context!$D$2:$D$87,MATCH($C33,Country_Context!$A$2:$A$87,0)),"")</f>
        <v/>
      </c>
      <c r="AM33" s="11">
        <f>IFERROR(INDEX(Country_Context!$E$2:$E$87,MATCH($C33,Country_Context!$A$2:$A$87,0)),"")</f>
        <v/>
      </c>
      <c r="AN33" s="11">
        <f>IFERROR(INDEX(Country_Context!$F$2:$F$87,MATCH($C33,Country_Context!$A$2:$A$87,0)),"")</f>
        <v/>
      </c>
      <c r="AO33" s="11">
        <f>IFERROR(INDEX(Country_Context!$G$2:$G$87,MATCH($C33,Country_Context!$A$2:$A$87,0)),"")</f>
        <v/>
      </c>
      <c r="AP33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3" s="12" t="inlineStr">
        <is>
          <t>Tier 3, Tier 4</t>
        </is>
      </c>
      <c r="AR33" s="12" t="inlineStr">
        <is>
          <t>2025-12-31</t>
        </is>
      </c>
      <c r="AS33" s="12" t="inlineStr">
        <is>
          <t>providers=world_bank_col_estimate, derived, ilo_ilostat, who_gho; fields=gross_income, rent, utilities, transit_cost; +8 additional fields</t>
        </is>
      </c>
      <c r="AT33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3" s="12" t="inlineStr">
        <is>
          <t>Tier 3</t>
        </is>
      </c>
      <c r="AV33" s="12" t="inlineStr">
        <is>
          <t>2024-12-31</t>
        </is>
      </c>
      <c r="AW33" s="12" t="inlineStr">
        <is>
          <t>providers=world_bank; fields=personal_safety_raw, water_sanitation_utility_raw, digital_infrastructure_raw</t>
        </is>
      </c>
      <c r="AX33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3" s="12" t="inlineStr">
        <is>
          <t>Tier 3</t>
        </is>
      </c>
      <c r="AZ33" s="12" t="inlineStr">
        <is>
          <t>2024-12-31</t>
        </is>
      </c>
      <c r="BA33" s="12" t="inlineStr">
        <is>
          <t>providers=who_gho, world_bank; fields=healthcare_quality_raw, education_quality_raw, equal_opportunity_raw, gini_coefficient</t>
        </is>
      </c>
      <c r="BB33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3" s="12" t="inlineStr">
        <is>
          <t>Tier 3</t>
        </is>
      </c>
      <c r="BD33" s="12" t="inlineStr">
        <is>
          <t>2025-12-31</t>
        </is>
      </c>
      <c r="BE33" s="12" t="inlineStr">
        <is>
          <t>providers=world_bank; fields=hospitality_belonging_raw, tolerance_pluralism_raw, cultural_public_life_raw, birth_rate_optimism_raw</t>
        </is>
      </c>
      <c r="BF33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3" s="12" t="inlineStr">
        <is>
          <t>Tier 3</t>
        </is>
      </c>
      <c r="BH33" s="12" t="inlineStr">
        <is>
          <t>2024-12-31</t>
        </is>
      </c>
      <c r="BI33" s="12" t="inlineStr">
        <is>
          <t>providers=world_bank; fields=entrepreneurial_dynamism_raw, innovation_research_intensity_raw, investment_signal_raw, administrative_investment_friction_raw; +2 additional fields</t>
        </is>
      </c>
      <c r="BJ33" s="9" t="n">
        <v>3.36</v>
      </c>
    </row>
    <row r="34">
      <c r="A34" s="9" t="inlineStr">
        <is>
          <t>pk-lahore</t>
        </is>
      </c>
      <c r="B34" s="9" t="inlineStr">
        <is>
          <t>Lahore</t>
        </is>
      </c>
      <c r="C34" s="9" t="inlineStr">
        <is>
          <t>Pakistan</t>
        </is>
      </c>
      <c r="D34" s="9" t="inlineStr">
        <is>
          <t>South Asia</t>
        </is>
      </c>
      <c r="E34" s="9" t="inlineStr">
        <is>
          <t>secondary</t>
        </is>
      </c>
      <c r="F34" s="9" t="inlineStr">
        <is>
          <t>locked</t>
        </is>
      </c>
      <c r="G34" s="10" t="n">
        <v>508.33</v>
      </c>
      <c r="H34" s="10" t="n">
        <v>64.81</v>
      </c>
      <c r="I34" s="10" t="n">
        <v>21.6</v>
      </c>
      <c r="J34" s="10" t="n">
        <v>12.96</v>
      </c>
      <c r="K34" s="10" t="n">
        <v>4.32</v>
      </c>
      <c r="L34" s="10" t="n">
        <v>108.02</v>
      </c>
      <c r="M34" s="11" t="inlineStr"/>
      <c r="N34" s="10" t="n">
        <v>12.7496</v>
      </c>
      <c r="O34" s="10" t="n">
        <v>11.3901</v>
      </c>
      <c r="P34" s="11">
        <f>IF($O34&lt;&gt;"",$O34,$AO34)</f>
        <v/>
      </c>
      <c r="Q34" s="10" t="n">
        <v>46.77</v>
      </c>
      <c r="R34" s="10" t="n">
        <v>5.64</v>
      </c>
      <c r="S34" s="10" t="n">
        <v>4.33</v>
      </c>
      <c r="T34" s="10" t="inlineStr"/>
      <c r="U34" s="10" t="inlineStr"/>
      <c r="V34" s="10" t="n">
        <v>44.97</v>
      </c>
      <c r="W34" s="10" t="n">
        <v>1.36</v>
      </c>
      <c r="X34" s="9" t="inlineStr"/>
      <c r="Y34" s="10" t="n">
        <v>56</v>
      </c>
      <c r="Z34" s="10" t="n">
        <v>10.86</v>
      </c>
      <c r="AA34" s="10" t="n">
        <v>29.6</v>
      </c>
      <c r="AB34" s="10" t="n">
        <v>45.08</v>
      </c>
      <c r="AC34" s="10" t="n">
        <v>17.04</v>
      </c>
      <c r="AD34" s="10" t="n">
        <v>30.61</v>
      </c>
      <c r="AE34" s="10" t="n">
        <v>0.19</v>
      </c>
      <c r="AF34" s="10" t="n">
        <v>0.16</v>
      </c>
      <c r="AG34" s="10" t="n">
        <v>0.72</v>
      </c>
      <c r="AH34" s="10" t="n">
        <v>3.4</v>
      </c>
      <c r="AI34" s="10" t="inlineStr"/>
      <c r="AJ34" s="11">
        <f>IFERROR(INDEX(Country_Context!$B$2:$B$87,MATCH($C34,Country_Context!$A$2:$A$87,0)),"")</f>
        <v/>
      </c>
      <c r="AK34" s="11">
        <f>IFERROR(INDEX(Country_Context!$C$2:$C$87,MATCH($C34,Country_Context!$A$2:$A$87,0)),"")</f>
        <v/>
      </c>
      <c r="AL34" s="11">
        <f>IFERROR(INDEX(Country_Context!$D$2:$D$87,MATCH($C34,Country_Context!$A$2:$A$87,0)),"")</f>
        <v/>
      </c>
      <c r="AM34" s="11">
        <f>IFERROR(INDEX(Country_Context!$E$2:$E$87,MATCH($C34,Country_Context!$A$2:$A$87,0)),"")</f>
        <v/>
      </c>
      <c r="AN34" s="11">
        <f>IFERROR(INDEX(Country_Context!$F$2:$F$87,MATCH($C34,Country_Context!$A$2:$A$87,0)),"")</f>
        <v/>
      </c>
      <c r="AO34" s="11">
        <f>IFERROR(INDEX(Country_Context!$G$2:$G$87,MATCH($C34,Country_Context!$A$2:$A$87,0)),"")</f>
        <v/>
      </c>
      <c r="AP34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34" s="12" t="inlineStr">
        <is>
          <t>Tier 3, Tier 4</t>
        </is>
      </c>
      <c r="AR34" s="12" t="inlineStr">
        <is>
          <t>2025-12-31</t>
        </is>
      </c>
      <c r="AS34" s="12" t="inlineStr">
        <is>
          <t>providers=world_bank_col_estimate, derived, ilo_ilostat, who_gho; fields=gross_income, rent, utilities, transit_cost; +8 additional fields</t>
        </is>
      </c>
      <c r="AT34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34" s="12" t="inlineStr">
        <is>
          <t>Tier 3</t>
        </is>
      </c>
      <c r="AV34" s="12" t="inlineStr">
        <is>
          <t>2024-12-31</t>
        </is>
      </c>
      <c r="AW34" s="12" t="inlineStr">
        <is>
          <t>providers=world_bank; fields=personal_safety_raw, water_sanitation_utility_raw, digital_infrastructure_raw</t>
        </is>
      </c>
      <c r="AX34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34" s="12" t="inlineStr">
        <is>
          <t>Tier 3</t>
        </is>
      </c>
      <c r="AZ34" s="12" t="inlineStr">
        <is>
          <t>2024-12-31</t>
        </is>
      </c>
      <c r="BA34" s="12" t="inlineStr">
        <is>
          <t>providers=who_gho, world_bank; fields=healthcare_quality_raw, education_quality_raw, equal_opportunity_raw, gini_coefficient</t>
        </is>
      </c>
      <c r="BB34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34" s="12" t="inlineStr">
        <is>
          <t>Tier 3</t>
        </is>
      </c>
      <c r="BD34" s="12" t="inlineStr">
        <is>
          <t>2025-12-31</t>
        </is>
      </c>
      <c r="BE34" s="12" t="inlineStr">
        <is>
          <t>providers=world_bank; fields=hospitality_belonging_raw, tolerance_pluralism_raw, cultural_public_life_raw, birth_rate_optimism_raw</t>
        </is>
      </c>
      <c r="BF34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34" s="12" t="inlineStr">
        <is>
          <t>Tier 3</t>
        </is>
      </c>
      <c r="BH34" s="12" t="inlineStr">
        <is>
          <t>2024-12-31</t>
        </is>
      </c>
      <c r="BI34" s="12" t="inlineStr">
        <is>
          <t>providers=world_bank; fields=entrepreneurial_dynamism_raw, innovation_research_intensity_raw, investment_signal_raw, administrative_investment_friction_raw; +2 additional fields</t>
        </is>
      </c>
      <c r="BJ34" s="9" t="n">
        <v>3.36</v>
      </c>
    </row>
    <row r="35">
      <c r="A35" s="9" t="inlineStr">
        <is>
          <t>bd-chattogram</t>
        </is>
      </c>
      <c r="B35" s="9" t="inlineStr">
        <is>
          <t>Chattogram</t>
        </is>
      </c>
      <c r="C35" s="9" t="inlineStr">
        <is>
          <t>Bangladesh</t>
        </is>
      </c>
      <c r="D35" s="9" t="inlineStr">
        <is>
          <t>South Asia</t>
        </is>
      </c>
      <c r="E35" s="9" t="inlineStr">
        <is>
          <t>secondary</t>
        </is>
      </c>
      <c r="F35" s="9" t="inlineStr">
        <is>
          <t>locked</t>
        </is>
      </c>
      <c r="G35" s="10" t="n">
        <v>838.33</v>
      </c>
      <c r="H35" s="10" t="n">
        <v>100.6</v>
      </c>
      <c r="I35" s="10" t="n">
        <v>33.53</v>
      </c>
      <c r="J35" s="10" t="n">
        <v>20.12</v>
      </c>
      <c r="K35" s="10" t="n">
        <v>6.71</v>
      </c>
      <c r="L35" s="10" t="n">
        <v>167.67</v>
      </c>
      <c r="M35" s="11" t="inlineStr"/>
      <c r="N35" s="10" t="n">
        <v>12</v>
      </c>
      <c r="O35" s="10" t="n">
        <v>35.7061</v>
      </c>
      <c r="P35" s="11">
        <f>IF($O35&lt;&gt;"",$O35,$AO35)</f>
        <v/>
      </c>
      <c r="Q35" s="10" t="n">
        <v>46.73</v>
      </c>
      <c r="R35" s="10" t="n">
        <v>2.81</v>
      </c>
      <c r="S35" s="10" t="n">
        <v>2.34</v>
      </c>
      <c r="T35" s="10" t="inlineStr"/>
      <c r="U35" s="10" t="inlineStr"/>
      <c r="V35" s="10" t="n">
        <v>59.13</v>
      </c>
      <c r="W35" s="10" t="n">
        <v>7.89</v>
      </c>
      <c r="X35" s="9" t="inlineStr"/>
      <c r="Y35" s="10" t="n">
        <v>54</v>
      </c>
      <c r="Z35" s="10" t="n">
        <v>23.73</v>
      </c>
      <c r="AA35" s="10" t="n">
        <v>30.9</v>
      </c>
      <c r="AB35" s="10" t="n">
        <v>47.68</v>
      </c>
      <c r="AC35" s="10" t="n">
        <v>20.86</v>
      </c>
      <c r="AD35" s="10" t="n">
        <v>1.86</v>
      </c>
      <c r="AE35" s="10" t="n">
        <v>0.04</v>
      </c>
      <c r="AF35" s="10" t="n">
        <v>2.58</v>
      </c>
      <c r="AG35" s="10" t="n">
        <v>0.29</v>
      </c>
      <c r="AH35" s="10" t="n">
        <v>3.41</v>
      </c>
      <c r="AI35" s="10" t="inlineStr"/>
      <c r="AJ35" s="11">
        <f>IFERROR(INDEX(Country_Context!$B$2:$B$87,MATCH($C35,Country_Context!$A$2:$A$87,0)),"")</f>
        <v/>
      </c>
      <c r="AK35" s="11">
        <f>IFERROR(INDEX(Country_Context!$C$2:$C$87,MATCH($C35,Country_Context!$A$2:$A$87,0)),"")</f>
        <v/>
      </c>
      <c r="AL35" s="11">
        <f>IFERROR(INDEX(Country_Context!$D$2:$D$87,MATCH($C35,Country_Context!$A$2:$A$87,0)),"")</f>
        <v/>
      </c>
      <c r="AM35" s="11">
        <f>IFERROR(INDEX(Country_Context!$E$2:$E$87,MATCH($C35,Country_Context!$A$2:$A$87,0)),"")</f>
        <v/>
      </c>
      <c r="AN35" s="11">
        <f>IFERROR(INDEX(Country_Context!$F$2:$F$87,MATCH($C35,Country_Context!$A$2:$A$87,0)),"")</f>
        <v/>
      </c>
      <c r="AO35" s="11">
        <f>IFERROR(INDEX(Country_Context!$G$2:$G$87,MATCH($C35,Country_Context!$A$2:$A$87,0)),"")</f>
        <v/>
      </c>
      <c r="AP35" s="12" t="inlineStr">
        <is>
          <t>https://api.worldbank.org/v2/country/BGD/indicator/NY.GNP.PCAP.PP.CD?format=json&amp;mrv=10 | https://data.worldbank.org/indicator/NY.GNP.PCAP.PP.CD | https://ilostat.ilo.org/data/indicator/?id=HOW_TEMP_SEX_ECO_NB_A&amp;ref_area=BGD | +4 more</t>
        </is>
      </c>
      <c r="AQ35" s="12" t="inlineStr">
        <is>
          <t>Tier 3, Tier 4</t>
        </is>
      </c>
      <c r="AR35" s="12" t="inlineStr">
        <is>
          <t>2024-12-31</t>
        </is>
      </c>
      <c r="AS35" s="12" t="inlineStr">
        <is>
          <t>providers=world_bank_col_estimate, derived, ilo_ilostat, who_gho; fields=gross_income, rent, utilities, transit_cost; +9 additional fields</t>
        </is>
      </c>
      <c r="AT35" s="12" t="inlineStr">
        <is>
          <t>https://api.worldbank.org/v2/country/BGD/indicator/VC.IHR.PSRC.P5?format=json&amp;mrv=10 | https://api.worldbank.org/v2/country/BGD/indicator/SH.H2O.SMDW.ZS?format=json&amp;mrv=10 | https://api.worldbank.org/v2/country/BGD/indicator/IT.NET.BBND.P2?format=json&amp;mrv=10</t>
        </is>
      </c>
      <c r="AU35" s="12" t="inlineStr">
        <is>
          <t>Tier 3</t>
        </is>
      </c>
      <c r="AV35" s="12" t="inlineStr">
        <is>
          <t>2024-12-31</t>
        </is>
      </c>
      <c r="AW35" s="12" t="inlineStr">
        <is>
          <t>providers=world_bank; fields=personal_safety_raw, water_sanitation_utility_raw, digital_infrastructure_raw</t>
        </is>
      </c>
      <c r="AX35" s="12" t="inlineStr">
        <is>
          <t>https://www.who.int/data/gho/data/indicators/indicator-details/GHO/UHC_INDEX_REPORTED | https://api.worldbank.org/v2/country/BGD/indicator/SE.TER.ENRR?format=json&amp;mrv=10 | https://api.worldbank.org/v2/country/BGD/indicator/SI.POV.GINI?format=json&amp;mrv=10 | +1 more</t>
        </is>
      </c>
      <c r="AY35" s="12" t="inlineStr">
        <is>
          <t>Tier 3</t>
        </is>
      </c>
      <c r="AZ35" s="12" t="inlineStr">
        <is>
          <t>2024-12-31</t>
        </is>
      </c>
      <c r="BA35" s="12" t="inlineStr">
        <is>
          <t>providers=who_gho, world_bank; fields=healthcare_quality_raw, education_quality_raw, equal_opportunity_raw, gini_coefficient</t>
        </is>
      </c>
      <c r="BB35" s="12" t="inlineStr">
        <is>
          <t>https://api.worldbank.org/v2/country/BGD/indicator/SM.POP.NETM?format=json&amp;mrv=10 | https://api.worldbank.org/v2/country/BGD/indicator/SG.GEN.PARL.ZS?format=json&amp;mrv=10 | https://api.worldbank.org/v2/country/BGD/indicator/ST.INT.ARVL?format=json&amp;mrv=10 | +1 more</t>
        </is>
      </c>
      <c r="BC35" s="12" t="inlineStr">
        <is>
          <t>Tier 3</t>
        </is>
      </c>
      <c r="BD35" s="12" t="inlineStr">
        <is>
          <t>2025-12-31</t>
        </is>
      </c>
      <c r="BE35" s="12" t="inlineStr">
        <is>
          <t>providers=world_bank; fields=hospitality_belonging_raw, tolerance_pluralism_raw, cultural_public_life_raw, birth_rate_optimism_raw</t>
        </is>
      </c>
      <c r="BF35" s="12" t="inlineStr">
        <is>
          <t>https://api.worldbank.org/v2/country/BGD/indicator/IC.BUS.NDNS.ZS?format=json&amp;mrv=10 | https://api.worldbank.org/v2/country/BGD/indicator/IP.PAT.RESD?format=json&amp;mrv=10 | https://api.worldbank.org/v2/country/BGD/indicator/BX.KLT.DINV.WD.GD.ZS?format=json&amp;mrv=10 | +3 more</t>
        </is>
      </c>
      <c r="BG35" s="12" t="inlineStr">
        <is>
          <t>Tier 3</t>
        </is>
      </c>
      <c r="BH35" s="12" t="inlineStr">
        <is>
          <t>2024-12-31</t>
        </is>
      </c>
      <c r="BI35" s="12" t="inlineStr">
        <is>
          <t>providers=world_bank; fields=entrepreneurial_dynamism_raw, innovation_research_intensity_raw, investment_signal_raw, administrative_investment_friction_raw; +2 additional fields</t>
        </is>
      </c>
      <c r="BJ35" s="9" t="n">
        <v>1.95</v>
      </c>
    </row>
    <row r="36">
      <c r="A36" s="9" t="inlineStr">
        <is>
          <t>np-kathmandu</t>
        </is>
      </c>
      <c r="B36" s="9" t="inlineStr">
        <is>
          <t>Kathmandu</t>
        </is>
      </c>
      <c r="C36" s="9" t="inlineStr">
        <is>
          <t>Nepal</t>
        </is>
      </c>
      <c r="D36" s="9" t="inlineStr">
        <is>
          <t>South Asia</t>
        </is>
      </c>
      <c r="E36" s="9" t="inlineStr">
        <is>
          <t>secondary</t>
        </is>
      </c>
      <c r="F36" s="9" t="inlineStr">
        <is>
          <t>provisional</t>
        </is>
      </c>
      <c r="G36" s="10" t="n">
        <v>485.83</v>
      </c>
      <c r="H36" s="10" t="n">
        <v>72.87</v>
      </c>
      <c r="I36" s="10" t="n">
        <v>24.29</v>
      </c>
      <c r="J36" s="10" t="n">
        <v>14.57</v>
      </c>
      <c r="K36" s="10" t="n">
        <v>4.86</v>
      </c>
      <c r="L36" s="10" t="n">
        <v>121.46</v>
      </c>
      <c r="M36" s="11" t="inlineStr"/>
      <c r="N36" s="10" t="n">
        <v>14.9991</v>
      </c>
      <c r="O36" s="10" t="n">
        <v>91.9385</v>
      </c>
      <c r="P36" s="11">
        <f>IF($O36&lt;&gt;"",$O36,$AO36)</f>
        <v/>
      </c>
      <c r="Q36" s="10" t="inlineStr"/>
      <c r="R36" s="10" t="n">
        <v>10.14</v>
      </c>
      <c r="S36" s="10" t="n">
        <v>2.13</v>
      </c>
      <c r="T36" s="10" t="inlineStr"/>
      <c r="U36" s="10" t="inlineStr"/>
      <c r="V36" s="10" t="n">
        <v>16.49</v>
      </c>
      <c r="W36" s="10" t="n">
        <v>4.83</v>
      </c>
      <c r="X36" s="9" t="inlineStr"/>
      <c r="Y36" s="10" t="n">
        <v>58</v>
      </c>
      <c r="Z36" s="10" t="n">
        <v>21.29</v>
      </c>
      <c r="AA36" s="10" t="n">
        <v>30</v>
      </c>
      <c r="AB36" s="10" t="n">
        <v>37.7</v>
      </c>
      <c r="AC36" s="10" t="n">
        <v>33.09</v>
      </c>
      <c r="AD36" s="10" t="n">
        <v>7.76</v>
      </c>
      <c r="AE36" s="10" t="n">
        <v>1.38</v>
      </c>
      <c r="AF36" s="10" t="n">
        <v>2.12</v>
      </c>
      <c r="AG36" s="10" t="n">
        <v>0.13</v>
      </c>
      <c r="AH36" s="10" t="n">
        <v>3.16</v>
      </c>
      <c r="AI36" s="10" t="inlineStr"/>
      <c r="AJ36" s="11">
        <f>IFERROR(INDEX(Country_Context!$B$2:$B$87,MATCH($C36,Country_Context!$A$2:$A$87,0)),"")</f>
        <v/>
      </c>
      <c r="AK36" s="11">
        <f>IFERROR(INDEX(Country_Context!$C$2:$C$87,MATCH($C36,Country_Context!$A$2:$A$87,0)),"")</f>
        <v/>
      </c>
      <c r="AL36" s="11">
        <f>IFERROR(INDEX(Country_Context!$D$2:$D$87,MATCH($C36,Country_Context!$A$2:$A$87,0)),"")</f>
        <v/>
      </c>
      <c r="AM36" s="11">
        <f>IFERROR(INDEX(Country_Context!$E$2:$E$87,MATCH($C36,Country_Context!$A$2:$A$87,0)),"")</f>
        <v/>
      </c>
      <c r="AN36" s="11">
        <f>IFERROR(INDEX(Country_Context!$F$2:$F$87,MATCH($C36,Country_Context!$A$2:$A$87,0)),"")</f>
        <v/>
      </c>
      <c r="AO36" s="11">
        <f>IFERROR(INDEX(Country_Context!$G$2:$G$87,MATCH($C36,Country_Context!$A$2:$A$87,0)),"")</f>
        <v/>
      </c>
      <c r="AP36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36" s="12" t="inlineStr">
        <is>
          <t>Tier 3, Tier 4</t>
        </is>
      </c>
      <c r="AR36" s="12" t="inlineStr">
        <is>
          <t>2024-12-31</t>
        </is>
      </c>
      <c r="AS36" s="12" t="inlineStr">
        <is>
          <t>providers=world_bank_col_estimate, derived, who_gho, world_bank; fields=gross_income, rent, utilities, transit_cost; +8 additional fields</t>
        </is>
      </c>
      <c r="AT36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36" s="12" t="inlineStr">
        <is>
          <t>Tier 3</t>
        </is>
      </c>
      <c r="AV36" s="12" t="inlineStr">
        <is>
          <t>2024-12-31</t>
        </is>
      </c>
      <c r="AW36" s="12" t="inlineStr">
        <is>
          <t>providers=world_bank; fields=personal_safety_raw, water_sanitation_utility_raw, digital_infrastructure_raw</t>
        </is>
      </c>
      <c r="AX36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36" s="12" t="inlineStr">
        <is>
          <t>Tier 3</t>
        </is>
      </c>
      <c r="AZ36" s="12" t="inlineStr">
        <is>
          <t>2024-12-31</t>
        </is>
      </c>
      <c r="BA36" s="12" t="inlineStr">
        <is>
          <t>providers=who_gho, world_bank; fields=healthcare_quality_raw, education_quality_raw, equal_opportunity_raw, gini_coefficient</t>
        </is>
      </c>
      <c r="BB36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36" s="12" t="inlineStr">
        <is>
          <t>Tier 3</t>
        </is>
      </c>
      <c r="BD36" s="12" t="inlineStr">
        <is>
          <t>2025-12-31</t>
        </is>
      </c>
      <c r="BE36" s="12" t="inlineStr">
        <is>
          <t>providers=world_bank; fields=hospitality_belonging_raw, tolerance_pluralism_raw, cultural_public_life_raw</t>
        </is>
      </c>
      <c r="BF36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36" s="12" t="inlineStr">
        <is>
          <t>Tier 3</t>
        </is>
      </c>
      <c r="BH36" s="12" t="inlineStr">
        <is>
          <t>2024-12-31</t>
        </is>
      </c>
      <c r="BI36" s="12" t="inlineStr">
        <is>
          <t>providers=world_bank; fields=entrepreneurial_dynamism_raw, innovation_research_intensity_raw, investment_signal_raw, administrative_investment_friction_raw; +2 additional fields</t>
        </is>
      </c>
      <c r="BJ36" s="9" t="inlineStr"/>
    </row>
    <row r="37">
      <c r="A37" s="9" t="inlineStr">
        <is>
          <t>bt-thimphu</t>
        </is>
      </c>
      <c r="B37" s="9" t="inlineStr">
        <is>
          <t>Thimphu</t>
        </is>
      </c>
      <c r="C37" s="9" t="inlineStr">
        <is>
          <t>Bhutan</t>
        </is>
      </c>
      <c r="D37" s="9" t="inlineStr">
        <is>
          <t>South Asia</t>
        </is>
      </c>
      <c r="E37" s="9" t="inlineStr">
        <is>
          <t>secondary</t>
        </is>
      </c>
      <c r="F37" s="9" t="inlineStr">
        <is>
          <t>locked</t>
        </is>
      </c>
      <c r="G37" s="10" t="n">
        <v>1276.67</v>
      </c>
      <c r="H37" s="10" t="n">
        <v>191.5</v>
      </c>
      <c r="I37" s="10" t="n">
        <v>63.83</v>
      </c>
      <c r="J37" s="10" t="n">
        <v>38.3</v>
      </c>
      <c r="K37" s="10" t="n">
        <v>12.77</v>
      </c>
      <c r="L37" s="10" t="n">
        <v>319.17</v>
      </c>
      <c r="M37" s="11" t="inlineStr"/>
      <c r="N37" s="10" t="n">
        <v>15</v>
      </c>
      <c r="O37" s="10" t="n">
        <v>51.8935</v>
      </c>
      <c r="P37" s="11">
        <f>IF($O37&lt;&gt;"",$O37,$AO37)</f>
        <v/>
      </c>
      <c r="Q37" s="10" t="n">
        <v>54.42</v>
      </c>
      <c r="R37" s="10" t="n">
        <v>4.9</v>
      </c>
      <c r="S37" s="10" t="n">
        <v>2.47</v>
      </c>
      <c r="T37" s="10" t="inlineStr"/>
      <c r="U37" s="10" t="inlineStr"/>
      <c r="V37" s="10" t="n">
        <v>65.59</v>
      </c>
      <c r="W37" s="10" t="n">
        <v>1.32</v>
      </c>
      <c r="X37" s="9" t="inlineStr"/>
      <c r="Y37" s="10" t="n">
        <v>69</v>
      </c>
      <c r="Z37" s="10" t="n">
        <v>13.01</v>
      </c>
      <c r="AA37" s="10" t="n">
        <v>28.5</v>
      </c>
      <c r="AB37" s="10" t="n">
        <v>50.57</v>
      </c>
      <c r="AC37" s="10" t="n">
        <v>4.26</v>
      </c>
      <c r="AD37" s="10" t="n">
        <v>37.65</v>
      </c>
      <c r="AE37" s="10" t="n">
        <v>0.07000000000000001</v>
      </c>
      <c r="AF37" s="10" t="n">
        <v>10.11</v>
      </c>
      <c r="AG37" s="10" t="n">
        <v>0.34</v>
      </c>
      <c r="AH37" s="10" t="n">
        <v>2.9</v>
      </c>
      <c r="AI37" s="10" t="inlineStr"/>
      <c r="AJ37" s="11">
        <f>IFERROR(INDEX(Country_Context!$B$2:$B$87,MATCH($C37,Country_Context!$A$2:$A$87,0)),"")</f>
        <v/>
      </c>
      <c r="AK37" s="11">
        <f>IFERROR(INDEX(Country_Context!$C$2:$C$87,MATCH($C37,Country_Context!$A$2:$A$87,0)),"")</f>
        <v/>
      </c>
      <c r="AL37" s="11">
        <f>IFERROR(INDEX(Country_Context!$D$2:$D$87,MATCH($C37,Country_Context!$A$2:$A$87,0)),"")</f>
        <v/>
      </c>
      <c r="AM37" s="11">
        <f>IFERROR(INDEX(Country_Context!$E$2:$E$87,MATCH($C37,Country_Context!$A$2:$A$87,0)),"")</f>
        <v/>
      </c>
      <c r="AN37" s="11">
        <f>IFERROR(INDEX(Country_Context!$F$2:$F$87,MATCH($C37,Country_Context!$A$2:$A$87,0)),"")</f>
        <v/>
      </c>
      <c r="AO37" s="11">
        <f>IFERROR(INDEX(Country_Context!$G$2:$G$87,MATCH($C37,Country_Context!$A$2:$A$87,0)),"")</f>
        <v/>
      </c>
      <c r="AP37" s="12" t="inlineStr">
        <is>
          <t>https://api.worldbank.org/v2/country/BTN/indicator/NY.GNP.PCAP.PP.CD?format=json&amp;mrv=10 | https://data.worldbank.org/indicator/NY.GNP.PCAP.PP.CD | https://ilostat.ilo.org/data/indicator/?id=HOW_TEMP_SEX_ECO_NB_A&amp;ref_area=BTN | +4 more</t>
        </is>
      </c>
      <c r="AQ37" s="12" t="inlineStr">
        <is>
          <t>Tier 3, Tier 4</t>
        </is>
      </c>
      <c r="AR37" s="12" t="inlineStr">
        <is>
          <t>2024-12-31</t>
        </is>
      </c>
      <c r="AS37" s="12" t="inlineStr">
        <is>
          <t>providers=world_bank_col_estimate, derived, ilo_ilostat, who_gho; fields=gross_income, rent, utilities, transit_cost; +9 additional fields</t>
        </is>
      </c>
      <c r="AT37" s="12" t="inlineStr">
        <is>
          <t>https://api.worldbank.org/v2/country/BTN/indicator/VC.IHR.PSRC.P5?format=json&amp;mrv=10 | https://api.worldbank.org/v2/country/BTN/indicator/SH.H2O.SMDW.ZS?format=json&amp;mrv=10 | https://api.worldbank.org/v2/country/BTN/indicator/IT.NET.BBND.P2?format=json&amp;mrv=10</t>
        </is>
      </c>
      <c r="AU37" s="12" t="inlineStr">
        <is>
          <t>Tier 3</t>
        </is>
      </c>
      <c r="AV37" s="12" t="inlineStr">
        <is>
          <t>2024-12-31</t>
        </is>
      </c>
      <c r="AW37" s="12" t="inlineStr">
        <is>
          <t>providers=world_bank; fields=personal_safety_raw, water_sanitation_utility_raw, digital_infrastructure_raw</t>
        </is>
      </c>
      <c r="AX37" s="12" t="inlineStr">
        <is>
          <t>https://www.who.int/data/gho/data/indicators/indicator-details/GHO/UHC_INDEX_REPORTED | https://api.worldbank.org/v2/country/BTN/indicator/SE.TER.ENRR?format=json&amp;mrv=10 | https://api.worldbank.org/v2/country/BTN/indicator/SI.POV.GINI?format=json&amp;mrv=10 | +1 more</t>
        </is>
      </c>
      <c r="AY37" s="12" t="inlineStr">
        <is>
          <t>Tier 3</t>
        </is>
      </c>
      <c r="AZ37" s="12" t="inlineStr">
        <is>
          <t>2024-12-31</t>
        </is>
      </c>
      <c r="BA37" s="12" t="inlineStr">
        <is>
          <t>providers=who_gho, world_bank; fields=healthcare_quality_raw, education_quality_raw, equal_opportunity_raw, gini_coefficient</t>
        </is>
      </c>
      <c r="BB37" s="12" t="inlineStr">
        <is>
          <t>https://api.worldbank.org/v2/country/BTN/indicator/SM.POP.NETM?format=json&amp;mrv=10 | https://api.worldbank.org/v2/country/BTN/indicator/SG.GEN.PARL.ZS?format=json&amp;mrv=10 | https://api.worldbank.org/v2/country/BTN/indicator/ST.INT.ARVL?format=json&amp;mrv=10</t>
        </is>
      </c>
      <c r="BC37" s="12" t="inlineStr">
        <is>
          <t>Tier 3</t>
        </is>
      </c>
      <c r="BD37" s="12" t="inlineStr">
        <is>
          <t>2025-12-31</t>
        </is>
      </c>
      <c r="BE37" s="12" t="inlineStr">
        <is>
          <t>providers=world_bank; fields=hospitality_belonging_raw, tolerance_pluralism_raw, cultural_public_life_raw</t>
        </is>
      </c>
      <c r="BF37" s="12" t="inlineStr">
        <is>
          <t>https://api.worldbank.org/v2/country/BTN/indicator/IC.BUS.NDNS.ZS?format=json&amp;mrv=10 | https://api.worldbank.org/v2/country/BTN/indicator/IP.PAT.RESD?format=json&amp;mrv=10 | https://api.worldbank.org/v2/country/BTN/indicator/BX.KLT.DINV.WD.GD.ZS?format=json&amp;mrv=10 | +3 more</t>
        </is>
      </c>
      <c r="BG37" s="12" t="inlineStr">
        <is>
          <t>Tier 3</t>
        </is>
      </c>
      <c r="BH37" s="12" t="inlineStr">
        <is>
          <t>2023-12-31</t>
        </is>
      </c>
      <c r="BI37" s="12" t="inlineStr">
        <is>
          <t>providers=world_bank; fields=entrepreneurial_dynamism_raw, innovation_research_intensity_raw, investment_signal_raw, administrative_investment_friction_raw; +2 additional fields</t>
        </is>
      </c>
      <c r="BJ37" s="9" t="inlineStr"/>
    </row>
    <row r="38">
      <c r="A38" s="9" t="inlineStr">
        <is>
          <t>mv-male</t>
        </is>
      </c>
      <c r="B38" s="9" t="inlineStr">
        <is>
          <t>Male</t>
        </is>
      </c>
      <c r="C38" s="9" t="inlineStr">
        <is>
          <t>Maldives</t>
        </is>
      </c>
      <c r="D38" s="9" t="inlineStr">
        <is>
          <t>South Asia</t>
        </is>
      </c>
      <c r="E38" s="9" t="inlineStr">
        <is>
          <t>secondary</t>
        </is>
      </c>
      <c r="F38" s="9" t="inlineStr">
        <is>
          <t>locked</t>
        </is>
      </c>
      <c r="G38" s="10" t="n">
        <v>1950</v>
      </c>
      <c r="H38" s="10" t="n">
        <v>292.5</v>
      </c>
      <c r="I38" s="10" t="n">
        <v>97.5</v>
      </c>
      <c r="J38" s="10" t="n">
        <v>58.5</v>
      </c>
      <c r="K38" s="10" t="n">
        <v>19.5</v>
      </c>
      <c r="L38" s="10" t="n">
        <v>487.5</v>
      </c>
      <c r="M38" s="11" t="inlineStr"/>
      <c r="N38" s="10" t="n">
        <v>15</v>
      </c>
      <c r="O38" s="10" t="n">
        <v>31.5415</v>
      </c>
      <c r="P38" s="11">
        <f>IF($O38&lt;&gt;"",$O38,$AO38)</f>
        <v/>
      </c>
      <c r="Q38" s="10" t="n">
        <v>46.48</v>
      </c>
      <c r="R38" s="10" t="n">
        <v>1.47</v>
      </c>
      <c r="S38" s="10" t="n">
        <v>0.62</v>
      </c>
      <c r="T38" s="10" t="inlineStr"/>
      <c r="U38" s="10" t="inlineStr"/>
      <c r="V38" s="10" t="inlineStr"/>
      <c r="W38" s="10" t="n">
        <v>18.73</v>
      </c>
      <c r="X38" s="9" t="inlineStr"/>
      <c r="Y38" s="10" t="n">
        <v>71</v>
      </c>
      <c r="Z38" s="10" t="n">
        <v>48.5</v>
      </c>
      <c r="AA38" s="10" t="n">
        <v>29.3</v>
      </c>
      <c r="AB38" s="10" t="n">
        <v>45.67</v>
      </c>
      <c r="AC38" s="10" t="n">
        <v>3.23</v>
      </c>
      <c r="AD38" s="10" t="n">
        <v>1051.54</v>
      </c>
      <c r="AE38" s="10" t="n">
        <v>4.22</v>
      </c>
      <c r="AF38" s="10" t="inlineStr"/>
      <c r="AG38" s="10" t="n">
        <v>11.42</v>
      </c>
      <c r="AH38" s="10" t="n">
        <v>3.17</v>
      </c>
      <c r="AI38" s="10" t="inlineStr"/>
      <c r="AJ38" s="11">
        <f>IFERROR(INDEX(Country_Context!$B$2:$B$87,MATCH($C38,Country_Context!$A$2:$A$87,0)),"")</f>
        <v/>
      </c>
      <c r="AK38" s="11">
        <f>IFERROR(INDEX(Country_Context!$C$2:$C$87,MATCH($C38,Country_Context!$A$2:$A$87,0)),"")</f>
        <v/>
      </c>
      <c r="AL38" s="11">
        <f>IFERROR(INDEX(Country_Context!$D$2:$D$87,MATCH($C38,Country_Context!$A$2:$A$87,0)),"")</f>
        <v/>
      </c>
      <c r="AM38" s="11">
        <f>IFERROR(INDEX(Country_Context!$E$2:$E$87,MATCH($C38,Country_Context!$A$2:$A$87,0)),"")</f>
        <v/>
      </c>
      <c r="AN38" s="11">
        <f>IFERROR(INDEX(Country_Context!$F$2:$F$87,MATCH($C38,Country_Context!$A$2:$A$87,0)),"")</f>
        <v/>
      </c>
      <c r="AO38" s="11">
        <f>IFERROR(INDEX(Country_Context!$G$2:$G$87,MATCH($C38,Country_Context!$A$2:$A$87,0)),"")</f>
        <v/>
      </c>
      <c r="AP38" s="12" t="inlineStr">
        <is>
          <t>https://api.worldbank.org/v2/country/MDV/indicator/NY.GNP.PCAP.PP.CD?format=json&amp;mrv=10 | https://data.worldbank.org/indicator/NY.GNP.PCAP.PP.CD | https://ilostat.ilo.org/data/indicator/?id=HOW_TEMP_SEX_ECO_NB_A&amp;ref_area=MDV | +4 more</t>
        </is>
      </c>
      <c r="AQ38" s="12" t="inlineStr">
        <is>
          <t>Tier 3, Tier 4</t>
        </is>
      </c>
      <c r="AR38" s="12" t="inlineStr">
        <is>
          <t>2024-12-31</t>
        </is>
      </c>
      <c r="AS38" s="12" t="inlineStr">
        <is>
          <t>providers=world_bank_col_estimate, derived, ilo_ilostat, who_gho; fields=gross_income, rent, utilities, transit_cost; +9 additional fields</t>
        </is>
      </c>
      <c r="AT38" s="12" t="inlineStr">
        <is>
          <t>https://api.worldbank.org/v2/country/MDV/indicator/VC.IHR.PSRC.P5?format=json&amp;mrv=10 | https://api.worldbank.org/v2/country/MDV/indicator/IT.NET.BBND.P2?format=json&amp;mrv=10</t>
        </is>
      </c>
      <c r="AU38" s="12" t="inlineStr">
        <is>
          <t>Tier 3</t>
        </is>
      </c>
      <c r="AV38" s="12" t="inlineStr">
        <is>
          <t>2023-12-31</t>
        </is>
      </c>
      <c r="AW38" s="12" t="inlineStr">
        <is>
          <t>providers=world_bank; fields=personal_safety_raw, digital_infrastructure_raw</t>
        </is>
      </c>
      <c r="AX38" s="12" t="inlineStr">
        <is>
          <t>https://www.who.int/data/gho/data/indicators/indicator-details/GHO/UHC_INDEX_REPORTED | https://api.worldbank.org/v2/country/MDV/indicator/SE.TER.ENRR?format=json&amp;mrv=10 | https://api.worldbank.org/v2/country/MDV/indicator/SI.POV.GINI?format=json&amp;mrv=10 | +1 more</t>
        </is>
      </c>
      <c r="AY38" s="12" t="inlineStr">
        <is>
          <t>Tier 3</t>
        </is>
      </c>
      <c r="AZ38" s="12" t="inlineStr">
        <is>
          <t>2023-12-31</t>
        </is>
      </c>
      <c r="BA38" s="12" t="inlineStr">
        <is>
          <t>providers=who_gho, world_bank; fields=healthcare_quality_raw, education_quality_raw, equal_opportunity_raw, gini_coefficient</t>
        </is>
      </c>
      <c r="BB38" s="12" t="inlineStr">
        <is>
          <t>https://api.worldbank.org/v2/country/MDV/indicator/SM.POP.NETM?format=json&amp;mrv=10 | https://api.worldbank.org/v2/country/MDV/indicator/SG.GEN.PARL.ZS?format=json&amp;mrv=10 | https://api.worldbank.org/v2/country/MDV/indicator/ST.INT.ARVL?format=json&amp;mrv=10</t>
        </is>
      </c>
      <c r="BC38" s="12" t="inlineStr">
        <is>
          <t>Tier 3</t>
        </is>
      </c>
      <c r="BD38" s="12" t="inlineStr">
        <is>
          <t>2025-12-31</t>
        </is>
      </c>
      <c r="BE38" s="12" t="inlineStr">
        <is>
          <t>providers=world_bank; fields=hospitality_belonging_raw, tolerance_pluralism_raw, cultural_public_life_raw</t>
        </is>
      </c>
      <c r="BF38" s="12" t="inlineStr">
        <is>
          <t>https://api.worldbank.org/v2/country/MDV/indicator/IC.BUS.NDNS.ZS?format=json&amp;mrv=10 | https://api.worldbank.org/v2/country/MDV/indicator/BX.KLT.DINV.WD.GD.ZS?format=json&amp;mrv=10 | https://api.worldbank.org/v2/country/MDV/indicator/RQ.EST?format=json&amp;mrv=10 | +2 more</t>
        </is>
      </c>
      <c r="BG38" s="12" t="inlineStr">
        <is>
          <t>Tier 3</t>
        </is>
      </c>
      <c r="BH38" s="12" t="inlineStr">
        <is>
          <t>2024-12-31</t>
        </is>
      </c>
      <c r="BI38" s="12" t="inlineStr">
        <is>
          <t>providers=world_bank; fields=entrepreneurial_dynamism_raw, investment_signal_raw, administrative_investment_friction_raw, gdp_per_capita_ppp; +1 additional fields</t>
        </is>
      </c>
      <c r="BJ38" s="9" t="inlineStr"/>
    </row>
    <row r="39">
      <c r="A39" s="9" t="inlineStr">
        <is>
          <t>fr-paris</t>
        </is>
      </c>
      <c r="B39" s="9" t="inlineStr">
        <is>
          <t>Paris</t>
        </is>
      </c>
      <c r="C39" s="9" t="inlineStr">
        <is>
          <t>France</t>
        </is>
      </c>
      <c r="D39" s="9" t="inlineStr">
        <is>
          <t>Western, Northern, and Southern Europe</t>
        </is>
      </c>
      <c r="E39" s="9" t="inlineStr">
        <is>
          <t>primary</t>
        </is>
      </c>
      <c r="F39" s="9" t="inlineStr">
        <is>
          <t>locked</t>
        </is>
      </c>
      <c r="G39" s="10" t="n">
        <v>6121.83</v>
      </c>
      <c r="H39" s="10" t="n">
        <v>2785.43</v>
      </c>
      <c r="I39" s="10" t="n">
        <v>557.09</v>
      </c>
      <c r="J39" s="10" t="n">
        <v>397.92</v>
      </c>
      <c r="K39" s="10" t="n">
        <v>119.38</v>
      </c>
      <c r="L39" s="10" t="n">
        <v>1193.76</v>
      </c>
      <c r="M39" s="11" t="inlineStr"/>
      <c r="N39" s="10" t="n">
        <v>45.5</v>
      </c>
      <c r="O39" s="10" t="n">
        <v>103.9081</v>
      </c>
      <c r="P39" s="11">
        <f>IF($O39&lt;&gt;"",$O39,$AO39)</f>
        <v/>
      </c>
      <c r="Q39" s="10" t="n">
        <v>35.49</v>
      </c>
      <c r="R39" s="10" t="n">
        <v>16.58</v>
      </c>
      <c r="S39" s="10" t="n">
        <v>1.34</v>
      </c>
      <c r="T39" s="10" t="inlineStr"/>
      <c r="U39" s="10" t="inlineStr"/>
      <c r="V39" s="10" t="n">
        <v>99.70999999999999</v>
      </c>
      <c r="W39" s="10" t="n">
        <v>48.67</v>
      </c>
      <c r="X39" s="9" t="n">
        <v>50</v>
      </c>
      <c r="Y39" s="10" t="n">
        <v>82</v>
      </c>
      <c r="Z39" s="10" t="n">
        <v>70.45</v>
      </c>
      <c r="AA39" s="10" t="n">
        <v>31.8</v>
      </c>
      <c r="AB39" s="10" t="n">
        <v>51.34</v>
      </c>
      <c r="AC39" s="10" t="n">
        <v>36.05</v>
      </c>
      <c r="AD39" s="10" t="n">
        <v>1708.33</v>
      </c>
      <c r="AE39" s="10" t="n">
        <v>6.71</v>
      </c>
      <c r="AF39" s="10" t="n">
        <v>2.23</v>
      </c>
      <c r="AG39" s="10" t="n">
        <v>1.65</v>
      </c>
      <c r="AH39" s="10" t="n">
        <v>1.35</v>
      </c>
      <c r="AI39" s="10" t="inlineStr"/>
      <c r="AJ39" s="11">
        <f>IFERROR(INDEX(Country_Context!$B$2:$B$87,MATCH($C39,Country_Context!$A$2:$A$87,0)),"")</f>
        <v/>
      </c>
      <c r="AK39" s="11">
        <f>IFERROR(INDEX(Country_Context!$C$2:$C$87,MATCH($C39,Country_Context!$A$2:$A$87,0)),"")</f>
        <v/>
      </c>
      <c r="AL39" s="11">
        <f>IFERROR(INDEX(Country_Context!$D$2:$D$87,MATCH($C39,Country_Context!$A$2:$A$87,0)),"")</f>
        <v/>
      </c>
      <c r="AM39" s="11">
        <f>IFERROR(INDEX(Country_Context!$E$2:$E$87,MATCH($C39,Country_Context!$A$2:$A$87,0)),"")</f>
        <v/>
      </c>
      <c r="AN39" s="11">
        <f>IFERROR(INDEX(Country_Context!$F$2:$F$87,MATCH($C39,Country_Context!$A$2:$A$87,0)),"")</f>
        <v/>
      </c>
      <c r="AO39" s="11">
        <f>IFERROR(INDEX(Country_Context!$G$2:$G$87,MATCH($C39,Country_Context!$A$2:$A$87,0)),"")</f>
        <v/>
      </c>
      <c r="AP3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39" s="12" t="inlineStr">
        <is>
          <t>Tier 3, Tier 4</t>
        </is>
      </c>
      <c r="AR39" s="12" t="inlineStr">
        <is>
          <t>2024-12-31</t>
        </is>
      </c>
      <c r="AS39" s="12" t="inlineStr">
        <is>
          <t>providers=world_bank_col_estimate, derived, ilo_ilostat, who_gho; fields=gross_income, rent, utilities, transit_cost; +9 additional fields</t>
        </is>
      </c>
      <c r="AT3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39" s="12" t="inlineStr">
        <is>
          <t>Tier 3</t>
        </is>
      </c>
      <c r="AV39" s="12" t="inlineStr">
        <is>
          <t>2024-12-31</t>
        </is>
      </c>
      <c r="AW39" s="12" t="inlineStr">
        <is>
          <t>providers=world_bank, wmo_natl_met; fields=personal_safety_raw, water_sanitation_utility_raw, digital_infrastructure_raw, climate_sunlight_livability_raw</t>
        </is>
      </c>
      <c r="AX3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39" s="12" t="inlineStr">
        <is>
          <t>Tier 3</t>
        </is>
      </c>
      <c r="AZ39" s="12" t="inlineStr">
        <is>
          <t>2023-12-31</t>
        </is>
      </c>
      <c r="BA39" s="12" t="inlineStr">
        <is>
          <t>providers=who_gho, world_bank; fields=healthcare_quality_raw, education_quality_raw, equal_opportunity_raw, gini_coefficient</t>
        </is>
      </c>
      <c r="BB3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39" s="12" t="inlineStr">
        <is>
          <t>Tier 3</t>
        </is>
      </c>
      <c r="BD39" s="12" t="inlineStr">
        <is>
          <t>2025-12-31</t>
        </is>
      </c>
      <c r="BE39" s="12" t="inlineStr">
        <is>
          <t>providers=world_bank; fields=hospitality_belonging_raw, tolerance_pluralism_raw, cultural_public_life_raw, birth_rate_optimism_raw</t>
        </is>
      </c>
      <c r="BF3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39" s="12" t="inlineStr">
        <is>
          <t>Tier 3</t>
        </is>
      </c>
      <c r="BH39" s="12" t="inlineStr">
        <is>
          <t>2024-12-31</t>
        </is>
      </c>
      <c r="BI39" s="12" t="inlineStr">
        <is>
          <t>providers=world_bank; fields=entrepreneurial_dynamism_raw, innovation_research_intensity_raw, investment_signal_raw, administrative_investment_friction_raw; +2 additional fields</t>
        </is>
      </c>
      <c r="BJ39" s="9" t="n">
        <v>1.68</v>
      </c>
    </row>
    <row r="40">
      <c r="A40" s="9" t="inlineStr">
        <is>
          <t>at-vienna</t>
        </is>
      </c>
      <c r="B40" s="9" t="inlineStr">
        <is>
          <t>Vienna</t>
        </is>
      </c>
      <c r="C40" s="9" t="inlineStr">
        <is>
          <t>Austria</t>
        </is>
      </c>
      <c r="D40" s="9" t="inlineStr">
        <is>
          <t>Western, Northern, and Southern Europe</t>
        </is>
      </c>
      <c r="E40" s="9" t="inlineStr">
        <is>
          <t>primary</t>
        </is>
      </c>
      <c r="F40" s="9" t="inlineStr">
        <is>
          <t>locked</t>
        </is>
      </c>
      <c r="G40" s="10" t="n">
        <v>6180</v>
      </c>
      <c r="H40" s="10" t="n">
        <v>2163</v>
      </c>
      <c r="I40" s="10" t="n">
        <v>432.6</v>
      </c>
      <c r="J40" s="10" t="n">
        <v>309</v>
      </c>
      <c r="K40" s="10" t="n">
        <v>92.7</v>
      </c>
      <c r="L40" s="10" t="n">
        <v>927</v>
      </c>
      <c r="M40" s="11" t="inlineStr"/>
      <c r="N40" s="10" t="n">
        <v>35</v>
      </c>
      <c r="O40" s="10" t="n">
        <v>81.4953</v>
      </c>
      <c r="P40" s="11">
        <f>IF($O40&lt;&gt;"",$O40,$AO40)</f>
        <v/>
      </c>
      <c r="Q40" s="10" t="n">
        <v>33.41</v>
      </c>
      <c r="R40" s="10" t="n">
        <v>14.51</v>
      </c>
      <c r="S40" s="10" t="n">
        <v>0.88</v>
      </c>
      <c r="T40" s="10" t="inlineStr"/>
      <c r="U40" s="10" t="inlineStr"/>
      <c r="V40" s="10" t="n">
        <v>98.89</v>
      </c>
      <c r="W40" s="10" t="n">
        <v>29.37</v>
      </c>
      <c r="X40" s="9" t="n">
        <v>52</v>
      </c>
      <c r="Y40" s="10" t="n">
        <v>84</v>
      </c>
      <c r="Z40" s="10" t="n">
        <v>91.68000000000001</v>
      </c>
      <c r="AA40" s="10" t="n">
        <v>31.2</v>
      </c>
      <c r="AB40" s="10" t="n">
        <v>51.23</v>
      </c>
      <c r="AC40" s="10" t="n">
        <v>36.07</v>
      </c>
      <c r="AD40" s="10" t="n">
        <v>1644.26</v>
      </c>
      <c r="AE40" s="10" t="n">
        <v>0.95</v>
      </c>
      <c r="AF40" s="10" t="n">
        <v>3.2</v>
      </c>
      <c r="AG40" s="10" t="n">
        <v>2.55</v>
      </c>
      <c r="AH40" s="10" t="n">
        <v>1.14</v>
      </c>
      <c r="AI40" s="10" t="inlineStr"/>
      <c r="AJ40" s="11">
        <f>IFERROR(INDEX(Country_Context!$B$2:$B$87,MATCH($C40,Country_Context!$A$2:$A$87,0)),"")</f>
        <v/>
      </c>
      <c r="AK40" s="11">
        <f>IFERROR(INDEX(Country_Context!$C$2:$C$87,MATCH($C40,Country_Context!$A$2:$A$87,0)),"")</f>
        <v/>
      </c>
      <c r="AL40" s="11">
        <f>IFERROR(INDEX(Country_Context!$D$2:$D$87,MATCH($C40,Country_Context!$A$2:$A$87,0)),"")</f>
        <v/>
      </c>
      <c r="AM40" s="11">
        <f>IFERROR(INDEX(Country_Context!$E$2:$E$87,MATCH($C40,Country_Context!$A$2:$A$87,0)),"")</f>
        <v/>
      </c>
      <c r="AN40" s="11">
        <f>IFERROR(INDEX(Country_Context!$F$2:$F$87,MATCH($C40,Country_Context!$A$2:$A$87,0)),"")</f>
        <v/>
      </c>
      <c r="AO40" s="11">
        <f>IFERROR(INDEX(Country_Context!$G$2:$G$87,MATCH($C40,Country_Context!$A$2:$A$87,0)),"")</f>
        <v/>
      </c>
      <c r="AP40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0" s="12" t="inlineStr">
        <is>
          <t>Tier 3, Tier 4</t>
        </is>
      </c>
      <c r="AR40" s="12" t="inlineStr">
        <is>
          <t>2024-12-31</t>
        </is>
      </c>
      <c r="AS40" s="12" t="inlineStr">
        <is>
          <t>providers=world_bank_col_estimate, derived, ilo_ilostat, who_gho; fields=gross_income, rent, utilities, transit_cost; +9 additional fields</t>
        </is>
      </c>
      <c r="AT40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0" s="12" t="inlineStr">
        <is>
          <t>Tier 3</t>
        </is>
      </c>
      <c r="AV40" s="12" t="inlineStr">
        <is>
          <t>2024-12-31</t>
        </is>
      </c>
      <c r="AW40" s="12" t="inlineStr">
        <is>
          <t>providers=world_bank, wmo_natl_met; fields=personal_safety_raw, water_sanitation_utility_raw, digital_infrastructure_raw, climate_sunlight_livability_raw</t>
        </is>
      </c>
      <c r="AX40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0" s="12" t="inlineStr">
        <is>
          <t>Tier 3</t>
        </is>
      </c>
      <c r="AZ40" s="12" t="inlineStr">
        <is>
          <t>2023-12-31</t>
        </is>
      </c>
      <c r="BA40" s="12" t="inlineStr">
        <is>
          <t>providers=who_gho, world_bank; fields=healthcare_quality_raw, education_quality_raw, equal_opportunity_raw, gini_coefficient</t>
        </is>
      </c>
      <c r="BB40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0" s="12" t="inlineStr">
        <is>
          <t>Tier 3</t>
        </is>
      </c>
      <c r="BD40" s="12" t="inlineStr">
        <is>
          <t>2025-12-31</t>
        </is>
      </c>
      <c r="BE40" s="12" t="inlineStr">
        <is>
          <t>providers=world_bank; fields=hospitality_belonging_raw, tolerance_pluralism_raw, cultural_public_life_raw, birth_rate_optimism_raw</t>
        </is>
      </c>
      <c r="BF40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0" s="12" t="inlineStr">
        <is>
          <t>Tier 3</t>
        </is>
      </c>
      <c r="BH40" s="12" t="inlineStr">
        <is>
          <t>2024-12-31</t>
        </is>
      </c>
      <c r="BI40" s="12" t="inlineStr">
        <is>
          <t>providers=world_bank; fields=entrepreneurial_dynamism_raw, innovation_research_intensity_raw, investment_signal_raw, administrative_investment_friction_raw; +2 additional fields</t>
        </is>
      </c>
      <c r="BJ40" s="9" t="n">
        <v>1.41</v>
      </c>
    </row>
    <row r="41">
      <c r="A41" s="9" t="inlineStr">
        <is>
          <t>ch-zurich</t>
        </is>
      </c>
      <c r="B41" s="9" t="inlineStr">
        <is>
          <t>Zurich</t>
        </is>
      </c>
      <c r="C41" s="9" t="inlineStr">
        <is>
          <t>Switzerland</t>
        </is>
      </c>
      <c r="D41" s="9" t="inlineStr">
        <is>
          <t>Western, Northern, and Southern Europe</t>
        </is>
      </c>
      <c r="E41" s="9" t="inlineStr">
        <is>
          <t>primary</t>
        </is>
      </c>
      <c r="F41" s="9" t="inlineStr">
        <is>
          <t>locked</t>
        </is>
      </c>
      <c r="G41" s="10" t="n">
        <v>9342</v>
      </c>
      <c r="H41" s="10" t="n">
        <v>4087.12</v>
      </c>
      <c r="I41" s="10" t="n">
        <v>817.4299999999999</v>
      </c>
      <c r="J41" s="10" t="n">
        <v>583.88</v>
      </c>
      <c r="K41" s="10" t="n">
        <v>175.16</v>
      </c>
      <c r="L41" s="10" t="n">
        <v>1751.62</v>
      </c>
      <c r="M41" s="11" t="inlineStr"/>
      <c r="N41" s="10" t="n">
        <v>43.7499</v>
      </c>
      <c r="O41" s="10" t="n">
        <v>170.3782</v>
      </c>
      <c r="P41" s="11">
        <f>IF($O41&lt;&gt;"",$O41,$AO41)</f>
        <v/>
      </c>
      <c r="Q41" s="10" t="n">
        <v>35.21</v>
      </c>
      <c r="R41" s="10" t="n">
        <v>14.02</v>
      </c>
      <c r="S41" s="10" t="n">
        <v>0.6</v>
      </c>
      <c r="T41" s="10" t="inlineStr"/>
      <c r="U41" s="10" t="inlineStr"/>
      <c r="V41" s="10" t="n">
        <v>96.7</v>
      </c>
      <c r="W41" s="10" t="n">
        <v>47.7</v>
      </c>
      <c r="X41" s="9" t="n">
        <v>50</v>
      </c>
      <c r="Y41" s="10" t="n">
        <v>87</v>
      </c>
      <c r="Z41" s="10" t="n">
        <v>74.01000000000001</v>
      </c>
      <c r="AA41" s="10" t="n">
        <v>33.8</v>
      </c>
      <c r="AB41" s="10" t="n">
        <v>54.14</v>
      </c>
      <c r="AC41" s="10" t="n">
        <v>38.5</v>
      </c>
      <c r="AD41" s="10" t="n">
        <v>1312.3</v>
      </c>
      <c r="AE41" s="10" t="n">
        <v>4.63</v>
      </c>
      <c r="AF41" s="10" t="n">
        <v>3.31</v>
      </c>
      <c r="AG41" s="10" t="n">
        <v>-11.57</v>
      </c>
      <c r="AH41" s="10" t="n">
        <v>0.77</v>
      </c>
      <c r="AI41" s="10" t="inlineStr"/>
      <c r="AJ41" s="11">
        <f>IFERROR(INDEX(Country_Context!$B$2:$B$87,MATCH($C41,Country_Context!$A$2:$A$87,0)),"")</f>
        <v/>
      </c>
      <c r="AK41" s="11">
        <f>IFERROR(INDEX(Country_Context!$C$2:$C$87,MATCH($C41,Country_Context!$A$2:$A$87,0)),"")</f>
        <v/>
      </c>
      <c r="AL41" s="11">
        <f>IFERROR(INDEX(Country_Context!$D$2:$D$87,MATCH($C41,Country_Context!$A$2:$A$87,0)),"")</f>
        <v/>
      </c>
      <c r="AM41" s="11">
        <f>IFERROR(INDEX(Country_Context!$E$2:$E$87,MATCH($C41,Country_Context!$A$2:$A$87,0)),"")</f>
        <v/>
      </c>
      <c r="AN41" s="11">
        <f>IFERROR(INDEX(Country_Context!$F$2:$F$87,MATCH($C41,Country_Context!$A$2:$A$87,0)),"")</f>
        <v/>
      </c>
      <c r="AO41" s="11">
        <f>IFERROR(INDEX(Country_Context!$G$2:$G$87,MATCH($C41,Country_Context!$A$2:$A$87,0)),"")</f>
        <v/>
      </c>
      <c r="AP41" s="12" t="inlineStr">
        <is>
          <t>https://api.worldbank.org/v2/country/CHE/indicator/NY.GNP.PCAP.PP.CD?format=json&amp;mrv=10 | https://data.worldbank.org/indicator/NY.GNP.PCAP.PP.CD | https://ilostat.ilo.org/data/indicator/?id=HOW_TEMP_SEX_ECO_NB_A&amp;ref_area=CHE | +4 more</t>
        </is>
      </c>
      <c r="AQ41" s="12" t="inlineStr">
        <is>
          <t>Tier 3, Tier 4</t>
        </is>
      </c>
      <c r="AR41" s="12" t="inlineStr">
        <is>
          <t>2024-12-31</t>
        </is>
      </c>
      <c r="AS41" s="12" t="inlineStr">
        <is>
          <t>providers=world_bank_col_estimate, derived, ilo_ilostat, who_gho; fields=gross_income, rent, utilities, transit_cost; +9 additional fields</t>
        </is>
      </c>
      <c r="AT41" s="12" t="inlineStr">
        <is>
          <t>https://api.worldbank.org/v2/country/CHE/indicator/VC.IHR.PSRC.P5?format=json&amp;mrv=10 | https://api.worldbank.org/v2/country/CHE/indicator/SH.H2O.SMDW.ZS?format=json&amp;mrv=10 | https://api.worldbank.org/v2/country/CHE/indicator/IT.NET.BBND.P2?format=json&amp;mrv=10 | +1 more</t>
        </is>
      </c>
      <c r="AU41" s="12" t="inlineStr">
        <is>
          <t>Tier 3</t>
        </is>
      </c>
      <c r="AV41" s="12" t="inlineStr">
        <is>
          <t>2024-12-31</t>
        </is>
      </c>
      <c r="AW41" s="12" t="inlineStr">
        <is>
          <t>providers=world_bank, wmo_natl_met; fields=personal_safety_raw, water_sanitation_utility_raw, digital_infrastructure_raw, climate_sunlight_livability_raw</t>
        </is>
      </c>
      <c r="AX41" s="12" t="inlineStr">
        <is>
          <t>https://www.who.int/data/gho/data/indicators/indicator-details/GHO/UHC_INDEX_REPORTED | https://api.worldbank.org/v2/country/CHE/indicator/SE.TER.ENRR?format=json&amp;mrv=10 | https://api.worldbank.org/v2/country/CHE/indicator/SI.POV.GINI?format=json&amp;mrv=10 | +1 more</t>
        </is>
      </c>
      <c r="AY41" s="12" t="inlineStr">
        <is>
          <t>Tier 3</t>
        </is>
      </c>
      <c r="AZ41" s="12" t="inlineStr">
        <is>
          <t>2023-12-31</t>
        </is>
      </c>
      <c r="BA41" s="12" t="inlineStr">
        <is>
          <t>providers=who_gho, world_bank; fields=healthcare_quality_raw, education_quality_raw, equal_opportunity_raw, gini_coefficient</t>
        </is>
      </c>
      <c r="BB41" s="12" t="inlineStr">
        <is>
          <t>https://api.worldbank.org/v2/country/CHE/indicator/SM.POP.NETM?format=json&amp;mrv=10 | https://api.worldbank.org/v2/country/CHE/indicator/SG.GEN.PARL.ZS?format=json&amp;mrv=10 | https://api.worldbank.org/v2/country/CHE/indicator/ST.INT.ARVL?format=json&amp;mrv=10 | +1 more</t>
        </is>
      </c>
      <c r="BC41" s="12" t="inlineStr">
        <is>
          <t>Tier 3</t>
        </is>
      </c>
      <c r="BD41" s="12" t="inlineStr">
        <is>
          <t>2025-12-31</t>
        </is>
      </c>
      <c r="BE41" s="12" t="inlineStr">
        <is>
          <t>providers=world_bank; fields=hospitality_belonging_raw, tolerance_pluralism_raw, cultural_public_life_raw, birth_rate_optimism_raw</t>
        </is>
      </c>
      <c r="BF41" s="12" t="inlineStr">
        <is>
          <t>https://api.worldbank.org/v2/country/CHE/indicator/IC.BUS.NDNS.ZS?format=json&amp;mrv=10 | https://api.worldbank.org/v2/country/CHE/indicator/GB.XPD.RSDV.GD.ZS?format=json&amp;mrv=10 | https://api.worldbank.org/v2/country/CHE/indicator/BX.KLT.DINV.WD.GD.ZS?format=json&amp;mrv=10 | +3 more</t>
        </is>
      </c>
      <c r="BG41" s="12" t="inlineStr">
        <is>
          <t>Tier 3</t>
        </is>
      </c>
      <c r="BH41" s="12" t="inlineStr">
        <is>
          <t>2024-12-31</t>
        </is>
      </c>
      <c r="BI41" s="12" t="inlineStr">
        <is>
          <t>providers=world_bank; fields=entrepreneurial_dynamism_raw, innovation_research_intensity_raw, investment_signal_raw, administrative_investment_friction_raw; +2 additional fields</t>
        </is>
      </c>
      <c r="BJ41" s="9" t="n">
        <v>1.46</v>
      </c>
    </row>
    <row r="42">
      <c r="A42" s="9" t="inlineStr">
        <is>
          <t>nl-amsterdam</t>
        </is>
      </c>
      <c r="B42" s="9" t="inlineStr">
        <is>
          <t>Amsterdam</t>
        </is>
      </c>
      <c r="C42" s="9" t="inlineStr">
        <is>
          <t>Netherlands</t>
        </is>
      </c>
      <c r="D42" s="9" t="inlineStr">
        <is>
          <t>Western, Northern, and Southern Europe</t>
        </is>
      </c>
      <c r="E42" s="9" t="inlineStr">
        <is>
          <t>primary</t>
        </is>
      </c>
      <c r="F42" s="9" t="inlineStr">
        <is>
          <t>provisional</t>
        </is>
      </c>
      <c r="G42" s="10" t="n">
        <v>7788.92</v>
      </c>
      <c r="H42" s="10" t="n">
        <v>3271.35</v>
      </c>
      <c r="I42" s="10" t="n">
        <v>654.27</v>
      </c>
      <c r="J42" s="10" t="n">
        <v>467.34</v>
      </c>
      <c r="K42" s="10" t="n">
        <v>140.2</v>
      </c>
      <c r="L42" s="10" t="n">
        <v>1402.01</v>
      </c>
      <c r="M42" s="11" t="inlineStr"/>
      <c r="N42" s="10" t="n">
        <v>42</v>
      </c>
      <c r="O42" s="10" t="n">
        <v>82.3297</v>
      </c>
      <c r="P42" s="11">
        <f>IF($O42&lt;&gt;"",$O42,$AO42)</f>
        <v/>
      </c>
      <c r="Q42" s="10" t="n">
        <v>30.24</v>
      </c>
      <c r="R42" s="10" t="n">
        <v>11.5</v>
      </c>
      <c r="S42" s="10" t="n">
        <v>0.6899999999999999</v>
      </c>
      <c r="T42" s="10" t="inlineStr"/>
      <c r="U42" s="10" t="inlineStr"/>
      <c r="V42" s="10" t="n">
        <v>99.95999999999999</v>
      </c>
      <c r="W42" s="10" t="n">
        <v>43.26</v>
      </c>
      <c r="X42" s="9" t="n">
        <v>46</v>
      </c>
      <c r="Y42" s="10" t="n">
        <v>85</v>
      </c>
      <c r="Z42" s="10" t="n">
        <v>86.59</v>
      </c>
      <c r="AA42" s="10" t="n">
        <v>25.7</v>
      </c>
      <c r="AB42" s="10" t="n">
        <v>55.82</v>
      </c>
      <c r="AC42" s="10" t="n">
        <v>38.67</v>
      </c>
      <c r="AD42" s="10" t="n">
        <v>403.76</v>
      </c>
      <c r="AE42" s="10" t="n">
        <v>3.43</v>
      </c>
      <c r="AF42" s="10" t="n">
        <v>2.26</v>
      </c>
      <c r="AG42" s="10" t="n">
        <v>-1.4</v>
      </c>
      <c r="AH42" s="10" t="n">
        <v>0.71</v>
      </c>
      <c r="AI42" s="10" t="inlineStr"/>
      <c r="AJ42" s="11">
        <f>IFERROR(INDEX(Country_Context!$B$2:$B$87,MATCH($C42,Country_Context!$A$2:$A$87,0)),"")</f>
        <v/>
      </c>
      <c r="AK42" s="11">
        <f>IFERROR(INDEX(Country_Context!$C$2:$C$87,MATCH($C42,Country_Context!$A$2:$A$87,0)),"")</f>
        <v/>
      </c>
      <c r="AL42" s="11">
        <f>IFERROR(INDEX(Country_Context!$D$2:$D$87,MATCH($C42,Country_Context!$A$2:$A$87,0)),"")</f>
        <v/>
      </c>
      <c r="AM42" s="11">
        <f>IFERROR(INDEX(Country_Context!$E$2:$E$87,MATCH($C42,Country_Context!$A$2:$A$87,0)),"")</f>
        <v/>
      </c>
      <c r="AN42" s="11">
        <f>IFERROR(INDEX(Country_Context!$F$2:$F$87,MATCH($C42,Country_Context!$A$2:$A$87,0)),"")</f>
        <v/>
      </c>
      <c r="AO42" s="11">
        <f>IFERROR(INDEX(Country_Context!$G$2:$G$87,MATCH($C42,Country_Context!$A$2:$A$87,0)),"")</f>
        <v/>
      </c>
      <c r="AP42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42" s="12" t="inlineStr">
        <is>
          <t>Tier 3, Tier 4</t>
        </is>
      </c>
      <c r="AR42" s="12" t="inlineStr">
        <is>
          <t>2024-12-31</t>
        </is>
      </c>
      <c r="AS42" s="12" t="inlineStr">
        <is>
          <t>providers=world_bank_col_estimate, derived, ilo_ilostat, who_gho; fields=gross_income, rent, utilities, transit_cost; +9 additional fields</t>
        </is>
      </c>
      <c r="AT42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42" s="12" t="inlineStr">
        <is>
          <t>Tier 3</t>
        </is>
      </c>
      <c r="AV42" s="12" t="inlineStr">
        <is>
          <t>2024-12-31</t>
        </is>
      </c>
      <c r="AW42" s="12" t="inlineStr">
        <is>
          <t>providers=world_bank, wmo_natl_met; fields=personal_safety_raw, water_sanitation_utility_raw, digital_infrastructure_raw, climate_sunlight_livability_raw</t>
        </is>
      </c>
      <c r="AX42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42" s="12" t="inlineStr">
        <is>
          <t>Tier 3</t>
        </is>
      </c>
      <c r="AZ42" s="12" t="inlineStr">
        <is>
          <t>2023-12-31</t>
        </is>
      </c>
      <c r="BA42" s="12" t="inlineStr">
        <is>
          <t>providers=who_gho, world_bank; fields=healthcare_quality_raw, education_quality_raw, equal_opportunity_raw, gini_coefficient</t>
        </is>
      </c>
      <c r="BB42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42" s="12" t="inlineStr">
        <is>
          <t>Tier 3</t>
        </is>
      </c>
      <c r="BD42" s="12" t="inlineStr">
        <is>
          <t>2025-12-31</t>
        </is>
      </c>
      <c r="BE42" s="12" t="inlineStr">
        <is>
          <t>providers=world_bank; fields=hospitality_belonging_raw, tolerance_pluralism_raw, cultural_public_life_raw, birth_rate_optimism_raw</t>
        </is>
      </c>
      <c r="BF42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42" s="12" t="inlineStr">
        <is>
          <t>Tier 3</t>
        </is>
      </c>
      <c r="BH42" s="12" t="inlineStr">
        <is>
          <t>2024-12-31</t>
        </is>
      </c>
      <c r="BI42" s="12" t="inlineStr">
        <is>
          <t>providers=world_bank; fields=entrepreneurial_dynamism_raw, innovation_research_intensity_raw, investment_signal_raw, administrative_investment_friction_raw; +2 additional fields</t>
        </is>
      </c>
      <c r="BJ42" s="9" t="n">
        <v>1.49</v>
      </c>
    </row>
    <row r="43">
      <c r="A43" s="9" t="inlineStr">
        <is>
          <t>dk-copenhagen</t>
        </is>
      </c>
      <c r="B43" s="9" t="inlineStr">
        <is>
          <t>Copenhagen</t>
        </is>
      </c>
      <c r="C43" s="9" t="inlineStr">
        <is>
          <t>Denmark</t>
        </is>
      </c>
      <c r="D43" s="9" t="inlineStr">
        <is>
          <t>Western, Northern, and Southern Europe</t>
        </is>
      </c>
      <c r="E43" s="9" t="inlineStr">
        <is>
          <t>primary</t>
        </is>
      </c>
      <c r="F43" s="9" t="inlineStr">
        <is>
          <t>provisional</t>
        </is>
      </c>
      <c r="G43" s="10" t="n">
        <v>7409.5</v>
      </c>
      <c r="H43" s="10" t="n">
        <v>2982.32</v>
      </c>
      <c r="I43" s="10" t="n">
        <v>596.46</v>
      </c>
      <c r="J43" s="10" t="n">
        <v>426.05</v>
      </c>
      <c r="K43" s="10" t="n">
        <v>127.81</v>
      </c>
      <c r="L43" s="10" t="n">
        <v>1278.14</v>
      </c>
      <c r="M43" s="11" t="inlineStr"/>
      <c r="N43" s="10" t="n">
        <v>40.2499</v>
      </c>
      <c r="O43" s="10" t="n">
        <v>144.0931</v>
      </c>
      <c r="P43" s="11">
        <f>IF($O43&lt;&gt;"",$O43,$AO43)</f>
        <v/>
      </c>
      <c r="Q43" s="10" t="n">
        <v>32.39</v>
      </c>
      <c r="R43" s="10" t="n">
        <v>10.46</v>
      </c>
      <c r="S43" s="10" t="n">
        <v>0.84</v>
      </c>
      <c r="T43" s="10" t="inlineStr"/>
      <c r="U43" s="10" t="inlineStr"/>
      <c r="V43" s="10" t="n">
        <v>99.92</v>
      </c>
      <c r="W43" s="10" t="n">
        <v>44.03</v>
      </c>
      <c r="X43" s="9" t="n">
        <v>40</v>
      </c>
      <c r="Y43" s="10" t="n">
        <v>85</v>
      </c>
      <c r="Z43" s="10" t="n">
        <v>81.23</v>
      </c>
      <c r="AA43" s="10" t="n">
        <v>29.9</v>
      </c>
      <c r="AB43" s="10" t="n">
        <v>53.7</v>
      </c>
      <c r="AC43" s="10" t="n">
        <v>45.25</v>
      </c>
      <c r="AD43" s="10" t="n">
        <v>2609.17</v>
      </c>
      <c r="AE43" s="10" t="n">
        <v>7.3</v>
      </c>
      <c r="AF43" s="10" t="n">
        <v>2.89</v>
      </c>
      <c r="AG43" s="10" t="n">
        <v>4.37</v>
      </c>
      <c r="AH43" s="10" t="n">
        <v>0.66</v>
      </c>
      <c r="AI43" s="10" t="inlineStr"/>
      <c r="AJ43" s="11">
        <f>IFERROR(INDEX(Country_Context!$B$2:$B$87,MATCH($C43,Country_Context!$A$2:$A$87,0)),"")</f>
        <v/>
      </c>
      <c r="AK43" s="11">
        <f>IFERROR(INDEX(Country_Context!$C$2:$C$87,MATCH($C43,Country_Context!$A$2:$A$87,0)),"")</f>
        <v/>
      </c>
      <c r="AL43" s="11">
        <f>IFERROR(INDEX(Country_Context!$D$2:$D$87,MATCH($C43,Country_Context!$A$2:$A$87,0)),"")</f>
        <v/>
      </c>
      <c r="AM43" s="11">
        <f>IFERROR(INDEX(Country_Context!$E$2:$E$87,MATCH($C43,Country_Context!$A$2:$A$87,0)),"")</f>
        <v/>
      </c>
      <c r="AN43" s="11">
        <f>IFERROR(INDEX(Country_Context!$F$2:$F$87,MATCH($C43,Country_Context!$A$2:$A$87,0)),"")</f>
        <v/>
      </c>
      <c r="AO43" s="11">
        <f>IFERROR(INDEX(Country_Context!$G$2:$G$87,MATCH($C43,Country_Context!$A$2:$A$87,0)),"")</f>
        <v/>
      </c>
      <c r="AP43" s="12" t="inlineStr">
        <is>
          <t>https://api.worldbank.org/v2/country/DNK/indicator/NY.GNP.PCAP.PP.CD?format=json&amp;mrv=10 | https://data.worldbank.org/indicator/NY.GNP.PCAP.PP.CD | https://ilostat.ilo.org/data/indicator/?id=HOW_TEMP_SEX_ECO_NB_A&amp;ref_area=DNK | +4 more</t>
        </is>
      </c>
      <c r="AQ43" s="12" t="inlineStr">
        <is>
          <t>Tier 3, Tier 4</t>
        </is>
      </c>
      <c r="AR43" s="12" t="inlineStr">
        <is>
          <t>2024-12-31</t>
        </is>
      </c>
      <c r="AS43" s="12" t="inlineStr">
        <is>
          <t>providers=world_bank_col_estimate, derived, ilo_ilostat, who_gho; fields=gross_income, rent, utilities, transit_cost; +9 additional fields</t>
        </is>
      </c>
      <c r="AT43" s="12" t="inlineStr">
        <is>
          <t>https://api.worldbank.org/v2/country/DNK/indicator/VC.IHR.PSRC.P5?format=json&amp;mrv=10 | https://api.worldbank.org/v2/country/DNK/indicator/SH.H2O.SMDW.ZS?format=json&amp;mrv=10 | https://api.worldbank.org/v2/country/DNK/indicator/IT.NET.BBND.P2?format=json&amp;mrv=10 | +1 more</t>
        </is>
      </c>
      <c r="AU43" s="12" t="inlineStr">
        <is>
          <t>Tier 3</t>
        </is>
      </c>
      <c r="AV43" s="12" t="inlineStr">
        <is>
          <t>2024-12-31</t>
        </is>
      </c>
      <c r="AW43" s="12" t="inlineStr">
        <is>
          <t>providers=world_bank, wmo_natl_met; fields=personal_safety_raw, water_sanitation_utility_raw, digital_infrastructure_raw, climate_sunlight_livability_raw</t>
        </is>
      </c>
      <c r="AX43" s="12" t="inlineStr">
        <is>
          <t>https://www.who.int/data/gho/data/indicators/indicator-details/GHO/UHC_INDEX_REPORTED | https://api.worldbank.org/v2/country/DNK/indicator/SE.TER.ENRR?format=json&amp;mrv=10 | https://api.worldbank.org/v2/country/DNK/indicator/SI.POV.GINI?format=json&amp;mrv=10 | +1 more</t>
        </is>
      </c>
      <c r="AY43" s="12" t="inlineStr">
        <is>
          <t>Tier 3</t>
        </is>
      </c>
      <c r="AZ43" s="12" t="inlineStr">
        <is>
          <t>2023-12-31</t>
        </is>
      </c>
      <c r="BA43" s="12" t="inlineStr">
        <is>
          <t>providers=who_gho, world_bank; fields=healthcare_quality_raw, education_quality_raw, equal_opportunity_raw, gini_coefficient</t>
        </is>
      </c>
      <c r="BB43" s="12" t="inlineStr">
        <is>
          <t>https://api.worldbank.org/v2/country/DNK/indicator/SM.POP.NETM?format=json&amp;mrv=10 | https://api.worldbank.org/v2/country/DNK/indicator/SG.GEN.PARL.ZS?format=json&amp;mrv=10 | https://api.worldbank.org/v2/country/DNK/indicator/ST.INT.ARVL?format=json&amp;mrv=10 | +1 more</t>
        </is>
      </c>
      <c r="BC43" s="12" t="inlineStr">
        <is>
          <t>Tier 3</t>
        </is>
      </c>
      <c r="BD43" s="12" t="inlineStr">
        <is>
          <t>2025-12-31</t>
        </is>
      </c>
      <c r="BE43" s="12" t="inlineStr">
        <is>
          <t>providers=world_bank; fields=hospitality_belonging_raw, tolerance_pluralism_raw, cultural_public_life_raw, birth_rate_optimism_raw</t>
        </is>
      </c>
      <c r="BF43" s="12" t="inlineStr">
        <is>
          <t>https://api.worldbank.org/v2/country/DNK/indicator/IC.BUS.NDNS.ZS?format=json&amp;mrv=10 | https://api.worldbank.org/v2/country/DNK/indicator/GB.XPD.RSDV.GD.ZS?format=json&amp;mrv=10 | https://api.worldbank.org/v2/country/DNK/indicator/BX.KLT.DINV.WD.GD.ZS?format=json&amp;mrv=10 | +3 more</t>
        </is>
      </c>
      <c r="BG43" s="12" t="inlineStr">
        <is>
          <t>Tier 3</t>
        </is>
      </c>
      <c r="BH43" s="12" t="inlineStr">
        <is>
          <t>2024-12-31</t>
        </is>
      </c>
      <c r="BI43" s="12" t="inlineStr">
        <is>
          <t>providers=world_bank; fields=entrepreneurial_dynamism_raw, innovation_research_intensity_raw, investment_signal_raw, administrative_investment_friction_raw; +2 additional fields</t>
        </is>
      </c>
      <c r="BJ43" s="9" t="n">
        <v>1.55</v>
      </c>
    </row>
    <row r="44">
      <c r="A44" s="9" t="inlineStr">
        <is>
          <t>it-milan</t>
        </is>
      </c>
      <c r="B44" s="9" t="inlineStr">
        <is>
          <t>Milan</t>
        </is>
      </c>
      <c r="C44" s="9" t="inlineStr">
        <is>
          <t>Italy</t>
        </is>
      </c>
      <c r="D44" s="9" t="inlineStr">
        <is>
          <t>Western, Northern, and Southern Europe</t>
        </is>
      </c>
      <c r="E44" s="9" t="inlineStr">
        <is>
          <t>primary</t>
        </is>
      </c>
      <c r="F44" s="9" t="inlineStr">
        <is>
          <t>provisional</t>
        </is>
      </c>
      <c r="G44" s="10" t="n">
        <v>39023.18</v>
      </c>
      <c r="H44" s="10" t="n">
        <v>2480.2</v>
      </c>
      <c r="I44" s="10" t="n">
        <v>496.04</v>
      </c>
      <c r="J44" s="10" t="n">
        <v>330</v>
      </c>
      <c r="K44" s="10" t="n">
        <v>106.29</v>
      </c>
      <c r="L44" s="10" t="n">
        <v>1062.94</v>
      </c>
      <c r="M44" s="11" t="inlineStr"/>
      <c r="N44" s="10" t="n">
        <v>6.3557</v>
      </c>
      <c r="O44" s="10" t="n">
        <v>59.3116</v>
      </c>
      <c r="P44" s="11">
        <f>IF($O44&lt;&gt;"",$O44,$AO44)</f>
        <v/>
      </c>
      <c r="Q44" s="10" t="n">
        <v>35.96</v>
      </c>
      <c r="R44" s="10" t="n">
        <v>6.99</v>
      </c>
      <c r="S44" s="10" t="n">
        <v>0.5</v>
      </c>
      <c r="T44" s="10" t="n">
        <v>75.43000000000001</v>
      </c>
      <c r="U44" s="10" t="n">
        <v>21</v>
      </c>
      <c r="V44" s="10" t="n">
        <v>96.76000000000001</v>
      </c>
      <c r="W44" s="10" t="n">
        <v>31.84</v>
      </c>
      <c r="X44" s="9" t="n">
        <v>54</v>
      </c>
      <c r="Y44" s="10" t="n">
        <v>82</v>
      </c>
      <c r="Z44" s="10" t="n">
        <v>75.95</v>
      </c>
      <c r="AA44" s="10" t="n">
        <v>34.3</v>
      </c>
      <c r="AB44" s="10" t="n">
        <v>51.28</v>
      </c>
      <c r="AC44" s="10" t="n">
        <v>32.25</v>
      </c>
      <c r="AD44" s="10" t="n">
        <v>651.6900000000001</v>
      </c>
      <c r="AE44" s="10" t="n">
        <v>2.85</v>
      </c>
      <c r="AF44" s="10" t="n">
        <v>1.39</v>
      </c>
      <c r="AG44" s="10" t="n">
        <v>1.13</v>
      </c>
      <c r="AH44" s="10" t="n">
        <v>1.86</v>
      </c>
      <c r="AI44" s="10" t="n">
        <v>8.5</v>
      </c>
      <c r="AJ44" s="11">
        <f>IFERROR(INDEX(Country_Context!$B$2:$B$87,MATCH($C44,Country_Context!$A$2:$A$87,0)),"")</f>
        <v/>
      </c>
      <c r="AK44" s="11">
        <f>IFERROR(INDEX(Country_Context!$C$2:$C$87,MATCH($C44,Country_Context!$A$2:$A$87,0)),"")</f>
        <v/>
      </c>
      <c r="AL44" s="11">
        <f>IFERROR(INDEX(Country_Context!$D$2:$D$87,MATCH($C44,Country_Context!$A$2:$A$87,0)),"")</f>
        <v/>
      </c>
      <c r="AM44" s="11">
        <f>IFERROR(INDEX(Country_Context!$E$2:$E$87,MATCH($C44,Country_Context!$A$2:$A$87,0)),"")</f>
        <v/>
      </c>
      <c r="AN44" s="11">
        <f>IFERROR(INDEX(Country_Context!$F$2:$F$87,MATCH($C44,Country_Context!$A$2:$A$87,0)),"")</f>
        <v/>
      </c>
      <c r="AO44" s="11">
        <f>IFERROR(INDEX(Country_Context!$G$2:$G$87,MATCH($C44,Country_Context!$A$2:$A$87,0)),"")</f>
        <v/>
      </c>
      <c r="AP44" s="12" t="inlineStr">
        <is>
          <t>https://dati.comune.milano.it/dataset/edfe847d-05f1-4d25-ba44-283d22b1ec73/resource/76b54f5a-24a6-4f7f-a3a9-a6152d8da601/download/redditi_e_principali_variabili_irpef_su_base_comunale_csv_2023.csv | https://api.worldbank.org/v2/country/ITA/indicator/NY.GNP.PCAP.PP.CD?format=json&amp;mrv=10 | https://www.atm.it/en/ViaggiaConNoi/Abbonamenti/Pages/Tipologie.aspx | +6 more</t>
        </is>
      </c>
      <c r="AQ44" s="12" t="inlineStr">
        <is>
          <t>Tier 1, Tier 3, Tier 4</t>
        </is>
      </c>
      <c r="AR44" s="12" t="inlineStr">
        <is>
          <t>2026-03-12</t>
        </is>
      </c>
      <c r="AS44" s="12" t="inlineStr">
        <is>
          <t>providers=comune_milano_open_data, world_bank_col_estimate, atm_milano, derived; fields=gross_income, rent, utilities, transit_cost; +9 additional fields</t>
        </is>
      </c>
      <c r="AT44" s="12" t="inlineStr">
        <is>
          <t>https://dati.comune.milano.it/dataset/34e2d2af-5c3b-4768-918b-ab7e5c0d15da/resource/8b03b9f2-f2d7-4408-b439-bc6efc093cff/download/ds564_reati_denunciati_2004_2023.csv | https://dati.comune.milano.it/dataset/0ac0f655-1858-410a-9873-70fd057ef65d/resource/39d6ef17-8882-49b6-b2de-dd4a8486d923/download/ds393_popolazione_pendolari_movimenti_interni_mezzo_tempo_orario_uscita_genere__2011c.csv | https://www.arpalombardia.it/agenda/notizie/2026/qualita-dell-aria-prosegue-il-miglioramento-anche-nell-anno-2025/ | +3 more</t>
        </is>
      </c>
      <c r="AU44" s="12" t="inlineStr">
        <is>
          <t>Tier 1, Tier 2, Tier 3</t>
        </is>
      </c>
      <c r="AV44" s="12" t="inlineStr">
        <is>
          <t>2026-03-12</t>
        </is>
      </c>
      <c r="AW44" s="12" t="inlineStr">
        <is>
          <t>providers=comune_milano_open_data, arpa_lombardia, world_bank, wmo_natl_met; fields=personal_safety_raw, transit_access_commute_raw, clean_air_raw, water_sanitation_utility_raw; +2 additional fields</t>
        </is>
      </c>
      <c r="AX44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44" s="12" t="inlineStr">
        <is>
          <t>Tier 3</t>
        </is>
      </c>
      <c r="AZ44" s="12" t="inlineStr">
        <is>
          <t>2023-12-31</t>
        </is>
      </c>
      <c r="BA44" s="12" t="inlineStr">
        <is>
          <t>providers=who_gho, world_bank; fields=healthcare_quality_raw, education_quality_raw, equal_opportunity_raw, gini_coefficient</t>
        </is>
      </c>
      <c r="BB44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44" s="12" t="inlineStr">
        <is>
          <t>Tier 3</t>
        </is>
      </c>
      <c r="BD44" s="12" t="inlineStr">
        <is>
          <t>2025-12-31</t>
        </is>
      </c>
      <c r="BE44" s="12" t="inlineStr">
        <is>
          <t>providers=world_bank; fields=hospitality_belonging_raw, tolerance_pluralism_raw, cultural_public_life_raw, birth_rate_optimism_raw</t>
        </is>
      </c>
      <c r="BF44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+4 more</t>
        </is>
      </c>
      <c r="BG44" s="12" t="inlineStr">
        <is>
          <t>Tier 1, Tier 3</t>
        </is>
      </c>
      <c r="BH44" s="12" t="inlineStr">
        <is>
          <t>2026-03-12</t>
        </is>
      </c>
      <c r="BI44" s="12" t="inlineStr">
        <is>
          <t>providers=world_bank, comune_milano_open_data; fields=entrepreneurial_dynamism_raw, innovation_research_intensity_raw, investment_signal_raw, administrative_investment_friction_raw; +3 additional fields</t>
        </is>
      </c>
      <c r="BJ44" s="9" t="n">
        <v>1.24</v>
      </c>
    </row>
    <row r="45">
      <c r="A45" s="9" t="inlineStr">
        <is>
          <t>at-graz</t>
        </is>
      </c>
      <c r="B45" s="9" t="inlineStr">
        <is>
          <t>Graz</t>
        </is>
      </c>
      <c r="C45" s="9" t="inlineStr">
        <is>
          <t>Austria</t>
        </is>
      </c>
      <c r="D45" s="9" t="inlineStr">
        <is>
          <t>Western, Northern, and Southern Europe</t>
        </is>
      </c>
      <c r="E45" s="9" t="inlineStr">
        <is>
          <t>secondary</t>
        </is>
      </c>
      <c r="F45" s="9" t="inlineStr">
        <is>
          <t>locked</t>
        </is>
      </c>
      <c r="G45" s="10" t="n">
        <v>6180</v>
      </c>
      <c r="H45" s="10" t="n">
        <v>1730.4</v>
      </c>
      <c r="I45" s="10" t="n">
        <v>346.08</v>
      </c>
      <c r="J45" s="10" t="n">
        <v>247.2</v>
      </c>
      <c r="K45" s="10" t="n">
        <v>74.16</v>
      </c>
      <c r="L45" s="10" t="n">
        <v>741.6</v>
      </c>
      <c r="M45" s="11" t="inlineStr"/>
      <c r="N45" s="10" t="n">
        <v>28</v>
      </c>
      <c r="O45" s="10" t="n">
        <v>81.4953</v>
      </c>
      <c r="P45" s="11">
        <f>IF($O45&lt;&gt;"",$O45,$AO45)</f>
        <v/>
      </c>
      <c r="Q45" s="10" t="n">
        <v>33.41</v>
      </c>
      <c r="R45" s="10" t="n">
        <v>14.51</v>
      </c>
      <c r="S45" s="10" t="n">
        <v>0.88</v>
      </c>
      <c r="T45" s="10" t="inlineStr"/>
      <c r="U45" s="10" t="inlineStr"/>
      <c r="V45" s="10" t="n">
        <v>98.89</v>
      </c>
      <c r="W45" s="10" t="n">
        <v>29.37</v>
      </c>
      <c r="X45" s="9" t="n">
        <v>50</v>
      </c>
      <c r="Y45" s="10" t="n">
        <v>84</v>
      </c>
      <c r="Z45" s="10" t="n">
        <v>91.68000000000001</v>
      </c>
      <c r="AA45" s="10" t="n">
        <v>31.2</v>
      </c>
      <c r="AB45" s="10" t="n">
        <v>51.23</v>
      </c>
      <c r="AC45" s="10" t="n">
        <v>36.07</v>
      </c>
      <c r="AD45" s="10" t="n">
        <v>1644.26</v>
      </c>
      <c r="AE45" s="10" t="n">
        <v>0.95</v>
      </c>
      <c r="AF45" s="10" t="n">
        <v>3.2</v>
      </c>
      <c r="AG45" s="10" t="n">
        <v>2.55</v>
      </c>
      <c r="AH45" s="10" t="n">
        <v>1.14</v>
      </c>
      <c r="AI45" s="10" t="inlineStr"/>
      <c r="AJ45" s="11">
        <f>IFERROR(INDEX(Country_Context!$B$2:$B$87,MATCH($C45,Country_Context!$A$2:$A$87,0)),"")</f>
        <v/>
      </c>
      <c r="AK45" s="11">
        <f>IFERROR(INDEX(Country_Context!$C$2:$C$87,MATCH($C45,Country_Context!$A$2:$A$87,0)),"")</f>
        <v/>
      </c>
      <c r="AL45" s="11">
        <f>IFERROR(INDEX(Country_Context!$D$2:$D$87,MATCH($C45,Country_Context!$A$2:$A$87,0)),"")</f>
        <v/>
      </c>
      <c r="AM45" s="11">
        <f>IFERROR(INDEX(Country_Context!$E$2:$E$87,MATCH($C45,Country_Context!$A$2:$A$87,0)),"")</f>
        <v/>
      </c>
      <c r="AN45" s="11">
        <f>IFERROR(INDEX(Country_Context!$F$2:$F$87,MATCH($C45,Country_Context!$A$2:$A$87,0)),"")</f>
        <v/>
      </c>
      <c r="AO45" s="11">
        <f>IFERROR(INDEX(Country_Context!$G$2:$G$87,MATCH($C45,Country_Context!$A$2:$A$87,0)),"")</f>
        <v/>
      </c>
      <c r="AP45" s="12" t="inlineStr">
        <is>
          <t>https://api.worldbank.org/v2/country/AUT/indicator/NY.GNP.PCAP.PP.CD?format=json&amp;mrv=10 | https://data.worldbank.org/indicator/NY.GNP.PCAP.PP.CD | https://ilostat.ilo.org/data/indicator/?id=HOW_TEMP_SEX_ECO_NB_A&amp;ref_area=AUT | +4 more</t>
        </is>
      </c>
      <c r="AQ45" s="12" t="inlineStr">
        <is>
          <t>Tier 3, Tier 4</t>
        </is>
      </c>
      <c r="AR45" s="12" t="inlineStr">
        <is>
          <t>2024-12-31</t>
        </is>
      </c>
      <c r="AS45" s="12" t="inlineStr">
        <is>
          <t>providers=world_bank_col_estimate, derived, ilo_ilostat, who_gho; fields=gross_income, rent, utilities, transit_cost; +9 additional fields</t>
        </is>
      </c>
      <c r="AT45" s="12" t="inlineStr">
        <is>
          <t>https://api.worldbank.org/v2/country/AUT/indicator/VC.IHR.PSRC.P5?format=json&amp;mrv=10 | https://api.worldbank.org/v2/country/AUT/indicator/SH.H2O.SMDW.ZS?format=json&amp;mrv=10 | https://api.worldbank.org/v2/country/AUT/indicator/IT.NET.BBND.P2?format=json&amp;mrv=10 | +1 more</t>
        </is>
      </c>
      <c r="AU45" s="12" t="inlineStr">
        <is>
          <t>Tier 3</t>
        </is>
      </c>
      <c r="AV45" s="12" t="inlineStr">
        <is>
          <t>2024-12-31</t>
        </is>
      </c>
      <c r="AW45" s="12" t="inlineStr">
        <is>
          <t>providers=world_bank, wmo_natl_met; fields=personal_safety_raw, water_sanitation_utility_raw, digital_infrastructure_raw, climate_sunlight_livability_raw</t>
        </is>
      </c>
      <c r="AX45" s="12" t="inlineStr">
        <is>
          <t>https://www.who.int/data/gho/data/indicators/indicator-details/GHO/UHC_INDEX_REPORTED | https://api.worldbank.org/v2/country/AUT/indicator/SE.TER.ENRR?format=json&amp;mrv=10 | https://api.worldbank.org/v2/country/AUT/indicator/SI.POV.GINI?format=json&amp;mrv=10 | +1 more</t>
        </is>
      </c>
      <c r="AY45" s="12" t="inlineStr">
        <is>
          <t>Tier 3</t>
        </is>
      </c>
      <c r="AZ45" s="12" t="inlineStr">
        <is>
          <t>2023-12-31</t>
        </is>
      </c>
      <c r="BA45" s="12" t="inlineStr">
        <is>
          <t>providers=who_gho, world_bank; fields=healthcare_quality_raw, education_quality_raw, equal_opportunity_raw, gini_coefficient</t>
        </is>
      </c>
      <c r="BB45" s="12" t="inlineStr">
        <is>
          <t>https://api.worldbank.org/v2/country/AUT/indicator/SM.POP.NETM?format=json&amp;mrv=10 | https://api.worldbank.org/v2/country/AUT/indicator/SG.GEN.PARL.ZS?format=json&amp;mrv=10 | https://api.worldbank.org/v2/country/AUT/indicator/ST.INT.ARVL?format=json&amp;mrv=10 | +1 more</t>
        </is>
      </c>
      <c r="BC45" s="12" t="inlineStr">
        <is>
          <t>Tier 3</t>
        </is>
      </c>
      <c r="BD45" s="12" t="inlineStr">
        <is>
          <t>2025-12-31</t>
        </is>
      </c>
      <c r="BE45" s="12" t="inlineStr">
        <is>
          <t>providers=world_bank; fields=hospitality_belonging_raw, tolerance_pluralism_raw, cultural_public_life_raw, birth_rate_optimism_raw</t>
        </is>
      </c>
      <c r="BF45" s="12" t="inlineStr">
        <is>
          <t>https://api.worldbank.org/v2/country/AUT/indicator/IC.BUS.NDNS.ZS?format=json&amp;mrv=10 | https://api.worldbank.org/v2/country/AUT/indicator/GB.XPD.RSDV.GD.ZS?format=json&amp;mrv=10 | https://api.worldbank.org/v2/country/AUT/indicator/BX.KLT.DINV.WD.GD.ZS?format=json&amp;mrv=10 | +3 more</t>
        </is>
      </c>
      <c r="BG45" s="12" t="inlineStr">
        <is>
          <t>Tier 3</t>
        </is>
      </c>
      <c r="BH45" s="12" t="inlineStr">
        <is>
          <t>2024-12-31</t>
        </is>
      </c>
      <c r="BI45" s="12" t="inlineStr">
        <is>
          <t>providers=world_bank; fields=entrepreneurial_dynamism_raw, innovation_research_intensity_raw, investment_signal_raw, administrative_investment_friction_raw; +2 additional fields</t>
        </is>
      </c>
      <c r="BJ45" s="9" t="n">
        <v>1.41</v>
      </c>
    </row>
    <row r="46">
      <c r="A46" s="9" t="inlineStr">
        <is>
          <t>pt-porto</t>
        </is>
      </c>
      <c r="B46" s="9" t="inlineStr">
        <is>
          <t>Porto</t>
        </is>
      </c>
      <c r="C46" s="9" t="inlineStr">
        <is>
          <t>Portugal</t>
        </is>
      </c>
      <c r="D46" s="9" t="inlineStr">
        <is>
          <t>Western, Northern, and Southern Europe</t>
        </is>
      </c>
      <c r="E46" s="9" t="inlineStr">
        <is>
          <t>secondary</t>
        </is>
      </c>
      <c r="F46" s="9" t="inlineStr">
        <is>
          <t>locked</t>
        </is>
      </c>
      <c r="G46" s="10" t="n">
        <v>4227.5</v>
      </c>
      <c r="H46" s="10" t="n">
        <v>1257.68</v>
      </c>
      <c r="I46" s="10" t="n">
        <v>251.54</v>
      </c>
      <c r="J46" s="10" t="n">
        <v>179.67</v>
      </c>
      <c r="K46" s="10" t="n">
        <v>53.9</v>
      </c>
      <c r="L46" s="10" t="n">
        <v>539.01</v>
      </c>
      <c r="M46" s="11" t="inlineStr"/>
      <c r="N46" s="10" t="n">
        <v>29.75</v>
      </c>
      <c r="O46" s="10" t="n">
        <v>77.1375</v>
      </c>
      <c r="P46" s="11">
        <f>IF($O46&lt;&gt;"",$O46,$AO46)</f>
        <v/>
      </c>
      <c r="Q46" s="10" t="n">
        <v>37.27</v>
      </c>
      <c r="R46" s="10" t="n">
        <v>11.52</v>
      </c>
      <c r="S46" s="10" t="n">
        <v>0.72</v>
      </c>
      <c r="T46" s="10" t="inlineStr"/>
      <c r="U46" s="10" t="inlineStr"/>
      <c r="V46" s="10" t="n">
        <v>95.22</v>
      </c>
      <c r="W46" s="10" t="n">
        <v>44.11</v>
      </c>
      <c r="X46" s="9" t="n">
        <v>62</v>
      </c>
      <c r="Y46" s="10" t="n">
        <v>83</v>
      </c>
      <c r="Z46" s="10" t="n">
        <v>77.68000000000001</v>
      </c>
      <c r="AA46" s="10" t="n">
        <v>33.9</v>
      </c>
      <c r="AB46" s="10" t="n">
        <v>51.54</v>
      </c>
      <c r="AC46" s="10" t="n">
        <v>32.61</v>
      </c>
      <c r="AD46" s="10" t="n">
        <v>393.47</v>
      </c>
      <c r="AE46" s="10" t="n">
        <v>6.95</v>
      </c>
      <c r="AF46" s="10" t="n">
        <v>1.7</v>
      </c>
      <c r="AG46" s="10" t="n">
        <v>4.31</v>
      </c>
      <c r="AH46" s="10" t="n">
        <v>1.74</v>
      </c>
      <c r="AI46" s="10" t="inlineStr"/>
      <c r="AJ46" s="11">
        <f>IFERROR(INDEX(Country_Context!$B$2:$B$87,MATCH($C46,Country_Context!$A$2:$A$87,0)),"")</f>
        <v/>
      </c>
      <c r="AK46" s="11">
        <f>IFERROR(INDEX(Country_Context!$C$2:$C$87,MATCH($C46,Country_Context!$A$2:$A$87,0)),"")</f>
        <v/>
      </c>
      <c r="AL46" s="11">
        <f>IFERROR(INDEX(Country_Context!$D$2:$D$87,MATCH($C46,Country_Context!$A$2:$A$87,0)),"")</f>
        <v/>
      </c>
      <c r="AM46" s="11">
        <f>IFERROR(INDEX(Country_Context!$E$2:$E$87,MATCH($C46,Country_Context!$A$2:$A$87,0)),"")</f>
        <v/>
      </c>
      <c r="AN46" s="11">
        <f>IFERROR(INDEX(Country_Context!$F$2:$F$87,MATCH($C46,Country_Context!$A$2:$A$87,0)),"")</f>
        <v/>
      </c>
      <c r="AO46" s="11">
        <f>IFERROR(INDEX(Country_Context!$G$2:$G$87,MATCH($C46,Country_Context!$A$2:$A$87,0)),"")</f>
        <v/>
      </c>
      <c r="AP46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6" s="12" t="inlineStr">
        <is>
          <t>Tier 3, Tier 4</t>
        </is>
      </c>
      <c r="AR46" s="12" t="inlineStr">
        <is>
          <t>2025-12-31</t>
        </is>
      </c>
      <c r="AS46" s="12" t="inlineStr">
        <is>
          <t>providers=world_bank_col_estimate, derived, ilo_ilostat, who_gho; fields=gross_income, rent, utilities, transit_cost; +9 additional fields</t>
        </is>
      </c>
      <c r="AT46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6" s="12" t="inlineStr">
        <is>
          <t>Tier 3</t>
        </is>
      </c>
      <c r="AV46" s="12" t="inlineStr">
        <is>
          <t>2024-12-31</t>
        </is>
      </c>
      <c r="AW46" s="12" t="inlineStr">
        <is>
          <t>providers=world_bank, wmo_natl_met; fields=personal_safety_raw, water_sanitation_utility_raw, digital_infrastructure_raw, climate_sunlight_livability_raw</t>
        </is>
      </c>
      <c r="AX46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6" s="12" t="inlineStr">
        <is>
          <t>Tier 3</t>
        </is>
      </c>
      <c r="AZ46" s="12" t="inlineStr">
        <is>
          <t>2023-12-31</t>
        </is>
      </c>
      <c r="BA46" s="12" t="inlineStr">
        <is>
          <t>providers=who_gho, world_bank; fields=healthcare_quality_raw, education_quality_raw, equal_opportunity_raw, gini_coefficient</t>
        </is>
      </c>
      <c r="BB46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6" s="12" t="inlineStr">
        <is>
          <t>Tier 3</t>
        </is>
      </c>
      <c r="BD46" s="12" t="inlineStr">
        <is>
          <t>2025-12-31</t>
        </is>
      </c>
      <c r="BE46" s="12" t="inlineStr">
        <is>
          <t>providers=world_bank; fields=hospitality_belonging_raw, tolerance_pluralism_raw, cultural_public_life_raw, birth_rate_optimism_raw</t>
        </is>
      </c>
      <c r="BF46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6" s="12" t="inlineStr">
        <is>
          <t>Tier 3</t>
        </is>
      </c>
      <c r="BH46" s="12" t="inlineStr">
        <is>
          <t>2024-12-31</t>
        </is>
      </c>
      <c r="BI46" s="12" t="inlineStr">
        <is>
          <t>providers=world_bank; fields=entrepreneurial_dynamism_raw, innovation_research_intensity_raw, investment_signal_raw, administrative_investment_friction_raw; +2 additional fields</t>
        </is>
      </c>
      <c r="BJ46" s="9" t="n">
        <v>1.43</v>
      </c>
    </row>
    <row r="47">
      <c r="A47" s="9" t="inlineStr">
        <is>
          <t>pt-braga</t>
        </is>
      </c>
      <c r="B47" s="9" t="inlineStr">
        <is>
          <t>Braga</t>
        </is>
      </c>
      <c r="C47" s="9" t="inlineStr">
        <is>
          <t>Portugal</t>
        </is>
      </c>
      <c r="D47" s="9" t="inlineStr">
        <is>
          <t>Western, Northern, and Southern Europe</t>
        </is>
      </c>
      <c r="E47" s="9" t="inlineStr">
        <is>
          <t>secondary</t>
        </is>
      </c>
      <c r="F47" s="9" t="inlineStr">
        <is>
          <t>locked</t>
        </is>
      </c>
      <c r="G47" s="10" t="n">
        <v>4227.5</v>
      </c>
      <c r="H47" s="10" t="n">
        <v>1109.72</v>
      </c>
      <c r="I47" s="10" t="n">
        <v>221.94</v>
      </c>
      <c r="J47" s="10" t="n">
        <v>158.53</v>
      </c>
      <c r="K47" s="10" t="n">
        <v>47.56</v>
      </c>
      <c r="L47" s="10" t="n">
        <v>475.59</v>
      </c>
      <c r="M47" s="11" t="inlineStr"/>
      <c r="N47" s="10" t="n">
        <v>26.25</v>
      </c>
      <c r="O47" s="10" t="n">
        <v>77.1375</v>
      </c>
      <c r="P47" s="11">
        <f>IF($O47&lt;&gt;"",$O47,$AO47)</f>
        <v/>
      </c>
      <c r="Q47" s="10" t="n">
        <v>37.27</v>
      </c>
      <c r="R47" s="10" t="n">
        <v>11.52</v>
      </c>
      <c r="S47" s="10" t="n">
        <v>0.72</v>
      </c>
      <c r="T47" s="10" t="inlineStr"/>
      <c r="U47" s="10" t="inlineStr"/>
      <c r="V47" s="10" t="n">
        <v>95.22</v>
      </c>
      <c r="W47" s="10" t="n">
        <v>44.11</v>
      </c>
      <c r="X47" s="9" t="n">
        <v>58</v>
      </c>
      <c r="Y47" s="10" t="n">
        <v>83</v>
      </c>
      <c r="Z47" s="10" t="n">
        <v>77.68000000000001</v>
      </c>
      <c r="AA47" s="10" t="n">
        <v>33.9</v>
      </c>
      <c r="AB47" s="10" t="n">
        <v>51.54</v>
      </c>
      <c r="AC47" s="10" t="n">
        <v>32.61</v>
      </c>
      <c r="AD47" s="10" t="n">
        <v>393.47</v>
      </c>
      <c r="AE47" s="10" t="n">
        <v>6.95</v>
      </c>
      <c r="AF47" s="10" t="n">
        <v>1.7</v>
      </c>
      <c r="AG47" s="10" t="n">
        <v>4.31</v>
      </c>
      <c r="AH47" s="10" t="n">
        <v>1.74</v>
      </c>
      <c r="AI47" s="10" t="inlineStr"/>
      <c r="AJ47" s="11">
        <f>IFERROR(INDEX(Country_Context!$B$2:$B$87,MATCH($C47,Country_Context!$A$2:$A$87,0)),"")</f>
        <v/>
      </c>
      <c r="AK47" s="11">
        <f>IFERROR(INDEX(Country_Context!$C$2:$C$87,MATCH($C47,Country_Context!$A$2:$A$87,0)),"")</f>
        <v/>
      </c>
      <c r="AL47" s="11">
        <f>IFERROR(INDEX(Country_Context!$D$2:$D$87,MATCH($C47,Country_Context!$A$2:$A$87,0)),"")</f>
        <v/>
      </c>
      <c r="AM47" s="11">
        <f>IFERROR(INDEX(Country_Context!$E$2:$E$87,MATCH($C47,Country_Context!$A$2:$A$87,0)),"")</f>
        <v/>
      </c>
      <c r="AN47" s="11">
        <f>IFERROR(INDEX(Country_Context!$F$2:$F$87,MATCH($C47,Country_Context!$A$2:$A$87,0)),"")</f>
        <v/>
      </c>
      <c r="AO47" s="11">
        <f>IFERROR(INDEX(Country_Context!$G$2:$G$87,MATCH($C47,Country_Context!$A$2:$A$87,0)),"")</f>
        <v/>
      </c>
      <c r="AP47" s="12" t="inlineStr">
        <is>
          <t>https://api.worldbank.org/v2/country/PRT/indicator/NY.GNP.PCAP.PP.CD?format=json&amp;mrv=10 | https://data.worldbank.org/indicator/NY.GNP.PCAP.PP.CD | https://ilostat.ilo.org/data/indicator/?id=HOW_TEMP_SEX_ECO_NB_A&amp;ref_area=PRT | +4 more</t>
        </is>
      </c>
      <c r="AQ47" s="12" t="inlineStr">
        <is>
          <t>Tier 3, Tier 4</t>
        </is>
      </c>
      <c r="AR47" s="12" t="inlineStr">
        <is>
          <t>2025-12-31</t>
        </is>
      </c>
      <c r="AS47" s="12" t="inlineStr">
        <is>
          <t>providers=world_bank_col_estimate, derived, ilo_ilostat, who_gho; fields=gross_income, rent, utilities, transit_cost; +9 additional fields</t>
        </is>
      </c>
      <c r="AT47" s="12" t="inlineStr">
        <is>
          <t>https://api.worldbank.org/v2/country/PRT/indicator/VC.IHR.PSRC.P5?format=json&amp;mrv=10 | https://api.worldbank.org/v2/country/PRT/indicator/SH.H2O.SMDW.ZS?format=json&amp;mrv=10 | https://api.worldbank.org/v2/country/PRT/indicator/IT.NET.BBND.P2?format=json&amp;mrv=10 | +1 more</t>
        </is>
      </c>
      <c r="AU47" s="12" t="inlineStr">
        <is>
          <t>Tier 3</t>
        </is>
      </c>
      <c r="AV47" s="12" t="inlineStr">
        <is>
          <t>2024-12-31</t>
        </is>
      </c>
      <c r="AW47" s="12" t="inlineStr">
        <is>
          <t>providers=world_bank, wmo_natl_met; fields=personal_safety_raw, water_sanitation_utility_raw, digital_infrastructure_raw, climate_sunlight_livability_raw</t>
        </is>
      </c>
      <c r="AX47" s="12" t="inlineStr">
        <is>
          <t>https://www.who.int/data/gho/data/indicators/indicator-details/GHO/UHC_INDEX_REPORTED | https://api.worldbank.org/v2/country/PRT/indicator/SE.TER.ENRR?format=json&amp;mrv=10 | https://api.worldbank.org/v2/country/PRT/indicator/SI.POV.GINI?format=json&amp;mrv=10 | +1 more</t>
        </is>
      </c>
      <c r="AY47" s="12" t="inlineStr">
        <is>
          <t>Tier 3</t>
        </is>
      </c>
      <c r="AZ47" s="12" t="inlineStr">
        <is>
          <t>2023-12-31</t>
        </is>
      </c>
      <c r="BA47" s="12" t="inlineStr">
        <is>
          <t>providers=who_gho, world_bank; fields=healthcare_quality_raw, education_quality_raw, equal_opportunity_raw, gini_coefficient</t>
        </is>
      </c>
      <c r="BB47" s="12" t="inlineStr">
        <is>
          <t>https://api.worldbank.org/v2/country/PRT/indicator/SM.POP.NETM?format=json&amp;mrv=10 | https://api.worldbank.org/v2/country/PRT/indicator/SG.GEN.PARL.ZS?format=json&amp;mrv=10 | https://api.worldbank.org/v2/country/PRT/indicator/ST.INT.ARVL?format=json&amp;mrv=10 | +1 more</t>
        </is>
      </c>
      <c r="BC47" s="12" t="inlineStr">
        <is>
          <t>Tier 3</t>
        </is>
      </c>
      <c r="BD47" s="12" t="inlineStr">
        <is>
          <t>2025-12-31</t>
        </is>
      </c>
      <c r="BE47" s="12" t="inlineStr">
        <is>
          <t>providers=world_bank; fields=hospitality_belonging_raw, tolerance_pluralism_raw, cultural_public_life_raw, birth_rate_optimism_raw</t>
        </is>
      </c>
      <c r="BF47" s="12" t="inlineStr">
        <is>
          <t>https://api.worldbank.org/v2/country/PRT/indicator/IC.BUS.NDNS.ZS?format=json&amp;mrv=10 | https://api.worldbank.org/v2/country/PRT/indicator/GB.XPD.RSDV.GD.ZS?format=json&amp;mrv=10 | https://api.worldbank.org/v2/country/PRT/indicator/BX.KLT.DINV.WD.GD.ZS?format=json&amp;mrv=10 | +3 more</t>
        </is>
      </c>
      <c r="BG47" s="12" t="inlineStr">
        <is>
          <t>Tier 3</t>
        </is>
      </c>
      <c r="BH47" s="12" t="inlineStr">
        <is>
          <t>2024-12-31</t>
        </is>
      </c>
      <c r="BI47" s="12" t="inlineStr">
        <is>
          <t>providers=world_bank; fields=entrepreneurial_dynamism_raw, innovation_research_intensity_raw, investment_signal_raw, administrative_investment_friction_raw; +2 additional fields</t>
        </is>
      </c>
      <c r="BJ47" s="9" t="n">
        <v>1.43</v>
      </c>
    </row>
    <row r="48">
      <c r="A48" s="9" t="inlineStr">
        <is>
          <t>ee-tallinn</t>
        </is>
      </c>
      <c r="B48" s="9" t="inlineStr">
        <is>
          <t>Tallinn</t>
        </is>
      </c>
      <c r="C48" s="9" t="inlineStr">
        <is>
          <t>Estonia</t>
        </is>
      </c>
      <c r="D48" s="9" t="inlineStr">
        <is>
          <t>Western, Northern, and Southern Europe</t>
        </is>
      </c>
      <c r="E48" s="9" t="inlineStr">
        <is>
          <t>secondary</t>
        </is>
      </c>
      <c r="F48" s="9" t="inlineStr">
        <is>
          <t>locked</t>
        </is>
      </c>
      <c r="G48" s="10" t="n">
        <v>4073.33</v>
      </c>
      <c r="H48" s="10" t="n">
        <v>1283.1</v>
      </c>
      <c r="I48" s="10" t="n">
        <v>256.62</v>
      </c>
      <c r="J48" s="10" t="n">
        <v>183.3</v>
      </c>
      <c r="K48" s="10" t="n">
        <v>54.99</v>
      </c>
      <c r="L48" s="10" t="n">
        <v>549.9</v>
      </c>
      <c r="M48" s="11" t="inlineStr"/>
      <c r="N48" s="10" t="n">
        <v>31.5</v>
      </c>
      <c r="O48" s="10" t="n">
        <v>60.5329</v>
      </c>
      <c r="P48" s="11">
        <f>IF($O48&lt;&gt;"",$O48,$AO48)</f>
        <v/>
      </c>
      <c r="Q48" s="10" t="n">
        <v>35.8</v>
      </c>
      <c r="R48" s="10" t="n">
        <v>14.94</v>
      </c>
      <c r="S48" s="10" t="n">
        <v>1.54</v>
      </c>
      <c r="T48" s="10" t="inlineStr"/>
      <c r="U48" s="10" t="inlineStr"/>
      <c r="V48" s="10" t="n">
        <v>98.94</v>
      </c>
      <c r="W48" s="10" t="n">
        <v>35.25</v>
      </c>
      <c r="X48" s="9" t="n">
        <v>34</v>
      </c>
      <c r="Y48" s="10" t="n">
        <v>79</v>
      </c>
      <c r="Z48" s="10" t="n">
        <v>67.62</v>
      </c>
      <c r="AA48" s="10" t="n">
        <v>30.7</v>
      </c>
      <c r="AB48" s="10" t="n">
        <v>40.27</v>
      </c>
      <c r="AC48" s="10" t="n">
        <v>29.7</v>
      </c>
      <c r="AD48" s="10" t="n">
        <v>1235.12</v>
      </c>
      <c r="AE48" s="10" t="n">
        <v>24.32</v>
      </c>
      <c r="AF48" s="10" t="n">
        <v>1.78</v>
      </c>
      <c r="AG48" s="10" t="n">
        <v>-7.97</v>
      </c>
      <c r="AH48" s="10" t="n">
        <v>1.07</v>
      </c>
      <c r="AI48" s="10" t="inlineStr"/>
      <c r="AJ48" s="11">
        <f>IFERROR(INDEX(Country_Context!$B$2:$B$87,MATCH($C48,Country_Context!$A$2:$A$87,0)),"")</f>
        <v/>
      </c>
      <c r="AK48" s="11">
        <f>IFERROR(INDEX(Country_Context!$C$2:$C$87,MATCH($C48,Country_Context!$A$2:$A$87,0)),"")</f>
        <v/>
      </c>
      <c r="AL48" s="11">
        <f>IFERROR(INDEX(Country_Context!$D$2:$D$87,MATCH($C48,Country_Context!$A$2:$A$87,0)),"")</f>
        <v/>
      </c>
      <c r="AM48" s="11">
        <f>IFERROR(INDEX(Country_Context!$E$2:$E$87,MATCH($C48,Country_Context!$A$2:$A$87,0)),"")</f>
        <v/>
      </c>
      <c r="AN48" s="11">
        <f>IFERROR(INDEX(Country_Context!$F$2:$F$87,MATCH($C48,Country_Context!$A$2:$A$87,0)),"")</f>
        <v/>
      </c>
      <c r="AO48" s="11">
        <f>IFERROR(INDEX(Country_Context!$G$2:$G$87,MATCH($C48,Country_Context!$A$2:$A$87,0)),"")</f>
        <v/>
      </c>
      <c r="AP48" s="12" t="inlineStr">
        <is>
          <t>https://api.worldbank.org/v2/country/EST/indicator/NY.GNP.PCAP.PP.CD?format=json&amp;mrv=10 | https://data.worldbank.org/indicator/NY.GNP.PCAP.PP.CD | https://ilostat.ilo.org/data/indicator/?id=HOW_TEMP_SEX_ECO_NB_A&amp;ref_area=EST | +4 more</t>
        </is>
      </c>
      <c r="AQ48" s="12" t="inlineStr">
        <is>
          <t>Tier 3, Tier 4</t>
        </is>
      </c>
      <c r="AR48" s="12" t="inlineStr">
        <is>
          <t>2024-12-31</t>
        </is>
      </c>
      <c r="AS48" s="12" t="inlineStr">
        <is>
          <t>providers=world_bank_col_estimate, derived, ilo_ilostat, who_gho; fields=gross_income, rent, utilities, transit_cost; +9 additional fields</t>
        </is>
      </c>
      <c r="AT48" s="12" t="inlineStr">
        <is>
          <t>https://api.worldbank.org/v2/country/EST/indicator/VC.IHR.PSRC.P5?format=json&amp;mrv=10 | https://api.worldbank.org/v2/country/EST/indicator/SH.H2O.SMDW.ZS?format=json&amp;mrv=10 | https://api.worldbank.org/v2/country/EST/indicator/IT.NET.BBND.P2?format=json&amp;mrv=10 | +1 more</t>
        </is>
      </c>
      <c r="AU48" s="12" t="inlineStr">
        <is>
          <t>Tier 3</t>
        </is>
      </c>
      <c r="AV48" s="12" t="inlineStr">
        <is>
          <t>2024-12-31</t>
        </is>
      </c>
      <c r="AW48" s="12" t="inlineStr">
        <is>
          <t>providers=world_bank, wmo_natl_met; fields=personal_safety_raw, water_sanitation_utility_raw, digital_infrastructure_raw, climate_sunlight_livability_raw</t>
        </is>
      </c>
      <c r="AX48" s="12" t="inlineStr">
        <is>
          <t>https://www.who.int/data/gho/data/indicators/indicator-details/GHO/UHC_INDEX_REPORTED | https://api.worldbank.org/v2/country/EST/indicator/SE.TER.ENRR?format=json&amp;mrv=10 | https://api.worldbank.org/v2/country/EST/indicator/SI.POV.GINI?format=json&amp;mrv=10 | +1 more</t>
        </is>
      </c>
      <c r="AY48" s="12" t="inlineStr">
        <is>
          <t>Tier 3</t>
        </is>
      </c>
      <c r="AZ48" s="12" t="inlineStr">
        <is>
          <t>2023-12-31</t>
        </is>
      </c>
      <c r="BA48" s="12" t="inlineStr">
        <is>
          <t>providers=who_gho, world_bank; fields=healthcare_quality_raw, education_quality_raw, equal_opportunity_raw, gini_coefficient</t>
        </is>
      </c>
      <c r="BB48" s="12" t="inlineStr">
        <is>
          <t>https://api.worldbank.org/v2/country/EST/indicator/SM.POP.NETM?format=json&amp;mrv=10 | https://api.worldbank.org/v2/country/EST/indicator/SG.GEN.PARL.ZS?format=json&amp;mrv=10 | https://api.worldbank.org/v2/country/EST/indicator/ST.INT.ARVL?format=json&amp;mrv=10</t>
        </is>
      </c>
      <c r="BC48" s="12" t="inlineStr">
        <is>
          <t>Tier 3</t>
        </is>
      </c>
      <c r="BD48" s="12" t="inlineStr">
        <is>
          <t>2025-12-31</t>
        </is>
      </c>
      <c r="BE48" s="12" t="inlineStr">
        <is>
          <t>providers=world_bank; fields=hospitality_belonging_raw, tolerance_pluralism_raw, cultural_public_life_raw</t>
        </is>
      </c>
      <c r="BF48" s="12" t="inlineStr">
        <is>
          <t>https://api.worldbank.org/v2/country/EST/indicator/IC.BUS.NDNS.ZS?format=json&amp;mrv=10 | https://api.worldbank.org/v2/country/EST/indicator/GB.XPD.RSDV.GD.ZS?format=json&amp;mrv=10 | https://api.worldbank.org/v2/country/EST/indicator/BX.KLT.DINV.WD.GD.ZS?format=json&amp;mrv=10 | +3 more</t>
        </is>
      </c>
      <c r="BG48" s="12" t="inlineStr">
        <is>
          <t>Tier 3</t>
        </is>
      </c>
      <c r="BH48" s="12" t="inlineStr">
        <is>
          <t>2024-12-31</t>
        </is>
      </c>
      <c r="BI48" s="12" t="inlineStr">
        <is>
          <t>providers=world_bank; fields=entrepreneurial_dynamism_raw, innovation_research_intensity_raw, investment_signal_raw, administrative_investment_friction_raw; +2 additional fields</t>
        </is>
      </c>
      <c r="BJ48" s="9" t="inlineStr"/>
    </row>
    <row r="49">
      <c r="A49" s="9" t="inlineStr">
        <is>
          <t>fi-helsinki</t>
        </is>
      </c>
      <c r="B49" s="9" t="inlineStr">
        <is>
          <t>Helsinki</t>
        </is>
      </c>
      <c r="C49" s="9" t="inlineStr">
        <is>
          <t>Finland</t>
        </is>
      </c>
      <c r="D49" s="9" t="inlineStr">
        <is>
          <t>Western, Northern, and Southern Europe</t>
        </is>
      </c>
      <c r="E49" s="9" t="inlineStr">
        <is>
          <t>secondary</t>
        </is>
      </c>
      <c r="F49" s="9" t="inlineStr">
        <is>
          <t>provisional</t>
        </is>
      </c>
      <c r="G49" s="10" t="n">
        <v>5470</v>
      </c>
      <c r="H49" s="10" t="n">
        <v>2010.22</v>
      </c>
      <c r="I49" s="10" t="n">
        <v>402.05</v>
      </c>
      <c r="J49" s="10" t="n">
        <v>287.18</v>
      </c>
      <c r="K49" s="10" t="n">
        <v>86.15000000000001</v>
      </c>
      <c r="L49" s="10" t="n">
        <v>861.53</v>
      </c>
      <c r="M49" s="11" t="inlineStr"/>
      <c r="N49" s="10" t="n">
        <v>36.7499</v>
      </c>
      <c r="O49" s="10" t="n">
        <v>90.8647</v>
      </c>
      <c r="P49" s="11">
        <f>IF($O49&lt;&gt;"",$O49,$AO49)</f>
        <v/>
      </c>
      <c r="Q49" s="10" t="n">
        <v>33.83</v>
      </c>
      <c r="R49" s="10" t="n">
        <v>14.57</v>
      </c>
      <c r="S49" s="10" t="n">
        <v>0.98</v>
      </c>
      <c r="T49" s="10" t="inlineStr"/>
      <c r="U49" s="10" t="inlineStr"/>
      <c r="V49" s="10" t="n">
        <v>99.65000000000001</v>
      </c>
      <c r="W49" s="10" t="n">
        <v>35.33</v>
      </c>
      <c r="X49" s="9" t="n">
        <v>32</v>
      </c>
      <c r="Y49" s="10" t="n">
        <v>86</v>
      </c>
      <c r="Z49" s="10" t="n">
        <v>108.13</v>
      </c>
      <c r="AA49" s="10" t="n">
        <v>27.4</v>
      </c>
      <c r="AB49" s="10" t="n">
        <v>53.25</v>
      </c>
      <c r="AC49" s="10" t="n">
        <v>46</v>
      </c>
      <c r="AD49" s="10" t="n">
        <v>159.43</v>
      </c>
      <c r="AE49" s="10" t="n">
        <v>6.11</v>
      </c>
      <c r="AF49" s="10" t="n">
        <v>2.96</v>
      </c>
      <c r="AG49" s="10" t="n">
        <v>2.93</v>
      </c>
      <c r="AH49" s="10" t="n">
        <v>0.73</v>
      </c>
      <c r="AI49" s="10" t="inlineStr"/>
      <c r="AJ49" s="11">
        <f>IFERROR(INDEX(Country_Context!$B$2:$B$87,MATCH($C49,Country_Context!$A$2:$A$87,0)),"")</f>
        <v/>
      </c>
      <c r="AK49" s="11">
        <f>IFERROR(INDEX(Country_Context!$C$2:$C$87,MATCH($C49,Country_Context!$A$2:$A$87,0)),"")</f>
        <v/>
      </c>
      <c r="AL49" s="11">
        <f>IFERROR(INDEX(Country_Context!$D$2:$D$87,MATCH($C49,Country_Context!$A$2:$A$87,0)),"")</f>
        <v/>
      </c>
      <c r="AM49" s="11">
        <f>IFERROR(INDEX(Country_Context!$E$2:$E$87,MATCH($C49,Country_Context!$A$2:$A$87,0)),"")</f>
        <v/>
      </c>
      <c r="AN49" s="11">
        <f>IFERROR(INDEX(Country_Context!$F$2:$F$87,MATCH($C49,Country_Context!$A$2:$A$87,0)),"")</f>
        <v/>
      </c>
      <c r="AO49" s="11">
        <f>IFERROR(INDEX(Country_Context!$G$2:$G$87,MATCH($C49,Country_Context!$A$2:$A$87,0)),"")</f>
        <v/>
      </c>
      <c r="AP49" s="12" t="inlineStr">
        <is>
          <t>https://api.worldbank.org/v2/country/FIN/indicator/NY.GNP.PCAP.PP.CD?format=json&amp;mrv=10 | https://data.worldbank.org/indicator/NY.GNP.PCAP.PP.CD | https://ilostat.ilo.org/data/indicator/?id=HOW_TEMP_SEX_ECO_NB_A&amp;ref_area=FIN | +4 more</t>
        </is>
      </c>
      <c r="AQ49" s="12" t="inlineStr">
        <is>
          <t>Tier 3, Tier 4</t>
        </is>
      </c>
      <c r="AR49" s="12" t="inlineStr">
        <is>
          <t>2024-12-31</t>
        </is>
      </c>
      <c r="AS49" s="12" t="inlineStr">
        <is>
          <t>providers=world_bank_col_estimate, derived, ilo_ilostat, who_gho; fields=gross_income, rent, utilities, transit_cost; +9 additional fields</t>
        </is>
      </c>
      <c r="AT49" s="12" t="inlineStr">
        <is>
          <t>https://api.worldbank.org/v2/country/FIN/indicator/VC.IHR.PSRC.P5?format=json&amp;mrv=10 | https://api.worldbank.org/v2/country/FIN/indicator/SH.H2O.SMDW.ZS?format=json&amp;mrv=10 | https://api.worldbank.org/v2/country/FIN/indicator/IT.NET.BBND.P2?format=json&amp;mrv=10 | +1 more</t>
        </is>
      </c>
      <c r="AU49" s="12" t="inlineStr">
        <is>
          <t>Tier 3</t>
        </is>
      </c>
      <c r="AV49" s="12" t="inlineStr">
        <is>
          <t>2024-12-31</t>
        </is>
      </c>
      <c r="AW49" s="12" t="inlineStr">
        <is>
          <t>providers=world_bank, wmo_natl_met; fields=personal_safety_raw, water_sanitation_utility_raw, digital_infrastructure_raw, climate_sunlight_livability_raw</t>
        </is>
      </c>
      <c r="AX49" s="12" t="inlineStr">
        <is>
          <t>https://www.who.int/data/gho/data/indicators/indicator-details/GHO/UHC_INDEX_REPORTED | https://api.worldbank.org/v2/country/FIN/indicator/SE.TER.ENRR?format=json&amp;mrv=10 | https://api.worldbank.org/v2/country/FIN/indicator/SI.POV.GINI?format=json&amp;mrv=10 | +1 more</t>
        </is>
      </c>
      <c r="AY49" s="12" t="inlineStr">
        <is>
          <t>Tier 3</t>
        </is>
      </c>
      <c r="AZ49" s="12" t="inlineStr">
        <is>
          <t>2023-12-31</t>
        </is>
      </c>
      <c r="BA49" s="12" t="inlineStr">
        <is>
          <t>providers=who_gho, world_bank; fields=healthcare_quality_raw, education_quality_raw, equal_opportunity_raw, gini_coefficient</t>
        </is>
      </c>
      <c r="BB49" s="12" t="inlineStr">
        <is>
          <t>https://api.worldbank.org/v2/country/FIN/indicator/SM.POP.NETM?format=json&amp;mrv=10 | https://api.worldbank.org/v2/country/FIN/indicator/SG.GEN.PARL.ZS?format=json&amp;mrv=10 | https://api.worldbank.org/v2/country/FIN/indicator/ST.INT.ARVL?format=json&amp;mrv=10 | +1 more</t>
        </is>
      </c>
      <c r="BC49" s="12" t="inlineStr">
        <is>
          <t>Tier 3</t>
        </is>
      </c>
      <c r="BD49" s="12" t="inlineStr">
        <is>
          <t>2025-12-31</t>
        </is>
      </c>
      <c r="BE49" s="12" t="inlineStr">
        <is>
          <t>providers=world_bank; fields=hospitality_belonging_raw, tolerance_pluralism_raw, cultural_public_life_raw, birth_rate_optimism_raw</t>
        </is>
      </c>
      <c r="BF49" s="12" t="inlineStr">
        <is>
          <t>https://api.worldbank.org/v2/country/FIN/indicator/IC.BUS.NDNS.ZS?format=json&amp;mrv=10 | https://api.worldbank.org/v2/country/FIN/indicator/GB.XPD.RSDV.GD.ZS?format=json&amp;mrv=10 | https://api.worldbank.org/v2/country/FIN/indicator/BX.KLT.DINV.WD.GD.ZS?format=json&amp;mrv=10 | +3 more</t>
        </is>
      </c>
      <c r="BG49" s="12" t="inlineStr">
        <is>
          <t>Tier 3</t>
        </is>
      </c>
      <c r="BH49" s="12" t="inlineStr">
        <is>
          <t>2024-12-31</t>
        </is>
      </c>
      <c r="BI49" s="12" t="inlineStr">
        <is>
          <t>providers=world_bank; fields=entrepreneurial_dynamism_raw, innovation_research_intensity_raw, investment_signal_raw, administrative_investment_friction_raw; +2 additional fields</t>
        </is>
      </c>
      <c r="BJ49" s="9" t="n">
        <v>1.32</v>
      </c>
    </row>
    <row r="50">
      <c r="A50" s="9" t="inlineStr">
        <is>
          <t>it-bologna</t>
        </is>
      </c>
      <c r="B50" s="9" t="inlineStr">
        <is>
          <t>Bologna</t>
        </is>
      </c>
      <c r="C50" s="9" t="inlineStr">
        <is>
          <t>Italy</t>
        </is>
      </c>
      <c r="D50" s="9" t="inlineStr">
        <is>
          <t>Western, Northern, and Southern Europe</t>
        </is>
      </c>
      <c r="E50" s="9" t="inlineStr">
        <is>
          <t>secondary</t>
        </is>
      </c>
      <c r="F50" s="9" t="inlineStr">
        <is>
          <t>provisional</t>
        </is>
      </c>
      <c r="G50" s="10" t="n">
        <v>5135</v>
      </c>
      <c r="H50" s="10" t="n">
        <v>1617.52</v>
      </c>
      <c r="I50" s="10" t="n">
        <v>323.51</v>
      </c>
      <c r="J50" s="10" t="n">
        <v>231.08</v>
      </c>
      <c r="K50" s="10" t="n">
        <v>69.31999999999999</v>
      </c>
      <c r="L50" s="10" t="n">
        <v>693.23</v>
      </c>
      <c r="M50" s="11" t="inlineStr"/>
      <c r="N50" s="10" t="n">
        <v>31.4999</v>
      </c>
      <c r="O50" s="10" t="n">
        <v>59.3116</v>
      </c>
      <c r="P50" s="11">
        <f>IF($O50&lt;&gt;"",$O50,$AO50)</f>
        <v/>
      </c>
      <c r="Q50" s="10" t="n">
        <v>35.96</v>
      </c>
      <c r="R50" s="10" t="n">
        <v>6.99</v>
      </c>
      <c r="S50" s="10" t="n">
        <v>0.57</v>
      </c>
      <c r="T50" s="10" t="inlineStr"/>
      <c r="U50" s="10" t="inlineStr"/>
      <c r="V50" s="10" t="n">
        <v>96.76000000000001</v>
      </c>
      <c r="W50" s="10" t="n">
        <v>31.84</v>
      </c>
      <c r="X50" s="9" t="n">
        <v>56</v>
      </c>
      <c r="Y50" s="10" t="n">
        <v>82</v>
      </c>
      <c r="Z50" s="10" t="n">
        <v>75.95</v>
      </c>
      <c r="AA50" s="10" t="n">
        <v>34.3</v>
      </c>
      <c r="AB50" s="10" t="n">
        <v>51.28</v>
      </c>
      <c r="AC50" s="10" t="n">
        <v>32.25</v>
      </c>
      <c r="AD50" s="10" t="n">
        <v>651.6900000000001</v>
      </c>
      <c r="AE50" s="10" t="n">
        <v>2.85</v>
      </c>
      <c r="AF50" s="10" t="n">
        <v>1.39</v>
      </c>
      <c r="AG50" s="10" t="n">
        <v>1.13</v>
      </c>
      <c r="AH50" s="10" t="n">
        <v>1.86</v>
      </c>
      <c r="AI50" s="10" t="inlineStr"/>
      <c r="AJ50" s="11">
        <f>IFERROR(INDEX(Country_Context!$B$2:$B$87,MATCH($C50,Country_Context!$A$2:$A$87,0)),"")</f>
        <v/>
      </c>
      <c r="AK50" s="11">
        <f>IFERROR(INDEX(Country_Context!$C$2:$C$87,MATCH($C50,Country_Context!$A$2:$A$87,0)),"")</f>
        <v/>
      </c>
      <c r="AL50" s="11">
        <f>IFERROR(INDEX(Country_Context!$D$2:$D$87,MATCH($C50,Country_Context!$A$2:$A$87,0)),"")</f>
        <v/>
      </c>
      <c r="AM50" s="11">
        <f>IFERROR(INDEX(Country_Context!$E$2:$E$87,MATCH($C50,Country_Context!$A$2:$A$87,0)),"")</f>
        <v/>
      </c>
      <c r="AN50" s="11">
        <f>IFERROR(INDEX(Country_Context!$F$2:$F$87,MATCH($C50,Country_Context!$A$2:$A$87,0)),"")</f>
        <v/>
      </c>
      <c r="AO50" s="11">
        <f>IFERROR(INDEX(Country_Context!$G$2:$G$87,MATCH($C50,Country_Context!$A$2:$A$87,0)),"")</f>
        <v/>
      </c>
      <c r="AP50" s="12" t="inlineStr">
        <is>
          <t>https://api.worldbank.org/v2/country/ITA/indicator/NY.GNP.PCAP.PP.CD?format=json&amp;mrv=10 | https://data.worldbank.org/indicator/NY.GNP.PCAP.PP.CD | https://ilostat.ilo.org/data/indicator/?id=HOW_TEMP_SEX_ECO_NB_A&amp;ref_area=ITA | +4 more</t>
        </is>
      </c>
      <c r="AQ50" s="12" t="inlineStr">
        <is>
          <t>Tier 3, Tier 4</t>
        </is>
      </c>
      <c r="AR50" s="12" t="inlineStr">
        <is>
          <t>2024-12-31</t>
        </is>
      </c>
      <c r="AS50" s="12" t="inlineStr">
        <is>
          <t>providers=world_bank_col_estimate, derived, ilo_ilostat, who_gho; fields=gross_income, rent, utilities, transit_cost; +9 additional fields</t>
        </is>
      </c>
      <c r="AT50" s="12" t="inlineStr">
        <is>
          <t>https://api.worldbank.org/v2/country/ITA/indicator/VC.IHR.PSRC.P5?format=json&amp;mrv=10 | https://api.worldbank.org/v2/country/ITA/indicator/SH.H2O.SMDW.ZS?format=json&amp;mrv=10 | https://api.worldbank.org/v2/country/ITA/indicator/IT.NET.BBND.P2?format=json&amp;mrv=10 | +1 more</t>
        </is>
      </c>
      <c r="AU50" s="12" t="inlineStr">
        <is>
          <t>Tier 3</t>
        </is>
      </c>
      <c r="AV50" s="12" t="inlineStr">
        <is>
          <t>2024-12-31</t>
        </is>
      </c>
      <c r="AW50" s="12" t="inlineStr">
        <is>
          <t>providers=world_bank, wmo_natl_met; fields=personal_safety_raw, water_sanitation_utility_raw, digital_infrastructure_raw, climate_sunlight_livability_raw</t>
        </is>
      </c>
      <c r="AX50" s="12" t="inlineStr">
        <is>
          <t>https://www.who.int/data/gho/data/indicators/indicator-details/GHO/UHC_INDEX_REPORTED | https://api.worldbank.org/v2/country/ITA/indicator/SE.TER.ENRR?format=json&amp;mrv=10 | https://api.worldbank.org/v2/country/ITA/indicator/SI.POV.GINI?format=json&amp;mrv=10 | +1 more</t>
        </is>
      </c>
      <c r="AY50" s="12" t="inlineStr">
        <is>
          <t>Tier 3</t>
        </is>
      </c>
      <c r="AZ50" s="12" t="inlineStr">
        <is>
          <t>2023-12-31</t>
        </is>
      </c>
      <c r="BA50" s="12" t="inlineStr">
        <is>
          <t>providers=who_gho, world_bank; fields=healthcare_quality_raw, education_quality_raw, equal_opportunity_raw, gini_coefficient</t>
        </is>
      </c>
      <c r="BB50" s="12" t="inlineStr">
        <is>
          <t>https://api.worldbank.org/v2/country/ITA/indicator/SM.POP.NETM?format=json&amp;mrv=10 | https://api.worldbank.org/v2/country/ITA/indicator/SG.GEN.PARL.ZS?format=json&amp;mrv=10 | https://api.worldbank.org/v2/country/ITA/indicator/ST.INT.ARVL?format=json&amp;mrv=10 | +1 more</t>
        </is>
      </c>
      <c r="BC50" s="12" t="inlineStr">
        <is>
          <t>Tier 3</t>
        </is>
      </c>
      <c r="BD50" s="12" t="inlineStr">
        <is>
          <t>2025-12-31</t>
        </is>
      </c>
      <c r="BE50" s="12" t="inlineStr">
        <is>
          <t>providers=world_bank; fields=hospitality_belonging_raw, tolerance_pluralism_raw, cultural_public_life_raw, birth_rate_optimism_raw</t>
        </is>
      </c>
      <c r="BF50" s="12" t="inlineStr">
        <is>
          <t>https://api.worldbank.org/v2/country/ITA/indicator/IC.BUS.NDNS.ZS?format=json&amp;mrv=10 | https://api.worldbank.org/v2/country/ITA/indicator/GB.XPD.RSDV.GD.ZS?format=json&amp;mrv=10 | https://api.worldbank.org/v2/country/ITA/indicator/BX.KLT.DINV.WD.GD.ZS?format=json&amp;mrv=10 | +3 more</t>
        </is>
      </c>
      <c r="BG50" s="12" t="inlineStr">
        <is>
          <t>Tier 3</t>
        </is>
      </c>
      <c r="BH50" s="12" t="inlineStr">
        <is>
          <t>2024-12-31</t>
        </is>
      </c>
      <c r="BI50" s="12" t="inlineStr">
        <is>
          <t>providers=world_bank; fields=entrepreneurial_dynamism_raw, innovation_research_intensity_raw, investment_signal_raw, administrative_investment_friction_raw; +2 additional fields</t>
        </is>
      </c>
      <c r="BJ50" s="9" t="n">
        <v>1.24</v>
      </c>
    </row>
    <row r="51">
      <c r="A51" s="9" t="inlineStr">
        <is>
          <t>ru-moscow</t>
        </is>
      </c>
      <c r="B51" s="9" t="inlineStr">
        <is>
          <t>Moscow</t>
        </is>
      </c>
      <c r="C51" s="9" t="inlineStr">
        <is>
          <t>Russia</t>
        </is>
      </c>
      <c r="D51" s="9" t="inlineStr">
        <is>
          <t>Southern/Eastern Europe and Eurasia</t>
        </is>
      </c>
      <c r="E51" s="9" t="inlineStr">
        <is>
          <t>primary</t>
        </is>
      </c>
      <c r="F51" s="9" t="inlineStr">
        <is>
          <t>locked</t>
        </is>
      </c>
      <c r="G51" s="10" t="n">
        <v>5847.5</v>
      </c>
      <c r="H51" s="10" t="n">
        <v>1900.44</v>
      </c>
      <c r="I51" s="10" t="n">
        <v>608.14</v>
      </c>
      <c r="J51" s="10" t="n">
        <v>304.07</v>
      </c>
      <c r="K51" s="10" t="n">
        <v>114.03</v>
      </c>
      <c r="L51" s="10" t="n">
        <v>1520.35</v>
      </c>
      <c r="M51" s="11" t="inlineStr"/>
      <c r="N51" s="10" t="n">
        <v>32.5</v>
      </c>
      <c r="O51" s="10" t="n">
        <v>54.6413</v>
      </c>
      <c r="P51" s="11">
        <f>IF($O51&lt;&gt;"",$O51,$AO51)</f>
        <v/>
      </c>
      <c r="Q51" s="10" t="n">
        <v>39.17</v>
      </c>
      <c r="R51" s="10" t="n">
        <v>21.37</v>
      </c>
      <c r="S51" s="10" t="n">
        <v>6.77</v>
      </c>
      <c r="T51" s="10" t="inlineStr"/>
      <c r="U51" s="10" t="inlineStr"/>
      <c r="V51" s="10" t="n">
        <v>76.26000000000001</v>
      </c>
      <c r="W51" s="10" t="n">
        <v>25.82</v>
      </c>
      <c r="X51" s="9" t="inlineStr"/>
      <c r="Y51" s="10" t="n">
        <v>81</v>
      </c>
      <c r="Z51" s="10" t="n">
        <v>60.39</v>
      </c>
      <c r="AA51" s="10" t="n">
        <v>33</v>
      </c>
      <c r="AB51" s="10" t="n">
        <v>48.25</v>
      </c>
      <c r="AC51" s="10" t="n">
        <v>16.44</v>
      </c>
      <c r="AD51" s="10" t="n">
        <v>44.3</v>
      </c>
      <c r="AE51" s="10" t="n">
        <v>2.52</v>
      </c>
      <c r="AF51" s="10" t="n">
        <v>0.93</v>
      </c>
      <c r="AG51" s="10" t="n">
        <v>-0.43</v>
      </c>
      <c r="AH51" s="10" t="n">
        <v>3.62</v>
      </c>
      <c r="AI51" s="10" t="inlineStr"/>
      <c r="AJ51" s="11">
        <f>IFERROR(INDEX(Country_Context!$B$2:$B$87,MATCH($C51,Country_Context!$A$2:$A$87,0)),"")</f>
        <v/>
      </c>
      <c r="AK51" s="11">
        <f>IFERROR(INDEX(Country_Context!$C$2:$C$87,MATCH($C51,Country_Context!$A$2:$A$87,0)),"")</f>
        <v/>
      </c>
      <c r="AL51" s="11">
        <f>IFERROR(INDEX(Country_Context!$D$2:$D$87,MATCH($C51,Country_Context!$A$2:$A$87,0)),"")</f>
        <v/>
      </c>
      <c r="AM51" s="11">
        <f>IFERROR(INDEX(Country_Context!$E$2:$E$87,MATCH($C51,Country_Context!$A$2:$A$87,0)),"")</f>
        <v/>
      </c>
      <c r="AN51" s="11">
        <f>IFERROR(INDEX(Country_Context!$F$2:$F$87,MATCH($C51,Country_Context!$A$2:$A$87,0)),"")</f>
        <v/>
      </c>
      <c r="AO51" s="11">
        <f>IFERROR(INDEX(Country_Context!$G$2:$G$87,MATCH($C51,Country_Context!$A$2:$A$87,0)),"")</f>
        <v/>
      </c>
      <c r="AP51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1" s="12" t="inlineStr">
        <is>
          <t>Tier 3, Tier 4</t>
        </is>
      </c>
      <c r="AR51" s="12" t="inlineStr">
        <is>
          <t>2024-12-31</t>
        </is>
      </c>
      <c r="AS51" s="12" t="inlineStr">
        <is>
          <t>providers=world_bank_col_estimate, derived, ilo_ilostat, who_gho; fields=gross_income, rent, utilities, transit_cost; +9 additional fields</t>
        </is>
      </c>
      <c r="AT51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1" s="12" t="inlineStr">
        <is>
          <t>Tier 3</t>
        </is>
      </c>
      <c r="AV51" s="12" t="inlineStr">
        <is>
          <t>2024-12-31</t>
        </is>
      </c>
      <c r="AW51" s="12" t="inlineStr">
        <is>
          <t>providers=world_bank; fields=personal_safety_raw, water_sanitation_utility_raw, digital_infrastructure_raw</t>
        </is>
      </c>
      <c r="AX51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1" s="12" t="inlineStr">
        <is>
          <t>Tier 3</t>
        </is>
      </c>
      <c r="AZ51" s="12" t="inlineStr">
        <is>
          <t>2024-12-31</t>
        </is>
      </c>
      <c r="BA51" s="12" t="inlineStr">
        <is>
          <t>providers=who_gho, world_bank; fields=healthcare_quality_raw, education_quality_raw, equal_opportunity_raw, gini_coefficient</t>
        </is>
      </c>
      <c r="BB51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1" s="12" t="inlineStr">
        <is>
          <t>Tier 3</t>
        </is>
      </c>
      <c r="BD51" s="12" t="inlineStr">
        <is>
          <t>2025-12-31</t>
        </is>
      </c>
      <c r="BE51" s="12" t="inlineStr">
        <is>
          <t>providers=world_bank; fields=hospitality_belonging_raw, tolerance_pluralism_raw, cultural_public_life_raw</t>
        </is>
      </c>
      <c r="BF51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1" s="12" t="inlineStr">
        <is>
          <t>Tier 3</t>
        </is>
      </c>
      <c r="BH51" s="12" t="inlineStr">
        <is>
          <t>2024-12-31</t>
        </is>
      </c>
      <c r="BI51" s="12" t="inlineStr">
        <is>
          <t>providers=world_bank; fields=entrepreneurial_dynamism_raw, innovation_research_intensity_raw, investment_signal_raw, administrative_investment_friction_raw; +2 additional fields</t>
        </is>
      </c>
      <c r="BJ51" s="9" t="inlineStr"/>
    </row>
    <row r="52">
      <c r="A52" s="9" t="inlineStr">
        <is>
          <t>hu-budapest</t>
        </is>
      </c>
      <c r="B52" s="9" t="inlineStr">
        <is>
          <t>Budapest</t>
        </is>
      </c>
      <c r="C52" s="9" t="inlineStr">
        <is>
          <t>Hungary</t>
        </is>
      </c>
      <c r="D52" s="9" t="inlineStr">
        <is>
          <t>Southern/Eastern Europe and Eurasia</t>
        </is>
      </c>
      <c r="E52" s="9" t="inlineStr">
        <is>
          <t>primary</t>
        </is>
      </c>
      <c r="F52" s="9" t="inlineStr">
        <is>
          <t>locked</t>
        </is>
      </c>
      <c r="G52" s="10" t="n">
        <v>3940.83</v>
      </c>
      <c r="H52" s="10" t="n">
        <v>1083.73</v>
      </c>
      <c r="I52" s="10" t="n">
        <v>346.79</v>
      </c>
      <c r="J52" s="10" t="n">
        <v>173.4</v>
      </c>
      <c r="K52" s="10" t="n">
        <v>65.02</v>
      </c>
      <c r="L52" s="10" t="n">
        <v>866.98</v>
      </c>
      <c r="M52" s="11" t="inlineStr"/>
      <c r="N52" s="10" t="n">
        <v>27.5</v>
      </c>
      <c r="O52" s="10" t="n">
        <v>32.1191</v>
      </c>
      <c r="P52" s="11">
        <f>IF($O52&lt;&gt;"",$O52,$AO52)</f>
        <v/>
      </c>
      <c r="Q52" s="10" t="n">
        <v>37.18</v>
      </c>
      <c r="R52" s="10" t="n">
        <v>16.45</v>
      </c>
      <c r="S52" s="10" t="n">
        <v>0.72</v>
      </c>
      <c r="T52" s="10" t="inlineStr"/>
      <c r="U52" s="10" t="inlineStr"/>
      <c r="V52" s="10" t="n">
        <v>100</v>
      </c>
      <c r="W52" s="10" t="n">
        <v>36.79</v>
      </c>
      <c r="X52" s="9" t="n">
        <v>54</v>
      </c>
      <c r="Y52" s="10" t="n">
        <v>80</v>
      </c>
      <c r="Z52" s="10" t="n">
        <v>56.59</v>
      </c>
      <c r="AA52" s="10" t="n">
        <v>30.6</v>
      </c>
      <c r="AB52" s="10" t="n">
        <v>48.29</v>
      </c>
      <c r="AC52" s="10" t="n">
        <v>14.57</v>
      </c>
      <c r="AD52" s="10" t="n">
        <v>3309.01</v>
      </c>
      <c r="AE52" s="10" t="n">
        <v>4.32</v>
      </c>
      <c r="AF52" s="10" t="n">
        <v>1.39</v>
      </c>
      <c r="AG52" s="10" t="n">
        <v>-27.92</v>
      </c>
      <c r="AH52" s="10" t="n">
        <v>2.18</v>
      </c>
      <c r="AI52" s="10" t="inlineStr"/>
      <c r="AJ52" s="11">
        <f>IFERROR(INDEX(Country_Context!$B$2:$B$87,MATCH($C52,Country_Context!$A$2:$A$87,0)),"")</f>
        <v/>
      </c>
      <c r="AK52" s="11">
        <f>IFERROR(INDEX(Country_Context!$C$2:$C$87,MATCH($C52,Country_Context!$A$2:$A$87,0)),"")</f>
        <v/>
      </c>
      <c r="AL52" s="11">
        <f>IFERROR(INDEX(Country_Context!$D$2:$D$87,MATCH($C52,Country_Context!$A$2:$A$87,0)),"")</f>
        <v/>
      </c>
      <c r="AM52" s="11">
        <f>IFERROR(INDEX(Country_Context!$E$2:$E$87,MATCH($C52,Country_Context!$A$2:$A$87,0)),"")</f>
        <v/>
      </c>
      <c r="AN52" s="11">
        <f>IFERROR(INDEX(Country_Context!$F$2:$F$87,MATCH($C52,Country_Context!$A$2:$A$87,0)),"")</f>
        <v/>
      </c>
      <c r="AO52" s="11">
        <f>IFERROR(INDEX(Country_Context!$G$2:$G$87,MATCH($C52,Country_Context!$A$2:$A$87,0)),"")</f>
        <v/>
      </c>
      <c r="AP52" s="12" t="inlineStr">
        <is>
          <t>https://api.worldbank.org/v2/country/HUN/indicator/NY.GNP.PCAP.PP.CD?format=json&amp;mrv=10 | https://data.worldbank.org/indicator/NY.GNP.PCAP.PP.CD | https://ilostat.ilo.org/data/indicator/?id=HOW_TEMP_SEX_ECO_NB_A&amp;ref_area=HUN | +4 more</t>
        </is>
      </c>
      <c r="AQ52" s="12" t="inlineStr">
        <is>
          <t>Tier 3, Tier 4</t>
        </is>
      </c>
      <c r="AR52" s="12" t="inlineStr">
        <is>
          <t>2024-12-31</t>
        </is>
      </c>
      <c r="AS52" s="12" t="inlineStr">
        <is>
          <t>providers=world_bank_col_estimate, derived, ilo_ilostat, who_gho; fields=gross_income, rent, utilities, transit_cost; +9 additional fields</t>
        </is>
      </c>
      <c r="AT52" s="12" t="inlineStr">
        <is>
          <t>https://api.worldbank.org/v2/country/HUN/indicator/VC.IHR.PSRC.P5?format=json&amp;mrv=10 | https://api.worldbank.org/v2/country/HUN/indicator/SH.H2O.SMDW.ZS?format=json&amp;mrv=10 | https://api.worldbank.org/v2/country/HUN/indicator/IT.NET.BBND.P2?format=json&amp;mrv=10 | +1 more</t>
        </is>
      </c>
      <c r="AU52" s="12" t="inlineStr">
        <is>
          <t>Tier 3</t>
        </is>
      </c>
      <c r="AV52" s="12" t="inlineStr">
        <is>
          <t>2024-12-31</t>
        </is>
      </c>
      <c r="AW52" s="12" t="inlineStr">
        <is>
          <t>providers=world_bank, wmo_natl_met; fields=personal_safety_raw, water_sanitation_utility_raw, digital_infrastructure_raw, climate_sunlight_livability_raw</t>
        </is>
      </c>
      <c r="AX52" s="12" t="inlineStr">
        <is>
          <t>https://www.who.int/data/gho/data/indicators/indicator-details/GHO/UHC_INDEX_REPORTED | https://api.worldbank.org/v2/country/HUN/indicator/SE.TER.ENRR?format=json&amp;mrv=10 | https://api.worldbank.org/v2/country/HUN/indicator/SI.POV.GINI?format=json&amp;mrv=10 | +1 more</t>
        </is>
      </c>
      <c r="AY52" s="12" t="inlineStr">
        <is>
          <t>Tier 3</t>
        </is>
      </c>
      <c r="AZ52" s="12" t="inlineStr">
        <is>
          <t>2023-12-31</t>
        </is>
      </c>
      <c r="BA52" s="12" t="inlineStr">
        <is>
          <t>providers=who_gho, world_bank; fields=healthcare_quality_raw, education_quality_raw, equal_opportunity_raw, gini_coefficient</t>
        </is>
      </c>
      <c r="BB52" s="12" t="inlineStr">
        <is>
          <t>https://api.worldbank.org/v2/country/HUN/indicator/SM.POP.NETM?format=json&amp;mrv=10 | https://api.worldbank.org/v2/country/HUN/indicator/SG.GEN.PARL.ZS?format=json&amp;mrv=10 | https://api.worldbank.org/v2/country/HUN/indicator/ST.INT.ARVL?format=json&amp;mrv=10</t>
        </is>
      </c>
      <c r="BC52" s="12" t="inlineStr">
        <is>
          <t>Tier 3</t>
        </is>
      </c>
      <c r="BD52" s="12" t="inlineStr">
        <is>
          <t>2025-12-31</t>
        </is>
      </c>
      <c r="BE52" s="12" t="inlineStr">
        <is>
          <t>providers=world_bank; fields=hospitality_belonging_raw, tolerance_pluralism_raw, cultural_public_life_raw</t>
        </is>
      </c>
      <c r="BF52" s="12" t="inlineStr">
        <is>
          <t>https://api.worldbank.org/v2/country/HUN/indicator/IC.BUS.NDNS.ZS?format=json&amp;mrv=10 | https://api.worldbank.org/v2/country/HUN/indicator/GB.XPD.RSDV.GD.ZS?format=json&amp;mrv=10 | https://api.worldbank.org/v2/country/HUN/indicator/BX.KLT.DINV.WD.GD.ZS?format=json&amp;mrv=10 | +3 more</t>
        </is>
      </c>
      <c r="BG52" s="12" t="inlineStr">
        <is>
          <t>Tier 3</t>
        </is>
      </c>
      <c r="BH52" s="12" t="inlineStr">
        <is>
          <t>2024-12-31</t>
        </is>
      </c>
      <c r="BI52" s="12" t="inlineStr">
        <is>
          <t>providers=world_bank; fields=entrepreneurial_dynamism_raw, innovation_research_intensity_raw, investment_signal_raw, administrative_investment_friction_raw; +2 additional fields</t>
        </is>
      </c>
      <c r="BJ52" s="9" t="inlineStr"/>
    </row>
    <row r="53">
      <c r="A53" s="9" t="inlineStr">
        <is>
          <t>pl-krakow</t>
        </is>
      </c>
      <c r="B53" s="9" t="inlineStr">
        <is>
          <t>Krakow</t>
        </is>
      </c>
      <c r="C53" s="9" t="inlineStr">
        <is>
          <t>Poland</t>
        </is>
      </c>
      <c r="D53" s="9" t="inlineStr">
        <is>
          <t>Southern/Eastern Europe and Eurasia</t>
        </is>
      </c>
      <c r="E53" s="9" t="inlineStr">
        <is>
          <t>primary</t>
        </is>
      </c>
      <c r="F53" s="9" t="inlineStr">
        <is>
          <t>locked</t>
        </is>
      </c>
      <c r="G53" s="10" t="n">
        <v>4128.33</v>
      </c>
      <c r="H53" s="10" t="n">
        <v>1083.69</v>
      </c>
      <c r="I53" s="10" t="n">
        <v>346.78</v>
      </c>
      <c r="J53" s="10" t="n">
        <v>173.39</v>
      </c>
      <c r="K53" s="10" t="n">
        <v>65.02</v>
      </c>
      <c r="L53" s="10" t="n">
        <v>866.95</v>
      </c>
      <c r="M53" s="11" t="inlineStr"/>
      <c r="N53" s="10" t="n">
        <v>26.2501</v>
      </c>
      <c r="O53" s="10" t="n">
        <v>33.5851</v>
      </c>
      <c r="P53" s="11">
        <f>IF($O53&lt;&gt;"",$O53,$AO53)</f>
        <v/>
      </c>
      <c r="Q53" s="10" t="n">
        <v>38.63</v>
      </c>
      <c r="R53" s="10" t="n">
        <v>13.67</v>
      </c>
      <c r="S53" s="10" t="n">
        <v>0.8</v>
      </c>
      <c r="T53" s="10" t="inlineStr"/>
      <c r="U53" s="10" t="inlineStr"/>
      <c r="V53" s="10" t="n">
        <v>88.68000000000001</v>
      </c>
      <c r="W53" s="10" t="n">
        <v>26.11</v>
      </c>
      <c r="X53" s="9" t="n">
        <v>48</v>
      </c>
      <c r="Y53" s="10" t="n">
        <v>82</v>
      </c>
      <c r="Z53" s="10" t="n">
        <v>76.88</v>
      </c>
      <c r="AA53" s="10" t="n">
        <v>28.5</v>
      </c>
      <c r="AB53" s="10" t="n">
        <v>40.95</v>
      </c>
      <c r="AC53" s="10" t="n">
        <v>29.57</v>
      </c>
      <c r="AD53" s="10" t="n">
        <v>2421.14</v>
      </c>
      <c r="AE53" s="10" t="n">
        <v>2.16</v>
      </c>
      <c r="AF53" s="10" t="n">
        <v>1.45</v>
      </c>
      <c r="AG53" s="10" t="n">
        <v>2.25</v>
      </c>
      <c r="AH53" s="10" t="n">
        <v>1.72</v>
      </c>
      <c r="AI53" s="10" t="inlineStr"/>
      <c r="AJ53" s="11">
        <f>IFERROR(INDEX(Country_Context!$B$2:$B$87,MATCH($C53,Country_Context!$A$2:$A$87,0)),"")</f>
        <v/>
      </c>
      <c r="AK53" s="11">
        <f>IFERROR(INDEX(Country_Context!$C$2:$C$87,MATCH($C53,Country_Context!$A$2:$A$87,0)),"")</f>
        <v/>
      </c>
      <c r="AL53" s="11">
        <f>IFERROR(INDEX(Country_Context!$D$2:$D$87,MATCH($C53,Country_Context!$A$2:$A$87,0)),"")</f>
        <v/>
      </c>
      <c r="AM53" s="11">
        <f>IFERROR(INDEX(Country_Context!$E$2:$E$87,MATCH($C53,Country_Context!$A$2:$A$87,0)),"")</f>
        <v/>
      </c>
      <c r="AN53" s="11">
        <f>IFERROR(INDEX(Country_Context!$F$2:$F$87,MATCH($C53,Country_Context!$A$2:$A$87,0)),"")</f>
        <v/>
      </c>
      <c r="AO53" s="11">
        <f>IFERROR(INDEX(Country_Context!$G$2:$G$87,MATCH($C53,Country_Context!$A$2:$A$87,0)),"")</f>
        <v/>
      </c>
      <c r="AP53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3" s="12" t="inlineStr">
        <is>
          <t>Tier 3, Tier 4</t>
        </is>
      </c>
      <c r="AR53" s="12" t="inlineStr">
        <is>
          <t>2024-12-31</t>
        </is>
      </c>
      <c r="AS53" s="12" t="inlineStr">
        <is>
          <t>providers=world_bank_col_estimate, derived, ilo_ilostat, who_gho; fields=gross_income, rent, utilities, transit_cost; +9 additional fields</t>
        </is>
      </c>
      <c r="AT53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3" s="12" t="inlineStr">
        <is>
          <t>Tier 3</t>
        </is>
      </c>
      <c r="AV53" s="12" t="inlineStr">
        <is>
          <t>2024-12-31</t>
        </is>
      </c>
      <c r="AW53" s="12" t="inlineStr">
        <is>
          <t>providers=world_bank, wmo_natl_met; fields=personal_safety_raw, water_sanitation_utility_raw, digital_infrastructure_raw, climate_sunlight_livability_raw</t>
        </is>
      </c>
      <c r="AX53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3" s="12" t="inlineStr">
        <is>
          <t>Tier 3</t>
        </is>
      </c>
      <c r="AZ53" s="12" t="inlineStr">
        <is>
          <t>2023-12-31</t>
        </is>
      </c>
      <c r="BA53" s="12" t="inlineStr">
        <is>
          <t>providers=who_gho, world_bank; fields=healthcare_quality_raw, education_quality_raw, equal_opportunity_raw, gini_coefficient</t>
        </is>
      </c>
      <c r="BB53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3" s="12" t="inlineStr">
        <is>
          <t>Tier 3</t>
        </is>
      </c>
      <c r="BD53" s="12" t="inlineStr">
        <is>
          <t>2025-12-31</t>
        </is>
      </c>
      <c r="BE53" s="12" t="inlineStr">
        <is>
          <t>providers=world_bank; fields=hospitality_belonging_raw, tolerance_pluralism_raw, cultural_public_life_raw, birth_rate_optimism_raw</t>
        </is>
      </c>
      <c r="BF53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3" s="12" t="inlineStr">
        <is>
          <t>Tier 3</t>
        </is>
      </c>
      <c r="BH53" s="12" t="inlineStr">
        <is>
          <t>2024-12-31</t>
        </is>
      </c>
      <c r="BI53" s="12" t="inlineStr">
        <is>
          <t>providers=world_bank; fields=entrepreneurial_dynamism_raw, innovation_research_intensity_raw, investment_signal_raw, administrative_investment_friction_raw; +2 additional fields</t>
        </is>
      </c>
      <c r="BJ53" s="9" t="n">
        <v>1.29</v>
      </c>
    </row>
    <row r="54">
      <c r="A54" s="9" t="inlineStr">
        <is>
          <t>ro-bucharest</t>
        </is>
      </c>
      <c r="B54" s="9" t="inlineStr">
        <is>
          <t>Bucharest</t>
        </is>
      </c>
      <c r="C54" s="9" t="inlineStr">
        <is>
          <t>Romania</t>
        </is>
      </c>
      <c r="D54" s="9" t="inlineStr">
        <is>
          <t>Southern/Eastern Europe and Eurasia</t>
        </is>
      </c>
      <c r="E54" s="9" t="inlineStr">
        <is>
          <t>primary</t>
        </is>
      </c>
      <c r="F54" s="9" t="inlineStr">
        <is>
          <t>locked</t>
        </is>
      </c>
      <c r="G54" s="10" t="n">
        <v>3993.33</v>
      </c>
      <c r="H54" s="10" t="n">
        <v>1048.25</v>
      </c>
      <c r="I54" s="10" t="n">
        <v>335.44</v>
      </c>
      <c r="J54" s="10" t="n">
        <v>167.72</v>
      </c>
      <c r="K54" s="10" t="n">
        <v>62.89</v>
      </c>
      <c r="L54" s="10" t="n">
        <v>838.6</v>
      </c>
      <c r="M54" s="11" t="inlineStr"/>
      <c r="N54" s="10" t="n">
        <v>26.25</v>
      </c>
      <c r="O54" s="10" t="n">
        <v>22.7281</v>
      </c>
      <c r="P54" s="11">
        <f>IF($O54&lt;&gt;"",$O54,$AO54)</f>
        <v/>
      </c>
      <c r="Q54" s="10" t="n">
        <v>38.72</v>
      </c>
      <c r="R54" s="10" t="n">
        <v>9.619999999999999</v>
      </c>
      <c r="S54" s="10" t="n">
        <v>1.11</v>
      </c>
      <c r="T54" s="10" t="inlineStr"/>
      <c r="U54" s="10" t="inlineStr"/>
      <c r="V54" s="10" t="n">
        <v>82.18000000000001</v>
      </c>
      <c r="W54" s="10" t="n">
        <v>34.67</v>
      </c>
      <c r="X54" s="9" t="n">
        <v>54</v>
      </c>
      <c r="Y54" s="10" t="n">
        <v>77</v>
      </c>
      <c r="Z54" s="10" t="n">
        <v>55.17</v>
      </c>
      <c r="AA54" s="10" t="n">
        <v>29.8</v>
      </c>
      <c r="AB54" s="10" t="n">
        <v>48.48</v>
      </c>
      <c r="AC54" s="10" t="n">
        <v>19.21</v>
      </c>
      <c r="AD54" s="10" t="n">
        <v>263.65</v>
      </c>
      <c r="AE54" s="10" t="n">
        <v>9.18</v>
      </c>
      <c r="AF54" s="10" t="n">
        <v>0.46</v>
      </c>
      <c r="AG54" s="10" t="n">
        <v>1.87</v>
      </c>
      <c r="AH54" s="10" t="n">
        <v>2.18</v>
      </c>
      <c r="AI54" s="10" t="inlineStr"/>
      <c r="AJ54" s="11">
        <f>IFERROR(INDEX(Country_Context!$B$2:$B$87,MATCH($C54,Country_Context!$A$2:$A$87,0)),"")</f>
        <v/>
      </c>
      <c r="AK54" s="11">
        <f>IFERROR(INDEX(Country_Context!$C$2:$C$87,MATCH($C54,Country_Context!$A$2:$A$87,0)),"")</f>
        <v/>
      </c>
      <c r="AL54" s="11">
        <f>IFERROR(INDEX(Country_Context!$D$2:$D$87,MATCH($C54,Country_Context!$A$2:$A$87,0)),"")</f>
        <v/>
      </c>
      <c r="AM54" s="11">
        <f>IFERROR(INDEX(Country_Context!$E$2:$E$87,MATCH($C54,Country_Context!$A$2:$A$87,0)),"")</f>
        <v/>
      </c>
      <c r="AN54" s="11">
        <f>IFERROR(INDEX(Country_Context!$F$2:$F$87,MATCH($C54,Country_Context!$A$2:$A$87,0)),"")</f>
        <v/>
      </c>
      <c r="AO54" s="11">
        <f>IFERROR(INDEX(Country_Context!$G$2:$G$87,MATCH($C54,Country_Context!$A$2:$A$87,0)),"")</f>
        <v/>
      </c>
      <c r="AP54" s="12" t="inlineStr">
        <is>
          <t>https://api.worldbank.org/v2/country/ROU/indicator/NY.GNP.PCAP.PP.CD?format=json&amp;mrv=10 | https://data.worldbank.org/indicator/NY.GNP.PCAP.PP.CD | https://ilostat.ilo.org/data/indicator/?id=HOW_TEMP_SEX_ECO_NB_A&amp;ref_area=ROU | +4 more</t>
        </is>
      </c>
      <c r="AQ54" s="12" t="inlineStr">
        <is>
          <t>Tier 3, Tier 4</t>
        </is>
      </c>
      <c r="AR54" s="12" t="inlineStr">
        <is>
          <t>2024-12-31</t>
        </is>
      </c>
      <c r="AS54" s="12" t="inlineStr">
        <is>
          <t>providers=world_bank_col_estimate, derived, ilo_ilostat, who_gho; fields=gross_income, rent, utilities, transit_cost; +9 additional fields</t>
        </is>
      </c>
      <c r="AT54" s="12" t="inlineStr">
        <is>
          <t>https://api.worldbank.org/v2/country/ROU/indicator/VC.IHR.PSRC.P5?format=json&amp;mrv=10 | https://api.worldbank.org/v2/country/ROU/indicator/SH.H2O.SMDW.ZS?format=json&amp;mrv=10 | https://api.worldbank.org/v2/country/ROU/indicator/IT.NET.BBND.P2?format=json&amp;mrv=10 | +1 more</t>
        </is>
      </c>
      <c r="AU54" s="12" t="inlineStr">
        <is>
          <t>Tier 3</t>
        </is>
      </c>
      <c r="AV54" s="12" t="inlineStr">
        <is>
          <t>2024-12-31</t>
        </is>
      </c>
      <c r="AW54" s="12" t="inlineStr">
        <is>
          <t>providers=world_bank, wmo_natl_met; fields=personal_safety_raw, water_sanitation_utility_raw, digital_infrastructure_raw, climate_sunlight_livability_raw</t>
        </is>
      </c>
      <c r="AX54" s="12" t="inlineStr">
        <is>
          <t>https://www.who.int/data/gho/data/indicators/indicator-details/GHO/UHC_INDEX_REPORTED | https://api.worldbank.org/v2/country/ROU/indicator/SE.TER.ENRR?format=json&amp;mrv=10 | https://api.worldbank.org/v2/country/ROU/indicator/SI.POV.GINI?format=json&amp;mrv=10 | +1 more</t>
        </is>
      </c>
      <c r="AY54" s="12" t="inlineStr">
        <is>
          <t>Tier 3</t>
        </is>
      </c>
      <c r="AZ54" s="12" t="inlineStr">
        <is>
          <t>2023-12-31</t>
        </is>
      </c>
      <c r="BA54" s="12" t="inlineStr">
        <is>
          <t>providers=who_gho, world_bank; fields=healthcare_quality_raw, education_quality_raw, equal_opportunity_raw, gini_coefficient</t>
        </is>
      </c>
      <c r="BB54" s="12" t="inlineStr">
        <is>
          <t>https://api.worldbank.org/v2/country/ROU/indicator/SM.POP.NETM?format=json&amp;mrv=10 | https://api.worldbank.org/v2/country/ROU/indicator/SG.GEN.PARL.ZS?format=json&amp;mrv=10 | https://api.worldbank.org/v2/country/ROU/indicator/ST.INT.ARVL?format=json&amp;mrv=10</t>
        </is>
      </c>
      <c r="BC54" s="12" t="inlineStr">
        <is>
          <t>Tier 3</t>
        </is>
      </c>
      <c r="BD54" s="12" t="inlineStr">
        <is>
          <t>2025-12-31</t>
        </is>
      </c>
      <c r="BE54" s="12" t="inlineStr">
        <is>
          <t>providers=world_bank; fields=hospitality_belonging_raw, tolerance_pluralism_raw, cultural_public_life_raw</t>
        </is>
      </c>
      <c r="BF54" s="12" t="inlineStr">
        <is>
          <t>https://api.worldbank.org/v2/country/ROU/indicator/IC.BUS.NDNS.ZS?format=json&amp;mrv=10 | https://api.worldbank.org/v2/country/ROU/indicator/GB.XPD.RSDV.GD.ZS?format=json&amp;mrv=10 | https://api.worldbank.org/v2/country/ROU/indicator/BX.KLT.DINV.WD.GD.ZS?format=json&amp;mrv=10 | +3 more</t>
        </is>
      </c>
      <c r="BG54" s="12" t="inlineStr">
        <is>
          <t>Tier 3</t>
        </is>
      </c>
      <c r="BH54" s="12" t="inlineStr">
        <is>
          <t>2024-12-31</t>
        </is>
      </c>
      <c r="BI54" s="12" t="inlineStr">
        <is>
          <t>providers=world_bank; fields=entrepreneurial_dynamism_raw, innovation_research_intensity_raw, investment_signal_raw, administrative_investment_friction_raw; +2 additional fields</t>
        </is>
      </c>
      <c r="BJ54" s="9" t="inlineStr"/>
    </row>
    <row r="55">
      <c r="A55" s="9" t="inlineStr">
        <is>
          <t>rs-belgrade</t>
        </is>
      </c>
      <c r="B55" s="9" t="inlineStr">
        <is>
          <t>Belgrade</t>
        </is>
      </c>
      <c r="C55" s="9" t="inlineStr">
        <is>
          <t>Serbia</t>
        </is>
      </c>
      <c r="D55" s="9" t="inlineStr">
        <is>
          <t>Southern/Eastern Europe and Eurasia</t>
        </is>
      </c>
      <c r="E55" s="9" t="inlineStr">
        <is>
          <t>primary</t>
        </is>
      </c>
      <c r="F55" s="9" t="inlineStr">
        <is>
          <t>locked</t>
        </is>
      </c>
      <c r="G55" s="10" t="n">
        <v>2564.17</v>
      </c>
      <c r="H55" s="10" t="n">
        <v>608.99</v>
      </c>
      <c r="I55" s="10" t="n">
        <v>194.88</v>
      </c>
      <c r="J55" s="10" t="n">
        <v>97.44</v>
      </c>
      <c r="K55" s="10" t="n">
        <v>36.54</v>
      </c>
      <c r="L55" s="10" t="n">
        <v>487.19</v>
      </c>
      <c r="M55" s="11" t="inlineStr"/>
      <c r="N55" s="10" t="n">
        <v>23.75</v>
      </c>
      <c r="O55" s="10" t="n">
        <v>32.6048</v>
      </c>
      <c r="P55" s="11">
        <f>IF($O55&lt;&gt;"",$O55,$AO55)</f>
        <v/>
      </c>
      <c r="Q55" s="10" t="n">
        <v>40.96</v>
      </c>
      <c r="R55" s="10" t="n">
        <v>15.14</v>
      </c>
      <c r="S55" s="10" t="n">
        <v>1.31</v>
      </c>
      <c r="T55" s="10" t="inlineStr"/>
      <c r="U55" s="10" t="inlineStr"/>
      <c r="V55" s="10" t="n">
        <v>74.97</v>
      </c>
      <c r="W55" s="10" t="n">
        <v>31.27</v>
      </c>
      <c r="X55" s="9" t="n">
        <v>54</v>
      </c>
      <c r="Y55" s="10" t="n">
        <v>73</v>
      </c>
      <c r="Z55" s="10" t="n">
        <v>73.20999999999999</v>
      </c>
      <c r="AA55" s="10" t="n">
        <v>32.8</v>
      </c>
      <c r="AB55" s="10" t="n">
        <v>48.01</v>
      </c>
      <c r="AC55" s="10" t="n">
        <v>38</v>
      </c>
      <c r="AD55" s="10" t="n">
        <v>67.70999999999999</v>
      </c>
      <c r="AE55" s="10" t="n">
        <v>2.53</v>
      </c>
      <c r="AF55" s="10" t="n">
        <v>0.95</v>
      </c>
      <c r="AG55" s="10" t="n">
        <v>6.2</v>
      </c>
      <c r="AH55" s="10" t="n">
        <v>2.36</v>
      </c>
      <c r="AI55" s="10" t="inlineStr"/>
      <c r="AJ55" s="11">
        <f>IFERROR(INDEX(Country_Context!$B$2:$B$87,MATCH($C55,Country_Context!$A$2:$A$87,0)),"")</f>
        <v/>
      </c>
      <c r="AK55" s="11">
        <f>IFERROR(INDEX(Country_Context!$C$2:$C$87,MATCH($C55,Country_Context!$A$2:$A$87,0)),"")</f>
        <v/>
      </c>
      <c r="AL55" s="11">
        <f>IFERROR(INDEX(Country_Context!$D$2:$D$87,MATCH($C55,Country_Context!$A$2:$A$87,0)),"")</f>
        <v/>
      </c>
      <c r="AM55" s="11">
        <f>IFERROR(INDEX(Country_Context!$E$2:$E$87,MATCH($C55,Country_Context!$A$2:$A$87,0)),"")</f>
        <v/>
      </c>
      <c r="AN55" s="11">
        <f>IFERROR(INDEX(Country_Context!$F$2:$F$87,MATCH($C55,Country_Context!$A$2:$A$87,0)),"")</f>
        <v/>
      </c>
      <c r="AO55" s="11">
        <f>IFERROR(INDEX(Country_Context!$G$2:$G$87,MATCH($C55,Country_Context!$A$2:$A$87,0)),"")</f>
        <v/>
      </c>
      <c r="AP55" s="12" t="inlineStr">
        <is>
          <t>https://api.worldbank.org/v2/country/SRB/indicator/NY.GNP.PCAP.PP.CD?format=json&amp;mrv=10 | https://data.worldbank.org/indicator/NY.GNP.PCAP.PP.CD | https://ilostat.ilo.org/data/indicator/?id=HOW_TEMP_SEX_ECO_NB_A&amp;ref_area=SRB | +4 more</t>
        </is>
      </c>
      <c r="AQ55" s="12" t="inlineStr">
        <is>
          <t>Tier 3, Tier 4</t>
        </is>
      </c>
      <c r="AR55" s="12" t="inlineStr">
        <is>
          <t>2024-12-31</t>
        </is>
      </c>
      <c r="AS55" s="12" t="inlineStr">
        <is>
          <t>providers=world_bank_col_estimate, derived, ilo_ilostat, who_gho; fields=gross_income, rent, utilities, transit_cost; +9 additional fields</t>
        </is>
      </c>
      <c r="AT55" s="12" t="inlineStr">
        <is>
          <t>https://api.worldbank.org/v2/country/SRB/indicator/VC.IHR.PSRC.P5?format=json&amp;mrv=10 | https://api.worldbank.org/v2/country/SRB/indicator/SH.H2O.SMDW.ZS?format=json&amp;mrv=10 | https://api.worldbank.org/v2/country/SRB/indicator/IT.NET.BBND.P2?format=json&amp;mrv=10 | +1 more</t>
        </is>
      </c>
      <c r="AU55" s="12" t="inlineStr">
        <is>
          <t>Tier 3</t>
        </is>
      </c>
      <c r="AV55" s="12" t="inlineStr">
        <is>
          <t>2024-12-31</t>
        </is>
      </c>
      <c r="AW55" s="12" t="inlineStr">
        <is>
          <t>providers=world_bank, wmo_natl_met; fields=personal_safety_raw, water_sanitation_utility_raw, digital_infrastructure_raw, climate_sunlight_livability_raw</t>
        </is>
      </c>
      <c r="AX55" s="12" t="inlineStr">
        <is>
          <t>https://www.who.int/data/gho/data/indicators/indicator-details/GHO/UHC_INDEX_REPORTED | https://api.worldbank.org/v2/country/SRB/indicator/SE.TER.ENRR?format=json&amp;mrv=10 | https://api.worldbank.org/v2/country/SRB/indicator/SI.POV.GINI?format=json&amp;mrv=10 | +1 more</t>
        </is>
      </c>
      <c r="AY55" s="12" t="inlineStr">
        <is>
          <t>Tier 3</t>
        </is>
      </c>
      <c r="AZ55" s="12" t="inlineStr">
        <is>
          <t>2023-12-31</t>
        </is>
      </c>
      <c r="BA55" s="12" t="inlineStr">
        <is>
          <t>providers=who_gho, world_bank; fields=healthcare_quality_raw, education_quality_raw, equal_opportunity_raw, gini_coefficient</t>
        </is>
      </c>
      <c r="BB55" s="12" t="inlineStr">
        <is>
          <t>https://api.worldbank.org/v2/country/SRB/indicator/SM.POP.NETM?format=json&amp;mrv=10 | https://api.worldbank.org/v2/country/SRB/indicator/SG.GEN.PARL.ZS?format=json&amp;mrv=10 | https://api.worldbank.org/v2/country/SRB/indicator/ST.INT.ARVL?format=json&amp;mrv=10</t>
        </is>
      </c>
      <c r="BC55" s="12" t="inlineStr">
        <is>
          <t>Tier 3</t>
        </is>
      </c>
      <c r="BD55" s="12" t="inlineStr">
        <is>
          <t>2025-12-31</t>
        </is>
      </c>
      <c r="BE55" s="12" t="inlineStr">
        <is>
          <t>providers=world_bank; fields=hospitality_belonging_raw, tolerance_pluralism_raw, cultural_public_life_raw</t>
        </is>
      </c>
      <c r="BF55" s="12" t="inlineStr">
        <is>
          <t>https://api.worldbank.org/v2/country/SRB/indicator/IC.BUS.NDNS.ZS?format=json&amp;mrv=10 | https://api.worldbank.org/v2/country/SRB/indicator/GB.XPD.RSDV.GD.ZS?format=json&amp;mrv=10 | https://api.worldbank.org/v2/country/SRB/indicator/BX.KLT.DINV.WD.GD.ZS?format=json&amp;mrv=10 | +3 more</t>
        </is>
      </c>
      <c r="BG55" s="12" t="inlineStr">
        <is>
          <t>Tier 3</t>
        </is>
      </c>
      <c r="BH55" s="12" t="inlineStr">
        <is>
          <t>2024-12-31</t>
        </is>
      </c>
      <c r="BI55" s="12" t="inlineStr">
        <is>
          <t>providers=world_bank; fields=entrepreneurial_dynamism_raw, innovation_research_intensity_raw, investment_signal_raw, administrative_investment_friction_raw; +2 additional fields</t>
        </is>
      </c>
      <c r="BJ55" s="9" t="inlineStr"/>
    </row>
    <row r="56">
      <c r="A56" s="9" t="inlineStr">
        <is>
          <t>ru-nizhny-novgorod</t>
        </is>
      </c>
      <c r="B56" s="9" t="inlineStr">
        <is>
          <t>Nizhny Novgorod</t>
        </is>
      </c>
      <c r="C56" s="9" t="inlineStr">
        <is>
          <t>Russia</t>
        </is>
      </c>
      <c r="D56" s="9" t="inlineStr">
        <is>
          <t>Southern/Eastern Europe and Eurasia</t>
        </is>
      </c>
      <c r="E56" s="9" t="inlineStr">
        <is>
          <t>secondary</t>
        </is>
      </c>
      <c r="F56" s="9" t="inlineStr">
        <is>
          <t>provisional</t>
        </is>
      </c>
      <c r="G56" s="10" t="n">
        <v>3898.33</v>
      </c>
      <c r="H56" s="10" t="n">
        <v>584.75</v>
      </c>
      <c r="I56" s="10" t="n">
        <v>187.12</v>
      </c>
      <c r="J56" s="10" t="n">
        <v>93.56</v>
      </c>
      <c r="K56" s="10" t="n">
        <v>35.08</v>
      </c>
      <c r="L56" s="10" t="n">
        <v>467.8</v>
      </c>
      <c r="M56" s="11" t="inlineStr"/>
      <c r="N56" s="10" t="n">
        <v>15</v>
      </c>
      <c r="O56" s="10" t="n">
        <v>54.6413</v>
      </c>
      <c r="P56" s="11">
        <f>IF($O56&lt;&gt;"",$O56,$AO56)</f>
        <v/>
      </c>
      <c r="Q56" s="10" t="n">
        <v>39.17</v>
      </c>
      <c r="R56" s="10" t="n">
        <v>21.37</v>
      </c>
      <c r="S56" s="10" t="n">
        <v>6.77</v>
      </c>
      <c r="T56" s="10" t="inlineStr"/>
      <c r="U56" s="10" t="inlineStr"/>
      <c r="V56" s="10" t="n">
        <v>76.26000000000001</v>
      </c>
      <c r="W56" s="10" t="n">
        <v>25.82</v>
      </c>
      <c r="X56" s="9" t="inlineStr"/>
      <c r="Y56" s="10" t="n">
        <v>81</v>
      </c>
      <c r="Z56" s="10" t="n">
        <v>60.39</v>
      </c>
      <c r="AA56" s="10" t="n">
        <v>33</v>
      </c>
      <c r="AB56" s="10" t="n">
        <v>48.25</v>
      </c>
      <c r="AC56" s="10" t="n">
        <v>16.44</v>
      </c>
      <c r="AD56" s="10" t="n">
        <v>44.3</v>
      </c>
      <c r="AE56" s="10" t="n">
        <v>2.52</v>
      </c>
      <c r="AF56" s="10" t="n">
        <v>0.93</v>
      </c>
      <c r="AG56" s="10" t="n">
        <v>-0.43</v>
      </c>
      <c r="AH56" s="10" t="n">
        <v>3.62</v>
      </c>
      <c r="AI56" s="10" t="inlineStr"/>
      <c r="AJ56" s="11">
        <f>IFERROR(INDEX(Country_Context!$B$2:$B$87,MATCH($C56,Country_Context!$A$2:$A$87,0)),"")</f>
        <v/>
      </c>
      <c r="AK56" s="11">
        <f>IFERROR(INDEX(Country_Context!$C$2:$C$87,MATCH($C56,Country_Context!$A$2:$A$87,0)),"")</f>
        <v/>
      </c>
      <c r="AL56" s="11">
        <f>IFERROR(INDEX(Country_Context!$D$2:$D$87,MATCH($C56,Country_Context!$A$2:$A$87,0)),"")</f>
        <v/>
      </c>
      <c r="AM56" s="11">
        <f>IFERROR(INDEX(Country_Context!$E$2:$E$87,MATCH($C56,Country_Context!$A$2:$A$87,0)),"")</f>
        <v/>
      </c>
      <c r="AN56" s="11">
        <f>IFERROR(INDEX(Country_Context!$F$2:$F$87,MATCH($C56,Country_Context!$A$2:$A$87,0)),"")</f>
        <v/>
      </c>
      <c r="AO56" s="11">
        <f>IFERROR(INDEX(Country_Context!$G$2:$G$87,MATCH($C56,Country_Context!$A$2:$A$87,0)),"")</f>
        <v/>
      </c>
      <c r="AP56" s="12" t="inlineStr">
        <is>
          <t>https://api.worldbank.org/v2/country/RUS/indicator/NY.GNP.PCAP.PP.CD?format=json&amp;mrv=10 | https://data.worldbank.org/indicator/NY.GNP.PCAP.PP.CD | https://ilostat.ilo.org/data/indicator/?id=HOW_TEMP_SEX_ECO_NB_A&amp;ref_area=RUS | +4 more</t>
        </is>
      </c>
      <c r="AQ56" s="12" t="inlineStr">
        <is>
          <t>Tier 3, Tier 4</t>
        </is>
      </c>
      <c r="AR56" s="12" t="inlineStr">
        <is>
          <t>2024-12-31</t>
        </is>
      </c>
      <c r="AS56" s="12" t="inlineStr">
        <is>
          <t>providers=world_bank_col_estimate, derived, ilo_ilostat, who_gho; fields=gross_income, rent, utilities, transit_cost; +9 additional fields</t>
        </is>
      </c>
      <c r="AT56" s="12" t="inlineStr">
        <is>
          <t>https://api.worldbank.org/v2/country/RUS/indicator/VC.IHR.PSRC.P5?format=json&amp;mrv=10 | https://api.worldbank.org/v2/country/RUS/indicator/SH.H2O.SMDW.ZS?format=json&amp;mrv=10 | https://api.worldbank.org/v2/country/RUS/indicator/IT.NET.BBND.P2?format=json&amp;mrv=10</t>
        </is>
      </c>
      <c r="AU56" s="12" t="inlineStr">
        <is>
          <t>Tier 3</t>
        </is>
      </c>
      <c r="AV56" s="12" t="inlineStr">
        <is>
          <t>2024-12-31</t>
        </is>
      </c>
      <c r="AW56" s="12" t="inlineStr">
        <is>
          <t>providers=world_bank; fields=personal_safety_raw, water_sanitation_utility_raw, digital_infrastructure_raw</t>
        </is>
      </c>
      <c r="AX56" s="12" t="inlineStr">
        <is>
          <t>https://www.who.int/data/gho/data/indicators/indicator-details/GHO/UHC_INDEX_REPORTED | https://api.worldbank.org/v2/country/RUS/indicator/SE.TER.ENRR?format=json&amp;mrv=10 | https://api.worldbank.org/v2/country/RUS/indicator/SI.POV.GINI?format=json&amp;mrv=10 | +1 more</t>
        </is>
      </c>
      <c r="AY56" s="12" t="inlineStr">
        <is>
          <t>Tier 3</t>
        </is>
      </c>
      <c r="AZ56" s="12" t="inlineStr">
        <is>
          <t>2024-12-31</t>
        </is>
      </c>
      <c r="BA56" s="12" t="inlineStr">
        <is>
          <t>providers=who_gho, world_bank; fields=healthcare_quality_raw, education_quality_raw, equal_opportunity_raw, gini_coefficient</t>
        </is>
      </c>
      <c r="BB56" s="12" t="inlineStr">
        <is>
          <t>https://api.worldbank.org/v2/country/RUS/indicator/SM.POP.NETM?format=json&amp;mrv=10 | https://api.worldbank.org/v2/country/RUS/indicator/SG.GEN.PARL.ZS?format=json&amp;mrv=10 | https://api.worldbank.org/v2/country/RUS/indicator/ST.INT.ARVL?format=json&amp;mrv=10</t>
        </is>
      </c>
      <c r="BC56" s="12" t="inlineStr">
        <is>
          <t>Tier 3</t>
        </is>
      </c>
      <c r="BD56" s="12" t="inlineStr">
        <is>
          <t>2025-12-31</t>
        </is>
      </c>
      <c r="BE56" s="12" t="inlineStr">
        <is>
          <t>providers=world_bank; fields=hospitality_belonging_raw, tolerance_pluralism_raw, cultural_public_life_raw</t>
        </is>
      </c>
      <c r="BF56" s="12" t="inlineStr">
        <is>
          <t>https://api.worldbank.org/v2/country/RUS/indicator/IC.BUS.NDNS.ZS?format=json&amp;mrv=10 | https://api.worldbank.org/v2/country/RUS/indicator/GB.XPD.RSDV.GD.ZS?format=json&amp;mrv=10 | https://api.worldbank.org/v2/country/RUS/indicator/BX.KLT.DINV.WD.GD.ZS?format=json&amp;mrv=10 | +3 more</t>
        </is>
      </c>
      <c r="BG56" s="12" t="inlineStr">
        <is>
          <t>Tier 3</t>
        </is>
      </c>
      <c r="BH56" s="12" t="inlineStr">
        <is>
          <t>2024-12-31</t>
        </is>
      </c>
      <c r="BI56" s="12" t="inlineStr">
        <is>
          <t>providers=world_bank; fields=entrepreneurial_dynamism_raw, innovation_research_intensity_raw, investment_signal_raw, administrative_investment_friction_raw; +2 additional fields</t>
        </is>
      </c>
      <c r="BJ56" s="9" t="inlineStr"/>
    </row>
    <row r="57">
      <c r="A57" s="9" t="inlineStr">
        <is>
          <t>pl-katowice</t>
        </is>
      </c>
      <c r="B57" s="9" t="inlineStr">
        <is>
          <t>Katowice</t>
        </is>
      </c>
      <c r="C57" s="9" t="inlineStr">
        <is>
          <t>Poland</t>
        </is>
      </c>
      <c r="D57" s="9" t="inlineStr">
        <is>
          <t>Southern/Eastern Europe and Eurasia</t>
        </is>
      </c>
      <c r="E57" s="9" t="inlineStr">
        <is>
          <t>secondary</t>
        </is>
      </c>
      <c r="F57" s="9" t="inlineStr">
        <is>
          <t>locked</t>
        </is>
      </c>
      <c r="G57" s="10" t="n">
        <v>4128.33</v>
      </c>
      <c r="H57" s="10" t="n">
        <v>825.67</v>
      </c>
      <c r="I57" s="10" t="n">
        <v>264.21</v>
      </c>
      <c r="J57" s="10" t="n">
        <v>132.11</v>
      </c>
      <c r="K57" s="10" t="n">
        <v>49.54</v>
      </c>
      <c r="L57" s="10" t="n">
        <v>660.53</v>
      </c>
      <c r="M57" s="11" t="inlineStr"/>
      <c r="N57" s="10" t="n">
        <v>20.0001</v>
      </c>
      <c r="O57" s="10" t="n">
        <v>33.5851</v>
      </c>
      <c r="P57" s="11">
        <f>IF($O57&lt;&gt;"",$O57,$AO57)</f>
        <v/>
      </c>
      <c r="Q57" s="10" t="n">
        <v>38.63</v>
      </c>
      <c r="R57" s="10" t="n">
        <v>13.67</v>
      </c>
      <c r="S57" s="10" t="n">
        <v>0.8</v>
      </c>
      <c r="T57" s="10" t="inlineStr"/>
      <c r="U57" s="10" t="inlineStr"/>
      <c r="V57" s="10" t="n">
        <v>88.68000000000001</v>
      </c>
      <c r="W57" s="10" t="n">
        <v>26.11</v>
      </c>
      <c r="X57" s="9" t="inlineStr"/>
      <c r="Y57" s="10" t="n">
        <v>82</v>
      </c>
      <c r="Z57" s="10" t="n">
        <v>76.88</v>
      </c>
      <c r="AA57" s="10" t="n">
        <v>28.5</v>
      </c>
      <c r="AB57" s="10" t="n">
        <v>40.95</v>
      </c>
      <c r="AC57" s="10" t="n">
        <v>29.57</v>
      </c>
      <c r="AD57" s="10" t="n">
        <v>2421.14</v>
      </c>
      <c r="AE57" s="10" t="n">
        <v>2.16</v>
      </c>
      <c r="AF57" s="10" t="n">
        <v>1.45</v>
      </c>
      <c r="AG57" s="10" t="n">
        <v>2.25</v>
      </c>
      <c r="AH57" s="10" t="n">
        <v>1.72</v>
      </c>
      <c r="AI57" s="10" t="inlineStr"/>
      <c r="AJ57" s="11">
        <f>IFERROR(INDEX(Country_Context!$B$2:$B$87,MATCH($C57,Country_Context!$A$2:$A$87,0)),"")</f>
        <v/>
      </c>
      <c r="AK57" s="11">
        <f>IFERROR(INDEX(Country_Context!$C$2:$C$87,MATCH($C57,Country_Context!$A$2:$A$87,0)),"")</f>
        <v/>
      </c>
      <c r="AL57" s="11">
        <f>IFERROR(INDEX(Country_Context!$D$2:$D$87,MATCH($C57,Country_Context!$A$2:$A$87,0)),"")</f>
        <v/>
      </c>
      <c r="AM57" s="11">
        <f>IFERROR(INDEX(Country_Context!$E$2:$E$87,MATCH($C57,Country_Context!$A$2:$A$87,0)),"")</f>
        <v/>
      </c>
      <c r="AN57" s="11">
        <f>IFERROR(INDEX(Country_Context!$F$2:$F$87,MATCH($C57,Country_Context!$A$2:$A$87,0)),"")</f>
        <v/>
      </c>
      <c r="AO57" s="11">
        <f>IFERROR(INDEX(Country_Context!$G$2:$G$87,MATCH($C57,Country_Context!$A$2:$A$87,0)),"")</f>
        <v/>
      </c>
      <c r="AP57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7" s="12" t="inlineStr">
        <is>
          <t>Tier 3, Tier 4</t>
        </is>
      </c>
      <c r="AR57" s="12" t="inlineStr">
        <is>
          <t>2024-12-31</t>
        </is>
      </c>
      <c r="AS57" s="12" t="inlineStr">
        <is>
          <t>providers=world_bank_col_estimate, derived, ilo_ilostat, who_gho; fields=gross_income, rent, utilities, transit_cost; +9 additional fields</t>
        </is>
      </c>
      <c r="AT57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7" s="12" t="inlineStr">
        <is>
          <t>Tier 3</t>
        </is>
      </c>
      <c r="AV57" s="12" t="inlineStr">
        <is>
          <t>2024-12-31</t>
        </is>
      </c>
      <c r="AW57" s="12" t="inlineStr">
        <is>
          <t>providers=world_bank; fields=personal_safety_raw, water_sanitation_utility_raw, digital_infrastructure_raw</t>
        </is>
      </c>
      <c r="AX57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7" s="12" t="inlineStr">
        <is>
          <t>Tier 3</t>
        </is>
      </c>
      <c r="AZ57" s="12" t="inlineStr">
        <is>
          <t>2023-12-31</t>
        </is>
      </c>
      <c r="BA57" s="12" t="inlineStr">
        <is>
          <t>providers=who_gho, world_bank; fields=healthcare_quality_raw, education_quality_raw, equal_opportunity_raw, gini_coefficient</t>
        </is>
      </c>
      <c r="BB57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7" s="12" t="inlineStr">
        <is>
          <t>Tier 3</t>
        </is>
      </c>
      <c r="BD57" s="12" t="inlineStr">
        <is>
          <t>2025-12-31</t>
        </is>
      </c>
      <c r="BE57" s="12" t="inlineStr">
        <is>
          <t>providers=world_bank; fields=hospitality_belonging_raw, tolerance_pluralism_raw, cultural_public_life_raw, birth_rate_optimism_raw</t>
        </is>
      </c>
      <c r="BF57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7" s="12" t="inlineStr">
        <is>
          <t>Tier 3</t>
        </is>
      </c>
      <c r="BH57" s="12" t="inlineStr">
        <is>
          <t>2024-12-31</t>
        </is>
      </c>
      <c r="BI57" s="12" t="inlineStr">
        <is>
          <t>providers=world_bank; fields=entrepreneurial_dynamism_raw, innovation_research_intensity_raw, investment_signal_raw, administrative_investment_friction_raw; +2 additional fields</t>
        </is>
      </c>
      <c r="BJ57" s="9" t="n">
        <v>1.29</v>
      </c>
    </row>
    <row r="58">
      <c r="A58" s="9" t="inlineStr">
        <is>
          <t>pl-gdansk</t>
        </is>
      </c>
      <c r="B58" s="9" t="inlineStr">
        <is>
          <t>Gdansk</t>
        </is>
      </c>
      <c r="C58" s="9" t="inlineStr">
        <is>
          <t>Poland</t>
        </is>
      </c>
      <c r="D58" s="9" t="inlineStr">
        <is>
          <t>Southern/Eastern Europe and Eurasia</t>
        </is>
      </c>
      <c r="E58" s="9" t="inlineStr">
        <is>
          <t>secondary</t>
        </is>
      </c>
      <c r="F58" s="9" t="inlineStr">
        <is>
          <t>locked</t>
        </is>
      </c>
      <c r="G58" s="10" t="n">
        <v>4128.33</v>
      </c>
      <c r="H58" s="10" t="n">
        <v>928.87</v>
      </c>
      <c r="I58" s="10" t="n">
        <v>297.24</v>
      </c>
      <c r="J58" s="10" t="n">
        <v>148.62</v>
      </c>
      <c r="K58" s="10" t="n">
        <v>55.73</v>
      </c>
      <c r="L58" s="10" t="n">
        <v>743.1</v>
      </c>
      <c r="M58" s="11" t="inlineStr"/>
      <c r="N58" s="10" t="n">
        <v>22.4999</v>
      </c>
      <c r="O58" s="10" t="n">
        <v>33.5851</v>
      </c>
      <c r="P58" s="11">
        <f>IF($O58&lt;&gt;"",$O58,$AO58)</f>
        <v/>
      </c>
      <c r="Q58" s="10" t="n">
        <v>38.63</v>
      </c>
      <c r="R58" s="10" t="n">
        <v>13.67</v>
      </c>
      <c r="S58" s="10" t="n">
        <v>0.8</v>
      </c>
      <c r="T58" s="10" t="inlineStr"/>
      <c r="U58" s="10" t="inlineStr"/>
      <c r="V58" s="10" t="n">
        <v>88.68000000000001</v>
      </c>
      <c r="W58" s="10" t="n">
        <v>26.11</v>
      </c>
      <c r="X58" s="9" t="n">
        <v>44</v>
      </c>
      <c r="Y58" s="10" t="n">
        <v>82</v>
      </c>
      <c r="Z58" s="10" t="n">
        <v>76.88</v>
      </c>
      <c r="AA58" s="10" t="n">
        <v>28.5</v>
      </c>
      <c r="AB58" s="10" t="n">
        <v>40.95</v>
      </c>
      <c r="AC58" s="10" t="n">
        <v>29.57</v>
      </c>
      <c r="AD58" s="10" t="n">
        <v>2421.14</v>
      </c>
      <c r="AE58" s="10" t="n">
        <v>2.16</v>
      </c>
      <c r="AF58" s="10" t="n">
        <v>1.45</v>
      </c>
      <c r="AG58" s="10" t="n">
        <v>2.25</v>
      </c>
      <c r="AH58" s="10" t="n">
        <v>1.72</v>
      </c>
      <c r="AI58" s="10" t="inlineStr"/>
      <c r="AJ58" s="11">
        <f>IFERROR(INDEX(Country_Context!$B$2:$B$87,MATCH($C58,Country_Context!$A$2:$A$87,0)),"")</f>
        <v/>
      </c>
      <c r="AK58" s="11">
        <f>IFERROR(INDEX(Country_Context!$C$2:$C$87,MATCH($C58,Country_Context!$A$2:$A$87,0)),"")</f>
        <v/>
      </c>
      <c r="AL58" s="11">
        <f>IFERROR(INDEX(Country_Context!$D$2:$D$87,MATCH($C58,Country_Context!$A$2:$A$87,0)),"")</f>
        <v/>
      </c>
      <c r="AM58" s="11">
        <f>IFERROR(INDEX(Country_Context!$E$2:$E$87,MATCH($C58,Country_Context!$A$2:$A$87,0)),"")</f>
        <v/>
      </c>
      <c r="AN58" s="11">
        <f>IFERROR(INDEX(Country_Context!$F$2:$F$87,MATCH($C58,Country_Context!$A$2:$A$87,0)),"")</f>
        <v/>
      </c>
      <c r="AO58" s="11">
        <f>IFERROR(INDEX(Country_Context!$G$2:$G$87,MATCH($C58,Country_Context!$A$2:$A$87,0)),"")</f>
        <v/>
      </c>
      <c r="AP58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8" s="12" t="inlineStr">
        <is>
          <t>Tier 3, Tier 4</t>
        </is>
      </c>
      <c r="AR58" s="12" t="inlineStr">
        <is>
          <t>2024-12-31</t>
        </is>
      </c>
      <c r="AS58" s="12" t="inlineStr">
        <is>
          <t>providers=world_bank_col_estimate, derived, ilo_ilostat, who_gho; fields=gross_income, rent, utilities, transit_cost; +9 additional fields</t>
        </is>
      </c>
      <c r="AT58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 | +1 more</t>
        </is>
      </c>
      <c r="AU58" s="12" t="inlineStr">
        <is>
          <t>Tier 3</t>
        </is>
      </c>
      <c r="AV58" s="12" t="inlineStr">
        <is>
          <t>2024-12-31</t>
        </is>
      </c>
      <c r="AW58" s="12" t="inlineStr">
        <is>
          <t>providers=world_bank, wmo_natl_met; fields=personal_safety_raw, water_sanitation_utility_raw, digital_infrastructure_raw, climate_sunlight_livability_raw</t>
        </is>
      </c>
      <c r="AX58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8" s="12" t="inlineStr">
        <is>
          <t>Tier 3</t>
        </is>
      </c>
      <c r="AZ58" s="12" t="inlineStr">
        <is>
          <t>2023-12-31</t>
        </is>
      </c>
      <c r="BA58" s="12" t="inlineStr">
        <is>
          <t>providers=who_gho, world_bank; fields=healthcare_quality_raw, education_quality_raw, equal_opportunity_raw, gini_coefficient</t>
        </is>
      </c>
      <c r="BB58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8" s="12" t="inlineStr">
        <is>
          <t>Tier 3</t>
        </is>
      </c>
      <c r="BD58" s="12" t="inlineStr">
        <is>
          <t>2025-12-31</t>
        </is>
      </c>
      <c r="BE58" s="12" t="inlineStr">
        <is>
          <t>providers=world_bank; fields=hospitality_belonging_raw, tolerance_pluralism_raw, cultural_public_life_raw, birth_rate_optimism_raw</t>
        </is>
      </c>
      <c r="BF58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8" s="12" t="inlineStr">
        <is>
          <t>Tier 3</t>
        </is>
      </c>
      <c r="BH58" s="12" t="inlineStr">
        <is>
          <t>2024-12-31</t>
        </is>
      </c>
      <c r="BI58" s="12" t="inlineStr">
        <is>
          <t>providers=world_bank; fields=entrepreneurial_dynamism_raw, innovation_research_intensity_raw, investment_signal_raw, administrative_investment_friction_raw; +2 additional fields</t>
        </is>
      </c>
      <c r="BJ58" s="9" t="n">
        <v>1.29</v>
      </c>
    </row>
    <row r="59">
      <c r="A59" s="9" t="inlineStr">
        <is>
          <t>pl-torun</t>
        </is>
      </c>
      <c r="B59" s="9" t="inlineStr">
        <is>
          <t>Torun</t>
        </is>
      </c>
      <c r="C59" s="9" t="inlineStr">
        <is>
          <t>Poland</t>
        </is>
      </c>
      <c r="D59" s="9" t="inlineStr">
        <is>
          <t>Southern/Eastern Europe and Eurasia</t>
        </is>
      </c>
      <c r="E59" s="9" t="inlineStr">
        <is>
          <t>secondary</t>
        </is>
      </c>
      <c r="F59" s="9" t="inlineStr">
        <is>
          <t>provisional</t>
        </is>
      </c>
      <c r="G59" s="10" t="n">
        <v>4128.33</v>
      </c>
      <c r="H59" s="10" t="n">
        <v>774.0599999999999</v>
      </c>
      <c r="I59" s="10" t="n">
        <v>247.7</v>
      </c>
      <c r="J59" s="10" t="n">
        <v>123.85</v>
      </c>
      <c r="K59" s="10" t="n">
        <v>46.44</v>
      </c>
      <c r="L59" s="10" t="n">
        <v>619.25</v>
      </c>
      <c r="M59" s="11" t="inlineStr"/>
      <c r="N59" s="10" t="n">
        <v>18.75</v>
      </c>
      <c r="O59" s="10" t="n">
        <v>33.5851</v>
      </c>
      <c r="P59" s="11">
        <f>IF($O59&lt;&gt;"",$O59,$AO59)</f>
        <v/>
      </c>
      <c r="Q59" s="10" t="n">
        <v>38.63</v>
      </c>
      <c r="R59" s="10" t="n">
        <v>13.67</v>
      </c>
      <c r="S59" s="10" t="n">
        <v>0.8</v>
      </c>
      <c r="T59" s="10" t="inlineStr"/>
      <c r="U59" s="10" t="inlineStr"/>
      <c r="V59" s="10" t="n">
        <v>88.68000000000001</v>
      </c>
      <c r="W59" s="10" t="n">
        <v>26.11</v>
      </c>
      <c r="X59" s="9" t="inlineStr"/>
      <c r="Y59" s="10" t="n">
        <v>82</v>
      </c>
      <c r="Z59" s="10" t="n">
        <v>76.88</v>
      </c>
      <c r="AA59" s="10" t="n">
        <v>28.5</v>
      </c>
      <c r="AB59" s="10" t="n">
        <v>40.95</v>
      </c>
      <c r="AC59" s="10" t="n">
        <v>29.57</v>
      </c>
      <c r="AD59" s="10" t="n">
        <v>2421.14</v>
      </c>
      <c r="AE59" s="10" t="n">
        <v>2.16</v>
      </c>
      <c r="AF59" s="10" t="n">
        <v>1.45</v>
      </c>
      <c r="AG59" s="10" t="n">
        <v>2.25</v>
      </c>
      <c r="AH59" s="10" t="n">
        <v>1.72</v>
      </c>
      <c r="AI59" s="10" t="inlineStr"/>
      <c r="AJ59" s="11">
        <f>IFERROR(INDEX(Country_Context!$B$2:$B$87,MATCH($C59,Country_Context!$A$2:$A$87,0)),"")</f>
        <v/>
      </c>
      <c r="AK59" s="11">
        <f>IFERROR(INDEX(Country_Context!$C$2:$C$87,MATCH($C59,Country_Context!$A$2:$A$87,0)),"")</f>
        <v/>
      </c>
      <c r="AL59" s="11">
        <f>IFERROR(INDEX(Country_Context!$D$2:$D$87,MATCH($C59,Country_Context!$A$2:$A$87,0)),"")</f>
        <v/>
      </c>
      <c r="AM59" s="11">
        <f>IFERROR(INDEX(Country_Context!$E$2:$E$87,MATCH($C59,Country_Context!$A$2:$A$87,0)),"")</f>
        <v/>
      </c>
      <c r="AN59" s="11">
        <f>IFERROR(INDEX(Country_Context!$F$2:$F$87,MATCH($C59,Country_Context!$A$2:$A$87,0)),"")</f>
        <v/>
      </c>
      <c r="AO59" s="11">
        <f>IFERROR(INDEX(Country_Context!$G$2:$G$87,MATCH($C59,Country_Context!$A$2:$A$87,0)),"")</f>
        <v/>
      </c>
      <c r="AP59" s="12" t="inlineStr">
        <is>
          <t>https://api.worldbank.org/v2/country/POL/indicator/NY.GNP.PCAP.PP.CD?format=json&amp;mrv=10 | https://data.worldbank.org/indicator/NY.GNP.PCAP.PP.CD | https://ilostat.ilo.org/data/indicator/?id=HOW_TEMP_SEX_ECO_NB_A&amp;ref_area=POL | +4 more</t>
        </is>
      </c>
      <c r="AQ59" s="12" t="inlineStr">
        <is>
          <t>Tier 3, Tier 4</t>
        </is>
      </c>
      <c r="AR59" s="12" t="inlineStr">
        <is>
          <t>2024-12-31</t>
        </is>
      </c>
      <c r="AS59" s="12" t="inlineStr">
        <is>
          <t>providers=world_bank_col_estimate, derived, ilo_ilostat, who_gho; fields=gross_income, rent, utilities, transit_cost; +9 additional fields</t>
        </is>
      </c>
      <c r="AT59" s="12" t="inlineStr">
        <is>
          <t>https://api.worldbank.org/v2/country/POL/indicator/VC.IHR.PSRC.P5?format=json&amp;mrv=10 | https://api.worldbank.org/v2/country/POL/indicator/SH.H2O.SMDW.ZS?format=json&amp;mrv=10 | https://api.worldbank.org/v2/country/POL/indicator/IT.NET.BBND.P2?format=json&amp;mrv=10</t>
        </is>
      </c>
      <c r="AU59" s="12" t="inlineStr">
        <is>
          <t>Tier 3</t>
        </is>
      </c>
      <c r="AV59" s="12" t="inlineStr">
        <is>
          <t>2024-12-31</t>
        </is>
      </c>
      <c r="AW59" s="12" t="inlineStr">
        <is>
          <t>providers=world_bank; fields=personal_safety_raw, water_sanitation_utility_raw, digital_infrastructure_raw</t>
        </is>
      </c>
      <c r="AX59" s="12" t="inlineStr">
        <is>
          <t>https://www.who.int/data/gho/data/indicators/indicator-details/GHO/UHC_INDEX_REPORTED | https://api.worldbank.org/v2/country/POL/indicator/SE.TER.ENRR?format=json&amp;mrv=10 | https://api.worldbank.org/v2/country/POL/indicator/SI.POV.GINI?format=json&amp;mrv=10 | +1 more</t>
        </is>
      </c>
      <c r="AY59" s="12" t="inlineStr">
        <is>
          <t>Tier 3</t>
        </is>
      </c>
      <c r="AZ59" s="12" t="inlineStr">
        <is>
          <t>2023-12-31</t>
        </is>
      </c>
      <c r="BA59" s="12" t="inlineStr">
        <is>
          <t>providers=who_gho, world_bank; fields=healthcare_quality_raw, education_quality_raw, equal_opportunity_raw, gini_coefficient</t>
        </is>
      </c>
      <c r="BB59" s="12" t="inlineStr">
        <is>
          <t>https://api.worldbank.org/v2/country/POL/indicator/SM.POP.NETM?format=json&amp;mrv=10 | https://api.worldbank.org/v2/country/POL/indicator/SG.GEN.PARL.ZS?format=json&amp;mrv=10 | https://api.worldbank.org/v2/country/POL/indicator/ST.INT.ARVL?format=json&amp;mrv=10 | +1 more</t>
        </is>
      </c>
      <c r="BC59" s="12" t="inlineStr">
        <is>
          <t>Tier 3</t>
        </is>
      </c>
      <c r="BD59" s="12" t="inlineStr">
        <is>
          <t>2025-12-31</t>
        </is>
      </c>
      <c r="BE59" s="12" t="inlineStr">
        <is>
          <t>providers=world_bank; fields=hospitality_belonging_raw, tolerance_pluralism_raw, cultural_public_life_raw, birth_rate_optimism_raw</t>
        </is>
      </c>
      <c r="BF59" s="12" t="inlineStr">
        <is>
          <t>https://api.worldbank.org/v2/country/POL/indicator/IC.BUS.NDNS.ZS?format=json&amp;mrv=10 | https://api.worldbank.org/v2/country/POL/indicator/GB.XPD.RSDV.GD.ZS?format=json&amp;mrv=10 | https://api.worldbank.org/v2/country/POL/indicator/BX.KLT.DINV.WD.GD.ZS?format=json&amp;mrv=10 | +3 more</t>
        </is>
      </c>
      <c r="BG59" s="12" t="inlineStr">
        <is>
          <t>Tier 3</t>
        </is>
      </c>
      <c r="BH59" s="12" t="inlineStr">
        <is>
          <t>2024-12-31</t>
        </is>
      </c>
      <c r="BI59" s="12" t="inlineStr">
        <is>
          <t>providers=world_bank; fields=entrepreneurial_dynamism_raw, innovation_research_intensity_raw, investment_signal_raw, administrative_investment_friction_raw; +2 additional fields</t>
        </is>
      </c>
      <c r="BJ59" s="9" t="n">
        <v>1.29</v>
      </c>
    </row>
    <row r="60">
      <c r="A60" s="9" t="inlineStr">
        <is>
          <t>sk-bratislava</t>
        </is>
      </c>
      <c r="B60" s="9" t="inlineStr">
        <is>
          <t>Bratislava</t>
        </is>
      </c>
      <c r="C60" s="9" t="inlineStr">
        <is>
          <t>Slovakia</t>
        </is>
      </c>
      <c r="D60" s="9" t="inlineStr">
        <is>
          <t>Southern/Eastern Europe and Eurasia</t>
        </is>
      </c>
      <c r="E60" s="9" t="inlineStr">
        <is>
          <t>secondary</t>
        </is>
      </c>
      <c r="F60" s="9" t="inlineStr">
        <is>
          <t>provisional</t>
        </is>
      </c>
      <c r="G60" s="10" t="n">
        <v>3920</v>
      </c>
      <c r="H60" s="10" t="n">
        <v>931</v>
      </c>
      <c r="I60" s="10" t="n">
        <v>297.92</v>
      </c>
      <c r="J60" s="10" t="n">
        <v>148.96</v>
      </c>
      <c r="K60" s="10" t="n">
        <v>55.86</v>
      </c>
      <c r="L60" s="10" t="n">
        <v>744.8</v>
      </c>
      <c r="M60" s="11" t="inlineStr"/>
      <c r="N60" s="10" t="n">
        <v>23.75</v>
      </c>
      <c r="O60" s="10" t="n">
        <v>59.6386</v>
      </c>
      <c r="P60" s="11">
        <f>IF($O60&lt;&gt;"",$O60,$AO60)</f>
        <v/>
      </c>
      <c r="Q60" s="10" t="n">
        <v>37.91</v>
      </c>
      <c r="R60" s="10" t="n">
        <v>9.91</v>
      </c>
      <c r="S60" s="10" t="n">
        <v>1.12</v>
      </c>
      <c r="T60" s="10" t="inlineStr"/>
      <c r="U60" s="10" t="inlineStr"/>
      <c r="V60" s="10" t="n">
        <v>99.56999999999999</v>
      </c>
      <c r="W60" s="10" t="n">
        <v>33.17</v>
      </c>
      <c r="X60" s="9" t="n">
        <v>52</v>
      </c>
      <c r="Y60" s="10" t="n">
        <v>78</v>
      </c>
      <c r="Z60" s="10" t="n">
        <v>53.42</v>
      </c>
      <c r="AA60" s="10" t="n">
        <v>23.8</v>
      </c>
      <c r="AB60" s="10" t="n">
        <v>44.21</v>
      </c>
      <c r="AC60" s="10" t="n">
        <v>22.67</v>
      </c>
      <c r="AD60" s="10" t="n">
        <v>2821.62</v>
      </c>
      <c r="AE60" s="10" t="n">
        <v>5.48</v>
      </c>
      <c r="AF60" s="10" t="n">
        <v>0.98</v>
      </c>
      <c r="AG60" s="10" t="n">
        <v>3.56</v>
      </c>
      <c r="AH60" s="10" t="n">
        <v>1.9</v>
      </c>
      <c r="AI60" s="10" t="inlineStr"/>
      <c r="AJ60" s="11">
        <f>IFERROR(INDEX(Country_Context!$B$2:$B$87,MATCH($C60,Country_Context!$A$2:$A$87,0)),"")</f>
        <v/>
      </c>
      <c r="AK60" s="11">
        <f>IFERROR(INDEX(Country_Context!$C$2:$C$87,MATCH($C60,Country_Context!$A$2:$A$87,0)),"")</f>
        <v/>
      </c>
      <c r="AL60" s="11">
        <f>IFERROR(INDEX(Country_Context!$D$2:$D$87,MATCH($C60,Country_Context!$A$2:$A$87,0)),"")</f>
        <v/>
      </c>
      <c r="AM60" s="11">
        <f>IFERROR(INDEX(Country_Context!$E$2:$E$87,MATCH($C60,Country_Context!$A$2:$A$87,0)),"")</f>
        <v/>
      </c>
      <c r="AN60" s="11">
        <f>IFERROR(INDEX(Country_Context!$F$2:$F$87,MATCH($C60,Country_Context!$A$2:$A$87,0)),"")</f>
        <v/>
      </c>
      <c r="AO60" s="11">
        <f>IFERROR(INDEX(Country_Context!$G$2:$G$87,MATCH($C60,Country_Context!$A$2:$A$87,0)),"")</f>
        <v/>
      </c>
      <c r="AP60" s="12" t="inlineStr">
        <is>
          <t>https://api.worldbank.org/v2/country/SVK/indicator/NY.GNP.PCAP.PP.CD?format=json&amp;mrv=10 | https://data.worldbank.org/indicator/NY.GNP.PCAP.PP.CD | https://ilostat.ilo.org/data/indicator/?id=HOW_TEMP_SEX_ECO_NB_A&amp;ref_area=SVK | +4 more</t>
        </is>
      </c>
      <c r="AQ60" s="12" t="inlineStr">
        <is>
          <t>Tier 3, Tier 4</t>
        </is>
      </c>
      <c r="AR60" s="12" t="inlineStr">
        <is>
          <t>2024-12-31</t>
        </is>
      </c>
      <c r="AS60" s="12" t="inlineStr">
        <is>
          <t>providers=world_bank_col_estimate, derived, ilo_ilostat, who_gho; fields=gross_income, rent, utilities, transit_cost; +9 additional fields</t>
        </is>
      </c>
      <c r="AT60" s="12" t="inlineStr">
        <is>
          <t>https://api.worldbank.org/v2/country/SVK/indicator/VC.IHR.PSRC.P5?format=json&amp;mrv=10 | https://api.worldbank.org/v2/country/SVK/indicator/SH.H2O.SMDW.ZS?format=json&amp;mrv=10 | https://api.worldbank.org/v2/country/SVK/indicator/IT.NET.BBND.P2?format=json&amp;mrv=10 | +1 more</t>
        </is>
      </c>
      <c r="AU60" s="12" t="inlineStr">
        <is>
          <t>Tier 3</t>
        </is>
      </c>
      <c r="AV60" s="12" t="inlineStr">
        <is>
          <t>2024-12-31</t>
        </is>
      </c>
      <c r="AW60" s="12" t="inlineStr">
        <is>
          <t>providers=world_bank, wmo_natl_met; fields=personal_safety_raw, water_sanitation_utility_raw, digital_infrastructure_raw, climate_sunlight_livability_raw</t>
        </is>
      </c>
      <c r="AX60" s="12" t="inlineStr">
        <is>
          <t>https://www.who.int/data/gho/data/indicators/indicator-details/GHO/UHC_INDEX_REPORTED | https://api.worldbank.org/v2/country/SVK/indicator/SE.TER.ENRR?format=json&amp;mrv=10 | https://api.worldbank.org/v2/country/SVK/indicator/SI.POV.GINI?format=json&amp;mrv=10 | +1 more</t>
        </is>
      </c>
      <c r="AY60" s="12" t="inlineStr">
        <is>
          <t>Tier 3</t>
        </is>
      </c>
      <c r="AZ60" s="12" t="inlineStr">
        <is>
          <t>2023-12-31</t>
        </is>
      </c>
      <c r="BA60" s="12" t="inlineStr">
        <is>
          <t>providers=who_gho, world_bank; fields=healthcare_quality_raw, education_quality_raw, equal_opportunity_raw, gini_coefficient</t>
        </is>
      </c>
      <c r="BB60" s="12" t="inlineStr">
        <is>
          <t>https://api.worldbank.org/v2/country/SVK/indicator/SM.POP.NETM?format=json&amp;mrv=10 | https://api.worldbank.org/v2/country/SVK/indicator/SG.GEN.PARL.ZS?format=json&amp;mrv=10 | https://api.worldbank.org/v2/country/SVK/indicator/ST.INT.ARVL?format=json&amp;mrv=10</t>
        </is>
      </c>
      <c r="BC60" s="12" t="inlineStr">
        <is>
          <t>Tier 3</t>
        </is>
      </c>
      <c r="BD60" s="12" t="inlineStr">
        <is>
          <t>2025-12-31</t>
        </is>
      </c>
      <c r="BE60" s="12" t="inlineStr">
        <is>
          <t>providers=world_bank; fields=hospitality_belonging_raw, tolerance_pluralism_raw, cultural_public_life_raw</t>
        </is>
      </c>
      <c r="BF60" s="12" t="inlineStr">
        <is>
          <t>https://api.worldbank.org/v2/country/SVK/indicator/IC.BUS.NDNS.ZS?format=json&amp;mrv=10 | https://api.worldbank.org/v2/country/SVK/indicator/GB.XPD.RSDV.GD.ZS?format=json&amp;mrv=10 | https://api.worldbank.org/v2/country/SVK/indicator/BX.KLT.DINV.WD.GD.ZS?format=json&amp;mrv=10 | +3 more</t>
        </is>
      </c>
      <c r="BG60" s="12" t="inlineStr">
        <is>
          <t>Tier 3</t>
        </is>
      </c>
      <c r="BH60" s="12" t="inlineStr">
        <is>
          <t>2024-12-31</t>
        </is>
      </c>
      <c r="BI60" s="12" t="inlineStr">
        <is>
          <t>providers=world_bank; fields=entrepreneurial_dynamism_raw, innovation_research_intensity_raw, investment_signal_raw, administrative_investment_friction_raw; +2 additional fields</t>
        </is>
      </c>
      <c r="BJ60" s="9" t="inlineStr"/>
    </row>
    <row r="61">
      <c r="A61" s="9" t="inlineStr">
        <is>
          <t>us-chicago</t>
        </is>
      </c>
      <c r="B61" s="9" t="inlineStr">
        <is>
          <t>Chicago</t>
        </is>
      </c>
      <c r="C61" s="9" t="inlineStr">
        <is>
          <t>United States</t>
        </is>
      </c>
      <c r="D61" s="9" t="inlineStr">
        <is>
          <t>North America</t>
        </is>
      </c>
      <c r="E61" s="9" t="inlineStr">
        <is>
          <t>primary</t>
        </is>
      </c>
      <c r="F61" s="9" t="inlineStr">
        <is>
          <t>locked</t>
        </is>
      </c>
      <c r="G61" s="10" t="n">
        <v>7881.5</v>
      </c>
      <c r="H61" s="10" t="n">
        <v>3034.38</v>
      </c>
      <c r="I61" s="10" t="n">
        <v>606.88</v>
      </c>
      <c r="J61" s="10" t="n">
        <v>433.48</v>
      </c>
      <c r="K61" s="10" t="n">
        <v>173.39</v>
      </c>
      <c r="L61" s="10" t="n">
        <v>1300.45</v>
      </c>
      <c r="M61" s="11" t="inlineStr"/>
      <c r="N61" s="10" t="n">
        <v>38.5</v>
      </c>
      <c r="O61" s="10" t="n">
        <v>46.8411</v>
      </c>
      <c r="P61" s="11">
        <f>IF($O61&lt;&gt;"",$O61,$AO61)</f>
        <v/>
      </c>
      <c r="Q61" s="10" t="n">
        <v>37.54</v>
      </c>
      <c r="R61" s="10" t="n">
        <v>15.63</v>
      </c>
      <c r="S61" s="10" t="n">
        <v>5.76</v>
      </c>
      <c r="T61" s="10" t="inlineStr"/>
      <c r="U61" s="10" t="inlineStr"/>
      <c r="V61" s="10" t="n">
        <v>97.56999999999999</v>
      </c>
      <c r="W61" s="10" t="n">
        <v>38.15</v>
      </c>
      <c r="X61" s="9" t="n">
        <v>52</v>
      </c>
      <c r="Y61" s="10" t="n">
        <v>88</v>
      </c>
      <c r="Z61" s="10" t="n">
        <v>79.36</v>
      </c>
      <c r="AA61" s="10" t="n">
        <v>41.8</v>
      </c>
      <c r="AB61" s="10" t="n">
        <v>53.62</v>
      </c>
      <c r="AC61" s="10" t="n">
        <v>28.74</v>
      </c>
      <c r="AD61" s="10" t="n">
        <v>132.42</v>
      </c>
      <c r="AE61" s="10" t="inlineStr"/>
      <c r="AF61" s="10" t="n">
        <v>3.59</v>
      </c>
      <c r="AG61" s="10" t="n">
        <v>1.03</v>
      </c>
      <c r="AH61" s="10" t="n">
        <v>1.11</v>
      </c>
      <c r="AI61" s="10" t="inlineStr"/>
      <c r="AJ61" s="11">
        <f>IFERROR(INDEX(Country_Context!$B$2:$B$87,MATCH($C61,Country_Context!$A$2:$A$87,0)),"")</f>
        <v/>
      </c>
      <c r="AK61" s="11">
        <f>IFERROR(INDEX(Country_Context!$C$2:$C$87,MATCH($C61,Country_Context!$A$2:$A$87,0)),"")</f>
        <v/>
      </c>
      <c r="AL61" s="11">
        <f>IFERROR(INDEX(Country_Context!$D$2:$D$87,MATCH($C61,Country_Context!$A$2:$A$87,0)),"")</f>
        <v/>
      </c>
      <c r="AM61" s="11">
        <f>IFERROR(INDEX(Country_Context!$E$2:$E$87,MATCH($C61,Country_Context!$A$2:$A$87,0)),"")</f>
        <v/>
      </c>
      <c r="AN61" s="11">
        <f>IFERROR(INDEX(Country_Context!$F$2:$F$87,MATCH($C61,Country_Context!$A$2:$A$87,0)),"")</f>
        <v/>
      </c>
      <c r="AO61" s="11">
        <f>IFERROR(INDEX(Country_Context!$G$2:$G$87,MATCH($C61,Country_Context!$A$2:$A$87,0)),"")</f>
        <v/>
      </c>
      <c r="AP61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1" s="12" t="inlineStr">
        <is>
          <t>Tier 3, Tier 4</t>
        </is>
      </c>
      <c r="AR61" s="12" t="inlineStr">
        <is>
          <t>2025-12-31</t>
        </is>
      </c>
      <c r="AS61" s="12" t="inlineStr">
        <is>
          <t>providers=world_bank_col_estimate, derived, ilo_ilostat, who_gho; fields=gross_income, rent, utilities, transit_cost; +9 additional fields</t>
        </is>
      </c>
      <c r="AT61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1" s="12" t="inlineStr">
        <is>
          <t>Tier 3</t>
        </is>
      </c>
      <c r="AV61" s="12" t="inlineStr">
        <is>
          <t>2024-12-31</t>
        </is>
      </c>
      <c r="AW61" s="12" t="inlineStr">
        <is>
          <t>providers=world_bank, wmo_natl_met; fields=personal_safety_raw, water_sanitation_utility_raw, digital_infrastructure_raw, climate_sunlight_livability_raw</t>
        </is>
      </c>
      <c r="AX61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1" s="12" t="inlineStr">
        <is>
          <t>Tier 3</t>
        </is>
      </c>
      <c r="AZ61" s="12" t="inlineStr">
        <is>
          <t>2023-12-31</t>
        </is>
      </c>
      <c r="BA61" s="12" t="inlineStr">
        <is>
          <t>providers=who_gho, world_bank; fields=healthcare_quality_raw, education_quality_raw, equal_opportunity_raw, gini_coefficient</t>
        </is>
      </c>
      <c r="BB61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1" s="12" t="inlineStr">
        <is>
          <t>Tier 3</t>
        </is>
      </c>
      <c r="BD61" s="12" t="inlineStr">
        <is>
          <t>2025-12-31</t>
        </is>
      </c>
      <c r="BE61" s="12" t="inlineStr">
        <is>
          <t>providers=world_bank; fields=hospitality_belonging_raw, tolerance_pluralism_raw, cultural_public_life_raw, birth_rate_optimism_raw</t>
        </is>
      </c>
      <c r="BF61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1" s="12" t="inlineStr">
        <is>
          <t>Tier 3</t>
        </is>
      </c>
      <c r="BH61" s="12" t="inlineStr">
        <is>
          <t>2024-12-31</t>
        </is>
      </c>
      <c r="BI61" s="12" t="inlineStr">
        <is>
          <t>providers=world_bank; fields=innovation_research_intensity_raw, investment_signal_raw, administrative_investment_friction_raw, gdp_per_capita_ppp; +1 additional fields</t>
        </is>
      </c>
      <c r="BJ61" s="9" t="n">
        <v>1.62</v>
      </c>
    </row>
    <row r="62">
      <c r="A62" s="9" t="inlineStr">
        <is>
          <t>mx-mexico-city</t>
        </is>
      </c>
      <c r="B62" s="9" t="inlineStr">
        <is>
          <t>Mexico City</t>
        </is>
      </c>
      <c r="C62" s="9" t="inlineStr">
        <is>
          <t>Mexico</t>
        </is>
      </c>
      <c r="D62" s="9" t="inlineStr">
        <is>
          <t>North America</t>
        </is>
      </c>
      <c r="E62" s="9" t="inlineStr">
        <is>
          <t>primary</t>
        </is>
      </c>
      <c r="F62" s="9" t="inlineStr">
        <is>
          <t>locked</t>
        </is>
      </c>
      <c r="G62" s="10" t="n">
        <v>2439.92</v>
      </c>
      <c r="H62" s="10" t="n">
        <v>982.0700000000001</v>
      </c>
      <c r="I62" s="10" t="n">
        <v>196.41</v>
      </c>
      <c r="J62" s="10" t="n">
        <v>140.3</v>
      </c>
      <c r="K62" s="10" t="n">
        <v>56.12</v>
      </c>
      <c r="L62" s="10" t="n">
        <v>420.89</v>
      </c>
      <c r="M62" s="11" t="inlineStr"/>
      <c r="N62" s="10" t="n">
        <v>40.2501</v>
      </c>
      <c r="O62" s="10" t="n">
        <v>26.5628</v>
      </c>
      <c r="P62" s="11">
        <f>IF($O62&lt;&gt;"",$O62,$AO62)</f>
        <v/>
      </c>
      <c r="Q62" s="10" t="n">
        <v>42.19</v>
      </c>
      <c r="R62" s="10" t="n">
        <v>6.95</v>
      </c>
      <c r="S62" s="10" t="n">
        <v>24.86</v>
      </c>
      <c r="T62" s="10" t="inlineStr"/>
      <c r="U62" s="10" t="inlineStr"/>
      <c r="V62" s="10" t="n">
        <v>42.97</v>
      </c>
      <c r="W62" s="10" t="n">
        <v>20.09</v>
      </c>
      <c r="X62" s="9" t="n">
        <v>66</v>
      </c>
      <c r="Y62" s="10" t="n">
        <v>79</v>
      </c>
      <c r="Z62" s="10" t="n">
        <v>47.47</v>
      </c>
      <c r="AA62" s="10" t="n">
        <v>43.5</v>
      </c>
      <c r="AB62" s="10" t="n">
        <v>49.17</v>
      </c>
      <c r="AC62" s="10" t="n">
        <v>50.2</v>
      </c>
      <c r="AD62" s="10" t="n">
        <v>390.7</v>
      </c>
      <c r="AE62" s="10" t="n">
        <v>0.88</v>
      </c>
      <c r="AF62" s="10" t="n">
        <v>0.27</v>
      </c>
      <c r="AG62" s="10" t="n">
        <v>2.45</v>
      </c>
      <c r="AH62" s="10" t="n">
        <v>2.67</v>
      </c>
      <c r="AI62" s="10" t="inlineStr"/>
      <c r="AJ62" s="11">
        <f>IFERROR(INDEX(Country_Context!$B$2:$B$87,MATCH($C62,Country_Context!$A$2:$A$87,0)),"")</f>
        <v/>
      </c>
      <c r="AK62" s="11">
        <f>IFERROR(INDEX(Country_Context!$C$2:$C$87,MATCH($C62,Country_Context!$A$2:$A$87,0)),"")</f>
        <v/>
      </c>
      <c r="AL62" s="11">
        <f>IFERROR(INDEX(Country_Context!$D$2:$D$87,MATCH($C62,Country_Context!$A$2:$A$87,0)),"")</f>
        <v/>
      </c>
      <c r="AM62" s="11">
        <f>IFERROR(INDEX(Country_Context!$E$2:$E$87,MATCH($C62,Country_Context!$A$2:$A$87,0)),"")</f>
        <v/>
      </c>
      <c r="AN62" s="11">
        <f>IFERROR(INDEX(Country_Context!$F$2:$F$87,MATCH($C62,Country_Context!$A$2:$A$87,0)),"")</f>
        <v/>
      </c>
      <c r="AO62" s="11">
        <f>IFERROR(INDEX(Country_Context!$G$2:$G$87,MATCH($C62,Country_Context!$A$2:$A$87,0)),"")</f>
        <v/>
      </c>
      <c r="AP62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2" s="12" t="inlineStr">
        <is>
          <t>Tier 3, Tier 4</t>
        </is>
      </c>
      <c r="AR62" s="12" t="inlineStr">
        <is>
          <t>2024-12-31</t>
        </is>
      </c>
      <c r="AS62" s="12" t="inlineStr">
        <is>
          <t>providers=world_bank_col_estimate, derived, ilo_ilostat, who_gho; fields=gross_income, rent, utilities, transit_cost; +9 additional fields</t>
        </is>
      </c>
      <c r="AT62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2" s="12" t="inlineStr">
        <is>
          <t>Tier 3</t>
        </is>
      </c>
      <c r="AV62" s="12" t="inlineStr">
        <is>
          <t>2024-12-31</t>
        </is>
      </c>
      <c r="AW62" s="12" t="inlineStr">
        <is>
          <t>providers=world_bank, wmo_natl_met; fields=personal_safety_raw, water_sanitation_utility_raw, digital_infrastructure_raw, climate_sunlight_livability_raw</t>
        </is>
      </c>
      <c r="AX62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2" s="12" t="inlineStr">
        <is>
          <t>Tier 3</t>
        </is>
      </c>
      <c r="AZ62" s="12" t="inlineStr">
        <is>
          <t>2023-12-31</t>
        </is>
      </c>
      <c r="BA62" s="12" t="inlineStr">
        <is>
          <t>providers=who_gho, world_bank; fields=healthcare_quality_raw, education_quality_raw, equal_opportunity_raw, gini_coefficient</t>
        </is>
      </c>
      <c r="BB62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2" s="12" t="inlineStr">
        <is>
          <t>Tier 3</t>
        </is>
      </c>
      <c r="BD62" s="12" t="inlineStr">
        <is>
          <t>2025-12-31</t>
        </is>
      </c>
      <c r="BE62" s="12" t="inlineStr">
        <is>
          <t>providers=world_bank; fields=hospitality_belonging_raw, tolerance_pluralism_raw, cultural_public_life_raw, birth_rate_optimism_raw</t>
        </is>
      </c>
      <c r="BF62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2" s="12" t="inlineStr">
        <is>
          <t>Tier 3</t>
        </is>
      </c>
      <c r="BH62" s="12" t="inlineStr">
        <is>
          <t>2024-12-31</t>
        </is>
      </c>
      <c r="BI62" s="12" t="inlineStr">
        <is>
          <t>providers=world_bank; fields=entrepreneurial_dynamism_raw, innovation_research_intensity_raw, investment_signal_raw, administrative_investment_friction_raw; +2 additional fields</t>
        </is>
      </c>
      <c r="BJ62" s="9" t="n">
        <v>1.8</v>
      </c>
    </row>
    <row r="63">
      <c r="A63" s="9" t="inlineStr">
        <is>
          <t>ca-toronto</t>
        </is>
      </c>
      <c r="B63" s="9" t="inlineStr">
        <is>
          <t>Toronto</t>
        </is>
      </c>
      <c r="C63" s="9" t="inlineStr">
        <is>
          <t>Canada</t>
        </is>
      </c>
      <c r="D63" s="9" t="inlineStr">
        <is>
          <t>North America</t>
        </is>
      </c>
      <c r="E63" s="9" t="inlineStr">
        <is>
          <t>primary</t>
        </is>
      </c>
      <c r="F63" s="9" t="inlineStr">
        <is>
          <t>provisional</t>
        </is>
      </c>
      <c r="G63" s="10" t="n">
        <v>5832.75</v>
      </c>
      <c r="H63" s="10" t="n">
        <v>2449.75</v>
      </c>
      <c r="I63" s="10" t="n">
        <v>489.95</v>
      </c>
      <c r="J63" s="10" t="n">
        <v>349.96</v>
      </c>
      <c r="K63" s="10" t="n">
        <v>139.99</v>
      </c>
      <c r="L63" s="10" t="n">
        <v>1049.89</v>
      </c>
      <c r="M63" s="11" t="inlineStr"/>
      <c r="N63" s="10" t="n">
        <v>41.9999</v>
      </c>
      <c r="O63" s="10" t="n">
        <v>124.0978</v>
      </c>
      <c r="P63" s="11">
        <f>IF($O63&lt;&gt;"",$O63,$AO63)</f>
        <v/>
      </c>
      <c r="Q63" s="10" t="n">
        <v>34.8</v>
      </c>
      <c r="R63" s="10" t="n">
        <v>9.44</v>
      </c>
      <c r="S63" s="10" t="n">
        <v>1.98</v>
      </c>
      <c r="T63" s="10" t="inlineStr"/>
      <c r="U63" s="10" t="inlineStr"/>
      <c r="V63" s="10" t="n">
        <v>96.89</v>
      </c>
      <c r="W63" s="10" t="n">
        <v>42.52</v>
      </c>
      <c r="X63" s="9" t="n">
        <v>46</v>
      </c>
      <c r="Y63" s="10" t="n">
        <v>92</v>
      </c>
      <c r="Z63" s="10" t="n">
        <v>76.26000000000001</v>
      </c>
      <c r="AA63" s="10" t="n">
        <v>31.1</v>
      </c>
      <c r="AB63" s="10" t="n">
        <v>57.9</v>
      </c>
      <c r="AC63" s="10" t="n">
        <v>30.65</v>
      </c>
      <c r="AD63" s="10" t="n">
        <v>785.45</v>
      </c>
      <c r="AE63" s="10" t="n">
        <v>9.83</v>
      </c>
      <c r="AF63" s="10" t="n">
        <v>1.7</v>
      </c>
      <c r="AG63" s="10" t="n">
        <v>2.81</v>
      </c>
      <c r="AH63" s="10" t="n">
        <v>0.86</v>
      </c>
      <c r="AI63" s="10" t="inlineStr"/>
      <c r="AJ63" s="11">
        <f>IFERROR(INDEX(Country_Context!$B$2:$B$87,MATCH($C63,Country_Context!$A$2:$A$87,0)),"")</f>
        <v/>
      </c>
      <c r="AK63" s="11">
        <f>IFERROR(INDEX(Country_Context!$C$2:$C$87,MATCH($C63,Country_Context!$A$2:$A$87,0)),"")</f>
        <v/>
      </c>
      <c r="AL63" s="11">
        <f>IFERROR(INDEX(Country_Context!$D$2:$D$87,MATCH($C63,Country_Context!$A$2:$A$87,0)),"")</f>
        <v/>
      </c>
      <c r="AM63" s="11">
        <f>IFERROR(INDEX(Country_Context!$E$2:$E$87,MATCH($C63,Country_Context!$A$2:$A$87,0)),"")</f>
        <v/>
      </c>
      <c r="AN63" s="11">
        <f>IFERROR(INDEX(Country_Context!$F$2:$F$87,MATCH($C63,Country_Context!$A$2:$A$87,0)),"")</f>
        <v/>
      </c>
      <c r="AO63" s="11">
        <f>IFERROR(INDEX(Country_Context!$G$2:$G$87,MATCH($C63,Country_Context!$A$2:$A$87,0)),"")</f>
        <v/>
      </c>
      <c r="AP63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3" s="12" t="inlineStr">
        <is>
          <t>Tier 3, Tier 4</t>
        </is>
      </c>
      <c r="AR63" s="12" t="inlineStr">
        <is>
          <t>2025-12-31</t>
        </is>
      </c>
      <c r="AS63" s="12" t="inlineStr">
        <is>
          <t>providers=world_bank_col_estimate, derived, ilo_ilostat, who_gho; fields=gross_income, rent, utilities, transit_cost; +9 additional fields</t>
        </is>
      </c>
      <c r="AT63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3" s="12" t="inlineStr">
        <is>
          <t>Tier 3</t>
        </is>
      </c>
      <c r="AV63" s="12" t="inlineStr">
        <is>
          <t>2024-12-31</t>
        </is>
      </c>
      <c r="AW63" s="12" t="inlineStr">
        <is>
          <t>providers=world_bank, wmo_natl_met; fields=personal_safety_raw, water_sanitation_utility_raw, digital_infrastructure_raw, climate_sunlight_livability_raw</t>
        </is>
      </c>
      <c r="AX63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3" s="12" t="inlineStr">
        <is>
          <t>Tier 3</t>
        </is>
      </c>
      <c r="AZ63" s="12" t="inlineStr">
        <is>
          <t>2023-12-31</t>
        </is>
      </c>
      <c r="BA63" s="12" t="inlineStr">
        <is>
          <t>providers=who_gho, world_bank; fields=healthcare_quality_raw, education_quality_raw, equal_opportunity_raw, gini_coefficient</t>
        </is>
      </c>
      <c r="BB63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3" s="12" t="inlineStr">
        <is>
          <t>Tier 3</t>
        </is>
      </c>
      <c r="BD63" s="12" t="inlineStr">
        <is>
          <t>2025-12-31</t>
        </is>
      </c>
      <c r="BE63" s="12" t="inlineStr">
        <is>
          <t>providers=world_bank; fields=hospitality_belonging_raw, tolerance_pluralism_raw, cultural_public_life_raw, birth_rate_optimism_raw</t>
        </is>
      </c>
      <c r="BF63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3" s="12" t="inlineStr">
        <is>
          <t>Tier 3</t>
        </is>
      </c>
      <c r="BH63" s="12" t="inlineStr">
        <is>
          <t>2024-12-31</t>
        </is>
      </c>
      <c r="BI63" s="12" t="inlineStr">
        <is>
          <t>providers=world_bank; fields=entrepreneurial_dynamism_raw, innovation_research_intensity_raw, investment_signal_raw, administrative_investment_friction_raw; +2 additional fields</t>
        </is>
      </c>
      <c r="BJ63" s="9" t="n">
        <v>1.26</v>
      </c>
    </row>
    <row r="64">
      <c r="A64" s="9" t="inlineStr">
        <is>
          <t>pa-panama-city</t>
        </is>
      </c>
      <c r="B64" s="9" t="inlineStr">
        <is>
          <t>Panama City</t>
        </is>
      </c>
      <c r="C64" s="9" t="inlineStr">
        <is>
          <t>Panama</t>
        </is>
      </c>
      <c r="D64" s="9" t="inlineStr">
        <is>
          <t>North America</t>
        </is>
      </c>
      <c r="E64" s="9" t="inlineStr">
        <is>
          <t>primary</t>
        </is>
      </c>
      <c r="F64" s="9" t="inlineStr">
        <is>
          <t>locked</t>
        </is>
      </c>
      <c r="G64" s="10" t="n">
        <v>3271.67</v>
      </c>
      <c r="H64" s="10" t="n">
        <v>1030.58</v>
      </c>
      <c r="I64" s="10" t="n">
        <v>206.12</v>
      </c>
      <c r="J64" s="10" t="n">
        <v>147.23</v>
      </c>
      <c r="K64" s="10" t="n">
        <v>58.89</v>
      </c>
      <c r="L64" s="10" t="n">
        <v>441.68</v>
      </c>
      <c r="M64" s="11" t="inlineStr"/>
      <c r="N64" s="10" t="n">
        <v>31.5001</v>
      </c>
      <c r="O64" s="10" t="n">
        <v>68.0947</v>
      </c>
      <c r="P64" s="11">
        <f>IF($O64&lt;&gt;"",$O64,$AO64)</f>
        <v/>
      </c>
      <c r="Q64" s="10" t="n">
        <v>36.01</v>
      </c>
      <c r="R64" s="10" t="n">
        <v>3.29</v>
      </c>
      <c r="S64" s="10" t="n">
        <v>11.71</v>
      </c>
      <c r="T64" s="10" t="inlineStr"/>
      <c r="U64" s="10" t="inlineStr"/>
      <c r="V64" s="10" t="inlineStr"/>
      <c r="W64" s="10" t="n">
        <v>18.13</v>
      </c>
      <c r="X64" s="9" t="n">
        <v>58</v>
      </c>
      <c r="Y64" s="10" t="n">
        <v>82</v>
      </c>
      <c r="Z64" s="10" t="n">
        <v>53.69</v>
      </c>
      <c r="AA64" s="10" t="n">
        <v>49.7</v>
      </c>
      <c r="AB64" s="10" t="n">
        <v>51.36</v>
      </c>
      <c r="AC64" s="10" t="n">
        <v>21.43</v>
      </c>
      <c r="AD64" s="10" t="n">
        <v>143.28</v>
      </c>
      <c r="AE64" s="10" t="n">
        <v>4.55</v>
      </c>
      <c r="AF64" s="10" t="n">
        <v>0.16</v>
      </c>
      <c r="AG64" s="10" t="n">
        <v>3.75</v>
      </c>
      <c r="AH64" s="10" t="n">
        <v>2.38</v>
      </c>
      <c r="AI64" s="10" t="inlineStr"/>
      <c r="AJ64" s="11">
        <f>IFERROR(INDEX(Country_Context!$B$2:$B$87,MATCH($C64,Country_Context!$A$2:$A$87,0)),"")</f>
        <v/>
      </c>
      <c r="AK64" s="11">
        <f>IFERROR(INDEX(Country_Context!$C$2:$C$87,MATCH($C64,Country_Context!$A$2:$A$87,0)),"")</f>
        <v/>
      </c>
      <c r="AL64" s="11">
        <f>IFERROR(INDEX(Country_Context!$D$2:$D$87,MATCH($C64,Country_Context!$A$2:$A$87,0)),"")</f>
        <v/>
      </c>
      <c r="AM64" s="11">
        <f>IFERROR(INDEX(Country_Context!$E$2:$E$87,MATCH($C64,Country_Context!$A$2:$A$87,0)),"")</f>
        <v/>
      </c>
      <c r="AN64" s="11">
        <f>IFERROR(INDEX(Country_Context!$F$2:$F$87,MATCH($C64,Country_Context!$A$2:$A$87,0)),"")</f>
        <v/>
      </c>
      <c r="AO64" s="11">
        <f>IFERROR(INDEX(Country_Context!$G$2:$G$87,MATCH($C64,Country_Context!$A$2:$A$87,0)),"")</f>
        <v/>
      </c>
      <c r="AP64" s="12" t="inlineStr">
        <is>
          <t>https://api.worldbank.org/v2/country/PAN/indicator/NY.GNP.PCAP.PP.CD?format=json&amp;mrv=10 | https://data.worldbank.org/indicator/NY.GNP.PCAP.PP.CD | https://ilostat.ilo.org/data/indicator/?id=HOW_TEMP_SEX_ECO_NB_A&amp;ref_area=PAN | +4 more</t>
        </is>
      </c>
      <c r="AQ64" s="12" t="inlineStr">
        <is>
          <t>Tier 3, Tier 4</t>
        </is>
      </c>
      <c r="AR64" s="12" t="inlineStr">
        <is>
          <t>2024-12-31</t>
        </is>
      </c>
      <c r="AS64" s="12" t="inlineStr">
        <is>
          <t>providers=world_bank_col_estimate, derived, ilo_ilostat, who_gho; fields=gross_income, rent, utilities, transit_cost; +9 additional fields</t>
        </is>
      </c>
      <c r="AT64" s="12" t="inlineStr">
        <is>
          <t>https://api.worldbank.org/v2/country/PAN/indicator/VC.IHR.PSRC.P5?format=json&amp;mrv=10 | https://api.worldbank.org/v2/country/PAN/indicator/IT.NET.BBND.P2?format=json&amp;mrv=10 | https://worldweather.wmo.int</t>
        </is>
      </c>
      <c r="AU64" s="12" t="inlineStr">
        <is>
          <t>Tier 3</t>
        </is>
      </c>
      <c r="AV64" s="12" t="inlineStr">
        <is>
          <t>2024-12-31</t>
        </is>
      </c>
      <c r="AW64" s="12" t="inlineStr">
        <is>
          <t>providers=world_bank, wmo_natl_met; fields=personal_safety_raw, digital_infrastructure_raw, climate_sunlight_livability_raw</t>
        </is>
      </c>
      <c r="AX64" s="12" t="inlineStr">
        <is>
          <t>https://www.who.int/data/gho/data/indicators/indicator-details/GHO/UHC_INDEX_REPORTED | https://api.worldbank.org/v2/country/PAN/indicator/SE.TER.ENRR?format=json&amp;mrv=10 | https://api.worldbank.org/v2/country/PAN/indicator/SI.POV.GINI?format=json&amp;mrv=10 | +1 more</t>
        </is>
      </c>
      <c r="AY64" s="12" t="inlineStr">
        <is>
          <t>Tier 3</t>
        </is>
      </c>
      <c r="AZ64" s="12" t="inlineStr">
        <is>
          <t>2024-12-31</t>
        </is>
      </c>
      <c r="BA64" s="12" t="inlineStr">
        <is>
          <t>providers=who_gho, world_bank; fields=healthcare_quality_raw, education_quality_raw, equal_opportunity_raw, gini_coefficient</t>
        </is>
      </c>
      <c r="BB64" s="12" t="inlineStr">
        <is>
          <t>https://api.worldbank.org/v2/country/PAN/indicator/SM.POP.NETM?format=json&amp;mrv=10 | https://api.worldbank.org/v2/country/PAN/indicator/SG.GEN.PARL.ZS?format=json&amp;mrv=10 | https://api.worldbank.org/v2/country/PAN/indicator/ST.INT.ARVL?format=json&amp;mrv=10</t>
        </is>
      </c>
      <c r="BC64" s="12" t="inlineStr">
        <is>
          <t>Tier 3</t>
        </is>
      </c>
      <c r="BD64" s="12" t="inlineStr">
        <is>
          <t>2025-12-31</t>
        </is>
      </c>
      <c r="BE64" s="12" t="inlineStr">
        <is>
          <t>providers=world_bank; fields=hospitality_belonging_raw, tolerance_pluralism_raw, cultural_public_life_raw</t>
        </is>
      </c>
      <c r="BF64" s="12" t="inlineStr">
        <is>
          <t>https://api.worldbank.org/v2/country/PAN/indicator/IC.BUS.NDNS.ZS?format=json&amp;mrv=10 | https://api.worldbank.org/v2/country/PAN/indicator/GB.XPD.RSDV.GD.ZS?format=json&amp;mrv=10 | https://api.worldbank.org/v2/country/PAN/indicator/BX.KLT.DINV.WD.GD.ZS?format=json&amp;mrv=10 | +3 more</t>
        </is>
      </c>
      <c r="BG64" s="12" t="inlineStr">
        <is>
          <t>Tier 3</t>
        </is>
      </c>
      <c r="BH64" s="12" t="inlineStr">
        <is>
          <t>2024-12-31</t>
        </is>
      </c>
      <c r="BI64" s="12" t="inlineStr">
        <is>
          <t>providers=world_bank; fields=entrepreneurial_dynamism_raw, innovation_research_intensity_raw, investment_signal_raw, administrative_investment_friction_raw; +2 additional fields</t>
        </is>
      </c>
      <c r="BJ64" s="9" t="inlineStr"/>
    </row>
    <row r="65">
      <c r="A65" s="9" t="inlineStr">
        <is>
          <t>cr-san-jose</t>
        </is>
      </c>
      <c r="B65" s="9" t="inlineStr">
        <is>
          <t>San Jose</t>
        </is>
      </c>
      <c r="C65" s="9" t="inlineStr">
        <is>
          <t>Costa Rica</t>
        </is>
      </c>
      <c r="D65" s="9" t="inlineStr">
        <is>
          <t>North America</t>
        </is>
      </c>
      <c r="E65" s="9" t="inlineStr">
        <is>
          <t>primary</t>
        </is>
      </c>
      <c r="F65" s="9" t="inlineStr">
        <is>
          <t>locked</t>
        </is>
      </c>
      <c r="G65" s="10" t="n">
        <v>2403.33</v>
      </c>
      <c r="H65" s="10" t="n">
        <v>757.05</v>
      </c>
      <c r="I65" s="10" t="n">
        <v>151.41</v>
      </c>
      <c r="J65" s="10" t="n">
        <v>108.15</v>
      </c>
      <c r="K65" s="10" t="n">
        <v>43.26</v>
      </c>
      <c r="L65" s="10" t="n">
        <v>324.45</v>
      </c>
      <c r="M65" s="11" t="inlineStr"/>
      <c r="N65" s="10" t="n">
        <v>31.5</v>
      </c>
      <c r="O65" s="10" t="n">
        <v>50.9742</v>
      </c>
      <c r="P65" s="11">
        <f>IF($O65&lt;&gt;"",$O65,$AO65)</f>
        <v/>
      </c>
      <c r="Q65" s="10" t="n">
        <v>42.88</v>
      </c>
      <c r="R65" s="10" t="n">
        <v>8.06</v>
      </c>
      <c r="S65" s="10" t="n">
        <v>17.75</v>
      </c>
      <c r="T65" s="10" t="inlineStr"/>
      <c r="U65" s="10" t="inlineStr"/>
      <c r="V65" s="10" t="n">
        <v>80.5</v>
      </c>
      <c r="W65" s="10" t="n">
        <v>22.52</v>
      </c>
      <c r="X65" s="9" t="n">
        <v>64</v>
      </c>
      <c r="Y65" s="10" t="n">
        <v>84</v>
      </c>
      <c r="Z65" s="10" t="n">
        <v>55.02</v>
      </c>
      <c r="AA65" s="10" t="n">
        <v>45.8</v>
      </c>
      <c r="AB65" s="10" t="n">
        <v>50.19</v>
      </c>
      <c r="AC65" s="10" t="n">
        <v>49.12</v>
      </c>
      <c r="AD65" s="10" t="n">
        <v>223.49</v>
      </c>
      <c r="AE65" s="10" t="n">
        <v>5.8</v>
      </c>
      <c r="AF65" s="10" t="n">
        <v>0.34</v>
      </c>
      <c r="AG65" s="10" t="n">
        <v>5.56</v>
      </c>
      <c r="AH65" s="10" t="n">
        <v>1.96</v>
      </c>
      <c r="AI65" s="10" t="inlineStr"/>
      <c r="AJ65" s="11">
        <f>IFERROR(INDEX(Country_Context!$B$2:$B$87,MATCH($C65,Country_Context!$A$2:$A$87,0)),"")</f>
        <v/>
      </c>
      <c r="AK65" s="11">
        <f>IFERROR(INDEX(Country_Context!$C$2:$C$87,MATCH($C65,Country_Context!$A$2:$A$87,0)),"")</f>
        <v/>
      </c>
      <c r="AL65" s="11">
        <f>IFERROR(INDEX(Country_Context!$D$2:$D$87,MATCH($C65,Country_Context!$A$2:$A$87,0)),"")</f>
        <v/>
      </c>
      <c r="AM65" s="11">
        <f>IFERROR(INDEX(Country_Context!$E$2:$E$87,MATCH($C65,Country_Context!$A$2:$A$87,0)),"")</f>
        <v/>
      </c>
      <c r="AN65" s="11">
        <f>IFERROR(INDEX(Country_Context!$F$2:$F$87,MATCH($C65,Country_Context!$A$2:$A$87,0)),"")</f>
        <v/>
      </c>
      <c r="AO65" s="11">
        <f>IFERROR(INDEX(Country_Context!$G$2:$G$87,MATCH($C65,Country_Context!$A$2:$A$87,0)),"")</f>
        <v/>
      </c>
      <c r="AP65" s="12" t="inlineStr">
        <is>
          <t>https://api.worldbank.org/v2/country/CRI/indicator/NY.GNP.PCAP.PP.CD?format=json&amp;mrv=10 | https://data.worldbank.org/indicator/NY.GNP.PCAP.PP.CD | https://ilostat.ilo.org/data/indicator/?id=HOW_TEMP_SEX_ECO_NB_A&amp;ref_area=CRI | +4 more</t>
        </is>
      </c>
      <c r="AQ65" s="12" t="inlineStr">
        <is>
          <t>Tier 3, Tier 4</t>
        </is>
      </c>
      <c r="AR65" s="12" t="inlineStr">
        <is>
          <t>2025-12-31</t>
        </is>
      </c>
      <c r="AS65" s="12" t="inlineStr">
        <is>
          <t>providers=world_bank_col_estimate, derived, ilo_ilostat, who_gho; fields=gross_income, rent, utilities, transit_cost; +9 additional fields</t>
        </is>
      </c>
      <c r="AT65" s="12" t="inlineStr">
        <is>
          <t>https://api.worldbank.org/v2/country/CRI/indicator/VC.IHR.PSRC.P5?format=json&amp;mrv=10 | https://api.worldbank.org/v2/country/CRI/indicator/SH.H2O.SMDW.ZS?format=json&amp;mrv=10 | https://api.worldbank.org/v2/country/CRI/indicator/IT.NET.BBND.P2?format=json&amp;mrv=10 | +1 more</t>
        </is>
      </c>
      <c r="AU65" s="12" t="inlineStr">
        <is>
          <t>Tier 3</t>
        </is>
      </c>
      <c r="AV65" s="12" t="inlineStr">
        <is>
          <t>2024-12-31</t>
        </is>
      </c>
      <c r="AW65" s="12" t="inlineStr">
        <is>
          <t>providers=world_bank, wmo_natl_met; fields=personal_safety_raw, water_sanitation_utility_raw, digital_infrastructure_raw, climate_sunlight_livability_raw</t>
        </is>
      </c>
      <c r="AX65" s="12" t="inlineStr">
        <is>
          <t>https://www.who.int/data/gho/data/indicators/indicator-details/GHO/UHC_INDEX_REPORTED | https://api.worldbank.org/v2/country/CRI/indicator/SE.TER.ENRR?format=json&amp;mrv=10 | https://api.worldbank.org/v2/country/CRI/indicator/SI.POV.GINI?format=json&amp;mrv=10 | +1 more</t>
        </is>
      </c>
      <c r="AY65" s="12" t="inlineStr">
        <is>
          <t>Tier 3</t>
        </is>
      </c>
      <c r="AZ65" s="12" t="inlineStr">
        <is>
          <t>2024-12-31</t>
        </is>
      </c>
      <c r="BA65" s="12" t="inlineStr">
        <is>
          <t>providers=who_gho, world_bank; fields=healthcare_quality_raw, education_quality_raw, equal_opportunity_raw, gini_coefficient</t>
        </is>
      </c>
      <c r="BB65" s="12" t="inlineStr">
        <is>
          <t>https://api.worldbank.org/v2/country/CRI/indicator/SM.POP.NETM?format=json&amp;mrv=10 | https://api.worldbank.org/v2/country/CRI/indicator/SG.GEN.PARL.ZS?format=json&amp;mrv=10 | https://api.worldbank.org/v2/country/CRI/indicator/ST.INT.ARVL?format=json&amp;mrv=10</t>
        </is>
      </c>
      <c r="BC65" s="12" t="inlineStr">
        <is>
          <t>Tier 3</t>
        </is>
      </c>
      <c r="BD65" s="12" t="inlineStr">
        <is>
          <t>2025-12-31</t>
        </is>
      </c>
      <c r="BE65" s="12" t="inlineStr">
        <is>
          <t>providers=world_bank; fields=hospitality_belonging_raw, tolerance_pluralism_raw, cultural_public_life_raw</t>
        </is>
      </c>
      <c r="BF65" s="12" t="inlineStr">
        <is>
          <t>https://api.worldbank.org/v2/country/CRI/indicator/IC.BUS.NDNS.ZS?format=json&amp;mrv=10 | https://api.worldbank.org/v2/country/CRI/indicator/GB.XPD.RSDV.GD.ZS?format=json&amp;mrv=10 | https://api.worldbank.org/v2/country/CRI/indicator/BX.KLT.DINV.WD.GD.ZS?format=json&amp;mrv=10 | +3 more</t>
        </is>
      </c>
      <c r="BG65" s="12" t="inlineStr">
        <is>
          <t>Tier 3</t>
        </is>
      </c>
      <c r="BH65" s="12" t="inlineStr">
        <is>
          <t>2024-12-31</t>
        </is>
      </c>
      <c r="BI65" s="12" t="inlineStr">
        <is>
          <t>providers=world_bank; fields=entrepreneurial_dynamism_raw, innovation_research_intensity_raw, investment_signal_raw, administrative_investment_friction_raw; +2 additional fields</t>
        </is>
      </c>
      <c r="BJ65" s="9" t="inlineStr"/>
    </row>
    <row r="66">
      <c r="A66" s="9" t="inlineStr">
        <is>
          <t>us-pittsburgh</t>
        </is>
      </c>
      <c r="B66" s="9" t="inlineStr">
        <is>
          <t>Pittsburgh</t>
        </is>
      </c>
      <c r="C66" s="9" t="inlineStr">
        <is>
          <t>United States</t>
        </is>
      </c>
      <c r="D66" s="9" t="inlineStr">
        <is>
          <t>North America</t>
        </is>
      </c>
      <c r="E66" s="9" t="inlineStr">
        <is>
          <t>secondary</t>
        </is>
      </c>
      <c r="F66" s="9" t="inlineStr">
        <is>
          <t>locked</t>
        </is>
      </c>
      <c r="G66" s="10" t="n">
        <v>7165</v>
      </c>
      <c r="H66" s="10" t="n">
        <v>2006.2</v>
      </c>
      <c r="I66" s="10" t="n">
        <v>401.24</v>
      </c>
      <c r="J66" s="10" t="n">
        <v>286.6</v>
      </c>
      <c r="K66" s="10" t="n">
        <v>114.64</v>
      </c>
      <c r="L66" s="10" t="n">
        <v>859.8</v>
      </c>
      <c r="M66" s="11" t="inlineStr"/>
      <c r="N66" s="10" t="n">
        <v>28</v>
      </c>
      <c r="O66" s="10" t="n">
        <v>46.8411</v>
      </c>
      <c r="P66" s="11">
        <f>IF($O66&lt;&gt;"",$O66,$AO66)</f>
        <v/>
      </c>
      <c r="Q66" s="10" t="n">
        <v>37.54</v>
      </c>
      <c r="R66" s="10" t="n">
        <v>15.63</v>
      </c>
      <c r="S66" s="10" t="n">
        <v>5.76</v>
      </c>
      <c r="T66" s="10" t="inlineStr"/>
      <c r="U66" s="10" t="inlineStr"/>
      <c r="V66" s="10" t="n">
        <v>97.56999999999999</v>
      </c>
      <c r="W66" s="10" t="n">
        <v>38.15</v>
      </c>
      <c r="X66" s="9" t="n">
        <v>46</v>
      </c>
      <c r="Y66" s="10" t="n">
        <v>88</v>
      </c>
      <c r="Z66" s="10" t="n">
        <v>79.36</v>
      </c>
      <c r="AA66" s="10" t="n">
        <v>41.8</v>
      </c>
      <c r="AB66" s="10" t="n">
        <v>53.62</v>
      </c>
      <c r="AC66" s="10" t="n">
        <v>28.74</v>
      </c>
      <c r="AD66" s="10" t="n">
        <v>132.42</v>
      </c>
      <c r="AE66" s="10" t="inlineStr"/>
      <c r="AF66" s="10" t="n">
        <v>3.59</v>
      </c>
      <c r="AG66" s="10" t="n">
        <v>1.03</v>
      </c>
      <c r="AH66" s="10" t="n">
        <v>1.11</v>
      </c>
      <c r="AI66" s="10" t="inlineStr"/>
      <c r="AJ66" s="11">
        <f>IFERROR(INDEX(Country_Context!$B$2:$B$87,MATCH($C66,Country_Context!$A$2:$A$87,0)),"")</f>
        <v/>
      </c>
      <c r="AK66" s="11">
        <f>IFERROR(INDEX(Country_Context!$C$2:$C$87,MATCH($C66,Country_Context!$A$2:$A$87,0)),"")</f>
        <v/>
      </c>
      <c r="AL66" s="11">
        <f>IFERROR(INDEX(Country_Context!$D$2:$D$87,MATCH($C66,Country_Context!$A$2:$A$87,0)),"")</f>
        <v/>
      </c>
      <c r="AM66" s="11">
        <f>IFERROR(INDEX(Country_Context!$E$2:$E$87,MATCH($C66,Country_Context!$A$2:$A$87,0)),"")</f>
        <v/>
      </c>
      <c r="AN66" s="11">
        <f>IFERROR(INDEX(Country_Context!$F$2:$F$87,MATCH($C66,Country_Context!$A$2:$A$87,0)),"")</f>
        <v/>
      </c>
      <c r="AO66" s="11">
        <f>IFERROR(INDEX(Country_Context!$G$2:$G$87,MATCH($C66,Country_Context!$A$2:$A$87,0)),"")</f>
        <v/>
      </c>
      <c r="AP66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66" s="12" t="inlineStr">
        <is>
          <t>Tier 3, Tier 4</t>
        </is>
      </c>
      <c r="AR66" s="12" t="inlineStr">
        <is>
          <t>2025-12-31</t>
        </is>
      </c>
      <c r="AS66" s="12" t="inlineStr">
        <is>
          <t>providers=world_bank_col_estimate, derived, ilo_ilostat, who_gho; fields=gross_income, rent, utilities, transit_cost; +9 additional fields</t>
        </is>
      </c>
      <c r="AT66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66" s="12" t="inlineStr">
        <is>
          <t>Tier 3</t>
        </is>
      </c>
      <c r="AV66" s="12" t="inlineStr">
        <is>
          <t>2024-12-31</t>
        </is>
      </c>
      <c r="AW66" s="12" t="inlineStr">
        <is>
          <t>providers=world_bank, wmo_natl_met; fields=personal_safety_raw, water_sanitation_utility_raw, digital_infrastructure_raw, climate_sunlight_livability_raw</t>
        </is>
      </c>
      <c r="AX66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66" s="12" t="inlineStr">
        <is>
          <t>Tier 3</t>
        </is>
      </c>
      <c r="AZ66" s="12" t="inlineStr">
        <is>
          <t>2023-12-31</t>
        </is>
      </c>
      <c r="BA66" s="12" t="inlineStr">
        <is>
          <t>providers=who_gho, world_bank; fields=healthcare_quality_raw, education_quality_raw, equal_opportunity_raw, gini_coefficient</t>
        </is>
      </c>
      <c r="BB66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66" s="12" t="inlineStr">
        <is>
          <t>Tier 3</t>
        </is>
      </c>
      <c r="BD66" s="12" t="inlineStr">
        <is>
          <t>2025-12-31</t>
        </is>
      </c>
      <c r="BE66" s="12" t="inlineStr">
        <is>
          <t>providers=world_bank; fields=hospitality_belonging_raw, tolerance_pluralism_raw, cultural_public_life_raw, birth_rate_optimism_raw</t>
        </is>
      </c>
      <c r="BF66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66" s="12" t="inlineStr">
        <is>
          <t>Tier 3</t>
        </is>
      </c>
      <c r="BH66" s="12" t="inlineStr">
        <is>
          <t>2024-12-31</t>
        </is>
      </c>
      <c r="BI66" s="12" t="inlineStr">
        <is>
          <t>providers=world_bank; fields=innovation_research_intensity_raw, investment_signal_raw, administrative_investment_friction_raw, gdp_per_capita_ppp; +1 additional fields</t>
        </is>
      </c>
      <c r="BJ66" s="9" t="n">
        <v>1.62</v>
      </c>
    </row>
    <row r="67">
      <c r="A67" s="9" t="inlineStr">
        <is>
          <t>ca-montreal</t>
        </is>
      </c>
      <c r="B67" s="9" t="inlineStr">
        <is>
          <t>Montreal</t>
        </is>
      </c>
      <c r="C67" s="9" t="inlineStr">
        <is>
          <t>Canada</t>
        </is>
      </c>
      <c r="D67" s="9" t="inlineStr">
        <is>
          <t>North America</t>
        </is>
      </c>
      <c r="E67" s="9" t="inlineStr">
        <is>
          <t>secondary</t>
        </is>
      </c>
      <c r="F67" s="9" t="inlineStr">
        <is>
          <t>locked</t>
        </is>
      </c>
      <c r="G67" s="10" t="n">
        <v>5302.5</v>
      </c>
      <c r="H67" s="10" t="n">
        <v>1577.49</v>
      </c>
      <c r="I67" s="10" t="n">
        <v>315.5</v>
      </c>
      <c r="J67" s="10" t="n">
        <v>225.36</v>
      </c>
      <c r="K67" s="10" t="n">
        <v>90.14</v>
      </c>
      <c r="L67" s="10" t="n">
        <v>676.0700000000001</v>
      </c>
      <c r="M67" s="11" t="inlineStr"/>
      <c r="N67" s="10" t="n">
        <v>29.7499</v>
      </c>
      <c r="O67" s="10" t="n">
        <v>124.0978</v>
      </c>
      <c r="P67" s="11">
        <f>IF($O67&lt;&gt;"",$O67,$AO67)</f>
        <v/>
      </c>
      <c r="Q67" s="10" t="n">
        <v>34.8</v>
      </c>
      <c r="R67" s="10" t="n">
        <v>9.44</v>
      </c>
      <c r="S67" s="10" t="n">
        <v>1.98</v>
      </c>
      <c r="T67" s="10" t="inlineStr"/>
      <c r="U67" s="10" t="inlineStr"/>
      <c r="V67" s="10" t="n">
        <v>96.89</v>
      </c>
      <c r="W67" s="10" t="n">
        <v>42.52</v>
      </c>
      <c r="X67" s="9" t="n">
        <v>44</v>
      </c>
      <c r="Y67" s="10" t="n">
        <v>92</v>
      </c>
      <c r="Z67" s="10" t="n">
        <v>76.26000000000001</v>
      </c>
      <c r="AA67" s="10" t="n">
        <v>31.1</v>
      </c>
      <c r="AB67" s="10" t="n">
        <v>57.9</v>
      </c>
      <c r="AC67" s="10" t="n">
        <v>30.65</v>
      </c>
      <c r="AD67" s="10" t="n">
        <v>785.45</v>
      </c>
      <c r="AE67" s="10" t="n">
        <v>9.83</v>
      </c>
      <c r="AF67" s="10" t="n">
        <v>1.7</v>
      </c>
      <c r="AG67" s="10" t="n">
        <v>2.81</v>
      </c>
      <c r="AH67" s="10" t="n">
        <v>0.86</v>
      </c>
      <c r="AI67" s="10" t="inlineStr"/>
      <c r="AJ67" s="11">
        <f>IFERROR(INDEX(Country_Context!$B$2:$B$87,MATCH($C67,Country_Context!$A$2:$A$87,0)),"")</f>
        <v/>
      </c>
      <c r="AK67" s="11">
        <f>IFERROR(INDEX(Country_Context!$C$2:$C$87,MATCH($C67,Country_Context!$A$2:$A$87,0)),"")</f>
        <v/>
      </c>
      <c r="AL67" s="11">
        <f>IFERROR(INDEX(Country_Context!$D$2:$D$87,MATCH($C67,Country_Context!$A$2:$A$87,0)),"")</f>
        <v/>
      </c>
      <c r="AM67" s="11">
        <f>IFERROR(INDEX(Country_Context!$E$2:$E$87,MATCH($C67,Country_Context!$A$2:$A$87,0)),"")</f>
        <v/>
      </c>
      <c r="AN67" s="11">
        <f>IFERROR(INDEX(Country_Context!$F$2:$F$87,MATCH($C67,Country_Context!$A$2:$A$87,0)),"")</f>
        <v/>
      </c>
      <c r="AO67" s="11">
        <f>IFERROR(INDEX(Country_Context!$G$2:$G$87,MATCH($C67,Country_Context!$A$2:$A$87,0)),"")</f>
        <v/>
      </c>
      <c r="AP6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67" s="12" t="inlineStr">
        <is>
          <t>Tier 3, Tier 4</t>
        </is>
      </c>
      <c r="AR67" s="12" t="inlineStr">
        <is>
          <t>2025-12-31</t>
        </is>
      </c>
      <c r="AS67" s="12" t="inlineStr">
        <is>
          <t>providers=world_bank_col_estimate, derived, ilo_ilostat, who_gho; fields=gross_income, rent, utilities, transit_cost; +9 additional fields</t>
        </is>
      </c>
      <c r="AT6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67" s="12" t="inlineStr">
        <is>
          <t>Tier 3</t>
        </is>
      </c>
      <c r="AV67" s="12" t="inlineStr">
        <is>
          <t>2024-12-31</t>
        </is>
      </c>
      <c r="AW67" s="12" t="inlineStr">
        <is>
          <t>providers=world_bank, wmo_natl_met; fields=personal_safety_raw, water_sanitation_utility_raw, digital_infrastructure_raw, climate_sunlight_livability_raw</t>
        </is>
      </c>
      <c r="AX6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67" s="12" t="inlineStr">
        <is>
          <t>Tier 3</t>
        </is>
      </c>
      <c r="AZ67" s="12" t="inlineStr">
        <is>
          <t>2023-12-31</t>
        </is>
      </c>
      <c r="BA67" s="12" t="inlineStr">
        <is>
          <t>providers=who_gho, world_bank; fields=healthcare_quality_raw, education_quality_raw, equal_opportunity_raw, gini_coefficient</t>
        </is>
      </c>
      <c r="BB6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67" s="12" t="inlineStr">
        <is>
          <t>Tier 3</t>
        </is>
      </c>
      <c r="BD67" s="12" t="inlineStr">
        <is>
          <t>2025-12-31</t>
        </is>
      </c>
      <c r="BE67" s="12" t="inlineStr">
        <is>
          <t>providers=world_bank; fields=hospitality_belonging_raw, tolerance_pluralism_raw, cultural_public_life_raw, birth_rate_optimism_raw</t>
        </is>
      </c>
      <c r="BF6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67" s="12" t="inlineStr">
        <is>
          <t>Tier 3</t>
        </is>
      </c>
      <c r="BH67" s="12" t="inlineStr">
        <is>
          <t>2024-12-31</t>
        </is>
      </c>
      <c r="BI67" s="12" t="inlineStr">
        <is>
          <t>providers=world_bank; fields=entrepreneurial_dynamism_raw, innovation_research_intensity_raw, investment_signal_raw, administrative_investment_friction_raw; +2 additional fields</t>
        </is>
      </c>
      <c r="BJ67" s="9" t="n">
        <v>1.26</v>
      </c>
    </row>
    <row r="68">
      <c r="A68" s="9" t="inlineStr">
        <is>
          <t>mx-guadalajara</t>
        </is>
      </c>
      <c r="B68" s="9" t="inlineStr">
        <is>
          <t>Guadalajara</t>
        </is>
      </c>
      <c r="C68" s="9" t="inlineStr">
        <is>
          <t>Mexico</t>
        </is>
      </c>
      <c r="D68" s="9" t="inlineStr">
        <is>
          <t>North America</t>
        </is>
      </c>
      <c r="E68" s="9" t="inlineStr">
        <is>
          <t>secondary</t>
        </is>
      </c>
      <c r="F68" s="9" t="inlineStr">
        <is>
          <t>locked</t>
        </is>
      </c>
      <c r="G68" s="10" t="n">
        <v>2121.67</v>
      </c>
      <c r="H68" s="10" t="n">
        <v>631.2</v>
      </c>
      <c r="I68" s="10" t="n">
        <v>126.24</v>
      </c>
      <c r="J68" s="10" t="n">
        <v>90.17</v>
      </c>
      <c r="K68" s="10" t="n">
        <v>36.07</v>
      </c>
      <c r="L68" s="10" t="n">
        <v>270.51</v>
      </c>
      <c r="M68" s="11" t="inlineStr"/>
      <c r="N68" s="10" t="n">
        <v>29.7501</v>
      </c>
      <c r="O68" s="10" t="n">
        <v>26.5628</v>
      </c>
      <c r="P68" s="11">
        <f>IF($O68&lt;&gt;"",$O68,$AO68)</f>
        <v/>
      </c>
      <c r="Q68" s="10" t="n">
        <v>42.19</v>
      </c>
      <c r="R68" s="10" t="n">
        <v>6.95</v>
      </c>
      <c r="S68" s="10" t="n">
        <v>24.86</v>
      </c>
      <c r="T68" s="10" t="inlineStr"/>
      <c r="U68" s="10" t="inlineStr"/>
      <c r="V68" s="10" t="n">
        <v>42.97</v>
      </c>
      <c r="W68" s="10" t="n">
        <v>20.09</v>
      </c>
      <c r="X68" s="9" t="n">
        <v>68</v>
      </c>
      <c r="Y68" s="10" t="n">
        <v>79</v>
      </c>
      <c r="Z68" s="10" t="n">
        <v>47.47</v>
      </c>
      <c r="AA68" s="10" t="n">
        <v>43.5</v>
      </c>
      <c r="AB68" s="10" t="n">
        <v>49.17</v>
      </c>
      <c r="AC68" s="10" t="n">
        <v>50.2</v>
      </c>
      <c r="AD68" s="10" t="n">
        <v>390.7</v>
      </c>
      <c r="AE68" s="10" t="n">
        <v>0.88</v>
      </c>
      <c r="AF68" s="10" t="n">
        <v>0.27</v>
      </c>
      <c r="AG68" s="10" t="n">
        <v>2.45</v>
      </c>
      <c r="AH68" s="10" t="n">
        <v>2.67</v>
      </c>
      <c r="AI68" s="10" t="inlineStr"/>
      <c r="AJ68" s="11">
        <f>IFERROR(INDEX(Country_Context!$B$2:$B$87,MATCH($C68,Country_Context!$A$2:$A$87,0)),"")</f>
        <v/>
      </c>
      <c r="AK68" s="11">
        <f>IFERROR(INDEX(Country_Context!$C$2:$C$87,MATCH($C68,Country_Context!$A$2:$A$87,0)),"")</f>
        <v/>
      </c>
      <c r="AL68" s="11">
        <f>IFERROR(INDEX(Country_Context!$D$2:$D$87,MATCH($C68,Country_Context!$A$2:$A$87,0)),"")</f>
        <v/>
      </c>
      <c r="AM68" s="11">
        <f>IFERROR(INDEX(Country_Context!$E$2:$E$87,MATCH($C68,Country_Context!$A$2:$A$87,0)),"")</f>
        <v/>
      </c>
      <c r="AN68" s="11">
        <f>IFERROR(INDEX(Country_Context!$F$2:$F$87,MATCH($C68,Country_Context!$A$2:$A$87,0)),"")</f>
        <v/>
      </c>
      <c r="AO68" s="11">
        <f>IFERROR(INDEX(Country_Context!$G$2:$G$87,MATCH($C68,Country_Context!$A$2:$A$87,0)),"")</f>
        <v/>
      </c>
      <c r="AP68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68" s="12" t="inlineStr">
        <is>
          <t>Tier 3, Tier 4</t>
        </is>
      </c>
      <c r="AR68" s="12" t="inlineStr">
        <is>
          <t>2024-12-31</t>
        </is>
      </c>
      <c r="AS68" s="12" t="inlineStr">
        <is>
          <t>providers=world_bank_col_estimate, derived, ilo_ilostat, who_gho; fields=gross_income, rent, utilities, transit_cost; +9 additional fields</t>
        </is>
      </c>
      <c r="AT68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 | +1 more</t>
        </is>
      </c>
      <c r="AU68" s="12" t="inlineStr">
        <is>
          <t>Tier 3</t>
        </is>
      </c>
      <c r="AV68" s="12" t="inlineStr">
        <is>
          <t>2024-12-31</t>
        </is>
      </c>
      <c r="AW68" s="12" t="inlineStr">
        <is>
          <t>providers=world_bank, wmo_natl_met; fields=personal_safety_raw, water_sanitation_utility_raw, digital_infrastructure_raw, climate_sunlight_livability_raw</t>
        </is>
      </c>
      <c r="AX68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68" s="12" t="inlineStr">
        <is>
          <t>Tier 3</t>
        </is>
      </c>
      <c r="AZ68" s="12" t="inlineStr">
        <is>
          <t>2023-12-31</t>
        </is>
      </c>
      <c r="BA68" s="12" t="inlineStr">
        <is>
          <t>providers=who_gho, world_bank; fields=healthcare_quality_raw, education_quality_raw, equal_opportunity_raw, gini_coefficient</t>
        </is>
      </c>
      <c r="BB68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68" s="12" t="inlineStr">
        <is>
          <t>Tier 3</t>
        </is>
      </c>
      <c r="BD68" s="12" t="inlineStr">
        <is>
          <t>2025-12-31</t>
        </is>
      </c>
      <c r="BE68" s="12" t="inlineStr">
        <is>
          <t>providers=world_bank; fields=hospitality_belonging_raw, tolerance_pluralism_raw, cultural_public_life_raw, birth_rate_optimism_raw</t>
        </is>
      </c>
      <c r="BF68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68" s="12" t="inlineStr">
        <is>
          <t>Tier 3</t>
        </is>
      </c>
      <c r="BH68" s="12" t="inlineStr">
        <is>
          <t>2024-12-31</t>
        </is>
      </c>
      <c r="BI68" s="12" t="inlineStr">
        <is>
          <t>providers=world_bank; fields=entrepreneurial_dynamism_raw, innovation_research_intensity_raw, investment_signal_raw, administrative_investment_friction_raw; +2 additional fields</t>
        </is>
      </c>
      <c r="BJ68" s="9" t="n">
        <v>1.8</v>
      </c>
    </row>
    <row r="69">
      <c r="A69" s="9" t="inlineStr">
        <is>
          <t>pr-san-juan</t>
        </is>
      </c>
      <c r="B69" s="9" t="inlineStr">
        <is>
          <t>San Juan</t>
        </is>
      </c>
      <c r="C69" s="9" t="inlineStr">
        <is>
          <t>Puerto Rico</t>
        </is>
      </c>
      <c r="D69" s="9" t="inlineStr">
        <is>
          <t>North America</t>
        </is>
      </c>
      <c r="E69" s="9" t="inlineStr">
        <is>
          <t>secondary</t>
        </is>
      </c>
      <c r="F69" s="9" t="inlineStr">
        <is>
          <t>provisional</t>
        </is>
      </c>
      <c r="G69" s="10" t="n">
        <v>2838.33</v>
      </c>
      <c r="H69" s="10" t="n">
        <v>1043.09</v>
      </c>
      <c r="I69" s="10" t="n">
        <v>208.62</v>
      </c>
      <c r="J69" s="10" t="n">
        <v>149.01</v>
      </c>
      <c r="K69" s="10" t="n">
        <v>59.6</v>
      </c>
      <c r="L69" s="10" t="n">
        <v>447.04</v>
      </c>
      <c r="M69" s="11" t="inlineStr"/>
      <c r="N69" s="10" t="n">
        <v>36.7501</v>
      </c>
      <c r="O69" s="10" t="inlineStr"/>
      <c r="P69" s="11">
        <f>IF($O69&lt;&gt;"",$O69,$AO69)</f>
        <v/>
      </c>
      <c r="Q69" s="10" t="n">
        <v>35.79</v>
      </c>
      <c r="R69" s="10" t="n">
        <v>5.42</v>
      </c>
      <c r="S69" s="10" t="n">
        <v>14.59</v>
      </c>
      <c r="T69" s="10" t="inlineStr"/>
      <c r="U69" s="10" t="inlineStr"/>
      <c r="V69" s="10" t="n">
        <v>98.94</v>
      </c>
      <c r="W69" s="10" t="n">
        <v>23.16</v>
      </c>
      <c r="X69" s="9" t="inlineStr"/>
      <c r="Y69" s="10" t="inlineStr"/>
      <c r="Z69" s="10" t="n">
        <v>77.93000000000001</v>
      </c>
      <c r="AA69" s="10" t="inlineStr"/>
      <c r="AB69" s="10" t="n">
        <v>51.72</v>
      </c>
      <c r="AC69" s="10" t="inlineStr"/>
      <c r="AD69" s="10" t="n">
        <v>1211.88</v>
      </c>
      <c r="AE69" s="10" t="n">
        <v>5.31</v>
      </c>
      <c r="AF69" s="10" t="inlineStr"/>
      <c r="AG69" s="10" t="inlineStr"/>
      <c r="AH69" s="10" t="n">
        <v>1.86</v>
      </c>
      <c r="AI69" s="10" t="inlineStr"/>
      <c r="AJ69" s="11">
        <f>IFERROR(INDEX(Country_Context!$B$2:$B$87,MATCH($C69,Country_Context!$A$2:$A$87,0)),"")</f>
        <v/>
      </c>
      <c r="AK69" s="11">
        <f>IFERROR(INDEX(Country_Context!$C$2:$C$87,MATCH($C69,Country_Context!$A$2:$A$87,0)),"")</f>
        <v/>
      </c>
      <c r="AL69" s="11">
        <f>IFERROR(INDEX(Country_Context!$D$2:$D$87,MATCH($C69,Country_Context!$A$2:$A$87,0)),"")</f>
        <v/>
      </c>
      <c r="AM69" s="11">
        <f>IFERROR(INDEX(Country_Context!$E$2:$E$87,MATCH($C69,Country_Context!$A$2:$A$87,0)),"")</f>
        <v/>
      </c>
      <c r="AN69" s="11">
        <f>IFERROR(INDEX(Country_Context!$F$2:$F$87,MATCH($C69,Country_Context!$A$2:$A$87,0)),"")</f>
        <v/>
      </c>
      <c r="AO69" s="11">
        <f>IFERROR(INDEX(Country_Context!$G$2:$G$87,MATCH($C69,Country_Context!$A$2:$A$87,0)),"")</f>
        <v/>
      </c>
      <c r="AP69" s="12" t="inlineStr">
        <is>
          <t>https://api.worldbank.org/v2/country/PRI/indicator/NY.GNP.PCAP.PP.CD?format=json&amp;mrv=10 | https://data.worldbank.org/indicator/NY.GNP.PCAP.PP.CD | https://ilostat.ilo.org/data/indicator/?id=HOW_TEMP_SEX_ECO_NB_A&amp;ref_area=PRI | +2 more</t>
        </is>
      </c>
      <c r="AQ69" s="12" t="inlineStr">
        <is>
          <t>Tier 3, Tier 4</t>
        </is>
      </c>
      <c r="AR69" s="12" t="inlineStr">
        <is>
          <t>2024-12-31</t>
        </is>
      </c>
      <c r="AS69" s="12" t="inlineStr">
        <is>
          <t>providers=world_bank_col_estimate, derived, ilo_ilostat, who_gho; fields=gross_income, rent, utilities, transit_cost; +6 additional fields</t>
        </is>
      </c>
      <c r="AT69" s="12" t="inlineStr">
        <is>
          <t>https://api.worldbank.org/v2/country/PRI/indicator/VC.IHR.PSRC.P5?format=json&amp;mrv=10 | https://api.worldbank.org/v2/country/PRI/indicator/SH.H2O.SMDW.ZS?format=json&amp;mrv=10 | https://api.worldbank.org/v2/country/PRI/indicator/IT.NET.BBND.P2?format=json&amp;mrv=10</t>
        </is>
      </c>
      <c r="AU69" s="12" t="inlineStr">
        <is>
          <t>Tier 3</t>
        </is>
      </c>
      <c r="AV69" s="12" t="inlineStr">
        <is>
          <t>2024-12-31</t>
        </is>
      </c>
      <c r="AW69" s="12" t="inlineStr">
        <is>
          <t>providers=world_bank; fields=personal_safety_raw, water_sanitation_utility_raw, digital_infrastructure_raw</t>
        </is>
      </c>
      <c r="AX69" s="12" t="inlineStr">
        <is>
          <t>https://api.worldbank.org/v2/country/PRI/indicator/SE.TER.ENRR?format=json&amp;mrv=10</t>
        </is>
      </c>
      <c r="AY69" s="12" t="inlineStr">
        <is>
          <t>Tier 3</t>
        </is>
      </c>
      <c r="AZ69" s="12" t="inlineStr">
        <is>
          <t>2023-12-31</t>
        </is>
      </c>
      <c r="BA69" s="12" t="inlineStr">
        <is>
          <t>providers=world_bank; fields=education_quality_raw</t>
        </is>
      </c>
      <c r="BB69" s="12" t="inlineStr">
        <is>
          <t>https://api.worldbank.org/v2/country/PRI/indicator/SM.POP.NETM?format=json&amp;mrv=10 | https://api.worldbank.org/v2/country/PRI/indicator/ST.INT.ARVL?format=json&amp;mrv=10</t>
        </is>
      </c>
      <c r="BC69" s="12" t="inlineStr">
        <is>
          <t>Tier 3</t>
        </is>
      </c>
      <c r="BD69" s="12" t="inlineStr">
        <is>
          <t>2025-12-31</t>
        </is>
      </c>
      <c r="BE69" s="12" t="inlineStr">
        <is>
          <t>providers=world_bank; fields=hospitality_belonging_raw, cultural_public_life_raw</t>
        </is>
      </c>
      <c r="BF69" s="12" t="inlineStr">
        <is>
          <t>https://api.worldbank.org/v2/country/PRI/indicator/IC.BUS.NDNS.ZS?format=json&amp;mrv=10 | https://api.worldbank.org/v2/country/PRI/indicator/RQ.EST?format=json&amp;mrv=10 | https://api.worldbank.org/v2/country/PRI/indicator/NY.GDP.PCAP.PP.CD?format=json&amp;mrv=30 | +1 more</t>
        </is>
      </c>
      <c r="BG69" s="12" t="inlineStr">
        <is>
          <t>Tier 3</t>
        </is>
      </c>
      <c r="BH69" s="12" t="inlineStr">
        <is>
          <t>2024-12-31</t>
        </is>
      </c>
      <c r="BI69" s="12" t="inlineStr">
        <is>
          <t>providers=world_bank; fields=entrepreneurial_dynamism_raw, administrative_investment_friction_raw, gdp_per_capita_ppp, gdp_growth</t>
        </is>
      </c>
      <c r="BJ69" s="9" t="inlineStr"/>
    </row>
    <row r="70">
      <c r="A70" s="9" t="inlineStr">
        <is>
          <t>mx-merida</t>
        </is>
      </c>
      <c r="B70" s="9" t="inlineStr">
        <is>
          <t>Merida</t>
        </is>
      </c>
      <c r="C70" s="9" t="inlineStr">
        <is>
          <t>Mexico</t>
        </is>
      </c>
      <c r="D70" s="9" t="inlineStr">
        <is>
          <t>North America</t>
        </is>
      </c>
      <c r="E70" s="9" t="inlineStr">
        <is>
          <t>secondary</t>
        </is>
      </c>
      <c r="F70" s="9" t="inlineStr">
        <is>
          <t>provisional</t>
        </is>
      </c>
      <c r="G70" s="10" t="n">
        <v>2121.67</v>
      </c>
      <c r="H70" s="10" t="n">
        <v>556.9400000000001</v>
      </c>
      <c r="I70" s="10" t="n">
        <v>111.39</v>
      </c>
      <c r="J70" s="10" t="n">
        <v>79.56</v>
      </c>
      <c r="K70" s="10" t="n">
        <v>31.83</v>
      </c>
      <c r="L70" s="10" t="n">
        <v>238.69</v>
      </c>
      <c r="M70" s="11" t="inlineStr"/>
      <c r="N70" s="10" t="n">
        <v>26.2501</v>
      </c>
      <c r="O70" s="10" t="n">
        <v>26.5628</v>
      </c>
      <c r="P70" s="11">
        <f>IF($O70&lt;&gt;"",$O70,$AO70)</f>
        <v/>
      </c>
      <c r="Q70" s="10" t="n">
        <v>42.19</v>
      </c>
      <c r="R70" s="10" t="n">
        <v>6.95</v>
      </c>
      <c r="S70" s="10" t="n">
        <v>24.86</v>
      </c>
      <c r="T70" s="10" t="inlineStr"/>
      <c r="U70" s="10" t="inlineStr"/>
      <c r="V70" s="10" t="n">
        <v>42.97</v>
      </c>
      <c r="W70" s="10" t="n">
        <v>20.09</v>
      </c>
      <c r="X70" s="9" t="inlineStr"/>
      <c r="Y70" s="10" t="n">
        <v>79</v>
      </c>
      <c r="Z70" s="10" t="n">
        <v>47.47</v>
      </c>
      <c r="AA70" s="10" t="n">
        <v>43.5</v>
      </c>
      <c r="AB70" s="10" t="n">
        <v>49.17</v>
      </c>
      <c r="AC70" s="10" t="n">
        <v>50.2</v>
      </c>
      <c r="AD70" s="10" t="n">
        <v>390.7</v>
      </c>
      <c r="AE70" s="10" t="n">
        <v>0.88</v>
      </c>
      <c r="AF70" s="10" t="n">
        <v>0.27</v>
      </c>
      <c r="AG70" s="10" t="n">
        <v>2.45</v>
      </c>
      <c r="AH70" s="10" t="n">
        <v>2.67</v>
      </c>
      <c r="AI70" s="10" t="inlineStr"/>
      <c r="AJ70" s="11">
        <f>IFERROR(INDEX(Country_Context!$B$2:$B$87,MATCH($C70,Country_Context!$A$2:$A$87,0)),"")</f>
        <v/>
      </c>
      <c r="AK70" s="11">
        <f>IFERROR(INDEX(Country_Context!$C$2:$C$87,MATCH($C70,Country_Context!$A$2:$A$87,0)),"")</f>
        <v/>
      </c>
      <c r="AL70" s="11">
        <f>IFERROR(INDEX(Country_Context!$D$2:$D$87,MATCH($C70,Country_Context!$A$2:$A$87,0)),"")</f>
        <v/>
      </c>
      <c r="AM70" s="11">
        <f>IFERROR(INDEX(Country_Context!$E$2:$E$87,MATCH($C70,Country_Context!$A$2:$A$87,0)),"")</f>
        <v/>
      </c>
      <c r="AN70" s="11">
        <f>IFERROR(INDEX(Country_Context!$F$2:$F$87,MATCH($C70,Country_Context!$A$2:$A$87,0)),"")</f>
        <v/>
      </c>
      <c r="AO70" s="11">
        <f>IFERROR(INDEX(Country_Context!$G$2:$G$87,MATCH($C70,Country_Context!$A$2:$A$87,0)),"")</f>
        <v/>
      </c>
      <c r="AP70" s="12" t="inlineStr">
        <is>
          <t>https://api.worldbank.org/v2/country/MEX/indicator/NY.GNP.PCAP.PP.CD?format=json&amp;mrv=10 | https://data.worldbank.org/indicator/NY.GNP.PCAP.PP.CD | https://ilostat.ilo.org/data/indicator/?id=HOW_TEMP_SEX_ECO_NB_A&amp;ref_area=MEX | +4 more</t>
        </is>
      </c>
      <c r="AQ70" s="12" t="inlineStr">
        <is>
          <t>Tier 3, Tier 4</t>
        </is>
      </c>
      <c r="AR70" s="12" t="inlineStr">
        <is>
          <t>2024-12-31</t>
        </is>
      </c>
      <c r="AS70" s="12" t="inlineStr">
        <is>
          <t>providers=world_bank_col_estimate, derived, ilo_ilostat, who_gho; fields=gross_income, rent, utilities, transit_cost; +9 additional fields</t>
        </is>
      </c>
      <c r="AT70" s="12" t="inlineStr">
        <is>
          <t>https://api.worldbank.org/v2/country/MEX/indicator/VC.IHR.PSRC.P5?format=json&amp;mrv=10 | https://api.worldbank.org/v2/country/MEX/indicator/SH.H2O.SMDW.ZS?format=json&amp;mrv=10 | https://api.worldbank.org/v2/country/MEX/indicator/IT.NET.BBND.P2?format=json&amp;mrv=10</t>
        </is>
      </c>
      <c r="AU70" s="12" t="inlineStr">
        <is>
          <t>Tier 3</t>
        </is>
      </c>
      <c r="AV70" s="12" t="inlineStr">
        <is>
          <t>2024-12-31</t>
        </is>
      </c>
      <c r="AW70" s="12" t="inlineStr">
        <is>
          <t>providers=world_bank; fields=personal_safety_raw, water_sanitation_utility_raw, digital_infrastructure_raw</t>
        </is>
      </c>
      <c r="AX70" s="12" t="inlineStr">
        <is>
          <t>https://www.who.int/data/gho/data/indicators/indicator-details/GHO/UHC_INDEX_REPORTED | https://api.worldbank.org/v2/country/MEX/indicator/SE.TER.ENRR?format=json&amp;mrv=10 | https://api.worldbank.org/v2/country/MEX/indicator/SI.POV.GINI?format=json&amp;mrv=10 | +1 more</t>
        </is>
      </c>
      <c r="AY70" s="12" t="inlineStr">
        <is>
          <t>Tier 3</t>
        </is>
      </c>
      <c r="AZ70" s="12" t="inlineStr">
        <is>
          <t>2023-12-31</t>
        </is>
      </c>
      <c r="BA70" s="12" t="inlineStr">
        <is>
          <t>providers=who_gho, world_bank; fields=healthcare_quality_raw, education_quality_raw, equal_opportunity_raw, gini_coefficient</t>
        </is>
      </c>
      <c r="BB70" s="12" t="inlineStr">
        <is>
          <t>https://api.worldbank.org/v2/country/MEX/indicator/SM.POP.NETM?format=json&amp;mrv=10 | https://api.worldbank.org/v2/country/MEX/indicator/SG.GEN.PARL.ZS?format=json&amp;mrv=10 | https://api.worldbank.org/v2/country/MEX/indicator/ST.INT.ARVL?format=json&amp;mrv=10 | +1 more</t>
        </is>
      </c>
      <c r="BC70" s="12" t="inlineStr">
        <is>
          <t>Tier 3</t>
        </is>
      </c>
      <c r="BD70" s="12" t="inlineStr">
        <is>
          <t>2025-12-31</t>
        </is>
      </c>
      <c r="BE70" s="12" t="inlineStr">
        <is>
          <t>providers=world_bank; fields=hospitality_belonging_raw, tolerance_pluralism_raw, cultural_public_life_raw, birth_rate_optimism_raw</t>
        </is>
      </c>
      <c r="BF70" s="12" t="inlineStr">
        <is>
          <t>https://api.worldbank.org/v2/country/MEX/indicator/IC.BUS.NDNS.ZS?format=json&amp;mrv=10 | https://api.worldbank.org/v2/country/MEX/indicator/GB.XPD.RSDV.GD.ZS?format=json&amp;mrv=10 | https://api.worldbank.org/v2/country/MEX/indicator/BX.KLT.DINV.WD.GD.ZS?format=json&amp;mrv=10 | +3 more</t>
        </is>
      </c>
      <c r="BG70" s="12" t="inlineStr">
        <is>
          <t>Tier 3</t>
        </is>
      </c>
      <c r="BH70" s="12" t="inlineStr">
        <is>
          <t>2024-12-31</t>
        </is>
      </c>
      <c r="BI70" s="12" t="inlineStr">
        <is>
          <t>providers=world_bank; fields=entrepreneurial_dynamism_raw, innovation_research_intensity_raw, investment_signal_raw, administrative_investment_friction_raw; +2 additional fields</t>
        </is>
      </c>
      <c r="BJ70" s="9" t="n">
        <v>1.8</v>
      </c>
    </row>
    <row r="71">
      <c r="A71" s="9" t="inlineStr">
        <is>
          <t>br-sao-paulo</t>
        </is>
      </c>
      <c r="B71" s="9" t="inlineStr">
        <is>
          <t>Sao Paulo</t>
        </is>
      </c>
      <c r="C71" s="9" t="inlineStr">
        <is>
          <t>Brazil</t>
        </is>
      </c>
      <c r="D71" s="9" t="inlineStr">
        <is>
          <t>Latin America</t>
        </is>
      </c>
      <c r="E71" s="9" t="inlineStr">
        <is>
          <t>primary</t>
        </is>
      </c>
      <c r="F71" s="9" t="inlineStr">
        <is>
          <t>locked</t>
        </is>
      </c>
      <c r="G71" s="10" t="n">
        <v>2159</v>
      </c>
      <c r="H71" s="10" t="n">
        <v>647.7</v>
      </c>
      <c r="I71" s="10" t="n">
        <v>155.45</v>
      </c>
      <c r="J71" s="10" t="n">
        <v>103.63</v>
      </c>
      <c r="K71" s="10" t="n">
        <v>38.86</v>
      </c>
      <c r="L71" s="10" t="n">
        <v>569.98</v>
      </c>
      <c r="M71" s="11" t="inlineStr"/>
      <c r="N71" s="10" t="n">
        <v>30</v>
      </c>
      <c r="O71" s="10" t="n">
        <v>75.6164</v>
      </c>
      <c r="P71" s="11">
        <f>IF($O71&lt;&gt;"",$O71,$AO71)</f>
        <v/>
      </c>
      <c r="Q71" s="10" t="n">
        <v>38.86</v>
      </c>
      <c r="R71" s="10" t="n">
        <v>7.59</v>
      </c>
      <c r="S71" s="10" t="n">
        <v>19.28</v>
      </c>
      <c r="T71" s="10" t="inlineStr"/>
      <c r="U71" s="10" t="inlineStr"/>
      <c r="V71" s="10" t="n">
        <v>88.62</v>
      </c>
      <c r="W71" s="10" t="n">
        <v>22.42</v>
      </c>
      <c r="X71" s="9" t="n">
        <v>60</v>
      </c>
      <c r="Y71" s="10" t="n">
        <v>84</v>
      </c>
      <c r="Z71" s="10" t="n">
        <v>60.39</v>
      </c>
      <c r="AA71" s="10" t="n">
        <v>51.6</v>
      </c>
      <c r="AB71" s="10" t="n">
        <v>48.98</v>
      </c>
      <c r="AC71" s="10" t="n">
        <v>17.54</v>
      </c>
      <c r="AD71" s="10" t="n">
        <v>29.97</v>
      </c>
      <c r="AE71" s="10" t="n">
        <v>5.1</v>
      </c>
      <c r="AF71" s="10" t="n">
        <v>1.15</v>
      </c>
      <c r="AG71" s="10" t="n">
        <v>3.39</v>
      </c>
      <c r="AH71" s="10" t="n">
        <v>2.8</v>
      </c>
      <c r="AI71" s="10" t="inlineStr"/>
      <c r="AJ71" s="11">
        <f>IFERROR(INDEX(Country_Context!$B$2:$B$87,MATCH($C71,Country_Context!$A$2:$A$87,0)),"")</f>
        <v/>
      </c>
      <c r="AK71" s="11">
        <f>IFERROR(INDEX(Country_Context!$C$2:$C$87,MATCH($C71,Country_Context!$A$2:$A$87,0)),"")</f>
        <v/>
      </c>
      <c r="AL71" s="11">
        <f>IFERROR(INDEX(Country_Context!$D$2:$D$87,MATCH($C71,Country_Context!$A$2:$A$87,0)),"")</f>
        <v/>
      </c>
      <c r="AM71" s="11">
        <f>IFERROR(INDEX(Country_Context!$E$2:$E$87,MATCH($C71,Country_Context!$A$2:$A$87,0)),"")</f>
        <v/>
      </c>
      <c r="AN71" s="11">
        <f>IFERROR(INDEX(Country_Context!$F$2:$F$87,MATCH($C71,Country_Context!$A$2:$A$87,0)),"")</f>
        <v/>
      </c>
      <c r="AO71" s="11">
        <f>IFERROR(INDEX(Country_Context!$G$2:$G$87,MATCH($C71,Country_Context!$A$2:$A$87,0)),"")</f>
        <v/>
      </c>
      <c r="AP71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1" s="12" t="inlineStr">
        <is>
          <t>Tier 3, Tier 4</t>
        </is>
      </c>
      <c r="AR71" s="12" t="inlineStr">
        <is>
          <t>2025-12-31</t>
        </is>
      </c>
      <c r="AS71" s="12" t="inlineStr">
        <is>
          <t>providers=world_bank_col_estimate, derived, ilo_ilostat, who_gho; fields=gross_income, rent, utilities, transit_cost; +9 additional fields</t>
        </is>
      </c>
      <c r="AT71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1" s="12" t="inlineStr">
        <is>
          <t>Tier 3</t>
        </is>
      </c>
      <c r="AV71" s="12" t="inlineStr">
        <is>
          <t>2024-12-31</t>
        </is>
      </c>
      <c r="AW71" s="12" t="inlineStr">
        <is>
          <t>providers=world_bank, wmo_natl_met; fields=personal_safety_raw, water_sanitation_utility_raw, digital_infrastructure_raw, climate_sunlight_livability_raw</t>
        </is>
      </c>
      <c r="AX71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1" s="12" t="inlineStr">
        <is>
          <t>Tier 3</t>
        </is>
      </c>
      <c r="AZ71" s="12" t="inlineStr">
        <is>
          <t>2023-12-31</t>
        </is>
      </c>
      <c r="BA71" s="12" t="inlineStr">
        <is>
          <t>providers=who_gho, world_bank; fields=healthcare_quality_raw, education_quality_raw, equal_opportunity_raw, gini_coefficient</t>
        </is>
      </c>
      <c r="BB71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1" s="12" t="inlineStr">
        <is>
          <t>Tier 3</t>
        </is>
      </c>
      <c r="BD71" s="12" t="inlineStr">
        <is>
          <t>2025-12-31</t>
        </is>
      </c>
      <c r="BE71" s="12" t="inlineStr">
        <is>
          <t>providers=world_bank; fields=hospitality_belonging_raw, tolerance_pluralism_raw, cultural_public_life_raw, birth_rate_optimism_raw</t>
        </is>
      </c>
      <c r="BF71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1" s="12" t="inlineStr">
        <is>
          <t>Tier 3</t>
        </is>
      </c>
      <c r="BH71" s="12" t="inlineStr">
        <is>
          <t>2024-12-31</t>
        </is>
      </c>
      <c r="BI71" s="12" t="inlineStr">
        <is>
          <t>providers=world_bank; fields=entrepreneurial_dynamism_raw, innovation_research_intensity_raw, investment_signal_raw, administrative_investment_friction_raw; +2 additional fields</t>
        </is>
      </c>
      <c r="BJ71" s="9" t="n">
        <v>1.64</v>
      </c>
    </row>
    <row r="72">
      <c r="A72" s="9" t="inlineStr">
        <is>
          <t>ar-buenos-aires</t>
        </is>
      </c>
      <c r="B72" s="9" t="inlineStr">
        <is>
          <t>Buenos Aires</t>
        </is>
      </c>
      <c r="C72" s="9" t="inlineStr">
        <is>
          <t>Argentina</t>
        </is>
      </c>
      <c r="D72" s="9" t="inlineStr">
        <is>
          <t>Latin America</t>
        </is>
      </c>
      <c r="E72" s="9" t="inlineStr">
        <is>
          <t>primary</t>
        </is>
      </c>
      <c r="F72" s="9" t="inlineStr">
        <is>
          <t>locked</t>
        </is>
      </c>
      <c r="G72" s="10" t="n">
        <v>2483.33</v>
      </c>
      <c r="H72" s="10" t="n">
        <v>713.96</v>
      </c>
      <c r="I72" s="10" t="n">
        <v>171.35</v>
      </c>
      <c r="J72" s="10" t="n">
        <v>114.23</v>
      </c>
      <c r="K72" s="10" t="n">
        <v>42.84</v>
      </c>
      <c r="L72" s="10" t="n">
        <v>628.28</v>
      </c>
      <c r="M72" s="11" t="inlineStr"/>
      <c r="N72" s="10" t="n">
        <v>28.7501</v>
      </c>
      <c r="O72" s="10" t="n">
        <v>13.0788</v>
      </c>
      <c r="P72" s="11">
        <f>IF($O72&lt;&gt;"",$O72,$AO72)</f>
        <v/>
      </c>
      <c r="Q72" s="10" t="n">
        <v>36.45</v>
      </c>
      <c r="R72" s="10" t="n">
        <v>7.94</v>
      </c>
      <c r="S72" s="10" t="n">
        <v>4.49</v>
      </c>
      <c r="T72" s="10" t="inlineStr"/>
      <c r="U72" s="10" t="inlineStr"/>
      <c r="V72" s="10" t="inlineStr"/>
      <c r="W72" s="10" t="n">
        <v>25.36</v>
      </c>
      <c r="X72" s="9" t="n">
        <v>62</v>
      </c>
      <c r="Y72" s="10" t="n">
        <v>80</v>
      </c>
      <c r="Z72" s="10" t="n">
        <v>107.82</v>
      </c>
      <c r="AA72" s="10" t="n">
        <v>42.4</v>
      </c>
      <c r="AB72" s="10" t="n">
        <v>50.06</v>
      </c>
      <c r="AC72" s="10" t="n">
        <v>42.41</v>
      </c>
      <c r="AD72" s="10" t="n">
        <v>161.92</v>
      </c>
      <c r="AE72" s="10" t="n">
        <v>0.2</v>
      </c>
      <c r="AF72" s="10" t="n">
        <v>0.55</v>
      </c>
      <c r="AG72" s="10" t="n">
        <v>1.82</v>
      </c>
      <c r="AH72" s="10" t="n">
        <v>2.98</v>
      </c>
      <c r="AI72" s="10" t="inlineStr"/>
      <c r="AJ72" s="11">
        <f>IFERROR(INDEX(Country_Context!$B$2:$B$87,MATCH($C72,Country_Context!$A$2:$A$87,0)),"")</f>
        <v/>
      </c>
      <c r="AK72" s="11">
        <f>IFERROR(INDEX(Country_Context!$C$2:$C$87,MATCH($C72,Country_Context!$A$2:$A$87,0)),"")</f>
        <v/>
      </c>
      <c r="AL72" s="11">
        <f>IFERROR(INDEX(Country_Context!$D$2:$D$87,MATCH($C72,Country_Context!$A$2:$A$87,0)),"")</f>
        <v/>
      </c>
      <c r="AM72" s="11">
        <f>IFERROR(INDEX(Country_Context!$E$2:$E$87,MATCH($C72,Country_Context!$A$2:$A$87,0)),"")</f>
        <v/>
      </c>
      <c r="AN72" s="11">
        <f>IFERROR(INDEX(Country_Context!$F$2:$F$87,MATCH($C72,Country_Context!$A$2:$A$87,0)),"")</f>
        <v/>
      </c>
      <c r="AO72" s="11">
        <f>IFERROR(INDEX(Country_Context!$G$2:$G$87,MATCH($C72,Country_Context!$A$2:$A$87,0)),"")</f>
        <v/>
      </c>
      <c r="AP72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2" s="12" t="inlineStr">
        <is>
          <t>Tier 3, Tier 4</t>
        </is>
      </c>
      <c r="AR72" s="12" t="inlineStr">
        <is>
          <t>2024-12-31</t>
        </is>
      </c>
      <c r="AS72" s="12" t="inlineStr">
        <is>
          <t>providers=world_bank_col_estimate, derived, ilo_ilostat, who_gho; fields=gross_income, rent, utilities, transit_cost; +9 additional fields</t>
        </is>
      </c>
      <c r="AT72" s="12" t="inlineStr">
        <is>
          <t>https://api.worldbank.org/v2/country/ARG/indicator/VC.IHR.PSRC.P5?format=json&amp;mrv=10 | https://api.worldbank.org/v2/country/ARG/indicator/IT.NET.BBND.P2?format=json&amp;mrv=10 | https://worldweather.wmo.int</t>
        </is>
      </c>
      <c r="AU72" s="12" t="inlineStr">
        <is>
          <t>Tier 3</t>
        </is>
      </c>
      <c r="AV72" s="12" t="inlineStr">
        <is>
          <t>2024-12-31</t>
        </is>
      </c>
      <c r="AW72" s="12" t="inlineStr">
        <is>
          <t>providers=world_bank, wmo_natl_met; fields=personal_safety_raw, digital_infrastructure_raw, climate_sunlight_livability_raw</t>
        </is>
      </c>
      <c r="AX72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2" s="12" t="inlineStr">
        <is>
          <t>Tier 3</t>
        </is>
      </c>
      <c r="AZ72" s="12" t="inlineStr">
        <is>
          <t>2024-12-31</t>
        </is>
      </c>
      <c r="BA72" s="12" t="inlineStr">
        <is>
          <t>providers=who_gho, world_bank; fields=healthcare_quality_raw, education_quality_raw, equal_opportunity_raw, gini_coefficient</t>
        </is>
      </c>
      <c r="BB72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2" s="12" t="inlineStr">
        <is>
          <t>Tier 3</t>
        </is>
      </c>
      <c r="BD72" s="12" t="inlineStr">
        <is>
          <t>2025-12-31</t>
        </is>
      </c>
      <c r="BE72" s="12" t="inlineStr">
        <is>
          <t>providers=world_bank; fields=hospitality_belonging_raw, tolerance_pluralism_raw, cultural_public_life_raw, birth_rate_optimism_raw</t>
        </is>
      </c>
      <c r="BF72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2" s="12" t="inlineStr">
        <is>
          <t>Tier 3</t>
        </is>
      </c>
      <c r="BH72" s="12" t="inlineStr">
        <is>
          <t>2024-12-31</t>
        </is>
      </c>
      <c r="BI72" s="12" t="inlineStr">
        <is>
          <t>providers=world_bank; fields=entrepreneurial_dynamism_raw, innovation_research_intensity_raw, investment_signal_raw, administrative_investment_friction_raw; +2 additional fields</t>
        </is>
      </c>
      <c r="BJ72" s="9" t="n">
        <v>1.56</v>
      </c>
    </row>
    <row r="73">
      <c r="A73" s="9" t="inlineStr">
        <is>
          <t>cl-santiago</t>
        </is>
      </c>
      <c r="B73" s="9" t="inlineStr">
        <is>
          <t>Santiago</t>
        </is>
      </c>
      <c r="C73" s="9" t="inlineStr">
        <is>
          <t>Chile</t>
        </is>
      </c>
      <c r="D73" s="9" t="inlineStr">
        <is>
          <t>Latin America</t>
        </is>
      </c>
      <c r="E73" s="9" t="inlineStr">
        <is>
          <t>primary</t>
        </is>
      </c>
      <c r="F73" s="9" t="inlineStr">
        <is>
          <t>locked</t>
        </is>
      </c>
      <c r="G73" s="10" t="n">
        <v>2860</v>
      </c>
      <c r="H73" s="10" t="n">
        <v>715</v>
      </c>
      <c r="I73" s="10" t="n">
        <v>171.6</v>
      </c>
      <c r="J73" s="10" t="n">
        <v>114.4</v>
      </c>
      <c r="K73" s="10" t="n">
        <v>42.9</v>
      </c>
      <c r="L73" s="10" t="n">
        <v>629.2</v>
      </c>
      <c r="M73" s="11" t="inlineStr"/>
      <c r="N73" s="10" t="n">
        <v>25</v>
      </c>
      <c r="O73" s="10" t="n">
        <v>74.9355</v>
      </c>
      <c r="P73" s="11">
        <f>IF($O73&lt;&gt;"",$O73,$AO73)</f>
        <v/>
      </c>
      <c r="Q73" s="10" t="n">
        <v>38.94</v>
      </c>
      <c r="R73" s="10" t="n">
        <v>7.69</v>
      </c>
      <c r="S73" s="10" t="n">
        <v>6.35</v>
      </c>
      <c r="T73" s="10" t="inlineStr"/>
      <c r="U73" s="10" t="inlineStr"/>
      <c r="V73" s="10" t="n">
        <v>97.81999999999999</v>
      </c>
      <c r="W73" s="10" t="n">
        <v>23</v>
      </c>
      <c r="X73" s="9" t="n">
        <v>68</v>
      </c>
      <c r="Y73" s="10" t="n">
        <v>84</v>
      </c>
      <c r="Z73" s="10" t="n">
        <v>104.73</v>
      </c>
      <c r="AA73" s="10" t="n">
        <v>43</v>
      </c>
      <c r="AB73" s="10" t="n">
        <v>52.62</v>
      </c>
      <c r="AC73" s="10" t="n">
        <v>35.48</v>
      </c>
      <c r="AD73" s="10" t="n">
        <v>274.78</v>
      </c>
      <c r="AE73" s="10" t="n">
        <v>10.82</v>
      </c>
      <c r="AF73" s="10" t="n">
        <v>0.36</v>
      </c>
      <c r="AG73" s="10" t="n">
        <v>3.79</v>
      </c>
      <c r="AH73" s="10" t="n">
        <v>1.57</v>
      </c>
      <c r="AI73" s="10" t="inlineStr"/>
      <c r="AJ73" s="11">
        <f>IFERROR(INDEX(Country_Context!$B$2:$B$87,MATCH($C73,Country_Context!$A$2:$A$87,0)),"")</f>
        <v/>
      </c>
      <c r="AK73" s="11">
        <f>IFERROR(INDEX(Country_Context!$C$2:$C$87,MATCH($C73,Country_Context!$A$2:$A$87,0)),"")</f>
        <v/>
      </c>
      <c r="AL73" s="11">
        <f>IFERROR(INDEX(Country_Context!$D$2:$D$87,MATCH($C73,Country_Context!$A$2:$A$87,0)),"")</f>
        <v/>
      </c>
      <c r="AM73" s="11">
        <f>IFERROR(INDEX(Country_Context!$E$2:$E$87,MATCH($C73,Country_Context!$A$2:$A$87,0)),"")</f>
        <v/>
      </c>
      <c r="AN73" s="11">
        <f>IFERROR(INDEX(Country_Context!$F$2:$F$87,MATCH($C73,Country_Context!$A$2:$A$87,0)),"")</f>
        <v/>
      </c>
      <c r="AO73" s="11">
        <f>IFERROR(INDEX(Country_Context!$G$2:$G$87,MATCH($C73,Country_Context!$A$2:$A$87,0)),"")</f>
        <v/>
      </c>
      <c r="AP73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73" s="12" t="inlineStr">
        <is>
          <t>Tier 3, Tier 4</t>
        </is>
      </c>
      <c r="AR73" s="12" t="inlineStr">
        <is>
          <t>2025-12-31</t>
        </is>
      </c>
      <c r="AS73" s="12" t="inlineStr">
        <is>
          <t>providers=world_bank_col_estimate, derived, ilo_ilostat, who_gho; fields=gross_income, rent, utilities, transit_cost; +9 additional fields</t>
        </is>
      </c>
      <c r="AT73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 | +1 more</t>
        </is>
      </c>
      <c r="AU73" s="12" t="inlineStr">
        <is>
          <t>Tier 3</t>
        </is>
      </c>
      <c r="AV73" s="12" t="inlineStr">
        <is>
          <t>2024-12-31</t>
        </is>
      </c>
      <c r="AW73" s="12" t="inlineStr">
        <is>
          <t>providers=world_bank, wmo_natl_met; fields=personal_safety_raw, water_sanitation_utility_raw, digital_infrastructure_raw, climate_sunlight_livability_raw</t>
        </is>
      </c>
      <c r="AX73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73" s="12" t="inlineStr">
        <is>
          <t>Tier 3</t>
        </is>
      </c>
      <c r="AZ73" s="12" t="inlineStr">
        <is>
          <t>2023-12-31</t>
        </is>
      </c>
      <c r="BA73" s="12" t="inlineStr">
        <is>
          <t>providers=who_gho, world_bank; fields=healthcare_quality_raw, education_quality_raw, equal_opportunity_raw, gini_coefficient</t>
        </is>
      </c>
      <c r="BB73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73" s="12" t="inlineStr">
        <is>
          <t>Tier 3</t>
        </is>
      </c>
      <c r="BD73" s="12" t="inlineStr">
        <is>
          <t>2025-12-31</t>
        </is>
      </c>
      <c r="BE73" s="12" t="inlineStr">
        <is>
          <t>providers=world_bank; fields=hospitality_belonging_raw, tolerance_pluralism_raw, cultural_public_life_raw, birth_rate_optimism_raw</t>
        </is>
      </c>
      <c r="BF73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73" s="12" t="inlineStr">
        <is>
          <t>Tier 3</t>
        </is>
      </c>
      <c r="BH73" s="12" t="inlineStr">
        <is>
          <t>2024-12-31</t>
        </is>
      </c>
      <c r="BI73" s="12" t="inlineStr">
        <is>
          <t>providers=world_bank; fields=entrepreneurial_dynamism_raw, innovation_research_intensity_raw, investment_signal_raw, administrative_investment_friction_raw; +2 additional fields</t>
        </is>
      </c>
      <c r="BJ73" s="9" t="n">
        <v>1.44</v>
      </c>
    </row>
    <row r="74">
      <c r="A74" s="9" t="inlineStr">
        <is>
          <t>co-bogota</t>
        </is>
      </c>
      <c r="B74" s="9" t="inlineStr">
        <is>
          <t>Bogota</t>
        </is>
      </c>
      <c r="C74" s="9" t="inlineStr">
        <is>
          <t>Colombia</t>
        </is>
      </c>
      <c r="D74" s="9" t="inlineStr">
        <is>
          <t>Latin America</t>
        </is>
      </c>
      <c r="E74" s="9" t="inlineStr">
        <is>
          <t>primary</t>
        </is>
      </c>
      <c r="F74" s="9" t="inlineStr">
        <is>
          <t>locked</t>
        </is>
      </c>
      <c r="G74" s="10" t="n">
        <v>1824.17</v>
      </c>
      <c r="H74" s="10" t="n">
        <v>456.04</v>
      </c>
      <c r="I74" s="10" t="n">
        <v>109.45</v>
      </c>
      <c r="J74" s="10" t="n">
        <v>72.97</v>
      </c>
      <c r="K74" s="10" t="n">
        <v>27.36</v>
      </c>
      <c r="L74" s="10" t="n">
        <v>401.32</v>
      </c>
      <c r="M74" s="11" t="inlineStr"/>
      <c r="N74" s="10" t="n">
        <v>24.9999</v>
      </c>
      <c r="O74" s="10" t="n">
        <v>39.5117</v>
      </c>
      <c r="P74" s="11">
        <f>IF($O74&lt;&gt;"",$O74,$AO74)</f>
        <v/>
      </c>
      <c r="Q74" s="10" t="n">
        <v>42.77</v>
      </c>
      <c r="R74" s="10" t="n">
        <v>4.96</v>
      </c>
      <c r="S74" s="10" t="n">
        <v>24.91</v>
      </c>
      <c r="T74" s="10" t="inlineStr"/>
      <c r="U74" s="10" t="inlineStr"/>
      <c r="V74" s="10" t="n">
        <v>74.34</v>
      </c>
      <c r="W74" s="10" t="n">
        <v>17.04</v>
      </c>
      <c r="X74" s="9" t="n">
        <v>54</v>
      </c>
      <c r="Y74" s="10" t="n">
        <v>82</v>
      </c>
      <c r="Z74" s="10" t="n">
        <v>59.29</v>
      </c>
      <c r="AA74" s="10" t="n">
        <v>53.9</v>
      </c>
      <c r="AB74" s="10" t="n">
        <v>52.44</v>
      </c>
      <c r="AC74" s="10" t="n">
        <v>29.41</v>
      </c>
      <c r="AD74" s="10" t="n">
        <v>26.4</v>
      </c>
      <c r="AE74" s="10" t="n">
        <v>2.26</v>
      </c>
      <c r="AF74" s="10" t="n">
        <v>0.29</v>
      </c>
      <c r="AG74" s="10" t="n">
        <v>3.27</v>
      </c>
      <c r="AH74" s="10" t="n">
        <v>2.4</v>
      </c>
      <c r="AI74" s="10" t="inlineStr"/>
      <c r="AJ74" s="11">
        <f>IFERROR(INDEX(Country_Context!$B$2:$B$87,MATCH($C74,Country_Context!$A$2:$A$87,0)),"")</f>
        <v/>
      </c>
      <c r="AK74" s="11">
        <f>IFERROR(INDEX(Country_Context!$C$2:$C$87,MATCH($C74,Country_Context!$A$2:$A$87,0)),"")</f>
        <v/>
      </c>
      <c r="AL74" s="11">
        <f>IFERROR(INDEX(Country_Context!$D$2:$D$87,MATCH($C74,Country_Context!$A$2:$A$87,0)),"")</f>
        <v/>
      </c>
      <c r="AM74" s="11">
        <f>IFERROR(INDEX(Country_Context!$E$2:$E$87,MATCH($C74,Country_Context!$A$2:$A$87,0)),"")</f>
        <v/>
      </c>
      <c r="AN74" s="11">
        <f>IFERROR(INDEX(Country_Context!$F$2:$F$87,MATCH($C74,Country_Context!$A$2:$A$87,0)),"")</f>
        <v/>
      </c>
      <c r="AO74" s="11">
        <f>IFERROR(INDEX(Country_Context!$G$2:$G$87,MATCH($C74,Country_Context!$A$2:$A$87,0)),"")</f>
        <v/>
      </c>
      <c r="AP74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4" s="12" t="inlineStr">
        <is>
          <t>Tier 3, Tier 4</t>
        </is>
      </c>
      <c r="AR74" s="12" t="inlineStr">
        <is>
          <t>2025-12-31</t>
        </is>
      </c>
      <c r="AS74" s="12" t="inlineStr">
        <is>
          <t>providers=world_bank_col_estimate, derived, ilo_ilostat, who_gho; fields=gross_income, rent, utilities, transit_cost; +9 additional fields</t>
        </is>
      </c>
      <c r="AT74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4" s="12" t="inlineStr">
        <is>
          <t>Tier 3</t>
        </is>
      </c>
      <c r="AV74" s="12" t="inlineStr">
        <is>
          <t>2024-12-31</t>
        </is>
      </c>
      <c r="AW74" s="12" t="inlineStr">
        <is>
          <t>providers=world_bank, wmo_natl_met; fields=personal_safety_raw, water_sanitation_utility_raw, digital_infrastructure_raw, climate_sunlight_livability_raw</t>
        </is>
      </c>
      <c r="AX74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4" s="12" t="inlineStr">
        <is>
          <t>Tier 3</t>
        </is>
      </c>
      <c r="AZ74" s="12" t="inlineStr">
        <is>
          <t>2023-12-31</t>
        </is>
      </c>
      <c r="BA74" s="12" t="inlineStr">
        <is>
          <t>providers=who_gho, world_bank; fields=healthcare_quality_raw, education_quality_raw, equal_opportunity_raw, gini_coefficient</t>
        </is>
      </c>
      <c r="BB74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4" s="12" t="inlineStr">
        <is>
          <t>Tier 3</t>
        </is>
      </c>
      <c r="BD74" s="12" t="inlineStr">
        <is>
          <t>2025-12-31</t>
        </is>
      </c>
      <c r="BE74" s="12" t="inlineStr">
        <is>
          <t>providers=world_bank; fields=hospitality_belonging_raw, tolerance_pluralism_raw, cultural_public_life_raw, birth_rate_optimism_raw</t>
        </is>
      </c>
      <c r="BF74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4" s="12" t="inlineStr">
        <is>
          <t>Tier 3</t>
        </is>
      </c>
      <c r="BH74" s="12" t="inlineStr">
        <is>
          <t>2024-12-31</t>
        </is>
      </c>
      <c r="BI74" s="12" t="inlineStr">
        <is>
          <t>providers=world_bank; fields=entrepreneurial_dynamism_raw, innovation_research_intensity_raw, investment_signal_raw, administrative_investment_friction_raw; +2 additional fields</t>
        </is>
      </c>
      <c r="BJ74" s="9" t="n">
        <v>1.64</v>
      </c>
    </row>
    <row r="75">
      <c r="A75" s="9" t="inlineStr">
        <is>
          <t>pe-lima</t>
        </is>
      </c>
      <c r="B75" s="9" t="inlineStr">
        <is>
          <t>Lima</t>
        </is>
      </c>
      <c r="C75" s="9" t="inlineStr">
        <is>
          <t>Peru</t>
        </is>
      </c>
      <c r="D75" s="9" t="inlineStr">
        <is>
          <t>Latin America</t>
        </is>
      </c>
      <c r="E75" s="9" t="inlineStr">
        <is>
          <t>primary</t>
        </is>
      </c>
      <c r="F75" s="9" t="inlineStr">
        <is>
          <t>provisional</t>
        </is>
      </c>
      <c r="G75" s="10" t="n">
        <v>1398.33</v>
      </c>
      <c r="H75" s="10" t="n">
        <v>349.58</v>
      </c>
      <c r="I75" s="10" t="n">
        <v>83.90000000000001</v>
      </c>
      <c r="J75" s="10" t="n">
        <v>55.93</v>
      </c>
      <c r="K75" s="10" t="n">
        <v>20.97</v>
      </c>
      <c r="L75" s="10" t="n">
        <v>307.63</v>
      </c>
      <c r="M75" s="11" t="inlineStr"/>
      <c r="N75" s="10" t="n">
        <v>24.9998</v>
      </c>
      <c r="O75" s="10" t="n">
        <v>45.668</v>
      </c>
      <c r="P75" s="11">
        <f>IF($O75&lt;&gt;"",$O75,$AO75)</f>
        <v/>
      </c>
      <c r="Q75" s="10" t="n">
        <v>39.67</v>
      </c>
      <c r="R75" s="10" t="n">
        <v>1.54</v>
      </c>
      <c r="S75" s="10" t="n">
        <v>8.6</v>
      </c>
      <c r="T75" s="10" t="inlineStr"/>
      <c r="U75" s="10" t="inlineStr"/>
      <c r="V75" s="10" t="n">
        <v>49.43</v>
      </c>
      <c r="W75" s="10" t="n">
        <v>10.44</v>
      </c>
      <c r="X75" s="9" t="inlineStr"/>
      <c r="Y75" s="10" t="n">
        <v>68</v>
      </c>
      <c r="Z75" s="10" t="inlineStr"/>
      <c r="AA75" s="10" t="n">
        <v>40.1</v>
      </c>
      <c r="AB75" s="10" t="n">
        <v>50.35</v>
      </c>
      <c r="AC75" s="10" t="n">
        <v>38.46</v>
      </c>
      <c r="AD75" s="10" t="n">
        <v>32.7</v>
      </c>
      <c r="AE75" s="10" t="n">
        <v>4.69</v>
      </c>
      <c r="AF75" s="10" t="n">
        <v>0.16</v>
      </c>
      <c r="AG75" s="10" t="n">
        <v>2.35</v>
      </c>
      <c r="AH75" s="10" t="n">
        <v>2.21</v>
      </c>
      <c r="AI75" s="10" t="inlineStr"/>
      <c r="AJ75" s="11">
        <f>IFERROR(INDEX(Country_Context!$B$2:$B$87,MATCH($C75,Country_Context!$A$2:$A$87,0)),"")</f>
        <v/>
      </c>
      <c r="AK75" s="11">
        <f>IFERROR(INDEX(Country_Context!$C$2:$C$87,MATCH($C75,Country_Context!$A$2:$A$87,0)),"")</f>
        <v/>
      </c>
      <c r="AL75" s="11">
        <f>IFERROR(INDEX(Country_Context!$D$2:$D$87,MATCH($C75,Country_Context!$A$2:$A$87,0)),"")</f>
        <v/>
      </c>
      <c r="AM75" s="11">
        <f>IFERROR(INDEX(Country_Context!$E$2:$E$87,MATCH($C75,Country_Context!$A$2:$A$87,0)),"")</f>
        <v/>
      </c>
      <c r="AN75" s="11">
        <f>IFERROR(INDEX(Country_Context!$F$2:$F$87,MATCH($C75,Country_Context!$A$2:$A$87,0)),"")</f>
        <v/>
      </c>
      <c r="AO75" s="11">
        <f>IFERROR(INDEX(Country_Context!$G$2:$G$87,MATCH($C75,Country_Context!$A$2:$A$87,0)),"")</f>
        <v/>
      </c>
      <c r="AP75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75" s="12" t="inlineStr">
        <is>
          <t>Tier 3, Tier 4</t>
        </is>
      </c>
      <c r="AR75" s="12" t="inlineStr">
        <is>
          <t>2025-12-31</t>
        </is>
      </c>
      <c r="AS75" s="12" t="inlineStr">
        <is>
          <t>providers=world_bank_col_estimate, derived, ilo_ilostat, who_gho; fields=gross_income, rent, utilities, transit_cost; +9 additional fields</t>
        </is>
      </c>
      <c r="AT75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75" s="12" t="inlineStr">
        <is>
          <t>Tier 3</t>
        </is>
      </c>
      <c r="AV75" s="12" t="inlineStr">
        <is>
          <t>2024-12-31</t>
        </is>
      </c>
      <c r="AW75" s="12" t="inlineStr">
        <is>
          <t>providers=world_bank; fields=personal_safety_raw, water_sanitation_utility_raw, digital_infrastructure_raw</t>
        </is>
      </c>
      <c r="AX75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75" s="12" t="inlineStr">
        <is>
          <t>Tier 3</t>
        </is>
      </c>
      <c r="AZ75" s="12" t="inlineStr">
        <is>
          <t>2024-12-31</t>
        </is>
      </c>
      <c r="BA75" s="12" t="inlineStr">
        <is>
          <t>providers=who_gho, world_bank; fields=healthcare_quality_raw, equal_opportunity_raw, gini_coefficient</t>
        </is>
      </c>
      <c r="BB75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75" s="12" t="inlineStr">
        <is>
          <t>Tier 3</t>
        </is>
      </c>
      <c r="BD75" s="12" t="inlineStr">
        <is>
          <t>2025-12-31</t>
        </is>
      </c>
      <c r="BE75" s="12" t="inlineStr">
        <is>
          <t>providers=world_bank; fields=hospitality_belonging_raw, tolerance_pluralism_raw, cultural_public_life_raw</t>
        </is>
      </c>
      <c r="BF75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75" s="12" t="inlineStr">
        <is>
          <t>Tier 3</t>
        </is>
      </c>
      <c r="BH75" s="12" t="inlineStr">
        <is>
          <t>2024-12-31</t>
        </is>
      </c>
      <c r="BI75" s="12" t="inlineStr">
        <is>
          <t>providers=world_bank; fields=entrepreneurial_dynamism_raw, innovation_research_intensity_raw, investment_signal_raw, administrative_investment_friction_raw; +2 additional fields</t>
        </is>
      </c>
      <c r="BJ75" s="9" t="inlineStr"/>
    </row>
    <row r="76">
      <c r="A76" s="9" t="inlineStr">
        <is>
          <t>br-curitiba</t>
        </is>
      </c>
      <c r="B76" s="9" t="inlineStr">
        <is>
          <t>Curitiba</t>
        </is>
      </c>
      <c r="C76" s="9" t="inlineStr">
        <is>
          <t>Brazil</t>
        </is>
      </c>
      <c r="D76" s="9" t="inlineStr">
        <is>
          <t>Latin America</t>
        </is>
      </c>
      <c r="E76" s="9" t="inlineStr">
        <is>
          <t>secondary</t>
        </is>
      </c>
      <c r="F76" s="9" t="inlineStr">
        <is>
          <t>locked</t>
        </is>
      </c>
      <c r="G76" s="10" t="n">
        <v>1799.17</v>
      </c>
      <c r="H76" s="10" t="n">
        <v>382.32</v>
      </c>
      <c r="I76" s="10" t="n">
        <v>91.76000000000001</v>
      </c>
      <c r="J76" s="10" t="n">
        <v>61.17</v>
      </c>
      <c r="K76" s="10" t="n">
        <v>22.94</v>
      </c>
      <c r="L76" s="10" t="n">
        <v>336.44</v>
      </c>
      <c r="M76" s="11" t="inlineStr"/>
      <c r="N76" s="10" t="n">
        <v>21.2498</v>
      </c>
      <c r="O76" s="10" t="n">
        <v>75.6164</v>
      </c>
      <c r="P76" s="11">
        <f>IF($O76&lt;&gt;"",$O76,$AO76)</f>
        <v/>
      </c>
      <c r="Q76" s="10" t="n">
        <v>38.86</v>
      </c>
      <c r="R76" s="10" t="n">
        <v>7.59</v>
      </c>
      <c r="S76" s="10" t="n">
        <v>19.28</v>
      </c>
      <c r="T76" s="10" t="inlineStr"/>
      <c r="U76" s="10" t="inlineStr"/>
      <c r="V76" s="10" t="n">
        <v>88.62</v>
      </c>
      <c r="W76" s="10" t="n">
        <v>22.42</v>
      </c>
      <c r="X76" s="9" t="n">
        <v>56</v>
      </c>
      <c r="Y76" s="10" t="n">
        <v>84</v>
      </c>
      <c r="Z76" s="10" t="n">
        <v>60.39</v>
      </c>
      <c r="AA76" s="10" t="n">
        <v>51.6</v>
      </c>
      <c r="AB76" s="10" t="n">
        <v>48.98</v>
      </c>
      <c r="AC76" s="10" t="n">
        <v>17.54</v>
      </c>
      <c r="AD76" s="10" t="n">
        <v>29.97</v>
      </c>
      <c r="AE76" s="10" t="n">
        <v>5.1</v>
      </c>
      <c r="AF76" s="10" t="n">
        <v>1.15</v>
      </c>
      <c r="AG76" s="10" t="n">
        <v>3.39</v>
      </c>
      <c r="AH76" s="10" t="n">
        <v>2.8</v>
      </c>
      <c r="AI76" s="10" t="inlineStr"/>
      <c r="AJ76" s="11">
        <f>IFERROR(INDEX(Country_Context!$B$2:$B$87,MATCH($C76,Country_Context!$A$2:$A$87,0)),"")</f>
        <v/>
      </c>
      <c r="AK76" s="11">
        <f>IFERROR(INDEX(Country_Context!$C$2:$C$87,MATCH($C76,Country_Context!$A$2:$A$87,0)),"")</f>
        <v/>
      </c>
      <c r="AL76" s="11">
        <f>IFERROR(INDEX(Country_Context!$D$2:$D$87,MATCH($C76,Country_Context!$A$2:$A$87,0)),"")</f>
        <v/>
      </c>
      <c r="AM76" s="11">
        <f>IFERROR(INDEX(Country_Context!$E$2:$E$87,MATCH($C76,Country_Context!$A$2:$A$87,0)),"")</f>
        <v/>
      </c>
      <c r="AN76" s="11">
        <f>IFERROR(INDEX(Country_Context!$F$2:$F$87,MATCH($C76,Country_Context!$A$2:$A$87,0)),"")</f>
        <v/>
      </c>
      <c r="AO76" s="11">
        <f>IFERROR(INDEX(Country_Context!$G$2:$G$87,MATCH($C76,Country_Context!$A$2:$A$87,0)),"")</f>
        <v/>
      </c>
      <c r="AP76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76" s="12" t="inlineStr">
        <is>
          <t>Tier 3, Tier 4</t>
        </is>
      </c>
      <c r="AR76" s="12" t="inlineStr">
        <is>
          <t>2025-12-31</t>
        </is>
      </c>
      <c r="AS76" s="12" t="inlineStr">
        <is>
          <t>providers=world_bank_col_estimate, derived, ilo_ilostat, who_gho; fields=gross_income, rent, utilities, transit_cost; +9 additional fields</t>
        </is>
      </c>
      <c r="AT76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 | +1 more</t>
        </is>
      </c>
      <c r="AU76" s="12" t="inlineStr">
        <is>
          <t>Tier 3</t>
        </is>
      </c>
      <c r="AV76" s="12" t="inlineStr">
        <is>
          <t>2024-12-31</t>
        </is>
      </c>
      <c r="AW76" s="12" t="inlineStr">
        <is>
          <t>providers=world_bank, wmo_natl_met; fields=personal_safety_raw, water_sanitation_utility_raw, digital_infrastructure_raw, climate_sunlight_livability_raw</t>
        </is>
      </c>
      <c r="AX76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76" s="12" t="inlineStr">
        <is>
          <t>Tier 3</t>
        </is>
      </c>
      <c r="AZ76" s="12" t="inlineStr">
        <is>
          <t>2023-12-31</t>
        </is>
      </c>
      <c r="BA76" s="12" t="inlineStr">
        <is>
          <t>providers=who_gho, world_bank; fields=healthcare_quality_raw, education_quality_raw, equal_opportunity_raw, gini_coefficient</t>
        </is>
      </c>
      <c r="BB76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76" s="12" t="inlineStr">
        <is>
          <t>Tier 3</t>
        </is>
      </c>
      <c r="BD76" s="12" t="inlineStr">
        <is>
          <t>2025-12-31</t>
        </is>
      </c>
      <c r="BE76" s="12" t="inlineStr">
        <is>
          <t>providers=world_bank; fields=hospitality_belonging_raw, tolerance_pluralism_raw, cultural_public_life_raw, birth_rate_optimism_raw</t>
        </is>
      </c>
      <c r="BF76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76" s="12" t="inlineStr">
        <is>
          <t>Tier 3</t>
        </is>
      </c>
      <c r="BH76" s="12" t="inlineStr">
        <is>
          <t>2024-12-31</t>
        </is>
      </c>
      <c r="BI76" s="12" t="inlineStr">
        <is>
          <t>providers=world_bank; fields=entrepreneurial_dynamism_raw, innovation_research_intensity_raw, investment_signal_raw, administrative_investment_friction_raw; +2 additional fields</t>
        </is>
      </c>
      <c r="BJ76" s="9" t="n">
        <v>1.64</v>
      </c>
    </row>
    <row r="77">
      <c r="A77" s="9" t="inlineStr">
        <is>
          <t>co-medellin</t>
        </is>
      </c>
      <c r="B77" s="9" t="inlineStr">
        <is>
          <t>Medellin</t>
        </is>
      </c>
      <c r="C77" s="9" t="inlineStr">
        <is>
          <t>Colombia</t>
        </is>
      </c>
      <c r="D77" s="9" t="inlineStr">
        <is>
          <t>Latin America</t>
        </is>
      </c>
      <c r="E77" s="9" t="inlineStr">
        <is>
          <t>secondary</t>
        </is>
      </c>
      <c r="F77" s="9" t="inlineStr">
        <is>
          <t>locked</t>
        </is>
      </c>
      <c r="G77" s="10" t="n">
        <v>1824.17</v>
      </c>
      <c r="H77" s="10" t="n">
        <v>364.83</v>
      </c>
      <c r="I77" s="10" t="n">
        <v>87.56</v>
      </c>
      <c r="J77" s="10" t="n">
        <v>58.37</v>
      </c>
      <c r="K77" s="10" t="n">
        <v>21.89</v>
      </c>
      <c r="L77" s="10" t="n">
        <v>321.05</v>
      </c>
      <c r="M77" s="11" t="inlineStr"/>
      <c r="N77" s="10" t="n">
        <v>19.9998</v>
      </c>
      <c r="O77" s="10" t="n">
        <v>39.5117</v>
      </c>
      <c r="P77" s="11">
        <f>IF($O77&lt;&gt;"",$O77,$AO77)</f>
        <v/>
      </c>
      <c r="Q77" s="10" t="n">
        <v>42.77</v>
      </c>
      <c r="R77" s="10" t="n">
        <v>4.96</v>
      </c>
      <c r="S77" s="10" t="n">
        <v>24.91</v>
      </c>
      <c r="T77" s="10" t="inlineStr"/>
      <c r="U77" s="10" t="inlineStr"/>
      <c r="V77" s="10" t="n">
        <v>74.34</v>
      </c>
      <c r="W77" s="10" t="n">
        <v>17.04</v>
      </c>
      <c r="X77" s="9" t="n">
        <v>72</v>
      </c>
      <c r="Y77" s="10" t="n">
        <v>82</v>
      </c>
      <c r="Z77" s="10" t="n">
        <v>59.29</v>
      </c>
      <c r="AA77" s="10" t="n">
        <v>53.9</v>
      </c>
      <c r="AB77" s="10" t="n">
        <v>52.44</v>
      </c>
      <c r="AC77" s="10" t="n">
        <v>29.41</v>
      </c>
      <c r="AD77" s="10" t="n">
        <v>26.4</v>
      </c>
      <c r="AE77" s="10" t="n">
        <v>2.26</v>
      </c>
      <c r="AF77" s="10" t="n">
        <v>0.29</v>
      </c>
      <c r="AG77" s="10" t="n">
        <v>3.27</v>
      </c>
      <c r="AH77" s="10" t="n">
        <v>2.4</v>
      </c>
      <c r="AI77" s="10" t="inlineStr"/>
      <c r="AJ77" s="11">
        <f>IFERROR(INDEX(Country_Context!$B$2:$B$87,MATCH($C77,Country_Context!$A$2:$A$87,0)),"")</f>
        <v/>
      </c>
      <c r="AK77" s="11">
        <f>IFERROR(INDEX(Country_Context!$C$2:$C$87,MATCH($C77,Country_Context!$A$2:$A$87,0)),"")</f>
        <v/>
      </c>
      <c r="AL77" s="11">
        <f>IFERROR(INDEX(Country_Context!$D$2:$D$87,MATCH($C77,Country_Context!$A$2:$A$87,0)),"")</f>
        <v/>
      </c>
      <c r="AM77" s="11">
        <f>IFERROR(INDEX(Country_Context!$E$2:$E$87,MATCH($C77,Country_Context!$A$2:$A$87,0)),"")</f>
        <v/>
      </c>
      <c r="AN77" s="11">
        <f>IFERROR(INDEX(Country_Context!$F$2:$F$87,MATCH($C77,Country_Context!$A$2:$A$87,0)),"")</f>
        <v/>
      </c>
      <c r="AO77" s="11">
        <f>IFERROR(INDEX(Country_Context!$G$2:$G$87,MATCH($C77,Country_Context!$A$2:$A$87,0)),"")</f>
        <v/>
      </c>
      <c r="AP77" s="12" t="inlineStr">
        <is>
          <t>https://api.worldbank.org/v2/country/COL/indicator/NY.GNP.PCAP.PP.CD?format=json&amp;mrv=10 | https://data.worldbank.org/indicator/NY.GNP.PCAP.PP.CD | https://ilostat.ilo.org/data/indicator/?id=HOW_TEMP_SEX_ECO_NB_A&amp;ref_area=COL | +4 more</t>
        </is>
      </c>
      <c r="AQ77" s="12" t="inlineStr">
        <is>
          <t>Tier 3, Tier 4</t>
        </is>
      </c>
      <c r="AR77" s="12" t="inlineStr">
        <is>
          <t>2025-12-31</t>
        </is>
      </c>
      <c r="AS77" s="12" t="inlineStr">
        <is>
          <t>providers=world_bank_col_estimate, derived, ilo_ilostat, who_gho; fields=gross_income, rent, utilities, transit_cost; +9 additional fields</t>
        </is>
      </c>
      <c r="AT77" s="12" t="inlineStr">
        <is>
          <t>https://api.worldbank.org/v2/country/COL/indicator/VC.IHR.PSRC.P5?format=json&amp;mrv=10 | https://api.worldbank.org/v2/country/COL/indicator/SH.H2O.SMDW.ZS?format=json&amp;mrv=10 | https://api.worldbank.org/v2/country/COL/indicator/IT.NET.BBND.P2?format=json&amp;mrv=10 | +1 more</t>
        </is>
      </c>
      <c r="AU77" s="12" t="inlineStr">
        <is>
          <t>Tier 3</t>
        </is>
      </c>
      <c r="AV77" s="12" t="inlineStr">
        <is>
          <t>2024-12-31</t>
        </is>
      </c>
      <c r="AW77" s="12" t="inlineStr">
        <is>
          <t>providers=world_bank, wmo_natl_met; fields=personal_safety_raw, water_sanitation_utility_raw, digital_infrastructure_raw, climate_sunlight_livability_raw</t>
        </is>
      </c>
      <c r="AX77" s="12" t="inlineStr">
        <is>
          <t>https://www.who.int/data/gho/data/indicators/indicator-details/GHO/UHC_INDEX_REPORTED | https://api.worldbank.org/v2/country/COL/indicator/SE.TER.ENRR?format=json&amp;mrv=10 | https://api.worldbank.org/v2/country/COL/indicator/SI.POV.GINI?format=json&amp;mrv=10 | +1 more</t>
        </is>
      </c>
      <c r="AY77" s="12" t="inlineStr">
        <is>
          <t>Tier 3</t>
        </is>
      </c>
      <c r="AZ77" s="12" t="inlineStr">
        <is>
          <t>2023-12-31</t>
        </is>
      </c>
      <c r="BA77" s="12" t="inlineStr">
        <is>
          <t>providers=who_gho, world_bank; fields=healthcare_quality_raw, education_quality_raw, equal_opportunity_raw, gini_coefficient</t>
        </is>
      </c>
      <c r="BB77" s="12" t="inlineStr">
        <is>
          <t>https://api.worldbank.org/v2/country/COL/indicator/SM.POP.NETM?format=json&amp;mrv=10 | https://api.worldbank.org/v2/country/COL/indicator/SG.GEN.PARL.ZS?format=json&amp;mrv=10 | https://api.worldbank.org/v2/country/COL/indicator/ST.INT.ARVL?format=json&amp;mrv=10 | +1 more</t>
        </is>
      </c>
      <c r="BC77" s="12" t="inlineStr">
        <is>
          <t>Tier 3</t>
        </is>
      </c>
      <c r="BD77" s="12" t="inlineStr">
        <is>
          <t>2025-12-31</t>
        </is>
      </c>
      <c r="BE77" s="12" t="inlineStr">
        <is>
          <t>providers=world_bank; fields=hospitality_belonging_raw, tolerance_pluralism_raw, cultural_public_life_raw, birth_rate_optimism_raw</t>
        </is>
      </c>
      <c r="BF77" s="12" t="inlineStr">
        <is>
          <t>https://api.worldbank.org/v2/country/COL/indicator/IC.BUS.NDNS.ZS?format=json&amp;mrv=10 | https://api.worldbank.org/v2/country/COL/indicator/GB.XPD.RSDV.GD.ZS?format=json&amp;mrv=10 | https://api.worldbank.org/v2/country/COL/indicator/BX.KLT.DINV.WD.GD.ZS?format=json&amp;mrv=10 | +3 more</t>
        </is>
      </c>
      <c r="BG77" s="12" t="inlineStr">
        <is>
          <t>Tier 3</t>
        </is>
      </c>
      <c r="BH77" s="12" t="inlineStr">
        <is>
          <t>2024-12-31</t>
        </is>
      </c>
      <c r="BI77" s="12" t="inlineStr">
        <is>
          <t>providers=world_bank; fields=entrepreneurial_dynamism_raw, innovation_research_intensity_raw, investment_signal_raw, administrative_investment_friction_raw; +2 additional fields</t>
        </is>
      </c>
      <c r="BJ77" s="9" t="n">
        <v>1.64</v>
      </c>
    </row>
    <row r="78">
      <c r="A78" s="9" t="inlineStr">
        <is>
          <t>uy-montevideo</t>
        </is>
      </c>
      <c r="B78" s="9" t="inlineStr">
        <is>
          <t>Montevideo</t>
        </is>
      </c>
      <c r="C78" s="9" t="inlineStr">
        <is>
          <t>Uruguay</t>
        </is>
      </c>
      <c r="D78" s="9" t="inlineStr">
        <is>
          <t>Latin America</t>
        </is>
      </c>
      <c r="E78" s="9" t="inlineStr">
        <is>
          <t>secondary</t>
        </is>
      </c>
      <c r="F78" s="9" t="inlineStr">
        <is>
          <t>locked</t>
        </is>
      </c>
      <c r="G78" s="10" t="n">
        <v>2847.5</v>
      </c>
      <c r="H78" s="10" t="n">
        <v>640.6900000000001</v>
      </c>
      <c r="I78" s="10" t="n">
        <v>153.76</v>
      </c>
      <c r="J78" s="10" t="n">
        <v>102.51</v>
      </c>
      <c r="K78" s="10" t="n">
        <v>38.44</v>
      </c>
      <c r="L78" s="10" t="n">
        <v>563.8099999999999</v>
      </c>
      <c r="M78" s="11" t="inlineStr"/>
      <c r="N78" s="10" t="n">
        <v>22.5001</v>
      </c>
      <c r="O78" s="10" t="n">
        <v>31.0608</v>
      </c>
      <c r="P78" s="11">
        <f>IF($O78&lt;&gt;"",$O78,$AO78)</f>
        <v/>
      </c>
      <c r="Q78" s="10" t="n">
        <v>36.84</v>
      </c>
      <c r="R78" s="10" t="n">
        <v>24.75</v>
      </c>
      <c r="S78" s="10" t="n">
        <v>11.25</v>
      </c>
      <c r="T78" s="10" t="inlineStr"/>
      <c r="U78" s="10" t="inlineStr"/>
      <c r="V78" s="10" t="inlineStr"/>
      <c r="W78" s="10" t="n">
        <v>32.4</v>
      </c>
      <c r="X78" s="9" t="n">
        <v>58</v>
      </c>
      <c r="Y78" s="10" t="n">
        <v>85</v>
      </c>
      <c r="Z78" s="10" t="n">
        <v>79.95</v>
      </c>
      <c r="AA78" s="10" t="n">
        <v>40</v>
      </c>
      <c r="AB78" s="10" t="n">
        <v>49.6</v>
      </c>
      <c r="AC78" s="10" t="n">
        <v>28.28</v>
      </c>
      <c r="AD78" s="10" t="n">
        <v>1027.58</v>
      </c>
      <c r="AE78" s="10" t="n">
        <v>3.13</v>
      </c>
      <c r="AF78" s="10" t="n">
        <v>0.63</v>
      </c>
      <c r="AG78" s="10" t="n">
        <v>-4.86</v>
      </c>
      <c r="AH78" s="10" t="n">
        <v>1.82</v>
      </c>
      <c r="AI78" s="10" t="inlineStr"/>
      <c r="AJ78" s="11">
        <f>IFERROR(INDEX(Country_Context!$B$2:$B$87,MATCH($C78,Country_Context!$A$2:$A$87,0)),"")</f>
        <v/>
      </c>
      <c r="AK78" s="11">
        <f>IFERROR(INDEX(Country_Context!$C$2:$C$87,MATCH($C78,Country_Context!$A$2:$A$87,0)),"")</f>
        <v/>
      </c>
      <c r="AL78" s="11">
        <f>IFERROR(INDEX(Country_Context!$D$2:$D$87,MATCH($C78,Country_Context!$A$2:$A$87,0)),"")</f>
        <v/>
      </c>
      <c r="AM78" s="11">
        <f>IFERROR(INDEX(Country_Context!$E$2:$E$87,MATCH($C78,Country_Context!$A$2:$A$87,0)),"")</f>
        <v/>
      </c>
      <c r="AN78" s="11">
        <f>IFERROR(INDEX(Country_Context!$F$2:$F$87,MATCH($C78,Country_Context!$A$2:$A$87,0)),"")</f>
        <v/>
      </c>
      <c r="AO78" s="11">
        <f>IFERROR(INDEX(Country_Context!$G$2:$G$87,MATCH($C78,Country_Context!$A$2:$A$87,0)),"")</f>
        <v/>
      </c>
      <c r="AP78" s="12" t="inlineStr">
        <is>
          <t>https://api.worldbank.org/v2/country/URY/indicator/NY.GNP.PCAP.PP.CD?format=json&amp;mrv=10 | https://data.worldbank.org/indicator/NY.GNP.PCAP.PP.CD | https://ilostat.ilo.org/data/indicator/?id=HOW_TEMP_SEX_ECO_NB_A&amp;ref_area=URY | +4 more</t>
        </is>
      </c>
      <c r="AQ78" s="12" t="inlineStr">
        <is>
          <t>Tier 3, Tier 4</t>
        </is>
      </c>
      <c r="AR78" s="12" t="inlineStr">
        <is>
          <t>2024-12-31</t>
        </is>
      </c>
      <c r="AS78" s="12" t="inlineStr">
        <is>
          <t>providers=world_bank_col_estimate, derived, ilo_ilostat, who_gho; fields=gross_income, rent, utilities, transit_cost; +9 additional fields</t>
        </is>
      </c>
      <c r="AT78" s="12" t="inlineStr">
        <is>
          <t>https://api.worldbank.org/v2/country/URY/indicator/VC.IHR.PSRC.P5?format=json&amp;mrv=10 | https://api.worldbank.org/v2/country/URY/indicator/IT.NET.BBND.P2?format=json&amp;mrv=10 | https://worldweather.wmo.int</t>
        </is>
      </c>
      <c r="AU78" s="12" t="inlineStr">
        <is>
          <t>Tier 3</t>
        </is>
      </c>
      <c r="AV78" s="12" t="inlineStr">
        <is>
          <t>2024-12-31</t>
        </is>
      </c>
      <c r="AW78" s="12" t="inlineStr">
        <is>
          <t>providers=world_bank, wmo_natl_met; fields=personal_safety_raw, digital_infrastructure_raw, climate_sunlight_livability_raw</t>
        </is>
      </c>
      <c r="AX78" s="12" t="inlineStr">
        <is>
          <t>https://www.who.int/data/gho/data/indicators/indicator-details/GHO/UHC_INDEX_REPORTED | https://api.worldbank.org/v2/country/URY/indicator/SE.TER.ENRR?format=json&amp;mrv=10 | https://api.worldbank.org/v2/country/URY/indicator/SI.POV.GINI?format=json&amp;mrv=10 | +1 more</t>
        </is>
      </c>
      <c r="AY78" s="12" t="inlineStr">
        <is>
          <t>Tier 3</t>
        </is>
      </c>
      <c r="AZ78" s="12" t="inlineStr">
        <is>
          <t>2024-12-31</t>
        </is>
      </c>
      <c r="BA78" s="12" t="inlineStr">
        <is>
          <t>providers=who_gho, world_bank; fields=healthcare_quality_raw, education_quality_raw, equal_opportunity_raw, gini_coefficient</t>
        </is>
      </c>
      <c r="BB78" s="12" t="inlineStr">
        <is>
          <t>https://api.worldbank.org/v2/country/URY/indicator/SM.POP.NETM?format=json&amp;mrv=10 | https://api.worldbank.org/v2/country/URY/indicator/SG.GEN.PARL.ZS?format=json&amp;mrv=10 | https://api.worldbank.org/v2/country/URY/indicator/ST.INT.ARVL?format=json&amp;mrv=10</t>
        </is>
      </c>
      <c r="BC78" s="12" t="inlineStr">
        <is>
          <t>Tier 3</t>
        </is>
      </c>
      <c r="BD78" s="12" t="inlineStr">
        <is>
          <t>2025-12-31</t>
        </is>
      </c>
      <c r="BE78" s="12" t="inlineStr">
        <is>
          <t>providers=world_bank; fields=hospitality_belonging_raw, tolerance_pluralism_raw, cultural_public_life_raw</t>
        </is>
      </c>
      <c r="BF78" s="12" t="inlineStr">
        <is>
          <t>https://api.worldbank.org/v2/country/URY/indicator/IC.BUS.NDNS.ZS?format=json&amp;mrv=10 | https://api.worldbank.org/v2/country/URY/indicator/GB.XPD.RSDV.GD.ZS?format=json&amp;mrv=10 | https://api.worldbank.org/v2/country/URY/indicator/BX.KLT.DINV.WD.GD.ZS?format=json&amp;mrv=10 | +3 more</t>
        </is>
      </c>
      <c r="BG78" s="12" t="inlineStr">
        <is>
          <t>Tier 3</t>
        </is>
      </c>
      <c r="BH78" s="12" t="inlineStr">
        <is>
          <t>2024-12-31</t>
        </is>
      </c>
      <c r="BI78" s="12" t="inlineStr">
        <is>
          <t>providers=world_bank; fields=entrepreneurial_dynamism_raw, innovation_research_intensity_raw, investment_signal_raw, administrative_investment_friction_raw; +2 additional fields</t>
        </is>
      </c>
      <c r="BJ78" s="9" t="inlineStr"/>
    </row>
    <row r="79">
      <c r="A79" s="9" t="inlineStr">
        <is>
          <t>ar-cordoba</t>
        </is>
      </c>
      <c r="B79" s="9" t="inlineStr">
        <is>
          <t>Cordoba</t>
        </is>
      </c>
      <c r="C79" s="9" t="inlineStr">
        <is>
          <t>Argentina</t>
        </is>
      </c>
      <c r="D79" s="9" t="inlineStr">
        <is>
          <t>Latin America</t>
        </is>
      </c>
      <c r="E79" s="9" t="inlineStr">
        <is>
          <t>secondary</t>
        </is>
      </c>
      <c r="F79" s="9" t="inlineStr">
        <is>
          <t>provisional</t>
        </is>
      </c>
      <c r="G79" s="10" t="n">
        <v>2483.33</v>
      </c>
      <c r="H79" s="10" t="n">
        <v>496.67</v>
      </c>
      <c r="I79" s="10" t="n">
        <v>119.2</v>
      </c>
      <c r="J79" s="10" t="n">
        <v>79.47</v>
      </c>
      <c r="K79" s="10" t="n">
        <v>29.8</v>
      </c>
      <c r="L79" s="10" t="n">
        <v>437.07</v>
      </c>
      <c r="M79" s="11" t="inlineStr"/>
      <c r="N79" s="10" t="n">
        <v>20.0002</v>
      </c>
      <c r="O79" s="10" t="n">
        <v>13.0788</v>
      </c>
      <c r="P79" s="11">
        <f>IF($O79&lt;&gt;"",$O79,$AO79)</f>
        <v/>
      </c>
      <c r="Q79" s="10" t="n">
        <v>36.45</v>
      </c>
      <c r="R79" s="10" t="n">
        <v>7.94</v>
      </c>
      <c r="S79" s="10" t="n">
        <v>4.49</v>
      </c>
      <c r="T79" s="10" t="inlineStr"/>
      <c r="U79" s="10" t="inlineStr"/>
      <c r="V79" s="10" t="inlineStr"/>
      <c r="W79" s="10" t="n">
        <v>25.36</v>
      </c>
      <c r="X79" s="9" t="inlineStr"/>
      <c r="Y79" s="10" t="n">
        <v>80</v>
      </c>
      <c r="Z79" s="10" t="n">
        <v>107.82</v>
      </c>
      <c r="AA79" s="10" t="n">
        <v>42.4</v>
      </c>
      <c r="AB79" s="10" t="n">
        <v>50.06</v>
      </c>
      <c r="AC79" s="10" t="n">
        <v>42.41</v>
      </c>
      <c r="AD79" s="10" t="n">
        <v>161.92</v>
      </c>
      <c r="AE79" s="10" t="n">
        <v>0.2</v>
      </c>
      <c r="AF79" s="10" t="n">
        <v>0.55</v>
      </c>
      <c r="AG79" s="10" t="n">
        <v>1.82</v>
      </c>
      <c r="AH79" s="10" t="n">
        <v>2.98</v>
      </c>
      <c r="AI79" s="10" t="inlineStr"/>
      <c r="AJ79" s="11">
        <f>IFERROR(INDEX(Country_Context!$B$2:$B$87,MATCH($C79,Country_Context!$A$2:$A$87,0)),"")</f>
        <v/>
      </c>
      <c r="AK79" s="11">
        <f>IFERROR(INDEX(Country_Context!$C$2:$C$87,MATCH($C79,Country_Context!$A$2:$A$87,0)),"")</f>
        <v/>
      </c>
      <c r="AL79" s="11">
        <f>IFERROR(INDEX(Country_Context!$D$2:$D$87,MATCH($C79,Country_Context!$A$2:$A$87,0)),"")</f>
        <v/>
      </c>
      <c r="AM79" s="11">
        <f>IFERROR(INDEX(Country_Context!$E$2:$E$87,MATCH($C79,Country_Context!$A$2:$A$87,0)),"")</f>
        <v/>
      </c>
      <c r="AN79" s="11">
        <f>IFERROR(INDEX(Country_Context!$F$2:$F$87,MATCH($C79,Country_Context!$A$2:$A$87,0)),"")</f>
        <v/>
      </c>
      <c r="AO79" s="11">
        <f>IFERROR(INDEX(Country_Context!$G$2:$G$87,MATCH($C79,Country_Context!$A$2:$A$87,0)),"")</f>
        <v/>
      </c>
      <c r="AP79" s="12" t="inlineStr">
        <is>
          <t>https://api.worldbank.org/v2/country/ARG/indicator/NY.GNP.PCAP.PP.CD?format=json&amp;mrv=10 | https://data.worldbank.org/indicator/NY.GNP.PCAP.PP.CD | https://ilostat.ilo.org/data/indicator/?id=HOW_TEMP_SEX_ECO_NB_A&amp;ref_area=ARG | +4 more</t>
        </is>
      </c>
      <c r="AQ79" s="12" t="inlineStr">
        <is>
          <t>Tier 3, Tier 4</t>
        </is>
      </c>
      <c r="AR79" s="12" t="inlineStr">
        <is>
          <t>2024-12-31</t>
        </is>
      </c>
      <c r="AS79" s="12" t="inlineStr">
        <is>
          <t>providers=world_bank_col_estimate, derived, ilo_ilostat, who_gho; fields=gross_income, rent, utilities, transit_cost; +9 additional fields</t>
        </is>
      </c>
      <c r="AT79" s="12" t="inlineStr">
        <is>
          <t>https://api.worldbank.org/v2/country/ARG/indicator/VC.IHR.PSRC.P5?format=json&amp;mrv=10 | https://api.worldbank.org/v2/country/ARG/indicator/IT.NET.BBND.P2?format=json&amp;mrv=10</t>
        </is>
      </c>
      <c r="AU79" s="12" t="inlineStr">
        <is>
          <t>Tier 3</t>
        </is>
      </c>
      <c r="AV79" s="12" t="inlineStr">
        <is>
          <t>2023-12-31</t>
        </is>
      </c>
      <c r="AW79" s="12" t="inlineStr">
        <is>
          <t>providers=world_bank; fields=personal_safety_raw, digital_infrastructure_raw</t>
        </is>
      </c>
      <c r="AX79" s="12" t="inlineStr">
        <is>
          <t>https://www.who.int/data/gho/data/indicators/indicator-details/GHO/UHC_INDEX_REPORTED | https://api.worldbank.org/v2/country/ARG/indicator/SE.TER.ENRR?format=json&amp;mrv=10 | https://api.worldbank.org/v2/country/ARG/indicator/SI.POV.GINI?format=json&amp;mrv=10 | +1 more</t>
        </is>
      </c>
      <c r="AY79" s="12" t="inlineStr">
        <is>
          <t>Tier 3</t>
        </is>
      </c>
      <c r="AZ79" s="12" t="inlineStr">
        <is>
          <t>2024-12-31</t>
        </is>
      </c>
      <c r="BA79" s="12" t="inlineStr">
        <is>
          <t>providers=who_gho, world_bank; fields=healthcare_quality_raw, education_quality_raw, equal_opportunity_raw, gini_coefficient</t>
        </is>
      </c>
      <c r="BB79" s="12" t="inlineStr">
        <is>
          <t>https://api.worldbank.org/v2/country/ARG/indicator/SM.POP.NETM?format=json&amp;mrv=10 | https://api.worldbank.org/v2/country/ARG/indicator/SG.GEN.PARL.ZS?format=json&amp;mrv=10 | https://api.worldbank.org/v2/country/ARG/indicator/ST.INT.ARVL?format=json&amp;mrv=10 | +1 more</t>
        </is>
      </c>
      <c r="BC79" s="12" t="inlineStr">
        <is>
          <t>Tier 3</t>
        </is>
      </c>
      <c r="BD79" s="12" t="inlineStr">
        <is>
          <t>2025-12-31</t>
        </is>
      </c>
      <c r="BE79" s="12" t="inlineStr">
        <is>
          <t>providers=world_bank; fields=hospitality_belonging_raw, tolerance_pluralism_raw, cultural_public_life_raw, birth_rate_optimism_raw</t>
        </is>
      </c>
      <c r="BF79" s="12" t="inlineStr">
        <is>
          <t>https://api.worldbank.org/v2/country/ARG/indicator/IC.BUS.NDNS.ZS?format=json&amp;mrv=10 | https://api.worldbank.org/v2/country/ARG/indicator/GB.XPD.RSDV.GD.ZS?format=json&amp;mrv=10 | https://api.worldbank.org/v2/country/ARG/indicator/BX.KLT.DINV.WD.GD.ZS?format=json&amp;mrv=10 | +3 more</t>
        </is>
      </c>
      <c r="BG79" s="12" t="inlineStr">
        <is>
          <t>Tier 3</t>
        </is>
      </c>
      <c r="BH79" s="12" t="inlineStr">
        <is>
          <t>2024-12-31</t>
        </is>
      </c>
      <c r="BI79" s="12" t="inlineStr">
        <is>
          <t>providers=world_bank; fields=entrepreneurial_dynamism_raw, innovation_research_intensity_raw, investment_signal_raw, administrative_investment_friction_raw; +2 additional fields</t>
        </is>
      </c>
      <c r="BJ79" s="9" t="n">
        <v>1.56</v>
      </c>
    </row>
    <row r="80">
      <c r="A80" s="9" t="inlineStr">
        <is>
          <t>cl-valparaiso</t>
        </is>
      </c>
      <c r="B80" s="9" t="inlineStr">
        <is>
          <t>Valparaiso</t>
        </is>
      </c>
      <c r="C80" s="9" t="inlineStr">
        <is>
          <t>Chile</t>
        </is>
      </c>
      <c r="D80" s="9" t="inlineStr">
        <is>
          <t>Latin America</t>
        </is>
      </c>
      <c r="E80" s="9" t="inlineStr">
        <is>
          <t>secondary</t>
        </is>
      </c>
      <c r="F80" s="9" t="inlineStr">
        <is>
          <t>provisional</t>
        </is>
      </c>
      <c r="G80" s="10" t="n">
        <v>2860</v>
      </c>
      <c r="H80" s="10" t="n">
        <v>572</v>
      </c>
      <c r="I80" s="10" t="n">
        <v>137.28</v>
      </c>
      <c r="J80" s="10" t="n">
        <v>91.52</v>
      </c>
      <c r="K80" s="10" t="n">
        <v>34.32</v>
      </c>
      <c r="L80" s="10" t="n">
        <v>503.36</v>
      </c>
      <c r="M80" s="11" t="inlineStr"/>
      <c r="N80" s="10" t="n">
        <v>20</v>
      </c>
      <c r="O80" s="10" t="n">
        <v>74.9355</v>
      </c>
      <c r="P80" s="11">
        <f>IF($O80&lt;&gt;"",$O80,$AO80)</f>
        <v/>
      </c>
      <c r="Q80" s="10" t="n">
        <v>38.94</v>
      </c>
      <c r="R80" s="10" t="n">
        <v>7.69</v>
      </c>
      <c r="S80" s="10" t="n">
        <v>6.35</v>
      </c>
      <c r="T80" s="10" t="inlineStr"/>
      <c r="U80" s="10" t="inlineStr"/>
      <c r="V80" s="10" t="n">
        <v>97.81999999999999</v>
      </c>
      <c r="W80" s="10" t="n">
        <v>23</v>
      </c>
      <c r="X80" s="9" t="inlineStr"/>
      <c r="Y80" s="10" t="n">
        <v>84</v>
      </c>
      <c r="Z80" s="10" t="n">
        <v>104.73</v>
      </c>
      <c r="AA80" s="10" t="n">
        <v>43</v>
      </c>
      <c r="AB80" s="10" t="n">
        <v>52.62</v>
      </c>
      <c r="AC80" s="10" t="n">
        <v>35.48</v>
      </c>
      <c r="AD80" s="10" t="n">
        <v>274.78</v>
      </c>
      <c r="AE80" s="10" t="n">
        <v>10.82</v>
      </c>
      <c r="AF80" s="10" t="n">
        <v>0.36</v>
      </c>
      <c r="AG80" s="10" t="n">
        <v>3.79</v>
      </c>
      <c r="AH80" s="10" t="n">
        <v>1.57</v>
      </c>
      <c r="AI80" s="10" t="inlineStr"/>
      <c r="AJ80" s="11">
        <f>IFERROR(INDEX(Country_Context!$B$2:$B$87,MATCH($C80,Country_Context!$A$2:$A$87,0)),"")</f>
        <v/>
      </c>
      <c r="AK80" s="11">
        <f>IFERROR(INDEX(Country_Context!$C$2:$C$87,MATCH($C80,Country_Context!$A$2:$A$87,0)),"")</f>
        <v/>
      </c>
      <c r="AL80" s="11">
        <f>IFERROR(INDEX(Country_Context!$D$2:$D$87,MATCH($C80,Country_Context!$A$2:$A$87,0)),"")</f>
        <v/>
      </c>
      <c r="AM80" s="11">
        <f>IFERROR(INDEX(Country_Context!$E$2:$E$87,MATCH($C80,Country_Context!$A$2:$A$87,0)),"")</f>
        <v/>
      </c>
      <c r="AN80" s="11">
        <f>IFERROR(INDEX(Country_Context!$F$2:$F$87,MATCH($C80,Country_Context!$A$2:$A$87,0)),"")</f>
        <v/>
      </c>
      <c r="AO80" s="11">
        <f>IFERROR(INDEX(Country_Context!$G$2:$G$87,MATCH($C80,Country_Context!$A$2:$A$87,0)),"")</f>
        <v/>
      </c>
      <c r="AP80" s="12" t="inlineStr">
        <is>
          <t>https://api.worldbank.org/v2/country/CHL/indicator/NY.GNP.PCAP.PP.CD?format=json&amp;mrv=10 | https://data.worldbank.org/indicator/NY.GNP.PCAP.PP.CD | https://ilostat.ilo.org/data/indicator/?id=HOW_TEMP_SEX_ECO_NB_A&amp;ref_area=CHL | +4 more</t>
        </is>
      </c>
      <c r="AQ80" s="12" t="inlineStr">
        <is>
          <t>Tier 3, Tier 4</t>
        </is>
      </c>
      <c r="AR80" s="12" t="inlineStr">
        <is>
          <t>2025-12-31</t>
        </is>
      </c>
      <c r="AS80" s="12" t="inlineStr">
        <is>
          <t>providers=world_bank_col_estimate, derived, ilo_ilostat, who_gho; fields=gross_income, rent, utilities, transit_cost; +9 additional fields</t>
        </is>
      </c>
      <c r="AT80" s="12" t="inlineStr">
        <is>
          <t>https://api.worldbank.org/v2/country/CHL/indicator/VC.IHR.PSRC.P5?format=json&amp;mrv=10 | https://api.worldbank.org/v2/country/CHL/indicator/SH.H2O.SMDW.ZS?format=json&amp;mrv=10 | https://api.worldbank.org/v2/country/CHL/indicator/IT.NET.BBND.P2?format=json&amp;mrv=10</t>
        </is>
      </c>
      <c r="AU80" s="12" t="inlineStr">
        <is>
          <t>Tier 3</t>
        </is>
      </c>
      <c r="AV80" s="12" t="inlineStr">
        <is>
          <t>2024-12-31</t>
        </is>
      </c>
      <c r="AW80" s="12" t="inlineStr">
        <is>
          <t>providers=world_bank; fields=personal_safety_raw, water_sanitation_utility_raw, digital_infrastructure_raw</t>
        </is>
      </c>
      <c r="AX80" s="12" t="inlineStr">
        <is>
          <t>https://www.who.int/data/gho/data/indicators/indicator-details/GHO/UHC_INDEX_REPORTED | https://api.worldbank.org/v2/country/CHL/indicator/SE.TER.ENRR?format=json&amp;mrv=10 | https://api.worldbank.org/v2/country/CHL/indicator/SI.POV.GINI?format=json&amp;mrv=10 | +1 more</t>
        </is>
      </c>
      <c r="AY80" s="12" t="inlineStr">
        <is>
          <t>Tier 3</t>
        </is>
      </c>
      <c r="AZ80" s="12" t="inlineStr">
        <is>
          <t>2023-12-31</t>
        </is>
      </c>
      <c r="BA80" s="12" t="inlineStr">
        <is>
          <t>providers=who_gho, world_bank; fields=healthcare_quality_raw, education_quality_raw, equal_opportunity_raw, gini_coefficient</t>
        </is>
      </c>
      <c r="BB80" s="12" t="inlineStr">
        <is>
          <t>https://api.worldbank.org/v2/country/CHL/indicator/SM.POP.NETM?format=json&amp;mrv=10 | https://api.worldbank.org/v2/country/CHL/indicator/SG.GEN.PARL.ZS?format=json&amp;mrv=10 | https://api.worldbank.org/v2/country/CHL/indicator/ST.INT.ARVL?format=json&amp;mrv=10 | +1 more</t>
        </is>
      </c>
      <c r="BC80" s="12" t="inlineStr">
        <is>
          <t>Tier 3</t>
        </is>
      </c>
      <c r="BD80" s="12" t="inlineStr">
        <is>
          <t>2025-12-31</t>
        </is>
      </c>
      <c r="BE80" s="12" t="inlineStr">
        <is>
          <t>providers=world_bank; fields=hospitality_belonging_raw, tolerance_pluralism_raw, cultural_public_life_raw, birth_rate_optimism_raw</t>
        </is>
      </c>
      <c r="BF80" s="12" t="inlineStr">
        <is>
          <t>https://api.worldbank.org/v2/country/CHL/indicator/IC.BUS.NDNS.ZS?format=json&amp;mrv=10 | https://api.worldbank.org/v2/country/CHL/indicator/GB.XPD.RSDV.GD.ZS?format=json&amp;mrv=10 | https://api.worldbank.org/v2/country/CHL/indicator/BX.KLT.DINV.WD.GD.ZS?format=json&amp;mrv=10 | +3 more</t>
        </is>
      </c>
      <c r="BG80" s="12" t="inlineStr">
        <is>
          <t>Tier 3</t>
        </is>
      </c>
      <c r="BH80" s="12" t="inlineStr">
        <is>
          <t>2024-12-31</t>
        </is>
      </c>
      <c r="BI80" s="12" t="inlineStr">
        <is>
          <t>providers=world_bank; fields=entrepreneurial_dynamism_raw, innovation_research_intensity_raw, investment_signal_raw, administrative_investment_friction_raw; +2 additional fields</t>
        </is>
      </c>
      <c r="BJ80" s="9" t="n">
        <v>1.44</v>
      </c>
    </row>
    <row r="81">
      <c r="A81" s="9" t="inlineStr">
        <is>
          <t>ae-dubai</t>
        </is>
      </c>
      <c r="B81" s="9" t="inlineStr">
        <is>
          <t>Dubai</t>
        </is>
      </c>
      <c r="C81" s="9" t="inlineStr">
        <is>
          <t>United Arab Emirates</t>
        </is>
      </c>
      <c r="D81" s="9" t="inlineStr">
        <is>
          <t>Middle East</t>
        </is>
      </c>
      <c r="E81" s="9" t="inlineStr">
        <is>
          <t>primary</t>
        </is>
      </c>
      <c r="F81" s="9" t="inlineStr">
        <is>
          <t>locked</t>
        </is>
      </c>
      <c r="G81" s="10" t="n">
        <v>7473.58</v>
      </c>
      <c r="H81" s="10" t="n">
        <v>2335.49</v>
      </c>
      <c r="I81" s="10" t="n">
        <v>467.1</v>
      </c>
      <c r="J81" s="10" t="n">
        <v>373.68</v>
      </c>
      <c r="K81" s="10" t="n">
        <v>140.13</v>
      </c>
      <c r="L81" s="10" t="n">
        <v>1681.56</v>
      </c>
      <c r="M81" s="11" t="inlineStr"/>
      <c r="N81" s="10" t="n">
        <v>31.2499</v>
      </c>
      <c r="O81" s="10" t="n">
        <v>67.9658</v>
      </c>
      <c r="P81" s="11">
        <f>IF($O81&lt;&gt;"",$O81,$AO81)</f>
        <v/>
      </c>
      <c r="Q81" s="10" t="n">
        <v>50.82</v>
      </c>
      <c r="R81" s="10" t="n">
        <v>1.71</v>
      </c>
      <c r="S81" s="10" t="n">
        <v>0.6899999999999999</v>
      </c>
      <c r="T81" s="10" t="inlineStr"/>
      <c r="U81" s="10" t="inlineStr"/>
      <c r="V81" s="10" t="n">
        <v>98.64</v>
      </c>
      <c r="W81" s="10" t="n">
        <v>37.1</v>
      </c>
      <c r="X81" s="9" t="n">
        <v>35</v>
      </c>
      <c r="Y81" s="10" t="n">
        <v>84</v>
      </c>
      <c r="Z81" s="10" t="n">
        <v>63.74</v>
      </c>
      <c r="AA81" s="10" t="n">
        <v>26.4</v>
      </c>
      <c r="AB81" s="10" t="n">
        <v>64.44</v>
      </c>
      <c r="AC81" s="10" t="n">
        <v>50</v>
      </c>
      <c r="AD81" s="10" t="n">
        <v>735.8200000000001</v>
      </c>
      <c r="AE81" s="10" t="n">
        <v>2.46</v>
      </c>
      <c r="AF81" s="10" t="n">
        <v>1.49</v>
      </c>
      <c r="AG81" s="10" t="n">
        <v>8.26</v>
      </c>
      <c r="AH81" s="10" t="n">
        <v>1.46</v>
      </c>
      <c r="AI81" s="10" t="inlineStr"/>
      <c r="AJ81" s="11">
        <f>IFERROR(INDEX(Country_Context!$B$2:$B$87,MATCH($C81,Country_Context!$A$2:$A$87,0)),"")</f>
        <v/>
      </c>
      <c r="AK81" s="11">
        <f>IFERROR(INDEX(Country_Context!$C$2:$C$87,MATCH($C81,Country_Context!$A$2:$A$87,0)),"")</f>
        <v/>
      </c>
      <c r="AL81" s="11">
        <f>IFERROR(INDEX(Country_Context!$D$2:$D$87,MATCH($C81,Country_Context!$A$2:$A$87,0)),"")</f>
        <v/>
      </c>
      <c r="AM81" s="11">
        <f>IFERROR(INDEX(Country_Context!$E$2:$E$87,MATCH($C81,Country_Context!$A$2:$A$87,0)),"")</f>
        <v/>
      </c>
      <c r="AN81" s="11">
        <f>IFERROR(INDEX(Country_Context!$F$2:$F$87,MATCH($C81,Country_Context!$A$2:$A$87,0)),"")</f>
        <v/>
      </c>
      <c r="AO81" s="11">
        <f>IFERROR(INDEX(Country_Context!$G$2:$G$87,MATCH($C81,Country_Context!$A$2:$A$87,0)),"")</f>
        <v/>
      </c>
      <c r="AP81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1" s="12" t="inlineStr">
        <is>
          <t>Tier 3, Tier 4</t>
        </is>
      </c>
      <c r="AR81" s="12" t="inlineStr">
        <is>
          <t>2024-12-31</t>
        </is>
      </c>
      <c r="AS81" s="12" t="inlineStr">
        <is>
          <t>providers=world_bank_col_estimate, derived, ilo_ilostat, who_gho; fields=gross_income, rent, utilities, transit_cost; +9 additional fields</t>
        </is>
      </c>
      <c r="AT81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1" s="12" t="inlineStr">
        <is>
          <t>Tier 3</t>
        </is>
      </c>
      <c r="AV81" s="12" t="inlineStr">
        <is>
          <t>2024-12-31</t>
        </is>
      </c>
      <c r="AW81" s="12" t="inlineStr">
        <is>
          <t>providers=world_bank, wmo_natl_met; fields=personal_safety_raw, water_sanitation_utility_raw, digital_infrastructure_raw, climate_sunlight_livability_raw</t>
        </is>
      </c>
      <c r="AX81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1" s="12" t="inlineStr">
        <is>
          <t>Tier 3</t>
        </is>
      </c>
      <c r="AZ81" s="12" t="inlineStr">
        <is>
          <t>2024-12-31</t>
        </is>
      </c>
      <c r="BA81" s="12" t="inlineStr">
        <is>
          <t>providers=who_gho, world_bank; fields=healthcare_quality_raw, education_quality_raw, equal_opportunity_raw, gini_coefficient</t>
        </is>
      </c>
      <c r="BB81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1" s="12" t="inlineStr">
        <is>
          <t>Tier 3</t>
        </is>
      </c>
      <c r="BD81" s="12" t="inlineStr">
        <is>
          <t>2025-12-31</t>
        </is>
      </c>
      <c r="BE81" s="12" t="inlineStr">
        <is>
          <t>providers=world_bank; fields=hospitality_belonging_raw, tolerance_pluralism_raw, cultural_public_life_raw</t>
        </is>
      </c>
      <c r="BF81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1" s="12" t="inlineStr">
        <is>
          <t>Tier 3</t>
        </is>
      </c>
      <c r="BH81" s="12" t="inlineStr">
        <is>
          <t>2024-12-31</t>
        </is>
      </c>
      <c r="BI81" s="12" t="inlineStr">
        <is>
          <t>providers=world_bank; fields=entrepreneurial_dynamism_raw, innovation_research_intensity_raw, investment_signal_raw, administrative_investment_friction_raw; +2 additional fields</t>
        </is>
      </c>
      <c r="BJ81" s="9" t="inlineStr"/>
    </row>
    <row r="82">
      <c r="A82" s="9" t="inlineStr">
        <is>
          <t>ae-abu-dhabi</t>
        </is>
      </c>
      <c r="B82" s="9" t="inlineStr">
        <is>
          <t>Abu Dhabi</t>
        </is>
      </c>
      <c r="C82" s="9" t="inlineStr">
        <is>
          <t>United Arab Emirates</t>
        </is>
      </c>
      <c r="D82" s="9" t="inlineStr">
        <is>
          <t>Middle East</t>
        </is>
      </c>
      <c r="E82" s="9" t="inlineStr">
        <is>
          <t>primary</t>
        </is>
      </c>
      <c r="F82" s="9" t="inlineStr">
        <is>
          <t>locked</t>
        </is>
      </c>
      <c r="G82" s="10" t="n">
        <v>7813.29</v>
      </c>
      <c r="H82" s="10" t="n">
        <v>2343.99</v>
      </c>
      <c r="I82" s="10" t="n">
        <v>468.8</v>
      </c>
      <c r="J82" s="10" t="n">
        <v>375.04</v>
      </c>
      <c r="K82" s="10" t="n">
        <v>140.64</v>
      </c>
      <c r="L82" s="10" t="n">
        <v>1687.67</v>
      </c>
      <c r="M82" s="11" t="inlineStr"/>
      <c r="N82" s="10" t="n">
        <v>30</v>
      </c>
      <c r="O82" s="10" t="n">
        <v>67.9658</v>
      </c>
      <c r="P82" s="11">
        <f>IF($O82&lt;&gt;"",$O82,$AO82)</f>
        <v/>
      </c>
      <c r="Q82" s="10" t="n">
        <v>50.82</v>
      </c>
      <c r="R82" s="10" t="n">
        <v>1.71</v>
      </c>
      <c r="S82" s="10" t="n">
        <v>0.6899999999999999</v>
      </c>
      <c r="T82" s="10" t="inlineStr"/>
      <c r="U82" s="10" t="inlineStr"/>
      <c r="V82" s="10" t="n">
        <v>98.64</v>
      </c>
      <c r="W82" s="10" t="n">
        <v>37.1</v>
      </c>
      <c r="X82" s="9" t="n">
        <v>33</v>
      </c>
      <c r="Y82" s="10" t="n">
        <v>84</v>
      </c>
      <c r="Z82" s="10" t="n">
        <v>63.74</v>
      </c>
      <c r="AA82" s="10" t="n">
        <v>26.4</v>
      </c>
      <c r="AB82" s="10" t="n">
        <v>64.44</v>
      </c>
      <c r="AC82" s="10" t="n">
        <v>50</v>
      </c>
      <c r="AD82" s="10" t="n">
        <v>735.8200000000001</v>
      </c>
      <c r="AE82" s="10" t="n">
        <v>2.46</v>
      </c>
      <c r="AF82" s="10" t="n">
        <v>1.49</v>
      </c>
      <c r="AG82" s="10" t="n">
        <v>8.26</v>
      </c>
      <c r="AH82" s="10" t="n">
        <v>1.46</v>
      </c>
      <c r="AI82" s="10" t="inlineStr"/>
      <c r="AJ82" s="11">
        <f>IFERROR(INDEX(Country_Context!$B$2:$B$87,MATCH($C82,Country_Context!$A$2:$A$87,0)),"")</f>
        <v/>
      </c>
      <c r="AK82" s="11">
        <f>IFERROR(INDEX(Country_Context!$C$2:$C$87,MATCH($C82,Country_Context!$A$2:$A$87,0)),"")</f>
        <v/>
      </c>
      <c r="AL82" s="11">
        <f>IFERROR(INDEX(Country_Context!$D$2:$D$87,MATCH($C82,Country_Context!$A$2:$A$87,0)),"")</f>
        <v/>
      </c>
      <c r="AM82" s="11">
        <f>IFERROR(INDEX(Country_Context!$E$2:$E$87,MATCH($C82,Country_Context!$A$2:$A$87,0)),"")</f>
        <v/>
      </c>
      <c r="AN82" s="11">
        <f>IFERROR(INDEX(Country_Context!$F$2:$F$87,MATCH($C82,Country_Context!$A$2:$A$87,0)),"")</f>
        <v/>
      </c>
      <c r="AO82" s="11">
        <f>IFERROR(INDEX(Country_Context!$G$2:$G$87,MATCH($C82,Country_Context!$A$2:$A$87,0)),"")</f>
        <v/>
      </c>
      <c r="AP82" s="12" t="inlineStr">
        <is>
          <t>https://api.worldbank.org/v2/country/ARE/indicator/NY.GNP.PCAP.PP.CD?format=json&amp;mrv=10 | https://data.worldbank.org/indicator/NY.GNP.PCAP.PP.CD | https://ilostat.ilo.org/data/indicator/?id=HOW_TEMP_SEX_ECO_NB_A&amp;ref_area=ARE | +4 more</t>
        </is>
      </c>
      <c r="AQ82" s="12" t="inlineStr">
        <is>
          <t>Tier 3, Tier 4</t>
        </is>
      </c>
      <c r="AR82" s="12" t="inlineStr">
        <is>
          <t>2024-12-31</t>
        </is>
      </c>
      <c r="AS82" s="12" t="inlineStr">
        <is>
          <t>providers=world_bank_col_estimate, derived, ilo_ilostat, who_gho; fields=gross_income, rent, utilities, transit_cost; +9 additional fields</t>
        </is>
      </c>
      <c r="AT82" s="12" t="inlineStr">
        <is>
          <t>https://api.worldbank.org/v2/country/ARE/indicator/VC.IHR.PSRC.P5?format=json&amp;mrv=10 | https://api.worldbank.org/v2/country/ARE/indicator/SH.H2O.SMDW.ZS?format=json&amp;mrv=10 | https://api.worldbank.org/v2/country/ARE/indicator/IT.NET.BBND.P2?format=json&amp;mrv=10 | +1 more</t>
        </is>
      </c>
      <c r="AU82" s="12" t="inlineStr">
        <is>
          <t>Tier 3</t>
        </is>
      </c>
      <c r="AV82" s="12" t="inlineStr">
        <is>
          <t>2024-12-31</t>
        </is>
      </c>
      <c r="AW82" s="12" t="inlineStr">
        <is>
          <t>providers=world_bank, wmo_natl_met; fields=personal_safety_raw, water_sanitation_utility_raw, digital_infrastructure_raw, climate_sunlight_livability_raw</t>
        </is>
      </c>
      <c r="AX82" s="12" t="inlineStr">
        <is>
          <t>https://www.who.int/data/gho/data/indicators/indicator-details/GHO/UHC_INDEX_REPORTED | https://api.worldbank.org/v2/country/ARE/indicator/SE.TER.ENRR?format=json&amp;mrv=10 | https://api.worldbank.org/v2/country/ARE/indicator/SI.POV.GINI?format=json&amp;mrv=10 | +1 more</t>
        </is>
      </c>
      <c r="AY82" s="12" t="inlineStr">
        <is>
          <t>Tier 3</t>
        </is>
      </c>
      <c r="AZ82" s="12" t="inlineStr">
        <is>
          <t>2024-12-31</t>
        </is>
      </c>
      <c r="BA82" s="12" t="inlineStr">
        <is>
          <t>providers=who_gho, world_bank; fields=healthcare_quality_raw, education_quality_raw, equal_opportunity_raw, gini_coefficient</t>
        </is>
      </c>
      <c r="BB82" s="12" t="inlineStr">
        <is>
          <t>https://api.worldbank.org/v2/country/ARE/indicator/SM.POP.NETM?format=json&amp;mrv=10 | https://api.worldbank.org/v2/country/ARE/indicator/SG.GEN.PARL.ZS?format=json&amp;mrv=10 | https://api.worldbank.org/v2/country/ARE/indicator/ST.INT.ARVL?format=json&amp;mrv=10</t>
        </is>
      </c>
      <c r="BC82" s="12" t="inlineStr">
        <is>
          <t>Tier 3</t>
        </is>
      </c>
      <c r="BD82" s="12" t="inlineStr">
        <is>
          <t>2025-12-31</t>
        </is>
      </c>
      <c r="BE82" s="12" t="inlineStr">
        <is>
          <t>providers=world_bank; fields=hospitality_belonging_raw, tolerance_pluralism_raw, cultural_public_life_raw</t>
        </is>
      </c>
      <c r="BF82" s="12" t="inlineStr">
        <is>
          <t>https://api.worldbank.org/v2/country/ARE/indicator/IC.BUS.NDNS.ZS?format=json&amp;mrv=10 | https://api.worldbank.org/v2/country/ARE/indicator/GB.XPD.RSDV.GD.ZS?format=json&amp;mrv=10 | https://api.worldbank.org/v2/country/ARE/indicator/BX.KLT.DINV.WD.GD.ZS?format=json&amp;mrv=10 | +3 more</t>
        </is>
      </c>
      <c r="BG82" s="12" t="inlineStr">
        <is>
          <t>Tier 3</t>
        </is>
      </c>
      <c r="BH82" s="12" t="inlineStr">
        <is>
          <t>2024-12-31</t>
        </is>
      </c>
      <c r="BI82" s="12" t="inlineStr">
        <is>
          <t>providers=world_bank; fields=entrepreneurial_dynamism_raw, innovation_research_intensity_raw, investment_signal_raw, administrative_investment_friction_raw; +2 additional fields</t>
        </is>
      </c>
      <c r="BJ82" s="9" t="inlineStr"/>
    </row>
    <row r="83">
      <c r="A83" s="9" t="inlineStr">
        <is>
          <t>qa-doha</t>
        </is>
      </c>
      <c r="B83" s="9" t="inlineStr">
        <is>
          <t>Doha</t>
        </is>
      </c>
      <c r="C83" s="9" t="inlineStr">
        <is>
          <t>Qatar</t>
        </is>
      </c>
      <c r="D83" s="9" t="inlineStr">
        <is>
          <t>Middle East</t>
        </is>
      </c>
      <c r="E83" s="9" t="inlineStr">
        <is>
          <t>primary</t>
        </is>
      </c>
      <c r="F83" s="9" t="inlineStr">
        <is>
          <t>locked</t>
        </is>
      </c>
      <c r="G83" s="10" t="n">
        <v>10158.33</v>
      </c>
      <c r="H83" s="10" t="n">
        <v>3047.5</v>
      </c>
      <c r="I83" s="10" t="n">
        <v>609.5</v>
      </c>
      <c r="J83" s="10" t="n">
        <v>487.6</v>
      </c>
      <c r="K83" s="10" t="n">
        <v>182.85</v>
      </c>
      <c r="L83" s="10" t="n">
        <v>2194.2</v>
      </c>
      <c r="M83" s="11" t="inlineStr"/>
      <c r="N83" s="10" t="n">
        <v>30</v>
      </c>
      <c r="O83" s="10" t="n">
        <v>118.8652</v>
      </c>
      <c r="P83" s="11">
        <f>IF($O83&lt;&gt;"",$O83,$AO83)</f>
        <v/>
      </c>
      <c r="Q83" s="10" t="n">
        <v>48</v>
      </c>
      <c r="R83" s="10" t="n">
        <v>4.7</v>
      </c>
      <c r="S83" s="10" t="n">
        <v>0.07000000000000001</v>
      </c>
      <c r="T83" s="10" t="inlineStr"/>
      <c r="U83" s="10" t="inlineStr"/>
      <c r="V83" s="10" t="n">
        <v>95.34999999999999</v>
      </c>
      <c r="W83" s="10" t="n">
        <v>11.64</v>
      </c>
      <c r="X83" s="9" t="n">
        <v>32</v>
      </c>
      <c r="Y83" s="10" t="n">
        <v>84</v>
      </c>
      <c r="Z83" s="10" t="n">
        <v>35.09</v>
      </c>
      <c r="AA83" s="10" t="n">
        <v>35.1</v>
      </c>
      <c r="AB83" s="10" t="n">
        <v>62.7</v>
      </c>
      <c r="AC83" s="10" t="n">
        <v>4.44</v>
      </c>
      <c r="AD83" s="10" t="n">
        <v>203.65</v>
      </c>
      <c r="AE83" s="10" t="n">
        <v>6.31</v>
      </c>
      <c r="AF83" s="10" t="n">
        <v>0.68</v>
      </c>
      <c r="AG83" s="10" t="n">
        <v>0.21</v>
      </c>
      <c r="AH83" s="10" t="n">
        <v>1.52</v>
      </c>
      <c r="AI83" s="10" t="inlineStr"/>
      <c r="AJ83" s="11">
        <f>IFERROR(INDEX(Country_Context!$B$2:$B$87,MATCH($C83,Country_Context!$A$2:$A$87,0)),"")</f>
        <v/>
      </c>
      <c r="AK83" s="11">
        <f>IFERROR(INDEX(Country_Context!$C$2:$C$87,MATCH($C83,Country_Context!$A$2:$A$87,0)),"")</f>
        <v/>
      </c>
      <c r="AL83" s="11">
        <f>IFERROR(INDEX(Country_Context!$D$2:$D$87,MATCH($C83,Country_Context!$A$2:$A$87,0)),"")</f>
        <v/>
      </c>
      <c r="AM83" s="11">
        <f>IFERROR(INDEX(Country_Context!$E$2:$E$87,MATCH($C83,Country_Context!$A$2:$A$87,0)),"")</f>
        <v/>
      </c>
      <c r="AN83" s="11">
        <f>IFERROR(INDEX(Country_Context!$F$2:$F$87,MATCH($C83,Country_Context!$A$2:$A$87,0)),"")</f>
        <v/>
      </c>
      <c r="AO83" s="11">
        <f>IFERROR(INDEX(Country_Context!$G$2:$G$87,MATCH($C83,Country_Context!$A$2:$A$87,0)),"")</f>
        <v/>
      </c>
      <c r="AP83" s="12" t="inlineStr">
        <is>
          <t>https://api.worldbank.org/v2/country/QAT/indicator/NY.GNP.PCAP.PP.CD?format=json&amp;mrv=10 | https://data.worldbank.org/indicator/NY.GNP.PCAP.PP.CD | https://ilostat.ilo.org/data/indicator/?id=HOW_TEMP_SEX_ECO_NB_A&amp;ref_area=QAT | +3 more</t>
        </is>
      </c>
      <c r="AQ83" s="12" t="inlineStr">
        <is>
          <t>Tier 3, Tier 4</t>
        </is>
      </c>
      <c r="AR83" s="12" t="inlineStr">
        <is>
          <t>2024-12-31</t>
        </is>
      </c>
      <c r="AS83" s="12" t="inlineStr">
        <is>
          <t>providers=world_bank_col_estimate, derived, ilo_ilostat, who_gho; fields=gross_income, rent, utilities, transit_cost; +8 additional fields</t>
        </is>
      </c>
      <c r="AT83" s="12" t="inlineStr">
        <is>
          <t>https://api.worldbank.org/v2/country/QAT/indicator/VC.IHR.PSRC.P5?format=json&amp;mrv=10 | https://api.worldbank.org/v2/country/QAT/indicator/SH.H2O.SMDW.ZS?format=json&amp;mrv=10 | https://api.worldbank.org/v2/country/QAT/indicator/IT.NET.BBND.P2?format=json&amp;mrv=10 | +1 more</t>
        </is>
      </c>
      <c r="AU83" s="12" t="inlineStr">
        <is>
          <t>Tier 3</t>
        </is>
      </c>
      <c r="AV83" s="12" t="inlineStr">
        <is>
          <t>2024-12-31</t>
        </is>
      </c>
      <c r="AW83" s="12" t="inlineStr">
        <is>
          <t>providers=world_bank, wmo_natl_met; fields=personal_safety_raw, water_sanitation_utility_raw, digital_infrastructure_raw, climate_sunlight_livability_raw</t>
        </is>
      </c>
      <c r="AX83" s="12" t="inlineStr">
        <is>
          <t>https://www.who.int/data/gho/data/indicators/indicator-details/GHO/UHC_INDEX_REPORTED | https://api.worldbank.org/v2/country/QAT/indicator/SE.TER.ENRR?format=json&amp;mrv=10 | https://api.worldbank.org/v2/country/QAT/indicator/SI.POV.GINI?format=json&amp;mrv=10 | +1 more</t>
        </is>
      </c>
      <c r="AY83" s="12" t="inlineStr">
        <is>
          <t>Tier 3</t>
        </is>
      </c>
      <c r="AZ83" s="12" t="inlineStr">
        <is>
          <t>2023-12-31</t>
        </is>
      </c>
      <c r="BA83" s="12" t="inlineStr">
        <is>
          <t>providers=who_gho, world_bank; fields=healthcare_quality_raw, education_quality_raw, equal_opportunity_raw, gini_coefficient</t>
        </is>
      </c>
      <c r="BB83" s="12" t="inlineStr">
        <is>
          <t>https://api.worldbank.org/v2/country/QAT/indicator/SM.POP.NETM?format=json&amp;mrv=10 | https://api.worldbank.org/v2/country/QAT/indicator/SG.GEN.PARL.ZS?format=json&amp;mrv=10 | https://api.worldbank.org/v2/country/QAT/indicator/ST.INT.ARVL?format=json&amp;mrv=10 | +1 more</t>
        </is>
      </c>
      <c r="BC83" s="12" t="inlineStr">
        <is>
          <t>Tier 3</t>
        </is>
      </c>
      <c r="BD83" s="12" t="inlineStr">
        <is>
          <t>2025-12-31</t>
        </is>
      </c>
      <c r="BE83" s="12" t="inlineStr">
        <is>
          <t>providers=world_bank; fields=hospitality_belonging_raw, tolerance_pluralism_raw, cultural_public_life_raw, birth_rate_optimism_raw</t>
        </is>
      </c>
      <c r="BF83" s="12" t="inlineStr">
        <is>
          <t>https://api.worldbank.org/v2/country/QAT/indicator/IC.BUS.NDNS.ZS?format=json&amp;mrv=10 | https://api.worldbank.org/v2/country/QAT/indicator/GB.XPD.RSDV.GD.ZS?format=json&amp;mrv=10 | https://api.worldbank.org/v2/country/QAT/indicator/BX.KLT.DINV.WD.GD.ZS?format=json&amp;mrv=10 | +3 more</t>
        </is>
      </c>
      <c r="BG83" s="12" t="inlineStr">
        <is>
          <t>Tier 3</t>
        </is>
      </c>
      <c r="BH83" s="12" t="inlineStr">
        <is>
          <t>2024-12-31</t>
        </is>
      </c>
      <c r="BI83" s="12" t="inlineStr">
        <is>
          <t>providers=world_bank; fields=entrepreneurial_dynamism_raw, innovation_research_intensity_raw, investment_signal_raw, administrative_investment_friction_raw; +2 additional fields</t>
        </is>
      </c>
      <c r="BJ83" s="9" t="n">
        <v>1.8</v>
      </c>
    </row>
    <row r="84">
      <c r="A84" s="9" t="inlineStr">
        <is>
          <t>sa-riyadh</t>
        </is>
      </c>
      <c r="B84" s="9" t="inlineStr">
        <is>
          <t>Riyadh</t>
        </is>
      </c>
      <c r="C84" s="9" t="inlineStr">
        <is>
          <t>Saudi Arabia</t>
        </is>
      </c>
      <c r="D84" s="9" t="inlineStr">
        <is>
          <t>Middle East</t>
        </is>
      </c>
      <c r="E84" s="9" t="inlineStr">
        <is>
          <t>primary</t>
        </is>
      </c>
      <c r="F84" s="9" t="inlineStr">
        <is>
          <t>provisional</t>
        </is>
      </c>
      <c r="G84" s="10" t="n">
        <v>5977.5</v>
      </c>
      <c r="H84" s="10" t="n">
        <v>1419.66</v>
      </c>
      <c r="I84" s="10" t="n">
        <v>283.93</v>
      </c>
      <c r="J84" s="10" t="n">
        <v>227.14</v>
      </c>
      <c r="K84" s="10" t="n">
        <v>85.18000000000001</v>
      </c>
      <c r="L84" s="10" t="n">
        <v>1022.15</v>
      </c>
      <c r="M84" s="11" t="inlineStr"/>
      <c r="N84" s="10" t="n">
        <v>23.7501</v>
      </c>
      <c r="O84" s="10" t="n">
        <v>50.1376</v>
      </c>
      <c r="P84" s="11">
        <f>IF($O84&lt;&gt;"",$O84,$AO84)</f>
        <v/>
      </c>
      <c r="Q84" s="10" t="inlineStr"/>
      <c r="R84" s="10" t="n">
        <v>0.95</v>
      </c>
      <c r="S84" s="10" t="n">
        <v>0.9399999999999999</v>
      </c>
      <c r="T84" s="10" t="inlineStr"/>
      <c r="U84" s="10" t="inlineStr"/>
      <c r="V84" s="10" t="inlineStr"/>
      <c r="W84" s="10" t="n">
        <v>43.57</v>
      </c>
      <c r="X84" s="9" t="n">
        <v>30</v>
      </c>
      <c r="Y84" s="10" t="n">
        <v>83</v>
      </c>
      <c r="Z84" s="10" t="n">
        <v>83.88</v>
      </c>
      <c r="AA84" s="10" t="inlineStr"/>
      <c r="AB84" s="10" t="n">
        <v>53.39</v>
      </c>
      <c r="AC84" s="10" t="n">
        <v>19.87</v>
      </c>
      <c r="AD84" s="10" t="n">
        <v>574.84</v>
      </c>
      <c r="AE84" s="10" t="n">
        <v>0.9</v>
      </c>
      <c r="AF84" s="10" t="n">
        <v>0.5600000000000001</v>
      </c>
      <c r="AG84" s="10" t="n">
        <v>1.72</v>
      </c>
      <c r="AH84" s="10" t="n">
        <v>1.98</v>
      </c>
      <c r="AI84" s="10" t="inlineStr"/>
      <c r="AJ84" s="11">
        <f>IFERROR(INDEX(Country_Context!$B$2:$B$87,MATCH($C84,Country_Context!$A$2:$A$87,0)),"")</f>
        <v/>
      </c>
      <c r="AK84" s="11">
        <f>IFERROR(INDEX(Country_Context!$C$2:$C$87,MATCH($C84,Country_Context!$A$2:$A$87,0)),"")</f>
        <v/>
      </c>
      <c r="AL84" s="11">
        <f>IFERROR(INDEX(Country_Context!$D$2:$D$87,MATCH($C84,Country_Context!$A$2:$A$87,0)),"")</f>
        <v/>
      </c>
      <c r="AM84" s="11">
        <f>IFERROR(INDEX(Country_Context!$E$2:$E$87,MATCH($C84,Country_Context!$A$2:$A$87,0)),"")</f>
        <v/>
      </c>
      <c r="AN84" s="11">
        <f>IFERROR(INDEX(Country_Context!$F$2:$F$87,MATCH($C84,Country_Context!$A$2:$A$87,0)),"")</f>
        <v/>
      </c>
      <c r="AO84" s="11">
        <f>IFERROR(INDEX(Country_Context!$G$2:$G$87,MATCH($C84,Country_Context!$A$2:$A$87,0)),"")</f>
        <v/>
      </c>
      <c r="AP84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4" s="12" t="inlineStr">
        <is>
          <t>Tier 3, Tier 4</t>
        </is>
      </c>
      <c r="AR84" s="12" t="inlineStr">
        <is>
          <t>2024-12-31</t>
        </is>
      </c>
      <c r="AS84" s="12" t="inlineStr">
        <is>
          <t>providers=world_bank_col_estimate, derived, who_gho, world_bank; fields=gross_income, rent, utilities, transit_cost; +8 additional fields</t>
        </is>
      </c>
      <c r="AT84" s="12" t="inlineStr">
        <is>
          <t>https://api.worldbank.org/v2/country/SAU/indicator/VC.IHR.PSRC.P5?format=json&amp;mrv=10 | https://api.worldbank.org/v2/country/SAU/indicator/IT.NET.BBND.P2?format=json&amp;mrv=10 | https://worldweather.wmo.int</t>
        </is>
      </c>
      <c r="AU84" s="12" t="inlineStr">
        <is>
          <t>Tier 3</t>
        </is>
      </c>
      <c r="AV84" s="12" t="inlineStr">
        <is>
          <t>2024-12-31</t>
        </is>
      </c>
      <c r="AW84" s="12" t="inlineStr">
        <is>
          <t>providers=world_bank, wmo_natl_met; fields=personal_safety_raw, digital_infrastructure_raw, climate_sunlight_livability_raw</t>
        </is>
      </c>
      <c r="AX84" s="12" t="inlineStr">
        <is>
          <t>https://www.who.int/data/gho/data/indicators/indicator-details/GHO/UHC_INDEX_REPORTED | https://api.worldbank.org/v2/country/SAU/indicator/SE.TER.ENRR?format=json&amp;mrv=10</t>
        </is>
      </c>
      <c r="AY84" s="12" t="inlineStr">
        <is>
          <t>Tier 3</t>
        </is>
      </c>
      <c r="AZ84" s="12" t="inlineStr">
        <is>
          <t>2024-12-31</t>
        </is>
      </c>
      <c r="BA84" s="12" t="inlineStr">
        <is>
          <t>providers=who_gho, world_bank; fields=healthcare_quality_raw, education_quality_raw</t>
        </is>
      </c>
      <c r="BB84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4" s="12" t="inlineStr">
        <is>
          <t>Tier 3</t>
        </is>
      </c>
      <c r="BD84" s="12" t="inlineStr">
        <is>
          <t>2025-12-31</t>
        </is>
      </c>
      <c r="BE84" s="12" t="inlineStr">
        <is>
          <t>providers=world_bank; fields=hospitality_belonging_raw, tolerance_pluralism_raw, cultural_public_life_raw, birth_rate_optimism_raw</t>
        </is>
      </c>
      <c r="BF84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4" s="12" t="inlineStr">
        <is>
          <t>Tier 3</t>
        </is>
      </c>
      <c r="BH84" s="12" t="inlineStr">
        <is>
          <t>2024-12-31</t>
        </is>
      </c>
      <c r="BI84" s="12" t="inlineStr">
        <is>
          <t>providers=world_bank; fields=entrepreneurial_dynamism_raw, innovation_research_intensity_raw, investment_signal_raw, administrative_investment_friction_raw; +2 additional fields</t>
        </is>
      </c>
      <c r="BJ84" s="9" t="n">
        <v>2.37</v>
      </c>
    </row>
    <row r="85">
      <c r="A85" s="9" t="inlineStr">
        <is>
          <t>il-tel-aviv</t>
        </is>
      </c>
      <c r="B85" s="9" t="inlineStr">
        <is>
          <t>Tel Aviv</t>
        </is>
      </c>
      <c r="C85" s="9" t="inlineStr">
        <is>
          <t>Israel</t>
        </is>
      </c>
      <c r="D85" s="9" t="inlineStr">
        <is>
          <t>Middle East</t>
        </is>
      </c>
      <c r="E85" s="9" t="inlineStr">
        <is>
          <t>primary</t>
        </is>
      </c>
      <c r="F85" s="9" t="inlineStr">
        <is>
          <t>provisional</t>
        </is>
      </c>
      <c r="G85" s="10" t="n">
        <v>5442.38</v>
      </c>
      <c r="H85" s="10" t="n">
        <v>1768.77</v>
      </c>
      <c r="I85" s="10" t="n">
        <v>353.75</v>
      </c>
      <c r="J85" s="10" t="n">
        <v>283</v>
      </c>
      <c r="K85" s="10" t="n">
        <v>106.13</v>
      </c>
      <c r="L85" s="10" t="n">
        <v>1273.52</v>
      </c>
      <c r="M85" s="11" t="inlineStr"/>
      <c r="N85" s="10" t="n">
        <v>32.4999</v>
      </c>
      <c r="O85" s="10" t="n">
        <v>69.7497</v>
      </c>
      <c r="P85" s="11">
        <f>IF($O85&lt;&gt;"",$O85,$AO85)</f>
        <v/>
      </c>
      <c r="Q85" s="10" t="n">
        <v>37.74</v>
      </c>
      <c r="R85" s="10" t="n">
        <v>4.37</v>
      </c>
      <c r="S85" s="10" t="n">
        <v>1.63</v>
      </c>
      <c r="T85" s="10" t="inlineStr"/>
      <c r="U85" s="10" t="inlineStr"/>
      <c r="V85" s="10" t="n">
        <v>99.45999999999999</v>
      </c>
      <c r="W85" s="10" t="n">
        <v>29.44</v>
      </c>
      <c r="X85" s="9" t="n">
        <v>72</v>
      </c>
      <c r="Y85" s="10" t="n">
        <v>85</v>
      </c>
      <c r="Z85" s="10" t="n">
        <v>55.84</v>
      </c>
      <c r="AA85" s="10" t="n">
        <v>37.9</v>
      </c>
      <c r="AB85" s="10" t="n">
        <v>51.15</v>
      </c>
      <c r="AC85" s="10" t="n">
        <v>25</v>
      </c>
      <c r="AD85" s="10" t="n">
        <v>491.76</v>
      </c>
      <c r="AE85" s="10" t="n">
        <v>3.06</v>
      </c>
      <c r="AF85" s="10" t="n">
        <v>6.02</v>
      </c>
      <c r="AG85" s="10" t="n">
        <v>2.73</v>
      </c>
      <c r="AH85" s="10" t="n">
        <v>1.38</v>
      </c>
      <c r="AI85" s="10" t="inlineStr"/>
      <c r="AJ85" s="11">
        <f>IFERROR(INDEX(Country_Context!$B$2:$B$87,MATCH($C85,Country_Context!$A$2:$A$87,0)),"")</f>
        <v/>
      </c>
      <c r="AK85" s="11">
        <f>IFERROR(INDEX(Country_Context!$C$2:$C$87,MATCH($C85,Country_Context!$A$2:$A$87,0)),"")</f>
        <v/>
      </c>
      <c r="AL85" s="11">
        <f>IFERROR(INDEX(Country_Context!$D$2:$D$87,MATCH($C85,Country_Context!$A$2:$A$87,0)),"")</f>
        <v/>
      </c>
      <c r="AM85" s="11">
        <f>IFERROR(INDEX(Country_Context!$E$2:$E$87,MATCH($C85,Country_Context!$A$2:$A$87,0)),"")</f>
        <v/>
      </c>
      <c r="AN85" s="11">
        <f>IFERROR(INDEX(Country_Context!$F$2:$F$87,MATCH($C85,Country_Context!$A$2:$A$87,0)),"")</f>
        <v/>
      </c>
      <c r="AO85" s="11">
        <f>IFERROR(INDEX(Country_Context!$G$2:$G$87,MATCH($C85,Country_Context!$A$2:$A$87,0)),"")</f>
        <v/>
      </c>
      <c r="AP85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85" s="12" t="inlineStr">
        <is>
          <t>Tier 3, Tier 4</t>
        </is>
      </c>
      <c r="AR85" s="12" t="inlineStr">
        <is>
          <t>2024-12-31</t>
        </is>
      </c>
      <c r="AS85" s="12" t="inlineStr">
        <is>
          <t>providers=world_bank_col_estimate, derived, ilo_ilostat, who_gho; fields=gross_income, rent, utilities, transit_cost; +9 additional fields</t>
        </is>
      </c>
      <c r="AT85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85" s="12" t="inlineStr">
        <is>
          <t>Tier 3</t>
        </is>
      </c>
      <c r="AV85" s="12" t="inlineStr">
        <is>
          <t>2024-12-31</t>
        </is>
      </c>
      <c r="AW85" s="12" t="inlineStr">
        <is>
          <t>providers=world_bank, wmo_natl_met; fields=personal_safety_raw, water_sanitation_utility_raw, digital_infrastructure_raw, climate_sunlight_livability_raw</t>
        </is>
      </c>
      <c r="AX85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85" s="12" t="inlineStr">
        <is>
          <t>Tier 3</t>
        </is>
      </c>
      <c r="AZ85" s="12" t="inlineStr">
        <is>
          <t>2023-12-31</t>
        </is>
      </c>
      <c r="BA85" s="12" t="inlineStr">
        <is>
          <t>providers=who_gho, world_bank; fields=healthcare_quality_raw, education_quality_raw, equal_opportunity_raw, gini_coefficient</t>
        </is>
      </c>
      <c r="BB85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85" s="12" t="inlineStr">
        <is>
          <t>Tier 3</t>
        </is>
      </c>
      <c r="BD85" s="12" t="inlineStr">
        <is>
          <t>2025-12-31</t>
        </is>
      </c>
      <c r="BE85" s="12" t="inlineStr">
        <is>
          <t>providers=world_bank; fields=hospitality_belonging_raw, tolerance_pluralism_raw, cultural_public_life_raw, birth_rate_optimism_raw</t>
        </is>
      </c>
      <c r="BF85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85" s="12" t="inlineStr">
        <is>
          <t>Tier 3</t>
        </is>
      </c>
      <c r="BH85" s="12" t="inlineStr">
        <is>
          <t>2024-12-31</t>
        </is>
      </c>
      <c r="BI85" s="12" t="inlineStr">
        <is>
          <t>providers=world_bank; fields=entrepreneurial_dynamism_raw, innovation_research_intensity_raw, investment_signal_raw, administrative_investment_friction_raw; +2 additional fields</t>
        </is>
      </c>
      <c r="BJ85" s="9" t="n">
        <v>2.9</v>
      </c>
    </row>
    <row r="86">
      <c r="A86" s="9" t="inlineStr">
        <is>
          <t>om-muscat</t>
        </is>
      </c>
      <c r="B86" s="9" t="inlineStr">
        <is>
          <t>Muscat</t>
        </is>
      </c>
      <c r="C86" s="9" t="inlineStr">
        <is>
          <t>Oman</t>
        </is>
      </c>
      <c r="D86" s="9" t="inlineStr">
        <is>
          <t>Middle East</t>
        </is>
      </c>
      <c r="E86" s="9" t="inlineStr">
        <is>
          <t>secondary</t>
        </is>
      </c>
      <c r="F86" s="9" t="inlineStr">
        <is>
          <t>locked</t>
        </is>
      </c>
      <c r="G86" s="10" t="n">
        <v>3278.33</v>
      </c>
      <c r="H86" s="10" t="n">
        <v>737.62</v>
      </c>
      <c r="I86" s="10" t="n">
        <v>147.52</v>
      </c>
      <c r="J86" s="10" t="n">
        <v>118.02</v>
      </c>
      <c r="K86" s="10" t="n">
        <v>44.26</v>
      </c>
      <c r="L86" s="10" t="n">
        <v>531.09</v>
      </c>
      <c r="M86" s="11" t="inlineStr"/>
      <c r="N86" s="10" t="n">
        <v>22.4999</v>
      </c>
      <c r="O86" s="10" t="n">
        <v>59.7083</v>
      </c>
      <c r="P86" s="11">
        <f>IF($O86&lt;&gt;"",$O86,$AO86)</f>
        <v/>
      </c>
      <c r="Q86" s="10" t="inlineStr"/>
      <c r="R86" s="10" t="n">
        <v>0.91</v>
      </c>
      <c r="S86" s="10" t="n">
        <v>0.14</v>
      </c>
      <c r="T86" s="10" t="inlineStr"/>
      <c r="U86" s="10" t="inlineStr"/>
      <c r="V86" s="10" t="n">
        <v>91.09999999999999</v>
      </c>
      <c r="W86" s="10" t="n">
        <v>10.88</v>
      </c>
      <c r="X86" s="9" t="inlineStr"/>
      <c r="Y86" s="10" t="n">
        <v>73</v>
      </c>
      <c r="Z86" s="10" t="n">
        <v>43.84</v>
      </c>
      <c r="AA86" s="10" t="inlineStr"/>
      <c r="AB86" s="10" t="n">
        <v>71.53</v>
      </c>
      <c r="AC86" s="10" t="n">
        <v>0</v>
      </c>
      <c r="AD86" s="10" t="n">
        <v>164.54</v>
      </c>
      <c r="AE86" s="10" t="n">
        <v>1.78</v>
      </c>
      <c r="AF86" s="10" t="n">
        <v>0.37</v>
      </c>
      <c r="AG86" s="10" t="n">
        <v>11.64</v>
      </c>
      <c r="AH86" s="10" t="n">
        <v>2.07</v>
      </c>
      <c r="AI86" s="10" t="inlineStr"/>
      <c r="AJ86" s="11">
        <f>IFERROR(INDEX(Country_Context!$B$2:$B$87,MATCH($C86,Country_Context!$A$2:$A$87,0)),"")</f>
        <v/>
      </c>
      <c r="AK86" s="11">
        <f>IFERROR(INDEX(Country_Context!$C$2:$C$87,MATCH($C86,Country_Context!$A$2:$A$87,0)),"")</f>
        <v/>
      </c>
      <c r="AL86" s="11">
        <f>IFERROR(INDEX(Country_Context!$D$2:$D$87,MATCH($C86,Country_Context!$A$2:$A$87,0)),"")</f>
        <v/>
      </c>
      <c r="AM86" s="11">
        <f>IFERROR(INDEX(Country_Context!$E$2:$E$87,MATCH($C86,Country_Context!$A$2:$A$87,0)),"")</f>
        <v/>
      </c>
      <c r="AN86" s="11">
        <f>IFERROR(INDEX(Country_Context!$F$2:$F$87,MATCH($C86,Country_Context!$A$2:$A$87,0)),"")</f>
        <v/>
      </c>
      <c r="AO86" s="11">
        <f>IFERROR(INDEX(Country_Context!$G$2:$G$87,MATCH($C86,Country_Context!$A$2:$A$87,0)),"")</f>
        <v/>
      </c>
      <c r="AP86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86" s="12" t="inlineStr">
        <is>
          <t>Tier 3, Tier 4</t>
        </is>
      </c>
      <c r="AR86" s="12" t="inlineStr">
        <is>
          <t>2024-12-31</t>
        </is>
      </c>
      <c r="AS86" s="12" t="inlineStr">
        <is>
          <t>providers=world_bank_col_estimate, derived, who_gho, world_bank; fields=gross_income, rent, utilities, transit_cost; +7 additional fields</t>
        </is>
      </c>
      <c r="AT86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86" s="12" t="inlineStr">
        <is>
          <t>Tier 3</t>
        </is>
      </c>
      <c r="AV86" s="12" t="inlineStr">
        <is>
          <t>2024-12-31</t>
        </is>
      </c>
      <c r="AW86" s="12" t="inlineStr">
        <is>
          <t>providers=world_bank; fields=personal_safety_raw, water_sanitation_utility_raw, digital_infrastructure_raw</t>
        </is>
      </c>
      <c r="AX86" s="12" t="inlineStr">
        <is>
          <t>https://www.who.int/data/gho/data/indicators/indicator-details/GHO/UHC_INDEX_REPORTED | https://api.worldbank.org/v2/country/OMN/indicator/SE.TER.ENRR?format=json&amp;mrv=10</t>
        </is>
      </c>
      <c r="AY86" s="12" t="inlineStr">
        <is>
          <t>Tier 3</t>
        </is>
      </c>
      <c r="AZ86" s="12" t="inlineStr">
        <is>
          <t>2023-12-31</t>
        </is>
      </c>
      <c r="BA86" s="12" t="inlineStr">
        <is>
          <t>providers=who_gho, world_bank; fields=healthcare_quality_raw, education_quality_raw</t>
        </is>
      </c>
      <c r="BB86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86" s="12" t="inlineStr">
        <is>
          <t>Tier 3</t>
        </is>
      </c>
      <c r="BD86" s="12" t="inlineStr">
        <is>
          <t>2025-12-31</t>
        </is>
      </c>
      <c r="BE86" s="12" t="inlineStr">
        <is>
          <t>providers=world_bank; fields=hospitality_belonging_raw, tolerance_pluralism_raw, cultural_public_life_raw</t>
        </is>
      </c>
      <c r="BF86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86" s="12" t="inlineStr">
        <is>
          <t>Tier 3</t>
        </is>
      </c>
      <c r="BH86" s="12" t="inlineStr">
        <is>
          <t>2024-12-31</t>
        </is>
      </c>
      <c r="BI86" s="12" t="inlineStr">
        <is>
          <t>providers=world_bank; fields=entrepreneurial_dynamism_raw, innovation_research_intensity_raw, investment_signal_raw, administrative_investment_friction_raw; +2 additional fields</t>
        </is>
      </c>
      <c r="BJ86" s="9" t="inlineStr"/>
    </row>
    <row r="87">
      <c r="A87" s="9" t="inlineStr">
        <is>
          <t>bh-manama</t>
        </is>
      </c>
      <c r="B87" s="9" t="inlineStr">
        <is>
          <t>Manama</t>
        </is>
      </c>
      <c r="C87" s="9" t="inlineStr">
        <is>
          <t>Bahrain</t>
        </is>
      </c>
      <c r="D87" s="9" t="inlineStr">
        <is>
          <t>Middle East</t>
        </is>
      </c>
      <c r="E87" s="9" t="inlineStr">
        <is>
          <t>secondary</t>
        </is>
      </c>
      <c r="F87" s="9" t="inlineStr">
        <is>
          <t>locked</t>
        </is>
      </c>
      <c r="G87" s="10" t="n">
        <v>5185.83</v>
      </c>
      <c r="H87" s="10" t="n">
        <v>1166.81</v>
      </c>
      <c r="I87" s="10" t="n">
        <v>233.36</v>
      </c>
      <c r="J87" s="10" t="n">
        <v>186.69</v>
      </c>
      <c r="K87" s="10" t="n">
        <v>70.01000000000001</v>
      </c>
      <c r="L87" s="10" t="n">
        <v>840.1</v>
      </c>
      <c r="M87" s="11" t="inlineStr"/>
      <c r="N87" s="10" t="n">
        <v>22.5</v>
      </c>
      <c r="O87" s="10" t="n">
        <v>70.5501</v>
      </c>
      <c r="P87" s="11">
        <f>IF($O87&lt;&gt;"",$O87,$AO87)</f>
        <v/>
      </c>
      <c r="Q87" s="10" t="inlineStr"/>
      <c r="R87" s="10" t="n">
        <v>4.66</v>
      </c>
      <c r="S87" s="10" t="n">
        <v>0.2</v>
      </c>
      <c r="T87" s="10" t="inlineStr"/>
      <c r="U87" s="10" t="inlineStr"/>
      <c r="V87" s="10" t="n">
        <v>98.90000000000001</v>
      </c>
      <c r="W87" s="10" t="n">
        <v>17.16</v>
      </c>
      <c r="X87" s="9" t="n">
        <v>34</v>
      </c>
      <c r="Y87" s="10" t="n">
        <v>78</v>
      </c>
      <c r="Z87" s="10" t="n">
        <v>58.37</v>
      </c>
      <c r="AA87" s="10" t="inlineStr"/>
      <c r="AB87" s="10" t="n">
        <v>61.41</v>
      </c>
      <c r="AC87" s="10" t="n">
        <v>20</v>
      </c>
      <c r="AD87" s="10" t="n">
        <v>1201.63</v>
      </c>
      <c r="AE87" s="10" t="n">
        <v>6.61</v>
      </c>
      <c r="AF87" s="10" t="n">
        <v>207.09</v>
      </c>
      <c r="AG87" s="10" t="n">
        <v>5.74</v>
      </c>
      <c r="AH87" s="10" t="n">
        <v>1.42</v>
      </c>
      <c r="AI87" s="10" t="inlineStr"/>
      <c r="AJ87" s="11">
        <f>IFERROR(INDEX(Country_Context!$B$2:$B$87,MATCH($C87,Country_Context!$A$2:$A$87,0)),"")</f>
        <v/>
      </c>
      <c r="AK87" s="11">
        <f>IFERROR(INDEX(Country_Context!$C$2:$C$87,MATCH($C87,Country_Context!$A$2:$A$87,0)),"")</f>
        <v/>
      </c>
      <c r="AL87" s="11">
        <f>IFERROR(INDEX(Country_Context!$D$2:$D$87,MATCH($C87,Country_Context!$A$2:$A$87,0)),"")</f>
        <v/>
      </c>
      <c r="AM87" s="11">
        <f>IFERROR(INDEX(Country_Context!$E$2:$E$87,MATCH($C87,Country_Context!$A$2:$A$87,0)),"")</f>
        <v/>
      </c>
      <c r="AN87" s="11">
        <f>IFERROR(INDEX(Country_Context!$F$2:$F$87,MATCH($C87,Country_Context!$A$2:$A$87,0)),"")</f>
        <v/>
      </c>
      <c r="AO87" s="11">
        <f>IFERROR(INDEX(Country_Context!$G$2:$G$87,MATCH($C87,Country_Context!$A$2:$A$87,0)),"")</f>
        <v/>
      </c>
      <c r="AP87" s="12" t="inlineStr">
        <is>
          <t>https://api.worldbank.org/v2/country/BHR/indicator/NY.GNP.PCAP.PP.CD?format=json&amp;mrv=10 | https://data.worldbank.org/indicator/NY.GNP.PCAP.PP.CD | https://www.who.int/data/gho/data/indicators/indicator-details/GHO/SDGSUICIDE | +3 more</t>
        </is>
      </c>
      <c r="AQ87" s="12" t="inlineStr">
        <is>
          <t>Tier 3, Tier 4</t>
        </is>
      </c>
      <c r="AR87" s="12" t="inlineStr">
        <is>
          <t>2024-12-31</t>
        </is>
      </c>
      <c r="AS87" s="12" t="inlineStr">
        <is>
          <t>providers=world_bank_col_estimate, derived, who_gho, world_bank; fields=gross_income, rent, utilities, transit_cost; +8 additional fields</t>
        </is>
      </c>
      <c r="AT87" s="12" t="inlineStr">
        <is>
          <t>https://api.worldbank.org/v2/country/BHR/indicator/VC.IHR.PSRC.P5?format=json&amp;mrv=10 | https://api.worldbank.org/v2/country/BHR/indicator/SH.H2O.SMDW.ZS?format=json&amp;mrv=10 | https://api.worldbank.org/v2/country/BHR/indicator/IT.NET.BBND.P2?format=json&amp;mrv=10 | +1 more</t>
        </is>
      </c>
      <c r="AU87" s="12" t="inlineStr">
        <is>
          <t>Tier 3</t>
        </is>
      </c>
      <c r="AV87" s="12" t="inlineStr">
        <is>
          <t>2024-12-31</t>
        </is>
      </c>
      <c r="AW87" s="12" t="inlineStr">
        <is>
          <t>providers=world_bank, wmo_natl_met; fields=personal_safety_raw, water_sanitation_utility_raw, digital_infrastructure_raw, climate_sunlight_livability_raw</t>
        </is>
      </c>
      <c r="AX87" s="12" t="inlineStr">
        <is>
          <t>https://www.who.int/data/gho/data/indicators/indicator-details/GHO/UHC_INDEX_REPORTED | https://api.worldbank.org/v2/country/BHR/indicator/SE.TER.ENRR?format=json&amp;mrv=10</t>
        </is>
      </c>
      <c r="AY87" s="12" t="inlineStr">
        <is>
          <t>Tier 3</t>
        </is>
      </c>
      <c r="AZ87" s="12" t="inlineStr">
        <is>
          <t>2024-12-31</t>
        </is>
      </c>
      <c r="BA87" s="12" t="inlineStr">
        <is>
          <t>providers=who_gho, world_bank; fields=healthcare_quality_raw, education_quality_raw</t>
        </is>
      </c>
      <c r="BB87" s="12" t="inlineStr">
        <is>
          <t>https://api.worldbank.org/v2/country/BHR/indicator/SM.POP.NETM?format=json&amp;mrv=10 | https://api.worldbank.org/v2/country/BHR/indicator/SG.GEN.PARL.ZS?format=json&amp;mrv=10 | https://api.worldbank.org/v2/country/BHR/indicator/ST.INT.ARVL?format=json&amp;mrv=10 | +1 more</t>
        </is>
      </c>
      <c r="BC87" s="12" t="inlineStr">
        <is>
          <t>Tier 3</t>
        </is>
      </c>
      <c r="BD87" s="12" t="inlineStr">
        <is>
          <t>2025-12-31</t>
        </is>
      </c>
      <c r="BE87" s="12" t="inlineStr">
        <is>
          <t>providers=world_bank; fields=hospitality_belonging_raw, tolerance_pluralism_raw, cultural_public_life_raw, birth_rate_optimism_raw</t>
        </is>
      </c>
      <c r="BF87" s="12" t="inlineStr">
        <is>
          <t>https://api.worldbank.org/v2/country/BHR/indicator/IC.BUS.NDNS.ZS?format=json&amp;mrv=10 | https://api.worldbank.org/v2/country/BHR/indicator/IP.PAT.RESD?format=json&amp;mrv=10 | https://api.worldbank.org/v2/country/BHR/indicator/BX.KLT.DINV.WD.GD.ZS?format=json&amp;mrv=10 | +3 more</t>
        </is>
      </c>
      <c r="BG87" s="12" t="inlineStr">
        <is>
          <t>Tier 3</t>
        </is>
      </c>
      <c r="BH87" s="12" t="inlineStr">
        <is>
          <t>2024-12-31</t>
        </is>
      </c>
      <c r="BI87" s="12" t="inlineStr">
        <is>
          <t>providers=world_bank; fields=entrepreneurial_dynamism_raw, innovation_research_intensity_raw, investment_signal_raw, administrative_investment_friction_raw; +2 additional fields</t>
        </is>
      </c>
      <c r="BJ87" s="9" t="n">
        <v>1.8</v>
      </c>
    </row>
    <row r="88">
      <c r="A88" s="9" t="inlineStr">
        <is>
          <t>sa-jeddah</t>
        </is>
      </c>
      <c r="B88" s="9" t="inlineStr">
        <is>
          <t>Jeddah</t>
        </is>
      </c>
      <c r="C88" s="9" t="inlineStr">
        <is>
          <t>Saudi Arabia</t>
        </is>
      </c>
      <c r="D88" s="9" t="inlineStr">
        <is>
          <t>Middle East</t>
        </is>
      </c>
      <c r="E88" s="9" t="inlineStr">
        <is>
          <t>secondary</t>
        </is>
      </c>
      <c r="F88" s="9" t="inlineStr">
        <is>
          <t>locked</t>
        </is>
      </c>
      <c r="G88" s="10" t="n">
        <v>5977.5</v>
      </c>
      <c r="H88" s="10" t="n">
        <v>1344.94</v>
      </c>
      <c r="I88" s="10" t="n">
        <v>268.99</v>
      </c>
      <c r="J88" s="10" t="n">
        <v>215.19</v>
      </c>
      <c r="K88" s="10" t="n">
        <v>80.7</v>
      </c>
      <c r="L88" s="10" t="n">
        <v>968.36</v>
      </c>
      <c r="M88" s="11" t="inlineStr"/>
      <c r="N88" s="10" t="n">
        <v>22.5</v>
      </c>
      <c r="O88" s="10" t="n">
        <v>50.1376</v>
      </c>
      <c r="P88" s="11">
        <f>IF($O88&lt;&gt;"",$O88,$AO88)</f>
        <v/>
      </c>
      <c r="Q88" s="10" t="inlineStr"/>
      <c r="R88" s="10" t="n">
        <v>0.95</v>
      </c>
      <c r="S88" s="10" t="n">
        <v>0.9399999999999999</v>
      </c>
      <c r="T88" s="10" t="inlineStr"/>
      <c r="U88" s="10" t="inlineStr"/>
      <c r="V88" s="10" t="inlineStr"/>
      <c r="W88" s="10" t="n">
        <v>43.57</v>
      </c>
      <c r="X88" s="9" t="inlineStr"/>
      <c r="Y88" s="10" t="n">
        <v>83</v>
      </c>
      <c r="Z88" s="10" t="n">
        <v>83.88</v>
      </c>
      <c r="AA88" s="10" t="inlineStr"/>
      <c r="AB88" s="10" t="n">
        <v>53.39</v>
      </c>
      <c r="AC88" s="10" t="n">
        <v>19.87</v>
      </c>
      <c r="AD88" s="10" t="n">
        <v>574.84</v>
      </c>
      <c r="AE88" s="10" t="n">
        <v>0.9</v>
      </c>
      <c r="AF88" s="10" t="n">
        <v>0.5600000000000001</v>
      </c>
      <c r="AG88" s="10" t="n">
        <v>1.72</v>
      </c>
      <c r="AH88" s="10" t="n">
        <v>1.98</v>
      </c>
      <c r="AI88" s="10" t="inlineStr"/>
      <c r="AJ88" s="11">
        <f>IFERROR(INDEX(Country_Context!$B$2:$B$87,MATCH($C88,Country_Context!$A$2:$A$87,0)),"")</f>
        <v/>
      </c>
      <c r="AK88" s="11">
        <f>IFERROR(INDEX(Country_Context!$C$2:$C$87,MATCH($C88,Country_Context!$A$2:$A$87,0)),"")</f>
        <v/>
      </c>
      <c r="AL88" s="11">
        <f>IFERROR(INDEX(Country_Context!$D$2:$D$87,MATCH($C88,Country_Context!$A$2:$A$87,0)),"")</f>
        <v/>
      </c>
      <c r="AM88" s="11">
        <f>IFERROR(INDEX(Country_Context!$E$2:$E$87,MATCH($C88,Country_Context!$A$2:$A$87,0)),"")</f>
        <v/>
      </c>
      <c r="AN88" s="11">
        <f>IFERROR(INDEX(Country_Context!$F$2:$F$87,MATCH($C88,Country_Context!$A$2:$A$87,0)),"")</f>
        <v/>
      </c>
      <c r="AO88" s="11">
        <f>IFERROR(INDEX(Country_Context!$G$2:$G$87,MATCH($C88,Country_Context!$A$2:$A$87,0)),"")</f>
        <v/>
      </c>
      <c r="AP88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88" s="12" t="inlineStr">
        <is>
          <t>Tier 3, Tier 4</t>
        </is>
      </c>
      <c r="AR88" s="12" t="inlineStr">
        <is>
          <t>2024-12-31</t>
        </is>
      </c>
      <c r="AS88" s="12" t="inlineStr">
        <is>
          <t>providers=world_bank_col_estimate, derived, who_gho, world_bank; fields=gross_income, rent, utilities, transit_cost; +8 additional fields</t>
        </is>
      </c>
      <c r="AT88" s="12" t="inlineStr">
        <is>
          <t>https://api.worldbank.org/v2/country/SAU/indicator/VC.IHR.PSRC.P5?format=json&amp;mrv=10 | https://api.worldbank.org/v2/country/SAU/indicator/IT.NET.BBND.P2?format=json&amp;mrv=10</t>
        </is>
      </c>
      <c r="AU88" s="12" t="inlineStr">
        <is>
          <t>Tier 3</t>
        </is>
      </c>
      <c r="AV88" s="12" t="inlineStr">
        <is>
          <t>2023-12-31</t>
        </is>
      </c>
      <c r="AW88" s="12" t="inlineStr">
        <is>
          <t>providers=world_bank; fields=personal_safety_raw, digital_infrastructure_raw</t>
        </is>
      </c>
      <c r="AX88" s="12" t="inlineStr">
        <is>
          <t>https://www.who.int/data/gho/data/indicators/indicator-details/GHO/UHC_INDEX_REPORTED | https://api.worldbank.org/v2/country/SAU/indicator/SE.TER.ENRR?format=json&amp;mrv=10</t>
        </is>
      </c>
      <c r="AY88" s="12" t="inlineStr">
        <is>
          <t>Tier 3</t>
        </is>
      </c>
      <c r="AZ88" s="12" t="inlineStr">
        <is>
          <t>2024-12-31</t>
        </is>
      </c>
      <c r="BA88" s="12" t="inlineStr">
        <is>
          <t>providers=who_gho, world_bank; fields=healthcare_quality_raw, education_quality_raw</t>
        </is>
      </c>
      <c r="BB88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88" s="12" t="inlineStr">
        <is>
          <t>Tier 3</t>
        </is>
      </c>
      <c r="BD88" s="12" t="inlineStr">
        <is>
          <t>2025-12-31</t>
        </is>
      </c>
      <c r="BE88" s="12" t="inlineStr">
        <is>
          <t>providers=world_bank; fields=hospitality_belonging_raw, tolerance_pluralism_raw, cultural_public_life_raw, birth_rate_optimism_raw</t>
        </is>
      </c>
      <c r="BF88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88" s="12" t="inlineStr">
        <is>
          <t>Tier 3</t>
        </is>
      </c>
      <c r="BH88" s="12" t="inlineStr">
        <is>
          <t>2024-12-31</t>
        </is>
      </c>
      <c r="BI88" s="12" t="inlineStr">
        <is>
          <t>providers=world_bank; fields=entrepreneurial_dynamism_raw, innovation_research_intensity_raw, investment_signal_raw, administrative_investment_friction_raw; +2 additional fields</t>
        </is>
      </c>
      <c r="BJ88" s="9" t="n">
        <v>2.37</v>
      </c>
    </row>
    <row r="89">
      <c r="A89" s="9" t="inlineStr">
        <is>
          <t>kw-kuwait-city</t>
        </is>
      </c>
      <c r="B89" s="9" t="inlineStr">
        <is>
          <t>Kuwait City</t>
        </is>
      </c>
      <c r="C89" s="9" t="inlineStr">
        <is>
          <t>Kuwait</t>
        </is>
      </c>
      <c r="D89" s="9" t="inlineStr">
        <is>
          <t>Middle East</t>
        </is>
      </c>
      <c r="E89" s="9" t="inlineStr">
        <is>
          <t>secondary</t>
        </is>
      </c>
      <c r="F89" s="9" t="inlineStr">
        <is>
          <t>locked</t>
        </is>
      </c>
      <c r="G89" s="10" t="n">
        <v>5272.5</v>
      </c>
      <c r="H89" s="10" t="n">
        <v>1318.12</v>
      </c>
      <c r="I89" s="10" t="n">
        <v>263.62</v>
      </c>
      <c r="J89" s="10" t="n">
        <v>210.9</v>
      </c>
      <c r="K89" s="10" t="n">
        <v>79.09</v>
      </c>
      <c r="L89" s="10" t="n">
        <v>949.05</v>
      </c>
      <c r="M89" s="11" t="inlineStr"/>
      <c r="N89" s="10" t="n">
        <v>24.9999</v>
      </c>
      <c r="O89" s="10" t="n">
        <v>4.3975</v>
      </c>
      <c r="P89" s="11">
        <f>IF($O89&lt;&gt;"",$O89,$AO89)</f>
        <v/>
      </c>
      <c r="Q89" s="10" t="inlineStr"/>
      <c r="R89" s="10" t="n">
        <v>2.31</v>
      </c>
      <c r="S89" s="10" t="n">
        <v>0.25</v>
      </c>
      <c r="T89" s="10" t="inlineStr"/>
      <c r="U89" s="10" t="inlineStr"/>
      <c r="V89" s="10" t="n">
        <v>100</v>
      </c>
      <c r="W89" s="10" t="n">
        <v>1.01</v>
      </c>
      <c r="X89" s="9" t="n">
        <v>28</v>
      </c>
      <c r="Y89" s="10" t="n">
        <v>84</v>
      </c>
      <c r="Z89" s="10" t="n">
        <v>51.9</v>
      </c>
      <c r="AA89" s="10" t="inlineStr"/>
      <c r="AB89" s="10" t="n">
        <v>58.73</v>
      </c>
      <c r="AC89" s="10" t="n">
        <v>3.08</v>
      </c>
      <c r="AD89" s="10" t="n">
        <v>441.27</v>
      </c>
      <c r="AE89" s="10" t="n">
        <v>3.24</v>
      </c>
      <c r="AF89" s="10" t="n">
        <v>0.1</v>
      </c>
      <c r="AG89" s="10" t="n">
        <v>0.38</v>
      </c>
      <c r="AH89" s="10" t="n">
        <v>2.18</v>
      </c>
      <c r="AI89" s="10" t="inlineStr"/>
      <c r="AJ89" s="11">
        <f>IFERROR(INDEX(Country_Context!$B$2:$B$87,MATCH($C89,Country_Context!$A$2:$A$87,0)),"")</f>
        <v/>
      </c>
      <c r="AK89" s="11">
        <f>IFERROR(INDEX(Country_Context!$C$2:$C$87,MATCH($C89,Country_Context!$A$2:$A$87,0)),"")</f>
        <v/>
      </c>
      <c r="AL89" s="11">
        <f>IFERROR(INDEX(Country_Context!$D$2:$D$87,MATCH($C89,Country_Context!$A$2:$A$87,0)),"")</f>
        <v/>
      </c>
      <c r="AM89" s="11">
        <f>IFERROR(INDEX(Country_Context!$E$2:$E$87,MATCH($C89,Country_Context!$A$2:$A$87,0)),"")</f>
        <v/>
      </c>
      <c r="AN89" s="11">
        <f>IFERROR(INDEX(Country_Context!$F$2:$F$87,MATCH($C89,Country_Context!$A$2:$A$87,0)),"")</f>
        <v/>
      </c>
      <c r="AO89" s="11">
        <f>IFERROR(INDEX(Country_Context!$G$2:$G$87,MATCH($C89,Country_Context!$A$2:$A$87,0)),"")</f>
        <v/>
      </c>
      <c r="AP89" s="12" t="inlineStr">
        <is>
          <t>https://api.worldbank.org/v2/country/KWT/indicator/NY.GNP.PCAP.PP.CD?format=json&amp;mrv=10 | https://data.worldbank.org/indicator/NY.GNP.PCAP.PP.CD | https://www.who.int/data/gho/data/indicators/indicator-details/GHO/SDGSUICIDE | +3 more</t>
        </is>
      </c>
      <c r="AQ89" s="12" t="inlineStr">
        <is>
          <t>Tier 3, Tier 4</t>
        </is>
      </c>
      <c r="AR89" s="12" t="inlineStr">
        <is>
          <t>2024-12-31</t>
        </is>
      </c>
      <c r="AS89" s="12" t="inlineStr">
        <is>
          <t>providers=world_bank_col_estimate, derived, who_gho, world_bank; fields=gross_income, rent, utilities, transit_cost; +8 additional fields</t>
        </is>
      </c>
      <c r="AT89" s="12" t="inlineStr">
        <is>
          <t>https://api.worldbank.org/v2/country/KWT/indicator/VC.IHR.PSRC.P5?format=json&amp;mrv=10 | https://api.worldbank.org/v2/country/KWT/indicator/SH.H2O.SMDW.ZS?format=json&amp;mrv=10 | https://api.worldbank.org/v2/country/KWT/indicator/IT.NET.BBND.P2?format=json&amp;mrv=10 | +1 more</t>
        </is>
      </c>
      <c r="AU89" s="12" t="inlineStr">
        <is>
          <t>Tier 3</t>
        </is>
      </c>
      <c r="AV89" s="12" t="inlineStr">
        <is>
          <t>2024-12-31</t>
        </is>
      </c>
      <c r="AW89" s="12" t="inlineStr">
        <is>
          <t>providers=world_bank, wmo_natl_met; fields=personal_safety_raw, water_sanitation_utility_raw, digital_infrastructure_raw, climate_sunlight_livability_raw</t>
        </is>
      </c>
      <c r="AX89" s="12" t="inlineStr">
        <is>
          <t>https://www.who.int/data/gho/data/indicators/indicator-details/GHO/UHC_INDEX_REPORTED | https://api.worldbank.org/v2/country/KWT/indicator/SE.TER.ENRR?format=json&amp;mrv=10</t>
        </is>
      </c>
      <c r="AY89" s="12" t="inlineStr">
        <is>
          <t>Tier 3</t>
        </is>
      </c>
      <c r="AZ89" s="12" t="inlineStr">
        <is>
          <t>2023-12-31</t>
        </is>
      </c>
      <c r="BA89" s="12" t="inlineStr">
        <is>
          <t>providers=who_gho, world_bank; fields=healthcare_quality_raw, education_quality_raw</t>
        </is>
      </c>
      <c r="BB89" s="12" t="inlineStr">
        <is>
          <t>https://api.worldbank.org/v2/country/KWT/indicator/SM.POP.NETM?format=json&amp;mrv=10 | https://api.worldbank.org/v2/country/KWT/indicator/SG.GEN.PARL.ZS?format=json&amp;mrv=10 | https://api.worldbank.org/v2/country/KWT/indicator/ST.INT.ARVL?format=json&amp;mrv=10 | +1 more</t>
        </is>
      </c>
      <c r="BC89" s="12" t="inlineStr">
        <is>
          <t>Tier 3</t>
        </is>
      </c>
      <c r="BD89" s="12" t="inlineStr">
        <is>
          <t>2025-12-31</t>
        </is>
      </c>
      <c r="BE89" s="12" t="inlineStr">
        <is>
          <t>providers=world_bank; fields=hospitality_belonging_raw, tolerance_pluralism_raw, cultural_public_life_raw, birth_rate_optimism_raw</t>
        </is>
      </c>
      <c r="BF89" s="12" t="inlineStr">
        <is>
          <t>https://api.worldbank.org/v2/country/KWT/indicator/IC.BUS.NDNS.ZS?format=json&amp;mrv=10 | https://api.worldbank.org/v2/country/KWT/indicator/GB.XPD.RSDV.GD.ZS?format=json&amp;mrv=10 | https://api.worldbank.org/v2/country/KWT/indicator/BX.KLT.DINV.WD.GD.ZS?format=json&amp;mrv=10 | +3 more</t>
        </is>
      </c>
      <c r="BG89" s="12" t="inlineStr">
        <is>
          <t>Tier 3</t>
        </is>
      </c>
      <c r="BH89" s="12" t="inlineStr">
        <is>
          <t>2024-12-31</t>
        </is>
      </c>
      <c r="BI89" s="12" t="inlineStr">
        <is>
          <t>providers=world_bank; fields=entrepreneurial_dynamism_raw, innovation_research_intensity_raw, investment_signal_raw, administrative_investment_friction_raw; +2 additional fields</t>
        </is>
      </c>
      <c r="BJ89" s="9" t="n">
        <v>2.08</v>
      </c>
    </row>
    <row r="90">
      <c r="A90" s="9" t="inlineStr">
        <is>
          <t>jo-amman</t>
        </is>
      </c>
      <c r="B90" s="9" t="inlineStr">
        <is>
          <t>Amman</t>
        </is>
      </c>
      <c r="C90" s="9" t="inlineStr">
        <is>
          <t>Jordan</t>
        </is>
      </c>
      <c r="D90" s="9" t="inlineStr">
        <is>
          <t>Middle East</t>
        </is>
      </c>
      <c r="E90" s="9" t="inlineStr">
        <is>
          <t>secondary</t>
        </is>
      </c>
      <c r="F90" s="9" t="inlineStr">
        <is>
          <t>provisional</t>
        </is>
      </c>
      <c r="G90" s="10" t="n">
        <v>880.83</v>
      </c>
      <c r="H90" s="10" t="n">
        <v>198.19</v>
      </c>
      <c r="I90" s="10" t="n">
        <v>39.64</v>
      </c>
      <c r="J90" s="10" t="n">
        <v>31.71</v>
      </c>
      <c r="K90" s="10" t="n">
        <v>11.89</v>
      </c>
      <c r="L90" s="10" t="n">
        <v>142.69</v>
      </c>
      <c r="M90" s="11" t="inlineStr"/>
      <c r="N90" s="10" t="n">
        <v>22.5004</v>
      </c>
      <c r="O90" s="10" t="n">
        <v>80.0729</v>
      </c>
      <c r="P90" s="11">
        <f>IF($O90&lt;&gt;"",$O90,$AO90)</f>
        <v/>
      </c>
      <c r="Q90" s="10" t="n">
        <v>48.79</v>
      </c>
      <c r="R90" s="10" t="n">
        <v>0.6</v>
      </c>
      <c r="S90" s="10" t="n">
        <v>0.99</v>
      </c>
      <c r="T90" s="10" t="inlineStr"/>
      <c r="U90" s="10" t="inlineStr"/>
      <c r="V90" s="10" t="n">
        <v>88.95</v>
      </c>
      <c r="W90" s="10" t="n">
        <v>7.04</v>
      </c>
      <c r="X90" s="9" t="n">
        <v>65</v>
      </c>
      <c r="Y90" s="10" t="n">
        <v>74</v>
      </c>
      <c r="Z90" s="10" t="n">
        <v>35.92</v>
      </c>
      <c r="AA90" s="10" t="inlineStr"/>
      <c r="AB90" s="10" t="n">
        <v>23.75</v>
      </c>
      <c r="AC90" s="10" t="n">
        <v>19.57</v>
      </c>
      <c r="AD90" s="10" t="n">
        <v>107.33</v>
      </c>
      <c r="AE90" s="10" t="n">
        <v>0.4</v>
      </c>
      <c r="AF90" s="10" t="n">
        <v>30.04</v>
      </c>
      <c r="AG90" s="10" t="n">
        <v>3.06</v>
      </c>
      <c r="AH90" s="10" t="n">
        <v>2.28</v>
      </c>
      <c r="AI90" s="10" t="inlineStr"/>
      <c r="AJ90" s="11">
        <f>IFERROR(INDEX(Country_Context!$B$2:$B$87,MATCH($C90,Country_Context!$A$2:$A$87,0)),"")</f>
        <v/>
      </c>
      <c r="AK90" s="11">
        <f>IFERROR(INDEX(Country_Context!$C$2:$C$87,MATCH($C90,Country_Context!$A$2:$A$87,0)),"")</f>
        <v/>
      </c>
      <c r="AL90" s="11">
        <f>IFERROR(INDEX(Country_Context!$D$2:$D$87,MATCH($C90,Country_Context!$A$2:$A$87,0)),"")</f>
        <v/>
      </c>
      <c r="AM90" s="11">
        <f>IFERROR(INDEX(Country_Context!$E$2:$E$87,MATCH($C90,Country_Context!$A$2:$A$87,0)),"")</f>
        <v/>
      </c>
      <c r="AN90" s="11">
        <f>IFERROR(INDEX(Country_Context!$F$2:$F$87,MATCH($C90,Country_Context!$A$2:$A$87,0)),"")</f>
        <v/>
      </c>
      <c r="AO90" s="11">
        <f>IFERROR(INDEX(Country_Context!$G$2:$G$87,MATCH($C90,Country_Context!$A$2:$A$87,0)),"")</f>
        <v/>
      </c>
      <c r="AP90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90" s="12" t="inlineStr">
        <is>
          <t>Tier 3, Tier 4</t>
        </is>
      </c>
      <c r="AR90" s="12" t="inlineStr">
        <is>
          <t>2024-12-31</t>
        </is>
      </c>
      <c r="AS90" s="12" t="inlineStr">
        <is>
          <t>providers=world_bank_col_estimate, derived, ilo_ilostat, who_gho; fields=gross_income, rent, utilities, transit_cost; +9 additional fields</t>
        </is>
      </c>
      <c r="AT90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 | +1 more</t>
        </is>
      </c>
      <c r="AU90" s="12" t="inlineStr">
        <is>
          <t>Tier 3</t>
        </is>
      </c>
      <c r="AV90" s="12" t="inlineStr">
        <is>
          <t>2024-12-31</t>
        </is>
      </c>
      <c r="AW90" s="12" t="inlineStr">
        <is>
          <t>providers=world_bank, wmo_natl_met; fields=personal_safety_raw, water_sanitation_utility_raw, digital_infrastructure_raw, climate_sunlight_livability_raw</t>
        </is>
      </c>
      <c r="AX90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90" s="12" t="inlineStr">
        <is>
          <t>Tier 3</t>
        </is>
      </c>
      <c r="AZ90" s="12" t="inlineStr">
        <is>
          <t>2024-12-31</t>
        </is>
      </c>
      <c r="BA90" s="12" t="inlineStr">
        <is>
          <t>providers=who_gho, world_bank; fields=healthcare_quality_raw, education_quality_raw, gini_coefficient</t>
        </is>
      </c>
      <c r="BB90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90" s="12" t="inlineStr">
        <is>
          <t>Tier 3</t>
        </is>
      </c>
      <c r="BD90" s="12" t="inlineStr">
        <is>
          <t>2025-12-31</t>
        </is>
      </c>
      <c r="BE90" s="12" t="inlineStr">
        <is>
          <t>providers=world_bank; fields=hospitality_belonging_raw, tolerance_pluralism_raw, cultural_public_life_raw</t>
        </is>
      </c>
      <c r="BF90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90" s="12" t="inlineStr">
        <is>
          <t>Tier 3</t>
        </is>
      </c>
      <c r="BH90" s="12" t="inlineStr">
        <is>
          <t>2024-12-31</t>
        </is>
      </c>
      <c r="BI90" s="12" t="inlineStr">
        <is>
          <t>providers=world_bank; fields=entrepreneurial_dynamism_raw, innovation_research_intensity_raw, investment_signal_raw, administrative_investment_friction_raw; +2 additional fields</t>
        </is>
      </c>
      <c r="BJ90" s="9" t="inlineStr"/>
    </row>
    <row r="91">
      <c r="A91" s="9" t="inlineStr">
        <is>
          <t>za-cape-town</t>
        </is>
      </c>
      <c r="B91" s="9" t="inlineStr">
        <is>
          <t>Cape Town</t>
        </is>
      </c>
      <c r="C91" s="9" t="inlineStr">
        <is>
          <t>South Africa</t>
        </is>
      </c>
      <c r="D91" s="9" t="inlineStr">
        <is>
          <t>Africa</t>
        </is>
      </c>
      <c r="E91" s="9" t="inlineStr">
        <is>
          <t>primary</t>
        </is>
      </c>
      <c r="F91" s="9" t="inlineStr">
        <is>
          <t>locked</t>
        </is>
      </c>
      <c r="G91" s="10" t="n">
        <v>1325.62</v>
      </c>
      <c r="H91" s="10" t="n">
        <v>291.64</v>
      </c>
      <c r="I91" s="10" t="n">
        <v>87.48999999999999</v>
      </c>
      <c r="J91" s="10" t="n">
        <v>58.33</v>
      </c>
      <c r="K91" s="10" t="n">
        <v>21.87</v>
      </c>
      <c r="L91" s="10" t="n">
        <v>364.55</v>
      </c>
      <c r="M91" s="11" t="inlineStr"/>
      <c r="N91" s="10" t="n">
        <v>22.0003</v>
      </c>
      <c r="O91" s="10" t="n">
        <v>57.4717</v>
      </c>
      <c r="P91" s="11">
        <f>IF($O91&lt;&gt;"",$O91,$AO91)</f>
        <v/>
      </c>
      <c r="Q91" s="10" t="n">
        <v>42.39</v>
      </c>
      <c r="R91" s="10" t="n">
        <v>22.3</v>
      </c>
      <c r="S91" s="10" t="n">
        <v>43.72</v>
      </c>
      <c r="T91" s="10" t="inlineStr"/>
      <c r="U91" s="10" t="inlineStr"/>
      <c r="V91" s="10" t="n">
        <v>68.01000000000001</v>
      </c>
      <c r="W91" s="10" t="n">
        <v>3.41</v>
      </c>
      <c r="X91" s="9" t="n">
        <v>72</v>
      </c>
      <c r="Y91" s="10" t="n">
        <v>74</v>
      </c>
      <c r="Z91" s="10" t="n">
        <v>23.49</v>
      </c>
      <c r="AA91" s="10" t="inlineStr"/>
      <c r="AB91" s="10" t="n">
        <v>52.29</v>
      </c>
      <c r="AC91" s="10" t="n">
        <v>44.7</v>
      </c>
      <c r="AD91" s="10" t="n">
        <v>60.72</v>
      </c>
      <c r="AE91" s="10" t="n">
        <v>11.05</v>
      </c>
      <c r="AF91" s="10" t="n">
        <v>0.62</v>
      </c>
      <c r="AG91" s="10" t="n">
        <v>0.58</v>
      </c>
      <c r="AH91" s="10" t="n">
        <v>2.72</v>
      </c>
      <c r="AI91" s="10" t="inlineStr"/>
      <c r="AJ91" s="11">
        <f>IFERROR(INDEX(Country_Context!$B$2:$B$87,MATCH($C91,Country_Context!$A$2:$A$87,0)),"")</f>
        <v/>
      </c>
      <c r="AK91" s="11">
        <f>IFERROR(INDEX(Country_Context!$C$2:$C$87,MATCH($C91,Country_Context!$A$2:$A$87,0)),"")</f>
        <v/>
      </c>
      <c r="AL91" s="11">
        <f>IFERROR(INDEX(Country_Context!$D$2:$D$87,MATCH($C91,Country_Context!$A$2:$A$87,0)),"")</f>
        <v/>
      </c>
      <c r="AM91" s="11">
        <f>IFERROR(INDEX(Country_Context!$E$2:$E$87,MATCH($C91,Country_Context!$A$2:$A$87,0)),"")</f>
        <v/>
      </c>
      <c r="AN91" s="11">
        <f>IFERROR(INDEX(Country_Context!$F$2:$F$87,MATCH($C91,Country_Context!$A$2:$A$87,0)),"")</f>
        <v/>
      </c>
      <c r="AO91" s="11">
        <f>IFERROR(INDEX(Country_Context!$G$2:$G$87,MATCH($C91,Country_Context!$A$2:$A$87,0)),"")</f>
        <v/>
      </c>
      <c r="AP91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1" s="12" t="inlineStr">
        <is>
          <t>Tier 3, Tier 4</t>
        </is>
      </c>
      <c r="AR91" s="12" t="inlineStr">
        <is>
          <t>2024-12-31</t>
        </is>
      </c>
      <c r="AS91" s="12" t="inlineStr">
        <is>
          <t>providers=world_bank_col_estimate, derived, ilo_ilostat, who_gho; fields=gross_income, rent, utilities, transit_cost; +9 additional fields</t>
        </is>
      </c>
      <c r="AT91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1" s="12" t="inlineStr">
        <is>
          <t>Tier 3</t>
        </is>
      </c>
      <c r="AV91" s="12" t="inlineStr">
        <is>
          <t>2024-12-31</t>
        </is>
      </c>
      <c r="AW91" s="12" t="inlineStr">
        <is>
          <t>providers=world_bank, wmo_natl_met; fields=personal_safety_raw, water_sanitation_utility_raw, digital_infrastructure_raw, climate_sunlight_livability_raw</t>
        </is>
      </c>
      <c r="AX91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1" s="12" t="inlineStr">
        <is>
          <t>Tier 3</t>
        </is>
      </c>
      <c r="AZ91" s="12" t="inlineStr">
        <is>
          <t>2023-12-31</t>
        </is>
      </c>
      <c r="BA91" s="12" t="inlineStr">
        <is>
          <t>providers=who_gho, world_bank; fields=healthcare_quality_raw, education_quality_raw, gini_coefficient</t>
        </is>
      </c>
      <c r="BB91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1" s="12" t="inlineStr">
        <is>
          <t>Tier 3</t>
        </is>
      </c>
      <c r="BD91" s="12" t="inlineStr">
        <is>
          <t>2025-12-31</t>
        </is>
      </c>
      <c r="BE91" s="12" t="inlineStr">
        <is>
          <t>providers=world_bank; fields=hospitality_belonging_raw, tolerance_pluralism_raw, cultural_public_life_raw, birth_rate_optimism_raw</t>
        </is>
      </c>
      <c r="BF91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1" s="12" t="inlineStr">
        <is>
          <t>Tier 3</t>
        </is>
      </c>
      <c r="BH91" s="12" t="inlineStr">
        <is>
          <t>2024-12-31</t>
        </is>
      </c>
      <c r="BI91" s="12" t="inlineStr">
        <is>
          <t>providers=world_bank; fields=entrepreneurial_dynamism_raw, innovation_research_intensity_raw, investment_signal_raw, administrative_investment_friction_raw; +2 additional fields</t>
        </is>
      </c>
      <c r="BJ91" s="9" t="n">
        <v>2.33</v>
      </c>
    </row>
    <row r="92">
      <c r="A92" s="9" t="inlineStr">
        <is>
          <t>za-johannesburg</t>
        </is>
      </c>
      <c r="B92" s="9" t="inlineStr">
        <is>
          <t>Johannesburg</t>
        </is>
      </c>
      <c r="C92" s="9" t="inlineStr">
        <is>
          <t>South Africa</t>
        </is>
      </c>
      <c r="D92" s="9" t="inlineStr">
        <is>
          <t>Africa</t>
        </is>
      </c>
      <c r="E92" s="9" t="inlineStr">
        <is>
          <t>primary</t>
        </is>
      </c>
      <c r="F92" s="9" t="inlineStr">
        <is>
          <t>provisional</t>
        </is>
      </c>
      <c r="G92" s="10" t="n">
        <v>1388.75</v>
      </c>
      <c r="H92" s="10" t="n">
        <v>305.53</v>
      </c>
      <c r="I92" s="10" t="n">
        <v>91.66</v>
      </c>
      <c r="J92" s="10" t="n">
        <v>61.11</v>
      </c>
      <c r="K92" s="10" t="n">
        <v>22.91</v>
      </c>
      <c r="L92" s="10" t="n">
        <v>381.91</v>
      </c>
      <c r="M92" s="11" t="inlineStr"/>
      <c r="N92" s="10" t="n">
        <v>22.0004</v>
      </c>
      <c r="O92" s="10" t="n">
        <v>57.4717</v>
      </c>
      <c r="P92" s="11">
        <f>IF($O92&lt;&gt;"",$O92,$AO92)</f>
        <v/>
      </c>
      <c r="Q92" s="10" t="n">
        <v>42.39</v>
      </c>
      <c r="R92" s="10" t="n">
        <v>22.3</v>
      </c>
      <c r="S92" s="10" t="n">
        <v>43.72</v>
      </c>
      <c r="T92" s="10" t="inlineStr"/>
      <c r="U92" s="10" t="inlineStr"/>
      <c r="V92" s="10" t="n">
        <v>68.01000000000001</v>
      </c>
      <c r="W92" s="10" t="n">
        <v>3.41</v>
      </c>
      <c r="X92" s="9" t="n">
        <v>68</v>
      </c>
      <c r="Y92" s="10" t="n">
        <v>74</v>
      </c>
      <c r="Z92" s="10" t="n">
        <v>23.49</v>
      </c>
      <c r="AA92" s="10" t="inlineStr"/>
      <c r="AB92" s="10" t="n">
        <v>52.29</v>
      </c>
      <c r="AC92" s="10" t="n">
        <v>44.7</v>
      </c>
      <c r="AD92" s="10" t="n">
        <v>60.72</v>
      </c>
      <c r="AE92" s="10" t="n">
        <v>11.05</v>
      </c>
      <c r="AF92" s="10" t="n">
        <v>0.62</v>
      </c>
      <c r="AG92" s="10" t="n">
        <v>0.58</v>
      </c>
      <c r="AH92" s="10" t="n">
        <v>2.72</v>
      </c>
      <c r="AI92" s="10" t="inlineStr"/>
      <c r="AJ92" s="11">
        <f>IFERROR(INDEX(Country_Context!$B$2:$B$87,MATCH($C92,Country_Context!$A$2:$A$87,0)),"")</f>
        <v/>
      </c>
      <c r="AK92" s="11">
        <f>IFERROR(INDEX(Country_Context!$C$2:$C$87,MATCH($C92,Country_Context!$A$2:$A$87,0)),"")</f>
        <v/>
      </c>
      <c r="AL92" s="11">
        <f>IFERROR(INDEX(Country_Context!$D$2:$D$87,MATCH($C92,Country_Context!$A$2:$A$87,0)),"")</f>
        <v/>
      </c>
      <c r="AM92" s="11">
        <f>IFERROR(INDEX(Country_Context!$E$2:$E$87,MATCH($C92,Country_Context!$A$2:$A$87,0)),"")</f>
        <v/>
      </c>
      <c r="AN92" s="11">
        <f>IFERROR(INDEX(Country_Context!$F$2:$F$87,MATCH($C92,Country_Context!$A$2:$A$87,0)),"")</f>
        <v/>
      </c>
      <c r="AO92" s="11">
        <f>IFERROR(INDEX(Country_Context!$G$2:$G$87,MATCH($C92,Country_Context!$A$2:$A$87,0)),"")</f>
        <v/>
      </c>
      <c r="AP92" s="12" t="inlineStr">
        <is>
          <t>https://api.worldbank.org/v2/country/ZAF/indicator/NY.GNP.PCAP.PP.CD?format=json&amp;mrv=10 | https://data.worldbank.org/indicator/NY.GNP.PCAP.PP.CD | https://ilostat.ilo.org/data/indicator/?id=HOW_TEMP_SEX_ECO_NB_A&amp;ref_area=ZAF | +4 more</t>
        </is>
      </c>
      <c r="AQ92" s="12" t="inlineStr">
        <is>
          <t>Tier 3, Tier 4</t>
        </is>
      </c>
      <c r="AR92" s="12" t="inlineStr">
        <is>
          <t>2024-12-31</t>
        </is>
      </c>
      <c r="AS92" s="12" t="inlineStr">
        <is>
          <t>providers=world_bank_col_estimate, derived, ilo_ilostat, who_gho; fields=gross_income, rent, utilities, transit_cost; +9 additional fields</t>
        </is>
      </c>
      <c r="AT92" s="12" t="inlineStr">
        <is>
          <t>https://api.worldbank.org/v2/country/ZAF/indicator/VC.IHR.PSRC.P5?format=json&amp;mrv=10 | https://api.worldbank.org/v2/country/ZAF/indicator/SH.H2O.SMDW.ZS?format=json&amp;mrv=10 | https://api.worldbank.org/v2/country/ZAF/indicator/IT.NET.BBND.P2?format=json&amp;mrv=10 | +1 more</t>
        </is>
      </c>
      <c r="AU92" s="12" t="inlineStr">
        <is>
          <t>Tier 3</t>
        </is>
      </c>
      <c r="AV92" s="12" t="inlineStr">
        <is>
          <t>2024-12-31</t>
        </is>
      </c>
      <c r="AW92" s="12" t="inlineStr">
        <is>
          <t>providers=world_bank, wmo_natl_met; fields=personal_safety_raw, water_sanitation_utility_raw, digital_infrastructure_raw, climate_sunlight_livability_raw</t>
        </is>
      </c>
      <c r="AX92" s="12" t="inlineStr">
        <is>
          <t>https://www.who.int/data/gho/data/indicators/indicator-details/GHO/UHC_INDEX_REPORTED | https://api.worldbank.org/v2/country/ZAF/indicator/SE.TER.ENRR?format=json&amp;mrv=10 | https://api.worldbank.org/v2/country/ZAF/indicator/SI.POV.GINI?format=json&amp;mrv=30</t>
        </is>
      </c>
      <c r="AY92" s="12" t="inlineStr">
        <is>
          <t>Tier 3</t>
        </is>
      </c>
      <c r="AZ92" s="12" t="inlineStr">
        <is>
          <t>2023-12-31</t>
        </is>
      </c>
      <c r="BA92" s="12" t="inlineStr">
        <is>
          <t>providers=who_gho, world_bank; fields=healthcare_quality_raw, education_quality_raw, gini_coefficient</t>
        </is>
      </c>
      <c r="BB92" s="12" t="inlineStr">
        <is>
          <t>https://api.worldbank.org/v2/country/ZAF/indicator/SM.POP.NETM?format=json&amp;mrv=10 | https://api.worldbank.org/v2/country/ZAF/indicator/SG.GEN.PARL.ZS?format=json&amp;mrv=10 | https://api.worldbank.org/v2/country/ZAF/indicator/ST.INT.ARVL?format=json&amp;mrv=10 | +1 more</t>
        </is>
      </c>
      <c r="BC92" s="12" t="inlineStr">
        <is>
          <t>Tier 3</t>
        </is>
      </c>
      <c r="BD92" s="12" t="inlineStr">
        <is>
          <t>2025-12-31</t>
        </is>
      </c>
      <c r="BE92" s="12" t="inlineStr">
        <is>
          <t>providers=world_bank; fields=hospitality_belonging_raw, tolerance_pluralism_raw, cultural_public_life_raw, birth_rate_optimism_raw</t>
        </is>
      </c>
      <c r="BF92" s="12" t="inlineStr">
        <is>
          <t>https://api.worldbank.org/v2/country/ZAF/indicator/IC.BUS.NDNS.ZS?format=json&amp;mrv=10 | https://api.worldbank.org/v2/country/ZAF/indicator/GB.XPD.RSDV.GD.ZS?format=json&amp;mrv=10 | https://api.worldbank.org/v2/country/ZAF/indicator/BX.KLT.DINV.WD.GD.ZS?format=json&amp;mrv=10 | +3 more</t>
        </is>
      </c>
      <c r="BG92" s="12" t="inlineStr">
        <is>
          <t>Tier 3</t>
        </is>
      </c>
      <c r="BH92" s="12" t="inlineStr">
        <is>
          <t>2024-12-31</t>
        </is>
      </c>
      <c r="BI92" s="12" t="inlineStr">
        <is>
          <t>providers=world_bank; fields=entrepreneurial_dynamism_raw, innovation_research_intensity_raw, investment_signal_raw, administrative_investment_friction_raw; +2 additional fields</t>
        </is>
      </c>
      <c r="BJ92" s="9" t="n">
        <v>2.33</v>
      </c>
    </row>
    <row r="93">
      <c r="A93" s="9" t="inlineStr">
        <is>
          <t>ke-nairobi</t>
        </is>
      </c>
      <c r="B93" s="9" t="inlineStr">
        <is>
          <t>Nairobi</t>
        </is>
      </c>
      <c r="C93" s="9" t="inlineStr">
        <is>
          <t>Kenya</t>
        </is>
      </c>
      <c r="D93" s="9" t="inlineStr">
        <is>
          <t>Africa</t>
        </is>
      </c>
      <c r="E93" s="9" t="inlineStr">
        <is>
          <t>primary</t>
        </is>
      </c>
      <c r="F93" s="9" t="inlineStr">
        <is>
          <t>locked</t>
        </is>
      </c>
      <c r="G93" s="10" t="n">
        <v>654</v>
      </c>
      <c r="H93" s="10" t="n">
        <v>150.42</v>
      </c>
      <c r="I93" s="10" t="n">
        <v>45.13</v>
      </c>
      <c r="J93" s="10" t="n">
        <v>30.08</v>
      </c>
      <c r="K93" s="10" t="n">
        <v>11.28</v>
      </c>
      <c r="L93" s="10" t="n">
        <v>188.02</v>
      </c>
      <c r="M93" s="11" t="inlineStr"/>
      <c r="N93" s="10" t="n">
        <v>23</v>
      </c>
      <c r="O93" s="10" t="n">
        <v>31.7729</v>
      </c>
      <c r="P93" s="11">
        <f>IF($O93&lt;&gt;"",$O93,$AO93)</f>
        <v/>
      </c>
      <c r="Q93" s="10" t="n">
        <v>39.56</v>
      </c>
      <c r="R93" s="10" t="n">
        <v>4.58</v>
      </c>
      <c r="S93" s="10" t="n">
        <v>4.87</v>
      </c>
      <c r="T93" s="10" t="inlineStr"/>
      <c r="U93" s="10" t="inlineStr"/>
      <c r="V93" s="10" t="inlineStr"/>
      <c r="W93" s="10" t="n">
        <v>2.39</v>
      </c>
      <c r="X93" s="9" t="n">
        <v>72</v>
      </c>
      <c r="Y93" s="10" t="n">
        <v>57</v>
      </c>
      <c r="Z93" s="10" t="n">
        <v>10.42</v>
      </c>
      <c r="AA93" s="10" t="n">
        <v>37.7</v>
      </c>
      <c r="AB93" s="10" t="n">
        <v>49.52</v>
      </c>
      <c r="AC93" s="10" t="n">
        <v>23.28</v>
      </c>
      <c r="AD93" s="10" t="n">
        <v>36.31</v>
      </c>
      <c r="AE93" s="10" t="n">
        <v>1.62</v>
      </c>
      <c r="AF93" s="10" t="n">
        <v>0.8100000000000001</v>
      </c>
      <c r="AG93" s="10" t="n">
        <v>0.39</v>
      </c>
      <c r="AH93" s="10" t="n">
        <v>2.89</v>
      </c>
      <c r="AI93" s="10" t="inlineStr"/>
      <c r="AJ93" s="11">
        <f>IFERROR(INDEX(Country_Context!$B$2:$B$87,MATCH($C93,Country_Context!$A$2:$A$87,0)),"")</f>
        <v/>
      </c>
      <c r="AK93" s="11">
        <f>IFERROR(INDEX(Country_Context!$C$2:$C$87,MATCH($C93,Country_Context!$A$2:$A$87,0)),"")</f>
        <v/>
      </c>
      <c r="AL93" s="11">
        <f>IFERROR(INDEX(Country_Context!$D$2:$D$87,MATCH($C93,Country_Context!$A$2:$A$87,0)),"")</f>
        <v/>
      </c>
      <c r="AM93" s="11">
        <f>IFERROR(INDEX(Country_Context!$E$2:$E$87,MATCH($C93,Country_Context!$A$2:$A$87,0)),"")</f>
        <v/>
      </c>
      <c r="AN93" s="11">
        <f>IFERROR(INDEX(Country_Context!$F$2:$F$87,MATCH($C93,Country_Context!$A$2:$A$87,0)),"")</f>
        <v/>
      </c>
      <c r="AO93" s="11">
        <f>IFERROR(INDEX(Country_Context!$G$2:$G$87,MATCH($C93,Country_Context!$A$2:$A$87,0)),"")</f>
        <v/>
      </c>
      <c r="AP93" s="12" t="inlineStr">
        <is>
          <t>https://api.worldbank.org/v2/country/KEN/indicator/NY.GNP.PCAP.PP.CD?format=json&amp;mrv=10 | https://data.worldbank.org/indicator/NY.GNP.PCAP.PP.CD | https://ilostat.ilo.org/data/indicator/?id=HOW_TEMP_SEX_ECO_NB_A&amp;ref_area=KEN | +4 more</t>
        </is>
      </c>
      <c r="AQ93" s="12" t="inlineStr">
        <is>
          <t>Tier 3, Tier 4</t>
        </is>
      </c>
      <c r="AR93" s="12" t="inlineStr">
        <is>
          <t>2024-12-31</t>
        </is>
      </c>
      <c r="AS93" s="12" t="inlineStr">
        <is>
          <t>providers=world_bank_col_estimate, derived, ilo_ilostat, who_gho; fields=gross_income, rent, utilities, transit_cost; +9 additional fields</t>
        </is>
      </c>
      <c r="AT93" s="12" t="inlineStr">
        <is>
          <t>https://api.worldbank.org/v2/country/KEN/indicator/VC.IHR.PSRC.P5?format=json&amp;mrv=10 | https://api.worldbank.org/v2/country/KEN/indicator/IT.NET.BBND.P2?format=json&amp;mrv=10 | https://worldweather.wmo.int</t>
        </is>
      </c>
      <c r="AU93" s="12" t="inlineStr">
        <is>
          <t>Tier 3</t>
        </is>
      </c>
      <c r="AV93" s="12" t="inlineStr">
        <is>
          <t>2024-12-31</t>
        </is>
      </c>
      <c r="AW93" s="12" t="inlineStr">
        <is>
          <t>providers=world_bank, wmo_natl_met; fields=personal_safety_raw, digital_infrastructure_raw, climate_sunlight_livability_raw</t>
        </is>
      </c>
      <c r="AX93" s="12" t="inlineStr">
        <is>
          <t>https://www.who.int/data/gho/data/indicators/indicator-details/GHO/UHC_INDEX_REPORTED | https://api.worldbank.org/v2/country/KEN/indicator/SE.TER.ENRR?format=json&amp;mrv=10 | https://api.worldbank.org/v2/country/KEN/indicator/SI.POV.GINI?format=json&amp;mrv=10 | +1 more</t>
        </is>
      </c>
      <c r="AY93" s="12" t="inlineStr">
        <is>
          <t>Tier 3</t>
        </is>
      </c>
      <c r="AZ93" s="12" t="inlineStr">
        <is>
          <t>2024-12-31</t>
        </is>
      </c>
      <c r="BA93" s="12" t="inlineStr">
        <is>
          <t>providers=who_gho, world_bank; fields=healthcare_quality_raw, education_quality_raw, equal_opportunity_raw, gini_coefficient</t>
        </is>
      </c>
      <c r="BB93" s="12" t="inlineStr">
        <is>
          <t>https://api.worldbank.org/v2/country/KEN/indicator/SM.POP.NETM?format=json&amp;mrv=10 | https://api.worldbank.org/v2/country/KEN/indicator/SG.GEN.PARL.ZS?format=json&amp;mrv=10 | https://api.worldbank.org/v2/country/KEN/indicator/ST.INT.ARVL?format=json&amp;mrv=10 | +1 more</t>
        </is>
      </c>
      <c r="BC93" s="12" t="inlineStr">
        <is>
          <t>Tier 3</t>
        </is>
      </c>
      <c r="BD93" s="12" t="inlineStr">
        <is>
          <t>2025-12-31</t>
        </is>
      </c>
      <c r="BE93" s="12" t="inlineStr">
        <is>
          <t>providers=world_bank; fields=hospitality_belonging_raw, tolerance_pluralism_raw, cultural_public_life_raw, birth_rate_optimism_raw</t>
        </is>
      </c>
      <c r="BF93" s="12" t="inlineStr">
        <is>
          <t>https://api.worldbank.org/v2/country/KEN/indicator/IC.BUS.NDNS.ZS?format=json&amp;mrv=10 | https://api.worldbank.org/v2/country/KEN/indicator/GB.XPD.RSDV.GD.ZS?format=json&amp;mrv=10 | https://api.worldbank.org/v2/country/KEN/indicator/BX.KLT.DINV.WD.GD.ZS?format=json&amp;mrv=10 | +3 more</t>
        </is>
      </c>
      <c r="BG93" s="12" t="inlineStr">
        <is>
          <t>Tier 3</t>
        </is>
      </c>
      <c r="BH93" s="12" t="inlineStr">
        <is>
          <t>2024-12-31</t>
        </is>
      </c>
      <c r="BI93" s="12" t="inlineStr">
        <is>
          <t>providers=world_bank; fields=entrepreneurial_dynamism_raw, innovation_research_intensity_raw, investment_signal_raw, administrative_investment_friction_raw; +2 additional fields</t>
        </is>
      </c>
      <c r="BJ93" s="9" t="n">
        <v>3.3</v>
      </c>
    </row>
    <row r="94">
      <c r="A94" s="9" t="inlineStr">
        <is>
          <t>rw-kigali</t>
        </is>
      </c>
      <c r="B94" s="9" t="inlineStr">
        <is>
          <t>Kigali</t>
        </is>
      </c>
      <c r="C94" s="9" t="inlineStr">
        <is>
          <t>Rwanda</t>
        </is>
      </c>
      <c r="D94" s="9" t="inlineStr">
        <is>
          <t>Africa</t>
        </is>
      </c>
      <c r="E94" s="9" t="inlineStr">
        <is>
          <t>primary</t>
        </is>
      </c>
      <c r="F94" s="9" t="inlineStr">
        <is>
          <t>locked</t>
        </is>
      </c>
      <c r="G94" s="10" t="n">
        <v>301.67</v>
      </c>
      <c r="H94" s="10" t="n">
        <v>57.32</v>
      </c>
      <c r="I94" s="10" t="n">
        <v>17.2</v>
      </c>
      <c r="J94" s="10" t="n">
        <v>11.46</v>
      </c>
      <c r="K94" s="10" t="n">
        <v>4.3</v>
      </c>
      <c r="L94" s="10" t="n">
        <v>71.65000000000001</v>
      </c>
      <c r="M94" s="11" t="inlineStr"/>
      <c r="N94" s="10" t="n">
        <v>19.0009</v>
      </c>
      <c r="O94" s="10" t="n">
        <v>22.5267</v>
      </c>
      <c r="P94" s="11">
        <f>IF($O94&lt;&gt;"",$O94,$AO94)</f>
        <v/>
      </c>
      <c r="Q94" s="10" t="n">
        <v>29.92</v>
      </c>
      <c r="R94" s="10" t="n">
        <v>8.68</v>
      </c>
      <c r="S94" s="10" t="n">
        <v>3.61</v>
      </c>
      <c r="T94" s="10" t="inlineStr"/>
      <c r="U94" s="10" t="inlineStr"/>
      <c r="V94" s="10" t="inlineStr"/>
      <c r="W94" s="10" t="n">
        <v>0.45</v>
      </c>
      <c r="X94" s="9" t="n">
        <v>70</v>
      </c>
      <c r="Y94" s="10" t="n">
        <v>59</v>
      </c>
      <c r="Z94" s="10" t="n">
        <v>9.41</v>
      </c>
      <c r="AA94" s="10" t="n">
        <v>39.4</v>
      </c>
      <c r="AB94" s="10" t="n">
        <v>50.44</v>
      </c>
      <c r="AC94" s="10" t="n">
        <v>63.75</v>
      </c>
      <c r="AD94" s="10" t="n">
        <v>114.61</v>
      </c>
      <c r="AE94" s="10" t="n">
        <v>2.13</v>
      </c>
      <c r="AF94" s="10" t="n">
        <v>0.79</v>
      </c>
      <c r="AG94" s="10" t="n">
        <v>4.02</v>
      </c>
      <c r="AH94" s="10" t="n">
        <v>2.38</v>
      </c>
      <c r="AI94" s="10" t="inlineStr"/>
      <c r="AJ94" s="11">
        <f>IFERROR(INDEX(Country_Context!$B$2:$B$87,MATCH($C94,Country_Context!$A$2:$A$87,0)),"")</f>
        <v/>
      </c>
      <c r="AK94" s="11">
        <f>IFERROR(INDEX(Country_Context!$C$2:$C$87,MATCH($C94,Country_Context!$A$2:$A$87,0)),"")</f>
        <v/>
      </c>
      <c r="AL94" s="11">
        <f>IFERROR(INDEX(Country_Context!$D$2:$D$87,MATCH($C94,Country_Context!$A$2:$A$87,0)),"")</f>
        <v/>
      </c>
      <c r="AM94" s="11">
        <f>IFERROR(INDEX(Country_Context!$E$2:$E$87,MATCH($C94,Country_Context!$A$2:$A$87,0)),"")</f>
        <v/>
      </c>
      <c r="AN94" s="11">
        <f>IFERROR(INDEX(Country_Context!$F$2:$F$87,MATCH($C94,Country_Context!$A$2:$A$87,0)),"")</f>
        <v/>
      </c>
      <c r="AO94" s="11">
        <f>IFERROR(INDEX(Country_Context!$G$2:$G$87,MATCH($C94,Country_Context!$A$2:$A$87,0)),"")</f>
        <v/>
      </c>
      <c r="AP94" s="12" t="inlineStr">
        <is>
          <t>https://api.worldbank.org/v2/country/RWA/indicator/NY.GNP.PCAP.PP.CD?format=json&amp;mrv=10 | https://data.worldbank.org/indicator/NY.GNP.PCAP.PP.CD | https://ilostat.ilo.org/data/indicator/?id=HOW_TEMP_SEX_ECO_NB_A&amp;ref_area=RWA | +4 more</t>
        </is>
      </c>
      <c r="AQ94" s="12" t="inlineStr">
        <is>
          <t>Tier 3, Tier 4</t>
        </is>
      </c>
      <c r="AR94" s="12" t="inlineStr">
        <is>
          <t>2024-12-31</t>
        </is>
      </c>
      <c r="AS94" s="12" t="inlineStr">
        <is>
          <t>providers=world_bank_col_estimate, derived, ilo_ilostat, who_gho; fields=gross_income, rent, utilities, transit_cost; +9 additional fields</t>
        </is>
      </c>
      <c r="AT94" s="12" t="inlineStr">
        <is>
          <t>https://api.worldbank.org/v2/country/RWA/indicator/VC.IHR.PSRC.P5?format=json&amp;mrv=10 | https://api.worldbank.org/v2/country/RWA/indicator/IT.NET.BBND.P2?format=json&amp;mrv=10 | https://worldweather.wmo.int</t>
        </is>
      </c>
      <c r="AU94" s="12" t="inlineStr">
        <is>
          <t>Tier 3</t>
        </is>
      </c>
      <c r="AV94" s="12" t="inlineStr">
        <is>
          <t>2024-12-31</t>
        </is>
      </c>
      <c r="AW94" s="12" t="inlineStr">
        <is>
          <t>providers=world_bank, wmo_natl_met; fields=personal_safety_raw, digital_infrastructure_raw, climate_sunlight_livability_raw</t>
        </is>
      </c>
      <c r="AX94" s="12" t="inlineStr">
        <is>
          <t>https://www.who.int/data/gho/data/indicators/indicator-details/GHO/UHC_INDEX_REPORTED | https://api.worldbank.org/v2/country/RWA/indicator/SE.TER.ENRR?format=json&amp;mrv=10 | https://api.worldbank.org/v2/country/RWA/indicator/SI.POV.GINI?format=json&amp;mrv=10 | +1 more</t>
        </is>
      </c>
      <c r="AY94" s="12" t="inlineStr">
        <is>
          <t>Tier 3</t>
        </is>
      </c>
      <c r="AZ94" s="12" t="inlineStr">
        <is>
          <t>2024-12-31</t>
        </is>
      </c>
      <c r="BA94" s="12" t="inlineStr">
        <is>
          <t>providers=who_gho, world_bank; fields=healthcare_quality_raw, education_quality_raw, equal_opportunity_raw, gini_coefficient</t>
        </is>
      </c>
      <c r="BB94" s="12" t="inlineStr">
        <is>
          <t>https://api.worldbank.org/v2/country/RWA/indicator/SM.POP.NETM?format=json&amp;mrv=10 | https://api.worldbank.org/v2/country/RWA/indicator/SG.GEN.PARL.ZS?format=json&amp;mrv=10 | https://api.worldbank.org/v2/country/RWA/indicator/ST.INT.ARVL?format=json&amp;mrv=10 | +1 more</t>
        </is>
      </c>
      <c r="BC94" s="12" t="inlineStr">
        <is>
          <t>Tier 3</t>
        </is>
      </c>
      <c r="BD94" s="12" t="inlineStr">
        <is>
          <t>2025-12-31</t>
        </is>
      </c>
      <c r="BE94" s="12" t="inlineStr">
        <is>
          <t>providers=world_bank; fields=hospitality_belonging_raw, tolerance_pluralism_raw, cultural_public_life_raw, birth_rate_optimism_raw</t>
        </is>
      </c>
      <c r="BF94" s="12" t="inlineStr">
        <is>
          <t>https://api.worldbank.org/v2/country/RWA/indicator/IC.BUS.NDNS.ZS?format=json&amp;mrv=10 | https://api.worldbank.org/v2/country/RWA/indicator/GB.XPD.RSDV.GD.ZS?format=json&amp;mrv=10 | https://api.worldbank.org/v2/country/RWA/indicator/BX.KLT.DINV.WD.GD.ZS?format=json&amp;mrv=10 | +3 more</t>
        </is>
      </c>
      <c r="BG94" s="12" t="inlineStr">
        <is>
          <t>Tier 3</t>
        </is>
      </c>
      <c r="BH94" s="12" t="inlineStr">
        <is>
          <t>2024-12-31</t>
        </is>
      </c>
      <c r="BI94" s="12" t="inlineStr">
        <is>
          <t>providers=world_bank; fields=entrepreneurial_dynamism_raw, innovation_research_intensity_raw, investment_signal_raw, administrative_investment_friction_raw; +2 additional fields</t>
        </is>
      </c>
      <c r="BJ94" s="9" t="n">
        <v>3.9</v>
      </c>
    </row>
    <row r="95">
      <c r="A95" s="9" t="inlineStr">
        <is>
          <t>ma-casablanca</t>
        </is>
      </c>
      <c r="B95" s="9" t="inlineStr">
        <is>
          <t>Casablanca</t>
        </is>
      </c>
      <c r="C95" s="9" t="inlineStr">
        <is>
          <t>Morocco</t>
        </is>
      </c>
      <c r="D95" s="9" t="inlineStr">
        <is>
          <t>Africa</t>
        </is>
      </c>
      <c r="E95" s="9" t="inlineStr">
        <is>
          <t>primary</t>
        </is>
      </c>
      <c r="F95" s="9" t="inlineStr">
        <is>
          <t>provisional</t>
        </is>
      </c>
      <c r="G95" s="10" t="n">
        <v>855</v>
      </c>
      <c r="H95" s="10" t="n">
        <v>162.45</v>
      </c>
      <c r="I95" s="10" t="n">
        <v>48.73</v>
      </c>
      <c r="J95" s="10" t="n">
        <v>32.49</v>
      </c>
      <c r="K95" s="10" t="n">
        <v>12.18</v>
      </c>
      <c r="L95" s="10" t="n">
        <v>203.06</v>
      </c>
      <c r="M95" s="11" t="inlineStr"/>
      <c r="N95" s="10" t="n">
        <v>19</v>
      </c>
      <c r="O95" s="10" t="n">
        <v>54.7741</v>
      </c>
      <c r="P95" s="11">
        <f>IF($O95&lt;&gt;"",$O95,$AO95)</f>
        <v/>
      </c>
      <c r="Q95" s="10" t="n">
        <v>44</v>
      </c>
      <c r="R95" s="10" t="n">
        <v>2.91</v>
      </c>
      <c r="S95" s="10" t="n">
        <v>1.71</v>
      </c>
      <c r="T95" s="10" t="inlineStr"/>
      <c r="U95" s="10" t="inlineStr"/>
      <c r="V95" s="10" t="n">
        <v>79.98</v>
      </c>
      <c r="W95" s="10" t="n">
        <v>7.02</v>
      </c>
      <c r="X95" s="9" t="n">
        <v>68</v>
      </c>
      <c r="Y95" s="10" t="n">
        <v>65</v>
      </c>
      <c r="Z95" s="10" t="n">
        <v>48.18</v>
      </c>
      <c r="AA95" s="10" t="inlineStr"/>
      <c r="AB95" s="10" t="n">
        <v>48.52</v>
      </c>
      <c r="AC95" s="10" t="n">
        <v>24.3</v>
      </c>
      <c r="AD95" s="10" t="n">
        <v>73.58</v>
      </c>
      <c r="AE95" s="10" t="n">
        <v>2.57</v>
      </c>
      <c r="AF95" s="10" t="n">
        <v>73.61</v>
      </c>
      <c r="AG95" s="10" t="n">
        <v>1.02</v>
      </c>
      <c r="AH95" s="10" t="n">
        <v>2.56</v>
      </c>
      <c r="AI95" s="10" t="inlineStr"/>
      <c r="AJ95" s="11">
        <f>IFERROR(INDEX(Country_Context!$B$2:$B$87,MATCH($C95,Country_Context!$A$2:$A$87,0)),"")</f>
        <v/>
      </c>
      <c r="AK95" s="11">
        <f>IFERROR(INDEX(Country_Context!$C$2:$C$87,MATCH($C95,Country_Context!$A$2:$A$87,0)),"")</f>
        <v/>
      </c>
      <c r="AL95" s="11">
        <f>IFERROR(INDEX(Country_Context!$D$2:$D$87,MATCH($C95,Country_Context!$A$2:$A$87,0)),"")</f>
        <v/>
      </c>
      <c r="AM95" s="11">
        <f>IFERROR(INDEX(Country_Context!$E$2:$E$87,MATCH($C95,Country_Context!$A$2:$A$87,0)),"")</f>
        <v/>
      </c>
      <c r="AN95" s="11">
        <f>IFERROR(INDEX(Country_Context!$F$2:$F$87,MATCH($C95,Country_Context!$A$2:$A$87,0)),"")</f>
        <v/>
      </c>
      <c r="AO95" s="11">
        <f>IFERROR(INDEX(Country_Context!$G$2:$G$87,MATCH($C95,Country_Context!$A$2:$A$87,0)),"")</f>
        <v/>
      </c>
      <c r="AP95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95" s="12" t="inlineStr">
        <is>
          <t>Tier 3, Tier 4</t>
        </is>
      </c>
      <c r="AR95" s="12" t="inlineStr">
        <is>
          <t>2024-12-31</t>
        </is>
      </c>
      <c r="AS95" s="12" t="inlineStr">
        <is>
          <t>providers=world_bank_col_estimate, derived, ilo_ilostat, who_gho; fields=gross_income, rent, utilities, transit_cost; +9 additional fields</t>
        </is>
      </c>
      <c r="AT95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 | +1 more</t>
        </is>
      </c>
      <c r="AU95" s="12" t="inlineStr">
        <is>
          <t>Tier 3</t>
        </is>
      </c>
      <c r="AV95" s="12" t="inlineStr">
        <is>
          <t>2024-12-31</t>
        </is>
      </c>
      <c r="AW95" s="12" t="inlineStr">
        <is>
          <t>providers=world_bank, wmo_natl_met; fields=personal_safety_raw, water_sanitation_utility_raw, digital_infrastructure_raw, climate_sunlight_livability_raw</t>
        </is>
      </c>
      <c r="AX95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95" s="12" t="inlineStr">
        <is>
          <t>Tier 3</t>
        </is>
      </c>
      <c r="AZ95" s="12" t="inlineStr">
        <is>
          <t>2024-12-31</t>
        </is>
      </c>
      <c r="BA95" s="12" t="inlineStr">
        <is>
          <t>providers=who_gho, world_bank; fields=healthcare_quality_raw, education_quality_raw, gini_coefficient</t>
        </is>
      </c>
      <c r="BB95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95" s="12" t="inlineStr">
        <is>
          <t>Tier 3</t>
        </is>
      </c>
      <c r="BD95" s="12" t="inlineStr">
        <is>
          <t>2025-12-31</t>
        </is>
      </c>
      <c r="BE95" s="12" t="inlineStr">
        <is>
          <t>providers=world_bank; fields=hospitality_belonging_raw, tolerance_pluralism_raw, cultural_public_life_raw</t>
        </is>
      </c>
      <c r="BF95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95" s="12" t="inlineStr">
        <is>
          <t>Tier 3</t>
        </is>
      </c>
      <c r="BH95" s="12" t="inlineStr">
        <is>
          <t>2024-12-31</t>
        </is>
      </c>
      <c r="BI95" s="12" t="inlineStr">
        <is>
          <t>providers=world_bank; fields=entrepreneurial_dynamism_raw, innovation_research_intensity_raw, investment_signal_raw, administrative_investment_friction_raw; +2 additional fields</t>
        </is>
      </c>
      <c r="BJ95" s="9" t="inlineStr"/>
    </row>
    <row r="96">
      <c r="A96" s="9" t="inlineStr">
        <is>
          <t>mu-port-louis</t>
        </is>
      </c>
      <c r="B96" s="9" t="inlineStr">
        <is>
          <t>Port Louis</t>
        </is>
      </c>
      <c r="C96" s="9" t="inlineStr">
        <is>
          <t>Mauritius</t>
        </is>
      </c>
      <c r="D96" s="9" t="inlineStr">
        <is>
          <t>Africa</t>
        </is>
      </c>
      <c r="E96" s="9" t="inlineStr">
        <is>
          <t>secondary</t>
        </is>
      </c>
      <c r="F96" s="9" t="inlineStr">
        <is>
          <t>locked</t>
        </is>
      </c>
      <c r="G96" s="10" t="n">
        <v>2925</v>
      </c>
      <c r="H96" s="10" t="n">
        <v>526.5</v>
      </c>
      <c r="I96" s="10" t="n">
        <v>157.95</v>
      </c>
      <c r="J96" s="10" t="n">
        <v>105.3</v>
      </c>
      <c r="K96" s="10" t="n">
        <v>39.49</v>
      </c>
      <c r="L96" s="10" t="n">
        <v>658.12</v>
      </c>
      <c r="M96" s="11" t="inlineStr"/>
      <c r="N96" s="10" t="n">
        <v>18</v>
      </c>
      <c r="O96" s="10" t="n">
        <v>69.82210000000001</v>
      </c>
      <c r="P96" s="11">
        <f>IF($O96&lt;&gt;"",$O96,$AO96)</f>
        <v/>
      </c>
      <c r="Q96" s="10" t="n">
        <v>38.34</v>
      </c>
      <c r="R96" s="10" t="n">
        <v>10.52</v>
      </c>
      <c r="S96" s="10" t="n">
        <v>2.27</v>
      </c>
      <c r="T96" s="10" t="inlineStr"/>
      <c r="U96" s="10" t="inlineStr"/>
      <c r="V96" s="10" t="inlineStr"/>
      <c r="W96" s="10" t="n">
        <v>26.91</v>
      </c>
      <c r="X96" s="9" t="inlineStr"/>
      <c r="Y96" s="10" t="n">
        <v>75</v>
      </c>
      <c r="Z96" s="10" t="n">
        <v>45.78</v>
      </c>
      <c r="AA96" s="10" t="n">
        <v>36.8</v>
      </c>
      <c r="AB96" s="10" t="n">
        <v>47.77</v>
      </c>
      <c r="AC96" s="10" t="n">
        <v>19.4</v>
      </c>
      <c r="AD96" s="10" t="n">
        <v>253.66</v>
      </c>
      <c r="AE96" s="10" t="n">
        <v>9.59</v>
      </c>
      <c r="AF96" s="10" t="n">
        <v>0.23</v>
      </c>
      <c r="AG96" s="10" t="n">
        <v>4.56</v>
      </c>
      <c r="AH96" s="10" t="n">
        <v>1.44</v>
      </c>
      <c r="AI96" s="10" t="inlineStr"/>
      <c r="AJ96" s="11">
        <f>IFERROR(INDEX(Country_Context!$B$2:$B$87,MATCH($C96,Country_Context!$A$2:$A$87,0)),"")</f>
        <v/>
      </c>
      <c r="AK96" s="11">
        <f>IFERROR(INDEX(Country_Context!$C$2:$C$87,MATCH($C96,Country_Context!$A$2:$A$87,0)),"")</f>
        <v/>
      </c>
      <c r="AL96" s="11">
        <f>IFERROR(INDEX(Country_Context!$D$2:$D$87,MATCH($C96,Country_Context!$A$2:$A$87,0)),"")</f>
        <v/>
      </c>
      <c r="AM96" s="11">
        <f>IFERROR(INDEX(Country_Context!$E$2:$E$87,MATCH($C96,Country_Context!$A$2:$A$87,0)),"")</f>
        <v/>
      </c>
      <c r="AN96" s="11">
        <f>IFERROR(INDEX(Country_Context!$F$2:$F$87,MATCH($C96,Country_Context!$A$2:$A$87,0)),"")</f>
        <v/>
      </c>
      <c r="AO96" s="11">
        <f>IFERROR(INDEX(Country_Context!$G$2:$G$87,MATCH($C96,Country_Context!$A$2:$A$87,0)),"")</f>
        <v/>
      </c>
      <c r="AP96" s="12" t="inlineStr">
        <is>
          <t>https://api.worldbank.org/v2/country/MUS/indicator/NY.GNP.PCAP.PP.CD?format=json&amp;mrv=10 | https://data.worldbank.org/indicator/NY.GNP.PCAP.PP.CD | https://ilostat.ilo.org/data/indicator/?id=HOW_TEMP_SEX_ECO_NB_A&amp;ref_area=MUS | +4 more</t>
        </is>
      </c>
      <c r="AQ96" s="12" t="inlineStr">
        <is>
          <t>Tier 3, Tier 4</t>
        </is>
      </c>
      <c r="AR96" s="12" t="inlineStr">
        <is>
          <t>2024-12-31</t>
        </is>
      </c>
      <c r="AS96" s="12" t="inlineStr">
        <is>
          <t>providers=world_bank_col_estimate, derived, ilo_ilostat, who_gho; fields=gross_income, rent, utilities, transit_cost; +9 additional fields</t>
        </is>
      </c>
      <c r="AT96" s="12" t="inlineStr">
        <is>
          <t>https://api.worldbank.org/v2/country/MUS/indicator/VC.IHR.PSRC.P5?format=json&amp;mrv=10 | https://api.worldbank.org/v2/country/MUS/indicator/IT.NET.BBND.P2?format=json&amp;mrv=10</t>
        </is>
      </c>
      <c r="AU96" s="12" t="inlineStr">
        <is>
          <t>Tier 3</t>
        </is>
      </c>
      <c r="AV96" s="12" t="inlineStr">
        <is>
          <t>2023-12-31</t>
        </is>
      </c>
      <c r="AW96" s="12" t="inlineStr">
        <is>
          <t>providers=world_bank; fields=personal_safety_raw, digital_infrastructure_raw</t>
        </is>
      </c>
      <c r="AX96" s="12" t="inlineStr">
        <is>
          <t>https://www.who.int/data/gho/data/indicators/indicator-details/GHO/UHC_INDEX_REPORTED | https://api.worldbank.org/v2/country/MUS/indicator/SE.TER.ENRR?format=json&amp;mrv=10 | https://api.worldbank.org/v2/country/MUS/indicator/SI.POV.GINI?format=json&amp;mrv=10 | +1 more</t>
        </is>
      </c>
      <c r="AY96" s="12" t="inlineStr">
        <is>
          <t>Tier 3</t>
        </is>
      </c>
      <c r="AZ96" s="12" t="inlineStr">
        <is>
          <t>2024-12-31</t>
        </is>
      </c>
      <c r="BA96" s="12" t="inlineStr">
        <is>
          <t>providers=who_gho, world_bank; fields=healthcare_quality_raw, education_quality_raw, equal_opportunity_raw, gini_coefficient</t>
        </is>
      </c>
      <c r="BB96" s="12" t="inlineStr">
        <is>
          <t>https://api.worldbank.org/v2/country/MUS/indicator/SM.POP.NETM?format=json&amp;mrv=10 | https://api.worldbank.org/v2/country/MUS/indicator/SG.GEN.PARL.ZS?format=json&amp;mrv=10 | https://api.worldbank.org/v2/country/MUS/indicator/ST.INT.ARVL?format=json&amp;mrv=10</t>
        </is>
      </c>
      <c r="BC96" s="12" t="inlineStr">
        <is>
          <t>Tier 3</t>
        </is>
      </c>
      <c r="BD96" s="12" t="inlineStr">
        <is>
          <t>2025-12-31</t>
        </is>
      </c>
      <c r="BE96" s="12" t="inlineStr">
        <is>
          <t>providers=world_bank; fields=hospitality_belonging_raw, tolerance_pluralism_raw, cultural_public_life_raw</t>
        </is>
      </c>
      <c r="BF96" s="12" t="inlineStr">
        <is>
          <t>https://api.worldbank.org/v2/country/MUS/indicator/IC.BUS.NDNS.ZS?format=json&amp;mrv=10 | https://api.worldbank.org/v2/country/MUS/indicator/GB.XPD.RSDV.GD.ZS?format=json&amp;mrv=10 | https://api.worldbank.org/v2/country/MUS/indicator/BX.KLT.DINV.WD.GD.ZS?format=json&amp;mrv=10 | +3 more</t>
        </is>
      </c>
      <c r="BG96" s="12" t="inlineStr">
        <is>
          <t>Tier 3</t>
        </is>
      </c>
      <c r="BH96" s="12" t="inlineStr">
        <is>
          <t>2024-12-31</t>
        </is>
      </c>
      <c r="BI96" s="12" t="inlineStr">
        <is>
          <t>providers=world_bank; fields=entrepreneurial_dynamism_raw, innovation_research_intensity_raw, investment_signal_raw, administrative_investment_friction_raw; +2 additional fields</t>
        </is>
      </c>
      <c r="BJ96" s="9" t="inlineStr"/>
    </row>
    <row r="97">
      <c r="A97" s="9" t="inlineStr">
        <is>
          <t>bw-gaborone</t>
        </is>
      </c>
      <c r="B97" s="9" t="inlineStr">
        <is>
          <t>Gaborone</t>
        </is>
      </c>
      <c r="C97" s="9" t="inlineStr">
        <is>
          <t>Botswana</t>
        </is>
      </c>
      <c r="D97" s="9" t="inlineStr">
        <is>
          <t>Africa</t>
        </is>
      </c>
      <c r="E97" s="9" t="inlineStr">
        <is>
          <t>secondary</t>
        </is>
      </c>
      <c r="F97" s="9" t="inlineStr">
        <is>
          <t>locked</t>
        </is>
      </c>
      <c r="G97" s="10" t="n">
        <v>1714.17</v>
      </c>
      <c r="H97" s="10" t="n">
        <v>291.41</v>
      </c>
      <c r="I97" s="10" t="n">
        <v>87.42</v>
      </c>
      <c r="J97" s="10" t="n">
        <v>58.28</v>
      </c>
      <c r="K97" s="10" t="n">
        <v>21.86</v>
      </c>
      <c r="L97" s="10" t="n">
        <v>364.26</v>
      </c>
      <c r="M97" s="11" t="inlineStr"/>
      <c r="N97" s="10" t="n">
        <v>17.0001</v>
      </c>
      <c r="O97" s="10" t="n">
        <v>32.8462</v>
      </c>
      <c r="P97" s="11">
        <f>IF($O97&lt;&gt;"",$O97,$AO97)</f>
        <v/>
      </c>
      <c r="Q97" s="10" t="n">
        <v>42.92</v>
      </c>
      <c r="R97" s="10" t="n">
        <v>8.35</v>
      </c>
      <c r="S97" s="10" t="n">
        <v>11.37</v>
      </c>
      <c r="T97" s="10" t="inlineStr"/>
      <c r="U97" s="10" t="inlineStr"/>
      <c r="V97" s="10" t="n">
        <v>63.29</v>
      </c>
      <c r="W97" s="10" t="n">
        <v>3.41</v>
      </c>
      <c r="X97" s="9" t="inlineStr"/>
      <c r="Y97" s="10" t="n">
        <v>60</v>
      </c>
      <c r="Z97" s="10" t="n">
        <v>21.41</v>
      </c>
      <c r="AA97" s="10" t="n">
        <v>54.9</v>
      </c>
      <c r="AB97" s="10" t="n">
        <v>47.75</v>
      </c>
      <c r="AC97" s="10" t="n">
        <v>8.699999999999999</v>
      </c>
      <c r="AD97" s="10" t="n">
        <v>725.86</v>
      </c>
      <c r="AE97" s="10" t="n">
        <v>8.68</v>
      </c>
      <c r="AF97" s="10" t="n">
        <v>1.98</v>
      </c>
      <c r="AG97" s="10" t="n">
        <v>2.41</v>
      </c>
      <c r="AH97" s="10" t="n">
        <v>2</v>
      </c>
      <c r="AI97" s="10" t="inlineStr"/>
      <c r="AJ97" s="11">
        <f>IFERROR(INDEX(Country_Context!$B$2:$B$87,MATCH($C97,Country_Context!$A$2:$A$87,0)),"")</f>
        <v/>
      </c>
      <c r="AK97" s="11">
        <f>IFERROR(INDEX(Country_Context!$C$2:$C$87,MATCH($C97,Country_Context!$A$2:$A$87,0)),"")</f>
        <v/>
      </c>
      <c r="AL97" s="11">
        <f>IFERROR(INDEX(Country_Context!$D$2:$D$87,MATCH($C97,Country_Context!$A$2:$A$87,0)),"")</f>
        <v/>
      </c>
      <c r="AM97" s="11">
        <f>IFERROR(INDEX(Country_Context!$E$2:$E$87,MATCH($C97,Country_Context!$A$2:$A$87,0)),"")</f>
        <v/>
      </c>
      <c r="AN97" s="11">
        <f>IFERROR(INDEX(Country_Context!$F$2:$F$87,MATCH($C97,Country_Context!$A$2:$A$87,0)),"")</f>
        <v/>
      </c>
      <c r="AO97" s="11">
        <f>IFERROR(INDEX(Country_Context!$G$2:$G$87,MATCH($C97,Country_Context!$A$2:$A$87,0)),"")</f>
        <v/>
      </c>
      <c r="AP97" s="12" t="inlineStr">
        <is>
          <t>https://api.worldbank.org/v2/country/BWA/indicator/NY.GNP.PCAP.PP.CD?format=json&amp;mrv=10 | https://data.worldbank.org/indicator/NY.GNP.PCAP.PP.CD | https://ilostat.ilo.org/data/indicator/?id=HOW_TEMP_SEX_ECO_NB_A&amp;ref_area=BWA | +4 more</t>
        </is>
      </c>
      <c r="AQ97" s="12" t="inlineStr">
        <is>
          <t>Tier 3, Tier 4</t>
        </is>
      </c>
      <c r="AR97" s="12" t="inlineStr">
        <is>
          <t>2024-12-31</t>
        </is>
      </c>
      <c r="AS97" s="12" t="inlineStr">
        <is>
          <t>providers=world_bank_col_estimate, derived, ilo_ilostat, who_gho; fields=gross_income, rent, utilities, transit_cost; +9 additional fields</t>
        </is>
      </c>
      <c r="AT97" s="12" t="inlineStr">
        <is>
          <t>https://api.worldbank.org/v2/country/BWA/indicator/VC.IHR.PSRC.P5?format=json&amp;mrv=10 | https://api.worldbank.org/v2/country/BWA/indicator/SH.H2O.SMDW.ZS?format=json&amp;mrv=10 | https://api.worldbank.org/v2/country/BWA/indicator/IT.NET.BBND.P2?format=json&amp;mrv=10</t>
        </is>
      </c>
      <c r="AU97" s="12" t="inlineStr">
        <is>
          <t>Tier 3</t>
        </is>
      </c>
      <c r="AV97" s="12" t="inlineStr">
        <is>
          <t>2024-12-31</t>
        </is>
      </c>
      <c r="AW97" s="12" t="inlineStr">
        <is>
          <t>providers=world_bank; fields=personal_safety_raw, water_sanitation_utility_raw, digital_infrastructure_raw</t>
        </is>
      </c>
      <c r="AX97" s="12" t="inlineStr">
        <is>
          <t>https://www.who.int/data/gho/data/indicators/indicator-details/GHO/UHC_INDEX_REPORTED | https://api.worldbank.org/v2/country/BWA/indicator/SE.TER.ENRR?format=json&amp;mrv=10 | https://api.worldbank.org/v2/country/BWA/indicator/SI.POV.GINI?format=json&amp;mrv=10 | +1 more</t>
        </is>
      </c>
      <c r="AY97" s="12" t="inlineStr">
        <is>
          <t>Tier 3</t>
        </is>
      </c>
      <c r="AZ97" s="12" t="inlineStr">
        <is>
          <t>2024-12-31</t>
        </is>
      </c>
      <c r="BA97" s="12" t="inlineStr">
        <is>
          <t>providers=who_gho, world_bank; fields=healthcare_quality_raw, education_quality_raw, equal_opportunity_raw, gini_coefficient</t>
        </is>
      </c>
      <c r="BB97" s="12" t="inlineStr">
        <is>
          <t>https://api.worldbank.org/v2/country/BWA/indicator/SM.POP.NETM?format=json&amp;mrv=10 | https://api.worldbank.org/v2/country/BWA/indicator/SG.GEN.PARL.ZS?format=json&amp;mrv=10 | https://api.worldbank.org/v2/country/BWA/indicator/ST.INT.ARVL?format=json&amp;mrv=10</t>
        </is>
      </c>
      <c r="BC97" s="12" t="inlineStr">
        <is>
          <t>Tier 3</t>
        </is>
      </c>
      <c r="BD97" s="12" t="inlineStr">
        <is>
          <t>2025-12-31</t>
        </is>
      </c>
      <c r="BE97" s="12" t="inlineStr">
        <is>
          <t>providers=world_bank; fields=hospitality_belonging_raw, tolerance_pluralism_raw, cultural_public_life_raw</t>
        </is>
      </c>
      <c r="BF97" s="12" t="inlineStr">
        <is>
          <t>https://api.worldbank.org/v2/country/BWA/indicator/IC.BUS.NDNS.ZS?format=json&amp;mrv=10 | https://api.worldbank.org/v2/country/BWA/indicator/IP.PAT.RESD?format=json&amp;mrv=10 | https://api.worldbank.org/v2/country/BWA/indicator/BX.KLT.DINV.WD.GD.ZS?format=json&amp;mrv=10 | +3 more</t>
        </is>
      </c>
      <c r="BG97" s="12" t="inlineStr">
        <is>
          <t>Tier 3</t>
        </is>
      </c>
      <c r="BH97" s="12" t="inlineStr">
        <is>
          <t>2024-12-31</t>
        </is>
      </c>
      <c r="BI97" s="12" t="inlineStr">
        <is>
          <t>providers=world_bank; fields=entrepreneurial_dynamism_raw, innovation_research_intensity_raw, investment_signal_raw, administrative_investment_friction_raw; +2 additional fields</t>
        </is>
      </c>
      <c r="BJ97" s="9" t="inlineStr"/>
    </row>
    <row r="98">
      <c r="A98" s="9" t="inlineStr">
        <is>
          <t>na-windhoek</t>
        </is>
      </c>
      <c r="B98" s="9" t="inlineStr">
        <is>
          <t>Windhoek</t>
        </is>
      </c>
      <c r="C98" s="9" t="inlineStr">
        <is>
          <t>Namibia</t>
        </is>
      </c>
      <c r="D98" s="9" t="inlineStr">
        <is>
          <t>Africa</t>
        </is>
      </c>
      <c r="E98" s="9" t="inlineStr">
        <is>
          <t>secondary</t>
        </is>
      </c>
      <c r="F98" s="9" t="inlineStr">
        <is>
          <t>locked</t>
        </is>
      </c>
      <c r="G98" s="10" t="n">
        <v>941.67</v>
      </c>
      <c r="H98" s="10" t="n">
        <v>160.08</v>
      </c>
      <c r="I98" s="10" t="n">
        <v>48.03</v>
      </c>
      <c r="J98" s="10" t="n">
        <v>32.02</v>
      </c>
      <c r="K98" s="10" t="n">
        <v>12.01</v>
      </c>
      <c r="L98" s="10" t="n">
        <v>200.1</v>
      </c>
      <c r="M98" s="11" t="inlineStr"/>
      <c r="N98" s="10" t="n">
        <v>16.9996</v>
      </c>
      <c r="O98" s="10" t="n">
        <v>48.2075</v>
      </c>
      <c r="P98" s="11">
        <f>IF($O98&lt;&gt;"",$O98,$AO98)</f>
        <v/>
      </c>
      <c r="Q98" s="10" t="n">
        <v>44.91</v>
      </c>
      <c r="R98" s="10" t="n">
        <v>8.59</v>
      </c>
      <c r="S98" s="10" t="n">
        <v>11.21</v>
      </c>
      <c r="T98" s="10" t="inlineStr"/>
      <c r="U98" s="10" t="inlineStr"/>
      <c r="V98" s="10" t="inlineStr"/>
      <c r="W98" s="10" t="n">
        <v>3.52</v>
      </c>
      <c r="X98" s="9" t="inlineStr"/>
      <c r="Y98" s="10" t="n">
        <v>66</v>
      </c>
      <c r="Z98" s="10" t="n">
        <v>26.11</v>
      </c>
      <c r="AA98" s="10" t="n">
        <v>59.1</v>
      </c>
      <c r="AB98" s="10" t="n">
        <v>50.62</v>
      </c>
      <c r="AC98" s="10" t="n">
        <v>40.62</v>
      </c>
      <c r="AD98" s="10" t="n">
        <v>61.75</v>
      </c>
      <c r="AE98" s="10" t="n">
        <v>0.75</v>
      </c>
      <c r="AF98" s="10" t="n">
        <v>0.65</v>
      </c>
      <c r="AG98" s="10" t="n">
        <v>14.76</v>
      </c>
      <c r="AH98" s="10" t="n">
        <v>2.56</v>
      </c>
      <c r="AI98" s="10" t="inlineStr"/>
      <c r="AJ98" s="11">
        <f>IFERROR(INDEX(Country_Context!$B$2:$B$87,MATCH($C98,Country_Context!$A$2:$A$87,0)),"")</f>
        <v/>
      </c>
      <c r="AK98" s="11">
        <f>IFERROR(INDEX(Country_Context!$C$2:$C$87,MATCH($C98,Country_Context!$A$2:$A$87,0)),"")</f>
        <v/>
      </c>
      <c r="AL98" s="11">
        <f>IFERROR(INDEX(Country_Context!$D$2:$D$87,MATCH($C98,Country_Context!$A$2:$A$87,0)),"")</f>
        <v/>
      </c>
      <c r="AM98" s="11">
        <f>IFERROR(INDEX(Country_Context!$E$2:$E$87,MATCH($C98,Country_Context!$A$2:$A$87,0)),"")</f>
        <v/>
      </c>
      <c r="AN98" s="11">
        <f>IFERROR(INDEX(Country_Context!$F$2:$F$87,MATCH($C98,Country_Context!$A$2:$A$87,0)),"")</f>
        <v/>
      </c>
      <c r="AO98" s="11">
        <f>IFERROR(INDEX(Country_Context!$G$2:$G$87,MATCH($C98,Country_Context!$A$2:$A$87,0)),"")</f>
        <v/>
      </c>
      <c r="AP98" s="12" t="inlineStr">
        <is>
          <t>https://api.worldbank.org/v2/country/NAM/indicator/NY.GNP.PCAP.PP.CD?format=json&amp;mrv=10 | https://data.worldbank.org/indicator/NY.GNP.PCAP.PP.CD | https://ilostat.ilo.org/data/indicator/?id=HOW_TEMP_SEX_ECO_NB_A&amp;ref_area=NAM | +4 more</t>
        </is>
      </c>
      <c r="AQ98" s="12" t="inlineStr">
        <is>
          <t>Tier 3, Tier 4</t>
        </is>
      </c>
      <c r="AR98" s="12" t="inlineStr">
        <is>
          <t>2024-12-31</t>
        </is>
      </c>
      <c r="AS98" s="12" t="inlineStr">
        <is>
          <t>providers=world_bank_col_estimate, derived, ilo_ilostat, who_gho; fields=gross_income, rent, utilities, transit_cost; +9 additional fields</t>
        </is>
      </c>
      <c r="AT98" s="12" t="inlineStr">
        <is>
          <t>https://api.worldbank.org/v2/country/NAM/indicator/VC.IHR.PSRC.P5?format=json&amp;mrv=10 | https://api.worldbank.org/v2/country/NAM/indicator/IT.NET.BBND.P2?format=json&amp;mrv=10</t>
        </is>
      </c>
      <c r="AU98" s="12" t="inlineStr">
        <is>
          <t>Tier 3</t>
        </is>
      </c>
      <c r="AV98" s="12" t="inlineStr">
        <is>
          <t>2023-12-31</t>
        </is>
      </c>
      <c r="AW98" s="12" t="inlineStr">
        <is>
          <t>providers=world_bank; fields=personal_safety_raw, digital_infrastructure_raw</t>
        </is>
      </c>
      <c r="AX98" s="12" t="inlineStr">
        <is>
          <t>https://www.who.int/data/gho/data/indicators/indicator-details/GHO/UHC_INDEX_REPORTED | https://api.worldbank.org/v2/country/NAM/indicator/SE.TER.ENRR?format=json&amp;mrv=10 | https://api.worldbank.org/v2/country/NAM/indicator/SI.POV.GINI?format=json&amp;mrv=10 | +1 more</t>
        </is>
      </c>
      <c r="AY98" s="12" t="inlineStr">
        <is>
          <t>Tier 3</t>
        </is>
      </c>
      <c r="AZ98" s="12" t="inlineStr">
        <is>
          <t>2023-12-31</t>
        </is>
      </c>
      <c r="BA98" s="12" t="inlineStr">
        <is>
          <t>providers=who_gho, world_bank; fields=healthcare_quality_raw, education_quality_raw, equal_opportunity_raw, gini_coefficient</t>
        </is>
      </c>
      <c r="BB98" s="12" t="inlineStr">
        <is>
          <t>https://api.worldbank.org/v2/country/NAM/indicator/SM.POP.NETM?format=json&amp;mrv=10 | https://api.worldbank.org/v2/country/NAM/indicator/SG.GEN.PARL.ZS?format=json&amp;mrv=10 | https://api.worldbank.org/v2/country/NAM/indicator/ST.INT.ARVL?format=json&amp;mrv=10</t>
        </is>
      </c>
      <c r="BC98" s="12" t="inlineStr">
        <is>
          <t>Tier 3</t>
        </is>
      </c>
      <c r="BD98" s="12" t="inlineStr">
        <is>
          <t>2025-12-31</t>
        </is>
      </c>
      <c r="BE98" s="12" t="inlineStr">
        <is>
          <t>providers=world_bank; fields=hospitality_belonging_raw, tolerance_pluralism_raw, cultural_public_life_raw</t>
        </is>
      </c>
      <c r="BF98" s="12" t="inlineStr">
        <is>
          <t>https://api.worldbank.org/v2/country/NAM/indicator/IC.BUS.NDNS.ZS?format=json&amp;mrv=10 | https://api.worldbank.org/v2/country/NAM/indicator/GB.XPD.RSDV.GD.ZS?format=json&amp;mrv=10 | https://api.worldbank.org/v2/country/NAM/indicator/BX.KLT.DINV.WD.GD.ZS?format=json&amp;mrv=10 | +3 more</t>
        </is>
      </c>
      <c r="BG98" s="12" t="inlineStr">
        <is>
          <t>Tier 3</t>
        </is>
      </c>
      <c r="BH98" s="12" t="inlineStr">
        <is>
          <t>2024-12-31</t>
        </is>
      </c>
      <c r="BI98" s="12" t="inlineStr">
        <is>
          <t>providers=world_bank; fields=entrepreneurial_dynamism_raw, innovation_research_intensity_raw, investment_signal_raw, administrative_investment_friction_raw; +2 additional fields</t>
        </is>
      </c>
      <c r="BJ98" s="9" t="inlineStr"/>
    </row>
    <row r="99">
      <c r="A99" s="9" t="inlineStr">
        <is>
          <t>gh-accra</t>
        </is>
      </c>
      <c r="B99" s="9" t="inlineStr">
        <is>
          <t>Accra</t>
        </is>
      </c>
      <c r="C99" s="9" t="inlineStr">
        <is>
          <t>Ghana</t>
        </is>
      </c>
      <c r="D99" s="9" t="inlineStr">
        <is>
          <t>Africa</t>
        </is>
      </c>
      <c r="E99" s="9" t="inlineStr">
        <is>
          <t>secondary</t>
        </is>
      </c>
      <c r="F99" s="9" t="inlineStr">
        <is>
          <t>locked</t>
        </is>
      </c>
      <c r="G99" s="10" t="n">
        <v>643.33</v>
      </c>
      <c r="H99" s="10" t="n">
        <v>135.1</v>
      </c>
      <c r="I99" s="10" t="n">
        <v>40.53</v>
      </c>
      <c r="J99" s="10" t="n">
        <v>27.02</v>
      </c>
      <c r="K99" s="10" t="n">
        <v>10.13</v>
      </c>
      <c r="L99" s="10" t="n">
        <v>168.87</v>
      </c>
      <c r="M99" s="11" t="inlineStr"/>
      <c r="N99" s="10" t="n">
        <v>21.0001</v>
      </c>
      <c r="O99" s="10" t="n">
        <v>8.651199999999999</v>
      </c>
      <c r="P99" s="11">
        <f>IF($O99&lt;&gt;"",$O99,$AO99)</f>
        <v/>
      </c>
      <c r="Q99" s="10" t="n">
        <v>35.53</v>
      </c>
      <c r="R99" s="10" t="n">
        <v>5.32</v>
      </c>
      <c r="S99" s="10" t="n">
        <v>1.83</v>
      </c>
      <c r="T99" s="10" t="inlineStr"/>
      <c r="U99" s="10" t="inlineStr"/>
      <c r="V99" s="10" t="n">
        <v>42.94</v>
      </c>
      <c r="W99" s="10" t="n">
        <v>0.5600000000000001</v>
      </c>
      <c r="X99" s="9" t="n">
        <v>56</v>
      </c>
      <c r="Y99" s="10" t="n">
        <v>56</v>
      </c>
      <c r="Z99" s="10" t="n">
        <v>22.1</v>
      </c>
      <c r="AA99" s="10" t="n">
        <v>43.5</v>
      </c>
      <c r="AB99" s="10" t="n">
        <v>49.5</v>
      </c>
      <c r="AC99" s="10" t="n">
        <v>14.55</v>
      </c>
      <c r="AD99" s="10" t="n">
        <v>34.64</v>
      </c>
      <c r="AE99" s="10" t="n">
        <v>1.32</v>
      </c>
      <c r="AF99" s="10" t="n">
        <v>0.58</v>
      </c>
      <c r="AG99" s="10" t="n">
        <v>2.15</v>
      </c>
      <c r="AH99" s="10" t="n">
        <v>2.68</v>
      </c>
      <c r="AI99" s="10" t="inlineStr"/>
      <c r="AJ99" s="11">
        <f>IFERROR(INDEX(Country_Context!$B$2:$B$87,MATCH($C99,Country_Context!$A$2:$A$87,0)),"")</f>
        <v/>
      </c>
      <c r="AK99" s="11">
        <f>IFERROR(INDEX(Country_Context!$C$2:$C$87,MATCH($C99,Country_Context!$A$2:$A$87,0)),"")</f>
        <v/>
      </c>
      <c r="AL99" s="11">
        <f>IFERROR(INDEX(Country_Context!$D$2:$D$87,MATCH($C99,Country_Context!$A$2:$A$87,0)),"")</f>
        <v/>
      </c>
      <c r="AM99" s="11">
        <f>IFERROR(INDEX(Country_Context!$E$2:$E$87,MATCH($C99,Country_Context!$A$2:$A$87,0)),"")</f>
        <v/>
      </c>
      <c r="AN99" s="11">
        <f>IFERROR(INDEX(Country_Context!$F$2:$F$87,MATCH($C99,Country_Context!$A$2:$A$87,0)),"")</f>
        <v/>
      </c>
      <c r="AO99" s="11">
        <f>IFERROR(INDEX(Country_Context!$G$2:$G$87,MATCH($C99,Country_Context!$A$2:$A$87,0)),"")</f>
        <v/>
      </c>
      <c r="AP99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99" s="12" t="inlineStr">
        <is>
          <t>Tier 3, Tier 4</t>
        </is>
      </c>
      <c r="AR99" s="12" t="inlineStr">
        <is>
          <t>2024-12-31</t>
        </is>
      </c>
      <c r="AS99" s="12" t="inlineStr">
        <is>
          <t>providers=world_bank_col_estimate, derived, ilo_ilostat, who_gho; fields=gross_income, rent, utilities, transit_cost; +9 additional fields</t>
        </is>
      </c>
      <c r="AT99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 | +1 more</t>
        </is>
      </c>
      <c r="AU99" s="12" t="inlineStr">
        <is>
          <t>Tier 3</t>
        </is>
      </c>
      <c r="AV99" s="12" t="inlineStr">
        <is>
          <t>2024-12-31</t>
        </is>
      </c>
      <c r="AW99" s="12" t="inlineStr">
        <is>
          <t>providers=world_bank, wmo_natl_met; fields=personal_safety_raw, water_sanitation_utility_raw, digital_infrastructure_raw, climate_sunlight_livability_raw</t>
        </is>
      </c>
      <c r="AX99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99" s="12" t="inlineStr">
        <is>
          <t>Tier 3</t>
        </is>
      </c>
      <c r="AZ99" s="12" t="inlineStr">
        <is>
          <t>2023-12-31</t>
        </is>
      </c>
      <c r="BA99" s="12" t="inlineStr">
        <is>
          <t>providers=who_gho, world_bank; fields=healthcare_quality_raw, education_quality_raw, equal_opportunity_raw, gini_coefficient</t>
        </is>
      </c>
      <c r="BB99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99" s="12" t="inlineStr">
        <is>
          <t>Tier 3</t>
        </is>
      </c>
      <c r="BD99" s="12" t="inlineStr">
        <is>
          <t>2025-12-31</t>
        </is>
      </c>
      <c r="BE99" s="12" t="inlineStr">
        <is>
          <t>providers=world_bank; fields=hospitality_belonging_raw, tolerance_pluralism_raw, cultural_public_life_raw, birth_rate_optimism_raw</t>
        </is>
      </c>
      <c r="BF99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99" s="12" t="inlineStr">
        <is>
          <t>Tier 3</t>
        </is>
      </c>
      <c r="BH99" s="12" t="inlineStr">
        <is>
          <t>2024-12-31</t>
        </is>
      </c>
      <c r="BI99" s="12" t="inlineStr">
        <is>
          <t>providers=world_bank; fields=entrepreneurial_dynamism_raw, innovation_research_intensity_raw, investment_signal_raw, administrative_investment_friction_raw; +2 additional fields</t>
        </is>
      </c>
      <c r="BJ99" s="9" t="n">
        <v>3.6</v>
      </c>
    </row>
    <row r="100">
      <c r="A100" s="9" t="inlineStr">
        <is>
          <t>sn-dakar</t>
        </is>
      </c>
      <c r="B100" s="9" t="inlineStr">
        <is>
          <t>Dakar</t>
        </is>
      </c>
      <c r="C100" s="9" t="inlineStr">
        <is>
          <t>Senegal</t>
        </is>
      </c>
      <c r="D100" s="9" t="inlineStr">
        <is>
          <t>Africa</t>
        </is>
      </c>
      <c r="E100" s="9" t="inlineStr">
        <is>
          <t>secondary</t>
        </is>
      </c>
      <c r="F100" s="9" t="inlineStr">
        <is>
          <t>provisional</t>
        </is>
      </c>
      <c r="G100" s="10" t="n">
        <v>410</v>
      </c>
      <c r="H100" s="10" t="n">
        <v>77.90000000000001</v>
      </c>
      <c r="I100" s="10" t="n">
        <v>23.37</v>
      </c>
      <c r="J100" s="10" t="n">
        <v>15.58</v>
      </c>
      <c r="K100" s="10" t="n">
        <v>5.84</v>
      </c>
      <c r="L100" s="10" t="n">
        <v>97.38</v>
      </c>
      <c r="M100" s="11" t="inlineStr"/>
      <c r="N100" s="10" t="n">
        <v>19</v>
      </c>
      <c r="O100" s="10" t="n">
        <v>29.205</v>
      </c>
      <c r="P100" s="11">
        <f>IF($O100&lt;&gt;"",$O100,$AO100)</f>
        <v/>
      </c>
      <c r="Q100" s="10" t="n">
        <v>48.31</v>
      </c>
      <c r="R100" s="10" t="n">
        <v>6.76</v>
      </c>
      <c r="S100" s="10" t="inlineStr"/>
      <c r="T100" s="10" t="inlineStr"/>
      <c r="U100" s="10" t="inlineStr"/>
      <c r="V100" s="10" t="n">
        <v>27.19</v>
      </c>
      <c r="W100" s="10" t="n">
        <v>1.97</v>
      </c>
      <c r="X100" s="9" t="inlineStr"/>
      <c r="Y100" s="10" t="n">
        <v>48</v>
      </c>
      <c r="Z100" s="10" t="n">
        <v>15.33</v>
      </c>
      <c r="AA100" s="10" t="n">
        <v>36.2</v>
      </c>
      <c r="AB100" s="10" t="n">
        <v>49.32</v>
      </c>
      <c r="AC100" s="10" t="n">
        <v>41.21</v>
      </c>
      <c r="AD100" s="10" t="n">
        <v>74.37</v>
      </c>
      <c r="AE100" s="10" t="n">
        <v>1.3</v>
      </c>
      <c r="AF100" s="10" t="inlineStr"/>
      <c r="AG100" s="10" t="n">
        <v>6.15</v>
      </c>
      <c r="AH100" s="10" t="n">
        <v>2.85</v>
      </c>
      <c r="AI100" s="10" t="inlineStr"/>
      <c r="AJ100" s="11">
        <f>IFERROR(INDEX(Country_Context!$B$2:$B$87,MATCH($C100,Country_Context!$A$2:$A$87,0)),"")</f>
        <v/>
      </c>
      <c r="AK100" s="11">
        <f>IFERROR(INDEX(Country_Context!$C$2:$C$87,MATCH($C100,Country_Context!$A$2:$A$87,0)),"")</f>
        <v/>
      </c>
      <c r="AL100" s="11">
        <f>IFERROR(INDEX(Country_Context!$D$2:$D$87,MATCH($C100,Country_Context!$A$2:$A$87,0)),"")</f>
        <v/>
      </c>
      <c r="AM100" s="11">
        <f>IFERROR(INDEX(Country_Context!$E$2:$E$87,MATCH($C100,Country_Context!$A$2:$A$87,0)),"")</f>
        <v/>
      </c>
      <c r="AN100" s="11">
        <f>IFERROR(INDEX(Country_Context!$F$2:$F$87,MATCH($C100,Country_Context!$A$2:$A$87,0)),"")</f>
        <v/>
      </c>
      <c r="AO100" s="11">
        <f>IFERROR(INDEX(Country_Context!$G$2:$G$87,MATCH($C100,Country_Context!$A$2:$A$87,0)),"")</f>
        <v/>
      </c>
      <c r="AP100" s="12" t="inlineStr">
        <is>
          <t>https://api.worldbank.org/v2/country/SEN/indicator/NY.GNP.PCAP.PP.CD?format=json&amp;mrv=10 | https://data.worldbank.org/indicator/NY.GNP.PCAP.PP.CD | https://ilostat.ilo.org/data/indicator/?id=HOW_TEMP_SEX_ECO_NB_A&amp;ref_area=SEN | +4 more</t>
        </is>
      </c>
      <c r="AQ100" s="12" t="inlineStr">
        <is>
          <t>Tier 3, Tier 4</t>
        </is>
      </c>
      <c r="AR100" s="12" t="inlineStr">
        <is>
          <t>2024-12-31</t>
        </is>
      </c>
      <c r="AS100" s="12" t="inlineStr">
        <is>
          <t>providers=world_bank_col_estimate, derived, ilo_ilostat, who_gho; fields=gross_income, rent, utilities, transit_cost; +9 additional fields</t>
        </is>
      </c>
      <c r="AT100" s="12" t="inlineStr">
        <is>
          <t>https://api.worldbank.org/v2/country/SEN/indicator/SH.H2O.SMDW.ZS?format=json&amp;mrv=10 | https://api.worldbank.org/v2/country/SEN/indicator/IT.NET.BBND.P2?format=json&amp;mrv=10</t>
        </is>
      </c>
      <c r="AU100" s="12" t="inlineStr">
        <is>
          <t>Tier 3</t>
        </is>
      </c>
      <c r="AV100" s="12" t="inlineStr">
        <is>
          <t>2024-12-31</t>
        </is>
      </c>
      <c r="AW100" s="12" t="inlineStr">
        <is>
          <t>providers=world_bank; fields=water_sanitation_utility_raw, digital_infrastructure_raw</t>
        </is>
      </c>
      <c r="AX100" s="12" t="inlineStr">
        <is>
          <t>https://www.who.int/data/gho/data/indicators/indicator-details/GHO/UHC_INDEX_REPORTED | https://api.worldbank.org/v2/country/SEN/indicator/SE.TER.ENRR?format=json&amp;mrv=10 | https://api.worldbank.org/v2/country/SEN/indicator/SI.POV.GINI?format=json&amp;mrv=10 | +1 more</t>
        </is>
      </c>
      <c r="AY100" s="12" t="inlineStr">
        <is>
          <t>Tier 3</t>
        </is>
      </c>
      <c r="AZ100" s="12" t="inlineStr">
        <is>
          <t>2024-12-31</t>
        </is>
      </c>
      <c r="BA100" s="12" t="inlineStr">
        <is>
          <t>providers=who_gho, world_bank; fields=healthcare_quality_raw, education_quality_raw, equal_opportunity_raw, gini_coefficient</t>
        </is>
      </c>
      <c r="BB100" s="12" t="inlineStr">
        <is>
          <t>https://api.worldbank.org/v2/country/SEN/indicator/SM.POP.NETM?format=json&amp;mrv=10 | https://api.worldbank.org/v2/country/SEN/indicator/SG.GEN.PARL.ZS?format=json&amp;mrv=10 | https://api.worldbank.org/v2/country/SEN/indicator/ST.INT.ARVL?format=json&amp;mrv=10 | +1 more</t>
        </is>
      </c>
      <c r="BC100" s="12" t="inlineStr">
        <is>
          <t>Tier 3</t>
        </is>
      </c>
      <c r="BD100" s="12" t="inlineStr">
        <is>
          <t>2025-12-31</t>
        </is>
      </c>
      <c r="BE100" s="12" t="inlineStr">
        <is>
          <t>providers=world_bank; fields=hospitality_belonging_raw, tolerance_pluralism_raw, cultural_public_life_raw, birth_rate_optimism_raw</t>
        </is>
      </c>
      <c r="BF100" s="12" t="inlineStr">
        <is>
          <t>https://api.worldbank.org/v2/country/SEN/indicator/IC.BUS.NDNS.ZS?format=json&amp;mrv=10 | https://api.worldbank.org/v2/country/SEN/indicator/BX.KLT.DINV.WD.GD.ZS?format=json&amp;mrv=10 | https://api.worldbank.org/v2/country/SEN/indicator/RQ.EST?format=json&amp;mrv=10 | +2 more</t>
        </is>
      </c>
      <c r="BG100" s="12" t="inlineStr">
        <is>
          <t>Tier 3</t>
        </is>
      </c>
      <c r="BH100" s="12" t="inlineStr">
        <is>
          <t>2024-12-31</t>
        </is>
      </c>
      <c r="BI100" s="12" t="inlineStr">
        <is>
          <t>providers=world_bank; fields=entrepreneurial_dynamism_raw, investment_signal_raw, administrative_investment_friction_raw, gdp_per_capita_ppp; +1 additional fields</t>
        </is>
      </c>
      <c r="BJ100" s="9" t="n">
        <v>4.2</v>
      </c>
    </row>
    <row r="101">
      <c r="A101" s="9" t="inlineStr">
        <is>
          <t>nz-auckland</t>
        </is>
      </c>
      <c r="B101" s="9" t="inlineStr">
        <is>
          <t>Auckland</t>
        </is>
      </c>
      <c r="C101" s="9" t="inlineStr">
        <is>
          <t>New Zealand</t>
        </is>
      </c>
      <c r="D101" s="9" t="inlineStr">
        <is>
          <t>Oceania</t>
        </is>
      </c>
      <c r="E101" s="9" t="inlineStr">
        <is>
          <t>primary</t>
        </is>
      </c>
      <c r="F101" s="9" t="inlineStr">
        <is>
          <t>locked</t>
        </is>
      </c>
      <c r="G101" s="10" t="n">
        <v>4466.67</v>
      </c>
      <c r="H101" s="10" t="n">
        <v>1541</v>
      </c>
      <c r="I101" s="10" t="n">
        <v>308.2</v>
      </c>
      <c r="J101" s="10" t="n">
        <v>205.47</v>
      </c>
      <c r="K101" s="10" t="n">
        <v>77.05</v>
      </c>
      <c r="L101" s="10" t="n">
        <v>770.5</v>
      </c>
      <c r="M101" s="11" t="inlineStr"/>
      <c r="N101" s="10" t="n">
        <v>34.5</v>
      </c>
      <c r="O101" s="10" t="n">
        <v>129.7971</v>
      </c>
      <c r="P101" s="11">
        <f>IF($O101&lt;&gt;"",$O101,$AO101)</f>
        <v/>
      </c>
      <c r="Q101" s="10" t="n">
        <v>33</v>
      </c>
      <c r="R101" s="10" t="n">
        <v>11.92</v>
      </c>
      <c r="S101" s="10" t="n">
        <v>1.46</v>
      </c>
      <c r="T101" s="10" t="inlineStr"/>
      <c r="U101" s="10" t="inlineStr"/>
      <c r="V101" s="10" t="n">
        <v>100</v>
      </c>
      <c r="W101" s="10" t="n">
        <v>37.85</v>
      </c>
      <c r="X101" s="9" t="n">
        <v>58</v>
      </c>
      <c r="Y101" s="10" t="n">
        <v>89</v>
      </c>
      <c r="Z101" s="10" t="n">
        <v>76.38</v>
      </c>
      <c r="AA101" s="10" t="inlineStr"/>
      <c r="AB101" s="10" t="n">
        <v>53.29</v>
      </c>
      <c r="AC101" s="10" t="n">
        <v>45.53</v>
      </c>
      <c r="AD101" s="10" t="n">
        <v>188.37</v>
      </c>
      <c r="AE101" s="10" t="n">
        <v>16.32</v>
      </c>
      <c r="AF101" s="10" t="n">
        <v>1.47</v>
      </c>
      <c r="AG101" s="10" t="n">
        <v>0.68</v>
      </c>
      <c r="AH101" s="10" t="n">
        <v>0.59</v>
      </c>
      <c r="AI101" s="10" t="inlineStr"/>
      <c r="AJ101" s="11">
        <f>IFERROR(INDEX(Country_Context!$B$2:$B$87,MATCH($C101,Country_Context!$A$2:$A$87,0)),"")</f>
        <v/>
      </c>
      <c r="AK101" s="11">
        <f>IFERROR(INDEX(Country_Context!$C$2:$C$87,MATCH($C101,Country_Context!$A$2:$A$87,0)),"")</f>
        <v/>
      </c>
      <c r="AL101" s="11">
        <f>IFERROR(INDEX(Country_Context!$D$2:$D$87,MATCH($C101,Country_Context!$A$2:$A$87,0)),"")</f>
        <v/>
      </c>
      <c r="AM101" s="11">
        <f>IFERROR(INDEX(Country_Context!$E$2:$E$87,MATCH($C101,Country_Context!$A$2:$A$87,0)),"")</f>
        <v/>
      </c>
      <c r="AN101" s="11">
        <f>IFERROR(INDEX(Country_Context!$F$2:$F$87,MATCH($C101,Country_Context!$A$2:$A$87,0)),"")</f>
        <v/>
      </c>
      <c r="AO101" s="11">
        <f>IFERROR(INDEX(Country_Context!$G$2:$G$87,MATCH($C101,Country_Context!$A$2:$A$87,0)),"")</f>
        <v/>
      </c>
      <c r="AP101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1" s="12" t="inlineStr">
        <is>
          <t>Tier 3, Tier 4</t>
        </is>
      </c>
      <c r="AR101" s="12" t="inlineStr">
        <is>
          <t>2024-12-31</t>
        </is>
      </c>
      <c r="AS101" s="12" t="inlineStr">
        <is>
          <t>providers=world_bank_col_estimate, derived, ilo_ilostat, who_gho; fields=gross_income, rent, utilities, transit_cost; +9 additional fields</t>
        </is>
      </c>
      <c r="AT101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1" s="12" t="inlineStr">
        <is>
          <t>Tier 3</t>
        </is>
      </c>
      <c r="AV101" s="12" t="inlineStr">
        <is>
          <t>2024-12-31</t>
        </is>
      </c>
      <c r="AW101" s="12" t="inlineStr">
        <is>
          <t>providers=world_bank, wmo_natl_met; fields=personal_safety_raw, water_sanitation_utility_raw, digital_infrastructure_raw, climate_sunlight_livability_raw</t>
        </is>
      </c>
      <c r="AX101" s="12" t="inlineStr">
        <is>
          <t>https://www.who.int/data/gho/data/indicators/indicator-details/GHO/UHC_INDEX_REPORTED | https://api.worldbank.org/v2/country/NZL/indicator/SE.TER.ENRR?format=json&amp;mrv=10</t>
        </is>
      </c>
      <c r="AY101" s="12" t="inlineStr">
        <is>
          <t>Tier 3</t>
        </is>
      </c>
      <c r="AZ101" s="12" t="inlineStr">
        <is>
          <t>2023-12-31</t>
        </is>
      </c>
      <c r="BA101" s="12" t="inlineStr">
        <is>
          <t>providers=who_gho, world_bank; fields=healthcare_quality_raw, education_quality_raw</t>
        </is>
      </c>
      <c r="BB101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1" s="12" t="inlineStr">
        <is>
          <t>Tier 3</t>
        </is>
      </c>
      <c r="BD101" s="12" t="inlineStr">
        <is>
          <t>2025-12-31</t>
        </is>
      </c>
      <c r="BE101" s="12" t="inlineStr">
        <is>
          <t>providers=world_bank; fields=hospitality_belonging_raw, tolerance_pluralism_raw, cultural_public_life_raw, birth_rate_optimism_raw</t>
        </is>
      </c>
      <c r="BF101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1" s="12" t="inlineStr">
        <is>
          <t>Tier 3</t>
        </is>
      </c>
      <c r="BH101" s="12" t="inlineStr">
        <is>
          <t>2024-12-31</t>
        </is>
      </c>
      <c r="BI101" s="12" t="inlineStr">
        <is>
          <t>providers=world_bank; fields=entrepreneurial_dynamism_raw, innovation_research_intensity_raw, investment_signal_raw, administrative_investment_friction_raw; +2 additional fields</t>
        </is>
      </c>
      <c r="BJ101" s="9" t="n">
        <v>1.56</v>
      </c>
    </row>
    <row r="102">
      <c r="A102" s="9" t="inlineStr">
        <is>
          <t>au-sydney</t>
        </is>
      </c>
      <c r="B102" s="9" t="inlineStr">
        <is>
          <t>Sydney</t>
        </is>
      </c>
      <c r="C102" s="9" t="inlineStr">
        <is>
          <t>Australia</t>
        </is>
      </c>
      <c r="D102" s="9" t="inlineStr">
        <is>
          <t>Oceania</t>
        </is>
      </c>
      <c r="E102" s="9" t="inlineStr">
        <is>
          <t>primary</t>
        </is>
      </c>
      <c r="F102" s="9" t="inlineStr">
        <is>
          <t>provisional</t>
        </is>
      </c>
      <c r="G102" s="10" t="n">
        <v>6380</v>
      </c>
      <c r="H102" s="10" t="n">
        <v>2392.5</v>
      </c>
      <c r="I102" s="10" t="n">
        <v>478.5</v>
      </c>
      <c r="J102" s="10" t="n">
        <v>319</v>
      </c>
      <c r="K102" s="10" t="n">
        <v>119.62</v>
      </c>
      <c r="L102" s="10" t="n">
        <v>1196.25</v>
      </c>
      <c r="M102" s="11" t="inlineStr"/>
      <c r="N102" s="10" t="n">
        <v>37.5</v>
      </c>
      <c r="O102" s="10" t="n">
        <v>129.3173</v>
      </c>
      <c r="P102" s="11">
        <f>IF($O102&lt;&gt;"",$O102,$AO102)</f>
        <v/>
      </c>
      <c r="Q102" s="10" t="n">
        <v>32.29</v>
      </c>
      <c r="R102" s="10" t="n">
        <v>13.08</v>
      </c>
      <c r="S102" s="10" t="n">
        <v>0.85</v>
      </c>
      <c r="T102" s="10" t="inlineStr"/>
      <c r="U102" s="10" t="inlineStr"/>
      <c r="V102" s="10" t="inlineStr"/>
      <c r="W102" s="10" t="n">
        <v>36.6</v>
      </c>
      <c r="X102" s="9" t="n">
        <v>72</v>
      </c>
      <c r="Y102" s="10" t="n">
        <v>89</v>
      </c>
      <c r="Z102" s="10" t="n">
        <v>104.65</v>
      </c>
      <c r="AA102" s="10" t="n">
        <v>33.8</v>
      </c>
      <c r="AB102" s="10" t="n">
        <v>55.04</v>
      </c>
      <c r="AC102" s="10" t="n">
        <v>38</v>
      </c>
      <c r="AD102" s="10" t="n">
        <v>67.20999999999999</v>
      </c>
      <c r="AE102" s="10" t="n">
        <v>17.26</v>
      </c>
      <c r="AF102" s="10" t="n">
        <v>1.86</v>
      </c>
      <c r="AG102" s="10" t="n">
        <v>3.04</v>
      </c>
      <c r="AH102" s="10" t="n">
        <v>0.5600000000000001</v>
      </c>
      <c r="AI102" s="10" t="inlineStr"/>
      <c r="AJ102" s="11">
        <f>IFERROR(INDEX(Country_Context!$B$2:$B$87,MATCH($C102,Country_Context!$A$2:$A$87,0)),"")</f>
        <v/>
      </c>
      <c r="AK102" s="11">
        <f>IFERROR(INDEX(Country_Context!$C$2:$C$87,MATCH($C102,Country_Context!$A$2:$A$87,0)),"")</f>
        <v/>
      </c>
      <c r="AL102" s="11">
        <f>IFERROR(INDEX(Country_Context!$D$2:$D$87,MATCH($C102,Country_Context!$A$2:$A$87,0)),"")</f>
        <v/>
      </c>
      <c r="AM102" s="11">
        <f>IFERROR(INDEX(Country_Context!$E$2:$E$87,MATCH($C102,Country_Context!$A$2:$A$87,0)),"")</f>
        <v/>
      </c>
      <c r="AN102" s="11">
        <f>IFERROR(INDEX(Country_Context!$F$2:$F$87,MATCH($C102,Country_Context!$A$2:$A$87,0)),"")</f>
        <v/>
      </c>
      <c r="AO102" s="11">
        <f>IFERROR(INDEX(Country_Context!$G$2:$G$87,MATCH($C102,Country_Context!$A$2:$A$87,0)),"")</f>
        <v/>
      </c>
      <c r="AP102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2" s="12" t="inlineStr">
        <is>
          <t>Tier 3, Tier 4</t>
        </is>
      </c>
      <c r="AR102" s="12" t="inlineStr">
        <is>
          <t>2024-12-31</t>
        </is>
      </c>
      <c r="AS102" s="12" t="inlineStr">
        <is>
          <t>providers=world_bank_col_estimate, derived, ilo_ilostat, who_gho; fields=gross_income, rent, utilities, transit_cost; +9 additional fields</t>
        </is>
      </c>
      <c r="AT102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2" s="12" t="inlineStr">
        <is>
          <t>Tier 3</t>
        </is>
      </c>
      <c r="AV102" s="12" t="inlineStr">
        <is>
          <t>2024-12-31</t>
        </is>
      </c>
      <c r="AW102" s="12" t="inlineStr">
        <is>
          <t>providers=world_bank, wmo_natl_met; fields=personal_safety_raw, digital_infrastructure_raw, climate_sunlight_livability_raw</t>
        </is>
      </c>
      <c r="AX102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2" s="12" t="inlineStr">
        <is>
          <t>Tier 3</t>
        </is>
      </c>
      <c r="AZ102" s="12" t="inlineStr">
        <is>
          <t>2023-12-31</t>
        </is>
      </c>
      <c r="BA102" s="12" t="inlineStr">
        <is>
          <t>providers=who_gho, world_bank; fields=healthcare_quality_raw, education_quality_raw, equal_opportunity_raw, gini_coefficient</t>
        </is>
      </c>
      <c r="BB102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2" s="12" t="inlineStr">
        <is>
          <t>Tier 3</t>
        </is>
      </c>
      <c r="BD102" s="12" t="inlineStr">
        <is>
          <t>2025-12-31</t>
        </is>
      </c>
      <c r="BE102" s="12" t="inlineStr">
        <is>
          <t>providers=world_bank; fields=hospitality_belonging_raw, tolerance_pluralism_raw, cultural_public_life_raw, birth_rate_optimism_raw</t>
        </is>
      </c>
      <c r="BF102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2" s="12" t="inlineStr">
        <is>
          <t>Tier 3</t>
        </is>
      </c>
      <c r="BH102" s="12" t="inlineStr">
        <is>
          <t>2024-12-31</t>
        </is>
      </c>
      <c r="BI102" s="12" t="inlineStr">
        <is>
          <t>providers=world_bank; fields=entrepreneurial_dynamism_raw, innovation_research_intensity_raw, investment_signal_raw, administrative_investment_friction_raw; +2 additional fields</t>
        </is>
      </c>
      <c r="BJ102" s="9" t="n">
        <v>1.58</v>
      </c>
    </row>
    <row r="103">
      <c r="A103" s="9" t="inlineStr">
        <is>
          <t>au-melbourne</t>
        </is>
      </c>
      <c r="B103" s="9" t="inlineStr">
        <is>
          <t>Melbourne</t>
        </is>
      </c>
      <c r="C103" s="9" t="inlineStr">
        <is>
          <t>Australia</t>
        </is>
      </c>
      <c r="D103" s="9" t="inlineStr">
        <is>
          <t>Oceania</t>
        </is>
      </c>
      <c r="E103" s="9" t="inlineStr">
        <is>
          <t>primary</t>
        </is>
      </c>
      <c r="F103" s="9" t="inlineStr">
        <is>
          <t>provisional</t>
        </is>
      </c>
      <c r="G103" s="10" t="n">
        <v>5800</v>
      </c>
      <c r="H103" s="10" t="n">
        <v>1740</v>
      </c>
      <c r="I103" s="10" t="n">
        <v>348</v>
      </c>
      <c r="J103" s="10" t="n">
        <v>232</v>
      </c>
      <c r="K103" s="10" t="n">
        <v>87</v>
      </c>
      <c r="L103" s="10" t="n">
        <v>870</v>
      </c>
      <c r="M103" s="11" t="inlineStr"/>
      <c r="N103" s="10" t="n">
        <v>30</v>
      </c>
      <c r="O103" s="10" t="n">
        <v>129.3173</v>
      </c>
      <c r="P103" s="11">
        <f>IF($O103&lt;&gt;"",$O103,$AO103)</f>
        <v/>
      </c>
      <c r="Q103" s="10" t="n">
        <v>32.29</v>
      </c>
      <c r="R103" s="10" t="n">
        <v>13.08</v>
      </c>
      <c r="S103" s="10" t="n">
        <v>0.85</v>
      </c>
      <c r="T103" s="10" t="inlineStr"/>
      <c r="U103" s="10" t="inlineStr"/>
      <c r="V103" s="10" t="inlineStr"/>
      <c r="W103" s="10" t="n">
        <v>36.6</v>
      </c>
      <c r="X103" s="9" t="n">
        <v>62</v>
      </c>
      <c r="Y103" s="10" t="n">
        <v>89</v>
      </c>
      <c r="Z103" s="10" t="n">
        <v>104.65</v>
      </c>
      <c r="AA103" s="10" t="n">
        <v>33.8</v>
      </c>
      <c r="AB103" s="10" t="n">
        <v>55.04</v>
      </c>
      <c r="AC103" s="10" t="n">
        <v>38</v>
      </c>
      <c r="AD103" s="10" t="n">
        <v>67.20999999999999</v>
      </c>
      <c r="AE103" s="10" t="n">
        <v>17.26</v>
      </c>
      <c r="AF103" s="10" t="n">
        <v>1.86</v>
      </c>
      <c r="AG103" s="10" t="n">
        <v>3.04</v>
      </c>
      <c r="AH103" s="10" t="n">
        <v>0.5600000000000001</v>
      </c>
      <c r="AI103" s="10" t="inlineStr"/>
      <c r="AJ103" s="11">
        <f>IFERROR(INDEX(Country_Context!$B$2:$B$87,MATCH($C103,Country_Context!$A$2:$A$87,0)),"")</f>
        <v/>
      </c>
      <c r="AK103" s="11">
        <f>IFERROR(INDEX(Country_Context!$C$2:$C$87,MATCH($C103,Country_Context!$A$2:$A$87,0)),"")</f>
        <v/>
      </c>
      <c r="AL103" s="11">
        <f>IFERROR(INDEX(Country_Context!$D$2:$D$87,MATCH($C103,Country_Context!$A$2:$A$87,0)),"")</f>
        <v/>
      </c>
      <c r="AM103" s="11">
        <f>IFERROR(INDEX(Country_Context!$E$2:$E$87,MATCH($C103,Country_Context!$A$2:$A$87,0)),"")</f>
        <v/>
      </c>
      <c r="AN103" s="11">
        <f>IFERROR(INDEX(Country_Context!$F$2:$F$87,MATCH($C103,Country_Context!$A$2:$A$87,0)),"")</f>
        <v/>
      </c>
      <c r="AO103" s="11">
        <f>IFERROR(INDEX(Country_Context!$G$2:$G$87,MATCH($C103,Country_Context!$A$2:$A$87,0)),"")</f>
        <v/>
      </c>
      <c r="AP103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3" s="12" t="inlineStr">
        <is>
          <t>Tier 3, Tier 4</t>
        </is>
      </c>
      <c r="AR103" s="12" t="inlineStr">
        <is>
          <t>2024-12-31</t>
        </is>
      </c>
      <c r="AS103" s="12" t="inlineStr">
        <is>
          <t>providers=world_bank_col_estimate, derived, ilo_ilostat, who_gho; fields=gross_income, rent, utilities, transit_cost; +9 additional fields</t>
        </is>
      </c>
      <c r="AT103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3" s="12" t="inlineStr">
        <is>
          <t>Tier 3</t>
        </is>
      </c>
      <c r="AV103" s="12" t="inlineStr">
        <is>
          <t>2024-12-31</t>
        </is>
      </c>
      <c r="AW103" s="12" t="inlineStr">
        <is>
          <t>providers=world_bank, wmo_natl_met; fields=personal_safety_raw, digital_infrastructure_raw, climate_sunlight_livability_raw</t>
        </is>
      </c>
      <c r="AX103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3" s="12" t="inlineStr">
        <is>
          <t>Tier 3</t>
        </is>
      </c>
      <c r="AZ103" s="12" t="inlineStr">
        <is>
          <t>2023-12-31</t>
        </is>
      </c>
      <c r="BA103" s="12" t="inlineStr">
        <is>
          <t>providers=who_gho, world_bank; fields=healthcare_quality_raw, education_quality_raw, equal_opportunity_raw, gini_coefficient</t>
        </is>
      </c>
      <c r="BB103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3" s="12" t="inlineStr">
        <is>
          <t>Tier 3</t>
        </is>
      </c>
      <c r="BD103" s="12" t="inlineStr">
        <is>
          <t>2025-12-31</t>
        </is>
      </c>
      <c r="BE103" s="12" t="inlineStr">
        <is>
          <t>providers=world_bank; fields=hospitality_belonging_raw, tolerance_pluralism_raw, cultural_public_life_raw, birth_rate_optimism_raw</t>
        </is>
      </c>
      <c r="BF103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3" s="12" t="inlineStr">
        <is>
          <t>Tier 3</t>
        </is>
      </c>
      <c r="BH103" s="12" t="inlineStr">
        <is>
          <t>2024-12-31</t>
        </is>
      </c>
      <c r="BI103" s="12" t="inlineStr">
        <is>
          <t>providers=world_bank; fields=entrepreneurial_dynamism_raw, innovation_research_intensity_raw, investment_signal_raw, administrative_investment_friction_raw; +2 additional fields</t>
        </is>
      </c>
      <c r="BJ103" s="9" t="n">
        <v>1.58</v>
      </c>
    </row>
    <row r="104">
      <c r="A104" s="9" t="inlineStr">
        <is>
          <t>au-brisbane</t>
        </is>
      </c>
      <c r="B104" s="9" t="inlineStr">
        <is>
          <t>Brisbane</t>
        </is>
      </c>
      <c r="C104" s="9" t="inlineStr">
        <is>
          <t>Australia</t>
        </is>
      </c>
      <c r="D104" s="9" t="inlineStr">
        <is>
          <t>Oceania</t>
        </is>
      </c>
      <c r="E104" s="9" t="inlineStr">
        <is>
          <t>primary</t>
        </is>
      </c>
      <c r="F104" s="9" t="inlineStr">
        <is>
          <t>locked</t>
        </is>
      </c>
      <c r="G104" s="10" t="n">
        <v>5800</v>
      </c>
      <c r="H104" s="10" t="n">
        <v>1740</v>
      </c>
      <c r="I104" s="10" t="n">
        <v>348</v>
      </c>
      <c r="J104" s="10" t="n">
        <v>232</v>
      </c>
      <c r="K104" s="10" t="n">
        <v>87</v>
      </c>
      <c r="L104" s="10" t="n">
        <v>870</v>
      </c>
      <c r="M104" s="11" t="inlineStr"/>
      <c r="N104" s="10" t="n">
        <v>30</v>
      </c>
      <c r="O104" s="10" t="n">
        <v>129.3173</v>
      </c>
      <c r="P104" s="11">
        <f>IF($O104&lt;&gt;"",$O104,$AO104)</f>
        <v/>
      </c>
      <c r="Q104" s="10" t="n">
        <v>32.29</v>
      </c>
      <c r="R104" s="10" t="n">
        <v>13.08</v>
      </c>
      <c r="S104" s="10" t="n">
        <v>0.85</v>
      </c>
      <c r="T104" s="10" t="inlineStr"/>
      <c r="U104" s="10" t="inlineStr"/>
      <c r="V104" s="10" t="inlineStr"/>
      <c r="W104" s="10" t="n">
        <v>36.6</v>
      </c>
      <c r="X104" s="9" t="n">
        <v>72</v>
      </c>
      <c r="Y104" s="10" t="n">
        <v>89</v>
      </c>
      <c r="Z104" s="10" t="n">
        <v>104.65</v>
      </c>
      <c r="AA104" s="10" t="n">
        <v>33.8</v>
      </c>
      <c r="AB104" s="10" t="n">
        <v>55.04</v>
      </c>
      <c r="AC104" s="10" t="n">
        <v>38</v>
      </c>
      <c r="AD104" s="10" t="n">
        <v>67.20999999999999</v>
      </c>
      <c r="AE104" s="10" t="n">
        <v>17.26</v>
      </c>
      <c r="AF104" s="10" t="n">
        <v>1.86</v>
      </c>
      <c r="AG104" s="10" t="n">
        <v>3.04</v>
      </c>
      <c r="AH104" s="10" t="n">
        <v>0.5600000000000001</v>
      </c>
      <c r="AI104" s="10" t="inlineStr"/>
      <c r="AJ104" s="11">
        <f>IFERROR(INDEX(Country_Context!$B$2:$B$87,MATCH($C104,Country_Context!$A$2:$A$87,0)),"")</f>
        <v/>
      </c>
      <c r="AK104" s="11">
        <f>IFERROR(INDEX(Country_Context!$C$2:$C$87,MATCH($C104,Country_Context!$A$2:$A$87,0)),"")</f>
        <v/>
      </c>
      <c r="AL104" s="11">
        <f>IFERROR(INDEX(Country_Context!$D$2:$D$87,MATCH($C104,Country_Context!$A$2:$A$87,0)),"")</f>
        <v/>
      </c>
      <c r="AM104" s="11">
        <f>IFERROR(INDEX(Country_Context!$E$2:$E$87,MATCH($C104,Country_Context!$A$2:$A$87,0)),"")</f>
        <v/>
      </c>
      <c r="AN104" s="11">
        <f>IFERROR(INDEX(Country_Context!$F$2:$F$87,MATCH($C104,Country_Context!$A$2:$A$87,0)),"")</f>
        <v/>
      </c>
      <c r="AO104" s="11">
        <f>IFERROR(INDEX(Country_Context!$G$2:$G$87,MATCH($C104,Country_Context!$A$2:$A$87,0)),"")</f>
        <v/>
      </c>
      <c r="AP104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4" s="12" t="inlineStr">
        <is>
          <t>Tier 3, Tier 4</t>
        </is>
      </c>
      <c r="AR104" s="12" t="inlineStr">
        <is>
          <t>2024-12-31</t>
        </is>
      </c>
      <c r="AS104" s="12" t="inlineStr">
        <is>
          <t>providers=world_bank_col_estimate, derived, ilo_ilostat, who_gho; fields=gross_income, rent, utilities, transit_cost; +9 additional fields</t>
        </is>
      </c>
      <c r="AT104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4" s="12" t="inlineStr">
        <is>
          <t>Tier 3</t>
        </is>
      </c>
      <c r="AV104" s="12" t="inlineStr">
        <is>
          <t>2024-12-31</t>
        </is>
      </c>
      <c r="AW104" s="12" t="inlineStr">
        <is>
          <t>providers=world_bank, wmo_natl_met; fields=personal_safety_raw, digital_infrastructure_raw, climate_sunlight_livability_raw</t>
        </is>
      </c>
      <c r="AX104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4" s="12" t="inlineStr">
        <is>
          <t>Tier 3</t>
        </is>
      </c>
      <c r="AZ104" s="12" t="inlineStr">
        <is>
          <t>2023-12-31</t>
        </is>
      </c>
      <c r="BA104" s="12" t="inlineStr">
        <is>
          <t>providers=who_gho, world_bank; fields=healthcare_quality_raw, education_quality_raw, equal_opportunity_raw, gini_coefficient</t>
        </is>
      </c>
      <c r="BB104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4" s="12" t="inlineStr">
        <is>
          <t>Tier 3</t>
        </is>
      </c>
      <c r="BD104" s="12" t="inlineStr">
        <is>
          <t>2025-12-31</t>
        </is>
      </c>
      <c r="BE104" s="12" t="inlineStr">
        <is>
          <t>providers=world_bank; fields=hospitality_belonging_raw, tolerance_pluralism_raw, cultural_public_life_raw, birth_rate_optimism_raw</t>
        </is>
      </c>
      <c r="BF104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4" s="12" t="inlineStr">
        <is>
          <t>Tier 3</t>
        </is>
      </c>
      <c r="BH104" s="12" t="inlineStr">
        <is>
          <t>2024-12-31</t>
        </is>
      </c>
      <c r="BI104" s="12" t="inlineStr">
        <is>
          <t>providers=world_bank; fields=entrepreneurial_dynamism_raw, innovation_research_intensity_raw, investment_signal_raw, administrative_investment_friction_raw; +2 additional fields</t>
        </is>
      </c>
      <c r="BJ104" s="9" t="n">
        <v>1.58</v>
      </c>
    </row>
    <row r="105">
      <c r="A105" s="9" t="inlineStr">
        <is>
          <t>nz-wellington</t>
        </is>
      </c>
      <c r="B105" s="9" t="inlineStr">
        <is>
          <t>Wellington</t>
        </is>
      </c>
      <c r="C105" s="9" t="inlineStr">
        <is>
          <t>New Zealand</t>
        </is>
      </c>
      <c r="D105" s="9" t="inlineStr">
        <is>
          <t>Oceania</t>
        </is>
      </c>
      <c r="E105" s="9" t="inlineStr">
        <is>
          <t>primary</t>
        </is>
      </c>
      <c r="F105" s="9" t="inlineStr">
        <is>
          <t>locked</t>
        </is>
      </c>
      <c r="G105" s="10" t="n">
        <v>4466.67</v>
      </c>
      <c r="H105" s="10" t="n">
        <v>1407</v>
      </c>
      <c r="I105" s="10" t="n">
        <v>281.4</v>
      </c>
      <c r="J105" s="10" t="n">
        <v>187.6</v>
      </c>
      <c r="K105" s="10" t="n">
        <v>70.34999999999999</v>
      </c>
      <c r="L105" s="10" t="n">
        <v>703.5</v>
      </c>
      <c r="M105" s="11" t="inlineStr"/>
      <c r="N105" s="10" t="n">
        <v>31.5</v>
      </c>
      <c r="O105" s="10" t="n">
        <v>129.7971</v>
      </c>
      <c r="P105" s="11">
        <f>IF($O105&lt;&gt;"",$O105,$AO105)</f>
        <v/>
      </c>
      <c r="Q105" s="10" t="n">
        <v>33</v>
      </c>
      <c r="R105" s="10" t="n">
        <v>11.92</v>
      </c>
      <c r="S105" s="10" t="n">
        <v>1.46</v>
      </c>
      <c r="T105" s="10" t="inlineStr"/>
      <c r="U105" s="10" t="inlineStr"/>
      <c r="V105" s="10" t="n">
        <v>100</v>
      </c>
      <c r="W105" s="10" t="n">
        <v>37.85</v>
      </c>
      <c r="X105" s="9" t="n">
        <v>52</v>
      </c>
      <c r="Y105" s="10" t="n">
        <v>89</v>
      </c>
      <c r="Z105" s="10" t="n">
        <v>76.38</v>
      </c>
      <c r="AA105" s="10" t="inlineStr"/>
      <c r="AB105" s="10" t="n">
        <v>53.29</v>
      </c>
      <c r="AC105" s="10" t="n">
        <v>45.53</v>
      </c>
      <c r="AD105" s="10" t="n">
        <v>188.37</v>
      </c>
      <c r="AE105" s="10" t="n">
        <v>16.32</v>
      </c>
      <c r="AF105" s="10" t="n">
        <v>1.47</v>
      </c>
      <c r="AG105" s="10" t="n">
        <v>0.68</v>
      </c>
      <c r="AH105" s="10" t="n">
        <v>0.59</v>
      </c>
      <c r="AI105" s="10" t="inlineStr"/>
      <c r="AJ105" s="11">
        <f>IFERROR(INDEX(Country_Context!$B$2:$B$87,MATCH($C105,Country_Context!$A$2:$A$87,0)),"")</f>
        <v/>
      </c>
      <c r="AK105" s="11">
        <f>IFERROR(INDEX(Country_Context!$C$2:$C$87,MATCH($C105,Country_Context!$A$2:$A$87,0)),"")</f>
        <v/>
      </c>
      <c r="AL105" s="11">
        <f>IFERROR(INDEX(Country_Context!$D$2:$D$87,MATCH($C105,Country_Context!$A$2:$A$87,0)),"")</f>
        <v/>
      </c>
      <c r="AM105" s="11">
        <f>IFERROR(INDEX(Country_Context!$E$2:$E$87,MATCH($C105,Country_Context!$A$2:$A$87,0)),"")</f>
        <v/>
      </c>
      <c r="AN105" s="11">
        <f>IFERROR(INDEX(Country_Context!$F$2:$F$87,MATCH($C105,Country_Context!$A$2:$A$87,0)),"")</f>
        <v/>
      </c>
      <c r="AO105" s="11">
        <f>IFERROR(INDEX(Country_Context!$G$2:$G$87,MATCH($C105,Country_Context!$A$2:$A$87,0)),"")</f>
        <v/>
      </c>
      <c r="AP10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5" s="12" t="inlineStr">
        <is>
          <t>Tier 3, Tier 4</t>
        </is>
      </c>
      <c r="AR105" s="12" t="inlineStr">
        <is>
          <t>2024-12-31</t>
        </is>
      </c>
      <c r="AS105" s="12" t="inlineStr">
        <is>
          <t>providers=world_bank_col_estimate, derived, ilo_ilostat, who_gho; fields=gross_income, rent, utilities, transit_cost; +9 additional fields</t>
        </is>
      </c>
      <c r="AT10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5" s="12" t="inlineStr">
        <is>
          <t>Tier 3</t>
        </is>
      </c>
      <c r="AV105" s="12" t="inlineStr">
        <is>
          <t>2024-12-31</t>
        </is>
      </c>
      <c r="AW105" s="12" t="inlineStr">
        <is>
          <t>providers=world_bank, wmo_natl_met; fields=personal_safety_raw, water_sanitation_utility_raw, digital_infrastructure_raw, climate_sunlight_livability_raw</t>
        </is>
      </c>
      <c r="AX105" s="12" t="inlineStr">
        <is>
          <t>https://www.who.int/data/gho/data/indicators/indicator-details/GHO/UHC_INDEX_REPORTED | https://api.worldbank.org/v2/country/NZL/indicator/SE.TER.ENRR?format=json&amp;mrv=10</t>
        </is>
      </c>
      <c r="AY105" s="12" t="inlineStr">
        <is>
          <t>Tier 3</t>
        </is>
      </c>
      <c r="AZ105" s="12" t="inlineStr">
        <is>
          <t>2023-12-31</t>
        </is>
      </c>
      <c r="BA105" s="12" t="inlineStr">
        <is>
          <t>providers=who_gho, world_bank; fields=healthcare_quality_raw, education_quality_raw</t>
        </is>
      </c>
      <c r="BB10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5" s="12" t="inlineStr">
        <is>
          <t>Tier 3</t>
        </is>
      </c>
      <c r="BD105" s="12" t="inlineStr">
        <is>
          <t>2025-12-31</t>
        </is>
      </c>
      <c r="BE105" s="12" t="inlineStr">
        <is>
          <t>providers=world_bank; fields=hospitality_belonging_raw, tolerance_pluralism_raw, cultural_public_life_raw, birth_rate_optimism_raw</t>
        </is>
      </c>
      <c r="BF10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5" s="12" t="inlineStr">
        <is>
          <t>Tier 3</t>
        </is>
      </c>
      <c r="BH105" s="12" t="inlineStr">
        <is>
          <t>2024-12-31</t>
        </is>
      </c>
      <c r="BI105" s="12" t="inlineStr">
        <is>
          <t>providers=world_bank; fields=entrepreneurial_dynamism_raw, innovation_research_intensity_raw, investment_signal_raw, administrative_investment_friction_raw; +2 additional fields</t>
        </is>
      </c>
      <c r="BJ105" s="9" t="n">
        <v>1.56</v>
      </c>
    </row>
    <row r="106">
      <c r="A106" s="9" t="inlineStr">
        <is>
          <t>au-perth</t>
        </is>
      </c>
      <c r="B106" s="9" t="inlineStr">
        <is>
          <t>Perth</t>
        </is>
      </c>
      <c r="C106" s="9" t="inlineStr">
        <is>
          <t>Australia</t>
        </is>
      </c>
      <c r="D106" s="9" t="inlineStr">
        <is>
          <t>Oceania</t>
        </is>
      </c>
      <c r="E106" s="9" t="inlineStr">
        <is>
          <t>secondary</t>
        </is>
      </c>
      <c r="F106" s="9" t="inlineStr">
        <is>
          <t>locked</t>
        </is>
      </c>
      <c r="G106" s="10" t="n">
        <v>5800</v>
      </c>
      <c r="H106" s="10" t="n">
        <v>1653</v>
      </c>
      <c r="I106" s="10" t="n">
        <v>330.6</v>
      </c>
      <c r="J106" s="10" t="n">
        <v>220.4</v>
      </c>
      <c r="K106" s="10" t="n">
        <v>82.65000000000001</v>
      </c>
      <c r="L106" s="10" t="n">
        <v>826.5</v>
      </c>
      <c r="M106" s="11" t="inlineStr"/>
      <c r="N106" s="10" t="n">
        <v>28.5</v>
      </c>
      <c r="O106" s="10" t="n">
        <v>129.3173</v>
      </c>
      <c r="P106" s="11">
        <f>IF($O106&lt;&gt;"",$O106,$AO106)</f>
        <v/>
      </c>
      <c r="Q106" s="10" t="n">
        <v>32.29</v>
      </c>
      <c r="R106" s="10" t="n">
        <v>13.08</v>
      </c>
      <c r="S106" s="10" t="n">
        <v>0.85</v>
      </c>
      <c r="T106" s="10" t="inlineStr"/>
      <c r="U106" s="10" t="inlineStr"/>
      <c r="V106" s="10" t="inlineStr"/>
      <c r="W106" s="10" t="n">
        <v>36.6</v>
      </c>
      <c r="X106" s="9" t="n">
        <v>74</v>
      </c>
      <c r="Y106" s="10" t="n">
        <v>89</v>
      </c>
      <c r="Z106" s="10" t="n">
        <v>104.65</v>
      </c>
      <c r="AA106" s="10" t="n">
        <v>33.8</v>
      </c>
      <c r="AB106" s="10" t="n">
        <v>55.04</v>
      </c>
      <c r="AC106" s="10" t="n">
        <v>38</v>
      </c>
      <c r="AD106" s="10" t="n">
        <v>67.20999999999999</v>
      </c>
      <c r="AE106" s="10" t="n">
        <v>17.26</v>
      </c>
      <c r="AF106" s="10" t="n">
        <v>1.86</v>
      </c>
      <c r="AG106" s="10" t="n">
        <v>3.04</v>
      </c>
      <c r="AH106" s="10" t="n">
        <v>0.5600000000000001</v>
      </c>
      <c r="AI106" s="10" t="inlineStr"/>
      <c r="AJ106" s="11">
        <f>IFERROR(INDEX(Country_Context!$B$2:$B$87,MATCH($C106,Country_Context!$A$2:$A$87,0)),"")</f>
        <v/>
      </c>
      <c r="AK106" s="11">
        <f>IFERROR(INDEX(Country_Context!$C$2:$C$87,MATCH($C106,Country_Context!$A$2:$A$87,0)),"")</f>
        <v/>
      </c>
      <c r="AL106" s="11">
        <f>IFERROR(INDEX(Country_Context!$D$2:$D$87,MATCH($C106,Country_Context!$A$2:$A$87,0)),"")</f>
        <v/>
      </c>
      <c r="AM106" s="11">
        <f>IFERROR(INDEX(Country_Context!$E$2:$E$87,MATCH($C106,Country_Context!$A$2:$A$87,0)),"")</f>
        <v/>
      </c>
      <c r="AN106" s="11">
        <f>IFERROR(INDEX(Country_Context!$F$2:$F$87,MATCH($C106,Country_Context!$A$2:$A$87,0)),"")</f>
        <v/>
      </c>
      <c r="AO106" s="11">
        <f>IFERROR(INDEX(Country_Context!$G$2:$G$87,MATCH($C106,Country_Context!$A$2:$A$87,0)),"")</f>
        <v/>
      </c>
      <c r="AP106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6" s="12" t="inlineStr">
        <is>
          <t>Tier 3, Tier 4</t>
        </is>
      </c>
      <c r="AR106" s="12" t="inlineStr">
        <is>
          <t>2024-12-31</t>
        </is>
      </c>
      <c r="AS106" s="12" t="inlineStr">
        <is>
          <t>providers=world_bank_col_estimate, derived, ilo_ilostat, who_gho; fields=gross_income, rent, utilities, transit_cost; +9 additional fields</t>
        </is>
      </c>
      <c r="AT106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6" s="12" t="inlineStr">
        <is>
          <t>Tier 3</t>
        </is>
      </c>
      <c r="AV106" s="12" t="inlineStr">
        <is>
          <t>2024-12-31</t>
        </is>
      </c>
      <c r="AW106" s="12" t="inlineStr">
        <is>
          <t>providers=world_bank, wmo_natl_met; fields=personal_safety_raw, digital_infrastructure_raw, climate_sunlight_livability_raw</t>
        </is>
      </c>
      <c r="AX106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6" s="12" t="inlineStr">
        <is>
          <t>Tier 3</t>
        </is>
      </c>
      <c r="AZ106" s="12" t="inlineStr">
        <is>
          <t>2023-12-31</t>
        </is>
      </c>
      <c r="BA106" s="12" t="inlineStr">
        <is>
          <t>providers=who_gho, world_bank; fields=healthcare_quality_raw, education_quality_raw, equal_opportunity_raw, gini_coefficient</t>
        </is>
      </c>
      <c r="BB106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6" s="12" t="inlineStr">
        <is>
          <t>Tier 3</t>
        </is>
      </c>
      <c r="BD106" s="12" t="inlineStr">
        <is>
          <t>2025-12-31</t>
        </is>
      </c>
      <c r="BE106" s="12" t="inlineStr">
        <is>
          <t>providers=world_bank; fields=hospitality_belonging_raw, tolerance_pluralism_raw, cultural_public_life_raw, birth_rate_optimism_raw</t>
        </is>
      </c>
      <c r="BF106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6" s="12" t="inlineStr">
        <is>
          <t>Tier 3</t>
        </is>
      </c>
      <c r="BH106" s="12" t="inlineStr">
        <is>
          <t>2024-12-31</t>
        </is>
      </c>
      <c r="BI106" s="12" t="inlineStr">
        <is>
          <t>providers=world_bank; fields=entrepreneurial_dynamism_raw, innovation_research_intensity_raw, investment_signal_raw, administrative_investment_friction_raw; +2 additional fields</t>
        </is>
      </c>
      <c r="BJ106" s="9" t="n">
        <v>1.58</v>
      </c>
    </row>
    <row r="107">
      <c r="A107" s="9" t="inlineStr">
        <is>
          <t>au-adelaide</t>
        </is>
      </c>
      <c r="B107" s="9" t="inlineStr">
        <is>
          <t>Adelaide</t>
        </is>
      </c>
      <c r="C107" s="9" t="inlineStr">
        <is>
          <t>Australia</t>
        </is>
      </c>
      <c r="D107" s="9" t="inlineStr">
        <is>
          <t>Oceania</t>
        </is>
      </c>
      <c r="E107" s="9" t="inlineStr">
        <is>
          <t>secondary</t>
        </is>
      </c>
      <c r="F107" s="9" t="inlineStr">
        <is>
          <t>locked</t>
        </is>
      </c>
      <c r="G107" s="10" t="n">
        <v>5800</v>
      </c>
      <c r="H107" s="10" t="n">
        <v>1479</v>
      </c>
      <c r="I107" s="10" t="n">
        <v>295.8</v>
      </c>
      <c r="J107" s="10" t="n">
        <v>197.2</v>
      </c>
      <c r="K107" s="10" t="n">
        <v>73.95</v>
      </c>
      <c r="L107" s="10" t="n">
        <v>739.5</v>
      </c>
      <c r="M107" s="11" t="inlineStr"/>
      <c r="N107" s="10" t="n">
        <v>25.5</v>
      </c>
      <c r="O107" s="10" t="n">
        <v>129.3173</v>
      </c>
      <c r="P107" s="11">
        <f>IF($O107&lt;&gt;"",$O107,$AO107)</f>
        <v/>
      </c>
      <c r="Q107" s="10" t="n">
        <v>32.29</v>
      </c>
      <c r="R107" s="10" t="n">
        <v>13.08</v>
      </c>
      <c r="S107" s="10" t="n">
        <v>0.85</v>
      </c>
      <c r="T107" s="10" t="inlineStr"/>
      <c r="U107" s="10" t="inlineStr"/>
      <c r="V107" s="10" t="inlineStr"/>
      <c r="W107" s="10" t="n">
        <v>36.6</v>
      </c>
      <c r="X107" s="9" t="n">
        <v>70</v>
      </c>
      <c r="Y107" s="10" t="n">
        <v>89</v>
      </c>
      <c r="Z107" s="10" t="n">
        <v>104.65</v>
      </c>
      <c r="AA107" s="10" t="n">
        <v>33.8</v>
      </c>
      <c r="AB107" s="10" t="n">
        <v>55.04</v>
      </c>
      <c r="AC107" s="10" t="n">
        <v>38</v>
      </c>
      <c r="AD107" s="10" t="n">
        <v>67.20999999999999</v>
      </c>
      <c r="AE107" s="10" t="n">
        <v>17.26</v>
      </c>
      <c r="AF107" s="10" t="n">
        <v>1.86</v>
      </c>
      <c r="AG107" s="10" t="n">
        <v>3.04</v>
      </c>
      <c r="AH107" s="10" t="n">
        <v>0.5600000000000001</v>
      </c>
      <c r="AI107" s="10" t="inlineStr"/>
      <c r="AJ107" s="11">
        <f>IFERROR(INDEX(Country_Context!$B$2:$B$87,MATCH($C107,Country_Context!$A$2:$A$87,0)),"")</f>
        <v/>
      </c>
      <c r="AK107" s="11">
        <f>IFERROR(INDEX(Country_Context!$C$2:$C$87,MATCH($C107,Country_Context!$A$2:$A$87,0)),"")</f>
        <v/>
      </c>
      <c r="AL107" s="11">
        <f>IFERROR(INDEX(Country_Context!$D$2:$D$87,MATCH($C107,Country_Context!$A$2:$A$87,0)),"")</f>
        <v/>
      </c>
      <c r="AM107" s="11">
        <f>IFERROR(INDEX(Country_Context!$E$2:$E$87,MATCH($C107,Country_Context!$A$2:$A$87,0)),"")</f>
        <v/>
      </c>
      <c r="AN107" s="11">
        <f>IFERROR(INDEX(Country_Context!$F$2:$F$87,MATCH($C107,Country_Context!$A$2:$A$87,0)),"")</f>
        <v/>
      </c>
      <c r="AO107" s="11">
        <f>IFERROR(INDEX(Country_Context!$G$2:$G$87,MATCH($C107,Country_Context!$A$2:$A$87,0)),"")</f>
        <v/>
      </c>
      <c r="AP107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7" s="12" t="inlineStr">
        <is>
          <t>Tier 3, Tier 4</t>
        </is>
      </c>
      <c r="AR107" s="12" t="inlineStr">
        <is>
          <t>2024-12-31</t>
        </is>
      </c>
      <c r="AS107" s="12" t="inlineStr">
        <is>
          <t>providers=world_bank_col_estimate, derived, ilo_ilostat, who_gho; fields=gross_income, rent, utilities, transit_cost; +9 additional fields</t>
        </is>
      </c>
      <c r="AT107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7" s="12" t="inlineStr">
        <is>
          <t>Tier 3</t>
        </is>
      </c>
      <c r="AV107" s="12" t="inlineStr">
        <is>
          <t>2024-12-31</t>
        </is>
      </c>
      <c r="AW107" s="12" t="inlineStr">
        <is>
          <t>providers=world_bank, wmo_natl_met; fields=personal_safety_raw, digital_infrastructure_raw, climate_sunlight_livability_raw</t>
        </is>
      </c>
      <c r="AX107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7" s="12" t="inlineStr">
        <is>
          <t>Tier 3</t>
        </is>
      </c>
      <c r="AZ107" s="12" t="inlineStr">
        <is>
          <t>2023-12-31</t>
        </is>
      </c>
      <c r="BA107" s="12" t="inlineStr">
        <is>
          <t>providers=who_gho, world_bank; fields=healthcare_quality_raw, education_quality_raw, equal_opportunity_raw, gini_coefficient</t>
        </is>
      </c>
      <c r="BB107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7" s="12" t="inlineStr">
        <is>
          <t>Tier 3</t>
        </is>
      </c>
      <c r="BD107" s="12" t="inlineStr">
        <is>
          <t>2025-12-31</t>
        </is>
      </c>
      <c r="BE107" s="12" t="inlineStr">
        <is>
          <t>providers=world_bank; fields=hospitality_belonging_raw, tolerance_pluralism_raw, cultural_public_life_raw, birth_rate_optimism_raw</t>
        </is>
      </c>
      <c r="BF107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7" s="12" t="inlineStr">
        <is>
          <t>Tier 3</t>
        </is>
      </c>
      <c r="BH107" s="12" t="inlineStr">
        <is>
          <t>2024-12-31</t>
        </is>
      </c>
      <c r="BI107" s="12" t="inlineStr">
        <is>
          <t>providers=world_bank; fields=entrepreneurial_dynamism_raw, innovation_research_intensity_raw, investment_signal_raw, administrative_investment_friction_raw; +2 additional fields</t>
        </is>
      </c>
      <c r="BJ107" s="9" t="n">
        <v>1.58</v>
      </c>
    </row>
    <row r="108">
      <c r="A108" s="9" t="inlineStr">
        <is>
          <t>au-hobart</t>
        </is>
      </c>
      <c r="B108" s="9" t="inlineStr">
        <is>
          <t>Hobart</t>
        </is>
      </c>
      <c r="C108" s="9" t="inlineStr">
        <is>
          <t>Australia</t>
        </is>
      </c>
      <c r="D108" s="9" t="inlineStr">
        <is>
          <t>Oceania</t>
        </is>
      </c>
      <c r="E108" s="9" t="inlineStr">
        <is>
          <t>secondary</t>
        </is>
      </c>
      <c r="F108" s="9" t="inlineStr">
        <is>
          <t>locked</t>
        </is>
      </c>
      <c r="G108" s="10" t="n">
        <v>5800</v>
      </c>
      <c r="H108" s="10" t="n">
        <v>1479</v>
      </c>
      <c r="I108" s="10" t="n">
        <v>295.8</v>
      </c>
      <c r="J108" s="10" t="n">
        <v>197.2</v>
      </c>
      <c r="K108" s="10" t="n">
        <v>73.95</v>
      </c>
      <c r="L108" s="10" t="n">
        <v>739.5</v>
      </c>
      <c r="M108" s="11" t="inlineStr"/>
      <c r="N108" s="10" t="n">
        <v>25.5</v>
      </c>
      <c r="O108" s="10" t="n">
        <v>129.3173</v>
      </c>
      <c r="P108" s="11">
        <f>IF($O108&lt;&gt;"",$O108,$AO108)</f>
        <v/>
      </c>
      <c r="Q108" s="10" t="n">
        <v>32.29</v>
      </c>
      <c r="R108" s="10" t="n">
        <v>13.08</v>
      </c>
      <c r="S108" s="10" t="n">
        <v>0.85</v>
      </c>
      <c r="T108" s="10" t="inlineStr"/>
      <c r="U108" s="10" t="inlineStr"/>
      <c r="V108" s="10" t="inlineStr"/>
      <c r="W108" s="10" t="n">
        <v>36.6</v>
      </c>
      <c r="X108" s="9" t="n">
        <v>52</v>
      </c>
      <c r="Y108" s="10" t="n">
        <v>89</v>
      </c>
      <c r="Z108" s="10" t="n">
        <v>104.65</v>
      </c>
      <c r="AA108" s="10" t="n">
        <v>33.8</v>
      </c>
      <c r="AB108" s="10" t="n">
        <v>55.04</v>
      </c>
      <c r="AC108" s="10" t="n">
        <v>38</v>
      </c>
      <c r="AD108" s="10" t="n">
        <v>67.20999999999999</v>
      </c>
      <c r="AE108" s="10" t="n">
        <v>17.26</v>
      </c>
      <c r="AF108" s="10" t="n">
        <v>1.86</v>
      </c>
      <c r="AG108" s="10" t="n">
        <v>3.04</v>
      </c>
      <c r="AH108" s="10" t="n">
        <v>0.5600000000000001</v>
      </c>
      <c r="AI108" s="10" t="inlineStr"/>
      <c r="AJ108" s="11">
        <f>IFERROR(INDEX(Country_Context!$B$2:$B$87,MATCH($C108,Country_Context!$A$2:$A$87,0)),"")</f>
        <v/>
      </c>
      <c r="AK108" s="11">
        <f>IFERROR(INDEX(Country_Context!$C$2:$C$87,MATCH($C108,Country_Context!$A$2:$A$87,0)),"")</f>
        <v/>
      </c>
      <c r="AL108" s="11">
        <f>IFERROR(INDEX(Country_Context!$D$2:$D$87,MATCH($C108,Country_Context!$A$2:$A$87,0)),"")</f>
        <v/>
      </c>
      <c r="AM108" s="11">
        <f>IFERROR(INDEX(Country_Context!$E$2:$E$87,MATCH($C108,Country_Context!$A$2:$A$87,0)),"")</f>
        <v/>
      </c>
      <c r="AN108" s="11">
        <f>IFERROR(INDEX(Country_Context!$F$2:$F$87,MATCH($C108,Country_Context!$A$2:$A$87,0)),"")</f>
        <v/>
      </c>
      <c r="AO108" s="11">
        <f>IFERROR(INDEX(Country_Context!$G$2:$G$87,MATCH($C108,Country_Context!$A$2:$A$87,0)),"")</f>
        <v/>
      </c>
      <c r="AP108" s="12" t="inlineStr">
        <is>
          <t>https://api.worldbank.org/v2/country/AUS/indicator/NY.GNP.PCAP.PP.CD?format=json&amp;mrv=10 | https://data.worldbank.org/indicator/NY.GNP.PCAP.PP.CD | https://ilostat.ilo.org/data/indicator/?id=HOW_TEMP_SEX_ECO_NB_A&amp;ref_area=AUS | +4 more</t>
        </is>
      </c>
      <c r="AQ108" s="12" t="inlineStr">
        <is>
          <t>Tier 3, Tier 4</t>
        </is>
      </c>
      <c r="AR108" s="12" t="inlineStr">
        <is>
          <t>2024-12-31</t>
        </is>
      </c>
      <c r="AS108" s="12" t="inlineStr">
        <is>
          <t>providers=world_bank_col_estimate, derived, ilo_ilostat, who_gho; fields=gross_income, rent, utilities, transit_cost; +9 additional fields</t>
        </is>
      </c>
      <c r="AT108" s="12" t="inlineStr">
        <is>
          <t>https://api.worldbank.org/v2/country/AUS/indicator/VC.IHR.PSRC.P5?format=json&amp;mrv=10 | https://api.worldbank.org/v2/country/AUS/indicator/IT.NET.BBND.P2?format=json&amp;mrv=10 | https://worldweather.wmo.int</t>
        </is>
      </c>
      <c r="AU108" s="12" t="inlineStr">
        <is>
          <t>Tier 3</t>
        </is>
      </c>
      <c r="AV108" s="12" t="inlineStr">
        <is>
          <t>2024-12-31</t>
        </is>
      </c>
      <c r="AW108" s="12" t="inlineStr">
        <is>
          <t>providers=world_bank, wmo_natl_met; fields=personal_safety_raw, digital_infrastructure_raw, climate_sunlight_livability_raw</t>
        </is>
      </c>
      <c r="AX108" s="12" t="inlineStr">
        <is>
          <t>https://www.who.int/data/gho/data/indicators/indicator-details/GHO/UHC_INDEX_REPORTED | https://api.worldbank.org/v2/country/AUS/indicator/SE.TER.ENRR?format=json&amp;mrv=10 | https://api.worldbank.org/v2/country/AUS/indicator/SI.POV.GINI?format=json&amp;mrv=10 | +1 more</t>
        </is>
      </c>
      <c r="AY108" s="12" t="inlineStr">
        <is>
          <t>Tier 3</t>
        </is>
      </c>
      <c r="AZ108" s="12" t="inlineStr">
        <is>
          <t>2023-12-31</t>
        </is>
      </c>
      <c r="BA108" s="12" t="inlineStr">
        <is>
          <t>providers=who_gho, world_bank; fields=healthcare_quality_raw, education_quality_raw, equal_opportunity_raw, gini_coefficient</t>
        </is>
      </c>
      <c r="BB108" s="12" t="inlineStr">
        <is>
          <t>https://api.worldbank.org/v2/country/AUS/indicator/SM.POP.NETM?format=json&amp;mrv=10 | https://api.worldbank.org/v2/country/AUS/indicator/SG.GEN.PARL.ZS?format=json&amp;mrv=10 | https://api.worldbank.org/v2/country/AUS/indicator/ST.INT.ARVL?format=json&amp;mrv=10 | +1 more</t>
        </is>
      </c>
      <c r="BC108" s="12" t="inlineStr">
        <is>
          <t>Tier 3</t>
        </is>
      </c>
      <c r="BD108" s="12" t="inlineStr">
        <is>
          <t>2025-12-31</t>
        </is>
      </c>
      <c r="BE108" s="12" t="inlineStr">
        <is>
          <t>providers=world_bank; fields=hospitality_belonging_raw, tolerance_pluralism_raw, cultural_public_life_raw, birth_rate_optimism_raw</t>
        </is>
      </c>
      <c r="BF108" s="12" t="inlineStr">
        <is>
          <t>https://api.worldbank.org/v2/country/AUS/indicator/IC.BUS.NDNS.ZS?format=json&amp;mrv=10 | https://api.worldbank.org/v2/country/AUS/indicator/GB.XPD.RSDV.GD.ZS?format=json&amp;mrv=10 | https://api.worldbank.org/v2/country/AUS/indicator/BX.KLT.DINV.WD.GD.ZS?format=json&amp;mrv=10 | +3 more</t>
        </is>
      </c>
      <c r="BG108" s="12" t="inlineStr">
        <is>
          <t>Tier 3</t>
        </is>
      </c>
      <c r="BH108" s="12" t="inlineStr">
        <is>
          <t>2024-12-31</t>
        </is>
      </c>
      <c r="BI108" s="12" t="inlineStr">
        <is>
          <t>providers=world_bank; fields=entrepreneurial_dynamism_raw, innovation_research_intensity_raw, investment_signal_raw, administrative_investment_friction_raw; +2 additional fields</t>
        </is>
      </c>
      <c r="BJ108" s="9" t="n">
        <v>1.58</v>
      </c>
    </row>
    <row r="109">
      <c r="A109" s="9" t="inlineStr">
        <is>
          <t>nz-christchurch</t>
        </is>
      </c>
      <c r="B109" s="9" t="inlineStr">
        <is>
          <t>Christchurch</t>
        </is>
      </c>
      <c r="C109" s="9" t="inlineStr">
        <is>
          <t>New Zealand</t>
        </is>
      </c>
      <c r="D109" s="9" t="inlineStr">
        <is>
          <t>Oceania</t>
        </is>
      </c>
      <c r="E109" s="9" t="inlineStr">
        <is>
          <t>secondary</t>
        </is>
      </c>
      <c r="F109" s="9" t="inlineStr">
        <is>
          <t>provisional</t>
        </is>
      </c>
      <c r="G109" s="10" t="n">
        <v>4466.67</v>
      </c>
      <c r="H109" s="10" t="n">
        <v>1206</v>
      </c>
      <c r="I109" s="10" t="n">
        <v>241.2</v>
      </c>
      <c r="J109" s="10" t="n">
        <v>160.8</v>
      </c>
      <c r="K109" s="10" t="n">
        <v>60.3</v>
      </c>
      <c r="L109" s="10" t="n">
        <v>603</v>
      </c>
      <c r="M109" s="11" t="inlineStr"/>
      <c r="N109" s="10" t="n">
        <v>27</v>
      </c>
      <c r="O109" s="10" t="n">
        <v>129.7971</v>
      </c>
      <c r="P109" s="11">
        <f>IF($O109&lt;&gt;"",$O109,$AO109)</f>
        <v/>
      </c>
      <c r="Q109" s="10" t="n">
        <v>33</v>
      </c>
      <c r="R109" s="10" t="n">
        <v>11.92</v>
      </c>
      <c r="S109" s="10" t="n">
        <v>1.46</v>
      </c>
      <c r="T109" s="10" t="inlineStr"/>
      <c r="U109" s="10" t="inlineStr"/>
      <c r="V109" s="10" t="n">
        <v>100</v>
      </c>
      <c r="W109" s="10" t="n">
        <v>37.85</v>
      </c>
      <c r="X109" s="9" t="n">
        <v>56</v>
      </c>
      <c r="Y109" s="10" t="n">
        <v>89</v>
      </c>
      <c r="Z109" s="10" t="n">
        <v>76.38</v>
      </c>
      <c r="AA109" s="10" t="inlineStr"/>
      <c r="AB109" s="10" t="n">
        <v>53.29</v>
      </c>
      <c r="AC109" s="10" t="n">
        <v>45.53</v>
      </c>
      <c r="AD109" s="10" t="n">
        <v>188.37</v>
      </c>
      <c r="AE109" s="10" t="n">
        <v>16.32</v>
      </c>
      <c r="AF109" s="10" t="n">
        <v>1.47</v>
      </c>
      <c r="AG109" s="10" t="n">
        <v>0.68</v>
      </c>
      <c r="AH109" s="10" t="n">
        <v>0.59</v>
      </c>
      <c r="AI109" s="10" t="inlineStr"/>
      <c r="AJ109" s="11">
        <f>IFERROR(INDEX(Country_Context!$B$2:$B$87,MATCH($C109,Country_Context!$A$2:$A$87,0)),"")</f>
        <v/>
      </c>
      <c r="AK109" s="11">
        <f>IFERROR(INDEX(Country_Context!$C$2:$C$87,MATCH($C109,Country_Context!$A$2:$A$87,0)),"")</f>
        <v/>
      </c>
      <c r="AL109" s="11">
        <f>IFERROR(INDEX(Country_Context!$D$2:$D$87,MATCH($C109,Country_Context!$A$2:$A$87,0)),"")</f>
        <v/>
      </c>
      <c r="AM109" s="11">
        <f>IFERROR(INDEX(Country_Context!$E$2:$E$87,MATCH($C109,Country_Context!$A$2:$A$87,0)),"")</f>
        <v/>
      </c>
      <c r="AN109" s="11">
        <f>IFERROR(INDEX(Country_Context!$F$2:$F$87,MATCH($C109,Country_Context!$A$2:$A$87,0)),"")</f>
        <v/>
      </c>
      <c r="AO109" s="11">
        <f>IFERROR(INDEX(Country_Context!$G$2:$G$87,MATCH($C109,Country_Context!$A$2:$A$87,0)),"")</f>
        <v/>
      </c>
      <c r="AP109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09" s="12" t="inlineStr">
        <is>
          <t>Tier 3, Tier 4</t>
        </is>
      </c>
      <c r="AR109" s="12" t="inlineStr">
        <is>
          <t>2024-12-31</t>
        </is>
      </c>
      <c r="AS109" s="12" t="inlineStr">
        <is>
          <t>providers=world_bank_col_estimate, derived, ilo_ilostat, who_gho; fields=gross_income, rent, utilities, transit_cost; +9 additional fields</t>
        </is>
      </c>
      <c r="AT109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09" s="12" t="inlineStr">
        <is>
          <t>Tier 3</t>
        </is>
      </c>
      <c r="AV109" s="12" t="inlineStr">
        <is>
          <t>2024-12-31</t>
        </is>
      </c>
      <c r="AW109" s="12" t="inlineStr">
        <is>
          <t>providers=world_bank, wmo_natl_met; fields=personal_safety_raw, water_sanitation_utility_raw, digital_infrastructure_raw, climate_sunlight_livability_raw</t>
        </is>
      </c>
      <c r="AX109" s="12" t="inlineStr">
        <is>
          <t>https://www.who.int/data/gho/data/indicators/indicator-details/GHO/UHC_INDEX_REPORTED | https://api.worldbank.org/v2/country/NZL/indicator/SE.TER.ENRR?format=json&amp;mrv=10</t>
        </is>
      </c>
      <c r="AY109" s="12" t="inlineStr">
        <is>
          <t>Tier 3</t>
        </is>
      </c>
      <c r="AZ109" s="12" t="inlineStr">
        <is>
          <t>2023-12-31</t>
        </is>
      </c>
      <c r="BA109" s="12" t="inlineStr">
        <is>
          <t>providers=who_gho, world_bank; fields=healthcare_quality_raw, education_quality_raw</t>
        </is>
      </c>
      <c r="BB109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09" s="12" t="inlineStr">
        <is>
          <t>Tier 3</t>
        </is>
      </c>
      <c r="BD109" s="12" t="inlineStr">
        <is>
          <t>2025-12-31</t>
        </is>
      </c>
      <c r="BE109" s="12" t="inlineStr">
        <is>
          <t>providers=world_bank; fields=hospitality_belonging_raw, tolerance_pluralism_raw, cultural_public_life_raw, birth_rate_optimism_raw</t>
        </is>
      </c>
      <c r="BF109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09" s="12" t="inlineStr">
        <is>
          <t>Tier 3</t>
        </is>
      </c>
      <c r="BH109" s="12" t="inlineStr">
        <is>
          <t>2024-12-31</t>
        </is>
      </c>
      <c r="BI109" s="12" t="inlineStr">
        <is>
          <t>providers=world_bank; fields=entrepreneurial_dynamism_raw, innovation_research_intensity_raw, investment_signal_raw, administrative_investment_friction_raw; +2 additional fields</t>
        </is>
      </c>
      <c r="BJ109" s="9" t="n">
        <v>1.56</v>
      </c>
    </row>
    <row r="110">
      <c r="A110" s="9" t="inlineStr">
        <is>
          <t>fj-suva</t>
        </is>
      </c>
      <c r="B110" s="9" t="inlineStr">
        <is>
          <t>Suva</t>
        </is>
      </c>
      <c r="C110" s="9" t="inlineStr">
        <is>
          <t>Fiji</t>
        </is>
      </c>
      <c r="D110" s="9" t="inlineStr">
        <is>
          <t>Oceania</t>
        </is>
      </c>
      <c r="E110" s="9" t="inlineStr">
        <is>
          <t>secondary</t>
        </is>
      </c>
      <c r="F110" s="9" t="inlineStr">
        <is>
          <t>locked</t>
        </is>
      </c>
      <c r="G110" s="10" t="n">
        <v>1207.5</v>
      </c>
      <c r="H110" s="10" t="n">
        <v>326.03</v>
      </c>
      <c r="I110" s="10" t="n">
        <v>65.2</v>
      </c>
      <c r="J110" s="10" t="n">
        <v>43.47</v>
      </c>
      <c r="K110" s="10" t="n">
        <v>16.3</v>
      </c>
      <c r="L110" s="10" t="n">
        <v>163.01</v>
      </c>
      <c r="M110" s="11" t="inlineStr"/>
      <c r="N110" s="10" t="n">
        <v>27.0004</v>
      </c>
      <c r="O110" s="10" t="n">
        <v>75.99930000000001</v>
      </c>
      <c r="P110" s="11">
        <f>IF($O110&lt;&gt;"",$O110,$AO110)</f>
        <v/>
      </c>
      <c r="Q110" s="10" t="n">
        <v>37.33</v>
      </c>
      <c r="R110" s="10" t="n">
        <v>8.27</v>
      </c>
      <c r="S110" s="10" t="n">
        <v>2.06</v>
      </c>
      <c r="T110" s="10" t="inlineStr"/>
      <c r="U110" s="10" t="inlineStr"/>
      <c r="V110" s="10" t="n">
        <v>42.11</v>
      </c>
      <c r="W110" s="10" t="n">
        <v>2.53</v>
      </c>
      <c r="X110" s="9" t="inlineStr"/>
      <c r="Y110" s="10" t="n">
        <v>69</v>
      </c>
      <c r="Z110" s="10" t="n">
        <v>75.01000000000001</v>
      </c>
      <c r="AA110" s="10" t="n">
        <v>30.7</v>
      </c>
      <c r="AB110" s="10" t="n">
        <v>46.46</v>
      </c>
      <c r="AC110" s="10" t="n">
        <v>9.09</v>
      </c>
      <c r="AD110" s="10" t="n">
        <v>180.88</v>
      </c>
      <c r="AE110" s="10" t="n">
        <v>2.22</v>
      </c>
      <c r="AF110" s="10" t="inlineStr"/>
      <c r="AG110" s="10" t="n">
        <v>3.41</v>
      </c>
      <c r="AH110" s="10" t="n">
        <v>2.59</v>
      </c>
      <c r="AI110" s="10" t="inlineStr"/>
      <c r="AJ110" s="11">
        <f>IFERROR(INDEX(Country_Context!$B$2:$B$87,MATCH($C110,Country_Context!$A$2:$A$87,0)),"")</f>
        <v/>
      </c>
      <c r="AK110" s="11">
        <f>IFERROR(INDEX(Country_Context!$C$2:$C$87,MATCH($C110,Country_Context!$A$2:$A$87,0)),"")</f>
        <v/>
      </c>
      <c r="AL110" s="11">
        <f>IFERROR(INDEX(Country_Context!$D$2:$D$87,MATCH($C110,Country_Context!$A$2:$A$87,0)),"")</f>
        <v/>
      </c>
      <c r="AM110" s="11">
        <f>IFERROR(INDEX(Country_Context!$E$2:$E$87,MATCH($C110,Country_Context!$A$2:$A$87,0)),"")</f>
        <v/>
      </c>
      <c r="AN110" s="11">
        <f>IFERROR(INDEX(Country_Context!$F$2:$F$87,MATCH($C110,Country_Context!$A$2:$A$87,0)),"")</f>
        <v/>
      </c>
      <c r="AO110" s="11">
        <f>IFERROR(INDEX(Country_Context!$G$2:$G$87,MATCH($C110,Country_Context!$A$2:$A$87,0)),"")</f>
        <v/>
      </c>
      <c r="AP110" s="12" t="inlineStr">
        <is>
          <t>https://api.worldbank.org/v2/country/FJI/indicator/NY.GNP.PCAP.PP.CD?format=json&amp;mrv=10 | https://data.worldbank.org/indicator/NY.GNP.PCAP.PP.CD | https://ilostat.ilo.org/data/indicator/?id=HOW_TEMP_SEX_ECO_NB_A&amp;ref_area=FJI | +4 more</t>
        </is>
      </c>
      <c r="AQ110" s="12" t="inlineStr">
        <is>
          <t>Tier 3, Tier 4</t>
        </is>
      </c>
      <c r="AR110" s="12" t="inlineStr">
        <is>
          <t>2024-12-31</t>
        </is>
      </c>
      <c r="AS110" s="12" t="inlineStr">
        <is>
          <t>providers=world_bank_col_estimate, derived, ilo_ilostat, who_gho; fields=gross_income, rent, utilities, transit_cost; +9 additional fields</t>
        </is>
      </c>
      <c r="AT110" s="12" t="inlineStr">
        <is>
          <t>https://api.worldbank.org/v2/country/FJI/indicator/VC.IHR.PSRC.P5?format=json&amp;mrv=10 | https://api.worldbank.org/v2/country/FJI/indicator/SH.H2O.SMDW.ZS?format=json&amp;mrv=10 | https://api.worldbank.org/v2/country/FJI/indicator/IT.NET.BBND.P2?format=json&amp;mrv=10</t>
        </is>
      </c>
      <c r="AU110" s="12" t="inlineStr">
        <is>
          <t>Tier 3</t>
        </is>
      </c>
      <c r="AV110" s="12" t="inlineStr">
        <is>
          <t>2024-12-31</t>
        </is>
      </c>
      <c r="AW110" s="12" t="inlineStr">
        <is>
          <t>providers=world_bank; fields=personal_safety_raw, water_sanitation_utility_raw, digital_infrastructure_raw</t>
        </is>
      </c>
      <c r="AX110" s="12" t="inlineStr">
        <is>
          <t>https://www.who.int/data/gho/data/indicators/indicator-details/GHO/UHC_INDEX_REPORTED | https://api.worldbank.org/v2/country/FJI/indicator/SE.TER.ENRR?format=json&amp;mrv=10 | https://api.worldbank.org/v2/country/FJI/indicator/SI.POV.GINI?format=json&amp;mrv=10 | +1 more</t>
        </is>
      </c>
      <c r="AY110" s="12" t="inlineStr">
        <is>
          <t>Tier 3</t>
        </is>
      </c>
      <c r="AZ110" s="12" t="inlineStr">
        <is>
          <t>2024-12-31</t>
        </is>
      </c>
      <c r="BA110" s="12" t="inlineStr">
        <is>
          <t>providers=who_gho, world_bank; fields=healthcare_quality_raw, education_quality_raw, equal_opportunity_raw, gini_coefficient</t>
        </is>
      </c>
      <c r="BB110" s="12" t="inlineStr">
        <is>
          <t>https://api.worldbank.org/v2/country/FJI/indicator/SM.POP.NETM?format=json&amp;mrv=10 | https://api.worldbank.org/v2/country/FJI/indicator/SG.GEN.PARL.ZS?format=json&amp;mrv=10 | https://api.worldbank.org/v2/country/FJI/indicator/ST.INT.ARVL?format=json&amp;mrv=10</t>
        </is>
      </c>
      <c r="BC110" s="12" t="inlineStr">
        <is>
          <t>Tier 3</t>
        </is>
      </c>
      <c r="BD110" s="12" t="inlineStr">
        <is>
          <t>2025-12-31</t>
        </is>
      </c>
      <c r="BE110" s="12" t="inlineStr">
        <is>
          <t>providers=world_bank; fields=hospitality_belonging_raw, tolerance_pluralism_raw, cultural_public_life_raw</t>
        </is>
      </c>
      <c r="BF110" s="12" t="inlineStr">
        <is>
          <t>https://api.worldbank.org/v2/country/FJI/indicator/IC.BUS.NDNS.ZS?format=json&amp;mrv=10 | https://api.worldbank.org/v2/country/FJI/indicator/BX.KLT.DINV.WD.GD.ZS?format=json&amp;mrv=10 | https://api.worldbank.org/v2/country/FJI/indicator/RQ.EST?format=json&amp;mrv=10 | +2 more</t>
        </is>
      </c>
      <c r="BG110" s="12" t="inlineStr">
        <is>
          <t>Tier 3</t>
        </is>
      </c>
      <c r="BH110" s="12" t="inlineStr">
        <is>
          <t>2024-12-31</t>
        </is>
      </c>
      <c r="BI110" s="12" t="inlineStr">
        <is>
          <t>providers=world_bank; fields=entrepreneurial_dynamism_raw, investment_signal_raw, administrative_investment_friction_raw, gdp_per_capita_ppp; +1 additional fields</t>
        </is>
      </c>
      <c r="BJ110" s="9" t="inlineStr"/>
    </row>
    <row r="111">
      <c r="A111" s="9" t="inlineStr">
        <is>
          <t>id-surabaya</t>
        </is>
      </c>
      <c r="B111" s="9" t="inlineStr">
        <is>
          <t>Surabaya</t>
        </is>
      </c>
      <c r="C111" s="9" t="inlineStr">
        <is>
          <t>Indonesia</t>
        </is>
      </c>
      <c r="D111" s="9" t="inlineStr">
        <is>
          <t>Southeast Asia</t>
        </is>
      </c>
      <c r="E111" s="9" t="inlineStr">
        <is>
          <t>secondary</t>
        </is>
      </c>
      <c r="F111" s="9" t="inlineStr">
        <is>
          <t>provisional</t>
        </is>
      </c>
      <c r="G111" s="10" t="n">
        <v>1334.17</v>
      </c>
      <c r="H111" s="10" t="n">
        <v>200.13</v>
      </c>
      <c r="I111" s="10" t="n">
        <v>50.03</v>
      </c>
      <c r="J111" s="10" t="n">
        <v>40.03</v>
      </c>
      <c r="K111" s="10" t="n">
        <v>15.01</v>
      </c>
      <c r="L111" s="10" t="n">
        <v>220.14</v>
      </c>
      <c r="M111" s="11" t="inlineStr"/>
      <c r="N111" s="10" t="n">
        <v>15.0003</v>
      </c>
      <c r="O111" s="10" t="n">
        <v>31.7861</v>
      </c>
      <c r="P111" s="11">
        <f>IF($O111&lt;&gt;"",$O111,$AO111)</f>
        <v/>
      </c>
      <c r="Q111" s="10" t="n">
        <v>38.36</v>
      </c>
      <c r="R111" s="10" t="n">
        <v>1.2</v>
      </c>
      <c r="S111" s="10" t="n">
        <v>0.3</v>
      </c>
      <c r="T111" s="10" t="inlineStr"/>
      <c r="U111" s="10" t="inlineStr"/>
      <c r="V111" s="10" t="n">
        <v>30.46</v>
      </c>
      <c r="W111" s="10" t="n">
        <v>4.82</v>
      </c>
      <c r="X111" s="9" t="inlineStr"/>
      <c r="Y111" s="10" t="n">
        <v>67</v>
      </c>
      <c r="Z111" s="10" t="n">
        <v>44.88</v>
      </c>
      <c r="AA111" s="10" t="n">
        <v>34.9</v>
      </c>
      <c r="AB111" s="10" t="n">
        <v>49.86</v>
      </c>
      <c r="AC111" s="10" t="n">
        <v>21.03</v>
      </c>
      <c r="AD111" s="10" t="n">
        <v>14.3</v>
      </c>
      <c r="AE111" s="10" t="n">
        <v>0.33</v>
      </c>
      <c r="AF111" s="10" t="n">
        <v>0.28</v>
      </c>
      <c r="AG111" s="10" t="n">
        <v>1.74</v>
      </c>
      <c r="AH111" s="10" t="n">
        <v>2.2</v>
      </c>
      <c r="AI111" s="10" t="inlineStr"/>
      <c r="AJ111" s="11">
        <f>IFERROR(INDEX(Country_Context!$B$2:$B$87,MATCH($C111,Country_Context!$A$2:$A$87,0)),"")</f>
        <v/>
      </c>
      <c r="AK111" s="11">
        <f>IFERROR(INDEX(Country_Context!$C$2:$C$87,MATCH($C111,Country_Context!$A$2:$A$87,0)),"")</f>
        <v/>
      </c>
      <c r="AL111" s="11">
        <f>IFERROR(INDEX(Country_Context!$D$2:$D$87,MATCH($C111,Country_Context!$A$2:$A$87,0)),"")</f>
        <v/>
      </c>
      <c r="AM111" s="11">
        <f>IFERROR(INDEX(Country_Context!$E$2:$E$87,MATCH($C111,Country_Context!$A$2:$A$87,0)),"")</f>
        <v/>
      </c>
      <c r="AN111" s="11">
        <f>IFERROR(INDEX(Country_Context!$F$2:$F$87,MATCH($C111,Country_Context!$A$2:$A$87,0)),"")</f>
        <v/>
      </c>
      <c r="AO111" s="11">
        <f>IFERROR(INDEX(Country_Context!$G$2:$G$87,MATCH($C111,Country_Context!$A$2:$A$87,0)),"")</f>
        <v/>
      </c>
      <c r="AP111" s="12" t="inlineStr">
        <is>
          <t>https://api.worldbank.org/v2/country/IDN/indicator/NY.GNP.PCAP.PP.CD?format=json&amp;mrv=10 | https://data.worldbank.org/indicator/NY.GNP.PCAP.PP.CD | https://ilostat.ilo.org/data/indicator/?id=HOW_TEMP_SEX_ECO_NB_A&amp;ref_area=IDN | +4 more</t>
        </is>
      </c>
      <c r="AQ111" s="12" t="inlineStr">
        <is>
          <t>Tier 3, Tier 4</t>
        </is>
      </c>
      <c r="AR111" s="12" t="inlineStr">
        <is>
          <t>2024-12-31</t>
        </is>
      </c>
      <c r="AS111" s="12" t="inlineStr">
        <is>
          <t>providers=world_bank_col_estimate, derived, ilo_ilostat, who_gho; fields=gross_income, rent, utilities, transit_cost; +9 additional fields</t>
        </is>
      </c>
      <c r="AT111" s="12" t="inlineStr">
        <is>
          <t>https://api.worldbank.org/v2/country/IDN/indicator/VC.IHR.PSRC.P5?format=json&amp;mrv=10 | https://api.worldbank.org/v2/country/IDN/indicator/SH.H2O.SMDW.ZS?format=json&amp;mrv=10 | https://api.worldbank.org/v2/country/IDN/indicator/IT.NET.BBND.P2?format=json&amp;mrv=10</t>
        </is>
      </c>
      <c r="AU111" s="12" t="inlineStr">
        <is>
          <t>Tier 3</t>
        </is>
      </c>
      <c r="AV111" s="12" t="inlineStr">
        <is>
          <t>2024-12-31</t>
        </is>
      </c>
      <c r="AW111" s="12" t="inlineStr">
        <is>
          <t>providers=world_bank; fields=personal_safety_raw, water_sanitation_utility_raw, digital_infrastructure_raw</t>
        </is>
      </c>
      <c r="AX111" s="12" t="inlineStr">
        <is>
          <t>https://www.who.int/data/gho/data/indicators/indicator-details/GHO/UHC_INDEX_REPORTED | https://api.worldbank.org/v2/country/IDN/indicator/SE.TER.ENRR?format=json&amp;mrv=10 | https://api.worldbank.org/v2/country/IDN/indicator/SI.POV.GINI?format=json&amp;mrv=10 | +1 more</t>
        </is>
      </c>
      <c r="AY111" s="12" t="inlineStr">
        <is>
          <t>Tier 3</t>
        </is>
      </c>
      <c r="AZ111" s="12" t="inlineStr">
        <is>
          <t>2024-12-31</t>
        </is>
      </c>
      <c r="BA111" s="12" t="inlineStr">
        <is>
          <t>providers=who_gho, world_bank; fields=healthcare_quality_raw, education_quality_raw, equal_opportunity_raw, gini_coefficient</t>
        </is>
      </c>
      <c r="BB111" s="12" t="inlineStr">
        <is>
          <t>https://api.worldbank.org/v2/country/IDN/indicator/SM.POP.NETM?format=json&amp;mrv=10 | https://api.worldbank.org/v2/country/IDN/indicator/SG.GEN.PARL.ZS?format=json&amp;mrv=10 | https://api.worldbank.org/v2/country/IDN/indicator/ST.INT.ARVL?format=json&amp;mrv=10</t>
        </is>
      </c>
      <c r="BC111" s="12" t="inlineStr">
        <is>
          <t>Tier 3</t>
        </is>
      </c>
      <c r="BD111" s="12" t="inlineStr">
        <is>
          <t>2025-12-31</t>
        </is>
      </c>
      <c r="BE111" s="12" t="inlineStr">
        <is>
          <t>providers=world_bank; fields=hospitality_belonging_raw, tolerance_pluralism_raw, cultural_public_life_raw</t>
        </is>
      </c>
      <c r="BF111" s="12" t="inlineStr">
        <is>
          <t>https://api.worldbank.org/v2/country/IDN/indicator/IC.BUS.NDNS.ZS?format=json&amp;mrv=10 | https://api.worldbank.org/v2/country/IDN/indicator/GB.XPD.RSDV.GD.ZS?format=json&amp;mrv=10 | https://api.worldbank.org/v2/country/IDN/indicator/BX.KLT.DINV.WD.GD.ZS?format=json&amp;mrv=10 | +3 more</t>
        </is>
      </c>
      <c r="BG111" s="12" t="inlineStr">
        <is>
          <t>Tier 3</t>
        </is>
      </c>
      <c r="BH111" s="12" t="inlineStr">
        <is>
          <t>2024-12-31</t>
        </is>
      </c>
      <c r="BI111" s="12" t="inlineStr">
        <is>
          <t>providers=world_bank; fields=entrepreneurial_dynamism_raw, innovation_research_intensity_raw, investment_signal_raw, administrative_investment_friction_raw; +2 additional fields</t>
        </is>
      </c>
      <c r="BJ111" s="9" t="inlineStr"/>
    </row>
    <row r="112">
      <c r="A112" s="9" t="inlineStr">
        <is>
          <t>ph-cebu-city</t>
        </is>
      </c>
      <c r="B112" s="9" t="inlineStr">
        <is>
          <t>Cebu City</t>
        </is>
      </c>
      <c r="C112" s="9" t="inlineStr">
        <is>
          <t>Philippines</t>
        </is>
      </c>
      <c r="D112" s="9" t="inlineStr">
        <is>
          <t>Southeast Asia</t>
        </is>
      </c>
      <c r="E112" s="9" t="inlineStr">
        <is>
          <t>secondary</t>
        </is>
      </c>
      <c r="F112" s="9" t="inlineStr">
        <is>
          <t>provisional</t>
        </is>
      </c>
      <c r="G112" s="10" t="n">
        <v>1110.83</v>
      </c>
      <c r="H112" s="10" t="n">
        <v>177.73</v>
      </c>
      <c r="I112" s="10" t="n">
        <v>44.43</v>
      </c>
      <c r="J112" s="10" t="n">
        <v>35.55</v>
      </c>
      <c r="K112" s="10" t="n">
        <v>13.33</v>
      </c>
      <c r="L112" s="10" t="n">
        <v>195.51</v>
      </c>
      <c r="M112" s="11" t="inlineStr"/>
      <c r="N112" s="10" t="n">
        <v>15.9997</v>
      </c>
      <c r="O112" s="10" t="n">
        <v>49.8137</v>
      </c>
      <c r="P112" s="11">
        <f>IF($O112&lt;&gt;"",$O112,$AO112)</f>
        <v/>
      </c>
      <c r="Q112" s="10" t="n">
        <v>39.99</v>
      </c>
      <c r="R112" s="10" t="n">
        <v>3.49</v>
      </c>
      <c r="S112" s="10" t="n">
        <v>4.35</v>
      </c>
      <c r="T112" s="10" t="inlineStr"/>
      <c r="U112" s="10" t="inlineStr"/>
      <c r="V112" s="10" t="n">
        <v>48.48</v>
      </c>
      <c r="W112" s="10" t="n">
        <v>6.54</v>
      </c>
      <c r="X112" s="9" t="inlineStr"/>
      <c r="Y112" s="10" t="n">
        <v>69</v>
      </c>
      <c r="Z112" s="10" t="n">
        <v>47.41</v>
      </c>
      <c r="AA112" s="10" t="n">
        <v>39.3</v>
      </c>
      <c r="AB112" s="10" t="n">
        <v>48.71</v>
      </c>
      <c r="AC112" s="10" t="n">
        <v>27.33</v>
      </c>
      <c r="AD112" s="10" t="n">
        <v>12.8</v>
      </c>
      <c r="AE112" s="10" t="n">
        <v>0.34</v>
      </c>
      <c r="AF112" s="10" t="n">
        <v>0.32</v>
      </c>
      <c r="AG112" s="10" t="n">
        <v>2.04</v>
      </c>
      <c r="AH112" s="10" t="n">
        <v>2.34</v>
      </c>
      <c r="AI112" s="10" t="inlineStr"/>
      <c r="AJ112" s="11">
        <f>IFERROR(INDEX(Country_Context!$B$2:$B$87,MATCH($C112,Country_Context!$A$2:$A$87,0)),"")</f>
        <v/>
      </c>
      <c r="AK112" s="11">
        <f>IFERROR(INDEX(Country_Context!$C$2:$C$87,MATCH($C112,Country_Context!$A$2:$A$87,0)),"")</f>
        <v/>
      </c>
      <c r="AL112" s="11">
        <f>IFERROR(INDEX(Country_Context!$D$2:$D$87,MATCH($C112,Country_Context!$A$2:$A$87,0)),"")</f>
        <v/>
      </c>
      <c r="AM112" s="11">
        <f>IFERROR(INDEX(Country_Context!$E$2:$E$87,MATCH($C112,Country_Context!$A$2:$A$87,0)),"")</f>
        <v/>
      </c>
      <c r="AN112" s="11">
        <f>IFERROR(INDEX(Country_Context!$F$2:$F$87,MATCH($C112,Country_Context!$A$2:$A$87,0)),"")</f>
        <v/>
      </c>
      <c r="AO112" s="11">
        <f>IFERROR(INDEX(Country_Context!$G$2:$G$87,MATCH($C112,Country_Context!$A$2:$A$87,0)),"")</f>
        <v/>
      </c>
      <c r="AP112" s="12" t="inlineStr">
        <is>
          <t>https://api.worldbank.org/v2/country/PHL/indicator/NY.GNP.PCAP.PP.CD?format=json&amp;mrv=10 | https://data.worldbank.org/indicator/NY.GNP.PCAP.PP.CD | https://ilostat.ilo.org/data/indicator/?id=HOW_TEMP_SEX_ECO_NB_A&amp;ref_area=PHL | +4 more</t>
        </is>
      </c>
      <c r="AQ112" s="12" t="inlineStr">
        <is>
          <t>Tier 3, Tier 4</t>
        </is>
      </c>
      <c r="AR112" s="12" t="inlineStr">
        <is>
          <t>2024-12-31</t>
        </is>
      </c>
      <c r="AS112" s="12" t="inlineStr">
        <is>
          <t>providers=world_bank_col_estimate, derived, ilo_ilostat, who_gho; fields=gross_income, rent, utilities, transit_cost; +9 additional fields</t>
        </is>
      </c>
      <c r="AT112" s="12" t="inlineStr">
        <is>
          <t>https://api.worldbank.org/v2/country/PHL/indicator/VC.IHR.PSRC.P5?format=json&amp;mrv=10 | https://api.worldbank.org/v2/country/PHL/indicator/SH.H2O.SMDW.ZS?format=json&amp;mrv=10 | https://api.worldbank.org/v2/country/PHL/indicator/IT.NET.BBND.P2?format=json&amp;mrv=10</t>
        </is>
      </c>
      <c r="AU112" s="12" t="inlineStr">
        <is>
          <t>Tier 3</t>
        </is>
      </c>
      <c r="AV112" s="12" t="inlineStr">
        <is>
          <t>2024-12-31</t>
        </is>
      </c>
      <c r="AW112" s="12" t="inlineStr">
        <is>
          <t>providers=world_bank; fields=personal_safety_raw, water_sanitation_utility_raw, digital_infrastructure_raw</t>
        </is>
      </c>
      <c r="AX112" s="12" t="inlineStr">
        <is>
          <t>https://www.who.int/data/gho/data/indicators/indicator-details/GHO/UHC_INDEX_REPORTED | https://api.worldbank.org/v2/country/PHL/indicator/SE.TER.ENRR?format=json&amp;mrv=10 | https://api.worldbank.org/v2/country/PHL/indicator/SI.POV.GINI?format=json&amp;mrv=10 | +1 more</t>
        </is>
      </c>
      <c r="AY112" s="12" t="inlineStr">
        <is>
          <t>Tier 3</t>
        </is>
      </c>
      <c r="AZ112" s="12" t="inlineStr">
        <is>
          <t>2024-12-31</t>
        </is>
      </c>
      <c r="BA112" s="12" t="inlineStr">
        <is>
          <t>providers=who_gho, world_bank; fields=healthcare_quality_raw, education_quality_raw, equal_opportunity_raw, gini_coefficient</t>
        </is>
      </c>
      <c r="BB112" s="12" t="inlineStr">
        <is>
          <t>https://api.worldbank.org/v2/country/PHL/indicator/SM.POP.NETM?format=json&amp;mrv=10 | https://api.worldbank.org/v2/country/PHL/indicator/SG.GEN.PARL.ZS?format=json&amp;mrv=10 | https://api.worldbank.org/v2/country/PHL/indicator/ST.INT.ARVL?format=json&amp;mrv=10</t>
        </is>
      </c>
      <c r="BC112" s="12" t="inlineStr">
        <is>
          <t>Tier 3</t>
        </is>
      </c>
      <c r="BD112" s="12" t="inlineStr">
        <is>
          <t>2025-12-31</t>
        </is>
      </c>
      <c r="BE112" s="12" t="inlineStr">
        <is>
          <t>providers=world_bank; fields=hospitality_belonging_raw, tolerance_pluralism_raw, cultural_public_life_raw</t>
        </is>
      </c>
      <c r="BF112" s="12" t="inlineStr">
        <is>
          <t>https://api.worldbank.org/v2/country/PHL/indicator/IC.BUS.NDNS.ZS?format=json&amp;mrv=10 | https://api.worldbank.org/v2/country/PHL/indicator/GB.XPD.RSDV.GD.ZS?format=json&amp;mrv=10 | https://api.worldbank.org/v2/country/PHL/indicator/BX.KLT.DINV.WD.GD.ZS?format=json&amp;mrv=10 | +3 more</t>
        </is>
      </c>
      <c r="BG112" s="12" t="inlineStr">
        <is>
          <t>Tier 3</t>
        </is>
      </c>
      <c r="BH112" s="12" t="inlineStr">
        <is>
          <t>2024-12-31</t>
        </is>
      </c>
      <c r="BI112" s="12" t="inlineStr">
        <is>
          <t>providers=world_bank; fields=entrepreneurial_dynamism_raw, innovation_research_intensity_raw, investment_signal_raw, administrative_investment_friction_raw; +2 additional fields</t>
        </is>
      </c>
      <c r="BJ112" s="9" t="inlineStr"/>
    </row>
    <row r="113">
      <c r="A113" s="9" t="inlineStr">
        <is>
          <t>vn-da-nang</t>
        </is>
      </c>
      <c r="B113" s="9" t="inlineStr">
        <is>
          <t>Da Nang</t>
        </is>
      </c>
      <c r="C113" s="9" t="inlineStr">
        <is>
          <t>Vietnam</t>
        </is>
      </c>
      <c r="D113" s="9" t="inlineStr">
        <is>
          <t>Southeast Asia</t>
        </is>
      </c>
      <c r="E113" s="9" t="inlineStr">
        <is>
          <t>secondary</t>
        </is>
      </c>
      <c r="F113" s="9" t="inlineStr">
        <is>
          <t>provisional</t>
        </is>
      </c>
      <c r="G113" s="10" t="n">
        <v>1320.83</v>
      </c>
      <c r="H113" s="10" t="n">
        <v>198.12</v>
      </c>
      <c r="I113" s="10" t="n">
        <v>49.53</v>
      </c>
      <c r="J113" s="10" t="n">
        <v>39.62</v>
      </c>
      <c r="K113" s="10" t="n">
        <v>14.86</v>
      </c>
      <c r="L113" s="10" t="n">
        <v>217.94</v>
      </c>
      <c r="M113" s="11" t="inlineStr"/>
      <c r="N113" s="10" t="n">
        <v>14.9997</v>
      </c>
      <c r="O113" s="10" t="inlineStr"/>
      <c r="P113" s="11">
        <f>IF($O113&lt;&gt;"",$O113,$AO113)</f>
        <v/>
      </c>
      <c r="Q113" s="10" t="inlineStr"/>
      <c r="R113" s="10" t="n">
        <v>7.3</v>
      </c>
      <c r="S113" s="10" t="inlineStr"/>
      <c r="T113" s="10" t="inlineStr"/>
      <c r="U113" s="10" t="inlineStr"/>
      <c r="V113" s="10" t="inlineStr"/>
      <c r="W113" s="10" t="inlineStr"/>
      <c r="X113" s="9" t="inlineStr"/>
      <c r="Y113" s="10" t="n">
        <v>71</v>
      </c>
      <c r="Z113" s="10" t="inlineStr"/>
      <c r="AA113" s="10" t="n">
        <v>36.1</v>
      </c>
      <c r="AB113" s="10" t="inlineStr"/>
      <c r="AC113" s="10" t="inlineStr"/>
      <c r="AD113" s="10" t="inlineStr"/>
      <c r="AE113" s="10" t="n">
        <v>1.82</v>
      </c>
      <c r="AF113" s="10" t="n">
        <v>0.42</v>
      </c>
      <c r="AG113" s="10" t="n">
        <v>4.23</v>
      </c>
      <c r="AH113" s="10" t="n">
        <v>2.88</v>
      </c>
      <c r="AI113" s="10" t="inlineStr"/>
      <c r="AJ113" s="11">
        <f>IFERROR(INDEX(Country_Context!$B$2:$B$87,MATCH($C113,Country_Context!$A$2:$A$87,0)),"")</f>
        <v/>
      </c>
      <c r="AK113" s="11">
        <f>IFERROR(INDEX(Country_Context!$C$2:$C$87,MATCH($C113,Country_Context!$A$2:$A$87,0)),"")</f>
        <v/>
      </c>
      <c r="AL113" s="11">
        <f>IFERROR(INDEX(Country_Context!$D$2:$D$87,MATCH($C113,Country_Context!$A$2:$A$87,0)),"")</f>
        <v/>
      </c>
      <c r="AM113" s="11">
        <f>IFERROR(INDEX(Country_Context!$E$2:$E$87,MATCH($C113,Country_Context!$A$2:$A$87,0)),"")</f>
        <v/>
      </c>
      <c r="AN113" s="11">
        <f>IFERROR(INDEX(Country_Context!$F$2:$F$87,MATCH($C113,Country_Context!$A$2:$A$87,0)),"")</f>
        <v/>
      </c>
      <c r="AO113" s="11">
        <f>IFERROR(INDEX(Country_Context!$G$2:$G$87,MATCH($C113,Country_Context!$A$2:$A$87,0)),"")</f>
        <v/>
      </c>
      <c r="AP113" s="12" t="inlineStr">
        <is>
          <t>https://api.worldbank.org/v2/country/VNM/indicator/NY.GNP.PCAP.PP.CD?format=json&amp;mrv=10 | https://data.worldbank.org/indicator/NY.GNP.PCAP.PP.CD | https://www.who.int/data/gho/data/indicators/indicator-details/GHO/SDGSUICIDE</t>
        </is>
      </c>
      <c r="AQ113" s="12" t="inlineStr">
        <is>
          <t>Tier 3, Tier 4</t>
        </is>
      </c>
      <c r="AR113" s="12" t="inlineStr">
        <is>
          <t>2024-12-31</t>
        </is>
      </c>
      <c r="AS113" s="12" t="inlineStr">
        <is>
          <t>providers=world_bank_col_estimate, derived, who_gho; fields=gross_income, rent, utilities, transit_cost; +4 additional fields</t>
        </is>
      </c>
      <c r="AT113" s="12" t="inlineStr"/>
      <c r="AU113" s="12" t="inlineStr"/>
      <c r="AV113" s="12" t="inlineStr"/>
      <c r="AW113" s="12" t="inlineStr"/>
      <c r="AX113" s="12" t="inlineStr">
        <is>
          <t>https://www.who.int/data/gho/data/indicators/indicator-details/GHO/UHC_INDEX_REPORTED | https://api.worldbank.org/v2/country/VNM/indicator/SI.POV.GINI?format=json&amp;mrv=10</t>
        </is>
      </c>
      <c r="AY113" s="12" t="inlineStr">
        <is>
          <t>Tier 3</t>
        </is>
      </c>
      <c r="AZ113" s="12" t="inlineStr">
        <is>
          <t>2023-12-31</t>
        </is>
      </c>
      <c r="BA113" s="12" t="inlineStr">
        <is>
          <t>providers=who_gho, world_bank; fields=healthcare_quality_raw, equal_opportunity_raw</t>
        </is>
      </c>
      <c r="BB113" s="12" t="inlineStr">
        <is>
          <t>https://data.worldbank.org/indicator/SP.DYN.TFRT.IN</t>
        </is>
      </c>
      <c r="BC113" s="12" t="inlineStr">
        <is>
          <t>Tier 3</t>
        </is>
      </c>
      <c r="BD113" s="12" t="inlineStr">
        <is>
          <t>2024-01-01</t>
        </is>
      </c>
      <c r="BE113" s="12" t="inlineStr">
        <is>
          <t>providers=world_bank; fields=birth_rate_optimism_raw</t>
        </is>
      </c>
      <c r="BF113" s="12" t="inlineStr">
        <is>
          <t>https://api.worldbank.org/v2/country/VNM/indicator/IC.BUS.NDNS.ZS?format=json&amp;mrv=10 | https://api.worldbank.org/v2/country/VNM/indicator/GB.XPD.RSDV.GD.ZS?format=json&amp;mrv=10 | https://api.worldbank.org/v2/country/VNM/indicator/BX.KLT.DINV.WD.GD.ZS?format=json&amp;mrv=10 | +1 more</t>
        </is>
      </c>
      <c r="BG113" s="12" t="inlineStr">
        <is>
          <t>Tier 3</t>
        </is>
      </c>
      <c r="BH113" s="12" t="inlineStr">
        <is>
          <t>2024-12-31</t>
        </is>
      </c>
      <c r="BI113" s="12" t="inlineStr">
        <is>
          <t>providers=world_bank; fields=entrepreneurial_dynamism_raw, innovation_research_intensity_raw, investment_signal_raw, administrative_investment_friction_raw</t>
        </is>
      </c>
      <c r="BJ113" s="9" t="n">
        <v>1.94</v>
      </c>
    </row>
    <row r="114">
      <c r="A114" s="9" t="inlineStr">
        <is>
          <t>kh-phnom-penh</t>
        </is>
      </c>
      <c r="B114" s="9" t="inlineStr">
        <is>
          <t>Phnom Penh</t>
        </is>
      </c>
      <c r="C114" s="9" t="inlineStr">
        <is>
          <t>Cambodia</t>
        </is>
      </c>
      <c r="D114" s="9" t="inlineStr">
        <is>
          <t>Southeast Asia</t>
        </is>
      </c>
      <c r="E114" s="9" t="inlineStr">
        <is>
          <t>primary</t>
        </is>
      </c>
      <c r="F114" s="9" t="inlineStr">
        <is>
          <t>provisional</t>
        </is>
      </c>
      <c r="G114" s="10" t="n">
        <v>659.17</v>
      </c>
      <c r="H114" s="10" t="n">
        <v>118.65</v>
      </c>
      <c r="I114" s="10" t="n">
        <v>29.66</v>
      </c>
      <c r="J114" s="10" t="n">
        <v>23.73</v>
      </c>
      <c r="K114" s="10" t="n">
        <v>8.9</v>
      </c>
      <c r="L114" s="10" t="n">
        <v>130.52</v>
      </c>
      <c r="M114" s="11" t="inlineStr"/>
      <c r="N114" s="10" t="n">
        <v>17.9999</v>
      </c>
      <c r="O114" s="10" t="inlineStr"/>
      <c r="P114" s="11">
        <f>IF($O114&lt;&gt;"",$O114,$AO114)</f>
        <v/>
      </c>
      <c r="Q114" s="10" t="inlineStr"/>
      <c r="R114" s="10" t="n">
        <v>4.5</v>
      </c>
      <c r="S114" s="10" t="inlineStr"/>
      <c r="T114" s="10" t="inlineStr"/>
      <c r="U114" s="10" t="inlineStr"/>
      <c r="V114" s="10" t="inlineStr"/>
      <c r="W114" s="10" t="inlineStr"/>
      <c r="X114" s="9" t="inlineStr"/>
      <c r="Y114" s="10" t="n">
        <v>62</v>
      </c>
      <c r="Z114" s="10" t="inlineStr"/>
      <c r="AA114" s="10" t="inlineStr"/>
      <c r="AB114" s="10" t="inlineStr"/>
      <c r="AC114" s="10" t="inlineStr"/>
      <c r="AD114" s="10" t="inlineStr"/>
      <c r="AE114" s="10" t="n">
        <v>0.55</v>
      </c>
      <c r="AF114" s="10" t="inlineStr"/>
      <c r="AG114" s="10" t="n">
        <v>9.48</v>
      </c>
      <c r="AH114" s="10" t="n">
        <v>3.18</v>
      </c>
      <c r="AI114" s="10" t="inlineStr"/>
      <c r="AJ114" s="11">
        <f>IFERROR(INDEX(Country_Context!$B$2:$B$87,MATCH($C114,Country_Context!$A$2:$A$87,0)),"")</f>
        <v/>
      </c>
      <c r="AK114" s="11">
        <f>IFERROR(INDEX(Country_Context!$C$2:$C$87,MATCH($C114,Country_Context!$A$2:$A$87,0)),"")</f>
        <v/>
      </c>
      <c r="AL114" s="11">
        <f>IFERROR(INDEX(Country_Context!$D$2:$D$87,MATCH($C114,Country_Context!$A$2:$A$87,0)),"")</f>
        <v/>
      </c>
      <c r="AM114" s="11">
        <f>IFERROR(INDEX(Country_Context!$E$2:$E$87,MATCH($C114,Country_Context!$A$2:$A$87,0)),"")</f>
        <v/>
      </c>
      <c r="AN114" s="11">
        <f>IFERROR(INDEX(Country_Context!$F$2:$F$87,MATCH($C114,Country_Context!$A$2:$A$87,0)),"")</f>
        <v/>
      </c>
      <c r="AO114" s="11">
        <f>IFERROR(INDEX(Country_Context!$G$2:$G$87,MATCH($C114,Country_Context!$A$2:$A$87,0)),"")</f>
        <v/>
      </c>
      <c r="AP114" s="12" t="inlineStr">
        <is>
          <t>https://api.worldbank.org/v2/country/KHM/indicator/NY.GNP.PCAP.PP.CD?format=json&amp;mrv=10 | https://data.worldbank.org/indicator/NY.GNP.PCAP.PP.CD | https://www.who.int/data/gho/data/indicators/indicator-details/GHO/SDGSUICIDE</t>
        </is>
      </c>
      <c r="AQ114" s="12" t="inlineStr">
        <is>
          <t>Tier 3, Tier 4</t>
        </is>
      </c>
      <c r="AR114" s="12" t="inlineStr">
        <is>
          <t>2024-12-31</t>
        </is>
      </c>
      <c r="AS114" s="12" t="inlineStr">
        <is>
          <t>providers=world_bank_col_estimate, derived, who_gho; fields=gross_income, rent, utilities, transit_cost; +4 additional fields</t>
        </is>
      </c>
      <c r="AT114" s="12" t="inlineStr"/>
      <c r="AU114" s="12" t="inlineStr"/>
      <c r="AV114" s="12" t="inlineStr"/>
      <c r="AW114" s="12" t="inlineStr"/>
      <c r="AX114" s="12" t="inlineStr">
        <is>
          <t>https://www.who.int/data/gho/data/indicators/indicator-details/GHO/UHC_INDEX_REPORTED</t>
        </is>
      </c>
      <c r="AY114" s="12" t="inlineStr">
        <is>
          <t>Tier 3</t>
        </is>
      </c>
      <c r="AZ114" s="12" t="inlineStr">
        <is>
          <t>2023-12-31</t>
        </is>
      </c>
      <c r="BA114" s="12" t="inlineStr">
        <is>
          <t>providers=who_gho; fields=healthcare_quality_raw</t>
        </is>
      </c>
      <c r="BB114" s="12" t="inlineStr"/>
      <c r="BC114" s="12" t="inlineStr"/>
      <c r="BD114" s="12" t="inlineStr"/>
      <c r="BE114" s="12" t="inlineStr"/>
      <c r="BF114" s="12" t="inlineStr">
        <is>
          <t>https://api.worldbank.org/v2/country/KHM/indicator/IC.BUS.NDNS.ZS?format=json&amp;mrv=10 | https://api.worldbank.org/v2/country/KHM/indicator/BX.KLT.DINV.WD.GD.ZS?format=json&amp;mrv=10 | https://api.worldbank.org/v2/country/KHM/indicator/RQ.EST?format=json&amp;mrv=10</t>
        </is>
      </c>
      <c r="BG114" s="12" t="inlineStr">
        <is>
          <t>Tier 3</t>
        </is>
      </c>
      <c r="BH114" s="12" t="inlineStr">
        <is>
          <t>2024-12-31</t>
        </is>
      </c>
      <c r="BI114" s="12" t="inlineStr">
        <is>
          <t>providers=world_bank; fields=entrepreneurial_dynamism_raw, investment_signal_raw, administrative_investment_friction_raw</t>
        </is>
      </c>
      <c r="BJ114" s="9" t="inlineStr"/>
    </row>
    <row r="115">
      <c r="A115" s="9" t="inlineStr">
        <is>
          <t>tw-taichung</t>
        </is>
      </c>
      <c r="B115" s="9" t="inlineStr">
        <is>
          <t>Taichung</t>
        </is>
      </c>
      <c r="C115" s="9" t="inlineStr">
        <is>
          <t>Taiwan</t>
        </is>
      </c>
      <c r="D115" s="9" t="inlineStr">
        <is>
          <t>East Asia</t>
        </is>
      </c>
      <c r="E115" s="9" t="inlineStr">
        <is>
          <t>primary</t>
        </is>
      </c>
      <c r="F115" s="9" t="inlineStr">
        <is>
          <t>provisional</t>
        </is>
      </c>
      <c r="G115" s="10" t="n">
        <v>5416.67</v>
      </c>
      <c r="H115" s="10" t="n">
        <v>1218.75</v>
      </c>
      <c r="I115" s="10" t="n">
        <v>292.5</v>
      </c>
      <c r="J115" s="10" t="n">
        <v>195</v>
      </c>
      <c r="K115" s="10" t="n">
        <v>73.13</v>
      </c>
      <c r="L115" s="10" t="n">
        <v>975</v>
      </c>
      <c r="M115" s="11" t="inlineStr"/>
      <c r="N115" s="10" t="n">
        <v>22.5</v>
      </c>
      <c r="O115" s="10" t="inlineStr"/>
      <c r="P115" s="11">
        <f>IF($O115&lt;&gt;"",$O115,$AO115)</f>
        <v/>
      </c>
      <c r="Q115" s="10" t="inlineStr"/>
      <c r="R115" s="10" t="inlineStr"/>
      <c r="S115" s="10" t="inlineStr"/>
      <c r="T115" s="10" t="inlineStr"/>
      <c r="U115" s="10" t="inlineStr"/>
      <c r="V115" s="10" t="inlineStr"/>
      <c r="W115" s="10" t="inlineStr"/>
      <c r="X115" s="9" t="inlineStr"/>
      <c r="Y115" s="10" t="inlineStr"/>
      <c r="Z115" s="10" t="inlineStr"/>
      <c r="AA115" s="10" t="inlineStr"/>
      <c r="AB115" s="10" t="inlineStr"/>
      <c r="AC115" s="10" t="inlineStr"/>
      <c r="AD115" s="10" t="inlineStr"/>
      <c r="AE115" s="10" t="inlineStr"/>
      <c r="AF115" s="10" t="inlineStr"/>
      <c r="AG115" s="10" t="inlineStr"/>
      <c r="AH115" s="10" t="n">
        <v>1.3</v>
      </c>
      <c r="AI115" s="10" t="inlineStr"/>
      <c r="AJ115" s="11">
        <f>IFERROR(INDEX(Country_Context!$B$2:$B$87,MATCH($C115,Country_Context!$A$2:$A$87,0)),"")</f>
        <v/>
      </c>
      <c r="AK115" s="11">
        <f>IFERROR(INDEX(Country_Context!$C$2:$C$87,MATCH($C115,Country_Context!$A$2:$A$87,0)),"")</f>
        <v/>
      </c>
      <c r="AL115" s="11">
        <f>IFERROR(INDEX(Country_Context!$D$2:$D$87,MATCH($C115,Country_Context!$A$2:$A$87,0)),"")</f>
        <v/>
      </c>
      <c r="AM115" s="11">
        <f>IFERROR(INDEX(Country_Context!$E$2:$E$87,MATCH($C115,Country_Context!$A$2:$A$87,0)),"")</f>
        <v/>
      </c>
      <c r="AN115" s="11">
        <f>IFERROR(INDEX(Country_Context!$F$2:$F$87,MATCH($C115,Country_Context!$A$2:$A$87,0)),"")</f>
        <v/>
      </c>
      <c r="AO115" s="11">
        <f>IFERROR(INDEX(Country_Context!$G$2:$G$87,MATCH($C115,Country_Context!$A$2:$A$87,0)),"")</f>
        <v/>
      </c>
      <c r="AP115" s="12" t="inlineStr">
        <is>
          <t>https://data.worldbank.org/indicator/NY.GNP.PCAP.PP.CD</t>
        </is>
      </c>
      <c r="AQ115" s="12" t="inlineStr">
        <is>
          <t>Tier 4</t>
        </is>
      </c>
      <c r="AR115" s="12" t="inlineStr">
        <is>
          <t>2024-01-01</t>
        </is>
      </c>
      <c r="AS115" s="12" t="inlineStr">
        <is>
          <t>providers=world_bank_col_estimate, derived; fields=gross_income, rent, utilities, transit_cost; +3 additional fields</t>
        </is>
      </c>
      <c r="AT115" s="12" t="inlineStr"/>
      <c r="AU115" s="12" t="inlineStr"/>
      <c r="AV115" s="12" t="inlineStr"/>
      <c r="AW115" s="12" t="inlineStr"/>
      <c r="AX115" s="12" t="inlineStr"/>
      <c r="AY115" s="12" t="inlineStr"/>
      <c r="AZ115" s="12" t="inlineStr"/>
      <c r="BA115" s="12" t="inlineStr"/>
      <c r="BB115" s="12" t="inlineStr">
        <is>
          <t>https://data.worldbank.org/indicator/SP.DYN.TFRT.IN</t>
        </is>
      </c>
      <c r="BC115" s="12" t="inlineStr">
        <is>
          <t>Tier 3</t>
        </is>
      </c>
      <c r="BD115" s="12" t="inlineStr">
        <is>
          <t>2024-01-01</t>
        </is>
      </c>
      <c r="BE115" s="12" t="inlineStr">
        <is>
          <t>providers=world_bank; fields=birth_rate_optimism_raw</t>
        </is>
      </c>
      <c r="BF115" s="12" t="inlineStr">
        <is>
          <t>https://eng.dgbas.gov.tw/</t>
        </is>
      </c>
      <c r="BG115" s="12" t="inlineStr">
        <is>
          <t>Tier 3</t>
        </is>
      </c>
      <c r="BH115" s="12" t="inlineStr">
        <is>
          <t>2023-12-31</t>
        </is>
      </c>
      <c r="BI115" s="12" t="inlineStr">
        <is>
          <t>providers=taiwan_dgbas; fields=administrative_investment_friction_raw</t>
        </is>
      </c>
      <c r="BJ115" s="9" t="n">
        <v>0.87</v>
      </c>
    </row>
    <row r="116">
      <c r="A116" s="9" t="inlineStr">
        <is>
          <t>tw-kaohsiung</t>
        </is>
      </c>
      <c r="B116" s="9" t="inlineStr">
        <is>
          <t>Kaohsiung</t>
        </is>
      </c>
      <c r="C116" s="9" t="inlineStr">
        <is>
          <t>Taiwan</t>
        </is>
      </c>
      <c r="D116" s="9" t="inlineStr">
        <is>
          <t>East Asia</t>
        </is>
      </c>
      <c r="E116" s="9" t="inlineStr">
        <is>
          <t>primary</t>
        </is>
      </c>
      <c r="F116" s="9" t="inlineStr">
        <is>
          <t>locked</t>
        </is>
      </c>
      <c r="G116" s="10" t="n">
        <v>5416.67</v>
      </c>
      <c r="H116" s="10" t="n">
        <v>1151.04</v>
      </c>
      <c r="I116" s="10" t="n">
        <v>276.25</v>
      </c>
      <c r="J116" s="10" t="n">
        <v>184.17</v>
      </c>
      <c r="K116" s="10" t="n">
        <v>69.06</v>
      </c>
      <c r="L116" s="10" t="n">
        <v>920.83</v>
      </c>
      <c r="M116" s="11" t="inlineStr"/>
      <c r="N116" s="10" t="n">
        <v>21.25</v>
      </c>
      <c r="O116" s="10" t="inlineStr"/>
      <c r="P116" s="11">
        <f>IF($O116&lt;&gt;"",$O116,$AO116)</f>
        <v/>
      </c>
      <c r="Q116" s="10" t="n">
        <v>41.5</v>
      </c>
      <c r="R116" s="10" t="n">
        <v>16</v>
      </c>
      <c r="S116" s="10" t="n">
        <v>0.8</v>
      </c>
      <c r="T116" s="10" t="inlineStr"/>
      <c r="U116" s="10" t="n">
        <v>18</v>
      </c>
      <c r="V116" s="10" t="n">
        <v>98</v>
      </c>
      <c r="W116" s="10" t="n">
        <v>28</v>
      </c>
      <c r="X116" s="9" t="n">
        <v>68</v>
      </c>
      <c r="Y116" s="10" t="n">
        <v>88</v>
      </c>
      <c r="Z116" s="10" t="n">
        <v>90</v>
      </c>
      <c r="AA116" s="10" t="inlineStr"/>
      <c r="AB116" s="10" t="inlineStr"/>
      <c r="AC116" s="10" t="n">
        <v>45</v>
      </c>
      <c r="AD116" s="10" t="n">
        <v>62</v>
      </c>
      <c r="AE116" s="10" t="n">
        <v>7</v>
      </c>
      <c r="AF116" s="10" t="n">
        <v>3.6</v>
      </c>
      <c r="AG116" s="10" t="inlineStr"/>
      <c r="AH116" s="10" t="n">
        <v>9</v>
      </c>
      <c r="AI116" s="10" t="inlineStr"/>
      <c r="AJ116" s="11">
        <f>IFERROR(INDEX(Country_Context!$B$2:$B$87,MATCH($C116,Country_Context!$A$2:$A$87,0)),"")</f>
        <v/>
      </c>
      <c r="AK116" s="11">
        <f>IFERROR(INDEX(Country_Context!$C$2:$C$87,MATCH($C116,Country_Context!$A$2:$A$87,0)),"")</f>
        <v/>
      </c>
      <c r="AL116" s="11">
        <f>IFERROR(INDEX(Country_Context!$D$2:$D$87,MATCH($C116,Country_Context!$A$2:$A$87,0)),"")</f>
        <v/>
      </c>
      <c r="AM116" s="11">
        <f>IFERROR(INDEX(Country_Context!$E$2:$E$87,MATCH($C116,Country_Context!$A$2:$A$87,0)),"")</f>
        <v/>
      </c>
      <c r="AN116" s="11">
        <f>IFERROR(INDEX(Country_Context!$F$2:$F$87,MATCH($C116,Country_Context!$A$2:$A$87,0)),"")</f>
        <v/>
      </c>
      <c r="AO116" s="11">
        <f>IFERROR(INDEX(Country_Context!$G$2:$G$87,MATCH($C116,Country_Context!$A$2:$A$87,0)),"")</f>
        <v/>
      </c>
      <c r="AP116" s="12" t="inlineStr">
        <is>
          <t>https://data.worldbank.org/indicator/NY.GNP.PCAP.PP.CD | https://eng.dgbas.gov.tw | https://dep.mohw.gov.tw</t>
        </is>
      </c>
      <c r="AQ116" s="12" t="inlineStr">
        <is>
          <t>Tier 1, Tier 4</t>
        </is>
      </c>
      <c r="AR116" s="12" t="inlineStr">
        <is>
          <t>2024-01-01</t>
        </is>
      </c>
      <c r="AS116" s="12" t="inlineStr">
        <is>
          <t>providers=world_bank_col_estimate, derived, city_official_portal; fields=gross_income, rent, utilities, transit_cost; +5 additional fields</t>
        </is>
      </c>
      <c r="AT116" s="12" t="inlineStr">
        <is>
          <t>https://eng.dgbas.gov.tw | https://worldweather.wmo.int</t>
        </is>
      </c>
      <c r="AU116" s="12" t="inlineStr">
        <is>
          <t>Tier 1, Tier 3</t>
        </is>
      </c>
      <c r="AV116" s="12" t="inlineStr">
        <is>
          <t>2024-12-31</t>
        </is>
      </c>
      <c r="AW116" s="12" t="inlineStr">
        <is>
          <t>providers=city_official_portal, wmo_natl_met; fields=personal_safety_raw, clean_air_raw, water_sanitation_utility_raw, digital_infrastructure_raw; +1 additional fields</t>
        </is>
      </c>
      <c r="AX116" s="12" t="inlineStr">
        <is>
          <t>https://dep.mohw.gov.tw | https://eng.dgbas.gov.tw</t>
        </is>
      </c>
      <c r="AY116" s="12" t="inlineStr">
        <is>
          <t>Tier 1</t>
        </is>
      </c>
      <c r="AZ116" s="12" t="inlineStr">
        <is>
          <t>2023-12-31</t>
        </is>
      </c>
      <c r="BA116" s="12" t="inlineStr">
        <is>
          <t>providers=city_official_portal; fields=healthcare_quality_raw, education_quality_raw</t>
        </is>
      </c>
      <c r="BB116" s="12" t="inlineStr">
        <is>
          <t>https://api.worldbank.org/v2/country/TWN | https://eng.dgbas.gov.tw | https://data.worldbank.org/indicator/SP.DYN.TFRT.IN</t>
        </is>
      </c>
      <c r="BC116" s="12" t="inlineStr">
        <is>
          <t>Tier 1, Tier 3</t>
        </is>
      </c>
      <c r="BD116" s="12" t="inlineStr">
        <is>
          <t>2024-12-31</t>
        </is>
      </c>
      <c r="BE116" s="12" t="inlineStr">
        <is>
          <t>providers=world_bank, city_official_portal; fields=tolerance_pluralism_raw, cultural_public_life_raw, birth_rate_optimism_raw</t>
        </is>
      </c>
      <c r="BF116" s="12" t="inlineStr">
        <is>
          <t>https://eng.dgbas.gov.tw</t>
        </is>
      </c>
      <c r="BG116" s="12" t="inlineStr">
        <is>
          <t>Tier 1</t>
        </is>
      </c>
      <c r="BH116" s="12" t="inlineStr">
        <is>
          <t>2023-12-31</t>
        </is>
      </c>
      <c r="BI116" s="12" t="inlineStr">
        <is>
          <t>providers=city_official_portal; fields=entrepreneurial_dynamism_raw, innovation_research_intensity_raw, administrative_investment_friction_raw</t>
        </is>
      </c>
      <c r="BJ116" s="9" t="n">
        <v>0.87</v>
      </c>
    </row>
    <row r="117">
      <c r="A117" s="9" t="inlineStr">
        <is>
          <t>kr-incheon</t>
        </is>
      </c>
      <c r="B117" s="9" t="inlineStr">
        <is>
          <t>Incheon</t>
        </is>
      </c>
      <c r="C117" s="9" t="inlineStr">
        <is>
          <t>South Korea</t>
        </is>
      </c>
      <c r="D117" s="9" t="inlineStr">
        <is>
          <t>East Asia</t>
        </is>
      </c>
      <c r="E117" s="9" t="inlineStr">
        <is>
          <t>primary</t>
        </is>
      </c>
      <c r="F117" s="9" t="inlineStr">
        <is>
          <t>provisional</t>
        </is>
      </c>
      <c r="G117" s="10" t="n">
        <v>5160.83</v>
      </c>
      <c r="H117" s="10" t="n">
        <v>1161.19</v>
      </c>
      <c r="I117" s="10" t="n">
        <v>278.68</v>
      </c>
      <c r="J117" s="10" t="n">
        <v>185.79</v>
      </c>
      <c r="K117" s="10" t="n">
        <v>69.67</v>
      </c>
      <c r="L117" s="10" t="n">
        <v>928.95</v>
      </c>
      <c r="M117" s="11" t="inlineStr"/>
      <c r="N117" s="10" t="n">
        <v>22.5001</v>
      </c>
      <c r="O117" s="10" t="n">
        <v>160.3472</v>
      </c>
      <c r="P117" s="11">
        <f>IF($O117&lt;&gt;"",$O117,$AO117)</f>
        <v/>
      </c>
      <c r="Q117" s="10" t="n">
        <v>38.49</v>
      </c>
      <c r="R117" s="10" t="n">
        <v>27.53</v>
      </c>
      <c r="S117" s="10" t="n">
        <v>0.48</v>
      </c>
      <c r="T117" s="10" t="inlineStr"/>
      <c r="U117" s="10" t="inlineStr"/>
      <c r="V117" s="10" t="n">
        <v>99.28</v>
      </c>
      <c r="W117" s="10" t="n">
        <v>46.57</v>
      </c>
      <c r="X117" s="9" t="n">
        <v>57</v>
      </c>
      <c r="Y117" s="10" t="n">
        <v>88</v>
      </c>
      <c r="Z117" s="10" t="n">
        <v>106.71</v>
      </c>
      <c r="AA117" s="10" t="n">
        <v>32.9</v>
      </c>
      <c r="AB117" s="10" t="n">
        <v>51.27</v>
      </c>
      <c r="AC117" s="10" t="n">
        <v>20</v>
      </c>
      <c r="AD117" s="10" t="n">
        <v>48.68</v>
      </c>
      <c r="AE117" s="10" t="n">
        <v>3.09</v>
      </c>
      <c r="AF117" s="10" t="n">
        <v>5.21</v>
      </c>
      <c r="AG117" s="10" t="n">
        <v>0.8100000000000001</v>
      </c>
      <c r="AH117" s="10" t="n">
        <v>1.38</v>
      </c>
      <c r="AI117" s="10" t="inlineStr"/>
      <c r="AJ117" s="11">
        <f>IFERROR(INDEX(Country_Context!$B$2:$B$87,MATCH($C117,Country_Context!$A$2:$A$87,0)),"")</f>
        <v/>
      </c>
      <c r="AK117" s="11">
        <f>IFERROR(INDEX(Country_Context!$C$2:$C$87,MATCH($C117,Country_Context!$A$2:$A$87,0)),"")</f>
        <v/>
      </c>
      <c r="AL117" s="11">
        <f>IFERROR(INDEX(Country_Context!$D$2:$D$87,MATCH($C117,Country_Context!$A$2:$A$87,0)),"")</f>
        <v/>
      </c>
      <c r="AM117" s="11">
        <f>IFERROR(INDEX(Country_Context!$E$2:$E$87,MATCH($C117,Country_Context!$A$2:$A$87,0)),"")</f>
        <v/>
      </c>
      <c r="AN117" s="11">
        <f>IFERROR(INDEX(Country_Context!$F$2:$F$87,MATCH($C117,Country_Context!$A$2:$A$87,0)),"")</f>
        <v/>
      </c>
      <c r="AO117" s="11">
        <f>IFERROR(INDEX(Country_Context!$G$2:$G$87,MATCH($C117,Country_Context!$A$2:$A$87,0)),"")</f>
        <v/>
      </c>
      <c r="AP117" s="12" t="inlineStr">
        <is>
          <t>https://api.worldbank.org/v2/country/KOR/indicator/NY.GNP.PCAP.PP.CD?format=json&amp;mrv=10 | https://data.worldbank.org/indicator/NY.GNP.PCAP.PP.CD | https://ilostat.ilo.org/data/indicator/?id=HOW_TEMP_SEX_ECO_NB_A&amp;ref_area=KOR | +4 more</t>
        </is>
      </c>
      <c r="AQ117" s="12" t="inlineStr">
        <is>
          <t>Tier 3, Tier 4</t>
        </is>
      </c>
      <c r="AR117" s="12" t="inlineStr">
        <is>
          <t>2025-12-31</t>
        </is>
      </c>
      <c r="AS117" s="12" t="inlineStr">
        <is>
          <t>providers=world_bank_col_estimate, derived, ilo_ilostat, who_gho; fields=gross_income, rent, utilities, transit_cost; +9 additional fields</t>
        </is>
      </c>
      <c r="AT117" s="12" t="inlineStr">
        <is>
          <t>https://api.worldbank.org/v2/country/KOR/indicator/VC.IHR.PSRC.P5?format=json&amp;mrv=10 | https://api.worldbank.org/v2/country/KOR/indicator/SH.H2O.SMDW.ZS?format=json&amp;mrv=10 | https://api.worldbank.org/v2/country/KOR/indicator/IT.NET.BBND.P2?format=json&amp;mrv=10 | +1 more</t>
        </is>
      </c>
      <c r="AU117" s="12" t="inlineStr">
        <is>
          <t>Tier 3</t>
        </is>
      </c>
      <c r="AV117" s="12" t="inlineStr">
        <is>
          <t>2024-12-31</t>
        </is>
      </c>
      <c r="AW117" s="12" t="inlineStr">
        <is>
          <t>providers=world_bank, wmo_natl_met; fields=personal_safety_raw, water_sanitation_utility_raw, digital_infrastructure_raw, climate_sunlight_livability_raw</t>
        </is>
      </c>
      <c r="AX117" s="12" t="inlineStr">
        <is>
          <t>https://www.who.int/data/gho/data/indicators/indicator-details/GHO/UHC_INDEX_REPORTED | https://api.worldbank.org/v2/country/KOR/indicator/SE.TER.ENRR?format=json&amp;mrv=10 | https://api.worldbank.org/v2/country/KOR/indicator/SI.POV.GINI?format=json&amp;mrv=10 | +1 more</t>
        </is>
      </c>
      <c r="AY117" s="12" t="inlineStr">
        <is>
          <t>Tier 3</t>
        </is>
      </c>
      <c r="AZ117" s="12" t="inlineStr">
        <is>
          <t>2023-12-31</t>
        </is>
      </c>
      <c r="BA117" s="12" t="inlineStr">
        <is>
          <t>providers=who_gho, world_bank; fields=healthcare_quality_raw, education_quality_raw, equal_opportunity_raw, gini_coefficient</t>
        </is>
      </c>
      <c r="BB117" s="12" t="inlineStr">
        <is>
          <t>https://api.worldbank.org/v2/country/KOR/indicator/SM.POP.NETM?format=json&amp;mrv=10 | https://api.worldbank.org/v2/country/KOR/indicator/SG.GEN.PARL.ZS?format=json&amp;mrv=10 | https://api.worldbank.org/v2/country/KOR/indicator/ST.INT.ARVL?format=json&amp;mrv=10 | +1 more</t>
        </is>
      </c>
      <c r="BC117" s="12" t="inlineStr">
        <is>
          <t>Tier 3</t>
        </is>
      </c>
      <c r="BD117" s="12" t="inlineStr">
        <is>
          <t>2025-12-31</t>
        </is>
      </c>
      <c r="BE117" s="12" t="inlineStr">
        <is>
          <t>providers=world_bank; fields=hospitality_belonging_raw, tolerance_pluralism_raw, cultural_public_life_raw, birth_rate_optimism_raw</t>
        </is>
      </c>
      <c r="BF117" s="12" t="inlineStr">
        <is>
          <t>https://api.worldbank.org/v2/country/KOR/indicator/IC.BUS.NDNS.ZS?format=json&amp;mrv=10 | https://api.worldbank.org/v2/country/KOR/indicator/GB.XPD.RSDV.GD.ZS?format=json&amp;mrv=10 | https://api.worldbank.org/v2/country/KOR/indicator/BX.KLT.DINV.WD.GD.ZS?format=json&amp;mrv=10 | +3 more</t>
        </is>
      </c>
      <c r="BG117" s="12" t="inlineStr">
        <is>
          <t>Tier 3</t>
        </is>
      </c>
      <c r="BH117" s="12" t="inlineStr">
        <is>
          <t>2024-12-31</t>
        </is>
      </c>
      <c r="BI117" s="12" t="inlineStr">
        <is>
          <t>providers=world_bank; fields=entrepreneurial_dynamism_raw, innovation_research_intensity_raw, investment_signal_raw, administrative_investment_friction_raw; +2 additional fields</t>
        </is>
      </c>
      <c r="BJ117" s="9" t="n">
        <v>0.72</v>
      </c>
    </row>
    <row r="118">
      <c r="A118" s="9" t="inlineStr">
        <is>
          <t>cn-guangzhou</t>
        </is>
      </c>
      <c r="B118" s="9" t="inlineStr">
        <is>
          <t>Guangzhou</t>
        </is>
      </c>
      <c r="C118" s="9" t="inlineStr">
        <is>
          <t>China</t>
        </is>
      </c>
      <c r="D118" s="9" t="inlineStr">
        <is>
          <t>East Asia</t>
        </is>
      </c>
      <c r="E118" s="9" t="inlineStr">
        <is>
          <t>primary</t>
        </is>
      </c>
      <c r="F118" s="9" t="inlineStr">
        <is>
          <t>provisional</t>
        </is>
      </c>
      <c r="G118" s="10" t="n">
        <v>2804.17</v>
      </c>
      <c r="H118" s="10" t="n">
        <v>771.15</v>
      </c>
      <c r="I118" s="10" t="n">
        <v>185.08</v>
      </c>
      <c r="J118" s="10" t="n">
        <v>123.38</v>
      </c>
      <c r="K118" s="10" t="n">
        <v>46.27</v>
      </c>
      <c r="L118" s="10" t="n">
        <v>616.92</v>
      </c>
      <c r="M118" s="11" t="inlineStr"/>
      <c r="N118" s="10" t="n">
        <v>27.5001</v>
      </c>
      <c r="O118" s="10" t="n">
        <v>194.166</v>
      </c>
      <c r="P118" s="11">
        <f>IF($O118&lt;&gt;"",$O118,$AO118)</f>
        <v/>
      </c>
      <c r="Q118" s="10" t="inlineStr"/>
      <c r="R118" s="10" t="n">
        <v>8.949999999999999</v>
      </c>
      <c r="S118" s="10" t="n">
        <v>0.5</v>
      </c>
      <c r="T118" s="10" t="inlineStr"/>
      <c r="U118" s="10" t="inlineStr"/>
      <c r="V118" s="10" t="inlineStr"/>
      <c r="W118" s="10" t="n">
        <v>44.73</v>
      </c>
      <c r="X118" s="9" t="n">
        <v>62</v>
      </c>
      <c r="Y118" s="10" t="n">
        <v>85</v>
      </c>
      <c r="Z118" s="10" t="n">
        <v>76.88</v>
      </c>
      <c r="AA118" s="10" t="n">
        <v>36</v>
      </c>
      <c r="AB118" s="10" t="n">
        <v>49.81</v>
      </c>
      <c r="AC118" s="10" t="n">
        <v>26.54</v>
      </c>
      <c r="AD118" s="10" t="n">
        <v>21.58</v>
      </c>
      <c r="AE118" s="10" t="n">
        <v>8.58</v>
      </c>
      <c r="AF118" s="10" t="n">
        <v>2.56</v>
      </c>
      <c r="AG118" s="10" t="n">
        <v>0.1</v>
      </c>
      <c r="AH118" s="10" t="n">
        <v>2.86</v>
      </c>
      <c r="AI118" s="10" t="inlineStr"/>
      <c r="AJ118" s="11">
        <f>IFERROR(INDEX(Country_Context!$B$2:$B$87,MATCH($C118,Country_Context!$A$2:$A$87,0)),"")</f>
        <v/>
      </c>
      <c r="AK118" s="11">
        <f>IFERROR(INDEX(Country_Context!$C$2:$C$87,MATCH($C118,Country_Context!$A$2:$A$87,0)),"")</f>
        <v/>
      </c>
      <c r="AL118" s="11">
        <f>IFERROR(INDEX(Country_Context!$D$2:$D$87,MATCH($C118,Country_Context!$A$2:$A$87,0)),"")</f>
        <v/>
      </c>
      <c r="AM118" s="11">
        <f>IFERROR(INDEX(Country_Context!$E$2:$E$87,MATCH($C118,Country_Context!$A$2:$A$87,0)),"")</f>
        <v/>
      </c>
      <c r="AN118" s="11">
        <f>IFERROR(INDEX(Country_Context!$F$2:$F$87,MATCH($C118,Country_Context!$A$2:$A$87,0)),"")</f>
        <v/>
      </c>
      <c r="AO118" s="11">
        <f>IFERROR(INDEX(Country_Context!$G$2:$G$87,MATCH($C118,Country_Context!$A$2:$A$87,0)),"")</f>
        <v/>
      </c>
      <c r="AP118" s="12" t="inlineStr">
        <is>
          <t>https://api.worldbank.org/v2/country/CHN/indicator/NY.GNP.PCAP.PP.CD?format=json&amp;mrv=10 | https://data.worldbank.org/indicator/NY.GNP.PCAP.PP.CD | https://www.who.int/data/gho/data/indicators/indicator-details/GHO/SDGSUICIDE | +3 more</t>
        </is>
      </c>
      <c r="AQ118" s="12" t="inlineStr">
        <is>
          <t>Tier 3, Tier 4</t>
        </is>
      </c>
      <c r="AR118" s="12" t="inlineStr">
        <is>
          <t>2024-12-31</t>
        </is>
      </c>
      <c r="AS118" s="12" t="inlineStr">
        <is>
          <t>providers=world_bank_col_estimate, derived, who_gho, world_bank; fields=gross_income, rent, utilities, transit_cost; +8 additional fields</t>
        </is>
      </c>
      <c r="AT118" s="12" t="inlineStr">
        <is>
          <t>https://api.worldbank.org/v2/country/CHN/indicator/VC.IHR.PSRC.P5?format=json&amp;mrv=10 | https://api.worldbank.org/v2/country/CHN/indicator/IT.NET.BBND.P2?format=json&amp;mrv=10 | https://worldweather.wmo.int</t>
        </is>
      </c>
      <c r="AU118" s="12" t="inlineStr">
        <is>
          <t>Tier 3</t>
        </is>
      </c>
      <c r="AV118" s="12" t="inlineStr">
        <is>
          <t>2024-12-31</t>
        </is>
      </c>
      <c r="AW118" s="12" t="inlineStr">
        <is>
          <t>providers=world_bank, wmo_natl_met; fields=personal_safety_raw, digital_infrastructure_raw, climate_sunlight_livability_raw</t>
        </is>
      </c>
      <c r="AX118" s="12" t="inlineStr">
        <is>
          <t>https://www.who.int/data/gho/data/indicators/indicator-details/GHO/UHC_INDEX_REPORTED | https://api.worldbank.org/v2/country/CHN/indicator/SE.TER.ENRR?format=json&amp;mrv=10 | https://api.worldbank.org/v2/country/CHN/indicator/SI.POV.GINI?format=json&amp;mrv=10 | +1 more</t>
        </is>
      </c>
      <c r="AY118" s="12" t="inlineStr">
        <is>
          <t>Tier 3</t>
        </is>
      </c>
      <c r="AZ118" s="12" t="inlineStr">
        <is>
          <t>2024-12-31</t>
        </is>
      </c>
      <c r="BA118" s="12" t="inlineStr">
        <is>
          <t>providers=who_gho, world_bank; fields=healthcare_quality_raw, education_quality_raw, equal_opportunity_raw, gini_coefficient</t>
        </is>
      </c>
      <c r="BB118" s="12" t="inlineStr">
        <is>
          <t>https://api.worldbank.org/v2/country/CHN/indicator/SM.POP.NETM?format=json&amp;mrv=10 | https://api.worldbank.org/v2/country/CHN/indicator/SG.GEN.PARL.ZS?format=json&amp;mrv=10 | https://api.worldbank.org/v2/country/CHN/indicator/ST.INT.ARVL?format=json&amp;mrv=10 | +1 more</t>
        </is>
      </c>
      <c r="BC118" s="12" t="inlineStr">
        <is>
          <t>Tier 3</t>
        </is>
      </c>
      <c r="BD118" s="12" t="inlineStr">
        <is>
          <t>2025-12-31</t>
        </is>
      </c>
      <c r="BE118" s="12" t="inlineStr">
        <is>
          <t>providers=world_bank; fields=hospitality_belonging_raw, tolerance_pluralism_raw, cultural_public_life_raw, birth_rate_optimism_raw</t>
        </is>
      </c>
      <c r="BF118" s="12" t="inlineStr">
        <is>
          <t>https://api.worldbank.org/v2/country/CHN/indicator/IC.BUS.NDNS.ZS?format=json&amp;mrv=10 | https://api.worldbank.org/v2/country/CHN/indicator/GB.XPD.RSDV.GD.ZS?format=json&amp;mrv=10 | https://api.worldbank.org/v2/country/CHN/indicator/BX.KLT.DINV.WD.GD.ZS?format=json&amp;mrv=10 | +3 more</t>
        </is>
      </c>
      <c r="BG118" s="12" t="inlineStr">
        <is>
          <t>Tier 3</t>
        </is>
      </c>
      <c r="BH118" s="12" t="inlineStr">
        <is>
          <t>2024-12-31</t>
        </is>
      </c>
      <c r="BI118" s="12" t="inlineStr">
        <is>
          <t>providers=world_bank; fields=entrepreneurial_dynamism_raw, innovation_research_intensity_raw, investment_signal_raw, administrative_investment_friction_raw; +2 additional fields</t>
        </is>
      </c>
      <c r="BJ118" s="9" t="n">
        <v>1</v>
      </c>
    </row>
    <row r="119">
      <c r="A119" s="9" t="inlineStr">
        <is>
          <t>in-pune</t>
        </is>
      </c>
      <c r="B119" s="9" t="inlineStr">
        <is>
          <t>Pune</t>
        </is>
      </c>
      <c r="C119" s="9" t="inlineStr">
        <is>
          <t>India</t>
        </is>
      </c>
      <c r="D119" s="9" t="inlineStr">
        <is>
          <t>South Asia</t>
        </is>
      </c>
      <c r="E119" s="9" t="inlineStr">
        <is>
          <t>primary</t>
        </is>
      </c>
      <c r="F119" s="9" t="inlineStr">
        <is>
          <t>provisional</t>
        </is>
      </c>
      <c r="G119" s="10" t="n">
        <v>1100</v>
      </c>
      <c r="H119" s="10" t="n">
        <v>173.25</v>
      </c>
      <c r="I119" s="10" t="n">
        <v>57.75</v>
      </c>
      <c r="J119" s="10" t="n">
        <v>34.65</v>
      </c>
      <c r="K119" s="10" t="n">
        <v>11.55</v>
      </c>
      <c r="L119" s="10" t="n">
        <v>288.75</v>
      </c>
      <c r="M119" s="11" t="inlineStr"/>
      <c r="N119" s="10" t="n">
        <v>15.75</v>
      </c>
      <c r="O119" s="10" t="n">
        <v>50.1422</v>
      </c>
      <c r="P119" s="11">
        <f>IF($O119&lt;&gt;"",$O119,$AO119)</f>
        <v/>
      </c>
      <c r="Q119" s="10" t="n">
        <v>45.72</v>
      </c>
      <c r="R119" s="10" t="n">
        <v>12.56</v>
      </c>
      <c r="S119" s="10" t="n">
        <v>2.82</v>
      </c>
      <c r="T119" s="10" t="inlineStr"/>
      <c r="U119" s="10" t="inlineStr"/>
      <c r="V119" s="10" t="n">
        <v>76.44</v>
      </c>
      <c r="W119" s="10" t="n">
        <v>2.75</v>
      </c>
      <c r="X119" s="9" t="n">
        <v>70</v>
      </c>
      <c r="Y119" s="10" t="n">
        <v>69</v>
      </c>
      <c r="Z119" s="10" t="n">
        <v>34.42</v>
      </c>
      <c r="AA119" s="10" t="n">
        <v>25.5</v>
      </c>
      <c r="AB119" s="10" t="n">
        <v>49.66</v>
      </c>
      <c r="AC119" s="10" t="n">
        <v>13.65</v>
      </c>
      <c r="AD119" s="10" t="n">
        <v>12.35</v>
      </c>
      <c r="AE119" s="10" t="n">
        <v>0.18</v>
      </c>
      <c r="AF119" s="10" t="n">
        <v>0.65</v>
      </c>
      <c r="AG119" s="10" t="n">
        <v>0.6899999999999999</v>
      </c>
      <c r="AH119" s="10" t="n">
        <v>2.64</v>
      </c>
      <c r="AI119" s="10" t="inlineStr"/>
      <c r="AJ119" s="11">
        <f>IFERROR(INDEX(Country_Context!$B$2:$B$87,MATCH($C119,Country_Context!$A$2:$A$87,0)),"")</f>
        <v/>
      </c>
      <c r="AK119" s="11">
        <f>IFERROR(INDEX(Country_Context!$C$2:$C$87,MATCH($C119,Country_Context!$A$2:$A$87,0)),"")</f>
        <v/>
      </c>
      <c r="AL119" s="11">
        <f>IFERROR(INDEX(Country_Context!$D$2:$D$87,MATCH($C119,Country_Context!$A$2:$A$87,0)),"")</f>
        <v/>
      </c>
      <c r="AM119" s="11">
        <f>IFERROR(INDEX(Country_Context!$E$2:$E$87,MATCH($C119,Country_Context!$A$2:$A$87,0)),"")</f>
        <v/>
      </c>
      <c r="AN119" s="11">
        <f>IFERROR(INDEX(Country_Context!$F$2:$F$87,MATCH($C119,Country_Context!$A$2:$A$87,0)),"")</f>
        <v/>
      </c>
      <c r="AO119" s="11">
        <f>IFERROR(INDEX(Country_Context!$G$2:$G$87,MATCH($C119,Country_Context!$A$2:$A$87,0)),"")</f>
        <v/>
      </c>
      <c r="AP119" s="12" t="inlineStr">
        <is>
          <t>https://api.worldbank.org/v2/country/IND/indicator/NY.GNP.PCAP.PP.CD?format=json&amp;mrv=10 | https://data.worldbank.org/indicator/NY.GNP.PCAP.PP.CD | https://ilostat.ilo.org/data/indicator/?id=HOW_TEMP_SEX_ECO_NB_A&amp;ref_area=IND | +4 more</t>
        </is>
      </c>
      <c r="AQ119" s="12" t="inlineStr">
        <is>
          <t>Tier 3, Tier 4</t>
        </is>
      </c>
      <c r="AR119" s="12" t="inlineStr">
        <is>
          <t>2024-12-31</t>
        </is>
      </c>
      <c r="AS119" s="12" t="inlineStr">
        <is>
          <t>providers=world_bank_col_estimate, derived, ilo_ilostat, who_gho; fields=gross_income, rent, utilities, transit_cost; +9 additional fields</t>
        </is>
      </c>
      <c r="AT119" s="12" t="inlineStr">
        <is>
          <t>https://api.worldbank.org/v2/country/IND/indicator/VC.IHR.PSRC.P5?format=json&amp;mrv=10 | https://api.worldbank.org/v2/country/IND/indicator/SH.H2O.SMDW.ZS?format=json&amp;mrv=10 | https://api.worldbank.org/v2/country/IND/indicator/IT.NET.BBND.P2?format=json&amp;mrv=10 | +1 more</t>
        </is>
      </c>
      <c r="AU119" s="12" t="inlineStr">
        <is>
          <t>Tier 3</t>
        </is>
      </c>
      <c r="AV119" s="12" t="inlineStr">
        <is>
          <t>2024-12-31</t>
        </is>
      </c>
      <c r="AW119" s="12" t="inlineStr">
        <is>
          <t>providers=world_bank, wmo_natl_met; fields=personal_safety_raw, water_sanitation_utility_raw, digital_infrastructure_raw, climate_sunlight_livability_raw</t>
        </is>
      </c>
      <c r="AX119" s="12" t="inlineStr">
        <is>
          <t>https://www.who.int/data/gho/data/indicators/indicator-details/GHO/UHC_INDEX_REPORTED | https://api.worldbank.org/v2/country/IND/indicator/SE.TER.ENRR?format=json&amp;mrv=10 | https://api.worldbank.org/v2/country/IND/indicator/SI.POV.GINI?format=json&amp;mrv=10 | +1 more</t>
        </is>
      </c>
      <c r="AY119" s="12" t="inlineStr">
        <is>
          <t>Tier 3</t>
        </is>
      </c>
      <c r="AZ119" s="12" t="inlineStr">
        <is>
          <t>2024-12-31</t>
        </is>
      </c>
      <c r="BA119" s="12" t="inlineStr">
        <is>
          <t>providers=who_gho, world_bank; fields=healthcare_quality_raw, education_quality_raw, equal_opportunity_raw, gini_coefficient</t>
        </is>
      </c>
      <c r="BB119" s="12" t="inlineStr">
        <is>
          <t>https://api.worldbank.org/v2/country/IND/indicator/SM.POP.NETM?format=json&amp;mrv=10 | https://api.worldbank.org/v2/country/IND/indicator/SG.GEN.PARL.ZS?format=json&amp;mrv=10 | https://api.worldbank.org/v2/country/IND/indicator/ST.INT.ARVL?format=json&amp;mrv=10 | +1 more</t>
        </is>
      </c>
      <c r="BC119" s="12" t="inlineStr">
        <is>
          <t>Tier 3</t>
        </is>
      </c>
      <c r="BD119" s="12" t="inlineStr">
        <is>
          <t>2025-12-31</t>
        </is>
      </c>
      <c r="BE119" s="12" t="inlineStr">
        <is>
          <t>providers=world_bank; fields=hospitality_belonging_raw, tolerance_pluralism_raw, cultural_public_life_raw, birth_rate_optimism_raw</t>
        </is>
      </c>
      <c r="BF119" s="12" t="inlineStr">
        <is>
          <t>https://api.worldbank.org/v2/country/IND/indicator/IC.BUS.NDNS.ZS?format=json&amp;mrv=10 | https://api.worldbank.org/v2/country/IND/indicator/GB.XPD.RSDV.GD.ZS?format=json&amp;mrv=10 | https://api.worldbank.org/v2/country/IND/indicator/BX.KLT.DINV.WD.GD.ZS?format=json&amp;mrv=10 | +3 more</t>
        </is>
      </c>
      <c r="BG119" s="12" t="inlineStr">
        <is>
          <t>Tier 3</t>
        </is>
      </c>
      <c r="BH119" s="12" t="inlineStr">
        <is>
          <t>2024-12-31</t>
        </is>
      </c>
      <c r="BI119" s="12" t="inlineStr">
        <is>
          <t>providers=world_bank; fields=entrepreneurial_dynamism_raw, innovation_research_intensity_raw, investment_signal_raw, administrative_investment_friction_raw; +2 additional fields</t>
        </is>
      </c>
      <c r="BJ119" s="9" t="n">
        <v>2</v>
      </c>
    </row>
    <row r="120">
      <c r="A120" s="9" t="inlineStr">
        <is>
          <t>pk-islamabad</t>
        </is>
      </c>
      <c r="B120" s="9" t="inlineStr">
        <is>
          <t>Islamabad</t>
        </is>
      </c>
      <c r="C120" s="9" t="inlineStr">
        <is>
          <t>Pakistan</t>
        </is>
      </c>
      <c r="D120" s="9" t="inlineStr">
        <is>
          <t>South Asia</t>
        </is>
      </c>
      <c r="E120" s="9" t="inlineStr">
        <is>
          <t>primary</t>
        </is>
      </c>
      <c r="F120" s="9" t="inlineStr">
        <is>
          <t>provisional</t>
        </is>
      </c>
      <c r="G120" s="10" t="n">
        <v>508.33</v>
      </c>
      <c r="H120" s="10" t="n">
        <v>72.44</v>
      </c>
      <c r="I120" s="10" t="n">
        <v>24.15</v>
      </c>
      <c r="J120" s="10" t="n">
        <v>14.49</v>
      </c>
      <c r="K120" s="10" t="n">
        <v>4.83</v>
      </c>
      <c r="L120" s="10" t="n">
        <v>120.73</v>
      </c>
      <c r="M120" s="11" t="inlineStr"/>
      <c r="N120" s="10" t="n">
        <v>14.2506</v>
      </c>
      <c r="O120" s="10" t="n">
        <v>11.3901</v>
      </c>
      <c r="P120" s="11">
        <f>IF($O120&lt;&gt;"",$O120,$AO120)</f>
        <v/>
      </c>
      <c r="Q120" s="10" t="n">
        <v>46.77</v>
      </c>
      <c r="R120" s="10" t="n">
        <v>5.64</v>
      </c>
      <c r="S120" s="10" t="n">
        <v>4.33</v>
      </c>
      <c r="T120" s="10" t="inlineStr"/>
      <c r="U120" s="10" t="inlineStr"/>
      <c r="V120" s="10" t="n">
        <v>44.97</v>
      </c>
      <c r="W120" s="10" t="n">
        <v>1.36</v>
      </c>
      <c r="X120" s="9" t="inlineStr"/>
      <c r="Y120" s="10" t="n">
        <v>56</v>
      </c>
      <c r="Z120" s="10" t="n">
        <v>10.86</v>
      </c>
      <c r="AA120" s="10" t="n">
        <v>29.6</v>
      </c>
      <c r="AB120" s="10" t="n">
        <v>45.08</v>
      </c>
      <c r="AC120" s="10" t="n">
        <v>17.04</v>
      </c>
      <c r="AD120" s="10" t="n">
        <v>30.61</v>
      </c>
      <c r="AE120" s="10" t="n">
        <v>0.19</v>
      </c>
      <c r="AF120" s="10" t="n">
        <v>0.16</v>
      </c>
      <c r="AG120" s="10" t="n">
        <v>0.72</v>
      </c>
      <c r="AH120" s="10" t="n">
        <v>3.4</v>
      </c>
      <c r="AI120" s="10" t="inlineStr"/>
      <c r="AJ120" s="11">
        <f>IFERROR(INDEX(Country_Context!$B$2:$B$87,MATCH($C120,Country_Context!$A$2:$A$87,0)),"")</f>
        <v/>
      </c>
      <c r="AK120" s="11">
        <f>IFERROR(INDEX(Country_Context!$C$2:$C$87,MATCH($C120,Country_Context!$A$2:$A$87,0)),"")</f>
        <v/>
      </c>
      <c r="AL120" s="11">
        <f>IFERROR(INDEX(Country_Context!$D$2:$D$87,MATCH($C120,Country_Context!$A$2:$A$87,0)),"")</f>
        <v/>
      </c>
      <c r="AM120" s="11">
        <f>IFERROR(INDEX(Country_Context!$E$2:$E$87,MATCH($C120,Country_Context!$A$2:$A$87,0)),"")</f>
        <v/>
      </c>
      <c r="AN120" s="11">
        <f>IFERROR(INDEX(Country_Context!$F$2:$F$87,MATCH($C120,Country_Context!$A$2:$A$87,0)),"")</f>
        <v/>
      </c>
      <c r="AO120" s="11">
        <f>IFERROR(INDEX(Country_Context!$G$2:$G$87,MATCH($C120,Country_Context!$A$2:$A$87,0)),"")</f>
        <v/>
      </c>
      <c r="AP120" s="12" t="inlineStr">
        <is>
          <t>https://api.worldbank.org/v2/country/PAK/indicator/NY.GNP.PCAP.PP.CD?format=json&amp;mrv=10 | https://data.worldbank.org/indicator/NY.GNP.PCAP.PP.CD | https://ilostat.ilo.org/data/indicator/?id=HOW_TEMP_SEX_ECO_NB_A&amp;ref_area=PAK | +3 more</t>
        </is>
      </c>
      <c r="AQ120" s="12" t="inlineStr">
        <is>
          <t>Tier 3, Tier 4</t>
        </is>
      </c>
      <c r="AR120" s="12" t="inlineStr">
        <is>
          <t>2025-12-31</t>
        </is>
      </c>
      <c r="AS120" s="12" t="inlineStr">
        <is>
          <t>providers=world_bank_col_estimate, derived, ilo_ilostat, who_gho; fields=gross_income, rent, utilities, transit_cost; +8 additional fields</t>
        </is>
      </c>
      <c r="AT120" s="12" t="inlineStr">
        <is>
          <t>https://api.worldbank.org/v2/country/PAK/indicator/VC.IHR.PSRC.P5?format=json&amp;mrv=10 | https://api.worldbank.org/v2/country/PAK/indicator/SH.H2O.SMDW.ZS?format=json&amp;mrv=10 | https://api.worldbank.org/v2/country/PAK/indicator/IT.NET.BBND.P2?format=json&amp;mrv=10</t>
        </is>
      </c>
      <c r="AU120" s="12" t="inlineStr">
        <is>
          <t>Tier 3</t>
        </is>
      </c>
      <c r="AV120" s="12" t="inlineStr">
        <is>
          <t>2024-12-31</t>
        </is>
      </c>
      <c r="AW120" s="12" t="inlineStr">
        <is>
          <t>providers=world_bank; fields=personal_safety_raw, water_sanitation_utility_raw, digital_infrastructure_raw</t>
        </is>
      </c>
      <c r="AX120" s="12" t="inlineStr">
        <is>
          <t>https://www.who.int/data/gho/data/indicators/indicator-details/GHO/UHC_INDEX_REPORTED | https://api.worldbank.org/v2/country/PAK/indicator/SE.TER.ENRR?format=json&amp;mrv=10 | https://api.worldbank.org/v2/country/PAK/indicator/SI.POV.GINI?format=json&amp;mrv=10 | +1 more</t>
        </is>
      </c>
      <c r="AY120" s="12" t="inlineStr">
        <is>
          <t>Tier 3</t>
        </is>
      </c>
      <c r="AZ120" s="12" t="inlineStr">
        <is>
          <t>2024-12-31</t>
        </is>
      </c>
      <c r="BA120" s="12" t="inlineStr">
        <is>
          <t>providers=who_gho, world_bank; fields=healthcare_quality_raw, education_quality_raw, equal_opportunity_raw, gini_coefficient</t>
        </is>
      </c>
      <c r="BB120" s="12" t="inlineStr">
        <is>
          <t>https://api.worldbank.org/v2/country/PAK/indicator/SM.POP.NETM?format=json&amp;mrv=10 | https://api.worldbank.org/v2/country/PAK/indicator/SG.GEN.PARL.ZS?format=json&amp;mrv=10 | https://api.worldbank.org/v2/country/PAK/indicator/SP.POP.DPND?format=json&amp;mrv=10 | +1 more</t>
        </is>
      </c>
      <c r="BC120" s="12" t="inlineStr">
        <is>
          <t>Tier 3</t>
        </is>
      </c>
      <c r="BD120" s="12" t="inlineStr">
        <is>
          <t>2025-12-31</t>
        </is>
      </c>
      <c r="BE120" s="12" t="inlineStr">
        <is>
          <t>providers=world_bank; fields=hospitality_belonging_raw, tolerance_pluralism_raw, cultural_public_life_raw, birth_rate_optimism_raw</t>
        </is>
      </c>
      <c r="BF120" s="12" t="inlineStr">
        <is>
          <t>https://api.worldbank.org/v2/country/PAK/indicator/IC.BUS.NDNS.ZS?format=json&amp;mrv=10 | https://api.worldbank.org/v2/country/PAK/indicator/GB.XPD.RSDV.GD.ZS?format=json&amp;mrv=10 | https://api.worldbank.org/v2/country/PAK/indicator/BX.KLT.DINV.WD.GD.ZS?format=json&amp;mrv=10 | +3 more</t>
        </is>
      </c>
      <c r="BG120" s="12" t="inlineStr">
        <is>
          <t>Tier 3</t>
        </is>
      </c>
      <c r="BH120" s="12" t="inlineStr">
        <is>
          <t>2024-12-31</t>
        </is>
      </c>
      <c r="BI120" s="12" t="inlineStr">
        <is>
          <t>providers=world_bank; fields=entrepreneurial_dynamism_raw, innovation_research_intensity_raw, investment_signal_raw, administrative_investment_friction_raw; +2 additional fields</t>
        </is>
      </c>
      <c r="BJ120" s="9" t="n">
        <v>3.36</v>
      </c>
    </row>
    <row r="121">
      <c r="A121" s="9" t="inlineStr">
        <is>
          <t>lk-kandy</t>
        </is>
      </c>
      <c r="B121" s="9" t="inlineStr">
        <is>
          <t>Kandy</t>
        </is>
      </c>
      <c r="C121" s="9" t="inlineStr">
        <is>
          <t>Sri Lanka</t>
        </is>
      </c>
      <c r="D121" s="9" t="inlineStr">
        <is>
          <t>South Asia</t>
        </is>
      </c>
      <c r="E121" s="9" t="inlineStr">
        <is>
          <t>secondary</t>
        </is>
      </c>
      <c r="F121" s="9" t="inlineStr">
        <is>
          <t>provisional</t>
        </is>
      </c>
      <c r="G121" s="10" t="n">
        <v>1270</v>
      </c>
      <c r="H121" s="10" t="n">
        <v>152.4</v>
      </c>
      <c r="I121" s="10" t="n">
        <v>50.8</v>
      </c>
      <c r="J121" s="10" t="n">
        <v>30.48</v>
      </c>
      <c r="K121" s="10" t="n">
        <v>10.16</v>
      </c>
      <c r="L121" s="10" t="n">
        <v>254</v>
      </c>
      <c r="M121" s="11" t="inlineStr"/>
      <c r="N121" s="10" t="n">
        <v>12</v>
      </c>
      <c r="O121" s="10" t="n">
        <v>46.8716</v>
      </c>
      <c r="P121" s="11">
        <f>IF($O121&lt;&gt;"",$O121,$AO121)</f>
        <v/>
      </c>
      <c r="Q121" s="10" t="n">
        <v>41.72</v>
      </c>
      <c r="R121" s="10" t="n">
        <v>14.74</v>
      </c>
      <c r="S121" s="10" t="n">
        <v>3.31</v>
      </c>
      <c r="T121" s="10" t="inlineStr"/>
      <c r="U121" s="10" t="inlineStr"/>
      <c r="V121" s="10" t="n">
        <v>46.93</v>
      </c>
      <c r="W121" s="10" t="n">
        <v>8.77</v>
      </c>
      <c r="X121" s="9" t="inlineStr"/>
      <c r="Y121" s="10" t="n">
        <v>72</v>
      </c>
      <c r="Z121" s="10" t="n">
        <v>20.74</v>
      </c>
      <c r="AA121" s="10" t="n">
        <v>37.7</v>
      </c>
      <c r="AB121" s="10" t="n">
        <v>48.6</v>
      </c>
      <c r="AC121" s="10" t="n">
        <v>10</v>
      </c>
      <c r="AD121" s="10" t="n">
        <v>24.64</v>
      </c>
      <c r="AE121" s="10" t="n">
        <v>1.2</v>
      </c>
      <c r="AF121" s="10" t="n">
        <v>0.11</v>
      </c>
      <c r="AG121" s="10" t="n">
        <v>0.77</v>
      </c>
      <c r="AH121" s="10" t="n">
        <v>3.01</v>
      </c>
      <c r="AI121" s="10" t="inlineStr"/>
      <c r="AJ121" s="11">
        <f>IFERROR(INDEX(Country_Context!$B$2:$B$87,MATCH($C121,Country_Context!$A$2:$A$87,0)),"")</f>
        <v/>
      </c>
      <c r="AK121" s="11">
        <f>IFERROR(INDEX(Country_Context!$C$2:$C$87,MATCH($C121,Country_Context!$A$2:$A$87,0)),"")</f>
        <v/>
      </c>
      <c r="AL121" s="11">
        <f>IFERROR(INDEX(Country_Context!$D$2:$D$87,MATCH($C121,Country_Context!$A$2:$A$87,0)),"")</f>
        <v/>
      </c>
      <c r="AM121" s="11">
        <f>IFERROR(INDEX(Country_Context!$E$2:$E$87,MATCH($C121,Country_Context!$A$2:$A$87,0)),"")</f>
        <v/>
      </c>
      <c r="AN121" s="11">
        <f>IFERROR(INDEX(Country_Context!$F$2:$F$87,MATCH($C121,Country_Context!$A$2:$A$87,0)),"")</f>
        <v/>
      </c>
      <c r="AO121" s="11">
        <f>IFERROR(INDEX(Country_Context!$G$2:$G$87,MATCH($C121,Country_Context!$A$2:$A$87,0)),"")</f>
        <v/>
      </c>
      <c r="AP121" s="12" t="inlineStr">
        <is>
          <t>https://api.worldbank.org/v2/country/LKA/indicator/NY.GNP.PCAP.PP.CD?format=json&amp;mrv=10 | https://data.worldbank.org/indicator/NY.GNP.PCAP.PP.CD | https://ilostat.ilo.org/data/indicator/?id=HOW_TEMP_SEX_ECO_NB_A&amp;ref_area=LKA | +4 more</t>
        </is>
      </c>
      <c r="AQ121" s="12" t="inlineStr">
        <is>
          <t>Tier 3, Tier 4</t>
        </is>
      </c>
      <c r="AR121" s="12" t="inlineStr">
        <is>
          <t>2024-12-31</t>
        </is>
      </c>
      <c r="AS121" s="12" t="inlineStr">
        <is>
          <t>providers=world_bank_col_estimate, derived, ilo_ilostat, who_gho; fields=gross_income, rent, utilities, transit_cost; +9 additional fields</t>
        </is>
      </c>
      <c r="AT121" s="12" t="inlineStr">
        <is>
          <t>https://api.worldbank.org/v2/country/LKA/indicator/VC.IHR.PSRC.P5?format=json&amp;mrv=10 | https://api.worldbank.org/v2/country/LKA/indicator/SH.H2O.SMDW.ZS?format=json&amp;mrv=10 | https://api.worldbank.org/v2/country/LKA/indicator/IT.NET.BBND.P2?format=json&amp;mrv=10</t>
        </is>
      </c>
      <c r="AU121" s="12" t="inlineStr">
        <is>
          <t>Tier 3</t>
        </is>
      </c>
      <c r="AV121" s="12" t="inlineStr">
        <is>
          <t>2024-12-31</t>
        </is>
      </c>
      <c r="AW121" s="12" t="inlineStr">
        <is>
          <t>providers=world_bank; fields=personal_safety_raw, water_sanitation_utility_raw, digital_infrastructure_raw</t>
        </is>
      </c>
      <c r="AX121" s="12" t="inlineStr">
        <is>
          <t>https://www.who.int/data/gho/data/indicators/indicator-details/GHO/UHC_INDEX_REPORTED | https://api.worldbank.org/v2/country/LKA/indicator/SE.TER.ENRR?format=json&amp;mrv=10 | https://api.worldbank.org/v2/country/LKA/indicator/SI.POV.GINI?format=json&amp;mrv=10 | +1 more</t>
        </is>
      </c>
      <c r="AY121" s="12" t="inlineStr">
        <is>
          <t>Tier 3</t>
        </is>
      </c>
      <c r="AZ121" s="12" t="inlineStr">
        <is>
          <t>2023-12-31</t>
        </is>
      </c>
      <c r="BA121" s="12" t="inlineStr">
        <is>
          <t>providers=who_gho, world_bank; fields=healthcare_quality_raw, education_quality_raw, equal_opportunity_raw, gini_coefficient</t>
        </is>
      </c>
      <c r="BB121" s="12" t="inlineStr">
        <is>
          <t>https://api.worldbank.org/v2/country/LKA/indicator/SM.POP.NETM?format=json&amp;mrv=10 | https://api.worldbank.org/v2/country/LKA/indicator/SG.GEN.PARL.ZS?format=json&amp;mrv=10 | https://api.worldbank.org/v2/country/LKA/indicator/ST.INT.ARVL?format=json&amp;mrv=10 | +1 more</t>
        </is>
      </c>
      <c r="BC121" s="12" t="inlineStr">
        <is>
          <t>Tier 3</t>
        </is>
      </c>
      <c r="BD121" s="12" t="inlineStr">
        <is>
          <t>2025-12-31</t>
        </is>
      </c>
      <c r="BE121" s="12" t="inlineStr">
        <is>
          <t>providers=world_bank; fields=hospitality_belonging_raw, tolerance_pluralism_raw, cultural_public_life_raw, birth_rate_optimism_raw</t>
        </is>
      </c>
      <c r="BF121" s="12" t="inlineStr">
        <is>
          <t>https://api.worldbank.org/v2/country/LKA/indicator/IC.BUS.NDNS.ZS?format=json&amp;mrv=10 | https://api.worldbank.org/v2/country/LKA/indicator/GB.XPD.RSDV.GD.ZS?format=json&amp;mrv=10 | https://api.worldbank.org/v2/country/LKA/indicator/BX.KLT.DINV.WD.GD.ZS?format=json&amp;mrv=10 | +3 more</t>
        </is>
      </c>
      <c r="BG121" s="12" t="inlineStr">
        <is>
          <t>Tier 3</t>
        </is>
      </c>
      <c r="BH121" s="12" t="inlineStr">
        <is>
          <t>2024-12-31</t>
        </is>
      </c>
      <c r="BI121" s="12" t="inlineStr">
        <is>
          <t>providers=world_bank; fields=entrepreneurial_dynamism_raw, innovation_research_intensity_raw, investment_signal_raw, administrative_investment_friction_raw; +2 additional fields</t>
        </is>
      </c>
      <c r="BJ121" s="9" t="n">
        <v>1.99</v>
      </c>
    </row>
    <row r="122">
      <c r="A122" s="9" t="inlineStr">
        <is>
          <t>np-pokhara</t>
        </is>
      </c>
      <c r="B122" s="9" t="inlineStr">
        <is>
          <t>Pokhara</t>
        </is>
      </c>
      <c r="C122" s="9" t="inlineStr">
        <is>
          <t>Nepal</t>
        </is>
      </c>
      <c r="D122" s="9" t="inlineStr">
        <is>
          <t>South Asia</t>
        </is>
      </c>
      <c r="E122" s="9" t="inlineStr">
        <is>
          <t>secondary</t>
        </is>
      </c>
      <c r="F122" s="9" t="inlineStr">
        <is>
          <t>provisional</t>
        </is>
      </c>
      <c r="G122" s="10" t="n">
        <v>485.83</v>
      </c>
      <c r="H122" s="10" t="n">
        <v>54.66</v>
      </c>
      <c r="I122" s="10" t="n">
        <v>18.22</v>
      </c>
      <c r="J122" s="10" t="n">
        <v>10.93</v>
      </c>
      <c r="K122" s="10" t="n">
        <v>3.64</v>
      </c>
      <c r="L122" s="10" t="n">
        <v>91.09</v>
      </c>
      <c r="M122" s="11" t="inlineStr"/>
      <c r="N122" s="10" t="n">
        <v>11.2508</v>
      </c>
      <c r="O122" s="10" t="n">
        <v>91.9385</v>
      </c>
      <c r="P122" s="11">
        <f>IF($O122&lt;&gt;"",$O122,$AO122)</f>
        <v/>
      </c>
      <c r="Q122" s="10" t="inlineStr"/>
      <c r="R122" s="10" t="n">
        <v>10.14</v>
      </c>
      <c r="S122" s="10" t="n">
        <v>2.13</v>
      </c>
      <c r="T122" s="10" t="inlineStr"/>
      <c r="U122" s="10" t="inlineStr"/>
      <c r="V122" s="10" t="n">
        <v>16.49</v>
      </c>
      <c r="W122" s="10" t="n">
        <v>4.83</v>
      </c>
      <c r="X122" s="9" t="inlineStr"/>
      <c r="Y122" s="10" t="n">
        <v>58</v>
      </c>
      <c r="Z122" s="10" t="n">
        <v>21.29</v>
      </c>
      <c r="AA122" s="10" t="n">
        <v>30</v>
      </c>
      <c r="AB122" s="10" t="n">
        <v>37.7</v>
      </c>
      <c r="AC122" s="10" t="n">
        <v>33.09</v>
      </c>
      <c r="AD122" s="10" t="n">
        <v>7.76</v>
      </c>
      <c r="AE122" s="10" t="n">
        <v>1.38</v>
      </c>
      <c r="AF122" s="10" t="n">
        <v>2.12</v>
      </c>
      <c r="AG122" s="10" t="n">
        <v>0.13</v>
      </c>
      <c r="AH122" s="10" t="n">
        <v>3.16</v>
      </c>
      <c r="AI122" s="10" t="inlineStr"/>
      <c r="AJ122" s="11">
        <f>IFERROR(INDEX(Country_Context!$B$2:$B$87,MATCH($C122,Country_Context!$A$2:$A$87,0)),"")</f>
        <v/>
      </c>
      <c r="AK122" s="11">
        <f>IFERROR(INDEX(Country_Context!$C$2:$C$87,MATCH($C122,Country_Context!$A$2:$A$87,0)),"")</f>
        <v/>
      </c>
      <c r="AL122" s="11">
        <f>IFERROR(INDEX(Country_Context!$D$2:$D$87,MATCH($C122,Country_Context!$A$2:$A$87,0)),"")</f>
        <v/>
      </c>
      <c r="AM122" s="11">
        <f>IFERROR(INDEX(Country_Context!$E$2:$E$87,MATCH($C122,Country_Context!$A$2:$A$87,0)),"")</f>
        <v/>
      </c>
      <c r="AN122" s="11">
        <f>IFERROR(INDEX(Country_Context!$F$2:$F$87,MATCH($C122,Country_Context!$A$2:$A$87,0)),"")</f>
        <v/>
      </c>
      <c r="AO122" s="11">
        <f>IFERROR(INDEX(Country_Context!$G$2:$G$87,MATCH($C122,Country_Context!$A$2:$A$87,0)),"")</f>
        <v/>
      </c>
      <c r="AP122" s="12" t="inlineStr">
        <is>
          <t>https://api.worldbank.org/v2/country/NPL/indicator/NY.GNP.PCAP.PP.CD?format=json&amp;mrv=10 | https://data.worldbank.org/indicator/NY.GNP.PCAP.PP.CD | https://www.who.int/data/gho/data/indicators/indicator-details/GHO/SDGSUICIDE | +3 more</t>
        </is>
      </c>
      <c r="AQ122" s="12" t="inlineStr">
        <is>
          <t>Tier 3, Tier 4</t>
        </is>
      </c>
      <c r="AR122" s="12" t="inlineStr">
        <is>
          <t>2024-12-31</t>
        </is>
      </c>
      <c r="AS122" s="12" t="inlineStr">
        <is>
          <t>providers=world_bank_col_estimate, derived, who_gho, world_bank; fields=gross_income, rent, utilities, transit_cost; +8 additional fields</t>
        </is>
      </c>
      <c r="AT122" s="12" t="inlineStr">
        <is>
          <t>https://api.worldbank.org/v2/country/NPL/indicator/VC.IHR.PSRC.P5?format=json&amp;mrv=10 | https://api.worldbank.org/v2/country/NPL/indicator/SH.H2O.SMDW.ZS?format=json&amp;mrv=10 | https://api.worldbank.org/v2/country/NPL/indicator/IT.NET.BBND.P2?format=json&amp;mrv=10</t>
        </is>
      </c>
      <c r="AU122" s="12" t="inlineStr">
        <is>
          <t>Tier 3</t>
        </is>
      </c>
      <c r="AV122" s="12" t="inlineStr">
        <is>
          <t>2024-12-31</t>
        </is>
      </c>
      <c r="AW122" s="12" t="inlineStr">
        <is>
          <t>providers=world_bank; fields=personal_safety_raw, water_sanitation_utility_raw, digital_infrastructure_raw</t>
        </is>
      </c>
      <c r="AX122" s="12" t="inlineStr">
        <is>
          <t>https://www.who.int/data/gho/data/indicators/indicator-details/GHO/UHC_INDEX_REPORTED | https://api.worldbank.org/v2/country/NPL/indicator/SE.TER.ENRR?format=json&amp;mrv=10 | https://api.worldbank.org/v2/country/NPL/indicator/SI.POV.GINI?format=json&amp;mrv=10 | +1 more</t>
        </is>
      </c>
      <c r="AY122" s="12" t="inlineStr">
        <is>
          <t>Tier 3</t>
        </is>
      </c>
      <c r="AZ122" s="12" t="inlineStr">
        <is>
          <t>2024-12-31</t>
        </is>
      </c>
      <c r="BA122" s="12" t="inlineStr">
        <is>
          <t>providers=who_gho, world_bank; fields=healthcare_quality_raw, education_quality_raw, equal_opportunity_raw, gini_coefficient</t>
        </is>
      </c>
      <c r="BB122" s="12" t="inlineStr">
        <is>
          <t>https://api.worldbank.org/v2/country/NPL/indicator/SM.POP.NETM?format=json&amp;mrv=10 | https://api.worldbank.org/v2/country/NPL/indicator/SG.GEN.PARL.ZS?format=json&amp;mrv=10 | https://api.worldbank.org/v2/country/NPL/indicator/ST.INT.ARVL?format=json&amp;mrv=10</t>
        </is>
      </c>
      <c r="BC122" s="12" t="inlineStr">
        <is>
          <t>Tier 3</t>
        </is>
      </c>
      <c r="BD122" s="12" t="inlineStr">
        <is>
          <t>2025-12-31</t>
        </is>
      </c>
      <c r="BE122" s="12" t="inlineStr">
        <is>
          <t>providers=world_bank; fields=hospitality_belonging_raw, tolerance_pluralism_raw, cultural_public_life_raw</t>
        </is>
      </c>
      <c r="BF122" s="12" t="inlineStr">
        <is>
          <t>https://api.worldbank.org/v2/country/NPL/indicator/IC.BUS.NDNS.ZS?format=json&amp;mrv=10 | https://api.worldbank.org/v2/country/NPL/indicator/IP.PAT.RESD?format=json&amp;mrv=10 | https://api.worldbank.org/v2/country/NPL/indicator/BX.KLT.DINV.WD.GD.ZS?format=json&amp;mrv=10 | +3 more</t>
        </is>
      </c>
      <c r="BG122" s="12" t="inlineStr">
        <is>
          <t>Tier 3</t>
        </is>
      </c>
      <c r="BH122" s="12" t="inlineStr">
        <is>
          <t>2024-12-31</t>
        </is>
      </c>
      <c r="BI122" s="12" t="inlineStr">
        <is>
          <t>providers=world_bank; fields=entrepreneurial_dynamism_raw, innovation_research_intensity_raw, investment_signal_raw, administrative_investment_friction_raw; +2 additional fields</t>
        </is>
      </c>
      <c r="BJ122" s="9" t="inlineStr"/>
    </row>
    <row r="123">
      <c r="A123" s="9" t="inlineStr">
        <is>
          <t>cz-brno</t>
        </is>
      </c>
      <c r="B123" s="9" t="inlineStr">
        <is>
          <t>Brno</t>
        </is>
      </c>
      <c r="C123" s="9" t="inlineStr">
        <is>
          <t>Czechia</t>
        </is>
      </c>
      <c r="D123" s="9" t="inlineStr">
        <is>
          <t>Southern/Eastern Europe and Eurasia</t>
        </is>
      </c>
      <c r="E123" s="9" t="inlineStr">
        <is>
          <t>secondary</t>
        </is>
      </c>
      <c r="F123" s="9" t="inlineStr">
        <is>
          <t>provisional</t>
        </is>
      </c>
      <c r="G123" s="10" t="n">
        <v>4566.67</v>
      </c>
      <c r="H123" s="10" t="n">
        <v>970.42</v>
      </c>
      <c r="I123" s="10" t="n">
        <v>310.53</v>
      </c>
      <c r="J123" s="10" t="n">
        <v>155.27</v>
      </c>
      <c r="K123" s="10" t="n">
        <v>58.23</v>
      </c>
      <c r="L123" s="10" t="n">
        <v>776.33</v>
      </c>
      <c r="M123" s="11" t="inlineStr"/>
      <c r="N123" s="10" t="n">
        <v>21.2501</v>
      </c>
      <c r="O123" s="10" t="inlineStr"/>
      <c r="P123" s="11">
        <f>IF($O123&lt;&gt;"",$O123,$AO123)</f>
        <v/>
      </c>
      <c r="Q123" s="10" t="inlineStr"/>
      <c r="R123" s="10" t="inlineStr"/>
      <c r="S123" s="10" t="inlineStr"/>
      <c r="T123" s="10" t="inlineStr"/>
      <c r="U123" s="10" t="inlineStr"/>
      <c r="V123" s="10" t="inlineStr"/>
      <c r="W123" s="10" t="inlineStr"/>
      <c r="X123" s="9" t="n">
        <v>48</v>
      </c>
      <c r="Y123" s="10" t="inlineStr"/>
      <c r="Z123" s="10" t="inlineStr"/>
      <c r="AA123" s="10" t="n">
        <v>25.7</v>
      </c>
      <c r="AB123" s="10" t="inlineStr"/>
      <c r="AC123" s="10" t="inlineStr"/>
      <c r="AD123" s="10" t="inlineStr"/>
      <c r="AE123" s="10" t="n">
        <v>4.06</v>
      </c>
      <c r="AF123" s="10" t="n">
        <v>1.96</v>
      </c>
      <c r="AG123" s="10" t="n">
        <v>3.76</v>
      </c>
      <c r="AH123" s="10" t="n">
        <v>1.2</v>
      </c>
      <c r="AI123" s="10" t="inlineStr"/>
      <c r="AJ123" s="11">
        <f>IFERROR(INDEX(Country_Context!$B$2:$B$87,MATCH($C123,Country_Context!$A$2:$A$87,0)),"")</f>
        <v/>
      </c>
      <c r="AK123" s="11">
        <f>IFERROR(INDEX(Country_Context!$C$2:$C$87,MATCH($C123,Country_Context!$A$2:$A$87,0)),"")</f>
        <v/>
      </c>
      <c r="AL123" s="11">
        <f>IFERROR(INDEX(Country_Context!$D$2:$D$87,MATCH($C123,Country_Context!$A$2:$A$87,0)),"")</f>
        <v/>
      </c>
      <c r="AM123" s="11">
        <f>IFERROR(INDEX(Country_Context!$E$2:$E$87,MATCH($C123,Country_Context!$A$2:$A$87,0)),"")</f>
        <v/>
      </c>
      <c r="AN123" s="11">
        <f>IFERROR(INDEX(Country_Context!$F$2:$F$87,MATCH($C123,Country_Context!$A$2:$A$87,0)),"")</f>
        <v/>
      </c>
      <c r="AO123" s="11">
        <f>IFERROR(INDEX(Country_Context!$G$2:$G$87,MATCH($C123,Country_Context!$A$2:$A$87,0)),"")</f>
        <v/>
      </c>
      <c r="AP123" s="12" t="inlineStr">
        <is>
          <t>https://api.worldbank.org/v2/country/CZE/indicator/NY.GNP.PCAP.PP.CD?format=json&amp;mrv=10 | https://data.worldbank.org/indicator/NY.GNP.PCAP.PP.CD</t>
        </is>
      </c>
      <c r="AQ123" s="12" t="inlineStr">
        <is>
          <t>Tier 4</t>
        </is>
      </c>
      <c r="AR123" s="12" t="inlineStr">
        <is>
          <t>2024-12-31</t>
        </is>
      </c>
      <c r="AS123" s="12" t="inlineStr">
        <is>
          <t>providers=world_bank_col_estimate, derived; fields=gross_income, rent, utilities, transit_cost; +3 additional fields</t>
        </is>
      </c>
      <c r="AT123" s="12" t="inlineStr">
        <is>
          <t>https://worldweather.wmo.int</t>
        </is>
      </c>
      <c r="AU123" s="12" t="inlineStr">
        <is>
          <t>Tier 3</t>
        </is>
      </c>
      <c r="AV123" s="12" t="inlineStr">
        <is>
          <t>2024-12-31</t>
        </is>
      </c>
      <c r="AW123" s="12" t="inlineStr">
        <is>
          <t>providers=wmo_natl_met; fields=climate_sunlight_livability_raw</t>
        </is>
      </c>
      <c r="AX123" s="12" t="inlineStr">
        <is>
          <t>https://api.worldbank.org/v2/country/CZE/indicator/SI.POV.GINI?format=json&amp;mrv=10</t>
        </is>
      </c>
      <c r="AY123" s="12" t="inlineStr">
        <is>
          <t>Tier 3</t>
        </is>
      </c>
      <c r="AZ123" s="12" t="inlineStr">
        <is>
          <t>2023-12-31</t>
        </is>
      </c>
      <c r="BA123" s="12" t="inlineStr">
        <is>
          <t>providers=world_bank; fields=equal_opportunity_raw</t>
        </is>
      </c>
      <c r="BB123" s="12" t="inlineStr"/>
      <c r="BC123" s="12" t="inlineStr"/>
      <c r="BD123" s="12" t="inlineStr"/>
      <c r="BE123" s="12" t="inlineStr"/>
      <c r="BF123" s="12" t="inlineStr">
        <is>
          <t>https://api.worldbank.org/v2/country/CZE/indicator/IC.BUS.NDNS.ZS?format=json&amp;mrv=10 | https://api.worldbank.org/v2/country/CZE/indicator/GB.XPD.RSDV.GD.ZS?format=json&amp;mrv=10 | https://api.worldbank.org/v2/country/CZE/indicator/BX.KLT.DINV.WD.GD.ZS?format=json&amp;mrv=10 | +1 more</t>
        </is>
      </c>
      <c r="BG123" s="12" t="inlineStr">
        <is>
          <t>Tier 3</t>
        </is>
      </c>
      <c r="BH123" s="12" t="inlineStr">
        <is>
          <t>2024-12-31</t>
        </is>
      </c>
      <c r="BI123" s="12" t="inlineStr">
        <is>
          <t>providers=world_bank; fields=entrepreneurial_dynamism_raw, innovation_research_intensity_raw, investment_signal_raw, administrative_investment_friction_raw</t>
        </is>
      </c>
      <c r="BJ123" s="9" t="inlineStr"/>
    </row>
    <row r="124">
      <c r="A124" s="9" t="inlineStr">
        <is>
          <t>si-ljubljana</t>
        </is>
      </c>
      <c r="B124" s="9" t="inlineStr">
        <is>
          <t>Ljubljana</t>
        </is>
      </c>
      <c r="C124" s="9" t="inlineStr">
        <is>
          <t>Slovenia</t>
        </is>
      </c>
      <c r="D124" s="9" t="inlineStr">
        <is>
          <t>Southern/Eastern Europe and Eurasia</t>
        </is>
      </c>
      <c r="E124" s="9" t="inlineStr">
        <is>
          <t>primary</t>
        </is>
      </c>
      <c r="F124" s="9" t="inlineStr">
        <is>
          <t>provisional</t>
        </is>
      </c>
      <c r="G124" s="10" t="n">
        <v>4710</v>
      </c>
      <c r="H124" s="10" t="n">
        <v>1059.75</v>
      </c>
      <c r="I124" s="10" t="n">
        <v>339.12</v>
      </c>
      <c r="J124" s="10" t="n">
        <v>169.56</v>
      </c>
      <c r="K124" s="10" t="n">
        <v>63.58</v>
      </c>
      <c r="L124" s="10" t="n">
        <v>847.8</v>
      </c>
      <c r="M124" s="11" t="inlineStr"/>
      <c r="N124" s="10" t="n">
        <v>22.5</v>
      </c>
      <c r="O124" s="10" t="inlineStr"/>
      <c r="P124" s="11">
        <f>IF($O124&lt;&gt;"",$O124,$AO124)</f>
        <v/>
      </c>
      <c r="Q124" s="10" t="inlineStr"/>
      <c r="R124" s="10" t="inlineStr"/>
      <c r="S124" s="10" t="inlineStr"/>
      <c r="T124" s="10" t="inlineStr"/>
      <c r="U124" s="10" t="inlineStr"/>
      <c r="V124" s="10" t="inlineStr"/>
      <c r="W124" s="10" t="inlineStr"/>
      <c r="X124" s="9" t="n">
        <v>50</v>
      </c>
      <c r="Y124" s="10" t="inlineStr"/>
      <c r="Z124" s="10" t="inlineStr"/>
      <c r="AA124" s="10" t="n">
        <v>24.7</v>
      </c>
      <c r="AB124" s="10" t="inlineStr"/>
      <c r="AC124" s="10" t="inlineStr"/>
      <c r="AD124" s="10" t="inlineStr"/>
      <c r="AE124" s="10" t="n">
        <v>2.76</v>
      </c>
      <c r="AF124" s="10" t="n">
        <v>2.1</v>
      </c>
      <c r="AG124" s="10" t="n">
        <v>2.56</v>
      </c>
      <c r="AH124" s="10" t="n">
        <v>1.77</v>
      </c>
      <c r="AI124" s="10" t="inlineStr"/>
      <c r="AJ124" s="11">
        <f>IFERROR(INDEX(Country_Context!$B$2:$B$87,MATCH($C124,Country_Context!$A$2:$A$87,0)),"")</f>
        <v/>
      </c>
      <c r="AK124" s="11">
        <f>IFERROR(INDEX(Country_Context!$C$2:$C$87,MATCH($C124,Country_Context!$A$2:$A$87,0)),"")</f>
        <v/>
      </c>
      <c r="AL124" s="11">
        <f>IFERROR(INDEX(Country_Context!$D$2:$D$87,MATCH($C124,Country_Context!$A$2:$A$87,0)),"")</f>
        <v/>
      </c>
      <c r="AM124" s="11">
        <f>IFERROR(INDEX(Country_Context!$E$2:$E$87,MATCH($C124,Country_Context!$A$2:$A$87,0)),"")</f>
        <v/>
      </c>
      <c r="AN124" s="11">
        <f>IFERROR(INDEX(Country_Context!$F$2:$F$87,MATCH($C124,Country_Context!$A$2:$A$87,0)),"")</f>
        <v/>
      </c>
      <c r="AO124" s="11">
        <f>IFERROR(INDEX(Country_Context!$G$2:$G$87,MATCH($C124,Country_Context!$A$2:$A$87,0)),"")</f>
        <v/>
      </c>
      <c r="AP124" s="12" t="inlineStr">
        <is>
          <t>https://api.worldbank.org/v2/country/SVN/indicator/NY.GNP.PCAP.PP.CD?format=json&amp;mrv=10 | https://data.worldbank.org/indicator/NY.GNP.PCAP.PP.CD</t>
        </is>
      </c>
      <c r="AQ124" s="12" t="inlineStr">
        <is>
          <t>Tier 4</t>
        </is>
      </c>
      <c r="AR124" s="12" t="inlineStr">
        <is>
          <t>2024-12-31</t>
        </is>
      </c>
      <c r="AS124" s="12" t="inlineStr">
        <is>
          <t>providers=world_bank_col_estimate, derived; fields=gross_income, rent, utilities, transit_cost; +3 additional fields</t>
        </is>
      </c>
      <c r="AT124" s="12" t="inlineStr">
        <is>
          <t>https://worldweather.wmo.int</t>
        </is>
      </c>
      <c r="AU124" s="12" t="inlineStr">
        <is>
          <t>Tier 3</t>
        </is>
      </c>
      <c r="AV124" s="12" t="inlineStr">
        <is>
          <t>2024-12-31</t>
        </is>
      </c>
      <c r="AW124" s="12" t="inlineStr">
        <is>
          <t>providers=wmo_natl_met; fields=climate_sunlight_livability_raw</t>
        </is>
      </c>
      <c r="AX124" s="12" t="inlineStr">
        <is>
          <t>https://api.worldbank.org/v2/country/SVN/indicator/SI.POV.GINI?format=json&amp;mrv=10</t>
        </is>
      </c>
      <c r="AY124" s="12" t="inlineStr">
        <is>
          <t>Tier 3</t>
        </is>
      </c>
      <c r="AZ124" s="12" t="inlineStr">
        <is>
          <t>2023-12-31</t>
        </is>
      </c>
      <c r="BA124" s="12" t="inlineStr">
        <is>
          <t>providers=world_bank; fields=equal_opportunity_raw</t>
        </is>
      </c>
      <c r="BB124" s="12" t="inlineStr"/>
      <c r="BC124" s="12" t="inlineStr"/>
      <c r="BD124" s="12" t="inlineStr"/>
      <c r="BE124" s="12" t="inlineStr"/>
      <c r="BF124" s="12" t="inlineStr">
        <is>
          <t>https://api.worldbank.org/v2/country/SVN/indicator/IC.BUS.NDNS.ZS?format=json&amp;mrv=10 | https://api.worldbank.org/v2/country/SVN/indicator/GB.XPD.RSDV.GD.ZS?format=json&amp;mrv=10 | https://api.worldbank.org/v2/country/SVN/indicator/BX.KLT.DINV.WD.GD.ZS?format=json&amp;mrv=10 | +1 more</t>
        </is>
      </c>
      <c r="BG124" s="12" t="inlineStr">
        <is>
          <t>Tier 3</t>
        </is>
      </c>
      <c r="BH124" s="12" t="inlineStr">
        <is>
          <t>2024-12-31</t>
        </is>
      </c>
      <c r="BI124" s="12" t="inlineStr">
        <is>
          <t>providers=world_bank; fields=entrepreneurial_dynamism_raw, innovation_research_intensity_raw, investment_signal_raw, administrative_investment_friction_raw</t>
        </is>
      </c>
      <c r="BJ124" s="9" t="inlineStr"/>
    </row>
    <row r="125">
      <c r="A125" s="9" t="inlineStr">
        <is>
          <t>hr-zagreb</t>
        </is>
      </c>
      <c r="B125" s="9" t="inlineStr">
        <is>
          <t>Zagreb</t>
        </is>
      </c>
      <c r="C125" s="9" t="inlineStr">
        <is>
          <t>Croatia</t>
        </is>
      </c>
      <c r="D125" s="9" t="inlineStr">
        <is>
          <t>Southern/Eastern Europe and Eurasia</t>
        </is>
      </c>
      <c r="E125" s="9" t="inlineStr">
        <is>
          <t>primary</t>
        </is>
      </c>
      <c r="F125" s="9" t="inlineStr">
        <is>
          <t>provisional</t>
        </is>
      </c>
      <c r="G125" s="10" t="n">
        <v>4145</v>
      </c>
      <c r="H125" s="10" t="n">
        <v>932.62</v>
      </c>
      <c r="I125" s="10" t="n">
        <v>298.44</v>
      </c>
      <c r="J125" s="10" t="n">
        <v>149.22</v>
      </c>
      <c r="K125" s="10" t="n">
        <v>55.96</v>
      </c>
      <c r="L125" s="10" t="n">
        <v>746.1</v>
      </c>
      <c r="M125" s="11" t="inlineStr"/>
      <c r="N125" s="10" t="n">
        <v>22.4999</v>
      </c>
      <c r="O125" s="10" t="inlineStr"/>
      <c r="P125" s="11">
        <f>IF($O125&lt;&gt;"",$O125,$AO125)</f>
        <v/>
      </c>
      <c r="Q125" s="10" t="inlineStr"/>
      <c r="R125" s="10" t="inlineStr"/>
      <c r="S125" s="10" t="inlineStr"/>
      <c r="T125" s="10" t="inlineStr"/>
      <c r="U125" s="10" t="inlineStr"/>
      <c r="V125" s="10" t="inlineStr"/>
      <c r="W125" s="10" t="inlineStr"/>
      <c r="X125" s="9" t="n">
        <v>52</v>
      </c>
      <c r="Y125" s="10" t="inlineStr"/>
      <c r="Z125" s="10" t="inlineStr"/>
      <c r="AA125" s="10" t="n">
        <v>30.1</v>
      </c>
      <c r="AB125" s="10" t="inlineStr"/>
      <c r="AC125" s="10" t="inlineStr"/>
      <c r="AD125" s="10" t="inlineStr"/>
      <c r="AE125" s="10" t="n">
        <v>6.25</v>
      </c>
      <c r="AF125" s="10" t="n">
        <v>1.4</v>
      </c>
      <c r="AG125" s="10" t="n">
        <v>4.88</v>
      </c>
      <c r="AH125" s="10" t="n">
        <v>1.86</v>
      </c>
      <c r="AI125" s="10" t="inlineStr"/>
      <c r="AJ125" s="11">
        <f>IFERROR(INDEX(Country_Context!$B$2:$B$87,MATCH($C125,Country_Context!$A$2:$A$87,0)),"")</f>
        <v/>
      </c>
      <c r="AK125" s="11">
        <f>IFERROR(INDEX(Country_Context!$C$2:$C$87,MATCH($C125,Country_Context!$A$2:$A$87,0)),"")</f>
        <v/>
      </c>
      <c r="AL125" s="11">
        <f>IFERROR(INDEX(Country_Context!$D$2:$D$87,MATCH($C125,Country_Context!$A$2:$A$87,0)),"")</f>
        <v/>
      </c>
      <c r="AM125" s="11">
        <f>IFERROR(INDEX(Country_Context!$E$2:$E$87,MATCH($C125,Country_Context!$A$2:$A$87,0)),"")</f>
        <v/>
      </c>
      <c r="AN125" s="11">
        <f>IFERROR(INDEX(Country_Context!$F$2:$F$87,MATCH($C125,Country_Context!$A$2:$A$87,0)),"")</f>
        <v/>
      </c>
      <c r="AO125" s="11">
        <f>IFERROR(INDEX(Country_Context!$G$2:$G$87,MATCH($C125,Country_Context!$A$2:$A$87,0)),"")</f>
        <v/>
      </c>
      <c r="AP125" s="12" t="inlineStr">
        <is>
          <t>https://api.worldbank.org/v2/country/HRV/indicator/NY.GNP.PCAP.PP.CD?format=json&amp;mrv=10 | https://data.worldbank.org/indicator/NY.GNP.PCAP.PP.CD</t>
        </is>
      </c>
      <c r="AQ125" s="12" t="inlineStr">
        <is>
          <t>Tier 4</t>
        </is>
      </c>
      <c r="AR125" s="12" t="inlineStr">
        <is>
          <t>2024-12-31</t>
        </is>
      </c>
      <c r="AS125" s="12" t="inlineStr">
        <is>
          <t>providers=world_bank_col_estimate, derived; fields=gross_income, rent, utilities, transit_cost; +3 additional fields</t>
        </is>
      </c>
      <c r="AT125" s="12" t="inlineStr">
        <is>
          <t>https://worldweather.wmo.int</t>
        </is>
      </c>
      <c r="AU125" s="12" t="inlineStr">
        <is>
          <t>Tier 3</t>
        </is>
      </c>
      <c r="AV125" s="12" t="inlineStr">
        <is>
          <t>2024-12-31</t>
        </is>
      </c>
      <c r="AW125" s="12" t="inlineStr">
        <is>
          <t>providers=wmo_natl_met; fields=climate_sunlight_livability_raw</t>
        </is>
      </c>
      <c r="AX125" s="12" t="inlineStr">
        <is>
          <t>https://api.worldbank.org/v2/country/HRV/indicator/SI.POV.GINI?format=json&amp;mrv=10</t>
        </is>
      </c>
      <c r="AY125" s="12" t="inlineStr">
        <is>
          <t>Tier 3</t>
        </is>
      </c>
      <c r="AZ125" s="12" t="inlineStr">
        <is>
          <t>2023-12-31</t>
        </is>
      </c>
      <c r="BA125" s="12" t="inlineStr">
        <is>
          <t>providers=world_bank; fields=equal_opportunity_raw</t>
        </is>
      </c>
      <c r="BB125" s="12" t="inlineStr"/>
      <c r="BC125" s="12" t="inlineStr"/>
      <c r="BD125" s="12" t="inlineStr"/>
      <c r="BE125" s="12" t="inlineStr"/>
      <c r="BF125" s="12" t="inlineStr">
        <is>
          <t>https://api.worldbank.org/v2/country/HRV/indicator/IC.BUS.NDNS.ZS?format=json&amp;mrv=10 | https://api.worldbank.org/v2/country/HRV/indicator/GB.XPD.RSDV.GD.ZS?format=json&amp;mrv=10 | https://api.worldbank.org/v2/country/HRV/indicator/BX.KLT.DINV.WD.GD.ZS?format=json&amp;mrv=10 | +1 more</t>
        </is>
      </c>
      <c r="BG125" s="12" t="inlineStr">
        <is>
          <t>Tier 3</t>
        </is>
      </c>
      <c r="BH125" s="12" t="inlineStr">
        <is>
          <t>2024-12-31</t>
        </is>
      </c>
      <c r="BI125" s="12" t="inlineStr">
        <is>
          <t>providers=world_bank; fields=entrepreneurial_dynamism_raw, innovation_research_intensity_raw, investment_signal_raw, administrative_investment_friction_raw</t>
        </is>
      </c>
      <c r="BJ125" s="9" t="inlineStr"/>
    </row>
    <row r="126">
      <c r="A126" s="9" t="inlineStr">
        <is>
          <t>lt-vilnius</t>
        </is>
      </c>
      <c r="B126" s="9" t="inlineStr">
        <is>
          <t>Vilnius</t>
        </is>
      </c>
      <c r="C126" s="9" t="inlineStr">
        <is>
          <t>Lithuania</t>
        </is>
      </c>
      <c r="D126" s="9" t="inlineStr">
        <is>
          <t>Southern/Eastern Europe and Eurasia</t>
        </is>
      </c>
      <c r="E126" s="9" t="inlineStr">
        <is>
          <t>primary</t>
        </is>
      </c>
      <c r="F126" s="9" t="inlineStr">
        <is>
          <t>provisional</t>
        </is>
      </c>
      <c r="G126" s="10" t="n">
        <v>4493.33</v>
      </c>
      <c r="H126" s="10" t="n">
        <v>1011</v>
      </c>
      <c r="I126" s="10" t="n">
        <v>323.52</v>
      </c>
      <c r="J126" s="10" t="n">
        <v>161.76</v>
      </c>
      <c r="K126" s="10" t="n">
        <v>60.66</v>
      </c>
      <c r="L126" s="10" t="n">
        <v>808.8</v>
      </c>
      <c r="M126" s="11" t="inlineStr"/>
      <c r="N126" s="10" t="n">
        <v>22.5</v>
      </c>
      <c r="O126" s="10" t="inlineStr"/>
      <c r="P126" s="11">
        <f>IF($O126&lt;&gt;"",$O126,$AO126)</f>
        <v/>
      </c>
      <c r="Q126" s="10" t="inlineStr"/>
      <c r="R126" s="10" t="inlineStr"/>
      <c r="S126" s="10" t="inlineStr"/>
      <c r="T126" s="10" t="inlineStr"/>
      <c r="U126" s="10" t="inlineStr"/>
      <c r="V126" s="10" t="inlineStr"/>
      <c r="W126" s="10" t="inlineStr"/>
      <c r="X126" s="9" t="n">
        <v>36</v>
      </c>
      <c r="Y126" s="10" t="inlineStr"/>
      <c r="Z126" s="10" t="inlineStr"/>
      <c r="AA126" s="10" t="n">
        <v>36</v>
      </c>
      <c r="AB126" s="10" t="inlineStr"/>
      <c r="AC126" s="10" t="inlineStr"/>
      <c r="AD126" s="10" t="inlineStr"/>
      <c r="AE126" s="10" t="n">
        <v>2.95</v>
      </c>
      <c r="AF126" s="10" t="n">
        <v>1.05</v>
      </c>
      <c r="AG126" s="10" t="n">
        <v>5.54</v>
      </c>
      <c r="AH126" s="10" t="n">
        <v>1.16</v>
      </c>
      <c r="AI126" s="10" t="inlineStr"/>
      <c r="AJ126" s="11">
        <f>IFERROR(INDEX(Country_Context!$B$2:$B$87,MATCH($C126,Country_Context!$A$2:$A$87,0)),"")</f>
        <v/>
      </c>
      <c r="AK126" s="11">
        <f>IFERROR(INDEX(Country_Context!$C$2:$C$87,MATCH($C126,Country_Context!$A$2:$A$87,0)),"")</f>
        <v/>
      </c>
      <c r="AL126" s="11">
        <f>IFERROR(INDEX(Country_Context!$D$2:$D$87,MATCH($C126,Country_Context!$A$2:$A$87,0)),"")</f>
        <v/>
      </c>
      <c r="AM126" s="11">
        <f>IFERROR(INDEX(Country_Context!$E$2:$E$87,MATCH($C126,Country_Context!$A$2:$A$87,0)),"")</f>
        <v/>
      </c>
      <c r="AN126" s="11">
        <f>IFERROR(INDEX(Country_Context!$F$2:$F$87,MATCH($C126,Country_Context!$A$2:$A$87,0)),"")</f>
        <v/>
      </c>
      <c r="AO126" s="11">
        <f>IFERROR(INDEX(Country_Context!$G$2:$G$87,MATCH($C126,Country_Context!$A$2:$A$87,0)),"")</f>
        <v/>
      </c>
      <c r="AP126" s="12" t="inlineStr">
        <is>
          <t>https://api.worldbank.org/v2/country/LTU/indicator/NY.GNP.PCAP.PP.CD?format=json&amp;mrv=10 | https://data.worldbank.org/indicator/NY.GNP.PCAP.PP.CD</t>
        </is>
      </c>
      <c r="AQ126" s="12" t="inlineStr">
        <is>
          <t>Tier 4</t>
        </is>
      </c>
      <c r="AR126" s="12" t="inlineStr">
        <is>
          <t>2024-12-31</t>
        </is>
      </c>
      <c r="AS126" s="12" t="inlineStr">
        <is>
          <t>providers=world_bank_col_estimate, derived; fields=gross_income, rent, utilities, transit_cost; +3 additional fields</t>
        </is>
      </c>
      <c r="AT126" s="12" t="inlineStr">
        <is>
          <t>https://worldweather.wmo.int</t>
        </is>
      </c>
      <c r="AU126" s="12" t="inlineStr">
        <is>
          <t>Tier 3</t>
        </is>
      </c>
      <c r="AV126" s="12" t="inlineStr">
        <is>
          <t>2024-12-31</t>
        </is>
      </c>
      <c r="AW126" s="12" t="inlineStr">
        <is>
          <t>providers=wmo_natl_met; fields=climate_sunlight_livability_raw</t>
        </is>
      </c>
      <c r="AX126" s="12" t="inlineStr">
        <is>
          <t>https://api.worldbank.org/v2/country/LTU/indicator/SI.POV.GINI?format=json&amp;mrv=10</t>
        </is>
      </c>
      <c r="AY126" s="12" t="inlineStr">
        <is>
          <t>Tier 3</t>
        </is>
      </c>
      <c r="AZ126" s="12" t="inlineStr">
        <is>
          <t>2023-12-31</t>
        </is>
      </c>
      <c r="BA126" s="12" t="inlineStr">
        <is>
          <t>providers=world_bank; fields=equal_opportunity_raw</t>
        </is>
      </c>
      <c r="BB126" s="12" t="inlineStr"/>
      <c r="BC126" s="12" t="inlineStr"/>
      <c r="BD126" s="12" t="inlineStr"/>
      <c r="BE126" s="12" t="inlineStr"/>
      <c r="BF126" s="12" t="inlineStr">
        <is>
          <t>https://api.worldbank.org/v2/country/LTU/indicator/IC.BUS.NDNS.ZS?format=json&amp;mrv=10 | https://api.worldbank.org/v2/country/LTU/indicator/GB.XPD.RSDV.GD.ZS?format=json&amp;mrv=10 | https://api.worldbank.org/v2/country/LTU/indicator/BX.KLT.DINV.WD.GD.ZS?format=json&amp;mrv=10 | +1 more</t>
        </is>
      </c>
      <c r="BG126" s="12" t="inlineStr">
        <is>
          <t>Tier 3</t>
        </is>
      </c>
      <c r="BH126" s="12" t="inlineStr">
        <is>
          <t>2024-12-31</t>
        </is>
      </c>
      <c r="BI126" s="12" t="inlineStr">
        <is>
          <t>providers=world_bank; fields=entrepreneurial_dynamism_raw, innovation_research_intensity_raw, investment_signal_raw, administrative_investment_friction_raw</t>
        </is>
      </c>
      <c r="BJ126" s="9" t="inlineStr"/>
    </row>
    <row r="127">
      <c r="A127" s="9" t="inlineStr">
        <is>
          <t>lv-riga</t>
        </is>
      </c>
      <c r="B127" s="9" t="inlineStr">
        <is>
          <t>Riga</t>
        </is>
      </c>
      <c r="C127" s="9" t="inlineStr">
        <is>
          <t>Latvia</t>
        </is>
      </c>
      <c r="D127" s="9" t="inlineStr">
        <is>
          <t>Southern/Eastern Europe and Eurasia</t>
        </is>
      </c>
      <c r="E127" s="9" t="inlineStr">
        <is>
          <t>primary</t>
        </is>
      </c>
      <c r="F127" s="9" t="inlineStr">
        <is>
          <t>provisional</t>
        </is>
      </c>
      <c r="G127" s="10" t="n">
        <v>3555</v>
      </c>
      <c r="H127" s="10" t="n">
        <v>755.4400000000001</v>
      </c>
      <c r="I127" s="10" t="n">
        <v>241.74</v>
      </c>
      <c r="J127" s="10" t="n">
        <v>120.87</v>
      </c>
      <c r="K127" s="10" t="n">
        <v>45.33</v>
      </c>
      <c r="L127" s="10" t="n">
        <v>604.35</v>
      </c>
      <c r="M127" s="11" t="inlineStr"/>
      <c r="N127" s="10" t="n">
        <v>21.2501</v>
      </c>
      <c r="O127" s="10" t="inlineStr"/>
      <c r="P127" s="11">
        <f>IF($O127&lt;&gt;"",$O127,$AO127)</f>
        <v/>
      </c>
      <c r="Q127" s="10" t="inlineStr"/>
      <c r="R127" s="10" t="inlineStr"/>
      <c r="S127" s="10" t="inlineStr"/>
      <c r="T127" s="10" t="inlineStr"/>
      <c r="U127" s="10" t="inlineStr"/>
      <c r="V127" s="10" t="inlineStr"/>
      <c r="W127" s="10" t="inlineStr"/>
      <c r="X127" s="9" t="n">
        <v>34</v>
      </c>
      <c r="Y127" s="10" t="inlineStr"/>
      <c r="Z127" s="10" t="inlineStr"/>
      <c r="AA127" s="10" t="n">
        <v>34</v>
      </c>
      <c r="AB127" s="10" t="inlineStr"/>
      <c r="AC127" s="10" t="inlineStr"/>
      <c r="AD127" s="10" t="inlineStr"/>
      <c r="AE127" s="10" t="n">
        <v>6.73</v>
      </c>
      <c r="AF127" s="10" t="n">
        <v>0.76</v>
      </c>
      <c r="AG127" s="10" t="n">
        <v>3.47</v>
      </c>
      <c r="AH127" s="10" t="n">
        <v>1.33</v>
      </c>
      <c r="AI127" s="10" t="inlineStr"/>
      <c r="AJ127" s="11">
        <f>IFERROR(INDEX(Country_Context!$B$2:$B$87,MATCH($C127,Country_Context!$A$2:$A$87,0)),"")</f>
        <v/>
      </c>
      <c r="AK127" s="11">
        <f>IFERROR(INDEX(Country_Context!$C$2:$C$87,MATCH($C127,Country_Context!$A$2:$A$87,0)),"")</f>
        <v/>
      </c>
      <c r="AL127" s="11">
        <f>IFERROR(INDEX(Country_Context!$D$2:$D$87,MATCH($C127,Country_Context!$A$2:$A$87,0)),"")</f>
        <v/>
      </c>
      <c r="AM127" s="11">
        <f>IFERROR(INDEX(Country_Context!$E$2:$E$87,MATCH($C127,Country_Context!$A$2:$A$87,0)),"")</f>
        <v/>
      </c>
      <c r="AN127" s="11">
        <f>IFERROR(INDEX(Country_Context!$F$2:$F$87,MATCH($C127,Country_Context!$A$2:$A$87,0)),"")</f>
        <v/>
      </c>
      <c r="AO127" s="11">
        <f>IFERROR(INDEX(Country_Context!$G$2:$G$87,MATCH($C127,Country_Context!$A$2:$A$87,0)),"")</f>
        <v/>
      </c>
      <c r="AP127" s="12" t="inlineStr">
        <is>
          <t>https://api.worldbank.org/v2/country/LVA/indicator/NY.GNP.PCAP.PP.CD?format=json&amp;mrv=10 | https://data.worldbank.org/indicator/NY.GNP.PCAP.PP.CD</t>
        </is>
      </c>
      <c r="AQ127" s="12" t="inlineStr">
        <is>
          <t>Tier 4</t>
        </is>
      </c>
      <c r="AR127" s="12" t="inlineStr">
        <is>
          <t>2024-12-31</t>
        </is>
      </c>
      <c r="AS127" s="12" t="inlineStr">
        <is>
          <t>providers=world_bank_col_estimate, derived; fields=gross_income, rent, utilities, transit_cost; +3 additional fields</t>
        </is>
      </c>
      <c r="AT127" s="12" t="inlineStr">
        <is>
          <t>https://worldweather.wmo.int</t>
        </is>
      </c>
      <c r="AU127" s="12" t="inlineStr">
        <is>
          <t>Tier 3</t>
        </is>
      </c>
      <c r="AV127" s="12" t="inlineStr">
        <is>
          <t>2024-12-31</t>
        </is>
      </c>
      <c r="AW127" s="12" t="inlineStr">
        <is>
          <t>providers=wmo_natl_met; fields=climate_sunlight_livability_raw</t>
        </is>
      </c>
      <c r="AX127" s="12" t="inlineStr">
        <is>
          <t>https://api.worldbank.org/v2/country/LVA/indicator/SI.POV.GINI?format=json&amp;mrv=10</t>
        </is>
      </c>
      <c r="AY127" s="12" t="inlineStr">
        <is>
          <t>Tier 3</t>
        </is>
      </c>
      <c r="AZ127" s="12" t="inlineStr">
        <is>
          <t>2023-12-31</t>
        </is>
      </c>
      <c r="BA127" s="12" t="inlineStr">
        <is>
          <t>providers=world_bank; fields=equal_opportunity_raw</t>
        </is>
      </c>
      <c r="BB127" s="12" t="inlineStr"/>
      <c r="BC127" s="12" t="inlineStr"/>
      <c r="BD127" s="12" t="inlineStr"/>
      <c r="BE127" s="12" t="inlineStr"/>
      <c r="BF127" s="12" t="inlineStr">
        <is>
          <t>https://api.worldbank.org/v2/country/LVA/indicator/IC.BUS.NDNS.ZS?format=json&amp;mrv=10 | https://api.worldbank.org/v2/country/LVA/indicator/GB.XPD.RSDV.GD.ZS?format=json&amp;mrv=10 | https://api.worldbank.org/v2/country/LVA/indicator/BX.KLT.DINV.WD.GD.ZS?format=json&amp;mrv=10 | +1 more</t>
        </is>
      </c>
      <c r="BG127" s="12" t="inlineStr">
        <is>
          <t>Tier 3</t>
        </is>
      </c>
      <c r="BH127" s="12" t="inlineStr">
        <is>
          <t>2024-12-31</t>
        </is>
      </c>
      <c r="BI127" s="12" t="inlineStr">
        <is>
          <t>providers=world_bank; fields=entrepreneurial_dynamism_raw, innovation_research_intensity_raw, investment_signal_raw, administrative_investment_friction_raw</t>
        </is>
      </c>
      <c r="BJ127" s="9" t="inlineStr"/>
    </row>
    <row r="128">
      <c r="A128" s="9" t="inlineStr">
        <is>
          <t>ge-tbilisi</t>
        </is>
      </c>
      <c r="B128" s="9" t="inlineStr">
        <is>
          <t>Tbilisi</t>
        </is>
      </c>
      <c r="C128" s="9" t="inlineStr">
        <is>
          <t>Georgia</t>
        </is>
      </c>
      <c r="D128" s="9" t="inlineStr">
        <is>
          <t>Southern/Eastern Europe and Eurasia</t>
        </is>
      </c>
      <c r="E128" s="9" t="inlineStr">
        <is>
          <t>primary</t>
        </is>
      </c>
      <c r="F128" s="9" t="inlineStr">
        <is>
          <t>provisional</t>
        </is>
      </c>
      <c r="G128" s="10" t="n">
        <v>2183.33</v>
      </c>
      <c r="H128" s="10" t="n">
        <v>436.67</v>
      </c>
      <c r="I128" s="10" t="n">
        <v>139.73</v>
      </c>
      <c r="J128" s="10" t="n">
        <v>69.87</v>
      </c>
      <c r="K128" s="10" t="n">
        <v>26.2</v>
      </c>
      <c r="L128" s="10" t="n">
        <v>349.33</v>
      </c>
      <c r="M128" s="11" t="inlineStr"/>
      <c r="N128" s="10" t="n">
        <v>20.0002</v>
      </c>
      <c r="O128" s="10" t="inlineStr"/>
      <c r="P128" s="11">
        <f>IF($O128&lt;&gt;"",$O128,$AO128)</f>
        <v/>
      </c>
      <c r="Q128" s="10" t="inlineStr"/>
      <c r="R128" s="10" t="inlineStr"/>
      <c r="S128" s="10" t="inlineStr"/>
      <c r="T128" s="10" t="inlineStr"/>
      <c r="U128" s="10" t="inlineStr"/>
      <c r="V128" s="10" t="inlineStr"/>
      <c r="W128" s="10" t="inlineStr"/>
      <c r="X128" s="9" t="n">
        <v>56</v>
      </c>
      <c r="Y128" s="10" t="inlineStr"/>
      <c r="Z128" s="10" t="inlineStr"/>
      <c r="AA128" s="10" t="n">
        <v>33.9</v>
      </c>
      <c r="AB128" s="10" t="inlineStr"/>
      <c r="AC128" s="10" t="inlineStr"/>
      <c r="AD128" s="10" t="inlineStr"/>
      <c r="AE128" s="10" t="n">
        <v>8.5</v>
      </c>
      <c r="AF128" s="10" t="n">
        <v>0.25</v>
      </c>
      <c r="AG128" s="10" t="n">
        <v>4.69</v>
      </c>
      <c r="AH128" s="10" t="n">
        <v>1.55</v>
      </c>
      <c r="AI128" s="10" t="inlineStr"/>
      <c r="AJ128" s="11">
        <f>IFERROR(INDEX(Country_Context!$B$2:$B$87,MATCH($C128,Country_Context!$A$2:$A$87,0)),"")</f>
        <v/>
      </c>
      <c r="AK128" s="11">
        <f>IFERROR(INDEX(Country_Context!$C$2:$C$87,MATCH($C128,Country_Context!$A$2:$A$87,0)),"")</f>
        <v/>
      </c>
      <c r="AL128" s="11">
        <f>IFERROR(INDEX(Country_Context!$D$2:$D$87,MATCH($C128,Country_Context!$A$2:$A$87,0)),"")</f>
        <v/>
      </c>
      <c r="AM128" s="11">
        <f>IFERROR(INDEX(Country_Context!$E$2:$E$87,MATCH($C128,Country_Context!$A$2:$A$87,0)),"")</f>
        <v/>
      </c>
      <c r="AN128" s="11">
        <f>IFERROR(INDEX(Country_Context!$F$2:$F$87,MATCH($C128,Country_Context!$A$2:$A$87,0)),"")</f>
        <v/>
      </c>
      <c r="AO128" s="11">
        <f>IFERROR(INDEX(Country_Context!$G$2:$G$87,MATCH($C128,Country_Context!$A$2:$A$87,0)),"")</f>
        <v/>
      </c>
      <c r="AP128" s="12" t="inlineStr">
        <is>
          <t>https://api.worldbank.org/v2/country/GEO/indicator/NY.GNP.PCAP.PP.CD?format=json&amp;mrv=10 | https://data.worldbank.org/indicator/NY.GNP.PCAP.PP.CD</t>
        </is>
      </c>
      <c r="AQ128" s="12" t="inlineStr">
        <is>
          <t>Tier 4</t>
        </is>
      </c>
      <c r="AR128" s="12" t="inlineStr">
        <is>
          <t>2024-12-31</t>
        </is>
      </c>
      <c r="AS128" s="12" t="inlineStr">
        <is>
          <t>providers=world_bank_col_estimate, derived; fields=gross_income, rent, utilities, transit_cost; +3 additional fields</t>
        </is>
      </c>
      <c r="AT128" s="12" t="inlineStr">
        <is>
          <t>https://worldweather.wmo.int</t>
        </is>
      </c>
      <c r="AU128" s="12" t="inlineStr">
        <is>
          <t>Tier 3</t>
        </is>
      </c>
      <c r="AV128" s="12" t="inlineStr">
        <is>
          <t>2024-12-31</t>
        </is>
      </c>
      <c r="AW128" s="12" t="inlineStr">
        <is>
          <t>providers=wmo_natl_met; fields=climate_sunlight_livability_raw</t>
        </is>
      </c>
      <c r="AX128" s="12" t="inlineStr">
        <is>
          <t>https://api.worldbank.org/v2/country/GEO/indicator/SI.POV.GINI?format=json&amp;mrv=10</t>
        </is>
      </c>
      <c r="AY128" s="12" t="inlineStr">
        <is>
          <t>Tier 3</t>
        </is>
      </c>
      <c r="AZ128" s="12" t="inlineStr">
        <is>
          <t>2024-12-31</t>
        </is>
      </c>
      <c r="BA128" s="12" t="inlineStr">
        <is>
          <t>providers=world_bank; fields=equal_opportunity_raw</t>
        </is>
      </c>
      <c r="BB128" s="12" t="inlineStr"/>
      <c r="BC128" s="12" t="inlineStr"/>
      <c r="BD128" s="12" t="inlineStr"/>
      <c r="BE128" s="12" t="inlineStr"/>
      <c r="BF128" s="12" t="inlineStr">
        <is>
          <t>https://api.worldbank.org/v2/country/GEO/indicator/IC.BUS.NDNS.ZS?format=json&amp;mrv=10 | https://api.worldbank.org/v2/country/GEO/indicator/GB.XPD.RSDV.GD.ZS?format=json&amp;mrv=10 | https://api.worldbank.org/v2/country/GEO/indicator/BX.KLT.DINV.WD.GD.ZS?format=json&amp;mrv=10 | +1 more</t>
        </is>
      </c>
      <c r="BG128" s="12" t="inlineStr">
        <is>
          <t>Tier 3</t>
        </is>
      </c>
      <c r="BH128" s="12" t="inlineStr">
        <is>
          <t>2024-12-31</t>
        </is>
      </c>
      <c r="BI128" s="12" t="inlineStr">
        <is>
          <t>providers=world_bank; fields=entrepreneurial_dynamism_raw, innovation_research_intensity_raw, investment_signal_raw, administrative_investment_friction_raw</t>
        </is>
      </c>
      <c r="BJ128" s="9" t="inlineStr"/>
    </row>
    <row r="129">
      <c r="A129" s="9" t="inlineStr">
        <is>
          <t>fr-lyon</t>
        </is>
      </c>
      <c r="B129" s="9" t="inlineStr">
        <is>
          <t>Lyon</t>
        </is>
      </c>
      <c r="C129" s="9" t="inlineStr">
        <is>
          <t>France</t>
        </is>
      </c>
      <c r="D129" s="9" t="inlineStr">
        <is>
          <t>Western, Northern, and Southern Europe</t>
        </is>
      </c>
      <c r="E129" s="9" t="inlineStr">
        <is>
          <t>primary</t>
        </is>
      </c>
      <c r="F129" s="9" t="inlineStr">
        <is>
          <t>provisional</t>
        </is>
      </c>
      <c r="G129" s="10" t="n">
        <v>5323.33</v>
      </c>
      <c r="H129" s="10" t="n">
        <v>1583.69</v>
      </c>
      <c r="I129" s="10" t="n">
        <v>316.74</v>
      </c>
      <c r="J129" s="10" t="n">
        <v>226.24</v>
      </c>
      <c r="K129" s="10" t="n">
        <v>67.87</v>
      </c>
      <c r="L129" s="10" t="n">
        <v>678.72</v>
      </c>
      <c r="M129" s="11" t="inlineStr"/>
      <c r="N129" s="10" t="n">
        <v>29.75</v>
      </c>
      <c r="O129" s="10" t="n">
        <v>103.9081</v>
      </c>
      <c r="P129" s="11">
        <f>IF($O129&lt;&gt;"",$O129,$AO129)</f>
        <v/>
      </c>
      <c r="Q129" s="10" t="n">
        <v>35.49</v>
      </c>
      <c r="R129" s="10" t="n">
        <v>16.58</v>
      </c>
      <c r="S129" s="10" t="n">
        <v>1.34</v>
      </c>
      <c r="T129" s="10" t="inlineStr"/>
      <c r="U129" s="10" t="inlineStr"/>
      <c r="V129" s="10" t="n">
        <v>99.70999999999999</v>
      </c>
      <c r="W129" s="10" t="n">
        <v>48.67</v>
      </c>
      <c r="X129" s="9" t="n">
        <v>56</v>
      </c>
      <c r="Y129" s="10" t="n">
        <v>82</v>
      </c>
      <c r="Z129" s="10" t="n">
        <v>70.45</v>
      </c>
      <c r="AA129" s="10" t="n">
        <v>31.8</v>
      </c>
      <c r="AB129" s="10" t="n">
        <v>51.34</v>
      </c>
      <c r="AC129" s="10" t="n">
        <v>36.05</v>
      </c>
      <c r="AD129" s="10" t="n">
        <v>1708.33</v>
      </c>
      <c r="AE129" s="10" t="n">
        <v>6.71</v>
      </c>
      <c r="AF129" s="10" t="n">
        <v>2.23</v>
      </c>
      <c r="AG129" s="10" t="n">
        <v>1.65</v>
      </c>
      <c r="AH129" s="10" t="n">
        <v>1.35</v>
      </c>
      <c r="AI129" s="10" t="inlineStr"/>
      <c r="AJ129" s="11">
        <f>IFERROR(INDEX(Country_Context!$B$2:$B$87,MATCH($C129,Country_Context!$A$2:$A$87,0)),"")</f>
        <v/>
      </c>
      <c r="AK129" s="11">
        <f>IFERROR(INDEX(Country_Context!$C$2:$C$87,MATCH($C129,Country_Context!$A$2:$A$87,0)),"")</f>
        <v/>
      </c>
      <c r="AL129" s="11">
        <f>IFERROR(INDEX(Country_Context!$D$2:$D$87,MATCH($C129,Country_Context!$A$2:$A$87,0)),"")</f>
        <v/>
      </c>
      <c r="AM129" s="11">
        <f>IFERROR(INDEX(Country_Context!$E$2:$E$87,MATCH($C129,Country_Context!$A$2:$A$87,0)),"")</f>
        <v/>
      </c>
      <c r="AN129" s="11">
        <f>IFERROR(INDEX(Country_Context!$F$2:$F$87,MATCH($C129,Country_Context!$A$2:$A$87,0)),"")</f>
        <v/>
      </c>
      <c r="AO129" s="11">
        <f>IFERROR(INDEX(Country_Context!$G$2:$G$87,MATCH($C129,Country_Context!$A$2:$A$87,0)),"")</f>
        <v/>
      </c>
      <c r="AP129" s="12" t="inlineStr">
        <is>
          <t>https://api.worldbank.org/v2/country/FRA/indicator/NY.GNP.PCAP.PP.CD?format=json&amp;mrv=10 | https://data.worldbank.org/indicator/NY.GNP.PCAP.PP.CD | https://ilostat.ilo.org/data/indicator/?id=HOW_TEMP_SEX_ECO_NB_A&amp;ref_area=FRA | +4 more</t>
        </is>
      </c>
      <c r="AQ129" s="12" t="inlineStr">
        <is>
          <t>Tier 3, Tier 4</t>
        </is>
      </c>
      <c r="AR129" s="12" t="inlineStr">
        <is>
          <t>2024-12-31</t>
        </is>
      </c>
      <c r="AS129" s="12" t="inlineStr">
        <is>
          <t>providers=world_bank_col_estimate, derived, ilo_ilostat, who_gho; fields=gross_income, rent, utilities, transit_cost; +9 additional fields</t>
        </is>
      </c>
      <c r="AT129" s="12" t="inlineStr">
        <is>
          <t>https://api.worldbank.org/v2/country/FRA/indicator/VC.IHR.PSRC.P5?format=json&amp;mrv=10 | https://api.worldbank.org/v2/country/FRA/indicator/SH.H2O.SMDW.ZS?format=json&amp;mrv=10 | https://api.worldbank.org/v2/country/FRA/indicator/IT.NET.BBND.P2?format=json&amp;mrv=10 | +1 more</t>
        </is>
      </c>
      <c r="AU129" s="12" t="inlineStr">
        <is>
          <t>Tier 3</t>
        </is>
      </c>
      <c r="AV129" s="12" t="inlineStr">
        <is>
          <t>2024-12-31</t>
        </is>
      </c>
      <c r="AW129" s="12" t="inlineStr">
        <is>
          <t>providers=world_bank, wmo_natl_met; fields=personal_safety_raw, water_sanitation_utility_raw, digital_infrastructure_raw, climate_sunlight_livability_raw</t>
        </is>
      </c>
      <c r="AX129" s="12" t="inlineStr">
        <is>
          <t>https://www.who.int/data/gho/data/indicators/indicator-details/GHO/UHC_INDEX_REPORTED | https://api.worldbank.org/v2/country/FRA/indicator/SE.TER.ENRR?format=json&amp;mrv=10 | https://api.worldbank.org/v2/country/FRA/indicator/SI.POV.GINI?format=json&amp;mrv=10 | +1 more</t>
        </is>
      </c>
      <c r="AY129" s="12" t="inlineStr">
        <is>
          <t>Tier 3</t>
        </is>
      </c>
      <c r="AZ129" s="12" t="inlineStr">
        <is>
          <t>2023-12-31</t>
        </is>
      </c>
      <c r="BA129" s="12" t="inlineStr">
        <is>
          <t>providers=who_gho, world_bank; fields=healthcare_quality_raw, education_quality_raw, equal_opportunity_raw, gini_coefficient</t>
        </is>
      </c>
      <c r="BB129" s="12" t="inlineStr">
        <is>
          <t>https://api.worldbank.org/v2/country/FRA/indicator/SM.POP.NETM?format=json&amp;mrv=10 | https://api.worldbank.org/v2/country/FRA/indicator/SG.GEN.PARL.ZS?format=json&amp;mrv=10 | https://api.worldbank.org/v2/country/FRA/indicator/ST.INT.ARVL?format=json&amp;mrv=10 | +1 more</t>
        </is>
      </c>
      <c r="BC129" s="12" t="inlineStr">
        <is>
          <t>Tier 3</t>
        </is>
      </c>
      <c r="BD129" s="12" t="inlineStr">
        <is>
          <t>2025-12-31</t>
        </is>
      </c>
      <c r="BE129" s="12" t="inlineStr">
        <is>
          <t>providers=world_bank; fields=hospitality_belonging_raw, tolerance_pluralism_raw, cultural_public_life_raw, birth_rate_optimism_raw</t>
        </is>
      </c>
      <c r="BF129" s="12" t="inlineStr">
        <is>
          <t>https://api.worldbank.org/v2/country/FRA/indicator/IC.BUS.NDNS.ZS?format=json&amp;mrv=10 | https://api.worldbank.org/v2/country/FRA/indicator/GB.XPD.RSDV.GD.ZS?format=json&amp;mrv=10 | https://api.worldbank.org/v2/country/FRA/indicator/BX.KLT.DINV.WD.GD.ZS?format=json&amp;mrv=10 | +3 more</t>
        </is>
      </c>
      <c r="BG129" s="12" t="inlineStr">
        <is>
          <t>Tier 3</t>
        </is>
      </c>
      <c r="BH129" s="12" t="inlineStr">
        <is>
          <t>2024-12-31</t>
        </is>
      </c>
      <c r="BI129" s="12" t="inlineStr">
        <is>
          <t>providers=world_bank; fields=entrepreneurial_dynamism_raw, innovation_research_intensity_raw, investment_signal_raw, administrative_investment_friction_raw; +2 additional fields</t>
        </is>
      </c>
      <c r="BJ129" s="9" t="n">
        <v>1.68</v>
      </c>
    </row>
    <row r="130">
      <c r="A130" s="9" t="inlineStr">
        <is>
          <t>es-valencia</t>
        </is>
      </c>
      <c r="B130" s="9" t="inlineStr">
        <is>
          <t>Valencia</t>
        </is>
      </c>
      <c r="C130" s="9" t="inlineStr">
        <is>
          <t>Spain</t>
        </is>
      </c>
      <c r="D130" s="9" t="inlineStr">
        <is>
          <t>Western, Northern, and Southern Europe</t>
        </is>
      </c>
      <c r="E130" s="9" t="inlineStr">
        <is>
          <t>primary</t>
        </is>
      </c>
      <c r="F130" s="9" t="inlineStr">
        <is>
          <t>provisional</t>
        </is>
      </c>
      <c r="G130" s="10" t="n">
        <v>4805.83</v>
      </c>
      <c r="H130" s="10" t="n">
        <v>1429.73</v>
      </c>
      <c r="I130" s="10" t="n">
        <v>285.95</v>
      </c>
      <c r="J130" s="10" t="n">
        <v>204.25</v>
      </c>
      <c r="K130" s="10" t="n">
        <v>61.27</v>
      </c>
      <c r="L130" s="10" t="n">
        <v>612.74</v>
      </c>
      <c r="M130" s="11" t="inlineStr"/>
      <c r="N130" s="10" t="n">
        <v>29.7499</v>
      </c>
      <c r="O130" s="10" t="inlineStr"/>
      <c r="P130" s="11">
        <f>IF($O130&lt;&gt;"",$O130,$AO130)</f>
        <v/>
      </c>
      <c r="Q130" s="10" t="inlineStr"/>
      <c r="R130" s="10" t="inlineStr"/>
      <c r="S130" s="10" t="inlineStr"/>
      <c r="T130" s="10" t="inlineStr"/>
      <c r="U130" s="10" t="inlineStr"/>
      <c r="V130" s="10" t="inlineStr"/>
      <c r="W130" s="10" t="inlineStr"/>
      <c r="X130" s="9" t="n">
        <v>74</v>
      </c>
      <c r="Y130" s="10" t="inlineStr"/>
      <c r="Z130" s="10" t="inlineStr"/>
      <c r="AA130" s="10" t="n">
        <v>33.4</v>
      </c>
      <c r="AB130" s="10" t="inlineStr"/>
      <c r="AC130" s="10" t="inlineStr"/>
      <c r="AD130" s="10" t="inlineStr"/>
      <c r="AE130" s="10" t="n">
        <v>3.08</v>
      </c>
      <c r="AF130" s="10" t="n">
        <v>1.44</v>
      </c>
      <c r="AG130" s="10" t="n">
        <v>2.48</v>
      </c>
      <c r="AH130" s="10" t="n">
        <v>1.81</v>
      </c>
      <c r="AI130" s="10" t="inlineStr"/>
      <c r="AJ130" s="11">
        <f>IFERROR(INDEX(Country_Context!$B$2:$B$87,MATCH($C130,Country_Context!$A$2:$A$87,0)),"")</f>
        <v/>
      </c>
      <c r="AK130" s="11">
        <f>IFERROR(INDEX(Country_Context!$C$2:$C$87,MATCH($C130,Country_Context!$A$2:$A$87,0)),"")</f>
        <v/>
      </c>
      <c r="AL130" s="11">
        <f>IFERROR(INDEX(Country_Context!$D$2:$D$87,MATCH($C130,Country_Context!$A$2:$A$87,0)),"")</f>
        <v/>
      </c>
      <c r="AM130" s="11">
        <f>IFERROR(INDEX(Country_Context!$E$2:$E$87,MATCH($C130,Country_Context!$A$2:$A$87,0)),"")</f>
        <v/>
      </c>
      <c r="AN130" s="11">
        <f>IFERROR(INDEX(Country_Context!$F$2:$F$87,MATCH($C130,Country_Context!$A$2:$A$87,0)),"")</f>
        <v/>
      </c>
      <c r="AO130" s="11">
        <f>IFERROR(INDEX(Country_Context!$G$2:$G$87,MATCH($C130,Country_Context!$A$2:$A$87,0)),"")</f>
        <v/>
      </c>
      <c r="AP130" s="12" t="inlineStr">
        <is>
          <t>https://api.worldbank.org/v2/country/ESP/indicator/NY.GNP.PCAP.PP.CD?format=json&amp;mrv=10 | https://data.worldbank.org/indicator/NY.GNP.PCAP.PP.CD</t>
        </is>
      </c>
      <c r="AQ130" s="12" t="inlineStr">
        <is>
          <t>Tier 4</t>
        </is>
      </c>
      <c r="AR130" s="12" t="inlineStr">
        <is>
          <t>2024-12-31</t>
        </is>
      </c>
      <c r="AS130" s="12" t="inlineStr">
        <is>
          <t>providers=world_bank_col_estimate, derived; fields=gross_income, rent, utilities, transit_cost; +3 additional fields</t>
        </is>
      </c>
      <c r="AT130" s="12" t="inlineStr">
        <is>
          <t>https://worldweather.wmo.int</t>
        </is>
      </c>
      <c r="AU130" s="12" t="inlineStr">
        <is>
          <t>Tier 3</t>
        </is>
      </c>
      <c r="AV130" s="12" t="inlineStr">
        <is>
          <t>2024-12-31</t>
        </is>
      </c>
      <c r="AW130" s="12" t="inlineStr">
        <is>
          <t>providers=wmo_natl_met; fields=climate_sunlight_livability_raw</t>
        </is>
      </c>
      <c r="AX130" s="12" t="inlineStr">
        <is>
          <t>https://api.worldbank.org/v2/country/ESP/indicator/SI.POV.GINI?format=json&amp;mrv=10</t>
        </is>
      </c>
      <c r="AY130" s="12" t="inlineStr">
        <is>
          <t>Tier 3</t>
        </is>
      </c>
      <c r="AZ130" s="12" t="inlineStr">
        <is>
          <t>2023-12-31</t>
        </is>
      </c>
      <c r="BA130" s="12" t="inlineStr">
        <is>
          <t>providers=world_bank; fields=equal_opportunity_raw</t>
        </is>
      </c>
      <c r="BB130" s="12" t="inlineStr">
        <is>
          <t>https://data.worldbank.org/indicator/SP.DYN.TFRT.IN</t>
        </is>
      </c>
      <c r="BC130" s="12" t="inlineStr">
        <is>
          <t>Tier 3</t>
        </is>
      </c>
      <c r="BD130" s="12" t="inlineStr">
        <is>
          <t>2024-01-01</t>
        </is>
      </c>
      <c r="BE130" s="12" t="inlineStr">
        <is>
          <t>providers=world_bank; fields=birth_rate_optimism_raw</t>
        </is>
      </c>
      <c r="BF130" s="12" t="inlineStr">
        <is>
          <t>https://api.worldbank.org/v2/country/ESP/indicator/IC.BUS.NDNS.ZS?format=json&amp;mrv=10 | https://api.worldbank.org/v2/country/ESP/indicator/GB.XPD.RSDV.GD.ZS?format=json&amp;mrv=10 | https://api.worldbank.org/v2/country/ESP/indicator/BX.KLT.DINV.WD.GD.ZS?format=json&amp;mrv=10 | +1 more</t>
        </is>
      </c>
      <c r="BG130" s="12" t="inlineStr">
        <is>
          <t>Tier 3</t>
        </is>
      </c>
      <c r="BH130" s="12" t="inlineStr">
        <is>
          <t>2024-12-31</t>
        </is>
      </c>
      <c r="BI130" s="12" t="inlineStr">
        <is>
          <t>providers=world_bank; fields=entrepreneurial_dynamism_raw, innovation_research_intensity_raw, investment_signal_raw, administrative_investment_friction_raw</t>
        </is>
      </c>
      <c r="BJ130" s="9" t="n">
        <v>1.19</v>
      </c>
    </row>
    <row r="131">
      <c r="A131" s="9" t="inlineStr">
        <is>
          <t>de-munich</t>
        </is>
      </c>
      <c r="B131" s="9" t="inlineStr">
        <is>
          <t>Munich</t>
        </is>
      </c>
      <c r="C131" s="9" t="inlineStr">
        <is>
          <t>Germany</t>
        </is>
      </c>
      <c r="D131" s="9" t="inlineStr">
        <is>
          <t>Western, Northern, and Southern Europe</t>
        </is>
      </c>
      <c r="E131" s="9" t="inlineStr">
        <is>
          <t>primary</t>
        </is>
      </c>
      <c r="F131" s="9" t="inlineStr">
        <is>
          <t>provisional</t>
        </is>
      </c>
      <c r="G131" s="10" t="n">
        <v>7618</v>
      </c>
      <c r="H131" s="10" t="n">
        <v>3332.87</v>
      </c>
      <c r="I131" s="10" t="n">
        <v>666.58</v>
      </c>
      <c r="J131" s="10" t="n">
        <v>476.13</v>
      </c>
      <c r="K131" s="10" t="n">
        <v>142.84</v>
      </c>
      <c r="L131" s="10" t="n">
        <v>1428.38</v>
      </c>
      <c r="M131" s="11" t="inlineStr"/>
      <c r="N131" s="10" t="n">
        <v>43.7499</v>
      </c>
      <c r="O131" s="10" t="inlineStr"/>
      <c r="P131" s="11">
        <f>IF($O131&lt;&gt;"",$O131,$AO131)</f>
        <v/>
      </c>
      <c r="Q131" s="10" t="inlineStr"/>
      <c r="R131" s="10" t="inlineStr"/>
      <c r="S131" s="10" t="inlineStr"/>
      <c r="T131" s="10" t="inlineStr"/>
      <c r="U131" s="10" t="inlineStr"/>
      <c r="V131" s="10" t="inlineStr"/>
      <c r="W131" s="10" t="inlineStr"/>
      <c r="X131" s="9" t="n">
        <v>52</v>
      </c>
      <c r="Y131" s="10" t="inlineStr"/>
      <c r="Z131" s="10" t="inlineStr"/>
      <c r="AA131" s="10" t="n">
        <v>32.4</v>
      </c>
      <c r="AB131" s="10" t="inlineStr"/>
      <c r="AC131" s="10" t="inlineStr"/>
      <c r="AD131" s="10" t="inlineStr"/>
      <c r="AE131" s="10" t="n">
        <v>1.4</v>
      </c>
      <c r="AF131" s="10" t="n">
        <v>3.13</v>
      </c>
      <c r="AG131" s="10" t="n">
        <v>1.02</v>
      </c>
      <c r="AH131" s="10" t="n">
        <v>1.04</v>
      </c>
      <c r="AI131" s="10" t="inlineStr"/>
      <c r="AJ131" s="11">
        <f>IFERROR(INDEX(Country_Context!$B$2:$B$87,MATCH($C131,Country_Context!$A$2:$A$87,0)),"")</f>
        <v/>
      </c>
      <c r="AK131" s="11">
        <f>IFERROR(INDEX(Country_Context!$C$2:$C$87,MATCH($C131,Country_Context!$A$2:$A$87,0)),"")</f>
        <v/>
      </c>
      <c r="AL131" s="11">
        <f>IFERROR(INDEX(Country_Context!$D$2:$D$87,MATCH($C131,Country_Context!$A$2:$A$87,0)),"")</f>
        <v/>
      </c>
      <c r="AM131" s="11">
        <f>IFERROR(INDEX(Country_Context!$E$2:$E$87,MATCH($C131,Country_Context!$A$2:$A$87,0)),"")</f>
        <v/>
      </c>
      <c r="AN131" s="11">
        <f>IFERROR(INDEX(Country_Context!$F$2:$F$87,MATCH($C131,Country_Context!$A$2:$A$87,0)),"")</f>
        <v/>
      </c>
      <c r="AO131" s="11">
        <f>IFERROR(INDEX(Country_Context!$G$2:$G$87,MATCH($C131,Country_Context!$A$2:$A$87,0)),"")</f>
        <v/>
      </c>
      <c r="AP131" s="12" t="inlineStr">
        <is>
          <t>https://api.worldbank.org/v2/country/DEU/indicator/NY.GNP.PCAP.PP.CD?format=json&amp;mrv=10 | https://data.worldbank.org/indicator/NY.GNP.PCAP.PP.CD</t>
        </is>
      </c>
      <c r="AQ131" s="12" t="inlineStr">
        <is>
          <t>Tier 4</t>
        </is>
      </c>
      <c r="AR131" s="12" t="inlineStr">
        <is>
          <t>2024-12-31</t>
        </is>
      </c>
      <c r="AS131" s="12" t="inlineStr">
        <is>
          <t>providers=world_bank_col_estimate, derived; fields=gross_income, rent, utilities, transit_cost; +3 additional fields</t>
        </is>
      </c>
      <c r="AT131" s="12" t="inlineStr">
        <is>
          <t>https://worldweather.wmo.int</t>
        </is>
      </c>
      <c r="AU131" s="12" t="inlineStr">
        <is>
          <t>Tier 3</t>
        </is>
      </c>
      <c r="AV131" s="12" t="inlineStr">
        <is>
          <t>2024-12-31</t>
        </is>
      </c>
      <c r="AW131" s="12" t="inlineStr">
        <is>
          <t>providers=wmo_natl_met; fields=climate_sunlight_livability_raw</t>
        </is>
      </c>
      <c r="AX131" s="12" t="inlineStr">
        <is>
          <t>https://api.worldbank.org/v2/country/DEU/indicator/SI.POV.GINI?format=json&amp;mrv=10</t>
        </is>
      </c>
      <c r="AY131" s="12" t="inlineStr">
        <is>
          <t>Tier 3</t>
        </is>
      </c>
      <c r="AZ131" s="12" t="inlineStr">
        <is>
          <t>2020-12-31</t>
        </is>
      </c>
      <c r="BA131" s="12" t="inlineStr">
        <is>
          <t>providers=world_bank; fields=equal_opportunity_raw</t>
        </is>
      </c>
      <c r="BB131" s="12" t="inlineStr">
        <is>
          <t>https://data.worldbank.org/indicator/SP.DYN.TFRT.IN</t>
        </is>
      </c>
      <c r="BC131" s="12" t="inlineStr">
        <is>
          <t>Tier 3</t>
        </is>
      </c>
      <c r="BD131" s="12" t="inlineStr">
        <is>
          <t>2024-01-01</t>
        </is>
      </c>
      <c r="BE131" s="12" t="inlineStr">
        <is>
          <t>providers=world_bank; fields=birth_rate_optimism_raw</t>
        </is>
      </c>
      <c r="BF131" s="12" t="inlineStr">
        <is>
          <t>https://api.worldbank.org/v2/country/DEU/indicator/IC.BUS.NDNS.ZS?format=json&amp;mrv=10 | https://api.worldbank.org/v2/country/DEU/indicator/GB.XPD.RSDV.GD.ZS?format=json&amp;mrv=10 | https://api.worldbank.org/v2/country/DEU/indicator/BX.KLT.DINV.WD.GD.ZS?format=json&amp;mrv=10 | +1 more</t>
        </is>
      </c>
      <c r="BG131" s="12" t="inlineStr">
        <is>
          <t>Tier 3</t>
        </is>
      </c>
      <c r="BH131" s="12" t="inlineStr">
        <is>
          <t>2024-12-31</t>
        </is>
      </c>
      <c r="BI131" s="12" t="inlineStr">
        <is>
          <t>providers=world_bank; fields=entrepreneurial_dynamism_raw, innovation_research_intensity_raw, investment_signal_raw, administrative_investment_friction_raw</t>
        </is>
      </c>
      <c r="BJ131" s="9" t="n">
        <v>1.36</v>
      </c>
    </row>
    <row r="132">
      <c r="A132" s="9" t="inlineStr">
        <is>
          <t>be-antwerp</t>
        </is>
      </c>
      <c r="B132" s="9" t="inlineStr">
        <is>
          <t>Antwerp</t>
        </is>
      </c>
      <c r="C132" s="9" t="inlineStr">
        <is>
          <t>Belgium</t>
        </is>
      </c>
      <c r="D132" s="9" t="inlineStr">
        <is>
          <t>Western, Northern, and Southern Europe</t>
        </is>
      </c>
      <c r="E132" s="9" t="inlineStr">
        <is>
          <t>secondary</t>
        </is>
      </c>
      <c r="F132" s="9" t="inlineStr">
        <is>
          <t>provisional</t>
        </is>
      </c>
      <c r="G132" s="10" t="n">
        <v>6230.83</v>
      </c>
      <c r="H132" s="10" t="n">
        <v>1962.71</v>
      </c>
      <c r="I132" s="10" t="n">
        <v>392.54</v>
      </c>
      <c r="J132" s="10" t="n">
        <v>280.39</v>
      </c>
      <c r="K132" s="10" t="n">
        <v>84.12</v>
      </c>
      <c r="L132" s="10" t="n">
        <v>841.16</v>
      </c>
      <c r="M132" s="11" t="inlineStr"/>
      <c r="N132" s="10" t="n">
        <v>31.5</v>
      </c>
      <c r="O132" s="10" t="inlineStr"/>
      <c r="P132" s="11">
        <f>IF($O132&lt;&gt;"",$O132,$AO132)</f>
        <v/>
      </c>
      <c r="Q132" s="10" t="inlineStr"/>
      <c r="R132" s="10" t="inlineStr"/>
      <c r="S132" s="10" t="inlineStr"/>
      <c r="T132" s="10" t="inlineStr"/>
      <c r="U132" s="10" t="inlineStr"/>
      <c r="V132" s="10" t="inlineStr"/>
      <c r="W132" s="10" t="inlineStr"/>
      <c r="X132" s="9" t="n">
        <v>44</v>
      </c>
      <c r="Y132" s="10" t="inlineStr"/>
      <c r="Z132" s="10" t="inlineStr"/>
      <c r="AA132" s="10" t="n">
        <v>26.8</v>
      </c>
      <c r="AB132" s="10" t="inlineStr"/>
      <c r="AC132" s="10" t="inlineStr"/>
      <c r="AD132" s="10" t="inlineStr"/>
      <c r="AE132" s="10" t="n">
        <v>6.34</v>
      </c>
      <c r="AF132" s="10" t="n">
        <v>3.41</v>
      </c>
      <c r="AG132" s="10" t="n">
        <v>-6.16</v>
      </c>
      <c r="AH132" s="10" t="n">
        <v>1.33</v>
      </c>
      <c r="AI132" s="10" t="inlineStr"/>
      <c r="AJ132" s="11">
        <f>IFERROR(INDEX(Country_Context!$B$2:$B$87,MATCH($C132,Country_Context!$A$2:$A$87,0)),"")</f>
        <v/>
      </c>
      <c r="AK132" s="11">
        <f>IFERROR(INDEX(Country_Context!$C$2:$C$87,MATCH($C132,Country_Context!$A$2:$A$87,0)),"")</f>
        <v/>
      </c>
      <c r="AL132" s="11">
        <f>IFERROR(INDEX(Country_Context!$D$2:$D$87,MATCH($C132,Country_Context!$A$2:$A$87,0)),"")</f>
        <v/>
      </c>
      <c r="AM132" s="11">
        <f>IFERROR(INDEX(Country_Context!$E$2:$E$87,MATCH($C132,Country_Context!$A$2:$A$87,0)),"")</f>
        <v/>
      </c>
      <c r="AN132" s="11">
        <f>IFERROR(INDEX(Country_Context!$F$2:$F$87,MATCH($C132,Country_Context!$A$2:$A$87,0)),"")</f>
        <v/>
      </c>
      <c r="AO132" s="11">
        <f>IFERROR(INDEX(Country_Context!$G$2:$G$87,MATCH($C132,Country_Context!$A$2:$A$87,0)),"")</f>
        <v/>
      </c>
      <c r="AP132" s="12" t="inlineStr">
        <is>
          <t>https://api.worldbank.org/v2/country/BEL/indicator/NY.GNP.PCAP.PP.CD?format=json&amp;mrv=10 | https://data.worldbank.org/indicator/NY.GNP.PCAP.PP.CD</t>
        </is>
      </c>
      <c r="AQ132" s="12" t="inlineStr">
        <is>
          <t>Tier 4</t>
        </is>
      </c>
      <c r="AR132" s="12" t="inlineStr">
        <is>
          <t>2024-12-31</t>
        </is>
      </c>
      <c r="AS132" s="12" t="inlineStr">
        <is>
          <t>providers=world_bank_col_estimate, derived; fields=gross_income, rent, utilities, transit_cost; +3 additional fields</t>
        </is>
      </c>
      <c r="AT132" s="12" t="inlineStr">
        <is>
          <t>https://worldweather.wmo.int</t>
        </is>
      </c>
      <c r="AU132" s="12" t="inlineStr">
        <is>
          <t>Tier 3</t>
        </is>
      </c>
      <c r="AV132" s="12" t="inlineStr">
        <is>
          <t>2024-12-31</t>
        </is>
      </c>
      <c r="AW132" s="12" t="inlineStr">
        <is>
          <t>providers=wmo_natl_met; fields=climate_sunlight_livability_raw</t>
        </is>
      </c>
      <c r="AX132" s="12" t="inlineStr">
        <is>
          <t>https://api.worldbank.org/v2/country/BEL/indicator/SI.POV.GINI?format=json&amp;mrv=10</t>
        </is>
      </c>
      <c r="AY132" s="12" t="inlineStr">
        <is>
          <t>Tier 3</t>
        </is>
      </c>
      <c r="AZ132" s="12" t="inlineStr">
        <is>
          <t>2023-12-31</t>
        </is>
      </c>
      <c r="BA132" s="12" t="inlineStr">
        <is>
          <t>providers=world_bank; fields=equal_opportunity_raw</t>
        </is>
      </c>
      <c r="BB132" s="12" t="inlineStr">
        <is>
          <t>https://data.worldbank.org/indicator/SP.DYN.TFRT.IN</t>
        </is>
      </c>
      <c r="BC132" s="12" t="inlineStr">
        <is>
          <t>Tier 3</t>
        </is>
      </c>
      <c r="BD132" s="12" t="inlineStr">
        <is>
          <t>2024-01-01</t>
        </is>
      </c>
      <c r="BE132" s="12" t="inlineStr">
        <is>
          <t>providers=world_bank; fields=birth_rate_optimism_raw</t>
        </is>
      </c>
      <c r="BF132" s="12" t="inlineStr">
        <is>
          <t>https://api.worldbank.org/v2/country/BEL/indicator/IC.BUS.NDNS.ZS?format=json&amp;mrv=10 | https://api.worldbank.org/v2/country/BEL/indicator/GB.XPD.RSDV.GD.ZS?format=json&amp;mrv=10 | https://api.worldbank.org/v2/country/BEL/indicator/BX.KLT.DINV.WD.GD.ZS?format=json&amp;mrv=10 | +1 more</t>
        </is>
      </c>
      <c r="BG132" s="12" t="inlineStr">
        <is>
          <t>Tier 3</t>
        </is>
      </c>
      <c r="BH132" s="12" t="inlineStr">
        <is>
          <t>2024-12-31</t>
        </is>
      </c>
      <c r="BI132" s="12" t="inlineStr">
        <is>
          <t>providers=world_bank; fields=entrepreneurial_dynamism_raw, innovation_research_intensity_raw, investment_signal_raw, administrative_investment_friction_raw</t>
        </is>
      </c>
      <c r="BJ132" s="9" t="n">
        <v>1.56</v>
      </c>
    </row>
    <row r="133">
      <c r="A133" s="9" t="inlineStr">
        <is>
          <t>ie-cork</t>
        </is>
      </c>
      <c r="B133" s="9" t="inlineStr">
        <is>
          <t>Cork</t>
        </is>
      </c>
      <c r="C133" s="9" t="inlineStr">
        <is>
          <t>Ireland</t>
        </is>
      </c>
      <c r="D133" s="9" t="inlineStr">
        <is>
          <t>Western, Northern, and Southern Europe</t>
        </is>
      </c>
      <c r="E133" s="9" t="inlineStr">
        <is>
          <t>secondary</t>
        </is>
      </c>
      <c r="F133" s="9" t="inlineStr">
        <is>
          <t>provisional</t>
        </is>
      </c>
      <c r="G133" s="10" t="n">
        <v>8431.67</v>
      </c>
      <c r="H133" s="10" t="n">
        <v>2655.98</v>
      </c>
      <c r="I133" s="10" t="n">
        <v>531.2</v>
      </c>
      <c r="J133" s="10" t="n">
        <v>379.43</v>
      </c>
      <c r="K133" s="10" t="n">
        <v>113.83</v>
      </c>
      <c r="L133" s="10" t="n">
        <v>1138.28</v>
      </c>
      <c r="M133" s="11" t="inlineStr"/>
      <c r="N133" s="10" t="n">
        <v>31.5</v>
      </c>
      <c r="O133" s="10" t="inlineStr"/>
      <c r="P133" s="11">
        <f>IF($O133&lt;&gt;"",$O133,$AO133)</f>
        <v/>
      </c>
      <c r="Q133" s="10" t="inlineStr"/>
      <c r="R133" s="10" t="inlineStr"/>
      <c r="S133" s="10" t="inlineStr"/>
      <c r="T133" s="10" t="inlineStr"/>
      <c r="U133" s="10" t="inlineStr"/>
      <c r="V133" s="10" t="inlineStr"/>
      <c r="W133" s="10" t="inlineStr"/>
      <c r="X133" s="9" t="n">
        <v>40</v>
      </c>
      <c r="Y133" s="10" t="inlineStr"/>
      <c r="Z133" s="10" t="inlineStr"/>
      <c r="AA133" s="10" t="n">
        <v>29</v>
      </c>
      <c r="AB133" s="10" t="inlineStr"/>
      <c r="AC133" s="10" t="inlineStr"/>
      <c r="AD133" s="10" t="inlineStr"/>
      <c r="AE133" s="10" t="n">
        <v>6.4</v>
      </c>
      <c r="AF133" s="10" t="n">
        <v>0.96</v>
      </c>
      <c r="AG133" s="10" t="n">
        <v>0.79</v>
      </c>
      <c r="AH133" s="10" t="n">
        <v>0.75</v>
      </c>
      <c r="AI133" s="10" t="inlineStr"/>
      <c r="AJ133" s="11">
        <f>IFERROR(INDEX(Country_Context!$B$2:$B$87,MATCH($C133,Country_Context!$A$2:$A$87,0)),"")</f>
        <v/>
      </c>
      <c r="AK133" s="11">
        <f>IFERROR(INDEX(Country_Context!$C$2:$C$87,MATCH($C133,Country_Context!$A$2:$A$87,0)),"")</f>
        <v/>
      </c>
      <c r="AL133" s="11">
        <f>IFERROR(INDEX(Country_Context!$D$2:$D$87,MATCH($C133,Country_Context!$A$2:$A$87,0)),"")</f>
        <v/>
      </c>
      <c r="AM133" s="11">
        <f>IFERROR(INDEX(Country_Context!$E$2:$E$87,MATCH($C133,Country_Context!$A$2:$A$87,0)),"")</f>
        <v/>
      </c>
      <c r="AN133" s="11">
        <f>IFERROR(INDEX(Country_Context!$F$2:$F$87,MATCH($C133,Country_Context!$A$2:$A$87,0)),"")</f>
        <v/>
      </c>
      <c r="AO133" s="11">
        <f>IFERROR(INDEX(Country_Context!$G$2:$G$87,MATCH($C133,Country_Context!$A$2:$A$87,0)),"")</f>
        <v/>
      </c>
      <c r="AP133" s="12" t="inlineStr">
        <is>
          <t>https://api.worldbank.org/v2/country/IRL/indicator/NY.GNP.PCAP.PP.CD?format=json&amp;mrv=10 | https://data.worldbank.org/indicator/NY.GNP.PCAP.PP.CD</t>
        </is>
      </c>
      <c r="AQ133" s="12" t="inlineStr">
        <is>
          <t>Tier 4</t>
        </is>
      </c>
      <c r="AR133" s="12" t="inlineStr">
        <is>
          <t>2024-12-31</t>
        </is>
      </c>
      <c r="AS133" s="12" t="inlineStr">
        <is>
          <t>providers=world_bank_col_estimate, derived; fields=gross_income, rent, utilities, transit_cost; +3 additional fields</t>
        </is>
      </c>
      <c r="AT133" s="12" t="inlineStr">
        <is>
          <t>https://worldweather.wmo.int</t>
        </is>
      </c>
      <c r="AU133" s="12" t="inlineStr">
        <is>
          <t>Tier 3</t>
        </is>
      </c>
      <c r="AV133" s="12" t="inlineStr">
        <is>
          <t>2024-12-31</t>
        </is>
      </c>
      <c r="AW133" s="12" t="inlineStr">
        <is>
          <t>providers=wmo_natl_met; fields=climate_sunlight_livability_raw</t>
        </is>
      </c>
      <c r="AX133" s="12" t="inlineStr">
        <is>
          <t>https://api.worldbank.org/v2/country/IRL/indicator/SI.POV.GINI?format=json&amp;mrv=10</t>
        </is>
      </c>
      <c r="AY133" s="12" t="inlineStr">
        <is>
          <t>Tier 3</t>
        </is>
      </c>
      <c r="AZ133" s="12" t="inlineStr">
        <is>
          <t>2023-12-31</t>
        </is>
      </c>
      <c r="BA133" s="12" t="inlineStr">
        <is>
          <t>providers=world_bank; fields=equal_opportunity_raw</t>
        </is>
      </c>
      <c r="BB133" s="12" t="inlineStr">
        <is>
          <t>https://data.worldbank.org/indicator/SP.DYN.TFRT.IN</t>
        </is>
      </c>
      <c r="BC133" s="12" t="inlineStr">
        <is>
          <t>Tier 3</t>
        </is>
      </c>
      <c r="BD133" s="12" t="inlineStr">
        <is>
          <t>2024-01-01</t>
        </is>
      </c>
      <c r="BE133" s="12" t="inlineStr">
        <is>
          <t>providers=world_bank; fields=birth_rate_optimism_raw</t>
        </is>
      </c>
      <c r="BF133" s="12" t="inlineStr">
        <is>
          <t>https://api.worldbank.org/v2/country/IRL/indicator/IC.BUS.NDNS.ZS?format=json&amp;mrv=10 | https://api.worldbank.org/v2/country/IRL/indicator/GB.XPD.RSDV.GD.ZS?format=json&amp;mrv=10 | https://api.worldbank.org/v2/country/IRL/indicator/BX.KLT.DINV.WD.GD.ZS?format=json&amp;mrv=10 | +1 more</t>
        </is>
      </c>
      <c r="BG133" s="12" t="inlineStr">
        <is>
          <t>Tier 3</t>
        </is>
      </c>
      <c r="BH133" s="12" t="inlineStr">
        <is>
          <t>2024-12-31</t>
        </is>
      </c>
      <c r="BI133" s="12" t="inlineStr">
        <is>
          <t>providers=world_bank; fields=entrepreneurial_dynamism_raw, innovation_research_intensity_raw, investment_signal_raw, administrative_investment_friction_raw</t>
        </is>
      </c>
      <c r="BJ133" s="9" t="n">
        <v>1.54</v>
      </c>
    </row>
    <row r="134">
      <c r="A134" s="9" t="inlineStr">
        <is>
          <t>se-gothenburg</t>
        </is>
      </c>
      <c r="B134" s="9" t="inlineStr">
        <is>
          <t>Gothenburg</t>
        </is>
      </c>
      <c r="C134" s="9" t="inlineStr">
        <is>
          <t>Sweden</t>
        </is>
      </c>
      <c r="D134" s="9" t="inlineStr">
        <is>
          <t>Western, Northern, and Southern Europe</t>
        </is>
      </c>
      <c r="E134" s="9" t="inlineStr">
        <is>
          <t>primary</t>
        </is>
      </c>
      <c r="F134" s="9" t="inlineStr">
        <is>
          <t>provisional</t>
        </is>
      </c>
      <c r="G134" s="10" t="n">
        <v>6250</v>
      </c>
      <c r="H134" s="10" t="n">
        <v>1968.75</v>
      </c>
      <c r="I134" s="10" t="n">
        <v>393.75</v>
      </c>
      <c r="J134" s="10" t="n">
        <v>281.25</v>
      </c>
      <c r="K134" s="10" t="n">
        <v>84.38</v>
      </c>
      <c r="L134" s="10" t="n">
        <v>843.75</v>
      </c>
      <c r="M134" s="11" t="inlineStr"/>
      <c r="N134" s="10" t="n">
        <v>31.5</v>
      </c>
      <c r="O134" s="10" t="inlineStr"/>
      <c r="P134" s="11">
        <f>IF($O134&lt;&gt;"",$O134,$AO134)</f>
        <v/>
      </c>
      <c r="Q134" s="10" t="inlineStr"/>
      <c r="R134" s="10" t="inlineStr"/>
      <c r="S134" s="10" t="inlineStr"/>
      <c r="T134" s="10" t="inlineStr"/>
      <c r="U134" s="10" t="inlineStr"/>
      <c r="V134" s="10" t="inlineStr"/>
      <c r="W134" s="10" t="inlineStr"/>
      <c r="X134" s="9" t="n">
        <v>36</v>
      </c>
      <c r="Y134" s="10" t="inlineStr"/>
      <c r="Z134" s="10" t="inlineStr"/>
      <c r="AA134" s="10" t="n">
        <v>29.3</v>
      </c>
      <c r="AB134" s="10" t="inlineStr"/>
      <c r="AC134" s="10" t="inlineStr"/>
      <c r="AD134" s="10" t="inlineStr"/>
      <c r="AE134" s="10" t="n">
        <v>9.24</v>
      </c>
      <c r="AF134" s="10" t="n">
        <v>3.41</v>
      </c>
      <c r="AG134" s="10" t="n">
        <v>4.48</v>
      </c>
      <c r="AH134" s="10" t="n">
        <v>0.78</v>
      </c>
      <c r="AI134" s="10" t="inlineStr"/>
      <c r="AJ134" s="11">
        <f>IFERROR(INDEX(Country_Context!$B$2:$B$87,MATCH($C134,Country_Context!$A$2:$A$87,0)),"")</f>
        <v/>
      </c>
      <c r="AK134" s="11">
        <f>IFERROR(INDEX(Country_Context!$C$2:$C$87,MATCH($C134,Country_Context!$A$2:$A$87,0)),"")</f>
        <v/>
      </c>
      <c r="AL134" s="11">
        <f>IFERROR(INDEX(Country_Context!$D$2:$D$87,MATCH($C134,Country_Context!$A$2:$A$87,0)),"")</f>
        <v/>
      </c>
      <c r="AM134" s="11">
        <f>IFERROR(INDEX(Country_Context!$E$2:$E$87,MATCH($C134,Country_Context!$A$2:$A$87,0)),"")</f>
        <v/>
      </c>
      <c r="AN134" s="11">
        <f>IFERROR(INDEX(Country_Context!$F$2:$F$87,MATCH($C134,Country_Context!$A$2:$A$87,0)),"")</f>
        <v/>
      </c>
      <c r="AO134" s="11">
        <f>IFERROR(INDEX(Country_Context!$G$2:$G$87,MATCH($C134,Country_Context!$A$2:$A$87,0)),"")</f>
        <v/>
      </c>
      <c r="AP134" s="12" t="inlineStr">
        <is>
          <t>https://api.worldbank.org/v2/country/SWE/indicator/NY.GNP.PCAP.PP.CD?format=json&amp;mrv=10 | https://data.worldbank.org/indicator/NY.GNP.PCAP.PP.CD</t>
        </is>
      </c>
      <c r="AQ134" s="12" t="inlineStr">
        <is>
          <t>Tier 4</t>
        </is>
      </c>
      <c r="AR134" s="12" t="inlineStr">
        <is>
          <t>2024-12-31</t>
        </is>
      </c>
      <c r="AS134" s="12" t="inlineStr">
        <is>
          <t>providers=world_bank_col_estimate, derived; fields=gross_income, rent, utilities, transit_cost; +3 additional fields</t>
        </is>
      </c>
      <c r="AT134" s="12" t="inlineStr">
        <is>
          <t>https://worldweather.wmo.int</t>
        </is>
      </c>
      <c r="AU134" s="12" t="inlineStr">
        <is>
          <t>Tier 3</t>
        </is>
      </c>
      <c r="AV134" s="12" t="inlineStr">
        <is>
          <t>2024-12-31</t>
        </is>
      </c>
      <c r="AW134" s="12" t="inlineStr">
        <is>
          <t>providers=wmo_natl_met; fields=climate_sunlight_livability_raw</t>
        </is>
      </c>
      <c r="AX134" s="12" t="inlineStr">
        <is>
          <t>https://api.worldbank.org/v2/country/SWE/indicator/SI.POV.GINI?format=json&amp;mrv=10</t>
        </is>
      </c>
      <c r="AY134" s="12" t="inlineStr">
        <is>
          <t>Tier 3</t>
        </is>
      </c>
      <c r="AZ134" s="12" t="inlineStr">
        <is>
          <t>2023-12-31</t>
        </is>
      </c>
      <c r="BA134" s="12" t="inlineStr">
        <is>
          <t>providers=world_bank; fields=equal_opportunity_raw</t>
        </is>
      </c>
      <c r="BB134" s="12" t="inlineStr">
        <is>
          <t>https://data.worldbank.org/indicator/SP.DYN.TFRT.IN</t>
        </is>
      </c>
      <c r="BC134" s="12" t="inlineStr">
        <is>
          <t>Tier 3</t>
        </is>
      </c>
      <c r="BD134" s="12" t="inlineStr">
        <is>
          <t>2024-01-01</t>
        </is>
      </c>
      <c r="BE134" s="12" t="inlineStr">
        <is>
          <t>providers=world_bank; fields=birth_rate_optimism_raw</t>
        </is>
      </c>
      <c r="BF134" s="12" t="inlineStr">
        <is>
          <t>https://api.worldbank.org/v2/country/SWE/indicator/IC.BUS.NDNS.ZS?format=json&amp;mrv=10 | https://api.worldbank.org/v2/country/SWE/indicator/GB.XPD.RSDV.GD.ZS?format=json&amp;mrv=10 | https://api.worldbank.org/v2/country/SWE/indicator/BX.KLT.DINV.WD.GD.ZS?format=json&amp;mrv=10 | +1 more</t>
        </is>
      </c>
      <c r="BG134" s="12" t="inlineStr">
        <is>
          <t>Tier 3</t>
        </is>
      </c>
      <c r="BH134" s="12" t="inlineStr">
        <is>
          <t>2024-12-31</t>
        </is>
      </c>
      <c r="BI134" s="12" t="inlineStr">
        <is>
          <t>providers=world_bank; fields=entrepreneurial_dynamism_raw, innovation_research_intensity_raw, investment_signal_raw, administrative_investment_friction_raw</t>
        </is>
      </c>
      <c r="BJ134" s="9" t="n">
        <v>1.52</v>
      </c>
    </row>
    <row r="135">
      <c r="A135" s="9" t="inlineStr">
        <is>
          <t>no-bergen</t>
        </is>
      </c>
      <c r="B135" s="9" t="inlineStr">
        <is>
          <t>Bergen</t>
        </is>
      </c>
      <c r="C135" s="9" t="inlineStr">
        <is>
          <t>Norway</t>
        </is>
      </c>
      <c r="D135" s="9" t="inlineStr">
        <is>
          <t>Western, Northern, and Southern Europe</t>
        </is>
      </c>
      <c r="E135" s="9" t="inlineStr">
        <is>
          <t>secondary</t>
        </is>
      </c>
      <c r="F135" s="9" t="inlineStr">
        <is>
          <t>provisional</t>
        </is>
      </c>
      <c r="G135" s="10" t="n">
        <v>8902.5</v>
      </c>
      <c r="H135" s="10" t="n">
        <v>2960.08</v>
      </c>
      <c r="I135" s="10" t="n">
        <v>592.02</v>
      </c>
      <c r="J135" s="10" t="n">
        <v>422.87</v>
      </c>
      <c r="K135" s="10" t="n">
        <v>126.86</v>
      </c>
      <c r="L135" s="10" t="n">
        <v>1268.61</v>
      </c>
      <c r="M135" s="11" t="inlineStr"/>
      <c r="N135" s="10" t="n">
        <v>33.25</v>
      </c>
      <c r="O135" s="10" t="inlineStr"/>
      <c r="P135" s="11">
        <f>IF($O135&lt;&gt;"",$O135,$AO135)</f>
        <v/>
      </c>
      <c r="Q135" s="10" t="inlineStr"/>
      <c r="R135" s="10" t="inlineStr"/>
      <c r="S135" s="10" t="inlineStr"/>
      <c r="T135" s="10" t="inlineStr"/>
      <c r="U135" s="10" t="inlineStr"/>
      <c r="V135" s="10" t="inlineStr"/>
      <c r="W135" s="10" t="inlineStr"/>
      <c r="X135" s="9" t="n">
        <v>28</v>
      </c>
      <c r="Y135" s="10" t="inlineStr"/>
      <c r="Z135" s="10" t="inlineStr"/>
      <c r="AA135" s="10" t="n">
        <v>26.5</v>
      </c>
      <c r="AB135" s="10" t="inlineStr"/>
      <c r="AC135" s="10" t="inlineStr"/>
      <c r="AD135" s="10" t="inlineStr"/>
      <c r="AE135" s="10" t="n">
        <v>9.17</v>
      </c>
      <c r="AF135" s="10" t="n">
        <v>1.56</v>
      </c>
      <c r="AG135" s="10" t="n">
        <v>2.49</v>
      </c>
      <c r="AH135" s="10" t="n">
        <v>0.9</v>
      </c>
      <c r="AI135" s="10" t="inlineStr"/>
      <c r="AJ135" s="11">
        <f>IFERROR(INDEX(Country_Context!$B$2:$B$87,MATCH($C135,Country_Context!$A$2:$A$87,0)),"")</f>
        <v/>
      </c>
      <c r="AK135" s="11">
        <f>IFERROR(INDEX(Country_Context!$C$2:$C$87,MATCH($C135,Country_Context!$A$2:$A$87,0)),"")</f>
        <v/>
      </c>
      <c r="AL135" s="11">
        <f>IFERROR(INDEX(Country_Context!$D$2:$D$87,MATCH($C135,Country_Context!$A$2:$A$87,0)),"")</f>
        <v/>
      </c>
      <c r="AM135" s="11">
        <f>IFERROR(INDEX(Country_Context!$E$2:$E$87,MATCH($C135,Country_Context!$A$2:$A$87,0)),"")</f>
        <v/>
      </c>
      <c r="AN135" s="11">
        <f>IFERROR(INDEX(Country_Context!$F$2:$F$87,MATCH($C135,Country_Context!$A$2:$A$87,0)),"")</f>
        <v/>
      </c>
      <c r="AO135" s="11">
        <f>IFERROR(INDEX(Country_Context!$G$2:$G$87,MATCH($C135,Country_Context!$A$2:$A$87,0)),"")</f>
        <v/>
      </c>
      <c r="AP135" s="12" t="inlineStr">
        <is>
          <t>https://api.worldbank.org/v2/country/NOR/indicator/NY.GNP.PCAP.PP.CD?format=json&amp;mrv=10 | https://data.worldbank.org/indicator/NY.GNP.PCAP.PP.CD</t>
        </is>
      </c>
      <c r="AQ135" s="12" t="inlineStr">
        <is>
          <t>Tier 4</t>
        </is>
      </c>
      <c r="AR135" s="12" t="inlineStr">
        <is>
          <t>2024-12-31</t>
        </is>
      </c>
      <c r="AS135" s="12" t="inlineStr">
        <is>
          <t>providers=world_bank_col_estimate, derived; fields=gross_income, rent, utilities, transit_cost; +3 additional fields</t>
        </is>
      </c>
      <c r="AT135" s="12" t="inlineStr">
        <is>
          <t>https://worldweather.wmo.int</t>
        </is>
      </c>
      <c r="AU135" s="12" t="inlineStr">
        <is>
          <t>Tier 3</t>
        </is>
      </c>
      <c r="AV135" s="12" t="inlineStr">
        <is>
          <t>2024-12-31</t>
        </is>
      </c>
      <c r="AW135" s="12" t="inlineStr">
        <is>
          <t>providers=wmo_natl_met; fields=climate_sunlight_livability_raw</t>
        </is>
      </c>
      <c r="AX135" s="12" t="inlineStr">
        <is>
          <t>https://api.worldbank.org/v2/country/NOR/indicator/SI.POV.GINI?format=json&amp;mrv=10</t>
        </is>
      </c>
      <c r="AY135" s="12" t="inlineStr">
        <is>
          <t>Tier 3</t>
        </is>
      </c>
      <c r="AZ135" s="12" t="inlineStr">
        <is>
          <t>2023-12-31</t>
        </is>
      </c>
      <c r="BA135" s="12" t="inlineStr">
        <is>
          <t>providers=world_bank; fields=equal_opportunity_raw</t>
        </is>
      </c>
      <c r="BB135" s="12" t="inlineStr">
        <is>
          <t>https://data.worldbank.org/indicator/SP.DYN.TFRT.IN</t>
        </is>
      </c>
      <c r="BC135" s="12" t="inlineStr">
        <is>
          <t>Tier 3</t>
        </is>
      </c>
      <c r="BD135" s="12" t="inlineStr">
        <is>
          <t>2024-01-01</t>
        </is>
      </c>
      <c r="BE135" s="12" t="inlineStr">
        <is>
          <t>providers=world_bank; fields=birth_rate_optimism_raw</t>
        </is>
      </c>
      <c r="BF135" s="12" t="inlineStr">
        <is>
          <t>https://api.worldbank.org/v2/country/NOR/indicator/IC.BUS.NDNS.ZS?format=json&amp;mrv=10 | https://api.worldbank.org/v2/country/NOR/indicator/GB.XPD.RSDV.GD.ZS?format=json&amp;mrv=10 | https://api.worldbank.org/v2/country/NOR/indicator/BX.KLT.DINV.WD.GD.ZS?format=json&amp;mrv=10 | +1 more</t>
        </is>
      </c>
      <c r="BG135" s="12" t="inlineStr">
        <is>
          <t>Tier 3</t>
        </is>
      </c>
      <c r="BH135" s="12" t="inlineStr">
        <is>
          <t>2024-12-31</t>
        </is>
      </c>
      <c r="BI135" s="12" t="inlineStr">
        <is>
          <t>providers=world_bank; fields=entrepreneurial_dynamism_raw, innovation_research_intensity_raw, investment_signal_raw, administrative_investment_friction_raw</t>
        </is>
      </c>
      <c r="BJ135" s="9" t="n">
        <v>1.41</v>
      </c>
    </row>
    <row r="136">
      <c r="A136" s="9" t="inlineStr">
        <is>
          <t>nl-eindhoven</t>
        </is>
      </c>
      <c r="B136" s="9" t="inlineStr">
        <is>
          <t>Eindhoven</t>
        </is>
      </c>
      <c r="C136" s="9" t="inlineStr">
        <is>
          <t>Netherlands</t>
        </is>
      </c>
      <c r="D136" s="9" t="inlineStr">
        <is>
          <t>Western, Northern, and Southern Europe</t>
        </is>
      </c>
      <c r="E136" s="9" t="inlineStr">
        <is>
          <t>secondary</t>
        </is>
      </c>
      <c r="F136" s="9" t="inlineStr">
        <is>
          <t>provisional</t>
        </is>
      </c>
      <c r="G136" s="10" t="n">
        <v>7080.83</v>
      </c>
      <c r="H136" s="10" t="n">
        <v>2106.55</v>
      </c>
      <c r="I136" s="10" t="n">
        <v>421.31</v>
      </c>
      <c r="J136" s="10" t="n">
        <v>300.94</v>
      </c>
      <c r="K136" s="10" t="n">
        <v>90.28</v>
      </c>
      <c r="L136" s="10" t="n">
        <v>902.8099999999999</v>
      </c>
      <c r="M136" s="11" t="inlineStr"/>
      <c r="N136" s="10" t="n">
        <v>29.75</v>
      </c>
      <c r="O136" s="10" t="n">
        <v>82.3297</v>
      </c>
      <c r="P136" s="11">
        <f>IF($O136&lt;&gt;"",$O136,$AO136)</f>
        <v/>
      </c>
      <c r="Q136" s="10" t="n">
        <v>30.24</v>
      </c>
      <c r="R136" s="10" t="n">
        <v>11.5</v>
      </c>
      <c r="S136" s="10" t="n">
        <v>0.6899999999999999</v>
      </c>
      <c r="T136" s="10" t="inlineStr"/>
      <c r="U136" s="10" t="inlineStr"/>
      <c r="V136" s="10" t="n">
        <v>99.95999999999999</v>
      </c>
      <c r="W136" s="10" t="n">
        <v>43.26</v>
      </c>
      <c r="X136" s="9" t="n">
        <v>46</v>
      </c>
      <c r="Y136" s="10" t="n">
        <v>85</v>
      </c>
      <c r="Z136" s="10" t="n">
        <v>86.59</v>
      </c>
      <c r="AA136" s="10" t="n">
        <v>25.7</v>
      </c>
      <c r="AB136" s="10" t="n">
        <v>55.82</v>
      </c>
      <c r="AC136" s="10" t="n">
        <v>38.67</v>
      </c>
      <c r="AD136" s="10" t="n">
        <v>403.76</v>
      </c>
      <c r="AE136" s="10" t="n">
        <v>3.43</v>
      </c>
      <c r="AF136" s="10" t="n">
        <v>2.26</v>
      </c>
      <c r="AG136" s="10" t="n">
        <v>-1.4</v>
      </c>
      <c r="AH136" s="10" t="n">
        <v>0.71</v>
      </c>
      <c r="AI136" s="10" t="inlineStr"/>
      <c r="AJ136" s="11">
        <f>IFERROR(INDEX(Country_Context!$B$2:$B$87,MATCH($C136,Country_Context!$A$2:$A$87,0)),"")</f>
        <v/>
      </c>
      <c r="AK136" s="11">
        <f>IFERROR(INDEX(Country_Context!$C$2:$C$87,MATCH($C136,Country_Context!$A$2:$A$87,0)),"")</f>
        <v/>
      </c>
      <c r="AL136" s="11">
        <f>IFERROR(INDEX(Country_Context!$D$2:$D$87,MATCH($C136,Country_Context!$A$2:$A$87,0)),"")</f>
        <v/>
      </c>
      <c r="AM136" s="11">
        <f>IFERROR(INDEX(Country_Context!$E$2:$E$87,MATCH($C136,Country_Context!$A$2:$A$87,0)),"")</f>
        <v/>
      </c>
      <c r="AN136" s="11">
        <f>IFERROR(INDEX(Country_Context!$F$2:$F$87,MATCH($C136,Country_Context!$A$2:$A$87,0)),"")</f>
        <v/>
      </c>
      <c r="AO136" s="11">
        <f>IFERROR(INDEX(Country_Context!$G$2:$G$87,MATCH($C136,Country_Context!$A$2:$A$87,0)),"")</f>
        <v/>
      </c>
      <c r="AP136" s="12" t="inlineStr">
        <is>
          <t>https://api.worldbank.org/v2/country/NLD/indicator/NY.GNP.PCAP.PP.CD?format=json&amp;mrv=10 | https://data.worldbank.org/indicator/NY.GNP.PCAP.PP.CD | https://ilostat.ilo.org/data/indicator/?id=HOW_TEMP_SEX_ECO_NB_A&amp;ref_area=NLD | +4 more</t>
        </is>
      </c>
      <c r="AQ136" s="12" t="inlineStr">
        <is>
          <t>Tier 3, Tier 4</t>
        </is>
      </c>
      <c r="AR136" s="12" t="inlineStr">
        <is>
          <t>2024-12-31</t>
        </is>
      </c>
      <c r="AS136" s="12" t="inlineStr">
        <is>
          <t>providers=world_bank_col_estimate, derived, ilo_ilostat, who_gho; fields=gross_income, rent, utilities, transit_cost; +9 additional fields</t>
        </is>
      </c>
      <c r="AT136" s="12" t="inlineStr">
        <is>
          <t>https://api.worldbank.org/v2/country/NLD/indicator/VC.IHR.PSRC.P5?format=json&amp;mrv=10 | https://api.worldbank.org/v2/country/NLD/indicator/SH.H2O.SMDW.ZS?format=json&amp;mrv=10 | https://api.worldbank.org/v2/country/NLD/indicator/IT.NET.BBND.P2?format=json&amp;mrv=10 | +1 more</t>
        </is>
      </c>
      <c r="AU136" s="12" t="inlineStr">
        <is>
          <t>Tier 3</t>
        </is>
      </c>
      <c r="AV136" s="12" t="inlineStr">
        <is>
          <t>2024-12-31</t>
        </is>
      </c>
      <c r="AW136" s="12" t="inlineStr">
        <is>
          <t>providers=world_bank, wmo_natl_met; fields=personal_safety_raw, water_sanitation_utility_raw, digital_infrastructure_raw, climate_sunlight_livability_raw</t>
        </is>
      </c>
      <c r="AX136" s="12" t="inlineStr">
        <is>
          <t>https://www.who.int/data/gho/data/indicators/indicator-details/GHO/UHC_INDEX_REPORTED | https://api.worldbank.org/v2/country/NLD/indicator/SE.TER.ENRR?format=json&amp;mrv=10 | https://api.worldbank.org/v2/country/NLD/indicator/SI.POV.GINI?format=json&amp;mrv=10 | +1 more</t>
        </is>
      </c>
      <c r="AY136" s="12" t="inlineStr">
        <is>
          <t>Tier 3</t>
        </is>
      </c>
      <c r="AZ136" s="12" t="inlineStr">
        <is>
          <t>2023-12-31</t>
        </is>
      </c>
      <c r="BA136" s="12" t="inlineStr">
        <is>
          <t>providers=who_gho, world_bank; fields=healthcare_quality_raw, education_quality_raw, equal_opportunity_raw, gini_coefficient</t>
        </is>
      </c>
      <c r="BB136" s="12" t="inlineStr">
        <is>
          <t>https://api.worldbank.org/v2/country/NLD/indicator/SM.POP.NETM?format=json&amp;mrv=10 | https://api.worldbank.org/v2/country/NLD/indicator/SG.GEN.PARL.ZS?format=json&amp;mrv=10 | https://api.worldbank.org/v2/country/NLD/indicator/ST.INT.ARVL?format=json&amp;mrv=10 | +1 more</t>
        </is>
      </c>
      <c r="BC136" s="12" t="inlineStr">
        <is>
          <t>Tier 3</t>
        </is>
      </c>
      <c r="BD136" s="12" t="inlineStr">
        <is>
          <t>2025-12-31</t>
        </is>
      </c>
      <c r="BE136" s="12" t="inlineStr">
        <is>
          <t>providers=world_bank; fields=hospitality_belonging_raw, tolerance_pluralism_raw, cultural_public_life_raw, birth_rate_optimism_raw</t>
        </is>
      </c>
      <c r="BF136" s="12" t="inlineStr">
        <is>
          <t>https://api.worldbank.org/v2/country/NLD/indicator/IC.BUS.NDNS.ZS?format=json&amp;mrv=10 | https://api.worldbank.org/v2/country/NLD/indicator/GB.XPD.RSDV.GD.ZS?format=json&amp;mrv=10 | https://api.worldbank.org/v2/country/NLD/indicator/BX.KLT.DINV.WD.GD.ZS?format=json&amp;mrv=10 | +3 more</t>
        </is>
      </c>
      <c r="BG136" s="12" t="inlineStr">
        <is>
          <t>Tier 3</t>
        </is>
      </c>
      <c r="BH136" s="12" t="inlineStr">
        <is>
          <t>2024-12-31</t>
        </is>
      </c>
      <c r="BI136" s="12" t="inlineStr">
        <is>
          <t>providers=world_bank; fields=entrepreneurial_dynamism_raw, innovation_research_intensity_raw, investment_signal_raw, administrative_investment_friction_raw; +2 additional fields</t>
        </is>
      </c>
      <c r="BJ136" s="9" t="n">
        <v>1.49</v>
      </c>
    </row>
    <row r="137">
      <c r="A137" s="9" t="inlineStr">
        <is>
          <t>ca-vancouver</t>
        </is>
      </c>
      <c r="B137" s="9" t="inlineStr">
        <is>
          <t>Vancouver</t>
        </is>
      </c>
      <c r="C137" s="9" t="inlineStr">
        <is>
          <t>Canada</t>
        </is>
      </c>
      <c r="D137" s="9" t="inlineStr">
        <is>
          <t>North America</t>
        </is>
      </c>
      <c r="E137" s="9" t="inlineStr">
        <is>
          <t>primary</t>
        </is>
      </c>
      <c r="F137" s="9" t="inlineStr">
        <is>
          <t>provisional</t>
        </is>
      </c>
      <c r="G137" s="10" t="n">
        <v>5567.62</v>
      </c>
      <c r="H137" s="10" t="n">
        <v>2435.83</v>
      </c>
      <c r="I137" s="10" t="n">
        <v>487.17</v>
      </c>
      <c r="J137" s="10" t="n">
        <v>347.98</v>
      </c>
      <c r="K137" s="10" t="n">
        <v>139.19</v>
      </c>
      <c r="L137" s="10" t="n">
        <v>1043.93</v>
      </c>
      <c r="M137" s="11" t="inlineStr"/>
      <c r="N137" s="10" t="n">
        <v>43.7499</v>
      </c>
      <c r="O137" s="10" t="n">
        <v>124.0978</v>
      </c>
      <c r="P137" s="11">
        <f>IF($O137&lt;&gt;"",$O137,$AO137)</f>
        <v/>
      </c>
      <c r="Q137" s="10" t="n">
        <v>34.8</v>
      </c>
      <c r="R137" s="10" t="n">
        <v>9.44</v>
      </c>
      <c r="S137" s="10" t="n">
        <v>1.98</v>
      </c>
      <c r="T137" s="10" t="inlineStr"/>
      <c r="U137" s="10" t="inlineStr"/>
      <c r="V137" s="10" t="n">
        <v>96.89</v>
      </c>
      <c r="W137" s="10" t="n">
        <v>42.52</v>
      </c>
      <c r="X137" s="9" t="n">
        <v>48</v>
      </c>
      <c r="Y137" s="10" t="n">
        <v>92</v>
      </c>
      <c r="Z137" s="10" t="n">
        <v>76.26000000000001</v>
      </c>
      <c r="AA137" s="10" t="n">
        <v>31.1</v>
      </c>
      <c r="AB137" s="10" t="n">
        <v>57.9</v>
      </c>
      <c r="AC137" s="10" t="n">
        <v>30.65</v>
      </c>
      <c r="AD137" s="10" t="n">
        <v>785.45</v>
      </c>
      <c r="AE137" s="10" t="n">
        <v>9.83</v>
      </c>
      <c r="AF137" s="10" t="n">
        <v>1.7</v>
      </c>
      <c r="AG137" s="10" t="n">
        <v>2.81</v>
      </c>
      <c r="AH137" s="10" t="n">
        <v>0.86</v>
      </c>
      <c r="AI137" s="10" t="inlineStr"/>
      <c r="AJ137" s="11">
        <f>IFERROR(INDEX(Country_Context!$B$2:$B$87,MATCH($C137,Country_Context!$A$2:$A$87,0)),"")</f>
        <v/>
      </c>
      <c r="AK137" s="11">
        <f>IFERROR(INDEX(Country_Context!$C$2:$C$87,MATCH($C137,Country_Context!$A$2:$A$87,0)),"")</f>
        <v/>
      </c>
      <c r="AL137" s="11">
        <f>IFERROR(INDEX(Country_Context!$D$2:$D$87,MATCH($C137,Country_Context!$A$2:$A$87,0)),"")</f>
        <v/>
      </c>
      <c r="AM137" s="11">
        <f>IFERROR(INDEX(Country_Context!$E$2:$E$87,MATCH($C137,Country_Context!$A$2:$A$87,0)),"")</f>
        <v/>
      </c>
      <c r="AN137" s="11">
        <f>IFERROR(INDEX(Country_Context!$F$2:$F$87,MATCH($C137,Country_Context!$A$2:$A$87,0)),"")</f>
        <v/>
      </c>
      <c r="AO137" s="11">
        <f>IFERROR(INDEX(Country_Context!$G$2:$G$87,MATCH($C137,Country_Context!$A$2:$A$87,0)),"")</f>
        <v/>
      </c>
      <c r="AP137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7" s="12" t="inlineStr">
        <is>
          <t>Tier 3, Tier 4</t>
        </is>
      </c>
      <c r="AR137" s="12" t="inlineStr">
        <is>
          <t>2025-12-31</t>
        </is>
      </c>
      <c r="AS137" s="12" t="inlineStr">
        <is>
          <t>providers=world_bank_col_estimate, derived, ilo_ilostat, who_gho; fields=gross_income, rent, utilities, transit_cost; +9 additional fields</t>
        </is>
      </c>
      <c r="AT137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7" s="12" t="inlineStr">
        <is>
          <t>Tier 3</t>
        </is>
      </c>
      <c r="AV137" s="12" t="inlineStr">
        <is>
          <t>2024-12-31</t>
        </is>
      </c>
      <c r="AW137" s="12" t="inlineStr">
        <is>
          <t>providers=world_bank, wmo_natl_met; fields=personal_safety_raw, water_sanitation_utility_raw, digital_infrastructure_raw, climate_sunlight_livability_raw</t>
        </is>
      </c>
      <c r="AX137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7" s="12" t="inlineStr">
        <is>
          <t>Tier 3</t>
        </is>
      </c>
      <c r="AZ137" s="12" t="inlineStr">
        <is>
          <t>2023-12-31</t>
        </is>
      </c>
      <c r="BA137" s="12" t="inlineStr">
        <is>
          <t>providers=who_gho, world_bank; fields=healthcare_quality_raw, education_quality_raw, equal_opportunity_raw, gini_coefficient</t>
        </is>
      </c>
      <c r="BB137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7" s="12" t="inlineStr">
        <is>
          <t>Tier 3</t>
        </is>
      </c>
      <c r="BD137" s="12" t="inlineStr">
        <is>
          <t>2025-12-31</t>
        </is>
      </c>
      <c r="BE137" s="12" t="inlineStr">
        <is>
          <t>providers=world_bank; fields=hospitality_belonging_raw, tolerance_pluralism_raw, cultural_public_life_raw, birth_rate_optimism_raw</t>
        </is>
      </c>
      <c r="BF137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7" s="12" t="inlineStr">
        <is>
          <t>Tier 3</t>
        </is>
      </c>
      <c r="BH137" s="12" t="inlineStr">
        <is>
          <t>2024-12-31</t>
        </is>
      </c>
      <c r="BI137" s="12" t="inlineStr">
        <is>
          <t>providers=world_bank; fields=entrepreneurial_dynamism_raw, innovation_research_intensity_raw, investment_signal_raw, administrative_investment_friction_raw; +2 additional fields</t>
        </is>
      </c>
      <c r="BJ137" s="9" t="n">
        <v>1.26</v>
      </c>
    </row>
    <row r="138">
      <c r="A138" s="9" t="inlineStr">
        <is>
          <t>ca-ottawa</t>
        </is>
      </c>
      <c r="B138" s="9" t="inlineStr">
        <is>
          <t>Ottawa</t>
        </is>
      </c>
      <c r="C138" s="9" t="inlineStr">
        <is>
          <t>Canada</t>
        </is>
      </c>
      <c r="D138" s="9" t="inlineStr">
        <is>
          <t>North America</t>
        </is>
      </c>
      <c r="E138" s="9" t="inlineStr">
        <is>
          <t>primary</t>
        </is>
      </c>
      <c r="F138" s="9" t="inlineStr">
        <is>
          <t>provisional</t>
        </is>
      </c>
      <c r="G138" s="10" t="n">
        <v>5302.5</v>
      </c>
      <c r="H138" s="10" t="n">
        <v>1763.08</v>
      </c>
      <c r="I138" s="10" t="n">
        <v>352.62</v>
      </c>
      <c r="J138" s="10" t="n">
        <v>251.87</v>
      </c>
      <c r="K138" s="10" t="n">
        <v>100.75</v>
      </c>
      <c r="L138" s="10" t="n">
        <v>755.61</v>
      </c>
      <c r="M138" s="11" t="inlineStr"/>
      <c r="N138" s="10" t="n">
        <v>33.25</v>
      </c>
      <c r="O138" s="10" t="n">
        <v>124.0978</v>
      </c>
      <c r="P138" s="11">
        <f>IF($O138&lt;&gt;"",$O138,$AO138)</f>
        <v/>
      </c>
      <c r="Q138" s="10" t="n">
        <v>34.8</v>
      </c>
      <c r="R138" s="10" t="n">
        <v>9.44</v>
      </c>
      <c r="S138" s="10" t="n">
        <v>1.98</v>
      </c>
      <c r="T138" s="10" t="inlineStr"/>
      <c r="U138" s="10" t="inlineStr"/>
      <c r="V138" s="10" t="n">
        <v>96.89</v>
      </c>
      <c r="W138" s="10" t="n">
        <v>42.52</v>
      </c>
      <c r="X138" s="9" t="n">
        <v>42</v>
      </c>
      <c r="Y138" s="10" t="n">
        <v>92</v>
      </c>
      <c r="Z138" s="10" t="n">
        <v>76.26000000000001</v>
      </c>
      <c r="AA138" s="10" t="n">
        <v>31.1</v>
      </c>
      <c r="AB138" s="10" t="n">
        <v>57.9</v>
      </c>
      <c r="AC138" s="10" t="n">
        <v>30.65</v>
      </c>
      <c r="AD138" s="10" t="n">
        <v>785.45</v>
      </c>
      <c r="AE138" s="10" t="n">
        <v>9.83</v>
      </c>
      <c r="AF138" s="10" t="n">
        <v>1.7</v>
      </c>
      <c r="AG138" s="10" t="n">
        <v>2.81</v>
      </c>
      <c r="AH138" s="10" t="n">
        <v>0.86</v>
      </c>
      <c r="AI138" s="10" t="inlineStr"/>
      <c r="AJ138" s="11">
        <f>IFERROR(INDEX(Country_Context!$B$2:$B$87,MATCH($C138,Country_Context!$A$2:$A$87,0)),"")</f>
        <v/>
      </c>
      <c r="AK138" s="11">
        <f>IFERROR(INDEX(Country_Context!$C$2:$C$87,MATCH($C138,Country_Context!$A$2:$A$87,0)),"")</f>
        <v/>
      </c>
      <c r="AL138" s="11">
        <f>IFERROR(INDEX(Country_Context!$D$2:$D$87,MATCH($C138,Country_Context!$A$2:$A$87,0)),"")</f>
        <v/>
      </c>
      <c r="AM138" s="11">
        <f>IFERROR(INDEX(Country_Context!$E$2:$E$87,MATCH($C138,Country_Context!$A$2:$A$87,0)),"")</f>
        <v/>
      </c>
      <c r="AN138" s="11">
        <f>IFERROR(INDEX(Country_Context!$F$2:$F$87,MATCH($C138,Country_Context!$A$2:$A$87,0)),"")</f>
        <v/>
      </c>
      <c r="AO138" s="11">
        <f>IFERROR(INDEX(Country_Context!$G$2:$G$87,MATCH($C138,Country_Context!$A$2:$A$87,0)),"")</f>
        <v/>
      </c>
      <c r="AP138" s="12" t="inlineStr">
        <is>
          <t>https://api.worldbank.org/v2/country/CAN/indicator/NY.GNP.PCAP.PP.CD?format=json&amp;mrv=10 | https://data.worldbank.org/indicator/NY.GNP.PCAP.PP.CD | https://ilostat.ilo.org/data/indicator/?id=HOW_TEMP_SEX_ECO_NB_A&amp;ref_area=CAN | +4 more</t>
        </is>
      </c>
      <c r="AQ138" s="12" t="inlineStr">
        <is>
          <t>Tier 3, Tier 4</t>
        </is>
      </c>
      <c r="AR138" s="12" t="inlineStr">
        <is>
          <t>2025-12-31</t>
        </is>
      </c>
      <c r="AS138" s="12" t="inlineStr">
        <is>
          <t>providers=world_bank_col_estimate, derived, ilo_ilostat, who_gho; fields=gross_income, rent, utilities, transit_cost; +9 additional fields</t>
        </is>
      </c>
      <c r="AT138" s="12" t="inlineStr">
        <is>
          <t>https://api.worldbank.org/v2/country/CAN/indicator/VC.IHR.PSRC.P5?format=json&amp;mrv=10 | https://api.worldbank.org/v2/country/CAN/indicator/SH.H2O.SMDW.ZS?format=json&amp;mrv=10 | https://api.worldbank.org/v2/country/CAN/indicator/IT.NET.BBND.P2?format=json&amp;mrv=10 | +1 more</t>
        </is>
      </c>
      <c r="AU138" s="12" t="inlineStr">
        <is>
          <t>Tier 3</t>
        </is>
      </c>
      <c r="AV138" s="12" t="inlineStr">
        <is>
          <t>2024-12-31</t>
        </is>
      </c>
      <c r="AW138" s="12" t="inlineStr">
        <is>
          <t>providers=world_bank, wmo_natl_met; fields=personal_safety_raw, water_sanitation_utility_raw, digital_infrastructure_raw, climate_sunlight_livability_raw</t>
        </is>
      </c>
      <c r="AX138" s="12" t="inlineStr">
        <is>
          <t>https://www.who.int/data/gho/data/indicators/indicator-details/GHO/UHC_INDEX_REPORTED | https://api.worldbank.org/v2/country/CAN/indicator/SE.TER.ENRR?format=json&amp;mrv=10 | https://api.worldbank.org/v2/country/CAN/indicator/SI.POV.GINI?format=json&amp;mrv=10 | +1 more</t>
        </is>
      </c>
      <c r="AY138" s="12" t="inlineStr">
        <is>
          <t>Tier 3</t>
        </is>
      </c>
      <c r="AZ138" s="12" t="inlineStr">
        <is>
          <t>2023-12-31</t>
        </is>
      </c>
      <c r="BA138" s="12" t="inlineStr">
        <is>
          <t>providers=who_gho, world_bank; fields=healthcare_quality_raw, education_quality_raw, equal_opportunity_raw, gini_coefficient</t>
        </is>
      </c>
      <c r="BB138" s="12" t="inlineStr">
        <is>
          <t>https://api.worldbank.org/v2/country/CAN/indicator/SM.POP.NETM?format=json&amp;mrv=10 | https://api.worldbank.org/v2/country/CAN/indicator/SG.GEN.PARL.ZS?format=json&amp;mrv=10 | https://api.worldbank.org/v2/country/CAN/indicator/ST.INT.ARVL?format=json&amp;mrv=10 | +1 more</t>
        </is>
      </c>
      <c r="BC138" s="12" t="inlineStr">
        <is>
          <t>Tier 3</t>
        </is>
      </c>
      <c r="BD138" s="12" t="inlineStr">
        <is>
          <t>2025-12-31</t>
        </is>
      </c>
      <c r="BE138" s="12" t="inlineStr">
        <is>
          <t>providers=world_bank; fields=hospitality_belonging_raw, tolerance_pluralism_raw, cultural_public_life_raw, birth_rate_optimism_raw</t>
        </is>
      </c>
      <c r="BF138" s="12" t="inlineStr">
        <is>
          <t>https://api.worldbank.org/v2/country/CAN/indicator/IC.BUS.NDNS.ZS?format=json&amp;mrv=10 | https://api.worldbank.org/v2/country/CAN/indicator/GB.XPD.RSDV.GD.ZS?format=json&amp;mrv=10 | https://api.worldbank.org/v2/country/CAN/indicator/BX.KLT.DINV.WD.GD.ZS?format=json&amp;mrv=10 | +3 more</t>
        </is>
      </c>
      <c r="BG138" s="12" t="inlineStr">
        <is>
          <t>Tier 3</t>
        </is>
      </c>
      <c r="BH138" s="12" t="inlineStr">
        <is>
          <t>2024-12-31</t>
        </is>
      </c>
      <c r="BI138" s="12" t="inlineStr">
        <is>
          <t>providers=world_bank; fields=entrepreneurial_dynamism_raw, innovation_research_intensity_raw, investment_signal_raw, administrative_investment_friction_raw; +2 additional fields</t>
        </is>
      </c>
      <c r="BJ138" s="9" t="n">
        <v>1.26</v>
      </c>
    </row>
    <row r="139">
      <c r="A139" s="9" t="inlineStr">
        <is>
          <t>us-minneapolis</t>
        </is>
      </c>
      <c r="B139" s="9" t="inlineStr">
        <is>
          <t>Minneapolis</t>
        </is>
      </c>
      <c r="C139" s="9" t="inlineStr">
        <is>
          <t>United States</t>
        </is>
      </c>
      <c r="D139" s="9" t="inlineStr">
        <is>
          <t>North America</t>
        </is>
      </c>
      <c r="E139" s="9" t="inlineStr">
        <is>
          <t>primary</t>
        </is>
      </c>
      <c r="F139" s="9" t="inlineStr">
        <is>
          <t>provisional</t>
        </is>
      </c>
      <c r="G139" s="10" t="n">
        <v>7165</v>
      </c>
      <c r="H139" s="10" t="n">
        <v>2256.97</v>
      </c>
      <c r="I139" s="10" t="n">
        <v>451.4</v>
      </c>
      <c r="J139" s="10" t="n">
        <v>322.43</v>
      </c>
      <c r="K139" s="10" t="n">
        <v>128.97</v>
      </c>
      <c r="L139" s="10" t="n">
        <v>967.27</v>
      </c>
      <c r="M139" s="11" t="inlineStr"/>
      <c r="N139" s="10" t="n">
        <v>31.4999</v>
      </c>
      <c r="O139" s="10" t="n">
        <v>46.8411</v>
      </c>
      <c r="P139" s="11">
        <f>IF($O139&lt;&gt;"",$O139,$AO139)</f>
        <v/>
      </c>
      <c r="Q139" s="10" t="n">
        <v>37.54</v>
      </c>
      <c r="R139" s="10" t="n">
        <v>15.63</v>
      </c>
      <c r="S139" s="10" t="n">
        <v>5.76</v>
      </c>
      <c r="T139" s="10" t="inlineStr"/>
      <c r="U139" s="10" t="inlineStr"/>
      <c r="V139" s="10" t="n">
        <v>97.56999999999999</v>
      </c>
      <c r="W139" s="10" t="n">
        <v>38.15</v>
      </c>
      <c r="X139" s="9" t="n">
        <v>48</v>
      </c>
      <c r="Y139" s="10" t="n">
        <v>88</v>
      </c>
      <c r="Z139" s="10" t="n">
        <v>79.36</v>
      </c>
      <c r="AA139" s="10" t="n">
        <v>41.8</v>
      </c>
      <c r="AB139" s="10" t="n">
        <v>53.62</v>
      </c>
      <c r="AC139" s="10" t="n">
        <v>28.74</v>
      </c>
      <c r="AD139" s="10" t="n">
        <v>132.42</v>
      </c>
      <c r="AE139" s="10" t="inlineStr"/>
      <c r="AF139" s="10" t="n">
        <v>3.59</v>
      </c>
      <c r="AG139" s="10" t="n">
        <v>1.03</v>
      </c>
      <c r="AH139" s="10" t="n">
        <v>1.11</v>
      </c>
      <c r="AI139" s="10" t="inlineStr"/>
      <c r="AJ139" s="11">
        <f>IFERROR(INDEX(Country_Context!$B$2:$B$87,MATCH($C139,Country_Context!$A$2:$A$87,0)),"")</f>
        <v/>
      </c>
      <c r="AK139" s="11">
        <f>IFERROR(INDEX(Country_Context!$C$2:$C$87,MATCH($C139,Country_Context!$A$2:$A$87,0)),"")</f>
        <v/>
      </c>
      <c r="AL139" s="11">
        <f>IFERROR(INDEX(Country_Context!$D$2:$D$87,MATCH($C139,Country_Context!$A$2:$A$87,0)),"")</f>
        <v/>
      </c>
      <c r="AM139" s="11">
        <f>IFERROR(INDEX(Country_Context!$E$2:$E$87,MATCH($C139,Country_Context!$A$2:$A$87,0)),"")</f>
        <v/>
      </c>
      <c r="AN139" s="11">
        <f>IFERROR(INDEX(Country_Context!$F$2:$F$87,MATCH($C139,Country_Context!$A$2:$A$87,0)),"")</f>
        <v/>
      </c>
      <c r="AO139" s="11">
        <f>IFERROR(INDEX(Country_Context!$G$2:$G$87,MATCH($C139,Country_Context!$A$2:$A$87,0)),"")</f>
        <v/>
      </c>
      <c r="AP139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39" s="12" t="inlineStr">
        <is>
          <t>Tier 3, Tier 4</t>
        </is>
      </c>
      <c r="AR139" s="12" t="inlineStr">
        <is>
          <t>2025-12-31</t>
        </is>
      </c>
      <c r="AS139" s="12" t="inlineStr">
        <is>
          <t>providers=world_bank_col_estimate, derived, ilo_ilostat, who_gho; fields=gross_income, rent, utilities, transit_cost; +9 additional fields</t>
        </is>
      </c>
      <c r="AT139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39" s="12" t="inlineStr">
        <is>
          <t>Tier 3</t>
        </is>
      </c>
      <c r="AV139" s="12" t="inlineStr">
        <is>
          <t>2024-12-31</t>
        </is>
      </c>
      <c r="AW139" s="12" t="inlineStr">
        <is>
          <t>providers=world_bank, wmo_natl_met; fields=personal_safety_raw, water_sanitation_utility_raw, digital_infrastructure_raw, climate_sunlight_livability_raw</t>
        </is>
      </c>
      <c r="AX139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39" s="12" t="inlineStr">
        <is>
          <t>Tier 3</t>
        </is>
      </c>
      <c r="AZ139" s="12" t="inlineStr">
        <is>
          <t>2023-12-31</t>
        </is>
      </c>
      <c r="BA139" s="12" t="inlineStr">
        <is>
          <t>providers=who_gho, world_bank; fields=healthcare_quality_raw, education_quality_raw, equal_opportunity_raw, gini_coefficient</t>
        </is>
      </c>
      <c r="BB139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39" s="12" t="inlineStr">
        <is>
          <t>Tier 3</t>
        </is>
      </c>
      <c r="BD139" s="12" t="inlineStr">
        <is>
          <t>2025-12-31</t>
        </is>
      </c>
      <c r="BE139" s="12" t="inlineStr">
        <is>
          <t>providers=world_bank; fields=hospitality_belonging_raw, tolerance_pluralism_raw, cultural_public_life_raw, birth_rate_optimism_raw</t>
        </is>
      </c>
      <c r="BF139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39" s="12" t="inlineStr">
        <is>
          <t>Tier 3</t>
        </is>
      </c>
      <c r="BH139" s="12" t="inlineStr">
        <is>
          <t>2024-12-31</t>
        </is>
      </c>
      <c r="BI139" s="12" t="inlineStr">
        <is>
          <t>providers=world_bank; fields=innovation_research_intensity_raw, investment_signal_raw, administrative_investment_friction_raw, gdp_per_capita_ppp; +1 additional fields</t>
        </is>
      </c>
      <c r="BJ139" s="9" t="n">
        <v>1.62</v>
      </c>
    </row>
    <row r="140">
      <c r="A140" s="9" t="inlineStr">
        <is>
          <t>us-raleigh</t>
        </is>
      </c>
      <c r="B140" s="9" t="inlineStr">
        <is>
          <t>Raleigh</t>
        </is>
      </c>
      <c r="C140" s="9" t="inlineStr">
        <is>
          <t>United States</t>
        </is>
      </c>
      <c r="D140" s="9" t="inlineStr">
        <is>
          <t>North America</t>
        </is>
      </c>
      <c r="E140" s="9" t="inlineStr">
        <is>
          <t>secondary</t>
        </is>
      </c>
      <c r="F140" s="9" t="inlineStr">
        <is>
          <t>provisional</t>
        </is>
      </c>
      <c r="G140" s="10" t="n">
        <v>7165</v>
      </c>
      <c r="H140" s="10" t="n">
        <v>2131.59</v>
      </c>
      <c r="I140" s="10" t="n">
        <v>426.32</v>
      </c>
      <c r="J140" s="10" t="n">
        <v>304.51</v>
      </c>
      <c r="K140" s="10" t="n">
        <v>121.81</v>
      </c>
      <c r="L140" s="10" t="n">
        <v>913.54</v>
      </c>
      <c r="M140" s="11" t="inlineStr"/>
      <c r="N140" s="10" t="n">
        <v>29.75</v>
      </c>
      <c r="O140" s="10" t="n">
        <v>46.8411</v>
      </c>
      <c r="P140" s="11">
        <f>IF($O140&lt;&gt;"",$O140,$AO140)</f>
        <v/>
      </c>
      <c r="Q140" s="10" t="n">
        <v>37.54</v>
      </c>
      <c r="R140" s="10" t="n">
        <v>15.63</v>
      </c>
      <c r="S140" s="10" t="n">
        <v>5.76</v>
      </c>
      <c r="T140" s="10" t="inlineStr"/>
      <c r="U140" s="10" t="inlineStr"/>
      <c r="V140" s="10" t="n">
        <v>97.56999999999999</v>
      </c>
      <c r="W140" s="10" t="n">
        <v>38.15</v>
      </c>
      <c r="X140" s="9" t="n">
        <v>62</v>
      </c>
      <c r="Y140" s="10" t="n">
        <v>88</v>
      </c>
      <c r="Z140" s="10" t="n">
        <v>79.36</v>
      </c>
      <c r="AA140" s="10" t="n">
        <v>41.8</v>
      </c>
      <c r="AB140" s="10" t="n">
        <v>53.62</v>
      </c>
      <c r="AC140" s="10" t="n">
        <v>28.74</v>
      </c>
      <c r="AD140" s="10" t="n">
        <v>132.42</v>
      </c>
      <c r="AE140" s="10" t="inlineStr"/>
      <c r="AF140" s="10" t="n">
        <v>3.59</v>
      </c>
      <c r="AG140" s="10" t="n">
        <v>1.03</v>
      </c>
      <c r="AH140" s="10" t="n">
        <v>1.11</v>
      </c>
      <c r="AI140" s="10" t="inlineStr"/>
      <c r="AJ140" s="11">
        <f>IFERROR(INDEX(Country_Context!$B$2:$B$87,MATCH($C140,Country_Context!$A$2:$A$87,0)),"")</f>
        <v/>
      </c>
      <c r="AK140" s="11">
        <f>IFERROR(INDEX(Country_Context!$C$2:$C$87,MATCH($C140,Country_Context!$A$2:$A$87,0)),"")</f>
        <v/>
      </c>
      <c r="AL140" s="11">
        <f>IFERROR(INDEX(Country_Context!$D$2:$D$87,MATCH($C140,Country_Context!$A$2:$A$87,0)),"")</f>
        <v/>
      </c>
      <c r="AM140" s="11">
        <f>IFERROR(INDEX(Country_Context!$E$2:$E$87,MATCH($C140,Country_Context!$A$2:$A$87,0)),"")</f>
        <v/>
      </c>
      <c r="AN140" s="11">
        <f>IFERROR(INDEX(Country_Context!$F$2:$F$87,MATCH($C140,Country_Context!$A$2:$A$87,0)),"")</f>
        <v/>
      </c>
      <c r="AO140" s="11">
        <f>IFERROR(INDEX(Country_Context!$G$2:$G$87,MATCH($C140,Country_Context!$A$2:$A$87,0)),"")</f>
        <v/>
      </c>
      <c r="AP140" s="12" t="inlineStr">
        <is>
          <t>https://api.worldbank.org/v2/country/USA/indicator/NY.GNP.PCAP.PP.CD?format=json&amp;mrv=10 | https://data.worldbank.org/indicator/NY.GNP.PCAP.PP.CD | https://ilostat.ilo.org/data/indicator/?id=HOW_TEMP_SEX_ECO_NB_A&amp;ref_area=USA | +4 more</t>
        </is>
      </c>
      <c r="AQ140" s="12" t="inlineStr">
        <is>
          <t>Tier 3, Tier 4</t>
        </is>
      </c>
      <c r="AR140" s="12" t="inlineStr">
        <is>
          <t>2025-12-31</t>
        </is>
      </c>
      <c r="AS140" s="12" t="inlineStr">
        <is>
          <t>providers=world_bank_col_estimate, derived, ilo_ilostat, who_gho; fields=gross_income, rent, utilities, transit_cost; +9 additional fields</t>
        </is>
      </c>
      <c r="AT140" s="12" t="inlineStr">
        <is>
          <t>https://api.worldbank.org/v2/country/USA/indicator/VC.IHR.PSRC.P5?format=json&amp;mrv=10 | https://api.worldbank.org/v2/country/USA/indicator/SH.H2O.SMDW.ZS?format=json&amp;mrv=10 | https://api.worldbank.org/v2/country/USA/indicator/IT.NET.BBND.P2?format=json&amp;mrv=10 | +1 more</t>
        </is>
      </c>
      <c r="AU140" s="12" t="inlineStr">
        <is>
          <t>Tier 3</t>
        </is>
      </c>
      <c r="AV140" s="12" t="inlineStr">
        <is>
          <t>2024-12-31</t>
        </is>
      </c>
      <c r="AW140" s="12" t="inlineStr">
        <is>
          <t>providers=world_bank, wmo_natl_met; fields=personal_safety_raw, water_sanitation_utility_raw, digital_infrastructure_raw, climate_sunlight_livability_raw</t>
        </is>
      </c>
      <c r="AX140" s="12" t="inlineStr">
        <is>
          <t>https://www.who.int/data/gho/data/indicators/indicator-details/GHO/UHC_INDEX_REPORTED | https://api.worldbank.org/v2/country/USA/indicator/SE.TER.ENRR?format=json&amp;mrv=10 | https://api.worldbank.org/v2/country/USA/indicator/SI.POV.GINI?format=json&amp;mrv=10 | +1 more</t>
        </is>
      </c>
      <c r="AY140" s="12" t="inlineStr">
        <is>
          <t>Tier 3</t>
        </is>
      </c>
      <c r="AZ140" s="12" t="inlineStr">
        <is>
          <t>2023-12-31</t>
        </is>
      </c>
      <c r="BA140" s="12" t="inlineStr">
        <is>
          <t>providers=who_gho, world_bank; fields=healthcare_quality_raw, education_quality_raw, equal_opportunity_raw, gini_coefficient</t>
        </is>
      </c>
      <c r="BB140" s="12" t="inlineStr">
        <is>
          <t>https://api.worldbank.org/v2/country/USA/indicator/SM.POP.NETM?format=json&amp;mrv=10 | https://api.worldbank.org/v2/country/USA/indicator/SG.GEN.PARL.ZS?format=json&amp;mrv=10 | https://api.worldbank.org/v2/country/USA/indicator/ST.INT.ARVL?format=json&amp;mrv=10 | +1 more</t>
        </is>
      </c>
      <c r="BC140" s="12" t="inlineStr">
        <is>
          <t>Tier 3</t>
        </is>
      </c>
      <c r="BD140" s="12" t="inlineStr">
        <is>
          <t>2025-12-31</t>
        </is>
      </c>
      <c r="BE140" s="12" t="inlineStr">
        <is>
          <t>providers=world_bank; fields=hospitality_belonging_raw, tolerance_pluralism_raw, cultural_public_life_raw, birth_rate_optimism_raw</t>
        </is>
      </c>
      <c r="BF140" s="12" t="inlineStr">
        <is>
          <t>https://api.worldbank.org/v2/country/USA/indicator/GB.XPD.RSDV.GD.ZS?format=json&amp;mrv=10 | https://api.worldbank.org/v2/country/USA/indicator/BX.KLT.DINV.WD.GD.ZS?format=json&amp;mrv=10 | https://api.worldbank.org/v2/country/USA/indicator/RQ.EST?format=json&amp;mrv=10 | +2 more</t>
        </is>
      </c>
      <c r="BG140" s="12" t="inlineStr">
        <is>
          <t>Tier 3</t>
        </is>
      </c>
      <c r="BH140" s="12" t="inlineStr">
        <is>
          <t>2024-12-31</t>
        </is>
      </c>
      <c r="BI140" s="12" t="inlineStr">
        <is>
          <t>providers=world_bank; fields=innovation_research_intensity_raw, investment_signal_raw, administrative_investment_friction_raw, gdp_per_capita_ppp; +1 additional fields</t>
        </is>
      </c>
      <c r="BJ140" s="9" t="n">
        <v>1.62</v>
      </c>
    </row>
    <row r="141">
      <c r="A141" s="9" t="inlineStr">
        <is>
          <t>do-santo-domingo</t>
        </is>
      </c>
      <c r="B141" s="9" t="inlineStr">
        <is>
          <t>Santo Domingo</t>
        </is>
      </c>
      <c r="C141" s="9" t="inlineStr">
        <is>
          <t>Dominican Republic</t>
        </is>
      </c>
      <c r="D141" s="9" t="inlineStr">
        <is>
          <t>North America</t>
        </is>
      </c>
      <c r="E141" s="9" t="inlineStr">
        <is>
          <t>primary</t>
        </is>
      </c>
      <c r="F141" s="9" t="inlineStr">
        <is>
          <t>provisional</t>
        </is>
      </c>
      <c r="G141" s="10" t="n">
        <v>2170.83</v>
      </c>
      <c r="H141" s="10" t="n">
        <v>645.8200000000001</v>
      </c>
      <c r="I141" s="10" t="n">
        <v>129.16</v>
      </c>
      <c r="J141" s="10" t="n">
        <v>92.26000000000001</v>
      </c>
      <c r="K141" s="10" t="n">
        <v>36.9</v>
      </c>
      <c r="L141" s="10" t="n">
        <v>276.78</v>
      </c>
      <c r="M141" s="11" t="inlineStr"/>
      <c r="N141" s="10" t="n">
        <v>29.7499</v>
      </c>
      <c r="O141" s="10" t="inlineStr"/>
      <c r="P141" s="11">
        <f>IF($O141&lt;&gt;"",$O141,$AO141)</f>
        <v/>
      </c>
      <c r="Q141" s="10" t="inlineStr"/>
      <c r="R141" s="10" t="inlineStr"/>
      <c r="S141" s="10" t="inlineStr"/>
      <c r="T141" s="10" t="inlineStr"/>
      <c r="U141" s="10" t="inlineStr"/>
      <c r="V141" s="10" t="inlineStr"/>
      <c r="W141" s="10" t="inlineStr"/>
      <c r="X141" s="9" t="inlineStr"/>
      <c r="Y141" s="10" t="inlineStr"/>
      <c r="Z141" s="10" t="inlineStr"/>
      <c r="AA141" s="10" t="n">
        <v>39</v>
      </c>
      <c r="AB141" s="10" t="inlineStr"/>
      <c r="AC141" s="10" t="inlineStr"/>
      <c r="AD141" s="10" t="inlineStr"/>
      <c r="AE141" s="10" t="n">
        <v>1.45</v>
      </c>
      <c r="AF141" s="10" t="inlineStr"/>
      <c r="AG141" s="10" t="n">
        <v>3.6</v>
      </c>
      <c r="AH141" s="10" t="n">
        <v>2.33</v>
      </c>
      <c r="AI141" s="10" t="inlineStr"/>
      <c r="AJ141" s="11">
        <f>IFERROR(INDEX(Country_Context!$B$2:$B$87,MATCH($C141,Country_Context!$A$2:$A$87,0)),"")</f>
        <v/>
      </c>
      <c r="AK141" s="11">
        <f>IFERROR(INDEX(Country_Context!$C$2:$C$87,MATCH($C141,Country_Context!$A$2:$A$87,0)),"")</f>
        <v/>
      </c>
      <c r="AL141" s="11">
        <f>IFERROR(INDEX(Country_Context!$D$2:$D$87,MATCH($C141,Country_Context!$A$2:$A$87,0)),"")</f>
        <v/>
      </c>
      <c r="AM141" s="11">
        <f>IFERROR(INDEX(Country_Context!$E$2:$E$87,MATCH($C141,Country_Context!$A$2:$A$87,0)),"")</f>
        <v/>
      </c>
      <c r="AN141" s="11">
        <f>IFERROR(INDEX(Country_Context!$F$2:$F$87,MATCH($C141,Country_Context!$A$2:$A$87,0)),"")</f>
        <v/>
      </c>
      <c r="AO141" s="11">
        <f>IFERROR(INDEX(Country_Context!$G$2:$G$87,MATCH($C141,Country_Context!$A$2:$A$87,0)),"")</f>
        <v/>
      </c>
      <c r="AP141" s="12" t="inlineStr">
        <is>
          <t>https://api.worldbank.org/v2/country/DOM/indicator/NY.GNP.PCAP.PP.CD?format=json&amp;mrv=10 | https://data.worldbank.org/indicator/NY.GNP.PCAP.PP.CD</t>
        </is>
      </c>
      <c r="AQ141" s="12" t="inlineStr">
        <is>
          <t>Tier 4</t>
        </is>
      </c>
      <c r="AR141" s="12" t="inlineStr">
        <is>
          <t>2024-12-31</t>
        </is>
      </c>
      <c r="AS141" s="12" t="inlineStr">
        <is>
          <t>providers=world_bank_col_estimate, derived; fields=gross_income, rent, utilities, transit_cost; +3 additional fields</t>
        </is>
      </c>
      <c r="AT141" s="12" t="inlineStr"/>
      <c r="AU141" s="12" t="inlineStr"/>
      <c r="AV141" s="12" t="inlineStr"/>
      <c r="AW141" s="12" t="inlineStr"/>
      <c r="AX141" s="12" t="inlineStr">
        <is>
          <t>https://api.worldbank.org/v2/country/DOM/indicator/SI.POV.GINI?format=json&amp;mrv=10</t>
        </is>
      </c>
      <c r="AY141" s="12" t="inlineStr">
        <is>
          <t>Tier 3</t>
        </is>
      </c>
      <c r="AZ141" s="12" t="inlineStr">
        <is>
          <t>2024-12-31</t>
        </is>
      </c>
      <c r="BA141" s="12" t="inlineStr">
        <is>
          <t>providers=world_bank; fields=equal_opportunity_raw</t>
        </is>
      </c>
      <c r="BB141" s="12" t="inlineStr"/>
      <c r="BC141" s="12" t="inlineStr"/>
      <c r="BD141" s="12" t="inlineStr"/>
      <c r="BE141" s="12" t="inlineStr"/>
      <c r="BF141" s="12" t="inlineStr">
        <is>
          <t>https://api.worldbank.org/v2/country/DOM/indicator/IC.BUS.NDNS.ZS?format=json&amp;mrv=10 | https://api.worldbank.org/v2/country/DOM/indicator/BX.KLT.DINV.WD.GD.ZS?format=json&amp;mrv=10 | https://api.worldbank.org/v2/country/DOM/indicator/RQ.EST?format=json&amp;mrv=10</t>
        </is>
      </c>
      <c r="BG141" s="12" t="inlineStr">
        <is>
          <t>Tier 3</t>
        </is>
      </c>
      <c r="BH141" s="12" t="inlineStr">
        <is>
          <t>2024-12-31</t>
        </is>
      </c>
      <c r="BI141" s="12" t="inlineStr">
        <is>
          <t>providers=world_bank; fields=entrepreneurial_dynamism_raw, investment_signal_raw, administrative_investment_friction_raw</t>
        </is>
      </c>
      <c r="BJ141" s="9" t="inlineStr"/>
    </row>
    <row r="142">
      <c r="A142" s="9" t="inlineStr">
        <is>
          <t>br-florianopolis</t>
        </is>
      </c>
      <c r="B142" s="9" t="inlineStr">
        <is>
          <t>Florianopolis</t>
        </is>
      </c>
      <c r="C142" s="9" t="inlineStr">
        <is>
          <t>Brazil</t>
        </is>
      </c>
      <c r="D142" s="9" t="inlineStr">
        <is>
          <t>Latin America</t>
        </is>
      </c>
      <c r="E142" s="9" t="inlineStr">
        <is>
          <t>secondary</t>
        </is>
      </c>
      <c r="F142" s="9" t="inlineStr">
        <is>
          <t>provisional</t>
        </is>
      </c>
      <c r="G142" s="10" t="n">
        <v>1799.17</v>
      </c>
      <c r="H142" s="10" t="n">
        <v>404.81</v>
      </c>
      <c r="I142" s="10" t="n">
        <v>97.16</v>
      </c>
      <c r="J142" s="10" t="n">
        <v>64.77</v>
      </c>
      <c r="K142" s="10" t="n">
        <v>24.29</v>
      </c>
      <c r="L142" s="10" t="n">
        <v>356.24</v>
      </c>
      <c r="M142" s="11" t="inlineStr"/>
      <c r="N142" s="10" t="n">
        <v>22.4998</v>
      </c>
      <c r="O142" s="10" t="n">
        <v>75.6164</v>
      </c>
      <c r="P142" s="11">
        <f>IF($O142&lt;&gt;"",$O142,$AO142)</f>
        <v/>
      </c>
      <c r="Q142" s="10" t="n">
        <v>38.86</v>
      </c>
      <c r="R142" s="10" t="n">
        <v>7.59</v>
      </c>
      <c r="S142" s="10" t="n">
        <v>19.28</v>
      </c>
      <c r="T142" s="10" t="inlineStr"/>
      <c r="U142" s="10" t="inlineStr"/>
      <c r="V142" s="10" t="n">
        <v>88.62</v>
      </c>
      <c r="W142" s="10" t="n">
        <v>22.42</v>
      </c>
      <c r="X142" s="9" t="inlineStr"/>
      <c r="Y142" s="10" t="n">
        <v>84</v>
      </c>
      <c r="Z142" s="10" t="n">
        <v>60.39</v>
      </c>
      <c r="AA142" s="10" t="n">
        <v>51.6</v>
      </c>
      <c r="AB142" s="10" t="n">
        <v>48.98</v>
      </c>
      <c r="AC142" s="10" t="n">
        <v>17.54</v>
      </c>
      <c r="AD142" s="10" t="n">
        <v>29.97</v>
      </c>
      <c r="AE142" s="10" t="n">
        <v>5.1</v>
      </c>
      <c r="AF142" s="10" t="n">
        <v>1.15</v>
      </c>
      <c r="AG142" s="10" t="n">
        <v>3.39</v>
      </c>
      <c r="AH142" s="10" t="n">
        <v>2.8</v>
      </c>
      <c r="AI142" s="10" t="inlineStr"/>
      <c r="AJ142" s="11">
        <f>IFERROR(INDEX(Country_Context!$B$2:$B$87,MATCH($C142,Country_Context!$A$2:$A$87,0)),"")</f>
        <v/>
      </c>
      <c r="AK142" s="11">
        <f>IFERROR(INDEX(Country_Context!$C$2:$C$87,MATCH($C142,Country_Context!$A$2:$A$87,0)),"")</f>
        <v/>
      </c>
      <c r="AL142" s="11">
        <f>IFERROR(INDEX(Country_Context!$D$2:$D$87,MATCH($C142,Country_Context!$A$2:$A$87,0)),"")</f>
        <v/>
      </c>
      <c r="AM142" s="11">
        <f>IFERROR(INDEX(Country_Context!$E$2:$E$87,MATCH($C142,Country_Context!$A$2:$A$87,0)),"")</f>
        <v/>
      </c>
      <c r="AN142" s="11">
        <f>IFERROR(INDEX(Country_Context!$F$2:$F$87,MATCH($C142,Country_Context!$A$2:$A$87,0)),"")</f>
        <v/>
      </c>
      <c r="AO142" s="11">
        <f>IFERROR(INDEX(Country_Context!$G$2:$G$87,MATCH($C142,Country_Context!$A$2:$A$87,0)),"")</f>
        <v/>
      </c>
      <c r="AP142" s="12" t="inlineStr">
        <is>
          <t>https://api.worldbank.org/v2/country/BRA/indicator/NY.GNP.PCAP.PP.CD?format=json&amp;mrv=10 | https://data.worldbank.org/indicator/NY.GNP.PCAP.PP.CD | https://ilostat.ilo.org/data/indicator/?id=HOW_TEMP_SEX_ECO_NB_A&amp;ref_area=BRA | +4 more</t>
        </is>
      </c>
      <c r="AQ142" s="12" t="inlineStr">
        <is>
          <t>Tier 3, Tier 4</t>
        </is>
      </c>
      <c r="AR142" s="12" t="inlineStr">
        <is>
          <t>2025-12-31</t>
        </is>
      </c>
      <c r="AS142" s="12" t="inlineStr">
        <is>
          <t>providers=world_bank_col_estimate, derived, ilo_ilostat, who_gho; fields=gross_income, rent, utilities, transit_cost; +9 additional fields</t>
        </is>
      </c>
      <c r="AT142" s="12" t="inlineStr">
        <is>
          <t>https://api.worldbank.org/v2/country/BRA/indicator/VC.IHR.PSRC.P5?format=json&amp;mrv=10 | https://api.worldbank.org/v2/country/BRA/indicator/SH.H2O.SMDW.ZS?format=json&amp;mrv=10 | https://api.worldbank.org/v2/country/BRA/indicator/IT.NET.BBND.P2?format=json&amp;mrv=10</t>
        </is>
      </c>
      <c r="AU142" s="12" t="inlineStr">
        <is>
          <t>Tier 3</t>
        </is>
      </c>
      <c r="AV142" s="12" t="inlineStr">
        <is>
          <t>2024-12-31</t>
        </is>
      </c>
      <c r="AW142" s="12" t="inlineStr">
        <is>
          <t>providers=world_bank; fields=personal_safety_raw, water_sanitation_utility_raw, digital_infrastructure_raw</t>
        </is>
      </c>
      <c r="AX142" s="12" t="inlineStr">
        <is>
          <t>https://www.who.int/data/gho/data/indicators/indicator-details/GHO/UHC_INDEX_REPORTED | https://api.worldbank.org/v2/country/BRA/indicator/SE.TER.ENRR?format=json&amp;mrv=10 | https://api.worldbank.org/v2/country/BRA/indicator/SI.POV.GINI?format=json&amp;mrv=10 | +1 more</t>
        </is>
      </c>
      <c r="AY142" s="12" t="inlineStr">
        <is>
          <t>Tier 3</t>
        </is>
      </c>
      <c r="AZ142" s="12" t="inlineStr">
        <is>
          <t>2023-12-31</t>
        </is>
      </c>
      <c r="BA142" s="12" t="inlineStr">
        <is>
          <t>providers=who_gho, world_bank; fields=healthcare_quality_raw, education_quality_raw, equal_opportunity_raw, gini_coefficient</t>
        </is>
      </c>
      <c r="BB142" s="12" t="inlineStr">
        <is>
          <t>https://api.worldbank.org/v2/country/BRA/indicator/SM.POP.NETM?format=json&amp;mrv=10 | https://api.worldbank.org/v2/country/BRA/indicator/SG.GEN.PARL.ZS?format=json&amp;mrv=10 | https://api.worldbank.org/v2/country/BRA/indicator/ST.INT.ARVL?format=json&amp;mrv=10 | +1 more</t>
        </is>
      </c>
      <c r="BC142" s="12" t="inlineStr">
        <is>
          <t>Tier 3</t>
        </is>
      </c>
      <c r="BD142" s="12" t="inlineStr">
        <is>
          <t>2025-12-31</t>
        </is>
      </c>
      <c r="BE142" s="12" t="inlineStr">
        <is>
          <t>providers=world_bank; fields=hospitality_belonging_raw, tolerance_pluralism_raw, cultural_public_life_raw, birth_rate_optimism_raw</t>
        </is>
      </c>
      <c r="BF142" s="12" t="inlineStr">
        <is>
          <t>https://api.worldbank.org/v2/country/BRA/indicator/IC.BUS.NDNS.ZS?format=json&amp;mrv=10 | https://api.worldbank.org/v2/country/BRA/indicator/GB.XPD.RSDV.GD.ZS?format=json&amp;mrv=10 | https://api.worldbank.org/v2/country/BRA/indicator/BX.KLT.DINV.WD.GD.ZS?format=json&amp;mrv=10 | +3 more</t>
        </is>
      </c>
      <c r="BG142" s="12" t="inlineStr">
        <is>
          <t>Tier 3</t>
        </is>
      </c>
      <c r="BH142" s="12" t="inlineStr">
        <is>
          <t>2024-12-31</t>
        </is>
      </c>
      <c r="BI142" s="12" t="inlineStr">
        <is>
          <t>providers=world_bank; fields=entrepreneurial_dynamism_raw, innovation_research_intensity_raw, investment_signal_raw, administrative_investment_friction_raw; +2 additional fields</t>
        </is>
      </c>
      <c r="BJ142" s="9" t="n">
        <v>1.64</v>
      </c>
    </row>
    <row r="143">
      <c r="A143" s="9" t="inlineStr">
        <is>
          <t>pe-arequipa</t>
        </is>
      </c>
      <c r="B143" s="9" t="inlineStr">
        <is>
          <t>Arequipa</t>
        </is>
      </c>
      <c r="C143" s="9" t="inlineStr">
        <is>
          <t>Peru</t>
        </is>
      </c>
      <c r="D143" s="9" t="inlineStr">
        <is>
          <t>Latin America</t>
        </is>
      </c>
      <c r="E143" s="9" t="inlineStr">
        <is>
          <t>secondary</t>
        </is>
      </c>
      <c r="F143" s="9" t="inlineStr">
        <is>
          <t>provisional</t>
        </is>
      </c>
      <c r="G143" s="10" t="n">
        <v>1398.33</v>
      </c>
      <c r="H143" s="10" t="n">
        <v>262.19</v>
      </c>
      <c r="I143" s="10" t="n">
        <v>62.92</v>
      </c>
      <c r="J143" s="10" t="n">
        <v>41.95</v>
      </c>
      <c r="K143" s="10" t="n">
        <v>15.73</v>
      </c>
      <c r="L143" s="10" t="n">
        <v>230.72</v>
      </c>
      <c r="M143" s="11" t="inlineStr"/>
      <c r="N143" s="10" t="n">
        <v>18.7502</v>
      </c>
      <c r="O143" s="10" t="n">
        <v>45.668</v>
      </c>
      <c r="P143" s="11">
        <f>IF($O143&lt;&gt;"",$O143,$AO143)</f>
        <v/>
      </c>
      <c r="Q143" s="10" t="n">
        <v>39.67</v>
      </c>
      <c r="R143" s="10" t="n">
        <v>1.54</v>
      </c>
      <c r="S143" s="10" t="n">
        <v>8.6</v>
      </c>
      <c r="T143" s="10" t="inlineStr"/>
      <c r="U143" s="10" t="inlineStr"/>
      <c r="V143" s="10" t="n">
        <v>49.43</v>
      </c>
      <c r="W143" s="10" t="n">
        <v>10.44</v>
      </c>
      <c r="X143" s="9" t="inlineStr"/>
      <c r="Y143" s="10" t="n">
        <v>68</v>
      </c>
      <c r="Z143" s="10" t="inlineStr"/>
      <c r="AA143" s="10" t="n">
        <v>40.1</v>
      </c>
      <c r="AB143" s="10" t="n">
        <v>50.35</v>
      </c>
      <c r="AC143" s="10" t="n">
        <v>38.46</v>
      </c>
      <c r="AD143" s="10" t="n">
        <v>32.7</v>
      </c>
      <c r="AE143" s="10" t="n">
        <v>4.69</v>
      </c>
      <c r="AF143" s="10" t="n">
        <v>0.16</v>
      </c>
      <c r="AG143" s="10" t="n">
        <v>2.35</v>
      </c>
      <c r="AH143" s="10" t="n">
        <v>2.21</v>
      </c>
      <c r="AI143" s="10" t="inlineStr"/>
      <c r="AJ143" s="11">
        <f>IFERROR(INDEX(Country_Context!$B$2:$B$87,MATCH($C143,Country_Context!$A$2:$A$87,0)),"")</f>
        <v/>
      </c>
      <c r="AK143" s="11">
        <f>IFERROR(INDEX(Country_Context!$C$2:$C$87,MATCH($C143,Country_Context!$A$2:$A$87,0)),"")</f>
        <v/>
      </c>
      <c r="AL143" s="11">
        <f>IFERROR(INDEX(Country_Context!$D$2:$D$87,MATCH($C143,Country_Context!$A$2:$A$87,0)),"")</f>
        <v/>
      </c>
      <c r="AM143" s="11">
        <f>IFERROR(INDEX(Country_Context!$E$2:$E$87,MATCH($C143,Country_Context!$A$2:$A$87,0)),"")</f>
        <v/>
      </c>
      <c r="AN143" s="11">
        <f>IFERROR(INDEX(Country_Context!$F$2:$F$87,MATCH($C143,Country_Context!$A$2:$A$87,0)),"")</f>
        <v/>
      </c>
      <c r="AO143" s="11">
        <f>IFERROR(INDEX(Country_Context!$G$2:$G$87,MATCH($C143,Country_Context!$A$2:$A$87,0)),"")</f>
        <v/>
      </c>
      <c r="AP143" s="12" t="inlineStr">
        <is>
          <t>https://api.worldbank.org/v2/country/PER/indicator/NY.GNP.PCAP.PP.CD?format=json&amp;mrv=10 | https://data.worldbank.org/indicator/NY.GNP.PCAP.PP.CD | https://ilostat.ilo.org/data/indicator/?id=HOW_TEMP_SEX_ECO_NB_A&amp;ref_area=PER | +4 more</t>
        </is>
      </c>
      <c r="AQ143" s="12" t="inlineStr">
        <is>
          <t>Tier 3, Tier 4</t>
        </is>
      </c>
      <c r="AR143" s="12" t="inlineStr">
        <is>
          <t>2025-12-31</t>
        </is>
      </c>
      <c r="AS143" s="12" t="inlineStr">
        <is>
          <t>providers=world_bank_col_estimate, derived, ilo_ilostat, who_gho; fields=gross_income, rent, utilities, transit_cost; +9 additional fields</t>
        </is>
      </c>
      <c r="AT143" s="12" t="inlineStr">
        <is>
          <t>https://api.worldbank.org/v2/country/PER/indicator/VC.IHR.PSRC.P5?format=json&amp;mrv=10 | https://api.worldbank.org/v2/country/PER/indicator/SH.H2O.SMDW.ZS?format=json&amp;mrv=10 | https://api.worldbank.org/v2/country/PER/indicator/IT.NET.BBND.P2?format=json&amp;mrv=10</t>
        </is>
      </c>
      <c r="AU143" s="12" t="inlineStr">
        <is>
          <t>Tier 3</t>
        </is>
      </c>
      <c r="AV143" s="12" t="inlineStr">
        <is>
          <t>2024-12-31</t>
        </is>
      </c>
      <c r="AW143" s="12" t="inlineStr">
        <is>
          <t>providers=world_bank; fields=personal_safety_raw, water_sanitation_utility_raw, digital_infrastructure_raw</t>
        </is>
      </c>
      <c r="AX143" s="12" t="inlineStr">
        <is>
          <t>https://www.who.int/data/gho/data/indicators/indicator-details/GHO/UHC_INDEX_REPORTED | https://api.worldbank.org/v2/country/PER/indicator/SI.POV.GINI?format=json&amp;mrv=10 | https://api.worldbank.org/v2/country/PER/indicator/SI.POV.GINI?format=json&amp;mrv=30</t>
        </is>
      </c>
      <c r="AY143" s="12" t="inlineStr">
        <is>
          <t>Tier 3</t>
        </is>
      </c>
      <c r="AZ143" s="12" t="inlineStr">
        <is>
          <t>2024-12-31</t>
        </is>
      </c>
      <c r="BA143" s="12" t="inlineStr">
        <is>
          <t>providers=who_gho, world_bank; fields=healthcare_quality_raw, equal_opportunity_raw, gini_coefficient</t>
        </is>
      </c>
      <c r="BB143" s="12" t="inlineStr">
        <is>
          <t>https://api.worldbank.org/v2/country/PER/indicator/SM.POP.NETM?format=json&amp;mrv=10 | https://api.worldbank.org/v2/country/PER/indicator/SG.GEN.PARL.ZS?format=json&amp;mrv=10 | https://api.worldbank.org/v2/country/PER/indicator/ST.INT.ARVL?format=json&amp;mrv=10</t>
        </is>
      </c>
      <c r="BC143" s="12" t="inlineStr">
        <is>
          <t>Tier 3</t>
        </is>
      </c>
      <c r="BD143" s="12" t="inlineStr">
        <is>
          <t>2025-12-31</t>
        </is>
      </c>
      <c r="BE143" s="12" t="inlineStr">
        <is>
          <t>providers=world_bank; fields=hospitality_belonging_raw, tolerance_pluralism_raw, cultural_public_life_raw</t>
        </is>
      </c>
      <c r="BF143" s="12" t="inlineStr">
        <is>
          <t>https://api.worldbank.org/v2/country/PER/indicator/IC.BUS.NDNS.ZS?format=json&amp;mrv=10 | https://api.worldbank.org/v2/country/PER/indicator/GB.XPD.RSDV.GD.ZS?format=json&amp;mrv=10 | https://api.worldbank.org/v2/country/PER/indicator/BX.KLT.DINV.WD.GD.ZS?format=json&amp;mrv=10 | +3 more</t>
        </is>
      </c>
      <c r="BG143" s="12" t="inlineStr">
        <is>
          <t>Tier 3</t>
        </is>
      </c>
      <c r="BH143" s="12" t="inlineStr">
        <is>
          <t>2024-12-31</t>
        </is>
      </c>
      <c r="BI143" s="12" t="inlineStr">
        <is>
          <t>providers=world_bank; fields=entrepreneurial_dynamism_raw, innovation_research_intensity_raw, investment_signal_raw, administrative_investment_friction_raw; +2 additional fields</t>
        </is>
      </c>
      <c r="BJ143" s="9" t="inlineStr"/>
    </row>
    <row r="144">
      <c r="A144" s="9" t="inlineStr">
        <is>
          <t>ec-cuenca</t>
        </is>
      </c>
      <c r="B144" s="9" t="inlineStr">
        <is>
          <t>Cuenca</t>
        </is>
      </c>
      <c r="C144" s="9" t="inlineStr">
        <is>
          <t>Ecuador</t>
        </is>
      </c>
      <c r="D144" s="9" t="inlineStr">
        <is>
          <t>Latin America</t>
        </is>
      </c>
      <c r="E144" s="9" t="inlineStr">
        <is>
          <t>secondary</t>
        </is>
      </c>
      <c r="F144" s="9" t="inlineStr">
        <is>
          <t>provisional</t>
        </is>
      </c>
      <c r="G144" s="10" t="n">
        <v>1284.17</v>
      </c>
      <c r="H144" s="10" t="n">
        <v>240.78</v>
      </c>
      <c r="I144" s="10" t="n">
        <v>57.79</v>
      </c>
      <c r="J144" s="10" t="n">
        <v>38.53</v>
      </c>
      <c r="K144" s="10" t="n">
        <v>14.45</v>
      </c>
      <c r="L144" s="10" t="n">
        <v>211.89</v>
      </c>
      <c r="M144" s="11" t="inlineStr"/>
      <c r="N144" s="10" t="n">
        <v>18.7499</v>
      </c>
      <c r="O144" s="10" t="inlineStr"/>
      <c r="P144" s="11">
        <f>IF($O144&lt;&gt;"",$O144,$AO144)</f>
        <v/>
      </c>
      <c r="Q144" s="10" t="inlineStr"/>
      <c r="R144" s="10" t="inlineStr"/>
      <c r="S144" s="10" t="inlineStr"/>
      <c r="T144" s="10" t="inlineStr"/>
      <c r="U144" s="10" t="inlineStr"/>
      <c r="V144" s="10" t="inlineStr"/>
      <c r="W144" s="10" t="inlineStr"/>
      <c r="X144" s="9" t="inlineStr"/>
      <c r="Y144" s="10" t="inlineStr"/>
      <c r="Z144" s="10" t="inlineStr"/>
      <c r="AA144" s="10" t="n">
        <v>45.2</v>
      </c>
      <c r="AB144" s="10" t="inlineStr"/>
      <c r="AC144" s="10" t="inlineStr"/>
      <c r="AD144" s="10" t="inlineStr"/>
      <c r="AE144" s="10" t="inlineStr"/>
      <c r="AF144" s="10" t="inlineStr"/>
      <c r="AG144" s="10" t="n">
        <v>0.36</v>
      </c>
      <c r="AH144" s="10" t="n">
        <v>3.22</v>
      </c>
      <c r="AI144" s="10" t="inlineStr"/>
      <c r="AJ144" s="11">
        <f>IFERROR(INDEX(Country_Context!$B$2:$B$87,MATCH($C144,Country_Context!$A$2:$A$87,0)),"")</f>
        <v/>
      </c>
      <c r="AK144" s="11">
        <f>IFERROR(INDEX(Country_Context!$C$2:$C$87,MATCH($C144,Country_Context!$A$2:$A$87,0)),"")</f>
        <v/>
      </c>
      <c r="AL144" s="11">
        <f>IFERROR(INDEX(Country_Context!$D$2:$D$87,MATCH($C144,Country_Context!$A$2:$A$87,0)),"")</f>
        <v/>
      </c>
      <c r="AM144" s="11">
        <f>IFERROR(INDEX(Country_Context!$E$2:$E$87,MATCH($C144,Country_Context!$A$2:$A$87,0)),"")</f>
        <v/>
      </c>
      <c r="AN144" s="11">
        <f>IFERROR(INDEX(Country_Context!$F$2:$F$87,MATCH($C144,Country_Context!$A$2:$A$87,0)),"")</f>
        <v/>
      </c>
      <c r="AO144" s="11">
        <f>IFERROR(INDEX(Country_Context!$G$2:$G$87,MATCH($C144,Country_Context!$A$2:$A$87,0)),"")</f>
        <v/>
      </c>
      <c r="AP144" s="12" t="inlineStr">
        <is>
          <t>https://api.worldbank.org/v2/country/ECU/indicator/NY.GNP.PCAP.PP.CD?format=json&amp;mrv=10 | https://data.worldbank.org/indicator/NY.GNP.PCAP.PP.CD</t>
        </is>
      </c>
      <c r="AQ144" s="12" t="inlineStr">
        <is>
          <t>Tier 4</t>
        </is>
      </c>
      <c r="AR144" s="12" t="inlineStr">
        <is>
          <t>2024-12-31</t>
        </is>
      </c>
      <c r="AS144" s="12" t="inlineStr">
        <is>
          <t>providers=world_bank_col_estimate, derived; fields=gross_income, rent, utilities, transit_cost; +3 additional fields</t>
        </is>
      </c>
      <c r="AT144" s="12" t="inlineStr"/>
      <c r="AU144" s="12" t="inlineStr"/>
      <c r="AV144" s="12" t="inlineStr"/>
      <c r="AW144" s="12" t="inlineStr"/>
      <c r="AX144" s="12" t="inlineStr">
        <is>
          <t>https://api.worldbank.org/v2/country/ECU/indicator/SI.POV.GINI?format=json&amp;mrv=10</t>
        </is>
      </c>
      <c r="AY144" s="12" t="inlineStr">
        <is>
          <t>Tier 3</t>
        </is>
      </c>
      <c r="AZ144" s="12" t="inlineStr">
        <is>
          <t>2024-12-31</t>
        </is>
      </c>
      <c r="BA144" s="12" t="inlineStr">
        <is>
          <t>providers=world_bank; fields=equal_opportunity_raw</t>
        </is>
      </c>
      <c r="BB144" s="12" t="inlineStr"/>
      <c r="BC144" s="12" t="inlineStr"/>
      <c r="BD144" s="12" t="inlineStr"/>
      <c r="BE144" s="12" t="inlineStr"/>
      <c r="BF144" s="12" t="inlineStr">
        <is>
          <t>https://api.worldbank.org/v2/country/ECU/indicator/BX.KLT.DINV.WD.GD.ZS?format=json&amp;mrv=10 | https://api.worldbank.org/v2/country/ECU/indicator/RQ.EST?format=json&amp;mrv=10</t>
        </is>
      </c>
      <c r="BG144" s="12" t="inlineStr">
        <is>
          <t>Tier 3</t>
        </is>
      </c>
      <c r="BH144" s="12" t="inlineStr">
        <is>
          <t>2024-12-31</t>
        </is>
      </c>
      <c r="BI144" s="12" t="inlineStr">
        <is>
          <t>providers=world_bank; fields=investment_signal_raw, administrative_investment_friction_raw</t>
        </is>
      </c>
      <c r="BJ144" s="9" t="inlineStr"/>
    </row>
    <row r="145">
      <c r="A145" s="9" t="inlineStr">
        <is>
          <t>py-asuncion</t>
        </is>
      </c>
      <c r="B145" s="9" t="inlineStr">
        <is>
          <t>Asuncion</t>
        </is>
      </c>
      <c r="C145" s="9" t="inlineStr">
        <is>
          <t>Paraguay</t>
        </is>
      </c>
      <c r="D145" s="9" t="inlineStr">
        <is>
          <t>Latin America</t>
        </is>
      </c>
      <c r="E145" s="9" t="inlineStr">
        <is>
          <t>primary</t>
        </is>
      </c>
      <c r="F145" s="9" t="inlineStr">
        <is>
          <t>provisional</t>
        </is>
      </c>
      <c r="G145" s="10" t="n">
        <v>1494.17</v>
      </c>
      <c r="H145" s="10" t="n">
        <v>317.51</v>
      </c>
      <c r="I145" s="10" t="n">
        <v>76.2</v>
      </c>
      <c r="J145" s="10" t="n">
        <v>50.8</v>
      </c>
      <c r="K145" s="10" t="n">
        <v>19.05</v>
      </c>
      <c r="L145" s="10" t="n">
        <v>279.41</v>
      </c>
      <c r="M145" s="11" t="inlineStr"/>
      <c r="N145" s="10" t="n">
        <v>21.2499</v>
      </c>
      <c r="O145" s="10" t="inlineStr"/>
      <c r="P145" s="11">
        <f>IF($O145&lt;&gt;"",$O145,$AO145)</f>
        <v/>
      </c>
      <c r="Q145" s="10" t="inlineStr"/>
      <c r="R145" s="10" t="inlineStr"/>
      <c r="S145" s="10" t="inlineStr"/>
      <c r="T145" s="10" t="inlineStr"/>
      <c r="U145" s="10" t="inlineStr"/>
      <c r="V145" s="10" t="inlineStr"/>
      <c r="W145" s="10" t="inlineStr"/>
      <c r="X145" s="9" t="inlineStr"/>
      <c r="Y145" s="10" t="inlineStr"/>
      <c r="Z145" s="10" t="inlineStr"/>
      <c r="AA145" s="10" t="n">
        <v>44.2</v>
      </c>
      <c r="AB145" s="10" t="inlineStr"/>
      <c r="AC145" s="10" t="inlineStr"/>
      <c r="AD145" s="10" t="inlineStr"/>
      <c r="AE145" s="10" t="n">
        <v>0.7</v>
      </c>
      <c r="AF145" s="10" t="n">
        <v>0.12</v>
      </c>
      <c r="AG145" s="10" t="n">
        <v>2.47</v>
      </c>
      <c r="AH145" s="10" t="n">
        <v>2.58</v>
      </c>
      <c r="AI145" s="10" t="inlineStr"/>
      <c r="AJ145" s="11">
        <f>IFERROR(INDEX(Country_Context!$B$2:$B$87,MATCH($C145,Country_Context!$A$2:$A$87,0)),"")</f>
        <v/>
      </c>
      <c r="AK145" s="11">
        <f>IFERROR(INDEX(Country_Context!$C$2:$C$87,MATCH($C145,Country_Context!$A$2:$A$87,0)),"")</f>
        <v/>
      </c>
      <c r="AL145" s="11">
        <f>IFERROR(INDEX(Country_Context!$D$2:$D$87,MATCH($C145,Country_Context!$A$2:$A$87,0)),"")</f>
        <v/>
      </c>
      <c r="AM145" s="11">
        <f>IFERROR(INDEX(Country_Context!$E$2:$E$87,MATCH($C145,Country_Context!$A$2:$A$87,0)),"")</f>
        <v/>
      </c>
      <c r="AN145" s="11">
        <f>IFERROR(INDEX(Country_Context!$F$2:$F$87,MATCH($C145,Country_Context!$A$2:$A$87,0)),"")</f>
        <v/>
      </c>
      <c r="AO145" s="11">
        <f>IFERROR(INDEX(Country_Context!$G$2:$G$87,MATCH($C145,Country_Context!$A$2:$A$87,0)),"")</f>
        <v/>
      </c>
      <c r="AP145" s="12" t="inlineStr">
        <is>
          <t>https://api.worldbank.org/v2/country/PRY/indicator/NY.GNP.PCAP.PP.CD?format=json&amp;mrv=10 | https://data.worldbank.org/indicator/NY.GNP.PCAP.PP.CD</t>
        </is>
      </c>
      <c r="AQ145" s="12" t="inlineStr">
        <is>
          <t>Tier 4</t>
        </is>
      </c>
      <c r="AR145" s="12" t="inlineStr">
        <is>
          <t>2024-12-31</t>
        </is>
      </c>
      <c r="AS145" s="12" t="inlineStr">
        <is>
          <t>providers=world_bank_col_estimate, derived; fields=gross_income, rent, utilities, transit_cost; +3 additional fields</t>
        </is>
      </c>
      <c r="AT145" s="12" t="inlineStr"/>
      <c r="AU145" s="12" t="inlineStr"/>
      <c r="AV145" s="12" t="inlineStr"/>
      <c r="AW145" s="12" t="inlineStr"/>
      <c r="AX145" s="12" t="inlineStr">
        <is>
          <t>https://api.worldbank.org/v2/country/PRY/indicator/SI.POV.GINI?format=json&amp;mrv=10</t>
        </is>
      </c>
      <c r="AY145" s="12" t="inlineStr">
        <is>
          <t>Tier 3</t>
        </is>
      </c>
      <c r="AZ145" s="12" t="inlineStr">
        <is>
          <t>2024-12-31</t>
        </is>
      </c>
      <c r="BA145" s="12" t="inlineStr">
        <is>
          <t>providers=world_bank; fields=equal_opportunity_raw</t>
        </is>
      </c>
      <c r="BB145" s="12" t="inlineStr"/>
      <c r="BC145" s="12" t="inlineStr"/>
      <c r="BD145" s="12" t="inlineStr"/>
      <c r="BE145" s="12" t="inlineStr"/>
      <c r="BF145" s="12" t="inlineStr">
        <is>
          <t>https://api.worldbank.org/v2/country/PRY/indicator/IC.BUS.NDNS.ZS?format=json&amp;mrv=10 | https://api.worldbank.org/v2/country/PRY/indicator/GB.XPD.RSDV.GD.ZS?format=json&amp;mrv=10 | https://api.worldbank.org/v2/country/PRY/indicator/BX.KLT.DINV.WD.GD.ZS?format=json&amp;mrv=10 | +1 more</t>
        </is>
      </c>
      <c r="BG145" s="12" t="inlineStr">
        <is>
          <t>Tier 3</t>
        </is>
      </c>
      <c r="BH145" s="12" t="inlineStr">
        <is>
          <t>2024-12-31</t>
        </is>
      </c>
      <c r="BI145" s="12" t="inlineStr">
        <is>
          <t>providers=world_bank; fields=entrepreneurial_dynamism_raw, innovation_research_intensity_raw, investment_signal_raw, administrative_investment_friction_raw</t>
        </is>
      </c>
      <c r="BJ145" s="9" t="inlineStr"/>
    </row>
    <row r="146">
      <c r="A146" s="9" t="inlineStr">
        <is>
          <t>il-haifa</t>
        </is>
      </c>
      <c r="B146" s="9" t="inlineStr">
        <is>
          <t>Haifa</t>
        </is>
      </c>
      <c r="C146" s="9" t="inlineStr">
        <is>
          <t>Israel</t>
        </is>
      </c>
      <c r="D146" s="9" t="inlineStr">
        <is>
          <t>Middle East</t>
        </is>
      </c>
      <c r="E146" s="9" t="inlineStr">
        <is>
          <t>secondary</t>
        </is>
      </c>
      <c r="F146" s="9" t="inlineStr">
        <is>
          <t>provisional</t>
        </is>
      </c>
      <c r="G146" s="10" t="n">
        <v>4732.5</v>
      </c>
      <c r="H146" s="10" t="n">
        <v>1064.81</v>
      </c>
      <c r="I146" s="10" t="n">
        <v>212.96</v>
      </c>
      <c r="J146" s="10" t="n">
        <v>170.37</v>
      </c>
      <c r="K146" s="10" t="n">
        <v>63.89</v>
      </c>
      <c r="L146" s="10" t="n">
        <v>766.67</v>
      </c>
      <c r="M146" s="11" t="inlineStr"/>
      <c r="N146" s="10" t="n">
        <v>22.4999</v>
      </c>
      <c r="O146" s="10" t="n">
        <v>69.7497</v>
      </c>
      <c r="P146" s="11">
        <f>IF($O146&lt;&gt;"",$O146,$AO146)</f>
        <v/>
      </c>
      <c r="Q146" s="10" t="n">
        <v>37.74</v>
      </c>
      <c r="R146" s="10" t="n">
        <v>4.37</v>
      </c>
      <c r="S146" s="10" t="n">
        <v>1.63</v>
      </c>
      <c r="T146" s="10" t="inlineStr"/>
      <c r="U146" s="10" t="inlineStr"/>
      <c r="V146" s="10" t="n">
        <v>99.45999999999999</v>
      </c>
      <c r="W146" s="10" t="n">
        <v>29.44</v>
      </c>
      <c r="X146" s="9" t="n">
        <v>70</v>
      </c>
      <c r="Y146" s="10" t="n">
        <v>85</v>
      </c>
      <c r="Z146" s="10" t="n">
        <v>55.84</v>
      </c>
      <c r="AA146" s="10" t="n">
        <v>37.9</v>
      </c>
      <c r="AB146" s="10" t="n">
        <v>51.15</v>
      </c>
      <c r="AC146" s="10" t="n">
        <v>25</v>
      </c>
      <c r="AD146" s="10" t="n">
        <v>491.76</v>
      </c>
      <c r="AE146" s="10" t="n">
        <v>3.06</v>
      </c>
      <c r="AF146" s="10" t="n">
        <v>6.02</v>
      </c>
      <c r="AG146" s="10" t="n">
        <v>2.73</v>
      </c>
      <c r="AH146" s="10" t="n">
        <v>1.38</v>
      </c>
      <c r="AI146" s="10" t="inlineStr"/>
      <c r="AJ146" s="11">
        <f>IFERROR(INDEX(Country_Context!$B$2:$B$87,MATCH($C146,Country_Context!$A$2:$A$87,0)),"")</f>
        <v/>
      </c>
      <c r="AK146" s="11">
        <f>IFERROR(INDEX(Country_Context!$C$2:$C$87,MATCH($C146,Country_Context!$A$2:$A$87,0)),"")</f>
        <v/>
      </c>
      <c r="AL146" s="11">
        <f>IFERROR(INDEX(Country_Context!$D$2:$D$87,MATCH($C146,Country_Context!$A$2:$A$87,0)),"")</f>
        <v/>
      </c>
      <c r="AM146" s="11">
        <f>IFERROR(INDEX(Country_Context!$E$2:$E$87,MATCH($C146,Country_Context!$A$2:$A$87,0)),"")</f>
        <v/>
      </c>
      <c r="AN146" s="11">
        <f>IFERROR(INDEX(Country_Context!$F$2:$F$87,MATCH($C146,Country_Context!$A$2:$A$87,0)),"")</f>
        <v/>
      </c>
      <c r="AO146" s="11">
        <f>IFERROR(INDEX(Country_Context!$G$2:$G$87,MATCH($C146,Country_Context!$A$2:$A$87,0)),"")</f>
        <v/>
      </c>
      <c r="AP146" s="12" t="inlineStr">
        <is>
          <t>https://api.worldbank.org/v2/country/ISR/indicator/NY.GNP.PCAP.PP.CD?format=json&amp;mrv=10 | https://data.worldbank.org/indicator/NY.GNP.PCAP.PP.CD | https://ilostat.ilo.org/data/indicator/?id=HOW_TEMP_SEX_ECO_NB_A&amp;ref_area=ISR | +4 more</t>
        </is>
      </c>
      <c r="AQ146" s="12" t="inlineStr">
        <is>
          <t>Tier 3, Tier 4</t>
        </is>
      </c>
      <c r="AR146" s="12" t="inlineStr">
        <is>
          <t>2024-12-31</t>
        </is>
      </c>
      <c r="AS146" s="12" t="inlineStr">
        <is>
          <t>providers=world_bank_col_estimate, derived, ilo_ilostat, who_gho; fields=gross_income, rent, utilities, transit_cost; +9 additional fields</t>
        </is>
      </c>
      <c r="AT146" s="12" t="inlineStr">
        <is>
          <t>https://api.worldbank.org/v2/country/ISR/indicator/VC.IHR.PSRC.P5?format=json&amp;mrv=10 | https://api.worldbank.org/v2/country/ISR/indicator/SH.H2O.SMDW.ZS?format=json&amp;mrv=10 | https://api.worldbank.org/v2/country/ISR/indicator/IT.NET.BBND.P2?format=json&amp;mrv=10 | +1 more</t>
        </is>
      </c>
      <c r="AU146" s="12" t="inlineStr">
        <is>
          <t>Tier 3</t>
        </is>
      </c>
      <c r="AV146" s="12" t="inlineStr">
        <is>
          <t>2024-12-31</t>
        </is>
      </c>
      <c r="AW146" s="12" t="inlineStr">
        <is>
          <t>providers=world_bank, wmo_natl_met; fields=personal_safety_raw, water_sanitation_utility_raw, digital_infrastructure_raw, climate_sunlight_livability_raw</t>
        </is>
      </c>
      <c r="AX146" s="12" t="inlineStr">
        <is>
          <t>https://www.who.int/data/gho/data/indicators/indicator-details/GHO/UHC_INDEX_REPORTED | https://api.worldbank.org/v2/country/ISR/indicator/SE.TER.ENRR?format=json&amp;mrv=10 | https://api.worldbank.org/v2/country/ISR/indicator/SI.POV.GINI?format=json&amp;mrv=10 | +1 more</t>
        </is>
      </c>
      <c r="AY146" s="12" t="inlineStr">
        <is>
          <t>Tier 3</t>
        </is>
      </c>
      <c r="AZ146" s="12" t="inlineStr">
        <is>
          <t>2023-12-31</t>
        </is>
      </c>
      <c r="BA146" s="12" t="inlineStr">
        <is>
          <t>providers=who_gho, world_bank; fields=healthcare_quality_raw, education_quality_raw, equal_opportunity_raw, gini_coefficient</t>
        </is>
      </c>
      <c r="BB146" s="12" t="inlineStr">
        <is>
          <t>https://api.worldbank.org/v2/country/ISR/indicator/SM.POP.NETM?format=json&amp;mrv=10 | https://api.worldbank.org/v2/country/ISR/indicator/SG.GEN.PARL.ZS?format=json&amp;mrv=10 | https://api.worldbank.org/v2/country/ISR/indicator/ST.INT.ARVL?format=json&amp;mrv=10 | +1 more</t>
        </is>
      </c>
      <c r="BC146" s="12" t="inlineStr">
        <is>
          <t>Tier 3</t>
        </is>
      </c>
      <c r="BD146" s="12" t="inlineStr">
        <is>
          <t>2025-12-31</t>
        </is>
      </c>
      <c r="BE146" s="12" t="inlineStr">
        <is>
          <t>providers=world_bank; fields=hospitality_belonging_raw, tolerance_pluralism_raw, cultural_public_life_raw, birth_rate_optimism_raw</t>
        </is>
      </c>
      <c r="BF146" s="12" t="inlineStr">
        <is>
          <t>https://api.worldbank.org/v2/country/ISR/indicator/IC.BUS.NDNS.ZS?format=json&amp;mrv=10 | https://api.worldbank.org/v2/country/ISR/indicator/GB.XPD.RSDV.GD.ZS?format=json&amp;mrv=10 | https://api.worldbank.org/v2/country/ISR/indicator/BX.KLT.DINV.WD.GD.ZS?format=json&amp;mrv=10 | +3 more</t>
        </is>
      </c>
      <c r="BG146" s="12" t="inlineStr">
        <is>
          <t>Tier 3</t>
        </is>
      </c>
      <c r="BH146" s="12" t="inlineStr">
        <is>
          <t>2024-12-31</t>
        </is>
      </c>
      <c r="BI146" s="12" t="inlineStr">
        <is>
          <t>providers=world_bank; fields=entrepreneurial_dynamism_raw, innovation_research_intensity_raw, investment_signal_raw, administrative_investment_friction_raw; +2 additional fields</t>
        </is>
      </c>
      <c r="BJ146" s="9" t="n">
        <v>2.9</v>
      </c>
    </row>
    <row r="147">
      <c r="A147" s="9" t="inlineStr">
        <is>
          <t>om-salalah</t>
        </is>
      </c>
      <c r="B147" s="9" t="inlineStr">
        <is>
          <t>Salalah</t>
        </is>
      </c>
      <c r="C147" s="9" t="inlineStr">
        <is>
          <t>Oman</t>
        </is>
      </c>
      <c r="D147" s="9" t="inlineStr">
        <is>
          <t>Middle East</t>
        </is>
      </c>
      <c r="E147" s="9" t="inlineStr">
        <is>
          <t>secondary</t>
        </is>
      </c>
      <c r="F147" s="9" t="inlineStr">
        <is>
          <t>provisional</t>
        </is>
      </c>
      <c r="G147" s="10" t="n">
        <v>3278.33</v>
      </c>
      <c r="H147" s="10" t="n">
        <v>614.6900000000001</v>
      </c>
      <c r="I147" s="10" t="n">
        <v>122.94</v>
      </c>
      <c r="J147" s="10" t="n">
        <v>98.34999999999999</v>
      </c>
      <c r="K147" s="10" t="n">
        <v>36.88</v>
      </c>
      <c r="L147" s="10" t="n">
        <v>442.57</v>
      </c>
      <c r="M147" s="11" t="inlineStr"/>
      <c r="N147" s="10" t="n">
        <v>18.7501</v>
      </c>
      <c r="O147" s="10" t="n">
        <v>59.7083</v>
      </c>
      <c r="P147" s="11">
        <f>IF($O147&lt;&gt;"",$O147,$AO147)</f>
        <v/>
      </c>
      <c r="Q147" s="10" t="inlineStr"/>
      <c r="R147" s="10" t="n">
        <v>0.91</v>
      </c>
      <c r="S147" s="10" t="n">
        <v>0.14</v>
      </c>
      <c r="T147" s="10" t="inlineStr"/>
      <c r="U147" s="10" t="inlineStr"/>
      <c r="V147" s="10" t="n">
        <v>91.09999999999999</v>
      </c>
      <c r="W147" s="10" t="n">
        <v>10.88</v>
      </c>
      <c r="X147" s="9" t="inlineStr"/>
      <c r="Y147" s="10" t="n">
        <v>73</v>
      </c>
      <c r="Z147" s="10" t="n">
        <v>43.84</v>
      </c>
      <c r="AA147" s="10" t="inlineStr"/>
      <c r="AB147" s="10" t="n">
        <v>71.53</v>
      </c>
      <c r="AC147" s="10" t="n">
        <v>0</v>
      </c>
      <c r="AD147" s="10" t="n">
        <v>164.54</v>
      </c>
      <c r="AE147" s="10" t="n">
        <v>1.78</v>
      </c>
      <c r="AF147" s="10" t="n">
        <v>0.37</v>
      </c>
      <c r="AG147" s="10" t="n">
        <v>11.64</v>
      </c>
      <c r="AH147" s="10" t="n">
        <v>2.07</v>
      </c>
      <c r="AI147" s="10" t="inlineStr"/>
      <c r="AJ147" s="11">
        <f>IFERROR(INDEX(Country_Context!$B$2:$B$87,MATCH($C147,Country_Context!$A$2:$A$87,0)),"")</f>
        <v/>
      </c>
      <c r="AK147" s="11">
        <f>IFERROR(INDEX(Country_Context!$C$2:$C$87,MATCH($C147,Country_Context!$A$2:$A$87,0)),"")</f>
        <v/>
      </c>
      <c r="AL147" s="11">
        <f>IFERROR(INDEX(Country_Context!$D$2:$D$87,MATCH($C147,Country_Context!$A$2:$A$87,0)),"")</f>
        <v/>
      </c>
      <c r="AM147" s="11">
        <f>IFERROR(INDEX(Country_Context!$E$2:$E$87,MATCH($C147,Country_Context!$A$2:$A$87,0)),"")</f>
        <v/>
      </c>
      <c r="AN147" s="11">
        <f>IFERROR(INDEX(Country_Context!$F$2:$F$87,MATCH($C147,Country_Context!$A$2:$A$87,0)),"")</f>
        <v/>
      </c>
      <c r="AO147" s="11">
        <f>IFERROR(INDEX(Country_Context!$G$2:$G$87,MATCH($C147,Country_Context!$A$2:$A$87,0)),"")</f>
        <v/>
      </c>
      <c r="AP147" s="12" t="inlineStr">
        <is>
          <t>https://api.worldbank.org/v2/country/OMN/indicator/NY.GNP.PCAP.PP.CD?format=json&amp;mrv=10 | https://data.worldbank.org/indicator/NY.GNP.PCAP.PP.CD | https://www.who.int/data/gho/data/indicators/indicator-details/GHO/SDGSUICIDE | +2 more</t>
        </is>
      </c>
      <c r="AQ147" s="12" t="inlineStr">
        <is>
          <t>Tier 3, Tier 4</t>
        </is>
      </c>
      <c r="AR147" s="12" t="inlineStr">
        <is>
          <t>2024-12-31</t>
        </is>
      </c>
      <c r="AS147" s="12" t="inlineStr">
        <is>
          <t>providers=world_bank_col_estimate, derived, who_gho, world_bank; fields=gross_income, rent, utilities, transit_cost; +7 additional fields</t>
        </is>
      </c>
      <c r="AT147" s="12" t="inlineStr">
        <is>
          <t>https://api.worldbank.org/v2/country/OMN/indicator/VC.IHR.PSRC.P5?format=json&amp;mrv=10 | https://api.worldbank.org/v2/country/OMN/indicator/SH.H2O.SMDW.ZS?format=json&amp;mrv=10 | https://api.worldbank.org/v2/country/OMN/indicator/IT.NET.BBND.P2?format=json&amp;mrv=10</t>
        </is>
      </c>
      <c r="AU147" s="12" t="inlineStr">
        <is>
          <t>Tier 3</t>
        </is>
      </c>
      <c r="AV147" s="12" t="inlineStr">
        <is>
          <t>2024-12-31</t>
        </is>
      </c>
      <c r="AW147" s="12" t="inlineStr">
        <is>
          <t>providers=world_bank; fields=personal_safety_raw, water_sanitation_utility_raw, digital_infrastructure_raw</t>
        </is>
      </c>
      <c r="AX147" s="12" t="inlineStr">
        <is>
          <t>https://www.who.int/data/gho/data/indicators/indicator-details/GHO/UHC_INDEX_REPORTED | https://api.worldbank.org/v2/country/OMN/indicator/SE.TER.ENRR?format=json&amp;mrv=10</t>
        </is>
      </c>
      <c r="AY147" s="12" t="inlineStr">
        <is>
          <t>Tier 3</t>
        </is>
      </c>
      <c r="AZ147" s="12" t="inlineStr">
        <is>
          <t>2023-12-31</t>
        </is>
      </c>
      <c r="BA147" s="12" t="inlineStr">
        <is>
          <t>providers=who_gho, world_bank; fields=healthcare_quality_raw, education_quality_raw</t>
        </is>
      </c>
      <c r="BB147" s="12" t="inlineStr">
        <is>
          <t>https://api.worldbank.org/v2/country/OMN/indicator/SM.POP.NETM?format=json&amp;mrv=10 | https://api.worldbank.org/v2/country/OMN/indicator/SG.GEN.PARL.ZS?format=json&amp;mrv=10 | https://api.worldbank.org/v2/country/OMN/indicator/ST.INT.ARVL?format=json&amp;mrv=10</t>
        </is>
      </c>
      <c r="BC147" s="12" t="inlineStr">
        <is>
          <t>Tier 3</t>
        </is>
      </c>
      <c r="BD147" s="12" t="inlineStr">
        <is>
          <t>2025-12-31</t>
        </is>
      </c>
      <c r="BE147" s="12" t="inlineStr">
        <is>
          <t>providers=world_bank; fields=hospitality_belonging_raw, tolerance_pluralism_raw, cultural_public_life_raw</t>
        </is>
      </c>
      <c r="BF147" s="12" t="inlineStr">
        <is>
          <t>https://api.worldbank.org/v2/country/OMN/indicator/IC.BUS.NDNS.ZS?format=json&amp;mrv=10 | https://api.worldbank.org/v2/country/OMN/indicator/GB.XPD.RSDV.GD.ZS?format=json&amp;mrv=10 | https://api.worldbank.org/v2/country/OMN/indicator/BX.KLT.DINV.WD.GD.ZS?format=json&amp;mrv=10 | +3 more</t>
        </is>
      </c>
      <c r="BG147" s="12" t="inlineStr">
        <is>
          <t>Tier 3</t>
        </is>
      </c>
      <c r="BH147" s="12" t="inlineStr">
        <is>
          <t>2024-12-31</t>
        </is>
      </c>
      <c r="BI147" s="12" t="inlineStr">
        <is>
          <t>providers=world_bank; fields=entrepreneurial_dynamism_raw, innovation_research_intensity_raw, investment_signal_raw, administrative_investment_friction_raw; +2 additional fields</t>
        </is>
      </c>
      <c r="BJ147" s="9" t="inlineStr"/>
    </row>
    <row r="148">
      <c r="A148" s="9" t="inlineStr">
        <is>
          <t>jo-aqaba</t>
        </is>
      </c>
      <c r="B148" s="9" t="inlineStr">
        <is>
          <t>Aqaba</t>
        </is>
      </c>
      <c r="C148" s="9" t="inlineStr">
        <is>
          <t>Jordan</t>
        </is>
      </c>
      <c r="D148" s="9" t="inlineStr">
        <is>
          <t>Middle East</t>
        </is>
      </c>
      <c r="E148" s="9" t="inlineStr">
        <is>
          <t>secondary</t>
        </is>
      </c>
      <c r="F148" s="9" t="inlineStr">
        <is>
          <t>provisional</t>
        </is>
      </c>
      <c r="G148" s="10" t="n">
        <v>880.83</v>
      </c>
      <c r="H148" s="10" t="n">
        <v>165.16</v>
      </c>
      <c r="I148" s="10" t="n">
        <v>33.03</v>
      </c>
      <c r="J148" s="10" t="n">
        <v>26.42</v>
      </c>
      <c r="K148" s="10" t="n">
        <v>9.91</v>
      </c>
      <c r="L148" s="10" t="n">
        <v>118.91</v>
      </c>
      <c r="M148" s="11" t="inlineStr"/>
      <c r="N148" s="10" t="n">
        <v>18.7505</v>
      </c>
      <c r="O148" s="10" t="n">
        <v>80.0729</v>
      </c>
      <c r="P148" s="11">
        <f>IF($O148&lt;&gt;"",$O148,$AO148)</f>
        <v/>
      </c>
      <c r="Q148" s="10" t="n">
        <v>48.79</v>
      </c>
      <c r="R148" s="10" t="n">
        <v>0.6</v>
      </c>
      <c r="S148" s="10" t="n">
        <v>0.99</v>
      </c>
      <c r="T148" s="10" t="inlineStr"/>
      <c r="U148" s="10" t="inlineStr"/>
      <c r="V148" s="10" t="n">
        <v>88.95</v>
      </c>
      <c r="W148" s="10" t="n">
        <v>7.04</v>
      </c>
      <c r="X148" s="9" t="inlineStr"/>
      <c r="Y148" s="10" t="n">
        <v>74</v>
      </c>
      <c r="Z148" s="10" t="n">
        <v>35.92</v>
      </c>
      <c r="AA148" s="10" t="inlineStr"/>
      <c r="AB148" s="10" t="n">
        <v>23.75</v>
      </c>
      <c r="AC148" s="10" t="n">
        <v>19.57</v>
      </c>
      <c r="AD148" s="10" t="n">
        <v>107.33</v>
      </c>
      <c r="AE148" s="10" t="n">
        <v>0.4</v>
      </c>
      <c r="AF148" s="10" t="n">
        <v>30.04</v>
      </c>
      <c r="AG148" s="10" t="n">
        <v>3.06</v>
      </c>
      <c r="AH148" s="10" t="n">
        <v>2.28</v>
      </c>
      <c r="AI148" s="10" t="inlineStr"/>
      <c r="AJ148" s="11">
        <f>IFERROR(INDEX(Country_Context!$B$2:$B$87,MATCH($C148,Country_Context!$A$2:$A$87,0)),"")</f>
        <v/>
      </c>
      <c r="AK148" s="11">
        <f>IFERROR(INDEX(Country_Context!$C$2:$C$87,MATCH($C148,Country_Context!$A$2:$A$87,0)),"")</f>
        <v/>
      </c>
      <c r="AL148" s="11">
        <f>IFERROR(INDEX(Country_Context!$D$2:$D$87,MATCH($C148,Country_Context!$A$2:$A$87,0)),"")</f>
        <v/>
      </c>
      <c r="AM148" s="11">
        <f>IFERROR(INDEX(Country_Context!$E$2:$E$87,MATCH($C148,Country_Context!$A$2:$A$87,0)),"")</f>
        <v/>
      </c>
      <c r="AN148" s="11">
        <f>IFERROR(INDEX(Country_Context!$F$2:$F$87,MATCH($C148,Country_Context!$A$2:$A$87,0)),"")</f>
        <v/>
      </c>
      <c r="AO148" s="11">
        <f>IFERROR(INDEX(Country_Context!$G$2:$G$87,MATCH($C148,Country_Context!$A$2:$A$87,0)),"")</f>
        <v/>
      </c>
      <c r="AP148" s="12" t="inlineStr">
        <is>
          <t>https://api.worldbank.org/v2/country/JOR/indicator/NY.GNP.PCAP.PP.CD?format=json&amp;mrv=10 | https://data.worldbank.org/indicator/NY.GNP.PCAP.PP.CD | https://ilostat.ilo.org/data/indicator/?id=HOW_TEMP_SEX_ECO_NB_A&amp;ref_area=JOR | +4 more</t>
        </is>
      </c>
      <c r="AQ148" s="12" t="inlineStr">
        <is>
          <t>Tier 3, Tier 4</t>
        </is>
      </c>
      <c r="AR148" s="12" t="inlineStr">
        <is>
          <t>2024-12-31</t>
        </is>
      </c>
      <c r="AS148" s="12" t="inlineStr">
        <is>
          <t>providers=world_bank_col_estimate, derived, ilo_ilostat, who_gho; fields=gross_income, rent, utilities, transit_cost; +9 additional fields</t>
        </is>
      </c>
      <c r="AT148" s="12" t="inlineStr">
        <is>
          <t>https://api.worldbank.org/v2/country/JOR/indicator/VC.IHR.PSRC.P5?format=json&amp;mrv=10 | https://api.worldbank.org/v2/country/JOR/indicator/SH.H2O.SMDW.ZS?format=json&amp;mrv=10 | https://api.worldbank.org/v2/country/JOR/indicator/IT.NET.BBND.P2?format=json&amp;mrv=10</t>
        </is>
      </c>
      <c r="AU148" s="12" t="inlineStr">
        <is>
          <t>Tier 3</t>
        </is>
      </c>
      <c r="AV148" s="12" t="inlineStr">
        <is>
          <t>2024-12-31</t>
        </is>
      </c>
      <c r="AW148" s="12" t="inlineStr">
        <is>
          <t>providers=world_bank; fields=personal_safety_raw, water_sanitation_utility_raw, digital_infrastructure_raw</t>
        </is>
      </c>
      <c r="AX148" s="12" t="inlineStr">
        <is>
          <t>https://www.who.int/data/gho/data/indicators/indicator-details/GHO/UHC_INDEX_REPORTED | https://api.worldbank.org/v2/country/JOR/indicator/SE.TER.ENRR?format=json&amp;mrv=10 | https://api.worldbank.org/v2/country/JOR/indicator/SI.POV.GINI?format=json&amp;mrv=30</t>
        </is>
      </c>
      <c r="AY148" s="12" t="inlineStr">
        <is>
          <t>Tier 3</t>
        </is>
      </c>
      <c r="AZ148" s="12" t="inlineStr">
        <is>
          <t>2024-12-31</t>
        </is>
      </c>
      <c r="BA148" s="12" t="inlineStr">
        <is>
          <t>providers=who_gho, world_bank; fields=healthcare_quality_raw, education_quality_raw, gini_coefficient</t>
        </is>
      </c>
      <c r="BB148" s="12" t="inlineStr">
        <is>
          <t>https://api.worldbank.org/v2/country/JOR/indicator/SM.POP.NETM?format=json&amp;mrv=10 | https://api.worldbank.org/v2/country/JOR/indicator/SG.GEN.PARL.ZS?format=json&amp;mrv=10 | https://api.worldbank.org/v2/country/JOR/indicator/ST.INT.ARVL?format=json&amp;mrv=10</t>
        </is>
      </c>
      <c r="BC148" s="12" t="inlineStr">
        <is>
          <t>Tier 3</t>
        </is>
      </c>
      <c r="BD148" s="12" t="inlineStr">
        <is>
          <t>2025-12-31</t>
        </is>
      </c>
      <c r="BE148" s="12" t="inlineStr">
        <is>
          <t>providers=world_bank; fields=hospitality_belonging_raw, tolerance_pluralism_raw, cultural_public_life_raw</t>
        </is>
      </c>
      <c r="BF148" s="12" t="inlineStr">
        <is>
          <t>https://api.worldbank.org/v2/country/JOR/indicator/IC.BUS.NDNS.ZS?format=json&amp;mrv=10 | https://api.worldbank.org/v2/country/JOR/indicator/IP.PAT.RESD?format=json&amp;mrv=10 | https://api.worldbank.org/v2/country/JOR/indicator/BX.KLT.DINV.WD.GD.ZS?format=json&amp;mrv=10 | +3 more</t>
        </is>
      </c>
      <c r="BG148" s="12" t="inlineStr">
        <is>
          <t>Tier 3</t>
        </is>
      </c>
      <c r="BH148" s="12" t="inlineStr">
        <is>
          <t>2024-12-31</t>
        </is>
      </c>
      <c r="BI148" s="12" t="inlineStr">
        <is>
          <t>providers=world_bank; fields=entrepreneurial_dynamism_raw, innovation_research_intensity_raw, investment_signal_raw, administrative_investment_friction_raw; +2 additional fields</t>
        </is>
      </c>
      <c r="BJ148" s="9" t="inlineStr"/>
    </row>
    <row r="149">
      <c r="A149" s="9" t="inlineStr">
        <is>
          <t>sa-khobar</t>
        </is>
      </c>
      <c r="B149" s="9" t="inlineStr">
        <is>
          <t>Khobar</t>
        </is>
      </c>
      <c r="C149" s="9" t="inlineStr">
        <is>
          <t>Saudi Arabia</t>
        </is>
      </c>
      <c r="D149" s="9" t="inlineStr">
        <is>
          <t>Middle East</t>
        </is>
      </c>
      <c r="E149" s="9" t="inlineStr">
        <is>
          <t>secondary</t>
        </is>
      </c>
      <c r="F149" s="9" t="inlineStr">
        <is>
          <t>provisional</t>
        </is>
      </c>
      <c r="G149" s="10" t="n">
        <v>5977.5</v>
      </c>
      <c r="H149" s="10" t="n">
        <v>1270.22</v>
      </c>
      <c r="I149" s="10" t="n">
        <v>254.04</v>
      </c>
      <c r="J149" s="10" t="n">
        <v>203.23</v>
      </c>
      <c r="K149" s="10" t="n">
        <v>76.20999999999999</v>
      </c>
      <c r="L149" s="10" t="n">
        <v>914.5599999999999</v>
      </c>
      <c r="M149" s="11" t="inlineStr"/>
      <c r="N149" s="10" t="n">
        <v>21.25</v>
      </c>
      <c r="O149" s="10" t="n">
        <v>50.1376</v>
      </c>
      <c r="P149" s="11">
        <f>IF($O149&lt;&gt;"",$O149,$AO149)</f>
        <v/>
      </c>
      <c r="Q149" s="10" t="inlineStr"/>
      <c r="R149" s="10" t="n">
        <v>0.95</v>
      </c>
      <c r="S149" s="10" t="n">
        <v>0.9399999999999999</v>
      </c>
      <c r="T149" s="10" t="inlineStr"/>
      <c r="U149" s="10" t="inlineStr"/>
      <c r="V149" s="10" t="inlineStr"/>
      <c r="W149" s="10" t="n">
        <v>43.57</v>
      </c>
      <c r="X149" s="9" t="inlineStr"/>
      <c r="Y149" s="10" t="n">
        <v>83</v>
      </c>
      <c r="Z149" s="10" t="n">
        <v>83.88</v>
      </c>
      <c r="AA149" s="10" t="inlineStr"/>
      <c r="AB149" s="10" t="n">
        <v>53.39</v>
      </c>
      <c r="AC149" s="10" t="n">
        <v>19.87</v>
      </c>
      <c r="AD149" s="10" t="n">
        <v>574.84</v>
      </c>
      <c r="AE149" s="10" t="n">
        <v>0.9</v>
      </c>
      <c r="AF149" s="10" t="n">
        <v>0.5600000000000001</v>
      </c>
      <c r="AG149" s="10" t="n">
        <v>1.72</v>
      </c>
      <c r="AH149" s="10" t="n">
        <v>1.98</v>
      </c>
      <c r="AI149" s="10" t="inlineStr"/>
      <c r="AJ149" s="11">
        <f>IFERROR(INDEX(Country_Context!$B$2:$B$87,MATCH($C149,Country_Context!$A$2:$A$87,0)),"")</f>
        <v/>
      </c>
      <c r="AK149" s="11">
        <f>IFERROR(INDEX(Country_Context!$C$2:$C$87,MATCH($C149,Country_Context!$A$2:$A$87,0)),"")</f>
        <v/>
      </c>
      <c r="AL149" s="11">
        <f>IFERROR(INDEX(Country_Context!$D$2:$D$87,MATCH($C149,Country_Context!$A$2:$A$87,0)),"")</f>
        <v/>
      </c>
      <c r="AM149" s="11">
        <f>IFERROR(INDEX(Country_Context!$E$2:$E$87,MATCH($C149,Country_Context!$A$2:$A$87,0)),"")</f>
        <v/>
      </c>
      <c r="AN149" s="11">
        <f>IFERROR(INDEX(Country_Context!$F$2:$F$87,MATCH($C149,Country_Context!$A$2:$A$87,0)),"")</f>
        <v/>
      </c>
      <c r="AO149" s="11">
        <f>IFERROR(INDEX(Country_Context!$G$2:$G$87,MATCH($C149,Country_Context!$A$2:$A$87,0)),"")</f>
        <v/>
      </c>
      <c r="AP149" s="12" t="inlineStr">
        <is>
          <t>https://api.worldbank.org/v2/country/SAU/indicator/NY.GNP.PCAP.PP.CD?format=json&amp;mrv=10 | https://data.worldbank.org/indicator/NY.GNP.PCAP.PP.CD | https://www.who.int/data/gho/data/indicators/indicator-details/GHO/SDGSUICIDE | +3 more</t>
        </is>
      </c>
      <c r="AQ149" s="12" t="inlineStr">
        <is>
          <t>Tier 3, Tier 4</t>
        </is>
      </c>
      <c r="AR149" s="12" t="inlineStr">
        <is>
          <t>2024-12-31</t>
        </is>
      </c>
      <c r="AS149" s="12" t="inlineStr">
        <is>
          <t>providers=world_bank_col_estimate, derived, who_gho, world_bank; fields=gross_income, rent, utilities, transit_cost; +8 additional fields</t>
        </is>
      </c>
      <c r="AT149" s="12" t="inlineStr">
        <is>
          <t>https://api.worldbank.org/v2/country/SAU/indicator/VC.IHR.PSRC.P5?format=json&amp;mrv=10 | https://api.worldbank.org/v2/country/SAU/indicator/IT.NET.BBND.P2?format=json&amp;mrv=10</t>
        </is>
      </c>
      <c r="AU149" s="12" t="inlineStr">
        <is>
          <t>Tier 3</t>
        </is>
      </c>
      <c r="AV149" s="12" t="inlineStr">
        <is>
          <t>2023-12-31</t>
        </is>
      </c>
      <c r="AW149" s="12" t="inlineStr">
        <is>
          <t>providers=world_bank; fields=personal_safety_raw, digital_infrastructure_raw</t>
        </is>
      </c>
      <c r="AX149" s="12" t="inlineStr">
        <is>
          <t>https://www.who.int/data/gho/data/indicators/indicator-details/GHO/UHC_INDEX_REPORTED | https://api.worldbank.org/v2/country/SAU/indicator/SE.TER.ENRR?format=json&amp;mrv=10</t>
        </is>
      </c>
      <c r="AY149" s="12" t="inlineStr">
        <is>
          <t>Tier 3</t>
        </is>
      </c>
      <c r="AZ149" s="12" t="inlineStr">
        <is>
          <t>2024-12-31</t>
        </is>
      </c>
      <c r="BA149" s="12" t="inlineStr">
        <is>
          <t>providers=who_gho, world_bank; fields=healthcare_quality_raw, education_quality_raw</t>
        </is>
      </c>
      <c r="BB149" s="12" t="inlineStr">
        <is>
          <t>https://api.worldbank.org/v2/country/SAU/indicator/SM.POP.NETM?format=json&amp;mrv=10 | https://api.worldbank.org/v2/country/SAU/indicator/SG.GEN.PARL.ZS?format=json&amp;mrv=10 | https://api.worldbank.org/v2/country/SAU/indicator/ST.INT.ARVL?format=json&amp;mrv=10 | +1 more</t>
        </is>
      </c>
      <c r="BC149" s="12" t="inlineStr">
        <is>
          <t>Tier 3</t>
        </is>
      </c>
      <c r="BD149" s="12" t="inlineStr">
        <is>
          <t>2025-12-31</t>
        </is>
      </c>
      <c r="BE149" s="12" t="inlineStr">
        <is>
          <t>providers=world_bank; fields=hospitality_belonging_raw, tolerance_pluralism_raw, cultural_public_life_raw, birth_rate_optimism_raw</t>
        </is>
      </c>
      <c r="BF149" s="12" t="inlineStr">
        <is>
          <t>https://api.worldbank.org/v2/country/SAU/indicator/IC.BUS.NDNS.ZS?format=json&amp;mrv=10 | https://api.worldbank.org/v2/country/SAU/indicator/GB.XPD.RSDV.GD.ZS?format=json&amp;mrv=10 | https://api.worldbank.org/v2/country/SAU/indicator/BX.KLT.DINV.WD.GD.ZS?format=json&amp;mrv=10 | +3 more</t>
        </is>
      </c>
      <c r="BG149" s="12" t="inlineStr">
        <is>
          <t>Tier 3</t>
        </is>
      </c>
      <c r="BH149" s="12" t="inlineStr">
        <is>
          <t>2024-12-31</t>
        </is>
      </c>
      <c r="BI149" s="12" t="inlineStr">
        <is>
          <t>providers=world_bank; fields=entrepreneurial_dynamism_raw, innovation_research_intensity_raw, investment_signal_raw, administrative_investment_friction_raw; +2 additional fields</t>
        </is>
      </c>
      <c r="BJ149" s="9" t="n">
        <v>2.37</v>
      </c>
    </row>
    <row r="150">
      <c r="A150" s="9" t="inlineStr">
        <is>
          <t>ma-rabat</t>
        </is>
      </c>
      <c r="B150" s="9" t="inlineStr">
        <is>
          <t>Rabat</t>
        </is>
      </c>
      <c r="C150" s="9" t="inlineStr">
        <is>
          <t>Morocco</t>
        </is>
      </c>
      <c r="D150" s="9" t="inlineStr">
        <is>
          <t>Africa</t>
        </is>
      </c>
      <c r="E150" s="9" t="inlineStr">
        <is>
          <t>primary</t>
        </is>
      </c>
      <c r="F150" s="9" t="inlineStr">
        <is>
          <t>provisional</t>
        </is>
      </c>
      <c r="G150" s="10" t="n">
        <v>855</v>
      </c>
      <c r="H150" s="10" t="n">
        <v>153.9</v>
      </c>
      <c r="I150" s="10" t="n">
        <v>46.17</v>
      </c>
      <c r="J150" s="10" t="n">
        <v>30.78</v>
      </c>
      <c r="K150" s="10" t="n">
        <v>11.54</v>
      </c>
      <c r="L150" s="10" t="n">
        <v>192.38</v>
      </c>
      <c r="M150" s="11" t="inlineStr"/>
      <c r="N150" s="10" t="n">
        <v>18</v>
      </c>
      <c r="O150" s="10" t="n">
        <v>54.7741</v>
      </c>
      <c r="P150" s="11">
        <f>IF($O150&lt;&gt;"",$O150,$AO150)</f>
        <v/>
      </c>
      <c r="Q150" s="10" t="n">
        <v>44</v>
      </c>
      <c r="R150" s="10" t="n">
        <v>2.91</v>
      </c>
      <c r="S150" s="10" t="n">
        <v>1.71</v>
      </c>
      <c r="T150" s="10" t="inlineStr"/>
      <c r="U150" s="10" t="inlineStr"/>
      <c r="V150" s="10" t="n">
        <v>79.98</v>
      </c>
      <c r="W150" s="10" t="n">
        <v>7.02</v>
      </c>
      <c r="X150" s="9" t="inlineStr"/>
      <c r="Y150" s="10" t="n">
        <v>65</v>
      </c>
      <c r="Z150" s="10" t="n">
        <v>48.18</v>
      </c>
      <c r="AA150" s="10" t="inlineStr"/>
      <c r="AB150" s="10" t="n">
        <v>48.52</v>
      </c>
      <c r="AC150" s="10" t="n">
        <v>24.3</v>
      </c>
      <c r="AD150" s="10" t="n">
        <v>73.58</v>
      </c>
      <c r="AE150" s="10" t="n">
        <v>2.57</v>
      </c>
      <c r="AF150" s="10" t="n">
        <v>73.61</v>
      </c>
      <c r="AG150" s="10" t="n">
        <v>1.02</v>
      </c>
      <c r="AH150" s="10" t="n">
        <v>2.56</v>
      </c>
      <c r="AI150" s="10" t="inlineStr"/>
      <c r="AJ150" s="11">
        <f>IFERROR(INDEX(Country_Context!$B$2:$B$87,MATCH($C150,Country_Context!$A$2:$A$87,0)),"")</f>
        <v/>
      </c>
      <c r="AK150" s="11">
        <f>IFERROR(INDEX(Country_Context!$C$2:$C$87,MATCH($C150,Country_Context!$A$2:$A$87,0)),"")</f>
        <v/>
      </c>
      <c r="AL150" s="11">
        <f>IFERROR(INDEX(Country_Context!$D$2:$D$87,MATCH($C150,Country_Context!$A$2:$A$87,0)),"")</f>
        <v/>
      </c>
      <c r="AM150" s="11">
        <f>IFERROR(INDEX(Country_Context!$E$2:$E$87,MATCH($C150,Country_Context!$A$2:$A$87,0)),"")</f>
        <v/>
      </c>
      <c r="AN150" s="11">
        <f>IFERROR(INDEX(Country_Context!$F$2:$F$87,MATCH($C150,Country_Context!$A$2:$A$87,0)),"")</f>
        <v/>
      </c>
      <c r="AO150" s="11">
        <f>IFERROR(INDEX(Country_Context!$G$2:$G$87,MATCH($C150,Country_Context!$A$2:$A$87,0)),"")</f>
        <v/>
      </c>
      <c r="AP150" s="12" t="inlineStr">
        <is>
          <t>https://api.worldbank.org/v2/country/MAR/indicator/NY.GNP.PCAP.PP.CD?format=json&amp;mrv=10 | https://data.worldbank.org/indicator/NY.GNP.PCAP.PP.CD | https://ilostat.ilo.org/data/indicator/?id=HOW_TEMP_SEX_ECO_NB_A&amp;ref_area=MAR | +4 more</t>
        </is>
      </c>
      <c r="AQ150" s="12" t="inlineStr">
        <is>
          <t>Tier 3, Tier 4</t>
        </is>
      </c>
      <c r="AR150" s="12" t="inlineStr">
        <is>
          <t>2024-12-31</t>
        </is>
      </c>
      <c r="AS150" s="12" t="inlineStr">
        <is>
          <t>providers=world_bank_col_estimate, derived, ilo_ilostat, who_gho; fields=gross_income, rent, utilities, transit_cost; +9 additional fields</t>
        </is>
      </c>
      <c r="AT150" s="12" t="inlineStr">
        <is>
          <t>https://api.worldbank.org/v2/country/MAR/indicator/VC.IHR.PSRC.P5?format=json&amp;mrv=10 | https://api.worldbank.org/v2/country/MAR/indicator/SH.H2O.SMDW.ZS?format=json&amp;mrv=10 | https://api.worldbank.org/v2/country/MAR/indicator/IT.NET.BBND.P2?format=json&amp;mrv=10</t>
        </is>
      </c>
      <c r="AU150" s="12" t="inlineStr">
        <is>
          <t>Tier 3</t>
        </is>
      </c>
      <c r="AV150" s="12" t="inlineStr">
        <is>
          <t>2024-12-31</t>
        </is>
      </c>
      <c r="AW150" s="12" t="inlineStr">
        <is>
          <t>providers=world_bank; fields=personal_safety_raw, water_sanitation_utility_raw, digital_infrastructure_raw</t>
        </is>
      </c>
      <c r="AX150" s="12" t="inlineStr">
        <is>
          <t>https://www.who.int/data/gho/data/indicators/indicator-details/GHO/UHC_INDEX_REPORTED | https://api.worldbank.org/v2/country/MAR/indicator/SE.TER.ENRR?format=json&amp;mrv=10 | https://api.worldbank.org/v2/country/MAR/indicator/SI.POV.GINI?format=json&amp;mrv=30</t>
        </is>
      </c>
      <c r="AY150" s="12" t="inlineStr">
        <is>
          <t>Tier 3</t>
        </is>
      </c>
      <c r="AZ150" s="12" t="inlineStr">
        <is>
          <t>2024-12-31</t>
        </is>
      </c>
      <c r="BA150" s="12" t="inlineStr">
        <is>
          <t>providers=who_gho, world_bank; fields=healthcare_quality_raw, education_quality_raw, gini_coefficient</t>
        </is>
      </c>
      <c r="BB150" s="12" t="inlineStr">
        <is>
          <t>https://api.worldbank.org/v2/country/MAR/indicator/SM.POP.NETM?format=json&amp;mrv=10 | https://api.worldbank.org/v2/country/MAR/indicator/SG.GEN.PARL.ZS?format=json&amp;mrv=10 | https://api.worldbank.org/v2/country/MAR/indicator/ST.INT.ARVL?format=json&amp;mrv=10</t>
        </is>
      </c>
      <c r="BC150" s="12" t="inlineStr">
        <is>
          <t>Tier 3</t>
        </is>
      </c>
      <c r="BD150" s="12" t="inlineStr">
        <is>
          <t>2025-12-31</t>
        </is>
      </c>
      <c r="BE150" s="12" t="inlineStr">
        <is>
          <t>providers=world_bank; fields=hospitality_belonging_raw, tolerance_pluralism_raw, cultural_public_life_raw</t>
        </is>
      </c>
      <c r="BF150" s="12" t="inlineStr">
        <is>
          <t>https://api.worldbank.org/v2/country/MAR/indicator/IC.BUS.NDNS.ZS?format=json&amp;mrv=10 | https://api.worldbank.org/v2/country/MAR/indicator/IP.PAT.RESD?format=json&amp;mrv=10 | https://api.worldbank.org/v2/country/MAR/indicator/BX.KLT.DINV.WD.GD.ZS?format=json&amp;mrv=10 | +3 more</t>
        </is>
      </c>
      <c r="BG150" s="12" t="inlineStr">
        <is>
          <t>Tier 3</t>
        </is>
      </c>
      <c r="BH150" s="12" t="inlineStr">
        <is>
          <t>2024-12-31</t>
        </is>
      </c>
      <c r="BI150" s="12" t="inlineStr">
        <is>
          <t>providers=world_bank; fields=entrepreneurial_dynamism_raw, innovation_research_intensity_raw, investment_signal_raw, administrative_investment_friction_raw; +2 additional fields</t>
        </is>
      </c>
      <c r="BJ150" s="9" t="inlineStr"/>
    </row>
    <row r="151">
      <c r="A151" s="9" t="inlineStr">
        <is>
          <t>eg-alexandria</t>
        </is>
      </c>
      <c r="B151" s="9" t="inlineStr">
        <is>
          <t>Alexandria</t>
        </is>
      </c>
      <c r="C151" s="9" t="inlineStr">
        <is>
          <t>Egypt</t>
        </is>
      </c>
      <c r="D151" s="9" t="inlineStr">
        <is>
          <t>Africa</t>
        </is>
      </c>
      <c r="E151" s="9" t="inlineStr">
        <is>
          <t>primary</t>
        </is>
      </c>
      <c r="F151" s="9" t="inlineStr">
        <is>
          <t>provisional</t>
        </is>
      </c>
      <c r="G151" s="10" t="n">
        <v>1519.17</v>
      </c>
      <c r="H151" s="10" t="n">
        <v>258.26</v>
      </c>
      <c r="I151" s="10" t="n">
        <v>77.48</v>
      </c>
      <c r="J151" s="10" t="n">
        <v>51.65</v>
      </c>
      <c r="K151" s="10" t="n">
        <v>19.37</v>
      </c>
      <c r="L151" s="10" t="n">
        <v>322.82</v>
      </c>
      <c r="M151" s="11" t="inlineStr"/>
      <c r="N151" s="10" t="n">
        <v>17.0001</v>
      </c>
      <c r="O151" s="10" t="inlineStr"/>
      <c r="P151" s="11">
        <f>IF($O151&lt;&gt;"",$O151,$AO151)</f>
        <v/>
      </c>
      <c r="Q151" s="10" t="inlineStr"/>
      <c r="R151" s="10" t="inlineStr"/>
      <c r="S151" s="10" t="inlineStr"/>
      <c r="T151" s="10" t="inlineStr"/>
      <c r="U151" s="10" t="inlineStr"/>
      <c r="V151" s="10" t="inlineStr"/>
      <c r="W151" s="10" t="inlineStr"/>
      <c r="X151" s="9" t="inlineStr"/>
      <c r="Y151" s="10" t="inlineStr"/>
      <c r="Z151" s="10" t="inlineStr"/>
      <c r="AA151" s="10" t="n">
        <v>28.5</v>
      </c>
      <c r="AB151" s="10" t="inlineStr"/>
      <c r="AC151" s="10" t="inlineStr"/>
      <c r="AD151" s="10" t="inlineStr"/>
      <c r="AE151" s="10" t="n">
        <v>0.27</v>
      </c>
      <c r="AF151" s="10" t="n">
        <v>1.03</v>
      </c>
      <c r="AG151" s="10" t="n">
        <v>11.97</v>
      </c>
      <c r="AH151" s="10" t="n">
        <v>3.17</v>
      </c>
      <c r="AI151" s="10" t="inlineStr"/>
      <c r="AJ151" s="11">
        <f>IFERROR(INDEX(Country_Context!$B$2:$B$87,MATCH($C151,Country_Context!$A$2:$A$87,0)),"")</f>
        <v/>
      </c>
      <c r="AK151" s="11">
        <f>IFERROR(INDEX(Country_Context!$C$2:$C$87,MATCH($C151,Country_Context!$A$2:$A$87,0)),"")</f>
        <v/>
      </c>
      <c r="AL151" s="11">
        <f>IFERROR(INDEX(Country_Context!$D$2:$D$87,MATCH($C151,Country_Context!$A$2:$A$87,0)),"")</f>
        <v/>
      </c>
      <c r="AM151" s="11">
        <f>IFERROR(INDEX(Country_Context!$E$2:$E$87,MATCH($C151,Country_Context!$A$2:$A$87,0)),"")</f>
        <v/>
      </c>
      <c r="AN151" s="11">
        <f>IFERROR(INDEX(Country_Context!$F$2:$F$87,MATCH($C151,Country_Context!$A$2:$A$87,0)),"")</f>
        <v/>
      </c>
      <c r="AO151" s="11">
        <f>IFERROR(INDEX(Country_Context!$G$2:$G$87,MATCH($C151,Country_Context!$A$2:$A$87,0)),"")</f>
        <v/>
      </c>
      <c r="AP151" s="12" t="inlineStr">
        <is>
          <t>https://api.worldbank.org/v2/country/EGY/indicator/NY.GNP.PCAP.PP.CD?format=json&amp;mrv=10 | https://data.worldbank.org/indicator/NY.GNP.PCAP.PP.CD</t>
        </is>
      </c>
      <c r="AQ151" s="12" t="inlineStr">
        <is>
          <t>Tier 4</t>
        </is>
      </c>
      <c r="AR151" s="12" t="inlineStr">
        <is>
          <t>2024-12-31</t>
        </is>
      </c>
      <c r="AS151" s="12" t="inlineStr">
        <is>
          <t>providers=world_bank_col_estimate, derived; fields=gross_income, rent, utilities, transit_cost; +3 additional fields</t>
        </is>
      </c>
      <c r="AT151" s="12" t="inlineStr"/>
      <c r="AU151" s="12" t="inlineStr"/>
      <c r="AV151" s="12" t="inlineStr"/>
      <c r="AW151" s="12" t="inlineStr"/>
      <c r="AX151" s="12" t="inlineStr">
        <is>
          <t>https://api.worldbank.org/v2/country/EGY/indicator/SI.POV.GINI?format=json&amp;mrv=10</t>
        </is>
      </c>
      <c r="AY151" s="12" t="inlineStr">
        <is>
          <t>Tier 3</t>
        </is>
      </c>
      <c r="AZ151" s="12" t="inlineStr">
        <is>
          <t>2021-12-31</t>
        </is>
      </c>
      <c r="BA151" s="12" t="inlineStr">
        <is>
          <t>providers=world_bank; fields=equal_opportunity_raw</t>
        </is>
      </c>
      <c r="BB151" s="12" t="inlineStr"/>
      <c r="BC151" s="12" t="inlineStr"/>
      <c r="BD151" s="12" t="inlineStr"/>
      <c r="BE151" s="12" t="inlineStr"/>
      <c r="BF151" s="12" t="inlineStr">
        <is>
          <t>https://api.worldbank.org/v2/country/EGY/indicator/IC.BUS.NDNS.ZS?format=json&amp;mrv=10 | https://api.worldbank.org/v2/country/EGY/indicator/GB.XPD.RSDV.GD.ZS?format=json&amp;mrv=10 | https://api.worldbank.org/v2/country/EGY/indicator/BX.KLT.DINV.WD.GD.ZS?format=json&amp;mrv=10 | +1 more</t>
        </is>
      </c>
      <c r="BG151" s="12" t="inlineStr">
        <is>
          <t>Tier 3</t>
        </is>
      </c>
      <c r="BH151" s="12" t="inlineStr">
        <is>
          <t>2024-12-31</t>
        </is>
      </c>
      <c r="BI151" s="12" t="inlineStr">
        <is>
          <t>providers=world_bank; fields=entrepreneurial_dynamism_raw, innovation_research_intensity_raw, investment_signal_raw, administrative_investment_friction_raw</t>
        </is>
      </c>
      <c r="BJ151" s="9" t="inlineStr"/>
    </row>
    <row r="152">
      <c r="A152" s="9" t="inlineStr">
        <is>
          <t>tz-dar-es-salaam</t>
        </is>
      </c>
      <c r="B152" s="9" t="inlineStr">
        <is>
          <t>Dar es Salaam</t>
        </is>
      </c>
      <c r="C152" s="9" t="inlineStr">
        <is>
          <t>Tanzania</t>
        </is>
      </c>
      <c r="D152" s="9" t="inlineStr">
        <is>
          <t>Africa</t>
        </is>
      </c>
      <c r="E152" s="9" t="inlineStr">
        <is>
          <t>primary</t>
        </is>
      </c>
      <c r="F152" s="9" t="inlineStr">
        <is>
          <t>provisional</t>
        </is>
      </c>
      <c r="G152" s="10" t="n">
        <v>344.17</v>
      </c>
      <c r="H152" s="10" t="n">
        <v>61.95</v>
      </c>
      <c r="I152" s="10" t="n">
        <v>18.59</v>
      </c>
      <c r="J152" s="10" t="n">
        <v>12.39</v>
      </c>
      <c r="K152" s="10" t="n">
        <v>4.65</v>
      </c>
      <c r="L152" s="10" t="n">
        <v>77.44</v>
      </c>
      <c r="M152" s="11" t="inlineStr"/>
      <c r="N152" s="10" t="n">
        <v>17.9998</v>
      </c>
      <c r="O152" s="10" t="inlineStr"/>
      <c r="P152" s="11">
        <f>IF($O152&lt;&gt;"",$O152,$AO152)</f>
        <v/>
      </c>
      <c r="Q152" s="10" t="inlineStr"/>
      <c r="R152" s="10" t="inlineStr"/>
      <c r="S152" s="10" t="inlineStr"/>
      <c r="T152" s="10" t="inlineStr"/>
      <c r="U152" s="10" t="inlineStr"/>
      <c r="V152" s="10" t="inlineStr"/>
      <c r="W152" s="10" t="inlineStr"/>
      <c r="X152" s="9" t="inlineStr"/>
      <c r="Y152" s="10" t="inlineStr"/>
      <c r="Z152" s="10" t="inlineStr"/>
      <c r="AA152" s="10" t="n">
        <v>40.5</v>
      </c>
      <c r="AB152" s="10" t="inlineStr"/>
      <c r="AC152" s="10" t="inlineStr"/>
      <c r="AD152" s="10" t="inlineStr"/>
      <c r="AE152" s="10" t="n">
        <v>0.17</v>
      </c>
      <c r="AF152" s="10" t="inlineStr"/>
      <c r="AG152" s="10" t="n">
        <v>2.18</v>
      </c>
      <c r="AH152" s="10" t="n">
        <v>3.09</v>
      </c>
      <c r="AI152" s="10" t="inlineStr"/>
      <c r="AJ152" s="11">
        <f>IFERROR(INDEX(Country_Context!$B$2:$B$87,MATCH($C152,Country_Context!$A$2:$A$87,0)),"")</f>
        <v/>
      </c>
      <c r="AK152" s="11">
        <f>IFERROR(INDEX(Country_Context!$C$2:$C$87,MATCH($C152,Country_Context!$A$2:$A$87,0)),"")</f>
        <v/>
      </c>
      <c r="AL152" s="11">
        <f>IFERROR(INDEX(Country_Context!$D$2:$D$87,MATCH($C152,Country_Context!$A$2:$A$87,0)),"")</f>
        <v/>
      </c>
      <c r="AM152" s="11">
        <f>IFERROR(INDEX(Country_Context!$E$2:$E$87,MATCH($C152,Country_Context!$A$2:$A$87,0)),"")</f>
        <v/>
      </c>
      <c r="AN152" s="11">
        <f>IFERROR(INDEX(Country_Context!$F$2:$F$87,MATCH($C152,Country_Context!$A$2:$A$87,0)),"")</f>
        <v/>
      </c>
      <c r="AO152" s="11">
        <f>IFERROR(INDEX(Country_Context!$G$2:$G$87,MATCH($C152,Country_Context!$A$2:$A$87,0)),"")</f>
        <v/>
      </c>
      <c r="AP152" s="12" t="inlineStr">
        <is>
          <t>https://api.worldbank.org/v2/country/TZA/indicator/NY.GNP.PCAP.PP.CD?format=json&amp;mrv=10 | https://data.worldbank.org/indicator/NY.GNP.PCAP.PP.CD</t>
        </is>
      </c>
      <c r="AQ152" s="12" t="inlineStr">
        <is>
          <t>Tier 4</t>
        </is>
      </c>
      <c r="AR152" s="12" t="inlineStr">
        <is>
          <t>2024-12-31</t>
        </is>
      </c>
      <c r="AS152" s="12" t="inlineStr">
        <is>
          <t>providers=world_bank_col_estimate, derived; fields=gross_income, rent, utilities, transit_cost; +3 additional fields</t>
        </is>
      </c>
      <c r="AT152" s="12" t="inlineStr"/>
      <c r="AU152" s="12" t="inlineStr"/>
      <c r="AV152" s="12" t="inlineStr"/>
      <c r="AW152" s="12" t="inlineStr"/>
      <c r="AX152" s="12" t="inlineStr">
        <is>
          <t>https://api.worldbank.org/v2/country/TZA/indicator/SI.POV.GINI?format=json&amp;mrv=10</t>
        </is>
      </c>
      <c r="AY152" s="12" t="inlineStr">
        <is>
          <t>Tier 3</t>
        </is>
      </c>
      <c r="AZ152" s="12" t="inlineStr">
        <is>
          <t>2018-12-31</t>
        </is>
      </c>
      <c r="BA152" s="12" t="inlineStr">
        <is>
          <t>providers=world_bank; fields=equal_opportunity_raw</t>
        </is>
      </c>
      <c r="BB152" s="12" t="inlineStr"/>
      <c r="BC152" s="12" t="inlineStr"/>
      <c r="BD152" s="12" t="inlineStr"/>
      <c r="BE152" s="12" t="inlineStr"/>
      <c r="BF152" s="12" t="inlineStr">
        <is>
          <t>https://api.worldbank.org/v2/country/TZA/indicator/IC.BUS.NDNS.ZS?format=json&amp;mrv=10 | https://api.worldbank.org/v2/country/TZA/indicator/BX.KLT.DINV.WD.GD.ZS?format=json&amp;mrv=10 | https://api.worldbank.org/v2/country/TZA/indicator/RQ.EST?format=json&amp;mrv=10</t>
        </is>
      </c>
      <c r="BG152" s="12" t="inlineStr">
        <is>
          <t>Tier 3</t>
        </is>
      </c>
      <c r="BH152" s="12" t="inlineStr">
        <is>
          <t>2024-12-31</t>
        </is>
      </c>
      <c r="BI152" s="12" t="inlineStr">
        <is>
          <t>providers=world_bank; fields=entrepreneurial_dynamism_raw, investment_signal_raw, administrative_investment_friction_raw</t>
        </is>
      </c>
      <c r="BJ152" s="9" t="inlineStr"/>
    </row>
    <row r="153">
      <c r="A153" s="9" t="inlineStr">
        <is>
          <t>ug-kampala</t>
        </is>
      </c>
      <c r="B153" s="9" t="inlineStr">
        <is>
          <t>Kampala</t>
        </is>
      </c>
      <c r="C153" s="9" t="inlineStr">
        <is>
          <t>Uganda</t>
        </is>
      </c>
      <c r="D153" s="9" t="inlineStr">
        <is>
          <t>Africa</t>
        </is>
      </c>
      <c r="E153" s="9" t="inlineStr">
        <is>
          <t>primary</t>
        </is>
      </c>
      <c r="F153" s="9" t="inlineStr">
        <is>
          <t>provisional</t>
        </is>
      </c>
      <c r="G153" s="10" t="n">
        <v>265.83</v>
      </c>
      <c r="H153" s="10" t="n">
        <v>47.85</v>
      </c>
      <c r="I153" s="10" t="n">
        <v>14.35</v>
      </c>
      <c r="J153" s="10" t="n">
        <v>9.57</v>
      </c>
      <c r="K153" s="10" t="n">
        <v>3.59</v>
      </c>
      <c r="L153" s="10" t="n">
        <v>59.81</v>
      </c>
      <c r="M153" s="11" t="inlineStr"/>
      <c r="N153" s="10" t="n">
        <v>18.0002</v>
      </c>
      <c r="O153" s="10" t="inlineStr"/>
      <c r="P153" s="11">
        <f>IF($O153&lt;&gt;"",$O153,$AO153)</f>
        <v/>
      </c>
      <c r="Q153" s="10" t="inlineStr"/>
      <c r="R153" s="10" t="inlineStr"/>
      <c r="S153" s="10" t="inlineStr"/>
      <c r="T153" s="10" t="inlineStr"/>
      <c r="U153" s="10" t="inlineStr"/>
      <c r="V153" s="10" t="inlineStr"/>
      <c r="W153" s="10" t="inlineStr"/>
      <c r="X153" s="9" t="inlineStr"/>
      <c r="Y153" s="10" t="inlineStr"/>
      <c r="Z153" s="10" t="inlineStr"/>
      <c r="AA153" s="10" t="n">
        <v>42.7</v>
      </c>
      <c r="AB153" s="10" t="inlineStr"/>
      <c r="AC153" s="10" t="inlineStr"/>
      <c r="AD153" s="10" t="inlineStr"/>
      <c r="AE153" s="10" t="n">
        <v>0.88</v>
      </c>
      <c r="AF153" s="10" t="n">
        <v>0.31</v>
      </c>
      <c r="AG153" s="10" t="n">
        <v>6.04</v>
      </c>
      <c r="AH153" s="10" t="n">
        <v>3.02</v>
      </c>
      <c r="AI153" s="10" t="inlineStr"/>
      <c r="AJ153" s="11">
        <f>IFERROR(INDEX(Country_Context!$B$2:$B$87,MATCH($C153,Country_Context!$A$2:$A$87,0)),"")</f>
        <v/>
      </c>
      <c r="AK153" s="11">
        <f>IFERROR(INDEX(Country_Context!$C$2:$C$87,MATCH($C153,Country_Context!$A$2:$A$87,0)),"")</f>
        <v/>
      </c>
      <c r="AL153" s="11">
        <f>IFERROR(INDEX(Country_Context!$D$2:$D$87,MATCH($C153,Country_Context!$A$2:$A$87,0)),"")</f>
        <v/>
      </c>
      <c r="AM153" s="11">
        <f>IFERROR(INDEX(Country_Context!$E$2:$E$87,MATCH($C153,Country_Context!$A$2:$A$87,0)),"")</f>
        <v/>
      </c>
      <c r="AN153" s="11">
        <f>IFERROR(INDEX(Country_Context!$F$2:$F$87,MATCH($C153,Country_Context!$A$2:$A$87,0)),"")</f>
        <v/>
      </c>
      <c r="AO153" s="11">
        <f>IFERROR(INDEX(Country_Context!$G$2:$G$87,MATCH($C153,Country_Context!$A$2:$A$87,0)),"")</f>
        <v/>
      </c>
      <c r="AP153" s="12" t="inlineStr">
        <is>
          <t>https://api.worldbank.org/v2/country/UGA/indicator/NY.GNP.PCAP.PP.CD?format=json&amp;mrv=10 | https://data.worldbank.org/indicator/NY.GNP.PCAP.PP.CD</t>
        </is>
      </c>
      <c r="AQ153" s="12" t="inlineStr">
        <is>
          <t>Tier 4</t>
        </is>
      </c>
      <c r="AR153" s="12" t="inlineStr">
        <is>
          <t>2024-12-31</t>
        </is>
      </c>
      <c r="AS153" s="12" t="inlineStr">
        <is>
          <t>providers=world_bank_col_estimate, derived; fields=gross_income, rent, utilities, transit_cost; +3 additional fields</t>
        </is>
      </c>
      <c r="AT153" s="12" t="inlineStr"/>
      <c r="AU153" s="12" t="inlineStr"/>
      <c r="AV153" s="12" t="inlineStr"/>
      <c r="AW153" s="12" t="inlineStr"/>
      <c r="AX153" s="12" t="inlineStr">
        <is>
          <t>https://api.worldbank.org/v2/country/UGA/indicator/SI.POV.GINI?format=json&amp;mrv=10</t>
        </is>
      </c>
      <c r="AY153" s="12" t="inlineStr">
        <is>
          <t>Tier 3</t>
        </is>
      </c>
      <c r="AZ153" s="12" t="inlineStr">
        <is>
          <t>2019-12-31</t>
        </is>
      </c>
      <c r="BA153" s="12" t="inlineStr">
        <is>
          <t>providers=world_bank; fields=equal_opportunity_raw</t>
        </is>
      </c>
      <c r="BB153" s="12" t="inlineStr"/>
      <c r="BC153" s="12" t="inlineStr"/>
      <c r="BD153" s="12" t="inlineStr"/>
      <c r="BE153" s="12" t="inlineStr"/>
      <c r="BF153" s="12" t="inlineStr">
        <is>
          <t>https://api.worldbank.org/v2/country/UGA/indicator/IC.BUS.NDNS.ZS?format=json&amp;mrv=10 | https://api.worldbank.org/v2/country/UGA/indicator/GB.XPD.RSDV.GD.ZS?format=json&amp;mrv=10 | https://api.worldbank.org/v2/country/UGA/indicator/BX.KLT.DINV.WD.GD.ZS?format=json&amp;mrv=10 | +1 more</t>
        </is>
      </c>
      <c r="BG153" s="12" t="inlineStr">
        <is>
          <t>Tier 3</t>
        </is>
      </c>
      <c r="BH153" s="12" t="inlineStr">
        <is>
          <t>2024-12-31</t>
        </is>
      </c>
      <c r="BI153" s="12" t="inlineStr">
        <is>
          <t>providers=world_bank; fields=entrepreneurial_dynamism_raw, innovation_research_intensity_raw, investment_signal_raw, administrative_investment_friction_raw</t>
        </is>
      </c>
      <c r="BJ153" s="9" t="inlineStr"/>
    </row>
    <row r="154">
      <c r="A154" s="9" t="inlineStr">
        <is>
          <t>gh-kumasi</t>
        </is>
      </c>
      <c r="B154" s="9" t="inlineStr">
        <is>
          <t>Kumasi</t>
        </is>
      </c>
      <c r="C154" s="9" t="inlineStr">
        <is>
          <t>Ghana</t>
        </is>
      </c>
      <c r="D154" s="9" t="inlineStr">
        <is>
          <t>Africa</t>
        </is>
      </c>
      <c r="E154" s="9" t="inlineStr">
        <is>
          <t>secondary</t>
        </is>
      </c>
      <c r="F154" s="9" t="inlineStr">
        <is>
          <t>provisional</t>
        </is>
      </c>
      <c r="G154" s="10" t="n">
        <v>643.33</v>
      </c>
      <c r="H154" s="10" t="n">
        <v>102.93</v>
      </c>
      <c r="I154" s="10" t="n">
        <v>30.88</v>
      </c>
      <c r="J154" s="10" t="n">
        <v>20.59</v>
      </c>
      <c r="K154" s="10" t="n">
        <v>7.72</v>
      </c>
      <c r="L154" s="10" t="n">
        <v>128.67</v>
      </c>
      <c r="M154" s="11" t="inlineStr"/>
      <c r="N154" s="10" t="n">
        <v>15.9996</v>
      </c>
      <c r="O154" s="10" t="n">
        <v>8.651199999999999</v>
      </c>
      <c r="P154" s="11">
        <f>IF($O154&lt;&gt;"",$O154,$AO154)</f>
        <v/>
      </c>
      <c r="Q154" s="10" t="n">
        <v>35.53</v>
      </c>
      <c r="R154" s="10" t="n">
        <v>5.32</v>
      </c>
      <c r="S154" s="10" t="n">
        <v>1.83</v>
      </c>
      <c r="T154" s="10" t="inlineStr"/>
      <c r="U154" s="10" t="inlineStr"/>
      <c r="V154" s="10" t="n">
        <v>42.94</v>
      </c>
      <c r="W154" s="10" t="n">
        <v>0.5600000000000001</v>
      </c>
      <c r="X154" s="9" t="inlineStr"/>
      <c r="Y154" s="10" t="n">
        <v>56</v>
      </c>
      <c r="Z154" s="10" t="n">
        <v>22.1</v>
      </c>
      <c r="AA154" s="10" t="n">
        <v>43.5</v>
      </c>
      <c r="AB154" s="10" t="n">
        <v>49.5</v>
      </c>
      <c r="AC154" s="10" t="n">
        <v>14.55</v>
      </c>
      <c r="AD154" s="10" t="n">
        <v>34.64</v>
      </c>
      <c r="AE154" s="10" t="n">
        <v>1.32</v>
      </c>
      <c r="AF154" s="10" t="n">
        <v>0.58</v>
      </c>
      <c r="AG154" s="10" t="n">
        <v>2.15</v>
      </c>
      <c r="AH154" s="10" t="n">
        <v>2.68</v>
      </c>
      <c r="AI154" s="10" t="inlineStr"/>
      <c r="AJ154" s="11">
        <f>IFERROR(INDEX(Country_Context!$B$2:$B$87,MATCH($C154,Country_Context!$A$2:$A$87,0)),"")</f>
        <v/>
      </c>
      <c r="AK154" s="11">
        <f>IFERROR(INDEX(Country_Context!$C$2:$C$87,MATCH($C154,Country_Context!$A$2:$A$87,0)),"")</f>
        <v/>
      </c>
      <c r="AL154" s="11">
        <f>IFERROR(INDEX(Country_Context!$D$2:$D$87,MATCH($C154,Country_Context!$A$2:$A$87,0)),"")</f>
        <v/>
      </c>
      <c r="AM154" s="11">
        <f>IFERROR(INDEX(Country_Context!$E$2:$E$87,MATCH($C154,Country_Context!$A$2:$A$87,0)),"")</f>
        <v/>
      </c>
      <c r="AN154" s="11">
        <f>IFERROR(INDEX(Country_Context!$F$2:$F$87,MATCH($C154,Country_Context!$A$2:$A$87,0)),"")</f>
        <v/>
      </c>
      <c r="AO154" s="11">
        <f>IFERROR(INDEX(Country_Context!$G$2:$G$87,MATCH($C154,Country_Context!$A$2:$A$87,0)),"")</f>
        <v/>
      </c>
      <c r="AP154" s="12" t="inlineStr">
        <is>
          <t>https://api.worldbank.org/v2/country/GHA/indicator/NY.GNP.PCAP.PP.CD?format=json&amp;mrv=10 | https://data.worldbank.org/indicator/NY.GNP.PCAP.PP.CD | https://ilostat.ilo.org/data/indicator/?id=HOW_TEMP_SEX_ECO_NB_A&amp;ref_area=GHA | +4 more</t>
        </is>
      </c>
      <c r="AQ154" s="12" t="inlineStr">
        <is>
          <t>Tier 3, Tier 4</t>
        </is>
      </c>
      <c r="AR154" s="12" t="inlineStr">
        <is>
          <t>2024-12-31</t>
        </is>
      </c>
      <c r="AS154" s="12" t="inlineStr">
        <is>
          <t>providers=world_bank_col_estimate, derived, ilo_ilostat, who_gho; fields=gross_income, rent, utilities, transit_cost; +9 additional fields</t>
        </is>
      </c>
      <c r="AT154" s="12" t="inlineStr">
        <is>
          <t>https://api.worldbank.org/v2/country/GHA/indicator/VC.IHR.PSRC.P5?format=json&amp;mrv=10 | https://api.worldbank.org/v2/country/GHA/indicator/SH.H2O.SMDW.ZS?format=json&amp;mrv=10 | https://api.worldbank.org/v2/country/GHA/indicator/IT.NET.BBND.P2?format=json&amp;mrv=10</t>
        </is>
      </c>
      <c r="AU154" s="12" t="inlineStr">
        <is>
          <t>Tier 3</t>
        </is>
      </c>
      <c r="AV154" s="12" t="inlineStr">
        <is>
          <t>2024-12-31</t>
        </is>
      </c>
      <c r="AW154" s="12" t="inlineStr">
        <is>
          <t>providers=world_bank; fields=personal_safety_raw, water_sanitation_utility_raw, digital_infrastructure_raw</t>
        </is>
      </c>
      <c r="AX154" s="12" t="inlineStr">
        <is>
          <t>https://www.who.int/data/gho/data/indicators/indicator-details/GHO/UHC_INDEX_REPORTED | https://api.worldbank.org/v2/country/GHA/indicator/SE.TER.ENRR?format=json&amp;mrv=10 | https://api.worldbank.org/v2/country/GHA/indicator/SI.POV.GINI?format=json&amp;mrv=10 | +1 more</t>
        </is>
      </c>
      <c r="AY154" s="12" t="inlineStr">
        <is>
          <t>Tier 3</t>
        </is>
      </c>
      <c r="AZ154" s="12" t="inlineStr">
        <is>
          <t>2023-12-31</t>
        </is>
      </c>
      <c r="BA154" s="12" t="inlineStr">
        <is>
          <t>providers=who_gho, world_bank; fields=healthcare_quality_raw, education_quality_raw, equal_opportunity_raw, gini_coefficient</t>
        </is>
      </c>
      <c r="BB154" s="12" t="inlineStr">
        <is>
          <t>https://api.worldbank.org/v2/country/GHA/indicator/SM.POP.NETM?format=json&amp;mrv=10 | https://api.worldbank.org/v2/country/GHA/indicator/SG.GEN.PARL.ZS?format=json&amp;mrv=10 | https://api.worldbank.org/v2/country/GHA/indicator/SP.POP.DPND?format=json&amp;mrv=10 | +1 more</t>
        </is>
      </c>
      <c r="BC154" s="12" t="inlineStr">
        <is>
          <t>Tier 3</t>
        </is>
      </c>
      <c r="BD154" s="12" t="inlineStr">
        <is>
          <t>2025-12-31</t>
        </is>
      </c>
      <c r="BE154" s="12" t="inlineStr">
        <is>
          <t>providers=world_bank; fields=hospitality_belonging_raw, tolerance_pluralism_raw, cultural_public_life_raw, birth_rate_optimism_raw</t>
        </is>
      </c>
      <c r="BF154" s="12" t="inlineStr">
        <is>
          <t>https://api.worldbank.org/v2/country/GHA/indicator/IC.BUS.NDNS.ZS?format=json&amp;mrv=10 | https://api.worldbank.org/v2/country/GHA/indicator/IP.PAT.RESD?format=json&amp;mrv=10 | https://api.worldbank.org/v2/country/GHA/indicator/BX.KLT.DINV.WD.GD.ZS?format=json&amp;mrv=10 | +3 more</t>
        </is>
      </c>
      <c r="BG154" s="12" t="inlineStr">
        <is>
          <t>Tier 3</t>
        </is>
      </c>
      <c r="BH154" s="12" t="inlineStr">
        <is>
          <t>2024-12-31</t>
        </is>
      </c>
      <c r="BI154" s="12" t="inlineStr">
        <is>
          <t>providers=world_bank; fields=entrepreneurial_dynamism_raw, innovation_research_intensity_raw, investment_signal_raw, administrative_investment_friction_raw; +2 additional fields</t>
        </is>
      </c>
      <c r="BJ154" s="9" t="n">
        <v>3.6</v>
      </c>
    </row>
    <row r="155">
      <c r="A155" s="9" t="inlineStr">
        <is>
          <t>nz-dunedin</t>
        </is>
      </c>
      <c r="B155" s="9" t="inlineStr">
        <is>
          <t>Dunedin</t>
        </is>
      </c>
      <c r="C155" s="9" t="inlineStr">
        <is>
          <t>New Zealand</t>
        </is>
      </c>
      <c r="D155" s="9" t="inlineStr">
        <is>
          <t>Oceania</t>
        </is>
      </c>
      <c r="E155" s="9" t="inlineStr">
        <is>
          <t>secondary</t>
        </is>
      </c>
      <c r="F155" s="9" t="inlineStr">
        <is>
          <t>provisional</t>
        </is>
      </c>
      <c r="G155" s="10" t="n">
        <v>4466.67</v>
      </c>
      <c r="H155" s="10" t="n">
        <v>1072</v>
      </c>
      <c r="I155" s="10" t="n">
        <v>214.4</v>
      </c>
      <c r="J155" s="10" t="n">
        <v>142.93</v>
      </c>
      <c r="K155" s="10" t="n">
        <v>53.6</v>
      </c>
      <c r="L155" s="10" t="n">
        <v>536</v>
      </c>
      <c r="M155" s="11" t="inlineStr"/>
      <c r="N155" s="10" t="n">
        <v>24</v>
      </c>
      <c r="O155" s="10" t="n">
        <v>129.7971</v>
      </c>
      <c r="P155" s="11">
        <f>IF($O155&lt;&gt;"",$O155,$AO155)</f>
        <v/>
      </c>
      <c r="Q155" s="10" t="n">
        <v>33</v>
      </c>
      <c r="R155" s="10" t="n">
        <v>11.92</v>
      </c>
      <c r="S155" s="10" t="n">
        <v>1.46</v>
      </c>
      <c r="T155" s="10" t="inlineStr"/>
      <c r="U155" s="10" t="inlineStr"/>
      <c r="V155" s="10" t="n">
        <v>100</v>
      </c>
      <c r="W155" s="10" t="n">
        <v>37.85</v>
      </c>
      <c r="X155" s="9" t="n">
        <v>48</v>
      </c>
      <c r="Y155" s="10" t="n">
        <v>89</v>
      </c>
      <c r="Z155" s="10" t="n">
        <v>76.38</v>
      </c>
      <c r="AA155" s="10" t="inlineStr"/>
      <c r="AB155" s="10" t="n">
        <v>53.29</v>
      </c>
      <c r="AC155" s="10" t="n">
        <v>45.53</v>
      </c>
      <c r="AD155" s="10" t="n">
        <v>188.37</v>
      </c>
      <c r="AE155" s="10" t="n">
        <v>16.32</v>
      </c>
      <c r="AF155" s="10" t="n">
        <v>1.47</v>
      </c>
      <c r="AG155" s="10" t="n">
        <v>0.68</v>
      </c>
      <c r="AH155" s="10" t="n">
        <v>0.59</v>
      </c>
      <c r="AI155" s="10" t="inlineStr"/>
      <c r="AJ155" s="11">
        <f>IFERROR(INDEX(Country_Context!$B$2:$B$87,MATCH($C155,Country_Context!$A$2:$A$87,0)),"")</f>
        <v/>
      </c>
      <c r="AK155" s="11">
        <f>IFERROR(INDEX(Country_Context!$C$2:$C$87,MATCH($C155,Country_Context!$A$2:$A$87,0)),"")</f>
        <v/>
      </c>
      <c r="AL155" s="11">
        <f>IFERROR(INDEX(Country_Context!$D$2:$D$87,MATCH($C155,Country_Context!$A$2:$A$87,0)),"")</f>
        <v/>
      </c>
      <c r="AM155" s="11">
        <f>IFERROR(INDEX(Country_Context!$E$2:$E$87,MATCH($C155,Country_Context!$A$2:$A$87,0)),"")</f>
        <v/>
      </c>
      <c r="AN155" s="11">
        <f>IFERROR(INDEX(Country_Context!$F$2:$F$87,MATCH($C155,Country_Context!$A$2:$A$87,0)),"")</f>
        <v/>
      </c>
      <c r="AO155" s="11">
        <f>IFERROR(INDEX(Country_Context!$G$2:$G$87,MATCH($C155,Country_Context!$A$2:$A$87,0)),"")</f>
        <v/>
      </c>
      <c r="AP155" s="12" t="inlineStr">
        <is>
          <t>https://api.worldbank.org/v2/country/NZL/indicator/NY.GNP.PCAP.PP.CD?format=json&amp;mrv=10 | https://data.worldbank.org/indicator/NY.GNP.PCAP.PP.CD | https://ilostat.ilo.org/data/indicator/?id=HOW_TEMP_SEX_ECO_NB_A&amp;ref_area=NZL | +4 more</t>
        </is>
      </c>
      <c r="AQ155" s="12" t="inlineStr">
        <is>
          <t>Tier 3, Tier 4</t>
        </is>
      </c>
      <c r="AR155" s="12" t="inlineStr">
        <is>
          <t>2024-12-31</t>
        </is>
      </c>
      <c r="AS155" s="12" t="inlineStr">
        <is>
          <t>providers=world_bank_col_estimate, derived, ilo_ilostat, who_gho; fields=gross_income, rent, utilities, transit_cost; +9 additional fields</t>
        </is>
      </c>
      <c r="AT155" s="12" t="inlineStr">
        <is>
          <t>https://api.worldbank.org/v2/country/NZL/indicator/VC.IHR.PSRC.P5?format=json&amp;mrv=10 | https://api.worldbank.org/v2/country/NZL/indicator/SH.H2O.SMDW.ZS?format=json&amp;mrv=10 | https://api.worldbank.org/v2/country/NZL/indicator/IT.NET.BBND.P2?format=json&amp;mrv=10 | +1 more</t>
        </is>
      </c>
      <c r="AU155" s="12" t="inlineStr">
        <is>
          <t>Tier 3</t>
        </is>
      </c>
      <c r="AV155" s="12" t="inlineStr">
        <is>
          <t>2024-12-31</t>
        </is>
      </c>
      <c r="AW155" s="12" t="inlineStr">
        <is>
          <t>providers=world_bank, wmo_natl_met; fields=personal_safety_raw, water_sanitation_utility_raw, digital_infrastructure_raw, climate_sunlight_livability_raw</t>
        </is>
      </c>
      <c r="AX155" s="12" t="inlineStr">
        <is>
          <t>https://www.who.int/data/gho/data/indicators/indicator-details/GHO/UHC_INDEX_REPORTED | https://api.worldbank.org/v2/country/NZL/indicator/SE.TER.ENRR?format=json&amp;mrv=10</t>
        </is>
      </c>
      <c r="AY155" s="12" t="inlineStr">
        <is>
          <t>Tier 3</t>
        </is>
      </c>
      <c r="AZ155" s="12" t="inlineStr">
        <is>
          <t>2023-12-31</t>
        </is>
      </c>
      <c r="BA155" s="12" t="inlineStr">
        <is>
          <t>providers=who_gho, world_bank; fields=healthcare_quality_raw, education_quality_raw</t>
        </is>
      </c>
      <c r="BB155" s="12" t="inlineStr">
        <is>
          <t>https://api.worldbank.org/v2/country/NZL/indicator/SM.POP.NETM?format=json&amp;mrv=10 | https://api.worldbank.org/v2/country/NZL/indicator/SG.GEN.PARL.ZS?format=json&amp;mrv=10 | https://api.worldbank.org/v2/country/NZL/indicator/ST.INT.ARVL?format=json&amp;mrv=10 | +1 more</t>
        </is>
      </c>
      <c r="BC155" s="12" t="inlineStr">
        <is>
          <t>Tier 3</t>
        </is>
      </c>
      <c r="BD155" s="12" t="inlineStr">
        <is>
          <t>2025-12-31</t>
        </is>
      </c>
      <c r="BE155" s="12" t="inlineStr">
        <is>
          <t>providers=world_bank; fields=hospitality_belonging_raw, tolerance_pluralism_raw, cultural_public_life_raw, birth_rate_optimism_raw</t>
        </is>
      </c>
      <c r="BF155" s="12" t="inlineStr">
        <is>
          <t>https://api.worldbank.org/v2/country/NZL/indicator/IC.BUS.NDNS.ZS?format=json&amp;mrv=10 | https://api.worldbank.org/v2/country/NZL/indicator/GB.XPD.RSDV.GD.ZS?format=json&amp;mrv=10 | https://api.worldbank.org/v2/country/NZL/indicator/BX.KLT.DINV.WD.GD.ZS?format=json&amp;mrv=10 | +3 more</t>
        </is>
      </c>
      <c r="BG155" s="12" t="inlineStr">
        <is>
          <t>Tier 3</t>
        </is>
      </c>
      <c r="BH155" s="12" t="inlineStr">
        <is>
          <t>2024-12-31</t>
        </is>
      </c>
      <c r="BI155" s="12" t="inlineStr">
        <is>
          <t>providers=world_bank; fields=entrepreneurial_dynamism_raw, innovation_research_intensity_raw, investment_signal_raw, administrative_investment_friction_raw; +2 additional fields</t>
        </is>
      </c>
      <c r="BJ155" s="9" t="n">
        <v>1.56</v>
      </c>
    </row>
    <row r="156">
      <c r="A156" s="9" t="inlineStr">
        <is>
          <t>pg-port-moresby</t>
        </is>
      </c>
      <c r="B156" s="9" t="inlineStr">
        <is>
          <t>Port Moresby</t>
        </is>
      </c>
      <c r="C156" s="9" t="inlineStr">
        <is>
          <t>Papua New Guinea</t>
        </is>
      </c>
      <c r="D156" s="9" t="inlineStr">
        <is>
          <t>Oceania</t>
        </is>
      </c>
      <c r="E156" s="9" t="inlineStr">
        <is>
          <t>primary</t>
        </is>
      </c>
      <c r="F156" s="9" t="inlineStr">
        <is>
          <t>provisional</t>
        </is>
      </c>
      <c r="G156" s="10" t="n">
        <v>381.67</v>
      </c>
      <c r="H156" s="10" t="n">
        <v>125.95</v>
      </c>
      <c r="I156" s="10" t="n">
        <v>25.19</v>
      </c>
      <c r="J156" s="10" t="n">
        <v>16.79</v>
      </c>
      <c r="K156" s="10" t="n">
        <v>6.3</v>
      </c>
      <c r="L156" s="10" t="n">
        <v>62.98</v>
      </c>
      <c r="M156" s="11" t="inlineStr"/>
      <c r="N156" s="10" t="n">
        <v>32.9997</v>
      </c>
      <c r="O156" s="10" t="inlineStr"/>
      <c r="P156" s="11">
        <f>IF($O156&lt;&gt;"",$O156,$AO156)</f>
        <v/>
      </c>
      <c r="Q156" s="10" t="inlineStr"/>
      <c r="R156" s="10" t="inlineStr"/>
      <c r="S156" s="10" t="inlineStr"/>
      <c r="T156" s="10" t="inlineStr"/>
      <c r="U156" s="10" t="inlineStr"/>
      <c r="V156" s="10" t="inlineStr"/>
      <c r="W156" s="10" t="inlineStr"/>
      <c r="X156" s="9" t="inlineStr"/>
      <c r="Y156" s="10" t="inlineStr"/>
      <c r="Z156" s="10" t="inlineStr"/>
      <c r="AA156" s="10" t="inlineStr"/>
      <c r="AB156" s="10" t="inlineStr"/>
      <c r="AC156" s="10" t="inlineStr"/>
      <c r="AD156" s="10" t="inlineStr"/>
      <c r="AE156" s="10" t="n">
        <v>0.68</v>
      </c>
      <c r="AF156" s="10" t="inlineStr"/>
      <c r="AG156" s="10" t="n">
        <v>-0.62</v>
      </c>
      <c r="AH156" s="10" t="n">
        <v>3.14</v>
      </c>
      <c r="AI156" s="10" t="inlineStr"/>
      <c r="AJ156" s="11">
        <f>IFERROR(INDEX(Country_Context!$B$2:$B$87,MATCH($C156,Country_Context!$A$2:$A$87,0)),"")</f>
        <v/>
      </c>
      <c r="AK156" s="11">
        <f>IFERROR(INDEX(Country_Context!$C$2:$C$87,MATCH($C156,Country_Context!$A$2:$A$87,0)),"")</f>
        <v/>
      </c>
      <c r="AL156" s="11">
        <f>IFERROR(INDEX(Country_Context!$D$2:$D$87,MATCH($C156,Country_Context!$A$2:$A$87,0)),"")</f>
        <v/>
      </c>
      <c r="AM156" s="11">
        <f>IFERROR(INDEX(Country_Context!$E$2:$E$87,MATCH($C156,Country_Context!$A$2:$A$87,0)),"")</f>
        <v/>
      </c>
      <c r="AN156" s="11">
        <f>IFERROR(INDEX(Country_Context!$F$2:$F$87,MATCH($C156,Country_Context!$A$2:$A$87,0)),"")</f>
        <v/>
      </c>
      <c r="AO156" s="11">
        <f>IFERROR(INDEX(Country_Context!$G$2:$G$87,MATCH($C156,Country_Context!$A$2:$A$87,0)),"")</f>
        <v/>
      </c>
      <c r="AP156" s="12" t="inlineStr">
        <is>
          <t>https://api.worldbank.org/v2/country/PNG/indicator/NY.GNP.PCAP.PP.CD?format=json&amp;mrv=10 | https://data.worldbank.org/indicator/NY.GNP.PCAP.PP.CD</t>
        </is>
      </c>
      <c r="AQ156" s="12" t="inlineStr">
        <is>
          <t>Tier 4</t>
        </is>
      </c>
      <c r="AR156" s="12" t="inlineStr">
        <is>
          <t>2024-12-31</t>
        </is>
      </c>
      <c r="AS156" s="12" t="inlineStr">
        <is>
          <t>providers=world_bank_col_estimate, derived; fields=gross_income, rent, utilities, transit_cost; +3 additional fields</t>
        </is>
      </c>
      <c r="AT156" s="12" t="inlineStr"/>
      <c r="AU156" s="12" t="inlineStr"/>
      <c r="AV156" s="12" t="inlineStr"/>
      <c r="AW156" s="12" t="inlineStr"/>
      <c r="AX156" s="12" t="inlineStr"/>
      <c r="AY156" s="12" t="inlineStr"/>
      <c r="AZ156" s="12" t="inlineStr"/>
      <c r="BA156" s="12" t="inlineStr"/>
      <c r="BB156" s="12" t="inlineStr"/>
      <c r="BC156" s="12" t="inlineStr"/>
      <c r="BD156" s="12" t="inlineStr"/>
      <c r="BE156" s="12" t="inlineStr"/>
      <c r="BF156" s="12" t="inlineStr">
        <is>
          <t>https://api.worldbank.org/v2/country/PNG/indicator/IC.BUS.NDNS.ZS?format=json&amp;mrv=10 | https://api.worldbank.org/v2/country/PNG/indicator/BX.KLT.DINV.WD.GD.ZS?format=json&amp;mrv=10 | https://api.worldbank.org/v2/country/PNG/indicator/RQ.EST?format=json&amp;mrv=10</t>
        </is>
      </c>
      <c r="BG156" s="12" t="inlineStr">
        <is>
          <t>Tier 3</t>
        </is>
      </c>
      <c r="BH156" s="12" t="inlineStr">
        <is>
          <t>2024-12-31</t>
        </is>
      </c>
      <c r="BI156" s="12" t="inlineStr">
        <is>
          <t>providers=world_bank; fields=entrepreneurial_dynamism_raw, investment_signal_raw, administrative_investment_friction_raw</t>
        </is>
      </c>
      <c r="BJ156" s="9" t="inlineStr"/>
    </row>
    <row r="157">
      <c r="A157" s="9" t="inlineStr">
        <is>
          <t>ws-apia</t>
        </is>
      </c>
      <c r="B157" s="9" t="inlineStr">
        <is>
          <t>Apia</t>
        </is>
      </c>
      <c r="C157" s="9" t="inlineStr">
        <is>
          <t>Samoa</t>
        </is>
      </c>
      <c r="D157" s="9" t="inlineStr">
        <is>
          <t>Oceania</t>
        </is>
      </c>
      <c r="E157" s="9" t="inlineStr">
        <is>
          <t>primary</t>
        </is>
      </c>
      <c r="F157" s="9" t="inlineStr">
        <is>
          <t>provisional</t>
        </is>
      </c>
      <c r="G157" s="10" t="n">
        <v>718.33</v>
      </c>
      <c r="H157" s="10" t="n">
        <v>193.95</v>
      </c>
      <c r="I157" s="10" t="n">
        <v>38.79</v>
      </c>
      <c r="J157" s="10" t="n">
        <v>25.86</v>
      </c>
      <c r="K157" s="10" t="n">
        <v>9.699999999999999</v>
      </c>
      <c r="L157" s="10" t="n">
        <v>96.97</v>
      </c>
      <c r="M157" s="11" t="inlineStr"/>
      <c r="N157" s="10" t="n">
        <v>27.0001</v>
      </c>
      <c r="O157" s="10" t="inlineStr"/>
      <c r="P157" s="11">
        <f>IF($O157&lt;&gt;"",$O157,$AO157)</f>
        <v/>
      </c>
      <c r="Q157" s="10" t="inlineStr"/>
      <c r="R157" s="10" t="inlineStr"/>
      <c r="S157" s="10" t="inlineStr"/>
      <c r="T157" s="10" t="inlineStr"/>
      <c r="U157" s="10" t="inlineStr"/>
      <c r="V157" s="10" t="inlineStr"/>
      <c r="W157" s="10" t="inlineStr"/>
      <c r="X157" s="9" t="inlineStr"/>
      <c r="Y157" s="10" t="inlineStr"/>
      <c r="Z157" s="10" t="inlineStr"/>
      <c r="AA157" s="10" t="inlineStr"/>
      <c r="AB157" s="10" t="inlineStr"/>
      <c r="AC157" s="10" t="inlineStr"/>
      <c r="AD157" s="10" t="inlineStr"/>
      <c r="AE157" s="10" t="n">
        <v>0.68</v>
      </c>
      <c r="AF157" s="10" t="inlineStr"/>
      <c r="AG157" s="10" t="n">
        <v>0.32</v>
      </c>
      <c r="AH157" s="10" t="n">
        <v>2.77</v>
      </c>
      <c r="AI157" s="10" t="inlineStr"/>
      <c r="AJ157" s="11">
        <f>IFERROR(INDEX(Country_Context!$B$2:$B$87,MATCH($C157,Country_Context!$A$2:$A$87,0)),"")</f>
        <v/>
      </c>
      <c r="AK157" s="11">
        <f>IFERROR(INDEX(Country_Context!$C$2:$C$87,MATCH($C157,Country_Context!$A$2:$A$87,0)),"")</f>
        <v/>
      </c>
      <c r="AL157" s="11">
        <f>IFERROR(INDEX(Country_Context!$D$2:$D$87,MATCH($C157,Country_Context!$A$2:$A$87,0)),"")</f>
        <v/>
      </c>
      <c r="AM157" s="11">
        <f>IFERROR(INDEX(Country_Context!$E$2:$E$87,MATCH($C157,Country_Context!$A$2:$A$87,0)),"")</f>
        <v/>
      </c>
      <c r="AN157" s="11">
        <f>IFERROR(INDEX(Country_Context!$F$2:$F$87,MATCH($C157,Country_Context!$A$2:$A$87,0)),"")</f>
        <v/>
      </c>
      <c r="AO157" s="11">
        <f>IFERROR(INDEX(Country_Context!$G$2:$G$87,MATCH($C157,Country_Context!$A$2:$A$87,0)),"")</f>
        <v/>
      </c>
      <c r="AP157" s="12" t="inlineStr">
        <is>
          <t>https://api.worldbank.org/v2/country/WSM/indicator/NY.GNP.PCAP.PP.CD?format=json&amp;mrv=10 | https://data.worldbank.org/indicator/NY.GNP.PCAP.PP.CD</t>
        </is>
      </c>
      <c r="AQ157" s="12" t="inlineStr">
        <is>
          <t>Tier 4</t>
        </is>
      </c>
      <c r="AR157" s="12" t="inlineStr">
        <is>
          <t>2024-12-31</t>
        </is>
      </c>
      <c r="AS157" s="12" t="inlineStr">
        <is>
          <t>providers=world_bank_col_estimate, derived; fields=gross_income, rent, utilities, transit_cost; +3 additional fields</t>
        </is>
      </c>
      <c r="AT157" s="12" t="inlineStr"/>
      <c r="AU157" s="12" t="inlineStr"/>
      <c r="AV157" s="12" t="inlineStr"/>
      <c r="AW157" s="12" t="inlineStr"/>
      <c r="AX157" s="12" t="inlineStr"/>
      <c r="AY157" s="12" t="inlineStr"/>
      <c r="AZ157" s="12" t="inlineStr"/>
      <c r="BA157" s="12" t="inlineStr"/>
      <c r="BB157" s="12" t="inlineStr"/>
      <c r="BC157" s="12" t="inlineStr"/>
      <c r="BD157" s="12" t="inlineStr"/>
      <c r="BE157" s="12" t="inlineStr"/>
      <c r="BF157" s="12" t="inlineStr">
        <is>
          <t>https://api.worldbank.org/v2/country/WSM/indicator/IC.BUS.NDNS.ZS?format=json&amp;mrv=10 | https://api.worldbank.org/v2/country/WSM/indicator/BX.KLT.DINV.WD.GD.ZS?format=json&amp;mrv=10 | https://api.worldbank.org/v2/country/WSM/indicator/RQ.EST?format=json&amp;mrv=10</t>
        </is>
      </c>
      <c r="BG157" s="12" t="inlineStr">
        <is>
          <t>Tier 3</t>
        </is>
      </c>
      <c r="BH157" s="12" t="inlineStr">
        <is>
          <t>2024-12-31</t>
        </is>
      </c>
      <c r="BI157" s="12" t="inlineStr">
        <is>
          <t>providers=world_bank; fields=entrepreneurial_dynamism_raw, investment_signal_raw, administrative_investment_friction_raw</t>
        </is>
      </c>
      <c r="BJ157" s="9" t="inlineStr"/>
    </row>
    <row r="158">
      <c r="A158" s="9" t="inlineStr">
        <is>
          <t>vu-port-vila</t>
        </is>
      </c>
      <c r="B158" s="9" t="inlineStr">
        <is>
          <t>Port Vila</t>
        </is>
      </c>
      <c r="C158" s="9" t="inlineStr">
        <is>
          <t>Vanuatu</t>
        </is>
      </c>
      <c r="D158" s="9" t="inlineStr">
        <is>
          <t>Oceania</t>
        </is>
      </c>
      <c r="E158" s="9" t="inlineStr">
        <is>
          <t>primary</t>
        </is>
      </c>
      <c r="F158" s="9" t="inlineStr">
        <is>
          <t>provisional</t>
        </is>
      </c>
      <c r="G158" s="10" t="n">
        <v>345</v>
      </c>
      <c r="H158" s="10" t="n">
        <v>98.31999999999999</v>
      </c>
      <c r="I158" s="10" t="n">
        <v>19.66</v>
      </c>
      <c r="J158" s="10" t="n">
        <v>13.11</v>
      </c>
      <c r="K158" s="10" t="n">
        <v>4.92</v>
      </c>
      <c r="L158" s="10" t="n">
        <v>49.16</v>
      </c>
      <c r="M158" s="11" t="inlineStr"/>
      <c r="N158" s="10" t="n">
        <v>28.4986</v>
      </c>
      <c r="O158" s="10" t="inlineStr"/>
      <c r="P158" s="11">
        <f>IF($O158&lt;&gt;"",$O158,$AO158)</f>
        <v/>
      </c>
      <c r="Q158" s="10" t="inlineStr"/>
      <c r="R158" s="10" t="inlineStr"/>
      <c r="S158" s="10" t="inlineStr"/>
      <c r="T158" s="10" t="inlineStr"/>
      <c r="U158" s="10" t="inlineStr"/>
      <c r="V158" s="10" t="inlineStr"/>
      <c r="W158" s="10" t="inlineStr"/>
      <c r="X158" s="9" t="inlineStr"/>
      <c r="Y158" s="10" t="inlineStr"/>
      <c r="Z158" s="10" t="inlineStr"/>
      <c r="AA158" s="10" t="n">
        <v>32.3</v>
      </c>
      <c r="AB158" s="10" t="inlineStr"/>
      <c r="AC158" s="10" t="inlineStr"/>
      <c r="AD158" s="10" t="inlineStr"/>
      <c r="AE158" s="10" t="n">
        <v>1.54</v>
      </c>
      <c r="AF158" s="10" t="inlineStr"/>
      <c r="AG158" s="10" t="n">
        <v>2.58</v>
      </c>
      <c r="AH158" s="10" t="n">
        <v>2.62</v>
      </c>
      <c r="AI158" s="10" t="inlineStr"/>
      <c r="AJ158" s="11">
        <f>IFERROR(INDEX(Country_Context!$B$2:$B$87,MATCH($C158,Country_Context!$A$2:$A$87,0)),"")</f>
        <v/>
      </c>
      <c r="AK158" s="11">
        <f>IFERROR(INDEX(Country_Context!$C$2:$C$87,MATCH($C158,Country_Context!$A$2:$A$87,0)),"")</f>
        <v/>
      </c>
      <c r="AL158" s="11">
        <f>IFERROR(INDEX(Country_Context!$D$2:$D$87,MATCH($C158,Country_Context!$A$2:$A$87,0)),"")</f>
        <v/>
      </c>
      <c r="AM158" s="11">
        <f>IFERROR(INDEX(Country_Context!$E$2:$E$87,MATCH($C158,Country_Context!$A$2:$A$87,0)),"")</f>
        <v/>
      </c>
      <c r="AN158" s="11">
        <f>IFERROR(INDEX(Country_Context!$F$2:$F$87,MATCH($C158,Country_Context!$A$2:$A$87,0)),"")</f>
        <v/>
      </c>
      <c r="AO158" s="11">
        <f>IFERROR(INDEX(Country_Context!$G$2:$G$87,MATCH($C158,Country_Context!$A$2:$A$87,0)),"")</f>
        <v/>
      </c>
      <c r="AP158" s="12" t="inlineStr">
        <is>
          <t>https://api.worldbank.org/v2/country/VUT/indicator/NY.GNP.PCAP.PP.CD?format=json&amp;mrv=10 | https://data.worldbank.org/indicator/NY.GNP.PCAP.PP.CD</t>
        </is>
      </c>
      <c r="AQ158" s="12" t="inlineStr">
        <is>
          <t>Tier 4</t>
        </is>
      </c>
      <c r="AR158" s="12" t="inlineStr">
        <is>
          <t>2024-12-31</t>
        </is>
      </c>
      <c r="AS158" s="12" t="inlineStr">
        <is>
          <t>providers=world_bank_col_estimate, derived; fields=gross_income, rent, utilities, transit_cost; +3 additional fields</t>
        </is>
      </c>
      <c r="AT158" s="12" t="inlineStr"/>
      <c r="AU158" s="12" t="inlineStr"/>
      <c r="AV158" s="12" t="inlineStr"/>
      <c r="AW158" s="12" t="inlineStr"/>
      <c r="AX158" s="12" t="inlineStr">
        <is>
          <t>https://api.worldbank.org/v2/country/VUT/indicator/SI.POV.GINI?format=json&amp;mrv=10</t>
        </is>
      </c>
      <c r="AY158" s="12" t="inlineStr">
        <is>
          <t>Tier 3</t>
        </is>
      </c>
      <c r="AZ158" s="12" t="inlineStr">
        <is>
          <t>2019-12-31</t>
        </is>
      </c>
      <c r="BA158" s="12" t="inlineStr">
        <is>
          <t>providers=world_bank; fields=equal_opportunity_raw</t>
        </is>
      </c>
      <c r="BB158" s="12" t="inlineStr"/>
      <c r="BC158" s="12" t="inlineStr"/>
      <c r="BD158" s="12" t="inlineStr"/>
      <c r="BE158" s="12" t="inlineStr"/>
      <c r="BF158" s="12" t="inlineStr">
        <is>
          <t>https://api.worldbank.org/v2/country/VUT/indicator/IC.BUS.NDNS.ZS?format=json&amp;mrv=10 | https://api.worldbank.org/v2/country/VUT/indicator/BX.KLT.DINV.WD.GD.ZS?format=json&amp;mrv=10 | https://api.worldbank.org/v2/country/VUT/indicator/RQ.EST?format=json&amp;mrv=10</t>
        </is>
      </c>
      <c r="BG158" s="12" t="inlineStr">
        <is>
          <t>Tier 3</t>
        </is>
      </c>
      <c r="BH158" s="12" t="inlineStr">
        <is>
          <t>2024-12-31</t>
        </is>
      </c>
      <c r="BI158" s="12" t="inlineStr">
        <is>
          <t>providers=world_bank; fields=entrepreneurial_dynamism_raw, investment_signal_raw, administrative_investment_friction_raw</t>
        </is>
      </c>
      <c r="BJ158" s="9" t="inlineStr"/>
    </row>
  </sheetData>
  <autoFilter ref="A1:BJ1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6" customWidth="1" min="2" max="2"/>
    <col width="36" customWidth="1" min="3" max="3"/>
    <col width="16" customWidth="1" min="4" max="4"/>
    <col width="17" customWidth="1" min="5" max="5"/>
    <col width="36" customWidth="1" min="6" max="6"/>
    <col width="36" customWidth="1" min="7" max="7"/>
    <col width="36" customWidth="1" min="8" max="8"/>
  </cols>
  <sheetData>
    <row r="1">
      <c r="A1" s="6" t="inlineStr">
        <is>
          <t>input_key</t>
        </is>
      </c>
      <c r="B1" s="6" t="inlineStr">
        <is>
          <t>label</t>
        </is>
      </c>
      <c r="C1" s="6" t="inlineStr">
        <is>
          <t>source_column</t>
        </is>
      </c>
      <c r="D1" s="6" t="inlineStr">
        <is>
          <t>directionality</t>
        </is>
      </c>
      <c r="E1" s="6" t="inlineStr">
        <is>
          <t>coverage_weight</t>
        </is>
      </c>
      <c r="F1" s="6" t="inlineStr">
        <is>
          <t>p05</t>
        </is>
      </c>
      <c r="G1" s="6" t="inlineStr">
        <is>
          <t>p95</t>
        </is>
      </c>
      <c r="H1" s="6" t="inlineStr">
        <is>
          <t>notes</t>
        </is>
      </c>
    </row>
    <row r="2">
      <c r="A2" t="inlineStr">
        <is>
          <t>di_ppp_raw</t>
        </is>
      </c>
      <c r="B2" t="inlineStr">
        <is>
          <t>Tax-adjusted PPP disposable income raw</t>
        </is>
      </c>
      <c r="C2" t="inlineStr">
        <is>
          <t>di_ppp_raw</t>
        </is>
      </c>
      <c r="D2" t="inlineStr">
        <is>
          <t>positive</t>
        </is>
      </c>
      <c r="E2" t="n">
        <v>1</v>
      </c>
      <c r="F2" s="13">
        <f>IF(COUNT(City_Inputs!$M$2:$M$158)&gt;=2,PERCENTILE.INC(City_Inputs!$M$2:$M$158,0.05),"")</f>
        <v/>
      </c>
      <c r="G2" s="13">
        <f>IF(COUNT(City_Inputs!$M$2:$M$158)&gt;=2,PERCENTILE.INC(City_Inputs!$M$2:$M$158,0.95),"")</f>
        <v/>
      </c>
      <c r="H2" t="inlineStr">
        <is>
          <t>Derived in City_Inputs from country context and essential-cost deductions.</t>
        </is>
      </c>
    </row>
    <row r="3">
      <c r="A3" t="inlineStr">
        <is>
          <t>housing_burden_raw</t>
        </is>
      </c>
      <c r="B3" t="inlineStr">
        <is>
          <t>Housing burden raw</t>
        </is>
      </c>
      <c r="C3" t="inlineStr">
        <is>
          <t>housing_burden_raw</t>
        </is>
      </c>
      <c r="D3" t="inlineStr">
        <is>
          <t>negative</t>
        </is>
      </c>
      <c r="E3" t="n">
        <v>1</v>
      </c>
      <c r="F3" s="13">
        <f>IF(COUNT(City_Inputs!$N$2:$N$158)&gt;=2,PERCENTILE.INC(City_Inputs!$N$2:$N$158,0.05),"")</f>
        <v/>
      </c>
      <c r="G3" s="13">
        <f>IF(COUNT(City_Inputs!$N$2:$N$158)&gt;=2,PERCENTILE.INC(City_Inputs!$N$2:$N$158,0.95),"")</f>
        <v/>
      </c>
      <c r="H3" t="inlineStr">
        <is>
          <t>Higher housing share scores worse.</t>
        </is>
      </c>
    </row>
    <row r="4">
      <c r="A4" t="inlineStr">
        <is>
          <t>household_debt_effective_raw</t>
        </is>
      </c>
      <c r="B4" t="inlineStr">
        <is>
          <t>Household debt effective raw</t>
        </is>
      </c>
      <c r="C4" t="inlineStr">
        <is>
          <t>household_debt_effective_raw</t>
        </is>
      </c>
      <c r="D4" t="inlineStr">
        <is>
          <t>negative</t>
        </is>
      </c>
      <c r="E4" t="n">
        <v>1</v>
      </c>
      <c r="F4" s="13">
        <f>IF(COUNT(City_Inputs!$P$2:$P$158)&gt;=2,PERCENTILE.INC(City_Inputs!$P$2:$P$158,0.05),"")</f>
        <v/>
      </c>
      <c r="G4" s="13">
        <f>IF(COUNT(City_Inputs!$P$2:$P$158)&gt;=2,PERCENTILE.INC(City_Inputs!$P$2:$P$158,0.95),"")</f>
        <v/>
      </c>
      <c r="H4" t="inlineStr">
        <is>
          <t>Uses country proxy where city debt burden is missing.</t>
        </is>
      </c>
    </row>
    <row r="5">
      <c r="A5" t="inlineStr">
        <is>
          <t>working_time_pressure_raw</t>
        </is>
      </c>
      <c r="B5" t="inlineStr">
        <is>
          <t>Working time pressure raw</t>
        </is>
      </c>
      <c r="C5" t="inlineStr">
        <is>
          <t>working_time_pressure_raw</t>
        </is>
      </c>
      <c r="D5" t="inlineStr">
        <is>
          <t>negative</t>
        </is>
      </c>
      <c r="E5" t="n">
        <v>1</v>
      </c>
      <c r="F5" s="13">
        <f>IF(COUNT(City_Inputs!$Q$2:$Q$158)&gt;=2,PERCENTILE.INC(City_Inputs!$Q$2:$Q$158,0.05),"")</f>
        <v/>
      </c>
      <c r="G5" s="13">
        <f>IF(COUNT(City_Inputs!$Q$2:$Q$158)&gt;=2,PERCENTILE.INC(City_Inputs!$Q$2:$Q$158,0.95),"")</f>
        <v/>
      </c>
      <c r="H5" t="inlineStr">
        <is>
          <t>Higher weekly work burden scores worse.</t>
        </is>
      </c>
    </row>
    <row r="6">
      <c r="A6" t="inlineStr">
        <is>
          <t>suicide_mental_strain_raw</t>
        </is>
      </c>
      <c r="B6" t="inlineStr">
        <is>
          <t>Suicide and mental strain raw</t>
        </is>
      </c>
      <c r="C6" t="inlineStr">
        <is>
          <t>suicide_mental_strain_raw</t>
        </is>
      </c>
      <c r="D6" t="inlineStr">
        <is>
          <t>negative</t>
        </is>
      </c>
      <c r="E6" t="n">
        <v>1</v>
      </c>
      <c r="F6" s="13">
        <f>IF(COUNT(City_Inputs!$R$2:$R$158)&gt;=2,PERCENTILE.INC(City_Inputs!$R$2:$R$158,0.05),"")</f>
        <v/>
      </c>
      <c r="G6" s="13">
        <f>IF(COUNT(City_Inputs!$R$2:$R$158)&gt;=2,PERCENTILE.INC(City_Inputs!$R$2:$R$158,0.95),"")</f>
        <v/>
      </c>
      <c r="H6" t="inlineStr">
        <is>
          <t>Higher suicide or strain proxy scores worse.</t>
        </is>
      </c>
    </row>
    <row r="7">
      <c r="A7" t="inlineStr">
        <is>
          <t>personal_safety_raw</t>
        </is>
      </c>
      <c r="B7" t="inlineStr">
        <is>
          <t>Personal safety harm raw</t>
        </is>
      </c>
      <c r="C7" t="inlineStr">
        <is>
          <t>personal_safety_raw</t>
        </is>
      </c>
      <c r="D7" t="inlineStr">
        <is>
          <t>negative</t>
        </is>
      </c>
      <c r="E7" t="n">
        <v>1</v>
      </c>
      <c r="F7" s="13">
        <f>IF(COUNT(City_Inputs!$S$2:$S$158)&gt;=2,PERCENTILE.INC(City_Inputs!$S$2:$S$158,0.05),"")</f>
        <v/>
      </c>
      <c r="G7" s="13">
        <f>IF(COUNT(City_Inputs!$S$2:$S$158)&gt;=2,PERCENTILE.INC(City_Inputs!$S$2:$S$158,0.95),"")</f>
        <v/>
      </c>
      <c r="H7" t="inlineStr">
        <is>
          <t>Higher harm or victimization scores worse.</t>
        </is>
      </c>
    </row>
    <row r="8">
      <c r="A8" t="inlineStr">
        <is>
          <t>transit_access_commute_raw</t>
        </is>
      </c>
      <c r="B8" t="inlineStr">
        <is>
          <t>Transit access and commute raw</t>
        </is>
      </c>
      <c r="C8" t="inlineStr">
        <is>
          <t>transit_access_commute_raw</t>
        </is>
      </c>
      <c r="D8" t="inlineStr">
        <is>
          <t>positive</t>
        </is>
      </c>
      <c r="E8" t="n">
        <v>1</v>
      </c>
      <c r="F8" s="13">
        <f>IF(COUNT(City_Inputs!$T$2:$T$158)&gt;=2,PERCENTILE.INC(City_Inputs!$T$2:$T$158,0.05),"")</f>
        <v/>
      </c>
      <c r="G8" s="13">
        <f>IF(COUNT(City_Inputs!$T$2:$T$158)&gt;=2,PERCENTILE.INC(City_Inputs!$T$2:$T$158,0.95),"")</f>
        <v/>
      </c>
      <c r="H8" t="inlineStr">
        <is>
          <t>Higher access/lower burden composite scores better.</t>
        </is>
      </c>
    </row>
    <row r="9">
      <c r="A9" t="inlineStr">
        <is>
          <t>clean_air_raw</t>
        </is>
      </c>
      <c r="B9" t="inlineStr">
        <is>
          <t>Clean air raw</t>
        </is>
      </c>
      <c r="C9" t="inlineStr">
        <is>
          <t>clean_air_raw</t>
        </is>
      </c>
      <c r="D9" t="inlineStr">
        <is>
          <t>negative</t>
        </is>
      </c>
      <c r="E9" t="n">
        <v>1</v>
      </c>
      <c r="F9" s="13">
        <f>IF(COUNT(City_Inputs!$U$2:$U$158)&gt;=2,PERCENTILE.INC(City_Inputs!$U$2:$U$158,0.05),"")</f>
        <v/>
      </c>
      <c r="G9" s="13">
        <f>IF(COUNT(City_Inputs!$U$2:$U$158)&gt;=2,PERCENTILE.INC(City_Inputs!$U$2:$U$158,0.95),"")</f>
        <v/>
      </c>
      <c r="H9" t="inlineStr">
        <is>
          <t>Higher PM2.5 or pollution exposure scores worse.</t>
        </is>
      </c>
    </row>
    <row r="10">
      <c r="A10" t="inlineStr">
        <is>
          <t>water_sanitation_utility_raw</t>
        </is>
      </c>
      <c r="B10" t="inlineStr">
        <is>
          <t>Water, sanitation, and utility reliability raw</t>
        </is>
      </c>
      <c r="C10" t="inlineStr">
        <is>
          <t>water_sanitation_utility_raw</t>
        </is>
      </c>
      <c r="D10" t="inlineStr">
        <is>
          <t>positive</t>
        </is>
      </c>
      <c r="E10" t="n">
        <v>1</v>
      </c>
      <c r="F10" s="13">
        <f>IF(COUNT(City_Inputs!$V$2:$V$158)&gt;=2,PERCENTILE.INC(City_Inputs!$V$2:$V$158,0.05),"")</f>
        <v/>
      </c>
      <c r="G10" s="13">
        <f>IF(COUNT(City_Inputs!$V$2:$V$158)&gt;=2,PERCENTILE.INC(City_Inputs!$V$2:$V$158,0.95),"")</f>
        <v/>
      </c>
      <c r="H10" t="inlineStr">
        <is>
          <t>Higher safe-service composite scores better.</t>
        </is>
      </c>
    </row>
    <row r="11">
      <c r="A11" t="inlineStr">
        <is>
          <t>digital_infrastructure_raw</t>
        </is>
      </c>
      <c r="B11" t="inlineStr">
        <is>
          <t>Digital infrastructure raw</t>
        </is>
      </c>
      <c r="C11" t="inlineStr">
        <is>
          <t>digital_infrastructure_raw</t>
        </is>
      </c>
      <c r="D11" t="inlineStr">
        <is>
          <t>positive</t>
        </is>
      </c>
      <c r="E11" t="n">
        <v>1</v>
      </c>
      <c r="F11" s="13">
        <f>IF(COUNT(City_Inputs!$W$2:$W$158)&gt;=2,PERCENTILE.INC(City_Inputs!$W$2:$W$158,0.05),"")</f>
        <v/>
      </c>
      <c r="G11" s="13">
        <f>IF(COUNT(City_Inputs!$W$2:$W$158)&gt;=2,PERCENTILE.INC(City_Inputs!$W$2:$W$158,0.95),"")</f>
        <v/>
      </c>
      <c r="H11" t="inlineStr">
        <is>
          <t>Higher digital quality and affordability score better.</t>
        </is>
      </c>
    </row>
    <row r="12">
      <c r="A12" t="inlineStr">
        <is>
          <t>climate_sunlight_livability_raw</t>
        </is>
      </c>
      <c r="B12" t="inlineStr">
        <is>
          <t>Climate and sunlight livability raw</t>
        </is>
      </c>
      <c r="C12" t="inlineStr">
        <is>
          <t>climate_sunlight_livability_raw</t>
        </is>
      </c>
      <c r="D12" t="inlineStr">
        <is>
          <t>positive</t>
        </is>
      </c>
      <c r="E12" t="n">
        <v>1</v>
      </c>
      <c r="F12" s="13">
        <f>IF(COUNT(City_Inputs!$X$2:$X$158)&gt;=2,PERCENTILE.INC(City_Inputs!$X$2:$X$158,0.05),"")</f>
        <v/>
      </c>
      <c r="G12" s="13">
        <f>IF(COUNT(City_Inputs!$X$2:$X$158)&gt;=2,PERCENTILE.INC(City_Inputs!$X$2:$X$158,0.95),"")</f>
        <v/>
      </c>
      <c r="H12" t="inlineStr">
        <is>
          <t>Higher livability composite scores better. Penalizes extreme darkness and extreme heat.</t>
        </is>
      </c>
    </row>
    <row r="13">
      <c r="A13" t="inlineStr">
        <is>
          <t>healthcare_quality_raw</t>
        </is>
      </c>
      <c r="B13" t="inlineStr">
        <is>
          <t>Healthcare quality raw</t>
        </is>
      </c>
      <c r="C13" t="inlineStr">
        <is>
          <t>healthcare_quality_raw</t>
        </is>
      </c>
      <c r="D13" t="inlineStr">
        <is>
          <t>positive</t>
        </is>
      </c>
      <c r="E13" t="n">
        <v>1</v>
      </c>
      <c r="F13" s="13">
        <f>IF(COUNT(City_Inputs!$Y$2:$Y$158)&gt;=2,PERCENTILE.INC(City_Inputs!$Y$2:$Y$158,0.05),"")</f>
        <v/>
      </c>
      <c r="G13" s="13">
        <f>IF(COUNT(City_Inputs!$Y$2:$Y$158)&gt;=2,PERCENTILE.INC(City_Inputs!$Y$2:$Y$158,0.95),"")</f>
        <v/>
      </c>
      <c r="H13" t="inlineStr">
        <is>
          <t>Higher effective-care quality scores better.</t>
        </is>
      </c>
    </row>
    <row r="14">
      <c r="A14" t="inlineStr">
        <is>
          <t>education_quality_raw</t>
        </is>
      </c>
      <c r="B14" t="inlineStr">
        <is>
          <t>Education quality raw</t>
        </is>
      </c>
      <c r="C14" t="inlineStr">
        <is>
          <t>education_quality_raw</t>
        </is>
      </c>
      <c r="D14" t="inlineStr">
        <is>
          <t>positive</t>
        </is>
      </c>
      <c r="E14" t="n">
        <v>1</v>
      </c>
      <c r="F14" s="13">
        <f>IF(COUNT(City_Inputs!$Z$2:$Z$158)&gt;=2,PERCENTILE.INC(City_Inputs!$Z$2:$Z$158,0.05),"")</f>
        <v/>
      </c>
      <c r="G14" s="13">
        <f>IF(COUNT(City_Inputs!$Z$2:$Z$158)&gt;=2,PERCENTILE.INC(City_Inputs!$Z$2:$Z$158,0.95),"")</f>
        <v/>
      </c>
      <c r="H14" t="inlineStr">
        <is>
          <t>Higher learning quality scores better.</t>
        </is>
      </c>
    </row>
    <row r="15">
      <c r="A15" t="inlineStr">
        <is>
          <t>equal_opportunity_raw</t>
        </is>
      </c>
      <c r="B15" t="inlineStr">
        <is>
          <t>Equal opportunity raw</t>
        </is>
      </c>
      <c r="C15" t="inlineStr">
        <is>
          <t>equal_opportunity_raw</t>
        </is>
      </c>
      <c r="D15" t="inlineStr">
        <is>
          <t>positive</t>
        </is>
      </c>
      <c r="E15" t="n">
        <v>0.7</v>
      </c>
      <c r="F15" s="13">
        <f>IF(COUNT(City_Inputs!$AA$2:$AA$158)&gt;=2,PERCENTILE.INC(City_Inputs!$AA$2:$AA$158,0.05),"")</f>
        <v/>
      </c>
      <c r="G15" s="13">
        <f>IF(COUNT(City_Inputs!$AA$2:$AA$158)&gt;=2,PERCENTILE.INC(City_Inputs!$AA$2:$AA$158,0.95),"")</f>
        <v/>
      </c>
      <c r="H15" t="inlineStr">
        <is>
          <t>Primary opportunity component.</t>
        </is>
      </c>
    </row>
    <row r="16">
      <c r="A16" t="inlineStr">
        <is>
          <t>gini_coefficient_context</t>
        </is>
      </c>
      <c r="B16" t="inlineStr">
        <is>
          <t>Gini coefficient context raw</t>
        </is>
      </c>
      <c r="C16" t="inlineStr">
        <is>
          <t>gini_coefficient_context</t>
        </is>
      </c>
      <c r="D16" t="inlineStr">
        <is>
          <t>negative</t>
        </is>
      </c>
      <c r="E16" t="n">
        <v>0.3</v>
      </c>
      <c r="F16" s="13">
        <f>IF(COUNT(City_Inputs!$AL$2:$AL$158)&gt;=2,PERCENTILE.INC(City_Inputs!$AL$2:$AL$158,0.05),"")</f>
        <v/>
      </c>
      <c r="G16" s="13">
        <f>IF(COUNT(City_Inputs!$AL$2:$AL$158)&gt;=2,PERCENTILE.INC(City_Inputs!$AL$2:$AL$158,0.95),"")</f>
        <v/>
      </c>
      <c r="H16" t="inlineStr">
        <is>
          <t>Country-context fairness component.</t>
        </is>
      </c>
    </row>
    <row r="17">
      <c r="A17" t="inlineStr">
        <is>
          <t>hospitality_belonging_raw</t>
        </is>
      </c>
      <c r="B17" t="inlineStr">
        <is>
          <t>Hospitality and belonging raw</t>
        </is>
      </c>
      <c r="C17" t="inlineStr">
        <is>
          <t>hospitality_belonging_raw</t>
        </is>
      </c>
      <c r="D17" t="inlineStr">
        <is>
          <t>positive</t>
        </is>
      </c>
      <c r="E17" t="n">
        <v>1</v>
      </c>
      <c r="F17" s="13">
        <f>IF(COUNT(City_Inputs!$AB$2:$AB$158)&gt;=2,PERCENTILE.INC(City_Inputs!$AB$2:$AB$158,0.05),"")</f>
        <v/>
      </c>
      <c r="G17" s="13">
        <f>IF(COUNT(City_Inputs!$AB$2:$AB$158)&gt;=2,PERCENTILE.INC(City_Inputs!$AB$2:$AB$158,0.95),"")</f>
        <v/>
      </c>
      <c r="H17" t="inlineStr">
        <is>
          <t>Higher civic warmth and belonging scores better.</t>
        </is>
      </c>
    </row>
    <row r="18">
      <c r="A18" t="inlineStr">
        <is>
          <t>tolerance_pluralism_raw</t>
        </is>
      </c>
      <c r="B18" t="inlineStr">
        <is>
          <t>Tolerance and pluralism raw</t>
        </is>
      </c>
      <c r="C18" t="inlineStr">
        <is>
          <t>tolerance_pluralism_raw</t>
        </is>
      </c>
      <c r="D18" t="inlineStr">
        <is>
          <t>positive</t>
        </is>
      </c>
      <c r="E18" t="n">
        <v>1</v>
      </c>
      <c r="F18" s="13">
        <f>IF(COUNT(City_Inputs!$AC$2:$AC$158)&gt;=2,PERCENTILE.INC(City_Inputs!$AC$2:$AC$158,0.05),"")</f>
        <v/>
      </c>
      <c r="G18" s="13">
        <f>IF(COUNT(City_Inputs!$AC$2:$AC$158)&gt;=2,PERCENTILE.INC(City_Inputs!$AC$2:$AC$158,0.95),"")</f>
        <v/>
      </c>
      <c r="H18" t="inlineStr">
        <is>
          <t>Higher coexistence and openness scores better.</t>
        </is>
      </c>
    </row>
    <row r="19">
      <c r="A19" t="inlineStr">
        <is>
          <t>cultural_public_life_raw</t>
        </is>
      </c>
      <c r="B19" t="inlineStr">
        <is>
          <t>Cultural, historic, and public-life vitality raw</t>
        </is>
      </c>
      <c r="C19" t="inlineStr">
        <is>
          <t>cultural_public_life_raw</t>
        </is>
      </c>
      <c r="D19" t="inlineStr">
        <is>
          <t>positive</t>
        </is>
      </c>
      <c r="E19" t="n">
        <v>1</v>
      </c>
      <c r="F19" s="13">
        <f>IF(COUNT(City_Inputs!$AD$2:$AD$158)&gt;=2,PERCENTILE.INC(City_Inputs!$AD$2:$AD$158,0.05),"")</f>
        <v/>
      </c>
      <c r="G19" s="13">
        <f>IF(COUNT(City_Inputs!$AD$2:$AD$158)&gt;=2,PERCENTILE.INC(City_Inputs!$AD$2:$AD$158,0.95),"")</f>
        <v/>
      </c>
      <c r="H19" t="inlineStr">
        <is>
          <t>Higher everyday cultural vitality scores better.</t>
        </is>
      </c>
    </row>
    <row r="20">
      <c r="A20" t="inlineStr">
        <is>
          <t>entrepreneurial_dynamism_raw</t>
        </is>
      </c>
      <c r="B20" t="inlineStr">
        <is>
          <t>Entrepreneurial dynamism raw</t>
        </is>
      </c>
      <c r="C20" t="inlineStr">
        <is>
          <t>entrepreneurial_dynamism_raw</t>
        </is>
      </c>
      <c r="D20" t="inlineStr">
        <is>
          <t>positive</t>
        </is>
      </c>
      <c r="E20" t="n">
        <v>1</v>
      </c>
      <c r="F20" s="13">
        <f>IF(COUNT(City_Inputs!$AE$2:$AE$158)&gt;=2,PERCENTILE.INC(City_Inputs!$AE$2:$AE$158,0.05),"")</f>
        <v/>
      </c>
      <c r="G20" s="13">
        <f>IF(COUNT(City_Inputs!$AE$2:$AE$158)&gt;=2,PERCENTILE.INC(City_Inputs!$AE$2:$AE$158,0.95),"")</f>
        <v/>
      </c>
      <c r="H20" t="inlineStr">
        <is>
          <t>Higher new-business dynamism scores better.</t>
        </is>
      </c>
    </row>
    <row r="21">
      <c r="A21" t="inlineStr">
        <is>
          <t>innovation_research_intensity_raw</t>
        </is>
      </c>
      <c r="B21" t="inlineStr">
        <is>
          <t>Innovation and research intensity raw</t>
        </is>
      </c>
      <c r="C21" t="inlineStr">
        <is>
          <t>innovation_research_intensity_raw</t>
        </is>
      </c>
      <c r="D21" t="inlineStr">
        <is>
          <t>positive</t>
        </is>
      </c>
      <c r="E21" t="n">
        <v>1</v>
      </c>
      <c r="F21" s="13">
        <f>IF(COUNT(City_Inputs!$AF$2:$AF$158)&gt;=2,PERCENTILE.INC(City_Inputs!$AF$2:$AF$158,0.05),"")</f>
        <v/>
      </c>
      <c r="G21" s="13">
        <f>IF(COUNT(City_Inputs!$AF$2:$AF$158)&gt;=2,PERCENTILE.INC(City_Inputs!$AF$2:$AF$158,0.95),"")</f>
        <v/>
      </c>
      <c r="H21" t="inlineStr">
        <is>
          <t>Higher research strength scores better.</t>
        </is>
      </c>
    </row>
    <row r="22">
      <c r="A22" t="inlineStr">
        <is>
          <t>investment_signal_raw</t>
        </is>
      </c>
      <c r="B22" t="inlineStr">
        <is>
          <t>Investment signal raw</t>
        </is>
      </c>
      <c r="C22" t="inlineStr">
        <is>
          <t>investment_signal_raw</t>
        </is>
      </c>
      <c r="D22" t="inlineStr">
        <is>
          <t>positive</t>
        </is>
      </c>
      <c r="E22" t="n">
        <v>0.5</v>
      </c>
      <c r="F22" s="13">
        <f>IF(COUNT(City_Inputs!$AG$2:$AG$158)&gt;=2,PERCENTILE.INC(City_Inputs!$AG$2:$AG$158,0.05),"")</f>
        <v/>
      </c>
      <c r="G22" s="13">
        <f>IF(COUNT(City_Inputs!$AG$2:$AG$158)&gt;=2,PERCENTILE.INC(City_Inputs!$AG$2:$AG$158,0.95),"")</f>
        <v/>
      </c>
      <c r="H22" t="inlineStr">
        <is>
          <t>Primary city-level productive-energy signal.</t>
        </is>
      </c>
    </row>
    <row r="23">
      <c r="A23" t="inlineStr">
        <is>
          <t>gdp_per_capita_ppp_context</t>
        </is>
      </c>
      <c r="B23" t="inlineStr">
        <is>
          <t>GDP per capita PPP context raw</t>
        </is>
      </c>
      <c r="C23" t="inlineStr">
        <is>
          <t>gdp_per_capita_ppp_context</t>
        </is>
      </c>
      <c r="D23" t="inlineStr">
        <is>
          <t>positive</t>
        </is>
      </c>
      <c r="E23" t="n">
        <v>0.3</v>
      </c>
      <c r="F23" s="13">
        <f>IF(COUNT(City_Inputs!$AJ$2:$AJ$158)&gt;=2,PERCENTILE.INC(City_Inputs!$AJ$2:$AJ$158,0.05),"")</f>
        <v/>
      </c>
      <c r="G23" s="13">
        <f>IF(COUNT(City_Inputs!$AJ$2:$AJ$158)&gt;=2,PERCENTILE.INC(City_Inputs!$AJ$2:$AJ$158,0.95),"")</f>
        <v/>
      </c>
      <c r="H23" t="inlineStr">
        <is>
          <t>Capped country macro context.</t>
        </is>
      </c>
    </row>
    <row r="24">
      <c r="A24" t="inlineStr">
        <is>
          <t>gdp_growth_context</t>
        </is>
      </c>
      <c r="B24" t="inlineStr">
        <is>
          <t>GDP growth context raw</t>
        </is>
      </c>
      <c r="C24" t="inlineStr">
        <is>
          <t>gdp_growth_context</t>
        </is>
      </c>
      <c r="D24" t="inlineStr">
        <is>
          <t>positive</t>
        </is>
      </c>
      <c r="E24" t="n">
        <v>0.2</v>
      </c>
      <c r="F24" s="13">
        <f>IF(COUNT(City_Inputs!$AK$2:$AK$158)&gt;=2,PERCENTILE.INC(City_Inputs!$AK$2:$AK$158,0.05),"")</f>
        <v/>
      </c>
      <c r="G24" s="13">
        <f>IF(COUNT(City_Inputs!$AK$2:$AK$158)&gt;=2,PERCENTILE.INC(City_Inputs!$AK$2:$AK$158,0.95),"")</f>
        <v/>
      </c>
      <c r="H24" t="inlineStr">
        <is>
          <t>Capped country momentum context.</t>
        </is>
      </c>
    </row>
    <row r="25">
      <c r="A25" t="inlineStr">
        <is>
          <t>administrative_investment_friction_raw</t>
        </is>
      </c>
      <c r="B25" t="inlineStr">
        <is>
          <t>Administrative and investment friction raw</t>
        </is>
      </c>
      <c r="C25" t="inlineStr">
        <is>
          <t>administrative_investment_friction_raw</t>
        </is>
      </c>
      <c r="D25" t="inlineStr">
        <is>
          <t>negative</t>
        </is>
      </c>
      <c r="E25" t="n">
        <v>1</v>
      </c>
      <c r="F25" s="13">
        <f>IF(COUNT(City_Inputs!$AH$2:$AH$158)&gt;=2,PERCENTILE.INC(City_Inputs!$AH$2:$AH$158,0.05),"")</f>
        <v/>
      </c>
      <c r="G25" s="13">
        <f>IF(COUNT(City_Inputs!$AH$2:$AH$158)&gt;=2,PERCENTILE.INC(City_Inputs!$AH$2:$AH$158,0.95),"")</f>
        <v/>
      </c>
      <c r="H25" t="inlineStr">
        <is>
          <t>Higher business friction scores worse.</t>
        </is>
      </c>
    </row>
    <row r="26">
      <c r="A26" t="inlineStr">
        <is>
          <t>birth_rate_optimism_raw</t>
        </is>
      </c>
      <c r="B26" t="inlineStr">
        <is>
          <t>Birth rate and societal optimism raw</t>
        </is>
      </c>
      <c r="C26" t="inlineStr">
        <is>
          <t>birth_rate_optimism_raw</t>
        </is>
      </c>
      <c r="D26" t="inlineStr">
        <is>
          <t>positive</t>
        </is>
      </c>
      <c r="E26" t="n">
        <v>1</v>
      </c>
      <c r="F26" s="13">
        <f>IF(COUNT(City_Inputs!$BJ$2:$BJ$158)&gt;=2,PERCENTILE.INC(City_Inputs!$BJ$2:$BJ$158,0.05),"")</f>
        <v/>
      </c>
      <c r="G26" s="13">
        <f>IF(COUNT(City_Inputs!$BJ$2:$BJ$158)&gt;=2,PERCENTILE.INC(City_Inputs!$BJ$2:$BJ$158,0.95),"")</f>
        <v/>
      </c>
      <c r="H26" t="inlineStr">
        <is>
          <t>Total fertility rate as proxy for societal optimism and family-friendliness.</t>
        </is>
      </c>
    </row>
  </sheetData>
  <autoFilter ref="A1:H2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N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7" customWidth="1" min="2" max="2"/>
    <col width="22" customWidth="1" min="3" max="3"/>
    <col width="28" customWidth="1" min="4" max="4"/>
    <col width="17" customWidth="1" min="5" max="5"/>
    <col width="12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8" customWidth="1" min="45" max="45"/>
    <col width="28" customWidth="1" min="46" max="46"/>
    <col width="28" customWidth="1" min="47" max="47"/>
    <col width="28" customWidth="1" min="48" max="48"/>
    <col width="28" customWidth="1" min="49" max="49"/>
    <col width="28" customWidth="1" min="50" max="50"/>
    <col width="28" customWidth="1" min="51" max="51"/>
    <col width="28" customWidth="1" min="52" max="52"/>
    <col width="28" customWidth="1" min="53" max="53"/>
    <col width="28" customWidth="1" min="54" max="54"/>
    <col width="28" customWidth="1" min="55" max="55"/>
    <col width="28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8" customWidth="1" min="65" max="65"/>
    <col width="26" customWidth="1" min="66" max="66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country</t>
        </is>
      </c>
      <c r="D1" s="6" t="inlineStr">
        <is>
          <t>cohort</t>
        </is>
      </c>
      <c r="E1" s="6" t="inlineStr">
        <is>
          <t>manifest_status</t>
        </is>
      </c>
      <c r="F1" s="6" t="inlineStr">
        <is>
          <t>city_type</t>
        </is>
      </c>
      <c r="G1" s="6" t="inlineStr">
        <is>
          <t>pressure_disposable_income_ppp_score</t>
        </is>
      </c>
      <c r="H1" s="6" t="inlineStr">
        <is>
          <t>pressure_disposable_income_ppp_coverage</t>
        </is>
      </c>
      <c r="I1" s="6" t="inlineStr">
        <is>
          <t>pressure_housing_burden_score</t>
        </is>
      </c>
      <c r="J1" s="6" t="inlineStr">
        <is>
          <t>pressure_housing_burden_coverage</t>
        </is>
      </c>
      <c r="K1" s="6" t="inlineStr">
        <is>
          <t>pressure_household_debt_burden_score</t>
        </is>
      </c>
      <c r="L1" s="6" t="inlineStr">
        <is>
          <t>pressure_household_debt_burden_coverage</t>
        </is>
      </c>
      <c r="M1" s="6" t="inlineStr">
        <is>
          <t>pressure_working_time_pressure_score</t>
        </is>
      </c>
      <c r="N1" s="6" t="inlineStr">
        <is>
          <t>pressure_working_time_pressure_coverage</t>
        </is>
      </c>
      <c r="O1" s="6" t="inlineStr">
        <is>
          <t>pressure_suicide_mental_strain_score</t>
        </is>
      </c>
      <c r="P1" s="6" t="inlineStr">
        <is>
          <t>pressure_suicide_mental_strain_coverage</t>
        </is>
      </c>
      <c r="Q1" s="6" t="inlineStr">
        <is>
          <t>pressure_pillar_score</t>
        </is>
      </c>
      <c r="R1" s="6" t="inlineStr">
        <is>
          <t>pressure_pillar_coverage</t>
        </is>
      </c>
      <c r="S1" s="6" t="inlineStr">
        <is>
          <t>viability_personal_safety_score</t>
        </is>
      </c>
      <c r="T1" s="6" t="inlineStr">
        <is>
          <t>viability_personal_safety_coverage</t>
        </is>
      </c>
      <c r="U1" s="6" t="inlineStr">
        <is>
          <t>viability_transit_access_commute_score</t>
        </is>
      </c>
      <c r="V1" s="6" t="inlineStr">
        <is>
          <t>viability_transit_access_commute_coverage</t>
        </is>
      </c>
      <c r="W1" s="6" t="inlineStr">
        <is>
          <t>viability_clean_air_score</t>
        </is>
      </c>
      <c r="X1" s="6" t="inlineStr">
        <is>
          <t>viability_clean_air_coverage</t>
        </is>
      </c>
      <c r="Y1" s="6" t="inlineStr">
        <is>
          <t>viability_water_sanitation_utility_score</t>
        </is>
      </c>
      <c r="Z1" s="6" t="inlineStr">
        <is>
          <t>viability_water_sanitation_utility_coverage</t>
        </is>
      </c>
      <c r="AA1" s="6" t="inlineStr">
        <is>
          <t>viability_digital_infrastructure_score</t>
        </is>
      </c>
      <c r="AB1" s="6" t="inlineStr">
        <is>
          <t>viability_digital_infrastructure_coverage</t>
        </is>
      </c>
      <c r="AC1" s="6" t="inlineStr">
        <is>
          <t>viability_climate_sunlight_livability_score</t>
        </is>
      </c>
      <c r="AD1" s="6" t="inlineStr">
        <is>
          <t>viability_climate_sunlight_livability_coverage</t>
        </is>
      </c>
      <c r="AE1" s="6" t="inlineStr">
        <is>
          <t>viability_pillar_score</t>
        </is>
      </c>
      <c r="AF1" s="6" t="inlineStr">
        <is>
          <t>viability_pillar_coverage</t>
        </is>
      </c>
      <c r="AG1" s="6" t="inlineStr">
        <is>
          <t>capability_healthcare_quality_score</t>
        </is>
      </c>
      <c r="AH1" s="6" t="inlineStr">
        <is>
          <t>capability_healthcare_quality_coverage</t>
        </is>
      </c>
      <c r="AI1" s="6" t="inlineStr">
        <is>
          <t>capability_education_quality_score</t>
        </is>
      </c>
      <c r="AJ1" s="6" t="inlineStr">
        <is>
          <t>capability_education_quality_coverage</t>
        </is>
      </c>
      <c r="AK1" s="6" t="inlineStr">
        <is>
          <t>capability_equal_opportunity_distributional_fairness_score</t>
        </is>
      </c>
      <c r="AL1" s="6" t="inlineStr">
        <is>
          <t>capability_equal_opportunity_distributional_fairness_coverage</t>
        </is>
      </c>
      <c r="AM1" s="6" t="inlineStr">
        <is>
          <t>capability_pillar_score</t>
        </is>
      </c>
      <c r="AN1" s="6" t="inlineStr">
        <is>
          <t>capability_pillar_coverage</t>
        </is>
      </c>
      <c r="AO1" s="6" t="inlineStr">
        <is>
          <t>community_hospitality_belonging_score</t>
        </is>
      </c>
      <c r="AP1" s="6" t="inlineStr">
        <is>
          <t>community_hospitality_belonging_coverage</t>
        </is>
      </c>
      <c r="AQ1" s="6" t="inlineStr">
        <is>
          <t>community_tolerance_pluralism_score</t>
        </is>
      </c>
      <c r="AR1" s="6" t="inlineStr">
        <is>
          <t>community_tolerance_pluralism_coverage</t>
        </is>
      </c>
      <c r="AS1" s="6" t="inlineStr">
        <is>
          <t>community_cultural_historic_public_life_vitality_score</t>
        </is>
      </c>
      <c r="AT1" s="6" t="inlineStr">
        <is>
          <t>community_cultural_historic_public_life_vitality_coverage</t>
        </is>
      </c>
      <c r="AU1" s="6" t="inlineStr">
        <is>
          <t>community_birth_rate_optimism_score</t>
        </is>
      </c>
      <c r="AV1" s="6" t="inlineStr">
        <is>
          <t>community_birth_rate_optimism_coverage</t>
        </is>
      </c>
      <c r="AW1" s="6" t="inlineStr">
        <is>
          <t>community_pillar_score</t>
        </is>
      </c>
      <c r="AX1" s="6" t="inlineStr">
        <is>
          <t>community_pillar_coverage</t>
        </is>
      </c>
      <c r="AY1" s="6" t="inlineStr">
        <is>
          <t>creative_entrepreneurial_dynamism_score</t>
        </is>
      </c>
      <c r="AZ1" s="6" t="inlineStr">
        <is>
          <t>creative_entrepreneurial_dynamism_coverage</t>
        </is>
      </c>
      <c r="BA1" s="6" t="inlineStr">
        <is>
          <t>creative_innovation_research_intensity_score</t>
        </is>
      </c>
      <c r="BB1" s="6" t="inlineStr">
        <is>
          <t>creative_innovation_research_intensity_coverage</t>
        </is>
      </c>
      <c r="BC1" s="6" t="inlineStr">
        <is>
          <t>creative_economic_vitality_productive_context_score</t>
        </is>
      </c>
      <c r="BD1" s="6" t="inlineStr">
        <is>
          <t>creative_economic_vitality_productive_context_coverage</t>
        </is>
      </c>
      <c r="BE1" s="6" t="inlineStr">
        <is>
          <t>creative_administrative_investment_friction_score</t>
        </is>
      </c>
      <c r="BF1" s="6" t="inlineStr">
        <is>
          <t>creative_administrative_investment_friction_coverage</t>
        </is>
      </c>
      <c r="BG1" s="6" t="inlineStr">
        <is>
          <t>creative_pillar_score</t>
        </is>
      </c>
      <c r="BH1" s="6" t="inlineStr">
        <is>
          <t>creative_pillar_coverage</t>
        </is>
      </c>
      <c r="BI1" s="6" t="inlineStr">
        <is>
          <t>overall_weighted_coverage</t>
        </is>
      </c>
      <c r="BJ1" s="6" t="inlineStr">
        <is>
          <t>coverage_grade</t>
        </is>
      </c>
      <c r="BK1" s="6" t="inlineStr">
        <is>
          <t>ranking_status</t>
        </is>
      </c>
      <c r="BL1" s="6" t="inlineStr">
        <is>
          <t>slic_score</t>
        </is>
      </c>
      <c r="BM1" s="6" t="inlineStr">
        <is>
          <t>rank</t>
        </is>
      </c>
      <c r="BN1" s="6" t="inlineStr">
        <is>
          <t>visitor_flow_context_raw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locked</t>
        </is>
      </c>
      <c r="F2" t="inlineStr">
        <is>
          <t>primary</t>
        </is>
      </c>
      <c r="G2" s="11">
        <f>IF(OR(City_Inputs!$M2="",Norm_Stats!$F$2="",Norm_Stats!$G$2="",Norm_Stats!$G$2=Norm_Stats!$F$2),"",MAX(0,MIN(100,100*(MIN(MAX(City_Inputs!$M2,Norm_Stats!$F$2),Norm_Stats!$G$2)-Norm_Stats!$F$2)/(Norm_Stats!$G$2-Norm_Stats!$F$2))))</f>
        <v/>
      </c>
      <c r="H2" s="14">
        <f>IF(G2="","",1)</f>
        <v/>
      </c>
      <c r="I2" s="11">
        <f>IF(OR(City_Inputs!$N2="",Norm_Stats!$F$3="",Norm_Stats!$G$3="",Norm_Stats!$G$3=Norm_Stats!$F$3),"",MAX(0,MIN(100,100*(Norm_Stats!$G$3-MIN(MAX(City_Inputs!$N2,Norm_Stats!$F$3),Norm_Stats!$G$3))/(Norm_Stats!$G$3-Norm_Stats!$F$3))))</f>
        <v/>
      </c>
      <c r="J2" s="14">
        <f>IF(I2="","",1)</f>
        <v/>
      </c>
      <c r="K2" s="11">
        <f>IF(OR(City_Inputs!$P2="",Norm_Stats!$F$4="",Norm_Stats!$G$4="",Norm_Stats!$G$4=Norm_Stats!$F$4),"",MAX(0,MIN(100,100*(Norm_Stats!$G$4-MIN(MAX(City_Inputs!$P2,Norm_Stats!$F$4),Norm_Stats!$G$4))/(Norm_Stats!$G$4-Norm_Stats!$F$4))))</f>
        <v/>
      </c>
      <c r="L2" s="14">
        <f>IF(K2="","",1)</f>
        <v/>
      </c>
      <c r="M2" s="11">
        <f>IF(OR(City_Inputs!$Q2="",Norm_Stats!$F$5="",Norm_Stats!$G$5="",Norm_Stats!$G$5=Norm_Stats!$F$5),"",MAX(0,MIN(100,100*(Norm_Stats!$G$5-MIN(MAX(City_Inputs!$Q2,Norm_Stats!$F$5),Norm_Stats!$G$5))/(Norm_Stats!$G$5-Norm_Stats!$F$5))))</f>
        <v/>
      </c>
      <c r="N2" s="14">
        <f>IF(M2="","",1)</f>
        <v/>
      </c>
      <c r="O2" s="11">
        <f>IF(OR(City_Inputs!$R2="",Norm_Stats!$F$6="",Norm_Stats!$G$6="",Norm_Stats!$G$6=Norm_Stats!$F$6),"",MAX(0,MIN(100,100*(Norm_Stats!$G$6-MIN(MAX(City_Inputs!$R2,Norm_Stats!$F$6),Norm_Stats!$G$6))/(Norm_Stats!$G$6-Norm_Stats!$F$6))))</f>
        <v/>
      </c>
      <c r="P2" s="14">
        <f>IF(O2="","",1)</f>
        <v/>
      </c>
      <c r="Q2" s="15">
        <f>IF((IF(G2="",0,9)+IF(I2="",0,5)+IF(K2="",0,4)+IF(M2="",0,4)+IF(O2="",0,5))=0,"",(IF(G2="",0,G2*9)+IF(I2="",0,I2*5)+IF(K2="",0,K2*4)+IF(M2="",0,M2*4)+IF(O2="",0,O2*5))/(IF(G2="",0,9)+IF(I2="",0,5)+IF(K2="",0,4)+IF(M2="",0,4)+IF(O2="",0,5)))</f>
        <v/>
      </c>
      <c r="R2" s="14">
        <f>IF((IF(H2="",0,9)+IF(J2="",0,5)+IF(L2="",0,4)+IF(N2="",0,4)+IF(P2="",0,5))=0,"",(IF(H2="",0,H2*9)+IF(J2="",0,J2*5)+IF(L2="",0,L2*4)+IF(N2="",0,N2*4)+IF(P2="",0,P2*5))/27)</f>
        <v/>
      </c>
      <c r="S2" s="11">
        <f>IF(OR(City_Inputs!$S2="",Norm_Stats!$F$7="",Norm_Stats!$G$7="",Norm_Stats!$G$7=Norm_Stats!$F$7),"",MAX(0,MIN(100,100*(Norm_Stats!$G$7-MIN(MAX(City_Inputs!$S2,Norm_Stats!$F$7),Norm_Stats!$G$7))/(Norm_Stats!$G$7-Norm_Stats!$F$7))))</f>
        <v/>
      </c>
      <c r="T2" s="14">
        <f>IF(S2="","",1)</f>
        <v/>
      </c>
      <c r="U2" s="11">
        <f>IF(OR(City_Inputs!$T2="",Norm_Stats!$F$8="",Norm_Stats!$G$8="",Norm_Stats!$G$8=Norm_Stats!$F$8),"",MAX(0,MIN(100,100*(MIN(MAX(City_Inputs!$T2,Norm_Stats!$F$8),Norm_Stats!$G$8)-Norm_Stats!$F$8)/(Norm_Stats!$G$8-Norm_Stats!$F$8))))</f>
        <v/>
      </c>
      <c r="V2" s="14">
        <f>IF(U2="","",1)</f>
        <v/>
      </c>
      <c r="W2" s="11">
        <f>IF(OR(City_Inputs!$U2="",Norm_Stats!$F$9="",Norm_Stats!$G$9="",Norm_Stats!$G$9=Norm_Stats!$F$9),"",MAX(0,MIN(100,100*(Norm_Stats!$G$9-MIN(MAX(City_Inputs!$U2,Norm_Stats!$F$9),Norm_Stats!$G$9))/(Norm_Stats!$G$9-Norm_Stats!$F$9))))</f>
        <v/>
      </c>
      <c r="X2" s="14">
        <f>IF(W2="","",1)</f>
        <v/>
      </c>
      <c r="Y2" s="11">
        <f>IF(OR(City_Inputs!$V2="",Norm_Stats!$F$10="",Norm_Stats!$G$10="",Norm_Stats!$G$10=Norm_Stats!$F$10),"",MAX(0,MIN(100,100*(MIN(MAX(City_Inputs!$V2,Norm_Stats!$F$10),Norm_Stats!$G$10)-Norm_Stats!$F$10)/(Norm_Stats!$G$10-Norm_Stats!$F$10))))</f>
        <v/>
      </c>
      <c r="Z2" s="14">
        <f>IF(Y2="","",1)</f>
        <v/>
      </c>
      <c r="AA2" s="11">
        <f>IF(OR(City_Inputs!$W2="",Norm_Stats!$F$11="",Norm_Stats!$G$11="",Norm_Stats!$G$11=Norm_Stats!$F$11),"",MAX(0,MIN(100,100*(MIN(MAX(City_Inputs!$W2,Norm_Stats!$F$11),Norm_Stats!$G$11)-Norm_Stats!$F$11)/(Norm_Stats!$G$11-Norm_Stats!$F$11))))</f>
        <v/>
      </c>
      <c r="AB2" s="14">
        <f>IF(AA2="","",1)</f>
        <v/>
      </c>
      <c r="AC2" s="11">
        <f>IF(OR(City_Inputs!$X2="",Norm_Stats!$F$12="",Norm_Stats!$G$12="",Norm_Stats!$G$12=Norm_Stats!$F$12),"",MAX(0,MIN(100,100*(MIN(MAX(City_Inputs!$X2,Norm_Stats!$F$12),Norm_Stats!$G$12)-Norm_Stats!$F$12)/(Norm_Stats!$G$12-Norm_Stats!$F$12))))</f>
        <v/>
      </c>
      <c r="AD2" s="11">
        <f>IF(AC2="","",1)</f>
        <v/>
      </c>
      <c r="AE2" s="15">
        <f>IF((IF(S2="",0,5)+IF(U2="",0,5)+IF(W2="",0,4)+IF(Y2="",0,4)+IF(AA2="",0,4)+IF(AC2="",0,5))=0,"",(IF(S2="",0,S2*5)+IF(U2="",0,U2*5)+IF(W2="",0,W2*4)+IF(Y2="",0,Y2*4)+IF(AA2="",0,AA2*4)+IF(AC2="",0,AC2*5))/(IF(S2="",0,5)+IF(U2="",0,5)+IF(W2="",0,4)+IF(Y2="",0,4)+IF(AA2="",0,4)+IF(AC2="",0,5)))</f>
        <v/>
      </c>
      <c r="AF2" s="14">
        <f>IF((IF(T2="",0,5)+IF(V2="",0,5)+IF(X2="",0,4)+IF(Z2="",0,4)+IF(AB2="",0,4)+IF(AD2="",0,5))=0,"",(IF(T2="",0,T2*5)+IF(V2="",0,V2*5)+IF(X2="",0,X2*4)+IF(Z2="",0,Z2*4)+IF(AB2="",0,AB2*4)+IF(AD2="",0,AD2*5))/27)</f>
        <v/>
      </c>
      <c r="AG2" s="11">
        <f>IF(OR(City_Inputs!$Y2="",Norm_Stats!$F$13="",Norm_Stats!$G$13="",Norm_Stats!$G$13=Norm_Stats!$F$13),"",MAX(0,MIN(100,100*(MIN(MAX(City_Inputs!$Y2,Norm_Stats!$F$13),Norm_Stats!$G$13)-Norm_Stats!$F$13)/(Norm_Stats!$G$13-Norm_Stats!$F$13))))</f>
        <v/>
      </c>
      <c r="AH2" s="14">
        <f>IF(AG2="","",1)</f>
        <v/>
      </c>
      <c r="AI2" s="11">
        <f>IF(OR(City_Inputs!$Z2="",Norm_Stats!$F$14="",Norm_Stats!$G$14="",Norm_Stats!$G$14=Norm_Stats!$F$14),"",MAX(0,MIN(100,100*(MIN(MAX(City_Inputs!$Z2,Norm_Stats!$F$14),Norm_Stats!$G$14)-Norm_Stats!$F$14)/(Norm_Stats!$G$14-Norm_Stats!$F$14))))</f>
        <v/>
      </c>
      <c r="AJ2" s="14">
        <f>IF(AI2="","",1)</f>
        <v/>
      </c>
      <c r="AK2" s="11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(IF(OR(City_Inputs!$AA2="",Norm_Stats!$F$15="",Norm_Stats!$G$15="",Norm_Stats!$G$15=Norm_Stats!$F$15),"",MAX(0,MIN(100,100*(MIN(MAX(City_Inputs!$AA2,Norm_Stats!$F$15),Norm_Stats!$G$15)-Norm_Stats!$F$15)/(Norm_Stats!$G$15-Norm_Stats!$F$15)))))*0.7)+IF((IF(OR(City_Inputs!$AL2="",Norm_Stats!$F$16="",Norm_Stats!$G$16="",Norm_Stats!$G$16=Norm_Stats!$F$16),"",MAX(0,MIN(100,100*(Norm_Stats!$G$16-MIN(MAX(City_Inputs!$AL2,Norm_Stats!$F$16),Norm_Stats!$G$16))/(Norm_Stats!$G$16-Norm_Stats!$F$16)))))="",0,(IF(OR(City_Inputs!$AL2="",Norm_Stats!$F$16="",Norm_Stats!$G$16="",Norm_Stats!$G$16=Norm_Stats!$F$16),"",MAX(0,MIN(100,100*(Norm_Stats!$G$16-MIN(MAX(City_Inputs!$AL2,Norm_Stats!$F$16),Norm_Stats!$G$16))/(Norm_Stats!$G$16-Norm_Stats!$F$16)))))*0.3))/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L2" s="14">
        <f>IF(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=0,"",(IF((IF(OR(City_Inputs!$AA2="",Norm_Stats!$F$15="",Norm_Stats!$G$15="",Norm_Stats!$G$15=Norm_Stats!$F$15),"",MAX(0,MIN(100,100*(MIN(MAX(City_Inputs!$AA2,Norm_Stats!$F$15),Norm_Stats!$G$15)-Norm_Stats!$F$15)/(Norm_Stats!$G$15-Norm_Stats!$F$15)))))="",0,0.7)+IF((IF(OR(City_Inputs!$AL2="",Norm_Stats!$F$16="",Norm_Stats!$G$16="",Norm_Stats!$G$16=Norm_Stats!$F$16),"",MAX(0,MIN(100,100*(Norm_Stats!$G$16-MIN(MAX(City_Inputs!$AL2,Norm_Stats!$F$16),Norm_Stats!$G$16))/(Norm_Stats!$G$16-Norm_Stats!$F$16)))))="",0,0.3)))</f>
        <v/>
      </c>
      <c r="AM2" s="15">
        <f>IF((IF(AG2="",0,8)+IF(AI2="",0,6)+IF(AK2="",0,4))=0,"",(IF(AG2="",0,AG2*8)+IF(AI2="",0,AI2*6)+IF(AK2="",0,AK2*4))/(IF(AG2="",0,8)+IF(AI2="",0,6)+IF(AK2="",0,4)))</f>
        <v/>
      </c>
      <c r="AN2" s="14">
        <f>IF((IF(AH2="",0,8)+IF(AJ2="",0,6)+IF(AL2="",0,4))=0,"",(IF(AH2="",0,AH2*8)+IF(AJ2="",0,AJ2*6)+IF(AL2="",0,AL2*4))/18)</f>
        <v/>
      </c>
      <c r="AO2" s="11">
        <f>IF(OR(City_Inputs!$AB2="",Norm_Stats!$F$17="",Norm_Stats!$G$17="",Norm_Stats!$G$17=Norm_Stats!$F$17),"",MAX(0,MIN(100,100*(MIN(MAX(City_Inputs!$AB2,Norm_Stats!$F$17),Norm_Stats!$G$17)-Norm_Stats!$F$17)/(Norm_Stats!$G$17-Norm_Stats!$F$17))))</f>
        <v/>
      </c>
      <c r="AP2" s="14">
        <f>IF(AO2="","",1)</f>
        <v/>
      </c>
      <c r="AQ2" s="11">
        <f>IF(OR(City_Inputs!$AC2="",Norm_Stats!$F$18="",Norm_Stats!$G$18="",Norm_Stats!$G$18=Norm_Stats!$F$18),"",MAX(0,MIN(100,100*(MIN(MAX(City_Inputs!$AC2,Norm_Stats!$F$18),Norm_Stats!$G$18)-Norm_Stats!$F$18)/(Norm_Stats!$G$18-Norm_Stats!$F$18))))</f>
        <v/>
      </c>
      <c r="AR2" s="14">
        <f>IF(AQ2="","",1)</f>
        <v/>
      </c>
      <c r="AS2" s="11">
        <f>IF(OR(City_Inputs!$AD2="",Norm_Stats!$F$19="",Norm_Stats!$G$19="",Norm_Stats!$G$19=Norm_Stats!$F$19),"",MAX(0,MIN(100,100*(MIN(MAX(City_Inputs!$AD2,Norm_Stats!$F$19),Norm_Stats!$G$19)-Norm_Stats!$F$19)/(Norm_Stats!$G$19-Norm_Stats!$F$19))))</f>
        <v/>
      </c>
      <c r="AT2" s="14">
        <f>IF(AS2="","",1)</f>
        <v/>
      </c>
      <c r="AU2" s="11">
        <f>IF(OR(City_Inputs!$BJ2="",Norm_Stats!$F$26="",Norm_Stats!$G$26="",Norm_Stats!$G$26=Norm_Stats!$F$26),"",MAX(0,MIN(100,100*(MIN(MAX(City_Inputs!$BJ2,Norm_Stats!$F$26),Norm_Stats!$G$26)-Norm_Stats!$F$26)/(Norm_Stats!$G$26-Norm_Stats!$F$26))))</f>
        <v/>
      </c>
      <c r="AV2" s="11">
        <f>IF(AU2="","",1)</f>
        <v/>
      </c>
      <c r="AW2" s="15">
        <f>IF((IF(AO2="",0,5)+IF(AQ2="",0,5)+IF(AS2="",0,5)+IF(AU2="",0,4))=0,"",(IF(AO2="",0,AO2*5)+IF(AQ2="",0,AQ2*5)+IF(AS2="",0,AS2*5)+IF(AU2="",0,AU2*4))/(IF(AO2="",0,5)+IF(AQ2="",0,5)+IF(AS2="",0,5)+IF(AU2="",0,4)))</f>
        <v/>
      </c>
      <c r="AX2" s="14">
        <f>IF((IF(AP2="",0,5)+IF(AR2="",0,5)+IF(AT2="",0,5)+IF(AV2="",0,4))=0,"",(IF(AP2="",0,AP2*5)+IF(AR2="",0,AR2*5)+IF(AT2="",0,AT2*5)+IF(AV2="",0,AV2*4))/19)</f>
        <v/>
      </c>
      <c r="AY2" s="11">
        <f>IF(OR(City_Inputs!$AE2="",Norm_Stats!$F$20="",Norm_Stats!$G$20="",Norm_Stats!$G$20=Norm_Stats!$F$20),"",MAX(0,MIN(100,100*(MIN(MAX(City_Inputs!$AE2,Norm_Stats!$F$20),Norm_Stats!$G$20)-Norm_Stats!$F$20)/(Norm_Stats!$G$20-Norm_Stats!$F$20))))</f>
        <v/>
      </c>
      <c r="AZ2" s="14">
        <f>IF(AY2="","",1)</f>
        <v/>
      </c>
      <c r="BA2" s="11">
        <f>IF(OR(City_Inputs!$AF2="",Norm_Stats!$F$21="",Norm_Stats!$G$21="",Norm_Stats!$G$21=Norm_Stats!$F$21),"",MAX(0,MIN(100,100*(MIN(MAX(City_Inputs!$AF2,Norm_Stats!$F$21),Norm_Stats!$G$21)-Norm_Stats!$F$21)/(Norm_Stats!$G$21-Norm_Stats!$F$21))))</f>
        <v/>
      </c>
      <c r="BB2" s="14">
        <f>IF(BA2="","",1)</f>
        <v/>
      </c>
      <c r="BC2" s="11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(IF(OR(City_Inputs!$AG2="",Norm_Stats!$F$22="",Norm_Stats!$G$22="",Norm_Stats!$G$22=Norm_Stats!$F$22),"",MAX(0,MIN(100,100*(MIN(MAX(City_Inputs!$AG2,Norm_Stats!$F$22),Norm_Stats!$G$22)-Norm_Stats!$F$22)/(Norm_Stats!$G$22-Norm_Stats!$F$22)))))*0.5)+IF((IF(OR(City_Inputs!$AJ2="",Norm_Stats!$F$23="",Norm_Stats!$G$23="",Norm_Stats!$G$23=Norm_Stats!$F$23),"",MAX(0,MIN(100,100*(MIN(MAX(City_Inputs!$AJ2,Norm_Stats!$F$23),Norm_Stats!$G$23)-Norm_Stats!$F$23)/(Norm_Stats!$G$23-Norm_Stats!$F$23)))))="",0,(IF(OR(City_Inputs!$AJ2="",Norm_Stats!$F$23="",Norm_Stats!$G$23="",Norm_Stats!$G$23=Norm_Stats!$F$23),"",MAX(0,MIN(100,100*(MIN(MAX(City_Inputs!$AJ2,Norm_Stats!$F$23),Norm_Stats!$G$23)-Norm_Stats!$F$23)/(Norm_Stats!$G$23-Norm_Stats!$F$23)))))*0.3)+IF((IF(OR(City_Inputs!$AK2="",Norm_Stats!$F$24="",Norm_Stats!$G$24="",Norm_Stats!$G$24=Norm_Stats!$F$24),"",MAX(0,MIN(100,100*(MIN(MAX(City_Inputs!$AK2,Norm_Stats!$F$24),Norm_Stats!$G$24)-Norm_Stats!$F$24)/(Norm_Stats!$G$24-Norm_Stats!$F$24)))))="",0,(IF(OR(City_Inputs!$AK2="",Norm_Stats!$F$24="",Norm_Stats!$G$24="",Norm_Stats!$G$24=Norm_Stats!$F$24),"",MAX(0,MIN(100,100*(MIN(MAX(City_Inputs!$AK2,Norm_Stats!$F$24),Norm_Stats!$G$24)-Norm_Stats!$F$24)/(Norm_Stats!$G$24-Norm_Stats!$F$24)))))*0.2))/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D2" s="14">
        <f>IF(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=0,"",(IF((IF(OR(City_Inputs!$AG2="",Norm_Stats!$F$22="",Norm_Stats!$G$22="",Norm_Stats!$G$22=Norm_Stats!$F$22),"",MAX(0,MIN(100,100*(MIN(MAX(City_Inputs!$AG2,Norm_Stats!$F$22),Norm_Stats!$G$22)-Norm_Stats!$F$22)/(Norm_Stats!$G$22-Norm_Stats!$F$22)))))="",0,0.5)+IF((IF(OR(City_Inputs!$AJ2="",Norm_Stats!$F$23="",Norm_Stats!$G$23="",Norm_Stats!$G$23=Norm_Stats!$F$23),"",MAX(0,MIN(100,100*(MIN(MAX(City_Inputs!$AJ2,Norm_Stats!$F$23),Norm_Stats!$G$23)-Norm_Stats!$F$23)/(Norm_Stats!$G$23-Norm_Stats!$F$23)))))="",0,0.3)+IF((IF(OR(City_Inputs!$AK2="",Norm_Stats!$F$24="",Norm_Stats!$G$24="",Norm_Stats!$G$24=Norm_Stats!$F$24),"",MAX(0,MIN(100,100*(MIN(MAX(City_Inputs!$AK2,Norm_Stats!$F$24),Norm_Stats!$G$24)-Norm_Stats!$F$24)/(Norm_Stats!$G$24-Norm_Stats!$F$24)))))="",0,0.2)))</f>
        <v/>
      </c>
      <c r="BE2" s="11">
        <f>IF(OR(City_Inputs!$AH2="",Norm_Stats!$F$25="",Norm_Stats!$G$25="",Norm_Stats!$G$25=Norm_Stats!$F$25),"",MAX(0,MIN(100,100*(Norm_Stats!$G$25-MIN(MAX(City_Inputs!$AH2,Norm_Stats!$F$25),Norm_Stats!$G$25))/(Norm_Stats!$G$25-Norm_Stats!$F$25))))</f>
        <v/>
      </c>
      <c r="BF2" s="14">
        <f>IF(BE2="","",1)</f>
        <v/>
      </c>
      <c r="BG2" s="15">
        <f>IF((IF(AY2="",0,6)+IF(BA2="",0,5)+IF(BC2="",0,5)+IF(BE2="",0,4))=0,"",(IF(AY2="",0,AY2*6)+IF(BA2="",0,BA2*5)+IF(BC2="",0,BC2*5)+IF(BE2="",0,BE2*4))/(IF(AY2="",0,6)+IF(BA2="",0,5)+IF(BC2="",0,5)+IF(BE2="",0,4)))</f>
        <v/>
      </c>
      <c r="BH2" s="14">
        <f>IF((IF(AZ2="",0,6)+IF(BB2="",0,5)+IF(BD2="",0,5)+IF(BF2="",0,4))=0,"",(IF(AZ2="",0,AZ2*6)+IF(BB2="",0,BB2*5)+IF(BD2="",0,BD2*5)+IF(BF2="",0,BF2*4))/20)</f>
        <v/>
      </c>
      <c r="BI2" s="14">
        <f>IF(AND(R2="",AF2="",AN2="",AX2="",BH2=""),"",((R2*25)+(AF2*22)+(AN2*18)+(AX2*15)+(BH2*20))/100)</f>
        <v/>
      </c>
      <c r="BJ2" s="11">
        <f>IF(BI2="","",IF(BI2&gt;=0.75,"A",IF(BI2&gt;=0.5,"B",IF(BI2&gt;=0.35,"C","Watchlist"))))</f>
        <v/>
      </c>
      <c r="BK2" s="11">
        <f>IF(OR(BI2="",BI2&lt;0.5,R2="",R2&lt;0.35,AF2="",AF2&lt;0.35,AN2="",AN2&lt;0.35,AX2="",AX2&lt;0.35,BH2="",BH2&lt;0.35),"Watchlist","Ranked")</f>
        <v/>
      </c>
      <c r="BL2" s="15">
        <f>IF(AND(Q2="",AE2="",AM2="",AW2="",BG2=""),"",(IF(Q2="",0,Q2*25)+IF(AE2="",0,AE2*22)+IF(AM2="",0,AM2*18)+IF(AW2="",0,AW2*15)+IF(BG2="",0,BG2*20))/(IF(Q2="",0,25)+IF(AE2="",0,22)+IF(AM2="",0,18)+IF(AW2="",0,15)+IF(BG2="",0,20)))</f>
        <v/>
      </c>
      <c r="BM2" s="11">
        <f>IF(BK2="Ranked",1+COUNTIFS($BK$2:$BK$158,"Ranked",$BL$2:$BL$158,"&gt;"&amp;BL2),"")</f>
        <v/>
      </c>
      <c r="BN2" s="11">
        <f>City_Inputs!$AI2</f>
        <v/>
      </c>
    </row>
    <row r="3">
      <c r="A3" t="inlineStr">
        <is>
          <t>sg-singapore</t>
        </is>
      </c>
      <c r="B3" t="inlineStr">
        <is>
          <t>Singapore</t>
        </is>
      </c>
      <c r="C3" t="inlineStr">
        <is>
          <t>Singapore</t>
        </is>
      </c>
      <c r="D3" t="inlineStr">
        <is>
          <t>Southeast Asia</t>
        </is>
      </c>
      <c r="E3" t="inlineStr">
        <is>
          <t>locked</t>
        </is>
      </c>
      <c r="F3" t="inlineStr">
        <is>
          <t>primary</t>
        </is>
      </c>
      <c r="G3" s="11">
        <f>IF(OR(City_Inputs!$M3="",Norm_Stats!$F$2="",Norm_Stats!$G$2="",Norm_Stats!$G$2=Norm_Stats!$F$2),"",MAX(0,MIN(100,100*(MIN(MAX(City_Inputs!$M3,Norm_Stats!$F$2),Norm_Stats!$G$2)-Norm_Stats!$F$2)/(Norm_Stats!$G$2-Norm_Stats!$F$2))))</f>
        <v/>
      </c>
      <c r="H3" s="14">
        <f>IF(G3="","",1)</f>
        <v/>
      </c>
      <c r="I3" s="11">
        <f>IF(OR(City_Inputs!$N3="",Norm_Stats!$F$3="",Norm_Stats!$G$3="",Norm_Stats!$G$3=Norm_Stats!$F$3),"",MAX(0,MIN(100,100*(Norm_Stats!$G$3-MIN(MAX(City_Inputs!$N3,Norm_Stats!$F$3),Norm_Stats!$G$3))/(Norm_Stats!$G$3-Norm_Stats!$F$3))))</f>
        <v/>
      </c>
      <c r="J3" s="14">
        <f>IF(I3="","",1)</f>
        <v/>
      </c>
      <c r="K3" s="11">
        <f>IF(OR(City_Inputs!$P3="",Norm_Stats!$F$4="",Norm_Stats!$G$4="",Norm_Stats!$G$4=Norm_Stats!$F$4),"",MAX(0,MIN(100,100*(Norm_Stats!$G$4-MIN(MAX(City_Inputs!$P3,Norm_Stats!$F$4),Norm_Stats!$G$4))/(Norm_Stats!$G$4-Norm_Stats!$F$4))))</f>
        <v/>
      </c>
      <c r="L3" s="14">
        <f>IF(K3="","",1)</f>
        <v/>
      </c>
      <c r="M3" s="11">
        <f>IF(OR(City_Inputs!$Q3="",Norm_Stats!$F$5="",Norm_Stats!$G$5="",Norm_Stats!$G$5=Norm_Stats!$F$5),"",MAX(0,MIN(100,100*(Norm_Stats!$G$5-MIN(MAX(City_Inputs!$Q3,Norm_Stats!$F$5),Norm_Stats!$G$5))/(Norm_Stats!$G$5-Norm_Stats!$F$5))))</f>
        <v/>
      </c>
      <c r="N3" s="14">
        <f>IF(M3="","",1)</f>
        <v/>
      </c>
      <c r="O3" s="11">
        <f>IF(OR(City_Inputs!$R3="",Norm_Stats!$F$6="",Norm_Stats!$G$6="",Norm_Stats!$G$6=Norm_Stats!$F$6),"",MAX(0,MIN(100,100*(Norm_Stats!$G$6-MIN(MAX(City_Inputs!$R3,Norm_Stats!$F$6),Norm_Stats!$G$6))/(Norm_Stats!$G$6-Norm_Stats!$F$6))))</f>
        <v/>
      </c>
      <c r="P3" s="14">
        <f>IF(O3="","",1)</f>
        <v/>
      </c>
      <c r="Q3" s="15">
        <f>IF((IF(G3="",0,9)+IF(I3="",0,5)+IF(K3="",0,4)+IF(M3="",0,4)+IF(O3="",0,5))=0,"",(IF(G3="",0,G3*9)+IF(I3="",0,I3*5)+IF(K3="",0,K3*4)+IF(M3="",0,M3*4)+IF(O3="",0,O3*5))/(IF(G3="",0,9)+IF(I3="",0,5)+IF(K3="",0,4)+IF(M3="",0,4)+IF(O3="",0,5)))</f>
        <v/>
      </c>
      <c r="R3" s="14">
        <f>IF((IF(H3="",0,9)+IF(J3="",0,5)+IF(L3="",0,4)+IF(N3="",0,4)+IF(P3="",0,5))=0,"",(IF(H3="",0,H3*9)+IF(J3="",0,J3*5)+IF(L3="",0,L3*4)+IF(N3="",0,N3*4)+IF(P3="",0,P3*5))/27)</f>
        <v/>
      </c>
      <c r="S3" s="11">
        <f>IF(OR(City_Inputs!$S3="",Norm_Stats!$F$7="",Norm_Stats!$G$7="",Norm_Stats!$G$7=Norm_Stats!$F$7),"",MAX(0,MIN(100,100*(Norm_Stats!$G$7-MIN(MAX(City_Inputs!$S3,Norm_Stats!$F$7),Norm_Stats!$G$7))/(Norm_Stats!$G$7-Norm_Stats!$F$7))))</f>
        <v/>
      </c>
      <c r="T3" s="14">
        <f>IF(S3="","",1)</f>
        <v/>
      </c>
      <c r="U3" s="11">
        <f>IF(OR(City_Inputs!$T3="",Norm_Stats!$F$8="",Norm_Stats!$G$8="",Norm_Stats!$G$8=Norm_Stats!$F$8),"",MAX(0,MIN(100,100*(MIN(MAX(City_Inputs!$T3,Norm_Stats!$F$8),Norm_Stats!$G$8)-Norm_Stats!$F$8)/(Norm_Stats!$G$8-Norm_Stats!$F$8))))</f>
        <v/>
      </c>
      <c r="V3" s="14">
        <f>IF(U3="","",1)</f>
        <v/>
      </c>
      <c r="W3" s="11">
        <f>IF(OR(City_Inputs!$U3="",Norm_Stats!$F$9="",Norm_Stats!$G$9="",Norm_Stats!$G$9=Norm_Stats!$F$9),"",MAX(0,MIN(100,100*(Norm_Stats!$G$9-MIN(MAX(City_Inputs!$U3,Norm_Stats!$F$9),Norm_Stats!$G$9))/(Norm_Stats!$G$9-Norm_Stats!$F$9))))</f>
        <v/>
      </c>
      <c r="X3" s="14">
        <f>IF(W3="","",1)</f>
        <v/>
      </c>
      <c r="Y3" s="11">
        <f>IF(OR(City_Inputs!$V3="",Norm_Stats!$F$10="",Norm_Stats!$G$10="",Norm_Stats!$G$10=Norm_Stats!$F$10),"",MAX(0,MIN(100,100*(MIN(MAX(City_Inputs!$V3,Norm_Stats!$F$10),Norm_Stats!$G$10)-Norm_Stats!$F$10)/(Norm_Stats!$G$10-Norm_Stats!$F$10))))</f>
        <v/>
      </c>
      <c r="Z3" s="14">
        <f>IF(Y3="","",1)</f>
        <v/>
      </c>
      <c r="AA3" s="11">
        <f>IF(OR(City_Inputs!$W3="",Norm_Stats!$F$11="",Norm_Stats!$G$11="",Norm_Stats!$G$11=Norm_Stats!$F$11),"",MAX(0,MIN(100,100*(MIN(MAX(City_Inputs!$W3,Norm_Stats!$F$11),Norm_Stats!$G$11)-Norm_Stats!$F$11)/(Norm_Stats!$G$11-Norm_Stats!$F$11))))</f>
        <v/>
      </c>
      <c r="AB3" s="14">
        <f>IF(AA3="","",1)</f>
        <v/>
      </c>
      <c r="AC3" s="11">
        <f>IF(OR(City_Inputs!$X3="",Norm_Stats!$F$12="",Norm_Stats!$G$12="",Norm_Stats!$G$12=Norm_Stats!$F$12),"",MAX(0,MIN(100,100*(MIN(MAX(City_Inputs!$X3,Norm_Stats!$F$12),Norm_Stats!$G$12)-Norm_Stats!$F$12)/(Norm_Stats!$G$12-Norm_Stats!$F$12))))</f>
        <v/>
      </c>
      <c r="AD3" s="11">
        <f>IF(AC3="","",1)</f>
        <v/>
      </c>
      <c r="AE3" s="15">
        <f>IF((IF(S3="",0,5)+IF(U3="",0,5)+IF(W3="",0,4)+IF(Y3="",0,4)+IF(AA3="",0,4)+IF(AC3="",0,5))=0,"",(IF(S3="",0,S3*5)+IF(U3="",0,U3*5)+IF(W3="",0,W3*4)+IF(Y3="",0,Y3*4)+IF(AA3="",0,AA3*4)+IF(AC3="",0,AC3*5))/(IF(S3="",0,5)+IF(U3="",0,5)+IF(W3="",0,4)+IF(Y3="",0,4)+IF(AA3="",0,4)+IF(AC3="",0,5)))</f>
        <v/>
      </c>
      <c r="AF3" s="14">
        <f>IF((IF(T3="",0,5)+IF(V3="",0,5)+IF(X3="",0,4)+IF(Z3="",0,4)+IF(AB3="",0,4)+IF(AD3="",0,5))=0,"",(IF(T3="",0,T3*5)+IF(V3="",0,V3*5)+IF(X3="",0,X3*4)+IF(Z3="",0,Z3*4)+IF(AB3="",0,AB3*4)+IF(AD3="",0,AD3*5))/27)</f>
        <v/>
      </c>
      <c r="AG3" s="11">
        <f>IF(OR(City_Inputs!$Y3="",Norm_Stats!$F$13="",Norm_Stats!$G$13="",Norm_Stats!$G$13=Norm_Stats!$F$13),"",MAX(0,MIN(100,100*(MIN(MAX(City_Inputs!$Y3,Norm_Stats!$F$13),Norm_Stats!$G$13)-Norm_Stats!$F$13)/(Norm_Stats!$G$13-Norm_Stats!$F$13))))</f>
        <v/>
      </c>
      <c r="AH3" s="14">
        <f>IF(AG3="","",1)</f>
        <v/>
      </c>
      <c r="AI3" s="11">
        <f>IF(OR(City_Inputs!$Z3="",Norm_Stats!$F$14="",Norm_Stats!$G$14="",Norm_Stats!$G$14=Norm_Stats!$F$14),"",MAX(0,MIN(100,100*(MIN(MAX(City_Inputs!$Z3,Norm_Stats!$F$14),Norm_Stats!$G$14)-Norm_Stats!$F$14)/(Norm_Stats!$G$14-Norm_Stats!$F$14))))</f>
        <v/>
      </c>
      <c r="AJ3" s="14">
        <f>IF(AI3="","",1)</f>
        <v/>
      </c>
      <c r="AK3" s="11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(IF(OR(City_Inputs!$AA3="",Norm_Stats!$F$15="",Norm_Stats!$G$15="",Norm_Stats!$G$15=Norm_Stats!$F$15),"",MAX(0,MIN(100,100*(MIN(MAX(City_Inputs!$AA3,Norm_Stats!$F$15),Norm_Stats!$G$15)-Norm_Stats!$F$15)/(Norm_Stats!$G$15-Norm_Stats!$F$15)))))*0.7)+IF((IF(OR(City_Inputs!$AL3="",Norm_Stats!$F$16="",Norm_Stats!$G$16="",Norm_Stats!$G$16=Norm_Stats!$F$16),"",MAX(0,MIN(100,100*(Norm_Stats!$G$16-MIN(MAX(City_Inputs!$AL3,Norm_Stats!$F$16),Norm_Stats!$G$16))/(Norm_Stats!$G$16-Norm_Stats!$F$16)))))="",0,(IF(OR(City_Inputs!$AL3="",Norm_Stats!$F$16="",Norm_Stats!$G$16="",Norm_Stats!$G$16=Norm_Stats!$F$16),"",MAX(0,MIN(100,100*(Norm_Stats!$G$16-MIN(MAX(City_Inputs!$AL3,Norm_Stats!$F$16),Norm_Stats!$G$16))/(Norm_Stats!$G$16-Norm_Stats!$F$16)))))*0.3))/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L3" s="14">
        <f>IF(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=0,"",(IF((IF(OR(City_Inputs!$AA3="",Norm_Stats!$F$15="",Norm_Stats!$G$15="",Norm_Stats!$G$15=Norm_Stats!$F$15),"",MAX(0,MIN(100,100*(MIN(MAX(City_Inputs!$AA3,Norm_Stats!$F$15),Norm_Stats!$G$15)-Norm_Stats!$F$15)/(Norm_Stats!$G$15-Norm_Stats!$F$15)))))="",0,0.7)+IF((IF(OR(City_Inputs!$AL3="",Norm_Stats!$F$16="",Norm_Stats!$G$16="",Norm_Stats!$G$16=Norm_Stats!$F$16),"",MAX(0,MIN(100,100*(Norm_Stats!$G$16-MIN(MAX(City_Inputs!$AL3,Norm_Stats!$F$16),Norm_Stats!$G$16))/(Norm_Stats!$G$16-Norm_Stats!$F$16)))))="",0,0.3)))</f>
        <v/>
      </c>
      <c r="AM3" s="15">
        <f>IF((IF(AG3="",0,8)+IF(AI3="",0,6)+IF(AK3="",0,4))=0,"",(IF(AG3="",0,AG3*8)+IF(AI3="",0,AI3*6)+IF(AK3="",0,AK3*4))/(IF(AG3="",0,8)+IF(AI3="",0,6)+IF(AK3="",0,4)))</f>
        <v/>
      </c>
      <c r="AN3" s="14">
        <f>IF((IF(AH3="",0,8)+IF(AJ3="",0,6)+IF(AL3="",0,4))=0,"",(IF(AH3="",0,AH3*8)+IF(AJ3="",0,AJ3*6)+IF(AL3="",0,AL3*4))/18)</f>
        <v/>
      </c>
      <c r="AO3" s="11">
        <f>IF(OR(City_Inputs!$AB3="",Norm_Stats!$F$17="",Norm_Stats!$G$17="",Norm_Stats!$G$17=Norm_Stats!$F$17),"",MAX(0,MIN(100,100*(MIN(MAX(City_Inputs!$AB3,Norm_Stats!$F$17),Norm_Stats!$G$17)-Norm_Stats!$F$17)/(Norm_Stats!$G$17-Norm_Stats!$F$17))))</f>
        <v/>
      </c>
      <c r="AP3" s="14">
        <f>IF(AO3="","",1)</f>
        <v/>
      </c>
      <c r="AQ3" s="11">
        <f>IF(OR(City_Inputs!$AC3="",Norm_Stats!$F$18="",Norm_Stats!$G$18="",Norm_Stats!$G$18=Norm_Stats!$F$18),"",MAX(0,MIN(100,100*(MIN(MAX(City_Inputs!$AC3,Norm_Stats!$F$18),Norm_Stats!$G$18)-Norm_Stats!$F$18)/(Norm_Stats!$G$18-Norm_Stats!$F$18))))</f>
        <v/>
      </c>
      <c r="AR3" s="14">
        <f>IF(AQ3="","",1)</f>
        <v/>
      </c>
      <c r="AS3" s="11">
        <f>IF(OR(City_Inputs!$AD3="",Norm_Stats!$F$19="",Norm_Stats!$G$19="",Norm_Stats!$G$19=Norm_Stats!$F$19),"",MAX(0,MIN(100,100*(MIN(MAX(City_Inputs!$AD3,Norm_Stats!$F$19),Norm_Stats!$G$19)-Norm_Stats!$F$19)/(Norm_Stats!$G$19-Norm_Stats!$F$19))))</f>
        <v/>
      </c>
      <c r="AT3" s="14">
        <f>IF(AS3="","",1)</f>
        <v/>
      </c>
      <c r="AU3" s="11">
        <f>IF(OR(City_Inputs!$BJ3="",Norm_Stats!$F$26="",Norm_Stats!$G$26="",Norm_Stats!$G$26=Norm_Stats!$F$26),"",MAX(0,MIN(100,100*(MIN(MAX(City_Inputs!$BJ3,Norm_Stats!$F$26),Norm_Stats!$G$26)-Norm_Stats!$F$26)/(Norm_Stats!$G$26-Norm_Stats!$F$26))))</f>
        <v/>
      </c>
      <c r="AV3" s="11">
        <f>IF(AU3="","",1)</f>
        <v/>
      </c>
      <c r="AW3" s="15">
        <f>IF((IF(AO3="",0,5)+IF(AQ3="",0,5)+IF(AS3="",0,5)+IF(AU3="",0,4))=0,"",(IF(AO3="",0,AO3*5)+IF(AQ3="",0,AQ3*5)+IF(AS3="",0,AS3*5)+IF(AU3="",0,AU3*4))/(IF(AO3="",0,5)+IF(AQ3="",0,5)+IF(AS3="",0,5)+IF(AU3="",0,4)))</f>
        <v/>
      </c>
      <c r="AX3" s="14">
        <f>IF((IF(AP3="",0,5)+IF(AR3="",0,5)+IF(AT3="",0,5)+IF(AV3="",0,4))=0,"",(IF(AP3="",0,AP3*5)+IF(AR3="",0,AR3*5)+IF(AT3="",0,AT3*5)+IF(AV3="",0,AV3*4))/19)</f>
        <v/>
      </c>
      <c r="AY3" s="11">
        <f>IF(OR(City_Inputs!$AE3="",Norm_Stats!$F$20="",Norm_Stats!$G$20="",Norm_Stats!$G$20=Norm_Stats!$F$20),"",MAX(0,MIN(100,100*(MIN(MAX(City_Inputs!$AE3,Norm_Stats!$F$20),Norm_Stats!$G$20)-Norm_Stats!$F$20)/(Norm_Stats!$G$20-Norm_Stats!$F$20))))</f>
        <v/>
      </c>
      <c r="AZ3" s="14">
        <f>IF(AY3="","",1)</f>
        <v/>
      </c>
      <c r="BA3" s="11">
        <f>IF(OR(City_Inputs!$AF3="",Norm_Stats!$F$21="",Norm_Stats!$G$21="",Norm_Stats!$G$21=Norm_Stats!$F$21),"",MAX(0,MIN(100,100*(MIN(MAX(City_Inputs!$AF3,Norm_Stats!$F$21),Norm_Stats!$G$21)-Norm_Stats!$F$21)/(Norm_Stats!$G$21-Norm_Stats!$F$21))))</f>
        <v/>
      </c>
      <c r="BB3" s="14">
        <f>IF(BA3="","",1)</f>
        <v/>
      </c>
      <c r="BC3" s="11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(IF(OR(City_Inputs!$AG3="",Norm_Stats!$F$22="",Norm_Stats!$G$22="",Norm_Stats!$G$22=Norm_Stats!$F$22),"",MAX(0,MIN(100,100*(MIN(MAX(City_Inputs!$AG3,Norm_Stats!$F$22),Norm_Stats!$G$22)-Norm_Stats!$F$22)/(Norm_Stats!$G$22-Norm_Stats!$F$22)))))*0.5)+IF((IF(OR(City_Inputs!$AJ3="",Norm_Stats!$F$23="",Norm_Stats!$G$23="",Norm_Stats!$G$23=Norm_Stats!$F$23),"",MAX(0,MIN(100,100*(MIN(MAX(City_Inputs!$AJ3,Norm_Stats!$F$23),Norm_Stats!$G$23)-Norm_Stats!$F$23)/(Norm_Stats!$G$23-Norm_Stats!$F$23)))))="",0,(IF(OR(City_Inputs!$AJ3="",Norm_Stats!$F$23="",Norm_Stats!$G$23="",Norm_Stats!$G$23=Norm_Stats!$F$23),"",MAX(0,MIN(100,100*(MIN(MAX(City_Inputs!$AJ3,Norm_Stats!$F$23),Norm_Stats!$G$23)-Norm_Stats!$F$23)/(Norm_Stats!$G$23-Norm_Stats!$F$23)))))*0.3)+IF((IF(OR(City_Inputs!$AK3="",Norm_Stats!$F$24="",Norm_Stats!$G$24="",Norm_Stats!$G$24=Norm_Stats!$F$24),"",MAX(0,MIN(100,100*(MIN(MAX(City_Inputs!$AK3,Norm_Stats!$F$24),Norm_Stats!$G$24)-Norm_Stats!$F$24)/(Norm_Stats!$G$24-Norm_Stats!$F$24)))))="",0,(IF(OR(City_Inputs!$AK3="",Norm_Stats!$F$24="",Norm_Stats!$G$24="",Norm_Stats!$G$24=Norm_Stats!$F$24),"",MAX(0,MIN(100,100*(MIN(MAX(City_Inputs!$AK3,Norm_Stats!$F$24),Norm_Stats!$G$24)-Norm_Stats!$F$24)/(Norm_Stats!$G$24-Norm_Stats!$F$24)))))*0.2))/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D3" s="14">
        <f>IF(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=0,"",(IF((IF(OR(City_Inputs!$AG3="",Norm_Stats!$F$22="",Norm_Stats!$G$22="",Norm_Stats!$G$22=Norm_Stats!$F$22),"",MAX(0,MIN(100,100*(MIN(MAX(City_Inputs!$AG3,Norm_Stats!$F$22),Norm_Stats!$G$22)-Norm_Stats!$F$22)/(Norm_Stats!$G$22-Norm_Stats!$F$22)))))="",0,0.5)+IF((IF(OR(City_Inputs!$AJ3="",Norm_Stats!$F$23="",Norm_Stats!$G$23="",Norm_Stats!$G$23=Norm_Stats!$F$23),"",MAX(0,MIN(100,100*(MIN(MAX(City_Inputs!$AJ3,Norm_Stats!$F$23),Norm_Stats!$G$23)-Norm_Stats!$F$23)/(Norm_Stats!$G$23-Norm_Stats!$F$23)))))="",0,0.3)+IF((IF(OR(City_Inputs!$AK3="",Norm_Stats!$F$24="",Norm_Stats!$G$24="",Norm_Stats!$G$24=Norm_Stats!$F$24),"",MAX(0,MIN(100,100*(MIN(MAX(City_Inputs!$AK3,Norm_Stats!$F$24),Norm_Stats!$G$24)-Norm_Stats!$F$24)/(Norm_Stats!$G$24-Norm_Stats!$F$24)))))="",0,0.2)))</f>
        <v/>
      </c>
      <c r="BE3" s="11">
        <f>IF(OR(City_Inputs!$AH3="",Norm_Stats!$F$25="",Norm_Stats!$G$25="",Norm_Stats!$G$25=Norm_Stats!$F$25),"",MAX(0,MIN(100,100*(Norm_Stats!$G$25-MIN(MAX(City_Inputs!$AH3,Norm_Stats!$F$25),Norm_Stats!$G$25))/(Norm_Stats!$G$25-Norm_Stats!$F$25))))</f>
        <v/>
      </c>
      <c r="BF3" s="14">
        <f>IF(BE3="","",1)</f>
        <v/>
      </c>
      <c r="BG3" s="15">
        <f>IF((IF(AY3="",0,6)+IF(BA3="",0,5)+IF(BC3="",0,5)+IF(BE3="",0,4))=0,"",(IF(AY3="",0,AY3*6)+IF(BA3="",0,BA3*5)+IF(BC3="",0,BC3*5)+IF(BE3="",0,BE3*4))/(IF(AY3="",0,6)+IF(BA3="",0,5)+IF(BC3="",0,5)+IF(BE3="",0,4)))</f>
        <v/>
      </c>
      <c r="BH3" s="14">
        <f>IF((IF(AZ3="",0,6)+IF(BB3="",0,5)+IF(BD3="",0,5)+IF(BF3="",0,4))=0,"",(IF(AZ3="",0,AZ3*6)+IF(BB3="",0,BB3*5)+IF(BD3="",0,BD3*5)+IF(BF3="",0,BF3*4))/20)</f>
        <v/>
      </c>
      <c r="BI3" s="14">
        <f>IF(AND(R3="",AF3="",AN3="",AX3="",BH3=""),"",((R3*25)+(AF3*22)+(AN3*18)+(AX3*15)+(BH3*20))/100)</f>
        <v/>
      </c>
      <c r="BJ3" s="11">
        <f>IF(BI3="","",IF(BI3&gt;=0.75,"A",IF(BI3&gt;=0.5,"B",IF(BI3&gt;=0.35,"C","Watchlist"))))</f>
        <v/>
      </c>
      <c r="BK3" s="11">
        <f>IF(OR(BI3="",BI3&lt;0.5,R3="",R3&lt;0.35,AF3="",AF3&lt;0.35,AN3="",AN3&lt;0.35,AX3="",AX3&lt;0.35,BH3="",BH3&lt;0.35),"Watchlist","Ranked")</f>
        <v/>
      </c>
      <c r="BL3" s="15">
        <f>IF(AND(Q3="",AE3="",AM3="",AW3="",BG3=""),"",(IF(Q3="",0,Q3*25)+IF(AE3="",0,AE3*22)+IF(AM3="",0,AM3*18)+IF(AW3="",0,AW3*15)+IF(BG3="",0,BG3*20))/(IF(Q3="",0,25)+IF(AE3="",0,22)+IF(AM3="",0,18)+IF(AW3="",0,15)+IF(BG3="",0,20)))</f>
        <v/>
      </c>
      <c r="BM3" s="11">
        <f>IF(BK3="Ranked",1+COUNTIFS($BK$2:$BK$158,"Ranked",$BL$2:$BL$158,"&gt;"&amp;BL3),"")</f>
        <v/>
      </c>
      <c r="BN3" s="11">
        <f>City_Inputs!$AI3</f>
        <v/>
      </c>
    </row>
    <row r="4">
      <c r="A4" t="inlineStr">
        <is>
          <t>my-kuala-lumpur</t>
        </is>
      </c>
      <c r="B4" t="inlineStr">
        <is>
          <t>Kuala Lumpur</t>
        </is>
      </c>
      <c r="C4" t="inlineStr">
        <is>
          <t>Malaysia</t>
        </is>
      </c>
      <c r="D4" t="inlineStr">
        <is>
          <t>Southeast Asia</t>
        </is>
      </c>
      <c r="E4" t="inlineStr">
        <is>
          <t>locked</t>
        </is>
      </c>
      <c r="F4" t="inlineStr">
        <is>
          <t>primary</t>
        </is>
      </c>
      <c r="G4" s="11">
        <f>IF(OR(City_Inputs!$M4="",Norm_Stats!$F$2="",Norm_Stats!$G$2="",Norm_Stats!$G$2=Norm_Stats!$F$2),"",MAX(0,MIN(100,100*(MIN(MAX(City_Inputs!$M4,Norm_Stats!$F$2),Norm_Stats!$G$2)-Norm_Stats!$F$2)/(Norm_Stats!$G$2-Norm_Stats!$F$2))))</f>
        <v/>
      </c>
      <c r="H4" s="14">
        <f>IF(G4="","",1)</f>
        <v/>
      </c>
      <c r="I4" s="11">
        <f>IF(OR(City_Inputs!$N4="",Norm_Stats!$F$3="",Norm_Stats!$G$3="",Norm_Stats!$G$3=Norm_Stats!$F$3),"",MAX(0,MIN(100,100*(Norm_Stats!$G$3-MIN(MAX(City_Inputs!$N4,Norm_Stats!$F$3),Norm_Stats!$G$3))/(Norm_Stats!$G$3-Norm_Stats!$F$3))))</f>
        <v/>
      </c>
      <c r="J4" s="14">
        <f>IF(I4="","",1)</f>
        <v/>
      </c>
      <c r="K4" s="11">
        <f>IF(OR(City_Inputs!$P4="",Norm_Stats!$F$4="",Norm_Stats!$G$4="",Norm_Stats!$G$4=Norm_Stats!$F$4),"",MAX(0,MIN(100,100*(Norm_Stats!$G$4-MIN(MAX(City_Inputs!$P4,Norm_Stats!$F$4),Norm_Stats!$G$4))/(Norm_Stats!$G$4-Norm_Stats!$F$4))))</f>
        <v/>
      </c>
      <c r="L4" s="14">
        <f>IF(K4="","",1)</f>
        <v/>
      </c>
      <c r="M4" s="11">
        <f>IF(OR(City_Inputs!$Q4="",Norm_Stats!$F$5="",Norm_Stats!$G$5="",Norm_Stats!$G$5=Norm_Stats!$F$5),"",MAX(0,MIN(100,100*(Norm_Stats!$G$5-MIN(MAX(City_Inputs!$Q4,Norm_Stats!$F$5),Norm_Stats!$G$5))/(Norm_Stats!$G$5-Norm_Stats!$F$5))))</f>
        <v/>
      </c>
      <c r="N4" s="14">
        <f>IF(M4="","",1)</f>
        <v/>
      </c>
      <c r="O4" s="11">
        <f>IF(OR(City_Inputs!$R4="",Norm_Stats!$F$6="",Norm_Stats!$G$6="",Norm_Stats!$G$6=Norm_Stats!$F$6),"",MAX(0,MIN(100,100*(Norm_Stats!$G$6-MIN(MAX(City_Inputs!$R4,Norm_Stats!$F$6),Norm_Stats!$G$6))/(Norm_Stats!$G$6-Norm_Stats!$F$6))))</f>
        <v/>
      </c>
      <c r="P4" s="14">
        <f>IF(O4="","",1)</f>
        <v/>
      </c>
      <c r="Q4" s="15">
        <f>IF((IF(G4="",0,9)+IF(I4="",0,5)+IF(K4="",0,4)+IF(M4="",0,4)+IF(O4="",0,5))=0,"",(IF(G4="",0,G4*9)+IF(I4="",0,I4*5)+IF(K4="",0,K4*4)+IF(M4="",0,M4*4)+IF(O4="",0,O4*5))/(IF(G4="",0,9)+IF(I4="",0,5)+IF(K4="",0,4)+IF(M4="",0,4)+IF(O4="",0,5)))</f>
        <v/>
      </c>
      <c r="R4" s="14">
        <f>IF((IF(H4="",0,9)+IF(J4="",0,5)+IF(L4="",0,4)+IF(N4="",0,4)+IF(P4="",0,5))=0,"",(IF(H4="",0,H4*9)+IF(J4="",0,J4*5)+IF(L4="",0,L4*4)+IF(N4="",0,N4*4)+IF(P4="",0,P4*5))/27)</f>
        <v/>
      </c>
      <c r="S4" s="11">
        <f>IF(OR(City_Inputs!$S4="",Norm_Stats!$F$7="",Norm_Stats!$G$7="",Norm_Stats!$G$7=Norm_Stats!$F$7),"",MAX(0,MIN(100,100*(Norm_Stats!$G$7-MIN(MAX(City_Inputs!$S4,Norm_Stats!$F$7),Norm_Stats!$G$7))/(Norm_Stats!$G$7-Norm_Stats!$F$7))))</f>
        <v/>
      </c>
      <c r="T4" s="14">
        <f>IF(S4="","",1)</f>
        <v/>
      </c>
      <c r="U4" s="11">
        <f>IF(OR(City_Inputs!$T4="",Norm_Stats!$F$8="",Norm_Stats!$G$8="",Norm_Stats!$G$8=Norm_Stats!$F$8),"",MAX(0,MIN(100,100*(MIN(MAX(City_Inputs!$T4,Norm_Stats!$F$8),Norm_Stats!$G$8)-Norm_Stats!$F$8)/(Norm_Stats!$G$8-Norm_Stats!$F$8))))</f>
        <v/>
      </c>
      <c r="V4" s="14">
        <f>IF(U4="","",1)</f>
        <v/>
      </c>
      <c r="W4" s="11">
        <f>IF(OR(City_Inputs!$U4="",Norm_Stats!$F$9="",Norm_Stats!$G$9="",Norm_Stats!$G$9=Norm_Stats!$F$9),"",MAX(0,MIN(100,100*(Norm_Stats!$G$9-MIN(MAX(City_Inputs!$U4,Norm_Stats!$F$9),Norm_Stats!$G$9))/(Norm_Stats!$G$9-Norm_Stats!$F$9))))</f>
        <v/>
      </c>
      <c r="X4" s="14">
        <f>IF(W4="","",1)</f>
        <v/>
      </c>
      <c r="Y4" s="11">
        <f>IF(OR(City_Inputs!$V4="",Norm_Stats!$F$10="",Norm_Stats!$G$10="",Norm_Stats!$G$10=Norm_Stats!$F$10),"",MAX(0,MIN(100,100*(MIN(MAX(City_Inputs!$V4,Norm_Stats!$F$10),Norm_Stats!$G$10)-Norm_Stats!$F$10)/(Norm_Stats!$G$10-Norm_Stats!$F$10))))</f>
        <v/>
      </c>
      <c r="Z4" s="14">
        <f>IF(Y4="","",1)</f>
        <v/>
      </c>
      <c r="AA4" s="11">
        <f>IF(OR(City_Inputs!$W4="",Norm_Stats!$F$11="",Norm_Stats!$G$11="",Norm_Stats!$G$11=Norm_Stats!$F$11),"",MAX(0,MIN(100,100*(MIN(MAX(City_Inputs!$W4,Norm_Stats!$F$11),Norm_Stats!$G$11)-Norm_Stats!$F$11)/(Norm_Stats!$G$11-Norm_Stats!$F$11))))</f>
        <v/>
      </c>
      <c r="AB4" s="14">
        <f>IF(AA4="","",1)</f>
        <v/>
      </c>
      <c r="AC4" s="11">
        <f>IF(OR(City_Inputs!$X4="",Norm_Stats!$F$12="",Norm_Stats!$G$12="",Norm_Stats!$G$12=Norm_Stats!$F$12),"",MAX(0,MIN(100,100*(MIN(MAX(City_Inputs!$X4,Norm_Stats!$F$12),Norm_Stats!$G$12)-Norm_Stats!$F$12)/(Norm_Stats!$G$12-Norm_Stats!$F$12))))</f>
        <v/>
      </c>
      <c r="AD4" s="11">
        <f>IF(AC4="","",1)</f>
        <v/>
      </c>
      <c r="AE4" s="15">
        <f>IF((IF(S4="",0,5)+IF(U4="",0,5)+IF(W4="",0,4)+IF(Y4="",0,4)+IF(AA4="",0,4)+IF(AC4="",0,5))=0,"",(IF(S4="",0,S4*5)+IF(U4="",0,U4*5)+IF(W4="",0,W4*4)+IF(Y4="",0,Y4*4)+IF(AA4="",0,AA4*4)+IF(AC4="",0,AC4*5))/(IF(S4="",0,5)+IF(U4="",0,5)+IF(W4="",0,4)+IF(Y4="",0,4)+IF(AA4="",0,4)+IF(AC4="",0,5)))</f>
        <v/>
      </c>
      <c r="AF4" s="14">
        <f>IF((IF(T4="",0,5)+IF(V4="",0,5)+IF(X4="",0,4)+IF(Z4="",0,4)+IF(AB4="",0,4)+IF(AD4="",0,5))=0,"",(IF(T4="",0,T4*5)+IF(V4="",0,V4*5)+IF(X4="",0,X4*4)+IF(Z4="",0,Z4*4)+IF(AB4="",0,AB4*4)+IF(AD4="",0,AD4*5))/27)</f>
        <v/>
      </c>
      <c r="AG4" s="11">
        <f>IF(OR(City_Inputs!$Y4="",Norm_Stats!$F$13="",Norm_Stats!$G$13="",Norm_Stats!$G$13=Norm_Stats!$F$13),"",MAX(0,MIN(100,100*(MIN(MAX(City_Inputs!$Y4,Norm_Stats!$F$13),Norm_Stats!$G$13)-Norm_Stats!$F$13)/(Norm_Stats!$G$13-Norm_Stats!$F$13))))</f>
        <v/>
      </c>
      <c r="AH4" s="14">
        <f>IF(AG4="","",1)</f>
        <v/>
      </c>
      <c r="AI4" s="11">
        <f>IF(OR(City_Inputs!$Z4="",Norm_Stats!$F$14="",Norm_Stats!$G$14="",Norm_Stats!$G$14=Norm_Stats!$F$14),"",MAX(0,MIN(100,100*(MIN(MAX(City_Inputs!$Z4,Norm_Stats!$F$14),Norm_Stats!$G$14)-Norm_Stats!$F$14)/(Norm_Stats!$G$14-Norm_Stats!$F$14))))</f>
        <v/>
      </c>
      <c r="AJ4" s="14">
        <f>IF(AI4="","",1)</f>
        <v/>
      </c>
      <c r="AK4" s="11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(IF(OR(City_Inputs!$AA4="",Norm_Stats!$F$15="",Norm_Stats!$G$15="",Norm_Stats!$G$15=Norm_Stats!$F$15),"",MAX(0,MIN(100,100*(MIN(MAX(City_Inputs!$AA4,Norm_Stats!$F$15),Norm_Stats!$G$15)-Norm_Stats!$F$15)/(Norm_Stats!$G$15-Norm_Stats!$F$15)))))*0.7)+IF((IF(OR(City_Inputs!$AL4="",Norm_Stats!$F$16="",Norm_Stats!$G$16="",Norm_Stats!$G$16=Norm_Stats!$F$16),"",MAX(0,MIN(100,100*(Norm_Stats!$G$16-MIN(MAX(City_Inputs!$AL4,Norm_Stats!$F$16),Norm_Stats!$G$16))/(Norm_Stats!$G$16-Norm_Stats!$F$16)))))="",0,(IF(OR(City_Inputs!$AL4="",Norm_Stats!$F$16="",Norm_Stats!$G$16="",Norm_Stats!$G$16=Norm_Stats!$F$16),"",MAX(0,MIN(100,100*(Norm_Stats!$G$16-MIN(MAX(City_Inputs!$AL4,Norm_Stats!$F$16),Norm_Stats!$G$16))/(Norm_Stats!$G$16-Norm_Stats!$F$16)))))*0.3))/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L4" s="14">
        <f>IF(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=0,"",(IF((IF(OR(City_Inputs!$AA4="",Norm_Stats!$F$15="",Norm_Stats!$G$15="",Norm_Stats!$G$15=Norm_Stats!$F$15),"",MAX(0,MIN(100,100*(MIN(MAX(City_Inputs!$AA4,Norm_Stats!$F$15),Norm_Stats!$G$15)-Norm_Stats!$F$15)/(Norm_Stats!$G$15-Norm_Stats!$F$15)))))="",0,0.7)+IF((IF(OR(City_Inputs!$AL4="",Norm_Stats!$F$16="",Norm_Stats!$G$16="",Norm_Stats!$G$16=Norm_Stats!$F$16),"",MAX(0,MIN(100,100*(Norm_Stats!$G$16-MIN(MAX(City_Inputs!$AL4,Norm_Stats!$F$16),Norm_Stats!$G$16))/(Norm_Stats!$G$16-Norm_Stats!$F$16)))))="",0,0.3)))</f>
        <v/>
      </c>
      <c r="AM4" s="15">
        <f>IF((IF(AG4="",0,8)+IF(AI4="",0,6)+IF(AK4="",0,4))=0,"",(IF(AG4="",0,AG4*8)+IF(AI4="",0,AI4*6)+IF(AK4="",0,AK4*4))/(IF(AG4="",0,8)+IF(AI4="",0,6)+IF(AK4="",0,4)))</f>
        <v/>
      </c>
      <c r="AN4" s="14">
        <f>IF((IF(AH4="",0,8)+IF(AJ4="",0,6)+IF(AL4="",0,4))=0,"",(IF(AH4="",0,AH4*8)+IF(AJ4="",0,AJ4*6)+IF(AL4="",0,AL4*4))/18)</f>
        <v/>
      </c>
      <c r="AO4" s="11">
        <f>IF(OR(City_Inputs!$AB4="",Norm_Stats!$F$17="",Norm_Stats!$G$17="",Norm_Stats!$G$17=Norm_Stats!$F$17),"",MAX(0,MIN(100,100*(MIN(MAX(City_Inputs!$AB4,Norm_Stats!$F$17),Norm_Stats!$G$17)-Norm_Stats!$F$17)/(Norm_Stats!$G$17-Norm_Stats!$F$17))))</f>
        <v/>
      </c>
      <c r="AP4" s="14">
        <f>IF(AO4="","",1)</f>
        <v/>
      </c>
      <c r="AQ4" s="11">
        <f>IF(OR(City_Inputs!$AC4="",Norm_Stats!$F$18="",Norm_Stats!$G$18="",Norm_Stats!$G$18=Norm_Stats!$F$18),"",MAX(0,MIN(100,100*(MIN(MAX(City_Inputs!$AC4,Norm_Stats!$F$18),Norm_Stats!$G$18)-Norm_Stats!$F$18)/(Norm_Stats!$G$18-Norm_Stats!$F$18))))</f>
        <v/>
      </c>
      <c r="AR4" s="14">
        <f>IF(AQ4="","",1)</f>
        <v/>
      </c>
      <c r="AS4" s="11">
        <f>IF(OR(City_Inputs!$AD4="",Norm_Stats!$F$19="",Norm_Stats!$G$19="",Norm_Stats!$G$19=Norm_Stats!$F$19),"",MAX(0,MIN(100,100*(MIN(MAX(City_Inputs!$AD4,Norm_Stats!$F$19),Norm_Stats!$G$19)-Norm_Stats!$F$19)/(Norm_Stats!$G$19-Norm_Stats!$F$19))))</f>
        <v/>
      </c>
      <c r="AT4" s="14">
        <f>IF(AS4="","",1)</f>
        <v/>
      </c>
      <c r="AU4" s="11">
        <f>IF(OR(City_Inputs!$BJ4="",Norm_Stats!$F$26="",Norm_Stats!$G$26="",Norm_Stats!$G$26=Norm_Stats!$F$26),"",MAX(0,MIN(100,100*(MIN(MAX(City_Inputs!$BJ4,Norm_Stats!$F$26),Norm_Stats!$G$26)-Norm_Stats!$F$26)/(Norm_Stats!$G$26-Norm_Stats!$F$26))))</f>
        <v/>
      </c>
      <c r="AV4" s="11">
        <f>IF(AU4="","",1)</f>
        <v/>
      </c>
      <c r="AW4" s="15">
        <f>IF((IF(AO4="",0,5)+IF(AQ4="",0,5)+IF(AS4="",0,5)+IF(AU4="",0,4))=0,"",(IF(AO4="",0,AO4*5)+IF(AQ4="",0,AQ4*5)+IF(AS4="",0,AS4*5)+IF(AU4="",0,AU4*4))/(IF(AO4="",0,5)+IF(AQ4="",0,5)+IF(AS4="",0,5)+IF(AU4="",0,4)))</f>
        <v/>
      </c>
      <c r="AX4" s="14">
        <f>IF((IF(AP4="",0,5)+IF(AR4="",0,5)+IF(AT4="",0,5)+IF(AV4="",0,4))=0,"",(IF(AP4="",0,AP4*5)+IF(AR4="",0,AR4*5)+IF(AT4="",0,AT4*5)+IF(AV4="",0,AV4*4))/19)</f>
        <v/>
      </c>
      <c r="AY4" s="11">
        <f>IF(OR(City_Inputs!$AE4="",Norm_Stats!$F$20="",Norm_Stats!$G$20="",Norm_Stats!$G$20=Norm_Stats!$F$20),"",MAX(0,MIN(100,100*(MIN(MAX(City_Inputs!$AE4,Norm_Stats!$F$20),Norm_Stats!$G$20)-Norm_Stats!$F$20)/(Norm_Stats!$G$20-Norm_Stats!$F$20))))</f>
        <v/>
      </c>
      <c r="AZ4" s="14">
        <f>IF(AY4="","",1)</f>
        <v/>
      </c>
      <c r="BA4" s="11">
        <f>IF(OR(City_Inputs!$AF4="",Norm_Stats!$F$21="",Norm_Stats!$G$21="",Norm_Stats!$G$21=Norm_Stats!$F$21),"",MAX(0,MIN(100,100*(MIN(MAX(City_Inputs!$AF4,Norm_Stats!$F$21),Norm_Stats!$G$21)-Norm_Stats!$F$21)/(Norm_Stats!$G$21-Norm_Stats!$F$21))))</f>
        <v/>
      </c>
      <c r="BB4" s="14">
        <f>IF(BA4="","",1)</f>
        <v/>
      </c>
      <c r="BC4" s="11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(IF(OR(City_Inputs!$AG4="",Norm_Stats!$F$22="",Norm_Stats!$G$22="",Norm_Stats!$G$22=Norm_Stats!$F$22),"",MAX(0,MIN(100,100*(MIN(MAX(City_Inputs!$AG4,Norm_Stats!$F$22),Norm_Stats!$G$22)-Norm_Stats!$F$22)/(Norm_Stats!$G$22-Norm_Stats!$F$22)))))*0.5)+IF((IF(OR(City_Inputs!$AJ4="",Norm_Stats!$F$23="",Norm_Stats!$G$23="",Norm_Stats!$G$23=Norm_Stats!$F$23),"",MAX(0,MIN(100,100*(MIN(MAX(City_Inputs!$AJ4,Norm_Stats!$F$23),Norm_Stats!$G$23)-Norm_Stats!$F$23)/(Norm_Stats!$G$23-Norm_Stats!$F$23)))))="",0,(IF(OR(City_Inputs!$AJ4="",Norm_Stats!$F$23="",Norm_Stats!$G$23="",Norm_Stats!$G$23=Norm_Stats!$F$23),"",MAX(0,MIN(100,100*(MIN(MAX(City_Inputs!$AJ4,Norm_Stats!$F$23),Norm_Stats!$G$23)-Norm_Stats!$F$23)/(Norm_Stats!$G$23-Norm_Stats!$F$23)))))*0.3)+IF((IF(OR(City_Inputs!$AK4="",Norm_Stats!$F$24="",Norm_Stats!$G$24="",Norm_Stats!$G$24=Norm_Stats!$F$24),"",MAX(0,MIN(100,100*(MIN(MAX(City_Inputs!$AK4,Norm_Stats!$F$24),Norm_Stats!$G$24)-Norm_Stats!$F$24)/(Norm_Stats!$G$24-Norm_Stats!$F$24)))))="",0,(IF(OR(City_Inputs!$AK4="",Norm_Stats!$F$24="",Norm_Stats!$G$24="",Norm_Stats!$G$24=Norm_Stats!$F$24),"",MAX(0,MIN(100,100*(MIN(MAX(City_Inputs!$AK4,Norm_Stats!$F$24),Norm_Stats!$G$24)-Norm_Stats!$F$24)/(Norm_Stats!$G$24-Norm_Stats!$F$24)))))*0.2))/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D4" s="14">
        <f>IF(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=0,"",(IF((IF(OR(City_Inputs!$AG4="",Norm_Stats!$F$22="",Norm_Stats!$G$22="",Norm_Stats!$G$22=Norm_Stats!$F$22),"",MAX(0,MIN(100,100*(MIN(MAX(City_Inputs!$AG4,Norm_Stats!$F$22),Norm_Stats!$G$22)-Norm_Stats!$F$22)/(Norm_Stats!$G$22-Norm_Stats!$F$22)))))="",0,0.5)+IF((IF(OR(City_Inputs!$AJ4="",Norm_Stats!$F$23="",Norm_Stats!$G$23="",Norm_Stats!$G$23=Norm_Stats!$F$23),"",MAX(0,MIN(100,100*(MIN(MAX(City_Inputs!$AJ4,Norm_Stats!$F$23),Norm_Stats!$G$23)-Norm_Stats!$F$23)/(Norm_Stats!$G$23-Norm_Stats!$F$23)))))="",0,0.3)+IF((IF(OR(City_Inputs!$AK4="",Norm_Stats!$F$24="",Norm_Stats!$G$24="",Norm_Stats!$G$24=Norm_Stats!$F$24),"",MAX(0,MIN(100,100*(MIN(MAX(City_Inputs!$AK4,Norm_Stats!$F$24),Norm_Stats!$G$24)-Norm_Stats!$F$24)/(Norm_Stats!$G$24-Norm_Stats!$F$24)))))="",0,0.2)))</f>
        <v/>
      </c>
      <c r="BE4" s="11">
        <f>IF(OR(City_Inputs!$AH4="",Norm_Stats!$F$25="",Norm_Stats!$G$25="",Norm_Stats!$G$25=Norm_Stats!$F$25),"",MAX(0,MIN(100,100*(Norm_Stats!$G$25-MIN(MAX(City_Inputs!$AH4,Norm_Stats!$F$25),Norm_Stats!$G$25))/(Norm_Stats!$G$25-Norm_Stats!$F$25))))</f>
        <v/>
      </c>
      <c r="BF4" s="14">
        <f>IF(BE4="","",1)</f>
        <v/>
      </c>
      <c r="BG4" s="15">
        <f>IF((IF(AY4="",0,6)+IF(BA4="",0,5)+IF(BC4="",0,5)+IF(BE4="",0,4))=0,"",(IF(AY4="",0,AY4*6)+IF(BA4="",0,BA4*5)+IF(BC4="",0,BC4*5)+IF(BE4="",0,BE4*4))/(IF(AY4="",0,6)+IF(BA4="",0,5)+IF(BC4="",0,5)+IF(BE4="",0,4)))</f>
        <v/>
      </c>
      <c r="BH4" s="14">
        <f>IF((IF(AZ4="",0,6)+IF(BB4="",0,5)+IF(BD4="",0,5)+IF(BF4="",0,4))=0,"",(IF(AZ4="",0,AZ4*6)+IF(BB4="",0,BB4*5)+IF(BD4="",0,BD4*5)+IF(BF4="",0,BF4*4))/20)</f>
        <v/>
      </c>
      <c r="BI4" s="14">
        <f>IF(AND(R4="",AF4="",AN4="",AX4="",BH4=""),"",((R4*25)+(AF4*22)+(AN4*18)+(AX4*15)+(BH4*20))/100)</f>
        <v/>
      </c>
      <c r="BJ4" s="11">
        <f>IF(BI4="","",IF(BI4&gt;=0.75,"A",IF(BI4&gt;=0.5,"B",IF(BI4&gt;=0.35,"C","Watchlist"))))</f>
        <v/>
      </c>
      <c r="BK4" s="11">
        <f>IF(OR(BI4="",BI4&lt;0.5,R4="",R4&lt;0.35,AF4="",AF4&lt;0.35,AN4="",AN4&lt;0.35,AX4="",AX4&lt;0.35,BH4="",BH4&lt;0.35),"Watchlist","Ranked")</f>
        <v/>
      </c>
      <c r="BL4" s="15">
        <f>IF(AND(Q4="",AE4="",AM4="",AW4="",BG4=""),"",(IF(Q4="",0,Q4*25)+IF(AE4="",0,AE4*22)+IF(AM4="",0,AM4*18)+IF(AW4="",0,AW4*15)+IF(BG4="",0,BG4*20))/(IF(Q4="",0,25)+IF(AE4="",0,22)+IF(AM4="",0,18)+IF(AW4="",0,15)+IF(BG4="",0,20)))</f>
        <v/>
      </c>
      <c r="BM4" s="11">
        <f>IF(BK4="Ranked",1+COUNTIFS($BK$2:$BK$158,"Ranked",$BL$2:$BL$158,"&gt;"&amp;BL4),"")</f>
        <v/>
      </c>
      <c r="BN4" s="11">
        <f>City_Inputs!$AI4</f>
        <v/>
      </c>
    </row>
    <row r="5">
      <c r="A5" t="inlineStr">
        <is>
          <t>id-jakarta</t>
        </is>
      </c>
      <c r="B5" t="inlineStr">
        <is>
          <t>Jakarta</t>
        </is>
      </c>
      <c r="C5" t="inlineStr">
        <is>
          <t>Indonesia</t>
        </is>
      </c>
      <c r="D5" t="inlineStr">
        <is>
          <t>Southeast Asia</t>
        </is>
      </c>
      <c r="E5" t="inlineStr">
        <is>
          <t>provisional</t>
        </is>
      </c>
      <c r="F5" t="inlineStr">
        <is>
          <t>primary</t>
        </is>
      </c>
      <c r="G5" s="11">
        <f>IF(OR(City_Inputs!$M5="",Norm_Stats!$F$2="",Norm_Stats!$G$2="",Norm_Stats!$G$2=Norm_Stats!$F$2),"",MAX(0,MIN(100,100*(MIN(MAX(City_Inputs!$M5,Norm_Stats!$F$2),Norm_Stats!$G$2)-Norm_Stats!$F$2)/(Norm_Stats!$G$2-Norm_Stats!$F$2))))</f>
        <v/>
      </c>
      <c r="H5" s="14">
        <f>IF(G5="","",1)</f>
        <v/>
      </c>
      <c r="I5" s="11">
        <f>IF(OR(City_Inputs!$N5="",Norm_Stats!$F$3="",Norm_Stats!$G$3="",Norm_Stats!$G$3=Norm_Stats!$F$3),"",MAX(0,MIN(100,100*(Norm_Stats!$G$3-MIN(MAX(City_Inputs!$N5,Norm_Stats!$F$3),Norm_Stats!$G$3))/(Norm_Stats!$G$3-Norm_Stats!$F$3))))</f>
        <v/>
      </c>
      <c r="J5" s="14">
        <f>IF(I5="","",1)</f>
        <v/>
      </c>
      <c r="K5" s="11">
        <f>IF(OR(City_Inputs!$P5="",Norm_Stats!$F$4="",Norm_Stats!$G$4="",Norm_Stats!$G$4=Norm_Stats!$F$4),"",MAX(0,MIN(100,100*(Norm_Stats!$G$4-MIN(MAX(City_Inputs!$P5,Norm_Stats!$F$4),Norm_Stats!$G$4))/(Norm_Stats!$G$4-Norm_Stats!$F$4))))</f>
        <v/>
      </c>
      <c r="L5" s="14">
        <f>IF(K5="","",1)</f>
        <v/>
      </c>
      <c r="M5" s="11">
        <f>IF(OR(City_Inputs!$Q5="",Norm_Stats!$F$5="",Norm_Stats!$G$5="",Norm_Stats!$G$5=Norm_Stats!$F$5),"",MAX(0,MIN(100,100*(Norm_Stats!$G$5-MIN(MAX(City_Inputs!$Q5,Norm_Stats!$F$5),Norm_Stats!$G$5))/(Norm_Stats!$G$5-Norm_Stats!$F$5))))</f>
        <v/>
      </c>
      <c r="N5" s="14">
        <f>IF(M5="","",1)</f>
        <v/>
      </c>
      <c r="O5" s="11">
        <f>IF(OR(City_Inputs!$R5="",Norm_Stats!$F$6="",Norm_Stats!$G$6="",Norm_Stats!$G$6=Norm_Stats!$F$6),"",MAX(0,MIN(100,100*(Norm_Stats!$G$6-MIN(MAX(City_Inputs!$R5,Norm_Stats!$F$6),Norm_Stats!$G$6))/(Norm_Stats!$G$6-Norm_Stats!$F$6))))</f>
        <v/>
      </c>
      <c r="P5" s="14">
        <f>IF(O5="","",1)</f>
        <v/>
      </c>
      <c r="Q5" s="15">
        <f>IF((IF(G5="",0,9)+IF(I5="",0,5)+IF(K5="",0,4)+IF(M5="",0,4)+IF(O5="",0,5))=0,"",(IF(G5="",0,G5*9)+IF(I5="",0,I5*5)+IF(K5="",0,K5*4)+IF(M5="",0,M5*4)+IF(O5="",0,O5*5))/(IF(G5="",0,9)+IF(I5="",0,5)+IF(K5="",0,4)+IF(M5="",0,4)+IF(O5="",0,5)))</f>
        <v/>
      </c>
      <c r="R5" s="14">
        <f>IF((IF(H5="",0,9)+IF(J5="",0,5)+IF(L5="",0,4)+IF(N5="",0,4)+IF(P5="",0,5))=0,"",(IF(H5="",0,H5*9)+IF(J5="",0,J5*5)+IF(L5="",0,L5*4)+IF(N5="",0,N5*4)+IF(P5="",0,P5*5))/27)</f>
        <v/>
      </c>
      <c r="S5" s="11">
        <f>IF(OR(City_Inputs!$S5="",Norm_Stats!$F$7="",Norm_Stats!$G$7="",Norm_Stats!$G$7=Norm_Stats!$F$7),"",MAX(0,MIN(100,100*(Norm_Stats!$G$7-MIN(MAX(City_Inputs!$S5,Norm_Stats!$F$7),Norm_Stats!$G$7))/(Norm_Stats!$G$7-Norm_Stats!$F$7))))</f>
        <v/>
      </c>
      <c r="T5" s="14">
        <f>IF(S5="","",1)</f>
        <v/>
      </c>
      <c r="U5" s="11">
        <f>IF(OR(City_Inputs!$T5="",Norm_Stats!$F$8="",Norm_Stats!$G$8="",Norm_Stats!$G$8=Norm_Stats!$F$8),"",MAX(0,MIN(100,100*(MIN(MAX(City_Inputs!$T5,Norm_Stats!$F$8),Norm_Stats!$G$8)-Norm_Stats!$F$8)/(Norm_Stats!$G$8-Norm_Stats!$F$8))))</f>
        <v/>
      </c>
      <c r="V5" s="14">
        <f>IF(U5="","",1)</f>
        <v/>
      </c>
      <c r="W5" s="11">
        <f>IF(OR(City_Inputs!$U5="",Norm_Stats!$F$9="",Norm_Stats!$G$9="",Norm_Stats!$G$9=Norm_Stats!$F$9),"",MAX(0,MIN(100,100*(Norm_Stats!$G$9-MIN(MAX(City_Inputs!$U5,Norm_Stats!$F$9),Norm_Stats!$G$9))/(Norm_Stats!$G$9-Norm_Stats!$F$9))))</f>
        <v/>
      </c>
      <c r="X5" s="14">
        <f>IF(W5="","",1)</f>
        <v/>
      </c>
      <c r="Y5" s="11">
        <f>IF(OR(City_Inputs!$V5="",Norm_Stats!$F$10="",Norm_Stats!$G$10="",Norm_Stats!$G$10=Norm_Stats!$F$10),"",MAX(0,MIN(100,100*(MIN(MAX(City_Inputs!$V5,Norm_Stats!$F$10),Norm_Stats!$G$10)-Norm_Stats!$F$10)/(Norm_Stats!$G$10-Norm_Stats!$F$10))))</f>
        <v/>
      </c>
      <c r="Z5" s="14">
        <f>IF(Y5="","",1)</f>
        <v/>
      </c>
      <c r="AA5" s="11">
        <f>IF(OR(City_Inputs!$W5="",Norm_Stats!$F$11="",Norm_Stats!$G$11="",Norm_Stats!$G$11=Norm_Stats!$F$11),"",MAX(0,MIN(100,100*(MIN(MAX(City_Inputs!$W5,Norm_Stats!$F$11),Norm_Stats!$G$11)-Norm_Stats!$F$11)/(Norm_Stats!$G$11-Norm_Stats!$F$11))))</f>
        <v/>
      </c>
      <c r="AB5" s="14">
        <f>IF(AA5="","",1)</f>
        <v/>
      </c>
      <c r="AC5" s="11">
        <f>IF(OR(City_Inputs!$X5="",Norm_Stats!$F$12="",Norm_Stats!$G$12="",Norm_Stats!$G$12=Norm_Stats!$F$12),"",MAX(0,MIN(100,100*(MIN(MAX(City_Inputs!$X5,Norm_Stats!$F$12),Norm_Stats!$G$12)-Norm_Stats!$F$12)/(Norm_Stats!$G$12-Norm_Stats!$F$12))))</f>
        <v/>
      </c>
      <c r="AD5" s="11">
        <f>IF(AC5="","",1)</f>
        <v/>
      </c>
      <c r="AE5" s="15">
        <f>IF((IF(S5="",0,5)+IF(U5="",0,5)+IF(W5="",0,4)+IF(Y5="",0,4)+IF(AA5="",0,4)+IF(AC5="",0,5))=0,"",(IF(S5="",0,S5*5)+IF(U5="",0,U5*5)+IF(W5="",0,W5*4)+IF(Y5="",0,Y5*4)+IF(AA5="",0,AA5*4)+IF(AC5="",0,AC5*5))/(IF(S5="",0,5)+IF(U5="",0,5)+IF(W5="",0,4)+IF(Y5="",0,4)+IF(AA5="",0,4)+IF(AC5="",0,5)))</f>
        <v/>
      </c>
      <c r="AF5" s="14">
        <f>IF((IF(T5="",0,5)+IF(V5="",0,5)+IF(X5="",0,4)+IF(Z5="",0,4)+IF(AB5="",0,4)+IF(AD5="",0,5))=0,"",(IF(T5="",0,T5*5)+IF(V5="",0,V5*5)+IF(X5="",0,X5*4)+IF(Z5="",0,Z5*4)+IF(AB5="",0,AB5*4)+IF(AD5="",0,AD5*5))/27)</f>
        <v/>
      </c>
      <c r="AG5" s="11">
        <f>IF(OR(City_Inputs!$Y5="",Norm_Stats!$F$13="",Norm_Stats!$G$13="",Norm_Stats!$G$13=Norm_Stats!$F$13),"",MAX(0,MIN(100,100*(MIN(MAX(City_Inputs!$Y5,Norm_Stats!$F$13),Norm_Stats!$G$13)-Norm_Stats!$F$13)/(Norm_Stats!$G$13-Norm_Stats!$F$13))))</f>
        <v/>
      </c>
      <c r="AH5" s="14">
        <f>IF(AG5="","",1)</f>
        <v/>
      </c>
      <c r="AI5" s="11">
        <f>IF(OR(City_Inputs!$Z5="",Norm_Stats!$F$14="",Norm_Stats!$G$14="",Norm_Stats!$G$14=Norm_Stats!$F$14),"",MAX(0,MIN(100,100*(MIN(MAX(City_Inputs!$Z5,Norm_Stats!$F$14),Norm_Stats!$G$14)-Norm_Stats!$F$14)/(Norm_Stats!$G$14-Norm_Stats!$F$14))))</f>
        <v/>
      </c>
      <c r="AJ5" s="14">
        <f>IF(AI5="","",1)</f>
        <v/>
      </c>
      <c r="AK5" s="11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(IF(OR(City_Inputs!$AA5="",Norm_Stats!$F$15="",Norm_Stats!$G$15="",Norm_Stats!$G$15=Norm_Stats!$F$15),"",MAX(0,MIN(100,100*(MIN(MAX(City_Inputs!$AA5,Norm_Stats!$F$15),Norm_Stats!$G$15)-Norm_Stats!$F$15)/(Norm_Stats!$G$15-Norm_Stats!$F$15)))))*0.7)+IF((IF(OR(City_Inputs!$AL5="",Norm_Stats!$F$16="",Norm_Stats!$G$16="",Norm_Stats!$G$16=Norm_Stats!$F$16),"",MAX(0,MIN(100,100*(Norm_Stats!$G$16-MIN(MAX(City_Inputs!$AL5,Norm_Stats!$F$16),Norm_Stats!$G$16))/(Norm_Stats!$G$16-Norm_Stats!$F$16)))))="",0,(IF(OR(City_Inputs!$AL5="",Norm_Stats!$F$16="",Norm_Stats!$G$16="",Norm_Stats!$G$16=Norm_Stats!$F$16),"",MAX(0,MIN(100,100*(Norm_Stats!$G$16-MIN(MAX(City_Inputs!$AL5,Norm_Stats!$F$16),Norm_Stats!$G$16))/(Norm_Stats!$G$16-Norm_Stats!$F$16)))))*0.3))/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L5" s="14">
        <f>IF(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=0,"",(IF((IF(OR(City_Inputs!$AA5="",Norm_Stats!$F$15="",Norm_Stats!$G$15="",Norm_Stats!$G$15=Norm_Stats!$F$15),"",MAX(0,MIN(100,100*(MIN(MAX(City_Inputs!$AA5,Norm_Stats!$F$15),Norm_Stats!$G$15)-Norm_Stats!$F$15)/(Norm_Stats!$G$15-Norm_Stats!$F$15)))))="",0,0.7)+IF((IF(OR(City_Inputs!$AL5="",Norm_Stats!$F$16="",Norm_Stats!$G$16="",Norm_Stats!$G$16=Norm_Stats!$F$16),"",MAX(0,MIN(100,100*(Norm_Stats!$G$16-MIN(MAX(City_Inputs!$AL5,Norm_Stats!$F$16),Norm_Stats!$G$16))/(Norm_Stats!$G$16-Norm_Stats!$F$16)))))="",0,0.3)))</f>
        <v/>
      </c>
      <c r="AM5" s="15">
        <f>IF((IF(AG5="",0,8)+IF(AI5="",0,6)+IF(AK5="",0,4))=0,"",(IF(AG5="",0,AG5*8)+IF(AI5="",0,AI5*6)+IF(AK5="",0,AK5*4))/(IF(AG5="",0,8)+IF(AI5="",0,6)+IF(AK5="",0,4)))</f>
        <v/>
      </c>
      <c r="AN5" s="14">
        <f>IF((IF(AH5="",0,8)+IF(AJ5="",0,6)+IF(AL5="",0,4))=0,"",(IF(AH5="",0,AH5*8)+IF(AJ5="",0,AJ5*6)+IF(AL5="",0,AL5*4))/18)</f>
        <v/>
      </c>
      <c r="AO5" s="11">
        <f>IF(OR(City_Inputs!$AB5="",Norm_Stats!$F$17="",Norm_Stats!$G$17="",Norm_Stats!$G$17=Norm_Stats!$F$17),"",MAX(0,MIN(100,100*(MIN(MAX(City_Inputs!$AB5,Norm_Stats!$F$17),Norm_Stats!$G$17)-Norm_Stats!$F$17)/(Norm_Stats!$G$17-Norm_Stats!$F$17))))</f>
        <v/>
      </c>
      <c r="AP5" s="14">
        <f>IF(AO5="","",1)</f>
        <v/>
      </c>
      <c r="AQ5" s="11">
        <f>IF(OR(City_Inputs!$AC5="",Norm_Stats!$F$18="",Norm_Stats!$G$18="",Norm_Stats!$G$18=Norm_Stats!$F$18),"",MAX(0,MIN(100,100*(MIN(MAX(City_Inputs!$AC5,Norm_Stats!$F$18),Norm_Stats!$G$18)-Norm_Stats!$F$18)/(Norm_Stats!$G$18-Norm_Stats!$F$18))))</f>
        <v/>
      </c>
      <c r="AR5" s="14">
        <f>IF(AQ5="","",1)</f>
        <v/>
      </c>
      <c r="AS5" s="11">
        <f>IF(OR(City_Inputs!$AD5="",Norm_Stats!$F$19="",Norm_Stats!$G$19="",Norm_Stats!$G$19=Norm_Stats!$F$19),"",MAX(0,MIN(100,100*(MIN(MAX(City_Inputs!$AD5,Norm_Stats!$F$19),Norm_Stats!$G$19)-Norm_Stats!$F$19)/(Norm_Stats!$G$19-Norm_Stats!$F$19))))</f>
        <v/>
      </c>
      <c r="AT5" s="14">
        <f>IF(AS5="","",1)</f>
        <v/>
      </c>
      <c r="AU5" s="11">
        <f>IF(OR(City_Inputs!$BJ5="",Norm_Stats!$F$26="",Norm_Stats!$G$26="",Norm_Stats!$G$26=Norm_Stats!$F$26),"",MAX(0,MIN(100,100*(MIN(MAX(City_Inputs!$BJ5,Norm_Stats!$F$26),Norm_Stats!$G$26)-Norm_Stats!$F$26)/(Norm_Stats!$G$26-Norm_Stats!$F$26))))</f>
        <v/>
      </c>
      <c r="AV5" s="11">
        <f>IF(AU5="","",1)</f>
        <v/>
      </c>
      <c r="AW5" s="15">
        <f>IF((IF(AO5="",0,5)+IF(AQ5="",0,5)+IF(AS5="",0,5)+IF(AU5="",0,4))=0,"",(IF(AO5="",0,AO5*5)+IF(AQ5="",0,AQ5*5)+IF(AS5="",0,AS5*5)+IF(AU5="",0,AU5*4))/(IF(AO5="",0,5)+IF(AQ5="",0,5)+IF(AS5="",0,5)+IF(AU5="",0,4)))</f>
        <v/>
      </c>
      <c r="AX5" s="14">
        <f>IF((IF(AP5="",0,5)+IF(AR5="",0,5)+IF(AT5="",0,5)+IF(AV5="",0,4))=0,"",(IF(AP5="",0,AP5*5)+IF(AR5="",0,AR5*5)+IF(AT5="",0,AT5*5)+IF(AV5="",0,AV5*4))/19)</f>
        <v/>
      </c>
      <c r="AY5" s="11">
        <f>IF(OR(City_Inputs!$AE5="",Norm_Stats!$F$20="",Norm_Stats!$G$20="",Norm_Stats!$G$20=Norm_Stats!$F$20),"",MAX(0,MIN(100,100*(MIN(MAX(City_Inputs!$AE5,Norm_Stats!$F$20),Norm_Stats!$G$20)-Norm_Stats!$F$20)/(Norm_Stats!$G$20-Norm_Stats!$F$20))))</f>
        <v/>
      </c>
      <c r="AZ5" s="14">
        <f>IF(AY5="","",1)</f>
        <v/>
      </c>
      <c r="BA5" s="11">
        <f>IF(OR(City_Inputs!$AF5="",Norm_Stats!$F$21="",Norm_Stats!$G$21="",Norm_Stats!$G$21=Norm_Stats!$F$21),"",MAX(0,MIN(100,100*(MIN(MAX(City_Inputs!$AF5,Norm_Stats!$F$21),Norm_Stats!$G$21)-Norm_Stats!$F$21)/(Norm_Stats!$G$21-Norm_Stats!$F$21))))</f>
        <v/>
      </c>
      <c r="BB5" s="14">
        <f>IF(BA5="","",1)</f>
        <v/>
      </c>
      <c r="BC5" s="11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(IF(OR(City_Inputs!$AG5="",Norm_Stats!$F$22="",Norm_Stats!$G$22="",Norm_Stats!$G$22=Norm_Stats!$F$22),"",MAX(0,MIN(100,100*(MIN(MAX(City_Inputs!$AG5,Norm_Stats!$F$22),Norm_Stats!$G$22)-Norm_Stats!$F$22)/(Norm_Stats!$G$22-Norm_Stats!$F$22)))))*0.5)+IF((IF(OR(City_Inputs!$AJ5="",Norm_Stats!$F$23="",Norm_Stats!$G$23="",Norm_Stats!$G$23=Norm_Stats!$F$23),"",MAX(0,MIN(100,100*(MIN(MAX(City_Inputs!$AJ5,Norm_Stats!$F$23),Norm_Stats!$G$23)-Norm_Stats!$F$23)/(Norm_Stats!$G$23-Norm_Stats!$F$23)))))="",0,(IF(OR(City_Inputs!$AJ5="",Norm_Stats!$F$23="",Norm_Stats!$G$23="",Norm_Stats!$G$23=Norm_Stats!$F$23),"",MAX(0,MIN(100,100*(MIN(MAX(City_Inputs!$AJ5,Norm_Stats!$F$23),Norm_Stats!$G$23)-Norm_Stats!$F$23)/(Norm_Stats!$G$23-Norm_Stats!$F$23)))))*0.3)+IF((IF(OR(City_Inputs!$AK5="",Norm_Stats!$F$24="",Norm_Stats!$G$24="",Norm_Stats!$G$24=Norm_Stats!$F$24),"",MAX(0,MIN(100,100*(MIN(MAX(City_Inputs!$AK5,Norm_Stats!$F$24),Norm_Stats!$G$24)-Norm_Stats!$F$24)/(Norm_Stats!$G$24-Norm_Stats!$F$24)))))="",0,(IF(OR(City_Inputs!$AK5="",Norm_Stats!$F$24="",Norm_Stats!$G$24="",Norm_Stats!$G$24=Norm_Stats!$F$24),"",MAX(0,MIN(100,100*(MIN(MAX(City_Inputs!$AK5,Norm_Stats!$F$24),Norm_Stats!$G$24)-Norm_Stats!$F$24)/(Norm_Stats!$G$24-Norm_Stats!$F$24)))))*0.2))/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D5" s="14">
        <f>IF(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=0,"",(IF((IF(OR(City_Inputs!$AG5="",Norm_Stats!$F$22="",Norm_Stats!$G$22="",Norm_Stats!$G$22=Norm_Stats!$F$22),"",MAX(0,MIN(100,100*(MIN(MAX(City_Inputs!$AG5,Norm_Stats!$F$22),Norm_Stats!$G$22)-Norm_Stats!$F$22)/(Norm_Stats!$G$22-Norm_Stats!$F$22)))))="",0,0.5)+IF((IF(OR(City_Inputs!$AJ5="",Norm_Stats!$F$23="",Norm_Stats!$G$23="",Norm_Stats!$G$23=Norm_Stats!$F$23),"",MAX(0,MIN(100,100*(MIN(MAX(City_Inputs!$AJ5,Norm_Stats!$F$23),Norm_Stats!$G$23)-Norm_Stats!$F$23)/(Norm_Stats!$G$23-Norm_Stats!$F$23)))))="",0,0.3)+IF((IF(OR(City_Inputs!$AK5="",Norm_Stats!$F$24="",Norm_Stats!$G$24="",Norm_Stats!$G$24=Norm_Stats!$F$24),"",MAX(0,MIN(100,100*(MIN(MAX(City_Inputs!$AK5,Norm_Stats!$F$24),Norm_Stats!$G$24)-Norm_Stats!$F$24)/(Norm_Stats!$G$24-Norm_Stats!$F$24)))))="",0,0.2)))</f>
        <v/>
      </c>
      <c r="BE5" s="11">
        <f>IF(OR(City_Inputs!$AH5="",Norm_Stats!$F$25="",Norm_Stats!$G$25="",Norm_Stats!$G$25=Norm_Stats!$F$25),"",MAX(0,MIN(100,100*(Norm_Stats!$G$25-MIN(MAX(City_Inputs!$AH5,Norm_Stats!$F$25),Norm_Stats!$G$25))/(Norm_Stats!$G$25-Norm_Stats!$F$25))))</f>
        <v/>
      </c>
      <c r="BF5" s="14">
        <f>IF(BE5="","",1)</f>
        <v/>
      </c>
      <c r="BG5" s="15">
        <f>IF((IF(AY5="",0,6)+IF(BA5="",0,5)+IF(BC5="",0,5)+IF(BE5="",0,4))=0,"",(IF(AY5="",0,AY5*6)+IF(BA5="",0,BA5*5)+IF(BC5="",0,BC5*5)+IF(BE5="",0,BE5*4))/(IF(AY5="",0,6)+IF(BA5="",0,5)+IF(BC5="",0,5)+IF(BE5="",0,4)))</f>
        <v/>
      </c>
      <c r="BH5" s="14">
        <f>IF((IF(AZ5="",0,6)+IF(BB5="",0,5)+IF(BD5="",0,5)+IF(BF5="",0,4))=0,"",(IF(AZ5="",0,AZ5*6)+IF(BB5="",0,BB5*5)+IF(BD5="",0,BD5*5)+IF(BF5="",0,BF5*4))/20)</f>
        <v/>
      </c>
      <c r="BI5" s="14">
        <f>IF(AND(R5="",AF5="",AN5="",AX5="",BH5=""),"",((R5*25)+(AF5*22)+(AN5*18)+(AX5*15)+(BH5*20))/100)</f>
        <v/>
      </c>
      <c r="BJ5" s="11">
        <f>IF(BI5="","",IF(BI5&gt;=0.75,"A",IF(BI5&gt;=0.5,"B",IF(BI5&gt;=0.35,"C","Watchlist"))))</f>
        <v/>
      </c>
      <c r="BK5" s="11">
        <f>IF(OR(BI5="",BI5&lt;0.5,R5="",R5&lt;0.35,AF5="",AF5&lt;0.35,AN5="",AN5&lt;0.35,AX5="",AX5&lt;0.35,BH5="",BH5&lt;0.35),"Watchlist","Ranked")</f>
        <v/>
      </c>
      <c r="BL5" s="15">
        <f>IF(AND(Q5="",AE5="",AM5="",AW5="",BG5=""),"",(IF(Q5="",0,Q5*25)+IF(AE5="",0,AE5*22)+IF(AM5="",0,AM5*18)+IF(AW5="",0,AW5*15)+IF(BG5="",0,BG5*20))/(IF(Q5="",0,25)+IF(AE5="",0,22)+IF(AM5="",0,18)+IF(AW5="",0,15)+IF(BG5="",0,20)))</f>
        <v/>
      </c>
      <c r="BM5" s="11">
        <f>IF(BK5="Ranked",1+COUNTIFS($BK$2:$BK$158,"Ranked",$BL$2:$BL$158,"&gt;"&amp;BL5),"")</f>
        <v/>
      </c>
      <c r="BN5" s="11">
        <f>City_Inputs!$AI5</f>
        <v/>
      </c>
    </row>
    <row r="6">
      <c r="A6" t="inlineStr">
        <is>
          <t>ph-makati</t>
        </is>
      </c>
      <c r="B6" t="inlineStr">
        <is>
          <t>Makati</t>
        </is>
      </c>
      <c r="C6" t="inlineStr">
        <is>
          <t>Philippines</t>
        </is>
      </c>
      <c r="D6" t="inlineStr">
        <is>
          <t>Southeast Asia</t>
        </is>
      </c>
      <c r="E6" t="inlineStr">
        <is>
          <t>provisional</t>
        </is>
      </c>
      <c r="F6" t="inlineStr">
        <is>
          <t>primary</t>
        </is>
      </c>
      <c r="G6" s="11">
        <f>IF(OR(City_Inputs!$M6="",Norm_Stats!$F$2="",Norm_Stats!$G$2="",Norm_Stats!$G$2=Norm_Stats!$F$2),"",MAX(0,MIN(100,100*(MIN(MAX(City_Inputs!$M6,Norm_Stats!$F$2),Norm_Stats!$G$2)-Norm_Stats!$F$2)/(Norm_Stats!$G$2-Norm_Stats!$F$2))))</f>
        <v/>
      </c>
      <c r="H6" s="14">
        <f>IF(G6="","",1)</f>
        <v/>
      </c>
      <c r="I6" s="11">
        <f>IF(OR(City_Inputs!$N6="",Norm_Stats!$F$3="",Norm_Stats!$G$3="",Norm_Stats!$G$3=Norm_Stats!$F$3),"",MAX(0,MIN(100,100*(Norm_Stats!$G$3-MIN(MAX(City_Inputs!$N6,Norm_Stats!$F$3),Norm_Stats!$G$3))/(Norm_Stats!$G$3-Norm_Stats!$F$3))))</f>
        <v/>
      </c>
      <c r="J6" s="14">
        <f>IF(I6="","",1)</f>
        <v/>
      </c>
      <c r="K6" s="11">
        <f>IF(OR(City_Inputs!$P6="",Norm_Stats!$F$4="",Norm_Stats!$G$4="",Norm_Stats!$G$4=Norm_Stats!$F$4),"",MAX(0,MIN(100,100*(Norm_Stats!$G$4-MIN(MAX(City_Inputs!$P6,Norm_Stats!$F$4),Norm_Stats!$G$4))/(Norm_Stats!$G$4-Norm_Stats!$F$4))))</f>
        <v/>
      </c>
      <c r="L6" s="14">
        <f>IF(K6="","",1)</f>
        <v/>
      </c>
      <c r="M6" s="11">
        <f>IF(OR(City_Inputs!$Q6="",Norm_Stats!$F$5="",Norm_Stats!$G$5="",Norm_Stats!$G$5=Norm_Stats!$F$5),"",MAX(0,MIN(100,100*(Norm_Stats!$G$5-MIN(MAX(City_Inputs!$Q6,Norm_Stats!$F$5),Norm_Stats!$G$5))/(Norm_Stats!$G$5-Norm_Stats!$F$5))))</f>
        <v/>
      </c>
      <c r="N6" s="14">
        <f>IF(M6="","",1)</f>
        <v/>
      </c>
      <c r="O6" s="11">
        <f>IF(OR(City_Inputs!$R6="",Norm_Stats!$F$6="",Norm_Stats!$G$6="",Norm_Stats!$G$6=Norm_Stats!$F$6),"",MAX(0,MIN(100,100*(Norm_Stats!$G$6-MIN(MAX(City_Inputs!$R6,Norm_Stats!$F$6),Norm_Stats!$G$6))/(Norm_Stats!$G$6-Norm_Stats!$F$6))))</f>
        <v/>
      </c>
      <c r="P6" s="14">
        <f>IF(O6="","",1)</f>
        <v/>
      </c>
      <c r="Q6" s="15">
        <f>IF((IF(G6="",0,9)+IF(I6="",0,5)+IF(K6="",0,4)+IF(M6="",0,4)+IF(O6="",0,5))=0,"",(IF(G6="",0,G6*9)+IF(I6="",0,I6*5)+IF(K6="",0,K6*4)+IF(M6="",0,M6*4)+IF(O6="",0,O6*5))/(IF(G6="",0,9)+IF(I6="",0,5)+IF(K6="",0,4)+IF(M6="",0,4)+IF(O6="",0,5)))</f>
        <v/>
      </c>
      <c r="R6" s="14">
        <f>IF((IF(H6="",0,9)+IF(J6="",0,5)+IF(L6="",0,4)+IF(N6="",0,4)+IF(P6="",0,5))=0,"",(IF(H6="",0,H6*9)+IF(J6="",0,J6*5)+IF(L6="",0,L6*4)+IF(N6="",0,N6*4)+IF(P6="",0,P6*5))/27)</f>
        <v/>
      </c>
      <c r="S6" s="11">
        <f>IF(OR(City_Inputs!$S6="",Norm_Stats!$F$7="",Norm_Stats!$G$7="",Norm_Stats!$G$7=Norm_Stats!$F$7),"",MAX(0,MIN(100,100*(Norm_Stats!$G$7-MIN(MAX(City_Inputs!$S6,Norm_Stats!$F$7),Norm_Stats!$G$7))/(Norm_Stats!$G$7-Norm_Stats!$F$7))))</f>
        <v/>
      </c>
      <c r="T6" s="14">
        <f>IF(S6="","",1)</f>
        <v/>
      </c>
      <c r="U6" s="11">
        <f>IF(OR(City_Inputs!$T6="",Norm_Stats!$F$8="",Norm_Stats!$G$8="",Norm_Stats!$G$8=Norm_Stats!$F$8),"",MAX(0,MIN(100,100*(MIN(MAX(City_Inputs!$T6,Norm_Stats!$F$8),Norm_Stats!$G$8)-Norm_Stats!$F$8)/(Norm_Stats!$G$8-Norm_Stats!$F$8))))</f>
        <v/>
      </c>
      <c r="V6" s="14">
        <f>IF(U6="","",1)</f>
        <v/>
      </c>
      <c r="W6" s="11">
        <f>IF(OR(City_Inputs!$U6="",Norm_Stats!$F$9="",Norm_Stats!$G$9="",Norm_Stats!$G$9=Norm_Stats!$F$9),"",MAX(0,MIN(100,100*(Norm_Stats!$G$9-MIN(MAX(City_Inputs!$U6,Norm_Stats!$F$9),Norm_Stats!$G$9))/(Norm_Stats!$G$9-Norm_Stats!$F$9))))</f>
        <v/>
      </c>
      <c r="X6" s="14">
        <f>IF(W6="","",1)</f>
        <v/>
      </c>
      <c r="Y6" s="11">
        <f>IF(OR(City_Inputs!$V6="",Norm_Stats!$F$10="",Norm_Stats!$G$10="",Norm_Stats!$G$10=Norm_Stats!$F$10),"",MAX(0,MIN(100,100*(MIN(MAX(City_Inputs!$V6,Norm_Stats!$F$10),Norm_Stats!$G$10)-Norm_Stats!$F$10)/(Norm_Stats!$G$10-Norm_Stats!$F$10))))</f>
        <v/>
      </c>
      <c r="Z6" s="14">
        <f>IF(Y6="","",1)</f>
        <v/>
      </c>
      <c r="AA6" s="11">
        <f>IF(OR(City_Inputs!$W6="",Norm_Stats!$F$11="",Norm_Stats!$G$11="",Norm_Stats!$G$11=Norm_Stats!$F$11),"",MAX(0,MIN(100,100*(MIN(MAX(City_Inputs!$W6,Norm_Stats!$F$11),Norm_Stats!$G$11)-Norm_Stats!$F$11)/(Norm_Stats!$G$11-Norm_Stats!$F$11))))</f>
        <v/>
      </c>
      <c r="AB6" s="14">
        <f>IF(AA6="","",1)</f>
        <v/>
      </c>
      <c r="AC6" s="11">
        <f>IF(OR(City_Inputs!$X6="",Norm_Stats!$F$12="",Norm_Stats!$G$12="",Norm_Stats!$G$12=Norm_Stats!$F$12),"",MAX(0,MIN(100,100*(MIN(MAX(City_Inputs!$X6,Norm_Stats!$F$12),Norm_Stats!$G$12)-Norm_Stats!$F$12)/(Norm_Stats!$G$12-Norm_Stats!$F$12))))</f>
        <v/>
      </c>
      <c r="AD6" s="11">
        <f>IF(AC6="","",1)</f>
        <v/>
      </c>
      <c r="AE6" s="15">
        <f>IF((IF(S6="",0,5)+IF(U6="",0,5)+IF(W6="",0,4)+IF(Y6="",0,4)+IF(AA6="",0,4)+IF(AC6="",0,5))=0,"",(IF(S6="",0,S6*5)+IF(U6="",0,U6*5)+IF(W6="",0,W6*4)+IF(Y6="",0,Y6*4)+IF(AA6="",0,AA6*4)+IF(AC6="",0,AC6*5))/(IF(S6="",0,5)+IF(U6="",0,5)+IF(W6="",0,4)+IF(Y6="",0,4)+IF(AA6="",0,4)+IF(AC6="",0,5)))</f>
        <v/>
      </c>
      <c r="AF6" s="14">
        <f>IF((IF(T6="",0,5)+IF(V6="",0,5)+IF(X6="",0,4)+IF(Z6="",0,4)+IF(AB6="",0,4)+IF(AD6="",0,5))=0,"",(IF(T6="",0,T6*5)+IF(V6="",0,V6*5)+IF(X6="",0,X6*4)+IF(Z6="",0,Z6*4)+IF(AB6="",0,AB6*4)+IF(AD6="",0,AD6*5))/27)</f>
        <v/>
      </c>
      <c r="AG6" s="11">
        <f>IF(OR(City_Inputs!$Y6="",Norm_Stats!$F$13="",Norm_Stats!$G$13="",Norm_Stats!$G$13=Norm_Stats!$F$13),"",MAX(0,MIN(100,100*(MIN(MAX(City_Inputs!$Y6,Norm_Stats!$F$13),Norm_Stats!$G$13)-Norm_Stats!$F$13)/(Norm_Stats!$G$13-Norm_Stats!$F$13))))</f>
        <v/>
      </c>
      <c r="AH6" s="14">
        <f>IF(AG6="","",1)</f>
        <v/>
      </c>
      <c r="AI6" s="11">
        <f>IF(OR(City_Inputs!$Z6="",Norm_Stats!$F$14="",Norm_Stats!$G$14="",Norm_Stats!$G$14=Norm_Stats!$F$14),"",MAX(0,MIN(100,100*(MIN(MAX(City_Inputs!$Z6,Norm_Stats!$F$14),Norm_Stats!$G$14)-Norm_Stats!$F$14)/(Norm_Stats!$G$14-Norm_Stats!$F$14))))</f>
        <v/>
      </c>
      <c r="AJ6" s="14">
        <f>IF(AI6="","",1)</f>
        <v/>
      </c>
      <c r="AK6" s="11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(IF(OR(City_Inputs!$AA6="",Norm_Stats!$F$15="",Norm_Stats!$G$15="",Norm_Stats!$G$15=Norm_Stats!$F$15),"",MAX(0,MIN(100,100*(MIN(MAX(City_Inputs!$AA6,Norm_Stats!$F$15),Norm_Stats!$G$15)-Norm_Stats!$F$15)/(Norm_Stats!$G$15-Norm_Stats!$F$15)))))*0.7)+IF((IF(OR(City_Inputs!$AL6="",Norm_Stats!$F$16="",Norm_Stats!$G$16="",Norm_Stats!$G$16=Norm_Stats!$F$16),"",MAX(0,MIN(100,100*(Norm_Stats!$G$16-MIN(MAX(City_Inputs!$AL6,Norm_Stats!$F$16),Norm_Stats!$G$16))/(Norm_Stats!$G$16-Norm_Stats!$F$16)))))="",0,(IF(OR(City_Inputs!$AL6="",Norm_Stats!$F$16="",Norm_Stats!$G$16="",Norm_Stats!$G$16=Norm_Stats!$F$16),"",MAX(0,MIN(100,100*(Norm_Stats!$G$16-MIN(MAX(City_Inputs!$AL6,Norm_Stats!$F$16),Norm_Stats!$G$16))/(Norm_Stats!$G$16-Norm_Stats!$F$16)))))*0.3))/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L6" s="14">
        <f>IF(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=0,"",(IF((IF(OR(City_Inputs!$AA6="",Norm_Stats!$F$15="",Norm_Stats!$G$15="",Norm_Stats!$G$15=Norm_Stats!$F$15),"",MAX(0,MIN(100,100*(MIN(MAX(City_Inputs!$AA6,Norm_Stats!$F$15),Norm_Stats!$G$15)-Norm_Stats!$F$15)/(Norm_Stats!$G$15-Norm_Stats!$F$15)))))="",0,0.7)+IF((IF(OR(City_Inputs!$AL6="",Norm_Stats!$F$16="",Norm_Stats!$G$16="",Norm_Stats!$G$16=Norm_Stats!$F$16),"",MAX(0,MIN(100,100*(Norm_Stats!$G$16-MIN(MAX(City_Inputs!$AL6,Norm_Stats!$F$16),Norm_Stats!$G$16))/(Norm_Stats!$G$16-Norm_Stats!$F$16)))))="",0,0.3)))</f>
        <v/>
      </c>
      <c r="AM6" s="15">
        <f>IF((IF(AG6="",0,8)+IF(AI6="",0,6)+IF(AK6="",0,4))=0,"",(IF(AG6="",0,AG6*8)+IF(AI6="",0,AI6*6)+IF(AK6="",0,AK6*4))/(IF(AG6="",0,8)+IF(AI6="",0,6)+IF(AK6="",0,4)))</f>
        <v/>
      </c>
      <c r="AN6" s="14">
        <f>IF((IF(AH6="",0,8)+IF(AJ6="",0,6)+IF(AL6="",0,4))=0,"",(IF(AH6="",0,AH6*8)+IF(AJ6="",0,AJ6*6)+IF(AL6="",0,AL6*4))/18)</f>
        <v/>
      </c>
      <c r="AO6" s="11">
        <f>IF(OR(City_Inputs!$AB6="",Norm_Stats!$F$17="",Norm_Stats!$G$17="",Norm_Stats!$G$17=Norm_Stats!$F$17),"",MAX(0,MIN(100,100*(MIN(MAX(City_Inputs!$AB6,Norm_Stats!$F$17),Norm_Stats!$G$17)-Norm_Stats!$F$17)/(Norm_Stats!$G$17-Norm_Stats!$F$17))))</f>
        <v/>
      </c>
      <c r="AP6" s="14">
        <f>IF(AO6="","",1)</f>
        <v/>
      </c>
      <c r="AQ6" s="11">
        <f>IF(OR(City_Inputs!$AC6="",Norm_Stats!$F$18="",Norm_Stats!$G$18="",Norm_Stats!$G$18=Norm_Stats!$F$18),"",MAX(0,MIN(100,100*(MIN(MAX(City_Inputs!$AC6,Norm_Stats!$F$18),Norm_Stats!$G$18)-Norm_Stats!$F$18)/(Norm_Stats!$G$18-Norm_Stats!$F$18))))</f>
        <v/>
      </c>
      <c r="AR6" s="14">
        <f>IF(AQ6="","",1)</f>
        <v/>
      </c>
      <c r="AS6" s="11">
        <f>IF(OR(City_Inputs!$AD6="",Norm_Stats!$F$19="",Norm_Stats!$G$19="",Norm_Stats!$G$19=Norm_Stats!$F$19),"",MAX(0,MIN(100,100*(MIN(MAX(City_Inputs!$AD6,Norm_Stats!$F$19),Norm_Stats!$G$19)-Norm_Stats!$F$19)/(Norm_Stats!$G$19-Norm_Stats!$F$19))))</f>
        <v/>
      </c>
      <c r="AT6" s="14">
        <f>IF(AS6="","",1)</f>
        <v/>
      </c>
      <c r="AU6" s="11">
        <f>IF(OR(City_Inputs!$BJ6="",Norm_Stats!$F$26="",Norm_Stats!$G$26="",Norm_Stats!$G$26=Norm_Stats!$F$26),"",MAX(0,MIN(100,100*(MIN(MAX(City_Inputs!$BJ6,Norm_Stats!$F$26),Norm_Stats!$G$26)-Norm_Stats!$F$26)/(Norm_Stats!$G$26-Norm_Stats!$F$26))))</f>
        <v/>
      </c>
      <c r="AV6" s="11">
        <f>IF(AU6="","",1)</f>
        <v/>
      </c>
      <c r="AW6" s="15">
        <f>IF((IF(AO6="",0,5)+IF(AQ6="",0,5)+IF(AS6="",0,5)+IF(AU6="",0,4))=0,"",(IF(AO6="",0,AO6*5)+IF(AQ6="",0,AQ6*5)+IF(AS6="",0,AS6*5)+IF(AU6="",0,AU6*4))/(IF(AO6="",0,5)+IF(AQ6="",0,5)+IF(AS6="",0,5)+IF(AU6="",0,4)))</f>
        <v/>
      </c>
      <c r="AX6" s="14">
        <f>IF((IF(AP6="",0,5)+IF(AR6="",0,5)+IF(AT6="",0,5)+IF(AV6="",0,4))=0,"",(IF(AP6="",0,AP6*5)+IF(AR6="",0,AR6*5)+IF(AT6="",0,AT6*5)+IF(AV6="",0,AV6*4))/19)</f>
        <v/>
      </c>
      <c r="AY6" s="11">
        <f>IF(OR(City_Inputs!$AE6="",Norm_Stats!$F$20="",Norm_Stats!$G$20="",Norm_Stats!$G$20=Norm_Stats!$F$20),"",MAX(0,MIN(100,100*(MIN(MAX(City_Inputs!$AE6,Norm_Stats!$F$20),Norm_Stats!$G$20)-Norm_Stats!$F$20)/(Norm_Stats!$G$20-Norm_Stats!$F$20))))</f>
        <v/>
      </c>
      <c r="AZ6" s="14">
        <f>IF(AY6="","",1)</f>
        <v/>
      </c>
      <c r="BA6" s="11">
        <f>IF(OR(City_Inputs!$AF6="",Norm_Stats!$F$21="",Norm_Stats!$G$21="",Norm_Stats!$G$21=Norm_Stats!$F$21),"",MAX(0,MIN(100,100*(MIN(MAX(City_Inputs!$AF6,Norm_Stats!$F$21),Norm_Stats!$G$21)-Norm_Stats!$F$21)/(Norm_Stats!$G$21-Norm_Stats!$F$21))))</f>
        <v/>
      </c>
      <c r="BB6" s="14">
        <f>IF(BA6="","",1)</f>
        <v/>
      </c>
      <c r="BC6" s="11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(IF(OR(City_Inputs!$AG6="",Norm_Stats!$F$22="",Norm_Stats!$G$22="",Norm_Stats!$G$22=Norm_Stats!$F$22),"",MAX(0,MIN(100,100*(MIN(MAX(City_Inputs!$AG6,Norm_Stats!$F$22),Norm_Stats!$G$22)-Norm_Stats!$F$22)/(Norm_Stats!$G$22-Norm_Stats!$F$22)))))*0.5)+IF((IF(OR(City_Inputs!$AJ6="",Norm_Stats!$F$23="",Norm_Stats!$G$23="",Norm_Stats!$G$23=Norm_Stats!$F$23),"",MAX(0,MIN(100,100*(MIN(MAX(City_Inputs!$AJ6,Norm_Stats!$F$23),Norm_Stats!$G$23)-Norm_Stats!$F$23)/(Norm_Stats!$G$23-Norm_Stats!$F$23)))))="",0,(IF(OR(City_Inputs!$AJ6="",Norm_Stats!$F$23="",Norm_Stats!$G$23="",Norm_Stats!$G$23=Norm_Stats!$F$23),"",MAX(0,MIN(100,100*(MIN(MAX(City_Inputs!$AJ6,Norm_Stats!$F$23),Norm_Stats!$G$23)-Norm_Stats!$F$23)/(Norm_Stats!$G$23-Norm_Stats!$F$23)))))*0.3)+IF((IF(OR(City_Inputs!$AK6="",Norm_Stats!$F$24="",Norm_Stats!$G$24="",Norm_Stats!$G$24=Norm_Stats!$F$24),"",MAX(0,MIN(100,100*(MIN(MAX(City_Inputs!$AK6,Norm_Stats!$F$24),Norm_Stats!$G$24)-Norm_Stats!$F$24)/(Norm_Stats!$G$24-Norm_Stats!$F$24)))))="",0,(IF(OR(City_Inputs!$AK6="",Norm_Stats!$F$24="",Norm_Stats!$G$24="",Norm_Stats!$G$24=Norm_Stats!$F$24),"",MAX(0,MIN(100,100*(MIN(MAX(City_Inputs!$AK6,Norm_Stats!$F$24),Norm_Stats!$G$24)-Norm_Stats!$F$24)/(Norm_Stats!$G$24-Norm_Stats!$F$24)))))*0.2))/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D6" s="14">
        <f>IF(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=0,"",(IF((IF(OR(City_Inputs!$AG6="",Norm_Stats!$F$22="",Norm_Stats!$G$22="",Norm_Stats!$G$22=Norm_Stats!$F$22),"",MAX(0,MIN(100,100*(MIN(MAX(City_Inputs!$AG6,Norm_Stats!$F$22),Norm_Stats!$G$22)-Norm_Stats!$F$22)/(Norm_Stats!$G$22-Norm_Stats!$F$22)))))="",0,0.5)+IF((IF(OR(City_Inputs!$AJ6="",Norm_Stats!$F$23="",Norm_Stats!$G$23="",Norm_Stats!$G$23=Norm_Stats!$F$23),"",MAX(0,MIN(100,100*(MIN(MAX(City_Inputs!$AJ6,Norm_Stats!$F$23),Norm_Stats!$G$23)-Norm_Stats!$F$23)/(Norm_Stats!$G$23-Norm_Stats!$F$23)))))="",0,0.3)+IF((IF(OR(City_Inputs!$AK6="",Norm_Stats!$F$24="",Norm_Stats!$G$24="",Norm_Stats!$G$24=Norm_Stats!$F$24),"",MAX(0,MIN(100,100*(MIN(MAX(City_Inputs!$AK6,Norm_Stats!$F$24),Norm_Stats!$G$24)-Norm_Stats!$F$24)/(Norm_Stats!$G$24-Norm_Stats!$F$24)))))="",0,0.2)))</f>
        <v/>
      </c>
      <c r="BE6" s="11">
        <f>IF(OR(City_Inputs!$AH6="",Norm_Stats!$F$25="",Norm_Stats!$G$25="",Norm_Stats!$G$25=Norm_Stats!$F$25),"",MAX(0,MIN(100,100*(Norm_Stats!$G$25-MIN(MAX(City_Inputs!$AH6,Norm_Stats!$F$25),Norm_Stats!$G$25))/(Norm_Stats!$G$25-Norm_Stats!$F$25))))</f>
        <v/>
      </c>
      <c r="BF6" s="14">
        <f>IF(BE6="","",1)</f>
        <v/>
      </c>
      <c r="BG6" s="15">
        <f>IF((IF(AY6="",0,6)+IF(BA6="",0,5)+IF(BC6="",0,5)+IF(BE6="",0,4))=0,"",(IF(AY6="",0,AY6*6)+IF(BA6="",0,BA6*5)+IF(BC6="",0,BC6*5)+IF(BE6="",0,BE6*4))/(IF(AY6="",0,6)+IF(BA6="",0,5)+IF(BC6="",0,5)+IF(BE6="",0,4)))</f>
        <v/>
      </c>
      <c r="BH6" s="14">
        <f>IF((IF(AZ6="",0,6)+IF(BB6="",0,5)+IF(BD6="",0,5)+IF(BF6="",0,4))=0,"",(IF(AZ6="",0,AZ6*6)+IF(BB6="",0,BB6*5)+IF(BD6="",0,BD6*5)+IF(BF6="",0,BF6*4))/20)</f>
        <v/>
      </c>
      <c r="BI6" s="14">
        <f>IF(AND(R6="",AF6="",AN6="",AX6="",BH6=""),"",((R6*25)+(AF6*22)+(AN6*18)+(AX6*15)+(BH6*20))/100)</f>
        <v/>
      </c>
      <c r="BJ6" s="11">
        <f>IF(BI6="","",IF(BI6&gt;=0.75,"A",IF(BI6&gt;=0.5,"B",IF(BI6&gt;=0.35,"C","Watchlist"))))</f>
        <v/>
      </c>
      <c r="BK6" s="11">
        <f>IF(OR(BI6="",BI6&lt;0.5,R6="",R6&lt;0.35,AF6="",AF6&lt;0.35,AN6="",AN6&lt;0.35,AX6="",AX6&lt;0.35,BH6="",BH6&lt;0.35),"Watchlist","Ranked")</f>
        <v/>
      </c>
      <c r="BL6" s="15">
        <f>IF(AND(Q6="",AE6="",AM6="",AW6="",BG6=""),"",(IF(Q6="",0,Q6*25)+IF(AE6="",0,AE6*22)+IF(AM6="",0,AM6*18)+IF(AW6="",0,AW6*15)+IF(BG6="",0,BG6*20))/(IF(Q6="",0,25)+IF(AE6="",0,22)+IF(AM6="",0,18)+IF(AW6="",0,15)+IF(BG6="",0,20)))</f>
        <v/>
      </c>
      <c r="BM6" s="11">
        <f>IF(BK6="Ranked",1+COUNTIFS($BK$2:$BK$158,"Ranked",$BL$2:$BL$158,"&gt;"&amp;BL6),"")</f>
        <v/>
      </c>
      <c r="BN6" s="11">
        <f>City_Inputs!$AI6</f>
        <v/>
      </c>
    </row>
    <row r="7">
      <c r="A7" t="inlineStr">
        <is>
          <t>my-george-town</t>
        </is>
      </c>
      <c r="B7" t="inlineStr">
        <is>
          <t>George Town</t>
        </is>
      </c>
      <c r="C7" t="inlineStr">
        <is>
          <t>Malaysia</t>
        </is>
      </c>
      <c r="D7" t="inlineStr">
        <is>
          <t>Southeast Asia</t>
        </is>
      </c>
      <c r="E7" t="inlineStr">
        <is>
          <t>locked</t>
        </is>
      </c>
      <c r="F7" t="inlineStr">
        <is>
          <t>secondary</t>
        </is>
      </c>
      <c r="G7" s="11">
        <f>IF(OR(City_Inputs!$M7="",Norm_Stats!$F$2="",Norm_Stats!$G$2="",Norm_Stats!$G$2=Norm_Stats!$F$2),"",MAX(0,MIN(100,100*(MIN(MAX(City_Inputs!$M7,Norm_Stats!$F$2),Norm_Stats!$G$2)-Norm_Stats!$F$2)/(Norm_Stats!$G$2-Norm_Stats!$F$2))))</f>
        <v/>
      </c>
      <c r="H7" s="14">
        <f>IF(G7="","",1)</f>
        <v/>
      </c>
      <c r="I7" s="11">
        <f>IF(OR(City_Inputs!$N7="",Norm_Stats!$F$3="",Norm_Stats!$G$3="",Norm_Stats!$G$3=Norm_Stats!$F$3),"",MAX(0,MIN(100,100*(Norm_Stats!$G$3-MIN(MAX(City_Inputs!$N7,Norm_Stats!$F$3),Norm_Stats!$G$3))/(Norm_Stats!$G$3-Norm_Stats!$F$3))))</f>
        <v/>
      </c>
      <c r="J7" s="14">
        <f>IF(I7="","",1)</f>
        <v/>
      </c>
      <c r="K7" s="11">
        <f>IF(OR(City_Inputs!$P7="",Norm_Stats!$F$4="",Norm_Stats!$G$4="",Norm_Stats!$G$4=Norm_Stats!$F$4),"",MAX(0,MIN(100,100*(Norm_Stats!$G$4-MIN(MAX(City_Inputs!$P7,Norm_Stats!$F$4),Norm_Stats!$G$4))/(Norm_Stats!$G$4-Norm_Stats!$F$4))))</f>
        <v/>
      </c>
      <c r="L7" s="14">
        <f>IF(K7="","",1)</f>
        <v/>
      </c>
      <c r="M7" s="11">
        <f>IF(OR(City_Inputs!$Q7="",Norm_Stats!$F$5="",Norm_Stats!$G$5="",Norm_Stats!$G$5=Norm_Stats!$F$5),"",MAX(0,MIN(100,100*(Norm_Stats!$G$5-MIN(MAX(City_Inputs!$Q7,Norm_Stats!$F$5),Norm_Stats!$G$5))/(Norm_Stats!$G$5-Norm_Stats!$F$5))))</f>
        <v/>
      </c>
      <c r="N7" s="14">
        <f>IF(M7="","",1)</f>
        <v/>
      </c>
      <c r="O7" s="11">
        <f>IF(OR(City_Inputs!$R7="",Norm_Stats!$F$6="",Norm_Stats!$G$6="",Norm_Stats!$G$6=Norm_Stats!$F$6),"",MAX(0,MIN(100,100*(Norm_Stats!$G$6-MIN(MAX(City_Inputs!$R7,Norm_Stats!$F$6),Norm_Stats!$G$6))/(Norm_Stats!$G$6-Norm_Stats!$F$6))))</f>
        <v/>
      </c>
      <c r="P7" s="14">
        <f>IF(O7="","",1)</f>
        <v/>
      </c>
      <c r="Q7" s="15">
        <f>IF((IF(G7="",0,9)+IF(I7="",0,5)+IF(K7="",0,4)+IF(M7="",0,4)+IF(O7="",0,5))=0,"",(IF(G7="",0,G7*9)+IF(I7="",0,I7*5)+IF(K7="",0,K7*4)+IF(M7="",0,M7*4)+IF(O7="",0,O7*5))/(IF(G7="",0,9)+IF(I7="",0,5)+IF(K7="",0,4)+IF(M7="",0,4)+IF(O7="",0,5)))</f>
        <v/>
      </c>
      <c r="R7" s="14">
        <f>IF((IF(H7="",0,9)+IF(J7="",0,5)+IF(L7="",0,4)+IF(N7="",0,4)+IF(P7="",0,5))=0,"",(IF(H7="",0,H7*9)+IF(J7="",0,J7*5)+IF(L7="",0,L7*4)+IF(N7="",0,N7*4)+IF(P7="",0,P7*5))/27)</f>
        <v/>
      </c>
      <c r="S7" s="11">
        <f>IF(OR(City_Inputs!$S7="",Norm_Stats!$F$7="",Norm_Stats!$G$7="",Norm_Stats!$G$7=Norm_Stats!$F$7),"",MAX(0,MIN(100,100*(Norm_Stats!$G$7-MIN(MAX(City_Inputs!$S7,Norm_Stats!$F$7),Norm_Stats!$G$7))/(Norm_Stats!$G$7-Norm_Stats!$F$7))))</f>
        <v/>
      </c>
      <c r="T7" s="14">
        <f>IF(S7="","",1)</f>
        <v/>
      </c>
      <c r="U7" s="11">
        <f>IF(OR(City_Inputs!$T7="",Norm_Stats!$F$8="",Norm_Stats!$G$8="",Norm_Stats!$G$8=Norm_Stats!$F$8),"",MAX(0,MIN(100,100*(MIN(MAX(City_Inputs!$T7,Norm_Stats!$F$8),Norm_Stats!$G$8)-Norm_Stats!$F$8)/(Norm_Stats!$G$8-Norm_Stats!$F$8))))</f>
        <v/>
      </c>
      <c r="V7" s="14">
        <f>IF(U7="","",1)</f>
        <v/>
      </c>
      <c r="W7" s="11">
        <f>IF(OR(City_Inputs!$U7="",Norm_Stats!$F$9="",Norm_Stats!$G$9="",Norm_Stats!$G$9=Norm_Stats!$F$9),"",MAX(0,MIN(100,100*(Norm_Stats!$G$9-MIN(MAX(City_Inputs!$U7,Norm_Stats!$F$9),Norm_Stats!$G$9))/(Norm_Stats!$G$9-Norm_Stats!$F$9))))</f>
        <v/>
      </c>
      <c r="X7" s="14">
        <f>IF(W7="","",1)</f>
        <v/>
      </c>
      <c r="Y7" s="11">
        <f>IF(OR(City_Inputs!$V7="",Norm_Stats!$F$10="",Norm_Stats!$G$10="",Norm_Stats!$G$10=Norm_Stats!$F$10),"",MAX(0,MIN(100,100*(MIN(MAX(City_Inputs!$V7,Norm_Stats!$F$10),Norm_Stats!$G$10)-Norm_Stats!$F$10)/(Norm_Stats!$G$10-Norm_Stats!$F$10))))</f>
        <v/>
      </c>
      <c r="Z7" s="14">
        <f>IF(Y7="","",1)</f>
        <v/>
      </c>
      <c r="AA7" s="11">
        <f>IF(OR(City_Inputs!$W7="",Norm_Stats!$F$11="",Norm_Stats!$G$11="",Norm_Stats!$G$11=Norm_Stats!$F$11),"",MAX(0,MIN(100,100*(MIN(MAX(City_Inputs!$W7,Norm_Stats!$F$11),Norm_Stats!$G$11)-Norm_Stats!$F$11)/(Norm_Stats!$G$11-Norm_Stats!$F$11))))</f>
        <v/>
      </c>
      <c r="AB7" s="14">
        <f>IF(AA7="","",1)</f>
        <v/>
      </c>
      <c r="AC7" s="11">
        <f>IF(OR(City_Inputs!$X7="",Norm_Stats!$F$12="",Norm_Stats!$G$12="",Norm_Stats!$G$12=Norm_Stats!$F$12),"",MAX(0,MIN(100,100*(MIN(MAX(City_Inputs!$X7,Norm_Stats!$F$12),Norm_Stats!$G$12)-Norm_Stats!$F$12)/(Norm_Stats!$G$12-Norm_Stats!$F$12))))</f>
        <v/>
      </c>
      <c r="AD7" s="11">
        <f>IF(AC7="","",1)</f>
        <v/>
      </c>
      <c r="AE7" s="15">
        <f>IF((IF(S7="",0,5)+IF(U7="",0,5)+IF(W7="",0,4)+IF(Y7="",0,4)+IF(AA7="",0,4)+IF(AC7="",0,5))=0,"",(IF(S7="",0,S7*5)+IF(U7="",0,U7*5)+IF(W7="",0,W7*4)+IF(Y7="",0,Y7*4)+IF(AA7="",0,AA7*4)+IF(AC7="",0,AC7*5))/(IF(S7="",0,5)+IF(U7="",0,5)+IF(W7="",0,4)+IF(Y7="",0,4)+IF(AA7="",0,4)+IF(AC7="",0,5)))</f>
        <v/>
      </c>
      <c r="AF7" s="14">
        <f>IF((IF(T7="",0,5)+IF(V7="",0,5)+IF(X7="",0,4)+IF(Z7="",0,4)+IF(AB7="",0,4)+IF(AD7="",0,5))=0,"",(IF(T7="",0,T7*5)+IF(V7="",0,V7*5)+IF(X7="",0,X7*4)+IF(Z7="",0,Z7*4)+IF(AB7="",0,AB7*4)+IF(AD7="",0,AD7*5))/27)</f>
        <v/>
      </c>
      <c r="AG7" s="11">
        <f>IF(OR(City_Inputs!$Y7="",Norm_Stats!$F$13="",Norm_Stats!$G$13="",Norm_Stats!$G$13=Norm_Stats!$F$13),"",MAX(0,MIN(100,100*(MIN(MAX(City_Inputs!$Y7,Norm_Stats!$F$13),Norm_Stats!$G$13)-Norm_Stats!$F$13)/(Norm_Stats!$G$13-Norm_Stats!$F$13))))</f>
        <v/>
      </c>
      <c r="AH7" s="14">
        <f>IF(AG7="","",1)</f>
        <v/>
      </c>
      <c r="AI7" s="11">
        <f>IF(OR(City_Inputs!$Z7="",Norm_Stats!$F$14="",Norm_Stats!$G$14="",Norm_Stats!$G$14=Norm_Stats!$F$14),"",MAX(0,MIN(100,100*(MIN(MAX(City_Inputs!$Z7,Norm_Stats!$F$14),Norm_Stats!$G$14)-Norm_Stats!$F$14)/(Norm_Stats!$G$14-Norm_Stats!$F$14))))</f>
        <v/>
      </c>
      <c r="AJ7" s="14">
        <f>IF(AI7="","",1)</f>
        <v/>
      </c>
      <c r="AK7" s="11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(IF(OR(City_Inputs!$AA7="",Norm_Stats!$F$15="",Norm_Stats!$G$15="",Norm_Stats!$G$15=Norm_Stats!$F$15),"",MAX(0,MIN(100,100*(MIN(MAX(City_Inputs!$AA7,Norm_Stats!$F$15),Norm_Stats!$G$15)-Norm_Stats!$F$15)/(Norm_Stats!$G$15-Norm_Stats!$F$15)))))*0.7)+IF((IF(OR(City_Inputs!$AL7="",Norm_Stats!$F$16="",Norm_Stats!$G$16="",Norm_Stats!$G$16=Norm_Stats!$F$16),"",MAX(0,MIN(100,100*(Norm_Stats!$G$16-MIN(MAX(City_Inputs!$AL7,Norm_Stats!$F$16),Norm_Stats!$G$16))/(Norm_Stats!$G$16-Norm_Stats!$F$16)))))="",0,(IF(OR(City_Inputs!$AL7="",Norm_Stats!$F$16="",Norm_Stats!$G$16="",Norm_Stats!$G$16=Norm_Stats!$F$16),"",MAX(0,MIN(100,100*(Norm_Stats!$G$16-MIN(MAX(City_Inputs!$AL7,Norm_Stats!$F$16),Norm_Stats!$G$16))/(Norm_Stats!$G$16-Norm_Stats!$F$16)))))*0.3))/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L7" s="14">
        <f>IF(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=0,"",(IF((IF(OR(City_Inputs!$AA7="",Norm_Stats!$F$15="",Norm_Stats!$G$15="",Norm_Stats!$G$15=Norm_Stats!$F$15),"",MAX(0,MIN(100,100*(MIN(MAX(City_Inputs!$AA7,Norm_Stats!$F$15),Norm_Stats!$G$15)-Norm_Stats!$F$15)/(Norm_Stats!$G$15-Norm_Stats!$F$15)))))="",0,0.7)+IF((IF(OR(City_Inputs!$AL7="",Norm_Stats!$F$16="",Norm_Stats!$G$16="",Norm_Stats!$G$16=Norm_Stats!$F$16),"",MAX(0,MIN(100,100*(Norm_Stats!$G$16-MIN(MAX(City_Inputs!$AL7,Norm_Stats!$F$16),Norm_Stats!$G$16))/(Norm_Stats!$G$16-Norm_Stats!$F$16)))))="",0,0.3)))</f>
        <v/>
      </c>
      <c r="AM7" s="15">
        <f>IF((IF(AG7="",0,8)+IF(AI7="",0,6)+IF(AK7="",0,4))=0,"",(IF(AG7="",0,AG7*8)+IF(AI7="",0,AI7*6)+IF(AK7="",0,AK7*4))/(IF(AG7="",0,8)+IF(AI7="",0,6)+IF(AK7="",0,4)))</f>
        <v/>
      </c>
      <c r="AN7" s="14">
        <f>IF((IF(AH7="",0,8)+IF(AJ7="",0,6)+IF(AL7="",0,4))=0,"",(IF(AH7="",0,AH7*8)+IF(AJ7="",0,AJ7*6)+IF(AL7="",0,AL7*4))/18)</f>
        <v/>
      </c>
      <c r="AO7" s="11">
        <f>IF(OR(City_Inputs!$AB7="",Norm_Stats!$F$17="",Norm_Stats!$G$17="",Norm_Stats!$G$17=Norm_Stats!$F$17),"",MAX(0,MIN(100,100*(MIN(MAX(City_Inputs!$AB7,Norm_Stats!$F$17),Norm_Stats!$G$17)-Norm_Stats!$F$17)/(Norm_Stats!$G$17-Norm_Stats!$F$17))))</f>
        <v/>
      </c>
      <c r="AP7" s="14">
        <f>IF(AO7="","",1)</f>
        <v/>
      </c>
      <c r="AQ7" s="11">
        <f>IF(OR(City_Inputs!$AC7="",Norm_Stats!$F$18="",Norm_Stats!$G$18="",Norm_Stats!$G$18=Norm_Stats!$F$18),"",MAX(0,MIN(100,100*(MIN(MAX(City_Inputs!$AC7,Norm_Stats!$F$18),Norm_Stats!$G$18)-Norm_Stats!$F$18)/(Norm_Stats!$G$18-Norm_Stats!$F$18))))</f>
        <v/>
      </c>
      <c r="AR7" s="14">
        <f>IF(AQ7="","",1)</f>
        <v/>
      </c>
      <c r="AS7" s="11">
        <f>IF(OR(City_Inputs!$AD7="",Norm_Stats!$F$19="",Norm_Stats!$G$19="",Norm_Stats!$G$19=Norm_Stats!$F$19),"",MAX(0,MIN(100,100*(MIN(MAX(City_Inputs!$AD7,Norm_Stats!$F$19),Norm_Stats!$G$19)-Norm_Stats!$F$19)/(Norm_Stats!$G$19-Norm_Stats!$F$19))))</f>
        <v/>
      </c>
      <c r="AT7" s="14">
        <f>IF(AS7="","",1)</f>
        <v/>
      </c>
      <c r="AU7" s="11">
        <f>IF(OR(City_Inputs!$BJ7="",Norm_Stats!$F$26="",Norm_Stats!$G$26="",Norm_Stats!$G$26=Norm_Stats!$F$26),"",MAX(0,MIN(100,100*(MIN(MAX(City_Inputs!$BJ7,Norm_Stats!$F$26),Norm_Stats!$G$26)-Norm_Stats!$F$26)/(Norm_Stats!$G$26-Norm_Stats!$F$26))))</f>
        <v/>
      </c>
      <c r="AV7" s="11">
        <f>IF(AU7="","",1)</f>
        <v/>
      </c>
      <c r="AW7" s="15">
        <f>IF((IF(AO7="",0,5)+IF(AQ7="",0,5)+IF(AS7="",0,5)+IF(AU7="",0,4))=0,"",(IF(AO7="",0,AO7*5)+IF(AQ7="",0,AQ7*5)+IF(AS7="",0,AS7*5)+IF(AU7="",0,AU7*4))/(IF(AO7="",0,5)+IF(AQ7="",0,5)+IF(AS7="",0,5)+IF(AU7="",0,4)))</f>
        <v/>
      </c>
      <c r="AX7" s="14">
        <f>IF((IF(AP7="",0,5)+IF(AR7="",0,5)+IF(AT7="",0,5)+IF(AV7="",0,4))=0,"",(IF(AP7="",0,AP7*5)+IF(AR7="",0,AR7*5)+IF(AT7="",0,AT7*5)+IF(AV7="",0,AV7*4))/19)</f>
        <v/>
      </c>
      <c r="AY7" s="11">
        <f>IF(OR(City_Inputs!$AE7="",Norm_Stats!$F$20="",Norm_Stats!$G$20="",Norm_Stats!$G$20=Norm_Stats!$F$20),"",MAX(0,MIN(100,100*(MIN(MAX(City_Inputs!$AE7,Norm_Stats!$F$20),Norm_Stats!$G$20)-Norm_Stats!$F$20)/(Norm_Stats!$G$20-Norm_Stats!$F$20))))</f>
        <v/>
      </c>
      <c r="AZ7" s="14">
        <f>IF(AY7="","",1)</f>
        <v/>
      </c>
      <c r="BA7" s="11">
        <f>IF(OR(City_Inputs!$AF7="",Norm_Stats!$F$21="",Norm_Stats!$G$21="",Norm_Stats!$G$21=Norm_Stats!$F$21),"",MAX(0,MIN(100,100*(MIN(MAX(City_Inputs!$AF7,Norm_Stats!$F$21),Norm_Stats!$G$21)-Norm_Stats!$F$21)/(Norm_Stats!$G$21-Norm_Stats!$F$21))))</f>
        <v/>
      </c>
      <c r="BB7" s="14">
        <f>IF(BA7="","",1)</f>
        <v/>
      </c>
      <c r="BC7" s="11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(IF(OR(City_Inputs!$AG7="",Norm_Stats!$F$22="",Norm_Stats!$G$22="",Norm_Stats!$G$22=Norm_Stats!$F$22),"",MAX(0,MIN(100,100*(MIN(MAX(City_Inputs!$AG7,Norm_Stats!$F$22),Norm_Stats!$G$22)-Norm_Stats!$F$22)/(Norm_Stats!$G$22-Norm_Stats!$F$22)))))*0.5)+IF((IF(OR(City_Inputs!$AJ7="",Norm_Stats!$F$23="",Norm_Stats!$G$23="",Norm_Stats!$G$23=Norm_Stats!$F$23),"",MAX(0,MIN(100,100*(MIN(MAX(City_Inputs!$AJ7,Norm_Stats!$F$23),Norm_Stats!$G$23)-Norm_Stats!$F$23)/(Norm_Stats!$G$23-Norm_Stats!$F$23)))))="",0,(IF(OR(City_Inputs!$AJ7="",Norm_Stats!$F$23="",Norm_Stats!$G$23="",Norm_Stats!$G$23=Norm_Stats!$F$23),"",MAX(0,MIN(100,100*(MIN(MAX(City_Inputs!$AJ7,Norm_Stats!$F$23),Norm_Stats!$G$23)-Norm_Stats!$F$23)/(Norm_Stats!$G$23-Norm_Stats!$F$23)))))*0.3)+IF((IF(OR(City_Inputs!$AK7="",Norm_Stats!$F$24="",Norm_Stats!$G$24="",Norm_Stats!$G$24=Norm_Stats!$F$24),"",MAX(0,MIN(100,100*(MIN(MAX(City_Inputs!$AK7,Norm_Stats!$F$24),Norm_Stats!$G$24)-Norm_Stats!$F$24)/(Norm_Stats!$G$24-Norm_Stats!$F$24)))))="",0,(IF(OR(City_Inputs!$AK7="",Norm_Stats!$F$24="",Norm_Stats!$G$24="",Norm_Stats!$G$24=Norm_Stats!$F$24),"",MAX(0,MIN(100,100*(MIN(MAX(City_Inputs!$AK7,Norm_Stats!$F$24),Norm_Stats!$G$24)-Norm_Stats!$F$24)/(Norm_Stats!$G$24-Norm_Stats!$F$24)))))*0.2))/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D7" s="14">
        <f>IF(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=0,"",(IF((IF(OR(City_Inputs!$AG7="",Norm_Stats!$F$22="",Norm_Stats!$G$22="",Norm_Stats!$G$22=Norm_Stats!$F$22),"",MAX(0,MIN(100,100*(MIN(MAX(City_Inputs!$AG7,Norm_Stats!$F$22),Norm_Stats!$G$22)-Norm_Stats!$F$22)/(Norm_Stats!$G$22-Norm_Stats!$F$22)))))="",0,0.5)+IF((IF(OR(City_Inputs!$AJ7="",Norm_Stats!$F$23="",Norm_Stats!$G$23="",Norm_Stats!$G$23=Norm_Stats!$F$23),"",MAX(0,MIN(100,100*(MIN(MAX(City_Inputs!$AJ7,Norm_Stats!$F$23),Norm_Stats!$G$23)-Norm_Stats!$F$23)/(Norm_Stats!$G$23-Norm_Stats!$F$23)))))="",0,0.3)+IF((IF(OR(City_Inputs!$AK7="",Norm_Stats!$F$24="",Norm_Stats!$G$24="",Norm_Stats!$G$24=Norm_Stats!$F$24),"",MAX(0,MIN(100,100*(MIN(MAX(City_Inputs!$AK7,Norm_Stats!$F$24),Norm_Stats!$G$24)-Norm_Stats!$F$24)/(Norm_Stats!$G$24-Norm_Stats!$F$24)))))="",0,0.2)))</f>
        <v/>
      </c>
      <c r="BE7" s="11">
        <f>IF(OR(City_Inputs!$AH7="",Norm_Stats!$F$25="",Norm_Stats!$G$25="",Norm_Stats!$G$25=Norm_Stats!$F$25),"",MAX(0,MIN(100,100*(Norm_Stats!$G$25-MIN(MAX(City_Inputs!$AH7,Norm_Stats!$F$25),Norm_Stats!$G$25))/(Norm_Stats!$G$25-Norm_Stats!$F$25))))</f>
        <v/>
      </c>
      <c r="BF7" s="14">
        <f>IF(BE7="","",1)</f>
        <v/>
      </c>
      <c r="BG7" s="15">
        <f>IF((IF(AY7="",0,6)+IF(BA7="",0,5)+IF(BC7="",0,5)+IF(BE7="",0,4))=0,"",(IF(AY7="",0,AY7*6)+IF(BA7="",0,BA7*5)+IF(BC7="",0,BC7*5)+IF(BE7="",0,BE7*4))/(IF(AY7="",0,6)+IF(BA7="",0,5)+IF(BC7="",0,5)+IF(BE7="",0,4)))</f>
        <v/>
      </c>
      <c r="BH7" s="14">
        <f>IF((IF(AZ7="",0,6)+IF(BB7="",0,5)+IF(BD7="",0,5)+IF(BF7="",0,4))=0,"",(IF(AZ7="",0,AZ7*6)+IF(BB7="",0,BB7*5)+IF(BD7="",0,BD7*5)+IF(BF7="",0,BF7*4))/20)</f>
        <v/>
      </c>
      <c r="BI7" s="14">
        <f>IF(AND(R7="",AF7="",AN7="",AX7="",BH7=""),"",((R7*25)+(AF7*22)+(AN7*18)+(AX7*15)+(BH7*20))/100)</f>
        <v/>
      </c>
      <c r="BJ7" s="11">
        <f>IF(BI7="","",IF(BI7&gt;=0.75,"A",IF(BI7&gt;=0.5,"B",IF(BI7&gt;=0.35,"C","Watchlist"))))</f>
        <v/>
      </c>
      <c r="BK7" s="11">
        <f>IF(OR(BI7="",BI7&lt;0.5,R7="",R7&lt;0.35,AF7="",AF7&lt;0.35,AN7="",AN7&lt;0.35,AX7="",AX7&lt;0.35,BH7="",BH7&lt;0.35),"Watchlist","Ranked")</f>
        <v/>
      </c>
      <c r="BL7" s="15">
        <f>IF(AND(Q7="",AE7="",AM7="",AW7="",BG7=""),"",(IF(Q7="",0,Q7*25)+IF(AE7="",0,AE7*22)+IF(AM7="",0,AM7*18)+IF(AW7="",0,AW7*15)+IF(BG7="",0,BG7*20))/(IF(Q7="",0,25)+IF(AE7="",0,22)+IF(AM7="",0,18)+IF(AW7="",0,15)+IF(BG7="",0,20)))</f>
        <v/>
      </c>
      <c r="BM7" s="11">
        <f>IF(BK7="Ranked",1+COUNTIFS($BK$2:$BK$158,"Ranked",$BL$2:$BL$158,"&gt;"&amp;BL7),"")</f>
        <v/>
      </c>
      <c r="BN7" s="11">
        <f>City_Inputs!$AI7</f>
        <v/>
      </c>
    </row>
    <row r="8">
      <c r="A8" t="inlineStr">
        <is>
          <t>th-phuket</t>
        </is>
      </c>
      <c r="B8" t="inlineStr">
        <is>
          <t>Phuket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locked</t>
        </is>
      </c>
      <c r="F8" t="inlineStr">
        <is>
          <t>secondary</t>
        </is>
      </c>
      <c r="G8" s="11">
        <f>IF(OR(City_Inputs!$M8="",Norm_Stats!$F$2="",Norm_Stats!$G$2="",Norm_Stats!$G$2=Norm_Stats!$F$2),"",MAX(0,MIN(100,100*(MIN(MAX(City_Inputs!$M8,Norm_Stats!$F$2),Norm_Stats!$G$2)-Norm_Stats!$F$2)/(Norm_Stats!$G$2-Norm_Stats!$F$2))))</f>
        <v/>
      </c>
      <c r="H8" s="14">
        <f>IF(G8="","",1)</f>
        <v/>
      </c>
      <c r="I8" s="11">
        <f>IF(OR(City_Inputs!$N8="",Norm_Stats!$F$3="",Norm_Stats!$G$3="",Norm_Stats!$G$3=Norm_Stats!$F$3),"",MAX(0,MIN(100,100*(Norm_Stats!$G$3-MIN(MAX(City_Inputs!$N8,Norm_Stats!$F$3),Norm_Stats!$G$3))/(Norm_Stats!$G$3-Norm_Stats!$F$3))))</f>
        <v/>
      </c>
      <c r="J8" s="14">
        <f>IF(I8="","",1)</f>
        <v/>
      </c>
      <c r="K8" s="11">
        <f>IF(OR(City_Inputs!$P8="",Norm_Stats!$F$4="",Norm_Stats!$G$4="",Norm_Stats!$G$4=Norm_Stats!$F$4),"",MAX(0,MIN(100,100*(Norm_Stats!$G$4-MIN(MAX(City_Inputs!$P8,Norm_Stats!$F$4),Norm_Stats!$G$4))/(Norm_Stats!$G$4-Norm_Stats!$F$4))))</f>
        <v/>
      </c>
      <c r="L8" s="14">
        <f>IF(K8="","",1)</f>
        <v/>
      </c>
      <c r="M8" s="11">
        <f>IF(OR(City_Inputs!$Q8="",Norm_Stats!$F$5="",Norm_Stats!$G$5="",Norm_Stats!$G$5=Norm_Stats!$F$5),"",MAX(0,MIN(100,100*(Norm_Stats!$G$5-MIN(MAX(City_Inputs!$Q8,Norm_Stats!$F$5),Norm_Stats!$G$5))/(Norm_Stats!$G$5-Norm_Stats!$F$5))))</f>
        <v/>
      </c>
      <c r="N8" s="14">
        <f>IF(M8="","",1)</f>
        <v/>
      </c>
      <c r="O8" s="11">
        <f>IF(OR(City_Inputs!$R8="",Norm_Stats!$F$6="",Norm_Stats!$G$6="",Norm_Stats!$G$6=Norm_Stats!$F$6),"",MAX(0,MIN(100,100*(Norm_Stats!$G$6-MIN(MAX(City_Inputs!$R8,Norm_Stats!$F$6),Norm_Stats!$G$6))/(Norm_Stats!$G$6-Norm_Stats!$F$6))))</f>
        <v/>
      </c>
      <c r="P8" s="14">
        <f>IF(O8="","",1)</f>
        <v/>
      </c>
      <c r="Q8" s="15">
        <f>IF((IF(G8="",0,9)+IF(I8="",0,5)+IF(K8="",0,4)+IF(M8="",0,4)+IF(O8="",0,5))=0,"",(IF(G8="",0,G8*9)+IF(I8="",0,I8*5)+IF(K8="",0,K8*4)+IF(M8="",0,M8*4)+IF(O8="",0,O8*5))/(IF(G8="",0,9)+IF(I8="",0,5)+IF(K8="",0,4)+IF(M8="",0,4)+IF(O8="",0,5)))</f>
        <v/>
      </c>
      <c r="R8" s="14">
        <f>IF((IF(H8="",0,9)+IF(J8="",0,5)+IF(L8="",0,4)+IF(N8="",0,4)+IF(P8="",0,5))=0,"",(IF(H8="",0,H8*9)+IF(J8="",0,J8*5)+IF(L8="",0,L8*4)+IF(N8="",0,N8*4)+IF(P8="",0,P8*5))/27)</f>
        <v/>
      </c>
      <c r="S8" s="11">
        <f>IF(OR(City_Inputs!$S8="",Norm_Stats!$F$7="",Norm_Stats!$G$7="",Norm_Stats!$G$7=Norm_Stats!$F$7),"",MAX(0,MIN(100,100*(Norm_Stats!$G$7-MIN(MAX(City_Inputs!$S8,Norm_Stats!$F$7),Norm_Stats!$G$7))/(Norm_Stats!$G$7-Norm_Stats!$F$7))))</f>
        <v/>
      </c>
      <c r="T8" s="14">
        <f>IF(S8="","",1)</f>
        <v/>
      </c>
      <c r="U8" s="11">
        <f>IF(OR(City_Inputs!$T8="",Norm_Stats!$F$8="",Norm_Stats!$G$8="",Norm_Stats!$G$8=Norm_Stats!$F$8),"",MAX(0,MIN(100,100*(MIN(MAX(City_Inputs!$T8,Norm_Stats!$F$8),Norm_Stats!$G$8)-Norm_Stats!$F$8)/(Norm_Stats!$G$8-Norm_Stats!$F$8))))</f>
        <v/>
      </c>
      <c r="V8" s="14">
        <f>IF(U8="","",1)</f>
        <v/>
      </c>
      <c r="W8" s="11">
        <f>IF(OR(City_Inputs!$U8="",Norm_Stats!$F$9="",Norm_Stats!$G$9="",Norm_Stats!$G$9=Norm_Stats!$F$9),"",MAX(0,MIN(100,100*(Norm_Stats!$G$9-MIN(MAX(City_Inputs!$U8,Norm_Stats!$F$9),Norm_Stats!$G$9))/(Norm_Stats!$G$9-Norm_Stats!$F$9))))</f>
        <v/>
      </c>
      <c r="X8" s="14">
        <f>IF(W8="","",1)</f>
        <v/>
      </c>
      <c r="Y8" s="11">
        <f>IF(OR(City_Inputs!$V8="",Norm_Stats!$F$10="",Norm_Stats!$G$10="",Norm_Stats!$G$10=Norm_Stats!$F$10),"",MAX(0,MIN(100,100*(MIN(MAX(City_Inputs!$V8,Norm_Stats!$F$10),Norm_Stats!$G$10)-Norm_Stats!$F$10)/(Norm_Stats!$G$10-Norm_Stats!$F$10))))</f>
        <v/>
      </c>
      <c r="Z8" s="14">
        <f>IF(Y8="","",1)</f>
        <v/>
      </c>
      <c r="AA8" s="11">
        <f>IF(OR(City_Inputs!$W8="",Norm_Stats!$F$11="",Norm_Stats!$G$11="",Norm_Stats!$G$11=Norm_Stats!$F$11),"",MAX(0,MIN(100,100*(MIN(MAX(City_Inputs!$W8,Norm_Stats!$F$11),Norm_Stats!$G$11)-Norm_Stats!$F$11)/(Norm_Stats!$G$11-Norm_Stats!$F$11))))</f>
        <v/>
      </c>
      <c r="AB8" s="14">
        <f>IF(AA8="","",1)</f>
        <v/>
      </c>
      <c r="AC8" s="11">
        <f>IF(OR(City_Inputs!$X8="",Norm_Stats!$F$12="",Norm_Stats!$G$12="",Norm_Stats!$G$12=Norm_Stats!$F$12),"",MAX(0,MIN(100,100*(MIN(MAX(City_Inputs!$X8,Norm_Stats!$F$12),Norm_Stats!$G$12)-Norm_Stats!$F$12)/(Norm_Stats!$G$12-Norm_Stats!$F$12))))</f>
        <v/>
      </c>
      <c r="AD8" s="11">
        <f>IF(AC8="","",1)</f>
        <v/>
      </c>
      <c r="AE8" s="15">
        <f>IF((IF(S8="",0,5)+IF(U8="",0,5)+IF(W8="",0,4)+IF(Y8="",0,4)+IF(AA8="",0,4)+IF(AC8="",0,5))=0,"",(IF(S8="",0,S8*5)+IF(U8="",0,U8*5)+IF(W8="",0,W8*4)+IF(Y8="",0,Y8*4)+IF(AA8="",0,AA8*4)+IF(AC8="",0,AC8*5))/(IF(S8="",0,5)+IF(U8="",0,5)+IF(W8="",0,4)+IF(Y8="",0,4)+IF(AA8="",0,4)+IF(AC8="",0,5)))</f>
        <v/>
      </c>
      <c r="AF8" s="14">
        <f>IF((IF(T8="",0,5)+IF(V8="",0,5)+IF(X8="",0,4)+IF(Z8="",0,4)+IF(AB8="",0,4)+IF(AD8="",0,5))=0,"",(IF(T8="",0,T8*5)+IF(V8="",0,V8*5)+IF(X8="",0,X8*4)+IF(Z8="",0,Z8*4)+IF(AB8="",0,AB8*4)+IF(AD8="",0,AD8*5))/27)</f>
        <v/>
      </c>
      <c r="AG8" s="11">
        <f>IF(OR(City_Inputs!$Y8="",Norm_Stats!$F$13="",Norm_Stats!$G$13="",Norm_Stats!$G$13=Norm_Stats!$F$13),"",MAX(0,MIN(100,100*(MIN(MAX(City_Inputs!$Y8,Norm_Stats!$F$13),Norm_Stats!$G$13)-Norm_Stats!$F$13)/(Norm_Stats!$G$13-Norm_Stats!$F$13))))</f>
        <v/>
      </c>
      <c r="AH8" s="14">
        <f>IF(AG8="","",1)</f>
        <v/>
      </c>
      <c r="AI8" s="11">
        <f>IF(OR(City_Inputs!$Z8="",Norm_Stats!$F$14="",Norm_Stats!$G$14="",Norm_Stats!$G$14=Norm_Stats!$F$14),"",MAX(0,MIN(100,100*(MIN(MAX(City_Inputs!$Z8,Norm_Stats!$F$14),Norm_Stats!$G$14)-Norm_Stats!$F$14)/(Norm_Stats!$G$14-Norm_Stats!$F$14))))</f>
        <v/>
      </c>
      <c r="AJ8" s="14">
        <f>IF(AI8="","",1)</f>
        <v/>
      </c>
      <c r="AK8" s="11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(IF(OR(City_Inputs!$AA8="",Norm_Stats!$F$15="",Norm_Stats!$G$15="",Norm_Stats!$G$15=Norm_Stats!$F$15),"",MAX(0,MIN(100,100*(MIN(MAX(City_Inputs!$AA8,Norm_Stats!$F$15),Norm_Stats!$G$15)-Norm_Stats!$F$15)/(Norm_Stats!$G$15-Norm_Stats!$F$15)))))*0.7)+IF((IF(OR(City_Inputs!$AL8="",Norm_Stats!$F$16="",Norm_Stats!$G$16="",Norm_Stats!$G$16=Norm_Stats!$F$16),"",MAX(0,MIN(100,100*(Norm_Stats!$G$16-MIN(MAX(City_Inputs!$AL8,Norm_Stats!$F$16),Norm_Stats!$G$16))/(Norm_Stats!$G$16-Norm_Stats!$F$16)))))="",0,(IF(OR(City_Inputs!$AL8="",Norm_Stats!$F$16="",Norm_Stats!$G$16="",Norm_Stats!$G$16=Norm_Stats!$F$16),"",MAX(0,MIN(100,100*(Norm_Stats!$G$16-MIN(MAX(City_Inputs!$AL8,Norm_Stats!$F$16),Norm_Stats!$G$16))/(Norm_Stats!$G$16-Norm_Stats!$F$16)))))*0.3))/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L8" s="14">
        <f>IF(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=0,"",(IF((IF(OR(City_Inputs!$AA8="",Norm_Stats!$F$15="",Norm_Stats!$G$15="",Norm_Stats!$G$15=Norm_Stats!$F$15),"",MAX(0,MIN(100,100*(MIN(MAX(City_Inputs!$AA8,Norm_Stats!$F$15),Norm_Stats!$G$15)-Norm_Stats!$F$15)/(Norm_Stats!$G$15-Norm_Stats!$F$15)))))="",0,0.7)+IF((IF(OR(City_Inputs!$AL8="",Norm_Stats!$F$16="",Norm_Stats!$G$16="",Norm_Stats!$G$16=Norm_Stats!$F$16),"",MAX(0,MIN(100,100*(Norm_Stats!$G$16-MIN(MAX(City_Inputs!$AL8,Norm_Stats!$F$16),Norm_Stats!$G$16))/(Norm_Stats!$G$16-Norm_Stats!$F$16)))))="",0,0.3)))</f>
        <v/>
      </c>
      <c r="AM8" s="15">
        <f>IF((IF(AG8="",0,8)+IF(AI8="",0,6)+IF(AK8="",0,4))=0,"",(IF(AG8="",0,AG8*8)+IF(AI8="",0,AI8*6)+IF(AK8="",0,AK8*4))/(IF(AG8="",0,8)+IF(AI8="",0,6)+IF(AK8="",0,4)))</f>
        <v/>
      </c>
      <c r="AN8" s="14">
        <f>IF((IF(AH8="",0,8)+IF(AJ8="",0,6)+IF(AL8="",0,4))=0,"",(IF(AH8="",0,AH8*8)+IF(AJ8="",0,AJ8*6)+IF(AL8="",0,AL8*4))/18)</f>
        <v/>
      </c>
      <c r="AO8" s="11">
        <f>IF(OR(City_Inputs!$AB8="",Norm_Stats!$F$17="",Norm_Stats!$G$17="",Norm_Stats!$G$17=Norm_Stats!$F$17),"",MAX(0,MIN(100,100*(MIN(MAX(City_Inputs!$AB8,Norm_Stats!$F$17),Norm_Stats!$G$17)-Norm_Stats!$F$17)/(Norm_Stats!$G$17-Norm_Stats!$F$17))))</f>
        <v/>
      </c>
      <c r="AP8" s="14">
        <f>IF(AO8="","",1)</f>
        <v/>
      </c>
      <c r="AQ8" s="11">
        <f>IF(OR(City_Inputs!$AC8="",Norm_Stats!$F$18="",Norm_Stats!$G$18="",Norm_Stats!$G$18=Norm_Stats!$F$18),"",MAX(0,MIN(100,100*(MIN(MAX(City_Inputs!$AC8,Norm_Stats!$F$18),Norm_Stats!$G$18)-Norm_Stats!$F$18)/(Norm_Stats!$G$18-Norm_Stats!$F$18))))</f>
        <v/>
      </c>
      <c r="AR8" s="14">
        <f>IF(AQ8="","",1)</f>
        <v/>
      </c>
      <c r="AS8" s="11">
        <f>IF(OR(City_Inputs!$AD8="",Norm_Stats!$F$19="",Norm_Stats!$G$19="",Norm_Stats!$G$19=Norm_Stats!$F$19),"",MAX(0,MIN(100,100*(MIN(MAX(City_Inputs!$AD8,Norm_Stats!$F$19),Norm_Stats!$G$19)-Norm_Stats!$F$19)/(Norm_Stats!$G$19-Norm_Stats!$F$19))))</f>
        <v/>
      </c>
      <c r="AT8" s="14">
        <f>IF(AS8="","",1)</f>
        <v/>
      </c>
      <c r="AU8" s="11">
        <f>IF(OR(City_Inputs!$BJ8="",Norm_Stats!$F$26="",Norm_Stats!$G$26="",Norm_Stats!$G$26=Norm_Stats!$F$26),"",MAX(0,MIN(100,100*(MIN(MAX(City_Inputs!$BJ8,Norm_Stats!$F$26),Norm_Stats!$G$26)-Norm_Stats!$F$26)/(Norm_Stats!$G$26-Norm_Stats!$F$26))))</f>
        <v/>
      </c>
      <c r="AV8" s="11">
        <f>IF(AU8="","",1)</f>
        <v/>
      </c>
      <c r="AW8" s="15">
        <f>IF((IF(AO8="",0,5)+IF(AQ8="",0,5)+IF(AS8="",0,5)+IF(AU8="",0,4))=0,"",(IF(AO8="",0,AO8*5)+IF(AQ8="",0,AQ8*5)+IF(AS8="",0,AS8*5)+IF(AU8="",0,AU8*4))/(IF(AO8="",0,5)+IF(AQ8="",0,5)+IF(AS8="",0,5)+IF(AU8="",0,4)))</f>
        <v/>
      </c>
      <c r="AX8" s="14">
        <f>IF((IF(AP8="",0,5)+IF(AR8="",0,5)+IF(AT8="",0,5)+IF(AV8="",0,4))=0,"",(IF(AP8="",0,AP8*5)+IF(AR8="",0,AR8*5)+IF(AT8="",0,AT8*5)+IF(AV8="",0,AV8*4))/19)</f>
        <v/>
      </c>
      <c r="AY8" s="11">
        <f>IF(OR(City_Inputs!$AE8="",Norm_Stats!$F$20="",Norm_Stats!$G$20="",Norm_Stats!$G$20=Norm_Stats!$F$20),"",MAX(0,MIN(100,100*(MIN(MAX(City_Inputs!$AE8,Norm_Stats!$F$20),Norm_Stats!$G$20)-Norm_Stats!$F$20)/(Norm_Stats!$G$20-Norm_Stats!$F$20))))</f>
        <v/>
      </c>
      <c r="AZ8" s="14">
        <f>IF(AY8="","",1)</f>
        <v/>
      </c>
      <c r="BA8" s="11">
        <f>IF(OR(City_Inputs!$AF8="",Norm_Stats!$F$21="",Norm_Stats!$G$21="",Norm_Stats!$G$21=Norm_Stats!$F$21),"",MAX(0,MIN(100,100*(MIN(MAX(City_Inputs!$AF8,Norm_Stats!$F$21),Norm_Stats!$G$21)-Norm_Stats!$F$21)/(Norm_Stats!$G$21-Norm_Stats!$F$21))))</f>
        <v/>
      </c>
      <c r="BB8" s="14">
        <f>IF(BA8="","",1)</f>
        <v/>
      </c>
      <c r="BC8" s="11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(IF(OR(City_Inputs!$AG8="",Norm_Stats!$F$22="",Norm_Stats!$G$22="",Norm_Stats!$G$22=Norm_Stats!$F$22),"",MAX(0,MIN(100,100*(MIN(MAX(City_Inputs!$AG8,Norm_Stats!$F$22),Norm_Stats!$G$22)-Norm_Stats!$F$22)/(Norm_Stats!$G$22-Norm_Stats!$F$22)))))*0.5)+IF((IF(OR(City_Inputs!$AJ8="",Norm_Stats!$F$23="",Norm_Stats!$G$23="",Norm_Stats!$G$23=Norm_Stats!$F$23),"",MAX(0,MIN(100,100*(MIN(MAX(City_Inputs!$AJ8,Norm_Stats!$F$23),Norm_Stats!$G$23)-Norm_Stats!$F$23)/(Norm_Stats!$G$23-Norm_Stats!$F$23)))))="",0,(IF(OR(City_Inputs!$AJ8="",Norm_Stats!$F$23="",Norm_Stats!$G$23="",Norm_Stats!$G$23=Norm_Stats!$F$23),"",MAX(0,MIN(100,100*(MIN(MAX(City_Inputs!$AJ8,Norm_Stats!$F$23),Norm_Stats!$G$23)-Norm_Stats!$F$23)/(Norm_Stats!$G$23-Norm_Stats!$F$23)))))*0.3)+IF((IF(OR(City_Inputs!$AK8="",Norm_Stats!$F$24="",Norm_Stats!$G$24="",Norm_Stats!$G$24=Norm_Stats!$F$24),"",MAX(0,MIN(100,100*(MIN(MAX(City_Inputs!$AK8,Norm_Stats!$F$24),Norm_Stats!$G$24)-Norm_Stats!$F$24)/(Norm_Stats!$G$24-Norm_Stats!$F$24)))))="",0,(IF(OR(City_Inputs!$AK8="",Norm_Stats!$F$24="",Norm_Stats!$G$24="",Norm_Stats!$G$24=Norm_Stats!$F$24),"",MAX(0,MIN(100,100*(MIN(MAX(City_Inputs!$AK8,Norm_Stats!$F$24),Norm_Stats!$G$24)-Norm_Stats!$F$24)/(Norm_Stats!$G$24-Norm_Stats!$F$24)))))*0.2))/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D8" s="14">
        <f>IF(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=0,"",(IF((IF(OR(City_Inputs!$AG8="",Norm_Stats!$F$22="",Norm_Stats!$G$22="",Norm_Stats!$G$22=Norm_Stats!$F$22),"",MAX(0,MIN(100,100*(MIN(MAX(City_Inputs!$AG8,Norm_Stats!$F$22),Norm_Stats!$G$22)-Norm_Stats!$F$22)/(Norm_Stats!$G$22-Norm_Stats!$F$22)))))="",0,0.5)+IF((IF(OR(City_Inputs!$AJ8="",Norm_Stats!$F$23="",Norm_Stats!$G$23="",Norm_Stats!$G$23=Norm_Stats!$F$23),"",MAX(0,MIN(100,100*(MIN(MAX(City_Inputs!$AJ8,Norm_Stats!$F$23),Norm_Stats!$G$23)-Norm_Stats!$F$23)/(Norm_Stats!$G$23-Norm_Stats!$F$23)))))="",0,0.3)+IF((IF(OR(City_Inputs!$AK8="",Norm_Stats!$F$24="",Norm_Stats!$G$24="",Norm_Stats!$G$24=Norm_Stats!$F$24),"",MAX(0,MIN(100,100*(MIN(MAX(City_Inputs!$AK8,Norm_Stats!$F$24),Norm_Stats!$G$24)-Norm_Stats!$F$24)/(Norm_Stats!$G$24-Norm_Stats!$F$24)))))="",0,0.2)))</f>
        <v/>
      </c>
      <c r="BE8" s="11">
        <f>IF(OR(City_Inputs!$AH8="",Norm_Stats!$F$25="",Norm_Stats!$G$25="",Norm_Stats!$G$25=Norm_Stats!$F$25),"",MAX(0,MIN(100,100*(Norm_Stats!$G$25-MIN(MAX(City_Inputs!$AH8,Norm_Stats!$F$25),Norm_Stats!$G$25))/(Norm_Stats!$G$25-Norm_Stats!$F$25))))</f>
        <v/>
      </c>
      <c r="BF8" s="14">
        <f>IF(BE8="","",1)</f>
        <v/>
      </c>
      <c r="BG8" s="15">
        <f>IF((IF(AY8="",0,6)+IF(BA8="",0,5)+IF(BC8="",0,5)+IF(BE8="",0,4))=0,"",(IF(AY8="",0,AY8*6)+IF(BA8="",0,BA8*5)+IF(BC8="",0,BC8*5)+IF(BE8="",0,BE8*4))/(IF(AY8="",0,6)+IF(BA8="",0,5)+IF(BC8="",0,5)+IF(BE8="",0,4)))</f>
        <v/>
      </c>
      <c r="BH8" s="14">
        <f>IF((IF(AZ8="",0,6)+IF(BB8="",0,5)+IF(BD8="",0,5)+IF(BF8="",0,4))=0,"",(IF(AZ8="",0,AZ8*6)+IF(BB8="",0,BB8*5)+IF(BD8="",0,BD8*5)+IF(BF8="",0,BF8*4))/20)</f>
        <v/>
      </c>
      <c r="BI8" s="14">
        <f>IF(AND(R8="",AF8="",AN8="",AX8="",BH8=""),"",((R8*25)+(AF8*22)+(AN8*18)+(AX8*15)+(BH8*20))/100)</f>
        <v/>
      </c>
      <c r="BJ8" s="11">
        <f>IF(BI8="","",IF(BI8&gt;=0.75,"A",IF(BI8&gt;=0.5,"B",IF(BI8&gt;=0.35,"C","Watchlist"))))</f>
        <v/>
      </c>
      <c r="BK8" s="11">
        <f>IF(OR(BI8="",BI8&lt;0.5,R8="",R8&lt;0.35,AF8="",AF8&lt;0.35,AN8="",AN8&lt;0.35,AX8="",AX8&lt;0.35,BH8="",BH8&lt;0.35),"Watchlist","Ranked")</f>
        <v/>
      </c>
      <c r="BL8" s="15">
        <f>IF(AND(Q8="",AE8="",AM8="",AW8="",BG8=""),"",(IF(Q8="",0,Q8*25)+IF(AE8="",0,AE8*22)+IF(AM8="",0,AM8*18)+IF(AW8="",0,AW8*15)+IF(BG8="",0,BG8*20))/(IF(Q8="",0,25)+IF(AE8="",0,22)+IF(AM8="",0,18)+IF(AW8="",0,15)+IF(BG8="",0,20)))</f>
        <v/>
      </c>
      <c r="BM8" s="11">
        <f>IF(BK8="Ranked",1+COUNTIFS($BK$2:$BK$158,"Ranked",$BL$2:$BL$158,"&gt;"&amp;BL8),"")</f>
        <v/>
      </c>
      <c r="BN8" s="11">
        <f>City_Inputs!$AI8</f>
        <v/>
      </c>
    </row>
    <row r="9">
      <c r="A9" t="inlineStr">
        <is>
          <t>th-chiang-mai</t>
        </is>
      </c>
      <c r="B9" t="inlineStr">
        <is>
          <t>Chiang Mai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locked</t>
        </is>
      </c>
      <c r="F9" t="inlineStr">
        <is>
          <t>secondary</t>
        </is>
      </c>
      <c r="G9" s="11">
        <f>IF(OR(City_Inputs!$M9="",Norm_Stats!$F$2="",Norm_Stats!$G$2="",Norm_Stats!$G$2=Norm_Stats!$F$2),"",MAX(0,MIN(100,100*(MIN(MAX(City_Inputs!$M9,Norm_Stats!$F$2),Norm_Stats!$G$2)-Norm_Stats!$F$2)/(Norm_Stats!$G$2-Norm_Stats!$F$2))))</f>
        <v/>
      </c>
      <c r="H9" s="14">
        <f>IF(G9="","",1)</f>
        <v/>
      </c>
      <c r="I9" s="11">
        <f>IF(OR(City_Inputs!$N9="",Norm_Stats!$F$3="",Norm_Stats!$G$3="",Norm_Stats!$G$3=Norm_Stats!$F$3),"",MAX(0,MIN(100,100*(Norm_Stats!$G$3-MIN(MAX(City_Inputs!$N9,Norm_Stats!$F$3),Norm_Stats!$G$3))/(Norm_Stats!$G$3-Norm_Stats!$F$3))))</f>
        <v/>
      </c>
      <c r="J9" s="14">
        <f>IF(I9="","",1)</f>
        <v/>
      </c>
      <c r="K9" s="11">
        <f>IF(OR(City_Inputs!$P9="",Norm_Stats!$F$4="",Norm_Stats!$G$4="",Norm_Stats!$G$4=Norm_Stats!$F$4),"",MAX(0,MIN(100,100*(Norm_Stats!$G$4-MIN(MAX(City_Inputs!$P9,Norm_Stats!$F$4),Norm_Stats!$G$4))/(Norm_Stats!$G$4-Norm_Stats!$F$4))))</f>
        <v/>
      </c>
      <c r="L9" s="14">
        <f>IF(K9="","",1)</f>
        <v/>
      </c>
      <c r="M9" s="11">
        <f>IF(OR(City_Inputs!$Q9="",Norm_Stats!$F$5="",Norm_Stats!$G$5="",Norm_Stats!$G$5=Norm_Stats!$F$5),"",MAX(0,MIN(100,100*(Norm_Stats!$G$5-MIN(MAX(City_Inputs!$Q9,Norm_Stats!$F$5),Norm_Stats!$G$5))/(Norm_Stats!$G$5-Norm_Stats!$F$5))))</f>
        <v/>
      </c>
      <c r="N9" s="14">
        <f>IF(M9="","",1)</f>
        <v/>
      </c>
      <c r="O9" s="11">
        <f>IF(OR(City_Inputs!$R9="",Norm_Stats!$F$6="",Norm_Stats!$G$6="",Norm_Stats!$G$6=Norm_Stats!$F$6),"",MAX(0,MIN(100,100*(Norm_Stats!$G$6-MIN(MAX(City_Inputs!$R9,Norm_Stats!$F$6),Norm_Stats!$G$6))/(Norm_Stats!$G$6-Norm_Stats!$F$6))))</f>
        <v/>
      </c>
      <c r="P9" s="14">
        <f>IF(O9="","",1)</f>
        <v/>
      </c>
      <c r="Q9" s="15">
        <f>IF((IF(G9="",0,9)+IF(I9="",0,5)+IF(K9="",0,4)+IF(M9="",0,4)+IF(O9="",0,5))=0,"",(IF(G9="",0,G9*9)+IF(I9="",0,I9*5)+IF(K9="",0,K9*4)+IF(M9="",0,M9*4)+IF(O9="",0,O9*5))/(IF(G9="",0,9)+IF(I9="",0,5)+IF(K9="",0,4)+IF(M9="",0,4)+IF(O9="",0,5)))</f>
        <v/>
      </c>
      <c r="R9" s="14">
        <f>IF((IF(H9="",0,9)+IF(J9="",0,5)+IF(L9="",0,4)+IF(N9="",0,4)+IF(P9="",0,5))=0,"",(IF(H9="",0,H9*9)+IF(J9="",0,J9*5)+IF(L9="",0,L9*4)+IF(N9="",0,N9*4)+IF(P9="",0,P9*5))/27)</f>
        <v/>
      </c>
      <c r="S9" s="11">
        <f>IF(OR(City_Inputs!$S9="",Norm_Stats!$F$7="",Norm_Stats!$G$7="",Norm_Stats!$G$7=Norm_Stats!$F$7),"",MAX(0,MIN(100,100*(Norm_Stats!$G$7-MIN(MAX(City_Inputs!$S9,Norm_Stats!$F$7),Norm_Stats!$G$7))/(Norm_Stats!$G$7-Norm_Stats!$F$7))))</f>
        <v/>
      </c>
      <c r="T9" s="14">
        <f>IF(S9="","",1)</f>
        <v/>
      </c>
      <c r="U9" s="11">
        <f>IF(OR(City_Inputs!$T9="",Norm_Stats!$F$8="",Norm_Stats!$G$8="",Norm_Stats!$G$8=Norm_Stats!$F$8),"",MAX(0,MIN(100,100*(MIN(MAX(City_Inputs!$T9,Norm_Stats!$F$8),Norm_Stats!$G$8)-Norm_Stats!$F$8)/(Norm_Stats!$G$8-Norm_Stats!$F$8))))</f>
        <v/>
      </c>
      <c r="V9" s="14">
        <f>IF(U9="","",1)</f>
        <v/>
      </c>
      <c r="W9" s="11">
        <f>IF(OR(City_Inputs!$U9="",Norm_Stats!$F$9="",Norm_Stats!$G$9="",Norm_Stats!$G$9=Norm_Stats!$F$9),"",MAX(0,MIN(100,100*(Norm_Stats!$G$9-MIN(MAX(City_Inputs!$U9,Norm_Stats!$F$9),Norm_Stats!$G$9))/(Norm_Stats!$G$9-Norm_Stats!$F$9))))</f>
        <v/>
      </c>
      <c r="X9" s="14">
        <f>IF(W9="","",1)</f>
        <v/>
      </c>
      <c r="Y9" s="11">
        <f>IF(OR(City_Inputs!$V9="",Norm_Stats!$F$10="",Norm_Stats!$G$10="",Norm_Stats!$G$10=Norm_Stats!$F$10),"",MAX(0,MIN(100,100*(MIN(MAX(City_Inputs!$V9,Norm_Stats!$F$10),Norm_Stats!$G$10)-Norm_Stats!$F$10)/(Norm_Stats!$G$10-Norm_Stats!$F$10))))</f>
        <v/>
      </c>
      <c r="Z9" s="14">
        <f>IF(Y9="","",1)</f>
        <v/>
      </c>
      <c r="AA9" s="11">
        <f>IF(OR(City_Inputs!$W9="",Norm_Stats!$F$11="",Norm_Stats!$G$11="",Norm_Stats!$G$11=Norm_Stats!$F$11),"",MAX(0,MIN(100,100*(MIN(MAX(City_Inputs!$W9,Norm_Stats!$F$11),Norm_Stats!$G$11)-Norm_Stats!$F$11)/(Norm_Stats!$G$11-Norm_Stats!$F$11))))</f>
        <v/>
      </c>
      <c r="AB9" s="14">
        <f>IF(AA9="","",1)</f>
        <v/>
      </c>
      <c r="AC9" s="11">
        <f>IF(OR(City_Inputs!$X9="",Norm_Stats!$F$12="",Norm_Stats!$G$12="",Norm_Stats!$G$12=Norm_Stats!$F$12),"",MAX(0,MIN(100,100*(MIN(MAX(City_Inputs!$X9,Norm_Stats!$F$12),Norm_Stats!$G$12)-Norm_Stats!$F$12)/(Norm_Stats!$G$12-Norm_Stats!$F$12))))</f>
        <v/>
      </c>
      <c r="AD9" s="11">
        <f>IF(AC9="","",1)</f>
        <v/>
      </c>
      <c r="AE9" s="15">
        <f>IF((IF(S9="",0,5)+IF(U9="",0,5)+IF(W9="",0,4)+IF(Y9="",0,4)+IF(AA9="",0,4)+IF(AC9="",0,5))=0,"",(IF(S9="",0,S9*5)+IF(U9="",0,U9*5)+IF(W9="",0,W9*4)+IF(Y9="",0,Y9*4)+IF(AA9="",0,AA9*4)+IF(AC9="",0,AC9*5))/(IF(S9="",0,5)+IF(U9="",0,5)+IF(W9="",0,4)+IF(Y9="",0,4)+IF(AA9="",0,4)+IF(AC9="",0,5)))</f>
        <v/>
      </c>
      <c r="AF9" s="14">
        <f>IF((IF(T9="",0,5)+IF(V9="",0,5)+IF(X9="",0,4)+IF(Z9="",0,4)+IF(AB9="",0,4)+IF(AD9="",0,5))=0,"",(IF(T9="",0,T9*5)+IF(V9="",0,V9*5)+IF(X9="",0,X9*4)+IF(Z9="",0,Z9*4)+IF(AB9="",0,AB9*4)+IF(AD9="",0,AD9*5))/27)</f>
        <v/>
      </c>
      <c r="AG9" s="11">
        <f>IF(OR(City_Inputs!$Y9="",Norm_Stats!$F$13="",Norm_Stats!$G$13="",Norm_Stats!$G$13=Norm_Stats!$F$13),"",MAX(0,MIN(100,100*(MIN(MAX(City_Inputs!$Y9,Norm_Stats!$F$13),Norm_Stats!$G$13)-Norm_Stats!$F$13)/(Norm_Stats!$G$13-Norm_Stats!$F$13))))</f>
        <v/>
      </c>
      <c r="AH9" s="14">
        <f>IF(AG9="","",1)</f>
        <v/>
      </c>
      <c r="AI9" s="11">
        <f>IF(OR(City_Inputs!$Z9="",Norm_Stats!$F$14="",Norm_Stats!$G$14="",Norm_Stats!$G$14=Norm_Stats!$F$14),"",MAX(0,MIN(100,100*(MIN(MAX(City_Inputs!$Z9,Norm_Stats!$F$14),Norm_Stats!$G$14)-Norm_Stats!$F$14)/(Norm_Stats!$G$14-Norm_Stats!$F$14))))</f>
        <v/>
      </c>
      <c r="AJ9" s="14">
        <f>IF(AI9="","",1)</f>
        <v/>
      </c>
      <c r="AK9" s="11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(IF(OR(City_Inputs!$AA9="",Norm_Stats!$F$15="",Norm_Stats!$G$15="",Norm_Stats!$G$15=Norm_Stats!$F$15),"",MAX(0,MIN(100,100*(MIN(MAX(City_Inputs!$AA9,Norm_Stats!$F$15),Norm_Stats!$G$15)-Norm_Stats!$F$15)/(Norm_Stats!$G$15-Norm_Stats!$F$15)))))*0.7)+IF((IF(OR(City_Inputs!$AL9="",Norm_Stats!$F$16="",Norm_Stats!$G$16="",Norm_Stats!$G$16=Norm_Stats!$F$16),"",MAX(0,MIN(100,100*(Norm_Stats!$G$16-MIN(MAX(City_Inputs!$AL9,Norm_Stats!$F$16),Norm_Stats!$G$16))/(Norm_Stats!$G$16-Norm_Stats!$F$16)))))="",0,(IF(OR(City_Inputs!$AL9="",Norm_Stats!$F$16="",Norm_Stats!$G$16="",Norm_Stats!$G$16=Norm_Stats!$F$16),"",MAX(0,MIN(100,100*(Norm_Stats!$G$16-MIN(MAX(City_Inputs!$AL9,Norm_Stats!$F$16),Norm_Stats!$G$16))/(Norm_Stats!$G$16-Norm_Stats!$F$16)))))*0.3))/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L9" s="14">
        <f>IF(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=0,"",(IF((IF(OR(City_Inputs!$AA9="",Norm_Stats!$F$15="",Norm_Stats!$G$15="",Norm_Stats!$G$15=Norm_Stats!$F$15),"",MAX(0,MIN(100,100*(MIN(MAX(City_Inputs!$AA9,Norm_Stats!$F$15),Norm_Stats!$G$15)-Norm_Stats!$F$15)/(Norm_Stats!$G$15-Norm_Stats!$F$15)))))="",0,0.7)+IF((IF(OR(City_Inputs!$AL9="",Norm_Stats!$F$16="",Norm_Stats!$G$16="",Norm_Stats!$G$16=Norm_Stats!$F$16),"",MAX(0,MIN(100,100*(Norm_Stats!$G$16-MIN(MAX(City_Inputs!$AL9,Norm_Stats!$F$16),Norm_Stats!$G$16))/(Norm_Stats!$G$16-Norm_Stats!$F$16)))))="",0,0.3)))</f>
        <v/>
      </c>
      <c r="AM9" s="15">
        <f>IF((IF(AG9="",0,8)+IF(AI9="",0,6)+IF(AK9="",0,4))=0,"",(IF(AG9="",0,AG9*8)+IF(AI9="",0,AI9*6)+IF(AK9="",0,AK9*4))/(IF(AG9="",0,8)+IF(AI9="",0,6)+IF(AK9="",0,4)))</f>
        <v/>
      </c>
      <c r="AN9" s="14">
        <f>IF((IF(AH9="",0,8)+IF(AJ9="",0,6)+IF(AL9="",0,4))=0,"",(IF(AH9="",0,AH9*8)+IF(AJ9="",0,AJ9*6)+IF(AL9="",0,AL9*4))/18)</f>
        <v/>
      </c>
      <c r="AO9" s="11">
        <f>IF(OR(City_Inputs!$AB9="",Norm_Stats!$F$17="",Norm_Stats!$G$17="",Norm_Stats!$G$17=Norm_Stats!$F$17),"",MAX(0,MIN(100,100*(MIN(MAX(City_Inputs!$AB9,Norm_Stats!$F$17),Norm_Stats!$G$17)-Norm_Stats!$F$17)/(Norm_Stats!$G$17-Norm_Stats!$F$17))))</f>
        <v/>
      </c>
      <c r="AP9" s="14">
        <f>IF(AO9="","",1)</f>
        <v/>
      </c>
      <c r="AQ9" s="11">
        <f>IF(OR(City_Inputs!$AC9="",Norm_Stats!$F$18="",Norm_Stats!$G$18="",Norm_Stats!$G$18=Norm_Stats!$F$18),"",MAX(0,MIN(100,100*(MIN(MAX(City_Inputs!$AC9,Norm_Stats!$F$18),Norm_Stats!$G$18)-Norm_Stats!$F$18)/(Norm_Stats!$G$18-Norm_Stats!$F$18))))</f>
        <v/>
      </c>
      <c r="AR9" s="14">
        <f>IF(AQ9="","",1)</f>
        <v/>
      </c>
      <c r="AS9" s="11">
        <f>IF(OR(City_Inputs!$AD9="",Norm_Stats!$F$19="",Norm_Stats!$G$19="",Norm_Stats!$G$19=Norm_Stats!$F$19),"",MAX(0,MIN(100,100*(MIN(MAX(City_Inputs!$AD9,Norm_Stats!$F$19),Norm_Stats!$G$19)-Norm_Stats!$F$19)/(Norm_Stats!$G$19-Norm_Stats!$F$19))))</f>
        <v/>
      </c>
      <c r="AT9" s="14">
        <f>IF(AS9="","",1)</f>
        <v/>
      </c>
      <c r="AU9" s="11">
        <f>IF(OR(City_Inputs!$BJ9="",Norm_Stats!$F$26="",Norm_Stats!$G$26="",Norm_Stats!$G$26=Norm_Stats!$F$26),"",MAX(0,MIN(100,100*(MIN(MAX(City_Inputs!$BJ9,Norm_Stats!$F$26),Norm_Stats!$G$26)-Norm_Stats!$F$26)/(Norm_Stats!$G$26-Norm_Stats!$F$26))))</f>
        <v/>
      </c>
      <c r="AV9" s="11">
        <f>IF(AU9="","",1)</f>
        <v/>
      </c>
      <c r="AW9" s="15">
        <f>IF((IF(AO9="",0,5)+IF(AQ9="",0,5)+IF(AS9="",0,5)+IF(AU9="",0,4))=0,"",(IF(AO9="",0,AO9*5)+IF(AQ9="",0,AQ9*5)+IF(AS9="",0,AS9*5)+IF(AU9="",0,AU9*4))/(IF(AO9="",0,5)+IF(AQ9="",0,5)+IF(AS9="",0,5)+IF(AU9="",0,4)))</f>
        <v/>
      </c>
      <c r="AX9" s="14">
        <f>IF((IF(AP9="",0,5)+IF(AR9="",0,5)+IF(AT9="",0,5)+IF(AV9="",0,4))=0,"",(IF(AP9="",0,AP9*5)+IF(AR9="",0,AR9*5)+IF(AT9="",0,AT9*5)+IF(AV9="",0,AV9*4))/19)</f>
        <v/>
      </c>
      <c r="AY9" s="11">
        <f>IF(OR(City_Inputs!$AE9="",Norm_Stats!$F$20="",Norm_Stats!$G$20="",Norm_Stats!$G$20=Norm_Stats!$F$20),"",MAX(0,MIN(100,100*(MIN(MAX(City_Inputs!$AE9,Norm_Stats!$F$20),Norm_Stats!$G$20)-Norm_Stats!$F$20)/(Norm_Stats!$G$20-Norm_Stats!$F$20))))</f>
        <v/>
      </c>
      <c r="AZ9" s="14">
        <f>IF(AY9="","",1)</f>
        <v/>
      </c>
      <c r="BA9" s="11">
        <f>IF(OR(City_Inputs!$AF9="",Norm_Stats!$F$21="",Norm_Stats!$G$21="",Norm_Stats!$G$21=Norm_Stats!$F$21),"",MAX(0,MIN(100,100*(MIN(MAX(City_Inputs!$AF9,Norm_Stats!$F$21),Norm_Stats!$G$21)-Norm_Stats!$F$21)/(Norm_Stats!$G$21-Norm_Stats!$F$21))))</f>
        <v/>
      </c>
      <c r="BB9" s="14">
        <f>IF(BA9="","",1)</f>
        <v/>
      </c>
      <c r="BC9" s="11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(IF(OR(City_Inputs!$AG9="",Norm_Stats!$F$22="",Norm_Stats!$G$22="",Norm_Stats!$G$22=Norm_Stats!$F$22),"",MAX(0,MIN(100,100*(MIN(MAX(City_Inputs!$AG9,Norm_Stats!$F$22),Norm_Stats!$G$22)-Norm_Stats!$F$22)/(Norm_Stats!$G$22-Norm_Stats!$F$22)))))*0.5)+IF((IF(OR(City_Inputs!$AJ9="",Norm_Stats!$F$23="",Norm_Stats!$G$23="",Norm_Stats!$G$23=Norm_Stats!$F$23),"",MAX(0,MIN(100,100*(MIN(MAX(City_Inputs!$AJ9,Norm_Stats!$F$23),Norm_Stats!$G$23)-Norm_Stats!$F$23)/(Norm_Stats!$G$23-Norm_Stats!$F$23)))))="",0,(IF(OR(City_Inputs!$AJ9="",Norm_Stats!$F$23="",Norm_Stats!$G$23="",Norm_Stats!$G$23=Norm_Stats!$F$23),"",MAX(0,MIN(100,100*(MIN(MAX(City_Inputs!$AJ9,Norm_Stats!$F$23),Norm_Stats!$G$23)-Norm_Stats!$F$23)/(Norm_Stats!$G$23-Norm_Stats!$F$23)))))*0.3)+IF((IF(OR(City_Inputs!$AK9="",Norm_Stats!$F$24="",Norm_Stats!$G$24="",Norm_Stats!$G$24=Norm_Stats!$F$24),"",MAX(0,MIN(100,100*(MIN(MAX(City_Inputs!$AK9,Norm_Stats!$F$24),Norm_Stats!$G$24)-Norm_Stats!$F$24)/(Norm_Stats!$G$24-Norm_Stats!$F$24)))))="",0,(IF(OR(City_Inputs!$AK9="",Norm_Stats!$F$24="",Norm_Stats!$G$24="",Norm_Stats!$G$24=Norm_Stats!$F$24),"",MAX(0,MIN(100,100*(MIN(MAX(City_Inputs!$AK9,Norm_Stats!$F$24),Norm_Stats!$G$24)-Norm_Stats!$F$24)/(Norm_Stats!$G$24-Norm_Stats!$F$24)))))*0.2))/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D9" s="14">
        <f>IF(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=0,"",(IF((IF(OR(City_Inputs!$AG9="",Norm_Stats!$F$22="",Norm_Stats!$G$22="",Norm_Stats!$G$22=Norm_Stats!$F$22),"",MAX(0,MIN(100,100*(MIN(MAX(City_Inputs!$AG9,Norm_Stats!$F$22),Norm_Stats!$G$22)-Norm_Stats!$F$22)/(Norm_Stats!$G$22-Norm_Stats!$F$22)))))="",0,0.5)+IF((IF(OR(City_Inputs!$AJ9="",Norm_Stats!$F$23="",Norm_Stats!$G$23="",Norm_Stats!$G$23=Norm_Stats!$F$23),"",MAX(0,MIN(100,100*(MIN(MAX(City_Inputs!$AJ9,Norm_Stats!$F$23),Norm_Stats!$G$23)-Norm_Stats!$F$23)/(Norm_Stats!$G$23-Norm_Stats!$F$23)))))="",0,0.3)+IF((IF(OR(City_Inputs!$AK9="",Norm_Stats!$F$24="",Norm_Stats!$G$24="",Norm_Stats!$G$24=Norm_Stats!$F$24),"",MAX(0,MIN(100,100*(MIN(MAX(City_Inputs!$AK9,Norm_Stats!$F$24),Norm_Stats!$G$24)-Norm_Stats!$F$24)/(Norm_Stats!$G$24-Norm_Stats!$F$24)))))="",0,0.2)))</f>
        <v/>
      </c>
      <c r="BE9" s="11">
        <f>IF(OR(City_Inputs!$AH9="",Norm_Stats!$F$25="",Norm_Stats!$G$25="",Norm_Stats!$G$25=Norm_Stats!$F$25),"",MAX(0,MIN(100,100*(Norm_Stats!$G$25-MIN(MAX(City_Inputs!$AH9,Norm_Stats!$F$25),Norm_Stats!$G$25))/(Norm_Stats!$G$25-Norm_Stats!$F$25))))</f>
        <v/>
      </c>
      <c r="BF9" s="14">
        <f>IF(BE9="","",1)</f>
        <v/>
      </c>
      <c r="BG9" s="15">
        <f>IF((IF(AY9="",0,6)+IF(BA9="",0,5)+IF(BC9="",0,5)+IF(BE9="",0,4))=0,"",(IF(AY9="",0,AY9*6)+IF(BA9="",0,BA9*5)+IF(BC9="",0,BC9*5)+IF(BE9="",0,BE9*4))/(IF(AY9="",0,6)+IF(BA9="",0,5)+IF(BC9="",0,5)+IF(BE9="",0,4)))</f>
        <v/>
      </c>
      <c r="BH9" s="14">
        <f>IF((IF(AZ9="",0,6)+IF(BB9="",0,5)+IF(BD9="",0,5)+IF(BF9="",0,4))=0,"",(IF(AZ9="",0,AZ9*6)+IF(BB9="",0,BB9*5)+IF(BD9="",0,BD9*5)+IF(BF9="",0,BF9*4))/20)</f>
        <v/>
      </c>
      <c r="BI9" s="14">
        <f>IF(AND(R9="",AF9="",AN9="",AX9="",BH9=""),"",((R9*25)+(AF9*22)+(AN9*18)+(AX9*15)+(BH9*20))/100)</f>
        <v/>
      </c>
      <c r="BJ9" s="11">
        <f>IF(BI9="","",IF(BI9&gt;=0.75,"A",IF(BI9&gt;=0.5,"B",IF(BI9&gt;=0.35,"C","Watchlist"))))</f>
        <v/>
      </c>
      <c r="BK9" s="11">
        <f>IF(OR(BI9="",BI9&lt;0.5,R9="",R9&lt;0.35,AF9="",AF9&lt;0.35,AN9="",AN9&lt;0.35,AX9="",AX9&lt;0.35,BH9="",BH9&lt;0.35),"Watchlist","Ranked")</f>
        <v/>
      </c>
      <c r="BL9" s="15">
        <f>IF(AND(Q9="",AE9="",AM9="",AW9="",BG9=""),"",(IF(Q9="",0,Q9*25)+IF(AE9="",0,AE9*22)+IF(AM9="",0,AM9*18)+IF(AW9="",0,AW9*15)+IF(BG9="",0,BG9*20))/(IF(Q9="",0,25)+IF(AE9="",0,22)+IF(AM9="",0,18)+IF(AW9="",0,15)+IF(BG9="",0,20)))</f>
        <v/>
      </c>
      <c r="BM9" s="11">
        <f>IF(BK9="Ranked",1+COUNTIFS($BK$2:$BK$158,"Ranked",$BL$2:$BL$158,"&gt;"&amp;BL9),"")</f>
        <v/>
      </c>
      <c r="BN9" s="11">
        <f>City_Inputs!$AI9</f>
        <v/>
      </c>
    </row>
    <row r="10">
      <c r="A10" t="inlineStr">
        <is>
          <t>my-kuching</t>
        </is>
      </c>
      <c r="B10" t="inlineStr">
        <is>
          <t>Kuching</t>
        </is>
      </c>
      <c r="C10" t="inlineStr">
        <is>
          <t>Malaysia</t>
        </is>
      </c>
      <c r="D10" t="inlineStr">
        <is>
          <t>Southeast Asia</t>
        </is>
      </c>
      <c r="E10" t="inlineStr">
        <is>
          <t>locked</t>
        </is>
      </c>
      <c r="F10" t="inlineStr">
        <is>
          <t>secondary</t>
        </is>
      </c>
      <c r="G10" s="11">
        <f>IF(OR(City_Inputs!$M10="",Norm_Stats!$F$2="",Norm_Stats!$G$2="",Norm_Stats!$G$2=Norm_Stats!$F$2),"",MAX(0,MIN(100,100*(MIN(MAX(City_Inputs!$M10,Norm_Stats!$F$2),Norm_Stats!$G$2)-Norm_Stats!$F$2)/(Norm_Stats!$G$2-Norm_Stats!$F$2))))</f>
        <v/>
      </c>
      <c r="H10" s="14">
        <f>IF(G10="","",1)</f>
        <v/>
      </c>
      <c r="I10" s="11">
        <f>IF(OR(City_Inputs!$N10="",Norm_Stats!$F$3="",Norm_Stats!$G$3="",Norm_Stats!$G$3=Norm_Stats!$F$3),"",MAX(0,MIN(100,100*(Norm_Stats!$G$3-MIN(MAX(City_Inputs!$N10,Norm_Stats!$F$3),Norm_Stats!$G$3))/(Norm_Stats!$G$3-Norm_Stats!$F$3))))</f>
        <v/>
      </c>
      <c r="J10" s="14">
        <f>IF(I10="","",1)</f>
        <v/>
      </c>
      <c r="K10" s="11">
        <f>IF(OR(City_Inputs!$P10="",Norm_Stats!$F$4="",Norm_Stats!$G$4="",Norm_Stats!$G$4=Norm_Stats!$F$4),"",MAX(0,MIN(100,100*(Norm_Stats!$G$4-MIN(MAX(City_Inputs!$P10,Norm_Stats!$F$4),Norm_Stats!$G$4))/(Norm_Stats!$G$4-Norm_Stats!$F$4))))</f>
        <v/>
      </c>
      <c r="L10" s="14">
        <f>IF(K10="","",1)</f>
        <v/>
      </c>
      <c r="M10" s="11">
        <f>IF(OR(City_Inputs!$Q10="",Norm_Stats!$F$5="",Norm_Stats!$G$5="",Norm_Stats!$G$5=Norm_Stats!$F$5),"",MAX(0,MIN(100,100*(Norm_Stats!$G$5-MIN(MAX(City_Inputs!$Q10,Norm_Stats!$F$5),Norm_Stats!$G$5))/(Norm_Stats!$G$5-Norm_Stats!$F$5))))</f>
        <v/>
      </c>
      <c r="N10" s="14">
        <f>IF(M10="","",1)</f>
        <v/>
      </c>
      <c r="O10" s="11">
        <f>IF(OR(City_Inputs!$R10="",Norm_Stats!$F$6="",Norm_Stats!$G$6="",Norm_Stats!$G$6=Norm_Stats!$F$6),"",MAX(0,MIN(100,100*(Norm_Stats!$G$6-MIN(MAX(City_Inputs!$R10,Norm_Stats!$F$6),Norm_Stats!$G$6))/(Norm_Stats!$G$6-Norm_Stats!$F$6))))</f>
        <v/>
      </c>
      <c r="P10" s="14">
        <f>IF(O10="","",1)</f>
        <v/>
      </c>
      <c r="Q10" s="15">
        <f>IF((IF(G10="",0,9)+IF(I10="",0,5)+IF(K10="",0,4)+IF(M10="",0,4)+IF(O10="",0,5))=0,"",(IF(G10="",0,G10*9)+IF(I10="",0,I10*5)+IF(K10="",0,K10*4)+IF(M10="",0,M10*4)+IF(O10="",0,O10*5))/(IF(G10="",0,9)+IF(I10="",0,5)+IF(K10="",0,4)+IF(M10="",0,4)+IF(O10="",0,5)))</f>
        <v/>
      </c>
      <c r="R10" s="14">
        <f>IF((IF(H10="",0,9)+IF(J10="",0,5)+IF(L10="",0,4)+IF(N10="",0,4)+IF(P10="",0,5))=0,"",(IF(H10="",0,H10*9)+IF(J10="",0,J10*5)+IF(L10="",0,L10*4)+IF(N10="",0,N10*4)+IF(P10="",0,P10*5))/27)</f>
        <v/>
      </c>
      <c r="S10" s="11">
        <f>IF(OR(City_Inputs!$S10="",Norm_Stats!$F$7="",Norm_Stats!$G$7="",Norm_Stats!$G$7=Norm_Stats!$F$7),"",MAX(0,MIN(100,100*(Norm_Stats!$G$7-MIN(MAX(City_Inputs!$S10,Norm_Stats!$F$7),Norm_Stats!$G$7))/(Norm_Stats!$G$7-Norm_Stats!$F$7))))</f>
        <v/>
      </c>
      <c r="T10" s="14">
        <f>IF(S10="","",1)</f>
        <v/>
      </c>
      <c r="U10" s="11">
        <f>IF(OR(City_Inputs!$T10="",Norm_Stats!$F$8="",Norm_Stats!$G$8="",Norm_Stats!$G$8=Norm_Stats!$F$8),"",MAX(0,MIN(100,100*(MIN(MAX(City_Inputs!$T10,Norm_Stats!$F$8),Norm_Stats!$G$8)-Norm_Stats!$F$8)/(Norm_Stats!$G$8-Norm_Stats!$F$8))))</f>
        <v/>
      </c>
      <c r="V10" s="14">
        <f>IF(U10="","",1)</f>
        <v/>
      </c>
      <c r="W10" s="11">
        <f>IF(OR(City_Inputs!$U10="",Norm_Stats!$F$9="",Norm_Stats!$G$9="",Norm_Stats!$G$9=Norm_Stats!$F$9),"",MAX(0,MIN(100,100*(Norm_Stats!$G$9-MIN(MAX(City_Inputs!$U10,Norm_Stats!$F$9),Norm_Stats!$G$9))/(Norm_Stats!$G$9-Norm_Stats!$F$9))))</f>
        <v/>
      </c>
      <c r="X10" s="14">
        <f>IF(W10="","",1)</f>
        <v/>
      </c>
      <c r="Y10" s="11">
        <f>IF(OR(City_Inputs!$V10="",Norm_Stats!$F$10="",Norm_Stats!$G$10="",Norm_Stats!$G$10=Norm_Stats!$F$10),"",MAX(0,MIN(100,100*(MIN(MAX(City_Inputs!$V10,Norm_Stats!$F$10),Norm_Stats!$G$10)-Norm_Stats!$F$10)/(Norm_Stats!$G$10-Norm_Stats!$F$10))))</f>
        <v/>
      </c>
      <c r="Z10" s="14">
        <f>IF(Y10="","",1)</f>
        <v/>
      </c>
      <c r="AA10" s="11">
        <f>IF(OR(City_Inputs!$W10="",Norm_Stats!$F$11="",Norm_Stats!$G$11="",Norm_Stats!$G$11=Norm_Stats!$F$11),"",MAX(0,MIN(100,100*(MIN(MAX(City_Inputs!$W10,Norm_Stats!$F$11),Norm_Stats!$G$11)-Norm_Stats!$F$11)/(Norm_Stats!$G$11-Norm_Stats!$F$11))))</f>
        <v/>
      </c>
      <c r="AB10" s="14">
        <f>IF(AA10="","",1)</f>
        <v/>
      </c>
      <c r="AC10" s="11">
        <f>IF(OR(City_Inputs!$X10="",Norm_Stats!$F$12="",Norm_Stats!$G$12="",Norm_Stats!$G$12=Norm_Stats!$F$12),"",MAX(0,MIN(100,100*(MIN(MAX(City_Inputs!$X10,Norm_Stats!$F$12),Norm_Stats!$G$12)-Norm_Stats!$F$12)/(Norm_Stats!$G$12-Norm_Stats!$F$12))))</f>
        <v/>
      </c>
      <c r="AD10" s="11">
        <f>IF(AC10="","",1)</f>
        <v/>
      </c>
      <c r="AE10" s="15">
        <f>IF((IF(S10="",0,5)+IF(U10="",0,5)+IF(W10="",0,4)+IF(Y10="",0,4)+IF(AA10="",0,4)+IF(AC10="",0,5))=0,"",(IF(S10="",0,S10*5)+IF(U10="",0,U10*5)+IF(W10="",0,W10*4)+IF(Y10="",0,Y10*4)+IF(AA10="",0,AA10*4)+IF(AC10="",0,AC10*5))/(IF(S10="",0,5)+IF(U10="",0,5)+IF(W10="",0,4)+IF(Y10="",0,4)+IF(AA10="",0,4)+IF(AC10="",0,5)))</f>
        <v/>
      </c>
      <c r="AF10" s="14">
        <f>IF((IF(T10="",0,5)+IF(V10="",0,5)+IF(X10="",0,4)+IF(Z10="",0,4)+IF(AB10="",0,4)+IF(AD10="",0,5))=0,"",(IF(T10="",0,T10*5)+IF(V10="",0,V10*5)+IF(X10="",0,X10*4)+IF(Z10="",0,Z10*4)+IF(AB10="",0,AB10*4)+IF(AD10="",0,AD10*5))/27)</f>
        <v/>
      </c>
      <c r="AG10" s="11">
        <f>IF(OR(City_Inputs!$Y10="",Norm_Stats!$F$13="",Norm_Stats!$G$13="",Norm_Stats!$G$13=Norm_Stats!$F$13),"",MAX(0,MIN(100,100*(MIN(MAX(City_Inputs!$Y10,Norm_Stats!$F$13),Norm_Stats!$G$13)-Norm_Stats!$F$13)/(Norm_Stats!$G$13-Norm_Stats!$F$13))))</f>
        <v/>
      </c>
      <c r="AH10" s="14">
        <f>IF(AG10="","",1)</f>
        <v/>
      </c>
      <c r="AI10" s="11">
        <f>IF(OR(City_Inputs!$Z10="",Norm_Stats!$F$14="",Norm_Stats!$G$14="",Norm_Stats!$G$14=Norm_Stats!$F$14),"",MAX(0,MIN(100,100*(MIN(MAX(City_Inputs!$Z10,Norm_Stats!$F$14),Norm_Stats!$G$14)-Norm_Stats!$F$14)/(Norm_Stats!$G$14-Norm_Stats!$F$14))))</f>
        <v/>
      </c>
      <c r="AJ10" s="14">
        <f>IF(AI10="","",1)</f>
        <v/>
      </c>
      <c r="AK10" s="11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(IF(OR(City_Inputs!$AA10="",Norm_Stats!$F$15="",Norm_Stats!$G$15="",Norm_Stats!$G$15=Norm_Stats!$F$15),"",MAX(0,MIN(100,100*(MIN(MAX(City_Inputs!$AA10,Norm_Stats!$F$15),Norm_Stats!$G$15)-Norm_Stats!$F$15)/(Norm_Stats!$G$15-Norm_Stats!$F$15)))))*0.7)+IF((IF(OR(City_Inputs!$AL10="",Norm_Stats!$F$16="",Norm_Stats!$G$16="",Norm_Stats!$G$16=Norm_Stats!$F$16),"",MAX(0,MIN(100,100*(Norm_Stats!$G$16-MIN(MAX(City_Inputs!$AL10,Norm_Stats!$F$16),Norm_Stats!$G$16))/(Norm_Stats!$G$16-Norm_Stats!$F$16)))))="",0,(IF(OR(City_Inputs!$AL10="",Norm_Stats!$F$16="",Norm_Stats!$G$16="",Norm_Stats!$G$16=Norm_Stats!$F$16),"",MAX(0,MIN(100,100*(Norm_Stats!$G$16-MIN(MAX(City_Inputs!$AL10,Norm_Stats!$F$16),Norm_Stats!$G$16))/(Norm_Stats!$G$16-Norm_Stats!$F$16)))))*0.3))/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L10" s="14">
        <f>IF(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=0,"",(IF((IF(OR(City_Inputs!$AA10="",Norm_Stats!$F$15="",Norm_Stats!$G$15="",Norm_Stats!$G$15=Norm_Stats!$F$15),"",MAX(0,MIN(100,100*(MIN(MAX(City_Inputs!$AA10,Norm_Stats!$F$15),Norm_Stats!$G$15)-Norm_Stats!$F$15)/(Norm_Stats!$G$15-Norm_Stats!$F$15)))))="",0,0.7)+IF((IF(OR(City_Inputs!$AL10="",Norm_Stats!$F$16="",Norm_Stats!$G$16="",Norm_Stats!$G$16=Norm_Stats!$F$16),"",MAX(0,MIN(100,100*(Norm_Stats!$G$16-MIN(MAX(City_Inputs!$AL10,Norm_Stats!$F$16),Norm_Stats!$G$16))/(Norm_Stats!$G$16-Norm_Stats!$F$16)))))="",0,0.3)))</f>
        <v/>
      </c>
      <c r="AM10" s="15">
        <f>IF((IF(AG10="",0,8)+IF(AI10="",0,6)+IF(AK10="",0,4))=0,"",(IF(AG10="",0,AG10*8)+IF(AI10="",0,AI10*6)+IF(AK10="",0,AK10*4))/(IF(AG10="",0,8)+IF(AI10="",0,6)+IF(AK10="",0,4)))</f>
        <v/>
      </c>
      <c r="AN10" s="14">
        <f>IF((IF(AH10="",0,8)+IF(AJ10="",0,6)+IF(AL10="",0,4))=0,"",(IF(AH10="",0,AH10*8)+IF(AJ10="",0,AJ10*6)+IF(AL10="",0,AL10*4))/18)</f>
        <v/>
      </c>
      <c r="AO10" s="11">
        <f>IF(OR(City_Inputs!$AB10="",Norm_Stats!$F$17="",Norm_Stats!$G$17="",Norm_Stats!$G$17=Norm_Stats!$F$17),"",MAX(0,MIN(100,100*(MIN(MAX(City_Inputs!$AB10,Norm_Stats!$F$17),Norm_Stats!$G$17)-Norm_Stats!$F$17)/(Norm_Stats!$G$17-Norm_Stats!$F$17))))</f>
        <v/>
      </c>
      <c r="AP10" s="14">
        <f>IF(AO10="","",1)</f>
        <v/>
      </c>
      <c r="AQ10" s="11">
        <f>IF(OR(City_Inputs!$AC10="",Norm_Stats!$F$18="",Norm_Stats!$G$18="",Norm_Stats!$G$18=Norm_Stats!$F$18),"",MAX(0,MIN(100,100*(MIN(MAX(City_Inputs!$AC10,Norm_Stats!$F$18),Norm_Stats!$G$18)-Norm_Stats!$F$18)/(Norm_Stats!$G$18-Norm_Stats!$F$18))))</f>
        <v/>
      </c>
      <c r="AR10" s="14">
        <f>IF(AQ10="","",1)</f>
        <v/>
      </c>
      <c r="AS10" s="11">
        <f>IF(OR(City_Inputs!$AD10="",Norm_Stats!$F$19="",Norm_Stats!$G$19="",Norm_Stats!$G$19=Norm_Stats!$F$19),"",MAX(0,MIN(100,100*(MIN(MAX(City_Inputs!$AD10,Norm_Stats!$F$19),Norm_Stats!$G$19)-Norm_Stats!$F$19)/(Norm_Stats!$G$19-Norm_Stats!$F$19))))</f>
        <v/>
      </c>
      <c r="AT10" s="14">
        <f>IF(AS10="","",1)</f>
        <v/>
      </c>
      <c r="AU10" s="11">
        <f>IF(OR(City_Inputs!$BJ10="",Norm_Stats!$F$26="",Norm_Stats!$G$26="",Norm_Stats!$G$26=Norm_Stats!$F$26),"",MAX(0,MIN(100,100*(MIN(MAX(City_Inputs!$BJ10,Norm_Stats!$F$26),Norm_Stats!$G$26)-Norm_Stats!$F$26)/(Norm_Stats!$G$26-Norm_Stats!$F$26))))</f>
        <v/>
      </c>
      <c r="AV10" s="11">
        <f>IF(AU10="","",1)</f>
        <v/>
      </c>
      <c r="AW10" s="15">
        <f>IF((IF(AO10="",0,5)+IF(AQ10="",0,5)+IF(AS10="",0,5)+IF(AU10="",0,4))=0,"",(IF(AO10="",0,AO10*5)+IF(AQ10="",0,AQ10*5)+IF(AS10="",0,AS10*5)+IF(AU10="",0,AU10*4))/(IF(AO10="",0,5)+IF(AQ10="",0,5)+IF(AS10="",0,5)+IF(AU10="",0,4)))</f>
        <v/>
      </c>
      <c r="AX10" s="14">
        <f>IF((IF(AP10="",0,5)+IF(AR10="",0,5)+IF(AT10="",0,5)+IF(AV10="",0,4))=0,"",(IF(AP10="",0,AP10*5)+IF(AR10="",0,AR10*5)+IF(AT10="",0,AT10*5)+IF(AV10="",0,AV10*4))/19)</f>
        <v/>
      </c>
      <c r="AY10" s="11">
        <f>IF(OR(City_Inputs!$AE10="",Norm_Stats!$F$20="",Norm_Stats!$G$20="",Norm_Stats!$G$20=Norm_Stats!$F$20),"",MAX(0,MIN(100,100*(MIN(MAX(City_Inputs!$AE10,Norm_Stats!$F$20),Norm_Stats!$G$20)-Norm_Stats!$F$20)/(Norm_Stats!$G$20-Norm_Stats!$F$20))))</f>
        <v/>
      </c>
      <c r="AZ10" s="14">
        <f>IF(AY10="","",1)</f>
        <v/>
      </c>
      <c r="BA10" s="11">
        <f>IF(OR(City_Inputs!$AF10="",Norm_Stats!$F$21="",Norm_Stats!$G$21="",Norm_Stats!$G$21=Norm_Stats!$F$21),"",MAX(0,MIN(100,100*(MIN(MAX(City_Inputs!$AF10,Norm_Stats!$F$21),Norm_Stats!$G$21)-Norm_Stats!$F$21)/(Norm_Stats!$G$21-Norm_Stats!$F$21))))</f>
        <v/>
      </c>
      <c r="BB10" s="14">
        <f>IF(BA10="","",1)</f>
        <v/>
      </c>
      <c r="BC10" s="11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(IF(OR(City_Inputs!$AG10="",Norm_Stats!$F$22="",Norm_Stats!$G$22="",Norm_Stats!$G$22=Norm_Stats!$F$22),"",MAX(0,MIN(100,100*(MIN(MAX(City_Inputs!$AG10,Norm_Stats!$F$22),Norm_Stats!$G$22)-Norm_Stats!$F$22)/(Norm_Stats!$G$22-Norm_Stats!$F$22)))))*0.5)+IF((IF(OR(City_Inputs!$AJ10="",Norm_Stats!$F$23="",Norm_Stats!$G$23="",Norm_Stats!$G$23=Norm_Stats!$F$23),"",MAX(0,MIN(100,100*(MIN(MAX(City_Inputs!$AJ10,Norm_Stats!$F$23),Norm_Stats!$G$23)-Norm_Stats!$F$23)/(Norm_Stats!$G$23-Norm_Stats!$F$23)))))="",0,(IF(OR(City_Inputs!$AJ10="",Norm_Stats!$F$23="",Norm_Stats!$G$23="",Norm_Stats!$G$23=Norm_Stats!$F$23),"",MAX(0,MIN(100,100*(MIN(MAX(City_Inputs!$AJ10,Norm_Stats!$F$23),Norm_Stats!$G$23)-Norm_Stats!$F$23)/(Norm_Stats!$G$23-Norm_Stats!$F$23)))))*0.3)+IF((IF(OR(City_Inputs!$AK10="",Norm_Stats!$F$24="",Norm_Stats!$G$24="",Norm_Stats!$G$24=Norm_Stats!$F$24),"",MAX(0,MIN(100,100*(MIN(MAX(City_Inputs!$AK10,Norm_Stats!$F$24),Norm_Stats!$G$24)-Norm_Stats!$F$24)/(Norm_Stats!$G$24-Norm_Stats!$F$24)))))="",0,(IF(OR(City_Inputs!$AK10="",Norm_Stats!$F$24="",Norm_Stats!$G$24="",Norm_Stats!$G$24=Norm_Stats!$F$24),"",MAX(0,MIN(100,100*(MIN(MAX(City_Inputs!$AK10,Norm_Stats!$F$24),Norm_Stats!$G$24)-Norm_Stats!$F$24)/(Norm_Stats!$G$24-Norm_Stats!$F$24)))))*0.2))/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D10" s="14">
        <f>IF(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=0,"",(IF((IF(OR(City_Inputs!$AG10="",Norm_Stats!$F$22="",Norm_Stats!$G$22="",Norm_Stats!$G$22=Norm_Stats!$F$22),"",MAX(0,MIN(100,100*(MIN(MAX(City_Inputs!$AG10,Norm_Stats!$F$22),Norm_Stats!$G$22)-Norm_Stats!$F$22)/(Norm_Stats!$G$22-Norm_Stats!$F$22)))))="",0,0.5)+IF((IF(OR(City_Inputs!$AJ10="",Norm_Stats!$F$23="",Norm_Stats!$G$23="",Norm_Stats!$G$23=Norm_Stats!$F$23),"",MAX(0,MIN(100,100*(MIN(MAX(City_Inputs!$AJ10,Norm_Stats!$F$23),Norm_Stats!$G$23)-Norm_Stats!$F$23)/(Norm_Stats!$G$23-Norm_Stats!$F$23)))))="",0,0.3)+IF((IF(OR(City_Inputs!$AK10="",Norm_Stats!$F$24="",Norm_Stats!$G$24="",Norm_Stats!$G$24=Norm_Stats!$F$24),"",MAX(0,MIN(100,100*(MIN(MAX(City_Inputs!$AK10,Norm_Stats!$F$24),Norm_Stats!$G$24)-Norm_Stats!$F$24)/(Norm_Stats!$G$24-Norm_Stats!$F$24)))))="",0,0.2)))</f>
        <v/>
      </c>
      <c r="BE10" s="11">
        <f>IF(OR(City_Inputs!$AH10="",Norm_Stats!$F$25="",Norm_Stats!$G$25="",Norm_Stats!$G$25=Norm_Stats!$F$25),"",MAX(0,MIN(100,100*(Norm_Stats!$G$25-MIN(MAX(City_Inputs!$AH10,Norm_Stats!$F$25),Norm_Stats!$G$25))/(Norm_Stats!$G$25-Norm_Stats!$F$25))))</f>
        <v/>
      </c>
      <c r="BF10" s="14">
        <f>IF(BE10="","",1)</f>
        <v/>
      </c>
      <c r="BG10" s="15">
        <f>IF((IF(AY10="",0,6)+IF(BA10="",0,5)+IF(BC10="",0,5)+IF(BE10="",0,4))=0,"",(IF(AY10="",0,AY10*6)+IF(BA10="",0,BA10*5)+IF(BC10="",0,BC10*5)+IF(BE10="",0,BE10*4))/(IF(AY10="",0,6)+IF(BA10="",0,5)+IF(BC10="",0,5)+IF(BE10="",0,4)))</f>
        <v/>
      </c>
      <c r="BH10" s="14">
        <f>IF((IF(AZ10="",0,6)+IF(BB10="",0,5)+IF(BD10="",0,5)+IF(BF10="",0,4))=0,"",(IF(AZ10="",0,AZ10*6)+IF(BB10="",0,BB10*5)+IF(BD10="",0,BD10*5)+IF(BF10="",0,BF10*4))/20)</f>
        <v/>
      </c>
      <c r="BI10" s="14">
        <f>IF(AND(R10="",AF10="",AN10="",AX10="",BH10=""),"",((R10*25)+(AF10*22)+(AN10*18)+(AX10*15)+(BH10*20))/100)</f>
        <v/>
      </c>
      <c r="BJ10" s="11">
        <f>IF(BI10="","",IF(BI10&gt;=0.75,"A",IF(BI10&gt;=0.5,"B",IF(BI10&gt;=0.35,"C","Watchlist"))))</f>
        <v/>
      </c>
      <c r="BK10" s="11">
        <f>IF(OR(BI10="",BI10&lt;0.5,R10="",R10&lt;0.35,AF10="",AF10&lt;0.35,AN10="",AN10&lt;0.35,AX10="",AX10&lt;0.35,BH10="",BH10&lt;0.35),"Watchlist","Ranked")</f>
        <v/>
      </c>
      <c r="BL10" s="15">
        <f>IF(AND(Q10="",AE10="",AM10="",AW10="",BG10=""),"",(IF(Q10="",0,Q10*25)+IF(AE10="",0,AE10*22)+IF(AM10="",0,AM10*18)+IF(AW10="",0,AW10*15)+IF(BG10="",0,BG10*20))/(IF(Q10="",0,25)+IF(AE10="",0,22)+IF(AM10="",0,18)+IF(AW10="",0,15)+IF(BG10="",0,20)))</f>
        <v/>
      </c>
      <c r="BM10" s="11">
        <f>IF(BK10="Ranked",1+COUNTIFS($BK$2:$BK$158,"Ranked",$BL$2:$BL$158,"&gt;"&amp;BL10),"")</f>
        <v/>
      </c>
      <c r="BN10" s="11">
        <f>City_Inputs!$AI10</f>
        <v/>
      </c>
    </row>
    <row r="11">
      <c r="A11" t="inlineStr">
        <is>
          <t>my-kota-kinabalu</t>
        </is>
      </c>
      <c r="B11" t="inlineStr">
        <is>
          <t>Kota Kinabalu</t>
        </is>
      </c>
      <c r="C11" t="inlineStr">
        <is>
          <t>Malaysia</t>
        </is>
      </c>
      <c r="D11" t="inlineStr">
        <is>
          <t>Southeast Asia</t>
        </is>
      </c>
      <c r="E11" t="inlineStr">
        <is>
          <t>provisional</t>
        </is>
      </c>
      <c r="F11" t="inlineStr">
        <is>
          <t>secondary</t>
        </is>
      </c>
      <c r="G11" s="11">
        <f>IF(OR(City_Inputs!$M11="",Norm_Stats!$F$2="",Norm_Stats!$G$2="",Norm_Stats!$G$2=Norm_Stats!$F$2),"",MAX(0,MIN(100,100*(MIN(MAX(City_Inputs!$M11,Norm_Stats!$F$2),Norm_Stats!$G$2)-Norm_Stats!$F$2)/(Norm_Stats!$G$2-Norm_Stats!$F$2))))</f>
        <v/>
      </c>
      <c r="H11" s="14">
        <f>IF(G11="","",1)</f>
        <v/>
      </c>
      <c r="I11" s="11">
        <f>IF(OR(City_Inputs!$N11="",Norm_Stats!$F$3="",Norm_Stats!$G$3="",Norm_Stats!$G$3=Norm_Stats!$F$3),"",MAX(0,MIN(100,100*(Norm_Stats!$G$3-MIN(MAX(City_Inputs!$N11,Norm_Stats!$F$3),Norm_Stats!$G$3))/(Norm_Stats!$G$3-Norm_Stats!$F$3))))</f>
        <v/>
      </c>
      <c r="J11" s="14">
        <f>IF(I11="","",1)</f>
        <v/>
      </c>
      <c r="K11" s="11">
        <f>IF(OR(City_Inputs!$P11="",Norm_Stats!$F$4="",Norm_Stats!$G$4="",Norm_Stats!$G$4=Norm_Stats!$F$4),"",MAX(0,MIN(100,100*(Norm_Stats!$G$4-MIN(MAX(City_Inputs!$P11,Norm_Stats!$F$4),Norm_Stats!$G$4))/(Norm_Stats!$G$4-Norm_Stats!$F$4))))</f>
        <v/>
      </c>
      <c r="L11" s="14">
        <f>IF(K11="","",1)</f>
        <v/>
      </c>
      <c r="M11" s="11">
        <f>IF(OR(City_Inputs!$Q11="",Norm_Stats!$F$5="",Norm_Stats!$G$5="",Norm_Stats!$G$5=Norm_Stats!$F$5),"",MAX(0,MIN(100,100*(Norm_Stats!$G$5-MIN(MAX(City_Inputs!$Q11,Norm_Stats!$F$5),Norm_Stats!$G$5))/(Norm_Stats!$G$5-Norm_Stats!$F$5))))</f>
        <v/>
      </c>
      <c r="N11" s="14">
        <f>IF(M11="","",1)</f>
        <v/>
      </c>
      <c r="O11" s="11">
        <f>IF(OR(City_Inputs!$R11="",Norm_Stats!$F$6="",Norm_Stats!$G$6="",Norm_Stats!$G$6=Norm_Stats!$F$6),"",MAX(0,MIN(100,100*(Norm_Stats!$G$6-MIN(MAX(City_Inputs!$R11,Norm_Stats!$F$6),Norm_Stats!$G$6))/(Norm_Stats!$G$6-Norm_Stats!$F$6))))</f>
        <v/>
      </c>
      <c r="P11" s="14">
        <f>IF(O11="","",1)</f>
        <v/>
      </c>
      <c r="Q11" s="15">
        <f>IF((IF(G11="",0,9)+IF(I11="",0,5)+IF(K11="",0,4)+IF(M11="",0,4)+IF(O11="",0,5))=0,"",(IF(G11="",0,G11*9)+IF(I11="",0,I11*5)+IF(K11="",0,K11*4)+IF(M11="",0,M11*4)+IF(O11="",0,O11*5))/(IF(G11="",0,9)+IF(I11="",0,5)+IF(K11="",0,4)+IF(M11="",0,4)+IF(O11="",0,5)))</f>
        <v/>
      </c>
      <c r="R11" s="14">
        <f>IF((IF(H11="",0,9)+IF(J11="",0,5)+IF(L11="",0,4)+IF(N11="",0,4)+IF(P11="",0,5))=0,"",(IF(H11="",0,H11*9)+IF(J11="",0,J11*5)+IF(L11="",0,L11*4)+IF(N11="",0,N11*4)+IF(P11="",0,P11*5))/27)</f>
        <v/>
      </c>
      <c r="S11" s="11">
        <f>IF(OR(City_Inputs!$S11="",Norm_Stats!$F$7="",Norm_Stats!$G$7="",Norm_Stats!$G$7=Norm_Stats!$F$7),"",MAX(0,MIN(100,100*(Norm_Stats!$G$7-MIN(MAX(City_Inputs!$S11,Norm_Stats!$F$7),Norm_Stats!$G$7))/(Norm_Stats!$G$7-Norm_Stats!$F$7))))</f>
        <v/>
      </c>
      <c r="T11" s="14">
        <f>IF(S11="","",1)</f>
        <v/>
      </c>
      <c r="U11" s="11">
        <f>IF(OR(City_Inputs!$T11="",Norm_Stats!$F$8="",Norm_Stats!$G$8="",Norm_Stats!$G$8=Norm_Stats!$F$8),"",MAX(0,MIN(100,100*(MIN(MAX(City_Inputs!$T11,Norm_Stats!$F$8),Norm_Stats!$G$8)-Norm_Stats!$F$8)/(Norm_Stats!$G$8-Norm_Stats!$F$8))))</f>
        <v/>
      </c>
      <c r="V11" s="14">
        <f>IF(U11="","",1)</f>
        <v/>
      </c>
      <c r="W11" s="11">
        <f>IF(OR(City_Inputs!$U11="",Norm_Stats!$F$9="",Norm_Stats!$G$9="",Norm_Stats!$G$9=Norm_Stats!$F$9),"",MAX(0,MIN(100,100*(Norm_Stats!$G$9-MIN(MAX(City_Inputs!$U11,Norm_Stats!$F$9),Norm_Stats!$G$9))/(Norm_Stats!$G$9-Norm_Stats!$F$9))))</f>
        <v/>
      </c>
      <c r="X11" s="14">
        <f>IF(W11="","",1)</f>
        <v/>
      </c>
      <c r="Y11" s="11">
        <f>IF(OR(City_Inputs!$V11="",Norm_Stats!$F$10="",Norm_Stats!$G$10="",Norm_Stats!$G$10=Norm_Stats!$F$10),"",MAX(0,MIN(100,100*(MIN(MAX(City_Inputs!$V11,Norm_Stats!$F$10),Norm_Stats!$G$10)-Norm_Stats!$F$10)/(Norm_Stats!$G$10-Norm_Stats!$F$10))))</f>
        <v/>
      </c>
      <c r="Z11" s="14">
        <f>IF(Y11="","",1)</f>
        <v/>
      </c>
      <c r="AA11" s="11">
        <f>IF(OR(City_Inputs!$W11="",Norm_Stats!$F$11="",Norm_Stats!$G$11="",Norm_Stats!$G$11=Norm_Stats!$F$11),"",MAX(0,MIN(100,100*(MIN(MAX(City_Inputs!$W11,Norm_Stats!$F$11),Norm_Stats!$G$11)-Norm_Stats!$F$11)/(Norm_Stats!$G$11-Norm_Stats!$F$11))))</f>
        <v/>
      </c>
      <c r="AB11" s="14">
        <f>IF(AA11="","",1)</f>
        <v/>
      </c>
      <c r="AC11" s="11">
        <f>IF(OR(City_Inputs!$X11="",Norm_Stats!$F$12="",Norm_Stats!$G$12="",Norm_Stats!$G$12=Norm_Stats!$F$12),"",MAX(0,MIN(100,100*(MIN(MAX(City_Inputs!$X11,Norm_Stats!$F$12),Norm_Stats!$G$12)-Norm_Stats!$F$12)/(Norm_Stats!$G$12-Norm_Stats!$F$12))))</f>
        <v/>
      </c>
      <c r="AD11" s="11">
        <f>IF(AC11="","",1)</f>
        <v/>
      </c>
      <c r="AE11" s="15">
        <f>IF((IF(S11="",0,5)+IF(U11="",0,5)+IF(W11="",0,4)+IF(Y11="",0,4)+IF(AA11="",0,4)+IF(AC11="",0,5))=0,"",(IF(S11="",0,S11*5)+IF(U11="",0,U11*5)+IF(W11="",0,W11*4)+IF(Y11="",0,Y11*4)+IF(AA11="",0,AA11*4)+IF(AC11="",0,AC11*5))/(IF(S11="",0,5)+IF(U11="",0,5)+IF(W11="",0,4)+IF(Y11="",0,4)+IF(AA11="",0,4)+IF(AC11="",0,5)))</f>
        <v/>
      </c>
      <c r="AF11" s="14">
        <f>IF((IF(T11="",0,5)+IF(V11="",0,5)+IF(X11="",0,4)+IF(Z11="",0,4)+IF(AB11="",0,4)+IF(AD11="",0,5))=0,"",(IF(T11="",0,T11*5)+IF(V11="",0,V11*5)+IF(X11="",0,X11*4)+IF(Z11="",0,Z11*4)+IF(AB11="",0,AB11*4)+IF(AD11="",0,AD11*5))/27)</f>
        <v/>
      </c>
      <c r="AG11" s="11">
        <f>IF(OR(City_Inputs!$Y11="",Norm_Stats!$F$13="",Norm_Stats!$G$13="",Norm_Stats!$G$13=Norm_Stats!$F$13),"",MAX(0,MIN(100,100*(MIN(MAX(City_Inputs!$Y11,Norm_Stats!$F$13),Norm_Stats!$G$13)-Norm_Stats!$F$13)/(Norm_Stats!$G$13-Norm_Stats!$F$13))))</f>
        <v/>
      </c>
      <c r="AH11" s="14">
        <f>IF(AG11="","",1)</f>
        <v/>
      </c>
      <c r="AI11" s="11">
        <f>IF(OR(City_Inputs!$Z11="",Norm_Stats!$F$14="",Norm_Stats!$G$14="",Norm_Stats!$G$14=Norm_Stats!$F$14),"",MAX(0,MIN(100,100*(MIN(MAX(City_Inputs!$Z11,Norm_Stats!$F$14),Norm_Stats!$G$14)-Norm_Stats!$F$14)/(Norm_Stats!$G$14-Norm_Stats!$F$14))))</f>
        <v/>
      </c>
      <c r="AJ11" s="14">
        <f>IF(AI11="","",1)</f>
        <v/>
      </c>
      <c r="AK11" s="11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(IF(OR(City_Inputs!$AA11="",Norm_Stats!$F$15="",Norm_Stats!$G$15="",Norm_Stats!$G$15=Norm_Stats!$F$15),"",MAX(0,MIN(100,100*(MIN(MAX(City_Inputs!$AA11,Norm_Stats!$F$15),Norm_Stats!$G$15)-Norm_Stats!$F$15)/(Norm_Stats!$G$15-Norm_Stats!$F$15)))))*0.7)+IF((IF(OR(City_Inputs!$AL11="",Norm_Stats!$F$16="",Norm_Stats!$G$16="",Norm_Stats!$G$16=Norm_Stats!$F$16),"",MAX(0,MIN(100,100*(Norm_Stats!$G$16-MIN(MAX(City_Inputs!$AL11,Norm_Stats!$F$16),Norm_Stats!$G$16))/(Norm_Stats!$G$16-Norm_Stats!$F$16)))))="",0,(IF(OR(City_Inputs!$AL11="",Norm_Stats!$F$16="",Norm_Stats!$G$16="",Norm_Stats!$G$16=Norm_Stats!$F$16),"",MAX(0,MIN(100,100*(Norm_Stats!$G$16-MIN(MAX(City_Inputs!$AL11,Norm_Stats!$F$16),Norm_Stats!$G$16))/(Norm_Stats!$G$16-Norm_Stats!$F$16)))))*0.3))/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L11" s="14">
        <f>IF(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=0,"",(IF((IF(OR(City_Inputs!$AA11="",Norm_Stats!$F$15="",Norm_Stats!$G$15="",Norm_Stats!$G$15=Norm_Stats!$F$15),"",MAX(0,MIN(100,100*(MIN(MAX(City_Inputs!$AA11,Norm_Stats!$F$15),Norm_Stats!$G$15)-Norm_Stats!$F$15)/(Norm_Stats!$G$15-Norm_Stats!$F$15)))))="",0,0.7)+IF((IF(OR(City_Inputs!$AL11="",Norm_Stats!$F$16="",Norm_Stats!$G$16="",Norm_Stats!$G$16=Norm_Stats!$F$16),"",MAX(0,MIN(100,100*(Norm_Stats!$G$16-MIN(MAX(City_Inputs!$AL11,Norm_Stats!$F$16),Norm_Stats!$G$16))/(Norm_Stats!$G$16-Norm_Stats!$F$16)))))="",0,0.3)))</f>
        <v/>
      </c>
      <c r="AM11" s="15">
        <f>IF((IF(AG11="",0,8)+IF(AI11="",0,6)+IF(AK11="",0,4))=0,"",(IF(AG11="",0,AG11*8)+IF(AI11="",0,AI11*6)+IF(AK11="",0,AK11*4))/(IF(AG11="",0,8)+IF(AI11="",0,6)+IF(AK11="",0,4)))</f>
        <v/>
      </c>
      <c r="AN11" s="14">
        <f>IF((IF(AH11="",0,8)+IF(AJ11="",0,6)+IF(AL11="",0,4))=0,"",(IF(AH11="",0,AH11*8)+IF(AJ11="",0,AJ11*6)+IF(AL11="",0,AL11*4))/18)</f>
        <v/>
      </c>
      <c r="AO11" s="11">
        <f>IF(OR(City_Inputs!$AB11="",Norm_Stats!$F$17="",Norm_Stats!$G$17="",Norm_Stats!$G$17=Norm_Stats!$F$17),"",MAX(0,MIN(100,100*(MIN(MAX(City_Inputs!$AB11,Norm_Stats!$F$17),Norm_Stats!$G$17)-Norm_Stats!$F$17)/(Norm_Stats!$G$17-Norm_Stats!$F$17))))</f>
        <v/>
      </c>
      <c r="AP11" s="14">
        <f>IF(AO11="","",1)</f>
        <v/>
      </c>
      <c r="AQ11" s="11">
        <f>IF(OR(City_Inputs!$AC11="",Norm_Stats!$F$18="",Norm_Stats!$G$18="",Norm_Stats!$G$18=Norm_Stats!$F$18),"",MAX(0,MIN(100,100*(MIN(MAX(City_Inputs!$AC11,Norm_Stats!$F$18),Norm_Stats!$G$18)-Norm_Stats!$F$18)/(Norm_Stats!$G$18-Norm_Stats!$F$18))))</f>
        <v/>
      </c>
      <c r="AR11" s="14">
        <f>IF(AQ11="","",1)</f>
        <v/>
      </c>
      <c r="AS11" s="11">
        <f>IF(OR(City_Inputs!$AD11="",Norm_Stats!$F$19="",Norm_Stats!$G$19="",Norm_Stats!$G$19=Norm_Stats!$F$19),"",MAX(0,MIN(100,100*(MIN(MAX(City_Inputs!$AD11,Norm_Stats!$F$19),Norm_Stats!$G$19)-Norm_Stats!$F$19)/(Norm_Stats!$G$19-Norm_Stats!$F$19))))</f>
        <v/>
      </c>
      <c r="AT11" s="14">
        <f>IF(AS11="","",1)</f>
        <v/>
      </c>
      <c r="AU11" s="11">
        <f>IF(OR(City_Inputs!$BJ11="",Norm_Stats!$F$26="",Norm_Stats!$G$26="",Norm_Stats!$G$26=Norm_Stats!$F$26),"",MAX(0,MIN(100,100*(MIN(MAX(City_Inputs!$BJ11,Norm_Stats!$F$26),Norm_Stats!$G$26)-Norm_Stats!$F$26)/(Norm_Stats!$G$26-Norm_Stats!$F$26))))</f>
        <v/>
      </c>
      <c r="AV11" s="11">
        <f>IF(AU11="","",1)</f>
        <v/>
      </c>
      <c r="AW11" s="15">
        <f>IF((IF(AO11="",0,5)+IF(AQ11="",0,5)+IF(AS11="",0,5)+IF(AU11="",0,4))=0,"",(IF(AO11="",0,AO11*5)+IF(AQ11="",0,AQ11*5)+IF(AS11="",0,AS11*5)+IF(AU11="",0,AU11*4))/(IF(AO11="",0,5)+IF(AQ11="",0,5)+IF(AS11="",0,5)+IF(AU11="",0,4)))</f>
        <v/>
      </c>
      <c r="AX11" s="14">
        <f>IF((IF(AP11="",0,5)+IF(AR11="",0,5)+IF(AT11="",0,5)+IF(AV11="",0,4))=0,"",(IF(AP11="",0,AP11*5)+IF(AR11="",0,AR11*5)+IF(AT11="",0,AT11*5)+IF(AV11="",0,AV11*4))/19)</f>
        <v/>
      </c>
      <c r="AY11" s="11">
        <f>IF(OR(City_Inputs!$AE11="",Norm_Stats!$F$20="",Norm_Stats!$G$20="",Norm_Stats!$G$20=Norm_Stats!$F$20),"",MAX(0,MIN(100,100*(MIN(MAX(City_Inputs!$AE11,Norm_Stats!$F$20),Norm_Stats!$G$20)-Norm_Stats!$F$20)/(Norm_Stats!$G$20-Norm_Stats!$F$20))))</f>
        <v/>
      </c>
      <c r="AZ11" s="14">
        <f>IF(AY11="","",1)</f>
        <v/>
      </c>
      <c r="BA11" s="11">
        <f>IF(OR(City_Inputs!$AF11="",Norm_Stats!$F$21="",Norm_Stats!$G$21="",Norm_Stats!$G$21=Norm_Stats!$F$21),"",MAX(0,MIN(100,100*(MIN(MAX(City_Inputs!$AF11,Norm_Stats!$F$21),Norm_Stats!$G$21)-Norm_Stats!$F$21)/(Norm_Stats!$G$21-Norm_Stats!$F$21))))</f>
        <v/>
      </c>
      <c r="BB11" s="14">
        <f>IF(BA11="","",1)</f>
        <v/>
      </c>
      <c r="BC11" s="11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(IF(OR(City_Inputs!$AG11="",Norm_Stats!$F$22="",Norm_Stats!$G$22="",Norm_Stats!$G$22=Norm_Stats!$F$22),"",MAX(0,MIN(100,100*(MIN(MAX(City_Inputs!$AG11,Norm_Stats!$F$22),Norm_Stats!$G$22)-Norm_Stats!$F$22)/(Norm_Stats!$G$22-Norm_Stats!$F$22)))))*0.5)+IF((IF(OR(City_Inputs!$AJ11="",Norm_Stats!$F$23="",Norm_Stats!$G$23="",Norm_Stats!$G$23=Norm_Stats!$F$23),"",MAX(0,MIN(100,100*(MIN(MAX(City_Inputs!$AJ11,Norm_Stats!$F$23),Norm_Stats!$G$23)-Norm_Stats!$F$23)/(Norm_Stats!$G$23-Norm_Stats!$F$23)))))="",0,(IF(OR(City_Inputs!$AJ11="",Norm_Stats!$F$23="",Norm_Stats!$G$23="",Norm_Stats!$G$23=Norm_Stats!$F$23),"",MAX(0,MIN(100,100*(MIN(MAX(City_Inputs!$AJ11,Norm_Stats!$F$23),Norm_Stats!$G$23)-Norm_Stats!$F$23)/(Norm_Stats!$G$23-Norm_Stats!$F$23)))))*0.3)+IF((IF(OR(City_Inputs!$AK11="",Norm_Stats!$F$24="",Norm_Stats!$G$24="",Norm_Stats!$G$24=Norm_Stats!$F$24),"",MAX(0,MIN(100,100*(MIN(MAX(City_Inputs!$AK11,Norm_Stats!$F$24),Norm_Stats!$G$24)-Norm_Stats!$F$24)/(Norm_Stats!$G$24-Norm_Stats!$F$24)))))="",0,(IF(OR(City_Inputs!$AK11="",Norm_Stats!$F$24="",Norm_Stats!$G$24="",Norm_Stats!$G$24=Norm_Stats!$F$24),"",MAX(0,MIN(100,100*(MIN(MAX(City_Inputs!$AK11,Norm_Stats!$F$24),Norm_Stats!$G$24)-Norm_Stats!$F$24)/(Norm_Stats!$G$24-Norm_Stats!$F$24)))))*0.2))/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D11" s="14">
        <f>IF(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=0,"",(IF((IF(OR(City_Inputs!$AG11="",Norm_Stats!$F$22="",Norm_Stats!$G$22="",Norm_Stats!$G$22=Norm_Stats!$F$22),"",MAX(0,MIN(100,100*(MIN(MAX(City_Inputs!$AG11,Norm_Stats!$F$22),Norm_Stats!$G$22)-Norm_Stats!$F$22)/(Norm_Stats!$G$22-Norm_Stats!$F$22)))))="",0,0.5)+IF((IF(OR(City_Inputs!$AJ11="",Norm_Stats!$F$23="",Norm_Stats!$G$23="",Norm_Stats!$G$23=Norm_Stats!$F$23),"",MAX(0,MIN(100,100*(MIN(MAX(City_Inputs!$AJ11,Norm_Stats!$F$23),Norm_Stats!$G$23)-Norm_Stats!$F$23)/(Norm_Stats!$G$23-Norm_Stats!$F$23)))))="",0,0.3)+IF((IF(OR(City_Inputs!$AK11="",Norm_Stats!$F$24="",Norm_Stats!$G$24="",Norm_Stats!$G$24=Norm_Stats!$F$24),"",MAX(0,MIN(100,100*(MIN(MAX(City_Inputs!$AK11,Norm_Stats!$F$24),Norm_Stats!$G$24)-Norm_Stats!$F$24)/(Norm_Stats!$G$24-Norm_Stats!$F$24)))))="",0,0.2)))</f>
        <v/>
      </c>
      <c r="BE11" s="11">
        <f>IF(OR(City_Inputs!$AH11="",Norm_Stats!$F$25="",Norm_Stats!$G$25="",Norm_Stats!$G$25=Norm_Stats!$F$25),"",MAX(0,MIN(100,100*(Norm_Stats!$G$25-MIN(MAX(City_Inputs!$AH11,Norm_Stats!$F$25),Norm_Stats!$G$25))/(Norm_Stats!$G$25-Norm_Stats!$F$25))))</f>
        <v/>
      </c>
      <c r="BF11" s="14">
        <f>IF(BE11="","",1)</f>
        <v/>
      </c>
      <c r="BG11" s="15">
        <f>IF((IF(AY11="",0,6)+IF(BA11="",0,5)+IF(BC11="",0,5)+IF(BE11="",0,4))=0,"",(IF(AY11="",0,AY11*6)+IF(BA11="",0,BA11*5)+IF(BC11="",0,BC11*5)+IF(BE11="",0,BE11*4))/(IF(AY11="",0,6)+IF(BA11="",0,5)+IF(BC11="",0,5)+IF(BE11="",0,4)))</f>
        <v/>
      </c>
      <c r="BH11" s="14">
        <f>IF((IF(AZ11="",0,6)+IF(BB11="",0,5)+IF(BD11="",0,5)+IF(BF11="",0,4))=0,"",(IF(AZ11="",0,AZ11*6)+IF(BB11="",0,BB11*5)+IF(BD11="",0,BD11*5)+IF(BF11="",0,BF11*4))/20)</f>
        <v/>
      </c>
      <c r="BI11" s="14">
        <f>IF(AND(R11="",AF11="",AN11="",AX11="",BH11=""),"",((R11*25)+(AF11*22)+(AN11*18)+(AX11*15)+(BH11*20))/100)</f>
        <v/>
      </c>
      <c r="BJ11" s="11">
        <f>IF(BI11="","",IF(BI11&gt;=0.75,"A",IF(BI11&gt;=0.5,"B",IF(BI11&gt;=0.35,"C","Watchlist"))))</f>
        <v/>
      </c>
      <c r="BK11" s="11">
        <f>IF(OR(BI11="",BI11&lt;0.5,R11="",R11&lt;0.35,AF11="",AF11&lt;0.35,AN11="",AN11&lt;0.35,AX11="",AX11&lt;0.35,BH11="",BH11&lt;0.35),"Watchlist","Ranked")</f>
        <v/>
      </c>
      <c r="BL11" s="15">
        <f>IF(AND(Q11="",AE11="",AM11="",AW11="",BG11=""),"",(IF(Q11="",0,Q11*25)+IF(AE11="",0,AE11*22)+IF(AM11="",0,AM11*18)+IF(AW11="",0,AW11*15)+IF(BG11="",0,BG11*20))/(IF(Q11="",0,25)+IF(AE11="",0,22)+IF(AM11="",0,18)+IF(AW11="",0,15)+IF(BG11="",0,20)))</f>
        <v/>
      </c>
      <c r="BM11" s="11">
        <f>IF(BK11="Ranked",1+COUNTIFS($BK$2:$BK$158,"Ranked",$BL$2:$BL$158,"&gt;"&amp;BL11),"")</f>
        <v/>
      </c>
      <c r="BN11" s="11">
        <f>City_Inputs!$AI11</f>
        <v/>
      </c>
    </row>
    <row r="12">
      <c r="A12" t="inlineStr">
        <is>
          <t>my-melaka</t>
        </is>
      </c>
      <c r="B12" t="inlineStr">
        <is>
          <t>Melaka</t>
        </is>
      </c>
      <c r="C12" t="inlineStr">
        <is>
          <t>Malaysia</t>
        </is>
      </c>
      <c r="D12" t="inlineStr">
        <is>
          <t>Southeast Asia</t>
        </is>
      </c>
      <c r="E12" t="inlineStr">
        <is>
          <t>provisional</t>
        </is>
      </c>
      <c r="F12" t="inlineStr">
        <is>
          <t>secondary</t>
        </is>
      </c>
      <c r="G12" s="11">
        <f>IF(OR(City_Inputs!$M12="",Norm_Stats!$F$2="",Norm_Stats!$G$2="",Norm_Stats!$G$2=Norm_Stats!$F$2),"",MAX(0,MIN(100,100*(MIN(MAX(City_Inputs!$M12,Norm_Stats!$F$2),Norm_Stats!$G$2)-Norm_Stats!$F$2)/(Norm_Stats!$G$2-Norm_Stats!$F$2))))</f>
        <v/>
      </c>
      <c r="H12" s="14">
        <f>IF(G12="","",1)</f>
        <v/>
      </c>
      <c r="I12" s="11">
        <f>IF(OR(City_Inputs!$N12="",Norm_Stats!$F$3="",Norm_Stats!$G$3="",Norm_Stats!$G$3=Norm_Stats!$F$3),"",MAX(0,MIN(100,100*(Norm_Stats!$G$3-MIN(MAX(City_Inputs!$N12,Norm_Stats!$F$3),Norm_Stats!$G$3))/(Norm_Stats!$G$3-Norm_Stats!$F$3))))</f>
        <v/>
      </c>
      <c r="J12" s="14">
        <f>IF(I12="","",1)</f>
        <v/>
      </c>
      <c r="K12" s="11">
        <f>IF(OR(City_Inputs!$P12="",Norm_Stats!$F$4="",Norm_Stats!$G$4="",Norm_Stats!$G$4=Norm_Stats!$F$4),"",MAX(0,MIN(100,100*(Norm_Stats!$G$4-MIN(MAX(City_Inputs!$P12,Norm_Stats!$F$4),Norm_Stats!$G$4))/(Norm_Stats!$G$4-Norm_Stats!$F$4))))</f>
        <v/>
      </c>
      <c r="L12" s="14">
        <f>IF(K12="","",1)</f>
        <v/>
      </c>
      <c r="M12" s="11">
        <f>IF(OR(City_Inputs!$Q12="",Norm_Stats!$F$5="",Norm_Stats!$G$5="",Norm_Stats!$G$5=Norm_Stats!$F$5),"",MAX(0,MIN(100,100*(Norm_Stats!$G$5-MIN(MAX(City_Inputs!$Q12,Norm_Stats!$F$5),Norm_Stats!$G$5))/(Norm_Stats!$G$5-Norm_Stats!$F$5))))</f>
        <v/>
      </c>
      <c r="N12" s="14">
        <f>IF(M12="","",1)</f>
        <v/>
      </c>
      <c r="O12" s="11">
        <f>IF(OR(City_Inputs!$R12="",Norm_Stats!$F$6="",Norm_Stats!$G$6="",Norm_Stats!$G$6=Norm_Stats!$F$6),"",MAX(0,MIN(100,100*(Norm_Stats!$G$6-MIN(MAX(City_Inputs!$R12,Norm_Stats!$F$6),Norm_Stats!$G$6))/(Norm_Stats!$G$6-Norm_Stats!$F$6))))</f>
        <v/>
      </c>
      <c r="P12" s="14">
        <f>IF(O12="","",1)</f>
        <v/>
      </c>
      <c r="Q12" s="15">
        <f>IF((IF(G12="",0,9)+IF(I12="",0,5)+IF(K12="",0,4)+IF(M12="",0,4)+IF(O12="",0,5))=0,"",(IF(G12="",0,G12*9)+IF(I12="",0,I12*5)+IF(K12="",0,K12*4)+IF(M12="",0,M12*4)+IF(O12="",0,O12*5))/(IF(G12="",0,9)+IF(I12="",0,5)+IF(K12="",0,4)+IF(M12="",0,4)+IF(O12="",0,5)))</f>
        <v/>
      </c>
      <c r="R12" s="14">
        <f>IF((IF(H12="",0,9)+IF(J12="",0,5)+IF(L12="",0,4)+IF(N12="",0,4)+IF(P12="",0,5))=0,"",(IF(H12="",0,H12*9)+IF(J12="",0,J12*5)+IF(L12="",0,L12*4)+IF(N12="",0,N12*4)+IF(P12="",0,P12*5))/27)</f>
        <v/>
      </c>
      <c r="S12" s="11">
        <f>IF(OR(City_Inputs!$S12="",Norm_Stats!$F$7="",Norm_Stats!$G$7="",Norm_Stats!$G$7=Norm_Stats!$F$7),"",MAX(0,MIN(100,100*(Norm_Stats!$G$7-MIN(MAX(City_Inputs!$S12,Norm_Stats!$F$7),Norm_Stats!$G$7))/(Norm_Stats!$G$7-Norm_Stats!$F$7))))</f>
        <v/>
      </c>
      <c r="T12" s="14">
        <f>IF(S12="","",1)</f>
        <v/>
      </c>
      <c r="U12" s="11">
        <f>IF(OR(City_Inputs!$T12="",Norm_Stats!$F$8="",Norm_Stats!$G$8="",Norm_Stats!$G$8=Norm_Stats!$F$8),"",MAX(0,MIN(100,100*(MIN(MAX(City_Inputs!$T12,Norm_Stats!$F$8),Norm_Stats!$G$8)-Norm_Stats!$F$8)/(Norm_Stats!$G$8-Norm_Stats!$F$8))))</f>
        <v/>
      </c>
      <c r="V12" s="14">
        <f>IF(U12="","",1)</f>
        <v/>
      </c>
      <c r="W12" s="11">
        <f>IF(OR(City_Inputs!$U12="",Norm_Stats!$F$9="",Norm_Stats!$G$9="",Norm_Stats!$G$9=Norm_Stats!$F$9),"",MAX(0,MIN(100,100*(Norm_Stats!$G$9-MIN(MAX(City_Inputs!$U12,Norm_Stats!$F$9),Norm_Stats!$G$9))/(Norm_Stats!$G$9-Norm_Stats!$F$9))))</f>
        <v/>
      </c>
      <c r="X12" s="14">
        <f>IF(W12="","",1)</f>
        <v/>
      </c>
      <c r="Y12" s="11">
        <f>IF(OR(City_Inputs!$V12="",Norm_Stats!$F$10="",Norm_Stats!$G$10="",Norm_Stats!$G$10=Norm_Stats!$F$10),"",MAX(0,MIN(100,100*(MIN(MAX(City_Inputs!$V12,Norm_Stats!$F$10),Norm_Stats!$G$10)-Norm_Stats!$F$10)/(Norm_Stats!$G$10-Norm_Stats!$F$10))))</f>
        <v/>
      </c>
      <c r="Z12" s="14">
        <f>IF(Y12="","",1)</f>
        <v/>
      </c>
      <c r="AA12" s="11">
        <f>IF(OR(City_Inputs!$W12="",Norm_Stats!$F$11="",Norm_Stats!$G$11="",Norm_Stats!$G$11=Norm_Stats!$F$11),"",MAX(0,MIN(100,100*(MIN(MAX(City_Inputs!$W12,Norm_Stats!$F$11),Norm_Stats!$G$11)-Norm_Stats!$F$11)/(Norm_Stats!$G$11-Norm_Stats!$F$11))))</f>
        <v/>
      </c>
      <c r="AB12" s="14">
        <f>IF(AA12="","",1)</f>
        <v/>
      </c>
      <c r="AC12" s="11">
        <f>IF(OR(City_Inputs!$X12="",Norm_Stats!$F$12="",Norm_Stats!$G$12="",Norm_Stats!$G$12=Norm_Stats!$F$12),"",MAX(0,MIN(100,100*(MIN(MAX(City_Inputs!$X12,Norm_Stats!$F$12),Norm_Stats!$G$12)-Norm_Stats!$F$12)/(Norm_Stats!$G$12-Norm_Stats!$F$12))))</f>
        <v/>
      </c>
      <c r="AD12" s="11">
        <f>IF(AC12="","",1)</f>
        <v/>
      </c>
      <c r="AE12" s="15">
        <f>IF((IF(S12="",0,5)+IF(U12="",0,5)+IF(W12="",0,4)+IF(Y12="",0,4)+IF(AA12="",0,4)+IF(AC12="",0,5))=0,"",(IF(S12="",0,S12*5)+IF(U12="",0,U12*5)+IF(W12="",0,W12*4)+IF(Y12="",0,Y12*4)+IF(AA12="",0,AA12*4)+IF(AC12="",0,AC12*5))/(IF(S12="",0,5)+IF(U12="",0,5)+IF(W12="",0,4)+IF(Y12="",0,4)+IF(AA12="",0,4)+IF(AC12="",0,5)))</f>
        <v/>
      </c>
      <c r="AF12" s="14">
        <f>IF((IF(T12="",0,5)+IF(V12="",0,5)+IF(X12="",0,4)+IF(Z12="",0,4)+IF(AB12="",0,4)+IF(AD12="",0,5))=0,"",(IF(T12="",0,T12*5)+IF(V12="",0,V12*5)+IF(X12="",0,X12*4)+IF(Z12="",0,Z12*4)+IF(AB12="",0,AB12*4)+IF(AD12="",0,AD12*5))/27)</f>
        <v/>
      </c>
      <c r="AG12" s="11">
        <f>IF(OR(City_Inputs!$Y12="",Norm_Stats!$F$13="",Norm_Stats!$G$13="",Norm_Stats!$G$13=Norm_Stats!$F$13),"",MAX(0,MIN(100,100*(MIN(MAX(City_Inputs!$Y12,Norm_Stats!$F$13),Norm_Stats!$G$13)-Norm_Stats!$F$13)/(Norm_Stats!$G$13-Norm_Stats!$F$13))))</f>
        <v/>
      </c>
      <c r="AH12" s="14">
        <f>IF(AG12="","",1)</f>
        <v/>
      </c>
      <c r="AI12" s="11">
        <f>IF(OR(City_Inputs!$Z12="",Norm_Stats!$F$14="",Norm_Stats!$G$14="",Norm_Stats!$G$14=Norm_Stats!$F$14),"",MAX(0,MIN(100,100*(MIN(MAX(City_Inputs!$Z12,Norm_Stats!$F$14),Norm_Stats!$G$14)-Norm_Stats!$F$14)/(Norm_Stats!$G$14-Norm_Stats!$F$14))))</f>
        <v/>
      </c>
      <c r="AJ12" s="14">
        <f>IF(AI12="","",1)</f>
        <v/>
      </c>
      <c r="AK12" s="11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(IF(OR(City_Inputs!$AA12="",Norm_Stats!$F$15="",Norm_Stats!$G$15="",Norm_Stats!$G$15=Norm_Stats!$F$15),"",MAX(0,MIN(100,100*(MIN(MAX(City_Inputs!$AA12,Norm_Stats!$F$15),Norm_Stats!$G$15)-Norm_Stats!$F$15)/(Norm_Stats!$G$15-Norm_Stats!$F$15)))))*0.7)+IF((IF(OR(City_Inputs!$AL12="",Norm_Stats!$F$16="",Norm_Stats!$G$16="",Norm_Stats!$G$16=Norm_Stats!$F$16),"",MAX(0,MIN(100,100*(Norm_Stats!$G$16-MIN(MAX(City_Inputs!$AL12,Norm_Stats!$F$16),Norm_Stats!$G$16))/(Norm_Stats!$G$16-Norm_Stats!$F$16)))))="",0,(IF(OR(City_Inputs!$AL12="",Norm_Stats!$F$16="",Norm_Stats!$G$16="",Norm_Stats!$G$16=Norm_Stats!$F$16),"",MAX(0,MIN(100,100*(Norm_Stats!$G$16-MIN(MAX(City_Inputs!$AL12,Norm_Stats!$F$16),Norm_Stats!$G$16))/(Norm_Stats!$G$16-Norm_Stats!$F$16)))))*0.3))/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L12" s="14">
        <f>IF(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=0,"",(IF((IF(OR(City_Inputs!$AA12="",Norm_Stats!$F$15="",Norm_Stats!$G$15="",Norm_Stats!$G$15=Norm_Stats!$F$15),"",MAX(0,MIN(100,100*(MIN(MAX(City_Inputs!$AA12,Norm_Stats!$F$15),Norm_Stats!$G$15)-Norm_Stats!$F$15)/(Norm_Stats!$G$15-Norm_Stats!$F$15)))))="",0,0.7)+IF((IF(OR(City_Inputs!$AL12="",Norm_Stats!$F$16="",Norm_Stats!$G$16="",Norm_Stats!$G$16=Norm_Stats!$F$16),"",MAX(0,MIN(100,100*(Norm_Stats!$G$16-MIN(MAX(City_Inputs!$AL12,Norm_Stats!$F$16),Norm_Stats!$G$16))/(Norm_Stats!$G$16-Norm_Stats!$F$16)))))="",0,0.3)))</f>
        <v/>
      </c>
      <c r="AM12" s="15">
        <f>IF((IF(AG12="",0,8)+IF(AI12="",0,6)+IF(AK12="",0,4))=0,"",(IF(AG12="",0,AG12*8)+IF(AI12="",0,AI12*6)+IF(AK12="",0,AK12*4))/(IF(AG12="",0,8)+IF(AI12="",0,6)+IF(AK12="",0,4)))</f>
        <v/>
      </c>
      <c r="AN12" s="14">
        <f>IF((IF(AH12="",0,8)+IF(AJ12="",0,6)+IF(AL12="",0,4))=0,"",(IF(AH12="",0,AH12*8)+IF(AJ12="",0,AJ12*6)+IF(AL12="",0,AL12*4))/18)</f>
        <v/>
      </c>
      <c r="AO12" s="11">
        <f>IF(OR(City_Inputs!$AB12="",Norm_Stats!$F$17="",Norm_Stats!$G$17="",Norm_Stats!$G$17=Norm_Stats!$F$17),"",MAX(0,MIN(100,100*(MIN(MAX(City_Inputs!$AB12,Norm_Stats!$F$17),Norm_Stats!$G$17)-Norm_Stats!$F$17)/(Norm_Stats!$G$17-Norm_Stats!$F$17))))</f>
        <v/>
      </c>
      <c r="AP12" s="14">
        <f>IF(AO12="","",1)</f>
        <v/>
      </c>
      <c r="AQ12" s="11">
        <f>IF(OR(City_Inputs!$AC12="",Norm_Stats!$F$18="",Norm_Stats!$G$18="",Norm_Stats!$G$18=Norm_Stats!$F$18),"",MAX(0,MIN(100,100*(MIN(MAX(City_Inputs!$AC12,Norm_Stats!$F$18),Norm_Stats!$G$18)-Norm_Stats!$F$18)/(Norm_Stats!$G$18-Norm_Stats!$F$18))))</f>
        <v/>
      </c>
      <c r="AR12" s="14">
        <f>IF(AQ12="","",1)</f>
        <v/>
      </c>
      <c r="AS12" s="11">
        <f>IF(OR(City_Inputs!$AD12="",Norm_Stats!$F$19="",Norm_Stats!$G$19="",Norm_Stats!$G$19=Norm_Stats!$F$19),"",MAX(0,MIN(100,100*(MIN(MAX(City_Inputs!$AD12,Norm_Stats!$F$19),Norm_Stats!$G$19)-Norm_Stats!$F$19)/(Norm_Stats!$G$19-Norm_Stats!$F$19))))</f>
        <v/>
      </c>
      <c r="AT12" s="14">
        <f>IF(AS12="","",1)</f>
        <v/>
      </c>
      <c r="AU12" s="11">
        <f>IF(OR(City_Inputs!$BJ12="",Norm_Stats!$F$26="",Norm_Stats!$G$26="",Norm_Stats!$G$26=Norm_Stats!$F$26),"",MAX(0,MIN(100,100*(MIN(MAX(City_Inputs!$BJ12,Norm_Stats!$F$26),Norm_Stats!$G$26)-Norm_Stats!$F$26)/(Norm_Stats!$G$26-Norm_Stats!$F$26))))</f>
        <v/>
      </c>
      <c r="AV12" s="11">
        <f>IF(AU12="","",1)</f>
        <v/>
      </c>
      <c r="AW12" s="15">
        <f>IF((IF(AO12="",0,5)+IF(AQ12="",0,5)+IF(AS12="",0,5)+IF(AU12="",0,4))=0,"",(IF(AO12="",0,AO12*5)+IF(AQ12="",0,AQ12*5)+IF(AS12="",0,AS12*5)+IF(AU12="",0,AU12*4))/(IF(AO12="",0,5)+IF(AQ12="",0,5)+IF(AS12="",0,5)+IF(AU12="",0,4)))</f>
        <v/>
      </c>
      <c r="AX12" s="14">
        <f>IF((IF(AP12="",0,5)+IF(AR12="",0,5)+IF(AT12="",0,5)+IF(AV12="",0,4))=0,"",(IF(AP12="",0,AP12*5)+IF(AR12="",0,AR12*5)+IF(AT12="",0,AT12*5)+IF(AV12="",0,AV12*4))/19)</f>
        <v/>
      </c>
      <c r="AY12" s="11">
        <f>IF(OR(City_Inputs!$AE12="",Norm_Stats!$F$20="",Norm_Stats!$G$20="",Norm_Stats!$G$20=Norm_Stats!$F$20),"",MAX(0,MIN(100,100*(MIN(MAX(City_Inputs!$AE12,Norm_Stats!$F$20),Norm_Stats!$G$20)-Norm_Stats!$F$20)/(Norm_Stats!$G$20-Norm_Stats!$F$20))))</f>
        <v/>
      </c>
      <c r="AZ12" s="14">
        <f>IF(AY12="","",1)</f>
        <v/>
      </c>
      <c r="BA12" s="11">
        <f>IF(OR(City_Inputs!$AF12="",Norm_Stats!$F$21="",Norm_Stats!$G$21="",Norm_Stats!$G$21=Norm_Stats!$F$21),"",MAX(0,MIN(100,100*(MIN(MAX(City_Inputs!$AF12,Norm_Stats!$F$21),Norm_Stats!$G$21)-Norm_Stats!$F$21)/(Norm_Stats!$G$21-Norm_Stats!$F$21))))</f>
        <v/>
      </c>
      <c r="BB12" s="14">
        <f>IF(BA12="","",1)</f>
        <v/>
      </c>
      <c r="BC12" s="11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(IF(OR(City_Inputs!$AG12="",Norm_Stats!$F$22="",Norm_Stats!$G$22="",Norm_Stats!$G$22=Norm_Stats!$F$22),"",MAX(0,MIN(100,100*(MIN(MAX(City_Inputs!$AG12,Norm_Stats!$F$22),Norm_Stats!$G$22)-Norm_Stats!$F$22)/(Norm_Stats!$G$22-Norm_Stats!$F$22)))))*0.5)+IF((IF(OR(City_Inputs!$AJ12="",Norm_Stats!$F$23="",Norm_Stats!$G$23="",Norm_Stats!$G$23=Norm_Stats!$F$23),"",MAX(0,MIN(100,100*(MIN(MAX(City_Inputs!$AJ12,Norm_Stats!$F$23),Norm_Stats!$G$23)-Norm_Stats!$F$23)/(Norm_Stats!$G$23-Norm_Stats!$F$23)))))="",0,(IF(OR(City_Inputs!$AJ12="",Norm_Stats!$F$23="",Norm_Stats!$G$23="",Norm_Stats!$G$23=Norm_Stats!$F$23),"",MAX(0,MIN(100,100*(MIN(MAX(City_Inputs!$AJ12,Norm_Stats!$F$23),Norm_Stats!$G$23)-Norm_Stats!$F$23)/(Norm_Stats!$G$23-Norm_Stats!$F$23)))))*0.3)+IF((IF(OR(City_Inputs!$AK12="",Norm_Stats!$F$24="",Norm_Stats!$G$24="",Norm_Stats!$G$24=Norm_Stats!$F$24),"",MAX(0,MIN(100,100*(MIN(MAX(City_Inputs!$AK12,Norm_Stats!$F$24),Norm_Stats!$G$24)-Norm_Stats!$F$24)/(Norm_Stats!$G$24-Norm_Stats!$F$24)))))="",0,(IF(OR(City_Inputs!$AK12="",Norm_Stats!$F$24="",Norm_Stats!$G$24="",Norm_Stats!$G$24=Norm_Stats!$F$24),"",MAX(0,MIN(100,100*(MIN(MAX(City_Inputs!$AK12,Norm_Stats!$F$24),Norm_Stats!$G$24)-Norm_Stats!$F$24)/(Norm_Stats!$G$24-Norm_Stats!$F$24)))))*0.2))/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D12" s="14">
        <f>IF(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=0,"",(IF((IF(OR(City_Inputs!$AG12="",Norm_Stats!$F$22="",Norm_Stats!$G$22="",Norm_Stats!$G$22=Norm_Stats!$F$22),"",MAX(0,MIN(100,100*(MIN(MAX(City_Inputs!$AG12,Norm_Stats!$F$22),Norm_Stats!$G$22)-Norm_Stats!$F$22)/(Norm_Stats!$G$22-Norm_Stats!$F$22)))))="",0,0.5)+IF((IF(OR(City_Inputs!$AJ12="",Norm_Stats!$F$23="",Norm_Stats!$G$23="",Norm_Stats!$G$23=Norm_Stats!$F$23),"",MAX(0,MIN(100,100*(MIN(MAX(City_Inputs!$AJ12,Norm_Stats!$F$23),Norm_Stats!$G$23)-Norm_Stats!$F$23)/(Norm_Stats!$G$23-Norm_Stats!$F$23)))))="",0,0.3)+IF((IF(OR(City_Inputs!$AK12="",Norm_Stats!$F$24="",Norm_Stats!$G$24="",Norm_Stats!$G$24=Norm_Stats!$F$24),"",MAX(0,MIN(100,100*(MIN(MAX(City_Inputs!$AK12,Norm_Stats!$F$24),Norm_Stats!$G$24)-Norm_Stats!$F$24)/(Norm_Stats!$G$24-Norm_Stats!$F$24)))))="",0,0.2)))</f>
        <v/>
      </c>
      <c r="BE12" s="11">
        <f>IF(OR(City_Inputs!$AH12="",Norm_Stats!$F$25="",Norm_Stats!$G$25="",Norm_Stats!$G$25=Norm_Stats!$F$25),"",MAX(0,MIN(100,100*(Norm_Stats!$G$25-MIN(MAX(City_Inputs!$AH12,Norm_Stats!$F$25),Norm_Stats!$G$25))/(Norm_Stats!$G$25-Norm_Stats!$F$25))))</f>
        <v/>
      </c>
      <c r="BF12" s="14">
        <f>IF(BE12="","",1)</f>
        <v/>
      </c>
      <c r="BG12" s="15">
        <f>IF((IF(AY12="",0,6)+IF(BA12="",0,5)+IF(BC12="",0,5)+IF(BE12="",0,4))=0,"",(IF(AY12="",0,AY12*6)+IF(BA12="",0,BA12*5)+IF(BC12="",0,BC12*5)+IF(BE12="",0,BE12*4))/(IF(AY12="",0,6)+IF(BA12="",0,5)+IF(BC12="",0,5)+IF(BE12="",0,4)))</f>
        <v/>
      </c>
      <c r="BH12" s="14">
        <f>IF((IF(AZ12="",0,6)+IF(BB12="",0,5)+IF(BD12="",0,5)+IF(BF12="",0,4))=0,"",(IF(AZ12="",0,AZ12*6)+IF(BB12="",0,BB12*5)+IF(BD12="",0,BD12*5)+IF(BF12="",0,BF12*4))/20)</f>
        <v/>
      </c>
      <c r="BI12" s="14">
        <f>IF(AND(R12="",AF12="",AN12="",AX12="",BH12=""),"",((R12*25)+(AF12*22)+(AN12*18)+(AX12*15)+(BH12*20))/100)</f>
        <v/>
      </c>
      <c r="BJ12" s="11">
        <f>IF(BI12="","",IF(BI12&gt;=0.75,"A",IF(BI12&gt;=0.5,"B",IF(BI12&gt;=0.35,"C","Watchlist"))))</f>
        <v/>
      </c>
      <c r="BK12" s="11">
        <f>IF(OR(BI12="",BI12&lt;0.5,R12="",R12&lt;0.35,AF12="",AF12&lt;0.35,AN12="",AN12&lt;0.35,AX12="",AX12&lt;0.35,BH12="",BH12&lt;0.35),"Watchlist","Ranked")</f>
        <v/>
      </c>
      <c r="BL12" s="15">
        <f>IF(AND(Q12="",AE12="",AM12="",AW12="",BG12=""),"",(IF(Q12="",0,Q12*25)+IF(AE12="",0,AE12*22)+IF(AM12="",0,AM12*18)+IF(AW12="",0,AW12*15)+IF(BG12="",0,BG12*20))/(IF(Q12="",0,25)+IF(AE12="",0,22)+IF(AM12="",0,18)+IF(AW12="",0,15)+IF(BG12="",0,20)))</f>
        <v/>
      </c>
      <c r="BM12" s="11">
        <f>IF(BK12="Ranked",1+COUNTIFS($BK$2:$BK$158,"Ranked",$BL$2:$BL$158,"&gt;"&amp;BL12),"")</f>
        <v/>
      </c>
      <c r="BN12" s="11">
        <f>City_Inputs!$AI12</f>
        <v/>
      </c>
    </row>
    <row r="13">
      <c r="A13" t="inlineStr">
        <is>
          <t>th-hat-yai</t>
        </is>
      </c>
      <c r="B13" t="inlineStr">
        <is>
          <t>Hat Yai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provisional</t>
        </is>
      </c>
      <c r="F13" t="inlineStr">
        <is>
          <t>secondary</t>
        </is>
      </c>
      <c r="G13" s="11">
        <f>IF(OR(City_Inputs!$M13="",Norm_Stats!$F$2="",Norm_Stats!$G$2="",Norm_Stats!$G$2=Norm_Stats!$F$2),"",MAX(0,MIN(100,100*(MIN(MAX(City_Inputs!$M13,Norm_Stats!$F$2),Norm_Stats!$G$2)-Norm_Stats!$F$2)/(Norm_Stats!$G$2-Norm_Stats!$F$2))))</f>
        <v/>
      </c>
      <c r="H13" s="14">
        <f>IF(G13="","",1)</f>
        <v/>
      </c>
      <c r="I13" s="11">
        <f>IF(OR(City_Inputs!$N13="",Norm_Stats!$F$3="",Norm_Stats!$G$3="",Norm_Stats!$G$3=Norm_Stats!$F$3),"",MAX(0,MIN(100,100*(Norm_Stats!$G$3-MIN(MAX(City_Inputs!$N13,Norm_Stats!$F$3),Norm_Stats!$G$3))/(Norm_Stats!$G$3-Norm_Stats!$F$3))))</f>
        <v/>
      </c>
      <c r="J13" s="14">
        <f>IF(I13="","",1)</f>
        <v/>
      </c>
      <c r="K13" s="11">
        <f>IF(OR(City_Inputs!$P13="",Norm_Stats!$F$4="",Norm_Stats!$G$4="",Norm_Stats!$G$4=Norm_Stats!$F$4),"",MAX(0,MIN(100,100*(Norm_Stats!$G$4-MIN(MAX(City_Inputs!$P13,Norm_Stats!$F$4),Norm_Stats!$G$4))/(Norm_Stats!$G$4-Norm_Stats!$F$4))))</f>
        <v/>
      </c>
      <c r="L13" s="14">
        <f>IF(K13="","",1)</f>
        <v/>
      </c>
      <c r="M13" s="11">
        <f>IF(OR(City_Inputs!$Q13="",Norm_Stats!$F$5="",Norm_Stats!$G$5="",Norm_Stats!$G$5=Norm_Stats!$F$5),"",MAX(0,MIN(100,100*(Norm_Stats!$G$5-MIN(MAX(City_Inputs!$Q13,Norm_Stats!$F$5),Norm_Stats!$G$5))/(Norm_Stats!$G$5-Norm_Stats!$F$5))))</f>
        <v/>
      </c>
      <c r="N13" s="14">
        <f>IF(M13="","",1)</f>
        <v/>
      </c>
      <c r="O13" s="11">
        <f>IF(OR(City_Inputs!$R13="",Norm_Stats!$F$6="",Norm_Stats!$G$6="",Norm_Stats!$G$6=Norm_Stats!$F$6),"",MAX(0,MIN(100,100*(Norm_Stats!$G$6-MIN(MAX(City_Inputs!$R13,Norm_Stats!$F$6),Norm_Stats!$G$6))/(Norm_Stats!$G$6-Norm_Stats!$F$6))))</f>
        <v/>
      </c>
      <c r="P13" s="14">
        <f>IF(O13="","",1)</f>
        <v/>
      </c>
      <c r="Q13" s="15">
        <f>IF((IF(G13="",0,9)+IF(I13="",0,5)+IF(K13="",0,4)+IF(M13="",0,4)+IF(O13="",0,5))=0,"",(IF(G13="",0,G13*9)+IF(I13="",0,I13*5)+IF(K13="",0,K13*4)+IF(M13="",0,M13*4)+IF(O13="",0,O13*5))/(IF(G13="",0,9)+IF(I13="",0,5)+IF(K13="",0,4)+IF(M13="",0,4)+IF(O13="",0,5)))</f>
        <v/>
      </c>
      <c r="R13" s="14">
        <f>IF((IF(H13="",0,9)+IF(J13="",0,5)+IF(L13="",0,4)+IF(N13="",0,4)+IF(P13="",0,5))=0,"",(IF(H13="",0,H13*9)+IF(J13="",0,J13*5)+IF(L13="",0,L13*4)+IF(N13="",0,N13*4)+IF(P13="",0,P13*5))/27)</f>
        <v/>
      </c>
      <c r="S13" s="11">
        <f>IF(OR(City_Inputs!$S13="",Norm_Stats!$F$7="",Norm_Stats!$G$7="",Norm_Stats!$G$7=Norm_Stats!$F$7),"",MAX(0,MIN(100,100*(Norm_Stats!$G$7-MIN(MAX(City_Inputs!$S13,Norm_Stats!$F$7),Norm_Stats!$G$7))/(Norm_Stats!$G$7-Norm_Stats!$F$7))))</f>
        <v/>
      </c>
      <c r="T13" s="14">
        <f>IF(S13="","",1)</f>
        <v/>
      </c>
      <c r="U13" s="11">
        <f>IF(OR(City_Inputs!$T13="",Norm_Stats!$F$8="",Norm_Stats!$G$8="",Norm_Stats!$G$8=Norm_Stats!$F$8),"",MAX(0,MIN(100,100*(MIN(MAX(City_Inputs!$T13,Norm_Stats!$F$8),Norm_Stats!$G$8)-Norm_Stats!$F$8)/(Norm_Stats!$G$8-Norm_Stats!$F$8))))</f>
        <v/>
      </c>
      <c r="V13" s="14">
        <f>IF(U13="","",1)</f>
        <v/>
      </c>
      <c r="W13" s="11">
        <f>IF(OR(City_Inputs!$U13="",Norm_Stats!$F$9="",Norm_Stats!$G$9="",Norm_Stats!$G$9=Norm_Stats!$F$9),"",MAX(0,MIN(100,100*(Norm_Stats!$G$9-MIN(MAX(City_Inputs!$U13,Norm_Stats!$F$9),Norm_Stats!$G$9))/(Norm_Stats!$G$9-Norm_Stats!$F$9))))</f>
        <v/>
      </c>
      <c r="X13" s="14">
        <f>IF(W13="","",1)</f>
        <v/>
      </c>
      <c r="Y13" s="11">
        <f>IF(OR(City_Inputs!$V13="",Norm_Stats!$F$10="",Norm_Stats!$G$10="",Norm_Stats!$G$10=Norm_Stats!$F$10),"",MAX(0,MIN(100,100*(MIN(MAX(City_Inputs!$V13,Norm_Stats!$F$10),Norm_Stats!$G$10)-Norm_Stats!$F$10)/(Norm_Stats!$G$10-Norm_Stats!$F$10))))</f>
        <v/>
      </c>
      <c r="Z13" s="14">
        <f>IF(Y13="","",1)</f>
        <v/>
      </c>
      <c r="AA13" s="11">
        <f>IF(OR(City_Inputs!$W13="",Norm_Stats!$F$11="",Norm_Stats!$G$11="",Norm_Stats!$G$11=Norm_Stats!$F$11),"",MAX(0,MIN(100,100*(MIN(MAX(City_Inputs!$W13,Norm_Stats!$F$11),Norm_Stats!$G$11)-Norm_Stats!$F$11)/(Norm_Stats!$G$11-Norm_Stats!$F$11))))</f>
        <v/>
      </c>
      <c r="AB13" s="14">
        <f>IF(AA13="","",1)</f>
        <v/>
      </c>
      <c r="AC13" s="11">
        <f>IF(OR(City_Inputs!$X13="",Norm_Stats!$F$12="",Norm_Stats!$G$12="",Norm_Stats!$G$12=Norm_Stats!$F$12),"",MAX(0,MIN(100,100*(MIN(MAX(City_Inputs!$X13,Norm_Stats!$F$12),Norm_Stats!$G$12)-Norm_Stats!$F$12)/(Norm_Stats!$G$12-Norm_Stats!$F$12))))</f>
        <v/>
      </c>
      <c r="AD13" s="11">
        <f>IF(AC13="","",1)</f>
        <v/>
      </c>
      <c r="AE13" s="15">
        <f>IF((IF(S13="",0,5)+IF(U13="",0,5)+IF(W13="",0,4)+IF(Y13="",0,4)+IF(AA13="",0,4)+IF(AC13="",0,5))=0,"",(IF(S13="",0,S13*5)+IF(U13="",0,U13*5)+IF(W13="",0,W13*4)+IF(Y13="",0,Y13*4)+IF(AA13="",0,AA13*4)+IF(AC13="",0,AC13*5))/(IF(S13="",0,5)+IF(U13="",0,5)+IF(W13="",0,4)+IF(Y13="",0,4)+IF(AA13="",0,4)+IF(AC13="",0,5)))</f>
        <v/>
      </c>
      <c r="AF13" s="14">
        <f>IF((IF(T13="",0,5)+IF(V13="",0,5)+IF(X13="",0,4)+IF(Z13="",0,4)+IF(AB13="",0,4)+IF(AD13="",0,5))=0,"",(IF(T13="",0,T13*5)+IF(V13="",0,V13*5)+IF(X13="",0,X13*4)+IF(Z13="",0,Z13*4)+IF(AB13="",0,AB13*4)+IF(AD13="",0,AD13*5))/27)</f>
        <v/>
      </c>
      <c r="AG13" s="11">
        <f>IF(OR(City_Inputs!$Y13="",Norm_Stats!$F$13="",Norm_Stats!$G$13="",Norm_Stats!$G$13=Norm_Stats!$F$13),"",MAX(0,MIN(100,100*(MIN(MAX(City_Inputs!$Y13,Norm_Stats!$F$13),Norm_Stats!$G$13)-Norm_Stats!$F$13)/(Norm_Stats!$G$13-Norm_Stats!$F$13))))</f>
        <v/>
      </c>
      <c r="AH13" s="14">
        <f>IF(AG13="","",1)</f>
        <v/>
      </c>
      <c r="AI13" s="11">
        <f>IF(OR(City_Inputs!$Z13="",Norm_Stats!$F$14="",Norm_Stats!$G$14="",Norm_Stats!$G$14=Norm_Stats!$F$14),"",MAX(0,MIN(100,100*(MIN(MAX(City_Inputs!$Z13,Norm_Stats!$F$14),Norm_Stats!$G$14)-Norm_Stats!$F$14)/(Norm_Stats!$G$14-Norm_Stats!$F$14))))</f>
        <v/>
      </c>
      <c r="AJ13" s="14">
        <f>IF(AI13="","",1)</f>
        <v/>
      </c>
      <c r="AK13" s="11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(IF(OR(City_Inputs!$AA13="",Norm_Stats!$F$15="",Norm_Stats!$G$15="",Norm_Stats!$G$15=Norm_Stats!$F$15),"",MAX(0,MIN(100,100*(MIN(MAX(City_Inputs!$AA13,Norm_Stats!$F$15),Norm_Stats!$G$15)-Norm_Stats!$F$15)/(Norm_Stats!$G$15-Norm_Stats!$F$15)))))*0.7)+IF((IF(OR(City_Inputs!$AL13="",Norm_Stats!$F$16="",Norm_Stats!$G$16="",Norm_Stats!$G$16=Norm_Stats!$F$16),"",MAX(0,MIN(100,100*(Norm_Stats!$G$16-MIN(MAX(City_Inputs!$AL13,Norm_Stats!$F$16),Norm_Stats!$G$16))/(Norm_Stats!$G$16-Norm_Stats!$F$16)))))="",0,(IF(OR(City_Inputs!$AL13="",Norm_Stats!$F$16="",Norm_Stats!$G$16="",Norm_Stats!$G$16=Norm_Stats!$F$16),"",MAX(0,MIN(100,100*(Norm_Stats!$G$16-MIN(MAX(City_Inputs!$AL13,Norm_Stats!$F$16),Norm_Stats!$G$16))/(Norm_Stats!$G$16-Norm_Stats!$F$16)))))*0.3))/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L13" s="14">
        <f>IF(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=0,"",(IF((IF(OR(City_Inputs!$AA13="",Norm_Stats!$F$15="",Norm_Stats!$G$15="",Norm_Stats!$G$15=Norm_Stats!$F$15),"",MAX(0,MIN(100,100*(MIN(MAX(City_Inputs!$AA13,Norm_Stats!$F$15),Norm_Stats!$G$15)-Norm_Stats!$F$15)/(Norm_Stats!$G$15-Norm_Stats!$F$15)))))="",0,0.7)+IF((IF(OR(City_Inputs!$AL13="",Norm_Stats!$F$16="",Norm_Stats!$G$16="",Norm_Stats!$G$16=Norm_Stats!$F$16),"",MAX(0,MIN(100,100*(Norm_Stats!$G$16-MIN(MAX(City_Inputs!$AL13,Norm_Stats!$F$16),Norm_Stats!$G$16))/(Norm_Stats!$G$16-Norm_Stats!$F$16)))))="",0,0.3)))</f>
        <v/>
      </c>
      <c r="AM13" s="15">
        <f>IF((IF(AG13="",0,8)+IF(AI13="",0,6)+IF(AK13="",0,4))=0,"",(IF(AG13="",0,AG13*8)+IF(AI13="",0,AI13*6)+IF(AK13="",0,AK13*4))/(IF(AG13="",0,8)+IF(AI13="",0,6)+IF(AK13="",0,4)))</f>
        <v/>
      </c>
      <c r="AN13" s="14">
        <f>IF((IF(AH13="",0,8)+IF(AJ13="",0,6)+IF(AL13="",0,4))=0,"",(IF(AH13="",0,AH13*8)+IF(AJ13="",0,AJ13*6)+IF(AL13="",0,AL13*4))/18)</f>
        <v/>
      </c>
      <c r="AO13" s="11">
        <f>IF(OR(City_Inputs!$AB13="",Norm_Stats!$F$17="",Norm_Stats!$G$17="",Norm_Stats!$G$17=Norm_Stats!$F$17),"",MAX(0,MIN(100,100*(MIN(MAX(City_Inputs!$AB13,Norm_Stats!$F$17),Norm_Stats!$G$17)-Norm_Stats!$F$17)/(Norm_Stats!$G$17-Norm_Stats!$F$17))))</f>
        <v/>
      </c>
      <c r="AP13" s="14">
        <f>IF(AO13="","",1)</f>
        <v/>
      </c>
      <c r="AQ13" s="11">
        <f>IF(OR(City_Inputs!$AC13="",Norm_Stats!$F$18="",Norm_Stats!$G$18="",Norm_Stats!$G$18=Norm_Stats!$F$18),"",MAX(0,MIN(100,100*(MIN(MAX(City_Inputs!$AC13,Norm_Stats!$F$18),Norm_Stats!$G$18)-Norm_Stats!$F$18)/(Norm_Stats!$G$18-Norm_Stats!$F$18))))</f>
        <v/>
      </c>
      <c r="AR13" s="14">
        <f>IF(AQ13="","",1)</f>
        <v/>
      </c>
      <c r="AS13" s="11">
        <f>IF(OR(City_Inputs!$AD13="",Norm_Stats!$F$19="",Norm_Stats!$G$19="",Norm_Stats!$G$19=Norm_Stats!$F$19),"",MAX(0,MIN(100,100*(MIN(MAX(City_Inputs!$AD13,Norm_Stats!$F$19),Norm_Stats!$G$19)-Norm_Stats!$F$19)/(Norm_Stats!$G$19-Norm_Stats!$F$19))))</f>
        <v/>
      </c>
      <c r="AT13" s="14">
        <f>IF(AS13="","",1)</f>
        <v/>
      </c>
      <c r="AU13" s="11">
        <f>IF(OR(City_Inputs!$BJ13="",Norm_Stats!$F$26="",Norm_Stats!$G$26="",Norm_Stats!$G$26=Norm_Stats!$F$26),"",MAX(0,MIN(100,100*(MIN(MAX(City_Inputs!$BJ13,Norm_Stats!$F$26),Norm_Stats!$G$26)-Norm_Stats!$F$26)/(Norm_Stats!$G$26-Norm_Stats!$F$26))))</f>
        <v/>
      </c>
      <c r="AV13" s="11">
        <f>IF(AU13="","",1)</f>
        <v/>
      </c>
      <c r="AW13" s="15">
        <f>IF((IF(AO13="",0,5)+IF(AQ13="",0,5)+IF(AS13="",0,5)+IF(AU13="",0,4))=0,"",(IF(AO13="",0,AO13*5)+IF(AQ13="",0,AQ13*5)+IF(AS13="",0,AS13*5)+IF(AU13="",0,AU13*4))/(IF(AO13="",0,5)+IF(AQ13="",0,5)+IF(AS13="",0,5)+IF(AU13="",0,4)))</f>
        <v/>
      </c>
      <c r="AX13" s="14">
        <f>IF((IF(AP13="",0,5)+IF(AR13="",0,5)+IF(AT13="",0,5)+IF(AV13="",0,4))=0,"",(IF(AP13="",0,AP13*5)+IF(AR13="",0,AR13*5)+IF(AT13="",0,AT13*5)+IF(AV13="",0,AV13*4))/19)</f>
        <v/>
      </c>
      <c r="AY13" s="11">
        <f>IF(OR(City_Inputs!$AE13="",Norm_Stats!$F$20="",Norm_Stats!$G$20="",Norm_Stats!$G$20=Norm_Stats!$F$20),"",MAX(0,MIN(100,100*(MIN(MAX(City_Inputs!$AE13,Norm_Stats!$F$20),Norm_Stats!$G$20)-Norm_Stats!$F$20)/(Norm_Stats!$G$20-Norm_Stats!$F$20))))</f>
        <v/>
      </c>
      <c r="AZ13" s="14">
        <f>IF(AY13="","",1)</f>
        <v/>
      </c>
      <c r="BA13" s="11">
        <f>IF(OR(City_Inputs!$AF13="",Norm_Stats!$F$21="",Norm_Stats!$G$21="",Norm_Stats!$G$21=Norm_Stats!$F$21),"",MAX(0,MIN(100,100*(MIN(MAX(City_Inputs!$AF13,Norm_Stats!$F$21),Norm_Stats!$G$21)-Norm_Stats!$F$21)/(Norm_Stats!$G$21-Norm_Stats!$F$21))))</f>
        <v/>
      </c>
      <c r="BB13" s="14">
        <f>IF(BA13="","",1)</f>
        <v/>
      </c>
      <c r="BC13" s="11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(IF(OR(City_Inputs!$AG13="",Norm_Stats!$F$22="",Norm_Stats!$G$22="",Norm_Stats!$G$22=Norm_Stats!$F$22),"",MAX(0,MIN(100,100*(MIN(MAX(City_Inputs!$AG13,Norm_Stats!$F$22),Norm_Stats!$G$22)-Norm_Stats!$F$22)/(Norm_Stats!$G$22-Norm_Stats!$F$22)))))*0.5)+IF((IF(OR(City_Inputs!$AJ13="",Norm_Stats!$F$23="",Norm_Stats!$G$23="",Norm_Stats!$G$23=Norm_Stats!$F$23),"",MAX(0,MIN(100,100*(MIN(MAX(City_Inputs!$AJ13,Norm_Stats!$F$23),Norm_Stats!$G$23)-Norm_Stats!$F$23)/(Norm_Stats!$G$23-Norm_Stats!$F$23)))))="",0,(IF(OR(City_Inputs!$AJ13="",Norm_Stats!$F$23="",Norm_Stats!$G$23="",Norm_Stats!$G$23=Norm_Stats!$F$23),"",MAX(0,MIN(100,100*(MIN(MAX(City_Inputs!$AJ13,Norm_Stats!$F$23),Norm_Stats!$G$23)-Norm_Stats!$F$23)/(Norm_Stats!$G$23-Norm_Stats!$F$23)))))*0.3)+IF((IF(OR(City_Inputs!$AK13="",Norm_Stats!$F$24="",Norm_Stats!$G$24="",Norm_Stats!$G$24=Norm_Stats!$F$24),"",MAX(0,MIN(100,100*(MIN(MAX(City_Inputs!$AK13,Norm_Stats!$F$24),Norm_Stats!$G$24)-Norm_Stats!$F$24)/(Norm_Stats!$G$24-Norm_Stats!$F$24)))))="",0,(IF(OR(City_Inputs!$AK13="",Norm_Stats!$F$24="",Norm_Stats!$G$24="",Norm_Stats!$G$24=Norm_Stats!$F$24),"",MAX(0,MIN(100,100*(MIN(MAX(City_Inputs!$AK13,Norm_Stats!$F$24),Norm_Stats!$G$24)-Norm_Stats!$F$24)/(Norm_Stats!$G$24-Norm_Stats!$F$24)))))*0.2))/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D13" s="14">
        <f>IF(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=0,"",(IF((IF(OR(City_Inputs!$AG13="",Norm_Stats!$F$22="",Norm_Stats!$G$22="",Norm_Stats!$G$22=Norm_Stats!$F$22),"",MAX(0,MIN(100,100*(MIN(MAX(City_Inputs!$AG13,Norm_Stats!$F$22),Norm_Stats!$G$22)-Norm_Stats!$F$22)/(Norm_Stats!$G$22-Norm_Stats!$F$22)))))="",0,0.5)+IF((IF(OR(City_Inputs!$AJ13="",Norm_Stats!$F$23="",Norm_Stats!$G$23="",Norm_Stats!$G$23=Norm_Stats!$F$23),"",MAX(0,MIN(100,100*(MIN(MAX(City_Inputs!$AJ13,Norm_Stats!$F$23),Norm_Stats!$G$23)-Norm_Stats!$F$23)/(Norm_Stats!$G$23-Norm_Stats!$F$23)))))="",0,0.3)+IF((IF(OR(City_Inputs!$AK13="",Norm_Stats!$F$24="",Norm_Stats!$G$24="",Norm_Stats!$G$24=Norm_Stats!$F$24),"",MAX(0,MIN(100,100*(MIN(MAX(City_Inputs!$AK13,Norm_Stats!$F$24),Norm_Stats!$G$24)-Norm_Stats!$F$24)/(Norm_Stats!$G$24-Norm_Stats!$F$24)))))="",0,0.2)))</f>
        <v/>
      </c>
      <c r="BE13" s="11">
        <f>IF(OR(City_Inputs!$AH13="",Norm_Stats!$F$25="",Norm_Stats!$G$25="",Norm_Stats!$G$25=Norm_Stats!$F$25),"",MAX(0,MIN(100,100*(Norm_Stats!$G$25-MIN(MAX(City_Inputs!$AH13,Norm_Stats!$F$25),Norm_Stats!$G$25))/(Norm_Stats!$G$25-Norm_Stats!$F$25))))</f>
        <v/>
      </c>
      <c r="BF13" s="14">
        <f>IF(BE13="","",1)</f>
        <v/>
      </c>
      <c r="BG13" s="15">
        <f>IF((IF(AY13="",0,6)+IF(BA13="",0,5)+IF(BC13="",0,5)+IF(BE13="",0,4))=0,"",(IF(AY13="",0,AY13*6)+IF(BA13="",0,BA13*5)+IF(BC13="",0,BC13*5)+IF(BE13="",0,BE13*4))/(IF(AY13="",0,6)+IF(BA13="",0,5)+IF(BC13="",0,5)+IF(BE13="",0,4)))</f>
        <v/>
      </c>
      <c r="BH13" s="14">
        <f>IF((IF(AZ13="",0,6)+IF(BB13="",0,5)+IF(BD13="",0,5)+IF(BF13="",0,4))=0,"",(IF(AZ13="",0,AZ13*6)+IF(BB13="",0,BB13*5)+IF(BD13="",0,BD13*5)+IF(BF13="",0,BF13*4))/20)</f>
        <v/>
      </c>
      <c r="BI13" s="14">
        <f>IF(AND(R13="",AF13="",AN13="",AX13="",BH13=""),"",((R13*25)+(AF13*22)+(AN13*18)+(AX13*15)+(BH13*20))/100)</f>
        <v/>
      </c>
      <c r="BJ13" s="11">
        <f>IF(BI13="","",IF(BI13&gt;=0.75,"A",IF(BI13&gt;=0.5,"B",IF(BI13&gt;=0.35,"C","Watchlist"))))</f>
        <v/>
      </c>
      <c r="BK13" s="11">
        <f>IF(OR(BI13="",BI13&lt;0.5,R13="",R13&lt;0.35,AF13="",AF13&lt;0.35,AN13="",AN13&lt;0.35,AX13="",AX13&lt;0.35,BH13="",BH13&lt;0.35),"Watchlist","Ranked")</f>
        <v/>
      </c>
      <c r="BL13" s="15">
        <f>IF(AND(Q13="",AE13="",AM13="",AW13="",BG13=""),"",(IF(Q13="",0,Q13*25)+IF(AE13="",0,AE13*22)+IF(AM13="",0,AM13*18)+IF(AW13="",0,AW13*15)+IF(BG13="",0,BG13*20))/(IF(Q13="",0,25)+IF(AE13="",0,22)+IF(AM13="",0,18)+IF(AW13="",0,15)+IF(BG13="",0,20)))</f>
        <v/>
      </c>
      <c r="BM13" s="11">
        <f>IF(BK13="Ranked",1+COUNTIFS($BK$2:$BK$158,"Ranked",$BL$2:$BL$158,"&gt;"&amp;BL13),"")</f>
        <v/>
      </c>
      <c r="BN13" s="11">
        <f>City_Inputs!$AI13</f>
        <v/>
      </c>
    </row>
    <row r="14">
      <c r="A14" t="inlineStr">
        <is>
          <t>tw-taipei</t>
        </is>
      </c>
      <c r="B14" t="inlineStr">
        <is>
          <t>Taipei</t>
        </is>
      </c>
      <c r="C14" t="inlineStr">
        <is>
          <t>Taiwan</t>
        </is>
      </c>
      <c r="D14" t="inlineStr">
        <is>
          <t>East Asia</t>
        </is>
      </c>
      <c r="E14" t="inlineStr">
        <is>
          <t>locked</t>
        </is>
      </c>
      <c r="F14" t="inlineStr">
        <is>
          <t>primary</t>
        </is>
      </c>
      <c r="G14" s="11">
        <f>IF(OR(City_Inputs!$M14="",Norm_Stats!$F$2="",Norm_Stats!$G$2="",Norm_Stats!$G$2=Norm_Stats!$F$2),"",MAX(0,MIN(100,100*(MIN(MAX(City_Inputs!$M14,Norm_Stats!$F$2),Norm_Stats!$G$2)-Norm_Stats!$F$2)/(Norm_Stats!$G$2-Norm_Stats!$F$2))))</f>
        <v/>
      </c>
      <c r="H14" s="14">
        <f>IF(G14="","",1)</f>
        <v/>
      </c>
      <c r="I14" s="11">
        <f>IF(OR(City_Inputs!$N14="",Norm_Stats!$F$3="",Norm_Stats!$G$3="",Norm_Stats!$G$3=Norm_Stats!$F$3),"",MAX(0,MIN(100,100*(Norm_Stats!$G$3-MIN(MAX(City_Inputs!$N14,Norm_Stats!$F$3),Norm_Stats!$G$3))/(Norm_Stats!$G$3-Norm_Stats!$F$3))))</f>
        <v/>
      </c>
      <c r="J14" s="14">
        <f>IF(I14="","",1)</f>
        <v/>
      </c>
      <c r="K14" s="11">
        <f>IF(OR(City_Inputs!$P14="",Norm_Stats!$F$4="",Norm_Stats!$G$4="",Norm_Stats!$G$4=Norm_Stats!$F$4),"",MAX(0,MIN(100,100*(Norm_Stats!$G$4-MIN(MAX(City_Inputs!$P14,Norm_Stats!$F$4),Norm_Stats!$G$4))/(Norm_Stats!$G$4-Norm_Stats!$F$4))))</f>
        <v/>
      </c>
      <c r="L14" s="14">
        <f>IF(K14="","",1)</f>
        <v/>
      </c>
      <c r="M14" s="11">
        <f>IF(OR(City_Inputs!$Q14="",Norm_Stats!$F$5="",Norm_Stats!$G$5="",Norm_Stats!$G$5=Norm_Stats!$F$5),"",MAX(0,MIN(100,100*(Norm_Stats!$G$5-MIN(MAX(City_Inputs!$Q14,Norm_Stats!$F$5),Norm_Stats!$G$5))/(Norm_Stats!$G$5-Norm_Stats!$F$5))))</f>
        <v/>
      </c>
      <c r="N14" s="14">
        <f>IF(M14="","",1)</f>
        <v/>
      </c>
      <c r="O14" s="11">
        <f>IF(OR(City_Inputs!$R14="",Norm_Stats!$F$6="",Norm_Stats!$G$6="",Norm_Stats!$G$6=Norm_Stats!$F$6),"",MAX(0,MIN(100,100*(Norm_Stats!$G$6-MIN(MAX(City_Inputs!$R14,Norm_Stats!$F$6),Norm_Stats!$G$6))/(Norm_Stats!$G$6-Norm_Stats!$F$6))))</f>
        <v/>
      </c>
      <c r="P14" s="14">
        <f>IF(O14="","",1)</f>
        <v/>
      </c>
      <c r="Q14" s="15">
        <f>IF((IF(G14="",0,9)+IF(I14="",0,5)+IF(K14="",0,4)+IF(M14="",0,4)+IF(O14="",0,5))=0,"",(IF(G14="",0,G14*9)+IF(I14="",0,I14*5)+IF(K14="",0,K14*4)+IF(M14="",0,M14*4)+IF(O14="",0,O14*5))/(IF(G14="",0,9)+IF(I14="",0,5)+IF(K14="",0,4)+IF(M14="",0,4)+IF(O14="",0,5)))</f>
        <v/>
      </c>
      <c r="R14" s="14">
        <f>IF((IF(H14="",0,9)+IF(J14="",0,5)+IF(L14="",0,4)+IF(N14="",0,4)+IF(P14="",0,5))=0,"",(IF(H14="",0,H14*9)+IF(J14="",0,J14*5)+IF(L14="",0,L14*4)+IF(N14="",0,N14*4)+IF(P14="",0,P14*5))/27)</f>
        <v/>
      </c>
      <c r="S14" s="11">
        <f>IF(OR(City_Inputs!$S14="",Norm_Stats!$F$7="",Norm_Stats!$G$7="",Norm_Stats!$G$7=Norm_Stats!$F$7),"",MAX(0,MIN(100,100*(Norm_Stats!$G$7-MIN(MAX(City_Inputs!$S14,Norm_Stats!$F$7),Norm_Stats!$G$7))/(Norm_Stats!$G$7-Norm_Stats!$F$7))))</f>
        <v/>
      </c>
      <c r="T14" s="14">
        <f>IF(S14="","",1)</f>
        <v/>
      </c>
      <c r="U14" s="11">
        <f>IF(OR(City_Inputs!$T14="",Norm_Stats!$F$8="",Norm_Stats!$G$8="",Norm_Stats!$G$8=Norm_Stats!$F$8),"",MAX(0,MIN(100,100*(MIN(MAX(City_Inputs!$T14,Norm_Stats!$F$8),Norm_Stats!$G$8)-Norm_Stats!$F$8)/(Norm_Stats!$G$8-Norm_Stats!$F$8))))</f>
        <v/>
      </c>
      <c r="V14" s="14">
        <f>IF(U14="","",1)</f>
        <v/>
      </c>
      <c r="W14" s="11">
        <f>IF(OR(City_Inputs!$U14="",Norm_Stats!$F$9="",Norm_Stats!$G$9="",Norm_Stats!$G$9=Norm_Stats!$F$9),"",MAX(0,MIN(100,100*(Norm_Stats!$G$9-MIN(MAX(City_Inputs!$U14,Norm_Stats!$F$9),Norm_Stats!$G$9))/(Norm_Stats!$G$9-Norm_Stats!$F$9))))</f>
        <v/>
      </c>
      <c r="X14" s="14">
        <f>IF(W14="","",1)</f>
        <v/>
      </c>
      <c r="Y14" s="11">
        <f>IF(OR(City_Inputs!$V14="",Norm_Stats!$F$10="",Norm_Stats!$G$10="",Norm_Stats!$G$10=Norm_Stats!$F$10),"",MAX(0,MIN(100,100*(MIN(MAX(City_Inputs!$V14,Norm_Stats!$F$10),Norm_Stats!$G$10)-Norm_Stats!$F$10)/(Norm_Stats!$G$10-Norm_Stats!$F$10))))</f>
        <v/>
      </c>
      <c r="Z14" s="14">
        <f>IF(Y14="","",1)</f>
        <v/>
      </c>
      <c r="AA14" s="11">
        <f>IF(OR(City_Inputs!$W14="",Norm_Stats!$F$11="",Norm_Stats!$G$11="",Norm_Stats!$G$11=Norm_Stats!$F$11),"",MAX(0,MIN(100,100*(MIN(MAX(City_Inputs!$W14,Norm_Stats!$F$11),Norm_Stats!$G$11)-Norm_Stats!$F$11)/(Norm_Stats!$G$11-Norm_Stats!$F$11))))</f>
        <v/>
      </c>
      <c r="AB14" s="14">
        <f>IF(AA14="","",1)</f>
        <v/>
      </c>
      <c r="AC14" s="11">
        <f>IF(OR(City_Inputs!$X14="",Norm_Stats!$F$12="",Norm_Stats!$G$12="",Norm_Stats!$G$12=Norm_Stats!$F$12),"",MAX(0,MIN(100,100*(MIN(MAX(City_Inputs!$X14,Norm_Stats!$F$12),Norm_Stats!$G$12)-Norm_Stats!$F$12)/(Norm_Stats!$G$12-Norm_Stats!$F$12))))</f>
        <v/>
      </c>
      <c r="AD14" s="11">
        <f>IF(AC14="","",1)</f>
        <v/>
      </c>
      <c r="AE14" s="15">
        <f>IF((IF(S14="",0,5)+IF(U14="",0,5)+IF(W14="",0,4)+IF(Y14="",0,4)+IF(AA14="",0,4)+IF(AC14="",0,5))=0,"",(IF(S14="",0,S14*5)+IF(U14="",0,U14*5)+IF(W14="",0,W14*4)+IF(Y14="",0,Y14*4)+IF(AA14="",0,AA14*4)+IF(AC14="",0,AC14*5))/(IF(S14="",0,5)+IF(U14="",0,5)+IF(W14="",0,4)+IF(Y14="",0,4)+IF(AA14="",0,4)+IF(AC14="",0,5)))</f>
        <v/>
      </c>
      <c r="AF14" s="14">
        <f>IF((IF(T14="",0,5)+IF(V14="",0,5)+IF(X14="",0,4)+IF(Z14="",0,4)+IF(AB14="",0,4)+IF(AD14="",0,5))=0,"",(IF(T14="",0,T14*5)+IF(V14="",0,V14*5)+IF(X14="",0,X14*4)+IF(Z14="",0,Z14*4)+IF(AB14="",0,AB14*4)+IF(AD14="",0,AD14*5))/27)</f>
        <v/>
      </c>
      <c r="AG14" s="11">
        <f>IF(OR(City_Inputs!$Y14="",Norm_Stats!$F$13="",Norm_Stats!$G$13="",Norm_Stats!$G$13=Norm_Stats!$F$13),"",MAX(0,MIN(100,100*(MIN(MAX(City_Inputs!$Y14,Norm_Stats!$F$13),Norm_Stats!$G$13)-Norm_Stats!$F$13)/(Norm_Stats!$G$13-Norm_Stats!$F$13))))</f>
        <v/>
      </c>
      <c r="AH14" s="14">
        <f>IF(AG14="","",1)</f>
        <v/>
      </c>
      <c r="AI14" s="11">
        <f>IF(OR(City_Inputs!$Z14="",Norm_Stats!$F$14="",Norm_Stats!$G$14="",Norm_Stats!$G$14=Norm_Stats!$F$14),"",MAX(0,MIN(100,100*(MIN(MAX(City_Inputs!$Z14,Norm_Stats!$F$14),Norm_Stats!$G$14)-Norm_Stats!$F$14)/(Norm_Stats!$G$14-Norm_Stats!$F$14))))</f>
        <v/>
      </c>
      <c r="AJ14" s="14">
        <f>IF(AI14="","",1)</f>
        <v/>
      </c>
      <c r="AK14" s="11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(IF(OR(City_Inputs!$AA14="",Norm_Stats!$F$15="",Norm_Stats!$G$15="",Norm_Stats!$G$15=Norm_Stats!$F$15),"",MAX(0,MIN(100,100*(MIN(MAX(City_Inputs!$AA14,Norm_Stats!$F$15),Norm_Stats!$G$15)-Norm_Stats!$F$15)/(Norm_Stats!$G$15-Norm_Stats!$F$15)))))*0.7)+IF((IF(OR(City_Inputs!$AL14="",Norm_Stats!$F$16="",Norm_Stats!$G$16="",Norm_Stats!$G$16=Norm_Stats!$F$16),"",MAX(0,MIN(100,100*(Norm_Stats!$G$16-MIN(MAX(City_Inputs!$AL14,Norm_Stats!$F$16),Norm_Stats!$G$16))/(Norm_Stats!$G$16-Norm_Stats!$F$16)))))="",0,(IF(OR(City_Inputs!$AL14="",Norm_Stats!$F$16="",Norm_Stats!$G$16="",Norm_Stats!$G$16=Norm_Stats!$F$16),"",MAX(0,MIN(100,100*(Norm_Stats!$G$16-MIN(MAX(City_Inputs!$AL14,Norm_Stats!$F$16),Norm_Stats!$G$16))/(Norm_Stats!$G$16-Norm_Stats!$F$16)))))*0.3))/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L14" s="14">
        <f>IF(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=0,"",(IF((IF(OR(City_Inputs!$AA14="",Norm_Stats!$F$15="",Norm_Stats!$G$15="",Norm_Stats!$G$15=Norm_Stats!$F$15),"",MAX(0,MIN(100,100*(MIN(MAX(City_Inputs!$AA14,Norm_Stats!$F$15),Norm_Stats!$G$15)-Norm_Stats!$F$15)/(Norm_Stats!$G$15-Norm_Stats!$F$15)))))="",0,0.7)+IF((IF(OR(City_Inputs!$AL14="",Norm_Stats!$F$16="",Norm_Stats!$G$16="",Norm_Stats!$G$16=Norm_Stats!$F$16),"",MAX(0,MIN(100,100*(Norm_Stats!$G$16-MIN(MAX(City_Inputs!$AL14,Norm_Stats!$F$16),Norm_Stats!$G$16))/(Norm_Stats!$G$16-Norm_Stats!$F$16)))))="",0,0.3)))</f>
        <v/>
      </c>
      <c r="AM14" s="15">
        <f>IF((IF(AG14="",0,8)+IF(AI14="",0,6)+IF(AK14="",0,4))=0,"",(IF(AG14="",0,AG14*8)+IF(AI14="",0,AI14*6)+IF(AK14="",0,AK14*4))/(IF(AG14="",0,8)+IF(AI14="",0,6)+IF(AK14="",0,4)))</f>
        <v/>
      </c>
      <c r="AN14" s="14">
        <f>IF((IF(AH14="",0,8)+IF(AJ14="",0,6)+IF(AL14="",0,4))=0,"",(IF(AH14="",0,AH14*8)+IF(AJ14="",0,AJ14*6)+IF(AL14="",0,AL14*4))/18)</f>
        <v/>
      </c>
      <c r="AO14" s="11">
        <f>IF(OR(City_Inputs!$AB14="",Norm_Stats!$F$17="",Norm_Stats!$G$17="",Norm_Stats!$G$17=Norm_Stats!$F$17),"",MAX(0,MIN(100,100*(MIN(MAX(City_Inputs!$AB14,Norm_Stats!$F$17),Norm_Stats!$G$17)-Norm_Stats!$F$17)/(Norm_Stats!$G$17-Norm_Stats!$F$17))))</f>
        <v/>
      </c>
      <c r="AP14" s="14">
        <f>IF(AO14="","",1)</f>
        <v/>
      </c>
      <c r="AQ14" s="11">
        <f>IF(OR(City_Inputs!$AC14="",Norm_Stats!$F$18="",Norm_Stats!$G$18="",Norm_Stats!$G$18=Norm_Stats!$F$18),"",MAX(0,MIN(100,100*(MIN(MAX(City_Inputs!$AC14,Norm_Stats!$F$18),Norm_Stats!$G$18)-Norm_Stats!$F$18)/(Norm_Stats!$G$18-Norm_Stats!$F$18))))</f>
        <v/>
      </c>
      <c r="AR14" s="14">
        <f>IF(AQ14="","",1)</f>
        <v/>
      </c>
      <c r="AS14" s="11">
        <f>IF(OR(City_Inputs!$AD14="",Norm_Stats!$F$19="",Norm_Stats!$G$19="",Norm_Stats!$G$19=Norm_Stats!$F$19),"",MAX(0,MIN(100,100*(MIN(MAX(City_Inputs!$AD14,Norm_Stats!$F$19),Norm_Stats!$G$19)-Norm_Stats!$F$19)/(Norm_Stats!$G$19-Norm_Stats!$F$19))))</f>
        <v/>
      </c>
      <c r="AT14" s="14">
        <f>IF(AS14="","",1)</f>
        <v/>
      </c>
      <c r="AU14" s="11">
        <f>IF(OR(City_Inputs!$BJ14="",Norm_Stats!$F$26="",Norm_Stats!$G$26="",Norm_Stats!$G$26=Norm_Stats!$F$26),"",MAX(0,MIN(100,100*(MIN(MAX(City_Inputs!$BJ14,Norm_Stats!$F$26),Norm_Stats!$G$26)-Norm_Stats!$F$26)/(Norm_Stats!$G$26-Norm_Stats!$F$26))))</f>
        <v/>
      </c>
      <c r="AV14" s="11">
        <f>IF(AU14="","",1)</f>
        <v/>
      </c>
      <c r="AW14" s="15">
        <f>IF((IF(AO14="",0,5)+IF(AQ14="",0,5)+IF(AS14="",0,5)+IF(AU14="",0,4))=0,"",(IF(AO14="",0,AO14*5)+IF(AQ14="",0,AQ14*5)+IF(AS14="",0,AS14*5)+IF(AU14="",0,AU14*4))/(IF(AO14="",0,5)+IF(AQ14="",0,5)+IF(AS14="",0,5)+IF(AU14="",0,4)))</f>
        <v/>
      </c>
      <c r="AX14" s="14">
        <f>IF((IF(AP14="",0,5)+IF(AR14="",0,5)+IF(AT14="",0,5)+IF(AV14="",0,4))=0,"",(IF(AP14="",0,AP14*5)+IF(AR14="",0,AR14*5)+IF(AT14="",0,AT14*5)+IF(AV14="",0,AV14*4))/19)</f>
        <v/>
      </c>
      <c r="AY14" s="11">
        <f>IF(OR(City_Inputs!$AE14="",Norm_Stats!$F$20="",Norm_Stats!$G$20="",Norm_Stats!$G$20=Norm_Stats!$F$20),"",MAX(0,MIN(100,100*(MIN(MAX(City_Inputs!$AE14,Norm_Stats!$F$20),Norm_Stats!$G$20)-Norm_Stats!$F$20)/(Norm_Stats!$G$20-Norm_Stats!$F$20))))</f>
        <v/>
      </c>
      <c r="AZ14" s="14">
        <f>IF(AY14="","",1)</f>
        <v/>
      </c>
      <c r="BA14" s="11">
        <f>IF(OR(City_Inputs!$AF14="",Norm_Stats!$F$21="",Norm_Stats!$G$21="",Norm_Stats!$G$21=Norm_Stats!$F$21),"",MAX(0,MIN(100,100*(MIN(MAX(City_Inputs!$AF14,Norm_Stats!$F$21),Norm_Stats!$G$21)-Norm_Stats!$F$21)/(Norm_Stats!$G$21-Norm_Stats!$F$21))))</f>
        <v/>
      </c>
      <c r="BB14" s="14">
        <f>IF(BA14="","",1)</f>
        <v/>
      </c>
      <c r="BC14" s="11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(IF(OR(City_Inputs!$AG14="",Norm_Stats!$F$22="",Norm_Stats!$G$22="",Norm_Stats!$G$22=Norm_Stats!$F$22),"",MAX(0,MIN(100,100*(MIN(MAX(City_Inputs!$AG14,Norm_Stats!$F$22),Norm_Stats!$G$22)-Norm_Stats!$F$22)/(Norm_Stats!$G$22-Norm_Stats!$F$22)))))*0.5)+IF((IF(OR(City_Inputs!$AJ14="",Norm_Stats!$F$23="",Norm_Stats!$G$23="",Norm_Stats!$G$23=Norm_Stats!$F$23),"",MAX(0,MIN(100,100*(MIN(MAX(City_Inputs!$AJ14,Norm_Stats!$F$23),Norm_Stats!$G$23)-Norm_Stats!$F$23)/(Norm_Stats!$G$23-Norm_Stats!$F$23)))))="",0,(IF(OR(City_Inputs!$AJ14="",Norm_Stats!$F$23="",Norm_Stats!$G$23="",Norm_Stats!$G$23=Norm_Stats!$F$23),"",MAX(0,MIN(100,100*(MIN(MAX(City_Inputs!$AJ14,Norm_Stats!$F$23),Norm_Stats!$G$23)-Norm_Stats!$F$23)/(Norm_Stats!$G$23-Norm_Stats!$F$23)))))*0.3)+IF((IF(OR(City_Inputs!$AK14="",Norm_Stats!$F$24="",Norm_Stats!$G$24="",Norm_Stats!$G$24=Norm_Stats!$F$24),"",MAX(0,MIN(100,100*(MIN(MAX(City_Inputs!$AK14,Norm_Stats!$F$24),Norm_Stats!$G$24)-Norm_Stats!$F$24)/(Norm_Stats!$G$24-Norm_Stats!$F$24)))))="",0,(IF(OR(City_Inputs!$AK14="",Norm_Stats!$F$24="",Norm_Stats!$G$24="",Norm_Stats!$G$24=Norm_Stats!$F$24),"",MAX(0,MIN(100,100*(MIN(MAX(City_Inputs!$AK14,Norm_Stats!$F$24),Norm_Stats!$G$24)-Norm_Stats!$F$24)/(Norm_Stats!$G$24-Norm_Stats!$F$24)))))*0.2))/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D14" s="14">
        <f>IF(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=0,"",(IF((IF(OR(City_Inputs!$AG14="",Norm_Stats!$F$22="",Norm_Stats!$G$22="",Norm_Stats!$G$22=Norm_Stats!$F$22),"",MAX(0,MIN(100,100*(MIN(MAX(City_Inputs!$AG14,Norm_Stats!$F$22),Norm_Stats!$G$22)-Norm_Stats!$F$22)/(Norm_Stats!$G$22-Norm_Stats!$F$22)))))="",0,0.5)+IF((IF(OR(City_Inputs!$AJ14="",Norm_Stats!$F$23="",Norm_Stats!$G$23="",Norm_Stats!$G$23=Norm_Stats!$F$23),"",MAX(0,MIN(100,100*(MIN(MAX(City_Inputs!$AJ14,Norm_Stats!$F$23),Norm_Stats!$G$23)-Norm_Stats!$F$23)/(Norm_Stats!$G$23-Norm_Stats!$F$23)))))="",0,0.3)+IF((IF(OR(City_Inputs!$AK14="",Norm_Stats!$F$24="",Norm_Stats!$G$24="",Norm_Stats!$G$24=Norm_Stats!$F$24),"",MAX(0,MIN(100,100*(MIN(MAX(City_Inputs!$AK14,Norm_Stats!$F$24),Norm_Stats!$G$24)-Norm_Stats!$F$24)/(Norm_Stats!$G$24-Norm_Stats!$F$24)))))="",0,0.2)))</f>
        <v/>
      </c>
      <c r="BE14" s="11">
        <f>IF(OR(City_Inputs!$AH14="",Norm_Stats!$F$25="",Norm_Stats!$G$25="",Norm_Stats!$G$25=Norm_Stats!$F$25),"",MAX(0,MIN(100,100*(Norm_Stats!$G$25-MIN(MAX(City_Inputs!$AH14,Norm_Stats!$F$25),Norm_Stats!$G$25))/(Norm_Stats!$G$25-Norm_Stats!$F$25))))</f>
        <v/>
      </c>
      <c r="BF14" s="14">
        <f>IF(BE14="","",1)</f>
        <v/>
      </c>
      <c r="BG14" s="15">
        <f>IF((IF(AY14="",0,6)+IF(BA14="",0,5)+IF(BC14="",0,5)+IF(BE14="",0,4))=0,"",(IF(AY14="",0,AY14*6)+IF(BA14="",0,BA14*5)+IF(BC14="",0,BC14*5)+IF(BE14="",0,BE14*4))/(IF(AY14="",0,6)+IF(BA14="",0,5)+IF(BC14="",0,5)+IF(BE14="",0,4)))</f>
        <v/>
      </c>
      <c r="BH14" s="14">
        <f>IF((IF(AZ14="",0,6)+IF(BB14="",0,5)+IF(BD14="",0,5)+IF(BF14="",0,4))=0,"",(IF(AZ14="",0,AZ14*6)+IF(BB14="",0,BB14*5)+IF(BD14="",0,BD14*5)+IF(BF14="",0,BF14*4))/20)</f>
        <v/>
      </c>
      <c r="BI14" s="14">
        <f>IF(AND(R14="",AF14="",AN14="",AX14="",BH14=""),"",((R14*25)+(AF14*22)+(AN14*18)+(AX14*15)+(BH14*20))/100)</f>
        <v/>
      </c>
      <c r="BJ14" s="11">
        <f>IF(BI14="","",IF(BI14&gt;=0.75,"A",IF(BI14&gt;=0.5,"B",IF(BI14&gt;=0.35,"C","Watchlist"))))</f>
        <v/>
      </c>
      <c r="BK14" s="11">
        <f>IF(OR(BI14="",BI14&lt;0.5,R14="",R14&lt;0.35,AF14="",AF14&lt;0.35,AN14="",AN14&lt;0.35,AX14="",AX14&lt;0.35,BH14="",BH14&lt;0.35),"Watchlist","Ranked")</f>
        <v/>
      </c>
      <c r="BL14" s="15">
        <f>IF(AND(Q14="",AE14="",AM14="",AW14="",BG14=""),"",(IF(Q14="",0,Q14*25)+IF(AE14="",0,AE14*22)+IF(AM14="",0,AM14*18)+IF(AW14="",0,AW14*15)+IF(BG14="",0,BG14*20))/(IF(Q14="",0,25)+IF(AE14="",0,22)+IF(AM14="",0,18)+IF(AW14="",0,15)+IF(BG14="",0,20)))</f>
        <v/>
      </c>
      <c r="BM14" s="11">
        <f>IF(BK14="Ranked",1+COUNTIFS($BK$2:$BK$158,"Ranked",$BL$2:$BL$158,"&gt;"&amp;BL14),"")</f>
        <v/>
      </c>
      <c r="BN14" s="11">
        <f>City_Inputs!$AI14</f>
        <v/>
      </c>
    </row>
    <row r="15">
      <c r="A15" t="inlineStr">
        <is>
          <t>kr-busan</t>
        </is>
      </c>
      <c r="B15" t="inlineStr">
        <is>
          <t>Busan</t>
        </is>
      </c>
      <c r="C15" t="inlineStr">
        <is>
          <t>South Korea</t>
        </is>
      </c>
      <c r="D15" t="inlineStr">
        <is>
          <t>East Asia</t>
        </is>
      </c>
      <c r="E15" t="inlineStr">
        <is>
          <t>locked</t>
        </is>
      </c>
      <c r="F15" t="inlineStr">
        <is>
          <t>primary</t>
        </is>
      </c>
      <c r="G15" s="11">
        <f>IF(OR(City_Inputs!$M15="",Norm_Stats!$F$2="",Norm_Stats!$G$2="",Norm_Stats!$G$2=Norm_Stats!$F$2),"",MAX(0,MIN(100,100*(MIN(MAX(City_Inputs!$M15,Norm_Stats!$F$2),Norm_Stats!$G$2)-Norm_Stats!$F$2)/(Norm_Stats!$G$2-Norm_Stats!$F$2))))</f>
        <v/>
      </c>
      <c r="H15" s="14">
        <f>IF(G15="","",1)</f>
        <v/>
      </c>
      <c r="I15" s="11">
        <f>IF(OR(City_Inputs!$N15="",Norm_Stats!$F$3="",Norm_Stats!$G$3="",Norm_Stats!$G$3=Norm_Stats!$F$3),"",MAX(0,MIN(100,100*(Norm_Stats!$G$3-MIN(MAX(City_Inputs!$N15,Norm_Stats!$F$3),Norm_Stats!$G$3))/(Norm_Stats!$G$3-Norm_Stats!$F$3))))</f>
        <v/>
      </c>
      <c r="J15" s="14">
        <f>IF(I15="","",1)</f>
        <v/>
      </c>
      <c r="K15" s="11">
        <f>IF(OR(City_Inputs!$P15="",Norm_Stats!$F$4="",Norm_Stats!$G$4="",Norm_Stats!$G$4=Norm_Stats!$F$4),"",MAX(0,MIN(100,100*(Norm_Stats!$G$4-MIN(MAX(City_Inputs!$P15,Norm_Stats!$F$4),Norm_Stats!$G$4))/(Norm_Stats!$G$4-Norm_Stats!$F$4))))</f>
        <v/>
      </c>
      <c r="L15" s="14">
        <f>IF(K15="","",1)</f>
        <v/>
      </c>
      <c r="M15" s="11">
        <f>IF(OR(City_Inputs!$Q15="",Norm_Stats!$F$5="",Norm_Stats!$G$5="",Norm_Stats!$G$5=Norm_Stats!$F$5),"",MAX(0,MIN(100,100*(Norm_Stats!$G$5-MIN(MAX(City_Inputs!$Q15,Norm_Stats!$F$5),Norm_Stats!$G$5))/(Norm_Stats!$G$5-Norm_Stats!$F$5))))</f>
        <v/>
      </c>
      <c r="N15" s="14">
        <f>IF(M15="","",1)</f>
        <v/>
      </c>
      <c r="O15" s="11">
        <f>IF(OR(City_Inputs!$R15="",Norm_Stats!$F$6="",Norm_Stats!$G$6="",Norm_Stats!$G$6=Norm_Stats!$F$6),"",MAX(0,MIN(100,100*(Norm_Stats!$G$6-MIN(MAX(City_Inputs!$R15,Norm_Stats!$F$6),Norm_Stats!$G$6))/(Norm_Stats!$G$6-Norm_Stats!$F$6))))</f>
        <v/>
      </c>
      <c r="P15" s="14">
        <f>IF(O15="","",1)</f>
        <v/>
      </c>
      <c r="Q15" s="15">
        <f>IF((IF(G15="",0,9)+IF(I15="",0,5)+IF(K15="",0,4)+IF(M15="",0,4)+IF(O15="",0,5))=0,"",(IF(G15="",0,G15*9)+IF(I15="",0,I15*5)+IF(K15="",0,K15*4)+IF(M15="",0,M15*4)+IF(O15="",0,O15*5))/(IF(G15="",0,9)+IF(I15="",0,5)+IF(K15="",0,4)+IF(M15="",0,4)+IF(O15="",0,5)))</f>
        <v/>
      </c>
      <c r="R15" s="14">
        <f>IF((IF(H15="",0,9)+IF(J15="",0,5)+IF(L15="",0,4)+IF(N15="",0,4)+IF(P15="",0,5))=0,"",(IF(H15="",0,H15*9)+IF(J15="",0,J15*5)+IF(L15="",0,L15*4)+IF(N15="",0,N15*4)+IF(P15="",0,P15*5))/27)</f>
        <v/>
      </c>
      <c r="S15" s="11">
        <f>IF(OR(City_Inputs!$S15="",Norm_Stats!$F$7="",Norm_Stats!$G$7="",Norm_Stats!$G$7=Norm_Stats!$F$7),"",MAX(0,MIN(100,100*(Norm_Stats!$G$7-MIN(MAX(City_Inputs!$S15,Norm_Stats!$F$7),Norm_Stats!$G$7))/(Norm_Stats!$G$7-Norm_Stats!$F$7))))</f>
        <v/>
      </c>
      <c r="T15" s="14">
        <f>IF(S15="","",1)</f>
        <v/>
      </c>
      <c r="U15" s="11">
        <f>IF(OR(City_Inputs!$T15="",Norm_Stats!$F$8="",Norm_Stats!$G$8="",Norm_Stats!$G$8=Norm_Stats!$F$8),"",MAX(0,MIN(100,100*(MIN(MAX(City_Inputs!$T15,Norm_Stats!$F$8),Norm_Stats!$G$8)-Norm_Stats!$F$8)/(Norm_Stats!$G$8-Norm_Stats!$F$8))))</f>
        <v/>
      </c>
      <c r="V15" s="14">
        <f>IF(U15="","",1)</f>
        <v/>
      </c>
      <c r="W15" s="11">
        <f>IF(OR(City_Inputs!$U15="",Norm_Stats!$F$9="",Norm_Stats!$G$9="",Norm_Stats!$G$9=Norm_Stats!$F$9),"",MAX(0,MIN(100,100*(Norm_Stats!$G$9-MIN(MAX(City_Inputs!$U15,Norm_Stats!$F$9),Norm_Stats!$G$9))/(Norm_Stats!$G$9-Norm_Stats!$F$9))))</f>
        <v/>
      </c>
      <c r="X15" s="14">
        <f>IF(W15="","",1)</f>
        <v/>
      </c>
      <c r="Y15" s="11">
        <f>IF(OR(City_Inputs!$V15="",Norm_Stats!$F$10="",Norm_Stats!$G$10="",Norm_Stats!$G$10=Norm_Stats!$F$10),"",MAX(0,MIN(100,100*(MIN(MAX(City_Inputs!$V15,Norm_Stats!$F$10),Norm_Stats!$G$10)-Norm_Stats!$F$10)/(Norm_Stats!$G$10-Norm_Stats!$F$10))))</f>
        <v/>
      </c>
      <c r="Z15" s="14">
        <f>IF(Y15="","",1)</f>
        <v/>
      </c>
      <c r="AA15" s="11">
        <f>IF(OR(City_Inputs!$W15="",Norm_Stats!$F$11="",Norm_Stats!$G$11="",Norm_Stats!$G$11=Norm_Stats!$F$11),"",MAX(0,MIN(100,100*(MIN(MAX(City_Inputs!$W15,Norm_Stats!$F$11),Norm_Stats!$G$11)-Norm_Stats!$F$11)/(Norm_Stats!$G$11-Norm_Stats!$F$11))))</f>
        <v/>
      </c>
      <c r="AB15" s="14">
        <f>IF(AA15="","",1)</f>
        <v/>
      </c>
      <c r="AC15" s="11">
        <f>IF(OR(City_Inputs!$X15="",Norm_Stats!$F$12="",Norm_Stats!$G$12="",Norm_Stats!$G$12=Norm_Stats!$F$12),"",MAX(0,MIN(100,100*(MIN(MAX(City_Inputs!$X15,Norm_Stats!$F$12),Norm_Stats!$G$12)-Norm_Stats!$F$12)/(Norm_Stats!$G$12-Norm_Stats!$F$12))))</f>
        <v/>
      </c>
      <c r="AD15" s="11">
        <f>IF(AC15="","",1)</f>
        <v/>
      </c>
      <c r="AE15" s="15">
        <f>IF((IF(S15="",0,5)+IF(U15="",0,5)+IF(W15="",0,4)+IF(Y15="",0,4)+IF(AA15="",0,4)+IF(AC15="",0,5))=0,"",(IF(S15="",0,S15*5)+IF(U15="",0,U15*5)+IF(W15="",0,W15*4)+IF(Y15="",0,Y15*4)+IF(AA15="",0,AA15*4)+IF(AC15="",0,AC15*5))/(IF(S15="",0,5)+IF(U15="",0,5)+IF(W15="",0,4)+IF(Y15="",0,4)+IF(AA15="",0,4)+IF(AC15="",0,5)))</f>
        <v/>
      </c>
      <c r="AF15" s="14">
        <f>IF((IF(T15="",0,5)+IF(V15="",0,5)+IF(X15="",0,4)+IF(Z15="",0,4)+IF(AB15="",0,4)+IF(AD15="",0,5))=0,"",(IF(T15="",0,T15*5)+IF(V15="",0,V15*5)+IF(X15="",0,X15*4)+IF(Z15="",0,Z15*4)+IF(AB15="",0,AB15*4)+IF(AD15="",0,AD15*5))/27)</f>
        <v/>
      </c>
      <c r="AG15" s="11">
        <f>IF(OR(City_Inputs!$Y15="",Norm_Stats!$F$13="",Norm_Stats!$G$13="",Norm_Stats!$G$13=Norm_Stats!$F$13),"",MAX(0,MIN(100,100*(MIN(MAX(City_Inputs!$Y15,Norm_Stats!$F$13),Norm_Stats!$G$13)-Norm_Stats!$F$13)/(Norm_Stats!$G$13-Norm_Stats!$F$13))))</f>
        <v/>
      </c>
      <c r="AH15" s="14">
        <f>IF(AG15="","",1)</f>
        <v/>
      </c>
      <c r="AI15" s="11">
        <f>IF(OR(City_Inputs!$Z15="",Norm_Stats!$F$14="",Norm_Stats!$G$14="",Norm_Stats!$G$14=Norm_Stats!$F$14),"",MAX(0,MIN(100,100*(MIN(MAX(City_Inputs!$Z15,Norm_Stats!$F$14),Norm_Stats!$G$14)-Norm_Stats!$F$14)/(Norm_Stats!$G$14-Norm_Stats!$F$14))))</f>
        <v/>
      </c>
      <c r="AJ15" s="14">
        <f>IF(AI15="","",1)</f>
        <v/>
      </c>
      <c r="AK15" s="11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(IF(OR(City_Inputs!$AA15="",Norm_Stats!$F$15="",Norm_Stats!$G$15="",Norm_Stats!$G$15=Norm_Stats!$F$15),"",MAX(0,MIN(100,100*(MIN(MAX(City_Inputs!$AA15,Norm_Stats!$F$15),Norm_Stats!$G$15)-Norm_Stats!$F$15)/(Norm_Stats!$G$15-Norm_Stats!$F$15)))))*0.7)+IF((IF(OR(City_Inputs!$AL15="",Norm_Stats!$F$16="",Norm_Stats!$G$16="",Norm_Stats!$G$16=Norm_Stats!$F$16),"",MAX(0,MIN(100,100*(Norm_Stats!$G$16-MIN(MAX(City_Inputs!$AL15,Norm_Stats!$F$16),Norm_Stats!$G$16))/(Norm_Stats!$G$16-Norm_Stats!$F$16)))))="",0,(IF(OR(City_Inputs!$AL15="",Norm_Stats!$F$16="",Norm_Stats!$G$16="",Norm_Stats!$G$16=Norm_Stats!$F$16),"",MAX(0,MIN(100,100*(Norm_Stats!$G$16-MIN(MAX(City_Inputs!$AL15,Norm_Stats!$F$16),Norm_Stats!$G$16))/(Norm_Stats!$G$16-Norm_Stats!$F$16)))))*0.3))/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L15" s="14">
        <f>IF(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=0,"",(IF((IF(OR(City_Inputs!$AA15="",Norm_Stats!$F$15="",Norm_Stats!$G$15="",Norm_Stats!$G$15=Norm_Stats!$F$15),"",MAX(0,MIN(100,100*(MIN(MAX(City_Inputs!$AA15,Norm_Stats!$F$15),Norm_Stats!$G$15)-Norm_Stats!$F$15)/(Norm_Stats!$G$15-Norm_Stats!$F$15)))))="",0,0.7)+IF((IF(OR(City_Inputs!$AL15="",Norm_Stats!$F$16="",Norm_Stats!$G$16="",Norm_Stats!$G$16=Norm_Stats!$F$16),"",MAX(0,MIN(100,100*(Norm_Stats!$G$16-MIN(MAX(City_Inputs!$AL15,Norm_Stats!$F$16),Norm_Stats!$G$16))/(Norm_Stats!$G$16-Norm_Stats!$F$16)))))="",0,0.3)))</f>
        <v/>
      </c>
      <c r="AM15" s="15">
        <f>IF((IF(AG15="",0,8)+IF(AI15="",0,6)+IF(AK15="",0,4))=0,"",(IF(AG15="",0,AG15*8)+IF(AI15="",0,AI15*6)+IF(AK15="",0,AK15*4))/(IF(AG15="",0,8)+IF(AI15="",0,6)+IF(AK15="",0,4)))</f>
        <v/>
      </c>
      <c r="AN15" s="14">
        <f>IF((IF(AH15="",0,8)+IF(AJ15="",0,6)+IF(AL15="",0,4))=0,"",(IF(AH15="",0,AH15*8)+IF(AJ15="",0,AJ15*6)+IF(AL15="",0,AL15*4))/18)</f>
        <v/>
      </c>
      <c r="AO15" s="11">
        <f>IF(OR(City_Inputs!$AB15="",Norm_Stats!$F$17="",Norm_Stats!$G$17="",Norm_Stats!$G$17=Norm_Stats!$F$17),"",MAX(0,MIN(100,100*(MIN(MAX(City_Inputs!$AB15,Norm_Stats!$F$17),Norm_Stats!$G$17)-Norm_Stats!$F$17)/(Norm_Stats!$G$17-Norm_Stats!$F$17))))</f>
        <v/>
      </c>
      <c r="AP15" s="14">
        <f>IF(AO15="","",1)</f>
        <v/>
      </c>
      <c r="AQ15" s="11">
        <f>IF(OR(City_Inputs!$AC15="",Norm_Stats!$F$18="",Norm_Stats!$G$18="",Norm_Stats!$G$18=Norm_Stats!$F$18),"",MAX(0,MIN(100,100*(MIN(MAX(City_Inputs!$AC15,Norm_Stats!$F$18),Norm_Stats!$G$18)-Norm_Stats!$F$18)/(Norm_Stats!$G$18-Norm_Stats!$F$18))))</f>
        <v/>
      </c>
      <c r="AR15" s="14">
        <f>IF(AQ15="","",1)</f>
        <v/>
      </c>
      <c r="AS15" s="11">
        <f>IF(OR(City_Inputs!$AD15="",Norm_Stats!$F$19="",Norm_Stats!$G$19="",Norm_Stats!$G$19=Norm_Stats!$F$19),"",MAX(0,MIN(100,100*(MIN(MAX(City_Inputs!$AD15,Norm_Stats!$F$19),Norm_Stats!$G$19)-Norm_Stats!$F$19)/(Norm_Stats!$G$19-Norm_Stats!$F$19))))</f>
        <v/>
      </c>
      <c r="AT15" s="14">
        <f>IF(AS15="","",1)</f>
        <v/>
      </c>
      <c r="AU15" s="11">
        <f>IF(OR(City_Inputs!$BJ15="",Norm_Stats!$F$26="",Norm_Stats!$G$26="",Norm_Stats!$G$26=Norm_Stats!$F$26),"",MAX(0,MIN(100,100*(MIN(MAX(City_Inputs!$BJ15,Norm_Stats!$F$26),Norm_Stats!$G$26)-Norm_Stats!$F$26)/(Norm_Stats!$G$26-Norm_Stats!$F$26))))</f>
        <v/>
      </c>
      <c r="AV15" s="11">
        <f>IF(AU15="","",1)</f>
        <v/>
      </c>
      <c r="AW15" s="15">
        <f>IF((IF(AO15="",0,5)+IF(AQ15="",0,5)+IF(AS15="",0,5)+IF(AU15="",0,4))=0,"",(IF(AO15="",0,AO15*5)+IF(AQ15="",0,AQ15*5)+IF(AS15="",0,AS15*5)+IF(AU15="",0,AU15*4))/(IF(AO15="",0,5)+IF(AQ15="",0,5)+IF(AS15="",0,5)+IF(AU15="",0,4)))</f>
        <v/>
      </c>
      <c r="AX15" s="14">
        <f>IF((IF(AP15="",0,5)+IF(AR15="",0,5)+IF(AT15="",0,5)+IF(AV15="",0,4))=0,"",(IF(AP15="",0,AP15*5)+IF(AR15="",0,AR15*5)+IF(AT15="",0,AT15*5)+IF(AV15="",0,AV15*4))/19)</f>
        <v/>
      </c>
      <c r="AY15" s="11">
        <f>IF(OR(City_Inputs!$AE15="",Norm_Stats!$F$20="",Norm_Stats!$G$20="",Norm_Stats!$G$20=Norm_Stats!$F$20),"",MAX(0,MIN(100,100*(MIN(MAX(City_Inputs!$AE15,Norm_Stats!$F$20),Norm_Stats!$G$20)-Norm_Stats!$F$20)/(Norm_Stats!$G$20-Norm_Stats!$F$20))))</f>
        <v/>
      </c>
      <c r="AZ15" s="14">
        <f>IF(AY15="","",1)</f>
        <v/>
      </c>
      <c r="BA15" s="11">
        <f>IF(OR(City_Inputs!$AF15="",Norm_Stats!$F$21="",Norm_Stats!$G$21="",Norm_Stats!$G$21=Norm_Stats!$F$21),"",MAX(0,MIN(100,100*(MIN(MAX(City_Inputs!$AF15,Norm_Stats!$F$21),Norm_Stats!$G$21)-Norm_Stats!$F$21)/(Norm_Stats!$G$21-Norm_Stats!$F$21))))</f>
        <v/>
      </c>
      <c r="BB15" s="14">
        <f>IF(BA15="","",1)</f>
        <v/>
      </c>
      <c r="BC15" s="11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(IF(OR(City_Inputs!$AG15="",Norm_Stats!$F$22="",Norm_Stats!$G$22="",Norm_Stats!$G$22=Norm_Stats!$F$22),"",MAX(0,MIN(100,100*(MIN(MAX(City_Inputs!$AG15,Norm_Stats!$F$22),Norm_Stats!$G$22)-Norm_Stats!$F$22)/(Norm_Stats!$G$22-Norm_Stats!$F$22)))))*0.5)+IF((IF(OR(City_Inputs!$AJ15="",Norm_Stats!$F$23="",Norm_Stats!$G$23="",Norm_Stats!$G$23=Norm_Stats!$F$23),"",MAX(0,MIN(100,100*(MIN(MAX(City_Inputs!$AJ15,Norm_Stats!$F$23),Norm_Stats!$G$23)-Norm_Stats!$F$23)/(Norm_Stats!$G$23-Norm_Stats!$F$23)))))="",0,(IF(OR(City_Inputs!$AJ15="",Norm_Stats!$F$23="",Norm_Stats!$G$23="",Norm_Stats!$G$23=Norm_Stats!$F$23),"",MAX(0,MIN(100,100*(MIN(MAX(City_Inputs!$AJ15,Norm_Stats!$F$23),Norm_Stats!$G$23)-Norm_Stats!$F$23)/(Norm_Stats!$G$23-Norm_Stats!$F$23)))))*0.3)+IF((IF(OR(City_Inputs!$AK15="",Norm_Stats!$F$24="",Norm_Stats!$G$24="",Norm_Stats!$G$24=Norm_Stats!$F$24),"",MAX(0,MIN(100,100*(MIN(MAX(City_Inputs!$AK15,Norm_Stats!$F$24),Norm_Stats!$G$24)-Norm_Stats!$F$24)/(Norm_Stats!$G$24-Norm_Stats!$F$24)))))="",0,(IF(OR(City_Inputs!$AK15="",Norm_Stats!$F$24="",Norm_Stats!$G$24="",Norm_Stats!$G$24=Norm_Stats!$F$24),"",MAX(0,MIN(100,100*(MIN(MAX(City_Inputs!$AK15,Norm_Stats!$F$24),Norm_Stats!$G$24)-Norm_Stats!$F$24)/(Norm_Stats!$G$24-Norm_Stats!$F$24)))))*0.2))/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D15" s="14">
        <f>IF(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=0,"",(IF((IF(OR(City_Inputs!$AG15="",Norm_Stats!$F$22="",Norm_Stats!$G$22="",Norm_Stats!$G$22=Norm_Stats!$F$22),"",MAX(0,MIN(100,100*(MIN(MAX(City_Inputs!$AG15,Norm_Stats!$F$22),Norm_Stats!$G$22)-Norm_Stats!$F$22)/(Norm_Stats!$G$22-Norm_Stats!$F$22)))))="",0,0.5)+IF((IF(OR(City_Inputs!$AJ15="",Norm_Stats!$F$23="",Norm_Stats!$G$23="",Norm_Stats!$G$23=Norm_Stats!$F$23),"",MAX(0,MIN(100,100*(MIN(MAX(City_Inputs!$AJ15,Norm_Stats!$F$23),Norm_Stats!$G$23)-Norm_Stats!$F$23)/(Norm_Stats!$G$23-Norm_Stats!$F$23)))))="",0,0.3)+IF((IF(OR(City_Inputs!$AK15="",Norm_Stats!$F$24="",Norm_Stats!$G$24="",Norm_Stats!$G$24=Norm_Stats!$F$24),"",MAX(0,MIN(100,100*(MIN(MAX(City_Inputs!$AK15,Norm_Stats!$F$24),Norm_Stats!$G$24)-Norm_Stats!$F$24)/(Norm_Stats!$G$24-Norm_Stats!$F$24)))))="",0,0.2)))</f>
        <v/>
      </c>
      <c r="BE15" s="11">
        <f>IF(OR(City_Inputs!$AH15="",Norm_Stats!$F$25="",Norm_Stats!$G$25="",Norm_Stats!$G$25=Norm_Stats!$F$25),"",MAX(0,MIN(100,100*(Norm_Stats!$G$25-MIN(MAX(City_Inputs!$AH15,Norm_Stats!$F$25),Norm_Stats!$G$25))/(Norm_Stats!$G$25-Norm_Stats!$F$25))))</f>
        <v/>
      </c>
      <c r="BF15" s="14">
        <f>IF(BE15="","",1)</f>
        <v/>
      </c>
      <c r="BG15" s="15">
        <f>IF((IF(AY15="",0,6)+IF(BA15="",0,5)+IF(BC15="",0,5)+IF(BE15="",0,4))=0,"",(IF(AY15="",0,AY15*6)+IF(BA15="",0,BA15*5)+IF(BC15="",0,BC15*5)+IF(BE15="",0,BE15*4))/(IF(AY15="",0,6)+IF(BA15="",0,5)+IF(BC15="",0,5)+IF(BE15="",0,4)))</f>
        <v/>
      </c>
      <c r="BH15" s="14">
        <f>IF((IF(AZ15="",0,6)+IF(BB15="",0,5)+IF(BD15="",0,5)+IF(BF15="",0,4))=0,"",(IF(AZ15="",0,AZ15*6)+IF(BB15="",0,BB15*5)+IF(BD15="",0,BD15*5)+IF(BF15="",0,BF15*4))/20)</f>
        <v/>
      </c>
      <c r="BI15" s="14">
        <f>IF(AND(R15="",AF15="",AN15="",AX15="",BH15=""),"",((R15*25)+(AF15*22)+(AN15*18)+(AX15*15)+(BH15*20))/100)</f>
        <v/>
      </c>
      <c r="BJ15" s="11">
        <f>IF(BI15="","",IF(BI15&gt;=0.75,"A",IF(BI15&gt;=0.5,"B",IF(BI15&gt;=0.35,"C","Watchlist"))))</f>
        <v/>
      </c>
      <c r="BK15" s="11">
        <f>IF(OR(BI15="",BI15&lt;0.5,R15="",R15&lt;0.35,AF15="",AF15&lt;0.35,AN15="",AN15&lt;0.35,AX15="",AX15&lt;0.35,BH15="",BH15&lt;0.35),"Watchlist","Ranked")</f>
        <v/>
      </c>
      <c r="BL15" s="15">
        <f>IF(AND(Q15="",AE15="",AM15="",AW15="",BG15=""),"",(IF(Q15="",0,Q15*25)+IF(AE15="",0,AE15*22)+IF(AM15="",0,AM15*18)+IF(AW15="",0,AW15*15)+IF(BG15="",0,BG15*20))/(IF(Q15="",0,25)+IF(AE15="",0,22)+IF(AM15="",0,18)+IF(AW15="",0,15)+IF(BG15="",0,20)))</f>
        <v/>
      </c>
      <c r="BM15" s="11">
        <f>IF(BK15="Ranked",1+COUNTIFS($BK$2:$BK$158,"Ranked",$BL$2:$BL$158,"&gt;"&amp;BL15),"")</f>
        <v/>
      </c>
      <c r="BN15" s="11">
        <f>City_Inputs!$AI15</f>
        <v/>
      </c>
    </row>
    <row r="16">
      <c r="A16" t="inlineStr">
        <is>
          <t>cn-shanghai</t>
        </is>
      </c>
      <c r="B16" t="inlineStr">
        <is>
          <t>Shanghai</t>
        </is>
      </c>
      <c r="C16" t="inlineStr">
        <is>
          <t>China</t>
        </is>
      </c>
      <c r="D16" t="inlineStr">
        <is>
          <t>East Asia</t>
        </is>
      </c>
      <c r="E16" t="inlineStr">
        <is>
          <t>provisional</t>
        </is>
      </c>
      <c r="F16" t="inlineStr">
        <is>
          <t>primary</t>
        </is>
      </c>
      <c r="G16" s="11">
        <f>IF(OR(City_Inputs!$M16="",Norm_Stats!$F$2="",Norm_Stats!$G$2="",Norm_Stats!$G$2=Norm_Stats!$F$2),"",MAX(0,MIN(100,100*(MIN(MAX(City_Inputs!$M16,Norm_Stats!$F$2),Norm_Stats!$G$2)-Norm_Stats!$F$2)/(Norm_Stats!$G$2-Norm_Stats!$F$2))))</f>
        <v/>
      </c>
      <c r="H16" s="14">
        <f>IF(G16="","",1)</f>
        <v/>
      </c>
      <c r="I16" s="11">
        <f>IF(OR(City_Inputs!$N16="",Norm_Stats!$F$3="",Norm_Stats!$G$3="",Norm_Stats!$G$3=Norm_Stats!$F$3),"",MAX(0,MIN(100,100*(Norm_Stats!$G$3-MIN(MAX(City_Inputs!$N16,Norm_Stats!$F$3),Norm_Stats!$G$3))/(Norm_Stats!$G$3-Norm_Stats!$F$3))))</f>
        <v/>
      </c>
      <c r="J16" s="14">
        <f>IF(I16="","",1)</f>
        <v/>
      </c>
      <c r="K16" s="11">
        <f>IF(OR(City_Inputs!$P16="",Norm_Stats!$F$4="",Norm_Stats!$G$4="",Norm_Stats!$G$4=Norm_Stats!$F$4),"",MAX(0,MIN(100,100*(Norm_Stats!$G$4-MIN(MAX(City_Inputs!$P16,Norm_Stats!$F$4),Norm_Stats!$G$4))/(Norm_Stats!$G$4-Norm_Stats!$F$4))))</f>
        <v/>
      </c>
      <c r="L16" s="14">
        <f>IF(K16="","",1)</f>
        <v/>
      </c>
      <c r="M16" s="11">
        <f>IF(OR(City_Inputs!$Q16="",Norm_Stats!$F$5="",Norm_Stats!$G$5="",Norm_Stats!$G$5=Norm_Stats!$F$5),"",MAX(0,MIN(100,100*(Norm_Stats!$G$5-MIN(MAX(City_Inputs!$Q16,Norm_Stats!$F$5),Norm_Stats!$G$5))/(Norm_Stats!$G$5-Norm_Stats!$F$5))))</f>
        <v/>
      </c>
      <c r="N16" s="14">
        <f>IF(M16="","",1)</f>
        <v/>
      </c>
      <c r="O16" s="11">
        <f>IF(OR(City_Inputs!$R16="",Norm_Stats!$F$6="",Norm_Stats!$G$6="",Norm_Stats!$G$6=Norm_Stats!$F$6),"",MAX(0,MIN(100,100*(Norm_Stats!$G$6-MIN(MAX(City_Inputs!$R16,Norm_Stats!$F$6),Norm_Stats!$G$6))/(Norm_Stats!$G$6-Norm_Stats!$F$6))))</f>
        <v/>
      </c>
      <c r="P16" s="14">
        <f>IF(O16="","",1)</f>
        <v/>
      </c>
      <c r="Q16" s="15">
        <f>IF((IF(G16="",0,9)+IF(I16="",0,5)+IF(K16="",0,4)+IF(M16="",0,4)+IF(O16="",0,5))=0,"",(IF(G16="",0,G16*9)+IF(I16="",0,I16*5)+IF(K16="",0,K16*4)+IF(M16="",0,M16*4)+IF(O16="",0,O16*5))/(IF(G16="",0,9)+IF(I16="",0,5)+IF(K16="",0,4)+IF(M16="",0,4)+IF(O16="",0,5)))</f>
        <v/>
      </c>
      <c r="R16" s="14">
        <f>IF((IF(H16="",0,9)+IF(J16="",0,5)+IF(L16="",0,4)+IF(N16="",0,4)+IF(P16="",0,5))=0,"",(IF(H16="",0,H16*9)+IF(J16="",0,J16*5)+IF(L16="",0,L16*4)+IF(N16="",0,N16*4)+IF(P16="",0,P16*5))/27)</f>
        <v/>
      </c>
      <c r="S16" s="11">
        <f>IF(OR(City_Inputs!$S16="",Norm_Stats!$F$7="",Norm_Stats!$G$7="",Norm_Stats!$G$7=Norm_Stats!$F$7),"",MAX(0,MIN(100,100*(Norm_Stats!$G$7-MIN(MAX(City_Inputs!$S16,Norm_Stats!$F$7),Norm_Stats!$G$7))/(Norm_Stats!$G$7-Norm_Stats!$F$7))))</f>
        <v/>
      </c>
      <c r="T16" s="14">
        <f>IF(S16="","",1)</f>
        <v/>
      </c>
      <c r="U16" s="11">
        <f>IF(OR(City_Inputs!$T16="",Norm_Stats!$F$8="",Norm_Stats!$G$8="",Norm_Stats!$G$8=Norm_Stats!$F$8),"",MAX(0,MIN(100,100*(MIN(MAX(City_Inputs!$T16,Norm_Stats!$F$8),Norm_Stats!$G$8)-Norm_Stats!$F$8)/(Norm_Stats!$G$8-Norm_Stats!$F$8))))</f>
        <v/>
      </c>
      <c r="V16" s="14">
        <f>IF(U16="","",1)</f>
        <v/>
      </c>
      <c r="W16" s="11">
        <f>IF(OR(City_Inputs!$U16="",Norm_Stats!$F$9="",Norm_Stats!$G$9="",Norm_Stats!$G$9=Norm_Stats!$F$9),"",MAX(0,MIN(100,100*(Norm_Stats!$G$9-MIN(MAX(City_Inputs!$U16,Norm_Stats!$F$9),Norm_Stats!$G$9))/(Norm_Stats!$G$9-Norm_Stats!$F$9))))</f>
        <v/>
      </c>
      <c r="X16" s="14">
        <f>IF(W16="","",1)</f>
        <v/>
      </c>
      <c r="Y16" s="11">
        <f>IF(OR(City_Inputs!$V16="",Norm_Stats!$F$10="",Norm_Stats!$G$10="",Norm_Stats!$G$10=Norm_Stats!$F$10),"",MAX(0,MIN(100,100*(MIN(MAX(City_Inputs!$V16,Norm_Stats!$F$10),Norm_Stats!$G$10)-Norm_Stats!$F$10)/(Norm_Stats!$G$10-Norm_Stats!$F$10))))</f>
        <v/>
      </c>
      <c r="Z16" s="14">
        <f>IF(Y16="","",1)</f>
        <v/>
      </c>
      <c r="AA16" s="11">
        <f>IF(OR(City_Inputs!$W16="",Norm_Stats!$F$11="",Norm_Stats!$G$11="",Norm_Stats!$G$11=Norm_Stats!$F$11),"",MAX(0,MIN(100,100*(MIN(MAX(City_Inputs!$W16,Norm_Stats!$F$11),Norm_Stats!$G$11)-Norm_Stats!$F$11)/(Norm_Stats!$G$11-Norm_Stats!$F$11))))</f>
        <v/>
      </c>
      <c r="AB16" s="14">
        <f>IF(AA16="","",1)</f>
        <v/>
      </c>
      <c r="AC16" s="11">
        <f>IF(OR(City_Inputs!$X16="",Norm_Stats!$F$12="",Norm_Stats!$G$12="",Norm_Stats!$G$12=Norm_Stats!$F$12),"",MAX(0,MIN(100,100*(MIN(MAX(City_Inputs!$X16,Norm_Stats!$F$12),Norm_Stats!$G$12)-Norm_Stats!$F$12)/(Norm_Stats!$G$12-Norm_Stats!$F$12))))</f>
        <v/>
      </c>
      <c r="AD16" s="11">
        <f>IF(AC16="","",1)</f>
        <v/>
      </c>
      <c r="AE16" s="15">
        <f>IF((IF(S16="",0,5)+IF(U16="",0,5)+IF(W16="",0,4)+IF(Y16="",0,4)+IF(AA16="",0,4)+IF(AC16="",0,5))=0,"",(IF(S16="",0,S16*5)+IF(U16="",0,U16*5)+IF(W16="",0,W16*4)+IF(Y16="",0,Y16*4)+IF(AA16="",0,AA16*4)+IF(AC16="",0,AC16*5))/(IF(S16="",0,5)+IF(U16="",0,5)+IF(W16="",0,4)+IF(Y16="",0,4)+IF(AA16="",0,4)+IF(AC16="",0,5)))</f>
        <v/>
      </c>
      <c r="AF16" s="14">
        <f>IF((IF(T16="",0,5)+IF(V16="",0,5)+IF(X16="",0,4)+IF(Z16="",0,4)+IF(AB16="",0,4)+IF(AD16="",0,5))=0,"",(IF(T16="",0,T16*5)+IF(V16="",0,V16*5)+IF(X16="",0,X16*4)+IF(Z16="",0,Z16*4)+IF(AB16="",0,AB16*4)+IF(AD16="",0,AD16*5))/27)</f>
        <v/>
      </c>
      <c r="AG16" s="11">
        <f>IF(OR(City_Inputs!$Y16="",Norm_Stats!$F$13="",Norm_Stats!$G$13="",Norm_Stats!$G$13=Norm_Stats!$F$13),"",MAX(0,MIN(100,100*(MIN(MAX(City_Inputs!$Y16,Norm_Stats!$F$13),Norm_Stats!$G$13)-Norm_Stats!$F$13)/(Norm_Stats!$G$13-Norm_Stats!$F$13))))</f>
        <v/>
      </c>
      <c r="AH16" s="14">
        <f>IF(AG16="","",1)</f>
        <v/>
      </c>
      <c r="AI16" s="11">
        <f>IF(OR(City_Inputs!$Z16="",Norm_Stats!$F$14="",Norm_Stats!$G$14="",Norm_Stats!$G$14=Norm_Stats!$F$14),"",MAX(0,MIN(100,100*(MIN(MAX(City_Inputs!$Z16,Norm_Stats!$F$14),Norm_Stats!$G$14)-Norm_Stats!$F$14)/(Norm_Stats!$G$14-Norm_Stats!$F$14))))</f>
        <v/>
      </c>
      <c r="AJ16" s="14">
        <f>IF(AI16="","",1)</f>
        <v/>
      </c>
      <c r="AK16" s="11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(IF(OR(City_Inputs!$AA16="",Norm_Stats!$F$15="",Norm_Stats!$G$15="",Norm_Stats!$G$15=Norm_Stats!$F$15),"",MAX(0,MIN(100,100*(MIN(MAX(City_Inputs!$AA16,Norm_Stats!$F$15),Norm_Stats!$G$15)-Norm_Stats!$F$15)/(Norm_Stats!$G$15-Norm_Stats!$F$15)))))*0.7)+IF((IF(OR(City_Inputs!$AL16="",Norm_Stats!$F$16="",Norm_Stats!$G$16="",Norm_Stats!$G$16=Norm_Stats!$F$16),"",MAX(0,MIN(100,100*(Norm_Stats!$G$16-MIN(MAX(City_Inputs!$AL16,Norm_Stats!$F$16),Norm_Stats!$G$16))/(Norm_Stats!$G$16-Norm_Stats!$F$16)))))="",0,(IF(OR(City_Inputs!$AL16="",Norm_Stats!$F$16="",Norm_Stats!$G$16="",Norm_Stats!$G$16=Norm_Stats!$F$16),"",MAX(0,MIN(100,100*(Norm_Stats!$G$16-MIN(MAX(City_Inputs!$AL16,Norm_Stats!$F$16),Norm_Stats!$G$16))/(Norm_Stats!$G$16-Norm_Stats!$F$16)))))*0.3))/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L16" s="14">
        <f>IF(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=0,"",(IF((IF(OR(City_Inputs!$AA16="",Norm_Stats!$F$15="",Norm_Stats!$G$15="",Norm_Stats!$G$15=Norm_Stats!$F$15),"",MAX(0,MIN(100,100*(MIN(MAX(City_Inputs!$AA16,Norm_Stats!$F$15),Norm_Stats!$G$15)-Norm_Stats!$F$15)/(Norm_Stats!$G$15-Norm_Stats!$F$15)))))="",0,0.7)+IF((IF(OR(City_Inputs!$AL16="",Norm_Stats!$F$16="",Norm_Stats!$G$16="",Norm_Stats!$G$16=Norm_Stats!$F$16),"",MAX(0,MIN(100,100*(Norm_Stats!$G$16-MIN(MAX(City_Inputs!$AL16,Norm_Stats!$F$16),Norm_Stats!$G$16))/(Norm_Stats!$G$16-Norm_Stats!$F$16)))))="",0,0.3)))</f>
        <v/>
      </c>
      <c r="AM16" s="15">
        <f>IF((IF(AG16="",0,8)+IF(AI16="",0,6)+IF(AK16="",0,4))=0,"",(IF(AG16="",0,AG16*8)+IF(AI16="",0,AI16*6)+IF(AK16="",0,AK16*4))/(IF(AG16="",0,8)+IF(AI16="",0,6)+IF(AK16="",0,4)))</f>
        <v/>
      </c>
      <c r="AN16" s="14">
        <f>IF((IF(AH16="",0,8)+IF(AJ16="",0,6)+IF(AL16="",0,4))=0,"",(IF(AH16="",0,AH16*8)+IF(AJ16="",0,AJ16*6)+IF(AL16="",0,AL16*4))/18)</f>
        <v/>
      </c>
      <c r="AO16" s="11">
        <f>IF(OR(City_Inputs!$AB16="",Norm_Stats!$F$17="",Norm_Stats!$G$17="",Norm_Stats!$G$17=Norm_Stats!$F$17),"",MAX(0,MIN(100,100*(MIN(MAX(City_Inputs!$AB16,Norm_Stats!$F$17),Norm_Stats!$G$17)-Norm_Stats!$F$17)/(Norm_Stats!$G$17-Norm_Stats!$F$17))))</f>
        <v/>
      </c>
      <c r="AP16" s="14">
        <f>IF(AO16="","",1)</f>
        <v/>
      </c>
      <c r="AQ16" s="11">
        <f>IF(OR(City_Inputs!$AC16="",Norm_Stats!$F$18="",Norm_Stats!$G$18="",Norm_Stats!$G$18=Norm_Stats!$F$18),"",MAX(0,MIN(100,100*(MIN(MAX(City_Inputs!$AC16,Norm_Stats!$F$18),Norm_Stats!$G$18)-Norm_Stats!$F$18)/(Norm_Stats!$G$18-Norm_Stats!$F$18))))</f>
        <v/>
      </c>
      <c r="AR16" s="14">
        <f>IF(AQ16="","",1)</f>
        <v/>
      </c>
      <c r="AS16" s="11">
        <f>IF(OR(City_Inputs!$AD16="",Norm_Stats!$F$19="",Norm_Stats!$G$19="",Norm_Stats!$G$19=Norm_Stats!$F$19),"",MAX(0,MIN(100,100*(MIN(MAX(City_Inputs!$AD16,Norm_Stats!$F$19),Norm_Stats!$G$19)-Norm_Stats!$F$19)/(Norm_Stats!$G$19-Norm_Stats!$F$19))))</f>
        <v/>
      </c>
      <c r="AT16" s="14">
        <f>IF(AS16="","",1)</f>
        <v/>
      </c>
      <c r="AU16" s="11">
        <f>IF(OR(City_Inputs!$BJ16="",Norm_Stats!$F$26="",Norm_Stats!$G$26="",Norm_Stats!$G$26=Norm_Stats!$F$26),"",MAX(0,MIN(100,100*(MIN(MAX(City_Inputs!$BJ16,Norm_Stats!$F$26),Norm_Stats!$G$26)-Norm_Stats!$F$26)/(Norm_Stats!$G$26-Norm_Stats!$F$26))))</f>
        <v/>
      </c>
      <c r="AV16" s="11">
        <f>IF(AU16="","",1)</f>
        <v/>
      </c>
      <c r="AW16" s="15">
        <f>IF((IF(AO16="",0,5)+IF(AQ16="",0,5)+IF(AS16="",0,5)+IF(AU16="",0,4))=0,"",(IF(AO16="",0,AO16*5)+IF(AQ16="",0,AQ16*5)+IF(AS16="",0,AS16*5)+IF(AU16="",0,AU16*4))/(IF(AO16="",0,5)+IF(AQ16="",0,5)+IF(AS16="",0,5)+IF(AU16="",0,4)))</f>
        <v/>
      </c>
      <c r="AX16" s="14">
        <f>IF((IF(AP16="",0,5)+IF(AR16="",0,5)+IF(AT16="",0,5)+IF(AV16="",0,4))=0,"",(IF(AP16="",0,AP16*5)+IF(AR16="",0,AR16*5)+IF(AT16="",0,AT16*5)+IF(AV16="",0,AV16*4))/19)</f>
        <v/>
      </c>
      <c r="AY16" s="11">
        <f>IF(OR(City_Inputs!$AE16="",Norm_Stats!$F$20="",Norm_Stats!$G$20="",Norm_Stats!$G$20=Norm_Stats!$F$20),"",MAX(0,MIN(100,100*(MIN(MAX(City_Inputs!$AE16,Norm_Stats!$F$20),Norm_Stats!$G$20)-Norm_Stats!$F$20)/(Norm_Stats!$G$20-Norm_Stats!$F$20))))</f>
        <v/>
      </c>
      <c r="AZ16" s="14">
        <f>IF(AY16="","",1)</f>
        <v/>
      </c>
      <c r="BA16" s="11">
        <f>IF(OR(City_Inputs!$AF16="",Norm_Stats!$F$21="",Norm_Stats!$G$21="",Norm_Stats!$G$21=Norm_Stats!$F$21),"",MAX(0,MIN(100,100*(MIN(MAX(City_Inputs!$AF16,Norm_Stats!$F$21),Norm_Stats!$G$21)-Norm_Stats!$F$21)/(Norm_Stats!$G$21-Norm_Stats!$F$21))))</f>
        <v/>
      </c>
      <c r="BB16" s="14">
        <f>IF(BA16="","",1)</f>
        <v/>
      </c>
      <c r="BC16" s="11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(IF(OR(City_Inputs!$AG16="",Norm_Stats!$F$22="",Norm_Stats!$G$22="",Norm_Stats!$G$22=Norm_Stats!$F$22),"",MAX(0,MIN(100,100*(MIN(MAX(City_Inputs!$AG16,Norm_Stats!$F$22),Norm_Stats!$G$22)-Norm_Stats!$F$22)/(Norm_Stats!$G$22-Norm_Stats!$F$22)))))*0.5)+IF((IF(OR(City_Inputs!$AJ16="",Norm_Stats!$F$23="",Norm_Stats!$G$23="",Norm_Stats!$G$23=Norm_Stats!$F$23),"",MAX(0,MIN(100,100*(MIN(MAX(City_Inputs!$AJ16,Norm_Stats!$F$23),Norm_Stats!$G$23)-Norm_Stats!$F$23)/(Norm_Stats!$G$23-Norm_Stats!$F$23)))))="",0,(IF(OR(City_Inputs!$AJ16="",Norm_Stats!$F$23="",Norm_Stats!$G$23="",Norm_Stats!$G$23=Norm_Stats!$F$23),"",MAX(0,MIN(100,100*(MIN(MAX(City_Inputs!$AJ16,Norm_Stats!$F$23),Norm_Stats!$G$23)-Norm_Stats!$F$23)/(Norm_Stats!$G$23-Norm_Stats!$F$23)))))*0.3)+IF((IF(OR(City_Inputs!$AK16="",Norm_Stats!$F$24="",Norm_Stats!$G$24="",Norm_Stats!$G$24=Norm_Stats!$F$24),"",MAX(0,MIN(100,100*(MIN(MAX(City_Inputs!$AK16,Norm_Stats!$F$24),Norm_Stats!$G$24)-Norm_Stats!$F$24)/(Norm_Stats!$G$24-Norm_Stats!$F$24)))))="",0,(IF(OR(City_Inputs!$AK16="",Norm_Stats!$F$24="",Norm_Stats!$G$24="",Norm_Stats!$G$24=Norm_Stats!$F$24),"",MAX(0,MIN(100,100*(MIN(MAX(City_Inputs!$AK16,Norm_Stats!$F$24),Norm_Stats!$G$24)-Norm_Stats!$F$24)/(Norm_Stats!$G$24-Norm_Stats!$F$24)))))*0.2))/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D16" s="14">
        <f>IF(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=0,"",(IF((IF(OR(City_Inputs!$AG16="",Norm_Stats!$F$22="",Norm_Stats!$G$22="",Norm_Stats!$G$22=Norm_Stats!$F$22),"",MAX(0,MIN(100,100*(MIN(MAX(City_Inputs!$AG16,Norm_Stats!$F$22),Norm_Stats!$G$22)-Norm_Stats!$F$22)/(Norm_Stats!$G$22-Norm_Stats!$F$22)))))="",0,0.5)+IF((IF(OR(City_Inputs!$AJ16="",Norm_Stats!$F$23="",Norm_Stats!$G$23="",Norm_Stats!$G$23=Norm_Stats!$F$23),"",MAX(0,MIN(100,100*(MIN(MAX(City_Inputs!$AJ16,Norm_Stats!$F$23),Norm_Stats!$G$23)-Norm_Stats!$F$23)/(Norm_Stats!$G$23-Norm_Stats!$F$23)))))="",0,0.3)+IF((IF(OR(City_Inputs!$AK16="",Norm_Stats!$F$24="",Norm_Stats!$G$24="",Norm_Stats!$G$24=Norm_Stats!$F$24),"",MAX(0,MIN(100,100*(MIN(MAX(City_Inputs!$AK16,Norm_Stats!$F$24),Norm_Stats!$G$24)-Norm_Stats!$F$24)/(Norm_Stats!$G$24-Norm_Stats!$F$24)))))="",0,0.2)))</f>
        <v/>
      </c>
      <c r="BE16" s="11">
        <f>IF(OR(City_Inputs!$AH16="",Norm_Stats!$F$25="",Norm_Stats!$G$25="",Norm_Stats!$G$25=Norm_Stats!$F$25),"",MAX(0,MIN(100,100*(Norm_Stats!$G$25-MIN(MAX(City_Inputs!$AH16,Norm_Stats!$F$25),Norm_Stats!$G$25))/(Norm_Stats!$G$25-Norm_Stats!$F$25))))</f>
        <v/>
      </c>
      <c r="BF16" s="14">
        <f>IF(BE16="","",1)</f>
        <v/>
      </c>
      <c r="BG16" s="15">
        <f>IF((IF(AY16="",0,6)+IF(BA16="",0,5)+IF(BC16="",0,5)+IF(BE16="",0,4))=0,"",(IF(AY16="",0,AY16*6)+IF(BA16="",0,BA16*5)+IF(BC16="",0,BC16*5)+IF(BE16="",0,BE16*4))/(IF(AY16="",0,6)+IF(BA16="",0,5)+IF(BC16="",0,5)+IF(BE16="",0,4)))</f>
        <v/>
      </c>
      <c r="BH16" s="14">
        <f>IF((IF(AZ16="",0,6)+IF(BB16="",0,5)+IF(BD16="",0,5)+IF(BF16="",0,4))=0,"",(IF(AZ16="",0,AZ16*6)+IF(BB16="",0,BB16*5)+IF(BD16="",0,BD16*5)+IF(BF16="",0,BF16*4))/20)</f>
        <v/>
      </c>
      <c r="BI16" s="14">
        <f>IF(AND(R16="",AF16="",AN16="",AX16="",BH16=""),"",((R16*25)+(AF16*22)+(AN16*18)+(AX16*15)+(BH16*20))/100)</f>
        <v/>
      </c>
      <c r="BJ16" s="11">
        <f>IF(BI16="","",IF(BI16&gt;=0.75,"A",IF(BI16&gt;=0.5,"B",IF(BI16&gt;=0.35,"C","Watchlist"))))</f>
        <v/>
      </c>
      <c r="BK16" s="11">
        <f>IF(OR(BI16="",BI16&lt;0.5,R16="",R16&lt;0.35,AF16="",AF16&lt;0.35,AN16="",AN16&lt;0.35,AX16="",AX16&lt;0.35,BH16="",BH16&lt;0.35),"Watchlist","Ranked")</f>
        <v/>
      </c>
      <c r="BL16" s="15">
        <f>IF(AND(Q16="",AE16="",AM16="",AW16="",BG16=""),"",(IF(Q16="",0,Q16*25)+IF(AE16="",0,AE16*22)+IF(AM16="",0,AM16*18)+IF(AW16="",0,AW16*15)+IF(BG16="",0,BG16*20))/(IF(Q16="",0,25)+IF(AE16="",0,22)+IF(AM16="",0,18)+IF(AW16="",0,15)+IF(BG16="",0,20)))</f>
        <v/>
      </c>
      <c r="BM16" s="11">
        <f>IF(BK16="Ranked",1+COUNTIFS($BK$2:$BK$158,"Ranked",$BL$2:$BL$158,"&gt;"&amp;BL16),"")</f>
        <v/>
      </c>
      <c r="BN16" s="11">
        <f>City_Inputs!$AI16</f>
        <v/>
      </c>
    </row>
    <row r="17">
      <c r="A17" t="inlineStr">
        <is>
          <t>cn-shenzhen</t>
        </is>
      </c>
      <c r="B17" t="inlineStr">
        <is>
          <t>Shenzhen</t>
        </is>
      </c>
      <c r="C17" t="inlineStr">
        <is>
          <t>China</t>
        </is>
      </c>
      <c r="D17" t="inlineStr">
        <is>
          <t>East Asia</t>
        </is>
      </c>
      <c r="E17" t="inlineStr">
        <is>
          <t>provisional</t>
        </is>
      </c>
      <c r="F17" t="inlineStr">
        <is>
          <t>primary</t>
        </is>
      </c>
      <c r="G17" s="11">
        <f>IF(OR(City_Inputs!$M17="",Norm_Stats!$F$2="",Norm_Stats!$G$2="",Norm_Stats!$G$2=Norm_Stats!$F$2),"",MAX(0,MIN(100,100*(MIN(MAX(City_Inputs!$M17,Norm_Stats!$F$2),Norm_Stats!$G$2)-Norm_Stats!$F$2)/(Norm_Stats!$G$2-Norm_Stats!$F$2))))</f>
        <v/>
      </c>
      <c r="H17" s="14">
        <f>IF(G17="","",1)</f>
        <v/>
      </c>
      <c r="I17" s="11">
        <f>IF(OR(City_Inputs!$N17="",Norm_Stats!$F$3="",Norm_Stats!$G$3="",Norm_Stats!$G$3=Norm_Stats!$F$3),"",MAX(0,MIN(100,100*(Norm_Stats!$G$3-MIN(MAX(City_Inputs!$N17,Norm_Stats!$F$3),Norm_Stats!$G$3))/(Norm_Stats!$G$3-Norm_Stats!$F$3))))</f>
        <v/>
      </c>
      <c r="J17" s="14">
        <f>IF(I17="","",1)</f>
        <v/>
      </c>
      <c r="K17" s="11">
        <f>IF(OR(City_Inputs!$P17="",Norm_Stats!$F$4="",Norm_Stats!$G$4="",Norm_Stats!$G$4=Norm_Stats!$F$4),"",MAX(0,MIN(100,100*(Norm_Stats!$G$4-MIN(MAX(City_Inputs!$P17,Norm_Stats!$F$4),Norm_Stats!$G$4))/(Norm_Stats!$G$4-Norm_Stats!$F$4))))</f>
        <v/>
      </c>
      <c r="L17" s="14">
        <f>IF(K17="","",1)</f>
        <v/>
      </c>
      <c r="M17" s="11">
        <f>IF(OR(City_Inputs!$Q17="",Norm_Stats!$F$5="",Norm_Stats!$G$5="",Norm_Stats!$G$5=Norm_Stats!$F$5),"",MAX(0,MIN(100,100*(Norm_Stats!$G$5-MIN(MAX(City_Inputs!$Q17,Norm_Stats!$F$5),Norm_Stats!$G$5))/(Norm_Stats!$G$5-Norm_Stats!$F$5))))</f>
        <v/>
      </c>
      <c r="N17" s="14">
        <f>IF(M17="","",1)</f>
        <v/>
      </c>
      <c r="O17" s="11">
        <f>IF(OR(City_Inputs!$R17="",Norm_Stats!$F$6="",Norm_Stats!$G$6="",Norm_Stats!$G$6=Norm_Stats!$F$6),"",MAX(0,MIN(100,100*(Norm_Stats!$G$6-MIN(MAX(City_Inputs!$R17,Norm_Stats!$F$6),Norm_Stats!$G$6))/(Norm_Stats!$G$6-Norm_Stats!$F$6))))</f>
        <v/>
      </c>
      <c r="P17" s="14">
        <f>IF(O17="","",1)</f>
        <v/>
      </c>
      <c r="Q17" s="15">
        <f>IF((IF(G17="",0,9)+IF(I17="",0,5)+IF(K17="",0,4)+IF(M17="",0,4)+IF(O17="",0,5))=0,"",(IF(G17="",0,G17*9)+IF(I17="",0,I17*5)+IF(K17="",0,K17*4)+IF(M17="",0,M17*4)+IF(O17="",0,O17*5))/(IF(G17="",0,9)+IF(I17="",0,5)+IF(K17="",0,4)+IF(M17="",0,4)+IF(O17="",0,5)))</f>
        <v/>
      </c>
      <c r="R17" s="14">
        <f>IF((IF(H17="",0,9)+IF(J17="",0,5)+IF(L17="",0,4)+IF(N17="",0,4)+IF(P17="",0,5))=0,"",(IF(H17="",0,H17*9)+IF(J17="",0,J17*5)+IF(L17="",0,L17*4)+IF(N17="",0,N17*4)+IF(P17="",0,P17*5))/27)</f>
        <v/>
      </c>
      <c r="S17" s="11">
        <f>IF(OR(City_Inputs!$S17="",Norm_Stats!$F$7="",Norm_Stats!$G$7="",Norm_Stats!$G$7=Norm_Stats!$F$7),"",MAX(0,MIN(100,100*(Norm_Stats!$G$7-MIN(MAX(City_Inputs!$S17,Norm_Stats!$F$7),Norm_Stats!$G$7))/(Norm_Stats!$G$7-Norm_Stats!$F$7))))</f>
        <v/>
      </c>
      <c r="T17" s="14">
        <f>IF(S17="","",1)</f>
        <v/>
      </c>
      <c r="U17" s="11">
        <f>IF(OR(City_Inputs!$T17="",Norm_Stats!$F$8="",Norm_Stats!$G$8="",Norm_Stats!$G$8=Norm_Stats!$F$8),"",MAX(0,MIN(100,100*(MIN(MAX(City_Inputs!$T17,Norm_Stats!$F$8),Norm_Stats!$G$8)-Norm_Stats!$F$8)/(Norm_Stats!$G$8-Norm_Stats!$F$8))))</f>
        <v/>
      </c>
      <c r="V17" s="14">
        <f>IF(U17="","",1)</f>
        <v/>
      </c>
      <c r="W17" s="11">
        <f>IF(OR(City_Inputs!$U17="",Norm_Stats!$F$9="",Norm_Stats!$G$9="",Norm_Stats!$G$9=Norm_Stats!$F$9),"",MAX(0,MIN(100,100*(Norm_Stats!$G$9-MIN(MAX(City_Inputs!$U17,Norm_Stats!$F$9),Norm_Stats!$G$9))/(Norm_Stats!$G$9-Norm_Stats!$F$9))))</f>
        <v/>
      </c>
      <c r="X17" s="14">
        <f>IF(W17="","",1)</f>
        <v/>
      </c>
      <c r="Y17" s="11">
        <f>IF(OR(City_Inputs!$V17="",Norm_Stats!$F$10="",Norm_Stats!$G$10="",Norm_Stats!$G$10=Norm_Stats!$F$10),"",MAX(0,MIN(100,100*(MIN(MAX(City_Inputs!$V17,Norm_Stats!$F$10),Norm_Stats!$G$10)-Norm_Stats!$F$10)/(Norm_Stats!$G$10-Norm_Stats!$F$10))))</f>
        <v/>
      </c>
      <c r="Z17" s="14">
        <f>IF(Y17="","",1)</f>
        <v/>
      </c>
      <c r="AA17" s="11">
        <f>IF(OR(City_Inputs!$W17="",Norm_Stats!$F$11="",Norm_Stats!$G$11="",Norm_Stats!$G$11=Norm_Stats!$F$11),"",MAX(0,MIN(100,100*(MIN(MAX(City_Inputs!$W17,Norm_Stats!$F$11),Norm_Stats!$G$11)-Norm_Stats!$F$11)/(Norm_Stats!$G$11-Norm_Stats!$F$11))))</f>
        <v/>
      </c>
      <c r="AB17" s="14">
        <f>IF(AA17="","",1)</f>
        <v/>
      </c>
      <c r="AC17" s="11">
        <f>IF(OR(City_Inputs!$X17="",Norm_Stats!$F$12="",Norm_Stats!$G$12="",Norm_Stats!$G$12=Norm_Stats!$F$12),"",MAX(0,MIN(100,100*(MIN(MAX(City_Inputs!$X17,Norm_Stats!$F$12),Norm_Stats!$G$12)-Norm_Stats!$F$12)/(Norm_Stats!$G$12-Norm_Stats!$F$12))))</f>
        <v/>
      </c>
      <c r="AD17" s="11">
        <f>IF(AC17="","",1)</f>
        <v/>
      </c>
      <c r="AE17" s="15">
        <f>IF((IF(S17="",0,5)+IF(U17="",0,5)+IF(W17="",0,4)+IF(Y17="",0,4)+IF(AA17="",0,4)+IF(AC17="",0,5))=0,"",(IF(S17="",0,S17*5)+IF(U17="",0,U17*5)+IF(W17="",0,W17*4)+IF(Y17="",0,Y17*4)+IF(AA17="",0,AA17*4)+IF(AC17="",0,AC17*5))/(IF(S17="",0,5)+IF(U17="",0,5)+IF(W17="",0,4)+IF(Y17="",0,4)+IF(AA17="",0,4)+IF(AC17="",0,5)))</f>
        <v/>
      </c>
      <c r="AF17" s="14">
        <f>IF((IF(T17="",0,5)+IF(V17="",0,5)+IF(X17="",0,4)+IF(Z17="",0,4)+IF(AB17="",0,4)+IF(AD17="",0,5))=0,"",(IF(T17="",0,T17*5)+IF(V17="",0,V17*5)+IF(X17="",0,X17*4)+IF(Z17="",0,Z17*4)+IF(AB17="",0,AB17*4)+IF(AD17="",0,AD17*5))/27)</f>
        <v/>
      </c>
      <c r="AG17" s="11">
        <f>IF(OR(City_Inputs!$Y17="",Norm_Stats!$F$13="",Norm_Stats!$G$13="",Norm_Stats!$G$13=Norm_Stats!$F$13),"",MAX(0,MIN(100,100*(MIN(MAX(City_Inputs!$Y17,Norm_Stats!$F$13),Norm_Stats!$G$13)-Norm_Stats!$F$13)/(Norm_Stats!$G$13-Norm_Stats!$F$13))))</f>
        <v/>
      </c>
      <c r="AH17" s="14">
        <f>IF(AG17="","",1)</f>
        <v/>
      </c>
      <c r="AI17" s="11">
        <f>IF(OR(City_Inputs!$Z17="",Norm_Stats!$F$14="",Norm_Stats!$G$14="",Norm_Stats!$G$14=Norm_Stats!$F$14),"",MAX(0,MIN(100,100*(MIN(MAX(City_Inputs!$Z17,Norm_Stats!$F$14),Norm_Stats!$G$14)-Norm_Stats!$F$14)/(Norm_Stats!$G$14-Norm_Stats!$F$14))))</f>
        <v/>
      </c>
      <c r="AJ17" s="14">
        <f>IF(AI17="","",1)</f>
        <v/>
      </c>
      <c r="AK17" s="11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(IF(OR(City_Inputs!$AA17="",Norm_Stats!$F$15="",Norm_Stats!$G$15="",Norm_Stats!$G$15=Norm_Stats!$F$15),"",MAX(0,MIN(100,100*(MIN(MAX(City_Inputs!$AA17,Norm_Stats!$F$15),Norm_Stats!$G$15)-Norm_Stats!$F$15)/(Norm_Stats!$G$15-Norm_Stats!$F$15)))))*0.7)+IF((IF(OR(City_Inputs!$AL17="",Norm_Stats!$F$16="",Norm_Stats!$G$16="",Norm_Stats!$G$16=Norm_Stats!$F$16),"",MAX(0,MIN(100,100*(Norm_Stats!$G$16-MIN(MAX(City_Inputs!$AL17,Norm_Stats!$F$16),Norm_Stats!$G$16))/(Norm_Stats!$G$16-Norm_Stats!$F$16)))))="",0,(IF(OR(City_Inputs!$AL17="",Norm_Stats!$F$16="",Norm_Stats!$G$16="",Norm_Stats!$G$16=Norm_Stats!$F$16),"",MAX(0,MIN(100,100*(Norm_Stats!$G$16-MIN(MAX(City_Inputs!$AL17,Norm_Stats!$F$16),Norm_Stats!$G$16))/(Norm_Stats!$G$16-Norm_Stats!$F$16)))))*0.3))/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L17" s="14">
        <f>IF(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=0,"",(IF((IF(OR(City_Inputs!$AA17="",Norm_Stats!$F$15="",Norm_Stats!$G$15="",Norm_Stats!$G$15=Norm_Stats!$F$15),"",MAX(0,MIN(100,100*(MIN(MAX(City_Inputs!$AA17,Norm_Stats!$F$15),Norm_Stats!$G$15)-Norm_Stats!$F$15)/(Norm_Stats!$G$15-Norm_Stats!$F$15)))))="",0,0.7)+IF((IF(OR(City_Inputs!$AL17="",Norm_Stats!$F$16="",Norm_Stats!$G$16="",Norm_Stats!$G$16=Norm_Stats!$F$16),"",MAX(0,MIN(100,100*(Norm_Stats!$G$16-MIN(MAX(City_Inputs!$AL17,Norm_Stats!$F$16),Norm_Stats!$G$16))/(Norm_Stats!$G$16-Norm_Stats!$F$16)))))="",0,0.3)))</f>
        <v/>
      </c>
      <c r="AM17" s="15">
        <f>IF((IF(AG17="",0,8)+IF(AI17="",0,6)+IF(AK17="",0,4))=0,"",(IF(AG17="",0,AG17*8)+IF(AI17="",0,AI17*6)+IF(AK17="",0,AK17*4))/(IF(AG17="",0,8)+IF(AI17="",0,6)+IF(AK17="",0,4)))</f>
        <v/>
      </c>
      <c r="AN17" s="14">
        <f>IF((IF(AH17="",0,8)+IF(AJ17="",0,6)+IF(AL17="",0,4))=0,"",(IF(AH17="",0,AH17*8)+IF(AJ17="",0,AJ17*6)+IF(AL17="",0,AL17*4))/18)</f>
        <v/>
      </c>
      <c r="AO17" s="11">
        <f>IF(OR(City_Inputs!$AB17="",Norm_Stats!$F$17="",Norm_Stats!$G$17="",Norm_Stats!$G$17=Norm_Stats!$F$17),"",MAX(0,MIN(100,100*(MIN(MAX(City_Inputs!$AB17,Norm_Stats!$F$17),Norm_Stats!$G$17)-Norm_Stats!$F$17)/(Norm_Stats!$G$17-Norm_Stats!$F$17))))</f>
        <v/>
      </c>
      <c r="AP17" s="14">
        <f>IF(AO17="","",1)</f>
        <v/>
      </c>
      <c r="AQ17" s="11">
        <f>IF(OR(City_Inputs!$AC17="",Norm_Stats!$F$18="",Norm_Stats!$G$18="",Norm_Stats!$G$18=Norm_Stats!$F$18),"",MAX(0,MIN(100,100*(MIN(MAX(City_Inputs!$AC17,Norm_Stats!$F$18),Norm_Stats!$G$18)-Norm_Stats!$F$18)/(Norm_Stats!$G$18-Norm_Stats!$F$18))))</f>
        <v/>
      </c>
      <c r="AR17" s="14">
        <f>IF(AQ17="","",1)</f>
        <v/>
      </c>
      <c r="AS17" s="11">
        <f>IF(OR(City_Inputs!$AD17="",Norm_Stats!$F$19="",Norm_Stats!$G$19="",Norm_Stats!$G$19=Norm_Stats!$F$19),"",MAX(0,MIN(100,100*(MIN(MAX(City_Inputs!$AD17,Norm_Stats!$F$19),Norm_Stats!$G$19)-Norm_Stats!$F$19)/(Norm_Stats!$G$19-Norm_Stats!$F$19))))</f>
        <v/>
      </c>
      <c r="AT17" s="14">
        <f>IF(AS17="","",1)</f>
        <v/>
      </c>
      <c r="AU17" s="11">
        <f>IF(OR(City_Inputs!$BJ17="",Norm_Stats!$F$26="",Norm_Stats!$G$26="",Norm_Stats!$G$26=Norm_Stats!$F$26),"",MAX(0,MIN(100,100*(MIN(MAX(City_Inputs!$BJ17,Norm_Stats!$F$26),Norm_Stats!$G$26)-Norm_Stats!$F$26)/(Norm_Stats!$G$26-Norm_Stats!$F$26))))</f>
        <v/>
      </c>
      <c r="AV17" s="11">
        <f>IF(AU17="","",1)</f>
        <v/>
      </c>
      <c r="AW17" s="15">
        <f>IF((IF(AO17="",0,5)+IF(AQ17="",0,5)+IF(AS17="",0,5)+IF(AU17="",0,4))=0,"",(IF(AO17="",0,AO17*5)+IF(AQ17="",0,AQ17*5)+IF(AS17="",0,AS17*5)+IF(AU17="",0,AU17*4))/(IF(AO17="",0,5)+IF(AQ17="",0,5)+IF(AS17="",0,5)+IF(AU17="",0,4)))</f>
        <v/>
      </c>
      <c r="AX17" s="14">
        <f>IF((IF(AP17="",0,5)+IF(AR17="",0,5)+IF(AT17="",0,5)+IF(AV17="",0,4))=0,"",(IF(AP17="",0,AP17*5)+IF(AR17="",0,AR17*5)+IF(AT17="",0,AT17*5)+IF(AV17="",0,AV17*4))/19)</f>
        <v/>
      </c>
      <c r="AY17" s="11">
        <f>IF(OR(City_Inputs!$AE17="",Norm_Stats!$F$20="",Norm_Stats!$G$20="",Norm_Stats!$G$20=Norm_Stats!$F$20),"",MAX(0,MIN(100,100*(MIN(MAX(City_Inputs!$AE17,Norm_Stats!$F$20),Norm_Stats!$G$20)-Norm_Stats!$F$20)/(Norm_Stats!$G$20-Norm_Stats!$F$20))))</f>
        <v/>
      </c>
      <c r="AZ17" s="14">
        <f>IF(AY17="","",1)</f>
        <v/>
      </c>
      <c r="BA17" s="11">
        <f>IF(OR(City_Inputs!$AF17="",Norm_Stats!$F$21="",Norm_Stats!$G$21="",Norm_Stats!$G$21=Norm_Stats!$F$21),"",MAX(0,MIN(100,100*(MIN(MAX(City_Inputs!$AF17,Norm_Stats!$F$21),Norm_Stats!$G$21)-Norm_Stats!$F$21)/(Norm_Stats!$G$21-Norm_Stats!$F$21))))</f>
        <v/>
      </c>
      <c r="BB17" s="14">
        <f>IF(BA17="","",1)</f>
        <v/>
      </c>
      <c r="BC17" s="11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(IF(OR(City_Inputs!$AG17="",Norm_Stats!$F$22="",Norm_Stats!$G$22="",Norm_Stats!$G$22=Norm_Stats!$F$22),"",MAX(0,MIN(100,100*(MIN(MAX(City_Inputs!$AG17,Norm_Stats!$F$22),Norm_Stats!$G$22)-Norm_Stats!$F$22)/(Norm_Stats!$G$22-Norm_Stats!$F$22)))))*0.5)+IF((IF(OR(City_Inputs!$AJ17="",Norm_Stats!$F$23="",Norm_Stats!$G$23="",Norm_Stats!$G$23=Norm_Stats!$F$23),"",MAX(0,MIN(100,100*(MIN(MAX(City_Inputs!$AJ17,Norm_Stats!$F$23),Norm_Stats!$G$23)-Norm_Stats!$F$23)/(Norm_Stats!$G$23-Norm_Stats!$F$23)))))="",0,(IF(OR(City_Inputs!$AJ17="",Norm_Stats!$F$23="",Norm_Stats!$G$23="",Norm_Stats!$G$23=Norm_Stats!$F$23),"",MAX(0,MIN(100,100*(MIN(MAX(City_Inputs!$AJ17,Norm_Stats!$F$23),Norm_Stats!$G$23)-Norm_Stats!$F$23)/(Norm_Stats!$G$23-Norm_Stats!$F$23)))))*0.3)+IF((IF(OR(City_Inputs!$AK17="",Norm_Stats!$F$24="",Norm_Stats!$G$24="",Norm_Stats!$G$24=Norm_Stats!$F$24),"",MAX(0,MIN(100,100*(MIN(MAX(City_Inputs!$AK17,Norm_Stats!$F$24),Norm_Stats!$G$24)-Norm_Stats!$F$24)/(Norm_Stats!$G$24-Norm_Stats!$F$24)))))="",0,(IF(OR(City_Inputs!$AK17="",Norm_Stats!$F$24="",Norm_Stats!$G$24="",Norm_Stats!$G$24=Norm_Stats!$F$24),"",MAX(0,MIN(100,100*(MIN(MAX(City_Inputs!$AK17,Norm_Stats!$F$24),Norm_Stats!$G$24)-Norm_Stats!$F$24)/(Norm_Stats!$G$24-Norm_Stats!$F$24)))))*0.2))/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D17" s="14">
        <f>IF(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=0,"",(IF((IF(OR(City_Inputs!$AG17="",Norm_Stats!$F$22="",Norm_Stats!$G$22="",Norm_Stats!$G$22=Norm_Stats!$F$22),"",MAX(0,MIN(100,100*(MIN(MAX(City_Inputs!$AG17,Norm_Stats!$F$22),Norm_Stats!$G$22)-Norm_Stats!$F$22)/(Norm_Stats!$G$22-Norm_Stats!$F$22)))))="",0,0.5)+IF((IF(OR(City_Inputs!$AJ17="",Norm_Stats!$F$23="",Norm_Stats!$G$23="",Norm_Stats!$G$23=Norm_Stats!$F$23),"",MAX(0,MIN(100,100*(MIN(MAX(City_Inputs!$AJ17,Norm_Stats!$F$23),Norm_Stats!$G$23)-Norm_Stats!$F$23)/(Norm_Stats!$G$23-Norm_Stats!$F$23)))))="",0,0.3)+IF((IF(OR(City_Inputs!$AK17="",Norm_Stats!$F$24="",Norm_Stats!$G$24="",Norm_Stats!$G$24=Norm_Stats!$F$24),"",MAX(0,MIN(100,100*(MIN(MAX(City_Inputs!$AK17,Norm_Stats!$F$24),Norm_Stats!$G$24)-Norm_Stats!$F$24)/(Norm_Stats!$G$24-Norm_Stats!$F$24)))))="",0,0.2)))</f>
        <v/>
      </c>
      <c r="BE17" s="11">
        <f>IF(OR(City_Inputs!$AH17="",Norm_Stats!$F$25="",Norm_Stats!$G$25="",Norm_Stats!$G$25=Norm_Stats!$F$25),"",MAX(0,MIN(100,100*(Norm_Stats!$G$25-MIN(MAX(City_Inputs!$AH17,Norm_Stats!$F$25),Norm_Stats!$G$25))/(Norm_Stats!$G$25-Norm_Stats!$F$25))))</f>
        <v/>
      </c>
      <c r="BF17" s="14">
        <f>IF(BE17="","",1)</f>
        <v/>
      </c>
      <c r="BG17" s="15">
        <f>IF((IF(AY17="",0,6)+IF(BA17="",0,5)+IF(BC17="",0,5)+IF(BE17="",0,4))=0,"",(IF(AY17="",0,AY17*6)+IF(BA17="",0,BA17*5)+IF(BC17="",0,BC17*5)+IF(BE17="",0,BE17*4))/(IF(AY17="",0,6)+IF(BA17="",0,5)+IF(BC17="",0,5)+IF(BE17="",0,4)))</f>
        <v/>
      </c>
      <c r="BH17" s="14">
        <f>IF((IF(AZ17="",0,6)+IF(BB17="",0,5)+IF(BD17="",0,5)+IF(BF17="",0,4))=0,"",(IF(AZ17="",0,AZ17*6)+IF(BB17="",0,BB17*5)+IF(BD17="",0,BD17*5)+IF(BF17="",0,BF17*4))/20)</f>
        <v/>
      </c>
      <c r="BI17" s="14">
        <f>IF(AND(R17="",AF17="",AN17="",AX17="",BH17=""),"",((R17*25)+(AF17*22)+(AN17*18)+(AX17*15)+(BH17*20))/100)</f>
        <v/>
      </c>
      <c r="BJ17" s="11">
        <f>IF(BI17="","",IF(BI17&gt;=0.75,"A",IF(BI17&gt;=0.5,"B",IF(BI17&gt;=0.35,"C","Watchlist"))))</f>
        <v/>
      </c>
      <c r="BK17" s="11">
        <f>IF(OR(BI17="",BI17&lt;0.5,R17="",R17&lt;0.35,AF17="",AF17&lt;0.35,AN17="",AN17&lt;0.35,AX17="",AX17&lt;0.35,BH17="",BH17&lt;0.35),"Watchlist","Ranked")</f>
        <v/>
      </c>
      <c r="BL17" s="15">
        <f>IF(AND(Q17="",AE17="",AM17="",AW17="",BG17=""),"",(IF(Q17="",0,Q17*25)+IF(AE17="",0,AE17*22)+IF(AM17="",0,AM17*18)+IF(AW17="",0,AW17*15)+IF(BG17="",0,BG17*20))/(IF(Q17="",0,25)+IF(AE17="",0,22)+IF(AM17="",0,18)+IF(AW17="",0,15)+IF(BG17="",0,20)))</f>
        <v/>
      </c>
      <c r="BM17" s="11">
        <f>IF(BK17="Ranked",1+COUNTIFS($BK$2:$BK$158,"Ranked",$BL$2:$BL$158,"&gt;"&amp;BL17),"")</f>
        <v/>
      </c>
      <c r="BN17" s="11">
        <f>City_Inputs!$AI17</f>
        <v/>
      </c>
    </row>
    <row r="18">
      <c r="A18" t="inlineStr">
        <is>
          <t>cn-chengdu</t>
        </is>
      </c>
      <c r="B18" t="inlineStr">
        <is>
          <t>Chengdu</t>
        </is>
      </c>
      <c r="C18" t="inlineStr">
        <is>
          <t>China</t>
        </is>
      </c>
      <c r="D18" t="inlineStr">
        <is>
          <t>East Asia</t>
        </is>
      </c>
      <c r="E18" t="inlineStr">
        <is>
          <t>provisional</t>
        </is>
      </c>
      <c r="F18" t="inlineStr">
        <is>
          <t>primary</t>
        </is>
      </c>
      <c r="G18" s="11">
        <f>IF(OR(City_Inputs!$M18="",Norm_Stats!$F$2="",Norm_Stats!$G$2="",Norm_Stats!$G$2=Norm_Stats!$F$2),"",MAX(0,MIN(100,100*(MIN(MAX(City_Inputs!$M18,Norm_Stats!$F$2),Norm_Stats!$G$2)-Norm_Stats!$F$2)/(Norm_Stats!$G$2-Norm_Stats!$F$2))))</f>
        <v/>
      </c>
      <c r="H18" s="14">
        <f>IF(G18="","",1)</f>
        <v/>
      </c>
      <c r="I18" s="11">
        <f>IF(OR(City_Inputs!$N18="",Norm_Stats!$F$3="",Norm_Stats!$G$3="",Norm_Stats!$G$3=Norm_Stats!$F$3),"",MAX(0,MIN(100,100*(Norm_Stats!$G$3-MIN(MAX(City_Inputs!$N18,Norm_Stats!$F$3),Norm_Stats!$G$3))/(Norm_Stats!$G$3-Norm_Stats!$F$3))))</f>
        <v/>
      </c>
      <c r="J18" s="14">
        <f>IF(I18="","",1)</f>
        <v/>
      </c>
      <c r="K18" s="11">
        <f>IF(OR(City_Inputs!$P18="",Norm_Stats!$F$4="",Norm_Stats!$G$4="",Norm_Stats!$G$4=Norm_Stats!$F$4),"",MAX(0,MIN(100,100*(Norm_Stats!$G$4-MIN(MAX(City_Inputs!$P18,Norm_Stats!$F$4),Norm_Stats!$G$4))/(Norm_Stats!$G$4-Norm_Stats!$F$4))))</f>
        <v/>
      </c>
      <c r="L18" s="14">
        <f>IF(K18="","",1)</f>
        <v/>
      </c>
      <c r="M18" s="11">
        <f>IF(OR(City_Inputs!$Q18="",Norm_Stats!$F$5="",Norm_Stats!$G$5="",Norm_Stats!$G$5=Norm_Stats!$F$5),"",MAX(0,MIN(100,100*(Norm_Stats!$G$5-MIN(MAX(City_Inputs!$Q18,Norm_Stats!$F$5),Norm_Stats!$G$5))/(Norm_Stats!$G$5-Norm_Stats!$F$5))))</f>
        <v/>
      </c>
      <c r="N18" s="14">
        <f>IF(M18="","",1)</f>
        <v/>
      </c>
      <c r="O18" s="11">
        <f>IF(OR(City_Inputs!$R18="",Norm_Stats!$F$6="",Norm_Stats!$G$6="",Norm_Stats!$G$6=Norm_Stats!$F$6),"",MAX(0,MIN(100,100*(Norm_Stats!$G$6-MIN(MAX(City_Inputs!$R18,Norm_Stats!$F$6),Norm_Stats!$G$6))/(Norm_Stats!$G$6-Norm_Stats!$F$6))))</f>
        <v/>
      </c>
      <c r="P18" s="14">
        <f>IF(O18="","",1)</f>
        <v/>
      </c>
      <c r="Q18" s="15">
        <f>IF((IF(G18="",0,9)+IF(I18="",0,5)+IF(K18="",0,4)+IF(M18="",0,4)+IF(O18="",0,5))=0,"",(IF(G18="",0,G18*9)+IF(I18="",0,I18*5)+IF(K18="",0,K18*4)+IF(M18="",0,M18*4)+IF(O18="",0,O18*5))/(IF(G18="",0,9)+IF(I18="",0,5)+IF(K18="",0,4)+IF(M18="",0,4)+IF(O18="",0,5)))</f>
        <v/>
      </c>
      <c r="R18" s="14">
        <f>IF((IF(H18="",0,9)+IF(J18="",0,5)+IF(L18="",0,4)+IF(N18="",0,4)+IF(P18="",0,5))=0,"",(IF(H18="",0,H18*9)+IF(J18="",0,J18*5)+IF(L18="",0,L18*4)+IF(N18="",0,N18*4)+IF(P18="",0,P18*5))/27)</f>
        <v/>
      </c>
      <c r="S18" s="11">
        <f>IF(OR(City_Inputs!$S18="",Norm_Stats!$F$7="",Norm_Stats!$G$7="",Norm_Stats!$G$7=Norm_Stats!$F$7),"",MAX(0,MIN(100,100*(Norm_Stats!$G$7-MIN(MAX(City_Inputs!$S18,Norm_Stats!$F$7),Norm_Stats!$G$7))/(Norm_Stats!$G$7-Norm_Stats!$F$7))))</f>
        <v/>
      </c>
      <c r="T18" s="14">
        <f>IF(S18="","",1)</f>
        <v/>
      </c>
      <c r="U18" s="11">
        <f>IF(OR(City_Inputs!$T18="",Norm_Stats!$F$8="",Norm_Stats!$G$8="",Norm_Stats!$G$8=Norm_Stats!$F$8),"",MAX(0,MIN(100,100*(MIN(MAX(City_Inputs!$T18,Norm_Stats!$F$8),Norm_Stats!$G$8)-Norm_Stats!$F$8)/(Norm_Stats!$G$8-Norm_Stats!$F$8))))</f>
        <v/>
      </c>
      <c r="V18" s="14">
        <f>IF(U18="","",1)</f>
        <v/>
      </c>
      <c r="W18" s="11">
        <f>IF(OR(City_Inputs!$U18="",Norm_Stats!$F$9="",Norm_Stats!$G$9="",Norm_Stats!$G$9=Norm_Stats!$F$9),"",MAX(0,MIN(100,100*(Norm_Stats!$G$9-MIN(MAX(City_Inputs!$U18,Norm_Stats!$F$9),Norm_Stats!$G$9))/(Norm_Stats!$G$9-Norm_Stats!$F$9))))</f>
        <v/>
      </c>
      <c r="X18" s="14">
        <f>IF(W18="","",1)</f>
        <v/>
      </c>
      <c r="Y18" s="11">
        <f>IF(OR(City_Inputs!$V18="",Norm_Stats!$F$10="",Norm_Stats!$G$10="",Norm_Stats!$G$10=Norm_Stats!$F$10),"",MAX(0,MIN(100,100*(MIN(MAX(City_Inputs!$V18,Norm_Stats!$F$10),Norm_Stats!$G$10)-Norm_Stats!$F$10)/(Norm_Stats!$G$10-Norm_Stats!$F$10))))</f>
        <v/>
      </c>
      <c r="Z18" s="14">
        <f>IF(Y18="","",1)</f>
        <v/>
      </c>
      <c r="AA18" s="11">
        <f>IF(OR(City_Inputs!$W18="",Norm_Stats!$F$11="",Norm_Stats!$G$11="",Norm_Stats!$G$11=Norm_Stats!$F$11),"",MAX(0,MIN(100,100*(MIN(MAX(City_Inputs!$W18,Norm_Stats!$F$11),Norm_Stats!$G$11)-Norm_Stats!$F$11)/(Norm_Stats!$G$11-Norm_Stats!$F$11))))</f>
        <v/>
      </c>
      <c r="AB18" s="14">
        <f>IF(AA18="","",1)</f>
        <v/>
      </c>
      <c r="AC18" s="11">
        <f>IF(OR(City_Inputs!$X18="",Norm_Stats!$F$12="",Norm_Stats!$G$12="",Norm_Stats!$G$12=Norm_Stats!$F$12),"",MAX(0,MIN(100,100*(MIN(MAX(City_Inputs!$X18,Norm_Stats!$F$12),Norm_Stats!$G$12)-Norm_Stats!$F$12)/(Norm_Stats!$G$12-Norm_Stats!$F$12))))</f>
        <v/>
      </c>
      <c r="AD18" s="11">
        <f>IF(AC18="","",1)</f>
        <v/>
      </c>
      <c r="AE18" s="15">
        <f>IF((IF(S18="",0,5)+IF(U18="",0,5)+IF(W18="",0,4)+IF(Y18="",0,4)+IF(AA18="",0,4)+IF(AC18="",0,5))=0,"",(IF(S18="",0,S18*5)+IF(U18="",0,U18*5)+IF(W18="",0,W18*4)+IF(Y18="",0,Y18*4)+IF(AA18="",0,AA18*4)+IF(AC18="",0,AC18*5))/(IF(S18="",0,5)+IF(U18="",0,5)+IF(W18="",0,4)+IF(Y18="",0,4)+IF(AA18="",0,4)+IF(AC18="",0,5)))</f>
        <v/>
      </c>
      <c r="AF18" s="14">
        <f>IF((IF(T18="",0,5)+IF(V18="",0,5)+IF(X18="",0,4)+IF(Z18="",0,4)+IF(AB18="",0,4)+IF(AD18="",0,5))=0,"",(IF(T18="",0,T18*5)+IF(V18="",0,V18*5)+IF(X18="",0,X18*4)+IF(Z18="",0,Z18*4)+IF(AB18="",0,AB18*4)+IF(AD18="",0,AD18*5))/27)</f>
        <v/>
      </c>
      <c r="AG18" s="11">
        <f>IF(OR(City_Inputs!$Y18="",Norm_Stats!$F$13="",Norm_Stats!$G$13="",Norm_Stats!$G$13=Norm_Stats!$F$13),"",MAX(0,MIN(100,100*(MIN(MAX(City_Inputs!$Y18,Norm_Stats!$F$13),Norm_Stats!$G$13)-Norm_Stats!$F$13)/(Norm_Stats!$G$13-Norm_Stats!$F$13))))</f>
        <v/>
      </c>
      <c r="AH18" s="14">
        <f>IF(AG18="","",1)</f>
        <v/>
      </c>
      <c r="AI18" s="11">
        <f>IF(OR(City_Inputs!$Z18="",Norm_Stats!$F$14="",Norm_Stats!$G$14="",Norm_Stats!$G$14=Norm_Stats!$F$14),"",MAX(0,MIN(100,100*(MIN(MAX(City_Inputs!$Z18,Norm_Stats!$F$14),Norm_Stats!$G$14)-Norm_Stats!$F$14)/(Norm_Stats!$G$14-Norm_Stats!$F$14))))</f>
        <v/>
      </c>
      <c r="AJ18" s="14">
        <f>IF(AI18="","",1)</f>
        <v/>
      </c>
      <c r="AK18" s="11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(IF(OR(City_Inputs!$AA18="",Norm_Stats!$F$15="",Norm_Stats!$G$15="",Norm_Stats!$G$15=Norm_Stats!$F$15),"",MAX(0,MIN(100,100*(MIN(MAX(City_Inputs!$AA18,Norm_Stats!$F$15),Norm_Stats!$G$15)-Norm_Stats!$F$15)/(Norm_Stats!$G$15-Norm_Stats!$F$15)))))*0.7)+IF((IF(OR(City_Inputs!$AL18="",Norm_Stats!$F$16="",Norm_Stats!$G$16="",Norm_Stats!$G$16=Norm_Stats!$F$16),"",MAX(0,MIN(100,100*(Norm_Stats!$G$16-MIN(MAX(City_Inputs!$AL18,Norm_Stats!$F$16),Norm_Stats!$G$16))/(Norm_Stats!$G$16-Norm_Stats!$F$16)))))="",0,(IF(OR(City_Inputs!$AL18="",Norm_Stats!$F$16="",Norm_Stats!$G$16="",Norm_Stats!$G$16=Norm_Stats!$F$16),"",MAX(0,MIN(100,100*(Norm_Stats!$G$16-MIN(MAX(City_Inputs!$AL18,Norm_Stats!$F$16),Norm_Stats!$G$16))/(Norm_Stats!$G$16-Norm_Stats!$F$16)))))*0.3))/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L18" s="14">
        <f>IF(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=0,"",(IF((IF(OR(City_Inputs!$AA18="",Norm_Stats!$F$15="",Norm_Stats!$G$15="",Norm_Stats!$G$15=Norm_Stats!$F$15),"",MAX(0,MIN(100,100*(MIN(MAX(City_Inputs!$AA18,Norm_Stats!$F$15),Norm_Stats!$G$15)-Norm_Stats!$F$15)/(Norm_Stats!$G$15-Norm_Stats!$F$15)))))="",0,0.7)+IF((IF(OR(City_Inputs!$AL18="",Norm_Stats!$F$16="",Norm_Stats!$G$16="",Norm_Stats!$G$16=Norm_Stats!$F$16),"",MAX(0,MIN(100,100*(Norm_Stats!$G$16-MIN(MAX(City_Inputs!$AL18,Norm_Stats!$F$16),Norm_Stats!$G$16))/(Norm_Stats!$G$16-Norm_Stats!$F$16)))))="",0,0.3)))</f>
        <v/>
      </c>
      <c r="AM18" s="15">
        <f>IF((IF(AG18="",0,8)+IF(AI18="",0,6)+IF(AK18="",0,4))=0,"",(IF(AG18="",0,AG18*8)+IF(AI18="",0,AI18*6)+IF(AK18="",0,AK18*4))/(IF(AG18="",0,8)+IF(AI18="",0,6)+IF(AK18="",0,4)))</f>
        <v/>
      </c>
      <c r="AN18" s="14">
        <f>IF((IF(AH18="",0,8)+IF(AJ18="",0,6)+IF(AL18="",0,4))=0,"",(IF(AH18="",0,AH18*8)+IF(AJ18="",0,AJ18*6)+IF(AL18="",0,AL18*4))/18)</f>
        <v/>
      </c>
      <c r="AO18" s="11">
        <f>IF(OR(City_Inputs!$AB18="",Norm_Stats!$F$17="",Norm_Stats!$G$17="",Norm_Stats!$G$17=Norm_Stats!$F$17),"",MAX(0,MIN(100,100*(MIN(MAX(City_Inputs!$AB18,Norm_Stats!$F$17),Norm_Stats!$G$17)-Norm_Stats!$F$17)/(Norm_Stats!$G$17-Norm_Stats!$F$17))))</f>
        <v/>
      </c>
      <c r="AP18" s="14">
        <f>IF(AO18="","",1)</f>
        <v/>
      </c>
      <c r="AQ18" s="11">
        <f>IF(OR(City_Inputs!$AC18="",Norm_Stats!$F$18="",Norm_Stats!$G$18="",Norm_Stats!$G$18=Norm_Stats!$F$18),"",MAX(0,MIN(100,100*(MIN(MAX(City_Inputs!$AC18,Norm_Stats!$F$18),Norm_Stats!$G$18)-Norm_Stats!$F$18)/(Norm_Stats!$G$18-Norm_Stats!$F$18))))</f>
        <v/>
      </c>
      <c r="AR18" s="14">
        <f>IF(AQ18="","",1)</f>
        <v/>
      </c>
      <c r="AS18" s="11">
        <f>IF(OR(City_Inputs!$AD18="",Norm_Stats!$F$19="",Norm_Stats!$G$19="",Norm_Stats!$G$19=Norm_Stats!$F$19),"",MAX(0,MIN(100,100*(MIN(MAX(City_Inputs!$AD18,Norm_Stats!$F$19),Norm_Stats!$G$19)-Norm_Stats!$F$19)/(Norm_Stats!$G$19-Norm_Stats!$F$19))))</f>
        <v/>
      </c>
      <c r="AT18" s="14">
        <f>IF(AS18="","",1)</f>
        <v/>
      </c>
      <c r="AU18" s="11">
        <f>IF(OR(City_Inputs!$BJ18="",Norm_Stats!$F$26="",Norm_Stats!$G$26="",Norm_Stats!$G$26=Norm_Stats!$F$26),"",MAX(0,MIN(100,100*(MIN(MAX(City_Inputs!$BJ18,Norm_Stats!$F$26),Norm_Stats!$G$26)-Norm_Stats!$F$26)/(Norm_Stats!$G$26-Norm_Stats!$F$26))))</f>
        <v/>
      </c>
      <c r="AV18" s="11">
        <f>IF(AU18="","",1)</f>
        <v/>
      </c>
      <c r="AW18" s="15">
        <f>IF((IF(AO18="",0,5)+IF(AQ18="",0,5)+IF(AS18="",0,5)+IF(AU18="",0,4))=0,"",(IF(AO18="",0,AO18*5)+IF(AQ18="",0,AQ18*5)+IF(AS18="",0,AS18*5)+IF(AU18="",0,AU18*4))/(IF(AO18="",0,5)+IF(AQ18="",0,5)+IF(AS18="",0,5)+IF(AU18="",0,4)))</f>
        <v/>
      </c>
      <c r="AX18" s="14">
        <f>IF((IF(AP18="",0,5)+IF(AR18="",0,5)+IF(AT18="",0,5)+IF(AV18="",0,4))=0,"",(IF(AP18="",0,AP18*5)+IF(AR18="",0,AR18*5)+IF(AT18="",0,AT18*5)+IF(AV18="",0,AV18*4))/19)</f>
        <v/>
      </c>
      <c r="AY18" s="11">
        <f>IF(OR(City_Inputs!$AE18="",Norm_Stats!$F$20="",Norm_Stats!$G$20="",Norm_Stats!$G$20=Norm_Stats!$F$20),"",MAX(0,MIN(100,100*(MIN(MAX(City_Inputs!$AE18,Norm_Stats!$F$20),Norm_Stats!$G$20)-Norm_Stats!$F$20)/(Norm_Stats!$G$20-Norm_Stats!$F$20))))</f>
        <v/>
      </c>
      <c r="AZ18" s="14">
        <f>IF(AY18="","",1)</f>
        <v/>
      </c>
      <c r="BA18" s="11">
        <f>IF(OR(City_Inputs!$AF18="",Norm_Stats!$F$21="",Norm_Stats!$G$21="",Norm_Stats!$G$21=Norm_Stats!$F$21),"",MAX(0,MIN(100,100*(MIN(MAX(City_Inputs!$AF18,Norm_Stats!$F$21),Norm_Stats!$G$21)-Norm_Stats!$F$21)/(Norm_Stats!$G$21-Norm_Stats!$F$21))))</f>
        <v/>
      </c>
      <c r="BB18" s="14">
        <f>IF(BA18="","",1)</f>
        <v/>
      </c>
      <c r="BC18" s="11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(IF(OR(City_Inputs!$AG18="",Norm_Stats!$F$22="",Norm_Stats!$G$22="",Norm_Stats!$G$22=Norm_Stats!$F$22),"",MAX(0,MIN(100,100*(MIN(MAX(City_Inputs!$AG18,Norm_Stats!$F$22),Norm_Stats!$G$22)-Norm_Stats!$F$22)/(Norm_Stats!$G$22-Norm_Stats!$F$22)))))*0.5)+IF((IF(OR(City_Inputs!$AJ18="",Norm_Stats!$F$23="",Norm_Stats!$G$23="",Norm_Stats!$G$23=Norm_Stats!$F$23),"",MAX(0,MIN(100,100*(MIN(MAX(City_Inputs!$AJ18,Norm_Stats!$F$23),Norm_Stats!$G$23)-Norm_Stats!$F$23)/(Norm_Stats!$G$23-Norm_Stats!$F$23)))))="",0,(IF(OR(City_Inputs!$AJ18="",Norm_Stats!$F$23="",Norm_Stats!$G$23="",Norm_Stats!$G$23=Norm_Stats!$F$23),"",MAX(0,MIN(100,100*(MIN(MAX(City_Inputs!$AJ18,Norm_Stats!$F$23),Norm_Stats!$G$23)-Norm_Stats!$F$23)/(Norm_Stats!$G$23-Norm_Stats!$F$23)))))*0.3)+IF((IF(OR(City_Inputs!$AK18="",Norm_Stats!$F$24="",Norm_Stats!$G$24="",Norm_Stats!$G$24=Norm_Stats!$F$24),"",MAX(0,MIN(100,100*(MIN(MAX(City_Inputs!$AK18,Norm_Stats!$F$24),Norm_Stats!$G$24)-Norm_Stats!$F$24)/(Norm_Stats!$G$24-Norm_Stats!$F$24)))))="",0,(IF(OR(City_Inputs!$AK18="",Norm_Stats!$F$24="",Norm_Stats!$G$24="",Norm_Stats!$G$24=Norm_Stats!$F$24),"",MAX(0,MIN(100,100*(MIN(MAX(City_Inputs!$AK18,Norm_Stats!$F$24),Norm_Stats!$G$24)-Norm_Stats!$F$24)/(Norm_Stats!$G$24-Norm_Stats!$F$24)))))*0.2))/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D18" s="14">
        <f>IF(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=0,"",(IF((IF(OR(City_Inputs!$AG18="",Norm_Stats!$F$22="",Norm_Stats!$G$22="",Norm_Stats!$G$22=Norm_Stats!$F$22),"",MAX(0,MIN(100,100*(MIN(MAX(City_Inputs!$AG18,Norm_Stats!$F$22),Norm_Stats!$G$22)-Norm_Stats!$F$22)/(Norm_Stats!$G$22-Norm_Stats!$F$22)))))="",0,0.5)+IF((IF(OR(City_Inputs!$AJ18="",Norm_Stats!$F$23="",Norm_Stats!$G$23="",Norm_Stats!$G$23=Norm_Stats!$F$23),"",MAX(0,MIN(100,100*(MIN(MAX(City_Inputs!$AJ18,Norm_Stats!$F$23),Norm_Stats!$G$23)-Norm_Stats!$F$23)/(Norm_Stats!$G$23-Norm_Stats!$F$23)))))="",0,0.3)+IF((IF(OR(City_Inputs!$AK18="",Norm_Stats!$F$24="",Norm_Stats!$G$24="",Norm_Stats!$G$24=Norm_Stats!$F$24),"",MAX(0,MIN(100,100*(MIN(MAX(City_Inputs!$AK18,Norm_Stats!$F$24),Norm_Stats!$G$24)-Norm_Stats!$F$24)/(Norm_Stats!$G$24-Norm_Stats!$F$24)))))="",0,0.2)))</f>
        <v/>
      </c>
      <c r="BE18" s="11">
        <f>IF(OR(City_Inputs!$AH18="",Norm_Stats!$F$25="",Norm_Stats!$G$25="",Norm_Stats!$G$25=Norm_Stats!$F$25),"",MAX(0,MIN(100,100*(Norm_Stats!$G$25-MIN(MAX(City_Inputs!$AH18,Norm_Stats!$F$25),Norm_Stats!$G$25))/(Norm_Stats!$G$25-Norm_Stats!$F$25))))</f>
        <v/>
      </c>
      <c r="BF18" s="14">
        <f>IF(BE18="","",1)</f>
        <v/>
      </c>
      <c r="BG18" s="15">
        <f>IF((IF(AY18="",0,6)+IF(BA18="",0,5)+IF(BC18="",0,5)+IF(BE18="",0,4))=0,"",(IF(AY18="",0,AY18*6)+IF(BA18="",0,BA18*5)+IF(BC18="",0,BC18*5)+IF(BE18="",0,BE18*4))/(IF(AY18="",0,6)+IF(BA18="",0,5)+IF(BC18="",0,5)+IF(BE18="",0,4)))</f>
        <v/>
      </c>
      <c r="BH18" s="14">
        <f>IF((IF(AZ18="",0,6)+IF(BB18="",0,5)+IF(BD18="",0,5)+IF(BF18="",0,4))=0,"",(IF(AZ18="",0,AZ18*6)+IF(BB18="",0,BB18*5)+IF(BD18="",0,BD18*5)+IF(BF18="",0,BF18*4))/20)</f>
        <v/>
      </c>
      <c r="BI18" s="14">
        <f>IF(AND(R18="",AF18="",AN18="",AX18="",BH18=""),"",((R18*25)+(AF18*22)+(AN18*18)+(AX18*15)+(BH18*20))/100)</f>
        <v/>
      </c>
      <c r="BJ18" s="11">
        <f>IF(BI18="","",IF(BI18&gt;=0.75,"A",IF(BI18&gt;=0.5,"B",IF(BI18&gt;=0.35,"C","Watchlist"))))</f>
        <v/>
      </c>
      <c r="BK18" s="11">
        <f>IF(OR(BI18="",BI18&lt;0.5,R18="",R18&lt;0.35,AF18="",AF18&lt;0.35,AN18="",AN18&lt;0.35,AX18="",AX18&lt;0.35,BH18="",BH18&lt;0.35),"Watchlist","Ranked")</f>
        <v/>
      </c>
      <c r="BL18" s="15">
        <f>IF(AND(Q18="",AE18="",AM18="",AW18="",BG18=""),"",(IF(Q18="",0,Q18*25)+IF(AE18="",0,AE18*22)+IF(AM18="",0,AM18*18)+IF(AW18="",0,AW18*15)+IF(BG18="",0,BG18*20))/(IF(Q18="",0,25)+IF(AE18="",0,22)+IF(AM18="",0,18)+IF(AW18="",0,15)+IF(BG18="",0,20)))</f>
        <v/>
      </c>
      <c r="BM18" s="11">
        <f>IF(BK18="Ranked",1+COUNTIFS($BK$2:$BK$158,"Ranked",$BL$2:$BL$158,"&gt;"&amp;BL18),"")</f>
        <v/>
      </c>
      <c r="BN18" s="11">
        <f>City_Inputs!$AI18</f>
        <v/>
      </c>
    </row>
    <row r="19">
      <c r="A19" t="inlineStr">
        <is>
          <t>cn-chongqing</t>
        </is>
      </c>
      <c r="B19" t="inlineStr">
        <is>
          <t>Chongqing</t>
        </is>
      </c>
      <c r="C19" t="inlineStr">
        <is>
          <t>China</t>
        </is>
      </c>
      <c r="D19" t="inlineStr">
        <is>
          <t>East Asia</t>
        </is>
      </c>
      <c r="E19" t="inlineStr">
        <is>
          <t>provisional</t>
        </is>
      </c>
      <c r="F19" t="inlineStr">
        <is>
          <t>primary</t>
        </is>
      </c>
      <c r="G19" s="11">
        <f>IF(OR(City_Inputs!$M19="",Norm_Stats!$F$2="",Norm_Stats!$G$2="",Norm_Stats!$G$2=Norm_Stats!$F$2),"",MAX(0,MIN(100,100*(MIN(MAX(City_Inputs!$M19,Norm_Stats!$F$2),Norm_Stats!$G$2)-Norm_Stats!$F$2)/(Norm_Stats!$G$2-Norm_Stats!$F$2))))</f>
        <v/>
      </c>
      <c r="H19" s="14">
        <f>IF(G19="","",1)</f>
        <v/>
      </c>
      <c r="I19" s="11">
        <f>IF(OR(City_Inputs!$N19="",Norm_Stats!$F$3="",Norm_Stats!$G$3="",Norm_Stats!$G$3=Norm_Stats!$F$3),"",MAX(0,MIN(100,100*(Norm_Stats!$G$3-MIN(MAX(City_Inputs!$N19,Norm_Stats!$F$3),Norm_Stats!$G$3))/(Norm_Stats!$G$3-Norm_Stats!$F$3))))</f>
        <v/>
      </c>
      <c r="J19" s="14">
        <f>IF(I19="","",1)</f>
        <v/>
      </c>
      <c r="K19" s="11">
        <f>IF(OR(City_Inputs!$P19="",Norm_Stats!$F$4="",Norm_Stats!$G$4="",Norm_Stats!$G$4=Norm_Stats!$F$4),"",MAX(0,MIN(100,100*(Norm_Stats!$G$4-MIN(MAX(City_Inputs!$P19,Norm_Stats!$F$4),Norm_Stats!$G$4))/(Norm_Stats!$G$4-Norm_Stats!$F$4))))</f>
        <v/>
      </c>
      <c r="L19" s="14">
        <f>IF(K19="","",1)</f>
        <v/>
      </c>
      <c r="M19" s="11">
        <f>IF(OR(City_Inputs!$Q19="",Norm_Stats!$F$5="",Norm_Stats!$G$5="",Norm_Stats!$G$5=Norm_Stats!$F$5),"",MAX(0,MIN(100,100*(Norm_Stats!$G$5-MIN(MAX(City_Inputs!$Q19,Norm_Stats!$F$5),Norm_Stats!$G$5))/(Norm_Stats!$G$5-Norm_Stats!$F$5))))</f>
        <v/>
      </c>
      <c r="N19" s="14">
        <f>IF(M19="","",1)</f>
        <v/>
      </c>
      <c r="O19" s="11">
        <f>IF(OR(City_Inputs!$R19="",Norm_Stats!$F$6="",Norm_Stats!$G$6="",Norm_Stats!$G$6=Norm_Stats!$F$6),"",MAX(0,MIN(100,100*(Norm_Stats!$G$6-MIN(MAX(City_Inputs!$R19,Norm_Stats!$F$6),Norm_Stats!$G$6))/(Norm_Stats!$G$6-Norm_Stats!$F$6))))</f>
        <v/>
      </c>
      <c r="P19" s="14">
        <f>IF(O19="","",1)</f>
        <v/>
      </c>
      <c r="Q19" s="15">
        <f>IF((IF(G19="",0,9)+IF(I19="",0,5)+IF(K19="",0,4)+IF(M19="",0,4)+IF(O19="",0,5))=0,"",(IF(G19="",0,G19*9)+IF(I19="",0,I19*5)+IF(K19="",0,K19*4)+IF(M19="",0,M19*4)+IF(O19="",0,O19*5))/(IF(G19="",0,9)+IF(I19="",0,5)+IF(K19="",0,4)+IF(M19="",0,4)+IF(O19="",0,5)))</f>
        <v/>
      </c>
      <c r="R19" s="14">
        <f>IF((IF(H19="",0,9)+IF(J19="",0,5)+IF(L19="",0,4)+IF(N19="",0,4)+IF(P19="",0,5))=0,"",(IF(H19="",0,H19*9)+IF(J19="",0,J19*5)+IF(L19="",0,L19*4)+IF(N19="",0,N19*4)+IF(P19="",0,P19*5))/27)</f>
        <v/>
      </c>
      <c r="S19" s="11">
        <f>IF(OR(City_Inputs!$S19="",Norm_Stats!$F$7="",Norm_Stats!$G$7="",Norm_Stats!$G$7=Norm_Stats!$F$7),"",MAX(0,MIN(100,100*(Norm_Stats!$G$7-MIN(MAX(City_Inputs!$S19,Norm_Stats!$F$7),Norm_Stats!$G$7))/(Norm_Stats!$G$7-Norm_Stats!$F$7))))</f>
        <v/>
      </c>
      <c r="T19" s="14">
        <f>IF(S19="","",1)</f>
        <v/>
      </c>
      <c r="U19" s="11">
        <f>IF(OR(City_Inputs!$T19="",Norm_Stats!$F$8="",Norm_Stats!$G$8="",Norm_Stats!$G$8=Norm_Stats!$F$8),"",MAX(0,MIN(100,100*(MIN(MAX(City_Inputs!$T19,Norm_Stats!$F$8),Norm_Stats!$G$8)-Norm_Stats!$F$8)/(Norm_Stats!$G$8-Norm_Stats!$F$8))))</f>
        <v/>
      </c>
      <c r="V19" s="14">
        <f>IF(U19="","",1)</f>
        <v/>
      </c>
      <c r="W19" s="11">
        <f>IF(OR(City_Inputs!$U19="",Norm_Stats!$F$9="",Norm_Stats!$G$9="",Norm_Stats!$G$9=Norm_Stats!$F$9),"",MAX(0,MIN(100,100*(Norm_Stats!$G$9-MIN(MAX(City_Inputs!$U19,Norm_Stats!$F$9),Norm_Stats!$G$9))/(Norm_Stats!$G$9-Norm_Stats!$F$9))))</f>
        <v/>
      </c>
      <c r="X19" s="14">
        <f>IF(W19="","",1)</f>
        <v/>
      </c>
      <c r="Y19" s="11">
        <f>IF(OR(City_Inputs!$V19="",Norm_Stats!$F$10="",Norm_Stats!$G$10="",Norm_Stats!$G$10=Norm_Stats!$F$10),"",MAX(0,MIN(100,100*(MIN(MAX(City_Inputs!$V19,Norm_Stats!$F$10),Norm_Stats!$G$10)-Norm_Stats!$F$10)/(Norm_Stats!$G$10-Norm_Stats!$F$10))))</f>
        <v/>
      </c>
      <c r="Z19" s="14">
        <f>IF(Y19="","",1)</f>
        <v/>
      </c>
      <c r="AA19" s="11">
        <f>IF(OR(City_Inputs!$W19="",Norm_Stats!$F$11="",Norm_Stats!$G$11="",Norm_Stats!$G$11=Norm_Stats!$F$11),"",MAX(0,MIN(100,100*(MIN(MAX(City_Inputs!$W19,Norm_Stats!$F$11),Norm_Stats!$G$11)-Norm_Stats!$F$11)/(Norm_Stats!$G$11-Norm_Stats!$F$11))))</f>
        <v/>
      </c>
      <c r="AB19" s="14">
        <f>IF(AA19="","",1)</f>
        <v/>
      </c>
      <c r="AC19" s="11">
        <f>IF(OR(City_Inputs!$X19="",Norm_Stats!$F$12="",Norm_Stats!$G$12="",Norm_Stats!$G$12=Norm_Stats!$F$12),"",MAX(0,MIN(100,100*(MIN(MAX(City_Inputs!$X19,Norm_Stats!$F$12),Norm_Stats!$G$12)-Norm_Stats!$F$12)/(Norm_Stats!$G$12-Norm_Stats!$F$12))))</f>
        <v/>
      </c>
      <c r="AD19" s="11">
        <f>IF(AC19="","",1)</f>
        <v/>
      </c>
      <c r="AE19" s="15">
        <f>IF((IF(S19="",0,5)+IF(U19="",0,5)+IF(W19="",0,4)+IF(Y19="",0,4)+IF(AA19="",0,4)+IF(AC19="",0,5))=0,"",(IF(S19="",0,S19*5)+IF(U19="",0,U19*5)+IF(W19="",0,W19*4)+IF(Y19="",0,Y19*4)+IF(AA19="",0,AA19*4)+IF(AC19="",0,AC19*5))/(IF(S19="",0,5)+IF(U19="",0,5)+IF(W19="",0,4)+IF(Y19="",0,4)+IF(AA19="",0,4)+IF(AC19="",0,5)))</f>
        <v/>
      </c>
      <c r="AF19" s="14">
        <f>IF((IF(T19="",0,5)+IF(V19="",0,5)+IF(X19="",0,4)+IF(Z19="",0,4)+IF(AB19="",0,4)+IF(AD19="",0,5))=0,"",(IF(T19="",0,T19*5)+IF(V19="",0,V19*5)+IF(X19="",0,X19*4)+IF(Z19="",0,Z19*4)+IF(AB19="",0,AB19*4)+IF(AD19="",0,AD19*5))/27)</f>
        <v/>
      </c>
      <c r="AG19" s="11">
        <f>IF(OR(City_Inputs!$Y19="",Norm_Stats!$F$13="",Norm_Stats!$G$13="",Norm_Stats!$G$13=Norm_Stats!$F$13),"",MAX(0,MIN(100,100*(MIN(MAX(City_Inputs!$Y19,Norm_Stats!$F$13),Norm_Stats!$G$13)-Norm_Stats!$F$13)/(Norm_Stats!$G$13-Norm_Stats!$F$13))))</f>
        <v/>
      </c>
      <c r="AH19" s="14">
        <f>IF(AG19="","",1)</f>
        <v/>
      </c>
      <c r="AI19" s="11">
        <f>IF(OR(City_Inputs!$Z19="",Norm_Stats!$F$14="",Norm_Stats!$G$14="",Norm_Stats!$G$14=Norm_Stats!$F$14),"",MAX(0,MIN(100,100*(MIN(MAX(City_Inputs!$Z19,Norm_Stats!$F$14),Norm_Stats!$G$14)-Norm_Stats!$F$14)/(Norm_Stats!$G$14-Norm_Stats!$F$14))))</f>
        <v/>
      </c>
      <c r="AJ19" s="14">
        <f>IF(AI19="","",1)</f>
        <v/>
      </c>
      <c r="AK19" s="11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(IF(OR(City_Inputs!$AA19="",Norm_Stats!$F$15="",Norm_Stats!$G$15="",Norm_Stats!$G$15=Norm_Stats!$F$15),"",MAX(0,MIN(100,100*(MIN(MAX(City_Inputs!$AA19,Norm_Stats!$F$15),Norm_Stats!$G$15)-Norm_Stats!$F$15)/(Norm_Stats!$G$15-Norm_Stats!$F$15)))))*0.7)+IF((IF(OR(City_Inputs!$AL19="",Norm_Stats!$F$16="",Norm_Stats!$G$16="",Norm_Stats!$G$16=Norm_Stats!$F$16),"",MAX(0,MIN(100,100*(Norm_Stats!$G$16-MIN(MAX(City_Inputs!$AL19,Norm_Stats!$F$16),Norm_Stats!$G$16))/(Norm_Stats!$G$16-Norm_Stats!$F$16)))))="",0,(IF(OR(City_Inputs!$AL19="",Norm_Stats!$F$16="",Norm_Stats!$G$16="",Norm_Stats!$G$16=Norm_Stats!$F$16),"",MAX(0,MIN(100,100*(Norm_Stats!$G$16-MIN(MAX(City_Inputs!$AL19,Norm_Stats!$F$16),Norm_Stats!$G$16))/(Norm_Stats!$G$16-Norm_Stats!$F$16)))))*0.3))/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L19" s="14">
        <f>IF(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=0,"",(IF((IF(OR(City_Inputs!$AA19="",Norm_Stats!$F$15="",Norm_Stats!$G$15="",Norm_Stats!$G$15=Norm_Stats!$F$15),"",MAX(0,MIN(100,100*(MIN(MAX(City_Inputs!$AA19,Norm_Stats!$F$15),Norm_Stats!$G$15)-Norm_Stats!$F$15)/(Norm_Stats!$G$15-Norm_Stats!$F$15)))))="",0,0.7)+IF((IF(OR(City_Inputs!$AL19="",Norm_Stats!$F$16="",Norm_Stats!$G$16="",Norm_Stats!$G$16=Norm_Stats!$F$16),"",MAX(0,MIN(100,100*(Norm_Stats!$G$16-MIN(MAX(City_Inputs!$AL19,Norm_Stats!$F$16),Norm_Stats!$G$16))/(Norm_Stats!$G$16-Norm_Stats!$F$16)))))="",0,0.3)))</f>
        <v/>
      </c>
      <c r="AM19" s="15">
        <f>IF((IF(AG19="",0,8)+IF(AI19="",0,6)+IF(AK19="",0,4))=0,"",(IF(AG19="",0,AG19*8)+IF(AI19="",0,AI19*6)+IF(AK19="",0,AK19*4))/(IF(AG19="",0,8)+IF(AI19="",0,6)+IF(AK19="",0,4)))</f>
        <v/>
      </c>
      <c r="AN19" s="14">
        <f>IF((IF(AH19="",0,8)+IF(AJ19="",0,6)+IF(AL19="",0,4))=0,"",(IF(AH19="",0,AH19*8)+IF(AJ19="",0,AJ19*6)+IF(AL19="",0,AL19*4))/18)</f>
        <v/>
      </c>
      <c r="AO19" s="11">
        <f>IF(OR(City_Inputs!$AB19="",Norm_Stats!$F$17="",Norm_Stats!$G$17="",Norm_Stats!$G$17=Norm_Stats!$F$17),"",MAX(0,MIN(100,100*(MIN(MAX(City_Inputs!$AB19,Norm_Stats!$F$17),Norm_Stats!$G$17)-Norm_Stats!$F$17)/(Norm_Stats!$G$17-Norm_Stats!$F$17))))</f>
        <v/>
      </c>
      <c r="AP19" s="14">
        <f>IF(AO19="","",1)</f>
        <v/>
      </c>
      <c r="AQ19" s="11">
        <f>IF(OR(City_Inputs!$AC19="",Norm_Stats!$F$18="",Norm_Stats!$G$18="",Norm_Stats!$G$18=Norm_Stats!$F$18),"",MAX(0,MIN(100,100*(MIN(MAX(City_Inputs!$AC19,Norm_Stats!$F$18),Norm_Stats!$G$18)-Norm_Stats!$F$18)/(Norm_Stats!$G$18-Norm_Stats!$F$18))))</f>
        <v/>
      </c>
      <c r="AR19" s="14">
        <f>IF(AQ19="","",1)</f>
        <v/>
      </c>
      <c r="AS19" s="11">
        <f>IF(OR(City_Inputs!$AD19="",Norm_Stats!$F$19="",Norm_Stats!$G$19="",Norm_Stats!$G$19=Norm_Stats!$F$19),"",MAX(0,MIN(100,100*(MIN(MAX(City_Inputs!$AD19,Norm_Stats!$F$19),Norm_Stats!$G$19)-Norm_Stats!$F$19)/(Norm_Stats!$G$19-Norm_Stats!$F$19))))</f>
        <v/>
      </c>
      <c r="AT19" s="14">
        <f>IF(AS19="","",1)</f>
        <v/>
      </c>
      <c r="AU19" s="11">
        <f>IF(OR(City_Inputs!$BJ19="",Norm_Stats!$F$26="",Norm_Stats!$G$26="",Norm_Stats!$G$26=Norm_Stats!$F$26),"",MAX(0,MIN(100,100*(MIN(MAX(City_Inputs!$BJ19,Norm_Stats!$F$26),Norm_Stats!$G$26)-Norm_Stats!$F$26)/(Norm_Stats!$G$26-Norm_Stats!$F$26))))</f>
        <v/>
      </c>
      <c r="AV19" s="11">
        <f>IF(AU19="","",1)</f>
        <v/>
      </c>
      <c r="AW19" s="15">
        <f>IF((IF(AO19="",0,5)+IF(AQ19="",0,5)+IF(AS19="",0,5)+IF(AU19="",0,4))=0,"",(IF(AO19="",0,AO19*5)+IF(AQ19="",0,AQ19*5)+IF(AS19="",0,AS19*5)+IF(AU19="",0,AU19*4))/(IF(AO19="",0,5)+IF(AQ19="",0,5)+IF(AS19="",0,5)+IF(AU19="",0,4)))</f>
        <v/>
      </c>
      <c r="AX19" s="14">
        <f>IF((IF(AP19="",0,5)+IF(AR19="",0,5)+IF(AT19="",0,5)+IF(AV19="",0,4))=0,"",(IF(AP19="",0,AP19*5)+IF(AR19="",0,AR19*5)+IF(AT19="",0,AT19*5)+IF(AV19="",0,AV19*4))/19)</f>
        <v/>
      </c>
      <c r="AY19" s="11">
        <f>IF(OR(City_Inputs!$AE19="",Norm_Stats!$F$20="",Norm_Stats!$G$20="",Norm_Stats!$G$20=Norm_Stats!$F$20),"",MAX(0,MIN(100,100*(MIN(MAX(City_Inputs!$AE19,Norm_Stats!$F$20),Norm_Stats!$G$20)-Norm_Stats!$F$20)/(Norm_Stats!$G$20-Norm_Stats!$F$20))))</f>
        <v/>
      </c>
      <c r="AZ19" s="14">
        <f>IF(AY19="","",1)</f>
        <v/>
      </c>
      <c r="BA19" s="11">
        <f>IF(OR(City_Inputs!$AF19="",Norm_Stats!$F$21="",Norm_Stats!$G$21="",Norm_Stats!$G$21=Norm_Stats!$F$21),"",MAX(0,MIN(100,100*(MIN(MAX(City_Inputs!$AF19,Norm_Stats!$F$21),Norm_Stats!$G$21)-Norm_Stats!$F$21)/(Norm_Stats!$G$21-Norm_Stats!$F$21))))</f>
        <v/>
      </c>
      <c r="BB19" s="14">
        <f>IF(BA19="","",1)</f>
        <v/>
      </c>
      <c r="BC19" s="11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(IF(OR(City_Inputs!$AG19="",Norm_Stats!$F$22="",Norm_Stats!$G$22="",Norm_Stats!$G$22=Norm_Stats!$F$22),"",MAX(0,MIN(100,100*(MIN(MAX(City_Inputs!$AG19,Norm_Stats!$F$22),Norm_Stats!$G$22)-Norm_Stats!$F$22)/(Norm_Stats!$G$22-Norm_Stats!$F$22)))))*0.5)+IF((IF(OR(City_Inputs!$AJ19="",Norm_Stats!$F$23="",Norm_Stats!$G$23="",Norm_Stats!$G$23=Norm_Stats!$F$23),"",MAX(0,MIN(100,100*(MIN(MAX(City_Inputs!$AJ19,Norm_Stats!$F$23),Norm_Stats!$G$23)-Norm_Stats!$F$23)/(Norm_Stats!$G$23-Norm_Stats!$F$23)))))="",0,(IF(OR(City_Inputs!$AJ19="",Norm_Stats!$F$23="",Norm_Stats!$G$23="",Norm_Stats!$G$23=Norm_Stats!$F$23),"",MAX(0,MIN(100,100*(MIN(MAX(City_Inputs!$AJ19,Norm_Stats!$F$23),Norm_Stats!$G$23)-Norm_Stats!$F$23)/(Norm_Stats!$G$23-Norm_Stats!$F$23)))))*0.3)+IF((IF(OR(City_Inputs!$AK19="",Norm_Stats!$F$24="",Norm_Stats!$G$24="",Norm_Stats!$G$24=Norm_Stats!$F$24),"",MAX(0,MIN(100,100*(MIN(MAX(City_Inputs!$AK19,Norm_Stats!$F$24),Norm_Stats!$G$24)-Norm_Stats!$F$24)/(Norm_Stats!$G$24-Norm_Stats!$F$24)))))="",0,(IF(OR(City_Inputs!$AK19="",Norm_Stats!$F$24="",Norm_Stats!$G$24="",Norm_Stats!$G$24=Norm_Stats!$F$24),"",MAX(0,MIN(100,100*(MIN(MAX(City_Inputs!$AK19,Norm_Stats!$F$24),Norm_Stats!$G$24)-Norm_Stats!$F$24)/(Norm_Stats!$G$24-Norm_Stats!$F$24)))))*0.2))/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D19" s="14">
        <f>IF(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=0,"",(IF((IF(OR(City_Inputs!$AG19="",Norm_Stats!$F$22="",Norm_Stats!$G$22="",Norm_Stats!$G$22=Norm_Stats!$F$22),"",MAX(0,MIN(100,100*(MIN(MAX(City_Inputs!$AG19,Norm_Stats!$F$22),Norm_Stats!$G$22)-Norm_Stats!$F$22)/(Norm_Stats!$G$22-Norm_Stats!$F$22)))))="",0,0.5)+IF((IF(OR(City_Inputs!$AJ19="",Norm_Stats!$F$23="",Norm_Stats!$G$23="",Norm_Stats!$G$23=Norm_Stats!$F$23),"",MAX(0,MIN(100,100*(MIN(MAX(City_Inputs!$AJ19,Norm_Stats!$F$23),Norm_Stats!$G$23)-Norm_Stats!$F$23)/(Norm_Stats!$G$23-Norm_Stats!$F$23)))))="",0,0.3)+IF((IF(OR(City_Inputs!$AK19="",Norm_Stats!$F$24="",Norm_Stats!$G$24="",Norm_Stats!$G$24=Norm_Stats!$F$24),"",MAX(0,MIN(100,100*(MIN(MAX(City_Inputs!$AK19,Norm_Stats!$F$24),Norm_Stats!$G$24)-Norm_Stats!$F$24)/(Norm_Stats!$G$24-Norm_Stats!$F$24)))))="",0,0.2)))</f>
        <v/>
      </c>
      <c r="BE19" s="11">
        <f>IF(OR(City_Inputs!$AH19="",Norm_Stats!$F$25="",Norm_Stats!$G$25="",Norm_Stats!$G$25=Norm_Stats!$F$25),"",MAX(0,MIN(100,100*(Norm_Stats!$G$25-MIN(MAX(City_Inputs!$AH19,Norm_Stats!$F$25),Norm_Stats!$G$25))/(Norm_Stats!$G$25-Norm_Stats!$F$25))))</f>
        <v/>
      </c>
      <c r="BF19" s="14">
        <f>IF(BE19="","",1)</f>
        <v/>
      </c>
      <c r="BG19" s="15">
        <f>IF((IF(AY19="",0,6)+IF(BA19="",0,5)+IF(BC19="",0,5)+IF(BE19="",0,4))=0,"",(IF(AY19="",0,AY19*6)+IF(BA19="",0,BA19*5)+IF(BC19="",0,BC19*5)+IF(BE19="",0,BE19*4))/(IF(AY19="",0,6)+IF(BA19="",0,5)+IF(BC19="",0,5)+IF(BE19="",0,4)))</f>
        <v/>
      </c>
      <c r="BH19" s="14">
        <f>IF((IF(AZ19="",0,6)+IF(BB19="",0,5)+IF(BD19="",0,5)+IF(BF19="",0,4))=0,"",(IF(AZ19="",0,AZ19*6)+IF(BB19="",0,BB19*5)+IF(BD19="",0,BD19*5)+IF(BF19="",0,BF19*4))/20)</f>
        <v/>
      </c>
      <c r="BI19" s="14">
        <f>IF(AND(R19="",AF19="",AN19="",AX19="",BH19=""),"",((R19*25)+(AF19*22)+(AN19*18)+(AX19*15)+(BH19*20))/100)</f>
        <v/>
      </c>
      <c r="BJ19" s="11">
        <f>IF(BI19="","",IF(BI19&gt;=0.75,"A",IF(BI19&gt;=0.5,"B",IF(BI19&gt;=0.35,"C","Watchlist"))))</f>
        <v/>
      </c>
      <c r="BK19" s="11">
        <f>IF(OR(BI19="",BI19&lt;0.5,R19="",R19&lt;0.35,AF19="",AF19&lt;0.35,AN19="",AN19&lt;0.35,AX19="",AX19&lt;0.35,BH19="",BH19&lt;0.35),"Watchlist","Ranked")</f>
        <v/>
      </c>
      <c r="BL19" s="15">
        <f>IF(AND(Q19="",AE19="",AM19="",AW19="",BG19=""),"",(IF(Q19="",0,Q19*25)+IF(AE19="",0,AE19*22)+IF(AM19="",0,AM19*18)+IF(AW19="",0,AW19*15)+IF(BG19="",0,BG19*20))/(IF(Q19="",0,25)+IF(AE19="",0,22)+IF(AM19="",0,18)+IF(AW19="",0,15)+IF(BG19="",0,20)))</f>
        <v/>
      </c>
      <c r="BM19" s="11">
        <f>IF(BK19="Ranked",1+COUNTIFS($BK$2:$BK$158,"Ranked",$BL$2:$BL$158,"&gt;"&amp;BL19),"")</f>
        <v/>
      </c>
      <c r="BN19" s="11">
        <f>City_Inputs!$AI19</f>
        <v/>
      </c>
    </row>
    <row r="20">
      <c r="A20" t="inlineStr">
        <is>
          <t>cn-hangzhou</t>
        </is>
      </c>
      <c r="B20" t="inlineStr">
        <is>
          <t>Hangzhou</t>
        </is>
      </c>
      <c r="C20" t="inlineStr">
        <is>
          <t>China</t>
        </is>
      </c>
      <c r="D20" t="inlineStr">
        <is>
          <t>East Asia</t>
        </is>
      </c>
      <c r="E20" t="inlineStr">
        <is>
          <t>provisional</t>
        </is>
      </c>
      <c r="F20" t="inlineStr">
        <is>
          <t>primary</t>
        </is>
      </c>
      <c r="G20" s="11">
        <f>IF(OR(City_Inputs!$M20="",Norm_Stats!$F$2="",Norm_Stats!$G$2="",Norm_Stats!$G$2=Norm_Stats!$F$2),"",MAX(0,MIN(100,100*(MIN(MAX(City_Inputs!$M20,Norm_Stats!$F$2),Norm_Stats!$G$2)-Norm_Stats!$F$2)/(Norm_Stats!$G$2-Norm_Stats!$F$2))))</f>
        <v/>
      </c>
      <c r="H20" s="14">
        <f>IF(G20="","",1)</f>
        <v/>
      </c>
      <c r="I20" s="11">
        <f>IF(OR(City_Inputs!$N20="",Norm_Stats!$F$3="",Norm_Stats!$G$3="",Norm_Stats!$G$3=Norm_Stats!$F$3),"",MAX(0,MIN(100,100*(Norm_Stats!$G$3-MIN(MAX(City_Inputs!$N20,Norm_Stats!$F$3),Norm_Stats!$G$3))/(Norm_Stats!$G$3-Norm_Stats!$F$3))))</f>
        <v/>
      </c>
      <c r="J20" s="14">
        <f>IF(I20="","",1)</f>
        <v/>
      </c>
      <c r="K20" s="11">
        <f>IF(OR(City_Inputs!$P20="",Norm_Stats!$F$4="",Norm_Stats!$G$4="",Norm_Stats!$G$4=Norm_Stats!$F$4),"",MAX(0,MIN(100,100*(Norm_Stats!$G$4-MIN(MAX(City_Inputs!$P20,Norm_Stats!$F$4),Norm_Stats!$G$4))/(Norm_Stats!$G$4-Norm_Stats!$F$4))))</f>
        <v/>
      </c>
      <c r="L20" s="14">
        <f>IF(K20="","",1)</f>
        <v/>
      </c>
      <c r="M20" s="11">
        <f>IF(OR(City_Inputs!$Q20="",Norm_Stats!$F$5="",Norm_Stats!$G$5="",Norm_Stats!$G$5=Norm_Stats!$F$5),"",MAX(0,MIN(100,100*(Norm_Stats!$G$5-MIN(MAX(City_Inputs!$Q20,Norm_Stats!$F$5),Norm_Stats!$G$5))/(Norm_Stats!$G$5-Norm_Stats!$F$5))))</f>
        <v/>
      </c>
      <c r="N20" s="14">
        <f>IF(M20="","",1)</f>
        <v/>
      </c>
      <c r="O20" s="11">
        <f>IF(OR(City_Inputs!$R20="",Norm_Stats!$F$6="",Norm_Stats!$G$6="",Norm_Stats!$G$6=Norm_Stats!$F$6),"",MAX(0,MIN(100,100*(Norm_Stats!$G$6-MIN(MAX(City_Inputs!$R20,Norm_Stats!$F$6),Norm_Stats!$G$6))/(Norm_Stats!$G$6-Norm_Stats!$F$6))))</f>
        <v/>
      </c>
      <c r="P20" s="14">
        <f>IF(O20="","",1)</f>
        <v/>
      </c>
      <c r="Q20" s="15">
        <f>IF((IF(G20="",0,9)+IF(I20="",0,5)+IF(K20="",0,4)+IF(M20="",0,4)+IF(O20="",0,5))=0,"",(IF(G20="",0,G20*9)+IF(I20="",0,I20*5)+IF(K20="",0,K20*4)+IF(M20="",0,M20*4)+IF(O20="",0,O20*5))/(IF(G20="",0,9)+IF(I20="",0,5)+IF(K20="",0,4)+IF(M20="",0,4)+IF(O20="",0,5)))</f>
        <v/>
      </c>
      <c r="R20" s="14">
        <f>IF((IF(H20="",0,9)+IF(J20="",0,5)+IF(L20="",0,4)+IF(N20="",0,4)+IF(P20="",0,5))=0,"",(IF(H20="",0,H20*9)+IF(J20="",0,J20*5)+IF(L20="",0,L20*4)+IF(N20="",0,N20*4)+IF(P20="",0,P20*5))/27)</f>
        <v/>
      </c>
      <c r="S20" s="11">
        <f>IF(OR(City_Inputs!$S20="",Norm_Stats!$F$7="",Norm_Stats!$G$7="",Norm_Stats!$G$7=Norm_Stats!$F$7),"",MAX(0,MIN(100,100*(Norm_Stats!$G$7-MIN(MAX(City_Inputs!$S20,Norm_Stats!$F$7),Norm_Stats!$G$7))/(Norm_Stats!$G$7-Norm_Stats!$F$7))))</f>
        <v/>
      </c>
      <c r="T20" s="14">
        <f>IF(S20="","",1)</f>
        <v/>
      </c>
      <c r="U20" s="11">
        <f>IF(OR(City_Inputs!$T20="",Norm_Stats!$F$8="",Norm_Stats!$G$8="",Norm_Stats!$G$8=Norm_Stats!$F$8),"",MAX(0,MIN(100,100*(MIN(MAX(City_Inputs!$T20,Norm_Stats!$F$8),Norm_Stats!$G$8)-Norm_Stats!$F$8)/(Norm_Stats!$G$8-Norm_Stats!$F$8))))</f>
        <v/>
      </c>
      <c r="V20" s="14">
        <f>IF(U20="","",1)</f>
        <v/>
      </c>
      <c r="W20" s="11">
        <f>IF(OR(City_Inputs!$U20="",Norm_Stats!$F$9="",Norm_Stats!$G$9="",Norm_Stats!$G$9=Norm_Stats!$F$9),"",MAX(0,MIN(100,100*(Norm_Stats!$G$9-MIN(MAX(City_Inputs!$U20,Norm_Stats!$F$9),Norm_Stats!$G$9))/(Norm_Stats!$G$9-Norm_Stats!$F$9))))</f>
        <v/>
      </c>
      <c r="X20" s="14">
        <f>IF(W20="","",1)</f>
        <v/>
      </c>
      <c r="Y20" s="11">
        <f>IF(OR(City_Inputs!$V20="",Norm_Stats!$F$10="",Norm_Stats!$G$10="",Norm_Stats!$G$10=Norm_Stats!$F$10),"",MAX(0,MIN(100,100*(MIN(MAX(City_Inputs!$V20,Norm_Stats!$F$10),Norm_Stats!$G$10)-Norm_Stats!$F$10)/(Norm_Stats!$G$10-Norm_Stats!$F$10))))</f>
        <v/>
      </c>
      <c r="Z20" s="14">
        <f>IF(Y20="","",1)</f>
        <v/>
      </c>
      <c r="AA20" s="11">
        <f>IF(OR(City_Inputs!$W20="",Norm_Stats!$F$11="",Norm_Stats!$G$11="",Norm_Stats!$G$11=Norm_Stats!$F$11),"",MAX(0,MIN(100,100*(MIN(MAX(City_Inputs!$W20,Norm_Stats!$F$11),Norm_Stats!$G$11)-Norm_Stats!$F$11)/(Norm_Stats!$G$11-Norm_Stats!$F$11))))</f>
        <v/>
      </c>
      <c r="AB20" s="14">
        <f>IF(AA20="","",1)</f>
        <v/>
      </c>
      <c r="AC20" s="11">
        <f>IF(OR(City_Inputs!$X20="",Norm_Stats!$F$12="",Norm_Stats!$G$12="",Norm_Stats!$G$12=Norm_Stats!$F$12),"",MAX(0,MIN(100,100*(MIN(MAX(City_Inputs!$X20,Norm_Stats!$F$12),Norm_Stats!$G$12)-Norm_Stats!$F$12)/(Norm_Stats!$G$12-Norm_Stats!$F$12))))</f>
        <v/>
      </c>
      <c r="AD20" s="11">
        <f>IF(AC20="","",1)</f>
        <v/>
      </c>
      <c r="AE20" s="15">
        <f>IF((IF(S20="",0,5)+IF(U20="",0,5)+IF(W20="",0,4)+IF(Y20="",0,4)+IF(AA20="",0,4)+IF(AC20="",0,5))=0,"",(IF(S20="",0,S20*5)+IF(U20="",0,U20*5)+IF(W20="",0,W20*4)+IF(Y20="",0,Y20*4)+IF(AA20="",0,AA20*4)+IF(AC20="",0,AC20*5))/(IF(S20="",0,5)+IF(U20="",0,5)+IF(W20="",0,4)+IF(Y20="",0,4)+IF(AA20="",0,4)+IF(AC20="",0,5)))</f>
        <v/>
      </c>
      <c r="AF20" s="14">
        <f>IF((IF(T20="",0,5)+IF(V20="",0,5)+IF(X20="",0,4)+IF(Z20="",0,4)+IF(AB20="",0,4)+IF(AD20="",0,5))=0,"",(IF(T20="",0,T20*5)+IF(V20="",0,V20*5)+IF(X20="",0,X20*4)+IF(Z20="",0,Z20*4)+IF(AB20="",0,AB20*4)+IF(AD20="",0,AD20*5))/27)</f>
        <v/>
      </c>
      <c r="AG20" s="11">
        <f>IF(OR(City_Inputs!$Y20="",Norm_Stats!$F$13="",Norm_Stats!$G$13="",Norm_Stats!$G$13=Norm_Stats!$F$13),"",MAX(0,MIN(100,100*(MIN(MAX(City_Inputs!$Y20,Norm_Stats!$F$13),Norm_Stats!$G$13)-Norm_Stats!$F$13)/(Norm_Stats!$G$13-Norm_Stats!$F$13))))</f>
        <v/>
      </c>
      <c r="AH20" s="14">
        <f>IF(AG20="","",1)</f>
        <v/>
      </c>
      <c r="AI20" s="11">
        <f>IF(OR(City_Inputs!$Z20="",Norm_Stats!$F$14="",Norm_Stats!$G$14="",Norm_Stats!$G$14=Norm_Stats!$F$14),"",MAX(0,MIN(100,100*(MIN(MAX(City_Inputs!$Z20,Norm_Stats!$F$14),Norm_Stats!$G$14)-Norm_Stats!$F$14)/(Norm_Stats!$G$14-Norm_Stats!$F$14))))</f>
        <v/>
      </c>
      <c r="AJ20" s="14">
        <f>IF(AI20="","",1)</f>
        <v/>
      </c>
      <c r="AK20" s="11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(IF(OR(City_Inputs!$AA20="",Norm_Stats!$F$15="",Norm_Stats!$G$15="",Norm_Stats!$G$15=Norm_Stats!$F$15),"",MAX(0,MIN(100,100*(MIN(MAX(City_Inputs!$AA20,Norm_Stats!$F$15),Norm_Stats!$G$15)-Norm_Stats!$F$15)/(Norm_Stats!$G$15-Norm_Stats!$F$15)))))*0.7)+IF((IF(OR(City_Inputs!$AL20="",Norm_Stats!$F$16="",Norm_Stats!$G$16="",Norm_Stats!$G$16=Norm_Stats!$F$16),"",MAX(0,MIN(100,100*(Norm_Stats!$G$16-MIN(MAX(City_Inputs!$AL20,Norm_Stats!$F$16),Norm_Stats!$G$16))/(Norm_Stats!$G$16-Norm_Stats!$F$16)))))="",0,(IF(OR(City_Inputs!$AL20="",Norm_Stats!$F$16="",Norm_Stats!$G$16="",Norm_Stats!$G$16=Norm_Stats!$F$16),"",MAX(0,MIN(100,100*(Norm_Stats!$G$16-MIN(MAX(City_Inputs!$AL20,Norm_Stats!$F$16),Norm_Stats!$G$16))/(Norm_Stats!$G$16-Norm_Stats!$F$16)))))*0.3))/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L20" s="14">
        <f>IF(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=0,"",(IF((IF(OR(City_Inputs!$AA20="",Norm_Stats!$F$15="",Norm_Stats!$G$15="",Norm_Stats!$G$15=Norm_Stats!$F$15),"",MAX(0,MIN(100,100*(MIN(MAX(City_Inputs!$AA20,Norm_Stats!$F$15),Norm_Stats!$G$15)-Norm_Stats!$F$15)/(Norm_Stats!$G$15-Norm_Stats!$F$15)))))="",0,0.7)+IF((IF(OR(City_Inputs!$AL20="",Norm_Stats!$F$16="",Norm_Stats!$G$16="",Norm_Stats!$G$16=Norm_Stats!$F$16),"",MAX(0,MIN(100,100*(Norm_Stats!$G$16-MIN(MAX(City_Inputs!$AL20,Norm_Stats!$F$16),Norm_Stats!$G$16))/(Norm_Stats!$G$16-Norm_Stats!$F$16)))))="",0,0.3)))</f>
        <v/>
      </c>
      <c r="AM20" s="15">
        <f>IF((IF(AG20="",0,8)+IF(AI20="",0,6)+IF(AK20="",0,4))=0,"",(IF(AG20="",0,AG20*8)+IF(AI20="",0,AI20*6)+IF(AK20="",0,AK20*4))/(IF(AG20="",0,8)+IF(AI20="",0,6)+IF(AK20="",0,4)))</f>
        <v/>
      </c>
      <c r="AN20" s="14">
        <f>IF((IF(AH20="",0,8)+IF(AJ20="",0,6)+IF(AL20="",0,4))=0,"",(IF(AH20="",0,AH20*8)+IF(AJ20="",0,AJ20*6)+IF(AL20="",0,AL20*4))/18)</f>
        <v/>
      </c>
      <c r="AO20" s="11">
        <f>IF(OR(City_Inputs!$AB20="",Norm_Stats!$F$17="",Norm_Stats!$G$17="",Norm_Stats!$G$17=Norm_Stats!$F$17),"",MAX(0,MIN(100,100*(MIN(MAX(City_Inputs!$AB20,Norm_Stats!$F$17),Norm_Stats!$G$17)-Norm_Stats!$F$17)/(Norm_Stats!$G$17-Norm_Stats!$F$17))))</f>
        <v/>
      </c>
      <c r="AP20" s="14">
        <f>IF(AO20="","",1)</f>
        <v/>
      </c>
      <c r="AQ20" s="11">
        <f>IF(OR(City_Inputs!$AC20="",Norm_Stats!$F$18="",Norm_Stats!$G$18="",Norm_Stats!$G$18=Norm_Stats!$F$18),"",MAX(0,MIN(100,100*(MIN(MAX(City_Inputs!$AC20,Norm_Stats!$F$18),Norm_Stats!$G$18)-Norm_Stats!$F$18)/(Norm_Stats!$G$18-Norm_Stats!$F$18))))</f>
        <v/>
      </c>
      <c r="AR20" s="14">
        <f>IF(AQ20="","",1)</f>
        <v/>
      </c>
      <c r="AS20" s="11">
        <f>IF(OR(City_Inputs!$AD20="",Norm_Stats!$F$19="",Norm_Stats!$G$19="",Norm_Stats!$G$19=Norm_Stats!$F$19),"",MAX(0,MIN(100,100*(MIN(MAX(City_Inputs!$AD20,Norm_Stats!$F$19),Norm_Stats!$G$19)-Norm_Stats!$F$19)/(Norm_Stats!$G$19-Norm_Stats!$F$19))))</f>
        <v/>
      </c>
      <c r="AT20" s="14">
        <f>IF(AS20="","",1)</f>
        <v/>
      </c>
      <c r="AU20" s="11">
        <f>IF(OR(City_Inputs!$BJ20="",Norm_Stats!$F$26="",Norm_Stats!$G$26="",Norm_Stats!$G$26=Norm_Stats!$F$26),"",MAX(0,MIN(100,100*(MIN(MAX(City_Inputs!$BJ20,Norm_Stats!$F$26),Norm_Stats!$G$26)-Norm_Stats!$F$26)/(Norm_Stats!$G$26-Norm_Stats!$F$26))))</f>
        <v/>
      </c>
      <c r="AV20" s="11">
        <f>IF(AU20="","",1)</f>
        <v/>
      </c>
      <c r="AW20" s="15">
        <f>IF((IF(AO20="",0,5)+IF(AQ20="",0,5)+IF(AS20="",0,5)+IF(AU20="",0,4))=0,"",(IF(AO20="",0,AO20*5)+IF(AQ20="",0,AQ20*5)+IF(AS20="",0,AS20*5)+IF(AU20="",0,AU20*4))/(IF(AO20="",0,5)+IF(AQ20="",0,5)+IF(AS20="",0,5)+IF(AU20="",0,4)))</f>
        <v/>
      </c>
      <c r="AX20" s="14">
        <f>IF((IF(AP20="",0,5)+IF(AR20="",0,5)+IF(AT20="",0,5)+IF(AV20="",0,4))=0,"",(IF(AP20="",0,AP20*5)+IF(AR20="",0,AR20*5)+IF(AT20="",0,AT20*5)+IF(AV20="",0,AV20*4))/19)</f>
        <v/>
      </c>
      <c r="AY20" s="11">
        <f>IF(OR(City_Inputs!$AE20="",Norm_Stats!$F$20="",Norm_Stats!$G$20="",Norm_Stats!$G$20=Norm_Stats!$F$20),"",MAX(0,MIN(100,100*(MIN(MAX(City_Inputs!$AE20,Norm_Stats!$F$20),Norm_Stats!$G$20)-Norm_Stats!$F$20)/(Norm_Stats!$G$20-Norm_Stats!$F$20))))</f>
        <v/>
      </c>
      <c r="AZ20" s="14">
        <f>IF(AY20="","",1)</f>
        <v/>
      </c>
      <c r="BA20" s="11">
        <f>IF(OR(City_Inputs!$AF20="",Norm_Stats!$F$21="",Norm_Stats!$G$21="",Norm_Stats!$G$21=Norm_Stats!$F$21),"",MAX(0,MIN(100,100*(MIN(MAX(City_Inputs!$AF20,Norm_Stats!$F$21),Norm_Stats!$G$21)-Norm_Stats!$F$21)/(Norm_Stats!$G$21-Norm_Stats!$F$21))))</f>
        <v/>
      </c>
      <c r="BB20" s="14">
        <f>IF(BA20="","",1)</f>
        <v/>
      </c>
      <c r="BC20" s="11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(IF(OR(City_Inputs!$AG20="",Norm_Stats!$F$22="",Norm_Stats!$G$22="",Norm_Stats!$G$22=Norm_Stats!$F$22),"",MAX(0,MIN(100,100*(MIN(MAX(City_Inputs!$AG20,Norm_Stats!$F$22),Norm_Stats!$G$22)-Norm_Stats!$F$22)/(Norm_Stats!$G$22-Norm_Stats!$F$22)))))*0.5)+IF((IF(OR(City_Inputs!$AJ20="",Norm_Stats!$F$23="",Norm_Stats!$G$23="",Norm_Stats!$G$23=Norm_Stats!$F$23),"",MAX(0,MIN(100,100*(MIN(MAX(City_Inputs!$AJ20,Norm_Stats!$F$23),Norm_Stats!$G$23)-Norm_Stats!$F$23)/(Norm_Stats!$G$23-Norm_Stats!$F$23)))))="",0,(IF(OR(City_Inputs!$AJ20="",Norm_Stats!$F$23="",Norm_Stats!$G$23="",Norm_Stats!$G$23=Norm_Stats!$F$23),"",MAX(0,MIN(100,100*(MIN(MAX(City_Inputs!$AJ20,Norm_Stats!$F$23),Norm_Stats!$G$23)-Norm_Stats!$F$23)/(Norm_Stats!$G$23-Norm_Stats!$F$23)))))*0.3)+IF((IF(OR(City_Inputs!$AK20="",Norm_Stats!$F$24="",Norm_Stats!$G$24="",Norm_Stats!$G$24=Norm_Stats!$F$24),"",MAX(0,MIN(100,100*(MIN(MAX(City_Inputs!$AK20,Norm_Stats!$F$24),Norm_Stats!$G$24)-Norm_Stats!$F$24)/(Norm_Stats!$G$24-Norm_Stats!$F$24)))))="",0,(IF(OR(City_Inputs!$AK20="",Norm_Stats!$F$24="",Norm_Stats!$G$24="",Norm_Stats!$G$24=Norm_Stats!$F$24),"",MAX(0,MIN(100,100*(MIN(MAX(City_Inputs!$AK20,Norm_Stats!$F$24),Norm_Stats!$G$24)-Norm_Stats!$F$24)/(Norm_Stats!$G$24-Norm_Stats!$F$24)))))*0.2))/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D20" s="14">
        <f>IF(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=0,"",(IF((IF(OR(City_Inputs!$AG20="",Norm_Stats!$F$22="",Norm_Stats!$G$22="",Norm_Stats!$G$22=Norm_Stats!$F$22),"",MAX(0,MIN(100,100*(MIN(MAX(City_Inputs!$AG20,Norm_Stats!$F$22),Norm_Stats!$G$22)-Norm_Stats!$F$22)/(Norm_Stats!$G$22-Norm_Stats!$F$22)))))="",0,0.5)+IF((IF(OR(City_Inputs!$AJ20="",Norm_Stats!$F$23="",Norm_Stats!$G$23="",Norm_Stats!$G$23=Norm_Stats!$F$23),"",MAX(0,MIN(100,100*(MIN(MAX(City_Inputs!$AJ20,Norm_Stats!$F$23),Norm_Stats!$G$23)-Norm_Stats!$F$23)/(Norm_Stats!$G$23-Norm_Stats!$F$23)))))="",0,0.3)+IF((IF(OR(City_Inputs!$AK20="",Norm_Stats!$F$24="",Norm_Stats!$G$24="",Norm_Stats!$G$24=Norm_Stats!$F$24),"",MAX(0,MIN(100,100*(MIN(MAX(City_Inputs!$AK20,Norm_Stats!$F$24),Norm_Stats!$G$24)-Norm_Stats!$F$24)/(Norm_Stats!$G$24-Norm_Stats!$F$24)))))="",0,0.2)))</f>
        <v/>
      </c>
      <c r="BE20" s="11">
        <f>IF(OR(City_Inputs!$AH20="",Norm_Stats!$F$25="",Norm_Stats!$G$25="",Norm_Stats!$G$25=Norm_Stats!$F$25),"",MAX(0,MIN(100,100*(Norm_Stats!$G$25-MIN(MAX(City_Inputs!$AH20,Norm_Stats!$F$25),Norm_Stats!$G$25))/(Norm_Stats!$G$25-Norm_Stats!$F$25))))</f>
        <v/>
      </c>
      <c r="BF20" s="14">
        <f>IF(BE20="","",1)</f>
        <v/>
      </c>
      <c r="BG20" s="15">
        <f>IF((IF(AY20="",0,6)+IF(BA20="",0,5)+IF(BC20="",0,5)+IF(BE20="",0,4))=0,"",(IF(AY20="",0,AY20*6)+IF(BA20="",0,BA20*5)+IF(BC20="",0,BC20*5)+IF(BE20="",0,BE20*4))/(IF(AY20="",0,6)+IF(BA20="",0,5)+IF(BC20="",0,5)+IF(BE20="",0,4)))</f>
        <v/>
      </c>
      <c r="BH20" s="14">
        <f>IF((IF(AZ20="",0,6)+IF(BB20="",0,5)+IF(BD20="",0,5)+IF(BF20="",0,4))=0,"",(IF(AZ20="",0,AZ20*6)+IF(BB20="",0,BB20*5)+IF(BD20="",0,BD20*5)+IF(BF20="",0,BF20*4))/20)</f>
        <v/>
      </c>
      <c r="BI20" s="14">
        <f>IF(AND(R20="",AF20="",AN20="",AX20="",BH20=""),"",((R20*25)+(AF20*22)+(AN20*18)+(AX20*15)+(BH20*20))/100)</f>
        <v/>
      </c>
      <c r="BJ20" s="11">
        <f>IF(BI20="","",IF(BI20&gt;=0.75,"A",IF(BI20&gt;=0.5,"B",IF(BI20&gt;=0.35,"C","Watchlist"))))</f>
        <v/>
      </c>
      <c r="BK20" s="11">
        <f>IF(OR(BI20="",BI20&lt;0.5,R20="",R20&lt;0.35,AF20="",AF20&lt;0.35,AN20="",AN20&lt;0.35,AX20="",AX20&lt;0.35,BH20="",BH20&lt;0.35),"Watchlist","Ranked")</f>
        <v/>
      </c>
      <c r="BL20" s="15">
        <f>IF(AND(Q20="",AE20="",AM20="",AW20="",BG20=""),"",(IF(Q20="",0,Q20*25)+IF(AE20="",0,AE20*22)+IF(AM20="",0,AM20*18)+IF(AW20="",0,AW20*15)+IF(BG20="",0,BG20*20))/(IF(Q20="",0,25)+IF(AE20="",0,22)+IF(AM20="",0,18)+IF(AW20="",0,15)+IF(BG20="",0,20)))</f>
        <v/>
      </c>
      <c r="BM20" s="11">
        <f>IF(BK20="Ranked",1+COUNTIFS($BK$2:$BK$158,"Ranked",$BL$2:$BL$158,"&gt;"&amp;BL20),"")</f>
        <v/>
      </c>
      <c r="BN20" s="11">
        <f>City_Inputs!$AI20</f>
        <v/>
      </c>
    </row>
    <row r="21">
      <c r="A21" t="inlineStr">
        <is>
          <t>jp-hiroshima</t>
        </is>
      </c>
      <c r="B21" t="inlineStr">
        <is>
          <t>Hiroshima</t>
        </is>
      </c>
      <c r="C21" t="inlineStr">
        <is>
          <t>Japan</t>
        </is>
      </c>
      <c r="D21" t="inlineStr">
        <is>
          <t>East Asia</t>
        </is>
      </c>
      <c r="E21" t="inlineStr">
        <is>
          <t>provisional</t>
        </is>
      </c>
      <c r="F21" t="inlineStr">
        <is>
          <t>primary</t>
        </is>
      </c>
      <c r="G21" s="11">
        <f>IF(OR(City_Inputs!$M21="",Norm_Stats!$F$2="",Norm_Stats!$G$2="",Norm_Stats!$G$2=Norm_Stats!$F$2),"",MAX(0,MIN(100,100*(MIN(MAX(City_Inputs!$M21,Norm_Stats!$F$2),Norm_Stats!$G$2)-Norm_Stats!$F$2)/(Norm_Stats!$G$2-Norm_Stats!$F$2))))</f>
        <v/>
      </c>
      <c r="H21" s="14">
        <f>IF(G21="","",1)</f>
        <v/>
      </c>
      <c r="I21" s="11">
        <f>IF(OR(City_Inputs!$N21="",Norm_Stats!$F$3="",Norm_Stats!$G$3="",Norm_Stats!$G$3=Norm_Stats!$F$3),"",MAX(0,MIN(100,100*(Norm_Stats!$G$3-MIN(MAX(City_Inputs!$N21,Norm_Stats!$F$3),Norm_Stats!$G$3))/(Norm_Stats!$G$3-Norm_Stats!$F$3))))</f>
        <v/>
      </c>
      <c r="J21" s="14">
        <f>IF(I21="","",1)</f>
        <v/>
      </c>
      <c r="K21" s="11">
        <f>IF(OR(City_Inputs!$P21="",Norm_Stats!$F$4="",Norm_Stats!$G$4="",Norm_Stats!$G$4=Norm_Stats!$F$4),"",MAX(0,MIN(100,100*(Norm_Stats!$G$4-MIN(MAX(City_Inputs!$P21,Norm_Stats!$F$4),Norm_Stats!$G$4))/(Norm_Stats!$G$4-Norm_Stats!$F$4))))</f>
        <v/>
      </c>
      <c r="L21" s="14">
        <f>IF(K21="","",1)</f>
        <v/>
      </c>
      <c r="M21" s="11">
        <f>IF(OR(City_Inputs!$Q21="",Norm_Stats!$F$5="",Norm_Stats!$G$5="",Norm_Stats!$G$5=Norm_Stats!$F$5),"",MAX(0,MIN(100,100*(Norm_Stats!$G$5-MIN(MAX(City_Inputs!$Q21,Norm_Stats!$F$5),Norm_Stats!$G$5))/(Norm_Stats!$G$5-Norm_Stats!$F$5))))</f>
        <v/>
      </c>
      <c r="N21" s="14">
        <f>IF(M21="","",1)</f>
        <v/>
      </c>
      <c r="O21" s="11">
        <f>IF(OR(City_Inputs!$R21="",Norm_Stats!$F$6="",Norm_Stats!$G$6="",Norm_Stats!$G$6=Norm_Stats!$F$6),"",MAX(0,MIN(100,100*(Norm_Stats!$G$6-MIN(MAX(City_Inputs!$R21,Norm_Stats!$F$6),Norm_Stats!$G$6))/(Norm_Stats!$G$6-Norm_Stats!$F$6))))</f>
        <v/>
      </c>
      <c r="P21" s="14">
        <f>IF(O21="","",1)</f>
        <v/>
      </c>
      <c r="Q21" s="15">
        <f>IF((IF(G21="",0,9)+IF(I21="",0,5)+IF(K21="",0,4)+IF(M21="",0,4)+IF(O21="",0,5))=0,"",(IF(G21="",0,G21*9)+IF(I21="",0,I21*5)+IF(K21="",0,K21*4)+IF(M21="",0,M21*4)+IF(O21="",0,O21*5))/(IF(G21="",0,9)+IF(I21="",0,5)+IF(K21="",0,4)+IF(M21="",0,4)+IF(O21="",0,5)))</f>
        <v/>
      </c>
      <c r="R21" s="14">
        <f>IF((IF(H21="",0,9)+IF(J21="",0,5)+IF(L21="",0,4)+IF(N21="",0,4)+IF(P21="",0,5))=0,"",(IF(H21="",0,H21*9)+IF(J21="",0,J21*5)+IF(L21="",0,L21*4)+IF(N21="",0,N21*4)+IF(P21="",0,P21*5))/27)</f>
        <v/>
      </c>
      <c r="S21" s="11">
        <f>IF(OR(City_Inputs!$S21="",Norm_Stats!$F$7="",Norm_Stats!$G$7="",Norm_Stats!$G$7=Norm_Stats!$F$7),"",MAX(0,MIN(100,100*(Norm_Stats!$G$7-MIN(MAX(City_Inputs!$S21,Norm_Stats!$F$7),Norm_Stats!$G$7))/(Norm_Stats!$G$7-Norm_Stats!$F$7))))</f>
        <v/>
      </c>
      <c r="T21" s="14">
        <f>IF(S21="","",1)</f>
        <v/>
      </c>
      <c r="U21" s="11">
        <f>IF(OR(City_Inputs!$T21="",Norm_Stats!$F$8="",Norm_Stats!$G$8="",Norm_Stats!$G$8=Norm_Stats!$F$8),"",MAX(0,MIN(100,100*(MIN(MAX(City_Inputs!$T21,Norm_Stats!$F$8),Norm_Stats!$G$8)-Norm_Stats!$F$8)/(Norm_Stats!$G$8-Norm_Stats!$F$8))))</f>
        <v/>
      </c>
      <c r="V21" s="14">
        <f>IF(U21="","",1)</f>
        <v/>
      </c>
      <c r="W21" s="11">
        <f>IF(OR(City_Inputs!$U21="",Norm_Stats!$F$9="",Norm_Stats!$G$9="",Norm_Stats!$G$9=Norm_Stats!$F$9),"",MAX(0,MIN(100,100*(Norm_Stats!$G$9-MIN(MAX(City_Inputs!$U21,Norm_Stats!$F$9),Norm_Stats!$G$9))/(Norm_Stats!$G$9-Norm_Stats!$F$9))))</f>
        <v/>
      </c>
      <c r="X21" s="14">
        <f>IF(W21="","",1)</f>
        <v/>
      </c>
      <c r="Y21" s="11">
        <f>IF(OR(City_Inputs!$V21="",Norm_Stats!$F$10="",Norm_Stats!$G$10="",Norm_Stats!$G$10=Norm_Stats!$F$10),"",MAX(0,MIN(100,100*(MIN(MAX(City_Inputs!$V21,Norm_Stats!$F$10),Norm_Stats!$G$10)-Norm_Stats!$F$10)/(Norm_Stats!$G$10-Norm_Stats!$F$10))))</f>
        <v/>
      </c>
      <c r="Z21" s="14">
        <f>IF(Y21="","",1)</f>
        <v/>
      </c>
      <c r="AA21" s="11">
        <f>IF(OR(City_Inputs!$W21="",Norm_Stats!$F$11="",Norm_Stats!$G$11="",Norm_Stats!$G$11=Norm_Stats!$F$11),"",MAX(0,MIN(100,100*(MIN(MAX(City_Inputs!$W21,Norm_Stats!$F$11),Norm_Stats!$G$11)-Norm_Stats!$F$11)/(Norm_Stats!$G$11-Norm_Stats!$F$11))))</f>
        <v/>
      </c>
      <c r="AB21" s="14">
        <f>IF(AA21="","",1)</f>
        <v/>
      </c>
      <c r="AC21" s="11">
        <f>IF(OR(City_Inputs!$X21="",Norm_Stats!$F$12="",Norm_Stats!$G$12="",Norm_Stats!$G$12=Norm_Stats!$F$12),"",MAX(0,MIN(100,100*(MIN(MAX(City_Inputs!$X21,Norm_Stats!$F$12),Norm_Stats!$G$12)-Norm_Stats!$F$12)/(Norm_Stats!$G$12-Norm_Stats!$F$12))))</f>
        <v/>
      </c>
      <c r="AD21" s="11">
        <f>IF(AC21="","",1)</f>
        <v/>
      </c>
      <c r="AE21" s="15">
        <f>IF((IF(S21="",0,5)+IF(U21="",0,5)+IF(W21="",0,4)+IF(Y21="",0,4)+IF(AA21="",0,4)+IF(AC21="",0,5))=0,"",(IF(S21="",0,S21*5)+IF(U21="",0,U21*5)+IF(W21="",0,W21*4)+IF(Y21="",0,Y21*4)+IF(AA21="",0,AA21*4)+IF(AC21="",0,AC21*5))/(IF(S21="",0,5)+IF(U21="",0,5)+IF(W21="",0,4)+IF(Y21="",0,4)+IF(AA21="",0,4)+IF(AC21="",0,5)))</f>
        <v/>
      </c>
      <c r="AF21" s="14">
        <f>IF((IF(T21="",0,5)+IF(V21="",0,5)+IF(X21="",0,4)+IF(Z21="",0,4)+IF(AB21="",0,4)+IF(AD21="",0,5))=0,"",(IF(T21="",0,T21*5)+IF(V21="",0,V21*5)+IF(X21="",0,X21*4)+IF(Z21="",0,Z21*4)+IF(AB21="",0,AB21*4)+IF(AD21="",0,AD21*5))/27)</f>
        <v/>
      </c>
      <c r="AG21" s="11">
        <f>IF(OR(City_Inputs!$Y21="",Norm_Stats!$F$13="",Norm_Stats!$G$13="",Norm_Stats!$G$13=Norm_Stats!$F$13),"",MAX(0,MIN(100,100*(MIN(MAX(City_Inputs!$Y21,Norm_Stats!$F$13),Norm_Stats!$G$13)-Norm_Stats!$F$13)/(Norm_Stats!$G$13-Norm_Stats!$F$13))))</f>
        <v/>
      </c>
      <c r="AH21" s="14">
        <f>IF(AG21="","",1)</f>
        <v/>
      </c>
      <c r="AI21" s="11">
        <f>IF(OR(City_Inputs!$Z21="",Norm_Stats!$F$14="",Norm_Stats!$G$14="",Norm_Stats!$G$14=Norm_Stats!$F$14),"",MAX(0,MIN(100,100*(MIN(MAX(City_Inputs!$Z21,Norm_Stats!$F$14),Norm_Stats!$G$14)-Norm_Stats!$F$14)/(Norm_Stats!$G$14-Norm_Stats!$F$14))))</f>
        <v/>
      </c>
      <c r="AJ21" s="14">
        <f>IF(AI21="","",1)</f>
        <v/>
      </c>
      <c r="AK21" s="11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(IF(OR(City_Inputs!$AA21="",Norm_Stats!$F$15="",Norm_Stats!$G$15="",Norm_Stats!$G$15=Norm_Stats!$F$15),"",MAX(0,MIN(100,100*(MIN(MAX(City_Inputs!$AA21,Norm_Stats!$F$15),Norm_Stats!$G$15)-Norm_Stats!$F$15)/(Norm_Stats!$G$15-Norm_Stats!$F$15)))))*0.7)+IF((IF(OR(City_Inputs!$AL21="",Norm_Stats!$F$16="",Norm_Stats!$G$16="",Norm_Stats!$G$16=Norm_Stats!$F$16),"",MAX(0,MIN(100,100*(Norm_Stats!$G$16-MIN(MAX(City_Inputs!$AL21,Norm_Stats!$F$16),Norm_Stats!$G$16))/(Norm_Stats!$G$16-Norm_Stats!$F$16)))))="",0,(IF(OR(City_Inputs!$AL21="",Norm_Stats!$F$16="",Norm_Stats!$G$16="",Norm_Stats!$G$16=Norm_Stats!$F$16),"",MAX(0,MIN(100,100*(Norm_Stats!$G$16-MIN(MAX(City_Inputs!$AL21,Norm_Stats!$F$16),Norm_Stats!$G$16))/(Norm_Stats!$G$16-Norm_Stats!$F$16)))))*0.3))/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L21" s="14">
        <f>IF(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=0,"",(IF((IF(OR(City_Inputs!$AA21="",Norm_Stats!$F$15="",Norm_Stats!$G$15="",Norm_Stats!$G$15=Norm_Stats!$F$15),"",MAX(0,MIN(100,100*(MIN(MAX(City_Inputs!$AA21,Norm_Stats!$F$15),Norm_Stats!$G$15)-Norm_Stats!$F$15)/(Norm_Stats!$G$15-Norm_Stats!$F$15)))))="",0,0.7)+IF((IF(OR(City_Inputs!$AL21="",Norm_Stats!$F$16="",Norm_Stats!$G$16="",Norm_Stats!$G$16=Norm_Stats!$F$16),"",MAX(0,MIN(100,100*(Norm_Stats!$G$16-MIN(MAX(City_Inputs!$AL21,Norm_Stats!$F$16),Norm_Stats!$G$16))/(Norm_Stats!$G$16-Norm_Stats!$F$16)))))="",0,0.3)))</f>
        <v/>
      </c>
      <c r="AM21" s="15">
        <f>IF((IF(AG21="",0,8)+IF(AI21="",0,6)+IF(AK21="",0,4))=0,"",(IF(AG21="",0,AG21*8)+IF(AI21="",0,AI21*6)+IF(AK21="",0,AK21*4))/(IF(AG21="",0,8)+IF(AI21="",0,6)+IF(AK21="",0,4)))</f>
        <v/>
      </c>
      <c r="AN21" s="14">
        <f>IF((IF(AH21="",0,8)+IF(AJ21="",0,6)+IF(AL21="",0,4))=0,"",(IF(AH21="",0,AH21*8)+IF(AJ21="",0,AJ21*6)+IF(AL21="",0,AL21*4))/18)</f>
        <v/>
      </c>
      <c r="AO21" s="11">
        <f>IF(OR(City_Inputs!$AB21="",Norm_Stats!$F$17="",Norm_Stats!$G$17="",Norm_Stats!$G$17=Norm_Stats!$F$17),"",MAX(0,MIN(100,100*(MIN(MAX(City_Inputs!$AB21,Norm_Stats!$F$17),Norm_Stats!$G$17)-Norm_Stats!$F$17)/(Norm_Stats!$G$17-Norm_Stats!$F$17))))</f>
        <v/>
      </c>
      <c r="AP21" s="14">
        <f>IF(AO21="","",1)</f>
        <v/>
      </c>
      <c r="AQ21" s="11">
        <f>IF(OR(City_Inputs!$AC21="",Norm_Stats!$F$18="",Norm_Stats!$G$18="",Norm_Stats!$G$18=Norm_Stats!$F$18),"",MAX(0,MIN(100,100*(MIN(MAX(City_Inputs!$AC21,Norm_Stats!$F$18),Norm_Stats!$G$18)-Norm_Stats!$F$18)/(Norm_Stats!$G$18-Norm_Stats!$F$18))))</f>
        <v/>
      </c>
      <c r="AR21" s="14">
        <f>IF(AQ21="","",1)</f>
        <v/>
      </c>
      <c r="AS21" s="11">
        <f>IF(OR(City_Inputs!$AD21="",Norm_Stats!$F$19="",Norm_Stats!$G$19="",Norm_Stats!$G$19=Norm_Stats!$F$19),"",MAX(0,MIN(100,100*(MIN(MAX(City_Inputs!$AD21,Norm_Stats!$F$19),Norm_Stats!$G$19)-Norm_Stats!$F$19)/(Norm_Stats!$G$19-Norm_Stats!$F$19))))</f>
        <v/>
      </c>
      <c r="AT21" s="14">
        <f>IF(AS21="","",1)</f>
        <v/>
      </c>
      <c r="AU21" s="11">
        <f>IF(OR(City_Inputs!$BJ21="",Norm_Stats!$F$26="",Norm_Stats!$G$26="",Norm_Stats!$G$26=Norm_Stats!$F$26),"",MAX(0,MIN(100,100*(MIN(MAX(City_Inputs!$BJ21,Norm_Stats!$F$26),Norm_Stats!$G$26)-Norm_Stats!$F$26)/(Norm_Stats!$G$26-Norm_Stats!$F$26))))</f>
        <v/>
      </c>
      <c r="AV21" s="11">
        <f>IF(AU21="","",1)</f>
        <v/>
      </c>
      <c r="AW21" s="15">
        <f>IF((IF(AO21="",0,5)+IF(AQ21="",0,5)+IF(AS21="",0,5)+IF(AU21="",0,4))=0,"",(IF(AO21="",0,AO21*5)+IF(AQ21="",0,AQ21*5)+IF(AS21="",0,AS21*5)+IF(AU21="",0,AU21*4))/(IF(AO21="",0,5)+IF(AQ21="",0,5)+IF(AS21="",0,5)+IF(AU21="",0,4)))</f>
        <v/>
      </c>
      <c r="AX21" s="14">
        <f>IF((IF(AP21="",0,5)+IF(AR21="",0,5)+IF(AT21="",0,5)+IF(AV21="",0,4))=0,"",(IF(AP21="",0,AP21*5)+IF(AR21="",0,AR21*5)+IF(AT21="",0,AT21*5)+IF(AV21="",0,AV21*4))/19)</f>
        <v/>
      </c>
      <c r="AY21" s="11">
        <f>IF(OR(City_Inputs!$AE21="",Norm_Stats!$F$20="",Norm_Stats!$G$20="",Norm_Stats!$G$20=Norm_Stats!$F$20),"",MAX(0,MIN(100,100*(MIN(MAX(City_Inputs!$AE21,Norm_Stats!$F$20),Norm_Stats!$G$20)-Norm_Stats!$F$20)/(Norm_Stats!$G$20-Norm_Stats!$F$20))))</f>
        <v/>
      </c>
      <c r="AZ21" s="14">
        <f>IF(AY21="","",1)</f>
        <v/>
      </c>
      <c r="BA21" s="11">
        <f>IF(OR(City_Inputs!$AF21="",Norm_Stats!$F$21="",Norm_Stats!$G$21="",Norm_Stats!$G$21=Norm_Stats!$F$21),"",MAX(0,MIN(100,100*(MIN(MAX(City_Inputs!$AF21,Norm_Stats!$F$21),Norm_Stats!$G$21)-Norm_Stats!$F$21)/(Norm_Stats!$G$21-Norm_Stats!$F$21))))</f>
        <v/>
      </c>
      <c r="BB21" s="14">
        <f>IF(BA21="","",1)</f>
        <v/>
      </c>
      <c r="BC21" s="11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(IF(OR(City_Inputs!$AG21="",Norm_Stats!$F$22="",Norm_Stats!$G$22="",Norm_Stats!$G$22=Norm_Stats!$F$22),"",MAX(0,MIN(100,100*(MIN(MAX(City_Inputs!$AG21,Norm_Stats!$F$22),Norm_Stats!$G$22)-Norm_Stats!$F$22)/(Norm_Stats!$G$22-Norm_Stats!$F$22)))))*0.5)+IF((IF(OR(City_Inputs!$AJ21="",Norm_Stats!$F$23="",Norm_Stats!$G$23="",Norm_Stats!$G$23=Norm_Stats!$F$23),"",MAX(0,MIN(100,100*(MIN(MAX(City_Inputs!$AJ21,Norm_Stats!$F$23),Norm_Stats!$G$23)-Norm_Stats!$F$23)/(Norm_Stats!$G$23-Norm_Stats!$F$23)))))="",0,(IF(OR(City_Inputs!$AJ21="",Norm_Stats!$F$23="",Norm_Stats!$G$23="",Norm_Stats!$G$23=Norm_Stats!$F$23),"",MAX(0,MIN(100,100*(MIN(MAX(City_Inputs!$AJ21,Norm_Stats!$F$23),Norm_Stats!$G$23)-Norm_Stats!$F$23)/(Norm_Stats!$G$23-Norm_Stats!$F$23)))))*0.3)+IF((IF(OR(City_Inputs!$AK21="",Norm_Stats!$F$24="",Norm_Stats!$G$24="",Norm_Stats!$G$24=Norm_Stats!$F$24),"",MAX(0,MIN(100,100*(MIN(MAX(City_Inputs!$AK21,Norm_Stats!$F$24),Norm_Stats!$G$24)-Norm_Stats!$F$24)/(Norm_Stats!$G$24-Norm_Stats!$F$24)))))="",0,(IF(OR(City_Inputs!$AK21="",Norm_Stats!$F$24="",Norm_Stats!$G$24="",Norm_Stats!$G$24=Norm_Stats!$F$24),"",MAX(0,MIN(100,100*(MIN(MAX(City_Inputs!$AK21,Norm_Stats!$F$24),Norm_Stats!$G$24)-Norm_Stats!$F$24)/(Norm_Stats!$G$24-Norm_Stats!$F$24)))))*0.2))/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D21" s="14">
        <f>IF(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=0,"",(IF((IF(OR(City_Inputs!$AG21="",Norm_Stats!$F$22="",Norm_Stats!$G$22="",Norm_Stats!$G$22=Norm_Stats!$F$22),"",MAX(0,MIN(100,100*(MIN(MAX(City_Inputs!$AG21,Norm_Stats!$F$22),Norm_Stats!$G$22)-Norm_Stats!$F$22)/(Norm_Stats!$G$22-Norm_Stats!$F$22)))))="",0,0.5)+IF((IF(OR(City_Inputs!$AJ21="",Norm_Stats!$F$23="",Norm_Stats!$G$23="",Norm_Stats!$G$23=Norm_Stats!$F$23),"",MAX(0,MIN(100,100*(MIN(MAX(City_Inputs!$AJ21,Norm_Stats!$F$23),Norm_Stats!$G$23)-Norm_Stats!$F$23)/(Norm_Stats!$G$23-Norm_Stats!$F$23)))))="",0,0.3)+IF((IF(OR(City_Inputs!$AK21="",Norm_Stats!$F$24="",Norm_Stats!$G$24="",Norm_Stats!$G$24=Norm_Stats!$F$24),"",MAX(0,MIN(100,100*(MIN(MAX(City_Inputs!$AK21,Norm_Stats!$F$24),Norm_Stats!$G$24)-Norm_Stats!$F$24)/(Norm_Stats!$G$24-Norm_Stats!$F$24)))))="",0,0.2)))</f>
        <v/>
      </c>
      <c r="BE21" s="11">
        <f>IF(OR(City_Inputs!$AH21="",Norm_Stats!$F$25="",Norm_Stats!$G$25="",Norm_Stats!$G$25=Norm_Stats!$F$25),"",MAX(0,MIN(100,100*(Norm_Stats!$G$25-MIN(MAX(City_Inputs!$AH21,Norm_Stats!$F$25),Norm_Stats!$G$25))/(Norm_Stats!$G$25-Norm_Stats!$F$25))))</f>
        <v/>
      </c>
      <c r="BF21" s="14">
        <f>IF(BE21="","",1)</f>
        <v/>
      </c>
      <c r="BG21" s="15">
        <f>IF((IF(AY21="",0,6)+IF(BA21="",0,5)+IF(BC21="",0,5)+IF(BE21="",0,4))=0,"",(IF(AY21="",0,AY21*6)+IF(BA21="",0,BA21*5)+IF(BC21="",0,BC21*5)+IF(BE21="",0,BE21*4))/(IF(AY21="",0,6)+IF(BA21="",0,5)+IF(BC21="",0,5)+IF(BE21="",0,4)))</f>
        <v/>
      </c>
      <c r="BH21" s="14">
        <f>IF((IF(AZ21="",0,6)+IF(BB21="",0,5)+IF(BD21="",0,5)+IF(BF21="",0,4))=0,"",(IF(AZ21="",0,AZ21*6)+IF(BB21="",0,BB21*5)+IF(BD21="",0,BD21*5)+IF(BF21="",0,BF21*4))/20)</f>
        <v/>
      </c>
      <c r="BI21" s="14">
        <f>IF(AND(R21="",AF21="",AN21="",AX21="",BH21=""),"",((R21*25)+(AF21*22)+(AN21*18)+(AX21*15)+(BH21*20))/100)</f>
        <v/>
      </c>
      <c r="BJ21" s="11">
        <f>IF(BI21="","",IF(BI21&gt;=0.75,"A",IF(BI21&gt;=0.5,"B",IF(BI21&gt;=0.35,"C","Watchlist"))))</f>
        <v/>
      </c>
      <c r="BK21" s="11">
        <f>IF(OR(BI21="",BI21&lt;0.5,R21="",R21&lt;0.35,AF21="",AF21&lt;0.35,AN21="",AN21&lt;0.35,AX21="",AX21&lt;0.35,BH21="",BH21&lt;0.35),"Watchlist","Ranked")</f>
        <v/>
      </c>
      <c r="BL21" s="15">
        <f>IF(AND(Q21="",AE21="",AM21="",AW21="",BG21=""),"",(IF(Q21="",0,Q21*25)+IF(AE21="",0,AE21*22)+IF(AM21="",0,AM21*18)+IF(AW21="",0,AW21*15)+IF(BG21="",0,BG21*20))/(IF(Q21="",0,25)+IF(AE21="",0,22)+IF(AM21="",0,18)+IF(AW21="",0,15)+IF(BG21="",0,20)))</f>
        <v/>
      </c>
      <c r="BM21" s="11">
        <f>IF(BK21="Ranked",1+COUNTIFS($BK$2:$BK$158,"Ranked",$BL$2:$BL$158,"&gt;"&amp;BL21),"")</f>
        <v/>
      </c>
      <c r="BN21" s="11">
        <f>City_Inputs!$AI21</f>
        <v/>
      </c>
    </row>
    <row r="22">
      <c r="A22" t="inlineStr">
        <is>
          <t>kr-suwon</t>
        </is>
      </c>
      <c r="B22" t="inlineStr">
        <is>
          <t>Suwon</t>
        </is>
      </c>
      <c r="C22" t="inlineStr">
        <is>
          <t>South Korea</t>
        </is>
      </c>
      <c r="D22" t="inlineStr">
        <is>
          <t>East Asia</t>
        </is>
      </c>
      <c r="E22" t="inlineStr">
        <is>
          <t>provisional</t>
        </is>
      </c>
      <c r="F22" t="inlineStr">
        <is>
          <t>primary</t>
        </is>
      </c>
      <c r="G22" s="11">
        <f>IF(OR(City_Inputs!$M22="",Norm_Stats!$F$2="",Norm_Stats!$G$2="",Norm_Stats!$G$2=Norm_Stats!$F$2),"",MAX(0,MIN(100,100*(MIN(MAX(City_Inputs!$M22,Norm_Stats!$F$2),Norm_Stats!$G$2)-Norm_Stats!$F$2)/(Norm_Stats!$G$2-Norm_Stats!$F$2))))</f>
        <v/>
      </c>
      <c r="H22" s="14">
        <f>IF(G22="","",1)</f>
        <v/>
      </c>
      <c r="I22" s="11">
        <f>IF(OR(City_Inputs!$N22="",Norm_Stats!$F$3="",Norm_Stats!$G$3="",Norm_Stats!$G$3=Norm_Stats!$F$3),"",MAX(0,MIN(100,100*(Norm_Stats!$G$3-MIN(MAX(City_Inputs!$N22,Norm_Stats!$F$3),Norm_Stats!$G$3))/(Norm_Stats!$G$3-Norm_Stats!$F$3))))</f>
        <v/>
      </c>
      <c r="J22" s="14">
        <f>IF(I22="","",1)</f>
        <v/>
      </c>
      <c r="K22" s="11">
        <f>IF(OR(City_Inputs!$P22="",Norm_Stats!$F$4="",Norm_Stats!$G$4="",Norm_Stats!$G$4=Norm_Stats!$F$4),"",MAX(0,MIN(100,100*(Norm_Stats!$G$4-MIN(MAX(City_Inputs!$P22,Norm_Stats!$F$4),Norm_Stats!$G$4))/(Norm_Stats!$G$4-Norm_Stats!$F$4))))</f>
        <v/>
      </c>
      <c r="L22" s="14">
        <f>IF(K22="","",1)</f>
        <v/>
      </c>
      <c r="M22" s="11">
        <f>IF(OR(City_Inputs!$Q22="",Norm_Stats!$F$5="",Norm_Stats!$G$5="",Norm_Stats!$G$5=Norm_Stats!$F$5),"",MAX(0,MIN(100,100*(Norm_Stats!$G$5-MIN(MAX(City_Inputs!$Q22,Norm_Stats!$F$5),Norm_Stats!$G$5))/(Norm_Stats!$G$5-Norm_Stats!$F$5))))</f>
        <v/>
      </c>
      <c r="N22" s="14">
        <f>IF(M22="","",1)</f>
        <v/>
      </c>
      <c r="O22" s="11">
        <f>IF(OR(City_Inputs!$R22="",Norm_Stats!$F$6="",Norm_Stats!$G$6="",Norm_Stats!$G$6=Norm_Stats!$F$6),"",MAX(0,MIN(100,100*(Norm_Stats!$G$6-MIN(MAX(City_Inputs!$R22,Norm_Stats!$F$6),Norm_Stats!$G$6))/(Norm_Stats!$G$6-Norm_Stats!$F$6))))</f>
        <v/>
      </c>
      <c r="P22" s="14">
        <f>IF(O22="","",1)</f>
        <v/>
      </c>
      <c r="Q22" s="15">
        <f>IF((IF(G22="",0,9)+IF(I22="",0,5)+IF(K22="",0,4)+IF(M22="",0,4)+IF(O22="",0,5))=0,"",(IF(G22="",0,G22*9)+IF(I22="",0,I22*5)+IF(K22="",0,K22*4)+IF(M22="",0,M22*4)+IF(O22="",0,O22*5))/(IF(G22="",0,9)+IF(I22="",0,5)+IF(K22="",0,4)+IF(M22="",0,4)+IF(O22="",0,5)))</f>
        <v/>
      </c>
      <c r="R22" s="14">
        <f>IF((IF(H22="",0,9)+IF(J22="",0,5)+IF(L22="",0,4)+IF(N22="",0,4)+IF(P22="",0,5))=0,"",(IF(H22="",0,H22*9)+IF(J22="",0,J22*5)+IF(L22="",0,L22*4)+IF(N22="",0,N22*4)+IF(P22="",0,P22*5))/27)</f>
        <v/>
      </c>
      <c r="S22" s="11">
        <f>IF(OR(City_Inputs!$S22="",Norm_Stats!$F$7="",Norm_Stats!$G$7="",Norm_Stats!$G$7=Norm_Stats!$F$7),"",MAX(0,MIN(100,100*(Norm_Stats!$G$7-MIN(MAX(City_Inputs!$S22,Norm_Stats!$F$7),Norm_Stats!$G$7))/(Norm_Stats!$G$7-Norm_Stats!$F$7))))</f>
        <v/>
      </c>
      <c r="T22" s="14">
        <f>IF(S22="","",1)</f>
        <v/>
      </c>
      <c r="U22" s="11">
        <f>IF(OR(City_Inputs!$T22="",Norm_Stats!$F$8="",Norm_Stats!$G$8="",Norm_Stats!$G$8=Norm_Stats!$F$8),"",MAX(0,MIN(100,100*(MIN(MAX(City_Inputs!$T22,Norm_Stats!$F$8),Norm_Stats!$G$8)-Norm_Stats!$F$8)/(Norm_Stats!$G$8-Norm_Stats!$F$8))))</f>
        <v/>
      </c>
      <c r="V22" s="14">
        <f>IF(U22="","",1)</f>
        <v/>
      </c>
      <c r="W22" s="11">
        <f>IF(OR(City_Inputs!$U22="",Norm_Stats!$F$9="",Norm_Stats!$G$9="",Norm_Stats!$G$9=Norm_Stats!$F$9),"",MAX(0,MIN(100,100*(Norm_Stats!$G$9-MIN(MAX(City_Inputs!$U22,Norm_Stats!$F$9),Norm_Stats!$G$9))/(Norm_Stats!$G$9-Norm_Stats!$F$9))))</f>
        <v/>
      </c>
      <c r="X22" s="14">
        <f>IF(W22="","",1)</f>
        <v/>
      </c>
      <c r="Y22" s="11">
        <f>IF(OR(City_Inputs!$V22="",Norm_Stats!$F$10="",Norm_Stats!$G$10="",Norm_Stats!$G$10=Norm_Stats!$F$10),"",MAX(0,MIN(100,100*(MIN(MAX(City_Inputs!$V22,Norm_Stats!$F$10),Norm_Stats!$G$10)-Norm_Stats!$F$10)/(Norm_Stats!$G$10-Norm_Stats!$F$10))))</f>
        <v/>
      </c>
      <c r="Z22" s="14">
        <f>IF(Y22="","",1)</f>
        <v/>
      </c>
      <c r="AA22" s="11">
        <f>IF(OR(City_Inputs!$W22="",Norm_Stats!$F$11="",Norm_Stats!$G$11="",Norm_Stats!$G$11=Norm_Stats!$F$11),"",MAX(0,MIN(100,100*(MIN(MAX(City_Inputs!$W22,Norm_Stats!$F$11),Norm_Stats!$G$11)-Norm_Stats!$F$11)/(Norm_Stats!$G$11-Norm_Stats!$F$11))))</f>
        <v/>
      </c>
      <c r="AB22" s="14">
        <f>IF(AA22="","",1)</f>
        <v/>
      </c>
      <c r="AC22" s="11">
        <f>IF(OR(City_Inputs!$X22="",Norm_Stats!$F$12="",Norm_Stats!$G$12="",Norm_Stats!$G$12=Norm_Stats!$F$12),"",MAX(0,MIN(100,100*(MIN(MAX(City_Inputs!$X22,Norm_Stats!$F$12),Norm_Stats!$G$12)-Norm_Stats!$F$12)/(Norm_Stats!$G$12-Norm_Stats!$F$12))))</f>
        <v/>
      </c>
      <c r="AD22" s="11">
        <f>IF(AC22="","",1)</f>
        <v/>
      </c>
      <c r="AE22" s="15">
        <f>IF((IF(S22="",0,5)+IF(U22="",0,5)+IF(W22="",0,4)+IF(Y22="",0,4)+IF(AA22="",0,4)+IF(AC22="",0,5))=0,"",(IF(S22="",0,S22*5)+IF(U22="",0,U22*5)+IF(W22="",0,W22*4)+IF(Y22="",0,Y22*4)+IF(AA22="",0,AA22*4)+IF(AC22="",0,AC22*5))/(IF(S22="",0,5)+IF(U22="",0,5)+IF(W22="",0,4)+IF(Y22="",0,4)+IF(AA22="",0,4)+IF(AC22="",0,5)))</f>
        <v/>
      </c>
      <c r="AF22" s="14">
        <f>IF((IF(T22="",0,5)+IF(V22="",0,5)+IF(X22="",0,4)+IF(Z22="",0,4)+IF(AB22="",0,4)+IF(AD22="",0,5))=0,"",(IF(T22="",0,T22*5)+IF(V22="",0,V22*5)+IF(X22="",0,X22*4)+IF(Z22="",0,Z22*4)+IF(AB22="",0,AB22*4)+IF(AD22="",0,AD22*5))/27)</f>
        <v/>
      </c>
      <c r="AG22" s="11">
        <f>IF(OR(City_Inputs!$Y22="",Norm_Stats!$F$13="",Norm_Stats!$G$13="",Norm_Stats!$G$13=Norm_Stats!$F$13),"",MAX(0,MIN(100,100*(MIN(MAX(City_Inputs!$Y22,Norm_Stats!$F$13),Norm_Stats!$G$13)-Norm_Stats!$F$13)/(Norm_Stats!$G$13-Norm_Stats!$F$13))))</f>
        <v/>
      </c>
      <c r="AH22" s="14">
        <f>IF(AG22="","",1)</f>
        <v/>
      </c>
      <c r="AI22" s="11">
        <f>IF(OR(City_Inputs!$Z22="",Norm_Stats!$F$14="",Norm_Stats!$G$14="",Norm_Stats!$G$14=Norm_Stats!$F$14),"",MAX(0,MIN(100,100*(MIN(MAX(City_Inputs!$Z22,Norm_Stats!$F$14),Norm_Stats!$G$14)-Norm_Stats!$F$14)/(Norm_Stats!$G$14-Norm_Stats!$F$14))))</f>
        <v/>
      </c>
      <c r="AJ22" s="14">
        <f>IF(AI22="","",1)</f>
        <v/>
      </c>
      <c r="AK22" s="11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(IF(OR(City_Inputs!$AA22="",Norm_Stats!$F$15="",Norm_Stats!$G$15="",Norm_Stats!$G$15=Norm_Stats!$F$15),"",MAX(0,MIN(100,100*(MIN(MAX(City_Inputs!$AA22,Norm_Stats!$F$15),Norm_Stats!$G$15)-Norm_Stats!$F$15)/(Norm_Stats!$G$15-Norm_Stats!$F$15)))))*0.7)+IF((IF(OR(City_Inputs!$AL22="",Norm_Stats!$F$16="",Norm_Stats!$G$16="",Norm_Stats!$G$16=Norm_Stats!$F$16),"",MAX(0,MIN(100,100*(Norm_Stats!$G$16-MIN(MAX(City_Inputs!$AL22,Norm_Stats!$F$16),Norm_Stats!$G$16))/(Norm_Stats!$G$16-Norm_Stats!$F$16)))))="",0,(IF(OR(City_Inputs!$AL22="",Norm_Stats!$F$16="",Norm_Stats!$G$16="",Norm_Stats!$G$16=Norm_Stats!$F$16),"",MAX(0,MIN(100,100*(Norm_Stats!$G$16-MIN(MAX(City_Inputs!$AL22,Norm_Stats!$F$16),Norm_Stats!$G$16))/(Norm_Stats!$G$16-Norm_Stats!$F$16)))))*0.3))/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L22" s="14">
        <f>IF(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=0,"",(IF((IF(OR(City_Inputs!$AA22="",Norm_Stats!$F$15="",Norm_Stats!$G$15="",Norm_Stats!$G$15=Norm_Stats!$F$15),"",MAX(0,MIN(100,100*(MIN(MAX(City_Inputs!$AA22,Norm_Stats!$F$15),Norm_Stats!$G$15)-Norm_Stats!$F$15)/(Norm_Stats!$G$15-Norm_Stats!$F$15)))))="",0,0.7)+IF((IF(OR(City_Inputs!$AL22="",Norm_Stats!$F$16="",Norm_Stats!$G$16="",Norm_Stats!$G$16=Norm_Stats!$F$16),"",MAX(0,MIN(100,100*(Norm_Stats!$G$16-MIN(MAX(City_Inputs!$AL22,Norm_Stats!$F$16),Norm_Stats!$G$16))/(Norm_Stats!$G$16-Norm_Stats!$F$16)))))="",0,0.3)))</f>
        <v/>
      </c>
      <c r="AM22" s="15">
        <f>IF((IF(AG22="",0,8)+IF(AI22="",0,6)+IF(AK22="",0,4))=0,"",(IF(AG22="",0,AG22*8)+IF(AI22="",0,AI22*6)+IF(AK22="",0,AK22*4))/(IF(AG22="",0,8)+IF(AI22="",0,6)+IF(AK22="",0,4)))</f>
        <v/>
      </c>
      <c r="AN22" s="14">
        <f>IF((IF(AH22="",0,8)+IF(AJ22="",0,6)+IF(AL22="",0,4))=0,"",(IF(AH22="",0,AH22*8)+IF(AJ22="",0,AJ22*6)+IF(AL22="",0,AL22*4))/18)</f>
        <v/>
      </c>
      <c r="AO22" s="11">
        <f>IF(OR(City_Inputs!$AB22="",Norm_Stats!$F$17="",Norm_Stats!$G$17="",Norm_Stats!$G$17=Norm_Stats!$F$17),"",MAX(0,MIN(100,100*(MIN(MAX(City_Inputs!$AB22,Norm_Stats!$F$17),Norm_Stats!$G$17)-Norm_Stats!$F$17)/(Norm_Stats!$G$17-Norm_Stats!$F$17))))</f>
        <v/>
      </c>
      <c r="AP22" s="14">
        <f>IF(AO22="","",1)</f>
        <v/>
      </c>
      <c r="AQ22" s="11">
        <f>IF(OR(City_Inputs!$AC22="",Norm_Stats!$F$18="",Norm_Stats!$G$18="",Norm_Stats!$G$18=Norm_Stats!$F$18),"",MAX(0,MIN(100,100*(MIN(MAX(City_Inputs!$AC22,Norm_Stats!$F$18),Norm_Stats!$G$18)-Norm_Stats!$F$18)/(Norm_Stats!$G$18-Norm_Stats!$F$18))))</f>
        <v/>
      </c>
      <c r="AR22" s="14">
        <f>IF(AQ22="","",1)</f>
        <v/>
      </c>
      <c r="AS22" s="11">
        <f>IF(OR(City_Inputs!$AD22="",Norm_Stats!$F$19="",Norm_Stats!$G$19="",Norm_Stats!$G$19=Norm_Stats!$F$19),"",MAX(0,MIN(100,100*(MIN(MAX(City_Inputs!$AD22,Norm_Stats!$F$19),Norm_Stats!$G$19)-Norm_Stats!$F$19)/(Norm_Stats!$G$19-Norm_Stats!$F$19))))</f>
        <v/>
      </c>
      <c r="AT22" s="14">
        <f>IF(AS22="","",1)</f>
        <v/>
      </c>
      <c r="AU22" s="11">
        <f>IF(OR(City_Inputs!$BJ22="",Norm_Stats!$F$26="",Norm_Stats!$G$26="",Norm_Stats!$G$26=Norm_Stats!$F$26),"",MAX(0,MIN(100,100*(MIN(MAX(City_Inputs!$BJ22,Norm_Stats!$F$26),Norm_Stats!$G$26)-Norm_Stats!$F$26)/(Norm_Stats!$G$26-Norm_Stats!$F$26))))</f>
        <v/>
      </c>
      <c r="AV22" s="11">
        <f>IF(AU22="","",1)</f>
        <v/>
      </c>
      <c r="AW22" s="15">
        <f>IF((IF(AO22="",0,5)+IF(AQ22="",0,5)+IF(AS22="",0,5)+IF(AU22="",0,4))=0,"",(IF(AO22="",0,AO22*5)+IF(AQ22="",0,AQ22*5)+IF(AS22="",0,AS22*5)+IF(AU22="",0,AU22*4))/(IF(AO22="",0,5)+IF(AQ22="",0,5)+IF(AS22="",0,5)+IF(AU22="",0,4)))</f>
        <v/>
      </c>
      <c r="AX22" s="14">
        <f>IF((IF(AP22="",0,5)+IF(AR22="",0,5)+IF(AT22="",0,5)+IF(AV22="",0,4))=0,"",(IF(AP22="",0,AP22*5)+IF(AR22="",0,AR22*5)+IF(AT22="",0,AT22*5)+IF(AV22="",0,AV22*4))/19)</f>
        <v/>
      </c>
      <c r="AY22" s="11">
        <f>IF(OR(City_Inputs!$AE22="",Norm_Stats!$F$20="",Norm_Stats!$G$20="",Norm_Stats!$G$20=Norm_Stats!$F$20),"",MAX(0,MIN(100,100*(MIN(MAX(City_Inputs!$AE22,Norm_Stats!$F$20),Norm_Stats!$G$20)-Norm_Stats!$F$20)/(Norm_Stats!$G$20-Norm_Stats!$F$20))))</f>
        <v/>
      </c>
      <c r="AZ22" s="14">
        <f>IF(AY22="","",1)</f>
        <v/>
      </c>
      <c r="BA22" s="11">
        <f>IF(OR(City_Inputs!$AF22="",Norm_Stats!$F$21="",Norm_Stats!$G$21="",Norm_Stats!$G$21=Norm_Stats!$F$21),"",MAX(0,MIN(100,100*(MIN(MAX(City_Inputs!$AF22,Norm_Stats!$F$21),Norm_Stats!$G$21)-Norm_Stats!$F$21)/(Norm_Stats!$G$21-Norm_Stats!$F$21))))</f>
        <v/>
      </c>
      <c r="BB22" s="14">
        <f>IF(BA22="","",1)</f>
        <v/>
      </c>
      <c r="BC22" s="11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(IF(OR(City_Inputs!$AG22="",Norm_Stats!$F$22="",Norm_Stats!$G$22="",Norm_Stats!$G$22=Norm_Stats!$F$22),"",MAX(0,MIN(100,100*(MIN(MAX(City_Inputs!$AG22,Norm_Stats!$F$22),Norm_Stats!$G$22)-Norm_Stats!$F$22)/(Norm_Stats!$G$22-Norm_Stats!$F$22)))))*0.5)+IF((IF(OR(City_Inputs!$AJ22="",Norm_Stats!$F$23="",Norm_Stats!$G$23="",Norm_Stats!$G$23=Norm_Stats!$F$23),"",MAX(0,MIN(100,100*(MIN(MAX(City_Inputs!$AJ22,Norm_Stats!$F$23),Norm_Stats!$G$23)-Norm_Stats!$F$23)/(Norm_Stats!$G$23-Norm_Stats!$F$23)))))="",0,(IF(OR(City_Inputs!$AJ22="",Norm_Stats!$F$23="",Norm_Stats!$G$23="",Norm_Stats!$G$23=Norm_Stats!$F$23),"",MAX(0,MIN(100,100*(MIN(MAX(City_Inputs!$AJ22,Norm_Stats!$F$23),Norm_Stats!$G$23)-Norm_Stats!$F$23)/(Norm_Stats!$G$23-Norm_Stats!$F$23)))))*0.3)+IF((IF(OR(City_Inputs!$AK22="",Norm_Stats!$F$24="",Norm_Stats!$G$24="",Norm_Stats!$G$24=Norm_Stats!$F$24),"",MAX(0,MIN(100,100*(MIN(MAX(City_Inputs!$AK22,Norm_Stats!$F$24),Norm_Stats!$G$24)-Norm_Stats!$F$24)/(Norm_Stats!$G$24-Norm_Stats!$F$24)))))="",0,(IF(OR(City_Inputs!$AK22="",Norm_Stats!$F$24="",Norm_Stats!$G$24="",Norm_Stats!$G$24=Norm_Stats!$F$24),"",MAX(0,MIN(100,100*(MIN(MAX(City_Inputs!$AK22,Norm_Stats!$F$24),Norm_Stats!$G$24)-Norm_Stats!$F$24)/(Norm_Stats!$G$24-Norm_Stats!$F$24)))))*0.2))/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D22" s="14">
        <f>IF(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=0,"",(IF((IF(OR(City_Inputs!$AG22="",Norm_Stats!$F$22="",Norm_Stats!$G$22="",Norm_Stats!$G$22=Norm_Stats!$F$22),"",MAX(0,MIN(100,100*(MIN(MAX(City_Inputs!$AG22,Norm_Stats!$F$22),Norm_Stats!$G$22)-Norm_Stats!$F$22)/(Norm_Stats!$G$22-Norm_Stats!$F$22)))))="",0,0.5)+IF((IF(OR(City_Inputs!$AJ22="",Norm_Stats!$F$23="",Norm_Stats!$G$23="",Norm_Stats!$G$23=Norm_Stats!$F$23),"",MAX(0,MIN(100,100*(MIN(MAX(City_Inputs!$AJ22,Norm_Stats!$F$23),Norm_Stats!$G$23)-Norm_Stats!$F$23)/(Norm_Stats!$G$23-Norm_Stats!$F$23)))))="",0,0.3)+IF((IF(OR(City_Inputs!$AK22="",Norm_Stats!$F$24="",Norm_Stats!$G$24="",Norm_Stats!$G$24=Norm_Stats!$F$24),"",MAX(0,MIN(100,100*(MIN(MAX(City_Inputs!$AK22,Norm_Stats!$F$24),Norm_Stats!$G$24)-Norm_Stats!$F$24)/(Norm_Stats!$G$24-Norm_Stats!$F$24)))))="",0,0.2)))</f>
        <v/>
      </c>
      <c r="BE22" s="11">
        <f>IF(OR(City_Inputs!$AH22="",Norm_Stats!$F$25="",Norm_Stats!$G$25="",Norm_Stats!$G$25=Norm_Stats!$F$25),"",MAX(0,MIN(100,100*(Norm_Stats!$G$25-MIN(MAX(City_Inputs!$AH22,Norm_Stats!$F$25),Norm_Stats!$G$25))/(Norm_Stats!$G$25-Norm_Stats!$F$25))))</f>
        <v/>
      </c>
      <c r="BF22" s="14">
        <f>IF(BE22="","",1)</f>
        <v/>
      </c>
      <c r="BG22" s="15">
        <f>IF((IF(AY22="",0,6)+IF(BA22="",0,5)+IF(BC22="",0,5)+IF(BE22="",0,4))=0,"",(IF(AY22="",0,AY22*6)+IF(BA22="",0,BA22*5)+IF(BC22="",0,BC22*5)+IF(BE22="",0,BE22*4))/(IF(AY22="",0,6)+IF(BA22="",0,5)+IF(BC22="",0,5)+IF(BE22="",0,4)))</f>
        <v/>
      </c>
      <c r="BH22" s="14">
        <f>IF((IF(AZ22="",0,6)+IF(BB22="",0,5)+IF(BD22="",0,5)+IF(BF22="",0,4))=0,"",(IF(AZ22="",0,AZ22*6)+IF(BB22="",0,BB22*5)+IF(BD22="",0,BD22*5)+IF(BF22="",0,BF22*4))/20)</f>
        <v/>
      </c>
      <c r="BI22" s="14">
        <f>IF(AND(R22="",AF22="",AN22="",AX22="",BH22=""),"",((R22*25)+(AF22*22)+(AN22*18)+(AX22*15)+(BH22*20))/100)</f>
        <v/>
      </c>
      <c r="BJ22" s="11">
        <f>IF(BI22="","",IF(BI22&gt;=0.75,"A",IF(BI22&gt;=0.5,"B",IF(BI22&gt;=0.35,"C","Watchlist"))))</f>
        <v/>
      </c>
      <c r="BK22" s="11">
        <f>IF(OR(BI22="",BI22&lt;0.5,R22="",R22&lt;0.35,AF22="",AF22&lt;0.35,AN22="",AN22&lt;0.35,AX22="",AX22&lt;0.35,BH22="",BH22&lt;0.35),"Watchlist","Ranked")</f>
        <v/>
      </c>
      <c r="BL22" s="15">
        <f>IF(AND(Q22="",AE22="",AM22="",AW22="",BG22=""),"",(IF(Q22="",0,Q22*25)+IF(AE22="",0,AE22*22)+IF(AM22="",0,AM22*18)+IF(AW22="",0,AW22*15)+IF(BG22="",0,BG22*20))/(IF(Q22="",0,25)+IF(AE22="",0,22)+IF(AM22="",0,18)+IF(AW22="",0,15)+IF(BG22="",0,20)))</f>
        <v/>
      </c>
      <c r="BM22" s="11">
        <f>IF(BK22="Ranked",1+COUNTIFS($BK$2:$BK$158,"Ranked",$BL$2:$BL$158,"&gt;"&amp;BL22),"")</f>
        <v/>
      </c>
      <c r="BN22" s="11">
        <f>City_Inputs!$AI22</f>
        <v/>
      </c>
    </row>
    <row r="23">
      <c r="A23" t="inlineStr">
        <is>
          <t>kr-jeju-city</t>
        </is>
      </c>
      <c r="B23" t="inlineStr">
        <is>
          <t>Jeju City</t>
        </is>
      </c>
      <c r="C23" t="inlineStr">
        <is>
          <t>South Korea</t>
        </is>
      </c>
      <c r="D23" t="inlineStr">
        <is>
          <t>East Asia</t>
        </is>
      </c>
      <c r="E23" t="inlineStr">
        <is>
          <t>locked</t>
        </is>
      </c>
      <c r="F23" t="inlineStr">
        <is>
          <t>secondary</t>
        </is>
      </c>
      <c r="G23" s="11">
        <f>IF(OR(City_Inputs!$M23="",Norm_Stats!$F$2="",Norm_Stats!$G$2="",Norm_Stats!$G$2=Norm_Stats!$F$2),"",MAX(0,MIN(100,100*(MIN(MAX(City_Inputs!$M23,Norm_Stats!$F$2),Norm_Stats!$G$2)-Norm_Stats!$F$2)/(Norm_Stats!$G$2-Norm_Stats!$F$2))))</f>
        <v/>
      </c>
      <c r="H23" s="14">
        <f>IF(G23="","",1)</f>
        <v/>
      </c>
      <c r="I23" s="11">
        <f>IF(OR(City_Inputs!$N23="",Norm_Stats!$F$3="",Norm_Stats!$G$3="",Norm_Stats!$G$3=Norm_Stats!$F$3),"",MAX(0,MIN(100,100*(Norm_Stats!$G$3-MIN(MAX(City_Inputs!$N23,Norm_Stats!$F$3),Norm_Stats!$G$3))/(Norm_Stats!$G$3-Norm_Stats!$F$3))))</f>
        <v/>
      </c>
      <c r="J23" s="14">
        <f>IF(I23="","",1)</f>
        <v/>
      </c>
      <c r="K23" s="11">
        <f>IF(OR(City_Inputs!$P23="",Norm_Stats!$F$4="",Norm_Stats!$G$4="",Norm_Stats!$G$4=Norm_Stats!$F$4),"",MAX(0,MIN(100,100*(Norm_Stats!$G$4-MIN(MAX(City_Inputs!$P23,Norm_Stats!$F$4),Norm_Stats!$G$4))/(Norm_Stats!$G$4-Norm_Stats!$F$4))))</f>
        <v/>
      </c>
      <c r="L23" s="14">
        <f>IF(K23="","",1)</f>
        <v/>
      </c>
      <c r="M23" s="11">
        <f>IF(OR(City_Inputs!$Q23="",Norm_Stats!$F$5="",Norm_Stats!$G$5="",Norm_Stats!$G$5=Norm_Stats!$F$5),"",MAX(0,MIN(100,100*(Norm_Stats!$G$5-MIN(MAX(City_Inputs!$Q23,Norm_Stats!$F$5),Norm_Stats!$G$5))/(Norm_Stats!$G$5-Norm_Stats!$F$5))))</f>
        <v/>
      </c>
      <c r="N23" s="14">
        <f>IF(M23="","",1)</f>
        <v/>
      </c>
      <c r="O23" s="11">
        <f>IF(OR(City_Inputs!$R23="",Norm_Stats!$F$6="",Norm_Stats!$G$6="",Norm_Stats!$G$6=Norm_Stats!$F$6),"",MAX(0,MIN(100,100*(Norm_Stats!$G$6-MIN(MAX(City_Inputs!$R23,Norm_Stats!$F$6),Norm_Stats!$G$6))/(Norm_Stats!$G$6-Norm_Stats!$F$6))))</f>
        <v/>
      </c>
      <c r="P23" s="14">
        <f>IF(O23="","",1)</f>
        <v/>
      </c>
      <c r="Q23" s="15">
        <f>IF((IF(G23="",0,9)+IF(I23="",0,5)+IF(K23="",0,4)+IF(M23="",0,4)+IF(O23="",0,5))=0,"",(IF(G23="",0,G23*9)+IF(I23="",0,I23*5)+IF(K23="",0,K23*4)+IF(M23="",0,M23*4)+IF(O23="",0,O23*5))/(IF(G23="",0,9)+IF(I23="",0,5)+IF(K23="",0,4)+IF(M23="",0,4)+IF(O23="",0,5)))</f>
        <v/>
      </c>
      <c r="R23" s="14">
        <f>IF((IF(H23="",0,9)+IF(J23="",0,5)+IF(L23="",0,4)+IF(N23="",0,4)+IF(P23="",0,5))=0,"",(IF(H23="",0,H23*9)+IF(J23="",0,J23*5)+IF(L23="",0,L23*4)+IF(N23="",0,N23*4)+IF(P23="",0,P23*5))/27)</f>
        <v/>
      </c>
      <c r="S23" s="11">
        <f>IF(OR(City_Inputs!$S23="",Norm_Stats!$F$7="",Norm_Stats!$G$7="",Norm_Stats!$G$7=Norm_Stats!$F$7),"",MAX(0,MIN(100,100*(Norm_Stats!$G$7-MIN(MAX(City_Inputs!$S23,Norm_Stats!$F$7),Norm_Stats!$G$7))/(Norm_Stats!$G$7-Norm_Stats!$F$7))))</f>
        <v/>
      </c>
      <c r="T23" s="14">
        <f>IF(S23="","",1)</f>
        <v/>
      </c>
      <c r="U23" s="11">
        <f>IF(OR(City_Inputs!$T23="",Norm_Stats!$F$8="",Norm_Stats!$G$8="",Norm_Stats!$G$8=Norm_Stats!$F$8),"",MAX(0,MIN(100,100*(MIN(MAX(City_Inputs!$T23,Norm_Stats!$F$8),Norm_Stats!$G$8)-Norm_Stats!$F$8)/(Norm_Stats!$G$8-Norm_Stats!$F$8))))</f>
        <v/>
      </c>
      <c r="V23" s="14">
        <f>IF(U23="","",1)</f>
        <v/>
      </c>
      <c r="W23" s="11">
        <f>IF(OR(City_Inputs!$U23="",Norm_Stats!$F$9="",Norm_Stats!$G$9="",Norm_Stats!$G$9=Norm_Stats!$F$9),"",MAX(0,MIN(100,100*(Norm_Stats!$G$9-MIN(MAX(City_Inputs!$U23,Norm_Stats!$F$9),Norm_Stats!$G$9))/(Norm_Stats!$G$9-Norm_Stats!$F$9))))</f>
        <v/>
      </c>
      <c r="X23" s="14">
        <f>IF(W23="","",1)</f>
        <v/>
      </c>
      <c r="Y23" s="11">
        <f>IF(OR(City_Inputs!$V23="",Norm_Stats!$F$10="",Norm_Stats!$G$10="",Norm_Stats!$G$10=Norm_Stats!$F$10),"",MAX(0,MIN(100,100*(MIN(MAX(City_Inputs!$V23,Norm_Stats!$F$10),Norm_Stats!$G$10)-Norm_Stats!$F$10)/(Norm_Stats!$G$10-Norm_Stats!$F$10))))</f>
        <v/>
      </c>
      <c r="Z23" s="14">
        <f>IF(Y23="","",1)</f>
        <v/>
      </c>
      <c r="AA23" s="11">
        <f>IF(OR(City_Inputs!$W23="",Norm_Stats!$F$11="",Norm_Stats!$G$11="",Norm_Stats!$G$11=Norm_Stats!$F$11),"",MAX(0,MIN(100,100*(MIN(MAX(City_Inputs!$W23,Norm_Stats!$F$11),Norm_Stats!$G$11)-Norm_Stats!$F$11)/(Norm_Stats!$G$11-Norm_Stats!$F$11))))</f>
        <v/>
      </c>
      <c r="AB23" s="14">
        <f>IF(AA23="","",1)</f>
        <v/>
      </c>
      <c r="AC23" s="11">
        <f>IF(OR(City_Inputs!$X23="",Norm_Stats!$F$12="",Norm_Stats!$G$12="",Norm_Stats!$G$12=Norm_Stats!$F$12),"",MAX(0,MIN(100,100*(MIN(MAX(City_Inputs!$X23,Norm_Stats!$F$12),Norm_Stats!$G$12)-Norm_Stats!$F$12)/(Norm_Stats!$G$12-Norm_Stats!$F$12))))</f>
        <v/>
      </c>
      <c r="AD23" s="11">
        <f>IF(AC23="","",1)</f>
        <v/>
      </c>
      <c r="AE23" s="15">
        <f>IF((IF(S23="",0,5)+IF(U23="",0,5)+IF(W23="",0,4)+IF(Y23="",0,4)+IF(AA23="",0,4)+IF(AC23="",0,5))=0,"",(IF(S23="",0,S23*5)+IF(U23="",0,U23*5)+IF(W23="",0,W23*4)+IF(Y23="",0,Y23*4)+IF(AA23="",0,AA23*4)+IF(AC23="",0,AC23*5))/(IF(S23="",0,5)+IF(U23="",0,5)+IF(W23="",0,4)+IF(Y23="",0,4)+IF(AA23="",0,4)+IF(AC23="",0,5)))</f>
        <v/>
      </c>
      <c r="AF23" s="14">
        <f>IF((IF(T23="",0,5)+IF(V23="",0,5)+IF(X23="",0,4)+IF(Z23="",0,4)+IF(AB23="",0,4)+IF(AD23="",0,5))=0,"",(IF(T23="",0,T23*5)+IF(V23="",0,V23*5)+IF(X23="",0,X23*4)+IF(Z23="",0,Z23*4)+IF(AB23="",0,AB23*4)+IF(AD23="",0,AD23*5))/27)</f>
        <v/>
      </c>
      <c r="AG23" s="11">
        <f>IF(OR(City_Inputs!$Y23="",Norm_Stats!$F$13="",Norm_Stats!$G$13="",Norm_Stats!$G$13=Norm_Stats!$F$13),"",MAX(0,MIN(100,100*(MIN(MAX(City_Inputs!$Y23,Norm_Stats!$F$13),Norm_Stats!$G$13)-Norm_Stats!$F$13)/(Norm_Stats!$G$13-Norm_Stats!$F$13))))</f>
        <v/>
      </c>
      <c r="AH23" s="14">
        <f>IF(AG23="","",1)</f>
        <v/>
      </c>
      <c r="AI23" s="11">
        <f>IF(OR(City_Inputs!$Z23="",Norm_Stats!$F$14="",Norm_Stats!$G$14="",Norm_Stats!$G$14=Norm_Stats!$F$14),"",MAX(0,MIN(100,100*(MIN(MAX(City_Inputs!$Z23,Norm_Stats!$F$14),Norm_Stats!$G$14)-Norm_Stats!$F$14)/(Norm_Stats!$G$14-Norm_Stats!$F$14))))</f>
        <v/>
      </c>
      <c r="AJ23" s="14">
        <f>IF(AI23="","",1)</f>
        <v/>
      </c>
      <c r="AK23" s="11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(IF(OR(City_Inputs!$AA23="",Norm_Stats!$F$15="",Norm_Stats!$G$15="",Norm_Stats!$G$15=Norm_Stats!$F$15),"",MAX(0,MIN(100,100*(MIN(MAX(City_Inputs!$AA23,Norm_Stats!$F$15),Norm_Stats!$G$15)-Norm_Stats!$F$15)/(Norm_Stats!$G$15-Norm_Stats!$F$15)))))*0.7)+IF((IF(OR(City_Inputs!$AL23="",Norm_Stats!$F$16="",Norm_Stats!$G$16="",Norm_Stats!$G$16=Norm_Stats!$F$16),"",MAX(0,MIN(100,100*(Norm_Stats!$G$16-MIN(MAX(City_Inputs!$AL23,Norm_Stats!$F$16),Norm_Stats!$G$16))/(Norm_Stats!$G$16-Norm_Stats!$F$16)))))="",0,(IF(OR(City_Inputs!$AL23="",Norm_Stats!$F$16="",Norm_Stats!$G$16="",Norm_Stats!$G$16=Norm_Stats!$F$16),"",MAX(0,MIN(100,100*(Norm_Stats!$G$16-MIN(MAX(City_Inputs!$AL23,Norm_Stats!$F$16),Norm_Stats!$G$16))/(Norm_Stats!$G$16-Norm_Stats!$F$16)))))*0.3))/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L23" s="14">
        <f>IF(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=0,"",(IF((IF(OR(City_Inputs!$AA23="",Norm_Stats!$F$15="",Norm_Stats!$G$15="",Norm_Stats!$G$15=Norm_Stats!$F$15),"",MAX(0,MIN(100,100*(MIN(MAX(City_Inputs!$AA23,Norm_Stats!$F$15),Norm_Stats!$G$15)-Norm_Stats!$F$15)/(Norm_Stats!$G$15-Norm_Stats!$F$15)))))="",0,0.7)+IF((IF(OR(City_Inputs!$AL23="",Norm_Stats!$F$16="",Norm_Stats!$G$16="",Norm_Stats!$G$16=Norm_Stats!$F$16),"",MAX(0,MIN(100,100*(Norm_Stats!$G$16-MIN(MAX(City_Inputs!$AL23,Norm_Stats!$F$16),Norm_Stats!$G$16))/(Norm_Stats!$G$16-Norm_Stats!$F$16)))))="",0,0.3)))</f>
        <v/>
      </c>
      <c r="AM23" s="15">
        <f>IF((IF(AG23="",0,8)+IF(AI23="",0,6)+IF(AK23="",0,4))=0,"",(IF(AG23="",0,AG23*8)+IF(AI23="",0,AI23*6)+IF(AK23="",0,AK23*4))/(IF(AG23="",0,8)+IF(AI23="",0,6)+IF(AK23="",0,4)))</f>
        <v/>
      </c>
      <c r="AN23" s="14">
        <f>IF((IF(AH23="",0,8)+IF(AJ23="",0,6)+IF(AL23="",0,4))=0,"",(IF(AH23="",0,AH23*8)+IF(AJ23="",0,AJ23*6)+IF(AL23="",0,AL23*4))/18)</f>
        <v/>
      </c>
      <c r="AO23" s="11">
        <f>IF(OR(City_Inputs!$AB23="",Norm_Stats!$F$17="",Norm_Stats!$G$17="",Norm_Stats!$G$17=Norm_Stats!$F$17),"",MAX(0,MIN(100,100*(MIN(MAX(City_Inputs!$AB23,Norm_Stats!$F$17),Norm_Stats!$G$17)-Norm_Stats!$F$17)/(Norm_Stats!$G$17-Norm_Stats!$F$17))))</f>
        <v/>
      </c>
      <c r="AP23" s="14">
        <f>IF(AO23="","",1)</f>
        <v/>
      </c>
      <c r="AQ23" s="11">
        <f>IF(OR(City_Inputs!$AC23="",Norm_Stats!$F$18="",Norm_Stats!$G$18="",Norm_Stats!$G$18=Norm_Stats!$F$18),"",MAX(0,MIN(100,100*(MIN(MAX(City_Inputs!$AC23,Norm_Stats!$F$18),Norm_Stats!$G$18)-Norm_Stats!$F$18)/(Norm_Stats!$G$18-Norm_Stats!$F$18))))</f>
        <v/>
      </c>
      <c r="AR23" s="14">
        <f>IF(AQ23="","",1)</f>
        <v/>
      </c>
      <c r="AS23" s="11">
        <f>IF(OR(City_Inputs!$AD23="",Norm_Stats!$F$19="",Norm_Stats!$G$19="",Norm_Stats!$G$19=Norm_Stats!$F$19),"",MAX(0,MIN(100,100*(MIN(MAX(City_Inputs!$AD23,Norm_Stats!$F$19),Norm_Stats!$G$19)-Norm_Stats!$F$19)/(Norm_Stats!$G$19-Norm_Stats!$F$19))))</f>
        <v/>
      </c>
      <c r="AT23" s="14">
        <f>IF(AS23="","",1)</f>
        <v/>
      </c>
      <c r="AU23" s="11">
        <f>IF(OR(City_Inputs!$BJ23="",Norm_Stats!$F$26="",Norm_Stats!$G$26="",Norm_Stats!$G$26=Norm_Stats!$F$26),"",MAX(0,MIN(100,100*(MIN(MAX(City_Inputs!$BJ23,Norm_Stats!$F$26),Norm_Stats!$G$26)-Norm_Stats!$F$26)/(Norm_Stats!$G$26-Norm_Stats!$F$26))))</f>
        <v/>
      </c>
      <c r="AV23" s="11">
        <f>IF(AU23="","",1)</f>
        <v/>
      </c>
      <c r="AW23" s="15">
        <f>IF((IF(AO23="",0,5)+IF(AQ23="",0,5)+IF(AS23="",0,5)+IF(AU23="",0,4))=0,"",(IF(AO23="",0,AO23*5)+IF(AQ23="",0,AQ23*5)+IF(AS23="",0,AS23*5)+IF(AU23="",0,AU23*4))/(IF(AO23="",0,5)+IF(AQ23="",0,5)+IF(AS23="",0,5)+IF(AU23="",0,4)))</f>
        <v/>
      </c>
      <c r="AX23" s="14">
        <f>IF((IF(AP23="",0,5)+IF(AR23="",0,5)+IF(AT23="",0,5)+IF(AV23="",0,4))=0,"",(IF(AP23="",0,AP23*5)+IF(AR23="",0,AR23*5)+IF(AT23="",0,AT23*5)+IF(AV23="",0,AV23*4))/19)</f>
        <v/>
      </c>
      <c r="AY23" s="11">
        <f>IF(OR(City_Inputs!$AE23="",Norm_Stats!$F$20="",Norm_Stats!$G$20="",Norm_Stats!$G$20=Norm_Stats!$F$20),"",MAX(0,MIN(100,100*(MIN(MAX(City_Inputs!$AE23,Norm_Stats!$F$20),Norm_Stats!$G$20)-Norm_Stats!$F$20)/(Norm_Stats!$G$20-Norm_Stats!$F$20))))</f>
        <v/>
      </c>
      <c r="AZ23" s="14">
        <f>IF(AY23="","",1)</f>
        <v/>
      </c>
      <c r="BA23" s="11">
        <f>IF(OR(City_Inputs!$AF23="",Norm_Stats!$F$21="",Norm_Stats!$G$21="",Norm_Stats!$G$21=Norm_Stats!$F$21),"",MAX(0,MIN(100,100*(MIN(MAX(City_Inputs!$AF23,Norm_Stats!$F$21),Norm_Stats!$G$21)-Norm_Stats!$F$21)/(Norm_Stats!$G$21-Norm_Stats!$F$21))))</f>
        <v/>
      </c>
      <c r="BB23" s="14">
        <f>IF(BA23="","",1)</f>
        <v/>
      </c>
      <c r="BC23" s="11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(IF(OR(City_Inputs!$AG23="",Norm_Stats!$F$22="",Norm_Stats!$G$22="",Norm_Stats!$G$22=Norm_Stats!$F$22),"",MAX(0,MIN(100,100*(MIN(MAX(City_Inputs!$AG23,Norm_Stats!$F$22),Norm_Stats!$G$22)-Norm_Stats!$F$22)/(Norm_Stats!$G$22-Norm_Stats!$F$22)))))*0.5)+IF((IF(OR(City_Inputs!$AJ23="",Norm_Stats!$F$23="",Norm_Stats!$G$23="",Norm_Stats!$G$23=Norm_Stats!$F$23),"",MAX(0,MIN(100,100*(MIN(MAX(City_Inputs!$AJ23,Norm_Stats!$F$23),Norm_Stats!$G$23)-Norm_Stats!$F$23)/(Norm_Stats!$G$23-Norm_Stats!$F$23)))))="",0,(IF(OR(City_Inputs!$AJ23="",Norm_Stats!$F$23="",Norm_Stats!$G$23="",Norm_Stats!$G$23=Norm_Stats!$F$23),"",MAX(0,MIN(100,100*(MIN(MAX(City_Inputs!$AJ23,Norm_Stats!$F$23),Norm_Stats!$G$23)-Norm_Stats!$F$23)/(Norm_Stats!$G$23-Norm_Stats!$F$23)))))*0.3)+IF((IF(OR(City_Inputs!$AK23="",Norm_Stats!$F$24="",Norm_Stats!$G$24="",Norm_Stats!$G$24=Norm_Stats!$F$24),"",MAX(0,MIN(100,100*(MIN(MAX(City_Inputs!$AK23,Norm_Stats!$F$24),Norm_Stats!$G$24)-Norm_Stats!$F$24)/(Norm_Stats!$G$24-Norm_Stats!$F$24)))))="",0,(IF(OR(City_Inputs!$AK23="",Norm_Stats!$F$24="",Norm_Stats!$G$24="",Norm_Stats!$G$24=Norm_Stats!$F$24),"",MAX(0,MIN(100,100*(MIN(MAX(City_Inputs!$AK23,Norm_Stats!$F$24),Norm_Stats!$G$24)-Norm_Stats!$F$24)/(Norm_Stats!$G$24-Norm_Stats!$F$24)))))*0.2))/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D23" s="14">
        <f>IF(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=0,"",(IF((IF(OR(City_Inputs!$AG23="",Norm_Stats!$F$22="",Norm_Stats!$G$22="",Norm_Stats!$G$22=Norm_Stats!$F$22),"",MAX(0,MIN(100,100*(MIN(MAX(City_Inputs!$AG23,Norm_Stats!$F$22),Norm_Stats!$G$22)-Norm_Stats!$F$22)/(Norm_Stats!$G$22-Norm_Stats!$F$22)))))="",0,0.5)+IF((IF(OR(City_Inputs!$AJ23="",Norm_Stats!$F$23="",Norm_Stats!$G$23="",Norm_Stats!$G$23=Norm_Stats!$F$23),"",MAX(0,MIN(100,100*(MIN(MAX(City_Inputs!$AJ23,Norm_Stats!$F$23),Norm_Stats!$G$23)-Norm_Stats!$F$23)/(Norm_Stats!$G$23-Norm_Stats!$F$23)))))="",0,0.3)+IF((IF(OR(City_Inputs!$AK23="",Norm_Stats!$F$24="",Norm_Stats!$G$24="",Norm_Stats!$G$24=Norm_Stats!$F$24),"",MAX(0,MIN(100,100*(MIN(MAX(City_Inputs!$AK23,Norm_Stats!$F$24),Norm_Stats!$G$24)-Norm_Stats!$F$24)/(Norm_Stats!$G$24-Norm_Stats!$F$24)))))="",0,0.2)))</f>
        <v/>
      </c>
      <c r="BE23" s="11">
        <f>IF(OR(City_Inputs!$AH23="",Norm_Stats!$F$25="",Norm_Stats!$G$25="",Norm_Stats!$G$25=Norm_Stats!$F$25),"",MAX(0,MIN(100,100*(Norm_Stats!$G$25-MIN(MAX(City_Inputs!$AH23,Norm_Stats!$F$25),Norm_Stats!$G$25))/(Norm_Stats!$G$25-Norm_Stats!$F$25))))</f>
        <v/>
      </c>
      <c r="BF23" s="14">
        <f>IF(BE23="","",1)</f>
        <v/>
      </c>
      <c r="BG23" s="15">
        <f>IF((IF(AY23="",0,6)+IF(BA23="",0,5)+IF(BC23="",0,5)+IF(BE23="",0,4))=0,"",(IF(AY23="",0,AY23*6)+IF(BA23="",0,BA23*5)+IF(BC23="",0,BC23*5)+IF(BE23="",0,BE23*4))/(IF(AY23="",0,6)+IF(BA23="",0,5)+IF(BC23="",0,5)+IF(BE23="",0,4)))</f>
        <v/>
      </c>
      <c r="BH23" s="14">
        <f>IF((IF(AZ23="",0,6)+IF(BB23="",0,5)+IF(BD23="",0,5)+IF(BF23="",0,4))=0,"",(IF(AZ23="",0,AZ23*6)+IF(BB23="",0,BB23*5)+IF(BD23="",0,BD23*5)+IF(BF23="",0,BF23*4))/20)</f>
        <v/>
      </c>
      <c r="BI23" s="14">
        <f>IF(AND(R23="",AF23="",AN23="",AX23="",BH23=""),"",((R23*25)+(AF23*22)+(AN23*18)+(AX23*15)+(BH23*20))/100)</f>
        <v/>
      </c>
      <c r="BJ23" s="11">
        <f>IF(BI23="","",IF(BI23&gt;=0.75,"A",IF(BI23&gt;=0.5,"B",IF(BI23&gt;=0.35,"C","Watchlist"))))</f>
        <v/>
      </c>
      <c r="BK23" s="11">
        <f>IF(OR(BI23="",BI23&lt;0.5,R23="",R23&lt;0.35,AF23="",AF23&lt;0.35,AN23="",AN23&lt;0.35,AX23="",AX23&lt;0.35,BH23="",BH23&lt;0.35),"Watchlist","Ranked")</f>
        <v/>
      </c>
      <c r="BL23" s="15">
        <f>IF(AND(Q23="",AE23="",AM23="",AW23="",BG23=""),"",(IF(Q23="",0,Q23*25)+IF(AE23="",0,AE23*22)+IF(AM23="",0,AM23*18)+IF(AW23="",0,AW23*15)+IF(BG23="",0,BG23*20))/(IF(Q23="",0,25)+IF(AE23="",0,22)+IF(AM23="",0,18)+IF(AW23="",0,15)+IF(BG23="",0,20)))</f>
        <v/>
      </c>
      <c r="BM23" s="11">
        <f>IF(BK23="Ranked",1+COUNTIFS($BK$2:$BK$158,"Ranked",$BL$2:$BL$158,"&gt;"&amp;BL23),"")</f>
        <v/>
      </c>
      <c r="BN23" s="11">
        <f>City_Inputs!$AI23</f>
        <v/>
      </c>
    </row>
    <row r="24">
      <c r="A24" t="inlineStr">
        <is>
          <t>jp-fukuoka</t>
        </is>
      </c>
      <c r="B24" t="inlineStr">
        <is>
          <t>Fukuoka</t>
        </is>
      </c>
      <c r="C24" t="inlineStr">
        <is>
          <t>Japan</t>
        </is>
      </c>
      <c r="D24" t="inlineStr">
        <is>
          <t>East Asia</t>
        </is>
      </c>
      <c r="E24" t="inlineStr">
        <is>
          <t>locked</t>
        </is>
      </c>
      <c r="F24" t="inlineStr">
        <is>
          <t>secondary</t>
        </is>
      </c>
      <c r="G24" s="11">
        <f>IF(OR(City_Inputs!$M24="",Norm_Stats!$F$2="",Norm_Stats!$G$2="",Norm_Stats!$G$2=Norm_Stats!$F$2),"",MAX(0,MIN(100,100*(MIN(MAX(City_Inputs!$M24,Norm_Stats!$F$2),Norm_Stats!$G$2)-Norm_Stats!$F$2)/(Norm_Stats!$G$2-Norm_Stats!$F$2))))</f>
        <v/>
      </c>
      <c r="H24" s="14">
        <f>IF(G24="","",1)</f>
        <v/>
      </c>
      <c r="I24" s="11">
        <f>IF(OR(City_Inputs!$N24="",Norm_Stats!$F$3="",Norm_Stats!$G$3="",Norm_Stats!$G$3=Norm_Stats!$F$3),"",MAX(0,MIN(100,100*(Norm_Stats!$G$3-MIN(MAX(City_Inputs!$N24,Norm_Stats!$F$3),Norm_Stats!$G$3))/(Norm_Stats!$G$3-Norm_Stats!$F$3))))</f>
        <v/>
      </c>
      <c r="J24" s="14">
        <f>IF(I24="","",1)</f>
        <v/>
      </c>
      <c r="K24" s="11">
        <f>IF(OR(City_Inputs!$P24="",Norm_Stats!$F$4="",Norm_Stats!$G$4="",Norm_Stats!$G$4=Norm_Stats!$F$4),"",MAX(0,MIN(100,100*(Norm_Stats!$G$4-MIN(MAX(City_Inputs!$P24,Norm_Stats!$F$4),Norm_Stats!$G$4))/(Norm_Stats!$G$4-Norm_Stats!$F$4))))</f>
        <v/>
      </c>
      <c r="L24" s="14">
        <f>IF(K24="","",1)</f>
        <v/>
      </c>
      <c r="M24" s="11">
        <f>IF(OR(City_Inputs!$Q24="",Norm_Stats!$F$5="",Norm_Stats!$G$5="",Norm_Stats!$G$5=Norm_Stats!$F$5),"",MAX(0,MIN(100,100*(Norm_Stats!$G$5-MIN(MAX(City_Inputs!$Q24,Norm_Stats!$F$5),Norm_Stats!$G$5))/(Norm_Stats!$G$5-Norm_Stats!$F$5))))</f>
        <v/>
      </c>
      <c r="N24" s="14">
        <f>IF(M24="","",1)</f>
        <v/>
      </c>
      <c r="O24" s="11">
        <f>IF(OR(City_Inputs!$R24="",Norm_Stats!$F$6="",Norm_Stats!$G$6="",Norm_Stats!$G$6=Norm_Stats!$F$6),"",MAX(0,MIN(100,100*(Norm_Stats!$G$6-MIN(MAX(City_Inputs!$R24,Norm_Stats!$F$6),Norm_Stats!$G$6))/(Norm_Stats!$G$6-Norm_Stats!$F$6))))</f>
        <v/>
      </c>
      <c r="P24" s="14">
        <f>IF(O24="","",1)</f>
        <v/>
      </c>
      <c r="Q24" s="15">
        <f>IF((IF(G24="",0,9)+IF(I24="",0,5)+IF(K24="",0,4)+IF(M24="",0,4)+IF(O24="",0,5))=0,"",(IF(G24="",0,G24*9)+IF(I24="",0,I24*5)+IF(K24="",0,K24*4)+IF(M24="",0,M24*4)+IF(O24="",0,O24*5))/(IF(G24="",0,9)+IF(I24="",0,5)+IF(K24="",0,4)+IF(M24="",0,4)+IF(O24="",0,5)))</f>
        <v/>
      </c>
      <c r="R24" s="14">
        <f>IF((IF(H24="",0,9)+IF(J24="",0,5)+IF(L24="",0,4)+IF(N24="",0,4)+IF(P24="",0,5))=0,"",(IF(H24="",0,H24*9)+IF(J24="",0,J24*5)+IF(L24="",0,L24*4)+IF(N24="",0,N24*4)+IF(P24="",0,P24*5))/27)</f>
        <v/>
      </c>
      <c r="S24" s="11">
        <f>IF(OR(City_Inputs!$S24="",Norm_Stats!$F$7="",Norm_Stats!$G$7="",Norm_Stats!$G$7=Norm_Stats!$F$7),"",MAX(0,MIN(100,100*(Norm_Stats!$G$7-MIN(MAX(City_Inputs!$S24,Norm_Stats!$F$7),Norm_Stats!$G$7))/(Norm_Stats!$G$7-Norm_Stats!$F$7))))</f>
        <v/>
      </c>
      <c r="T24" s="14">
        <f>IF(S24="","",1)</f>
        <v/>
      </c>
      <c r="U24" s="11">
        <f>IF(OR(City_Inputs!$T24="",Norm_Stats!$F$8="",Norm_Stats!$G$8="",Norm_Stats!$G$8=Norm_Stats!$F$8),"",MAX(0,MIN(100,100*(MIN(MAX(City_Inputs!$T24,Norm_Stats!$F$8),Norm_Stats!$G$8)-Norm_Stats!$F$8)/(Norm_Stats!$G$8-Norm_Stats!$F$8))))</f>
        <v/>
      </c>
      <c r="V24" s="14">
        <f>IF(U24="","",1)</f>
        <v/>
      </c>
      <c r="W24" s="11">
        <f>IF(OR(City_Inputs!$U24="",Norm_Stats!$F$9="",Norm_Stats!$G$9="",Norm_Stats!$G$9=Norm_Stats!$F$9),"",MAX(0,MIN(100,100*(Norm_Stats!$G$9-MIN(MAX(City_Inputs!$U24,Norm_Stats!$F$9),Norm_Stats!$G$9))/(Norm_Stats!$G$9-Norm_Stats!$F$9))))</f>
        <v/>
      </c>
      <c r="X24" s="14">
        <f>IF(W24="","",1)</f>
        <v/>
      </c>
      <c r="Y24" s="11">
        <f>IF(OR(City_Inputs!$V24="",Norm_Stats!$F$10="",Norm_Stats!$G$10="",Norm_Stats!$G$10=Norm_Stats!$F$10),"",MAX(0,MIN(100,100*(MIN(MAX(City_Inputs!$V24,Norm_Stats!$F$10),Norm_Stats!$G$10)-Norm_Stats!$F$10)/(Norm_Stats!$G$10-Norm_Stats!$F$10))))</f>
        <v/>
      </c>
      <c r="Z24" s="14">
        <f>IF(Y24="","",1)</f>
        <v/>
      </c>
      <c r="AA24" s="11">
        <f>IF(OR(City_Inputs!$W24="",Norm_Stats!$F$11="",Norm_Stats!$G$11="",Norm_Stats!$G$11=Norm_Stats!$F$11),"",MAX(0,MIN(100,100*(MIN(MAX(City_Inputs!$W24,Norm_Stats!$F$11),Norm_Stats!$G$11)-Norm_Stats!$F$11)/(Norm_Stats!$G$11-Norm_Stats!$F$11))))</f>
        <v/>
      </c>
      <c r="AB24" s="14">
        <f>IF(AA24="","",1)</f>
        <v/>
      </c>
      <c r="AC24" s="11">
        <f>IF(OR(City_Inputs!$X24="",Norm_Stats!$F$12="",Norm_Stats!$G$12="",Norm_Stats!$G$12=Norm_Stats!$F$12),"",MAX(0,MIN(100,100*(MIN(MAX(City_Inputs!$X24,Norm_Stats!$F$12),Norm_Stats!$G$12)-Norm_Stats!$F$12)/(Norm_Stats!$G$12-Norm_Stats!$F$12))))</f>
        <v/>
      </c>
      <c r="AD24" s="11">
        <f>IF(AC24="","",1)</f>
        <v/>
      </c>
      <c r="AE24" s="15">
        <f>IF((IF(S24="",0,5)+IF(U24="",0,5)+IF(W24="",0,4)+IF(Y24="",0,4)+IF(AA24="",0,4)+IF(AC24="",0,5))=0,"",(IF(S24="",0,S24*5)+IF(U24="",0,U24*5)+IF(W24="",0,W24*4)+IF(Y24="",0,Y24*4)+IF(AA24="",0,AA24*4)+IF(AC24="",0,AC24*5))/(IF(S24="",0,5)+IF(U24="",0,5)+IF(W24="",0,4)+IF(Y24="",0,4)+IF(AA24="",0,4)+IF(AC24="",0,5)))</f>
        <v/>
      </c>
      <c r="AF24" s="14">
        <f>IF((IF(T24="",0,5)+IF(V24="",0,5)+IF(X24="",0,4)+IF(Z24="",0,4)+IF(AB24="",0,4)+IF(AD24="",0,5))=0,"",(IF(T24="",0,T24*5)+IF(V24="",0,V24*5)+IF(X24="",0,X24*4)+IF(Z24="",0,Z24*4)+IF(AB24="",0,AB24*4)+IF(AD24="",0,AD24*5))/27)</f>
        <v/>
      </c>
      <c r="AG24" s="11">
        <f>IF(OR(City_Inputs!$Y24="",Norm_Stats!$F$13="",Norm_Stats!$G$13="",Norm_Stats!$G$13=Norm_Stats!$F$13),"",MAX(0,MIN(100,100*(MIN(MAX(City_Inputs!$Y24,Norm_Stats!$F$13),Norm_Stats!$G$13)-Norm_Stats!$F$13)/(Norm_Stats!$G$13-Norm_Stats!$F$13))))</f>
        <v/>
      </c>
      <c r="AH24" s="14">
        <f>IF(AG24="","",1)</f>
        <v/>
      </c>
      <c r="AI24" s="11">
        <f>IF(OR(City_Inputs!$Z24="",Norm_Stats!$F$14="",Norm_Stats!$G$14="",Norm_Stats!$G$14=Norm_Stats!$F$14),"",MAX(0,MIN(100,100*(MIN(MAX(City_Inputs!$Z24,Norm_Stats!$F$14),Norm_Stats!$G$14)-Norm_Stats!$F$14)/(Norm_Stats!$G$14-Norm_Stats!$F$14))))</f>
        <v/>
      </c>
      <c r="AJ24" s="14">
        <f>IF(AI24="","",1)</f>
        <v/>
      </c>
      <c r="AK24" s="11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(IF(OR(City_Inputs!$AA24="",Norm_Stats!$F$15="",Norm_Stats!$G$15="",Norm_Stats!$G$15=Norm_Stats!$F$15),"",MAX(0,MIN(100,100*(MIN(MAX(City_Inputs!$AA24,Norm_Stats!$F$15),Norm_Stats!$G$15)-Norm_Stats!$F$15)/(Norm_Stats!$G$15-Norm_Stats!$F$15)))))*0.7)+IF((IF(OR(City_Inputs!$AL24="",Norm_Stats!$F$16="",Norm_Stats!$G$16="",Norm_Stats!$G$16=Norm_Stats!$F$16),"",MAX(0,MIN(100,100*(Norm_Stats!$G$16-MIN(MAX(City_Inputs!$AL24,Norm_Stats!$F$16),Norm_Stats!$G$16))/(Norm_Stats!$G$16-Norm_Stats!$F$16)))))="",0,(IF(OR(City_Inputs!$AL24="",Norm_Stats!$F$16="",Norm_Stats!$G$16="",Norm_Stats!$G$16=Norm_Stats!$F$16),"",MAX(0,MIN(100,100*(Norm_Stats!$G$16-MIN(MAX(City_Inputs!$AL24,Norm_Stats!$F$16),Norm_Stats!$G$16))/(Norm_Stats!$G$16-Norm_Stats!$F$16)))))*0.3))/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L24" s="14">
        <f>IF(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=0,"",(IF((IF(OR(City_Inputs!$AA24="",Norm_Stats!$F$15="",Norm_Stats!$G$15="",Norm_Stats!$G$15=Norm_Stats!$F$15),"",MAX(0,MIN(100,100*(MIN(MAX(City_Inputs!$AA24,Norm_Stats!$F$15),Norm_Stats!$G$15)-Norm_Stats!$F$15)/(Norm_Stats!$G$15-Norm_Stats!$F$15)))))="",0,0.7)+IF((IF(OR(City_Inputs!$AL24="",Norm_Stats!$F$16="",Norm_Stats!$G$16="",Norm_Stats!$G$16=Norm_Stats!$F$16),"",MAX(0,MIN(100,100*(Norm_Stats!$G$16-MIN(MAX(City_Inputs!$AL24,Norm_Stats!$F$16),Norm_Stats!$G$16))/(Norm_Stats!$G$16-Norm_Stats!$F$16)))))="",0,0.3)))</f>
        <v/>
      </c>
      <c r="AM24" s="15">
        <f>IF((IF(AG24="",0,8)+IF(AI24="",0,6)+IF(AK24="",0,4))=0,"",(IF(AG24="",0,AG24*8)+IF(AI24="",0,AI24*6)+IF(AK24="",0,AK24*4))/(IF(AG24="",0,8)+IF(AI24="",0,6)+IF(AK24="",0,4)))</f>
        <v/>
      </c>
      <c r="AN24" s="14">
        <f>IF((IF(AH24="",0,8)+IF(AJ24="",0,6)+IF(AL24="",0,4))=0,"",(IF(AH24="",0,AH24*8)+IF(AJ24="",0,AJ24*6)+IF(AL24="",0,AL24*4))/18)</f>
        <v/>
      </c>
      <c r="AO24" s="11">
        <f>IF(OR(City_Inputs!$AB24="",Norm_Stats!$F$17="",Norm_Stats!$G$17="",Norm_Stats!$G$17=Norm_Stats!$F$17),"",MAX(0,MIN(100,100*(MIN(MAX(City_Inputs!$AB24,Norm_Stats!$F$17),Norm_Stats!$G$17)-Norm_Stats!$F$17)/(Norm_Stats!$G$17-Norm_Stats!$F$17))))</f>
        <v/>
      </c>
      <c r="AP24" s="14">
        <f>IF(AO24="","",1)</f>
        <v/>
      </c>
      <c r="AQ24" s="11">
        <f>IF(OR(City_Inputs!$AC24="",Norm_Stats!$F$18="",Norm_Stats!$G$18="",Norm_Stats!$G$18=Norm_Stats!$F$18),"",MAX(0,MIN(100,100*(MIN(MAX(City_Inputs!$AC24,Norm_Stats!$F$18),Norm_Stats!$G$18)-Norm_Stats!$F$18)/(Norm_Stats!$G$18-Norm_Stats!$F$18))))</f>
        <v/>
      </c>
      <c r="AR24" s="14">
        <f>IF(AQ24="","",1)</f>
        <v/>
      </c>
      <c r="AS24" s="11">
        <f>IF(OR(City_Inputs!$AD24="",Norm_Stats!$F$19="",Norm_Stats!$G$19="",Norm_Stats!$G$19=Norm_Stats!$F$19),"",MAX(0,MIN(100,100*(MIN(MAX(City_Inputs!$AD24,Norm_Stats!$F$19),Norm_Stats!$G$19)-Norm_Stats!$F$19)/(Norm_Stats!$G$19-Norm_Stats!$F$19))))</f>
        <v/>
      </c>
      <c r="AT24" s="14">
        <f>IF(AS24="","",1)</f>
        <v/>
      </c>
      <c r="AU24" s="11">
        <f>IF(OR(City_Inputs!$BJ24="",Norm_Stats!$F$26="",Norm_Stats!$G$26="",Norm_Stats!$G$26=Norm_Stats!$F$26),"",MAX(0,MIN(100,100*(MIN(MAX(City_Inputs!$BJ24,Norm_Stats!$F$26),Norm_Stats!$G$26)-Norm_Stats!$F$26)/(Norm_Stats!$G$26-Norm_Stats!$F$26))))</f>
        <v/>
      </c>
      <c r="AV24" s="11">
        <f>IF(AU24="","",1)</f>
        <v/>
      </c>
      <c r="AW24" s="15">
        <f>IF((IF(AO24="",0,5)+IF(AQ24="",0,5)+IF(AS24="",0,5)+IF(AU24="",0,4))=0,"",(IF(AO24="",0,AO24*5)+IF(AQ24="",0,AQ24*5)+IF(AS24="",0,AS24*5)+IF(AU24="",0,AU24*4))/(IF(AO24="",0,5)+IF(AQ24="",0,5)+IF(AS24="",0,5)+IF(AU24="",0,4)))</f>
        <v/>
      </c>
      <c r="AX24" s="14">
        <f>IF((IF(AP24="",0,5)+IF(AR24="",0,5)+IF(AT24="",0,5)+IF(AV24="",0,4))=0,"",(IF(AP24="",0,AP24*5)+IF(AR24="",0,AR24*5)+IF(AT24="",0,AT24*5)+IF(AV24="",0,AV24*4))/19)</f>
        <v/>
      </c>
      <c r="AY24" s="11">
        <f>IF(OR(City_Inputs!$AE24="",Norm_Stats!$F$20="",Norm_Stats!$G$20="",Norm_Stats!$G$20=Norm_Stats!$F$20),"",MAX(0,MIN(100,100*(MIN(MAX(City_Inputs!$AE24,Norm_Stats!$F$20),Norm_Stats!$G$20)-Norm_Stats!$F$20)/(Norm_Stats!$G$20-Norm_Stats!$F$20))))</f>
        <v/>
      </c>
      <c r="AZ24" s="14">
        <f>IF(AY24="","",1)</f>
        <v/>
      </c>
      <c r="BA24" s="11">
        <f>IF(OR(City_Inputs!$AF24="",Norm_Stats!$F$21="",Norm_Stats!$G$21="",Norm_Stats!$G$21=Norm_Stats!$F$21),"",MAX(0,MIN(100,100*(MIN(MAX(City_Inputs!$AF24,Norm_Stats!$F$21),Norm_Stats!$G$21)-Norm_Stats!$F$21)/(Norm_Stats!$G$21-Norm_Stats!$F$21))))</f>
        <v/>
      </c>
      <c r="BB24" s="14">
        <f>IF(BA24="","",1)</f>
        <v/>
      </c>
      <c r="BC24" s="11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(IF(OR(City_Inputs!$AG24="",Norm_Stats!$F$22="",Norm_Stats!$G$22="",Norm_Stats!$G$22=Norm_Stats!$F$22),"",MAX(0,MIN(100,100*(MIN(MAX(City_Inputs!$AG24,Norm_Stats!$F$22),Norm_Stats!$G$22)-Norm_Stats!$F$22)/(Norm_Stats!$G$22-Norm_Stats!$F$22)))))*0.5)+IF((IF(OR(City_Inputs!$AJ24="",Norm_Stats!$F$23="",Norm_Stats!$G$23="",Norm_Stats!$G$23=Norm_Stats!$F$23),"",MAX(0,MIN(100,100*(MIN(MAX(City_Inputs!$AJ24,Norm_Stats!$F$23),Norm_Stats!$G$23)-Norm_Stats!$F$23)/(Norm_Stats!$G$23-Norm_Stats!$F$23)))))="",0,(IF(OR(City_Inputs!$AJ24="",Norm_Stats!$F$23="",Norm_Stats!$G$23="",Norm_Stats!$G$23=Norm_Stats!$F$23),"",MAX(0,MIN(100,100*(MIN(MAX(City_Inputs!$AJ24,Norm_Stats!$F$23),Norm_Stats!$G$23)-Norm_Stats!$F$23)/(Norm_Stats!$G$23-Norm_Stats!$F$23)))))*0.3)+IF((IF(OR(City_Inputs!$AK24="",Norm_Stats!$F$24="",Norm_Stats!$G$24="",Norm_Stats!$G$24=Norm_Stats!$F$24),"",MAX(0,MIN(100,100*(MIN(MAX(City_Inputs!$AK24,Norm_Stats!$F$24),Norm_Stats!$G$24)-Norm_Stats!$F$24)/(Norm_Stats!$G$24-Norm_Stats!$F$24)))))="",0,(IF(OR(City_Inputs!$AK24="",Norm_Stats!$F$24="",Norm_Stats!$G$24="",Norm_Stats!$G$24=Norm_Stats!$F$24),"",MAX(0,MIN(100,100*(MIN(MAX(City_Inputs!$AK24,Norm_Stats!$F$24),Norm_Stats!$G$24)-Norm_Stats!$F$24)/(Norm_Stats!$G$24-Norm_Stats!$F$24)))))*0.2))/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D24" s="14">
        <f>IF(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=0,"",(IF((IF(OR(City_Inputs!$AG24="",Norm_Stats!$F$22="",Norm_Stats!$G$22="",Norm_Stats!$G$22=Norm_Stats!$F$22),"",MAX(0,MIN(100,100*(MIN(MAX(City_Inputs!$AG24,Norm_Stats!$F$22),Norm_Stats!$G$22)-Norm_Stats!$F$22)/(Norm_Stats!$G$22-Norm_Stats!$F$22)))))="",0,0.5)+IF((IF(OR(City_Inputs!$AJ24="",Norm_Stats!$F$23="",Norm_Stats!$G$23="",Norm_Stats!$G$23=Norm_Stats!$F$23),"",MAX(0,MIN(100,100*(MIN(MAX(City_Inputs!$AJ24,Norm_Stats!$F$23),Norm_Stats!$G$23)-Norm_Stats!$F$23)/(Norm_Stats!$G$23-Norm_Stats!$F$23)))))="",0,0.3)+IF((IF(OR(City_Inputs!$AK24="",Norm_Stats!$F$24="",Norm_Stats!$G$24="",Norm_Stats!$G$24=Norm_Stats!$F$24),"",MAX(0,MIN(100,100*(MIN(MAX(City_Inputs!$AK24,Norm_Stats!$F$24),Norm_Stats!$G$24)-Norm_Stats!$F$24)/(Norm_Stats!$G$24-Norm_Stats!$F$24)))))="",0,0.2)))</f>
        <v/>
      </c>
      <c r="BE24" s="11">
        <f>IF(OR(City_Inputs!$AH24="",Norm_Stats!$F$25="",Norm_Stats!$G$25="",Norm_Stats!$G$25=Norm_Stats!$F$25),"",MAX(0,MIN(100,100*(Norm_Stats!$G$25-MIN(MAX(City_Inputs!$AH24,Norm_Stats!$F$25),Norm_Stats!$G$25))/(Norm_Stats!$G$25-Norm_Stats!$F$25))))</f>
        <v/>
      </c>
      <c r="BF24" s="14">
        <f>IF(BE24="","",1)</f>
        <v/>
      </c>
      <c r="BG24" s="15">
        <f>IF((IF(AY24="",0,6)+IF(BA24="",0,5)+IF(BC24="",0,5)+IF(BE24="",0,4))=0,"",(IF(AY24="",0,AY24*6)+IF(BA24="",0,BA24*5)+IF(BC24="",0,BC24*5)+IF(BE24="",0,BE24*4))/(IF(AY24="",0,6)+IF(BA24="",0,5)+IF(BC24="",0,5)+IF(BE24="",0,4)))</f>
        <v/>
      </c>
      <c r="BH24" s="14">
        <f>IF((IF(AZ24="",0,6)+IF(BB24="",0,5)+IF(BD24="",0,5)+IF(BF24="",0,4))=0,"",(IF(AZ24="",0,AZ24*6)+IF(BB24="",0,BB24*5)+IF(BD24="",0,BD24*5)+IF(BF24="",0,BF24*4))/20)</f>
        <v/>
      </c>
      <c r="BI24" s="14">
        <f>IF(AND(R24="",AF24="",AN24="",AX24="",BH24=""),"",((R24*25)+(AF24*22)+(AN24*18)+(AX24*15)+(BH24*20))/100)</f>
        <v/>
      </c>
      <c r="BJ24" s="11">
        <f>IF(BI24="","",IF(BI24&gt;=0.75,"A",IF(BI24&gt;=0.5,"B",IF(BI24&gt;=0.35,"C","Watchlist"))))</f>
        <v/>
      </c>
      <c r="BK24" s="11">
        <f>IF(OR(BI24="",BI24&lt;0.5,R24="",R24&lt;0.35,AF24="",AF24&lt;0.35,AN24="",AN24&lt;0.35,AX24="",AX24&lt;0.35,BH24="",BH24&lt;0.35),"Watchlist","Ranked")</f>
        <v/>
      </c>
      <c r="BL24" s="15">
        <f>IF(AND(Q24="",AE24="",AM24="",AW24="",BG24=""),"",(IF(Q24="",0,Q24*25)+IF(AE24="",0,AE24*22)+IF(AM24="",0,AM24*18)+IF(AW24="",0,AW24*15)+IF(BG24="",0,BG24*20))/(IF(Q24="",0,25)+IF(AE24="",0,22)+IF(AM24="",0,18)+IF(AW24="",0,15)+IF(BG24="",0,20)))</f>
        <v/>
      </c>
      <c r="BM24" s="11">
        <f>IF(BK24="Ranked",1+COUNTIFS($BK$2:$BK$158,"Ranked",$BL$2:$BL$158,"&gt;"&amp;BL24),"")</f>
        <v/>
      </c>
      <c r="BN24" s="11">
        <f>City_Inputs!$AI24</f>
        <v/>
      </c>
    </row>
    <row r="25">
      <c r="A25" t="inlineStr">
        <is>
          <t>jp-kobe</t>
        </is>
      </c>
      <c r="B25" t="inlineStr">
        <is>
          <t>Kobe</t>
        </is>
      </c>
      <c r="C25" t="inlineStr">
        <is>
          <t>Japan</t>
        </is>
      </c>
      <c r="D25" t="inlineStr">
        <is>
          <t>East Asia</t>
        </is>
      </c>
      <c r="E25" t="inlineStr">
        <is>
          <t>locked</t>
        </is>
      </c>
      <c r="F25" t="inlineStr">
        <is>
          <t>secondary</t>
        </is>
      </c>
      <c r="G25" s="11">
        <f>IF(OR(City_Inputs!$M25="",Norm_Stats!$F$2="",Norm_Stats!$G$2="",Norm_Stats!$G$2=Norm_Stats!$F$2),"",MAX(0,MIN(100,100*(MIN(MAX(City_Inputs!$M25,Norm_Stats!$F$2),Norm_Stats!$G$2)-Norm_Stats!$F$2)/(Norm_Stats!$G$2-Norm_Stats!$F$2))))</f>
        <v/>
      </c>
      <c r="H25" s="14">
        <f>IF(G25="","",1)</f>
        <v/>
      </c>
      <c r="I25" s="11">
        <f>IF(OR(City_Inputs!$N25="",Norm_Stats!$F$3="",Norm_Stats!$G$3="",Norm_Stats!$G$3=Norm_Stats!$F$3),"",MAX(0,MIN(100,100*(Norm_Stats!$G$3-MIN(MAX(City_Inputs!$N25,Norm_Stats!$F$3),Norm_Stats!$G$3))/(Norm_Stats!$G$3-Norm_Stats!$F$3))))</f>
        <v/>
      </c>
      <c r="J25" s="14">
        <f>IF(I25="","",1)</f>
        <v/>
      </c>
      <c r="K25" s="11">
        <f>IF(OR(City_Inputs!$P25="",Norm_Stats!$F$4="",Norm_Stats!$G$4="",Norm_Stats!$G$4=Norm_Stats!$F$4),"",MAX(0,MIN(100,100*(Norm_Stats!$G$4-MIN(MAX(City_Inputs!$P25,Norm_Stats!$F$4),Norm_Stats!$G$4))/(Norm_Stats!$G$4-Norm_Stats!$F$4))))</f>
        <v/>
      </c>
      <c r="L25" s="14">
        <f>IF(K25="","",1)</f>
        <v/>
      </c>
      <c r="M25" s="11">
        <f>IF(OR(City_Inputs!$Q25="",Norm_Stats!$F$5="",Norm_Stats!$G$5="",Norm_Stats!$G$5=Norm_Stats!$F$5),"",MAX(0,MIN(100,100*(Norm_Stats!$G$5-MIN(MAX(City_Inputs!$Q25,Norm_Stats!$F$5),Norm_Stats!$G$5))/(Norm_Stats!$G$5-Norm_Stats!$F$5))))</f>
        <v/>
      </c>
      <c r="N25" s="14">
        <f>IF(M25="","",1)</f>
        <v/>
      </c>
      <c r="O25" s="11">
        <f>IF(OR(City_Inputs!$R25="",Norm_Stats!$F$6="",Norm_Stats!$G$6="",Norm_Stats!$G$6=Norm_Stats!$F$6),"",MAX(0,MIN(100,100*(Norm_Stats!$G$6-MIN(MAX(City_Inputs!$R25,Norm_Stats!$F$6),Norm_Stats!$G$6))/(Norm_Stats!$G$6-Norm_Stats!$F$6))))</f>
        <v/>
      </c>
      <c r="P25" s="14">
        <f>IF(O25="","",1)</f>
        <v/>
      </c>
      <c r="Q25" s="15">
        <f>IF((IF(G25="",0,9)+IF(I25="",0,5)+IF(K25="",0,4)+IF(M25="",0,4)+IF(O25="",0,5))=0,"",(IF(G25="",0,G25*9)+IF(I25="",0,I25*5)+IF(K25="",0,K25*4)+IF(M25="",0,M25*4)+IF(O25="",0,O25*5))/(IF(G25="",0,9)+IF(I25="",0,5)+IF(K25="",0,4)+IF(M25="",0,4)+IF(O25="",0,5)))</f>
        <v/>
      </c>
      <c r="R25" s="14">
        <f>IF((IF(H25="",0,9)+IF(J25="",0,5)+IF(L25="",0,4)+IF(N25="",0,4)+IF(P25="",0,5))=0,"",(IF(H25="",0,H25*9)+IF(J25="",0,J25*5)+IF(L25="",0,L25*4)+IF(N25="",0,N25*4)+IF(P25="",0,P25*5))/27)</f>
        <v/>
      </c>
      <c r="S25" s="11">
        <f>IF(OR(City_Inputs!$S25="",Norm_Stats!$F$7="",Norm_Stats!$G$7="",Norm_Stats!$G$7=Norm_Stats!$F$7),"",MAX(0,MIN(100,100*(Norm_Stats!$G$7-MIN(MAX(City_Inputs!$S25,Norm_Stats!$F$7),Norm_Stats!$G$7))/(Norm_Stats!$G$7-Norm_Stats!$F$7))))</f>
        <v/>
      </c>
      <c r="T25" s="14">
        <f>IF(S25="","",1)</f>
        <v/>
      </c>
      <c r="U25" s="11">
        <f>IF(OR(City_Inputs!$T25="",Norm_Stats!$F$8="",Norm_Stats!$G$8="",Norm_Stats!$G$8=Norm_Stats!$F$8),"",MAX(0,MIN(100,100*(MIN(MAX(City_Inputs!$T25,Norm_Stats!$F$8),Norm_Stats!$G$8)-Norm_Stats!$F$8)/(Norm_Stats!$G$8-Norm_Stats!$F$8))))</f>
        <v/>
      </c>
      <c r="V25" s="14">
        <f>IF(U25="","",1)</f>
        <v/>
      </c>
      <c r="W25" s="11">
        <f>IF(OR(City_Inputs!$U25="",Norm_Stats!$F$9="",Norm_Stats!$G$9="",Norm_Stats!$G$9=Norm_Stats!$F$9),"",MAX(0,MIN(100,100*(Norm_Stats!$G$9-MIN(MAX(City_Inputs!$U25,Norm_Stats!$F$9),Norm_Stats!$G$9))/(Norm_Stats!$G$9-Norm_Stats!$F$9))))</f>
        <v/>
      </c>
      <c r="X25" s="14">
        <f>IF(W25="","",1)</f>
        <v/>
      </c>
      <c r="Y25" s="11">
        <f>IF(OR(City_Inputs!$V25="",Norm_Stats!$F$10="",Norm_Stats!$G$10="",Norm_Stats!$G$10=Norm_Stats!$F$10),"",MAX(0,MIN(100,100*(MIN(MAX(City_Inputs!$V25,Norm_Stats!$F$10),Norm_Stats!$G$10)-Norm_Stats!$F$10)/(Norm_Stats!$G$10-Norm_Stats!$F$10))))</f>
        <v/>
      </c>
      <c r="Z25" s="14">
        <f>IF(Y25="","",1)</f>
        <v/>
      </c>
      <c r="AA25" s="11">
        <f>IF(OR(City_Inputs!$W25="",Norm_Stats!$F$11="",Norm_Stats!$G$11="",Norm_Stats!$G$11=Norm_Stats!$F$11),"",MAX(0,MIN(100,100*(MIN(MAX(City_Inputs!$W25,Norm_Stats!$F$11),Norm_Stats!$G$11)-Norm_Stats!$F$11)/(Norm_Stats!$G$11-Norm_Stats!$F$11))))</f>
        <v/>
      </c>
      <c r="AB25" s="14">
        <f>IF(AA25="","",1)</f>
        <v/>
      </c>
      <c r="AC25" s="11">
        <f>IF(OR(City_Inputs!$X25="",Norm_Stats!$F$12="",Norm_Stats!$G$12="",Norm_Stats!$G$12=Norm_Stats!$F$12),"",MAX(0,MIN(100,100*(MIN(MAX(City_Inputs!$X25,Norm_Stats!$F$12),Norm_Stats!$G$12)-Norm_Stats!$F$12)/(Norm_Stats!$G$12-Norm_Stats!$F$12))))</f>
        <v/>
      </c>
      <c r="AD25" s="11">
        <f>IF(AC25="","",1)</f>
        <v/>
      </c>
      <c r="AE25" s="15">
        <f>IF((IF(S25="",0,5)+IF(U25="",0,5)+IF(W25="",0,4)+IF(Y25="",0,4)+IF(AA25="",0,4)+IF(AC25="",0,5))=0,"",(IF(S25="",0,S25*5)+IF(U25="",0,U25*5)+IF(W25="",0,W25*4)+IF(Y25="",0,Y25*4)+IF(AA25="",0,AA25*4)+IF(AC25="",0,AC25*5))/(IF(S25="",0,5)+IF(U25="",0,5)+IF(W25="",0,4)+IF(Y25="",0,4)+IF(AA25="",0,4)+IF(AC25="",0,5)))</f>
        <v/>
      </c>
      <c r="AF25" s="14">
        <f>IF((IF(T25="",0,5)+IF(V25="",0,5)+IF(X25="",0,4)+IF(Z25="",0,4)+IF(AB25="",0,4)+IF(AD25="",0,5))=0,"",(IF(T25="",0,T25*5)+IF(V25="",0,V25*5)+IF(X25="",0,X25*4)+IF(Z25="",0,Z25*4)+IF(AB25="",0,AB25*4)+IF(AD25="",0,AD25*5))/27)</f>
        <v/>
      </c>
      <c r="AG25" s="11">
        <f>IF(OR(City_Inputs!$Y25="",Norm_Stats!$F$13="",Norm_Stats!$G$13="",Norm_Stats!$G$13=Norm_Stats!$F$13),"",MAX(0,MIN(100,100*(MIN(MAX(City_Inputs!$Y25,Norm_Stats!$F$13),Norm_Stats!$G$13)-Norm_Stats!$F$13)/(Norm_Stats!$G$13-Norm_Stats!$F$13))))</f>
        <v/>
      </c>
      <c r="AH25" s="14">
        <f>IF(AG25="","",1)</f>
        <v/>
      </c>
      <c r="AI25" s="11">
        <f>IF(OR(City_Inputs!$Z25="",Norm_Stats!$F$14="",Norm_Stats!$G$14="",Norm_Stats!$G$14=Norm_Stats!$F$14),"",MAX(0,MIN(100,100*(MIN(MAX(City_Inputs!$Z25,Norm_Stats!$F$14),Norm_Stats!$G$14)-Norm_Stats!$F$14)/(Norm_Stats!$G$14-Norm_Stats!$F$14))))</f>
        <v/>
      </c>
      <c r="AJ25" s="14">
        <f>IF(AI25="","",1)</f>
        <v/>
      </c>
      <c r="AK25" s="11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(IF(OR(City_Inputs!$AA25="",Norm_Stats!$F$15="",Norm_Stats!$G$15="",Norm_Stats!$G$15=Norm_Stats!$F$15),"",MAX(0,MIN(100,100*(MIN(MAX(City_Inputs!$AA25,Norm_Stats!$F$15),Norm_Stats!$G$15)-Norm_Stats!$F$15)/(Norm_Stats!$G$15-Norm_Stats!$F$15)))))*0.7)+IF((IF(OR(City_Inputs!$AL25="",Norm_Stats!$F$16="",Norm_Stats!$G$16="",Norm_Stats!$G$16=Norm_Stats!$F$16),"",MAX(0,MIN(100,100*(Norm_Stats!$G$16-MIN(MAX(City_Inputs!$AL25,Norm_Stats!$F$16),Norm_Stats!$G$16))/(Norm_Stats!$G$16-Norm_Stats!$F$16)))))="",0,(IF(OR(City_Inputs!$AL25="",Norm_Stats!$F$16="",Norm_Stats!$G$16="",Norm_Stats!$G$16=Norm_Stats!$F$16),"",MAX(0,MIN(100,100*(Norm_Stats!$G$16-MIN(MAX(City_Inputs!$AL25,Norm_Stats!$F$16),Norm_Stats!$G$16))/(Norm_Stats!$G$16-Norm_Stats!$F$16)))))*0.3))/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L25" s="14">
        <f>IF(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=0,"",(IF((IF(OR(City_Inputs!$AA25="",Norm_Stats!$F$15="",Norm_Stats!$G$15="",Norm_Stats!$G$15=Norm_Stats!$F$15),"",MAX(0,MIN(100,100*(MIN(MAX(City_Inputs!$AA25,Norm_Stats!$F$15),Norm_Stats!$G$15)-Norm_Stats!$F$15)/(Norm_Stats!$G$15-Norm_Stats!$F$15)))))="",0,0.7)+IF((IF(OR(City_Inputs!$AL25="",Norm_Stats!$F$16="",Norm_Stats!$G$16="",Norm_Stats!$G$16=Norm_Stats!$F$16),"",MAX(0,MIN(100,100*(Norm_Stats!$G$16-MIN(MAX(City_Inputs!$AL25,Norm_Stats!$F$16),Norm_Stats!$G$16))/(Norm_Stats!$G$16-Norm_Stats!$F$16)))))="",0,0.3)))</f>
        <v/>
      </c>
      <c r="AM25" s="15">
        <f>IF((IF(AG25="",0,8)+IF(AI25="",0,6)+IF(AK25="",0,4))=0,"",(IF(AG25="",0,AG25*8)+IF(AI25="",0,AI25*6)+IF(AK25="",0,AK25*4))/(IF(AG25="",0,8)+IF(AI25="",0,6)+IF(AK25="",0,4)))</f>
        <v/>
      </c>
      <c r="AN25" s="14">
        <f>IF((IF(AH25="",0,8)+IF(AJ25="",0,6)+IF(AL25="",0,4))=0,"",(IF(AH25="",0,AH25*8)+IF(AJ25="",0,AJ25*6)+IF(AL25="",0,AL25*4))/18)</f>
        <v/>
      </c>
      <c r="AO25" s="11">
        <f>IF(OR(City_Inputs!$AB25="",Norm_Stats!$F$17="",Norm_Stats!$G$17="",Norm_Stats!$G$17=Norm_Stats!$F$17),"",MAX(0,MIN(100,100*(MIN(MAX(City_Inputs!$AB25,Norm_Stats!$F$17),Norm_Stats!$G$17)-Norm_Stats!$F$17)/(Norm_Stats!$G$17-Norm_Stats!$F$17))))</f>
        <v/>
      </c>
      <c r="AP25" s="14">
        <f>IF(AO25="","",1)</f>
        <v/>
      </c>
      <c r="AQ25" s="11">
        <f>IF(OR(City_Inputs!$AC25="",Norm_Stats!$F$18="",Norm_Stats!$G$18="",Norm_Stats!$G$18=Norm_Stats!$F$18),"",MAX(0,MIN(100,100*(MIN(MAX(City_Inputs!$AC25,Norm_Stats!$F$18),Norm_Stats!$G$18)-Norm_Stats!$F$18)/(Norm_Stats!$G$18-Norm_Stats!$F$18))))</f>
        <v/>
      </c>
      <c r="AR25" s="14">
        <f>IF(AQ25="","",1)</f>
        <v/>
      </c>
      <c r="AS25" s="11">
        <f>IF(OR(City_Inputs!$AD25="",Norm_Stats!$F$19="",Norm_Stats!$G$19="",Norm_Stats!$G$19=Norm_Stats!$F$19),"",MAX(0,MIN(100,100*(MIN(MAX(City_Inputs!$AD25,Norm_Stats!$F$19),Norm_Stats!$G$19)-Norm_Stats!$F$19)/(Norm_Stats!$G$19-Norm_Stats!$F$19))))</f>
        <v/>
      </c>
      <c r="AT25" s="14">
        <f>IF(AS25="","",1)</f>
        <v/>
      </c>
      <c r="AU25" s="11">
        <f>IF(OR(City_Inputs!$BJ25="",Norm_Stats!$F$26="",Norm_Stats!$G$26="",Norm_Stats!$G$26=Norm_Stats!$F$26),"",MAX(0,MIN(100,100*(MIN(MAX(City_Inputs!$BJ25,Norm_Stats!$F$26),Norm_Stats!$G$26)-Norm_Stats!$F$26)/(Norm_Stats!$G$26-Norm_Stats!$F$26))))</f>
        <v/>
      </c>
      <c r="AV25" s="11">
        <f>IF(AU25="","",1)</f>
        <v/>
      </c>
      <c r="AW25" s="15">
        <f>IF((IF(AO25="",0,5)+IF(AQ25="",0,5)+IF(AS25="",0,5)+IF(AU25="",0,4))=0,"",(IF(AO25="",0,AO25*5)+IF(AQ25="",0,AQ25*5)+IF(AS25="",0,AS25*5)+IF(AU25="",0,AU25*4))/(IF(AO25="",0,5)+IF(AQ25="",0,5)+IF(AS25="",0,5)+IF(AU25="",0,4)))</f>
        <v/>
      </c>
      <c r="AX25" s="14">
        <f>IF((IF(AP25="",0,5)+IF(AR25="",0,5)+IF(AT25="",0,5)+IF(AV25="",0,4))=0,"",(IF(AP25="",0,AP25*5)+IF(AR25="",0,AR25*5)+IF(AT25="",0,AT25*5)+IF(AV25="",0,AV25*4))/19)</f>
        <v/>
      </c>
      <c r="AY25" s="11">
        <f>IF(OR(City_Inputs!$AE25="",Norm_Stats!$F$20="",Norm_Stats!$G$20="",Norm_Stats!$G$20=Norm_Stats!$F$20),"",MAX(0,MIN(100,100*(MIN(MAX(City_Inputs!$AE25,Norm_Stats!$F$20),Norm_Stats!$G$20)-Norm_Stats!$F$20)/(Norm_Stats!$G$20-Norm_Stats!$F$20))))</f>
        <v/>
      </c>
      <c r="AZ25" s="14">
        <f>IF(AY25="","",1)</f>
        <v/>
      </c>
      <c r="BA25" s="11">
        <f>IF(OR(City_Inputs!$AF25="",Norm_Stats!$F$21="",Norm_Stats!$G$21="",Norm_Stats!$G$21=Norm_Stats!$F$21),"",MAX(0,MIN(100,100*(MIN(MAX(City_Inputs!$AF25,Norm_Stats!$F$21),Norm_Stats!$G$21)-Norm_Stats!$F$21)/(Norm_Stats!$G$21-Norm_Stats!$F$21))))</f>
        <v/>
      </c>
      <c r="BB25" s="14">
        <f>IF(BA25="","",1)</f>
        <v/>
      </c>
      <c r="BC25" s="11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(IF(OR(City_Inputs!$AG25="",Norm_Stats!$F$22="",Norm_Stats!$G$22="",Norm_Stats!$G$22=Norm_Stats!$F$22),"",MAX(0,MIN(100,100*(MIN(MAX(City_Inputs!$AG25,Norm_Stats!$F$22),Norm_Stats!$G$22)-Norm_Stats!$F$22)/(Norm_Stats!$G$22-Norm_Stats!$F$22)))))*0.5)+IF((IF(OR(City_Inputs!$AJ25="",Norm_Stats!$F$23="",Norm_Stats!$G$23="",Norm_Stats!$G$23=Norm_Stats!$F$23),"",MAX(0,MIN(100,100*(MIN(MAX(City_Inputs!$AJ25,Norm_Stats!$F$23),Norm_Stats!$G$23)-Norm_Stats!$F$23)/(Norm_Stats!$G$23-Norm_Stats!$F$23)))))="",0,(IF(OR(City_Inputs!$AJ25="",Norm_Stats!$F$23="",Norm_Stats!$G$23="",Norm_Stats!$G$23=Norm_Stats!$F$23),"",MAX(0,MIN(100,100*(MIN(MAX(City_Inputs!$AJ25,Norm_Stats!$F$23),Norm_Stats!$G$23)-Norm_Stats!$F$23)/(Norm_Stats!$G$23-Norm_Stats!$F$23)))))*0.3)+IF((IF(OR(City_Inputs!$AK25="",Norm_Stats!$F$24="",Norm_Stats!$G$24="",Norm_Stats!$G$24=Norm_Stats!$F$24),"",MAX(0,MIN(100,100*(MIN(MAX(City_Inputs!$AK25,Norm_Stats!$F$24),Norm_Stats!$G$24)-Norm_Stats!$F$24)/(Norm_Stats!$G$24-Norm_Stats!$F$24)))))="",0,(IF(OR(City_Inputs!$AK25="",Norm_Stats!$F$24="",Norm_Stats!$G$24="",Norm_Stats!$G$24=Norm_Stats!$F$24),"",MAX(0,MIN(100,100*(MIN(MAX(City_Inputs!$AK25,Norm_Stats!$F$24),Norm_Stats!$G$24)-Norm_Stats!$F$24)/(Norm_Stats!$G$24-Norm_Stats!$F$24)))))*0.2))/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D25" s="14">
        <f>IF(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=0,"",(IF((IF(OR(City_Inputs!$AG25="",Norm_Stats!$F$22="",Norm_Stats!$G$22="",Norm_Stats!$G$22=Norm_Stats!$F$22),"",MAX(0,MIN(100,100*(MIN(MAX(City_Inputs!$AG25,Norm_Stats!$F$22),Norm_Stats!$G$22)-Norm_Stats!$F$22)/(Norm_Stats!$G$22-Norm_Stats!$F$22)))))="",0,0.5)+IF((IF(OR(City_Inputs!$AJ25="",Norm_Stats!$F$23="",Norm_Stats!$G$23="",Norm_Stats!$G$23=Norm_Stats!$F$23),"",MAX(0,MIN(100,100*(MIN(MAX(City_Inputs!$AJ25,Norm_Stats!$F$23),Norm_Stats!$G$23)-Norm_Stats!$F$23)/(Norm_Stats!$G$23-Norm_Stats!$F$23)))))="",0,0.3)+IF((IF(OR(City_Inputs!$AK25="",Norm_Stats!$F$24="",Norm_Stats!$G$24="",Norm_Stats!$G$24=Norm_Stats!$F$24),"",MAX(0,MIN(100,100*(MIN(MAX(City_Inputs!$AK25,Norm_Stats!$F$24),Norm_Stats!$G$24)-Norm_Stats!$F$24)/(Norm_Stats!$G$24-Norm_Stats!$F$24)))))="",0,0.2)))</f>
        <v/>
      </c>
      <c r="BE25" s="11">
        <f>IF(OR(City_Inputs!$AH25="",Norm_Stats!$F$25="",Norm_Stats!$G$25="",Norm_Stats!$G$25=Norm_Stats!$F$25),"",MAX(0,MIN(100,100*(Norm_Stats!$G$25-MIN(MAX(City_Inputs!$AH25,Norm_Stats!$F$25),Norm_Stats!$G$25))/(Norm_Stats!$G$25-Norm_Stats!$F$25))))</f>
        <v/>
      </c>
      <c r="BF25" s="14">
        <f>IF(BE25="","",1)</f>
        <v/>
      </c>
      <c r="BG25" s="15">
        <f>IF((IF(AY25="",0,6)+IF(BA25="",0,5)+IF(BC25="",0,5)+IF(BE25="",0,4))=0,"",(IF(AY25="",0,AY25*6)+IF(BA25="",0,BA25*5)+IF(BC25="",0,BC25*5)+IF(BE25="",0,BE25*4))/(IF(AY25="",0,6)+IF(BA25="",0,5)+IF(BC25="",0,5)+IF(BE25="",0,4)))</f>
        <v/>
      </c>
      <c r="BH25" s="14">
        <f>IF((IF(AZ25="",0,6)+IF(BB25="",0,5)+IF(BD25="",0,5)+IF(BF25="",0,4))=0,"",(IF(AZ25="",0,AZ25*6)+IF(BB25="",0,BB25*5)+IF(BD25="",0,BD25*5)+IF(BF25="",0,BF25*4))/20)</f>
        <v/>
      </c>
      <c r="BI25" s="14">
        <f>IF(AND(R25="",AF25="",AN25="",AX25="",BH25=""),"",((R25*25)+(AF25*22)+(AN25*18)+(AX25*15)+(BH25*20))/100)</f>
        <v/>
      </c>
      <c r="BJ25" s="11">
        <f>IF(BI25="","",IF(BI25&gt;=0.75,"A",IF(BI25&gt;=0.5,"B",IF(BI25&gt;=0.35,"C","Watchlist"))))</f>
        <v/>
      </c>
      <c r="BK25" s="11">
        <f>IF(OR(BI25="",BI25&lt;0.5,R25="",R25&lt;0.35,AF25="",AF25&lt;0.35,AN25="",AN25&lt;0.35,AX25="",AX25&lt;0.35,BH25="",BH25&lt;0.35),"Watchlist","Ranked")</f>
        <v/>
      </c>
      <c r="BL25" s="15">
        <f>IF(AND(Q25="",AE25="",AM25="",AW25="",BG25=""),"",(IF(Q25="",0,Q25*25)+IF(AE25="",0,AE25*22)+IF(AM25="",0,AM25*18)+IF(AW25="",0,AW25*15)+IF(BG25="",0,BG25*20))/(IF(Q25="",0,25)+IF(AE25="",0,22)+IF(AM25="",0,18)+IF(AW25="",0,15)+IF(BG25="",0,20)))</f>
        <v/>
      </c>
      <c r="BM25" s="11">
        <f>IF(BK25="Ranked",1+COUNTIFS($BK$2:$BK$158,"Ranked",$BL$2:$BL$158,"&gt;"&amp;BL25),"")</f>
        <v/>
      </c>
      <c r="BN25" s="11">
        <f>City_Inputs!$AI25</f>
        <v/>
      </c>
    </row>
    <row r="26">
      <c r="A26" t="inlineStr">
        <is>
          <t>jp-sapporo</t>
        </is>
      </c>
      <c r="B26" t="inlineStr">
        <is>
          <t>Sapporo</t>
        </is>
      </c>
      <c r="C26" t="inlineStr">
        <is>
          <t>Japan</t>
        </is>
      </c>
      <c r="D26" t="inlineStr">
        <is>
          <t>East Asia</t>
        </is>
      </c>
      <c r="E26" t="inlineStr">
        <is>
          <t>locked</t>
        </is>
      </c>
      <c r="F26" t="inlineStr">
        <is>
          <t>secondary</t>
        </is>
      </c>
      <c r="G26" s="11">
        <f>IF(OR(City_Inputs!$M26="",Norm_Stats!$F$2="",Norm_Stats!$G$2="",Norm_Stats!$G$2=Norm_Stats!$F$2),"",MAX(0,MIN(100,100*(MIN(MAX(City_Inputs!$M26,Norm_Stats!$F$2),Norm_Stats!$G$2)-Norm_Stats!$F$2)/(Norm_Stats!$G$2-Norm_Stats!$F$2))))</f>
        <v/>
      </c>
      <c r="H26" s="14">
        <f>IF(G26="","",1)</f>
        <v/>
      </c>
      <c r="I26" s="11">
        <f>IF(OR(City_Inputs!$N26="",Norm_Stats!$F$3="",Norm_Stats!$G$3="",Norm_Stats!$G$3=Norm_Stats!$F$3),"",MAX(0,MIN(100,100*(Norm_Stats!$G$3-MIN(MAX(City_Inputs!$N26,Norm_Stats!$F$3),Norm_Stats!$G$3))/(Norm_Stats!$G$3-Norm_Stats!$F$3))))</f>
        <v/>
      </c>
      <c r="J26" s="14">
        <f>IF(I26="","",1)</f>
        <v/>
      </c>
      <c r="K26" s="11">
        <f>IF(OR(City_Inputs!$P26="",Norm_Stats!$F$4="",Norm_Stats!$G$4="",Norm_Stats!$G$4=Norm_Stats!$F$4),"",MAX(0,MIN(100,100*(Norm_Stats!$G$4-MIN(MAX(City_Inputs!$P26,Norm_Stats!$F$4),Norm_Stats!$G$4))/(Norm_Stats!$G$4-Norm_Stats!$F$4))))</f>
        <v/>
      </c>
      <c r="L26" s="14">
        <f>IF(K26="","",1)</f>
        <v/>
      </c>
      <c r="M26" s="11">
        <f>IF(OR(City_Inputs!$Q26="",Norm_Stats!$F$5="",Norm_Stats!$G$5="",Norm_Stats!$G$5=Norm_Stats!$F$5),"",MAX(0,MIN(100,100*(Norm_Stats!$G$5-MIN(MAX(City_Inputs!$Q26,Norm_Stats!$F$5),Norm_Stats!$G$5))/(Norm_Stats!$G$5-Norm_Stats!$F$5))))</f>
        <v/>
      </c>
      <c r="N26" s="14">
        <f>IF(M26="","",1)</f>
        <v/>
      </c>
      <c r="O26" s="11">
        <f>IF(OR(City_Inputs!$R26="",Norm_Stats!$F$6="",Norm_Stats!$G$6="",Norm_Stats!$G$6=Norm_Stats!$F$6),"",MAX(0,MIN(100,100*(Norm_Stats!$G$6-MIN(MAX(City_Inputs!$R26,Norm_Stats!$F$6),Norm_Stats!$G$6))/(Norm_Stats!$G$6-Norm_Stats!$F$6))))</f>
        <v/>
      </c>
      <c r="P26" s="14">
        <f>IF(O26="","",1)</f>
        <v/>
      </c>
      <c r="Q26" s="15">
        <f>IF((IF(G26="",0,9)+IF(I26="",0,5)+IF(K26="",0,4)+IF(M26="",0,4)+IF(O26="",0,5))=0,"",(IF(G26="",0,G26*9)+IF(I26="",0,I26*5)+IF(K26="",0,K26*4)+IF(M26="",0,M26*4)+IF(O26="",0,O26*5))/(IF(G26="",0,9)+IF(I26="",0,5)+IF(K26="",0,4)+IF(M26="",0,4)+IF(O26="",0,5)))</f>
        <v/>
      </c>
      <c r="R26" s="14">
        <f>IF((IF(H26="",0,9)+IF(J26="",0,5)+IF(L26="",0,4)+IF(N26="",0,4)+IF(P26="",0,5))=0,"",(IF(H26="",0,H26*9)+IF(J26="",0,J26*5)+IF(L26="",0,L26*4)+IF(N26="",0,N26*4)+IF(P26="",0,P26*5))/27)</f>
        <v/>
      </c>
      <c r="S26" s="11">
        <f>IF(OR(City_Inputs!$S26="",Norm_Stats!$F$7="",Norm_Stats!$G$7="",Norm_Stats!$G$7=Norm_Stats!$F$7),"",MAX(0,MIN(100,100*(Norm_Stats!$G$7-MIN(MAX(City_Inputs!$S26,Norm_Stats!$F$7),Norm_Stats!$G$7))/(Norm_Stats!$G$7-Norm_Stats!$F$7))))</f>
        <v/>
      </c>
      <c r="T26" s="14">
        <f>IF(S26="","",1)</f>
        <v/>
      </c>
      <c r="U26" s="11">
        <f>IF(OR(City_Inputs!$T26="",Norm_Stats!$F$8="",Norm_Stats!$G$8="",Norm_Stats!$G$8=Norm_Stats!$F$8),"",MAX(0,MIN(100,100*(MIN(MAX(City_Inputs!$T26,Norm_Stats!$F$8),Norm_Stats!$G$8)-Norm_Stats!$F$8)/(Norm_Stats!$G$8-Norm_Stats!$F$8))))</f>
        <v/>
      </c>
      <c r="V26" s="14">
        <f>IF(U26="","",1)</f>
        <v/>
      </c>
      <c r="W26" s="11">
        <f>IF(OR(City_Inputs!$U26="",Norm_Stats!$F$9="",Norm_Stats!$G$9="",Norm_Stats!$G$9=Norm_Stats!$F$9),"",MAX(0,MIN(100,100*(Norm_Stats!$G$9-MIN(MAX(City_Inputs!$U26,Norm_Stats!$F$9),Norm_Stats!$G$9))/(Norm_Stats!$G$9-Norm_Stats!$F$9))))</f>
        <v/>
      </c>
      <c r="X26" s="14">
        <f>IF(W26="","",1)</f>
        <v/>
      </c>
      <c r="Y26" s="11">
        <f>IF(OR(City_Inputs!$V26="",Norm_Stats!$F$10="",Norm_Stats!$G$10="",Norm_Stats!$G$10=Norm_Stats!$F$10),"",MAX(0,MIN(100,100*(MIN(MAX(City_Inputs!$V26,Norm_Stats!$F$10),Norm_Stats!$G$10)-Norm_Stats!$F$10)/(Norm_Stats!$G$10-Norm_Stats!$F$10))))</f>
        <v/>
      </c>
      <c r="Z26" s="14">
        <f>IF(Y26="","",1)</f>
        <v/>
      </c>
      <c r="AA26" s="11">
        <f>IF(OR(City_Inputs!$W26="",Norm_Stats!$F$11="",Norm_Stats!$G$11="",Norm_Stats!$G$11=Norm_Stats!$F$11),"",MAX(0,MIN(100,100*(MIN(MAX(City_Inputs!$W26,Norm_Stats!$F$11),Norm_Stats!$G$11)-Norm_Stats!$F$11)/(Norm_Stats!$G$11-Norm_Stats!$F$11))))</f>
        <v/>
      </c>
      <c r="AB26" s="14">
        <f>IF(AA26="","",1)</f>
        <v/>
      </c>
      <c r="AC26" s="11">
        <f>IF(OR(City_Inputs!$X26="",Norm_Stats!$F$12="",Norm_Stats!$G$12="",Norm_Stats!$G$12=Norm_Stats!$F$12),"",MAX(0,MIN(100,100*(MIN(MAX(City_Inputs!$X26,Norm_Stats!$F$12),Norm_Stats!$G$12)-Norm_Stats!$F$12)/(Norm_Stats!$G$12-Norm_Stats!$F$12))))</f>
        <v/>
      </c>
      <c r="AD26" s="11">
        <f>IF(AC26="","",1)</f>
        <v/>
      </c>
      <c r="AE26" s="15">
        <f>IF((IF(S26="",0,5)+IF(U26="",0,5)+IF(W26="",0,4)+IF(Y26="",0,4)+IF(AA26="",0,4)+IF(AC26="",0,5))=0,"",(IF(S26="",0,S26*5)+IF(U26="",0,U26*5)+IF(W26="",0,W26*4)+IF(Y26="",0,Y26*4)+IF(AA26="",0,AA26*4)+IF(AC26="",0,AC26*5))/(IF(S26="",0,5)+IF(U26="",0,5)+IF(W26="",0,4)+IF(Y26="",0,4)+IF(AA26="",0,4)+IF(AC26="",0,5)))</f>
        <v/>
      </c>
      <c r="AF26" s="14">
        <f>IF((IF(T26="",0,5)+IF(V26="",0,5)+IF(X26="",0,4)+IF(Z26="",0,4)+IF(AB26="",0,4)+IF(AD26="",0,5))=0,"",(IF(T26="",0,T26*5)+IF(V26="",0,V26*5)+IF(X26="",0,X26*4)+IF(Z26="",0,Z26*4)+IF(AB26="",0,AB26*4)+IF(AD26="",0,AD26*5))/27)</f>
        <v/>
      </c>
      <c r="AG26" s="11">
        <f>IF(OR(City_Inputs!$Y26="",Norm_Stats!$F$13="",Norm_Stats!$G$13="",Norm_Stats!$G$13=Norm_Stats!$F$13),"",MAX(0,MIN(100,100*(MIN(MAX(City_Inputs!$Y26,Norm_Stats!$F$13),Norm_Stats!$G$13)-Norm_Stats!$F$13)/(Norm_Stats!$G$13-Norm_Stats!$F$13))))</f>
        <v/>
      </c>
      <c r="AH26" s="14">
        <f>IF(AG26="","",1)</f>
        <v/>
      </c>
      <c r="AI26" s="11">
        <f>IF(OR(City_Inputs!$Z26="",Norm_Stats!$F$14="",Norm_Stats!$G$14="",Norm_Stats!$G$14=Norm_Stats!$F$14),"",MAX(0,MIN(100,100*(MIN(MAX(City_Inputs!$Z26,Norm_Stats!$F$14),Norm_Stats!$G$14)-Norm_Stats!$F$14)/(Norm_Stats!$G$14-Norm_Stats!$F$14))))</f>
        <v/>
      </c>
      <c r="AJ26" s="14">
        <f>IF(AI26="","",1)</f>
        <v/>
      </c>
      <c r="AK26" s="11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(IF(OR(City_Inputs!$AA26="",Norm_Stats!$F$15="",Norm_Stats!$G$15="",Norm_Stats!$G$15=Norm_Stats!$F$15),"",MAX(0,MIN(100,100*(MIN(MAX(City_Inputs!$AA26,Norm_Stats!$F$15),Norm_Stats!$G$15)-Norm_Stats!$F$15)/(Norm_Stats!$G$15-Norm_Stats!$F$15)))))*0.7)+IF((IF(OR(City_Inputs!$AL26="",Norm_Stats!$F$16="",Norm_Stats!$G$16="",Norm_Stats!$G$16=Norm_Stats!$F$16),"",MAX(0,MIN(100,100*(Norm_Stats!$G$16-MIN(MAX(City_Inputs!$AL26,Norm_Stats!$F$16),Norm_Stats!$G$16))/(Norm_Stats!$G$16-Norm_Stats!$F$16)))))="",0,(IF(OR(City_Inputs!$AL26="",Norm_Stats!$F$16="",Norm_Stats!$G$16="",Norm_Stats!$G$16=Norm_Stats!$F$16),"",MAX(0,MIN(100,100*(Norm_Stats!$G$16-MIN(MAX(City_Inputs!$AL26,Norm_Stats!$F$16),Norm_Stats!$G$16))/(Norm_Stats!$G$16-Norm_Stats!$F$16)))))*0.3))/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L26" s="14">
        <f>IF(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=0,"",(IF((IF(OR(City_Inputs!$AA26="",Norm_Stats!$F$15="",Norm_Stats!$G$15="",Norm_Stats!$G$15=Norm_Stats!$F$15),"",MAX(0,MIN(100,100*(MIN(MAX(City_Inputs!$AA26,Norm_Stats!$F$15),Norm_Stats!$G$15)-Norm_Stats!$F$15)/(Norm_Stats!$G$15-Norm_Stats!$F$15)))))="",0,0.7)+IF((IF(OR(City_Inputs!$AL26="",Norm_Stats!$F$16="",Norm_Stats!$G$16="",Norm_Stats!$G$16=Norm_Stats!$F$16),"",MAX(0,MIN(100,100*(Norm_Stats!$G$16-MIN(MAX(City_Inputs!$AL26,Norm_Stats!$F$16),Norm_Stats!$G$16))/(Norm_Stats!$G$16-Norm_Stats!$F$16)))))="",0,0.3)))</f>
        <v/>
      </c>
      <c r="AM26" s="15">
        <f>IF((IF(AG26="",0,8)+IF(AI26="",0,6)+IF(AK26="",0,4))=0,"",(IF(AG26="",0,AG26*8)+IF(AI26="",0,AI26*6)+IF(AK26="",0,AK26*4))/(IF(AG26="",0,8)+IF(AI26="",0,6)+IF(AK26="",0,4)))</f>
        <v/>
      </c>
      <c r="AN26" s="14">
        <f>IF((IF(AH26="",0,8)+IF(AJ26="",0,6)+IF(AL26="",0,4))=0,"",(IF(AH26="",0,AH26*8)+IF(AJ26="",0,AJ26*6)+IF(AL26="",0,AL26*4))/18)</f>
        <v/>
      </c>
      <c r="AO26" s="11">
        <f>IF(OR(City_Inputs!$AB26="",Norm_Stats!$F$17="",Norm_Stats!$G$17="",Norm_Stats!$G$17=Norm_Stats!$F$17),"",MAX(0,MIN(100,100*(MIN(MAX(City_Inputs!$AB26,Norm_Stats!$F$17),Norm_Stats!$G$17)-Norm_Stats!$F$17)/(Norm_Stats!$G$17-Norm_Stats!$F$17))))</f>
        <v/>
      </c>
      <c r="AP26" s="14">
        <f>IF(AO26="","",1)</f>
        <v/>
      </c>
      <c r="AQ26" s="11">
        <f>IF(OR(City_Inputs!$AC26="",Norm_Stats!$F$18="",Norm_Stats!$G$18="",Norm_Stats!$G$18=Norm_Stats!$F$18),"",MAX(0,MIN(100,100*(MIN(MAX(City_Inputs!$AC26,Norm_Stats!$F$18),Norm_Stats!$G$18)-Norm_Stats!$F$18)/(Norm_Stats!$G$18-Norm_Stats!$F$18))))</f>
        <v/>
      </c>
      <c r="AR26" s="14">
        <f>IF(AQ26="","",1)</f>
        <v/>
      </c>
      <c r="AS26" s="11">
        <f>IF(OR(City_Inputs!$AD26="",Norm_Stats!$F$19="",Norm_Stats!$G$19="",Norm_Stats!$G$19=Norm_Stats!$F$19),"",MAX(0,MIN(100,100*(MIN(MAX(City_Inputs!$AD26,Norm_Stats!$F$19),Norm_Stats!$G$19)-Norm_Stats!$F$19)/(Norm_Stats!$G$19-Norm_Stats!$F$19))))</f>
        <v/>
      </c>
      <c r="AT26" s="14">
        <f>IF(AS26="","",1)</f>
        <v/>
      </c>
      <c r="AU26" s="11">
        <f>IF(OR(City_Inputs!$BJ26="",Norm_Stats!$F$26="",Norm_Stats!$G$26="",Norm_Stats!$G$26=Norm_Stats!$F$26),"",MAX(0,MIN(100,100*(MIN(MAX(City_Inputs!$BJ26,Norm_Stats!$F$26),Norm_Stats!$G$26)-Norm_Stats!$F$26)/(Norm_Stats!$G$26-Norm_Stats!$F$26))))</f>
        <v/>
      </c>
      <c r="AV26" s="11">
        <f>IF(AU26="","",1)</f>
        <v/>
      </c>
      <c r="AW26" s="15">
        <f>IF((IF(AO26="",0,5)+IF(AQ26="",0,5)+IF(AS26="",0,5)+IF(AU26="",0,4))=0,"",(IF(AO26="",0,AO26*5)+IF(AQ26="",0,AQ26*5)+IF(AS26="",0,AS26*5)+IF(AU26="",0,AU26*4))/(IF(AO26="",0,5)+IF(AQ26="",0,5)+IF(AS26="",0,5)+IF(AU26="",0,4)))</f>
        <v/>
      </c>
      <c r="AX26" s="14">
        <f>IF((IF(AP26="",0,5)+IF(AR26="",0,5)+IF(AT26="",0,5)+IF(AV26="",0,4))=0,"",(IF(AP26="",0,AP26*5)+IF(AR26="",0,AR26*5)+IF(AT26="",0,AT26*5)+IF(AV26="",0,AV26*4))/19)</f>
        <v/>
      </c>
      <c r="AY26" s="11">
        <f>IF(OR(City_Inputs!$AE26="",Norm_Stats!$F$20="",Norm_Stats!$G$20="",Norm_Stats!$G$20=Norm_Stats!$F$20),"",MAX(0,MIN(100,100*(MIN(MAX(City_Inputs!$AE26,Norm_Stats!$F$20),Norm_Stats!$G$20)-Norm_Stats!$F$20)/(Norm_Stats!$G$20-Norm_Stats!$F$20))))</f>
        <v/>
      </c>
      <c r="AZ26" s="14">
        <f>IF(AY26="","",1)</f>
        <v/>
      </c>
      <c r="BA26" s="11">
        <f>IF(OR(City_Inputs!$AF26="",Norm_Stats!$F$21="",Norm_Stats!$G$21="",Norm_Stats!$G$21=Norm_Stats!$F$21),"",MAX(0,MIN(100,100*(MIN(MAX(City_Inputs!$AF26,Norm_Stats!$F$21),Norm_Stats!$G$21)-Norm_Stats!$F$21)/(Norm_Stats!$G$21-Norm_Stats!$F$21))))</f>
        <v/>
      </c>
      <c r="BB26" s="14">
        <f>IF(BA26="","",1)</f>
        <v/>
      </c>
      <c r="BC26" s="11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(IF(OR(City_Inputs!$AG26="",Norm_Stats!$F$22="",Norm_Stats!$G$22="",Norm_Stats!$G$22=Norm_Stats!$F$22),"",MAX(0,MIN(100,100*(MIN(MAX(City_Inputs!$AG26,Norm_Stats!$F$22),Norm_Stats!$G$22)-Norm_Stats!$F$22)/(Norm_Stats!$G$22-Norm_Stats!$F$22)))))*0.5)+IF((IF(OR(City_Inputs!$AJ26="",Norm_Stats!$F$23="",Norm_Stats!$G$23="",Norm_Stats!$G$23=Norm_Stats!$F$23),"",MAX(0,MIN(100,100*(MIN(MAX(City_Inputs!$AJ26,Norm_Stats!$F$23),Norm_Stats!$G$23)-Norm_Stats!$F$23)/(Norm_Stats!$G$23-Norm_Stats!$F$23)))))="",0,(IF(OR(City_Inputs!$AJ26="",Norm_Stats!$F$23="",Norm_Stats!$G$23="",Norm_Stats!$G$23=Norm_Stats!$F$23),"",MAX(0,MIN(100,100*(MIN(MAX(City_Inputs!$AJ26,Norm_Stats!$F$23),Norm_Stats!$G$23)-Norm_Stats!$F$23)/(Norm_Stats!$G$23-Norm_Stats!$F$23)))))*0.3)+IF((IF(OR(City_Inputs!$AK26="",Norm_Stats!$F$24="",Norm_Stats!$G$24="",Norm_Stats!$G$24=Norm_Stats!$F$24),"",MAX(0,MIN(100,100*(MIN(MAX(City_Inputs!$AK26,Norm_Stats!$F$24),Norm_Stats!$G$24)-Norm_Stats!$F$24)/(Norm_Stats!$G$24-Norm_Stats!$F$24)))))="",0,(IF(OR(City_Inputs!$AK26="",Norm_Stats!$F$24="",Norm_Stats!$G$24="",Norm_Stats!$G$24=Norm_Stats!$F$24),"",MAX(0,MIN(100,100*(MIN(MAX(City_Inputs!$AK26,Norm_Stats!$F$24),Norm_Stats!$G$24)-Norm_Stats!$F$24)/(Norm_Stats!$G$24-Norm_Stats!$F$24)))))*0.2))/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D26" s="14">
        <f>IF(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=0,"",(IF((IF(OR(City_Inputs!$AG26="",Norm_Stats!$F$22="",Norm_Stats!$G$22="",Norm_Stats!$G$22=Norm_Stats!$F$22),"",MAX(0,MIN(100,100*(MIN(MAX(City_Inputs!$AG26,Norm_Stats!$F$22),Norm_Stats!$G$22)-Norm_Stats!$F$22)/(Norm_Stats!$G$22-Norm_Stats!$F$22)))))="",0,0.5)+IF((IF(OR(City_Inputs!$AJ26="",Norm_Stats!$F$23="",Norm_Stats!$G$23="",Norm_Stats!$G$23=Norm_Stats!$F$23),"",MAX(0,MIN(100,100*(MIN(MAX(City_Inputs!$AJ26,Norm_Stats!$F$23),Norm_Stats!$G$23)-Norm_Stats!$F$23)/(Norm_Stats!$G$23-Norm_Stats!$F$23)))))="",0,0.3)+IF((IF(OR(City_Inputs!$AK26="",Norm_Stats!$F$24="",Norm_Stats!$G$24="",Norm_Stats!$G$24=Norm_Stats!$F$24),"",MAX(0,MIN(100,100*(MIN(MAX(City_Inputs!$AK26,Norm_Stats!$F$24),Norm_Stats!$G$24)-Norm_Stats!$F$24)/(Norm_Stats!$G$24-Norm_Stats!$F$24)))))="",0,0.2)))</f>
        <v/>
      </c>
      <c r="BE26" s="11">
        <f>IF(OR(City_Inputs!$AH26="",Norm_Stats!$F$25="",Norm_Stats!$G$25="",Norm_Stats!$G$25=Norm_Stats!$F$25),"",MAX(0,MIN(100,100*(Norm_Stats!$G$25-MIN(MAX(City_Inputs!$AH26,Norm_Stats!$F$25),Norm_Stats!$G$25))/(Norm_Stats!$G$25-Norm_Stats!$F$25))))</f>
        <v/>
      </c>
      <c r="BF26" s="14">
        <f>IF(BE26="","",1)</f>
        <v/>
      </c>
      <c r="BG26" s="15">
        <f>IF((IF(AY26="",0,6)+IF(BA26="",0,5)+IF(BC26="",0,5)+IF(BE26="",0,4))=0,"",(IF(AY26="",0,AY26*6)+IF(BA26="",0,BA26*5)+IF(BC26="",0,BC26*5)+IF(BE26="",0,BE26*4))/(IF(AY26="",0,6)+IF(BA26="",0,5)+IF(BC26="",0,5)+IF(BE26="",0,4)))</f>
        <v/>
      </c>
      <c r="BH26" s="14">
        <f>IF((IF(AZ26="",0,6)+IF(BB26="",0,5)+IF(BD26="",0,5)+IF(BF26="",0,4))=0,"",(IF(AZ26="",0,AZ26*6)+IF(BB26="",0,BB26*5)+IF(BD26="",0,BD26*5)+IF(BF26="",0,BF26*4))/20)</f>
        <v/>
      </c>
      <c r="BI26" s="14">
        <f>IF(AND(R26="",AF26="",AN26="",AX26="",BH26=""),"",((R26*25)+(AF26*22)+(AN26*18)+(AX26*15)+(BH26*20))/100)</f>
        <v/>
      </c>
      <c r="BJ26" s="11">
        <f>IF(BI26="","",IF(BI26&gt;=0.75,"A",IF(BI26&gt;=0.5,"B",IF(BI26&gt;=0.35,"C","Watchlist"))))</f>
        <v/>
      </c>
      <c r="BK26" s="11">
        <f>IF(OR(BI26="",BI26&lt;0.5,R26="",R26&lt;0.35,AF26="",AF26&lt;0.35,AN26="",AN26&lt;0.35,AX26="",AX26&lt;0.35,BH26="",BH26&lt;0.35),"Watchlist","Ranked")</f>
        <v/>
      </c>
      <c r="BL26" s="15">
        <f>IF(AND(Q26="",AE26="",AM26="",AW26="",BG26=""),"",(IF(Q26="",0,Q26*25)+IF(AE26="",0,AE26*22)+IF(AM26="",0,AM26*18)+IF(AW26="",0,AW26*15)+IF(BG26="",0,BG26*20))/(IF(Q26="",0,25)+IF(AE26="",0,22)+IF(AM26="",0,18)+IF(AW26="",0,15)+IF(BG26="",0,20)))</f>
        <v/>
      </c>
      <c r="BM26" s="11">
        <f>IF(BK26="Ranked",1+COUNTIFS($BK$2:$BK$158,"Ranked",$BL$2:$BL$158,"&gt;"&amp;BL26),"")</f>
        <v/>
      </c>
      <c r="BN26" s="11">
        <f>City_Inputs!$AI26</f>
        <v/>
      </c>
    </row>
    <row r="27">
      <c r="A27" t="inlineStr">
        <is>
          <t>cn-tianjin</t>
        </is>
      </c>
      <c r="B27" t="inlineStr">
        <is>
          <t>Tianjin</t>
        </is>
      </c>
      <c r="C27" t="inlineStr">
        <is>
          <t>China</t>
        </is>
      </c>
      <c r="D27" t="inlineStr">
        <is>
          <t>East Asia</t>
        </is>
      </c>
      <c r="E27" t="inlineStr">
        <is>
          <t>provisional</t>
        </is>
      </c>
      <c r="F27" t="inlineStr">
        <is>
          <t>secondary</t>
        </is>
      </c>
      <c r="G27" s="11">
        <f>IF(OR(City_Inputs!$M27="",Norm_Stats!$F$2="",Norm_Stats!$G$2="",Norm_Stats!$G$2=Norm_Stats!$F$2),"",MAX(0,MIN(100,100*(MIN(MAX(City_Inputs!$M27,Norm_Stats!$F$2),Norm_Stats!$G$2)-Norm_Stats!$F$2)/(Norm_Stats!$G$2-Norm_Stats!$F$2))))</f>
        <v/>
      </c>
      <c r="H27" s="14">
        <f>IF(G27="","",1)</f>
        <v/>
      </c>
      <c r="I27" s="11">
        <f>IF(OR(City_Inputs!$N27="",Norm_Stats!$F$3="",Norm_Stats!$G$3="",Norm_Stats!$G$3=Norm_Stats!$F$3),"",MAX(0,MIN(100,100*(Norm_Stats!$G$3-MIN(MAX(City_Inputs!$N27,Norm_Stats!$F$3),Norm_Stats!$G$3))/(Norm_Stats!$G$3-Norm_Stats!$F$3))))</f>
        <v/>
      </c>
      <c r="J27" s="14">
        <f>IF(I27="","",1)</f>
        <v/>
      </c>
      <c r="K27" s="11">
        <f>IF(OR(City_Inputs!$P27="",Norm_Stats!$F$4="",Norm_Stats!$G$4="",Norm_Stats!$G$4=Norm_Stats!$F$4),"",MAX(0,MIN(100,100*(Norm_Stats!$G$4-MIN(MAX(City_Inputs!$P27,Norm_Stats!$F$4),Norm_Stats!$G$4))/(Norm_Stats!$G$4-Norm_Stats!$F$4))))</f>
        <v/>
      </c>
      <c r="L27" s="14">
        <f>IF(K27="","",1)</f>
        <v/>
      </c>
      <c r="M27" s="11">
        <f>IF(OR(City_Inputs!$Q27="",Norm_Stats!$F$5="",Norm_Stats!$G$5="",Norm_Stats!$G$5=Norm_Stats!$F$5),"",MAX(0,MIN(100,100*(Norm_Stats!$G$5-MIN(MAX(City_Inputs!$Q27,Norm_Stats!$F$5),Norm_Stats!$G$5))/(Norm_Stats!$G$5-Norm_Stats!$F$5))))</f>
        <v/>
      </c>
      <c r="N27" s="14">
        <f>IF(M27="","",1)</f>
        <v/>
      </c>
      <c r="O27" s="11">
        <f>IF(OR(City_Inputs!$R27="",Norm_Stats!$F$6="",Norm_Stats!$G$6="",Norm_Stats!$G$6=Norm_Stats!$F$6),"",MAX(0,MIN(100,100*(Norm_Stats!$G$6-MIN(MAX(City_Inputs!$R27,Norm_Stats!$F$6),Norm_Stats!$G$6))/(Norm_Stats!$G$6-Norm_Stats!$F$6))))</f>
        <v/>
      </c>
      <c r="P27" s="14">
        <f>IF(O27="","",1)</f>
        <v/>
      </c>
      <c r="Q27" s="15">
        <f>IF((IF(G27="",0,9)+IF(I27="",0,5)+IF(K27="",0,4)+IF(M27="",0,4)+IF(O27="",0,5))=0,"",(IF(G27="",0,G27*9)+IF(I27="",0,I27*5)+IF(K27="",0,K27*4)+IF(M27="",0,M27*4)+IF(O27="",0,O27*5))/(IF(G27="",0,9)+IF(I27="",0,5)+IF(K27="",0,4)+IF(M27="",0,4)+IF(O27="",0,5)))</f>
        <v/>
      </c>
      <c r="R27" s="14">
        <f>IF((IF(H27="",0,9)+IF(J27="",0,5)+IF(L27="",0,4)+IF(N27="",0,4)+IF(P27="",0,5))=0,"",(IF(H27="",0,H27*9)+IF(J27="",0,J27*5)+IF(L27="",0,L27*4)+IF(N27="",0,N27*4)+IF(P27="",0,P27*5))/27)</f>
        <v/>
      </c>
      <c r="S27" s="11">
        <f>IF(OR(City_Inputs!$S27="",Norm_Stats!$F$7="",Norm_Stats!$G$7="",Norm_Stats!$G$7=Norm_Stats!$F$7),"",MAX(0,MIN(100,100*(Norm_Stats!$G$7-MIN(MAX(City_Inputs!$S27,Norm_Stats!$F$7),Norm_Stats!$G$7))/(Norm_Stats!$G$7-Norm_Stats!$F$7))))</f>
        <v/>
      </c>
      <c r="T27" s="14">
        <f>IF(S27="","",1)</f>
        <v/>
      </c>
      <c r="U27" s="11">
        <f>IF(OR(City_Inputs!$T27="",Norm_Stats!$F$8="",Norm_Stats!$G$8="",Norm_Stats!$G$8=Norm_Stats!$F$8),"",MAX(0,MIN(100,100*(MIN(MAX(City_Inputs!$T27,Norm_Stats!$F$8),Norm_Stats!$G$8)-Norm_Stats!$F$8)/(Norm_Stats!$G$8-Norm_Stats!$F$8))))</f>
        <v/>
      </c>
      <c r="V27" s="14">
        <f>IF(U27="","",1)</f>
        <v/>
      </c>
      <c r="W27" s="11">
        <f>IF(OR(City_Inputs!$U27="",Norm_Stats!$F$9="",Norm_Stats!$G$9="",Norm_Stats!$G$9=Norm_Stats!$F$9),"",MAX(0,MIN(100,100*(Norm_Stats!$G$9-MIN(MAX(City_Inputs!$U27,Norm_Stats!$F$9),Norm_Stats!$G$9))/(Norm_Stats!$G$9-Norm_Stats!$F$9))))</f>
        <v/>
      </c>
      <c r="X27" s="14">
        <f>IF(W27="","",1)</f>
        <v/>
      </c>
      <c r="Y27" s="11">
        <f>IF(OR(City_Inputs!$V27="",Norm_Stats!$F$10="",Norm_Stats!$G$10="",Norm_Stats!$G$10=Norm_Stats!$F$10),"",MAX(0,MIN(100,100*(MIN(MAX(City_Inputs!$V27,Norm_Stats!$F$10),Norm_Stats!$G$10)-Norm_Stats!$F$10)/(Norm_Stats!$G$10-Norm_Stats!$F$10))))</f>
        <v/>
      </c>
      <c r="Z27" s="14">
        <f>IF(Y27="","",1)</f>
        <v/>
      </c>
      <c r="AA27" s="11">
        <f>IF(OR(City_Inputs!$W27="",Norm_Stats!$F$11="",Norm_Stats!$G$11="",Norm_Stats!$G$11=Norm_Stats!$F$11),"",MAX(0,MIN(100,100*(MIN(MAX(City_Inputs!$W27,Norm_Stats!$F$11),Norm_Stats!$G$11)-Norm_Stats!$F$11)/(Norm_Stats!$G$11-Norm_Stats!$F$11))))</f>
        <v/>
      </c>
      <c r="AB27" s="14">
        <f>IF(AA27="","",1)</f>
        <v/>
      </c>
      <c r="AC27" s="11">
        <f>IF(OR(City_Inputs!$X27="",Norm_Stats!$F$12="",Norm_Stats!$G$12="",Norm_Stats!$G$12=Norm_Stats!$F$12),"",MAX(0,MIN(100,100*(MIN(MAX(City_Inputs!$X27,Norm_Stats!$F$12),Norm_Stats!$G$12)-Norm_Stats!$F$12)/(Norm_Stats!$G$12-Norm_Stats!$F$12))))</f>
        <v/>
      </c>
      <c r="AD27" s="11">
        <f>IF(AC27="","",1)</f>
        <v/>
      </c>
      <c r="AE27" s="15">
        <f>IF((IF(S27="",0,5)+IF(U27="",0,5)+IF(W27="",0,4)+IF(Y27="",0,4)+IF(AA27="",0,4)+IF(AC27="",0,5))=0,"",(IF(S27="",0,S27*5)+IF(U27="",0,U27*5)+IF(W27="",0,W27*4)+IF(Y27="",0,Y27*4)+IF(AA27="",0,AA27*4)+IF(AC27="",0,AC27*5))/(IF(S27="",0,5)+IF(U27="",0,5)+IF(W27="",0,4)+IF(Y27="",0,4)+IF(AA27="",0,4)+IF(AC27="",0,5)))</f>
        <v/>
      </c>
      <c r="AF27" s="14">
        <f>IF((IF(T27="",0,5)+IF(V27="",0,5)+IF(X27="",0,4)+IF(Z27="",0,4)+IF(AB27="",0,4)+IF(AD27="",0,5))=0,"",(IF(T27="",0,T27*5)+IF(V27="",0,V27*5)+IF(X27="",0,X27*4)+IF(Z27="",0,Z27*4)+IF(AB27="",0,AB27*4)+IF(AD27="",0,AD27*5))/27)</f>
        <v/>
      </c>
      <c r="AG27" s="11">
        <f>IF(OR(City_Inputs!$Y27="",Norm_Stats!$F$13="",Norm_Stats!$G$13="",Norm_Stats!$G$13=Norm_Stats!$F$13),"",MAX(0,MIN(100,100*(MIN(MAX(City_Inputs!$Y27,Norm_Stats!$F$13),Norm_Stats!$G$13)-Norm_Stats!$F$13)/(Norm_Stats!$G$13-Norm_Stats!$F$13))))</f>
        <v/>
      </c>
      <c r="AH27" s="14">
        <f>IF(AG27="","",1)</f>
        <v/>
      </c>
      <c r="AI27" s="11">
        <f>IF(OR(City_Inputs!$Z27="",Norm_Stats!$F$14="",Norm_Stats!$G$14="",Norm_Stats!$G$14=Norm_Stats!$F$14),"",MAX(0,MIN(100,100*(MIN(MAX(City_Inputs!$Z27,Norm_Stats!$F$14),Norm_Stats!$G$14)-Norm_Stats!$F$14)/(Norm_Stats!$G$14-Norm_Stats!$F$14))))</f>
        <v/>
      </c>
      <c r="AJ27" s="14">
        <f>IF(AI27="","",1)</f>
        <v/>
      </c>
      <c r="AK27" s="11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(IF(OR(City_Inputs!$AA27="",Norm_Stats!$F$15="",Norm_Stats!$G$15="",Norm_Stats!$G$15=Norm_Stats!$F$15),"",MAX(0,MIN(100,100*(MIN(MAX(City_Inputs!$AA27,Norm_Stats!$F$15),Norm_Stats!$G$15)-Norm_Stats!$F$15)/(Norm_Stats!$G$15-Norm_Stats!$F$15)))))*0.7)+IF((IF(OR(City_Inputs!$AL27="",Norm_Stats!$F$16="",Norm_Stats!$G$16="",Norm_Stats!$G$16=Norm_Stats!$F$16),"",MAX(0,MIN(100,100*(Norm_Stats!$G$16-MIN(MAX(City_Inputs!$AL27,Norm_Stats!$F$16),Norm_Stats!$G$16))/(Norm_Stats!$G$16-Norm_Stats!$F$16)))))="",0,(IF(OR(City_Inputs!$AL27="",Norm_Stats!$F$16="",Norm_Stats!$G$16="",Norm_Stats!$G$16=Norm_Stats!$F$16),"",MAX(0,MIN(100,100*(Norm_Stats!$G$16-MIN(MAX(City_Inputs!$AL27,Norm_Stats!$F$16),Norm_Stats!$G$16))/(Norm_Stats!$G$16-Norm_Stats!$F$16)))))*0.3))/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L27" s="14">
        <f>IF(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=0,"",(IF((IF(OR(City_Inputs!$AA27="",Norm_Stats!$F$15="",Norm_Stats!$G$15="",Norm_Stats!$G$15=Norm_Stats!$F$15),"",MAX(0,MIN(100,100*(MIN(MAX(City_Inputs!$AA27,Norm_Stats!$F$15),Norm_Stats!$G$15)-Norm_Stats!$F$15)/(Norm_Stats!$G$15-Norm_Stats!$F$15)))))="",0,0.7)+IF((IF(OR(City_Inputs!$AL27="",Norm_Stats!$F$16="",Norm_Stats!$G$16="",Norm_Stats!$G$16=Norm_Stats!$F$16),"",MAX(0,MIN(100,100*(Norm_Stats!$G$16-MIN(MAX(City_Inputs!$AL27,Norm_Stats!$F$16),Norm_Stats!$G$16))/(Norm_Stats!$G$16-Norm_Stats!$F$16)))))="",0,0.3)))</f>
        <v/>
      </c>
      <c r="AM27" s="15">
        <f>IF((IF(AG27="",0,8)+IF(AI27="",0,6)+IF(AK27="",0,4))=0,"",(IF(AG27="",0,AG27*8)+IF(AI27="",0,AI27*6)+IF(AK27="",0,AK27*4))/(IF(AG27="",0,8)+IF(AI27="",0,6)+IF(AK27="",0,4)))</f>
        <v/>
      </c>
      <c r="AN27" s="14">
        <f>IF((IF(AH27="",0,8)+IF(AJ27="",0,6)+IF(AL27="",0,4))=0,"",(IF(AH27="",0,AH27*8)+IF(AJ27="",0,AJ27*6)+IF(AL27="",0,AL27*4))/18)</f>
        <v/>
      </c>
      <c r="AO27" s="11">
        <f>IF(OR(City_Inputs!$AB27="",Norm_Stats!$F$17="",Norm_Stats!$G$17="",Norm_Stats!$G$17=Norm_Stats!$F$17),"",MAX(0,MIN(100,100*(MIN(MAX(City_Inputs!$AB27,Norm_Stats!$F$17),Norm_Stats!$G$17)-Norm_Stats!$F$17)/(Norm_Stats!$G$17-Norm_Stats!$F$17))))</f>
        <v/>
      </c>
      <c r="AP27" s="14">
        <f>IF(AO27="","",1)</f>
        <v/>
      </c>
      <c r="AQ27" s="11">
        <f>IF(OR(City_Inputs!$AC27="",Norm_Stats!$F$18="",Norm_Stats!$G$18="",Norm_Stats!$G$18=Norm_Stats!$F$18),"",MAX(0,MIN(100,100*(MIN(MAX(City_Inputs!$AC27,Norm_Stats!$F$18),Norm_Stats!$G$18)-Norm_Stats!$F$18)/(Norm_Stats!$G$18-Norm_Stats!$F$18))))</f>
        <v/>
      </c>
      <c r="AR27" s="14">
        <f>IF(AQ27="","",1)</f>
        <v/>
      </c>
      <c r="AS27" s="11">
        <f>IF(OR(City_Inputs!$AD27="",Norm_Stats!$F$19="",Norm_Stats!$G$19="",Norm_Stats!$G$19=Norm_Stats!$F$19),"",MAX(0,MIN(100,100*(MIN(MAX(City_Inputs!$AD27,Norm_Stats!$F$19),Norm_Stats!$G$19)-Norm_Stats!$F$19)/(Norm_Stats!$G$19-Norm_Stats!$F$19))))</f>
        <v/>
      </c>
      <c r="AT27" s="14">
        <f>IF(AS27="","",1)</f>
        <v/>
      </c>
      <c r="AU27" s="11">
        <f>IF(OR(City_Inputs!$BJ27="",Norm_Stats!$F$26="",Norm_Stats!$G$26="",Norm_Stats!$G$26=Norm_Stats!$F$26),"",MAX(0,MIN(100,100*(MIN(MAX(City_Inputs!$BJ27,Norm_Stats!$F$26),Norm_Stats!$G$26)-Norm_Stats!$F$26)/(Norm_Stats!$G$26-Norm_Stats!$F$26))))</f>
        <v/>
      </c>
      <c r="AV27" s="11">
        <f>IF(AU27="","",1)</f>
        <v/>
      </c>
      <c r="AW27" s="15">
        <f>IF((IF(AO27="",0,5)+IF(AQ27="",0,5)+IF(AS27="",0,5)+IF(AU27="",0,4))=0,"",(IF(AO27="",0,AO27*5)+IF(AQ27="",0,AQ27*5)+IF(AS27="",0,AS27*5)+IF(AU27="",0,AU27*4))/(IF(AO27="",0,5)+IF(AQ27="",0,5)+IF(AS27="",0,5)+IF(AU27="",0,4)))</f>
        <v/>
      </c>
      <c r="AX27" s="14">
        <f>IF((IF(AP27="",0,5)+IF(AR27="",0,5)+IF(AT27="",0,5)+IF(AV27="",0,4))=0,"",(IF(AP27="",0,AP27*5)+IF(AR27="",0,AR27*5)+IF(AT27="",0,AT27*5)+IF(AV27="",0,AV27*4))/19)</f>
        <v/>
      </c>
      <c r="AY27" s="11">
        <f>IF(OR(City_Inputs!$AE27="",Norm_Stats!$F$20="",Norm_Stats!$G$20="",Norm_Stats!$G$20=Norm_Stats!$F$20),"",MAX(0,MIN(100,100*(MIN(MAX(City_Inputs!$AE27,Norm_Stats!$F$20),Norm_Stats!$G$20)-Norm_Stats!$F$20)/(Norm_Stats!$G$20-Norm_Stats!$F$20))))</f>
        <v/>
      </c>
      <c r="AZ27" s="14">
        <f>IF(AY27="","",1)</f>
        <v/>
      </c>
      <c r="BA27" s="11">
        <f>IF(OR(City_Inputs!$AF27="",Norm_Stats!$F$21="",Norm_Stats!$G$21="",Norm_Stats!$G$21=Norm_Stats!$F$21),"",MAX(0,MIN(100,100*(MIN(MAX(City_Inputs!$AF27,Norm_Stats!$F$21),Norm_Stats!$G$21)-Norm_Stats!$F$21)/(Norm_Stats!$G$21-Norm_Stats!$F$21))))</f>
        <v/>
      </c>
      <c r="BB27" s="14">
        <f>IF(BA27="","",1)</f>
        <v/>
      </c>
      <c r="BC27" s="11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(IF(OR(City_Inputs!$AG27="",Norm_Stats!$F$22="",Norm_Stats!$G$22="",Norm_Stats!$G$22=Norm_Stats!$F$22),"",MAX(0,MIN(100,100*(MIN(MAX(City_Inputs!$AG27,Norm_Stats!$F$22),Norm_Stats!$G$22)-Norm_Stats!$F$22)/(Norm_Stats!$G$22-Norm_Stats!$F$22)))))*0.5)+IF((IF(OR(City_Inputs!$AJ27="",Norm_Stats!$F$23="",Norm_Stats!$G$23="",Norm_Stats!$G$23=Norm_Stats!$F$23),"",MAX(0,MIN(100,100*(MIN(MAX(City_Inputs!$AJ27,Norm_Stats!$F$23),Norm_Stats!$G$23)-Norm_Stats!$F$23)/(Norm_Stats!$G$23-Norm_Stats!$F$23)))))="",0,(IF(OR(City_Inputs!$AJ27="",Norm_Stats!$F$23="",Norm_Stats!$G$23="",Norm_Stats!$G$23=Norm_Stats!$F$23),"",MAX(0,MIN(100,100*(MIN(MAX(City_Inputs!$AJ27,Norm_Stats!$F$23),Norm_Stats!$G$23)-Norm_Stats!$F$23)/(Norm_Stats!$G$23-Norm_Stats!$F$23)))))*0.3)+IF((IF(OR(City_Inputs!$AK27="",Norm_Stats!$F$24="",Norm_Stats!$G$24="",Norm_Stats!$G$24=Norm_Stats!$F$24),"",MAX(0,MIN(100,100*(MIN(MAX(City_Inputs!$AK27,Norm_Stats!$F$24),Norm_Stats!$G$24)-Norm_Stats!$F$24)/(Norm_Stats!$G$24-Norm_Stats!$F$24)))))="",0,(IF(OR(City_Inputs!$AK27="",Norm_Stats!$F$24="",Norm_Stats!$G$24="",Norm_Stats!$G$24=Norm_Stats!$F$24),"",MAX(0,MIN(100,100*(MIN(MAX(City_Inputs!$AK27,Norm_Stats!$F$24),Norm_Stats!$G$24)-Norm_Stats!$F$24)/(Norm_Stats!$G$24-Norm_Stats!$F$24)))))*0.2))/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D27" s="14">
        <f>IF(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=0,"",(IF((IF(OR(City_Inputs!$AG27="",Norm_Stats!$F$22="",Norm_Stats!$G$22="",Norm_Stats!$G$22=Norm_Stats!$F$22),"",MAX(0,MIN(100,100*(MIN(MAX(City_Inputs!$AG27,Norm_Stats!$F$22),Norm_Stats!$G$22)-Norm_Stats!$F$22)/(Norm_Stats!$G$22-Norm_Stats!$F$22)))))="",0,0.5)+IF((IF(OR(City_Inputs!$AJ27="",Norm_Stats!$F$23="",Norm_Stats!$G$23="",Norm_Stats!$G$23=Norm_Stats!$F$23),"",MAX(0,MIN(100,100*(MIN(MAX(City_Inputs!$AJ27,Norm_Stats!$F$23),Norm_Stats!$G$23)-Norm_Stats!$F$23)/(Norm_Stats!$G$23-Norm_Stats!$F$23)))))="",0,0.3)+IF((IF(OR(City_Inputs!$AK27="",Norm_Stats!$F$24="",Norm_Stats!$G$24="",Norm_Stats!$G$24=Norm_Stats!$F$24),"",MAX(0,MIN(100,100*(MIN(MAX(City_Inputs!$AK27,Norm_Stats!$F$24),Norm_Stats!$G$24)-Norm_Stats!$F$24)/(Norm_Stats!$G$24-Norm_Stats!$F$24)))))="",0,0.2)))</f>
        <v/>
      </c>
      <c r="BE27" s="11">
        <f>IF(OR(City_Inputs!$AH27="",Norm_Stats!$F$25="",Norm_Stats!$G$25="",Norm_Stats!$G$25=Norm_Stats!$F$25),"",MAX(0,MIN(100,100*(Norm_Stats!$G$25-MIN(MAX(City_Inputs!$AH27,Norm_Stats!$F$25),Norm_Stats!$G$25))/(Norm_Stats!$G$25-Norm_Stats!$F$25))))</f>
        <v/>
      </c>
      <c r="BF27" s="14">
        <f>IF(BE27="","",1)</f>
        <v/>
      </c>
      <c r="BG27" s="15">
        <f>IF((IF(AY27="",0,6)+IF(BA27="",0,5)+IF(BC27="",0,5)+IF(BE27="",0,4))=0,"",(IF(AY27="",0,AY27*6)+IF(BA27="",0,BA27*5)+IF(BC27="",0,BC27*5)+IF(BE27="",0,BE27*4))/(IF(AY27="",0,6)+IF(BA27="",0,5)+IF(BC27="",0,5)+IF(BE27="",0,4)))</f>
        <v/>
      </c>
      <c r="BH27" s="14">
        <f>IF((IF(AZ27="",0,6)+IF(BB27="",0,5)+IF(BD27="",0,5)+IF(BF27="",0,4))=0,"",(IF(AZ27="",0,AZ27*6)+IF(BB27="",0,BB27*5)+IF(BD27="",0,BD27*5)+IF(BF27="",0,BF27*4))/20)</f>
        <v/>
      </c>
      <c r="BI27" s="14">
        <f>IF(AND(R27="",AF27="",AN27="",AX27="",BH27=""),"",((R27*25)+(AF27*22)+(AN27*18)+(AX27*15)+(BH27*20))/100)</f>
        <v/>
      </c>
      <c r="BJ27" s="11">
        <f>IF(BI27="","",IF(BI27&gt;=0.75,"A",IF(BI27&gt;=0.5,"B",IF(BI27&gt;=0.35,"C","Watchlist"))))</f>
        <v/>
      </c>
      <c r="BK27" s="11">
        <f>IF(OR(BI27="",BI27&lt;0.5,R27="",R27&lt;0.35,AF27="",AF27&lt;0.35,AN27="",AN27&lt;0.35,AX27="",AX27&lt;0.35,BH27="",BH27&lt;0.35),"Watchlist","Ranked")</f>
        <v/>
      </c>
      <c r="BL27" s="15">
        <f>IF(AND(Q27="",AE27="",AM27="",AW27="",BG27=""),"",(IF(Q27="",0,Q27*25)+IF(AE27="",0,AE27*22)+IF(AM27="",0,AM27*18)+IF(AW27="",0,AW27*15)+IF(BG27="",0,BG27*20))/(IF(Q27="",0,25)+IF(AE27="",0,22)+IF(AM27="",0,18)+IF(AW27="",0,15)+IF(BG27="",0,20)))</f>
        <v/>
      </c>
      <c r="BM27" s="11">
        <f>IF(BK27="Ranked",1+COUNTIFS($BK$2:$BK$158,"Ranked",$BL$2:$BL$158,"&gt;"&amp;BL27),"")</f>
        <v/>
      </c>
      <c r="BN27" s="11">
        <f>City_Inputs!$AI27</f>
        <v/>
      </c>
    </row>
    <row r="28">
      <c r="A28" t="inlineStr">
        <is>
          <t>in-bengaluru</t>
        </is>
      </c>
      <c r="B28" t="inlineStr">
        <is>
          <t>Bengaluru</t>
        </is>
      </c>
      <c r="C28" t="inlineStr">
        <is>
          <t>India</t>
        </is>
      </c>
      <c r="D28" t="inlineStr">
        <is>
          <t>South Asia</t>
        </is>
      </c>
      <c r="E28" t="inlineStr">
        <is>
          <t>locked</t>
        </is>
      </c>
      <c r="F28" t="inlineStr">
        <is>
          <t>primary</t>
        </is>
      </c>
      <c r="G28" s="11">
        <f>IF(OR(City_Inputs!$M28="",Norm_Stats!$F$2="",Norm_Stats!$G$2="",Norm_Stats!$G$2=Norm_Stats!$F$2),"",MAX(0,MIN(100,100*(MIN(MAX(City_Inputs!$M28,Norm_Stats!$F$2),Norm_Stats!$G$2)-Norm_Stats!$F$2)/(Norm_Stats!$G$2-Norm_Stats!$F$2))))</f>
        <v/>
      </c>
      <c r="H28" s="14">
        <f>IF(G28="","",1)</f>
        <v/>
      </c>
      <c r="I28" s="11">
        <f>IF(OR(City_Inputs!$N28="",Norm_Stats!$F$3="",Norm_Stats!$G$3="",Norm_Stats!$G$3=Norm_Stats!$F$3),"",MAX(0,MIN(100,100*(Norm_Stats!$G$3-MIN(MAX(City_Inputs!$N28,Norm_Stats!$F$3),Norm_Stats!$G$3))/(Norm_Stats!$G$3-Norm_Stats!$F$3))))</f>
        <v/>
      </c>
      <c r="J28" s="14">
        <f>IF(I28="","",1)</f>
        <v/>
      </c>
      <c r="K28" s="11">
        <f>IF(OR(City_Inputs!$P28="",Norm_Stats!$F$4="",Norm_Stats!$G$4="",Norm_Stats!$G$4=Norm_Stats!$F$4),"",MAX(0,MIN(100,100*(Norm_Stats!$G$4-MIN(MAX(City_Inputs!$P28,Norm_Stats!$F$4),Norm_Stats!$G$4))/(Norm_Stats!$G$4-Norm_Stats!$F$4))))</f>
        <v/>
      </c>
      <c r="L28" s="14">
        <f>IF(K28="","",1)</f>
        <v/>
      </c>
      <c r="M28" s="11">
        <f>IF(OR(City_Inputs!$Q28="",Norm_Stats!$F$5="",Norm_Stats!$G$5="",Norm_Stats!$G$5=Norm_Stats!$F$5),"",MAX(0,MIN(100,100*(Norm_Stats!$G$5-MIN(MAX(City_Inputs!$Q28,Norm_Stats!$F$5),Norm_Stats!$G$5))/(Norm_Stats!$G$5-Norm_Stats!$F$5))))</f>
        <v/>
      </c>
      <c r="N28" s="14">
        <f>IF(M28="","",1)</f>
        <v/>
      </c>
      <c r="O28" s="11">
        <f>IF(OR(City_Inputs!$R28="",Norm_Stats!$F$6="",Norm_Stats!$G$6="",Norm_Stats!$G$6=Norm_Stats!$F$6),"",MAX(0,MIN(100,100*(Norm_Stats!$G$6-MIN(MAX(City_Inputs!$R28,Norm_Stats!$F$6),Norm_Stats!$G$6))/(Norm_Stats!$G$6-Norm_Stats!$F$6))))</f>
        <v/>
      </c>
      <c r="P28" s="14">
        <f>IF(O28="","",1)</f>
        <v/>
      </c>
      <c r="Q28" s="15">
        <f>IF((IF(G28="",0,9)+IF(I28="",0,5)+IF(K28="",0,4)+IF(M28="",0,4)+IF(O28="",0,5))=0,"",(IF(G28="",0,G28*9)+IF(I28="",0,I28*5)+IF(K28="",0,K28*4)+IF(M28="",0,M28*4)+IF(O28="",0,O28*5))/(IF(G28="",0,9)+IF(I28="",0,5)+IF(K28="",0,4)+IF(M28="",0,4)+IF(O28="",0,5)))</f>
        <v/>
      </c>
      <c r="R28" s="14">
        <f>IF((IF(H28="",0,9)+IF(J28="",0,5)+IF(L28="",0,4)+IF(N28="",0,4)+IF(P28="",0,5))=0,"",(IF(H28="",0,H28*9)+IF(J28="",0,J28*5)+IF(L28="",0,L28*4)+IF(N28="",0,N28*4)+IF(P28="",0,P28*5))/27)</f>
        <v/>
      </c>
      <c r="S28" s="11">
        <f>IF(OR(City_Inputs!$S28="",Norm_Stats!$F$7="",Norm_Stats!$G$7="",Norm_Stats!$G$7=Norm_Stats!$F$7),"",MAX(0,MIN(100,100*(Norm_Stats!$G$7-MIN(MAX(City_Inputs!$S28,Norm_Stats!$F$7),Norm_Stats!$G$7))/(Norm_Stats!$G$7-Norm_Stats!$F$7))))</f>
        <v/>
      </c>
      <c r="T28" s="14">
        <f>IF(S28="","",1)</f>
        <v/>
      </c>
      <c r="U28" s="11">
        <f>IF(OR(City_Inputs!$T28="",Norm_Stats!$F$8="",Norm_Stats!$G$8="",Norm_Stats!$G$8=Norm_Stats!$F$8),"",MAX(0,MIN(100,100*(MIN(MAX(City_Inputs!$T28,Norm_Stats!$F$8),Norm_Stats!$G$8)-Norm_Stats!$F$8)/(Norm_Stats!$G$8-Norm_Stats!$F$8))))</f>
        <v/>
      </c>
      <c r="V28" s="14">
        <f>IF(U28="","",1)</f>
        <v/>
      </c>
      <c r="W28" s="11">
        <f>IF(OR(City_Inputs!$U28="",Norm_Stats!$F$9="",Norm_Stats!$G$9="",Norm_Stats!$G$9=Norm_Stats!$F$9),"",MAX(0,MIN(100,100*(Norm_Stats!$G$9-MIN(MAX(City_Inputs!$U28,Norm_Stats!$F$9),Norm_Stats!$G$9))/(Norm_Stats!$G$9-Norm_Stats!$F$9))))</f>
        <v/>
      </c>
      <c r="X28" s="14">
        <f>IF(W28="","",1)</f>
        <v/>
      </c>
      <c r="Y28" s="11">
        <f>IF(OR(City_Inputs!$V28="",Norm_Stats!$F$10="",Norm_Stats!$G$10="",Norm_Stats!$G$10=Norm_Stats!$F$10),"",MAX(0,MIN(100,100*(MIN(MAX(City_Inputs!$V28,Norm_Stats!$F$10),Norm_Stats!$G$10)-Norm_Stats!$F$10)/(Norm_Stats!$G$10-Norm_Stats!$F$10))))</f>
        <v/>
      </c>
      <c r="Z28" s="14">
        <f>IF(Y28="","",1)</f>
        <v/>
      </c>
      <c r="AA28" s="11">
        <f>IF(OR(City_Inputs!$W28="",Norm_Stats!$F$11="",Norm_Stats!$G$11="",Norm_Stats!$G$11=Norm_Stats!$F$11),"",MAX(0,MIN(100,100*(MIN(MAX(City_Inputs!$W28,Norm_Stats!$F$11),Norm_Stats!$G$11)-Norm_Stats!$F$11)/(Norm_Stats!$G$11-Norm_Stats!$F$11))))</f>
        <v/>
      </c>
      <c r="AB28" s="14">
        <f>IF(AA28="","",1)</f>
        <v/>
      </c>
      <c r="AC28" s="11">
        <f>IF(OR(City_Inputs!$X28="",Norm_Stats!$F$12="",Norm_Stats!$G$12="",Norm_Stats!$G$12=Norm_Stats!$F$12),"",MAX(0,MIN(100,100*(MIN(MAX(City_Inputs!$X28,Norm_Stats!$F$12),Norm_Stats!$G$12)-Norm_Stats!$F$12)/(Norm_Stats!$G$12-Norm_Stats!$F$12))))</f>
        <v/>
      </c>
      <c r="AD28" s="11">
        <f>IF(AC28="","",1)</f>
        <v/>
      </c>
      <c r="AE28" s="15">
        <f>IF((IF(S28="",0,5)+IF(U28="",0,5)+IF(W28="",0,4)+IF(Y28="",0,4)+IF(AA28="",0,4)+IF(AC28="",0,5))=0,"",(IF(S28="",0,S28*5)+IF(U28="",0,U28*5)+IF(W28="",0,W28*4)+IF(Y28="",0,Y28*4)+IF(AA28="",0,AA28*4)+IF(AC28="",0,AC28*5))/(IF(S28="",0,5)+IF(U28="",0,5)+IF(W28="",0,4)+IF(Y28="",0,4)+IF(AA28="",0,4)+IF(AC28="",0,5)))</f>
        <v/>
      </c>
      <c r="AF28" s="14">
        <f>IF((IF(T28="",0,5)+IF(V28="",0,5)+IF(X28="",0,4)+IF(Z28="",0,4)+IF(AB28="",0,4)+IF(AD28="",0,5))=0,"",(IF(T28="",0,T28*5)+IF(V28="",0,V28*5)+IF(X28="",0,X28*4)+IF(Z28="",0,Z28*4)+IF(AB28="",0,AB28*4)+IF(AD28="",0,AD28*5))/27)</f>
        <v/>
      </c>
      <c r="AG28" s="11">
        <f>IF(OR(City_Inputs!$Y28="",Norm_Stats!$F$13="",Norm_Stats!$G$13="",Norm_Stats!$G$13=Norm_Stats!$F$13),"",MAX(0,MIN(100,100*(MIN(MAX(City_Inputs!$Y28,Norm_Stats!$F$13),Norm_Stats!$G$13)-Norm_Stats!$F$13)/(Norm_Stats!$G$13-Norm_Stats!$F$13))))</f>
        <v/>
      </c>
      <c r="AH28" s="14">
        <f>IF(AG28="","",1)</f>
        <v/>
      </c>
      <c r="AI28" s="11">
        <f>IF(OR(City_Inputs!$Z28="",Norm_Stats!$F$14="",Norm_Stats!$G$14="",Norm_Stats!$G$14=Norm_Stats!$F$14),"",MAX(0,MIN(100,100*(MIN(MAX(City_Inputs!$Z28,Norm_Stats!$F$14),Norm_Stats!$G$14)-Norm_Stats!$F$14)/(Norm_Stats!$G$14-Norm_Stats!$F$14))))</f>
        <v/>
      </c>
      <c r="AJ28" s="14">
        <f>IF(AI28="","",1)</f>
        <v/>
      </c>
      <c r="AK28" s="11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(IF(OR(City_Inputs!$AA28="",Norm_Stats!$F$15="",Norm_Stats!$G$15="",Norm_Stats!$G$15=Norm_Stats!$F$15),"",MAX(0,MIN(100,100*(MIN(MAX(City_Inputs!$AA28,Norm_Stats!$F$15),Norm_Stats!$G$15)-Norm_Stats!$F$15)/(Norm_Stats!$G$15-Norm_Stats!$F$15)))))*0.7)+IF((IF(OR(City_Inputs!$AL28="",Norm_Stats!$F$16="",Norm_Stats!$G$16="",Norm_Stats!$G$16=Norm_Stats!$F$16),"",MAX(0,MIN(100,100*(Norm_Stats!$G$16-MIN(MAX(City_Inputs!$AL28,Norm_Stats!$F$16),Norm_Stats!$G$16))/(Norm_Stats!$G$16-Norm_Stats!$F$16)))))="",0,(IF(OR(City_Inputs!$AL28="",Norm_Stats!$F$16="",Norm_Stats!$G$16="",Norm_Stats!$G$16=Norm_Stats!$F$16),"",MAX(0,MIN(100,100*(Norm_Stats!$G$16-MIN(MAX(City_Inputs!$AL28,Norm_Stats!$F$16),Norm_Stats!$G$16))/(Norm_Stats!$G$16-Norm_Stats!$F$16)))))*0.3))/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L28" s="14">
        <f>IF(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=0,"",(IF((IF(OR(City_Inputs!$AA28="",Norm_Stats!$F$15="",Norm_Stats!$G$15="",Norm_Stats!$G$15=Norm_Stats!$F$15),"",MAX(0,MIN(100,100*(MIN(MAX(City_Inputs!$AA28,Norm_Stats!$F$15),Norm_Stats!$G$15)-Norm_Stats!$F$15)/(Norm_Stats!$G$15-Norm_Stats!$F$15)))))="",0,0.7)+IF((IF(OR(City_Inputs!$AL28="",Norm_Stats!$F$16="",Norm_Stats!$G$16="",Norm_Stats!$G$16=Norm_Stats!$F$16),"",MAX(0,MIN(100,100*(Norm_Stats!$G$16-MIN(MAX(City_Inputs!$AL28,Norm_Stats!$F$16),Norm_Stats!$G$16))/(Norm_Stats!$G$16-Norm_Stats!$F$16)))))="",0,0.3)))</f>
        <v/>
      </c>
      <c r="AM28" s="15">
        <f>IF((IF(AG28="",0,8)+IF(AI28="",0,6)+IF(AK28="",0,4))=0,"",(IF(AG28="",0,AG28*8)+IF(AI28="",0,AI28*6)+IF(AK28="",0,AK28*4))/(IF(AG28="",0,8)+IF(AI28="",0,6)+IF(AK28="",0,4)))</f>
        <v/>
      </c>
      <c r="AN28" s="14">
        <f>IF((IF(AH28="",0,8)+IF(AJ28="",0,6)+IF(AL28="",0,4))=0,"",(IF(AH28="",0,AH28*8)+IF(AJ28="",0,AJ28*6)+IF(AL28="",0,AL28*4))/18)</f>
        <v/>
      </c>
      <c r="AO28" s="11">
        <f>IF(OR(City_Inputs!$AB28="",Norm_Stats!$F$17="",Norm_Stats!$G$17="",Norm_Stats!$G$17=Norm_Stats!$F$17),"",MAX(0,MIN(100,100*(MIN(MAX(City_Inputs!$AB28,Norm_Stats!$F$17),Norm_Stats!$G$17)-Norm_Stats!$F$17)/(Norm_Stats!$G$17-Norm_Stats!$F$17))))</f>
        <v/>
      </c>
      <c r="AP28" s="14">
        <f>IF(AO28="","",1)</f>
        <v/>
      </c>
      <c r="AQ28" s="11">
        <f>IF(OR(City_Inputs!$AC28="",Norm_Stats!$F$18="",Norm_Stats!$G$18="",Norm_Stats!$G$18=Norm_Stats!$F$18),"",MAX(0,MIN(100,100*(MIN(MAX(City_Inputs!$AC28,Norm_Stats!$F$18),Norm_Stats!$G$18)-Norm_Stats!$F$18)/(Norm_Stats!$G$18-Norm_Stats!$F$18))))</f>
        <v/>
      </c>
      <c r="AR28" s="14">
        <f>IF(AQ28="","",1)</f>
        <v/>
      </c>
      <c r="AS28" s="11">
        <f>IF(OR(City_Inputs!$AD28="",Norm_Stats!$F$19="",Norm_Stats!$G$19="",Norm_Stats!$G$19=Norm_Stats!$F$19),"",MAX(0,MIN(100,100*(MIN(MAX(City_Inputs!$AD28,Norm_Stats!$F$19),Norm_Stats!$G$19)-Norm_Stats!$F$19)/(Norm_Stats!$G$19-Norm_Stats!$F$19))))</f>
        <v/>
      </c>
      <c r="AT28" s="14">
        <f>IF(AS28="","",1)</f>
        <v/>
      </c>
      <c r="AU28" s="11">
        <f>IF(OR(City_Inputs!$BJ28="",Norm_Stats!$F$26="",Norm_Stats!$G$26="",Norm_Stats!$G$26=Norm_Stats!$F$26),"",MAX(0,MIN(100,100*(MIN(MAX(City_Inputs!$BJ28,Norm_Stats!$F$26),Norm_Stats!$G$26)-Norm_Stats!$F$26)/(Norm_Stats!$G$26-Norm_Stats!$F$26))))</f>
        <v/>
      </c>
      <c r="AV28" s="11">
        <f>IF(AU28="","",1)</f>
        <v/>
      </c>
      <c r="AW28" s="15">
        <f>IF((IF(AO28="",0,5)+IF(AQ28="",0,5)+IF(AS28="",0,5)+IF(AU28="",0,4))=0,"",(IF(AO28="",0,AO28*5)+IF(AQ28="",0,AQ28*5)+IF(AS28="",0,AS28*5)+IF(AU28="",0,AU28*4))/(IF(AO28="",0,5)+IF(AQ28="",0,5)+IF(AS28="",0,5)+IF(AU28="",0,4)))</f>
        <v/>
      </c>
      <c r="AX28" s="14">
        <f>IF((IF(AP28="",0,5)+IF(AR28="",0,5)+IF(AT28="",0,5)+IF(AV28="",0,4))=0,"",(IF(AP28="",0,AP28*5)+IF(AR28="",0,AR28*5)+IF(AT28="",0,AT28*5)+IF(AV28="",0,AV28*4))/19)</f>
        <v/>
      </c>
      <c r="AY28" s="11">
        <f>IF(OR(City_Inputs!$AE28="",Norm_Stats!$F$20="",Norm_Stats!$G$20="",Norm_Stats!$G$20=Norm_Stats!$F$20),"",MAX(0,MIN(100,100*(MIN(MAX(City_Inputs!$AE28,Norm_Stats!$F$20),Norm_Stats!$G$20)-Norm_Stats!$F$20)/(Norm_Stats!$G$20-Norm_Stats!$F$20))))</f>
        <v/>
      </c>
      <c r="AZ28" s="14">
        <f>IF(AY28="","",1)</f>
        <v/>
      </c>
      <c r="BA28" s="11">
        <f>IF(OR(City_Inputs!$AF28="",Norm_Stats!$F$21="",Norm_Stats!$G$21="",Norm_Stats!$G$21=Norm_Stats!$F$21),"",MAX(0,MIN(100,100*(MIN(MAX(City_Inputs!$AF28,Norm_Stats!$F$21),Norm_Stats!$G$21)-Norm_Stats!$F$21)/(Norm_Stats!$G$21-Norm_Stats!$F$21))))</f>
        <v/>
      </c>
      <c r="BB28" s="14">
        <f>IF(BA28="","",1)</f>
        <v/>
      </c>
      <c r="BC28" s="11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(IF(OR(City_Inputs!$AG28="",Norm_Stats!$F$22="",Norm_Stats!$G$22="",Norm_Stats!$G$22=Norm_Stats!$F$22),"",MAX(0,MIN(100,100*(MIN(MAX(City_Inputs!$AG28,Norm_Stats!$F$22),Norm_Stats!$G$22)-Norm_Stats!$F$22)/(Norm_Stats!$G$22-Norm_Stats!$F$22)))))*0.5)+IF((IF(OR(City_Inputs!$AJ28="",Norm_Stats!$F$23="",Norm_Stats!$G$23="",Norm_Stats!$G$23=Norm_Stats!$F$23),"",MAX(0,MIN(100,100*(MIN(MAX(City_Inputs!$AJ28,Norm_Stats!$F$23),Norm_Stats!$G$23)-Norm_Stats!$F$23)/(Norm_Stats!$G$23-Norm_Stats!$F$23)))))="",0,(IF(OR(City_Inputs!$AJ28="",Norm_Stats!$F$23="",Norm_Stats!$G$23="",Norm_Stats!$G$23=Norm_Stats!$F$23),"",MAX(0,MIN(100,100*(MIN(MAX(City_Inputs!$AJ28,Norm_Stats!$F$23),Norm_Stats!$G$23)-Norm_Stats!$F$23)/(Norm_Stats!$G$23-Norm_Stats!$F$23)))))*0.3)+IF((IF(OR(City_Inputs!$AK28="",Norm_Stats!$F$24="",Norm_Stats!$G$24="",Norm_Stats!$G$24=Norm_Stats!$F$24),"",MAX(0,MIN(100,100*(MIN(MAX(City_Inputs!$AK28,Norm_Stats!$F$24),Norm_Stats!$G$24)-Norm_Stats!$F$24)/(Norm_Stats!$G$24-Norm_Stats!$F$24)))))="",0,(IF(OR(City_Inputs!$AK28="",Norm_Stats!$F$24="",Norm_Stats!$G$24="",Norm_Stats!$G$24=Norm_Stats!$F$24),"",MAX(0,MIN(100,100*(MIN(MAX(City_Inputs!$AK28,Norm_Stats!$F$24),Norm_Stats!$G$24)-Norm_Stats!$F$24)/(Norm_Stats!$G$24-Norm_Stats!$F$24)))))*0.2))/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D28" s="14">
        <f>IF(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=0,"",(IF((IF(OR(City_Inputs!$AG28="",Norm_Stats!$F$22="",Norm_Stats!$G$22="",Norm_Stats!$G$22=Norm_Stats!$F$22),"",MAX(0,MIN(100,100*(MIN(MAX(City_Inputs!$AG28,Norm_Stats!$F$22),Norm_Stats!$G$22)-Norm_Stats!$F$22)/(Norm_Stats!$G$22-Norm_Stats!$F$22)))))="",0,0.5)+IF((IF(OR(City_Inputs!$AJ28="",Norm_Stats!$F$23="",Norm_Stats!$G$23="",Norm_Stats!$G$23=Norm_Stats!$F$23),"",MAX(0,MIN(100,100*(MIN(MAX(City_Inputs!$AJ28,Norm_Stats!$F$23),Norm_Stats!$G$23)-Norm_Stats!$F$23)/(Norm_Stats!$G$23-Norm_Stats!$F$23)))))="",0,0.3)+IF((IF(OR(City_Inputs!$AK28="",Norm_Stats!$F$24="",Norm_Stats!$G$24="",Norm_Stats!$G$24=Norm_Stats!$F$24),"",MAX(0,MIN(100,100*(MIN(MAX(City_Inputs!$AK28,Norm_Stats!$F$24),Norm_Stats!$G$24)-Norm_Stats!$F$24)/(Norm_Stats!$G$24-Norm_Stats!$F$24)))))="",0,0.2)))</f>
        <v/>
      </c>
      <c r="BE28" s="11">
        <f>IF(OR(City_Inputs!$AH28="",Norm_Stats!$F$25="",Norm_Stats!$G$25="",Norm_Stats!$G$25=Norm_Stats!$F$25),"",MAX(0,MIN(100,100*(Norm_Stats!$G$25-MIN(MAX(City_Inputs!$AH28,Norm_Stats!$F$25),Norm_Stats!$G$25))/(Norm_Stats!$G$25-Norm_Stats!$F$25))))</f>
        <v/>
      </c>
      <c r="BF28" s="14">
        <f>IF(BE28="","",1)</f>
        <v/>
      </c>
      <c r="BG28" s="15">
        <f>IF((IF(AY28="",0,6)+IF(BA28="",0,5)+IF(BC28="",0,5)+IF(BE28="",0,4))=0,"",(IF(AY28="",0,AY28*6)+IF(BA28="",0,BA28*5)+IF(BC28="",0,BC28*5)+IF(BE28="",0,BE28*4))/(IF(AY28="",0,6)+IF(BA28="",0,5)+IF(BC28="",0,5)+IF(BE28="",0,4)))</f>
        <v/>
      </c>
      <c r="BH28" s="14">
        <f>IF((IF(AZ28="",0,6)+IF(BB28="",0,5)+IF(BD28="",0,5)+IF(BF28="",0,4))=0,"",(IF(AZ28="",0,AZ28*6)+IF(BB28="",0,BB28*5)+IF(BD28="",0,BD28*5)+IF(BF28="",0,BF28*4))/20)</f>
        <v/>
      </c>
      <c r="BI28" s="14">
        <f>IF(AND(R28="",AF28="",AN28="",AX28="",BH28=""),"",((R28*25)+(AF28*22)+(AN28*18)+(AX28*15)+(BH28*20))/100)</f>
        <v/>
      </c>
      <c r="BJ28" s="11">
        <f>IF(BI28="","",IF(BI28&gt;=0.75,"A",IF(BI28&gt;=0.5,"B",IF(BI28&gt;=0.35,"C","Watchlist"))))</f>
        <v/>
      </c>
      <c r="BK28" s="11">
        <f>IF(OR(BI28="",BI28&lt;0.5,R28="",R28&lt;0.35,AF28="",AF28&lt;0.35,AN28="",AN28&lt;0.35,AX28="",AX28&lt;0.35,BH28="",BH28&lt;0.35),"Watchlist","Ranked")</f>
        <v/>
      </c>
      <c r="BL28" s="15">
        <f>IF(AND(Q28="",AE28="",AM28="",AW28="",BG28=""),"",(IF(Q28="",0,Q28*25)+IF(AE28="",0,AE28*22)+IF(AM28="",0,AM28*18)+IF(AW28="",0,AW28*15)+IF(BG28="",0,BG28*20))/(IF(Q28="",0,25)+IF(AE28="",0,22)+IF(AM28="",0,18)+IF(AW28="",0,15)+IF(BG28="",0,20)))</f>
        <v/>
      </c>
      <c r="BM28" s="11">
        <f>IF(BK28="Ranked",1+COUNTIFS($BK$2:$BK$158,"Ranked",$BL$2:$BL$158,"&gt;"&amp;BL28),"")</f>
        <v/>
      </c>
      <c r="BN28" s="11">
        <f>City_Inputs!$AI28</f>
        <v/>
      </c>
    </row>
    <row r="29">
      <c r="A29" t="inlineStr">
        <is>
          <t>in-hyderabad</t>
        </is>
      </c>
      <c r="B29" t="inlineStr">
        <is>
          <t>Hyderabad</t>
        </is>
      </c>
      <c r="C29" t="inlineStr">
        <is>
          <t>India</t>
        </is>
      </c>
      <c r="D29" t="inlineStr">
        <is>
          <t>South Asia</t>
        </is>
      </c>
      <c r="E29" t="inlineStr">
        <is>
          <t>locked</t>
        </is>
      </c>
      <c r="F29" t="inlineStr">
        <is>
          <t>primary</t>
        </is>
      </c>
      <c r="G29" s="11">
        <f>IF(OR(City_Inputs!$M29="",Norm_Stats!$F$2="",Norm_Stats!$G$2="",Norm_Stats!$G$2=Norm_Stats!$F$2),"",MAX(0,MIN(100,100*(MIN(MAX(City_Inputs!$M29,Norm_Stats!$F$2),Norm_Stats!$G$2)-Norm_Stats!$F$2)/(Norm_Stats!$G$2-Norm_Stats!$F$2))))</f>
        <v/>
      </c>
      <c r="H29" s="14">
        <f>IF(G29="","",1)</f>
        <v/>
      </c>
      <c r="I29" s="11">
        <f>IF(OR(City_Inputs!$N29="",Norm_Stats!$F$3="",Norm_Stats!$G$3="",Norm_Stats!$G$3=Norm_Stats!$F$3),"",MAX(0,MIN(100,100*(Norm_Stats!$G$3-MIN(MAX(City_Inputs!$N29,Norm_Stats!$F$3),Norm_Stats!$G$3))/(Norm_Stats!$G$3-Norm_Stats!$F$3))))</f>
        <v/>
      </c>
      <c r="J29" s="14">
        <f>IF(I29="","",1)</f>
        <v/>
      </c>
      <c r="K29" s="11">
        <f>IF(OR(City_Inputs!$P29="",Norm_Stats!$F$4="",Norm_Stats!$G$4="",Norm_Stats!$G$4=Norm_Stats!$F$4),"",MAX(0,MIN(100,100*(Norm_Stats!$G$4-MIN(MAX(City_Inputs!$P29,Norm_Stats!$F$4),Norm_Stats!$G$4))/(Norm_Stats!$G$4-Norm_Stats!$F$4))))</f>
        <v/>
      </c>
      <c r="L29" s="14">
        <f>IF(K29="","",1)</f>
        <v/>
      </c>
      <c r="M29" s="11">
        <f>IF(OR(City_Inputs!$Q29="",Norm_Stats!$F$5="",Norm_Stats!$G$5="",Norm_Stats!$G$5=Norm_Stats!$F$5),"",MAX(0,MIN(100,100*(Norm_Stats!$G$5-MIN(MAX(City_Inputs!$Q29,Norm_Stats!$F$5),Norm_Stats!$G$5))/(Norm_Stats!$G$5-Norm_Stats!$F$5))))</f>
        <v/>
      </c>
      <c r="N29" s="14">
        <f>IF(M29="","",1)</f>
        <v/>
      </c>
      <c r="O29" s="11">
        <f>IF(OR(City_Inputs!$R29="",Norm_Stats!$F$6="",Norm_Stats!$G$6="",Norm_Stats!$G$6=Norm_Stats!$F$6),"",MAX(0,MIN(100,100*(Norm_Stats!$G$6-MIN(MAX(City_Inputs!$R29,Norm_Stats!$F$6),Norm_Stats!$G$6))/(Norm_Stats!$G$6-Norm_Stats!$F$6))))</f>
        <v/>
      </c>
      <c r="P29" s="14">
        <f>IF(O29="","",1)</f>
        <v/>
      </c>
      <c r="Q29" s="15">
        <f>IF((IF(G29="",0,9)+IF(I29="",0,5)+IF(K29="",0,4)+IF(M29="",0,4)+IF(O29="",0,5))=0,"",(IF(G29="",0,G29*9)+IF(I29="",0,I29*5)+IF(K29="",0,K29*4)+IF(M29="",0,M29*4)+IF(O29="",0,O29*5))/(IF(G29="",0,9)+IF(I29="",0,5)+IF(K29="",0,4)+IF(M29="",0,4)+IF(O29="",0,5)))</f>
        <v/>
      </c>
      <c r="R29" s="14">
        <f>IF((IF(H29="",0,9)+IF(J29="",0,5)+IF(L29="",0,4)+IF(N29="",0,4)+IF(P29="",0,5))=0,"",(IF(H29="",0,H29*9)+IF(J29="",0,J29*5)+IF(L29="",0,L29*4)+IF(N29="",0,N29*4)+IF(P29="",0,P29*5))/27)</f>
        <v/>
      </c>
      <c r="S29" s="11">
        <f>IF(OR(City_Inputs!$S29="",Norm_Stats!$F$7="",Norm_Stats!$G$7="",Norm_Stats!$G$7=Norm_Stats!$F$7),"",MAX(0,MIN(100,100*(Norm_Stats!$G$7-MIN(MAX(City_Inputs!$S29,Norm_Stats!$F$7),Norm_Stats!$G$7))/(Norm_Stats!$G$7-Norm_Stats!$F$7))))</f>
        <v/>
      </c>
      <c r="T29" s="14">
        <f>IF(S29="","",1)</f>
        <v/>
      </c>
      <c r="U29" s="11">
        <f>IF(OR(City_Inputs!$T29="",Norm_Stats!$F$8="",Norm_Stats!$G$8="",Norm_Stats!$G$8=Norm_Stats!$F$8),"",MAX(0,MIN(100,100*(MIN(MAX(City_Inputs!$T29,Norm_Stats!$F$8),Norm_Stats!$G$8)-Norm_Stats!$F$8)/(Norm_Stats!$G$8-Norm_Stats!$F$8))))</f>
        <v/>
      </c>
      <c r="V29" s="14">
        <f>IF(U29="","",1)</f>
        <v/>
      </c>
      <c r="W29" s="11">
        <f>IF(OR(City_Inputs!$U29="",Norm_Stats!$F$9="",Norm_Stats!$G$9="",Norm_Stats!$G$9=Norm_Stats!$F$9),"",MAX(0,MIN(100,100*(Norm_Stats!$G$9-MIN(MAX(City_Inputs!$U29,Norm_Stats!$F$9),Norm_Stats!$G$9))/(Norm_Stats!$G$9-Norm_Stats!$F$9))))</f>
        <v/>
      </c>
      <c r="X29" s="14">
        <f>IF(W29="","",1)</f>
        <v/>
      </c>
      <c r="Y29" s="11">
        <f>IF(OR(City_Inputs!$V29="",Norm_Stats!$F$10="",Norm_Stats!$G$10="",Norm_Stats!$G$10=Norm_Stats!$F$10),"",MAX(0,MIN(100,100*(MIN(MAX(City_Inputs!$V29,Norm_Stats!$F$10),Norm_Stats!$G$10)-Norm_Stats!$F$10)/(Norm_Stats!$G$10-Norm_Stats!$F$10))))</f>
        <v/>
      </c>
      <c r="Z29" s="14">
        <f>IF(Y29="","",1)</f>
        <v/>
      </c>
      <c r="AA29" s="11">
        <f>IF(OR(City_Inputs!$W29="",Norm_Stats!$F$11="",Norm_Stats!$G$11="",Norm_Stats!$G$11=Norm_Stats!$F$11),"",MAX(0,MIN(100,100*(MIN(MAX(City_Inputs!$W29,Norm_Stats!$F$11),Norm_Stats!$G$11)-Norm_Stats!$F$11)/(Norm_Stats!$G$11-Norm_Stats!$F$11))))</f>
        <v/>
      </c>
      <c r="AB29" s="14">
        <f>IF(AA29="","",1)</f>
        <v/>
      </c>
      <c r="AC29" s="11">
        <f>IF(OR(City_Inputs!$X29="",Norm_Stats!$F$12="",Norm_Stats!$G$12="",Norm_Stats!$G$12=Norm_Stats!$F$12),"",MAX(0,MIN(100,100*(MIN(MAX(City_Inputs!$X29,Norm_Stats!$F$12),Norm_Stats!$G$12)-Norm_Stats!$F$12)/(Norm_Stats!$G$12-Norm_Stats!$F$12))))</f>
        <v/>
      </c>
      <c r="AD29" s="11">
        <f>IF(AC29="","",1)</f>
        <v/>
      </c>
      <c r="AE29" s="15">
        <f>IF((IF(S29="",0,5)+IF(U29="",0,5)+IF(W29="",0,4)+IF(Y29="",0,4)+IF(AA29="",0,4)+IF(AC29="",0,5))=0,"",(IF(S29="",0,S29*5)+IF(U29="",0,U29*5)+IF(W29="",0,W29*4)+IF(Y29="",0,Y29*4)+IF(AA29="",0,AA29*4)+IF(AC29="",0,AC29*5))/(IF(S29="",0,5)+IF(U29="",0,5)+IF(W29="",0,4)+IF(Y29="",0,4)+IF(AA29="",0,4)+IF(AC29="",0,5)))</f>
        <v/>
      </c>
      <c r="AF29" s="14">
        <f>IF((IF(T29="",0,5)+IF(V29="",0,5)+IF(X29="",0,4)+IF(Z29="",0,4)+IF(AB29="",0,4)+IF(AD29="",0,5))=0,"",(IF(T29="",0,T29*5)+IF(V29="",0,V29*5)+IF(X29="",0,X29*4)+IF(Z29="",0,Z29*4)+IF(AB29="",0,AB29*4)+IF(AD29="",0,AD29*5))/27)</f>
        <v/>
      </c>
      <c r="AG29" s="11">
        <f>IF(OR(City_Inputs!$Y29="",Norm_Stats!$F$13="",Norm_Stats!$G$13="",Norm_Stats!$G$13=Norm_Stats!$F$13),"",MAX(0,MIN(100,100*(MIN(MAX(City_Inputs!$Y29,Norm_Stats!$F$13),Norm_Stats!$G$13)-Norm_Stats!$F$13)/(Norm_Stats!$G$13-Norm_Stats!$F$13))))</f>
        <v/>
      </c>
      <c r="AH29" s="14">
        <f>IF(AG29="","",1)</f>
        <v/>
      </c>
      <c r="AI29" s="11">
        <f>IF(OR(City_Inputs!$Z29="",Norm_Stats!$F$14="",Norm_Stats!$G$14="",Norm_Stats!$G$14=Norm_Stats!$F$14),"",MAX(0,MIN(100,100*(MIN(MAX(City_Inputs!$Z29,Norm_Stats!$F$14),Norm_Stats!$G$14)-Norm_Stats!$F$14)/(Norm_Stats!$G$14-Norm_Stats!$F$14))))</f>
        <v/>
      </c>
      <c r="AJ29" s="14">
        <f>IF(AI29="","",1)</f>
        <v/>
      </c>
      <c r="AK29" s="11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(IF(OR(City_Inputs!$AA29="",Norm_Stats!$F$15="",Norm_Stats!$G$15="",Norm_Stats!$G$15=Norm_Stats!$F$15),"",MAX(0,MIN(100,100*(MIN(MAX(City_Inputs!$AA29,Norm_Stats!$F$15),Norm_Stats!$G$15)-Norm_Stats!$F$15)/(Norm_Stats!$G$15-Norm_Stats!$F$15)))))*0.7)+IF((IF(OR(City_Inputs!$AL29="",Norm_Stats!$F$16="",Norm_Stats!$G$16="",Norm_Stats!$G$16=Norm_Stats!$F$16),"",MAX(0,MIN(100,100*(Norm_Stats!$G$16-MIN(MAX(City_Inputs!$AL29,Norm_Stats!$F$16),Norm_Stats!$G$16))/(Norm_Stats!$G$16-Norm_Stats!$F$16)))))="",0,(IF(OR(City_Inputs!$AL29="",Norm_Stats!$F$16="",Norm_Stats!$G$16="",Norm_Stats!$G$16=Norm_Stats!$F$16),"",MAX(0,MIN(100,100*(Norm_Stats!$G$16-MIN(MAX(City_Inputs!$AL29,Norm_Stats!$F$16),Norm_Stats!$G$16))/(Norm_Stats!$G$16-Norm_Stats!$F$16)))))*0.3))/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L29" s="14">
        <f>IF(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=0,"",(IF((IF(OR(City_Inputs!$AA29="",Norm_Stats!$F$15="",Norm_Stats!$G$15="",Norm_Stats!$G$15=Norm_Stats!$F$15),"",MAX(0,MIN(100,100*(MIN(MAX(City_Inputs!$AA29,Norm_Stats!$F$15),Norm_Stats!$G$15)-Norm_Stats!$F$15)/(Norm_Stats!$G$15-Norm_Stats!$F$15)))))="",0,0.7)+IF((IF(OR(City_Inputs!$AL29="",Norm_Stats!$F$16="",Norm_Stats!$G$16="",Norm_Stats!$G$16=Norm_Stats!$F$16),"",MAX(0,MIN(100,100*(Norm_Stats!$G$16-MIN(MAX(City_Inputs!$AL29,Norm_Stats!$F$16),Norm_Stats!$G$16))/(Norm_Stats!$G$16-Norm_Stats!$F$16)))))="",0,0.3)))</f>
        <v/>
      </c>
      <c r="AM29" s="15">
        <f>IF((IF(AG29="",0,8)+IF(AI29="",0,6)+IF(AK29="",0,4))=0,"",(IF(AG29="",0,AG29*8)+IF(AI29="",0,AI29*6)+IF(AK29="",0,AK29*4))/(IF(AG29="",0,8)+IF(AI29="",0,6)+IF(AK29="",0,4)))</f>
        <v/>
      </c>
      <c r="AN29" s="14">
        <f>IF((IF(AH29="",0,8)+IF(AJ29="",0,6)+IF(AL29="",0,4))=0,"",(IF(AH29="",0,AH29*8)+IF(AJ29="",0,AJ29*6)+IF(AL29="",0,AL29*4))/18)</f>
        <v/>
      </c>
      <c r="AO29" s="11">
        <f>IF(OR(City_Inputs!$AB29="",Norm_Stats!$F$17="",Norm_Stats!$G$17="",Norm_Stats!$G$17=Norm_Stats!$F$17),"",MAX(0,MIN(100,100*(MIN(MAX(City_Inputs!$AB29,Norm_Stats!$F$17),Norm_Stats!$G$17)-Norm_Stats!$F$17)/(Norm_Stats!$G$17-Norm_Stats!$F$17))))</f>
        <v/>
      </c>
      <c r="AP29" s="14">
        <f>IF(AO29="","",1)</f>
        <v/>
      </c>
      <c r="AQ29" s="11">
        <f>IF(OR(City_Inputs!$AC29="",Norm_Stats!$F$18="",Norm_Stats!$G$18="",Norm_Stats!$G$18=Norm_Stats!$F$18),"",MAX(0,MIN(100,100*(MIN(MAX(City_Inputs!$AC29,Norm_Stats!$F$18),Norm_Stats!$G$18)-Norm_Stats!$F$18)/(Norm_Stats!$G$18-Norm_Stats!$F$18))))</f>
        <v/>
      </c>
      <c r="AR29" s="14">
        <f>IF(AQ29="","",1)</f>
        <v/>
      </c>
      <c r="AS29" s="11">
        <f>IF(OR(City_Inputs!$AD29="",Norm_Stats!$F$19="",Norm_Stats!$G$19="",Norm_Stats!$G$19=Norm_Stats!$F$19),"",MAX(0,MIN(100,100*(MIN(MAX(City_Inputs!$AD29,Norm_Stats!$F$19),Norm_Stats!$G$19)-Norm_Stats!$F$19)/(Norm_Stats!$G$19-Norm_Stats!$F$19))))</f>
        <v/>
      </c>
      <c r="AT29" s="14">
        <f>IF(AS29="","",1)</f>
        <v/>
      </c>
      <c r="AU29" s="11">
        <f>IF(OR(City_Inputs!$BJ29="",Norm_Stats!$F$26="",Norm_Stats!$G$26="",Norm_Stats!$G$26=Norm_Stats!$F$26),"",MAX(0,MIN(100,100*(MIN(MAX(City_Inputs!$BJ29,Norm_Stats!$F$26),Norm_Stats!$G$26)-Norm_Stats!$F$26)/(Norm_Stats!$G$26-Norm_Stats!$F$26))))</f>
        <v/>
      </c>
      <c r="AV29" s="11">
        <f>IF(AU29="","",1)</f>
        <v/>
      </c>
      <c r="AW29" s="15">
        <f>IF((IF(AO29="",0,5)+IF(AQ29="",0,5)+IF(AS29="",0,5)+IF(AU29="",0,4))=0,"",(IF(AO29="",0,AO29*5)+IF(AQ29="",0,AQ29*5)+IF(AS29="",0,AS29*5)+IF(AU29="",0,AU29*4))/(IF(AO29="",0,5)+IF(AQ29="",0,5)+IF(AS29="",0,5)+IF(AU29="",0,4)))</f>
        <v/>
      </c>
      <c r="AX29" s="14">
        <f>IF((IF(AP29="",0,5)+IF(AR29="",0,5)+IF(AT29="",0,5)+IF(AV29="",0,4))=0,"",(IF(AP29="",0,AP29*5)+IF(AR29="",0,AR29*5)+IF(AT29="",0,AT29*5)+IF(AV29="",0,AV29*4))/19)</f>
        <v/>
      </c>
      <c r="AY29" s="11">
        <f>IF(OR(City_Inputs!$AE29="",Norm_Stats!$F$20="",Norm_Stats!$G$20="",Norm_Stats!$G$20=Norm_Stats!$F$20),"",MAX(0,MIN(100,100*(MIN(MAX(City_Inputs!$AE29,Norm_Stats!$F$20),Norm_Stats!$G$20)-Norm_Stats!$F$20)/(Norm_Stats!$G$20-Norm_Stats!$F$20))))</f>
        <v/>
      </c>
      <c r="AZ29" s="14">
        <f>IF(AY29="","",1)</f>
        <v/>
      </c>
      <c r="BA29" s="11">
        <f>IF(OR(City_Inputs!$AF29="",Norm_Stats!$F$21="",Norm_Stats!$G$21="",Norm_Stats!$G$21=Norm_Stats!$F$21),"",MAX(0,MIN(100,100*(MIN(MAX(City_Inputs!$AF29,Norm_Stats!$F$21),Norm_Stats!$G$21)-Norm_Stats!$F$21)/(Norm_Stats!$G$21-Norm_Stats!$F$21))))</f>
        <v/>
      </c>
      <c r="BB29" s="14">
        <f>IF(BA29="","",1)</f>
        <v/>
      </c>
      <c r="BC29" s="11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(IF(OR(City_Inputs!$AG29="",Norm_Stats!$F$22="",Norm_Stats!$G$22="",Norm_Stats!$G$22=Norm_Stats!$F$22),"",MAX(0,MIN(100,100*(MIN(MAX(City_Inputs!$AG29,Norm_Stats!$F$22),Norm_Stats!$G$22)-Norm_Stats!$F$22)/(Norm_Stats!$G$22-Norm_Stats!$F$22)))))*0.5)+IF((IF(OR(City_Inputs!$AJ29="",Norm_Stats!$F$23="",Norm_Stats!$G$23="",Norm_Stats!$G$23=Norm_Stats!$F$23),"",MAX(0,MIN(100,100*(MIN(MAX(City_Inputs!$AJ29,Norm_Stats!$F$23),Norm_Stats!$G$23)-Norm_Stats!$F$23)/(Norm_Stats!$G$23-Norm_Stats!$F$23)))))="",0,(IF(OR(City_Inputs!$AJ29="",Norm_Stats!$F$23="",Norm_Stats!$G$23="",Norm_Stats!$G$23=Norm_Stats!$F$23),"",MAX(0,MIN(100,100*(MIN(MAX(City_Inputs!$AJ29,Norm_Stats!$F$23),Norm_Stats!$G$23)-Norm_Stats!$F$23)/(Norm_Stats!$G$23-Norm_Stats!$F$23)))))*0.3)+IF((IF(OR(City_Inputs!$AK29="",Norm_Stats!$F$24="",Norm_Stats!$G$24="",Norm_Stats!$G$24=Norm_Stats!$F$24),"",MAX(0,MIN(100,100*(MIN(MAX(City_Inputs!$AK29,Norm_Stats!$F$24),Norm_Stats!$G$24)-Norm_Stats!$F$24)/(Norm_Stats!$G$24-Norm_Stats!$F$24)))))="",0,(IF(OR(City_Inputs!$AK29="",Norm_Stats!$F$24="",Norm_Stats!$G$24="",Norm_Stats!$G$24=Norm_Stats!$F$24),"",MAX(0,MIN(100,100*(MIN(MAX(City_Inputs!$AK29,Norm_Stats!$F$24),Norm_Stats!$G$24)-Norm_Stats!$F$24)/(Norm_Stats!$G$24-Norm_Stats!$F$24)))))*0.2))/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D29" s="14">
        <f>IF(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=0,"",(IF((IF(OR(City_Inputs!$AG29="",Norm_Stats!$F$22="",Norm_Stats!$G$22="",Norm_Stats!$G$22=Norm_Stats!$F$22),"",MAX(0,MIN(100,100*(MIN(MAX(City_Inputs!$AG29,Norm_Stats!$F$22),Norm_Stats!$G$22)-Norm_Stats!$F$22)/(Norm_Stats!$G$22-Norm_Stats!$F$22)))))="",0,0.5)+IF((IF(OR(City_Inputs!$AJ29="",Norm_Stats!$F$23="",Norm_Stats!$G$23="",Norm_Stats!$G$23=Norm_Stats!$F$23),"",MAX(0,MIN(100,100*(MIN(MAX(City_Inputs!$AJ29,Norm_Stats!$F$23),Norm_Stats!$G$23)-Norm_Stats!$F$23)/(Norm_Stats!$G$23-Norm_Stats!$F$23)))))="",0,0.3)+IF((IF(OR(City_Inputs!$AK29="",Norm_Stats!$F$24="",Norm_Stats!$G$24="",Norm_Stats!$G$24=Norm_Stats!$F$24),"",MAX(0,MIN(100,100*(MIN(MAX(City_Inputs!$AK29,Norm_Stats!$F$24),Norm_Stats!$G$24)-Norm_Stats!$F$24)/(Norm_Stats!$G$24-Norm_Stats!$F$24)))))="",0,0.2)))</f>
        <v/>
      </c>
      <c r="BE29" s="11">
        <f>IF(OR(City_Inputs!$AH29="",Norm_Stats!$F$25="",Norm_Stats!$G$25="",Norm_Stats!$G$25=Norm_Stats!$F$25),"",MAX(0,MIN(100,100*(Norm_Stats!$G$25-MIN(MAX(City_Inputs!$AH29,Norm_Stats!$F$25),Norm_Stats!$G$25))/(Norm_Stats!$G$25-Norm_Stats!$F$25))))</f>
        <v/>
      </c>
      <c r="BF29" s="14">
        <f>IF(BE29="","",1)</f>
        <v/>
      </c>
      <c r="BG29" s="15">
        <f>IF((IF(AY29="",0,6)+IF(BA29="",0,5)+IF(BC29="",0,5)+IF(BE29="",0,4))=0,"",(IF(AY29="",0,AY29*6)+IF(BA29="",0,BA29*5)+IF(BC29="",0,BC29*5)+IF(BE29="",0,BE29*4))/(IF(AY29="",0,6)+IF(BA29="",0,5)+IF(BC29="",0,5)+IF(BE29="",0,4)))</f>
        <v/>
      </c>
      <c r="BH29" s="14">
        <f>IF((IF(AZ29="",0,6)+IF(BB29="",0,5)+IF(BD29="",0,5)+IF(BF29="",0,4))=0,"",(IF(AZ29="",0,AZ29*6)+IF(BB29="",0,BB29*5)+IF(BD29="",0,BD29*5)+IF(BF29="",0,BF29*4))/20)</f>
        <v/>
      </c>
      <c r="BI29" s="14">
        <f>IF(AND(R29="",AF29="",AN29="",AX29="",BH29=""),"",((R29*25)+(AF29*22)+(AN29*18)+(AX29*15)+(BH29*20))/100)</f>
        <v/>
      </c>
      <c r="BJ29" s="11">
        <f>IF(BI29="","",IF(BI29&gt;=0.75,"A",IF(BI29&gt;=0.5,"B",IF(BI29&gt;=0.35,"C","Watchlist"))))</f>
        <v/>
      </c>
      <c r="BK29" s="11">
        <f>IF(OR(BI29="",BI29&lt;0.5,R29="",R29&lt;0.35,AF29="",AF29&lt;0.35,AN29="",AN29&lt;0.35,AX29="",AX29&lt;0.35,BH29="",BH29&lt;0.35),"Watchlist","Ranked")</f>
        <v/>
      </c>
      <c r="BL29" s="15">
        <f>IF(AND(Q29="",AE29="",AM29="",AW29="",BG29=""),"",(IF(Q29="",0,Q29*25)+IF(AE29="",0,AE29*22)+IF(AM29="",0,AM29*18)+IF(AW29="",0,AW29*15)+IF(BG29="",0,BG29*20))/(IF(Q29="",0,25)+IF(AE29="",0,22)+IF(AM29="",0,18)+IF(AW29="",0,15)+IF(BG29="",0,20)))</f>
        <v/>
      </c>
      <c r="BM29" s="11">
        <f>IF(BK29="Ranked",1+COUNTIFS($BK$2:$BK$158,"Ranked",$BL$2:$BL$158,"&gt;"&amp;BL29),"")</f>
        <v/>
      </c>
      <c r="BN29" s="11">
        <f>City_Inputs!$AI29</f>
        <v/>
      </c>
    </row>
    <row r="30">
      <c r="A30" t="inlineStr">
        <is>
          <t>in-chandigarh</t>
        </is>
      </c>
      <c r="B30" t="inlineStr">
        <is>
          <t>Chandigarh</t>
        </is>
      </c>
      <c r="C30" t="inlineStr">
        <is>
          <t>India</t>
        </is>
      </c>
      <c r="D30" t="inlineStr">
        <is>
          <t>South Asia</t>
        </is>
      </c>
      <c r="E30" t="inlineStr">
        <is>
          <t>provisional</t>
        </is>
      </c>
      <c r="F30" t="inlineStr">
        <is>
          <t>primary</t>
        </is>
      </c>
      <c r="G30" s="11">
        <f>IF(OR(City_Inputs!$M30="",Norm_Stats!$F$2="",Norm_Stats!$G$2="",Norm_Stats!$G$2=Norm_Stats!$F$2),"",MAX(0,MIN(100,100*(MIN(MAX(City_Inputs!$M30,Norm_Stats!$F$2),Norm_Stats!$G$2)-Norm_Stats!$F$2)/(Norm_Stats!$G$2-Norm_Stats!$F$2))))</f>
        <v/>
      </c>
      <c r="H30" s="14">
        <f>IF(G30="","",1)</f>
        <v/>
      </c>
      <c r="I30" s="11">
        <f>IF(OR(City_Inputs!$N30="",Norm_Stats!$F$3="",Norm_Stats!$G$3="",Norm_Stats!$G$3=Norm_Stats!$F$3),"",MAX(0,MIN(100,100*(Norm_Stats!$G$3-MIN(MAX(City_Inputs!$N30,Norm_Stats!$F$3),Norm_Stats!$G$3))/(Norm_Stats!$G$3-Norm_Stats!$F$3))))</f>
        <v/>
      </c>
      <c r="J30" s="14">
        <f>IF(I30="","",1)</f>
        <v/>
      </c>
      <c r="K30" s="11">
        <f>IF(OR(City_Inputs!$P30="",Norm_Stats!$F$4="",Norm_Stats!$G$4="",Norm_Stats!$G$4=Norm_Stats!$F$4),"",MAX(0,MIN(100,100*(Norm_Stats!$G$4-MIN(MAX(City_Inputs!$P30,Norm_Stats!$F$4),Norm_Stats!$G$4))/(Norm_Stats!$G$4-Norm_Stats!$F$4))))</f>
        <v/>
      </c>
      <c r="L30" s="14">
        <f>IF(K30="","",1)</f>
        <v/>
      </c>
      <c r="M30" s="11">
        <f>IF(OR(City_Inputs!$Q30="",Norm_Stats!$F$5="",Norm_Stats!$G$5="",Norm_Stats!$G$5=Norm_Stats!$F$5),"",MAX(0,MIN(100,100*(Norm_Stats!$G$5-MIN(MAX(City_Inputs!$Q30,Norm_Stats!$F$5),Norm_Stats!$G$5))/(Norm_Stats!$G$5-Norm_Stats!$F$5))))</f>
        <v/>
      </c>
      <c r="N30" s="14">
        <f>IF(M30="","",1)</f>
        <v/>
      </c>
      <c r="O30" s="11">
        <f>IF(OR(City_Inputs!$R30="",Norm_Stats!$F$6="",Norm_Stats!$G$6="",Norm_Stats!$G$6=Norm_Stats!$F$6),"",MAX(0,MIN(100,100*(Norm_Stats!$G$6-MIN(MAX(City_Inputs!$R30,Norm_Stats!$F$6),Norm_Stats!$G$6))/(Norm_Stats!$G$6-Norm_Stats!$F$6))))</f>
        <v/>
      </c>
      <c r="P30" s="14">
        <f>IF(O30="","",1)</f>
        <v/>
      </c>
      <c r="Q30" s="15">
        <f>IF((IF(G30="",0,9)+IF(I30="",0,5)+IF(K30="",0,4)+IF(M30="",0,4)+IF(O30="",0,5))=0,"",(IF(G30="",0,G30*9)+IF(I30="",0,I30*5)+IF(K30="",0,K30*4)+IF(M30="",0,M30*4)+IF(O30="",0,O30*5))/(IF(G30="",0,9)+IF(I30="",0,5)+IF(K30="",0,4)+IF(M30="",0,4)+IF(O30="",0,5)))</f>
        <v/>
      </c>
      <c r="R30" s="14">
        <f>IF((IF(H30="",0,9)+IF(J30="",0,5)+IF(L30="",0,4)+IF(N30="",0,4)+IF(P30="",0,5))=0,"",(IF(H30="",0,H30*9)+IF(J30="",0,J30*5)+IF(L30="",0,L30*4)+IF(N30="",0,N30*4)+IF(P30="",0,P30*5))/27)</f>
        <v/>
      </c>
      <c r="S30" s="11">
        <f>IF(OR(City_Inputs!$S30="",Norm_Stats!$F$7="",Norm_Stats!$G$7="",Norm_Stats!$G$7=Norm_Stats!$F$7),"",MAX(0,MIN(100,100*(Norm_Stats!$G$7-MIN(MAX(City_Inputs!$S30,Norm_Stats!$F$7),Norm_Stats!$G$7))/(Norm_Stats!$G$7-Norm_Stats!$F$7))))</f>
        <v/>
      </c>
      <c r="T30" s="14">
        <f>IF(S30="","",1)</f>
        <v/>
      </c>
      <c r="U30" s="11">
        <f>IF(OR(City_Inputs!$T30="",Norm_Stats!$F$8="",Norm_Stats!$G$8="",Norm_Stats!$G$8=Norm_Stats!$F$8),"",MAX(0,MIN(100,100*(MIN(MAX(City_Inputs!$T30,Norm_Stats!$F$8),Norm_Stats!$G$8)-Norm_Stats!$F$8)/(Norm_Stats!$G$8-Norm_Stats!$F$8))))</f>
        <v/>
      </c>
      <c r="V30" s="14">
        <f>IF(U30="","",1)</f>
        <v/>
      </c>
      <c r="W30" s="11">
        <f>IF(OR(City_Inputs!$U30="",Norm_Stats!$F$9="",Norm_Stats!$G$9="",Norm_Stats!$G$9=Norm_Stats!$F$9),"",MAX(0,MIN(100,100*(Norm_Stats!$G$9-MIN(MAX(City_Inputs!$U30,Norm_Stats!$F$9),Norm_Stats!$G$9))/(Norm_Stats!$G$9-Norm_Stats!$F$9))))</f>
        <v/>
      </c>
      <c r="X30" s="14">
        <f>IF(W30="","",1)</f>
        <v/>
      </c>
      <c r="Y30" s="11">
        <f>IF(OR(City_Inputs!$V30="",Norm_Stats!$F$10="",Norm_Stats!$G$10="",Norm_Stats!$G$10=Norm_Stats!$F$10),"",MAX(0,MIN(100,100*(MIN(MAX(City_Inputs!$V30,Norm_Stats!$F$10),Norm_Stats!$G$10)-Norm_Stats!$F$10)/(Norm_Stats!$G$10-Norm_Stats!$F$10))))</f>
        <v/>
      </c>
      <c r="Z30" s="14">
        <f>IF(Y30="","",1)</f>
        <v/>
      </c>
      <c r="AA30" s="11">
        <f>IF(OR(City_Inputs!$W30="",Norm_Stats!$F$11="",Norm_Stats!$G$11="",Norm_Stats!$G$11=Norm_Stats!$F$11),"",MAX(0,MIN(100,100*(MIN(MAX(City_Inputs!$W30,Norm_Stats!$F$11),Norm_Stats!$G$11)-Norm_Stats!$F$11)/(Norm_Stats!$G$11-Norm_Stats!$F$11))))</f>
        <v/>
      </c>
      <c r="AB30" s="14">
        <f>IF(AA30="","",1)</f>
        <v/>
      </c>
      <c r="AC30" s="11">
        <f>IF(OR(City_Inputs!$X30="",Norm_Stats!$F$12="",Norm_Stats!$G$12="",Norm_Stats!$G$12=Norm_Stats!$F$12),"",MAX(0,MIN(100,100*(MIN(MAX(City_Inputs!$X30,Norm_Stats!$F$12),Norm_Stats!$G$12)-Norm_Stats!$F$12)/(Norm_Stats!$G$12-Norm_Stats!$F$12))))</f>
        <v/>
      </c>
      <c r="AD30" s="11">
        <f>IF(AC30="","",1)</f>
        <v/>
      </c>
      <c r="AE30" s="15">
        <f>IF((IF(S30="",0,5)+IF(U30="",0,5)+IF(W30="",0,4)+IF(Y30="",0,4)+IF(AA30="",0,4)+IF(AC30="",0,5))=0,"",(IF(S30="",0,S30*5)+IF(U30="",0,U30*5)+IF(W30="",0,W30*4)+IF(Y30="",0,Y30*4)+IF(AA30="",0,AA30*4)+IF(AC30="",0,AC30*5))/(IF(S30="",0,5)+IF(U30="",0,5)+IF(W30="",0,4)+IF(Y30="",0,4)+IF(AA30="",0,4)+IF(AC30="",0,5)))</f>
        <v/>
      </c>
      <c r="AF30" s="14">
        <f>IF((IF(T30="",0,5)+IF(V30="",0,5)+IF(X30="",0,4)+IF(Z30="",0,4)+IF(AB30="",0,4)+IF(AD30="",0,5))=0,"",(IF(T30="",0,T30*5)+IF(V30="",0,V30*5)+IF(X30="",0,X30*4)+IF(Z30="",0,Z30*4)+IF(AB30="",0,AB30*4)+IF(AD30="",0,AD30*5))/27)</f>
        <v/>
      </c>
      <c r="AG30" s="11">
        <f>IF(OR(City_Inputs!$Y30="",Norm_Stats!$F$13="",Norm_Stats!$G$13="",Norm_Stats!$G$13=Norm_Stats!$F$13),"",MAX(0,MIN(100,100*(MIN(MAX(City_Inputs!$Y30,Norm_Stats!$F$13),Norm_Stats!$G$13)-Norm_Stats!$F$13)/(Norm_Stats!$G$13-Norm_Stats!$F$13))))</f>
        <v/>
      </c>
      <c r="AH30" s="14">
        <f>IF(AG30="","",1)</f>
        <v/>
      </c>
      <c r="AI30" s="11">
        <f>IF(OR(City_Inputs!$Z30="",Norm_Stats!$F$14="",Norm_Stats!$G$14="",Norm_Stats!$G$14=Norm_Stats!$F$14),"",MAX(0,MIN(100,100*(MIN(MAX(City_Inputs!$Z30,Norm_Stats!$F$14),Norm_Stats!$G$14)-Norm_Stats!$F$14)/(Norm_Stats!$G$14-Norm_Stats!$F$14))))</f>
        <v/>
      </c>
      <c r="AJ30" s="14">
        <f>IF(AI30="","",1)</f>
        <v/>
      </c>
      <c r="AK30" s="11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(IF(OR(City_Inputs!$AA30="",Norm_Stats!$F$15="",Norm_Stats!$G$15="",Norm_Stats!$G$15=Norm_Stats!$F$15),"",MAX(0,MIN(100,100*(MIN(MAX(City_Inputs!$AA30,Norm_Stats!$F$15),Norm_Stats!$G$15)-Norm_Stats!$F$15)/(Norm_Stats!$G$15-Norm_Stats!$F$15)))))*0.7)+IF((IF(OR(City_Inputs!$AL30="",Norm_Stats!$F$16="",Norm_Stats!$G$16="",Norm_Stats!$G$16=Norm_Stats!$F$16),"",MAX(0,MIN(100,100*(Norm_Stats!$G$16-MIN(MAX(City_Inputs!$AL30,Norm_Stats!$F$16),Norm_Stats!$G$16))/(Norm_Stats!$G$16-Norm_Stats!$F$16)))))="",0,(IF(OR(City_Inputs!$AL30="",Norm_Stats!$F$16="",Norm_Stats!$G$16="",Norm_Stats!$G$16=Norm_Stats!$F$16),"",MAX(0,MIN(100,100*(Norm_Stats!$G$16-MIN(MAX(City_Inputs!$AL30,Norm_Stats!$F$16),Norm_Stats!$G$16))/(Norm_Stats!$G$16-Norm_Stats!$F$16)))))*0.3))/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L30" s="14">
        <f>IF(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=0,"",(IF((IF(OR(City_Inputs!$AA30="",Norm_Stats!$F$15="",Norm_Stats!$G$15="",Norm_Stats!$G$15=Norm_Stats!$F$15),"",MAX(0,MIN(100,100*(MIN(MAX(City_Inputs!$AA30,Norm_Stats!$F$15),Norm_Stats!$G$15)-Norm_Stats!$F$15)/(Norm_Stats!$G$15-Norm_Stats!$F$15)))))="",0,0.7)+IF((IF(OR(City_Inputs!$AL30="",Norm_Stats!$F$16="",Norm_Stats!$G$16="",Norm_Stats!$G$16=Norm_Stats!$F$16),"",MAX(0,MIN(100,100*(Norm_Stats!$G$16-MIN(MAX(City_Inputs!$AL30,Norm_Stats!$F$16),Norm_Stats!$G$16))/(Norm_Stats!$G$16-Norm_Stats!$F$16)))))="",0,0.3)))</f>
        <v/>
      </c>
      <c r="AM30" s="15">
        <f>IF((IF(AG30="",0,8)+IF(AI30="",0,6)+IF(AK30="",0,4))=0,"",(IF(AG30="",0,AG30*8)+IF(AI30="",0,AI30*6)+IF(AK30="",0,AK30*4))/(IF(AG30="",0,8)+IF(AI30="",0,6)+IF(AK30="",0,4)))</f>
        <v/>
      </c>
      <c r="AN30" s="14">
        <f>IF((IF(AH30="",0,8)+IF(AJ30="",0,6)+IF(AL30="",0,4))=0,"",(IF(AH30="",0,AH30*8)+IF(AJ30="",0,AJ30*6)+IF(AL30="",0,AL30*4))/18)</f>
        <v/>
      </c>
      <c r="AO30" s="11">
        <f>IF(OR(City_Inputs!$AB30="",Norm_Stats!$F$17="",Norm_Stats!$G$17="",Norm_Stats!$G$17=Norm_Stats!$F$17),"",MAX(0,MIN(100,100*(MIN(MAX(City_Inputs!$AB30,Norm_Stats!$F$17),Norm_Stats!$G$17)-Norm_Stats!$F$17)/(Norm_Stats!$G$17-Norm_Stats!$F$17))))</f>
        <v/>
      </c>
      <c r="AP30" s="14">
        <f>IF(AO30="","",1)</f>
        <v/>
      </c>
      <c r="AQ30" s="11">
        <f>IF(OR(City_Inputs!$AC30="",Norm_Stats!$F$18="",Norm_Stats!$G$18="",Norm_Stats!$G$18=Norm_Stats!$F$18),"",MAX(0,MIN(100,100*(MIN(MAX(City_Inputs!$AC30,Norm_Stats!$F$18),Norm_Stats!$G$18)-Norm_Stats!$F$18)/(Norm_Stats!$G$18-Norm_Stats!$F$18))))</f>
        <v/>
      </c>
      <c r="AR30" s="14">
        <f>IF(AQ30="","",1)</f>
        <v/>
      </c>
      <c r="AS30" s="11">
        <f>IF(OR(City_Inputs!$AD30="",Norm_Stats!$F$19="",Norm_Stats!$G$19="",Norm_Stats!$G$19=Norm_Stats!$F$19),"",MAX(0,MIN(100,100*(MIN(MAX(City_Inputs!$AD30,Norm_Stats!$F$19),Norm_Stats!$G$19)-Norm_Stats!$F$19)/(Norm_Stats!$G$19-Norm_Stats!$F$19))))</f>
        <v/>
      </c>
      <c r="AT30" s="14">
        <f>IF(AS30="","",1)</f>
        <v/>
      </c>
      <c r="AU30" s="11">
        <f>IF(OR(City_Inputs!$BJ30="",Norm_Stats!$F$26="",Norm_Stats!$G$26="",Norm_Stats!$G$26=Norm_Stats!$F$26),"",MAX(0,MIN(100,100*(MIN(MAX(City_Inputs!$BJ30,Norm_Stats!$F$26),Norm_Stats!$G$26)-Norm_Stats!$F$26)/(Norm_Stats!$G$26-Norm_Stats!$F$26))))</f>
        <v/>
      </c>
      <c r="AV30" s="11">
        <f>IF(AU30="","",1)</f>
        <v/>
      </c>
      <c r="AW30" s="15">
        <f>IF((IF(AO30="",0,5)+IF(AQ30="",0,5)+IF(AS30="",0,5)+IF(AU30="",0,4))=0,"",(IF(AO30="",0,AO30*5)+IF(AQ30="",0,AQ30*5)+IF(AS30="",0,AS30*5)+IF(AU30="",0,AU30*4))/(IF(AO30="",0,5)+IF(AQ30="",0,5)+IF(AS30="",0,5)+IF(AU30="",0,4)))</f>
        <v/>
      </c>
      <c r="AX30" s="14">
        <f>IF((IF(AP30="",0,5)+IF(AR30="",0,5)+IF(AT30="",0,5)+IF(AV30="",0,4))=0,"",(IF(AP30="",0,AP30*5)+IF(AR30="",0,AR30*5)+IF(AT30="",0,AT30*5)+IF(AV30="",0,AV30*4))/19)</f>
        <v/>
      </c>
      <c r="AY30" s="11">
        <f>IF(OR(City_Inputs!$AE30="",Norm_Stats!$F$20="",Norm_Stats!$G$20="",Norm_Stats!$G$20=Norm_Stats!$F$20),"",MAX(0,MIN(100,100*(MIN(MAX(City_Inputs!$AE30,Norm_Stats!$F$20),Norm_Stats!$G$20)-Norm_Stats!$F$20)/(Norm_Stats!$G$20-Norm_Stats!$F$20))))</f>
        <v/>
      </c>
      <c r="AZ30" s="14">
        <f>IF(AY30="","",1)</f>
        <v/>
      </c>
      <c r="BA30" s="11">
        <f>IF(OR(City_Inputs!$AF30="",Norm_Stats!$F$21="",Norm_Stats!$G$21="",Norm_Stats!$G$21=Norm_Stats!$F$21),"",MAX(0,MIN(100,100*(MIN(MAX(City_Inputs!$AF30,Norm_Stats!$F$21),Norm_Stats!$G$21)-Norm_Stats!$F$21)/(Norm_Stats!$G$21-Norm_Stats!$F$21))))</f>
        <v/>
      </c>
      <c r="BB30" s="14">
        <f>IF(BA30="","",1)</f>
        <v/>
      </c>
      <c r="BC30" s="11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(IF(OR(City_Inputs!$AG30="",Norm_Stats!$F$22="",Norm_Stats!$G$22="",Norm_Stats!$G$22=Norm_Stats!$F$22),"",MAX(0,MIN(100,100*(MIN(MAX(City_Inputs!$AG30,Norm_Stats!$F$22),Norm_Stats!$G$22)-Norm_Stats!$F$22)/(Norm_Stats!$G$22-Norm_Stats!$F$22)))))*0.5)+IF((IF(OR(City_Inputs!$AJ30="",Norm_Stats!$F$23="",Norm_Stats!$G$23="",Norm_Stats!$G$23=Norm_Stats!$F$23),"",MAX(0,MIN(100,100*(MIN(MAX(City_Inputs!$AJ30,Norm_Stats!$F$23),Norm_Stats!$G$23)-Norm_Stats!$F$23)/(Norm_Stats!$G$23-Norm_Stats!$F$23)))))="",0,(IF(OR(City_Inputs!$AJ30="",Norm_Stats!$F$23="",Norm_Stats!$G$23="",Norm_Stats!$G$23=Norm_Stats!$F$23),"",MAX(0,MIN(100,100*(MIN(MAX(City_Inputs!$AJ30,Norm_Stats!$F$23),Norm_Stats!$G$23)-Norm_Stats!$F$23)/(Norm_Stats!$G$23-Norm_Stats!$F$23)))))*0.3)+IF((IF(OR(City_Inputs!$AK30="",Norm_Stats!$F$24="",Norm_Stats!$G$24="",Norm_Stats!$G$24=Norm_Stats!$F$24),"",MAX(0,MIN(100,100*(MIN(MAX(City_Inputs!$AK30,Norm_Stats!$F$24),Norm_Stats!$G$24)-Norm_Stats!$F$24)/(Norm_Stats!$G$24-Norm_Stats!$F$24)))))="",0,(IF(OR(City_Inputs!$AK30="",Norm_Stats!$F$24="",Norm_Stats!$G$24="",Norm_Stats!$G$24=Norm_Stats!$F$24),"",MAX(0,MIN(100,100*(MIN(MAX(City_Inputs!$AK30,Norm_Stats!$F$24),Norm_Stats!$G$24)-Norm_Stats!$F$24)/(Norm_Stats!$G$24-Norm_Stats!$F$24)))))*0.2))/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D30" s="14">
        <f>IF(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=0,"",(IF((IF(OR(City_Inputs!$AG30="",Norm_Stats!$F$22="",Norm_Stats!$G$22="",Norm_Stats!$G$22=Norm_Stats!$F$22),"",MAX(0,MIN(100,100*(MIN(MAX(City_Inputs!$AG30,Norm_Stats!$F$22),Norm_Stats!$G$22)-Norm_Stats!$F$22)/(Norm_Stats!$G$22-Norm_Stats!$F$22)))))="",0,0.5)+IF((IF(OR(City_Inputs!$AJ30="",Norm_Stats!$F$23="",Norm_Stats!$G$23="",Norm_Stats!$G$23=Norm_Stats!$F$23),"",MAX(0,MIN(100,100*(MIN(MAX(City_Inputs!$AJ30,Norm_Stats!$F$23),Norm_Stats!$G$23)-Norm_Stats!$F$23)/(Norm_Stats!$G$23-Norm_Stats!$F$23)))))="",0,0.3)+IF((IF(OR(City_Inputs!$AK30="",Norm_Stats!$F$24="",Norm_Stats!$G$24="",Norm_Stats!$G$24=Norm_Stats!$F$24),"",MAX(0,MIN(100,100*(MIN(MAX(City_Inputs!$AK30,Norm_Stats!$F$24),Norm_Stats!$G$24)-Norm_Stats!$F$24)/(Norm_Stats!$G$24-Norm_Stats!$F$24)))))="",0,0.2)))</f>
        <v/>
      </c>
      <c r="BE30" s="11">
        <f>IF(OR(City_Inputs!$AH30="",Norm_Stats!$F$25="",Norm_Stats!$G$25="",Norm_Stats!$G$25=Norm_Stats!$F$25),"",MAX(0,MIN(100,100*(Norm_Stats!$G$25-MIN(MAX(City_Inputs!$AH30,Norm_Stats!$F$25),Norm_Stats!$G$25))/(Norm_Stats!$G$25-Norm_Stats!$F$25))))</f>
        <v/>
      </c>
      <c r="BF30" s="14">
        <f>IF(BE30="","",1)</f>
        <v/>
      </c>
      <c r="BG30" s="15">
        <f>IF((IF(AY30="",0,6)+IF(BA30="",0,5)+IF(BC30="",0,5)+IF(BE30="",0,4))=0,"",(IF(AY30="",0,AY30*6)+IF(BA30="",0,BA30*5)+IF(BC30="",0,BC30*5)+IF(BE30="",0,BE30*4))/(IF(AY30="",0,6)+IF(BA30="",0,5)+IF(BC30="",0,5)+IF(BE30="",0,4)))</f>
        <v/>
      </c>
      <c r="BH30" s="14">
        <f>IF((IF(AZ30="",0,6)+IF(BB30="",0,5)+IF(BD30="",0,5)+IF(BF30="",0,4))=0,"",(IF(AZ30="",0,AZ30*6)+IF(BB30="",0,BB30*5)+IF(BD30="",0,BD30*5)+IF(BF30="",0,BF30*4))/20)</f>
        <v/>
      </c>
      <c r="BI30" s="14">
        <f>IF(AND(R30="",AF30="",AN30="",AX30="",BH30=""),"",((R30*25)+(AF30*22)+(AN30*18)+(AX30*15)+(BH30*20))/100)</f>
        <v/>
      </c>
      <c r="BJ30" s="11">
        <f>IF(BI30="","",IF(BI30&gt;=0.75,"A",IF(BI30&gt;=0.5,"B",IF(BI30&gt;=0.35,"C","Watchlist"))))</f>
        <v/>
      </c>
      <c r="BK30" s="11">
        <f>IF(OR(BI30="",BI30&lt;0.5,R30="",R30&lt;0.35,AF30="",AF30&lt;0.35,AN30="",AN30&lt;0.35,AX30="",AX30&lt;0.35,BH30="",BH30&lt;0.35),"Watchlist","Ranked")</f>
        <v/>
      </c>
      <c r="BL30" s="15">
        <f>IF(AND(Q30="",AE30="",AM30="",AW30="",BG30=""),"",(IF(Q30="",0,Q30*25)+IF(AE30="",0,AE30*22)+IF(AM30="",0,AM30*18)+IF(AW30="",0,AW30*15)+IF(BG30="",0,BG30*20))/(IF(Q30="",0,25)+IF(AE30="",0,22)+IF(AM30="",0,18)+IF(AW30="",0,15)+IF(BG30="",0,20)))</f>
        <v/>
      </c>
      <c r="BM30" s="11">
        <f>IF(BK30="Ranked",1+COUNTIFS($BK$2:$BK$158,"Ranked",$BL$2:$BL$158,"&gt;"&amp;BL30),"")</f>
        <v/>
      </c>
      <c r="BN30" s="11">
        <f>City_Inputs!$AI30</f>
        <v/>
      </c>
    </row>
    <row r="31">
      <c r="A31" t="inlineStr">
        <is>
          <t>lk-colombo</t>
        </is>
      </c>
      <c r="B31" t="inlineStr">
        <is>
          <t>Colombo</t>
        </is>
      </c>
      <c r="C31" t="inlineStr">
        <is>
          <t>Sri Lanka</t>
        </is>
      </c>
      <c r="D31" t="inlineStr">
        <is>
          <t>South Asia</t>
        </is>
      </c>
      <c r="E31" t="inlineStr">
        <is>
          <t>locked</t>
        </is>
      </c>
      <c r="F31" t="inlineStr">
        <is>
          <t>primary</t>
        </is>
      </c>
      <c r="G31" s="11">
        <f>IF(OR(City_Inputs!$M31="",Norm_Stats!$F$2="",Norm_Stats!$G$2="",Norm_Stats!$G$2=Norm_Stats!$F$2),"",MAX(0,MIN(100,100*(MIN(MAX(City_Inputs!$M31,Norm_Stats!$F$2),Norm_Stats!$G$2)-Norm_Stats!$F$2)/(Norm_Stats!$G$2-Norm_Stats!$F$2))))</f>
        <v/>
      </c>
      <c r="H31" s="14">
        <f>IF(G31="","",1)</f>
        <v/>
      </c>
      <c r="I31" s="11">
        <f>IF(OR(City_Inputs!$N31="",Norm_Stats!$F$3="",Norm_Stats!$G$3="",Norm_Stats!$G$3=Norm_Stats!$F$3),"",MAX(0,MIN(100,100*(Norm_Stats!$G$3-MIN(MAX(City_Inputs!$N31,Norm_Stats!$F$3),Norm_Stats!$G$3))/(Norm_Stats!$G$3-Norm_Stats!$F$3))))</f>
        <v/>
      </c>
      <c r="J31" s="14">
        <f>IF(I31="","",1)</f>
        <v/>
      </c>
      <c r="K31" s="11">
        <f>IF(OR(City_Inputs!$P31="",Norm_Stats!$F$4="",Norm_Stats!$G$4="",Norm_Stats!$G$4=Norm_Stats!$F$4),"",MAX(0,MIN(100,100*(Norm_Stats!$G$4-MIN(MAX(City_Inputs!$P31,Norm_Stats!$F$4),Norm_Stats!$G$4))/(Norm_Stats!$G$4-Norm_Stats!$F$4))))</f>
        <v/>
      </c>
      <c r="L31" s="14">
        <f>IF(K31="","",1)</f>
        <v/>
      </c>
      <c r="M31" s="11">
        <f>IF(OR(City_Inputs!$Q31="",Norm_Stats!$F$5="",Norm_Stats!$G$5="",Norm_Stats!$G$5=Norm_Stats!$F$5),"",MAX(0,MIN(100,100*(Norm_Stats!$G$5-MIN(MAX(City_Inputs!$Q31,Norm_Stats!$F$5),Norm_Stats!$G$5))/(Norm_Stats!$G$5-Norm_Stats!$F$5))))</f>
        <v/>
      </c>
      <c r="N31" s="14">
        <f>IF(M31="","",1)</f>
        <v/>
      </c>
      <c r="O31" s="11">
        <f>IF(OR(City_Inputs!$R31="",Norm_Stats!$F$6="",Norm_Stats!$G$6="",Norm_Stats!$G$6=Norm_Stats!$F$6),"",MAX(0,MIN(100,100*(Norm_Stats!$G$6-MIN(MAX(City_Inputs!$R31,Norm_Stats!$F$6),Norm_Stats!$G$6))/(Norm_Stats!$G$6-Norm_Stats!$F$6))))</f>
        <v/>
      </c>
      <c r="P31" s="14">
        <f>IF(O31="","",1)</f>
        <v/>
      </c>
      <c r="Q31" s="15">
        <f>IF((IF(G31="",0,9)+IF(I31="",0,5)+IF(K31="",0,4)+IF(M31="",0,4)+IF(O31="",0,5))=0,"",(IF(G31="",0,G31*9)+IF(I31="",0,I31*5)+IF(K31="",0,K31*4)+IF(M31="",0,M31*4)+IF(O31="",0,O31*5))/(IF(G31="",0,9)+IF(I31="",0,5)+IF(K31="",0,4)+IF(M31="",0,4)+IF(O31="",0,5)))</f>
        <v/>
      </c>
      <c r="R31" s="14">
        <f>IF((IF(H31="",0,9)+IF(J31="",0,5)+IF(L31="",0,4)+IF(N31="",0,4)+IF(P31="",0,5))=0,"",(IF(H31="",0,H31*9)+IF(J31="",0,J31*5)+IF(L31="",0,L31*4)+IF(N31="",0,N31*4)+IF(P31="",0,P31*5))/27)</f>
        <v/>
      </c>
      <c r="S31" s="11">
        <f>IF(OR(City_Inputs!$S31="",Norm_Stats!$F$7="",Norm_Stats!$G$7="",Norm_Stats!$G$7=Norm_Stats!$F$7),"",MAX(0,MIN(100,100*(Norm_Stats!$G$7-MIN(MAX(City_Inputs!$S31,Norm_Stats!$F$7),Norm_Stats!$G$7))/(Norm_Stats!$G$7-Norm_Stats!$F$7))))</f>
        <v/>
      </c>
      <c r="T31" s="14">
        <f>IF(S31="","",1)</f>
        <v/>
      </c>
      <c r="U31" s="11">
        <f>IF(OR(City_Inputs!$T31="",Norm_Stats!$F$8="",Norm_Stats!$G$8="",Norm_Stats!$G$8=Norm_Stats!$F$8),"",MAX(0,MIN(100,100*(MIN(MAX(City_Inputs!$T31,Norm_Stats!$F$8),Norm_Stats!$G$8)-Norm_Stats!$F$8)/(Norm_Stats!$G$8-Norm_Stats!$F$8))))</f>
        <v/>
      </c>
      <c r="V31" s="14">
        <f>IF(U31="","",1)</f>
        <v/>
      </c>
      <c r="W31" s="11">
        <f>IF(OR(City_Inputs!$U31="",Norm_Stats!$F$9="",Norm_Stats!$G$9="",Norm_Stats!$G$9=Norm_Stats!$F$9),"",MAX(0,MIN(100,100*(Norm_Stats!$G$9-MIN(MAX(City_Inputs!$U31,Norm_Stats!$F$9),Norm_Stats!$G$9))/(Norm_Stats!$G$9-Norm_Stats!$F$9))))</f>
        <v/>
      </c>
      <c r="X31" s="14">
        <f>IF(W31="","",1)</f>
        <v/>
      </c>
      <c r="Y31" s="11">
        <f>IF(OR(City_Inputs!$V31="",Norm_Stats!$F$10="",Norm_Stats!$G$10="",Norm_Stats!$G$10=Norm_Stats!$F$10),"",MAX(0,MIN(100,100*(MIN(MAX(City_Inputs!$V31,Norm_Stats!$F$10),Norm_Stats!$G$10)-Norm_Stats!$F$10)/(Norm_Stats!$G$10-Norm_Stats!$F$10))))</f>
        <v/>
      </c>
      <c r="Z31" s="14">
        <f>IF(Y31="","",1)</f>
        <v/>
      </c>
      <c r="AA31" s="11">
        <f>IF(OR(City_Inputs!$W31="",Norm_Stats!$F$11="",Norm_Stats!$G$11="",Norm_Stats!$G$11=Norm_Stats!$F$11),"",MAX(0,MIN(100,100*(MIN(MAX(City_Inputs!$W31,Norm_Stats!$F$11),Norm_Stats!$G$11)-Norm_Stats!$F$11)/(Norm_Stats!$G$11-Norm_Stats!$F$11))))</f>
        <v/>
      </c>
      <c r="AB31" s="14">
        <f>IF(AA31="","",1)</f>
        <v/>
      </c>
      <c r="AC31" s="11">
        <f>IF(OR(City_Inputs!$X31="",Norm_Stats!$F$12="",Norm_Stats!$G$12="",Norm_Stats!$G$12=Norm_Stats!$F$12),"",MAX(0,MIN(100,100*(MIN(MAX(City_Inputs!$X31,Norm_Stats!$F$12),Norm_Stats!$G$12)-Norm_Stats!$F$12)/(Norm_Stats!$G$12-Norm_Stats!$F$12))))</f>
        <v/>
      </c>
      <c r="AD31" s="11">
        <f>IF(AC31="","",1)</f>
        <v/>
      </c>
      <c r="AE31" s="15">
        <f>IF((IF(S31="",0,5)+IF(U31="",0,5)+IF(W31="",0,4)+IF(Y31="",0,4)+IF(AA31="",0,4)+IF(AC31="",0,5))=0,"",(IF(S31="",0,S31*5)+IF(U31="",0,U31*5)+IF(W31="",0,W31*4)+IF(Y31="",0,Y31*4)+IF(AA31="",0,AA31*4)+IF(AC31="",0,AC31*5))/(IF(S31="",0,5)+IF(U31="",0,5)+IF(W31="",0,4)+IF(Y31="",0,4)+IF(AA31="",0,4)+IF(AC31="",0,5)))</f>
        <v/>
      </c>
      <c r="AF31" s="14">
        <f>IF((IF(T31="",0,5)+IF(V31="",0,5)+IF(X31="",0,4)+IF(Z31="",0,4)+IF(AB31="",0,4)+IF(AD31="",0,5))=0,"",(IF(T31="",0,T31*5)+IF(V31="",0,V31*5)+IF(X31="",0,X31*4)+IF(Z31="",0,Z31*4)+IF(AB31="",0,AB31*4)+IF(AD31="",0,AD31*5))/27)</f>
        <v/>
      </c>
      <c r="AG31" s="11">
        <f>IF(OR(City_Inputs!$Y31="",Norm_Stats!$F$13="",Norm_Stats!$G$13="",Norm_Stats!$G$13=Norm_Stats!$F$13),"",MAX(0,MIN(100,100*(MIN(MAX(City_Inputs!$Y31,Norm_Stats!$F$13),Norm_Stats!$G$13)-Norm_Stats!$F$13)/(Norm_Stats!$G$13-Norm_Stats!$F$13))))</f>
        <v/>
      </c>
      <c r="AH31" s="14">
        <f>IF(AG31="","",1)</f>
        <v/>
      </c>
      <c r="AI31" s="11">
        <f>IF(OR(City_Inputs!$Z31="",Norm_Stats!$F$14="",Norm_Stats!$G$14="",Norm_Stats!$G$14=Norm_Stats!$F$14),"",MAX(0,MIN(100,100*(MIN(MAX(City_Inputs!$Z31,Norm_Stats!$F$14),Norm_Stats!$G$14)-Norm_Stats!$F$14)/(Norm_Stats!$G$14-Norm_Stats!$F$14))))</f>
        <v/>
      </c>
      <c r="AJ31" s="14">
        <f>IF(AI31="","",1)</f>
        <v/>
      </c>
      <c r="AK31" s="11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(IF(OR(City_Inputs!$AA31="",Norm_Stats!$F$15="",Norm_Stats!$G$15="",Norm_Stats!$G$15=Norm_Stats!$F$15),"",MAX(0,MIN(100,100*(MIN(MAX(City_Inputs!$AA31,Norm_Stats!$F$15),Norm_Stats!$G$15)-Norm_Stats!$F$15)/(Norm_Stats!$G$15-Norm_Stats!$F$15)))))*0.7)+IF((IF(OR(City_Inputs!$AL31="",Norm_Stats!$F$16="",Norm_Stats!$G$16="",Norm_Stats!$G$16=Norm_Stats!$F$16),"",MAX(0,MIN(100,100*(Norm_Stats!$G$16-MIN(MAX(City_Inputs!$AL31,Norm_Stats!$F$16),Norm_Stats!$G$16))/(Norm_Stats!$G$16-Norm_Stats!$F$16)))))="",0,(IF(OR(City_Inputs!$AL31="",Norm_Stats!$F$16="",Norm_Stats!$G$16="",Norm_Stats!$G$16=Norm_Stats!$F$16),"",MAX(0,MIN(100,100*(Norm_Stats!$G$16-MIN(MAX(City_Inputs!$AL31,Norm_Stats!$F$16),Norm_Stats!$G$16))/(Norm_Stats!$G$16-Norm_Stats!$F$16)))))*0.3))/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L31" s="14">
        <f>IF(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=0,"",(IF((IF(OR(City_Inputs!$AA31="",Norm_Stats!$F$15="",Norm_Stats!$G$15="",Norm_Stats!$G$15=Norm_Stats!$F$15),"",MAX(0,MIN(100,100*(MIN(MAX(City_Inputs!$AA31,Norm_Stats!$F$15),Norm_Stats!$G$15)-Norm_Stats!$F$15)/(Norm_Stats!$G$15-Norm_Stats!$F$15)))))="",0,0.7)+IF((IF(OR(City_Inputs!$AL31="",Norm_Stats!$F$16="",Norm_Stats!$G$16="",Norm_Stats!$G$16=Norm_Stats!$F$16),"",MAX(0,MIN(100,100*(Norm_Stats!$G$16-MIN(MAX(City_Inputs!$AL31,Norm_Stats!$F$16),Norm_Stats!$G$16))/(Norm_Stats!$G$16-Norm_Stats!$F$16)))))="",0,0.3)))</f>
        <v/>
      </c>
      <c r="AM31" s="15">
        <f>IF((IF(AG31="",0,8)+IF(AI31="",0,6)+IF(AK31="",0,4))=0,"",(IF(AG31="",0,AG31*8)+IF(AI31="",0,AI31*6)+IF(AK31="",0,AK31*4))/(IF(AG31="",0,8)+IF(AI31="",0,6)+IF(AK31="",0,4)))</f>
        <v/>
      </c>
      <c r="AN31" s="14">
        <f>IF((IF(AH31="",0,8)+IF(AJ31="",0,6)+IF(AL31="",0,4))=0,"",(IF(AH31="",0,AH31*8)+IF(AJ31="",0,AJ31*6)+IF(AL31="",0,AL31*4))/18)</f>
        <v/>
      </c>
      <c r="AO31" s="11">
        <f>IF(OR(City_Inputs!$AB31="",Norm_Stats!$F$17="",Norm_Stats!$G$17="",Norm_Stats!$G$17=Norm_Stats!$F$17),"",MAX(0,MIN(100,100*(MIN(MAX(City_Inputs!$AB31,Norm_Stats!$F$17),Norm_Stats!$G$17)-Norm_Stats!$F$17)/(Norm_Stats!$G$17-Norm_Stats!$F$17))))</f>
        <v/>
      </c>
      <c r="AP31" s="14">
        <f>IF(AO31="","",1)</f>
        <v/>
      </c>
      <c r="AQ31" s="11">
        <f>IF(OR(City_Inputs!$AC31="",Norm_Stats!$F$18="",Norm_Stats!$G$18="",Norm_Stats!$G$18=Norm_Stats!$F$18),"",MAX(0,MIN(100,100*(MIN(MAX(City_Inputs!$AC31,Norm_Stats!$F$18),Norm_Stats!$G$18)-Norm_Stats!$F$18)/(Norm_Stats!$G$18-Norm_Stats!$F$18))))</f>
        <v/>
      </c>
      <c r="AR31" s="14">
        <f>IF(AQ31="","",1)</f>
        <v/>
      </c>
      <c r="AS31" s="11">
        <f>IF(OR(City_Inputs!$AD31="",Norm_Stats!$F$19="",Norm_Stats!$G$19="",Norm_Stats!$G$19=Norm_Stats!$F$19),"",MAX(0,MIN(100,100*(MIN(MAX(City_Inputs!$AD31,Norm_Stats!$F$19),Norm_Stats!$G$19)-Norm_Stats!$F$19)/(Norm_Stats!$G$19-Norm_Stats!$F$19))))</f>
        <v/>
      </c>
      <c r="AT31" s="14">
        <f>IF(AS31="","",1)</f>
        <v/>
      </c>
      <c r="AU31" s="11">
        <f>IF(OR(City_Inputs!$BJ31="",Norm_Stats!$F$26="",Norm_Stats!$G$26="",Norm_Stats!$G$26=Norm_Stats!$F$26),"",MAX(0,MIN(100,100*(MIN(MAX(City_Inputs!$BJ31,Norm_Stats!$F$26),Norm_Stats!$G$26)-Norm_Stats!$F$26)/(Norm_Stats!$G$26-Norm_Stats!$F$26))))</f>
        <v/>
      </c>
      <c r="AV31" s="11">
        <f>IF(AU31="","",1)</f>
        <v/>
      </c>
      <c r="AW31" s="15">
        <f>IF((IF(AO31="",0,5)+IF(AQ31="",0,5)+IF(AS31="",0,5)+IF(AU31="",0,4))=0,"",(IF(AO31="",0,AO31*5)+IF(AQ31="",0,AQ31*5)+IF(AS31="",0,AS31*5)+IF(AU31="",0,AU31*4))/(IF(AO31="",0,5)+IF(AQ31="",0,5)+IF(AS31="",0,5)+IF(AU31="",0,4)))</f>
        <v/>
      </c>
      <c r="AX31" s="14">
        <f>IF((IF(AP31="",0,5)+IF(AR31="",0,5)+IF(AT31="",0,5)+IF(AV31="",0,4))=0,"",(IF(AP31="",0,AP31*5)+IF(AR31="",0,AR31*5)+IF(AT31="",0,AT31*5)+IF(AV31="",0,AV31*4))/19)</f>
        <v/>
      </c>
      <c r="AY31" s="11">
        <f>IF(OR(City_Inputs!$AE31="",Norm_Stats!$F$20="",Norm_Stats!$G$20="",Norm_Stats!$G$20=Norm_Stats!$F$20),"",MAX(0,MIN(100,100*(MIN(MAX(City_Inputs!$AE31,Norm_Stats!$F$20),Norm_Stats!$G$20)-Norm_Stats!$F$20)/(Norm_Stats!$G$20-Norm_Stats!$F$20))))</f>
        <v/>
      </c>
      <c r="AZ31" s="14">
        <f>IF(AY31="","",1)</f>
        <v/>
      </c>
      <c r="BA31" s="11">
        <f>IF(OR(City_Inputs!$AF31="",Norm_Stats!$F$21="",Norm_Stats!$G$21="",Norm_Stats!$G$21=Norm_Stats!$F$21),"",MAX(0,MIN(100,100*(MIN(MAX(City_Inputs!$AF31,Norm_Stats!$F$21),Norm_Stats!$G$21)-Norm_Stats!$F$21)/(Norm_Stats!$G$21-Norm_Stats!$F$21))))</f>
        <v/>
      </c>
      <c r="BB31" s="14">
        <f>IF(BA31="","",1)</f>
        <v/>
      </c>
      <c r="BC31" s="11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(IF(OR(City_Inputs!$AG31="",Norm_Stats!$F$22="",Norm_Stats!$G$22="",Norm_Stats!$G$22=Norm_Stats!$F$22),"",MAX(0,MIN(100,100*(MIN(MAX(City_Inputs!$AG31,Norm_Stats!$F$22),Norm_Stats!$G$22)-Norm_Stats!$F$22)/(Norm_Stats!$G$22-Norm_Stats!$F$22)))))*0.5)+IF((IF(OR(City_Inputs!$AJ31="",Norm_Stats!$F$23="",Norm_Stats!$G$23="",Norm_Stats!$G$23=Norm_Stats!$F$23),"",MAX(0,MIN(100,100*(MIN(MAX(City_Inputs!$AJ31,Norm_Stats!$F$23),Norm_Stats!$G$23)-Norm_Stats!$F$23)/(Norm_Stats!$G$23-Norm_Stats!$F$23)))))="",0,(IF(OR(City_Inputs!$AJ31="",Norm_Stats!$F$23="",Norm_Stats!$G$23="",Norm_Stats!$G$23=Norm_Stats!$F$23),"",MAX(0,MIN(100,100*(MIN(MAX(City_Inputs!$AJ31,Norm_Stats!$F$23),Norm_Stats!$G$23)-Norm_Stats!$F$23)/(Norm_Stats!$G$23-Norm_Stats!$F$23)))))*0.3)+IF((IF(OR(City_Inputs!$AK31="",Norm_Stats!$F$24="",Norm_Stats!$G$24="",Norm_Stats!$G$24=Norm_Stats!$F$24),"",MAX(0,MIN(100,100*(MIN(MAX(City_Inputs!$AK31,Norm_Stats!$F$24),Norm_Stats!$G$24)-Norm_Stats!$F$24)/(Norm_Stats!$G$24-Norm_Stats!$F$24)))))="",0,(IF(OR(City_Inputs!$AK31="",Norm_Stats!$F$24="",Norm_Stats!$G$24="",Norm_Stats!$G$24=Norm_Stats!$F$24),"",MAX(0,MIN(100,100*(MIN(MAX(City_Inputs!$AK31,Norm_Stats!$F$24),Norm_Stats!$G$24)-Norm_Stats!$F$24)/(Norm_Stats!$G$24-Norm_Stats!$F$24)))))*0.2))/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D31" s="14">
        <f>IF(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=0,"",(IF((IF(OR(City_Inputs!$AG31="",Norm_Stats!$F$22="",Norm_Stats!$G$22="",Norm_Stats!$G$22=Norm_Stats!$F$22),"",MAX(0,MIN(100,100*(MIN(MAX(City_Inputs!$AG31,Norm_Stats!$F$22),Norm_Stats!$G$22)-Norm_Stats!$F$22)/(Norm_Stats!$G$22-Norm_Stats!$F$22)))))="",0,0.5)+IF((IF(OR(City_Inputs!$AJ31="",Norm_Stats!$F$23="",Norm_Stats!$G$23="",Norm_Stats!$G$23=Norm_Stats!$F$23),"",MAX(0,MIN(100,100*(MIN(MAX(City_Inputs!$AJ31,Norm_Stats!$F$23),Norm_Stats!$G$23)-Norm_Stats!$F$23)/(Norm_Stats!$G$23-Norm_Stats!$F$23)))))="",0,0.3)+IF((IF(OR(City_Inputs!$AK31="",Norm_Stats!$F$24="",Norm_Stats!$G$24="",Norm_Stats!$G$24=Norm_Stats!$F$24),"",MAX(0,MIN(100,100*(MIN(MAX(City_Inputs!$AK31,Norm_Stats!$F$24),Norm_Stats!$G$24)-Norm_Stats!$F$24)/(Norm_Stats!$G$24-Norm_Stats!$F$24)))))="",0,0.2)))</f>
        <v/>
      </c>
      <c r="BE31" s="11">
        <f>IF(OR(City_Inputs!$AH31="",Norm_Stats!$F$25="",Norm_Stats!$G$25="",Norm_Stats!$G$25=Norm_Stats!$F$25),"",MAX(0,MIN(100,100*(Norm_Stats!$G$25-MIN(MAX(City_Inputs!$AH31,Norm_Stats!$F$25),Norm_Stats!$G$25))/(Norm_Stats!$G$25-Norm_Stats!$F$25))))</f>
        <v/>
      </c>
      <c r="BF31" s="14">
        <f>IF(BE31="","",1)</f>
        <v/>
      </c>
      <c r="BG31" s="15">
        <f>IF((IF(AY31="",0,6)+IF(BA31="",0,5)+IF(BC31="",0,5)+IF(BE31="",0,4))=0,"",(IF(AY31="",0,AY31*6)+IF(BA31="",0,BA31*5)+IF(BC31="",0,BC31*5)+IF(BE31="",0,BE31*4))/(IF(AY31="",0,6)+IF(BA31="",0,5)+IF(BC31="",0,5)+IF(BE31="",0,4)))</f>
        <v/>
      </c>
      <c r="BH31" s="14">
        <f>IF((IF(AZ31="",0,6)+IF(BB31="",0,5)+IF(BD31="",0,5)+IF(BF31="",0,4))=0,"",(IF(AZ31="",0,AZ31*6)+IF(BB31="",0,BB31*5)+IF(BD31="",0,BD31*5)+IF(BF31="",0,BF31*4))/20)</f>
        <v/>
      </c>
      <c r="BI31" s="14">
        <f>IF(AND(R31="",AF31="",AN31="",AX31="",BH31=""),"",((R31*25)+(AF31*22)+(AN31*18)+(AX31*15)+(BH31*20))/100)</f>
        <v/>
      </c>
      <c r="BJ31" s="11">
        <f>IF(BI31="","",IF(BI31&gt;=0.75,"A",IF(BI31&gt;=0.5,"B",IF(BI31&gt;=0.35,"C","Watchlist"))))</f>
        <v/>
      </c>
      <c r="BK31" s="11">
        <f>IF(OR(BI31="",BI31&lt;0.5,R31="",R31&lt;0.35,AF31="",AF31&lt;0.35,AN31="",AN31&lt;0.35,AX31="",AX31&lt;0.35,BH31="",BH31&lt;0.35),"Watchlist","Ranked")</f>
        <v/>
      </c>
      <c r="BL31" s="15">
        <f>IF(AND(Q31="",AE31="",AM31="",AW31="",BG31=""),"",(IF(Q31="",0,Q31*25)+IF(AE31="",0,AE31*22)+IF(AM31="",0,AM31*18)+IF(AW31="",0,AW31*15)+IF(BG31="",0,BG31*20))/(IF(Q31="",0,25)+IF(AE31="",0,22)+IF(AM31="",0,18)+IF(AW31="",0,15)+IF(BG31="",0,20)))</f>
        <v/>
      </c>
      <c r="BM31" s="11">
        <f>IF(BK31="Ranked",1+COUNTIFS($BK$2:$BK$158,"Ranked",$BL$2:$BL$158,"&gt;"&amp;BL31),"")</f>
        <v/>
      </c>
      <c r="BN31" s="11">
        <f>City_Inputs!$AI31</f>
        <v/>
      </c>
    </row>
    <row r="32">
      <c r="A32" t="inlineStr">
        <is>
          <t>bd-dhaka</t>
        </is>
      </c>
      <c r="B32" t="inlineStr">
        <is>
          <t>Dhaka</t>
        </is>
      </c>
      <c r="C32" t="inlineStr">
        <is>
          <t>Bangladesh</t>
        </is>
      </c>
      <c r="D32" t="inlineStr">
        <is>
          <t>South Asia</t>
        </is>
      </c>
      <c r="E32" t="inlineStr">
        <is>
          <t>provisional</t>
        </is>
      </c>
      <c r="F32" t="inlineStr">
        <is>
          <t>primary</t>
        </is>
      </c>
      <c r="G32" s="11">
        <f>IF(OR(City_Inputs!$M32="",Norm_Stats!$F$2="",Norm_Stats!$G$2="",Norm_Stats!$G$2=Norm_Stats!$F$2),"",MAX(0,MIN(100,100*(MIN(MAX(City_Inputs!$M32,Norm_Stats!$F$2),Norm_Stats!$G$2)-Norm_Stats!$F$2)/(Norm_Stats!$G$2-Norm_Stats!$F$2))))</f>
        <v/>
      </c>
      <c r="H32" s="14">
        <f>IF(G32="","",1)</f>
        <v/>
      </c>
      <c r="I32" s="11">
        <f>IF(OR(City_Inputs!$N32="",Norm_Stats!$F$3="",Norm_Stats!$G$3="",Norm_Stats!$G$3=Norm_Stats!$F$3),"",MAX(0,MIN(100,100*(Norm_Stats!$G$3-MIN(MAX(City_Inputs!$N32,Norm_Stats!$F$3),Norm_Stats!$G$3))/(Norm_Stats!$G$3-Norm_Stats!$F$3))))</f>
        <v/>
      </c>
      <c r="J32" s="14">
        <f>IF(I32="","",1)</f>
        <v/>
      </c>
      <c r="K32" s="11">
        <f>IF(OR(City_Inputs!$P32="",Norm_Stats!$F$4="",Norm_Stats!$G$4="",Norm_Stats!$G$4=Norm_Stats!$F$4),"",MAX(0,MIN(100,100*(Norm_Stats!$G$4-MIN(MAX(City_Inputs!$P32,Norm_Stats!$F$4),Norm_Stats!$G$4))/(Norm_Stats!$G$4-Norm_Stats!$F$4))))</f>
        <v/>
      </c>
      <c r="L32" s="14">
        <f>IF(K32="","",1)</f>
        <v/>
      </c>
      <c r="M32" s="11">
        <f>IF(OR(City_Inputs!$Q32="",Norm_Stats!$F$5="",Norm_Stats!$G$5="",Norm_Stats!$G$5=Norm_Stats!$F$5),"",MAX(0,MIN(100,100*(Norm_Stats!$G$5-MIN(MAX(City_Inputs!$Q32,Norm_Stats!$F$5),Norm_Stats!$G$5))/(Norm_Stats!$G$5-Norm_Stats!$F$5))))</f>
        <v/>
      </c>
      <c r="N32" s="14">
        <f>IF(M32="","",1)</f>
        <v/>
      </c>
      <c r="O32" s="11">
        <f>IF(OR(City_Inputs!$R32="",Norm_Stats!$F$6="",Norm_Stats!$G$6="",Norm_Stats!$G$6=Norm_Stats!$F$6),"",MAX(0,MIN(100,100*(Norm_Stats!$G$6-MIN(MAX(City_Inputs!$R32,Norm_Stats!$F$6),Norm_Stats!$G$6))/(Norm_Stats!$G$6-Norm_Stats!$F$6))))</f>
        <v/>
      </c>
      <c r="P32" s="14">
        <f>IF(O32="","",1)</f>
        <v/>
      </c>
      <c r="Q32" s="15">
        <f>IF((IF(G32="",0,9)+IF(I32="",0,5)+IF(K32="",0,4)+IF(M32="",0,4)+IF(O32="",0,5))=0,"",(IF(G32="",0,G32*9)+IF(I32="",0,I32*5)+IF(K32="",0,K32*4)+IF(M32="",0,M32*4)+IF(O32="",0,O32*5))/(IF(G32="",0,9)+IF(I32="",0,5)+IF(K32="",0,4)+IF(M32="",0,4)+IF(O32="",0,5)))</f>
        <v/>
      </c>
      <c r="R32" s="14">
        <f>IF((IF(H32="",0,9)+IF(J32="",0,5)+IF(L32="",0,4)+IF(N32="",0,4)+IF(P32="",0,5))=0,"",(IF(H32="",0,H32*9)+IF(J32="",0,J32*5)+IF(L32="",0,L32*4)+IF(N32="",0,N32*4)+IF(P32="",0,P32*5))/27)</f>
        <v/>
      </c>
      <c r="S32" s="11">
        <f>IF(OR(City_Inputs!$S32="",Norm_Stats!$F$7="",Norm_Stats!$G$7="",Norm_Stats!$G$7=Norm_Stats!$F$7),"",MAX(0,MIN(100,100*(Norm_Stats!$G$7-MIN(MAX(City_Inputs!$S32,Norm_Stats!$F$7),Norm_Stats!$G$7))/(Norm_Stats!$G$7-Norm_Stats!$F$7))))</f>
        <v/>
      </c>
      <c r="T32" s="14">
        <f>IF(S32="","",1)</f>
        <v/>
      </c>
      <c r="U32" s="11">
        <f>IF(OR(City_Inputs!$T32="",Norm_Stats!$F$8="",Norm_Stats!$G$8="",Norm_Stats!$G$8=Norm_Stats!$F$8),"",MAX(0,MIN(100,100*(MIN(MAX(City_Inputs!$T32,Norm_Stats!$F$8),Norm_Stats!$G$8)-Norm_Stats!$F$8)/(Norm_Stats!$G$8-Norm_Stats!$F$8))))</f>
        <v/>
      </c>
      <c r="V32" s="14">
        <f>IF(U32="","",1)</f>
        <v/>
      </c>
      <c r="W32" s="11">
        <f>IF(OR(City_Inputs!$U32="",Norm_Stats!$F$9="",Norm_Stats!$G$9="",Norm_Stats!$G$9=Norm_Stats!$F$9),"",MAX(0,MIN(100,100*(Norm_Stats!$G$9-MIN(MAX(City_Inputs!$U32,Norm_Stats!$F$9),Norm_Stats!$G$9))/(Norm_Stats!$G$9-Norm_Stats!$F$9))))</f>
        <v/>
      </c>
      <c r="X32" s="14">
        <f>IF(W32="","",1)</f>
        <v/>
      </c>
      <c r="Y32" s="11">
        <f>IF(OR(City_Inputs!$V32="",Norm_Stats!$F$10="",Norm_Stats!$G$10="",Norm_Stats!$G$10=Norm_Stats!$F$10),"",MAX(0,MIN(100,100*(MIN(MAX(City_Inputs!$V32,Norm_Stats!$F$10),Norm_Stats!$G$10)-Norm_Stats!$F$10)/(Norm_Stats!$G$10-Norm_Stats!$F$10))))</f>
        <v/>
      </c>
      <c r="Z32" s="14">
        <f>IF(Y32="","",1)</f>
        <v/>
      </c>
      <c r="AA32" s="11">
        <f>IF(OR(City_Inputs!$W32="",Norm_Stats!$F$11="",Norm_Stats!$G$11="",Norm_Stats!$G$11=Norm_Stats!$F$11),"",MAX(0,MIN(100,100*(MIN(MAX(City_Inputs!$W32,Norm_Stats!$F$11),Norm_Stats!$G$11)-Norm_Stats!$F$11)/(Norm_Stats!$G$11-Norm_Stats!$F$11))))</f>
        <v/>
      </c>
      <c r="AB32" s="14">
        <f>IF(AA32="","",1)</f>
        <v/>
      </c>
      <c r="AC32" s="11">
        <f>IF(OR(City_Inputs!$X32="",Norm_Stats!$F$12="",Norm_Stats!$G$12="",Norm_Stats!$G$12=Norm_Stats!$F$12),"",MAX(0,MIN(100,100*(MIN(MAX(City_Inputs!$X32,Norm_Stats!$F$12),Norm_Stats!$G$12)-Norm_Stats!$F$12)/(Norm_Stats!$G$12-Norm_Stats!$F$12))))</f>
        <v/>
      </c>
      <c r="AD32" s="11">
        <f>IF(AC32="","",1)</f>
        <v/>
      </c>
      <c r="AE32" s="15">
        <f>IF((IF(S32="",0,5)+IF(U32="",0,5)+IF(W32="",0,4)+IF(Y32="",0,4)+IF(AA32="",0,4)+IF(AC32="",0,5))=0,"",(IF(S32="",0,S32*5)+IF(U32="",0,U32*5)+IF(W32="",0,W32*4)+IF(Y32="",0,Y32*4)+IF(AA32="",0,AA32*4)+IF(AC32="",0,AC32*5))/(IF(S32="",0,5)+IF(U32="",0,5)+IF(W32="",0,4)+IF(Y32="",0,4)+IF(AA32="",0,4)+IF(AC32="",0,5)))</f>
        <v/>
      </c>
      <c r="AF32" s="14">
        <f>IF((IF(T32="",0,5)+IF(V32="",0,5)+IF(X32="",0,4)+IF(Z32="",0,4)+IF(AB32="",0,4)+IF(AD32="",0,5))=0,"",(IF(T32="",0,T32*5)+IF(V32="",0,V32*5)+IF(X32="",0,X32*4)+IF(Z32="",0,Z32*4)+IF(AB32="",0,AB32*4)+IF(AD32="",0,AD32*5))/27)</f>
        <v/>
      </c>
      <c r="AG32" s="11">
        <f>IF(OR(City_Inputs!$Y32="",Norm_Stats!$F$13="",Norm_Stats!$G$13="",Norm_Stats!$G$13=Norm_Stats!$F$13),"",MAX(0,MIN(100,100*(MIN(MAX(City_Inputs!$Y32,Norm_Stats!$F$13),Norm_Stats!$G$13)-Norm_Stats!$F$13)/(Norm_Stats!$G$13-Norm_Stats!$F$13))))</f>
        <v/>
      </c>
      <c r="AH32" s="14">
        <f>IF(AG32="","",1)</f>
        <v/>
      </c>
      <c r="AI32" s="11">
        <f>IF(OR(City_Inputs!$Z32="",Norm_Stats!$F$14="",Norm_Stats!$G$14="",Norm_Stats!$G$14=Norm_Stats!$F$14),"",MAX(0,MIN(100,100*(MIN(MAX(City_Inputs!$Z32,Norm_Stats!$F$14),Norm_Stats!$G$14)-Norm_Stats!$F$14)/(Norm_Stats!$G$14-Norm_Stats!$F$14))))</f>
        <v/>
      </c>
      <c r="AJ32" s="14">
        <f>IF(AI32="","",1)</f>
        <v/>
      </c>
      <c r="AK32" s="11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(IF(OR(City_Inputs!$AA32="",Norm_Stats!$F$15="",Norm_Stats!$G$15="",Norm_Stats!$G$15=Norm_Stats!$F$15),"",MAX(0,MIN(100,100*(MIN(MAX(City_Inputs!$AA32,Norm_Stats!$F$15),Norm_Stats!$G$15)-Norm_Stats!$F$15)/(Norm_Stats!$G$15-Norm_Stats!$F$15)))))*0.7)+IF((IF(OR(City_Inputs!$AL32="",Norm_Stats!$F$16="",Norm_Stats!$G$16="",Norm_Stats!$G$16=Norm_Stats!$F$16),"",MAX(0,MIN(100,100*(Norm_Stats!$G$16-MIN(MAX(City_Inputs!$AL32,Norm_Stats!$F$16),Norm_Stats!$G$16))/(Norm_Stats!$G$16-Norm_Stats!$F$16)))))="",0,(IF(OR(City_Inputs!$AL32="",Norm_Stats!$F$16="",Norm_Stats!$G$16="",Norm_Stats!$G$16=Norm_Stats!$F$16),"",MAX(0,MIN(100,100*(Norm_Stats!$G$16-MIN(MAX(City_Inputs!$AL32,Norm_Stats!$F$16),Norm_Stats!$G$16))/(Norm_Stats!$G$16-Norm_Stats!$F$16)))))*0.3))/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L32" s="14">
        <f>IF(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=0,"",(IF((IF(OR(City_Inputs!$AA32="",Norm_Stats!$F$15="",Norm_Stats!$G$15="",Norm_Stats!$G$15=Norm_Stats!$F$15),"",MAX(0,MIN(100,100*(MIN(MAX(City_Inputs!$AA32,Norm_Stats!$F$15),Norm_Stats!$G$15)-Norm_Stats!$F$15)/(Norm_Stats!$G$15-Norm_Stats!$F$15)))))="",0,0.7)+IF((IF(OR(City_Inputs!$AL32="",Norm_Stats!$F$16="",Norm_Stats!$G$16="",Norm_Stats!$G$16=Norm_Stats!$F$16),"",MAX(0,MIN(100,100*(Norm_Stats!$G$16-MIN(MAX(City_Inputs!$AL32,Norm_Stats!$F$16),Norm_Stats!$G$16))/(Norm_Stats!$G$16-Norm_Stats!$F$16)))))="",0,0.3)))</f>
        <v/>
      </c>
      <c r="AM32" s="15">
        <f>IF((IF(AG32="",0,8)+IF(AI32="",0,6)+IF(AK32="",0,4))=0,"",(IF(AG32="",0,AG32*8)+IF(AI32="",0,AI32*6)+IF(AK32="",0,AK32*4))/(IF(AG32="",0,8)+IF(AI32="",0,6)+IF(AK32="",0,4)))</f>
        <v/>
      </c>
      <c r="AN32" s="14">
        <f>IF((IF(AH32="",0,8)+IF(AJ32="",0,6)+IF(AL32="",0,4))=0,"",(IF(AH32="",0,AH32*8)+IF(AJ32="",0,AJ32*6)+IF(AL32="",0,AL32*4))/18)</f>
        <v/>
      </c>
      <c r="AO32" s="11">
        <f>IF(OR(City_Inputs!$AB32="",Norm_Stats!$F$17="",Norm_Stats!$G$17="",Norm_Stats!$G$17=Norm_Stats!$F$17),"",MAX(0,MIN(100,100*(MIN(MAX(City_Inputs!$AB32,Norm_Stats!$F$17),Norm_Stats!$G$17)-Norm_Stats!$F$17)/(Norm_Stats!$G$17-Norm_Stats!$F$17))))</f>
        <v/>
      </c>
      <c r="AP32" s="14">
        <f>IF(AO32="","",1)</f>
        <v/>
      </c>
      <c r="AQ32" s="11">
        <f>IF(OR(City_Inputs!$AC32="",Norm_Stats!$F$18="",Norm_Stats!$G$18="",Norm_Stats!$G$18=Norm_Stats!$F$18),"",MAX(0,MIN(100,100*(MIN(MAX(City_Inputs!$AC32,Norm_Stats!$F$18),Norm_Stats!$G$18)-Norm_Stats!$F$18)/(Norm_Stats!$G$18-Norm_Stats!$F$18))))</f>
        <v/>
      </c>
      <c r="AR32" s="14">
        <f>IF(AQ32="","",1)</f>
        <v/>
      </c>
      <c r="AS32" s="11">
        <f>IF(OR(City_Inputs!$AD32="",Norm_Stats!$F$19="",Norm_Stats!$G$19="",Norm_Stats!$G$19=Norm_Stats!$F$19),"",MAX(0,MIN(100,100*(MIN(MAX(City_Inputs!$AD32,Norm_Stats!$F$19),Norm_Stats!$G$19)-Norm_Stats!$F$19)/(Norm_Stats!$G$19-Norm_Stats!$F$19))))</f>
        <v/>
      </c>
      <c r="AT32" s="14">
        <f>IF(AS32="","",1)</f>
        <v/>
      </c>
      <c r="AU32" s="11">
        <f>IF(OR(City_Inputs!$BJ32="",Norm_Stats!$F$26="",Norm_Stats!$G$26="",Norm_Stats!$G$26=Norm_Stats!$F$26),"",MAX(0,MIN(100,100*(MIN(MAX(City_Inputs!$BJ32,Norm_Stats!$F$26),Norm_Stats!$G$26)-Norm_Stats!$F$26)/(Norm_Stats!$G$26-Norm_Stats!$F$26))))</f>
        <v/>
      </c>
      <c r="AV32" s="11">
        <f>IF(AU32="","",1)</f>
        <v/>
      </c>
      <c r="AW32" s="15">
        <f>IF((IF(AO32="",0,5)+IF(AQ32="",0,5)+IF(AS32="",0,5)+IF(AU32="",0,4))=0,"",(IF(AO32="",0,AO32*5)+IF(AQ32="",0,AQ32*5)+IF(AS32="",0,AS32*5)+IF(AU32="",0,AU32*4))/(IF(AO32="",0,5)+IF(AQ32="",0,5)+IF(AS32="",0,5)+IF(AU32="",0,4)))</f>
        <v/>
      </c>
      <c r="AX32" s="14">
        <f>IF((IF(AP32="",0,5)+IF(AR32="",0,5)+IF(AT32="",0,5)+IF(AV32="",0,4))=0,"",(IF(AP32="",0,AP32*5)+IF(AR32="",0,AR32*5)+IF(AT32="",0,AT32*5)+IF(AV32="",0,AV32*4))/19)</f>
        <v/>
      </c>
      <c r="AY32" s="11">
        <f>IF(OR(City_Inputs!$AE32="",Norm_Stats!$F$20="",Norm_Stats!$G$20="",Norm_Stats!$G$20=Norm_Stats!$F$20),"",MAX(0,MIN(100,100*(MIN(MAX(City_Inputs!$AE32,Norm_Stats!$F$20),Norm_Stats!$G$20)-Norm_Stats!$F$20)/(Norm_Stats!$G$20-Norm_Stats!$F$20))))</f>
        <v/>
      </c>
      <c r="AZ32" s="14">
        <f>IF(AY32="","",1)</f>
        <v/>
      </c>
      <c r="BA32" s="11">
        <f>IF(OR(City_Inputs!$AF32="",Norm_Stats!$F$21="",Norm_Stats!$G$21="",Norm_Stats!$G$21=Norm_Stats!$F$21),"",MAX(0,MIN(100,100*(MIN(MAX(City_Inputs!$AF32,Norm_Stats!$F$21),Norm_Stats!$G$21)-Norm_Stats!$F$21)/(Norm_Stats!$G$21-Norm_Stats!$F$21))))</f>
        <v/>
      </c>
      <c r="BB32" s="14">
        <f>IF(BA32="","",1)</f>
        <v/>
      </c>
      <c r="BC32" s="11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(IF(OR(City_Inputs!$AG32="",Norm_Stats!$F$22="",Norm_Stats!$G$22="",Norm_Stats!$G$22=Norm_Stats!$F$22),"",MAX(0,MIN(100,100*(MIN(MAX(City_Inputs!$AG32,Norm_Stats!$F$22),Norm_Stats!$G$22)-Norm_Stats!$F$22)/(Norm_Stats!$G$22-Norm_Stats!$F$22)))))*0.5)+IF((IF(OR(City_Inputs!$AJ32="",Norm_Stats!$F$23="",Norm_Stats!$G$23="",Norm_Stats!$G$23=Norm_Stats!$F$23),"",MAX(0,MIN(100,100*(MIN(MAX(City_Inputs!$AJ32,Norm_Stats!$F$23),Norm_Stats!$G$23)-Norm_Stats!$F$23)/(Norm_Stats!$G$23-Norm_Stats!$F$23)))))="",0,(IF(OR(City_Inputs!$AJ32="",Norm_Stats!$F$23="",Norm_Stats!$G$23="",Norm_Stats!$G$23=Norm_Stats!$F$23),"",MAX(0,MIN(100,100*(MIN(MAX(City_Inputs!$AJ32,Norm_Stats!$F$23),Norm_Stats!$G$23)-Norm_Stats!$F$23)/(Norm_Stats!$G$23-Norm_Stats!$F$23)))))*0.3)+IF((IF(OR(City_Inputs!$AK32="",Norm_Stats!$F$24="",Norm_Stats!$G$24="",Norm_Stats!$G$24=Norm_Stats!$F$24),"",MAX(0,MIN(100,100*(MIN(MAX(City_Inputs!$AK32,Norm_Stats!$F$24),Norm_Stats!$G$24)-Norm_Stats!$F$24)/(Norm_Stats!$G$24-Norm_Stats!$F$24)))))="",0,(IF(OR(City_Inputs!$AK32="",Norm_Stats!$F$24="",Norm_Stats!$G$24="",Norm_Stats!$G$24=Norm_Stats!$F$24),"",MAX(0,MIN(100,100*(MIN(MAX(City_Inputs!$AK32,Norm_Stats!$F$24),Norm_Stats!$G$24)-Norm_Stats!$F$24)/(Norm_Stats!$G$24-Norm_Stats!$F$24)))))*0.2))/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D32" s="14">
        <f>IF(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=0,"",(IF((IF(OR(City_Inputs!$AG32="",Norm_Stats!$F$22="",Norm_Stats!$G$22="",Norm_Stats!$G$22=Norm_Stats!$F$22),"",MAX(0,MIN(100,100*(MIN(MAX(City_Inputs!$AG32,Norm_Stats!$F$22),Norm_Stats!$G$22)-Norm_Stats!$F$22)/(Norm_Stats!$G$22-Norm_Stats!$F$22)))))="",0,0.5)+IF((IF(OR(City_Inputs!$AJ32="",Norm_Stats!$F$23="",Norm_Stats!$G$23="",Norm_Stats!$G$23=Norm_Stats!$F$23),"",MAX(0,MIN(100,100*(MIN(MAX(City_Inputs!$AJ32,Norm_Stats!$F$23),Norm_Stats!$G$23)-Norm_Stats!$F$23)/(Norm_Stats!$G$23-Norm_Stats!$F$23)))))="",0,0.3)+IF((IF(OR(City_Inputs!$AK32="",Norm_Stats!$F$24="",Norm_Stats!$G$24="",Norm_Stats!$G$24=Norm_Stats!$F$24),"",MAX(0,MIN(100,100*(MIN(MAX(City_Inputs!$AK32,Norm_Stats!$F$24),Norm_Stats!$G$24)-Norm_Stats!$F$24)/(Norm_Stats!$G$24-Norm_Stats!$F$24)))))="",0,0.2)))</f>
        <v/>
      </c>
      <c r="BE32" s="11">
        <f>IF(OR(City_Inputs!$AH32="",Norm_Stats!$F$25="",Norm_Stats!$G$25="",Norm_Stats!$G$25=Norm_Stats!$F$25),"",MAX(0,MIN(100,100*(Norm_Stats!$G$25-MIN(MAX(City_Inputs!$AH32,Norm_Stats!$F$25),Norm_Stats!$G$25))/(Norm_Stats!$G$25-Norm_Stats!$F$25))))</f>
        <v/>
      </c>
      <c r="BF32" s="14">
        <f>IF(BE32="","",1)</f>
        <v/>
      </c>
      <c r="BG32" s="15">
        <f>IF((IF(AY32="",0,6)+IF(BA32="",0,5)+IF(BC32="",0,5)+IF(BE32="",0,4))=0,"",(IF(AY32="",0,AY32*6)+IF(BA32="",0,BA32*5)+IF(BC32="",0,BC32*5)+IF(BE32="",0,BE32*4))/(IF(AY32="",0,6)+IF(BA32="",0,5)+IF(BC32="",0,5)+IF(BE32="",0,4)))</f>
        <v/>
      </c>
      <c r="BH32" s="14">
        <f>IF((IF(AZ32="",0,6)+IF(BB32="",0,5)+IF(BD32="",0,5)+IF(BF32="",0,4))=0,"",(IF(AZ32="",0,AZ32*6)+IF(BB32="",0,BB32*5)+IF(BD32="",0,BD32*5)+IF(BF32="",0,BF32*4))/20)</f>
        <v/>
      </c>
      <c r="BI32" s="14">
        <f>IF(AND(R32="",AF32="",AN32="",AX32="",BH32=""),"",((R32*25)+(AF32*22)+(AN32*18)+(AX32*15)+(BH32*20))/100)</f>
        <v/>
      </c>
      <c r="BJ32" s="11">
        <f>IF(BI32="","",IF(BI32&gt;=0.75,"A",IF(BI32&gt;=0.5,"B",IF(BI32&gt;=0.35,"C","Watchlist"))))</f>
        <v/>
      </c>
      <c r="BK32" s="11">
        <f>IF(OR(BI32="",BI32&lt;0.5,R32="",R32&lt;0.35,AF32="",AF32&lt;0.35,AN32="",AN32&lt;0.35,AX32="",AX32&lt;0.35,BH32="",BH32&lt;0.35),"Watchlist","Ranked")</f>
        <v/>
      </c>
      <c r="BL32" s="15">
        <f>IF(AND(Q32="",AE32="",AM32="",AW32="",BG32=""),"",(IF(Q32="",0,Q32*25)+IF(AE32="",0,AE32*22)+IF(AM32="",0,AM32*18)+IF(AW32="",0,AW32*15)+IF(BG32="",0,BG32*20))/(IF(Q32="",0,25)+IF(AE32="",0,22)+IF(AM32="",0,18)+IF(AW32="",0,15)+IF(BG32="",0,20)))</f>
        <v/>
      </c>
      <c r="BM32" s="11">
        <f>IF(BK32="Ranked",1+COUNTIFS($BK$2:$BK$158,"Ranked",$BL$2:$BL$158,"&gt;"&amp;BL32),"")</f>
        <v/>
      </c>
      <c r="BN32" s="11">
        <f>City_Inputs!$AI32</f>
        <v/>
      </c>
    </row>
    <row r="33">
      <c r="A33" t="inlineStr">
        <is>
          <t>pk-karachi</t>
        </is>
      </c>
      <c r="B33" t="inlineStr">
        <is>
          <t>Karachi</t>
        </is>
      </c>
      <c r="C33" t="inlineStr">
        <is>
          <t>Pakistan</t>
        </is>
      </c>
      <c r="D33" t="inlineStr">
        <is>
          <t>South Asia</t>
        </is>
      </c>
      <c r="E33" t="inlineStr">
        <is>
          <t>provisional</t>
        </is>
      </c>
      <c r="F33" t="inlineStr">
        <is>
          <t>primary</t>
        </is>
      </c>
      <c r="G33" s="11">
        <f>IF(OR(City_Inputs!$M33="",Norm_Stats!$F$2="",Norm_Stats!$G$2="",Norm_Stats!$G$2=Norm_Stats!$F$2),"",MAX(0,MIN(100,100*(MIN(MAX(City_Inputs!$M33,Norm_Stats!$F$2),Norm_Stats!$G$2)-Norm_Stats!$F$2)/(Norm_Stats!$G$2-Norm_Stats!$F$2))))</f>
        <v/>
      </c>
      <c r="H33" s="14">
        <f>IF(G33="","",1)</f>
        <v/>
      </c>
      <c r="I33" s="11">
        <f>IF(OR(City_Inputs!$N33="",Norm_Stats!$F$3="",Norm_Stats!$G$3="",Norm_Stats!$G$3=Norm_Stats!$F$3),"",MAX(0,MIN(100,100*(Norm_Stats!$G$3-MIN(MAX(City_Inputs!$N33,Norm_Stats!$F$3),Norm_Stats!$G$3))/(Norm_Stats!$G$3-Norm_Stats!$F$3))))</f>
        <v/>
      </c>
      <c r="J33" s="14">
        <f>IF(I33="","",1)</f>
        <v/>
      </c>
      <c r="K33" s="11">
        <f>IF(OR(City_Inputs!$P33="",Norm_Stats!$F$4="",Norm_Stats!$G$4="",Norm_Stats!$G$4=Norm_Stats!$F$4),"",MAX(0,MIN(100,100*(Norm_Stats!$G$4-MIN(MAX(City_Inputs!$P33,Norm_Stats!$F$4),Norm_Stats!$G$4))/(Norm_Stats!$G$4-Norm_Stats!$F$4))))</f>
        <v/>
      </c>
      <c r="L33" s="14">
        <f>IF(K33="","",1)</f>
        <v/>
      </c>
      <c r="M33" s="11">
        <f>IF(OR(City_Inputs!$Q33="",Norm_Stats!$F$5="",Norm_Stats!$G$5="",Norm_Stats!$G$5=Norm_Stats!$F$5),"",MAX(0,MIN(100,100*(Norm_Stats!$G$5-MIN(MAX(City_Inputs!$Q33,Norm_Stats!$F$5),Norm_Stats!$G$5))/(Norm_Stats!$G$5-Norm_Stats!$F$5))))</f>
        <v/>
      </c>
      <c r="N33" s="14">
        <f>IF(M33="","",1)</f>
        <v/>
      </c>
      <c r="O33" s="11">
        <f>IF(OR(City_Inputs!$R33="",Norm_Stats!$F$6="",Norm_Stats!$G$6="",Norm_Stats!$G$6=Norm_Stats!$F$6),"",MAX(0,MIN(100,100*(Norm_Stats!$G$6-MIN(MAX(City_Inputs!$R33,Norm_Stats!$F$6),Norm_Stats!$G$6))/(Norm_Stats!$G$6-Norm_Stats!$F$6))))</f>
        <v/>
      </c>
      <c r="P33" s="14">
        <f>IF(O33="","",1)</f>
        <v/>
      </c>
      <c r="Q33" s="15">
        <f>IF((IF(G33="",0,9)+IF(I33="",0,5)+IF(K33="",0,4)+IF(M33="",0,4)+IF(O33="",0,5))=0,"",(IF(G33="",0,G33*9)+IF(I33="",0,I33*5)+IF(K33="",0,K33*4)+IF(M33="",0,M33*4)+IF(O33="",0,O33*5))/(IF(G33="",0,9)+IF(I33="",0,5)+IF(K33="",0,4)+IF(M33="",0,4)+IF(O33="",0,5)))</f>
        <v/>
      </c>
      <c r="R33" s="14">
        <f>IF((IF(H33="",0,9)+IF(J33="",0,5)+IF(L33="",0,4)+IF(N33="",0,4)+IF(P33="",0,5))=0,"",(IF(H33="",0,H33*9)+IF(J33="",0,J33*5)+IF(L33="",0,L33*4)+IF(N33="",0,N33*4)+IF(P33="",0,P33*5))/27)</f>
        <v/>
      </c>
      <c r="S33" s="11">
        <f>IF(OR(City_Inputs!$S33="",Norm_Stats!$F$7="",Norm_Stats!$G$7="",Norm_Stats!$G$7=Norm_Stats!$F$7),"",MAX(0,MIN(100,100*(Norm_Stats!$G$7-MIN(MAX(City_Inputs!$S33,Norm_Stats!$F$7),Norm_Stats!$G$7))/(Norm_Stats!$G$7-Norm_Stats!$F$7))))</f>
        <v/>
      </c>
      <c r="T33" s="14">
        <f>IF(S33="","",1)</f>
        <v/>
      </c>
      <c r="U33" s="11">
        <f>IF(OR(City_Inputs!$T33="",Norm_Stats!$F$8="",Norm_Stats!$G$8="",Norm_Stats!$G$8=Norm_Stats!$F$8),"",MAX(0,MIN(100,100*(MIN(MAX(City_Inputs!$T33,Norm_Stats!$F$8),Norm_Stats!$G$8)-Norm_Stats!$F$8)/(Norm_Stats!$G$8-Norm_Stats!$F$8))))</f>
        <v/>
      </c>
      <c r="V33" s="14">
        <f>IF(U33="","",1)</f>
        <v/>
      </c>
      <c r="W33" s="11">
        <f>IF(OR(City_Inputs!$U33="",Norm_Stats!$F$9="",Norm_Stats!$G$9="",Norm_Stats!$G$9=Norm_Stats!$F$9),"",MAX(0,MIN(100,100*(Norm_Stats!$G$9-MIN(MAX(City_Inputs!$U33,Norm_Stats!$F$9),Norm_Stats!$G$9))/(Norm_Stats!$G$9-Norm_Stats!$F$9))))</f>
        <v/>
      </c>
      <c r="X33" s="14">
        <f>IF(W33="","",1)</f>
        <v/>
      </c>
      <c r="Y33" s="11">
        <f>IF(OR(City_Inputs!$V33="",Norm_Stats!$F$10="",Norm_Stats!$G$10="",Norm_Stats!$G$10=Norm_Stats!$F$10),"",MAX(0,MIN(100,100*(MIN(MAX(City_Inputs!$V33,Norm_Stats!$F$10),Norm_Stats!$G$10)-Norm_Stats!$F$10)/(Norm_Stats!$G$10-Norm_Stats!$F$10))))</f>
        <v/>
      </c>
      <c r="Z33" s="14">
        <f>IF(Y33="","",1)</f>
        <v/>
      </c>
      <c r="AA33" s="11">
        <f>IF(OR(City_Inputs!$W33="",Norm_Stats!$F$11="",Norm_Stats!$G$11="",Norm_Stats!$G$11=Norm_Stats!$F$11),"",MAX(0,MIN(100,100*(MIN(MAX(City_Inputs!$W33,Norm_Stats!$F$11),Norm_Stats!$G$11)-Norm_Stats!$F$11)/(Norm_Stats!$G$11-Norm_Stats!$F$11))))</f>
        <v/>
      </c>
      <c r="AB33" s="14">
        <f>IF(AA33="","",1)</f>
        <v/>
      </c>
      <c r="AC33" s="11">
        <f>IF(OR(City_Inputs!$X33="",Norm_Stats!$F$12="",Norm_Stats!$G$12="",Norm_Stats!$G$12=Norm_Stats!$F$12),"",MAX(0,MIN(100,100*(MIN(MAX(City_Inputs!$X33,Norm_Stats!$F$12),Norm_Stats!$G$12)-Norm_Stats!$F$12)/(Norm_Stats!$G$12-Norm_Stats!$F$12))))</f>
        <v/>
      </c>
      <c r="AD33" s="11">
        <f>IF(AC33="","",1)</f>
        <v/>
      </c>
      <c r="AE33" s="15">
        <f>IF((IF(S33="",0,5)+IF(U33="",0,5)+IF(W33="",0,4)+IF(Y33="",0,4)+IF(AA33="",0,4)+IF(AC33="",0,5))=0,"",(IF(S33="",0,S33*5)+IF(U33="",0,U33*5)+IF(W33="",0,W33*4)+IF(Y33="",0,Y33*4)+IF(AA33="",0,AA33*4)+IF(AC33="",0,AC33*5))/(IF(S33="",0,5)+IF(U33="",0,5)+IF(W33="",0,4)+IF(Y33="",0,4)+IF(AA33="",0,4)+IF(AC33="",0,5)))</f>
        <v/>
      </c>
      <c r="AF33" s="14">
        <f>IF((IF(T33="",0,5)+IF(V33="",0,5)+IF(X33="",0,4)+IF(Z33="",0,4)+IF(AB33="",0,4)+IF(AD33="",0,5))=0,"",(IF(T33="",0,T33*5)+IF(V33="",0,V33*5)+IF(X33="",0,X33*4)+IF(Z33="",0,Z33*4)+IF(AB33="",0,AB33*4)+IF(AD33="",0,AD33*5))/27)</f>
        <v/>
      </c>
      <c r="AG33" s="11">
        <f>IF(OR(City_Inputs!$Y33="",Norm_Stats!$F$13="",Norm_Stats!$G$13="",Norm_Stats!$G$13=Norm_Stats!$F$13),"",MAX(0,MIN(100,100*(MIN(MAX(City_Inputs!$Y33,Norm_Stats!$F$13),Norm_Stats!$G$13)-Norm_Stats!$F$13)/(Norm_Stats!$G$13-Norm_Stats!$F$13))))</f>
        <v/>
      </c>
      <c r="AH33" s="14">
        <f>IF(AG33="","",1)</f>
        <v/>
      </c>
      <c r="AI33" s="11">
        <f>IF(OR(City_Inputs!$Z33="",Norm_Stats!$F$14="",Norm_Stats!$G$14="",Norm_Stats!$G$14=Norm_Stats!$F$14),"",MAX(0,MIN(100,100*(MIN(MAX(City_Inputs!$Z33,Norm_Stats!$F$14),Norm_Stats!$G$14)-Norm_Stats!$F$14)/(Norm_Stats!$G$14-Norm_Stats!$F$14))))</f>
        <v/>
      </c>
      <c r="AJ33" s="14">
        <f>IF(AI33="","",1)</f>
        <v/>
      </c>
      <c r="AK33" s="11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(IF(OR(City_Inputs!$AA33="",Norm_Stats!$F$15="",Norm_Stats!$G$15="",Norm_Stats!$G$15=Norm_Stats!$F$15),"",MAX(0,MIN(100,100*(MIN(MAX(City_Inputs!$AA33,Norm_Stats!$F$15),Norm_Stats!$G$15)-Norm_Stats!$F$15)/(Norm_Stats!$G$15-Norm_Stats!$F$15)))))*0.7)+IF((IF(OR(City_Inputs!$AL33="",Norm_Stats!$F$16="",Norm_Stats!$G$16="",Norm_Stats!$G$16=Norm_Stats!$F$16),"",MAX(0,MIN(100,100*(Norm_Stats!$G$16-MIN(MAX(City_Inputs!$AL33,Norm_Stats!$F$16),Norm_Stats!$G$16))/(Norm_Stats!$G$16-Norm_Stats!$F$16)))))="",0,(IF(OR(City_Inputs!$AL33="",Norm_Stats!$F$16="",Norm_Stats!$G$16="",Norm_Stats!$G$16=Norm_Stats!$F$16),"",MAX(0,MIN(100,100*(Norm_Stats!$G$16-MIN(MAX(City_Inputs!$AL33,Norm_Stats!$F$16),Norm_Stats!$G$16))/(Norm_Stats!$G$16-Norm_Stats!$F$16)))))*0.3))/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L33" s="14">
        <f>IF(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=0,"",(IF((IF(OR(City_Inputs!$AA33="",Norm_Stats!$F$15="",Norm_Stats!$G$15="",Norm_Stats!$G$15=Norm_Stats!$F$15),"",MAX(0,MIN(100,100*(MIN(MAX(City_Inputs!$AA33,Norm_Stats!$F$15),Norm_Stats!$G$15)-Norm_Stats!$F$15)/(Norm_Stats!$G$15-Norm_Stats!$F$15)))))="",0,0.7)+IF((IF(OR(City_Inputs!$AL33="",Norm_Stats!$F$16="",Norm_Stats!$G$16="",Norm_Stats!$G$16=Norm_Stats!$F$16),"",MAX(0,MIN(100,100*(Norm_Stats!$G$16-MIN(MAX(City_Inputs!$AL33,Norm_Stats!$F$16),Norm_Stats!$G$16))/(Norm_Stats!$G$16-Norm_Stats!$F$16)))))="",0,0.3)))</f>
        <v/>
      </c>
      <c r="AM33" s="15">
        <f>IF((IF(AG33="",0,8)+IF(AI33="",0,6)+IF(AK33="",0,4))=0,"",(IF(AG33="",0,AG33*8)+IF(AI33="",0,AI33*6)+IF(AK33="",0,AK33*4))/(IF(AG33="",0,8)+IF(AI33="",0,6)+IF(AK33="",0,4)))</f>
        <v/>
      </c>
      <c r="AN33" s="14">
        <f>IF((IF(AH33="",0,8)+IF(AJ33="",0,6)+IF(AL33="",0,4))=0,"",(IF(AH33="",0,AH33*8)+IF(AJ33="",0,AJ33*6)+IF(AL33="",0,AL33*4))/18)</f>
        <v/>
      </c>
      <c r="AO33" s="11">
        <f>IF(OR(City_Inputs!$AB33="",Norm_Stats!$F$17="",Norm_Stats!$G$17="",Norm_Stats!$G$17=Norm_Stats!$F$17),"",MAX(0,MIN(100,100*(MIN(MAX(City_Inputs!$AB33,Norm_Stats!$F$17),Norm_Stats!$G$17)-Norm_Stats!$F$17)/(Norm_Stats!$G$17-Norm_Stats!$F$17))))</f>
        <v/>
      </c>
      <c r="AP33" s="14">
        <f>IF(AO33="","",1)</f>
        <v/>
      </c>
      <c r="AQ33" s="11">
        <f>IF(OR(City_Inputs!$AC33="",Norm_Stats!$F$18="",Norm_Stats!$G$18="",Norm_Stats!$G$18=Norm_Stats!$F$18),"",MAX(0,MIN(100,100*(MIN(MAX(City_Inputs!$AC33,Norm_Stats!$F$18),Norm_Stats!$G$18)-Norm_Stats!$F$18)/(Norm_Stats!$G$18-Norm_Stats!$F$18))))</f>
        <v/>
      </c>
      <c r="AR33" s="14">
        <f>IF(AQ33="","",1)</f>
        <v/>
      </c>
      <c r="AS33" s="11">
        <f>IF(OR(City_Inputs!$AD33="",Norm_Stats!$F$19="",Norm_Stats!$G$19="",Norm_Stats!$G$19=Norm_Stats!$F$19),"",MAX(0,MIN(100,100*(MIN(MAX(City_Inputs!$AD33,Norm_Stats!$F$19),Norm_Stats!$G$19)-Norm_Stats!$F$19)/(Norm_Stats!$G$19-Norm_Stats!$F$19))))</f>
        <v/>
      </c>
      <c r="AT33" s="14">
        <f>IF(AS33="","",1)</f>
        <v/>
      </c>
      <c r="AU33" s="11">
        <f>IF(OR(City_Inputs!$BJ33="",Norm_Stats!$F$26="",Norm_Stats!$G$26="",Norm_Stats!$G$26=Norm_Stats!$F$26),"",MAX(0,MIN(100,100*(MIN(MAX(City_Inputs!$BJ33,Norm_Stats!$F$26),Norm_Stats!$G$26)-Norm_Stats!$F$26)/(Norm_Stats!$G$26-Norm_Stats!$F$26))))</f>
        <v/>
      </c>
      <c r="AV33" s="11">
        <f>IF(AU33="","",1)</f>
        <v/>
      </c>
      <c r="AW33" s="15">
        <f>IF((IF(AO33="",0,5)+IF(AQ33="",0,5)+IF(AS33="",0,5)+IF(AU33="",0,4))=0,"",(IF(AO33="",0,AO33*5)+IF(AQ33="",0,AQ33*5)+IF(AS33="",0,AS33*5)+IF(AU33="",0,AU33*4))/(IF(AO33="",0,5)+IF(AQ33="",0,5)+IF(AS33="",0,5)+IF(AU33="",0,4)))</f>
        <v/>
      </c>
      <c r="AX33" s="14">
        <f>IF((IF(AP33="",0,5)+IF(AR33="",0,5)+IF(AT33="",0,5)+IF(AV33="",0,4))=0,"",(IF(AP33="",0,AP33*5)+IF(AR33="",0,AR33*5)+IF(AT33="",0,AT33*5)+IF(AV33="",0,AV33*4))/19)</f>
        <v/>
      </c>
      <c r="AY33" s="11">
        <f>IF(OR(City_Inputs!$AE33="",Norm_Stats!$F$20="",Norm_Stats!$G$20="",Norm_Stats!$G$20=Norm_Stats!$F$20),"",MAX(0,MIN(100,100*(MIN(MAX(City_Inputs!$AE33,Norm_Stats!$F$20),Norm_Stats!$G$20)-Norm_Stats!$F$20)/(Norm_Stats!$G$20-Norm_Stats!$F$20))))</f>
        <v/>
      </c>
      <c r="AZ33" s="14">
        <f>IF(AY33="","",1)</f>
        <v/>
      </c>
      <c r="BA33" s="11">
        <f>IF(OR(City_Inputs!$AF33="",Norm_Stats!$F$21="",Norm_Stats!$G$21="",Norm_Stats!$G$21=Norm_Stats!$F$21),"",MAX(0,MIN(100,100*(MIN(MAX(City_Inputs!$AF33,Norm_Stats!$F$21),Norm_Stats!$G$21)-Norm_Stats!$F$21)/(Norm_Stats!$G$21-Norm_Stats!$F$21))))</f>
        <v/>
      </c>
      <c r="BB33" s="14">
        <f>IF(BA33="","",1)</f>
        <v/>
      </c>
      <c r="BC33" s="11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(IF(OR(City_Inputs!$AG33="",Norm_Stats!$F$22="",Norm_Stats!$G$22="",Norm_Stats!$G$22=Norm_Stats!$F$22),"",MAX(0,MIN(100,100*(MIN(MAX(City_Inputs!$AG33,Norm_Stats!$F$22),Norm_Stats!$G$22)-Norm_Stats!$F$22)/(Norm_Stats!$G$22-Norm_Stats!$F$22)))))*0.5)+IF((IF(OR(City_Inputs!$AJ33="",Norm_Stats!$F$23="",Norm_Stats!$G$23="",Norm_Stats!$G$23=Norm_Stats!$F$23),"",MAX(0,MIN(100,100*(MIN(MAX(City_Inputs!$AJ33,Norm_Stats!$F$23),Norm_Stats!$G$23)-Norm_Stats!$F$23)/(Norm_Stats!$G$23-Norm_Stats!$F$23)))))="",0,(IF(OR(City_Inputs!$AJ33="",Norm_Stats!$F$23="",Norm_Stats!$G$23="",Norm_Stats!$G$23=Norm_Stats!$F$23),"",MAX(0,MIN(100,100*(MIN(MAX(City_Inputs!$AJ33,Norm_Stats!$F$23),Norm_Stats!$G$23)-Norm_Stats!$F$23)/(Norm_Stats!$G$23-Norm_Stats!$F$23)))))*0.3)+IF((IF(OR(City_Inputs!$AK33="",Norm_Stats!$F$24="",Norm_Stats!$G$24="",Norm_Stats!$G$24=Norm_Stats!$F$24),"",MAX(0,MIN(100,100*(MIN(MAX(City_Inputs!$AK33,Norm_Stats!$F$24),Norm_Stats!$G$24)-Norm_Stats!$F$24)/(Norm_Stats!$G$24-Norm_Stats!$F$24)))))="",0,(IF(OR(City_Inputs!$AK33="",Norm_Stats!$F$24="",Norm_Stats!$G$24="",Norm_Stats!$G$24=Norm_Stats!$F$24),"",MAX(0,MIN(100,100*(MIN(MAX(City_Inputs!$AK33,Norm_Stats!$F$24),Norm_Stats!$G$24)-Norm_Stats!$F$24)/(Norm_Stats!$G$24-Norm_Stats!$F$24)))))*0.2))/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D33" s="14">
        <f>IF(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=0,"",(IF((IF(OR(City_Inputs!$AG33="",Norm_Stats!$F$22="",Norm_Stats!$G$22="",Norm_Stats!$G$22=Norm_Stats!$F$22),"",MAX(0,MIN(100,100*(MIN(MAX(City_Inputs!$AG33,Norm_Stats!$F$22),Norm_Stats!$G$22)-Norm_Stats!$F$22)/(Norm_Stats!$G$22-Norm_Stats!$F$22)))))="",0,0.5)+IF((IF(OR(City_Inputs!$AJ33="",Norm_Stats!$F$23="",Norm_Stats!$G$23="",Norm_Stats!$G$23=Norm_Stats!$F$23),"",MAX(0,MIN(100,100*(MIN(MAX(City_Inputs!$AJ33,Norm_Stats!$F$23),Norm_Stats!$G$23)-Norm_Stats!$F$23)/(Norm_Stats!$G$23-Norm_Stats!$F$23)))))="",0,0.3)+IF((IF(OR(City_Inputs!$AK33="",Norm_Stats!$F$24="",Norm_Stats!$G$24="",Norm_Stats!$G$24=Norm_Stats!$F$24),"",MAX(0,MIN(100,100*(MIN(MAX(City_Inputs!$AK33,Norm_Stats!$F$24),Norm_Stats!$G$24)-Norm_Stats!$F$24)/(Norm_Stats!$G$24-Norm_Stats!$F$24)))))="",0,0.2)))</f>
        <v/>
      </c>
      <c r="BE33" s="11">
        <f>IF(OR(City_Inputs!$AH33="",Norm_Stats!$F$25="",Norm_Stats!$G$25="",Norm_Stats!$G$25=Norm_Stats!$F$25),"",MAX(0,MIN(100,100*(Norm_Stats!$G$25-MIN(MAX(City_Inputs!$AH33,Norm_Stats!$F$25),Norm_Stats!$G$25))/(Norm_Stats!$G$25-Norm_Stats!$F$25))))</f>
        <v/>
      </c>
      <c r="BF33" s="14">
        <f>IF(BE33="","",1)</f>
        <v/>
      </c>
      <c r="BG33" s="15">
        <f>IF((IF(AY33="",0,6)+IF(BA33="",0,5)+IF(BC33="",0,5)+IF(BE33="",0,4))=0,"",(IF(AY33="",0,AY33*6)+IF(BA33="",0,BA33*5)+IF(BC33="",0,BC33*5)+IF(BE33="",0,BE33*4))/(IF(AY33="",0,6)+IF(BA33="",0,5)+IF(BC33="",0,5)+IF(BE33="",0,4)))</f>
        <v/>
      </c>
      <c r="BH33" s="14">
        <f>IF((IF(AZ33="",0,6)+IF(BB33="",0,5)+IF(BD33="",0,5)+IF(BF33="",0,4))=0,"",(IF(AZ33="",0,AZ33*6)+IF(BB33="",0,BB33*5)+IF(BD33="",0,BD33*5)+IF(BF33="",0,BF33*4))/20)</f>
        <v/>
      </c>
      <c r="BI33" s="14">
        <f>IF(AND(R33="",AF33="",AN33="",AX33="",BH33=""),"",((R33*25)+(AF33*22)+(AN33*18)+(AX33*15)+(BH33*20))/100)</f>
        <v/>
      </c>
      <c r="BJ33" s="11">
        <f>IF(BI33="","",IF(BI33&gt;=0.75,"A",IF(BI33&gt;=0.5,"B",IF(BI33&gt;=0.35,"C","Watchlist"))))</f>
        <v/>
      </c>
      <c r="BK33" s="11">
        <f>IF(OR(BI33="",BI33&lt;0.5,R33="",R33&lt;0.35,AF33="",AF33&lt;0.35,AN33="",AN33&lt;0.35,AX33="",AX33&lt;0.35,BH33="",BH33&lt;0.35),"Watchlist","Ranked")</f>
        <v/>
      </c>
      <c r="BL33" s="15">
        <f>IF(AND(Q33="",AE33="",AM33="",AW33="",BG33=""),"",(IF(Q33="",0,Q33*25)+IF(AE33="",0,AE33*22)+IF(AM33="",0,AM33*18)+IF(AW33="",0,AW33*15)+IF(BG33="",0,BG33*20))/(IF(Q33="",0,25)+IF(AE33="",0,22)+IF(AM33="",0,18)+IF(AW33="",0,15)+IF(BG33="",0,20)))</f>
        <v/>
      </c>
      <c r="BM33" s="11">
        <f>IF(BK33="Ranked",1+COUNTIFS($BK$2:$BK$158,"Ranked",$BL$2:$BL$158,"&gt;"&amp;BL33),"")</f>
        <v/>
      </c>
      <c r="BN33" s="11">
        <f>City_Inputs!$AI33</f>
        <v/>
      </c>
    </row>
    <row r="34">
      <c r="A34" t="inlineStr">
        <is>
          <t>pk-lahore</t>
        </is>
      </c>
      <c r="B34" t="inlineStr">
        <is>
          <t>Lahore</t>
        </is>
      </c>
      <c r="C34" t="inlineStr">
        <is>
          <t>Pakistan</t>
        </is>
      </c>
      <c r="D34" t="inlineStr">
        <is>
          <t>South Asia</t>
        </is>
      </c>
      <c r="E34" t="inlineStr">
        <is>
          <t>locked</t>
        </is>
      </c>
      <c r="F34" t="inlineStr">
        <is>
          <t>secondary</t>
        </is>
      </c>
      <c r="G34" s="11">
        <f>IF(OR(City_Inputs!$M34="",Norm_Stats!$F$2="",Norm_Stats!$G$2="",Norm_Stats!$G$2=Norm_Stats!$F$2),"",MAX(0,MIN(100,100*(MIN(MAX(City_Inputs!$M34,Norm_Stats!$F$2),Norm_Stats!$G$2)-Norm_Stats!$F$2)/(Norm_Stats!$G$2-Norm_Stats!$F$2))))</f>
        <v/>
      </c>
      <c r="H34" s="14">
        <f>IF(G34="","",1)</f>
        <v/>
      </c>
      <c r="I34" s="11">
        <f>IF(OR(City_Inputs!$N34="",Norm_Stats!$F$3="",Norm_Stats!$G$3="",Norm_Stats!$G$3=Norm_Stats!$F$3),"",MAX(0,MIN(100,100*(Norm_Stats!$G$3-MIN(MAX(City_Inputs!$N34,Norm_Stats!$F$3),Norm_Stats!$G$3))/(Norm_Stats!$G$3-Norm_Stats!$F$3))))</f>
        <v/>
      </c>
      <c r="J34" s="14">
        <f>IF(I34="","",1)</f>
        <v/>
      </c>
      <c r="K34" s="11">
        <f>IF(OR(City_Inputs!$P34="",Norm_Stats!$F$4="",Norm_Stats!$G$4="",Norm_Stats!$G$4=Norm_Stats!$F$4),"",MAX(0,MIN(100,100*(Norm_Stats!$G$4-MIN(MAX(City_Inputs!$P34,Norm_Stats!$F$4),Norm_Stats!$G$4))/(Norm_Stats!$G$4-Norm_Stats!$F$4))))</f>
        <v/>
      </c>
      <c r="L34" s="14">
        <f>IF(K34="","",1)</f>
        <v/>
      </c>
      <c r="M34" s="11">
        <f>IF(OR(City_Inputs!$Q34="",Norm_Stats!$F$5="",Norm_Stats!$G$5="",Norm_Stats!$G$5=Norm_Stats!$F$5),"",MAX(0,MIN(100,100*(Norm_Stats!$G$5-MIN(MAX(City_Inputs!$Q34,Norm_Stats!$F$5),Norm_Stats!$G$5))/(Norm_Stats!$G$5-Norm_Stats!$F$5))))</f>
        <v/>
      </c>
      <c r="N34" s="14">
        <f>IF(M34="","",1)</f>
        <v/>
      </c>
      <c r="O34" s="11">
        <f>IF(OR(City_Inputs!$R34="",Norm_Stats!$F$6="",Norm_Stats!$G$6="",Norm_Stats!$G$6=Norm_Stats!$F$6),"",MAX(0,MIN(100,100*(Norm_Stats!$G$6-MIN(MAX(City_Inputs!$R34,Norm_Stats!$F$6),Norm_Stats!$G$6))/(Norm_Stats!$G$6-Norm_Stats!$F$6))))</f>
        <v/>
      </c>
      <c r="P34" s="14">
        <f>IF(O34="","",1)</f>
        <v/>
      </c>
      <c r="Q34" s="15">
        <f>IF((IF(G34="",0,9)+IF(I34="",0,5)+IF(K34="",0,4)+IF(M34="",0,4)+IF(O34="",0,5))=0,"",(IF(G34="",0,G34*9)+IF(I34="",0,I34*5)+IF(K34="",0,K34*4)+IF(M34="",0,M34*4)+IF(O34="",0,O34*5))/(IF(G34="",0,9)+IF(I34="",0,5)+IF(K34="",0,4)+IF(M34="",0,4)+IF(O34="",0,5)))</f>
        <v/>
      </c>
      <c r="R34" s="14">
        <f>IF((IF(H34="",0,9)+IF(J34="",0,5)+IF(L34="",0,4)+IF(N34="",0,4)+IF(P34="",0,5))=0,"",(IF(H34="",0,H34*9)+IF(J34="",0,J34*5)+IF(L34="",0,L34*4)+IF(N34="",0,N34*4)+IF(P34="",0,P34*5))/27)</f>
        <v/>
      </c>
      <c r="S34" s="11">
        <f>IF(OR(City_Inputs!$S34="",Norm_Stats!$F$7="",Norm_Stats!$G$7="",Norm_Stats!$G$7=Norm_Stats!$F$7),"",MAX(0,MIN(100,100*(Norm_Stats!$G$7-MIN(MAX(City_Inputs!$S34,Norm_Stats!$F$7),Norm_Stats!$G$7))/(Norm_Stats!$G$7-Norm_Stats!$F$7))))</f>
        <v/>
      </c>
      <c r="T34" s="14">
        <f>IF(S34="","",1)</f>
        <v/>
      </c>
      <c r="U34" s="11">
        <f>IF(OR(City_Inputs!$T34="",Norm_Stats!$F$8="",Norm_Stats!$G$8="",Norm_Stats!$G$8=Norm_Stats!$F$8),"",MAX(0,MIN(100,100*(MIN(MAX(City_Inputs!$T34,Norm_Stats!$F$8),Norm_Stats!$G$8)-Norm_Stats!$F$8)/(Norm_Stats!$G$8-Norm_Stats!$F$8))))</f>
        <v/>
      </c>
      <c r="V34" s="14">
        <f>IF(U34="","",1)</f>
        <v/>
      </c>
      <c r="W34" s="11">
        <f>IF(OR(City_Inputs!$U34="",Norm_Stats!$F$9="",Norm_Stats!$G$9="",Norm_Stats!$G$9=Norm_Stats!$F$9),"",MAX(0,MIN(100,100*(Norm_Stats!$G$9-MIN(MAX(City_Inputs!$U34,Norm_Stats!$F$9),Norm_Stats!$G$9))/(Norm_Stats!$G$9-Norm_Stats!$F$9))))</f>
        <v/>
      </c>
      <c r="X34" s="14">
        <f>IF(W34="","",1)</f>
        <v/>
      </c>
      <c r="Y34" s="11">
        <f>IF(OR(City_Inputs!$V34="",Norm_Stats!$F$10="",Norm_Stats!$G$10="",Norm_Stats!$G$10=Norm_Stats!$F$10),"",MAX(0,MIN(100,100*(MIN(MAX(City_Inputs!$V34,Norm_Stats!$F$10),Norm_Stats!$G$10)-Norm_Stats!$F$10)/(Norm_Stats!$G$10-Norm_Stats!$F$10))))</f>
        <v/>
      </c>
      <c r="Z34" s="14">
        <f>IF(Y34="","",1)</f>
        <v/>
      </c>
      <c r="AA34" s="11">
        <f>IF(OR(City_Inputs!$W34="",Norm_Stats!$F$11="",Norm_Stats!$G$11="",Norm_Stats!$G$11=Norm_Stats!$F$11),"",MAX(0,MIN(100,100*(MIN(MAX(City_Inputs!$W34,Norm_Stats!$F$11),Norm_Stats!$G$11)-Norm_Stats!$F$11)/(Norm_Stats!$G$11-Norm_Stats!$F$11))))</f>
        <v/>
      </c>
      <c r="AB34" s="14">
        <f>IF(AA34="","",1)</f>
        <v/>
      </c>
      <c r="AC34" s="11">
        <f>IF(OR(City_Inputs!$X34="",Norm_Stats!$F$12="",Norm_Stats!$G$12="",Norm_Stats!$G$12=Norm_Stats!$F$12),"",MAX(0,MIN(100,100*(MIN(MAX(City_Inputs!$X34,Norm_Stats!$F$12),Norm_Stats!$G$12)-Norm_Stats!$F$12)/(Norm_Stats!$G$12-Norm_Stats!$F$12))))</f>
        <v/>
      </c>
      <c r="AD34" s="11">
        <f>IF(AC34="","",1)</f>
        <v/>
      </c>
      <c r="AE34" s="15">
        <f>IF((IF(S34="",0,5)+IF(U34="",0,5)+IF(W34="",0,4)+IF(Y34="",0,4)+IF(AA34="",0,4)+IF(AC34="",0,5))=0,"",(IF(S34="",0,S34*5)+IF(U34="",0,U34*5)+IF(W34="",0,W34*4)+IF(Y34="",0,Y34*4)+IF(AA34="",0,AA34*4)+IF(AC34="",0,AC34*5))/(IF(S34="",0,5)+IF(U34="",0,5)+IF(W34="",0,4)+IF(Y34="",0,4)+IF(AA34="",0,4)+IF(AC34="",0,5)))</f>
        <v/>
      </c>
      <c r="AF34" s="14">
        <f>IF((IF(T34="",0,5)+IF(V34="",0,5)+IF(X34="",0,4)+IF(Z34="",0,4)+IF(AB34="",0,4)+IF(AD34="",0,5))=0,"",(IF(T34="",0,T34*5)+IF(V34="",0,V34*5)+IF(X34="",0,X34*4)+IF(Z34="",0,Z34*4)+IF(AB34="",0,AB34*4)+IF(AD34="",0,AD34*5))/27)</f>
        <v/>
      </c>
      <c r="AG34" s="11">
        <f>IF(OR(City_Inputs!$Y34="",Norm_Stats!$F$13="",Norm_Stats!$G$13="",Norm_Stats!$G$13=Norm_Stats!$F$13),"",MAX(0,MIN(100,100*(MIN(MAX(City_Inputs!$Y34,Norm_Stats!$F$13),Norm_Stats!$G$13)-Norm_Stats!$F$13)/(Norm_Stats!$G$13-Norm_Stats!$F$13))))</f>
        <v/>
      </c>
      <c r="AH34" s="14">
        <f>IF(AG34="","",1)</f>
        <v/>
      </c>
      <c r="AI34" s="11">
        <f>IF(OR(City_Inputs!$Z34="",Norm_Stats!$F$14="",Norm_Stats!$G$14="",Norm_Stats!$G$14=Norm_Stats!$F$14),"",MAX(0,MIN(100,100*(MIN(MAX(City_Inputs!$Z34,Norm_Stats!$F$14),Norm_Stats!$G$14)-Norm_Stats!$F$14)/(Norm_Stats!$G$14-Norm_Stats!$F$14))))</f>
        <v/>
      </c>
      <c r="AJ34" s="14">
        <f>IF(AI34="","",1)</f>
        <v/>
      </c>
      <c r="AK34" s="11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(IF(OR(City_Inputs!$AA34="",Norm_Stats!$F$15="",Norm_Stats!$G$15="",Norm_Stats!$G$15=Norm_Stats!$F$15),"",MAX(0,MIN(100,100*(MIN(MAX(City_Inputs!$AA34,Norm_Stats!$F$15),Norm_Stats!$G$15)-Norm_Stats!$F$15)/(Norm_Stats!$G$15-Norm_Stats!$F$15)))))*0.7)+IF((IF(OR(City_Inputs!$AL34="",Norm_Stats!$F$16="",Norm_Stats!$G$16="",Norm_Stats!$G$16=Norm_Stats!$F$16),"",MAX(0,MIN(100,100*(Norm_Stats!$G$16-MIN(MAX(City_Inputs!$AL34,Norm_Stats!$F$16),Norm_Stats!$G$16))/(Norm_Stats!$G$16-Norm_Stats!$F$16)))))="",0,(IF(OR(City_Inputs!$AL34="",Norm_Stats!$F$16="",Norm_Stats!$G$16="",Norm_Stats!$G$16=Norm_Stats!$F$16),"",MAX(0,MIN(100,100*(Norm_Stats!$G$16-MIN(MAX(City_Inputs!$AL34,Norm_Stats!$F$16),Norm_Stats!$G$16))/(Norm_Stats!$G$16-Norm_Stats!$F$16)))))*0.3))/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L34" s="14">
        <f>IF(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=0,"",(IF((IF(OR(City_Inputs!$AA34="",Norm_Stats!$F$15="",Norm_Stats!$G$15="",Norm_Stats!$G$15=Norm_Stats!$F$15),"",MAX(0,MIN(100,100*(MIN(MAX(City_Inputs!$AA34,Norm_Stats!$F$15),Norm_Stats!$G$15)-Norm_Stats!$F$15)/(Norm_Stats!$G$15-Norm_Stats!$F$15)))))="",0,0.7)+IF((IF(OR(City_Inputs!$AL34="",Norm_Stats!$F$16="",Norm_Stats!$G$16="",Norm_Stats!$G$16=Norm_Stats!$F$16),"",MAX(0,MIN(100,100*(Norm_Stats!$G$16-MIN(MAX(City_Inputs!$AL34,Norm_Stats!$F$16),Norm_Stats!$G$16))/(Norm_Stats!$G$16-Norm_Stats!$F$16)))))="",0,0.3)))</f>
        <v/>
      </c>
      <c r="AM34" s="15">
        <f>IF((IF(AG34="",0,8)+IF(AI34="",0,6)+IF(AK34="",0,4))=0,"",(IF(AG34="",0,AG34*8)+IF(AI34="",0,AI34*6)+IF(AK34="",0,AK34*4))/(IF(AG34="",0,8)+IF(AI34="",0,6)+IF(AK34="",0,4)))</f>
        <v/>
      </c>
      <c r="AN34" s="14">
        <f>IF((IF(AH34="",0,8)+IF(AJ34="",0,6)+IF(AL34="",0,4))=0,"",(IF(AH34="",0,AH34*8)+IF(AJ34="",0,AJ34*6)+IF(AL34="",0,AL34*4))/18)</f>
        <v/>
      </c>
      <c r="AO34" s="11">
        <f>IF(OR(City_Inputs!$AB34="",Norm_Stats!$F$17="",Norm_Stats!$G$17="",Norm_Stats!$G$17=Norm_Stats!$F$17),"",MAX(0,MIN(100,100*(MIN(MAX(City_Inputs!$AB34,Norm_Stats!$F$17),Norm_Stats!$G$17)-Norm_Stats!$F$17)/(Norm_Stats!$G$17-Norm_Stats!$F$17))))</f>
        <v/>
      </c>
      <c r="AP34" s="14">
        <f>IF(AO34="","",1)</f>
        <v/>
      </c>
      <c r="AQ34" s="11">
        <f>IF(OR(City_Inputs!$AC34="",Norm_Stats!$F$18="",Norm_Stats!$G$18="",Norm_Stats!$G$18=Norm_Stats!$F$18),"",MAX(0,MIN(100,100*(MIN(MAX(City_Inputs!$AC34,Norm_Stats!$F$18),Norm_Stats!$G$18)-Norm_Stats!$F$18)/(Norm_Stats!$G$18-Norm_Stats!$F$18))))</f>
        <v/>
      </c>
      <c r="AR34" s="14">
        <f>IF(AQ34="","",1)</f>
        <v/>
      </c>
      <c r="AS34" s="11">
        <f>IF(OR(City_Inputs!$AD34="",Norm_Stats!$F$19="",Norm_Stats!$G$19="",Norm_Stats!$G$19=Norm_Stats!$F$19),"",MAX(0,MIN(100,100*(MIN(MAX(City_Inputs!$AD34,Norm_Stats!$F$19),Norm_Stats!$G$19)-Norm_Stats!$F$19)/(Norm_Stats!$G$19-Norm_Stats!$F$19))))</f>
        <v/>
      </c>
      <c r="AT34" s="14">
        <f>IF(AS34="","",1)</f>
        <v/>
      </c>
      <c r="AU34" s="11">
        <f>IF(OR(City_Inputs!$BJ34="",Norm_Stats!$F$26="",Norm_Stats!$G$26="",Norm_Stats!$G$26=Norm_Stats!$F$26),"",MAX(0,MIN(100,100*(MIN(MAX(City_Inputs!$BJ34,Norm_Stats!$F$26),Norm_Stats!$G$26)-Norm_Stats!$F$26)/(Norm_Stats!$G$26-Norm_Stats!$F$26))))</f>
        <v/>
      </c>
      <c r="AV34" s="11">
        <f>IF(AU34="","",1)</f>
        <v/>
      </c>
      <c r="AW34" s="15">
        <f>IF((IF(AO34="",0,5)+IF(AQ34="",0,5)+IF(AS34="",0,5)+IF(AU34="",0,4))=0,"",(IF(AO34="",0,AO34*5)+IF(AQ34="",0,AQ34*5)+IF(AS34="",0,AS34*5)+IF(AU34="",0,AU34*4))/(IF(AO34="",0,5)+IF(AQ34="",0,5)+IF(AS34="",0,5)+IF(AU34="",0,4)))</f>
        <v/>
      </c>
      <c r="AX34" s="14">
        <f>IF((IF(AP34="",0,5)+IF(AR34="",0,5)+IF(AT34="",0,5)+IF(AV34="",0,4))=0,"",(IF(AP34="",0,AP34*5)+IF(AR34="",0,AR34*5)+IF(AT34="",0,AT34*5)+IF(AV34="",0,AV34*4))/19)</f>
        <v/>
      </c>
      <c r="AY34" s="11">
        <f>IF(OR(City_Inputs!$AE34="",Norm_Stats!$F$20="",Norm_Stats!$G$20="",Norm_Stats!$G$20=Norm_Stats!$F$20),"",MAX(0,MIN(100,100*(MIN(MAX(City_Inputs!$AE34,Norm_Stats!$F$20),Norm_Stats!$G$20)-Norm_Stats!$F$20)/(Norm_Stats!$G$20-Norm_Stats!$F$20))))</f>
        <v/>
      </c>
      <c r="AZ34" s="14">
        <f>IF(AY34="","",1)</f>
        <v/>
      </c>
      <c r="BA34" s="11">
        <f>IF(OR(City_Inputs!$AF34="",Norm_Stats!$F$21="",Norm_Stats!$G$21="",Norm_Stats!$G$21=Norm_Stats!$F$21),"",MAX(0,MIN(100,100*(MIN(MAX(City_Inputs!$AF34,Norm_Stats!$F$21),Norm_Stats!$G$21)-Norm_Stats!$F$21)/(Norm_Stats!$G$21-Norm_Stats!$F$21))))</f>
        <v/>
      </c>
      <c r="BB34" s="14">
        <f>IF(BA34="","",1)</f>
        <v/>
      </c>
      <c r="BC34" s="11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(IF(OR(City_Inputs!$AG34="",Norm_Stats!$F$22="",Norm_Stats!$G$22="",Norm_Stats!$G$22=Norm_Stats!$F$22),"",MAX(0,MIN(100,100*(MIN(MAX(City_Inputs!$AG34,Norm_Stats!$F$22),Norm_Stats!$G$22)-Norm_Stats!$F$22)/(Norm_Stats!$G$22-Norm_Stats!$F$22)))))*0.5)+IF((IF(OR(City_Inputs!$AJ34="",Norm_Stats!$F$23="",Norm_Stats!$G$23="",Norm_Stats!$G$23=Norm_Stats!$F$23),"",MAX(0,MIN(100,100*(MIN(MAX(City_Inputs!$AJ34,Norm_Stats!$F$23),Norm_Stats!$G$23)-Norm_Stats!$F$23)/(Norm_Stats!$G$23-Norm_Stats!$F$23)))))="",0,(IF(OR(City_Inputs!$AJ34="",Norm_Stats!$F$23="",Norm_Stats!$G$23="",Norm_Stats!$G$23=Norm_Stats!$F$23),"",MAX(0,MIN(100,100*(MIN(MAX(City_Inputs!$AJ34,Norm_Stats!$F$23),Norm_Stats!$G$23)-Norm_Stats!$F$23)/(Norm_Stats!$G$23-Norm_Stats!$F$23)))))*0.3)+IF((IF(OR(City_Inputs!$AK34="",Norm_Stats!$F$24="",Norm_Stats!$G$24="",Norm_Stats!$G$24=Norm_Stats!$F$24),"",MAX(0,MIN(100,100*(MIN(MAX(City_Inputs!$AK34,Norm_Stats!$F$24),Norm_Stats!$G$24)-Norm_Stats!$F$24)/(Norm_Stats!$G$24-Norm_Stats!$F$24)))))="",0,(IF(OR(City_Inputs!$AK34="",Norm_Stats!$F$24="",Norm_Stats!$G$24="",Norm_Stats!$G$24=Norm_Stats!$F$24),"",MAX(0,MIN(100,100*(MIN(MAX(City_Inputs!$AK34,Norm_Stats!$F$24),Norm_Stats!$G$24)-Norm_Stats!$F$24)/(Norm_Stats!$G$24-Norm_Stats!$F$24)))))*0.2))/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D34" s="14">
        <f>IF(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=0,"",(IF((IF(OR(City_Inputs!$AG34="",Norm_Stats!$F$22="",Norm_Stats!$G$22="",Norm_Stats!$G$22=Norm_Stats!$F$22),"",MAX(0,MIN(100,100*(MIN(MAX(City_Inputs!$AG34,Norm_Stats!$F$22),Norm_Stats!$G$22)-Norm_Stats!$F$22)/(Norm_Stats!$G$22-Norm_Stats!$F$22)))))="",0,0.5)+IF((IF(OR(City_Inputs!$AJ34="",Norm_Stats!$F$23="",Norm_Stats!$G$23="",Norm_Stats!$G$23=Norm_Stats!$F$23),"",MAX(0,MIN(100,100*(MIN(MAX(City_Inputs!$AJ34,Norm_Stats!$F$23),Norm_Stats!$G$23)-Norm_Stats!$F$23)/(Norm_Stats!$G$23-Norm_Stats!$F$23)))))="",0,0.3)+IF((IF(OR(City_Inputs!$AK34="",Norm_Stats!$F$24="",Norm_Stats!$G$24="",Norm_Stats!$G$24=Norm_Stats!$F$24),"",MAX(0,MIN(100,100*(MIN(MAX(City_Inputs!$AK34,Norm_Stats!$F$24),Norm_Stats!$G$24)-Norm_Stats!$F$24)/(Norm_Stats!$G$24-Norm_Stats!$F$24)))))="",0,0.2)))</f>
        <v/>
      </c>
      <c r="BE34" s="11">
        <f>IF(OR(City_Inputs!$AH34="",Norm_Stats!$F$25="",Norm_Stats!$G$25="",Norm_Stats!$G$25=Norm_Stats!$F$25),"",MAX(0,MIN(100,100*(Norm_Stats!$G$25-MIN(MAX(City_Inputs!$AH34,Norm_Stats!$F$25),Norm_Stats!$G$25))/(Norm_Stats!$G$25-Norm_Stats!$F$25))))</f>
        <v/>
      </c>
      <c r="BF34" s="14">
        <f>IF(BE34="","",1)</f>
        <v/>
      </c>
      <c r="BG34" s="15">
        <f>IF((IF(AY34="",0,6)+IF(BA34="",0,5)+IF(BC34="",0,5)+IF(BE34="",0,4))=0,"",(IF(AY34="",0,AY34*6)+IF(BA34="",0,BA34*5)+IF(BC34="",0,BC34*5)+IF(BE34="",0,BE34*4))/(IF(AY34="",0,6)+IF(BA34="",0,5)+IF(BC34="",0,5)+IF(BE34="",0,4)))</f>
        <v/>
      </c>
      <c r="BH34" s="14">
        <f>IF((IF(AZ34="",0,6)+IF(BB34="",0,5)+IF(BD34="",0,5)+IF(BF34="",0,4))=0,"",(IF(AZ34="",0,AZ34*6)+IF(BB34="",0,BB34*5)+IF(BD34="",0,BD34*5)+IF(BF34="",0,BF34*4))/20)</f>
        <v/>
      </c>
      <c r="BI34" s="14">
        <f>IF(AND(R34="",AF34="",AN34="",AX34="",BH34=""),"",((R34*25)+(AF34*22)+(AN34*18)+(AX34*15)+(BH34*20))/100)</f>
        <v/>
      </c>
      <c r="BJ34" s="11">
        <f>IF(BI34="","",IF(BI34&gt;=0.75,"A",IF(BI34&gt;=0.5,"B",IF(BI34&gt;=0.35,"C","Watchlist"))))</f>
        <v/>
      </c>
      <c r="BK34" s="11">
        <f>IF(OR(BI34="",BI34&lt;0.5,R34="",R34&lt;0.35,AF34="",AF34&lt;0.35,AN34="",AN34&lt;0.35,AX34="",AX34&lt;0.35,BH34="",BH34&lt;0.35),"Watchlist","Ranked")</f>
        <v/>
      </c>
      <c r="BL34" s="15">
        <f>IF(AND(Q34="",AE34="",AM34="",AW34="",BG34=""),"",(IF(Q34="",0,Q34*25)+IF(AE34="",0,AE34*22)+IF(AM34="",0,AM34*18)+IF(AW34="",0,AW34*15)+IF(BG34="",0,BG34*20))/(IF(Q34="",0,25)+IF(AE34="",0,22)+IF(AM34="",0,18)+IF(AW34="",0,15)+IF(BG34="",0,20)))</f>
        <v/>
      </c>
      <c r="BM34" s="11">
        <f>IF(BK34="Ranked",1+COUNTIFS($BK$2:$BK$158,"Ranked",$BL$2:$BL$158,"&gt;"&amp;BL34),"")</f>
        <v/>
      </c>
      <c r="BN34" s="11">
        <f>City_Inputs!$AI34</f>
        <v/>
      </c>
    </row>
    <row r="35">
      <c r="A35" t="inlineStr">
        <is>
          <t>bd-chattogram</t>
        </is>
      </c>
      <c r="B35" t="inlineStr">
        <is>
          <t>Chattogram</t>
        </is>
      </c>
      <c r="C35" t="inlineStr">
        <is>
          <t>Bangladesh</t>
        </is>
      </c>
      <c r="D35" t="inlineStr">
        <is>
          <t>South Asia</t>
        </is>
      </c>
      <c r="E35" t="inlineStr">
        <is>
          <t>locked</t>
        </is>
      </c>
      <c r="F35" t="inlineStr">
        <is>
          <t>secondary</t>
        </is>
      </c>
      <c r="G35" s="11">
        <f>IF(OR(City_Inputs!$M35="",Norm_Stats!$F$2="",Norm_Stats!$G$2="",Norm_Stats!$G$2=Norm_Stats!$F$2),"",MAX(0,MIN(100,100*(MIN(MAX(City_Inputs!$M35,Norm_Stats!$F$2),Norm_Stats!$G$2)-Norm_Stats!$F$2)/(Norm_Stats!$G$2-Norm_Stats!$F$2))))</f>
        <v/>
      </c>
      <c r="H35" s="14">
        <f>IF(G35="","",1)</f>
        <v/>
      </c>
      <c r="I35" s="11">
        <f>IF(OR(City_Inputs!$N35="",Norm_Stats!$F$3="",Norm_Stats!$G$3="",Norm_Stats!$G$3=Norm_Stats!$F$3),"",MAX(0,MIN(100,100*(Norm_Stats!$G$3-MIN(MAX(City_Inputs!$N35,Norm_Stats!$F$3),Norm_Stats!$G$3))/(Norm_Stats!$G$3-Norm_Stats!$F$3))))</f>
        <v/>
      </c>
      <c r="J35" s="14">
        <f>IF(I35="","",1)</f>
        <v/>
      </c>
      <c r="K35" s="11">
        <f>IF(OR(City_Inputs!$P35="",Norm_Stats!$F$4="",Norm_Stats!$G$4="",Norm_Stats!$G$4=Norm_Stats!$F$4),"",MAX(0,MIN(100,100*(Norm_Stats!$G$4-MIN(MAX(City_Inputs!$P35,Norm_Stats!$F$4),Norm_Stats!$G$4))/(Norm_Stats!$G$4-Norm_Stats!$F$4))))</f>
        <v/>
      </c>
      <c r="L35" s="14">
        <f>IF(K35="","",1)</f>
        <v/>
      </c>
      <c r="M35" s="11">
        <f>IF(OR(City_Inputs!$Q35="",Norm_Stats!$F$5="",Norm_Stats!$G$5="",Norm_Stats!$G$5=Norm_Stats!$F$5),"",MAX(0,MIN(100,100*(Norm_Stats!$G$5-MIN(MAX(City_Inputs!$Q35,Norm_Stats!$F$5),Norm_Stats!$G$5))/(Norm_Stats!$G$5-Norm_Stats!$F$5))))</f>
        <v/>
      </c>
      <c r="N35" s="14">
        <f>IF(M35="","",1)</f>
        <v/>
      </c>
      <c r="O35" s="11">
        <f>IF(OR(City_Inputs!$R35="",Norm_Stats!$F$6="",Norm_Stats!$G$6="",Norm_Stats!$G$6=Norm_Stats!$F$6),"",MAX(0,MIN(100,100*(Norm_Stats!$G$6-MIN(MAX(City_Inputs!$R35,Norm_Stats!$F$6),Norm_Stats!$G$6))/(Norm_Stats!$G$6-Norm_Stats!$F$6))))</f>
        <v/>
      </c>
      <c r="P35" s="14">
        <f>IF(O35="","",1)</f>
        <v/>
      </c>
      <c r="Q35" s="15">
        <f>IF((IF(G35="",0,9)+IF(I35="",0,5)+IF(K35="",0,4)+IF(M35="",0,4)+IF(O35="",0,5))=0,"",(IF(G35="",0,G35*9)+IF(I35="",0,I35*5)+IF(K35="",0,K35*4)+IF(M35="",0,M35*4)+IF(O35="",0,O35*5))/(IF(G35="",0,9)+IF(I35="",0,5)+IF(K35="",0,4)+IF(M35="",0,4)+IF(O35="",0,5)))</f>
        <v/>
      </c>
      <c r="R35" s="14">
        <f>IF((IF(H35="",0,9)+IF(J35="",0,5)+IF(L35="",0,4)+IF(N35="",0,4)+IF(P35="",0,5))=0,"",(IF(H35="",0,H35*9)+IF(J35="",0,J35*5)+IF(L35="",0,L35*4)+IF(N35="",0,N35*4)+IF(P35="",0,P35*5))/27)</f>
        <v/>
      </c>
      <c r="S35" s="11">
        <f>IF(OR(City_Inputs!$S35="",Norm_Stats!$F$7="",Norm_Stats!$G$7="",Norm_Stats!$G$7=Norm_Stats!$F$7),"",MAX(0,MIN(100,100*(Norm_Stats!$G$7-MIN(MAX(City_Inputs!$S35,Norm_Stats!$F$7),Norm_Stats!$G$7))/(Norm_Stats!$G$7-Norm_Stats!$F$7))))</f>
        <v/>
      </c>
      <c r="T35" s="14">
        <f>IF(S35="","",1)</f>
        <v/>
      </c>
      <c r="U35" s="11">
        <f>IF(OR(City_Inputs!$T35="",Norm_Stats!$F$8="",Norm_Stats!$G$8="",Norm_Stats!$G$8=Norm_Stats!$F$8),"",MAX(0,MIN(100,100*(MIN(MAX(City_Inputs!$T35,Norm_Stats!$F$8),Norm_Stats!$G$8)-Norm_Stats!$F$8)/(Norm_Stats!$G$8-Norm_Stats!$F$8))))</f>
        <v/>
      </c>
      <c r="V35" s="14">
        <f>IF(U35="","",1)</f>
        <v/>
      </c>
      <c r="W35" s="11">
        <f>IF(OR(City_Inputs!$U35="",Norm_Stats!$F$9="",Norm_Stats!$G$9="",Norm_Stats!$G$9=Norm_Stats!$F$9),"",MAX(0,MIN(100,100*(Norm_Stats!$G$9-MIN(MAX(City_Inputs!$U35,Norm_Stats!$F$9),Norm_Stats!$G$9))/(Norm_Stats!$G$9-Norm_Stats!$F$9))))</f>
        <v/>
      </c>
      <c r="X35" s="14">
        <f>IF(W35="","",1)</f>
        <v/>
      </c>
      <c r="Y35" s="11">
        <f>IF(OR(City_Inputs!$V35="",Norm_Stats!$F$10="",Norm_Stats!$G$10="",Norm_Stats!$G$10=Norm_Stats!$F$10),"",MAX(0,MIN(100,100*(MIN(MAX(City_Inputs!$V35,Norm_Stats!$F$10),Norm_Stats!$G$10)-Norm_Stats!$F$10)/(Norm_Stats!$G$10-Norm_Stats!$F$10))))</f>
        <v/>
      </c>
      <c r="Z35" s="14">
        <f>IF(Y35="","",1)</f>
        <v/>
      </c>
      <c r="AA35" s="11">
        <f>IF(OR(City_Inputs!$W35="",Norm_Stats!$F$11="",Norm_Stats!$G$11="",Norm_Stats!$G$11=Norm_Stats!$F$11),"",MAX(0,MIN(100,100*(MIN(MAX(City_Inputs!$W35,Norm_Stats!$F$11),Norm_Stats!$G$11)-Norm_Stats!$F$11)/(Norm_Stats!$G$11-Norm_Stats!$F$11))))</f>
        <v/>
      </c>
      <c r="AB35" s="14">
        <f>IF(AA35="","",1)</f>
        <v/>
      </c>
      <c r="AC35" s="11">
        <f>IF(OR(City_Inputs!$X35="",Norm_Stats!$F$12="",Norm_Stats!$G$12="",Norm_Stats!$G$12=Norm_Stats!$F$12),"",MAX(0,MIN(100,100*(MIN(MAX(City_Inputs!$X35,Norm_Stats!$F$12),Norm_Stats!$G$12)-Norm_Stats!$F$12)/(Norm_Stats!$G$12-Norm_Stats!$F$12))))</f>
        <v/>
      </c>
      <c r="AD35" s="11">
        <f>IF(AC35="","",1)</f>
        <v/>
      </c>
      <c r="AE35" s="15">
        <f>IF((IF(S35="",0,5)+IF(U35="",0,5)+IF(W35="",0,4)+IF(Y35="",0,4)+IF(AA35="",0,4)+IF(AC35="",0,5))=0,"",(IF(S35="",0,S35*5)+IF(U35="",0,U35*5)+IF(W35="",0,W35*4)+IF(Y35="",0,Y35*4)+IF(AA35="",0,AA35*4)+IF(AC35="",0,AC35*5))/(IF(S35="",0,5)+IF(U35="",0,5)+IF(W35="",0,4)+IF(Y35="",0,4)+IF(AA35="",0,4)+IF(AC35="",0,5)))</f>
        <v/>
      </c>
      <c r="AF35" s="14">
        <f>IF((IF(T35="",0,5)+IF(V35="",0,5)+IF(X35="",0,4)+IF(Z35="",0,4)+IF(AB35="",0,4)+IF(AD35="",0,5))=0,"",(IF(T35="",0,T35*5)+IF(V35="",0,V35*5)+IF(X35="",0,X35*4)+IF(Z35="",0,Z35*4)+IF(AB35="",0,AB35*4)+IF(AD35="",0,AD35*5))/27)</f>
        <v/>
      </c>
      <c r="AG35" s="11">
        <f>IF(OR(City_Inputs!$Y35="",Norm_Stats!$F$13="",Norm_Stats!$G$13="",Norm_Stats!$G$13=Norm_Stats!$F$13),"",MAX(0,MIN(100,100*(MIN(MAX(City_Inputs!$Y35,Norm_Stats!$F$13),Norm_Stats!$G$13)-Norm_Stats!$F$13)/(Norm_Stats!$G$13-Norm_Stats!$F$13))))</f>
        <v/>
      </c>
      <c r="AH35" s="14">
        <f>IF(AG35="","",1)</f>
        <v/>
      </c>
      <c r="AI35" s="11">
        <f>IF(OR(City_Inputs!$Z35="",Norm_Stats!$F$14="",Norm_Stats!$G$14="",Norm_Stats!$G$14=Norm_Stats!$F$14),"",MAX(0,MIN(100,100*(MIN(MAX(City_Inputs!$Z35,Norm_Stats!$F$14),Norm_Stats!$G$14)-Norm_Stats!$F$14)/(Norm_Stats!$G$14-Norm_Stats!$F$14))))</f>
        <v/>
      </c>
      <c r="AJ35" s="14">
        <f>IF(AI35="","",1)</f>
        <v/>
      </c>
      <c r="AK35" s="11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(IF(OR(City_Inputs!$AA35="",Norm_Stats!$F$15="",Norm_Stats!$G$15="",Norm_Stats!$G$15=Norm_Stats!$F$15),"",MAX(0,MIN(100,100*(MIN(MAX(City_Inputs!$AA35,Norm_Stats!$F$15),Norm_Stats!$G$15)-Norm_Stats!$F$15)/(Norm_Stats!$G$15-Norm_Stats!$F$15)))))*0.7)+IF((IF(OR(City_Inputs!$AL35="",Norm_Stats!$F$16="",Norm_Stats!$G$16="",Norm_Stats!$G$16=Norm_Stats!$F$16),"",MAX(0,MIN(100,100*(Norm_Stats!$G$16-MIN(MAX(City_Inputs!$AL35,Norm_Stats!$F$16),Norm_Stats!$G$16))/(Norm_Stats!$G$16-Norm_Stats!$F$16)))))="",0,(IF(OR(City_Inputs!$AL35="",Norm_Stats!$F$16="",Norm_Stats!$G$16="",Norm_Stats!$G$16=Norm_Stats!$F$16),"",MAX(0,MIN(100,100*(Norm_Stats!$G$16-MIN(MAX(City_Inputs!$AL35,Norm_Stats!$F$16),Norm_Stats!$G$16))/(Norm_Stats!$G$16-Norm_Stats!$F$16)))))*0.3))/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L35" s="14">
        <f>IF(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=0,"",(IF((IF(OR(City_Inputs!$AA35="",Norm_Stats!$F$15="",Norm_Stats!$G$15="",Norm_Stats!$G$15=Norm_Stats!$F$15),"",MAX(0,MIN(100,100*(MIN(MAX(City_Inputs!$AA35,Norm_Stats!$F$15),Norm_Stats!$G$15)-Norm_Stats!$F$15)/(Norm_Stats!$G$15-Norm_Stats!$F$15)))))="",0,0.7)+IF((IF(OR(City_Inputs!$AL35="",Norm_Stats!$F$16="",Norm_Stats!$G$16="",Norm_Stats!$G$16=Norm_Stats!$F$16),"",MAX(0,MIN(100,100*(Norm_Stats!$G$16-MIN(MAX(City_Inputs!$AL35,Norm_Stats!$F$16),Norm_Stats!$G$16))/(Norm_Stats!$G$16-Norm_Stats!$F$16)))))="",0,0.3)))</f>
        <v/>
      </c>
      <c r="AM35" s="15">
        <f>IF((IF(AG35="",0,8)+IF(AI35="",0,6)+IF(AK35="",0,4))=0,"",(IF(AG35="",0,AG35*8)+IF(AI35="",0,AI35*6)+IF(AK35="",0,AK35*4))/(IF(AG35="",0,8)+IF(AI35="",0,6)+IF(AK35="",0,4)))</f>
        <v/>
      </c>
      <c r="AN35" s="14">
        <f>IF((IF(AH35="",0,8)+IF(AJ35="",0,6)+IF(AL35="",0,4))=0,"",(IF(AH35="",0,AH35*8)+IF(AJ35="",0,AJ35*6)+IF(AL35="",0,AL35*4))/18)</f>
        <v/>
      </c>
      <c r="AO35" s="11">
        <f>IF(OR(City_Inputs!$AB35="",Norm_Stats!$F$17="",Norm_Stats!$G$17="",Norm_Stats!$G$17=Norm_Stats!$F$17),"",MAX(0,MIN(100,100*(MIN(MAX(City_Inputs!$AB35,Norm_Stats!$F$17),Norm_Stats!$G$17)-Norm_Stats!$F$17)/(Norm_Stats!$G$17-Norm_Stats!$F$17))))</f>
        <v/>
      </c>
      <c r="AP35" s="14">
        <f>IF(AO35="","",1)</f>
        <v/>
      </c>
      <c r="AQ35" s="11">
        <f>IF(OR(City_Inputs!$AC35="",Norm_Stats!$F$18="",Norm_Stats!$G$18="",Norm_Stats!$G$18=Norm_Stats!$F$18),"",MAX(0,MIN(100,100*(MIN(MAX(City_Inputs!$AC35,Norm_Stats!$F$18),Norm_Stats!$G$18)-Norm_Stats!$F$18)/(Norm_Stats!$G$18-Norm_Stats!$F$18))))</f>
        <v/>
      </c>
      <c r="AR35" s="14">
        <f>IF(AQ35="","",1)</f>
        <v/>
      </c>
      <c r="AS35" s="11">
        <f>IF(OR(City_Inputs!$AD35="",Norm_Stats!$F$19="",Norm_Stats!$G$19="",Norm_Stats!$G$19=Norm_Stats!$F$19),"",MAX(0,MIN(100,100*(MIN(MAX(City_Inputs!$AD35,Norm_Stats!$F$19),Norm_Stats!$G$19)-Norm_Stats!$F$19)/(Norm_Stats!$G$19-Norm_Stats!$F$19))))</f>
        <v/>
      </c>
      <c r="AT35" s="14">
        <f>IF(AS35="","",1)</f>
        <v/>
      </c>
      <c r="AU35" s="11">
        <f>IF(OR(City_Inputs!$BJ35="",Norm_Stats!$F$26="",Norm_Stats!$G$26="",Norm_Stats!$G$26=Norm_Stats!$F$26),"",MAX(0,MIN(100,100*(MIN(MAX(City_Inputs!$BJ35,Norm_Stats!$F$26),Norm_Stats!$G$26)-Norm_Stats!$F$26)/(Norm_Stats!$G$26-Norm_Stats!$F$26))))</f>
        <v/>
      </c>
      <c r="AV35" s="11">
        <f>IF(AU35="","",1)</f>
        <v/>
      </c>
      <c r="AW35" s="15">
        <f>IF((IF(AO35="",0,5)+IF(AQ35="",0,5)+IF(AS35="",0,5)+IF(AU35="",0,4))=0,"",(IF(AO35="",0,AO35*5)+IF(AQ35="",0,AQ35*5)+IF(AS35="",0,AS35*5)+IF(AU35="",0,AU35*4))/(IF(AO35="",0,5)+IF(AQ35="",0,5)+IF(AS35="",0,5)+IF(AU35="",0,4)))</f>
        <v/>
      </c>
      <c r="AX35" s="14">
        <f>IF((IF(AP35="",0,5)+IF(AR35="",0,5)+IF(AT35="",0,5)+IF(AV35="",0,4))=0,"",(IF(AP35="",0,AP35*5)+IF(AR35="",0,AR35*5)+IF(AT35="",0,AT35*5)+IF(AV35="",0,AV35*4))/19)</f>
        <v/>
      </c>
      <c r="AY35" s="11">
        <f>IF(OR(City_Inputs!$AE35="",Norm_Stats!$F$20="",Norm_Stats!$G$20="",Norm_Stats!$G$20=Norm_Stats!$F$20),"",MAX(0,MIN(100,100*(MIN(MAX(City_Inputs!$AE35,Norm_Stats!$F$20),Norm_Stats!$G$20)-Norm_Stats!$F$20)/(Norm_Stats!$G$20-Norm_Stats!$F$20))))</f>
        <v/>
      </c>
      <c r="AZ35" s="14">
        <f>IF(AY35="","",1)</f>
        <v/>
      </c>
      <c r="BA35" s="11">
        <f>IF(OR(City_Inputs!$AF35="",Norm_Stats!$F$21="",Norm_Stats!$G$21="",Norm_Stats!$G$21=Norm_Stats!$F$21),"",MAX(0,MIN(100,100*(MIN(MAX(City_Inputs!$AF35,Norm_Stats!$F$21),Norm_Stats!$G$21)-Norm_Stats!$F$21)/(Norm_Stats!$G$21-Norm_Stats!$F$21))))</f>
        <v/>
      </c>
      <c r="BB35" s="14">
        <f>IF(BA35="","",1)</f>
        <v/>
      </c>
      <c r="BC35" s="11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(IF(OR(City_Inputs!$AG35="",Norm_Stats!$F$22="",Norm_Stats!$G$22="",Norm_Stats!$G$22=Norm_Stats!$F$22),"",MAX(0,MIN(100,100*(MIN(MAX(City_Inputs!$AG35,Norm_Stats!$F$22),Norm_Stats!$G$22)-Norm_Stats!$F$22)/(Norm_Stats!$G$22-Norm_Stats!$F$22)))))*0.5)+IF((IF(OR(City_Inputs!$AJ35="",Norm_Stats!$F$23="",Norm_Stats!$G$23="",Norm_Stats!$G$23=Norm_Stats!$F$23),"",MAX(0,MIN(100,100*(MIN(MAX(City_Inputs!$AJ35,Norm_Stats!$F$23),Norm_Stats!$G$23)-Norm_Stats!$F$23)/(Norm_Stats!$G$23-Norm_Stats!$F$23)))))="",0,(IF(OR(City_Inputs!$AJ35="",Norm_Stats!$F$23="",Norm_Stats!$G$23="",Norm_Stats!$G$23=Norm_Stats!$F$23),"",MAX(0,MIN(100,100*(MIN(MAX(City_Inputs!$AJ35,Norm_Stats!$F$23),Norm_Stats!$G$23)-Norm_Stats!$F$23)/(Norm_Stats!$G$23-Norm_Stats!$F$23)))))*0.3)+IF((IF(OR(City_Inputs!$AK35="",Norm_Stats!$F$24="",Norm_Stats!$G$24="",Norm_Stats!$G$24=Norm_Stats!$F$24),"",MAX(0,MIN(100,100*(MIN(MAX(City_Inputs!$AK35,Norm_Stats!$F$24),Norm_Stats!$G$24)-Norm_Stats!$F$24)/(Norm_Stats!$G$24-Norm_Stats!$F$24)))))="",0,(IF(OR(City_Inputs!$AK35="",Norm_Stats!$F$24="",Norm_Stats!$G$24="",Norm_Stats!$G$24=Norm_Stats!$F$24),"",MAX(0,MIN(100,100*(MIN(MAX(City_Inputs!$AK35,Norm_Stats!$F$24),Norm_Stats!$G$24)-Norm_Stats!$F$24)/(Norm_Stats!$G$24-Norm_Stats!$F$24)))))*0.2))/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D35" s="14">
        <f>IF(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=0,"",(IF((IF(OR(City_Inputs!$AG35="",Norm_Stats!$F$22="",Norm_Stats!$G$22="",Norm_Stats!$G$22=Norm_Stats!$F$22),"",MAX(0,MIN(100,100*(MIN(MAX(City_Inputs!$AG35,Norm_Stats!$F$22),Norm_Stats!$G$22)-Norm_Stats!$F$22)/(Norm_Stats!$G$22-Norm_Stats!$F$22)))))="",0,0.5)+IF((IF(OR(City_Inputs!$AJ35="",Norm_Stats!$F$23="",Norm_Stats!$G$23="",Norm_Stats!$G$23=Norm_Stats!$F$23),"",MAX(0,MIN(100,100*(MIN(MAX(City_Inputs!$AJ35,Norm_Stats!$F$23),Norm_Stats!$G$23)-Norm_Stats!$F$23)/(Norm_Stats!$G$23-Norm_Stats!$F$23)))))="",0,0.3)+IF((IF(OR(City_Inputs!$AK35="",Norm_Stats!$F$24="",Norm_Stats!$G$24="",Norm_Stats!$G$24=Norm_Stats!$F$24),"",MAX(0,MIN(100,100*(MIN(MAX(City_Inputs!$AK35,Norm_Stats!$F$24),Norm_Stats!$G$24)-Norm_Stats!$F$24)/(Norm_Stats!$G$24-Norm_Stats!$F$24)))))="",0,0.2)))</f>
        <v/>
      </c>
      <c r="BE35" s="11">
        <f>IF(OR(City_Inputs!$AH35="",Norm_Stats!$F$25="",Norm_Stats!$G$25="",Norm_Stats!$G$25=Norm_Stats!$F$25),"",MAX(0,MIN(100,100*(Norm_Stats!$G$25-MIN(MAX(City_Inputs!$AH35,Norm_Stats!$F$25),Norm_Stats!$G$25))/(Norm_Stats!$G$25-Norm_Stats!$F$25))))</f>
        <v/>
      </c>
      <c r="BF35" s="14">
        <f>IF(BE35="","",1)</f>
        <v/>
      </c>
      <c r="BG35" s="15">
        <f>IF((IF(AY35="",0,6)+IF(BA35="",0,5)+IF(BC35="",0,5)+IF(BE35="",0,4))=0,"",(IF(AY35="",0,AY35*6)+IF(BA35="",0,BA35*5)+IF(BC35="",0,BC35*5)+IF(BE35="",0,BE35*4))/(IF(AY35="",0,6)+IF(BA35="",0,5)+IF(BC35="",0,5)+IF(BE35="",0,4)))</f>
        <v/>
      </c>
      <c r="BH35" s="14">
        <f>IF((IF(AZ35="",0,6)+IF(BB35="",0,5)+IF(BD35="",0,5)+IF(BF35="",0,4))=0,"",(IF(AZ35="",0,AZ35*6)+IF(BB35="",0,BB35*5)+IF(BD35="",0,BD35*5)+IF(BF35="",0,BF35*4))/20)</f>
        <v/>
      </c>
      <c r="BI35" s="14">
        <f>IF(AND(R35="",AF35="",AN35="",AX35="",BH35=""),"",((R35*25)+(AF35*22)+(AN35*18)+(AX35*15)+(BH35*20))/100)</f>
        <v/>
      </c>
      <c r="BJ35" s="11">
        <f>IF(BI35="","",IF(BI35&gt;=0.75,"A",IF(BI35&gt;=0.5,"B",IF(BI35&gt;=0.35,"C","Watchlist"))))</f>
        <v/>
      </c>
      <c r="BK35" s="11">
        <f>IF(OR(BI35="",BI35&lt;0.5,R35="",R35&lt;0.35,AF35="",AF35&lt;0.35,AN35="",AN35&lt;0.35,AX35="",AX35&lt;0.35,BH35="",BH35&lt;0.35),"Watchlist","Ranked")</f>
        <v/>
      </c>
      <c r="BL35" s="15">
        <f>IF(AND(Q35="",AE35="",AM35="",AW35="",BG35=""),"",(IF(Q35="",0,Q35*25)+IF(AE35="",0,AE35*22)+IF(AM35="",0,AM35*18)+IF(AW35="",0,AW35*15)+IF(BG35="",0,BG35*20))/(IF(Q35="",0,25)+IF(AE35="",0,22)+IF(AM35="",0,18)+IF(AW35="",0,15)+IF(BG35="",0,20)))</f>
        <v/>
      </c>
      <c r="BM35" s="11">
        <f>IF(BK35="Ranked",1+COUNTIFS($BK$2:$BK$158,"Ranked",$BL$2:$BL$158,"&gt;"&amp;BL35),"")</f>
        <v/>
      </c>
      <c r="BN35" s="11">
        <f>City_Inputs!$AI35</f>
        <v/>
      </c>
    </row>
    <row r="36">
      <c r="A36" t="inlineStr">
        <is>
          <t>np-kathmandu</t>
        </is>
      </c>
      <c r="B36" t="inlineStr">
        <is>
          <t>Kathmandu</t>
        </is>
      </c>
      <c r="C36" t="inlineStr">
        <is>
          <t>Nepal</t>
        </is>
      </c>
      <c r="D36" t="inlineStr">
        <is>
          <t>South Asia</t>
        </is>
      </c>
      <c r="E36" t="inlineStr">
        <is>
          <t>provisional</t>
        </is>
      </c>
      <c r="F36" t="inlineStr">
        <is>
          <t>secondary</t>
        </is>
      </c>
      <c r="G36" s="11">
        <f>IF(OR(City_Inputs!$M36="",Norm_Stats!$F$2="",Norm_Stats!$G$2="",Norm_Stats!$G$2=Norm_Stats!$F$2),"",MAX(0,MIN(100,100*(MIN(MAX(City_Inputs!$M36,Norm_Stats!$F$2),Norm_Stats!$G$2)-Norm_Stats!$F$2)/(Norm_Stats!$G$2-Norm_Stats!$F$2))))</f>
        <v/>
      </c>
      <c r="H36" s="14">
        <f>IF(G36="","",1)</f>
        <v/>
      </c>
      <c r="I36" s="11">
        <f>IF(OR(City_Inputs!$N36="",Norm_Stats!$F$3="",Norm_Stats!$G$3="",Norm_Stats!$G$3=Norm_Stats!$F$3),"",MAX(0,MIN(100,100*(Norm_Stats!$G$3-MIN(MAX(City_Inputs!$N36,Norm_Stats!$F$3),Norm_Stats!$G$3))/(Norm_Stats!$G$3-Norm_Stats!$F$3))))</f>
        <v/>
      </c>
      <c r="J36" s="14">
        <f>IF(I36="","",1)</f>
        <v/>
      </c>
      <c r="K36" s="11">
        <f>IF(OR(City_Inputs!$P36="",Norm_Stats!$F$4="",Norm_Stats!$G$4="",Norm_Stats!$G$4=Norm_Stats!$F$4),"",MAX(0,MIN(100,100*(Norm_Stats!$G$4-MIN(MAX(City_Inputs!$P36,Norm_Stats!$F$4),Norm_Stats!$G$4))/(Norm_Stats!$G$4-Norm_Stats!$F$4))))</f>
        <v/>
      </c>
      <c r="L36" s="14">
        <f>IF(K36="","",1)</f>
        <v/>
      </c>
      <c r="M36" s="11">
        <f>IF(OR(City_Inputs!$Q36="",Norm_Stats!$F$5="",Norm_Stats!$G$5="",Norm_Stats!$G$5=Norm_Stats!$F$5),"",MAX(0,MIN(100,100*(Norm_Stats!$G$5-MIN(MAX(City_Inputs!$Q36,Norm_Stats!$F$5),Norm_Stats!$G$5))/(Norm_Stats!$G$5-Norm_Stats!$F$5))))</f>
        <v/>
      </c>
      <c r="N36" s="14">
        <f>IF(M36="","",1)</f>
        <v/>
      </c>
      <c r="O36" s="11">
        <f>IF(OR(City_Inputs!$R36="",Norm_Stats!$F$6="",Norm_Stats!$G$6="",Norm_Stats!$G$6=Norm_Stats!$F$6),"",MAX(0,MIN(100,100*(Norm_Stats!$G$6-MIN(MAX(City_Inputs!$R36,Norm_Stats!$F$6),Norm_Stats!$G$6))/(Norm_Stats!$G$6-Norm_Stats!$F$6))))</f>
        <v/>
      </c>
      <c r="P36" s="14">
        <f>IF(O36="","",1)</f>
        <v/>
      </c>
      <c r="Q36" s="15">
        <f>IF((IF(G36="",0,9)+IF(I36="",0,5)+IF(K36="",0,4)+IF(M36="",0,4)+IF(O36="",0,5))=0,"",(IF(G36="",0,G36*9)+IF(I36="",0,I36*5)+IF(K36="",0,K36*4)+IF(M36="",0,M36*4)+IF(O36="",0,O36*5))/(IF(G36="",0,9)+IF(I36="",0,5)+IF(K36="",0,4)+IF(M36="",0,4)+IF(O36="",0,5)))</f>
        <v/>
      </c>
      <c r="R36" s="14">
        <f>IF((IF(H36="",0,9)+IF(J36="",0,5)+IF(L36="",0,4)+IF(N36="",0,4)+IF(P36="",0,5))=0,"",(IF(H36="",0,H36*9)+IF(J36="",0,J36*5)+IF(L36="",0,L36*4)+IF(N36="",0,N36*4)+IF(P36="",0,P36*5))/27)</f>
        <v/>
      </c>
      <c r="S36" s="11">
        <f>IF(OR(City_Inputs!$S36="",Norm_Stats!$F$7="",Norm_Stats!$G$7="",Norm_Stats!$G$7=Norm_Stats!$F$7),"",MAX(0,MIN(100,100*(Norm_Stats!$G$7-MIN(MAX(City_Inputs!$S36,Norm_Stats!$F$7),Norm_Stats!$G$7))/(Norm_Stats!$G$7-Norm_Stats!$F$7))))</f>
        <v/>
      </c>
      <c r="T36" s="14">
        <f>IF(S36="","",1)</f>
        <v/>
      </c>
      <c r="U36" s="11">
        <f>IF(OR(City_Inputs!$T36="",Norm_Stats!$F$8="",Norm_Stats!$G$8="",Norm_Stats!$G$8=Norm_Stats!$F$8),"",MAX(0,MIN(100,100*(MIN(MAX(City_Inputs!$T36,Norm_Stats!$F$8),Norm_Stats!$G$8)-Norm_Stats!$F$8)/(Norm_Stats!$G$8-Norm_Stats!$F$8))))</f>
        <v/>
      </c>
      <c r="V36" s="14">
        <f>IF(U36="","",1)</f>
        <v/>
      </c>
      <c r="W36" s="11">
        <f>IF(OR(City_Inputs!$U36="",Norm_Stats!$F$9="",Norm_Stats!$G$9="",Norm_Stats!$G$9=Norm_Stats!$F$9),"",MAX(0,MIN(100,100*(Norm_Stats!$G$9-MIN(MAX(City_Inputs!$U36,Norm_Stats!$F$9),Norm_Stats!$G$9))/(Norm_Stats!$G$9-Norm_Stats!$F$9))))</f>
        <v/>
      </c>
      <c r="X36" s="14">
        <f>IF(W36="","",1)</f>
        <v/>
      </c>
      <c r="Y36" s="11">
        <f>IF(OR(City_Inputs!$V36="",Norm_Stats!$F$10="",Norm_Stats!$G$10="",Norm_Stats!$G$10=Norm_Stats!$F$10),"",MAX(0,MIN(100,100*(MIN(MAX(City_Inputs!$V36,Norm_Stats!$F$10),Norm_Stats!$G$10)-Norm_Stats!$F$10)/(Norm_Stats!$G$10-Norm_Stats!$F$10))))</f>
        <v/>
      </c>
      <c r="Z36" s="14">
        <f>IF(Y36="","",1)</f>
        <v/>
      </c>
      <c r="AA36" s="11">
        <f>IF(OR(City_Inputs!$W36="",Norm_Stats!$F$11="",Norm_Stats!$G$11="",Norm_Stats!$G$11=Norm_Stats!$F$11),"",MAX(0,MIN(100,100*(MIN(MAX(City_Inputs!$W36,Norm_Stats!$F$11),Norm_Stats!$G$11)-Norm_Stats!$F$11)/(Norm_Stats!$G$11-Norm_Stats!$F$11))))</f>
        <v/>
      </c>
      <c r="AB36" s="14">
        <f>IF(AA36="","",1)</f>
        <v/>
      </c>
      <c r="AC36" s="11">
        <f>IF(OR(City_Inputs!$X36="",Norm_Stats!$F$12="",Norm_Stats!$G$12="",Norm_Stats!$G$12=Norm_Stats!$F$12),"",MAX(0,MIN(100,100*(MIN(MAX(City_Inputs!$X36,Norm_Stats!$F$12),Norm_Stats!$G$12)-Norm_Stats!$F$12)/(Norm_Stats!$G$12-Norm_Stats!$F$12))))</f>
        <v/>
      </c>
      <c r="AD36" s="11">
        <f>IF(AC36="","",1)</f>
        <v/>
      </c>
      <c r="AE36" s="15">
        <f>IF((IF(S36="",0,5)+IF(U36="",0,5)+IF(W36="",0,4)+IF(Y36="",0,4)+IF(AA36="",0,4)+IF(AC36="",0,5))=0,"",(IF(S36="",0,S36*5)+IF(U36="",0,U36*5)+IF(W36="",0,W36*4)+IF(Y36="",0,Y36*4)+IF(AA36="",0,AA36*4)+IF(AC36="",0,AC36*5))/(IF(S36="",0,5)+IF(U36="",0,5)+IF(W36="",0,4)+IF(Y36="",0,4)+IF(AA36="",0,4)+IF(AC36="",0,5)))</f>
        <v/>
      </c>
      <c r="AF36" s="14">
        <f>IF((IF(T36="",0,5)+IF(V36="",0,5)+IF(X36="",0,4)+IF(Z36="",0,4)+IF(AB36="",0,4)+IF(AD36="",0,5))=0,"",(IF(T36="",0,T36*5)+IF(V36="",0,V36*5)+IF(X36="",0,X36*4)+IF(Z36="",0,Z36*4)+IF(AB36="",0,AB36*4)+IF(AD36="",0,AD36*5))/27)</f>
        <v/>
      </c>
      <c r="AG36" s="11">
        <f>IF(OR(City_Inputs!$Y36="",Norm_Stats!$F$13="",Norm_Stats!$G$13="",Norm_Stats!$G$13=Norm_Stats!$F$13),"",MAX(0,MIN(100,100*(MIN(MAX(City_Inputs!$Y36,Norm_Stats!$F$13),Norm_Stats!$G$13)-Norm_Stats!$F$13)/(Norm_Stats!$G$13-Norm_Stats!$F$13))))</f>
        <v/>
      </c>
      <c r="AH36" s="14">
        <f>IF(AG36="","",1)</f>
        <v/>
      </c>
      <c r="AI36" s="11">
        <f>IF(OR(City_Inputs!$Z36="",Norm_Stats!$F$14="",Norm_Stats!$G$14="",Norm_Stats!$G$14=Norm_Stats!$F$14),"",MAX(0,MIN(100,100*(MIN(MAX(City_Inputs!$Z36,Norm_Stats!$F$14),Norm_Stats!$G$14)-Norm_Stats!$F$14)/(Norm_Stats!$G$14-Norm_Stats!$F$14))))</f>
        <v/>
      </c>
      <c r="AJ36" s="14">
        <f>IF(AI36="","",1)</f>
        <v/>
      </c>
      <c r="AK36" s="11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(IF(OR(City_Inputs!$AA36="",Norm_Stats!$F$15="",Norm_Stats!$G$15="",Norm_Stats!$G$15=Norm_Stats!$F$15),"",MAX(0,MIN(100,100*(MIN(MAX(City_Inputs!$AA36,Norm_Stats!$F$15),Norm_Stats!$G$15)-Norm_Stats!$F$15)/(Norm_Stats!$G$15-Norm_Stats!$F$15)))))*0.7)+IF((IF(OR(City_Inputs!$AL36="",Norm_Stats!$F$16="",Norm_Stats!$G$16="",Norm_Stats!$G$16=Norm_Stats!$F$16),"",MAX(0,MIN(100,100*(Norm_Stats!$G$16-MIN(MAX(City_Inputs!$AL36,Norm_Stats!$F$16),Norm_Stats!$G$16))/(Norm_Stats!$G$16-Norm_Stats!$F$16)))))="",0,(IF(OR(City_Inputs!$AL36="",Norm_Stats!$F$16="",Norm_Stats!$G$16="",Norm_Stats!$G$16=Norm_Stats!$F$16),"",MAX(0,MIN(100,100*(Norm_Stats!$G$16-MIN(MAX(City_Inputs!$AL36,Norm_Stats!$F$16),Norm_Stats!$G$16))/(Norm_Stats!$G$16-Norm_Stats!$F$16)))))*0.3))/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L36" s="14">
        <f>IF(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=0,"",(IF((IF(OR(City_Inputs!$AA36="",Norm_Stats!$F$15="",Norm_Stats!$G$15="",Norm_Stats!$G$15=Norm_Stats!$F$15),"",MAX(0,MIN(100,100*(MIN(MAX(City_Inputs!$AA36,Norm_Stats!$F$15),Norm_Stats!$G$15)-Norm_Stats!$F$15)/(Norm_Stats!$G$15-Norm_Stats!$F$15)))))="",0,0.7)+IF((IF(OR(City_Inputs!$AL36="",Norm_Stats!$F$16="",Norm_Stats!$G$16="",Norm_Stats!$G$16=Norm_Stats!$F$16),"",MAX(0,MIN(100,100*(Norm_Stats!$G$16-MIN(MAX(City_Inputs!$AL36,Norm_Stats!$F$16),Norm_Stats!$G$16))/(Norm_Stats!$G$16-Norm_Stats!$F$16)))))="",0,0.3)))</f>
        <v/>
      </c>
      <c r="AM36" s="15">
        <f>IF((IF(AG36="",0,8)+IF(AI36="",0,6)+IF(AK36="",0,4))=0,"",(IF(AG36="",0,AG36*8)+IF(AI36="",0,AI36*6)+IF(AK36="",0,AK36*4))/(IF(AG36="",0,8)+IF(AI36="",0,6)+IF(AK36="",0,4)))</f>
        <v/>
      </c>
      <c r="AN36" s="14">
        <f>IF((IF(AH36="",0,8)+IF(AJ36="",0,6)+IF(AL36="",0,4))=0,"",(IF(AH36="",0,AH36*8)+IF(AJ36="",0,AJ36*6)+IF(AL36="",0,AL36*4))/18)</f>
        <v/>
      </c>
      <c r="AO36" s="11">
        <f>IF(OR(City_Inputs!$AB36="",Norm_Stats!$F$17="",Norm_Stats!$G$17="",Norm_Stats!$G$17=Norm_Stats!$F$17),"",MAX(0,MIN(100,100*(MIN(MAX(City_Inputs!$AB36,Norm_Stats!$F$17),Norm_Stats!$G$17)-Norm_Stats!$F$17)/(Norm_Stats!$G$17-Norm_Stats!$F$17))))</f>
        <v/>
      </c>
      <c r="AP36" s="14">
        <f>IF(AO36="","",1)</f>
        <v/>
      </c>
      <c r="AQ36" s="11">
        <f>IF(OR(City_Inputs!$AC36="",Norm_Stats!$F$18="",Norm_Stats!$G$18="",Norm_Stats!$G$18=Norm_Stats!$F$18),"",MAX(0,MIN(100,100*(MIN(MAX(City_Inputs!$AC36,Norm_Stats!$F$18),Norm_Stats!$G$18)-Norm_Stats!$F$18)/(Norm_Stats!$G$18-Norm_Stats!$F$18))))</f>
        <v/>
      </c>
      <c r="AR36" s="14">
        <f>IF(AQ36="","",1)</f>
        <v/>
      </c>
      <c r="AS36" s="11">
        <f>IF(OR(City_Inputs!$AD36="",Norm_Stats!$F$19="",Norm_Stats!$G$19="",Norm_Stats!$G$19=Norm_Stats!$F$19),"",MAX(0,MIN(100,100*(MIN(MAX(City_Inputs!$AD36,Norm_Stats!$F$19),Norm_Stats!$G$19)-Norm_Stats!$F$19)/(Norm_Stats!$G$19-Norm_Stats!$F$19))))</f>
        <v/>
      </c>
      <c r="AT36" s="14">
        <f>IF(AS36="","",1)</f>
        <v/>
      </c>
      <c r="AU36" s="11">
        <f>IF(OR(City_Inputs!$BJ36="",Norm_Stats!$F$26="",Norm_Stats!$G$26="",Norm_Stats!$G$26=Norm_Stats!$F$26),"",MAX(0,MIN(100,100*(MIN(MAX(City_Inputs!$BJ36,Norm_Stats!$F$26),Norm_Stats!$G$26)-Norm_Stats!$F$26)/(Norm_Stats!$G$26-Norm_Stats!$F$26))))</f>
        <v/>
      </c>
      <c r="AV36" s="11">
        <f>IF(AU36="","",1)</f>
        <v/>
      </c>
      <c r="AW36" s="15">
        <f>IF((IF(AO36="",0,5)+IF(AQ36="",0,5)+IF(AS36="",0,5)+IF(AU36="",0,4))=0,"",(IF(AO36="",0,AO36*5)+IF(AQ36="",0,AQ36*5)+IF(AS36="",0,AS36*5)+IF(AU36="",0,AU36*4))/(IF(AO36="",0,5)+IF(AQ36="",0,5)+IF(AS36="",0,5)+IF(AU36="",0,4)))</f>
        <v/>
      </c>
      <c r="AX36" s="14">
        <f>IF((IF(AP36="",0,5)+IF(AR36="",0,5)+IF(AT36="",0,5)+IF(AV36="",0,4))=0,"",(IF(AP36="",0,AP36*5)+IF(AR36="",0,AR36*5)+IF(AT36="",0,AT36*5)+IF(AV36="",0,AV36*4))/19)</f>
        <v/>
      </c>
      <c r="AY36" s="11">
        <f>IF(OR(City_Inputs!$AE36="",Norm_Stats!$F$20="",Norm_Stats!$G$20="",Norm_Stats!$G$20=Norm_Stats!$F$20),"",MAX(0,MIN(100,100*(MIN(MAX(City_Inputs!$AE36,Norm_Stats!$F$20),Norm_Stats!$G$20)-Norm_Stats!$F$20)/(Norm_Stats!$G$20-Norm_Stats!$F$20))))</f>
        <v/>
      </c>
      <c r="AZ36" s="14">
        <f>IF(AY36="","",1)</f>
        <v/>
      </c>
      <c r="BA36" s="11">
        <f>IF(OR(City_Inputs!$AF36="",Norm_Stats!$F$21="",Norm_Stats!$G$21="",Norm_Stats!$G$21=Norm_Stats!$F$21),"",MAX(0,MIN(100,100*(MIN(MAX(City_Inputs!$AF36,Norm_Stats!$F$21),Norm_Stats!$G$21)-Norm_Stats!$F$21)/(Norm_Stats!$G$21-Norm_Stats!$F$21))))</f>
        <v/>
      </c>
      <c r="BB36" s="14">
        <f>IF(BA36="","",1)</f>
        <v/>
      </c>
      <c r="BC36" s="11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(IF(OR(City_Inputs!$AG36="",Norm_Stats!$F$22="",Norm_Stats!$G$22="",Norm_Stats!$G$22=Norm_Stats!$F$22),"",MAX(0,MIN(100,100*(MIN(MAX(City_Inputs!$AG36,Norm_Stats!$F$22),Norm_Stats!$G$22)-Norm_Stats!$F$22)/(Norm_Stats!$G$22-Norm_Stats!$F$22)))))*0.5)+IF((IF(OR(City_Inputs!$AJ36="",Norm_Stats!$F$23="",Norm_Stats!$G$23="",Norm_Stats!$G$23=Norm_Stats!$F$23),"",MAX(0,MIN(100,100*(MIN(MAX(City_Inputs!$AJ36,Norm_Stats!$F$23),Norm_Stats!$G$23)-Norm_Stats!$F$23)/(Norm_Stats!$G$23-Norm_Stats!$F$23)))))="",0,(IF(OR(City_Inputs!$AJ36="",Norm_Stats!$F$23="",Norm_Stats!$G$23="",Norm_Stats!$G$23=Norm_Stats!$F$23),"",MAX(0,MIN(100,100*(MIN(MAX(City_Inputs!$AJ36,Norm_Stats!$F$23),Norm_Stats!$G$23)-Norm_Stats!$F$23)/(Norm_Stats!$G$23-Norm_Stats!$F$23)))))*0.3)+IF((IF(OR(City_Inputs!$AK36="",Norm_Stats!$F$24="",Norm_Stats!$G$24="",Norm_Stats!$G$24=Norm_Stats!$F$24),"",MAX(0,MIN(100,100*(MIN(MAX(City_Inputs!$AK36,Norm_Stats!$F$24),Norm_Stats!$G$24)-Norm_Stats!$F$24)/(Norm_Stats!$G$24-Norm_Stats!$F$24)))))="",0,(IF(OR(City_Inputs!$AK36="",Norm_Stats!$F$24="",Norm_Stats!$G$24="",Norm_Stats!$G$24=Norm_Stats!$F$24),"",MAX(0,MIN(100,100*(MIN(MAX(City_Inputs!$AK36,Norm_Stats!$F$24),Norm_Stats!$G$24)-Norm_Stats!$F$24)/(Norm_Stats!$G$24-Norm_Stats!$F$24)))))*0.2))/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D36" s="14">
        <f>IF(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=0,"",(IF((IF(OR(City_Inputs!$AG36="",Norm_Stats!$F$22="",Norm_Stats!$G$22="",Norm_Stats!$G$22=Norm_Stats!$F$22),"",MAX(0,MIN(100,100*(MIN(MAX(City_Inputs!$AG36,Norm_Stats!$F$22),Norm_Stats!$G$22)-Norm_Stats!$F$22)/(Norm_Stats!$G$22-Norm_Stats!$F$22)))))="",0,0.5)+IF((IF(OR(City_Inputs!$AJ36="",Norm_Stats!$F$23="",Norm_Stats!$G$23="",Norm_Stats!$G$23=Norm_Stats!$F$23),"",MAX(0,MIN(100,100*(MIN(MAX(City_Inputs!$AJ36,Norm_Stats!$F$23),Norm_Stats!$G$23)-Norm_Stats!$F$23)/(Norm_Stats!$G$23-Norm_Stats!$F$23)))))="",0,0.3)+IF((IF(OR(City_Inputs!$AK36="",Norm_Stats!$F$24="",Norm_Stats!$G$24="",Norm_Stats!$G$24=Norm_Stats!$F$24),"",MAX(0,MIN(100,100*(MIN(MAX(City_Inputs!$AK36,Norm_Stats!$F$24),Norm_Stats!$G$24)-Norm_Stats!$F$24)/(Norm_Stats!$G$24-Norm_Stats!$F$24)))))="",0,0.2)))</f>
        <v/>
      </c>
      <c r="BE36" s="11">
        <f>IF(OR(City_Inputs!$AH36="",Norm_Stats!$F$25="",Norm_Stats!$G$25="",Norm_Stats!$G$25=Norm_Stats!$F$25),"",MAX(0,MIN(100,100*(Norm_Stats!$G$25-MIN(MAX(City_Inputs!$AH36,Norm_Stats!$F$25),Norm_Stats!$G$25))/(Norm_Stats!$G$25-Norm_Stats!$F$25))))</f>
        <v/>
      </c>
      <c r="BF36" s="14">
        <f>IF(BE36="","",1)</f>
        <v/>
      </c>
      <c r="BG36" s="15">
        <f>IF((IF(AY36="",0,6)+IF(BA36="",0,5)+IF(BC36="",0,5)+IF(BE36="",0,4))=0,"",(IF(AY36="",0,AY36*6)+IF(BA36="",0,BA36*5)+IF(BC36="",0,BC36*5)+IF(BE36="",0,BE36*4))/(IF(AY36="",0,6)+IF(BA36="",0,5)+IF(BC36="",0,5)+IF(BE36="",0,4)))</f>
        <v/>
      </c>
      <c r="BH36" s="14">
        <f>IF((IF(AZ36="",0,6)+IF(BB36="",0,5)+IF(BD36="",0,5)+IF(BF36="",0,4))=0,"",(IF(AZ36="",0,AZ36*6)+IF(BB36="",0,BB36*5)+IF(BD36="",0,BD36*5)+IF(BF36="",0,BF36*4))/20)</f>
        <v/>
      </c>
      <c r="BI36" s="14">
        <f>IF(AND(R36="",AF36="",AN36="",AX36="",BH36=""),"",((R36*25)+(AF36*22)+(AN36*18)+(AX36*15)+(BH36*20))/100)</f>
        <v/>
      </c>
      <c r="BJ36" s="11">
        <f>IF(BI36="","",IF(BI36&gt;=0.75,"A",IF(BI36&gt;=0.5,"B",IF(BI36&gt;=0.35,"C","Watchlist"))))</f>
        <v/>
      </c>
      <c r="BK36" s="11">
        <f>IF(OR(BI36="",BI36&lt;0.5,R36="",R36&lt;0.35,AF36="",AF36&lt;0.35,AN36="",AN36&lt;0.35,AX36="",AX36&lt;0.35,BH36="",BH36&lt;0.35),"Watchlist","Ranked")</f>
        <v/>
      </c>
      <c r="BL36" s="15">
        <f>IF(AND(Q36="",AE36="",AM36="",AW36="",BG36=""),"",(IF(Q36="",0,Q36*25)+IF(AE36="",0,AE36*22)+IF(AM36="",0,AM36*18)+IF(AW36="",0,AW36*15)+IF(BG36="",0,BG36*20))/(IF(Q36="",0,25)+IF(AE36="",0,22)+IF(AM36="",0,18)+IF(AW36="",0,15)+IF(BG36="",0,20)))</f>
        <v/>
      </c>
      <c r="BM36" s="11">
        <f>IF(BK36="Ranked",1+COUNTIFS($BK$2:$BK$158,"Ranked",$BL$2:$BL$158,"&gt;"&amp;BL36),"")</f>
        <v/>
      </c>
      <c r="BN36" s="11">
        <f>City_Inputs!$AI36</f>
        <v/>
      </c>
    </row>
    <row r="37">
      <c r="A37" t="inlineStr">
        <is>
          <t>bt-thimphu</t>
        </is>
      </c>
      <c r="B37" t="inlineStr">
        <is>
          <t>Thimphu</t>
        </is>
      </c>
      <c r="C37" t="inlineStr">
        <is>
          <t>Bhutan</t>
        </is>
      </c>
      <c r="D37" t="inlineStr">
        <is>
          <t>South Asia</t>
        </is>
      </c>
      <c r="E37" t="inlineStr">
        <is>
          <t>locked</t>
        </is>
      </c>
      <c r="F37" t="inlineStr">
        <is>
          <t>secondary</t>
        </is>
      </c>
      <c r="G37" s="11">
        <f>IF(OR(City_Inputs!$M37="",Norm_Stats!$F$2="",Norm_Stats!$G$2="",Norm_Stats!$G$2=Norm_Stats!$F$2),"",MAX(0,MIN(100,100*(MIN(MAX(City_Inputs!$M37,Norm_Stats!$F$2),Norm_Stats!$G$2)-Norm_Stats!$F$2)/(Norm_Stats!$G$2-Norm_Stats!$F$2))))</f>
        <v/>
      </c>
      <c r="H37" s="14">
        <f>IF(G37="","",1)</f>
        <v/>
      </c>
      <c r="I37" s="11">
        <f>IF(OR(City_Inputs!$N37="",Norm_Stats!$F$3="",Norm_Stats!$G$3="",Norm_Stats!$G$3=Norm_Stats!$F$3),"",MAX(0,MIN(100,100*(Norm_Stats!$G$3-MIN(MAX(City_Inputs!$N37,Norm_Stats!$F$3),Norm_Stats!$G$3))/(Norm_Stats!$G$3-Norm_Stats!$F$3))))</f>
        <v/>
      </c>
      <c r="J37" s="14">
        <f>IF(I37="","",1)</f>
        <v/>
      </c>
      <c r="K37" s="11">
        <f>IF(OR(City_Inputs!$P37="",Norm_Stats!$F$4="",Norm_Stats!$G$4="",Norm_Stats!$G$4=Norm_Stats!$F$4),"",MAX(0,MIN(100,100*(Norm_Stats!$G$4-MIN(MAX(City_Inputs!$P37,Norm_Stats!$F$4),Norm_Stats!$G$4))/(Norm_Stats!$G$4-Norm_Stats!$F$4))))</f>
        <v/>
      </c>
      <c r="L37" s="14">
        <f>IF(K37="","",1)</f>
        <v/>
      </c>
      <c r="M37" s="11">
        <f>IF(OR(City_Inputs!$Q37="",Norm_Stats!$F$5="",Norm_Stats!$G$5="",Norm_Stats!$G$5=Norm_Stats!$F$5),"",MAX(0,MIN(100,100*(Norm_Stats!$G$5-MIN(MAX(City_Inputs!$Q37,Norm_Stats!$F$5),Norm_Stats!$G$5))/(Norm_Stats!$G$5-Norm_Stats!$F$5))))</f>
        <v/>
      </c>
      <c r="N37" s="14">
        <f>IF(M37="","",1)</f>
        <v/>
      </c>
      <c r="O37" s="11">
        <f>IF(OR(City_Inputs!$R37="",Norm_Stats!$F$6="",Norm_Stats!$G$6="",Norm_Stats!$G$6=Norm_Stats!$F$6),"",MAX(0,MIN(100,100*(Norm_Stats!$G$6-MIN(MAX(City_Inputs!$R37,Norm_Stats!$F$6),Norm_Stats!$G$6))/(Norm_Stats!$G$6-Norm_Stats!$F$6))))</f>
        <v/>
      </c>
      <c r="P37" s="14">
        <f>IF(O37="","",1)</f>
        <v/>
      </c>
      <c r="Q37" s="15">
        <f>IF((IF(G37="",0,9)+IF(I37="",0,5)+IF(K37="",0,4)+IF(M37="",0,4)+IF(O37="",0,5))=0,"",(IF(G37="",0,G37*9)+IF(I37="",0,I37*5)+IF(K37="",0,K37*4)+IF(M37="",0,M37*4)+IF(O37="",0,O37*5))/(IF(G37="",0,9)+IF(I37="",0,5)+IF(K37="",0,4)+IF(M37="",0,4)+IF(O37="",0,5)))</f>
        <v/>
      </c>
      <c r="R37" s="14">
        <f>IF((IF(H37="",0,9)+IF(J37="",0,5)+IF(L37="",0,4)+IF(N37="",0,4)+IF(P37="",0,5))=0,"",(IF(H37="",0,H37*9)+IF(J37="",0,J37*5)+IF(L37="",0,L37*4)+IF(N37="",0,N37*4)+IF(P37="",0,P37*5))/27)</f>
        <v/>
      </c>
      <c r="S37" s="11">
        <f>IF(OR(City_Inputs!$S37="",Norm_Stats!$F$7="",Norm_Stats!$G$7="",Norm_Stats!$G$7=Norm_Stats!$F$7),"",MAX(0,MIN(100,100*(Norm_Stats!$G$7-MIN(MAX(City_Inputs!$S37,Norm_Stats!$F$7),Norm_Stats!$G$7))/(Norm_Stats!$G$7-Norm_Stats!$F$7))))</f>
        <v/>
      </c>
      <c r="T37" s="14">
        <f>IF(S37="","",1)</f>
        <v/>
      </c>
      <c r="U37" s="11">
        <f>IF(OR(City_Inputs!$T37="",Norm_Stats!$F$8="",Norm_Stats!$G$8="",Norm_Stats!$G$8=Norm_Stats!$F$8),"",MAX(0,MIN(100,100*(MIN(MAX(City_Inputs!$T37,Norm_Stats!$F$8),Norm_Stats!$G$8)-Norm_Stats!$F$8)/(Norm_Stats!$G$8-Norm_Stats!$F$8))))</f>
        <v/>
      </c>
      <c r="V37" s="14">
        <f>IF(U37="","",1)</f>
        <v/>
      </c>
      <c r="W37" s="11">
        <f>IF(OR(City_Inputs!$U37="",Norm_Stats!$F$9="",Norm_Stats!$G$9="",Norm_Stats!$G$9=Norm_Stats!$F$9),"",MAX(0,MIN(100,100*(Norm_Stats!$G$9-MIN(MAX(City_Inputs!$U37,Norm_Stats!$F$9),Norm_Stats!$G$9))/(Norm_Stats!$G$9-Norm_Stats!$F$9))))</f>
        <v/>
      </c>
      <c r="X37" s="14">
        <f>IF(W37="","",1)</f>
        <v/>
      </c>
      <c r="Y37" s="11">
        <f>IF(OR(City_Inputs!$V37="",Norm_Stats!$F$10="",Norm_Stats!$G$10="",Norm_Stats!$G$10=Norm_Stats!$F$10),"",MAX(0,MIN(100,100*(MIN(MAX(City_Inputs!$V37,Norm_Stats!$F$10),Norm_Stats!$G$10)-Norm_Stats!$F$10)/(Norm_Stats!$G$10-Norm_Stats!$F$10))))</f>
        <v/>
      </c>
      <c r="Z37" s="14">
        <f>IF(Y37="","",1)</f>
        <v/>
      </c>
      <c r="AA37" s="11">
        <f>IF(OR(City_Inputs!$W37="",Norm_Stats!$F$11="",Norm_Stats!$G$11="",Norm_Stats!$G$11=Norm_Stats!$F$11),"",MAX(0,MIN(100,100*(MIN(MAX(City_Inputs!$W37,Norm_Stats!$F$11),Norm_Stats!$G$11)-Norm_Stats!$F$11)/(Norm_Stats!$G$11-Norm_Stats!$F$11))))</f>
        <v/>
      </c>
      <c r="AB37" s="14">
        <f>IF(AA37="","",1)</f>
        <v/>
      </c>
      <c r="AC37" s="11">
        <f>IF(OR(City_Inputs!$X37="",Norm_Stats!$F$12="",Norm_Stats!$G$12="",Norm_Stats!$G$12=Norm_Stats!$F$12),"",MAX(0,MIN(100,100*(MIN(MAX(City_Inputs!$X37,Norm_Stats!$F$12),Norm_Stats!$G$12)-Norm_Stats!$F$12)/(Norm_Stats!$G$12-Norm_Stats!$F$12))))</f>
        <v/>
      </c>
      <c r="AD37" s="11">
        <f>IF(AC37="","",1)</f>
        <v/>
      </c>
      <c r="AE37" s="15">
        <f>IF((IF(S37="",0,5)+IF(U37="",0,5)+IF(W37="",0,4)+IF(Y37="",0,4)+IF(AA37="",0,4)+IF(AC37="",0,5))=0,"",(IF(S37="",0,S37*5)+IF(U37="",0,U37*5)+IF(W37="",0,W37*4)+IF(Y37="",0,Y37*4)+IF(AA37="",0,AA37*4)+IF(AC37="",0,AC37*5))/(IF(S37="",0,5)+IF(U37="",0,5)+IF(W37="",0,4)+IF(Y37="",0,4)+IF(AA37="",0,4)+IF(AC37="",0,5)))</f>
        <v/>
      </c>
      <c r="AF37" s="14">
        <f>IF((IF(T37="",0,5)+IF(V37="",0,5)+IF(X37="",0,4)+IF(Z37="",0,4)+IF(AB37="",0,4)+IF(AD37="",0,5))=0,"",(IF(T37="",0,T37*5)+IF(V37="",0,V37*5)+IF(X37="",0,X37*4)+IF(Z37="",0,Z37*4)+IF(AB37="",0,AB37*4)+IF(AD37="",0,AD37*5))/27)</f>
        <v/>
      </c>
      <c r="AG37" s="11">
        <f>IF(OR(City_Inputs!$Y37="",Norm_Stats!$F$13="",Norm_Stats!$G$13="",Norm_Stats!$G$13=Norm_Stats!$F$13),"",MAX(0,MIN(100,100*(MIN(MAX(City_Inputs!$Y37,Norm_Stats!$F$13),Norm_Stats!$G$13)-Norm_Stats!$F$13)/(Norm_Stats!$G$13-Norm_Stats!$F$13))))</f>
        <v/>
      </c>
      <c r="AH37" s="14">
        <f>IF(AG37="","",1)</f>
        <v/>
      </c>
      <c r="AI37" s="11">
        <f>IF(OR(City_Inputs!$Z37="",Norm_Stats!$F$14="",Norm_Stats!$G$14="",Norm_Stats!$G$14=Norm_Stats!$F$14),"",MAX(0,MIN(100,100*(MIN(MAX(City_Inputs!$Z37,Norm_Stats!$F$14),Norm_Stats!$G$14)-Norm_Stats!$F$14)/(Norm_Stats!$G$14-Norm_Stats!$F$14))))</f>
        <v/>
      </c>
      <c r="AJ37" s="14">
        <f>IF(AI37="","",1)</f>
        <v/>
      </c>
      <c r="AK37" s="11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(IF(OR(City_Inputs!$AA37="",Norm_Stats!$F$15="",Norm_Stats!$G$15="",Norm_Stats!$G$15=Norm_Stats!$F$15),"",MAX(0,MIN(100,100*(MIN(MAX(City_Inputs!$AA37,Norm_Stats!$F$15),Norm_Stats!$G$15)-Norm_Stats!$F$15)/(Norm_Stats!$G$15-Norm_Stats!$F$15)))))*0.7)+IF((IF(OR(City_Inputs!$AL37="",Norm_Stats!$F$16="",Norm_Stats!$G$16="",Norm_Stats!$G$16=Norm_Stats!$F$16),"",MAX(0,MIN(100,100*(Norm_Stats!$G$16-MIN(MAX(City_Inputs!$AL37,Norm_Stats!$F$16),Norm_Stats!$G$16))/(Norm_Stats!$G$16-Norm_Stats!$F$16)))))="",0,(IF(OR(City_Inputs!$AL37="",Norm_Stats!$F$16="",Norm_Stats!$G$16="",Norm_Stats!$G$16=Norm_Stats!$F$16),"",MAX(0,MIN(100,100*(Norm_Stats!$G$16-MIN(MAX(City_Inputs!$AL37,Norm_Stats!$F$16),Norm_Stats!$G$16))/(Norm_Stats!$G$16-Norm_Stats!$F$16)))))*0.3))/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L37" s="14">
        <f>IF(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=0,"",(IF((IF(OR(City_Inputs!$AA37="",Norm_Stats!$F$15="",Norm_Stats!$G$15="",Norm_Stats!$G$15=Norm_Stats!$F$15),"",MAX(0,MIN(100,100*(MIN(MAX(City_Inputs!$AA37,Norm_Stats!$F$15),Norm_Stats!$G$15)-Norm_Stats!$F$15)/(Norm_Stats!$G$15-Norm_Stats!$F$15)))))="",0,0.7)+IF((IF(OR(City_Inputs!$AL37="",Norm_Stats!$F$16="",Norm_Stats!$G$16="",Norm_Stats!$G$16=Norm_Stats!$F$16),"",MAX(0,MIN(100,100*(Norm_Stats!$G$16-MIN(MAX(City_Inputs!$AL37,Norm_Stats!$F$16),Norm_Stats!$G$16))/(Norm_Stats!$G$16-Norm_Stats!$F$16)))))="",0,0.3)))</f>
        <v/>
      </c>
      <c r="AM37" s="15">
        <f>IF((IF(AG37="",0,8)+IF(AI37="",0,6)+IF(AK37="",0,4))=0,"",(IF(AG37="",0,AG37*8)+IF(AI37="",0,AI37*6)+IF(AK37="",0,AK37*4))/(IF(AG37="",0,8)+IF(AI37="",0,6)+IF(AK37="",0,4)))</f>
        <v/>
      </c>
      <c r="AN37" s="14">
        <f>IF((IF(AH37="",0,8)+IF(AJ37="",0,6)+IF(AL37="",0,4))=0,"",(IF(AH37="",0,AH37*8)+IF(AJ37="",0,AJ37*6)+IF(AL37="",0,AL37*4))/18)</f>
        <v/>
      </c>
      <c r="AO37" s="11">
        <f>IF(OR(City_Inputs!$AB37="",Norm_Stats!$F$17="",Norm_Stats!$G$17="",Norm_Stats!$G$17=Norm_Stats!$F$17),"",MAX(0,MIN(100,100*(MIN(MAX(City_Inputs!$AB37,Norm_Stats!$F$17),Norm_Stats!$G$17)-Norm_Stats!$F$17)/(Norm_Stats!$G$17-Norm_Stats!$F$17))))</f>
        <v/>
      </c>
      <c r="AP37" s="14">
        <f>IF(AO37="","",1)</f>
        <v/>
      </c>
      <c r="AQ37" s="11">
        <f>IF(OR(City_Inputs!$AC37="",Norm_Stats!$F$18="",Norm_Stats!$G$18="",Norm_Stats!$G$18=Norm_Stats!$F$18),"",MAX(0,MIN(100,100*(MIN(MAX(City_Inputs!$AC37,Norm_Stats!$F$18),Norm_Stats!$G$18)-Norm_Stats!$F$18)/(Norm_Stats!$G$18-Norm_Stats!$F$18))))</f>
        <v/>
      </c>
      <c r="AR37" s="14">
        <f>IF(AQ37="","",1)</f>
        <v/>
      </c>
      <c r="AS37" s="11">
        <f>IF(OR(City_Inputs!$AD37="",Norm_Stats!$F$19="",Norm_Stats!$G$19="",Norm_Stats!$G$19=Norm_Stats!$F$19),"",MAX(0,MIN(100,100*(MIN(MAX(City_Inputs!$AD37,Norm_Stats!$F$19),Norm_Stats!$G$19)-Norm_Stats!$F$19)/(Norm_Stats!$G$19-Norm_Stats!$F$19))))</f>
        <v/>
      </c>
      <c r="AT37" s="14">
        <f>IF(AS37="","",1)</f>
        <v/>
      </c>
      <c r="AU37" s="11">
        <f>IF(OR(City_Inputs!$BJ37="",Norm_Stats!$F$26="",Norm_Stats!$G$26="",Norm_Stats!$G$26=Norm_Stats!$F$26),"",MAX(0,MIN(100,100*(MIN(MAX(City_Inputs!$BJ37,Norm_Stats!$F$26),Norm_Stats!$G$26)-Norm_Stats!$F$26)/(Norm_Stats!$G$26-Norm_Stats!$F$26))))</f>
        <v/>
      </c>
      <c r="AV37" s="11">
        <f>IF(AU37="","",1)</f>
        <v/>
      </c>
      <c r="AW37" s="15">
        <f>IF((IF(AO37="",0,5)+IF(AQ37="",0,5)+IF(AS37="",0,5)+IF(AU37="",0,4))=0,"",(IF(AO37="",0,AO37*5)+IF(AQ37="",0,AQ37*5)+IF(AS37="",0,AS37*5)+IF(AU37="",0,AU37*4))/(IF(AO37="",0,5)+IF(AQ37="",0,5)+IF(AS37="",0,5)+IF(AU37="",0,4)))</f>
        <v/>
      </c>
      <c r="AX37" s="14">
        <f>IF((IF(AP37="",0,5)+IF(AR37="",0,5)+IF(AT37="",0,5)+IF(AV37="",0,4))=0,"",(IF(AP37="",0,AP37*5)+IF(AR37="",0,AR37*5)+IF(AT37="",0,AT37*5)+IF(AV37="",0,AV37*4))/19)</f>
        <v/>
      </c>
      <c r="AY37" s="11">
        <f>IF(OR(City_Inputs!$AE37="",Norm_Stats!$F$20="",Norm_Stats!$G$20="",Norm_Stats!$G$20=Norm_Stats!$F$20),"",MAX(0,MIN(100,100*(MIN(MAX(City_Inputs!$AE37,Norm_Stats!$F$20),Norm_Stats!$G$20)-Norm_Stats!$F$20)/(Norm_Stats!$G$20-Norm_Stats!$F$20))))</f>
        <v/>
      </c>
      <c r="AZ37" s="14">
        <f>IF(AY37="","",1)</f>
        <v/>
      </c>
      <c r="BA37" s="11">
        <f>IF(OR(City_Inputs!$AF37="",Norm_Stats!$F$21="",Norm_Stats!$G$21="",Norm_Stats!$G$21=Norm_Stats!$F$21),"",MAX(0,MIN(100,100*(MIN(MAX(City_Inputs!$AF37,Norm_Stats!$F$21),Norm_Stats!$G$21)-Norm_Stats!$F$21)/(Norm_Stats!$G$21-Norm_Stats!$F$21))))</f>
        <v/>
      </c>
      <c r="BB37" s="14">
        <f>IF(BA37="","",1)</f>
        <v/>
      </c>
      <c r="BC37" s="11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(IF(OR(City_Inputs!$AG37="",Norm_Stats!$F$22="",Norm_Stats!$G$22="",Norm_Stats!$G$22=Norm_Stats!$F$22),"",MAX(0,MIN(100,100*(MIN(MAX(City_Inputs!$AG37,Norm_Stats!$F$22),Norm_Stats!$G$22)-Norm_Stats!$F$22)/(Norm_Stats!$G$22-Norm_Stats!$F$22)))))*0.5)+IF((IF(OR(City_Inputs!$AJ37="",Norm_Stats!$F$23="",Norm_Stats!$G$23="",Norm_Stats!$G$23=Norm_Stats!$F$23),"",MAX(0,MIN(100,100*(MIN(MAX(City_Inputs!$AJ37,Norm_Stats!$F$23),Norm_Stats!$G$23)-Norm_Stats!$F$23)/(Norm_Stats!$G$23-Norm_Stats!$F$23)))))="",0,(IF(OR(City_Inputs!$AJ37="",Norm_Stats!$F$23="",Norm_Stats!$G$23="",Norm_Stats!$G$23=Norm_Stats!$F$23),"",MAX(0,MIN(100,100*(MIN(MAX(City_Inputs!$AJ37,Norm_Stats!$F$23),Norm_Stats!$G$23)-Norm_Stats!$F$23)/(Norm_Stats!$G$23-Norm_Stats!$F$23)))))*0.3)+IF((IF(OR(City_Inputs!$AK37="",Norm_Stats!$F$24="",Norm_Stats!$G$24="",Norm_Stats!$G$24=Norm_Stats!$F$24),"",MAX(0,MIN(100,100*(MIN(MAX(City_Inputs!$AK37,Norm_Stats!$F$24),Norm_Stats!$G$24)-Norm_Stats!$F$24)/(Norm_Stats!$G$24-Norm_Stats!$F$24)))))="",0,(IF(OR(City_Inputs!$AK37="",Norm_Stats!$F$24="",Norm_Stats!$G$24="",Norm_Stats!$G$24=Norm_Stats!$F$24),"",MAX(0,MIN(100,100*(MIN(MAX(City_Inputs!$AK37,Norm_Stats!$F$24),Norm_Stats!$G$24)-Norm_Stats!$F$24)/(Norm_Stats!$G$24-Norm_Stats!$F$24)))))*0.2))/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D37" s="14">
        <f>IF(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=0,"",(IF((IF(OR(City_Inputs!$AG37="",Norm_Stats!$F$22="",Norm_Stats!$G$22="",Norm_Stats!$G$22=Norm_Stats!$F$22),"",MAX(0,MIN(100,100*(MIN(MAX(City_Inputs!$AG37,Norm_Stats!$F$22),Norm_Stats!$G$22)-Norm_Stats!$F$22)/(Norm_Stats!$G$22-Norm_Stats!$F$22)))))="",0,0.5)+IF((IF(OR(City_Inputs!$AJ37="",Norm_Stats!$F$23="",Norm_Stats!$G$23="",Norm_Stats!$G$23=Norm_Stats!$F$23),"",MAX(0,MIN(100,100*(MIN(MAX(City_Inputs!$AJ37,Norm_Stats!$F$23),Norm_Stats!$G$23)-Norm_Stats!$F$23)/(Norm_Stats!$G$23-Norm_Stats!$F$23)))))="",0,0.3)+IF((IF(OR(City_Inputs!$AK37="",Norm_Stats!$F$24="",Norm_Stats!$G$24="",Norm_Stats!$G$24=Norm_Stats!$F$24),"",MAX(0,MIN(100,100*(MIN(MAX(City_Inputs!$AK37,Norm_Stats!$F$24),Norm_Stats!$G$24)-Norm_Stats!$F$24)/(Norm_Stats!$G$24-Norm_Stats!$F$24)))))="",0,0.2)))</f>
        <v/>
      </c>
      <c r="BE37" s="11">
        <f>IF(OR(City_Inputs!$AH37="",Norm_Stats!$F$25="",Norm_Stats!$G$25="",Norm_Stats!$G$25=Norm_Stats!$F$25),"",MAX(0,MIN(100,100*(Norm_Stats!$G$25-MIN(MAX(City_Inputs!$AH37,Norm_Stats!$F$25),Norm_Stats!$G$25))/(Norm_Stats!$G$25-Norm_Stats!$F$25))))</f>
        <v/>
      </c>
      <c r="BF37" s="14">
        <f>IF(BE37="","",1)</f>
        <v/>
      </c>
      <c r="BG37" s="15">
        <f>IF((IF(AY37="",0,6)+IF(BA37="",0,5)+IF(BC37="",0,5)+IF(BE37="",0,4))=0,"",(IF(AY37="",0,AY37*6)+IF(BA37="",0,BA37*5)+IF(BC37="",0,BC37*5)+IF(BE37="",0,BE37*4))/(IF(AY37="",0,6)+IF(BA37="",0,5)+IF(BC37="",0,5)+IF(BE37="",0,4)))</f>
        <v/>
      </c>
      <c r="BH37" s="14">
        <f>IF((IF(AZ37="",0,6)+IF(BB37="",0,5)+IF(BD37="",0,5)+IF(BF37="",0,4))=0,"",(IF(AZ37="",0,AZ37*6)+IF(BB37="",0,BB37*5)+IF(BD37="",0,BD37*5)+IF(BF37="",0,BF37*4))/20)</f>
        <v/>
      </c>
      <c r="BI37" s="14">
        <f>IF(AND(R37="",AF37="",AN37="",AX37="",BH37=""),"",((R37*25)+(AF37*22)+(AN37*18)+(AX37*15)+(BH37*20))/100)</f>
        <v/>
      </c>
      <c r="BJ37" s="11">
        <f>IF(BI37="","",IF(BI37&gt;=0.75,"A",IF(BI37&gt;=0.5,"B",IF(BI37&gt;=0.35,"C","Watchlist"))))</f>
        <v/>
      </c>
      <c r="BK37" s="11">
        <f>IF(OR(BI37="",BI37&lt;0.5,R37="",R37&lt;0.35,AF37="",AF37&lt;0.35,AN37="",AN37&lt;0.35,AX37="",AX37&lt;0.35,BH37="",BH37&lt;0.35),"Watchlist","Ranked")</f>
        <v/>
      </c>
      <c r="BL37" s="15">
        <f>IF(AND(Q37="",AE37="",AM37="",AW37="",BG37=""),"",(IF(Q37="",0,Q37*25)+IF(AE37="",0,AE37*22)+IF(AM37="",0,AM37*18)+IF(AW37="",0,AW37*15)+IF(BG37="",0,BG37*20))/(IF(Q37="",0,25)+IF(AE37="",0,22)+IF(AM37="",0,18)+IF(AW37="",0,15)+IF(BG37="",0,20)))</f>
        <v/>
      </c>
      <c r="BM37" s="11">
        <f>IF(BK37="Ranked",1+COUNTIFS($BK$2:$BK$158,"Ranked",$BL$2:$BL$158,"&gt;"&amp;BL37),"")</f>
        <v/>
      </c>
      <c r="BN37" s="11">
        <f>City_Inputs!$AI37</f>
        <v/>
      </c>
    </row>
    <row r="38">
      <c r="A38" t="inlineStr">
        <is>
          <t>mv-male</t>
        </is>
      </c>
      <c r="B38" t="inlineStr">
        <is>
          <t>Male</t>
        </is>
      </c>
      <c r="C38" t="inlineStr">
        <is>
          <t>Maldives</t>
        </is>
      </c>
      <c r="D38" t="inlineStr">
        <is>
          <t>South Asia</t>
        </is>
      </c>
      <c r="E38" t="inlineStr">
        <is>
          <t>locked</t>
        </is>
      </c>
      <c r="F38" t="inlineStr">
        <is>
          <t>secondary</t>
        </is>
      </c>
      <c r="G38" s="11">
        <f>IF(OR(City_Inputs!$M38="",Norm_Stats!$F$2="",Norm_Stats!$G$2="",Norm_Stats!$G$2=Norm_Stats!$F$2),"",MAX(0,MIN(100,100*(MIN(MAX(City_Inputs!$M38,Norm_Stats!$F$2),Norm_Stats!$G$2)-Norm_Stats!$F$2)/(Norm_Stats!$G$2-Norm_Stats!$F$2))))</f>
        <v/>
      </c>
      <c r="H38" s="14">
        <f>IF(G38="","",1)</f>
        <v/>
      </c>
      <c r="I38" s="11">
        <f>IF(OR(City_Inputs!$N38="",Norm_Stats!$F$3="",Norm_Stats!$G$3="",Norm_Stats!$G$3=Norm_Stats!$F$3),"",MAX(0,MIN(100,100*(Norm_Stats!$G$3-MIN(MAX(City_Inputs!$N38,Norm_Stats!$F$3),Norm_Stats!$G$3))/(Norm_Stats!$G$3-Norm_Stats!$F$3))))</f>
        <v/>
      </c>
      <c r="J38" s="14">
        <f>IF(I38="","",1)</f>
        <v/>
      </c>
      <c r="K38" s="11">
        <f>IF(OR(City_Inputs!$P38="",Norm_Stats!$F$4="",Norm_Stats!$G$4="",Norm_Stats!$G$4=Norm_Stats!$F$4),"",MAX(0,MIN(100,100*(Norm_Stats!$G$4-MIN(MAX(City_Inputs!$P38,Norm_Stats!$F$4),Norm_Stats!$G$4))/(Norm_Stats!$G$4-Norm_Stats!$F$4))))</f>
        <v/>
      </c>
      <c r="L38" s="14">
        <f>IF(K38="","",1)</f>
        <v/>
      </c>
      <c r="M38" s="11">
        <f>IF(OR(City_Inputs!$Q38="",Norm_Stats!$F$5="",Norm_Stats!$G$5="",Norm_Stats!$G$5=Norm_Stats!$F$5),"",MAX(0,MIN(100,100*(Norm_Stats!$G$5-MIN(MAX(City_Inputs!$Q38,Norm_Stats!$F$5),Norm_Stats!$G$5))/(Norm_Stats!$G$5-Norm_Stats!$F$5))))</f>
        <v/>
      </c>
      <c r="N38" s="14">
        <f>IF(M38="","",1)</f>
        <v/>
      </c>
      <c r="O38" s="11">
        <f>IF(OR(City_Inputs!$R38="",Norm_Stats!$F$6="",Norm_Stats!$G$6="",Norm_Stats!$G$6=Norm_Stats!$F$6),"",MAX(0,MIN(100,100*(Norm_Stats!$G$6-MIN(MAX(City_Inputs!$R38,Norm_Stats!$F$6),Norm_Stats!$G$6))/(Norm_Stats!$G$6-Norm_Stats!$F$6))))</f>
        <v/>
      </c>
      <c r="P38" s="14">
        <f>IF(O38="","",1)</f>
        <v/>
      </c>
      <c r="Q38" s="15">
        <f>IF((IF(G38="",0,9)+IF(I38="",0,5)+IF(K38="",0,4)+IF(M38="",0,4)+IF(O38="",0,5))=0,"",(IF(G38="",0,G38*9)+IF(I38="",0,I38*5)+IF(K38="",0,K38*4)+IF(M38="",0,M38*4)+IF(O38="",0,O38*5))/(IF(G38="",0,9)+IF(I38="",0,5)+IF(K38="",0,4)+IF(M38="",0,4)+IF(O38="",0,5)))</f>
        <v/>
      </c>
      <c r="R38" s="14">
        <f>IF((IF(H38="",0,9)+IF(J38="",0,5)+IF(L38="",0,4)+IF(N38="",0,4)+IF(P38="",0,5))=0,"",(IF(H38="",0,H38*9)+IF(J38="",0,J38*5)+IF(L38="",0,L38*4)+IF(N38="",0,N38*4)+IF(P38="",0,P38*5))/27)</f>
        <v/>
      </c>
      <c r="S38" s="11">
        <f>IF(OR(City_Inputs!$S38="",Norm_Stats!$F$7="",Norm_Stats!$G$7="",Norm_Stats!$G$7=Norm_Stats!$F$7),"",MAX(0,MIN(100,100*(Norm_Stats!$G$7-MIN(MAX(City_Inputs!$S38,Norm_Stats!$F$7),Norm_Stats!$G$7))/(Norm_Stats!$G$7-Norm_Stats!$F$7))))</f>
        <v/>
      </c>
      <c r="T38" s="14">
        <f>IF(S38="","",1)</f>
        <v/>
      </c>
      <c r="U38" s="11">
        <f>IF(OR(City_Inputs!$T38="",Norm_Stats!$F$8="",Norm_Stats!$G$8="",Norm_Stats!$G$8=Norm_Stats!$F$8),"",MAX(0,MIN(100,100*(MIN(MAX(City_Inputs!$T38,Norm_Stats!$F$8),Norm_Stats!$G$8)-Norm_Stats!$F$8)/(Norm_Stats!$G$8-Norm_Stats!$F$8))))</f>
        <v/>
      </c>
      <c r="V38" s="14">
        <f>IF(U38="","",1)</f>
        <v/>
      </c>
      <c r="W38" s="11">
        <f>IF(OR(City_Inputs!$U38="",Norm_Stats!$F$9="",Norm_Stats!$G$9="",Norm_Stats!$G$9=Norm_Stats!$F$9),"",MAX(0,MIN(100,100*(Norm_Stats!$G$9-MIN(MAX(City_Inputs!$U38,Norm_Stats!$F$9),Norm_Stats!$G$9))/(Norm_Stats!$G$9-Norm_Stats!$F$9))))</f>
        <v/>
      </c>
      <c r="X38" s="14">
        <f>IF(W38="","",1)</f>
        <v/>
      </c>
      <c r="Y38" s="11">
        <f>IF(OR(City_Inputs!$V38="",Norm_Stats!$F$10="",Norm_Stats!$G$10="",Norm_Stats!$G$10=Norm_Stats!$F$10),"",MAX(0,MIN(100,100*(MIN(MAX(City_Inputs!$V38,Norm_Stats!$F$10),Norm_Stats!$G$10)-Norm_Stats!$F$10)/(Norm_Stats!$G$10-Norm_Stats!$F$10))))</f>
        <v/>
      </c>
      <c r="Z38" s="14">
        <f>IF(Y38="","",1)</f>
        <v/>
      </c>
      <c r="AA38" s="11">
        <f>IF(OR(City_Inputs!$W38="",Norm_Stats!$F$11="",Norm_Stats!$G$11="",Norm_Stats!$G$11=Norm_Stats!$F$11),"",MAX(0,MIN(100,100*(MIN(MAX(City_Inputs!$W38,Norm_Stats!$F$11),Norm_Stats!$G$11)-Norm_Stats!$F$11)/(Norm_Stats!$G$11-Norm_Stats!$F$11))))</f>
        <v/>
      </c>
      <c r="AB38" s="14">
        <f>IF(AA38="","",1)</f>
        <v/>
      </c>
      <c r="AC38" s="11">
        <f>IF(OR(City_Inputs!$X38="",Norm_Stats!$F$12="",Norm_Stats!$G$12="",Norm_Stats!$G$12=Norm_Stats!$F$12),"",MAX(0,MIN(100,100*(MIN(MAX(City_Inputs!$X38,Norm_Stats!$F$12),Norm_Stats!$G$12)-Norm_Stats!$F$12)/(Norm_Stats!$G$12-Norm_Stats!$F$12))))</f>
        <v/>
      </c>
      <c r="AD38" s="11">
        <f>IF(AC38="","",1)</f>
        <v/>
      </c>
      <c r="AE38" s="15">
        <f>IF((IF(S38="",0,5)+IF(U38="",0,5)+IF(W38="",0,4)+IF(Y38="",0,4)+IF(AA38="",0,4)+IF(AC38="",0,5))=0,"",(IF(S38="",0,S38*5)+IF(U38="",0,U38*5)+IF(W38="",0,W38*4)+IF(Y38="",0,Y38*4)+IF(AA38="",0,AA38*4)+IF(AC38="",0,AC38*5))/(IF(S38="",0,5)+IF(U38="",0,5)+IF(W38="",0,4)+IF(Y38="",0,4)+IF(AA38="",0,4)+IF(AC38="",0,5)))</f>
        <v/>
      </c>
      <c r="AF38" s="14">
        <f>IF((IF(T38="",0,5)+IF(V38="",0,5)+IF(X38="",0,4)+IF(Z38="",0,4)+IF(AB38="",0,4)+IF(AD38="",0,5))=0,"",(IF(T38="",0,T38*5)+IF(V38="",0,V38*5)+IF(X38="",0,X38*4)+IF(Z38="",0,Z38*4)+IF(AB38="",0,AB38*4)+IF(AD38="",0,AD38*5))/27)</f>
        <v/>
      </c>
      <c r="AG38" s="11">
        <f>IF(OR(City_Inputs!$Y38="",Norm_Stats!$F$13="",Norm_Stats!$G$13="",Norm_Stats!$G$13=Norm_Stats!$F$13),"",MAX(0,MIN(100,100*(MIN(MAX(City_Inputs!$Y38,Norm_Stats!$F$13),Norm_Stats!$G$13)-Norm_Stats!$F$13)/(Norm_Stats!$G$13-Norm_Stats!$F$13))))</f>
        <v/>
      </c>
      <c r="AH38" s="14">
        <f>IF(AG38="","",1)</f>
        <v/>
      </c>
      <c r="AI38" s="11">
        <f>IF(OR(City_Inputs!$Z38="",Norm_Stats!$F$14="",Norm_Stats!$G$14="",Norm_Stats!$G$14=Norm_Stats!$F$14),"",MAX(0,MIN(100,100*(MIN(MAX(City_Inputs!$Z38,Norm_Stats!$F$14),Norm_Stats!$G$14)-Norm_Stats!$F$14)/(Norm_Stats!$G$14-Norm_Stats!$F$14))))</f>
        <v/>
      </c>
      <c r="AJ38" s="14">
        <f>IF(AI38="","",1)</f>
        <v/>
      </c>
      <c r="AK38" s="11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(IF(OR(City_Inputs!$AA38="",Norm_Stats!$F$15="",Norm_Stats!$G$15="",Norm_Stats!$G$15=Norm_Stats!$F$15),"",MAX(0,MIN(100,100*(MIN(MAX(City_Inputs!$AA38,Norm_Stats!$F$15),Norm_Stats!$G$15)-Norm_Stats!$F$15)/(Norm_Stats!$G$15-Norm_Stats!$F$15)))))*0.7)+IF((IF(OR(City_Inputs!$AL38="",Norm_Stats!$F$16="",Norm_Stats!$G$16="",Norm_Stats!$G$16=Norm_Stats!$F$16),"",MAX(0,MIN(100,100*(Norm_Stats!$G$16-MIN(MAX(City_Inputs!$AL38,Norm_Stats!$F$16),Norm_Stats!$G$16))/(Norm_Stats!$G$16-Norm_Stats!$F$16)))))="",0,(IF(OR(City_Inputs!$AL38="",Norm_Stats!$F$16="",Norm_Stats!$G$16="",Norm_Stats!$G$16=Norm_Stats!$F$16),"",MAX(0,MIN(100,100*(Norm_Stats!$G$16-MIN(MAX(City_Inputs!$AL38,Norm_Stats!$F$16),Norm_Stats!$G$16))/(Norm_Stats!$G$16-Norm_Stats!$F$16)))))*0.3))/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L38" s="14">
        <f>IF(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=0,"",(IF((IF(OR(City_Inputs!$AA38="",Norm_Stats!$F$15="",Norm_Stats!$G$15="",Norm_Stats!$G$15=Norm_Stats!$F$15),"",MAX(0,MIN(100,100*(MIN(MAX(City_Inputs!$AA38,Norm_Stats!$F$15),Norm_Stats!$G$15)-Norm_Stats!$F$15)/(Norm_Stats!$G$15-Norm_Stats!$F$15)))))="",0,0.7)+IF((IF(OR(City_Inputs!$AL38="",Norm_Stats!$F$16="",Norm_Stats!$G$16="",Norm_Stats!$G$16=Norm_Stats!$F$16),"",MAX(0,MIN(100,100*(Norm_Stats!$G$16-MIN(MAX(City_Inputs!$AL38,Norm_Stats!$F$16),Norm_Stats!$G$16))/(Norm_Stats!$G$16-Norm_Stats!$F$16)))))="",0,0.3)))</f>
        <v/>
      </c>
      <c r="AM38" s="15">
        <f>IF((IF(AG38="",0,8)+IF(AI38="",0,6)+IF(AK38="",0,4))=0,"",(IF(AG38="",0,AG38*8)+IF(AI38="",0,AI38*6)+IF(AK38="",0,AK38*4))/(IF(AG38="",0,8)+IF(AI38="",0,6)+IF(AK38="",0,4)))</f>
        <v/>
      </c>
      <c r="AN38" s="14">
        <f>IF((IF(AH38="",0,8)+IF(AJ38="",0,6)+IF(AL38="",0,4))=0,"",(IF(AH38="",0,AH38*8)+IF(AJ38="",0,AJ38*6)+IF(AL38="",0,AL38*4))/18)</f>
        <v/>
      </c>
      <c r="AO38" s="11">
        <f>IF(OR(City_Inputs!$AB38="",Norm_Stats!$F$17="",Norm_Stats!$G$17="",Norm_Stats!$G$17=Norm_Stats!$F$17),"",MAX(0,MIN(100,100*(MIN(MAX(City_Inputs!$AB38,Norm_Stats!$F$17),Norm_Stats!$G$17)-Norm_Stats!$F$17)/(Norm_Stats!$G$17-Norm_Stats!$F$17))))</f>
        <v/>
      </c>
      <c r="AP38" s="14">
        <f>IF(AO38="","",1)</f>
        <v/>
      </c>
      <c r="AQ38" s="11">
        <f>IF(OR(City_Inputs!$AC38="",Norm_Stats!$F$18="",Norm_Stats!$G$18="",Norm_Stats!$G$18=Norm_Stats!$F$18),"",MAX(0,MIN(100,100*(MIN(MAX(City_Inputs!$AC38,Norm_Stats!$F$18),Norm_Stats!$G$18)-Norm_Stats!$F$18)/(Norm_Stats!$G$18-Norm_Stats!$F$18))))</f>
        <v/>
      </c>
      <c r="AR38" s="14">
        <f>IF(AQ38="","",1)</f>
        <v/>
      </c>
      <c r="AS38" s="11">
        <f>IF(OR(City_Inputs!$AD38="",Norm_Stats!$F$19="",Norm_Stats!$G$19="",Norm_Stats!$G$19=Norm_Stats!$F$19),"",MAX(0,MIN(100,100*(MIN(MAX(City_Inputs!$AD38,Norm_Stats!$F$19),Norm_Stats!$G$19)-Norm_Stats!$F$19)/(Norm_Stats!$G$19-Norm_Stats!$F$19))))</f>
        <v/>
      </c>
      <c r="AT38" s="14">
        <f>IF(AS38="","",1)</f>
        <v/>
      </c>
      <c r="AU38" s="11">
        <f>IF(OR(City_Inputs!$BJ38="",Norm_Stats!$F$26="",Norm_Stats!$G$26="",Norm_Stats!$G$26=Norm_Stats!$F$26),"",MAX(0,MIN(100,100*(MIN(MAX(City_Inputs!$BJ38,Norm_Stats!$F$26),Norm_Stats!$G$26)-Norm_Stats!$F$26)/(Norm_Stats!$G$26-Norm_Stats!$F$26))))</f>
        <v/>
      </c>
      <c r="AV38" s="11">
        <f>IF(AU38="","",1)</f>
        <v/>
      </c>
      <c r="AW38" s="15">
        <f>IF((IF(AO38="",0,5)+IF(AQ38="",0,5)+IF(AS38="",0,5)+IF(AU38="",0,4))=0,"",(IF(AO38="",0,AO38*5)+IF(AQ38="",0,AQ38*5)+IF(AS38="",0,AS38*5)+IF(AU38="",0,AU38*4))/(IF(AO38="",0,5)+IF(AQ38="",0,5)+IF(AS38="",0,5)+IF(AU38="",0,4)))</f>
        <v/>
      </c>
      <c r="AX38" s="14">
        <f>IF((IF(AP38="",0,5)+IF(AR38="",0,5)+IF(AT38="",0,5)+IF(AV38="",0,4))=0,"",(IF(AP38="",0,AP38*5)+IF(AR38="",0,AR38*5)+IF(AT38="",0,AT38*5)+IF(AV38="",0,AV38*4))/19)</f>
        <v/>
      </c>
      <c r="AY38" s="11">
        <f>IF(OR(City_Inputs!$AE38="",Norm_Stats!$F$20="",Norm_Stats!$G$20="",Norm_Stats!$G$20=Norm_Stats!$F$20),"",MAX(0,MIN(100,100*(MIN(MAX(City_Inputs!$AE38,Norm_Stats!$F$20),Norm_Stats!$G$20)-Norm_Stats!$F$20)/(Norm_Stats!$G$20-Norm_Stats!$F$20))))</f>
        <v/>
      </c>
      <c r="AZ38" s="14">
        <f>IF(AY38="","",1)</f>
        <v/>
      </c>
      <c r="BA38" s="11">
        <f>IF(OR(City_Inputs!$AF38="",Norm_Stats!$F$21="",Norm_Stats!$G$21="",Norm_Stats!$G$21=Norm_Stats!$F$21),"",MAX(0,MIN(100,100*(MIN(MAX(City_Inputs!$AF38,Norm_Stats!$F$21),Norm_Stats!$G$21)-Norm_Stats!$F$21)/(Norm_Stats!$G$21-Norm_Stats!$F$21))))</f>
        <v/>
      </c>
      <c r="BB38" s="14">
        <f>IF(BA38="","",1)</f>
        <v/>
      </c>
      <c r="BC38" s="11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(IF(OR(City_Inputs!$AG38="",Norm_Stats!$F$22="",Norm_Stats!$G$22="",Norm_Stats!$G$22=Norm_Stats!$F$22),"",MAX(0,MIN(100,100*(MIN(MAX(City_Inputs!$AG38,Norm_Stats!$F$22),Norm_Stats!$G$22)-Norm_Stats!$F$22)/(Norm_Stats!$G$22-Norm_Stats!$F$22)))))*0.5)+IF((IF(OR(City_Inputs!$AJ38="",Norm_Stats!$F$23="",Norm_Stats!$G$23="",Norm_Stats!$G$23=Norm_Stats!$F$23),"",MAX(0,MIN(100,100*(MIN(MAX(City_Inputs!$AJ38,Norm_Stats!$F$23),Norm_Stats!$G$23)-Norm_Stats!$F$23)/(Norm_Stats!$G$23-Norm_Stats!$F$23)))))="",0,(IF(OR(City_Inputs!$AJ38="",Norm_Stats!$F$23="",Norm_Stats!$G$23="",Norm_Stats!$G$23=Norm_Stats!$F$23),"",MAX(0,MIN(100,100*(MIN(MAX(City_Inputs!$AJ38,Norm_Stats!$F$23),Norm_Stats!$G$23)-Norm_Stats!$F$23)/(Norm_Stats!$G$23-Norm_Stats!$F$23)))))*0.3)+IF((IF(OR(City_Inputs!$AK38="",Norm_Stats!$F$24="",Norm_Stats!$G$24="",Norm_Stats!$G$24=Norm_Stats!$F$24),"",MAX(0,MIN(100,100*(MIN(MAX(City_Inputs!$AK38,Norm_Stats!$F$24),Norm_Stats!$G$24)-Norm_Stats!$F$24)/(Norm_Stats!$G$24-Norm_Stats!$F$24)))))="",0,(IF(OR(City_Inputs!$AK38="",Norm_Stats!$F$24="",Norm_Stats!$G$24="",Norm_Stats!$G$24=Norm_Stats!$F$24),"",MAX(0,MIN(100,100*(MIN(MAX(City_Inputs!$AK38,Norm_Stats!$F$24),Norm_Stats!$G$24)-Norm_Stats!$F$24)/(Norm_Stats!$G$24-Norm_Stats!$F$24)))))*0.2))/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D38" s="14">
        <f>IF(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=0,"",(IF((IF(OR(City_Inputs!$AG38="",Norm_Stats!$F$22="",Norm_Stats!$G$22="",Norm_Stats!$G$22=Norm_Stats!$F$22),"",MAX(0,MIN(100,100*(MIN(MAX(City_Inputs!$AG38,Norm_Stats!$F$22),Norm_Stats!$G$22)-Norm_Stats!$F$22)/(Norm_Stats!$G$22-Norm_Stats!$F$22)))))="",0,0.5)+IF((IF(OR(City_Inputs!$AJ38="",Norm_Stats!$F$23="",Norm_Stats!$G$23="",Norm_Stats!$G$23=Norm_Stats!$F$23),"",MAX(0,MIN(100,100*(MIN(MAX(City_Inputs!$AJ38,Norm_Stats!$F$23),Norm_Stats!$G$23)-Norm_Stats!$F$23)/(Norm_Stats!$G$23-Norm_Stats!$F$23)))))="",0,0.3)+IF((IF(OR(City_Inputs!$AK38="",Norm_Stats!$F$24="",Norm_Stats!$G$24="",Norm_Stats!$G$24=Norm_Stats!$F$24),"",MAX(0,MIN(100,100*(MIN(MAX(City_Inputs!$AK38,Norm_Stats!$F$24),Norm_Stats!$G$24)-Norm_Stats!$F$24)/(Norm_Stats!$G$24-Norm_Stats!$F$24)))))="",0,0.2)))</f>
        <v/>
      </c>
      <c r="BE38" s="11">
        <f>IF(OR(City_Inputs!$AH38="",Norm_Stats!$F$25="",Norm_Stats!$G$25="",Norm_Stats!$G$25=Norm_Stats!$F$25),"",MAX(0,MIN(100,100*(Norm_Stats!$G$25-MIN(MAX(City_Inputs!$AH38,Norm_Stats!$F$25),Norm_Stats!$G$25))/(Norm_Stats!$G$25-Norm_Stats!$F$25))))</f>
        <v/>
      </c>
      <c r="BF38" s="14">
        <f>IF(BE38="","",1)</f>
        <v/>
      </c>
      <c r="BG38" s="15">
        <f>IF((IF(AY38="",0,6)+IF(BA38="",0,5)+IF(BC38="",0,5)+IF(BE38="",0,4))=0,"",(IF(AY38="",0,AY38*6)+IF(BA38="",0,BA38*5)+IF(BC38="",0,BC38*5)+IF(BE38="",0,BE38*4))/(IF(AY38="",0,6)+IF(BA38="",0,5)+IF(BC38="",0,5)+IF(BE38="",0,4)))</f>
        <v/>
      </c>
      <c r="BH38" s="14">
        <f>IF((IF(AZ38="",0,6)+IF(BB38="",0,5)+IF(BD38="",0,5)+IF(BF38="",0,4))=0,"",(IF(AZ38="",0,AZ38*6)+IF(BB38="",0,BB38*5)+IF(BD38="",0,BD38*5)+IF(BF38="",0,BF38*4))/20)</f>
        <v/>
      </c>
      <c r="BI38" s="14">
        <f>IF(AND(R38="",AF38="",AN38="",AX38="",BH38=""),"",((R38*25)+(AF38*22)+(AN38*18)+(AX38*15)+(BH38*20))/100)</f>
        <v/>
      </c>
      <c r="BJ38" s="11">
        <f>IF(BI38="","",IF(BI38&gt;=0.75,"A",IF(BI38&gt;=0.5,"B",IF(BI38&gt;=0.35,"C","Watchlist"))))</f>
        <v/>
      </c>
      <c r="BK38" s="11">
        <f>IF(OR(BI38="",BI38&lt;0.5,R38="",R38&lt;0.35,AF38="",AF38&lt;0.35,AN38="",AN38&lt;0.35,AX38="",AX38&lt;0.35,BH38="",BH38&lt;0.35),"Watchlist","Ranked")</f>
        <v/>
      </c>
      <c r="BL38" s="15">
        <f>IF(AND(Q38="",AE38="",AM38="",AW38="",BG38=""),"",(IF(Q38="",0,Q38*25)+IF(AE38="",0,AE38*22)+IF(AM38="",0,AM38*18)+IF(AW38="",0,AW38*15)+IF(BG38="",0,BG38*20))/(IF(Q38="",0,25)+IF(AE38="",0,22)+IF(AM38="",0,18)+IF(AW38="",0,15)+IF(BG38="",0,20)))</f>
        <v/>
      </c>
      <c r="BM38" s="11">
        <f>IF(BK38="Ranked",1+COUNTIFS($BK$2:$BK$158,"Ranked",$BL$2:$BL$158,"&gt;"&amp;BL38),"")</f>
        <v/>
      </c>
      <c r="BN38" s="11">
        <f>City_Inputs!$AI38</f>
        <v/>
      </c>
    </row>
    <row r="39">
      <c r="A39" t="inlineStr">
        <is>
          <t>fr-paris</t>
        </is>
      </c>
      <c r="B39" t="inlineStr">
        <is>
          <t>Paris</t>
        </is>
      </c>
      <c r="C39" t="inlineStr">
        <is>
          <t>France</t>
        </is>
      </c>
      <c r="D39" t="inlineStr">
        <is>
          <t>Western, Northern, and Southern Europe</t>
        </is>
      </c>
      <c r="E39" t="inlineStr">
        <is>
          <t>locked</t>
        </is>
      </c>
      <c r="F39" t="inlineStr">
        <is>
          <t>primary</t>
        </is>
      </c>
      <c r="G39" s="11">
        <f>IF(OR(City_Inputs!$M39="",Norm_Stats!$F$2="",Norm_Stats!$G$2="",Norm_Stats!$G$2=Norm_Stats!$F$2),"",MAX(0,MIN(100,100*(MIN(MAX(City_Inputs!$M39,Norm_Stats!$F$2),Norm_Stats!$G$2)-Norm_Stats!$F$2)/(Norm_Stats!$G$2-Norm_Stats!$F$2))))</f>
        <v/>
      </c>
      <c r="H39" s="14">
        <f>IF(G39="","",1)</f>
        <v/>
      </c>
      <c r="I39" s="11">
        <f>IF(OR(City_Inputs!$N39="",Norm_Stats!$F$3="",Norm_Stats!$G$3="",Norm_Stats!$G$3=Norm_Stats!$F$3),"",MAX(0,MIN(100,100*(Norm_Stats!$G$3-MIN(MAX(City_Inputs!$N39,Norm_Stats!$F$3),Norm_Stats!$G$3))/(Norm_Stats!$G$3-Norm_Stats!$F$3))))</f>
        <v/>
      </c>
      <c r="J39" s="14">
        <f>IF(I39="","",1)</f>
        <v/>
      </c>
      <c r="K39" s="11">
        <f>IF(OR(City_Inputs!$P39="",Norm_Stats!$F$4="",Norm_Stats!$G$4="",Norm_Stats!$G$4=Norm_Stats!$F$4),"",MAX(0,MIN(100,100*(Norm_Stats!$G$4-MIN(MAX(City_Inputs!$P39,Norm_Stats!$F$4),Norm_Stats!$G$4))/(Norm_Stats!$G$4-Norm_Stats!$F$4))))</f>
        <v/>
      </c>
      <c r="L39" s="14">
        <f>IF(K39="","",1)</f>
        <v/>
      </c>
      <c r="M39" s="11">
        <f>IF(OR(City_Inputs!$Q39="",Norm_Stats!$F$5="",Norm_Stats!$G$5="",Norm_Stats!$G$5=Norm_Stats!$F$5),"",MAX(0,MIN(100,100*(Norm_Stats!$G$5-MIN(MAX(City_Inputs!$Q39,Norm_Stats!$F$5),Norm_Stats!$G$5))/(Norm_Stats!$G$5-Norm_Stats!$F$5))))</f>
        <v/>
      </c>
      <c r="N39" s="14">
        <f>IF(M39="","",1)</f>
        <v/>
      </c>
      <c r="O39" s="11">
        <f>IF(OR(City_Inputs!$R39="",Norm_Stats!$F$6="",Norm_Stats!$G$6="",Norm_Stats!$G$6=Norm_Stats!$F$6),"",MAX(0,MIN(100,100*(Norm_Stats!$G$6-MIN(MAX(City_Inputs!$R39,Norm_Stats!$F$6),Norm_Stats!$G$6))/(Norm_Stats!$G$6-Norm_Stats!$F$6))))</f>
        <v/>
      </c>
      <c r="P39" s="14">
        <f>IF(O39="","",1)</f>
        <v/>
      </c>
      <c r="Q39" s="15">
        <f>IF((IF(G39="",0,9)+IF(I39="",0,5)+IF(K39="",0,4)+IF(M39="",0,4)+IF(O39="",0,5))=0,"",(IF(G39="",0,G39*9)+IF(I39="",0,I39*5)+IF(K39="",0,K39*4)+IF(M39="",0,M39*4)+IF(O39="",0,O39*5))/(IF(G39="",0,9)+IF(I39="",0,5)+IF(K39="",0,4)+IF(M39="",0,4)+IF(O39="",0,5)))</f>
        <v/>
      </c>
      <c r="R39" s="14">
        <f>IF((IF(H39="",0,9)+IF(J39="",0,5)+IF(L39="",0,4)+IF(N39="",0,4)+IF(P39="",0,5))=0,"",(IF(H39="",0,H39*9)+IF(J39="",0,J39*5)+IF(L39="",0,L39*4)+IF(N39="",0,N39*4)+IF(P39="",0,P39*5))/27)</f>
        <v/>
      </c>
      <c r="S39" s="11">
        <f>IF(OR(City_Inputs!$S39="",Norm_Stats!$F$7="",Norm_Stats!$G$7="",Norm_Stats!$G$7=Norm_Stats!$F$7),"",MAX(0,MIN(100,100*(Norm_Stats!$G$7-MIN(MAX(City_Inputs!$S39,Norm_Stats!$F$7),Norm_Stats!$G$7))/(Norm_Stats!$G$7-Norm_Stats!$F$7))))</f>
        <v/>
      </c>
      <c r="T39" s="14">
        <f>IF(S39="","",1)</f>
        <v/>
      </c>
      <c r="U39" s="11">
        <f>IF(OR(City_Inputs!$T39="",Norm_Stats!$F$8="",Norm_Stats!$G$8="",Norm_Stats!$G$8=Norm_Stats!$F$8),"",MAX(0,MIN(100,100*(MIN(MAX(City_Inputs!$T39,Norm_Stats!$F$8),Norm_Stats!$G$8)-Norm_Stats!$F$8)/(Norm_Stats!$G$8-Norm_Stats!$F$8))))</f>
        <v/>
      </c>
      <c r="V39" s="14">
        <f>IF(U39="","",1)</f>
        <v/>
      </c>
      <c r="W39" s="11">
        <f>IF(OR(City_Inputs!$U39="",Norm_Stats!$F$9="",Norm_Stats!$G$9="",Norm_Stats!$G$9=Norm_Stats!$F$9),"",MAX(0,MIN(100,100*(Norm_Stats!$G$9-MIN(MAX(City_Inputs!$U39,Norm_Stats!$F$9),Norm_Stats!$G$9))/(Norm_Stats!$G$9-Norm_Stats!$F$9))))</f>
        <v/>
      </c>
      <c r="X39" s="14">
        <f>IF(W39="","",1)</f>
        <v/>
      </c>
      <c r="Y39" s="11">
        <f>IF(OR(City_Inputs!$V39="",Norm_Stats!$F$10="",Norm_Stats!$G$10="",Norm_Stats!$G$10=Norm_Stats!$F$10),"",MAX(0,MIN(100,100*(MIN(MAX(City_Inputs!$V39,Norm_Stats!$F$10),Norm_Stats!$G$10)-Norm_Stats!$F$10)/(Norm_Stats!$G$10-Norm_Stats!$F$10))))</f>
        <v/>
      </c>
      <c r="Z39" s="14">
        <f>IF(Y39="","",1)</f>
        <v/>
      </c>
      <c r="AA39" s="11">
        <f>IF(OR(City_Inputs!$W39="",Norm_Stats!$F$11="",Norm_Stats!$G$11="",Norm_Stats!$G$11=Norm_Stats!$F$11),"",MAX(0,MIN(100,100*(MIN(MAX(City_Inputs!$W39,Norm_Stats!$F$11),Norm_Stats!$G$11)-Norm_Stats!$F$11)/(Norm_Stats!$G$11-Norm_Stats!$F$11))))</f>
        <v/>
      </c>
      <c r="AB39" s="14">
        <f>IF(AA39="","",1)</f>
        <v/>
      </c>
      <c r="AC39" s="11">
        <f>IF(OR(City_Inputs!$X39="",Norm_Stats!$F$12="",Norm_Stats!$G$12="",Norm_Stats!$G$12=Norm_Stats!$F$12),"",MAX(0,MIN(100,100*(MIN(MAX(City_Inputs!$X39,Norm_Stats!$F$12),Norm_Stats!$G$12)-Norm_Stats!$F$12)/(Norm_Stats!$G$12-Norm_Stats!$F$12))))</f>
        <v/>
      </c>
      <c r="AD39" s="11">
        <f>IF(AC39="","",1)</f>
        <v/>
      </c>
      <c r="AE39" s="15">
        <f>IF((IF(S39="",0,5)+IF(U39="",0,5)+IF(W39="",0,4)+IF(Y39="",0,4)+IF(AA39="",0,4)+IF(AC39="",0,5))=0,"",(IF(S39="",0,S39*5)+IF(U39="",0,U39*5)+IF(W39="",0,W39*4)+IF(Y39="",0,Y39*4)+IF(AA39="",0,AA39*4)+IF(AC39="",0,AC39*5))/(IF(S39="",0,5)+IF(U39="",0,5)+IF(W39="",0,4)+IF(Y39="",0,4)+IF(AA39="",0,4)+IF(AC39="",0,5)))</f>
        <v/>
      </c>
      <c r="AF39" s="14">
        <f>IF((IF(T39="",0,5)+IF(V39="",0,5)+IF(X39="",0,4)+IF(Z39="",0,4)+IF(AB39="",0,4)+IF(AD39="",0,5))=0,"",(IF(T39="",0,T39*5)+IF(V39="",0,V39*5)+IF(X39="",0,X39*4)+IF(Z39="",0,Z39*4)+IF(AB39="",0,AB39*4)+IF(AD39="",0,AD39*5))/27)</f>
        <v/>
      </c>
      <c r="AG39" s="11">
        <f>IF(OR(City_Inputs!$Y39="",Norm_Stats!$F$13="",Norm_Stats!$G$13="",Norm_Stats!$G$13=Norm_Stats!$F$13),"",MAX(0,MIN(100,100*(MIN(MAX(City_Inputs!$Y39,Norm_Stats!$F$13),Norm_Stats!$G$13)-Norm_Stats!$F$13)/(Norm_Stats!$G$13-Norm_Stats!$F$13))))</f>
        <v/>
      </c>
      <c r="AH39" s="14">
        <f>IF(AG39="","",1)</f>
        <v/>
      </c>
      <c r="AI39" s="11">
        <f>IF(OR(City_Inputs!$Z39="",Norm_Stats!$F$14="",Norm_Stats!$G$14="",Norm_Stats!$G$14=Norm_Stats!$F$14),"",MAX(0,MIN(100,100*(MIN(MAX(City_Inputs!$Z39,Norm_Stats!$F$14),Norm_Stats!$G$14)-Norm_Stats!$F$14)/(Norm_Stats!$G$14-Norm_Stats!$F$14))))</f>
        <v/>
      </c>
      <c r="AJ39" s="14">
        <f>IF(AI39="","",1)</f>
        <v/>
      </c>
      <c r="AK39" s="11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(IF(OR(City_Inputs!$AA39="",Norm_Stats!$F$15="",Norm_Stats!$G$15="",Norm_Stats!$G$15=Norm_Stats!$F$15),"",MAX(0,MIN(100,100*(MIN(MAX(City_Inputs!$AA39,Norm_Stats!$F$15),Norm_Stats!$G$15)-Norm_Stats!$F$15)/(Norm_Stats!$G$15-Norm_Stats!$F$15)))))*0.7)+IF((IF(OR(City_Inputs!$AL39="",Norm_Stats!$F$16="",Norm_Stats!$G$16="",Norm_Stats!$G$16=Norm_Stats!$F$16),"",MAX(0,MIN(100,100*(Norm_Stats!$G$16-MIN(MAX(City_Inputs!$AL39,Norm_Stats!$F$16),Norm_Stats!$G$16))/(Norm_Stats!$G$16-Norm_Stats!$F$16)))))="",0,(IF(OR(City_Inputs!$AL39="",Norm_Stats!$F$16="",Norm_Stats!$G$16="",Norm_Stats!$G$16=Norm_Stats!$F$16),"",MAX(0,MIN(100,100*(Norm_Stats!$G$16-MIN(MAX(City_Inputs!$AL39,Norm_Stats!$F$16),Norm_Stats!$G$16))/(Norm_Stats!$G$16-Norm_Stats!$F$16)))))*0.3))/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L39" s="14">
        <f>IF(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=0,"",(IF((IF(OR(City_Inputs!$AA39="",Norm_Stats!$F$15="",Norm_Stats!$G$15="",Norm_Stats!$G$15=Norm_Stats!$F$15),"",MAX(0,MIN(100,100*(MIN(MAX(City_Inputs!$AA39,Norm_Stats!$F$15),Norm_Stats!$G$15)-Norm_Stats!$F$15)/(Norm_Stats!$G$15-Norm_Stats!$F$15)))))="",0,0.7)+IF((IF(OR(City_Inputs!$AL39="",Norm_Stats!$F$16="",Norm_Stats!$G$16="",Norm_Stats!$G$16=Norm_Stats!$F$16),"",MAX(0,MIN(100,100*(Norm_Stats!$G$16-MIN(MAX(City_Inputs!$AL39,Norm_Stats!$F$16),Norm_Stats!$G$16))/(Norm_Stats!$G$16-Norm_Stats!$F$16)))))="",0,0.3)))</f>
        <v/>
      </c>
      <c r="AM39" s="15">
        <f>IF((IF(AG39="",0,8)+IF(AI39="",0,6)+IF(AK39="",0,4))=0,"",(IF(AG39="",0,AG39*8)+IF(AI39="",0,AI39*6)+IF(AK39="",0,AK39*4))/(IF(AG39="",0,8)+IF(AI39="",0,6)+IF(AK39="",0,4)))</f>
        <v/>
      </c>
      <c r="AN39" s="14">
        <f>IF((IF(AH39="",0,8)+IF(AJ39="",0,6)+IF(AL39="",0,4))=0,"",(IF(AH39="",0,AH39*8)+IF(AJ39="",0,AJ39*6)+IF(AL39="",0,AL39*4))/18)</f>
        <v/>
      </c>
      <c r="AO39" s="11">
        <f>IF(OR(City_Inputs!$AB39="",Norm_Stats!$F$17="",Norm_Stats!$G$17="",Norm_Stats!$G$17=Norm_Stats!$F$17),"",MAX(0,MIN(100,100*(MIN(MAX(City_Inputs!$AB39,Norm_Stats!$F$17),Norm_Stats!$G$17)-Norm_Stats!$F$17)/(Norm_Stats!$G$17-Norm_Stats!$F$17))))</f>
        <v/>
      </c>
      <c r="AP39" s="14">
        <f>IF(AO39="","",1)</f>
        <v/>
      </c>
      <c r="AQ39" s="11">
        <f>IF(OR(City_Inputs!$AC39="",Norm_Stats!$F$18="",Norm_Stats!$G$18="",Norm_Stats!$G$18=Norm_Stats!$F$18),"",MAX(0,MIN(100,100*(MIN(MAX(City_Inputs!$AC39,Norm_Stats!$F$18),Norm_Stats!$G$18)-Norm_Stats!$F$18)/(Norm_Stats!$G$18-Norm_Stats!$F$18))))</f>
        <v/>
      </c>
      <c r="AR39" s="14">
        <f>IF(AQ39="","",1)</f>
        <v/>
      </c>
      <c r="AS39" s="11">
        <f>IF(OR(City_Inputs!$AD39="",Norm_Stats!$F$19="",Norm_Stats!$G$19="",Norm_Stats!$G$19=Norm_Stats!$F$19),"",MAX(0,MIN(100,100*(MIN(MAX(City_Inputs!$AD39,Norm_Stats!$F$19),Norm_Stats!$G$19)-Norm_Stats!$F$19)/(Norm_Stats!$G$19-Norm_Stats!$F$19))))</f>
        <v/>
      </c>
      <c r="AT39" s="14">
        <f>IF(AS39="","",1)</f>
        <v/>
      </c>
      <c r="AU39" s="11">
        <f>IF(OR(City_Inputs!$BJ39="",Norm_Stats!$F$26="",Norm_Stats!$G$26="",Norm_Stats!$G$26=Norm_Stats!$F$26),"",MAX(0,MIN(100,100*(MIN(MAX(City_Inputs!$BJ39,Norm_Stats!$F$26),Norm_Stats!$G$26)-Norm_Stats!$F$26)/(Norm_Stats!$G$26-Norm_Stats!$F$26))))</f>
        <v/>
      </c>
      <c r="AV39" s="11">
        <f>IF(AU39="","",1)</f>
        <v/>
      </c>
      <c r="AW39" s="15">
        <f>IF((IF(AO39="",0,5)+IF(AQ39="",0,5)+IF(AS39="",0,5)+IF(AU39="",0,4))=0,"",(IF(AO39="",0,AO39*5)+IF(AQ39="",0,AQ39*5)+IF(AS39="",0,AS39*5)+IF(AU39="",0,AU39*4))/(IF(AO39="",0,5)+IF(AQ39="",0,5)+IF(AS39="",0,5)+IF(AU39="",0,4)))</f>
        <v/>
      </c>
      <c r="AX39" s="14">
        <f>IF((IF(AP39="",0,5)+IF(AR39="",0,5)+IF(AT39="",0,5)+IF(AV39="",0,4))=0,"",(IF(AP39="",0,AP39*5)+IF(AR39="",0,AR39*5)+IF(AT39="",0,AT39*5)+IF(AV39="",0,AV39*4))/19)</f>
        <v/>
      </c>
      <c r="AY39" s="11">
        <f>IF(OR(City_Inputs!$AE39="",Norm_Stats!$F$20="",Norm_Stats!$G$20="",Norm_Stats!$G$20=Norm_Stats!$F$20),"",MAX(0,MIN(100,100*(MIN(MAX(City_Inputs!$AE39,Norm_Stats!$F$20),Norm_Stats!$G$20)-Norm_Stats!$F$20)/(Norm_Stats!$G$20-Norm_Stats!$F$20))))</f>
        <v/>
      </c>
      <c r="AZ39" s="14">
        <f>IF(AY39="","",1)</f>
        <v/>
      </c>
      <c r="BA39" s="11">
        <f>IF(OR(City_Inputs!$AF39="",Norm_Stats!$F$21="",Norm_Stats!$G$21="",Norm_Stats!$G$21=Norm_Stats!$F$21),"",MAX(0,MIN(100,100*(MIN(MAX(City_Inputs!$AF39,Norm_Stats!$F$21),Norm_Stats!$G$21)-Norm_Stats!$F$21)/(Norm_Stats!$G$21-Norm_Stats!$F$21))))</f>
        <v/>
      </c>
      <c r="BB39" s="14">
        <f>IF(BA39="","",1)</f>
        <v/>
      </c>
      <c r="BC39" s="11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(IF(OR(City_Inputs!$AG39="",Norm_Stats!$F$22="",Norm_Stats!$G$22="",Norm_Stats!$G$22=Norm_Stats!$F$22),"",MAX(0,MIN(100,100*(MIN(MAX(City_Inputs!$AG39,Norm_Stats!$F$22),Norm_Stats!$G$22)-Norm_Stats!$F$22)/(Norm_Stats!$G$22-Norm_Stats!$F$22)))))*0.5)+IF((IF(OR(City_Inputs!$AJ39="",Norm_Stats!$F$23="",Norm_Stats!$G$23="",Norm_Stats!$G$23=Norm_Stats!$F$23),"",MAX(0,MIN(100,100*(MIN(MAX(City_Inputs!$AJ39,Norm_Stats!$F$23),Norm_Stats!$G$23)-Norm_Stats!$F$23)/(Norm_Stats!$G$23-Norm_Stats!$F$23)))))="",0,(IF(OR(City_Inputs!$AJ39="",Norm_Stats!$F$23="",Norm_Stats!$G$23="",Norm_Stats!$G$23=Norm_Stats!$F$23),"",MAX(0,MIN(100,100*(MIN(MAX(City_Inputs!$AJ39,Norm_Stats!$F$23),Norm_Stats!$G$23)-Norm_Stats!$F$23)/(Norm_Stats!$G$23-Norm_Stats!$F$23)))))*0.3)+IF((IF(OR(City_Inputs!$AK39="",Norm_Stats!$F$24="",Norm_Stats!$G$24="",Norm_Stats!$G$24=Norm_Stats!$F$24),"",MAX(0,MIN(100,100*(MIN(MAX(City_Inputs!$AK39,Norm_Stats!$F$24),Norm_Stats!$G$24)-Norm_Stats!$F$24)/(Norm_Stats!$G$24-Norm_Stats!$F$24)))))="",0,(IF(OR(City_Inputs!$AK39="",Norm_Stats!$F$24="",Norm_Stats!$G$24="",Norm_Stats!$G$24=Norm_Stats!$F$24),"",MAX(0,MIN(100,100*(MIN(MAX(City_Inputs!$AK39,Norm_Stats!$F$24),Norm_Stats!$G$24)-Norm_Stats!$F$24)/(Norm_Stats!$G$24-Norm_Stats!$F$24)))))*0.2))/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D39" s="14">
        <f>IF(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=0,"",(IF((IF(OR(City_Inputs!$AG39="",Norm_Stats!$F$22="",Norm_Stats!$G$22="",Norm_Stats!$G$22=Norm_Stats!$F$22),"",MAX(0,MIN(100,100*(MIN(MAX(City_Inputs!$AG39,Norm_Stats!$F$22),Norm_Stats!$G$22)-Norm_Stats!$F$22)/(Norm_Stats!$G$22-Norm_Stats!$F$22)))))="",0,0.5)+IF((IF(OR(City_Inputs!$AJ39="",Norm_Stats!$F$23="",Norm_Stats!$G$23="",Norm_Stats!$G$23=Norm_Stats!$F$23),"",MAX(0,MIN(100,100*(MIN(MAX(City_Inputs!$AJ39,Norm_Stats!$F$23),Norm_Stats!$G$23)-Norm_Stats!$F$23)/(Norm_Stats!$G$23-Norm_Stats!$F$23)))))="",0,0.3)+IF((IF(OR(City_Inputs!$AK39="",Norm_Stats!$F$24="",Norm_Stats!$G$24="",Norm_Stats!$G$24=Norm_Stats!$F$24),"",MAX(0,MIN(100,100*(MIN(MAX(City_Inputs!$AK39,Norm_Stats!$F$24),Norm_Stats!$G$24)-Norm_Stats!$F$24)/(Norm_Stats!$G$24-Norm_Stats!$F$24)))))="",0,0.2)))</f>
        <v/>
      </c>
      <c r="BE39" s="11">
        <f>IF(OR(City_Inputs!$AH39="",Norm_Stats!$F$25="",Norm_Stats!$G$25="",Norm_Stats!$G$25=Norm_Stats!$F$25),"",MAX(0,MIN(100,100*(Norm_Stats!$G$25-MIN(MAX(City_Inputs!$AH39,Norm_Stats!$F$25),Norm_Stats!$G$25))/(Norm_Stats!$G$25-Norm_Stats!$F$25))))</f>
        <v/>
      </c>
      <c r="BF39" s="14">
        <f>IF(BE39="","",1)</f>
        <v/>
      </c>
      <c r="BG39" s="15">
        <f>IF((IF(AY39="",0,6)+IF(BA39="",0,5)+IF(BC39="",0,5)+IF(BE39="",0,4))=0,"",(IF(AY39="",0,AY39*6)+IF(BA39="",0,BA39*5)+IF(BC39="",0,BC39*5)+IF(BE39="",0,BE39*4))/(IF(AY39="",0,6)+IF(BA39="",0,5)+IF(BC39="",0,5)+IF(BE39="",0,4)))</f>
        <v/>
      </c>
      <c r="BH39" s="14">
        <f>IF((IF(AZ39="",0,6)+IF(BB39="",0,5)+IF(BD39="",0,5)+IF(BF39="",0,4))=0,"",(IF(AZ39="",0,AZ39*6)+IF(BB39="",0,BB39*5)+IF(BD39="",0,BD39*5)+IF(BF39="",0,BF39*4))/20)</f>
        <v/>
      </c>
      <c r="BI39" s="14">
        <f>IF(AND(R39="",AF39="",AN39="",AX39="",BH39=""),"",((R39*25)+(AF39*22)+(AN39*18)+(AX39*15)+(BH39*20))/100)</f>
        <v/>
      </c>
      <c r="BJ39" s="11">
        <f>IF(BI39="","",IF(BI39&gt;=0.75,"A",IF(BI39&gt;=0.5,"B",IF(BI39&gt;=0.35,"C","Watchlist"))))</f>
        <v/>
      </c>
      <c r="BK39" s="11">
        <f>IF(OR(BI39="",BI39&lt;0.5,R39="",R39&lt;0.35,AF39="",AF39&lt;0.35,AN39="",AN39&lt;0.35,AX39="",AX39&lt;0.35,BH39="",BH39&lt;0.35),"Watchlist","Ranked")</f>
        <v/>
      </c>
      <c r="BL39" s="15">
        <f>IF(AND(Q39="",AE39="",AM39="",AW39="",BG39=""),"",(IF(Q39="",0,Q39*25)+IF(AE39="",0,AE39*22)+IF(AM39="",0,AM39*18)+IF(AW39="",0,AW39*15)+IF(BG39="",0,BG39*20))/(IF(Q39="",0,25)+IF(AE39="",0,22)+IF(AM39="",0,18)+IF(AW39="",0,15)+IF(BG39="",0,20)))</f>
        <v/>
      </c>
      <c r="BM39" s="11">
        <f>IF(BK39="Ranked",1+COUNTIFS($BK$2:$BK$158,"Ranked",$BL$2:$BL$158,"&gt;"&amp;BL39),"")</f>
        <v/>
      </c>
      <c r="BN39" s="11">
        <f>City_Inputs!$AI39</f>
        <v/>
      </c>
    </row>
    <row r="40">
      <c r="A40" t="inlineStr">
        <is>
          <t>at-vienna</t>
        </is>
      </c>
      <c r="B40" t="inlineStr">
        <is>
          <t>Vienna</t>
        </is>
      </c>
      <c r="C40" t="inlineStr">
        <is>
          <t>Austria</t>
        </is>
      </c>
      <c r="D40" t="inlineStr">
        <is>
          <t>Western, Northern, and Southern Europe</t>
        </is>
      </c>
      <c r="E40" t="inlineStr">
        <is>
          <t>locked</t>
        </is>
      </c>
      <c r="F40" t="inlineStr">
        <is>
          <t>primary</t>
        </is>
      </c>
      <c r="G40" s="11">
        <f>IF(OR(City_Inputs!$M40="",Norm_Stats!$F$2="",Norm_Stats!$G$2="",Norm_Stats!$G$2=Norm_Stats!$F$2),"",MAX(0,MIN(100,100*(MIN(MAX(City_Inputs!$M40,Norm_Stats!$F$2),Norm_Stats!$G$2)-Norm_Stats!$F$2)/(Norm_Stats!$G$2-Norm_Stats!$F$2))))</f>
        <v/>
      </c>
      <c r="H40" s="14">
        <f>IF(G40="","",1)</f>
        <v/>
      </c>
      <c r="I40" s="11">
        <f>IF(OR(City_Inputs!$N40="",Norm_Stats!$F$3="",Norm_Stats!$G$3="",Norm_Stats!$G$3=Norm_Stats!$F$3),"",MAX(0,MIN(100,100*(Norm_Stats!$G$3-MIN(MAX(City_Inputs!$N40,Norm_Stats!$F$3),Norm_Stats!$G$3))/(Norm_Stats!$G$3-Norm_Stats!$F$3))))</f>
        <v/>
      </c>
      <c r="J40" s="14">
        <f>IF(I40="","",1)</f>
        <v/>
      </c>
      <c r="K40" s="11">
        <f>IF(OR(City_Inputs!$P40="",Norm_Stats!$F$4="",Norm_Stats!$G$4="",Norm_Stats!$G$4=Norm_Stats!$F$4),"",MAX(0,MIN(100,100*(Norm_Stats!$G$4-MIN(MAX(City_Inputs!$P40,Norm_Stats!$F$4),Norm_Stats!$G$4))/(Norm_Stats!$G$4-Norm_Stats!$F$4))))</f>
        <v/>
      </c>
      <c r="L40" s="14">
        <f>IF(K40="","",1)</f>
        <v/>
      </c>
      <c r="M40" s="11">
        <f>IF(OR(City_Inputs!$Q40="",Norm_Stats!$F$5="",Norm_Stats!$G$5="",Norm_Stats!$G$5=Norm_Stats!$F$5),"",MAX(0,MIN(100,100*(Norm_Stats!$G$5-MIN(MAX(City_Inputs!$Q40,Norm_Stats!$F$5),Norm_Stats!$G$5))/(Norm_Stats!$G$5-Norm_Stats!$F$5))))</f>
        <v/>
      </c>
      <c r="N40" s="14">
        <f>IF(M40="","",1)</f>
        <v/>
      </c>
      <c r="O40" s="11">
        <f>IF(OR(City_Inputs!$R40="",Norm_Stats!$F$6="",Norm_Stats!$G$6="",Norm_Stats!$G$6=Norm_Stats!$F$6),"",MAX(0,MIN(100,100*(Norm_Stats!$G$6-MIN(MAX(City_Inputs!$R40,Norm_Stats!$F$6),Norm_Stats!$G$6))/(Norm_Stats!$G$6-Norm_Stats!$F$6))))</f>
        <v/>
      </c>
      <c r="P40" s="14">
        <f>IF(O40="","",1)</f>
        <v/>
      </c>
      <c r="Q40" s="15">
        <f>IF((IF(G40="",0,9)+IF(I40="",0,5)+IF(K40="",0,4)+IF(M40="",0,4)+IF(O40="",0,5))=0,"",(IF(G40="",0,G40*9)+IF(I40="",0,I40*5)+IF(K40="",0,K40*4)+IF(M40="",0,M40*4)+IF(O40="",0,O40*5))/(IF(G40="",0,9)+IF(I40="",0,5)+IF(K40="",0,4)+IF(M40="",0,4)+IF(O40="",0,5)))</f>
        <v/>
      </c>
      <c r="R40" s="14">
        <f>IF((IF(H40="",0,9)+IF(J40="",0,5)+IF(L40="",0,4)+IF(N40="",0,4)+IF(P40="",0,5))=0,"",(IF(H40="",0,H40*9)+IF(J40="",0,J40*5)+IF(L40="",0,L40*4)+IF(N40="",0,N40*4)+IF(P40="",0,P40*5))/27)</f>
        <v/>
      </c>
      <c r="S40" s="11">
        <f>IF(OR(City_Inputs!$S40="",Norm_Stats!$F$7="",Norm_Stats!$G$7="",Norm_Stats!$G$7=Norm_Stats!$F$7),"",MAX(0,MIN(100,100*(Norm_Stats!$G$7-MIN(MAX(City_Inputs!$S40,Norm_Stats!$F$7),Norm_Stats!$G$7))/(Norm_Stats!$G$7-Norm_Stats!$F$7))))</f>
        <v/>
      </c>
      <c r="T40" s="14">
        <f>IF(S40="","",1)</f>
        <v/>
      </c>
      <c r="U40" s="11">
        <f>IF(OR(City_Inputs!$T40="",Norm_Stats!$F$8="",Norm_Stats!$G$8="",Norm_Stats!$G$8=Norm_Stats!$F$8),"",MAX(0,MIN(100,100*(MIN(MAX(City_Inputs!$T40,Norm_Stats!$F$8),Norm_Stats!$G$8)-Norm_Stats!$F$8)/(Norm_Stats!$G$8-Norm_Stats!$F$8))))</f>
        <v/>
      </c>
      <c r="V40" s="14">
        <f>IF(U40="","",1)</f>
        <v/>
      </c>
      <c r="W40" s="11">
        <f>IF(OR(City_Inputs!$U40="",Norm_Stats!$F$9="",Norm_Stats!$G$9="",Norm_Stats!$G$9=Norm_Stats!$F$9),"",MAX(0,MIN(100,100*(Norm_Stats!$G$9-MIN(MAX(City_Inputs!$U40,Norm_Stats!$F$9),Norm_Stats!$G$9))/(Norm_Stats!$G$9-Norm_Stats!$F$9))))</f>
        <v/>
      </c>
      <c r="X40" s="14">
        <f>IF(W40="","",1)</f>
        <v/>
      </c>
      <c r="Y40" s="11">
        <f>IF(OR(City_Inputs!$V40="",Norm_Stats!$F$10="",Norm_Stats!$G$10="",Norm_Stats!$G$10=Norm_Stats!$F$10),"",MAX(0,MIN(100,100*(MIN(MAX(City_Inputs!$V40,Norm_Stats!$F$10),Norm_Stats!$G$10)-Norm_Stats!$F$10)/(Norm_Stats!$G$10-Norm_Stats!$F$10))))</f>
        <v/>
      </c>
      <c r="Z40" s="14">
        <f>IF(Y40="","",1)</f>
        <v/>
      </c>
      <c r="AA40" s="11">
        <f>IF(OR(City_Inputs!$W40="",Norm_Stats!$F$11="",Norm_Stats!$G$11="",Norm_Stats!$G$11=Norm_Stats!$F$11),"",MAX(0,MIN(100,100*(MIN(MAX(City_Inputs!$W40,Norm_Stats!$F$11),Norm_Stats!$G$11)-Norm_Stats!$F$11)/(Norm_Stats!$G$11-Norm_Stats!$F$11))))</f>
        <v/>
      </c>
      <c r="AB40" s="14">
        <f>IF(AA40="","",1)</f>
        <v/>
      </c>
      <c r="AC40" s="11">
        <f>IF(OR(City_Inputs!$X40="",Norm_Stats!$F$12="",Norm_Stats!$G$12="",Norm_Stats!$G$12=Norm_Stats!$F$12),"",MAX(0,MIN(100,100*(MIN(MAX(City_Inputs!$X40,Norm_Stats!$F$12),Norm_Stats!$G$12)-Norm_Stats!$F$12)/(Norm_Stats!$G$12-Norm_Stats!$F$12))))</f>
        <v/>
      </c>
      <c r="AD40" s="11">
        <f>IF(AC40="","",1)</f>
        <v/>
      </c>
      <c r="AE40" s="15">
        <f>IF((IF(S40="",0,5)+IF(U40="",0,5)+IF(W40="",0,4)+IF(Y40="",0,4)+IF(AA40="",0,4)+IF(AC40="",0,5))=0,"",(IF(S40="",0,S40*5)+IF(U40="",0,U40*5)+IF(W40="",0,W40*4)+IF(Y40="",0,Y40*4)+IF(AA40="",0,AA40*4)+IF(AC40="",0,AC40*5))/(IF(S40="",0,5)+IF(U40="",0,5)+IF(W40="",0,4)+IF(Y40="",0,4)+IF(AA40="",0,4)+IF(AC40="",0,5)))</f>
        <v/>
      </c>
      <c r="AF40" s="14">
        <f>IF((IF(T40="",0,5)+IF(V40="",0,5)+IF(X40="",0,4)+IF(Z40="",0,4)+IF(AB40="",0,4)+IF(AD40="",0,5))=0,"",(IF(T40="",0,T40*5)+IF(V40="",0,V40*5)+IF(X40="",0,X40*4)+IF(Z40="",0,Z40*4)+IF(AB40="",0,AB40*4)+IF(AD40="",0,AD40*5))/27)</f>
        <v/>
      </c>
      <c r="AG40" s="11">
        <f>IF(OR(City_Inputs!$Y40="",Norm_Stats!$F$13="",Norm_Stats!$G$13="",Norm_Stats!$G$13=Norm_Stats!$F$13),"",MAX(0,MIN(100,100*(MIN(MAX(City_Inputs!$Y40,Norm_Stats!$F$13),Norm_Stats!$G$13)-Norm_Stats!$F$13)/(Norm_Stats!$G$13-Norm_Stats!$F$13))))</f>
        <v/>
      </c>
      <c r="AH40" s="14">
        <f>IF(AG40="","",1)</f>
        <v/>
      </c>
      <c r="AI40" s="11">
        <f>IF(OR(City_Inputs!$Z40="",Norm_Stats!$F$14="",Norm_Stats!$G$14="",Norm_Stats!$G$14=Norm_Stats!$F$14),"",MAX(0,MIN(100,100*(MIN(MAX(City_Inputs!$Z40,Norm_Stats!$F$14),Norm_Stats!$G$14)-Norm_Stats!$F$14)/(Norm_Stats!$G$14-Norm_Stats!$F$14))))</f>
        <v/>
      </c>
      <c r="AJ40" s="14">
        <f>IF(AI40="","",1)</f>
        <v/>
      </c>
      <c r="AK40" s="11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(IF(OR(City_Inputs!$AA40="",Norm_Stats!$F$15="",Norm_Stats!$G$15="",Norm_Stats!$G$15=Norm_Stats!$F$15),"",MAX(0,MIN(100,100*(MIN(MAX(City_Inputs!$AA40,Norm_Stats!$F$15),Norm_Stats!$G$15)-Norm_Stats!$F$15)/(Norm_Stats!$G$15-Norm_Stats!$F$15)))))*0.7)+IF((IF(OR(City_Inputs!$AL40="",Norm_Stats!$F$16="",Norm_Stats!$G$16="",Norm_Stats!$G$16=Norm_Stats!$F$16),"",MAX(0,MIN(100,100*(Norm_Stats!$G$16-MIN(MAX(City_Inputs!$AL40,Norm_Stats!$F$16),Norm_Stats!$G$16))/(Norm_Stats!$G$16-Norm_Stats!$F$16)))))="",0,(IF(OR(City_Inputs!$AL40="",Norm_Stats!$F$16="",Norm_Stats!$G$16="",Norm_Stats!$G$16=Norm_Stats!$F$16),"",MAX(0,MIN(100,100*(Norm_Stats!$G$16-MIN(MAX(City_Inputs!$AL40,Norm_Stats!$F$16),Norm_Stats!$G$16))/(Norm_Stats!$G$16-Norm_Stats!$F$16)))))*0.3))/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L40" s="14">
        <f>IF(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=0,"",(IF((IF(OR(City_Inputs!$AA40="",Norm_Stats!$F$15="",Norm_Stats!$G$15="",Norm_Stats!$G$15=Norm_Stats!$F$15),"",MAX(0,MIN(100,100*(MIN(MAX(City_Inputs!$AA40,Norm_Stats!$F$15),Norm_Stats!$G$15)-Norm_Stats!$F$15)/(Norm_Stats!$G$15-Norm_Stats!$F$15)))))="",0,0.7)+IF((IF(OR(City_Inputs!$AL40="",Norm_Stats!$F$16="",Norm_Stats!$G$16="",Norm_Stats!$G$16=Norm_Stats!$F$16),"",MAX(0,MIN(100,100*(Norm_Stats!$G$16-MIN(MAX(City_Inputs!$AL40,Norm_Stats!$F$16),Norm_Stats!$G$16))/(Norm_Stats!$G$16-Norm_Stats!$F$16)))))="",0,0.3)))</f>
        <v/>
      </c>
      <c r="AM40" s="15">
        <f>IF((IF(AG40="",0,8)+IF(AI40="",0,6)+IF(AK40="",0,4))=0,"",(IF(AG40="",0,AG40*8)+IF(AI40="",0,AI40*6)+IF(AK40="",0,AK40*4))/(IF(AG40="",0,8)+IF(AI40="",0,6)+IF(AK40="",0,4)))</f>
        <v/>
      </c>
      <c r="AN40" s="14">
        <f>IF((IF(AH40="",0,8)+IF(AJ40="",0,6)+IF(AL40="",0,4))=0,"",(IF(AH40="",0,AH40*8)+IF(AJ40="",0,AJ40*6)+IF(AL40="",0,AL40*4))/18)</f>
        <v/>
      </c>
      <c r="AO40" s="11">
        <f>IF(OR(City_Inputs!$AB40="",Norm_Stats!$F$17="",Norm_Stats!$G$17="",Norm_Stats!$G$17=Norm_Stats!$F$17),"",MAX(0,MIN(100,100*(MIN(MAX(City_Inputs!$AB40,Norm_Stats!$F$17),Norm_Stats!$G$17)-Norm_Stats!$F$17)/(Norm_Stats!$G$17-Norm_Stats!$F$17))))</f>
        <v/>
      </c>
      <c r="AP40" s="14">
        <f>IF(AO40="","",1)</f>
        <v/>
      </c>
      <c r="AQ40" s="11">
        <f>IF(OR(City_Inputs!$AC40="",Norm_Stats!$F$18="",Norm_Stats!$G$18="",Norm_Stats!$G$18=Norm_Stats!$F$18),"",MAX(0,MIN(100,100*(MIN(MAX(City_Inputs!$AC40,Norm_Stats!$F$18),Norm_Stats!$G$18)-Norm_Stats!$F$18)/(Norm_Stats!$G$18-Norm_Stats!$F$18))))</f>
        <v/>
      </c>
      <c r="AR40" s="14">
        <f>IF(AQ40="","",1)</f>
        <v/>
      </c>
      <c r="AS40" s="11">
        <f>IF(OR(City_Inputs!$AD40="",Norm_Stats!$F$19="",Norm_Stats!$G$19="",Norm_Stats!$G$19=Norm_Stats!$F$19),"",MAX(0,MIN(100,100*(MIN(MAX(City_Inputs!$AD40,Norm_Stats!$F$19),Norm_Stats!$G$19)-Norm_Stats!$F$19)/(Norm_Stats!$G$19-Norm_Stats!$F$19))))</f>
        <v/>
      </c>
      <c r="AT40" s="14">
        <f>IF(AS40="","",1)</f>
        <v/>
      </c>
      <c r="AU40" s="11">
        <f>IF(OR(City_Inputs!$BJ40="",Norm_Stats!$F$26="",Norm_Stats!$G$26="",Norm_Stats!$G$26=Norm_Stats!$F$26),"",MAX(0,MIN(100,100*(MIN(MAX(City_Inputs!$BJ40,Norm_Stats!$F$26),Norm_Stats!$G$26)-Norm_Stats!$F$26)/(Norm_Stats!$G$26-Norm_Stats!$F$26))))</f>
        <v/>
      </c>
      <c r="AV40" s="11">
        <f>IF(AU40="","",1)</f>
        <v/>
      </c>
      <c r="AW40" s="15">
        <f>IF((IF(AO40="",0,5)+IF(AQ40="",0,5)+IF(AS40="",0,5)+IF(AU40="",0,4))=0,"",(IF(AO40="",0,AO40*5)+IF(AQ40="",0,AQ40*5)+IF(AS40="",0,AS40*5)+IF(AU40="",0,AU40*4))/(IF(AO40="",0,5)+IF(AQ40="",0,5)+IF(AS40="",0,5)+IF(AU40="",0,4)))</f>
        <v/>
      </c>
      <c r="AX40" s="14">
        <f>IF((IF(AP40="",0,5)+IF(AR40="",0,5)+IF(AT40="",0,5)+IF(AV40="",0,4))=0,"",(IF(AP40="",0,AP40*5)+IF(AR40="",0,AR40*5)+IF(AT40="",0,AT40*5)+IF(AV40="",0,AV40*4))/19)</f>
        <v/>
      </c>
      <c r="AY40" s="11">
        <f>IF(OR(City_Inputs!$AE40="",Norm_Stats!$F$20="",Norm_Stats!$G$20="",Norm_Stats!$G$20=Norm_Stats!$F$20),"",MAX(0,MIN(100,100*(MIN(MAX(City_Inputs!$AE40,Norm_Stats!$F$20),Norm_Stats!$G$20)-Norm_Stats!$F$20)/(Norm_Stats!$G$20-Norm_Stats!$F$20))))</f>
        <v/>
      </c>
      <c r="AZ40" s="14">
        <f>IF(AY40="","",1)</f>
        <v/>
      </c>
      <c r="BA40" s="11">
        <f>IF(OR(City_Inputs!$AF40="",Norm_Stats!$F$21="",Norm_Stats!$G$21="",Norm_Stats!$G$21=Norm_Stats!$F$21),"",MAX(0,MIN(100,100*(MIN(MAX(City_Inputs!$AF40,Norm_Stats!$F$21),Norm_Stats!$G$21)-Norm_Stats!$F$21)/(Norm_Stats!$G$21-Norm_Stats!$F$21))))</f>
        <v/>
      </c>
      <c r="BB40" s="14">
        <f>IF(BA40="","",1)</f>
        <v/>
      </c>
      <c r="BC40" s="11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(IF(OR(City_Inputs!$AG40="",Norm_Stats!$F$22="",Norm_Stats!$G$22="",Norm_Stats!$G$22=Norm_Stats!$F$22),"",MAX(0,MIN(100,100*(MIN(MAX(City_Inputs!$AG40,Norm_Stats!$F$22),Norm_Stats!$G$22)-Norm_Stats!$F$22)/(Norm_Stats!$G$22-Norm_Stats!$F$22)))))*0.5)+IF((IF(OR(City_Inputs!$AJ40="",Norm_Stats!$F$23="",Norm_Stats!$G$23="",Norm_Stats!$G$23=Norm_Stats!$F$23),"",MAX(0,MIN(100,100*(MIN(MAX(City_Inputs!$AJ40,Norm_Stats!$F$23),Norm_Stats!$G$23)-Norm_Stats!$F$23)/(Norm_Stats!$G$23-Norm_Stats!$F$23)))))="",0,(IF(OR(City_Inputs!$AJ40="",Norm_Stats!$F$23="",Norm_Stats!$G$23="",Norm_Stats!$G$23=Norm_Stats!$F$23),"",MAX(0,MIN(100,100*(MIN(MAX(City_Inputs!$AJ40,Norm_Stats!$F$23),Norm_Stats!$G$23)-Norm_Stats!$F$23)/(Norm_Stats!$G$23-Norm_Stats!$F$23)))))*0.3)+IF((IF(OR(City_Inputs!$AK40="",Norm_Stats!$F$24="",Norm_Stats!$G$24="",Norm_Stats!$G$24=Norm_Stats!$F$24),"",MAX(0,MIN(100,100*(MIN(MAX(City_Inputs!$AK40,Norm_Stats!$F$24),Norm_Stats!$G$24)-Norm_Stats!$F$24)/(Norm_Stats!$G$24-Norm_Stats!$F$24)))))="",0,(IF(OR(City_Inputs!$AK40="",Norm_Stats!$F$24="",Norm_Stats!$G$24="",Norm_Stats!$G$24=Norm_Stats!$F$24),"",MAX(0,MIN(100,100*(MIN(MAX(City_Inputs!$AK40,Norm_Stats!$F$24),Norm_Stats!$G$24)-Norm_Stats!$F$24)/(Norm_Stats!$G$24-Norm_Stats!$F$24)))))*0.2))/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D40" s="14">
        <f>IF(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=0,"",(IF((IF(OR(City_Inputs!$AG40="",Norm_Stats!$F$22="",Norm_Stats!$G$22="",Norm_Stats!$G$22=Norm_Stats!$F$22),"",MAX(0,MIN(100,100*(MIN(MAX(City_Inputs!$AG40,Norm_Stats!$F$22),Norm_Stats!$G$22)-Norm_Stats!$F$22)/(Norm_Stats!$G$22-Norm_Stats!$F$22)))))="",0,0.5)+IF((IF(OR(City_Inputs!$AJ40="",Norm_Stats!$F$23="",Norm_Stats!$G$23="",Norm_Stats!$G$23=Norm_Stats!$F$23),"",MAX(0,MIN(100,100*(MIN(MAX(City_Inputs!$AJ40,Norm_Stats!$F$23),Norm_Stats!$G$23)-Norm_Stats!$F$23)/(Norm_Stats!$G$23-Norm_Stats!$F$23)))))="",0,0.3)+IF((IF(OR(City_Inputs!$AK40="",Norm_Stats!$F$24="",Norm_Stats!$G$24="",Norm_Stats!$G$24=Norm_Stats!$F$24),"",MAX(0,MIN(100,100*(MIN(MAX(City_Inputs!$AK40,Norm_Stats!$F$24),Norm_Stats!$G$24)-Norm_Stats!$F$24)/(Norm_Stats!$G$24-Norm_Stats!$F$24)))))="",0,0.2)))</f>
        <v/>
      </c>
      <c r="BE40" s="11">
        <f>IF(OR(City_Inputs!$AH40="",Norm_Stats!$F$25="",Norm_Stats!$G$25="",Norm_Stats!$G$25=Norm_Stats!$F$25),"",MAX(0,MIN(100,100*(Norm_Stats!$G$25-MIN(MAX(City_Inputs!$AH40,Norm_Stats!$F$25),Norm_Stats!$G$25))/(Norm_Stats!$G$25-Norm_Stats!$F$25))))</f>
        <v/>
      </c>
      <c r="BF40" s="14">
        <f>IF(BE40="","",1)</f>
        <v/>
      </c>
      <c r="BG40" s="15">
        <f>IF((IF(AY40="",0,6)+IF(BA40="",0,5)+IF(BC40="",0,5)+IF(BE40="",0,4))=0,"",(IF(AY40="",0,AY40*6)+IF(BA40="",0,BA40*5)+IF(BC40="",0,BC40*5)+IF(BE40="",0,BE40*4))/(IF(AY40="",0,6)+IF(BA40="",0,5)+IF(BC40="",0,5)+IF(BE40="",0,4)))</f>
        <v/>
      </c>
      <c r="BH40" s="14">
        <f>IF((IF(AZ40="",0,6)+IF(BB40="",0,5)+IF(BD40="",0,5)+IF(BF40="",0,4))=0,"",(IF(AZ40="",0,AZ40*6)+IF(BB40="",0,BB40*5)+IF(BD40="",0,BD40*5)+IF(BF40="",0,BF40*4))/20)</f>
        <v/>
      </c>
      <c r="BI40" s="14">
        <f>IF(AND(R40="",AF40="",AN40="",AX40="",BH40=""),"",((R40*25)+(AF40*22)+(AN40*18)+(AX40*15)+(BH40*20))/100)</f>
        <v/>
      </c>
      <c r="BJ40" s="11">
        <f>IF(BI40="","",IF(BI40&gt;=0.75,"A",IF(BI40&gt;=0.5,"B",IF(BI40&gt;=0.35,"C","Watchlist"))))</f>
        <v/>
      </c>
      <c r="BK40" s="11">
        <f>IF(OR(BI40="",BI40&lt;0.5,R40="",R40&lt;0.35,AF40="",AF40&lt;0.35,AN40="",AN40&lt;0.35,AX40="",AX40&lt;0.35,BH40="",BH40&lt;0.35),"Watchlist","Ranked")</f>
        <v/>
      </c>
      <c r="BL40" s="15">
        <f>IF(AND(Q40="",AE40="",AM40="",AW40="",BG40=""),"",(IF(Q40="",0,Q40*25)+IF(AE40="",0,AE40*22)+IF(AM40="",0,AM40*18)+IF(AW40="",0,AW40*15)+IF(BG40="",0,BG40*20))/(IF(Q40="",0,25)+IF(AE40="",0,22)+IF(AM40="",0,18)+IF(AW40="",0,15)+IF(BG40="",0,20)))</f>
        <v/>
      </c>
      <c r="BM40" s="11">
        <f>IF(BK40="Ranked",1+COUNTIFS($BK$2:$BK$158,"Ranked",$BL$2:$BL$158,"&gt;"&amp;BL40),"")</f>
        <v/>
      </c>
      <c r="BN40" s="11">
        <f>City_Inputs!$AI40</f>
        <v/>
      </c>
    </row>
    <row r="41">
      <c r="A41" t="inlineStr">
        <is>
          <t>ch-zurich</t>
        </is>
      </c>
      <c r="B41" t="inlineStr">
        <is>
          <t>Zurich</t>
        </is>
      </c>
      <c r="C41" t="inlineStr">
        <is>
          <t>Switzerland</t>
        </is>
      </c>
      <c r="D41" t="inlineStr">
        <is>
          <t>Western, Northern, and Southern Europe</t>
        </is>
      </c>
      <c r="E41" t="inlineStr">
        <is>
          <t>locked</t>
        </is>
      </c>
      <c r="F41" t="inlineStr">
        <is>
          <t>primary</t>
        </is>
      </c>
      <c r="G41" s="11">
        <f>IF(OR(City_Inputs!$M41="",Norm_Stats!$F$2="",Norm_Stats!$G$2="",Norm_Stats!$G$2=Norm_Stats!$F$2),"",MAX(0,MIN(100,100*(MIN(MAX(City_Inputs!$M41,Norm_Stats!$F$2),Norm_Stats!$G$2)-Norm_Stats!$F$2)/(Norm_Stats!$G$2-Norm_Stats!$F$2))))</f>
        <v/>
      </c>
      <c r="H41" s="14">
        <f>IF(G41="","",1)</f>
        <v/>
      </c>
      <c r="I41" s="11">
        <f>IF(OR(City_Inputs!$N41="",Norm_Stats!$F$3="",Norm_Stats!$G$3="",Norm_Stats!$G$3=Norm_Stats!$F$3),"",MAX(0,MIN(100,100*(Norm_Stats!$G$3-MIN(MAX(City_Inputs!$N41,Norm_Stats!$F$3),Norm_Stats!$G$3))/(Norm_Stats!$G$3-Norm_Stats!$F$3))))</f>
        <v/>
      </c>
      <c r="J41" s="14">
        <f>IF(I41="","",1)</f>
        <v/>
      </c>
      <c r="K41" s="11">
        <f>IF(OR(City_Inputs!$P41="",Norm_Stats!$F$4="",Norm_Stats!$G$4="",Norm_Stats!$G$4=Norm_Stats!$F$4),"",MAX(0,MIN(100,100*(Norm_Stats!$G$4-MIN(MAX(City_Inputs!$P41,Norm_Stats!$F$4),Norm_Stats!$G$4))/(Norm_Stats!$G$4-Norm_Stats!$F$4))))</f>
        <v/>
      </c>
      <c r="L41" s="14">
        <f>IF(K41="","",1)</f>
        <v/>
      </c>
      <c r="M41" s="11">
        <f>IF(OR(City_Inputs!$Q41="",Norm_Stats!$F$5="",Norm_Stats!$G$5="",Norm_Stats!$G$5=Norm_Stats!$F$5),"",MAX(0,MIN(100,100*(Norm_Stats!$G$5-MIN(MAX(City_Inputs!$Q41,Norm_Stats!$F$5),Norm_Stats!$G$5))/(Norm_Stats!$G$5-Norm_Stats!$F$5))))</f>
        <v/>
      </c>
      <c r="N41" s="14">
        <f>IF(M41="","",1)</f>
        <v/>
      </c>
      <c r="O41" s="11">
        <f>IF(OR(City_Inputs!$R41="",Norm_Stats!$F$6="",Norm_Stats!$G$6="",Norm_Stats!$G$6=Norm_Stats!$F$6),"",MAX(0,MIN(100,100*(Norm_Stats!$G$6-MIN(MAX(City_Inputs!$R41,Norm_Stats!$F$6),Norm_Stats!$G$6))/(Norm_Stats!$G$6-Norm_Stats!$F$6))))</f>
        <v/>
      </c>
      <c r="P41" s="14">
        <f>IF(O41="","",1)</f>
        <v/>
      </c>
      <c r="Q41" s="15">
        <f>IF((IF(G41="",0,9)+IF(I41="",0,5)+IF(K41="",0,4)+IF(M41="",0,4)+IF(O41="",0,5))=0,"",(IF(G41="",0,G41*9)+IF(I41="",0,I41*5)+IF(K41="",0,K41*4)+IF(M41="",0,M41*4)+IF(O41="",0,O41*5))/(IF(G41="",0,9)+IF(I41="",0,5)+IF(K41="",0,4)+IF(M41="",0,4)+IF(O41="",0,5)))</f>
        <v/>
      </c>
      <c r="R41" s="14">
        <f>IF((IF(H41="",0,9)+IF(J41="",0,5)+IF(L41="",0,4)+IF(N41="",0,4)+IF(P41="",0,5))=0,"",(IF(H41="",0,H41*9)+IF(J41="",0,J41*5)+IF(L41="",0,L41*4)+IF(N41="",0,N41*4)+IF(P41="",0,P41*5))/27)</f>
        <v/>
      </c>
      <c r="S41" s="11">
        <f>IF(OR(City_Inputs!$S41="",Norm_Stats!$F$7="",Norm_Stats!$G$7="",Norm_Stats!$G$7=Norm_Stats!$F$7),"",MAX(0,MIN(100,100*(Norm_Stats!$G$7-MIN(MAX(City_Inputs!$S41,Norm_Stats!$F$7),Norm_Stats!$G$7))/(Norm_Stats!$G$7-Norm_Stats!$F$7))))</f>
        <v/>
      </c>
      <c r="T41" s="14">
        <f>IF(S41="","",1)</f>
        <v/>
      </c>
      <c r="U41" s="11">
        <f>IF(OR(City_Inputs!$T41="",Norm_Stats!$F$8="",Norm_Stats!$G$8="",Norm_Stats!$G$8=Norm_Stats!$F$8),"",MAX(0,MIN(100,100*(MIN(MAX(City_Inputs!$T41,Norm_Stats!$F$8),Norm_Stats!$G$8)-Norm_Stats!$F$8)/(Norm_Stats!$G$8-Norm_Stats!$F$8))))</f>
        <v/>
      </c>
      <c r="V41" s="14">
        <f>IF(U41="","",1)</f>
        <v/>
      </c>
      <c r="W41" s="11">
        <f>IF(OR(City_Inputs!$U41="",Norm_Stats!$F$9="",Norm_Stats!$G$9="",Norm_Stats!$G$9=Norm_Stats!$F$9),"",MAX(0,MIN(100,100*(Norm_Stats!$G$9-MIN(MAX(City_Inputs!$U41,Norm_Stats!$F$9),Norm_Stats!$G$9))/(Norm_Stats!$G$9-Norm_Stats!$F$9))))</f>
        <v/>
      </c>
      <c r="X41" s="14">
        <f>IF(W41="","",1)</f>
        <v/>
      </c>
      <c r="Y41" s="11">
        <f>IF(OR(City_Inputs!$V41="",Norm_Stats!$F$10="",Norm_Stats!$G$10="",Norm_Stats!$G$10=Norm_Stats!$F$10),"",MAX(0,MIN(100,100*(MIN(MAX(City_Inputs!$V41,Norm_Stats!$F$10),Norm_Stats!$G$10)-Norm_Stats!$F$10)/(Norm_Stats!$G$10-Norm_Stats!$F$10))))</f>
        <v/>
      </c>
      <c r="Z41" s="14">
        <f>IF(Y41="","",1)</f>
        <v/>
      </c>
      <c r="AA41" s="11">
        <f>IF(OR(City_Inputs!$W41="",Norm_Stats!$F$11="",Norm_Stats!$G$11="",Norm_Stats!$G$11=Norm_Stats!$F$11),"",MAX(0,MIN(100,100*(MIN(MAX(City_Inputs!$W41,Norm_Stats!$F$11),Norm_Stats!$G$11)-Norm_Stats!$F$11)/(Norm_Stats!$G$11-Norm_Stats!$F$11))))</f>
        <v/>
      </c>
      <c r="AB41" s="14">
        <f>IF(AA41="","",1)</f>
        <v/>
      </c>
      <c r="AC41" s="11">
        <f>IF(OR(City_Inputs!$X41="",Norm_Stats!$F$12="",Norm_Stats!$G$12="",Norm_Stats!$G$12=Norm_Stats!$F$12),"",MAX(0,MIN(100,100*(MIN(MAX(City_Inputs!$X41,Norm_Stats!$F$12),Norm_Stats!$G$12)-Norm_Stats!$F$12)/(Norm_Stats!$G$12-Norm_Stats!$F$12))))</f>
        <v/>
      </c>
      <c r="AD41" s="11">
        <f>IF(AC41="","",1)</f>
        <v/>
      </c>
      <c r="AE41" s="15">
        <f>IF((IF(S41="",0,5)+IF(U41="",0,5)+IF(W41="",0,4)+IF(Y41="",0,4)+IF(AA41="",0,4)+IF(AC41="",0,5))=0,"",(IF(S41="",0,S41*5)+IF(U41="",0,U41*5)+IF(W41="",0,W41*4)+IF(Y41="",0,Y41*4)+IF(AA41="",0,AA41*4)+IF(AC41="",0,AC41*5))/(IF(S41="",0,5)+IF(U41="",0,5)+IF(W41="",0,4)+IF(Y41="",0,4)+IF(AA41="",0,4)+IF(AC41="",0,5)))</f>
        <v/>
      </c>
      <c r="AF41" s="14">
        <f>IF((IF(T41="",0,5)+IF(V41="",0,5)+IF(X41="",0,4)+IF(Z41="",0,4)+IF(AB41="",0,4)+IF(AD41="",0,5))=0,"",(IF(T41="",0,T41*5)+IF(V41="",0,V41*5)+IF(X41="",0,X41*4)+IF(Z41="",0,Z41*4)+IF(AB41="",0,AB41*4)+IF(AD41="",0,AD41*5))/27)</f>
        <v/>
      </c>
      <c r="AG41" s="11">
        <f>IF(OR(City_Inputs!$Y41="",Norm_Stats!$F$13="",Norm_Stats!$G$13="",Norm_Stats!$G$13=Norm_Stats!$F$13),"",MAX(0,MIN(100,100*(MIN(MAX(City_Inputs!$Y41,Norm_Stats!$F$13),Norm_Stats!$G$13)-Norm_Stats!$F$13)/(Norm_Stats!$G$13-Norm_Stats!$F$13))))</f>
        <v/>
      </c>
      <c r="AH41" s="14">
        <f>IF(AG41="","",1)</f>
        <v/>
      </c>
      <c r="AI41" s="11">
        <f>IF(OR(City_Inputs!$Z41="",Norm_Stats!$F$14="",Norm_Stats!$G$14="",Norm_Stats!$G$14=Norm_Stats!$F$14),"",MAX(0,MIN(100,100*(MIN(MAX(City_Inputs!$Z41,Norm_Stats!$F$14),Norm_Stats!$G$14)-Norm_Stats!$F$14)/(Norm_Stats!$G$14-Norm_Stats!$F$14))))</f>
        <v/>
      </c>
      <c r="AJ41" s="14">
        <f>IF(AI41="","",1)</f>
        <v/>
      </c>
      <c r="AK41" s="11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(IF(OR(City_Inputs!$AA41="",Norm_Stats!$F$15="",Norm_Stats!$G$15="",Norm_Stats!$G$15=Norm_Stats!$F$15),"",MAX(0,MIN(100,100*(MIN(MAX(City_Inputs!$AA41,Norm_Stats!$F$15),Norm_Stats!$G$15)-Norm_Stats!$F$15)/(Norm_Stats!$G$15-Norm_Stats!$F$15)))))*0.7)+IF((IF(OR(City_Inputs!$AL41="",Norm_Stats!$F$16="",Norm_Stats!$G$16="",Norm_Stats!$G$16=Norm_Stats!$F$16),"",MAX(0,MIN(100,100*(Norm_Stats!$G$16-MIN(MAX(City_Inputs!$AL41,Norm_Stats!$F$16),Norm_Stats!$G$16))/(Norm_Stats!$G$16-Norm_Stats!$F$16)))))="",0,(IF(OR(City_Inputs!$AL41="",Norm_Stats!$F$16="",Norm_Stats!$G$16="",Norm_Stats!$G$16=Norm_Stats!$F$16),"",MAX(0,MIN(100,100*(Norm_Stats!$G$16-MIN(MAX(City_Inputs!$AL41,Norm_Stats!$F$16),Norm_Stats!$G$16))/(Norm_Stats!$G$16-Norm_Stats!$F$16)))))*0.3))/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L41" s="14">
        <f>IF(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=0,"",(IF((IF(OR(City_Inputs!$AA41="",Norm_Stats!$F$15="",Norm_Stats!$G$15="",Norm_Stats!$G$15=Norm_Stats!$F$15),"",MAX(0,MIN(100,100*(MIN(MAX(City_Inputs!$AA41,Norm_Stats!$F$15),Norm_Stats!$G$15)-Norm_Stats!$F$15)/(Norm_Stats!$G$15-Norm_Stats!$F$15)))))="",0,0.7)+IF((IF(OR(City_Inputs!$AL41="",Norm_Stats!$F$16="",Norm_Stats!$G$16="",Norm_Stats!$G$16=Norm_Stats!$F$16),"",MAX(0,MIN(100,100*(Norm_Stats!$G$16-MIN(MAX(City_Inputs!$AL41,Norm_Stats!$F$16),Norm_Stats!$G$16))/(Norm_Stats!$G$16-Norm_Stats!$F$16)))))="",0,0.3)))</f>
        <v/>
      </c>
      <c r="AM41" s="15">
        <f>IF((IF(AG41="",0,8)+IF(AI41="",0,6)+IF(AK41="",0,4))=0,"",(IF(AG41="",0,AG41*8)+IF(AI41="",0,AI41*6)+IF(AK41="",0,AK41*4))/(IF(AG41="",0,8)+IF(AI41="",0,6)+IF(AK41="",0,4)))</f>
        <v/>
      </c>
      <c r="AN41" s="14">
        <f>IF((IF(AH41="",0,8)+IF(AJ41="",0,6)+IF(AL41="",0,4))=0,"",(IF(AH41="",0,AH41*8)+IF(AJ41="",0,AJ41*6)+IF(AL41="",0,AL41*4))/18)</f>
        <v/>
      </c>
      <c r="AO41" s="11">
        <f>IF(OR(City_Inputs!$AB41="",Norm_Stats!$F$17="",Norm_Stats!$G$17="",Norm_Stats!$G$17=Norm_Stats!$F$17),"",MAX(0,MIN(100,100*(MIN(MAX(City_Inputs!$AB41,Norm_Stats!$F$17),Norm_Stats!$G$17)-Norm_Stats!$F$17)/(Norm_Stats!$G$17-Norm_Stats!$F$17))))</f>
        <v/>
      </c>
      <c r="AP41" s="14">
        <f>IF(AO41="","",1)</f>
        <v/>
      </c>
      <c r="AQ41" s="11">
        <f>IF(OR(City_Inputs!$AC41="",Norm_Stats!$F$18="",Norm_Stats!$G$18="",Norm_Stats!$G$18=Norm_Stats!$F$18),"",MAX(0,MIN(100,100*(MIN(MAX(City_Inputs!$AC41,Norm_Stats!$F$18),Norm_Stats!$G$18)-Norm_Stats!$F$18)/(Norm_Stats!$G$18-Norm_Stats!$F$18))))</f>
        <v/>
      </c>
      <c r="AR41" s="14">
        <f>IF(AQ41="","",1)</f>
        <v/>
      </c>
      <c r="AS41" s="11">
        <f>IF(OR(City_Inputs!$AD41="",Norm_Stats!$F$19="",Norm_Stats!$G$19="",Norm_Stats!$G$19=Norm_Stats!$F$19),"",MAX(0,MIN(100,100*(MIN(MAX(City_Inputs!$AD41,Norm_Stats!$F$19),Norm_Stats!$G$19)-Norm_Stats!$F$19)/(Norm_Stats!$G$19-Norm_Stats!$F$19))))</f>
        <v/>
      </c>
      <c r="AT41" s="14">
        <f>IF(AS41="","",1)</f>
        <v/>
      </c>
      <c r="AU41" s="11">
        <f>IF(OR(City_Inputs!$BJ41="",Norm_Stats!$F$26="",Norm_Stats!$G$26="",Norm_Stats!$G$26=Norm_Stats!$F$26),"",MAX(0,MIN(100,100*(MIN(MAX(City_Inputs!$BJ41,Norm_Stats!$F$26),Norm_Stats!$G$26)-Norm_Stats!$F$26)/(Norm_Stats!$G$26-Norm_Stats!$F$26))))</f>
        <v/>
      </c>
      <c r="AV41" s="11">
        <f>IF(AU41="","",1)</f>
        <v/>
      </c>
      <c r="AW41" s="15">
        <f>IF((IF(AO41="",0,5)+IF(AQ41="",0,5)+IF(AS41="",0,5)+IF(AU41="",0,4))=0,"",(IF(AO41="",0,AO41*5)+IF(AQ41="",0,AQ41*5)+IF(AS41="",0,AS41*5)+IF(AU41="",0,AU41*4))/(IF(AO41="",0,5)+IF(AQ41="",0,5)+IF(AS41="",0,5)+IF(AU41="",0,4)))</f>
        <v/>
      </c>
      <c r="AX41" s="14">
        <f>IF((IF(AP41="",0,5)+IF(AR41="",0,5)+IF(AT41="",0,5)+IF(AV41="",0,4))=0,"",(IF(AP41="",0,AP41*5)+IF(AR41="",0,AR41*5)+IF(AT41="",0,AT41*5)+IF(AV41="",0,AV41*4))/19)</f>
        <v/>
      </c>
      <c r="AY41" s="11">
        <f>IF(OR(City_Inputs!$AE41="",Norm_Stats!$F$20="",Norm_Stats!$G$20="",Norm_Stats!$G$20=Norm_Stats!$F$20),"",MAX(0,MIN(100,100*(MIN(MAX(City_Inputs!$AE41,Norm_Stats!$F$20),Norm_Stats!$G$20)-Norm_Stats!$F$20)/(Norm_Stats!$G$20-Norm_Stats!$F$20))))</f>
        <v/>
      </c>
      <c r="AZ41" s="14">
        <f>IF(AY41="","",1)</f>
        <v/>
      </c>
      <c r="BA41" s="11">
        <f>IF(OR(City_Inputs!$AF41="",Norm_Stats!$F$21="",Norm_Stats!$G$21="",Norm_Stats!$G$21=Norm_Stats!$F$21),"",MAX(0,MIN(100,100*(MIN(MAX(City_Inputs!$AF41,Norm_Stats!$F$21),Norm_Stats!$G$21)-Norm_Stats!$F$21)/(Norm_Stats!$G$21-Norm_Stats!$F$21))))</f>
        <v/>
      </c>
      <c r="BB41" s="14">
        <f>IF(BA41="","",1)</f>
        <v/>
      </c>
      <c r="BC41" s="11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(IF(OR(City_Inputs!$AG41="",Norm_Stats!$F$22="",Norm_Stats!$G$22="",Norm_Stats!$G$22=Norm_Stats!$F$22),"",MAX(0,MIN(100,100*(MIN(MAX(City_Inputs!$AG41,Norm_Stats!$F$22),Norm_Stats!$G$22)-Norm_Stats!$F$22)/(Norm_Stats!$G$22-Norm_Stats!$F$22)))))*0.5)+IF((IF(OR(City_Inputs!$AJ41="",Norm_Stats!$F$23="",Norm_Stats!$G$23="",Norm_Stats!$G$23=Norm_Stats!$F$23),"",MAX(0,MIN(100,100*(MIN(MAX(City_Inputs!$AJ41,Norm_Stats!$F$23),Norm_Stats!$G$23)-Norm_Stats!$F$23)/(Norm_Stats!$G$23-Norm_Stats!$F$23)))))="",0,(IF(OR(City_Inputs!$AJ41="",Norm_Stats!$F$23="",Norm_Stats!$G$23="",Norm_Stats!$G$23=Norm_Stats!$F$23),"",MAX(0,MIN(100,100*(MIN(MAX(City_Inputs!$AJ41,Norm_Stats!$F$23),Norm_Stats!$G$23)-Norm_Stats!$F$23)/(Norm_Stats!$G$23-Norm_Stats!$F$23)))))*0.3)+IF((IF(OR(City_Inputs!$AK41="",Norm_Stats!$F$24="",Norm_Stats!$G$24="",Norm_Stats!$G$24=Norm_Stats!$F$24),"",MAX(0,MIN(100,100*(MIN(MAX(City_Inputs!$AK41,Norm_Stats!$F$24),Norm_Stats!$G$24)-Norm_Stats!$F$24)/(Norm_Stats!$G$24-Norm_Stats!$F$24)))))="",0,(IF(OR(City_Inputs!$AK41="",Norm_Stats!$F$24="",Norm_Stats!$G$24="",Norm_Stats!$G$24=Norm_Stats!$F$24),"",MAX(0,MIN(100,100*(MIN(MAX(City_Inputs!$AK41,Norm_Stats!$F$24),Norm_Stats!$G$24)-Norm_Stats!$F$24)/(Norm_Stats!$G$24-Norm_Stats!$F$24)))))*0.2))/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D41" s="14">
        <f>IF(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=0,"",(IF((IF(OR(City_Inputs!$AG41="",Norm_Stats!$F$22="",Norm_Stats!$G$22="",Norm_Stats!$G$22=Norm_Stats!$F$22),"",MAX(0,MIN(100,100*(MIN(MAX(City_Inputs!$AG41,Norm_Stats!$F$22),Norm_Stats!$G$22)-Norm_Stats!$F$22)/(Norm_Stats!$G$22-Norm_Stats!$F$22)))))="",0,0.5)+IF((IF(OR(City_Inputs!$AJ41="",Norm_Stats!$F$23="",Norm_Stats!$G$23="",Norm_Stats!$G$23=Norm_Stats!$F$23),"",MAX(0,MIN(100,100*(MIN(MAX(City_Inputs!$AJ41,Norm_Stats!$F$23),Norm_Stats!$G$23)-Norm_Stats!$F$23)/(Norm_Stats!$G$23-Norm_Stats!$F$23)))))="",0,0.3)+IF((IF(OR(City_Inputs!$AK41="",Norm_Stats!$F$24="",Norm_Stats!$G$24="",Norm_Stats!$G$24=Norm_Stats!$F$24),"",MAX(0,MIN(100,100*(MIN(MAX(City_Inputs!$AK41,Norm_Stats!$F$24),Norm_Stats!$G$24)-Norm_Stats!$F$24)/(Norm_Stats!$G$24-Norm_Stats!$F$24)))))="",0,0.2)))</f>
        <v/>
      </c>
      <c r="BE41" s="11">
        <f>IF(OR(City_Inputs!$AH41="",Norm_Stats!$F$25="",Norm_Stats!$G$25="",Norm_Stats!$G$25=Norm_Stats!$F$25),"",MAX(0,MIN(100,100*(Norm_Stats!$G$25-MIN(MAX(City_Inputs!$AH41,Norm_Stats!$F$25),Norm_Stats!$G$25))/(Norm_Stats!$G$25-Norm_Stats!$F$25))))</f>
        <v/>
      </c>
      <c r="BF41" s="14">
        <f>IF(BE41="","",1)</f>
        <v/>
      </c>
      <c r="BG41" s="15">
        <f>IF((IF(AY41="",0,6)+IF(BA41="",0,5)+IF(BC41="",0,5)+IF(BE41="",0,4))=0,"",(IF(AY41="",0,AY41*6)+IF(BA41="",0,BA41*5)+IF(BC41="",0,BC41*5)+IF(BE41="",0,BE41*4))/(IF(AY41="",0,6)+IF(BA41="",0,5)+IF(BC41="",0,5)+IF(BE41="",0,4)))</f>
        <v/>
      </c>
      <c r="BH41" s="14">
        <f>IF((IF(AZ41="",0,6)+IF(BB41="",0,5)+IF(BD41="",0,5)+IF(BF41="",0,4))=0,"",(IF(AZ41="",0,AZ41*6)+IF(BB41="",0,BB41*5)+IF(BD41="",0,BD41*5)+IF(BF41="",0,BF41*4))/20)</f>
        <v/>
      </c>
      <c r="BI41" s="14">
        <f>IF(AND(R41="",AF41="",AN41="",AX41="",BH41=""),"",((R41*25)+(AF41*22)+(AN41*18)+(AX41*15)+(BH41*20))/100)</f>
        <v/>
      </c>
      <c r="BJ41" s="11">
        <f>IF(BI41="","",IF(BI41&gt;=0.75,"A",IF(BI41&gt;=0.5,"B",IF(BI41&gt;=0.35,"C","Watchlist"))))</f>
        <v/>
      </c>
      <c r="BK41" s="11">
        <f>IF(OR(BI41="",BI41&lt;0.5,R41="",R41&lt;0.35,AF41="",AF41&lt;0.35,AN41="",AN41&lt;0.35,AX41="",AX41&lt;0.35,BH41="",BH41&lt;0.35),"Watchlist","Ranked")</f>
        <v/>
      </c>
      <c r="BL41" s="15">
        <f>IF(AND(Q41="",AE41="",AM41="",AW41="",BG41=""),"",(IF(Q41="",0,Q41*25)+IF(AE41="",0,AE41*22)+IF(AM41="",0,AM41*18)+IF(AW41="",0,AW41*15)+IF(BG41="",0,BG41*20))/(IF(Q41="",0,25)+IF(AE41="",0,22)+IF(AM41="",0,18)+IF(AW41="",0,15)+IF(BG41="",0,20)))</f>
        <v/>
      </c>
      <c r="BM41" s="11">
        <f>IF(BK41="Ranked",1+COUNTIFS($BK$2:$BK$158,"Ranked",$BL$2:$BL$158,"&gt;"&amp;BL41),"")</f>
        <v/>
      </c>
      <c r="BN41" s="11">
        <f>City_Inputs!$AI41</f>
        <v/>
      </c>
    </row>
    <row r="42">
      <c r="A42" t="inlineStr">
        <is>
          <t>nl-amsterdam</t>
        </is>
      </c>
      <c r="B42" t="inlineStr">
        <is>
          <t>Amsterdam</t>
        </is>
      </c>
      <c r="C42" t="inlineStr">
        <is>
          <t>Netherlands</t>
        </is>
      </c>
      <c r="D42" t="inlineStr">
        <is>
          <t>Western, Northern, and Southern Europe</t>
        </is>
      </c>
      <c r="E42" t="inlineStr">
        <is>
          <t>provisional</t>
        </is>
      </c>
      <c r="F42" t="inlineStr">
        <is>
          <t>primary</t>
        </is>
      </c>
      <c r="G42" s="11">
        <f>IF(OR(City_Inputs!$M42="",Norm_Stats!$F$2="",Norm_Stats!$G$2="",Norm_Stats!$G$2=Norm_Stats!$F$2),"",MAX(0,MIN(100,100*(MIN(MAX(City_Inputs!$M42,Norm_Stats!$F$2),Norm_Stats!$G$2)-Norm_Stats!$F$2)/(Norm_Stats!$G$2-Norm_Stats!$F$2))))</f>
        <v/>
      </c>
      <c r="H42" s="14">
        <f>IF(G42="","",1)</f>
        <v/>
      </c>
      <c r="I42" s="11">
        <f>IF(OR(City_Inputs!$N42="",Norm_Stats!$F$3="",Norm_Stats!$G$3="",Norm_Stats!$G$3=Norm_Stats!$F$3),"",MAX(0,MIN(100,100*(Norm_Stats!$G$3-MIN(MAX(City_Inputs!$N42,Norm_Stats!$F$3),Norm_Stats!$G$3))/(Norm_Stats!$G$3-Norm_Stats!$F$3))))</f>
        <v/>
      </c>
      <c r="J42" s="14">
        <f>IF(I42="","",1)</f>
        <v/>
      </c>
      <c r="K42" s="11">
        <f>IF(OR(City_Inputs!$P42="",Norm_Stats!$F$4="",Norm_Stats!$G$4="",Norm_Stats!$G$4=Norm_Stats!$F$4),"",MAX(0,MIN(100,100*(Norm_Stats!$G$4-MIN(MAX(City_Inputs!$P42,Norm_Stats!$F$4),Norm_Stats!$G$4))/(Norm_Stats!$G$4-Norm_Stats!$F$4))))</f>
        <v/>
      </c>
      <c r="L42" s="14">
        <f>IF(K42="","",1)</f>
        <v/>
      </c>
      <c r="M42" s="11">
        <f>IF(OR(City_Inputs!$Q42="",Norm_Stats!$F$5="",Norm_Stats!$G$5="",Norm_Stats!$G$5=Norm_Stats!$F$5),"",MAX(0,MIN(100,100*(Norm_Stats!$G$5-MIN(MAX(City_Inputs!$Q42,Norm_Stats!$F$5),Norm_Stats!$G$5))/(Norm_Stats!$G$5-Norm_Stats!$F$5))))</f>
        <v/>
      </c>
      <c r="N42" s="14">
        <f>IF(M42="","",1)</f>
        <v/>
      </c>
      <c r="O42" s="11">
        <f>IF(OR(City_Inputs!$R42="",Norm_Stats!$F$6="",Norm_Stats!$G$6="",Norm_Stats!$G$6=Norm_Stats!$F$6),"",MAX(0,MIN(100,100*(Norm_Stats!$G$6-MIN(MAX(City_Inputs!$R42,Norm_Stats!$F$6),Norm_Stats!$G$6))/(Norm_Stats!$G$6-Norm_Stats!$F$6))))</f>
        <v/>
      </c>
      <c r="P42" s="14">
        <f>IF(O42="","",1)</f>
        <v/>
      </c>
      <c r="Q42" s="15">
        <f>IF((IF(G42="",0,9)+IF(I42="",0,5)+IF(K42="",0,4)+IF(M42="",0,4)+IF(O42="",0,5))=0,"",(IF(G42="",0,G42*9)+IF(I42="",0,I42*5)+IF(K42="",0,K42*4)+IF(M42="",0,M42*4)+IF(O42="",0,O42*5))/(IF(G42="",0,9)+IF(I42="",0,5)+IF(K42="",0,4)+IF(M42="",0,4)+IF(O42="",0,5)))</f>
        <v/>
      </c>
      <c r="R42" s="14">
        <f>IF((IF(H42="",0,9)+IF(J42="",0,5)+IF(L42="",0,4)+IF(N42="",0,4)+IF(P42="",0,5))=0,"",(IF(H42="",0,H42*9)+IF(J42="",0,J42*5)+IF(L42="",0,L42*4)+IF(N42="",0,N42*4)+IF(P42="",0,P42*5))/27)</f>
        <v/>
      </c>
      <c r="S42" s="11">
        <f>IF(OR(City_Inputs!$S42="",Norm_Stats!$F$7="",Norm_Stats!$G$7="",Norm_Stats!$G$7=Norm_Stats!$F$7),"",MAX(0,MIN(100,100*(Norm_Stats!$G$7-MIN(MAX(City_Inputs!$S42,Norm_Stats!$F$7),Norm_Stats!$G$7))/(Norm_Stats!$G$7-Norm_Stats!$F$7))))</f>
        <v/>
      </c>
      <c r="T42" s="14">
        <f>IF(S42="","",1)</f>
        <v/>
      </c>
      <c r="U42" s="11">
        <f>IF(OR(City_Inputs!$T42="",Norm_Stats!$F$8="",Norm_Stats!$G$8="",Norm_Stats!$G$8=Norm_Stats!$F$8),"",MAX(0,MIN(100,100*(MIN(MAX(City_Inputs!$T42,Norm_Stats!$F$8),Norm_Stats!$G$8)-Norm_Stats!$F$8)/(Norm_Stats!$G$8-Norm_Stats!$F$8))))</f>
        <v/>
      </c>
      <c r="V42" s="14">
        <f>IF(U42="","",1)</f>
        <v/>
      </c>
      <c r="W42" s="11">
        <f>IF(OR(City_Inputs!$U42="",Norm_Stats!$F$9="",Norm_Stats!$G$9="",Norm_Stats!$G$9=Norm_Stats!$F$9),"",MAX(0,MIN(100,100*(Norm_Stats!$G$9-MIN(MAX(City_Inputs!$U42,Norm_Stats!$F$9),Norm_Stats!$G$9))/(Norm_Stats!$G$9-Norm_Stats!$F$9))))</f>
        <v/>
      </c>
      <c r="X42" s="14">
        <f>IF(W42="","",1)</f>
        <v/>
      </c>
      <c r="Y42" s="11">
        <f>IF(OR(City_Inputs!$V42="",Norm_Stats!$F$10="",Norm_Stats!$G$10="",Norm_Stats!$G$10=Norm_Stats!$F$10),"",MAX(0,MIN(100,100*(MIN(MAX(City_Inputs!$V42,Norm_Stats!$F$10),Norm_Stats!$G$10)-Norm_Stats!$F$10)/(Norm_Stats!$G$10-Norm_Stats!$F$10))))</f>
        <v/>
      </c>
      <c r="Z42" s="14">
        <f>IF(Y42="","",1)</f>
        <v/>
      </c>
      <c r="AA42" s="11">
        <f>IF(OR(City_Inputs!$W42="",Norm_Stats!$F$11="",Norm_Stats!$G$11="",Norm_Stats!$G$11=Norm_Stats!$F$11),"",MAX(0,MIN(100,100*(MIN(MAX(City_Inputs!$W42,Norm_Stats!$F$11),Norm_Stats!$G$11)-Norm_Stats!$F$11)/(Norm_Stats!$G$11-Norm_Stats!$F$11))))</f>
        <v/>
      </c>
      <c r="AB42" s="14">
        <f>IF(AA42="","",1)</f>
        <v/>
      </c>
      <c r="AC42" s="11">
        <f>IF(OR(City_Inputs!$X42="",Norm_Stats!$F$12="",Norm_Stats!$G$12="",Norm_Stats!$G$12=Norm_Stats!$F$12),"",MAX(0,MIN(100,100*(MIN(MAX(City_Inputs!$X42,Norm_Stats!$F$12),Norm_Stats!$G$12)-Norm_Stats!$F$12)/(Norm_Stats!$G$12-Norm_Stats!$F$12))))</f>
        <v/>
      </c>
      <c r="AD42" s="11">
        <f>IF(AC42="","",1)</f>
        <v/>
      </c>
      <c r="AE42" s="15">
        <f>IF((IF(S42="",0,5)+IF(U42="",0,5)+IF(W42="",0,4)+IF(Y42="",0,4)+IF(AA42="",0,4)+IF(AC42="",0,5))=0,"",(IF(S42="",0,S42*5)+IF(U42="",0,U42*5)+IF(W42="",0,W42*4)+IF(Y42="",0,Y42*4)+IF(AA42="",0,AA42*4)+IF(AC42="",0,AC42*5))/(IF(S42="",0,5)+IF(U42="",0,5)+IF(W42="",0,4)+IF(Y42="",0,4)+IF(AA42="",0,4)+IF(AC42="",0,5)))</f>
        <v/>
      </c>
      <c r="AF42" s="14">
        <f>IF((IF(T42="",0,5)+IF(V42="",0,5)+IF(X42="",0,4)+IF(Z42="",0,4)+IF(AB42="",0,4)+IF(AD42="",0,5))=0,"",(IF(T42="",0,T42*5)+IF(V42="",0,V42*5)+IF(X42="",0,X42*4)+IF(Z42="",0,Z42*4)+IF(AB42="",0,AB42*4)+IF(AD42="",0,AD42*5))/27)</f>
        <v/>
      </c>
      <c r="AG42" s="11">
        <f>IF(OR(City_Inputs!$Y42="",Norm_Stats!$F$13="",Norm_Stats!$G$13="",Norm_Stats!$G$13=Norm_Stats!$F$13),"",MAX(0,MIN(100,100*(MIN(MAX(City_Inputs!$Y42,Norm_Stats!$F$13),Norm_Stats!$G$13)-Norm_Stats!$F$13)/(Norm_Stats!$G$13-Norm_Stats!$F$13))))</f>
        <v/>
      </c>
      <c r="AH42" s="14">
        <f>IF(AG42="","",1)</f>
        <v/>
      </c>
      <c r="AI42" s="11">
        <f>IF(OR(City_Inputs!$Z42="",Norm_Stats!$F$14="",Norm_Stats!$G$14="",Norm_Stats!$G$14=Norm_Stats!$F$14),"",MAX(0,MIN(100,100*(MIN(MAX(City_Inputs!$Z42,Norm_Stats!$F$14),Norm_Stats!$G$14)-Norm_Stats!$F$14)/(Norm_Stats!$G$14-Norm_Stats!$F$14))))</f>
        <v/>
      </c>
      <c r="AJ42" s="14">
        <f>IF(AI42="","",1)</f>
        <v/>
      </c>
      <c r="AK42" s="11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(IF(OR(City_Inputs!$AA42="",Norm_Stats!$F$15="",Norm_Stats!$G$15="",Norm_Stats!$G$15=Norm_Stats!$F$15),"",MAX(0,MIN(100,100*(MIN(MAX(City_Inputs!$AA42,Norm_Stats!$F$15),Norm_Stats!$G$15)-Norm_Stats!$F$15)/(Norm_Stats!$G$15-Norm_Stats!$F$15)))))*0.7)+IF((IF(OR(City_Inputs!$AL42="",Norm_Stats!$F$16="",Norm_Stats!$G$16="",Norm_Stats!$G$16=Norm_Stats!$F$16),"",MAX(0,MIN(100,100*(Norm_Stats!$G$16-MIN(MAX(City_Inputs!$AL42,Norm_Stats!$F$16),Norm_Stats!$G$16))/(Norm_Stats!$G$16-Norm_Stats!$F$16)))))="",0,(IF(OR(City_Inputs!$AL42="",Norm_Stats!$F$16="",Norm_Stats!$G$16="",Norm_Stats!$G$16=Norm_Stats!$F$16),"",MAX(0,MIN(100,100*(Norm_Stats!$G$16-MIN(MAX(City_Inputs!$AL42,Norm_Stats!$F$16),Norm_Stats!$G$16))/(Norm_Stats!$G$16-Norm_Stats!$F$16)))))*0.3))/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L42" s="14">
        <f>IF(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=0,"",(IF((IF(OR(City_Inputs!$AA42="",Norm_Stats!$F$15="",Norm_Stats!$G$15="",Norm_Stats!$G$15=Norm_Stats!$F$15),"",MAX(0,MIN(100,100*(MIN(MAX(City_Inputs!$AA42,Norm_Stats!$F$15),Norm_Stats!$G$15)-Norm_Stats!$F$15)/(Norm_Stats!$G$15-Norm_Stats!$F$15)))))="",0,0.7)+IF((IF(OR(City_Inputs!$AL42="",Norm_Stats!$F$16="",Norm_Stats!$G$16="",Norm_Stats!$G$16=Norm_Stats!$F$16),"",MAX(0,MIN(100,100*(Norm_Stats!$G$16-MIN(MAX(City_Inputs!$AL42,Norm_Stats!$F$16),Norm_Stats!$G$16))/(Norm_Stats!$G$16-Norm_Stats!$F$16)))))="",0,0.3)))</f>
        <v/>
      </c>
      <c r="AM42" s="15">
        <f>IF((IF(AG42="",0,8)+IF(AI42="",0,6)+IF(AK42="",0,4))=0,"",(IF(AG42="",0,AG42*8)+IF(AI42="",0,AI42*6)+IF(AK42="",0,AK42*4))/(IF(AG42="",0,8)+IF(AI42="",0,6)+IF(AK42="",0,4)))</f>
        <v/>
      </c>
      <c r="AN42" s="14">
        <f>IF((IF(AH42="",0,8)+IF(AJ42="",0,6)+IF(AL42="",0,4))=0,"",(IF(AH42="",0,AH42*8)+IF(AJ42="",0,AJ42*6)+IF(AL42="",0,AL42*4))/18)</f>
        <v/>
      </c>
      <c r="AO42" s="11">
        <f>IF(OR(City_Inputs!$AB42="",Norm_Stats!$F$17="",Norm_Stats!$G$17="",Norm_Stats!$G$17=Norm_Stats!$F$17),"",MAX(0,MIN(100,100*(MIN(MAX(City_Inputs!$AB42,Norm_Stats!$F$17),Norm_Stats!$G$17)-Norm_Stats!$F$17)/(Norm_Stats!$G$17-Norm_Stats!$F$17))))</f>
        <v/>
      </c>
      <c r="AP42" s="14">
        <f>IF(AO42="","",1)</f>
        <v/>
      </c>
      <c r="AQ42" s="11">
        <f>IF(OR(City_Inputs!$AC42="",Norm_Stats!$F$18="",Norm_Stats!$G$18="",Norm_Stats!$G$18=Norm_Stats!$F$18),"",MAX(0,MIN(100,100*(MIN(MAX(City_Inputs!$AC42,Norm_Stats!$F$18),Norm_Stats!$G$18)-Norm_Stats!$F$18)/(Norm_Stats!$G$18-Norm_Stats!$F$18))))</f>
        <v/>
      </c>
      <c r="AR42" s="14">
        <f>IF(AQ42="","",1)</f>
        <v/>
      </c>
      <c r="AS42" s="11">
        <f>IF(OR(City_Inputs!$AD42="",Norm_Stats!$F$19="",Norm_Stats!$G$19="",Norm_Stats!$G$19=Norm_Stats!$F$19),"",MAX(0,MIN(100,100*(MIN(MAX(City_Inputs!$AD42,Norm_Stats!$F$19),Norm_Stats!$G$19)-Norm_Stats!$F$19)/(Norm_Stats!$G$19-Norm_Stats!$F$19))))</f>
        <v/>
      </c>
      <c r="AT42" s="14">
        <f>IF(AS42="","",1)</f>
        <v/>
      </c>
      <c r="AU42" s="11">
        <f>IF(OR(City_Inputs!$BJ42="",Norm_Stats!$F$26="",Norm_Stats!$G$26="",Norm_Stats!$G$26=Norm_Stats!$F$26),"",MAX(0,MIN(100,100*(MIN(MAX(City_Inputs!$BJ42,Norm_Stats!$F$26),Norm_Stats!$G$26)-Norm_Stats!$F$26)/(Norm_Stats!$G$26-Norm_Stats!$F$26))))</f>
        <v/>
      </c>
      <c r="AV42" s="11">
        <f>IF(AU42="","",1)</f>
        <v/>
      </c>
      <c r="AW42" s="15">
        <f>IF((IF(AO42="",0,5)+IF(AQ42="",0,5)+IF(AS42="",0,5)+IF(AU42="",0,4))=0,"",(IF(AO42="",0,AO42*5)+IF(AQ42="",0,AQ42*5)+IF(AS42="",0,AS42*5)+IF(AU42="",0,AU42*4))/(IF(AO42="",0,5)+IF(AQ42="",0,5)+IF(AS42="",0,5)+IF(AU42="",0,4)))</f>
        <v/>
      </c>
      <c r="AX42" s="14">
        <f>IF((IF(AP42="",0,5)+IF(AR42="",0,5)+IF(AT42="",0,5)+IF(AV42="",0,4))=0,"",(IF(AP42="",0,AP42*5)+IF(AR42="",0,AR42*5)+IF(AT42="",0,AT42*5)+IF(AV42="",0,AV42*4))/19)</f>
        <v/>
      </c>
      <c r="AY42" s="11">
        <f>IF(OR(City_Inputs!$AE42="",Norm_Stats!$F$20="",Norm_Stats!$G$20="",Norm_Stats!$G$20=Norm_Stats!$F$20),"",MAX(0,MIN(100,100*(MIN(MAX(City_Inputs!$AE42,Norm_Stats!$F$20),Norm_Stats!$G$20)-Norm_Stats!$F$20)/(Norm_Stats!$G$20-Norm_Stats!$F$20))))</f>
        <v/>
      </c>
      <c r="AZ42" s="14">
        <f>IF(AY42="","",1)</f>
        <v/>
      </c>
      <c r="BA42" s="11">
        <f>IF(OR(City_Inputs!$AF42="",Norm_Stats!$F$21="",Norm_Stats!$G$21="",Norm_Stats!$G$21=Norm_Stats!$F$21),"",MAX(0,MIN(100,100*(MIN(MAX(City_Inputs!$AF42,Norm_Stats!$F$21),Norm_Stats!$G$21)-Norm_Stats!$F$21)/(Norm_Stats!$G$21-Norm_Stats!$F$21))))</f>
        <v/>
      </c>
      <c r="BB42" s="14">
        <f>IF(BA42="","",1)</f>
        <v/>
      </c>
      <c r="BC42" s="11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(IF(OR(City_Inputs!$AG42="",Norm_Stats!$F$22="",Norm_Stats!$G$22="",Norm_Stats!$G$22=Norm_Stats!$F$22),"",MAX(0,MIN(100,100*(MIN(MAX(City_Inputs!$AG42,Norm_Stats!$F$22),Norm_Stats!$G$22)-Norm_Stats!$F$22)/(Norm_Stats!$G$22-Norm_Stats!$F$22)))))*0.5)+IF((IF(OR(City_Inputs!$AJ42="",Norm_Stats!$F$23="",Norm_Stats!$G$23="",Norm_Stats!$G$23=Norm_Stats!$F$23),"",MAX(0,MIN(100,100*(MIN(MAX(City_Inputs!$AJ42,Norm_Stats!$F$23),Norm_Stats!$G$23)-Norm_Stats!$F$23)/(Norm_Stats!$G$23-Norm_Stats!$F$23)))))="",0,(IF(OR(City_Inputs!$AJ42="",Norm_Stats!$F$23="",Norm_Stats!$G$23="",Norm_Stats!$G$23=Norm_Stats!$F$23),"",MAX(0,MIN(100,100*(MIN(MAX(City_Inputs!$AJ42,Norm_Stats!$F$23),Norm_Stats!$G$23)-Norm_Stats!$F$23)/(Norm_Stats!$G$23-Norm_Stats!$F$23)))))*0.3)+IF((IF(OR(City_Inputs!$AK42="",Norm_Stats!$F$24="",Norm_Stats!$G$24="",Norm_Stats!$G$24=Norm_Stats!$F$24),"",MAX(0,MIN(100,100*(MIN(MAX(City_Inputs!$AK42,Norm_Stats!$F$24),Norm_Stats!$G$24)-Norm_Stats!$F$24)/(Norm_Stats!$G$24-Norm_Stats!$F$24)))))="",0,(IF(OR(City_Inputs!$AK42="",Norm_Stats!$F$24="",Norm_Stats!$G$24="",Norm_Stats!$G$24=Norm_Stats!$F$24),"",MAX(0,MIN(100,100*(MIN(MAX(City_Inputs!$AK42,Norm_Stats!$F$24),Norm_Stats!$G$24)-Norm_Stats!$F$24)/(Norm_Stats!$G$24-Norm_Stats!$F$24)))))*0.2))/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D42" s="14">
        <f>IF(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=0,"",(IF((IF(OR(City_Inputs!$AG42="",Norm_Stats!$F$22="",Norm_Stats!$G$22="",Norm_Stats!$G$22=Norm_Stats!$F$22),"",MAX(0,MIN(100,100*(MIN(MAX(City_Inputs!$AG42,Norm_Stats!$F$22),Norm_Stats!$G$22)-Norm_Stats!$F$22)/(Norm_Stats!$G$22-Norm_Stats!$F$22)))))="",0,0.5)+IF((IF(OR(City_Inputs!$AJ42="",Norm_Stats!$F$23="",Norm_Stats!$G$23="",Norm_Stats!$G$23=Norm_Stats!$F$23),"",MAX(0,MIN(100,100*(MIN(MAX(City_Inputs!$AJ42,Norm_Stats!$F$23),Norm_Stats!$G$23)-Norm_Stats!$F$23)/(Norm_Stats!$G$23-Norm_Stats!$F$23)))))="",0,0.3)+IF((IF(OR(City_Inputs!$AK42="",Norm_Stats!$F$24="",Norm_Stats!$G$24="",Norm_Stats!$G$24=Norm_Stats!$F$24),"",MAX(0,MIN(100,100*(MIN(MAX(City_Inputs!$AK42,Norm_Stats!$F$24),Norm_Stats!$G$24)-Norm_Stats!$F$24)/(Norm_Stats!$G$24-Norm_Stats!$F$24)))))="",0,0.2)))</f>
        <v/>
      </c>
      <c r="BE42" s="11">
        <f>IF(OR(City_Inputs!$AH42="",Norm_Stats!$F$25="",Norm_Stats!$G$25="",Norm_Stats!$G$25=Norm_Stats!$F$25),"",MAX(0,MIN(100,100*(Norm_Stats!$G$25-MIN(MAX(City_Inputs!$AH42,Norm_Stats!$F$25),Norm_Stats!$G$25))/(Norm_Stats!$G$25-Norm_Stats!$F$25))))</f>
        <v/>
      </c>
      <c r="BF42" s="14">
        <f>IF(BE42="","",1)</f>
        <v/>
      </c>
      <c r="BG42" s="15">
        <f>IF((IF(AY42="",0,6)+IF(BA42="",0,5)+IF(BC42="",0,5)+IF(BE42="",0,4))=0,"",(IF(AY42="",0,AY42*6)+IF(BA42="",0,BA42*5)+IF(BC42="",0,BC42*5)+IF(BE42="",0,BE42*4))/(IF(AY42="",0,6)+IF(BA42="",0,5)+IF(BC42="",0,5)+IF(BE42="",0,4)))</f>
        <v/>
      </c>
      <c r="BH42" s="14">
        <f>IF((IF(AZ42="",0,6)+IF(BB42="",0,5)+IF(BD42="",0,5)+IF(BF42="",0,4))=0,"",(IF(AZ42="",0,AZ42*6)+IF(BB42="",0,BB42*5)+IF(BD42="",0,BD42*5)+IF(BF42="",0,BF42*4))/20)</f>
        <v/>
      </c>
      <c r="BI42" s="14">
        <f>IF(AND(R42="",AF42="",AN42="",AX42="",BH42=""),"",((R42*25)+(AF42*22)+(AN42*18)+(AX42*15)+(BH42*20))/100)</f>
        <v/>
      </c>
      <c r="BJ42" s="11">
        <f>IF(BI42="","",IF(BI42&gt;=0.75,"A",IF(BI42&gt;=0.5,"B",IF(BI42&gt;=0.35,"C","Watchlist"))))</f>
        <v/>
      </c>
      <c r="BK42" s="11">
        <f>IF(OR(BI42="",BI42&lt;0.5,R42="",R42&lt;0.35,AF42="",AF42&lt;0.35,AN42="",AN42&lt;0.35,AX42="",AX42&lt;0.35,BH42="",BH42&lt;0.35),"Watchlist","Ranked")</f>
        <v/>
      </c>
      <c r="BL42" s="15">
        <f>IF(AND(Q42="",AE42="",AM42="",AW42="",BG42=""),"",(IF(Q42="",0,Q42*25)+IF(AE42="",0,AE42*22)+IF(AM42="",0,AM42*18)+IF(AW42="",0,AW42*15)+IF(BG42="",0,BG42*20))/(IF(Q42="",0,25)+IF(AE42="",0,22)+IF(AM42="",0,18)+IF(AW42="",0,15)+IF(BG42="",0,20)))</f>
        <v/>
      </c>
      <c r="BM42" s="11">
        <f>IF(BK42="Ranked",1+COUNTIFS($BK$2:$BK$158,"Ranked",$BL$2:$BL$158,"&gt;"&amp;BL42),"")</f>
        <v/>
      </c>
      <c r="BN42" s="11">
        <f>City_Inputs!$AI42</f>
        <v/>
      </c>
    </row>
    <row r="43">
      <c r="A43" t="inlineStr">
        <is>
          <t>dk-copenhagen</t>
        </is>
      </c>
      <c r="B43" t="inlineStr">
        <is>
          <t>Copenhagen</t>
        </is>
      </c>
      <c r="C43" t="inlineStr">
        <is>
          <t>Denmark</t>
        </is>
      </c>
      <c r="D43" t="inlineStr">
        <is>
          <t>Western, Northern, and Southern Europe</t>
        </is>
      </c>
      <c r="E43" t="inlineStr">
        <is>
          <t>provisional</t>
        </is>
      </c>
      <c r="F43" t="inlineStr">
        <is>
          <t>primary</t>
        </is>
      </c>
      <c r="G43" s="11">
        <f>IF(OR(City_Inputs!$M43="",Norm_Stats!$F$2="",Norm_Stats!$G$2="",Norm_Stats!$G$2=Norm_Stats!$F$2),"",MAX(0,MIN(100,100*(MIN(MAX(City_Inputs!$M43,Norm_Stats!$F$2),Norm_Stats!$G$2)-Norm_Stats!$F$2)/(Norm_Stats!$G$2-Norm_Stats!$F$2))))</f>
        <v/>
      </c>
      <c r="H43" s="14">
        <f>IF(G43="","",1)</f>
        <v/>
      </c>
      <c r="I43" s="11">
        <f>IF(OR(City_Inputs!$N43="",Norm_Stats!$F$3="",Norm_Stats!$G$3="",Norm_Stats!$G$3=Norm_Stats!$F$3),"",MAX(0,MIN(100,100*(Norm_Stats!$G$3-MIN(MAX(City_Inputs!$N43,Norm_Stats!$F$3),Norm_Stats!$G$3))/(Norm_Stats!$G$3-Norm_Stats!$F$3))))</f>
        <v/>
      </c>
      <c r="J43" s="14">
        <f>IF(I43="","",1)</f>
        <v/>
      </c>
      <c r="K43" s="11">
        <f>IF(OR(City_Inputs!$P43="",Norm_Stats!$F$4="",Norm_Stats!$G$4="",Norm_Stats!$G$4=Norm_Stats!$F$4),"",MAX(0,MIN(100,100*(Norm_Stats!$G$4-MIN(MAX(City_Inputs!$P43,Norm_Stats!$F$4),Norm_Stats!$G$4))/(Norm_Stats!$G$4-Norm_Stats!$F$4))))</f>
        <v/>
      </c>
      <c r="L43" s="14">
        <f>IF(K43="","",1)</f>
        <v/>
      </c>
      <c r="M43" s="11">
        <f>IF(OR(City_Inputs!$Q43="",Norm_Stats!$F$5="",Norm_Stats!$G$5="",Norm_Stats!$G$5=Norm_Stats!$F$5),"",MAX(0,MIN(100,100*(Norm_Stats!$G$5-MIN(MAX(City_Inputs!$Q43,Norm_Stats!$F$5),Norm_Stats!$G$5))/(Norm_Stats!$G$5-Norm_Stats!$F$5))))</f>
        <v/>
      </c>
      <c r="N43" s="14">
        <f>IF(M43="","",1)</f>
        <v/>
      </c>
      <c r="O43" s="11">
        <f>IF(OR(City_Inputs!$R43="",Norm_Stats!$F$6="",Norm_Stats!$G$6="",Norm_Stats!$G$6=Norm_Stats!$F$6),"",MAX(0,MIN(100,100*(Norm_Stats!$G$6-MIN(MAX(City_Inputs!$R43,Norm_Stats!$F$6),Norm_Stats!$G$6))/(Norm_Stats!$G$6-Norm_Stats!$F$6))))</f>
        <v/>
      </c>
      <c r="P43" s="14">
        <f>IF(O43="","",1)</f>
        <v/>
      </c>
      <c r="Q43" s="15">
        <f>IF((IF(G43="",0,9)+IF(I43="",0,5)+IF(K43="",0,4)+IF(M43="",0,4)+IF(O43="",0,5))=0,"",(IF(G43="",0,G43*9)+IF(I43="",0,I43*5)+IF(K43="",0,K43*4)+IF(M43="",0,M43*4)+IF(O43="",0,O43*5))/(IF(G43="",0,9)+IF(I43="",0,5)+IF(K43="",0,4)+IF(M43="",0,4)+IF(O43="",0,5)))</f>
        <v/>
      </c>
      <c r="R43" s="14">
        <f>IF((IF(H43="",0,9)+IF(J43="",0,5)+IF(L43="",0,4)+IF(N43="",0,4)+IF(P43="",0,5))=0,"",(IF(H43="",0,H43*9)+IF(J43="",0,J43*5)+IF(L43="",0,L43*4)+IF(N43="",0,N43*4)+IF(P43="",0,P43*5))/27)</f>
        <v/>
      </c>
      <c r="S43" s="11">
        <f>IF(OR(City_Inputs!$S43="",Norm_Stats!$F$7="",Norm_Stats!$G$7="",Norm_Stats!$G$7=Norm_Stats!$F$7),"",MAX(0,MIN(100,100*(Norm_Stats!$G$7-MIN(MAX(City_Inputs!$S43,Norm_Stats!$F$7),Norm_Stats!$G$7))/(Norm_Stats!$G$7-Norm_Stats!$F$7))))</f>
        <v/>
      </c>
      <c r="T43" s="14">
        <f>IF(S43="","",1)</f>
        <v/>
      </c>
      <c r="U43" s="11">
        <f>IF(OR(City_Inputs!$T43="",Norm_Stats!$F$8="",Norm_Stats!$G$8="",Norm_Stats!$G$8=Norm_Stats!$F$8),"",MAX(0,MIN(100,100*(MIN(MAX(City_Inputs!$T43,Norm_Stats!$F$8),Norm_Stats!$G$8)-Norm_Stats!$F$8)/(Norm_Stats!$G$8-Norm_Stats!$F$8))))</f>
        <v/>
      </c>
      <c r="V43" s="14">
        <f>IF(U43="","",1)</f>
        <v/>
      </c>
      <c r="W43" s="11">
        <f>IF(OR(City_Inputs!$U43="",Norm_Stats!$F$9="",Norm_Stats!$G$9="",Norm_Stats!$G$9=Norm_Stats!$F$9),"",MAX(0,MIN(100,100*(Norm_Stats!$G$9-MIN(MAX(City_Inputs!$U43,Norm_Stats!$F$9),Norm_Stats!$G$9))/(Norm_Stats!$G$9-Norm_Stats!$F$9))))</f>
        <v/>
      </c>
      <c r="X43" s="14">
        <f>IF(W43="","",1)</f>
        <v/>
      </c>
      <c r="Y43" s="11">
        <f>IF(OR(City_Inputs!$V43="",Norm_Stats!$F$10="",Norm_Stats!$G$10="",Norm_Stats!$G$10=Norm_Stats!$F$10),"",MAX(0,MIN(100,100*(MIN(MAX(City_Inputs!$V43,Norm_Stats!$F$10),Norm_Stats!$G$10)-Norm_Stats!$F$10)/(Norm_Stats!$G$10-Norm_Stats!$F$10))))</f>
        <v/>
      </c>
      <c r="Z43" s="14">
        <f>IF(Y43="","",1)</f>
        <v/>
      </c>
      <c r="AA43" s="11">
        <f>IF(OR(City_Inputs!$W43="",Norm_Stats!$F$11="",Norm_Stats!$G$11="",Norm_Stats!$G$11=Norm_Stats!$F$11),"",MAX(0,MIN(100,100*(MIN(MAX(City_Inputs!$W43,Norm_Stats!$F$11),Norm_Stats!$G$11)-Norm_Stats!$F$11)/(Norm_Stats!$G$11-Norm_Stats!$F$11))))</f>
        <v/>
      </c>
      <c r="AB43" s="14">
        <f>IF(AA43="","",1)</f>
        <v/>
      </c>
      <c r="AC43" s="11">
        <f>IF(OR(City_Inputs!$X43="",Norm_Stats!$F$12="",Norm_Stats!$G$12="",Norm_Stats!$G$12=Norm_Stats!$F$12),"",MAX(0,MIN(100,100*(MIN(MAX(City_Inputs!$X43,Norm_Stats!$F$12),Norm_Stats!$G$12)-Norm_Stats!$F$12)/(Norm_Stats!$G$12-Norm_Stats!$F$12))))</f>
        <v/>
      </c>
      <c r="AD43" s="11">
        <f>IF(AC43="","",1)</f>
        <v/>
      </c>
      <c r="AE43" s="15">
        <f>IF((IF(S43="",0,5)+IF(U43="",0,5)+IF(W43="",0,4)+IF(Y43="",0,4)+IF(AA43="",0,4)+IF(AC43="",0,5))=0,"",(IF(S43="",0,S43*5)+IF(U43="",0,U43*5)+IF(W43="",0,W43*4)+IF(Y43="",0,Y43*4)+IF(AA43="",0,AA43*4)+IF(AC43="",0,AC43*5))/(IF(S43="",0,5)+IF(U43="",0,5)+IF(W43="",0,4)+IF(Y43="",0,4)+IF(AA43="",0,4)+IF(AC43="",0,5)))</f>
        <v/>
      </c>
      <c r="AF43" s="14">
        <f>IF((IF(T43="",0,5)+IF(V43="",0,5)+IF(X43="",0,4)+IF(Z43="",0,4)+IF(AB43="",0,4)+IF(AD43="",0,5))=0,"",(IF(T43="",0,T43*5)+IF(V43="",0,V43*5)+IF(X43="",0,X43*4)+IF(Z43="",0,Z43*4)+IF(AB43="",0,AB43*4)+IF(AD43="",0,AD43*5))/27)</f>
        <v/>
      </c>
      <c r="AG43" s="11">
        <f>IF(OR(City_Inputs!$Y43="",Norm_Stats!$F$13="",Norm_Stats!$G$13="",Norm_Stats!$G$13=Norm_Stats!$F$13),"",MAX(0,MIN(100,100*(MIN(MAX(City_Inputs!$Y43,Norm_Stats!$F$13),Norm_Stats!$G$13)-Norm_Stats!$F$13)/(Norm_Stats!$G$13-Norm_Stats!$F$13))))</f>
        <v/>
      </c>
      <c r="AH43" s="14">
        <f>IF(AG43="","",1)</f>
        <v/>
      </c>
      <c r="AI43" s="11">
        <f>IF(OR(City_Inputs!$Z43="",Norm_Stats!$F$14="",Norm_Stats!$G$14="",Norm_Stats!$G$14=Norm_Stats!$F$14),"",MAX(0,MIN(100,100*(MIN(MAX(City_Inputs!$Z43,Norm_Stats!$F$14),Norm_Stats!$G$14)-Norm_Stats!$F$14)/(Norm_Stats!$G$14-Norm_Stats!$F$14))))</f>
        <v/>
      </c>
      <c r="AJ43" s="14">
        <f>IF(AI43="","",1)</f>
        <v/>
      </c>
      <c r="AK43" s="11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(IF(OR(City_Inputs!$AA43="",Norm_Stats!$F$15="",Norm_Stats!$G$15="",Norm_Stats!$G$15=Norm_Stats!$F$15),"",MAX(0,MIN(100,100*(MIN(MAX(City_Inputs!$AA43,Norm_Stats!$F$15),Norm_Stats!$G$15)-Norm_Stats!$F$15)/(Norm_Stats!$G$15-Norm_Stats!$F$15)))))*0.7)+IF((IF(OR(City_Inputs!$AL43="",Norm_Stats!$F$16="",Norm_Stats!$G$16="",Norm_Stats!$G$16=Norm_Stats!$F$16),"",MAX(0,MIN(100,100*(Norm_Stats!$G$16-MIN(MAX(City_Inputs!$AL43,Norm_Stats!$F$16),Norm_Stats!$G$16))/(Norm_Stats!$G$16-Norm_Stats!$F$16)))))="",0,(IF(OR(City_Inputs!$AL43="",Norm_Stats!$F$16="",Norm_Stats!$G$16="",Norm_Stats!$G$16=Norm_Stats!$F$16),"",MAX(0,MIN(100,100*(Norm_Stats!$G$16-MIN(MAX(City_Inputs!$AL43,Norm_Stats!$F$16),Norm_Stats!$G$16))/(Norm_Stats!$G$16-Norm_Stats!$F$16)))))*0.3))/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L43" s="14">
        <f>IF(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=0,"",(IF((IF(OR(City_Inputs!$AA43="",Norm_Stats!$F$15="",Norm_Stats!$G$15="",Norm_Stats!$G$15=Norm_Stats!$F$15),"",MAX(0,MIN(100,100*(MIN(MAX(City_Inputs!$AA43,Norm_Stats!$F$15),Norm_Stats!$G$15)-Norm_Stats!$F$15)/(Norm_Stats!$G$15-Norm_Stats!$F$15)))))="",0,0.7)+IF((IF(OR(City_Inputs!$AL43="",Norm_Stats!$F$16="",Norm_Stats!$G$16="",Norm_Stats!$G$16=Norm_Stats!$F$16),"",MAX(0,MIN(100,100*(Norm_Stats!$G$16-MIN(MAX(City_Inputs!$AL43,Norm_Stats!$F$16),Norm_Stats!$G$16))/(Norm_Stats!$G$16-Norm_Stats!$F$16)))))="",0,0.3)))</f>
        <v/>
      </c>
      <c r="AM43" s="15">
        <f>IF((IF(AG43="",0,8)+IF(AI43="",0,6)+IF(AK43="",0,4))=0,"",(IF(AG43="",0,AG43*8)+IF(AI43="",0,AI43*6)+IF(AK43="",0,AK43*4))/(IF(AG43="",0,8)+IF(AI43="",0,6)+IF(AK43="",0,4)))</f>
        <v/>
      </c>
      <c r="AN43" s="14">
        <f>IF((IF(AH43="",0,8)+IF(AJ43="",0,6)+IF(AL43="",0,4))=0,"",(IF(AH43="",0,AH43*8)+IF(AJ43="",0,AJ43*6)+IF(AL43="",0,AL43*4))/18)</f>
        <v/>
      </c>
      <c r="AO43" s="11">
        <f>IF(OR(City_Inputs!$AB43="",Norm_Stats!$F$17="",Norm_Stats!$G$17="",Norm_Stats!$G$17=Norm_Stats!$F$17),"",MAX(0,MIN(100,100*(MIN(MAX(City_Inputs!$AB43,Norm_Stats!$F$17),Norm_Stats!$G$17)-Norm_Stats!$F$17)/(Norm_Stats!$G$17-Norm_Stats!$F$17))))</f>
        <v/>
      </c>
      <c r="AP43" s="14">
        <f>IF(AO43="","",1)</f>
        <v/>
      </c>
      <c r="AQ43" s="11">
        <f>IF(OR(City_Inputs!$AC43="",Norm_Stats!$F$18="",Norm_Stats!$G$18="",Norm_Stats!$G$18=Norm_Stats!$F$18),"",MAX(0,MIN(100,100*(MIN(MAX(City_Inputs!$AC43,Norm_Stats!$F$18),Norm_Stats!$G$18)-Norm_Stats!$F$18)/(Norm_Stats!$G$18-Norm_Stats!$F$18))))</f>
        <v/>
      </c>
      <c r="AR43" s="14">
        <f>IF(AQ43="","",1)</f>
        <v/>
      </c>
      <c r="AS43" s="11">
        <f>IF(OR(City_Inputs!$AD43="",Norm_Stats!$F$19="",Norm_Stats!$G$19="",Norm_Stats!$G$19=Norm_Stats!$F$19),"",MAX(0,MIN(100,100*(MIN(MAX(City_Inputs!$AD43,Norm_Stats!$F$19),Norm_Stats!$G$19)-Norm_Stats!$F$19)/(Norm_Stats!$G$19-Norm_Stats!$F$19))))</f>
        <v/>
      </c>
      <c r="AT43" s="14">
        <f>IF(AS43="","",1)</f>
        <v/>
      </c>
      <c r="AU43" s="11">
        <f>IF(OR(City_Inputs!$BJ43="",Norm_Stats!$F$26="",Norm_Stats!$G$26="",Norm_Stats!$G$26=Norm_Stats!$F$26),"",MAX(0,MIN(100,100*(MIN(MAX(City_Inputs!$BJ43,Norm_Stats!$F$26),Norm_Stats!$G$26)-Norm_Stats!$F$26)/(Norm_Stats!$G$26-Norm_Stats!$F$26))))</f>
        <v/>
      </c>
      <c r="AV43" s="11">
        <f>IF(AU43="","",1)</f>
        <v/>
      </c>
      <c r="AW43" s="15">
        <f>IF((IF(AO43="",0,5)+IF(AQ43="",0,5)+IF(AS43="",0,5)+IF(AU43="",0,4))=0,"",(IF(AO43="",0,AO43*5)+IF(AQ43="",0,AQ43*5)+IF(AS43="",0,AS43*5)+IF(AU43="",0,AU43*4))/(IF(AO43="",0,5)+IF(AQ43="",0,5)+IF(AS43="",0,5)+IF(AU43="",0,4)))</f>
        <v/>
      </c>
      <c r="AX43" s="14">
        <f>IF((IF(AP43="",0,5)+IF(AR43="",0,5)+IF(AT43="",0,5)+IF(AV43="",0,4))=0,"",(IF(AP43="",0,AP43*5)+IF(AR43="",0,AR43*5)+IF(AT43="",0,AT43*5)+IF(AV43="",0,AV43*4))/19)</f>
        <v/>
      </c>
      <c r="AY43" s="11">
        <f>IF(OR(City_Inputs!$AE43="",Norm_Stats!$F$20="",Norm_Stats!$G$20="",Norm_Stats!$G$20=Norm_Stats!$F$20),"",MAX(0,MIN(100,100*(MIN(MAX(City_Inputs!$AE43,Norm_Stats!$F$20),Norm_Stats!$G$20)-Norm_Stats!$F$20)/(Norm_Stats!$G$20-Norm_Stats!$F$20))))</f>
        <v/>
      </c>
      <c r="AZ43" s="14">
        <f>IF(AY43="","",1)</f>
        <v/>
      </c>
      <c r="BA43" s="11">
        <f>IF(OR(City_Inputs!$AF43="",Norm_Stats!$F$21="",Norm_Stats!$G$21="",Norm_Stats!$G$21=Norm_Stats!$F$21),"",MAX(0,MIN(100,100*(MIN(MAX(City_Inputs!$AF43,Norm_Stats!$F$21),Norm_Stats!$G$21)-Norm_Stats!$F$21)/(Norm_Stats!$G$21-Norm_Stats!$F$21))))</f>
        <v/>
      </c>
      <c r="BB43" s="14">
        <f>IF(BA43="","",1)</f>
        <v/>
      </c>
      <c r="BC43" s="11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(IF(OR(City_Inputs!$AG43="",Norm_Stats!$F$22="",Norm_Stats!$G$22="",Norm_Stats!$G$22=Norm_Stats!$F$22),"",MAX(0,MIN(100,100*(MIN(MAX(City_Inputs!$AG43,Norm_Stats!$F$22),Norm_Stats!$G$22)-Norm_Stats!$F$22)/(Norm_Stats!$G$22-Norm_Stats!$F$22)))))*0.5)+IF((IF(OR(City_Inputs!$AJ43="",Norm_Stats!$F$23="",Norm_Stats!$G$23="",Norm_Stats!$G$23=Norm_Stats!$F$23),"",MAX(0,MIN(100,100*(MIN(MAX(City_Inputs!$AJ43,Norm_Stats!$F$23),Norm_Stats!$G$23)-Norm_Stats!$F$23)/(Norm_Stats!$G$23-Norm_Stats!$F$23)))))="",0,(IF(OR(City_Inputs!$AJ43="",Norm_Stats!$F$23="",Norm_Stats!$G$23="",Norm_Stats!$G$23=Norm_Stats!$F$23),"",MAX(0,MIN(100,100*(MIN(MAX(City_Inputs!$AJ43,Norm_Stats!$F$23),Norm_Stats!$G$23)-Norm_Stats!$F$23)/(Norm_Stats!$G$23-Norm_Stats!$F$23)))))*0.3)+IF((IF(OR(City_Inputs!$AK43="",Norm_Stats!$F$24="",Norm_Stats!$G$24="",Norm_Stats!$G$24=Norm_Stats!$F$24),"",MAX(0,MIN(100,100*(MIN(MAX(City_Inputs!$AK43,Norm_Stats!$F$24),Norm_Stats!$G$24)-Norm_Stats!$F$24)/(Norm_Stats!$G$24-Norm_Stats!$F$24)))))="",0,(IF(OR(City_Inputs!$AK43="",Norm_Stats!$F$24="",Norm_Stats!$G$24="",Norm_Stats!$G$24=Norm_Stats!$F$24),"",MAX(0,MIN(100,100*(MIN(MAX(City_Inputs!$AK43,Norm_Stats!$F$24),Norm_Stats!$G$24)-Norm_Stats!$F$24)/(Norm_Stats!$G$24-Norm_Stats!$F$24)))))*0.2))/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D43" s="14">
        <f>IF(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=0,"",(IF((IF(OR(City_Inputs!$AG43="",Norm_Stats!$F$22="",Norm_Stats!$G$22="",Norm_Stats!$G$22=Norm_Stats!$F$22),"",MAX(0,MIN(100,100*(MIN(MAX(City_Inputs!$AG43,Norm_Stats!$F$22),Norm_Stats!$G$22)-Norm_Stats!$F$22)/(Norm_Stats!$G$22-Norm_Stats!$F$22)))))="",0,0.5)+IF((IF(OR(City_Inputs!$AJ43="",Norm_Stats!$F$23="",Norm_Stats!$G$23="",Norm_Stats!$G$23=Norm_Stats!$F$23),"",MAX(0,MIN(100,100*(MIN(MAX(City_Inputs!$AJ43,Norm_Stats!$F$23),Norm_Stats!$G$23)-Norm_Stats!$F$23)/(Norm_Stats!$G$23-Norm_Stats!$F$23)))))="",0,0.3)+IF((IF(OR(City_Inputs!$AK43="",Norm_Stats!$F$24="",Norm_Stats!$G$24="",Norm_Stats!$G$24=Norm_Stats!$F$24),"",MAX(0,MIN(100,100*(MIN(MAX(City_Inputs!$AK43,Norm_Stats!$F$24),Norm_Stats!$G$24)-Norm_Stats!$F$24)/(Norm_Stats!$G$24-Norm_Stats!$F$24)))))="",0,0.2)))</f>
        <v/>
      </c>
      <c r="BE43" s="11">
        <f>IF(OR(City_Inputs!$AH43="",Norm_Stats!$F$25="",Norm_Stats!$G$25="",Norm_Stats!$G$25=Norm_Stats!$F$25),"",MAX(0,MIN(100,100*(Norm_Stats!$G$25-MIN(MAX(City_Inputs!$AH43,Norm_Stats!$F$25),Norm_Stats!$G$25))/(Norm_Stats!$G$25-Norm_Stats!$F$25))))</f>
        <v/>
      </c>
      <c r="BF43" s="14">
        <f>IF(BE43="","",1)</f>
        <v/>
      </c>
      <c r="BG43" s="15">
        <f>IF((IF(AY43="",0,6)+IF(BA43="",0,5)+IF(BC43="",0,5)+IF(BE43="",0,4))=0,"",(IF(AY43="",0,AY43*6)+IF(BA43="",0,BA43*5)+IF(BC43="",0,BC43*5)+IF(BE43="",0,BE43*4))/(IF(AY43="",0,6)+IF(BA43="",0,5)+IF(BC43="",0,5)+IF(BE43="",0,4)))</f>
        <v/>
      </c>
      <c r="BH43" s="14">
        <f>IF((IF(AZ43="",0,6)+IF(BB43="",0,5)+IF(BD43="",0,5)+IF(BF43="",0,4))=0,"",(IF(AZ43="",0,AZ43*6)+IF(BB43="",0,BB43*5)+IF(BD43="",0,BD43*5)+IF(BF43="",0,BF43*4))/20)</f>
        <v/>
      </c>
      <c r="BI43" s="14">
        <f>IF(AND(R43="",AF43="",AN43="",AX43="",BH43=""),"",((R43*25)+(AF43*22)+(AN43*18)+(AX43*15)+(BH43*20))/100)</f>
        <v/>
      </c>
      <c r="BJ43" s="11">
        <f>IF(BI43="","",IF(BI43&gt;=0.75,"A",IF(BI43&gt;=0.5,"B",IF(BI43&gt;=0.35,"C","Watchlist"))))</f>
        <v/>
      </c>
      <c r="BK43" s="11">
        <f>IF(OR(BI43="",BI43&lt;0.5,R43="",R43&lt;0.35,AF43="",AF43&lt;0.35,AN43="",AN43&lt;0.35,AX43="",AX43&lt;0.35,BH43="",BH43&lt;0.35),"Watchlist","Ranked")</f>
        <v/>
      </c>
      <c r="BL43" s="15">
        <f>IF(AND(Q43="",AE43="",AM43="",AW43="",BG43=""),"",(IF(Q43="",0,Q43*25)+IF(AE43="",0,AE43*22)+IF(AM43="",0,AM43*18)+IF(AW43="",0,AW43*15)+IF(BG43="",0,BG43*20))/(IF(Q43="",0,25)+IF(AE43="",0,22)+IF(AM43="",0,18)+IF(AW43="",0,15)+IF(BG43="",0,20)))</f>
        <v/>
      </c>
      <c r="BM43" s="11">
        <f>IF(BK43="Ranked",1+COUNTIFS($BK$2:$BK$158,"Ranked",$BL$2:$BL$158,"&gt;"&amp;BL43),"")</f>
        <v/>
      </c>
      <c r="BN43" s="11">
        <f>City_Inputs!$AI43</f>
        <v/>
      </c>
    </row>
    <row r="44">
      <c r="A44" t="inlineStr">
        <is>
          <t>it-milan</t>
        </is>
      </c>
      <c r="B44" t="inlineStr">
        <is>
          <t>Milan</t>
        </is>
      </c>
      <c r="C44" t="inlineStr">
        <is>
          <t>Italy</t>
        </is>
      </c>
      <c r="D44" t="inlineStr">
        <is>
          <t>Western, Northern, and Southern Europe</t>
        </is>
      </c>
      <c r="E44" t="inlineStr">
        <is>
          <t>provisional</t>
        </is>
      </c>
      <c r="F44" t="inlineStr">
        <is>
          <t>primary</t>
        </is>
      </c>
      <c r="G44" s="11">
        <f>IF(OR(City_Inputs!$M44="",Norm_Stats!$F$2="",Norm_Stats!$G$2="",Norm_Stats!$G$2=Norm_Stats!$F$2),"",MAX(0,MIN(100,100*(MIN(MAX(City_Inputs!$M44,Norm_Stats!$F$2),Norm_Stats!$G$2)-Norm_Stats!$F$2)/(Norm_Stats!$G$2-Norm_Stats!$F$2))))</f>
        <v/>
      </c>
      <c r="H44" s="14">
        <f>IF(G44="","",1)</f>
        <v/>
      </c>
      <c r="I44" s="11">
        <f>IF(OR(City_Inputs!$N44="",Norm_Stats!$F$3="",Norm_Stats!$G$3="",Norm_Stats!$G$3=Norm_Stats!$F$3),"",MAX(0,MIN(100,100*(Norm_Stats!$G$3-MIN(MAX(City_Inputs!$N44,Norm_Stats!$F$3),Norm_Stats!$G$3))/(Norm_Stats!$G$3-Norm_Stats!$F$3))))</f>
        <v/>
      </c>
      <c r="J44" s="14">
        <f>IF(I44="","",1)</f>
        <v/>
      </c>
      <c r="K44" s="11">
        <f>IF(OR(City_Inputs!$P44="",Norm_Stats!$F$4="",Norm_Stats!$G$4="",Norm_Stats!$G$4=Norm_Stats!$F$4),"",MAX(0,MIN(100,100*(Norm_Stats!$G$4-MIN(MAX(City_Inputs!$P44,Norm_Stats!$F$4),Norm_Stats!$G$4))/(Norm_Stats!$G$4-Norm_Stats!$F$4))))</f>
        <v/>
      </c>
      <c r="L44" s="14">
        <f>IF(K44="","",1)</f>
        <v/>
      </c>
      <c r="M44" s="11">
        <f>IF(OR(City_Inputs!$Q44="",Norm_Stats!$F$5="",Norm_Stats!$G$5="",Norm_Stats!$G$5=Norm_Stats!$F$5),"",MAX(0,MIN(100,100*(Norm_Stats!$G$5-MIN(MAX(City_Inputs!$Q44,Norm_Stats!$F$5),Norm_Stats!$G$5))/(Norm_Stats!$G$5-Norm_Stats!$F$5))))</f>
        <v/>
      </c>
      <c r="N44" s="14">
        <f>IF(M44="","",1)</f>
        <v/>
      </c>
      <c r="O44" s="11">
        <f>IF(OR(City_Inputs!$R44="",Norm_Stats!$F$6="",Norm_Stats!$G$6="",Norm_Stats!$G$6=Norm_Stats!$F$6),"",MAX(0,MIN(100,100*(Norm_Stats!$G$6-MIN(MAX(City_Inputs!$R44,Norm_Stats!$F$6),Norm_Stats!$G$6))/(Norm_Stats!$G$6-Norm_Stats!$F$6))))</f>
        <v/>
      </c>
      <c r="P44" s="14">
        <f>IF(O44="","",1)</f>
        <v/>
      </c>
      <c r="Q44" s="15">
        <f>IF((IF(G44="",0,9)+IF(I44="",0,5)+IF(K44="",0,4)+IF(M44="",0,4)+IF(O44="",0,5))=0,"",(IF(G44="",0,G44*9)+IF(I44="",0,I44*5)+IF(K44="",0,K44*4)+IF(M44="",0,M44*4)+IF(O44="",0,O44*5))/(IF(G44="",0,9)+IF(I44="",0,5)+IF(K44="",0,4)+IF(M44="",0,4)+IF(O44="",0,5)))</f>
        <v/>
      </c>
      <c r="R44" s="14">
        <f>IF((IF(H44="",0,9)+IF(J44="",0,5)+IF(L44="",0,4)+IF(N44="",0,4)+IF(P44="",0,5))=0,"",(IF(H44="",0,H44*9)+IF(J44="",0,J44*5)+IF(L44="",0,L44*4)+IF(N44="",0,N44*4)+IF(P44="",0,P44*5))/27)</f>
        <v/>
      </c>
      <c r="S44" s="11">
        <f>IF(OR(City_Inputs!$S44="",Norm_Stats!$F$7="",Norm_Stats!$G$7="",Norm_Stats!$G$7=Norm_Stats!$F$7),"",MAX(0,MIN(100,100*(Norm_Stats!$G$7-MIN(MAX(City_Inputs!$S44,Norm_Stats!$F$7),Norm_Stats!$G$7))/(Norm_Stats!$G$7-Norm_Stats!$F$7))))</f>
        <v/>
      </c>
      <c r="T44" s="14">
        <f>IF(S44="","",1)</f>
        <v/>
      </c>
      <c r="U44" s="11">
        <f>IF(OR(City_Inputs!$T44="",Norm_Stats!$F$8="",Norm_Stats!$G$8="",Norm_Stats!$G$8=Norm_Stats!$F$8),"",MAX(0,MIN(100,100*(MIN(MAX(City_Inputs!$T44,Norm_Stats!$F$8),Norm_Stats!$G$8)-Norm_Stats!$F$8)/(Norm_Stats!$G$8-Norm_Stats!$F$8))))</f>
        <v/>
      </c>
      <c r="V44" s="14">
        <f>IF(U44="","",1)</f>
        <v/>
      </c>
      <c r="W44" s="11">
        <f>IF(OR(City_Inputs!$U44="",Norm_Stats!$F$9="",Norm_Stats!$G$9="",Norm_Stats!$G$9=Norm_Stats!$F$9),"",MAX(0,MIN(100,100*(Norm_Stats!$G$9-MIN(MAX(City_Inputs!$U44,Norm_Stats!$F$9),Norm_Stats!$G$9))/(Norm_Stats!$G$9-Norm_Stats!$F$9))))</f>
        <v/>
      </c>
      <c r="X44" s="14">
        <f>IF(W44="","",1)</f>
        <v/>
      </c>
      <c r="Y44" s="11">
        <f>IF(OR(City_Inputs!$V44="",Norm_Stats!$F$10="",Norm_Stats!$G$10="",Norm_Stats!$G$10=Norm_Stats!$F$10),"",MAX(0,MIN(100,100*(MIN(MAX(City_Inputs!$V44,Norm_Stats!$F$10),Norm_Stats!$G$10)-Norm_Stats!$F$10)/(Norm_Stats!$G$10-Norm_Stats!$F$10))))</f>
        <v/>
      </c>
      <c r="Z44" s="14">
        <f>IF(Y44="","",1)</f>
        <v/>
      </c>
      <c r="AA44" s="11">
        <f>IF(OR(City_Inputs!$W44="",Norm_Stats!$F$11="",Norm_Stats!$G$11="",Norm_Stats!$G$11=Norm_Stats!$F$11),"",MAX(0,MIN(100,100*(MIN(MAX(City_Inputs!$W44,Norm_Stats!$F$11),Norm_Stats!$G$11)-Norm_Stats!$F$11)/(Norm_Stats!$G$11-Norm_Stats!$F$11))))</f>
        <v/>
      </c>
      <c r="AB44" s="14">
        <f>IF(AA44="","",1)</f>
        <v/>
      </c>
      <c r="AC44" s="11">
        <f>IF(OR(City_Inputs!$X44="",Norm_Stats!$F$12="",Norm_Stats!$G$12="",Norm_Stats!$G$12=Norm_Stats!$F$12),"",MAX(0,MIN(100,100*(MIN(MAX(City_Inputs!$X44,Norm_Stats!$F$12),Norm_Stats!$G$12)-Norm_Stats!$F$12)/(Norm_Stats!$G$12-Norm_Stats!$F$12))))</f>
        <v/>
      </c>
      <c r="AD44" s="11">
        <f>IF(AC44="","",1)</f>
        <v/>
      </c>
      <c r="AE44" s="15">
        <f>IF((IF(S44="",0,5)+IF(U44="",0,5)+IF(W44="",0,4)+IF(Y44="",0,4)+IF(AA44="",0,4)+IF(AC44="",0,5))=0,"",(IF(S44="",0,S44*5)+IF(U44="",0,U44*5)+IF(W44="",0,W44*4)+IF(Y44="",0,Y44*4)+IF(AA44="",0,AA44*4)+IF(AC44="",0,AC44*5))/(IF(S44="",0,5)+IF(U44="",0,5)+IF(W44="",0,4)+IF(Y44="",0,4)+IF(AA44="",0,4)+IF(AC44="",0,5)))</f>
        <v/>
      </c>
      <c r="AF44" s="14">
        <f>IF((IF(T44="",0,5)+IF(V44="",0,5)+IF(X44="",0,4)+IF(Z44="",0,4)+IF(AB44="",0,4)+IF(AD44="",0,5))=0,"",(IF(T44="",0,T44*5)+IF(V44="",0,V44*5)+IF(X44="",0,X44*4)+IF(Z44="",0,Z44*4)+IF(AB44="",0,AB44*4)+IF(AD44="",0,AD44*5))/27)</f>
        <v/>
      </c>
      <c r="AG44" s="11">
        <f>IF(OR(City_Inputs!$Y44="",Norm_Stats!$F$13="",Norm_Stats!$G$13="",Norm_Stats!$G$13=Norm_Stats!$F$13),"",MAX(0,MIN(100,100*(MIN(MAX(City_Inputs!$Y44,Norm_Stats!$F$13),Norm_Stats!$G$13)-Norm_Stats!$F$13)/(Norm_Stats!$G$13-Norm_Stats!$F$13))))</f>
        <v/>
      </c>
      <c r="AH44" s="14">
        <f>IF(AG44="","",1)</f>
        <v/>
      </c>
      <c r="AI44" s="11">
        <f>IF(OR(City_Inputs!$Z44="",Norm_Stats!$F$14="",Norm_Stats!$G$14="",Norm_Stats!$G$14=Norm_Stats!$F$14),"",MAX(0,MIN(100,100*(MIN(MAX(City_Inputs!$Z44,Norm_Stats!$F$14),Norm_Stats!$G$14)-Norm_Stats!$F$14)/(Norm_Stats!$G$14-Norm_Stats!$F$14))))</f>
        <v/>
      </c>
      <c r="AJ44" s="14">
        <f>IF(AI44="","",1)</f>
        <v/>
      </c>
      <c r="AK44" s="11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(IF(OR(City_Inputs!$AA44="",Norm_Stats!$F$15="",Norm_Stats!$G$15="",Norm_Stats!$G$15=Norm_Stats!$F$15),"",MAX(0,MIN(100,100*(MIN(MAX(City_Inputs!$AA44,Norm_Stats!$F$15),Norm_Stats!$G$15)-Norm_Stats!$F$15)/(Norm_Stats!$G$15-Norm_Stats!$F$15)))))*0.7)+IF((IF(OR(City_Inputs!$AL44="",Norm_Stats!$F$16="",Norm_Stats!$G$16="",Norm_Stats!$G$16=Norm_Stats!$F$16),"",MAX(0,MIN(100,100*(Norm_Stats!$G$16-MIN(MAX(City_Inputs!$AL44,Norm_Stats!$F$16),Norm_Stats!$G$16))/(Norm_Stats!$G$16-Norm_Stats!$F$16)))))="",0,(IF(OR(City_Inputs!$AL44="",Norm_Stats!$F$16="",Norm_Stats!$G$16="",Norm_Stats!$G$16=Norm_Stats!$F$16),"",MAX(0,MIN(100,100*(Norm_Stats!$G$16-MIN(MAX(City_Inputs!$AL44,Norm_Stats!$F$16),Norm_Stats!$G$16))/(Norm_Stats!$G$16-Norm_Stats!$F$16)))))*0.3))/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L44" s="14">
        <f>IF(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=0,"",(IF((IF(OR(City_Inputs!$AA44="",Norm_Stats!$F$15="",Norm_Stats!$G$15="",Norm_Stats!$G$15=Norm_Stats!$F$15),"",MAX(0,MIN(100,100*(MIN(MAX(City_Inputs!$AA44,Norm_Stats!$F$15),Norm_Stats!$G$15)-Norm_Stats!$F$15)/(Norm_Stats!$G$15-Norm_Stats!$F$15)))))="",0,0.7)+IF((IF(OR(City_Inputs!$AL44="",Norm_Stats!$F$16="",Norm_Stats!$G$16="",Norm_Stats!$G$16=Norm_Stats!$F$16),"",MAX(0,MIN(100,100*(Norm_Stats!$G$16-MIN(MAX(City_Inputs!$AL44,Norm_Stats!$F$16),Norm_Stats!$G$16))/(Norm_Stats!$G$16-Norm_Stats!$F$16)))))="",0,0.3)))</f>
        <v/>
      </c>
      <c r="AM44" s="15">
        <f>IF((IF(AG44="",0,8)+IF(AI44="",0,6)+IF(AK44="",0,4))=0,"",(IF(AG44="",0,AG44*8)+IF(AI44="",0,AI44*6)+IF(AK44="",0,AK44*4))/(IF(AG44="",0,8)+IF(AI44="",0,6)+IF(AK44="",0,4)))</f>
        <v/>
      </c>
      <c r="AN44" s="14">
        <f>IF((IF(AH44="",0,8)+IF(AJ44="",0,6)+IF(AL44="",0,4))=0,"",(IF(AH44="",0,AH44*8)+IF(AJ44="",0,AJ44*6)+IF(AL44="",0,AL44*4))/18)</f>
        <v/>
      </c>
      <c r="AO44" s="11">
        <f>IF(OR(City_Inputs!$AB44="",Norm_Stats!$F$17="",Norm_Stats!$G$17="",Norm_Stats!$G$17=Norm_Stats!$F$17),"",MAX(0,MIN(100,100*(MIN(MAX(City_Inputs!$AB44,Norm_Stats!$F$17),Norm_Stats!$G$17)-Norm_Stats!$F$17)/(Norm_Stats!$G$17-Norm_Stats!$F$17))))</f>
        <v/>
      </c>
      <c r="AP44" s="14">
        <f>IF(AO44="","",1)</f>
        <v/>
      </c>
      <c r="AQ44" s="11">
        <f>IF(OR(City_Inputs!$AC44="",Norm_Stats!$F$18="",Norm_Stats!$G$18="",Norm_Stats!$G$18=Norm_Stats!$F$18),"",MAX(0,MIN(100,100*(MIN(MAX(City_Inputs!$AC44,Norm_Stats!$F$18),Norm_Stats!$G$18)-Norm_Stats!$F$18)/(Norm_Stats!$G$18-Norm_Stats!$F$18))))</f>
        <v/>
      </c>
      <c r="AR44" s="14">
        <f>IF(AQ44="","",1)</f>
        <v/>
      </c>
      <c r="AS44" s="11">
        <f>IF(OR(City_Inputs!$AD44="",Norm_Stats!$F$19="",Norm_Stats!$G$19="",Norm_Stats!$G$19=Norm_Stats!$F$19),"",MAX(0,MIN(100,100*(MIN(MAX(City_Inputs!$AD44,Norm_Stats!$F$19),Norm_Stats!$G$19)-Norm_Stats!$F$19)/(Norm_Stats!$G$19-Norm_Stats!$F$19))))</f>
        <v/>
      </c>
      <c r="AT44" s="14">
        <f>IF(AS44="","",1)</f>
        <v/>
      </c>
      <c r="AU44" s="11">
        <f>IF(OR(City_Inputs!$BJ44="",Norm_Stats!$F$26="",Norm_Stats!$G$26="",Norm_Stats!$G$26=Norm_Stats!$F$26),"",MAX(0,MIN(100,100*(MIN(MAX(City_Inputs!$BJ44,Norm_Stats!$F$26),Norm_Stats!$G$26)-Norm_Stats!$F$26)/(Norm_Stats!$G$26-Norm_Stats!$F$26))))</f>
        <v/>
      </c>
      <c r="AV44" s="11">
        <f>IF(AU44="","",1)</f>
        <v/>
      </c>
      <c r="AW44" s="15">
        <f>IF((IF(AO44="",0,5)+IF(AQ44="",0,5)+IF(AS44="",0,5)+IF(AU44="",0,4))=0,"",(IF(AO44="",0,AO44*5)+IF(AQ44="",0,AQ44*5)+IF(AS44="",0,AS44*5)+IF(AU44="",0,AU44*4))/(IF(AO44="",0,5)+IF(AQ44="",0,5)+IF(AS44="",0,5)+IF(AU44="",0,4)))</f>
        <v/>
      </c>
      <c r="AX44" s="14">
        <f>IF((IF(AP44="",0,5)+IF(AR44="",0,5)+IF(AT44="",0,5)+IF(AV44="",0,4))=0,"",(IF(AP44="",0,AP44*5)+IF(AR44="",0,AR44*5)+IF(AT44="",0,AT44*5)+IF(AV44="",0,AV44*4))/19)</f>
        <v/>
      </c>
      <c r="AY44" s="11">
        <f>IF(OR(City_Inputs!$AE44="",Norm_Stats!$F$20="",Norm_Stats!$G$20="",Norm_Stats!$G$20=Norm_Stats!$F$20),"",MAX(0,MIN(100,100*(MIN(MAX(City_Inputs!$AE44,Norm_Stats!$F$20),Norm_Stats!$G$20)-Norm_Stats!$F$20)/(Norm_Stats!$G$20-Norm_Stats!$F$20))))</f>
        <v/>
      </c>
      <c r="AZ44" s="14">
        <f>IF(AY44="","",1)</f>
        <v/>
      </c>
      <c r="BA44" s="11">
        <f>IF(OR(City_Inputs!$AF44="",Norm_Stats!$F$21="",Norm_Stats!$G$21="",Norm_Stats!$G$21=Norm_Stats!$F$21),"",MAX(0,MIN(100,100*(MIN(MAX(City_Inputs!$AF44,Norm_Stats!$F$21),Norm_Stats!$G$21)-Norm_Stats!$F$21)/(Norm_Stats!$G$21-Norm_Stats!$F$21))))</f>
        <v/>
      </c>
      <c r="BB44" s="14">
        <f>IF(BA44="","",1)</f>
        <v/>
      </c>
      <c r="BC44" s="11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(IF(OR(City_Inputs!$AG44="",Norm_Stats!$F$22="",Norm_Stats!$G$22="",Norm_Stats!$G$22=Norm_Stats!$F$22),"",MAX(0,MIN(100,100*(MIN(MAX(City_Inputs!$AG44,Norm_Stats!$F$22),Norm_Stats!$G$22)-Norm_Stats!$F$22)/(Norm_Stats!$G$22-Norm_Stats!$F$22)))))*0.5)+IF((IF(OR(City_Inputs!$AJ44="",Norm_Stats!$F$23="",Norm_Stats!$G$23="",Norm_Stats!$G$23=Norm_Stats!$F$23),"",MAX(0,MIN(100,100*(MIN(MAX(City_Inputs!$AJ44,Norm_Stats!$F$23),Norm_Stats!$G$23)-Norm_Stats!$F$23)/(Norm_Stats!$G$23-Norm_Stats!$F$23)))))="",0,(IF(OR(City_Inputs!$AJ44="",Norm_Stats!$F$23="",Norm_Stats!$G$23="",Norm_Stats!$G$23=Norm_Stats!$F$23),"",MAX(0,MIN(100,100*(MIN(MAX(City_Inputs!$AJ44,Norm_Stats!$F$23),Norm_Stats!$G$23)-Norm_Stats!$F$23)/(Norm_Stats!$G$23-Norm_Stats!$F$23)))))*0.3)+IF((IF(OR(City_Inputs!$AK44="",Norm_Stats!$F$24="",Norm_Stats!$G$24="",Norm_Stats!$G$24=Norm_Stats!$F$24),"",MAX(0,MIN(100,100*(MIN(MAX(City_Inputs!$AK44,Norm_Stats!$F$24),Norm_Stats!$G$24)-Norm_Stats!$F$24)/(Norm_Stats!$G$24-Norm_Stats!$F$24)))))="",0,(IF(OR(City_Inputs!$AK44="",Norm_Stats!$F$24="",Norm_Stats!$G$24="",Norm_Stats!$G$24=Norm_Stats!$F$24),"",MAX(0,MIN(100,100*(MIN(MAX(City_Inputs!$AK44,Norm_Stats!$F$24),Norm_Stats!$G$24)-Norm_Stats!$F$24)/(Norm_Stats!$G$24-Norm_Stats!$F$24)))))*0.2))/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D44" s="14">
        <f>IF(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=0,"",(IF((IF(OR(City_Inputs!$AG44="",Norm_Stats!$F$22="",Norm_Stats!$G$22="",Norm_Stats!$G$22=Norm_Stats!$F$22),"",MAX(0,MIN(100,100*(MIN(MAX(City_Inputs!$AG44,Norm_Stats!$F$22),Norm_Stats!$G$22)-Norm_Stats!$F$22)/(Norm_Stats!$G$22-Norm_Stats!$F$22)))))="",0,0.5)+IF((IF(OR(City_Inputs!$AJ44="",Norm_Stats!$F$23="",Norm_Stats!$G$23="",Norm_Stats!$G$23=Norm_Stats!$F$23),"",MAX(0,MIN(100,100*(MIN(MAX(City_Inputs!$AJ44,Norm_Stats!$F$23),Norm_Stats!$G$23)-Norm_Stats!$F$23)/(Norm_Stats!$G$23-Norm_Stats!$F$23)))))="",0,0.3)+IF((IF(OR(City_Inputs!$AK44="",Norm_Stats!$F$24="",Norm_Stats!$G$24="",Norm_Stats!$G$24=Norm_Stats!$F$24),"",MAX(0,MIN(100,100*(MIN(MAX(City_Inputs!$AK44,Norm_Stats!$F$24),Norm_Stats!$G$24)-Norm_Stats!$F$24)/(Norm_Stats!$G$24-Norm_Stats!$F$24)))))="",0,0.2)))</f>
        <v/>
      </c>
      <c r="BE44" s="11">
        <f>IF(OR(City_Inputs!$AH44="",Norm_Stats!$F$25="",Norm_Stats!$G$25="",Norm_Stats!$G$25=Norm_Stats!$F$25),"",MAX(0,MIN(100,100*(Norm_Stats!$G$25-MIN(MAX(City_Inputs!$AH44,Norm_Stats!$F$25),Norm_Stats!$G$25))/(Norm_Stats!$G$25-Norm_Stats!$F$25))))</f>
        <v/>
      </c>
      <c r="BF44" s="14">
        <f>IF(BE44="","",1)</f>
        <v/>
      </c>
      <c r="BG44" s="15">
        <f>IF((IF(AY44="",0,6)+IF(BA44="",0,5)+IF(BC44="",0,5)+IF(BE44="",0,4))=0,"",(IF(AY44="",0,AY44*6)+IF(BA44="",0,BA44*5)+IF(BC44="",0,BC44*5)+IF(BE44="",0,BE44*4))/(IF(AY44="",0,6)+IF(BA44="",0,5)+IF(BC44="",0,5)+IF(BE44="",0,4)))</f>
        <v/>
      </c>
      <c r="BH44" s="14">
        <f>IF((IF(AZ44="",0,6)+IF(BB44="",0,5)+IF(BD44="",0,5)+IF(BF44="",0,4))=0,"",(IF(AZ44="",0,AZ44*6)+IF(BB44="",0,BB44*5)+IF(BD44="",0,BD44*5)+IF(BF44="",0,BF44*4))/20)</f>
        <v/>
      </c>
      <c r="BI44" s="14">
        <f>IF(AND(R44="",AF44="",AN44="",AX44="",BH44=""),"",((R44*25)+(AF44*22)+(AN44*18)+(AX44*15)+(BH44*20))/100)</f>
        <v/>
      </c>
      <c r="BJ44" s="11">
        <f>IF(BI44="","",IF(BI44&gt;=0.75,"A",IF(BI44&gt;=0.5,"B",IF(BI44&gt;=0.35,"C","Watchlist"))))</f>
        <v/>
      </c>
      <c r="BK44" s="11">
        <f>IF(OR(BI44="",BI44&lt;0.5,R44="",R44&lt;0.35,AF44="",AF44&lt;0.35,AN44="",AN44&lt;0.35,AX44="",AX44&lt;0.35,BH44="",BH44&lt;0.35),"Watchlist","Ranked")</f>
        <v/>
      </c>
      <c r="BL44" s="15">
        <f>IF(AND(Q44="",AE44="",AM44="",AW44="",BG44=""),"",(IF(Q44="",0,Q44*25)+IF(AE44="",0,AE44*22)+IF(AM44="",0,AM44*18)+IF(AW44="",0,AW44*15)+IF(BG44="",0,BG44*20))/(IF(Q44="",0,25)+IF(AE44="",0,22)+IF(AM44="",0,18)+IF(AW44="",0,15)+IF(BG44="",0,20)))</f>
        <v/>
      </c>
      <c r="BM44" s="11">
        <f>IF(BK44="Ranked",1+COUNTIFS($BK$2:$BK$158,"Ranked",$BL$2:$BL$158,"&gt;"&amp;BL44),"")</f>
        <v/>
      </c>
      <c r="BN44" s="11">
        <f>City_Inputs!$AI44</f>
        <v/>
      </c>
    </row>
    <row r="45">
      <c r="A45" t="inlineStr">
        <is>
          <t>at-graz</t>
        </is>
      </c>
      <c r="B45" t="inlineStr">
        <is>
          <t>Graz</t>
        </is>
      </c>
      <c r="C45" t="inlineStr">
        <is>
          <t>Austria</t>
        </is>
      </c>
      <c r="D45" t="inlineStr">
        <is>
          <t>Western, Northern, and Southern Europe</t>
        </is>
      </c>
      <c r="E45" t="inlineStr">
        <is>
          <t>locked</t>
        </is>
      </c>
      <c r="F45" t="inlineStr">
        <is>
          <t>secondary</t>
        </is>
      </c>
      <c r="G45" s="11">
        <f>IF(OR(City_Inputs!$M45="",Norm_Stats!$F$2="",Norm_Stats!$G$2="",Norm_Stats!$G$2=Norm_Stats!$F$2),"",MAX(0,MIN(100,100*(MIN(MAX(City_Inputs!$M45,Norm_Stats!$F$2),Norm_Stats!$G$2)-Norm_Stats!$F$2)/(Norm_Stats!$G$2-Norm_Stats!$F$2))))</f>
        <v/>
      </c>
      <c r="H45" s="14">
        <f>IF(G45="","",1)</f>
        <v/>
      </c>
      <c r="I45" s="11">
        <f>IF(OR(City_Inputs!$N45="",Norm_Stats!$F$3="",Norm_Stats!$G$3="",Norm_Stats!$G$3=Norm_Stats!$F$3),"",MAX(0,MIN(100,100*(Norm_Stats!$G$3-MIN(MAX(City_Inputs!$N45,Norm_Stats!$F$3),Norm_Stats!$G$3))/(Norm_Stats!$G$3-Norm_Stats!$F$3))))</f>
        <v/>
      </c>
      <c r="J45" s="14">
        <f>IF(I45="","",1)</f>
        <v/>
      </c>
      <c r="K45" s="11">
        <f>IF(OR(City_Inputs!$P45="",Norm_Stats!$F$4="",Norm_Stats!$G$4="",Norm_Stats!$G$4=Norm_Stats!$F$4),"",MAX(0,MIN(100,100*(Norm_Stats!$G$4-MIN(MAX(City_Inputs!$P45,Norm_Stats!$F$4),Norm_Stats!$G$4))/(Norm_Stats!$G$4-Norm_Stats!$F$4))))</f>
        <v/>
      </c>
      <c r="L45" s="14">
        <f>IF(K45="","",1)</f>
        <v/>
      </c>
      <c r="M45" s="11">
        <f>IF(OR(City_Inputs!$Q45="",Norm_Stats!$F$5="",Norm_Stats!$G$5="",Norm_Stats!$G$5=Norm_Stats!$F$5),"",MAX(0,MIN(100,100*(Norm_Stats!$G$5-MIN(MAX(City_Inputs!$Q45,Norm_Stats!$F$5),Norm_Stats!$G$5))/(Norm_Stats!$G$5-Norm_Stats!$F$5))))</f>
        <v/>
      </c>
      <c r="N45" s="14">
        <f>IF(M45="","",1)</f>
        <v/>
      </c>
      <c r="O45" s="11">
        <f>IF(OR(City_Inputs!$R45="",Norm_Stats!$F$6="",Norm_Stats!$G$6="",Norm_Stats!$G$6=Norm_Stats!$F$6),"",MAX(0,MIN(100,100*(Norm_Stats!$G$6-MIN(MAX(City_Inputs!$R45,Norm_Stats!$F$6),Norm_Stats!$G$6))/(Norm_Stats!$G$6-Norm_Stats!$F$6))))</f>
        <v/>
      </c>
      <c r="P45" s="14">
        <f>IF(O45="","",1)</f>
        <v/>
      </c>
      <c r="Q45" s="15">
        <f>IF((IF(G45="",0,9)+IF(I45="",0,5)+IF(K45="",0,4)+IF(M45="",0,4)+IF(O45="",0,5))=0,"",(IF(G45="",0,G45*9)+IF(I45="",0,I45*5)+IF(K45="",0,K45*4)+IF(M45="",0,M45*4)+IF(O45="",0,O45*5))/(IF(G45="",0,9)+IF(I45="",0,5)+IF(K45="",0,4)+IF(M45="",0,4)+IF(O45="",0,5)))</f>
        <v/>
      </c>
      <c r="R45" s="14">
        <f>IF((IF(H45="",0,9)+IF(J45="",0,5)+IF(L45="",0,4)+IF(N45="",0,4)+IF(P45="",0,5))=0,"",(IF(H45="",0,H45*9)+IF(J45="",0,J45*5)+IF(L45="",0,L45*4)+IF(N45="",0,N45*4)+IF(P45="",0,P45*5))/27)</f>
        <v/>
      </c>
      <c r="S45" s="11">
        <f>IF(OR(City_Inputs!$S45="",Norm_Stats!$F$7="",Norm_Stats!$G$7="",Norm_Stats!$G$7=Norm_Stats!$F$7),"",MAX(0,MIN(100,100*(Norm_Stats!$G$7-MIN(MAX(City_Inputs!$S45,Norm_Stats!$F$7),Norm_Stats!$G$7))/(Norm_Stats!$G$7-Norm_Stats!$F$7))))</f>
        <v/>
      </c>
      <c r="T45" s="14">
        <f>IF(S45="","",1)</f>
        <v/>
      </c>
      <c r="U45" s="11">
        <f>IF(OR(City_Inputs!$T45="",Norm_Stats!$F$8="",Norm_Stats!$G$8="",Norm_Stats!$G$8=Norm_Stats!$F$8),"",MAX(0,MIN(100,100*(MIN(MAX(City_Inputs!$T45,Norm_Stats!$F$8),Norm_Stats!$G$8)-Norm_Stats!$F$8)/(Norm_Stats!$G$8-Norm_Stats!$F$8))))</f>
        <v/>
      </c>
      <c r="V45" s="14">
        <f>IF(U45="","",1)</f>
        <v/>
      </c>
      <c r="W45" s="11">
        <f>IF(OR(City_Inputs!$U45="",Norm_Stats!$F$9="",Norm_Stats!$G$9="",Norm_Stats!$G$9=Norm_Stats!$F$9),"",MAX(0,MIN(100,100*(Norm_Stats!$G$9-MIN(MAX(City_Inputs!$U45,Norm_Stats!$F$9),Norm_Stats!$G$9))/(Norm_Stats!$G$9-Norm_Stats!$F$9))))</f>
        <v/>
      </c>
      <c r="X45" s="14">
        <f>IF(W45="","",1)</f>
        <v/>
      </c>
      <c r="Y45" s="11">
        <f>IF(OR(City_Inputs!$V45="",Norm_Stats!$F$10="",Norm_Stats!$G$10="",Norm_Stats!$G$10=Norm_Stats!$F$10),"",MAX(0,MIN(100,100*(MIN(MAX(City_Inputs!$V45,Norm_Stats!$F$10),Norm_Stats!$G$10)-Norm_Stats!$F$10)/(Norm_Stats!$G$10-Norm_Stats!$F$10))))</f>
        <v/>
      </c>
      <c r="Z45" s="14">
        <f>IF(Y45="","",1)</f>
        <v/>
      </c>
      <c r="AA45" s="11">
        <f>IF(OR(City_Inputs!$W45="",Norm_Stats!$F$11="",Norm_Stats!$G$11="",Norm_Stats!$G$11=Norm_Stats!$F$11),"",MAX(0,MIN(100,100*(MIN(MAX(City_Inputs!$W45,Norm_Stats!$F$11),Norm_Stats!$G$11)-Norm_Stats!$F$11)/(Norm_Stats!$G$11-Norm_Stats!$F$11))))</f>
        <v/>
      </c>
      <c r="AB45" s="14">
        <f>IF(AA45="","",1)</f>
        <v/>
      </c>
      <c r="AC45" s="11">
        <f>IF(OR(City_Inputs!$X45="",Norm_Stats!$F$12="",Norm_Stats!$G$12="",Norm_Stats!$G$12=Norm_Stats!$F$12),"",MAX(0,MIN(100,100*(MIN(MAX(City_Inputs!$X45,Norm_Stats!$F$12),Norm_Stats!$G$12)-Norm_Stats!$F$12)/(Norm_Stats!$G$12-Norm_Stats!$F$12))))</f>
        <v/>
      </c>
      <c r="AD45" s="11">
        <f>IF(AC45="","",1)</f>
        <v/>
      </c>
      <c r="AE45" s="15">
        <f>IF((IF(S45="",0,5)+IF(U45="",0,5)+IF(W45="",0,4)+IF(Y45="",0,4)+IF(AA45="",0,4)+IF(AC45="",0,5))=0,"",(IF(S45="",0,S45*5)+IF(U45="",0,U45*5)+IF(W45="",0,W45*4)+IF(Y45="",0,Y45*4)+IF(AA45="",0,AA45*4)+IF(AC45="",0,AC45*5))/(IF(S45="",0,5)+IF(U45="",0,5)+IF(W45="",0,4)+IF(Y45="",0,4)+IF(AA45="",0,4)+IF(AC45="",0,5)))</f>
        <v/>
      </c>
      <c r="AF45" s="14">
        <f>IF((IF(T45="",0,5)+IF(V45="",0,5)+IF(X45="",0,4)+IF(Z45="",0,4)+IF(AB45="",0,4)+IF(AD45="",0,5))=0,"",(IF(T45="",0,T45*5)+IF(V45="",0,V45*5)+IF(X45="",0,X45*4)+IF(Z45="",0,Z45*4)+IF(AB45="",0,AB45*4)+IF(AD45="",0,AD45*5))/27)</f>
        <v/>
      </c>
      <c r="AG45" s="11">
        <f>IF(OR(City_Inputs!$Y45="",Norm_Stats!$F$13="",Norm_Stats!$G$13="",Norm_Stats!$G$13=Norm_Stats!$F$13),"",MAX(0,MIN(100,100*(MIN(MAX(City_Inputs!$Y45,Norm_Stats!$F$13),Norm_Stats!$G$13)-Norm_Stats!$F$13)/(Norm_Stats!$G$13-Norm_Stats!$F$13))))</f>
        <v/>
      </c>
      <c r="AH45" s="14">
        <f>IF(AG45="","",1)</f>
        <v/>
      </c>
      <c r="AI45" s="11">
        <f>IF(OR(City_Inputs!$Z45="",Norm_Stats!$F$14="",Norm_Stats!$G$14="",Norm_Stats!$G$14=Norm_Stats!$F$14),"",MAX(0,MIN(100,100*(MIN(MAX(City_Inputs!$Z45,Norm_Stats!$F$14),Norm_Stats!$G$14)-Norm_Stats!$F$14)/(Norm_Stats!$G$14-Norm_Stats!$F$14))))</f>
        <v/>
      </c>
      <c r="AJ45" s="14">
        <f>IF(AI45="","",1)</f>
        <v/>
      </c>
      <c r="AK45" s="11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(IF(OR(City_Inputs!$AA45="",Norm_Stats!$F$15="",Norm_Stats!$G$15="",Norm_Stats!$G$15=Norm_Stats!$F$15),"",MAX(0,MIN(100,100*(MIN(MAX(City_Inputs!$AA45,Norm_Stats!$F$15),Norm_Stats!$G$15)-Norm_Stats!$F$15)/(Norm_Stats!$G$15-Norm_Stats!$F$15)))))*0.7)+IF((IF(OR(City_Inputs!$AL45="",Norm_Stats!$F$16="",Norm_Stats!$G$16="",Norm_Stats!$G$16=Norm_Stats!$F$16),"",MAX(0,MIN(100,100*(Norm_Stats!$G$16-MIN(MAX(City_Inputs!$AL45,Norm_Stats!$F$16),Norm_Stats!$G$16))/(Norm_Stats!$G$16-Norm_Stats!$F$16)))))="",0,(IF(OR(City_Inputs!$AL45="",Norm_Stats!$F$16="",Norm_Stats!$G$16="",Norm_Stats!$G$16=Norm_Stats!$F$16),"",MAX(0,MIN(100,100*(Norm_Stats!$G$16-MIN(MAX(City_Inputs!$AL45,Norm_Stats!$F$16),Norm_Stats!$G$16))/(Norm_Stats!$G$16-Norm_Stats!$F$16)))))*0.3))/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L45" s="14">
        <f>IF(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=0,"",(IF((IF(OR(City_Inputs!$AA45="",Norm_Stats!$F$15="",Norm_Stats!$G$15="",Norm_Stats!$G$15=Norm_Stats!$F$15),"",MAX(0,MIN(100,100*(MIN(MAX(City_Inputs!$AA45,Norm_Stats!$F$15),Norm_Stats!$G$15)-Norm_Stats!$F$15)/(Norm_Stats!$G$15-Norm_Stats!$F$15)))))="",0,0.7)+IF((IF(OR(City_Inputs!$AL45="",Norm_Stats!$F$16="",Norm_Stats!$G$16="",Norm_Stats!$G$16=Norm_Stats!$F$16),"",MAX(0,MIN(100,100*(Norm_Stats!$G$16-MIN(MAX(City_Inputs!$AL45,Norm_Stats!$F$16),Norm_Stats!$G$16))/(Norm_Stats!$G$16-Norm_Stats!$F$16)))))="",0,0.3)))</f>
        <v/>
      </c>
      <c r="AM45" s="15">
        <f>IF((IF(AG45="",0,8)+IF(AI45="",0,6)+IF(AK45="",0,4))=0,"",(IF(AG45="",0,AG45*8)+IF(AI45="",0,AI45*6)+IF(AK45="",0,AK45*4))/(IF(AG45="",0,8)+IF(AI45="",0,6)+IF(AK45="",0,4)))</f>
        <v/>
      </c>
      <c r="AN45" s="14">
        <f>IF((IF(AH45="",0,8)+IF(AJ45="",0,6)+IF(AL45="",0,4))=0,"",(IF(AH45="",0,AH45*8)+IF(AJ45="",0,AJ45*6)+IF(AL45="",0,AL45*4))/18)</f>
        <v/>
      </c>
      <c r="AO45" s="11">
        <f>IF(OR(City_Inputs!$AB45="",Norm_Stats!$F$17="",Norm_Stats!$G$17="",Norm_Stats!$G$17=Norm_Stats!$F$17),"",MAX(0,MIN(100,100*(MIN(MAX(City_Inputs!$AB45,Norm_Stats!$F$17),Norm_Stats!$G$17)-Norm_Stats!$F$17)/(Norm_Stats!$G$17-Norm_Stats!$F$17))))</f>
        <v/>
      </c>
      <c r="AP45" s="14">
        <f>IF(AO45="","",1)</f>
        <v/>
      </c>
      <c r="AQ45" s="11">
        <f>IF(OR(City_Inputs!$AC45="",Norm_Stats!$F$18="",Norm_Stats!$G$18="",Norm_Stats!$G$18=Norm_Stats!$F$18),"",MAX(0,MIN(100,100*(MIN(MAX(City_Inputs!$AC45,Norm_Stats!$F$18),Norm_Stats!$G$18)-Norm_Stats!$F$18)/(Norm_Stats!$G$18-Norm_Stats!$F$18))))</f>
        <v/>
      </c>
      <c r="AR45" s="14">
        <f>IF(AQ45="","",1)</f>
        <v/>
      </c>
      <c r="AS45" s="11">
        <f>IF(OR(City_Inputs!$AD45="",Norm_Stats!$F$19="",Norm_Stats!$G$19="",Norm_Stats!$G$19=Norm_Stats!$F$19),"",MAX(0,MIN(100,100*(MIN(MAX(City_Inputs!$AD45,Norm_Stats!$F$19),Norm_Stats!$G$19)-Norm_Stats!$F$19)/(Norm_Stats!$G$19-Norm_Stats!$F$19))))</f>
        <v/>
      </c>
      <c r="AT45" s="14">
        <f>IF(AS45="","",1)</f>
        <v/>
      </c>
      <c r="AU45" s="11">
        <f>IF(OR(City_Inputs!$BJ45="",Norm_Stats!$F$26="",Norm_Stats!$G$26="",Norm_Stats!$G$26=Norm_Stats!$F$26),"",MAX(0,MIN(100,100*(MIN(MAX(City_Inputs!$BJ45,Norm_Stats!$F$26),Norm_Stats!$G$26)-Norm_Stats!$F$26)/(Norm_Stats!$G$26-Norm_Stats!$F$26))))</f>
        <v/>
      </c>
      <c r="AV45" s="11">
        <f>IF(AU45="","",1)</f>
        <v/>
      </c>
      <c r="AW45" s="15">
        <f>IF((IF(AO45="",0,5)+IF(AQ45="",0,5)+IF(AS45="",0,5)+IF(AU45="",0,4))=0,"",(IF(AO45="",0,AO45*5)+IF(AQ45="",0,AQ45*5)+IF(AS45="",0,AS45*5)+IF(AU45="",0,AU45*4))/(IF(AO45="",0,5)+IF(AQ45="",0,5)+IF(AS45="",0,5)+IF(AU45="",0,4)))</f>
        <v/>
      </c>
      <c r="AX45" s="14">
        <f>IF((IF(AP45="",0,5)+IF(AR45="",0,5)+IF(AT45="",0,5)+IF(AV45="",0,4))=0,"",(IF(AP45="",0,AP45*5)+IF(AR45="",0,AR45*5)+IF(AT45="",0,AT45*5)+IF(AV45="",0,AV45*4))/19)</f>
        <v/>
      </c>
      <c r="AY45" s="11">
        <f>IF(OR(City_Inputs!$AE45="",Norm_Stats!$F$20="",Norm_Stats!$G$20="",Norm_Stats!$G$20=Norm_Stats!$F$20),"",MAX(0,MIN(100,100*(MIN(MAX(City_Inputs!$AE45,Norm_Stats!$F$20),Norm_Stats!$G$20)-Norm_Stats!$F$20)/(Norm_Stats!$G$20-Norm_Stats!$F$20))))</f>
        <v/>
      </c>
      <c r="AZ45" s="14">
        <f>IF(AY45="","",1)</f>
        <v/>
      </c>
      <c r="BA45" s="11">
        <f>IF(OR(City_Inputs!$AF45="",Norm_Stats!$F$21="",Norm_Stats!$G$21="",Norm_Stats!$G$21=Norm_Stats!$F$21),"",MAX(0,MIN(100,100*(MIN(MAX(City_Inputs!$AF45,Norm_Stats!$F$21),Norm_Stats!$G$21)-Norm_Stats!$F$21)/(Norm_Stats!$G$21-Norm_Stats!$F$21))))</f>
        <v/>
      </c>
      <c r="BB45" s="14">
        <f>IF(BA45="","",1)</f>
        <v/>
      </c>
      <c r="BC45" s="11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(IF(OR(City_Inputs!$AG45="",Norm_Stats!$F$22="",Norm_Stats!$G$22="",Norm_Stats!$G$22=Norm_Stats!$F$22),"",MAX(0,MIN(100,100*(MIN(MAX(City_Inputs!$AG45,Norm_Stats!$F$22),Norm_Stats!$G$22)-Norm_Stats!$F$22)/(Norm_Stats!$G$22-Norm_Stats!$F$22)))))*0.5)+IF((IF(OR(City_Inputs!$AJ45="",Norm_Stats!$F$23="",Norm_Stats!$G$23="",Norm_Stats!$G$23=Norm_Stats!$F$23),"",MAX(0,MIN(100,100*(MIN(MAX(City_Inputs!$AJ45,Norm_Stats!$F$23),Norm_Stats!$G$23)-Norm_Stats!$F$23)/(Norm_Stats!$G$23-Norm_Stats!$F$23)))))="",0,(IF(OR(City_Inputs!$AJ45="",Norm_Stats!$F$23="",Norm_Stats!$G$23="",Norm_Stats!$G$23=Norm_Stats!$F$23),"",MAX(0,MIN(100,100*(MIN(MAX(City_Inputs!$AJ45,Norm_Stats!$F$23),Norm_Stats!$G$23)-Norm_Stats!$F$23)/(Norm_Stats!$G$23-Norm_Stats!$F$23)))))*0.3)+IF((IF(OR(City_Inputs!$AK45="",Norm_Stats!$F$24="",Norm_Stats!$G$24="",Norm_Stats!$G$24=Norm_Stats!$F$24),"",MAX(0,MIN(100,100*(MIN(MAX(City_Inputs!$AK45,Norm_Stats!$F$24),Norm_Stats!$G$24)-Norm_Stats!$F$24)/(Norm_Stats!$G$24-Norm_Stats!$F$24)))))="",0,(IF(OR(City_Inputs!$AK45="",Norm_Stats!$F$24="",Norm_Stats!$G$24="",Norm_Stats!$G$24=Norm_Stats!$F$24),"",MAX(0,MIN(100,100*(MIN(MAX(City_Inputs!$AK45,Norm_Stats!$F$24),Norm_Stats!$G$24)-Norm_Stats!$F$24)/(Norm_Stats!$G$24-Norm_Stats!$F$24)))))*0.2))/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D45" s="14">
        <f>IF(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=0,"",(IF((IF(OR(City_Inputs!$AG45="",Norm_Stats!$F$22="",Norm_Stats!$G$22="",Norm_Stats!$G$22=Norm_Stats!$F$22),"",MAX(0,MIN(100,100*(MIN(MAX(City_Inputs!$AG45,Norm_Stats!$F$22),Norm_Stats!$G$22)-Norm_Stats!$F$22)/(Norm_Stats!$G$22-Norm_Stats!$F$22)))))="",0,0.5)+IF((IF(OR(City_Inputs!$AJ45="",Norm_Stats!$F$23="",Norm_Stats!$G$23="",Norm_Stats!$G$23=Norm_Stats!$F$23),"",MAX(0,MIN(100,100*(MIN(MAX(City_Inputs!$AJ45,Norm_Stats!$F$23),Norm_Stats!$G$23)-Norm_Stats!$F$23)/(Norm_Stats!$G$23-Norm_Stats!$F$23)))))="",0,0.3)+IF((IF(OR(City_Inputs!$AK45="",Norm_Stats!$F$24="",Norm_Stats!$G$24="",Norm_Stats!$G$24=Norm_Stats!$F$24),"",MAX(0,MIN(100,100*(MIN(MAX(City_Inputs!$AK45,Norm_Stats!$F$24),Norm_Stats!$G$24)-Norm_Stats!$F$24)/(Norm_Stats!$G$24-Norm_Stats!$F$24)))))="",0,0.2)))</f>
        <v/>
      </c>
      <c r="BE45" s="11">
        <f>IF(OR(City_Inputs!$AH45="",Norm_Stats!$F$25="",Norm_Stats!$G$25="",Norm_Stats!$G$25=Norm_Stats!$F$25),"",MAX(0,MIN(100,100*(Norm_Stats!$G$25-MIN(MAX(City_Inputs!$AH45,Norm_Stats!$F$25),Norm_Stats!$G$25))/(Norm_Stats!$G$25-Norm_Stats!$F$25))))</f>
        <v/>
      </c>
      <c r="BF45" s="14">
        <f>IF(BE45="","",1)</f>
        <v/>
      </c>
      <c r="BG45" s="15">
        <f>IF((IF(AY45="",0,6)+IF(BA45="",0,5)+IF(BC45="",0,5)+IF(BE45="",0,4))=0,"",(IF(AY45="",0,AY45*6)+IF(BA45="",0,BA45*5)+IF(BC45="",0,BC45*5)+IF(BE45="",0,BE45*4))/(IF(AY45="",0,6)+IF(BA45="",0,5)+IF(BC45="",0,5)+IF(BE45="",0,4)))</f>
        <v/>
      </c>
      <c r="BH45" s="14">
        <f>IF((IF(AZ45="",0,6)+IF(BB45="",0,5)+IF(BD45="",0,5)+IF(BF45="",0,4))=0,"",(IF(AZ45="",0,AZ45*6)+IF(BB45="",0,BB45*5)+IF(BD45="",0,BD45*5)+IF(BF45="",0,BF45*4))/20)</f>
        <v/>
      </c>
      <c r="BI45" s="14">
        <f>IF(AND(R45="",AF45="",AN45="",AX45="",BH45=""),"",((R45*25)+(AF45*22)+(AN45*18)+(AX45*15)+(BH45*20))/100)</f>
        <v/>
      </c>
      <c r="BJ45" s="11">
        <f>IF(BI45="","",IF(BI45&gt;=0.75,"A",IF(BI45&gt;=0.5,"B",IF(BI45&gt;=0.35,"C","Watchlist"))))</f>
        <v/>
      </c>
      <c r="BK45" s="11">
        <f>IF(OR(BI45="",BI45&lt;0.5,R45="",R45&lt;0.35,AF45="",AF45&lt;0.35,AN45="",AN45&lt;0.35,AX45="",AX45&lt;0.35,BH45="",BH45&lt;0.35),"Watchlist","Ranked")</f>
        <v/>
      </c>
      <c r="BL45" s="15">
        <f>IF(AND(Q45="",AE45="",AM45="",AW45="",BG45=""),"",(IF(Q45="",0,Q45*25)+IF(AE45="",0,AE45*22)+IF(AM45="",0,AM45*18)+IF(AW45="",0,AW45*15)+IF(BG45="",0,BG45*20))/(IF(Q45="",0,25)+IF(AE45="",0,22)+IF(AM45="",0,18)+IF(AW45="",0,15)+IF(BG45="",0,20)))</f>
        <v/>
      </c>
      <c r="BM45" s="11">
        <f>IF(BK45="Ranked",1+COUNTIFS($BK$2:$BK$158,"Ranked",$BL$2:$BL$158,"&gt;"&amp;BL45),"")</f>
        <v/>
      </c>
      <c r="BN45" s="11">
        <f>City_Inputs!$AI45</f>
        <v/>
      </c>
    </row>
    <row r="46">
      <c r="A46" t="inlineStr">
        <is>
          <t>pt-porto</t>
        </is>
      </c>
      <c r="B46" t="inlineStr">
        <is>
          <t>Porto</t>
        </is>
      </c>
      <c r="C46" t="inlineStr">
        <is>
          <t>Portugal</t>
        </is>
      </c>
      <c r="D46" t="inlineStr">
        <is>
          <t>Western, Northern, and Southern Europe</t>
        </is>
      </c>
      <c r="E46" t="inlineStr">
        <is>
          <t>locked</t>
        </is>
      </c>
      <c r="F46" t="inlineStr">
        <is>
          <t>secondary</t>
        </is>
      </c>
      <c r="G46" s="11">
        <f>IF(OR(City_Inputs!$M46="",Norm_Stats!$F$2="",Norm_Stats!$G$2="",Norm_Stats!$G$2=Norm_Stats!$F$2),"",MAX(0,MIN(100,100*(MIN(MAX(City_Inputs!$M46,Norm_Stats!$F$2),Norm_Stats!$G$2)-Norm_Stats!$F$2)/(Norm_Stats!$G$2-Norm_Stats!$F$2))))</f>
        <v/>
      </c>
      <c r="H46" s="14">
        <f>IF(G46="","",1)</f>
        <v/>
      </c>
      <c r="I46" s="11">
        <f>IF(OR(City_Inputs!$N46="",Norm_Stats!$F$3="",Norm_Stats!$G$3="",Norm_Stats!$G$3=Norm_Stats!$F$3),"",MAX(0,MIN(100,100*(Norm_Stats!$G$3-MIN(MAX(City_Inputs!$N46,Norm_Stats!$F$3),Norm_Stats!$G$3))/(Norm_Stats!$G$3-Norm_Stats!$F$3))))</f>
        <v/>
      </c>
      <c r="J46" s="14">
        <f>IF(I46="","",1)</f>
        <v/>
      </c>
      <c r="K46" s="11">
        <f>IF(OR(City_Inputs!$P46="",Norm_Stats!$F$4="",Norm_Stats!$G$4="",Norm_Stats!$G$4=Norm_Stats!$F$4),"",MAX(0,MIN(100,100*(Norm_Stats!$G$4-MIN(MAX(City_Inputs!$P46,Norm_Stats!$F$4),Norm_Stats!$G$4))/(Norm_Stats!$G$4-Norm_Stats!$F$4))))</f>
        <v/>
      </c>
      <c r="L46" s="14">
        <f>IF(K46="","",1)</f>
        <v/>
      </c>
      <c r="M46" s="11">
        <f>IF(OR(City_Inputs!$Q46="",Norm_Stats!$F$5="",Norm_Stats!$G$5="",Norm_Stats!$G$5=Norm_Stats!$F$5),"",MAX(0,MIN(100,100*(Norm_Stats!$G$5-MIN(MAX(City_Inputs!$Q46,Norm_Stats!$F$5),Norm_Stats!$G$5))/(Norm_Stats!$G$5-Norm_Stats!$F$5))))</f>
        <v/>
      </c>
      <c r="N46" s="14">
        <f>IF(M46="","",1)</f>
        <v/>
      </c>
      <c r="O46" s="11">
        <f>IF(OR(City_Inputs!$R46="",Norm_Stats!$F$6="",Norm_Stats!$G$6="",Norm_Stats!$G$6=Norm_Stats!$F$6),"",MAX(0,MIN(100,100*(Norm_Stats!$G$6-MIN(MAX(City_Inputs!$R46,Norm_Stats!$F$6),Norm_Stats!$G$6))/(Norm_Stats!$G$6-Norm_Stats!$F$6))))</f>
        <v/>
      </c>
      <c r="P46" s="14">
        <f>IF(O46="","",1)</f>
        <v/>
      </c>
      <c r="Q46" s="15">
        <f>IF((IF(G46="",0,9)+IF(I46="",0,5)+IF(K46="",0,4)+IF(M46="",0,4)+IF(O46="",0,5))=0,"",(IF(G46="",0,G46*9)+IF(I46="",0,I46*5)+IF(K46="",0,K46*4)+IF(M46="",0,M46*4)+IF(O46="",0,O46*5))/(IF(G46="",0,9)+IF(I46="",0,5)+IF(K46="",0,4)+IF(M46="",0,4)+IF(O46="",0,5)))</f>
        <v/>
      </c>
      <c r="R46" s="14">
        <f>IF((IF(H46="",0,9)+IF(J46="",0,5)+IF(L46="",0,4)+IF(N46="",0,4)+IF(P46="",0,5))=0,"",(IF(H46="",0,H46*9)+IF(J46="",0,J46*5)+IF(L46="",0,L46*4)+IF(N46="",0,N46*4)+IF(P46="",0,P46*5))/27)</f>
        <v/>
      </c>
      <c r="S46" s="11">
        <f>IF(OR(City_Inputs!$S46="",Norm_Stats!$F$7="",Norm_Stats!$G$7="",Norm_Stats!$G$7=Norm_Stats!$F$7),"",MAX(0,MIN(100,100*(Norm_Stats!$G$7-MIN(MAX(City_Inputs!$S46,Norm_Stats!$F$7),Norm_Stats!$G$7))/(Norm_Stats!$G$7-Norm_Stats!$F$7))))</f>
        <v/>
      </c>
      <c r="T46" s="14">
        <f>IF(S46="","",1)</f>
        <v/>
      </c>
      <c r="U46" s="11">
        <f>IF(OR(City_Inputs!$T46="",Norm_Stats!$F$8="",Norm_Stats!$G$8="",Norm_Stats!$G$8=Norm_Stats!$F$8),"",MAX(0,MIN(100,100*(MIN(MAX(City_Inputs!$T46,Norm_Stats!$F$8),Norm_Stats!$G$8)-Norm_Stats!$F$8)/(Norm_Stats!$G$8-Norm_Stats!$F$8))))</f>
        <v/>
      </c>
      <c r="V46" s="14">
        <f>IF(U46="","",1)</f>
        <v/>
      </c>
      <c r="W46" s="11">
        <f>IF(OR(City_Inputs!$U46="",Norm_Stats!$F$9="",Norm_Stats!$G$9="",Norm_Stats!$G$9=Norm_Stats!$F$9),"",MAX(0,MIN(100,100*(Norm_Stats!$G$9-MIN(MAX(City_Inputs!$U46,Norm_Stats!$F$9),Norm_Stats!$G$9))/(Norm_Stats!$G$9-Norm_Stats!$F$9))))</f>
        <v/>
      </c>
      <c r="X46" s="14">
        <f>IF(W46="","",1)</f>
        <v/>
      </c>
      <c r="Y46" s="11">
        <f>IF(OR(City_Inputs!$V46="",Norm_Stats!$F$10="",Norm_Stats!$G$10="",Norm_Stats!$G$10=Norm_Stats!$F$10),"",MAX(0,MIN(100,100*(MIN(MAX(City_Inputs!$V46,Norm_Stats!$F$10),Norm_Stats!$G$10)-Norm_Stats!$F$10)/(Norm_Stats!$G$10-Norm_Stats!$F$10))))</f>
        <v/>
      </c>
      <c r="Z46" s="14">
        <f>IF(Y46="","",1)</f>
        <v/>
      </c>
      <c r="AA46" s="11">
        <f>IF(OR(City_Inputs!$W46="",Norm_Stats!$F$11="",Norm_Stats!$G$11="",Norm_Stats!$G$11=Norm_Stats!$F$11),"",MAX(0,MIN(100,100*(MIN(MAX(City_Inputs!$W46,Norm_Stats!$F$11),Norm_Stats!$G$11)-Norm_Stats!$F$11)/(Norm_Stats!$G$11-Norm_Stats!$F$11))))</f>
        <v/>
      </c>
      <c r="AB46" s="14">
        <f>IF(AA46="","",1)</f>
        <v/>
      </c>
      <c r="AC46" s="11">
        <f>IF(OR(City_Inputs!$X46="",Norm_Stats!$F$12="",Norm_Stats!$G$12="",Norm_Stats!$G$12=Norm_Stats!$F$12),"",MAX(0,MIN(100,100*(MIN(MAX(City_Inputs!$X46,Norm_Stats!$F$12),Norm_Stats!$G$12)-Norm_Stats!$F$12)/(Norm_Stats!$G$12-Norm_Stats!$F$12))))</f>
        <v/>
      </c>
      <c r="AD46" s="11">
        <f>IF(AC46="","",1)</f>
        <v/>
      </c>
      <c r="AE46" s="15">
        <f>IF((IF(S46="",0,5)+IF(U46="",0,5)+IF(W46="",0,4)+IF(Y46="",0,4)+IF(AA46="",0,4)+IF(AC46="",0,5))=0,"",(IF(S46="",0,S46*5)+IF(U46="",0,U46*5)+IF(W46="",0,W46*4)+IF(Y46="",0,Y46*4)+IF(AA46="",0,AA46*4)+IF(AC46="",0,AC46*5))/(IF(S46="",0,5)+IF(U46="",0,5)+IF(W46="",0,4)+IF(Y46="",0,4)+IF(AA46="",0,4)+IF(AC46="",0,5)))</f>
        <v/>
      </c>
      <c r="AF46" s="14">
        <f>IF((IF(T46="",0,5)+IF(V46="",0,5)+IF(X46="",0,4)+IF(Z46="",0,4)+IF(AB46="",0,4)+IF(AD46="",0,5))=0,"",(IF(T46="",0,T46*5)+IF(V46="",0,V46*5)+IF(X46="",0,X46*4)+IF(Z46="",0,Z46*4)+IF(AB46="",0,AB46*4)+IF(AD46="",0,AD46*5))/27)</f>
        <v/>
      </c>
      <c r="AG46" s="11">
        <f>IF(OR(City_Inputs!$Y46="",Norm_Stats!$F$13="",Norm_Stats!$G$13="",Norm_Stats!$G$13=Norm_Stats!$F$13),"",MAX(0,MIN(100,100*(MIN(MAX(City_Inputs!$Y46,Norm_Stats!$F$13),Norm_Stats!$G$13)-Norm_Stats!$F$13)/(Norm_Stats!$G$13-Norm_Stats!$F$13))))</f>
        <v/>
      </c>
      <c r="AH46" s="14">
        <f>IF(AG46="","",1)</f>
        <v/>
      </c>
      <c r="AI46" s="11">
        <f>IF(OR(City_Inputs!$Z46="",Norm_Stats!$F$14="",Norm_Stats!$G$14="",Norm_Stats!$G$14=Norm_Stats!$F$14),"",MAX(0,MIN(100,100*(MIN(MAX(City_Inputs!$Z46,Norm_Stats!$F$14),Norm_Stats!$G$14)-Norm_Stats!$F$14)/(Norm_Stats!$G$14-Norm_Stats!$F$14))))</f>
        <v/>
      </c>
      <c r="AJ46" s="14">
        <f>IF(AI46="","",1)</f>
        <v/>
      </c>
      <c r="AK46" s="11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(IF(OR(City_Inputs!$AA46="",Norm_Stats!$F$15="",Norm_Stats!$G$15="",Norm_Stats!$G$15=Norm_Stats!$F$15),"",MAX(0,MIN(100,100*(MIN(MAX(City_Inputs!$AA46,Norm_Stats!$F$15),Norm_Stats!$G$15)-Norm_Stats!$F$15)/(Norm_Stats!$G$15-Norm_Stats!$F$15)))))*0.7)+IF((IF(OR(City_Inputs!$AL46="",Norm_Stats!$F$16="",Norm_Stats!$G$16="",Norm_Stats!$G$16=Norm_Stats!$F$16),"",MAX(0,MIN(100,100*(Norm_Stats!$G$16-MIN(MAX(City_Inputs!$AL46,Norm_Stats!$F$16),Norm_Stats!$G$16))/(Norm_Stats!$G$16-Norm_Stats!$F$16)))))="",0,(IF(OR(City_Inputs!$AL46="",Norm_Stats!$F$16="",Norm_Stats!$G$16="",Norm_Stats!$G$16=Norm_Stats!$F$16),"",MAX(0,MIN(100,100*(Norm_Stats!$G$16-MIN(MAX(City_Inputs!$AL46,Norm_Stats!$F$16),Norm_Stats!$G$16))/(Norm_Stats!$G$16-Norm_Stats!$F$16)))))*0.3))/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L46" s="14">
        <f>IF(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=0,"",(IF((IF(OR(City_Inputs!$AA46="",Norm_Stats!$F$15="",Norm_Stats!$G$15="",Norm_Stats!$G$15=Norm_Stats!$F$15),"",MAX(0,MIN(100,100*(MIN(MAX(City_Inputs!$AA46,Norm_Stats!$F$15),Norm_Stats!$G$15)-Norm_Stats!$F$15)/(Norm_Stats!$G$15-Norm_Stats!$F$15)))))="",0,0.7)+IF((IF(OR(City_Inputs!$AL46="",Norm_Stats!$F$16="",Norm_Stats!$G$16="",Norm_Stats!$G$16=Norm_Stats!$F$16),"",MAX(0,MIN(100,100*(Norm_Stats!$G$16-MIN(MAX(City_Inputs!$AL46,Norm_Stats!$F$16),Norm_Stats!$G$16))/(Norm_Stats!$G$16-Norm_Stats!$F$16)))))="",0,0.3)))</f>
        <v/>
      </c>
      <c r="AM46" s="15">
        <f>IF((IF(AG46="",0,8)+IF(AI46="",0,6)+IF(AK46="",0,4))=0,"",(IF(AG46="",0,AG46*8)+IF(AI46="",0,AI46*6)+IF(AK46="",0,AK46*4))/(IF(AG46="",0,8)+IF(AI46="",0,6)+IF(AK46="",0,4)))</f>
        <v/>
      </c>
      <c r="AN46" s="14">
        <f>IF((IF(AH46="",0,8)+IF(AJ46="",0,6)+IF(AL46="",0,4))=0,"",(IF(AH46="",0,AH46*8)+IF(AJ46="",0,AJ46*6)+IF(AL46="",0,AL46*4))/18)</f>
        <v/>
      </c>
      <c r="AO46" s="11">
        <f>IF(OR(City_Inputs!$AB46="",Norm_Stats!$F$17="",Norm_Stats!$G$17="",Norm_Stats!$G$17=Norm_Stats!$F$17),"",MAX(0,MIN(100,100*(MIN(MAX(City_Inputs!$AB46,Norm_Stats!$F$17),Norm_Stats!$G$17)-Norm_Stats!$F$17)/(Norm_Stats!$G$17-Norm_Stats!$F$17))))</f>
        <v/>
      </c>
      <c r="AP46" s="14">
        <f>IF(AO46="","",1)</f>
        <v/>
      </c>
      <c r="AQ46" s="11">
        <f>IF(OR(City_Inputs!$AC46="",Norm_Stats!$F$18="",Norm_Stats!$G$18="",Norm_Stats!$G$18=Norm_Stats!$F$18),"",MAX(0,MIN(100,100*(MIN(MAX(City_Inputs!$AC46,Norm_Stats!$F$18),Norm_Stats!$G$18)-Norm_Stats!$F$18)/(Norm_Stats!$G$18-Norm_Stats!$F$18))))</f>
        <v/>
      </c>
      <c r="AR46" s="14">
        <f>IF(AQ46="","",1)</f>
        <v/>
      </c>
      <c r="AS46" s="11">
        <f>IF(OR(City_Inputs!$AD46="",Norm_Stats!$F$19="",Norm_Stats!$G$19="",Norm_Stats!$G$19=Norm_Stats!$F$19),"",MAX(0,MIN(100,100*(MIN(MAX(City_Inputs!$AD46,Norm_Stats!$F$19),Norm_Stats!$G$19)-Norm_Stats!$F$19)/(Norm_Stats!$G$19-Norm_Stats!$F$19))))</f>
        <v/>
      </c>
      <c r="AT46" s="14">
        <f>IF(AS46="","",1)</f>
        <v/>
      </c>
      <c r="AU46" s="11">
        <f>IF(OR(City_Inputs!$BJ46="",Norm_Stats!$F$26="",Norm_Stats!$G$26="",Norm_Stats!$G$26=Norm_Stats!$F$26),"",MAX(0,MIN(100,100*(MIN(MAX(City_Inputs!$BJ46,Norm_Stats!$F$26),Norm_Stats!$G$26)-Norm_Stats!$F$26)/(Norm_Stats!$G$26-Norm_Stats!$F$26))))</f>
        <v/>
      </c>
      <c r="AV46" s="11">
        <f>IF(AU46="","",1)</f>
        <v/>
      </c>
      <c r="AW46" s="15">
        <f>IF((IF(AO46="",0,5)+IF(AQ46="",0,5)+IF(AS46="",0,5)+IF(AU46="",0,4))=0,"",(IF(AO46="",0,AO46*5)+IF(AQ46="",0,AQ46*5)+IF(AS46="",0,AS46*5)+IF(AU46="",0,AU46*4))/(IF(AO46="",0,5)+IF(AQ46="",0,5)+IF(AS46="",0,5)+IF(AU46="",0,4)))</f>
        <v/>
      </c>
      <c r="AX46" s="14">
        <f>IF((IF(AP46="",0,5)+IF(AR46="",0,5)+IF(AT46="",0,5)+IF(AV46="",0,4))=0,"",(IF(AP46="",0,AP46*5)+IF(AR46="",0,AR46*5)+IF(AT46="",0,AT46*5)+IF(AV46="",0,AV46*4))/19)</f>
        <v/>
      </c>
      <c r="AY46" s="11">
        <f>IF(OR(City_Inputs!$AE46="",Norm_Stats!$F$20="",Norm_Stats!$G$20="",Norm_Stats!$G$20=Norm_Stats!$F$20),"",MAX(0,MIN(100,100*(MIN(MAX(City_Inputs!$AE46,Norm_Stats!$F$20),Norm_Stats!$G$20)-Norm_Stats!$F$20)/(Norm_Stats!$G$20-Norm_Stats!$F$20))))</f>
        <v/>
      </c>
      <c r="AZ46" s="14">
        <f>IF(AY46="","",1)</f>
        <v/>
      </c>
      <c r="BA46" s="11">
        <f>IF(OR(City_Inputs!$AF46="",Norm_Stats!$F$21="",Norm_Stats!$G$21="",Norm_Stats!$G$21=Norm_Stats!$F$21),"",MAX(0,MIN(100,100*(MIN(MAX(City_Inputs!$AF46,Norm_Stats!$F$21),Norm_Stats!$G$21)-Norm_Stats!$F$21)/(Norm_Stats!$G$21-Norm_Stats!$F$21))))</f>
        <v/>
      </c>
      <c r="BB46" s="14">
        <f>IF(BA46="","",1)</f>
        <v/>
      </c>
      <c r="BC46" s="11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(IF(OR(City_Inputs!$AG46="",Norm_Stats!$F$22="",Norm_Stats!$G$22="",Norm_Stats!$G$22=Norm_Stats!$F$22),"",MAX(0,MIN(100,100*(MIN(MAX(City_Inputs!$AG46,Norm_Stats!$F$22),Norm_Stats!$G$22)-Norm_Stats!$F$22)/(Norm_Stats!$G$22-Norm_Stats!$F$22)))))*0.5)+IF((IF(OR(City_Inputs!$AJ46="",Norm_Stats!$F$23="",Norm_Stats!$G$23="",Norm_Stats!$G$23=Norm_Stats!$F$23),"",MAX(0,MIN(100,100*(MIN(MAX(City_Inputs!$AJ46,Norm_Stats!$F$23),Norm_Stats!$G$23)-Norm_Stats!$F$23)/(Norm_Stats!$G$23-Norm_Stats!$F$23)))))="",0,(IF(OR(City_Inputs!$AJ46="",Norm_Stats!$F$23="",Norm_Stats!$G$23="",Norm_Stats!$G$23=Norm_Stats!$F$23),"",MAX(0,MIN(100,100*(MIN(MAX(City_Inputs!$AJ46,Norm_Stats!$F$23),Norm_Stats!$G$23)-Norm_Stats!$F$23)/(Norm_Stats!$G$23-Norm_Stats!$F$23)))))*0.3)+IF((IF(OR(City_Inputs!$AK46="",Norm_Stats!$F$24="",Norm_Stats!$G$24="",Norm_Stats!$G$24=Norm_Stats!$F$24),"",MAX(0,MIN(100,100*(MIN(MAX(City_Inputs!$AK46,Norm_Stats!$F$24),Norm_Stats!$G$24)-Norm_Stats!$F$24)/(Norm_Stats!$G$24-Norm_Stats!$F$24)))))="",0,(IF(OR(City_Inputs!$AK46="",Norm_Stats!$F$24="",Norm_Stats!$G$24="",Norm_Stats!$G$24=Norm_Stats!$F$24),"",MAX(0,MIN(100,100*(MIN(MAX(City_Inputs!$AK46,Norm_Stats!$F$24),Norm_Stats!$G$24)-Norm_Stats!$F$24)/(Norm_Stats!$G$24-Norm_Stats!$F$24)))))*0.2))/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D46" s="14">
        <f>IF(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=0,"",(IF((IF(OR(City_Inputs!$AG46="",Norm_Stats!$F$22="",Norm_Stats!$G$22="",Norm_Stats!$G$22=Norm_Stats!$F$22),"",MAX(0,MIN(100,100*(MIN(MAX(City_Inputs!$AG46,Norm_Stats!$F$22),Norm_Stats!$G$22)-Norm_Stats!$F$22)/(Norm_Stats!$G$22-Norm_Stats!$F$22)))))="",0,0.5)+IF((IF(OR(City_Inputs!$AJ46="",Norm_Stats!$F$23="",Norm_Stats!$G$23="",Norm_Stats!$G$23=Norm_Stats!$F$23),"",MAX(0,MIN(100,100*(MIN(MAX(City_Inputs!$AJ46,Norm_Stats!$F$23),Norm_Stats!$G$23)-Norm_Stats!$F$23)/(Norm_Stats!$G$23-Norm_Stats!$F$23)))))="",0,0.3)+IF((IF(OR(City_Inputs!$AK46="",Norm_Stats!$F$24="",Norm_Stats!$G$24="",Norm_Stats!$G$24=Norm_Stats!$F$24),"",MAX(0,MIN(100,100*(MIN(MAX(City_Inputs!$AK46,Norm_Stats!$F$24),Norm_Stats!$G$24)-Norm_Stats!$F$24)/(Norm_Stats!$G$24-Norm_Stats!$F$24)))))="",0,0.2)))</f>
        <v/>
      </c>
      <c r="BE46" s="11">
        <f>IF(OR(City_Inputs!$AH46="",Norm_Stats!$F$25="",Norm_Stats!$G$25="",Norm_Stats!$G$25=Norm_Stats!$F$25),"",MAX(0,MIN(100,100*(Norm_Stats!$G$25-MIN(MAX(City_Inputs!$AH46,Norm_Stats!$F$25),Norm_Stats!$G$25))/(Norm_Stats!$G$25-Norm_Stats!$F$25))))</f>
        <v/>
      </c>
      <c r="BF46" s="14">
        <f>IF(BE46="","",1)</f>
        <v/>
      </c>
      <c r="BG46" s="15">
        <f>IF((IF(AY46="",0,6)+IF(BA46="",0,5)+IF(BC46="",0,5)+IF(BE46="",0,4))=0,"",(IF(AY46="",0,AY46*6)+IF(BA46="",0,BA46*5)+IF(BC46="",0,BC46*5)+IF(BE46="",0,BE46*4))/(IF(AY46="",0,6)+IF(BA46="",0,5)+IF(BC46="",0,5)+IF(BE46="",0,4)))</f>
        <v/>
      </c>
      <c r="BH46" s="14">
        <f>IF((IF(AZ46="",0,6)+IF(BB46="",0,5)+IF(BD46="",0,5)+IF(BF46="",0,4))=0,"",(IF(AZ46="",0,AZ46*6)+IF(BB46="",0,BB46*5)+IF(BD46="",0,BD46*5)+IF(BF46="",0,BF46*4))/20)</f>
        <v/>
      </c>
      <c r="BI46" s="14">
        <f>IF(AND(R46="",AF46="",AN46="",AX46="",BH46=""),"",((R46*25)+(AF46*22)+(AN46*18)+(AX46*15)+(BH46*20))/100)</f>
        <v/>
      </c>
      <c r="BJ46" s="11">
        <f>IF(BI46="","",IF(BI46&gt;=0.75,"A",IF(BI46&gt;=0.5,"B",IF(BI46&gt;=0.35,"C","Watchlist"))))</f>
        <v/>
      </c>
      <c r="BK46" s="11">
        <f>IF(OR(BI46="",BI46&lt;0.5,R46="",R46&lt;0.35,AF46="",AF46&lt;0.35,AN46="",AN46&lt;0.35,AX46="",AX46&lt;0.35,BH46="",BH46&lt;0.35),"Watchlist","Ranked")</f>
        <v/>
      </c>
      <c r="BL46" s="15">
        <f>IF(AND(Q46="",AE46="",AM46="",AW46="",BG46=""),"",(IF(Q46="",0,Q46*25)+IF(AE46="",0,AE46*22)+IF(AM46="",0,AM46*18)+IF(AW46="",0,AW46*15)+IF(BG46="",0,BG46*20))/(IF(Q46="",0,25)+IF(AE46="",0,22)+IF(AM46="",0,18)+IF(AW46="",0,15)+IF(BG46="",0,20)))</f>
        <v/>
      </c>
      <c r="BM46" s="11">
        <f>IF(BK46="Ranked",1+COUNTIFS($BK$2:$BK$158,"Ranked",$BL$2:$BL$158,"&gt;"&amp;BL46),"")</f>
        <v/>
      </c>
      <c r="BN46" s="11">
        <f>City_Inputs!$AI46</f>
        <v/>
      </c>
    </row>
    <row r="47">
      <c r="A47" t="inlineStr">
        <is>
          <t>pt-braga</t>
        </is>
      </c>
      <c r="B47" t="inlineStr">
        <is>
          <t>Braga</t>
        </is>
      </c>
      <c r="C47" t="inlineStr">
        <is>
          <t>Portugal</t>
        </is>
      </c>
      <c r="D47" t="inlineStr">
        <is>
          <t>Western, Northern, and Southern Europe</t>
        </is>
      </c>
      <c r="E47" t="inlineStr">
        <is>
          <t>locked</t>
        </is>
      </c>
      <c r="F47" t="inlineStr">
        <is>
          <t>secondary</t>
        </is>
      </c>
      <c r="G47" s="11">
        <f>IF(OR(City_Inputs!$M47="",Norm_Stats!$F$2="",Norm_Stats!$G$2="",Norm_Stats!$G$2=Norm_Stats!$F$2),"",MAX(0,MIN(100,100*(MIN(MAX(City_Inputs!$M47,Norm_Stats!$F$2),Norm_Stats!$G$2)-Norm_Stats!$F$2)/(Norm_Stats!$G$2-Norm_Stats!$F$2))))</f>
        <v/>
      </c>
      <c r="H47" s="14">
        <f>IF(G47="","",1)</f>
        <v/>
      </c>
      <c r="I47" s="11">
        <f>IF(OR(City_Inputs!$N47="",Norm_Stats!$F$3="",Norm_Stats!$G$3="",Norm_Stats!$G$3=Norm_Stats!$F$3),"",MAX(0,MIN(100,100*(Norm_Stats!$G$3-MIN(MAX(City_Inputs!$N47,Norm_Stats!$F$3),Norm_Stats!$G$3))/(Norm_Stats!$G$3-Norm_Stats!$F$3))))</f>
        <v/>
      </c>
      <c r="J47" s="14">
        <f>IF(I47="","",1)</f>
        <v/>
      </c>
      <c r="K47" s="11">
        <f>IF(OR(City_Inputs!$P47="",Norm_Stats!$F$4="",Norm_Stats!$G$4="",Norm_Stats!$G$4=Norm_Stats!$F$4),"",MAX(0,MIN(100,100*(Norm_Stats!$G$4-MIN(MAX(City_Inputs!$P47,Norm_Stats!$F$4),Norm_Stats!$G$4))/(Norm_Stats!$G$4-Norm_Stats!$F$4))))</f>
        <v/>
      </c>
      <c r="L47" s="14">
        <f>IF(K47="","",1)</f>
        <v/>
      </c>
      <c r="M47" s="11">
        <f>IF(OR(City_Inputs!$Q47="",Norm_Stats!$F$5="",Norm_Stats!$G$5="",Norm_Stats!$G$5=Norm_Stats!$F$5),"",MAX(0,MIN(100,100*(Norm_Stats!$G$5-MIN(MAX(City_Inputs!$Q47,Norm_Stats!$F$5),Norm_Stats!$G$5))/(Norm_Stats!$G$5-Norm_Stats!$F$5))))</f>
        <v/>
      </c>
      <c r="N47" s="14">
        <f>IF(M47="","",1)</f>
        <v/>
      </c>
      <c r="O47" s="11">
        <f>IF(OR(City_Inputs!$R47="",Norm_Stats!$F$6="",Norm_Stats!$G$6="",Norm_Stats!$G$6=Norm_Stats!$F$6),"",MAX(0,MIN(100,100*(Norm_Stats!$G$6-MIN(MAX(City_Inputs!$R47,Norm_Stats!$F$6),Norm_Stats!$G$6))/(Norm_Stats!$G$6-Norm_Stats!$F$6))))</f>
        <v/>
      </c>
      <c r="P47" s="14">
        <f>IF(O47="","",1)</f>
        <v/>
      </c>
      <c r="Q47" s="15">
        <f>IF((IF(G47="",0,9)+IF(I47="",0,5)+IF(K47="",0,4)+IF(M47="",0,4)+IF(O47="",0,5))=0,"",(IF(G47="",0,G47*9)+IF(I47="",0,I47*5)+IF(K47="",0,K47*4)+IF(M47="",0,M47*4)+IF(O47="",0,O47*5))/(IF(G47="",0,9)+IF(I47="",0,5)+IF(K47="",0,4)+IF(M47="",0,4)+IF(O47="",0,5)))</f>
        <v/>
      </c>
      <c r="R47" s="14">
        <f>IF((IF(H47="",0,9)+IF(J47="",0,5)+IF(L47="",0,4)+IF(N47="",0,4)+IF(P47="",0,5))=0,"",(IF(H47="",0,H47*9)+IF(J47="",0,J47*5)+IF(L47="",0,L47*4)+IF(N47="",0,N47*4)+IF(P47="",0,P47*5))/27)</f>
        <v/>
      </c>
      <c r="S47" s="11">
        <f>IF(OR(City_Inputs!$S47="",Norm_Stats!$F$7="",Norm_Stats!$G$7="",Norm_Stats!$G$7=Norm_Stats!$F$7),"",MAX(0,MIN(100,100*(Norm_Stats!$G$7-MIN(MAX(City_Inputs!$S47,Norm_Stats!$F$7),Norm_Stats!$G$7))/(Norm_Stats!$G$7-Norm_Stats!$F$7))))</f>
        <v/>
      </c>
      <c r="T47" s="14">
        <f>IF(S47="","",1)</f>
        <v/>
      </c>
      <c r="U47" s="11">
        <f>IF(OR(City_Inputs!$T47="",Norm_Stats!$F$8="",Norm_Stats!$G$8="",Norm_Stats!$G$8=Norm_Stats!$F$8),"",MAX(0,MIN(100,100*(MIN(MAX(City_Inputs!$T47,Norm_Stats!$F$8),Norm_Stats!$G$8)-Norm_Stats!$F$8)/(Norm_Stats!$G$8-Norm_Stats!$F$8))))</f>
        <v/>
      </c>
      <c r="V47" s="14">
        <f>IF(U47="","",1)</f>
        <v/>
      </c>
      <c r="W47" s="11">
        <f>IF(OR(City_Inputs!$U47="",Norm_Stats!$F$9="",Norm_Stats!$G$9="",Norm_Stats!$G$9=Norm_Stats!$F$9),"",MAX(0,MIN(100,100*(Norm_Stats!$G$9-MIN(MAX(City_Inputs!$U47,Norm_Stats!$F$9),Norm_Stats!$G$9))/(Norm_Stats!$G$9-Norm_Stats!$F$9))))</f>
        <v/>
      </c>
      <c r="X47" s="14">
        <f>IF(W47="","",1)</f>
        <v/>
      </c>
      <c r="Y47" s="11">
        <f>IF(OR(City_Inputs!$V47="",Norm_Stats!$F$10="",Norm_Stats!$G$10="",Norm_Stats!$G$10=Norm_Stats!$F$10),"",MAX(0,MIN(100,100*(MIN(MAX(City_Inputs!$V47,Norm_Stats!$F$10),Norm_Stats!$G$10)-Norm_Stats!$F$10)/(Norm_Stats!$G$10-Norm_Stats!$F$10))))</f>
        <v/>
      </c>
      <c r="Z47" s="14">
        <f>IF(Y47="","",1)</f>
        <v/>
      </c>
      <c r="AA47" s="11">
        <f>IF(OR(City_Inputs!$W47="",Norm_Stats!$F$11="",Norm_Stats!$G$11="",Norm_Stats!$G$11=Norm_Stats!$F$11),"",MAX(0,MIN(100,100*(MIN(MAX(City_Inputs!$W47,Norm_Stats!$F$11),Norm_Stats!$G$11)-Norm_Stats!$F$11)/(Norm_Stats!$G$11-Norm_Stats!$F$11))))</f>
        <v/>
      </c>
      <c r="AB47" s="14">
        <f>IF(AA47="","",1)</f>
        <v/>
      </c>
      <c r="AC47" s="11">
        <f>IF(OR(City_Inputs!$X47="",Norm_Stats!$F$12="",Norm_Stats!$G$12="",Norm_Stats!$G$12=Norm_Stats!$F$12),"",MAX(0,MIN(100,100*(MIN(MAX(City_Inputs!$X47,Norm_Stats!$F$12),Norm_Stats!$G$12)-Norm_Stats!$F$12)/(Norm_Stats!$G$12-Norm_Stats!$F$12))))</f>
        <v/>
      </c>
      <c r="AD47" s="11">
        <f>IF(AC47="","",1)</f>
        <v/>
      </c>
      <c r="AE47" s="15">
        <f>IF((IF(S47="",0,5)+IF(U47="",0,5)+IF(W47="",0,4)+IF(Y47="",0,4)+IF(AA47="",0,4)+IF(AC47="",0,5))=0,"",(IF(S47="",0,S47*5)+IF(U47="",0,U47*5)+IF(W47="",0,W47*4)+IF(Y47="",0,Y47*4)+IF(AA47="",0,AA47*4)+IF(AC47="",0,AC47*5))/(IF(S47="",0,5)+IF(U47="",0,5)+IF(W47="",0,4)+IF(Y47="",0,4)+IF(AA47="",0,4)+IF(AC47="",0,5)))</f>
        <v/>
      </c>
      <c r="AF47" s="14">
        <f>IF((IF(T47="",0,5)+IF(V47="",0,5)+IF(X47="",0,4)+IF(Z47="",0,4)+IF(AB47="",0,4)+IF(AD47="",0,5))=0,"",(IF(T47="",0,T47*5)+IF(V47="",0,V47*5)+IF(X47="",0,X47*4)+IF(Z47="",0,Z47*4)+IF(AB47="",0,AB47*4)+IF(AD47="",0,AD47*5))/27)</f>
        <v/>
      </c>
      <c r="AG47" s="11">
        <f>IF(OR(City_Inputs!$Y47="",Norm_Stats!$F$13="",Norm_Stats!$G$13="",Norm_Stats!$G$13=Norm_Stats!$F$13),"",MAX(0,MIN(100,100*(MIN(MAX(City_Inputs!$Y47,Norm_Stats!$F$13),Norm_Stats!$G$13)-Norm_Stats!$F$13)/(Norm_Stats!$G$13-Norm_Stats!$F$13))))</f>
        <v/>
      </c>
      <c r="AH47" s="14">
        <f>IF(AG47="","",1)</f>
        <v/>
      </c>
      <c r="AI47" s="11">
        <f>IF(OR(City_Inputs!$Z47="",Norm_Stats!$F$14="",Norm_Stats!$G$14="",Norm_Stats!$G$14=Norm_Stats!$F$14),"",MAX(0,MIN(100,100*(MIN(MAX(City_Inputs!$Z47,Norm_Stats!$F$14),Norm_Stats!$G$14)-Norm_Stats!$F$14)/(Norm_Stats!$G$14-Norm_Stats!$F$14))))</f>
        <v/>
      </c>
      <c r="AJ47" s="14">
        <f>IF(AI47="","",1)</f>
        <v/>
      </c>
      <c r="AK47" s="11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(IF(OR(City_Inputs!$AA47="",Norm_Stats!$F$15="",Norm_Stats!$G$15="",Norm_Stats!$G$15=Norm_Stats!$F$15),"",MAX(0,MIN(100,100*(MIN(MAX(City_Inputs!$AA47,Norm_Stats!$F$15),Norm_Stats!$G$15)-Norm_Stats!$F$15)/(Norm_Stats!$G$15-Norm_Stats!$F$15)))))*0.7)+IF((IF(OR(City_Inputs!$AL47="",Norm_Stats!$F$16="",Norm_Stats!$G$16="",Norm_Stats!$G$16=Norm_Stats!$F$16),"",MAX(0,MIN(100,100*(Norm_Stats!$G$16-MIN(MAX(City_Inputs!$AL47,Norm_Stats!$F$16),Norm_Stats!$G$16))/(Norm_Stats!$G$16-Norm_Stats!$F$16)))))="",0,(IF(OR(City_Inputs!$AL47="",Norm_Stats!$F$16="",Norm_Stats!$G$16="",Norm_Stats!$G$16=Norm_Stats!$F$16),"",MAX(0,MIN(100,100*(Norm_Stats!$G$16-MIN(MAX(City_Inputs!$AL47,Norm_Stats!$F$16),Norm_Stats!$G$16))/(Norm_Stats!$G$16-Norm_Stats!$F$16)))))*0.3))/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L47" s="14">
        <f>IF(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=0,"",(IF((IF(OR(City_Inputs!$AA47="",Norm_Stats!$F$15="",Norm_Stats!$G$15="",Norm_Stats!$G$15=Norm_Stats!$F$15),"",MAX(0,MIN(100,100*(MIN(MAX(City_Inputs!$AA47,Norm_Stats!$F$15),Norm_Stats!$G$15)-Norm_Stats!$F$15)/(Norm_Stats!$G$15-Norm_Stats!$F$15)))))="",0,0.7)+IF((IF(OR(City_Inputs!$AL47="",Norm_Stats!$F$16="",Norm_Stats!$G$16="",Norm_Stats!$G$16=Norm_Stats!$F$16),"",MAX(0,MIN(100,100*(Norm_Stats!$G$16-MIN(MAX(City_Inputs!$AL47,Norm_Stats!$F$16),Norm_Stats!$G$16))/(Norm_Stats!$G$16-Norm_Stats!$F$16)))))="",0,0.3)))</f>
        <v/>
      </c>
      <c r="AM47" s="15">
        <f>IF((IF(AG47="",0,8)+IF(AI47="",0,6)+IF(AK47="",0,4))=0,"",(IF(AG47="",0,AG47*8)+IF(AI47="",0,AI47*6)+IF(AK47="",0,AK47*4))/(IF(AG47="",0,8)+IF(AI47="",0,6)+IF(AK47="",0,4)))</f>
        <v/>
      </c>
      <c r="AN47" s="14">
        <f>IF((IF(AH47="",0,8)+IF(AJ47="",0,6)+IF(AL47="",0,4))=0,"",(IF(AH47="",0,AH47*8)+IF(AJ47="",0,AJ47*6)+IF(AL47="",0,AL47*4))/18)</f>
        <v/>
      </c>
      <c r="AO47" s="11">
        <f>IF(OR(City_Inputs!$AB47="",Norm_Stats!$F$17="",Norm_Stats!$G$17="",Norm_Stats!$G$17=Norm_Stats!$F$17),"",MAX(0,MIN(100,100*(MIN(MAX(City_Inputs!$AB47,Norm_Stats!$F$17),Norm_Stats!$G$17)-Norm_Stats!$F$17)/(Norm_Stats!$G$17-Norm_Stats!$F$17))))</f>
        <v/>
      </c>
      <c r="AP47" s="14">
        <f>IF(AO47="","",1)</f>
        <v/>
      </c>
      <c r="AQ47" s="11">
        <f>IF(OR(City_Inputs!$AC47="",Norm_Stats!$F$18="",Norm_Stats!$G$18="",Norm_Stats!$G$18=Norm_Stats!$F$18),"",MAX(0,MIN(100,100*(MIN(MAX(City_Inputs!$AC47,Norm_Stats!$F$18),Norm_Stats!$G$18)-Norm_Stats!$F$18)/(Norm_Stats!$G$18-Norm_Stats!$F$18))))</f>
        <v/>
      </c>
      <c r="AR47" s="14">
        <f>IF(AQ47="","",1)</f>
        <v/>
      </c>
      <c r="AS47" s="11">
        <f>IF(OR(City_Inputs!$AD47="",Norm_Stats!$F$19="",Norm_Stats!$G$19="",Norm_Stats!$G$19=Norm_Stats!$F$19),"",MAX(0,MIN(100,100*(MIN(MAX(City_Inputs!$AD47,Norm_Stats!$F$19),Norm_Stats!$G$19)-Norm_Stats!$F$19)/(Norm_Stats!$G$19-Norm_Stats!$F$19))))</f>
        <v/>
      </c>
      <c r="AT47" s="14">
        <f>IF(AS47="","",1)</f>
        <v/>
      </c>
      <c r="AU47" s="11">
        <f>IF(OR(City_Inputs!$BJ47="",Norm_Stats!$F$26="",Norm_Stats!$G$26="",Norm_Stats!$G$26=Norm_Stats!$F$26),"",MAX(0,MIN(100,100*(MIN(MAX(City_Inputs!$BJ47,Norm_Stats!$F$26),Norm_Stats!$G$26)-Norm_Stats!$F$26)/(Norm_Stats!$G$26-Norm_Stats!$F$26))))</f>
        <v/>
      </c>
      <c r="AV47" s="11">
        <f>IF(AU47="","",1)</f>
        <v/>
      </c>
      <c r="AW47" s="15">
        <f>IF((IF(AO47="",0,5)+IF(AQ47="",0,5)+IF(AS47="",0,5)+IF(AU47="",0,4))=0,"",(IF(AO47="",0,AO47*5)+IF(AQ47="",0,AQ47*5)+IF(AS47="",0,AS47*5)+IF(AU47="",0,AU47*4))/(IF(AO47="",0,5)+IF(AQ47="",0,5)+IF(AS47="",0,5)+IF(AU47="",0,4)))</f>
        <v/>
      </c>
      <c r="AX47" s="14">
        <f>IF((IF(AP47="",0,5)+IF(AR47="",0,5)+IF(AT47="",0,5)+IF(AV47="",0,4))=0,"",(IF(AP47="",0,AP47*5)+IF(AR47="",0,AR47*5)+IF(AT47="",0,AT47*5)+IF(AV47="",0,AV47*4))/19)</f>
        <v/>
      </c>
      <c r="AY47" s="11">
        <f>IF(OR(City_Inputs!$AE47="",Norm_Stats!$F$20="",Norm_Stats!$G$20="",Norm_Stats!$G$20=Norm_Stats!$F$20),"",MAX(0,MIN(100,100*(MIN(MAX(City_Inputs!$AE47,Norm_Stats!$F$20),Norm_Stats!$G$20)-Norm_Stats!$F$20)/(Norm_Stats!$G$20-Norm_Stats!$F$20))))</f>
        <v/>
      </c>
      <c r="AZ47" s="14">
        <f>IF(AY47="","",1)</f>
        <v/>
      </c>
      <c r="BA47" s="11">
        <f>IF(OR(City_Inputs!$AF47="",Norm_Stats!$F$21="",Norm_Stats!$G$21="",Norm_Stats!$G$21=Norm_Stats!$F$21),"",MAX(0,MIN(100,100*(MIN(MAX(City_Inputs!$AF47,Norm_Stats!$F$21),Norm_Stats!$G$21)-Norm_Stats!$F$21)/(Norm_Stats!$G$21-Norm_Stats!$F$21))))</f>
        <v/>
      </c>
      <c r="BB47" s="14">
        <f>IF(BA47="","",1)</f>
        <v/>
      </c>
      <c r="BC47" s="11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(IF(OR(City_Inputs!$AG47="",Norm_Stats!$F$22="",Norm_Stats!$G$22="",Norm_Stats!$G$22=Norm_Stats!$F$22),"",MAX(0,MIN(100,100*(MIN(MAX(City_Inputs!$AG47,Norm_Stats!$F$22),Norm_Stats!$G$22)-Norm_Stats!$F$22)/(Norm_Stats!$G$22-Norm_Stats!$F$22)))))*0.5)+IF((IF(OR(City_Inputs!$AJ47="",Norm_Stats!$F$23="",Norm_Stats!$G$23="",Norm_Stats!$G$23=Norm_Stats!$F$23),"",MAX(0,MIN(100,100*(MIN(MAX(City_Inputs!$AJ47,Norm_Stats!$F$23),Norm_Stats!$G$23)-Norm_Stats!$F$23)/(Norm_Stats!$G$23-Norm_Stats!$F$23)))))="",0,(IF(OR(City_Inputs!$AJ47="",Norm_Stats!$F$23="",Norm_Stats!$G$23="",Norm_Stats!$G$23=Norm_Stats!$F$23),"",MAX(0,MIN(100,100*(MIN(MAX(City_Inputs!$AJ47,Norm_Stats!$F$23),Norm_Stats!$G$23)-Norm_Stats!$F$23)/(Norm_Stats!$G$23-Norm_Stats!$F$23)))))*0.3)+IF((IF(OR(City_Inputs!$AK47="",Norm_Stats!$F$24="",Norm_Stats!$G$24="",Norm_Stats!$G$24=Norm_Stats!$F$24),"",MAX(0,MIN(100,100*(MIN(MAX(City_Inputs!$AK47,Norm_Stats!$F$24),Norm_Stats!$G$24)-Norm_Stats!$F$24)/(Norm_Stats!$G$24-Norm_Stats!$F$24)))))="",0,(IF(OR(City_Inputs!$AK47="",Norm_Stats!$F$24="",Norm_Stats!$G$24="",Norm_Stats!$G$24=Norm_Stats!$F$24),"",MAX(0,MIN(100,100*(MIN(MAX(City_Inputs!$AK47,Norm_Stats!$F$24),Norm_Stats!$G$24)-Norm_Stats!$F$24)/(Norm_Stats!$G$24-Norm_Stats!$F$24)))))*0.2))/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D47" s="14">
        <f>IF(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=0,"",(IF((IF(OR(City_Inputs!$AG47="",Norm_Stats!$F$22="",Norm_Stats!$G$22="",Norm_Stats!$G$22=Norm_Stats!$F$22),"",MAX(0,MIN(100,100*(MIN(MAX(City_Inputs!$AG47,Norm_Stats!$F$22),Norm_Stats!$G$22)-Norm_Stats!$F$22)/(Norm_Stats!$G$22-Norm_Stats!$F$22)))))="",0,0.5)+IF((IF(OR(City_Inputs!$AJ47="",Norm_Stats!$F$23="",Norm_Stats!$G$23="",Norm_Stats!$G$23=Norm_Stats!$F$23),"",MAX(0,MIN(100,100*(MIN(MAX(City_Inputs!$AJ47,Norm_Stats!$F$23),Norm_Stats!$G$23)-Norm_Stats!$F$23)/(Norm_Stats!$G$23-Norm_Stats!$F$23)))))="",0,0.3)+IF((IF(OR(City_Inputs!$AK47="",Norm_Stats!$F$24="",Norm_Stats!$G$24="",Norm_Stats!$G$24=Norm_Stats!$F$24),"",MAX(0,MIN(100,100*(MIN(MAX(City_Inputs!$AK47,Norm_Stats!$F$24),Norm_Stats!$G$24)-Norm_Stats!$F$24)/(Norm_Stats!$G$24-Norm_Stats!$F$24)))))="",0,0.2)))</f>
        <v/>
      </c>
      <c r="BE47" s="11">
        <f>IF(OR(City_Inputs!$AH47="",Norm_Stats!$F$25="",Norm_Stats!$G$25="",Norm_Stats!$G$25=Norm_Stats!$F$25),"",MAX(0,MIN(100,100*(Norm_Stats!$G$25-MIN(MAX(City_Inputs!$AH47,Norm_Stats!$F$25),Norm_Stats!$G$25))/(Norm_Stats!$G$25-Norm_Stats!$F$25))))</f>
        <v/>
      </c>
      <c r="BF47" s="14">
        <f>IF(BE47="","",1)</f>
        <v/>
      </c>
      <c r="BG47" s="15">
        <f>IF((IF(AY47="",0,6)+IF(BA47="",0,5)+IF(BC47="",0,5)+IF(BE47="",0,4))=0,"",(IF(AY47="",0,AY47*6)+IF(BA47="",0,BA47*5)+IF(BC47="",0,BC47*5)+IF(BE47="",0,BE47*4))/(IF(AY47="",0,6)+IF(BA47="",0,5)+IF(BC47="",0,5)+IF(BE47="",0,4)))</f>
        <v/>
      </c>
      <c r="BH47" s="14">
        <f>IF((IF(AZ47="",0,6)+IF(BB47="",0,5)+IF(BD47="",0,5)+IF(BF47="",0,4))=0,"",(IF(AZ47="",0,AZ47*6)+IF(BB47="",0,BB47*5)+IF(BD47="",0,BD47*5)+IF(BF47="",0,BF47*4))/20)</f>
        <v/>
      </c>
      <c r="BI47" s="14">
        <f>IF(AND(R47="",AF47="",AN47="",AX47="",BH47=""),"",((R47*25)+(AF47*22)+(AN47*18)+(AX47*15)+(BH47*20))/100)</f>
        <v/>
      </c>
      <c r="BJ47" s="11">
        <f>IF(BI47="","",IF(BI47&gt;=0.75,"A",IF(BI47&gt;=0.5,"B",IF(BI47&gt;=0.35,"C","Watchlist"))))</f>
        <v/>
      </c>
      <c r="BK47" s="11">
        <f>IF(OR(BI47="",BI47&lt;0.5,R47="",R47&lt;0.35,AF47="",AF47&lt;0.35,AN47="",AN47&lt;0.35,AX47="",AX47&lt;0.35,BH47="",BH47&lt;0.35),"Watchlist","Ranked")</f>
        <v/>
      </c>
      <c r="BL47" s="15">
        <f>IF(AND(Q47="",AE47="",AM47="",AW47="",BG47=""),"",(IF(Q47="",0,Q47*25)+IF(AE47="",0,AE47*22)+IF(AM47="",0,AM47*18)+IF(AW47="",0,AW47*15)+IF(BG47="",0,BG47*20))/(IF(Q47="",0,25)+IF(AE47="",0,22)+IF(AM47="",0,18)+IF(AW47="",0,15)+IF(BG47="",0,20)))</f>
        <v/>
      </c>
      <c r="BM47" s="11">
        <f>IF(BK47="Ranked",1+COUNTIFS($BK$2:$BK$158,"Ranked",$BL$2:$BL$158,"&gt;"&amp;BL47),"")</f>
        <v/>
      </c>
      <c r="BN47" s="11">
        <f>City_Inputs!$AI47</f>
        <v/>
      </c>
    </row>
    <row r="48">
      <c r="A48" t="inlineStr">
        <is>
          <t>ee-tallinn</t>
        </is>
      </c>
      <c r="B48" t="inlineStr">
        <is>
          <t>Tallinn</t>
        </is>
      </c>
      <c r="C48" t="inlineStr">
        <is>
          <t>Estonia</t>
        </is>
      </c>
      <c r="D48" t="inlineStr">
        <is>
          <t>Western, Northern, and Southern Europe</t>
        </is>
      </c>
      <c r="E48" t="inlineStr">
        <is>
          <t>locked</t>
        </is>
      </c>
      <c r="F48" t="inlineStr">
        <is>
          <t>secondary</t>
        </is>
      </c>
      <c r="G48" s="11">
        <f>IF(OR(City_Inputs!$M48="",Norm_Stats!$F$2="",Norm_Stats!$G$2="",Norm_Stats!$G$2=Norm_Stats!$F$2),"",MAX(0,MIN(100,100*(MIN(MAX(City_Inputs!$M48,Norm_Stats!$F$2),Norm_Stats!$G$2)-Norm_Stats!$F$2)/(Norm_Stats!$G$2-Norm_Stats!$F$2))))</f>
        <v/>
      </c>
      <c r="H48" s="14">
        <f>IF(G48="","",1)</f>
        <v/>
      </c>
      <c r="I48" s="11">
        <f>IF(OR(City_Inputs!$N48="",Norm_Stats!$F$3="",Norm_Stats!$G$3="",Norm_Stats!$G$3=Norm_Stats!$F$3),"",MAX(0,MIN(100,100*(Norm_Stats!$G$3-MIN(MAX(City_Inputs!$N48,Norm_Stats!$F$3),Norm_Stats!$G$3))/(Norm_Stats!$G$3-Norm_Stats!$F$3))))</f>
        <v/>
      </c>
      <c r="J48" s="14">
        <f>IF(I48="","",1)</f>
        <v/>
      </c>
      <c r="K48" s="11">
        <f>IF(OR(City_Inputs!$P48="",Norm_Stats!$F$4="",Norm_Stats!$G$4="",Norm_Stats!$G$4=Norm_Stats!$F$4),"",MAX(0,MIN(100,100*(Norm_Stats!$G$4-MIN(MAX(City_Inputs!$P48,Norm_Stats!$F$4),Norm_Stats!$G$4))/(Norm_Stats!$G$4-Norm_Stats!$F$4))))</f>
        <v/>
      </c>
      <c r="L48" s="14">
        <f>IF(K48="","",1)</f>
        <v/>
      </c>
      <c r="M48" s="11">
        <f>IF(OR(City_Inputs!$Q48="",Norm_Stats!$F$5="",Norm_Stats!$G$5="",Norm_Stats!$G$5=Norm_Stats!$F$5),"",MAX(0,MIN(100,100*(Norm_Stats!$G$5-MIN(MAX(City_Inputs!$Q48,Norm_Stats!$F$5),Norm_Stats!$G$5))/(Norm_Stats!$G$5-Norm_Stats!$F$5))))</f>
        <v/>
      </c>
      <c r="N48" s="14">
        <f>IF(M48="","",1)</f>
        <v/>
      </c>
      <c r="O48" s="11">
        <f>IF(OR(City_Inputs!$R48="",Norm_Stats!$F$6="",Norm_Stats!$G$6="",Norm_Stats!$G$6=Norm_Stats!$F$6),"",MAX(0,MIN(100,100*(Norm_Stats!$G$6-MIN(MAX(City_Inputs!$R48,Norm_Stats!$F$6),Norm_Stats!$G$6))/(Norm_Stats!$G$6-Norm_Stats!$F$6))))</f>
        <v/>
      </c>
      <c r="P48" s="14">
        <f>IF(O48="","",1)</f>
        <v/>
      </c>
      <c r="Q48" s="15">
        <f>IF((IF(G48="",0,9)+IF(I48="",0,5)+IF(K48="",0,4)+IF(M48="",0,4)+IF(O48="",0,5))=0,"",(IF(G48="",0,G48*9)+IF(I48="",0,I48*5)+IF(K48="",0,K48*4)+IF(M48="",0,M48*4)+IF(O48="",0,O48*5))/(IF(G48="",0,9)+IF(I48="",0,5)+IF(K48="",0,4)+IF(M48="",0,4)+IF(O48="",0,5)))</f>
        <v/>
      </c>
      <c r="R48" s="14">
        <f>IF((IF(H48="",0,9)+IF(J48="",0,5)+IF(L48="",0,4)+IF(N48="",0,4)+IF(P48="",0,5))=0,"",(IF(H48="",0,H48*9)+IF(J48="",0,J48*5)+IF(L48="",0,L48*4)+IF(N48="",0,N48*4)+IF(P48="",0,P48*5))/27)</f>
        <v/>
      </c>
      <c r="S48" s="11">
        <f>IF(OR(City_Inputs!$S48="",Norm_Stats!$F$7="",Norm_Stats!$G$7="",Norm_Stats!$G$7=Norm_Stats!$F$7),"",MAX(0,MIN(100,100*(Norm_Stats!$G$7-MIN(MAX(City_Inputs!$S48,Norm_Stats!$F$7),Norm_Stats!$G$7))/(Norm_Stats!$G$7-Norm_Stats!$F$7))))</f>
        <v/>
      </c>
      <c r="T48" s="14">
        <f>IF(S48="","",1)</f>
        <v/>
      </c>
      <c r="U48" s="11">
        <f>IF(OR(City_Inputs!$T48="",Norm_Stats!$F$8="",Norm_Stats!$G$8="",Norm_Stats!$G$8=Norm_Stats!$F$8),"",MAX(0,MIN(100,100*(MIN(MAX(City_Inputs!$T48,Norm_Stats!$F$8),Norm_Stats!$G$8)-Norm_Stats!$F$8)/(Norm_Stats!$G$8-Norm_Stats!$F$8))))</f>
        <v/>
      </c>
      <c r="V48" s="14">
        <f>IF(U48="","",1)</f>
        <v/>
      </c>
      <c r="W48" s="11">
        <f>IF(OR(City_Inputs!$U48="",Norm_Stats!$F$9="",Norm_Stats!$G$9="",Norm_Stats!$G$9=Norm_Stats!$F$9),"",MAX(0,MIN(100,100*(Norm_Stats!$G$9-MIN(MAX(City_Inputs!$U48,Norm_Stats!$F$9),Norm_Stats!$G$9))/(Norm_Stats!$G$9-Norm_Stats!$F$9))))</f>
        <v/>
      </c>
      <c r="X48" s="14">
        <f>IF(W48="","",1)</f>
        <v/>
      </c>
      <c r="Y48" s="11">
        <f>IF(OR(City_Inputs!$V48="",Norm_Stats!$F$10="",Norm_Stats!$G$10="",Norm_Stats!$G$10=Norm_Stats!$F$10),"",MAX(0,MIN(100,100*(MIN(MAX(City_Inputs!$V48,Norm_Stats!$F$10),Norm_Stats!$G$10)-Norm_Stats!$F$10)/(Norm_Stats!$G$10-Norm_Stats!$F$10))))</f>
        <v/>
      </c>
      <c r="Z48" s="14">
        <f>IF(Y48="","",1)</f>
        <v/>
      </c>
      <c r="AA48" s="11">
        <f>IF(OR(City_Inputs!$W48="",Norm_Stats!$F$11="",Norm_Stats!$G$11="",Norm_Stats!$G$11=Norm_Stats!$F$11),"",MAX(0,MIN(100,100*(MIN(MAX(City_Inputs!$W48,Norm_Stats!$F$11),Norm_Stats!$G$11)-Norm_Stats!$F$11)/(Norm_Stats!$G$11-Norm_Stats!$F$11))))</f>
        <v/>
      </c>
      <c r="AB48" s="14">
        <f>IF(AA48="","",1)</f>
        <v/>
      </c>
      <c r="AC48" s="11">
        <f>IF(OR(City_Inputs!$X48="",Norm_Stats!$F$12="",Norm_Stats!$G$12="",Norm_Stats!$G$12=Norm_Stats!$F$12),"",MAX(0,MIN(100,100*(MIN(MAX(City_Inputs!$X48,Norm_Stats!$F$12),Norm_Stats!$G$12)-Norm_Stats!$F$12)/(Norm_Stats!$G$12-Norm_Stats!$F$12))))</f>
        <v/>
      </c>
      <c r="AD48" s="11">
        <f>IF(AC48="","",1)</f>
        <v/>
      </c>
      <c r="AE48" s="15">
        <f>IF((IF(S48="",0,5)+IF(U48="",0,5)+IF(W48="",0,4)+IF(Y48="",0,4)+IF(AA48="",0,4)+IF(AC48="",0,5))=0,"",(IF(S48="",0,S48*5)+IF(U48="",0,U48*5)+IF(W48="",0,W48*4)+IF(Y48="",0,Y48*4)+IF(AA48="",0,AA48*4)+IF(AC48="",0,AC48*5))/(IF(S48="",0,5)+IF(U48="",0,5)+IF(W48="",0,4)+IF(Y48="",0,4)+IF(AA48="",0,4)+IF(AC48="",0,5)))</f>
        <v/>
      </c>
      <c r="AF48" s="14">
        <f>IF((IF(T48="",0,5)+IF(V48="",0,5)+IF(X48="",0,4)+IF(Z48="",0,4)+IF(AB48="",0,4)+IF(AD48="",0,5))=0,"",(IF(T48="",0,T48*5)+IF(V48="",0,V48*5)+IF(X48="",0,X48*4)+IF(Z48="",0,Z48*4)+IF(AB48="",0,AB48*4)+IF(AD48="",0,AD48*5))/27)</f>
        <v/>
      </c>
      <c r="AG48" s="11">
        <f>IF(OR(City_Inputs!$Y48="",Norm_Stats!$F$13="",Norm_Stats!$G$13="",Norm_Stats!$G$13=Norm_Stats!$F$13),"",MAX(0,MIN(100,100*(MIN(MAX(City_Inputs!$Y48,Norm_Stats!$F$13),Norm_Stats!$G$13)-Norm_Stats!$F$13)/(Norm_Stats!$G$13-Norm_Stats!$F$13))))</f>
        <v/>
      </c>
      <c r="AH48" s="14">
        <f>IF(AG48="","",1)</f>
        <v/>
      </c>
      <c r="AI48" s="11">
        <f>IF(OR(City_Inputs!$Z48="",Norm_Stats!$F$14="",Norm_Stats!$G$14="",Norm_Stats!$G$14=Norm_Stats!$F$14),"",MAX(0,MIN(100,100*(MIN(MAX(City_Inputs!$Z48,Norm_Stats!$F$14),Norm_Stats!$G$14)-Norm_Stats!$F$14)/(Norm_Stats!$G$14-Norm_Stats!$F$14))))</f>
        <v/>
      </c>
      <c r="AJ48" s="14">
        <f>IF(AI48="","",1)</f>
        <v/>
      </c>
      <c r="AK48" s="11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(IF(OR(City_Inputs!$AA48="",Norm_Stats!$F$15="",Norm_Stats!$G$15="",Norm_Stats!$G$15=Norm_Stats!$F$15),"",MAX(0,MIN(100,100*(MIN(MAX(City_Inputs!$AA48,Norm_Stats!$F$15),Norm_Stats!$G$15)-Norm_Stats!$F$15)/(Norm_Stats!$G$15-Norm_Stats!$F$15)))))*0.7)+IF((IF(OR(City_Inputs!$AL48="",Norm_Stats!$F$16="",Norm_Stats!$G$16="",Norm_Stats!$G$16=Norm_Stats!$F$16),"",MAX(0,MIN(100,100*(Norm_Stats!$G$16-MIN(MAX(City_Inputs!$AL48,Norm_Stats!$F$16),Norm_Stats!$G$16))/(Norm_Stats!$G$16-Norm_Stats!$F$16)))))="",0,(IF(OR(City_Inputs!$AL48="",Norm_Stats!$F$16="",Norm_Stats!$G$16="",Norm_Stats!$G$16=Norm_Stats!$F$16),"",MAX(0,MIN(100,100*(Norm_Stats!$G$16-MIN(MAX(City_Inputs!$AL48,Norm_Stats!$F$16),Norm_Stats!$G$16))/(Norm_Stats!$G$16-Norm_Stats!$F$16)))))*0.3))/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L48" s="14">
        <f>IF(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=0,"",(IF((IF(OR(City_Inputs!$AA48="",Norm_Stats!$F$15="",Norm_Stats!$G$15="",Norm_Stats!$G$15=Norm_Stats!$F$15),"",MAX(0,MIN(100,100*(MIN(MAX(City_Inputs!$AA48,Norm_Stats!$F$15),Norm_Stats!$G$15)-Norm_Stats!$F$15)/(Norm_Stats!$G$15-Norm_Stats!$F$15)))))="",0,0.7)+IF((IF(OR(City_Inputs!$AL48="",Norm_Stats!$F$16="",Norm_Stats!$G$16="",Norm_Stats!$G$16=Norm_Stats!$F$16),"",MAX(0,MIN(100,100*(Norm_Stats!$G$16-MIN(MAX(City_Inputs!$AL48,Norm_Stats!$F$16),Norm_Stats!$G$16))/(Norm_Stats!$G$16-Norm_Stats!$F$16)))))="",0,0.3)))</f>
        <v/>
      </c>
      <c r="AM48" s="15">
        <f>IF((IF(AG48="",0,8)+IF(AI48="",0,6)+IF(AK48="",0,4))=0,"",(IF(AG48="",0,AG48*8)+IF(AI48="",0,AI48*6)+IF(AK48="",0,AK48*4))/(IF(AG48="",0,8)+IF(AI48="",0,6)+IF(AK48="",0,4)))</f>
        <v/>
      </c>
      <c r="AN48" s="14">
        <f>IF((IF(AH48="",0,8)+IF(AJ48="",0,6)+IF(AL48="",0,4))=0,"",(IF(AH48="",0,AH48*8)+IF(AJ48="",0,AJ48*6)+IF(AL48="",0,AL48*4))/18)</f>
        <v/>
      </c>
      <c r="AO48" s="11">
        <f>IF(OR(City_Inputs!$AB48="",Norm_Stats!$F$17="",Norm_Stats!$G$17="",Norm_Stats!$G$17=Norm_Stats!$F$17),"",MAX(0,MIN(100,100*(MIN(MAX(City_Inputs!$AB48,Norm_Stats!$F$17),Norm_Stats!$G$17)-Norm_Stats!$F$17)/(Norm_Stats!$G$17-Norm_Stats!$F$17))))</f>
        <v/>
      </c>
      <c r="AP48" s="14">
        <f>IF(AO48="","",1)</f>
        <v/>
      </c>
      <c r="AQ48" s="11">
        <f>IF(OR(City_Inputs!$AC48="",Norm_Stats!$F$18="",Norm_Stats!$G$18="",Norm_Stats!$G$18=Norm_Stats!$F$18),"",MAX(0,MIN(100,100*(MIN(MAX(City_Inputs!$AC48,Norm_Stats!$F$18),Norm_Stats!$G$18)-Norm_Stats!$F$18)/(Norm_Stats!$G$18-Norm_Stats!$F$18))))</f>
        <v/>
      </c>
      <c r="AR48" s="14">
        <f>IF(AQ48="","",1)</f>
        <v/>
      </c>
      <c r="AS48" s="11">
        <f>IF(OR(City_Inputs!$AD48="",Norm_Stats!$F$19="",Norm_Stats!$G$19="",Norm_Stats!$G$19=Norm_Stats!$F$19),"",MAX(0,MIN(100,100*(MIN(MAX(City_Inputs!$AD48,Norm_Stats!$F$19),Norm_Stats!$G$19)-Norm_Stats!$F$19)/(Norm_Stats!$G$19-Norm_Stats!$F$19))))</f>
        <v/>
      </c>
      <c r="AT48" s="14">
        <f>IF(AS48="","",1)</f>
        <v/>
      </c>
      <c r="AU48" s="11">
        <f>IF(OR(City_Inputs!$BJ48="",Norm_Stats!$F$26="",Norm_Stats!$G$26="",Norm_Stats!$G$26=Norm_Stats!$F$26),"",MAX(0,MIN(100,100*(MIN(MAX(City_Inputs!$BJ48,Norm_Stats!$F$26),Norm_Stats!$G$26)-Norm_Stats!$F$26)/(Norm_Stats!$G$26-Norm_Stats!$F$26))))</f>
        <v/>
      </c>
      <c r="AV48" s="11">
        <f>IF(AU48="","",1)</f>
        <v/>
      </c>
      <c r="AW48" s="15">
        <f>IF((IF(AO48="",0,5)+IF(AQ48="",0,5)+IF(AS48="",0,5)+IF(AU48="",0,4))=0,"",(IF(AO48="",0,AO48*5)+IF(AQ48="",0,AQ48*5)+IF(AS48="",0,AS48*5)+IF(AU48="",0,AU48*4))/(IF(AO48="",0,5)+IF(AQ48="",0,5)+IF(AS48="",0,5)+IF(AU48="",0,4)))</f>
        <v/>
      </c>
      <c r="AX48" s="14">
        <f>IF((IF(AP48="",0,5)+IF(AR48="",0,5)+IF(AT48="",0,5)+IF(AV48="",0,4))=0,"",(IF(AP48="",0,AP48*5)+IF(AR48="",0,AR48*5)+IF(AT48="",0,AT48*5)+IF(AV48="",0,AV48*4))/19)</f>
        <v/>
      </c>
      <c r="AY48" s="11">
        <f>IF(OR(City_Inputs!$AE48="",Norm_Stats!$F$20="",Norm_Stats!$G$20="",Norm_Stats!$G$20=Norm_Stats!$F$20),"",MAX(0,MIN(100,100*(MIN(MAX(City_Inputs!$AE48,Norm_Stats!$F$20),Norm_Stats!$G$20)-Norm_Stats!$F$20)/(Norm_Stats!$G$20-Norm_Stats!$F$20))))</f>
        <v/>
      </c>
      <c r="AZ48" s="14">
        <f>IF(AY48="","",1)</f>
        <v/>
      </c>
      <c r="BA48" s="11">
        <f>IF(OR(City_Inputs!$AF48="",Norm_Stats!$F$21="",Norm_Stats!$G$21="",Norm_Stats!$G$21=Norm_Stats!$F$21),"",MAX(0,MIN(100,100*(MIN(MAX(City_Inputs!$AF48,Norm_Stats!$F$21),Norm_Stats!$G$21)-Norm_Stats!$F$21)/(Norm_Stats!$G$21-Norm_Stats!$F$21))))</f>
        <v/>
      </c>
      <c r="BB48" s="14">
        <f>IF(BA48="","",1)</f>
        <v/>
      </c>
      <c r="BC48" s="11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(IF(OR(City_Inputs!$AG48="",Norm_Stats!$F$22="",Norm_Stats!$G$22="",Norm_Stats!$G$22=Norm_Stats!$F$22),"",MAX(0,MIN(100,100*(MIN(MAX(City_Inputs!$AG48,Norm_Stats!$F$22),Norm_Stats!$G$22)-Norm_Stats!$F$22)/(Norm_Stats!$G$22-Norm_Stats!$F$22)))))*0.5)+IF((IF(OR(City_Inputs!$AJ48="",Norm_Stats!$F$23="",Norm_Stats!$G$23="",Norm_Stats!$G$23=Norm_Stats!$F$23),"",MAX(0,MIN(100,100*(MIN(MAX(City_Inputs!$AJ48,Norm_Stats!$F$23),Norm_Stats!$G$23)-Norm_Stats!$F$23)/(Norm_Stats!$G$23-Norm_Stats!$F$23)))))="",0,(IF(OR(City_Inputs!$AJ48="",Norm_Stats!$F$23="",Norm_Stats!$G$23="",Norm_Stats!$G$23=Norm_Stats!$F$23),"",MAX(0,MIN(100,100*(MIN(MAX(City_Inputs!$AJ48,Norm_Stats!$F$23),Norm_Stats!$G$23)-Norm_Stats!$F$23)/(Norm_Stats!$G$23-Norm_Stats!$F$23)))))*0.3)+IF((IF(OR(City_Inputs!$AK48="",Norm_Stats!$F$24="",Norm_Stats!$G$24="",Norm_Stats!$G$24=Norm_Stats!$F$24),"",MAX(0,MIN(100,100*(MIN(MAX(City_Inputs!$AK48,Norm_Stats!$F$24),Norm_Stats!$G$24)-Norm_Stats!$F$24)/(Norm_Stats!$G$24-Norm_Stats!$F$24)))))="",0,(IF(OR(City_Inputs!$AK48="",Norm_Stats!$F$24="",Norm_Stats!$G$24="",Norm_Stats!$G$24=Norm_Stats!$F$24),"",MAX(0,MIN(100,100*(MIN(MAX(City_Inputs!$AK48,Norm_Stats!$F$24),Norm_Stats!$G$24)-Norm_Stats!$F$24)/(Norm_Stats!$G$24-Norm_Stats!$F$24)))))*0.2))/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D48" s="14">
        <f>IF(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=0,"",(IF((IF(OR(City_Inputs!$AG48="",Norm_Stats!$F$22="",Norm_Stats!$G$22="",Norm_Stats!$G$22=Norm_Stats!$F$22),"",MAX(0,MIN(100,100*(MIN(MAX(City_Inputs!$AG48,Norm_Stats!$F$22),Norm_Stats!$G$22)-Norm_Stats!$F$22)/(Norm_Stats!$G$22-Norm_Stats!$F$22)))))="",0,0.5)+IF((IF(OR(City_Inputs!$AJ48="",Norm_Stats!$F$23="",Norm_Stats!$G$23="",Norm_Stats!$G$23=Norm_Stats!$F$23),"",MAX(0,MIN(100,100*(MIN(MAX(City_Inputs!$AJ48,Norm_Stats!$F$23),Norm_Stats!$G$23)-Norm_Stats!$F$23)/(Norm_Stats!$G$23-Norm_Stats!$F$23)))))="",0,0.3)+IF((IF(OR(City_Inputs!$AK48="",Norm_Stats!$F$24="",Norm_Stats!$G$24="",Norm_Stats!$G$24=Norm_Stats!$F$24),"",MAX(0,MIN(100,100*(MIN(MAX(City_Inputs!$AK48,Norm_Stats!$F$24),Norm_Stats!$G$24)-Norm_Stats!$F$24)/(Norm_Stats!$G$24-Norm_Stats!$F$24)))))="",0,0.2)))</f>
        <v/>
      </c>
      <c r="BE48" s="11">
        <f>IF(OR(City_Inputs!$AH48="",Norm_Stats!$F$25="",Norm_Stats!$G$25="",Norm_Stats!$G$25=Norm_Stats!$F$25),"",MAX(0,MIN(100,100*(Norm_Stats!$G$25-MIN(MAX(City_Inputs!$AH48,Norm_Stats!$F$25),Norm_Stats!$G$25))/(Norm_Stats!$G$25-Norm_Stats!$F$25))))</f>
        <v/>
      </c>
      <c r="BF48" s="14">
        <f>IF(BE48="","",1)</f>
        <v/>
      </c>
      <c r="BG48" s="15">
        <f>IF((IF(AY48="",0,6)+IF(BA48="",0,5)+IF(BC48="",0,5)+IF(BE48="",0,4))=0,"",(IF(AY48="",0,AY48*6)+IF(BA48="",0,BA48*5)+IF(BC48="",0,BC48*5)+IF(BE48="",0,BE48*4))/(IF(AY48="",0,6)+IF(BA48="",0,5)+IF(BC48="",0,5)+IF(BE48="",0,4)))</f>
        <v/>
      </c>
      <c r="BH48" s="14">
        <f>IF((IF(AZ48="",0,6)+IF(BB48="",0,5)+IF(BD48="",0,5)+IF(BF48="",0,4))=0,"",(IF(AZ48="",0,AZ48*6)+IF(BB48="",0,BB48*5)+IF(BD48="",0,BD48*5)+IF(BF48="",0,BF48*4))/20)</f>
        <v/>
      </c>
      <c r="BI48" s="14">
        <f>IF(AND(R48="",AF48="",AN48="",AX48="",BH48=""),"",((R48*25)+(AF48*22)+(AN48*18)+(AX48*15)+(BH48*20))/100)</f>
        <v/>
      </c>
      <c r="BJ48" s="11">
        <f>IF(BI48="","",IF(BI48&gt;=0.75,"A",IF(BI48&gt;=0.5,"B",IF(BI48&gt;=0.35,"C","Watchlist"))))</f>
        <v/>
      </c>
      <c r="BK48" s="11">
        <f>IF(OR(BI48="",BI48&lt;0.5,R48="",R48&lt;0.35,AF48="",AF48&lt;0.35,AN48="",AN48&lt;0.35,AX48="",AX48&lt;0.35,BH48="",BH48&lt;0.35),"Watchlist","Ranked")</f>
        <v/>
      </c>
      <c r="BL48" s="15">
        <f>IF(AND(Q48="",AE48="",AM48="",AW48="",BG48=""),"",(IF(Q48="",0,Q48*25)+IF(AE48="",0,AE48*22)+IF(AM48="",0,AM48*18)+IF(AW48="",0,AW48*15)+IF(BG48="",0,BG48*20))/(IF(Q48="",0,25)+IF(AE48="",0,22)+IF(AM48="",0,18)+IF(AW48="",0,15)+IF(BG48="",0,20)))</f>
        <v/>
      </c>
      <c r="BM48" s="11">
        <f>IF(BK48="Ranked",1+COUNTIFS($BK$2:$BK$158,"Ranked",$BL$2:$BL$158,"&gt;"&amp;BL48),"")</f>
        <v/>
      </c>
      <c r="BN48" s="11">
        <f>City_Inputs!$AI48</f>
        <v/>
      </c>
    </row>
    <row r="49">
      <c r="A49" t="inlineStr">
        <is>
          <t>fi-helsinki</t>
        </is>
      </c>
      <c r="B49" t="inlineStr">
        <is>
          <t>Helsinki</t>
        </is>
      </c>
      <c r="C49" t="inlineStr">
        <is>
          <t>Finland</t>
        </is>
      </c>
      <c r="D49" t="inlineStr">
        <is>
          <t>Western, Northern, and Southern Europe</t>
        </is>
      </c>
      <c r="E49" t="inlineStr">
        <is>
          <t>provisional</t>
        </is>
      </c>
      <c r="F49" t="inlineStr">
        <is>
          <t>secondary</t>
        </is>
      </c>
      <c r="G49" s="11">
        <f>IF(OR(City_Inputs!$M49="",Norm_Stats!$F$2="",Norm_Stats!$G$2="",Norm_Stats!$G$2=Norm_Stats!$F$2),"",MAX(0,MIN(100,100*(MIN(MAX(City_Inputs!$M49,Norm_Stats!$F$2),Norm_Stats!$G$2)-Norm_Stats!$F$2)/(Norm_Stats!$G$2-Norm_Stats!$F$2))))</f>
        <v/>
      </c>
      <c r="H49" s="14">
        <f>IF(G49="","",1)</f>
        <v/>
      </c>
      <c r="I49" s="11">
        <f>IF(OR(City_Inputs!$N49="",Norm_Stats!$F$3="",Norm_Stats!$G$3="",Norm_Stats!$G$3=Norm_Stats!$F$3),"",MAX(0,MIN(100,100*(Norm_Stats!$G$3-MIN(MAX(City_Inputs!$N49,Norm_Stats!$F$3),Norm_Stats!$G$3))/(Norm_Stats!$G$3-Norm_Stats!$F$3))))</f>
        <v/>
      </c>
      <c r="J49" s="14">
        <f>IF(I49="","",1)</f>
        <v/>
      </c>
      <c r="K49" s="11">
        <f>IF(OR(City_Inputs!$P49="",Norm_Stats!$F$4="",Norm_Stats!$G$4="",Norm_Stats!$G$4=Norm_Stats!$F$4),"",MAX(0,MIN(100,100*(Norm_Stats!$G$4-MIN(MAX(City_Inputs!$P49,Norm_Stats!$F$4),Norm_Stats!$G$4))/(Norm_Stats!$G$4-Norm_Stats!$F$4))))</f>
        <v/>
      </c>
      <c r="L49" s="14">
        <f>IF(K49="","",1)</f>
        <v/>
      </c>
      <c r="M49" s="11">
        <f>IF(OR(City_Inputs!$Q49="",Norm_Stats!$F$5="",Norm_Stats!$G$5="",Norm_Stats!$G$5=Norm_Stats!$F$5),"",MAX(0,MIN(100,100*(Norm_Stats!$G$5-MIN(MAX(City_Inputs!$Q49,Norm_Stats!$F$5),Norm_Stats!$G$5))/(Norm_Stats!$G$5-Norm_Stats!$F$5))))</f>
        <v/>
      </c>
      <c r="N49" s="14">
        <f>IF(M49="","",1)</f>
        <v/>
      </c>
      <c r="O49" s="11">
        <f>IF(OR(City_Inputs!$R49="",Norm_Stats!$F$6="",Norm_Stats!$G$6="",Norm_Stats!$G$6=Norm_Stats!$F$6),"",MAX(0,MIN(100,100*(Norm_Stats!$G$6-MIN(MAX(City_Inputs!$R49,Norm_Stats!$F$6),Norm_Stats!$G$6))/(Norm_Stats!$G$6-Norm_Stats!$F$6))))</f>
        <v/>
      </c>
      <c r="P49" s="14">
        <f>IF(O49="","",1)</f>
        <v/>
      </c>
      <c r="Q49" s="15">
        <f>IF((IF(G49="",0,9)+IF(I49="",0,5)+IF(K49="",0,4)+IF(M49="",0,4)+IF(O49="",0,5))=0,"",(IF(G49="",0,G49*9)+IF(I49="",0,I49*5)+IF(K49="",0,K49*4)+IF(M49="",0,M49*4)+IF(O49="",0,O49*5))/(IF(G49="",0,9)+IF(I49="",0,5)+IF(K49="",0,4)+IF(M49="",0,4)+IF(O49="",0,5)))</f>
        <v/>
      </c>
      <c r="R49" s="14">
        <f>IF((IF(H49="",0,9)+IF(J49="",0,5)+IF(L49="",0,4)+IF(N49="",0,4)+IF(P49="",0,5))=0,"",(IF(H49="",0,H49*9)+IF(J49="",0,J49*5)+IF(L49="",0,L49*4)+IF(N49="",0,N49*4)+IF(P49="",0,P49*5))/27)</f>
        <v/>
      </c>
      <c r="S49" s="11">
        <f>IF(OR(City_Inputs!$S49="",Norm_Stats!$F$7="",Norm_Stats!$G$7="",Norm_Stats!$G$7=Norm_Stats!$F$7),"",MAX(0,MIN(100,100*(Norm_Stats!$G$7-MIN(MAX(City_Inputs!$S49,Norm_Stats!$F$7),Norm_Stats!$G$7))/(Norm_Stats!$G$7-Norm_Stats!$F$7))))</f>
        <v/>
      </c>
      <c r="T49" s="14">
        <f>IF(S49="","",1)</f>
        <v/>
      </c>
      <c r="U49" s="11">
        <f>IF(OR(City_Inputs!$T49="",Norm_Stats!$F$8="",Norm_Stats!$G$8="",Norm_Stats!$G$8=Norm_Stats!$F$8),"",MAX(0,MIN(100,100*(MIN(MAX(City_Inputs!$T49,Norm_Stats!$F$8),Norm_Stats!$G$8)-Norm_Stats!$F$8)/(Norm_Stats!$G$8-Norm_Stats!$F$8))))</f>
        <v/>
      </c>
      <c r="V49" s="14">
        <f>IF(U49="","",1)</f>
        <v/>
      </c>
      <c r="W49" s="11">
        <f>IF(OR(City_Inputs!$U49="",Norm_Stats!$F$9="",Norm_Stats!$G$9="",Norm_Stats!$G$9=Norm_Stats!$F$9),"",MAX(0,MIN(100,100*(Norm_Stats!$G$9-MIN(MAX(City_Inputs!$U49,Norm_Stats!$F$9),Norm_Stats!$G$9))/(Norm_Stats!$G$9-Norm_Stats!$F$9))))</f>
        <v/>
      </c>
      <c r="X49" s="14">
        <f>IF(W49="","",1)</f>
        <v/>
      </c>
      <c r="Y49" s="11">
        <f>IF(OR(City_Inputs!$V49="",Norm_Stats!$F$10="",Norm_Stats!$G$10="",Norm_Stats!$G$10=Norm_Stats!$F$10),"",MAX(0,MIN(100,100*(MIN(MAX(City_Inputs!$V49,Norm_Stats!$F$10),Norm_Stats!$G$10)-Norm_Stats!$F$10)/(Norm_Stats!$G$10-Norm_Stats!$F$10))))</f>
        <v/>
      </c>
      <c r="Z49" s="14">
        <f>IF(Y49="","",1)</f>
        <v/>
      </c>
      <c r="AA49" s="11">
        <f>IF(OR(City_Inputs!$W49="",Norm_Stats!$F$11="",Norm_Stats!$G$11="",Norm_Stats!$G$11=Norm_Stats!$F$11),"",MAX(0,MIN(100,100*(MIN(MAX(City_Inputs!$W49,Norm_Stats!$F$11),Norm_Stats!$G$11)-Norm_Stats!$F$11)/(Norm_Stats!$G$11-Norm_Stats!$F$11))))</f>
        <v/>
      </c>
      <c r="AB49" s="14">
        <f>IF(AA49="","",1)</f>
        <v/>
      </c>
      <c r="AC49" s="11">
        <f>IF(OR(City_Inputs!$X49="",Norm_Stats!$F$12="",Norm_Stats!$G$12="",Norm_Stats!$G$12=Norm_Stats!$F$12),"",MAX(0,MIN(100,100*(MIN(MAX(City_Inputs!$X49,Norm_Stats!$F$12),Norm_Stats!$G$12)-Norm_Stats!$F$12)/(Norm_Stats!$G$12-Norm_Stats!$F$12))))</f>
        <v/>
      </c>
      <c r="AD49" s="11">
        <f>IF(AC49="","",1)</f>
        <v/>
      </c>
      <c r="AE49" s="15">
        <f>IF((IF(S49="",0,5)+IF(U49="",0,5)+IF(W49="",0,4)+IF(Y49="",0,4)+IF(AA49="",0,4)+IF(AC49="",0,5))=0,"",(IF(S49="",0,S49*5)+IF(U49="",0,U49*5)+IF(W49="",0,W49*4)+IF(Y49="",0,Y49*4)+IF(AA49="",0,AA49*4)+IF(AC49="",0,AC49*5))/(IF(S49="",0,5)+IF(U49="",0,5)+IF(W49="",0,4)+IF(Y49="",0,4)+IF(AA49="",0,4)+IF(AC49="",0,5)))</f>
        <v/>
      </c>
      <c r="AF49" s="14">
        <f>IF((IF(T49="",0,5)+IF(V49="",0,5)+IF(X49="",0,4)+IF(Z49="",0,4)+IF(AB49="",0,4)+IF(AD49="",0,5))=0,"",(IF(T49="",0,T49*5)+IF(V49="",0,V49*5)+IF(X49="",0,X49*4)+IF(Z49="",0,Z49*4)+IF(AB49="",0,AB49*4)+IF(AD49="",0,AD49*5))/27)</f>
        <v/>
      </c>
      <c r="AG49" s="11">
        <f>IF(OR(City_Inputs!$Y49="",Norm_Stats!$F$13="",Norm_Stats!$G$13="",Norm_Stats!$G$13=Norm_Stats!$F$13),"",MAX(0,MIN(100,100*(MIN(MAX(City_Inputs!$Y49,Norm_Stats!$F$13),Norm_Stats!$G$13)-Norm_Stats!$F$13)/(Norm_Stats!$G$13-Norm_Stats!$F$13))))</f>
        <v/>
      </c>
      <c r="AH49" s="14">
        <f>IF(AG49="","",1)</f>
        <v/>
      </c>
      <c r="AI49" s="11">
        <f>IF(OR(City_Inputs!$Z49="",Norm_Stats!$F$14="",Norm_Stats!$G$14="",Norm_Stats!$G$14=Norm_Stats!$F$14),"",MAX(0,MIN(100,100*(MIN(MAX(City_Inputs!$Z49,Norm_Stats!$F$14),Norm_Stats!$G$14)-Norm_Stats!$F$14)/(Norm_Stats!$G$14-Norm_Stats!$F$14))))</f>
        <v/>
      </c>
      <c r="AJ49" s="14">
        <f>IF(AI49="","",1)</f>
        <v/>
      </c>
      <c r="AK49" s="11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(IF(OR(City_Inputs!$AA49="",Norm_Stats!$F$15="",Norm_Stats!$G$15="",Norm_Stats!$G$15=Norm_Stats!$F$15),"",MAX(0,MIN(100,100*(MIN(MAX(City_Inputs!$AA49,Norm_Stats!$F$15),Norm_Stats!$G$15)-Norm_Stats!$F$15)/(Norm_Stats!$G$15-Norm_Stats!$F$15)))))*0.7)+IF((IF(OR(City_Inputs!$AL49="",Norm_Stats!$F$16="",Norm_Stats!$G$16="",Norm_Stats!$G$16=Norm_Stats!$F$16),"",MAX(0,MIN(100,100*(Norm_Stats!$G$16-MIN(MAX(City_Inputs!$AL49,Norm_Stats!$F$16),Norm_Stats!$G$16))/(Norm_Stats!$G$16-Norm_Stats!$F$16)))))="",0,(IF(OR(City_Inputs!$AL49="",Norm_Stats!$F$16="",Norm_Stats!$G$16="",Norm_Stats!$G$16=Norm_Stats!$F$16),"",MAX(0,MIN(100,100*(Norm_Stats!$G$16-MIN(MAX(City_Inputs!$AL49,Norm_Stats!$F$16),Norm_Stats!$G$16))/(Norm_Stats!$G$16-Norm_Stats!$F$16)))))*0.3))/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L49" s="14">
        <f>IF(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=0,"",(IF((IF(OR(City_Inputs!$AA49="",Norm_Stats!$F$15="",Norm_Stats!$G$15="",Norm_Stats!$G$15=Norm_Stats!$F$15),"",MAX(0,MIN(100,100*(MIN(MAX(City_Inputs!$AA49,Norm_Stats!$F$15),Norm_Stats!$G$15)-Norm_Stats!$F$15)/(Norm_Stats!$G$15-Norm_Stats!$F$15)))))="",0,0.7)+IF((IF(OR(City_Inputs!$AL49="",Norm_Stats!$F$16="",Norm_Stats!$G$16="",Norm_Stats!$G$16=Norm_Stats!$F$16),"",MAX(0,MIN(100,100*(Norm_Stats!$G$16-MIN(MAX(City_Inputs!$AL49,Norm_Stats!$F$16),Norm_Stats!$G$16))/(Norm_Stats!$G$16-Norm_Stats!$F$16)))))="",0,0.3)))</f>
        <v/>
      </c>
      <c r="AM49" s="15">
        <f>IF((IF(AG49="",0,8)+IF(AI49="",0,6)+IF(AK49="",0,4))=0,"",(IF(AG49="",0,AG49*8)+IF(AI49="",0,AI49*6)+IF(AK49="",0,AK49*4))/(IF(AG49="",0,8)+IF(AI49="",0,6)+IF(AK49="",0,4)))</f>
        <v/>
      </c>
      <c r="AN49" s="14">
        <f>IF((IF(AH49="",0,8)+IF(AJ49="",0,6)+IF(AL49="",0,4))=0,"",(IF(AH49="",0,AH49*8)+IF(AJ49="",0,AJ49*6)+IF(AL49="",0,AL49*4))/18)</f>
        <v/>
      </c>
      <c r="AO49" s="11">
        <f>IF(OR(City_Inputs!$AB49="",Norm_Stats!$F$17="",Norm_Stats!$G$17="",Norm_Stats!$G$17=Norm_Stats!$F$17),"",MAX(0,MIN(100,100*(MIN(MAX(City_Inputs!$AB49,Norm_Stats!$F$17),Norm_Stats!$G$17)-Norm_Stats!$F$17)/(Norm_Stats!$G$17-Norm_Stats!$F$17))))</f>
        <v/>
      </c>
      <c r="AP49" s="14">
        <f>IF(AO49="","",1)</f>
        <v/>
      </c>
      <c r="AQ49" s="11">
        <f>IF(OR(City_Inputs!$AC49="",Norm_Stats!$F$18="",Norm_Stats!$G$18="",Norm_Stats!$G$18=Norm_Stats!$F$18),"",MAX(0,MIN(100,100*(MIN(MAX(City_Inputs!$AC49,Norm_Stats!$F$18),Norm_Stats!$G$18)-Norm_Stats!$F$18)/(Norm_Stats!$G$18-Norm_Stats!$F$18))))</f>
        <v/>
      </c>
      <c r="AR49" s="14">
        <f>IF(AQ49="","",1)</f>
        <v/>
      </c>
      <c r="AS49" s="11">
        <f>IF(OR(City_Inputs!$AD49="",Norm_Stats!$F$19="",Norm_Stats!$G$19="",Norm_Stats!$G$19=Norm_Stats!$F$19),"",MAX(0,MIN(100,100*(MIN(MAX(City_Inputs!$AD49,Norm_Stats!$F$19),Norm_Stats!$G$19)-Norm_Stats!$F$19)/(Norm_Stats!$G$19-Norm_Stats!$F$19))))</f>
        <v/>
      </c>
      <c r="AT49" s="14">
        <f>IF(AS49="","",1)</f>
        <v/>
      </c>
      <c r="AU49" s="11">
        <f>IF(OR(City_Inputs!$BJ49="",Norm_Stats!$F$26="",Norm_Stats!$G$26="",Norm_Stats!$G$26=Norm_Stats!$F$26),"",MAX(0,MIN(100,100*(MIN(MAX(City_Inputs!$BJ49,Norm_Stats!$F$26),Norm_Stats!$G$26)-Norm_Stats!$F$26)/(Norm_Stats!$G$26-Norm_Stats!$F$26))))</f>
        <v/>
      </c>
      <c r="AV49" s="11">
        <f>IF(AU49="","",1)</f>
        <v/>
      </c>
      <c r="AW49" s="15">
        <f>IF((IF(AO49="",0,5)+IF(AQ49="",0,5)+IF(AS49="",0,5)+IF(AU49="",0,4))=0,"",(IF(AO49="",0,AO49*5)+IF(AQ49="",0,AQ49*5)+IF(AS49="",0,AS49*5)+IF(AU49="",0,AU49*4))/(IF(AO49="",0,5)+IF(AQ49="",0,5)+IF(AS49="",0,5)+IF(AU49="",0,4)))</f>
        <v/>
      </c>
      <c r="AX49" s="14">
        <f>IF((IF(AP49="",0,5)+IF(AR49="",0,5)+IF(AT49="",0,5)+IF(AV49="",0,4))=0,"",(IF(AP49="",0,AP49*5)+IF(AR49="",0,AR49*5)+IF(AT49="",0,AT49*5)+IF(AV49="",0,AV49*4))/19)</f>
        <v/>
      </c>
      <c r="AY49" s="11">
        <f>IF(OR(City_Inputs!$AE49="",Norm_Stats!$F$20="",Norm_Stats!$G$20="",Norm_Stats!$G$20=Norm_Stats!$F$20),"",MAX(0,MIN(100,100*(MIN(MAX(City_Inputs!$AE49,Norm_Stats!$F$20),Norm_Stats!$G$20)-Norm_Stats!$F$20)/(Norm_Stats!$G$20-Norm_Stats!$F$20))))</f>
        <v/>
      </c>
      <c r="AZ49" s="14">
        <f>IF(AY49="","",1)</f>
        <v/>
      </c>
      <c r="BA49" s="11">
        <f>IF(OR(City_Inputs!$AF49="",Norm_Stats!$F$21="",Norm_Stats!$G$21="",Norm_Stats!$G$21=Norm_Stats!$F$21),"",MAX(0,MIN(100,100*(MIN(MAX(City_Inputs!$AF49,Norm_Stats!$F$21),Norm_Stats!$G$21)-Norm_Stats!$F$21)/(Norm_Stats!$G$21-Norm_Stats!$F$21))))</f>
        <v/>
      </c>
      <c r="BB49" s="14">
        <f>IF(BA49="","",1)</f>
        <v/>
      </c>
      <c r="BC49" s="11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(IF(OR(City_Inputs!$AG49="",Norm_Stats!$F$22="",Norm_Stats!$G$22="",Norm_Stats!$G$22=Norm_Stats!$F$22),"",MAX(0,MIN(100,100*(MIN(MAX(City_Inputs!$AG49,Norm_Stats!$F$22),Norm_Stats!$G$22)-Norm_Stats!$F$22)/(Norm_Stats!$G$22-Norm_Stats!$F$22)))))*0.5)+IF((IF(OR(City_Inputs!$AJ49="",Norm_Stats!$F$23="",Norm_Stats!$G$23="",Norm_Stats!$G$23=Norm_Stats!$F$23),"",MAX(0,MIN(100,100*(MIN(MAX(City_Inputs!$AJ49,Norm_Stats!$F$23),Norm_Stats!$G$23)-Norm_Stats!$F$23)/(Norm_Stats!$G$23-Norm_Stats!$F$23)))))="",0,(IF(OR(City_Inputs!$AJ49="",Norm_Stats!$F$23="",Norm_Stats!$G$23="",Norm_Stats!$G$23=Norm_Stats!$F$23),"",MAX(0,MIN(100,100*(MIN(MAX(City_Inputs!$AJ49,Norm_Stats!$F$23),Norm_Stats!$G$23)-Norm_Stats!$F$23)/(Norm_Stats!$G$23-Norm_Stats!$F$23)))))*0.3)+IF((IF(OR(City_Inputs!$AK49="",Norm_Stats!$F$24="",Norm_Stats!$G$24="",Norm_Stats!$G$24=Norm_Stats!$F$24),"",MAX(0,MIN(100,100*(MIN(MAX(City_Inputs!$AK49,Norm_Stats!$F$24),Norm_Stats!$G$24)-Norm_Stats!$F$24)/(Norm_Stats!$G$24-Norm_Stats!$F$24)))))="",0,(IF(OR(City_Inputs!$AK49="",Norm_Stats!$F$24="",Norm_Stats!$G$24="",Norm_Stats!$G$24=Norm_Stats!$F$24),"",MAX(0,MIN(100,100*(MIN(MAX(City_Inputs!$AK49,Norm_Stats!$F$24),Norm_Stats!$G$24)-Norm_Stats!$F$24)/(Norm_Stats!$G$24-Norm_Stats!$F$24)))))*0.2))/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D49" s="14">
        <f>IF(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=0,"",(IF((IF(OR(City_Inputs!$AG49="",Norm_Stats!$F$22="",Norm_Stats!$G$22="",Norm_Stats!$G$22=Norm_Stats!$F$22),"",MAX(0,MIN(100,100*(MIN(MAX(City_Inputs!$AG49,Norm_Stats!$F$22),Norm_Stats!$G$22)-Norm_Stats!$F$22)/(Norm_Stats!$G$22-Norm_Stats!$F$22)))))="",0,0.5)+IF((IF(OR(City_Inputs!$AJ49="",Norm_Stats!$F$23="",Norm_Stats!$G$23="",Norm_Stats!$G$23=Norm_Stats!$F$23),"",MAX(0,MIN(100,100*(MIN(MAX(City_Inputs!$AJ49,Norm_Stats!$F$23),Norm_Stats!$G$23)-Norm_Stats!$F$23)/(Norm_Stats!$G$23-Norm_Stats!$F$23)))))="",0,0.3)+IF((IF(OR(City_Inputs!$AK49="",Norm_Stats!$F$24="",Norm_Stats!$G$24="",Norm_Stats!$G$24=Norm_Stats!$F$24),"",MAX(0,MIN(100,100*(MIN(MAX(City_Inputs!$AK49,Norm_Stats!$F$24),Norm_Stats!$G$24)-Norm_Stats!$F$24)/(Norm_Stats!$G$24-Norm_Stats!$F$24)))))="",0,0.2)))</f>
        <v/>
      </c>
      <c r="BE49" s="11">
        <f>IF(OR(City_Inputs!$AH49="",Norm_Stats!$F$25="",Norm_Stats!$G$25="",Norm_Stats!$G$25=Norm_Stats!$F$25),"",MAX(0,MIN(100,100*(Norm_Stats!$G$25-MIN(MAX(City_Inputs!$AH49,Norm_Stats!$F$25),Norm_Stats!$G$25))/(Norm_Stats!$G$25-Norm_Stats!$F$25))))</f>
        <v/>
      </c>
      <c r="BF49" s="14">
        <f>IF(BE49="","",1)</f>
        <v/>
      </c>
      <c r="BG49" s="15">
        <f>IF((IF(AY49="",0,6)+IF(BA49="",0,5)+IF(BC49="",0,5)+IF(BE49="",0,4))=0,"",(IF(AY49="",0,AY49*6)+IF(BA49="",0,BA49*5)+IF(BC49="",0,BC49*5)+IF(BE49="",0,BE49*4))/(IF(AY49="",0,6)+IF(BA49="",0,5)+IF(BC49="",0,5)+IF(BE49="",0,4)))</f>
        <v/>
      </c>
      <c r="BH49" s="14">
        <f>IF((IF(AZ49="",0,6)+IF(BB49="",0,5)+IF(BD49="",0,5)+IF(BF49="",0,4))=0,"",(IF(AZ49="",0,AZ49*6)+IF(BB49="",0,BB49*5)+IF(BD49="",0,BD49*5)+IF(BF49="",0,BF49*4))/20)</f>
        <v/>
      </c>
      <c r="BI49" s="14">
        <f>IF(AND(R49="",AF49="",AN49="",AX49="",BH49=""),"",((R49*25)+(AF49*22)+(AN49*18)+(AX49*15)+(BH49*20))/100)</f>
        <v/>
      </c>
      <c r="BJ49" s="11">
        <f>IF(BI49="","",IF(BI49&gt;=0.75,"A",IF(BI49&gt;=0.5,"B",IF(BI49&gt;=0.35,"C","Watchlist"))))</f>
        <v/>
      </c>
      <c r="BK49" s="11">
        <f>IF(OR(BI49="",BI49&lt;0.5,R49="",R49&lt;0.35,AF49="",AF49&lt;0.35,AN49="",AN49&lt;0.35,AX49="",AX49&lt;0.35,BH49="",BH49&lt;0.35),"Watchlist","Ranked")</f>
        <v/>
      </c>
      <c r="BL49" s="15">
        <f>IF(AND(Q49="",AE49="",AM49="",AW49="",BG49=""),"",(IF(Q49="",0,Q49*25)+IF(AE49="",0,AE49*22)+IF(AM49="",0,AM49*18)+IF(AW49="",0,AW49*15)+IF(BG49="",0,BG49*20))/(IF(Q49="",0,25)+IF(AE49="",0,22)+IF(AM49="",0,18)+IF(AW49="",0,15)+IF(BG49="",0,20)))</f>
        <v/>
      </c>
      <c r="BM49" s="11">
        <f>IF(BK49="Ranked",1+COUNTIFS($BK$2:$BK$158,"Ranked",$BL$2:$BL$158,"&gt;"&amp;BL49),"")</f>
        <v/>
      </c>
      <c r="BN49" s="11">
        <f>City_Inputs!$AI49</f>
        <v/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Western, Northern, and Southern Europe</t>
        </is>
      </c>
      <c r="E50" t="inlineStr">
        <is>
          <t>provisional</t>
        </is>
      </c>
      <c r="F50" t="inlineStr">
        <is>
          <t>secondary</t>
        </is>
      </c>
      <c r="G50" s="11">
        <f>IF(OR(City_Inputs!$M50="",Norm_Stats!$F$2="",Norm_Stats!$G$2="",Norm_Stats!$G$2=Norm_Stats!$F$2),"",MAX(0,MIN(100,100*(MIN(MAX(City_Inputs!$M50,Norm_Stats!$F$2),Norm_Stats!$G$2)-Norm_Stats!$F$2)/(Norm_Stats!$G$2-Norm_Stats!$F$2))))</f>
        <v/>
      </c>
      <c r="H50" s="14">
        <f>IF(G50="","",1)</f>
        <v/>
      </c>
      <c r="I50" s="11">
        <f>IF(OR(City_Inputs!$N50="",Norm_Stats!$F$3="",Norm_Stats!$G$3="",Norm_Stats!$G$3=Norm_Stats!$F$3),"",MAX(0,MIN(100,100*(Norm_Stats!$G$3-MIN(MAX(City_Inputs!$N50,Norm_Stats!$F$3),Norm_Stats!$G$3))/(Norm_Stats!$G$3-Norm_Stats!$F$3))))</f>
        <v/>
      </c>
      <c r="J50" s="14">
        <f>IF(I50="","",1)</f>
        <v/>
      </c>
      <c r="K50" s="11">
        <f>IF(OR(City_Inputs!$P50="",Norm_Stats!$F$4="",Norm_Stats!$G$4="",Norm_Stats!$G$4=Norm_Stats!$F$4),"",MAX(0,MIN(100,100*(Norm_Stats!$G$4-MIN(MAX(City_Inputs!$P50,Norm_Stats!$F$4),Norm_Stats!$G$4))/(Norm_Stats!$G$4-Norm_Stats!$F$4))))</f>
        <v/>
      </c>
      <c r="L50" s="14">
        <f>IF(K50="","",1)</f>
        <v/>
      </c>
      <c r="M50" s="11">
        <f>IF(OR(City_Inputs!$Q50="",Norm_Stats!$F$5="",Norm_Stats!$G$5="",Norm_Stats!$G$5=Norm_Stats!$F$5),"",MAX(0,MIN(100,100*(Norm_Stats!$G$5-MIN(MAX(City_Inputs!$Q50,Norm_Stats!$F$5),Norm_Stats!$G$5))/(Norm_Stats!$G$5-Norm_Stats!$F$5))))</f>
        <v/>
      </c>
      <c r="N50" s="14">
        <f>IF(M50="","",1)</f>
        <v/>
      </c>
      <c r="O50" s="11">
        <f>IF(OR(City_Inputs!$R50="",Norm_Stats!$F$6="",Norm_Stats!$G$6="",Norm_Stats!$G$6=Norm_Stats!$F$6),"",MAX(0,MIN(100,100*(Norm_Stats!$G$6-MIN(MAX(City_Inputs!$R50,Norm_Stats!$F$6),Norm_Stats!$G$6))/(Norm_Stats!$G$6-Norm_Stats!$F$6))))</f>
        <v/>
      </c>
      <c r="P50" s="14">
        <f>IF(O50="","",1)</f>
        <v/>
      </c>
      <c r="Q50" s="15">
        <f>IF((IF(G50="",0,9)+IF(I50="",0,5)+IF(K50="",0,4)+IF(M50="",0,4)+IF(O50="",0,5))=0,"",(IF(G50="",0,G50*9)+IF(I50="",0,I50*5)+IF(K50="",0,K50*4)+IF(M50="",0,M50*4)+IF(O50="",0,O50*5))/(IF(G50="",0,9)+IF(I50="",0,5)+IF(K50="",0,4)+IF(M50="",0,4)+IF(O50="",0,5)))</f>
        <v/>
      </c>
      <c r="R50" s="14">
        <f>IF((IF(H50="",0,9)+IF(J50="",0,5)+IF(L50="",0,4)+IF(N50="",0,4)+IF(P50="",0,5))=0,"",(IF(H50="",0,H50*9)+IF(J50="",0,J50*5)+IF(L50="",0,L50*4)+IF(N50="",0,N50*4)+IF(P50="",0,P50*5))/27)</f>
        <v/>
      </c>
      <c r="S50" s="11">
        <f>IF(OR(City_Inputs!$S50="",Norm_Stats!$F$7="",Norm_Stats!$G$7="",Norm_Stats!$G$7=Norm_Stats!$F$7),"",MAX(0,MIN(100,100*(Norm_Stats!$G$7-MIN(MAX(City_Inputs!$S50,Norm_Stats!$F$7),Norm_Stats!$G$7))/(Norm_Stats!$G$7-Norm_Stats!$F$7))))</f>
        <v/>
      </c>
      <c r="T50" s="14">
        <f>IF(S50="","",1)</f>
        <v/>
      </c>
      <c r="U50" s="11">
        <f>IF(OR(City_Inputs!$T50="",Norm_Stats!$F$8="",Norm_Stats!$G$8="",Norm_Stats!$G$8=Norm_Stats!$F$8),"",MAX(0,MIN(100,100*(MIN(MAX(City_Inputs!$T50,Norm_Stats!$F$8),Norm_Stats!$G$8)-Norm_Stats!$F$8)/(Norm_Stats!$G$8-Norm_Stats!$F$8))))</f>
        <v/>
      </c>
      <c r="V50" s="14">
        <f>IF(U50="","",1)</f>
        <v/>
      </c>
      <c r="W50" s="11">
        <f>IF(OR(City_Inputs!$U50="",Norm_Stats!$F$9="",Norm_Stats!$G$9="",Norm_Stats!$G$9=Norm_Stats!$F$9),"",MAX(0,MIN(100,100*(Norm_Stats!$G$9-MIN(MAX(City_Inputs!$U50,Norm_Stats!$F$9),Norm_Stats!$G$9))/(Norm_Stats!$G$9-Norm_Stats!$F$9))))</f>
        <v/>
      </c>
      <c r="X50" s="14">
        <f>IF(W50="","",1)</f>
        <v/>
      </c>
      <c r="Y50" s="11">
        <f>IF(OR(City_Inputs!$V50="",Norm_Stats!$F$10="",Norm_Stats!$G$10="",Norm_Stats!$G$10=Norm_Stats!$F$10),"",MAX(0,MIN(100,100*(MIN(MAX(City_Inputs!$V50,Norm_Stats!$F$10),Norm_Stats!$G$10)-Norm_Stats!$F$10)/(Norm_Stats!$G$10-Norm_Stats!$F$10))))</f>
        <v/>
      </c>
      <c r="Z50" s="14">
        <f>IF(Y50="","",1)</f>
        <v/>
      </c>
      <c r="AA50" s="11">
        <f>IF(OR(City_Inputs!$W50="",Norm_Stats!$F$11="",Norm_Stats!$G$11="",Norm_Stats!$G$11=Norm_Stats!$F$11),"",MAX(0,MIN(100,100*(MIN(MAX(City_Inputs!$W50,Norm_Stats!$F$11),Norm_Stats!$G$11)-Norm_Stats!$F$11)/(Norm_Stats!$G$11-Norm_Stats!$F$11))))</f>
        <v/>
      </c>
      <c r="AB50" s="14">
        <f>IF(AA50="","",1)</f>
        <v/>
      </c>
      <c r="AC50" s="11">
        <f>IF(OR(City_Inputs!$X50="",Norm_Stats!$F$12="",Norm_Stats!$G$12="",Norm_Stats!$G$12=Norm_Stats!$F$12),"",MAX(0,MIN(100,100*(MIN(MAX(City_Inputs!$X50,Norm_Stats!$F$12),Norm_Stats!$G$12)-Norm_Stats!$F$12)/(Norm_Stats!$G$12-Norm_Stats!$F$12))))</f>
        <v/>
      </c>
      <c r="AD50" s="11">
        <f>IF(AC50="","",1)</f>
        <v/>
      </c>
      <c r="AE50" s="15">
        <f>IF((IF(S50="",0,5)+IF(U50="",0,5)+IF(W50="",0,4)+IF(Y50="",0,4)+IF(AA50="",0,4)+IF(AC50="",0,5))=0,"",(IF(S50="",0,S50*5)+IF(U50="",0,U50*5)+IF(W50="",0,W50*4)+IF(Y50="",0,Y50*4)+IF(AA50="",0,AA50*4)+IF(AC50="",0,AC50*5))/(IF(S50="",0,5)+IF(U50="",0,5)+IF(W50="",0,4)+IF(Y50="",0,4)+IF(AA50="",0,4)+IF(AC50="",0,5)))</f>
        <v/>
      </c>
      <c r="AF50" s="14">
        <f>IF((IF(T50="",0,5)+IF(V50="",0,5)+IF(X50="",0,4)+IF(Z50="",0,4)+IF(AB50="",0,4)+IF(AD50="",0,5))=0,"",(IF(T50="",0,T50*5)+IF(V50="",0,V50*5)+IF(X50="",0,X50*4)+IF(Z50="",0,Z50*4)+IF(AB50="",0,AB50*4)+IF(AD50="",0,AD50*5))/27)</f>
        <v/>
      </c>
      <c r="AG50" s="11">
        <f>IF(OR(City_Inputs!$Y50="",Norm_Stats!$F$13="",Norm_Stats!$G$13="",Norm_Stats!$G$13=Norm_Stats!$F$13),"",MAX(0,MIN(100,100*(MIN(MAX(City_Inputs!$Y50,Norm_Stats!$F$13),Norm_Stats!$G$13)-Norm_Stats!$F$13)/(Norm_Stats!$G$13-Norm_Stats!$F$13))))</f>
        <v/>
      </c>
      <c r="AH50" s="14">
        <f>IF(AG50="","",1)</f>
        <v/>
      </c>
      <c r="AI50" s="11">
        <f>IF(OR(City_Inputs!$Z50="",Norm_Stats!$F$14="",Norm_Stats!$G$14="",Norm_Stats!$G$14=Norm_Stats!$F$14),"",MAX(0,MIN(100,100*(MIN(MAX(City_Inputs!$Z50,Norm_Stats!$F$14),Norm_Stats!$G$14)-Norm_Stats!$F$14)/(Norm_Stats!$G$14-Norm_Stats!$F$14))))</f>
        <v/>
      </c>
      <c r="AJ50" s="14">
        <f>IF(AI50="","",1)</f>
        <v/>
      </c>
      <c r="AK50" s="11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(IF(OR(City_Inputs!$AA50="",Norm_Stats!$F$15="",Norm_Stats!$G$15="",Norm_Stats!$G$15=Norm_Stats!$F$15),"",MAX(0,MIN(100,100*(MIN(MAX(City_Inputs!$AA50,Norm_Stats!$F$15),Norm_Stats!$G$15)-Norm_Stats!$F$15)/(Norm_Stats!$G$15-Norm_Stats!$F$15)))))*0.7)+IF((IF(OR(City_Inputs!$AL50="",Norm_Stats!$F$16="",Norm_Stats!$G$16="",Norm_Stats!$G$16=Norm_Stats!$F$16),"",MAX(0,MIN(100,100*(Norm_Stats!$G$16-MIN(MAX(City_Inputs!$AL50,Norm_Stats!$F$16),Norm_Stats!$G$16))/(Norm_Stats!$G$16-Norm_Stats!$F$16)))))="",0,(IF(OR(City_Inputs!$AL50="",Norm_Stats!$F$16="",Norm_Stats!$G$16="",Norm_Stats!$G$16=Norm_Stats!$F$16),"",MAX(0,MIN(100,100*(Norm_Stats!$G$16-MIN(MAX(City_Inputs!$AL50,Norm_Stats!$F$16),Norm_Stats!$G$16))/(Norm_Stats!$G$16-Norm_Stats!$F$16)))))*0.3))/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L50" s="14">
        <f>IF(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=0,"",(IF((IF(OR(City_Inputs!$AA50="",Norm_Stats!$F$15="",Norm_Stats!$G$15="",Norm_Stats!$G$15=Norm_Stats!$F$15),"",MAX(0,MIN(100,100*(MIN(MAX(City_Inputs!$AA50,Norm_Stats!$F$15),Norm_Stats!$G$15)-Norm_Stats!$F$15)/(Norm_Stats!$G$15-Norm_Stats!$F$15)))))="",0,0.7)+IF((IF(OR(City_Inputs!$AL50="",Norm_Stats!$F$16="",Norm_Stats!$G$16="",Norm_Stats!$G$16=Norm_Stats!$F$16),"",MAX(0,MIN(100,100*(Norm_Stats!$G$16-MIN(MAX(City_Inputs!$AL50,Norm_Stats!$F$16),Norm_Stats!$G$16))/(Norm_Stats!$G$16-Norm_Stats!$F$16)))))="",0,0.3)))</f>
        <v/>
      </c>
      <c r="AM50" s="15">
        <f>IF((IF(AG50="",0,8)+IF(AI50="",0,6)+IF(AK50="",0,4))=0,"",(IF(AG50="",0,AG50*8)+IF(AI50="",0,AI50*6)+IF(AK50="",0,AK50*4))/(IF(AG50="",0,8)+IF(AI50="",0,6)+IF(AK50="",0,4)))</f>
        <v/>
      </c>
      <c r="AN50" s="14">
        <f>IF((IF(AH50="",0,8)+IF(AJ50="",0,6)+IF(AL50="",0,4))=0,"",(IF(AH50="",0,AH50*8)+IF(AJ50="",0,AJ50*6)+IF(AL50="",0,AL50*4))/18)</f>
        <v/>
      </c>
      <c r="AO50" s="11">
        <f>IF(OR(City_Inputs!$AB50="",Norm_Stats!$F$17="",Norm_Stats!$G$17="",Norm_Stats!$G$17=Norm_Stats!$F$17),"",MAX(0,MIN(100,100*(MIN(MAX(City_Inputs!$AB50,Norm_Stats!$F$17),Norm_Stats!$G$17)-Norm_Stats!$F$17)/(Norm_Stats!$G$17-Norm_Stats!$F$17))))</f>
        <v/>
      </c>
      <c r="AP50" s="14">
        <f>IF(AO50="","",1)</f>
        <v/>
      </c>
      <c r="AQ50" s="11">
        <f>IF(OR(City_Inputs!$AC50="",Norm_Stats!$F$18="",Norm_Stats!$G$18="",Norm_Stats!$G$18=Norm_Stats!$F$18),"",MAX(0,MIN(100,100*(MIN(MAX(City_Inputs!$AC50,Norm_Stats!$F$18),Norm_Stats!$G$18)-Norm_Stats!$F$18)/(Norm_Stats!$G$18-Norm_Stats!$F$18))))</f>
        <v/>
      </c>
      <c r="AR50" s="14">
        <f>IF(AQ50="","",1)</f>
        <v/>
      </c>
      <c r="AS50" s="11">
        <f>IF(OR(City_Inputs!$AD50="",Norm_Stats!$F$19="",Norm_Stats!$G$19="",Norm_Stats!$G$19=Norm_Stats!$F$19),"",MAX(0,MIN(100,100*(MIN(MAX(City_Inputs!$AD50,Norm_Stats!$F$19),Norm_Stats!$G$19)-Norm_Stats!$F$19)/(Norm_Stats!$G$19-Norm_Stats!$F$19))))</f>
        <v/>
      </c>
      <c r="AT50" s="14">
        <f>IF(AS50="","",1)</f>
        <v/>
      </c>
      <c r="AU50" s="11">
        <f>IF(OR(City_Inputs!$BJ50="",Norm_Stats!$F$26="",Norm_Stats!$G$26="",Norm_Stats!$G$26=Norm_Stats!$F$26),"",MAX(0,MIN(100,100*(MIN(MAX(City_Inputs!$BJ50,Norm_Stats!$F$26),Norm_Stats!$G$26)-Norm_Stats!$F$26)/(Norm_Stats!$G$26-Norm_Stats!$F$26))))</f>
        <v/>
      </c>
      <c r="AV50" s="11">
        <f>IF(AU50="","",1)</f>
        <v/>
      </c>
      <c r="AW50" s="15">
        <f>IF((IF(AO50="",0,5)+IF(AQ50="",0,5)+IF(AS50="",0,5)+IF(AU50="",0,4))=0,"",(IF(AO50="",0,AO50*5)+IF(AQ50="",0,AQ50*5)+IF(AS50="",0,AS50*5)+IF(AU50="",0,AU50*4))/(IF(AO50="",0,5)+IF(AQ50="",0,5)+IF(AS50="",0,5)+IF(AU50="",0,4)))</f>
        <v/>
      </c>
      <c r="AX50" s="14">
        <f>IF((IF(AP50="",0,5)+IF(AR50="",0,5)+IF(AT50="",0,5)+IF(AV50="",0,4))=0,"",(IF(AP50="",0,AP50*5)+IF(AR50="",0,AR50*5)+IF(AT50="",0,AT50*5)+IF(AV50="",0,AV50*4))/19)</f>
        <v/>
      </c>
      <c r="AY50" s="11">
        <f>IF(OR(City_Inputs!$AE50="",Norm_Stats!$F$20="",Norm_Stats!$G$20="",Norm_Stats!$G$20=Norm_Stats!$F$20),"",MAX(0,MIN(100,100*(MIN(MAX(City_Inputs!$AE50,Norm_Stats!$F$20),Norm_Stats!$G$20)-Norm_Stats!$F$20)/(Norm_Stats!$G$20-Norm_Stats!$F$20))))</f>
        <v/>
      </c>
      <c r="AZ50" s="14">
        <f>IF(AY50="","",1)</f>
        <v/>
      </c>
      <c r="BA50" s="11">
        <f>IF(OR(City_Inputs!$AF50="",Norm_Stats!$F$21="",Norm_Stats!$G$21="",Norm_Stats!$G$21=Norm_Stats!$F$21),"",MAX(0,MIN(100,100*(MIN(MAX(City_Inputs!$AF50,Norm_Stats!$F$21),Norm_Stats!$G$21)-Norm_Stats!$F$21)/(Norm_Stats!$G$21-Norm_Stats!$F$21))))</f>
        <v/>
      </c>
      <c r="BB50" s="14">
        <f>IF(BA50="","",1)</f>
        <v/>
      </c>
      <c r="BC50" s="11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(IF(OR(City_Inputs!$AG50="",Norm_Stats!$F$22="",Norm_Stats!$G$22="",Norm_Stats!$G$22=Norm_Stats!$F$22),"",MAX(0,MIN(100,100*(MIN(MAX(City_Inputs!$AG50,Norm_Stats!$F$22),Norm_Stats!$G$22)-Norm_Stats!$F$22)/(Norm_Stats!$G$22-Norm_Stats!$F$22)))))*0.5)+IF((IF(OR(City_Inputs!$AJ50="",Norm_Stats!$F$23="",Norm_Stats!$G$23="",Norm_Stats!$G$23=Norm_Stats!$F$23),"",MAX(0,MIN(100,100*(MIN(MAX(City_Inputs!$AJ50,Norm_Stats!$F$23),Norm_Stats!$G$23)-Norm_Stats!$F$23)/(Norm_Stats!$G$23-Norm_Stats!$F$23)))))="",0,(IF(OR(City_Inputs!$AJ50="",Norm_Stats!$F$23="",Norm_Stats!$G$23="",Norm_Stats!$G$23=Norm_Stats!$F$23),"",MAX(0,MIN(100,100*(MIN(MAX(City_Inputs!$AJ50,Norm_Stats!$F$23),Norm_Stats!$G$23)-Norm_Stats!$F$23)/(Norm_Stats!$G$23-Norm_Stats!$F$23)))))*0.3)+IF((IF(OR(City_Inputs!$AK50="",Norm_Stats!$F$24="",Norm_Stats!$G$24="",Norm_Stats!$G$24=Norm_Stats!$F$24),"",MAX(0,MIN(100,100*(MIN(MAX(City_Inputs!$AK50,Norm_Stats!$F$24),Norm_Stats!$G$24)-Norm_Stats!$F$24)/(Norm_Stats!$G$24-Norm_Stats!$F$24)))))="",0,(IF(OR(City_Inputs!$AK50="",Norm_Stats!$F$24="",Norm_Stats!$G$24="",Norm_Stats!$G$24=Norm_Stats!$F$24),"",MAX(0,MIN(100,100*(MIN(MAX(City_Inputs!$AK50,Norm_Stats!$F$24),Norm_Stats!$G$24)-Norm_Stats!$F$24)/(Norm_Stats!$G$24-Norm_Stats!$F$24)))))*0.2))/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D50" s="14">
        <f>IF(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=0,"",(IF((IF(OR(City_Inputs!$AG50="",Norm_Stats!$F$22="",Norm_Stats!$G$22="",Norm_Stats!$G$22=Norm_Stats!$F$22),"",MAX(0,MIN(100,100*(MIN(MAX(City_Inputs!$AG50,Norm_Stats!$F$22),Norm_Stats!$G$22)-Norm_Stats!$F$22)/(Norm_Stats!$G$22-Norm_Stats!$F$22)))))="",0,0.5)+IF((IF(OR(City_Inputs!$AJ50="",Norm_Stats!$F$23="",Norm_Stats!$G$23="",Norm_Stats!$G$23=Norm_Stats!$F$23),"",MAX(0,MIN(100,100*(MIN(MAX(City_Inputs!$AJ50,Norm_Stats!$F$23),Norm_Stats!$G$23)-Norm_Stats!$F$23)/(Norm_Stats!$G$23-Norm_Stats!$F$23)))))="",0,0.3)+IF((IF(OR(City_Inputs!$AK50="",Norm_Stats!$F$24="",Norm_Stats!$G$24="",Norm_Stats!$G$24=Norm_Stats!$F$24),"",MAX(0,MIN(100,100*(MIN(MAX(City_Inputs!$AK50,Norm_Stats!$F$24),Norm_Stats!$G$24)-Norm_Stats!$F$24)/(Norm_Stats!$G$24-Norm_Stats!$F$24)))))="",0,0.2)))</f>
        <v/>
      </c>
      <c r="BE50" s="11">
        <f>IF(OR(City_Inputs!$AH50="",Norm_Stats!$F$25="",Norm_Stats!$G$25="",Norm_Stats!$G$25=Norm_Stats!$F$25),"",MAX(0,MIN(100,100*(Norm_Stats!$G$25-MIN(MAX(City_Inputs!$AH50,Norm_Stats!$F$25),Norm_Stats!$G$25))/(Norm_Stats!$G$25-Norm_Stats!$F$25))))</f>
        <v/>
      </c>
      <c r="BF50" s="14">
        <f>IF(BE50="","",1)</f>
        <v/>
      </c>
      <c r="BG50" s="15">
        <f>IF((IF(AY50="",0,6)+IF(BA50="",0,5)+IF(BC50="",0,5)+IF(BE50="",0,4))=0,"",(IF(AY50="",0,AY50*6)+IF(BA50="",0,BA50*5)+IF(BC50="",0,BC50*5)+IF(BE50="",0,BE50*4))/(IF(AY50="",0,6)+IF(BA50="",0,5)+IF(BC50="",0,5)+IF(BE50="",0,4)))</f>
        <v/>
      </c>
      <c r="BH50" s="14">
        <f>IF((IF(AZ50="",0,6)+IF(BB50="",0,5)+IF(BD50="",0,5)+IF(BF50="",0,4))=0,"",(IF(AZ50="",0,AZ50*6)+IF(BB50="",0,BB50*5)+IF(BD50="",0,BD50*5)+IF(BF50="",0,BF50*4))/20)</f>
        <v/>
      </c>
      <c r="BI50" s="14">
        <f>IF(AND(R50="",AF50="",AN50="",AX50="",BH50=""),"",((R50*25)+(AF50*22)+(AN50*18)+(AX50*15)+(BH50*20))/100)</f>
        <v/>
      </c>
      <c r="BJ50" s="11">
        <f>IF(BI50="","",IF(BI50&gt;=0.75,"A",IF(BI50&gt;=0.5,"B",IF(BI50&gt;=0.35,"C","Watchlist"))))</f>
        <v/>
      </c>
      <c r="BK50" s="11">
        <f>IF(OR(BI50="",BI50&lt;0.5,R50="",R50&lt;0.35,AF50="",AF50&lt;0.35,AN50="",AN50&lt;0.35,AX50="",AX50&lt;0.35,BH50="",BH50&lt;0.35),"Watchlist","Ranked")</f>
        <v/>
      </c>
      <c r="BL50" s="15">
        <f>IF(AND(Q50="",AE50="",AM50="",AW50="",BG50=""),"",(IF(Q50="",0,Q50*25)+IF(AE50="",0,AE50*22)+IF(AM50="",0,AM50*18)+IF(AW50="",0,AW50*15)+IF(BG50="",0,BG50*20))/(IF(Q50="",0,25)+IF(AE50="",0,22)+IF(AM50="",0,18)+IF(AW50="",0,15)+IF(BG50="",0,20)))</f>
        <v/>
      </c>
      <c r="BM50" s="11">
        <f>IF(BK50="Ranked",1+COUNTIFS($BK$2:$BK$158,"Ranked",$BL$2:$BL$158,"&gt;"&amp;BL50),"")</f>
        <v/>
      </c>
      <c r="BN50" s="11">
        <f>City_Inputs!$AI50</f>
        <v/>
      </c>
    </row>
    <row r="51">
      <c r="A51" t="inlineStr">
        <is>
          <t>ru-moscow</t>
        </is>
      </c>
      <c r="B51" t="inlineStr">
        <is>
          <t>Moscow</t>
        </is>
      </c>
      <c r="C51" t="inlineStr">
        <is>
          <t>Russia</t>
        </is>
      </c>
      <c r="D51" t="inlineStr">
        <is>
          <t>Southern/Eastern Europe and Eurasia</t>
        </is>
      </c>
      <c r="E51" t="inlineStr">
        <is>
          <t>locked</t>
        </is>
      </c>
      <c r="F51" t="inlineStr">
        <is>
          <t>primary</t>
        </is>
      </c>
      <c r="G51" s="11">
        <f>IF(OR(City_Inputs!$M51="",Norm_Stats!$F$2="",Norm_Stats!$G$2="",Norm_Stats!$G$2=Norm_Stats!$F$2),"",MAX(0,MIN(100,100*(MIN(MAX(City_Inputs!$M51,Norm_Stats!$F$2),Norm_Stats!$G$2)-Norm_Stats!$F$2)/(Norm_Stats!$G$2-Norm_Stats!$F$2))))</f>
        <v/>
      </c>
      <c r="H51" s="14">
        <f>IF(G51="","",1)</f>
        <v/>
      </c>
      <c r="I51" s="11">
        <f>IF(OR(City_Inputs!$N51="",Norm_Stats!$F$3="",Norm_Stats!$G$3="",Norm_Stats!$G$3=Norm_Stats!$F$3),"",MAX(0,MIN(100,100*(Norm_Stats!$G$3-MIN(MAX(City_Inputs!$N51,Norm_Stats!$F$3),Norm_Stats!$G$3))/(Norm_Stats!$G$3-Norm_Stats!$F$3))))</f>
        <v/>
      </c>
      <c r="J51" s="14">
        <f>IF(I51="","",1)</f>
        <v/>
      </c>
      <c r="K51" s="11">
        <f>IF(OR(City_Inputs!$P51="",Norm_Stats!$F$4="",Norm_Stats!$G$4="",Norm_Stats!$G$4=Norm_Stats!$F$4),"",MAX(0,MIN(100,100*(Norm_Stats!$G$4-MIN(MAX(City_Inputs!$P51,Norm_Stats!$F$4),Norm_Stats!$G$4))/(Norm_Stats!$G$4-Norm_Stats!$F$4))))</f>
        <v/>
      </c>
      <c r="L51" s="14">
        <f>IF(K51="","",1)</f>
        <v/>
      </c>
      <c r="M51" s="11">
        <f>IF(OR(City_Inputs!$Q51="",Norm_Stats!$F$5="",Norm_Stats!$G$5="",Norm_Stats!$G$5=Norm_Stats!$F$5),"",MAX(0,MIN(100,100*(Norm_Stats!$G$5-MIN(MAX(City_Inputs!$Q51,Norm_Stats!$F$5),Norm_Stats!$G$5))/(Norm_Stats!$G$5-Norm_Stats!$F$5))))</f>
        <v/>
      </c>
      <c r="N51" s="14">
        <f>IF(M51="","",1)</f>
        <v/>
      </c>
      <c r="O51" s="11">
        <f>IF(OR(City_Inputs!$R51="",Norm_Stats!$F$6="",Norm_Stats!$G$6="",Norm_Stats!$G$6=Norm_Stats!$F$6),"",MAX(0,MIN(100,100*(Norm_Stats!$G$6-MIN(MAX(City_Inputs!$R51,Norm_Stats!$F$6),Norm_Stats!$G$6))/(Norm_Stats!$G$6-Norm_Stats!$F$6))))</f>
        <v/>
      </c>
      <c r="P51" s="14">
        <f>IF(O51="","",1)</f>
        <v/>
      </c>
      <c r="Q51" s="15">
        <f>IF((IF(G51="",0,9)+IF(I51="",0,5)+IF(K51="",0,4)+IF(M51="",0,4)+IF(O51="",0,5))=0,"",(IF(G51="",0,G51*9)+IF(I51="",0,I51*5)+IF(K51="",0,K51*4)+IF(M51="",0,M51*4)+IF(O51="",0,O51*5))/(IF(G51="",0,9)+IF(I51="",0,5)+IF(K51="",0,4)+IF(M51="",0,4)+IF(O51="",0,5)))</f>
        <v/>
      </c>
      <c r="R51" s="14">
        <f>IF((IF(H51="",0,9)+IF(J51="",0,5)+IF(L51="",0,4)+IF(N51="",0,4)+IF(P51="",0,5))=0,"",(IF(H51="",0,H51*9)+IF(J51="",0,J51*5)+IF(L51="",0,L51*4)+IF(N51="",0,N51*4)+IF(P51="",0,P51*5))/27)</f>
        <v/>
      </c>
      <c r="S51" s="11">
        <f>IF(OR(City_Inputs!$S51="",Norm_Stats!$F$7="",Norm_Stats!$G$7="",Norm_Stats!$G$7=Norm_Stats!$F$7),"",MAX(0,MIN(100,100*(Norm_Stats!$G$7-MIN(MAX(City_Inputs!$S51,Norm_Stats!$F$7),Norm_Stats!$G$7))/(Norm_Stats!$G$7-Norm_Stats!$F$7))))</f>
        <v/>
      </c>
      <c r="T51" s="14">
        <f>IF(S51="","",1)</f>
        <v/>
      </c>
      <c r="U51" s="11">
        <f>IF(OR(City_Inputs!$T51="",Norm_Stats!$F$8="",Norm_Stats!$G$8="",Norm_Stats!$G$8=Norm_Stats!$F$8),"",MAX(0,MIN(100,100*(MIN(MAX(City_Inputs!$T51,Norm_Stats!$F$8),Norm_Stats!$G$8)-Norm_Stats!$F$8)/(Norm_Stats!$G$8-Norm_Stats!$F$8))))</f>
        <v/>
      </c>
      <c r="V51" s="14">
        <f>IF(U51="","",1)</f>
        <v/>
      </c>
      <c r="W51" s="11">
        <f>IF(OR(City_Inputs!$U51="",Norm_Stats!$F$9="",Norm_Stats!$G$9="",Norm_Stats!$G$9=Norm_Stats!$F$9),"",MAX(0,MIN(100,100*(Norm_Stats!$G$9-MIN(MAX(City_Inputs!$U51,Norm_Stats!$F$9),Norm_Stats!$G$9))/(Norm_Stats!$G$9-Norm_Stats!$F$9))))</f>
        <v/>
      </c>
      <c r="X51" s="14">
        <f>IF(W51="","",1)</f>
        <v/>
      </c>
      <c r="Y51" s="11">
        <f>IF(OR(City_Inputs!$V51="",Norm_Stats!$F$10="",Norm_Stats!$G$10="",Norm_Stats!$G$10=Norm_Stats!$F$10),"",MAX(0,MIN(100,100*(MIN(MAX(City_Inputs!$V51,Norm_Stats!$F$10),Norm_Stats!$G$10)-Norm_Stats!$F$10)/(Norm_Stats!$G$10-Norm_Stats!$F$10))))</f>
        <v/>
      </c>
      <c r="Z51" s="14">
        <f>IF(Y51="","",1)</f>
        <v/>
      </c>
      <c r="AA51" s="11">
        <f>IF(OR(City_Inputs!$W51="",Norm_Stats!$F$11="",Norm_Stats!$G$11="",Norm_Stats!$G$11=Norm_Stats!$F$11),"",MAX(0,MIN(100,100*(MIN(MAX(City_Inputs!$W51,Norm_Stats!$F$11),Norm_Stats!$G$11)-Norm_Stats!$F$11)/(Norm_Stats!$G$11-Norm_Stats!$F$11))))</f>
        <v/>
      </c>
      <c r="AB51" s="14">
        <f>IF(AA51="","",1)</f>
        <v/>
      </c>
      <c r="AC51" s="11">
        <f>IF(OR(City_Inputs!$X51="",Norm_Stats!$F$12="",Norm_Stats!$G$12="",Norm_Stats!$G$12=Norm_Stats!$F$12),"",MAX(0,MIN(100,100*(MIN(MAX(City_Inputs!$X51,Norm_Stats!$F$12),Norm_Stats!$G$12)-Norm_Stats!$F$12)/(Norm_Stats!$G$12-Norm_Stats!$F$12))))</f>
        <v/>
      </c>
      <c r="AD51" s="11">
        <f>IF(AC51="","",1)</f>
        <v/>
      </c>
      <c r="AE51" s="15">
        <f>IF((IF(S51="",0,5)+IF(U51="",0,5)+IF(W51="",0,4)+IF(Y51="",0,4)+IF(AA51="",0,4)+IF(AC51="",0,5))=0,"",(IF(S51="",0,S51*5)+IF(U51="",0,U51*5)+IF(W51="",0,W51*4)+IF(Y51="",0,Y51*4)+IF(AA51="",0,AA51*4)+IF(AC51="",0,AC51*5))/(IF(S51="",0,5)+IF(U51="",0,5)+IF(W51="",0,4)+IF(Y51="",0,4)+IF(AA51="",0,4)+IF(AC51="",0,5)))</f>
        <v/>
      </c>
      <c r="AF51" s="14">
        <f>IF((IF(T51="",0,5)+IF(V51="",0,5)+IF(X51="",0,4)+IF(Z51="",0,4)+IF(AB51="",0,4)+IF(AD51="",0,5))=0,"",(IF(T51="",0,T51*5)+IF(V51="",0,V51*5)+IF(X51="",0,X51*4)+IF(Z51="",0,Z51*4)+IF(AB51="",0,AB51*4)+IF(AD51="",0,AD51*5))/27)</f>
        <v/>
      </c>
      <c r="AG51" s="11">
        <f>IF(OR(City_Inputs!$Y51="",Norm_Stats!$F$13="",Norm_Stats!$G$13="",Norm_Stats!$G$13=Norm_Stats!$F$13),"",MAX(0,MIN(100,100*(MIN(MAX(City_Inputs!$Y51,Norm_Stats!$F$13),Norm_Stats!$G$13)-Norm_Stats!$F$13)/(Norm_Stats!$G$13-Norm_Stats!$F$13))))</f>
        <v/>
      </c>
      <c r="AH51" s="14">
        <f>IF(AG51="","",1)</f>
        <v/>
      </c>
      <c r="AI51" s="11">
        <f>IF(OR(City_Inputs!$Z51="",Norm_Stats!$F$14="",Norm_Stats!$G$14="",Norm_Stats!$G$14=Norm_Stats!$F$14),"",MAX(0,MIN(100,100*(MIN(MAX(City_Inputs!$Z51,Norm_Stats!$F$14),Norm_Stats!$G$14)-Norm_Stats!$F$14)/(Norm_Stats!$G$14-Norm_Stats!$F$14))))</f>
        <v/>
      </c>
      <c r="AJ51" s="14">
        <f>IF(AI51="","",1)</f>
        <v/>
      </c>
      <c r="AK51" s="11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(IF(OR(City_Inputs!$AA51="",Norm_Stats!$F$15="",Norm_Stats!$G$15="",Norm_Stats!$G$15=Norm_Stats!$F$15),"",MAX(0,MIN(100,100*(MIN(MAX(City_Inputs!$AA51,Norm_Stats!$F$15),Norm_Stats!$G$15)-Norm_Stats!$F$15)/(Norm_Stats!$G$15-Norm_Stats!$F$15)))))*0.7)+IF((IF(OR(City_Inputs!$AL51="",Norm_Stats!$F$16="",Norm_Stats!$G$16="",Norm_Stats!$G$16=Norm_Stats!$F$16),"",MAX(0,MIN(100,100*(Norm_Stats!$G$16-MIN(MAX(City_Inputs!$AL51,Norm_Stats!$F$16),Norm_Stats!$G$16))/(Norm_Stats!$G$16-Norm_Stats!$F$16)))))="",0,(IF(OR(City_Inputs!$AL51="",Norm_Stats!$F$16="",Norm_Stats!$G$16="",Norm_Stats!$G$16=Norm_Stats!$F$16),"",MAX(0,MIN(100,100*(Norm_Stats!$G$16-MIN(MAX(City_Inputs!$AL51,Norm_Stats!$F$16),Norm_Stats!$G$16))/(Norm_Stats!$G$16-Norm_Stats!$F$16)))))*0.3))/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L51" s="14">
        <f>IF(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=0,"",(IF((IF(OR(City_Inputs!$AA51="",Norm_Stats!$F$15="",Norm_Stats!$G$15="",Norm_Stats!$G$15=Norm_Stats!$F$15),"",MAX(0,MIN(100,100*(MIN(MAX(City_Inputs!$AA51,Norm_Stats!$F$15),Norm_Stats!$G$15)-Norm_Stats!$F$15)/(Norm_Stats!$G$15-Norm_Stats!$F$15)))))="",0,0.7)+IF((IF(OR(City_Inputs!$AL51="",Norm_Stats!$F$16="",Norm_Stats!$G$16="",Norm_Stats!$G$16=Norm_Stats!$F$16),"",MAX(0,MIN(100,100*(Norm_Stats!$G$16-MIN(MAX(City_Inputs!$AL51,Norm_Stats!$F$16),Norm_Stats!$G$16))/(Norm_Stats!$G$16-Norm_Stats!$F$16)))))="",0,0.3)))</f>
        <v/>
      </c>
      <c r="AM51" s="15">
        <f>IF((IF(AG51="",0,8)+IF(AI51="",0,6)+IF(AK51="",0,4))=0,"",(IF(AG51="",0,AG51*8)+IF(AI51="",0,AI51*6)+IF(AK51="",0,AK51*4))/(IF(AG51="",0,8)+IF(AI51="",0,6)+IF(AK51="",0,4)))</f>
        <v/>
      </c>
      <c r="AN51" s="14">
        <f>IF((IF(AH51="",0,8)+IF(AJ51="",0,6)+IF(AL51="",0,4))=0,"",(IF(AH51="",0,AH51*8)+IF(AJ51="",0,AJ51*6)+IF(AL51="",0,AL51*4))/18)</f>
        <v/>
      </c>
      <c r="AO51" s="11">
        <f>IF(OR(City_Inputs!$AB51="",Norm_Stats!$F$17="",Norm_Stats!$G$17="",Norm_Stats!$G$17=Norm_Stats!$F$17),"",MAX(0,MIN(100,100*(MIN(MAX(City_Inputs!$AB51,Norm_Stats!$F$17),Norm_Stats!$G$17)-Norm_Stats!$F$17)/(Norm_Stats!$G$17-Norm_Stats!$F$17))))</f>
        <v/>
      </c>
      <c r="AP51" s="14">
        <f>IF(AO51="","",1)</f>
        <v/>
      </c>
      <c r="AQ51" s="11">
        <f>IF(OR(City_Inputs!$AC51="",Norm_Stats!$F$18="",Norm_Stats!$G$18="",Norm_Stats!$G$18=Norm_Stats!$F$18),"",MAX(0,MIN(100,100*(MIN(MAX(City_Inputs!$AC51,Norm_Stats!$F$18),Norm_Stats!$G$18)-Norm_Stats!$F$18)/(Norm_Stats!$G$18-Norm_Stats!$F$18))))</f>
        <v/>
      </c>
      <c r="AR51" s="14">
        <f>IF(AQ51="","",1)</f>
        <v/>
      </c>
      <c r="AS51" s="11">
        <f>IF(OR(City_Inputs!$AD51="",Norm_Stats!$F$19="",Norm_Stats!$G$19="",Norm_Stats!$G$19=Norm_Stats!$F$19),"",MAX(0,MIN(100,100*(MIN(MAX(City_Inputs!$AD51,Norm_Stats!$F$19),Norm_Stats!$G$19)-Norm_Stats!$F$19)/(Norm_Stats!$G$19-Norm_Stats!$F$19))))</f>
        <v/>
      </c>
      <c r="AT51" s="14">
        <f>IF(AS51="","",1)</f>
        <v/>
      </c>
      <c r="AU51" s="11">
        <f>IF(OR(City_Inputs!$BJ51="",Norm_Stats!$F$26="",Norm_Stats!$G$26="",Norm_Stats!$G$26=Norm_Stats!$F$26),"",MAX(0,MIN(100,100*(MIN(MAX(City_Inputs!$BJ51,Norm_Stats!$F$26),Norm_Stats!$G$26)-Norm_Stats!$F$26)/(Norm_Stats!$G$26-Norm_Stats!$F$26))))</f>
        <v/>
      </c>
      <c r="AV51" s="11">
        <f>IF(AU51="","",1)</f>
        <v/>
      </c>
      <c r="AW51" s="15">
        <f>IF((IF(AO51="",0,5)+IF(AQ51="",0,5)+IF(AS51="",0,5)+IF(AU51="",0,4))=0,"",(IF(AO51="",0,AO51*5)+IF(AQ51="",0,AQ51*5)+IF(AS51="",0,AS51*5)+IF(AU51="",0,AU51*4))/(IF(AO51="",0,5)+IF(AQ51="",0,5)+IF(AS51="",0,5)+IF(AU51="",0,4)))</f>
        <v/>
      </c>
      <c r="AX51" s="14">
        <f>IF((IF(AP51="",0,5)+IF(AR51="",0,5)+IF(AT51="",0,5)+IF(AV51="",0,4))=0,"",(IF(AP51="",0,AP51*5)+IF(AR51="",0,AR51*5)+IF(AT51="",0,AT51*5)+IF(AV51="",0,AV51*4))/19)</f>
        <v/>
      </c>
      <c r="AY51" s="11">
        <f>IF(OR(City_Inputs!$AE51="",Norm_Stats!$F$20="",Norm_Stats!$G$20="",Norm_Stats!$G$20=Norm_Stats!$F$20),"",MAX(0,MIN(100,100*(MIN(MAX(City_Inputs!$AE51,Norm_Stats!$F$20),Norm_Stats!$G$20)-Norm_Stats!$F$20)/(Norm_Stats!$G$20-Norm_Stats!$F$20))))</f>
        <v/>
      </c>
      <c r="AZ51" s="14">
        <f>IF(AY51="","",1)</f>
        <v/>
      </c>
      <c r="BA51" s="11">
        <f>IF(OR(City_Inputs!$AF51="",Norm_Stats!$F$21="",Norm_Stats!$G$21="",Norm_Stats!$G$21=Norm_Stats!$F$21),"",MAX(0,MIN(100,100*(MIN(MAX(City_Inputs!$AF51,Norm_Stats!$F$21),Norm_Stats!$G$21)-Norm_Stats!$F$21)/(Norm_Stats!$G$21-Norm_Stats!$F$21))))</f>
        <v/>
      </c>
      <c r="BB51" s="14">
        <f>IF(BA51="","",1)</f>
        <v/>
      </c>
      <c r="BC51" s="11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(IF(OR(City_Inputs!$AG51="",Norm_Stats!$F$22="",Norm_Stats!$G$22="",Norm_Stats!$G$22=Norm_Stats!$F$22),"",MAX(0,MIN(100,100*(MIN(MAX(City_Inputs!$AG51,Norm_Stats!$F$22),Norm_Stats!$G$22)-Norm_Stats!$F$22)/(Norm_Stats!$G$22-Norm_Stats!$F$22)))))*0.5)+IF((IF(OR(City_Inputs!$AJ51="",Norm_Stats!$F$23="",Norm_Stats!$G$23="",Norm_Stats!$G$23=Norm_Stats!$F$23),"",MAX(0,MIN(100,100*(MIN(MAX(City_Inputs!$AJ51,Norm_Stats!$F$23),Norm_Stats!$G$23)-Norm_Stats!$F$23)/(Norm_Stats!$G$23-Norm_Stats!$F$23)))))="",0,(IF(OR(City_Inputs!$AJ51="",Norm_Stats!$F$23="",Norm_Stats!$G$23="",Norm_Stats!$G$23=Norm_Stats!$F$23),"",MAX(0,MIN(100,100*(MIN(MAX(City_Inputs!$AJ51,Norm_Stats!$F$23),Norm_Stats!$G$23)-Norm_Stats!$F$23)/(Norm_Stats!$G$23-Norm_Stats!$F$23)))))*0.3)+IF((IF(OR(City_Inputs!$AK51="",Norm_Stats!$F$24="",Norm_Stats!$G$24="",Norm_Stats!$G$24=Norm_Stats!$F$24),"",MAX(0,MIN(100,100*(MIN(MAX(City_Inputs!$AK51,Norm_Stats!$F$24),Norm_Stats!$G$24)-Norm_Stats!$F$24)/(Norm_Stats!$G$24-Norm_Stats!$F$24)))))="",0,(IF(OR(City_Inputs!$AK51="",Norm_Stats!$F$24="",Norm_Stats!$G$24="",Norm_Stats!$G$24=Norm_Stats!$F$24),"",MAX(0,MIN(100,100*(MIN(MAX(City_Inputs!$AK51,Norm_Stats!$F$24),Norm_Stats!$G$24)-Norm_Stats!$F$24)/(Norm_Stats!$G$24-Norm_Stats!$F$24)))))*0.2))/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D51" s="14">
        <f>IF(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=0,"",(IF((IF(OR(City_Inputs!$AG51="",Norm_Stats!$F$22="",Norm_Stats!$G$22="",Norm_Stats!$G$22=Norm_Stats!$F$22),"",MAX(0,MIN(100,100*(MIN(MAX(City_Inputs!$AG51,Norm_Stats!$F$22),Norm_Stats!$G$22)-Norm_Stats!$F$22)/(Norm_Stats!$G$22-Norm_Stats!$F$22)))))="",0,0.5)+IF((IF(OR(City_Inputs!$AJ51="",Norm_Stats!$F$23="",Norm_Stats!$G$23="",Norm_Stats!$G$23=Norm_Stats!$F$23),"",MAX(0,MIN(100,100*(MIN(MAX(City_Inputs!$AJ51,Norm_Stats!$F$23),Norm_Stats!$G$23)-Norm_Stats!$F$23)/(Norm_Stats!$G$23-Norm_Stats!$F$23)))))="",0,0.3)+IF((IF(OR(City_Inputs!$AK51="",Norm_Stats!$F$24="",Norm_Stats!$G$24="",Norm_Stats!$G$24=Norm_Stats!$F$24),"",MAX(0,MIN(100,100*(MIN(MAX(City_Inputs!$AK51,Norm_Stats!$F$24),Norm_Stats!$G$24)-Norm_Stats!$F$24)/(Norm_Stats!$G$24-Norm_Stats!$F$24)))))="",0,0.2)))</f>
        <v/>
      </c>
      <c r="BE51" s="11">
        <f>IF(OR(City_Inputs!$AH51="",Norm_Stats!$F$25="",Norm_Stats!$G$25="",Norm_Stats!$G$25=Norm_Stats!$F$25),"",MAX(0,MIN(100,100*(Norm_Stats!$G$25-MIN(MAX(City_Inputs!$AH51,Norm_Stats!$F$25),Norm_Stats!$G$25))/(Norm_Stats!$G$25-Norm_Stats!$F$25))))</f>
        <v/>
      </c>
      <c r="BF51" s="14">
        <f>IF(BE51="","",1)</f>
        <v/>
      </c>
      <c r="BG51" s="15">
        <f>IF((IF(AY51="",0,6)+IF(BA51="",0,5)+IF(BC51="",0,5)+IF(BE51="",0,4))=0,"",(IF(AY51="",0,AY51*6)+IF(BA51="",0,BA51*5)+IF(BC51="",0,BC51*5)+IF(BE51="",0,BE51*4))/(IF(AY51="",0,6)+IF(BA51="",0,5)+IF(BC51="",0,5)+IF(BE51="",0,4)))</f>
        <v/>
      </c>
      <c r="BH51" s="14">
        <f>IF((IF(AZ51="",0,6)+IF(BB51="",0,5)+IF(BD51="",0,5)+IF(BF51="",0,4))=0,"",(IF(AZ51="",0,AZ51*6)+IF(BB51="",0,BB51*5)+IF(BD51="",0,BD51*5)+IF(BF51="",0,BF51*4))/20)</f>
        <v/>
      </c>
      <c r="BI51" s="14">
        <f>IF(AND(R51="",AF51="",AN51="",AX51="",BH51=""),"",((R51*25)+(AF51*22)+(AN51*18)+(AX51*15)+(BH51*20))/100)</f>
        <v/>
      </c>
      <c r="BJ51" s="11">
        <f>IF(BI51="","",IF(BI51&gt;=0.75,"A",IF(BI51&gt;=0.5,"B",IF(BI51&gt;=0.35,"C","Watchlist"))))</f>
        <v/>
      </c>
      <c r="BK51" s="11">
        <f>IF(OR(BI51="",BI51&lt;0.5,R51="",R51&lt;0.35,AF51="",AF51&lt;0.35,AN51="",AN51&lt;0.35,AX51="",AX51&lt;0.35,BH51="",BH51&lt;0.35),"Watchlist","Ranked")</f>
        <v/>
      </c>
      <c r="BL51" s="15">
        <f>IF(AND(Q51="",AE51="",AM51="",AW51="",BG51=""),"",(IF(Q51="",0,Q51*25)+IF(AE51="",0,AE51*22)+IF(AM51="",0,AM51*18)+IF(AW51="",0,AW51*15)+IF(BG51="",0,BG51*20))/(IF(Q51="",0,25)+IF(AE51="",0,22)+IF(AM51="",0,18)+IF(AW51="",0,15)+IF(BG51="",0,20)))</f>
        <v/>
      </c>
      <c r="BM51" s="11">
        <f>IF(BK51="Ranked",1+COUNTIFS($BK$2:$BK$158,"Ranked",$BL$2:$BL$158,"&gt;"&amp;BL51),"")</f>
        <v/>
      </c>
      <c r="BN51" s="11">
        <f>City_Inputs!$AI51</f>
        <v/>
      </c>
    </row>
    <row r="52">
      <c r="A52" t="inlineStr">
        <is>
          <t>hu-budapest</t>
        </is>
      </c>
      <c r="B52" t="inlineStr">
        <is>
          <t>Budapest</t>
        </is>
      </c>
      <c r="C52" t="inlineStr">
        <is>
          <t>Hungary</t>
        </is>
      </c>
      <c r="D52" t="inlineStr">
        <is>
          <t>Southern/Eastern Europe and Eurasia</t>
        </is>
      </c>
      <c r="E52" t="inlineStr">
        <is>
          <t>locked</t>
        </is>
      </c>
      <c r="F52" t="inlineStr">
        <is>
          <t>primary</t>
        </is>
      </c>
      <c r="G52" s="11">
        <f>IF(OR(City_Inputs!$M52="",Norm_Stats!$F$2="",Norm_Stats!$G$2="",Norm_Stats!$G$2=Norm_Stats!$F$2),"",MAX(0,MIN(100,100*(MIN(MAX(City_Inputs!$M52,Norm_Stats!$F$2),Norm_Stats!$G$2)-Norm_Stats!$F$2)/(Norm_Stats!$G$2-Norm_Stats!$F$2))))</f>
        <v/>
      </c>
      <c r="H52" s="14">
        <f>IF(G52="","",1)</f>
        <v/>
      </c>
      <c r="I52" s="11">
        <f>IF(OR(City_Inputs!$N52="",Norm_Stats!$F$3="",Norm_Stats!$G$3="",Norm_Stats!$G$3=Norm_Stats!$F$3),"",MAX(0,MIN(100,100*(Norm_Stats!$G$3-MIN(MAX(City_Inputs!$N52,Norm_Stats!$F$3),Norm_Stats!$G$3))/(Norm_Stats!$G$3-Norm_Stats!$F$3))))</f>
        <v/>
      </c>
      <c r="J52" s="14">
        <f>IF(I52="","",1)</f>
        <v/>
      </c>
      <c r="K52" s="11">
        <f>IF(OR(City_Inputs!$P52="",Norm_Stats!$F$4="",Norm_Stats!$G$4="",Norm_Stats!$G$4=Norm_Stats!$F$4),"",MAX(0,MIN(100,100*(Norm_Stats!$G$4-MIN(MAX(City_Inputs!$P52,Norm_Stats!$F$4),Norm_Stats!$G$4))/(Norm_Stats!$G$4-Norm_Stats!$F$4))))</f>
        <v/>
      </c>
      <c r="L52" s="14">
        <f>IF(K52="","",1)</f>
        <v/>
      </c>
      <c r="M52" s="11">
        <f>IF(OR(City_Inputs!$Q52="",Norm_Stats!$F$5="",Norm_Stats!$G$5="",Norm_Stats!$G$5=Norm_Stats!$F$5),"",MAX(0,MIN(100,100*(Norm_Stats!$G$5-MIN(MAX(City_Inputs!$Q52,Norm_Stats!$F$5),Norm_Stats!$G$5))/(Norm_Stats!$G$5-Norm_Stats!$F$5))))</f>
        <v/>
      </c>
      <c r="N52" s="14">
        <f>IF(M52="","",1)</f>
        <v/>
      </c>
      <c r="O52" s="11">
        <f>IF(OR(City_Inputs!$R52="",Norm_Stats!$F$6="",Norm_Stats!$G$6="",Norm_Stats!$G$6=Norm_Stats!$F$6),"",MAX(0,MIN(100,100*(Norm_Stats!$G$6-MIN(MAX(City_Inputs!$R52,Norm_Stats!$F$6),Norm_Stats!$G$6))/(Norm_Stats!$G$6-Norm_Stats!$F$6))))</f>
        <v/>
      </c>
      <c r="P52" s="14">
        <f>IF(O52="","",1)</f>
        <v/>
      </c>
      <c r="Q52" s="15">
        <f>IF((IF(G52="",0,9)+IF(I52="",0,5)+IF(K52="",0,4)+IF(M52="",0,4)+IF(O52="",0,5))=0,"",(IF(G52="",0,G52*9)+IF(I52="",0,I52*5)+IF(K52="",0,K52*4)+IF(M52="",0,M52*4)+IF(O52="",0,O52*5))/(IF(G52="",0,9)+IF(I52="",0,5)+IF(K52="",0,4)+IF(M52="",0,4)+IF(O52="",0,5)))</f>
        <v/>
      </c>
      <c r="R52" s="14">
        <f>IF((IF(H52="",0,9)+IF(J52="",0,5)+IF(L52="",0,4)+IF(N52="",0,4)+IF(P52="",0,5))=0,"",(IF(H52="",0,H52*9)+IF(J52="",0,J52*5)+IF(L52="",0,L52*4)+IF(N52="",0,N52*4)+IF(P52="",0,P52*5))/27)</f>
        <v/>
      </c>
      <c r="S52" s="11">
        <f>IF(OR(City_Inputs!$S52="",Norm_Stats!$F$7="",Norm_Stats!$G$7="",Norm_Stats!$G$7=Norm_Stats!$F$7),"",MAX(0,MIN(100,100*(Norm_Stats!$G$7-MIN(MAX(City_Inputs!$S52,Norm_Stats!$F$7),Norm_Stats!$G$7))/(Norm_Stats!$G$7-Norm_Stats!$F$7))))</f>
        <v/>
      </c>
      <c r="T52" s="14">
        <f>IF(S52="","",1)</f>
        <v/>
      </c>
      <c r="U52" s="11">
        <f>IF(OR(City_Inputs!$T52="",Norm_Stats!$F$8="",Norm_Stats!$G$8="",Norm_Stats!$G$8=Norm_Stats!$F$8),"",MAX(0,MIN(100,100*(MIN(MAX(City_Inputs!$T52,Norm_Stats!$F$8),Norm_Stats!$G$8)-Norm_Stats!$F$8)/(Norm_Stats!$G$8-Norm_Stats!$F$8))))</f>
        <v/>
      </c>
      <c r="V52" s="14">
        <f>IF(U52="","",1)</f>
        <v/>
      </c>
      <c r="W52" s="11">
        <f>IF(OR(City_Inputs!$U52="",Norm_Stats!$F$9="",Norm_Stats!$G$9="",Norm_Stats!$G$9=Norm_Stats!$F$9),"",MAX(0,MIN(100,100*(Norm_Stats!$G$9-MIN(MAX(City_Inputs!$U52,Norm_Stats!$F$9),Norm_Stats!$G$9))/(Norm_Stats!$G$9-Norm_Stats!$F$9))))</f>
        <v/>
      </c>
      <c r="X52" s="14">
        <f>IF(W52="","",1)</f>
        <v/>
      </c>
      <c r="Y52" s="11">
        <f>IF(OR(City_Inputs!$V52="",Norm_Stats!$F$10="",Norm_Stats!$G$10="",Norm_Stats!$G$10=Norm_Stats!$F$10),"",MAX(0,MIN(100,100*(MIN(MAX(City_Inputs!$V52,Norm_Stats!$F$10),Norm_Stats!$G$10)-Norm_Stats!$F$10)/(Norm_Stats!$G$10-Norm_Stats!$F$10))))</f>
        <v/>
      </c>
      <c r="Z52" s="14">
        <f>IF(Y52="","",1)</f>
        <v/>
      </c>
      <c r="AA52" s="11">
        <f>IF(OR(City_Inputs!$W52="",Norm_Stats!$F$11="",Norm_Stats!$G$11="",Norm_Stats!$G$11=Norm_Stats!$F$11),"",MAX(0,MIN(100,100*(MIN(MAX(City_Inputs!$W52,Norm_Stats!$F$11),Norm_Stats!$G$11)-Norm_Stats!$F$11)/(Norm_Stats!$G$11-Norm_Stats!$F$11))))</f>
        <v/>
      </c>
      <c r="AB52" s="14">
        <f>IF(AA52="","",1)</f>
        <v/>
      </c>
      <c r="AC52" s="11">
        <f>IF(OR(City_Inputs!$X52="",Norm_Stats!$F$12="",Norm_Stats!$G$12="",Norm_Stats!$G$12=Norm_Stats!$F$12),"",MAX(0,MIN(100,100*(MIN(MAX(City_Inputs!$X52,Norm_Stats!$F$12),Norm_Stats!$G$12)-Norm_Stats!$F$12)/(Norm_Stats!$G$12-Norm_Stats!$F$12))))</f>
        <v/>
      </c>
      <c r="AD52" s="11">
        <f>IF(AC52="","",1)</f>
        <v/>
      </c>
      <c r="AE52" s="15">
        <f>IF((IF(S52="",0,5)+IF(U52="",0,5)+IF(W52="",0,4)+IF(Y52="",0,4)+IF(AA52="",0,4)+IF(AC52="",0,5))=0,"",(IF(S52="",0,S52*5)+IF(U52="",0,U52*5)+IF(W52="",0,W52*4)+IF(Y52="",0,Y52*4)+IF(AA52="",0,AA52*4)+IF(AC52="",0,AC52*5))/(IF(S52="",0,5)+IF(U52="",0,5)+IF(W52="",0,4)+IF(Y52="",0,4)+IF(AA52="",0,4)+IF(AC52="",0,5)))</f>
        <v/>
      </c>
      <c r="AF52" s="14">
        <f>IF((IF(T52="",0,5)+IF(V52="",0,5)+IF(X52="",0,4)+IF(Z52="",0,4)+IF(AB52="",0,4)+IF(AD52="",0,5))=0,"",(IF(T52="",0,T52*5)+IF(V52="",0,V52*5)+IF(X52="",0,X52*4)+IF(Z52="",0,Z52*4)+IF(AB52="",0,AB52*4)+IF(AD52="",0,AD52*5))/27)</f>
        <v/>
      </c>
      <c r="AG52" s="11">
        <f>IF(OR(City_Inputs!$Y52="",Norm_Stats!$F$13="",Norm_Stats!$G$13="",Norm_Stats!$G$13=Norm_Stats!$F$13),"",MAX(0,MIN(100,100*(MIN(MAX(City_Inputs!$Y52,Norm_Stats!$F$13),Norm_Stats!$G$13)-Norm_Stats!$F$13)/(Norm_Stats!$G$13-Norm_Stats!$F$13))))</f>
        <v/>
      </c>
      <c r="AH52" s="14">
        <f>IF(AG52="","",1)</f>
        <v/>
      </c>
      <c r="AI52" s="11">
        <f>IF(OR(City_Inputs!$Z52="",Norm_Stats!$F$14="",Norm_Stats!$G$14="",Norm_Stats!$G$14=Norm_Stats!$F$14),"",MAX(0,MIN(100,100*(MIN(MAX(City_Inputs!$Z52,Norm_Stats!$F$14),Norm_Stats!$G$14)-Norm_Stats!$F$14)/(Norm_Stats!$G$14-Norm_Stats!$F$14))))</f>
        <v/>
      </c>
      <c r="AJ52" s="14">
        <f>IF(AI52="","",1)</f>
        <v/>
      </c>
      <c r="AK52" s="11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(IF(OR(City_Inputs!$AA52="",Norm_Stats!$F$15="",Norm_Stats!$G$15="",Norm_Stats!$G$15=Norm_Stats!$F$15),"",MAX(0,MIN(100,100*(MIN(MAX(City_Inputs!$AA52,Norm_Stats!$F$15),Norm_Stats!$G$15)-Norm_Stats!$F$15)/(Norm_Stats!$G$15-Norm_Stats!$F$15)))))*0.7)+IF((IF(OR(City_Inputs!$AL52="",Norm_Stats!$F$16="",Norm_Stats!$G$16="",Norm_Stats!$G$16=Norm_Stats!$F$16),"",MAX(0,MIN(100,100*(Norm_Stats!$G$16-MIN(MAX(City_Inputs!$AL52,Norm_Stats!$F$16),Norm_Stats!$G$16))/(Norm_Stats!$G$16-Norm_Stats!$F$16)))))="",0,(IF(OR(City_Inputs!$AL52="",Norm_Stats!$F$16="",Norm_Stats!$G$16="",Norm_Stats!$G$16=Norm_Stats!$F$16),"",MAX(0,MIN(100,100*(Norm_Stats!$G$16-MIN(MAX(City_Inputs!$AL52,Norm_Stats!$F$16),Norm_Stats!$G$16))/(Norm_Stats!$G$16-Norm_Stats!$F$16)))))*0.3))/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L52" s="14">
        <f>IF(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=0,"",(IF((IF(OR(City_Inputs!$AA52="",Norm_Stats!$F$15="",Norm_Stats!$G$15="",Norm_Stats!$G$15=Norm_Stats!$F$15),"",MAX(0,MIN(100,100*(MIN(MAX(City_Inputs!$AA52,Norm_Stats!$F$15),Norm_Stats!$G$15)-Norm_Stats!$F$15)/(Norm_Stats!$G$15-Norm_Stats!$F$15)))))="",0,0.7)+IF((IF(OR(City_Inputs!$AL52="",Norm_Stats!$F$16="",Norm_Stats!$G$16="",Norm_Stats!$G$16=Norm_Stats!$F$16),"",MAX(0,MIN(100,100*(Norm_Stats!$G$16-MIN(MAX(City_Inputs!$AL52,Norm_Stats!$F$16),Norm_Stats!$G$16))/(Norm_Stats!$G$16-Norm_Stats!$F$16)))))="",0,0.3)))</f>
        <v/>
      </c>
      <c r="AM52" s="15">
        <f>IF((IF(AG52="",0,8)+IF(AI52="",0,6)+IF(AK52="",0,4))=0,"",(IF(AG52="",0,AG52*8)+IF(AI52="",0,AI52*6)+IF(AK52="",0,AK52*4))/(IF(AG52="",0,8)+IF(AI52="",0,6)+IF(AK52="",0,4)))</f>
        <v/>
      </c>
      <c r="AN52" s="14">
        <f>IF((IF(AH52="",0,8)+IF(AJ52="",0,6)+IF(AL52="",0,4))=0,"",(IF(AH52="",0,AH52*8)+IF(AJ52="",0,AJ52*6)+IF(AL52="",0,AL52*4))/18)</f>
        <v/>
      </c>
      <c r="AO52" s="11">
        <f>IF(OR(City_Inputs!$AB52="",Norm_Stats!$F$17="",Norm_Stats!$G$17="",Norm_Stats!$G$17=Norm_Stats!$F$17),"",MAX(0,MIN(100,100*(MIN(MAX(City_Inputs!$AB52,Norm_Stats!$F$17),Norm_Stats!$G$17)-Norm_Stats!$F$17)/(Norm_Stats!$G$17-Norm_Stats!$F$17))))</f>
        <v/>
      </c>
      <c r="AP52" s="14">
        <f>IF(AO52="","",1)</f>
        <v/>
      </c>
      <c r="AQ52" s="11">
        <f>IF(OR(City_Inputs!$AC52="",Norm_Stats!$F$18="",Norm_Stats!$G$18="",Norm_Stats!$G$18=Norm_Stats!$F$18),"",MAX(0,MIN(100,100*(MIN(MAX(City_Inputs!$AC52,Norm_Stats!$F$18),Norm_Stats!$G$18)-Norm_Stats!$F$18)/(Norm_Stats!$G$18-Norm_Stats!$F$18))))</f>
        <v/>
      </c>
      <c r="AR52" s="14">
        <f>IF(AQ52="","",1)</f>
        <v/>
      </c>
      <c r="AS52" s="11">
        <f>IF(OR(City_Inputs!$AD52="",Norm_Stats!$F$19="",Norm_Stats!$G$19="",Norm_Stats!$G$19=Norm_Stats!$F$19),"",MAX(0,MIN(100,100*(MIN(MAX(City_Inputs!$AD52,Norm_Stats!$F$19),Norm_Stats!$G$19)-Norm_Stats!$F$19)/(Norm_Stats!$G$19-Norm_Stats!$F$19))))</f>
        <v/>
      </c>
      <c r="AT52" s="14">
        <f>IF(AS52="","",1)</f>
        <v/>
      </c>
      <c r="AU52" s="11">
        <f>IF(OR(City_Inputs!$BJ52="",Norm_Stats!$F$26="",Norm_Stats!$G$26="",Norm_Stats!$G$26=Norm_Stats!$F$26),"",MAX(0,MIN(100,100*(MIN(MAX(City_Inputs!$BJ52,Norm_Stats!$F$26),Norm_Stats!$G$26)-Norm_Stats!$F$26)/(Norm_Stats!$G$26-Norm_Stats!$F$26))))</f>
        <v/>
      </c>
      <c r="AV52" s="11">
        <f>IF(AU52="","",1)</f>
        <v/>
      </c>
      <c r="AW52" s="15">
        <f>IF((IF(AO52="",0,5)+IF(AQ52="",0,5)+IF(AS52="",0,5)+IF(AU52="",0,4))=0,"",(IF(AO52="",0,AO52*5)+IF(AQ52="",0,AQ52*5)+IF(AS52="",0,AS52*5)+IF(AU52="",0,AU52*4))/(IF(AO52="",0,5)+IF(AQ52="",0,5)+IF(AS52="",0,5)+IF(AU52="",0,4)))</f>
        <v/>
      </c>
      <c r="AX52" s="14">
        <f>IF((IF(AP52="",0,5)+IF(AR52="",0,5)+IF(AT52="",0,5)+IF(AV52="",0,4))=0,"",(IF(AP52="",0,AP52*5)+IF(AR52="",0,AR52*5)+IF(AT52="",0,AT52*5)+IF(AV52="",0,AV52*4))/19)</f>
        <v/>
      </c>
      <c r="AY52" s="11">
        <f>IF(OR(City_Inputs!$AE52="",Norm_Stats!$F$20="",Norm_Stats!$G$20="",Norm_Stats!$G$20=Norm_Stats!$F$20),"",MAX(0,MIN(100,100*(MIN(MAX(City_Inputs!$AE52,Norm_Stats!$F$20),Norm_Stats!$G$20)-Norm_Stats!$F$20)/(Norm_Stats!$G$20-Norm_Stats!$F$20))))</f>
        <v/>
      </c>
      <c r="AZ52" s="14">
        <f>IF(AY52="","",1)</f>
        <v/>
      </c>
      <c r="BA52" s="11">
        <f>IF(OR(City_Inputs!$AF52="",Norm_Stats!$F$21="",Norm_Stats!$G$21="",Norm_Stats!$G$21=Norm_Stats!$F$21),"",MAX(0,MIN(100,100*(MIN(MAX(City_Inputs!$AF52,Norm_Stats!$F$21),Norm_Stats!$G$21)-Norm_Stats!$F$21)/(Norm_Stats!$G$21-Norm_Stats!$F$21))))</f>
        <v/>
      </c>
      <c r="BB52" s="14">
        <f>IF(BA52="","",1)</f>
        <v/>
      </c>
      <c r="BC52" s="11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(IF(OR(City_Inputs!$AG52="",Norm_Stats!$F$22="",Norm_Stats!$G$22="",Norm_Stats!$G$22=Norm_Stats!$F$22),"",MAX(0,MIN(100,100*(MIN(MAX(City_Inputs!$AG52,Norm_Stats!$F$22),Norm_Stats!$G$22)-Norm_Stats!$F$22)/(Norm_Stats!$G$22-Norm_Stats!$F$22)))))*0.5)+IF((IF(OR(City_Inputs!$AJ52="",Norm_Stats!$F$23="",Norm_Stats!$G$23="",Norm_Stats!$G$23=Norm_Stats!$F$23),"",MAX(0,MIN(100,100*(MIN(MAX(City_Inputs!$AJ52,Norm_Stats!$F$23),Norm_Stats!$G$23)-Norm_Stats!$F$23)/(Norm_Stats!$G$23-Norm_Stats!$F$23)))))="",0,(IF(OR(City_Inputs!$AJ52="",Norm_Stats!$F$23="",Norm_Stats!$G$23="",Norm_Stats!$G$23=Norm_Stats!$F$23),"",MAX(0,MIN(100,100*(MIN(MAX(City_Inputs!$AJ52,Norm_Stats!$F$23),Norm_Stats!$G$23)-Norm_Stats!$F$23)/(Norm_Stats!$G$23-Norm_Stats!$F$23)))))*0.3)+IF((IF(OR(City_Inputs!$AK52="",Norm_Stats!$F$24="",Norm_Stats!$G$24="",Norm_Stats!$G$24=Norm_Stats!$F$24),"",MAX(0,MIN(100,100*(MIN(MAX(City_Inputs!$AK52,Norm_Stats!$F$24),Norm_Stats!$G$24)-Norm_Stats!$F$24)/(Norm_Stats!$G$24-Norm_Stats!$F$24)))))="",0,(IF(OR(City_Inputs!$AK52="",Norm_Stats!$F$24="",Norm_Stats!$G$24="",Norm_Stats!$G$24=Norm_Stats!$F$24),"",MAX(0,MIN(100,100*(MIN(MAX(City_Inputs!$AK52,Norm_Stats!$F$24),Norm_Stats!$G$24)-Norm_Stats!$F$24)/(Norm_Stats!$G$24-Norm_Stats!$F$24)))))*0.2))/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D52" s="14">
        <f>IF(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=0,"",(IF((IF(OR(City_Inputs!$AG52="",Norm_Stats!$F$22="",Norm_Stats!$G$22="",Norm_Stats!$G$22=Norm_Stats!$F$22),"",MAX(0,MIN(100,100*(MIN(MAX(City_Inputs!$AG52,Norm_Stats!$F$22),Norm_Stats!$G$22)-Norm_Stats!$F$22)/(Norm_Stats!$G$22-Norm_Stats!$F$22)))))="",0,0.5)+IF((IF(OR(City_Inputs!$AJ52="",Norm_Stats!$F$23="",Norm_Stats!$G$23="",Norm_Stats!$G$23=Norm_Stats!$F$23),"",MAX(0,MIN(100,100*(MIN(MAX(City_Inputs!$AJ52,Norm_Stats!$F$23),Norm_Stats!$G$23)-Norm_Stats!$F$23)/(Norm_Stats!$G$23-Norm_Stats!$F$23)))))="",0,0.3)+IF((IF(OR(City_Inputs!$AK52="",Norm_Stats!$F$24="",Norm_Stats!$G$24="",Norm_Stats!$G$24=Norm_Stats!$F$24),"",MAX(0,MIN(100,100*(MIN(MAX(City_Inputs!$AK52,Norm_Stats!$F$24),Norm_Stats!$G$24)-Norm_Stats!$F$24)/(Norm_Stats!$G$24-Norm_Stats!$F$24)))))="",0,0.2)))</f>
        <v/>
      </c>
      <c r="BE52" s="11">
        <f>IF(OR(City_Inputs!$AH52="",Norm_Stats!$F$25="",Norm_Stats!$G$25="",Norm_Stats!$G$25=Norm_Stats!$F$25),"",MAX(0,MIN(100,100*(Norm_Stats!$G$25-MIN(MAX(City_Inputs!$AH52,Norm_Stats!$F$25),Norm_Stats!$G$25))/(Norm_Stats!$G$25-Norm_Stats!$F$25))))</f>
        <v/>
      </c>
      <c r="BF52" s="14">
        <f>IF(BE52="","",1)</f>
        <v/>
      </c>
      <c r="BG52" s="15">
        <f>IF((IF(AY52="",0,6)+IF(BA52="",0,5)+IF(BC52="",0,5)+IF(BE52="",0,4))=0,"",(IF(AY52="",0,AY52*6)+IF(BA52="",0,BA52*5)+IF(BC52="",0,BC52*5)+IF(BE52="",0,BE52*4))/(IF(AY52="",0,6)+IF(BA52="",0,5)+IF(BC52="",0,5)+IF(BE52="",0,4)))</f>
        <v/>
      </c>
      <c r="BH52" s="14">
        <f>IF((IF(AZ52="",0,6)+IF(BB52="",0,5)+IF(BD52="",0,5)+IF(BF52="",0,4))=0,"",(IF(AZ52="",0,AZ52*6)+IF(BB52="",0,BB52*5)+IF(BD52="",0,BD52*5)+IF(BF52="",0,BF52*4))/20)</f>
        <v/>
      </c>
      <c r="BI52" s="14">
        <f>IF(AND(R52="",AF52="",AN52="",AX52="",BH52=""),"",((R52*25)+(AF52*22)+(AN52*18)+(AX52*15)+(BH52*20))/100)</f>
        <v/>
      </c>
      <c r="BJ52" s="11">
        <f>IF(BI52="","",IF(BI52&gt;=0.75,"A",IF(BI52&gt;=0.5,"B",IF(BI52&gt;=0.35,"C","Watchlist"))))</f>
        <v/>
      </c>
      <c r="BK52" s="11">
        <f>IF(OR(BI52="",BI52&lt;0.5,R52="",R52&lt;0.35,AF52="",AF52&lt;0.35,AN52="",AN52&lt;0.35,AX52="",AX52&lt;0.35,BH52="",BH52&lt;0.35),"Watchlist","Ranked")</f>
        <v/>
      </c>
      <c r="BL52" s="15">
        <f>IF(AND(Q52="",AE52="",AM52="",AW52="",BG52=""),"",(IF(Q52="",0,Q52*25)+IF(AE52="",0,AE52*22)+IF(AM52="",0,AM52*18)+IF(AW52="",0,AW52*15)+IF(BG52="",0,BG52*20))/(IF(Q52="",0,25)+IF(AE52="",0,22)+IF(AM52="",0,18)+IF(AW52="",0,15)+IF(BG52="",0,20)))</f>
        <v/>
      </c>
      <c r="BM52" s="11">
        <f>IF(BK52="Ranked",1+COUNTIFS($BK$2:$BK$158,"Ranked",$BL$2:$BL$158,"&gt;"&amp;BL52),"")</f>
        <v/>
      </c>
      <c r="BN52" s="11">
        <f>City_Inputs!$AI52</f>
        <v/>
      </c>
    </row>
    <row r="53">
      <c r="A53" t="inlineStr">
        <is>
          <t>pl-krakow</t>
        </is>
      </c>
      <c r="B53" t="inlineStr">
        <is>
          <t>Krakow</t>
        </is>
      </c>
      <c r="C53" t="inlineStr">
        <is>
          <t>Poland</t>
        </is>
      </c>
      <c r="D53" t="inlineStr">
        <is>
          <t>Southern/Eastern Europe and Eurasia</t>
        </is>
      </c>
      <c r="E53" t="inlineStr">
        <is>
          <t>locked</t>
        </is>
      </c>
      <c r="F53" t="inlineStr">
        <is>
          <t>primary</t>
        </is>
      </c>
      <c r="G53" s="11">
        <f>IF(OR(City_Inputs!$M53="",Norm_Stats!$F$2="",Norm_Stats!$G$2="",Norm_Stats!$G$2=Norm_Stats!$F$2),"",MAX(0,MIN(100,100*(MIN(MAX(City_Inputs!$M53,Norm_Stats!$F$2),Norm_Stats!$G$2)-Norm_Stats!$F$2)/(Norm_Stats!$G$2-Norm_Stats!$F$2))))</f>
        <v/>
      </c>
      <c r="H53" s="14">
        <f>IF(G53="","",1)</f>
        <v/>
      </c>
      <c r="I53" s="11">
        <f>IF(OR(City_Inputs!$N53="",Norm_Stats!$F$3="",Norm_Stats!$G$3="",Norm_Stats!$G$3=Norm_Stats!$F$3),"",MAX(0,MIN(100,100*(Norm_Stats!$G$3-MIN(MAX(City_Inputs!$N53,Norm_Stats!$F$3),Norm_Stats!$G$3))/(Norm_Stats!$G$3-Norm_Stats!$F$3))))</f>
        <v/>
      </c>
      <c r="J53" s="14">
        <f>IF(I53="","",1)</f>
        <v/>
      </c>
      <c r="K53" s="11">
        <f>IF(OR(City_Inputs!$P53="",Norm_Stats!$F$4="",Norm_Stats!$G$4="",Norm_Stats!$G$4=Norm_Stats!$F$4),"",MAX(0,MIN(100,100*(Norm_Stats!$G$4-MIN(MAX(City_Inputs!$P53,Norm_Stats!$F$4),Norm_Stats!$G$4))/(Norm_Stats!$G$4-Norm_Stats!$F$4))))</f>
        <v/>
      </c>
      <c r="L53" s="14">
        <f>IF(K53="","",1)</f>
        <v/>
      </c>
      <c r="M53" s="11">
        <f>IF(OR(City_Inputs!$Q53="",Norm_Stats!$F$5="",Norm_Stats!$G$5="",Norm_Stats!$G$5=Norm_Stats!$F$5),"",MAX(0,MIN(100,100*(Norm_Stats!$G$5-MIN(MAX(City_Inputs!$Q53,Norm_Stats!$F$5),Norm_Stats!$G$5))/(Norm_Stats!$G$5-Norm_Stats!$F$5))))</f>
        <v/>
      </c>
      <c r="N53" s="14">
        <f>IF(M53="","",1)</f>
        <v/>
      </c>
      <c r="O53" s="11">
        <f>IF(OR(City_Inputs!$R53="",Norm_Stats!$F$6="",Norm_Stats!$G$6="",Norm_Stats!$G$6=Norm_Stats!$F$6),"",MAX(0,MIN(100,100*(Norm_Stats!$G$6-MIN(MAX(City_Inputs!$R53,Norm_Stats!$F$6),Norm_Stats!$G$6))/(Norm_Stats!$G$6-Norm_Stats!$F$6))))</f>
        <v/>
      </c>
      <c r="P53" s="14">
        <f>IF(O53="","",1)</f>
        <v/>
      </c>
      <c r="Q53" s="15">
        <f>IF((IF(G53="",0,9)+IF(I53="",0,5)+IF(K53="",0,4)+IF(M53="",0,4)+IF(O53="",0,5))=0,"",(IF(G53="",0,G53*9)+IF(I53="",0,I53*5)+IF(K53="",0,K53*4)+IF(M53="",0,M53*4)+IF(O53="",0,O53*5))/(IF(G53="",0,9)+IF(I53="",0,5)+IF(K53="",0,4)+IF(M53="",0,4)+IF(O53="",0,5)))</f>
        <v/>
      </c>
      <c r="R53" s="14">
        <f>IF((IF(H53="",0,9)+IF(J53="",0,5)+IF(L53="",0,4)+IF(N53="",0,4)+IF(P53="",0,5))=0,"",(IF(H53="",0,H53*9)+IF(J53="",0,J53*5)+IF(L53="",0,L53*4)+IF(N53="",0,N53*4)+IF(P53="",0,P53*5))/27)</f>
        <v/>
      </c>
      <c r="S53" s="11">
        <f>IF(OR(City_Inputs!$S53="",Norm_Stats!$F$7="",Norm_Stats!$G$7="",Norm_Stats!$G$7=Norm_Stats!$F$7),"",MAX(0,MIN(100,100*(Norm_Stats!$G$7-MIN(MAX(City_Inputs!$S53,Norm_Stats!$F$7),Norm_Stats!$G$7))/(Norm_Stats!$G$7-Norm_Stats!$F$7))))</f>
        <v/>
      </c>
      <c r="T53" s="14">
        <f>IF(S53="","",1)</f>
        <v/>
      </c>
      <c r="U53" s="11">
        <f>IF(OR(City_Inputs!$T53="",Norm_Stats!$F$8="",Norm_Stats!$G$8="",Norm_Stats!$G$8=Norm_Stats!$F$8),"",MAX(0,MIN(100,100*(MIN(MAX(City_Inputs!$T53,Norm_Stats!$F$8),Norm_Stats!$G$8)-Norm_Stats!$F$8)/(Norm_Stats!$G$8-Norm_Stats!$F$8))))</f>
        <v/>
      </c>
      <c r="V53" s="14">
        <f>IF(U53="","",1)</f>
        <v/>
      </c>
      <c r="W53" s="11">
        <f>IF(OR(City_Inputs!$U53="",Norm_Stats!$F$9="",Norm_Stats!$G$9="",Norm_Stats!$G$9=Norm_Stats!$F$9),"",MAX(0,MIN(100,100*(Norm_Stats!$G$9-MIN(MAX(City_Inputs!$U53,Norm_Stats!$F$9),Norm_Stats!$G$9))/(Norm_Stats!$G$9-Norm_Stats!$F$9))))</f>
        <v/>
      </c>
      <c r="X53" s="14">
        <f>IF(W53="","",1)</f>
        <v/>
      </c>
      <c r="Y53" s="11">
        <f>IF(OR(City_Inputs!$V53="",Norm_Stats!$F$10="",Norm_Stats!$G$10="",Norm_Stats!$G$10=Norm_Stats!$F$10),"",MAX(0,MIN(100,100*(MIN(MAX(City_Inputs!$V53,Norm_Stats!$F$10),Norm_Stats!$G$10)-Norm_Stats!$F$10)/(Norm_Stats!$G$10-Norm_Stats!$F$10))))</f>
        <v/>
      </c>
      <c r="Z53" s="14">
        <f>IF(Y53="","",1)</f>
        <v/>
      </c>
      <c r="AA53" s="11">
        <f>IF(OR(City_Inputs!$W53="",Norm_Stats!$F$11="",Norm_Stats!$G$11="",Norm_Stats!$G$11=Norm_Stats!$F$11),"",MAX(0,MIN(100,100*(MIN(MAX(City_Inputs!$W53,Norm_Stats!$F$11),Norm_Stats!$G$11)-Norm_Stats!$F$11)/(Norm_Stats!$G$11-Norm_Stats!$F$11))))</f>
        <v/>
      </c>
      <c r="AB53" s="14">
        <f>IF(AA53="","",1)</f>
        <v/>
      </c>
      <c r="AC53" s="11">
        <f>IF(OR(City_Inputs!$X53="",Norm_Stats!$F$12="",Norm_Stats!$G$12="",Norm_Stats!$G$12=Norm_Stats!$F$12),"",MAX(0,MIN(100,100*(MIN(MAX(City_Inputs!$X53,Norm_Stats!$F$12),Norm_Stats!$G$12)-Norm_Stats!$F$12)/(Norm_Stats!$G$12-Norm_Stats!$F$12))))</f>
        <v/>
      </c>
      <c r="AD53" s="11">
        <f>IF(AC53="","",1)</f>
        <v/>
      </c>
      <c r="AE53" s="15">
        <f>IF((IF(S53="",0,5)+IF(U53="",0,5)+IF(W53="",0,4)+IF(Y53="",0,4)+IF(AA53="",0,4)+IF(AC53="",0,5))=0,"",(IF(S53="",0,S53*5)+IF(U53="",0,U53*5)+IF(W53="",0,W53*4)+IF(Y53="",0,Y53*4)+IF(AA53="",0,AA53*4)+IF(AC53="",0,AC53*5))/(IF(S53="",0,5)+IF(U53="",0,5)+IF(W53="",0,4)+IF(Y53="",0,4)+IF(AA53="",0,4)+IF(AC53="",0,5)))</f>
        <v/>
      </c>
      <c r="AF53" s="14">
        <f>IF((IF(T53="",0,5)+IF(V53="",0,5)+IF(X53="",0,4)+IF(Z53="",0,4)+IF(AB53="",0,4)+IF(AD53="",0,5))=0,"",(IF(T53="",0,T53*5)+IF(V53="",0,V53*5)+IF(X53="",0,X53*4)+IF(Z53="",0,Z53*4)+IF(AB53="",0,AB53*4)+IF(AD53="",0,AD53*5))/27)</f>
        <v/>
      </c>
      <c r="AG53" s="11">
        <f>IF(OR(City_Inputs!$Y53="",Norm_Stats!$F$13="",Norm_Stats!$G$13="",Norm_Stats!$G$13=Norm_Stats!$F$13),"",MAX(0,MIN(100,100*(MIN(MAX(City_Inputs!$Y53,Norm_Stats!$F$13),Norm_Stats!$G$13)-Norm_Stats!$F$13)/(Norm_Stats!$G$13-Norm_Stats!$F$13))))</f>
        <v/>
      </c>
      <c r="AH53" s="14">
        <f>IF(AG53="","",1)</f>
        <v/>
      </c>
      <c r="AI53" s="11">
        <f>IF(OR(City_Inputs!$Z53="",Norm_Stats!$F$14="",Norm_Stats!$G$14="",Norm_Stats!$G$14=Norm_Stats!$F$14),"",MAX(0,MIN(100,100*(MIN(MAX(City_Inputs!$Z53,Norm_Stats!$F$14),Norm_Stats!$G$14)-Norm_Stats!$F$14)/(Norm_Stats!$G$14-Norm_Stats!$F$14))))</f>
        <v/>
      </c>
      <c r="AJ53" s="14">
        <f>IF(AI53="","",1)</f>
        <v/>
      </c>
      <c r="AK53" s="11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(IF(OR(City_Inputs!$AA53="",Norm_Stats!$F$15="",Norm_Stats!$G$15="",Norm_Stats!$G$15=Norm_Stats!$F$15),"",MAX(0,MIN(100,100*(MIN(MAX(City_Inputs!$AA53,Norm_Stats!$F$15),Norm_Stats!$G$15)-Norm_Stats!$F$15)/(Norm_Stats!$G$15-Norm_Stats!$F$15)))))*0.7)+IF((IF(OR(City_Inputs!$AL53="",Norm_Stats!$F$16="",Norm_Stats!$G$16="",Norm_Stats!$G$16=Norm_Stats!$F$16),"",MAX(0,MIN(100,100*(Norm_Stats!$G$16-MIN(MAX(City_Inputs!$AL53,Norm_Stats!$F$16),Norm_Stats!$G$16))/(Norm_Stats!$G$16-Norm_Stats!$F$16)))))="",0,(IF(OR(City_Inputs!$AL53="",Norm_Stats!$F$16="",Norm_Stats!$G$16="",Norm_Stats!$G$16=Norm_Stats!$F$16),"",MAX(0,MIN(100,100*(Norm_Stats!$G$16-MIN(MAX(City_Inputs!$AL53,Norm_Stats!$F$16),Norm_Stats!$G$16))/(Norm_Stats!$G$16-Norm_Stats!$F$16)))))*0.3))/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L53" s="14">
        <f>IF(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=0,"",(IF((IF(OR(City_Inputs!$AA53="",Norm_Stats!$F$15="",Norm_Stats!$G$15="",Norm_Stats!$G$15=Norm_Stats!$F$15),"",MAX(0,MIN(100,100*(MIN(MAX(City_Inputs!$AA53,Norm_Stats!$F$15),Norm_Stats!$G$15)-Norm_Stats!$F$15)/(Norm_Stats!$G$15-Norm_Stats!$F$15)))))="",0,0.7)+IF((IF(OR(City_Inputs!$AL53="",Norm_Stats!$F$16="",Norm_Stats!$G$16="",Norm_Stats!$G$16=Norm_Stats!$F$16),"",MAX(0,MIN(100,100*(Norm_Stats!$G$16-MIN(MAX(City_Inputs!$AL53,Norm_Stats!$F$16),Norm_Stats!$G$16))/(Norm_Stats!$G$16-Norm_Stats!$F$16)))))="",0,0.3)))</f>
        <v/>
      </c>
      <c r="AM53" s="15">
        <f>IF((IF(AG53="",0,8)+IF(AI53="",0,6)+IF(AK53="",0,4))=0,"",(IF(AG53="",0,AG53*8)+IF(AI53="",0,AI53*6)+IF(AK53="",0,AK53*4))/(IF(AG53="",0,8)+IF(AI53="",0,6)+IF(AK53="",0,4)))</f>
        <v/>
      </c>
      <c r="AN53" s="14">
        <f>IF((IF(AH53="",0,8)+IF(AJ53="",0,6)+IF(AL53="",0,4))=0,"",(IF(AH53="",0,AH53*8)+IF(AJ53="",0,AJ53*6)+IF(AL53="",0,AL53*4))/18)</f>
        <v/>
      </c>
      <c r="AO53" s="11">
        <f>IF(OR(City_Inputs!$AB53="",Norm_Stats!$F$17="",Norm_Stats!$G$17="",Norm_Stats!$G$17=Norm_Stats!$F$17),"",MAX(0,MIN(100,100*(MIN(MAX(City_Inputs!$AB53,Norm_Stats!$F$17),Norm_Stats!$G$17)-Norm_Stats!$F$17)/(Norm_Stats!$G$17-Norm_Stats!$F$17))))</f>
        <v/>
      </c>
      <c r="AP53" s="14">
        <f>IF(AO53="","",1)</f>
        <v/>
      </c>
      <c r="AQ53" s="11">
        <f>IF(OR(City_Inputs!$AC53="",Norm_Stats!$F$18="",Norm_Stats!$G$18="",Norm_Stats!$G$18=Norm_Stats!$F$18),"",MAX(0,MIN(100,100*(MIN(MAX(City_Inputs!$AC53,Norm_Stats!$F$18),Norm_Stats!$G$18)-Norm_Stats!$F$18)/(Norm_Stats!$G$18-Norm_Stats!$F$18))))</f>
        <v/>
      </c>
      <c r="AR53" s="14">
        <f>IF(AQ53="","",1)</f>
        <v/>
      </c>
      <c r="AS53" s="11">
        <f>IF(OR(City_Inputs!$AD53="",Norm_Stats!$F$19="",Norm_Stats!$G$19="",Norm_Stats!$G$19=Norm_Stats!$F$19),"",MAX(0,MIN(100,100*(MIN(MAX(City_Inputs!$AD53,Norm_Stats!$F$19),Norm_Stats!$G$19)-Norm_Stats!$F$19)/(Norm_Stats!$G$19-Norm_Stats!$F$19))))</f>
        <v/>
      </c>
      <c r="AT53" s="14">
        <f>IF(AS53="","",1)</f>
        <v/>
      </c>
      <c r="AU53" s="11">
        <f>IF(OR(City_Inputs!$BJ53="",Norm_Stats!$F$26="",Norm_Stats!$G$26="",Norm_Stats!$G$26=Norm_Stats!$F$26),"",MAX(0,MIN(100,100*(MIN(MAX(City_Inputs!$BJ53,Norm_Stats!$F$26),Norm_Stats!$G$26)-Norm_Stats!$F$26)/(Norm_Stats!$G$26-Norm_Stats!$F$26))))</f>
        <v/>
      </c>
      <c r="AV53" s="11">
        <f>IF(AU53="","",1)</f>
        <v/>
      </c>
      <c r="AW53" s="15">
        <f>IF((IF(AO53="",0,5)+IF(AQ53="",0,5)+IF(AS53="",0,5)+IF(AU53="",0,4))=0,"",(IF(AO53="",0,AO53*5)+IF(AQ53="",0,AQ53*5)+IF(AS53="",0,AS53*5)+IF(AU53="",0,AU53*4))/(IF(AO53="",0,5)+IF(AQ53="",0,5)+IF(AS53="",0,5)+IF(AU53="",0,4)))</f>
        <v/>
      </c>
      <c r="AX53" s="14">
        <f>IF((IF(AP53="",0,5)+IF(AR53="",0,5)+IF(AT53="",0,5)+IF(AV53="",0,4))=0,"",(IF(AP53="",0,AP53*5)+IF(AR53="",0,AR53*5)+IF(AT53="",0,AT53*5)+IF(AV53="",0,AV53*4))/19)</f>
        <v/>
      </c>
      <c r="AY53" s="11">
        <f>IF(OR(City_Inputs!$AE53="",Norm_Stats!$F$20="",Norm_Stats!$G$20="",Norm_Stats!$G$20=Norm_Stats!$F$20),"",MAX(0,MIN(100,100*(MIN(MAX(City_Inputs!$AE53,Norm_Stats!$F$20),Norm_Stats!$G$20)-Norm_Stats!$F$20)/(Norm_Stats!$G$20-Norm_Stats!$F$20))))</f>
        <v/>
      </c>
      <c r="AZ53" s="14">
        <f>IF(AY53="","",1)</f>
        <v/>
      </c>
      <c r="BA53" s="11">
        <f>IF(OR(City_Inputs!$AF53="",Norm_Stats!$F$21="",Norm_Stats!$G$21="",Norm_Stats!$G$21=Norm_Stats!$F$21),"",MAX(0,MIN(100,100*(MIN(MAX(City_Inputs!$AF53,Norm_Stats!$F$21),Norm_Stats!$G$21)-Norm_Stats!$F$21)/(Norm_Stats!$G$21-Norm_Stats!$F$21))))</f>
        <v/>
      </c>
      <c r="BB53" s="14">
        <f>IF(BA53="","",1)</f>
        <v/>
      </c>
      <c r="BC53" s="11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(IF(OR(City_Inputs!$AG53="",Norm_Stats!$F$22="",Norm_Stats!$G$22="",Norm_Stats!$G$22=Norm_Stats!$F$22),"",MAX(0,MIN(100,100*(MIN(MAX(City_Inputs!$AG53,Norm_Stats!$F$22),Norm_Stats!$G$22)-Norm_Stats!$F$22)/(Norm_Stats!$G$22-Norm_Stats!$F$22)))))*0.5)+IF((IF(OR(City_Inputs!$AJ53="",Norm_Stats!$F$23="",Norm_Stats!$G$23="",Norm_Stats!$G$23=Norm_Stats!$F$23),"",MAX(0,MIN(100,100*(MIN(MAX(City_Inputs!$AJ53,Norm_Stats!$F$23),Norm_Stats!$G$23)-Norm_Stats!$F$23)/(Norm_Stats!$G$23-Norm_Stats!$F$23)))))="",0,(IF(OR(City_Inputs!$AJ53="",Norm_Stats!$F$23="",Norm_Stats!$G$23="",Norm_Stats!$G$23=Norm_Stats!$F$23),"",MAX(0,MIN(100,100*(MIN(MAX(City_Inputs!$AJ53,Norm_Stats!$F$23),Norm_Stats!$G$23)-Norm_Stats!$F$23)/(Norm_Stats!$G$23-Norm_Stats!$F$23)))))*0.3)+IF((IF(OR(City_Inputs!$AK53="",Norm_Stats!$F$24="",Norm_Stats!$G$24="",Norm_Stats!$G$24=Norm_Stats!$F$24),"",MAX(0,MIN(100,100*(MIN(MAX(City_Inputs!$AK53,Norm_Stats!$F$24),Norm_Stats!$G$24)-Norm_Stats!$F$24)/(Norm_Stats!$G$24-Norm_Stats!$F$24)))))="",0,(IF(OR(City_Inputs!$AK53="",Norm_Stats!$F$24="",Norm_Stats!$G$24="",Norm_Stats!$G$24=Norm_Stats!$F$24),"",MAX(0,MIN(100,100*(MIN(MAX(City_Inputs!$AK53,Norm_Stats!$F$24),Norm_Stats!$G$24)-Norm_Stats!$F$24)/(Norm_Stats!$G$24-Norm_Stats!$F$24)))))*0.2))/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D53" s="14">
        <f>IF(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=0,"",(IF((IF(OR(City_Inputs!$AG53="",Norm_Stats!$F$22="",Norm_Stats!$G$22="",Norm_Stats!$G$22=Norm_Stats!$F$22),"",MAX(0,MIN(100,100*(MIN(MAX(City_Inputs!$AG53,Norm_Stats!$F$22),Norm_Stats!$G$22)-Norm_Stats!$F$22)/(Norm_Stats!$G$22-Norm_Stats!$F$22)))))="",0,0.5)+IF((IF(OR(City_Inputs!$AJ53="",Norm_Stats!$F$23="",Norm_Stats!$G$23="",Norm_Stats!$G$23=Norm_Stats!$F$23),"",MAX(0,MIN(100,100*(MIN(MAX(City_Inputs!$AJ53,Norm_Stats!$F$23),Norm_Stats!$G$23)-Norm_Stats!$F$23)/(Norm_Stats!$G$23-Norm_Stats!$F$23)))))="",0,0.3)+IF((IF(OR(City_Inputs!$AK53="",Norm_Stats!$F$24="",Norm_Stats!$G$24="",Norm_Stats!$G$24=Norm_Stats!$F$24),"",MAX(0,MIN(100,100*(MIN(MAX(City_Inputs!$AK53,Norm_Stats!$F$24),Norm_Stats!$G$24)-Norm_Stats!$F$24)/(Norm_Stats!$G$24-Norm_Stats!$F$24)))))="",0,0.2)))</f>
        <v/>
      </c>
      <c r="BE53" s="11">
        <f>IF(OR(City_Inputs!$AH53="",Norm_Stats!$F$25="",Norm_Stats!$G$25="",Norm_Stats!$G$25=Norm_Stats!$F$25),"",MAX(0,MIN(100,100*(Norm_Stats!$G$25-MIN(MAX(City_Inputs!$AH53,Norm_Stats!$F$25),Norm_Stats!$G$25))/(Norm_Stats!$G$25-Norm_Stats!$F$25))))</f>
        <v/>
      </c>
      <c r="BF53" s="14">
        <f>IF(BE53="","",1)</f>
        <v/>
      </c>
      <c r="BG53" s="15">
        <f>IF((IF(AY53="",0,6)+IF(BA53="",0,5)+IF(BC53="",0,5)+IF(BE53="",0,4))=0,"",(IF(AY53="",0,AY53*6)+IF(BA53="",0,BA53*5)+IF(BC53="",0,BC53*5)+IF(BE53="",0,BE53*4))/(IF(AY53="",0,6)+IF(BA53="",0,5)+IF(BC53="",0,5)+IF(BE53="",0,4)))</f>
        <v/>
      </c>
      <c r="BH53" s="14">
        <f>IF((IF(AZ53="",0,6)+IF(BB53="",0,5)+IF(BD53="",0,5)+IF(BF53="",0,4))=0,"",(IF(AZ53="",0,AZ53*6)+IF(BB53="",0,BB53*5)+IF(BD53="",0,BD53*5)+IF(BF53="",0,BF53*4))/20)</f>
        <v/>
      </c>
      <c r="BI53" s="14">
        <f>IF(AND(R53="",AF53="",AN53="",AX53="",BH53=""),"",((R53*25)+(AF53*22)+(AN53*18)+(AX53*15)+(BH53*20))/100)</f>
        <v/>
      </c>
      <c r="BJ53" s="11">
        <f>IF(BI53="","",IF(BI53&gt;=0.75,"A",IF(BI53&gt;=0.5,"B",IF(BI53&gt;=0.35,"C","Watchlist"))))</f>
        <v/>
      </c>
      <c r="BK53" s="11">
        <f>IF(OR(BI53="",BI53&lt;0.5,R53="",R53&lt;0.35,AF53="",AF53&lt;0.35,AN53="",AN53&lt;0.35,AX53="",AX53&lt;0.35,BH53="",BH53&lt;0.35),"Watchlist","Ranked")</f>
        <v/>
      </c>
      <c r="BL53" s="15">
        <f>IF(AND(Q53="",AE53="",AM53="",AW53="",BG53=""),"",(IF(Q53="",0,Q53*25)+IF(AE53="",0,AE53*22)+IF(AM53="",0,AM53*18)+IF(AW53="",0,AW53*15)+IF(BG53="",0,BG53*20))/(IF(Q53="",0,25)+IF(AE53="",0,22)+IF(AM53="",0,18)+IF(AW53="",0,15)+IF(BG53="",0,20)))</f>
        <v/>
      </c>
      <c r="BM53" s="11">
        <f>IF(BK53="Ranked",1+COUNTIFS($BK$2:$BK$158,"Ranked",$BL$2:$BL$158,"&gt;"&amp;BL53),"")</f>
        <v/>
      </c>
      <c r="BN53" s="11">
        <f>City_Inputs!$AI53</f>
        <v/>
      </c>
    </row>
    <row r="54">
      <c r="A54" t="inlineStr">
        <is>
          <t>ro-bucharest</t>
        </is>
      </c>
      <c r="B54" t="inlineStr">
        <is>
          <t>Bucharest</t>
        </is>
      </c>
      <c r="C54" t="inlineStr">
        <is>
          <t>Romania</t>
        </is>
      </c>
      <c r="D54" t="inlineStr">
        <is>
          <t>Southern/Eastern Europe and Eurasia</t>
        </is>
      </c>
      <c r="E54" t="inlineStr">
        <is>
          <t>locked</t>
        </is>
      </c>
      <c r="F54" t="inlineStr">
        <is>
          <t>primary</t>
        </is>
      </c>
      <c r="G54" s="11">
        <f>IF(OR(City_Inputs!$M54="",Norm_Stats!$F$2="",Norm_Stats!$G$2="",Norm_Stats!$G$2=Norm_Stats!$F$2),"",MAX(0,MIN(100,100*(MIN(MAX(City_Inputs!$M54,Norm_Stats!$F$2),Norm_Stats!$G$2)-Norm_Stats!$F$2)/(Norm_Stats!$G$2-Norm_Stats!$F$2))))</f>
        <v/>
      </c>
      <c r="H54" s="14">
        <f>IF(G54="","",1)</f>
        <v/>
      </c>
      <c r="I54" s="11">
        <f>IF(OR(City_Inputs!$N54="",Norm_Stats!$F$3="",Norm_Stats!$G$3="",Norm_Stats!$G$3=Norm_Stats!$F$3),"",MAX(0,MIN(100,100*(Norm_Stats!$G$3-MIN(MAX(City_Inputs!$N54,Norm_Stats!$F$3),Norm_Stats!$G$3))/(Norm_Stats!$G$3-Norm_Stats!$F$3))))</f>
        <v/>
      </c>
      <c r="J54" s="14">
        <f>IF(I54="","",1)</f>
        <v/>
      </c>
      <c r="K54" s="11">
        <f>IF(OR(City_Inputs!$P54="",Norm_Stats!$F$4="",Norm_Stats!$G$4="",Norm_Stats!$G$4=Norm_Stats!$F$4),"",MAX(0,MIN(100,100*(Norm_Stats!$G$4-MIN(MAX(City_Inputs!$P54,Norm_Stats!$F$4),Norm_Stats!$G$4))/(Norm_Stats!$G$4-Norm_Stats!$F$4))))</f>
        <v/>
      </c>
      <c r="L54" s="14">
        <f>IF(K54="","",1)</f>
        <v/>
      </c>
      <c r="M54" s="11">
        <f>IF(OR(City_Inputs!$Q54="",Norm_Stats!$F$5="",Norm_Stats!$G$5="",Norm_Stats!$G$5=Norm_Stats!$F$5),"",MAX(0,MIN(100,100*(Norm_Stats!$G$5-MIN(MAX(City_Inputs!$Q54,Norm_Stats!$F$5),Norm_Stats!$G$5))/(Norm_Stats!$G$5-Norm_Stats!$F$5))))</f>
        <v/>
      </c>
      <c r="N54" s="14">
        <f>IF(M54="","",1)</f>
        <v/>
      </c>
      <c r="O54" s="11">
        <f>IF(OR(City_Inputs!$R54="",Norm_Stats!$F$6="",Norm_Stats!$G$6="",Norm_Stats!$G$6=Norm_Stats!$F$6),"",MAX(0,MIN(100,100*(Norm_Stats!$G$6-MIN(MAX(City_Inputs!$R54,Norm_Stats!$F$6),Norm_Stats!$G$6))/(Norm_Stats!$G$6-Norm_Stats!$F$6))))</f>
        <v/>
      </c>
      <c r="P54" s="14">
        <f>IF(O54="","",1)</f>
        <v/>
      </c>
      <c r="Q54" s="15">
        <f>IF((IF(G54="",0,9)+IF(I54="",0,5)+IF(K54="",0,4)+IF(M54="",0,4)+IF(O54="",0,5))=0,"",(IF(G54="",0,G54*9)+IF(I54="",0,I54*5)+IF(K54="",0,K54*4)+IF(M54="",0,M54*4)+IF(O54="",0,O54*5))/(IF(G54="",0,9)+IF(I54="",0,5)+IF(K54="",0,4)+IF(M54="",0,4)+IF(O54="",0,5)))</f>
        <v/>
      </c>
      <c r="R54" s="14">
        <f>IF((IF(H54="",0,9)+IF(J54="",0,5)+IF(L54="",0,4)+IF(N54="",0,4)+IF(P54="",0,5))=0,"",(IF(H54="",0,H54*9)+IF(J54="",0,J54*5)+IF(L54="",0,L54*4)+IF(N54="",0,N54*4)+IF(P54="",0,P54*5))/27)</f>
        <v/>
      </c>
      <c r="S54" s="11">
        <f>IF(OR(City_Inputs!$S54="",Norm_Stats!$F$7="",Norm_Stats!$G$7="",Norm_Stats!$G$7=Norm_Stats!$F$7),"",MAX(0,MIN(100,100*(Norm_Stats!$G$7-MIN(MAX(City_Inputs!$S54,Norm_Stats!$F$7),Norm_Stats!$G$7))/(Norm_Stats!$G$7-Norm_Stats!$F$7))))</f>
        <v/>
      </c>
      <c r="T54" s="14">
        <f>IF(S54="","",1)</f>
        <v/>
      </c>
      <c r="U54" s="11">
        <f>IF(OR(City_Inputs!$T54="",Norm_Stats!$F$8="",Norm_Stats!$G$8="",Norm_Stats!$G$8=Norm_Stats!$F$8),"",MAX(0,MIN(100,100*(MIN(MAX(City_Inputs!$T54,Norm_Stats!$F$8),Norm_Stats!$G$8)-Norm_Stats!$F$8)/(Norm_Stats!$G$8-Norm_Stats!$F$8))))</f>
        <v/>
      </c>
      <c r="V54" s="14">
        <f>IF(U54="","",1)</f>
        <v/>
      </c>
      <c r="W54" s="11">
        <f>IF(OR(City_Inputs!$U54="",Norm_Stats!$F$9="",Norm_Stats!$G$9="",Norm_Stats!$G$9=Norm_Stats!$F$9),"",MAX(0,MIN(100,100*(Norm_Stats!$G$9-MIN(MAX(City_Inputs!$U54,Norm_Stats!$F$9),Norm_Stats!$G$9))/(Norm_Stats!$G$9-Norm_Stats!$F$9))))</f>
        <v/>
      </c>
      <c r="X54" s="14">
        <f>IF(W54="","",1)</f>
        <v/>
      </c>
      <c r="Y54" s="11">
        <f>IF(OR(City_Inputs!$V54="",Norm_Stats!$F$10="",Norm_Stats!$G$10="",Norm_Stats!$G$10=Norm_Stats!$F$10),"",MAX(0,MIN(100,100*(MIN(MAX(City_Inputs!$V54,Norm_Stats!$F$10),Norm_Stats!$G$10)-Norm_Stats!$F$10)/(Norm_Stats!$G$10-Norm_Stats!$F$10))))</f>
        <v/>
      </c>
      <c r="Z54" s="14">
        <f>IF(Y54="","",1)</f>
        <v/>
      </c>
      <c r="AA54" s="11">
        <f>IF(OR(City_Inputs!$W54="",Norm_Stats!$F$11="",Norm_Stats!$G$11="",Norm_Stats!$G$11=Norm_Stats!$F$11),"",MAX(0,MIN(100,100*(MIN(MAX(City_Inputs!$W54,Norm_Stats!$F$11),Norm_Stats!$G$11)-Norm_Stats!$F$11)/(Norm_Stats!$G$11-Norm_Stats!$F$11))))</f>
        <v/>
      </c>
      <c r="AB54" s="14">
        <f>IF(AA54="","",1)</f>
        <v/>
      </c>
      <c r="AC54" s="11">
        <f>IF(OR(City_Inputs!$X54="",Norm_Stats!$F$12="",Norm_Stats!$G$12="",Norm_Stats!$G$12=Norm_Stats!$F$12),"",MAX(0,MIN(100,100*(MIN(MAX(City_Inputs!$X54,Norm_Stats!$F$12),Norm_Stats!$G$12)-Norm_Stats!$F$12)/(Norm_Stats!$G$12-Norm_Stats!$F$12))))</f>
        <v/>
      </c>
      <c r="AD54" s="11">
        <f>IF(AC54="","",1)</f>
        <v/>
      </c>
      <c r="AE54" s="15">
        <f>IF((IF(S54="",0,5)+IF(U54="",0,5)+IF(W54="",0,4)+IF(Y54="",0,4)+IF(AA54="",0,4)+IF(AC54="",0,5))=0,"",(IF(S54="",0,S54*5)+IF(U54="",0,U54*5)+IF(W54="",0,W54*4)+IF(Y54="",0,Y54*4)+IF(AA54="",0,AA54*4)+IF(AC54="",0,AC54*5))/(IF(S54="",0,5)+IF(U54="",0,5)+IF(W54="",0,4)+IF(Y54="",0,4)+IF(AA54="",0,4)+IF(AC54="",0,5)))</f>
        <v/>
      </c>
      <c r="AF54" s="14">
        <f>IF((IF(T54="",0,5)+IF(V54="",0,5)+IF(X54="",0,4)+IF(Z54="",0,4)+IF(AB54="",0,4)+IF(AD54="",0,5))=0,"",(IF(T54="",0,T54*5)+IF(V54="",0,V54*5)+IF(X54="",0,X54*4)+IF(Z54="",0,Z54*4)+IF(AB54="",0,AB54*4)+IF(AD54="",0,AD54*5))/27)</f>
        <v/>
      </c>
      <c r="AG54" s="11">
        <f>IF(OR(City_Inputs!$Y54="",Norm_Stats!$F$13="",Norm_Stats!$G$13="",Norm_Stats!$G$13=Norm_Stats!$F$13),"",MAX(0,MIN(100,100*(MIN(MAX(City_Inputs!$Y54,Norm_Stats!$F$13),Norm_Stats!$G$13)-Norm_Stats!$F$13)/(Norm_Stats!$G$13-Norm_Stats!$F$13))))</f>
        <v/>
      </c>
      <c r="AH54" s="14">
        <f>IF(AG54="","",1)</f>
        <v/>
      </c>
      <c r="AI54" s="11">
        <f>IF(OR(City_Inputs!$Z54="",Norm_Stats!$F$14="",Norm_Stats!$G$14="",Norm_Stats!$G$14=Norm_Stats!$F$14),"",MAX(0,MIN(100,100*(MIN(MAX(City_Inputs!$Z54,Norm_Stats!$F$14),Norm_Stats!$G$14)-Norm_Stats!$F$14)/(Norm_Stats!$G$14-Norm_Stats!$F$14))))</f>
        <v/>
      </c>
      <c r="AJ54" s="14">
        <f>IF(AI54="","",1)</f>
        <v/>
      </c>
      <c r="AK54" s="11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(IF(OR(City_Inputs!$AA54="",Norm_Stats!$F$15="",Norm_Stats!$G$15="",Norm_Stats!$G$15=Norm_Stats!$F$15),"",MAX(0,MIN(100,100*(MIN(MAX(City_Inputs!$AA54,Norm_Stats!$F$15),Norm_Stats!$G$15)-Norm_Stats!$F$15)/(Norm_Stats!$G$15-Norm_Stats!$F$15)))))*0.7)+IF((IF(OR(City_Inputs!$AL54="",Norm_Stats!$F$16="",Norm_Stats!$G$16="",Norm_Stats!$G$16=Norm_Stats!$F$16),"",MAX(0,MIN(100,100*(Norm_Stats!$G$16-MIN(MAX(City_Inputs!$AL54,Norm_Stats!$F$16),Norm_Stats!$G$16))/(Norm_Stats!$G$16-Norm_Stats!$F$16)))))="",0,(IF(OR(City_Inputs!$AL54="",Norm_Stats!$F$16="",Norm_Stats!$G$16="",Norm_Stats!$G$16=Norm_Stats!$F$16),"",MAX(0,MIN(100,100*(Norm_Stats!$G$16-MIN(MAX(City_Inputs!$AL54,Norm_Stats!$F$16),Norm_Stats!$G$16))/(Norm_Stats!$G$16-Norm_Stats!$F$16)))))*0.3))/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L54" s="14">
        <f>IF(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=0,"",(IF((IF(OR(City_Inputs!$AA54="",Norm_Stats!$F$15="",Norm_Stats!$G$15="",Norm_Stats!$G$15=Norm_Stats!$F$15),"",MAX(0,MIN(100,100*(MIN(MAX(City_Inputs!$AA54,Norm_Stats!$F$15),Norm_Stats!$G$15)-Norm_Stats!$F$15)/(Norm_Stats!$G$15-Norm_Stats!$F$15)))))="",0,0.7)+IF((IF(OR(City_Inputs!$AL54="",Norm_Stats!$F$16="",Norm_Stats!$G$16="",Norm_Stats!$G$16=Norm_Stats!$F$16),"",MAX(0,MIN(100,100*(Norm_Stats!$G$16-MIN(MAX(City_Inputs!$AL54,Norm_Stats!$F$16),Norm_Stats!$G$16))/(Norm_Stats!$G$16-Norm_Stats!$F$16)))))="",0,0.3)))</f>
        <v/>
      </c>
      <c r="AM54" s="15">
        <f>IF((IF(AG54="",0,8)+IF(AI54="",0,6)+IF(AK54="",0,4))=0,"",(IF(AG54="",0,AG54*8)+IF(AI54="",0,AI54*6)+IF(AK54="",0,AK54*4))/(IF(AG54="",0,8)+IF(AI54="",0,6)+IF(AK54="",0,4)))</f>
        <v/>
      </c>
      <c r="AN54" s="14">
        <f>IF((IF(AH54="",0,8)+IF(AJ54="",0,6)+IF(AL54="",0,4))=0,"",(IF(AH54="",0,AH54*8)+IF(AJ54="",0,AJ54*6)+IF(AL54="",0,AL54*4))/18)</f>
        <v/>
      </c>
      <c r="AO54" s="11">
        <f>IF(OR(City_Inputs!$AB54="",Norm_Stats!$F$17="",Norm_Stats!$G$17="",Norm_Stats!$G$17=Norm_Stats!$F$17),"",MAX(0,MIN(100,100*(MIN(MAX(City_Inputs!$AB54,Norm_Stats!$F$17),Norm_Stats!$G$17)-Norm_Stats!$F$17)/(Norm_Stats!$G$17-Norm_Stats!$F$17))))</f>
        <v/>
      </c>
      <c r="AP54" s="14">
        <f>IF(AO54="","",1)</f>
        <v/>
      </c>
      <c r="AQ54" s="11">
        <f>IF(OR(City_Inputs!$AC54="",Norm_Stats!$F$18="",Norm_Stats!$G$18="",Norm_Stats!$G$18=Norm_Stats!$F$18),"",MAX(0,MIN(100,100*(MIN(MAX(City_Inputs!$AC54,Norm_Stats!$F$18),Norm_Stats!$G$18)-Norm_Stats!$F$18)/(Norm_Stats!$G$18-Norm_Stats!$F$18))))</f>
        <v/>
      </c>
      <c r="AR54" s="14">
        <f>IF(AQ54="","",1)</f>
        <v/>
      </c>
      <c r="AS54" s="11">
        <f>IF(OR(City_Inputs!$AD54="",Norm_Stats!$F$19="",Norm_Stats!$G$19="",Norm_Stats!$G$19=Norm_Stats!$F$19),"",MAX(0,MIN(100,100*(MIN(MAX(City_Inputs!$AD54,Norm_Stats!$F$19),Norm_Stats!$G$19)-Norm_Stats!$F$19)/(Norm_Stats!$G$19-Norm_Stats!$F$19))))</f>
        <v/>
      </c>
      <c r="AT54" s="14">
        <f>IF(AS54="","",1)</f>
        <v/>
      </c>
      <c r="AU54" s="11">
        <f>IF(OR(City_Inputs!$BJ54="",Norm_Stats!$F$26="",Norm_Stats!$G$26="",Norm_Stats!$G$26=Norm_Stats!$F$26),"",MAX(0,MIN(100,100*(MIN(MAX(City_Inputs!$BJ54,Norm_Stats!$F$26),Norm_Stats!$G$26)-Norm_Stats!$F$26)/(Norm_Stats!$G$26-Norm_Stats!$F$26))))</f>
        <v/>
      </c>
      <c r="AV54" s="11">
        <f>IF(AU54="","",1)</f>
        <v/>
      </c>
      <c r="AW54" s="15">
        <f>IF((IF(AO54="",0,5)+IF(AQ54="",0,5)+IF(AS54="",0,5)+IF(AU54="",0,4))=0,"",(IF(AO54="",0,AO54*5)+IF(AQ54="",0,AQ54*5)+IF(AS54="",0,AS54*5)+IF(AU54="",0,AU54*4))/(IF(AO54="",0,5)+IF(AQ54="",0,5)+IF(AS54="",0,5)+IF(AU54="",0,4)))</f>
        <v/>
      </c>
      <c r="AX54" s="14">
        <f>IF((IF(AP54="",0,5)+IF(AR54="",0,5)+IF(AT54="",0,5)+IF(AV54="",0,4))=0,"",(IF(AP54="",0,AP54*5)+IF(AR54="",0,AR54*5)+IF(AT54="",0,AT54*5)+IF(AV54="",0,AV54*4))/19)</f>
        <v/>
      </c>
      <c r="AY54" s="11">
        <f>IF(OR(City_Inputs!$AE54="",Norm_Stats!$F$20="",Norm_Stats!$G$20="",Norm_Stats!$G$20=Norm_Stats!$F$20),"",MAX(0,MIN(100,100*(MIN(MAX(City_Inputs!$AE54,Norm_Stats!$F$20),Norm_Stats!$G$20)-Norm_Stats!$F$20)/(Norm_Stats!$G$20-Norm_Stats!$F$20))))</f>
        <v/>
      </c>
      <c r="AZ54" s="14">
        <f>IF(AY54="","",1)</f>
        <v/>
      </c>
      <c r="BA54" s="11">
        <f>IF(OR(City_Inputs!$AF54="",Norm_Stats!$F$21="",Norm_Stats!$G$21="",Norm_Stats!$G$21=Norm_Stats!$F$21),"",MAX(0,MIN(100,100*(MIN(MAX(City_Inputs!$AF54,Norm_Stats!$F$21),Norm_Stats!$G$21)-Norm_Stats!$F$21)/(Norm_Stats!$G$21-Norm_Stats!$F$21))))</f>
        <v/>
      </c>
      <c r="BB54" s="14">
        <f>IF(BA54="","",1)</f>
        <v/>
      </c>
      <c r="BC54" s="11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(IF(OR(City_Inputs!$AG54="",Norm_Stats!$F$22="",Norm_Stats!$G$22="",Norm_Stats!$G$22=Norm_Stats!$F$22),"",MAX(0,MIN(100,100*(MIN(MAX(City_Inputs!$AG54,Norm_Stats!$F$22),Norm_Stats!$G$22)-Norm_Stats!$F$22)/(Norm_Stats!$G$22-Norm_Stats!$F$22)))))*0.5)+IF((IF(OR(City_Inputs!$AJ54="",Norm_Stats!$F$23="",Norm_Stats!$G$23="",Norm_Stats!$G$23=Norm_Stats!$F$23),"",MAX(0,MIN(100,100*(MIN(MAX(City_Inputs!$AJ54,Norm_Stats!$F$23),Norm_Stats!$G$23)-Norm_Stats!$F$23)/(Norm_Stats!$G$23-Norm_Stats!$F$23)))))="",0,(IF(OR(City_Inputs!$AJ54="",Norm_Stats!$F$23="",Norm_Stats!$G$23="",Norm_Stats!$G$23=Norm_Stats!$F$23),"",MAX(0,MIN(100,100*(MIN(MAX(City_Inputs!$AJ54,Norm_Stats!$F$23),Norm_Stats!$G$23)-Norm_Stats!$F$23)/(Norm_Stats!$G$23-Norm_Stats!$F$23)))))*0.3)+IF((IF(OR(City_Inputs!$AK54="",Norm_Stats!$F$24="",Norm_Stats!$G$24="",Norm_Stats!$G$24=Norm_Stats!$F$24),"",MAX(0,MIN(100,100*(MIN(MAX(City_Inputs!$AK54,Norm_Stats!$F$24),Norm_Stats!$G$24)-Norm_Stats!$F$24)/(Norm_Stats!$G$24-Norm_Stats!$F$24)))))="",0,(IF(OR(City_Inputs!$AK54="",Norm_Stats!$F$24="",Norm_Stats!$G$24="",Norm_Stats!$G$24=Norm_Stats!$F$24),"",MAX(0,MIN(100,100*(MIN(MAX(City_Inputs!$AK54,Norm_Stats!$F$24),Norm_Stats!$G$24)-Norm_Stats!$F$24)/(Norm_Stats!$G$24-Norm_Stats!$F$24)))))*0.2))/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D54" s="14">
        <f>IF(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=0,"",(IF((IF(OR(City_Inputs!$AG54="",Norm_Stats!$F$22="",Norm_Stats!$G$22="",Norm_Stats!$G$22=Norm_Stats!$F$22),"",MAX(0,MIN(100,100*(MIN(MAX(City_Inputs!$AG54,Norm_Stats!$F$22),Norm_Stats!$G$22)-Norm_Stats!$F$22)/(Norm_Stats!$G$22-Norm_Stats!$F$22)))))="",0,0.5)+IF((IF(OR(City_Inputs!$AJ54="",Norm_Stats!$F$23="",Norm_Stats!$G$23="",Norm_Stats!$G$23=Norm_Stats!$F$23),"",MAX(0,MIN(100,100*(MIN(MAX(City_Inputs!$AJ54,Norm_Stats!$F$23),Norm_Stats!$G$23)-Norm_Stats!$F$23)/(Norm_Stats!$G$23-Norm_Stats!$F$23)))))="",0,0.3)+IF((IF(OR(City_Inputs!$AK54="",Norm_Stats!$F$24="",Norm_Stats!$G$24="",Norm_Stats!$G$24=Norm_Stats!$F$24),"",MAX(0,MIN(100,100*(MIN(MAX(City_Inputs!$AK54,Norm_Stats!$F$24),Norm_Stats!$G$24)-Norm_Stats!$F$24)/(Norm_Stats!$G$24-Norm_Stats!$F$24)))))="",0,0.2)))</f>
        <v/>
      </c>
      <c r="BE54" s="11">
        <f>IF(OR(City_Inputs!$AH54="",Norm_Stats!$F$25="",Norm_Stats!$G$25="",Norm_Stats!$G$25=Norm_Stats!$F$25),"",MAX(0,MIN(100,100*(Norm_Stats!$G$25-MIN(MAX(City_Inputs!$AH54,Norm_Stats!$F$25),Norm_Stats!$G$25))/(Norm_Stats!$G$25-Norm_Stats!$F$25))))</f>
        <v/>
      </c>
      <c r="BF54" s="14">
        <f>IF(BE54="","",1)</f>
        <v/>
      </c>
      <c r="BG54" s="15">
        <f>IF((IF(AY54="",0,6)+IF(BA54="",0,5)+IF(BC54="",0,5)+IF(BE54="",0,4))=0,"",(IF(AY54="",0,AY54*6)+IF(BA54="",0,BA54*5)+IF(BC54="",0,BC54*5)+IF(BE54="",0,BE54*4))/(IF(AY54="",0,6)+IF(BA54="",0,5)+IF(BC54="",0,5)+IF(BE54="",0,4)))</f>
        <v/>
      </c>
      <c r="BH54" s="14">
        <f>IF((IF(AZ54="",0,6)+IF(BB54="",0,5)+IF(BD54="",0,5)+IF(BF54="",0,4))=0,"",(IF(AZ54="",0,AZ54*6)+IF(BB54="",0,BB54*5)+IF(BD54="",0,BD54*5)+IF(BF54="",0,BF54*4))/20)</f>
        <v/>
      </c>
      <c r="BI54" s="14">
        <f>IF(AND(R54="",AF54="",AN54="",AX54="",BH54=""),"",((R54*25)+(AF54*22)+(AN54*18)+(AX54*15)+(BH54*20))/100)</f>
        <v/>
      </c>
      <c r="BJ54" s="11">
        <f>IF(BI54="","",IF(BI54&gt;=0.75,"A",IF(BI54&gt;=0.5,"B",IF(BI54&gt;=0.35,"C","Watchlist"))))</f>
        <v/>
      </c>
      <c r="BK54" s="11">
        <f>IF(OR(BI54="",BI54&lt;0.5,R54="",R54&lt;0.35,AF54="",AF54&lt;0.35,AN54="",AN54&lt;0.35,AX54="",AX54&lt;0.35,BH54="",BH54&lt;0.35),"Watchlist","Ranked")</f>
        <v/>
      </c>
      <c r="BL54" s="15">
        <f>IF(AND(Q54="",AE54="",AM54="",AW54="",BG54=""),"",(IF(Q54="",0,Q54*25)+IF(AE54="",0,AE54*22)+IF(AM54="",0,AM54*18)+IF(AW54="",0,AW54*15)+IF(BG54="",0,BG54*20))/(IF(Q54="",0,25)+IF(AE54="",0,22)+IF(AM54="",0,18)+IF(AW54="",0,15)+IF(BG54="",0,20)))</f>
        <v/>
      </c>
      <c r="BM54" s="11">
        <f>IF(BK54="Ranked",1+COUNTIFS($BK$2:$BK$158,"Ranked",$BL$2:$BL$158,"&gt;"&amp;BL54),"")</f>
        <v/>
      </c>
      <c r="BN54" s="11">
        <f>City_Inputs!$AI54</f>
        <v/>
      </c>
    </row>
    <row r="55">
      <c r="A55" t="inlineStr">
        <is>
          <t>rs-belgrade</t>
        </is>
      </c>
      <c r="B55" t="inlineStr">
        <is>
          <t>Belgrade</t>
        </is>
      </c>
      <c r="C55" t="inlineStr">
        <is>
          <t>Serbia</t>
        </is>
      </c>
      <c r="D55" t="inlineStr">
        <is>
          <t>Southern/Eastern Europe and Eurasia</t>
        </is>
      </c>
      <c r="E55" t="inlineStr">
        <is>
          <t>locked</t>
        </is>
      </c>
      <c r="F55" t="inlineStr">
        <is>
          <t>primary</t>
        </is>
      </c>
      <c r="G55" s="11">
        <f>IF(OR(City_Inputs!$M55="",Norm_Stats!$F$2="",Norm_Stats!$G$2="",Norm_Stats!$G$2=Norm_Stats!$F$2),"",MAX(0,MIN(100,100*(MIN(MAX(City_Inputs!$M55,Norm_Stats!$F$2),Norm_Stats!$G$2)-Norm_Stats!$F$2)/(Norm_Stats!$G$2-Norm_Stats!$F$2))))</f>
        <v/>
      </c>
      <c r="H55" s="14">
        <f>IF(G55="","",1)</f>
        <v/>
      </c>
      <c r="I55" s="11">
        <f>IF(OR(City_Inputs!$N55="",Norm_Stats!$F$3="",Norm_Stats!$G$3="",Norm_Stats!$G$3=Norm_Stats!$F$3),"",MAX(0,MIN(100,100*(Norm_Stats!$G$3-MIN(MAX(City_Inputs!$N55,Norm_Stats!$F$3),Norm_Stats!$G$3))/(Norm_Stats!$G$3-Norm_Stats!$F$3))))</f>
        <v/>
      </c>
      <c r="J55" s="14">
        <f>IF(I55="","",1)</f>
        <v/>
      </c>
      <c r="K55" s="11">
        <f>IF(OR(City_Inputs!$P55="",Norm_Stats!$F$4="",Norm_Stats!$G$4="",Norm_Stats!$G$4=Norm_Stats!$F$4),"",MAX(0,MIN(100,100*(Norm_Stats!$G$4-MIN(MAX(City_Inputs!$P55,Norm_Stats!$F$4),Norm_Stats!$G$4))/(Norm_Stats!$G$4-Norm_Stats!$F$4))))</f>
        <v/>
      </c>
      <c r="L55" s="14">
        <f>IF(K55="","",1)</f>
        <v/>
      </c>
      <c r="M55" s="11">
        <f>IF(OR(City_Inputs!$Q55="",Norm_Stats!$F$5="",Norm_Stats!$G$5="",Norm_Stats!$G$5=Norm_Stats!$F$5),"",MAX(0,MIN(100,100*(Norm_Stats!$G$5-MIN(MAX(City_Inputs!$Q55,Norm_Stats!$F$5),Norm_Stats!$G$5))/(Norm_Stats!$G$5-Norm_Stats!$F$5))))</f>
        <v/>
      </c>
      <c r="N55" s="14">
        <f>IF(M55="","",1)</f>
        <v/>
      </c>
      <c r="O55" s="11">
        <f>IF(OR(City_Inputs!$R55="",Norm_Stats!$F$6="",Norm_Stats!$G$6="",Norm_Stats!$G$6=Norm_Stats!$F$6),"",MAX(0,MIN(100,100*(Norm_Stats!$G$6-MIN(MAX(City_Inputs!$R55,Norm_Stats!$F$6),Norm_Stats!$G$6))/(Norm_Stats!$G$6-Norm_Stats!$F$6))))</f>
        <v/>
      </c>
      <c r="P55" s="14">
        <f>IF(O55="","",1)</f>
        <v/>
      </c>
      <c r="Q55" s="15">
        <f>IF((IF(G55="",0,9)+IF(I55="",0,5)+IF(K55="",0,4)+IF(M55="",0,4)+IF(O55="",0,5))=0,"",(IF(G55="",0,G55*9)+IF(I55="",0,I55*5)+IF(K55="",0,K55*4)+IF(M55="",0,M55*4)+IF(O55="",0,O55*5))/(IF(G55="",0,9)+IF(I55="",0,5)+IF(K55="",0,4)+IF(M55="",0,4)+IF(O55="",0,5)))</f>
        <v/>
      </c>
      <c r="R55" s="14">
        <f>IF((IF(H55="",0,9)+IF(J55="",0,5)+IF(L55="",0,4)+IF(N55="",0,4)+IF(P55="",0,5))=0,"",(IF(H55="",0,H55*9)+IF(J55="",0,J55*5)+IF(L55="",0,L55*4)+IF(N55="",0,N55*4)+IF(P55="",0,P55*5))/27)</f>
        <v/>
      </c>
      <c r="S55" s="11">
        <f>IF(OR(City_Inputs!$S55="",Norm_Stats!$F$7="",Norm_Stats!$G$7="",Norm_Stats!$G$7=Norm_Stats!$F$7),"",MAX(0,MIN(100,100*(Norm_Stats!$G$7-MIN(MAX(City_Inputs!$S55,Norm_Stats!$F$7),Norm_Stats!$G$7))/(Norm_Stats!$G$7-Norm_Stats!$F$7))))</f>
        <v/>
      </c>
      <c r="T55" s="14">
        <f>IF(S55="","",1)</f>
        <v/>
      </c>
      <c r="U55" s="11">
        <f>IF(OR(City_Inputs!$T55="",Norm_Stats!$F$8="",Norm_Stats!$G$8="",Norm_Stats!$G$8=Norm_Stats!$F$8),"",MAX(0,MIN(100,100*(MIN(MAX(City_Inputs!$T55,Norm_Stats!$F$8),Norm_Stats!$G$8)-Norm_Stats!$F$8)/(Norm_Stats!$G$8-Norm_Stats!$F$8))))</f>
        <v/>
      </c>
      <c r="V55" s="14">
        <f>IF(U55="","",1)</f>
        <v/>
      </c>
      <c r="W55" s="11">
        <f>IF(OR(City_Inputs!$U55="",Norm_Stats!$F$9="",Norm_Stats!$G$9="",Norm_Stats!$G$9=Norm_Stats!$F$9),"",MAX(0,MIN(100,100*(Norm_Stats!$G$9-MIN(MAX(City_Inputs!$U55,Norm_Stats!$F$9),Norm_Stats!$G$9))/(Norm_Stats!$G$9-Norm_Stats!$F$9))))</f>
        <v/>
      </c>
      <c r="X55" s="14">
        <f>IF(W55="","",1)</f>
        <v/>
      </c>
      <c r="Y55" s="11">
        <f>IF(OR(City_Inputs!$V55="",Norm_Stats!$F$10="",Norm_Stats!$G$10="",Norm_Stats!$G$10=Norm_Stats!$F$10),"",MAX(0,MIN(100,100*(MIN(MAX(City_Inputs!$V55,Norm_Stats!$F$10),Norm_Stats!$G$10)-Norm_Stats!$F$10)/(Norm_Stats!$G$10-Norm_Stats!$F$10))))</f>
        <v/>
      </c>
      <c r="Z55" s="14">
        <f>IF(Y55="","",1)</f>
        <v/>
      </c>
      <c r="AA55" s="11">
        <f>IF(OR(City_Inputs!$W55="",Norm_Stats!$F$11="",Norm_Stats!$G$11="",Norm_Stats!$G$11=Norm_Stats!$F$11),"",MAX(0,MIN(100,100*(MIN(MAX(City_Inputs!$W55,Norm_Stats!$F$11),Norm_Stats!$G$11)-Norm_Stats!$F$11)/(Norm_Stats!$G$11-Norm_Stats!$F$11))))</f>
        <v/>
      </c>
      <c r="AB55" s="14">
        <f>IF(AA55="","",1)</f>
        <v/>
      </c>
      <c r="AC55" s="11">
        <f>IF(OR(City_Inputs!$X55="",Norm_Stats!$F$12="",Norm_Stats!$G$12="",Norm_Stats!$G$12=Norm_Stats!$F$12),"",MAX(0,MIN(100,100*(MIN(MAX(City_Inputs!$X55,Norm_Stats!$F$12),Norm_Stats!$G$12)-Norm_Stats!$F$12)/(Norm_Stats!$G$12-Norm_Stats!$F$12))))</f>
        <v/>
      </c>
      <c r="AD55" s="11">
        <f>IF(AC55="","",1)</f>
        <v/>
      </c>
      <c r="AE55" s="15">
        <f>IF((IF(S55="",0,5)+IF(U55="",0,5)+IF(W55="",0,4)+IF(Y55="",0,4)+IF(AA55="",0,4)+IF(AC55="",0,5))=0,"",(IF(S55="",0,S55*5)+IF(U55="",0,U55*5)+IF(W55="",0,W55*4)+IF(Y55="",0,Y55*4)+IF(AA55="",0,AA55*4)+IF(AC55="",0,AC55*5))/(IF(S55="",0,5)+IF(U55="",0,5)+IF(W55="",0,4)+IF(Y55="",0,4)+IF(AA55="",0,4)+IF(AC55="",0,5)))</f>
        <v/>
      </c>
      <c r="AF55" s="14">
        <f>IF((IF(T55="",0,5)+IF(V55="",0,5)+IF(X55="",0,4)+IF(Z55="",0,4)+IF(AB55="",0,4)+IF(AD55="",0,5))=0,"",(IF(T55="",0,T55*5)+IF(V55="",0,V55*5)+IF(X55="",0,X55*4)+IF(Z55="",0,Z55*4)+IF(AB55="",0,AB55*4)+IF(AD55="",0,AD55*5))/27)</f>
        <v/>
      </c>
      <c r="AG55" s="11">
        <f>IF(OR(City_Inputs!$Y55="",Norm_Stats!$F$13="",Norm_Stats!$G$13="",Norm_Stats!$G$13=Norm_Stats!$F$13),"",MAX(0,MIN(100,100*(MIN(MAX(City_Inputs!$Y55,Norm_Stats!$F$13),Norm_Stats!$G$13)-Norm_Stats!$F$13)/(Norm_Stats!$G$13-Norm_Stats!$F$13))))</f>
        <v/>
      </c>
      <c r="AH55" s="14">
        <f>IF(AG55="","",1)</f>
        <v/>
      </c>
      <c r="AI55" s="11">
        <f>IF(OR(City_Inputs!$Z55="",Norm_Stats!$F$14="",Norm_Stats!$G$14="",Norm_Stats!$G$14=Norm_Stats!$F$14),"",MAX(0,MIN(100,100*(MIN(MAX(City_Inputs!$Z55,Norm_Stats!$F$14),Norm_Stats!$G$14)-Norm_Stats!$F$14)/(Norm_Stats!$G$14-Norm_Stats!$F$14))))</f>
        <v/>
      </c>
      <c r="AJ55" s="14">
        <f>IF(AI55="","",1)</f>
        <v/>
      </c>
      <c r="AK55" s="11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(IF(OR(City_Inputs!$AA55="",Norm_Stats!$F$15="",Norm_Stats!$G$15="",Norm_Stats!$G$15=Norm_Stats!$F$15),"",MAX(0,MIN(100,100*(MIN(MAX(City_Inputs!$AA55,Norm_Stats!$F$15),Norm_Stats!$G$15)-Norm_Stats!$F$15)/(Norm_Stats!$G$15-Norm_Stats!$F$15)))))*0.7)+IF((IF(OR(City_Inputs!$AL55="",Norm_Stats!$F$16="",Norm_Stats!$G$16="",Norm_Stats!$G$16=Norm_Stats!$F$16),"",MAX(0,MIN(100,100*(Norm_Stats!$G$16-MIN(MAX(City_Inputs!$AL55,Norm_Stats!$F$16),Norm_Stats!$G$16))/(Norm_Stats!$G$16-Norm_Stats!$F$16)))))="",0,(IF(OR(City_Inputs!$AL55="",Norm_Stats!$F$16="",Norm_Stats!$G$16="",Norm_Stats!$G$16=Norm_Stats!$F$16),"",MAX(0,MIN(100,100*(Norm_Stats!$G$16-MIN(MAX(City_Inputs!$AL55,Norm_Stats!$F$16),Norm_Stats!$G$16))/(Norm_Stats!$G$16-Norm_Stats!$F$16)))))*0.3))/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L55" s="14">
        <f>IF(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=0,"",(IF((IF(OR(City_Inputs!$AA55="",Norm_Stats!$F$15="",Norm_Stats!$G$15="",Norm_Stats!$G$15=Norm_Stats!$F$15),"",MAX(0,MIN(100,100*(MIN(MAX(City_Inputs!$AA55,Norm_Stats!$F$15),Norm_Stats!$G$15)-Norm_Stats!$F$15)/(Norm_Stats!$G$15-Norm_Stats!$F$15)))))="",0,0.7)+IF((IF(OR(City_Inputs!$AL55="",Norm_Stats!$F$16="",Norm_Stats!$G$16="",Norm_Stats!$G$16=Norm_Stats!$F$16),"",MAX(0,MIN(100,100*(Norm_Stats!$G$16-MIN(MAX(City_Inputs!$AL55,Norm_Stats!$F$16),Norm_Stats!$G$16))/(Norm_Stats!$G$16-Norm_Stats!$F$16)))))="",0,0.3)))</f>
        <v/>
      </c>
      <c r="AM55" s="15">
        <f>IF((IF(AG55="",0,8)+IF(AI55="",0,6)+IF(AK55="",0,4))=0,"",(IF(AG55="",0,AG55*8)+IF(AI55="",0,AI55*6)+IF(AK55="",0,AK55*4))/(IF(AG55="",0,8)+IF(AI55="",0,6)+IF(AK55="",0,4)))</f>
        <v/>
      </c>
      <c r="AN55" s="14">
        <f>IF((IF(AH55="",0,8)+IF(AJ55="",0,6)+IF(AL55="",0,4))=0,"",(IF(AH55="",0,AH55*8)+IF(AJ55="",0,AJ55*6)+IF(AL55="",0,AL55*4))/18)</f>
        <v/>
      </c>
      <c r="AO55" s="11">
        <f>IF(OR(City_Inputs!$AB55="",Norm_Stats!$F$17="",Norm_Stats!$G$17="",Norm_Stats!$G$17=Norm_Stats!$F$17),"",MAX(0,MIN(100,100*(MIN(MAX(City_Inputs!$AB55,Norm_Stats!$F$17),Norm_Stats!$G$17)-Norm_Stats!$F$17)/(Norm_Stats!$G$17-Norm_Stats!$F$17))))</f>
        <v/>
      </c>
      <c r="AP55" s="14">
        <f>IF(AO55="","",1)</f>
        <v/>
      </c>
      <c r="AQ55" s="11">
        <f>IF(OR(City_Inputs!$AC55="",Norm_Stats!$F$18="",Norm_Stats!$G$18="",Norm_Stats!$G$18=Norm_Stats!$F$18),"",MAX(0,MIN(100,100*(MIN(MAX(City_Inputs!$AC55,Norm_Stats!$F$18),Norm_Stats!$G$18)-Norm_Stats!$F$18)/(Norm_Stats!$G$18-Norm_Stats!$F$18))))</f>
        <v/>
      </c>
      <c r="AR55" s="14">
        <f>IF(AQ55="","",1)</f>
        <v/>
      </c>
      <c r="AS55" s="11">
        <f>IF(OR(City_Inputs!$AD55="",Norm_Stats!$F$19="",Norm_Stats!$G$19="",Norm_Stats!$G$19=Norm_Stats!$F$19),"",MAX(0,MIN(100,100*(MIN(MAX(City_Inputs!$AD55,Norm_Stats!$F$19),Norm_Stats!$G$19)-Norm_Stats!$F$19)/(Norm_Stats!$G$19-Norm_Stats!$F$19))))</f>
        <v/>
      </c>
      <c r="AT55" s="14">
        <f>IF(AS55="","",1)</f>
        <v/>
      </c>
      <c r="AU55" s="11">
        <f>IF(OR(City_Inputs!$BJ55="",Norm_Stats!$F$26="",Norm_Stats!$G$26="",Norm_Stats!$G$26=Norm_Stats!$F$26),"",MAX(0,MIN(100,100*(MIN(MAX(City_Inputs!$BJ55,Norm_Stats!$F$26),Norm_Stats!$G$26)-Norm_Stats!$F$26)/(Norm_Stats!$G$26-Norm_Stats!$F$26))))</f>
        <v/>
      </c>
      <c r="AV55" s="11">
        <f>IF(AU55="","",1)</f>
        <v/>
      </c>
      <c r="AW55" s="15">
        <f>IF((IF(AO55="",0,5)+IF(AQ55="",0,5)+IF(AS55="",0,5)+IF(AU55="",0,4))=0,"",(IF(AO55="",0,AO55*5)+IF(AQ55="",0,AQ55*5)+IF(AS55="",0,AS55*5)+IF(AU55="",0,AU55*4))/(IF(AO55="",0,5)+IF(AQ55="",0,5)+IF(AS55="",0,5)+IF(AU55="",0,4)))</f>
        <v/>
      </c>
      <c r="AX55" s="14">
        <f>IF((IF(AP55="",0,5)+IF(AR55="",0,5)+IF(AT55="",0,5)+IF(AV55="",0,4))=0,"",(IF(AP55="",0,AP55*5)+IF(AR55="",0,AR55*5)+IF(AT55="",0,AT55*5)+IF(AV55="",0,AV55*4))/19)</f>
        <v/>
      </c>
      <c r="AY55" s="11">
        <f>IF(OR(City_Inputs!$AE55="",Norm_Stats!$F$20="",Norm_Stats!$G$20="",Norm_Stats!$G$20=Norm_Stats!$F$20),"",MAX(0,MIN(100,100*(MIN(MAX(City_Inputs!$AE55,Norm_Stats!$F$20),Norm_Stats!$G$20)-Norm_Stats!$F$20)/(Norm_Stats!$G$20-Norm_Stats!$F$20))))</f>
        <v/>
      </c>
      <c r="AZ55" s="14">
        <f>IF(AY55="","",1)</f>
        <v/>
      </c>
      <c r="BA55" s="11">
        <f>IF(OR(City_Inputs!$AF55="",Norm_Stats!$F$21="",Norm_Stats!$G$21="",Norm_Stats!$G$21=Norm_Stats!$F$21),"",MAX(0,MIN(100,100*(MIN(MAX(City_Inputs!$AF55,Norm_Stats!$F$21),Norm_Stats!$G$21)-Norm_Stats!$F$21)/(Norm_Stats!$G$21-Norm_Stats!$F$21))))</f>
        <v/>
      </c>
      <c r="BB55" s="14">
        <f>IF(BA55="","",1)</f>
        <v/>
      </c>
      <c r="BC55" s="11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(IF(OR(City_Inputs!$AG55="",Norm_Stats!$F$22="",Norm_Stats!$G$22="",Norm_Stats!$G$22=Norm_Stats!$F$22),"",MAX(0,MIN(100,100*(MIN(MAX(City_Inputs!$AG55,Norm_Stats!$F$22),Norm_Stats!$G$22)-Norm_Stats!$F$22)/(Norm_Stats!$G$22-Norm_Stats!$F$22)))))*0.5)+IF((IF(OR(City_Inputs!$AJ55="",Norm_Stats!$F$23="",Norm_Stats!$G$23="",Norm_Stats!$G$23=Norm_Stats!$F$23),"",MAX(0,MIN(100,100*(MIN(MAX(City_Inputs!$AJ55,Norm_Stats!$F$23),Norm_Stats!$G$23)-Norm_Stats!$F$23)/(Norm_Stats!$G$23-Norm_Stats!$F$23)))))="",0,(IF(OR(City_Inputs!$AJ55="",Norm_Stats!$F$23="",Norm_Stats!$G$23="",Norm_Stats!$G$23=Norm_Stats!$F$23),"",MAX(0,MIN(100,100*(MIN(MAX(City_Inputs!$AJ55,Norm_Stats!$F$23),Norm_Stats!$G$23)-Norm_Stats!$F$23)/(Norm_Stats!$G$23-Norm_Stats!$F$23)))))*0.3)+IF((IF(OR(City_Inputs!$AK55="",Norm_Stats!$F$24="",Norm_Stats!$G$24="",Norm_Stats!$G$24=Norm_Stats!$F$24),"",MAX(0,MIN(100,100*(MIN(MAX(City_Inputs!$AK55,Norm_Stats!$F$24),Norm_Stats!$G$24)-Norm_Stats!$F$24)/(Norm_Stats!$G$24-Norm_Stats!$F$24)))))="",0,(IF(OR(City_Inputs!$AK55="",Norm_Stats!$F$24="",Norm_Stats!$G$24="",Norm_Stats!$G$24=Norm_Stats!$F$24),"",MAX(0,MIN(100,100*(MIN(MAX(City_Inputs!$AK55,Norm_Stats!$F$24),Norm_Stats!$G$24)-Norm_Stats!$F$24)/(Norm_Stats!$G$24-Norm_Stats!$F$24)))))*0.2))/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D55" s="14">
        <f>IF(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=0,"",(IF((IF(OR(City_Inputs!$AG55="",Norm_Stats!$F$22="",Norm_Stats!$G$22="",Norm_Stats!$G$22=Norm_Stats!$F$22),"",MAX(0,MIN(100,100*(MIN(MAX(City_Inputs!$AG55,Norm_Stats!$F$22),Norm_Stats!$G$22)-Norm_Stats!$F$22)/(Norm_Stats!$G$22-Norm_Stats!$F$22)))))="",0,0.5)+IF((IF(OR(City_Inputs!$AJ55="",Norm_Stats!$F$23="",Norm_Stats!$G$23="",Norm_Stats!$G$23=Norm_Stats!$F$23),"",MAX(0,MIN(100,100*(MIN(MAX(City_Inputs!$AJ55,Norm_Stats!$F$23),Norm_Stats!$G$23)-Norm_Stats!$F$23)/(Norm_Stats!$G$23-Norm_Stats!$F$23)))))="",0,0.3)+IF((IF(OR(City_Inputs!$AK55="",Norm_Stats!$F$24="",Norm_Stats!$G$24="",Norm_Stats!$G$24=Norm_Stats!$F$24),"",MAX(0,MIN(100,100*(MIN(MAX(City_Inputs!$AK55,Norm_Stats!$F$24),Norm_Stats!$G$24)-Norm_Stats!$F$24)/(Norm_Stats!$G$24-Norm_Stats!$F$24)))))="",0,0.2)))</f>
        <v/>
      </c>
      <c r="BE55" s="11">
        <f>IF(OR(City_Inputs!$AH55="",Norm_Stats!$F$25="",Norm_Stats!$G$25="",Norm_Stats!$G$25=Norm_Stats!$F$25),"",MAX(0,MIN(100,100*(Norm_Stats!$G$25-MIN(MAX(City_Inputs!$AH55,Norm_Stats!$F$25),Norm_Stats!$G$25))/(Norm_Stats!$G$25-Norm_Stats!$F$25))))</f>
        <v/>
      </c>
      <c r="BF55" s="14">
        <f>IF(BE55="","",1)</f>
        <v/>
      </c>
      <c r="BG55" s="15">
        <f>IF((IF(AY55="",0,6)+IF(BA55="",0,5)+IF(BC55="",0,5)+IF(BE55="",0,4))=0,"",(IF(AY55="",0,AY55*6)+IF(BA55="",0,BA55*5)+IF(BC55="",0,BC55*5)+IF(BE55="",0,BE55*4))/(IF(AY55="",0,6)+IF(BA55="",0,5)+IF(BC55="",0,5)+IF(BE55="",0,4)))</f>
        <v/>
      </c>
      <c r="BH55" s="14">
        <f>IF((IF(AZ55="",0,6)+IF(BB55="",0,5)+IF(BD55="",0,5)+IF(BF55="",0,4))=0,"",(IF(AZ55="",0,AZ55*6)+IF(BB55="",0,BB55*5)+IF(BD55="",0,BD55*5)+IF(BF55="",0,BF55*4))/20)</f>
        <v/>
      </c>
      <c r="BI55" s="14">
        <f>IF(AND(R55="",AF55="",AN55="",AX55="",BH55=""),"",((R55*25)+(AF55*22)+(AN55*18)+(AX55*15)+(BH55*20))/100)</f>
        <v/>
      </c>
      <c r="BJ55" s="11">
        <f>IF(BI55="","",IF(BI55&gt;=0.75,"A",IF(BI55&gt;=0.5,"B",IF(BI55&gt;=0.35,"C","Watchlist"))))</f>
        <v/>
      </c>
      <c r="BK55" s="11">
        <f>IF(OR(BI55="",BI55&lt;0.5,R55="",R55&lt;0.35,AF55="",AF55&lt;0.35,AN55="",AN55&lt;0.35,AX55="",AX55&lt;0.35,BH55="",BH55&lt;0.35),"Watchlist","Ranked")</f>
        <v/>
      </c>
      <c r="BL55" s="15">
        <f>IF(AND(Q55="",AE55="",AM55="",AW55="",BG55=""),"",(IF(Q55="",0,Q55*25)+IF(AE55="",0,AE55*22)+IF(AM55="",0,AM55*18)+IF(AW55="",0,AW55*15)+IF(BG55="",0,BG55*20))/(IF(Q55="",0,25)+IF(AE55="",0,22)+IF(AM55="",0,18)+IF(AW55="",0,15)+IF(BG55="",0,20)))</f>
        <v/>
      </c>
      <c r="BM55" s="11">
        <f>IF(BK55="Ranked",1+COUNTIFS($BK$2:$BK$158,"Ranked",$BL$2:$BL$158,"&gt;"&amp;BL55),"")</f>
        <v/>
      </c>
      <c r="BN55" s="11">
        <f>City_Inputs!$AI55</f>
        <v/>
      </c>
    </row>
    <row r="56">
      <c r="A56" t="inlineStr">
        <is>
          <t>ru-nizhny-novgorod</t>
        </is>
      </c>
      <c r="B56" t="inlineStr">
        <is>
          <t>Nizhny Novgorod</t>
        </is>
      </c>
      <c r="C56" t="inlineStr">
        <is>
          <t>Russia</t>
        </is>
      </c>
      <c r="D56" t="inlineStr">
        <is>
          <t>Southern/Eastern Europe and Eurasia</t>
        </is>
      </c>
      <c r="E56" t="inlineStr">
        <is>
          <t>provisional</t>
        </is>
      </c>
      <c r="F56" t="inlineStr">
        <is>
          <t>secondary</t>
        </is>
      </c>
      <c r="G56" s="11">
        <f>IF(OR(City_Inputs!$M56="",Norm_Stats!$F$2="",Norm_Stats!$G$2="",Norm_Stats!$G$2=Norm_Stats!$F$2),"",MAX(0,MIN(100,100*(MIN(MAX(City_Inputs!$M56,Norm_Stats!$F$2),Norm_Stats!$G$2)-Norm_Stats!$F$2)/(Norm_Stats!$G$2-Norm_Stats!$F$2))))</f>
        <v/>
      </c>
      <c r="H56" s="14">
        <f>IF(G56="","",1)</f>
        <v/>
      </c>
      <c r="I56" s="11">
        <f>IF(OR(City_Inputs!$N56="",Norm_Stats!$F$3="",Norm_Stats!$G$3="",Norm_Stats!$G$3=Norm_Stats!$F$3),"",MAX(0,MIN(100,100*(Norm_Stats!$G$3-MIN(MAX(City_Inputs!$N56,Norm_Stats!$F$3),Norm_Stats!$G$3))/(Norm_Stats!$G$3-Norm_Stats!$F$3))))</f>
        <v/>
      </c>
      <c r="J56" s="14">
        <f>IF(I56="","",1)</f>
        <v/>
      </c>
      <c r="K56" s="11">
        <f>IF(OR(City_Inputs!$P56="",Norm_Stats!$F$4="",Norm_Stats!$G$4="",Norm_Stats!$G$4=Norm_Stats!$F$4),"",MAX(0,MIN(100,100*(Norm_Stats!$G$4-MIN(MAX(City_Inputs!$P56,Norm_Stats!$F$4),Norm_Stats!$G$4))/(Norm_Stats!$G$4-Norm_Stats!$F$4))))</f>
        <v/>
      </c>
      <c r="L56" s="14">
        <f>IF(K56="","",1)</f>
        <v/>
      </c>
      <c r="M56" s="11">
        <f>IF(OR(City_Inputs!$Q56="",Norm_Stats!$F$5="",Norm_Stats!$G$5="",Norm_Stats!$G$5=Norm_Stats!$F$5),"",MAX(0,MIN(100,100*(Norm_Stats!$G$5-MIN(MAX(City_Inputs!$Q56,Norm_Stats!$F$5),Norm_Stats!$G$5))/(Norm_Stats!$G$5-Norm_Stats!$F$5))))</f>
        <v/>
      </c>
      <c r="N56" s="14">
        <f>IF(M56="","",1)</f>
        <v/>
      </c>
      <c r="O56" s="11">
        <f>IF(OR(City_Inputs!$R56="",Norm_Stats!$F$6="",Norm_Stats!$G$6="",Norm_Stats!$G$6=Norm_Stats!$F$6),"",MAX(0,MIN(100,100*(Norm_Stats!$G$6-MIN(MAX(City_Inputs!$R56,Norm_Stats!$F$6),Norm_Stats!$G$6))/(Norm_Stats!$G$6-Norm_Stats!$F$6))))</f>
        <v/>
      </c>
      <c r="P56" s="14">
        <f>IF(O56="","",1)</f>
        <v/>
      </c>
      <c r="Q56" s="15">
        <f>IF((IF(G56="",0,9)+IF(I56="",0,5)+IF(K56="",0,4)+IF(M56="",0,4)+IF(O56="",0,5))=0,"",(IF(G56="",0,G56*9)+IF(I56="",0,I56*5)+IF(K56="",0,K56*4)+IF(M56="",0,M56*4)+IF(O56="",0,O56*5))/(IF(G56="",0,9)+IF(I56="",0,5)+IF(K56="",0,4)+IF(M56="",0,4)+IF(O56="",0,5)))</f>
        <v/>
      </c>
      <c r="R56" s="14">
        <f>IF((IF(H56="",0,9)+IF(J56="",0,5)+IF(L56="",0,4)+IF(N56="",0,4)+IF(P56="",0,5))=0,"",(IF(H56="",0,H56*9)+IF(J56="",0,J56*5)+IF(L56="",0,L56*4)+IF(N56="",0,N56*4)+IF(P56="",0,P56*5))/27)</f>
        <v/>
      </c>
      <c r="S56" s="11">
        <f>IF(OR(City_Inputs!$S56="",Norm_Stats!$F$7="",Norm_Stats!$G$7="",Norm_Stats!$G$7=Norm_Stats!$F$7),"",MAX(0,MIN(100,100*(Norm_Stats!$G$7-MIN(MAX(City_Inputs!$S56,Norm_Stats!$F$7),Norm_Stats!$G$7))/(Norm_Stats!$G$7-Norm_Stats!$F$7))))</f>
        <v/>
      </c>
      <c r="T56" s="14">
        <f>IF(S56="","",1)</f>
        <v/>
      </c>
      <c r="U56" s="11">
        <f>IF(OR(City_Inputs!$T56="",Norm_Stats!$F$8="",Norm_Stats!$G$8="",Norm_Stats!$G$8=Norm_Stats!$F$8),"",MAX(0,MIN(100,100*(MIN(MAX(City_Inputs!$T56,Norm_Stats!$F$8),Norm_Stats!$G$8)-Norm_Stats!$F$8)/(Norm_Stats!$G$8-Norm_Stats!$F$8))))</f>
        <v/>
      </c>
      <c r="V56" s="14">
        <f>IF(U56="","",1)</f>
        <v/>
      </c>
      <c r="W56" s="11">
        <f>IF(OR(City_Inputs!$U56="",Norm_Stats!$F$9="",Norm_Stats!$G$9="",Norm_Stats!$G$9=Norm_Stats!$F$9),"",MAX(0,MIN(100,100*(Norm_Stats!$G$9-MIN(MAX(City_Inputs!$U56,Norm_Stats!$F$9),Norm_Stats!$G$9))/(Norm_Stats!$G$9-Norm_Stats!$F$9))))</f>
        <v/>
      </c>
      <c r="X56" s="14">
        <f>IF(W56="","",1)</f>
        <v/>
      </c>
      <c r="Y56" s="11">
        <f>IF(OR(City_Inputs!$V56="",Norm_Stats!$F$10="",Norm_Stats!$G$10="",Norm_Stats!$G$10=Norm_Stats!$F$10),"",MAX(0,MIN(100,100*(MIN(MAX(City_Inputs!$V56,Norm_Stats!$F$10),Norm_Stats!$G$10)-Norm_Stats!$F$10)/(Norm_Stats!$G$10-Norm_Stats!$F$10))))</f>
        <v/>
      </c>
      <c r="Z56" s="14">
        <f>IF(Y56="","",1)</f>
        <v/>
      </c>
      <c r="AA56" s="11">
        <f>IF(OR(City_Inputs!$W56="",Norm_Stats!$F$11="",Norm_Stats!$G$11="",Norm_Stats!$G$11=Norm_Stats!$F$11),"",MAX(0,MIN(100,100*(MIN(MAX(City_Inputs!$W56,Norm_Stats!$F$11),Norm_Stats!$G$11)-Norm_Stats!$F$11)/(Norm_Stats!$G$11-Norm_Stats!$F$11))))</f>
        <v/>
      </c>
      <c r="AB56" s="14">
        <f>IF(AA56="","",1)</f>
        <v/>
      </c>
      <c r="AC56" s="11">
        <f>IF(OR(City_Inputs!$X56="",Norm_Stats!$F$12="",Norm_Stats!$G$12="",Norm_Stats!$G$12=Norm_Stats!$F$12),"",MAX(0,MIN(100,100*(MIN(MAX(City_Inputs!$X56,Norm_Stats!$F$12),Norm_Stats!$G$12)-Norm_Stats!$F$12)/(Norm_Stats!$G$12-Norm_Stats!$F$12))))</f>
        <v/>
      </c>
      <c r="AD56" s="11">
        <f>IF(AC56="","",1)</f>
        <v/>
      </c>
      <c r="AE56" s="15">
        <f>IF((IF(S56="",0,5)+IF(U56="",0,5)+IF(W56="",0,4)+IF(Y56="",0,4)+IF(AA56="",0,4)+IF(AC56="",0,5))=0,"",(IF(S56="",0,S56*5)+IF(U56="",0,U56*5)+IF(W56="",0,W56*4)+IF(Y56="",0,Y56*4)+IF(AA56="",0,AA56*4)+IF(AC56="",0,AC56*5))/(IF(S56="",0,5)+IF(U56="",0,5)+IF(W56="",0,4)+IF(Y56="",0,4)+IF(AA56="",0,4)+IF(AC56="",0,5)))</f>
        <v/>
      </c>
      <c r="AF56" s="14">
        <f>IF((IF(T56="",0,5)+IF(V56="",0,5)+IF(X56="",0,4)+IF(Z56="",0,4)+IF(AB56="",0,4)+IF(AD56="",0,5))=0,"",(IF(T56="",0,T56*5)+IF(V56="",0,V56*5)+IF(X56="",0,X56*4)+IF(Z56="",0,Z56*4)+IF(AB56="",0,AB56*4)+IF(AD56="",0,AD56*5))/27)</f>
        <v/>
      </c>
      <c r="AG56" s="11">
        <f>IF(OR(City_Inputs!$Y56="",Norm_Stats!$F$13="",Norm_Stats!$G$13="",Norm_Stats!$G$13=Norm_Stats!$F$13),"",MAX(0,MIN(100,100*(MIN(MAX(City_Inputs!$Y56,Norm_Stats!$F$13),Norm_Stats!$G$13)-Norm_Stats!$F$13)/(Norm_Stats!$G$13-Norm_Stats!$F$13))))</f>
        <v/>
      </c>
      <c r="AH56" s="14">
        <f>IF(AG56="","",1)</f>
        <v/>
      </c>
      <c r="AI56" s="11">
        <f>IF(OR(City_Inputs!$Z56="",Norm_Stats!$F$14="",Norm_Stats!$G$14="",Norm_Stats!$G$14=Norm_Stats!$F$14),"",MAX(0,MIN(100,100*(MIN(MAX(City_Inputs!$Z56,Norm_Stats!$F$14),Norm_Stats!$G$14)-Norm_Stats!$F$14)/(Norm_Stats!$G$14-Norm_Stats!$F$14))))</f>
        <v/>
      </c>
      <c r="AJ56" s="14">
        <f>IF(AI56="","",1)</f>
        <v/>
      </c>
      <c r="AK56" s="11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(IF(OR(City_Inputs!$AA56="",Norm_Stats!$F$15="",Norm_Stats!$G$15="",Norm_Stats!$G$15=Norm_Stats!$F$15),"",MAX(0,MIN(100,100*(MIN(MAX(City_Inputs!$AA56,Norm_Stats!$F$15),Norm_Stats!$G$15)-Norm_Stats!$F$15)/(Norm_Stats!$G$15-Norm_Stats!$F$15)))))*0.7)+IF((IF(OR(City_Inputs!$AL56="",Norm_Stats!$F$16="",Norm_Stats!$G$16="",Norm_Stats!$G$16=Norm_Stats!$F$16),"",MAX(0,MIN(100,100*(Norm_Stats!$G$16-MIN(MAX(City_Inputs!$AL56,Norm_Stats!$F$16),Norm_Stats!$G$16))/(Norm_Stats!$G$16-Norm_Stats!$F$16)))))="",0,(IF(OR(City_Inputs!$AL56="",Norm_Stats!$F$16="",Norm_Stats!$G$16="",Norm_Stats!$G$16=Norm_Stats!$F$16),"",MAX(0,MIN(100,100*(Norm_Stats!$G$16-MIN(MAX(City_Inputs!$AL56,Norm_Stats!$F$16),Norm_Stats!$G$16))/(Norm_Stats!$G$16-Norm_Stats!$F$16)))))*0.3))/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L56" s="14">
        <f>IF(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=0,"",(IF((IF(OR(City_Inputs!$AA56="",Norm_Stats!$F$15="",Norm_Stats!$G$15="",Norm_Stats!$G$15=Norm_Stats!$F$15),"",MAX(0,MIN(100,100*(MIN(MAX(City_Inputs!$AA56,Norm_Stats!$F$15),Norm_Stats!$G$15)-Norm_Stats!$F$15)/(Norm_Stats!$G$15-Norm_Stats!$F$15)))))="",0,0.7)+IF((IF(OR(City_Inputs!$AL56="",Norm_Stats!$F$16="",Norm_Stats!$G$16="",Norm_Stats!$G$16=Norm_Stats!$F$16),"",MAX(0,MIN(100,100*(Norm_Stats!$G$16-MIN(MAX(City_Inputs!$AL56,Norm_Stats!$F$16),Norm_Stats!$G$16))/(Norm_Stats!$G$16-Norm_Stats!$F$16)))))="",0,0.3)))</f>
        <v/>
      </c>
      <c r="AM56" s="15">
        <f>IF((IF(AG56="",0,8)+IF(AI56="",0,6)+IF(AK56="",0,4))=0,"",(IF(AG56="",0,AG56*8)+IF(AI56="",0,AI56*6)+IF(AK56="",0,AK56*4))/(IF(AG56="",0,8)+IF(AI56="",0,6)+IF(AK56="",0,4)))</f>
        <v/>
      </c>
      <c r="AN56" s="14">
        <f>IF((IF(AH56="",0,8)+IF(AJ56="",0,6)+IF(AL56="",0,4))=0,"",(IF(AH56="",0,AH56*8)+IF(AJ56="",0,AJ56*6)+IF(AL56="",0,AL56*4))/18)</f>
        <v/>
      </c>
      <c r="AO56" s="11">
        <f>IF(OR(City_Inputs!$AB56="",Norm_Stats!$F$17="",Norm_Stats!$G$17="",Norm_Stats!$G$17=Norm_Stats!$F$17),"",MAX(0,MIN(100,100*(MIN(MAX(City_Inputs!$AB56,Norm_Stats!$F$17),Norm_Stats!$G$17)-Norm_Stats!$F$17)/(Norm_Stats!$G$17-Norm_Stats!$F$17))))</f>
        <v/>
      </c>
      <c r="AP56" s="14">
        <f>IF(AO56="","",1)</f>
        <v/>
      </c>
      <c r="AQ56" s="11">
        <f>IF(OR(City_Inputs!$AC56="",Norm_Stats!$F$18="",Norm_Stats!$G$18="",Norm_Stats!$G$18=Norm_Stats!$F$18),"",MAX(0,MIN(100,100*(MIN(MAX(City_Inputs!$AC56,Norm_Stats!$F$18),Norm_Stats!$G$18)-Norm_Stats!$F$18)/(Norm_Stats!$G$18-Norm_Stats!$F$18))))</f>
        <v/>
      </c>
      <c r="AR56" s="14">
        <f>IF(AQ56="","",1)</f>
        <v/>
      </c>
      <c r="AS56" s="11">
        <f>IF(OR(City_Inputs!$AD56="",Norm_Stats!$F$19="",Norm_Stats!$G$19="",Norm_Stats!$G$19=Norm_Stats!$F$19),"",MAX(0,MIN(100,100*(MIN(MAX(City_Inputs!$AD56,Norm_Stats!$F$19),Norm_Stats!$G$19)-Norm_Stats!$F$19)/(Norm_Stats!$G$19-Norm_Stats!$F$19))))</f>
        <v/>
      </c>
      <c r="AT56" s="14">
        <f>IF(AS56="","",1)</f>
        <v/>
      </c>
      <c r="AU56" s="11">
        <f>IF(OR(City_Inputs!$BJ56="",Norm_Stats!$F$26="",Norm_Stats!$G$26="",Norm_Stats!$G$26=Norm_Stats!$F$26),"",MAX(0,MIN(100,100*(MIN(MAX(City_Inputs!$BJ56,Norm_Stats!$F$26),Norm_Stats!$G$26)-Norm_Stats!$F$26)/(Norm_Stats!$G$26-Norm_Stats!$F$26))))</f>
        <v/>
      </c>
      <c r="AV56" s="11">
        <f>IF(AU56="","",1)</f>
        <v/>
      </c>
      <c r="AW56" s="15">
        <f>IF((IF(AO56="",0,5)+IF(AQ56="",0,5)+IF(AS56="",0,5)+IF(AU56="",0,4))=0,"",(IF(AO56="",0,AO56*5)+IF(AQ56="",0,AQ56*5)+IF(AS56="",0,AS56*5)+IF(AU56="",0,AU56*4))/(IF(AO56="",0,5)+IF(AQ56="",0,5)+IF(AS56="",0,5)+IF(AU56="",0,4)))</f>
        <v/>
      </c>
      <c r="AX56" s="14">
        <f>IF((IF(AP56="",0,5)+IF(AR56="",0,5)+IF(AT56="",0,5)+IF(AV56="",0,4))=0,"",(IF(AP56="",0,AP56*5)+IF(AR56="",0,AR56*5)+IF(AT56="",0,AT56*5)+IF(AV56="",0,AV56*4))/19)</f>
        <v/>
      </c>
      <c r="AY56" s="11">
        <f>IF(OR(City_Inputs!$AE56="",Norm_Stats!$F$20="",Norm_Stats!$G$20="",Norm_Stats!$G$20=Norm_Stats!$F$20),"",MAX(0,MIN(100,100*(MIN(MAX(City_Inputs!$AE56,Norm_Stats!$F$20),Norm_Stats!$G$20)-Norm_Stats!$F$20)/(Norm_Stats!$G$20-Norm_Stats!$F$20))))</f>
        <v/>
      </c>
      <c r="AZ56" s="14">
        <f>IF(AY56="","",1)</f>
        <v/>
      </c>
      <c r="BA56" s="11">
        <f>IF(OR(City_Inputs!$AF56="",Norm_Stats!$F$21="",Norm_Stats!$G$21="",Norm_Stats!$G$21=Norm_Stats!$F$21),"",MAX(0,MIN(100,100*(MIN(MAX(City_Inputs!$AF56,Norm_Stats!$F$21),Norm_Stats!$G$21)-Norm_Stats!$F$21)/(Norm_Stats!$G$21-Norm_Stats!$F$21))))</f>
        <v/>
      </c>
      <c r="BB56" s="14">
        <f>IF(BA56="","",1)</f>
        <v/>
      </c>
      <c r="BC56" s="11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(IF(OR(City_Inputs!$AG56="",Norm_Stats!$F$22="",Norm_Stats!$G$22="",Norm_Stats!$G$22=Norm_Stats!$F$22),"",MAX(0,MIN(100,100*(MIN(MAX(City_Inputs!$AG56,Norm_Stats!$F$22),Norm_Stats!$G$22)-Norm_Stats!$F$22)/(Norm_Stats!$G$22-Norm_Stats!$F$22)))))*0.5)+IF((IF(OR(City_Inputs!$AJ56="",Norm_Stats!$F$23="",Norm_Stats!$G$23="",Norm_Stats!$G$23=Norm_Stats!$F$23),"",MAX(0,MIN(100,100*(MIN(MAX(City_Inputs!$AJ56,Norm_Stats!$F$23),Norm_Stats!$G$23)-Norm_Stats!$F$23)/(Norm_Stats!$G$23-Norm_Stats!$F$23)))))="",0,(IF(OR(City_Inputs!$AJ56="",Norm_Stats!$F$23="",Norm_Stats!$G$23="",Norm_Stats!$G$23=Norm_Stats!$F$23),"",MAX(0,MIN(100,100*(MIN(MAX(City_Inputs!$AJ56,Norm_Stats!$F$23),Norm_Stats!$G$23)-Norm_Stats!$F$23)/(Norm_Stats!$G$23-Norm_Stats!$F$23)))))*0.3)+IF((IF(OR(City_Inputs!$AK56="",Norm_Stats!$F$24="",Norm_Stats!$G$24="",Norm_Stats!$G$24=Norm_Stats!$F$24),"",MAX(0,MIN(100,100*(MIN(MAX(City_Inputs!$AK56,Norm_Stats!$F$24),Norm_Stats!$G$24)-Norm_Stats!$F$24)/(Norm_Stats!$G$24-Norm_Stats!$F$24)))))="",0,(IF(OR(City_Inputs!$AK56="",Norm_Stats!$F$24="",Norm_Stats!$G$24="",Norm_Stats!$G$24=Norm_Stats!$F$24),"",MAX(0,MIN(100,100*(MIN(MAX(City_Inputs!$AK56,Norm_Stats!$F$24),Norm_Stats!$G$24)-Norm_Stats!$F$24)/(Norm_Stats!$G$24-Norm_Stats!$F$24)))))*0.2))/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D56" s="14">
        <f>IF(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=0,"",(IF((IF(OR(City_Inputs!$AG56="",Norm_Stats!$F$22="",Norm_Stats!$G$22="",Norm_Stats!$G$22=Norm_Stats!$F$22),"",MAX(0,MIN(100,100*(MIN(MAX(City_Inputs!$AG56,Norm_Stats!$F$22),Norm_Stats!$G$22)-Norm_Stats!$F$22)/(Norm_Stats!$G$22-Norm_Stats!$F$22)))))="",0,0.5)+IF((IF(OR(City_Inputs!$AJ56="",Norm_Stats!$F$23="",Norm_Stats!$G$23="",Norm_Stats!$G$23=Norm_Stats!$F$23),"",MAX(0,MIN(100,100*(MIN(MAX(City_Inputs!$AJ56,Norm_Stats!$F$23),Norm_Stats!$G$23)-Norm_Stats!$F$23)/(Norm_Stats!$G$23-Norm_Stats!$F$23)))))="",0,0.3)+IF((IF(OR(City_Inputs!$AK56="",Norm_Stats!$F$24="",Norm_Stats!$G$24="",Norm_Stats!$G$24=Norm_Stats!$F$24),"",MAX(0,MIN(100,100*(MIN(MAX(City_Inputs!$AK56,Norm_Stats!$F$24),Norm_Stats!$G$24)-Norm_Stats!$F$24)/(Norm_Stats!$G$24-Norm_Stats!$F$24)))))="",0,0.2)))</f>
        <v/>
      </c>
      <c r="BE56" s="11">
        <f>IF(OR(City_Inputs!$AH56="",Norm_Stats!$F$25="",Norm_Stats!$G$25="",Norm_Stats!$G$25=Norm_Stats!$F$25),"",MAX(0,MIN(100,100*(Norm_Stats!$G$25-MIN(MAX(City_Inputs!$AH56,Norm_Stats!$F$25),Norm_Stats!$G$25))/(Norm_Stats!$G$25-Norm_Stats!$F$25))))</f>
        <v/>
      </c>
      <c r="BF56" s="14">
        <f>IF(BE56="","",1)</f>
        <v/>
      </c>
      <c r="BG56" s="15">
        <f>IF((IF(AY56="",0,6)+IF(BA56="",0,5)+IF(BC56="",0,5)+IF(BE56="",0,4))=0,"",(IF(AY56="",0,AY56*6)+IF(BA56="",0,BA56*5)+IF(BC56="",0,BC56*5)+IF(BE56="",0,BE56*4))/(IF(AY56="",0,6)+IF(BA56="",0,5)+IF(BC56="",0,5)+IF(BE56="",0,4)))</f>
        <v/>
      </c>
      <c r="BH56" s="14">
        <f>IF((IF(AZ56="",0,6)+IF(BB56="",0,5)+IF(BD56="",0,5)+IF(BF56="",0,4))=0,"",(IF(AZ56="",0,AZ56*6)+IF(BB56="",0,BB56*5)+IF(BD56="",0,BD56*5)+IF(BF56="",0,BF56*4))/20)</f>
        <v/>
      </c>
      <c r="BI56" s="14">
        <f>IF(AND(R56="",AF56="",AN56="",AX56="",BH56=""),"",((R56*25)+(AF56*22)+(AN56*18)+(AX56*15)+(BH56*20))/100)</f>
        <v/>
      </c>
      <c r="BJ56" s="11">
        <f>IF(BI56="","",IF(BI56&gt;=0.75,"A",IF(BI56&gt;=0.5,"B",IF(BI56&gt;=0.35,"C","Watchlist"))))</f>
        <v/>
      </c>
      <c r="BK56" s="11">
        <f>IF(OR(BI56="",BI56&lt;0.5,R56="",R56&lt;0.35,AF56="",AF56&lt;0.35,AN56="",AN56&lt;0.35,AX56="",AX56&lt;0.35,BH56="",BH56&lt;0.35),"Watchlist","Ranked")</f>
        <v/>
      </c>
      <c r="BL56" s="15">
        <f>IF(AND(Q56="",AE56="",AM56="",AW56="",BG56=""),"",(IF(Q56="",0,Q56*25)+IF(AE56="",0,AE56*22)+IF(AM56="",0,AM56*18)+IF(AW56="",0,AW56*15)+IF(BG56="",0,BG56*20))/(IF(Q56="",0,25)+IF(AE56="",0,22)+IF(AM56="",0,18)+IF(AW56="",0,15)+IF(BG56="",0,20)))</f>
        <v/>
      </c>
      <c r="BM56" s="11">
        <f>IF(BK56="Ranked",1+COUNTIFS($BK$2:$BK$158,"Ranked",$BL$2:$BL$158,"&gt;"&amp;BL56),"")</f>
        <v/>
      </c>
      <c r="BN56" s="11">
        <f>City_Inputs!$AI56</f>
        <v/>
      </c>
    </row>
    <row r="57">
      <c r="A57" t="inlineStr">
        <is>
          <t>pl-katowice</t>
        </is>
      </c>
      <c r="B57" t="inlineStr">
        <is>
          <t>Katowice</t>
        </is>
      </c>
      <c r="C57" t="inlineStr">
        <is>
          <t>Poland</t>
        </is>
      </c>
      <c r="D57" t="inlineStr">
        <is>
          <t>Southern/Eastern Europe and Eurasia</t>
        </is>
      </c>
      <c r="E57" t="inlineStr">
        <is>
          <t>locked</t>
        </is>
      </c>
      <c r="F57" t="inlineStr">
        <is>
          <t>secondary</t>
        </is>
      </c>
      <c r="G57" s="11">
        <f>IF(OR(City_Inputs!$M57="",Norm_Stats!$F$2="",Norm_Stats!$G$2="",Norm_Stats!$G$2=Norm_Stats!$F$2),"",MAX(0,MIN(100,100*(MIN(MAX(City_Inputs!$M57,Norm_Stats!$F$2),Norm_Stats!$G$2)-Norm_Stats!$F$2)/(Norm_Stats!$G$2-Norm_Stats!$F$2))))</f>
        <v/>
      </c>
      <c r="H57" s="14">
        <f>IF(G57="","",1)</f>
        <v/>
      </c>
      <c r="I57" s="11">
        <f>IF(OR(City_Inputs!$N57="",Norm_Stats!$F$3="",Norm_Stats!$G$3="",Norm_Stats!$G$3=Norm_Stats!$F$3),"",MAX(0,MIN(100,100*(Norm_Stats!$G$3-MIN(MAX(City_Inputs!$N57,Norm_Stats!$F$3),Norm_Stats!$G$3))/(Norm_Stats!$G$3-Norm_Stats!$F$3))))</f>
        <v/>
      </c>
      <c r="J57" s="14">
        <f>IF(I57="","",1)</f>
        <v/>
      </c>
      <c r="K57" s="11">
        <f>IF(OR(City_Inputs!$P57="",Norm_Stats!$F$4="",Norm_Stats!$G$4="",Norm_Stats!$G$4=Norm_Stats!$F$4),"",MAX(0,MIN(100,100*(Norm_Stats!$G$4-MIN(MAX(City_Inputs!$P57,Norm_Stats!$F$4),Norm_Stats!$G$4))/(Norm_Stats!$G$4-Norm_Stats!$F$4))))</f>
        <v/>
      </c>
      <c r="L57" s="14">
        <f>IF(K57="","",1)</f>
        <v/>
      </c>
      <c r="M57" s="11">
        <f>IF(OR(City_Inputs!$Q57="",Norm_Stats!$F$5="",Norm_Stats!$G$5="",Norm_Stats!$G$5=Norm_Stats!$F$5),"",MAX(0,MIN(100,100*(Norm_Stats!$G$5-MIN(MAX(City_Inputs!$Q57,Norm_Stats!$F$5),Norm_Stats!$G$5))/(Norm_Stats!$G$5-Norm_Stats!$F$5))))</f>
        <v/>
      </c>
      <c r="N57" s="14">
        <f>IF(M57="","",1)</f>
        <v/>
      </c>
      <c r="O57" s="11">
        <f>IF(OR(City_Inputs!$R57="",Norm_Stats!$F$6="",Norm_Stats!$G$6="",Norm_Stats!$G$6=Norm_Stats!$F$6),"",MAX(0,MIN(100,100*(Norm_Stats!$G$6-MIN(MAX(City_Inputs!$R57,Norm_Stats!$F$6),Norm_Stats!$G$6))/(Norm_Stats!$G$6-Norm_Stats!$F$6))))</f>
        <v/>
      </c>
      <c r="P57" s="14">
        <f>IF(O57="","",1)</f>
        <v/>
      </c>
      <c r="Q57" s="15">
        <f>IF((IF(G57="",0,9)+IF(I57="",0,5)+IF(K57="",0,4)+IF(M57="",0,4)+IF(O57="",0,5))=0,"",(IF(G57="",0,G57*9)+IF(I57="",0,I57*5)+IF(K57="",0,K57*4)+IF(M57="",0,M57*4)+IF(O57="",0,O57*5))/(IF(G57="",0,9)+IF(I57="",0,5)+IF(K57="",0,4)+IF(M57="",0,4)+IF(O57="",0,5)))</f>
        <v/>
      </c>
      <c r="R57" s="14">
        <f>IF((IF(H57="",0,9)+IF(J57="",0,5)+IF(L57="",0,4)+IF(N57="",0,4)+IF(P57="",0,5))=0,"",(IF(H57="",0,H57*9)+IF(J57="",0,J57*5)+IF(L57="",0,L57*4)+IF(N57="",0,N57*4)+IF(P57="",0,P57*5))/27)</f>
        <v/>
      </c>
      <c r="S57" s="11">
        <f>IF(OR(City_Inputs!$S57="",Norm_Stats!$F$7="",Norm_Stats!$G$7="",Norm_Stats!$G$7=Norm_Stats!$F$7),"",MAX(0,MIN(100,100*(Norm_Stats!$G$7-MIN(MAX(City_Inputs!$S57,Norm_Stats!$F$7),Norm_Stats!$G$7))/(Norm_Stats!$G$7-Norm_Stats!$F$7))))</f>
        <v/>
      </c>
      <c r="T57" s="14">
        <f>IF(S57="","",1)</f>
        <v/>
      </c>
      <c r="U57" s="11">
        <f>IF(OR(City_Inputs!$T57="",Norm_Stats!$F$8="",Norm_Stats!$G$8="",Norm_Stats!$G$8=Norm_Stats!$F$8),"",MAX(0,MIN(100,100*(MIN(MAX(City_Inputs!$T57,Norm_Stats!$F$8),Norm_Stats!$G$8)-Norm_Stats!$F$8)/(Norm_Stats!$G$8-Norm_Stats!$F$8))))</f>
        <v/>
      </c>
      <c r="V57" s="14">
        <f>IF(U57="","",1)</f>
        <v/>
      </c>
      <c r="W57" s="11">
        <f>IF(OR(City_Inputs!$U57="",Norm_Stats!$F$9="",Norm_Stats!$G$9="",Norm_Stats!$G$9=Norm_Stats!$F$9),"",MAX(0,MIN(100,100*(Norm_Stats!$G$9-MIN(MAX(City_Inputs!$U57,Norm_Stats!$F$9),Norm_Stats!$G$9))/(Norm_Stats!$G$9-Norm_Stats!$F$9))))</f>
        <v/>
      </c>
      <c r="X57" s="14">
        <f>IF(W57="","",1)</f>
        <v/>
      </c>
      <c r="Y57" s="11">
        <f>IF(OR(City_Inputs!$V57="",Norm_Stats!$F$10="",Norm_Stats!$G$10="",Norm_Stats!$G$10=Norm_Stats!$F$10),"",MAX(0,MIN(100,100*(MIN(MAX(City_Inputs!$V57,Norm_Stats!$F$10),Norm_Stats!$G$10)-Norm_Stats!$F$10)/(Norm_Stats!$G$10-Norm_Stats!$F$10))))</f>
        <v/>
      </c>
      <c r="Z57" s="14">
        <f>IF(Y57="","",1)</f>
        <v/>
      </c>
      <c r="AA57" s="11">
        <f>IF(OR(City_Inputs!$W57="",Norm_Stats!$F$11="",Norm_Stats!$G$11="",Norm_Stats!$G$11=Norm_Stats!$F$11),"",MAX(0,MIN(100,100*(MIN(MAX(City_Inputs!$W57,Norm_Stats!$F$11),Norm_Stats!$G$11)-Norm_Stats!$F$11)/(Norm_Stats!$G$11-Norm_Stats!$F$11))))</f>
        <v/>
      </c>
      <c r="AB57" s="14">
        <f>IF(AA57="","",1)</f>
        <v/>
      </c>
      <c r="AC57" s="11">
        <f>IF(OR(City_Inputs!$X57="",Norm_Stats!$F$12="",Norm_Stats!$G$12="",Norm_Stats!$G$12=Norm_Stats!$F$12),"",MAX(0,MIN(100,100*(MIN(MAX(City_Inputs!$X57,Norm_Stats!$F$12),Norm_Stats!$G$12)-Norm_Stats!$F$12)/(Norm_Stats!$G$12-Norm_Stats!$F$12))))</f>
        <v/>
      </c>
      <c r="AD57" s="11">
        <f>IF(AC57="","",1)</f>
        <v/>
      </c>
      <c r="AE57" s="15">
        <f>IF((IF(S57="",0,5)+IF(U57="",0,5)+IF(W57="",0,4)+IF(Y57="",0,4)+IF(AA57="",0,4)+IF(AC57="",0,5))=0,"",(IF(S57="",0,S57*5)+IF(U57="",0,U57*5)+IF(W57="",0,W57*4)+IF(Y57="",0,Y57*4)+IF(AA57="",0,AA57*4)+IF(AC57="",0,AC57*5))/(IF(S57="",0,5)+IF(U57="",0,5)+IF(W57="",0,4)+IF(Y57="",0,4)+IF(AA57="",0,4)+IF(AC57="",0,5)))</f>
        <v/>
      </c>
      <c r="AF57" s="14">
        <f>IF((IF(T57="",0,5)+IF(V57="",0,5)+IF(X57="",0,4)+IF(Z57="",0,4)+IF(AB57="",0,4)+IF(AD57="",0,5))=0,"",(IF(T57="",0,T57*5)+IF(V57="",0,V57*5)+IF(X57="",0,X57*4)+IF(Z57="",0,Z57*4)+IF(AB57="",0,AB57*4)+IF(AD57="",0,AD57*5))/27)</f>
        <v/>
      </c>
      <c r="AG57" s="11">
        <f>IF(OR(City_Inputs!$Y57="",Norm_Stats!$F$13="",Norm_Stats!$G$13="",Norm_Stats!$G$13=Norm_Stats!$F$13),"",MAX(0,MIN(100,100*(MIN(MAX(City_Inputs!$Y57,Norm_Stats!$F$13),Norm_Stats!$G$13)-Norm_Stats!$F$13)/(Norm_Stats!$G$13-Norm_Stats!$F$13))))</f>
        <v/>
      </c>
      <c r="AH57" s="14">
        <f>IF(AG57="","",1)</f>
        <v/>
      </c>
      <c r="AI57" s="11">
        <f>IF(OR(City_Inputs!$Z57="",Norm_Stats!$F$14="",Norm_Stats!$G$14="",Norm_Stats!$G$14=Norm_Stats!$F$14),"",MAX(0,MIN(100,100*(MIN(MAX(City_Inputs!$Z57,Norm_Stats!$F$14),Norm_Stats!$G$14)-Norm_Stats!$F$14)/(Norm_Stats!$G$14-Norm_Stats!$F$14))))</f>
        <v/>
      </c>
      <c r="AJ57" s="14">
        <f>IF(AI57="","",1)</f>
        <v/>
      </c>
      <c r="AK57" s="11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(IF(OR(City_Inputs!$AA57="",Norm_Stats!$F$15="",Norm_Stats!$G$15="",Norm_Stats!$G$15=Norm_Stats!$F$15),"",MAX(0,MIN(100,100*(MIN(MAX(City_Inputs!$AA57,Norm_Stats!$F$15),Norm_Stats!$G$15)-Norm_Stats!$F$15)/(Norm_Stats!$G$15-Norm_Stats!$F$15)))))*0.7)+IF((IF(OR(City_Inputs!$AL57="",Norm_Stats!$F$16="",Norm_Stats!$G$16="",Norm_Stats!$G$16=Norm_Stats!$F$16),"",MAX(0,MIN(100,100*(Norm_Stats!$G$16-MIN(MAX(City_Inputs!$AL57,Norm_Stats!$F$16),Norm_Stats!$G$16))/(Norm_Stats!$G$16-Norm_Stats!$F$16)))))="",0,(IF(OR(City_Inputs!$AL57="",Norm_Stats!$F$16="",Norm_Stats!$G$16="",Norm_Stats!$G$16=Norm_Stats!$F$16),"",MAX(0,MIN(100,100*(Norm_Stats!$G$16-MIN(MAX(City_Inputs!$AL57,Norm_Stats!$F$16),Norm_Stats!$G$16))/(Norm_Stats!$G$16-Norm_Stats!$F$16)))))*0.3))/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L57" s="14">
        <f>IF(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=0,"",(IF((IF(OR(City_Inputs!$AA57="",Norm_Stats!$F$15="",Norm_Stats!$G$15="",Norm_Stats!$G$15=Norm_Stats!$F$15),"",MAX(0,MIN(100,100*(MIN(MAX(City_Inputs!$AA57,Norm_Stats!$F$15),Norm_Stats!$G$15)-Norm_Stats!$F$15)/(Norm_Stats!$G$15-Norm_Stats!$F$15)))))="",0,0.7)+IF((IF(OR(City_Inputs!$AL57="",Norm_Stats!$F$16="",Norm_Stats!$G$16="",Norm_Stats!$G$16=Norm_Stats!$F$16),"",MAX(0,MIN(100,100*(Norm_Stats!$G$16-MIN(MAX(City_Inputs!$AL57,Norm_Stats!$F$16),Norm_Stats!$G$16))/(Norm_Stats!$G$16-Norm_Stats!$F$16)))))="",0,0.3)))</f>
        <v/>
      </c>
      <c r="AM57" s="15">
        <f>IF((IF(AG57="",0,8)+IF(AI57="",0,6)+IF(AK57="",0,4))=0,"",(IF(AG57="",0,AG57*8)+IF(AI57="",0,AI57*6)+IF(AK57="",0,AK57*4))/(IF(AG57="",0,8)+IF(AI57="",0,6)+IF(AK57="",0,4)))</f>
        <v/>
      </c>
      <c r="AN57" s="14">
        <f>IF((IF(AH57="",0,8)+IF(AJ57="",0,6)+IF(AL57="",0,4))=0,"",(IF(AH57="",0,AH57*8)+IF(AJ57="",0,AJ57*6)+IF(AL57="",0,AL57*4))/18)</f>
        <v/>
      </c>
      <c r="AO57" s="11">
        <f>IF(OR(City_Inputs!$AB57="",Norm_Stats!$F$17="",Norm_Stats!$G$17="",Norm_Stats!$G$17=Norm_Stats!$F$17),"",MAX(0,MIN(100,100*(MIN(MAX(City_Inputs!$AB57,Norm_Stats!$F$17),Norm_Stats!$G$17)-Norm_Stats!$F$17)/(Norm_Stats!$G$17-Norm_Stats!$F$17))))</f>
        <v/>
      </c>
      <c r="AP57" s="14">
        <f>IF(AO57="","",1)</f>
        <v/>
      </c>
      <c r="AQ57" s="11">
        <f>IF(OR(City_Inputs!$AC57="",Norm_Stats!$F$18="",Norm_Stats!$G$18="",Norm_Stats!$G$18=Norm_Stats!$F$18),"",MAX(0,MIN(100,100*(MIN(MAX(City_Inputs!$AC57,Norm_Stats!$F$18),Norm_Stats!$G$18)-Norm_Stats!$F$18)/(Norm_Stats!$G$18-Norm_Stats!$F$18))))</f>
        <v/>
      </c>
      <c r="AR57" s="14">
        <f>IF(AQ57="","",1)</f>
        <v/>
      </c>
      <c r="AS57" s="11">
        <f>IF(OR(City_Inputs!$AD57="",Norm_Stats!$F$19="",Norm_Stats!$G$19="",Norm_Stats!$G$19=Norm_Stats!$F$19),"",MAX(0,MIN(100,100*(MIN(MAX(City_Inputs!$AD57,Norm_Stats!$F$19),Norm_Stats!$G$19)-Norm_Stats!$F$19)/(Norm_Stats!$G$19-Norm_Stats!$F$19))))</f>
        <v/>
      </c>
      <c r="AT57" s="14">
        <f>IF(AS57="","",1)</f>
        <v/>
      </c>
      <c r="AU57" s="11">
        <f>IF(OR(City_Inputs!$BJ57="",Norm_Stats!$F$26="",Norm_Stats!$G$26="",Norm_Stats!$G$26=Norm_Stats!$F$26),"",MAX(0,MIN(100,100*(MIN(MAX(City_Inputs!$BJ57,Norm_Stats!$F$26),Norm_Stats!$G$26)-Norm_Stats!$F$26)/(Norm_Stats!$G$26-Norm_Stats!$F$26))))</f>
        <v/>
      </c>
      <c r="AV57" s="11">
        <f>IF(AU57="","",1)</f>
        <v/>
      </c>
      <c r="AW57" s="15">
        <f>IF((IF(AO57="",0,5)+IF(AQ57="",0,5)+IF(AS57="",0,5)+IF(AU57="",0,4))=0,"",(IF(AO57="",0,AO57*5)+IF(AQ57="",0,AQ57*5)+IF(AS57="",0,AS57*5)+IF(AU57="",0,AU57*4))/(IF(AO57="",0,5)+IF(AQ57="",0,5)+IF(AS57="",0,5)+IF(AU57="",0,4)))</f>
        <v/>
      </c>
      <c r="AX57" s="14">
        <f>IF((IF(AP57="",0,5)+IF(AR57="",0,5)+IF(AT57="",0,5)+IF(AV57="",0,4))=0,"",(IF(AP57="",0,AP57*5)+IF(AR57="",0,AR57*5)+IF(AT57="",0,AT57*5)+IF(AV57="",0,AV57*4))/19)</f>
        <v/>
      </c>
      <c r="AY57" s="11">
        <f>IF(OR(City_Inputs!$AE57="",Norm_Stats!$F$20="",Norm_Stats!$G$20="",Norm_Stats!$G$20=Norm_Stats!$F$20),"",MAX(0,MIN(100,100*(MIN(MAX(City_Inputs!$AE57,Norm_Stats!$F$20),Norm_Stats!$G$20)-Norm_Stats!$F$20)/(Norm_Stats!$G$20-Norm_Stats!$F$20))))</f>
        <v/>
      </c>
      <c r="AZ57" s="14">
        <f>IF(AY57="","",1)</f>
        <v/>
      </c>
      <c r="BA57" s="11">
        <f>IF(OR(City_Inputs!$AF57="",Norm_Stats!$F$21="",Norm_Stats!$G$21="",Norm_Stats!$G$21=Norm_Stats!$F$21),"",MAX(0,MIN(100,100*(MIN(MAX(City_Inputs!$AF57,Norm_Stats!$F$21),Norm_Stats!$G$21)-Norm_Stats!$F$21)/(Norm_Stats!$G$21-Norm_Stats!$F$21))))</f>
        <v/>
      </c>
      <c r="BB57" s="14">
        <f>IF(BA57="","",1)</f>
        <v/>
      </c>
      <c r="BC57" s="11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(IF(OR(City_Inputs!$AG57="",Norm_Stats!$F$22="",Norm_Stats!$G$22="",Norm_Stats!$G$22=Norm_Stats!$F$22),"",MAX(0,MIN(100,100*(MIN(MAX(City_Inputs!$AG57,Norm_Stats!$F$22),Norm_Stats!$G$22)-Norm_Stats!$F$22)/(Norm_Stats!$G$22-Norm_Stats!$F$22)))))*0.5)+IF((IF(OR(City_Inputs!$AJ57="",Norm_Stats!$F$23="",Norm_Stats!$G$23="",Norm_Stats!$G$23=Norm_Stats!$F$23),"",MAX(0,MIN(100,100*(MIN(MAX(City_Inputs!$AJ57,Norm_Stats!$F$23),Norm_Stats!$G$23)-Norm_Stats!$F$23)/(Norm_Stats!$G$23-Norm_Stats!$F$23)))))="",0,(IF(OR(City_Inputs!$AJ57="",Norm_Stats!$F$23="",Norm_Stats!$G$23="",Norm_Stats!$G$23=Norm_Stats!$F$23),"",MAX(0,MIN(100,100*(MIN(MAX(City_Inputs!$AJ57,Norm_Stats!$F$23),Norm_Stats!$G$23)-Norm_Stats!$F$23)/(Norm_Stats!$G$23-Norm_Stats!$F$23)))))*0.3)+IF((IF(OR(City_Inputs!$AK57="",Norm_Stats!$F$24="",Norm_Stats!$G$24="",Norm_Stats!$G$24=Norm_Stats!$F$24),"",MAX(0,MIN(100,100*(MIN(MAX(City_Inputs!$AK57,Norm_Stats!$F$24),Norm_Stats!$G$24)-Norm_Stats!$F$24)/(Norm_Stats!$G$24-Norm_Stats!$F$24)))))="",0,(IF(OR(City_Inputs!$AK57="",Norm_Stats!$F$24="",Norm_Stats!$G$24="",Norm_Stats!$G$24=Norm_Stats!$F$24),"",MAX(0,MIN(100,100*(MIN(MAX(City_Inputs!$AK57,Norm_Stats!$F$24),Norm_Stats!$G$24)-Norm_Stats!$F$24)/(Norm_Stats!$G$24-Norm_Stats!$F$24)))))*0.2))/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D57" s="14">
        <f>IF(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=0,"",(IF((IF(OR(City_Inputs!$AG57="",Norm_Stats!$F$22="",Norm_Stats!$G$22="",Norm_Stats!$G$22=Norm_Stats!$F$22),"",MAX(0,MIN(100,100*(MIN(MAX(City_Inputs!$AG57,Norm_Stats!$F$22),Norm_Stats!$G$22)-Norm_Stats!$F$22)/(Norm_Stats!$G$22-Norm_Stats!$F$22)))))="",0,0.5)+IF((IF(OR(City_Inputs!$AJ57="",Norm_Stats!$F$23="",Norm_Stats!$G$23="",Norm_Stats!$G$23=Norm_Stats!$F$23),"",MAX(0,MIN(100,100*(MIN(MAX(City_Inputs!$AJ57,Norm_Stats!$F$23),Norm_Stats!$G$23)-Norm_Stats!$F$23)/(Norm_Stats!$G$23-Norm_Stats!$F$23)))))="",0,0.3)+IF((IF(OR(City_Inputs!$AK57="",Norm_Stats!$F$24="",Norm_Stats!$G$24="",Norm_Stats!$G$24=Norm_Stats!$F$24),"",MAX(0,MIN(100,100*(MIN(MAX(City_Inputs!$AK57,Norm_Stats!$F$24),Norm_Stats!$G$24)-Norm_Stats!$F$24)/(Norm_Stats!$G$24-Norm_Stats!$F$24)))))="",0,0.2)))</f>
        <v/>
      </c>
      <c r="BE57" s="11">
        <f>IF(OR(City_Inputs!$AH57="",Norm_Stats!$F$25="",Norm_Stats!$G$25="",Norm_Stats!$G$25=Norm_Stats!$F$25),"",MAX(0,MIN(100,100*(Norm_Stats!$G$25-MIN(MAX(City_Inputs!$AH57,Norm_Stats!$F$25),Norm_Stats!$G$25))/(Norm_Stats!$G$25-Norm_Stats!$F$25))))</f>
        <v/>
      </c>
      <c r="BF57" s="14">
        <f>IF(BE57="","",1)</f>
        <v/>
      </c>
      <c r="BG57" s="15">
        <f>IF((IF(AY57="",0,6)+IF(BA57="",0,5)+IF(BC57="",0,5)+IF(BE57="",0,4))=0,"",(IF(AY57="",0,AY57*6)+IF(BA57="",0,BA57*5)+IF(BC57="",0,BC57*5)+IF(BE57="",0,BE57*4))/(IF(AY57="",0,6)+IF(BA57="",0,5)+IF(BC57="",0,5)+IF(BE57="",0,4)))</f>
        <v/>
      </c>
      <c r="BH57" s="14">
        <f>IF((IF(AZ57="",0,6)+IF(BB57="",0,5)+IF(BD57="",0,5)+IF(BF57="",0,4))=0,"",(IF(AZ57="",0,AZ57*6)+IF(BB57="",0,BB57*5)+IF(BD57="",0,BD57*5)+IF(BF57="",0,BF57*4))/20)</f>
        <v/>
      </c>
      <c r="BI57" s="14">
        <f>IF(AND(R57="",AF57="",AN57="",AX57="",BH57=""),"",((R57*25)+(AF57*22)+(AN57*18)+(AX57*15)+(BH57*20))/100)</f>
        <v/>
      </c>
      <c r="BJ57" s="11">
        <f>IF(BI57="","",IF(BI57&gt;=0.75,"A",IF(BI57&gt;=0.5,"B",IF(BI57&gt;=0.35,"C","Watchlist"))))</f>
        <v/>
      </c>
      <c r="BK57" s="11">
        <f>IF(OR(BI57="",BI57&lt;0.5,R57="",R57&lt;0.35,AF57="",AF57&lt;0.35,AN57="",AN57&lt;0.35,AX57="",AX57&lt;0.35,BH57="",BH57&lt;0.35),"Watchlist","Ranked")</f>
        <v/>
      </c>
      <c r="BL57" s="15">
        <f>IF(AND(Q57="",AE57="",AM57="",AW57="",BG57=""),"",(IF(Q57="",0,Q57*25)+IF(AE57="",0,AE57*22)+IF(AM57="",0,AM57*18)+IF(AW57="",0,AW57*15)+IF(BG57="",0,BG57*20))/(IF(Q57="",0,25)+IF(AE57="",0,22)+IF(AM57="",0,18)+IF(AW57="",0,15)+IF(BG57="",0,20)))</f>
        <v/>
      </c>
      <c r="BM57" s="11">
        <f>IF(BK57="Ranked",1+COUNTIFS($BK$2:$BK$158,"Ranked",$BL$2:$BL$158,"&gt;"&amp;BL57),"")</f>
        <v/>
      </c>
      <c r="BN57" s="11">
        <f>City_Inputs!$AI57</f>
        <v/>
      </c>
    </row>
    <row r="58">
      <c r="A58" t="inlineStr">
        <is>
          <t>pl-gdansk</t>
        </is>
      </c>
      <c r="B58" t="inlineStr">
        <is>
          <t>Gdansk</t>
        </is>
      </c>
      <c r="C58" t="inlineStr">
        <is>
          <t>Poland</t>
        </is>
      </c>
      <c r="D58" t="inlineStr">
        <is>
          <t>Southern/Eastern Europe and Eurasia</t>
        </is>
      </c>
      <c r="E58" t="inlineStr">
        <is>
          <t>locked</t>
        </is>
      </c>
      <c r="F58" t="inlineStr">
        <is>
          <t>secondary</t>
        </is>
      </c>
      <c r="G58" s="11">
        <f>IF(OR(City_Inputs!$M58="",Norm_Stats!$F$2="",Norm_Stats!$G$2="",Norm_Stats!$G$2=Norm_Stats!$F$2),"",MAX(0,MIN(100,100*(MIN(MAX(City_Inputs!$M58,Norm_Stats!$F$2),Norm_Stats!$G$2)-Norm_Stats!$F$2)/(Norm_Stats!$G$2-Norm_Stats!$F$2))))</f>
        <v/>
      </c>
      <c r="H58" s="14">
        <f>IF(G58="","",1)</f>
        <v/>
      </c>
      <c r="I58" s="11">
        <f>IF(OR(City_Inputs!$N58="",Norm_Stats!$F$3="",Norm_Stats!$G$3="",Norm_Stats!$G$3=Norm_Stats!$F$3),"",MAX(0,MIN(100,100*(Norm_Stats!$G$3-MIN(MAX(City_Inputs!$N58,Norm_Stats!$F$3),Norm_Stats!$G$3))/(Norm_Stats!$G$3-Norm_Stats!$F$3))))</f>
        <v/>
      </c>
      <c r="J58" s="14">
        <f>IF(I58="","",1)</f>
        <v/>
      </c>
      <c r="K58" s="11">
        <f>IF(OR(City_Inputs!$P58="",Norm_Stats!$F$4="",Norm_Stats!$G$4="",Norm_Stats!$G$4=Norm_Stats!$F$4),"",MAX(0,MIN(100,100*(Norm_Stats!$G$4-MIN(MAX(City_Inputs!$P58,Norm_Stats!$F$4),Norm_Stats!$G$4))/(Norm_Stats!$G$4-Norm_Stats!$F$4))))</f>
        <v/>
      </c>
      <c r="L58" s="14">
        <f>IF(K58="","",1)</f>
        <v/>
      </c>
      <c r="M58" s="11">
        <f>IF(OR(City_Inputs!$Q58="",Norm_Stats!$F$5="",Norm_Stats!$G$5="",Norm_Stats!$G$5=Norm_Stats!$F$5),"",MAX(0,MIN(100,100*(Norm_Stats!$G$5-MIN(MAX(City_Inputs!$Q58,Norm_Stats!$F$5),Norm_Stats!$G$5))/(Norm_Stats!$G$5-Norm_Stats!$F$5))))</f>
        <v/>
      </c>
      <c r="N58" s="14">
        <f>IF(M58="","",1)</f>
        <v/>
      </c>
      <c r="O58" s="11">
        <f>IF(OR(City_Inputs!$R58="",Norm_Stats!$F$6="",Norm_Stats!$G$6="",Norm_Stats!$G$6=Norm_Stats!$F$6),"",MAX(0,MIN(100,100*(Norm_Stats!$G$6-MIN(MAX(City_Inputs!$R58,Norm_Stats!$F$6),Norm_Stats!$G$6))/(Norm_Stats!$G$6-Norm_Stats!$F$6))))</f>
        <v/>
      </c>
      <c r="P58" s="14">
        <f>IF(O58="","",1)</f>
        <v/>
      </c>
      <c r="Q58" s="15">
        <f>IF((IF(G58="",0,9)+IF(I58="",0,5)+IF(K58="",0,4)+IF(M58="",0,4)+IF(O58="",0,5))=0,"",(IF(G58="",0,G58*9)+IF(I58="",0,I58*5)+IF(K58="",0,K58*4)+IF(M58="",0,M58*4)+IF(O58="",0,O58*5))/(IF(G58="",0,9)+IF(I58="",0,5)+IF(K58="",0,4)+IF(M58="",0,4)+IF(O58="",0,5)))</f>
        <v/>
      </c>
      <c r="R58" s="14">
        <f>IF((IF(H58="",0,9)+IF(J58="",0,5)+IF(L58="",0,4)+IF(N58="",0,4)+IF(P58="",0,5))=0,"",(IF(H58="",0,H58*9)+IF(J58="",0,J58*5)+IF(L58="",0,L58*4)+IF(N58="",0,N58*4)+IF(P58="",0,P58*5))/27)</f>
        <v/>
      </c>
      <c r="S58" s="11">
        <f>IF(OR(City_Inputs!$S58="",Norm_Stats!$F$7="",Norm_Stats!$G$7="",Norm_Stats!$G$7=Norm_Stats!$F$7),"",MAX(0,MIN(100,100*(Norm_Stats!$G$7-MIN(MAX(City_Inputs!$S58,Norm_Stats!$F$7),Norm_Stats!$G$7))/(Norm_Stats!$G$7-Norm_Stats!$F$7))))</f>
        <v/>
      </c>
      <c r="T58" s="14">
        <f>IF(S58="","",1)</f>
        <v/>
      </c>
      <c r="U58" s="11">
        <f>IF(OR(City_Inputs!$T58="",Norm_Stats!$F$8="",Norm_Stats!$G$8="",Norm_Stats!$G$8=Norm_Stats!$F$8),"",MAX(0,MIN(100,100*(MIN(MAX(City_Inputs!$T58,Norm_Stats!$F$8),Norm_Stats!$G$8)-Norm_Stats!$F$8)/(Norm_Stats!$G$8-Norm_Stats!$F$8))))</f>
        <v/>
      </c>
      <c r="V58" s="14">
        <f>IF(U58="","",1)</f>
        <v/>
      </c>
      <c r="W58" s="11">
        <f>IF(OR(City_Inputs!$U58="",Norm_Stats!$F$9="",Norm_Stats!$G$9="",Norm_Stats!$G$9=Norm_Stats!$F$9),"",MAX(0,MIN(100,100*(Norm_Stats!$G$9-MIN(MAX(City_Inputs!$U58,Norm_Stats!$F$9),Norm_Stats!$G$9))/(Norm_Stats!$G$9-Norm_Stats!$F$9))))</f>
        <v/>
      </c>
      <c r="X58" s="14">
        <f>IF(W58="","",1)</f>
        <v/>
      </c>
      <c r="Y58" s="11">
        <f>IF(OR(City_Inputs!$V58="",Norm_Stats!$F$10="",Norm_Stats!$G$10="",Norm_Stats!$G$10=Norm_Stats!$F$10),"",MAX(0,MIN(100,100*(MIN(MAX(City_Inputs!$V58,Norm_Stats!$F$10),Norm_Stats!$G$10)-Norm_Stats!$F$10)/(Norm_Stats!$G$10-Norm_Stats!$F$10))))</f>
        <v/>
      </c>
      <c r="Z58" s="14">
        <f>IF(Y58="","",1)</f>
        <v/>
      </c>
      <c r="AA58" s="11">
        <f>IF(OR(City_Inputs!$W58="",Norm_Stats!$F$11="",Norm_Stats!$G$11="",Norm_Stats!$G$11=Norm_Stats!$F$11),"",MAX(0,MIN(100,100*(MIN(MAX(City_Inputs!$W58,Norm_Stats!$F$11),Norm_Stats!$G$11)-Norm_Stats!$F$11)/(Norm_Stats!$G$11-Norm_Stats!$F$11))))</f>
        <v/>
      </c>
      <c r="AB58" s="14">
        <f>IF(AA58="","",1)</f>
        <v/>
      </c>
      <c r="AC58" s="11">
        <f>IF(OR(City_Inputs!$X58="",Norm_Stats!$F$12="",Norm_Stats!$G$12="",Norm_Stats!$G$12=Norm_Stats!$F$12),"",MAX(0,MIN(100,100*(MIN(MAX(City_Inputs!$X58,Norm_Stats!$F$12),Norm_Stats!$G$12)-Norm_Stats!$F$12)/(Norm_Stats!$G$12-Norm_Stats!$F$12))))</f>
        <v/>
      </c>
      <c r="AD58" s="11">
        <f>IF(AC58="","",1)</f>
        <v/>
      </c>
      <c r="AE58" s="15">
        <f>IF((IF(S58="",0,5)+IF(U58="",0,5)+IF(W58="",0,4)+IF(Y58="",0,4)+IF(AA58="",0,4)+IF(AC58="",0,5))=0,"",(IF(S58="",0,S58*5)+IF(U58="",0,U58*5)+IF(W58="",0,W58*4)+IF(Y58="",0,Y58*4)+IF(AA58="",0,AA58*4)+IF(AC58="",0,AC58*5))/(IF(S58="",0,5)+IF(U58="",0,5)+IF(W58="",0,4)+IF(Y58="",0,4)+IF(AA58="",0,4)+IF(AC58="",0,5)))</f>
        <v/>
      </c>
      <c r="AF58" s="14">
        <f>IF((IF(T58="",0,5)+IF(V58="",0,5)+IF(X58="",0,4)+IF(Z58="",0,4)+IF(AB58="",0,4)+IF(AD58="",0,5))=0,"",(IF(T58="",0,T58*5)+IF(V58="",0,V58*5)+IF(X58="",0,X58*4)+IF(Z58="",0,Z58*4)+IF(AB58="",0,AB58*4)+IF(AD58="",0,AD58*5))/27)</f>
        <v/>
      </c>
      <c r="AG58" s="11">
        <f>IF(OR(City_Inputs!$Y58="",Norm_Stats!$F$13="",Norm_Stats!$G$13="",Norm_Stats!$G$13=Norm_Stats!$F$13),"",MAX(0,MIN(100,100*(MIN(MAX(City_Inputs!$Y58,Norm_Stats!$F$13),Norm_Stats!$G$13)-Norm_Stats!$F$13)/(Norm_Stats!$G$13-Norm_Stats!$F$13))))</f>
        <v/>
      </c>
      <c r="AH58" s="14">
        <f>IF(AG58="","",1)</f>
        <v/>
      </c>
      <c r="AI58" s="11">
        <f>IF(OR(City_Inputs!$Z58="",Norm_Stats!$F$14="",Norm_Stats!$G$14="",Norm_Stats!$G$14=Norm_Stats!$F$14),"",MAX(0,MIN(100,100*(MIN(MAX(City_Inputs!$Z58,Norm_Stats!$F$14),Norm_Stats!$G$14)-Norm_Stats!$F$14)/(Norm_Stats!$G$14-Norm_Stats!$F$14))))</f>
        <v/>
      </c>
      <c r="AJ58" s="14">
        <f>IF(AI58="","",1)</f>
        <v/>
      </c>
      <c r="AK58" s="11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(IF(OR(City_Inputs!$AA58="",Norm_Stats!$F$15="",Norm_Stats!$G$15="",Norm_Stats!$G$15=Norm_Stats!$F$15),"",MAX(0,MIN(100,100*(MIN(MAX(City_Inputs!$AA58,Norm_Stats!$F$15),Norm_Stats!$G$15)-Norm_Stats!$F$15)/(Norm_Stats!$G$15-Norm_Stats!$F$15)))))*0.7)+IF((IF(OR(City_Inputs!$AL58="",Norm_Stats!$F$16="",Norm_Stats!$G$16="",Norm_Stats!$G$16=Norm_Stats!$F$16),"",MAX(0,MIN(100,100*(Norm_Stats!$G$16-MIN(MAX(City_Inputs!$AL58,Norm_Stats!$F$16),Norm_Stats!$G$16))/(Norm_Stats!$G$16-Norm_Stats!$F$16)))))="",0,(IF(OR(City_Inputs!$AL58="",Norm_Stats!$F$16="",Norm_Stats!$G$16="",Norm_Stats!$G$16=Norm_Stats!$F$16),"",MAX(0,MIN(100,100*(Norm_Stats!$G$16-MIN(MAX(City_Inputs!$AL58,Norm_Stats!$F$16),Norm_Stats!$G$16))/(Norm_Stats!$G$16-Norm_Stats!$F$16)))))*0.3))/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L58" s="14">
        <f>IF(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=0,"",(IF((IF(OR(City_Inputs!$AA58="",Norm_Stats!$F$15="",Norm_Stats!$G$15="",Norm_Stats!$G$15=Norm_Stats!$F$15),"",MAX(0,MIN(100,100*(MIN(MAX(City_Inputs!$AA58,Norm_Stats!$F$15),Norm_Stats!$G$15)-Norm_Stats!$F$15)/(Norm_Stats!$G$15-Norm_Stats!$F$15)))))="",0,0.7)+IF((IF(OR(City_Inputs!$AL58="",Norm_Stats!$F$16="",Norm_Stats!$G$16="",Norm_Stats!$G$16=Norm_Stats!$F$16),"",MAX(0,MIN(100,100*(Norm_Stats!$G$16-MIN(MAX(City_Inputs!$AL58,Norm_Stats!$F$16),Norm_Stats!$G$16))/(Norm_Stats!$G$16-Norm_Stats!$F$16)))))="",0,0.3)))</f>
        <v/>
      </c>
      <c r="AM58" s="15">
        <f>IF((IF(AG58="",0,8)+IF(AI58="",0,6)+IF(AK58="",0,4))=0,"",(IF(AG58="",0,AG58*8)+IF(AI58="",0,AI58*6)+IF(AK58="",0,AK58*4))/(IF(AG58="",0,8)+IF(AI58="",0,6)+IF(AK58="",0,4)))</f>
        <v/>
      </c>
      <c r="AN58" s="14">
        <f>IF((IF(AH58="",0,8)+IF(AJ58="",0,6)+IF(AL58="",0,4))=0,"",(IF(AH58="",0,AH58*8)+IF(AJ58="",0,AJ58*6)+IF(AL58="",0,AL58*4))/18)</f>
        <v/>
      </c>
      <c r="AO58" s="11">
        <f>IF(OR(City_Inputs!$AB58="",Norm_Stats!$F$17="",Norm_Stats!$G$17="",Norm_Stats!$G$17=Norm_Stats!$F$17),"",MAX(0,MIN(100,100*(MIN(MAX(City_Inputs!$AB58,Norm_Stats!$F$17),Norm_Stats!$G$17)-Norm_Stats!$F$17)/(Norm_Stats!$G$17-Norm_Stats!$F$17))))</f>
        <v/>
      </c>
      <c r="AP58" s="14">
        <f>IF(AO58="","",1)</f>
        <v/>
      </c>
      <c r="AQ58" s="11">
        <f>IF(OR(City_Inputs!$AC58="",Norm_Stats!$F$18="",Norm_Stats!$G$18="",Norm_Stats!$G$18=Norm_Stats!$F$18),"",MAX(0,MIN(100,100*(MIN(MAX(City_Inputs!$AC58,Norm_Stats!$F$18),Norm_Stats!$G$18)-Norm_Stats!$F$18)/(Norm_Stats!$G$18-Norm_Stats!$F$18))))</f>
        <v/>
      </c>
      <c r="AR58" s="14">
        <f>IF(AQ58="","",1)</f>
        <v/>
      </c>
      <c r="AS58" s="11">
        <f>IF(OR(City_Inputs!$AD58="",Norm_Stats!$F$19="",Norm_Stats!$G$19="",Norm_Stats!$G$19=Norm_Stats!$F$19),"",MAX(0,MIN(100,100*(MIN(MAX(City_Inputs!$AD58,Norm_Stats!$F$19),Norm_Stats!$G$19)-Norm_Stats!$F$19)/(Norm_Stats!$G$19-Norm_Stats!$F$19))))</f>
        <v/>
      </c>
      <c r="AT58" s="14">
        <f>IF(AS58="","",1)</f>
        <v/>
      </c>
      <c r="AU58" s="11">
        <f>IF(OR(City_Inputs!$BJ58="",Norm_Stats!$F$26="",Norm_Stats!$G$26="",Norm_Stats!$G$26=Norm_Stats!$F$26),"",MAX(0,MIN(100,100*(MIN(MAX(City_Inputs!$BJ58,Norm_Stats!$F$26),Norm_Stats!$G$26)-Norm_Stats!$F$26)/(Norm_Stats!$G$26-Norm_Stats!$F$26))))</f>
        <v/>
      </c>
      <c r="AV58" s="11">
        <f>IF(AU58="","",1)</f>
        <v/>
      </c>
      <c r="AW58" s="15">
        <f>IF((IF(AO58="",0,5)+IF(AQ58="",0,5)+IF(AS58="",0,5)+IF(AU58="",0,4))=0,"",(IF(AO58="",0,AO58*5)+IF(AQ58="",0,AQ58*5)+IF(AS58="",0,AS58*5)+IF(AU58="",0,AU58*4))/(IF(AO58="",0,5)+IF(AQ58="",0,5)+IF(AS58="",0,5)+IF(AU58="",0,4)))</f>
        <v/>
      </c>
      <c r="AX58" s="14">
        <f>IF((IF(AP58="",0,5)+IF(AR58="",0,5)+IF(AT58="",0,5)+IF(AV58="",0,4))=0,"",(IF(AP58="",0,AP58*5)+IF(AR58="",0,AR58*5)+IF(AT58="",0,AT58*5)+IF(AV58="",0,AV58*4))/19)</f>
        <v/>
      </c>
      <c r="AY58" s="11">
        <f>IF(OR(City_Inputs!$AE58="",Norm_Stats!$F$20="",Norm_Stats!$G$20="",Norm_Stats!$G$20=Norm_Stats!$F$20),"",MAX(0,MIN(100,100*(MIN(MAX(City_Inputs!$AE58,Norm_Stats!$F$20),Norm_Stats!$G$20)-Norm_Stats!$F$20)/(Norm_Stats!$G$20-Norm_Stats!$F$20))))</f>
        <v/>
      </c>
      <c r="AZ58" s="14">
        <f>IF(AY58="","",1)</f>
        <v/>
      </c>
      <c r="BA58" s="11">
        <f>IF(OR(City_Inputs!$AF58="",Norm_Stats!$F$21="",Norm_Stats!$G$21="",Norm_Stats!$G$21=Norm_Stats!$F$21),"",MAX(0,MIN(100,100*(MIN(MAX(City_Inputs!$AF58,Norm_Stats!$F$21),Norm_Stats!$G$21)-Norm_Stats!$F$21)/(Norm_Stats!$G$21-Norm_Stats!$F$21))))</f>
        <v/>
      </c>
      <c r="BB58" s="14">
        <f>IF(BA58="","",1)</f>
        <v/>
      </c>
      <c r="BC58" s="11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(IF(OR(City_Inputs!$AG58="",Norm_Stats!$F$22="",Norm_Stats!$G$22="",Norm_Stats!$G$22=Norm_Stats!$F$22),"",MAX(0,MIN(100,100*(MIN(MAX(City_Inputs!$AG58,Norm_Stats!$F$22),Norm_Stats!$G$22)-Norm_Stats!$F$22)/(Norm_Stats!$G$22-Norm_Stats!$F$22)))))*0.5)+IF((IF(OR(City_Inputs!$AJ58="",Norm_Stats!$F$23="",Norm_Stats!$G$23="",Norm_Stats!$G$23=Norm_Stats!$F$23),"",MAX(0,MIN(100,100*(MIN(MAX(City_Inputs!$AJ58,Norm_Stats!$F$23),Norm_Stats!$G$23)-Norm_Stats!$F$23)/(Norm_Stats!$G$23-Norm_Stats!$F$23)))))="",0,(IF(OR(City_Inputs!$AJ58="",Norm_Stats!$F$23="",Norm_Stats!$G$23="",Norm_Stats!$G$23=Norm_Stats!$F$23),"",MAX(0,MIN(100,100*(MIN(MAX(City_Inputs!$AJ58,Norm_Stats!$F$23),Norm_Stats!$G$23)-Norm_Stats!$F$23)/(Norm_Stats!$G$23-Norm_Stats!$F$23)))))*0.3)+IF((IF(OR(City_Inputs!$AK58="",Norm_Stats!$F$24="",Norm_Stats!$G$24="",Norm_Stats!$G$24=Norm_Stats!$F$24),"",MAX(0,MIN(100,100*(MIN(MAX(City_Inputs!$AK58,Norm_Stats!$F$24),Norm_Stats!$G$24)-Norm_Stats!$F$24)/(Norm_Stats!$G$24-Norm_Stats!$F$24)))))="",0,(IF(OR(City_Inputs!$AK58="",Norm_Stats!$F$24="",Norm_Stats!$G$24="",Norm_Stats!$G$24=Norm_Stats!$F$24),"",MAX(0,MIN(100,100*(MIN(MAX(City_Inputs!$AK58,Norm_Stats!$F$24),Norm_Stats!$G$24)-Norm_Stats!$F$24)/(Norm_Stats!$G$24-Norm_Stats!$F$24)))))*0.2))/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D58" s="14">
        <f>IF(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=0,"",(IF((IF(OR(City_Inputs!$AG58="",Norm_Stats!$F$22="",Norm_Stats!$G$22="",Norm_Stats!$G$22=Norm_Stats!$F$22),"",MAX(0,MIN(100,100*(MIN(MAX(City_Inputs!$AG58,Norm_Stats!$F$22),Norm_Stats!$G$22)-Norm_Stats!$F$22)/(Norm_Stats!$G$22-Norm_Stats!$F$22)))))="",0,0.5)+IF((IF(OR(City_Inputs!$AJ58="",Norm_Stats!$F$23="",Norm_Stats!$G$23="",Norm_Stats!$G$23=Norm_Stats!$F$23),"",MAX(0,MIN(100,100*(MIN(MAX(City_Inputs!$AJ58,Norm_Stats!$F$23),Norm_Stats!$G$23)-Norm_Stats!$F$23)/(Norm_Stats!$G$23-Norm_Stats!$F$23)))))="",0,0.3)+IF((IF(OR(City_Inputs!$AK58="",Norm_Stats!$F$24="",Norm_Stats!$G$24="",Norm_Stats!$G$24=Norm_Stats!$F$24),"",MAX(0,MIN(100,100*(MIN(MAX(City_Inputs!$AK58,Norm_Stats!$F$24),Norm_Stats!$G$24)-Norm_Stats!$F$24)/(Norm_Stats!$G$24-Norm_Stats!$F$24)))))="",0,0.2)))</f>
        <v/>
      </c>
      <c r="BE58" s="11">
        <f>IF(OR(City_Inputs!$AH58="",Norm_Stats!$F$25="",Norm_Stats!$G$25="",Norm_Stats!$G$25=Norm_Stats!$F$25),"",MAX(0,MIN(100,100*(Norm_Stats!$G$25-MIN(MAX(City_Inputs!$AH58,Norm_Stats!$F$25),Norm_Stats!$G$25))/(Norm_Stats!$G$25-Norm_Stats!$F$25))))</f>
        <v/>
      </c>
      <c r="BF58" s="14">
        <f>IF(BE58="","",1)</f>
        <v/>
      </c>
      <c r="BG58" s="15">
        <f>IF((IF(AY58="",0,6)+IF(BA58="",0,5)+IF(BC58="",0,5)+IF(BE58="",0,4))=0,"",(IF(AY58="",0,AY58*6)+IF(BA58="",0,BA58*5)+IF(BC58="",0,BC58*5)+IF(BE58="",0,BE58*4))/(IF(AY58="",0,6)+IF(BA58="",0,5)+IF(BC58="",0,5)+IF(BE58="",0,4)))</f>
        <v/>
      </c>
      <c r="BH58" s="14">
        <f>IF((IF(AZ58="",0,6)+IF(BB58="",0,5)+IF(BD58="",0,5)+IF(BF58="",0,4))=0,"",(IF(AZ58="",0,AZ58*6)+IF(BB58="",0,BB58*5)+IF(BD58="",0,BD58*5)+IF(BF58="",0,BF58*4))/20)</f>
        <v/>
      </c>
      <c r="BI58" s="14">
        <f>IF(AND(R58="",AF58="",AN58="",AX58="",BH58=""),"",((R58*25)+(AF58*22)+(AN58*18)+(AX58*15)+(BH58*20))/100)</f>
        <v/>
      </c>
      <c r="BJ58" s="11">
        <f>IF(BI58="","",IF(BI58&gt;=0.75,"A",IF(BI58&gt;=0.5,"B",IF(BI58&gt;=0.35,"C","Watchlist"))))</f>
        <v/>
      </c>
      <c r="BK58" s="11">
        <f>IF(OR(BI58="",BI58&lt;0.5,R58="",R58&lt;0.35,AF58="",AF58&lt;0.35,AN58="",AN58&lt;0.35,AX58="",AX58&lt;0.35,BH58="",BH58&lt;0.35),"Watchlist","Ranked")</f>
        <v/>
      </c>
      <c r="BL58" s="15">
        <f>IF(AND(Q58="",AE58="",AM58="",AW58="",BG58=""),"",(IF(Q58="",0,Q58*25)+IF(AE58="",0,AE58*22)+IF(AM58="",0,AM58*18)+IF(AW58="",0,AW58*15)+IF(BG58="",0,BG58*20))/(IF(Q58="",0,25)+IF(AE58="",0,22)+IF(AM58="",0,18)+IF(AW58="",0,15)+IF(BG58="",0,20)))</f>
        <v/>
      </c>
      <c r="BM58" s="11">
        <f>IF(BK58="Ranked",1+COUNTIFS($BK$2:$BK$158,"Ranked",$BL$2:$BL$158,"&gt;"&amp;BL58),"")</f>
        <v/>
      </c>
      <c r="BN58" s="11">
        <f>City_Inputs!$AI58</f>
        <v/>
      </c>
    </row>
    <row r="59">
      <c r="A59" t="inlineStr">
        <is>
          <t>pl-torun</t>
        </is>
      </c>
      <c r="B59" t="inlineStr">
        <is>
          <t>Torun</t>
        </is>
      </c>
      <c r="C59" t="inlineStr">
        <is>
          <t>Poland</t>
        </is>
      </c>
      <c r="D59" t="inlineStr">
        <is>
          <t>Southern/Eastern Europe and Eurasia</t>
        </is>
      </c>
      <c r="E59" t="inlineStr">
        <is>
          <t>provisional</t>
        </is>
      </c>
      <c r="F59" t="inlineStr">
        <is>
          <t>secondary</t>
        </is>
      </c>
      <c r="G59" s="11">
        <f>IF(OR(City_Inputs!$M59="",Norm_Stats!$F$2="",Norm_Stats!$G$2="",Norm_Stats!$G$2=Norm_Stats!$F$2),"",MAX(0,MIN(100,100*(MIN(MAX(City_Inputs!$M59,Norm_Stats!$F$2),Norm_Stats!$G$2)-Norm_Stats!$F$2)/(Norm_Stats!$G$2-Norm_Stats!$F$2))))</f>
        <v/>
      </c>
      <c r="H59" s="14">
        <f>IF(G59="","",1)</f>
        <v/>
      </c>
      <c r="I59" s="11">
        <f>IF(OR(City_Inputs!$N59="",Norm_Stats!$F$3="",Norm_Stats!$G$3="",Norm_Stats!$G$3=Norm_Stats!$F$3),"",MAX(0,MIN(100,100*(Norm_Stats!$G$3-MIN(MAX(City_Inputs!$N59,Norm_Stats!$F$3),Norm_Stats!$G$3))/(Norm_Stats!$G$3-Norm_Stats!$F$3))))</f>
        <v/>
      </c>
      <c r="J59" s="14">
        <f>IF(I59="","",1)</f>
        <v/>
      </c>
      <c r="K59" s="11">
        <f>IF(OR(City_Inputs!$P59="",Norm_Stats!$F$4="",Norm_Stats!$G$4="",Norm_Stats!$G$4=Norm_Stats!$F$4),"",MAX(0,MIN(100,100*(Norm_Stats!$G$4-MIN(MAX(City_Inputs!$P59,Norm_Stats!$F$4),Norm_Stats!$G$4))/(Norm_Stats!$G$4-Norm_Stats!$F$4))))</f>
        <v/>
      </c>
      <c r="L59" s="14">
        <f>IF(K59="","",1)</f>
        <v/>
      </c>
      <c r="M59" s="11">
        <f>IF(OR(City_Inputs!$Q59="",Norm_Stats!$F$5="",Norm_Stats!$G$5="",Norm_Stats!$G$5=Norm_Stats!$F$5),"",MAX(0,MIN(100,100*(Norm_Stats!$G$5-MIN(MAX(City_Inputs!$Q59,Norm_Stats!$F$5),Norm_Stats!$G$5))/(Norm_Stats!$G$5-Norm_Stats!$F$5))))</f>
        <v/>
      </c>
      <c r="N59" s="14">
        <f>IF(M59="","",1)</f>
        <v/>
      </c>
      <c r="O59" s="11">
        <f>IF(OR(City_Inputs!$R59="",Norm_Stats!$F$6="",Norm_Stats!$G$6="",Norm_Stats!$G$6=Norm_Stats!$F$6),"",MAX(0,MIN(100,100*(Norm_Stats!$G$6-MIN(MAX(City_Inputs!$R59,Norm_Stats!$F$6),Norm_Stats!$G$6))/(Norm_Stats!$G$6-Norm_Stats!$F$6))))</f>
        <v/>
      </c>
      <c r="P59" s="14">
        <f>IF(O59="","",1)</f>
        <v/>
      </c>
      <c r="Q59" s="15">
        <f>IF((IF(G59="",0,9)+IF(I59="",0,5)+IF(K59="",0,4)+IF(M59="",0,4)+IF(O59="",0,5))=0,"",(IF(G59="",0,G59*9)+IF(I59="",0,I59*5)+IF(K59="",0,K59*4)+IF(M59="",0,M59*4)+IF(O59="",0,O59*5))/(IF(G59="",0,9)+IF(I59="",0,5)+IF(K59="",0,4)+IF(M59="",0,4)+IF(O59="",0,5)))</f>
        <v/>
      </c>
      <c r="R59" s="14">
        <f>IF((IF(H59="",0,9)+IF(J59="",0,5)+IF(L59="",0,4)+IF(N59="",0,4)+IF(P59="",0,5))=0,"",(IF(H59="",0,H59*9)+IF(J59="",0,J59*5)+IF(L59="",0,L59*4)+IF(N59="",0,N59*4)+IF(P59="",0,P59*5))/27)</f>
        <v/>
      </c>
      <c r="S59" s="11">
        <f>IF(OR(City_Inputs!$S59="",Norm_Stats!$F$7="",Norm_Stats!$G$7="",Norm_Stats!$G$7=Norm_Stats!$F$7),"",MAX(0,MIN(100,100*(Norm_Stats!$G$7-MIN(MAX(City_Inputs!$S59,Norm_Stats!$F$7),Norm_Stats!$G$7))/(Norm_Stats!$G$7-Norm_Stats!$F$7))))</f>
        <v/>
      </c>
      <c r="T59" s="14">
        <f>IF(S59="","",1)</f>
        <v/>
      </c>
      <c r="U59" s="11">
        <f>IF(OR(City_Inputs!$T59="",Norm_Stats!$F$8="",Norm_Stats!$G$8="",Norm_Stats!$G$8=Norm_Stats!$F$8),"",MAX(0,MIN(100,100*(MIN(MAX(City_Inputs!$T59,Norm_Stats!$F$8),Norm_Stats!$G$8)-Norm_Stats!$F$8)/(Norm_Stats!$G$8-Norm_Stats!$F$8))))</f>
        <v/>
      </c>
      <c r="V59" s="14">
        <f>IF(U59="","",1)</f>
        <v/>
      </c>
      <c r="W59" s="11">
        <f>IF(OR(City_Inputs!$U59="",Norm_Stats!$F$9="",Norm_Stats!$G$9="",Norm_Stats!$G$9=Norm_Stats!$F$9),"",MAX(0,MIN(100,100*(Norm_Stats!$G$9-MIN(MAX(City_Inputs!$U59,Norm_Stats!$F$9),Norm_Stats!$G$9))/(Norm_Stats!$G$9-Norm_Stats!$F$9))))</f>
        <v/>
      </c>
      <c r="X59" s="14">
        <f>IF(W59="","",1)</f>
        <v/>
      </c>
      <c r="Y59" s="11">
        <f>IF(OR(City_Inputs!$V59="",Norm_Stats!$F$10="",Norm_Stats!$G$10="",Norm_Stats!$G$10=Norm_Stats!$F$10),"",MAX(0,MIN(100,100*(MIN(MAX(City_Inputs!$V59,Norm_Stats!$F$10),Norm_Stats!$G$10)-Norm_Stats!$F$10)/(Norm_Stats!$G$10-Norm_Stats!$F$10))))</f>
        <v/>
      </c>
      <c r="Z59" s="14">
        <f>IF(Y59="","",1)</f>
        <v/>
      </c>
      <c r="AA59" s="11">
        <f>IF(OR(City_Inputs!$W59="",Norm_Stats!$F$11="",Norm_Stats!$G$11="",Norm_Stats!$G$11=Norm_Stats!$F$11),"",MAX(0,MIN(100,100*(MIN(MAX(City_Inputs!$W59,Norm_Stats!$F$11),Norm_Stats!$G$11)-Norm_Stats!$F$11)/(Norm_Stats!$G$11-Norm_Stats!$F$11))))</f>
        <v/>
      </c>
      <c r="AB59" s="14">
        <f>IF(AA59="","",1)</f>
        <v/>
      </c>
      <c r="AC59" s="11">
        <f>IF(OR(City_Inputs!$X59="",Norm_Stats!$F$12="",Norm_Stats!$G$12="",Norm_Stats!$G$12=Norm_Stats!$F$12),"",MAX(0,MIN(100,100*(MIN(MAX(City_Inputs!$X59,Norm_Stats!$F$12),Norm_Stats!$G$12)-Norm_Stats!$F$12)/(Norm_Stats!$G$12-Norm_Stats!$F$12))))</f>
        <v/>
      </c>
      <c r="AD59" s="11">
        <f>IF(AC59="","",1)</f>
        <v/>
      </c>
      <c r="AE59" s="15">
        <f>IF((IF(S59="",0,5)+IF(U59="",0,5)+IF(W59="",0,4)+IF(Y59="",0,4)+IF(AA59="",0,4)+IF(AC59="",0,5))=0,"",(IF(S59="",0,S59*5)+IF(U59="",0,U59*5)+IF(W59="",0,W59*4)+IF(Y59="",0,Y59*4)+IF(AA59="",0,AA59*4)+IF(AC59="",0,AC59*5))/(IF(S59="",0,5)+IF(U59="",0,5)+IF(W59="",0,4)+IF(Y59="",0,4)+IF(AA59="",0,4)+IF(AC59="",0,5)))</f>
        <v/>
      </c>
      <c r="AF59" s="14">
        <f>IF((IF(T59="",0,5)+IF(V59="",0,5)+IF(X59="",0,4)+IF(Z59="",0,4)+IF(AB59="",0,4)+IF(AD59="",0,5))=0,"",(IF(T59="",0,T59*5)+IF(V59="",0,V59*5)+IF(X59="",0,X59*4)+IF(Z59="",0,Z59*4)+IF(AB59="",0,AB59*4)+IF(AD59="",0,AD59*5))/27)</f>
        <v/>
      </c>
      <c r="AG59" s="11">
        <f>IF(OR(City_Inputs!$Y59="",Norm_Stats!$F$13="",Norm_Stats!$G$13="",Norm_Stats!$G$13=Norm_Stats!$F$13),"",MAX(0,MIN(100,100*(MIN(MAX(City_Inputs!$Y59,Norm_Stats!$F$13),Norm_Stats!$G$13)-Norm_Stats!$F$13)/(Norm_Stats!$G$13-Norm_Stats!$F$13))))</f>
        <v/>
      </c>
      <c r="AH59" s="14">
        <f>IF(AG59="","",1)</f>
        <v/>
      </c>
      <c r="AI59" s="11">
        <f>IF(OR(City_Inputs!$Z59="",Norm_Stats!$F$14="",Norm_Stats!$G$14="",Norm_Stats!$G$14=Norm_Stats!$F$14),"",MAX(0,MIN(100,100*(MIN(MAX(City_Inputs!$Z59,Norm_Stats!$F$14),Norm_Stats!$G$14)-Norm_Stats!$F$14)/(Norm_Stats!$G$14-Norm_Stats!$F$14))))</f>
        <v/>
      </c>
      <c r="AJ59" s="14">
        <f>IF(AI59="","",1)</f>
        <v/>
      </c>
      <c r="AK59" s="11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(IF(OR(City_Inputs!$AA59="",Norm_Stats!$F$15="",Norm_Stats!$G$15="",Norm_Stats!$G$15=Norm_Stats!$F$15),"",MAX(0,MIN(100,100*(MIN(MAX(City_Inputs!$AA59,Norm_Stats!$F$15),Norm_Stats!$G$15)-Norm_Stats!$F$15)/(Norm_Stats!$G$15-Norm_Stats!$F$15)))))*0.7)+IF((IF(OR(City_Inputs!$AL59="",Norm_Stats!$F$16="",Norm_Stats!$G$16="",Norm_Stats!$G$16=Norm_Stats!$F$16),"",MAX(0,MIN(100,100*(Norm_Stats!$G$16-MIN(MAX(City_Inputs!$AL59,Norm_Stats!$F$16),Norm_Stats!$G$16))/(Norm_Stats!$G$16-Norm_Stats!$F$16)))))="",0,(IF(OR(City_Inputs!$AL59="",Norm_Stats!$F$16="",Norm_Stats!$G$16="",Norm_Stats!$G$16=Norm_Stats!$F$16),"",MAX(0,MIN(100,100*(Norm_Stats!$G$16-MIN(MAX(City_Inputs!$AL59,Norm_Stats!$F$16),Norm_Stats!$G$16))/(Norm_Stats!$G$16-Norm_Stats!$F$16)))))*0.3))/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L59" s="14">
        <f>IF(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=0,"",(IF((IF(OR(City_Inputs!$AA59="",Norm_Stats!$F$15="",Norm_Stats!$G$15="",Norm_Stats!$G$15=Norm_Stats!$F$15),"",MAX(0,MIN(100,100*(MIN(MAX(City_Inputs!$AA59,Norm_Stats!$F$15),Norm_Stats!$G$15)-Norm_Stats!$F$15)/(Norm_Stats!$G$15-Norm_Stats!$F$15)))))="",0,0.7)+IF((IF(OR(City_Inputs!$AL59="",Norm_Stats!$F$16="",Norm_Stats!$G$16="",Norm_Stats!$G$16=Norm_Stats!$F$16),"",MAX(0,MIN(100,100*(Norm_Stats!$G$16-MIN(MAX(City_Inputs!$AL59,Norm_Stats!$F$16),Norm_Stats!$G$16))/(Norm_Stats!$G$16-Norm_Stats!$F$16)))))="",0,0.3)))</f>
        <v/>
      </c>
      <c r="AM59" s="15">
        <f>IF((IF(AG59="",0,8)+IF(AI59="",0,6)+IF(AK59="",0,4))=0,"",(IF(AG59="",0,AG59*8)+IF(AI59="",0,AI59*6)+IF(AK59="",0,AK59*4))/(IF(AG59="",0,8)+IF(AI59="",0,6)+IF(AK59="",0,4)))</f>
        <v/>
      </c>
      <c r="AN59" s="14">
        <f>IF((IF(AH59="",0,8)+IF(AJ59="",0,6)+IF(AL59="",0,4))=0,"",(IF(AH59="",0,AH59*8)+IF(AJ59="",0,AJ59*6)+IF(AL59="",0,AL59*4))/18)</f>
        <v/>
      </c>
      <c r="AO59" s="11">
        <f>IF(OR(City_Inputs!$AB59="",Norm_Stats!$F$17="",Norm_Stats!$G$17="",Norm_Stats!$G$17=Norm_Stats!$F$17),"",MAX(0,MIN(100,100*(MIN(MAX(City_Inputs!$AB59,Norm_Stats!$F$17),Norm_Stats!$G$17)-Norm_Stats!$F$17)/(Norm_Stats!$G$17-Norm_Stats!$F$17))))</f>
        <v/>
      </c>
      <c r="AP59" s="14">
        <f>IF(AO59="","",1)</f>
        <v/>
      </c>
      <c r="AQ59" s="11">
        <f>IF(OR(City_Inputs!$AC59="",Norm_Stats!$F$18="",Norm_Stats!$G$18="",Norm_Stats!$G$18=Norm_Stats!$F$18),"",MAX(0,MIN(100,100*(MIN(MAX(City_Inputs!$AC59,Norm_Stats!$F$18),Norm_Stats!$G$18)-Norm_Stats!$F$18)/(Norm_Stats!$G$18-Norm_Stats!$F$18))))</f>
        <v/>
      </c>
      <c r="AR59" s="14">
        <f>IF(AQ59="","",1)</f>
        <v/>
      </c>
      <c r="AS59" s="11">
        <f>IF(OR(City_Inputs!$AD59="",Norm_Stats!$F$19="",Norm_Stats!$G$19="",Norm_Stats!$G$19=Norm_Stats!$F$19),"",MAX(0,MIN(100,100*(MIN(MAX(City_Inputs!$AD59,Norm_Stats!$F$19),Norm_Stats!$G$19)-Norm_Stats!$F$19)/(Norm_Stats!$G$19-Norm_Stats!$F$19))))</f>
        <v/>
      </c>
      <c r="AT59" s="14">
        <f>IF(AS59="","",1)</f>
        <v/>
      </c>
      <c r="AU59" s="11">
        <f>IF(OR(City_Inputs!$BJ59="",Norm_Stats!$F$26="",Norm_Stats!$G$26="",Norm_Stats!$G$26=Norm_Stats!$F$26),"",MAX(0,MIN(100,100*(MIN(MAX(City_Inputs!$BJ59,Norm_Stats!$F$26),Norm_Stats!$G$26)-Norm_Stats!$F$26)/(Norm_Stats!$G$26-Norm_Stats!$F$26))))</f>
        <v/>
      </c>
      <c r="AV59" s="11">
        <f>IF(AU59="","",1)</f>
        <v/>
      </c>
      <c r="AW59" s="15">
        <f>IF((IF(AO59="",0,5)+IF(AQ59="",0,5)+IF(AS59="",0,5)+IF(AU59="",0,4))=0,"",(IF(AO59="",0,AO59*5)+IF(AQ59="",0,AQ59*5)+IF(AS59="",0,AS59*5)+IF(AU59="",0,AU59*4))/(IF(AO59="",0,5)+IF(AQ59="",0,5)+IF(AS59="",0,5)+IF(AU59="",0,4)))</f>
        <v/>
      </c>
      <c r="AX59" s="14">
        <f>IF((IF(AP59="",0,5)+IF(AR59="",0,5)+IF(AT59="",0,5)+IF(AV59="",0,4))=0,"",(IF(AP59="",0,AP59*5)+IF(AR59="",0,AR59*5)+IF(AT59="",0,AT59*5)+IF(AV59="",0,AV59*4))/19)</f>
        <v/>
      </c>
      <c r="AY59" s="11">
        <f>IF(OR(City_Inputs!$AE59="",Norm_Stats!$F$20="",Norm_Stats!$G$20="",Norm_Stats!$G$20=Norm_Stats!$F$20),"",MAX(0,MIN(100,100*(MIN(MAX(City_Inputs!$AE59,Norm_Stats!$F$20),Norm_Stats!$G$20)-Norm_Stats!$F$20)/(Norm_Stats!$G$20-Norm_Stats!$F$20))))</f>
        <v/>
      </c>
      <c r="AZ59" s="14">
        <f>IF(AY59="","",1)</f>
        <v/>
      </c>
      <c r="BA59" s="11">
        <f>IF(OR(City_Inputs!$AF59="",Norm_Stats!$F$21="",Norm_Stats!$G$21="",Norm_Stats!$G$21=Norm_Stats!$F$21),"",MAX(0,MIN(100,100*(MIN(MAX(City_Inputs!$AF59,Norm_Stats!$F$21),Norm_Stats!$G$21)-Norm_Stats!$F$21)/(Norm_Stats!$G$21-Norm_Stats!$F$21))))</f>
        <v/>
      </c>
      <c r="BB59" s="14">
        <f>IF(BA59="","",1)</f>
        <v/>
      </c>
      <c r="BC59" s="11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(IF(OR(City_Inputs!$AG59="",Norm_Stats!$F$22="",Norm_Stats!$G$22="",Norm_Stats!$G$22=Norm_Stats!$F$22),"",MAX(0,MIN(100,100*(MIN(MAX(City_Inputs!$AG59,Norm_Stats!$F$22),Norm_Stats!$G$22)-Norm_Stats!$F$22)/(Norm_Stats!$G$22-Norm_Stats!$F$22)))))*0.5)+IF((IF(OR(City_Inputs!$AJ59="",Norm_Stats!$F$23="",Norm_Stats!$G$23="",Norm_Stats!$G$23=Norm_Stats!$F$23),"",MAX(0,MIN(100,100*(MIN(MAX(City_Inputs!$AJ59,Norm_Stats!$F$23),Norm_Stats!$G$23)-Norm_Stats!$F$23)/(Norm_Stats!$G$23-Norm_Stats!$F$23)))))="",0,(IF(OR(City_Inputs!$AJ59="",Norm_Stats!$F$23="",Norm_Stats!$G$23="",Norm_Stats!$G$23=Norm_Stats!$F$23),"",MAX(0,MIN(100,100*(MIN(MAX(City_Inputs!$AJ59,Norm_Stats!$F$23),Norm_Stats!$G$23)-Norm_Stats!$F$23)/(Norm_Stats!$G$23-Norm_Stats!$F$23)))))*0.3)+IF((IF(OR(City_Inputs!$AK59="",Norm_Stats!$F$24="",Norm_Stats!$G$24="",Norm_Stats!$G$24=Norm_Stats!$F$24),"",MAX(0,MIN(100,100*(MIN(MAX(City_Inputs!$AK59,Norm_Stats!$F$24),Norm_Stats!$G$24)-Norm_Stats!$F$24)/(Norm_Stats!$G$24-Norm_Stats!$F$24)))))="",0,(IF(OR(City_Inputs!$AK59="",Norm_Stats!$F$24="",Norm_Stats!$G$24="",Norm_Stats!$G$24=Norm_Stats!$F$24),"",MAX(0,MIN(100,100*(MIN(MAX(City_Inputs!$AK59,Norm_Stats!$F$24),Norm_Stats!$G$24)-Norm_Stats!$F$24)/(Norm_Stats!$G$24-Norm_Stats!$F$24)))))*0.2))/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D59" s="14">
        <f>IF(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=0,"",(IF((IF(OR(City_Inputs!$AG59="",Norm_Stats!$F$22="",Norm_Stats!$G$22="",Norm_Stats!$G$22=Norm_Stats!$F$22),"",MAX(0,MIN(100,100*(MIN(MAX(City_Inputs!$AG59,Norm_Stats!$F$22),Norm_Stats!$G$22)-Norm_Stats!$F$22)/(Norm_Stats!$G$22-Norm_Stats!$F$22)))))="",0,0.5)+IF((IF(OR(City_Inputs!$AJ59="",Norm_Stats!$F$23="",Norm_Stats!$G$23="",Norm_Stats!$G$23=Norm_Stats!$F$23),"",MAX(0,MIN(100,100*(MIN(MAX(City_Inputs!$AJ59,Norm_Stats!$F$23),Norm_Stats!$G$23)-Norm_Stats!$F$23)/(Norm_Stats!$G$23-Norm_Stats!$F$23)))))="",0,0.3)+IF((IF(OR(City_Inputs!$AK59="",Norm_Stats!$F$24="",Norm_Stats!$G$24="",Norm_Stats!$G$24=Norm_Stats!$F$24),"",MAX(0,MIN(100,100*(MIN(MAX(City_Inputs!$AK59,Norm_Stats!$F$24),Norm_Stats!$G$24)-Norm_Stats!$F$24)/(Norm_Stats!$G$24-Norm_Stats!$F$24)))))="",0,0.2)))</f>
        <v/>
      </c>
      <c r="BE59" s="11">
        <f>IF(OR(City_Inputs!$AH59="",Norm_Stats!$F$25="",Norm_Stats!$G$25="",Norm_Stats!$G$25=Norm_Stats!$F$25),"",MAX(0,MIN(100,100*(Norm_Stats!$G$25-MIN(MAX(City_Inputs!$AH59,Norm_Stats!$F$25),Norm_Stats!$G$25))/(Norm_Stats!$G$25-Norm_Stats!$F$25))))</f>
        <v/>
      </c>
      <c r="BF59" s="14">
        <f>IF(BE59="","",1)</f>
        <v/>
      </c>
      <c r="BG59" s="15">
        <f>IF((IF(AY59="",0,6)+IF(BA59="",0,5)+IF(BC59="",0,5)+IF(BE59="",0,4))=0,"",(IF(AY59="",0,AY59*6)+IF(BA59="",0,BA59*5)+IF(BC59="",0,BC59*5)+IF(BE59="",0,BE59*4))/(IF(AY59="",0,6)+IF(BA59="",0,5)+IF(BC59="",0,5)+IF(BE59="",0,4)))</f>
        <v/>
      </c>
      <c r="BH59" s="14">
        <f>IF((IF(AZ59="",0,6)+IF(BB59="",0,5)+IF(BD59="",0,5)+IF(BF59="",0,4))=0,"",(IF(AZ59="",0,AZ59*6)+IF(BB59="",0,BB59*5)+IF(BD59="",0,BD59*5)+IF(BF59="",0,BF59*4))/20)</f>
        <v/>
      </c>
      <c r="BI59" s="14">
        <f>IF(AND(R59="",AF59="",AN59="",AX59="",BH59=""),"",((R59*25)+(AF59*22)+(AN59*18)+(AX59*15)+(BH59*20))/100)</f>
        <v/>
      </c>
      <c r="BJ59" s="11">
        <f>IF(BI59="","",IF(BI59&gt;=0.75,"A",IF(BI59&gt;=0.5,"B",IF(BI59&gt;=0.35,"C","Watchlist"))))</f>
        <v/>
      </c>
      <c r="BK59" s="11">
        <f>IF(OR(BI59="",BI59&lt;0.5,R59="",R59&lt;0.35,AF59="",AF59&lt;0.35,AN59="",AN59&lt;0.35,AX59="",AX59&lt;0.35,BH59="",BH59&lt;0.35),"Watchlist","Ranked")</f>
        <v/>
      </c>
      <c r="BL59" s="15">
        <f>IF(AND(Q59="",AE59="",AM59="",AW59="",BG59=""),"",(IF(Q59="",0,Q59*25)+IF(AE59="",0,AE59*22)+IF(AM59="",0,AM59*18)+IF(AW59="",0,AW59*15)+IF(BG59="",0,BG59*20))/(IF(Q59="",0,25)+IF(AE59="",0,22)+IF(AM59="",0,18)+IF(AW59="",0,15)+IF(BG59="",0,20)))</f>
        <v/>
      </c>
      <c r="BM59" s="11">
        <f>IF(BK59="Ranked",1+COUNTIFS($BK$2:$BK$158,"Ranked",$BL$2:$BL$158,"&gt;"&amp;BL59),"")</f>
        <v/>
      </c>
      <c r="BN59" s="11">
        <f>City_Inputs!$AI59</f>
        <v/>
      </c>
    </row>
    <row r="60">
      <c r="A60" t="inlineStr">
        <is>
          <t>sk-bratislava</t>
        </is>
      </c>
      <c r="B60" t="inlineStr">
        <is>
          <t>Bratislava</t>
        </is>
      </c>
      <c r="C60" t="inlineStr">
        <is>
          <t>Slovakia</t>
        </is>
      </c>
      <c r="D60" t="inlineStr">
        <is>
          <t>Southern/Eastern Europe and Eurasia</t>
        </is>
      </c>
      <c r="E60" t="inlineStr">
        <is>
          <t>provisional</t>
        </is>
      </c>
      <c r="F60" t="inlineStr">
        <is>
          <t>secondary</t>
        </is>
      </c>
      <c r="G60" s="11">
        <f>IF(OR(City_Inputs!$M60="",Norm_Stats!$F$2="",Norm_Stats!$G$2="",Norm_Stats!$G$2=Norm_Stats!$F$2),"",MAX(0,MIN(100,100*(MIN(MAX(City_Inputs!$M60,Norm_Stats!$F$2),Norm_Stats!$G$2)-Norm_Stats!$F$2)/(Norm_Stats!$G$2-Norm_Stats!$F$2))))</f>
        <v/>
      </c>
      <c r="H60" s="14">
        <f>IF(G60="","",1)</f>
        <v/>
      </c>
      <c r="I60" s="11">
        <f>IF(OR(City_Inputs!$N60="",Norm_Stats!$F$3="",Norm_Stats!$G$3="",Norm_Stats!$G$3=Norm_Stats!$F$3),"",MAX(0,MIN(100,100*(Norm_Stats!$G$3-MIN(MAX(City_Inputs!$N60,Norm_Stats!$F$3),Norm_Stats!$G$3))/(Norm_Stats!$G$3-Norm_Stats!$F$3))))</f>
        <v/>
      </c>
      <c r="J60" s="14">
        <f>IF(I60="","",1)</f>
        <v/>
      </c>
      <c r="K60" s="11">
        <f>IF(OR(City_Inputs!$P60="",Norm_Stats!$F$4="",Norm_Stats!$G$4="",Norm_Stats!$G$4=Norm_Stats!$F$4),"",MAX(0,MIN(100,100*(Norm_Stats!$G$4-MIN(MAX(City_Inputs!$P60,Norm_Stats!$F$4),Norm_Stats!$G$4))/(Norm_Stats!$G$4-Norm_Stats!$F$4))))</f>
        <v/>
      </c>
      <c r="L60" s="14">
        <f>IF(K60="","",1)</f>
        <v/>
      </c>
      <c r="M60" s="11">
        <f>IF(OR(City_Inputs!$Q60="",Norm_Stats!$F$5="",Norm_Stats!$G$5="",Norm_Stats!$G$5=Norm_Stats!$F$5),"",MAX(0,MIN(100,100*(Norm_Stats!$G$5-MIN(MAX(City_Inputs!$Q60,Norm_Stats!$F$5),Norm_Stats!$G$5))/(Norm_Stats!$G$5-Norm_Stats!$F$5))))</f>
        <v/>
      </c>
      <c r="N60" s="14">
        <f>IF(M60="","",1)</f>
        <v/>
      </c>
      <c r="O60" s="11">
        <f>IF(OR(City_Inputs!$R60="",Norm_Stats!$F$6="",Norm_Stats!$G$6="",Norm_Stats!$G$6=Norm_Stats!$F$6),"",MAX(0,MIN(100,100*(Norm_Stats!$G$6-MIN(MAX(City_Inputs!$R60,Norm_Stats!$F$6),Norm_Stats!$G$6))/(Norm_Stats!$G$6-Norm_Stats!$F$6))))</f>
        <v/>
      </c>
      <c r="P60" s="14">
        <f>IF(O60="","",1)</f>
        <v/>
      </c>
      <c r="Q60" s="15">
        <f>IF((IF(G60="",0,9)+IF(I60="",0,5)+IF(K60="",0,4)+IF(M60="",0,4)+IF(O60="",0,5))=0,"",(IF(G60="",0,G60*9)+IF(I60="",0,I60*5)+IF(K60="",0,K60*4)+IF(M60="",0,M60*4)+IF(O60="",0,O60*5))/(IF(G60="",0,9)+IF(I60="",0,5)+IF(K60="",0,4)+IF(M60="",0,4)+IF(O60="",0,5)))</f>
        <v/>
      </c>
      <c r="R60" s="14">
        <f>IF((IF(H60="",0,9)+IF(J60="",0,5)+IF(L60="",0,4)+IF(N60="",0,4)+IF(P60="",0,5))=0,"",(IF(H60="",0,H60*9)+IF(J60="",0,J60*5)+IF(L60="",0,L60*4)+IF(N60="",0,N60*4)+IF(P60="",0,P60*5))/27)</f>
        <v/>
      </c>
      <c r="S60" s="11">
        <f>IF(OR(City_Inputs!$S60="",Norm_Stats!$F$7="",Norm_Stats!$G$7="",Norm_Stats!$G$7=Norm_Stats!$F$7),"",MAX(0,MIN(100,100*(Norm_Stats!$G$7-MIN(MAX(City_Inputs!$S60,Norm_Stats!$F$7),Norm_Stats!$G$7))/(Norm_Stats!$G$7-Norm_Stats!$F$7))))</f>
        <v/>
      </c>
      <c r="T60" s="14">
        <f>IF(S60="","",1)</f>
        <v/>
      </c>
      <c r="U60" s="11">
        <f>IF(OR(City_Inputs!$T60="",Norm_Stats!$F$8="",Norm_Stats!$G$8="",Norm_Stats!$G$8=Norm_Stats!$F$8),"",MAX(0,MIN(100,100*(MIN(MAX(City_Inputs!$T60,Norm_Stats!$F$8),Norm_Stats!$G$8)-Norm_Stats!$F$8)/(Norm_Stats!$G$8-Norm_Stats!$F$8))))</f>
        <v/>
      </c>
      <c r="V60" s="14">
        <f>IF(U60="","",1)</f>
        <v/>
      </c>
      <c r="W60" s="11">
        <f>IF(OR(City_Inputs!$U60="",Norm_Stats!$F$9="",Norm_Stats!$G$9="",Norm_Stats!$G$9=Norm_Stats!$F$9),"",MAX(0,MIN(100,100*(Norm_Stats!$G$9-MIN(MAX(City_Inputs!$U60,Norm_Stats!$F$9),Norm_Stats!$G$9))/(Norm_Stats!$G$9-Norm_Stats!$F$9))))</f>
        <v/>
      </c>
      <c r="X60" s="14">
        <f>IF(W60="","",1)</f>
        <v/>
      </c>
      <c r="Y60" s="11">
        <f>IF(OR(City_Inputs!$V60="",Norm_Stats!$F$10="",Norm_Stats!$G$10="",Norm_Stats!$G$10=Norm_Stats!$F$10),"",MAX(0,MIN(100,100*(MIN(MAX(City_Inputs!$V60,Norm_Stats!$F$10),Norm_Stats!$G$10)-Norm_Stats!$F$10)/(Norm_Stats!$G$10-Norm_Stats!$F$10))))</f>
        <v/>
      </c>
      <c r="Z60" s="14">
        <f>IF(Y60="","",1)</f>
        <v/>
      </c>
      <c r="AA60" s="11">
        <f>IF(OR(City_Inputs!$W60="",Norm_Stats!$F$11="",Norm_Stats!$G$11="",Norm_Stats!$G$11=Norm_Stats!$F$11),"",MAX(0,MIN(100,100*(MIN(MAX(City_Inputs!$W60,Norm_Stats!$F$11),Norm_Stats!$G$11)-Norm_Stats!$F$11)/(Norm_Stats!$G$11-Norm_Stats!$F$11))))</f>
        <v/>
      </c>
      <c r="AB60" s="14">
        <f>IF(AA60="","",1)</f>
        <v/>
      </c>
      <c r="AC60" s="11">
        <f>IF(OR(City_Inputs!$X60="",Norm_Stats!$F$12="",Norm_Stats!$G$12="",Norm_Stats!$G$12=Norm_Stats!$F$12),"",MAX(0,MIN(100,100*(MIN(MAX(City_Inputs!$X60,Norm_Stats!$F$12),Norm_Stats!$G$12)-Norm_Stats!$F$12)/(Norm_Stats!$G$12-Norm_Stats!$F$12))))</f>
        <v/>
      </c>
      <c r="AD60" s="11">
        <f>IF(AC60="","",1)</f>
        <v/>
      </c>
      <c r="AE60" s="15">
        <f>IF((IF(S60="",0,5)+IF(U60="",0,5)+IF(W60="",0,4)+IF(Y60="",0,4)+IF(AA60="",0,4)+IF(AC60="",0,5))=0,"",(IF(S60="",0,S60*5)+IF(U60="",0,U60*5)+IF(W60="",0,W60*4)+IF(Y60="",0,Y60*4)+IF(AA60="",0,AA60*4)+IF(AC60="",0,AC60*5))/(IF(S60="",0,5)+IF(U60="",0,5)+IF(W60="",0,4)+IF(Y60="",0,4)+IF(AA60="",0,4)+IF(AC60="",0,5)))</f>
        <v/>
      </c>
      <c r="AF60" s="14">
        <f>IF((IF(T60="",0,5)+IF(V60="",0,5)+IF(X60="",0,4)+IF(Z60="",0,4)+IF(AB60="",0,4)+IF(AD60="",0,5))=0,"",(IF(T60="",0,T60*5)+IF(V60="",0,V60*5)+IF(X60="",0,X60*4)+IF(Z60="",0,Z60*4)+IF(AB60="",0,AB60*4)+IF(AD60="",0,AD60*5))/27)</f>
        <v/>
      </c>
      <c r="AG60" s="11">
        <f>IF(OR(City_Inputs!$Y60="",Norm_Stats!$F$13="",Norm_Stats!$G$13="",Norm_Stats!$G$13=Norm_Stats!$F$13),"",MAX(0,MIN(100,100*(MIN(MAX(City_Inputs!$Y60,Norm_Stats!$F$13),Norm_Stats!$G$13)-Norm_Stats!$F$13)/(Norm_Stats!$G$13-Norm_Stats!$F$13))))</f>
        <v/>
      </c>
      <c r="AH60" s="14">
        <f>IF(AG60="","",1)</f>
        <v/>
      </c>
      <c r="AI60" s="11">
        <f>IF(OR(City_Inputs!$Z60="",Norm_Stats!$F$14="",Norm_Stats!$G$14="",Norm_Stats!$G$14=Norm_Stats!$F$14),"",MAX(0,MIN(100,100*(MIN(MAX(City_Inputs!$Z60,Norm_Stats!$F$14),Norm_Stats!$G$14)-Norm_Stats!$F$14)/(Norm_Stats!$G$14-Norm_Stats!$F$14))))</f>
        <v/>
      </c>
      <c r="AJ60" s="14">
        <f>IF(AI60="","",1)</f>
        <v/>
      </c>
      <c r="AK60" s="11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(IF(OR(City_Inputs!$AA60="",Norm_Stats!$F$15="",Norm_Stats!$G$15="",Norm_Stats!$G$15=Norm_Stats!$F$15),"",MAX(0,MIN(100,100*(MIN(MAX(City_Inputs!$AA60,Norm_Stats!$F$15),Norm_Stats!$G$15)-Norm_Stats!$F$15)/(Norm_Stats!$G$15-Norm_Stats!$F$15)))))*0.7)+IF((IF(OR(City_Inputs!$AL60="",Norm_Stats!$F$16="",Norm_Stats!$G$16="",Norm_Stats!$G$16=Norm_Stats!$F$16),"",MAX(0,MIN(100,100*(Norm_Stats!$G$16-MIN(MAX(City_Inputs!$AL60,Norm_Stats!$F$16),Norm_Stats!$G$16))/(Norm_Stats!$G$16-Norm_Stats!$F$16)))))="",0,(IF(OR(City_Inputs!$AL60="",Norm_Stats!$F$16="",Norm_Stats!$G$16="",Norm_Stats!$G$16=Norm_Stats!$F$16),"",MAX(0,MIN(100,100*(Norm_Stats!$G$16-MIN(MAX(City_Inputs!$AL60,Norm_Stats!$F$16),Norm_Stats!$G$16))/(Norm_Stats!$G$16-Norm_Stats!$F$16)))))*0.3))/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L60" s="14">
        <f>IF(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=0,"",(IF((IF(OR(City_Inputs!$AA60="",Norm_Stats!$F$15="",Norm_Stats!$G$15="",Norm_Stats!$G$15=Norm_Stats!$F$15),"",MAX(0,MIN(100,100*(MIN(MAX(City_Inputs!$AA60,Norm_Stats!$F$15),Norm_Stats!$G$15)-Norm_Stats!$F$15)/(Norm_Stats!$G$15-Norm_Stats!$F$15)))))="",0,0.7)+IF((IF(OR(City_Inputs!$AL60="",Norm_Stats!$F$16="",Norm_Stats!$G$16="",Norm_Stats!$G$16=Norm_Stats!$F$16),"",MAX(0,MIN(100,100*(Norm_Stats!$G$16-MIN(MAX(City_Inputs!$AL60,Norm_Stats!$F$16),Norm_Stats!$G$16))/(Norm_Stats!$G$16-Norm_Stats!$F$16)))))="",0,0.3)))</f>
        <v/>
      </c>
      <c r="AM60" s="15">
        <f>IF((IF(AG60="",0,8)+IF(AI60="",0,6)+IF(AK60="",0,4))=0,"",(IF(AG60="",0,AG60*8)+IF(AI60="",0,AI60*6)+IF(AK60="",0,AK60*4))/(IF(AG60="",0,8)+IF(AI60="",0,6)+IF(AK60="",0,4)))</f>
        <v/>
      </c>
      <c r="AN60" s="14">
        <f>IF((IF(AH60="",0,8)+IF(AJ60="",0,6)+IF(AL60="",0,4))=0,"",(IF(AH60="",0,AH60*8)+IF(AJ60="",0,AJ60*6)+IF(AL60="",0,AL60*4))/18)</f>
        <v/>
      </c>
      <c r="AO60" s="11">
        <f>IF(OR(City_Inputs!$AB60="",Norm_Stats!$F$17="",Norm_Stats!$G$17="",Norm_Stats!$G$17=Norm_Stats!$F$17),"",MAX(0,MIN(100,100*(MIN(MAX(City_Inputs!$AB60,Norm_Stats!$F$17),Norm_Stats!$G$17)-Norm_Stats!$F$17)/(Norm_Stats!$G$17-Norm_Stats!$F$17))))</f>
        <v/>
      </c>
      <c r="AP60" s="14">
        <f>IF(AO60="","",1)</f>
        <v/>
      </c>
      <c r="AQ60" s="11">
        <f>IF(OR(City_Inputs!$AC60="",Norm_Stats!$F$18="",Norm_Stats!$G$18="",Norm_Stats!$G$18=Norm_Stats!$F$18),"",MAX(0,MIN(100,100*(MIN(MAX(City_Inputs!$AC60,Norm_Stats!$F$18),Norm_Stats!$G$18)-Norm_Stats!$F$18)/(Norm_Stats!$G$18-Norm_Stats!$F$18))))</f>
        <v/>
      </c>
      <c r="AR60" s="14">
        <f>IF(AQ60="","",1)</f>
        <v/>
      </c>
      <c r="AS60" s="11">
        <f>IF(OR(City_Inputs!$AD60="",Norm_Stats!$F$19="",Norm_Stats!$G$19="",Norm_Stats!$G$19=Norm_Stats!$F$19),"",MAX(0,MIN(100,100*(MIN(MAX(City_Inputs!$AD60,Norm_Stats!$F$19),Norm_Stats!$G$19)-Norm_Stats!$F$19)/(Norm_Stats!$G$19-Norm_Stats!$F$19))))</f>
        <v/>
      </c>
      <c r="AT60" s="14">
        <f>IF(AS60="","",1)</f>
        <v/>
      </c>
      <c r="AU60" s="11">
        <f>IF(OR(City_Inputs!$BJ60="",Norm_Stats!$F$26="",Norm_Stats!$G$26="",Norm_Stats!$G$26=Norm_Stats!$F$26),"",MAX(0,MIN(100,100*(MIN(MAX(City_Inputs!$BJ60,Norm_Stats!$F$26),Norm_Stats!$G$26)-Norm_Stats!$F$26)/(Norm_Stats!$G$26-Norm_Stats!$F$26))))</f>
        <v/>
      </c>
      <c r="AV60" s="11">
        <f>IF(AU60="","",1)</f>
        <v/>
      </c>
      <c r="AW60" s="15">
        <f>IF((IF(AO60="",0,5)+IF(AQ60="",0,5)+IF(AS60="",0,5)+IF(AU60="",0,4))=0,"",(IF(AO60="",0,AO60*5)+IF(AQ60="",0,AQ60*5)+IF(AS60="",0,AS60*5)+IF(AU60="",0,AU60*4))/(IF(AO60="",0,5)+IF(AQ60="",0,5)+IF(AS60="",0,5)+IF(AU60="",0,4)))</f>
        <v/>
      </c>
      <c r="AX60" s="14">
        <f>IF((IF(AP60="",0,5)+IF(AR60="",0,5)+IF(AT60="",0,5)+IF(AV60="",0,4))=0,"",(IF(AP60="",0,AP60*5)+IF(AR60="",0,AR60*5)+IF(AT60="",0,AT60*5)+IF(AV60="",0,AV60*4))/19)</f>
        <v/>
      </c>
      <c r="AY60" s="11">
        <f>IF(OR(City_Inputs!$AE60="",Norm_Stats!$F$20="",Norm_Stats!$G$20="",Norm_Stats!$G$20=Norm_Stats!$F$20),"",MAX(0,MIN(100,100*(MIN(MAX(City_Inputs!$AE60,Norm_Stats!$F$20),Norm_Stats!$G$20)-Norm_Stats!$F$20)/(Norm_Stats!$G$20-Norm_Stats!$F$20))))</f>
        <v/>
      </c>
      <c r="AZ60" s="14">
        <f>IF(AY60="","",1)</f>
        <v/>
      </c>
      <c r="BA60" s="11">
        <f>IF(OR(City_Inputs!$AF60="",Norm_Stats!$F$21="",Norm_Stats!$G$21="",Norm_Stats!$G$21=Norm_Stats!$F$21),"",MAX(0,MIN(100,100*(MIN(MAX(City_Inputs!$AF60,Norm_Stats!$F$21),Norm_Stats!$G$21)-Norm_Stats!$F$21)/(Norm_Stats!$G$21-Norm_Stats!$F$21))))</f>
        <v/>
      </c>
      <c r="BB60" s="14">
        <f>IF(BA60="","",1)</f>
        <v/>
      </c>
      <c r="BC60" s="11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(IF(OR(City_Inputs!$AG60="",Norm_Stats!$F$22="",Norm_Stats!$G$22="",Norm_Stats!$G$22=Norm_Stats!$F$22),"",MAX(0,MIN(100,100*(MIN(MAX(City_Inputs!$AG60,Norm_Stats!$F$22),Norm_Stats!$G$22)-Norm_Stats!$F$22)/(Norm_Stats!$G$22-Norm_Stats!$F$22)))))*0.5)+IF((IF(OR(City_Inputs!$AJ60="",Norm_Stats!$F$23="",Norm_Stats!$G$23="",Norm_Stats!$G$23=Norm_Stats!$F$23),"",MAX(0,MIN(100,100*(MIN(MAX(City_Inputs!$AJ60,Norm_Stats!$F$23),Norm_Stats!$G$23)-Norm_Stats!$F$23)/(Norm_Stats!$G$23-Norm_Stats!$F$23)))))="",0,(IF(OR(City_Inputs!$AJ60="",Norm_Stats!$F$23="",Norm_Stats!$G$23="",Norm_Stats!$G$23=Norm_Stats!$F$23),"",MAX(0,MIN(100,100*(MIN(MAX(City_Inputs!$AJ60,Norm_Stats!$F$23),Norm_Stats!$G$23)-Norm_Stats!$F$23)/(Norm_Stats!$G$23-Norm_Stats!$F$23)))))*0.3)+IF((IF(OR(City_Inputs!$AK60="",Norm_Stats!$F$24="",Norm_Stats!$G$24="",Norm_Stats!$G$24=Norm_Stats!$F$24),"",MAX(0,MIN(100,100*(MIN(MAX(City_Inputs!$AK60,Norm_Stats!$F$24),Norm_Stats!$G$24)-Norm_Stats!$F$24)/(Norm_Stats!$G$24-Norm_Stats!$F$24)))))="",0,(IF(OR(City_Inputs!$AK60="",Norm_Stats!$F$24="",Norm_Stats!$G$24="",Norm_Stats!$G$24=Norm_Stats!$F$24),"",MAX(0,MIN(100,100*(MIN(MAX(City_Inputs!$AK60,Norm_Stats!$F$24),Norm_Stats!$G$24)-Norm_Stats!$F$24)/(Norm_Stats!$G$24-Norm_Stats!$F$24)))))*0.2))/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D60" s="14">
        <f>IF(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=0,"",(IF((IF(OR(City_Inputs!$AG60="",Norm_Stats!$F$22="",Norm_Stats!$G$22="",Norm_Stats!$G$22=Norm_Stats!$F$22),"",MAX(0,MIN(100,100*(MIN(MAX(City_Inputs!$AG60,Norm_Stats!$F$22),Norm_Stats!$G$22)-Norm_Stats!$F$22)/(Norm_Stats!$G$22-Norm_Stats!$F$22)))))="",0,0.5)+IF((IF(OR(City_Inputs!$AJ60="",Norm_Stats!$F$23="",Norm_Stats!$G$23="",Norm_Stats!$G$23=Norm_Stats!$F$23),"",MAX(0,MIN(100,100*(MIN(MAX(City_Inputs!$AJ60,Norm_Stats!$F$23),Norm_Stats!$G$23)-Norm_Stats!$F$23)/(Norm_Stats!$G$23-Norm_Stats!$F$23)))))="",0,0.3)+IF((IF(OR(City_Inputs!$AK60="",Norm_Stats!$F$24="",Norm_Stats!$G$24="",Norm_Stats!$G$24=Norm_Stats!$F$24),"",MAX(0,MIN(100,100*(MIN(MAX(City_Inputs!$AK60,Norm_Stats!$F$24),Norm_Stats!$G$24)-Norm_Stats!$F$24)/(Norm_Stats!$G$24-Norm_Stats!$F$24)))))="",0,0.2)))</f>
        <v/>
      </c>
      <c r="BE60" s="11">
        <f>IF(OR(City_Inputs!$AH60="",Norm_Stats!$F$25="",Norm_Stats!$G$25="",Norm_Stats!$G$25=Norm_Stats!$F$25),"",MAX(0,MIN(100,100*(Norm_Stats!$G$25-MIN(MAX(City_Inputs!$AH60,Norm_Stats!$F$25),Norm_Stats!$G$25))/(Norm_Stats!$G$25-Norm_Stats!$F$25))))</f>
        <v/>
      </c>
      <c r="BF60" s="14">
        <f>IF(BE60="","",1)</f>
        <v/>
      </c>
      <c r="BG60" s="15">
        <f>IF((IF(AY60="",0,6)+IF(BA60="",0,5)+IF(BC60="",0,5)+IF(BE60="",0,4))=0,"",(IF(AY60="",0,AY60*6)+IF(BA60="",0,BA60*5)+IF(BC60="",0,BC60*5)+IF(BE60="",0,BE60*4))/(IF(AY60="",0,6)+IF(BA60="",0,5)+IF(BC60="",0,5)+IF(BE60="",0,4)))</f>
        <v/>
      </c>
      <c r="BH60" s="14">
        <f>IF((IF(AZ60="",0,6)+IF(BB60="",0,5)+IF(BD60="",0,5)+IF(BF60="",0,4))=0,"",(IF(AZ60="",0,AZ60*6)+IF(BB60="",0,BB60*5)+IF(BD60="",0,BD60*5)+IF(BF60="",0,BF60*4))/20)</f>
        <v/>
      </c>
      <c r="BI60" s="14">
        <f>IF(AND(R60="",AF60="",AN60="",AX60="",BH60=""),"",((R60*25)+(AF60*22)+(AN60*18)+(AX60*15)+(BH60*20))/100)</f>
        <v/>
      </c>
      <c r="BJ60" s="11">
        <f>IF(BI60="","",IF(BI60&gt;=0.75,"A",IF(BI60&gt;=0.5,"B",IF(BI60&gt;=0.35,"C","Watchlist"))))</f>
        <v/>
      </c>
      <c r="BK60" s="11">
        <f>IF(OR(BI60="",BI60&lt;0.5,R60="",R60&lt;0.35,AF60="",AF60&lt;0.35,AN60="",AN60&lt;0.35,AX60="",AX60&lt;0.35,BH60="",BH60&lt;0.35),"Watchlist","Ranked")</f>
        <v/>
      </c>
      <c r="BL60" s="15">
        <f>IF(AND(Q60="",AE60="",AM60="",AW60="",BG60=""),"",(IF(Q60="",0,Q60*25)+IF(AE60="",0,AE60*22)+IF(AM60="",0,AM60*18)+IF(AW60="",0,AW60*15)+IF(BG60="",0,BG60*20))/(IF(Q60="",0,25)+IF(AE60="",0,22)+IF(AM60="",0,18)+IF(AW60="",0,15)+IF(BG60="",0,20)))</f>
        <v/>
      </c>
      <c r="BM60" s="11">
        <f>IF(BK60="Ranked",1+COUNTIFS($BK$2:$BK$158,"Ranked",$BL$2:$BL$158,"&gt;"&amp;BL60),"")</f>
        <v/>
      </c>
      <c r="BN60" s="11">
        <f>City_Inputs!$AI60</f>
        <v/>
      </c>
    </row>
    <row r="61">
      <c r="A61" t="inlineStr">
        <is>
          <t>us-chicago</t>
        </is>
      </c>
      <c r="B61" t="inlineStr">
        <is>
          <t>Chicago</t>
        </is>
      </c>
      <c r="C61" t="inlineStr">
        <is>
          <t>United States</t>
        </is>
      </c>
      <c r="D61" t="inlineStr">
        <is>
          <t>North America</t>
        </is>
      </c>
      <c r="E61" t="inlineStr">
        <is>
          <t>locked</t>
        </is>
      </c>
      <c r="F61" t="inlineStr">
        <is>
          <t>primary</t>
        </is>
      </c>
      <c r="G61" s="11">
        <f>IF(OR(City_Inputs!$M61="",Norm_Stats!$F$2="",Norm_Stats!$G$2="",Norm_Stats!$G$2=Norm_Stats!$F$2),"",MAX(0,MIN(100,100*(MIN(MAX(City_Inputs!$M61,Norm_Stats!$F$2),Norm_Stats!$G$2)-Norm_Stats!$F$2)/(Norm_Stats!$G$2-Norm_Stats!$F$2))))</f>
        <v/>
      </c>
      <c r="H61" s="14">
        <f>IF(G61="","",1)</f>
        <v/>
      </c>
      <c r="I61" s="11">
        <f>IF(OR(City_Inputs!$N61="",Norm_Stats!$F$3="",Norm_Stats!$G$3="",Norm_Stats!$G$3=Norm_Stats!$F$3),"",MAX(0,MIN(100,100*(Norm_Stats!$G$3-MIN(MAX(City_Inputs!$N61,Norm_Stats!$F$3),Norm_Stats!$G$3))/(Norm_Stats!$G$3-Norm_Stats!$F$3))))</f>
        <v/>
      </c>
      <c r="J61" s="14">
        <f>IF(I61="","",1)</f>
        <v/>
      </c>
      <c r="K61" s="11">
        <f>IF(OR(City_Inputs!$P61="",Norm_Stats!$F$4="",Norm_Stats!$G$4="",Norm_Stats!$G$4=Norm_Stats!$F$4),"",MAX(0,MIN(100,100*(Norm_Stats!$G$4-MIN(MAX(City_Inputs!$P61,Norm_Stats!$F$4),Norm_Stats!$G$4))/(Norm_Stats!$G$4-Norm_Stats!$F$4))))</f>
        <v/>
      </c>
      <c r="L61" s="14">
        <f>IF(K61="","",1)</f>
        <v/>
      </c>
      <c r="M61" s="11">
        <f>IF(OR(City_Inputs!$Q61="",Norm_Stats!$F$5="",Norm_Stats!$G$5="",Norm_Stats!$G$5=Norm_Stats!$F$5),"",MAX(0,MIN(100,100*(Norm_Stats!$G$5-MIN(MAX(City_Inputs!$Q61,Norm_Stats!$F$5),Norm_Stats!$G$5))/(Norm_Stats!$G$5-Norm_Stats!$F$5))))</f>
        <v/>
      </c>
      <c r="N61" s="14">
        <f>IF(M61="","",1)</f>
        <v/>
      </c>
      <c r="O61" s="11">
        <f>IF(OR(City_Inputs!$R61="",Norm_Stats!$F$6="",Norm_Stats!$G$6="",Norm_Stats!$G$6=Norm_Stats!$F$6),"",MAX(0,MIN(100,100*(Norm_Stats!$G$6-MIN(MAX(City_Inputs!$R61,Norm_Stats!$F$6),Norm_Stats!$G$6))/(Norm_Stats!$G$6-Norm_Stats!$F$6))))</f>
        <v/>
      </c>
      <c r="P61" s="14">
        <f>IF(O61="","",1)</f>
        <v/>
      </c>
      <c r="Q61" s="15">
        <f>IF((IF(G61="",0,9)+IF(I61="",0,5)+IF(K61="",0,4)+IF(M61="",0,4)+IF(O61="",0,5))=0,"",(IF(G61="",0,G61*9)+IF(I61="",0,I61*5)+IF(K61="",0,K61*4)+IF(M61="",0,M61*4)+IF(O61="",0,O61*5))/(IF(G61="",0,9)+IF(I61="",0,5)+IF(K61="",0,4)+IF(M61="",0,4)+IF(O61="",0,5)))</f>
        <v/>
      </c>
      <c r="R61" s="14">
        <f>IF((IF(H61="",0,9)+IF(J61="",0,5)+IF(L61="",0,4)+IF(N61="",0,4)+IF(P61="",0,5))=0,"",(IF(H61="",0,H61*9)+IF(J61="",0,J61*5)+IF(L61="",0,L61*4)+IF(N61="",0,N61*4)+IF(P61="",0,P61*5))/27)</f>
        <v/>
      </c>
      <c r="S61" s="11">
        <f>IF(OR(City_Inputs!$S61="",Norm_Stats!$F$7="",Norm_Stats!$G$7="",Norm_Stats!$G$7=Norm_Stats!$F$7),"",MAX(0,MIN(100,100*(Norm_Stats!$G$7-MIN(MAX(City_Inputs!$S61,Norm_Stats!$F$7),Norm_Stats!$G$7))/(Norm_Stats!$G$7-Norm_Stats!$F$7))))</f>
        <v/>
      </c>
      <c r="T61" s="14">
        <f>IF(S61="","",1)</f>
        <v/>
      </c>
      <c r="U61" s="11">
        <f>IF(OR(City_Inputs!$T61="",Norm_Stats!$F$8="",Norm_Stats!$G$8="",Norm_Stats!$G$8=Norm_Stats!$F$8),"",MAX(0,MIN(100,100*(MIN(MAX(City_Inputs!$T61,Norm_Stats!$F$8),Norm_Stats!$G$8)-Norm_Stats!$F$8)/(Norm_Stats!$G$8-Norm_Stats!$F$8))))</f>
        <v/>
      </c>
      <c r="V61" s="14">
        <f>IF(U61="","",1)</f>
        <v/>
      </c>
      <c r="W61" s="11">
        <f>IF(OR(City_Inputs!$U61="",Norm_Stats!$F$9="",Norm_Stats!$G$9="",Norm_Stats!$G$9=Norm_Stats!$F$9),"",MAX(0,MIN(100,100*(Norm_Stats!$G$9-MIN(MAX(City_Inputs!$U61,Norm_Stats!$F$9),Norm_Stats!$G$9))/(Norm_Stats!$G$9-Norm_Stats!$F$9))))</f>
        <v/>
      </c>
      <c r="X61" s="14">
        <f>IF(W61="","",1)</f>
        <v/>
      </c>
      <c r="Y61" s="11">
        <f>IF(OR(City_Inputs!$V61="",Norm_Stats!$F$10="",Norm_Stats!$G$10="",Norm_Stats!$G$10=Norm_Stats!$F$10),"",MAX(0,MIN(100,100*(MIN(MAX(City_Inputs!$V61,Norm_Stats!$F$10),Norm_Stats!$G$10)-Norm_Stats!$F$10)/(Norm_Stats!$G$10-Norm_Stats!$F$10))))</f>
        <v/>
      </c>
      <c r="Z61" s="14">
        <f>IF(Y61="","",1)</f>
        <v/>
      </c>
      <c r="AA61" s="11">
        <f>IF(OR(City_Inputs!$W61="",Norm_Stats!$F$11="",Norm_Stats!$G$11="",Norm_Stats!$G$11=Norm_Stats!$F$11),"",MAX(0,MIN(100,100*(MIN(MAX(City_Inputs!$W61,Norm_Stats!$F$11),Norm_Stats!$G$11)-Norm_Stats!$F$11)/(Norm_Stats!$G$11-Norm_Stats!$F$11))))</f>
        <v/>
      </c>
      <c r="AB61" s="14">
        <f>IF(AA61="","",1)</f>
        <v/>
      </c>
      <c r="AC61" s="11">
        <f>IF(OR(City_Inputs!$X61="",Norm_Stats!$F$12="",Norm_Stats!$G$12="",Norm_Stats!$G$12=Norm_Stats!$F$12),"",MAX(0,MIN(100,100*(MIN(MAX(City_Inputs!$X61,Norm_Stats!$F$12),Norm_Stats!$G$12)-Norm_Stats!$F$12)/(Norm_Stats!$G$12-Norm_Stats!$F$12))))</f>
        <v/>
      </c>
      <c r="AD61" s="11">
        <f>IF(AC61="","",1)</f>
        <v/>
      </c>
      <c r="AE61" s="15">
        <f>IF((IF(S61="",0,5)+IF(U61="",0,5)+IF(W61="",0,4)+IF(Y61="",0,4)+IF(AA61="",0,4)+IF(AC61="",0,5))=0,"",(IF(S61="",0,S61*5)+IF(U61="",0,U61*5)+IF(W61="",0,W61*4)+IF(Y61="",0,Y61*4)+IF(AA61="",0,AA61*4)+IF(AC61="",0,AC61*5))/(IF(S61="",0,5)+IF(U61="",0,5)+IF(W61="",0,4)+IF(Y61="",0,4)+IF(AA61="",0,4)+IF(AC61="",0,5)))</f>
        <v/>
      </c>
      <c r="AF61" s="14">
        <f>IF((IF(T61="",0,5)+IF(V61="",0,5)+IF(X61="",0,4)+IF(Z61="",0,4)+IF(AB61="",0,4)+IF(AD61="",0,5))=0,"",(IF(T61="",0,T61*5)+IF(V61="",0,V61*5)+IF(X61="",0,X61*4)+IF(Z61="",0,Z61*4)+IF(AB61="",0,AB61*4)+IF(AD61="",0,AD61*5))/27)</f>
        <v/>
      </c>
      <c r="AG61" s="11">
        <f>IF(OR(City_Inputs!$Y61="",Norm_Stats!$F$13="",Norm_Stats!$G$13="",Norm_Stats!$G$13=Norm_Stats!$F$13),"",MAX(0,MIN(100,100*(MIN(MAX(City_Inputs!$Y61,Norm_Stats!$F$13),Norm_Stats!$G$13)-Norm_Stats!$F$13)/(Norm_Stats!$G$13-Norm_Stats!$F$13))))</f>
        <v/>
      </c>
      <c r="AH61" s="14">
        <f>IF(AG61="","",1)</f>
        <v/>
      </c>
      <c r="AI61" s="11">
        <f>IF(OR(City_Inputs!$Z61="",Norm_Stats!$F$14="",Norm_Stats!$G$14="",Norm_Stats!$G$14=Norm_Stats!$F$14),"",MAX(0,MIN(100,100*(MIN(MAX(City_Inputs!$Z61,Norm_Stats!$F$14),Norm_Stats!$G$14)-Norm_Stats!$F$14)/(Norm_Stats!$G$14-Norm_Stats!$F$14))))</f>
        <v/>
      </c>
      <c r="AJ61" s="14">
        <f>IF(AI61="","",1)</f>
        <v/>
      </c>
      <c r="AK61" s="11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(IF(OR(City_Inputs!$AA61="",Norm_Stats!$F$15="",Norm_Stats!$G$15="",Norm_Stats!$G$15=Norm_Stats!$F$15),"",MAX(0,MIN(100,100*(MIN(MAX(City_Inputs!$AA61,Norm_Stats!$F$15),Norm_Stats!$G$15)-Norm_Stats!$F$15)/(Norm_Stats!$G$15-Norm_Stats!$F$15)))))*0.7)+IF((IF(OR(City_Inputs!$AL61="",Norm_Stats!$F$16="",Norm_Stats!$G$16="",Norm_Stats!$G$16=Norm_Stats!$F$16),"",MAX(0,MIN(100,100*(Norm_Stats!$G$16-MIN(MAX(City_Inputs!$AL61,Norm_Stats!$F$16),Norm_Stats!$G$16))/(Norm_Stats!$G$16-Norm_Stats!$F$16)))))="",0,(IF(OR(City_Inputs!$AL61="",Norm_Stats!$F$16="",Norm_Stats!$G$16="",Norm_Stats!$G$16=Norm_Stats!$F$16),"",MAX(0,MIN(100,100*(Norm_Stats!$G$16-MIN(MAX(City_Inputs!$AL61,Norm_Stats!$F$16),Norm_Stats!$G$16))/(Norm_Stats!$G$16-Norm_Stats!$F$16)))))*0.3))/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L61" s="14">
        <f>IF(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=0,"",(IF((IF(OR(City_Inputs!$AA61="",Norm_Stats!$F$15="",Norm_Stats!$G$15="",Norm_Stats!$G$15=Norm_Stats!$F$15),"",MAX(0,MIN(100,100*(MIN(MAX(City_Inputs!$AA61,Norm_Stats!$F$15),Norm_Stats!$G$15)-Norm_Stats!$F$15)/(Norm_Stats!$G$15-Norm_Stats!$F$15)))))="",0,0.7)+IF((IF(OR(City_Inputs!$AL61="",Norm_Stats!$F$16="",Norm_Stats!$G$16="",Norm_Stats!$G$16=Norm_Stats!$F$16),"",MAX(0,MIN(100,100*(Norm_Stats!$G$16-MIN(MAX(City_Inputs!$AL61,Norm_Stats!$F$16),Norm_Stats!$G$16))/(Norm_Stats!$G$16-Norm_Stats!$F$16)))))="",0,0.3)))</f>
        <v/>
      </c>
      <c r="AM61" s="15">
        <f>IF((IF(AG61="",0,8)+IF(AI61="",0,6)+IF(AK61="",0,4))=0,"",(IF(AG61="",0,AG61*8)+IF(AI61="",0,AI61*6)+IF(AK61="",0,AK61*4))/(IF(AG61="",0,8)+IF(AI61="",0,6)+IF(AK61="",0,4)))</f>
        <v/>
      </c>
      <c r="AN61" s="14">
        <f>IF((IF(AH61="",0,8)+IF(AJ61="",0,6)+IF(AL61="",0,4))=0,"",(IF(AH61="",0,AH61*8)+IF(AJ61="",0,AJ61*6)+IF(AL61="",0,AL61*4))/18)</f>
        <v/>
      </c>
      <c r="AO61" s="11">
        <f>IF(OR(City_Inputs!$AB61="",Norm_Stats!$F$17="",Norm_Stats!$G$17="",Norm_Stats!$G$17=Norm_Stats!$F$17),"",MAX(0,MIN(100,100*(MIN(MAX(City_Inputs!$AB61,Norm_Stats!$F$17),Norm_Stats!$G$17)-Norm_Stats!$F$17)/(Norm_Stats!$G$17-Norm_Stats!$F$17))))</f>
        <v/>
      </c>
      <c r="AP61" s="14">
        <f>IF(AO61="","",1)</f>
        <v/>
      </c>
      <c r="AQ61" s="11">
        <f>IF(OR(City_Inputs!$AC61="",Norm_Stats!$F$18="",Norm_Stats!$G$18="",Norm_Stats!$G$18=Norm_Stats!$F$18),"",MAX(0,MIN(100,100*(MIN(MAX(City_Inputs!$AC61,Norm_Stats!$F$18),Norm_Stats!$G$18)-Norm_Stats!$F$18)/(Norm_Stats!$G$18-Norm_Stats!$F$18))))</f>
        <v/>
      </c>
      <c r="AR61" s="14">
        <f>IF(AQ61="","",1)</f>
        <v/>
      </c>
      <c r="AS61" s="11">
        <f>IF(OR(City_Inputs!$AD61="",Norm_Stats!$F$19="",Norm_Stats!$G$19="",Norm_Stats!$G$19=Norm_Stats!$F$19),"",MAX(0,MIN(100,100*(MIN(MAX(City_Inputs!$AD61,Norm_Stats!$F$19),Norm_Stats!$G$19)-Norm_Stats!$F$19)/(Norm_Stats!$G$19-Norm_Stats!$F$19))))</f>
        <v/>
      </c>
      <c r="AT61" s="14">
        <f>IF(AS61="","",1)</f>
        <v/>
      </c>
      <c r="AU61" s="11">
        <f>IF(OR(City_Inputs!$BJ61="",Norm_Stats!$F$26="",Norm_Stats!$G$26="",Norm_Stats!$G$26=Norm_Stats!$F$26),"",MAX(0,MIN(100,100*(MIN(MAX(City_Inputs!$BJ61,Norm_Stats!$F$26),Norm_Stats!$G$26)-Norm_Stats!$F$26)/(Norm_Stats!$G$26-Norm_Stats!$F$26))))</f>
        <v/>
      </c>
      <c r="AV61" s="11">
        <f>IF(AU61="","",1)</f>
        <v/>
      </c>
      <c r="AW61" s="15">
        <f>IF((IF(AO61="",0,5)+IF(AQ61="",0,5)+IF(AS61="",0,5)+IF(AU61="",0,4))=0,"",(IF(AO61="",0,AO61*5)+IF(AQ61="",0,AQ61*5)+IF(AS61="",0,AS61*5)+IF(AU61="",0,AU61*4))/(IF(AO61="",0,5)+IF(AQ61="",0,5)+IF(AS61="",0,5)+IF(AU61="",0,4)))</f>
        <v/>
      </c>
      <c r="AX61" s="14">
        <f>IF((IF(AP61="",0,5)+IF(AR61="",0,5)+IF(AT61="",0,5)+IF(AV61="",0,4))=0,"",(IF(AP61="",0,AP61*5)+IF(AR61="",0,AR61*5)+IF(AT61="",0,AT61*5)+IF(AV61="",0,AV61*4))/19)</f>
        <v/>
      </c>
      <c r="AY61" s="11">
        <f>IF(OR(City_Inputs!$AE61="",Norm_Stats!$F$20="",Norm_Stats!$G$20="",Norm_Stats!$G$20=Norm_Stats!$F$20),"",MAX(0,MIN(100,100*(MIN(MAX(City_Inputs!$AE61,Norm_Stats!$F$20),Norm_Stats!$G$20)-Norm_Stats!$F$20)/(Norm_Stats!$G$20-Norm_Stats!$F$20))))</f>
        <v/>
      </c>
      <c r="AZ61" s="14">
        <f>IF(AY61="","",1)</f>
        <v/>
      </c>
      <c r="BA61" s="11">
        <f>IF(OR(City_Inputs!$AF61="",Norm_Stats!$F$21="",Norm_Stats!$G$21="",Norm_Stats!$G$21=Norm_Stats!$F$21),"",MAX(0,MIN(100,100*(MIN(MAX(City_Inputs!$AF61,Norm_Stats!$F$21),Norm_Stats!$G$21)-Norm_Stats!$F$21)/(Norm_Stats!$G$21-Norm_Stats!$F$21))))</f>
        <v/>
      </c>
      <c r="BB61" s="14">
        <f>IF(BA61="","",1)</f>
        <v/>
      </c>
      <c r="BC61" s="11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(IF(OR(City_Inputs!$AG61="",Norm_Stats!$F$22="",Norm_Stats!$G$22="",Norm_Stats!$G$22=Norm_Stats!$F$22),"",MAX(0,MIN(100,100*(MIN(MAX(City_Inputs!$AG61,Norm_Stats!$F$22),Norm_Stats!$G$22)-Norm_Stats!$F$22)/(Norm_Stats!$G$22-Norm_Stats!$F$22)))))*0.5)+IF((IF(OR(City_Inputs!$AJ61="",Norm_Stats!$F$23="",Norm_Stats!$G$23="",Norm_Stats!$G$23=Norm_Stats!$F$23),"",MAX(0,MIN(100,100*(MIN(MAX(City_Inputs!$AJ61,Norm_Stats!$F$23),Norm_Stats!$G$23)-Norm_Stats!$F$23)/(Norm_Stats!$G$23-Norm_Stats!$F$23)))))="",0,(IF(OR(City_Inputs!$AJ61="",Norm_Stats!$F$23="",Norm_Stats!$G$23="",Norm_Stats!$G$23=Norm_Stats!$F$23),"",MAX(0,MIN(100,100*(MIN(MAX(City_Inputs!$AJ61,Norm_Stats!$F$23),Norm_Stats!$G$23)-Norm_Stats!$F$23)/(Norm_Stats!$G$23-Norm_Stats!$F$23)))))*0.3)+IF((IF(OR(City_Inputs!$AK61="",Norm_Stats!$F$24="",Norm_Stats!$G$24="",Norm_Stats!$G$24=Norm_Stats!$F$24),"",MAX(0,MIN(100,100*(MIN(MAX(City_Inputs!$AK61,Norm_Stats!$F$24),Norm_Stats!$G$24)-Norm_Stats!$F$24)/(Norm_Stats!$G$24-Norm_Stats!$F$24)))))="",0,(IF(OR(City_Inputs!$AK61="",Norm_Stats!$F$24="",Norm_Stats!$G$24="",Norm_Stats!$G$24=Norm_Stats!$F$24),"",MAX(0,MIN(100,100*(MIN(MAX(City_Inputs!$AK61,Norm_Stats!$F$24),Norm_Stats!$G$24)-Norm_Stats!$F$24)/(Norm_Stats!$G$24-Norm_Stats!$F$24)))))*0.2))/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D61" s="14">
        <f>IF(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=0,"",(IF((IF(OR(City_Inputs!$AG61="",Norm_Stats!$F$22="",Norm_Stats!$G$22="",Norm_Stats!$G$22=Norm_Stats!$F$22),"",MAX(0,MIN(100,100*(MIN(MAX(City_Inputs!$AG61,Norm_Stats!$F$22),Norm_Stats!$G$22)-Norm_Stats!$F$22)/(Norm_Stats!$G$22-Norm_Stats!$F$22)))))="",0,0.5)+IF((IF(OR(City_Inputs!$AJ61="",Norm_Stats!$F$23="",Norm_Stats!$G$23="",Norm_Stats!$G$23=Norm_Stats!$F$23),"",MAX(0,MIN(100,100*(MIN(MAX(City_Inputs!$AJ61,Norm_Stats!$F$23),Norm_Stats!$G$23)-Norm_Stats!$F$23)/(Norm_Stats!$G$23-Norm_Stats!$F$23)))))="",0,0.3)+IF((IF(OR(City_Inputs!$AK61="",Norm_Stats!$F$24="",Norm_Stats!$G$24="",Norm_Stats!$G$24=Norm_Stats!$F$24),"",MAX(0,MIN(100,100*(MIN(MAX(City_Inputs!$AK61,Norm_Stats!$F$24),Norm_Stats!$G$24)-Norm_Stats!$F$24)/(Norm_Stats!$G$24-Norm_Stats!$F$24)))))="",0,0.2)))</f>
        <v/>
      </c>
      <c r="BE61" s="11">
        <f>IF(OR(City_Inputs!$AH61="",Norm_Stats!$F$25="",Norm_Stats!$G$25="",Norm_Stats!$G$25=Norm_Stats!$F$25),"",MAX(0,MIN(100,100*(Norm_Stats!$G$25-MIN(MAX(City_Inputs!$AH61,Norm_Stats!$F$25),Norm_Stats!$G$25))/(Norm_Stats!$G$25-Norm_Stats!$F$25))))</f>
        <v/>
      </c>
      <c r="BF61" s="14">
        <f>IF(BE61="","",1)</f>
        <v/>
      </c>
      <c r="BG61" s="15">
        <f>IF((IF(AY61="",0,6)+IF(BA61="",0,5)+IF(BC61="",0,5)+IF(BE61="",0,4))=0,"",(IF(AY61="",0,AY61*6)+IF(BA61="",0,BA61*5)+IF(BC61="",0,BC61*5)+IF(BE61="",0,BE61*4))/(IF(AY61="",0,6)+IF(BA61="",0,5)+IF(BC61="",0,5)+IF(BE61="",0,4)))</f>
        <v/>
      </c>
      <c r="BH61" s="14">
        <f>IF((IF(AZ61="",0,6)+IF(BB61="",0,5)+IF(BD61="",0,5)+IF(BF61="",0,4))=0,"",(IF(AZ61="",0,AZ61*6)+IF(BB61="",0,BB61*5)+IF(BD61="",0,BD61*5)+IF(BF61="",0,BF61*4))/20)</f>
        <v/>
      </c>
      <c r="BI61" s="14">
        <f>IF(AND(R61="",AF61="",AN61="",AX61="",BH61=""),"",((R61*25)+(AF61*22)+(AN61*18)+(AX61*15)+(BH61*20))/100)</f>
        <v/>
      </c>
      <c r="BJ61" s="11">
        <f>IF(BI61="","",IF(BI61&gt;=0.75,"A",IF(BI61&gt;=0.5,"B",IF(BI61&gt;=0.35,"C","Watchlist"))))</f>
        <v/>
      </c>
      <c r="BK61" s="11">
        <f>IF(OR(BI61="",BI61&lt;0.5,R61="",R61&lt;0.35,AF61="",AF61&lt;0.35,AN61="",AN61&lt;0.35,AX61="",AX61&lt;0.35,BH61="",BH61&lt;0.35),"Watchlist","Ranked")</f>
        <v/>
      </c>
      <c r="BL61" s="15">
        <f>IF(AND(Q61="",AE61="",AM61="",AW61="",BG61=""),"",(IF(Q61="",0,Q61*25)+IF(AE61="",0,AE61*22)+IF(AM61="",0,AM61*18)+IF(AW61="",0,AW61*15)+IF(BG61="",0,BG61*20))/(IF(Q61="",0,25)+IF(AE61="",0,22)+IF(AM61="",0,18)+IF(AW61="",0,15)+IF(BG61="",0,20)))</f>
        <v/>
      </c>
      <c r="BM61" s="11">
        <f>IF(BK61="Ranked",1+COUNTIFS($BK$2:$BK$158,"Ranked",$BL$2:$BL$158,"&gt;"&amp;BL61),"")</f>
        <v/>
      </c>
      <c r="BN61" s="11">
        <f>City_Inputs!$AI61</f>
        <v/>
      </c>
    </row>
    <row r="62">
      <c r="A62" t="inlineStr">
        <is>
          <t>mx-mexico-city</t>
        </is>
      </c>
      <c r="B62" t="inlineStr">
        <is>
          <t>Mexico City</t>
        </is>
      </c>
      <c r="C62" t="inlineStr">
        <is>
          <t>Mexico</t>
        </is>
      </c>
      <c r="D62" t="inlineStr">
        <is>
          <t>North America</t>
        </is>
      </c>
      <c r="E62" t="inlineStr">
        <is>
          <t>locked</t>
        </is>
      </c>
      <c r="F62" t="inlineStr">
        <is>
          <t>primary</t>
        </is>
      </c>
      <c r="G62" s="11">
        <f>IF(OR(City_Inputs!$M62="",Norm_Stats!$F$2="",Norm_Stats!$G$2="",Norm_Stats!$G$2=Norm_Stats!$F$2),"",MAX(0,MIN(100,100*(MIN(MAX(City_Inputs!$M62,Norm_Stats!$F$2),Norm_Stats!$G$2)-Norm_Stats!$F$2)/(Norm_Stats!$G$2-Norm_Stats!$F$2))))</f>
        <v/>
      </c>
      <c r="H62" s="14">
        <f>IF(G62="","",1)</f>
        <v/>
      </c>
      <c r="I62" s="11">
        <f>IF(OR(City_Inputs!$N62="",Norm_Stats!$F$3="",Norm_Stats!$G$3="",Norm_Stats!$G$3=Norm_Stats!$F$3),"",MAX(0,MIN(100,100*(Norm_Stats!$G$3-MIN(MAX(City_Inputs!$N62,Norm_Stats!$F$3),Norm_Stats!$G$3))/(Norm_Stats!$G$3-Norm_Stats!$F$3))))</f>
        <v/>
      </c>
      <c r="J62" s="14">
        <f>IF(I62="","",1)</f>
        <v/>
      </c>
      <c r="K62" s="11">
        <f>IF(OR(City_Inputs!$P62="",Norm_Stats!$F$4="",Norm_Stats!$G$4="",Norm_Stats!$G$4=Norm_Stats!$F$4),"",MAX(0,MIN(100,100*(Norm_Stats!$G$4-MIN(MAX(City_Inputs!$P62,Norm_Stats!$F$4),Norm_Stats!$G$4))/(Norm_Stats!$G$4-Norm_Stats!$F$4))))</f>
        <v/>
      </c>
      <c r="L62" s="14">
        <f>IF(K62="","",1)</f>
        <v/>
      </c>
      <c r="M62" s="11">
        <f>IF(OR(City_Inputs!$Q62="",Norm_Stats!$F$5="",Norm_Stats!$G$5="",Norm_Stats!$G$5=Norm_Stats!$F$5),"",MAX(0,MIN(100,100*(Norm_Stats!$G$5-MIN(MAX(City_Inputs!$Q62,Norm_Stats!$F$5),Norm_Stats!$G$5))/(Norm_Stats!$G$5-Norm_Stats!$F$5))))</f>
        <v/>
      </c>
      <c r="N62" s="14">
        <f>IF(M62="","",1)</f>
        <v/>
      </c>
      <c r="O62" s="11">
        <f>IF(OR(City_Inputs!$R62="",Norm_Stats!$F$6="",Norm_Stats!$G$6="",Norm_Stats!$G$6=Norm_Stats!$F$6),"",MAX(0,MIN(100,100*(Norm_Stats!$G$6-MIN(MAX(City_Inputs!$R62,Norm_Stats!$F$6),Norm_Stats!$G$6))/(Norm_Stats!$G$6-Norm_Stats!$F$6))))</f>
        <v/>
      </c>
      <c r="P62" s="14">
        <f>IF(O62="","",1)</f>
        <v/>
      </c>
      <c r="Q62" s="15">
        <f>IF((IF(G62="",0,9)+IF(I62="",0,5)+IF(K62="",0,4)+IF(M62="",0,4)+IF(O62="",0,5))=0,"",(IF(G62="",0,G62*9)+IF(I62="",0,I62*5)+IF(K62="",0,K62*4)+IF(M62="",0,M62*4)+IF(O62="",0,O62*5))/(IF(G62="",0,9)+IF(I62="",0,5)+IF(K62="",0,4)+IF(M62="",0,4)+IF(O62="",0,5)))</f>
        <v/>
      </c>
      <c r="R62" s="14">
        <f>IF((IF(H62="",0,9)+IF(J62="",0,5)+IF(L62="",0,4)+IF(N62="",0,4)+IF(P62="",0,5))=0,"",(IF(H62="",0,H62*9)+IF(J62="",0,J62*5)+IF(L62="",0,L62*4)+IF(N62="",0,N62*4)+IF(P62="",0,P62*5))/27)</f>
        <v/>
      </c>
      <c r="S62" s="11">
        <f>IF(OR(City_Inputs!$S62="",Norm_Stats!$F$7="",Norm_Stats!$G$7="",Norm_Stats!$G$7=Norm_Stats!$F$7),"",MAX(0,MIN(100,100*(Norm_Stats!$G$7-MIN(MAX(City_Inputs!$S62,Norm_Stats!$F$7),Norm_Stats!$G$7))/(Norm_Stats!$G$7-Norm_Stats!$F$7))))</f>
        <v/>
      </c>
      <c r="T62" s="14">
        <f>IF(S62="","",1)</f>
        <v/>
      </c>
      <c r="U62" s="11">
        <f>IF(OR(City_Inputs!$T62="",Norm_Stats!$F$8="",Norm_Stats!$G$8="",Norm_Stats!$G$8=Norm_Stats!$F$8),"",MAX(0,MIN(100,100*(MIN(MAX(City_Inputs!$T62,Norm_Stats!$F$8),Norm_Stats!$G$8)-Norm_Stats!$F$8)/(Norm_Stats!$G$8-Norm_Stats!$F$8))))</f>
        <v/>
      </c>
      <c r="V62" s="14">
        <f>IF(U62="","",1)</f>
        <v/>
      </c>
      <c r="W62" s="11">
        <f>IF(OR(City_Inputs!$U62="",Norm_Stats!$F$9="",Norm_Stats!$G$9="",Norm_Stats!$G$9=Norm_Stats!$F$9),"",MAX(0,MIN(100,100*(Norm_Stats!$G$9-MIN(MAX(City_Inputs!$U62,Norm_Stats!$F$9),Norm_Stats!$G$9))/(Norm_Stats!$G$9-Norm_Stats!$F$9))))</f>
        <v/>
      </c>
      <c r="X62" s="14">
        <f>IF(W62="","",1)</f>
        <v/>
      </c>
      <c r="Y62" s="11">
        <f>IF(OR(City_Inputs!$V62="",Norm_Stats!$F$10="",Norm_Stats!$G$10="",Norm_Stats!$G$10=Norm_Stats!$F$10),"",MAX(0,MIN(100,100*(MIN(MAX(City_Inputs!$V62,Norm_Stats!$F$10),Norm_Stats!$G$10)-Norm_Stats!$F$10)/(Norm_Stats!$G$10-Norm_Stats!$F$10))))</f>
        <v/>
      </c>
      <c r="Z62" s="14">
        <f>IF(Y62="","",1)</f>
        <v/>
      </c>
      <c r="AA62" s="11">
        <f>IF(OR(City_Inputs!$W62="",Norm_Stats!$F$11="",Norm_Stats!$G$11="",Norm_Stats!$G$11=Norm_Stats!$F$11),"",MAX(0,MIN(100,100*(MIN(MAX(City_Inputs!$W62,Norm_Stats!$F$11),Norm_Stats!$G$11)-Norm_Stats!$F$11)/(Norm_Stats!$G$11-Norm_Stats!$F$11))))</f>
        <v/>
      </c>
      <c r="AB62" s="14">
        <f>IF(AA62="","",1)</f>
        <v/>
      </c>
      <c r="AC62" s="11">
        <f>IF(OR(City_Inputs!$X62="",Norm_Stats!$F$12="",Norm_Stats!$G$12="",Norm_Stats!$G$12=Norm_Stats!$F$12),"",MAX(0,MIN(100,100*(MIN(MAX(City_Inputs!$X62,Norm_Stats!$F$12),Norm_Stats!$G$12)-Norm_Stats!$F$12)/(Norm_Stats!$G$12-Norm_Stats!$F$12))))</f>
        <v/>
      </c>
      <c r="AD62" s="11">
        <f>IF(AC62="","",1)</f>
        <v/>
      </c>
      <c r="AE62" s="15">
        <f>IF((IF(S62="",0,5)+IF(U62="",0,5)+IF(W62="",0,4)+IF(Y62="",0,4)+IF(AA62="",0,4)+IF(AC62="",0,5))=0,"",(IF(S62="",0,S62*5)+IF(U62="",0,U62*5)+IF(W62="",0,W62*4)+IF(Y62="",0,Y62*4)+IF(AA62="",0,AA62*4)+IF(AC62="",0,AC62*5))/(IF(S62="",0,5)+IF(U62="",0,5)+IF(W62="",0,4)+IF(Y62="",0,4)+IF(AA62="",0,4)+IF(AC62="",0,5)))</f>
        <v/>
      </c>
      <c r="AF62" s="14">
        <f>IF((IF(T62="",0,5)+IF(V62="",0,5)+IF(X62="",0,4)+IF(Z62="",0,4)+IF(AB62="",0,4)+IF(AD62="",0,5))=0,"",(IF(T62="",0,T62*5)+IF(V62="",0,V62*5)+IF(X62="",0,X62*4)+IF(Z62="",0,Z62*4)+IF(AB62="",0,AB62*4)+IF(AD62="",0,AD62*5))/27)</f>
        <v/>
      </c>
      <c r="AG62" s="11">
        <f>IF(OR(City_Inputs!$Y62="",Norm_Stats!$F$13="",Norm_Stats!$G$13="",Norm_Stats!$G$13=Norm_Stats!$F$13),"",MAX(0,MIN(100,100*(MIN(MAX(City_Inputs!$Y62,Norm_Stats!$F$13),Norm_Stats!$G$13)-Norm_Stats!$F$13)/(Norm_Stats!$G$13-Norm_Stats!$F$13))))</f>
        <v/>
      </c>
      <c r="AH62" s="14">
        <f>IF(AG62="","",1)</f>
        <v/>
      </c>
      <c r="AI62" s="11">
        <f>IF(OR(City_Inputs!$Z62="",Norm_Stats!$F$14="",Norm_Stats!$G$14="",Norm_Stats!$G$14=Norm_Stats!$F$14),"",MAX(0,MIN(100,100*(MIN(MAX(City_Inputs!$Z62,Norm_Stats!$F$14),Norm_Stats!$G$14)-Norm_Stats!$F$14)/(Norm_Stats!$G$14-Norm_Stats!$F$14))))</f>
        <v/>
      </c>
      <c r="AJ62" s="14">
        <f>IF(AI62="","",1)</f>
        <v/>
      </c>
      <c r="AK62" s="11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(IF(OR(City_Inputs!$AA62="",Norm_Stats!$F$15="",Norm_Stats!$G$15="",Norm_Stats!$G$15=Norm_Stats!$F$15),"",MAX(0,MIN(100,100*(MIN(MAX(City_Inputs!$AA62,Norm_Stats!$F$15),Norm_Stats!$G$15)-Norm_Stats!$F$15)/(Norm_Stats!$G$15-Norm_Stats!$F$15)))))*0.7)+IF((IF(OR(City_Inputs!$AL62="",Norm_Stats!$F$16="",Norm_Stats!$G$16="",Norm_Stats!$G$16=Norm_Stats!$F$16),"",MAX(0,MIN(100,100*(Norm_Stats!$G$16-MIN(MAX(City_Inputs!$AL62,Norm_Stats!$F$16),Norm_Stats!$G$16))/(Norm_Stats!$G$16-Norm_Stats!$F$16)))))="",0,(IF(OR(City_Inputs!$AL62="",Norm_Stats!$F$16="",Norm_Stats!$G$16="",Norm_Stats!$G$16=Norm_Stats!$F$16),"",MAX(0,MIN(100,100*(Norm_Stats!$G$16-MIN(MAX(City_Inputs!$AL62,Norm_Stats!$F$16),Norm_Stats!$G$16))/(Norm_Stats!$G$16-Norm_Stats!$F$16)))))*0.3))/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L62" s="14">
        <f>IF(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=0,"",(IF((IF(OR(City_Inputs!$AA62="",Norm_Stats!$F$15="",Norm_Stats!$G$15="",Norm_Stats!$G$15=Norm_Stats!$F$15),"",MAX(0,MIN(100,100*(MIN(MAX(City_Inputs!$AA62,Norm_Stats!$F$15),Norm_Stats!$G$15)-Norm_Stats!$F$15)/(Norm_Stats!$G$15-Norm_Stats!$F$15)))))="",0,0.7)+IF((IF(OR(City_Inputs!$AL62="",Norm_Stats!$F$16="",Norm_Stats!$G$16="",Norm_Stats!$G$16=Norm_Stats!$F$16),"",MAX(0,MIN(100,100*(Norm_Stats!$G$16-MIN(MAX(City_Inputs!$AL62,Norm_Stats!$F$16),Norm_Stats!$G$16))/(Norm_Stats!$G$16-Norm_Stats!$F$16)))))="",0,0.3)))</f>
        <v/>
      </c>
      <c r="AM62" s="15">
        <f>IF((IF(AG62="",0,8)+IF(AI62="",0,6)+IF(AK62="",0,4))=0,"",(IF(AG62="",0,AG62*8)+IF(AI62="",0,AI62*6)+IF(AK62="",0,AK62*4))/(IF(AG62="",0,8)+IF(AI62="",0,6)+IF(AK62="",0,4)))</f>
        <v/>
      </c>
      <c r="AN62" s="14">
        <f>IF((IF(AH62="",0,8)+IF(AJ62="",0,6)+IF(AL62="",0,4))=0,"",(IF(AH62="",0,AH62*8)+IF(AJ62="",0,AJ62*6)+IF(AL62="",0,AL62*4))/18)</f>
        <v/>
      </c>
      <c r="AO62" s="11">
        <f>IF(OR(City_Inputs!$AB62="",Norm_Stats!$F$17="",Norm_Stats!$G$17="",Norm_Stats!$G$17=Norm_Stats!$F$17),"",MAX(0,MIN(100,100*(MIN(MAX(City_Inputs!$AB62,Norm_Stats!$F$17),Norm_Stats!$G$17)-Norm_Stats!$F$17)/(Norm_Stats!$G$17-Norm_Stats!$F$17))))</f>
        <v/>
      </c>
      <c r="AP62" s="14">
        <f>IF(AO62="","",1)</f>
        <v/>
      </c>
      <c r="AQ62" s="11">
        <f>IF(OR(City_Inputs!$AC62="",Norm_Stats!$F$18="",Norm_Stats!$G$18="",Norm_Stats!$G$18=Norm_Stats!$F$18),"",MAX(0,MIN(100,100*(MIN(MAX(City_Inputs!$AC62,Norm_Stats!$F$18),Norm_Stats!$G$18)-Norm_Stats!$F$18)/(Norm_Stats!$G$18-Norm_Stats!$F$18))))</f>
        <v/>
      </c>
      <c r="AR62" s="14">
        <f>IF(AQ62="","",1)</f>
        <v/>
      </c>
      <c r="AS62" s="11">
        <f>IF(OR(City_Inputs!$AD62="",Norm_Stats!$F$19="",Norm_Stats!$G$19="",Norm_Stats!$G$19=Norm_Stats!$F$19),"",MAX(0,MIN(100,100*(MIN(MAX(City_Inputs!$AD62,Norm_Stats!$F$19),Norm_Stats!$G$19)-Norm_Stats!$F$19)/(Norm_Stats!$G$19-Norm_Stats!$F$19))))</f>
        <v/>
      </c>
      <c r="AT62" s="14">
        <f>IF(AS62="","",1)</f>
        <v/>
      </c>
      <c r="AU62" s="11">
        <f>IF(OR(City_Inputs!$BJ62="",Norm_Stats!$F$26="",Norm_Stats!$G$26="",Norm_Stats!$G$26=Norm_Stats!$F$26),"",MAX(0,MIN(100,100*(MIN(MAX(City_Inputs!$BJ62,Norm_Stats!$F$26),Norm_Stats!$G$26)-Norm_Stats!$F$26)/(Norm_Stats!$G$26-Norm_Stats!$F$26))))</f>
        <v/>
      </c>
      <c r="AV62" s="11">
        <f>IF(AU62="","",1)</f>
        <v/>
      </c>
      <c r="AW62" s="15">
        <f>IF((IF(AO62="",0,5)+IF(AQ62="",0,5)+IF(AS62="",0,5)+IF(AU62="",0,4))=0,"",(IF(AO62="",0,AO62*5)+IF(AQ62="",0,AQ62*5)+IF(AS62="",0,AS62*5)+IF(AU62="",0,AU62*4))/(IF(AO62="",0,5)+IF(AQ62="",0,5)+IF(AS62="",0,5)+IF(AU62="",0,4)))</f>
        <v/>
      </c>
      <c r="AX62" s="14">
        <f>IF((IF(AP62="",0,5)+IF(AR62="",0,5)+IF(AT62="",0,5)+IF(AV62="",0,4))=0,"",(IF(AP62="",0,AP62*5)+IF(AR62="",0,AR62*5)+IF(AT62="",0,AT62*5)+IF(AV62="",0,AV62*4))/19)</f>
        <v/>
      </c>
      <c r="AY62" s="11">
        <f>IF(OR(City_Inputs!$AE62="",Norm_Stats!$F$20="",Norm_Stats!$G$20="",Norm_Stats!$G$20=Norm_Stats!$F$20),"",MAX(0,MIN(100,100*(MIN(MAX(City_Inputs!$AE62,Norm_Stats!$F$20),Norm_Stats!$G$20)-Norm_Stats!$F$20)/(Norm_Stats!$G$20-Norm_Stats!$F$20))))</f>
        <v/>
      </c>
      <c r="AZ62" s="14">
        <f>IF(AY62="","",1)</f>
        <v/>
      </c>
      <c r="BA62" s="11">
        <f>IF(OR(City_Inputs!$AF62="",Norm_Stats!$F$21="",Norm_Stats!$G$21="",Norm_Stats!$G$21=Norm_Stats!$F$21),"",MAX(0,MIN(100,100*(MIN(MAX(City_Inputs!$AF62,Norm_Stats!$F$21),Norm_Stats!$G$21)-Norm_Stats!$F$21)/(Norm_Stats!$G$21-Norm_Stats!$F$21))))</f>
        <v/>
      </c>
      <c r="BB62" s="14">
        <f>IF(BA62="","",1)</f>
        <v/>
      </c>
      <c r="BC62" s="11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(IF(OR(City_Inputs!$AG62="",Norm_Stats!$F$22="",Norm_Stats!$G$22="",Norm_Stats!$G$22=Norm_Stats!$F$22),"",MAX(0,MIN(100,100*(MIN(MAX(City_Inputs!$AG62,Norm_Stats!$F$22),Norm_Stats!$G$22)-Norm_Stats!$F$22)/(Norm_Stats!$G$22-Norm_Stats!$F$22)))))*0.5)+IF((IF(OR(City_Inputs!$AJ62="",Norm_Stats!$F$23="",Norm_Stats!$G$23="",Norm_Stats!$G$23=Norm_Stats!$F$23),"",MAX(0,MIN(100,100*(MIN(MAX(City_Inputs!$AJ62,Norm_Stats!$F$23),Norm_Stats!$G$23)-Norm_Stats!$F$23)/(Norm_Stats!$G$23-Norm_Stats!$F$23)))))="",0,(IF(OR(City_Inputs!$AJ62="",Norm_Stats!$F$23="",Norm_Stats!$G$23="",Norm_Stats!$G$23=Norm_Stats!$F$23),"",MAX(0,MIN(100,100*(MIN(MAX(City_Inputs!$AJ62,Norm_Stats!$F$23),Norm_Stats!$G$23)-Norm_Stats!$F$23)/(Norm_Stats!$G$23-Norm_Stats!$F$23)))))*0.3)+IF((IF(OR(City_Inputs!$AK62="",Norm_Stats!$F$24="",Norm_Stats!$G$24="",Norm_Stats!$G$24=Norm_Stats!$F$24),"",MAX(0,MIN(100,100*(MIN(MAX(City_Inputs!$AK62,Norm_Stats!$F$24),Norm_Stats!$G$24)-Norm_Stats!$F$24)/(Norm_Stats!$G$24-Norm_Stats!$F$24)))))="",0,(IF(OR(City_Inputs!$AK62="",Norm_Stats!$F$24="",Norm_Stats!$G$24="",Norm_Stats!$G$24=Norm_Stats!$F$24),"",MAX(0,MIN(100,100*(MIN(MAX(City_Inputs!$AK62,Norm_Stats!$F$24),Norm_Stats!$G$24)-Norm_Stats!$F$24)/(Norm_Stats!$G$24-Norm_Stats!$F$24)))))*0.2))/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D62" s="14">
        <f>IF(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=0,"",(IF((IF(OR(City_Inputs!$AG62="",Norm_Stats!$F$22="",Norm_Stats!$G$22="",Norm_Stats!$G$22=Norm_Stats!$F$22),"",MAX(0,MIN(100,100*(MIN(MAX(City_Inputs!$AG62,Norm_Stats!$F$22),Norm_Stats!$G$22)-Norm_Stats!$F$22)/(Norm_Stats!$G$22-Norm_Stats!$F$22)))))="",0,0.5)+IF((IF(OR(City_Inputs!$AJ62="",Norm_Stats!$F$23="",Norm_Stats!$G$23="",Norm_Stats!$G$23=Norm_Stats!$F$23),"",MAX(0,MIN(100,100*(MIN(MAX(City_Inputs!$AJ62,Norm_Stats!$F$23),Norm_Stats!$G$23)-Norm_Stats!$F$23)/(Norm_Stats!$G$23-Norm_Stats!$F$23)))))="",0,0.3)+IF((IF(OR(City_Inputs!$AK62="",Norm_Stats!$F$24="",Norm_Stats!$G$24="",Norm_Stats!$G$24=Norm_Stats!$F$24),"",MAX(0,MIN(100,100*(MIN(MAX(City_Inputs!$AK62,Norm_Stats!$F$24),Norm_Stats!$G$24)-Norm_Stats!$F$24)/(Norm_Stats!$G$24-Norm_Stats!$F$24)))))="",0,0.2)))</f>
        <v/>
      </c>
      <c r="BE62" s="11">
        <f>IF(OR(City_Inputs!$AH62="",Norm_Stats!$F$25="",Norm_Stats!$G$25="",Norm_Stats!$G$25=Norm_Stats!$F$25),"",MAX(0,MIN(100,100*(Norm_Stats!$G$25-MIN(MAX(City_Inputs!$AH62,Norm_Stats!$F$25),Norm_Stats!$G$25))/(Norm_Stats!$G$25-Norm_Stats!$F$25))))</f>
        <v/>
      </c>
      <c r="BF62" s="14">
        <f>IF(BE62="","",1)</f>
        <v/>
      </c>
      <c r="BG62" s="15">
        <f>IF((IF(AY62="",0,6)+IF(BA62="",0,5)+IF(BC62="",0,5)+IF(BE62="",0,4))=0,"",(IF(AY62="",0,AY62*6)+IF(BA62="",0,BA62*5)+IF(BC62="",0,BC62*5)+IF(BE62="",0,BE62*4))/(IF(AY62="",0,6)+IF(BA62="",0,5)+IF(BC62="",0,5)+IF(BE62="",0,4)))</f>
        <v/>
      </c>
      <c r="BH62" s="14">
        <f>IF((IF(AZ62="",0,6)+IF(BB62="",0,5)+IF(BD62="",0,5)+IF(BF62="",0,4))=0,"",(IF(AZ62="",0,AZ62*6)+IF(BB62="",0,BB62*5)+IF(BD62="",0,BD62*5)+IF(BF62="",0,BF62*4))/20)</f>
        <v/>
      </c>
      <c r="BI62" s="14">
        <f>IF(AND(R62="",AF62="",AN62="",AX62="",BH62=""),"",((R62*25)+(AF62*22)+(AN62*18)+(AX62*15)+(BH62*20))/100)</f>
        <v/>
      </c>
      <c r="BJ62" s="11">
        <f>IF(BI62="","",IF(BI62&gt;=0.75,"A",IF(BI62&gt;=0.5,"B",IF(BI62&gt;=0.35,"C","Watchlist"))))</f>
        <v/>
      </c>
      <c r="BK62" s="11">
        <f>IF(OR(BI62="",BI62&lt;0.5,R62="",R62&lt;0.35,AF62="",AF62&lt;0.35,AN62="",AN62&lt;0.35,AX62="",AX62&lt;0.35,BH62="",BH62&lt;0.35),"Watchlist","Ranked")</f>
        <v/>
      </c>
      <c r="BL62" s="15">
        <f>IF(AND(Q62="",AE62="",AM62="",AW62="",BG62=""),"",(IF(Q62="",0,Q62*25)+IF(AE62="",0,AE62*22)+IF(AM62="",0,AM62*18)+IF(AW62="",0,AW62*15)+IF(BG62="",0,BG62*20))/(IF(Q62="",0,25)+IF(AE62="",0,22)+IF(AM62="",0,18)+IF(AW62="",0,15)+IF(BG62="",0,20)))</f>
        <v/>
      </c>
      <c r="BM62" s="11">
        <f>IF(BK62="Ranked",1+COUNTIFS($BK$2:$BK$158,"Ranked",$BL$2:$BL$158,"&gt;"&amp;BL62),"")</f>
        <v/>
      </c>
      <c r="BN62" s="11">
        <f>City_Inputs!$AI62</f>
        <v/>
      </c>
    </row>
    <row r="63">
      <c r="A63" t="inlineStr">
        <is>
          <t>ca-toronto</t>
        </is>
      </c>
      <c r="B63" t="inlineStr">
        <is>
          <t>Toronto</t>
        </is>
      </c>
      <c r="C63" t="inlineStr">
        <is>
          <t>Canada</t>
        </is>
      </c>
      <c r="D63" t="inlineStr">
        <is>
          <t>North America</t>
        </is>
      </c>
      <c r="E63" t="inlineStr">
        <is>
          <t>provisional</t>
        </is>
      </c>
      <c r="F63" t="inlineStr">
        <is>
          <t>primary</t>
        </is>
      </c>
      <c r="G63" s="11">
        <f>IF(OR(City_Inputs!$M63="",Norm_Stats!$F$2="",Norm_Stats!$G$2="",Norm_Stats!$G$2=Norm_Stats!$F$2),"",MAX(0,MIN(100,100*(MIN(MAX(City_Inputs!$M63,Norm_Stats!$F$2),Norm_Stats!$G$2)-Norm_Stats!$F$2)/(Norm_Stats!$G$2-Norm_Stats!$F$2))))</f>
        <v/>
      </c>
      <c r="H63" s="14">
        <f>IF(G63="","",1)</f>
        <v/>
      </c>
      <c r="I63" s="11">
        <f>IF(OR(City_Inputs!$N63="",Norm_Stats!$F$3="",Norm_Stats!$G$3="",Norm_Stats!$G$3=Norm_Stats!$F$3),"",MAX(0,MIN(100,100*(Norm_Stats!$G$3-MIN(MAX(City_Inputs!$N63,Norm_Stats!$F$3),Norm_Stats!$G$3))/(Norm_Stats!$G$3-Norm_Stats!$F$3))))</f>
        <v/>
      </c>
      <c r="J63" s="14">
        <f>IF(I63="","",1)</f>
        <v/>
      </c>
      <c r="K63" s="11">
        <f>IF(OR(City_Inputs!$P63="",Norm_Stats!$F$4="",Norm_Stats!$G$4="",Norm_Stats!$G$4=Norm_Stats!$F$4),"",MAX(0,MIN(100,100*(Norm_Stats!$G$4-MIN(MAX(City_Inputs!$P63,Norm_Stats!$F$4),Norm_Stats!$G$4))/(Norm_Stats!$G$4-Norm_Stats!$F$4))))</f>
        <v/>
      </c>
      <c r="L63" s="14">
        <f>IF(K63="","",1)</f>
        <v/>
      </c>
      <c r="M63" s="11">
        <f>IF(OR(City_Inputs!$Q63="",Norm_Stats!$F$5="",Norm_Stats!$G$5="",Norm_Stats!$G$5=Norm_Stats!$F$5),"",MAX(0,MIN(100,100*(Norm_Stats!$G$5-MIN(MAX(City_Inputs!$Q63,Norm_Stats!$F$5),Norm_Stats!$G$5))/(Norm_Stats!$G$5-Norm_Stats!$F$5))))</f>
        <v/>
      </c>
      <c r="N63" s="14">
        <f>IF(M63="","",1)</f>
        <v/>
      </c>
      <c r="O63" s="11">
        <f>IF(OR(City_Inputs!$R63="",Norm_Stats!$F$6="",Norm_Stats!$G$6="",Norm_Stats!$G$6=Norm_Stats!$F$6),"",MAX(0,MIN(100,100*(Norm_Stats!$G$6-MIN(MAX(City_Inputs!$R63,Norm_Stats!$F$6),Norm_Stats!$G$6))/(Norm_Stats!$G$6-Norm_Stats!$F$6))))</f>
        <v/>
      </c>
      <c r="P63" s="14">
        <f>IF(O63="","",1)</f>
        <v/>
      </c>
      <c r="Q63" s="15">
        <f>IF((IF(G63="",0,9)+IF(I63="",0,5)+IF(K63="",0,4)+IF(M63="",0,4)+IF(O63="",0,5))=0,"",(IF(G63="",0,G63*9)+IF(I63="",0,I63*5)+IF(K63="",0,K63*4)+IF(M63="",0,M63*4)+IF(O63="",0,O63*5))/(IF(G63="",0,9)+IF(I63="",0,5)+IF(K63="",0,4)+IF(M63="",0,4)+IF(O63="",0,5)))</f>
        <v/>
      </c>
      <c r="R63" s="14">
        <f>IF((IF(H63="",0,9)+IF(J63="",0,5)+IF(L63="",0,4)+IF(N63="",0,4)+IF(P63="",0,5))=0,"",(IF(H63="",0,H63*9)+IF(J63="",0,J63*5)+IF(L63="",0,L63*4)+IF(N63="",0,N63*4)+IF(P63="",0,P63*5))/27)</f>
        <v/>
      </c>
      <c r="S63" s="11">
        <f>IF(OR(City_Inputs!$S63="",Norm_Stats!$F$7="",Norm_Stats!$G$7="",Norm_Stats!$G$7=Norm_Stats!$F$7),"",MAX(0,MIN(100,100*(Norm_Stats!$G$7-MIN(MAX(City_Inputs!$S63,Norm_Stats!$F$7),Norm_Stats!$G$7))/(Norm_Stats!$G$7-Norm_Stats!$F$7))))</f>
        <v/>
      </c>
      <c r="T63" s="14">
        <f>IF(S63="","",1)</f>
        <v/>
      </c>
      <c r="U63" s="11">
        <f>IF(OR(City_Inputs!$T63="",Norm_Stats!$F$8="",Norm_Stats!$G$8="",Norm_Stats!$G$8=Norm_Stats!$F$8),"",MAX(0,MIN(100,100*(MIN(MAX(City_Inputs!$T63,Norm_Stats!$F$8),Norm_Stats!$G$8)-Norm_Stats!$F$8)/(Norm_Stats!$G$8-Norm_Stats!$F$8))))</f>
        <v/>
      </c>
      <c r="V63" s="14">
        <f>IF(U63="","",1)</f>
        <v/>
      </c>
      <c r="W63" s="11">
        <f>IF(OR(City_Inputs!$U63="",Norm_Stats!$F$9="",Norm_Stats!$G$9="",Norm_Stats!$G$9=Norm_Stats!$F$9),"",MAX(0,MIN(100,100*(Norm_Stats!$G$9-MIN(MAX(City_Inputs!$U63,Norm_Stats!$F$9),Norm_Stats!$G$9))/(Norm_Stats!$G$9-Norm_Stats!$F$9))))</f>
        <v/>
      </c>
      <c r="X63" s="14">
        <f>IF(W63="","",1)</f>
        <v/>
      </c>
      <c r="Y63" s="11">
        <f>IF(OR(City_Inputs!$V63="",Norm_Stats!$F$10="",Norm_Stats!$G$10="",Norm_Stats!$G$10=Norm_Stats!$F$10),"",MAX(0,MIN(100,100*(MIN(MAX(City_Inputs!$V63,Norm_Stats!$F$10),Norm_Stats!$G$10)-Norm_Stats!$F$10)/(Norm_Stats!$G$10-Norm_Stats!$F$10))))</f>
        <v/>
      </c>
      <c r="Z63" s="14">
        <f>IF(Y63="","",1)</f>
        <v/>
      </c>
      <c r="AA63" s="11">
        <f>IF(OR(City_Inputs!$W63="",Norm_Stats!$F$11="",Norm_Stats!$G$11="",Norm_Stats!$G$11=Norm_Stats!$F$11),"",MAX(0,MIN(100,100*(MIN(MAX(City_Inputs!$W63,Norm_Stats!$F$11),Norm_Stats!$G$11)-Norm_Stats!$F$11)/(Norm_Stats!$G$11-Norm_Stats!$F$11))))</f>
        <v/>
      </c>
      <c r="AB63" s="14">
        <f>IF(AA63="","",1)</f>
        <v/>
      </c>
      <c r="AC63" s="11">
        <f>IF(OR(City_Inputs!$X63="",Norm_Stats!$F$12="",Norm_Stats!$G$12="",Norm_Stats!$G$12=Norm_Stats!$F$12),"",MAX(0,MIN(100,100*(MIN(MAX(City_Inputs!$X63,Norm_Stats!$F$12),Norm_Stats!$G$12)-Norm_Stats!$F$12)/(Norm_Stats!$G$12-Norm_Stats!$F$12))))</f>
        <v/>
      </c>
      <c r="AD63" s="11">
        <f>IF(AC63="","",1)</f>
        <v/>
      </c>
      <c r="AE63" s="15">
        <f>IF((IF(S63="",0,5)+IF(U63="",0,5)+IF(W63="",0,4)+IF(Y63="",0,4)+IF(AA63="",0,4)+IF(AC63="",0,5))=0,"",(IF(S63="",0,S63*5)+IF(U63="",0,U63*5)+IF(W63="",0,W63*4)+IF(Y63="",0,Y63*4)+IF(AA63="",0,AA63*4)+IF(AC63="",0,AC63*5))/(IF(S63="",0,5)+IF(U63="",0,5)+IF(W63="",0,4)+IF(Y63="",0,4)+IF(AA63="",0,4)+IF(AC63="",0,5)))</f>
        <v/>
      </c>
      <c r="AF63" s="14">
        <f>IF((IF(T63="",0,5)+IF(V63="",0,5)+IF(X63="",0,4)+IF(Z63="",0,4)+IF(AB63="",0,4)+IF(AD63="",0,5))=0,"",(IF(T63="",0,T63*5)+IF(V63="",0,V63*5)+IF(X63="",0,X63*4)+IF(Z63="",0,Z63*4)+IF(AB63="",0,AB63*4)+IF(AD63="",0,AD63*5))/27)</f>
        <v/>
      </c>
      <c r="AG63" s="11">
        <f>IF(OR(City_Inputs!$Y63="",Norm_Stats!$F$13="",Norm_Stats!$G$13="",Norm_Stats!$G$13=Norm_Stats!$F$13),"",MAX(0,MIN(100,100*(MIN(MAX(City_Inputs!$Y63,Norm_Stats!$F$13),Norm_Stats!$G$13)-Norm_Stats!$F$13)/(Norm_Stats!$G$13-Norm_Stats!$F$13))))</f>
        <v/>
      </c>
      <c r="AH63" s="14">
        <f>IF(AG63="","",1)</f>
        <v/>
      </c>
      <c r="AI63" s="11">
        <f>IF(OR(City_Inputs!$Z63="",Norm_Stats!$F$14="",Norm_Stats!$G$14="",Norm_Stats!$G$14=Norm_Stats!$F$14),"",MAX(0,MIN(100,100*(MIN(MAX(City_Inputs!$Z63,Norm_Stats!$F$14),Norm_Stats!$G$14)-Norm_Stats!$F$14)/(Norm_Stats!$G$14-Norm_Stats!$F$14))))</f>
        <v/>
      </c>
      <c r="AJ63" s="14">
        <f>IF(AI63="","",1)</f>
        <v/>
      </c>
      <c r="AK63" s="11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(IF(OR(City_Inputs!$AA63="",Norm_Stats!$F$15="",Norm_Stats!$G$15="",Norm_Stats!$G$15=Norm_Stats!$F$15),"",MAX(0,MIN(100,100*(MIN(MAX(City_Inputs!$AA63,Norm_Stats!$F$15),Norm_Stats!$G$15)-Norm_Stats!$F$15)/(Norm_Stats!$G$15-Norm_Stats!$F$15)))))*0.7)+IF((IF(OR(City_Inputs!$AL63="",Norm_Stats!$F$16="",Norm_Stats!$G$16="",Norm_Stats!$G$16=Norm_Stats!$F$16),"",MAX(0,MIN(100,100*(Norm_Stats!$G$16-MIN(MAX(City_Inputs!$AL63,Norm_Stats!$F$16),Norm_Stats!$G$16))/(Norm_Stats!$G$16-Norm_Stats!$F$16)))))="",0,(IF(OR(City_Inputs!$AL63="",Norm_Stats!$F$16="",Norm_Stats!$G$16="",Norm_Stats!$G$16=Norm_Stats!$F$16),"",MAX(0,MIN(100,100*(Norm_Stats!$G$16-MIN(MAX(City_Inputs!$AL63,Norm_Stats!$F$16),Norm_Stats!$G$16))/(Norm_Stats!$G$16-Norm_Stats!$F$16)))))*0.3))/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L63" s="14">
        <f>IF(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=0,"",(IF((IF(OR(City_Inputs!$AA63="",Norm_Stats!$F$15="",Norm_Stats!$G$15="",Norm_Stats!$G$15=Norm_Stats!$F$15),"",MAX(0,MIN(100,100*(MIN(MAX(City_Inputs!$AA63,Norm_Stats!$F$15),Norm_Stats!$G$15)-Norm_Stats!$F$15)/(Norm_Stats!$G$15-Norm_Stats!$F$15)))))="",0,0.7)+IF((IF(OR(City_Inputs!$AL63="",Norm_Stats!$F$16="",Norm_Stats!$G$16="",Norm_Stats!$G$16=Norm_Stats!$F$16),"",MAX(0,MIN(100,100*(Norm_Stats!$G$16-MIN(MAX(City_Inputs!$AL63,Norm_Stats!$F$16),Norm_Stats!$G$16))/(Norm_Stats!$G$16-Norm_Stats!$F$16)))))="",0,0.3)))</f>
        <v/>
      </c>
      <c r="AM63" s="15">
        <f>IF((IF(AG63="",0,8)+IF(AI63="",0,6)+IF(AK63="",0,4))=0,"",(IF(AG63="",0,AG63*8)+IF(AI63="",0,AI63*6)+IF(AK63="",0,AK63*4))/(IF(AG63="",0,8)+IF(AI63="",0,6)+IF(AK63="",0,4)))</f>
        <v/>
      </c>
      <c r="AN63" s="14">
        <f>IF((IF(AH63="",0,8)+IF(AJ63="",0,6)+IF(AL63="",0,4))=0,"",(IF(AH63="",0,AH63*8)+IF(AJ63="",0,AJ63*6)+IF(AL63="",0,AL63*4))/18)</f>
        <v/>
      </c>
      <c r="AO63" s="11">
        <f>IF(OR(City_Inputs!$AB63="",Norm_Stats!$F$17="",Norm_Stats!$G$17="",Norm_Stats!$G$17=Norm_Stats!$F$17),"",MAX(0,MIN(100,100*(MIN(MAX(City_Inputs!$AB63,Norm_Stats!$F$17),Norm_Stats!$G$17)-Norm_Stats!$F$17)/(Norm_Stats!$G$17-Norm_Stats!$F$17))))</f>
        <v/>
      </c>
      <c r="AP63" s="14">
        <f>IF(AO63="","",1)</f>
        <v/>
      </c>
      <c r="AQ63" s="11">
        <f>IF(OR(City_Inputs!$AC63="",Norm_Stats!$F$18="",Norm_Stats!$G$18="",Norm_Stats!$G$18=Norm_Stats!$F$18),"",MAX(0,MIN(100,100*(MIN(MAX(City_Inputs!$AC63,Norm_Stats!$F$18),Norm_Stats!$G$18)-Norm_Stats!$F$18)/(Norm_Stats!$G$18-Norm_Stats!$F$18))))</f>
        <v/>
      </c>
      <c r="AR63" s="14">
        <f>IF(AQ63="","",1)</f>
        <v/>
      </c>
      <c r="AS63" s="11">
        <f>IF(OR(City_Inputs!$AD63="",Norm_Stats!$F$19="",Norm_Stats!$G$19="",Norm_Stats!$G$19=Norm_Stats!$F$19),"",MAX(0,MIN(100,100*(MIN(MAX(City_Inputs!$AD63,Norm_Stats!$F$19),Norm_Stats!$G$19)-Norm_Stats!$F$19)/(Norm_Stats!$G$19-Norm_Stats!$F$19))))</f>
        <v/>
      </c>
      <c r="AT63" s="14">
        <f>IF(AS63="","",1)</f>
        <v/>
      </c>
      <c r="AU63" s="11">
        <f>IF(OR(City_Inputs!$BJ63="",Norm_Stats!$F$26="",Norm_Stats!$G$26="",Norm_Stats!$G$26=Norm_Stats!$F$26),"",MAX(0,MIN(100,100*(MIN(MAX(City_Inputs!$BJ63,Norm_Stats!$F$26),Norm_Stats!$G$26)-Norm_Stats!$F$26)/(Norm_Stats!$G$26-Norm_Stats!$F$26))))</f>
        <v/>
      </c>
      <c r="AV63" s="11">
        <f>IF(AU63="","",1)</f>
        <v/>
      </c>
      <c r="AW63" s="15">
        <f>IF((IF(AO63="",0,5)+IF(AQ63="",0,5)+IF(AS63="",0,5)+IF(AU63="",0,4))=0,"",(IF(AO63="",0,AO63*5)+IF(AQ63="",0,AQ63*5)+IF(AS63="",0,AS63*5)+IF(AU63="",0,AU63*4))/(IF(AO63="",0,5)+IF(AQ63="",0,5)+IF(AS63="",0,5)+IF(AU63="",0,4)))</f>
        <v/>
      </c>
      <c r="AX63" s="14">
        <f>IF((IF(AP63="",0,5)+IF(AR63="",0,5)+IF(AT63="",0,5)+IF(AV63="",0,4))=0,"",(IF(AP63="",0,AP63*5)+IF(AR63="",0,AR63*5)+IF(AT63="",0,AT63*5)+IF(AV63="",0,AV63*4))/19)</f>
        <v/>
      </c>
      <c r="AY63" s="11">
        <f>IF(OR(City_Inputs!$AE63="",Norm_Stats!$F$20="",Norm_Stats!$G$20="",Norm_Stats!$G$20=Norm_Stats!$F$20),"",MAX(0,MIN(100,100*(MIN(MAX(City_Inputs!$AE63,Norm_Stats!$F$20),Norm_Stats!$G$20)-Norm_Stats!$F$20)/(Norm_Stats!$G$20-Norm_Stats!$F$20))))</f>
        <v/>
      </c>
      <c r="AZ63" s="14">
        <f>IF(AY63="","",1)</f>
        <v/>
      </c>
      <c r="BA63" s="11">
        <f>IF(OR(City_Inputs!$AF63="",Norm_Stats!$F$21="",Norm_Stats!$G$21="",Norm_Stats!$G$21=Norm_Stats!$F$21),"",MAX(0,MIN(100,100*(MIN(MAX(City_Inputs!$AF63,Norm_Stats!$F$21),Norm_Stats!$G$21)-Norm_Stats!$F$21)/(Norm_Stats!$G$21-Norm_Stats!$F$21))))</f>
        <v/>
      </c>
      <c r="BB63" s="14">
        <f>IF(BA63="","",1)</f>
        <v/>
      </c>
      <c r="BC63" s="11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(IF(OR(City_Inputs!$AG63="",Norm_Stats!$F$22="",Norm_Stats!$G$22="",Norm_Stats!$G$22=Norm_Stats!$F$22),"",MAX(0,MIN(100,100*(MIN(MAX(City_Inputs!$AG63,Norm_Stats!$F$22),Norm_Stats!$G$22)-Norm_Stats!$F$22)/(Norm_Stats!$G$22-Norm_Stats!$F$22)))))*0.5)+IF((IF(OR(City_Inputs!$AJ63="",Norm_Stats!$F$23="",Norm_Stats!$G$23="",Norm_Stats!$G$23=Norm_Stats!$F$23),"",MAX(0,MIN(100,100*(MIN(MAX(City_Inputs!$AJ63,Norm_Stats!$F$23),Norm_Stats!$G$23)-Norm_Stats!$F$23)/(Norm_Stats!$G$23-Norm_Stats!$F$23)))))="",0,(IF(OR(City_Inputs!$AJ63="",Norm_Stats!$F$23="",Norm_Stats!$G$23="",Norm_Stats!$G$23=Norm_Stats!$F$23),"",MAX(0,MIN(100,100*(MIN(MAX(City_Inputs!$AJ63,Norm_Stats!$F$23),Norm_Stats!$G$23)-Norm_Stats!$F$23)/(Norm_Stats!$G$23-Norm_Stats!$F$23)))))*0.3)+IF((IF(OR(City_Inputs!$AK63="",Norm_Stats!$F$24="",Norm_Stats!$G$24="",Norm_Stats!$G$24=Norm_Stats!$F$24),"",MAX(0,MIN(100,100*(MIN(MAX(City_Inputs!$AK63,Norm_Stats!$F$24),Norm_Stats!$G$24)-Norm_Stats!$F$24)/(Norm_Stats!$G$24-Norm_Stats!$F$24)))))="",0,(IF(OR(City_Inputs!$AK63="",Norm_Stats!$F$24="",Norm_Stats!$G$24="",Norm_Stats!$G$24=Norm_Stats!$F$24),"",MAX(0,MIN(100,100*(MIN(MAX(City_Inputs!$AK63,Norm_Stats!$F$24),Norm_Stats!$G$24)-Norm_Stats!$F$24)/(Norm_Stats!$G$24-Norm_Stats!$F$24)))))*0.2))/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D63" s="14">
        <f>IF(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=0,"",(IF((IF(OR(City_Inputs!$AG63="",Norm_Stats!$F$22="",Norm_Stats!$G$22="",Norm_Stats!$G$22=Norm_Stats!$F$22),"",MAX(0,MIN(100,100*(MIN(MAX(City_Inputs!$AG63,Norm_Stats!$F$22),Norm_Stats!$G$22)-Norm_Stats!$F$22)/(Norm_Stats!$G$22-Norm_Stats!$F$22)))))="",0,0.5)+IF((IF(OR(City_Inputs!$AJ63="",Norm_Stats!$F$23="",Norm_Stats!$G$23="",Norm_Stats!$G$23=Norm_Stats!$F$23),"",MAX(0,MIN(100,100*(MIN(MAX(City_Inputs!$AJ63,Norm_Stats!$F$23),Norm_Stats!$G$23)-Norm_Stats!$F$23)/(Norm_Stats!$G$23-Norm_Stats!$F$23)))))="",0,0.3)+IF((IF(OR(City_Inputs!$AK63="",Norm_Stats!$F$24="",Norm_Stats!$G$24="",Norm_Stats!$G$24=Norm_Stats!$F$24),"",MAX(0,MIN(100,100*(MIN(MAX(City_Inputs!$AK63,Norm_Stats!$F$24),Norm_Stats!$G$24)-Norm_Stats!$F$24)/(Norm_Stats!$G$24-Norm_Stats!$F$24)))))="",0,0.2)))</f>
        <v/>
      </c>
      <c r="BE63" s="11">
        <f>IF(OR(City_Inputs!$AH63="",Norm_Stats!$F$25="",Norm_Stats!$G$25="",Norm_Stats!$G$25=Norm_Stats!$F$25),"",MAX(0,MIN(100,100*(Norm_Stats!$G$25-MIN(MAX(City_Inputs!$AH63,Norm_Stats!$F$25),Norm_Stats!$G$25))/(Norm_Stats!$G$25-Norm_Stats!$F$25))))</f>
        <v/>
      </c>
      <c r="BF63" s="14">
        <f>IF(BE63="","",1)</f>
        <v/>
      </c>
      <c r="BG63" s="15">
        <f>IF((IF(AY63="",0,6)+IF(BA63="",0,5)+IF(BC63="",0,5)+IF(BE63="",0,4))=0,"",(IF(AY63="",0,AY63*6)+IF(BA63="",0,BA63*5)+IF(BC63="",0,BC63*5)+IF(BE63="",0,BE63*4))/(IF(AY63="",0,6)+IF(BA63="",0,5)+IF(BC63="",0,5)+IF(BE63="",0,4)))</f>
        <v/>
      </c>
      <c r="BH63" s="14">
        <f>IF((IF(AZ63="",0,6)+IF(BB63="",0,5)+IF(BD63="",0,5)+IF(BF63="",0,4))=0,"",(IF(AZ63="",0,AZ63*6)+IF(BB63="",0,BB63*5)+IF(BD63="",0,BD63*5)+IF(BF63="",0,BF63*4))/20)</f>
        <v/>
      </c>
      <c r="BI63" s="14">
        <f>IF(AND(R63="",AF63="",AN63="",AX63="",BH63=""),"",((R63*25)+(AF63*22)+(AN63*18)+(AX63*15)+(BH63*20))/100)</f>
        <v/>
      </c>
      <c r="BJ63" s="11">
        <f>IF(BI63="","",IF(BI63&gt;=0.75,"A",IF(BI63&gt;=0.5,"B",IF(BI63&gt;=0.35,"C","Watchlist"))))</f>
        <v/>
      </c>
      <c r="BK63" s="11">
        <f>IF(OR(BI63="",BI63&lt;0.5,R63="",R63&lt;0.35,AF63="",AF63&lt;0.35,AN63="",AN63&lt;0.35,AX63="",AX63&lt;0.35,BH63="",BH63&lt;0.35),"Watchlist","Ranked")</f>
        <v/>
      </c>
      <c r="BL63" s="15">
        <f>IF(AND(Q63="",AE63="",AM63="",AW63="",BG63=""),"",(IF(Q63="",0,Q63*25)+IF(AE63="",0,AE63*22)+IF(AM63="",0,AM63*18)+IF(AW63="",0,AW63*15)+IF(BG63="",0,BG63*20))/(IF(Q63="",0,25)+IF(AE63="",0,22)+IF(AM63="",0,18)+IF(AW63="",0,15)+IF(BG63="",0,20)))</f>
        <v/>
      </c>
      <c r="BM63" s="11">
        <f>IF(BK63="Ranked",1+COUNTIFS($BK$2:$BK$158,"Ranked",$BL$2:$BL$158,"&gt;"&amp;BL63),"")</f>
        <v/>
      </c>
      <c r="BN63" s="11">
        <f>City_Inputs!$AI63</f>
        <v/>
      </c>
    </row>
    <row r="64">
      <c r="A64" t="inlineStr">
        <is>
          <t>pa-panama-city</t>
        </is>
      </c>
      <c r="B64" t="inlineStr">
        <is>
          <t>Panama City</t>
        </is>
      </c>
      <c r="C64" t="inlineStr">
        <is>
          <t>Panama</t>
        </is>
      </c>
      <c r="D64" t="inlineStr">
        <is>
          <t>North America</t>
        </is>
      </c>
      <c r="E64" t="inlineStr">
        <is>
          <t>locked</t>
        </is>
      </c>
      <c r="F64" t="inlineStr">
        <is>
          <t>primary</t>
        </is>
      </c>
      <c r="G64" s="11">
        <f>IF(OR(City_Inputs!$M64="",Norm_Stats!$F$2="",Norm_Stats!$G$2="",Norm_Stats!$G$2=Norm_Stats!$F$2),"",MAX(0,MIN(100,100*(MIN(MAX(City_Inputs!$M64,Norm_Stats!$F$2),Norm_Stats!$G$2)-Norm_Stats!$F$2)/(Norm_Stats!$G$2-Norm_Stats!$F$2))))</f>
        <v/>
      </c>
      <c r="H64" s="14">
        <f>IF(G64="","",1)</f>
        <v/>
      </c>
      <c r="I64" s="11">
        <f>IF(OR(City_Inputs!$N64="",Norm_Stats!$F$3="",Norm_Stats!$G$3="",Norm_Stats!$G$3=Norm_Stats!$F$3),"",MAX(0,MIN(100,100*(Norm_Stats!$G$3-MIN(MAX(City_Inputs!$N64,Norm_Stats!$F$3),Norm_Stats!$G$3))/(Norm_Stats!$G$3-Norm_Stats!$F$3))))</f>
        <v/>
      </c>
      <c r="J64" s="14">
        <f>IF(I64="","",1)</f>
        <v/>
      </c>
      <c r="K64" s="11">
        <f>IF(OR(City_Inputs!$P64="",Norm_Stats!$F$4="",Norm_Stats!$G$4="",Norm_Stats!$G$4=Norm_Stats!$F$4),"",MAX(0,MIN(100,100*(Norm_Stats!$G$4-MIN(MAX(City_Inputs!$P64,Norm_Stats!$F$4),Norm_Stats!$G$4))/(Norm_Stats!$G$4-Norm_Stats!$F$4))))</f>
        <v/>
      </c>
      <c r="L64" s="14">
        <f>IF(K64="","",1)</f>
        <v/>
      </c>
      <c r="M64" s="11">
        <f>IF(OR(City_Inputs!$Q64="",Norm_Stats!$F$5="",Norm_Stats!$G$5="",Norm_Stats!$G$5=Norm_Stats!$F$5),"",MAX(0,MIN(100,100*(Norm_Stats!$G$5-MIN(MAX(City_Inputs!$Q64,Norm_Stats!$F$5),Norm_Stats!$G$5))/(Norm_Stats!$G$5-Norm_Stats!$F$5))))</f>
        <v/>
      </c>
      <c r="N64" s="14">
        <f>IF(M64="","",1)</f>
        <v/>
      </c>
      <c r="O64" s="11">
        <f>IF(OR(City_Inputs!$R64="",Norm_Stats!$F$6="",Norm_Stats!$G$6="",Norm_Stats!$G$6=Norm_Stats!$F$6),"",MAX(0,MIN(100,100*(Norm_Stats!$G$6-MIN(MAX(City_Inputs!$R64,Norm_Stats!$F$6),Norm_Stats!$G$6))/(Norm_Stats!$G$6-Norm_Stats!$F$6))))</f>
        <v/>
      </c>
      <c r="P64" s="14">
        <f>IF(O64="","",1)</f>
        <v/>
      </c>
      <c r="Q64" s="15">
        <f>IF((IF(G64="",0,9)+IF(I64="",0,5)+IF(K64="",0,4)+IF(M64="",0,4)+IF(O64="",0,5))=0,"",(IF(G64="",0,G64*9)+IF(I64="",0,I64*5)+IF(K64="",0,K64*4)+IF(M64="",0,M64*4)+IF(O64="",0,O64*5))/(IF(G64="",0,9)+IF(I64="",0,5)+IF(K64="",0,4)+IF(M64="",0,4)+IF(O64="",0,5)))</f>
        <v/>
      </c>
      <c r="R64" s="14">
        <f>IF((IF(H64="",0,9)+IF(J64="",0,5)+IF(L64="",0,4)+IF(N64="",0,4)+IF(P64="",0,5))=0,"",(IF(H64="",0,H64*9)+IF(J64="",0,J64*5)+IF(L64="",0,L64*4)+IF(N64="",0,N64*4)+IF(P64="",0,P64*5))/27)</f>
        <v/>
      </c>
      <c r="S64" s="11">
        <f>IF(OR(City_Inputs!$S64="",Norm_Stats!$F$7="",Norm_Stats!$G$7="",Norm_Stats!$G$7=Norm_Stats!$F$7),"",MAX(0,MIN(100,100*(Norm_Stats!$G$7-MIN(MAX(City_Inputs!$S64,Norm_Stats!$F$7),Norm_Stats!$G$7))/(Norm_Stats!$G$7-Norm_Stats!$F$7))))</f>
        <v/>
      </c>
      <c r="T64" s="14">
        <f>IF(S64="","",1)</f>
        <v/>
      </c>
      <c r="U64" s="11">
        <f>IF(OR(City_Inputs!$T64="",Norm_Stats!$F$8="",Norm_Stats!$G$8="",Norm_Stats!$G$8=Norm_Stats!$F$8),"",MAX(0,MIN(100,100*(MIN(MAX(City_Inputs!$T64,Norm_Stats!$F$8),Norm_Stats!$G$8)-Norm_Stats!$F$8)/(Norm_Stats!$G$8-Norm_Stats!$F$8))))</f>
        <v/>
      </c>
      <c r="V64" s="14">
        <f>IF(U64="","",1)</f>
        <v/>
      </c>
      <c r="W64" s="11">
        <f>IF(OR(City_Inputs!$U64="",Norm_Stats!$F$9="",Norm_Stats!$G$9="",Norm_Stats!$G$9=Norm_Stats!$F$9),"",MAX(0,MIN(100,100*(Norm_Stats!$G$9-MIN(MAX(City_Inputs!$U64,Norm_Stats!$F$9),Norm_Stats!$G$9))/(Norm_Stats!$G$9-Norm_Stats!$F$9))))</f>
        <v/>
      </c>
      <c r="X64" s="14">
        <f>IF(W64="","",1)</f>
        <v/>
      </c>
      <c r="Y64" s="11">
        <f>IF(OR(City_Inputs!$V64="",Norm_Stats!$F$10="",Norm_Stats!$G$10="",Norm_Stats!$G$10=Norm_Stats!$F$10),"",MAX(0,MIN(100,100*(MIN(MAX(City_Inputs!$V64,Norm_Stats!$F$10),Norm_Stats!$G$10)-Norm_Stats!$F$10)/(Norm_Stats!$G$10-Norm_Stats!$F$10))))</f>
        <v/>
      </c>
      <c r="Z64" s="14">
        <f>IF(Y64="","",1)</f>
        <v/>
      </c>
      <c r="AA64" s="11">
        <f>IF(OR(City_Inputs!$W64="",Norm_Stats!$F$11="",Norm_Stats!$G$11="",Norm_Stats!$G$11=Norm_Stats!$F$11),"",MAX(0,MIN(100,100*(MIN(MAX(City_Inputs!$W64,Norm_Stats!$F$11),Norm_Stats!$G$11)-Norm_Stats!$F$11)/(Norm_Stats!$G$11-Norm_Stats!$F$11))))</f>
        <v/>
      </c>
      <c r="AB64" s="14">
        <f>IF(AA64="","",1)</f>
        <v/>
      </c>
      <c r="AC64" s="11">
        <f>IF(OR(City_Inputs!$X64="",Norm_Stats!$F$12="",Norm_Stats!$G$12="",Norm_Stats!$G$12=Norm_Stats!$F$12),"",MAX(0,MIN(100,100*(MIN(MAX(City_Inputs!$X64,Norm_Stats!$F$12),Norm_Stats!$G$12)-Norm_Stats!$F$12)/(Norm_Stats!$G$12-Norm_Stats!$F$12))))</f>
        <v/>
      </c>
      <c r="AD64" s="11">
        <f>IF(AC64="","",1)</f>
        <v/>
      </c>
      <c r="AE64" s="15">
        <f>IF((IF(S64="",0,5)+IF(U64="",0,5)+IF(W64="",0,4)+IF(Y64="",0,4)+IF(AA64="",0,4)+IF(AC64="",0,5))=0,"",(IF(S64="",0,S64*5)+IF(U64="",0,U64*5)+IF(W64="",0,W64*4)+IF(Y64="",0,Y64*4)+IF(AA64="",0,AA64*4)+IF(AC64="",0,AC64*5))/(IF(S64="",0,5)+IF(U64="",0,5)+IF(W64="",0,4)+IF(Y64="",0,4)+IF(AA64="",0,4)+IF(AC64="",0,5)))</f>
        <v/>
      </c>
      <c r="AF64" s="14">
        <f>IF((IF(T64="",0,5)+IF(V64="",0,5)+IF(X64="",0,4)+IF(Z64="",0,4)+IF(AB64="",0,4)+IF(AD64="",0,5))=0,"",(IF(T64="",0,T64*5)+IF(V64="",0,V64*5)+IF(X64="",0,X64*4)+IF(Z64="",0,Z64*4)+IF(AB64="",0,AB64*4)+IF(AD64="",0,AD64*5))/27)</f>
        <v/>
      </c>
      <c r="AG64" s="11">
        <f>IF(OR(City_Inputs!$Y64="",Norm_Stats!$F$13="",Norm_Stats!$G$13="",Norm_Stats!$G$13=Norm_Stats!$F$13),"",MAX(0,MIN(100,100*(MIN(MAX(City_Inputs!$Y64,Norm_Stats!$F$13),Norm_Stats!$G$13)-Norm_Stats!$F$13)/(Norm_Stats!$G$13-Norm_Stats!$F$13))))</f>
        <v/>
      </c>
      <c r="AH64" s="14">
        <f>IF(AG64="","",1)</f>
        <v/>
      </c>
      <c r="AI64" s="11">
        <f>IF(OR(City_Inputs!$Z64="",Norm_Stats!$F$14="",Norm_Stats!$G$14="",Norm_Stats!$G$14=Norm_Stats!$F$14),"",MAX(0,MIN(100,100*(MIN(MAX(City_Inputs!$Z64,Norm_Stats!$F$14),Norm_Stats!$G$14)-Norm_Stats!$F$14)/(Norm_Stats!$G$14-Norm_Stats!$F$14))))</f>
        <v/>
      </c>
      <c r="AJ64" s="14">
        <f>IF(AI64="","",1)</f>
        <v/>
      </c>
      <c r="AK64" s="11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(IF(OR(City_Inputs!$AA64="",Norm_Stats!$F$15="",Norm_Stats!$G$15="",Norm_Stats!$G$15=Norm_Stats!$F$15),"",MAX(0,MIN(100,100*(MIN(MAX(City_Inputs!$AA64,Norm_Stats!$F$15),Norm_Stats!$G$15)-Norm_Stats!$F$15)/(Norm_Stats!$G$15-Norm_Stats!$F$15)))))*0.7)+IF((IF(OR(City_Inputs!$AL64="",Norm_Stats!$F$16="",Norm_Stats!$G$16="",Norm_Stats!$G$16=Norm_Stats!$F$16),"",MAX(0,MIN(100,100*(Norm_Stats!$G$16-MIN(MAX(City_Inputs!$AL64,Norm_Stats!$F$16),Norm_Stats!$G$16))/(Norm_Stats!$G$16-Norm_Stats!$F$16)))))="",0,(IF(OR(City_Inputs!$AL64="",Norm_Stats!$F$16="",Norm_Stats!$G$16="",Norm_Stats!$G$16=Norm_Stats!$F$16),"",MAX(0,MIN(100,100*(Norm_Stats!$G$16-MIN(MAX(City_Inputs!$AL64,Norm_Stats!$F$16),Norm_Stats!$G$16))/(Norm_Stats!$G$16-Norm_Stats!$F$16)))))*0.3))/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L64" s="14">
        <f>IF(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=0,"",(IF((IF(OR(City_Inputs!$AA64="",Norm_Stats!$F$15="",Norm_Stats!$G$15="",Norm_Stats!$G$15=Norm_Stats!$F$15),"",MAX(0,MIN(100,100*(MIN(MAX(City_Inputs!$AA64,Norm_Stats!$F$15),Norm_Stats!$G$15)-Norm_Stats!$F$15)/(Norm_Stats!$G$15-Norm_Stats!$F$15)))))="",0,0.7)+IF((IF(OR(City_Inputs!$AL64="",Norm_Stats!$F$16="",Norm_Stats!$G$16="",Norm_Stats!$G$16=Norm_Stats!$F$16),"",MAX(0,MIN(100,100*(Norm_Stats!$G$16-MIN(MAX(City_Inputs!$AL64,Norm_Stats!$F$16),Norm_Stats!$G$16))/(Norm_Stats!$G$16-Norm_Stats!$F$16)))))="",0,0.3)))</f>
        <v/>
      </c>
      <c r="AM64" s="15">
        <f>IF((IF(AG64="",0,8)+IF(AI64="",0,6)+IF(AK64="",0,4))=0,"",(IF(AG64="",0,AG64*8)+IF(AI64="",0,AI64*6)+IF(AK64="",0,AK64*4))/(IF(AG64="",0,8)+IF(AI64="",0,6)+IF(AK64="",0,4)))</f>
        <v/>
      </c>
      <c r="AN64" s="14">
        <f>IF((IF(AH64="",0,8)+IF(AJ64="",0,6)+IF(AL64="",0,4))=0,"",(IF(AH64="",0,AH64*8)+IF(AJ64="",0,AJ64*6)+IF(AL64="",0,AL64*4))/18)</f>
        <v/>
      </c>
      <c r="AO64" s="11">
        <f>IF(OR(City_Inputs!$AB64="",Norm_Stats!$F$17="",Norm_Stats!$G$17="",Norm_Stats!$G$17=Norm_Stats!$F$17),"",MAX(0,MIN(100,100*(MIN(MAX(City_Inputs!$AB64,Norm_Stats!$F$17),Norm_Stats!$G$17)-Norm_Stats!$F$17)/(Norm_Stats!$G$17-Norm_Stats!$F$17))))</f>
        <v/>
      </c>
      <c r="AP64" s="14">
        <f>IF(AO64="","",1)</f>
        <v/>
      </c>
      <c r="AQ64" s="11">
        <f>IF(OR(City_Inputs!$AC64="",Norm_Stats!$F$18="",Norm_Stats!$G$18="",Norm_Stats!$G$18=Norm_Stats!$F$18),"",MAX(0,MIN(100,100*(MIN(MAX(City_Inputs!$AC64,Norm_Stats!$F$18),Norm_Stats!$G$18)-Norm_Stats!$F$18)/(Norm_Stats!$G$18-Norm_Stats!$F$18))))</f>
        <v/>
      </c>
      <c r="AR64" s="14">
        <f>IF(AQ64="","",1)</f>
        <v/>
      </c>
      <c r="AS64" s="11">
        <f>IF(OR(City_Inputs!$AD64="",Norm_Stats!$F$19="",Norm_Stats!$G$19="",Norm_Stats!$G$19=Norm_Stats!$F$19),"",MAX(0,MIN(100,100*(MIN(MAX(City_Inputs!$AD64,Norm_Stats!$F$19),Norm_Stats!$G$19)-Norm_Stats!$F$19)/(Norm_Stats!$G$19-Norm_Stats!$F$19))))</f>
        <v/>
      </c>
      <c r="AT64" s="14">
        <f>IF(AS64="","",1)</f>
        <v/>
      </c>
      <c r="AU64" s="11">
        <f>IF(OR(City_Inputs!$BJ64="",Norm_Stats!$F$26="",Norm_Stats!$G$26="",Norm_Stats!$G$26=Norm_Stats!$F$26),"",MAX(0,MIN(100,100*(MIN(MAX(City_Inputs!$BJ64,Norm_Stats!$F$26),Norm_Stats!$G$26)-Norm_Stats!$F$26)/(Norm_Stats!$G$26-Norm_Stats!$F$26))))</f>
        <v/>
      </c>
      <c r="AV64" s="11">
        <f>IF(AU64="","",1)</f>
        <v/>
      </c>
      <c r="AW64" s="15">
        <f>IF((IF(AO64="",0,5)+IF(AQ64="",0,5)+IF(AS64="",0,5)+IF(AU64="",0,4))=0,"",(IF(AO64="",0,AO64*5)+IF(AQ64="",0,AQ64*5)+IF(AS64="",0,AS64*5)+IF(AU64="",0,AU64*4))/(IF(AO64="",0,5)+IF(AQ64="",0,5)+IF(AS64="",0,5)+IF(AU64="",0,4)))</f>
        <v/>
      </c>
      <c r="AX64" s="14">
        <f>IF((IF(AP64="",0,5)+IF(AR64="",0,5)+IF(AT64="",0,5)+IF(AV64="",0,4))=0,"",(IF(AP64="",0,AP64*5)+IF(AR64="",0,AR64*5)+IF(AT64="",0,AT64*5)+IF(AV64="",0,AV64*4))/19)</f>
        <v/>
      </c>
      <c r="AY64" s="11">
        <f>IF(OR(City_Inputs!$AE64="",Norm_Stats!$F$20="",Norm_Stats!$G$20="",Norm_Stats!$G$20=Norm_Stats!$F$20),"",MAX(0,MIN(100,100*(MIN(MAX(City_Inputs!$AE64,Norm_Stats!$F$20),Norm_Stats!$G$20)-Norm_Stats!$F$20)/(Norm_Stats!$G$20-Norm_Stats!$F$20))))</f>
        <v/>
      </c>
      <c r="AZ64" s="14">
        <f>IF(AY64="","",1)</f>
        <v/>
      </c>
      <c r="BA64" s="11">
        <f>IF(OR(City_Inputs!$AF64="",Norm_Stats!$F$21="",Norm_Stats!$G$21="",Norm_Stats!$G$21=Norm_Stats!$F$21),"",MAX(0,MIN(100,100*(MIN(MAX(City_Inputs!$AF64,Norm_Stats!$F$21),Norm_Stats!$G$21)-Norm_Stats!$F$21)/(Norm_Stats!$G$21-Norm_Stats!$F$21))))</f>
        <v/>
      </c>
      <c r="BB64" s="14">
        <f>IF(BA64="","",1)</f>
        <v/>
      </c>
      <c r="BC64" s="11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(IF(OR(City_Inputs!$AG64="",Norm_Stats!$F$22="",Norm_Stats!$G$22="",Norm_Stats!$G$22=Norm_Stats!$F$22),"",MAX(0,MIN(100,100*(MIN(MAX(City_Inputs!$AG64,Norm_Stats!$F$22),Norm_Stats!$G$22)-Norm_Stats!$F$22)/(Norm_Stats!$G$22-Norm_Stats!$F$22)))))*0.5)+IF((IF(OR(City_Inputs!$AJ64="",Norm_Stats!$F$23="",Norm_Stats!$G$23="",Norm_Stats!$G$23=Norm_Stats!$F$23),"",MAX(0,MIN(100,100*(MIN(MAX(City_Inputs!$AJ64,Norm_Stats!$F$23),Norm_Stats!$G$23)-Norm_Stats!$F$23)/(Norm_Stats!$G$23-Norm_Stats!$F$23)))))="",0,(IF(OR(City_Inputs!$AJ64="",Norm_Stats!$F$23="",Norm_Stats!$G$23="",Norm_Stats!$G$23=Norm_Stats!$F$23),"",MAX(0,MIN(100,100*(MIN(MAX(City_Inputs!$AJ64,Norm_Stats!$F$23),Norm_Stats!$G$23)-Norm_Stats!$F$23)/(Norm_Stats!$G$23-Norm_Stats!$F$23)))))*0.3)+IF((IF(OR(City_Inputs!$AK64="",Norm_Stats!$F$24="",Norm_Stats!$G$24="",Norm_Stats!$G$24=Norm_Stats!$F$24),"",MAX(0,MIN(100,100*(MIN(MAX(City_Inputs!$AK64,Norm_Stats!$F$24),Norm_Stats!$G$24)-Norm_Stats!$F$24)/(Norm_Stats!$G$24-Norm_Stats!$F$24)))))="",0,(IF(OR(City_Inputs!$AK64="",Norm_Stats!$F$24="",Norm_Stats!$G$24="",Norm_Stats!$G$24=Norm_Stats!$F$24),"",MAX(0,MIN(100,100*(MIN(MAX(City_Inputs!$AK64,Norm_Stats!$F$24),Norm_Stats!$G$24)-Norm_Stats!$F$24)/(Norm_Stats!$G$24-Norm_Stats!$F$24)))))*0.2))/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D64" s="14">
        <f>IF(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=0,"",(IF((IF(OR(City_Inputs!$AG64="",Norm_Stats!$F$22="",Norm_Stats!$G$22="",Norm_Stats!$G$22=Norm_Stats!$F$22),"",MAX(0,MIN(100,100*(MIN(MAX(City_Inputs!$AG64,Norm_Stats!$F$22),Norm_Stats!$G$22)-Norm_Stats!$F$22)/(Norm_Stats!$G$22-Norm_Stats!$F$22)))))="",0,0.5)+IF((IF(OR(City_Inputs!$AJ64="",Norm_Stats!$F$23="",Norm_Stats!$G$23="",Norm_Stats!$G$23=Norm_Stats!$F$23),"",MAX(0,MIN(100,100*(MIN(MAX(City_Inputs!$AJ64,Norm_Stats!$F$23),Norm_Stats!$G$23)-Norm_Stats!$F$23)/(Norm_Stats!$G$23-Norm_Stats!$F$23)))))="",0,0.3)+IF((IF(OR(City_Inputs!$AK64="",Norm_Stats!$F$24="",Norm_Stats!$G$24="",Norm_Stats!$G$24=Norm_Stats!$F$24),"",MAX(0,MIN(100,100*(MIN(MAX(City_Inputs!$AK64,Norm_Stats!$F$24),Norm_Stats!$G$24)-Norm_Stats!$F$24)/(Norm_Stats!$G$24-Norm_Stats!$F$24)))))="",0,0.2)))</f>
        <v/>
      </c>
      <c r="BE64" s="11">
        <f>IF(OR(City_Inputs!$AH64="",Norm_Stats!$F$25="",Norm_Stats!$G$25="",Norm_Stats!$G$25=Norm_Stats!$F$25),"",MAX(0,MIN(100,100*(Norm_Stats!$G$25-MIN(MAX(City_Inputs!$AH64,Norm_Stats!$F$25),Norm_Stats!$G$25))/(Norm_Stats!$G$25-Norm_Stats!$F$25))))</f>
        <v/>
      </c>
      <c r="BF64" s="14">
        <f>IF(BE64="","",1)</f>
        <v/>
      </c>
      <c r="BG64" s="15">
        <f>IF((IF(AY64="",0,6)+IF(BA64="",0,5)+IF(BC64="",0,5)+IF(BE64="",0,4))=0,"",(IF(AY64="",0,AY64*6)+IF(BA64="",0,BA64*5)+IF(BC64="",0,BC64*5)+IF(BE64="",0,BE64*4))/(IF(AY64="",0,6)+IF(BA64="",0,5)+IF(BC64="",0,5)+IF(BE64="",0,4)))</f>
        <v/>
      </c>
      <c r="BH64" s="14">
        <f>IF((IF(AZ64="",0,6)+IF(BB64="",0,5)+IF(BD64="",0,5)+IF(BF64="",0,4))=0,"",(IF(AZ64="",0,AZ64*6)+IF(BB64="",0,BB64*5)+IF(BD64="",0,BD64*5)+IF(BF64="",0,BF64*4))/20)</f>
        <v/>
      </c>
      <c r="BI64" s="14">
        <f>IF(AND(R64="",AF64="",AN64="",AX64="",BH64=""),"",((R64*25)+(AF64*22)+(AN64*18)+(AX64*15)+(BH64*20))/100)</f>
        <v/>
      </c>
      <c r="BJ64" s="11">
        <f>IF(BI64="","",IF(BI64&gt;=0.75,"A",IF(BI64&gt;=0.5,"B",IF(BI64&gt;=0.35,"C","Watchlist"))))</f>
        <v/>
      </c>
      <c r="BK64" s="11">
        <f>IF(OR(BI64="",BI64&lt;0.5,R64="",R64&lt;0.35,AF64="",AF64&lt;0.35,AN64="",AN64&lt;0.35,AX64="",AX64&lt;0.35,BH64="",BH64&lt;0.35),"Watchlist","Ranked")</f>
        <v/>
      </c>
      <c r="BL64" s="15">
        <f>IF(AND(Q64="",AE64="",AM64="",AW64="",BG64=""),"",(IF(Q64="",0,Q64*25)+IF(AE64="",0,AE64*22)+IF(AM64="",0,AM64*18)+IF(AW64="",0,AW64*15)+IF(BG64="",0,BG64*20))/(IF(Q64="",0,25)+IF(AE64="",0,22)+IF(AM64="",0,18)+IF(AW64="",0,15)+IF(BG64="",0,20)))</f>
        <v/>
      </c>
      <c r="BM64" s="11">
        <f>IF(BK64="Ranked",1+COUNTIFS($BK$2:$BK$158,"Ranked",$BL$2:$BL$158,"&gt;"&amp;BL64),"")</f>
        <v/>
      </c>
      <c r="BN64" s="11">
        <f>City_Inputs!$AI64</f>
        <v/>
      </c>
    </row>
    <row r="65">
      <c r="A65" t="inlineStr">
        <is>
          <t>cr-san-jose</t>
        </is>
      </c>
      <c r="B65" t="inlineStr">
        <is>
          <t>San Jose</t>
        </is>
      </c>
      <c r="C65" t="inlineStr">
        <is>
          <t>Costa Rica</t>
        </is>
      </c>
      <c r="D65" t="inlineStr">
        <is>
          <t>North America</t>
        </is>
      </c>
      <c r="E65" t="inlineStr">
        <is>
          <t>locked</t>
        </is>
      </c>
      <c r="F65" t="inlineStr">
        <is>
          <t>primary</t>
        </is>
      </c>
      <c r="G65" s="11">
        <f>IF(OR(City_Inputs!$M65="",Norm_Stats!$F$2="",Norm_Stats!$G$2="",Norm_Stats!$G$2=Norm_Stats!$F$2),"",MAX(0,MIN(100,100*(MIN(MAX(City_Inputs!$M65,Norm_Stats!$F$2),Norm_Stats!$G$2)-Norm_Stats!$F$2)/(Norm_Stats!$G$2-Norm_Stats!$F$2))))</f>
        <v/>
      </c>
      <c r="H65" s="14">
        <f>IF(G65="","",1)</f>
        <v/>
      </c>
      <c r="I65" s="11">
        <f>IF(OR(City_Inputs!$N65="",Norm_Stats!$F$3="",Norm_Stats!$G$3="",Norm_Stats!$G$3=Norm_Stats!$F$3),"",MAX(0,MIN(100,100*(Norm_Stats!$G$3-MIN(MAX(City_Inputs!$N65,Norm_Stats!$F$3),Norm_Stats!$G$3))/(Norm_Stats!$G$3-Norm_Stats!$F$3))))</f>
        <v/>
      </c>
      <c r="J65" s="14">
        <f>IF(I65="","",1)</f>
        <v/>
      </c>
      <c r="K65" s="11">
        <f>IF(OR(City_Inputs!$P65="",Norm_Stats!$F$4="",Norm_Stats!$G$4="",Norm_Stats!$G$4=Norm_Stats!$F$4),"",MAX(0,MIN(100,100*(Norm_Stats!$G$4-MIN(MAX(City_Inputs!$P65,Norm_Stats!$F$4),Norm_Stats!$G$4))/(Norm_Stats!$G$4-Norm_Stats!$F$4))))</f>
        <v/>
      </c>
      <c r="L65" s="14">
        <f>IF(K65="","",1)</f>
        <v/>
      </c>
      <c r="M65" s="11">
        <f>IF(OR(City_Inputs!$Q65="",Norm_Stats!$F$5="",Norm_Stats!$G$5="",Norm_Stats!$G$5=Norm_Stats!$F$5),"",MAX(0,MIN(100,100*(Norm_Stats!$G$5-MIN(MAX(City_Inputs!$Q65,Norm_Stats!$F$5),Norm_Stats!$G$5))/(Norm_Stats!$G$5-Norm_Stats!$F$5))))</f>
        <v/>
      </c>
      <c r="N65" s="14">
        <f>IF(M65="","",1)</f>
        <v/>
      </c>
      <c r="O65" s="11">
        <f>IF(OR(City_Inputs!$R65="",Norm_Stats!$F$6="",Norm_Stats!$G$6="",Norm_Stats!$G$6=Norm_Stats!$F$6),"",MAX(0,MIN(100,100*(Norm_Stats!$G$6-MIN(MAX(City_Inputs!$R65,Norm_Stats!$F$6),Norm_Stats!$G$6))/(Norm_Stats!$G$6-Norm_Stats!$F$6))))</f>
        <v/>
      </c>
      <c r="P65" s="14">
        <f>IF(O65="","",1)</f>
        <v/>
      </c>
      <c r="Q65" s="15">
        <f>IF((IF(G65="",0,9)+IF(I65="",0,5)+IF(K65="",0,4)+IF(M65="",0,4)+IF(O65="",0,5))=0,"",(IF(G65="",0,G65*9)+IF(I65="",0,I65*5)+IF(K65="",0,K65*4)+IF(M65="",0,M65*4)+IF(O65="",0,O65*5))/(IF(G65="",0,9)+IF(I65="",0,5)+IF(K65="",0,4)+IF(M65="",0,4)+IF(O65="",0,5)))</f>
        <v/>
      </c>
      <c r="R65" s="14">
        <f>IF((IF(H65="",0,9)+IF(J65="",0,5)+IF(L65="",0,4)+IF(N65="",0,4)+IF(P65="",0,5))=0,"",(IF(H65="",0,H65*9)+IF(J65="",0,J65*5)+IF(L65="",0,L65*4)+IF(N65="",0,N65*4)+IF(P65="",0,P65*5))/27)</f>
        <v/>
      </c>
      <c r="S65" s="11">
        <f>IF(OR(City_Inputs!$S65="",Norm_Stats!$F$7="",Norm_Stats!$G$7="",Norm_Stats!$G$7=Norm_Stats!$F$7),"",MAX(0,MIN(100,100*(Norm_Stats!$G$7-MIN(MAX(City_Inputs!$S65,Norm_Stats!$F$7),Norm_Stats!$G$7))/(Norm_Stats!$G$7-Norm_Stats!$F$7))))</f>
        <v/>
      </c>
      <c r="T65" s="14">
        <f>IF(S65="","",1)</f>
        <v/>
      </c>
      <c r="U65" s="11">
        <f>IF(OR(City_Inputs!$T65="",Norm_Stats!$F$8="",Norm_Stats!$G$8="",Norm_Stats!$G$8=Norm_Stats!$F$8),"",MAX(0,MIN(100,100*(MIN(MAX(City_Inputs!$T65,Norm_Stats!$F$8),Norm_Stats!$G$8)-Norm_Stats!$F$8)/(Norm_Stats!$G$8-Norm_Stats!$F$8))))</f>
        <v/>
      </c>
      <c r="V65" s="14">
        <f>IF(U65="","",1)</f>
        <v/>
      </c>
      <c r="W65" s="11">
        <f>IF(OR(City_Inputs!$U65="",Norm_Stats!$F$9="",Norm_Stats!$G$9="",Norm_Stats!$G$9=Norm_Stats!$F$9),"",MAX(0,MIN(100,100*(Norm_Stats!$G$9-MIN(MAX(City_Inputs!$U65,Norm_Stats!$F$9),Norm_Stats!$G$9))/(Norm_Stats!$G$9-Norm_Stats!$F$9))))</f>
        <v/>
      </c>
      <c r="X65" s="14">
        <f>IF(W65="","",1)</f>
        <v/>
      </c>
      <c r="Y65" s="11">
        <f>IF(OR(City_Inputs!$V65="",Norm_Stats!$F$10="",Norm_Stats!$G$10="",Norm_Stats!$G$10=Norm_Stats!$F$10),"",MAX(0,MIN(100,100*(MIN(MAX(City_Inputs!$V65,Norm_Stats!$F$10),Norm_Stats!$G$10)-Norm_Stats!$F$10)/(Norm_Stats!$G$10-Norm_Stats!$F$10))))</f>
        <v/>
      </c>
      <c r="Z65" s="14">
        <f>IF(Y65="","",1)</f>
        <v/>
      </c>
      <c r="AA65" s="11">
        <f>IF(OR(City_Inputs!$W65="",Norm_Stats!$F$11="",Norm_Stats!$G$11="",Norm_Stats!$G$11=Norm_Stats!$F$11),"",MAX(0,MIN(100,100*(MIN(MAX(City_Inputs!$W65,Norm_Stats!$F$11),Norm_Stats!$G$11)-Norm_Stats!$F$11)/(Norm_Stats!$G$11-Norm_Stats!$F$11))))</f>
        <v/>
      </c>
      <c r="AB65" s="14">
        <f>IF(AA65="","",1)</f>
        <v/>
      </c>
      <c r="AC65" s="11">
        <f>IF(OR(City_Inputs!$X65="",Norm_Stats!$F$12="",Norm_Stats!$G$12="",Norm_Stats!$G$12=Norm_Stats!$F$12),"",MAX(0,MIN(100,100*(MIN(MAX(City_Inputs!$X65,Norm_Stats!$F$12),Norm_Stats!$G$12)-Norm_Stats!$F$12)/(Norm_Stats!$G$12-Norm_Stats!$F$12))))</f>
        <v/>
      </c>
      <c r="AD65" s="11">
        <f>IF(AC65="","",1)</f>
        <v/>
      </c>
      <c r="AE65" s="15">
        <f>IF((IF(S65="",0,5)+IF(U65="",0,5)+IF(W65="",0,4)+IF(Y65="",0,4)+IF(AA65="",0,4)+IF(AC65="",0,5))=0,"",(IF(S65="",0,S65*5)+IF(U65="",0,U65*5)+IF(W65="",0,W65*4)+IF(Y65="",0,Y65*4)+IF(AA65="",0,AA65*4)+IF(AC65="",0,AC65*5))/(IF(S65="",0,5)+IF(U65="",0,5)+IF(W65="",0,4)+IF(Y65="",0,4)+IF(AA65="",0,4)+IF(AC65="",0,5)))</f>
        <v/>
      </c>
      <c r="AF65" s="14">
        <f>IF((IF(T65="",0,5)+IF(V65="",0,5)+IF(X65="",0,4)+IF(Z65="",0,4)+IF(AB65="",0,4)+IF(AD65="",0,5))=0,"",(IF(T65="",0,T65*5)+IF(V65="",0,V65*5)+IF(X65="",0,X65*4)+IF(Z65="",0,Z65*4)+IF(AB65="",0,AB65*4)+IF(AD65="",0,AD65*5))/27)</f>
        <v/>
      </c>
      <c r="AG65" s="11">
        <f>IF(OR(City_Inputs!$Y65="",Norm_Stats!$F$13="",Norm_Stats!$G$13="",Norm_Stats!$G$13=Norm_Stats!$F$13),"",MAX(0,MIN(100,100*(MIN(MAX(City_Inputs!$Y65,Norm_Stats!$F$13),Norm_Stats!$G$13)-Norm_Stats!$F$13)/(Norm_Stats!$G$13-Norm_Stats!$F$13))))</f>
        <v/>
      </c>
      <c r="AH65" s="14">
        <f>IF(AG65="","",1)</f>
        <v/>
      </c>
      <c r="AI65" s="11">
        <f>IF(OR(City_Inputs!$Z65="",Norm_Stats!$F$14="",Norm_Stats!$G$14="",Norm_Stats!$G$14=Norm_Stats!$F$14),"",MAX(0,MIN(100,100*(MIN(MAX(City_Inputs!$Z65,Norm_Stats!$F$14),Norm_Stats!$G$14)-Norm_Stats!$F$14)/(Norm_Stats!$G$14-Norm_Stats!$F$14))))</f>
        <v/>
      </c>
      <c r="AJ65" s="14">
        <f>IF(AI65="","",1)</f>
        <v/>
      </c>
      <c r="AK65" s="11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(IF(OR(City_Inputs!$AA65="",Norm_Stats!$F$15="",Norm_Stats!$G$15="",Norm_Stats!$G$15=Norm_Stats!$F$15),"",MAX(0,MIN(100,100*(MIN(MAX(City_Inputs!$AA65,Norm_Stats!$F$15),Norm_Stats!$G$15)-Norm_Stats!$F$15)/(Norm_Stats!$G$15-Norm_Stats!$F$15)))))*0.7)+IF((IF(OR(City_Inputs!$AL65="",Norm_Stats!$F$16="",Norm_Stats!$G$16="",Norm_Stats!$G$16=Norm_Stats!$F$16),"",MAX(0,MIN(100,100*(Norm_Stats!$G$16-MIN(MAX(City_Inputs!$AL65,Norm_Stats!$F$16),Norm_Stats!$G$16))/(Norm_Stats!$G$16-Norm_Stats!$F$16)))))="",0,(IF(OR(City_Inputs!$AL65="",Norm_Stats!$F$16="",Norm_Stats!$G$16="",Norm_Stats!$G$16=Norm_Stats!$F$16),"",MAX(0,MIN(100,100*(Norm_Stats!$G$16-MIN(MAX(City_Inputs!$AL65,Norm_Stats!$F$16),Norm_Stats!$G$16))/(Norm_Stats!$G$16-Norm_Stats!$F$16)))))*0.3))/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L65" s="14">
        <f>IF(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=0,"",(IF((IF(OR(City_Inputs!$AA65="",Norm_Stats!$F$15="",Norm_Stats!$G$15="",Norm_Stats!$G$15=Norm_Stats!$F$15),"",MAX(0,MIN(100,100*(MIN(MAX(City_Inputs!$AA65,Norm_Stats!$F$15),Norm_Stats!$G$15)-Norm_Stats!$F$15)/(Norm_Stats!$G$15-Norm_Stats!$F$15)))))="",0,0.7)+IF((IF(OR(City_Inputs!$AL65="",Norm_Stats!$F$16="",Norm_Stats!$G$16="",Norm_Stats!$G$16=Norm_Stats!$F$16),"",MAX(0,MIN(100,100*(Norm_Stats!$G$16-MIN(MAX(City_Inputs!$AL65,Norm_Stats!$F$16),Norm_Stats!$G$16))/(Norm_Stats!$G$16-Norm_Stats!$F$16)))))="",0,0.3)))</f>
        <v/>
      </c>
      <c r="AM65" s="15">
        <f>IF((IF(AG65="",0,8)+IF(AI65="",0,6)+IF(AK65="",0,4))=0,"",(IF(AG65="",0,AG65*8)+IF(AI65="",0,AI65*6)+IF(AK65="",0,AK65*4))/(IF(AG65="",0,8)+IF(AI65="",0,6)+IF(AK65="",0,4)))</f>
        <v/>
      </c>
      <c r="AN65" s="14">
        <f>IF((IF(AH65="",0,8)+IF(AJ65="",0,6)+IF(AL65="",0,4))=0,"",(IF(AH65="",0,AH65*8)+IF(AJ65="",0,AJ65*6)+IF(AL65="",0,AL65*4))/18)</f>
        <v/>
      </c>
      <c r="AO65" s="11">
        <f>IF(OR(City_Inputs!$AB65="",Norm_Stats!$F$17="",Norm_Stats!$G$17="",Norm_Stats!$G$17=Norm_Stats!$F$17),"",MAX(0,MIN(100,100*(MIN(MAX(City_Inputs!$AB65,Norm_Stats!$F$17),Norm_Stats!$G$17)-Norm_Stats!$F$17)/(Norm_Stats!$G$17-Norm_Stats!$F$17))))</f>
        <v/>
      </c>
      <c r="AP65" s="14">
        <f>IF(AO65="","",1)</f>
        <v/>
      </c>
      <c r="AQ65" s="11">
        <f>IF(OR(City_Inputs!$AC65="",Norm_Stats!$F$18="",Norm_Stats!$G$18="",Norm_Stats!$G$18=Norm_Stats!$F$18),"",MAX(0,MIN(100,100*(MIN(MAX(City_Inputs!$AC65,Norm_Stats!$F$18),Norm_Stats!$G$18)-Norm_Stats!$F$18)/(Norm_Stats!$G$18-Norm_Stats!$F$18))))</f>
        <v/>
      </c>
      <c r="AR65" s="14">
        <f>IF(AQ65="","",1)</f>
        <v/>
      </c>
      <c r="AS65" s="11">
        <f>IF(OR(City_Inputs!$AD65="",Norm_Stats!$F$19="",Norm_Stats!$G$19="",Norm_Stats!$G$19=Norm_Stats!$F$19),"",MAX(0,MIN(100,100*(MIN(MAX(City_Inputs!$AD65,Norm_Stats!$F$19),Norm_Stats!$G$19)-Norm_Stats!$F$19)/(Norm_Stats!$G$19-Norm_Stats!$F$19))))</f>
        <v/>
      </c>
      <c r="AT65" s="14">
        <f>IF(AS65="","",1)</f>
        <v/>
      </c>
      <c r="AU65" s="11">
        <f>IF(OR(City_Inputs!$BJ65="",Norm_Stats!$F$26="",Norm_Stats!$G$26="",Norm_Stats!$G$26=Norm_Stats!$F$26),"",MAX(0,MIN(100,100*(MIN(MAX(City_Inputs!$BJ65,Norm_Stats!$F$26),Norm_Stats!$G$26)-Norm_Stats!$F$26)/(Norm_Stats!$G$26-Norm_Stats!$F$26))))</f>
        <v/>
      </c>
      <c r="AV65" s="11">
        <f>IF(AU65="","",1)</f>
        <v/>
      </c>
      <c r="AW65" s="15">
        <f>IF((IF(AO65="",0,5)+IF(AQ65="",0,5)+IF(AS65="",0,5)+IF(AU65="",0,4))=0,"",(IF(AO65="",0,AO65*5)+IF(AQ65="",0,AQ65*5)+IF(AS65="",0,AS65*5)+IF(AU65="",0,AU65*4))/(IF(AO65="",0,5)+IF(AQ65="",0,5)+IF(AS65="",0,5)+IF(AU65="",0,4)))</f>
        <v/>
      </c>
      <c r="AX65" s="14">
        <f>IF((IF(AP65="",0,5)+IF(AR65="",0,5)+IF(AT65="",0,5)+IF(AV65="",0,4))=0,"",(IF(AP65="",0,AP65*5)+IF(AR65="",0,AR65*5)+IF(AT65="",0,AT65*5)+IF(AV65="",0,AV65*4))/19)</f>
        <v/>
      </c>
      <c r="AY65" s="11">
        <f>IF(OR(City_Inputs!$AE65="",Norm_Stats!$F$20="",Norm_Stats!$G$20="",Norm_Stats!$G$20=Norm_Stats!$F$20),"",MAX(0,MIN(100,100*(MIN(MAX(City_Inputs!$AE65,Norm_Stats!$F$20),Norm_Stats!$G$20)-Norm_Stats!$F$20)/(Norm_Stats!$G$20-Norm_Stats!$F$20))))</f>
        <v/>
      </c>
      <c r="AZ65" s="14">
        <f>IF(AY65="","",1)</f>
        <v/>
      </c>
      <c r="BA65" s="11">
        <f>IF(OR(City_Inputs!$AF65="",Norm_Stats!$F$21="",Norm_Stats!$G$21="",Norm_Stats!$G$21=Norm_Stats!$F$21),"",MAX(0,MIN(100,100*(MIN(MAX(City_Inputs!$AF65,Norm_Stats!$F$21),Norm_Stats!$G$21)-Norm_Stats!$F$21)/(Norm_Stats!$G$21-Norm_Stats!$F$21))))</f>
        <v/>
      </c>
      <c r="BB65" s="14">
        <f>IF(BA65="","",1)</f>
        <v/>
      </c>
      <c r="BC65" s="11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(IF(OR(City_Inputs!$AG65="",Norm_Stats!$F$22="",Norm_Stats!$G$22="",Norm_Stats!$G$22=Norm_Stats!$F$22),"",MAX(0,MIN(100,100*(MIN(MAX(City_Inputs!$AG65,Norm_Stats!$F$22),Norm_Stats!$G$22)-Norm_Stats!$F$22)/(Norm_Stats!$G$22-Norm_Stats!$F$22)))))*0.5)+IF((IF(OR(City_Inputs!$AJ65="",Norm_Stats!$F$23="",Norm_Stats!$G$23="",Norm_Stats!$G$23=Norm_Stats!$F$23),"",MAX(0,MIN(100,100*(MIN(MAX(City_Inputs!$AJ65,Norm_Stats!$F$23),Norm_Stats!$G$23)-Norm_Stats!$F$23)/(Norm_Stats!$G$23-Norm_Stats!$F$23)))))="",0,(IF(OR(City_Inputs!$AJ65="",Norm_Stats!$F$23="",Norm_Stats!$G$23="",Norm_Stats!$G$23=Norm_Stats!$F$23),"",MAX(0,MIN(100,100*(MIN(MAX(City_Inputs!$AJ65,Norm_Stats!$F$23),Norm_Stats!$G$23)-Norm_Stats!$F$23)/(Norm_Stats!$G$23-Norm_Stats!$F$23)))))*0.3)+IF((IF(OR(City_Inputs!$AK65="",Norm_Stats!$F$24="",Norm_Stats!$G$24="",Norm_Stats!$G$24=Norm_Stats!$F$24),"",MAX(0,MIN(100,100*(MIN(MAX(City_Inputs!$AK65,Norm_Stats!$F$24),Norm_Stats!$G$24)-Norm_Stats!$F$24)/(Norm_Stats!$G$24-Norm_Stats!$F$24)))))="",0,(IF(OR(City_Inputs!$AK65="",Norm_Stats!$F$24="",Norm_Stats!$G$24="",Norm_Stats!$G$24=Norm_Stats!$F$24),"",MAX(0,MIN(100,100*(MIN(MAX(City_Inputs!$AK65,Norm_Stats!$F$24),Norm_Stats!$G$24)-Norm_Stats!$F$24)/(Norm_Stats!$G$24-Norm_Stats!$F$24)))))*0.2))/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D65" s="14">
        <f>IF(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=0,"",(IF((IF(OR(City_Inputs!$AG65="",Norm_Stats!$F$22="",Norm_Stats!$G$22="",Norm_Stats!$G$22=Norm_Stats!$F$22),"",MAX(0,MIN(100,100*(MIN(MAX(City_Inputs!$AG65,Norm_Stats!$F$22),Norm_Stats!$G$22)-Norm_Stats!$F$22)/(Norm_Stats!$G$22-Norm_Stats!$F$22)))))="",0,0.5)+IF((IF(OR(City_Inputs!$AJ65="",Norm_Stats!$F$23="",Norm_Stats!$G$23="",Norm_Stats!$G$23=Norm_Stats!$F$23),"",MAX(0,MIN(100,100*(MIN(MAX(City_Inputs!$AJ65,Norm_Stats!$F$23),Norm_Stats!$G$23)-Norm_Stats!$F$23)/(Norm_Stats!$G$23-Norm_Stats!$F$23)))))="",0,0.3)+IF((IF(OR(City_Inputs!$AK65="",Norm_Stats!$F$24="",Norm_Stats!$G$24="",Norm_Stats!$G$24=Norm_Stats!$F$24),"",MAX(0,MIN(100,100*(MIN(MAX(City_Inputs!$AK65,Norm_Stats!$F$24),Norm_Stats!$G$24)-Norm_Stats!$F$24)/(Norm_Stats!$G$24-Norm_Stats!$F$24)))))="",0,0.2)))</f>
        <v/>
      </c>
      <c r="BE65" s="11">
        <f>IF(OR(City_Inputs!$AH65="",Norm_Stats!$F$25="",Norm_Stats!$G$25="",Norm_Stats!$G$25=Norm_Stats!$F$25),"",MAX(0,MIN(100,100*(Norm_Stats!$G$25-MIN(MAX(City_Inputs!$AH65,Norm_Stats!$F$25),Norm_Stats!$G$25))/(Norm_Stats!$G$25-Norm_Stats!$F$25))))</f>
        <v/>
      </c>
      <c r="BF65" s="14">
        <f>IF(BE65="","",1)</f>
        <v/>
      </c>
      <c r="BG65" s="15">
        <f>IF((IF(AY65="",0,6)+IF(BA65="",0,5)+IF(BC65="",0,5)+IF(BE65="",0,4))=0,"",(IF(AY65="",0,AY65*6)+IF(BA65="",0,BA65*5)+IF(BC65="",0,BC65*5)+IF(BE65="",0,BE65*4))/(IF(AY65="",0,6)+IF(BA65="",0,5)+IF(BC65="",0,5)+IF(BE65="",0,4)))</f>
        <v/>
      </c>
      <c r="BH65" s="14">
        <f>IF((IF(AZ65="",0,6)+IF(BB65="",0,5)+IF(BD65="",0,5)+IF(BF65="",0,4))=0,"",(IF(AZ65="",0,AZ65*6)+IF(BB65="",0,BB65*5)+IF(BD65="",0,BD65*5)+IF(BF65="",0,BF65*4))/20)</f>
        <v/>
      </c>
      <c r="BI65" s="14">
        <f>IF(AND(R65="",AF65="",AN65="",AX65="",BH65=""),"",((R65*25)+(AF65*22)+(AN65*18)+(AX65*15)+(BH65*20))/100)</f>
        <v/>
      </c>
      <c r="BJ65" s="11">
        <f>IF(BI65="","",IF(BI65&gt;=0.75,"A",IF(BI65&gt;=0.5,"B",IF(BI65&gt;=0.35,"C","Watchlist"))))</f>
        <v/>
      </c>
      <c r="BK65" s="11">
        <f>IF(OR(BI65="",BI65&lt;0.5,R65="",R65&lt;0.35,AF65="",AF65&lt;0.35,AN65="",AN65&lt;0.35,AX65="",AX65&lt;0.35,BH65="",BH65&lt;0.35),"Watchlist","Ranked")</f>
        <v/>
      </c>
      <c r="BL65" s="15">
        <f>IF(AND(Q65="",AE65="",AM65="",AW65="",BG65=""),"",(IF(Q65="",0,Q65*25)+IF(AE65="",0,AE65*22)+IF(AM65="",0,AM65*18)+IF(AW65="",0,AW65*15)+IF(BG65="",0,BG65*20))/(IF(Q65="",0,25)+IF(AE65="",0,22)+IF(AM65="",0,18)+IF(AW65="",0,15)+IF(BG65="",0,20)))</f>
        <v/>
      </c>
      <c r="BM65" s="11">
        <f>IF(BK65="Ranked",1+COUNTIFS($BK$2:$BK$158,"Ranked",$BL$2:$BL$158,"&gt;"&amp;BL65),"")</f>
        <v/>
      </c>
      <c r="BN65" s="11">
        <f>City_Inputs!$AI65</f>
        <v/>
      </c>
    </row>
    <row r="66">
      <c r="A66" t="inlineStr">
        <is>
          <t>us-pittsburgh</t>
        </is>
      </c>
      <c r="B66" t="inlineStr">
        <is>
          <t>Pittsburgh</t>
        </is>
      </c>
      <c r="C66" t="inlineStr">
        <is>
          <t>United States</t>
        </is>
      </c>
      <c r="D66" t="inlineStr">
        <is>
          <t>North America</t>
        </is>
      </c>
      <c r="E66" t="inlineStr">
        <is>
          <t>locked</t>
        </is>
      </c>
      <c r="F66" t="inlineStr">
        <is>
          <t>secondary</t>
        </is>
      </c>
      <c r="G66" s="11">
        <f>IF(OR(City_Inputs!$M66="",Norm_Stats!$F$2="",Norm_Stats!$G$2="",Norm_Stats!$G$2=Norm_Stats!$F$2),"",MAX(0,MIN(100,100*(MIN(MAX(City_Inputs!$M66,Norm_Stats!$F$2),Norm_Stats!$G$2)-Norm_Stats!$F$2)/(Norm_Stats!$G$2-Norm_Stats!$F$2))))</f>
        <v/>
      </c>
      <c r="H66" s="14">
        <f>IF(G66="","",1)</f>
        <v/>
      </c>
      <c r="I66" s="11">
        <f>IF(OR(City_Inputs!$N66="",Norm_Stats!$F$3="",Norm_Stats!$G$3="",Norm_Stats!$G$3=Norm_Stats!$F$3),"",MAX(0,MIN(100,100*(Norm_Stats!$G$3-MIN(MAX(City_Inputs!$N66,Norm_Stats!$F$3),Norm_Stats!$G$3))/(Norm_Stats!$G$3-Norm_Stats!$F$3))))</f>
        <v/>
      </c>
      <c r="J66" s="14">
        <f>IF(I66="","",1)</f>
        <v/>
      </c>
      <c r="K66" s="11">
        <f>IF(OR(City_Inputs!$P66="",Norm_Stats!$F$4="",Norm_Stats!$G$4="",Norm_Stats!$G$4=Norm_Stats!$F$4),"",MAX(0,MIN(100,100*(Norm_Stats!$G$4-MIN(MAX(City_Inputs!$P66,Norm_Stats!$F$4),Norm_Stats!$G$4))/(Norm_Stats!$G$4-Norm_Stats!$F$4))))</f>
        <v/>
      </c>
      <c r="L66" s="14">
        <f>IF(K66="","",1)</f>
        <v/>
      </c>
      <c r="M66" s="11">
        <f>IF(OR(City_Inputs!$Q66="",Norm_Stats!$F$5="",Norm_Stats!$G$5="",Norm_Stats!$G$5=Norm_Stats!$F$5),"",MAX(0,MIN(100,100*(Norm_Stats!$G$5-MIN(MAX(City_Inputs!$Q66,Norm_Stats!$F$5),Norm_Stats!$G$5))/(Norm_Stats!$G$5-Norm_Stats!$F$5))))</f>
        <v/>
      </c>
      <c r="N66" s="14">
        <f>IF(M66="","",1)</f>
        <v/>
      </c>
      <c r="O66" s="11">
        <f>IF(OR(City_Inputs!$R66="",Norm_Stats!$F$6="",Norm_Stats!$G$6="",Norm_Stats!$G$6=Norm_Stats!$F$6),"",MAX(0,MIN(100,100*(Norm_Stats!$G$6-MIN(MAX(City_Inputs!$R66,Norm_Stats!$F$6),Norm_Stats!$G$6))/(Norm_Stats!$G$6-Norm_Stats!$F$6))))</f>
        <v/>
      </c>
      <c r="P66" s="14">
        <f>IF(O66="","",1)</f>
        <v/>
      </c>
      <c r="Q66" s="15">
        <f>IF((IF(G66="",0,9)+IF(I66="",0,5)+IF(K66="",0,4)+IF(M66="",0,4)+IF(O66="",0,5))=0,"",(IF(G66="",0,G66*9)+IF(I66="",0,I66*5)+IF(K66="",0,K66*4)+IF(M66="",0,M66*4)+IF(O66="",0,O66*5))/(IF(G66="",0,9)+IF(I66="",0,5)+IF(K66="",0,4)+IF(M66="",0,4)+IF(O66="",0,5)))</f>
        <v/>
      </c>
      <c r="R66" s="14">
        <f>IF((IF(H66="",0,9)+IF(J66="",0,5)+IF(L66="",0,4)+IF(N66="",0,4)+IF(P66="",0,5))=0,"",(IF(H66="",0,H66*9)+IF(J66="",0,J66*5)+IF(L66="",0,L66*4)+IF(N66="",0,N66*4)+IF(P66="",0,P66*5))/27)</f>
        <v/>
      </c>
      <c r="S66" s="11">
        <f>IF(OR(City_Inputs!$S66="",Norm_Stats!$F$7="",Norm_Stats!$G$7="",Norm_Stats!$G$7=Norm_Stats!$F$7),"",MAX(0,MIN(100,100*(Norm_Stats!$G$7-MIN(MAX(City_Inputs!$S66,Norm_Stats!$F$7),Norm_Stats!$G$7))/(Norm_Stats!$G$7-Norm_Stats!$F$7))))</f>
        <v/>
      </c>
      <c r="T66" s="14">
        <f>IF(S66="","",1)</f>
        <v/>
      </c>
      <c r="U66" s="11">
        <f>IF(OR(City_Inputs!$T66="",Norm_Stats!$F$8="",Norm_Stats!$G$8="",Norm_Stats!$G$8=Norm_Stats!$F$8),"",MAX(0,MIN(100,100*(MIN(MAX(City_Inputs!$T66,Norm_Stats!$F$8),Norm_Stats!$G$8)-Norm_Stats!$F$8)/(Norm_Stats!$G$8-Norm_Stats!$F$8))))</f>
        <v/>
      </c>
      <c r="V66" s="14">
        <f>IF(U66="","",1)</f>
        <v/>
      </c>
      <c r="W66" s="11">
        <f>IF(OR(City_Inputs!$U66="",Norm_Stats!$F$9="",Norm_Stats!$G$9="",Norm_Stats!$G$9=Norm_Stats!$F$9),"",MAX(0,MIN(100,100*(Norm_Stats!$G$9-MIN(MAX(City_Inputs!$U66,Norm_Stats!$F$9),Norm_Stats!$G$9))/(Norm_Stats!$G$9-Norm_Stats!$F$9))))</f>
        <v/>
      </c>
      <c r="X66" s="14">
        <f>IF(W66="","",1)</f>
        <v/>
      </c>
      <c r="Y66" s="11">
        <f>IF(OR(City_Inputs!$V66="",Norm_Stats!$F$10="",Norm_Stats!$G$10="",Norm_Stats!$G$10=Norm_Stats!$F$10),"",MAX(0,MIN(100,100*(MIN(MAX(City_Inputs!$V66,Norm_Stats!$F$10),Norm_Stats!$G$10)-Norm_Stats!$F$10)/(Norm_Stats!$G$10-Norm_Stats!$F$10))))</f>
        <v/>
      </c>
      <c r="Z66" s="14">
        <f>IF(Y66="","",1)</f>
        <v/>
      </c>
      <c r="AA66" s="11">
        <f>IF(OR(City_Inputs!$W66="",Norm_Stats!$F$11="",Norm_Stats!$G$11="",Norm_Stats!$G$11=Norm_Stats!$F$11),"",MAX(0,MIN(100,100*(MIN(MAX(City_Inputs!$W66,Norm_Stats!$F$11),Norm_Stats!$G$11)-Norm_Stats!$F$11)/(Norm_Stats!$G$11-Norm_Stats!$F$11))))</f>
        <v/>
      </c>
      <c r="AB66" s="14">
        <f>IF(AA66="","",1)</f>
        <v/>
      </c>
      <c r="AC66" s="11">
        <f>IF(OR(City_Inputs!$X66="",Norm_Stats!$F$12="",Norm_Stats!$G$12="",Norm_Stats!$G$12=Norm_Stats!$F$12),"",MAX(0,MIN(100,100*(MIN(MAX(City_Inputs!$X66,Norm_Stats!$F$12),Norm_Stats!$G$12)-Norm_Stats!$F$12)/(Norm_Stats!$G$12-Norm_Stats!$F$12))))</f>
        <v/>
      </c>
      <c r="AD66" s="11">
        <f>IF(AC66="","",1)</f>
        <v/>
      </c>
      <c r="AE66" s="15">
        <f>IF((IF(S66="",0,5)+IF(U66="",0,5)+IF(W66="",0,4)+IF(Y66="",0,4)+IF(AA66="",0,4)+IF(AC66="",0,5))=0,"",(IF(S66="",0,S66*5)+IF(U66="",0,U66*5)+IF(W66="",0,W66*4)+IF(Y66="",0,Y66*4)+IF(AA66="",0,AA66*4)+IF(AC66="",0,AC66*5))/(IF(S66="",0,5)+IF(U66="",0,5)+IF(W66="",0,4)+IF(Y66="",0,4)+IF(AA66="",0,4)+IF(AC66="",0,5)))</f>
        <v/>
      </c>
      <c r="AF66" s="14">
        <f>IF((IF(T66="",0,5)+IF(V66="",0,5)+IF(X66="",0,4)+IF(Z66="",0,4)+IF(AB66="",0,4)+IF(AD66="",0,5))=0,"",(IF(T66="",0,T66*5)+IF(V66="",0,V66*5)+IF(X66="",0,X66*4)+IF(Z66="",0,Z66*4)+IF(AB66="",0,AB66*4)+IF(AD66="",0,AD66*5))/27)</f>
        <v/>
      </c>
      <c r="AG66" s="11">
        <f>IF(OR(City_Inputs!$Y66="",Norm_Stats!$F$13="",Norm_Stats!$G$13="",Norm_Stats!$G$13=Norm_Stats!$F$13),"",MAX(0,MIN(100,100*(MIN(MAX(City_Inputs!$Y66,Norm_Stats!$F$13),Norm_Stats!$G$13)-Norm_Stats!$F$13)/(Norm_Stats!$G$13-Norm_Stats!$F$13))))</f>
        <v/>
      </c>
      <c r="AH66" s="14">
        <f>IF(AG66="","",1)</f>
        <v/>
      </c>
      <c r="AI66" s="11">
        <f>IF(OR(City_Inputs!$Z66="",Norm_Stats!$F$14="",Norm_Stats!$G$14="",Norm_Stats!$G$14=Norm_Stats!$F$14),"",MAX(0,MIN(100,100*(MIN(MAX(City_Inputs!$Z66,Norm_Stats!$F$14),Norm_Stats!$G$14)-Norm_Stats!$F$14)/(Norm_Stats!$G$14-Norm_Stats!$F$14))))</f>
        <v/>
      </c>
      <c r="AJ66" s="14">
        <f>IF(AI66="","",1)</f>
        <v/>
      </c>
      <c r="AK66" s="11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(IF(OR(City_Inputs!$AA66="",Norm_Stats!$F$15="",Norm_Stats!$G$15="",Norm_Stats!$G$15=Norm_Stats!$F$15),"",MAX(0,MIN(100,100*(MIN(MAX(City_Inputs!$AA66,Norm_Stats!$F$15),Norm_Stats!$G$15)-Norm_Stats!$F$15)/(Norm_Stats!$G$15-Norm_Stats!$F$15)))))*0.7)+IF((IF(OR(City_Inputs!$AL66="",Norm_Stats!$F$16="",Norm_Stats!$G$16="",Norm_Stats!$G$16=Norm_Stats!$F$16),"",MAX(0,MIN(100,100*(Norm_Stats!$G$16-MIN(MAX(City_Inputs!$AL66,Norm_Stats!$F$16),Norm_Stats!$G$16))/(Norm_Stats!$G$16-Norm_Stats!$F$16)))))="",0,(IF(OR(City_Inputs!$AL66="",Norm_Stats!$F$16="",Norm_Stats!$G$16="",Norm_Stats!$G$16=Norm_Stats!$F$16),"",MAX(0,MIN(100,100*(Norm_Stats!$G$16-MIN(MAX(City_Inputs!$AL66,Norm_Stats!$F$16),Norm_Stats!$G$16))/(Norm_Stats!$G$16-Norm_Stats!$F$16)))))*0.3))/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L66" s="14">
        <f>IF(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=0,"",(IF((IF(OR(City_Inputs!$AA66="",Norm_Stats!$F$15="",Norm_Stats!$G$15="",Norm_Stats!$G$15=Norm_Stats!$F$15),"",MAX(0,MIN(100,100*(MIN(MAX(City_Inputs!$AA66,Norm_Stats!$F$15),Norm_Stats!$G$15)-Norm_Stats!$F$15)/(Norm_Stats!$G$15-Norm_Stats!$F$15)))))="",0,0.7)+IF((IF(OR(City_Inputs!$AL66="",Norm_Stats!$F$16="",Norm_Stats!$G$16="",Norm_Stats!$G$16=Norm_Stats!$F$16),"",MAX(0,MIN(100,100*(Norm_Stats!$G$16-MIN(MAX(City_Inputs!$AL66,Norm_Stats!$F$16),Norm_Stats!$G$16))/(Norm_Stats!$G$16-Norm_Stats!$F$16)))))="",0,0.3)))</f>
        <v/>
      </c>
      <c r="AM66" s="15">
        <f>IF((IF(AG66="",0,8)+IF(AI66="",0,6)+IF(AK66="",0,4))=0,"",(IF(AG66="",0,AG66*8)+IF(AI66="",0,AI66*6)+IF(AK66="",0,AK66*4))/(IF(AG66="",0,8)+IF(AI66="",0,6)+IF(AK66="",0,4)))</f>
        <v/>
      </c>
      <c r="AN66" s="14">
        <f>IF((IF(AH66="",0,8)+IF(AJ66="",0,6)+IF(AL66="",0,4))=0,"",(IF(AH66="",0,AH66*8)+IF(AJ66="",0,AJ66*6)+IF(AL66="",0,AL66*4))/18)</f>
        <v/>
      </c>
      <c r="AO66" s="11">
        <f>IF(OR(City_Inputs!$AB66="",Norm_Stats!$F$17="",Norm_Stats!$G$17="",Norm_Stats!$G$17=Norm_Stats!$F$17),"",MAX(0,MIN(100,100*(MIN(MAX(City_Inputs!$AB66,Norm_Stats!$F$17),Norm_Stats!$G$17)-Norm_Stats!$F$17)/(Norm_Stats!$G$17-Norm_Stats!$F$17))))</f>
        <v/>
      </c>
      <c r="AP66" s="14">
        <f>IF(AO66="","",1)</f>
        <v/>
      </c>
      <c r="AQ66" s="11">
        <f>IF(OR(City_Inputs!$AC66="",Norm_Stats!$F$18="",Norm_Stats!$G$18="",Norm_Stats!$G$18=Norm_Stats!$F$18),"",MAX(0,MIN(100,100*(MIN(MAX(City_Inputs!$AC66,Norm_Stats!$F$18),Norm_Stats!$G$18)-Norm_Stats!$F$18)/(Norm_Stats!$G$18-Norm_Stats!$F$18))))</f>
        <v/>
      </c>
      <c r="AR66" s="14">
        <f>IF(AQ66="","",1)</f>
        <v/>
      </c>
      <c r="AS66" s="11">
        <f>IF(OR(City_Inputs!$AD66="",Norm_Stats!$F$19="",Norm_Stats!$G$19="",Norm_Stats!$G$19=Norm_Stats!$F$19),"",MAX(0,MIN(100,100*(MIN(MAX(City_Inputs!$AD66,Norm_Stats!$F$19),Norm_Stats!$G$19)-Norm_Stats!$F$19)/(Norm_Stats!$G$19-Norm_Stats!$F$19))))</f>
        <v/>
      </c>
      <c r="AT66" s="14">
        <f>IF(AS66="","",1)</f>
        <v/>
      </c>
      <c r="AU66" s="11">
        <f>IF(OR(City_Inputs!$BJ66="",Norm_Stats!$F$26="",Norm_Stats!$G$26="",Norm_Stats!$G$26=Norm_Stats!$F$26),"",MAX(0,MIN(100,100*(MIN(MAX(City_Inputs!$BJ66,Norm_Stats!$F$26),Norm_Stats!$G$26)-Norm_Stats!$F$26)/(Norm_Stats!$G$26-Norm_Stats!$F$26))))</f>
        <v/>
      </c>
      <c r="AV66" s="11">
        <f>IF(AU66="","",1)</f>
        <v/>
      </c>
      <c r="AW66" s="15">
        <f>IF((IF(AO66="",0,5)+IF(AQ66="",0,5)+IF(AS66="",0,5)+IF(AU66="",0,4))=0,"",(IF(AO66="",0,AO66*5)+IF(AQ66="",0,AQ66*5)+IF(AS66="",0,AS66*5)+IF(AU66="",0,AU66*4))/(IF(AO66="",0,5)+IF(AQ66="",0,5)+IF(AS66="",0,5)+IF(AU66="",0,4)))</f>
        <v/>
      </c>
      <c r="AX66" s="14">
        <f>IF((IF(AP66="",0,5)+IF(AR66="",0,5)+IF(AT66="",0,5)+IF(AV66="",0,4))=0,"",(IF(AP66="",0,AP66*5)+IF(AR66="",0,AR66*5)+IF(AT66="",0,AT66*5)+IF(AV66="",0,AV66*4))/19)</f>
        <v/>
      </c>
      <c r="AY66" s="11">
        <f>IF(OR(City_Inputs!$AE66="",Norm_Stats!$F$20="",Norm_Stats!$G$20="",Norm_Stats!$G$20=Norm_Stats!$F$20),"",MAX(0,MIN(100,100*(MIN(MAX(City_Inputs!$AE66,Norm_Stats!$F$20),Norm_Stats!$G$20)-Norm_Stats!$F$20)/(Norm_Stats!$G$20-Norm_Stats!$F$20))))</f>
        <v/>
      </c>
      <c r="AZ66" s="14">
        <f>IF(AY66="","",1)</f>
        <v/>
      </c>
      <c r="BA66" s="11">
        <f>IF(OR(City_Inputs!$AF66="",Norm_Stats!$F$21="",Norm_Stats!$G$21="",Norm_Stats!$G$21=Norm_Stats!$F$21),"",MAX(0,MIN(100,100*(MIN(MAX(City_Inputs!$AF66,Norm_Stats!$F$21),Norm_Stats!$G$21)-Norm_Stats!$F$21)/(Norm_Stats!$G$21-Norm_Stats!$F$21))))</f>
        <v/>
      </c>
      <c r="BB66" s="14">
        <f>IF(BA66="","",1)</f>
        <v/>
      </c>
      <c r="BC66" s="11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(IF(OR(City_Inputs!$AG66="",Norm_Stats!$F$22="",Norm_Stats!$G$22="",Norm_Stats!$G$22=Norm_Stats!$F$22),"",MAX(0,MIN(100,100*(MIN(MAX(City_Inputs!$AG66,Norm_Stats!$F$22),Norm_Stats!$G$22)-Norm_Stats!$F$22)/(Norm_Stats!$G$22-Norm_Stats!$F$22)))))*0.5)+IF((IF(OR(City_Inputs!$AJ66="",Norm_Stats!$F$23="",Norm_Stats!$G$23="",Norm_Stats!$G$23=Norm_Stats!$F$23),"",MAX(0,MIN(100,100*(MIN(MAX(City_Inputs!$AJ66,Norm_Stats!$F$23),Norm_Stats!$G$23)-Norm_Stats!$F$23)/(Norm_Stats!$G$23-Norm_Stats!$F$23)))))="",0,(IF(OR(City_Inputs!$AJ66="",Norm_Stats!$F$23="",Norm_Stats!$G$23="",Norm_Stats!$G$23=Norm_Stats!$F$23),"",MAX(0,MIN(100,100*(MIN(MAX(City_Inputs!$AJ66,Norm_Stats!$F$23),Norm_Stats!$G$23)-Norm_Stats!$F$23)/(Norm_Stats!$G$23-Norm_Stats!$F$23)))))*0.3)+IF((IF(OR(City_Inputs!$AK66="",Norm_Stats!$F$24="",Norm_Stats!$G$24="",Norm_Stats!$G$24=Norm_Stats!$F$24),"",MAX(0,MIN(100,100*(MIN(MAX(City_Inputs!$AK66,Norm_Stats!$F$24),Norm_Stats!$G$24)-Norm_Stats!$F$24)/(Norm_Stats!$G$24-Norm_Stats!$F$24)))))="",0,(IF(OR(City_Inputs!$AK66="",Norm_Stats!$F$24="",Norm_Stats!$G$24="",Norm_Stats!$G$24=Norm_Stats!$F$24),"",MAX(0,MIN(100,100*(MIN(MAX(City_Inputs!$AK66,Norm_Stats!$F$24),Norm_Stats!$G$24)-Norm_Stats!$F$24)/(Norm_Stats!$G$24-Norm_Stats!$F$24)))))*0.2))/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D66" s="14">
        <f>IF(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=0,"",(IF((IF(OR(City_Inputs!$AG66="",Norm_Stats!$F$22="",Norm_Stats!$G$22="",Norm_Stats!$G$22=Norm_Stats!$F$22),"",MAX(0,MIN(100,100*(MIN(MAX(City_Inputs!$AG66,Norm_Stats!$F$22),Norm_Stats!$G$22)-Norm_Stats!$F$22)/(Norm_Stats!$G$22-Norm_Stats!$F$22)))))="",0,0.5)+IF((IF(OR(City_Inputs!$AJ66="",Norm_Stats!$F$23="",Norm_Stats!$G$23="",Norm_Stats!$G$23=Norm_Stats!$F$23),"",MAX(0,MIN(100,100*(MIN(MAX(City_Inputs!$AJ66,Norm_Stats!$F$23),Norm_Stats!$G$23)-Norm_Stats!$F$23)/(Norm_Stats!$G$23-Norm_Stats!$F$23)))))="",0,0.3)+IF((IF(OR(City_Inputs!$AK66="",Norm_Stats!$F$24="",Norm_Stats!$G$24="",Norm_Stats!$G$24=Norm_Stats!$F$24),"",MAX(0,MIN(100,100*(MIN(MAX(City_Inputs!$AK66,Norm_Stats!$F$24),Norm_Stats!$G$24)-Norm_Stats!$F$24)/(Norm_Stats!$G$24-Norm_Stats!$F$24)))))="",0,0.2)))</f>
        <v/>
      </c>
      <c r="BE66" s="11">
        <f>IF(OR(City_Inputs!$AH66="",Norm_Stats!$F$25="",Norm_Stats!$G$25="",Norm_Stats!$G$25=Norm_Stats!$F$25),"",MAX(0,MIN(100,100*(Norm_Stats!$G$25-MIN(MAX(City_Inputs!$AH66,Norm_Stats!$F$25),Norm_Stats!$G$25))/(Norm_Stats!$G$25-Norm_Stats!$F$25))))</f>
        <v/>
      </c>
      <c r="BF66" s="14">
        <f>IF(BE66="","",1)</f>
        <v/>
      </c>
      <c r="BG66" s="15">
        <f>IF((IF(AY66="",0,6)+IF(BA66="",0,5)+IF(BC66="",0,5)+IF(BE66="",0,4))=0,"",(IF(AY66="",0,AY66*6)+IF(BA66="",0,BA66*5)+IF(BC66="",0,BC66*5)+IF(BE66="",0,BE66*4))/(IF(AY66="",0,6)+IF(BA66="",0,5)+IF(BC66="",0,5)+IF(BE66="",0,4)))</f>
        <v/>
      </c>
      <c r="BH66" s="14">
        <f>IF((IF(AZ66="",0,6)+IF(BB66="",0,5)+IF(BD66="",0,5)+IF(BF66="",0,4))=0,"",(IF(AZ66="",0,AZ66*6)+IF(BB66="",0,BB66*5)+IF(BD66="",0,BD66*5)+IF(BF66="",0,BF66*4))/20)</f>
        <v/>
      </c>
      <c r="BI66" s="14">
        <f>IF(AND(R66="",AF66="",AN66="",AX66="",BH66=""),"",((R66*25)+(AF66*22)+(AN66*18)+(AX66*15)+(BH66*20))/100)</f>
        <v/>
      </c>
      <c r="BJ66" s="11">
        <f>IF(BI66="","",IF(BI66&gt;=0.75,"A",IF(BI66&gt;=0.5,"B",IF(BI66&gt;=0.35,"C","Watchlist"))))</f>
        <v/>
      </c>
      <c r="BK66" s="11">
        <f>IF(OR(BI66="",BI66&lt;0.5,R66="",R66&lt;0.35,AF66="",AF66&lt;0.35,AN66="",AN66&lt;0.35,AX66="",AX66&lt;0.35,BH66="",BH66&lt;0.35),"Watchlist","Ranked")</f>
        <v/>
      </c>
      <c r="BL66" s="15">
        <f>IF(AND(Q66="",AE66="",AM66="",AW66="",BG66=""),"",(IF(Q66="",0,Q66*25)+IF(AE66="",0,AE66*22)+IF(AM66="",0,AM66*18)+IF(AW66="",0,AW66*15)+IF(BG66="",0,BG66*20))/(IF(Q66="",0,25)+IF(AE66="",0,22)+IF(AM66="",0,18)+IF(AW66="",0,15)+IF(BG66="",0,20)))</f>
        <v/>
      </c>
      <c r="BM66" s="11">
        <f>IF(BK66="Ranked",1+COUNTIFS($BK$2:$BK$158,"Ranked",$BL$2:$BL$158,"&gt;"&amp;BL66),"")</f>
        <v/>
      </c>
      <c r="BN66" s="11">
        <f>City_Inputs!$AI66</f>
        <v/>
      </c>
    </row>
    <row r="67">
      <c r="A67" t="inlineStr">
        <is>
          <t>ca-montreal</t>
        </is>
      </c>
      <c r="B67" t="inlineStr">
        <is>
          <t>Montreal</t>
        </is>
      </c>
      <c r="C67" t="inlineStr">
        <is>
          <t>Canada</t>
        </is>
      </c>
      <c r="D67" t="inlineStr">
        <is>
          <t>North America</t>
        </is>
      </c>
      <c r="E67" t="inlineStr">
        <is>
          <t>locked</t>
        </is>
      </c>
      <c r="F67" t="inlineStr">
        <is>
          <t>secondary</t>
        </is>
      </c>
      <c r="G67" s="11">
        <f>IF(OR(City_Inputs!$M67="",Norm_Stats!$F$2="",Norm_Stats!$G$2="",Norm_Stats!$G$2=Norm_Stats!$F$2),"",MAX(0,MIN(100,100*(MIN(MAX(City_Inputs!$M67,Norm_Stats!$F$2),Norm_Stats!$G$2)-Norm_Stats!$F$2)/(Norm_Stats!$G$2-Norm_Stats!$F$2))))</f>
        <v/>
      </c>
      <c r="H67" s="14">
        <f>IF(G67="","",1)</f>
        <v/>
      </c>
      <c r="I67" s="11">
        <f>IF(OR(City_Inputs!$N67="",Norm_Stats!$F$3="",Norm_Stats!$G$3="",Norm_Stats!$G$3=Norm_Stats!$F$3),"",MAX(0,MIN(100,100*(Norm_Stats!$G$3-MIN(MAX(City_Inputs!$N67,Norm_Stats!$F$3),Norm_Stats!$G$3))/(Norm_Stats!$G$3-Norm_Stats!$F$3))))</f>
        <v/>
      </c>
      <c r="J67" s="14">
        <f>IF(I67="","",1)</f>
        <v/>
      </c>
      <c r="K67" s="11">
        <f>IF(OR(City_Inputs!$P67="",Norm_Stats!$F$4="",Norm_Stats!$G$4="",Norm_Stats!$G$4=Norm_Stats!$F$4),"",MAX(0,MIN(100,100*(Norm_Stats!$G$4-MIN(MAX(City_Inputs!$P67,Norm_Stats!$F$4),Norm_Stats!$G$4))/(Norm_Stats!$G$4-Norm_Stats!$F$4))))</f>
        <v/>
      </c>
      <c r="L67" s="14">
        <f>IF(K67="","",1)</f>
        <v/>
      </c>
      <c r="M67" s="11">
        <f>IF(OR(City_Inputs!$Q67="",Norm_Stats!$F$5="",Norm_Stats!$G$5="",Norm_Stats!$G$5=Norm_Stats!$F$5),"",MAX(0,MIN(100,100*(Norm_Stats!$G$5-MIN(MAX(City_Inputs!$Q67,Norm_Stats!$F$5),Norm_Stats!$G$5))/(Norm_Stats!$G$5-Norm_Stats!$F$5))))</f>
        <v/>
      </c>
      <c r="N67" s="14">
        <f>IF(M67="","",1)</f>
        <v/>
      </c>
      <c r="O67" s="11">
        <f>IF(OR(City_Inputs!$R67="",Norm_Stats!$F$6="",Norm_Stats!$G$6="",Norm_Stats!$G$6=Norm_Stats!$F$6),"",MAX(0,MIN(100,100*(Norm_Stats!$G$6-MIN(MAX(City_Inputs!$R67,Norm_Stats!$F$6),Norm_Stats!$G$6))/(Norm_Stats!$G$6-Norm_Stats!$F$6))))</f>
        <v/>
      </c>
      <c r="P67" s="14">
        <f>IF(O67="","",1)</f>
        <v/>
      </c>
      <c r="Q67" s="15">
        <f>IF((IF(G67="",0,9)+IF(I67="",0,5)+IF(K67="",0,4)+IF(M67="",0,4)+IF(O67="",0,5))=0,"",(IF(G67="",0,G67*9)+IF(I67="",0,I67*5)+IF(K67="",0,K67*4)+IF(M67="",0,M67*4)+IF(O67="",0,O67*5))/(IF(G67="",0,9)+IF(I67="",0,5)+IF(K67="",0,4)+IF(M67="",0,4)+IF(O67="",0,5)))</f>
        <v/>
      </c>
      <c r="R67" s="14">
        <f>IF((IF(H67="",0,9)+IF(J67="",0,5)+IF(L67="",0,4)+IF(N67="",0,4)+IF(P67="",0,5))=0,"",(IF(H67="",0,H67*9)+IF(J67="",0,J67*5)+IF(L67="",0,L67*4)+IF(N67="",0,N67*4)+IF(P67="",0,P67*5))/27)</f>
        <v/>
      </c>
      <c r="S67" s="11">
        <f>IF(OR(City_Inputs!$S67="",Norm_Stats!$F$7="",Norm_Stats!$G$7="",Norm_Stats!$G$7=Norm_Stats!$F$7),"",MAX(0,MIN(100,100*(Norm_Stats!$G$7-MIN(MAX(City_Inputs!$S67,Norm_Stats!$F$7),Norm_Stats!$G$7))/(Norm_Stats!$G$7-Norm_Stats!$F$7))))</f>
        <v/>
      </c>
      <c r="T67" s="14">
        <f>IF(S67="","",1)</f>
        <v/>
      </c>
      <c r="U67" s="11">
        <f>IF(OR(City_Inputs!$T67="",Norm_Stats!$F$8="",Norm_Stats!$G$8="",Norm_Stats!$G$8=Norm_Stats!$F$8),"",MAX(0,MIN(100,100*(MIN(MAX(City_Inputs!$T67,Norm_Stats!$F$8),Norm_Stats!$G$8)-Norm_Stats!$F$8)/(Norm_Stats!$G$8-Norm_Stats!$F$8))))</f>
        <v/>
      </c>
      <c r="V67" s="14">
        <f>IF(U67="","",1)</f>
        <v/>
      </c>
      <c r="W67" s="11">
        <f>IF(OR(City_Inputs!$U67="",Norm_Stats!$F$9="",Norm_Stats!$G$9="",Norm_Stats!$G$9=Norm_Stats!$F$9),"",MAX(0,MIN(100,100*(Norm_Stats!$G$9-MIN(MAX(City_Inputs!$U67,Norm_Stats!$F$9),Norm_Stats!$G$9))/(Norm_Stats!$G$9-Norm_Stats!$F$9))))</f>
        <v/>
      </c>
      <c r="X67" s="14">
        <f>IF(W67="","",1)</f>
        <v/>
      </c>
      <c r="Y67" s="11">
        <f>IF(OR(City_Inputs!$V67="",Norm_Stats!$F$10="",Norm_Stats!$G$10="",Norm_Stats!$G$10=Norm_Stats!$F$10),"",MAX(0,MIN(100,100*(MIN(MAX(City_Inputs!$V67,Norm_Stats!$F$10),Norm_Stats!$G$10)-Norm_Stats!$F$10)/(Norm_Stats!$G$10-Norm_Stats!$F$10))))</f>
        <v/>
      </c>
      <c r="Z67" s="14">
        <f>IF(Y67="","",1)</f>
        <v/>
      </c>
      <c r="AA67" s="11">
        <f>IF(OR(City_Inputs!$W67="",Norm_Stats!$F$11="",Norm_Stats!$G$11="",Norm_Stats!$G$11=Norm_Stats!$F$11),"",MAX(0,MIN(100,100*(MIN(MAX(City_Inputs!$W67,Norm_Stats!$F$11),Norm_Stats!$G$11)-Norm_Stats!$F$11)/(Norm_Stats!$G$11-Norm_Stats!$F$11))))</f>
        <v/>
      </c>
      <c r="AB67" s="14">
        <f>IF(AA67="","",1)</f>
        <v/>
      </c>
      <c r="AC67" s="11">
        <f>IF(OR(City_Inputs!$X67="",Norm_Stats!$F$12="",Norm_Stats!$G$12="",Norm_Stats!$G$12=Norm_Stats!$F$12),"",MAX(0,MIN(100,100*(MIN(MAX(City_Inputs!$X67,Norm_Stats!$F$12),Norm_Stats!$G$12)-Norm_Stats!$F$12)/(Norm_Stats!$G$12-Norm_Stats!$F$12))))</f>
        <v/>
      </c>
      <c r="AD67" s="11">
        <f>IF(AC67="","",1)</f>
        <v/>
      </c>
      <c r="AE67" s="15">
        <f>IF((IF(S67="",0,5)+IF(U67="",0,5)+IF(W67="",0,4)+IF(Y67="",0,4)+IF(AA67="",0,4)+IF(AC67="",0,5))=0,"",(IF(S67="",0,S67*5)+IF(U67="",0,U67*5)+IF(W67="",0,W67*4)+IF(Y67="",0,Y67*4)+IF(AA67="",0,AA67*4)+IF(AC67="",0,AC67*5))/(IF(S67="",0,5)+IF(U67="",0,5)+IF(W67="",0,4)+IF(Y67="",0,4)+IF(AA67="",0,4)+IF(AC67="",0,5)))</f>
        <v/>
      </c>
      <c r="AF67" s="14">
        <f>IF((IF(T67="",0,5)+IF(V67="",0,5)+IF(X67="",0,4)+IF(Z67="",0,4)+IF(AB67="",0,4)+IF(AD67="",0,5))=0,"",(IF(T67="",0,T67*5)+IF(V67="",0,V67*5)+IF(X67="",0,X67*4)+IF(Z67="",0,Z67*4)+IF(AB67="",0,AB67*4)+IF(AD67="",0,AD67*5))/27)</f>
        <v/>
      </c>
      <c r="AG67" s="11">
        <f>IF(OR(City_Inputs!$Y67="",Norm_Stats!$F$13="",Norm_Stats!$G$13="",Norm_Stats!$G$13=Norm_Stats!$F$13),"",MAX(0,MIN(100,100*(MIN(MAX(City_Inputs!$Y67,Norm_Stats!$F$13),Norm_Stats!$G$13)-Norm_Stats!$F$13)/(Norm_Stats!$G$13-Norm_Stats!$F$13))))</f>
        <v/>
      </c>
      <c r="AH67" s="14">
        <f>IF(AG67="","",1)</f>
        <v/>
      </c>
      <c r="AI67" s="11">
        <f>IF(OR(City_Inputs!$Z67="",Norm_Stats!$F$14="",Norm_Stats!$G$14="",Norm_Stats!$G$14=Norm_Stats!$F$14),"",MAX(0,MIN(100,100*(MIN(MAX(City_Inputs!$Z67,Norm_Stats!$F$14),Norm_Stats!$G$14)-Norm_Stats!$F$14)/(Norm_Stats!$G$14-Norm_Stats!$F$14))))</f>
        <v/>
      </c>
      <c r="AJ67" s="14">
        <f>IF(AI67="","",1)</f>
        <v/>
      </c>
      <c r="AK67" s="11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(IF(OR(City_Inputs!$AA67="",Norm_Stats!$F$15="",Norm_Stats!$G$15="",Norm_Stats!$G$15=Norm_Stats!$F$15),"",MAX(0,MIN(100,100*(MIN(MAX(City_Inputs!$AA67,Norm_Stats!$F$15),Norm_Stats!$G$15)-Norm_Stats!$F$15)/(Norm_Stats!$G$15-Norm_Stats!$F$15)))))*0.7)+IF((IF(OR(City_Inputs!$AL67="",Norm_Stats!$F$16="",Norm_Stats!$G$16="",Norm_Stats!$G$16=Norm_Stats!$F$16),"",MAX(0,MIN(100,100*(Norm_Stats!$G$16-MIN(MAX(City_Inputs!$AL67,Norm_Stats!$F$16),Norm_Stats!$G$16))/(Norm_Stats!$G$16-Norm_Stats!$F$16)))))="",0,(IF(OR(City_Inputs!$AL67="",Norm_Stats!$F$16="",Norm_Stats!$G$16="",Norm_Stats!$G$16=Norm_Stats!$F$16),"",MAX(0,MIN(100,100*(Norm_Stats!$G$16-MIN(MAX(City_Inputs!$AL67,Norm_Stats!$F$16),Norm_Stats!$G$16))/(Norm_Stats!$G$16-Norm_Stats!$F$16)))))*0.3))/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L67" s="14">
        <f>IF(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=0,"",(IF((IF(OR(City_Inputs!$AA67="",Norm_Stats!$F$15="",Norm_Stats!$G$15="",Norm_Stats!$G$15=Norm_Stats!$F$15),"",MAX(0,MIN(100,100*(MIN(MAX(City_Inputs!$AA67,Norm_Stats!$F$15),Norm_Stats!$G$15)-Norm_Stats!$F$15)/(Norm_Stats!$G$15-Norm_Stats!$F$15)))))="",0,0.7)+IF((IF(OR(City_Inputs!$AL67="",Norm_Stats!$F$16="",Norm_Stats!$G$16="",Norm_Stats!$G$16=Norm_Stats!$F$16),"",MAX(0,MIN(100,100*(Norm_Stats!$G$16-MIN(MAX(City_Inputs!$AL67,Norm_Stats!$F$16),Norm_Stats!$G$16))/(Norm_Stats!$G$16-Norm_Stats!$F$16)))))="",0,0.3)))</f>
        <v/>
      </c>
      <c r="AM67" s="15">
        <f>IF((IF(AG67="",0,8)+IF(AI67="",0,6)+IF(AK67="",0,4))=0,"",(IF(AG67="",0,AG67*8)+IF(AI67="",0,AI67*6)+IF(AK67="",0,AK67*4))/(IF(AG67="",0,8)+IF(AI67="",0,6)+IF(AK67="",0,4)))</f>
        <v/>
      </c>
      <c r="AN67" s="14">
        <f>IF((IF(AH67="",0,8)+IF(AJ67="",0,6)+IF(AL67="",0,4))=0,"",(IF(AH67="",0,AH67*8)+IF(AJ67="",0,AJ67*6)+IF(AL67="",0,AL67*4))/18)</f>
        <v/>
      </c>
      <c r="AO67" s="11">
        <f>IF(OR(City_Inputs!$AB67="",Norm_Stats!$F$17="",Norm_Stats!$G$17="",Norm_Stats!$G$17=Norm_Stats!$F$17),"",MAX(0,MIN(100,100*(MIN(MAX(City_Inputs!$AB67,Norm_Stats!$F$17),Norm_Stats!$G$17)-Norm_Stats!$F$17)/(Norm_Stats!$G$17-Norm_Stats!$F$17))))</f>
        <v/>
      </c>
      <c r="AP67" s="14">
        <f>IF(AO67="","",1)</f>
        <v/>
      </c>
      <c r="AQ67" s="11">
        <f>IF(OR(City_Inputs!$AC67="",Norm_Stats!$F$18="",Norm_Stats!$G$18="",Norm_Stats!$G$18=Norm_Stats!$F$18),"",MAX(0,MIN(100,100*(MIN(MAX(City_Inputs!$AC67,Norm_Stats!$F$18),Norm_Stats!$G$18)-Norm_Stats!$F$18)/(Norm_Stats!$G$18-Norm_Stats!$F$18))))</f>
        <v/>
      </c>
      <c r="AR67" s="14">
        <f>IF(AQ67="","",1)</f>
        <v/>
      </c>
      <c r="AS67" s="11">
        <f>IF(OR(City_Inputs!$AD67="",Norm_Stats!$F$19="",Norm_Stats!$G$19="",Norm_Stats!$G$19=Norm_Stats!$F$19),"",MAX(0,MIN(100,100*(MIN(MAX(City_Inputs!$AD67,Norm_Stats!$F$19),Norm_Stats!$G$19)-Norm_Stats!$F$19)/(Norm_Stats!$G$19-Norm_Stats!$F$19))))</f>
        <v/>
      </c>
      <c r="AT67" s="14">
        <f>IF(AS67="","",1)</f>
        <v/>
      </c>
      <c r="AU67" s="11">
        <f>IF(OR(City_Inputs!$BJ67="",Norm_Stats!$F$26="",Norm_Stats!$G$26="",Norm_Stats!$G$26=Norm_Stats!$F$26),"",MAX(0,MIN(100,100*(MIN(MAX(City_Inputs!$BJ67,Norm_Stats!$F$26),Norm_Stats!$G$26)-Norm_Stats!$F$26)/(Norm_Stats!$G$26-Norm_Stats!$F$26))))</f>
        <v/>
      </c>
      <c r="AV67" s="11">
        <f>IF(AU67="","",1)</f>
        <v/>
      </c>
      <c r="AW67" s="15">
        <f>IF((IF(AO67="",0,5)+IF(AQ67="",0,5)+IF(AS67="",0,5)+IF(AU67="",0,4))=0,"",(IF(AO67="",0,AO67*5)+IF(AQ67="",0,AQ67*5)+IF(AS67="",0,AS67*5)+IF(AU67="",0,AU67*4))/(IF(AO67="",0,5)+IF(AQ67="",0,5)+IF(AS67="",0,5)+IF(AU67="",0,4)))</f>
        <v/>
      </c>
      <c r="AX67" s="14">
        <f>IF((IF(AP67="",0,5)+IF(AR67="",0,5)+IF(AT67="",0,5)+IF(AV67="",0,4))=0,"",(IF(AP67="",0,AP67*5)+IF(AR67="",0,AR67*5)+IF(AT67="",0,AT67*5)+IF(AV67="",0,AV67*4))/19)</f>
        <v/>
      </c>
      <c r="AY67" s="11">
        <f>IF(OR(City_Inputs!$AE67="",Norm_Stats!$F$20="",Norm_Stats!$G$20="",Norm_Stats!$G$20=Norm_Stats!$F$20),"",MAX(0,MIN(100,100*(MIN(MAX(City_Inputs!$AE67,Norm_Stats!$F$20),Norm_Stats!$G$20)-Norm_Stats!$F$20)/(Norm_Stats!$G$20-Norm_Stats!$F$20))))</f>
        <v/>
      </c>
      <c r="AZ67" s="14">
        <f>IF(AY67="","",1)</f>
        <v/>
      </c>
      <c r="BA67" s="11">
        <f>IF(OR(City_Inputs!$AF67="",Norm_Stats!$F$21="",Norm_Stats!$G$21="",Norm_Stats!$G$21=Norm_Stats!$F$21),"",MAX(0,MIN(100,100*(MIN(MAX(City_Inputs!$AF67,Norm_Stats!$F$21),Norm_Stats!$G$21)-Norm_Stats!$F$21)/(Norm_Stats!$G$21-Norm_Stats!$F$21))))</f>
        <v/>
      </c>
      <c r="BB67" s="14">
        <f>IF(BA67="","",1)</f>
        <v/>
      </c>
      <c r="BC67" s="11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(IF(OR(City_Inputs!$AG67="",Norm_Stats!$F$22="",Norm_Stats!$G$22="",Norm_Stats!$G$22=Norm_Stats!$F$22),"",MAX(0,MIN(100,100*(MIN(MAX(City_Inputs!$AG67,Norm_Stats!$F$22),Norm_Stats!$G$22)-Norm_Stats!$F$22)/(Norm_Stats!$G$22-Norm_Stats!$F$22)))))*0.5)+IF((IF(OR(City_Inputs!$AJ67="",Norm_Stats!$F$23="",Norm_Stats!$G$23="",Norm_Stats!$G$23=Norm_Stats!$F$23),"",MAX(0,MIN(100,100*(MIN(MAX(City_Inputs!$AJ67,Norm_Stats!$F$23),Norm_Stats!$G$23)-Norm_Stats!$F$23)/(Norm_Stats!$G$23-Norm_Stats!$F$23)))))="",0,(IF(OR(City_Inputs!$AJ67="",Norm_Stats!$F$23="",Norm_Stats!$G$23="",Norm_Stats!$G$23=Norm_Stats!$F$23),"",MAX(0,MIN(100,100*(MIN(MAX(City_Inputs!$AJ67,Norm_Stats!$F$23),Norm_Stats!$G$23)-Norm_Stats!$F$23)/(Norm_Stats!$G$23-Norm_Stats!$F$23)))))*0.3)+IF((IF(OR(City_Inputs!$AK67="",Norm_Stats!$F$24="",Norm_Stats!$G$24="",Norm_Stats!$G$24=Norm_Stats!$F$24),"",MAX(0,MIN(100,100*(MIN(MAX(City_Inputs!$AK67,Norm_Stats!$F$24),Norm_Stats!$G$24)-Norm_Stats!$F$24)/(Norm_Stats!$G$24-Norm_Stats!$F$24)))))="",0,(IF(OR(City_Inputs!$AK67="",Norm_Stats!$F$24="",Norm_Stats!$G$24="",Norm_Stats!$G$24=Norm_Stats!$F$24),"",MAX(0,MIN(100,100*(MIN(MAX(City_Inputs!$AK67,Norm_Stats!$F$24),Norm_Stats!$G$24)-Norm_Stats!$F$24)/(Norm_Stats!$G$24-Norm_Stats!$F$24)))))*0.2))/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D67" s="14">
        <f>IF(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=0,"",(IF((IF(OR(City_Inputs!$AG67="",Norm_Stats!$F$22="",Norm_Stats!$G$22="",Norm_Stats!$G$22=Norm_Stats!$F$22),"",MAX(0,MIN(100,100*(MIN(MAX(City_Inputs!$AG67,Norm_Stats!$F$22),Norm_Stats!$G$22)-Norm_Stats!$F$22)/(Norm_Stats!$G$22-Norm_Stats!$F$22)))))="",0,0.5)+IF((IF(OR(City_Inputs!$AJ67="",Norm_Stats!$F$23="",Norm_Stats!$G$23="",Norm_Stats!$G$23=Norm_Stats!$F$23),"",MAX(0,MIN(100,100*(MIN(MAX(City_Inputs!$AJ67,Norm_Stats!$F$23),Norm_Stats!$G$23)-Norm_Stats!$F$23)/(Norm_Stats!$G$23-Norm_Stats!$F$23)))))="",0,0.3)+IF((IF(OR(City_Inputs!$AK67="",Norm_Stats!$F$24="",Norm_Stats!$G$24="",Norm_Stats!$G$24=Norm_Stats!$F$24),"",MAX(0,MIN(100,100*(MIN(MAX(City_Inputs!$AK67,Norm_Stats!$F$24),Norm_Stats!$G$24)-Norm_Stats!$F$24)/(Norm_Stats!$G$24-Norm_Stats!$F$24)))))="",0,0.2)))</f>
        <v/>
      </c>
      <c r="BE67" s="11">
        <f>IF(OR(City_Inputs!$AH67="",Norm_Stats!$F$25="",Norm_Stats!$G$25="",Norm_Stats!$G$25=Norm_Stats!$F$25),"",MAX(0,MIN(100,100*(Norm_Stats!$G$25-MIN(MAX(City_Inputs!$AH67,Norm_Stats!$F$25),Norm_Stats!$G$25))/(Norm_Stats!$G$25-Norm_Stats!$F$25))))</f>
        <v/>
      </c>
      <c r="BF67" s="14">
        <f>IF(BE67="","",1)</f>
        <v/>
      </c>
      <c r="BG67" s="15">
        <f>IF((IF(AY67="",0,6)+IF(BA67="",0,5)+IF(BC67="",0,5)+IF(BE67="",0,4))=0,"",(IF(AY67="",0,AY67*6)+IF(BA67="",0,BA67*5)+IF(BC67="",0,BC67*5)+IF(BE67="",0,BE67*4))/(IF(AY67="",0,6)+IF(BA67="",0,5)+IF(BC67="",0,5)+IF(BE67="",0,4)))</f>
        <v/>
      </c>
      <c r="BH67" s="14">
        <f>IF((IF(AZ67="",0,6)+IF(BB67="",0,5)+IF(BD67="",0,5)+IF(BF67="",0,4))=0,"",(IF(AZ67="",0,AZ67*6)+IF(BB67="",0,BB67*5)+IF(BD67="",0,BD67*5)+IF(BF67="",0,BF67*4))/20)</f>
        <v/>
      </c>
      <c r="BI67" s="14">
        <f>IF(AND(R67="",AF67="",AN67="",AX67="",BH67=""),"",((R67*25)+(AF67*22)+(AN67*18)+(AX67*15)+(BH67*20))/100)</f>
        <v/>
      </c>
      <c r="BJ67" s="11">
        <f>IF(BI67="","",IF(BI67&gt;=0.75,"A",IF(BI67&gt;=0.5,"B",IF(BI67&gt;=0.35,"C","Watchlist"))))</f>
        <v/>
      </c>
      <c r="BK67" s="11">
        <f>IF(OR(BI67="",BI67&lt;0.5,R67="",R67&lt;0.35,AF67="",AF67&lt;0.35,AN67="",AN67&lt;0.35,AX67="",AX67&lt;0.35,BH67="",BH67&lt;0.35),"Watchlist","Ranked")</f>
        <v/>
      </c>
      <c r="BL67" s="15">
        <f>IF(AND(Q67="",AE67="",AM67="",AW67="",BG67=""),"",(IF(Q67="",0,Q67*25)+IF(AE67="",0,AE67*22)+IF(AM67="",0,AM67*18)+IF(AW67="",0,AW67*15)+IF(BG67="",0,BG67*20))/(IF(Q67="",0,25)+IF(AE67="",0,22)+IF(AM67="",0,18)+IF(AW67="",0,15)+IF(BG67="",0,20)))</f>
        <v/>
      </c>
      <c r="BM67" s="11">
        <f>IF(BK67="Ranked",1+COUNTIFS($BK$2:$BK$158,"Ranked",$BL$2:$BL$158,"&gt;"&amp;BL67),"")</f>
        <v/>
      </c>
      <c r="BN67" s="11">
        <f>City_Inputs!$AI67</f>
        <v/>
      </c>
    </row>
    <row r="68">
      <c r="A68" t="inlineStr">
        <is>
          <t>mx-guadalajara</t>
        </is>
      </c>
      <c r="B68" t="inlineStr">
        <is>
          <t>Guadalajara</t>
        </is>
      </c>
      <c r="C68" t="inlineStr">
        <is>
          <t>Mexico</t>
        </is>
      </c>
      <c r="D68" t="inlineStr">
        <is>
          <t>North America</t>
        </is>
      </c>
      <c r="E68" t="inlineStr">
        <is>
          <t>locked</t>
        </is>
      </c>
      <c r="F68" t="inlineStr">
        <is>
          <t>secondary</t>
        </is>
      </c>
      <c r="G68" s="11">
        <f>IF(OR(City_Inputs!$M68="",Norm_Stats!$F$2="",Norm_Stats!$G$2="",Norm_Stats!$G$2=Norm_Stats!$F$2),"",MAX(0,MIN(100,100*(MIN(MAX(City_Inputs!$M68,Norm_Stats!$F$2),Norm_Stats!$G$2)-Norm_Stats!$F$2)/(Norm_Stats!$G$2-Norm_Stats!$F$2))))</f>
        <v/>
      </c>
      <c r="H68" s="14">
        <f>IF(G68="","",1)</f>
        <v/>
      </c>
      <c r="I68" s="11">
        <f>IF(OR(City_Inputs!$N68="",Norm_Stats!$F$3="",Norm_Stats!$G$3="",Norm_Stats!$G$3=Norm_Stats!$F$3),"",MAX(0,MIN(100,100*(Norm_Stats!$G$3-MIN(MAX(City_Inputs!$N68,Norm_Stats!$F$3),Norm_Stats!$G$3))/(Norm_Stats!$G$3-Norm_Stats!$F$3))))</f>
        <v/>
      </c>
      <c r="J68" s="14">
        <f>IF(I68="","",1)</f>
        <v/>
      </c>
      <c r="K68" s="11">
        <f>IF(OR(City_Inputs!$P68="",Norm_Stats!$F$4="",Norm_Stats!$G$4="",Norm_Stats!$G$4=Norm_Stats!$F$4),"",MAX(0,MIN(100,100*(Norm_Stats!$G$4-MIN(MAX(City_Inputs!$P68,Norm_Stats!$F$4),Norm_Stats!$G$4))/(Norm_Stats!$G$4-Norm_Stats!$F$4))))</f>
        <v/>
      </c>
      <c r="L68" s="14">
        <f>IF(K68="","",1)</f>
        <v/>
      </c>
      <c r="M68" s="11">
        <f>IF(OR(City_Inputs!$Q68="",Norm_Stats!$F$5="",Norm_Stats!$G$5="",Norm_Stats!$G$5=Norm_Stats!$F$5),"",MAX(0,MIN(100,100*(Norm_Stats!$G$5-MIN(MAX(City_Inputs!$Q68,Norm_Stats!$F$5),Norm_Stats!$G$5))/(Norm_Stats!$G$5-Norm_Stats!$F$5))))</f>
        <v/>
      </c>
      <c r="N68" s="14">
        <f>IF(M68="","",1)</f>
        <v/>
      </c>
      <c r="O68" s="11">
        <f>IF(OR(City_Inputs!$R68="",Norm_Stats!$F$6="",Norm_Stats!$G$6="",Norm_Stats!$G$6=Norm_Stats!$F$6),"",MAX(0,MIN(100,100*(Norm_Stats!$G$6-MIN(MAX(City_Inputs!$R68,Norm_Stats!$F$6),Norm_Stats!$G$6))/(Norm_Stats!$G$6-Norm_Stats!$F$6))))</f>
        <v/>
      </c>
      <c r="P68" s="14">
        <f>IF(O68="","",1)</f>
        <v/>
      </c>
      <c r="Q68" s="15">
        <f>IF((IF(G68="",0,9)+IF(I68="",0,5)+IF(K68="",0,4)+IF(M68="",0,4)+IF(O68="",0,5))=0,"",(IF(G68="",0,G68*9)+IF(I68="",0,I68*5)+IF(K68="",0,K68*4)+IF(M68="",0,M68*4)+IF(O68="",0,O68*5))/(IF(G68="",0,9)+IF(I68="",0,5)+IF(K68="",0,4)+IF(M68="",0,4)+IF(O68="",0,5)))</f>
        <v/>
      </c>
      <c r="R68" s="14">
        <f>IF((IF(H68="",0,9)+IF(J68="",0,5)+IF(L68="",0,4)+IF(N68="",0,4)+IF(P68="",0,5))=0,"",(IF(H68="",0,H68*9)+IF(J68="",0,J68*5)+IF(L68="",0,L68*4)+IF(N68="",0,N68*4)+IF(P68="",0,P68*5))/27)</f>
        <v/>
      </c>
      <c r="S68" s="11">
        <f>IF(OR(City_Inputs!$S68="",Norm_Stats!$F$7="",Norm_Stats!$G$7="",Norm_Stats!$G$7=Norm_Stats!$F$7),"",MAX(0,MIN(100,100*(Norm_Stats!$G$7-MIN(MAX(City_Inputs!$S68,Norm_Stats!$F$7),Norm_Stats!$G$7))/(Norm_Stats!$G$7-Norm_Stats!$F$7))))</f>
        <v/>
      </c>
      <c r="T68" s="14">
        <f>IF(S68="","",1)</f>
        <v/>
      </c>
      <c r="U68" s="11">
        <f>IF(OR(City_Inputs!$T68="",Norm_Stats!$F$8="",Norm_Stats!$G$8="",Norm_Stats!$G$8=Norm_Stats!$F$8),"",MAX(0,MIN(100,100*(MIN(MAX(City_Inputs!$T68,Norm_Stats!$F$8),Norm_Stats!$G$8)-Norm_Stats!$F$8)/(Norm_Stats!$G$8-Norm_Stats!$F$8))))</f>
        <v/>
      </c>
      <c r="V68" s="14">
        <f>IF(U68="","",1)</f>
        <v/>
      </c>
      <c r="W68" s="11">
        <f>IF(OR(City_Inputs!$U68="",Norm_Stats!$F$9="",Norm_Stats!$G$9="",Norm_Stats!$G$9=Norm_Stats!$F$9),"",MAX(0,MIN(100,100*(Norm_Stats!$G$9-MIN(MAX(City_Inputs!$U68,Norm_Stats!$F$9),Norm_Stats!$G$9))/(Norm_Stats!$G$9-Norm_Stats!$F$9))))</f>
        <v/>
      </c>
      <c r="X68" s="14">
        <f>IF(W68="","",1)</f>
        <v/>
      </c>
      <c r="Y68" s="11">
        <f>IF(OR(City_Inputs!$V68="",Norm_Stats!$F$10="",Norm_Stats!$G$10="",Norm_Stats!$G$10=Norm_Stats!$F$10),"",MAX(0,MIN(100,100*(MIN(MAX(City_Inputs!$V68,Norm_Stats!$F$10),Norm_Stats!$G$10)-Norm_Stats!$F$10)/(Norm_Stats!$G$10-Norm_Stats!$F$10))))</f>
        <v/>
      </c>
      <c r="Z68" s="14">
        <f>IF(Y68="","",1)</f>
        <v/>
      </c>
      <c r="AA68" s="11">
        <f>IF(OR(City_Inputs!$W68="",Norm_Stats!$F$11="",Norm_Stats!$G$11="",Norm_Stats!$G$11=Norm_Stats!$F$11),"",MAX(0,MIN(100,100*(MIN(MAX(City_Inputs!$W68,Norm_Stats!$F$11),Norm_Stats!$G$11)-Norm_Stats!$F$11)/(Norm_Stats!$G$11-Norm_Stats!$F$11))))</f>
        <v/>
      </c>
      <c r="AB68" s="14">
        <f>IF(AA68="","",1)</f>
        <v/>
      </c>
      <c r="AC68" s="11">
        <f>IF(OR(City_Inputs!$X68="",Norm_Stats!$F$12="",Norm_Stats!$G$12="",Norm_Stats!$G$12=Norm_Stats!$F$12),"",MAX(0,MIN(100,100*(MIN(MAX(City_Inputs!$X68,Norm_Stats!$F$12),Norm_Stats!$G$12)-Norm_Stats!$F$12)/(Norm_Stats!$G$12-Norm_Stats!$F$12))))</f>
        <v/>
      </c>
      <c r="AD68" s="11">
        <f>IF(AC68="","",1)</f>
        <v/>
      </c>
      <c r="AE68" s="15">
        <f>IF((IF(S68="",0,5)+IF(U68="",0,5)+IF(W68="",0,4)+IF(Y68="",0,4)+IF(AA68="",0,4)+IF(AC68="",0,5))=0,"",(IF(S68="",0,S68*5)+IF(U68="",0,U68*5)+IF(W68="",0,W68*4)+IF(Y68="",0,Y68*4)+IF(AA68="",0,AA68*4)+IF(AC68="",0,AC68*5))/(IF(S68="",0,5)+IF(U68="",0,5)+IF(W68="",0,4)+IF(Y68="",0,4)+IF(AA68="",0,4)+IF(AC68="",0,5)))</f>
        <v/>
      </c>
      <c r="AF68" s="14">
        <f>IF((IF(T68="",0,5)+IF(V68="",0,5)+IF(X68="",0,4)+IF(Z68="",0,4)+IF(AB68="",0,4)+IF(AD68="",0,5))=0,"",(IF(T68="",0,T68*5)+IF(V68="",0,V68*5)+IF(X68="",0,X68*4)+IF(Z68="",0,Z68*4)+IF(AB68="",0,AB68*4)+IF(AD68="",0,AD68*5))/27)</f>
        <v/>
      </c>
      <c r="AG68" s="11">
        <f>IF(OR(City_Inputs!$Y68="",Norm_Stats!$F$13="",Norm_Stats!$G$13="",Norm_Stats!$G$13=Norm_Stats!$F$13),"",MAX(0,MIN(100,100*(MIN(MAX(City_Inputs!$Y68,Norm_Stats!$F$13),Norm_Stats!$G$13)-Norm_Stats!$F$13)/(Norm_Stats!$G$13-Norm_Stats!$F$13))))</f>
        <v/>
      </c>
      <c r="AH68" s="14">
        <f>IF(AG68="","",1)</f>
        <v/>
      </c>
      <c r="AI68" s="11">
        <f>IF(OR(City_Inputs!$Z68="",Norm_Stats!$F$14="",Norm_Stats!$G$14="",Norm_Stats!$G$14=Norm_Stats!$F$14),"",MAX(0,MIN(100,100*(MIN(MAX(City_Inputs!$Z68,Norm_Stats!$F$14),Norm_Stats!$G$14)-Norm_Stats!$F$14)/(Norm_Stats!$G$14-Norm_Stats!$F$14))))</f>
        <v/>
      </c>
      <c r="AJ68" s="14">
        <f>IF(AI68="","",1)</f>
        <v/>
      </c>
      <c r="AK68" s="11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(IF(OR(City_Inputs!$AA68="",Norm_Stats!$F$15="",Norm_Stats!$G$15="",Norm_Stats!$G$15=Norm_Stats!$F$15),"",MAX(0,MIN(100,100*(MIN(MAX(City_Inputs!$AA68,Norm_Stats!$F$15),Norm_Stats!$G$15)-Norm_Stats!$F$15)/(Norm_Stats!$G$15-Norm_Stats!$F$15)))))*0.7)+IF((IF(OR(City_Inputs!$AL68="",Norm_Stats!$F$16="",Norm_Stats!$G$16="",Norm_Stats!$G$16=Norm_Stats!$F$16),"",MAX(0,MIN(100,100*(Norm_Stats!$G$16-MIN(MAX(City_Inputs!$AL68,Norm_Stats!$F$16),Norm_Stats!$G$16))/(Norm_Stats!$G$16-Norm_Stats!$F$16)))))="",0,(IF(OR(City_Inputs!$AL68="",Norm_Stats!$F$16="",Norm_Stats!$G$16="",Norm_Stats!$G$16=Norm_Stats!$F$16),"",MAX(0,MIN(100,100*(Norm_Stats!$G$16-MIN(MAX(City_Inputs!$AL68,Norm_Stats!$F$16),Norm_Stats!$G$16))/(Norm_Stats!$G$16-Norm_Stats!$F$16)))))*0.3))/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L68" s="14">
        <f>IF(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=0,"",(IF((IF(OR(City_Inputs!$AA68="",Norm_Stats!$F$15="",Norm_Stats!$G$15="",Norm_Stats!$G$15=Norm_Stats!$F$15),"",MAX(0,MIN(100,100*(MIN(MAX(City_Inputs!$AA68,Norm_Stats!$F$15),Norm_Stats!$G$15)-Norm_Stats!$F$15)/(Norm_Stats!$G$15-Norm_Stats!$F$15)))))="",0,0.7)+IF((IF(OR(City_Inputs!$AL68="",Norm_Stats!$F$16="",Norm_Stats!$G$16="",Norm_Stats!$G$16=Norm_Stats!$F$16),"",MAX(0,MIN(100,100*(Norm_Stats!$G$16-MIN(MAX(City_Inputs!$AL68,Norm_Stats!$F$16),Norm_Stats!$G$16))/(Norm_Stats!$G$16-Norm_Stats!$F$16)))))="",0,0.3)))</f>
        <v/>
      </c>
      <c r="AM68" s="15">
        <f>IF((IF(AG68="",0,8)+IF(AI68="",0,6)+IF(AK68="",0,4))=0,"",(IF(AG68="",0,AG68*8)+IF(AI68="",0,AI68*6)+IF(AK68="",0,AK68*4))/(IF(AG68="",0,8)+IF(AI68="",0,6)+IF(AK68="",0,4)))</f>
        <v/>
      </c>
      <c r="AN68" s="14">
        <f>IF((IF(AH68="",0,8)+IF(AJ68="",0,6)+IF(AL68="",0,4))=0,"",(IF(AH68="",0,AH68*8)+IF(AJ68="",0,AJ68*6)+IF(AL68="",0,AL68*4))/18)</f>
        <v/>
      </c>
      <c r="AO68" s="11">
        <f>IF(OR(City_Inputs!$AB68="",Norm_Stats!$F$17="",Norm_Stats!$G$17="",Norm_Stats!$G$17=Norm_Stats!$F$17),"",MAX(0,MIN(100,100*(MIN(MAX(City_Inputs!$AB68,Norm_Stats!$F$17),Norm_Stats!$G$17)-Norm_Stats!$F$17)/(Norm_Stats!$G$17-Norm_Stats!$F$17))))</f>
        <v/>
      </c>
      <c r="AP68" s="14">
        <f>IF(AO68="","",1)</f>
        <v/>
      </c>
      <c r="AQ68" s="11">
        <f>IF(OR(City_Inputs!$AC68="",Norm_Stats!$F$18="",Norm_Stats!$G$18="",Norm_Stats!$G$18=Norm_Stats!$F$18),"",MAX(0,MIN(100,100*(MIN(MAX(City_Inputs!$AC68,Norm_Stats!$F$18),Norm_Stats!$G$18)-Norm_Stats!$F$18)/(Norm_Stats!$G$18-Norm_Stats!$F$18))))</f>
        <v/>
      </c>
      <c r="AR68" s="14">
        <f>IF(AQ68="","",1)</f>
        <v/>
      </c>
      <c r="AS68" s="11">
        <f>IF(OR(City_Inputs!$AD68="",Norm_Stats!$F$19="",Norm_Stats!$G$19="",Norm_Stats!$G$19=Norm_Stats!$F$19),"",MAX(0,MIN(100,100*(MIN(MAX(City_Inputs!$AD68,Norm_Stats!$F$19),Norm_Stats!$G$19)-Norm_Stats!$F$19)/(Norm_Stats!$G$19-Norm_Stats!$F$19))))</f>
        <v/>
      </c>
      <c r="AT68" s="14">
        <f>IF(AS68="","",1)</f>
        <v/>
      </c>
      <c r="AU68" s="11">
        <f>IF(OR(City_Inputs!$BJ68="",Norm_Stats!$F$26="",Norm_Stats!$G$26="",Norm_Stats!$G$26=Norm_Stats!$F$26),"",MAX(0,MIN(100,100*(MIN(MAX(City_Inputs!$BJ68,Norm_Stats!$F$26),Norm_Stats!$G$26)-Norm_Stats!$F$26)/(Norm_Stats!$G$26-Norm_Stats!$F$26))))</f>
        <v/>
      </c>
      <c r="AV68" s="11">
        <f>IF(AU68="","",1)</f>
        <v/>
      </c>
      <c r="AW68" s="15">
        <f>IF((IF(AO68="",0,5)+IF(AQ68="",0,5)+IF(AS68="",0,5)+IF(AU68="",0,4))=0,"",(IF(AO68="",0,AO68*5)+IF(AQ68="",0,AQ68*5)+IF(AS68="",0,AS68*5)+IF(AU68="",0,AU68*4))/(IF(AO68="",0,5)+IF(AQ68="",0,5)+IF(AS68="",0,5)+IF(AU68="",0,4)))</f>
        <v/>
      </c>
      <c r="AX68" s="14">
        <f>IF((IF(AP68="",0,5)+IF(AR68="",0,5)+IF(AT68="",0,5)+IF(AV68="",0,4))=0,"",(IF(AP68="",0,AP68*5)+IF(AR68="",0,AR68*5)+IF(AT68="",0,AT68*5)+IF(AV68="",0,AV68*4))/19)</f>
        <v/>
      </c>
      <c r="AY68" s="11">
        <f>IF(OR(City_Inputs!$AE68="",Norm_Stats!$F$20="",Norm_Stats!$G$20="",Norm_Stats!$G$20=Norm_Stats!$F$20),"",MAX(0,MIN(100,100*(MIN(MAX(City_Inputs!$AE68,Norm_Stats!$F$20),Norm_Stats!$G$20)-Norm_Stats!$F$20)/(Norm_Stats!$G$20-Norm_Stats!$F$20))))</f>
        <v/>
      </c>
      <c r="AZ68" s="14">
        <f>IF(AY68="","",1)</f>
        <v/>
      </c>
      <c r="BA68" s="11">
        <f>IF(OR(City_Inputs!$AF68="",Norm_Stats!$F$21="",Norm_Stats!$G$21="",Norm_Stats!$G$21=Norm_Stats!$F$21),"",MAX(0,MIN(100,100*(MIN(MAX(City_Inputs!$AF68,Norm_Stats!$F$21),Norm_Stats!$G$21)-Norm_Stats!$F$21)/(Norm_Stats!$G$21-Norm_Stats!$F$21))))</f>
        <v/>
      </c>
      <c r="BB68" s="14">
        <f>IF(BA68="","",1)</f>
        <v/>
      </c>
      <c r="BC68" s="11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(IF(OR(City_Inputs!$AG68="",Norm_Stats!$F$22="",Norm_Stats!$G$22="",Norm_Stats!$G$22=Norm_Stats!$F$22),"",MAX(0,MIN(100,100*(MIN(MAX(City_Inputs!$AG68,Norm_Stats!$F$22),Norm_Stats!$G$22)-Norm_Stats!$F$22)/(Norm_Stats!$G$22-Norm_Stats!$F$22)))))*0.5)+IF((IF(OR(City_Inputs!$AJ68="",Norm_Stats!$F$23="",Norm_Stats!$G$23="",Norm_Stats!$G$23=Norm_Stats!$F$23),"",MAX(0,MIN(100,100*(MIN(MAX(City_Inputs!$AJ68,Norm_Stats!$F$23),Norm_Stats!$G$23)-Norm_Stats!$F$23)/(Norm_Stats!$G$23-Norm_Stats!$F$23)))))="",0,(IF(OR(City_Inputs!$AJ68="",Norm_Stats!$F$23="",Norm_Stats!$G$23="",Norm_Stats!$G$23=Norm_Stats!$F$23),"",MAX(0,MIN(100,100*(MIN(MAX(City_Inputs!$AJ68,Norm_Stats!$F$23),Norm_Stats!$G$23)-Norm_Stats!$F$23)/(Norm_Stats!$G$23-Norm_Stats!$F$23)))))*0.3)+IF((IF(OR(City_Inputs!$AK68="",Norm_Stats!$F$24="",Norm_Stats!$G$24="",Norm_Stats!$G$24=Norm_Stats!$F$24),"",MAX(0,MIN(100,100*(MIN(MAX(City_Inputs!$AK68,Norm_Stats!$F$24),Norm_Stats!$G$24)-Norm_Stats!$F$24)/(Norm_Stats!$G$24-Norm_Stats!$F$24)))))="",0,(IF(OR(City_Inputs!$AK68="",Norm_Stats!$F$24="",Norm_Stats!$G$24="",Norm_Stats!$G$24=Norm_Stats!$F$24),"",MAX(0,MIN(100,100*(MIN(MAX(City_Inputs!$AK68,Norm_Stats!$F$24),Norm_Stats!$G$24)-Norm_Stats!$F$24)/(Norm_Stats!$G$24-Norm_Stats!$F$24)))))*0.2))/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D68" s="14">
        <f>IF(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=0,"",(IF((IF(OR(City_Inputs!$AG68="",Norm_Stats!$F$22="",Norm_Stats!$G$22="",Norm_Stats!$G$22=Norm_Stats!$F$22),"",MAX(0,MIN(100,100*(MIN(MAX(City_Inputs!$AG68,Norm_Stats!$F$22),Norm_Stats!$G$22)-Norm_Stats!$F$22)/(Norm_Stats!$G$22-Norm_Stats!$F$22)))))="",0,0.5)+IF((IF(OR(City_Inputs!$AJ68="",Norm_Stats!$F$23="",Norm_Stats!$G$23="",Norm_Stats!$G$23=Norm_Stats!$F$23),"",MAX(0,MIN(100,100*(MIN(MAX(City_Inputs!$AJ68,Norm_Stats!$F$23),Norm_Stats!$G$23)-Norm_Stats!$F$23)/(Norm_Stats!$G$23-Norm_Stats!$F$23)))))="",0,0.3)+IF((IF(OR(City_Inputs!$AK68="",Norm_Stats!$F$24="",Norm_Stats!$G$24="",Norm_Stats!$G$24=Norm_Stats!$F$24),"",MAX(0,MIN(100,100*(MIN(MAX(City_Inputs!$AK68,Norm_Stats!$F$24),Norm_Stats!$G$24)-Norm_Stats!$F$24)/(Norm_Stats!$G$24-Norm_Stats!$F$24)))))="",0,0.2)))</f>
        <v/>
      </c>
      <c r="BE68" s="11">
        <f>IF(OR(City_Inputs!$AH68="",Norm_Stats!$F$25="",Norm_Stats!$G$25="",Norm_Stats!$G$25=Norm_Stats!$F$25),"",MAX(0,MIN(100,100*(Norm_Stats!$G$25-MIN(MAX(City_Inputs!$AH68,Norm_Stats!$F$25),Norm_Stats!$G$25))/(Norm_Stats!$G$25-Norm_Stats!$F$25))))</f>
        <v/>
      </c>
      <c r="BF68" s="14">
        <f>IF(BE68="","",1)</f>
        <v/>
      </c>
      <c r="BG68" s="15">
        <f>IF((IF(AY68="",0,6)+IF(BA68="",0,5)+IF(BC68="",0,5)+IF(BE68="",0,4))=0,"",(IF(AY68="",0,AY68*6)+IF(BA68="",0,BA68*5)+IF(BC68="",0,BC68*5)+IF(BE68="",0,BE68*4))/(IF(AY68="",0,6)+IF(BA68="",0,5)+IF(BC68="",0,5)+IF(BE68="",0,4)))</f>
        <v/>
      </c>
      <c r="BH68" s="14">
        <f>IF((IF(AZ68="",0,6)+IF(BB68="",0,5)+IF(BD68="",0,5)+IF(BF68="",0,4))=0,"",(IF(AZ68="",0,AZ68*6)+IF(BB68="",0,BB68*5)+IF(BD68="",0,BD68*5)+IF(BF68="",0,BF68*4))/20)</f>
        <v/>
      </c>
      <c r="BI68" s="14">
        <f>IF(AND(R68="",AF68="",AN68="",AX68="",BH68=""),"",((R68*25)+(AF68*22)+(AN68*18)+(AX68*15)+(BH68*20))/100)</f>
        <v/>
      </c>
      <c r="BJ68" s="11">
        <f>IF(BI68="","",IF(BI68&gt;=0.75,"A",IF(BI68&gt;=0.5,"B",IF(BI68&gt;=0.35,"C","Watchlist"))))</f>
        <v/>
      </c>
      <c r="BK68" s="11">
        <f>IF(OR(BI68="",BI68&lt;0.5,R68="",R68&lt;0.35,AF68="",AF68&lt;0.35,AN68="",AN68&lt;0.35,AX68="",AX68&lt;0.35,BH68="",BH68&lt;0.35),"Watchlist","Ranked")</f>
        <v/>
      </c>
      <c r="BL68" s="15">
        <f>IF(AND(Q68="",AE68="",AM68="",AW68="",BG68=""),"",(IF(Q68="",0,Q68*25)+IF(AE68="",0,AE68*22)+IF(AM68="",0,AM68*18)+IF(AW68="",0,AW68*15)+IF(BG68="",0,BG68*20))/(IF(Q68="",0,25)+IF(AE68="",0,22)+IF(AM68="",0,18)+IF(AW68="",0,15)+IF(BG68="",0,20)))</f>
        <v/>
      </c>
      <c r="BM68" s="11">
        <f>IF(BK68="Ranked",1+COUNTIFS($BK$2:$BK$158,"Ranked",$BL$2:$BL$158,"&gt;"&amp;BL68),"")</f>
        <v/>
      </c>
      <c r="BN68" s="11">
        <f>City_Inputs!$AI68</f>
        <v/>
      </c>
    </row>
    <row r="69">
      <c r="A69" t="inlineStr">
        <is>
          <t>pr-san-juan</t>
        </is>
      </c>
      <c r="B69" t="inlineStr">
        <is>
          <t>San Juan</t>
        </is>
      </c>
      <c r="C69" t="inlineStr">
        <is>
          <t>Puerto Rico</t>
        </is>
      </c>
      <c r="D69" t="inlineStr">
        <is>
          <t>North America</t>
        </is>
      </c>
      <c r="E69" t="inlineStr">
        <is>
          <t>provisional</t>
        </is>
      </c>
      <c r="F69" t="inlineStr">
        <is>
          <t>secondary</t>
        </is>
      </c>
      <c r="G69" s="11">
        <f>IF(OR(City_Inputs!$M69="",Norm_Stats!$F$2="",Norm_Stats!$G$2="",Norm_Stats!$G$2=Norm_Stats!$F$2),"",MAX(0,MIN(100,100*(MIN(MAX(City_Inputs!$M69,Norm_Stats!$F$2),Norm_Stats!$G$2)-Norm_Stats!$F$2)/(Norm_Stats!$G$2-Norm_Stats!$F$2))))</f>
        <v/>
      </c>
      <c r="H69" s="14">
        <f>IF(G69="","",1)</f>
        <v/>
      </c>
      <c r="I69" s="11">
        <f>IF(OR(City_Inputs!$N69="",Norm_Stats!$F$3="",Norm_Stats!$G$3="",Norm_Stats!$G$3=Norm_Stats!$F$3),"",MAX(0,MIN(100,100*(Norm_Stats!$G$3-MIN(MAX(City_Inputs!$N69,Norm_Stats!$F$3),Norm_Stats!$G$3))/(Norm_Stats!$G$3-Norm_Stats!$F$3))))</f>
        <v/>
      </c>
      <c r="J69" s="14">
        <f>IF(I69="","",1)</f>
        <v/>
      </c>
      <c r="K69" s="11">
        <f>IF(OR(City_Inputs!$P69="",Norm_Stats!$F$4="",Norm_Stats!$G$4="",Norm_Stats!$G$4=Norm_Stats!$F$4),"",MAX(0,MIN(100,100*(Norm_Stats!$G$4-MIN(MAX(City_Inputs!$P69,Norm_Stats!$F$4),Norm_Stats!$G$4))/(Norm_Stats!$G$4-Norm_Stats!$F$4))))</f>
        <v/>
      </c>
      <c r="L69" s="14">
        <f>IF(K69="","",1)</f>
        <v/>
      </c>
      <c r="M69" s="11">
        <f>IF(OR(City_Inputs!$Q69="",Norm_Stats!$F$5="",Norm_Stats!$G$5="",Norm_Stats!$G$5=Norm_Stats!$F$5),"",MAX(0,MIN(100,100*(Norm_Stats!$G$5-MIN(MAX(City_Inputs!$Q69,Norm_Stats!$F$5),Norm_Stats!$G$5))/(Norm_Stats!$G$5-Norm_Stats!$F$5))))</f>
        <v/>
      </c>
      <c r="N69" s="14">
        <f>IF(M69="","",1)</f>
        <v/>
      </c>
      <c r="O69" s="11">
        <f>IF(OR(City_Inputs!$R69="",Norm_Stats!$F$6="",Norm_Stats!$G$6="",Norm_Stats!$G$6=Norm_Stats!$F$6),"",MAX(0,MIN(100,100*(Norm_Stats!$G$6-MIN(MAX(City_Inputs!$R69,Norm_Stats!$F$6),Norm_Stats!$G$6))/(Norm_Stats!$G$6-Norm_Stats!$F$6))))</f>
        <v/>
      </c>
      <c r="P69" s="14">
        <f>IF(O69="","",1)</f>
        <v/>
      </c>
      <c r="Q69" s="15">
        <f>IF((IF(G69="",0,9)+IF(I69="",0,5)+IF(K69="",0,4)+IF(M69="",0,4)+IF(O69="",0,5))=0,"",(IF(G69="",0,G69*9)+IF(I69="",0,I69*5)+IF(K69="",0,K69*4)+IF(M69="",0,M69*4)+IF(O69="",0,O69*5))/(IF(G69="",0,9)+IF(I69="",0,5)+IF(K69="",0,4)+IF(M69="",0,4)+IF(O69="",0,5)))</f>
        <v/>
      </c>
      <c r="R69" s="14">
        <f>IF((IF(H69="",0,9)+IF(J69="",0,5)+IF(L69="",0,4)+IF(N69="",0,4)+IF(P69="",0,5))=0,"",(IF(H69="",0,H69*9)+IF(J69="",0,J69*5)+IF(L69="",0,L69*4)+IF(N69="",0,N69*4)+IF(P69="",0,P69*5))/27)</f>
        <v/>
      </c>
      <c r="S69" s="11">
        <f>IF(OR(City_Inputs!$S69="",Norm_Stats!$F$7="",Norm_Stats!$G$7="",Norm_Stats!$G$7=Norm_Stats!$F$7),"",MAX(0,MIN(100,100*(Norm_Stats!$G$7-MIN(MAX(City_Inputs!$S69,Norm_Stats!$F$7),Norm_Stats!$G$7))/(Norm_Stats!$G$7-Norm_Stats!$F$7))))</f>
        <v/>
      </c>
      <c r="T69" s="14">
        <f>IF(S69="","",1)</f>
        <v/>
      </c>
      <c r="U69" s="11">
        <f>IF(OR(City_Inputs!$T69="",Norm_Stats!$F$8="",Norm_Stats!$G$8="",Norm_Stats!$G$8=Norm_Stats!$F$8),"",MAX(0,MIN(100,100*(MIN(MAX(City_Inputs!$T69,Norm_Stats!$F$8),Norm_Stats!$G$8)-Norm_Stats!$F$8)/(Norm_Stats!$G$8-Norm_Stats!$F$8))))</f>
        <v/>
      </c>
      <c r="V69" s="14">
        <f>IF(U69="","",1)</f>
        <v/>
      </c>
      <c r="W69" s="11">
        <f>IF(OR(City_Inputs!$U69="",Norm_Stats!$F$9="",Norm_Stats!$G$9="",Norm_Stats!$G$9=Norm_Stats!$F$9),"",MAX(0,MIN(100,100*(Norm_Stats!$G$9-MIN(MAX(City_Inputs!$U69,Norm_Stats!$F$9),Norm_Stats!$G$9))/(Norm_Stats!$G$9-Norm_Stats!$F$9))))</f>
        <v/>
      </c>
      <c r="X69" s="14">
        <f>IF(W69="","",1)</f>
        <v/>
      </c>
      <c r="Y69" s="11">
        <f>IF(OR(City_Inputs!$V69="",Norm_Stats!$F$10="",Norm_Stats!$G$10="",Norm_Stats!$G$10=Norm_Stats!$F$10),"",MAX(0,MIN(100,100*(MIN(MAX(City_Inputs!$V69,Norm_Stats!$F$10),Norm_Stats!$G$10)-Norm_Stats!$F$10)/(Norm_Stats!$G$10-Norm_Stats!$F$10))))</f>
        <v/>
      </c>
      <c r="Z69" s="14">
        <f>IF(Y69="","",1)</f>
        <v/>
      </c>
      <c r="AA69" s="11">
        <f>IF(OR(City_Inputs!$W69="",Norm_Stats!$F$11="",Norm_Stats!$G$11="",Norm_Stats!$G$11=Norm_Stats!$F$11),"",MAX(0,MIN(100,100*(MIN(MAX(City_Inputs!$W69,Norm_Stats!$F$11),Norm_Stats!$G$11)-Norm_Stats!$F$11)/(Norm_Stats!$G$11-Norm_Stats!$F$11))))</f>
        <v/>
      </c>
      <c r="AB69" s="14">
        <f>IF(AA69="","",1)</f>
        <v/>
      </c>
      <c r="AC69" s="11">
        <f>IF(OR(City_Inputs!$X69="",Norm_Stats!$F$12="",Norm_Stats!$G$12="",Norm_Stats!$G$12=Norm_Stats!$F$12),"",MAX(0,MIN(100,100*(MIN(MAX(City_Inputs!$X69,Norm_Stats!$F$12),Norm_Stats!$G$12)-Norm_Stats!$F$12)/(Norm_Stats!$G$12-Norm_Stats!$F$12))))</f>
        <v/>
      </c>
      <c r="AD69" s="11">
        <f>IF(AC69="","",1)</f>
        <v/>
      </c>
      <c r="AE69" s="15">
        <f>IF((IF(S69="",0,5)+IF(U69="",0,5)+IF(W69="",0,4)+IF(Y69="",0,4)+IF(AA69="",0,4)+IF(AC69="",0,5))=0,"",(IF(S69="",0,S69*5)+IF(U69="",0,U69*5)+IF(W69="",0,W69*4)+IF(Y69="",0,Y69*4)+IF(AA69="",0,AA69*4)+IF(AC69="",0,AC69*5))/(IF(S69="",0,5)+IF(U69="",0,5)+IF(W69="",0,4)+IF(Y69="",0,4)+IF(AA69="",0,4)+IF(AC69="",0,5)))</f>
        <v/>
      </c>
      <c r="AF69" s="14">
        <f>IF((IF(T69="",0,5)+IF(V69="",0,5)+IF(X69="",0,4)+IF(Z69="",0,4)+IF(AB69="",0,4)+IF(AD69="",0,5))=0,"",(IF(T69="",0,T69*5)+IF(V69="",0,V69*5)+IF(X69="",0,X69*4)+IF(Z69="",0,Z69*4)+IF(AB69="",0,AB69*4)+IF(AD69="",0,AD69*5))/27)</f>
        <v/>
      </c>
      <c r="AG69" s="11">
        <f>IF(OR(City_Inputs!$Y69="",Norm_Stats!$F$13="",Norm_Stats!$G$13="",Norm_Stats!$G$13=Norm_Stats!$F$13),"",MAX(0,MIN(100,100*(MIN(MAX(City_Inputs!$Y69,Norm_Stats!$F$13),Norm_Stats!$G$13)-Norm_Stats!$F$13)/(Norm_Stats!$G$13-Norm_Stats!$F$13))))</f>
        <v/>
      </c>
      <c r="AH69" s="14">
        <f>IF(AG69="","",1)</f>
        <v/>
      </c>
      <c r="AI69" s="11">
        <f>IF(OR(City_Inputs!$Z69="",Norm_Stats!$F$14="",Norm_Stats!$G$14="",Norm_Stats!$G$14=Norm_Stats!$F$14),"",MAX(0,MIN(100,100*(MIN(MAX(City_Inputs!$Z69,Norm_Stats!$F$14),Norm_Stats!$G$14)-Norm_Stats!$F$14)/(Norm_Stats!$G$14-Norm_Stats!$F$14))))</f>
        <v/>
      </c>
      <c r="AJ69" s="14">
        <f>IF(AI69="","",1)</f>
        <v/>
      </c>
      <c r="AK69" s="11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(IF(OR(City_Inputs!$AA69="",Norm_Stats!$F$15="",Norm_Stats!$G$15="",Norm_Stats!$G$15=Norm_Stats!$F$15),"",MAX(0,MIN(100,100*(MIN(MAX(City_Inputs!$AA69,Norm_Stats!$F$15),Norm_Stats!$G$15)-Norm_Stats!$F$15)/(Norm_Stats!$G$15-Norm_Stats!$F$15)))))*0.7)+IF((IF(OR(City_Inputs!$AL69="",Norm_Stats!$F$16="",Norm_Stats!$G$16="",Norm_Stats!$G$16=Norm_Stats!$F$16),"",MAX(0,MIN(100,100*(Norm_Stats!$G$16-MIN(MAX(City_Inputs!$AL69,Norm_Stats!$F$16),Norm_Stats!$G$16))/(Norm_Stats!$G$16-Norm_Stats!$F$16)))))="",0,(IF(OR(City_Inputs!$AL69="",Norm_Stats!$F$16="",Norm_Stats!$G$16="",Norm_Stats!$G$16=Norm_Stats!$F$16),"",MAX(0,MIN(100,100*(Norm_Stats!$G$16-MIN(MAX(City_Inputs!$AL69,Norm_Stats!$F$16),Norm_Stats!$G$16))/(Norm_Stats!$G$16-Norm_Stats!$F$16)))))*0.3))/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L69" s="14">
        <f>IF(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=0,"",(IF((IF(OR(City_Inputs!$AA69="",Norm_Stats!$F$15="",Norm_Stats!$G$15="",Norm_Stats!$G$15=Norm_Stats!$F$15),"",MAX(0,MIN(100,100*(MIN(MAX(City_Inputs!$AA69,Norm_Stats!$F$15),Norm_Stats!$G$15)-Norm_Stats!$F$15)/(Norm_Stats!$G$15-Norm_Stats!$F$15)))))="",0,0.7)+IF((IF(OR(City_Inputs!$AL69="",Norm_Stats!$F$16="",Norm_Stats!$G$16="",Norm_Stats!$G$16=Norm_Stats!$F$16),"",MAX(0,MIN(100,100*(Norm_Stats!$G$16-MIN(MAX(City_Inputs!$AL69,Norm_Stats!$F$16),Norm_Stats!$G$16))/(Norm_Stats!$G$16-Norm_Stats!$F$16)))))="",0,0.3)))</f>
        <v/>
      </c>
      <c r="AM69" s="15">
        <f>IF((IF(AG69="",0,8)+IF(AI69="",0,6)+IF(AK69="",0,4))=0,"",(IF(AG69="",0,AG69*8)+IF(AI69="",0,AI69*6)+IF(AK69="",0,AK69*4))/(IF(AG69="",0,8)+IF(AI69="",0,6)+IF(AK69="",0,4)))</f>
        <v/>
      </c>
      <c r="AN69" s="14">
        <f>IF((IF(AH69="",0,8)+IF(AJ69="",0,6)+IF(AL69="",0,4))=0,"",(IF(AH69="",0,AH69*8)+IF(AJ69="",0,AJ69*6)+IF(AL69="",0,AL69*4))/18)</f>
        <v/>
      </c>
      <c r="AO69" s="11">
        <f>IF(OR(City_Inputs!$AB69="",Norm_Stats!$F$17="",Norm_Stats!$G$17="",Norm_Stats!$G$17=Norm_Stats!$F$17),"",MAX(0,MIN(100,100*(MIN(MAX(City_Inputs!$AB69,Norm_Stats!$F$17),Norm_Stats!$G$17)-Norm_Stats!$F$17)/(Norm_Stats!$G$17-Norm_Stats!$F$17))))</f>
        <v/>
      </c>
      <c r="AP69" s="14">
        <f>IF(AO69="","",1)</f>
        <v/>
      </c>
      <c r="AQ69" s="11">
        <f>IF(OR(City_Inputs!$AC69="",Norm_Stats!$F$18="",Norm_Stats!$G$18="",Norm_Stats!$G$18=Norm_Stats!$F$18),"",MAX(0,MIN(100,100*(MIN(MAX(City_Inputs!$AC69,Norm_Stats!$F$18),Norm_Stats!$G$18)-Norm_Stats!$F$18)/(Norm_Stats!$G$18-Norm_Stats!$F$18))))</f>
        <v/>
      </c>
      <c r="AR69" s="14">
        <f>IF(AQ69="","",1)</f>
        <v/>
      </c>
      <c r="AS69" s="11">
        <f>IF(OR(City_Inputs!$AD69="",Norm_Stats!$F$19="",Norm_Stats!$G$19="",Norm_Stats!$G$19=Norm_Stats!$F$19),"",MAX(0,MIN(100,100*(MIN(MAX(City_Inputs!$AD69,Norm_Stats!$F$19),Norm_Stats!$G$19)-Norm_Stats!$F$19)/(Norm_Stats!$G$19-Norm_Stats!$F$19))))</f>
        <v/>
      </c>
      <c r="AT69" s="14">
        <f>IF(AS69="","",1)</f>
        <v/>
      </c>
      <c r="AU69" s="11">
        <f>IF(OR(City_Inputs!$BJ69="",Norm_Stats!$F$26="",Norm_Stats!$G$26="",Norm_Stats!$G$26=Norm_Stats!$F$26),"",MAX(0,MIN(100,100*(MIN(MAX(City_Inputs!$BJ69,Norm_Stats!$F$26),Norm_Stats!$G$26)-Norm_Stats!$F$26)/(Norm_Stats!$G$26-Norm_Stats!$F$26))))</f>
        <v/>
      </c>
      <c r="AV69" s="11">
        <f>IF(AU69="","",1)</f>
        <v/>
      </c>
      <c r="AW69" s="15">
        <f>IF((IF(AO69="",0,5)+IF(AQ69="",0,5)+IF(AS69="",0,5)+IF(AU69="",0,4))=0,"",(IF(AO69="",0,AO69*5)+IF(AQ69="",0,AQ69*5)+IF(AS69="",0,AS69*5)+IF(AU69="",0,AU69*4))/(IF(AO69="",0,5)+IF(AQ69="",0,5)+IF(AS69="",0,5)+IF(AU69="",0,4)))</f>
        <v/>
      </c>
      <c r="AX69" s="14">
        <f>IF((IF(AP69="",0,5)+IF(AR69="",0,5)+IF(AT69="",0,5)+IF(AV69="",0,4))=0,"",(IF(AP69="",0,AP69*5)+IF(AR69="",0,AR69*5)+IF(AT69="",0,AT69*5)+IF(AV69="",0,AV69*4))/19)</f>
        <v/>
      </c>
      <c r="AY69" s="11">
        <f>IF(OR(City_Inputs!$AE69="",Norm_Stats!$F$20="",Norm_Stats!$G$20="",Norm_Stats!$G$20=Norm_Stats!$F$20),"",MAX(0,MIN(100,100*(MIN(MAX(City_Inputs!$AE69,Norm_Stats!$F$20),Norm_Stats!$G$20)-Norm_Stats!$F$20)/(Norm_Stats!$G$20-Norm_Stats!$F$20))))</f>
        <v/>
      </c>
      <c r="AZ69" s="14">
        <f>IF(AY69="","",1)</f>
        <v/>
      </c>
      <c r="BA69" s="11">
        <f>IF(OR(City_Inputs!$AF69="",Norm_Stats!$F$21="",Norm_Stats!$G$21="",Norm_Stats!$G$21=Norm_Stats!$F$21),"",MAX(0,MIN(100,100*(MIN(MAX(City_Inputs!$AF69,Norm_Stats!$F$21),Norm_Stats!$G$21)-Norm_Stats!$F$21)/(Norm_Stats!$G$21-Norm_Stats!$F$21))))</f>
        <v/>
      </c>
      <c r="BB69" s="14">
        <f>IF(BA69="","",1)</f>
        <v/>
      </c>
      <c r="BC69" s="11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(IF(OR(City_Inputs!$AG69="",Norm_Stats!$F$22="",Norm_Stats!$G$22="",Norm_Stats!$G$22=Norm_Stats!$F$22),"",MAX(0,MIN(100,100*(MIN(MAX(City_Inputs!$AG69,Norm_Stats!$F$22),Norm_Stats!$G$22)-Norm_Stats!$F$22)/(Norm_Stats!$G$22-Norm_Stats!$F$22)))))*0.5)+IF((IF(OR(City_Inputs!$AJ69="",Norm_Stats!$F$23="",Norm_Stats!$G$23="",Norm_Stats!$G$23=Norm_Stats!$F$23),"",MAX(0,MIN(100,100*(MIN(MAX(City_Inputs!$AJ69,Norm_Stats!$F$23),Norm_Stats!$G$23)-Norm_Stats!$F$23)/(Norm_Stats!$G$23-Norm_Stats!$F$23)))))="",0,(IF(OR(City_Inputs!$AJ69="",Norm_Stats!$F$23="",Norm_Stats!$G$23="",Norm_Stats!$G$23=Norm_Stats!$F$23),"",MAX(0,MIN(100,100*(MIN(MAX(City_Inputs!$AJ69,Norm_Stats!$F$23),Norm_Stats!$G$23)-Norm_Stats!$F$23)/(Norm_Stats!$G$23-Norm_Stats!$F$23)))))*0.3)+IF((IF(OR(City_Inputs!$AK69="",Norm_Stats!$F$24="",Norm_Stats!$G$24="",Norm_Stats!$G$24=Norm_Stats!$F$24),"",MAX(0,MIN(100,100*(MIN(MAX(City_Inputs!$AK69,Norm_Stats!$F$24),Norm_Stats!$G$24)-Norm_Stats!$F$24)/(Norm_Stats!$G$24-Norm_Stats!$F$24)))))="",0,(IF(OR(City_Inputs!$AK69="",Norm_Stats!$F$24="",Norm_Stats!$G$24="",Norm_Stats!$G$24=Norm_Stats!$F$24),"",MAX(0,MIN(100,100*(MIN(MAX(City_Inputs!$AK69,Norm_Stats!$F$24),Norm_Stats!$G$24)-Norm_Stats!$F$24)/(Norm_Stats!$G$24-Norm_Stats!$F$24)))))*0.2))/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D69" s="14">
        <f>IF(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=0,"",(IF((IF(OR(City_Inputs!$AG69="",Norm_Stats!$F$22="",Norm_Stats!$G$22="",Norm_Stats!$G$22=Norm_Stats!$F$22),"",MAX(0,MIN(100,100*(MIN(MAX(City_Inputs!$AG69,Norm_Stats!$F$22),Norm_Stats!$G$22)-Norm_Stats!$F$22)/(Norm_Stats!$G$22-Norm_Stats!$F$22)))))="",0,0.5)+IF((IF(OR(City_Inputs!$AJ69="",Norm_Stats!$F$23="",Norm_Stats!$G$23="",Norm_Stats!$G$23=Norm_Stats!$F$23),"",MAX(0,MIN(100,100*(MIN(MAX(City_Inputs!$AJ69,Norm_Stats!$F$23),Norm_Stats!$G$23)-Norm_Stats!$F$23)/(Norm_Stats!$G$23-Norm_Stats!$F$23)))))="",0,0.3)+IF((IF(OR(City_Inputs!$AK69="",Norm_Stats!$F$24="",Norm_Stats!$G$24="",Norm_Stats!$G$24=Norm_Stats!$F$24),"",MAX(0,MIN(100,100*(MIN(MAX(City_Inputs!$AK69,Norm_Stats!$F$24),Norm_Stats!$G$24)-Norm_Stats!$F$24)/(Norm_Stats!$G$24-Norm_Stats!$F$24)))))="",0,0.2)))</f>
        <v/>
      </c>
      <c r="BE69" s="11">
        <f>IF(OR(City_Inputs!$AH69="",Norm_Stats!$F$25="",Norm_Stats!$G$25="",Norm_Stats!$G$25=Norm_Stats!$F$25),"",MAX(0,MIN(100,100*(Norm_Stats!$G$25-MIN(MAX(City_Inputs!$AH69,Norm_Stats!$F$25),Norm_Stats!$G$25))/(Norm_Stats!$G$25-Norm_Stats!$F$25))))</f>
        <v/>
      </c>
      <c r="BF69" s="14">
        <f>IF(BE69="","",1)</f>
        <v/>
      </c>
      <c r="BG69" s="15">
        <f>IF((IF(AY69="",0,6)+IF(BA69="",0,5)+IF(BC69="",0,5)+IF(BE69="",0,4))=0,"",(IF(AY69="",0,AY69*6)+IF(BA69="",0,BA69*5)+IF(BC69="",0,BC69*5)+IF(BE69="",0,BE69*4))/(IF(AY69="",0,6)+IF(BA69="",0,5)+IF(BC69="",0,5)+IF(BE69="",0,4)))</f>
        <v/>
      </c>
      <c r="BH69" s="14">
        <f>IF((IF(AZ69="",0,6)+IF(BB69="",0,5)+IF(BD69="",0,5)+IF(BF69="",0,4))=0,"",(IF(AZ69="",0,AZ69*6)+IF(BB69="",0,BB69*5)+IF(BD69="",0,BD69*5)+IF(BF69="",0,BF69*4))/20)</f>
        <v/>
      </c>
      <c r="BI69" s="14">
        <f>IF(AND(R69="",AF69="",AN69="",AX69="",BH69=""),"",((R69*25)+(AF69*22)+(AN69*18)+(AX69*15)+(BH69*20))/100)</f>
        <v/>
      </c>
      <c r="BJ69" s="11">
        <f>IF(BI69="","",IF(BI69&gt;=0.75,"A",IF(BI69&gt;=0.5,"B",IF(BI69&gt;=0.35,"C","Watchlist"))))</f>
        <v/>
      </c>
      <c r="BK69" s="11">
        <f>IF(OR(BI69="",BI69&lt;0.5,R69="",R69&lt;0.35,AF69="",AF69&lt;0.35,AN69="",AN69&lt;0.35,AX69="",AX69&lt;0.35,BH69="",BH69&lt;0.35),"Watchlist","Ranked")</f>
        <v/>
      </c>
      <c r="BL69" s="15">
        <f>IF(AND(Q69="",AE69="",AM69="",AW69="",BG69=""),"",(IF(Q69="",0,Q69*25)+IF(AE69="",0,AE69*22)+IF(AM69="",0,AM69*18)+IF(AW69="",0,AW69*15)+IF(BG69="",0,BG69*20))/(IF(Q69="",0,25)+IF(AE69="",0,22)+IF(AM69="",0,18)+IF(AW69="",0,15)+IF(BG69="",0,20)))</f>
        <v/>
      </c>
      <c r="BM69" s="11">
        <f>IF(BK69="Ranked",1+COUNTIFS($BK$2:$BK$158,"Ranked",$BL$2:$BL$158,"&gt;"&amp;BL69),"")</f>
        <v/>
      </c>
      <c r="BN69" s="11">
        <f>City_Inputs!$AI69</f>
        <v/>
      </c>
    </row>
    <row r="70">
      <c r="A70" t="inlineStr">
        <is>
          <t>mx-merida</t>
        </is>
      </c>
      <c r="B70" t="inlineStr">
        <is>
          <t>Merida</t>
        </is>
      </c>
      <c r="C70" t="inlineStr">
        <is>
          <t>Mexico</t>
        </is>
      </c>
      <c r="D70" t="inlineStr">
        <is>
          <t>North America</t>
        </is>
      </c>
      <c r="E70" t="inlineStr">
        <is>
          <t>provisional</t>
        </is>
      </c>
      <c r="F70" t="inlineStr">
        <is>
          <t>secondary</t>
        </is>
      </c>
      <c r="G70" s="11">
        <f>IF(OR(City_Inputs!$M70="",Norm_Stats!$F$2="",Norm_Stats!$G$2="",Norm_Stats!$G$2=Norm_Stats!$F$2),"",MAX(0,MIN(100,100*(MIN(MAX(City_Inputs!$M70,Norm_Stats!$F$2),Norm_Stats!$G$2)-Norm_Stats!$F$2)/(Norm_Stats!$G$2-Norm_Stats!$F$2))))</f>
        <v/>
      </c>
      <c r="H70" s="14">
        <f>IF(G70="","",1)</f>
        <v/>
      </c>
      <c r="I70" s="11">
        <f>IF(OR(City_Inputs!$N70="",Norm_Stats!$F$3="",Norm_Stats!$G$3="",Norm_Stats!$G$3=Norm_Stats!$F$3),"",MAX(0,MIN(100,100*(Norm_Stats!$G$3-MIN(MAX(City_Inputs!$N70,Norm_Stats!$F$3),Norm_Stats!$G$3))/(Norm_Stats!$G$3-Norm_Stats!$F$3))))</f>
        <v/>
      </c>
      <c r="J70" s="14">
        <f>IF(I70="","",1)</f>
        <v/>
      </c>
      <c r="K70" s="11">
        <f>IF(OR(City_Inputs!$P70="",Norm_Stats!$F$4="",Norm_Stats!$G$4="",Norm_Stats!$G$4=Norm_Stats!$F$4),"",MAX(0,MIN(100,100*(Norm_Stats!$G$4-MIN(MAX(City_Inputs!$P70,Norm_Stats!$F$4),Norm_Stats!$G$4))/(Norm_Stats!$G$4-Norm_Stats!$F$4))))</f>
        <v/>
      </c>
      <c r="L70" s="14">
        <f>IF(K70="","",1)</f>
        <v/>
      </c>
      <c r="M70" s="11">
        <f>IF(OR(City_Inputs!$Q70="",Norm_Stats!$F$5="",Norm_Stats!$G$5="",Norm_Stats!$G$5=Norm_Stats!$F$5),"",MAX(0,MIN(100,100*(Norm_Stats!$G$5-MIN(MAX(City_Inputs!$Q70,Norm_Stats!$F$5),Norm_Stats!$G$5))/(Norm_Stats!$G$5-Norm_Stats!$F$5))))</f>
        <v/>
      </c>
      <c r="N70" s="14">
        <f>IF(M70="","",1)</f>
        <v/>
      </c>
      <c r="O70" s="11">
        <f>IF(OR(City_Inputs!$R70="",Norm_Stats!$F$6="",Norm_Stats!$G$6="",Norm_Stats!$G$6=Norm_Stats!$F$6),"",MAX(0,MIN(100,100*(Norm_Stats!$G$6-MIN(MAX(City_Inputs!$R70,Norm_Stats!$F$6),Norm_Stats!$G$6))/(Norm_Stats!$G$6-Norm_Stats!$F$6))))</f>
        <v/>
      </c>
      <c r="P70" s="14">
        <f>IF(O70="","",1)</f>
        <v/>
      </c>
      <c r="Q70" s="15">
        <f>IF((IF(G70="",0,9)+IF(I70="",0,5)+IF(K70="",0,4)+IF(M70="",0,4)+IF(O70="",0,5))=0,"",(IF(G70="",0,G70*9)+IF(I70="",0,I70*5)+IF(K70="",0,K70*4)+IF(M70="",0,M70*4)+IF(O70="",0,O70*5))/(IF(G70="",0,9)+IF(I70="",0,5)+IF(K70="",0,4)+IF(M70="",0,4)+IF(O70="",0,5)))</f>
        <v/>
      </c>
      <c r="R70" s="14">
        <f>IF((IF(H70="",0,9)+IF(J70="",0,5)+IF(L70="",0,4)+IF(N70="",0,4)+IF(P70="",0,5))=0,"",(IF(H70="",0,H70*9)+IF(J70="",0,J70*5)+IF(L70="",0,L70*4)+IF(N70="",0,N70*4)+IF(P70="",0,P70*5))/27)</f>
        <v/>
      </c>
      <c r="S70" s="11">
        <f>IF(OR(City_Inputs!$S70="",Norm_Stats!$F$7="",Norm_Stats!$G$7="",Norm_Stats!$G$7=Norm_Stats!$F$7),"",MAX(0,MIN(100,100*(Norm_Stats!$G$7-MIN(MAX(City_Inputs!$S70,Norm_Stats!$F$7),Norm_Stats!$G$7))/(Norm_Stats!$G$7-Norm_Stats!$F$7))))</f>
        <v/>
      </c>
      <c r="T70" s="14">
        <f>IF(S70="","",1)</f>
        <v/>
      </c>
      <c r="U70" s="11">
        <f>IF(OR(City_Inputs!$T70="",Norm_Stats!$F$8="",Norm_Stats!$G$8="",Norm_Stats!$G$8=Norm_Stats!$F$8),"",MAX(0,MIN(100,100*(MIN(MAX(City_Inputs!$T70,Norm_Stats!$F$8),Norm_Stats!$G$8)-Norm_Stats!$F$8)/(Norm_Stats!$G$8-Norm_Stats!$F$8))))</f>
        <v/>
      </c>
      <c r="V70" s="14">
        <f>IF(U70="","",1)</f>
        <v/>
      </c>
      <c r="W70" s="11">
        <f>IF(OR(City_Inputs!$U70="",Norm_Stats!$F$9="",Norm_Stats!$G$9="",Norm_Stats!$G$9=Norm_Stats!$F$9),"",MAX(0,MIN(100,100*(Norm_Stats!$G$9-MIN(MAX(City_Inputs!$U70,Norm_Stats!$F$9),Norm_Stats!$G$9))/(Norm_Stats!$G$9-Norm_Stats!$F$9))))</f>
        <v/>
      </c>
      <c r="X70" s="14">
        <f>IF(W70="","",1)</f>
        <v/>
      </c>
      <c r="Y70" s="11">
        <f>IF(OR(City_Inputs!$V70="",Norm_Stats!$F$10="",Norm_Stats!$G$10="",Norm_Stats!$G$10=Norm_Stats!$F$10),"",MAX(0,MIN(100,100*(MIN(MAX(City_Inputs!$V70,Norm_Stats!$F$10),Norm_Stats!$G$10)-Norm_Stats!$F$10)/(Norm_Stats!$G$10-Norm_Stats!$F$10))))</f>
        <v/>
      </c>
      <c r="Z70" s="14">
        <f>IF(Y70="","",1)</f>
        <v/>
      </c>
      <c r="AA70" s="11">
        <f>IF(OR(City_Inputs!$W70="",Norm_Stats!$F$11="",Norm_Stats!$G$11="",Norm_Stats!$G$11=Norm_Stats!$F$11),"",MAX(0,MIN(100,100*(MIN(MAX(City_Inputs!$W70,Norm_Stats!$F$11),Norm_Stats!$G$11)-Norm_Stats!$F$11)/(Norm_Stats!$G$11-Norm_Stats!$F$11))))</f>
        <v/>
      </c>
      <c r="AB70" s="14">
        <f>IF(AA70="","",1)</f>
        <v/>
      </c>
      <c r="AC70" s="11">
        <f>IF(OR(City_Inputs!$X70="",Norm_Stats!$F$12="",Norm_Stats!$G$12="",Norm_Stats!$G$12=Norm_Stats!$F$12),"",MAX(0,MIN(100,100*(MIN(MAX(City_Inputs!$X70,Norm_Stats!$F$12),Norm_Stats!$G$12)-Norm_Stats!$F$12)/(Norm_Stats!$G$12-Norm_Stats!$F$12))))</f>
        <v/>
      </c>
      <c r="AD70" s="11">
        <f>IF(AC70="","",1)</f>
        <v/>
      </c>
      <c r="AE70" s="15">
        <f>IF((IF(S70="",0,5)+IF(U70="",0,5)+IF(W70="",0,4)+IF(Y70="",0,4)+IF(AA70="",0,4)+IF(AC70="",0,5))=0,"",(IF(S70="",0,S70*5)+IF(U70="",0,U70*5)+IF(W70="",0,W70*4)+IF(Y70="",0,Y70*4)+IF(AA70="",0,AA70*4)+IF(AC70="",0,AC70*5))/(IF(S70="",0,5)+IF(U70="",0,5)+IF(W70="",0,4)+IF(Y70="",0,4)+IF(AA70="",0,4)+IF(AC70="",0,5)))</f>
        <v/>
      </c>
      <c r="AF70" s="14">
        <f>IF((IF(T70="",0,5)+IF(V70="",0,5)+IF(X70="",0,4)+IF(Z70="",0,4)+IF(AB70="",0,4)+IF(AD70="",0,5))=0,"",(IF(T70="",0,T70*5)+IF(V70="",0,V70*5)+IF(X70="",0,X70*4)+IF(Z70="",0,Z70*4)+IF(AB70="",0,AB70*4)+IF(AD70="",0,AD70*5))/27)</f>
        <v/>
      </c>
      <c r="AG70" s="11">
        <f>IF(OR(City_Inputs!$Y70="",Norm_Stats!$F$13="",Norm_Stats!$G$13="",Norm_Stats!$G$13=Norm_Stats!$F$13),"",MAX(0,MIN(100,100*(MIN(MAX(City_Inputs!$Y70,Norm_Stats!$F$13),Norm_Stats!$G$13)-Norm_Stats!$F$13)/(Norm_Stats!$G$13-Norm_Stats!$F$13))))</f>
        <v/>
      </c>
      <c r="AH70" s="14">
        <f>IF(AG70="","",1)</f>
        <v/>
      </c>
      <c r="AI70" s="11">
        <f>IF(OR(City_Inputs!$Z70="",Norm_Stats!$F$14="",Norm_Stats!$G$14="",Norm_Stats!$G$14=Norm_Stats!$F$14),"",MAX(0,MIN(100,100*(MIN(MAX(City_Inputs!$Z70,Norm_Stats!$F$14),Norm_Stats!$G$14)-Norm_Stats!$F$14)/(Norm_Stats!$G$14-Norm_Stats!$F$14))))</f>
        <v/>
      </c>
      <c r="AJ70" s="14">
        <f>IF(AI70="","",1)</f>
        <v/>
      </c>
      <c r="AK70" s="11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(IF(OR(City_Inputs!$AA70="",Norm_Stats!$F$15="",Norm_Stats!$G$15="",Norm_Stats!$G$15=Norm_Stats!$F$15),"",MAX(0,MIN(100,100*(MIN(MAX(City_Inputs!$AA70,Norm_Stats!$F$15),Norm_Stats!$G$15)-Norm_Stats!$F$15)/(Norm_Stats!$G$15-Norm_Stats!$F$15)))))*0.7)+IF((IF(OR(City_Inputs!$AL70="",Norm_Stats!$F$16="",Norm_Stats!$G$16="",Norm_Stats!$G$16=Norm_Stats!$F$16),"",MAX(0,MIN(100,100*(Norm_Stats!$G$16-MIN(MAX(City_Inputs!$AL70,Norm_Stats!$F$16),Norm_Stats!$G$16))/(Norm_Stats!$G$16-Norm_Stats!$F$16)))))="",0,(IF(OR(City_Inputs!$AL70="",Norm_Stats!$F$16="",Norm_Stats!$G$16="",Norm_Stats!$G$16=Norm_Stats!$F$16),"",MAX(0,MIN(100,100*(Norm_Stats!$G$16-MIN(MAX(City_Inputs!$AL70,Norm_Stats!$F$16),Norm_Stats!$G$16))/(Norm_Stats!$G$16-Norm_Stats!$F$16)))))*0.3))/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L70" s="14">
        <f>IF(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=0,"",(IF((IF(OR(City_Inputs!$AA70="",Norm_Stats!$F$15="",Norm_Stats!$G$15="",Norm_Stats!$G$15=Norm_Stats!$F$15),"",MAX(0,MIN(100,100*(MIN(MAX(City_Inputs!$AA70,Norm_Stats!$F$15),Norm_Stats!$G$15)-Norm_Stats!$F$15)/(Norm_Stats!$G$15-Norm_Stats!$F$15)))))="",0,0.7)+IF((IF(OR(City_Inputs!$AL70="",Norm_Stats!$F$16="",Norm_Stats!$G$16="",Norm_Stats!$G$16=Norm_Stats!$F$16),"",MAX(0,MIN(100,100*(Norm_Stats!$G$16-MIN(MAX(City_Inputs!$AL70,Norm_Stats!$F$16),Norm_Stats!$G$16))/(Norm_Stats!$G$16-Norm_Stats!$F$16)))))="",0,0.3)))</f>
        <v/>
      </c>
      <c r="AM70" s="15">
        <f>IF((IF(AG70="",0,8)+IF(AI70="",0,6)+IF(AK70="",0,4))=0,"",(IF(AG70="",0,AG70*8)+IF(AI70="",0,AI70*6)+IF(AK70="",0,AK70*4))/(IF(AG70="",0,8)+IF(AI70="",0,6)+IF(AK70="",0,4)))</f>
        <v/>
      </c>
      <c r="AN70" s="14">
        <f>IF((IF(AH70="",0,8)+IF(AJ70="",0,6)+IF(AL70="",0,4))=0,"",(IF(AH70="",0,AH70*8)+IF(AJ70="",0,AJ70*6)+IF(AL70="",0,AL70*4))/18)</f>
        <v/>
      </c>
      <c r="AO70" s="11">
        <f>IF(OR(City_Inputs!$AB70="",Norm_Stats!$F$17="",Norm_Stats!$G$17="",Norm_Stats!$G$17=Norm_Stats!$F$17),"",MAX(0,MIN(100,100*(MIN(MAX(City_Inputs!$AB70,Norm_Stats!$F$17),Norm_Stats!$G$17)-Norm_Stats!$F$17)/(Norm_Stats!$G$17-Norm_Stats!$F$17))))</f>
        <v/>
      </c>
      <c r="AP70" s="14">
        <f>IF(AO70="","",1)</f>
        <v/>
      </c>
      <c r="AQ70" s="11">
        <f>IF(OR(City_Inputs!$AC70="",Norm_Stats!$F$18="",Norm_Stats!$G$18="",Norm_Stats!$G$18=Norm_Stats!$F$18),"",MAX(0,MIN(100,100*(MIN(MAX(City_Inputs!$AC70,Norm_Stats!$F$18),Norm_Stats!$G$18)-Norm_Stats!$F$18)/(Norm_Stats!$G$18-Norm_Stats!$F$18))))</f>
        <v/>
      </c>
      <c r="AR70" s="14">
        <f>IF(AQ70="","",1)</f>
        <v/>
      </c>
      <c r="AS70" s="11">
        <f>IF(OR(City_Inputs!$AD70="",Norm_Stats!$F$19="",Norm_Stats!$G$19="",Norm_Stats!$G$19=Norm_Stats!$F$19),"",MAX(0,MIN(100,100*(MIN(MAX(City_Inputs!$AD70,Norm_Stats!$F$19),Norm_Stats!$G$19)-Norm_Stats!$F$19)/(Norm_Stats!$G$19-Norm_Stats!$F$19))))</f>
        <v/>
      </c>
      <c r="AT70" s="14">
        <f>IF(AS70="","",1)</f>
        <v/>
      </c>
      <c r="AU70" s="11">
        <f>IF(OR(City_Inputs!$BJ70="",Norm_Stats!$F$26="",Norm_Stats!$G$26="",Norm_Stats!$G$26=Norm_Stats!$F$26),"",MAX(0,MIN(100,100*(MIN(MAX(City_Inputs!$BJ70,Norm_Stats!$F$26),Norm_Stats!$G$26)-Norm_Stats!$F$26)/(Norm_Stats!$G$26-Norm_Stats!$F$26))))</f>
        <v/>
      </c>
      <c r="AV70" s="11">
        <f>IF(AU70="","",1)</f>
        <v/>
      </c>
      <c r="AW70" s="15">
        <f>IF((IF(AO70="",0,5)+IF(AQ70="",0,5)+IF(AS70="",0,5)+IF(AU70="",0,4))=0,"",(IF(AO70="",0,AO70*5)+IF(AQ70="",0,AQ70*5)+IF(AS70="",0,AS70*5)+IF(AU70="",0,AU70*4))/(IF(AO70="",0,5)+IF(AQ70="",0,5)+IF(AS70="",0,5)+IF(AU70="",0,4)))</f>
        <v/>
      </c>
      <c r="AX70" s="14">
        <f>IF((IF(AP70="",0,5)+IF(AR70="",0,5)+IF(AT70="",0,5)+IF(AV70="",0,4))=0,"",(IF(AP70="",0,AP70*5)+IF(AR70="",0,AR70*5)+IF(AT70="",0,AT70*5)+IF(AV70="",0,AV70*4))/19)</f>
        <v/>
      </c>
      <c r="AY70" s="11">
        <f>IF(OR(City_Inputs!$AE70="",Norm_Stats!$F$20="",Norm_Stats!$G$20="",Norm_Stats!$G$20=Norm_Stats!$F$20),"",MAX(0,MIN(100,100*(MIN(MAX(City_Inputs!$AE70,Norm_Stats!$F$20),Norm_Stats!$G$20)-Norm_Stats!$F$20)/(Norm_Stats!$G$20-Norm_Stats!$F$20))))</f>
        <v/>
      </c>
      <c r="AZ70" s="14">
        <f>IF(AY70="","",1)</f>
        <v/>
      </c>
      <c r="BA70" s="11">
        <f>IF(OR(City_Inputs!$AF70="",Norm_Stats!$F$21="",Norm_Stats!$G$21="",Norm_Stats!$G$21=Norm_Stats!$F$21),"",MAX(0,MIN(100,100*(MIN(MAX(City_Inputs!$AF70,Norm_Stats!$F$21),Norm_Stats!$G$21)-Norm_Stats!$F$21)/(Norm_Stats!$G$21-Norm_Stats!$F$21))))</f>
        <v/>
      </c>
      <c r="BB70" s="14">
        <f>IF(BA70="","",1)</f>
        <v/>
      </c>
      <c r="BC70" s="11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(IF(OR(City_Inputs!$AG70="",Norm_Stats!$F$22="",Norm_Stats!$G$22="",Norm_Stats!$G$22=Norm_Stats!$F$22),"",MAX(0,MIN(100,100*(MIN(MAX(City_Inputs!$AG70,Norm_Stats!$F$22),Norm_Stats!$G$22)-Norm_Stats!$F$22)/(Norm_Stats!$G$22-Norm_Stats!$F$22)))))*0.5)+IF((IF(OR(City_Inputs!$AJ70="",Norm_Stats!$F$23="",Norm_Stats!$G$23="",Norm_Stats!$G$23=Norm_Stats!$F$23),"",MAX(0,MIN(100,100*(MIN(MAX(City_Inputs!$AJ70,Norm_Stats!$F$23),Norm_Stats!$G$23)-Norm_Stats!$F$23)/(Norm_Stats!$G$23-Norm_Stats!$F$23)))))="",0,(IF(OR(City_Inputs!$AJ70="",Norm_Stats!$F$23="",Norm_Stats!$G$23="",Norm_Stats!$G$23=Norm_Stats!$F$23),"",MAX(0,MIN(100,100*(MIN(MAX(City_Inputs!$AJ70,Norm_Stats!$F$23),Norm_Stats!$G$23)-Norm_Stats!$F$23)/(Norm_Stats!$G$23-Norm_Stats!$F$23)))))*0.3)+IF((IF(OR(City_Inputs!$AK70="",Norm_Stats!$F$24="",Norm_Stats!$G$24="",Norm_Stats!$G$24=Norm_Stats!$F$24),"",MAX(0,MIN(100,100*(MIN(MAX(City_Inputs!$AK70,Norm_Stats!$F$24),Norm_Stats!$G$24)-Norm_Stats!$F$24)/(Norm_Stats!$G$24-Norm_Stats!$F$24)))))="",0,(IF(OR(City_Inputs!$AK70="",Norm_Stats!$F$24="",Norm_Stats!$G$24="",Norm_Stats!$G$24=Norm_Stats!$F$24),"",MAX(0,MIN(100,100*(MIN(MAX(City_Inputs!$AK70,Norm_Stats!$F$24),Norm_Stats!$G$24)-Norm_Stats!$F$24)/(Norm_Stats!$G$24-Norm_Stats!$F$24)))))*0.2))/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D70" s="14">
        <f>IF(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=0,"",(IF((IF(OR(City_Inputs!$AG70="",Norm_Stats!$F$22="",Norm_Stats!$G$22="",Norm_Stats!$G$22=Norm_Stats!$F$22),"",MAX(0,MIN(100,100*(MIN(MAX(City_Inputs!$AG70,Norm_Stats!$F$22),Norm_Stats!$G$22)-Norm_Stats!$F$22)/(Norm_Stats!$G$22-Norm_Stats!$F$22)))))="",0,0.5)+IF((IF(OR(City_Inputs!$AJ70="",Norm_Stats!$F$23="",Norm_Stats!$G$23="",Norm_Stats!$G$23=Norm_Stats!$F$23),"",MAX(0,MIN(100,100*(MIN(MAX(City_Inputs!$AJ70,Norm_Stats!$F$23),Norm_Stats!$G$23)-Norm_Stats!$F$23)/(Norm_Stats!$G$23-Norm_Stats!$F$23)))))="",0,0.3)+IF((IF(OR(City_Inputs!$AK70="",Norm_Stats!$F$24="",Norm_Stats!$G$24="",Norm_Stats!$G$24=Norm_Stats!$F$24),"",MAX(0,MIN(100,100*(MIN(MAX(City_Inputs!$AK70,Norm_Stats!$F$24),Norm_Stats!$G$24)-Norm_Stats!$F$24)/(Norm_Stats!$G$24-Norm_Stats!$F$24)))))="",0,0.2)))</f>
        <v/>
      </c>
      <c r="BE70" s="11">
        <f>IF(OR(City_Inputs!$AH70="",Norm_Stats!$F$25="",Norm_Stats!$G$25="",Norm_Stats!$G$25=Norm_Stats!$F$25),"",MAX(0,MIN(100,100*(Norm_Stats!$G$25-MIN(MAX(City_Inputs!$AH70,Norm_Stats!$F$25),Norm_Stats!$G$25))/(Norm_Stats!$G$25-Norm_Stats!$F$25))))</f>
        <v/>
      </c>
      <c r="BF70" s="14">
        <f>IF(BE70="","",1)</f>
        <v/>
      </c>
      <c r="BG70" s="15">
        <f>IF((IF(AY70="",0,6)+IF(BA70="",0,5)+IF(BC70="",0,5)+IF(BE70="",0,4))=0,"",(IF(AY70="",0,AY70*6)+IF(BA70="",0,BA70*5)+IF(BC70="",0,BC70*5)+IF(BE70="",0,BE70*4))/(IF(AY70="",0,6)+IF(BA70="",0,5)+IF(BC70="",0,5)+IF(BE70="",0,4)))</f>
        <v/>
      </c>
      <c r="BH70" s="14">
        <f>IF((IF(AZ70="",0,6)+IF(BB70="",0,5)+IF(BD70="",0,5)+IF(BF70="",0,4))=0,"",(IF(AZ70="",0,AZ70*6)+IF(BB70="",0,BB70*5)+IF(BD70="",0,BD70*5)+IF(BF70="",0,BF70*4))/20)</f>
        <v/>
      </c>
      <c r="BI70" s="14">
        <f>IF(AND(R70="",AF70="",AN70="",AX70="",BH70=""),"",((R70*25)+(AF70*22)+(AN70*18)+(AX70*15)+(BH70*20))/100)</f>
        <v/>
      </c>
      <c r="BJ70" s="11">
        <f>IF(BI70="","",IF(BI70&gt;=0.75,"A",IF(BI70&gt;=0.5,"B",IF(BI70&gt;=0.35,"C","Watchlist"))))</f>
        <v/>
      </c>
      <c r="BK70" s="11">
        <f>IF(OR(BI70="",BI70&lt;0.5,R70="",R70&lt;0.35,AF70="",AF70&lt;0.35,AN70="",AN70&lt;0.35,AX70="",AX70&lt;0.35,BH70="",BH70&lt;0.35),"Watchlist","Ranked")</f>
        <v/>
      </c>
      <c r="BL70" s="15">
        <f>IF(AND(Q70="",AE70="",AM70="",AW70="",BG70=""),"",(IF(Q70="",0,Q70*25)+IF(AE70="",0,AE70*22)+IF(AM70="",0,AM70*18)+IF(AW70="",0,AW70*15)+IF(BG70="",0,BG70*20))/(IF(Q70="",0,25)+IF(AE70="",0,22)+IF(AM70="",0,18)+IF(AW70="",0,15)+IF(BG70="",0,20)))</f>
        <v/>
      </c>
      <c r="BM70" s="11">
        <f>IF(BK70="Ranked",1+COUNTIFS($BK$2:$BK$158,"Ranked",$BL$2:$BL$158,"&gt;"&amp;BL70),"")</f>
        <v/>
      </c>
      <c r="BN70" s="11">
        <f>City_Inputs!$AI70</f>
        <v/>
      </c>
    </row>
    <row r="71">
      <c r="A71" t="inlineStr">
        <is>
          <t>br-sao-paulo</t>
        </is>
      </c>
      <c r="B71" t="inlineStr">
        <is>
          <t>Sao Paulo</t>
        </is>
      </c>
      <c r="C71" t="inlineStr">
        <is>
          <t>Brazil</t>
        </is>
      </c>
      <c r="D71" t="inlineStr">
        <is>
          <t>Latin America</t>
        </is>
      </c>
      <c r="E71" t="inlineStr">
        <is>
          <t>locked</t>
        </is>
      </c>
      <c r="F71" t="inlineStr">
        <is>
          <t>primary</t>
        </is>
      </c>
      <c r="G71" s="11">
        <f>IF(OR(City_Inputs!$M71="",Norm_Stats!$F$2="",Norm_Stats!$G$2="",Norm_Stats!$G$2=Norm_Stats!$F$2),"",MAX(0,MIN(100,100*(MIN(MAX(City_Inputs!$M71,Norm_Stats!$F$2),Norm_Stats!$G$2)-Norm_Stats!$F$2)/(Norm_Stats!$G$2-Norm_Stats!$F$2))))</f>
        <v/>
      </c>
      <c r="H71" s="14">
        <f>IF(G71="","",1)</f>
        <v/>
      </c>
      <c r="I71" s="11">
        <f>IF(OR(City_Inputs!$N71="",Norm_Stats!$F$3="",Norm_Stats!$G$3="",Norm_Stats!$G$3=Norm_Stats!$F$3),"",MAX(0,MIN(100,100*(Norm_Stats!$G$3-MIN(MAX(City_Inputs!$N71,Norm_Stats!$F$3),Norm_Stats!$G$3))/(Norm_Stats!$G$3-Norm_Stats!$F$3))))</f>
        <v/>
      </c>
      <c r="J71" s="14">
        <f>IF(I71="","",1)</f>
        <v/>
      </c>
      <c r="K71" s="11">
        <f>IF(OR(City_Inputs!$P71="",Norm_Stats!$F$4="",Norm_Stats!$G$4="",Norm_Stats!$G$4=Norm_Stats!$F$4),"",MAX(0,MIN(100,100*(Norm_Stats!$G$4-MIN(MAX(City_Inputs!$P71,Norm_Stats!$F$4),Norm_Stats!$G$4))/(Norm_Stats!$G$4-Norm_Stats!$F$4))))</f>
        <v/>
      </c>
      <c r="L71" s="14">
        <f>IF(K71="","",1)</f>
        <v/>
      </c>
      <c r="M71" s="11">
        <f>IF(OR(City_Inputs!$Q71="",Norm_Stats!$F$5="",Norm_Stats!$G$5="",Norm_Stats!$G$5=Norm_Stats!$F$5),"",MAX(0,MIN(100,100*(Norm_Stats!$G$5-MIN(MAX(City_Inputs!$Q71,Norm_Stats!$F$5),Norm_Stats!$G$5))/(Norm_Stats!$G$5-Norm_Stats!$F$5))))</f>
        <v/>
      </c>
      <c r="N71" s="14">
        <f>IF(M71="","",1)</f>
        <v/>
      </c>
      <c r="O71" s="11">
        <f>IF(OR(City_Inputs!$R71="",Norm_Stats!$F$6="",Norm_Stats!$G$6="",Norm_Stats!$G$6=Norm_Stats!$F$6),"",MAX(0,MIN(100,100*(Norm_Stats!$G$6-MIN(MAX(City_Inputs!$R71,Norm_Stats!$F$6),Norm_Stats!$G$6))/(Norm_Stats!$G$6-Norm_Stats!$F$6))))</f>
        <v/>
      </c>
      <c r="P71" s="14">
        <f>IF(O71="","",1)</f>
        <v/>
      </c>
      <c r="Q71" s="15">
        <f>IF((IF(G71="",0,9)+IF(I71="",0,5)+IF(K71="",0,4)+IF(M71="",0,4)+IF(O71="",0,5))=0,"",(IF(G71="",0,G71*9)+IF(I71="",0,I71*5)+IF(K71="",0,K71*4)+IF(M71="",0,M71*4)+IF(O71="",0,O71*5))/(IF(G71="",0,9)+IF(I71="",0,5)+IF(K71="",0,4)+IF(M71="",0,4)+IF(O71="",0,5)))</f>
        <v/>
      </c>
      <c r="R71" s="14">
        <f>IF((IF(H71="",0,9)+IF(J71="",0,5)+IF(L71="",0,4)+IF(N71="",0,4)+IF(P71="",0,5))=0,"",(IF(H71="",0,H71*9)+IF(J71="",0,J71*5)+IF(L71="",0,L71*4)+IF(N71="",0,N71*4)+IF(P71="",0,P71*5))/27)</f>
        <v/>
      </c>
      <c r="S71" s="11">
        <f>IF(OR(City_Inputs!$S71="",Norm_Stats!$F$7="",Norm_Stats!$G$7="",Norm_Stats!$G$7=Norm_Stats!$F$7),"",MAX(0,MIN(100,100*(Norm_Stats!$G$7-MIN(MAX(City_Inputs!$S71,Norm_Stats!$F$7),Norm_Stats!$G$7))/(Norm_Stats!$G$7-Norm_Stats!$F$7))))</f>
        <v/>
      </c>
      <c r="T71" s="14">
        <f>IF(S71="","",1)</f>
        <v/>
      </c>
      <c r="U71" s="11">
        <f>IF(OR(City_Inputs!$T71="",Norm_Stats!$F$8="",Norm_Stats!$G$8="",Norm_Stats!$G$8=Norm_Stats!$F$8),"",MAX(0,MIN(100,100*(MIN(MAX(City_Inputs!$T71,Norm_Stats!$F$8),Norm_Stats!$G$8)-Norm_Stats!$F$8)/(Norm_Stats!$G$8-Norm_Stats!$F$8))))</f>
        <v/>
      </c>
      <c r="V71" s="14">
        <f>IF(U71="","",1)</f>
        <v/>
      </c>
      <c r="W71" s="11">
        <f>IF(OR(City_Inputs!$U71="",Norm_Stats!$F$9="",Norm_Stats!$G$9="",Norm_Stats!$G$9=Norm_Stats!$F$9),"",MAX(0,MIN(100,100*(Norm_Stats!$G$9-MIN(MAX(City_Inputs!$U71,Norm_Stats!$F$9),Norm_Stats!$G$9))/(Norm_Stats!$G$9-Norm_Stats!$F$9))))</f>
        <v/>
      </c>
      <c r="X71" s="14">
        <f>IF(W71="","",1)</f>
        <v/>
      </c>
      <c r="Y71" s="11">
        <f>IF(OR(City_Inputs!$V71="",Norm_Stats!$F$10="",Norm_Stats!$G$10="",Norm_Stats!$G$10=Norm_Stats!$F$10),"",MAX(0,MIN(100,100*(MIN(MAX(City_Inputs!$V71,Norm_Stats!$F$10),Norm_Stats!$G$10)-Norm_Stats!$F$10)/(Norm_Stats!$G$10-Norm_Stats!$F$10))))</f>
        <v/>
      </c>
      <c r="Z71" s="14">
        <f>IF(Y71="","",1)</f>
        <v/>
      </c>
      <c r="AA71" s="11">
        <f>IF(OR(City_Inputs!$W71="",Norm_Stats!$F$11="",Norm_Stats!$G$11="",Norm_Stats!$G$11=Norm_Stats!$F$11),"",MAX(0,MIN(100,100*(MIN(MAX(City_Inputs!$W71,Norm_Stats!$F$11),Norm_Stats!$G$11)-Norm_Stats!$F$11)/(Norm_Stats!$G$11-Norm_Stats!$F$11))))</f>
        <v/>
      </c>
      <c r="AB71" s="14">
        <f>IF(AA71="","",1)</f>
        <v/>
      </c>
      <c r="AC71" s="11">
        <f>IF(OR(City_Inputs!$X71="",Norm_Stats!$F$12="",Norm_Stats!$G$12="",Norm_Stats!$G$12=Norm_Stats!$F$12),"",MAX(0,MIN(100,100*(MIN(MAX(City_Inputs!$X71,Norm_Stats!$F$12),Norm_Stats!$G$12)-Norm_Stats!$F$12)/(Norm_Stats!$G$12-Norm_Stats!$F$12))))</f>
        <v/>
      </c>
      <c r="AD71" s="11">
        <f>IF(AC71="","",1)</f>
        <v/>
      </c>
      <c r="AE71" s="15">
        <f>IF((IF(S71="",0,5)+IF(U71="",0,5)+IF(W71="",0,4)+IF(Y71="",0,4)+IF(AA71="",0,4)+IF(AC71="",0,5))=0,"",(IF(S71="",0,S71*5)+IF(U71="",0,U71*5)+IF(W71="",0,W71*4)+IF(Y71="",0,Y71*4)+IF(AA71="",0,AA71*4)+IF(AC71="",0,AC71*5))/(IF(S71="",0,5)+IF(U71="",0,5)+IF(W71="",0,4)+IF(Y71="",0,4)+IF(AA71="",0,4)+IF(AC71="",0,5)))</f>
        <v/>
      </c>
      <c r="AF71" s="14">
        <f>IF((IF(T71="",0,5)+IF(V71="",0,5)+IF(X71="",0,4)+IF(Z71="",0,4)+IF(AB71="",0,4)+IF(AD71="",0,5))=0,"",(IF(T71="",0,T71*5)+IF(V71="",0,V71*5)+IF(X71="",0,X71*4)+IF(Z71="",0,Z71*4)+IF(AB71="",0,AB71*4)+IF(AD71="",0,AD71*5))/27)</f>
        <v/>
      </c>
      <c r="AG71" s="11">
        <f>IF(OR(City_Inputs!$Y71="",Norm_Stats!$F$13="",Norm_Stats!$G$13="",Norm_Stats!$G$13=Norm_Stats!$F$13),"",MAX(0,MIN(100,100*(MIN(MAX(City_Inputs!$Y71,Norm_Stats!$F$13),Norm_Stats!$G$13)-Norm_Stats!$F$13)/(Norm_Stats!$G$13-Norm_Stats!$F$13))))</f>
        <v/>
      </c>
      <c r="AH71" s="14">
        <f>IF(AG71="","",1)</f>
        <v/>
      </c>
      <c r="AI71" s="11">
        <f>IF(OR(City_Inputs!$Z71="",Norm_Stats!$F$14="",Norm_Stats!$G$14="",Norm_Stats!$G$14=Norm_Stats!$F$14),"",MAX(0,MIN(100,100*(MIN(MAX(City_Inputs!$Z71,Norm_Stats!$F$14),Norm_Stats!$G$14)-Norm_Stats!$F$14)/(Norm_Stats!$G$14-Norm_Stats!$F$14))))</f>
        <v/>
      </c>
      <c r="AJ71" s="14">
        <f>IF(AI71="","",1)</f>
        <v/>
      </c>
      <c r="AK71" s="11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(IF(OR(City_Inputs!$AA71="",Norm_Stats!$F$15="",Norm_Stats!$G$15="",Norm_Stats!$G$15=Norm_Stats!$F$15),"",MAX(0,MIN(100,100*(MIN(MAX(City_Inputs!$AA71,Norm_Stats!$F$15),Norm_Stats!$G$15)-Norm_Stats!$F$15)/(Norm_Stats!$G$15-Norm_Stats!$F$15)))))*0.7)+IF((IF(OR(City_Inputs!$AL71="",Norm_Stats!$F$16="",Norm_Stats!$G$16="",Norm_Stats!$G$16=Norm_Stats!$F$16),"",MAX(0,MIN(100,100*(Norm_Stats!$G$16-MIN(MAX(City_Inputs!$AL71,Norm_Stats!$F$16),Norm_Stats!$G$16))/(Norm_Stats!$G$16-Norm_Stats!$F$16)))))="",0,(IF(OR(City_Inputs!$AL71="",Norm_Stats!$F$16="",Norm_Stats!$G$16="",Norm_Stats!$G$16=Norm_Stats!$F$16),"",MAX(0,MIN(100,100*(Norm_Stats!$G$16-MIN(MAX(City_Inputs!$AL71,Norm_Stats!$F$16),Norm_Stats!$G$16))/(Norm_Stats!$G$16-Norm_Stats!$F$16)))))*0.3))/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L71" s="14">
        <f>IF(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=0,"",(IF((IF(OR(City_Inputs!$AA71="",Norm_Stats!$F$15="",Norm_Stats!$G$15="",Norm_Stats!$G$15=Norm_Stats!$F$15),"",MAX(0,MIN(100,100*(MIN(MAX(City_Inputs!$AA71,Norm_Stats!$F$15),Norm_Stats!$G$15)-Norm_Stats!$F$15)/(Norm_Stats!$G$15-Norm_Stats!$F$15)))))="",0,0.7)+IF((IF(OR(City_Inputs!$AL71="",Norm_Stats!$F$16="",Norm_Stats!$G$16="",Norm_Stats!$G$16=Norm_Stats!$F$16),"",MAX(0,MIN(100,100*(Norm_Stats!$G$16-MIN(MAX(City_Inputs!$AL71,Norm_Stats!$F$16),Norm_Stats!$G$16))/(Norm_Stats!$G$16-Norm_Stats!$F$16)))))="",0,0.3)))</f>
        <v/>
      </c>
      <c r="AM71" s="15">
        <f>IF((IF(AG71="",0,8)+IF(AI71="",0,6)+IF(AK71="",0,4))=0,"",(IF(AG71="",0,AG71*8)+IF(AI71="",0,AI71*6)+IF(AK71="",0,AK71*4))/(IF(AG71="",0,8)+IF(AI71="",0,6)+IF(AK71="",0,4)))</f>
        <v/>
      </c>
      <c r="AN71" s="14">
        <f>IF((IF(AH71="",0,8)+IF(AJ71="",0,6)+IF(AL71="",0,4))=0,"",(IF(AH71="",0,AH71*8)+IF(AJ71="",0,AJ71*6)+IF(AL71="",0,AL71*4))/18)</f>
        <v/>
      </c>
      <c r="AO71" s="11">
        <f>IF(OR(City_Inputs!$AB71="",Norm_Stats!$F$17="",Norm_Stats!$G$17="",Norm_Stats!$G$17=Norm_Stats!$F$17),"",MAX(0,MIN(100,100*(MIN(MAX(City_Inputs!$AB71,Norm_Stats!$F$17),Norm_Stats!$G$17)-Norm_Stats!$F$17)/(Norm_Stats!$G$17-Norm_Stats!$F$17))))</f>
        <v/>
      </c>
      <c r="AP71" s="14">
        <f>IF(AO71="","",1)</f>
        <v/>
      </c>
      <c r="AQ71" s="11">
        <f>IF(OR(City_Inputs!$AC71="",Norm_Stats!$F$18="",Norm_Stats!$G$18="",Norm_Stats!$G$18=Norm_Stats!$F$18),"",MAX(0,MIN(100,100*(MIN(MAX(City_Inputs!$AC71,Norm_Stats!$F$18),Norm_Stats!$G$18)-Norm_Stats!$F$18)/(Norm_Stats!$G$18-Norm_Stats!$F$18))))</f>
        <v/>
      </c>
      <c r="AR71" s="14">
        <f>IF(AQ71="","",1)</f>
        <v/>
      </c>
      <c r="AS71" s="11">
        <f>IF(OR(City_Inputs!$AD71="",Norm_Stats!$F$19="",Norm_Stats!$G$19="",Norm_Stats!$G$19=Norm_Stats!$F$19),"",MAX(0,MIN(100,100*(MIN(MAX(City_Inputs!$AD71,Norm_Stats!$F$19),Norm_Stats!$G$19)-Norm_Stats!$F$19)/(Norm_Stats!$G$19-Norm_Stats!$F$19))))</f>
        <v/>
      </c>
      <c r="AT71" s="14">
        <f>IF(AS71="","",1)</f>
        <v/>
      </c>
      <c r="AU71" s="11">
        <f>IF(OR(City_Inputs!$BJ71="",Norm_Stats!$F$26="",Norm_Stats!$G$26="",Norm_Stats!$G$26=Norm_Stats!$F$26),"",MAX(0,MIN(100,100*(MIN(MAX(City_Inputs!$BJ71,Norm_Stats!$F$26),Norm_Stats!$G$26)-Norm_Stats!$F$26)/(Norm_Stats!$G$26-Norm_Stats!$F$26))))</f>
        <v/>
      </c>
      <c r="AV71" s="11">
        <f>IF(AU71="","",1)</f>
        <v/>
      </c>
      <c r="AW71" s="15">
        <f>IF((IF(AO71="",0,5)+IF(AQ71="",0,5)+IF(AS71="",0,5)+IF(AU71="",0,4))=0,"",(IF(AO71="",0,AO71*5)+IF(AQ71="",0,AQ71*5)+IF(AS71="",0,AS71*5)+IF(AU71="",0,AU71*4))/(IF(AO71="",0,5)+IF(AQ71="",0,5)+IF(AS71="",0,5)+IF(AU71="",0,4)))</f>
        <v/>
      </c>
      <c r="AX71" s="14">
        <f>IF((IF(AP71="",0,5)+IF(AR71="",0,5)+IF(AT71="",0,5)+IF(AV71="",0,4))=0,"",(IF(AP71="",0,AP71*5)+IF(AR71="",0,AR71*5)+IF(AT71="",0,AT71*5)+IF(AV71="",0,AV71*4))/19)</f>
        <v/>
      </c>
      <c r="AY71" s="11">
        <f>IF(OR(City_Inputs!$AE71="",Norm_Stats!$F$20="",Norm_Stats!$G$20="",Norm_Stats!$G$20=Norm_Stats!$F$20),"",MAX(0,MIN(100,100*(MIN(MAX(City_Inputs!$AE71,Norm_Stats!$F$20),Norm_Stats!$G$20)-Norm_Stats!$F$20)/(Norm_Stats!$G$20-Norm_Stats!$F$20))))</f>
        <v/>
      </c>
      <c r="AZ71" s="14">
        <f>IF(AY71="","",1)</f>
        <v/>
      </c>
      <c r="BA71" s="11">
        <f>IF(OR(City_Inputs!$AF71="",Norm_Stats!$F$21="",Norm_Stats!$G$21="",Norm_Stats!$G$21=Norm_Stats!$F$21),"",MAX(0,MIN(100,100*(MIN(MAX(City_Inputs!$AF71,Norm_Stats!$F$21),Norm_Stats!$G$21)-Norm_Stats!$F$21)/(Norm_Stats!$G$21-Norm_Stats!$F$21))))</f>
        <v/>
      </c>
      <c r="BB71" s="14">
        <f>IF(BA71="","",1)</f>
        <v/>
      </c>
      <c r="BC71" s="11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(IF(OR(City_Inputs!$AG71="",Norm_Stats!$F$22="",Norm_Stats!$G$22="",Norm_Stats!$G$22=Norm_Stats!$F$22),"",MAX(0,MIN(100,100*(MIN(MAX(City_Inputs!$AG71,Norm_Stats!$F$22),Norm_Stats!$G$22)-Norm_Stats!$F$22)/(Norm_Stats!$G$22-Norm_Stats!$F$22)))))*0.5)+IF((IF(OR(City_Inputs!$AJ71="",Norm_Stats!$F$23="",Norm_Stats!$G$23="",Norm_Stats!$G$23=Norm_Stats!$F$23),"",MAX(0,MIN(100,100*(MIN(MAX(City_Inputs!$AJ71,Norm_Stats!$F$23),Norm_Stats!$G$23)-Norm_Stats!$F$23)/(Norm_Stats!$G$23-Norm_Stats!$F$23)))))="",0,(IF(OR(City_Inputs!$AJ71="",Norm_Stats!$F$23="",Norm_Stats!$G$23="",Norm_Stats!$G$23=Norm_Stats!$F$23),"",MAX(0,MIN(100,100*(MIN(MAX(City_Inputs!$AJ71,Norm_Stats!$F$23),Norm_Stats!$G$23)-Norm_Stats!$F$23)/(Norm_Stats!$G$23-Norm_Stats!$F$23)))))*0.3)+IF((IF(OR(City_Inputs!$AK71="",Norm_Stats!$F$24="",Norm_Stats!$G$24="",Norm_Stats!$G$24=Norm_Stats!$F$24),"",MAX(0,MIN(100,100*(MIN(MAX(City_Inputs!$AK71,Norm_Stats!$F$24),Norm_Stats!$G$24)-Norm_Stats!$F$24)/(Norm_Stats!$G$24-Norm_Stats!$F$24)))))="",0,(IF(OR(City_Inputs!$AK71="",Norm_Stats!$F$24="",Norm_Stats!$G$24="",Norm_Stats!$G$24=Norm_Stats!$F$24),"",MAX(0,MIN(100,100*(MIN(MAX(City_Inputs!$AK71,Norm_Stats!$F$24),Norm_Stats!$G$24)-Norm_Stats!$F$24)/(Norm_Stats!$G$24-Norm_Stats!$F$24)))))*0.2))/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D71" s="14">
        <f>IF(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=0,"",(IF((IF(OR(City_Inputs!$AG71="",Norm_Stats!$F$22="",Norm_Stats!$G$22="",Norm_Stats!$G$22=Norm_Stats!$F$22),"",MAX(0,MIN(100,100*(MIN(MAX(City_Inputs!$AG71,Norm_Stats!$F$22),Norm_Stats!$G$22)-Norm_Stats!$F$22)/(Norm_Stats!$G$22-Norm_Stats!$F$22)))))="",0,0.5)+IF((IF(OR(City_Inputs!$AJ71="",Norm_Stats!$F$23="",Norm_Stats!$G$23="",Norm_Stats!$G$23=Norm_Stats!$F$23),"",MAX(0,MIN(100,100*(MIN(MAX(City_Inputs!$AJ71,Norm_Stats!$F$23),Norm_Stats!$G$23)-Norm_Stats!$F$23)/(Norm_Stats!$G$23-Norm_Stats!$F$23)))))="",0,0.3)+IF((IF(OR(City_Inputs!$AK71="",Norm_Stats!$F$24="",Norm_Stats!$G$24="",Norm_Stats!$G$24=Norm_Stats!$F$24),"",MAX(0,MIN(100,100*(MIN(MAX(City_Inputs!$AK71,Norm_Stats!$F$24),Norm_Stats!$G$24)-Norm_Stats!$F$24)/(Norm_Stats!$G$24-Norm_Stats!$F$24)))))="",0,0.2)))</f>
        <v/>
      </c>
      <c r="BE71" s="11">
        <f>IF(OR(City_Inputs!$AH71="",Norm_Stats!$F$25="",Norm_Stats!$G$25="",Norm_Stats!$G$25=Norm_Stats!$F$25),"",MAX(0,MIN(100,100*(Norm_Stats!$G$25-MIN(MAX(City_Inputs!$AH71,Norm_Stats!$F$25),Norm_Stats!$G$25))/(Norm_Stats!$G$25-Norm_Stats!$F$25))))</f>
        <v/>
      </c>
      <c r="BF71" s="14">
        <f>IF(BE71="","",1)</f>
        <v/>
      </c>
      <c r="BG71" s="15">
        <f>IF((IF(AY71="",0,6)+IF(BA71="",0,5)+IF(BC71="",0,5)+IF(BE71="",0,4))=0,"",(IF(AY71="",0,AY71*6)+IF(BA71="",0,BA71*5)+IF(BC71="",0,BC71*5)+IF(BE71="",0,BE71*4))/(IF(AY71="",0,6)+IF(BA71="",0,5)+IF(BC71="",0,5)+IF(BE71="",0,4)))</f>
        <v/>
      </c>
      <c r="BH71" s="14">
        <f>IF((IF(AZ71="",0,6)+IF(BB71="",0,5)+IF(BD71="",0,5)+IF(BF71="",0,4))=0,"",(IF(AZ71="",0,AZ71*6)+IF(BB71="",0,BB71*5)+IF(BD71="",0,BD71*5)+IF(BF71="",0,BF71*4))/20)</f>
        <v/>
      </c>
      <c r="BI71" s="14">
        <f>IF(AND(R71="",AF71="",AN71="",AX71="",BH71=""),"",((R71*25)+(AF71*22)+(AN71*18)+(AX71*15)+(BH71*20))/100)</f>
        <v/>
      </c>
      <c r="BJ71" s="11">
        <f>IF(BI71="","",IF(BI71&gt;=0.75,"A",IF(BI71&gt;=0.5,"B",IF(BI71&gt;=0.35,"C","Watchlist"))))</f>
        <v/>
      </c>
      <c r="BK71" s="11">
        <f>IF(OR(BI71="",BI71&lt;0.5,R71="",R71&lt;0.35,AF71="",AF71&lt;0.35,AN71="",AN71&lt;0.35,AX71="",AX71&lt;0.35,BH71="",BH71&lt;0.35),"Watchlist","Ranked")</f>
        <v/>
      </c>
      <c r="BL71" s="15">
        <f>IF(AND(Q71="",AE71="",AM71="",AW71="",BG71=""),"",(IF(Q71="",0,Q71*25)+IF(AE71="",0,AE71*22)+IF(AM71="",0,AM71*18)+IF(AW71="",0,AW71*15)+IF(BG71="",0,BG71*20))/(IF(Q71="",0,25)+IF(AE71="",0,22)+IF(AM71="",0,18)+IF(AW71="",0,15)+IF(BG71="",0,20)))</f>
        <v/>
      </c>
      <c r="BM71" s="11">
        <f>IF(BK71="Ranked",1+COUNTIFS($BK$2:$BK$158,"Ranked",$BL$2:$BL$158,"&gt;"&amp;BL71),"")</f>
        <v/>
      </c>
      <c r="BN71" s="11">
        <f>City_Inputs!$AI71</f>
        <v/>
      </c>
    </row>
    <row r="72">
      <c r="A72" t="inlineStr">
        <is>
          <t>ar-buenos-aires</t>
        </is>
      </c>
      <c r="B72" t="inlineStr">
        <is>
          <t>Buenos Aires</t>
        </is>
      </c>
      <c r="C72" t="inlineStr">
        <is>
          <t>Argentina</t>
        </is>
      </c>
      <c r="D72" t="inlineStr">
        <is>
          <t>Latin America</t>
        </is>
      </c>
      <c r="E72" t="inlineStr">
        <is>
          <t>locked</t>
        </is>
      </c>
      <c r="F72" t="inlineStr">
        <is>
          <t>primary</t>
        </is>
      </c>
      <c r="G72" s="11">
        <f>IF(OR(City_Inputs!$M72="",Norm_Stats!$F$2="",Norm_Stats!$G$2="",Norm_Stats!$G$2=Norm_Stats!$F$2),"",MAX(0,MIN(100,100*(MIN(MAX(City_Inputs!$M72,Norm_Stats!$F$2),Norm_Stats!$G$2)-Norm_Stats!$F$2)/(Norm_Stats!$G$2-Norm_Stats!$F$2))))</f>
        <v/>
      </c>
      <c r="H72" s="14">
        <f>IF(G72="","",1)</f>
        <v/>
      </c>
      <c r="I72" s="11">
        <f>IF(OR(City_Inputs!$N72="",Norm_Stats!$F$3="",Norm_Stats!$G$3="",Norm_Stats!$G$3=Norm_Stats!$F$3),"",MAX(0,MIN(100,100*(Norm_Stats!$G$3-MIN(MAX(City_Inputs!$N72,Norm_Stats!$F$3),Norm_Stats!$G$3))/(Norm_Stats!$G$3-Norm_Stats!$F$3))))</f>
        <v/>
      </c>
      <c r="J72" s="14">
        <f>IF(I72="","",1)</f>
        <v/>
      </c>
      <c r="K72" s="11">
        <f>IF(OR(City_Inputs!$P72="",Norm_Stats!$F$4="",Norm_Stats!$G$4="",Norm_Stats!$G$4=Norm_Stats!$F$4),"",MAX(0,MIN(100,100*(Norm_Stats!$G$4-MIN(MAX(City_Inputs!$P72,Norm_Stats!$F$4),Norm_Stats!$G$4))/(Norm_Stats!$G$4-Norm_Stats!$F$4))))</f>
        <v/>
      </c>
      <c r="L72" s="14">
        <f>IF(K72="","",1)</f>
        <v/>
      </c>
      <c r="M72" s="11">
        <f>IF(OR(City_Inputs!$Q72="",Norm_Stats!$F$5="",Norm_Stats!$G$5="",Norm_Stats!$G$5=Norm_Stats!$F$5),"",MAX(0,MIN(100,100*(Norm_Stats!$G$5-MIN(MAX(City_Inputs!$Q72,Norm_Stats!$F$5),Norm_Stats!$G$5))/(Norm_Stats!$G$5-Norm_Stats!$F$5))))</f>
        <v/>
      </c>
      <c r="N72" s="14">
        <f>IF(M72="","",1)</f>
        <v/>
      </c>
      <c r="O72" s="11">
        <f>IF(OR(City_Inputs!$R72="",Norm_Stats!$F$6="",Norm_Stats!$G$6="",Norm_Stats!$G$6=Norm_Stats!$F$6),"",MAX(0,MIN(100,100*(Norm_Stats!$G$6-MIN(MAX(City_Inputs!$R72,Norm_Stats!$F$6),Norm_Stats!$G$6))/(Norm_Stats!$G$6-Norm_Stats!$F$6))))</f>
        <v/>
      </c>
      <c r="P72" s="14">
        <f>IF(O72="","",1)</f>
        <v/>
      </c>
      <c r="Q72" s="15">
        <f>IF((IF(G72="",0,9)+IF(I72="",0,5)+IF(K72="",0,4)+IF(M72="",0,4)+IF(O72="",0,5))=0,"",(IF(G72="",0,G72*9)+IF(I72="",0,I72*5)+IF(K72="",0,K72*4)+IF(M72="",0,M72*4)+IF(O72="",0,O72*5))/(IF(G72="",0,9)+IF(I72="",0,5)+IF(K72="",0,4)+IF(M72="",0,4)+IF(O72="",0,5)))</f>
        <v/>
      </c>
      <c r="R72" s="14">
        <f>IF((IF(H72="",0,9)+IF(J72="",0,5)+IF(L72="",0,4)+IF(N72="",0,4)+IF(P72="",0,5))=0,"",(IF(H72="",0,H72*9)+IF(J72="",0,J72*5)+IF(L72="",0,L72*4)+IF(N72="",0,N72*4)+IF(P72="",0,P72*5))/27)</f>
        <v/>
      </c>
      <c r="S72" s="11">
        <f>IF(OR(City_Inputs!$S72="",Norm_Stats!$F$7="",Norm_Stats!$G$7="",Norm_Stats!$G$7=Norm_Stats!$F$7),"",MAX(0,MIN(100,100*(Norm_Stats!$G$7-MIN(MAX(City_Inputs!$S72,Norm_Stats!$F$7),Norm_Stats!$G$7))/(Norm_Stats!$G$7-Norm_Stats!$F$7))))</f>
        <v/>
      </c>
      <c r="T72" s="14">
        <f>IF(S72="","",1)</f>
        <v/>
      </c>
      <c r="U72" s="11">
        <f>IF(OR(City_Inputs!$T72="",Norm_Stats!$F$8="",Norm_Stats!$G$8="",Norm_Stats!$G$8=Norm_Stats!$F$8),"",MAX(0,MIN(100,100*(MIN(MAX(City_Inputs!$T72,Norm_Stats!$F$8),Norm_Stats!$G$8)-Norm_Stats!$F$8)/(Norm_Stats!$G$8-Norm_Stats!$F$8))))</f>
        <v/>
      </c>
      <c r="V72" s="14">
        <f>IF(U72="","",1)</f>
        <v/>
      </c>
      <c r="W72" s="11">
        <f>IF(OR(City_Inputs!$U72="",Norm_Stats!$F$9="",Norm_Stats!$G$9="",Norm_Stats!$G$9=Norm_Stats!$F$9),"",MAX(0,MIN(100,100*(Norm_Stats!$G$9-MIN(MAX(City_Inputs!$U72,Norm_Stats!$F$9),Norm_Stats!$G$9))/(Norm_Stats!$G$9-Norm_Stats!$F$9))))</f>
        <v/>
      </c>
      <c r="X72" s="14">
        <f>IF(W72="","",1)</f>
        <v/>
      </c>
      <c r="Y72" s="11">
        <f>IF(OR(City_Inputs!$V72="",Norm_Stats!$F$10="",Norm_Stats!$G$10="",Norm_Stats!$G$10=Norm_Stats!$F$10),"",MAX(0,MIN(100,100*(MIN(MAX(City_Inputs!$V72,Norm_Stats!$F$10),Norm_Stats!$G$10)-Norm_Stats!$F$10)/(Norm_Stats!$G$10-Norm_Stats!$F$10))))</f>
        <v/>
      </c>
      <c r="Z72" s="14">
        <f>IF(Y72="","",1)</f>
        <v/>
      </c>
      <c r="AA72" s="11">
        <f>IF(OR(City_Inputs!$W72="",Norm_Stats!$F$11="",Norm_Stats!$G$11="",Norm_Stats!$G$11=Norm_Stats!$F$11),"",MAX(0,MIN(100,100*(MIN(MAX(City_Inputs!$W72,Norm_Stats!$F$11),Norm_Stats!$G$11)-Norm_Stats!$F$11)/(Norm_Stats!$G$11-Norm_Stats!$F$11))))</f>
        <v/>
      </c>
      <c r="AB72" s="14">
        <f>IF(AA72="","",1)</f>
        <v/>
      </c>
      <c r="AC72" s="11">
        <f>IF(OR(City_Inputs!$X72="",Norm_Stats!$F$12="",Norm_Stats!$G$12="",Norm_Stats!$G$12=Norm_Stats!$F$12),"",MAX(0,MIN(100,100*(MIN(MAX(City_Inputs!$X72,Norm_Stats!$F$12),Norm_Stats!$G$12)-Norm_Stats!$F$12)/(Norm_Stats!$G$12-Norm_Stats!$F$12))))</f>
        <v/>
      </c>
      <c r="AD72" s="11">
        <f>IF(AC72="","",1)</f>
        <v/>
      </c>
      <c r="AE72" s="15">
        <f>IF((IF(S72="",0,5)+IF(U72="",0,5)+IF(W72="",0,4)+IF(Y72="",0,4)+IF(AA72="",0,4)+IF(AC72="",0,5))=0,"",(IF(S72="",0,S72*5)+IF(U72="",0,U72*5)+IF(W72="",0,W72*4)+IF(Y72="",0,Y72*4)+IF(AA72="",0,AA72*4)+IF(AC72="",0,AC72*5))/(IF(S72="",0,5)+IF(U72="",0,5)+IF(W72="",0,4)+IF(Y72="",0,4)+IF(AA72="",0,4)+IF(AC72="",0,5)))</f>
        <v/>
      </c>
      <c r="AF72" s="14">
        <f>IF((IF(T72="",0,5)+IF(V72="",0,5)+IF(X72="",0,4)+IF(Z72="",0,4)+IF(AB72="",0,4)+IF(AD72="",0,5))=0,"",(IF(T72="",0,T72*5)+IF(V72="",0,V72*5)+IF(X72="",0,X72*4)+IF(Z72="",0,Z72*4)+IF(AB72="",0,AB72*4)+IF(AD72="",0,AD72*5))/27)</f>
        <v/>
      </c>
      <c r="AG72" s="11">
        <f>IF(OR(City_Inputs!$Y72="",Norm_Stats!$F$13="",Norm_Stats!$G$13="",Norm_Stats!$G$13=Norm_Stats!$F$13),"",MAX(0,MIN(100,100*(MIN(MAX(City_Inputs!$Y72,Norm_Stats!$F$13),Norm_Stats!$G$13)-Norm_Stats!$F$13)/(Norm_Stats!$G$13-Norm_Stats!$F$13))))</f>
        <v/>
      </c>
      <c r="AH72" s="14">
        <f>IF(AG72="","",1)</f>
        <v/>
      </c>
      <c r="AI72" s="11">
        <f>IF(OR(City_Inputs!$Z72="",Norm_Stats!$F$14="",Norm_Stats!$G$14="",Norm_Stats!$G$14=Norm_Stats!$F$14),"",MAX(0,MIN(100,100*(MIN(MAX(City_Inputs!$Z72,Norm_Stats!$F$14),Norm_Stats!$G$14)-Norm_Stats!$F$14)/(Norm_Stats!$G$14-Norm_Stats!$F$14))))</f>
        <v/>
      </c>
      <c r="AJ72" s="14">
        <f>IF(AI72="","",1)</f>
        <v/>
      </c>
      <c r="AK72" s="11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(IF(OR(City_Inputs!$AA72="",Norm_Stats!$F$15="",Norm_Stats!$G$15="",Norm_Stats!$G$15=Norm_Stats!$F$15),"",MAX(0,MIN(100,100*(MIN(MAX(City_Inputs!$AA72,Norm_Stats!$F$15),Norm_Stats!$G$15)-Norm_Stats!$F$15)/(Norm_Stats!$G$15-Norm_Stats!$F$15)))))*0.7)+IF((IF(OR(City_Inputs!$AL72="",Norm_Stats!$F$16="",Norm_Stats!$G$16="",Norm_Stats!$G$16=Norm_Stats!$F$16),"",MAX(0,MIN(100,100*(Norm_Stats!$G$16-MIN(MAX(City_Inputs!$AL72,Norm_Stats!$F$16),Norm_Stats!$G$16))/(Norm_Stats!$G$16-Norm_Stats!$F$16)))))="",0,(IF(OR(City_Inputs!$AL72="",Norm_Stats!$F$16="",Norm_Stats!$G$16="",Norm_Stats!$G$16=Norm_Stats!$F$16),"",MAX(0,MIN(100,100*(Norm_Stats!$G$16-MIN(MAX(City_Inputs!$AL72,Norm_Stats!$F$16),Norm_Stats!$G$16))/(Norm_Stats!$G$16-Norm_Stats!$F$16)))))*0.3))/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L72" s="14">
        <f>IF(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=0,"",(IF((IF(OR(City_Inputs!$AA72="",Norm_Stats!$F$15="",Norm_Stats!$G$15="",Norm_Stats!$G$15=Norm_Stats!$F$15),"",MAX(0,MIN(100,100*(MIN(MAX(City_Inputs!$AA72,Norm_Stats!$F$15),Norm_Stats!$G$15)-Norm_Stats!$F$15)/(Norm_Stats!$G$15-Norm_Stats!$F$15)))))="",0,0.7)+IF((IF(OR(City_Inputs!$AL72="",Norm_Stats!$F$16="",Norm_Stats!$G$16="",Norm_Stats!$G$16=Norm_Stats!$F$16),"",MAX(0,MIN(100,100*(Norm_Stats!$G$16-MIN(MAX(City_Inputs!$AL72,Norm_Stats!$F$16),Norm_Stats!$G$16))/(Norm_Stats!$G$16-Norm_Stats!$F$16)))))="",0,0.3)))</f>
        <v/>
      </c>
      <c r="AM72" s="15">
        <f>IF((IF(AG72="",0,8)+IF(AI72="",0,6)+IF(AK72="",0,4))=0,"",(IF(AG72="",0,AG72*8)+IF(AI72="",0,AI72*6)+IF(AK72="",0,AK72*4))/(IF(AG72="",0,8)+IF(AI72="",0,6)+IF(AK72="",0,4)))</f>
        <v/>
      </c>
      <c r="AN72" s="14">
        <f>IF((IF(AH72="",0,8)+IF(AJ72="",0,6)+IF(AL72="",0,4))=0,"",(IF(AH72="",0,AH72*8)+IF(AJ72="",0,AJ72*6)+IF(AL72="",0,AL72*4))/18)</f>
        <v/>
      </c>
      <c r="AO72" s="11">
        <f>IF(OR(City_Inputs!$AB72="",Norm_Stats!$F$17="",Norm_Stats!$G$17="",Norm_Stats!$G$17=Norm_Stats!$F$17),"",MAX(0,MIN(100,100*(MIN(MAX(City_Inputs!$AB72,Norm_Stats!$F$17),Norm_Stats!$G$17)-Norm_Stats!$F$17)/(Norm_Stats!$G$17-Norm_Stats!$F$17))))</f>
        <v/>
      </c>
      <c r="AP72" s="14">
        <f>IF(AO72="","",1)</f>
        <v/>
      </c>
      <c r="AQ72" s="11">
        <f>IF(OR(City_Inputs!$AC72="",Norm_Stats!$F$18="",Norm_Stats!$G$18="",Norm_Stats!$G$18=Norm_Stats!$F$18),"",MAX(0,MIN(100,100*(MIN(MAX(City_Inputs!$AC72,Norm_Stats!$F$18),Norm_Stats!$G$18)-Norm_Stats!$F$18)/(Norm_Stats!$G$18-Norm_Stats!$F$18))))</f>
        <v/>
      </c>
      <c r="AR72" s="14">
        <f>IF(AQ72="","",1)</f>
        <v/>
      </c>
      <c r="AS72" s="11">
        <f>IF(OR(City_Inputs!$AD72="",Norm_Stats!$F$19="",Norm_Stats!$G$19="",Norm_Stats!$G$19=Norm_Stats!$F$19),"",MAX(0,MIN(100,100*(MIN(MAX(City_Inputs!$AD72,Norm_Stats!$F$19),Norm_Stats!$G$19)-Norm_Stats!$F$19)/(Norm_Stats!$G$19-Norm_Stats!$F$19))))</f>
        <v/>
      </c>
      <c r="AT72" s="14">
        <f>IF(AS72="","",1)</f>
        <v/>
      </c>
      <c r="AU72" s="11">
        <f>IF(OR(City_Inputs!$BJ72="",Norm_Stats!$F$26="",Norm_Stats!$G$26="",Norm_Stats!$G$26=Norm_Stats!$F$26),"",MAX(0,MIN(100,100*(MIN(MAX(City_Inputs!$BJ72,Norm_Stats!$F$26),Norm_Stats!$G$26)-Norm_Stats!$F$26)/(Norm_Stats!$G$26-Norm_Stats!$F$26))))</f>
        <v/>
      </c>
      <c r="AV72" s="11">
        <f>IF(AU72="","",1)</f>
        <v/>
      </c>
      <c r="AW72" s="15">
        <f>IF((IF(AO72="",0,5)+IF(AQ72="",0,5)+IF(AS72="",0,5)+IF(AU72="",0,4))=0,"",(IF(AO72="",0,AO72*5)+IF(AQ72="",0,AQ72*5)+IF(AS72="",0,AS72*5)+IF(AU72="",0,AU72*4))/(IF(AO72="",0,5)+IF(AQ72="",0,5)+IF(AS72="",0,5)+IF(AU72="",0,4)))</f>
        <v/>
      </c>
      <c r="AX72" s="14">
        <f>IF((IF(AP72="",0,5)+IF(AR72="",0,5)+IF(AT72="",0,5)+IF(AV72="",0,4))=0,"",(IF(AP72="",0,AP72*5)+IF(AR72="",0,AR72*5)+IF(AT72="",0,AT72*5)+IF(AV72="",0,AV72*4))/19)</f>
        <v/>
      </c>
      <c r="AY72" s="11">
        <f>IF(OR(City_Inputs!$AE72="",Norm_Stats!$F$20="",Norm_Stats!$G$20="",Norm_Stats!$G$20=Norm_Stats!$F$20),"",MAX(0,MIN(100,100*(MIN(MAX(City_Inputs!$AE72,Norm_Stats!$F$20),Norm_Stats!$G$20)-Norm_Stats!$F$20)/(Norm_Stats!$G$20-Norm_Stats!$F$20))))</f>
        <v/>
      </c>
      <c r="AZ72" s="14">
        <f>IF(AY72="","",1)</f>
        <v/>
      </c>
      <c r="BA72" s="11">
        <f>IF(OR(City_Inputs!$AF72="",Norm_Stats!$F$21="",Norm_Stats!$G$21="",Norm_Stats!$G$21=Norm_Stats!$F$21),"",MAX(0,MIN(100,100*(MIN(MAX(City_Inputs!$AF72,Norm_Stats!$F$21),Norm_Stats!$G$21)-Norm_Stats!$F$21)/(Norm_Stats!$G$21-Norm_Stats!$F$21))))</f>
        <v/>
      </c>
      <c r="BB72" s="14">
        <f>IF(BA72="","",1)</f>
        <v/>
      </c>
      <c r="BC72" s="11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(IF(OR(City_Inputs!$AG72="",Norm_Stats!$F$22="",Norm_Stats!$G$22="",Norm_Stats!$G$22=Norm_Stats!$F$22),"",MAX(0,MIN(100,100*(MIN(MAX(City_Inputs!$AG72,Norm_Stats!$F$22),Norm_Stats!$G$22)-Norm_Stats!$F$22)/(Norm_Stats!$G$22-Norm_Stats!$F$22)))))*0.5)+IF((IF(OR(City_Inputs!$AJ72="",Norm_Stats!$F$23="",Norm_Stats!$G$23="",Norm_Stats!$G$23=Norm_Stats!$F$23),"",MAX(0,MIN(100,100*(MIN(MAX(City_Inputs!$AJ72,Norm_Stats!$F$23),Norm_Stats!$G$23)-Norm_Stats!$F$23)/(Norm_Stats!$G$23-Norm_Stats!$F$23)))))="",0,(IF(OR(City_Inputs!$AJ72="",Norm_Stats!$F$23="",Norm_Stats!$G$23="",Norm_Stats!$G$23=Norm_Stats!$F$23),"",MAX(0,MIN(100,100*(MIN(MAX(City_Inputs!$AJ72,Norm_Stats!$F$23),Norm_Stats!$G$23)-Norm_Stats!$F$23)/(Norm_Stats!$G$23-Norm_Stats!$F$23)))))*0.3)+IF((IF(OR(City_Inputs!$AK72="",Norm_Stats!$F$24="",Norm_Stats!$G$24="",Norm_Stats!$G$24=Norm_Stats!$F$24),"",MAX(0,MIN(100,100*(MIN(MAX(City_Inputs!$AK72,Norm_Stats!$F$24),Norm_Stats!$G$24)-Norm_Stats!$F$24)/(Norm_Stats!$G$24-Norm_Stats!$F$24)))))="",0,(IF(OR(City_Inputs!$AK72="",Norm_Stats!$F$24="",Norm_Stats!$G$24="",Norm_Stats!$G$24=Norm_Stats!$F$24),"",MAX(0,MIN(100,100*(MIN(MAX(City_Inputs!$AK72,Norm_Stats!$F$24),Norm_Stats!$G$24)-Norm_Stats!$F$24)/(Norm_Stats!$G$24-Norm_Stats!$F$24)))))*0.2))/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D72" s="14">
        <f>IF(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=0,"",(IF((IF(OR(City_Inputs!$AG72="",Norm_Stats!$F$22="",Norm_Stats!$G$22="",Norm_Stats!$G$22=Norm_Stats!$F$22),"",MAX(0,MIN(100,100*(MIN(MAX(City_Inputs!$AG72,Norm_Stats!$F$22),Norm_Stats!$G$22)-Norm_Stats!$F$22)/(Norm_Stats!$G$22-Norm_Stats!$F$22)))))="",0,0.5)+IF((IF(OR(City_Inputs!$AJ72="",Norm_Stats!$F$23="",Norm_Stats!$G$23="",Norm_Stats!$G$23=Norm_Stats!$F$23),"",MAX(0,MIN(100,100*(MIN(MAX(City_Inputs!$AJ72,Norm_Stats!$F$23),Norm_Stats!$G$23)-Norm_Stats!$F$23)/(Norm_Stats!$G$23-Norm_Stats!$F$23)))))="",0,0.3)+IF((IF(OR(City_Inputs!$AK72="",Norm_Stats!$F$24="",Norm_Stats!$G$24="",Norm_Stats!$G$24=Norm_Stats!$F$24),"",MAX(0,MIN(100,100*(MIN(MAX(City_Inputs!$AK72,Norm_Stats!$F$24),Norm_Stats!$G$24)-Norm_Stats!$F$24)/(Norm_Stats!$G$24-Norm_Stats!$F$24)))))="",0,0.2)))</f>
        <v/>
      </c>
      <c r="BE72" s="11">
        <f>IF(OR(City_Inputs!$AH72="",Norm_Stats!$F$25="",Norm_Stats!$G$25="",Norm_Stats!$G$25=Norm_Stats!$F$25),"",MAX(0,MIN(100,100*(Norm_Stats!$G$25-MIN(MAX(City_Inputs!$AH72,Norm_Stats!$F$25),Norm_Stats!$G$25))/(Norm_Stats!$G$25-Norm_Stats!$F$25))))</f>
        <v/>
      </c>
      <c r="BF72" s="14">
        <f>IF(BE72="","",1)</f>
        <v/>
      </c>
      <c r="BG72" s="15">
        <f>IF((IF(AY72="",0,6)+IF(BA72="",0,5)+IF(BC72="",0,5)+IF(BE72="",0,4))=0,"",(IF(AY72="",0,AY72*6)+IF(BA72="",0,BA72*5)+IF(BC72="",0,BC72*5)+IF(BE72="",0,BE72*4))/(IF(AY72="",0,6)+IF(BA72="",0,5)+IF(BC72="",0,5)+IF(BE72="",0,4)))</f>
        <v/>
      </c>
      <c r="BH72" s="14">
        <f>IF((IF(AZ72="",0,6)+IF(BB72="",0,5)+IF(BD72="",0,5)+IF(BF72="",0,4))=0,"",(IF(AZ72="",0,AZ72*6)+IF(BB72="",0,BB72*5)+IF(BD72="",0,BD72*5)+IF(BF72="",0,BF72*4))/20)</f>
        <v/>
      </c>
      <c r="BI72" s="14">
        <f>IF(AND(R72="",AF72="",AN72="",AX72="",BH72=""),"",((R72*25)+(AF72*22)+(AN72*18)+(AX72*15)+(BH72*20))/100)</f>
        <v/>
      </c>
      <c r="BJ72" s="11">
        <f>IF(BI72="","",IF(BI72&gt;=0.75,"A",IF(BI72&gt;=0.5,"B",IF(BI72&gt;=0.35,"C","Watchlist"))))</f>
        <v/>
      </c>
      <c r="BK72" s="11">
        <f>IF(OR(BI72="",BI72&lt;0.5,R72="",R72&lt;0.35,AF72="",AF72&lt;0.35,AN72="",AN72&lt;0.35,AX72="",AX72&lt;0.35,BH72="",BH72&lt;0.35),"Watchlist","Ranked")</f>
        <v/>
      </c>
      <c r="BL72" s="15">
        <f>IF(AND(Q72="",AE72="",AM72="",AW72="",BG72=""),"",(IF(Q72="",0,Q72*25)+IF(AE72="",0,AE72*22)+IF(AM72="",0,AM72*18)+IF(AW72="",0,AW72*15)+IF(BG72="",0,BG72*20))/(IF(Q72="",0,25)+IF(AE72="",0,22)+IF(AM72="",0,18)+IF(AW72="",0,15)+IF(BG72="",0,20)))</f>
        <v/>
      </c>
      <c r="BM72" s="11">
        <f>IF(BK72="Ranked",1+COUNTIFS($BK$2:$BK$158,"Ranked",$BL$2:$BL$158,"&gt;"&amp;BL72),"")</f>
        <v/>
      </c>
      <c r="BN72" s="11">
        <f>City_Inputs!$AI72</f>
        <v/>
      </c>
    </row>
    <row r="73">
      <c r="A73" t="inlineStr">
        <is>
          <t>cl-santiago</t>
        </is>
      </c>
      <c r="B73" t="inlineStr">
        <is>
          <t>Santiago</t>
        </is>
      </c>
      <c r="C73" t="inlineStr">
        <is>
          <t>Chile</t>
        </is>
      </c>
      <c r="D73" t="inlineStr">
        <is>
          <t>Latin America</t>
        </is>
      </c>
      <c r="E73" t="inlineStr">
        <is>
          <t>locked</t>
        </is>
      </c>
      <c r="F73" t="inlineStr">
        <is>
          <t>primary</t>
        </is>
      </c>
      <c r="G73" s="11">
        <f>IF(OR(City_Inputs!$M73="",Norm_Stats!$F$2="",Norm_Stats!$G$2="",Norm_Stats!$G$2=Norm_Stats!$F$2),"",MAX(0,MIN(100,100*(MIN(MAX(City_Inputs!$M73,Norm_Stats!$F$2),Norm_Stats!$G$2)-Norm_Stats!$F$2)/(Norm_Stats!$G$2-Norm_Stats!$F$2))))</f>
        <v/>
      </c>
      <c r="H73" s="14">
        <f>IF(G73="","",1)</f>
        <v/>
      </c>
      <c r="I73" s="11">
        <f>IF(OR(City_Inputs!$N73="",Norm_Stats!$F$3="",Norm_Stats!$G$3="",Norm_Stats!$G$3=Norm_Stats!$F$3),"",MAX(0,MIN(100,100*(Norm_Stats!$G$3-MIN(MAX(City_Inputs!$N73,Norm_Stats!$F$3),Norm_Stats!$G$3))/(Norm_Stats!$G$3-Norm_Stats!$F$3))))</f>
        <v/>
      </c>
      <c r="J73" s="14">
        <f>IF(I73="","",1)</f>
        <v/>
      </c>
      <c r="K73" s="11">
        <f>IF(OR(City_Inputs!$P73="",Norm_Stats!$F$4="",Norm_Stats!$G$4="",Norm_Stats!$G$4=Norm_Stats!$F$4),"",MAX(0,MIN(100,100*(Norm_Stats!$G$4-MIN(MAX(City_Inputs!$P73,Norm_Stats!$F$4),Norm_Stats!$G$4))/(Norm_Stats!$G$4-Norm_Stats!$F$4))))</f>
        <v/>
      </c>
      <c r="L73" s="14">
        <f>IF(K73="","",1)</f>
        <v/>
      </c>
      <c r="M73" s="11">
        <f>IF(OR(City_Inputs!$Q73="",Norm_Stats!$F$5="",Norm_Stats!$G$5="",Norm_Stats!$G$5=Norm_Stats!$F$5),"",MAX(0,MIN(100,100*(Norm_Stats!$G$5-MIN(MAX(City_Inputs!$Q73,Norm_Stats!$F$5),Norm_Stats!$G$5))/(Norm_Stats!$G$5-Norm_Stats!$F$5))))</f>
        <v/>
      </c>
      <c r="N73" s="14">
        <f>IF(M73="","",1)</f>
        <v/>
      </c>
      <c r="O73" s="11">
        <f>IF(OR(City_Inputs!$R73="",Norm_Stats!$F$6="",Norm_Stats!$G$6="",Norm_Stats!$G$6=Norm_Stats!$F$6),"",MAX(0,MIN(100,100*(Norm_Stats!$G$6-MIN(MAX(City_Inputs!$R73,Norm_Stats!$F$6),Norm_Stats!$G$6))/(Norm_Stats!$G$6-Norm_Stats!$F$6))))</f>
        <v/>
      </c>
      <c r="P73" s="14">
        <f>IF(O73="","",1)</f>
        <v/>
      </c>
      <c r="Q73" s="15">
        <f>IF((IF(G73="",0,9)+IF(I73="",0,5)+IF(K73="",0,4)+IF(M73="",0,4)+IF(O73="",0,5))=0,"",(IF(G73="",0,G73*9)+IF(I73="",0,I73*5)+IF(K73="",0,K73*4)+IF(M73="",0,M73*4)+IF(O73="",0,O73*5))/(IF(G73="",0,9)+IF(I73="",0,5)+IF(K73="",0,4)+IF(M73="",0,4)+IF(O73="",0,5)))</f>
        <v/>
      </c>
      <c r="R73" s="14">
        <f>IF((IF(H73="",0,9)+IF(J73="",0,5)+IF(L73="",0,4)+IF(N73="",0,4)+IF(P73="",0,5))=0,"",(IF(H73="",0,H73*9)+IF(J73="",0,J73*5)+IF(L73="",0,L73*4)+IF(N73="",0,N73*4)+IF(P73="",0,P73*5))/27)</f>
        <v/>
      </c>
      <c r="S73" s="11">
        <f>IF(OR(City_Inputs!$S73="",Norm_Stats!$F$7="",Norm_Stats!$G$7="",Norm_Stats!$G$7=Norm_Stats!$F$7),"",MAX(0,MIN(100,100*(Norm_Stats!$G$7-MIN(MAX(City_Inputs!$S73,Norm_Stats!$F$7),Norm_Stats!$G$7))/(Norm_Stats!$G$7-Norm_Stats!$F$7))))</f>
        <v/>
      </c>
      <c r="T73" s="14">
        <f>IF(S73="","",1)</f>
        <v/>
      </c>
      <c r="U73" s="11">
        <f>IF(OR(City_Inputs!$T73="",Norm_Stats!$F$8="",Norm_Stats!$G$8="",Norm_Stats!$G$8=Norm_Stats!$F$8),"",MAX(0,MIN(100,100*(MIN(MAX(City_Inputs!$T73,Norm_Stats!$F$8),Norm_Stats!$G$8)-Norm_Stats!$F$8)/(Norm_Stats!$G$8-Norm_Stats!$F$8))))</f>
        <v/>
      </c>
      <c r="V73" s="14">
        <f>IF(U73="","",1)</f>
        <v/>
      </c>
      <c r="W73" s="11">
        <f>IF(OR(City_Inputs!$U73="",Norm_Stats!$F$9="",Norm_Stats!$G$9="",Norm_Stats!$G$9=Norm_Stats!$F$9),"",MAX(0,MIN(100,100*(Norm_Stats!$G$9-MIN(MAX(City_Inputs!$U73,Norm_Stats!$F$9),Norm_Stats!$G$9))/(Norm_Stats!$G$9-Norm_Stats!$F$9))))</f>
        <v/>
      </c>
      <c r="X73" s="14">
        <f>IF(W73="","",1)</f>
        <v/>
      </c>
      <c r="Y73" s="11">
        <f>IF(OR(City_Inputs!$V73="",Norm_Stats!$F$10="",Norm_Stats!$G$10="",Norm_Stats!$G$10=Norm_Stats!$F$10),"",MAX(0,MIN(100,100*(MIN(MAX(City_Inputs!$V73,Norm_Stats!$F$10),Norm_Stats!$G$10)-Norm_Stats!$F$10)/(Norm_Stats!$G$10-Norm_Stats!$F$10))))</f>
        <v/>
      </c>
      <c r="Z73" s="14">
        <f>IF(Y73="","",1)</f>
        <v/>
      </c>
      <c r="AA73" s="11">
        <f>IF(OR(City_Inputs!$W73="",Norm_Stats!$F$11="",Norm_Stats!$G$11="",Norm_Stats!$G$11=Norm_Stats!$F$11),"",MAX(0,MIN(100,100*(MIN(MAX(City_Inputs!$W73,Norm_Stats!$F$11),Norm_Stats!$G$11)-Norm_Stats!$F$11)/(Norm_Stats!$G$11-Norm_Stats!$F$11))))</f>
        <v/>
      </c>
      <c r="AB73" s="14">
        <f>IF(AA73="","",1)</f>
        <v/>
      </c>
      <c r="AC73" s="11">
        <f>IF(OR(City_Inputs!$X73="",Norm_Stats!$F$12="",Norm_Stats!$G$12="",Norm_Stats!$G$12=Norm_Stats!$F$12),"",MAX(0,MIN(100,100*(MIN(MAX(City_Inputs!$X73,Norm_Stats!$F$12),Norm_Stats!$G$12)-Norm_Stats!$F$12)/(Norm_Stats!$G$12-Norm_Stats!$F$12))))</f>
        <v/>
      </c>
      <c r="AD73" s="11">
        <f>IF(AC73="","",1)</f>
        <v/>
      </c>
      <c r="AE73" s="15">
        <f>IF((IF(S73="",0,5)+IF(U73="",0,5)+IF(W73="",0,4)+IF(Y73="",0,4)+IF(AA73="",0,4)+IF(AC73="",0,5))=0,"",(IF(S73="",0,S73*5)+IF(U73="",0,U73*5)+IF(W73="",0,W73*4)+IF(Y73="",0,Y73*4)+IF(AA73="",0,AA73*4)+IF(AC73="",0,AC73*5))/(IF(S73="",0,5)+IF(U73="",0,5)+IF(W73="",0,4)+IF(Y73="",0,4)+IF(AA73="",0,4)+IF(AC73="",0,5)))</f>
        <v/>
      </c>
      <c r="AF73" s="14">
        <f>IF((IF(T73="",0,5)+IF(V73="",0,5)+IF(X73="",0,4)+IF(Z73="",0,4)+IF(AB73="",0,4)+IF(AD73="",0,5))=0,"",(IF(T73="",0,T73*5)+IF(V73="",0,V73*5)+IF(X73="",0,X73*4)+IF(Z73="",0,Z73*4)+IF(AB73="",0,AB73*4)+IF(AD73="",0,AD73*5))/27)</f>
        <v/>
      </c>
      <c r="AG73" s="11">
        <f>IF(OR(City_Inputs!$Y73="",Norm_Stats!$F$13="",Norm_Stats!$G$13="",Norm_Stats!$G$13=Norm_Stats!$F$13),"",MAX(0,MIN(100,100*(MIN(MAX(City_Inputs!$Y73,Norm_Stats!$F$13),Norm_Stats!$G$13)-Norm_Stats!$F$13)/(Norm_Stats!$G$13-Norm_Stats!$F$13))))</f>
        <v/>
      </c>
      <c r="AH73" s="14">
        <f>IF(AG73="","",1)</f>
        <v/>
      </c>
      <c r="AI73" s="11">
        <f>IF(OR(City_Inputs!$Z73="",Norm_Stats!$F$14="",Norm_Stats!$G$14="",Norm_Stats!$G$14=Norm_Stats!$F$14),"",MAX(0,MIN(100,100*(MIN(MAX(City_Inputs!$Z73,Norm_Stats!$F$14),Norm_Stats!$G$14)-Norm_Stats!$F$14)/(Norm_Stats!$G$14-Norm_Stats!$F$14))))</f>
        <v/>
      </c>
      <c r="AJ73" s="14">
        <f>IF(AI73="","",1)</f>
        <v/>
      </c>
      <c r="AK73" s="11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(IF(OR(City_Inputs!$AA73="",Norm_Stats!$F$15="",Norm_Stats!$G$15="",Norm_Stats!$G$15=Norm_Stats!$F$15),"",MAX(0,MIN(100,100*(MIN(MAX(City_Inputs!$AA73,Norm_Stats!$F$15),Norm_Stats!$G$15)-Norm_Stats!$F$15)/(Norm_Stats!$G$15-Norm_Stats!$F$15)))))*0.7)+IF((IF(OR(City_Inputs!$AL73="",Norm_Stats!$F$16="",Norm_Stats!$G$16="",Norm_Stats!$G$16=Norm_Stats!$F$16),"",MAX(0,MIN(100,100*(Norm_Stats!$G$16-MIN(MAX(City_Inputs!$AL73,Norm_Stats!$F$16),Norm_Stats!$G$16))/(Norm_Stats!$G$16-Norm_Stats!$F$16)))))="",0,(IF(OR(City_Inputs!$AL73="",Norm_Stats!$F$16="",Norm_Stats!$G$16="",Norm_Stats!$G$16=Norm_Stats!$F$16),"",MAX(0,MIN(100,100*(Norm_Stats!$G$16-MIN(MAX(City_Inputs!$AL73,Norm_Stats!$F$16),Norm_Stats!$G$16))/(Norm_Stats!$G$16-Norm_Stats!$F$16)))))*0.3))/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L73" s="14">
        <f>IF(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=0,"",(IF((IF(OR(City_Inputs!$AA73="",Norm_Stats!$F$15="",Norm_Stats!$G$15="",Norm_Stats!$G$15=Norm_Stats!$F$15),"",MAX(0,MIN(100,100*(MIN(MAX(City_Inputs!$AA73,Norm_Stats!$F$15),Norm_Stats!$G$15)-Norm_Stats!$F$15)/(Norm_Stats!$G$15-Norm_Stats!$F$15)))))="",0,0.7)+IF((IF(OR(City_Inputs!$AL73="",Norm_Stats!$F$16="",Norm_Stats!$G$16="",Norm_Stats!$G$16=Norm_Stats!$F$16),"",MAX(0,MIN(100,100*(Norm_Stats!$G$16-MIN(MAX(City_Inputs!$AL73,Norm_Stats!$F$16),Norm_Stats!$G$16))/(Norm_Stats!$G$16-Norm_Stats!$F$16)))))="",0,0.3)))</f>
        <v/>
      </c>
      <c r="AM73" s="15">
        <f>IF((IF(AG73="",0,8)+IF(AI73="",0,6)+IF(AK73="",0,4))=0,"",(IF(AG73="",0,AG73*8)+IF(AI73="",0,AI73*6)+IF(AK73="",0,AK73*4))/(IF(AG73="",0,8)+IF(AI73="",0,6)+IF(AK73="",0,4)))</f>
        <v/>
      </c>
      <c r="AN73" s="14">
        <f>IF((IF(AH73="",0,8)+IF(AJ73="",0,6)+IF(AL73="",0,4))=0,"",(IF(AH73="",0,AH73*8)+IF(AJ73="",0,AJ73*6)+IF(AL73="",0,AL73*4))/18)</f>
        <v/>
      </c>
      <c r="AO73" s="11">
        <f>IF(OR(City_Inputs!$AB73="",Norm_Stats!$F$17="",Norm_Stats!$G$17="",Norm_Stats!$G$17=Norm_Stats!$F$17),"",MAX(0,MIN(100,100*(MIN(MAX(City_Inputs!$AB73,Norm_Stats!$F$17),Norm_Stats!$G$17)-Norm_Stats!$F$17)/(Norm_Stats!$G$17-Norm_Stats!$F$17))))</f>
        <v/>
      </c>
      <c r="AP73" s="14">
        <f>IF(AO73="","",1)</f>
        <v/>
      </c>
      <c r="AQ73" s="11">
        <f>IF(OR(City_Inputs!$AC73="",Norm_Stats!$F$18="",Norm_Stats!$G$18="",Norm_Stats!$G$18=Norm_Stats!$F$18),"",MAX(0,MIN(100,100*(MIN(MAX(City_Inputs!$AC73,Norm_Stats!$F$18),Norm_Stats!$G$18)-Norm_Stats!$F$18)/(Norm_Stats!$G$18-Norm_Stats!$F$18))))</f>
        <v/>
      </c>
      <c r="AR73" s="14">
        <f>IF(AQ73="","",1)</f>
        <v/>
      </c>
      <c r="AS73" s="11">
        <f>IF(OR(City_Inputs!$AD73="",Norm_Stats!$F$19="",Norm_Stats!$G$19="",Norm_Stats!$G$19=Norm_Stats!$F$19),"",MAX(0,MIN(100,100*(MIN(MAX(City_Inputs!$AD73,Norm_Stats!$F$19),Norm_Stats!$G$19)-Norm_Stats!$F$19)/(Norm_Stats!$G$19-Norm_Stats!$F$19))))</f>
        <v/>
      </c>
      <c r="AT73" s="14">
        <f>IF(AS73="","",1)</f>
        <v/>
      </c>
      <c r="AU73" s="11">
        <f>IF(OR(City_Inputs!$BJ73="",Norm_Stats!$F$26="",Norm_Stats!$G$26="",Norm_Stats!$G$26=Norm_Stats!$F$26),"",MAX(0,MIN(100,100*(MIN(MAX(City_Inputs!$BJ73,Norm_Stats!$F$26),Norm_Stats!$G$26)-Norm_Stats!$F$26)/(Norm_Stats!$G$26-Norm_Stats!$F$26))))</f>
        <v/>
      </c>
      <c r="AV73" s="11">
        <f>IF(AU73="","",1)</f>
        <v/>
      </c>
      <c r="AW73" s="15">
        <f>IF((IF(AO73="",0,5)+IF(AQ73="",0,5)+IF(AS73="",0,5)+IF(AU73="",0,4))=0,"",(IF(AO73="",0,AO73*5)+IF(AQ73="",0,AQ73*5)+IF(AS73="",0,AS73*5)+IF(AU73="",0,AU73*4))/(IF(AO73="",0,5)+IF(AQ73="",0,5)+IF(AS73="",0,5)+IF(AU73="",0,4)))</f>
        <v/>
      </c>
      <c r="AX73" s="14">
        <f>IF((IF(AP73="",0,5)+IF(AR73="",0,5)+IF(AT73="",0,5)+IF(AV73="",0,4))=0,"",(IF(AP73="",0,AP73*5)+IF(AR73="",0,AR73*5)+IF(AT73="",0,AT73*5)+IF(AV73="",0,AV73*4))/19)</f>
        <v/>
      </c>
      <c r="AY73" s="11">
        <f>IF(OR(City_Inputs!$AE73="",Norm_Stats!$F$20="",Norm_Stats!$G$20="",Norm_Stats!$G$20=Norm_Stats!$F$20),"",MAX(0,MIN(100,100*(MIN(MAX(City_Inputs!$AE73,Norm_Stats!$F$20),Norm_Stats!$G$20)-Norm_Stats!$F$20)/(Norm_Stats!$G$20-Norm_Stats!$F$20))))</f>
        <v/>
      </c>
      <c r="AZ73" s="14">
        <f>IF(AY73="","",1)</f>
        <v/>
      </c>
      <c r="BA73" s="11">
        <f>IF(OR(City_Inputs!$AF73="",Norm_Stats!$F$21="",Norm_Stats!$G$21="",Norm_Stats!$G$21=Norm_Stats!$F$21),"",MAX(0,MIN(100,100*(MIN(MAX(City_Inputs!$AF73,Norm_Stats!$F$21),Norm_Stats!$G$21)-Norm_Stats!$F$21)/(Norm_Stats!$G$21-Norm_Stats!$F$21))))</f>
        <v/>
      </c>
      <c r="BB73" s="14">
        <f>IF(BA73="","",1)</f>
        <v/>
      </c>
      <c r="BC73" s="11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(IF(OR(City_Inputs!$AG73="",Norm_Stats!$F$22="",Norm_Stats!$G$22="",Norm_Stats!$G$22=Norm_Stats!$F$22),"",MAX(0,MIN(100,100*(MIN(MAX(City_Inputs!$AG73,Norm_Stats!$F$22),Norm_Stats!$G$22)-Norm_Stats!$F$22)/(Norm_Stats!$G$22-Norm_Stats!$F$22)))))*0.5)+IF((IF(OR(City_Inputs!$AJ73="",Norm_Stats!$F$23="",Norm_Stats!$G$23="",Norm_Stats!$G$23=Norm_Stats!$F$23),"",MAX(0,MIN(100,100*(MIN(MAX(City_Inputs!$AJ73,Norm_Stats!$F$23),Norm_Stats!$G$23)-Norm_Stats!$F$23)/(Norm_Stats!$G$23-Norm_Stats!$F$23)))))="",0,(IF(OR(City_Inputs!$AJ73="",Norm_Stats!$F$23="",Norm_Stats!$G$23="",Norm_Stats!$G$23=Norm_Stats!$F$23),"",MAX(0,MIN(100,100*(MIN(MAX(City_Inputs!$AJ73,Norm_Stats!$F$23),Norm_Stats!$G$23)-Norm_Stats!$F$23)/(Norm_Stats!$G$23-Norm_Stats!$F$23)))))*0.3)+IF((IF(OR(City_Inputs!$AK73="",Norm_Stats!$F$24="",Norm_Stats!$G$24="",Norm_Stats!$G$24=Norm_Stats!$F$24),"",MAX(0,MIN(100,100*(MIN(MAX(City_Inputs!$AK73,Norm_Stats!$F$24),Norm_Stats!$G$24)-Norm_Stats!$F$24)/(Norm_Stats!$G$24-Norm_Stats!$F$24)))))="",0,(IF(OR(City_Inputs!$AK73="",Norm_Stats!$F$24="",Norm_Stats!$G$24="",Norm_Stats!$G$24=Norm_Stats!$F$24),"",MAX(0,MIN(100,100*(MIN(MAX(City_Inputs!$AK73,Norm_Stats!$F$24),Norm_Stats!$G$24)-Norm_Stats!$F$24)/(Norm_Stats!$G$24-Norm_Stats!$F$24)))))*0.2))/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D73" s="14">
        <f>IF(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=0,"",(IF((IF(OR(City_Inputs!$AG73="",Norm_Stats!$F$22="",Norm_Stats!$G$22="",Norm_Stats!$G$22=Norm_Stats!$F$22),"",MAX(0,MIN(100,100*(MIN(MAX(City_Inputs!$AG73,Norm_Stats!$F$22),Norm_Stats!$G$22)-Norm_Stats!$F$22)/(Norm_Stats!$G$22-Norm_Stats!$F$22)))))="",0,0.5)+IF((IF(OR(City_Inputs!$AJ73="",Norm_Stats!$F$23="",Norm_Stats!$G$23="",Norm_Stats!$G$23=Norm_Stats!$F$23),"",MAX(0,MIN(100,100*(MIN(MAX(City_Inputs!$AJ73,Norm_Stats!$F$23),Norm_Stats!$G$23)-Norm_Stats!$F$23)/(Norm_Stats!$G$23-Norm_Stats!$F$23)))))="",0,0.3)+IF((IF(OR(City_Inputs!$AK73="",Norm_Stats!$F$24="",Norm_Stats!$G$24="",Norm_Stats!$G$24=Norm_Stats!$F$24),"",MAX(0,MIN(100,100*(MIN(MAX(City_Inputs!$AK73,Norm_Stats!$F$24),Norm_Stats!$G$24)-Norm_Stats!$F$24)/(Norm_Stats!$G$24-Norm_Stats!$F$24)))))="",0,0.2)))</f>
        <v/>
      </c>
      <c r="BE73" s="11">
        <f>IF(OR(City_Inputs!$AH73="",Norm_Stats!$F$25="",Norm_Stats!$G$25="",Norm_Stats!$G$25=Norm_Stats!$F$25),"",MAX(0,MIN(100,100*(Norm_Stats!$G$25-MIN(MAX(City_Inputs!$AH73,Norm_Stats!$F$25),Norm_Stats!$G$25))/(Norm_Stats!$G$25-Norm_Stats!$F$25))))</f>
        <v/>
      </c>
      <c r="BF73" s="14">
        <f>IF(BE73="","",1)</f>
        <v/>
      </c>
      <c r="BG73" s="15">
        <f>IF((IF(AY73="",0,6)+IF(BA73="",0,5)+IF(BC73="",0,5)+IF(BE73="",0,4))=0,"",(IF(AY73="",0,AY73*6)+IF(BA73="",0,BA73*5)+IF(BC73="",0,BC73*5)+IF(BE73="",0,BE73*4))/(IF(AY73="",0,6)+IF(BA73="",0,5)+IF(BC73="",0,5)+IF(BE73="",0,4)))</f>
        <v/>
      </c>
      <c r="BH73" s="14">
        <f>IF((IF(AZ73="",0,6)+IF(BB73="",0,5)+IF(BD73="",0,5)+IF(BF73="",0,4))=0,"",(IF(AZ73="",0,AZ73*6)+IF(BB73="",0,BB73*5)+IF(BD73="",0,BD73*5)+IF(BF73="",0,BF73*4))/20)</f>
        <v/>
      </c>
      <c r="BI73" s="14">
        <f>IF(AND(R73="",AF73="",AN73="",AX73="",BH73=""),"",((R73*25)+(AF73*22)+(AN73*18)+(AX73*15)+(BH73*20))/100)</f>
        <v/>
      </c>
      <c r="BJ73" s="11">
        <f>IF(BI73="","",IF(BI73&gt;=0.75,"A",IF(BI73&gt;=0.5,"B",IF(BI73&gt;=0.35,"C","Watchlist"))))</f>
        <v/>
      </c>
      <c r="BK73" s="11">
        <f>IF(OR(BI73="",BI73&lt;0.5,R73="",R73&lt;0.35,AF73="",AF73&lt;0.35,AN73="",AN73&lt;0.35,AX73="",AX73&lt;0.35,BH73="",BH73&lt;0.35),"Watchlist","Ranked")</f>
        <v/>
      </c>
      <c r="BL73" s="15">
        <f>IF(AND(Q73="",AE73="",AM73="",AW73="",BG73=""),"",(IF(Q73="",0,Q73*25)+IF(AE73="",0,AE73*22)+IF(AM73="",0,AM73*18)+IF(AW73="",0,AW73*15)+IF(BG73="",0,BG73*20))/(IF(Q73="",0,25)+IF(AE73="",0,22)+IF(AM73="",0,18)+IF(AW73="",0,15)+IF(BG73="",0,20)))</f>
        <v/>
      </c>
      <c r="BM73" s="11">
        <f>IF(BK73="Ranked",1+COUNTIFS($BK$2:$BK$158,"Ranked",$BL$2:$BL$158,"&gt;"&amp;BL73),"")</f>
        <v/>
      </c>
      <c r="BN73" s="11">
        <f>City_Inputs!$AI73</f>
        <v/>
      </c>
    </row>
    <row r="74">
      <c r="A74" t="inlineStr">
        <is>
          <t>co-bogota</t>
        </is>
      </c>
      <c r="B74" t="inlineStr">
        <is>
          <t>Bogota</t>
        </is>
      </c>
      <c r="C74" t="inlineStr">
        <is>
          <t>Colombia</t>
        </is>
      </c>
      <c r="D74" t="inlineStr">
        <is>
          <t>Latin America</t>
        </is>
      </c>
      <c r="E74" t="inlineStr">
        <is>
          <t>locked</t>
        </is>
      </c>
      <c r="F74" t="inlineStr">
        <is>
          <t>primary</t>
        </is>
      </c>
      <c r="G74" s="11">
        <f>IF(OR(City_Inputs!$M74="",Norm_Stats!$F$2="",Norm_Stats!$G$2="",Norm_Stats!$G$2=Norm_Stats!$F$2),"",MAX(0,MIN(100,100*(MIN(MAX(City_Inputs!$M74,Norm_Stats!$F$2),Norm_Stats!$G$2)-Norm_Stats!$F$2)/(Norm_Stats!$G$2-Norm_Stats!$F$2))))</f>
        <v/>
      </c>
      <c r="H74" s="14">
        <f>IF(G74="","",1)</f>
        <v/>
      </c>
      <c r="I74" s="11">
        <f>IF(OR(City_Inputs!$N74="",Norm_Stats!$F$3="",Norm_Stats!$G$3="",Norm_Stats!$G$3=Norm_Stats!$F$3),"",MAX(0,MIN(100,100*(Norm_Stats!$G$3-MIN(MAX(City_Inputs!$N74,Norm_Stats!$F$3),Norm_Stats!$G$3))/(Norm_Stats!$G$3-Norm_Stats!$F$3))))</f>
        <v/>
      </c>
      <c r="J74" s="14">
        <f>IF(I74="","",1)</f>
        <v/>
      </c>
      <c r="K74" s="11">
        <f>IF(OR(City_Inputs!$P74="",Norm_Stats!$F$4="",Norm_Stats!$G$4="",Norm_Stats!$G$4=Norm_Stats!$F$4),"",MAX(0,MIN(100,100*(Norm_Stats!$G$4-MIN(MAX(City_Inputs!$P74,Norm_Stats!$F$4),Norm_Stats!$G$4))/(Norm_Stats!$G$4-Norm_Stats!$F$4))))</f>
        <v/>
      </c>
      <c r="L74" s="14">
        <f>IF(K74="","",1)</f>
        <v/>
      </c>
      <c r="M74" s="11">
        <f>IF(OR(City_Inputs!$Q74="",Norm_Stats!$F$5="",Norm_Stats!$G$5="",Norm_Stats!$G$5=Norm_Stats!$F$5),"",MAX(0,MIN(100,100*(Norm_Stats!$G$5-MIN(MAX(City_Inputs!$Q74,Norm_Stats!$F$5),Norm_Stats!$G$5))/(Norm_Stats!$G$5-Norm_Stats!$F$5))))</f>
        <v/>
      </c>
      <c r="N74" s="14">
        <f>IF(M74="","",1)</f>
        <v/>
      </c>
      <c r="O74" s="11">
        <f>IF(OR(City_Inputs!$R74="",Norm_Stats!$F$6="",Norm_Stats!$G$6="",Norm_Stats!$G$6=Norm_Stats!$F$6),"",MAX(0,MIN(100,100*(Norm_Stats!$G$6-MIN(MAX(City_Inputs!$R74,Norm_Stats!$F$6),Norm_Stats!$G$6))/(Norm_Stats!$G$6-Norm_Stats!$F$6))))</f>
        <v/>
      </c>
      <c r="P74" s="14">
        <f>IF(O74="","",1)</f>
        <v/>
      </c>
      <c r="Q74" s="15">
        <f>IF((IF(G74="",0,9)+IF(I74="",0,5)+IF(K74="",0,4)+IF(M74="",0,4)+IF(O74="",0,5))=0,"",(IF(G74="",0,G74*9)+IF(I74="",0,I74*5)+IF(K74="",0,K74*4)+IF(M74="",0,M74*4)+IF(O74="",0,O74*5))/(IF(G74="",0,9)+IF(I74="",0,5)+IF(K74="",0,4)+IF(M74="",0,4)+IF(O74="",0,5)))</f>
        <v/>
      </c>
      <c r="R74" s="14">
        <f>IF((IF(H74="",0,9)+IF(J74="",0,5)+IF(L74="",0,4)+IF(N74="",0,4)+IF(P74="",0,5))=0,"",(IF(H74="",0,H74*9)+IF(J74="",0,J74*5)+IF(L74="",0,L74*4)+IF(N74="",0,N74*4)+IF(P74="",0,P74*5))/27)</f>
        <v/>
      </c>
      <c r="S74" s="11">
        <f>IF(OR(City_Inputs!$S74="",Norm_Stats!$F$7="",Norm_Stats!$G$7="",Norm_Stats!$G$7=Norm_Stats!$F$7),"",MAX(0,MIN(100,100*(Norm_Stats!$G$7-MIN(MAX(City_Inputs!$S74,Norm_Stats!$F$7),Norm_Stats!$G$7))/(Norm_Stats!$G$7-Norm_Stats!$F$7))))</f>
        <v/>
      </c>
      <c r="T74" s="14">
        <f>IF(S74="","",1)</f>
        <v/>
      </c>
      <c r="U74" s="11">
        <f>IF(OR(City_Inputs!$T74="",Norm_Stats!$F$8="",Norm_Stats!$G$8="",Norm_Stats!$G$8=Norm_Stats!$F$8),"",MAX(0,MIN(100,100*(MIN(MAX(City_Inputs!$T74,Norm_Stats!$F$8),Norm_Stats!$G$8)-Norm_Stats!$F$8)/(Norm_Stats!$G$8-Norm_Stats!$F$8))))</f>
        <v/>
      </c>
      <c r="V74" s="14">
        <f>IF(U74="","",1)</f>
        <v/>
      </c>
      <c r="W74" s="11">
        <f>IF(OR(City_Inputs!$U74="",Norm_Stats!$F$9="",Norm_Stats!$G$9="",Norm_Stats!$G$9=Norm_Stats!$F$9),"",MAX(0,MIN(100,100*(Norm_Stats!$G$9-MIN(MAX(City_Inputs!$U74,Norm_Stats!$F$9),Norm_Stats!$G$9))/(Norm_Stats!$G$9-Norm_Stats!$F$9))))</f>
        <v/>
      </c>
      <c r="X74" s="14">
        <f>IF(W74="","",1)</f>
        <v/>
      </c>
      <c r="Y74" s="11">
        <f>IF(OR(City_Inputs!$V74="",Norm_Stats!$F$10="",Norm_Stats!$G$10="",Norm_Stats!$G$10=Norm_Stats!$F$10),"",MAX(0,MIN(100,100*(MIN(MAX(City_Inputs!$V74,Norm_Stats!$F$10),Norm_Stats!$G$10)-Norm_Stats!$F$10)/(Norm_Stats!$G$10-Norm_Stats!$F$10))))</f>
        <v/>
      </c>
      <c r="Z74" s="14">
        <f>IF(Y74="","",1)</f>
        <v/>
      </c>
      <c r="AA74" s="11">
        <f>IF(OR(City_Inputs!$W74="",Norm_Stats!$F$11="",Norm_Stats!$G$11="",Norm_Stats!$G$11=Norm_Stats!$F$11),"",MAX(0,MIN(100,100*(MIN(MAX(City_Inputs!$W74,Norm_Stats!$F$11),Norm_Stats!$G$11)-Norm_Stats!$F$11)/(Norm_Stats!$G$11-Norm_Stats!$F$11))))</f>
        <v/>
      </c>
      <c r="AB74" s="14">
        <f>IF(AA74="","",1)</f>
        <v/>
      </c>
      <c r="AC74" s="11">
        <f>IF(OR(City_Inputs!$X74="",Norm_Stats!$F$12="",Norm_Stats!$G$12="",Norm_Stats!$G$12=Norm_Stats!$F$12),"",MAX(0,MIN(100,100*(MIN(MAX(City_Inputs!$X74,Norm_Stats!$F$12),Norm_Stats!$G$12)-Norm_Stats!$F$12)/(Norm_Stats!$G$12-Norm_Stats!$F$12))))</f>
        <v/>
      </c>
      <c r="AD74" s="11">
        <f>IF(AC74="","",1)</f>
        <v/>
      </c>
      <c r="AE74" s="15">
        <f>IF((IF(S74="",0,5)+IF(U74="",0,5)+IF(W74="",0,4)+IF(Y74="",0,4)+IF(AA74="",0,4)+IF(AC74="",0,5))=0,"",(IF(S74="",0,S74*5)+IF(U74="",0,U74*5)+IF(W74="",0,W74*4)+IF(Y74="",0,Y74*4)+IF(AA74="",0,AA74*4)+IF(AC74="",0,AC74*5))/(IF(S74="",0,5)+IF(U74="",0,5)+IF(W74="",0,4)+IF(Y74="",0,4)+IF(AA74="",0,4)+IF(AC74="",0,5)))</f>
        <v/>
      </c>
      <c r="AF74" s="14">
        <f>IF((IF(T74="",0,5)+IF(V74="",0,5)+IF(X74="",0,4)+IF(Z74="",0,4)+IF(AB74="",0,4)+IF(AD74="",0,5))=0,"",(IF(T74="",0,T74*5)+IF(V74="",0,V74*5)+IF(X74="",0,X74*4)+IF(Z74="",0,Z74*4)+IF(AB74="",0,AB74*4)+IF(AD74="",0,AD74*5))/27)</f>
        <v/>
      </c>
      <c r="AG74" s="11">
        <f>IF(OR(City_Inputs!$Y74="",Norm_Stats!$F$13="",Norm_Stats!$G$13="",Norm_Stats!$G$13=Norm_Stats!$F$13),"",MAX(0,MIN(100,100*(MIN(MAX(City_Inputs!$Y74,Norm_Stats!$F$13),Norm_Stats!$G$13)-Norm_Stats!$F$13)/(Norm_Stats!$G$13-Norm_Stats!$F$13))))</f>
        <v/>
      </c>
      <c r="AH74" s="14">
        <f>IF(AG74="","",1)</f>
        <v/>
      </c>
      <c r="AI74" s="11">
        <f>IF(OR(City_Inputs!$Z74="",Norm_Stats!$F$14="",Norm_Stats!$G$14="",Norm_Stats!$G$14=Norm_Stats!$F$14),"",MAX(0,MIN(100,100*(MIN(MAX(City_Inputs!$Z74,Norm_Stats!$F$14),Norm_Stats!$G$14)-Norm_Stats!$F$14)/(Norm_Stats!$G$14-Norm_Stats!$F$14))))</f>
        <v/>
      </c>
      <c r="AJ74" s="14">
        <f>IF(AI74="","",1)</f>
        <v/>
      </c>
      <c r="AK74" s="11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(IF(OR(City_Inputs!$AA74="",Norm_Stats!$F$15="",Norm_Stats!$G$15="",Norm_Stats!$G$15=Norm_Stats!$F$15),"",MAX(0,MIN(100,100*(MIN(MAX(City_Inputs!$AA74,Norm_Stats!$F$15),Norm_Stats!$G$15)-Norm_Stats!$F$15)/(Norm_Stats!$G$15-Norm_Stats!$F$15)))))*0.7)+IF((IF(OR(City_Inputs!$AL74="",Norm_Stats!$F$16="",Norm_Stats!$G$16="",Norm_Stats!$G$16=Norm_Stats!$F$16),"",MAX(0,MIN(100,100*(Norm_Stats!$G$16-MIN(MAX(City_Inputs!$AL74,Norm_Stats!$F$16),Norm_Stats!$G$16))/(Norm_Stats!$G$16-Norm_Stats!$F$16)))))="",0,(IF(OR(City_Inputs!$AL74="",Norm_Stats!$F$16="",Norm_Stats!$G$16="",Norm_Stats!$G$16=Norm_Stats!$F$16),"",MAX(0,MIN(100,100*(Norm_Stats!$G$16-MIN(MAX(City_Inputs!$AL74,Norm_Stats!$F$16),Norm_Stats!$G$16))/(Norm_Stats!$G$16-Norm_Stats!$F$16)))))*0.3))/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L74" s="14">
        <f>IF(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=0,"",(IF((IF(OR(City_Inputs!$AA74="",Norm_Stats!$F$15="",Norm_Stats!$G$15="",Norm_Stats!$G$15=Norm_Stats!$F$15),"",MAX(0,MIN(100,100*(MIN(MAX(City_Inputs!$AA74,Norm_Stats!$F$15),Norm_Stats!$G$15)-Norm_Stats!$F$15)/(Norm_Stats!$G$15-Norm_Stats!$F$15)))))="",0,0.7)+IF((IF(OR(City_Inputs!$AL74="",Norm_Stats!$F$16="",Norm_Stats!$G$16="",Norm_Stats!$G$16=Norm_Stats!$F$16),"",MAX(0,MIN(100,100*(Norm_Stats!$G$16-MIN(MAX(City_Inputs!$AL74,Norm_Stats!$F$16),Norm_Stats!$G$16))/(Norm_Stats!$G$16-Norm_Stats!$F$16)))))="",0,0.3)))</f>
        <v/>
      </c>
      <c r="AM74" s="15">
        <f>IF((IF(AG74="",0,8)+IF(AI74="",0,6)+IF(AK74="",0,4))=0,"",(IF(AG74="",0,AG74*8)+IF(AI74="",0,AI74*6)+IF(AK74="",0,AK74*4))/(IF(AG74="",0,8)+IF(AI74="",0,6)+IF(AK74="",0,4)))</f>
        <v/>
      </c>
      <c r="AN74" s="14">
        <f>IF((IF(AH74="",0,8)+IF(AJ74="",0,6)+IF(AL74="",0,4))=0,"",(IF(AH74="",0,AH74*8)+IF(AJ74="",0,AJ74*6)+IF(AL74="",0,AL74*4))/18)</f>
        <v/>
      </c>
      <c r="AO74" s="11">
        <f>IF(OR(City_Inputs!$AB74="",Norm_Stats!$F$17="",Norm_Stats!$G$17="",Norm_Stats!$G$17=Norm_Stats!$F$17),"",MAX(0,MIN(100,100*(MIN(MAX(City_Inputs!$AB74,Norm_Stats!$F$17),Norm_Stats!$G$17)-Norm_Stats!$F$17)/(Norm_Stats!$G$17-Norm_Stats!$F$17))))</f>
        <v/>
      </c>
      <c r="AP74" s="14">
        <f>IF(AO74="","",1)</f>
        <v/>
      </c>
      <c r="AQ74" s="11">
        <f>IF(OR(City_Inputs!$AC74="",Norm_Stats!$F$18="",Norm_Stats!$G$18="",Norm_Stats!$G$18=Norm_Stats!$F$18),"",MAX(0,MIN(100,100*(MIN(MAX(City_Inputs!$AC74,Norm_Stats!$F$18),Norm_Stats!$G$18)-Norm_Stats!$F$18)/(Norm_Stats!$G$18-Norm_Stats!$F$18))))</f>
        <v/>
      </c>
      <c r="AR74" s="14">
        <f>IF(AQ74="","",1)</f>
        <v/>
      </c>
      <c r="AS74" s="11">
        <f>IF(OR(City_Inputs!$AD74="",Norm_Stats!$F$19="",Norm_Stats!$G$19="",Norm_Stats!$G$19=Norm_Stats!$F$19),"",MAX(0,MIN(100,100*(MIN(MAX(City_Inputs!$AD74,Norm_Stats!$F$19),Norm_Stats!$G$19)-Norm_Stats!$F$19)/(Norm_Stats!$G$19-Norm_Stats!$F$19))))</f>
        <v/>
      </c>
      <c r="AT74" s="14">
        <f>IF(AS74="","",1)</f>
        <v/>
      </c>
      <c r="AU74" s="11">
        <f>IF(OR(City_Inputs!$BJ74="",Norm_Stats!$F$26="",Norm_Stats!$G$26="",Norm_Stats!$G$26=Norm_Stats!$F$26),"",MAX(0,MIN(100,100*(MIN(MAX(City_Inputs!$BJ74,Norm_Stats!$F$26),Norm_Stats!$G$26)-Norm_Stats!$F$26)/(Norm_Stats!$G$26-Norm_Stats!$F$26))))</f>
        <v/>
      </c>
      <c r="AV74" s="11">
        <f>IF(AU74="","",1)</f>
        <v/>
      </c>
      <c r="AW74" s="15">
        <f>IF((IF(AO74="",0,5)+IF(AQ74="",0,5)+IF(AS74="",0,5)+IF(AU74="",0,4))=0,"",(IF(AO74="",0,AO74*5)+IF(AQ74="",0,AQ74*5)+IF(AS74="",0,AS74*5)+IF(AU74="",0,AU74*4))/(IF(AO74="",0,5)+IF(AQ74="",0,5)+IF(AS74="",0,5)+IF(AU74="",0,4)))</f>
        <v/>
      </c>
      <c r="AX74" s="14">
        <f>IF((IF(AP74="",0,5)+IF(AR74="",0,5)+IF(AT74="",0,5)+IF(AV74="",0,4))=0,"",(IF(AP74="",0,AP74*5)+IF(AR74="",0,AR74*5)+IF(AT74="",0,AT74*5)+IF(AV74="",0,AV74*4))/19)</f>
        <v/>
      </c>
      <c r="AY74" s="11">
        <f>IF(OR(City_Inputs!$AE74="",Norm_Stats!$F$20="",Norm_Stats!$G$20="",Norm_Stats!$G$20=Norm_Stats!$F$20),"",MAX(0,MIN(100,100*(MIN(MAX(City_Inputs!$AE74,Norm_Stats!$F$20),Norm_Stats!$G$20)-Norm_Stats!$F$20)/(Norm_Stats!$G$20-Norm_Stats!$F$20))))</f>
        <v/>
      </c>
      <c r="AZ74" s="14">
        <f>IF(AY74="","",1)</f>
        <v/>
      </c>
      <c r="BA74" s="11">
        <f>IF(OR(City_Inputs!$AF74="",Norm_Stats!$F$21="",Norm_Stats!$G$21="",Norm_Stats!$G$21=Norm_Stats!$F$21),"",MAX(0,MIN(100,100*(MIN(MAX(City_Inputs!$AF74,Norm_Stats!$F$21),Norm_Stats!$G$21)-Norm_Stats!$F$21)/(Norm_Stats!$G$21-Norm_Stats!$F$21))))</f>
        <v/>
      </c>
      <c r="BB74" s="14">
        <f>IF(BA74="","",1)</f>
        <v/>
      </c>
      <c r="BC74" s="11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(IF(OR(City_Inputs!$AG74="",Norm_Stats!$F$22="",Norm_Stats!$G$22="",Norm_Stats!$G$22=Norm_Stats!$F$22),"",MAX(0,MIN(100,100*(MIN(MAX(City_Inputs!$AG74,Norm_Stats!$F$22),Norm_Stats!$G$22)-Norm_Stats!$F$22)/(Norm_Stats!$G$22-Norm_Stats!$F$22)))))*0.5)+IF((IF(OR(City_Inputs!$AJ74="",Norm_Stats!$F$23="",Norm_Stats!$G$23="",Norm_Stats!$G$23=Norm_Stats!$F$23),"",MAX(0,MIN(100,100*(MIN(MAX(City_Inputs!$AJ74,Norm_Stats!$F$23),Norm_Stats!$G$23)-Norm_Stats!$F$23)/(Norm_Stats!$G$23-Norm_Stats!$F$23)))))="",0,(IF(OR(City_Inputs!$AJ74="",Norm_Stats!$F$23="",Norm_Stats!$G$23="",Norm_Stats!$G$23=Norm_Stats!$F$23),"",MAX(0,MIN(100,100*(MIN(MAX(City_Inputs!$AJ74,Norm_Stats!$F$23),Norm_Stats!$G$23)-Norm_Stats!$F$23)/(Norm_Stats!$G$23-Norm_Stats!$F$23)))))*0.3)+IF((IF(OR(City_Inputs!$AK74="",Norm_Stats!$F$24="",Norm_Stats!$G$24="",Norm_Stats!$G$24=Norm_Stats!$F$24),"",MAX(0,MIN(100,100*(MIN(MAX(City_Inputs!$AK74,Norm_Stats!$F$24),Norm_Stats!$G$24)-Norm_Stats!$F$24)/(Norm_Stats!$G$24-Norm_Stats!$F$24)))))="",0,(IF(OR(City_Inputs!$AK74="",Norm_Stats!$F$24="",Norm_Stats!$G$24="",Norm_Stats!$G$24=Norm_Stats!$F$24),"",MAX(0,MIN(100,100*(MIN(MAX(City_Inputs!$AK74,Norm_Stats!$F$24),Norm_Stats!$G$24)-Norm_Stats!$F$24)/(Norm_Stats!$G$24-Norm_Stats!$F$24)))))*0.2))/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D74" s="14">
        <f>IF(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=0,"",(IF((IF(OR(City_Inputs!$AG74="",Norm_Stats!$F$22="",Norm_Stats!$G$22="",Norm_Stats!$G$22=Norm_Stats!$F$22),"",MAX(0,MIN(100,100*(MIN(MAX(City_Inputs!$AG74,Norm_Stats!$F$22),Norm_Stats!$G$22)-Norm_Stats!$F$22)/(Norm_Stats!$G$22-Norm_Stats!$F$22)))))="",0,0.5)+IF((IF(OR(City_Inputs!$AJ74="",Norm_Stats!$F$23="",Norm_Stats!$G$23="",Norm_Stats!$G$23=Norm_Stats!$F$23),"",MAX(0,MIN(100,100*(MIN(MAX(City_Inputs!$AJ74,Norm_Stats!$F$23),Norm_Stats!$G$23)-Norm_Stats!$F$23)/(Norm_Stats!$G$23-Norm_Stats!$F$23)))))="",0,0.3)+IF((IF(OR(City_Inputs!$AK74="",Norm_Stats!$F$24="",Norm_Stats!$G$24="",Norm_Stats!$G$24=Norm_Stats!$F$24),"",MAX(0,MIN(100,100*(MIN(MAX(City_Inputs!$AK74,Norm_Stats!$F$24),Norm_Stats!$G$24)-Norm_Stats!$F$24)/(Norm_Stats!$G$24-Norm_Stats!$F$24)))))="",0,0.2)))</f>
        <v/>
      </c>
      <c r="BE74" s="11">
        <f>IF(OR(City_Inputs!$AH74="",Norm_Stats!$F$25="",Norm_Stats!$G$25="",Norm_Stats!$G$25=Norm_Stats!$F$25),"",MAX(0,MIN(100,100*(Norm_Stats!$G$25-MIN(MAX(City_Inputs!$AH74,Norm_Stats!$F$25),Norm_Stats!$G$25))/(Norm_Stats!$G$25-Norm_Stats!$F$25))))</f>
        <v/>
      </c>
      <c r="BF74" s="14">
        <f>IF(BE74="","",1)</f>
        <v/>
      </c>
      <c r="BG74" s="15">
        <f>IF((IF(AY74="",0,6)+IF(BA74="",0,5)+IF(BC74="",0,5)+IF(BE74="",0,4))=0,"",(IF(AY74="",0,AY74*6)+IF(BA74="",0,BA74*5)+IF(BC74="",0,BC74*5)+IF(BE74="",0,BE74*4))/(IF(AY74="",0,6)+IF(BA74="",0,5)+IF(BC74="",0,5)+IF(BE74="",0,4)))</f>
        <v/>
      </c>
      <c r="BH74" s="14">
        <f>IF((IF(AZ74="",0,6)+IF(BB74="",0,5)+IF(BD74="",0,5)+IF(BF74="",0,4))=0,"",(IF(AZ74="",0,AZ74*6)+IF(BB74="",0,BB74*5)+IF(BD74="",0,BD74*5)+IF(BF74="",0,BF74*4))/20)</f>
        <v/>
      </c>
      <c r="BI74" s="14">
        <f>IF(AND(R74="",AF74="",AN74="",AX74="",BH74=""),"",((R74*25)+(AF74*22)+(AN74*18)+(AX74*15)+(BH74*20))/100)</f>
        <v/>
      </c>
      <c r="BJ74" s="11">
        <f>IF(BI74="","",IF(BI74&gt;=0.75,"A",IF(BI74&gt;=0.5,"B",IF(BI74&gt;=0.35,"C","Watchlist"))))</f>
        <v/>
      </c>
      <c r="BK74" s="11">
        <f>IF(OR(BI74="",BI74&lt;0.5,R74="",R74&lt;0.35,AF74="",AF74&lt;0.35,AN74="",AN74&lt;0.35,AX74="",AX74&lt;0.35,BH74="",BH74&lt;0.35),"Watchlist","Ranked")</f>
        <v/>
      </c>
      <c r="BL74" s="15">
        <f>IF(AND(Q74="",AE74="",AM74="",AW74="",BG74=""),"",(IF(Q74="",0,Q74*25)+IF(AE74="",0,AE74*22)+IF(AM74="",0,AM74*18)+IF(AW74="",0,AW74*15)+IF(BG74="",0,BG74*20))/(IF(Q74="",0,25)+IF(AE74="",0,22)+IF(AM74="",0,18)+IF(AW74="",0,15)+IF(BG74="",0,20)))</f>
        <v/>
      </c>
      <c r="BM74" s="11">
        <f>IF(BK74="Ranked",1+COUNTIFS($BK$2:$BK$158,"Ranked",$BL$2:$BL$158,"&gt;"&amp;BL74),"")</f>
        <v/>
      </c>
      <c r="BN74" s="11">
        <f>City_Inputs!$AI74</f>
        <v/>
      </c>
    </row>
    <row r="75">
      <c r="A75" t="inlineStr">
        <is>
          <t>pe-lima</t>
        </is>
      </c>
      <c r="B75" t="inlineStr">
        <is>
          <t>Lima</t>
        </is>
      </c>
      <c r="C75" t="inlineStr">
        <is>
          <t>Peru</t>
        </is>
      </c>
      <c r="D75" t="inlineStr">
        <is>
          <t>Latin America</t>
        </is>
      </c>
      <c r="E75" t="inlineStr">
        <is>
          <t>provisional</t>
        </is>
      </c>
      <c r="F75" t="inlineStr">
        <is>
          <t>primary</t>
        </is>
      </c>
      <c r="G75" s="11">
        <f>IF(OR(City_Inputs!$M75="",Norm_Stats!$F$2="",Norm_Stats!$G$2="",Norm_Stats!$G$2=Norm_Stats!$F$2),"",MAX(0,MIN(100,100*(MIN(MAX(City_Inputs!$M75,Norm_Stats!$F$2),Norm_Stats!$G$2)-Norm_Stats!$F$2)/(Norm_Stats!$G$2-Norm_Stats!$F$2))))</f>
        <v/>
      </c>
      <c r="H75" s="14">
        <f>IF(G75="","",1)</f>
        <v/>
      </c>
      <c r="I75" s="11">
        <f>IF(OR(City_Inputs!$N75="",Norm_Stats!$F$3="",Norm_Stats!$G$3="",Norm_Stats!$G$3=Norm_Stats!$F$3),"",MAX(0,MIN(100,100*(Norm_Stats!$G$3-MIN(MAX(City_Inputs!$N75,Norm_Stats!$F$3),Norm_Stats!$G$3))/(Norm_Stats!$G$3-Norm_Stats!$F$3))))</f>
        <v/>
      </c>
      <c r="J75" s="14">
        <f>IF(I75="","",1)</f>
        <v/>
      </c>
      <c r="K75" s="11">
        <f>IF(OR(City_Inputs!$P75="",Norm_Stats!$F$4="",Norm_Stats!$G$4="",Norm_Stats!$G$4=Norm_Stats!$F$4),"",MAX(0,MIN(100,100*(Norm_Stats!$G$4-MIN(MAX(City_Inputs!$P75,Norm_Stats!$F$4),Norm_Stats!$G$4))/(Norm_Stats!$G$4-Norm_Stats!$F$4))))</f>
        <v/>
      </c>
      <c r="L75" s="14">
        <f>IF(K75="","",1)</f>
        <v/>
      </c>
      <c r="M75" s="11">
        <f>IF(OR(City_Inputs!$Q75="",Norm_Stats!$F$5="",Norm_Stats!$G$5="",Norm_Stats!$G$5=Norm_Stats!$F$5),"",MAX(0,MIN(100,100*(Norm_Stats!$G$5-MIN(MAX(City_Inputs!$Q75,Norm_Stats!$F$5),Norm_Stats!$G$5))/(Norm_Stats!$G$5-Norm_Stats!$F$5))))</f>
        <v/>
      </c>
      <c r="N75" s="14">
        <f>IF(M75="","",1)</f>
        <v/>
      </c>
      <c r="O75" s="11">
        <f>IF(OR(City_Inputs!$R75="",Norm_Stats!$F$6="",Norm_Stats!$G$6="",Norm_Stats!$G$6=Norm_Stats!$F$6),"",MAX(0,MIN(100,100*(Norm_Stats!$G$6-MIN(MAX(City_Inputs!$R75,Norm_Stats!$F$6),Norm_Stats!$G$6))/(Norm_Stats!$G$6-Norm_Stats!$F$6))))</f>
        <v/>
      </c>
      <c r="P75" s="14">
        <f>IF(O75="","",1)</f>
        <v/>
      </c>
      <c r="Q75" s="15">
        <f>IF((IF(G75="",0,9)+IF(I75="",0,5)+IF(K75="",0,4)+IF(M75="",0,4)+IF(O75="",0,5))=0,"",(IF(G75="",0,G75*9)+IF(I75="",0,I75*5)+IF(K75="",0,K75*4)+IF(M75="",0,M75*4)+IF(O75="",0,O75*5))/(IF(G75="",0,9)+IF(I75="",0,5)+IF(K75="",0,4)+IF(M75="",0,4)+IF(O75="",0,5)))</f>
        <v/>
      </c>
      <c r="R75" s="14">
        <f>IF((IF(H75="",0,9)+IF(J75="",0,5)+IF(L75="",0,4)+IF(N75="",0,4)+IF(P75="",0,5))=0,"",(IF(H75="",0,H75*9)+IF(J75="",0,J75*5)+IF(L75="",0,L75*4)+IF(N75="",0,N75*4)+IF(P75="",0,P75*5))/27)</f>
        <v/>
      </c>
      <c r="S75" s="11">
        <f>IF(OR(City_Inputs!$S75="",Norm_Stats!$F$7="",Norm_Stats!$G$7="",Norm_Stats!$G$7=Norm_Stats!$F$7),"",MAX(0,MIN(100,100*(Norm_Stats!$G$7-MIN(MAX(City_Inputs!$S75,Norm_Stats!$F$7),Norm_Stats!$G$7))/(Norm_Stats!$G$7-Norm_Stats!$F$7))))</f>
        <v/>
      </c>
      <c r="T75" s="14">
        <f>IF(S75="","",1)</f>
        <v/>
      </c>
      <c r="U75" s="11">
        <f>IF(OR(City_Inputs!$T75="",Norm_Stats!$F$8="",Norm_Stats!$G$8="",Norm_Stats!$G$8=Norm_Stats!$F$8),"",MAX(0,MIN(100,100*(MIN(MAX(City_Inputs!$T75,Norm_Stats!$F$8),Norm_Stats!$G$8)-Norm_Stats!$F$8)/(Norm_Stats!$G$8-Norm_Stats!$F$8))))</f>
        <v/>
      </c>
      <c r="V75" s="14">
        <f>IF(U75="","",1)</f>
        <v/>
      </c>
      <c r="W75" s="11">
        <f>IF(OR(City_Inputs!$U75="",Norm_Stats!$F$9="",Norm_Stats!$G$9="",Norm_Stats!$G$9=Norm_Stats!$F$9),"",MAX(0,MIN(100,100*(Norm_Stats!$G$9-MIN(MAX(City_Inputs!$U75,Norm_Stats!$F$9),Norm_Stats!$G$9))/(Norm_Stats!$G$9-Norm_Stats!$F$9))))</f>
        <v/>
      </c>
      <c r="X75" s="14">
        <f>IF(W75="","",1)</f>
        <v/>
      </c>
      <c r="Y75" s="11">
        <f>IF(OR(City_Inputs!$V75="",Norm_Stats!$F$10="",Norm_Stats!$G$10="",Norm_Stats!$G$10=Norm_Stats!$F$10),"",MAX(0,MIN(100,100*(MIN(MAX(City_Inputs!$V75,Norm_Stats!$F$10),Norm_Stats!$G$10)-Norm_Stats!$F$10)/(Norm_Stats!$G$10-Norm_Stats!$F$10))))</f>
        <v/>
      </c>
      <c r="Z75" s="14">
        <f>IF(Y75="","",1)</f>
        <v/>
      </c>
      <c r="AA75" s="11">
        <f>IF(OR(City_Inputs!$W75="",Norm_Stats!$F$11="",Norm_Stats!$G$11="",Norm_Stats!$G$11=Norm_Stats!$F$11),"",MAX(0,MIN(100,100*(MIN(MAX(City_Inputs!$W75,Norm_Stats!$F$11),Norm_Stats!$G$11)-Norm_Stats!$F$11)/(Norm_Stats!$G$11-Norm_Stats!$F$11))))</f>
        <v/>
      </c>
      <c r="AB75" s="14">
        <f>IF(AA75="","",1)</f>
        <v/>
      </c>
      <c r="AC75" s="11">
        <f>IF(OR(City_Inputs!$X75="",Norm_Stats!$F$12="",Norm_Stats!$G$12="",Norm_Stats!$G$12=Norm_Stats!$F$12),"",MAX(0,MIN(100,100*(MIN(MAX(City_Inputs!$X75,Norm_Stats!$F$12),Norm_Stats!$G$12)-Norm_Stats!$F$12)/(Norm_Stats!$G$12-Norm_Stats!$F$12))))</f>
        <v/>
      </c>
      <c r="AD75" s="11">
        <f>IF(AC75="","",1)</f>
        <v/>
      </c>
      <c r="AE75" s="15">
        <f>IF((IF(S75="",0,5)+IF(U75="",0,5)+IF(W75="",0,4)+IF(Y75="",0,4)+IF(AA75="",0,4)+IF(AC75="",0,5))=0,"",(IF(S75="",0,S75*5)+IF(U75="",0,U75*5)+IF(W75="",0,W75*4)+IF(Y75="",0,Y75*4)+IF(AA75="",0,AA75*4)+IF(AC75="",0,AC75*5))/(IF(S75="",0,5)+IF(U75="",0,5)+IF(W75="",0,4)+IF(Y75="",0,4)+IF(AA75="",0,4)+IF(AC75="",0,5)))</f>
        <v/>
      </c>
      <c r="AF75" s="14">
        <f>IF((IF(T75="",0,5)+IF(V75="",0,5)+IF(X75="",0,4)+IF(Z75="",0,4)+IF(AB75="",0,4)+IF(AD75="",0,5))=0,"",(IF(T75="",0,T75*5)+IF(V75="",0,V75*5)+IF(X75="",0,X75*4)+IF(Z75="",0,Z75*4)+IF(AB75="",0,AB75*4)+IF(AD75="",0,AD75*5))/27)</f>
        <v/>
      </c>
      <c r="AG75" s="11">
        <f>IF(OR(City_Inputs!$Y75="",Norm_Stats!$F$13="",Norm_Stats!$G$13="",Norm_Stats!$G$13=Norm_Stats!$F$13),"",MAX(0,MIN(100,100*(MIN(MAX(City_Inputs!$Y75,Norm_Stats!$F$13),Norm_Stats!$G$13)-Norm_Stats!$F$13)/(Norm_Stats!$G$13-Norm_Stats!$F$13))))</f>
        <v/>
      </c>
      <c r="AH75" s="14">
        <f>IF(AG75="","",1)</f>
        <v/>
      </c>
      <c r="AI75" s="11">
        <f>IF(OR(City_Inputs!$Z75="",Norm_Stats!$F$14="",Norm_Stats!$G$14="",Norm_Stats!$G$14=Norm_Stats!$F$14),"",MAX(0,MIN(100,100*(MIN(MAX(City_Inputs!$Z75,Norm_Stats!$F$14),Norm_Stats!$G$14)-Norm_Stats!$F$14)/(Norm_Stats!$G$14-Norm_Stats!$F$14))))</f>
        <v/>
      </c>
      <c r="AJ75" s="14">
        <f>IF(AI75="","",1)</f>
        <v/>
      </c>
      <c r="AK75" s="11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(IF(OR(City_Inputs!$AA75="",Norm_Stats!$F$15="",Norm_Stats!$G$15="",Norm_Stats!$G$15=Norm_Stats!$F$15),"",MAX(0,MIN(100,100*(MIN(MAX(City_Inputs!$AA75,Norm_Stats!$F$15),Norm_Stats!$G$15)-Norm_Stats!$F$15)/(Norm_Stats!$G$15-Norm_Stats!$F$15)))))*0.7)+IF((IF(OR(City_Inputs!$AL75="",Norm_Stats!$F$16="",Norm_Stats!$G$16="",Norm_Stats!$G$16=Norm_Stats!$F$16),"",MAX(0,MIN(100,100*(Norm_Stats!$G$16-MIN(MAX(City_Inputs!$AL75,Norm_Stats!$F$16),Norm_Stats!$G$16))/(Norm_Stats!$G$16-Norm_Stats!$F$16)))))="",0,(IF(OR(City_Inputs!$AL75="",Norm_Stats!$F$16="",Norm_Stats!$G$16="",Norm_Stats!$G$16=Norm_Stats!$F$16),"",MAX(0,MIN(100,100*(Norm_Stats!$G$16-MIN(MAX(City_Inputs!$AL75,Norm_Stats!$F$16),Norm_Stats!$G$16))/(Norm_Stats!$G$16-Norm_Stats!$F$16)))))*0.3))/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L75" s="14">
        <f>IF(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=0,"",(IF((IF(OR(City_Inputs!$AA75="",Norm_Stats!$F$15="",Norm_Stats!$G$15="",Norm_Stats!$G$15=Norm_Stats!$F$15),"",MAX(0,MIN(100,100*(MIN(MAX(City_Inputs!$AA75,Norm_Stats!$F$15),Norm_Stats!$G$15)-Norm_Stats!$F$15)/(Norm_Stats!$G$15-Norm_Stats!$F$15)))))="",0,0.7)+IF((IF(OR(City_Inputs!$AL75="",Norm_Stats!$F$16="",Norm_Stats!$G$16="",Norm_Stats!$G$16=Norm_Stats!$F$16),"",MAX(0,MIN(100,100*(Norm_Stats!$G$16-MIN(MAX(City_Inputs!$AL75,Norm_Stats!$F$16),Norm_Stats!$G$16))/(Norm_Stats!$G$16-Norm_Stats!$F$16)))))="",0,0.3)))</f>
        <v/>
      </c>
      <c r="AM75" s="15">
        <f>IF((IF(AG75="",0,8)+IF(AI75="",0,6)+IF(AK75="",0,4))=0,"",(IF(AG75="",0,AG75*8)+IF(AI75="",0,AI75*6)+IF(AK75="",0,AK75*4))/(IF(AG75="",0,8)+IF(AI75="",0,6)+IF(AK75="",0,4)))</f>
        <v/>
      </c>
      <c r="AN75" s="14">
        <f>IF((IF(AH75="",0,8)+IF(AJ75="",0,6)+IF(AL75="",0,4))=0,"",(IF(AH75="",0,AH75*8)+IF(AJ75="",0,AJ75*6)+IF(AL75="",0,AL75*4))/18)</f>
        <v/>
      </c>
      <c r="AO75" s="11">
        <f>IF(OR(City_Inputs!$AB75="",Norm_Stats!$F$17="",Norm_Stats!$G$17="",Norm_Stats!$G$17=Norm_Stats!$F$17),"",MAX(0,MIN(100,100*(MIN(MAX(City_Inputs!$AB75,Norm_Stats!$F$17),Norm_Stats!$G$17)-Norm_Stats!$F$17)/(Norm_Stats!$G$17-Norm_Stats!$F$17))))</f>
        <v/>
      </c>
      <c r="AP75" s="14">
        <f>IF(AO75="","",1)</f>
        <v/>
      </c>
      <c r="AQ75" s="11">
        <f>IF(OR(City_Inputs!$AC75="",Norm_Stats!$F$18="",Norm_Stats!$G$18="",Norm_Stats!$G$18=Norm_Stats!$F$18),"",MAX(0,MIN(100,100*(MIN(MAX(City_Inputs!$AC75,Norm_Stats!$F$18),Norm_Stats!$G$18)-Norm_Stats!$F$18)/(Norm_Stats!$G$18-Norm_Stats!$F$18))))</f>
        <v/>
      </c>
      <c r="AR75" s="14">
        <f>IF(AQ75="","",1)</f>
        <v/>
      </c>
      <c r="AS75" s="11">
        <f>IF(OR(City_Inputs!$AD75="",Norm_Stats!$F$19="",Norm_Stats!$G$19="",Norm_Stats!$G$19=Norm_Stats!$F$19),"",MAX(0,MIN(100,100*(MIN(MAX(City_Inputs!$AD75,Norm_Stats!$F$19),Norm_Stats!$G$19)-Norm_Stats!$F$19)/(Norm_Stats!$G$19-Norm_Stats!$F$19))))</f>
        <v/>
      </c>
      <c r="AT75" s="14">
        <f>IF(AS75="","",1)</f>
        <v/>
      </c>
      <c r="AU75" s="11">
        <f>IF(OR(City_Inputs!$BJ75="",Norm_Stats!$F$26="",Norm_Stats!$G$26="",Norm_Stats!$G$26=Norm_Stats!$F$26),"",MAX(0,MIN(100,100*(MIN(MAX(City_Inputs!$BJ75,Norm_Stats!$F$26),Norm_Stats!$G$26)-Norm_Stats!$F$26)/(Norm_Stats!$G$26-Norm_Stats!$F$26))))</f>
        <v/>
      </c>
      <c r="AV75" s="11">
        <f>IF(AU75="","",1)</f>
        <v/>
      </c>
      <c r="AW75" s="15">
        <f>IF((IF(AO75="",0,5)+IF(AQ75="",0,5)+IF(AS75="",0,5)+IF(AU75="",0,4))=0,"",(IF(AO75="",0,AO75*5)+IF(AQ75="",0,AQ75*5)+IF(AS75="",0,AS75*5)+IF(AU75="",0,AU75*4))/(IF(AO75="",0,5)+IF(AQ75="",0,5)+IF(AS75="",0,5)+IF(AU75="",0,4)))</f>
        <v/>
      </c>
      <c r="AX75" s="14">
        <f>IF((IF(AP75="",0,5)+IF(AR75="",0,5)+IF(AT75="",0,5)+IF(AV75="",0,4))=0,"",(IF(AP75="",0,AP75*5)+IF(AR75="",0,AR75*5)+IF(AT75="",0,AT75*5)+IF(AV75="",0,AV75*4))/19)</f>
        <v/>
      </c>
      <c r="AY75" s="11">
        <f>IF(OR(City_Inputs!$AE75="",Norm_Stats!$F$20="",Norm_Stats!$G$20="",Norm_Stats!$G$20=Norm_Stats!$F$20),"",MAX(0,MIN(100,100*(MIN(MAX(City_Inputs!$AE75,Norm_Stats!$F$20),Norm_Stats!$G$20)-Norm_Stats!$F$20)/(Norm_Stats!$G$20-Norm_Stats!$F$20))))</f>
        <v/>
      </c>
      <c r="AZ75" s="14">
        <f>IF(AY75="","",1)</f>
        <v/>
      </c>
      <c r="BA75" s="11">
        <f>IF(OR(City_Inputs!$AF75="",Norm_Stats!$F$21="",Norm_Stats!$G$21="",Norm_Stats!$G$21=Norm_Stats!$F$21),"",MAX(0,MIN(100,100*(MIN(MAX(City_Inputs!$AF75,Norm_Stats!$F$21),Norm_Stats!$G$21)-Norm_Stats!$F$21)/(Norm_Stats!$G$21-Norm_Stats!$F$21))))</f>
        <v/>
      </c>
      <c r="BB75" s="14">
        <f>IF(BA75="","",1)</f>
        <v/>
      </c>
      <c r="BC75" s="11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(IF(OR(City_Inputs!$AG75="",Norm_Stats!$F$22="",Norm_Stats!$G$22="",Norm_Stats!$G$22=Norm_Stats!$F$22),"",MAX(0,MIN(100,100*(MIN(MAX(City_Inputs!$AG75,Norm_Stats!$F$22),Norm_Stats!$G$22)-Norm_Stats!$F$22)/(Norm_Stats!$G$22-Norm_Stats!$F$22)))))*0.5)+IF((IF(OR(City_Inputs!$AJ75="",Norm_Stats!$F$23="",Norm_Stats!$G$23="",Norm_Stats!$G$23=Norm_Stats!$F$23),"",MAX(0,MIN(100,100*(MIN(MAX(City_Inputs!$AJ75,Norm_Stats!$F$23),Norm_Stats!$G$23)-Norm_Stats!$F$23)/(Norm_Stats!$G$23-Norm_Stats!$F$23)))))="",0,(IF(OR(City_Inputs!$AJ75="",Norm_Stats!$F$23="",Norm_Stats!$G$23="",Norm_Stats!$G$23=Norm_Stats!$F$23),"",MAX(0,MIN(100,100*(MIN(MAX(City_Inputs!$AJ75,Norm_Stats!$F$23),Norm_Stats!$G$23)-Norm_Stats!$F$23)/(Norm_Stats!$G$23-Norm_Stats!$F$23)))))*0.3)+IF((IF(OR(City_Inputs!$AK75="",Norm_Stats!$F$24="",Norm_Stats!$G$24="",Norm_Stats!$G$24=Norm_Stats!$F$24),"",MAX(0,MIN(100,100*(MIN(MAX(City_Inputs!$AK75,Norm_Stats!$F$24),Norm_Stats!$G$24)-Norm_Stats!$F$24)/(Norm_Stats!$G$24-Norm_Stats!$F$24)))))="",0,(IF(OR(City_Inputs!$AK75="",Norm_Stats!$F$24="",Norm_Stats!$G$24="",Norm_Stats!$G$24=Norm_Stats!$F$24),"",MAX(0,MIN(100,100*(MIN(MAX(City_Inputs!$AK75,Norm_Stats!$F$24),Norm_Stats!$G$24)-Norm_Stats!$F$24)/(Norm_Stats!$G$24-Norm_Stats!$F$24)))))*0.2))/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D75" s="14">
        <f>IF(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=0,"",(IF((IF(OR(City_Inputs!$AG75="",Norm_Stats!$F$22="",Norm_Stats!$G$22="",Norm_Stats!$G$22=Norm_Stats!$F$22),"",MAX(0,MIN(100,100*(MIN(MAX(City_Inputs!$AG75,Norm_Stats!$F$22),Norm_Stats!$G$22)-Norm_Stats!$F$22)/(Norm_Stats!$G$22-Norm_Stats!$F$22)))))="",0,0.5)+IF((IF(OR(City_Inputs!$AJ75="",Norm_Stats!$F$23="",Norm_Stats!$G$23="",Norm_Stats!$G$23=Norm_Stats!$F$23),"",MAX(0,MIN(100,100*(MIN(MAX(City_Inputs!$AJ75,Norm_Stats!$F$23),Norm_Stats!$G$23)-Norm_Stats!$F$23)/(Norm_Stats!$G$23-Norm_Stats!$F$23)))))="",0,0.3)+IF((IF(OR(City_Inputs!$AK75="",Norm_Stats!$F$24="",Norm_Stats!$G$24="",Norm_Stats!$G$24=Norm_Stats!$F$24),"",MAX(0,MIN(100,100*(MIN(MAX(City_Inputs!$AK75,Norm_Stats!$F$24),Norm_Stats!$G$24)-Norm_Stats!$F$24)/(Norm_Stats!$G$24-Norm_Stats!$F$24)))))="",0,0.2)))</f>
        <v/>
      </c>
      <c r="BE75" s="11">
        <f>IF(OR(City_Inputs!$AH75="",Norm_Stats!$F$25="",Norm_Stats!$G$25="",Norm_Stats!$G$25=Norm_Stats!$F$25),"",MAX(0,MIN(100,100*(Norm_Stats!$G$25-MIN(MAX(City_Inputs!$AH75,Norm_Stats!$F$25),Norm_Stats!$G$25))/(Norm_Stats!$G$25-Norm_Stats!$F$25))))</f>
        <v/>
      </c>
      <c r="BF75" s="14">
        <f>IF(BE75="","",1)</f>
        <v/>
      </c>
      <c r="BG75" s="15">
        <f>IF((IF(AY75="",0,6)+IF(BA75="",0,5)+IF(BC75="",0,5)+IF(BE75="",0,4))=0,"",(IF(AY75="",0,AY75*6)+IF(BA75="",0,BA75*5)+IF(BC75="",0,BC75*5)+IF(BE75="",0,BE75*4))/(IF(AY75="",0,6)+IF(BA75="",0,5)+IF(BC75="",0,5)+IF(BE75="",0,4)))</f>
        <v/>
      </c>
      <c r="BH75" s="14">
        <f>IF((IF(AZ75="",0,6)+IF(BB75="",0,5)+IF(BD75="",0,5)+IF(BF75="",0,4))=0,"",(IF(AZ75="",0,AZ75*6)+IF(BB75="",0,BB75*5)+IF(BD75="",0,BD75*5)+IF(BF75="",0,BF75*4))/20)</f>
        <v/>
      </c>
      <c r="BI75" s="14">
        <f>IF(AND(R75="",AF75="",AN75="",AX75="",BH75=""),"",((R75*25)+(AF75*22)+(AN75*18)+(AX75*15)+(BH75*20))/100)</f>
        <v/>
      </c>
      <c r="BJ75" s="11">
        <f>IF(BI75="","",IF(BI75&gt;=0.75,"A",IF(BI75&gt;=0.5,"B",IF(BI75&gt;=0.35,"C","Watchlist"))))</f>
        <v/>
      </c>
      <c r="BK75" s="11">
        <f>IF(OR(BI75="",BI75&lt;0.5,R75="",R75&lt;0.35,AF75="",AF75&lt;0.35,AN75="",AN75&lt;0.35,AX75="",AX75&lt;0.35,BH75="",BH75&lt;0.35),"Watchlist","Ranked")</f>
        <v/>
      </c>
      <c r="BL75" s="15">
        <f>IF(AND(Q75="",AE75="",AM75="",AW75="",BG75=""),"",(IF(Q75="",0,Q75*25)+IF(AE75="",0,AE75*22)+IF(AM75="",0,AM75*18)+IF(AW75="",0,AW75*15)+IF(BG75="",0,BG75*20))/(IF(Q75="",0,25)+IF(AE75="",0,22)+IF(AM75="",0,18)+IF(AW75="",0,15)+IF(BG75="",0,20)))</f>
        <v/>
      </c>
      <c r="BM75" s="11">
        <f>IF(BK75="Ranked",1+COUNTIFS($BK$2:$BK$158,"Ranked",$BL$2:$BL$158,"&gt;"&amp;BL75),"")</f>
        <v/>
      </c>
      <c r="BN75" s="11">
        <f>City_Inputs!$AI75</f>
        <v/>
      </c>
    </row>
    <row r="76">
      <c r="A76" t="inlineStr">
        <is>
          <t>br-curitiba</t>
        </is>
      </c>
      <c r="B76" t="inlineStr">
        <is>
          <t>Curitiba</t>
        </is>
      </c>
      <c r="C76" t="inlineStr">
        <is>
          <t>Brazil</t>
        </is>
      </c>
      <c r="D76" t="inlineStr">
        <is>
          <t>Latin America</t>
        </is>
      </c>
      <c r="E76" t="inlineStr">
        <is>
          <t>locked</t>
        </is>
      </c>
      <c r="F76" t="inlineStr">
        <is>
          <t>secondary</t>
        </is>
      </c>
      <c r="G76" s="11">
        <f>IF(OR(City_Inputs!$M76="",Norm_Stats!$F$2="",Norm_Stats!$G$2="",Norm_Stats!$G$2=Norm_Stats!$F$2),"",MAX(0,MIN(100,100*(MIN(MAX(City_Inputs!$M76,Norm_Stats!$F$2),Norm_Stats!$G$2)-Norm_Stats!$F$2)/(Norm_Stats!$G$2-Norm_Stats!$F$2))))</f>
        <v/>
      </c>
      <c r="H76" s="14">
        <f>IF(G76="","",1)</f>
        <v/>
      </c>
      <c r="I76" s="11">
        <f>IF(OR(City_Inputs!$N76="",Norm_Stats!$F$3="",Norm_Stats!$G$3="",Norm_Stats!$G$3=Norm_Stats!$F$3),"",MAX(0,MIN(100,100*(Norm_Stats!$G$3-MIN(MAX(City_Inputs!$N76,Norm_Stats!$F$3),Norm_Stats!$G$3))/(Norm_Stats!$G$3-Norm_Stats!$F$3))))</f>
        <v/>
      </c>
      <c r="J76" s="14">
        <f>IF(I76="","",1)</f>
        <v/>
      </c>
      <c r="K76" s="11">
        <f>IF(OR(City_Inputs!$P76="",Norm_Stats!$F$4="",Norm_Stats!$G$4="",Norm_Stats!$G$4=Norm_Stats!$F$4),"",MAX(0,MIN(100,100*(Norm_Stats!$G$4-MIN(MAX(City_Inputs!$P76,Norm_Stats!$F$4),Norm_Stats!$G$4))/(Norm_Stats!$G$4-Norm_Stats!$F$4))))</f>
        <v/>
      </c>
      <c r="L76" s="14">
        <f>IF(K76="","",1)</f>
        <v/>
      </c>
      <c r="M76" s="11">
        <f>IF(OR(City_Inputs!$Q76="",Norm_Stats!$F$5="",Norm_Stats!$G$5="",Norm_Stats!$G$5=Norm_Stats!$F$5),"",MAX(0,MIN(100,100*(Norm_Stats!$G$5-MIN(MAX(City_Inputs!$Q76,Norm_Stats!$F$5),Norm_Stats!$G$5))/(Norm_Stats!$G$5-Norm_Stats!$F$5))))</f>
        <v/>
      </c>
      <c r="N76" s="14">
        <f>IF(M76="","",1)</f>
        <v/>
      </c>
      <c r="O76" s="11">
        <f>IF(OR(City_Inputs!$R76="",Norm_Stats!$F$6="",Norm_Stats!$G$6="",Norm_Stats!$G$6=Norm_Stats!$F$6),"",MAX(0,MIN(100,100*(Norm_Stats!$G$6-MIN(MAX(City_Inputs!$R76,Norm_Stats!$F$6),Norm_Stats!$G$6))/(Norm_Stats!$G$6-Norm_Stats!$F$6))))</f>
        <v/>
      </c>
      <c r="P76" s="14">
        <f>IF(O76="","",1)</f>
        <v/>
      </c>
      <c r="Q76" s="15">
        <f>IF((IF(G76="",0,9)+IF(I76="",0,5)+IF(K76="",0,4)+IF(M76="",0,4)+IF(O76="",0,5))=0,"",(IF(G76="",0,G76*9)+IF(I76="",0,I76*5)+IF(K76="",0,K76*4)+IF(M76="",0,M76*4)+IF(O76="",0,O76*5))/(IF(G76="",0,9)+IF(I76="",0,5)+IF(K76="",0,4)+IF(M76="",0,4)+IF(O76="",0,5)))</f>
        <v/>
      </c>
      <c r="R76" s="14">
        <f>IF((IF(H76="",0,9)+IF(J76="",0,5)+IF(L76="",0,4)+IF(N76="",0,4)+IF(P76="",0,5))=0,"",(IF(H76="",0,H76*9)+IF(J76="",0,J76*5)+IF(L76="",0,L76*4)+IF(N76="",0,N76*4)+IF(P76="",0,P76*5))/27)</f>
        <v/>
      </c>
      <c r="S76" s="11">
        <f>IF(OR(City_Inputs!$S76="",Norm_Stats!$F$7="",Norm_Stats!$G$7="",Norm_Stats!$G$7=Norm_Stats!$F$7),"",MAX(0,MIN(100,100*(Norm_Stats!$G$7-MIN(MAX(City_Inputs!$S76,Norm_Stats!$F$7),Norm_Stats!$G$7))/(Norm_Stats!$G$7-Norm_Stats!$F$7))))</f>
        <v/>
      </c>
      <c r="T76" s="14">
        <f>IF(S76="","",1)</f>
        <v/>
      </c>
      <c r="U76" s="11">
        <f>IF(OR(City_Inputs!$T76="",Norm_Stats!$F$8="",Norm_Stats!$G$8="",Norm_Stats!$G$8=Norm_Stats!$F$8),"",MAX(0,MIN(100,100*(MIN(MAX(City_Inputs!$T76,Norm_Stats!$F$8),Norm_Stats!$G$8)-Norm_Stats!$F$8)/(Norm_Stats!$G$8-Norm_Stats!$F$8))))</f>
        <v/>
      </c>
      <c r="V76" s="14">
        <f>IF(U76="","",1)</f>
        <v/>
      </c>
      <c r="W76" s="11">
        <f>IF(OR(City_Inputs!$U76="",Norm_Stats!$F$9="",Norm_Stats!$G$9="",Norm_Stats!$G$9=Norm_Stats!$F$9),"",MAX(0,MIN(100,100*(Norm_Stats!$G$9-MIN(MAX(City_Inputs!$U76,Norm_Stats!$F$9),Norm_Stats!$G$9))/(Norm_Stats!$G$9-Norm_Stats!$F$9))))</f>
        <v/>
      </c>
      <c r="X76" s="14">
        <f>IF(W76="","",1)</f>
        <v/>
      </c>
      <c r="Y76" s="11">
        <f>IF(OR(City_Inputs!$V76="",Norm_Stats!$F$10="",Norm_Stats!$G$10="",Norm_Stats!$G$10=Norm_Stats!$F$10),"",MAX(0,MIN(100,100*(MIN(MAX(City_Inputs!$V76,Norm_Stats!$F$10),Norm_Stats!$G$10)-Norm_Stats!$F$10)/(Norm_Stats!$G$10-Norm_Stats!$F$10))))</f>
        <v/>
      </c>
      <c r="Z76" s="14">
        <f>IF(Y76="","",1)</f>
        <v/>
      </c>
      <c r="AA76" s="11">
        <f>IF(OR(City_Inputs!$W76="",Norm_Stats!$F$11="",Norm_Stats!$G$11="",Norm_Stats!$G$11=Norm_Stats!$F$11),"",MAX(0,MIN(100,100*(MIN(MAX(City_Inputs!$W76,Norm_Stats!$F$11),Norm_Stats!$G$11)-Norm_Stats!$F$11)/(Norm_Stats!$G$11-Norm_Stats!$F$11))))</f>
        <v/>
      </c>
      <c r="AB76" s="14">
        <f>IF(AA76="","",1)</f>
        <v/>
      </c>
      <c r="AC76" s="11">
        <f>IF(OR(City_Inputs!$X76="",Norm_Stats!$F$12="",Norm_Stats!$G$12="",Norm_Stats!$G$12=Norm_Stats!$F$12),"",MAX(0,MIN(100,100*(MIN(MAX(City_Inputs!$X76,Norm_Stats!$F$12),Norm_Stats!$G$12)-Norm_Stats!$F$12)/(Norm_Stats!$G$12-Norm_Stats!$F$12))))</f>
        <v/>
      </c>
      <c r="AD76" s="11">
        <f>IF(AC76="","",1)</f>
        <v/>
      </c>
      <c r="AE76" s="15">
        <f>IF((IF(S76="",0,5)+IF(U76="",0,5)+IF(W76="",0,4)+IF(Y76="",0,4)+IF(AA76="",0,4)+IF(AC76="",0,5))=0,"",(IF(S76="",0,S76*5)+IF(U76="",0,U76*5)+IF(W76="",0,W76*4)+IF(Y76="",0,Y76*4)+IF(AA76="",0,AA76*4)+IF(AC76="",0,AC76*5))/(IF(S76="",0,5)+IF(U76="",0,5)+IF(W76="",0,4)+IF(Y76="",0,4)+IF(AA76="",0,4)+IF(AC76="",0,5)))</f>
        <v/>
      </c>
      <c r="AF76" s="14">
        <f>IF((IF(T76="",0,5)+IF(V76="",0,5)+IF(X76="",0,4)+IF(Z76="",0,4)+IF(AB76="",0,4)+IF(AD76="",0,5))=0,"",(IF(T76="",0,T76*5)+IF(V76="",0,V76*5)+IF(X76="",0,X76*4)+IF(Z76="",0,Z76*4)+IF(AB76="",0,AB76*4)+IF(AD76="",0,AD76*5))/27)</f>
        <v/>
      </c>
      <c r="AG76" s="11">
        <f>IF(OR(City_Inputs!$Y76="",Norm_Stats!$F$13="",Norm_Stats!$G$13="",Norm_Stats!$G$13=Norm_Stats!$F$13),"",MAX(0,MIN(100,100*(MIN(MAX(City_Inputs!$Y76,Norm_Stats!$F$13),Norm_Stats!$G$13)-Norm_Stats!$F$13)/(Norm_Stats!$G$13-Norm_Stats!$F$13))))</f>
        <v/>
      </c>
      <c r="AH76" s="14">
        <f>IF(AG76="","",1)</f>
        <v/>
      </c>
      <c r="AI76" s="11">
        <f>IF(OR(City_Inputs!$Z76="",Norm_Stats!$F$14="",Norm_Stats!$G$14="",Norm_Stats!$G$14=Norm_Stats!$F$14),"",MAX(0,MIN(100,100*(MIN(MAX(City_Inputs!$Z76,Norm_Stats!$F$14),Norm_Stats!$G$14)-Norm_Stats!$F$14)/(Norm_Stats!$G$14-Norm_Stats!$F$14))))</f>
        <v/>
      </c>
      <c r="AJ76" s="14">
        <f>IF(AI76="","",1)</f>
        <v/>
      </c>
      <c r="AK76" s="11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(IF(OR(City_Inputs!$AA76="",Norm_Stats!$F$15="",Norm_Stats!$G$15="",Norm_Stats!$G$15=Norm_Stats!$F$15),"",MAX(0,MIN(100,100*(MIN(MAX(City_Inputs!$AA76,Norm_Stats!$F$15),Norm_Stats!$G$15)-Norm_Stats!$F$15)/(Norm_Stats!$G$15-Norm_Stats!$F$15)))))*0.7)+IF((IF(OR(City_Inputs!$AL76="",Norm_Stats!$F$16="",Norm_Stats!$G$16="",Norm_Stats!$G$16=Norm_Stats!$F$16),"",MAX(0,MIN(100,100*(Norm_Stats!$G$16-MIN(MAX(City_Inputs!$AL76,Norm_Stats!$F$16),Norm_Stats!$G$16))/(Norm_Stats!$G$16-Norm_Stats!$F$16)))))="",0,(IF(OR(City_Inputs!$AL76="",Norm_Stats!$F$16="",Norm_Stats!$G$16="",Norm_Stats!$G$16=Norm_Stats!$F$16),"",MAX(0,MIN(100,100*(Norm_Stats!$G$16-MIN(MAX(City_Inputs!$AL76,Norm_Stats!$F$16),Norm_Stats!$G$16))/(Norm_Stats!$G$16-Norm_Stats!$F$16)))))*0.3))/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L76" s="14">
        <f>IF(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=0,"",(IF((IF(OR(City_Inputs!$AA76="",Norm_Stats!$F$15="",Norm_Stats!$G$15="",Norm_Stats!$G$15=Norm_Stats!$F$15),"",MAX(0,MIN(100,100*(MIN(MAX(City_Inputs!$AA76,Norm_Stats!$F$15),Norm_Stats!$G$15)-Norm_Stats!$F$15)/(Norm_Stats!$G$15-Norm_Stats!$F$15)))))="",0,0.7)+IF((IF(OR(City_Inputs!$AL76="",Norm_Stats!$F$16="",Norm_Stats!$G$16="",Norm_Stats!$G$16=Norm_Stats!$F$16),"",MAX(0,MIN(100,100*(Norm_Stats!$G$16-MIN(MAX(City_Inputs!$AL76,Norm_Stats!$F$16),Norm_Stats!$G$16))/(Norm_Stats!$G$16-Norm_Stats!$F$16)))))="",0,0.3)))</f>
        <v/>
      </c>
      <c r="AM76" s="15">
        <f>IF((IF(AG76="",0,8)+IF(AI76="",0,6)+IF(AK76="",0,4))=0,"",(IF(AG76="",0,AG76*8)+IF(AI76="",0,AI76*6)+IF(AK76="",0,AK76*4))/(IF(AG76="",0,8)+IF(AI76="",0,6)+IF(AK76="",0,4)))</f>
        <v/>
      </c>
      <c r="AN76" s="14">
        <f>IF((IF(AH76="",0,8)+IF(AJ76="",0,6)+IF(AL76="",0,4))=0,"",(IF(AH76="",0,AH76*8)+IF(AJ76="",0,AJ76*6)+IF(AL76="",0,AL76*4))/18)</f>
        <v/>
      </c>
      <c r="AO76" s="11">
        <f>IF(OR(City_Inputs!$AB76="",Norm_Stats!$F$17="",Norm_Stats!$G$17="",Norm_Stats!$G$17=Norm_Stats!$F$17),"",MAX(0,MIN(100,100*(MIN(MAX(City_Inputs!$AB76,Norm_Stats!$F$17),Norm_Stats!$G$17)-Norm_Stats!$F$17)/(Norm_Stats!$G$17-Norm_Stats!$F$17))))</f>
        <v/>
      </c>
      <c r="AP76" s="14">
        <f>IF(AO76="","",1)</f>
        <v/>
      </c>
      <c r="AQ76" s="11">
        <f>IF(OR(City_Inputs!$AC76="",Norm_Stats!$F$18="",Norm_Stats!$G$18="",Norm_Stats!$G$18=Norm_Stats!$F$18),"",MAX(0,MIN(100,100*(MIN(MAX(City_Inputs!$AC76,Norm_Stats!$F$18),Norm_Stats!$G$18)-Norm_Stats!$F$18)/(Norm_Stats!$G$18-Norm_Stats!$F$18))))</f>
        <v/>
      </c>
      <c r="AR76" s="14">
        <f>IF(AQ76="","",1)</f>
        <v/>
      </c>
      <c r="AS76" s="11">
        <f>IF(OR(City_Inputs!$AD76="",Norm_Stats!$F$19="",Norm_Stats!$G$19="",Norm_Stats!$G$19=Norm_Stats!$F$19),"",MAX(0,MIN(100,100*(MIN(MAX(City_Inputs!$AD76,Norm_Stats!$F$19),Norm_Stats!$G$19)-Norm_Stats!$F$19)/(Norm_Stats!$G$19-Norm_Stats!$F$19))))</f>
        <v/>
      </c>
      <c r="AT76" s="14">
        <f>IF(AS76="","",1)</f>
        <v/>
      </c>
      <c r="AU76" s="11">
        <f>IF(OR(City_Inputs!$BJ76="",Norm_Stats!$F$26="",Norm_Stats!$G$26="",Norm_Stats!$G$26=Norm_Stats!$F$26),"",MAX(0,MIN(100,100*(MIN(MAX(City_Inputs!$BJ76,Norm_Stats!$F$26),Norm_Stats!$G$26)-Norm_Stats!$F$26)/(Norm_Stats!$G$26-Norm_Stats!$F$26))))</f>
        <v/>
      </c>
      <c r="AV76" s="11">
        <f>IF(AU76="","",1)</f>
        <v/>
      </c>
      <c r="AW76" s="15">
        <f>IF((IF(AO76="",0,5)+IF(AQ76="",0,5)+IF(AS76="",0,5)+IF(AU76="",0,4))=0,"",(IF(AO76="",0,AO76*5)+IF(AQ76="",0,AQ76*5)+IF(AS76="",0,AS76*5)+IF(AU76="",0,AU76*4))/(IF(AO76="",0,5)+IF(AQ76="",0,5)+IF(AS76="",0,5)+IF(AU76="",0,4)))</f>
        <v/>
      </c>
      <c r="AX76" s="14">
        <f>IF((IF(AP76="",0,5)+IF(AR76="",0,5)+IF(AT76="",0,5)+IF(AV76="",0,4))=0,"",(IF(AP76="",0,AP76*5)+IF(AR76="",0,AR76*5)+IF(AT76="",0,AT76*5)+IF(AV76="",0,AV76*4))/19)</f>
        <v/>
      </c>
      <c r="AY76" s="11">
        <f>IF(OR(City_Inputs!$AE76="",Norm_Stats!$F$20="",Norm_Stats!$G$20="",Norm_Stats!$G$20=Norm_Stats!$F$20),"",MAX(0,MIN(100,100*(MIN(MAX(City_Inputs!$AE76,Norm_Stats!$F$20),Norm_Stats!$G$20)-Norm_Stats!$F$20)/(Norm_Stats!$G$20-Norm_Stats!$F$20))))</f>
        <v/>
      </c>
      <c r="AZ76" s="14">
        <f>IF(AY76="","",1)</f>
        <v/>
      </c>
      <c r="BA76" s="11">
        <f>IF(OR(City_Inputs!$AF76="",Norm_Stats!$F$21="",Norm_Stats!$G$21="",Norm_Stats!$G$21=Norm_Stats!$F$21),"",MAX(0,MIN(100,100*(MIN(MAX(City_Inputs!$AF76,Norm_Stats!$F$21),Norm_Stats!$G$21)-Norm_Stats!$F$21)/(Norm_Stats!$G$21-Norm_Stats!$F$21))))</f>
        <v/>
      </c>
      <c r="BB76" s="14">
        <f>IF(BA76="","",1)</f>
        <v/>
      </c>
      <c r="BC76" s="11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(IF(OR(City_Inputs!$AG76="",Norm_Stats!$F$22="",Norm_Stats!$G$22="",Norm_Stats!$G$22=Norm_Stats!$F$22),"",MAX(0,MIN(100,100*(MIN(MAX(City_Inputs!$AG76,Norm_Stats!$F$22),Norm_Stats!$G$22)-Norm_Stats!$F$22)/(Norm_Stats!$G$22-Norm_Stats!$F$22)))))*0.5)+IF((IF(OR(City_Inputs!$AJ76="",Norm_Stats!$F$23="",Norm_Stats!$G$23="",Norm_Stats!$G$23=Norm_Stats!$F$23),"",MAX(0,MIN(100,100*(MIN(MAX(City_Inputs!$AJ76,Norm_Stats!$F$23),Norm_Stats!$G$23)-Norm_Stats!$F$23)/(Norm_Stats!$G$23-Norm_Stats!$F$23)))))="",0,(IF(OR(City_Inputs!$AJ76="",Norm_Stats!$F$23="",Norm_Stats!$G$23="",Norm_Stats!$G$23=Norm_Stats!$F$23),"",MAX(0,MIN(100,100*(MIN(MAX(City_Inputs!$AJ76,Norm_Stats!$F$23),Norm_Stats!$G$23)-Norm_Stats!$F$23)/(Norm_Stats!$G$23-Norm_Stats!$F$23)))))*0.3)+IF((IF(OR(City_Inputs!$AK76="",Norm_Stats!$F$24="",Norm_Stats!$G$24="",Norm_Stats!$G$24=Norm_Stats!$F$24),"",MAX(0,MIN(100,100*(MIN(MAX(City_Inputs!$AK76,Norm_Stats!$F$24),Norm_Stats!$G$24)-Norm_Stats!$F$24)/(Norm_Stats!$G$24-Norm_Stats!$F$24)))))="",0,(IF(OR(City_Inputs!$AK76="",Norm_Stats!$F$24="",Norm_Stats!$G$24="",Norm_Stats!$G$24=Norm_Stats!$F$24),"",MAX(0,MIN(100,100*(MIN(MAX(City_Inputs!$AK76,Norm_Stats!$F$24),Norm_Stats!$G$24)-Norm_Stats!$F$24)/(Norm_Stats!$G$24-Norm_Stats!$F$24)))))*0.2))/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D76" s="14">
        <f>IF(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=0,"",(IF((IF(OR(City_Inputs!$AG76="",Norm_Stats!$F$22="",Norm_Stats!$G$22="",Norm_Stats!$G$22=Norm_Stats!$F$22),"",MAX(0,MIN(100,100*(MIN(MAX(City_Inputs!$AG76,Norm_Stats!$F$22),Norm_Stats!$G$22)-Norm_Stats!$F$22)/(Norm_Stats!$G$22-Norm_Stats!$F$22)))))="",0,0.5)+IF((IF(OR(City_Inputs!$AJ76="",Norm_Stats!$F$23="",Norm_Stats!$G$23="",Norm_Stats!$G$23=Norm_Stats!$F$23),"",MAX(0,MIN(100,100*(MIN(MAX(City_Inputs!$AJ76,Norm_Stats!$F$23),Norm_Stats!$G$23)-Norm_Stats!$F$23)/(Norm_Stats!$G$23-Norm_Stats!$F$23)))))="",0,0.3)+IF((IF(OR(City_Inputs!$AK76="",Norm_Stats!$F$24="",Norm_Stats!$G$24="",Norm_Stats!$G$24=Norm_Stats!$F$24),"",MAX(0,MIN(100,100*(MIN(MAX(City_Inputs!$AK76,Norm_Stats!$F$24),Norm_Stats!$G$24)-Norm_Stats!$F$24)/(Norm_Stats!$G$24-Norm_Stats!$F$24)))))="",0,0.2)))</f>
        <v/>
      </c>
      <c r="BE76" s="11">
        <f>IF(OR(City_Inputs!$AH76="",Norm_Stats!$F$25="",Norm_Stats!$G$25="",Norm_Stats!$G$25=Norm_Stats!$F$25),"",MAX(0,MIN(100,100*(Norm_Stats!$G$25-MIN(MAX(City_Inputs!$AH76,Norm_Stats!$F$25),Norm_Stats!$G$25))/(Norm_Stats!$G$25-Norm_Stats!$F$25))))</f>
        <v/>
      </c>
      <c r="BF76" s="14">
        <f>IF(BE76="","",1)</f>
        <v/>
      </c>
      <c r="BG76" s="15">
        <f>IF((IF(AY76="",0,6)+IF(BA76="",0,5)+IF(BC76="",0,5)+IF(BE76="",0,4))=0,"",(IF(AY76="",0,AY76*6)+IF(BA76="",0,BA76*5)+IF(BC76="",0,BC76*5)+IF(BE76="",0,BE76*4))/(IF(AY76="",0,6)+IF(BA76="",0,5)+IF(BC76="",0,5)+IF(BE76="",0,4)))</f>
        <v/>
      </c>
      <c r="BH76" s="14">
        <f>IF((IF(AZ76="",0,6)+IF(BB76="",0,5)+IF(BD76="",0,5)+IF(BF76="",0,4))=0,"",(IF(AZ76="",0,AZ76*6)+IF(BB76="",0,BB76*5)+IF(BD76="",0,BD76*5)+IF(BF76="",0,BF76*4))/20)</f>
        <v/>
      </c>
      <c r="BI76" s="14">
        <f>IF(AND(R76="",AF76="",AN76="",AX76="",BH76=""),"",((R76*25)+(AF76*22)+(AN76*18)+(AX76*15)+(BH76*20))/100)</f>
        <v/>
      </c>
      <c r="BJ76" s="11">
        <f>IF(BI76="","",IF(BI76&gt;=0.75,"A",IF(BI76&gt;=0.5,"B",IF(BI76&gt;=0.35,"C","Watchlist"))))</f>
        <v/>
      </c>
      <c r="BK76" s="11">
        <f>IF(OR(BI76="",BI76&lt;0.5,R76="",R76&lt;0.35,AF76="",AF76&lt;0.35,AN76="",AN76&lt;0.35,AX76="",AX76&lt;0.35,BH76="",BH76&lt;0.35),"Watchlist","Ranked")</f>
        <v/>
      </c>
      <c r="BL76" s="15">
        <f>IF(AND(Q76="",AE76="",AM76="",AW76="",BG76=""),"",(IF(Q76="",0,Q76*25)+IF(AE76="",0,AE76*22)+IF(AM76="",0,AM76*18)+IF(AW76="",0,AW76*15)+IF(BG76="",0,BG76*20))/(IF(Q76="",0,25)+IF(AE76="",0,22)+IF(AM76="",0,18)+IF(AW76="",0,15)+IF(BG76="",0,20)))</f>
        <v/>
      </c>
      <c r="BM76" s="11">
        <f>IF(BK76="Ranked",1+COUNTIFS($BK$2:$BK$158,"Ranked",$BL$2:$BL$158,"&gt;"&amp;BL76),"")</f>
        <v/>
      </c>
      <c r="BN76" s="11">
        <f>City_Inputs!$AI76</f>
        <v/>
      </c>
    </row>
    <row r="77">
      <c r="A77" t="inlineStr">
        <is>
          <t>co-medellin</t>
        </is>
      </c>
      <c r="B77" t="inlineStr">
        <is>
          <t>Medellin</t>
        </is>
      </c>
      <c r="C77" t="inlineStr">
        <is>
          <t>Colombia</t>
        </is>
      </c>
      <c r="D77" t="inlineStr">
        <is>
          <t>Latin America</t>
        </is>
      </c>
      <c r="E77" t="inlineStr">
        <is>
          <t>locked</t>
        </is>
      </c>
      <c r="F77" t="inlineStr">
        <is>
          <t>secondary</t>
        </is>
      </c>
      <c r="G77" s="11">
        <f>IF(OR(City_Inputs!$M77="",Norm_Stats!$F$2="",Norm_Stats!$G$2="",Norm_Stats!$G$2=Norm_Stats!$F$2),"",MAX(0,MIN(100,100*(MIN(MAX(City_Inputs!$M77,Norm_Stats!$F$2),Norm_Stats!$G$2)-Norm_Stats!$F$2)/(Norm_Stats!$G$2-Norm_Stats!$F$2))))</f>
        <v/>
      </c>
      <c r="H77" s="14">
        <f>IF(G77="","",1)</f>
        <v/>
      </c>
      <c r="I77" s="11">
        <f>IF(OR(City_Inputs!$N77="",Norm_Stats!$F$3="",Norm_Stats!$G$3="",Norm_Stats!$G$3=Norm_Stats!$F$3),"",MAX(0,MIN(100,100*(Norm_Stats!$G$3-MIN(MAX(City_Inputs!$N77,Norm_Stats!$F$3),Norm_Stats!$G$3))/(Norm_Stats!$G$3-Norm_Stats!$F$3))))</f>
        <v/>
      </c>
      <c r="J77" s="14">
        <f>IF(I77="","",1)</f>
        <v/>
      </c>
      <c r="K77" s="11">
        <f>IF(OR(City_Inputs!$P77="",Norm_Stats!$F$4="",Norm_Stats!$G$4="",Norm_Stats!$G$4=Norm_Stats!$F$4),"",MAX(0,MIN(100,100*(Norm_Stats!$G$4-MIN(MAX(City_Inputs!$P77,Norm_Stats!$F$4),Norm_Stats!$G$4))/(Norm_Stats!$G$4-Norm_Stats!$F$4))))</f>
        <v/>
      </c>
      <c r="L77" s="14">
        <f>IF(K77="","",1)</f>
        <v/>
      </c>
      <c r="M77" s="11">
        <f>IF(OR(City_Inputs!$Q77="",Norm_Stats!$F$5="",Norm_Stats!$G$5="",Norm_Stats!$G$5=Norm_Stats!$F$5),"",MAX(0,MIN(100,100*(Norm_Stats!$G$5-MIN(MAX(City_Inputs!$Q77,Norm_Stats!$F$5),Norm_Stats!$G$5))/(Norm_Stats!$G$5-Norm_Stats!$F$5))))</f>
        <v/>
      </c>
      <c r="N77" s="14">
        <f>IF(M77="","",1)</f>
        <v/>
      </c>
      <c r="O77" s="11">
        <f>IF(OR(City_Inputs!$R77="",Norm_Stats!$F$6="",Norm_Stats!$G$6="",Norm_Stats!$G$6=Norm_Stats!$F$6),"",MAX(0,MIN(100,100*(Norm_Stats!$G$6-MIN(MAX(City_Inputs!$R77,Norm_Stats!$F$6),Norm_Stats!$G$6))/(Norm_Stats!$G$6-Norm_Stats!$F$6))))</f>
        <v/>
      </c>
      <c r="P77" s="14">
        <f>IF(O77="","",1)</f>
        <v/>
      </c>
      <c r="Q77" s="15">
        <f>IF((IF(G77="",0,9)+IF(I77="",0,5)+IF(K77="",0,4)+IF(M77="",0,4)+IF(O77="",0,5))=0,"",(IF(G77="",0,G77*9)+IF(I77="",0,I77*5)+IF(K77="",0,K77*4)+IF(M77="",0,M77*4)+IF(O77="",0,O77*5))/(IF(G77="",0,9)+IF(I77="",0,5)+IF(K77="",0,4)+IF(M77="",0,4)+IF(O77="",0,5)))</f>
        <v/>
      </c>
      <c r="R77" s="14">
        <f>IF((IF(H77="",0,9)+IF(J77="",0,5)+IF(L77="",0,4)+IF(N77="",0,4)+IF(P77="",0,5))=0,"",(IF(H77="",0,H77*9)+IF(J77="",0,J77*5)+IF(L77="",0,L77*4)+IF(N77="",0,N77*4)+IF(P77="",0,P77*5))/27)</f>
        <v/>
      </c>
      <c r="S77" s="11">
        <f>IF(OR(City_Inputs!$S77="",Norm_Stats!$F$7="",Norm_Stats!$G$7="",Norm_Stats!$G$7=Norm_Stats!$F$7),"",MAX(0,MIN(100,100*(Norm_Stats!$G$7-MIN(MAX(City_Inputs!$S77,Norm_Stats!$F$7),Norm_Stats!$G$7))/(Norm_Stats!$G$7-Norm_Stats!$F$7))))</f>
        <v/>
      </c>
      <c r="T77" s="14">
        <f>IF(S77="","",1)</f>
        <v/>
      </c>
      <c r="U77" s="11">
        <f>IF(OR(City_Inputs!$T77="",Norm_Stats!$F$8="",Norm_Stats!$G$8="",Norm_Stats!$G$8=Norm_Stats!$F$8),"",MAX(0,MIN(100,100*(MIN(MAX(City_Inputs!$T77,Norm_Stats!$F$8),Norm_Stats!$G$8)-Norm_Stats!$F$8)/(Norm_Stats!$G$8-Norm_Stats!$F$8))))</f>
        <v/>
      </c>
      <c r="V77" s="14">
        <f>IF(U77="","",1)</f>
        <v/>
      </c>
      <c r="W77" s="11">
        <f>IF(OR(City_Inputs!$U77="",Norm_Stats!$F$9="",Norm_Stats!$G$9="",Norm_Stats!$G$9=Norm_Stats!$F$9),"",MAX(0,MIN(100,100*(Norm_Stats!$G$9-MIN(MAX(City_Inputs!$U77,Norm_Stats!$F$9),Norm_Stats!$G$9))/(Norm_Stats!$G$9-Norm_Stats!$F$9))))</f>
        <v/>
      </c>
      <c r="X77" s="14">
        <f>IF(W77="","",1)</f>
        <v/>
      </c>
      <c r="Y77" s="11">
        <f>IF(OR(City_Inputs!$V77="",Norm_Stats!$F$10="",Norm_Stats!$G$10="",Norm_Stats!$G$10=Norm_Stats!$F$10),"",MAX(0,MIN(100,100*(MIN(MAX(City_Inputs!$V77,Norm_Stats!$F$10),Norm_Stats!$G$10)-Norm_Stats!$F$10)/(Norm_Stats!$G$10-Norm_Stats!$F$10))))</f>
        <v/>
      </c>
      <c r="Z77" s="14">
        <f>IF(Y77="","",1)</f>
        <v/>
      </c>
      <c r="AA77" s="11">
        <f>IF(OR(City_Inputs!$W77="",Norm_Stats!$F$11="",Norm_Stats!$G$11="",Norm_Stats!$G$11=Norm_Stats!$F$11),"",MAX(0,MIN(100,100*(MIN(MAX(City_Inputs!$W77,Norm_Stats!$F$11),Norm_Stats!$G$11)-Norm_Stats!$F$11)/(Norm_Stats!$G$11-Norm_Stats!$F$11))))</f>
        <v/>
      </c>
      <c r="AB77" s="14">
        <f>IF(AA77="","",1)</f>
        <v/>
      </c>
      <c r="AC77" s="11">
        <f>IF(OR(City_Inputs!$X77="",Norm_Stats!$F$12="",Norm_Stats!$G$12="",Norm_Stats!$G$12=Norm_Stats!$F$12),"",MAX(0,MIN(100,100*(MIN(MAX(City_Inputs!$X77,Norm_Stats!$F$12),Norm_Stats!$G$12)-Norm_Stats!$F$12)/(Norm_Stats!$G$12-Norm_Stats!$F$12))))</f>
        <v/>
      </c>
      <c r="AD77" s="11">
        <f>IF(AC77="","",1)</f>
        <v/>
      </c>
      <c r="AE77" s="15">
        <f>IF((IF(S77="",0,5)+IF(U77="",0,5)+IF(W77="",0,4)+IF(Y77="",0,4)+IF(AA77="",0,4)+IF(AC77="",0,5))=0,"",(IF(S77="",0,S77*5)+IF(U77="",0,U77*5)+IF(W77="",0,W77*4)+IF(Y77="",0,Y77*4)+IF(AA77="",0,AA77*4)+IF(AC77="",0,AC77*5))/(IF(S77="",0,5)+IF(U77="",0,5)+IF(W77="",0,4)+IF(Y77="",0,4)+IF(AA77="",0,4)+IF(AC77="",0,5)))</f>
        <v/>
      </c>
      <c r="AF77" s="14">
        <f>IF((IF(T77="",0,5)+IF(V77="",0,5)+IF(X77="",0,4)+IF(Z77="",0,4)+IF(AB77="",0,4)+IF(AD77="",0,5))=0,"",(IF(T77="",0,T77*5)+IF(V77="",0,V77*5)+IF(X77="",0,X77*4)+IF(Z77="",0,Z77*4)+IF(AB77="",0,AB77*4)+IF(AD77="",0,AD77*5))/27)</f>
        <v/>
      </c>
      <c r="AG77" s="11">
        <f>IF(OR(City_Inputs!$Y77="",Norm_Stats!$F$13="",Norm_Stats!$G$13="",Norm_Stats!$G$13=Norm_Stats!$F$13),"",MAX(0,MIN(100,100*(MIN(MAX(City_Inputs!$Y77,Norm_Stats!$F$13),Norm_Stats!$G$13)-Norm_Stats!$F$13)/(Norm_Stats!$G$13-Norm_Stats!$F$13))))</f>
        <v/>
      </c>
      <c r="AH77" s="14">
        <f>IF(AG77="","",1)</f>
        <v/>
      </c>
      <c r="AI77" s="11">
        <f>IF(OR(City_Inputs!$Z77="",Norm_Stats!$F$14="",Norm_Stats!$G$14="",Norm_Stats!$G$14=Norm_Stats!$F$14),"",MAX(0,MIN(100,100*(MIN(MAX(City_Inputs!$Z77,Norm_Stats!$F$14),Norm_Stats!$G$14)-Norm_Stats!$F$14)/(Norm_Stats!$G$14-Norm_Stats!$F$14))))</f>
        <v/>
      </c>
      <c r="AJ77" s="14">
        <f>IF(AI77="","",1)</f>
        <v/>
      </c>
      <c r="AK77" s="11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(IF(OR(City_Inputs!$AA77="",Norm_Stats!$F$15="",Norm_Stats!$G$15="",Norm_Stats!$G$15=Norm_Stats!$F$15),"",MAX(0,MIN(100,100*(MIN(MAX(City_Inputs!$AA77,Norm_Stats!$F$15),Norm_Stats!$G$15)-Norm_Stats!$F$15)/(Norm_Stats!$G$15-Norm_Stats!$F$15)))))*0.7)+IF((IF(OR(City_Inputs!$AL77="",Norm_Stats!$F$16="",Norm_Stats!$G$16="",Norm_Stats!$G$16=Norm_Stats!$F$16),"",MAX(0,MIN(100,100*(Norm_Stats!$G$16-MIN(MAX(City_Inputs!$AL77,Norm_Stats!$F$16),Norm_Stats!$G$16))/(Norm_Stats!$G$16-Norm_Stats!$F$16)))))="",0,(IF(OR(City_Inputs!$AL77="",Norm_Stats!$F$16="",Norm_Stats!$G$16="",Norm_Stats!$G$16=Norm_Stats!$F$16),"",MAX(0,MIN(100,100*(Norm_Stats!$G$16-MIN(MAX(City_Inputs!$AL77,Norm_Stats!$F$16),Norm_Stats!$G$16))/(Norm_Stats!$G$16-Norm_Stats!$F$16)))))*0.3))/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L77" s="14">
        <f>IF(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=0,"",(IF((IF(OR(City_Inputs!$AA77="",Norm_Stats!$F$15="",Norm_Stats!$G$15="",Norm_Stats!$G$15=Norm_Stats!$F$15),"",MAX(0,MIN(100,100*(MIN(MAX(City_Inputs!$AA77,Norm_Stats!$F$15),Norm_Stats!$G$15)-Norm_Stats!$F$15)/(Norm_Stats!$G$15-Norm_Stats!$F$15)))))="",0,0.7)+IF((IF(OR(City_Inputs!$AL77="",Norm_Stats!$F$16="",Norm_Stats!$G$16="",Norm_Stats!$G$16=Norm_Stats!$F$16),"",MAX(0,MIN(100,100*(Norm_Stats!$G$16-MIN(MAX(City_Inputs!$AL77,Norm_Stats!$F$16),Norm_Stats!$G$16))/(Norm_Stats!$G$16-Norm_Stats!$F$16)))))="",0,0.3)))</f>
        <v/>
      </c>
      <c r="AM77" s="15">
        <f>IF((IF(AG77="",0,8)+IF(AI77="",0,6)+IF(AK77="",0,4))=0,"",(IF(AG77="",0,AG77*8)+IF(AI77="",0,AI77*6)+IF(AK77="",0,AK77*4))/(IF(AG77="",0,8)+IF(AI77="",0,6)+IF(AK77="",0,4)))</f>
        <v/>
      </c>
      <c r="AN77" s="14">
        <f>IF((IF(AH77="",0,8)+IF(AJ77="",0,6)+IF(AL77="",0,4))=0,"",(IF(AH77="",0,AH77*8)+IF(AJ77="",0,AJ77*6)+IF(AL77="",0,AL77*4))/18)</f>
        <v/>
      </c>
      <c r="AO77" s="11">
        <f>IF(OR(City_Inputs!$AB77="",Norm_Stats!$F$17="",Norm_Stats!$G$17="",Norm_Stats!$G$17=Norm_Stats!$F$17),"",MAX(0,MIN(100,100*(MIN(MAX(City_Inputs!$AB77,Norm_Stats!$F$17),Norm_Stats!$G$17)-Norm_Stats!$F$17)/(Norm_Stats!$G$17-Norm_Stats!$F$17))))</f>
        <v/>
      </c>
      <c r="AP77" s="14">
        <f>IF(AO77="","",1)</f>
        <v/>
      </c>
      <c r="AQ77" s="11">
        <f>IF(OR(City_Inputs!$AC77="",Norm_Stats!$F$18="",Norm_Stats!$G$18="",Norm_Stats!$G$18=Norm_Stats!$F$18),"",MAX(0,MIN(100,100*(MIN(MAX(City_Inputs!$AC77,Norm_Stats!$F$18),Norm_Stats!$G$18)-Norm_Stats!$F$18)/(Norm_Stats!$G$18-Norm_Stats!$F$18))))</f>
        <v/>
      </c>
      <c r="AR77" s="14">
        <f>IF(AQ77="","",1)</f>
        <v/>
      </c>
      <c r="AS77" s="11">
        <f>IF(OR(City_Inputs!$AD77="",Norm_Stats!$F$19="",Norm_Stats!$G$19="",Norm_Stats!$G$19=Norm_Stats!$F$19),"",MAX(0,MIN(100,100*(MIN(MAX(City_Inputs!$AD77,Norm_Stats!$F$19),Norm_Stats!$G$19)-Norm_Stats!$F$19)/(Norm_Stats!$G$19-Norm_Stats!$F$19))))</f>
        <v/>
      </c>
      <c r="AT77" s="14">
        <f>IF(AS77="","",1)</f>
        <v/>
      </c>
      <c r="AU77" s="11">
        <f>IF(OR(City_Inputs!$BJ77="",Norm_Stats!$F$26="",Norm_Stats!$G$26="",Norm_Stats!$G$26=Norm_Stats!$F$26),"",MAX(0,MIN(100,100*(MIN(MAX(City_Inputs!$BJ77,Norm_Stats!$F$26),Norm_Stats!$G$26)-Norm_Stats!$F$26)/(Norm_Stats!$G$26-Norm_Stats!$F$26))))</f>
        <v/>
      </c>
      <c r="AV77" s="11">
        <f>IF(AU77="","",1)</f>
        <v/>
      </c>
      <c r="AW77" s="15">
        <f>IF((IF(AO77="",0,5)+IF(AQ77="",0,5)+IF(AS77="",0,5)+IF(AU77="",0,4))=0,"",(IF(AO77="",0,AO77*5)+IF(AQ77="",0,AQ77*5)+IF(AS77="",0,AS77*5)+IF(AU77="",0,AU77*4))/(IF(AO77="",0,5)+IF(AQ77="",0,5)+IF(AS77="",0,5)+IF(AU77="",0,4)))</f>
        <v/>
      </c>
      <c r="AX77" s="14">
        <f>IF((IF(AP77="",0,5)+IF(AR77="",0,5)+IF(AT77="",0,5)+IF(AV77="",0,4))=0,"",(IF(AP77="",0,AP77*5)+IF(AR77="",0,AR77*5)+IF(AT77="",0,AT77*5)+IF(AV77="",0,AV77*4))/19)</f>
        <v/>
      </c>
      <c r="AY77" s="11">
        <f>IF(OR(City_Inputs!$AE77="",Norm_Stats!$F$20="",Norm_Stats!$G$20="",Norm_Stats!$G$20=Norm_Stats!$F$20),"",MAX(0,MIN(100,100*(MIN(MAX(City_Inputs!$AE77,Norm_Stats!$F$20),Norm_Stats!$G$20)-Norm_Stats!$F$20)/(Norm_Stats!$G$20-Norm_Stats!$F$20))))</f>
        <v/>
      </c>
      <c r="AZ77" s="14">
        <f>IF(AY77="","",1)</f>
        <v/>
      </c>
      <c r="BA77" s="11">
        <f>IF(OR(City_Inputs!$AF77="",Norm_Stats!$F$21="",Norm_Stats!$G$21="",Norm_Stats!$G$21=Norm_Stats!$F$21),"",MAX(0,MIN(100,100*(MIN(MAX(City_Inputs!$AF77,Norm_Stats!$F$21),Norm_Stats!$G$21)-Norm_Stats!$F$21)/(Norm_Stats!$G$21-Norm_Stats!$F$21))))</f>
        <v/>
      </c>
      <c r="BB77" s="14">
        <f>IF(BA77="","",1)</f>
        <v/>
      </c>
      <c r="BC77" s="11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(IF(OR(City_Inputs!$AG77="",Norm_Stats!$F$22="",Norm_Stats!$G$22="",Norm_Stats!$G$22=Norm_Stats!$F$22),"",MAX(0,MIN(100,100*(MIN(MAX(City_Inputs!$AG77,Norm_Stats!$F$22),Norm_Stats!$G$22)-Norm_Stats!$F$22)/(Norm_Stats!$G$22-Norm_Stats!$F$22)))))*0.5)+IF((IF(OR(City_Inputs!$AJ77="",Norm_Stats!$F$23="",Norm_Stats!$G$23="",Norm_Stats!$G$23=Norm_Stats!$F$23),"",MAX(0,MIN(100,100*(MIN(MAX(City_Inputs!$AJ77,Norm_Stats!$F$23),Norm_Stats!$G$23)-Norm_Stats!$F$23)/(Norm_Stats!$G$23-Norm_Stats!$F$23)))))="",0,(IF(OR(City_Inputs!$AJ77="",Norm_Stats!$F$23="",Norm_Stats!$G$23="",Norm_Stats!$G$23=Norm_Stats!$F$23),"",MAX(0,MIN(100,100*(MIN(MAX(City_Inputs!$AJ77,Norm_Stats!$F$23),Norm_Stats!$G$23)-Norm_Stats!$F$23)/(Norm_Stats!$G$23-Norm_Stats!$F$23)))))*0.3)+IF((IF(OR(City_Inputs!$AK77="",Norm_Stats!$F$24="",Norm_Stats!$G$24="",Norm_Stats!$G$24=Norm_Stats!$F$24),"",MAX(0,MIN(100,100*(MIN(MAX(City_Inputs!$AK77,Norm_Stats!$F$24),Norm_Stats!$G$24)-Norm_Stats!$F$24)/(Norm_Stats!$G$24-Norm_Stats!$F$24)))))="",0,(IF(OR(City_Inputs!$AK77="",Norm_Stats!$F$24="",Norm_Stats!$G$24="",Norm_Stats!$G$24=Norm_Stats!$F$24),"",MAX(0,MIN(100,100*(MIN(MAX(City_Inputs!$AK77,Norm_Stats!$F$24),Norm_Stats!$G$24)-Norm_Stats!$F$24)/(Norm_Stats!$G$24-Norm_Stats!$F$24)))))*0.2))/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D77" s="14">
        <f>IF(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=0,"",(IF((IF(OR(City_Inputs!$AG77="",Norm_Stats!$F$22="",Norm_Stats!$G$22="",Norm_Stats!$G$22=Norm_Stats!$F$22),"",MAX(0,MIN(100,100*(MIN(MAX(City_Inputs!$AG77,Norm_Stats!$F$22),Norm_Stats!$G$22)-Norm_Stats!$F$22)/(Norm_Stats!$G$22-Norm_Stats!$F$22)))))="",0,0.5)+IF((IF(OR(City_Inputs!$AJ77="",Norm_Stats!$F$23="",Norm_Stats!$G$23="",Norm_Stats!$G$23=Norm_Stats!$F$23),"",MAX(0,MIN(100,100*(MIN(MAX(City_Inputs!$AJ77,Norm_Stats!$F$23),Norm_Stats!$G$23)-Norm_Stats!$F$23)/(Norm_Stats!$G$23-Norm_Stats!$F$23)))))="",0,0.3)+IF((IF(OR(City_Inputs!$AK77="",Norm_Stats!$F$24="",Norm_Stats!$G$24="",Norm_Stats!$G$24=Norm_Stats!$F$24),"",MAX(0,MIN(100,100*(MIN(MAX(City_Inputs!$AK77,Norm_Stats!$F$24),Norm_Stats!$G$24)-Norm_Stats!$F$24)/(Norm_Stats!$G$24-Norm_Stats!$F$24)))))="",0,0.2)))</f>
        <v/>
      </c>
      <c r="BE77" s="11">
        <f>IF(OR(City_Inputs!$AH77="",Norm_Stats!$F$25="",Norm_Stats!$G$25="",Norm_Stats!$G$25=Norm_Stats!$F$25),"",MAX(0,MIN(100,100*(Norm_Stats!$G$25-MIN(MAX(City_Inputs!$AH77,Norm_Stats!$F$25),Norm_Stats!$G$25))/(Norm_Stats!$G$25-Norm_Stats!$F$25))))</f>
        <v/>
      </c>
      <c r="BF77" s="14">
        <f>IF(BE77="","",1)</f>
        <v/>
      </c>
      <c r="BG77" s="15">
        <f>IF((IF(AY77="",0,6)+IF(BA77="",0,5)+IF(BC77="",0,5)+IF(BE77="",0,4))=0,"",(IF(AY77="",0,AY77*6)+IF(BA77="",0,BA77*5)+IF(BC77="",0,BC77*5)+IF(BE77="",0,BE77*4))/(IF(AY77="",0,6)+IF(BA77="",0,5)+IF(BC77="",0,5)+IF(BE77="",0,4)))</f>
        <v/>
      </c>
      <c r="BH77" s="14">
        <f>IF((IF(AZ77="",0,6)+IF(BB77="",0,5)+IF(BD77="",0,5)+IF(BF77="",0,4))=0,"",(IF(AZ77="",0,AZ77*6)+IF(BB77="",0,BB77*5)+IF(BD77="",0,BD77*5)+IF(BF77="",0,BF77*4))/20)</f>
        <v/>
      </c>
      <c r="BI77" s="14">
        <f>IF(AND(R77="",AF77="",AN77="",AX77="",BH77=""),"",((R77*25)+(AF77*22)+(AN77*18)+(AX77*15)+(BH77*20))/100)</f>
        <v/>
      </c>
      <c r="BJ77" s="11">
        <f>IF(BI77="","",IF(BI77&gt;=0.75,"A",IF(BI77&gt;=0.5,"B",IF(BI77&gt;=0.35,"C","Watchlist"))))</f>
        <v/>
      </c>
      <c r="BK77" s="11">
        <f>IF(OR(BI77="",BI77&lt;0.5,R77="",R77&lt;0.35,AF77="",AF77&lt;0.35,AN77="",AN77&lt;0.35,AX77="",AX77&lt;0.35,BH77="",BH77&lt;0.35),"Watchlist","Ranked")</f>
        <v/>
      </c>
      <c r="BL77" s="15">
        <f>IF(AND(Q77="",AE77="",AM77="",AW77="",BG77=""),"",(IF(Q77="",0,Q77*25)+IF(AE77="",0,AE77*22)+IF(AM77="",0,AM77*18)+IF(AW77="",0,AW77*15)+IF(BG77="",0,BG77*20))/(IF(Q77="",0,25)+IF(AE77="",0,22)+IF(AM77="",0,18)+IF(AW77="",0,15)+IF(BG77="",0,20)))</f>
        <v/>
      </c>
      <c r="BM77" s="11">
        <f>IF(BK77="Ranked",1+COUNTIFS($BK$2:$BK$158,"Ranked",$BL$2:$BL$158,"&gt;"&amp;BL77),"")</f>
        <v/>
      </c>
      <c r="BN77" s="11">
        <f>City_Inputs!$AI77</f>
        <v/>
      </c>
    </row>
    <row r="78">
      <c r="A78" t="inlineStr">
        <is>
          <t>uy-montevideo</t>
        </is>
      </c>
      <c r="B78" t="inlineStr">
        <is>
          <t>Montevideo</t>
        </is>
      </c>
      <c r="C78" t="inlineStr">
        <is>
          <t>Uruguay</t>
        </is>
      </c>
      <c r="D78" t="inlineStr">
        <is>
          <t>Latin America</t>
        </is>
      </c>
      <c r="E78" t="inlineStr">
        <is>
          <t>locked</t>
        </is>
      </c>
      <c r="F78" t="inlineStr">
        <is>
          <t>secondary</t>
        </is>
      </c>
      <c r="G78" s="11">
        <f>IF(OR(City_Inputs!$M78="",Norm_Stats!$F$2="",Norm_Stats!$G$2="",Norm_Stats!$G$2=Norm_Stats!$F$2),"",MAX(0,MIN(100,100*(MIN(MAX(City_Inputs!$M78,Norm_Stats!$F$2),Norm_Stats!$G$2)-Norm_Stats!$F$2)/(Norm_Stats!$G$2-Norm_Stats!$F$2))))</f>
        <v/>
      </c>
      <c r="H78" s="14">
        <f>IF(G78="","",1)</f>
        <v/>
      </c>
      <c r="I78" s="11">
        <f>IF(OR(City_Inputs!$N78="",Norm_Stats!$F$3="",Norm_Stats!$G$3="",Norm_Stats!$G$3=Norm_Stats!$F$3),"",MAX(0,MIN(100,100*(Norm_Stats!$G$3-MIN(MAX(City_Inputs!$N78,Norm_Stats!$F$3),Norm_Stats!$G$3))/(Norm_Stats!$G$3-Norm_Stats!$F$3))))</f>
        <v/>
      </c>
      <c r="J78" s="14">
        <f>IF(I78="","",1)</f>
        <v/>
      </c>
      <c r="K78" s="11">
        <f>IF(OR(City_Inputs!$P78="",Norm_Stats!$F$4="",Norm_Stats!$G$4="",Norm_Stats!$G$4=Norm_Stats!$F$4),"",MAX(0,MIN(100,100*(Norm_Stats!$G$4-MIN(MAX(City_Inputs!$P78,Norm_Stats!$F$4),Norm_Stats!$G$4))/(Norm_Stats!$G$4-Norm_Stats!$F$4))))</f>
        <v/>
      </c>
      <c r="L78" s="14">
        <f>IF(K78="","",1)</f>
        <v/>
      </c>
      <c r="M78" s="11">
        <f>IF(OR(City_Inputs!$Q78="",Norm_Stats!$F$5="",Norm_Stats!$G$5="",Norm_Stats!$G$5=Norm_Stats!$F$5),"",MAX(0,MIN(100,100*(Norm_Stats!$G$5-MIN(MAX(City_Inputs!$Q78,Norm_Stats!$F$5),Norm_Stats!$G$5))/(Norm_Stats!$G$5-Norm_Stats!$F$5))))</f>
        <v/>
      </c>
      <c r="N78" s="14">
        <f>IF(M78="","",1)</f>
        <v/>
      </c>
      <c r="O78" s="11">
        <f>IF(OR(City_Inputs!$R78="",Norm_Stats!$F$6="",Norm_Stats!$G$6="",Norm_Stats!$G$6=Norm_Stats!$F$6),"",MAX(0,MIN(100,100*(Norm_Stats!$G$6-MIN(MAX(City_Inputs!$R78,Norm_Stats!$F$6),Norm_Stats!$G$6))/(Norm_Stats!$G$6-Norm_Stats!$F$6))))</f>
        <v/>
      </c>
      <c r="P78" s="14">
        <f>IF(O78="","",1)</f>
        <v/>
      </c>
      <c r="Q78" s="15">
        <f>IF((IF(G78="",0,9)+IF(I78="",0,5)+IF(K78="",0,4)+IF(M78="",0,4)+IF(O78="",0,5))=0,"",(IF(G78="",0,G78*9)+IF(I78="",0,I78*5)+IF(K78="",0,K78*4)+IF(M78="",0,M78*4)+IF(O78="",0,O78*5))/(IF(G78="",0,9)+IF(I78="",0,5)+IF(K78="",0,4)+IF(M78="",0,4)+IF(O78="",0,5)))</f>
        <v/>
      </c>
      <c r="R78" s="14">
        <f>IF((IF(H78="",0,9)+IF(J78="",0,5)+IF(L78="",0,4)+IF(N78="",0,4)+IF(P78="",0,5))=0,"",(IF(H78="",0,H78*9)+IF(J78="",0,J78*5)+IF(L78="",0,L78*4)+IF(N78="",0,N78*4)+IF(P78="",0,P78*5))/27)</f>
        <v/>
      </c>
      <c r="S78" s="11">
        <f>IF(OR(City_Inputs!$S78="",Norm_Stats!$F$7="",Norm_Stats!$G$7="",Norm_Stats!$G$7=Norm_Stats!$F$7),"",MAX(0,MIN(100,100*(Norm_Stats!$G$7-MIN(MAX(City_Inputs!$S78,Norm_Stats!$F$7),Norm_Stats!$G$7))/(Norm_Stats!$G$7-Norm_Stats!$F$7))))</f>
        <v/>
      </c>
      <c r="T78" s="14">
        <f>IF(S78="","",1)</f>
        <v/>
      </c>
      <c r="U78" s="11">
        <f>IF(OR(City_Inputs!$T78="",Norm_Stats!$F$8="",Norm_Stats!$G$8="",Norm_Stats!$G$8=Norm_Stats!$F$8),"",MAX(0,MIN(100,100*(MIN(MAX(City_Inputs!$T78,Norm_Stats!$F$8),Norm_Stats!$G$8)-Norm_Stats!$F$8)/(Norm_Stats!$G$8-Norm_Stats!$F$8))))</f>
        <v/>
      </c>
      <c r="V78" s="14">
        <f>IF(U78="","",1)</f>
        <v/>
      </c>
      <c r="W78" s="11">
        <f>IF(OR(City_Inputs!$U78="",Norm_Stats!$F$9="",Norm_Stats!$G$9="",Norm_Stats!$G$9=Norm_Stats!$F$9),"",MAX(0,MIN(100,100*(Norm_Stats!$G$9-MIN(MAX(City_Inputs!$U78,Norm_Stats!$F$9),Norm_Stats!$G$9))/(Norm_Stats!$G$9-Norm_Stats!$F$9))))</f>
        <v/>
      </c>
      <c r="X78" s="14">
        <f>IF(W78="","",1)</f>
        <v/>
      </c>
      <c r="Y78" s="11">
        <f>IF(OR(City_Inputs!$V78="",Norm_Stats!$F$10="",Norm_Stats!$G$10="",Norm_Stats!$G$10=Norm_Stats!$F$10),"",MAX(0,MIN(100,100*(MIN(MAX(City_Inputs!$V78,Norm_Stats!$F$10),Norm_Stats!$G$10)-Norm_Stats!$F$10)/(Norm_Stats!$G$10-Norm_Stats!$F$10))))</f>
        <v/>
      </c>
      <c r="Z78" s="14">
        <f>IF(Y78="","",1)</f>
        <v/>
      </c>
      <c r="AA78" s="11">
        <f>IF(OR(City_Inputs!$W78="",Norm_Stats!$F$11="",Norm_Stats!$G$11="",Norm_Stats!$G$11=Norm_Stats!$F$11),"",MAX(0,MIN(100,100*(MIN(MAX(City_Inputs!$W78,Norm_Stats!$F$11),Norm_Stats!$G$11)-Norm_Stats!$F$11)/(Norm_Stats!$G$11-Norm_Stats!$F$11))))</f>
        <v/>
      </c>
      <c r="AB78" s="14">
        <f>IF(AA78="","",1)</f>
        <v/>
      </c>
      <c r="AC78" s="11">
        <f>IF(OR(City_Inputs!$X78="",Norm_Stats!$F$12="",Norm_Stats!$G$12="",Norm_Stats!$G$12=Norm_Stats!$F$12),"",MAX(0,MIN(100,100*(MIN(MAX(City_Inputs!$X78,Norm_Stats!$F$12),Norm_Stats!$G$12)-Norm_Stats!$F$12)/(Norm_Stats!$G$12-Norm_Stats!$F$12))))</f>
        <v/>
      </c>
      <c r="AD78" s="11">
        <f>IF(AC78="","",1)</f>
        <v/>
      </c>
      <c r="AE78" s="15">
        <f>IF((IF(S78="",0,5)+IF(U78="",0,5)+IF(W78="",0,4)+IF(Y78="",0,4)+IF(AA78="",0,4)+IF(AC78="",0,5))=0,"",(IF(S78="",0,S78*5)+IF(U78="",0,U78*5)+IF(W78="",0,W78*4)+IF(Y78="",0,Y78*4)+IF(AA78="",0,AA78*4)+IF(AC78="",0,AC78*5))/(IF(S78="",0,5)+IF(U78="",0,5)+IF(W78="",0,4)+IF(Y78="",0,4)+IF(AA78="",0,4)+IF(AC78="",0,5)))</f>
        <v/>
      </c>
      <c r="AF78" s="14">
        <f>IF((IF(T78="",0,5)+IF(V78="",0,5)+IF(X78="",0,4)+IF(Z78="",0,4)+IF(AB78="",0,4)+IF(AD78="",0,5))=0,"",(IF(T78="",0,T78*5)+IF(V78="",0,V78*5)+IF(X78="",0,X78*4)+IF(Z78="",0,Z78*4)+IF(AB78="",0,AB78*4)+IF(AD78="",0,AD78*5))/27)</f>
        <v/>
      </c>
      <c r="AG78" s="11">
        <f>IF(OR(City_Inputs!$Y78="",Norm_Stats!$F$13="",Norm_Stats!$G$13="",Norm_Stats!$G$13=Norm_Stats!$F$13),"",MAX(0,MIN(100,100*(MIN(MAX(City_Inputs!$Y78,Norm_Stats!$F$13),Norm_Stats!$G$13)-Norm_Stats!$F$13)/(Norm_Stats!$G$13-Norm_Stats!$F$13))))</f>
        <v/>
      </c>
      <c r="AH78" s="14">
        <f>IF(AG78="","",1)</f>
        <v/>
      </c>
      <c r="AI78" s="11">
        <f>IF(OR(City_Inputs!$Z78="",Norm_Stats!$F$14="",Norm_Stats!$G$14="",Norm_Stats!$G$14=Norm_Stats!$F$14),"",MAX(0,MIN(100,100*(MIN(MAX(City_Inputs!$Z78,Norm_Stats!$F$14),Norm_Stats!$G$14)-Norm_Stats!$F$14)/(Norm_Stats!$G$14-Norm_Stats!$F$14))))</f>
        <v/>
      </c>
      <c r="AJ78" s="14">
        <f>IF(AI78="","",1)</f>
        <v/>
      </c>
      <c r="AK78" s="11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(IF(OR(City_Inputs!$AA78="",Norm_Stats!$F$15="",Norm_Stats!$G$15="",Norm_Stats!$G$15=Norm_Stats!$F$15),"",MAX(0,MIN(100,100*(MIN(MAX(City_Inputs!$AA78,Norm_Stats!$F$15),Norm_Stats!$G$15)-Norm_Stats!$F$15)/(Norm_Stats!$G$15-Norm_Stats!$F$15)))))*0.7)+IF((IF(OR(City_Inputs!$AL78="",Norm_Stats!$F$16="",Norm_Stats!$G$16="",Norm_Stats!$G$16=Norm_Stats!$F$16),"",MAX(0,MIN(100,100*(Norm_Stats!$G$16-MIN(MAX(City_Inputs!$AL78,Norm_Stats!$F$16),Norm_Stats!$G$16))/(Norm_Stats!$G$16-Norm_Stats!$F$16)))))="",0,(IF(OR(City_Inputs!$AL78="",Norm_Stats!$F$16="",Norm_Stats!$G$16="",Norm_Stats!$G$16=Norm_Stats!$F$16),"",MAX(0,MIN(100,100*(Norm_Stats!$G$16-MIN(MAX(City_Inputs!$AL78,Norm_Stats!$F$16),Norm_Stats!$G$16))/(Norm_Stats!$G$16-Norm_Stats!$F$16)))))*0.3))/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L78" s="14">
        <f>IF(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=0,"",(IF((IF(OR(City_Inputs!$AA78="",Norm_Stats!$F$15="",Norm_Stats!$G$15="",Norm_Stats!$G$15=Norm_Stats!$F$15),"",MAX(0,MIN(100,100*(MIN(MAX(City_Inputs!$AA78,Norm_Stats!$F$15),Norm_Stats!$G$15)-Norm_Stats!$F$15)/(Norm_Stats!$G$15-Norm_Stats!$F$15)))))="",0,0.7)+IF((IF(OR(City_Inputs!$AL78="",Norm_Stats!$F$16="",Norm_Stats!$G$16="",Norm_Stats!$G$16=Norm_Stats!$F$16),"",MAX(0,MIN(100,100*(Norm_Stats!$G$16-MIN(MAX(City_Inputs!$AL78,Norm_Stats!$F$16),Norm_Stats!$G$16))/(Norm_Stats!$G$16-Norm_Stats!$F$16)))))="",0,0.3)))</f>
        <v/>
      </c>
      <c r="AM78" s="15">
        <f>IF((IF(AG78="",0,8)+IF(AI78="",0,6)+IF(AK78="",0,4))=0,"",(IF(AG78="",0,AG78*8)+IF(AI78="",0,AI78*6)+IF(AK78="",0,AK78*4))/(IF(AG78="",0,8)+IF(AI78="",0,6)+IF(AK78="",0,4)))</f>
        <v/>
      </c>
      <c r="AN78" s="14">
        <f>IF((IF(AH78="",0,8)+IF(AJ78="",0,6)+IF(AL78="",0,4))=0,"",(IF(AH78="",0,AH78*8)+IF(AJ78="",0,AJ78*6)+IF(AL78="",0,AL78*4))/18)</f>
        <v/>
      </c>
      <c r="AO78" s="11">
        <f>IF(OR(City_Inputs!$AB78="",Norm_Stats!$F$17="",Norm_Stats!$G$17="",Norm_Stats!$G$17=Norm_Stats!$F$17),"",MAX(0,MIN(100,100*(MIN(MAX(City_Inputs!$AB78,Norm_Stats!$F$17),Norm_Stats!$G$17)-Norm_Stats!$F$17)/(Norm_Stats!$G$17-Norm_Stats!$F$17))))</f>
        <v/>
      </c>
      <c r="AP78" s="14">
        <f>IF(AO78="","",1)</f>
        <v/>
      </c>
      <c r="AQ78" s="11">
        <f>IF(OR(City_Inputs!$AC78="",Norm_Stats!$F$18="",Norm_Stats!$G$18="",Norm_Stats!$G$18=Norm_Stats!$F$18),"",MAX(0,MIN(100,100*(MIN(MAX(City_Inputs!$AC78,Norm_Stats!$F$18),Norm_Stats!$G$18)-Norm_Stats!$F$18)/(Norm_Stats!$G$18-Norm_Stats!$F$18))))</f>
        <v/>
      </c>
      <c r="AR78" s="14">
        <f>IF(AQ78="","",1)</f>
        <v/>
      </c>
      <c r="AS78" s="11">
        <f>IF(OR(City_Inputs!$AD78="",Norm_Stats!$F$19="",Norm_Stats!$G$19="",Norm_Stats!$G$19=Norm_Stats!$F$19),"",MAX(0,MIN(100,100*(MIN(MAX(City_Inputs!$AD78,Norm_Stats!$F$19),Norm_Stats!$G$19)-Norm_Stats!$F$19)/(Norm_Stats!$G$19-Norm_Stats!$F$19))))</f>
        <v/>
      </c>
      <c r="AT78" s="14">
        <f>IF(AS78="","",1)</f>
        <v/>
      </c>
      <c r="AU78" s="11">
        <f>IF(OR(City_Inputs!$BJ78="",Norm_Stats!$F$26="",Norm_Stats!$G$26="",Norm_Stats!$G$26=Norm_Stats!$F$26),"",MAX(0,MIN(100,100*(MIN(MAX(City_Inputs!$BJ78,Norm_Stats!$F$26),Norm_Stats!$G$26)-Norm_Stats!$F$26)/(Norm_Stats!$G$26-Norm_Stats!$F$26))))</f>
        <v/>
      </c>
      <c r="AV78" s="11">
        <f>IF(AU78="","",1)</f>
        <v/>
      </c>
      <c r="AW78" s="15">
        <f>IF((IF(AO78="",0,5)+IF(AQ78="",0,5)+IF(AS78="",0,5)+IF(AU78="",0,4))=0,"",(IF(AO78="",0,AO78*5)+IF(AQ78="",0,AQ78*5)+IF(AS78="",0,AS78*5)+IF(AU78="",0,AU78*4))/(IF(AO78="",0,5)+IF(AQ78="",0,5)+IF(AS78="",0,5)+IF(AU78="",0,4)))</f>
        <v/>
      </c>
      <c r="AX78" s="14">
        <f>IF((IF(AP78="",0,5)+IF(AR78="",0,5)+IF(AT78="",0,5)+IF(AV78="",0,4))=0,"",(IF(AP78="",0,AP78*5)+IF(AR78="",0,AR78*5)+IF(AT78="",0,AT78*5)+IF(AV78="",0,AV78*4))/19)</f>
        <v/>
      </c>
      <c r="AY78" s="11">
        <f>IF(OR(City_Inputs!$AE78="",Norm_Stats!$F$20="",Norm_Stats!$G$20="",Norm_Stats!$G$20=Norm_Stats!$F$20),"",MAX(0,MIN(100,100*(MIN(MAX(City_Inputs!$AE78,Norm_Stats!$F$20),Norm_Stats!$G$20)-Norm_Stats!$F$20)/(Norm_Stats!$G$20-Norm_Stats!$F$20))))</f>
        <v/>
      </c>
      <c r="AZ78" s="14">
        <f>IF(AY78="","",1)</f>
        <v/>
      </c>
      <c r="BA78" s="11">
        <f>IF(OR(City_Inputs!$AF78="",Norm_Stats!$F$21="",Norm_Stats!$G$21="",Norm_Stats!$G$21=Norm_Stats!$F$21),"",MAX(0,MIN(100,100*(MIN(MAX(City_Inputs!$AF78,Norm_Stats!$F$21),Norm_Stats!$G$21)-Norm_Stats!$F$21)/(Norm_Stats!$G$21-Norm_Stats!$F$21))))</f>
        <v/>
      </c>
      <c r="BB78" s="14">
        <f>IF(BA78="","",1)</f>
        <v/>
      </c>
      <c r="BC78" s="11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(IF(OR(City_Inputs!$AG78="",Norm_Stats!$F$22="",Norm_Stats!$G$22="",Norm_Stats!$G$22=Norm_Stats!$F$22),"",MAX(0,MIN(100,100*(MIN(MAX(City_Inputs!$AG78,Norm_Stats!$F$22),Norm_Stats!$G$22)-Norm_Stats!$F$22)/(Norm_Stats!$G$22-Norm_Stats!$F$22)))))*0.5)+IF((IF(OR(City_Inputs!$AJ78="",Norm_Stats!$F$23="",Norm_Stats!$G$23="",Norm_Stats!$G$23=Norm_Stats!$F$23),"",MAX(0,MIN(100,100*(MIN(MAX(City_Inputs!$AJ78,Norm_Stats!$F$23),Norm_Stats!$G$23)-Norm_Stats!$F$23)/(Norm_Stats!$G$23-Norm_Stats!$F$23)))))="",0,(IF(OR(City_Inputs!$AJ78="",Norm_Stats!$F$23="",Norm_Stats!$G$23="",Norm_Stats!$G$23=Norm_Stats!$F$23),"",MAX(0,MIN(100,100*(MIN(MAX(City_Inputs!$AJ78,Norm_Stats!$F$23),Norm_Stats!$G$23)-Norm_Stats!$F$23)/(Norm_Stats!$G$23-Norm_Stats!$F$23)))))*0.3)+IF((IF(OR(City_Inputs!$AK78="",Norm_Stats!$F$24="",Norm_Stats!$G$24="",Norm_Stats!$G$24=Norm_Stats!$F$24),"",MAX(0,MIN(100,100*(MIN(MAX(City_Inputs!$AK78,Norm_Stats!$F$24),Norm_Stats!$G$24)-Norm_Stats!$F$24)/(Norm_Stats!$G$24-Norm_Stats!$F$24)))))="",0,(IF(OR(City_Inputs!$AK78="",Norm_Stats!$F$24="",Norm_Stats!$G$24="",Norm_Stats!$G$24=Norm_Stats!$F$24),"",MAX(0,MIN(100,100*(MIN(MAX(City_Inputs!$AK78,Norm_Stats!$F$24),Norm_Stats!$G$24)-Norm_Stats!$F$24)/(Norm_Stats!$G$24-Norm_Stats!$F$24)))))*0.2))/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D78" s="14">
        <f>IF(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=0,"",(IF((IF(OR(City_Inputs!$AG78="",Norm_Stats!$F$22="",Norm_Stats!$G$22="",Norm_Stats!$G$22=Norm_Stats!$F$22),"",MAX(0,MIN(100,100*(MIN(MAX(City_Inputs!$AG78,Norm_Stats!$F$22),Norm_Stats!$G$22)-Norm_Stats!$F$22)/(Norm_Stats!$G$22-Norm_Stats!$F$22)))))="",0,0.5)+IF((IF(OR(City_Inputs!$AJ78="",Norm_Stats!$F$23="",Norm_Stats!$G$23="",Norm_Stats!$G$23=Norm_Stats!$F$23),"",MAX(0,MIN(100,100*(MIN(MAX(City_Inputs!$AJ78,Norm_Stats!$F$23),Norm_Stats!$G$23)-Norm_Stats!$F$23)/(Norm_Stats!$G$23-Norm_Stats!$F$23)))))="",0,0.3)+IF((IF(OR(City_Inputs!$AK78="",Norm_Stats!$F$24="",Norm_Stats!$G$24="",Norm_Stats!$G$24=Norm_Stats!$F$24),"",MAX(0,MIN(100,100*(MIN(MAX(City_Inputs!$AK78,Norm_Stats!$F$24),Norm_Stats!$G$24)-Norm_Stats!$F$24)/(Norm_Stats!$G$24-Norm_Stats!$F$24)))))="",0,0.2)))</f>
        <v/>
      </c>
      <c r="BE78" s="11">
        <f>IF(OR(City_Inputs!$AH78="",Norm_Stats!$F$25="",Norm_Stats!$G$25="",Norm_Stats!$G$25=Norm_Stats!$F$25),"",MAX(0,MIN(100,100*(Norm_Stats!$G$25-MIN(MAX(City_Inputs!$AH78,Norm_Stats!$F$25),Norm_Stats!$G$25))/(Norm_Stats!$G$25-Norm_Stats!$F$25))))</f>
        <v/>
      </c>
      <c r="BF78" s="14">
        <f>IF(BE78="","",1)</f>
        <v/>
      </c>
      <c r="BG78" s="15">
        <f>IF((IF(AY78="",0,6)+IF(BA78="",0,5)+IF(BC78="",0,5)+IF(BE78="",0,4))=0,"",(IF(AY78="",0,AY78*6)+IF(BA78="",0,BA78*5)+IF(BC78="",0,BC78*5)+IF(BE78="",0,BE78*4))/(IF(AY78="",0,6)+IF(BA78="",0,5)+IF(BC78="",0,5)+IF(BE78="",0,4)))</f>
        <v/>
      </c>
      <c r="BH78" s="14">
        <f>IF((IF(AZ78="",0,6)+IF(BB78="",0,5)+IF(BD78="",0,5)+IF(BF78="",0,4))=0,"",(IF(AZ78="",0,AZ78*6)+IF(BB78="",0,BB78*5)+IF(BD78="",0,BD78*5)+IF(BF78="",0,BF78*4))/20)</f>
        <v/>
      </c>
      <c r="BI78" s="14">
        <f>IF(AND(R78="",AF78="",AN78="",AX78="",BH78=""),"",((R78*25)+(AF78*22)+(AN78*18)+(AX78*15)+(BH78*20))/100)</f>
        <v/>
      </c>
      <c r="BJ78" s="11">
        <f>IF(BI78="","",IF(BI78&gt;=0.75,"A",IF(BI78&gt;=0.5,"B",IF(BI78&gt;=0.35,"C","Watchlist"))))</f>
        <v/>
      </c>
      <c r="BK78" s="11">
        <f>IF(OR(BI78="",BI78&lt;0.5,R78="",R78&lt;0.35,AF78="",AF78&lt;0.35,AN78="",AN78&lt;0.35,AX78="",AX78&lt;0.35,BH78="",BH78&lt;0.35),"Watchlist","Ranked")</f>
        <v/>
      </c>
      <c r="BL78" s="15">
        <f>IF(AND(Q78="",AE78="",AM78="",AW78="",BG78=""),"",(IF(Q78="",0,Q78*25)+IF(AE78="",0,AE78*22)+IF(AM78="",0,AM78*18)+IF(AW78="",0,AW78*15)+IF(BG78="",0,BG78*20))/(IF(Q78="",0,25)+IF(AE78="",0,22)+IF(AM78="",0,18)+IF(AW78="",0,15)+IF(BG78="",0,20)))</f>
        <v/>
      </c>
      <c r="BM78" s="11">
        <f>IF(BK78="Ranked",1+COUNTIFS($BK$2:$BK$158,"Ranked",$BL$2:$BL$158,"&gt;"&amp;BL78),"")</f>
        <v/>
      </c>
      <c r="BN78" s="11">
        <f>City_Inputs!$AI78</f>
        <v/>
      </c>
    </row>
    <row r="79">
      <c r="A79" t="inlineStr">
        <is>
          <t>ar-cordoba</t>
        </is>
      </c>
      <c r="B79" t="inlineStr">
        <is>
          <t>Cordoba</t>
        </is>
      </c>
      <c r="C79" t="inlineStr">
        <is>
          <t>Argentina</t>
        </is>
      </c>
      <c r="D79" t="inlineStr">
        <is>
          <t>Latin America</t>
        </is>
      </c>
      <c r="E79" t="inlineStr">
        <is>
          <t>provisional</t>
        </is>
      </c>
      <c r="F79" t="inlineStr">
        <is>
          <t>secondary</t>
        </is>
      </c>
      <c r="G79" s="11">
        <f>IF(OR(City_Inputs!$M79="",Norm_Stats!$F$2="",Norm_Stats!$G$2="",Norm_Stats!$G$2=Norm_Stats!$F$2),"",MAX(0,MIN(100,100*(MIN(MAX(City_Inputs!$M79,Norm_Stats!$F$2),Norm_Stats!$G$2)-Norm_Stats!$F$2)/(Norm_Stats!$G$2-Norm_Stats!$F$2))))</f>
        <v/>
      </c>
      <c r="H79" s="14">
        <f>IF(G79="","",1)</f>
        <v/>
      </c>
      <c r="I79" s="11">
        <f>IF(OR(City_Inputs!$N79="",Norm_Stats!$F$3="",Norm_Stats!$G$3="",Norm_Stats!$G$3=Norm_Stats!$F$3),"",MAX(0,MIN(100,100*(Norm_Stats!$G$3-MIN(MAX(City_Inputs!$N79,Norm_Stats!$F$3),Norm_Stats!$G$3))/(Norm_Stats!$G$3-Norm_Stats!$F$3))))</f>
        <v/>
      </c>
      <c r="J79" s="14">
        <f>IF(I79="","",1)</f>
        <v/>
      </c>
      <c r="K79" s="11">
        <f>IF(OR(City_Inputs!$P79="",Norm_Stats!$F$4="",Norm_Stats!$G$4="",Norm_Stats!$G$4=Norm_Stats!$F$4),"",MAX(0,MIN(100,100*(Norm_Stats!$G$4-MIN(MAX(City_Inputs!$P79,Norm_Stats!$F$4),Norm_Stats!$G$4))/(Norm_Stats!$G$4-Norm_Stats!$F$4))))</f>
        <v/>
      </c>
      <c r="L79" s="14">
        <f>IF(K79="","",1)</f>
        <v/>
      </c>
      <c r="M79" s="11">
        <f>IF(OR(City_Inputs!$Q79="",Norm_Stats!$F$5="",Norm_Stats!$G$5="",Norm_Stats!$G$5=Norm_Stats!$F$5),"",MAX(0,MIN(100,100*(Norm_Stats!$G$5-MIN(MAX(City_Inputs!$Q79,Norm_Stats!$F$5),Norm_Stats!$G$5))/(Norm_Stats!$G$5-Norm_Stats!$F$5))))</f>
        <v/>
      </c>
      <c r="N79" s="14">
        <f>IF(M79="","",1)</f>
        <v/>
      </c>
      <c r="O79" s="11">
        <f>IF(OR(City_Inputs!$R79="",Norm_Stats!$F$6="",Norm_Stats!$G$6="",Norm_Stats!$G$6=Norm_Stats!$F$6),"",MAX(0,MIN(100,100*(Norm_Stats!$G$6-MIN(MAX(City_Inputs!$R79,Norm_Stats!$F$6),Norm_Stats!$G$6))/(Norm_Stats!$G$6-Norm_Stats!$F$6))))</f>
        <v/>
      </c>
      <c r="P79" s="14">
        <f>IF(O79="","",1)</f>
        <v/>
      </c>
      <c r="Q79" s="15">
        <f>IF((IF(G79="",0,9)+IF(I79="",0,5)+IF(K79="",0,4)+IF(M79="",0,4)+IF(O79="",0,5))=0,"",(IF(G79="",0,G79*9)+IF(I79="",0,I79*5)+IF(K79="",0,K79*4)+IF(M79="",0,M79*4)+IF(O79="",0,O79*5))/(IF(G79="",0,9)+IF(I79="",0,5)+IF(K79="",0,4)+IF(M79="",0,4)+IF(O79="",0,5)))</f>
        <v/>
      </c>
      <c r="R79" s="14">
        <f>IF((IF(H79="",0,9)+IF(J79="",0,5)+IF(L79="",0,4)+IF(N79="",0,4)+IF(P79="",0,5))=0,"",(IF(H79="",0,H79*9)+IF(J79="",0,J79*5)+IF(L79="",0,L79*4)+IF(N79="",0,N79*4)+IF(P79="",0,P79*5))/27)</f>
        <v/>
      </c>
      <c r="S79" s="11">
        <f>IF(OR(City_Inputs!$S79="",Norm_Stats!$F$7="",Norm_Stats!$G$7="",Norm_Stats!$G$7=Norm_Stats!$F$7),"",MAX(0,MIN(100,100*(Norm_Stats!$G$7-MIN(MAX(City_Inputs!$S79,Norm_Stats!$F$7),Norm_Stats!$G$7))/(Norm_Stats!$G$7-Norm_Stats!$F$7))))</f>
        <v/>
      </c>
      <c r="T79" s="14">
        <f>IF(S79="","",1)</f>
        <v/>
      </c>
      <c r="U79" s="11">
        <f>IF(OR(City_Inputs!$T79="",Norm_Stats!$F$8="",Norm_Stats!$G$8="",Norm_Stats!$G$8=Norm_Stats!$F$8),"",MAX(0,MIN(100,100*(MIN(MAX(City_Inputs!$T79,Norm_Stats!$F$8),Norm_Stats!$G$8)-Norm_Stats!$F$8)/(Norm_Stats!$G$8-Norm_Stats!$F$8))))</f>
        <v/>
      </c>
      <c r="V79" s="14">
        <f>IF(U79="","",1)</f>
        <v/>
      </c>
      <c r="W79" s="11">
        <f>IF(OR(City_Inputs!$U79="",Norm_Stats!$F$9="",Norm_Stats!$G$9="",Norm_Stats!$G$9=Norm_Stats!$F$9),"",MAX(0,MIN(100,100*(Norm_Stats!$G$9-MIN(MAX(City_Inputs!$U79,Norm_Stats!$F$9),Norm_Stats!$G$9))/(Norm_Stats!$G$9-Norm_Stats!$F$9))))</f>
        <v/>
      </c>
      <c r="X79" s="14">
        <f>IF(W79="","",1)</f>
        <v/>
      </c>
      <c r="Y79" s="11">
        <f>IF(OR(City_Inputs!$V79="",Norm_Stats!$F$10="",Norm_Stats!$G$10="",Norm_Stats!$G$10=Norm_Stats!$F$10),"",MAX(0,MIN(100,100*(MIN(MAX(City_Inputs!$V79,Norm_Stats!$F$10),Norm_Stats!$G$10)-Norm_Stats!$F$10)/(Norm_Stats!$G$10-Norm_Stats!$F$10))))</f>
        <v/>
      </c>
      <c r="Z79" s="14">
        <f>IF(Y79="","",1)</f>
        <v/>
      </c>
      <c r="AA79" s="11">
        <f>IF(OR(City_Inputs!$W79="",Norm_Stats!$F$11="",Norm_Stats!$G$11="",Norm_Stats!$G$11=Norm_Stats!$F$11),"",MAX(0,MIN(100,100*(MIN(MAX(City_Inputs!$W79,Norm_Stats!$F$11),Norm_Stats!$G$11)-Norm_Stats!$F$11)/(Norm_Stats!$G$11-Norm_Stats!$F$11))))</f>
        <v/>
      </c>
      <c r="AB79" s="14">
        <f>IF(AA79="","",1)</f>
        <v/>
      </c>
      <c r="AC79" s="11">
        <f>IF(OR(City_Inputs!$X79="",Norm_Stats!$F$12="",Norm_Stats!$G$12="",Norm_Stats!$G$12=Norm_Stats!$F$12),"",MAX(0,MIN(100,100*(MIN(MAX(City_Inputs!$X79,Norm_Stats!$F$12),Norm_Stats!$G$12)-Norm_Stats!$F$12)/(Norm_Stats!$G$12-Norm_Stats!$F$12))))</f>
        <v/>
      </c>
      <c r="AD79" s="11">
        <f>IF(AC79="","",1)</f>
        <v/>
      </c>
      <c r="AE79" s="15">
        <f>IF((IF(S79="",0,5)+IF(U79="",0,5)+IF(W79="",0,4)+IF(Y79="",0,4)+IF(AA79="",0,4)+IF(AC79="",0,5))=0,"",(IF(S79="",0,S79*5)+IF(U79="",0,U79*5)+IF(W79="",0,W79*4)+IF(Y79="",0,Y79*4)+IF(AA79="",0,AA79*4)+IF(AC79="",0,AC79*5))/(IF(S79="",0,5)+IF(U79="",0,5)+IF(W79="",0,4)+IF(Y79="",0,4)+IF(AA79="",0,4)+IF(AC79="",0,5)))</f>
        <v/>
      </c>
      <c r="AF79" s="14">
        <f>IF((IF(T79="",0,5)+IF(V79="",0,5)+IF(X79="",0,4)+IF(Z79="",0,4)+IF(AB79="",0,4)+IF(AD79="",0,5))=0,"",(IF(T79="",0,T79*5)+IF(V79="",0,V79*5)+IF(X79="",0,X79*4)+IF(Z79="",0,Z79*4)+IF(AB79="",0,AB79*4)+IF(AD79="",0,AD79*5))/27)</f>
        <v/>
      </c>
      <c r="AG79" s="11">
        <f>IF(OR(City_Inputs!$Y79="",Norm_Stats!$F$13="",Norm_Stats!$G$13="",Norm_Stats!$G$13=Norm_Stats!$F$13),"",MAX(0,MIN(100,100*(MIN(MAX(City_Inputs!$Y79,Norm_Stats!$F$13),Norm_Stats!$G$13)-Norm_Stats!$F$13)/(Norm_Stats!$G$13-Norm_Stats!$F$13))))</f>
        <v/>
      </c>
      <c r="AH79" s="14">
        <f>IF(AG79="","",1)</f>
        <v/>
      </c>
      <c r="AI79" s="11">
        <f>IF(OR(City_Inputs!$Z79="",Norm_Stats!$F$14="",Norm_Stats!$G$14="",Norm_Stats!$G$14=Norm_Stats!$F$14),"",MAX(0,MIN(100,100*(MIN(MAX(City_Inputs!$Z79,Norm_Stats!$F$14),Norm_Stats!$G$14)-Norm_Stats!$F$14)/(Norm_Stats!$G$14-Norm_Stats!$F$14))))</f>
        <v/>
      </c>
      <c r="AJ79" s="14">
        <f>IF(AI79="","",1)</f>
        <v/>
      </c>
      <c r="AK79" s="11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(IF(OR(City_Inputs!$AA79="",Norm_Stats!$F$15="",Norm_Stats!$G$15="",Norm_Stats!$G$15=Norm_Stats!$F$15),"",MAX(0,MIN(100,100*(MIN(MAX(City_Inputs!$AA79,Norm_Stats!$F$15),Norm_Stats!$G$15)-Norm_Stats!$F$15)/(Norm_Stats!$G$15-Norm_Stats!$F$15)))))*0.7)+IF((IF(OR(City_Inputs!$AL79="",Norm_Stats!$F$16="",Norm_Stats!$G$16="",Norm_Stats!$G$16=Norm_Stats!$F$16),"",MAX(0,MIN(100,100*(Norm_Stats!$G$16-MIN(MAX(City_Inputs!$AL79,Norm_Stats!$F$16),Norm_Stats!$G$16))/(Norm_Stats!$G$16-Norm_Stats!$F$16)))))="",0,(IF(OR(City_Inputs!$AL79="",Norm_Stats!$F$16="",Norm_Stats!$G$16="",Norm_Stats!$G$16=Norm_Stats!$F$16),"",MAX(0,MIN(100,100*(Norm_Stats!$G$16-MIN(MAX(City_Inputs!$AL79,Norm_Stats!$F$16),Norm_Stats!$G$16))/(Norm_Stats!$G$16-Norm_Stats!$F$16)))))*0.3))/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L79" s="14">
        <f>IF(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=0,"",(IF((IF(OR(City_Inputs!$AA79="",Norm_Stats!$F$15="",Norm_Stats!$G$15="",Norm_Stats!$G$15=Norm_Stats!$F$15),"",MAX(0,MIN(100,100*(MIN(MAX(City_Inputs!$AA79,Norm_Stats!$F$15),Norm_Stats!$G$15)-Norm_Stats!$F$15)/(Norm_Stats!$G$15-Norm_Stats!$F$15)))))="",0,0.7)+IF((IF(OR(City_Inputs!$AL79="",Norm_Stats!$F$16="",Norm_Stats!$G$16="",Norm_Stats!$G$16=Norm_Stats!$F$16),"",MAX(0,MIN(100,100*(Norm_Stats!$G$16-MIN(MAX(City_Inputs!$AL79,Norm_Stats!$F$16),Norm_Stats!$G$16))/(Norm_Stats!$G$16-Norm_Stats!$F$16)))))="",0,0.3)))</f>
        <v/>
      </c>
      <c r="AM79" s="15">
        <f>IF((IF(AG79="",0,8)+IF(AI79="",0,6)+IF(AK79="",0,4))=0,"",(IF(AG79="",0,AG79*8)+IF(AI79="",0,AI79*6)+IF(AK79="",0,AK79*4))/(IF(AG79="",0,8)+IF(AI79="",0,6)+IF(AK79="",0,4)))</f>
        <v/>
      </c>
      <c r="AN79" s="14">
        <f>IF((IF(AH79="",0,8)+IF(AJ79="",0,6)+IF(AL79="",0,4))=0,"",(IF(AH79="",0,AH79*8)+IF(AJ79="",0,AJ79*6)+IF(AL79="",0,AL79*4))/18)</f>
        <v/>
      </c>
      <c r="AO79" s="11">
        <f>IF(OR(City_Inputs!$AB79="",Norm_Stats!$F$17="",Norm_Stats!$G$17="",Norm_Stats!$G$17=Norm_Stats!$F$17),"",MAX(0,MIN(100,100*(MIN(MAX(City_Inputs!$AB79,Norm_Stats!$F$17),Norm_Stats!$G$17)-Norm_Stats!$F$17)/(Norm_Stats!$G$17-Norm_Stats!$F$17))))</f>
        <v/>
      </c>
      <c r="AP79" s="14">
        <f>IF(AO79="","",1)</f>
        <v/>
      </c>
      <c r="AQ79" s="11">
        <f>IF(OR(City_Inputs!$AC79="",Norm_Stats!$F$18="",Norm_Stats!$G$18="",Norm_Stats!$G$18=Norm_Stats!$F$18),"",MAX(0,MIN(100,100*(MIN(MAX(City_Inputs!$AC79,Norm_Stats!$F$18),Norm_Stats!$G$18)-Norm_Stats!$F$18)/(Norm_Stats!$G$18-Norm_Stats!$F$18))))</f>
        <v/>
      </c>
      <c r="AR79" s="14">
        <f>IF(AQ79="","",1)</f>
        <v/>
      </c>
      <c r="AS79" s="11">
        <f>IF(OR(City_Inputs!$AD79="",Norm_Stats!$F$19="",Norm_Stats!$G$19="",Norm_Stats!$G$19=Norm_Stats!$F$19),"",MAX(0,MIN(100,100*(MIN(MAX(City_Inputs!$AD79,Norm_Stats!$F$19),Norm_Stats!$G$19)-Norm_Stats!$F$19)/(Norm_Stats!$G$19-Norm_Stats!$F$19))))</f>
        <v/>
      </c>
      <c r="AT79" s="14">
        <f>IF(AS79="","",1)</f>
        <v/>
      </c>
      <c r="AU79" s="11">
        <f>IF(OR(City_Inputs!$BJ79="",Norm_Stats!$F$26="",Norm_Stats!$G$26="",Norm_Stats!$G$26=Norm_Stats!$F$26),"",MAX(0,MIN(100,100*(MIN(MAX(City_Inputs!$BJ79,Norm_Stats!$F$26),Norm_Stats!$G$26)-Norm_Stats!$F$26)/(Norm_Stats!$G$26-Norm_Stats!$F$26))))</f>
        <v/>
      </c>
      <c r="AV79" s="11">
        <f>IF(AU79="","",1)</f>
        <v/>
      </c>
      <c r="AW79" s="15">
        <f>IF((IF(AO79="",0,5)+IF(AQ79="",0,5)+IF(AS79="",0,5)+IF(AU79="",0,4))=0,"",(IF(AO79="",0,AO79*5)+IF(AQ79="",0,AQ79*5)+IF(AS79="",0,AS79*5)+IF(AU79="",0,AU79*4))/(IF(AO79="",0,5)+IF(AQ79="",0,5)+IF(AS79="",0,5)+IF(AU79="",0,4)))</f>
        <v/>
      </c>
      <c r="AX79" s="14">
        <f>IF((IF(AP79="",0,5)+IF(AR79="",0,5)+IF(AT79="",0,5)+IF(AV79="",0,4))=0,"",(IF(AP79="",0,AP79*5)+IF(AR79="",0,AR79*5)+IF(AT79="",0,AT79*5)+IF(AV79="",0,AV79*4))/19)</f>
        <v/>
      </c>
      <c r="AY79" s="11">
        <f>IF(OR(City_Inputs!$AE79="",Norm_Stats!$F$20="",Norm_Stats!$G$20="",Norm_Stats!$G$20=Norm_Stats!$F$20),"",MAX(0,MIN(100,100*(MIN(MAX(City_Inputs!$AE79,Norm_Stats!$F$20),Norm_Stats!$G$20)-Norm_Stats!$F$20)/(Norm_Stats!$G$20-Norm_Stats!$F$20))))</f>
        <v/>
      </c>
      <c r="AZ79" s="14">
        <f>IF(AY79="","",1)</f>
        <v/>
      </c>
      <c r="BA79" s="11">
        <f>IF(OR(City_Inputs!$AF79="",Norm_Stats!$F$21="",Norm_Stats!$G$21="",Norm_Stats!$G$21=Norm_Stats!$F$21),"",MAX(0,MIN(100,100*(MIN(MAX(City_Inputs!$AF79,Norm_Stats!$F$21),Norm_Stats!$G$21)-Norm_Stats!$F$21)/(Norm_Stats!$G$21-Norm_Stats!$F$21))))</f>
        <v/>
      </c>
      <c r="BB79" s="14">
        <f>IF(BA79="","",1)</f>
        <v/>
      </c>
      <c r="BC79" s="11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(IF(OR(City_Inputs!$AG79="",Norm_Stats!$F$22="",Norm_Stats!$G$22="",Norm_Stats!$G$22=Norm_Stats!$F$22),"",MAX(0,MIN(100,100*(MIN(MAX(City_Inputs!$AG79,Norm_Stats!$F$22),Norm_Stats!$G$22)-Norm_Stats!$F$22)/(Norm_Stats!$G$22-Norm_Stats!$F$22)))))*0.5)+IF((IF(OR(City_Inputs!$AJ79="",Norm_Stats!$F$23="",Norm_Stats!$G$23="",Norm_Stats!$G$23=Norm_Stats!$F$23),"",MAX(0,MIN(100,100*(MIN(MAX(City_Inputs!$AJ79,Norm_Stats!$F$23),Norm_Stats!$G$23)-Norm_Stats!$F$23)/(Norm_Stats!$G$23-Norm_Stats!$F$23)))))="",0,(IF(OR(City_Inputs!$AJ79="",Norm_Stats!$F$23="",Norm_Stats!$G$23="",Norm_Stats!$G$23=Norm_Stats!$F$23),"",MAX(0,MIN(100,100*(MIN(MAX(City_Inputs!$AJ79,Norm_Stats!$F$23),Norm_Stats!$G$23)-Norm_Stats!$F$23)/(Norm_Stats!$G$23-Norm_Stats!$F$23)))))*0.3)+IF((IF(OR(City_Inputs!$AK79="",Norm_Stats!$F$24="",Norm_Stats!$G$24="",Norm_Stats!$G$24=Norm_Stats!$F$24),"",MAX(0,MIN(100,100*(MIN(MAX(City_Inputs!$AK79,Norm_Stats!$F$24),Norm_Stats!$G$24)-Norm_Stats!$F$24)/(Norm_Stats!$G$24-Norm_Stats!$F$24)))))="",0,(IF(OR(City_Inputs!$AK79="",Norm_Stats!$F$24="",Norm_Stats!$G$24="",Norm_Stats!$G$24=Norm_Stats!$F$24),"",MAX(0,MIN(100,100*(MIN(MAX(City_Inputs!$AK79,Norm_Stats!$F$24),Norm_Stats!$G$24)-Norm_Stats!$F$24)/(Norm_Stats!$G$24-Norm_Stats!$F$24)))))*0.2))/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D79" s="14">
        <f>IF(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=0,"",(IF((IF(OR(City_Inputs!$AG79="",Norm_Stats!$F$22="",Norm_Stats!$G$22="",Norm_Stats!$G$22=Norm_Stats!$F$22),"",MAX(0,MIN(100,100*(MIN(MAX(City_Inputs!$AG79,Norm_Stats!$F$22),Norm_Stats!$G$22)-Norm_Stats!$F$22)/(Norm_Stats!$G$22-Norm_Stats!$F$22)))))="",0,0.5)+IF((IF(OR(City_Inputs!$AJ79="",Norm_Stats!$F$23="",Norm_Stats!$G$23="",Norm_Stats!$G$23=Norm_Stats!$F$23),"",MAX(0,MIN(100,100*(MIN(MAX(City_Inputs!$AJ79,Norm_Stats!$F$23),Norm_Stats!$G$23)-Norm_Stats!$F$23)/(Norm_Stats!$G$23-Norm_Stats!$F$23)))))="",0,0.3)+IF((IF(OR(City_Inputs!$AK79="",Norm_Stats!$F$24="",Norm_Stats!$G$24="",Norm_Stats!$G$24=Norm_Stats!$F$24),"",MAX(0,MIN(100,100*(MIN(MAX(City_Inputs!$AK79,Norm_Stats!$F$24),Norm_Stats!$G$24)-Norm_Stats!$F$24)/(Norm_Stats!$G$24-Norm_Stats!$F$24)))))="",0,0.2)))</f>
        <v/>
      </c>
      <c r="BE79" s="11">
        <f>IF(OR(City_Inputs!$AH79="",Norm_Stats!$F$25="",Norm_Stats!$G$25="",Norm_Stats!$G$25=Norm_Stats!$F$25),"",MAX(0,MIN(100,100*(Norm_Stats!$G$25-MIN(MAX(City_Inputs!$AH79,Norm_Stats!$F$25),Norm_Stats!$G$25))/(Norm_Stats!$G$25-Norm_Stats!$F$25))))</f>
        <v/>
      </c>
      <c r="BF79" s="14">
        <f>IF(BE79="","",1)</f>
        <v/>
      </c>
      <c r="BG79" s="15">
        <f>IF((IF(AY79="",0,6)+IF(BA79="",0,5)+IF(BC79="",0,5)+IF(BE79="",0,4))=0,"",(IF(AY79="",0,AY79*6)+IF(BA79="",0,BA79*5)+IF(BC79="",0,BC79*5)+IF(BE79="",0,BE79*4))/(IF(AY79="",0,6)+IF(BA79="",0,5)+IF(BC79="",0,5)+IF(BE79="",0,4)))</f>
        <v/>
      </c>
      <c r="BH79" s="14">
        <f>IF((IF(AZ79="",0,6)+IF(BB79="",0,5)+IF(BD79="",0,5)+IF(BF79="",0,4))=0,"",(IF(AZ79="",0,AZ79*6)+IF(BB79="",0,BB79*5)+IF(BD79="",0,BD79*5)+IF(BF79="",0,BF79*4))/20)</f>
        <v/>
      </c>
      <c r="BI79" s="14">
        <f>IF(AND(R79="",AF79="",AN79="",AX79="",BH79=""),"",((R79*25)+(AF79*22)+(AN79*18)+(AX79*15)+(BH79*20))/100)</f>
        <v/>
      </c>
      <c r="BJ79" s="11">
        <f>IF(BI79="","",IF(BI79&gt;=0.75,"A",IF(BI79&gt;=0.5,"B",IF(BI79&gt;=0.35,"C","Watchlist"))))</f>
        <v/>
      </c>
      <c r="BK79" s="11">
        <f>IF(OR(BI79="",BI79&lt;0.5,R79="",R79&lt;0.35,AF79="",AF79&lt;0.35,AN79="",AN79&lt;0.35,AX79="",AX79&lt;0.35,BH79="",BH79&lt;0.35),"Watchlist","Ranked")</f>
        <v/>
      </c>
      <c r="BL79" s="15">
        <f>IF(AND(Q79="",AE79="",AM79="",AW79="",BG79=""),"",(IF(Q79="",0,Q79*25)+IF(AE79="",0,AE79*22)+IF(AM79="",0,AM79*18)+IF(AW79="",0,AW79*15)+IF(BG79="",0,BG79*20))/(IF(Q79="",0,25)+IF(AE79="",0,22)+IF(AM79="",0,18)+IF(AW79="",0,15)+IF(BG79="",0,20)))</f>
        <v/>
      </c>
      <c r="BM79" s="11">
        <f>IF(BK79="Ranked",1+COUNTIFS($BK$2:$BK$158,"Ranked",$BL$2:$BL$158,"&gt;"&amp;BL79),"")</f>
        <v/>
      </c>
      <c r="BN79" s="11">
        <f>City_Inputs!$AI79</f>
        <v/>
      </c>
    </row>
    <row r="80">
      <c r="A80" t="inlineStr">
        <is>
          <t>cl-valparaiso</t>
        </is>
      </c>
      <c r="B80" t="inlineStr">
        <is>
          <t>Valparaiso</t>
        </is>
      </c>
      <c r="C80" t="inlineStr">
        <is>
          <t>Chile</t>
        </is>
      </c>
      <c r="D80" t="inlineStr">
        <is>
          <t>Latin America</t>
        </is>
      </c>
      <c r="E80" t="inlineStr">
        <is>
          <t>provisional</t>
        </is>
      </c>
      <c r="F80" t="inlineStr">
        <is>
          <t>secondary</t>
        </is>
      </c>
      <c r="G80" s="11">
        <f>IF(OR(City_Inputs!$M80="",Norm_Stats!$F$2="",Norm_Stats!$G$2="",Norm_Stats!$G$2=Norm_Stats!$F$2),"",MAX(0,MIN(100,100*(MIN(MAX(City_Inputs!$M80,Norm_Stats!$F$2),Norm_Stats!$G$2)-Norm_Stats!$F$2)/(Norm_Stats!$G$2-Norm_Stats!$F$2))))</f>
        <v/>
      </c>
      <c r="H80" s="14">
        <f>IF(G80="","",1)</f>
        <v/>
      </c>
      <c r="I80" s="11">
        <f>IF(OR(City_Inputs!$N80="",Norm_Stats!$F$3="",Norm_Stats!$G$3="",Norm_Stats!$G$3=Norm_Stats!$F$3),"",MAX(0,MIN(100,100*(Norm_Stats!$G$3-MIN(MAX(City_Inputs!$N80,Norm_Stats!$F$3),Norm_Stats!$G$3))/(Norm_Stats!$G$3-Norm_Stats!$F$3))))</f>
        <v/>
      </c>
      <c r="J80" s="14">
        <f>IF(I80="","",1)</f>
        <v/>
      </c>
      <c r="K80" s="11">
        <f>IF(OR(City_Inputs!$P80="",Norm_Stats!$F$4="",Norm_Stats!$G$4="",Norm_Stats!$G$4=Norm_Stats!$F$4),"",MAX(0,MIN(100,100*(Norm_Stats!$G$4-MIN(MAX(City_Inputs!$P80,Norm_Stats!$F$4),Norm_Stats!$G$4))/(Norm_Stats!$G$4-Norm_Stats!$F$4))))</f>
        <v/>
      </c>
      <c r="L80" s="14">
        <f>IF(K80="","",1)</f>
        <v/>
      </c>
      <c r="M80" s="11">
        <f>IF(OR(City_Inputs!$Q80="",Norm_Stats!$F$5="",Norm_Stats!$G$5="",Norm_Stats!$G$5=Norm_Stats!$F$5),"",MAX(0,MIN(100,100*(Norm_Stats!$G$5-MIN(MAX(City_Inputs!$Q80,Norm_Stats!$F$5),Norm_Stats!$G$5))/(Norm_Stats!$G$5-Norm_Stats!$F$5))))</f>
        <v/>
      </c>
      <c r="N80" s="14">
        <f>IF(M80="","",1)</f>
        <v/>
      </c>
      <c r="O80" s="11">
        <f>IF(OR(City_Inputs!$R80="",Norm_Stats!$F$6="",Norm_Stats!$G$6="",Norm_Stats!$G$6=Norm_Stats!$F$6),"",MAX(0,MIN(100,100*(Norm_Stats!$G$6-MIN(MAX(City_Inputs!$R80,Norm_Stats!$F$6),Norm_Stats!$G$6))/(Norm_Stats!$G$6-Norm_Stats!$F$6))))</f>
        <v/>
      </c>
      <c r="P80" s="14">
        <f>IF(O80="","",1)</f>
        <v/>
      </c>
      <c r="Q80" s="15">
        <f>IF((IF(G80="",0,9)+IF(I80="",0,5)+IF(K80="",0,4)+IF(M80="",0,4)+IF(O80="",0,5))=0,"",(IF(G80="",0,G80*9)+IF(I80="",0,I80*5)+IF(K80="",0,K80*4)+IF(M80="",0,M80*4)+IF(O80="",0,O80*5))/(IF(G80="",0,9)+IF(I80="",0,5)+IF(K80="",0,4)+IF(M80="",0,4)+IF(O80="",0,5)))</f>
        <v/>
      </c>
      <c r="R80" s="14">
        <f>IF((IF(H80="",0,9)+IF(J80="",0,5)+IF(L80="",0,4)+IF(N80="",0,4)+IF(P80="",0,5))=0,"",(IF(H80="",0,H80*9)+IF(J80="",0,J80*5)+IF(L80="",0,L80*4)+IF(N80="",0,N80*4)+IF(P80="",0,P80*5))/27)</f>
        <v/>
      </c>
      <c r="S80" s="11">
        <f>IF(OR(City_Inputs!$S80="",Norm_Stats!$F$7="",Norm_Stats!$G$7="",Norm_Stats!$G$7=Norm_Stats!$F$7),"",MAX(0,MIN(100,100*(Norm_Stats!$G$7-MIN(MAX(City_Inputs!$S80,Norm_Stats!$F$7),Norm_Stats!$G$7))/(Norm_Stats!$G$7-Norm_Stats!$F$7))))</f>
        <v/>
      </c>
      <c r="T80" s="14">
        <f>IF(S80="","",1)</f>
        <v/>
      </c>
      <c r="U80" s="11">
        <f>IF(OR(City_Inputs!$T80="",Norm_Stats!$F$8="",Norm_Stats!$G$8="",Norm_Stats!$G$8=Norm_Stats!$F$8),"",MAX(0,MIN(100,100*(MIN(MAX(City_Inputs!$T80,Norm_Stats!$F$8),Norm_Stats!$G$8)-Norm_Stats!$F$8)/(Norm_Stats!$G$8-Norm_Stats!$F$8))))</f>
        <v/>
      </c>
      <c r="V80" s="14">
        <f>IF(U80="","",1)</f>
        <v/>
      </c>
      <c r="W80" s="11">
        <f>IF(OR(City_Inputs!$U80="",Norm_Stats!$F$9="",Norm_Stats!$G$9="",Norm_Stats!$G$9=Norm_Stats!$F$9),"",MAX(0,MIN(100,100*(Norm_Stats!$G$9-MIN(MAX(City_Inputs!$U80,Norm_Stats!$F$9),Norm_Stats!$G$9))/(Norm_Stats!$G$9-Norm_Stats!$F$9))))</f>
        <v/>
      </c>
      <c r="X80" s="14">
        <f>IF(W80="","",1)</f>
        <v/>
      </c>
      <c r="Y80" s="11">
        <f>IF(OR(City_Inputs!$V80="",Norm_Stats!$F$10="",Norm_Stats!$G$10="",Norm_Stats!$G$10=Norm_Stats!$F$10),"",MAX(0,MIN(100,100*(MIN(MAX(City_Inputs!$V80,Norm_Stats!$F$10),Norm_Stats!$G$10)-Norm_Stats!$F$10)/(Norm_Stats!$G$10-Norm_Stats!$F$10))))</f>
        <v/>
      </c>
      <c r="Z80" s="14">
        <f>IF(Y80="","",1)</f>
        <v/>
      </c>
      <c r="AA80" s="11">
        <f>IF(OR(City_Inputs!$W80="",Norm_Stats!$F$11="",Norm_Stats!$G$11="",Norm_Stats!$G$11=Norm_Stats!$F$11),"",MAX(0,MIN(100,100*(MIN(MAX(City_Inputs!$W80,Norm_Stats!$F$11),Norm_Stats!$G$11)-Norm_Stats!$F$11)/(Norm_Stats!$G$11-Norm_Stats!$F$11))))</f>
        <v/>
      </c>
      <c r="AB80" s="14">
        <f>IF(AA80="","",1)</f>
        <v/>
      </c>
      <c r="AC80" s="11">
        <f>IF(OR(City_Inputs!$X80="",Norm_Stats!$F$12="",Norm_Stats!$G$12="",Norm_Stats!$G$12=Norm_Stats!$F$12),"",MAX(0,MIN(100,100*(MIN(MAX(City_Inputs!$X80,Norm_Stats!$F$12),Norm_Stats!$G$12)-Norm_Stats!$F$12)/(Norm_Stats!$G$12-Norm_Stats!$F$12))))</f>
        <v/>
      </c>
      <c r="AD80" s="11">
        <f>IF(AC80="","",1)</f>
        <v/>
      </c>
      <c r="AE80" s="15">
        <f>IF((IF(S80="",0,5)+IF(U80="",0,5)+IF(W80="",0,4)+IF(Y80="",0,4)+IF(AA80="",0,4)+IF(AC80="",0,5))=0,"",(IF(S80="",0,S80*5)+IF(U80="",0,U80*5)+IF(W80="",0,W80*4)+IF(Y80="",0,Y80*4)+IF(AA80="",0,AA80*4)+IF(AC80="",0,AC80*5))/(IF(S80="",0,5)+IF(U80="",0,5)+IF(W80="",0,4)+IF(Y80="",0,4)+IF(AA80="",0,4)+IF(AC80="",0,5)))</f>
        <v/>
      </c>
      <c r="AF80" s="14">
        <f>IF((IF(T80="",0,5)+IF(V80="",0,5)+IF(X80="",0,4)+IF(Z80="",0,4)+IF(AB80="",0,4)+IF(AD80="",0,5))=0,"",(IF(T80="",0,T80*5)+IF(V80="",0,V80*5)+IF(X80="",0,X80*4)+IF(Z80="",0,Z80*4)+IF(AB80="",0,AB80*4)+IF(AD80="",0,AD80*5))/27)</f>
        <v/>
      </c>
      <c r="AG80" s="11">
        <f>IF(OR(City_Inputs!$Y80="",Norm_Stats!$F$13="",Norm_Stats!$G$13="",Norm_Stats!$G$13=Norm_Stats!$F$13),"",MAX(0,MIN(100,100*(MIN(MAX(City_Inputs!$Y80,Norm_Stats!$F$13),Norm_Stats!$G$13)-Norm_Stats!$F$13)/(Norm_Stats!$G$13-Norm_Stats!$F$13))))</f>
        <v/>
      </c>
      <c r="AH80" s="14">
        <f>IF(AG80="","",1)</f>
        <v/>
      </c>
      <c r="AI80" s="11">
        <f>IF(OR(City_Inputs!$Z80="",Norm_Stats!$F$14="",Norm_Stats!$G$14="",Norm_Stats!$G$14=Norm_Stats!$F$14),"",MAX(0,MIN(100,100*(MIN(MAX(City_Inputs!$Z80,Norm_Stats!$F$14),Norm_Stats!$G$14)-Norm_Stats!$F$14)/(Norm_Stats!$G$14-Norm_Stats!$F$14))))</f>
        <v/>
      </c>
      <c r="AJ80" s="14">
        <f>IF(AI80="","",1)</f>
        <v/>
      </c>
      <c r="AK80" s="11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(IF(OR(City_Inputs!$AA80="",Norm_Stats!$F$15="",Norm_Stats!$G$15="",Norm_Stats!$G$15=Norm_Stats!$F$15),"",MAX(0,MIN(100,100*(MIN(MAX(City_Inputs!$AA80,Norm_Stats!$F$15),Norm_Stats!$G$15)-Norm_Stats!$F$15)/(Norm_Stats!$G$15-Norm_Stats!$F$15)))))*0.7)+IF((IF(OR(City_Inputs!$AL80="",Norm_Stats!$F$16="",Norm_Stats!$G$16="",Norm_Stats!$G$16=Norm_Stats!$F$16),"",MAX(0,MIN(100,100*(Norm_Stats!$G$16-MIN(MAX(City_Inputs!$AL80,Norm_Stats!$F$16),Norm_Stats!$G$16))/(Norm_Stats!$G$16-Norm_Stats!$F$16)))))="",0,(IF(OR(City_Inputs!$AL80="",Norm_Stats!$F$16="",Norm_Stats!$G$16="",Norm_Stats!$G$16=Norm_Stats!$F$16),"",MAX(0,MIN(100,100*(Norm_Stats!$G$16-MIN(MAX(City_Inputs!$AL80,Norm_Stats!$F$16),Norm_Stats!$G$16))/(Norm_Stats!$G$16-Norm_Stats!$F$16)))))*0.3))/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L80" s="14">
        <f>IF(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=0,"",(IF((IF(OR(City_Inputs!$AA80="",Norm_Stats!$F$15="",Norm_Stats!$G$15="",Norm_Stats!$G$15=Norm_Stats!$F$15),"",MAX(0,MIN(100,100*(MIN(MAX(City_Inputs!$AA80,Norm_Stats!$F$15),Norm_Stats!$G$15)-Norm_Stats!$F$15)/(Norm_Stats!$G$15-Norm_Stats!$F$15)))))="",0,0.7)+IF((IF(OR(City_Inputs!$AL80="",Norm_Stats!$F$16="",Norm_Stats!$G$16="",Norm_Stats!$G$16=Norm_Stats!$F$16),"",MAX(0,MIN(100,100*(Norm_Stats!$G$16-MIN(MAX(City_Inputs!$AL80,Norm_Stats!$F$16),Norm_Stats!$G$16))/(Norm_Stats!$G$16-Norm_Stats!$F$16)))))="",0,0.3)))</f>
        <v/>
      </c>
      <c r="AM80" s="15">
        <f>IF((IF(AG80="",0,8)+IF(AI80="",0,6)+IF(AK80="",0,4))=0,"",(IF(AG80="",0,AG80*8)+IF(AI80="",0,AI80*6)+IF(AK80="",0,AK80*4))/(IF(AG80="",0,8)+IF(AI80="",0,6)+IF(AK80="",0,4)))</f>
        <v/>
      </c>
      <c r="AN80" s="14">
        <f>IF((IF(AH80="",0,8)+IF(AJ80="",0,6)+IF(AL80="",0,4))=0,"",(IF(AH80="",0,AH80*8)+IF(AJ80="",0,AJ80*6)+IF(AL80="",0,AL80*4))/18)</f>
        <v/>
      </c>
      <c r="AO80" s="11">
        <f>IF(OR(City_Inputs!$AB80="",Norm_Stats!$F$17="",Norm_Stats!$G$17="",Norm_Stats!$G$17=Norm_Stats!$F$17),"",MAX(0,MIN(100,100*(MIN(MAX(City_Inputs!$AB80,Norm_Stats!$F$17),Norm_Stats!$G$17)-Norm_Stats!$F$17)/(Norm_Stats!$G$17-Norm_Stats!$F$17))))</f>
        <v/>
      </c>
      <c r="AP80" s="14">
        <f>IF(AO80="","",1)</f>
        <v/>
      </c>
      <c r="AQ80" s="11">
        <f>IF(OR(City_Inputs!$AC80="",Norm_Stats!$F$18="",Norm_Stats!$G$18="",Norm_Stats!$G$18=Norm_Stats!$F$18),"",MAX(0,MIN(100,100*(MIN(MAX(City_Inputs!$AC80,Norm_Stats!$F$18),Norm_Stats!$G$18)-Norm_Stats!$F$18)/(Norm_Stats!$G$18-Norm_Stats!$F$18))))</f>
        <v/>
      </c>
      <c r="AR80" s="14">
        <f>IF(AQ80="","",1)</f>
        <v/>
      </c>
      <c r="AS80" s="11">
        <f>IF(OR(City_Inputs!$AD80="",Norm_Stats!$F$19="",Norm_Stats!$G$19="",Norm_Stats!$G$19=Norm_Stats!$F$19),"",MAX(0,MIN(100,100*(MIN(MAX(City_Inputs!$AD80,Norm_Stats!$F$19),Norm_Stats!$G$19)-Norm_Stats!$F$19)/(Norm_Stats!$G$19-Norm_Stats!$F$19))))</f>
        <v/>
      </c>
      <c r="AT80" s="14">
        <f>IF(AS80="","",1)</f>
        <v/>
      </c>
      <c r="AU80" s="11">
        <f>IF(OR(City_Inputs!$BJ80="",Norm_Stats!$F$26="",Norm_Stats!$G$26="",Norm_Stats!$G$26=Norm_Stats!$F$26),"",MAX(0,MIN(100,100*(MIN(MAX(City_Inputs!$BJ80,Norm_Stats!$F$26),Norm_Stats!$G$26)-Norm_Stats!$F$26)/(Norm_Stats!$G$26-Norm_Stats!$F$26))))</f>
        <v/>
      </c>
      <c r="AV80" s="11">
        <f>IF(AU80="","",1)</f>
        <v/>
      </c>
      <c r="AW80" s="15">
        <f>IF((IF(AO80="",0,5)+IF(AQ80="",0,5)+IF(AS80="",0,5)+IF(AU80="",0,4))=0,"",(IF(AO80="",0,AO80*5)+IF(AQ80="",0,AQ80*5)+IF(AS80="",0,AS80*5)+IF(AU80="",0,AU80*4))/(IF(AO80="",0,5)+IF(AQ80="",0,5)+IF(AS80="",0,5)+IF(AU80="",0,4)))</f>
        <v/>
      </c>
      <c r="AX80" s="14">
        <f>IF((IF(AP80="",0,5)+IF(AR80="",0,5)+IF(AT80="",0,5)+IF(AV80="",0,4))=0,"",(IF(AP80="",0,AP80*5)+IF(AR80="",0,AR80*5)+IF(AT80="",0,AT80*5)+IF(AV80="",0,AV80*4))/19)</f>
        <v/>
      </c>
      <c r="AY80" s="11">
        <f>IF(OR(City_Inputs!$AE80="",Norm_Stats!$F$20="",Norm_Stats!$G$20="",Norm_Stats!$G$20=Norm_Stats!$F$20),"",MAX(0,MIN(100,100*(MIN(MAX(City_Inputs!$AE80,Norm_Stats!$F$20),Norm_Stats!$G$20)-Norm_Stats!$F$20)/(Norm_Stats!$G$20-Norm_Stats!$F$20))))</f>
        <v/>
      </c>
      <c r="AZ80" s="14">
        <f>IF(AY80="","",1)</f>
        <v/>
      </c>
      <c r="BA80" s="11">
        <f>IF(OR(City_Inputs!$AF80="",Norm_Stats!$F$21="",Norm_Stats!$G$21="",Norm_Stats!$G$21=Norm_Stats!$F$21),"",MAX(0,MIN(100,100*(MIN(MAX(City_Inputs!$AF80,Norm_Stats!$F$21),Norm_Stats!$G$21)-Norm_Stats!$F$21)/(Norm_Stats!$G$21-Norm_Stats!$F$21))))</f>
        <v/>
      </c>
      <c r="BB80" s="14">
        <f>IF(BA80="","",1)</f>
        <v/>
      </c>
      <c r="BC80" s="11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(IF(OR(City_Inputs!$AG80="",Norm_Stats!$F$22="",Norm_Stats!$G$22="",Norm_Stats!$G$22=Norm_Stats!$F$22),"",MAX(0,MIN(100,100*(MIN(MAX(City_Inputs!$AG80,Norm_Stats!$F$22),Norm_Stats!$G$22)-Norm_Stats!$F$22)/(Norm_Stats!$G$22-Norm_Stats!$F$22)))))*0.5)+IF((IF(OR(City_Inputs!$AJ80="",Norm_Stats!$F$23="",Norm_Stats!$G$23="",Norm_Stats!$G$23=Norm_Stats!$F$23),"",MAX(0,MIN(100,100*(MIN(MAX(City_Inputs!$AJ80,Norm_Stats!$F$23),Norm_Stats!$G$23)-Norm_Stats!$F$23)/(Norm_Stats!$G$23-Norm_Stats!$F$23)))))="",0,(IF(OR(City_Inputs!$AJ80="",Norm_Stats!$F$23="",Norm_Stats!$G$23="",Norm_Stats!$G$23=Norm_Stats!$F$23),"",MAX(0,MIN(100,100*(MIN(MAX(City_Inputs!$AJ80,Norm_Stats!$F$23),Norm_Stats!$G$23)-Norm_Stats!$F$23)/(Norm_Stats!$G$23-Norm_Stats!$F$23)))))*0.3)+IF((IF(OR(City_Inputs!$AK80="",Norm_Stats!$F$24="",Norm_Stats!$G$24="",Norm_Stats!$G$24=Norm_Stats!$F$24),"",MAX(0,MIN(100,100*(MIN(MAX(City_Inputs!$AK80,Norm_Stats!$F$24),Norm_Stats!$G$24)-Norm_Stats!$F$24)/(Norm_Stats!$G$24-Norm_Stats!$F$24)))))="",0,(IF(OR(City_Inputs!$AK80="",Norm_Stats!$F$24="",Norm_Stats!$G$24="",Norm_Stats!$G$24=Norm_Stats!$F$24),"",MAX(0,MIN(100,100*(MIN(MAX(City_Inputs!$AK80,Norm_Stats!$F$24),Norm_Stats!$G$24)-Norm_Stats!$F$24)/(Norm_Stats!$G$24-Norm_Stats!$F$24)))))*0.2))/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D80" s="14">
        <f>IF(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=0,"",(IF((IF(OR(City_Inputs!$AG80="",Norm_Stats!$F$22="",Norm_Stats!$G$22="",Norm_Stats!$G$22=Norm_Stats!$F$22),"",MAX(0,MIN(100,100*(MIN(MAX(City_Inputs!$AG80,Norm_Stats!$F$22),Norm_Stats!$G$22)-Norm_Stats!$F$22)/(Norm_Stats!$G$22-Norm_Stats!$F$22)))))="",0,0.5)+IF((IF(OR(City_Inputs!$AJ80="",Norm_Stats!$F$23="",Norm_Stats!$G$23="",Norm_Stats!$G$23=Norm_Stats!$F$23),"",MAX(0,MIN(100,100*(MIN(MAX(City_Inputs!$AJ80,Norm_Stats!$F$23),Norm_Stats!$G$23)-Norm_Stats!$F$23)/(Norm_Stats!$G$23-Norm_Stats!$F$23)))))="",0,0.3)+IF((IF(OR(City_Inputs!$AK80="",Norm_Stats!$F$24="",Norm_Stats!$G$24="",Norm_Stats!$G$24=Norm_Stats!$F$24),"",MAX(0,MIN(100,100*(MIN(MAX(City_Inputs!$AK80,Norm_Stats!$F$24),Norm_Stats!$G$24)-Norm_Stats!$F$24)/(Norm_Stats!$G$24-Norm_Stats!$F$24)))))="",0,0.2)))</f>
        <v/>
      </c>
      <c r="BE80" s="11">
        <f>IF(OR(City_Inputs!$AH80="",Norm_Stats!$F$25="",Norm_Stats!$G$25="",Norm_Stats!$G$25=Norm_Stats!$F$25),"",MAX(0,MIN(100,100*(Norm_Stats!$G$25-MIN(MAX(City_Inputs!$AH80,Norm_Stats!$F$25),Norm_Stats!$G$25))/(Norm_Stats!$G$25-Norm_Stats!$F$25))))</f>
        <v/>
      </c>
      <c r="BF80" s="14">
        <f>IF(BE80="","",1)</f>
        <v/>
      </c>
      <c r="BG80" s="15">
        <f>IF((IF(AY80="",0,6)+IF(BA80="",0,5)+IF(BC80="",0,5)+IF(BE80="",0,4))=0,"",(IF(AY80="",0,AY80*6)+IF(BA80="",0,BA80*5)+IF(BC80="",0,BC80*5)+IF(BE80="",0,BE80*4))/(IF(AY80="",0,6)+IF(BA80="",0,5)+IF(BC80="",0,5)+IF(BE80="",0,4)))</f>
        <v/>
      </c>
      <c r="BH80" s="14">
        <f>IF((IF(AZ80="",0,6)+IF(BB80="",0,5)+IF(BD80="",0,5)+IF(BF80="",0,4))=0,"",(IF(AZ80="",0,AZ80*6)+IF(BB80="",0,BB80*5)+IF(BD80="",0,BD80*5)+IF(BF80="",0,BF80*4))/20)</f>
        <v/>
      </c>
      <c r="BI80" s="14">
        <f>IF(AND(R80="",AF80="",AN80="",AX80="",BH80=""),"",((R80*25)+(AF80*22)+(AN80*18)+(AX80*15)+(BH80*20))/100)</f>
        <v/>
      </c>
      <c r="BJ80" s="11">
        <f>IF(BI80="","",IF(BI80&gt;=0.75,"A",IF(BI80&gt;=0.5,"B",IF(BI80&gt;=0.35,"C","Watchlist"))))</f>
        <v/>
      </c>
      <c r="BK80" s="11">
        <f>IF(OR(BI80="",BI80&lt;0.5,R80="",R80&lt;0.35,AF80="",AF80&lt;0.35,AN80="",AN80&lt;0.35,AX80="",AX80&lt;0.35,BH80="",BH80&lt;0.35),"Watchlist","Ranked")</f>
        <v/>
      </c>
      <c r="BL80" s="15">
        <f>IF(AND(Q80="",AE80="",AM80="",AW80="",BG80=""),"",(IF(Q80="",0,Q80*25)+IF(AE80="",0,AE80*22)+IF(AM80="",0,AM80*18)+IF(AW80="",0,AW80*15)+IF(BG80="",0,BG80*20))/(IF(Q80="",0,25)+IF(AE80="",0,22)+IF(AM80="",0,18)+IF(AW80="",0,15)+IF(BG80="",0,20)))</f>
        <v/>
      </c>
      <c r="BM80" s="11">
        <f>IF(BK80="Ranked",1+COUNTIFS($BK$2:$BK$158,"Ranked",$BL$2:$BL$158,"&gt;"&amp;BL80),"")</f>
        <v/>
      </c>
      <c r="BN80" s="11">
        <f>City_Inputs!$AI80</f>
        <v/>
      </c>
    </row>
    <row r="81">
      <c r="A81" t="inlineStr">
        <is>
          <t>ae-dubai</t>
        </is>
      </c>
      <c r="B81" t="inlineStr">
        <is>
          <t>Dubai</t>
        </is>
      </c>
      <c r="C81" t="inlineStr">
        <is>
          <t>United Arab Emirates</t>
        </is>
      </c>
      <c r="D81" t="inlineStr">
        <is>
          <t>Middle East</t>
        </is>
      </c>
      <c r="E81" t="inlineStr">
        <is>
          <t>locked</t>
        </is>
      </c>
      <c r="F81" t="inlineStr">
        <is>
          <t>primary</t>
        </is>
      </c>
      <c r="G81" s="11">
        <f>IF(OR(City_Inputs!$M81="",Norm_Stats!$F$2="",Norm_Stats!$G$2="",Norm_Stats!$G$2=Norm_Stats!$F$2),"",MAX(0,MIN(100,100*(MIN(MAX(City_Inputs!$M81,Norm_Stats!$F$2),Norm_Stats!$G$2)-Norm_Stats!$F$2)/(Norm_Stats!$G$2-Norm_Stats!$F$2))))</f>
        <v/>
      </c>
      <c r="H81" s="14">
        <f>IF(G81="","",1)</f>
        <v/>
      </c>
      <c r="I81" s="11">
        <f>IF(OR(City_Inputs!$N81="",Norm_Stats!$F$3="",Norm_Stats!$G$3="",Norm_Stats!$G$3=Norm_Stats!$F$3),"",MAX(0,MIN(100,100*(Norm_Stats!$G$3-MIN(MAX(City_Inputs!$N81,Norm_Stats!$F$3),Norm_Stats!$G$3))/(Norm_Stats!$G$3-Norm_Stats!$F$3))))</f>
        <v/>
      </c>
      <c r="J81" s="14">
        <f>IF(I81="","",1)</f>
        <v/>
      </c>
      <c r="K81" s="11">
        <f>IF(OR(City_Inputs!$P81="",Norm_Stats!$F$4="",Norm_Stats!$G$4="",Norm_Stats!$G$4=Norm_Stats!$F$4),"",MAX(0,MIN(100,100*(Norm_Stats!$G$4-MIN(MAX(City_Inputs!$P81,Norm_Stats!$F$4),Norm_Stats!$G$4))/(Norm_Stats!$G$4-Norm_Stats!$F$4))))</f>
        <v/>
      </c>
      <c r="L81" s="14">
        <f>IF(K81="","",1)</f>
        <v/>
      </c>
      <c r="M81" s="11">
        <f>IF(OR(City_Inputs!$Q81="",Norm_Stats!$F$5="",Norm_Stats!$G$5="",Norm_Stats!$G$5=Norm_Stats!$F$5),"",MAX(0,MIN(100,100*(Norm_Stats!$G$5-MIN(MAX(City_Inputs!$Q81,Norm_Stats!$F$5),Norm_Stats!$G$5))/(Norm_Stats!$G$5-Norm_Stats!$F$5))))</f>
        <v/>
      </c>
      <c r="N81" s="14">
        <f>IF(M81="","",1)</f>
        <v/>
      </c>
      <c r="O81" s="11">
        <f>IF(OR(City_Inputs!$R81="",Norm_Stats!$F$6="",Norm_Stats!$G$6="",Norm_Stats!$G$6=Norm_Stats!$F$6),"",MAX(0,MIN(100,100*(Norm_Stats!$G$6-MIN(MAX(City_Inputs!$R81,Norm_Stats!$F$6),Norm_Stats!$G$6))/(Norm_Stats!$G$6-Norm_Stats!$F$6))))</f>
        <v/>
      </c>
      <c r="P81" s="14">
        <f>IF(O81="","",1)</f>
        <v/>
      </c>
      <c r="Q81" s="15">
        <f>IF((IF(G81="",0,9)+IF(I81="",0,5)+IF(K81="",0,4)+IF(M81="",0,4)+IF(O81="",0,5))=0,"",(IF(G81="",0,G81*9)+IF(I81="",0,I81*5)+IF(K81="",0,K81*4)+IF(M81="",0,M81*4)+IF(O81="",0,O81*5))/(IF(G81="",0,9)+IF(I81="",0,5)+IF(K81="",0,4)+IF(M81="",0,4)+IF(O81="",0,5)))</f>
        <v/>
      </c>
      <c r="R81" s="14">
        <f>IF((IF(H81="",0,9)+IF(J81="",0,5)+IF(L81="",0,4)+IF(N81="",0,4)+IF(P81="",0,5))=0,"",(IF(H81="",0,H81*9)+IF(J81="",0,J81*5)+IF(L81="",0,L81*4)+IF(N81="",0,N81*4)+IF(P81="",0,P81*5))/27)</f>
        <v/>
      </c>
      <c r="S81" s="11">
        <f>IF(OR(City_Inputs!$S81="",Norm_Stats!$F$7="",Norm_Stats!$G$7="",Norm_Stats!$G$7=Norm_Stats!$F$7),"",MAX(0,MIN(100,100*(Norm_Stats!$G$7-MIN(MAX(City_Inputs!$S81,Norm_Stats!$F$7),Norm_Stats!$G$7))/(Norm_Stats!$G$7-Norm_Stats!$F$7))))</f>
        <v/>
      </c>
      <c r="T81" s="14">
        <f>IF(S81="","",1)</f>
        <v/>
      </c>
      <c r="U81" s="11">
        <f>IF(OR(City_Inputs!$T81="",Norm_Stats!$F$8="",Norm_Stats!$G$8="",Norm_Stats!$G$8=Norm_Stats!$F$8),"",MAX(0,MIN(100,100*(MIN(MAX(City_Inputs!$T81,Norm_Stats!$F$8),Norm_Stats!$G$8)-Norm_Stats!$F$8)/(Norm_Stats!$G$8-Norm_Stats!$F$8))))</f>
        <v/>
      </c>
      <c r="V81" s="14">
        <f>IF(U81="","",1)</f>
        <v/>
      </c>
      <c r="W81" s="11">
        <f>IF(OR(City_Inputs!$U81="",Norm_Stats!$F$9="",Norm_Stats!$G$9="",Norm_Stats!$G$9=Norm_Stats!$F$9),"",MAX(0,MIN(100,100*(Norm_Stats!$G$9-MIN(MAX(City_Inputs!$U81,Norm_Stats!$F$9),Norm_Stats!$G$9))/(Norm_Stats!$G$9-Norm_Stats!$F$9))))</f>
        <v/>
      </c>
      <c r="X81" s="14">
        <f>IF(W81="","",1)</f>
        <v/>
      </c>
      <c r="Y81" s="11">
        <f>IF(OR(City_Inputs!$V81="",Norm_Stats!$F$10="",Norm_Stats!$G$10="",Norm_Stats!$G$10=Norm_Stats!$F$10),"",MAX(0,MIN(100,100*(MIN(MAX(City_Inputs!$V81,Norm_Stats!$F$10),Norm_Stats!$G$10)-Norm_Stats!$F$10)/(Norm_Stats!$G$10-Norm_Stats!$F$10))))</f>
        <v/>
      </c>
      <c r="Z81" s="14">
        <f>IF(Y81="","",1)</f>
        <v/>
      </c>
      <c r="AA81" s="11">
        <f>IF(OR(City_Inputs!$W81="",Norm_Stats!$F$11="",Norm_Stats!$G$11="",Norm_Stats!$G$11=Norm_Stats!$F$11),"",MAX(0,MIN(100,100*(MIN(MAX(City_Inputs!$W81,Norm_Stats!$F$11),Norm_Stats!$G$11)-Norm_Stats!$F$11)/(Norm_Stats!$G$11-Norm_Stats!$F$11))))</f>
        <v/>
      </c>
      <c r="AB81" s="14">
        <f>IF(AA81="","",1)</f>
        <v/>
      </c>
      <c r="AC81" s="11">
        <f>IF(OR(City_Inputs!$X81="",Norm_Stats!$F$12="",Norm_Stats!$G$12="",Norm_Stats!$G$12=Norm_Stats!$F$12),"",MAX(0,MIN(100,100*(MIN(MAX(City_Inputs!$X81,Norm_Stats!$F$12),Norm_Stats!$G$12)-Norm_Stats!$F$12)/(Norm_Stats!$G$12-Norm_Stats!$F$12))))</f>
        <v/>
      </c>
      <c r="AD81" s="11">
        <f>IF(AC81="","",1)</f>
        <v/>
      </c>
      <c r="AE81" s="15">
        <f>IF((IF(S81="",0,5)+IF(U81="",0,5)+IF(W81="",0,4)+IF(Y81="",0,4)+IF(AA81="",0,4)+IF(AC81="",0,5))=0,"",(IF(S81="",0,S81*5)+IF(U81="",0,U81*5)+IF(W81="",0,W81*4)+IF(Y81="",0,Y81*4)+IF(AA81="",0,AA81*4)+IF(AC81="",0,AC81*5))/(IF(S81="",0,5)+IF(U81="",0,5)+IF(W81="",0,4)+IF(Y81="",0,4)+IF(AA81="",0,4)+IF(AC81="",0,5)))</f>
        <v/>
      </c>
      <c r="AF81" s="14">
        <f>IF((IF(T81="",0,5)+IF(V81="",0,5)+IF(X81="",0,4)+IF(Z81="",0,4)+IF(AB81="",0,4)+IF(AD81="",0,5))=0,"",(IF(T81="",0,T81*5)+IF(V81="",0,V81*5)+IF(X81="",0,X81*4)+IF(Z81="",0,Z81*4)+IF(AB81="",0,AB81*4)+IF(AD81="",0,AD81*5))/27)</f>
        <v/>
      </c>
      <c r="AG81" s="11">
        <f>IF(OR(City_Inputs!$Y81="",Norm_Stats!$F$13="",Norm_Stats!$G$13="",Norm_Stats!$G$13=Norm_Stats!$F$13),"",MAX(0,MIN(100,100*(MIN(MAX(City_Inputs!$Y81,Norm_Stats!$F$13),Norm_Stats!$G$13)-Norm_Stats!$F$13)/(Norm_Stats!$G$13-Norm_Stats!$F$13))))</f>
        <v/>
      </c>
      <c r="AH81" s="14">
        <f>IF(AG81="","",1)</f>
        <v/>
      </c>
      <c r="AI81" s="11">
        <f>IF(OR(City_Inputs!$Z81="",Norm_Stats!$F$14="",Norm_Stats!$G$14="",Norm_Stats!$G$14=Norm_Stats!$F$14),"",MAX(0,MIN(100,100*(MIN(MAX(City_Inputs!$Z81,Norm_Stats!$F$14),Norm_Stats!$G$14)-Norm_Stats!$F$14)/(Norm_Stats!$G$14-Norm_Stats!$F$14))))</f>
        <v/>
      </c>
      <c r="AJ81" s="14">
        <f>IF(AI81="","",1)</f>
        <v/>
      </c>
      <c r="AK81" s="11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(IF(OR(City_Inputs!$AA81="",Norm_Stats!$F$15="",Norm_Stats!$G$15="",Norm_Stats!$G$15=Norm_Stats!$F$15),"",MAX(0,MIN(100,100*(MIN(MAX(City_Inputs!$AA81,Norm_Stats!$F$15),Norm_Stats!$G$15)-Norm_Stats!$F$15)/(Norm_Stats!$G$15-Norm_Stats!$F$15)))))*0.7)+IF((IF(OR(City_Inputs!$AL81="",Norm_Stats!$F$16="",Norm_Stats!$G$16="",Norm_Stats!$G$16=Norm_Stats!$F$16),"",MAX(0,MIN(100,100*(Norm_Stats!$G$16-MIN(MAX(City_Inputs!$AL81,Norm_Stats!$F$16),Norm_Stats!$G$16))/(Norm_Stats!$G$16-Norm_Stats!$F$16)))))="",0,(IF(OR(City_Inputs!$AL81="",Norm_Stats!$F$16="",Norm_Stats!$G$16="",Norm_Stats!$G$16=Norm_Stats!$F$16),"",MAX(0,MIN(100,100*(Norm_Stats!$G$16-MIN(MAX(City_Inputs!$AL81,Norm_Stats!$F$16),Norm_Stats!$G$16))/(Norm_Stats!$G$16-Norm_Stats!$F$16)))))*0.3))/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L81" s="14">
        <f>IF(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=0,"",(IF((IF(OR(City_Inputs!$AA81="",Norm_Stats!$F$15="",Norm_Stats!$G$15="",Norm_Stats!$G$15=Norm_Stats!$F$15),"",MAX(0,MIN(100,100*(MIN(MAX(City_Inputs!$AA81,Norm_Stats!$F$15),Norm_Stats!$G$15)-Norm_Stats!$F$15)/(Norm_Stats!$G$15-Norm_Stats!$F$15)))))="",0,0.7)+IF((IF(OR(City_Inputs!$AL81="",Norm_Stats!$F$16="",Norm_Stats!$G$16="",Norm_Stats!$G$16=Norm_Stats!$F$16),"",MAX(0,MIN(100,100*(Norm_Stats!$G$16-MIN(MAX(City_Inputs!$AL81,Norm_Stats!$F$16),Norm_Stats!$G$16))/(Norm_Stats!$G$16-Norm_Stats!$F$16)))))="",0,0.3)))</f>
        <v/>
      </c>
      <c r="AM81" s="15">
        <f>IF((IF(AG81="",0,8)+IF(AI81="",0,6)+IF(AK81="",0,4))=0,"",(IF(AG81="",0,AG81*8)+IF(AI81="",0,AI81*6)+IF(AK81="",0,AK81*4))/(IF(AG81="",0,8)+IF(AI81="",0,6)+IF(AK81="",0,4)))</f>
        <v/>
      </c>
      <c r="AN81" s="14">
        <f>IF((IF(AH81="",0,8)+IF(AJ81="",0,6)+IF(AL81="",0,4))=0,"",(IF(AH81="",0,AH81*8)+IF(AJ81="",0,AJ81*6)+IF(AL81="",0,AL81*4))/18)</f>
        <v/>
      </c>
      <c r="AO81" s="11">
        <f>IF(OR(City_Inputs!$AB81="",Norm_Stats!$F$17="",Norm_Stats!$G$17="",Norm_Stats!$G$17=Norm_Stats!$F$17),"",MAX(0,MIN(100,100*(MIN(MAX(City_Inputs!$AB81,Norm_Stats!$F$17),Norm_Stats!$G$17)-Norm_Stats!$F$17)/(Norm_Stats!$G$17-Norm_Stats!$F$17))))</f>
        <v/>
      </c>
      <c r="AP81" s="14">
        <f>IF(AO81="","",1)</f>
        <v/>
      </c>
      <c r="AQ81" s="11">
        <f>IF(OR(City_Inputs!$AC81="",Norm_Stats!$F$18="",Norm_Stats!$G$18="",Norm_Stats!$G$18=Norm_Stats!$F$18),"",MAX(0,MIN(100,100*(MIN(MAX(City_Inputs!$AC81,Norm_Stats!$F$18),Norm_Stats!$G$18)-Norm_Stats!$F$18)/(Norm_Stats!$G$18-Norm_Stats!$F$18))))</f>
        <v/>
      </c>
      <c r="AR81" s="14">
        <f>IF(AQ81="","",1)</f>
        <v/>
      </c>
      <c r="AS81" s="11">
        <f>IF(OR(City_Inputs!$AD81="",Norm_Stats!$F$19="",Norm_Stats!$G$19="",Norm_Stats!$G$19=Norm_Stats!$F$19),"",MAX(0,MIN(100,100*(MIN(MAX(City_Inputs!$AD81,Norm_Stats!$F$19),Norm_Stats!$G$19)-Norm_Stats!$F$19)/(Norm_Stats!$G$19-Norm_Stats!$F$19))))</f>
        <v/>
      </c>
      <c r="AT81" s="14">
        <f>IF(AS81="","",1)</f>
        <v/>
      </c>
      <c r="AU81" s="11">
        <f>IF(OR(City_Inputs!$BJ81="",Norm_Stats!$F$26="",Norm_Stats!$G$26="",Norm_Stats!$G$26=Norm_Stats!$F$26),"",MAX(0,MIN(100,100*(MIN(MAX(City_Inputs!$BJ81,Norm_Stats!$F$26),Norm_Stats!$G$26)-Norm_Stats!$F$26)/(Norm_Stats!$G$26-Norm_Stats!$F$26))))</f>
        <v/>
      </c>
      <c r="AV81" s="11">
        <f>IF(AU81="","",1)</f>
        <v/>
      </c>
      <c r="AW81" s="15">
        <f>IF((IF(AO81="",0,5)+IF(AQ81="",0,5)+IF(AS81="",0,5)+IF(AU81="",0,4))=0,"",(IF(AO81="",0,AO81*5)+IF(AQ81="",0,AQ81*5)+IF(AS81="",0,AS81*5)+IF(AU81="",0,AU81*4))/(IF(AO81="",0,5)+IF(AQ81="",0,5)+IF(AS81="",0,5)+IF(AU81="",0,4)))</f>
        <v/>
      </c>
      <c r="AX81" s="14">
        <f>IF((IF(AP81="",0,5)+IF(AR81="",0,5)+IF(AT81="",0,5)+IF(AV81="",0,4))=0,"",(IF(AP81="",0,AP81*5)+IF(AR81="",0,AR81*5)+IF(AT81="",0,AT81*5)+IF(AV81="",0,AV81*4))/19)</f>
        <v/>
      </c>
      <c r="AY81" s="11">
        <f>IF(OR(City_Inputs!$AE81="",Norm_Stats!$F$20="",Norm_Stats!$G$20="",Norm_Stats!$G$20=Norm_Stats!$F$20),"",MAX(0,MIN(100,100*(MIN(MAX(City_Inputs!$AE81,Norm_Stats!$F$20),Norm_Stats!$G$20)-Norm_Stats!$F$20)/(Norm_Stats!$G$20-Norm_Stats!$F$20))))</f>
        <v/>
      </c>
      <c r="AZ81" s="14">
        <f>IF(AY81="","",1)</f>
        <v/>
      </c>
      <c r="BA81" s="11">
        <f>IF(OR(City_Inputs!$AF81="",Norm_Stats!$F$21="",Norm_Stats!$G$21="",Norm_Stats!$G$21=Norm_Stats!$F$21),"",MAX(0,MIN(100,100*(MIN(MAX(City_Inputs!$AF81,Norm_Stats!$F$21),Norm_Stats!$G$21)-Norm_Stats!$F$21)/(Norm_Stats!$G$21-Norm_Stats!$F$21))))</f>
        <v/>
      </c>
      <c r="BB81" s="14">
        <f>IF(BA81="","",1)</f>
        <v/>
      </c>
      <c r="BC81" s="11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(IF(OR(City_Inputs!$AG81="",Norm_Stats!$F$22="",Norm_Stats!$G$22="",Norm_Stats!$G$22=Norm_Stats!$F$22),"",MAX(0,MIN(100,100*(MIN(MAX(City_Inputs!$AG81,Norm_Stats!$F$22),Norm_Stats!$G$22)-Norm_Stats!$F$22)/(Norm_Stats!$G$22-Norm_Stats!$F$22)))))*0.5)+IF((IF(OR(City_Inputs!$AJ81="",Norm_Stats!$F$23="",Norm_Stats!$G$23="",Norm_Stats!$G$23=Norm_Stats!$F$23),"",MAX(0,MIN(100,100*(MIN(MAX(City_Inputs!$AJ81,Norm_Stats!$F$23),Norm_Stats!$G$23)-Norm_Stats!$F$23)/(Norm_Stats!$G$23-Norm_Stats!$F$23)))))="",0,(IF(OR(City_Inputs!$AJ81="",Norm_Stats!$F$23="",Norm_Stats!$G$23="",Norm_Stats!$G$23=Norm_Stats!$F$23),"",MAX(0,MIN(100,100*(MIN(MAX(City_Inputs!$AJ81,Norm_Stats!$F$23),Norm_Stats!$G$23)-Norm_Stats!$F$23)/(Norm_Stats!$G$23-Norm_Stats!$F$23)))))*0.3)+IF((IF(OR(City_Inputs!$AK81="",Norm_Stats!$F$24="",Norm_Stats!$G$24="",Norm_Stats!$G$24=Norm_Stats!$F$24),"",MAX(0,MIN(100,100*(MIN(MAX(City_Inputs!$AK81,Norm_Stats!$F$24),Norm_Stats!$G$24)-Norm_Stats!$F$24)/(Norm_Stats!$G$24-Norm_Stats!$F$24)))))="",0,(IF(OR(City_Inputs!$AK81="",Norm_Stats!$F$24="",Norm_Stats!$G$24="",Norm_Stats!$G$24=Norm_Stats!$F$24),"",MAX(0,MIN(100,100*(MIN(MAX(City_Inputs!$AK81,Norm_Stats!$F$24),Norm_Stats!$G$24)-Norm_Stats!$F$24)/(Norm_Stats!$G$24-Norm_Stats!$F$24)))))*0.2))/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D81" s="14">
        <f>IF(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=0,"",(IF((IF(OR(City_Inputs!$AG81="",Norm_Stats!$F$22="",Norm_Stats!$G$22="",Norm_Stats!$G$22=Norm_Stats!$F$22),"",MAX(0,MIN(100,100*(MIN(MAX(City_Inputs!$AG81,Norm_Stats!$F$22),Norm_Stats!$G$22)-Norm_Stats!$F$22)/(Norm_Stats!$G$22-Norm_Stats!$F$22)))))="",0,0.5)+IF((IF(OR(City_Inputs!$AJ81="",Norm_Stats!$F$23="",Norm_Stats!$G$23="",Norm_Stats!$G$23=Norm_Stats!$F$23),"",MAX(0,MIN(100,100*(MIN(MAX(City_Inputs!$AJ81,Norm_Stats!$F$23),Norm_Stats!$G$23)-Norm_Stats!$F$23)/(Norm_Stats!$G$23-Norm_Stats!$F$23)))))="",0,0.3)+IF((IF(OR(City_Inputs!$AK81="",Norm_Stats!$F$24="",Norm_Stats!$G$24="",Norm_Stats!$G$24=Norm_Stats!$F$24),"",MAX(0,MIN(100,100*(MIN(MAX(City_Inputs!$AK81,Norm_Stats!$F$24),Norm_Stats!$G$24)-Norm_Stats!$F$24)/(Norm_Stats!$G$24-Norm_Stats!$F$24)))))="",0,0.2)))</f>
        <v/>
      </c>
      <c r="BE81" s="11">
        <f>IF(OR(City_Inputs!$AH81="",Norm_Stats!$F$25="",Norm_Stats!$G$25="",Norm_Stats!$G$25=Norm_Stats!$F$25),"",MAX(0,MIN(100,100*(Norm_Stats!$G$25-MIN(MAX(City_Inputs!$AH81,Norm_Stats!$F$25),Norm_Stats!$G$25))/(Norm_Stats!$G$25-Norm_Stats!$F$25))))</f>
        <v/>
      </c>
      <c r="BF81" s="14">
        <f>IF(BE81="","",1)</f>
        <v/>
      </c>
      <c r="BG81" s="15">
        <f>IF((IF(AY81="",0,6)+IF(BA81="",0,5)+IF(BC81="",0,5)+IF(BE81="",0,4))=0,"",(IF(AY81="",0,AY81*6)+IF(BA81="",0,BA81*5)+IF(BC81="",0,BC81*5)+IF(BE81="",0,BE81*4))/(IF(AY81="",0,6)+IF(BA81="",0,5)+IF(BC81="",0,5)+IF(BE81="",0,4)))</f>
        <v/>
      </c>
      <c r="BH81" s="14">
        <f>IF((IF(AZ81="",0,6)+IF(BB81="",0,5)+IF(BD81="",0,5)+IF(BF81="",0,4))=0,"",(IF(AZ81="",0,AZ81*6)+IF(BB81="",0,BB81*5)+IF(BD81="",0,BD81*5)+IF(BF81="",0,BF81*4))/20)</f>
        <v/>
      </c>
      <c r="BI81" s="14">
        <f>IF(AND(R81="",AF81="",AN81="",AX81="",BH81=""),"",((R81*25)+(AF81*22)+(AN81*18)+(AX81*15)+(BH81*20))/100)</f>
        <v/>
      </c>
      <c r="BJ81" s="11">
        <f>IF(BI81="","",IF(BI81&gt;=0.75,"A",IF(BI81&gt;=0.5,"B",IF(BI81&gt;=0.35,"C","Watchlist"))))</f>
        <v/>
      </c>
      <c r="BK81" s="11">
        <f>IF(OR(BI81="",BI81&lt;0.5,R81="",R81&lt;0.35,AF81="",AF81&lt;0.35,AN81="",AN81&lt;0.35,AX81="",AX81&lt;0.35,BH81="",BH81&lt;0.35),"Watchlist","Ranked")</f>
        <v/>
      </c>
      <c r="BL81" s="15">
        <f>IF(AND(Q81="",AE81="",AM81="",AW81="",BG81=""),"",(IF(Q81="",0,Q81*25)+IF(AE81="",0,AE81*22)+IF(AM81="",0,AM81*18)+IF(AW81="",0,AW81*15)+IF(BG81="",0,BG81*20))/(IF(Q81="",0,25)+IF(AE81="",0,22)+IF(AM81="",0,18)+IF(AW81="",0,15)+IF(BG81="",0,20)))</f>
        <v/>
      </c>
      <c r="BM81" s="11">
        <f>IF(BK81="Ranked",1+COUNTIFS($BK$2:$BK$158,"Ranked",$BL$2:$BL$158,"&gt;"&amp;BL81),"")</f>
        <v/>
      </c>
      <c r="BN81" s="11">
        <f>City_Inputs!$AI81</f>
        <v/>
      </c>
    </row>
    <row r="82">
      <c r="A82" t="inlineStr">
        <is>
          <t>ae-abu-dhabi</t>
        </is>
      </c>
      <c r="B82" t="inlineStr">
        <is>
          <t>Abu Dhabi</t>
        </is>
      </c>
      <c r="C82" t="inlineStr">
        <is>
          <t>United Arab Emirates</t>
        </is>
      </c>
      <c r="D82" t="inlineStr">
        <is>
          <t>Middle East</t>
        </is>
      </c>
      <c r="E82" t="inlineStr">
        <is>
          <t>locked</t>
        </is>
      </c>
      <c r="F82" t="inlineStr">
        <is>
          <t>primary</t>
        </is>
      </c>
      <c r="G82" s="11">
        <f>IF(OR(City_Inputs!$M82="",Norm_Stats!$F$2="",Norm_Stats!$G$2="",Norm_Stats!$G$2=Norm_Stats!$F$2),"",MAX(0,MIN(100,100*(MIN(MAX(City_Inputs!$M82,Norm_Stats!$F$2),Norm_Stats!$G$2)-Norm_Stats!$F$2)/(Norm_Stats!$G$2-Norm_Stats!$F$2))))</f>
        <v/>
      </c>
      <c r="H82" s="14">
        <f>IF(G82="","",1)</f>
        <v/>
      </c>
      <c r="I82" s="11">
        <f>IF(OR(City_Inputs!$N82="",Norm_Stats!$F$3="",Norm_Stats!$G$3="",Norm_Stats!$G$3=Norm_Stats!$F$3),"",MAX(0,MIN(100,100*(Norm_Stats!$G$3-MIN(MAX(City_Inputs!$N82,Norm_Stats!$F$3),Norm_Stats!$G$3))/(Norm_Stats!$G$3-Norm_Stats!$F$3))))</f>
        <v/>
      </c>
      <c r="J82" s="14">
        <f>IF(I82="","",1)</f>
        <v/>
      </c>
      <c r="K82" s="11">
        <f>IF(OR(City_Inputs!$P82="",Norm_Stats!$F$4="",Norm_Stats!$G$4="",Norm_Stats!$G$4=Norm_Stats!$F$4),"",MAX(0,MIN(100,100*(Norm_Stats!$G$4-MIN(MAX(City_Inputs!$P82,Norm_Stats!$F$4),Norm_Stats!$G$4))/(Norm_Stats!$G$4-Norm_Stats!$F$4))))</f>
        <v/>
      </c>
      <c r="L82" s="14">
        <f>IF(K82="","",1)</f>
        <v/>
      </c>
      <c r="M82" s="11">
        <f>IF(OR(City_Inputs!$Q82="",Norm_Stats!$F$5="",Norm_Stats!$G$5="",Norm_Stats!$G$5=Norm_Stats!$F$5),"",MAX(0,MIN(100,100*(Norm_Stats!$G$5-MIN(MAX(City_Inputs!$Q82,Norm_Stats!$F$5),Norm_Stats!$G$5))/(Norm_Stats!$G$5-Norm_Stats!$F$5))))</f>
        <v/>
      </c>
      <c r="N82" s="14">
        <f>IF(M82="","",1)</f>
        <v/>
      </c>
      <c r="O82" s="11">
        <f>IF(OR(City_Inputs!$R82="",Norm_Stats!$F$6="",Norm_Stats!$G$6="",Norm_Stats!$G$6=Norm_Stats!$F$6),"",MAX(0,MIN(100,100*(Norm_Stats!$G$6-MIN(MAX(City_Inputs!$R82,Norm_Stats!$F$6),Norm_Stats!$G$6))/(Norm_Stats!$G$6-Norm_Stats!$F$6))))</f>
        <v/>
      </c>
      <c r="P82" s="14">
        <f>IF(O82="","",1)</f>
        <v/>
      </c>
      <c r="Q82" s="15">
        <f>IF((IF(G82="",0,9)+IF(I82="",0,5)+IF(K82="",0,4)+IF(M82="",0,4)+IF(O82="",0,5))=0,"",(IF(G82="",0,G82*9)+IF(I82="",0,I82*5)+IF(K82="",0,K82*4)+IF(M82="",0,M82*4)+IF(O82="",0,O82*5))/(IF(G82="",0,9)+IF(I82="",0,5)+IF(K82="",0,4)+IF(M82="",0,4)+IF(O82="",0,5)))</f>
        <v/>
      </c>
      <c r="R82" s="14">
        <f>IF((IF(H82="",0,9)+IF(J82="",0,5)+IF(L82="",0,4)+IF(N82="",0,4)+IF(P82="",0,5))=0,"",(IF(H82="",0,H82*9)+IF(J82="",0,J82*5)+IF(L82="",0,L82*4)+IF(N82="",0,N82*4)+IF(P82="",0,P82*5))/27)</f>
        <v/>
      </c>
      <c r="S82" s="11">
        <f>IF(OR(City_Inputs!$S82="",Norm_Stats!$F$7="",Norm_Stats!$G$7="",Norm_Stats!$G$7=Norm_Stats!$F$7),"",MAX(0,MIN(100,100*(Norm_Stats!$G$7-MIN(MAX(City_Inputs!$S82,Norm_Stats!$F$7),Norm_Stats!$G$7))/(Norm_Stats!$G$7-Norm_Stats!$F$7))))</f>
        <v/>
      </c>
      <c r="T82" s="14">
        <f>IF(S82="","",1)</f>
        <v/>
      </c>
      <c r="U82" s="11">
        <f>IF(OR(City_Inputs!$T82="",Norm_Stats!$F$8="",Norm_Stats!$G$8="",Norm_Stats!$G$8=Norm_Stats!$F$8),"",MAX(0,MIN(100,100*(MIN(MAX(City_Inputs!$T82,Norm_Stats!$F$8),Norm_Stats!$G$8)-Norm_Stats!$F$8)/(Norm_Stats!$G$8-Norm_Stats!$F$8))))</f>
        <v/>
      </c>
      <c r="V82" s="14">
        <f>IF(U82="","",1)</f>
        <v/>
      </c>
      <c r="W82" s="11">
        <f>IF(OR(City_Inputs!$U82="",Norm_Stats!$F$9="",Norm_Stats!$G$9="",Norm_Stats!$G$9=Norm_Stats!$F$9),"",MAX(0,MIN(100,100*(Norm_Stats!$G$9-MIN(MAX(City_Inputs!$U82,Norm_Stats!$F$9),Norm_Stats!$G$9))/(Norm_Stats!$G$9-Norm_Stats!$F$9))))</f>
        <v/>
      </c>
      <c r="X82" s="14">
        <f>IF(W82="","",1)</f>
        <v/>
      </c>
      <c r="Y82" s="11">
        <f>IF(OR(City_Inputs!$V82="",Norm_Stats!$F$10="",Norm_Stats!$G$10="",Norm_Stats!$G$10=Norm_Stats!$F$10),"",MAX(0,MIN(100,100*(MIN(MAX(City_Inputs!$V82,Norm_Stats!$F$10),Norm_Stats!$G$10)-Norm_Stats!$F$10)/(Norm_Stats!$G$10-Norm_Stats!$F$10))))</f>
        <v/>
      </c>
      <c r="Z82" s="14">
        <f>IF(Y82="","",1)</f>
        <v/>
      </c>
      <c r="AA82" s="11">
        <f>IF(OR(City_Inputs!$W82="",Norm_Stats!$F$11="",Norm_Stats!$G$11="",Norm_Stats!$G$11=Norm_Stats!$F$11),"",MAX(0,MIN(100,100*(MIN(MAX(City_Inputs!$W82,Norm_Stats!$F$11),Norm_Stats!$G$11)-Norm_Stats!$F$11)/(Norm_Stats!$G$11-Norm_Stats!$F$11))))</f>
        <v/>
      </c>
      <c r="AB82" s="14">
        <f>IF(AA82="","",1)</f>
        <v/>
      </c>
      <c r="AC82" s="11">
        <f>IF(OR(City_Inputs!$X82="",Norm_Stats!$F$12="",Norm_Stats!$G$12="",Norm_Stats!$G$12=Norm_Stats!$F$12),"",MAX(0,MIN(100,100*(MIN(MAX(City_Inputs!$X82,Norm_Stats!$F$12),Norm_Stats!$G$12)-Norm_Stats!$F$12)/(Norm_Stats!$G$12-Norm_Stats!$F$12))))</f>
        <v/>
      </c>
      <c r="AD82" s="11">
        <f>IF(AC82="","",1)</f>
        <v/>
      </c>
      <c r="AE82" s="15">
        <f>IF((IF(S82="",0,5)+IF(U82="",0,5)+IF(W82="",0,4)+IF(Y82="",0,4)+IF(AA82="",0,4)+IF(AC82="",0,5))=0,"",(IF(S82="",0,S82*5)+IF(U82="",0,U82*5)+IF(W82="",0,W82*4)+IF(Y82="",0,Y82*4)+IF(AA82="",0,AA82*4)+IF(AC82="",0,AC82*5))/(IF(S82="",0,5)+IF(U82="",0,5)+IF(W82="",0,4)+IF(Y82="",0,4)+IF(AA82="",0,4)+IF(AC82="",0,5)))</f>
        <v/>
      </c>
      <c r="AF82" s="14">
        <f>IF((IF(T82="",0,5)+IF(V82="",0,5)+IF(X82="",0,4)+IF(Z82="",0,4)+IF(AB82="",0,4)+IF(AD82="",0,5))=0,"",(IF(T82="",0,T82*5)+IF(V82="",0,V82*5)+IF(X82="",0,X82*4)+IF(Z82="",0,Z82*4)+IF(AB82="",0,AB82*4)+IF(AD82="",0,AD82*5))/27)</f>
        <v/>
      </c>
      <c r="AG82" s="11">
        <f>IF(OR(City_Inputs!$Y82="",Norm_Stats!$F$13="",Norm_Stats!$G$13="",Norm_Stats!$G$13=Norm_Stats!$F$13),"",MAX(0,MIN(100,100*(MIN(MAX(City_Inputs!$Y82,Norm_Stats!$F$13),Norm_Stats!$G$13)-Norm_Stats!$F$13)/(Norm_Stats!$G$13-Norm_Stats!$F$13))))</f>
        <v/>
      </c>
      <c r="AH82" s="14">
        <f>IF(AG82="","",1)</f>
        <v/>
      </c>
      <c r="AI82" s="11">
        <f>IF(OR(City_Inputs!$Z82="",Norm_Stats!$F$14="",Norm_Stats!$G$14="",Norm_Stats!$G$14=Norm_Stats!$F$14),"",MAX(0,MIN(100,100*(MIN(MAX(City_Inputs!$Z82,Norm_Stats!$F$14),Norm_Stats!$G$14)-Norm_Stats!$F$14)/(Norm_Stats!$G$14-Norm_Stats!$F$14))))</f>
        <v/>
      </c>
      <c r="AJ82" s="14">
        <f>IF(AI82="","",1)</f>
        <v/>
      </c>
      <c r="AK82" s="11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(IF(OR(City_Inputs!$AA82="",Norm_Stats!$F$15="",Norm_Stats!$G$15="",Norm_Stats!$G$15=Norm_Stats!$F$15),"",MAX(0,MIN(100,100*(MIN(MAX(City_Inputs!$AA82,Norm_Stats!$F$15),Norm_Stats!$G$15)-Norm_Stats!$F$15)/(Norm_Stats!$G$15-Norm_Stats!$F$15)))))*0.7)+IF((IF(OR(City_Inputs!$AL82="",Norm_Stats!$F$16="",Norm_Stats!$G$16="",Norm_Stats!$G$16=Norm_Stats!$F$16),"",MAX(0,MIN(100,100*(Norm_Stats!$G$16-MIN(MAX(City_Inputs!$AL82,Norm_Stats!$F$16),Norm_Stats!$G$16))/(Norm_Stats!$G$16-Norm_Stats!$F$16)))))="",0,(IF(OR(City_Inputs!$AL82="",Norm_Stats!$F$16="",Norm_Stats!$G$16="",Norm_Stats!$G$16=Norm_Stats!$F$16),"",MAX(0,MIN(100,100*(Norm_Stats!$G$16-MIN(MAX(City_Inputs!$AL82,Norm_Stats!$F$16),Norm_Stats!$G$16))/(Norm_Stats!$G$16-Norm_Stats!$F$16)))))*0.3))/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L82" s="14">
        <f>IF(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=0,"",(IF((IF(OR(City_Inputs!$AA82="",Norm_Stats!$F$15="",Norm_Stats!$G$15="",Norm_Stats!$G$15=Norm_Stats!$F$15),"",MAX(0,MIN(100,100*(MIN(MAX(City_Inputs!$AA82,Norm_Stats!$F$15),Norm_Stats!$G$15)-Norm_Stats!$F$15)/(Norm_Stats!$G$15-Norm_Stats!$F$15)))))="",0,0.7)+IF((IF(OR(City_Inputs!$AL82="",Norm_Stats!$F$16="",Norm_Stats!$G$16="",Norm_Stats!$G$16=Norm_Stats!$F$16),"",MAX(0,MIN(100,100*(Norm_Stats!$G$16-MIN(MAX(City_Inputs!$AL82,Norm_Stats!$F$16),Norm_Stats!$G$16))/(Norm_Stats!$G$16-Norm_Stats!$F$16)))))="",0,0.3)))</f>
        <v/>
      </c>
      <c r="AM82" s="15">
        <f>IF((IF(AG82="",0,8)+IF(AI82="",0,6)+IF(AK82="",0,4))=0,"",(IF(AG82="",0,AG82*8)+IF(AI82="",0,AI82*6)+IF(AK82="",0,AK82*4))/(IF(AG82="",0,8)+IF(AI82="",0,6)+IF(AK82="",0,4)))</f>
        <v/>
      </c>
      <c r="AN82" s="14">
        <f>IF((IF(AH82="",0,8)+IF(AJ82="",0,6)+IF(AL82="",0,4))=0,"",(IF(AH82="",0,AH82*8)+IF(AJ82="",0,AJ82*6)+IF(AL82="",0,AL82*4))/18)</f>
        <v/>
      </c>
      <c r="AO82" s="11">
        <f>IF(OR(City_Inputs!$AB82="",Norm_Stats!$F$17="",Norm_Stats!$G$17="",Norm_Stats!$G$17=Norm_Stats!$F$17),"",MAX(0,MIN(100,100*(MIN(MAX(City_Inputs!$AB82,Norm_Stats!$F$17),Norm_Stats!$G$17)-Norm_Stats!$F$17)/(Norm_Stats!$G$17-Norm_Stats!$F$17))))</f>
        <v/>
      </c>
      <c r="AP82" s="14">
        <f>IF(AO82="","",1)</f>
        <v/>
      </c>
      <c r="AQ82" s="11">
        <f>IF(OR(City_Inputs!$AC82="",Norm_Stats!$F$18="",Norm_Stats!$G$18="",Norm_Stats!$G$18=Norm_Stats!$F$18),"",MAX(0,MIN(100,100*(MIN(MAX(City_Inputs!$AC82,Norm_Stats!$F$18),Norm_Stats!$G$18)-Norm_Stats!$F$18)/(Norm_Stats!$G$18-Norm_Stats!$F$18))))</f>
        <v/>
      </c>
      <c r="AR82" s="14">
        <f>IF(AQ82="","",1)</f>
        <v/>
      </c>
      <c r="AS82" s="11">
        <f>IF(OR(City_Inputs!$AD82="",Norm_Stats!$F$19="",Norm_Stats!$G$19="",Norm_Stats!$G$19=Norm_Stats!$F$19),"",MAX(0,MIN(100,100*(MIN(MAX(City_Inputs!$AD82,Norm_Stats!$F$19),Norm_Stats!$G$19)-Norm_Stats!$F$19)/(Norm_Stats!$G$19-Norm_Stats!$F$19))))</f>
        <v/>
      </c>
      <c r="AT82" s="14">
        <f>IF(AS82="","",1)</f>
        <v/>
      </c>
      <c r="AU82" s="11">
        <f>IF(OR(City_Inputs!$BJ82="",Norm_Stats!$F$26="",Norm_Stats!$G$26="",Norm_Stats!$G$26=Norm_Stats!$F$26),"",MAX(0,MIN(100,100*(MIN(MAX(City_Inputs!$BJ82,Norm_Stats!$F$26),Norm_Stats!$G$26)-Norm_Stats!$F$26)/(Norm_Stats!$G$26-Norm_Stats!$F$26))))</f>
        <v/>
      </c>
      <c r="AV82" s="11">
        <f>IF(AU82="","",1)</f>
        <v/>
      </c>
      <c r="AW82" s="15">
        <f>IF((IF(AO82="",0,5)+IF(AQ82="",0,5)+IF(AS82="",0,5)+IF(AU82="",0,4))=0,"",(IF(AO82="",0,AO82*5)+IF(AQ82="",0,AQ82*5)+IF(AS82="",0,AS82*5)+IF(AU82="",0,AU82*4))/(IF(AO82="",0,5)+IF(AQ82="",0,5)+IF(AS82="",0,5)+IF(AU82="",0,4)))</f>
        <v/>
      </c>
      <c r="AX82" s="14">
        <f>IF((IF(AP82="",0,5)+IF(AR82="",0,5)+IF(AT82="",0,5)+IF(AV82="",0,4))=0,"",(IF(AP82="",0,AP82*5)+IF(AR82="",0,AR82*5)+IF(AT82="",0,AT82*5)+IF(AV82="",0,AV82*4))/19)</f>
        <v/>
      </c>
      <c r="AY82" s="11">
        <f>IF(OR(City_Inputs!$AE82="",Norm_Stats!$F$20="",Norm_Stats!$G$20="",Norm_Stats!$G$20=Norm_Stats!$F$20),"",MAX(0,MIN(100,100*(MIN(MAX(City_Inputs!$AE82,Norm_Stats!$F$20),Norm_Stats!$G$20)-Norm_Stats!$F$20)/(Norm_Stats!$G$20-Norm_Stats!$F$20))))</f>
        <v/>
      </c>
      <c r="AZ82" s="14">
        <f>IF(AY82="","",1)</f>
        <v/>
      </c>
      <c r="BA82" s="11">
        <f>IF(OR(City_Inputs!$AF82="",Norm_Stats!$F$21="",Norm_Stats!$G$21="",Norm_Stats!$G$21=Norm_Stats!$F$21),"",MAX(0,MIN(100,100*(MIN(MAX(City_Inputs!$AF82,Norm_Stats!$F$21),Norm_Stats!$G$21)-Norm_Stats!$F$21)/(Norm_Stats!$G$21-Norm_Stats!$F$21))))</f>
        <v/>
      </c>
      <c r="BB82" s="14">
        <f>IF(BA82="","",1)</f>
        <v/>
      </c>
      <c r="BC82" s="11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(IF(OR(City_Inputs!$AG82="",Norm_Stats!$F$22="",Norm_Stats!$G$22="",Norm_Stats!$G$22=Norm_Stats!$F$22),"",MAX(0,MIN(100,100*(MIN(MAX(City_Inputs!$AG82,Norm_Stats!$F$22),Norm_Stats!$G$22)-Norm_Stats!$F$22)/(Norm_Stats!$G$22-Norm_Stats!$F$22)))))*0.5)+IF((IF(OR(City_Inputs!$AJ82="",Norm_Stats!$F$23="",Norm_Stats!$G$23="",Norm_Stats!$G$23=Norm_Stats!$F$23),"",MAX(0,MIN(100,100*(MIN(MAX(City_Inputs!$AJ82,Norm_Stats!$F$23),Norm_Stats!$G$23)-Norm_Stats!$F$23)/(Norm_Stats!$G$23-Norm_Stats!$F$23)))))="",0,(IF(OR(City_Inputs!$AJ82="",Norm_Stats!$F$23="",Norm_Stats!$G$23="",Norm_Stats!$G$23=Norm_Stats!$F$23),"",MAX(0,MIN(100,100*(MIN(MAX(City_Inputs!$AJ82,Norm_Stats!$F$23),Norm_Stats!$G$23)-Norm_Stats!$F$23)/(Norm_Stats!$G$23-Norm_Stats!$F$23)))))*0.3)+IF((IF(OR(City_Inputs!$AK82="",Norm_Stats!$F$24="",Norm_Stats!$G$24="",Norm_Stats!$G$24=Norm_Stats!$F$24),"",MAX(0,MIN(100,100*(MIN(MAX(City_Inputs!$AK82,Norm_Stats!$F$24),Norm_Stats!$G$24)-Norm_Stats!$F$24)/(Norm_Stats!$G$24-Norm_Stats!$F$24)))))="",0,(IF(OR(City_Inputs!$AK82="",Norm_Stats!$F$24="",Norm_Stats!$G$24="",Norm_Stats!$G$24=Norm_Stats!$F$24),"",MAX(0,MIN(100,100*(MIN(MAX(City_Inputs!$AK82,Norm_Stats!$F$24),Norm_Stats!$G$24)-Norm_Stats!$F$24)/(Norm_Stats!$G$24-Norm_Stats!$F$24)))))*0.2))/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D82" s="14">
        <f>IF(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=0,"",(IF((IF(OR(City_Inputs!$AG82="",Norm_Stats!$F$22="",Norm_Stats!$G$22="",Norm_Stats!$G$22=Norm_Stats!$F$22),"",MAX(0,MIN(100,100*(MIN(MAX(City_Inputs!$AG82,Norm_Stats!$F$22),Norm_Stats!$G$22)-Norm_Stats!$F$22)/(Norm_Stats!$G$22-Norm_Stats!$F$22)))))="",0,0.5)+IF((IF(OR(City_Inputs!$AJ82="",Norm_Stats!$F$23="",Norm_Stats!$G$23="",Norm_Stats!$G$23=Norm_Stats!$F$23),"",MAX(0,MIN(100,100*(MIN(MAX(City_Inputs!$AJ82,Norm_Stats!$F$23),Norm_Stats!$G$23)-Norm_Stats!$F$23)/(Norm_Stats!$G$23-Norm_Stats!$F$23)))))="",0,0.3)+IF((IF(OR(City_Inputs!$AK82="",Norm_Stats!$F$24="",Norm_Stats!$G$24="",Norm_Stats!$G$24=Norm_Stats!$F$24),"",MAX(0,MIN(100,100*(MIN(MAX(City_Inputs!$AK82,Norm_Stats!$F$24),Norm_Stats!$G$24)-Norm_Stats!$F$24)/(Norm_Stats!$G$24-Norm_Stats!$F$24)))))="",0,0.2)))</f>
        <v/>
      </c>
      <c r="BE82" s="11">
        <f>IF(OR(City_Inputs!$AH82="",Norm_Stats!$F$25="",Norm_Stats!$G$25="",Norm_Stats!$G$25=Norm_Stats!$F$25),"",MAX(0,MIN(100,100*(Norm_Stats!$G$25-MIN(MAX(City_Inputs!$AH82,Norm_Stats!$F$25),Norm_Stats!$G$25))/(Norm_Stats!$G$25-Norm_Stats!$F$25))))</f>
        <v/>
      </c>
      <c r="BF82" s="14">
        <f>IF(BE82="","",1)</f>
        <v/>
      </c>
      <c r="BG82" s="15">
        <f>IF((IF(AY82="",0,6)+IF(BA82="",0,5)+IF(BC82="",0,5)+IF(BE82="",0,4))=0,"",(IF(AY82="",0,AY82*6)+IF(BA82="",0,BA82*5)+IF(BC82="",0,BC82*5)+IF(BE82="",0,BE82*4))/(IF(AY82="",0,6)+IF(BA82="",0,5)+IF(BC82="",0,5)+IF(BE82="",0,4)))</f>
        <v/>
      </c>
      <c r="BH82" s="14">
        <f>IF((IF(AZ82="",0,6)+IF(BB82="",0,5)+IF(BD82="",0,5)+IF(BF82="",0,4))=0,"",(IF(AZ82="",0,AZ82*6)+IF(BB82="",0,BB82*5)+IF(BD82="",0,BD82*5)+IF(BF82="",0,BF82*4))/20)</f>
        <v/>
      </c>
      <c r="BI82" s="14">
        <f>IF(AND(R82="",AF82="",AN82="",AX82="",BH82=""),"",((R82*25)+(AF82*22)+(AN82*18)+(AX82*15)+(BH82*20))/100)</f>
        <v/>
      </c>
      <c r="BJ82" s="11">
        <f>IF(BI82="","",IF(BI82&gt;=0.75,"A",IF(BI82&gt;=0.5,"B",IF(BI82&gt;=0.35,"C","Watchlist"))))</f>
        <v/>
      </c>
      <c r="BK82" s="11">
        <f>IF(OR(BI82="",BI82&lt;0.5,R82="",R82&lt;0.35,AF82="",AF82&lt;0.35,AN82="",AN82&lt;0.35,AX82="",AX82&lt;0.35,BH82="",BH82&lt;0.35),"Watchlist","Ranked")</f>
        <v/>
      </c>
      <c r="BL82" s="15">
        <f>IF(AND(Q82="",AE82="",AM82="",AW82="",BG82=""),"",(IF(Q82="",0,Q82*25)+IF(AE82="",0,AE82*22)+IF(AM82="",0,AM82*18)+IF(AW82="",0,AW82*15)+IF(BG82="",0,BG82*20))/(IF(Q82="",0,25)+IF(AE82="",0,22)+IF(AM82="",0,18)+IF(AW82="",0,15)+IF(BG82="",0,20)))</f>
        <v/>
      </c>
      <c r="BM82" s="11">
        <f>IF(BK82="Ranked",1+COUNTIFS($BK$2:$BK$158,"Ranked",$BL$2:$BL$158,"&gt;"&amp;BL82),"")</f>
        <v/>
      </c>
      <c r="BN82" s="11">
        <f>City_Inputs!$AI82</f>
        <v/>
      </c>
    </row>
    <row r="83">
      <c r="A83" t="inlineStr">
        <is>
          <t>qa-doha</t>
        </is>
      </c>
      <c r="B83" t="inlineStr">
        <is>
          <t>Doha</t>
        </is>
      </c>
      <c r="C83" t="inlineStr">
        <is>
          <t>Qatar</t>
        </is>
      </c>
      <c r="D83" t="inlineStr">
        <is>
          <t>Middle East</t>
        </is>
      </c>
      <c r="E83" t="inlineStr">
        <is>
          <t>locked</t>
        </is>
      </c>
      <c r="F83" t="inlineStr">
        <is>
          <t>primary</t>
        </is>
      </c>
      <c r="G83" s="11">
        <f>IF(OR(City_Inputs!$M83="",Norm_Stats!$F$2="",Norm_Stats!$G$2="",Norm_Stats!$G$2=Norm_Stats!$F$2),"",MAX(0,MIN(100,100*(MIN(MAX(City_Inputs!$M83,Norm_Stats!$F$2),Norm_Stats!$G$2)-Norm_Stats!$F$2)/(Norm_Stats!$G$2-Norm_Stats!$F$2))))</f>
        <v/>
      </c>
      <c r="H83" s="14">
        <f>IF(G83="","",1)</f>
        <v/>
      </c>
      <c r="I83" s="11">
        <f>IF(OR(City_Inputs!$N83="",Norm_Stats!$F$3="",Norm_Stats!$G$3="",Norm_Stats!$G$3=Norm_Stats!$F$3),"",MAX(0,MIN(100,100*(Norm_Stats!$G$3-MIN(MAX(City_Inputs!$N83,Norm_Stats!$F$3),Norm_Stats!$G$3))/(Norm_Stats!$G$3-Norm_Stats!$F$3))))</f>
        <v/>
      </c>
      <c r="J83" s="14">
        <f>IF(I83="","",1)</f>
        <v/>
      </c>
      <c r="K83" s="11">
        <f>IF(OR(City_Inputs!$P83="",Norm_Stats!$F$4="",Norm_Stats!$G$4="",Norm_Stats!$G$4=Norm_Stats!$F$4),"",MAX(0,MIN(100,100*(Norm_Stats!$G$4-MIN(MAX(City_Inputs!$P83,Norm_Stats!$F$4),Norm_Stats!$G$4))/(Norm_Stats!$G$4-Norm_Stats!$F$4))))</f>
        <v/>
      </c>
      <c r="L83" s="14">
        <f>IF(K83="","",1)</f>
        <v/>
      </c>
      <c r="M83" s="11">
        <f>IF(OR(City_Inputs!$Q83="",Norm_Stats!$F$5="",Norm_Stats!$G$5="",Norm_Stats!$G$5=Norm_Stats!$F$5),"",MAX(0,MIN(100,100*(Norm_Stats!$G$5-MIN(MAX(City_Inputs!$Q83,Norm_Stats!$F$5),Norm_Stats!$G$5))/(Norm_Stats!$G$5-Norm_Stats!$F$5))))</f>
        <v/>
      </c>
      <c r="N83" s="14">
        <f>IF(M83="","",1)</f>
        <v/>
      </c>
      <c r="O83" s="11">
        <f>IF(OR(City_Inputs!$R83="",Norm_Stats!$F$6="",Norm_Stats!$G$6="",Norm_Stats!$G$6=Norm_Stats!$F$6),"",MAX(0,MIN(100,100*(Norm_Stats!$G$6-MIN(MAX(City_Inputs!$R83,Norm_Stats!$F$6),Norm_Stats!$G$6))/(Norm_Stats!$G$6-Norm_Stats!$F$6))))</f>
        <v/>
      </c>
      <c r="P83" s="14">
        <f>IF(O83="","",1)</f>
        <v/>
      </c>
      <c r="Q83" s="15">
        <f>IF((IF(G83="",0,9)+IF(I83="",0,5)+IF(K83="",0,4)+IF(M83="",0,4)+IF(O83="",0,5))=0,"",(IF(G83="",0,G83*9)+IF(I83="",0,I83*5)+IF(K83="",0,K83*4)+IF(M83="",0,M83*4)+IF(O83="",0,O83*5))/(IF(G83="",0,9)+IF(I83="",0,5)+IF(K83="",0,4)+IF(M83="",0,4)+IF(O83="",0,5)))</f>
        <v/>
      </c>
      <c r="R83" s="14">
        <f>IF((IF(H83="",0,9)+IF(J83="",0,5)+IF(L83="",0,4)+IF(N83="",0,4)+IF(P83="",0,5))=0,"",(IF(H83="",0,H83*9)+IF(J83="",0,J83*5)+IF(L83="",0,L83*4)+IF(N83="",0,N83*4)+IF(P83="",0,P83*5))/27)</f>
        <v/>
      </c>
      <c r="S83" s="11">
        <f>IF(OR(City_Inputs!$S83="",Norm_Stats!$F$7="",Norm_Stats!$G$7="",Norm_Stats!$G$7=Norm_Stats!$F$7),"",MAX(0,MIN(100,100*(Norm_Stats!$G$7-MIN(MAX(City_Inputs!$S83,Norm_Stats!$F$7),Norm_Stats!$G$7))/(Norm_Stats!$G$7-Norm_Stats!$F$7))))</f>
        <v/>
      </c>
      <c r="T83" s="14">
        <f>IF(S83="","",1)</f>
        <v/>
      </c>
      <c r="U83" s="11">
        <f>IF(OR(City_Inputs!$T83="",Norm_Stats!$F$8="",Norm_Stats!$G$8="",Norm_Stats!$G$8=Norm_Stats!$F$8),"",MAX(0,MIN(100,100*(MIN(MAX(City_Inputs!$T83,Norm_Stats!$F$8),Norm_Stats!$G$8)-Norm_Stats!$F$8)/(Norm_Stats!$G$8-Norm_Stats!$F$8))))</f>
        <v/>
      </c>
      <c r="V83" s="14">
        <f>IF(U83="","",1)</f>
        <v/>
      </c>
      <c r="W83" s="11">
        <f>IF(OR(City_Inputs!$U83="",Norm_Stats!$F$9="",Norm_Stats!$G$9="",Norm_Stats!$G$9=Norm_Stats!$F$9),"",MAX(0,MIN(100,100*(Norm_Stats!$G$9-MIN(MAX(City_Inputs!$U83,Norm_Stats!$F$9),Norm_Stats!$G$9))/(Norm_Stats!$G$9-Norm_Stats!$F$9))))</f>
        <v/>
      </c>
      <c r="X83" s="14">
        <f>IF(W83="","",1)</f>
        <v/>
      </c>
      <c r="Y83" s="11">
        <f>IF(OR(City_Inputs!$V83="",Norm_Stats!$F$10="",Norm_Stats!$G$10="",Norm_Stats!$G$10=Norm_Stats!$F$10),"",MAX(0,MIN(100,100*(MIN(MAX(City_Inputs!$V83,Norm_Stats!$F$10),Norm_Stats!$G$10)-Norm_Stats!$F$10)/(Norm_Stats!$G$10-Norm_Stats!$F$10))))</f>
        <v/>
      </c>
      <c r="Z83" s="14">
        <f>IF(Y83="","",1)</f>
        <v/>
      </c>
      <c r="AA83" s="11">
        <f>IF(OR(City_Inputs!$W83="",Norm_Stats!$F$11="",Norm_Stats!$G$11="",Norm_Stats!$G$11=Norm_Stats!$F$11),"",MAX(0,MIN(100,100*(MIN(MAX(City_Inputs!$W83,Norm_Stats!$F$11),Norm_Stats!$G$11)-Norm_Stats!$F$11)/(Norm_Stats!$G$11-Norm_Stats!$F$11))))</f>
        <v/>
      </c>
      <c r="AB83" s="14">
        <f>IF(AA83="","",1)</f>
        <v/>
      </c>
      <c r="AC83" s="11">
        <f>IF(OR(City_Inputs!$X83="",Norm_Stats!$F$12="",Norm_Stats!$G$12="",Norm_Stats!$G$12=Norm_Stats!$F$12),"",MAX(0,MIN(100,100*(MIN(MAX(City_Inputs!$X83,Norm_Stats!$F$12),Norm_Stats!$G$12)-Norm_Stats!$F$12)/(Norm_Stats!$G$12-Norm_Stats!$F$12))))</f>
        <v/>
      </c>
      <c r="AD83" s="11">
        <f>IF(AC83="","",1)</f>
        <v/>
      </c>
      <c r="AE83" s="15">
        <f>IF((IF(S83="",0,5)+IF(U83="",0,5)+IF(W83="",0,4)+IF(Y83="",0,4)+IF(AA83="",0,4)+IF(AC83="",0,5))=0,"",(IF(S83="",0,S83*5)+IF(U83="",0,U83*5)+IF(W83="",0,W83*4)+IF(Y83="",0,Y83*4)+IF(AA83="",0,AA83*4)+IF(AC83="",0,AC83*5))/(IF(S83="",0,5)+IF(U83="",0,5)+IF(W83="",0,4)+IF(Y83="",0,4)+IF(AA83="",0,4)+IF(AC83="",0,5)))</f>
        <v/>
      </c>
      <c r="AF83" s="14">
        <f>IF((IF(T83="",0,5)+IF(V83="",0,5)+IF(X83="",0,4)+IF(Z83="",0,4)+IF(AB83="",0,4)+IF(AD83="",0,5))=0,"",(IF(T83="",0,T83*5)+IF(V83="",0,V83*5)+IF(X83="",0,X83*4)+IF(Z83="",0,Z83*4)+IF(AB83="",0,AB83*4)+IF(AD83="",0,AD83*5))/27)</f>
        <v/>
      </c>
      <c r="AG83" s="11">
        <f>IF(OR(City_Inputs!$Y83="",Norm_Stats!$F$13="",Norm_Stats!$G$13="",Norm_Stats!$G$13=Norm_Stats!$F$13),"",MAX(0,MIN(100,100*(MIN(MAX(City_Inputs!$Y83,Norm_Stats!$F$13),Norm_Stats!$G$13)-Norm_Stats!$F$13)/(Norm_Stats!$G$13-Norm_Stats!$F$13))))</f>
        <v/>
      </c>
      <c r="AH83" s="14">
        <f>IF(AG83="","",1)</f>
        <v/>
      </c>
      <c r="AI83" s="11">
        <f>IF(OR(City_Inputs!$Z83="",Norm_Stats!$F$14="",Norm_Stats!$G$14="",Norm_Stats!$G$14=Norm_Stats!$F$14),"",MAX(0,MIN(100,100*(MIN(MAX(City_Inputs!$Z83,Norm_Stats!$F$14),Norm_Stats!$G$14)-Norm_Stats!$F$14)/(Norm_Stats!$G$14-Norm_Stats!$F$14))))</f>
        <v/>
      </c>
      <c r="AJ83" s="14">
        <f>IF(AI83="","",1)</f>
        <v/>
      </c>
      <c r="AK83" s="11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(IF(OR(City_Inputs!$AA83="",Norm_Stats!$F$15="",Norm_Stats!$G$15="",Norm_Stats!$G$15=Norm_Stats!$F$15),"",MAX(0,MIN(100,100*(MIN(MAX(City_Inputs!$AA83,Norm_Stats!$F$15),Norm_Stats!$G$15)-Norm_Stats!$F$15)/(Norm_Stats!$G$15-Norm_Stats!$F$15)))))*0.7)+IF((IF(OR(City_Inputs!$AL83="",Norm_Stats!$F$16="",Norm_Stats!$G$16="",Norm_Stats!$G$16=Norm_Stats!$F$16),"",MAX(0,MIN(100,100*(Norm_Stats!$G$16-MIN(MAX(City_Inputs!$AL83,Norm_Stats!$F$16),Norm_Stats!$G$16))/(Norm_Stats!$G$16-Norm_Stats!$F$16)))))="",0,(IF(OR(City_Inputs!$AL83="",Norm_Stats!$F$16="",Norm_Stats!$G$16="",Norm_Stats!$G$16=Norm_Stats!$F$16),"",MAX(0,MIN(100,100*(Norm_Stats!$G$16-MIN(MAX(City_Inputs!$AL83,Norm_Stats!$F$16),Norm_Stats!$G$16))/(Norm_Stats!$G$16-Norm_Stats!$F$16)))))*0.3))/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L83" s="14">
        <f>IF(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=0,"",(IF((IF(OR(City_Inputs!$AA83="",Norm_Stats!$F$15="",Norm_Stats!$G$15="",Norm_Stats!$G$15=Norm_Stats!$F$15),"",MAX(0,MIN(100,100*(MIN(MAX(City_Inputs!$AA83,Norm_Stats!$F$15),Norm_Stats!$G$15)-Norm_Stats!$F$15)/(Norm_Stats!$G$15-Norm_Stats!$F$15)))))="",0,0.7)+IF((IF(OR(City_Inputs!$AL83="",Norm_Stats!$F$16="",Norm_Stats!$G$16="",Norm_Stats!$G$16=Norm_Stats!$F$16),"",MAX(0,MIN(100,100*(Norm_Stats!$G$16-MIN(MAX(City_Inputs!$AL83,Norm_Stats!$F$16),Norm_Stats!$G$16))/(Norm_Stats!$G$16-Norm_Stats!$F$16)))))="",0,0.3)))</f>
        <v/>
      </c>
      <c r="AM83" s="15">
        <f>IF((IF(AG83="",0,8)+IF(AI83="",0,6)+IF(AK83="",0,4))=0,"",(IF(AG83="",0,AG83*8)+IF(AI83="",0,AI83*6)+IF(AK83="",0,AK83*4))/(IF(AG83="",0,8)+IF(AI83="",0,6)+IF(AK83="",0,4)))</f>
        <v/>
      </c>
      <c r="AN83" s="14">
        <f>IF((IF(AH83="",0,8)+IF(AJ83="",0,6)+IF(AL83="",0,4))=0,"",(IF(AH83="",0,AH83*8)+IF(AJ83="",0,AJ83*6)+IF(AL83="",0,AL83*4))/18)</f>
        <v/>
      </c>
      <c r="AO83" s="11">
        <f>IF(OR(City_Inputs!$AB83="",Norm_Stats!$F$17="",Norm_Stats!$G$17="",Norm_Stats!$G$17=Norm_Stats!$F$17),"",MAX(0,MIN(100,100*(MIN(MAX(City_Inputs!$AB83,Norm_Stats!$F$17),Norm_Stats!$G$17)-Norm_Stats!$F$17)/(Norm_Stats!$G$17-Norm_Stats!$F$17))))</f>
        <v/>
      </c>
      <c r="AP83" s="14">
        <f>IF(AO83="","",1)</f>
        <v/>
      </c>
      <c r="AQ83" s="11">
        <f>IF(OR(City_Inputs!$AC83="",Norm_Stats!$F$18="",Norm_Stats!$G$18="",Norm_Stats!$G$18=Norm_Stats!$F$18),"",MAX(0,MIN(100,100*(MIN(MAX(City_Inputs!$AC83,Norm_Stats!$F$18),Norm_Stats!$G$18)-Norm_Stats!$F$18)/(Norm_Stats!$G$18-Norm_Stats!$F$18))))</f>
        <v/>
      </c>
      <c r="AR83" s="14">
        <f>IF(AQ83="","",1)</f>
        <v/>
      </c>
      <c r="AS83" s="11">
        <f>IF(OR(City_Inputs!$AD83="",Norm_Stats!$F$19="",Norm_Stats!$G$19="",Norm_Stats!$G$19=Norm_Stats!$F$19),"",MAX(0,MIN(100,100*(MIN(MAX(City_Inputs!$AD83,Norm_Stats!$F$19),Norm_Stats!$G$19)-Norm_Stats!$F$19)/(Norm_Stats!$G$19-Norm_Stats!$F$19))))</f>
        <v/>
      </c>
      <c r="AT83" s="14">
        <f>IF(AS83="","",1)</f>
        <v/>
      </c>
      <c r="AU83" s="11">
        <f>IF(OR(City_Inputs!$BJ83="",Norm_Stats!$F$26="",Norm_Stats!$G$26="",Norm_Stats!$G$26=Norm_Stats!$F$26),"",MAX(0,MIN(100,100*(MIN(MAX(City_Inputs!$BJ83,Norm_Stats!$F$26),Norm_Stats!$G$26)-Norm_Stats!$F$26)/(Norm_Stats!$G$26-Norm_Stats!$F$26))))</f>
        <v/>
      </c>
      <c r="AV83" s="11">
        <f>IF(AU83="","",1)</f>
        <v/>
      </c>
      <c r="AW83" s="15">
        <f>IF((IF(AO83="",0,5)+IF(AQ83="",0,5)+IF(AS83="",0,5)+IF(AU83="",0,4))=0,"",(IF(AO83="",0,AO83*5)+IF(AQ83="",0,AQ83*5)+IF(AS83="",0,AS83*5)+IF(AU83="",0,AU83*4))/(IF(AO83="",0,5)+IF(AQ83="",0,5)+IF(AS83="",0,5)+IF(AU83="",0,4)))</f>
        <v/>
      </c>
      <c r="AX83" s="14">
        <f>IF((IF(AP83="",0,5)+IF(AR83="",0,5)+IF(AT83="",0,5)+IF(AV83="",0,4))=0,"",(IF(AP83="",0,AP83*5)+IF(AR83="",0,AR83*5)+IF(AT83="",0,AT83*5)+IF(AV83="",0,AV83*4))/19)</f>
        <v/>
      </c>
      <c r="AY83" s="11">
        <f>IF(OR(City_Inputs!$AE83="",Norm_Stats!$F$20="",Norm_Stats!$G$20="",Norm_Stats!$G$20=Norm_Stats!$F$20),"",MAX(0,MIN(100,100*(MIN(MAX(City_Inputs!$AE83,Norm_Stats!$F$20),Norm_Stats!$G$20)-Norm_Stats!$F$20)/(Norm_Stats!$G$20-Norm_Stats!$F$20))))</f>
        <v/>
      </c>
      <c r="AZ83" s="14">
        <f>IF(AY83="","",1)</f>
        <v/>
      </c>
      <c r="BA83" s="11">
        <f>IF(OR(City_Inputs!$AF83="",Norm_Stats!$F$21="",Norm_Stats!$G$21="",Norm_Stats!$G$21=Norm_Stats!$F$21),"",MAX(0,MIN(100,100*(MIN(MAX(City_Inputs!$AF83,Norm_Stats!$F$21),Norm_Stats!$G$21)-Norm_Stats!$F$21)/(Norm_Stats!$G$21-Norm_Stats!$F$21))))</f>
        <v/>
      </c>
      <c r="BB83" s="14">
        <f>IF(BA83="","",1)</f>
        <v/>
      </c>
      <c r="BC83" s="11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(IF(OR(City_Inputs!$AG83="",Norm_Stats!$F$22="",Norm_Stats!$G$22="",Norm_Stats!$G$22=Norm_Stats!$F$22),"",MAX(0,MIN(100,100*(MIN(MAX(City_Inputs!$AG83,Norm_Stats!$F$22),Norm_Stats!$G$22)-Norm_Stats!$F$22)/(Norm_Stats!$G$22-Norm_Stats!$F$22)))))*0.5)+IF((IF(OR(City_Inputs!$AJ83="",Norm_Stats!$F$23="",Norm_Stats!$G$23="",Norm_Stats!$G$23=Norm_Stats!$F$23),"",MAX(0,MIN(100,100*(MIN(MAX(City_Inputs!$AJ83,Norm_Stats!$F$23),Norm_Stats!$G$23)-Norm_Stats!$F$23)/(Norm_Stats!$G$23-Norm_Stats!$F$23)))))="",0,(IF(OR(City_Inputs!$AJ83="",Norm_Stats!$F$23="",Norm_Stats!$G$23="",Norm_Stats!$G$23=Norm_Stats!$F$23),"",MAX(0,MIN(100,100*(MIN(MAX(City_Inputs!$AJ83,Norm_Stats!$F$23),Norm_Stats!$G$23)-Norm_Stats!$F$23)/(Norm_Stats!$G$23-Norm_Stats!$F$23)))))*0.3)+IF((IF(OR(City_Inputs!$AK83="",Norm_Stats!$F$24="",Norm_Stats!$G$24="",Norm_Stats!$G$24=Norm_Stats!$F$24),"",MAX(0,MIN(100,100*(MIN(MAX(City_Inputs!$AK83,Norm_Stats!$F$24),Norm_Stats!$G$24)-Norm_Stats!$F$24)/(Norm_Stats!$G$24-Norm_Stats!$F$24)))))="",0,(IF(OR(City_Inputs!$AK83="",Norm_Stats!$F$24="",Norm_Stats!$G$24="",Norm_Stats!$G$24=Norm_Stats!$F$24),"",MAX(0,MIN(100,100*(MIN(MAX(City_Inputs!$AK83,Norm_Stats!$F$24),Norm_Stats!$G$24)-Norm_Stats!$F$24)/(Norm_Stats!$G$24-Norm_Stats!$F$24)))))*0.2))/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D83" s="14">
        <f>IF(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=0,"",(IF((IF(OR(City_Inputs!$AG83="",Norm_Stats!$F$22="",Norm_Stats!$G$22="",Norm_Stats!$G$22=Norm_Stats!$F$22),"",MAX(0,MIN(100,100*(MIN(MAX(City_Inputs!$AG83,Norm_Stats!$F$22),Norm_Stats!$G$22)-Norm_Stats!$F$22)/(Norm_Stats!$G$22-Norm_Stats!$F$22)))))="",0,0.5)+IF((IF(OR(City_Inputs!$AJ83="",Norm_Stats!$F$23="",Norm_Stats!$G$23="",Norm_Stats!$G$23=Norm_Stats!$F$23),"",MAX(0,MIN(100,100*(MIN(MAX(City_Inputs!$AJ83,Norm_Stats!$F$23),Norm_Stats!$G$23)-Norm_Stats!$F$23)/(Norm_Stats!$G$23-Norm_Stats!$F$23)))))="",0,0.3)+IF((IF(OR(City_Inputs!$AK83="",Norm_Stats!$F$24="",Norm_Stats!$G$24="",Norm_Stats!$G$24=Norm_Stats!$F$24),"",MAX(0,MIN(100,100*(MIN(MAX(City_Inputs!$AK83,Norm_Stats!$F$24),Norm_Stats!$G$24)-Norm_Stats!$F$24)/(Norm_Stats!$G$24-Norm_Stats!$F$24)))))="",0,0.2)))</f>
        <v/>
      </c>
      <c r="BE83" s="11">
        <f>IF(OR(City_Inputs!$AH83="",Norm_Stats!$F$25="",Norm_Stats!$G$25="",Norm_Stats!$G$25=Norm_Stats!$F$25),"",MAX(0,MIN(100,100*(Norm_Stats!$G$25-MIN(MAX(City_Inputs!$AH83,Norm_Stats!$F$25),Norm_Stats!$G$25))/(Norm_Stats!$G$25-Norm_Stats!$F$25))))</f>
        <v/>
      </c>
      <c r="BF83" s="14">
        <f>IF(BE83="","",1)</f>
        <v/>
      </c>
      <c r="BG83" s="15">
        <f>IF((IF(AY83="",0,6)+IF(BA83="",0,5)+IF(BC83="",0,5)+IF(BE83="",0,4))=0,"",(IF(AY83="",0,AY83*6)+IF(BA83="",0,BA83*5)+IF(BC83="",0,BC83*5)+IF(BE83="",0,BE83*4))/(IF(AY83="",0,6)+IF(BA83="",0,5)+IF(BC83="",0,5)+IF(BE83="",0,4)))</f>
        <v/>
      </c>
      <c r="BH83" s="14">
        <f>IF((IF(AZ83="",0,6)+IF(BB83="",0,5)+IF(BD83="",0,5)+IF(BF83="",0,4))=0,"",(IF(AZ83="",0,AZ83*6)+IF(BB83="",0,BB83*5)+IF(BD83="",0,BD83*5)+IF(BF83="",0,BF83*4))/20)</f>
        <v/>
      </c>
      <c r="BI83" s="14">
        <f>IF(AND(R83="",AF83="",AN83="",AX83="",BH83=""),"",((R83*25)+(AF83*22)+(AN83*18)+(AX83*15)+(BH83*20))/100)</f>
        <v/>
      </c>
      <c r="BJ83" s="11">
        <f>IF(BI83="","",IF(BI83&gt;=0.75,"A",IF(BI83&gt;=0.5,"B",IF(BI83&gt;=0.35,"C","Watchlist"))))</f>
        <v/>
      </c>
      <c r="BK83" s="11">
        <f>IF(OR(BI83="",BI83&lt;0.5,R83="",R83&lt;0.35,AF83="",AF83&lt;0.35,AN83="",AN83&lt;0.35,AX83="",AX83&lt;0.35,BH83="",BH83&lt;0.35),"Watchlist","Ranked")</f>
        <v/>
      </c>
      <c r="BL83" s="15">
        <f>IF(AND(Q83="",AE83="",AM83="",AW83="",BG83=""),"",(IF(Q83="",0,Q83*25)+IF(AE83="",0,AE83*22)+IF(AM83="",0,AM83*18)+IF(AW83="",0,AW83*15)+IF(BG83="",0,BG83*20))/(IF(Q83="",0,25)+IF(AE83="",0,22)+IF(AM83="",0,18)+IF(AW83="",0,15)+IF(BG83="",0,20)))</f>
        <v/>
      </c>
      <c r="BM83" s="11">
        <f>IF(BK83="Ranked",1+COUNTIFS($BK$2:$BK$158,"Ranked",$BL$2:$BL$158,"&gt;"&amp;BL83),"")</f>
        <v/>
      </c>
      <c r="BN83" s="11">
        <f>City_Inputs!$AI83</f>
        <v/>
      </c>
    </row>
    <row r="84">
      <c r="A84" t="inlineStr">
        <is>
          <t>sa-riyadh</t>
        </is>
      </c>
      <c r="B84" t="inlineStr">
        <is>
          <t>Riyadh</t>
        </is>
      </c>
      <c r="C84" t="inlineStr">
        <is>
          <t>Saudi Arabia</t>
        </is>
      </c>
      <c r="D84" t="inlineStr">
        <is>
          <t>Middle East</t>
        </is>
      </c>
      <c r="E84" t="inlineStr">
        <is>
          <t>provisional</t>
        </is>
      </c>
      <c r="F84" t="inlineStr">
        <is>
          <t>primary</t>
        </is>
      </c>
      <c r="G84" s="11">
        <f>IF(OR(City_Inputs!$M84="",Norm_Stats!$F$2="",Norm_Stats!$G$2="",Norm_Stats!$G$2=Norm_Stats!$F$2),"",MAX(0,MIN(100,100*(MIN(MAX(City_Inputs!$M84,Norm_Stats!$F$2),Norm_Stats!$G$2)-Norm_Stats!$F$2)/(Norm_Stats!$G$2-Norm_Stats!$F$2))))</f>
        <v/>
      </c>
      <c r="H84" s="14">
        <f>IF(G84="","",1)</f>
        <v/>
      </c>
      <c r="I84" s="11">
        <f>IF(OR(City_Inputs!$N84="",Norm_Stats!$F$3="",Norm_Stats!$G$3="",Norm_Stats!$G$3=Norm_Stats!$F$3),"",MAX(0,MIN(100,100*(Norm_Stats!$G$3-MIN(MAX(City_Inputs!$N84,Norm_Stats!$F$3),Norm_Stats!$G$3))/(Norm_Stats!$G$3-Norm_Stats!$F$3))))</f>
        <v/>
      </c>
      <c r="J84" s="14">
        <f>IF(I84="","",1)</f>
        <v/>
      </c>
      <c r="K84" s="11">
        <f>IF(OR(City_Inputs!$P84="",Norm_Stats!$F$4="",Norm_Stats!$G$4="",Norm_Stats!$G$4=Norm_Stats!$F$4),"",MAX(0,MIN(100,100*(Norm_Stats!$G$4-MIN(MAX(City_Inputs!$P84,Norm_Stats!$F$4),Norm_Stats!$G$4))/(Norm_Stats!$G$4-Norm_Stats!$F$4))))</f>
        <v/>
      </c>
      <c r="L84" s="14">
        <f>IF(K84="","",1)</f>
        <v/>
      </c>
      <c r="M84" s="11">
        <f>IF(OR(City_Inputs!$Q84="",Norm_Stats!$F$5="",Norm_Stats!$G$5="",Norm_Stats!$G$5=Norm_Stats!$F$5),"",MAX(0,MIN(100,100*(Norm_Stats!$G$5-MIN(MAX(City_Inputs!$Q84,Norm_Stats!$F$5),Norm_Stats!$G$5))/(Norm_Stats!$G$5-Norm_Stats!$F$5))))</f>
        <v/>
      </c>
      <c r="N84" s="14">
        <f>IF(M84="","",1)</f>
        <v/>
      </c>
      <c r="O84" s="11">
        <f>IF(OR(City_Inputs!$R84="",Norm_Stats!$F$6="",Norm_Stats!$G$6="",Norm_Stats!$G$6=Norm_Stats!$F$6),"",MAX(0,MIN(100,100*(Norm_Stats!$G$6-MIN(MAX(City_Inputs!$R84,Norm_Stats!$F$6),Norm_Stats!$G$6))/(Norm_Stats!$G$6-Norm_Stats!$F$6))))</f>
        <v/>
      </c>
      <c r="P84" s="14">
        <f>IF(O84="","",1)</f>
        <v/>
      </c>
      <c r="Q84" s="15">
        <f>IF((IF(G84="",0,9)+IF(I84="",0,5)+IF(K84="",0,4)+IF(M84="",0,4)+IF(O84="",0,5))=0,"",(IF(G84="",0,G84*9)+IF(I84="",0,I84*5)+IF(K84="",0,K84*4)+IF(M84="",0,M84*4)+IF(O84="",0,O84*5))/(IF(G84="",0,9)+IF(I84="",0,5)+IF(K84="",0,4)+IF(M84="",0,4)+IF(O84="",0,5)))</f>
        <v/>
      </c>
      <c r="R84" s="14">
        <f>IF((IF(H84="",0,9)+IF(J84="",0,5)+IF(L84="",0,4)+IF(N84="",0,4)+IF(P84="",0,5))=0,"",(IF(H84="",0,H84*9)+IF(J84="",0,J84*5)+IF(L84="",0,L84*4)+IF(N84="",0,N84*4)+IF(P84="",0,P84*5))/27)</f>
        <v/>
      </c>
      <c r="S84" s="11">
        <f>IF(OR(City_Inputs!$S84="",Norm_Stats!$F$7="",Norm_Stats!$G$7="",Norm_Stats!$G$7=Norm_Stats!$F$7),"",MAX(0,MIN(100,100*(Norm_Stats!$G$7-MIN(MAX(City_Inputs!$S84,Norm_Stats!$F$7),Norm_Stats!$G$7))/(Norm_Stats!$G$7-Norm_Stats!$F$7))))</f>
        <v/>
      </c>
      <c r="T84" s="14">
        <f>IF(S84="","",1)</f>
        <v/>
      </c>
      <c r="U84" s="11">
        <f>IF(OR(City_Inputs!$T84="",Norm_Stats!$F$8="",Norm_Stats!$G$8="",Norm_Stats!$G$8=Norm_Stats!$F$8),"",MAX(0,MIN(100,100*(MIN(MAX(City_Inputs!$T84,Norm_Stats!$F$8),Norm_Stats!$G$8)-Norm_Stats!$F$8)/(Norm_Stats!$G$8-Norm_Stats!$F$8))))</f>
        <v/>
      </c>
      <c r="V84" s="14">
        <f>IF(U84="","",1)</f>
        <v/>
      </c>
      <c r="W84" s="11">
        <f>IF(OR(City_Inputs!$U84="",Norm_Stats!$F$9="",Norm_Stats!$G$9="",Norm_Stats!$G$9=Norm_Stats!$F$9),"",MAX(0,MIN(100,100*(Norm_Stats!$G$9-MIN(MAX(City_Inputs!$U84,Norm_Stats!$F$9),Norm_Stats!$G$9))/(Norm_Stats!$G$9-Norm_Stats!$F$9))))</f>
        <v/>
      </c>
      <c r="X84" s="14">
        <f>IF(W84="","",1)</f>
        <v/>
      </c>
      <c r="Y84" s="11">
        <f>IF(OR(City_Inputs!$V84="",Norm_Stats!$F$10="",Norm_Stats!$G$10="",Norm_Stats!$G$10=Norm_Stats!$F$10),"",MAX(0,MIN(100,100*(MIN(MAX(City_Inputs!$V84,Norm_Stats!$F$10),Norm_Stats!$G$10)-Norm_Stats!$F$10)/(Norm_Stats!$G$10-Norm_Stats!$F$10))))</f>
        <v/>
      </c>
      <c r="Z84" s="14">
        <f>IF(Y84="","",1)</f>
        <v/>
      </c>
      <c r="AA84" s="11">
        <f>IF(OR(City_Inputs!$W84="",Norm_Stats!$F$11="",Norm_Stats!$G$11="",Norm_Stats!$G$11=Norm_Stats!$F$11),"",MAX(0,MIN(100,100*(MIN(MAX(City_Inputs!$W84,Norm_Stats!$F$11),Norm_Stats!$G$11)-Norm_Stats!$F$11)/(Norm_Stats!$G$11-Norm_Stats!$F$11))))</f>
        <v/>
      </c>
      <c r="AB84" s="14">
        <f>IF(AA84="","",1)</f>
        <v/>
      </c>
      <c r="AC84" s="11">
        <f>IF(OR(City_Inputs!$X84="",Norm_Stats!$F$12="",Norm_Stats!$G$12="",Norm_Stats!$G$12=Norm_Stats!$F$12),"",MAX(0,MIN(100,100*(MIN(MAX(City_Inputs!$X84,Norm_Stats!$F$12),Norm_Stats!$G$12)-Norm_Stats!$F$12)/(Norm_Stats!$G$12-Norm_Stats!$F$12))))</f>
        <v/>
      </c>
      <c r="AD84" s="11">
        <f>IF(AC84="","",1)</f>
        <v/>
      </c>
      <c r="AE84" s="15">
        <f>IF((IF(S84="",0,5)+IF(U84="",0,5)+IF(W84="",0,4)+IF(Y84="",0,4)+IF(AA84="",0,4)+IF(AC84="",0,5))=0,"",(IF(S84="",0,S84*5)+IF(U84="",0,U84*5)+IF(W84="",0,W84*4)+IF(Y84="",0,Y84*4)+IF(AA84="",0,AA84*4)+IF(AC84="",0,AC84*5))/(IF(S84="",0,5)+IF(U84="",0,5)+IF(W84="",0,4)+IF(Y84="",0,4)+IF(AA84="",0,4)+IF(AC84="",0,5)))</f>
        <v/>
      </c>
      <c r="AF84" s="14">
        <f>IF((IF(T84="",0,5)+IF(V84="",0,5)+IF(X84="",0,4)+IF(Z84="",0,4)+IF(AB84="",0,4)+IF(AD84="",0,5))=0,"",(IF(T84="",0,T84*5)+IF(V84="",0,V84*5)+IF(X84="",0,X84*4)+IF(Z84="",0,Z84*4)+IF(AB84="",0,AB84*4)+IF(AD84="",0,AD84*5))/27)</f>
        <v/>
      </c>
      <c r="AG84" s="11">
        <f>IF(OR(City_Inputs!$Y84="",Norm_Stats!$F$13="",Norm_Stats!$G$13="",Norm_Stats!$G$13=Norm_Stats!$F$13),"",MAX(0,MIN(100,100*(MIN(MAX(City_Inputs!$Y84,Norm_Stats!$F$13),Norm_Stats!$G$13)-Norm_Stats!$F$13)/(Norm_Stats!$G$13-Norm_Stats!$F$13))))</f>
        <v/>
      </c>
      <c r="AH84" s="14">
        <f>IF(AG84="","",1)</f>
        <v/>
      </c>
      <c r="AI84" s="11">
        <f>IF(OR(City_Inputs!$Z84="",Norm_Stats!$F$14="",Norm_Stats!$G$14="",Norm_Stats!$G$14=Norm_Stats!$F$14),"",MAX(0,MIN(100,100*(MIN(MAX(City_Inputs!$Z84,Norm_Stats!$F$14),Norm_Stats!$G$14)-Norm_Stats!$F$14)/(Norm_Stats!$G$14-Norm_Stats!$F$14))))</f>
        <v/>
      </c>
      <c r="AJ84" s="14">
        <f>IF(AI84="","",1)</f>
        <v/>
      </c>
      <c r="AK84" s="11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(IF(OR(City_Inputs!$AA84="",Norm_Stats!$F$15="",Norm_Stats!$G$15="",Norm_Stats!$G$15=Norm_Stats!$F$15),"",MAX(0,MIN(100,100*(MIN(MAX(City_Inputs!$AA84,Norm_Stats!$F$15),Norm_Stats!$G$15)-Norm_Stats!$F$15)/(Norm_Stats!$G$15-Norm_Stats!$F$15)))))*0.7)+IF((IF(OR(City_Inputs!$AL84="",Norm_Stats!$F$16="",Norm_Stats!$G$16="",Norm_Stats!$G$16=Norm_Stats!$F$16),"",MAX(0,MIN(100,100*(Norm_Stats!$G$16-MIN(MAX(City_Inputs!$AL84,Norm_Stats!$F$16),Norm_Stats!$G$16))/(Norm_Stats!$G$16-Norm_Stats!$F$16)))))="",0,(IF(OR(City_Inputs!$AL84="",Norm_Stats!$F$16="",Norm_Stats!$G$16="",Norm_Stats!$G$16=Norm_Stats!$F$16),"",MAX(0,MIN(100,100*(Norm_Stats!$G$16-MIN(MAX(City_Inputs!$AL84,Norm_Stats!$F$16),Norm_Stats!$G$16))/(Norm_Stats!$G$16-Norm_Stats!$F$16)))))*0.3))/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L84" s="14">
        <f>IF(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=0,"",(IF((IF(OR(City_Inputs!$AA84="",Norm_Stats!$F$15="",Norm_Stats!$G$15="",Norm_Stats!$G$15=Norm_Stats!$F$15),"",MAX(0,MIN(100,100*(MIN(MAX(City_Inputs!$AA84,Norm_Stats!$F$15),Norm_Stats!$G$15)-Norm_Stats!$F$15)/(Norm_Stats!$G$15-Norm_Stats!$F$15)))))="",0,0.7)+IF((IF(OR(City_Inputs!$AL84="",Norm_Stats!$F$16="",Norm_Stats!$G$16="",Norm_Stats!$G$16=Norm_Stats!$F$16),"",MAX(0,MIN(100,100*(Norm_Stats!$G$16-MIN(MAX(City_Inputs!$AL84,Norm_Stats!$F$16),Norm_Stats!$G$16))/(Norm_Stats!$G$16-Norm_Stats!$F$16)))))="",0,0.3)))</f>
        <v/>
      </c>
      <c r="AM84" s="15">
        <f>IF((IF(AG84="",0,8)+IF(AI84="",0,6)+IF(AK84="",0,4))=0,"",(IF(AG84="",0,AG84*8)+IF(AI84="",0,AI84*6)+IF(AK84="",0,AK84*4))/(IF(AG84="",0,8)+IF(AI84="",0,6)+IF(AK84="",0,4)))</f>
        <v/>
      </c>
      <c r="AN84" s="14">
        <f>IF((IF(AH84="",0,8)+IF(AJ84="",0,6)+IF(AL84="",0,4))=0,"",(IF(AH84="",0,AH84*8)+IF(AJ84="",0,AJ84*6)+IF(AL84="",0,AL84*4))/18)</f>
        <v/>
      </c>
      <c r="AO84" s="11">
        <f>IF(OR(City_Inputs!$AB84="",Norm_Stats!$F$17="",Norm_Stats!$G$17="",Norm_Stats!$G$17=Norm_Stats!$F$17),"",MAX(0,MIN(100,100*(MIN(MAX(City_Inputs!$AB84,Norm_Stats!$F$17),Norm_Stats!$G$17)-Norm_Stats!$F$17)/(Norm_Stats!$G$17-Norm_Stats!$F$17))))</f>
        <v/>
      </c>
      <c r="AP84" s="14">
        <f>IF(AO84="","",1)</f>
        <v/>
      </c>
      <c r="AQ84" s="11">
        <f>IF(OR(City_Inputs!$AC84="",Norm_Stats!$F$18="",Norm_Stats!$G$18="",Norm_Stats!$G$18=Norm_Stats!$F$18),"",MAX(0,MIN(100,100*(MIN(MAX(City_Inputs!$AC84,Norm_Stats!$F$18),Norm_Stats!$G$18)-Norm_Stats!$F$18)/(Norm_Stats!$G$18-Norm_Stats!$F$18))))</f>
        <v/>
      </c>
      <c r="AR84" s="14">
        <f>IF(AQ84="","",1)</f>
        <v/>
      </c>
      <c r="AS84" s="11">
        <f>IF(OR(City_Inputs!$AD84="",Norm_Stats!$F$19="",Norm_Stats!$G$19="",Norm_Stats!$G$19=Norm_Stats!$F$19),"",MAX(0,MIN(100,100*(MIN(MAX(City_Inputs!$AD84,Norm_Stats!$F$19),Norm_Stats!$G$19)-Norm_Stats!$F$19)/(Norm_Stats!$G$19-Norm_Stats!$F$19))))</f>
        <v/>
      </c>
      <c r="AT84" s="14">
        <f>IF(AS84="","",1)</f>
        <v/>
      </c>
      <c r="AU84" s="11">
        <f>IF(OR(City_Inputs!$BJ84="",Norm_Stats!$F$26="",Norm_Stats!$G$26="",Norm_Stats!$G$26=Norm_Stats!$F$26),"",MAX(0,MIN(100,100*(MIN(MAX(City_Inputs!$BJ84,Norm_Stats!$F$26),Norm_Stats!$G$26)-Norm_Stats!$F$26)/(Norm_Stats!$G$26-Norm_Stats!$F$26))))</f>
        <v/>
      </c>
      <c r="AV84" s="11">
        <f>IF(AU84="","",1)</f>
        <v/>
      </c>
      <c r="AW84" s="15">
        <f>IF((IF(AO84="",0,5)+IF(AQ84="",0,5)+IF(AS84="",0,5)+IF(AU84="",0,4))=0,"",(IF(AO84="",0,AO84*5)+IF(AQ84="",0,AQ84*5)+IF(AS84="",0,AS84*5)+IF(AU84="",0,AU84*4))/(IF(AO84="",0,5)+IF(AQ84="",0,5)+IF(AS84="",0,5)+IF(AU84="",0,4)))</f>
        <v/>
      </c>
      <c r="AX84" s="14">
        <f>IF((IF(AP84="",0,5)+IF(AR84="",0,5)+IF(AT84="",0,5)+IF(AV84="",0,4))=0,"",(IF(AP84="",0,AP84*5)+IF(AR84="",0,AR84*5)+IF(AT84="",0,AT84*5)+IF(AV84="",0,AV84*4))/19)</f>
        <v/>
      </c>
      <c r="AY84" s="11">
        <f>IF(OR(City_Inputs!$AE84="",Norm_Stats!$F$20="",Norm_Stats!$G$20="",Norm_Stats!$G$20=Norm_Stats!$F$20),"",MAX(0,MIN(100,100*(MIN(MAX(City_Inputs!$AE84,Norm_Stats!$F$20),Norm_Stats!$G$20)-Norm_Stats!$F$20)/(Norm_Stats!$G$20-Norm_Stats!$F$20))))</f>
        <v/>
      </c>
      <c r="AZ84" s="14">
        <f>IF(AY84="","",1)</f>
        <v/>
      </c>
      <c r="BA84" s="11">
        <f>IF(OR(City_Inputs!$AF84="",Norm_Stats!$F$21="",Norm_Stats!$G$21="",Norm_Stats!$G$21=Norm_Stats!$F$21),"",MAX(0,MIN(100,100*(MIN(MAX(City_Inputs!$AF84,Norm_Stats!$F$21),Norm_Stats!$G$21)-Norm_Stats!$F$21)/(Norm_Stats!$G$21-Norm_Stats!$F$21))))</f>
        <v/>
      </c>
      <c r="BB84" s="14">
        <f>IF(BA84="","",1)</f>
        <v/>
      </c>
      <c r="BC84" s="11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(IF(OR(City_Inputs!$AG84="",Norm_Stats!$F$22="",Norm_Stats!$G$22="",Norm_Stats!$G$22=Norm_Stats!$F$22),"",MAX(0,MIN(100,100*(MIN(MAX(City_Inputs!$AG84,Norm_Stats!$F$22),Norm_Stats!$G$22)-Norm_Stats!$F$22)/(Norm_Stats!$G$22-Norm_Stats!$F$22)))))*0.5)+IF((IF(OR(City_Inputs!$AJ84="",Norm_Stats!$F$23="",Norm_Stats!$G$23="",Norm_Stats!$G$23=Norm_Stats!$F$23),"",MAX(0,MIN(100,100*(MIN(MAX(City_Inputs!$AJ84,Norm_Stats!$F$23),Norm_Stats!$G$23)-Norm_Stats!$F$23)/(Norm_Stats!$G$23-Norm_Stats!$F$23)))))="",0,(IF(OR(City_Inputs!$AJ84="",Norm_Stats!$F$23="",Norm_Stats!$G$23="",Norm_Stats!$G$23=Norm_Stats!$F$23),"",MAX(0,MIN(100,100*(MIN(MAX(City_Inputs!$AJ84,Norm_Stats!$F$23),Norm_Stats!$G$23)-Norm_Stats!$F$23)/(Norm_Stats!$G$23-Norm_Stats!$F$23)))))*0.3)+IF((IF(OR(City_Inputs!$AK84="",Norm_Stats!$F$24="",Norm_Stats!$G$24="",Norm_Stats!$G$24=Norm_Stats!$F$24),"",MAX(0,MIN(100,100*(MIN(MAX(City_Inputs!$AK84,Norm_Stats!$F$24),Norm_Stats!$G$24)-Norm_Stats!$F$24)/(Norm_Stats!$G$24-Norm_Stats!$F$24)))))="",0,(IF(OR(City_Inputs!$AK84="",Norm_Stats!$F$24="",Norm_Stats!$G$24="",Norm_Stats!$G$24=Norm_Stats!$F$24),"",MAX(0,MIN(100,100*(MIN(MAX(City_Inputs!$AK84,Norm_Stats!$F$24),Norm_Stats!$G$24)-Norm_Stats!$F$24)/(Norm_Stats!$G$24-Norm_Stats!$F$24)))))*0.2))/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D84" s="14">
        <f>IF(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=0,"",(IF((IF(OR(City_Inputs!$AG84="",Norm_Stats!$F$22="",Norm_Stats!$G$22="",Norm_Stats!$G$22=Norm_Stats!$F$22),"",MAX(0,MIN(100,100*(MIN(MAX(City_Inputs!$AG84,Norm_Stats!$F$22),Norm_Stats!$G$22)-Norm_Stats!$F$22)/(Norm_Stats!$G$22-Norm_Stats!$F$22)))))="",0,0.5)+IF((IF(OR(City_Inputs!$AJ84="",Norm_Stats!$F$23="",Norm_Stats!$G$23="",Norm_Stats!$G$23=Norm_Stats!$F$23),"",MAX(0,MIN(100,100*(MIN(MAX(City_Inputs!$AJ84,Norm_Stats!$F$23),Norm_Stats!$G$23)-Norm_Stats!$F$23)/(Norm_Stats!$G$23-Norm_Stats!$F$23)))))="",0,0.3)+IF((IF(OR(City_Inputs!$AK84="",Norm_Stats!$F$24="",Norm_Stats!$G$24="",Norm_Stats!$G$24=Norm_Stats!$F$24),"",MAX(0,MIN(100,100*(MIN(MAX(City_Inputs!$AK84,Norm_Stats!$F$24),Norm_Stats!$G$24)-Norm_Stats!$F$24)/(Norm_Stats!$G$24-Norm_Stats!$F$24)))))="",0,0.2)))</f>
        <v/>
      </c>
      <c r="BE84" s="11">
        <f>IF(OR(City_Inputs!$AH84="",Norm_Stats!$F$25="",Norm_Stats!$G$25="",Norm_Stats!$G$25=Norm_Stats!$F$25),"",MAX(0,MIN(100,100*(Norm_Stats!$G$25-MIN(MAX(City_Inputs!$AH84,Norm_Stats!$F$25),Norm_Stats!$G$25))/(Norm_Stats!$G$25-Norm_Stats!$F$25))))</f>
        <v/>
      </c>
      <c r="BF84" s="14">
        <f>IF(BE84="","",1)</f>
        <v/>
      </c>
      <c r="BG84" s="15">
        <f>IF((IF(AY84="",0,6)+IF(BA84="",0,5)+IF(BC84="",0,5)+IF(BE84="",0,4))=0,"",(IF(AY84="",0,AY84*6)+IF(BA84="",0,BA84*5)+IF(BC84="",0,BC84*5)+IF(BE84="",0,BE84*4))/(IF(AY84="",0,6)+IF(BA84="",0,5)+IF(BC84="",0,5)+IF(BE84="",0,4)))</f>
        <v/>
      </c>
      <c r="BH84" s="14">
        <f>IF((IF(AZ84="",0,6)+IF(BB84="",0,5)+IF(BD84="",0,5)+IF(BF84="",0,4))=0,"",(IF(AZ84="",0,AZ84*6)+IF(BB84="",0,BB84*5)+IF(BD84="",0,BD84*5)+IF(BF84="",0,BF84*4))/20)</f>
        <v/>
      </c>
      <c r="BI84" s="14">
        <f>IF(AND(R84="",AF84="",AN84="",AX84="",BH84=""),"",((R84*25)+(AF84*22)+(AN84*18)+(AX84*15)+(BH84*20))/100)</f>
        <v/>
      </c>
      <c r="BJ84" s="11">
        <f>IF(BI84="","",IF(BI84&gt;=0.75,"A",IF(BI84&gt;=0.5,"B",IF(BI84&gt;=0.35,"C","Watchlist"))))</f>
        <v/>
      </c>
      <c r="BK84" s="11">
        <f>IF(OR(BI84="",BI84&lt;0.5,R84="",R84&lt;0.35,AF84="",AF84&lt;0.35,AN84="",AN84&lt;0.35,AX84="",AX84&lt;0.35,BH84="",BH84&lt;0.35),"Watchlist","Ranked")</f>
        <v/>
      </c>
      <c r="BL84" s="15">
        <f>IF(AND(Q84="",AE84="",AM84="",AW84="",BG84=""),"",(IF(Q84="",0,Q84*25)+IF(AE84="",0,AE84*22)+IF(AM84="",0,AM84*18)+IF(AW84="",0,AW84*15)+IF(BG84="",0,BG84*20))/(IF(Q84="",0,25)+IF(AE84="",0,22)+IF(AM84="",0,18)+IF(AW84="",0,15)+IF(BG84="",0,20)))</f>
        <v/>
      </c>
      <c r="BM84" s="11">
        <f>IF(BK84="Ranked",1+COUNTIFS($BK$2:$BK$158,"Ranked",$BL$2:$BL$158,"&gt;"&amp;BL84),"")</f>
        <v/>
      </c>
      <c r="BN84" s="11">
        <f>City_Inputs!$AI84</f>
        <v/>
      </c>
    </row>
    <row r="85">
      <c r="A85" t="inlineStr">
        <is>
          <t>il-tel-aviv</t>
        </is>
      </c>
      <c r="B85" t="inlineStr">
        <is>
          <t>Tel Aviv</t>
        </is>
      </c>
      <c r="C85" t="inlineStr">
        <is>
          <t>Israel</t>
        </is>
      </c>
      <c r="D85" t="inlineStr">
        <is>
          <t>Middle East</t>
        </is>
      </c>
      <c r="E85" t="inlineStr">
        <is>
          <t>provisional</t>
        </is>
      </c>
      <c r="F85" t="inlineStr">
        <is>
          <t>primary</t>
        </is>
      </c>
      <c r="G85" s="11">
        <f>IF(OR(City_Inputs!$M85="",Norm_Stats!$F$2="",Norm_Stats!$G$2="",Norm_Stats!$G$2=Norm_Stats!$F$2),"",MAX(0,MIN(100,100*(MIN(MAX(City_Inputs!$M85,Norm_Stats!$F$2),Norm_Stats!$G$2)-Norm_Stats!$F$2)/(Norm_Stats!$G$2-Norm_Stats!$F$2))))</f>
        <v/>
      </c>
      <c r="H85" s="14">
        <f>IF(G85="","",1)</f>
        <v/>
      </c>
      <c r="I85" s="11">
        <f>IF(OR(City_Inputs!$N85="",Norm_Stats!$F$3="",Norm_Stats!$G$3="",Norm_Stats!$G$3=Norm_Stats!$F$3),"",MAX(0,MIN(100,100*(Norm_Stats!$G$3-MIN(MAX(City_Inputs!$N85,Norm_Stats!$F$3),Norm_Stats!$G$3))/(Norm_Stats!$G$3-Norm_Stats!$F$3))))</f>
        <v/>
      </c>
      <c r="J85" s="14">
        <f>IF(I85="","",1)</f>
        <v/>
      </c>
      <c r="K85" s="11">
        <f>IF(OR(City_Inputs!$P85="",Norm_Stats!$F$4="",Norm_Stats!$G$4="",Norm_Stats!$G$4=Norm_Stats!$F$4),"",MAX(0,MIN(100,100*(Norm_Stats!$G$4-MIN(MAX(City_Inputs!$P85,Norm_Stats!$F$4),Norm_Stats!$G$4))/(Norm_Stats!$G$4-Norm_Stats!$F$4))))</f>
        <v/>
      </c>
      <c r="L85" s="14">
        <f>IF(K85="","",1)</f>
        <v/>
      </c>
      <c r="M85" s="11">
        <f>IF(OR(City_Inputs!$Q85="",Norm_Stats!$F$5="",Norm_Stats!$G$5="",Norm_Stats!$G$5=Norm_Stats!$F$5),"",MAX(0,MIN(100,100*(Norm_Stats!$G$5-MIN(MAX(City_Inputs!$Q85,Norm_Stats!$F$5),Norm_Stats!$G$5))/(Norm_Stats!$G$5-Norm_Stats!$F$5))))</f>
        <v/>
      </c>
      <c r="N85" s="14">
        <f>IF(M85="","",1)</f>
        <v/>
      </c>
      <c r="O85" s="11">
        <f>IF(OR(City_Inputs!$R85="",Norm_Stats!$F$6="",Norm_Stats!$G$6="",Norm_Stats!$G$6=Norm_Stats!$F$6),"",MAX(0,MIN(100,100*(Norm_Stats!$G$6-MIN(MAX(City_Inputs!$R85,Norm_Stats!$F$6),Norm_Stats!$G$6))/(Norm_Stats!$G$6-Norm_Stats!$F$6))))</f>
        <v/>
      </c>
      <c r="P85" s="14">
        <f>IF(O85="","",1)</f>
        <v/>
      </c>
      <c r="Q85" s="15">
        <f>IF((IF(G85="",0,9)+IF(I85="",0,5)+IF(K85="",0,4)+IF(M85="",0,4)+IF(O85="",0,5))=0,"",(IF(G85="",0,G85*9)+IF(I85="",0,I85*5)+IF(K85="",0,K85*4)+IF(M85="",0,M85*4)+IF(O85="",0,O85*5))/(IF(G85="",0,9)+IF(I85="",0,5)+IF(K85="",0,4)+IF(M85="",0,4)+IF(O85="",0,5)))</f>
        <v/>
      </c>
      <c r="R85" s="14">
        <f>IF((IF(H85="",0,9)+IF(J85="",0,5)+IF(L85="",0,4)+IF(N85="",0,4)+IF(P85="",0,5))=0,"",(IF(H85="",0,H85*9)+IF(J85="",0,J85*5)+IF(L85="",0,L85*4)+IF(N85="",0,N85*4)+IF(P85="",0,P85*5))/27)</f>
        <v/>
      </c>
      <c r="S85" s="11">
        <f>IF(OR(City_Inputs!$S85="",Norm_Stats!$F$7="",Norm_Stats!$G$7="",Norm_Stats!$G$7=Norm_Stats!$F$7),"",MAX(0,MIN(100,100*(Norm_Stats!$G$7-MIN(MAX(City_Inputs!$S85,Norm_Stats!$F$7),Norm_Stats!$G$7))/(Norm_Stats!$G$7-Norm_Stats!$F$7))))</f>
        <v/>
      </c>
      <c r="T85" s="14">
        <f>IF(S85="","",1)</f>
        <v/>
      </c>
      <c r="U85" s="11">
        <f>IF(OR(City_Inputs!$T85="",Norm_Stats!$F$8="",Norm_Stats!$G$8="",Norm_Stats!$G$8=Norm_Stats!$F$8),"",MAX(0,MIN(100,100*(MIN(MAX(City_Inputs!$T85,Norm_Stats!$F$8),Norm_Stats!$G$8)-Norm_Stats!$F$8)/(Norm_Stats!$G$8-Norm_Stats!$F$8))))</f>
        <v/>
      </c>
      <c r="V85" s="14">
        <f>IF(U85="","",1)</f>
        <v/>
      </c>
      <c r="W85" s="11">
        <f>IF(OR(City_Inputs!$U85="",Norm_Stats!$F$9="",Norm_Stats!$G$9="",Norm_Stats!$G$9=Norm_Stats!$F$9),"",MAX(0,MIN(100,100*(Norm_Stats!$G$9-MIN(MAX(City_Inputs!$U85,Norm_Stats!$F$9),Norm_Stats!$G$9))/(Norm_Stats!$G$9-Norm_Stats!$F$9))))</f>
        <v/>
      </c>
      <c r="X85" s="14">
        <f>IF(W85="","",1)</f>
        <v/>
      </c>
      <c r="Y85" s="11">
        <f>IF(OR(City_Inputs!$V85="",Norm_Stats!$F$10="",Norm_Stats!$G$10="",Norm_Stats!$G$10=Norm_Stats!$F$10),"",MAX(0,MIN(100,100*(MIN(MAX(City_Inputs!$V85,Norm_Stats!$F$10),Norm_Stats!$G$10)-Norm_Stats!$F$10)/(Norm_Stats!$G$10-Norm_Stats!$F$10))))</f>
        <v/>
      </c>
      <c r="Z85" s="14">
        <f>IF(Y85="","",1)</f>
        <v/>
      </c>
      <c r="AA85" s="11">
        <f>IF(OR(City_Inputs!$W85="",Norm_Stats!$F$11="",Norm_Stats!$G$11="",Norm_Stats!$G$11=Norm_Stats!$F$11),"",MAX(0,MIN(100,100*(MIN(MAX(City_Inputs!$W85,Norm_Stats!$F$11),Norm_Stats!$G$11)-Norm_Stats!$F$11)/(Norm_Stats!$G$11-Norm_Stats!$F$11))))</f>
        <v/>
      </c>
      <c r="AB85" s="14">
        <f>IF(AA85="","",1)</f>
        <v/>
      </c>
      <c r="AC85" s="11">
        <f>IF(OR(City_Inputs!$X85="",Norm_Stats!$F$12="",Norm_Stats!$G$12="",Norm_Stats!$G$12=Norm_Stats!$F$12),"",MAX(0,MIN(100,100*(MIN(MAX(City_Inputs!$X85,Norm_Stats!$F$12),Norm_Stats!$G$12)-Norm_Stats!$F$12)/(Norm_Stats!$G$12-Norm_Stats!$F$12))))</f>
        <v/>
      </c>
      <c r="AD85" s="11">
        <f>IF(AC85="","",1)</f>
        <v/>
      </c>
      <c r="AE85" s="15">
        <f>IF((IF(S85="",0,5)+IF(U85="",0,5)+IF(W85="",0,4)+IF(Y85="",0,4)+IF(AA85="",0,4)+IF(AC85="",0,5))=0,"",(IF(S85="",0,S85*5)+IF(U85="",0,U85*5)+IF(W85="",0,W85*4)+IF(Y85="",0,Y85*4)+IF(AA85="",0,AA85*4)+IF(AC85="",0,AC85*5))/(IF(S85="",0,5)+IF(U85="",0,5)+IF(W85="",0,4)+IF(Y85="",0,4)+IF(AA85="",0,4)+IF(AC85="",0,5)))</f>
        <v/>
      </c>
      <c r="AF85" s="14">
        <f>IF((IF(T85="",0,5)+IF(V85="",0,5)+IF(X85="",0,4)+IF(Z85="",0,4)+IF(AB85="",0,4)+IF(AD85="",0,5))=0,"",(IF(T85="",0,T85*5)+IF(V85="",0,V85*5)+IF(X85="",0,X85*4)+IF(Z85="",0,Z85*4)+IF(AB85="",0,AB85*4)+IF(AD85="",0,AD85*5))/27)</f>
        <v/>
      </c>
      <c r="AG85" s="11">
        <f>IF(OR(City_Inputs!$Y85="",Norm_Stats!$F$13="",Norm_Stats!$G$13="",Norm_Stats!$G$13=Norm_Stats!$F$13),"",MAX(0,MIN(100,100*(MIN(MAX(City_Inputs!$Y85,Norm_Stats!$F$13),Norm_Stats!$G$13)-Norm_Stats!$F$13)/(Norm_Stats!$G$13-Norm_Stats!$F$13))))</f>
        <v/>
      </c>
      <c r="AH85" s="14">
        <f>IF(AG85="","",1)</f>
        <v/>
      </c>
      <c r="AI85" s="11">
        <f>IF(OR(City_Inputs!$Z85="",Norm_Stats!$F$14="",Norm_Stats!$G$14="",Norm_Stats!$G$14=Norm_Stats!$F$14),"",MAX(0,MIN(100,100*(MIN(MAX(City_Inputs!$Z85,Norm_Stats!$F$14),Norm_Stats!$G$14)-Norm_Stats!$F$14)/(Norm_Stats!$G$14-Norm_Stats!$F$14))))</f>
        <v/>
      </c>
      <c r="AJ85" s="14">
        <f>IF(AI85="","",1)</f>
        <v/>
      </c>
      <c r="AK85" s="11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(IF(OR(City_Inputs!$AA85="",Norm_Stats!$F$15="",Norm_Stats!$G$15="",Norm_Stats!$G$15=Norm_Stats!$F$15),"",MAX(0,MIN(100,100*(MIN(MAX(City_Inputs!$AA85,Norm_Stats!$F$15),Norm_Stats!$G$15)-Norm_Stats!$F$15)/(Norm_Stats!$G$15-Norm_Stats!$F$15)))))*0.7)+IF((IF(OR(City_Inputs!$AL85="",Norm_Stats!$F$16="",Norm_Stats!$G$16="",Norm_Stats!$G$16=Norm_Stats!$F$16),"",MAX(0,MIN(100,100*(Norm_Stats!$G$16-MIN(MAX(City_Inputs!$AL85,Norm_Stats!$F$16),Norm_Stats!$G$16))/(Norm_Stats!$G$16-Norm_Stats!$F$16)))))="",0,(IF(OR(City_Inputs!$AL85="",Norm_Stats!$F$16="",Norm_Stats!$G$16="",Norm_Stats!$G$16=Norm_Stats!$F$16),"",MAX(0,MIN(100,100*(Norm_Stats!$G$16-MIN(MAX(City_Inputs!$AL85,Norm_Stats!$F$16),Norm_Stats!$G$16))/(Norm_Stats!$G$16-Norm_Stats!$F$16)))))*0.3))/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L85" s="14">
        <f>IF(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=0,"",(IF((IF(OR(City_Inputs!$AA85="",Norm_Stats!$F$15="",Norm_Stats!$G$15="",Norm_Stats!$G$15=Norm_Stats!$F$15),"",MAX(0,MIN(100,100*(MIN(MAX(City_Inputs!$AA85,Norm_Stats!$F$15),Norm_Stats!$G$15)-Norm_Stats!$F$15)/(Norm_Stats!$G$15-Norm_Stats!$F$15)))))="",0,0.7)+IF((IF(OR(City_Inputs!$AL85="",Norm_Stats!$F$16="",Norm_Stats!$G$16="",Norm_Stats!$G$16=Norm_Stats!$F$16),"",MAX(0,MIN(100,100*(Norm_Stats!$G$16-MIN(MAX(City_Inputs!$AL85,Norm_Stats!$F$16),Norm_Stats!$G$16))/(Norm_Stats!$G$16-Norm_Stats!$F$16)))))="",0,0.3)))</f>
        <v/>
      </c>
      <c r="AM85" s="15">
        <f>IF((IF(AG85="",0,8)+IF(AI85="",0,6)+IF(AK85="",0,4))=0,"",(IF(AG85="",0,AG85*8)+IF(AI85="",0,AI85*6)+IF(AK85="",0,AK85*4))/(IF(AG85="",0,8)+IF(AI85="",0,6)+IF(AK85="",0,4)))</f>
        <v/>
      </c>
      <c r="AN85" s="14">
        <f>IF((IF(AH85="",0,8)+IF(AJ85="",0,6)+IF(AL85="",0,4))=0,"",(IF(AH85="",0,AH85*8)+IF(AJ85="",0,AJ85*6)+IF(AL85="",0,AL85*4))/18)</f>
        <v/>
      </c>
      <c r="AO85" s="11">
        <f>IF(OR(City_Inputs!$AB85="",Norm_Stats!$F$17="",Norm_Stats!$G$17="",Norm_Stats!$G$17=Norm_Stats!$F$17),"",MAX(0,MIN(100,100*(MIN(MAX(City_Inputs!$AB85,Norm_Stats!$F$17),Norm_Stats!$G$17)-Norm_Stats!$F$17)/(Norm_Stats!$G$17-Norm_Stats!$F$17))))</f>
        <v/>
      </c>
      <c r="AP85" s="14">
        <f>IF(AO85="","",1)</f>
        <v/>
      </c>
      <c r="AQ85" s="11">
        <f>IF(OR(City_Inputs!$AC85="",Norm_Stats!$F$18="",Norm_Stats!$G$18="",Norm_Stats!$G$18=Norm_Stats!$F$18),"",MAX(0,MIN(100,100*(MIN(MAX(City_Inputs!$AC85,Norm_Stats!$F$18),Norm_Stats!$G$18)-Norm_Stats!$F$18)/(Norm_Stats!$G$18-Norm_Stats!$F$18))))</f>
        <v/>
      </c>
      <c r="AR85" s="14">
        <f>IF(AQ85="","",1)</f>
        <v/>
      </c>
      <c r="AS85" s="11">
        <f>IF(OR(City_Inputs!$AD85="",Norm_Stats!$F$19="",Norm_Stats!$G$19="",Norm_Stats!$G$19=Norm_Stats!$F$19),"",MAX(0,MIN(100,100*(MIN(MAX(City_Inputs!$AD85,Norm_Stats!$F$19),Norm_Stats!$G$19)-Norm_Stats!$F$19)/(Norm_Stats!$G$19-Norm_Stats!$F$19))))</f>
        <v/>
      </c>
      <c r="AT85" s="14">
        <f>IF(AS85="","",1)</f>
        <v/>
      </c>
      <c r="AU85" s="11">
        <f>IF(OR(City_Inputs!$BJ85="",Norm_Stats!$F$26="",Norm_Stats!$G$26="",Norm_Stats!$G$26=Norm_Stats!$F$26),"",MAX(0,MIN(100,100*(MIN(MAX(City_Inputs!$BJ85,Norm_Stats!$F$26),Norm_Stats!$G$26)-Norm_Stats!$F$26)/(Norm_Stats!$G$26-Norm_Stats!$F$26))))</f>
        <v/>
      </c>
      <c r="AV85" s="11">
        <f>IF(AU85="","",1)</f>
        <v/>
      </c>
      <c r="AW85" s="15">
        <f>IF((IF(AO85="",0,5)+IF(AQ85="",0,5)+IF(AS85="",0,5)+IF(AU85="",0,4))=0,"",(IF(AO85="",0,AO85*5)+IF(AQ85="",0,AQ85*5)+IF(AS85="",0,AS85*5)+IF(AU85="",0,AU85*4))/(IF(AO85="",0,5)+IF(AQ85="",0,5)+IF(AS85="",0,5)+IF(AU85="",0,4)))</f>
        <v/>
      </c>
      <c r="AX85" s="14">
        <f>IF((IF(AP85="",0,5)+IF(AR85="",0,5)+IF(AT85="",0,5)+IF(AV85="",0,4))=0,"",(IF(AP85="",0,AP85*5)+IF(AR85="",0,AR85*5)+IF(AT85="",0,AT85*5)+IF(AV85="",0,AV85*4))/19)</f>
        <v/>
      </c>
      <c r="AY85" s="11">
        <f>IF(OR(City_Inputs!$AE85="",Norm_Stats!$F$20="",Norm_Stats!$G$20="",Norm_Stats!$G$20=Norm_Stats!$F$20),"",MAX(0,MIN(100,100*(MIN(MAX(City_Inputs!$AE85,Norm_Stats!$F$20),Norm_Stats!$G$20)-Norm_Stats!$F$20)/(Norm_Stats!$G$20-Norm_Stats!$F$20))))</f>
        <v/>
      </c>
      <c r="AZ85" s="14">
        <f>IF(AY85="","",1)</f>
        <v/>
      </c>
      <c r="BA85" s="11">
        <f>IF(OR(City_Inputs!$AF85="",Norm_Stats!$F$21="",Norm_Stats!$G$21="",Norm_Stats!$G$21=Norm_Stats!$F$21),"",MAX(0,MIN(100,100*(MIN(MAX(City_Inputs!$AF85,Norm_Stats!$F$21),Norm_Stats!$G$21)-Norm_Stats!$F$21)/(Norm_Stats!$G$21-Norm_Stats!$F$21))))</f>
        <v/>
      </c>
      <c r="BB85" s="14">
        <f>IF(BA85="","",1)</f>
        <v/>
      </c>
      <c r="BC85" s="11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(IF(OR(City_Inputs!$AG85="",Norm_Stats!$F$22="",Norm_Stats!$G$22="",Norm_Stats!$G$22=Norm_Stats!$F$22),"",MAX(0,MIN(100,100*(MIN(MAX(City_Inputs!$AG85,Norm_Stats!$F$22),Norm_Stats!$G$22)-Norm_Stats!$F$22)/(Norm_Stats!$G$22-Norm_Stats!$F$22)))))*0.5)+IF((IF(OR(City_Inputs!$AJ85="",Norm_Stats!$F$23="",Norm_Stats!$G$23="",Norm_Stats!$G$23=Norm_Stats!$F$23),"",MAX(0,MIN(100,100*(MIN(MAX(City_Inputs!$AJ85,Norm_Stats!$F$23),Norm_Stats!$G$23)-Norm_Stats!$F$23)/(Norm_Stats!$G$23-Norm_Stats!$F$23)))))="",0,(IF(OR(City_Inputs!$AJ85="",Norm_Stats!$F$23="",Norm_Stats!$G$23="",Norm_Stats!$G$23=Norm_Stats!$F$23),"",MAX(0,MIN(100,100*(MIN(MAX(City_Inputs!$AJ85,Norm_Stats!$F$23),Norm_Stats!$G$23)-Norm_Stats!$F$23)/(Norm_Stats!$G$23-Norm_Stats!$F$23)))))*0.3)+IF((IF(OR(City_Inputs!$AK85="",Norm_Stats!$F$24="",Norm_Stats!$G$24="",Norm_Stats!$G$24=Norm_Stats!$F$24),"",MAX(0,MIN(100,100*(MIN(MAX(City_Inputs!$AK85,Norm_Stats!$F$24),Norm_Stats!$G$24)-Norm_Stats!$F$24)/(Norm_Stats!$G$24-Norm_Stats!$F$24)))))="",0,(IF(OR(City_Inputs!$AK85="",Norm_Stats!$F$24="",Norm_Stats!$G$24="",Norm_Stats!$G$24=Norm_Stats!$F$24),"",MAX(0,MIN(100,100*(MIN(MAX(City_Inputs!$AK85,Norm_Stats!$F$24),Norm_Stats!$G$24)-Norm_Stats!$F$24)/(Norm_Stats!$G$24-Norm_Stats!$F$24)))))*0.2))/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D85" s="14">
        <f>IF(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=0,"",(IF((IF(OR(City_Inputs!$AG85="",Norm_Stats!$F$22="",Norm_Stats!$G$22="",Norm_Stats!$G$22=Norm_Stats!$F$22),"",MAX(0,MIN(100,100*(MIN(MAX(City_Inputs!$AG85,Norm_Stats!$F$22),Norm_Stats!$G$22)-Norm_Stats!$F$22)/(Norm_Stats!$G$22-Norm_Stats!$F$22)))))="",0,0.5)+IF((IF(OR(City_Inputs!$AJ85="",Norm_Stats!$F$23="",Norm_Stats!$G$23="",Norm_Stats!$G$23=Norm_Stats!$F$23),"",MAX(0,MIN(100,100*(MIN(MAX(City_Inputs!$AJ85,Norm_Stats!$F$23),Norm_Stats!$G$23)-Norm_Stats!$F$23)/(Norm_Stats!$G$23-Norm_Stats!$F$23)))))="",0,0.3)+IF((IF(OR(City_Inputs!$AK85="",Norm_Stats!$F$24="",Norm_Stats!$G$24="",Norm_Stats!$G$24=Norm_Stats!$F$24),"",MAX(0,MIN(100,100*(MIN(MAX(City_Inputs!$AK85,Norm_Stats!$F$24),Norm_Stats!$G$24)-Norm_Stats!$F$24)/(Norm_Stats!$G$24-Norm_Stats!$F$24)))))="",0,0.2)))</f>
        <v/>
      </c>
      <c r="BE85" s="11">
        <f>IF(OR(City_Inputs!$AH85="",Norm_Stats!$F$25="",Norm_Stats!$G$25="",Norm_Stats!$G$25=Norm_Stats!$F$25),"",MAX(0,MIN(100,100*(Norm_Stats!$G$25-MIN(MAX(City_Inputs!$AH85,Norm_Stats!$F$25),Norm_Stats!$G$25))/(Norm_Stats!$G$25-Norm_Stats!$F$25))))</f>
        <v/>
      </c>
      <c r="BF85" s="14">
        <f>IF(BE85="","",1)</f>
        <v/>
      </c>
      <c r="BG85" s="15">
        <f>IF((IF(AY85="",0,6)+IF(BA85="",0,5)+IF(BC85="",0,5)+IF(BE85="",0,4))=0,"",(IF(AY85="",0,AY85*6)+IF(BA85="",0,BA85*5)+IF(BC85="",0,BC85*5)+IF(BE85="",0,BE85*4))/(IF(AY85="",0,6)+IF(BA85="",0,5)+IF(BC85="",0,5)+IF(BE85="",0,4)))</f>
        <v/>
      </c>
      <c r="BH85" s="14">
        <f>IF((IF(AZ85="",0,6)+IF(BB85="",0,5)+IF(BD85="",0,5)+IF(BF85="",0,4))=0,"",(IF(AZ85="",0,AZ85*6)+IF(BB85="",0,BB85*5)+IF(BD85="",0,BD85*5)+IF(BF85="",0,BF85*4))/20)</f>
        <v/>
      </c>
      <c r="BI85" s="14">
        <f>IF(AND(R85="",AF85="",AN85="",AX85="",BH85=""),"",((R85*25)+(AF85*22)+(AN85*18)+(AX85*15)+(BH85*20))/100)</f>
        <v/>
      </c>
      <c r="BJ85" s="11">
        <f>IF(BI85="","",IF(BI85&gt;=0.75,"A",IF(BI85&gt;=0.5,"B",IF(BI85&gt;=0.35,"C","Watchlist"))))</f>
        <v/>
      </c>
      <c r="BK85" s="11">
        <f>IF(OR(BI85="",BI85&lt;0.5,R85="",R85&lt;0.35,AF85="",AF85&lt;0.35,AN85="",AN85&lt;0.35,AX85="",AX85&lt;0.35,BH85="",BH85&lt;0.35),"Watchlist","Ranked")</f>
        <v/>
      </c>
      <c r="BL85" s="15">
        <f>IF(AND(Q85="",AE85="",AM85="",AW85="",BG85=""),"",(IF(Q85="",0,Q85*25)+IF(AE85="",0,AE85*22)+IF(AM85="",0,AM85*18)+IF(AW85="",0,AW85*15)+IF(BG85="",0,BG85*20))/(IF(Q85="",0,25)+IF(AE85="",0,22)+IF(AM85="",0,18)+IF(AW85="",0,15)+IF(BG85="",0,20)))</f>
        <v/>
      </c>
      <c r="BM85" s="11">
        <f>IF(BK85="Ranked",1+COUNTIFS($BK$2:$BK$158,"Ranked",$BL$2:$BL$158,"&gt;"&amp;BL85),"")</f>
        <v/>
      </c>
      <c r="BN85" s="11">
        <f>City_Inputs!$AI85</f>
        <v/>
      </c>
    </row>
    <row r="86">
      <c r="A86" t="inlineStr">
        <is>
          <t>om-muscat</t>
        </is>
      </c>
      <c r="B86" t="inlineStr">
        <is>
          <t>Muscat</t>
        </is>
      </c>
      <c r="C86" t="inlineStr">
        <is>
          <t>Oman</t>
        </is>
      </c>
      <c r="D86" t="inlineStr">
        <is>
          <t>Middle East</t>
        </is>
      </c>
      <c r="E86" t="inlineStr">
        <is>
          <t>locked</t>
        </is>
      </c>
      <c r="F86" t="inlineStr">
        <is>
          <t>secondary</t>
        </is>
      </c>
      <c r="G86" s="11">
        <f>IF(OR(City_Inputs!$M86="",Norm_Stats!$F$2="",Norm_Stats!$G$2="",Norm_Stats!$G$2=Norm_Stats!$F$2),"",MAX(0,MIN(100,100*(MIN(MAX(City_Inputs!$M86,Norm_Stats!$F$2),Norm_Stats!$G$2)-Norm_Stats!$F$2)/(Norm_Stats!$G$2-Norm_Stats!$F$2))))</f>
        <v/>
      </c>
      <c r="H86" s="14">
        <f>IF(G86="","",1)</f>
        <v/>
      </c>
      <c r="I86" s="11">
        <f>IF(OR(City_Inputs!$N86="",Norm_Stats!$F$3="",Norm_Stats!$G$3="",Norm_Stats!$G$3=Norm_Stats!$F$3),"",MAX(0,MIN(100,100*(Norm_Stats!$G$3-MIN(MAX(City_Inputs!$N86,Norm_Stats!$F$3),Norm_Stats!$G$3))/(Norm_Stats!$G$3-Norm_Stats!$F$3))))</f>
        <v/>
      </c>
      <c r="J86" s="14">
        <f>IF(I86="","",1)</f>
        <v/>
      </c>
      <c r="K86" s="11">
        <f>IF(OR(City_Inputs!$P86="",Norm_Stats!$F$4="",Norm_Stats!$G$4="",Norm_Stats!$G$4=Norm_Stats!$F$4),"",MAX(0,MIN(100,100*(Norm_Stats!$G$4-MIN(MAX(City_Inputs!$P86,Norm_Stats!$F$4),Norm_Stats!$G$4))/(Norm_Stats!$G$4-Norm_Stats!$F$4))))</f>
        <v/>
      </c>
      <c r="L86" s="14">
        <f>IF(K86="","",1)</f>
        <v/>
      </c>
      <c r="M86" s="11">
        <f>IF(OR(City_Inputs!$Q86="",Norm_Stats!$F$5="",Norm_Stats!$G$5="",Norm_Stats!$G$5=Norm_Stats!$F$5),"",MAX(0,MIN(100,100*(Norm_Stats!$G$5-MIN(MAX(City_Inputs!$Q86,Norm_Stats!$F$5),Norm_Stats!$G$5))/(Norm_Stats!$G$5-Norm_Stats!$F$5))))</f>
        <v/>
      </c>
      <c r="N86" s="14">
        <f>IF(M86="","",1)</f>
        <v/>
      </c>
      <c r="O86" s="11">
        <f>IF(OR(City_Inputs!$R86="",Norm_Stats!$F$6="",Norm_Stats!$G$6="",Norm_Stats!$G$6=Norm_Stats!$F$6),"",MAX(0,MIN(100,100*(Norm_Stats!$G$6-MIN(MAX(City_Inputs!$R86,Norm_Stats!$F$6),Norm_Stats!$G$6))/(Norm_Stats!$G$6-Norm_Stats!$F$6))))</f>
        <v/>
      </c>
      <c r="P86" s="14">
        <f>IF(O86="","",1)</f>
        <v/>
      </c>
      <c r="Q86" s="15">
        <f>IF((IF(G86="",0,9)+IF(I86="",0,5)+IF(K86="",0,4)+IF(M86="",0,4)+IF(O86="",0,5))=0,"",(IF(G86="",0,G86*9)+IF(I86="",0,I86*5)+IF(K86="",0,K86*4)+IF(M86="",0,M86*4)+IF(O86="",0,O86*5))/(IF(G86="",0,9)+IF(I86="",0,5)+IF(K86="",0,4)+IF(M86="",0,4)+IF(O86="",0,5)))</f>
        <v/>
      </c>
      <c r="R86" s="14">
        <f>IF((IF(H86="",0,9)+IF(J86="",0,5)+IF(L86="",0,4)+IF(N86="",0,4)+IF(P86="",0,5))=0,"",(IF(H86="",0,H86*9)+IF(J86="",0,J86*5)+IF(L86="",0,L86*4)+IF(N86="",0,N86*4)+IF(P86="",0,P86*5))/27)</f>
        <v/>
      </c>
      <c r="S86" s="11">
        <f>IF(OR(City_Inputs!$S86="",Norm_Stats!$F$7="",Norm_Stats!$G$7="",Norm_Stats!$G$7=Norm_Stats!$F$7),"",MAX(0,MIN(100,100*(Norm_Stats!$G$7-MIN(MAX(City_Inputs!$S86,Norm_Stats!$F$7),Norm_Stats!$G$7))/(Norm_Stats!$G$7-Norm_Stats!$F$7))))</f>
        <v/>
      </c>
      <c r="T86" s="14">
        <f>IF(S86="","",1)</f>
        <v/>
      </c>
      <c r="U86" s="11">
        <f>IF(OR(City_Inputs!$T86="",Norm_Stats!$F$8="",Norm_Stats!$G$8="",Norm_Stats!$G$8=Norm_Stats!$F$8),"",MAX(0,MIN(100,100*(MIN(MAX(City_Inputs!$T86,Norm_Stats!$F$8),Norm_Stats!$G$8)-Norm_Stats!$F$8)/(Norm_Stats!$G$8-Norm_Stats!$F$8))))</f>
        <v/>
      </c>
      <c r="V86" s="14">
        <f>IF(U86="","",1)</f>
        <v/>
      </c>
      <c r="W86" s="11">
        <f>IF(OR(City_Inputs!$U86="",Norm_Stats!$F$9="",Norm_Stats!$G$9="",Norm_Stats!$G$9=Norm_Stats!$F$9),"",MAX(0,MIN(100,100*(Norm_Stats!$G$9-MIN(MAX(City_Inputs!$U86,Norm_Stats!$F$9),Norm_Stats!$G$9))/(Norm_Stats!$G$9-Norm_Stats!$F$9))))</f>
        <v/>
      </c>
      <c r="X86" s="14">
        <f>IF(W86="","",1)</f>
        <v/>
      </c>
      <c r="Y86" s="11">
        <f>IF(OR(City_Inputs!$V86="",Norm_Stats!$F$10="",Norm_Stats!$G$10="",Norm_Stats!$G$10=Norm_Stats!$F$10),"",MAX(0,MIN(100,100*(MIN(MAX(City_Inputs!$V86,Norm_Stats!$F$10),Norm_Stats!$G$10)-Norm_Stats!$F$10)/(Norm_Stats!$G$10-Norm_Stats!$F$10))))</f>
        <v/>
      </c>
      <c r="Z86" s="14">
        <f>IF(Y86="","",1)</f>
        <v/>
      </c>
      <c r="AA86" s="11">
        <f>IF(OR(City_Inputs!$W86="",Norm_Stats!$F$11="",Norm_Stats!$G$11="",Norm_Stats!$G$11=Norm_Stats!$F$11),"",MAX(0,MIN(100,100*(MIN(MAX(City_Inputs!$W86,Norm_Stats!$F$11),Norm_Stats!$G$11)-Norm_Stats!$F$11)/(Norm_Stats!$G$11-Norm_Stats!$F$11))))</f>
        <v/>
      </c>
      <c r="AB86" s="14">
        <f>IF(AA86="","",1)</f>
        <v/>
      </c>
      <c r="AC86" s="11">
        <f>IF(OR(City_Inputs!$X86="",Norm_Stats!$F$12="",Norm_Stats!$G$12="",Norm_Stats!$G$12=Norm_Stats!$F$12),"",MAX(0,MIN(100,100*(MIN(MAX(City_Inputs!$X86,Norm_Stats!$F$12),Norm_Stats!$G$12)-Norm_Stats!$F$12)/(Norm_Stats!$G$12-Norm_Stats!$F$12))))</f>
        <v/>
      </c>
      <c r="AD86" s="11">
        <f>IF(AC86="","",1)</f>
        <v/>
      </c>
      <c r="AE86" s="15">
        <f>IF((IF(S86="",0,5)+IF(U86="",0,5)+IF(W86="",0,4)+IF(Y86="",0,4)+IF(AA86="",0,4)+IF(AC86="",0,5))=0,"",(IF(S86="",0,S86*5)+IF(U86="",0,U86*5)+IF(W86="",0,W86*4)+IF(Y86="",0,Y86*4)+IF(AA86="",0,AA86*4)+IF(AC86="",0,AC86*5))/(IF(S86="",0,5)+IF(U86="",0,5)+IF(W86="",0,4)+IF(Y86="",0,4)+IF(AA86="",0,4)+IF(AC86="",0,5)))</f>
        <v/>
      </c>
      <c r="AF86" s="14">
        <f>IF((IF(T86="",0,5)+IF(V86="",0,5)+IF(X86="",0,4)+IF(Z86="",0,4)+IF(AB86="",0,4)+IF(AD86="",0,5))=0,"",(IF(T86="",0,T86*5)+IF(V86="",0,V86*5)+IF(X86="",0,X86*4)+IF(Z86="",0,Z86*4)+IF(AB86="",0,AB86*4)+IF(AD86="",0,AD86*5))/27)</f>
        <v/>
      </c>
      <c r="AG86" s="11">
        <f>IF(OR(City_Inputs!$Y86="",Norm_Stats!$F$13="",Norm_Stats!$G$13="",Norm_Stats!$G$13=Norm_Stats!$F$13),"",MAX(0,MIN(100,100*(MIN(MAX(City_Inputs!$Y86,Norm_Stats!$F$13),Norm_Stats!$G$13)-Norm_Stats!$F$13)/(Norm_Stats!$G$13-Norm_Stats!$F$13))))</f>
        <v/>
      </c>
      <c r="AH86" s="14">
        <f>IF(AG86="","",1)</f>
        <v/>
      </c>
      <c r="AI86" s="11">
        <f>IF(OR(City_Inputs!$Z86="",Norm_Stats!$F$14="",Norm_Stats!$G$14="",Norm_Stats!$G$14=Norm_Stats!$F$14),"",MAX(0,MIN(100,100*(MIN(MAX(City_Inputs!$Z86,Norm_Stats!$F$14),Norm_Stats!$G$14)-Norm_Stats!$F$14)/(Norm_Stats!$G$14-Norm_Stats!$F$14))))</f>
        <v/>
      </c>
      <c r="AJ86" s="14">
        <f>IF(AI86="","",1)</f>
        <v/>
      </c>
      <c r="AK86" s="11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(IF(OR(City_Inputs!$AA86="",Norm_Stats!$F$15="",Norm_Stats!$G$15="",Norm_Stats!$G$15=Norm_Stats!$F$15),"",MAX(0,MIN(100,100*(MIN(MAX(City_Inputs!$AA86,Norm_Stats!$F$15),Norm_Stats!$G$15)-Norm_Stats!$F$15)/(Norm_Stats!$G$15-Norm_Stats!$F$15)))))*0.7)+IF((IF(OR(City_Inputs!$AL86="",Norm_Stats!$F$16="",Norm_Stats!$G$16="",Norm_Stats!$G$16=Norm_Stats!$F$16),"",MAX(0,MIN(100,100*(Norm_Stats!$G$16-MIN(MAX(City_Inputs!$AL86,Norm_Stats!$F$16),Norm_Stats!$G$16))/(Norm_Stats!$G$16-Norm_Stats!$F$16)))))="",0,(IF(OR(City_Inputs!$AL86="",Norm_Stats!$F$16="",Norm_Stats!$G$16="",Norm_Stats!$G$16=Norm_Stats!$F$16),"",MAX(0,MIN(100,100*(Norm_Stats!$G$16-MIN(MAX(City_Inputs!$AL86,Norm_Stats!$F$16),Norm_Stats!$G$16))/(Norm_Stats!$G$16-Norm_Stats!$F$16)))))*0.3))/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L86" s="14">
        <f>IF(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=0,"",(IF((IF(OR(City_Inputs!$AA86="",Norm_Stats!$F$15="",Norm_Stats!$G$15="",Norm_Stats!$G$15=Norm_Stats!$F$15),"",MAX(0,MIN(100,100*(MIN(MAX(City_Inputs!$AA86,Norm_Stats!$F$15),Norm_Stats!$G$15)-Norm_Stats!$F$15)/(Norm_Stats!$G$15-Norm_Stats!$F$15)))))="",0,0.7)+IF((IF(OR(City_Inputs!$AL86="",Norm_Stats!$F$16="",Norm_Stats!$G$16="",Norm_Stats!$G$16=Norm_Stats!$F$16),"",MAX(0,MIN(100,100*(Norm_Stats!$G$16-MIN(MAX(City_Inputs!$AL86,Norm_Stats!$F$16),Norm_Stats!$G$16))/(Norm_Stats!$G$16-Norm_Stats!$F$16)))))="",0,0.3)))</f>
        <v/>
      </c>
      <c r="AM86" s="15">
        <f>IF((IF(AG86="",0,8)+IF(AI86="",0,6)+IF(AK86="",0,4))=0,"",(IF(AG86="",0,AG86*8)+IF(AI86="",0,AI86*6)+IF(AK86="",0,AK86*4))/(IF(AG86="",0,8)+IF(AI86="",0,6)+IF(AK86="",0,4)))</f>
        <v/>
      </c>
      <c r="AN86" s="14">
        <f>IF((IF(AH86="",0,8)+IF(AJ86="",0,6)+IF(AL86="",0,4))=0,"",(IF(AH86="",0,AH86*8)+IF(AJ86="",0,AJ86*6)+IF(AL86="",0,AL86*4))/18)</f>
        <v/>
      </c>
      <c r="AO86" s="11">
        <f>IF(OR(City_Inputs!$AB86="",Norm_Stats!$F$17="",Norm_Stats!$G$17="",Norm_Stats!$G$17=Norm_Stats!$F$17),"",MAX(0,MIN(100,100*(MIN(MAX(City_Inputs!$AB86,Norm_Stats!$F$17),Norm_Stats!$G$17)-Norm_Stats!$F$17)/(Norm_Stats!$G$17-Norm_Stats!$F$17))))</f>
        <v/>
      </c>
      <c r="AP86" s="14">
        <f>IF(AO86="","",1)</f>
        <v/>
      </c>
      <c r="AQ86" s="11">
        <f>IF(OR(City_Inputs!$AC86="",Norm_Stats!$F$18="",Norm_Stats!$G$18="",Norm_Stats!$G$18=Norm_Stats!$F$18),"",MAX(0,MIN(100,100*(MIN(MAX(City_Inputs!$AC86,Norm_Stats!$F$18),Norm_Stats!$G$18)-Norm_Stats!$F$18)/(Norm_Stats!$G$18-Norm_Stats!$F$18))))</f>
        <v/>
      </c>
      <c r="AR86" s="14">
        <f>IF(AQ86="","",1)</f>
        <v/>
      </c>
      <c r="AS86" s="11">
        <f>IF(OR(City_Inputs!$AD86="",Norm_Stats!$F$19="",Norm_Stats!$G$19="",Norm_Stats!$G$19=Norm_Stats!$F$19),"",MAX(0,MIN(100,100*(MIN(MAX(City_Inputs!$AD86,Norm_Stats!$F$19),Norm_Stats!$G$19)-Norm_Stats!$F$19)/(Norm_Stats!$G$19-Norm_Stats!$F$19))))</f>
        <v/>
      </c>
      <c r="AT86" s="14">
        <f>IF(AS86="","",1)</f>
        <v/>
      </c>
      <c r="AU86" s="11">
        <f>IF(OR(City_Inputs!$BJ86="",Norm_Stats!$F$26="",Norm_Stats!$G$26="",Norm_Stats!$G$26=Norm_Stats!$F$26),"",MAX(0,MIN(100,100*(MIN(MAX(City_Inputs!$BJ86,Norm_Stats!$F$26),Norm_Stats!$G$26)-Norm_Stats!$F$26)/(Norm_Stats!$G$26-Norm_Stats!$F$26))))</f>
        <v/>
      </c>
      <c r="AV86" s="11">
        <f>IF(AU86="","",1)</f>
        <v/>
      </c>
      <c r="AW86" s="15">
        <f>IF((IF(AO86="",0,5)+IF(AQ86="",0,5)+IF(AS86="",0,5)+IF(AU86="",0,4))=0,"",(IF(AO86="",0,AO86*5)+IF(AQ86="",0,AQ86*5)+IF(AS86="",0,AS86*5)+IF(AU86="",0,AU86*4))/(IF(AO86="",0,5)+IF(AQ86="",0,5)+IF(AS86="",0,5)+IF(AU86="",0,4)))</f>
        <v/>
      </c>
      <c r="AX86" s="14">
        <f>IF((IF(AP86="",0,5)+IF(AR86="",0,5)+IF(AT86="",0,5)+IF(AV86="",0,4))=0,"",(IF(AP86="",0,AP86*5)+IF(AR86="",0,AR86*5)+IF(AT86="",0,AT86*5)+IF(AV86="",0,AV86*4))/19)</f>
        <v/>
      </c>
      <c r="AY86" s="11">
        <f>IF(OR(City_Inputs!$AE86="",Norm_Stats!$F$20="",Norm_Stats!$G$20="",Norm_Stats!$G$20=Norm_Stats!$F$20),"",MAX(0,MIN(100,100*(MIN(MAX(City_Inputs!$AE86,Norm_Stats!$F$20),Norm_Stats!$G$20)-Norm_Stats!$F$20)/(Norm_Stats!$G$20-Norm_Stats!$F$20))))</f>
        <v/>
      </c>
      <c r="AZ86" s="14">
        <f>IF(AY86="","",1)</f>
        <v/>
      </c>
      <c r="BA86" s="11">
        <f>IF(OR(City_Inputs!$AF86="",Norm_Stats!$F$21="",Norm_Stats!$G$21="",Norm_Stats!$G$21=Norm_Stats!$F$21),"",MAX(0,MIN(100,100*(MIN(MAX(City_Inputs!$AF86,Norm_Stats!$F$21),Norm_Stats!$G$21)-Norm_Stats!$F$21)/(Norm_Stats!$G$21-Norm_Stats!$F$21))))</f>
        <v/>
      </c>
      <c r="BB86" s="14">
        <f>IF(BA86="","",1)</f>
        <v/>
      </c>
      <c r="BC86" s="11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(IF(OR(City_Inputs!$AG86="",Norm_Stats!$F$22="",Norm_Stats!$G$22="",Norm_Stats!$G$22=Norm_Stats!$F$22),"",MAX(0,MIN(100,100*(MIN(MAX(City_Inputs!$AG86,Norm_Stats!$F$22),Norm_Stats!$G$22)-Norm_Stats!$F$22)/(Norm_Stats!$G$22-Norm_Stats!$F$22)))))*0.5)+IF((IF(OR(City_Inputs!$AJ86="",Norm_Stats!$F$23="",Norm_Stats!$G$23="",Norm_Stats!$G$23=Norm_Stats!$F$23),"",MAX(0,MIN(100,100*(MIN(MAX(City_Inputs!$AJ86,Norm_Stats!$F$23),Norm_Stats!$G$23)-Norm_Stats!$F$23)/(Norm_Stats!$G$23-Norm_Stats!$F$23)))))="",0,(IF(OR(City_Inputs!$AJ86="",Norm_Stats!$F$23="",Norm_Stats!$G$23="",Norm_Stats!$G$23=Norm_Stats!$F$23),"",MAX(0,MIN(100,100*(MIN(MAX(City_Inputs!$AJ86,Norm_Stats!$F$23),Norm_Stats!$G$23)-Norm_Stats!$F$23)/(Norm_Stats!$G$23-Norm_Stats!$F$23)))))*0.3)+IF((IF(OR(City_Inputs!$AK86="",Norm_Stats!$F$24="",Norm_Stats!$G$24="",Norm_Stats!$G$24=Norm_Stats!$F$24),"",MAX(0,MIN(100,100*(MIN(MAX(City_Inputs!$AK86,Norm_Stats!$F$24),Norm_Stats!$G$24)-Norm_Stats!$F$24)/(Norm_Stats!$G$24-Norm_Stats!$F$24)))))="",0,(IF(OR(City_Inputs!$AK86="",Norm_Stats!$F$24="",Norm_Stats!$G$24="",Norm_Stats!$G$24=Norm_Stats!$F$24),"",MAX(0,MIN(100,100*(MIN(MAX(City_Inputs!$AK86,Norm_Stats!$F$24),Norm_Stats!$G$24)-Norm_Stats!$F$24)/(Norm_Stats!$G$24-Norm_Stats!$F$24)))))*0.2))/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D86" s="14">
        <f>IF(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=0,"",(IF((IF(OR(City_Inputs!$AG86="",Norm_Stats!$F$22="",Norm_Stats!$G$22="",Norm_Stats!$G$22=Norm_Stats!$F$22),"",MAX(0,MIN(100,100*(MIN(MAX(City_Inputs!$AG86,Norm_Stats!$F$22),Norm_Stats!$G$22)-Norm_Stats!$F$22)/(Norm_Stats!$G$22-Norm_Stats!$F$22)))))="",0,0.5)+IF((IF(OR(City_Inputs!$AJ86="",Norm_Stats!$F$23="",Norm_Stats!$G$23="",Norm_Stats!$G$23=Norm_Stats!$F$23),"",MAX(0,MIN(100,100*(MIN(MAX(City_Inputs!$AJ86,Norm_Stats!$F$23),Norm_Stats!$G$23)-Norm_Stats!$F$23)/(Norm_Stats!$G$23-Norm_Stats!$F$23)))))="",0,0.3)+IF((IF(OR(City_Inputs!$AK86="",Norm_Stats!$F$24="",Norm_Stats!$G$24="",Norm_Stats!$G$24=Norm_Stats!$F$24),"",MAX(0,MIN(100,100*(MIN(MAX(City_Inputs!$AK86,Norm_Stats!$F$24),Norm_Stats!$G$24)-Norm_Stats!$F$24)/(Norm_Stats!$G$24-Norm_Stats!$F$24)))))="",0,0.2)))</f>
        <v/>
      </c>
      <c r="BE86" s="11">
        <f>IF(OR(City_Inputs!$AH86="",Norm_Stats!$F$25="",Norm_Stats!$G$25="",Norm_Stats!$G$25=Norm_Stats!$F$25),"",MAX(0,MIN(100,100*(Norm_Stats!$G$25-MIN(MAX(City_Inputs!$AH86,Norm_Stats!$F$25),Norm_Stats!$G$25))/(Norm_Stats!$G$25-Norm_Stats!$F$25))))</f>
        <v/>
      </c>
      <c r="BF86" s="14">
        <f>IF(BE86="","",1)</f>
        <v/>
      </c>
      <c r="BG86" s="15">
        <f>IF((IF(AY86="",0,6)+IF(BA86="",0,5)+IF(BC86="",0,5)+IF(BE86="",0,4))=0,"",(IF(AY86="",0,AY86*6)+IF(BA86="",0,BA86*5)+IF(BC86="",0,BC86*5)+IF(BE86="",0,BE86*4))/(IF(AY86="",0,6)+IF(BA86="",0,5)+IF(BC86="",0,5)+IF(BE86="",0,4)))</f>
        <v/>
      </c>
      <c r="BH86" s="14">
        <f>IF((IF(AZ86="",0,6)+IF(BB86="",0,5)+IF(BD86="",0,5)+IF(BF86="",0,4))=0,"",(IF(AZ86="",0,AZ86*6)+IF(BB86="",0,BB86*5)+IF(BD86="",0,BD86*5)+IF(BF86="",0,BF86*4))/20)</f>
        <v/>
      </c>
      <c r="BI86" s="14">
        <f>IF(AND(R86="",AF86="",AN86="",AX86="",BH86=""),"",((R86*25)+(AF86*22)+(AN86*18)+(AX86*15)+(BH86*20))/100)</f>
        <v/>
      </c>
      <c r="BJ86" s="11">
        <f>IF(BI86="","",IF(BI86&gt;=0.75,"A",IF(BI86&gt;=0.5,"B",IF(BI86&gt;=0.35,"C","Watchlist"))))</f>
        <v/>
      </c>
      <c r="BK86" s="11">
        <f>IF(OR(BI86="",BI86&lt;0.5,R86="",R86&lt;0.35,AF86="",AF86&lt;0.35,AN86="",AN86&lt;0.35,AX86="",AX86&lt;0.35,BH86="",BH86&lt;0.35),"Watchlist","Ranked")</f>
        <v/>
      </c>
      <c r="BL86" s="15">
        <f>IF(AND(Q86="",AE86="",AM86="",AW86="",BG86=""),"",(IF(Q86="",0,Q86*25)+IF(AE86="",0,AE86*22)+IF(AM86="",0,AM86*18)+IF(AW86="",0,AW86*15)+IF(BG86="",0,BG86*20))/(IF(Q86="",0,25)+IF(AE86="",0,22)+IF(AM86="",0,18)+IF(AW86="",0,15)+IF(BG86="",0,20)))</f>
        <v/>
      </c>
      <c r="BM86" s="11">
        <f>IF(BK86="Ranked",1+COUNTIFS($BK$2:$BK$158,"Ranked",$BL$2:$BL$158,"&gt;"&amp;BL86),"")</f>
        <v/>
      </c>
      <c r="BN86" s="11">
        <f>City_Inputs!$AI86</f>
        <v/>
      </c>
    </row>
    <row r="87">
      <c r="A87" t="inlineStr">
        <is>
          <t>bh-manama</t>
        </is>
      </c>
      <c r="B87" t="inlineStr">
        <is>
          <t>Manama</t>
        </is>
      </c>
      <c r="C87" t="inlineStr">
        <is>
          <t>Bahrain</t>
        </is>
      </c>
      <c r="D87" t="inlineStr">
        <is>
          <t>Middle East</t>
        </is>
      </c>
      <c r="E87" t="inlineStr">
        <is>
          <t>locked</t>
        </is>
      </c>
      <c r="F87" t="inlineStr">
        <is>
          <t>secondary</t>
        </is>
      </c>
      <c r="G87" s="11">
        <f>IF(OR(City_Inputs!$M87="",Norm_Stats!$F$2="",Norm_Stats!$G$2="",Norm_Stats!$G$2=Norm_Stats!$F$2),"",MAX(0,MIN(100,100*(MIN(MAX(City_Inputs!$M87,Norm_Stats!$F$2),Norm_Stats!$G$2)-Norm_Stats!$F$2)/(Norm_Stats!$G$2-Norm_Stats!$F$2))))</f>
        <v/>
      </c>
      <c r="H87" s="14">
        <f>IF(G87="","",1)</f>
        <v/>
      </c>
      <c r="I87" s="11">
        <f>IF(OR(City_Inputs!$N87="",Norm_Stats!$F$3="",Norm_Stats!$G$3="",Norm_Stats!$G$3=Norm_Stats!$F$3),"",MAX(0,MIN(100,100*(Norm_Stats!$G$3-MIN(MAX(City_Inputs!$N87,Norm_Stats!$F$3),Norm_Stats!$G$3))/(Norm_Stats!$G$3-Norm_Stats!$F$3))))</f>
        <v/>
      </c>
      <c r="J87" s="14">
        <f>IF(I87="","",1)</f>
        <v/>
      </c>
      <c r="K87" s="11">
        <f>IF(OR(City_Inputs!$P87="",Norm_Stats!$F$4="",Norm_Stats!$G$4="",Norm_Stats!$G$4=Norm_Stats!$F$4),"",MAX(0,MIN(100,100*(Norm_Stats!$G$4-MIN(MAX(City_Inputs!$P87,Norm_Stats!$F$4),Norm_Stats!$G$4))/(Norm_Stats!$G$4-Norm_Stats!$F$4))))</f>
        <v/>
      </c>
      <c r="L87" s="14">
        <f>IF(K87="","",1)</f>
        <v/>
      </c>
      <c r="M87" s="11">
        <f>IF(OR(City_Inputs!$Q87="",Norm_Stats!$F$5="",Norm_Stats!$G$5="",Norm_Stats!$G$5=Norm_Stats!$F$5),"",MAX(0,MIN(100,100*(Norm_Stats!$G$5-MIN(MAX(City_Inputs!$Q87,Norm_Stats!$F$5),Norm_Stats!$G$5))/(Norm_Stats!$G$5-Norm_Stats!$F$5))))</f>
        <v/>
      </c>
      <c r="N87" s="14">
        <f>IF(M87="","",1)</f>
        <v/>
      </c>
      <c r="O87" s="11">
        <f>IF(OR(City_Inputs!$R87="",Norm_Stats!$F$6="",Norm_Stats!$G$6="",Norm_Stats!$G$6=Norm_Stats!$F$6),"",MAX(0,MIN(100,100*(Norm_Stats!$G$6-MIN(MAX(City_Inputs!$R87,Norm_Stats!$F$6),Norm_Stats!$G$6))/(Norm_Stats!$G$6-Norm_Stats!$F$6))))</f>
        <v/>
      </c>
      <c r="P87" s="14">
        <f>IF(O87="","",1)</f>
        <v/>
      </c>
      <c r="Q87" s="15">
        <f>IF((IF(G87="",0,9)+IF(I87="",0,5)+IF(K87="",0,4)+IF(M87="",0,4)+IF(O87="",0,5))=0,"",(IF(G87="",0,G87*9)+IF(I87="",0,I87*5)+IF(K87="",0,K87*4)+IF(M87="",0,M87*4)+IF(O87="",0,O87*5))/(IF(G87="",0,9)+IF(I87="",0,5)+IF(K87="",0,4)+IF(M87="",0,4)+IF(O87="",0,5)))</f>
        <v/>
      </c>
      <c r="R87" s="14">
        <f>IF((IF(H87="",0,9)+IF(J87="",0,5)+IF(L87="",0,4)+IF(N87="",0,4)+IF(P87="",0,5))=0,"",(IF(H87="",0,H87*9)+IF(J87="",0,J87*5)+IF(L87="",0,L87*4)+IF(N87="",0,N87*4)+IF(P87="",0,P87*5))/27)</f>
        <v/>
      </c>
      <c r="S87" s="11">
        <f>IF(OR(City_Inputs!$S87="",Norm_Stats!$F$7="",Norm_Stats!$G$7="",Norm_Stats!$G$7=Norm_Stats!$F$7),"",MAX(0,MIN(100,100*(Norm_Stats!$G$7-MIN(MAX(City_Inputs!$S87,Norm_Stats!$F$7),Norm_Stats!$G$7))/(Norm_Stats!$G$7-Norm_Stats!$F$7))))</f>
        <v/>
      </c>
      <c r="T87" s="14">
        <f>IF(S87="","",1)</f>
        <v/>
      </c>
      <c r="U87" s="11">
        <f>IF(OR(City_Inputs!$T87="",Norm_Stats!$F$8="",Norm_Stats!$G$8="",Norm_Stats!$G$8=Norm_Stats!$F$8),"",MAX(0,MIN(100,100*(MIN(MAX(City_Inputs!$T87,Norm_Stats!$F$8),Norm_Stats!$G$8)-Norm_Stats!$F$8)/(Norm_Stats!$G$8-Norm_Stats!$F$8))))</f>
        <v/>
      </c>
      <c r="V87" s="14">
        <f>IF(U87="","",1)</f>
        <v/>
      </c>
      <c r="W87" s="11">
        <f>IF(OR(City_Inputs!$U87="",Norm_Stats!$F$9="",Norm_Stats!$G$9="",Norm_Stats!$G$9=Norm_Stats!$F$9),"",MAX(0,MIN(100,100*(Norm_Stats!$G$9-MIN(MAX(City_Inputs!$U87,Norm_Stats!$F$9),Norm_Stats!$G$9))/(Norm_Stats!$G$9-Norm_Stats!$F$9))))</f>
        <v/>
      </c>
      <c r="X87" s="14">
        <f>IF(W87="","",1)</f>
        <v/>
      </c>
      <c r="Y87" s="11">
        <f>IF(OR(City_Inputs!$V87="",Norm_Stats!$F$10="",Norm_Stats!$G$10="",Norm_Stats!$G$10=Norm_Stats!$F$10),"",MAX(0,MIN(100,100*(MIN(MAX(City_Inputs!$V87,Norm_Stats!$F$10),Norm_Stats!$G$10)-Norm_Stats!$F$10)/(Norm_Stats!$G$10-Norm_Stats!$F$10))))</f>
        <v/>
      </c>
      <c r="Z87" s="14">
        <f>IF(Y87="","",1)</f>
        <v/>
      </c>
      <c r="AA87" s="11">
        <f>IF(OR(City_Inputs!$W87="",Norm_Stats!$F$11="",Norm_Stats!$G$11="",Norm_Stats!$G$11=Norm_Stats!$F$11),"",MAX(0,MIN(100,100*(MIN(MAX(City_Inputs!$W87,Norm_Stats!$F$11),Norm_Stats!$G$11)-Norm_Stats!$F$11)/(Norm_Stats!$G$11-Norm_Stats!$F$11))))</f>
        <v/>
      </c>
      <c r="AB87" s="14">
        <f>IF(AA87="","",1)</f>
        <v/>
      </c>
      <c r="AC87" s="11">
        <f>IF(OR(City_Inputs!$X87="",Norm_Stats!$F$12="",Norm_Stats!$G$12="",Norm_Stats!$G$12=Norm_Stats!$F$12),"",MAX(0,MIN(100,100*(MIN(MAX(City_Inputs!$X87,Norm_Stats!$F$12),Norm_Stats!$G$12)-Norm_Stats!$F$12)/(Norm_Stats!$G$12-Norm_Stats!$F$12))))</f>
        <v/>
      </c>
      <c r="AD87" s="11">
        <f>IF(AC87="","",1)</f>
        <v/>
      </c>
      <c r="AE87" s="15">
        <f>IF((IF(S87="",0,5)+IF(U87="",0,5)+IF(W87="",0,4)+IF(Y87="",0,4)+IF(AA87="",0,4)+IF(AC87="",0,5))=0,"",(IF(S87="",0,S87*5)+IF(U87="",0,U87*5)+IF(W87="",0,W87*4)+IF(Y87="",0,Y87*4)+IF(AA87="",0,AA87*4)+IF(AC87="",0,AC87*5))/(IF(S87="",0,5)+IF(U87="",0,5)+IF(W87="",0,4)+IF(Y87="",0,4)+IF(AA87="",0,4)+IF(AC87="",0,5)))</f>
        <v/>
      </c>
      <c r="AF87" s="14">
        <f>IF((IF(T87="",0,5)+IF(V87="",0,5)+IF(X87="",0,4)+IF(Z87="",0,4)+IF(AB87="",0,4)+IF(AD87="",0,5))=0,"",(IF(T87="",0,T87*5)+IF(V87="",0,V87*5)+IF(X87="",0,X87*4)+IF(Z87="",0,Z87*4)+IF(AB87="",0,AB87*4)+IF(AD87="",0,AD87*5))/27)</f>
        <v/>
      </c>
      <c r="AG87" s="11">
        <f>IF(OR(City_Inputs!$Y87="",Norm_Stats!$F$13="",Norm_Stats!$G$13="",Norm_Stats!$G$13=Norm_Stats!$F$13),"",MAX(0,MIN(100,100*(MIN(MAX(City_Inputs!$Y87,Norm_Stats!$F$13),Norm_Stats!$G$13)-Norm_Stats!$F$13)/(Norm_Stats!$G$13-Norm_Stats!$F$13))))</f>
        <v/>
      </c>
      <c r="AH87" s="14">
        <f>IF(AG87="","",1)</f>
        <v/>
      </c>
      <c r="AI87" s="11">
        <f>IF(OR(City_Inputs!$Z87="",Norm_Stats!$F$14="",Norm_Stats!$G$14="",Norm_Stats!$G$14=Norm_Stats!$F$14),"",MAX(0,MIN(100,100*(MIN(MAX(City_Inputs!$Z87,Norm_Stats!$F$14),Norm_Stats!$G$14)-Norm_Stats!$F$14)/(Norm_Stats!$G$14-Norm_Stats!$F$14))))</f>
        <v/>
      </c>
      <c r="AJ87" s="14">
        <f>IF(AI87="","",1)</f>
        <v/>
      </c>
      <c r="AK87" s="11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(IF(OR(City_Inputs!$AA87="",Norm_Stats!$F$15="",Norm_Stats!$G$15="",Norm_Stats!$G$15=Norm_Stats!$F$15),"",MAX(0,MIN(100,100*(MIN(MAX(City_Inputs!$AA87,Norm_Stats!$F$15),Norm_Stats!$G$15)-Norm_Stats!$F$15)/(Norm_Stats!$G$15-Norm_Stats!$F$15)))))*0.7)+IF((IF(OR(City_Inputs!$AL87="",Norm_Stats!$F$16="",Norm_Stats!$G$16="",Norm_Stats!$G$16=Norm_Stats!$F$16),"",MAX(0,MIN(100,100*(Norm_Stats!$G$16-MIN(MAX(City_Inputs!$AL87,Norm_Stats!$F$16),Norm_Stats!$G$16))/(Norm_Stats!$G$16-Norm_Stats!$F$16)))))="",0,(IF(OR(City_Inputs!$AL87="",Norm_Stats!$F$16="",Norm_Stats!$G$16="",Norm_Stats!$G$16=Norm_Stats!$F$16),"",MAX(0,MIN(100,100*(Norm_Stats!$G$16-MIN(MAX(City_Inputs!$AL87,Norm_Stats!$F$16),Norm_Stats!$G$16))/(Norm_Stats!$G$16-Norm_Stats!$F$16)))))*0.3))/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L87" s="14">
        <f>IF(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=0,"",(IF((IF(OR(City_Inputs!$AA87="",Norm_Stats!$F$15="",Norm_Stats!$G$15="",Norm_Stats!$G$15=Norm_Stats!$F$15),"",MAX(0,MIN(100,100*(MIN(MAX(City_Inputs!$AA87,Norm_Stats!$F$15),Norm_Stats!$G$15)-Norm_Stats!$F$15)/(Norm_Stats!$G$15-Norm_Stats!$F$15)))))="",0,0.7)+IF((IF(OR(City_Inputs!$AL87="",Norm_Stats!$F$16="",Norm_Stats!$G$16="",Norm_Stats!$G$16=Norm_Stats!$F$16),"",MAX(0,MIN(100,100*(Norm_Stats!$G$16-MIN(MAX(City_Inputs!$AL87,Norm_Stats!$F$16),Norm_Stats!$G$16))/(Norm_Stats!$G$16-Norm_Stats!$F$16)))))="",0,0.3)))</f>
        <v/>
      </c>
      <c r="AM87" s="15">
        <f>IF((IF(AG87="",0,8)+IF(AI87="",0,6)+IF(AK87="",0,4))=0,"",(IF(AG87="",0,AG87*8)+IF(AI87="",0,AI87*6)+IF(AK87="",0,AK87*4))/(IF(AG87="",0,8)+IF(AI87="",0,6)+IF(AK87="",0,4)))</f>
        <v/>
      </c>
      <c r="AN87" s="14">
        <f>IF((IF(AH87="",0,8)+IF(AJ87="",0,6)+IF(AL87="",0,4))=0,"",(IF(AH87="",0,AH87*8)+IF(AJ87="",0,AJ87*6)+IF(AL87="",0,AL87*4))/18)</f>
        <v/>
      </c>
      <c r="AO87" s="11">
        <f>IF(OR(City_Inputs!$AB87="",Norm_Stats!$F$17="",Norm_Stats!$G$17="",Norm_Stats!$G$17=Norm_Stats!$F$17),"",MAX(0,MIN(100,100*(MIN(MAX(City_Inputs!$AB87,Norm_Stats!$F$17),Norm_Stats!$G$17)-Norm_Stats!$F$17)/(Norm_Stats!$G$17-Norm_Stats!$F$17))))</f>
        <v/>
      </c>
      <c r="AP87" s="14">
        <f>IF(AO87="","",1)</f>
        <v/>
      </c>
      <c r="AQ87" s="11">
        <f>IF(OR(City_Inputs!$AC87="",Norm_Stats!$F$18="",Norm_Stats!$G$18="",Norm_Stats!$G$18=Norm_Stats!$F$18),"",MAX(0,MIN(100,100*(MIN(MAX(City_Inputs!$AC87,Norm_Stats!$F$18),Norm_Stats!$G$18)-Norm_Stats!$F$18)/(Norm_Stats!$G$18-Norm_Stats!$F$18))))</f>
        <v/>
      </c>
      <c r="AR87" s="14">
        <f>IF(AQ87="","",1)</f>
        <v/>
      </c>
      <c r="AS87" s="11">
        <f>IF(OR(City_Inputs!$AD87="",Norm_Stats!$F$19="",Norm_Stats!$G$19="",Norm_Stats!$G$19=Norm_Stats!$F$19),"",MAX(0,MIN(100,100*(MIN(MAX(City_Inputs!$AD87,Norm_Stats!$F$19),Norm_Stats!$G$19)-Norm_Stats!$F$19)/(Norm_Stats!$G$19-Norm_Stats!$F$19))))</f>
        <v/>
      </c>
      <c r="AT87" s="14">
        <f>IF(AS87="","",1)</f>
        <v/>
      </c>
      <c r="AU87" s="11">
        <f>IF(OR(City_Inputs!$BJ87="",Norm_Stats!$F$26="",Norm_Stats!$G$26="",Norm_Stats!$G$26=Norm_Stats!$F$26),"",MAX(0,MIN(100,100*(MIN(MAX(City_Inputs!$BJ87,Norm_Stats!$F$26),Norm_Stats!$G$26)-Norm_Stats!$F$26)/(Norm_Stats!$G$26-Norm_Stats!$F$26))))</f>
        <v/>
      </c>
      <c r="AV87" s="11">
        <f>IF(AU87="","",1)</f>
        <v/>
      </c>
      <c r="AW87" s="15">
        <f>IF((IF(AO87="",0,5)+IF(AQ87="",0,5)+IF(AS87="",0,5)+IF(AU87="",0,4))=0,"",(IF(AO87="",0,AO87*5)+IF(AQ87="",0,AQ87*5)+IF(AS87="",0,AS87*5)+IF(AU87="",0,AU87*4))/(IF(AO87="",0,5)+IF(AQ87="",0,5)+IF(AS87="",0,5)+IF(AU87="",0,4)))</f>
        <v/>
      </c>
      <c r="AX87" s="14">
        <f>IF((IF(AP87="",0,5)+IF(AR87="",0,5)+IF(AT87="",0,5)+IF(AV87="",0,4))=0,"",(IF(AP87="",0,AP87*5)+IF(AR87="",0,AR87*5)+IF(AT87="",0,AT87*5)+IF(AV87="",0,AV87*4))/19)</f>
        <v/>
      </c>
      <c r="AY87" s="11">
        <f>IF(OR(City_Inputs!$AE87="",Norm_Stats!$F$20="",Norm_Stats!$G$20="",Norm_Stats!$G$20=Norm_Stats!$F$20),"",MAX(0,MIN(100,100*(MIN(MAX(City_Inputs!$AE87,Norm_Stats!$F$20),Norm_Stats!$G$20)-Norm_Stats!$F$20)/(Norm_Stats!$G$20-Norm_Stats!$F$20))))</f>
        <v/>
      </c>
      <c r="AZ87" s="14">
        <f>IF(AY87="","",1)</f>
        <v/>
      </c>
      <c r="BA87" s="11">
        <f>IF(OR(City_Inputs!$AF87="",Norm_Stats!$F$21="",Norm_Stats!$G$21="",Norm_Stats!$G$21=Norm_Stats!$F$21),"",MAX(0,MIN(100,100*(MIN(MAX(City_Inputs!$AF87,Norm_Stats!$F$21),Norm_Stats!$G$21)-Norm_Stats!$F$21)/(Norm_Stats!$G$21-Norm_Stats!$F$21))))</f>
        <v/>
      </c>
      <c r="BB87" s="14">
        <f>IF(BA87="","",1)</f>
        <v/>
      </c>
      <c r="BC87" s="11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(IF(OR(City_Inputs!$AG87="",Norm_Stats!$F$22="",Norm_Stats!$G$22="",Norm_Stats!$G$22=Norm_Stats!$F$22),"",MAX(0,MIN(100,100*(MIN(MAX(City_Inputs!$AG87,Norm_Stats!$F$22),Norm_Stats!$G$22)-Norm_Stats!$F$22)/(Norm_Stats!$G$22-Norm_Stats!$F$22)))))*0.5)+IF((IF(OR(City_Inputs!$AJ87="",Norm_Stats!$F$23="",Norm_Stats!$G$23="",Norm_Stats!$G$23=Norm_Stats!$F$23),"",MAX(0,MIN(100,100*(MIN(MAX(City_Inputs!$AJ87,Norm_Stats!$F$23),Norm_Stats!$G$23)-Norm_Stats!$F$23)/(Norm_Stats!$G$23-Norm_Stats!$F$23)))))="",0,(IF(OR(City_Inputs!$AJ87="",Norm_Stats!$F$23="",Norm_Stats!$G$23="",Norm_Stats!$G$23=Norm_Stats!$F$23),"",MAX(0,MIN(100,100*(MIN(MAX(City_Inputs!$AJ87,Norm_Stats!$F$23),Norm_Stats!$G$23)-Norm_Stats!$F$23)/(Norm_Stats!$G$23-Norm_Stats!$F$23)))))*0.3)+IF((IF(OR(City_Inputs!$AK87="",Norm_Stats!$F$24="",Norm_Stats!$G$24="",Norm_Stats!$G$24=Norm_Stats!$F$24),"",MAX(0,MIN(100,100*(MIN(MAX(City_Inputs!$AK87,Norm_Stats!$F$24),Norm_Stats!$G$24)-Norm_Stats!$F$24)/(Norm_Stats!$G$24-Norm_Stats!$F$24)))))="",0,(IF(OR(City_Inputs!$AK87="",Norm_Stats!$F$24="",Norm_Stats!$G$24="",Norm_Stats!$G$24=Norm_Stats!$F$24),"",MAX(0,MIN(100,100*(MIN(MAX(City_Inputs!$AK87,Norm_Stats!$F$24),Norm_Stats!$G$24)-Norm_Stats!$F$24)/(Norm_Stats!$G$24-Norm_Stats!$F$24)))))*0.2))/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D87" s="14">
        <f>IF(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=0,"",(IF((IF(OR(City_Inputs!$AG87="",Norm_Stats!$F$22="",Norm_Stats!$G$22="",Norm_Stats!$G$22=Norm_Stats!$F$22),"",MAX(0,MIN(100,100*(MIN(MAX(City_Inputs!$AG87,Norm_Stats!$F$22),Norm_Stats!$G$22)-Norm_Stats!$F$22)/(Norm_Stats!$G$22-Norm_Stats!$F$22)))))="",0,0.5)+IF((IF(OR(City_Inputs!$AJ87="",Norm_Stats!$F$23="",Norm_Stats!$G$23="",Norm_Stats!$G$23=Norm_Stats!$F$23),"",MAX(0,MIN(100,100*(MIN(MAX(City_Inputs!$AJ87,Norm_Stats!$F$23),Norm_Stats!$G$23)-Norm_Stats!$F$23)/(Norm_Stats!$G$23-Norm_Stats!$F$23)))))="",0,0.3)+IF((IF(OR(City_Inputs!$AK87="",Norm_Stats!$F$24="",Norm_Stats!$G$24="",Norm_Stats!$G$24=Norm_Stats!$F$24),"",MAX(0,MIN(100,100*(MIN(MAX(City_Inputs!$AK87,Norm_Stats!$F$24),Norm_Stats!$G$24)-Norm_Stats!$F$24)/(Norm_Stats!$G$24-Norm_Stats!$F$24)))))="",0,0.2)))</f>
        <v/>
      </c>
      <c r="BE87" s="11">
        <f>IF(OR(City_Inputs!$AH87="",Norm_Stats!$F$25="",Norm_Stats!$G$25="",Norm_Stats!$G$25=Norm_Stats!$F$25),"",MAX(0,MIN(100,100*(Norm_Stats!$G$25-MIN(MAX(City_Inputs!$AH87,Norm_Stats!$F$25),Norm_Stats!$G$25))/(Norm_Stats!$G$25-Norm_Stats!$F$25))))</f>
        <v/>
      </c>
      <c r="BF87" s="14">
        <f>IF(BE87="","",1)</f>
        <v/>
      </c>
      <c r="BG87" s="15">
        <f>IF((IF(AY87="",0,6)+IF(BA87="",0,5)+IF(BC87="",0,5)+IF(BE87="",0,4))=0,"",(IF(AY87="",0,AY87*6)+IF(BA87="",0,BA87*5)+IF(BC87="",0,BC87*5)+IF(BE87="",0,BE87*4))/(IF(AY87="",0,6)+IF(BA87="",0,5)+IF(BC87="",0,5)+IF(BE87="",0,4)))</f>
        <v/>
      </c>
      <c r="BH87" s="14">
        <f>IF((IF(AZ87="",0,6)+IF(BB87="",0,5)+IF(BD87="",0,5)+IF(BF87="",0,4))=0,"",(IF(AZ87="",0,AZ87*6)+IF(BB87="",0,BB87*5)+IF(BD87="",0,BD87*5)+IF(BF87="",0,BF87*4))/20)</f>
        <v/>
      </c>
      <c r="BI87" s="14">
        <f>IF(AND(R87="",AF87="",AN87="",AX87="",BH87=""),"",((R87*25)+(AF87*22)+(AN87*18)+(AX87*15)+(BH87*20))/100)</f>
        <v/>
      </c>
      <c r="BJ87" s="11">
        <f>IF(BI87="","",IF(BI87&gt;=0.75,"A",IF(BI87&gt;=0.5,"B",IF(BI87&gt;=0.35,"C","Watchlist"))))</f>
        <v/>
      </c>
      <c r="BK87" s="11">
        <f>IF(OR(BI87="",BI87&lt;0.5,R87="",R87&lt;0.35,AF87="",AF87&lt;0.35,AN87="",AN87&lt;0.35,AX87="",AX87&lt;0.35,BH87="",BH87&lt;0.35),"Watchlist","Ranked")</f>
        <v/>
      </c>
      <c r="BL87" s="15">
        <f>IF(AND(Q87="",AE87="",AM87="",AW87="",BG87=""),"",(IF(Q87="",0,Q87*25)+IF(AE87="",0,AE87*22)+IF(AM87="",0,AM87*18)+IF(AW87="",0,AW87*15)+IF(BG87="",0,BG87*20))/(IF(Q87="",0,25)+IF(AE87="",0,22)+IF(AM87="",0,18)+IF(AW87="",0,15)+IF(BG87="",0,20)))</f>
        <v/>
      </c>
      <c r="BM87" s="11">
        <f>IF(BK87="Ranked",1+COUNTIFS($BK$2:$BK$158,"Ranked",$BL$2:$BL$158,"&gt;"&amp;BL87),"")</f>
        <v/>
      </c>
      <c r="BN87" s="11">
        <f>City_Inputs!$AI87</f>
        <v/>
      </c>
    </row>
    <row r="88">
      <c r="A88" t="inlineStr">
        <is>
          <t>sa-jeddah</t>
        </is>
      </c>
      <c r="B88" t="inlineStr">
        <is>
          <t>Jeddah</t>
        </is>
      </c>
      <c r="C88" t="inlineStr">
        <is>
          <t>Saudi Arabia</t>
        </is>
      </c>
      <c r="D88" t="inlineStr">
        <is>
          <t>Middle East</t>
        </is>
      </c>
      <c r="E88" t="inlineStr">
        <is>
          <t>locked</t>
        </is>
      </c>
      <c r="F88" t="inlineStr">
        <is>
          <t>secondary</t>
        </is>
      </c>
      <c r="G88" s="11">
        <f>IF(OR(City_Inputs!$M88="",Norm_Stats!$F$2="",Norm_Stats!$G$2="",Norm_Stats!$G$2=Norm_Stats!$F$2),"",MAX(0,MIN(100,100*(MIN(MAX(City_Inputs!$M88,Norm_Stats!$F$2),Norm_Stats!$G$2)-Norm_Stats!$F$2)/(Norm_Stats!$G$2-Norm_Stats!$F$2))))</f>
        <v/>
      </c>
      <c r="H88" s="14">
        <f>IF(G88="","",1)</f>
        <v/>
      </c>
      <c r="I88" s="11">
        <f>IF(OR(City_Inputs!$N88="",Norm_Stats!$F$3="",Norm_Stats!$G$3="",Norm_Stats!$G$3=Norm_Stats!$F$3),"",MAX(0,MIN(100,100*(Norm_Stats!$G$3-MIN(MAX(City_Inputs!$N88,Norm_Stats!$F$3),Norm_Stats!$G$3))/(Norm_Stats!$G$3-Norm_Stats!$F$3))))</f>
        <v/>
      </c>
      <c r="J88" s="14">
        <f>IF(I88="","",1)</f>
        <v/>
      </c>
      <c r="K88" s="11">
        <f>IF(OR(City_Inputs!$P88="",Norm_Stats!$F$4="",Norm_Stats!$G$4="",Norm_Stats!$G$4=Norm_Stats!$F$4),"",MAX(0,MIN(100,100*(Norm_Stats!$G$4-MIN(MAX(City_Inputs!$P88,Norm_Stats!$F$4),Norm_Stats!$G$4))/(Norm_Stats!$G$4-Norm_Stats!$F$4))))</f>
        <v/>
      </c>
      <c r="L88" s="14">
        <f>IF(K88="","",1)</f>
        <v/>
      </c>
      <c r="M88" s="11">
        <f>IF(OR(City_Inputs!$Q88="",Norm_Stats!$F$5="",Norm_Stats!$G$5="",Norm_Stats!$G$5=Norm_Stats!$F$5),"",MAX(0,MIN(100,100*(Norm_Stats!$G$5-MIN(MAX(City_Inputs!$Q88,Norm_Stats!$F$5),Norm_Stats!$G$5))/(Norm_Stats!$G$5-Norm_Stats!$F$5))))</f>
        <v/>
      </c>
      <c r="N88" s="14">
        <f>IF(M88="","",1)</f>
        <v/>
      </c>
      <c r="O88" s="11">
        <f>IF(OR(City_Inputs!$R88="",Norm_Stats!$F$6="",Norm_Stats!$G$6="",Norm_Stats!$G$6=Norm_Stats!$F$6),"",MAX(0,MIN(100,100*(Norm_Stats!$G$6-MIN(MAX(City_Inputs!$R88,Norm_Stats!$F$6),Norm_Stats!$G$6))/(Norm_Stats!$G$6-Norm_Stats!$F$6))))</f>
        <v/>
      </c>
      <c r="P88" s="14">
        <f>IF(O88="","",1)</f>
        <v/>
      </c>
      <c r="Q88" s="15">
        <f>IF((IF(G88="",0,9)+IF(I88="",0,5)+IF(K88="",0,4)+IF(M88="",0,4)+IF(O88="",0,5))=0,"",(IF(G88="",0,G88*9)+IF(I88="",0,I88*5)+IF(K88="",0,K88*4)+IF(M88="",0,M88*4)+IF(O88="",0,O88*5))/(IF(G88="",0,9)+IF(I88="",0,5)+IF(K88="",0,4)+IF(M88="",0,4)+IF(O88="",0,5)))</f>
        <v/>
      </c>
      <c r="R88" s="14">
        <f>IF((IF(H88="",0,9)+IF(J88="",0,5)+IF(L88="",0,4)+IF(N88="",0,4)+IF(P88="",0,5))=0,"",(IF(H88="",0,H88*9)+IF(J88="",0,J88*5)+IF(L88="",0,L88*4)+IF(N88="",0,N88*4)+IF(P88="",0,P88*5))/27)</f>
        <v/>
      </c>
      <c r="S88" s="11">
        <f>IF(OR(City_Inputs!$S88="",Norm_Stats!$F$7="",Norm_Stats!$G$7="",Norm_Stats!$G$7=Norm_Stats!$F$7),"",MAX(0,MIN(100,100*(Norm_Stats!$G$7-MIN(MAX(City_Inputs!$S88,Norm_Stats!$F$7),Norm_Stats!$G$7))/(Norm_Stats!$G$7-Norm_Stats!$F$7))))</f>
        <v/>
      </c>
      <c r="T88" s="14">
        <f>IF(S88="","",1)</f>
        <v/>
      </c>
      <c r="U88" s="11">
        <f>IF(OR(City_Inputs!$T88="",Norm_Stats!$F$8="",Norm_Stats!$G$8="",Norm_Stats!$G$8=Norm_Stats!$F$8),"",MAX(0,MIN(100,100*(MIN(MAX(City_Inputs!$T88,Norm_Stats!$F$8),Norm_Stats!$G$8)-Norm_Stats!$F$8)/(Norm_Stats!$G$8-Norm_Stats!$F$8))))</f>
        <v/>
      </c>
      <c r="V88" s="14">
        <f>IF(U88="","",1)</f>
        <v/>
      </c>
      <c r="W88" s="11">
        <f>IF(OR(City_Inputs!$U88="",Norm_Stats!$F$9="",Norm_Stats!$G$9="",Norm_Stats!$G$9=Norm_Stats!$F$9),"",MAX(0,MIN(100,100*(Norm_Stats!$G$9-MIN(MAX(City_Inputs!$U88,Norm_Stats!$F$9),Norm_Stats!$G$9))/(Norm_Stats!$G$9-Norm_Stats!$F$9))))</f>
        <v/>
      </c>
      <c r="X88" s="14">
        <f>IF(W88="","",1)</f>
        <v/>
      </c>
      <c r="Y88" s="11">
        <f>IF(OR(City_Inputs!$V88="",Norm_Stats!$F$10="",Norm_Stats!$G$10="",Norm_Stats!$G$10=Norm_Stats!$F$10),"",MAX(0,MIN(100,100*(MIN(MAX(City_Inputs!$V88,Norm_Stats!$F$10),Norm_Stats!$G$10)-Norm_Stats!$F$10)/(Norm_Stats!$G$10-Norm_Stats!$F$10))))</f>
        <v/>
      </c>
      <c r="Z88" s="14">
        <f>IF(Y88="","",1)</f>
        <v/>
      </c>
      <c r="AA88" s="11">
        <f>IF(OR(City_Inputs!$W88="",Norm_Stats!$F$11="",Norm_Stats!$G$11="",Norm_Stats!$G$11=Norm_Stats!$F$11),"",MAX(0,MIN(100,100*(MIN(MAX(City_Inputs!$W88,Norm_Stats!$F$11),Norm_Stats!$G$11)-Norm_Stats!$F$11)/(Norm_Stats!$G$11-Norm_Stats!$F$11))))</f>
        <v/>
      </c>
      <c r="AB88" s="14">
        <f>IF(AA88="","",1)</f>
        <v/>
      </c>
      <c r="AC88" s="11">
        <f>IF(OR(City_Inputs!$X88="",Norm_Stats!$F$12="",Norm_Stats!$G$12="",Norm_Stats!$G$12=Norm_Stats!$F$12),"",MAX(0,MIN(100,100*(MIN(MAX(City_Inputs!$X88,Norm_Stats!$F$12),Norm_Stats!$G$12)-Norm_Stats!$F$12)/(Norm_Stats!$G$12-Norm_Stats!$F$12))))</f>
        <v/>
      </c>
      <c r="AD88" s="11">
        <f>IF(AC88="","",1)</f>
        <v/>
      </c>
      <c r="AE88" s="15">
        <f>IF((IF(S88="",0,5)+IF(U88="",0,5)+IF(W88="",0,4)+IF(Y88="",0,4)+IF(AA88="",0,4)+IF(AC88="",0,5))=0,"",(IF(S88="",0,S88*5)+IF(U88="",0,U88*5)+IF(W88="",0,W88*4)+IF(Y88="",0,Y88*4)+IF(AA88="",0,AA88*4)+IF(AC88="",0,AC88*5))/(IF(S88="",0,5)+IF(U88="",0,5)+IF(W88="",0,4)+IF(Y88="",0,4)+IF(AA88="",0,4)+IF(AC88="",0,5)))</f>
        <v/>
      </c>
      <c r="AF88" s="14">
        <f>IF((IF(T88="",0,5)+IF(V88="",0,5)+IF(X88="",0,4)+IF(Z88="",0,4)+IF(AB88="",0,4)+IF(AD88="",0,5))=0,"",(IF(T88="",0,T88*5)+IF(V88="",0,V88*5)+IF(X88="",0,X88*4)+IF(Z88="",0,Z88*4)+IF(AB88="",0,AB88*4)+IF(AD88="",0,AD88*5))/27)</f>
        <v/>
      </c>
      <c r="AG88" s="11">
        <f>IF(OR(City_Inputs!$Y88="",Norm_Stats!$F$13="",Norm_Stats!$G$13="",Norm_Stats!$G$13=Norm_Stats!$F$13),"",MAX(0,MIN(100,100*(MIN(MAX(City_Inputs!$Y88,Norm_Stats!$F$13),Norm_Stats!$G$13)-Norm_Stats!$F$13)/(Norm_Stats!$G$13-Norm_Stats!$F$13))))</f>
        <v/>
      </c>
      <c r="AH88" s="14">
        <f>IF(AG88="","",1)</f>
        <v/>
      </c>
      <c r="AI88" s="11">
        <f>IF(OR(City_Inputs!$Z88="",Norm_Stats!$F$14="",Norm_Stats!$G$14="",Norm_Stats!$G$14=Norm_Stats!$F$14),"",MAX(0,MIN(100,100*(MIN(MAX(City_Inputs!$Z88,Norm_Stats!$F$14),Norm_Stats!$G$14)-Norm_Stats!$F$14)/(Norm_Stats!$G$14-Norm_Stats!$F$14))))</f>
        <v/>
      </c>
      <c r="AJ88" s="14">
        <f>IF(AI88="","",1)</f>
        <v/>
      </c>
      <c r="AK88" s="11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(IF(OR(City_Inputs!$AA88="",Norm_Stats!$F$15="",Norm_Stats!$G$15="",Norm_Stats!$G$15=Norm_Stats!$F$15),"",MAX(0,MIN(100,100*(MIN(MAX(City_Inputs!$AA88,Norm_Stats!$F$15),Norm_Stats!$G$15)-Norm_Stats!$F$15)/(Norm_Stats!$G$15-Norm_Stats!$F$15)))))*0.7)+IF((IF(OR(City_Inputs!$AL88="",Norm_Stats!$F$16="",Norm_Stats!$G$16="",Norm_Stats!$G$16=Norm_Stats!$F$16),"",MAX(0,MIN(100,100*(Norm_Stats!$G$16-MIN(MAX(City_Inputs!$AL88,Norm_Stats!$F$16),Norm_Stats!$G$16))/(Norm_Stats!$G$16-Norm_Stats!$F$16)))))="",0,(IF(OR(City_Inputs!$AL88="",Norm_Stats!$F$16="",Norm_Stats!$G$16="",Norm_Stats!$G$16=Norm_Stats!$F$16),"",MAX(0,MIN(100,100*(Norm_Stats!$G$16-MIN(MAX(City_Inputs!$AL88,Norm_Stats!$F$16),Norm_Stats!$G$16))/(Norm_Stats!$G$16-Norm_Stats!$F$16)))))*0.3))/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L88" s="14">
        <f>IF(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=0,"",(IF((IF(OR(City_Inputs!$AA88="",Norm_Stats!$F$15="",Norm_Stats!$G$15="",Norm_Stats!$G$15=Norm_Stats!$F$15),"",MAX(0,MIN(100,100*(MIN(MAX(City_Inputs!$AA88,Norm_Stats!$F$15),Norm_Stats!$G$15)-Norm_Stats!$F$15)/(Norm_Stats!$G$15-Norm_Stats!$F$15)))))="",0,0.7)+IF((IF(OR(City_Inputs!$AL88="",Norm_Stats!$F$16="",Norm_Stats!$G$16="",Norm_Stats!$G$16=Norm_Stats!$F$16),"",MAX(0,MIN(100,100*(Norm_Stats!$G$16-MIN(MAX(City_Inputs!$AL88,Norm_Stats!$F$16),Norm_Stats!$G$16))/(Norm_Stats!$G$16-Norm_Stats!$F$16)))))="",0,0.3)))</f>
        <v/>
      </c>
      <c r="AM88" s="15">
        <f>IF((IF(AG88="",0,8)+IF(AI88="",0,6)+IF(AK88="",0,4))=0,"",(IF(AG88="",0,AG88*8)+IF(AI88="",0,AI88*6)+IF(AK88="",0,AK88*4))/(IF(AG88="",0,8)+IF(AI88="",0,6)+IF(AK88="",0,4)))</f>
        <v/>
      </c>
      <c r="AN88" s="14">
        <f>IF((IF(AH88="",0,8)+IF(AJ88="",0,6)+IF(AL88="",0,4))=0,"",(IF(AH88="",0,AH88*8)+IF(AJ88="",0,AJ88*6)+IF(AL88="",0,AL88*4))/18)</f>
        <v/>
      </c>
      <c r="AO88" s="11">
        <f>IF(OR(City_Inputs!$AB88="",Norm_Stats!$F$17="",Norm_Stats!$G$17="",Norm_Stats!$G$17=Norm_Stats!$F$17),"",MAX(0,MIN(100,100*(MIN(MAX(City_Inputs!$AB88,Norm_Stats!$F$17),Norm_Stats!$G$17)-Norm_Stats!$F$17)/(Norm_Stats!$G$17-Norm_Stats!$F$17))))</f>
        <v/>
      </c>
      <c r="AP88" s="14">
        <f>IF(AO88="","",1)</f>
        <v/>
      </c>
      <c r="AQ88" s="11">
        <f>IF(OR(City_Inputs!$AC88="",Norm_Stats!$F$18="",Norm_Stats!$G$18="",Norm_Stats!$G$18=Norm_Stats!$F$18),"",MAX(0,MIN(100,100*(MIN(MAX(City_Inputs!$AC88,Norm_Stats!$F$18),Norm_Stats!$G$18)-Norm_Stats!$F$18)/(Norm_Stats!$G$18-Norm_Stats!$F$18))))</f>
        <v/>
      </c>
      <c r="AR88" s="14">
        <f>IF(AQ88="","",1)</f>
        <v/>
      </c>
      <c r="AS88" s="11">
        <f>IF(OR(City_Inputs!$AD88="",Norm_Stats!$F$19="",Norm_Stats!$G$19="",Norm_Stats!$G$19=Norm_Stats!$F$19),"",MAX(0,MIN(100,100*(MIN(MAX(City_Inputs!$AD88,Norm_Stats!$F$19),Norm_Stats!$G$19)-Norm_Stats!$F$19)/(Norm_Stats!$G$19-Norm_Stats!$F$19))))</f>
        <v/>
      </c>
      <c r="AT88" s="14">
        <f>IF(AS88="","",1)</f>
        <v/>
      </c>
      <c r="AU88" s="11">
        <f>IF(OR(City_Inputs!$BJ88="",Norm_Stats!$F$26="",Norm_Stats!$G$26="",Norm_Stats!$G$26=Norm_Stats!$F$26),"",MAX(0,MIN(100,100*(MIN(MAX(City_Inputs!$BJ88,Norm_Stats!$F$26),Norm_Stats!$G$26)-Norm_Stats!$F$26)/(Norm_Stats!$G$26-Norm_Stats!$F$26))))</f>
        <v/>
      </c>
      <c r="AV88" s="11">
        <f>IF(AU88="","",1)</f>
        <v/>
      </c>
      <c r="AW88" s="15">
        <f>IF((IF(AO88="",0,5)+IF(AQ88="",0,5)+IF(AS88="",0,5)+IF(AU88="",0,4))=0,"",(IF(AO88="",0,AO88*5)+IF(AQ88="",0,AQ88*5)+IF(AS88="",0,AS88*5)+IF(AU88="",0,AU88*4))/(IF(AO88="",0,5)+IF(AQ88="",0,5)+IF(AS88="",0,5)+IF(AU88="",0,4)))</f>
        <v/>
      </c>
      <c r="AX88" s="14">
        <f>IF((IF(AP88="",0,5)+IF(AR88="",0,5)+IF(AT88="",0,5)+IF(AV88="",0,4))=0,"",(IF(AP88="",0,AP88*5)+IF(AR88="",0,AR88*5)+IF(AT88="",0,AT88*5)+IF(AV88="",0,AV88*4))/19)</f>
        <v/>
      </c>
      <c r="AY88" s="11">
        <f>IF(OR(City_Inputs!$AE88="",Norm_Stats!$F$20="",Norm_Stats!$G$20="",Norm_Stats!$G$20=Norm_Stats!$F$20),"",MAX(0,MIN(100,100*(MIN(MAX(City_Inputs!$AE88,Norm_Stats!$F$20),Norm_Stats!$G$20)-Norm_Stats!$F$20)/(Norm_Stats!$G$20-Norm_Stats!$F$20))))</f>
        <v/>
      </c>
      <c r="AZ88" s="14">
        <f>IF(AY88="","",1)</f>
        <v/>
      </c>
      <c r="BA88" s="11">
        <f>IF(OR(City_Inputs!$AF88="",Norm_Stats!$F$21="",Norm_Stats!$G$21="",Norm_Stats!$G$21=Norm_Stats!$F$21),"",MAX(0,MIN(100,100*(MIN(MAX(City_Inputs!$AF88,Norm_Stats!$F$21),Norm_Stats!$G$21)-Norm_Stats!$F$21)/(Norm_Stats!$G$21-Norm_Stats!$F$21))))</f>
        <v/>
      </c>
      <c r="BB88" s="14">
        <f>IF(BA88="","",1)</f>
        <v/>
      </c>
      <c r="BC88" s="11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(IF(OR(City_Inputs!$AG88="",Norm_Stats!$F$22="",Norm_Stats!$G$22="",Norm_Stats!$G$22=Norm_Stats!$F$22),"",MAX(0,MIN(100,100*(MIN(MAX(City_Inputs!$AG88,Norm_Stats!$F$22),Norm_Stats!$G$22)-Norm_Stats!$F$22)/(Norm_Stats!$G$22-Norm_Stats!$F$22)))))*0.5)+IF((IF(OR(City_Inputs!$AJ88="",Norm_Stats!$F$23="",Norm_Stats!$G$23="",Norm_Stats!$G$23=Norm_Stats!$F$23),"",MAX(0,MIN(100,100*(MIN(MAX(City_Inputs!$AJ88,Norm_Stats!$F$23),Norm_Stats!$G$23)-Norm_Stats!$F$23)/(Norm_Stats!$G$23-Norm_Stats!$F$23)))))="",0,(IF(OR(City_Inputs!$AJ88="",Norm_Stats!$F$23="",Norm_Stats!$G$23="",Norm_Stats!$G$23=Norm_Stats!$F$23),"",MAX(0,MIN(100,100*(MIN(MAX(City_Inputs!$AJ88,Norm_Stats!$F$23),Norm_Stats!$G$23)-Norm_Stats!$F$23)/(Norm_Stats!$G$23-Norm_Stats!$F$23)))))*0.3)+IF((IF(OR(City_Inputs!$AK88="",Norm_Stats!$F$24="",Norm_Stats!$G$24="",Norm_Stats!$G$24=Norm_Stats!$F$24),"",MAX(0,MIN(100,100*(MIN(MAX(City_Inputs!$AK88,Norm_Stats!$F$24),Norm_Stats!$G$24)-Norm_Stats!$F$24)/(Norm_Stats!$G$24-Norm_Stats!$F$24)))))="",0,(IF(OR(City_Inputs!$AK88="",Norm_Stats!$F$24="",Norm_Stats!$G$24="",Norm_Stats!$G$24=Norm_Stats!$F$24),"",MAX(0,MIN(100,100*(MIN(MAX(City_Inputs!$AK88,Norm_Stats!$F$24),Norm_Stats!$G$24)-Norm_Stats!$F$24)/(Norm_Stats!$G$24-Norm_Stats!$F$24)))))*0.2))/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D88" s="14">
        <f>IF(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=0,"",(IF((IF(OR(City_Inputs!$AG88="",Norm_Stats!$F$22="",Norm_Stats!$G$22="",Norm_Stats!$G$22=Norm_Stats!$F$22),"",MAX(0,MIN(100,100*(MIN(MAX(City_Inputs!$AG88,Norm_Stats!$F$22),Norm_Stats!$G$22)-Norm_Stats!$F$22)/(Norm_Stats!$G$22-Norm_Stats!$F$22)))))="",0,0.5)+IF((IF(OR(City_Inputs!$AJ88="",Norm_Stats!$F$23="",Norm_Stats!$G$23="",Norm_Stats!$G$23=Norm_Stats!$F$23),"",MAX(0,MIN(100,100*(MIN(MAX(City_Inputs!$AJ88,Norm_Stats!$F$23),Norm_Stats!$G$23)-Norm_Stats!$F$23)/(Norm_Stats!$G$23-Norm_Stats!$F$23)))))="",0,0.3)+IF((IF(OR(City_Inputs!$AK88="",Norm_Stats!$F$24="",Norm_Stats!$G$24="",Norm_Stats!$G$24=Norm_Stats!$F$24),"",MAX(0,MIN(100,100*(MIN(MAX(City_Inputs!$AK88,Norm_Stats!$F$24),Norm_Stats!$G$24)-Norm_Stats!$F$24)/(Norm_Stats!$G$24-Norm_Stats!$F$24)))))="",0,0.2)))</f>
        <v/>
      </c>
      <c r="BE88" s="11">
        <f>IF(OR(City_Inputs!$AH88="",Norm_Stats!$F$25="",Norm_Stats!$G$25="",Norm_Stats!$G$25=Norm_Stats!$F$25),"",MAX(0,MIN(100,100*(Norm_Stats!$G$25-MIN(MAX(City_Inputs!$AH88,Norm_Stats!$F$25),Norm_Stats!$G$25))/(Norm_Stats!$G$25-Norm_Stats!$F$25))))</f>
        <v/>
      </c>
      <c r="BF88" s="14">
        <f>IF(BE88="","",1)</f>
        <v/>
      </c>
      <c r="BG88" s="15">
        <f>IF((IF(AY88="",0,6)+IF(BA88="",0,5)+IF(BC88="",0,5)+IF(BE88="",0,4))=0,"",(IF(AY88="",0,AY88*6)+IF(BA88="",0,BA88*5)+IF(BC88="",0,BC88*5)+IF(BE88="",0,BE88*4))/(IF(AY88="",0,6)+IF(BA88="",0,5)+IF(BC88="",0,5)+IF(BE88="",0,4)))</f>
        <v/>
      </c>
      <c r="BH88" s="14">
        <f>IF((IF(AZ88="",0,6)+IF(BB88="",0,5)+IF(BD88="",0,5)+IF(BF88="",0,4))=0,"",(IF(AZ88="",0,AZ88*6)+IF(BB88="",0,BB88*5)+IF(BD88="",0,BD88*5)+IF(BF88="",0,BF88*4))/20)</f>
        <v/>
      </c>
      <c r="BI88" s="14">
        <f>IF(AND(R88="",AF88="",AN88="",AX88="",BH88=""),"",((R88*25)+(AF88*22)+(AN88*18)+(AX88*15)+(BH88*20))/100)</f>
        <v/>
      </c>
      <c r="BJ88" s="11">
        <f>IF(BI88="","",IF(BI88&gt;=0.75,"A",IF(BI88&gt;=0.5,"B",IF(BI88&gt;=0.35,"C","Watchlist"))))</f>
        <v/>
      </c>
      <c r="BK88" s="11">
        <f>IF(OR(BI88="",BI88&lt;0.5,R88="",R88&lt;0.35,AF88="",AF88&lt;0.35,AN88="",AN88&lt;0.35,AX88="",AX88&lt;0.35,BH88="",BH88&lt;0.35),"Watchlist","Ranked")</f>
        <v/>
      </c>
      <c r="BL88" s="15">
        <f>IF(AND(Q88="",AE88="",AM88="",AW88="",BG88=""),"",(IF(Q88="",0,Q88*25)+IF(AE88="",0,AE88*22)+IF(AM88="",0,AM88*18)+IF(AW88="",0,AW88*15)+IF(BG88="",0,BG88*20))/(IF(Q88="",0,25)+IF(AE88="",0,22)+IF(AM88="",0,18)+IF(AW88="",0,15)+IF(BG88="",0,20)))</f>
        <v/>
      </c>
      <c r="BM88" s="11">
        <f>IF(BK88="Ranked",1+COUNTIFS($BK$2:$BK$158,"Ranked",$BL$2:$BL$158,"&gt;"&amp;BL88),"")</f>
        <v/>
      </c>
      <c r="BN88" s="11">
        <f>City_Inputs!$AI88</f>
        <v/>
      </c>
    </row>
    <row r="89">
      <c r="A89" t="inlineStr">
        <is>
          <t>kw-kuwait-city</t>
        </is>
      </c>
      <c r="B89" t="inlineStr">
        <is>
          <t>Kuwait City</t>
        </is>
      </c>
      <c r="C89" t="inlineStr">
        <is>
          <t>Kuwait</t>
        </is>
      </c>
      <c r="D89" t="inlineStr">
        <is>
          <t>Middle East</t>
        </is>
      </c>
      <c r="E89" t="inlineStr">
        <is>
          <t>locked</t>
        </is>
      </c>
      <c r="F89" t="inlineStr">
        <is>
          <t>secondary</t>
        </is>
      </c>
      <c r="G89" s="11">
        <f>IF(OR(City_Inputs!$M89="",Norm_Stats!$F$2="",Norm_Stats!$G$2="",Norm_Stats!$G$2=Norm_Stats!$F$2),"",MAX(0,MIN(100,100*(MIN(MAX(City_Inputs!$M89,Norm_Stats!$F$2),Norm_Stats!$G$2)-Norm_Stats!$F$2)/(Norm_Stats!$G$2-Norm_Stats!$F$2))))</f>
        <v/>
      </c>
      <c r="H89" s="14">
        <f>IF(G89="","",1)</f>
        <v/>
      </c>
      <c r="I89" s="11">
        <f>IF(OR(City_Inputs!$N89="",Norm_Stats!$F$3="",Norm_Stats!$G$3="",Norm_Stats!$G$3=Norm_Stats!$F$3),"",MAX(0,MIN(100,100*(Norm_Stats!$G$3-MIN(MAX(City_Inputs!$N89,Norm_Stats!$F$3),Norm_Stats!$G$3))/(Norm_Stats!$G$3-Norm_Stats!$F$3))))</f>
        <v/>
      </c>
      <c r="J89" s="14">
        <f>IF(I89="","",1)</f>
        <v/>
      </c>
      <c r="K89" s="11">
        <f>IF(OR(City_Inputs!$P89="",Norm_Stats!$F$4="",Norm_Stats!$G$4="",Norm_Stats!$G$4=Norm_Stats!$F$4),"",MAX(0,MIN(100,100*(Norm_Stats!$G$4-MIN(MAX(City_Inputs!$P89,Norm_Stats!$F$4),Norm_Stats!$G$4))/(Norm_Stats!$G$4-Norm_Stats!$F$4))))</f>
        <v/>
      </c>
      <c r="L89" s="14">
        <f>IF(K89="","",1)</f>
        <v/>
      </c>
      <c r="M89" s="11">
        <f>IF(OR(City_Inputs!$Q89="",Norm_Stats!$F$5="",Norm_Stats!$G$5="",Norm_Stats!$G$5=Norm_Stats!$F$5),"",MAX(0,MIN(100,100*(Norm_Stats!$G$5-MIN(MAX(City_Inputs!$Q89,Norm_Stats!$F$5),Norm_Stats!$G$5))/(Norm_Stats!$G$5-Norm_Stats!$F$5))))</f>
        <v/>
      </c>
      <c r="N89" s="14">
        <f>IF(M89="","",1)</f>
        <v/>
      </c>
      <c r="O89" s="11">
        <f>IF(OR(City_Inputs!$R89="",Norm_Stats!$F$6="",Norm_Stats!$G$6="",Norm_Stats!$G$6=Norm_Stats!$F$6),"",MAX(0,MIN(100,100*(Norm_Stats!$G$6-MIN(MAX(City_Inputs!$R89,Norm_Stats!$F$6),Norm_Stats!$G$6))/(Norm_Stats!$G$6-Norm_Stats!$F$6))))</f>
        <v/>
      </c>
      <c r="P89" s="14">
        <f>IF(O89="","",1)</f>
        <v/>
      </c>
      <c r="Q89" s="15">
        <f>IF((IF(G89="",0,9)+IF(I89="",0,5)+IF(K89="",0,4)+IF(M89="",0,4)+IF(O89="",0,5))=0,"",(IF(G89="",0,G89*9)+IF(I89="",0,I89*5)+IF(K89="",0,K89*4)+IF(M89="",0,M89*4)+IF(O89="",0,O89*5))/(IF(G89="",0,9)+IF(I89="",0,5)+IF(K89="",0,4)+IF(M89="",0,4)+IF(O89="",0,5)))</f>
        <v/>
      </c>
      <c r="R89" s="14">
        <f>IF((IF(H89="",0,9)+IF(J89="",0,5)+IF(L89="",0,4)+IF(N89="",0,4)+IF(P89="",0,5))=0,"",(IF(H89="",0,H89*9)+IF(J89="",0,J89*5)+IF(L89="",0,L89*4)+IF(N89="",0,N89*4)+IF(P89="",0,P89*5))/27)</f>
        <v/>
      </c>
      <c r="S89" s="11">
        <f>IF(OR(City_Inputs!$S89="",Norm_Stats!$F$7="",Norm_Stats!$G$7="",Norm_Stats!$G$7=Norm_Stats!$F$7),"",MAX(0,MIN(100,100*(Norm_Stats!$G$7-MIN(MAX(City_Inputs!$S89,Norm_Stats!$F$7),Norm_Stats!$G$7))/(Norm_Stats!$G$7-Norm_Stats!$F$7))))</f>
        <v/>
      </c>
      <c r="T89" s="14">
        <f>IF(S89="","",1)</f>
        <v/>
      </c>
      <c r="U89" s="11">
        <f>IF(OR(City_Inputs!$T89="",Norm_Stats!$F$8="",Norm_Stats!$G$8="",Norm_Stats!$G$8=Norm_Stats!$F$8),"",MAX(0,MIN(100,100*(MIN(MAX(City_Inputs!$T89,Norm_Stats!$F$8),Norm_Stats!$G$8)-Norm_Stats!$F$8)/(Norm_Stats!$G$8-Norm_Stats!$F$8))))</f>
        <v/>
      </c>
      <c r="V89" s="14">
        <f>IF(U89="","",1)</f>
        <v/>
      </c>
      <c r="W89" s="11">
        <f>IF(OR(City_Inputs!$U89="",Norm_Stats!$F$9="",Norm_Stats!$G$9="",Norm_Stats!$G$9=Norm_Stats!$F$9),"",MAX(0,MIN(100,100*(Norm_Stats!$G$9-MIN(MAX(City_Inputs!$U89,Norm_Stats!$F$9),Norm_Stats!$G$9))/(Norm_Stats!$G$9-Norm_Stats!$F$9))))</f>
        <v/>
      </c>
      <c r="X89" s="14">
        <f>IF(W89="","",1)</f>
        <v/>
      </c>
      <c r="Y89" s="11">
        <f>IF(OR(City_Inputs!$V89="",Norm_Stats!$F$10="",Norm_Stats!$G$10="",Norm_Stats!$G$10=Norm_Stats!$F$10),"",MAX(0,MIN(100,100*(MIN(MAX(City_Inputs!$V89,Norm_Stats!$F$10),Norm_Stats!$G$10)-Norm_Stats!$F$10)/(Norm_Stats!$G$10-Norm_Stats!$F$10))))</f>
        <v/>
      </c>
      <c r="Z89" s="14">
        <f>IF(Y89="","",1)</f>
        <v/>
      </c>
      <c r="AA89" s="11">
        <f>IF(OR(City_Inputs!$W89="",Norm_Stats!$F$11="",Norm_Stats!$G$11="",Norm_Stats!$G$11=Norm_Stats!$F$11),"",MAX(0,MIN(100,100*(MIN(MAX(City_Inputs!$W89,Norm_Stats!$F$11),Norm_Stats!$G$11)-Norm_Stats!$F$11)/(Norm_Stats!$G$11-Norm_Stats!$F$11))))</f>
        <v/>
      </c>
      <c r="AB89" s="14">
        <f>IF(AA89="","",1)</f>
        <v/>
      </c>
      <c r="AC89" s="11">
        <f>IF(OR(City_Inputs!$X89="",Norm_Stats!$F$12="",Norm_Stats!$G$12="",Norm_Stats!$G$12=Norm_Stats!$F$12),"",MAX(0,MIN(100,100*(MIN(MAX(City_Inputs!$X89,Norm_Stats!$F$12),Norm_Stats!$G$12)-Norm_Stats!$F$12)/(Norm_Stats!$G$12-Norm_Stats!$F$12))))</f>
        <v/>
      </c>
      <c r="AD89" s="11">
        <f>IF(AC89="","",1)</f>
        <v/>
      </c>
      <c r="AE89" s="15">
        <f>IF((IF(S89="",0,5)+IF(U89="",0,5)+IF(W89="",0,4)+IF(Y89="",0,4)+IF(AA89="",0,4)+IF(AC89="",0,5))=0,"",(IF(S89="",0,S89*5)+IF(U89="",0,U89*5)+IF(W89="",0,W89*4)+IF(Y89="",0,Y89*4)+IF(AA89="",0,AA89*4)+IF(AC89="",0,AC89*5))/(IF(S89="",0,5)+IF(U89="",0,5)+IF(W89="",0,4)+IF(Y89="",0,4)+IF(AA89="",0,4)+IF(AC89="",0,5)))</f>
        <v/>
      </c>
      <c r="AF89" s="14">
        <f>IF((IF(T89="",0,5)+IF(V89="",0,5)+IF(X89="",0,4)+IF(Z89="",0,4)+IF(AB89="",0,4)+IF(AD89="",0,5))=0,"",(IF(T89="",0,T89*5)+IF(V89="",0,V89*5)+IF(X89="",0,X89*4)+IF(Z89="",0,Z89*4)+IF(AB89="",0,AB89*4)+IF(AD89="",0,AD89*5))/27)</f>
        <v/>
      </c>
      <c r="AG89" s="11">
        <f>IF(OR(City_Inputs!$Y89="",Norm_Stats!$F$13="",Norm_Stats!$G$13="",Norm_Stats!$G$13=Norm_Stats!$F$13),"",MAX(0,MIN(100,100*(MIN(MAX(City_Inputs!$Y89,Norm_Stats!$F$13),Norm_Stats!$G$13)-Norm_Stats!$F$13)/(Norm_Stats!$G$13-Norm_Stats!$F$13))))</f>
        <v/>
      </c>
      <c r="AH89" s="14">
        <f>IF(AG89="","",1)</f>
        <v/>
      </c>
      <c r="AI89" s="11">
        <f>IF(OR(City_Inputs!$Z89="",Norm_Stats!$F$14="",Norm_Stats!$G$14="",Norm_Stats!$G$14=Norm_Stats!$F$14),"",MAX(0,MIN(100,100*(MIN(MAX(City_Inputs!$Z89,Norm_Stats!$F$14),Norm_Stats!$G$14)-Norm_Stats!$F$14)/(Norm_Stats!$G$14-Norm_Stats!$F$14))))</f>
        <v/>
      </c>
      <c r="AJ89" s="14">
        <f>IF(AI89="","",1)</f>
        <v/>
      </c>
      <c r="AK89" s="11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(IF(OR(City_Inputs!$AA89="",Norm_Stats!$F$15="",Norm_Stats!$G$15="",Norm_Stats!$G$15=Norm_Stats!$F$15),"",MAX(0,MIN(100,100*(MIN(MAX(City_Inputs!$AA89,Norm_Stats!$F$15),Norm_Stats!$G$15)-Norm_Stats!$F$15)/(Norm_Stats!$G$15-Norm_Stats!$F$15)))))*0.7)+IF((IF(OR(City_Inputs!$AL89="",Norm_Stats!$F$16="",Norm_Stats!$G$16="",Norm_Stats!$G$16=Norm_Stats!$F$16),"",MAX(0,MIN(100,100*(Norm_Stats!$G$16-MIN(MAX(City_Inputs!$AL89,Norm_Stats!$F$16),Norm_Stats!$G$16))/(Norm_Stats!$G$16-Norm_Stats!$F$16)))))="",0,(IF(OR(City_Inputs!$AL89="",Norm_Stats!$F$16="",Norm_Stats!$G$16="",Norm_Stats!$G$16=Norm_Stats!$F$16),"",MAX(0,MIN(100,100*(Norm_Stats!$G$16-MIN(MAX(City_Inputs!$AL89,Norm_Stats!$F$16),Norm_Stats!$G$16))/(Norm_Stats!$G$16-Norm_Stats!$F$16)))))*0.3))/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L89" s="14">
        <f>IF(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=0,"",(IF((IF(OR(City_Inputs!$AA89="",Norm_Stats!$F$15="",Norm_Stats!$G$15="",Norm_Stats!$G$15=Norm_Stats!$F$15),"",MAX(0,MIN(100,100*(MIN(MAX(City_Inputs!$AA89,Norm_Stats!$F$15),Norm_Stats!$G$15)-Norm_Stats!$F$15)/(Norm_Stats!$G$15-Norm_Stats!$F$15)))))="",0,0.7)+IF((IF(OR(City_Inputs!$AL89="",Norm_Stats!$F$16="",Norm_Stats!$G$16="",Norm_Stats!$G$16=Norm_Stats!$F$16),"",MAX(0,MIN(100,100*(Norm_Stats!$G$16-MIN(MAX(City_Inputs!$AL89,Norm_Stats!$F$16),Norm_Stats!$G$16))/(Norm_Stats!$G$16-Norm_Stats!$F$16)))))="",0,0.3)))</f>
        <v/>
      </c>
      <c r="AM89" s="15">
        <f>IF((IF(AG89="",0,8)+IF(AI89="",0,6)+IF(AK89="",0,4))=0,"",(IF(AG89="",0,AG89*8)+IF(AI89="",0,AI89*6)+IF(AK89="",0,AK89*4))/(IF(AG89="",0,8)+IF(AI89="",0,6)+IF(AK89="",0,4)))</f>
        <v/>
      </c>
      <c r="AN89" s="14">
        <f>IF((IF(AH89="",0,8)+IF(AJ89="",0,6)+IF(AL89="",0,4))=0,"",(IF(AH89="",0,AH89*8)+IF(AJ89="",0,AJ89*6)+IF(AL89="",0,AL89*4))/18)</f>
        <v/>
      </c>
      <c r="AO89" s="11">
        <f>IF(OR(City_Inputs!$AB89="",Norm_Stats!$F$17="",Norm_Stats!$G$17="",Norm_Stats!$G$17=Norm_Stats!$F$17),"",MAX(0,MIN(100,100*(MIN(MAX(City_Inputs!$AB89,Norm_Stats!$F$17),Norm_Stats!$G$17)-Norm_Stats!$F$17)/(Norm_Stats!$G$17-Norm_Stats!$F$17))))</f>
        <v/>
      </c>
      <c r="AP89" s="14">
        <f>IF(AO89="","",1)</f>
        <v/>
      </c>
      <c r="AQ89" s="11">
        <f>IF(OR(City_Inputs!$AC89="",Norm_Stats!$F$18="",Norm_Stats!$G$18="",Norm_Stats!$G$18=Norm_Stats!$F$18),"",MAX(0,MIN(100,100*(MIN(MAX(City_Inputs!$AC89,Norm_Stats!$F$18),Norm_Stats!$G$18)-Norm_Stats!$F$18)/(Norm_Stats!$G$18-Norm_Stats!$F$18))))</f>
        <v/>
      </c>
      <c r="AR89" s="14">
        <f>IF(AQ89="","",1)</f>
        <v/>
      </c>
      <c r="AS89" s="11">
        <f>IF(OR(City_Inputs!$AD89="",Norm_Stats!$F$19="",Norm_Stats!$G$19="",Norm_Stats!$G$19=Norm_Stats!$F$19),"",MAX(0,MIN(100,100*(MIN(MAX(City_Inputs!$AD89,Norm_Stats!$F$19),Norm_Stats!$G$19)-Norm_Stats!$F$19)/(Norm_Stats!$G$19-Norm_Stats!$F$19))))</f>
        <v/>
      </c>
      <c r="AT89" s="14">
        <f>IF(AS89="","",1)</f>
        <v/>
      </c>
      <c r="AU89" s="11">
        <f>IF(OR(City_Inputs!$BJ89="",Norm_Stats!$F$26="",Norm_Stats!$G$26="",Norm_Stats!$G$26=Norm_Stats!$F$26),"",MAX(0,MIN(100,100*(MIN(MAX(City_Inputs!$BJ89,Norm_Stats!$F$26),Norm_Stats!$G$26)-Norm_Stats!$F$26)/(Norm_Stats!$G$26-Norm_Stats!$F$26))))</f>
        <v/>
      </c>
      <c r="AV89" s="11">
        <f>IF(AU89="","",1)</f>
        <v/>
      </c>
      <c r="AW89" s="15">
        <f>IF((IF(AO89="",0,5)+IF(AQ89="",0,5)+IF(AS89="",0,5)+IF(AU89="",0,4))=0,"",(IF(AO89="",0,AO89*5)+IF(AQ89="",0,AQ89*5)+IF(AS89="",0,AS89*5)+IF(AU89="",0,AU89*4))/(IF(AO89="",0,5)+IF(AQ89="",0,5)+IF(AS89="",0,5)+IF(AU89="",0,4)))</f>
        <v/>
      </c>
      <c r="AX89" s="14">
        <f>IF((IF(AP89="",0,5)+IF(AR89="",0,5)+IF(AT89="",0,5)+IF(AV89="",0,4))=0,"",(IF(AP89="",0,AP89*5)+IF(AR89="",0,AR89*5)+IF(AT89="",0,AT89*5)+IF(AV89="",0,AV89*4))/19)</f>
        <v/>
      </c>
      <c r="AY89" s="11">
        <f>IF(OR(City_Inputs!$AE89="",Norm_Stats!$F$20="",Norm_Stats!$G$20="",Norm_Stats!$G$20=Norm_Stats!$F$20),"",MAX(0,MIN(100,100*(MIN(MAX(City_Inputs!$AE89,Norm_Stats!$F$20),Norm_Stats!$G$20)-Norm_Stats!$F$20)/(Norm_Stats!$G$20-Norm_Stats!$F$20))))</f>
        <v/>
      </c>
      <c r="AZ89" s="14">
        <f>IF(AY89="","",1)</f>
        <v/>
      </c>
      <c r="BA89" s="11">
        <f>IF(OR(City_Inputs!$AF89="",Norm_Stats!$F$21="",Norm_Stats!$G$21="",Norm_Stats!$G$21=Norm_Stats!$F$21),"",MAX(0,MIN(100,100*(MIN(MAX(City_Inputs!$AF89,Norm_Stats!$F$21),Norm_Stats!$G$21)-Norm_Stats!$F$21)/(Norm_Stats!$G$21-Norm_Stats!$F$21))))</f>
        <v/>
      </c>
      <c r="BB89" s="14">
        <f>IF(BA89="","",1)</f>
        <v/>
      </c>
      <c r="BC89" s="11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(IF(OR(City_Inputs!$AG89="",Norm_Stats!$F$22="",Norm_Stats!$G$22="",Norm_Stats!$G$22=Norm_Stats!$F$22),"",MAX(0,MIN(100,100*(MIN(MAX(City_Inputs!$AG89,Norm_Stats!$F$22),Norm_Stats!$G$22)-Norm_Stats!$F$22)/(Norm_Stats!$G$22-Norm_Stats!$F$22)))))*0.5)+IF((IF(OR(City_Inputs!$AJ89="",Norm_Stats!$F$23="",Norm_Stats!$G$23="",Norm_Stats!$G$23=Norm_Stats!$F$23),"",MAX(0,MIN(100,100*(MIN(MAX(City_Inputs!$AJ89,Norm_Stats!$F$23),Norm_Stats!$G$23)-Norm_Stats!$F$23)/(Norm_Stats!$G$23-Norm_Stats!$F$23)))))="",0,(IF(OR(City_Inputs!$AJ89="",Norm_Stats!$F$23="",Norm_Stats!$G$23="",Norm_Stats!$G$23=Norm_Stats!$F$23),"",MAX(0,MIN(100,100*(MIN(MAX(City_Inputs!$AJ89,Norm_Stats!$F$23),Norm_Stats!$G$23)-Norm_Stats!$F$23)/(Norm_Stats!$G$23-Norm_Stats!$F$23)))))*0.3)+IF((IF(OR(City_Inputs!$AK89="",Norm_Stats!$F$24="",Norm_Stats!$G$24="",Norm_Stats!$G$24=Norm_Stats!$F$24),"",MAX(0,MIN(100,100*(MIN(MAX(City_Inputs!$AK89,Norm_Stats!$F$24),Norm_Stats!$G$24)-Norm_Stats!$F$24)/(Norm_Stats!$G$24-Norm_Stats!$F$24)))))="",0,(IF(OR(City_Inputs!$AK89="",Norm_Stats!$F$24="",Norm_Stats!$G$24="",Norm_Stats!$G$24=Norm_Stats!$F$24),"",MAX(0,MIN(100,100*(MIN(MAX(City_Inputs!$AK89,Norm_Stats!$F$24),Norm_Stats!$G$24)-Norm_Stats!$F$24)/(Norm_Stats!$G$24-Norm_Stats!$F$24)))))*0.2))/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D89" s="14">
        <f>IF(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=0,"",(IF((IF(OR(City_Inputs!$AG89="",Norm_Stats!$F$22="",Norm_Stats!$G$22="",Norm_Stats!$G$22=Norm_Stats!$F$22),"",MAX(0,MIN(100,100*(MIN(MAX(City_Inputs!$AG89,Norm_Stats!$F$22),Norm_Stats!$G$22)-Norm_Stats!$F$22)/(Norm_Stats!$G$22-Norm_Stats!$F$22)))))="",0,0.5)+IF((IF(OR(City_Inputs!$AJ89="",Norm_Stats!$F$23="",Norm_Stats!$G$23="",Norm_Stats!$G$23=Norm_Stats!$F$23),"",MAX(0,MIN(100,100*(MIN(MAX(City_Inputs!$AJ89,Norm_Stats!$F$23),Norm_Stats!$G$23)-Norm_Stats!$F$23)/(Norm_Stats!$G$23-Norm_Stats!$F$23)))))="",0,0.3)+IF((IF(OR(City_Inputs!$AK89="",Norm_Stats!$F$24="",Norm_Stats!$G$24="",Norm_Stats!$G$24=Norm_Stats!$F$24),"",MAX(0,MIN(100,100*(MIN(MAX(City_Inputs!$AK89,Norm_Stats!$F$24),Norm_Stats!$G$24)-Norm_Stats!$F$24)/(Norm_Stats!$G$24-Norm_Stats!$F$24)))))="",0,0.2)))</f>
        <v/>
      </c>
      <c r="BE89" s="11">
        <f>IF(OR(City_Inputs!$AH89="",Norm_Stats!$F$25="",Norm_Stats!$G$25="",Norm_Stats!$G$25=Norm_Stats!$F$25),"",MAX(0,MIN(100,100*(Norm_Stats!$G$25-MIN(MAX(City_Inputs!$AH89,Norm_Stats!$F$25),Norm_Stats!$G$25))/(Norm_Stats!$G$25-Norm_Stats!$F$25))))</f>
        <v/>
      </c>
      <c r="BF89" s="14">
        <f>IF(BE89="","",1)</f>
        <v/>
      </c>
      <c r="BG89" s="15">
        <f>IF((IF(AY89="",0,6)+IF(BA89="",0,5)+IF(BC89="",0,5)+IF(BE89="",0,4))=0,"",(IF(AY89="",0,AY89*6)+IF(BA89="",0,BA89*5)+IF(BC89="",0,BC89*5)+IF(BE89="",0,BE89*4))/(IF(AY89="",0,6)+IF(BA89="",0,5)+IF(BC89="",0,5)+IF(BE89="",0,4)))</f>
        <v/>
      </c>
      <c r="BH89" s="14">
        <f>IF((IF(AZ89="",0,6)+IF(BB89="",0,5)+IF(BD89="",0,5)+IF(BF89="",0,4))=0,"",(IF(AZ89="",0,AZ89*6)+IF(BB89="",0,BB89*5)+IF(BD89="",0,BD89*5)+IF(BF89="",0,BF89*4))/20)</f>
        <v/>
      </c>
      <c r="BI89" s="14">
        <f>IF(AND(R89="",AF89="",AN89="",AX89="",BH89=""),"",((R89*25)+(AF89*22)+(AN89*18)+(AX89*15)+(BH89*20))/100)</f>
        <v/>
      </c>
      <c r="BJ89" s="11">
        <f>IF(BI89="","",IF(BI89&gt;=0.75,"A",IF(BI89&gt;=0.5,"B",IF(BI89&gt;=0.35,"C","Watchlist"))))</f>
        <v/>
      </c>
      <c r="BK89" s="11">
        <f>IF(OR(BI89="",BI89&lt;0.5,R89="",R89&lt;0.35,AF89="",AF89&lt;0.35,AN89="",AN89&lt;0.35,AX89="",AX89&lt;0.35,BH89="",BH89&lt;0.35),"Watchlist","Ranked")</f>
        <v/>
      </c>
      <c r="BL89" s="15">
        <f>IF(AND(Q89="",AE89="",AM89="",AW89="",BG89=""),"",(IF(Q89="",0,Q89*25)+IF(AE89="",0,AE89*22)+IF(AM89="",0,AM89*18)+IF(AW89="",0,AW89*15)+IF(BG89="",0,BG89*20))/(IF(Q89="",0,25)+IF(AE89="",0,22)+IF(AM89="",0,18)+IF(AW89="",0,15)+IF(BG89="",0,20)))</f>
        <v/>
      </c>
      <c r="BM89" s="11">
        <f>IF(BK89="Ranked",1+COUNTIFS($BK$2:$BK$158,"Ranked",$BL$2:$BL$158,"&gt;"&amp;BL89),"")</f>
        <v/>
      </c>
      <c r="BN89" s="11">
        <f>City_Inputs!$AI89</f>
        <v/>
      </c>
    </row>
    <row r="90">
      <c r="A90" t="inlineStr">
        <is>
          <t>jo-amman</t>
        </is>
      </c>
      <c r="B90" t="inlineStr">
        <is>
          <t>Amman</t>
        </is>
      </c>
      <c r="C90" t="inlineStr">
        <is>
          <t>Jordan</t>
        </is>
      </c>
      <c r="D90" t="inlineStr">
        <is>
          <t>Middle East</t>
        </is>
      </c>
      <c r="E90" t="inlineStr">
        <is>
          <t>provisional</t>
        </is>
      </c>
      <c r="F90" t="inlineStr">
        <is>
          <t>secondary</t>
        </is>
      </c>
      <c r="G90" s="11">
        <f>IF(OR(City_Inputs!$M90="",Norm_Stats!$F$2="",Norm_Stats!$G$2="",Norm_Stats!$G$2=Norm_Stats!$F$2),"",MAX(0,MIN(100,100*(MIN(MAX(City_Inputs!$M90,Norm_Stats!$F$2),Norm_Stats!$G$2)-Norm_Stats!$F$2)/(Norm_Stats!$G$2-Norm_Stats!$F$2))))</f>
        <v/>
      </c>
      <c r="H90" s="14">
        <f>IF(G90="","",1)</f>
        <v/>
      </c>
      <c r="I90" s="11">
        <f>IF(OR(City_Inputs!$N90="",Norm_Stats!$F$3="",Norm_Stats!$G$3="",Norm_Stats!$G$3=Norm_Stats!$F$3),"",MAX(0,MIN(100,100*(Norm_Stats!$G$3-MIN(MAX(City_Inputs!$N90,Norm_Stats!$F$3),Norm_Stats!$G$3))/(Norm_Stats!$G$3-Norm_Stats!$F$3))))</f>
        <v/>
      </c>
      <c r="J90" s="14">
        <f>IF(I90="","",1)</f>
        <v/>
      </c>
      <c r="K90" s="11">
        <f>IF(OR(City_Inputs!$P90="",Norm_Stats!$F$4="",Norm_Stats!$G$4="",Norm_Stats!$G$4=Norm_Stats!$F$4),"",MAX(0,MIN(100,100*(Norm_Stats!$G$4-MIN(MAX(City_Inputs!$P90,Norm_Stats!$F$4),Norm_Stats!$G$4))/(Norm_Stats!$G$4-Norm_Stats!$F$4))))</f>
        <v/>
      </c>
      <c r="L90" s="14">
        <f>IF(K90="","",1)</f>
        <v/>
      </c>
      <c r="M90" s="11">
        <f>IF(OR(City_Inputs!$Q90="",Norm_Stats!$F$5="",Norm_Stats!$G$5="",Norm_Stats!$G$5=Norm_Stats!$F$5),"",MAX(0,MIN(100,100*(Norm_Stats!$G$5-MIN(MAX(City_Inputs!$Q90,Norm_Stats!$F$5),Norm_Stats!$G$5))/(Norm_Stats!$G$5-Norm_Stats!$F$5))))</f>
        <v/>
      </c>
      <c r="N90" s="14">
        <f>IF(M90="","",1)</f>
        <v/>
      </c>
      <c r="O90" s="11">
        <f>IF(OR(City_Inputs!$R90="",Norm_Stats!$F$6="",Norm_Stats!$G$6="",Norm_Stats!$G$6=Norm_Stats!$F$6),"",MAX(0,MIN(100,100*(Norm_Stats!$G$6-MIN(MAX(City_Inputs!$R90,Norm_Stats!$F$6),Norm_Stats!$G$6))/(Norm_Stats!$G$6-Norm_Stats!$F$6))))</f>
        <v/>
      </c>
      <c r="P90" s="14">
        <f>IF(O90="","",1)</f>
        <v/>
      </c>
      <c r="Q90" s="15">
        <f>IF((IF(G90="",0,9)+IF(I90="",0,5)+IF(K90="",0,4)+IF(M90="",0,4)+IF(O90="",0,5))=0,"",(IF(G90="",0,G90*9)+IF(I90="",0,I90*5)+IF(K90="",0,K90*4)+IF(M90="",0,M90*4)+IF(O90="",0,O90*5))/(IF(G90="",0,9)+IF(I90="",0,5)+IF(K90="",0,4)+IF(M90="",0,4)+IF(O90="",0,5)))</f>
        <v/>
      </c>
      <c r="R90" s="14">
        <f>IF((IF(H90="",0,9)+IF(J90="",0,5)+IF(L90="",0,4)+IF(N90="",0,4)+IF(P90="",0,5))=0,"",(IF(H90="",0,H90*9)+IF(J90="",0,J90*5)+IF(L90="",0,L90*4)+IF(N90="",0,N90*4)+IF(P90="",0,P90*5))/27)</f>
        <v/>
      </c>
      <c r="S90" s="11">
        <f>IF(OR(City_Inputs!$S90="",Norm_Stats!$F$7="",Norm_Stats!$G$7="",Norm_Stats!$G$7=Norm_Stats!$F$7),"",MAX(0,MIN(100,100*(Norm_Stats!$G$7-MIN(MAX(City_Inputs!$S90,Norm_Stats!$F$7),Norm_Stats!$G$7))/(Norm_Stats!$G$7-Norm_Stats!$F$7))))</f>
        <v/>
      </c>
      <c r="T90" s="14">
        <f>IF(S90="","",1)</f>
        <v/>
      </c>
      <c r="U90" s="11">
        <f>IF(OR(City_Inputs!$T90="",Norm_Stats!$F$8="",Norm_Stats!$G$8="",Norm_Stats!$G$8=Norm_Stats!$F$8),"",MAX(0,MIN(100,100*(MIN(MAX(City_Inputs!$T90,Norm_Stats!$F$8),Norm_Stats!$G$8)-Norm_Stats!$F$8)/(Norm_Stats!$G$8-Norm_Stats!$F$8))))</f>
        <v/>
      </c>
      <c r="V90" s="14">
        <f>IF(U90="","",1)</f>
        <v/>
      </c>
      <c r="W90" s="11">
        <f>IF(OR(City_Inputs!$U90="",Norm_Stats!$F$9="",Norm_Stats!$G$9="",Norm_Stats!$G$9=Norm_Stats!$F$9),"",MAX(0,MIN(100,100*(Norm_Stats!$G$9-MIN(MAX(City_Inputs!$U90,Norm_Stats!$F$9),Norm_Stats!$G$9))/(Norm_Stats!$G$9-Norm_Stats!$F$9))))</f>
        <v/>
      </c>
      <c r="X90" s="14">
        <f>IF(W90="","",1)</f>
        <v/>
      </c>
      <c r="Y90" s="11">
        <f>IF(OR(City_Inputs!$V90="",Norm_Stats!$F$10="",Norm_Stats!$G$10="",Norm_Stats!$G$10=Norm_Stats!$F$10),"",MAX(0,MIN(100,100*(MIN(MAX(City_Inputs!$V90,Norm_Stats!$F$10),Norm_Stats!$G$10)-Norm_Stats!$F$10)/(Norm_Stats!$G$10-Norm_Stats!$F$10))))</f>
        <v/>
      </c>
      <c r="Z90" s="14">
        <f>IF(Y90="","",1)</f>
        <v/>
      </c>
      <c r="AA90" s="11">
        <f>IF(OR(City_Inputs!$W90="",Norm_Stats!$F$11="",Norm_Stats!$G$11="",Norm_Stats!$G$11=Norm_Stats!$F$11),"",MAX(0,MIN(100,100*(MIN(MAX(City_Inputs!$W90,Norm_Stats!$F$11),Norm_Stats!$G$11)-Norm_Stats!$F$11)/(Norm_Stats!$G$11-Norm_Stats!$F$11))))</f>
        <v/>
      </c>
      <c r="AB90" s="14">
        <f>IF(AA90="","",1)</f>
        <v/>
      </c>
      <c r="AC90" s="11">
        <f>IF(OR(City_Inputs!$X90="",Norm_Stats!$F$12="",Norm_Stats!$G$12="",Norm_Stats!$G$12=Norm_Stats!$F$12),"",MAX(0,MIN(100,100*(MIN(MAX(City_Inputs!$X90,Norm_Stats!$F$12),Norm_Stats!$G$12)-Norm_Stats!$F$12)/(Norm_Stats!$G$12-Norm_Stats!$F$12))))</f>
        <v/>
      </c>
      <c r="AD90" s="11">
        <f>IF(AC90="","",1)</f>
        <v/>
      </c>
      <c r="AE90" s="15">
        <f>IF((IF(S90="",0,5)+IF(U90="",0,5)+IF(W90="",0,4)+IF(Y90="",0,4)+IF(AA90="",0,4)+IF(AC90="",0,5))=0,"",(IF(S90="",0,S90*5)+IF(U90="",0,U90*5)+IF(W90="",0,W90*4)+IF(Y90="",0,Y90*4)+IF(AA90="",0,AA90*4)+IF(AC90="",0,AC90*5))/(IF(S90="",0,5)+IF(U90="",0,5)+IF(W90="",0,4)+IF(Y90="",0,4)+IF(AA90="",0,4)+IF(AC90="",0,5)))</f>
        <v/>
      </c>
      <c r="AF90" s="14">
        <f>IF((IF(T90="",0,5)+IF(V90="",0,5)+IF(X90="",0,4)+IF(Z90="",0,4)+IF(AB90="",0,4)+IF(AD90="",0,5))=0,"",(IF(T90="",0,T90*5)+IF(V90="",0,V90*5)+IF(X90="",0,X90*4)+IF(Z90="",0,Z90*4)+IF(AB90="",0,AB90*4)+IF(AD90="",0,AD90*5))/27)</f>
        <v/>
      </c>
      <c r="AG90" s="11">
        <f>IF(OR(City_Inputs!$Y90="",Norm_Stats!$F$13="",Norm_Stats!$G$13="",Norm_Stats!$G$13=Norm_Stats!$F$13),"",MAX(0,MIN(100,100*(MIN(MAX(City_Inputs!$Y90,Norm_Stats!$F$13),Norm_Stats!$G$13)-Norm_Stats!$F$13)/(Norm_Stats!$G$13-Norm_Stats!$F$13))))</f>
        <v/>
      </c>
      <c r="AH90" s="14">
        <f>IF(AG90="","",1)</f>
        <v/>
      </c>
      <c r="AI90" s="11">
        <f>IF(OR(City_Inputs!$Z90="",Norm_Stats!$F$14="",Norm_Stats!$G$14="",Norm_Stats!$G$14=Norm_Stats!$F$14),"",MAX(0,MIN(100,100*(MIN(MAX(City_Inputs!$Z90,Norm_Stats!$F$14),Norm_Stats!$G$14)-Norm_Stats!$F$14)/(Norm_Stats!$G$14-Norm_Stats!$F$14))))</f>
        <v/>
      </c>
      <c r="AJ90" s="14">
        <f>IF(AI90="","",1)</f>
        <v/>
      </c>
      <c r="AK90" s="11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(IF(OR(City_Inputs!$AA90="",Norm_Stats!$F$15="",Norm_Stats!$G$15="",Norm_Stats!$G$15=Norm_Stats!$F$15),"",MAX(0,MIN(100,100*(MIN(MAX(City_Inputs!$AA90,Norm_Stats!$F$15),Norm_Stats!$G$15)-Norm_Stats!$F$15)/(Norm_Stats!$G$15-Norm_Stats!$F$15)))))*0.7)+IF((IF(OR(City_Inputs!$AL90="",Norm_Stats!$F$16="",Norm_Stats!$G$16="",Norm_Stats!$G$16=Norm_Stats!$F$16),"",MAX(0,MIN(100,100*(Norm_Stats!$G$16-MIN(MAX(City_Inputs!$AL90,Norm_Stats!$F$16),Norm_Stats!$G$16))/(Norm_Stats!$G$16-Norm_Stats!$F$16)))))="",0,(IF(OR(City_Inputs!$AL90="",Norm_Stats!$F$16="",Norm_Stats!$G$16="",Norm_Stats!$G$16=Norm_Stats!$F$16),"",MAX(0,MIN(100,100*(Norm_Stats!$G$16-MIN(MAX(City_Inputs!$AL90,Norm_Stats!$F$16),Norm_Stats!$G$16))/(Norm_Stats!$G$16-Norm_Stats!$F$16)))))*0.3))/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L90" s="14">
        <f>IF(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=0,"",(IF((IF(OR(City_Inputs!$AA90="",Norm_Stats!$F$15="",Norm_Stats!$G$15="",Norm_Stats!$G$15=Norm_Stats!$F$15),"",MAX(0,MIN(100,100*(MIN(MAX(City_Inputs!$AA90,Norm_Stats!$F$15),Norm_Stats!$G$15)-Norm_Stats!$F$15)/(Norm_Stats!$G$15-Norm_Stats!$F$15)))))="",0,0.7)+IF((IF(OR(City_Inputs!$AL90="",Norm_Stats!$F$16="",Norm_Stats!$G$16="",Norm_Stats!$G$16=Norm_Stats!$F$16),"",MAX(0,MIN(100,100*(Norm_Stats!$G$16-MIN(MAX(City_Inputs!$AL90,Norm_Stats!$F$16),Norm_Stats!$G$16))/(Norm_Stats!$G$16-Norm_Stats!$F$16)))))="",0,0.3)))</f>
        <v/>
      </c>
      <c r="AM90" s="15">
        <f>IF((IF(AG90="",0,8)+IF(AI90="",0,6)+IF(AK90="",0,4))=0,"",(IF(AG90="",0,AG90*8)+IF(AI90="",0,AI90*6)+IF(AK90="",0,AK90*4))/(IF(AG90="",0,8)+IF(AI90="",0,6)+IF(AK90="",0,4)))</f>
        <v/>
      </c>
      <c r="AN90" s="14">
        <f>IF((IF(AH90="",0,8)+IF(AJ90="",0,6)+IF(AL90="",0,4))=0,"",(IF(AH90="",0,AH90*8)+IF(AJ90="",0,AJ90*6)+IF(AL90="",0,AL90*4))/18)</f>
        <v/>
      </c>
      <c r="AO90" s="11">
        <f>IF(OR(City_Inputs!$AB90="",Norm_Stats!$F$17="",Norm_Stats!$G$17="",Norm_Stats!$G$17=Norm_Stats!$F$17),"",MAX(0,MIN(100,100*(MIN(MAX(City_Inputs!$AB90,Norm_Stats!$F$17),Norm_Stats!$G$17)-Norm_Stats!$F$17)/(Norm_Stats!$G$17-Norm_Stats!$F$17))))</f>
        <v/>
      </c>
      <c r="AP90" s="14">
        <f>IF(AO90="","",1)</f>
        <v/>
      </c>
      <c r="AQ90" s="11">
        <f>IF(OR(City_Inputs!$AC90="",Norm_Stats!$F$18="",Norm_Stats!$G$18="",Norm_Stats!$G$18=Norm_Stats!$F$18),"",MAX(0,MIN(100,100*(MIN(MAX(City_Inputs!$AC90,Norm_Stats!$F$18),Norm_Stats!$G$18)-Norm_Stats!$F$18)/(Norm_Stats!$G$18-Norm_Stats!$F$18))))</f>
        <v/>
      </c>
      <c r="AR90" s="14">
        <f>IF(AQ90="","",1)</f>
        <v/>
      </c>
      <c r="AS90" s="11">
        <f>IF(OR(City_Inputs!$AD90="",Norm_Stats!$F$19="",Norm_Stats!$G$19="",Norm_Stats!$G$19=Norm_Stats!$F$19),"",MAX(0,MIN(100,100*(MIN(MAX(City_Inputs!$AD90,Norm_Stats!$F$19),Norm_Stats!$G$19)-Norm_Stats!$F$19)/(Norm_Stats!$G$19-Norm_Stats!$F$19))))</f>
        <v/>
      </c>
      <c r="AT90" s="14">
        <f>IF(AS90="","",1)</f>
        <v/>
      </c>
      <c r="AU90" s="11">
        <f>IF(OR(City_Inputs!$BJ90="",Norm_Stats!$F$26="",Norm_Stats!$G$26="",Norm_Stats!$G$26=Norm_Stats!$F$26),"",MAX(0,MIN(100,100*(MIN(MAX(City_Inputs!$BJ90,Norm_Stats!$F$26),Norm_Stats!$G$26)-Norm_Stats!$F$26)/(Norm_Stats!$G$26-Norm_Stats!$F$26))))</f>
        <v/>
      </c>
      <c r="AV90" s="11">
        <f>IF(AU90="","",1)</f>
        <v/>
      </c>
      <c r="AW90" s="15">
        <f>IF((IF(AO90="",0,5)+IF(AQ90="",0,5)+IF(AS90="",0,5)+IF(AU90="",0,4))=0,"",(IF(AO90="",0,AO90*5)+IF(AQ90="",0,AQ90*5)+IF(AS90="",0,AS90*5)+IF(AU90="",0,AU90*4))/(IF(AO90="",0,5)+IF(AQ90="",0,5)+IF(AS90="",0,5)+IF(AU90="",0,4)))</f>
        <v/>
      </c>
      <c r="AX90" s="14">
        <f>IF((IF(AP90="",0,5)+IF(AR90="",0,5)+IF(AT90="",0,5)+IF(AV90="",0,4))=0,"",(IF(AP90="",0,AP90*5)+IF(AR90="",0,AR90*5)+IF(AT90="",0,AT90*5)+IF(AV90="",0,AV90*4))/19)</f>
        <v/>
      </c>
      <c r="AY90" s="11">
        <f>IF(OR(City_Inputs!$AE90="",Norm_Stats!$F$20="",Norm_Stats!$G$20="",Norm_Stats!$G$20=Norm_Stats!$F$20),"",MAX(0,MIN(100,100*(MIN(MAX(City_Inputs!$AE90,Norm_Stats!$F$20),Norm_Stats!$G$20)-Norm_Stats!$F$20)/(Norm_Stats!$G$20-Norm_Stats!$F$20))))</f>
        <v/>
      </c>
      <c r="AZ90" s="14">
        <f>IF(AY90="","",1)</f>
        <v/>
      </c>
      <c r="BA90" s="11">
        <f>IF(OR(City_Inputs!$AF90="",Norm_Stats!$F$21="",Norm_Stats!$G$21="",Norm_Stats!$G$21=Norm_Stats!$F$21),"",MAX(0,MIN(100,100*(MIN(MAX(City_Inputs!$AF90,Norm_Stats!$F$21),Norm_Stats!$G$21)-Norm_Stats!$F$21)/(Norm_Stats!$G$21-Norm_Stats!$F$21))))</f>
        <v/>
      </c>
      <c r="BB90" s="14">
        <f>IF(BA90="","",1)</f>
        <v/>
      </c>
      <c r="BC90" s="11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(IF(OR(City_Inputs!$AG90="",Norm_Stats!$F$22="",Norm_Stats!$G$22="",Norm_Stats!$G$22=Norm_Stats!$F$22),"",MAX(0,MIN(100,100*(MIN(MAX(City_Inputs!$AG90,Norm_Stats!$F$22),Norm_Stats!$G$22)-Norm_Stats!$F$22)/(Norm_Stats!$G$22-Norm_Stats!$F$22)))))*0.5)+IF((IF(OR(City_Inputs!$AJ90="",Norm_Stats!$F$23="",Norm_Stats!$G$23="",Norm_Stats!$G$23=Norm_Stats!$F$23),"",MAX(0,MIN(100,100*(MIN(MAX(City_Inputs!$AJ90,Norm_Stats!$F$23),Norm_Stats!$G$23)-Norm_Stats!$F$23)/(Norm_Stats!$G$23-Norm_Stats!$F$23)))))="",0,(IF(OR(City_Inputs!$AJ90="",Norm_Stats!$F$23="",Norm_Stats!$G$23="",Norm_Stats!$G$23=Norm_Stats!$F$23),"",MAX(0,MIN(100,100*(MIN(MAX(City_Inputs!$AJ90,Norm_Stats!$F$23),Norm_Stats!$G$23)-Norm_Stats!$F$23)/(Norm_Stats!$G$23-Norm_Stats!$F$23)))))*0.3)+IF((IF(OR(City_Inputs!$AK90="",Norm_Stats!$F$24="",Norm_Stats!$G$24="",Norm_Stats!$G$24=Norm_Stats!$F$24),"",MAX(0,MIN(100,100*(MIN(MAX(City_Inputs!$AK90,Norm_Stats!$F$24),Norm_Stats!$G$24)-Norm_Stats!$F$24)/(Norm_Stats!$G$24-Norm_Stats!$F$24)))))="",0,(IF(OR(City_Inputs!$AK90="",Norm_Stats!$F$24="",Norm_Stats!$G$24="",Norm_Stats!$G$24=Norm_Stats!$F$24),"",MAX(0,MIN(100,100*(MIN(MAX(City_Inputs!$AK90,Norm_Stats!$F$24),Norm_Stats!$G$24)-Norm_Stats!$F$24)/(Norm_Stats!$G$24-Norm_Stats!$F$24)))))*0.2))/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D90" s="14">
        <f>IF(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=0,"",(IF((IF(OR(City_Inputs!$AG90="",Norm_Stats!$F$22="",Norm_Stats!$G$22="",Norm_Stats!$G$22=Norm_Stats!$F$22),"",MAX(0,MIN(100,100*(MIN(MAX(City_Inputs!$AG90,Norm_Stats!$F$22),Norm_Stats!$G$22)-Norm_Stats!$F$22)/(Norm_Stats!$G$22-Norm_Stats!$F$22)))))="",0,0.5)+IF((IF(OR(City_Inputs!$AJ90="",Norm_Stats!$F$23="",Norm_Stats!$G$23="",Norm_Stats!$G$23=Norm_Stats!$F$23),"",MAX(0,MIN(100,100*(MIN(MAX(City_Inputs!$AJ90,Norm_Stats!$F$23),Norm_Stats!$G$23)-Norm_Stats!$F$23)/(Norm_Stats!$G$23-Norm_Stats!$F$23)))))="",0,0.3)+IF((IF(OR(City_Inputs!$AK90="",Norm_Stats!$F$24="",Norm_Stats!$G$24="",Norm_Stats!$G$24=Norm_Stats!$F$24),"",MAX(0,MIN(100,100*(MIN(MAX(City_Inputs!$AK90,Norm_Stats!$F$24),Norm_Stats!$G$24)-Norm_Stats!$F$24)/(Norm_Stats!$G$24-Norm_Stats!$F$24)))))="",0,0.2)))</f>
        <v/>
      </c>
      <c r="BE90" s="11">
        <f>IF(OR(City_Inputs!$AH90="",Norm_Stats!$F$25="",Norm_Stats!$G$25="",Norm_Stats!$G$25=Norm_Stats!$F$25),"",MAX(0,MIN(100,100*(Norm_Stats!$G$25-MIN(MAX(City_Inputs!$AH90,Norm_Stats!$F$25),Norm_Stats!$G$25))/(Norm_Stats!$G$25-Norm_Stats!$F$25))))</f>
        <v/>
      </c>
      <c r="BF90" s="14">
        <f>IF(BE90="","",1)</f>
        <v/>
      </c>
      <c r="BG90" s="15">
        <f>IF((IF(AY90="",0,6)+IF(BA90="",0,5)+IF(BC90="",0,5)+IF(BE90="",0,4))=0,"",(IF(AY90="",0,AY90*6)+IF(BA90="",0,BA90*5)+IF(BC90="",0,BC90*5)+IF(BE90="",0,BE90*4))/(IF(AY90="",0,6)+IF(BA90="",0,5)+IF(BC90="",0,5)+IF(BE90="",0,4)))</f>
        <v/>
      </c>
      <c r="BH90" s="14">
        <f>IF((IF(AZ90="",0,6)+IF(BB90="",0,5)+IF(BD90="",0,5)+IF(BF90="",0,4))=0,"",(IF(AZ90="",0,AZ90*6)+IF(BB90="",0,BB90*5)+IF(BD90="",0,BD90*5)+IF(BF90="",0,BF90*4))/20)</f>
        <v/>
      </c>
      <c r="BI90" s="14">
        <f>IF(AND(R90="",AF90="",AN90="",AX90="",BH90=""),"",((R90*25)+(AF90*22)+(AN90*18)+(AX90*15)+(BH90*20))/100)</f>
        <v/>
      </c>
      <c r="BJ90" s="11">
        <f>IF(BI90="","",IF(BI90&gt;=0.75,"A",IF(BI90&gt;=0.5,"B",IF(BI90&gt;=0.35,"C","Watchlist"))))</f>
        <v/>
      </c>
      <c r="BK90" s="11">
        <f>IF(OR(BI90="",BI90&lt;0.5,R90="",R90&lt;0.35,AF90="",AF90&lt;0.35,AN90="",AN90&lt;0.35,AX90="",AX90&lt;0.35,BH90="",BH90&lt;0.35),"Watchlist","Ranked")</f>
        <v/>
      </c>
      <c r="BL90" s="15">
        <f>IF(AND(Q90="",AE90="",AM90="",AW90="",BG90=""),"",(IF(Q90="",0,Q90*25)+IF(AE90="",0,AE90*22)+IF(AM90="",0,AM90*18)+IF(AW90="",0,AW90*15)+IF(BG90="",0,BG90*20))/(IF(Q90="",0,25)+IF(AE90="",0,22)+IF(AM90="",0,18)+IF(AW90="",0,15)+IF(BG90="",0,20)))</f>
        <v/>
      </c>
      <c r="BM90" s="11">
        <f>IF(BK90="Ranked",1+COUNTIFS($BK$2:$BK$158,"Ranked",$BL$2:$BL$158,"&gt;"&amp;BL90),"")</f>
        <v/>
      </c>
      <c r="BN90" s="11">
        <f>City_Inputs!$AI90</f>
        <v/>
      </c>
    </row>
    <row r="91">
      <c r="A91" t="inlineStr">
        <is>
          <t>za-cape-town</t>
        </is>
      </c>
      <c r="B91" t="inlineStr">
        <is>
          <t>Cape Town</t>
        </is>
      </c>
      <c r="C91" t="inlineStr">
        <is>
          <t>South Africa</t>
        </is>
      </c>
      <c r="D91" t="inlineStr">
        <is>
          <t>Africa</t>
        </is>
      </c>
      <c r="E91" t="inlineStr">
        <is>
          <t>locked</t>
        </is>
      </c>
      <c r="F91" t="inlineStr">
        <is>
          <t>primary</t>
        </is>
      </c>
      <c r="G91" s="11">
        <f>IF(OR(City_Inputs!$M91="",Norm_Stats!$F$2="",Norm_Stats!$G$2="",Norm_Stats!$G$2=Norm_Stats!$F$2),"",MAX(0,MIN(100,100*(MIN(MAX(City_Inputs!$M91,Norm_Stats!$F$2),Norm_Stats!$G$2)-Norm_Stats!$F$2)/(Norm_Stats!$G$2-Norm_Stats!$F$2))))</f>
        <v/>
      </c>
      <c r="H91" s="14">
        <f>IF(G91="","",1)</f>
        <v/>
      </c>
      <c r="I91" s="11">
        <f>IF(OR(City_Inputs!$N91="",Norm_Stats!$F$3="",Norm_Stats!$G$3="",Norm_Stats!$G$3=Norm_Stats!$F$3),"",MAX(0,MIN(100,100*(Norm_Stats!$G$3-MIN(MAX(City_Inputs!$N91,Norm_Stats!$F$3),Norm_Stats!$G$3))/(Norm_Stats!$G$3-Norm_Stats!$F$3))))</f>
        <v/>
      </c>
      <c r="J91" s="14">
        <f>IF(I91="","",1)</f>
        <v/>
      </c>
      <c r="K91" s="11">
        <f>IF(OR(City_Inputs!$P91="",Norm_Stats!$F$4="",Norm_Stats!$G$4="",Norm_Stats!$G$4=Norm_Stats!$F$4),"",MAX(0,MIN(100,100*(Norm_Stats!$G$4-MIN(MAX(City_Inputs!$P91,Norm_Stats!$F$4),Norm_Stats!$G$4))/(Norm_Stats!$G$4-Norm_Stats!$F$4))))</f>
        <v/>
      </c>
      <c r="L91" s="14">
        <f>IF(K91="","",1)</f>
        <v/>
      </c>
      <c r="M91" s="11">
        <f>IF(OR(City_Inputs!$Q91="",Norm_Stats!$F$5="",Norm_Stats!$G$5="",Norm_Stats!$G$5=Norm_Stats!$F$5),"",MAX(0,MIN(100,100*(Norm_Stats!$G$5-MIN(MAX(City_Inputs!$Q91,Norm_Stats!$F$5),Norm_Stats!$G$5))/(Norm_Stats!$G$5-Norm_Stats!$F$5))))</f>
        <v/>
      </c>
      <c r="N91" s="14">
        <f>IF(M91="","",1)</f>
        <v/>
      </c>
      <c r="O91" s="11">
        <f>IF(OR(City_Inputs!$R91="",Norm_Stats!$F$6="",Norm_Stats!$G$6="",Norm_Stats!$G$6=Norm_Stats!$F$6),"",MAX(0,MIN(100,100*(Norm_Stats!$G$6-MIN(MAX(City_Inputs!$R91,Norm_Stats!$F$6),Norm_Stats!$G$6))/(Norm_Stats!$G$6-Norm_Stats!$F$6))))</f>
        <v/>
      </c>
      <c r="P91" s="14">
        <f>IF(O91="","",1)</f>
        <v/>
      </c>
      <c r="Q91" s="15">
        <f>IF((IF(G91="",0,9)+IF(I91="",0,5)+IF(K91="",0,4)+IF(M91="",0,4)+IF(O91="",0,5))=0,"",(IF(G91="",0,G91*9)+IF(I91="",0,I91*5)+IF(K91="",0,K91*4)+IF(M91="",0,M91*4)+IF(O91="",0,O91*5))/(IF(G91="",0,9)+IF(I91="",0,5)+IF(K91="",0,4)+IF(M91="",0,4)+IF(O91="",0,5)))</f>
        <v/>
      </c>
      <c r="R91" s="14">
        <f>IF((IF(H91="",0,9)+IF(J91="",0,5)+IF(L91="",0,4)+IF(N91="",0,4)+IF(P91="",0,5))=0,"",(IF(H91="",0,H91*9)+IF(J91="",0,J91*5)+IF(L91="",0,L91*4)+IF(N91="",0,N91*4)+IF(P91="",0,P91*5))/27)</f>
        <v/>
      </c>
      <c r="S91" s="11">
        <f>IF(OR(City_Inputs!$S91="",Norm_Stats!$F$7="",Norm_Stats!$G$7="",Norm_Stats!$G$7=Norm_Stats!$F$7),"",MAX(0,MIN(100,100*(Norm_Stats!$G$7-MIN(MAX(City_Inputs!$S91,Norm_Stats!$F$7),Norm_Stats!$G$7))/(Norm_Stats!$G$7-Norm_Stats!$F$7))))</f>
        <v/>
      </c>
      <c r="T91" s="14">
        <f>IF(S91="","",1)</f>
        <v/>
      </c>
      <c r="U91" s="11">
        <f>IF(OR(City_Inputs!$T91="",Norm_Stats!$F$8="",Norm_Stats!$G$8="",Norm_Stats!$G$8=Norm_Stats!$F$8),"",MAX(0,MIN(100,100*(MIN(MAX(City_Inputs!$T91,Norm_Stats!$F$8),Norm_Stats!$G$8)-Norm_Stats!$F$8)/(Norm_Stats!$G$8-Norm_Stats!$F$8))))</f>
        <v/>
      </c>
      <c r="V91" s="14">
        <f>IF(U91="","",1)</f>
        <v/>
      </c>
      <c r="W91" s="11">
        <f>IF(OR(City_Inputs!$U91="",Norm_Stats!$F$9="",Norm_Stats!$G$9="",Norm_Stats!$G$9=Norm_Stats!$F$9),"",MAX(0,MIN(100,100*(Norm_Stats!$G$9-MIN(MAX(City_Inputs!$U91,Norm_Stats!$F$9),Norm_Stats!$G$9))/(Norm_Stats!$G$9-Norm_Stats!$F$9))))</f>
        <v/>
      </c>
      <c r="X91" s="14">
        <f>IF(W91="","",1)</f>
        <v/>
      </c>
      <c r="Y91" s="11">
        <f>IF(OR(City_Inputs!$V91="",Norm_Stats!$F$10="",Norm_Stats!$G$10="",Norm_Stats!$G$10=Norm_Stats!$F$10),"",MAX(0,MIN(100,100*(MIN(MAX(City_Inputs!$V91,Norm_Stats!$F$10),Norm_Stats!$G$10)-Norm_Stats!$F$10)/(Norm_Stats!$G$10-Norm_Stats!$F$10))))</f>
        <v/>
      </c>
      <c r="Z91" s="14">
        <f>IF(Y91="","",1)</f>
        <v/>
      </c>
      <c r="AA91" s="11">
        <f>IF(OR(City_Inputs!$W91="",Norm_Stats!$F$11="",Norm_Stats!$G$11="",Norm_Stats!$G$11=Norm_Stats!$F$11),"",MAX(0,MIN(100,100*(MIN(MAX(City_Inputs!$W91,Norm_Stats!$F$11),Norm_Stats!$G$11)-Norm_Stats!$F$11)/(Norm_Stats!$G$11-Norm_Stats!$F$11))))</f>
        <v/>
      </c>
      <c r="AB91" s="14">
        <f>IF(AA91="","",1)</f>
        <v/>
      </c>
      <c r="AC91" s="11">
        <f>IF(OR(City_Inputs!$X91="",Norm_Stats!$F$12="",Norm_Stats!$G$12="",Norm_Stats!$G$12=Norm_Stats!$F$12),"",MAX(0,MIN(100,100*(MIN(MAX(City_Inputs!$X91,Norm_Stats!$F$12),Norm_Stats!$G$12)-Norm_Stats!$F$12)/(Norm_Stats!$G$12-Norm_Stats!$F$12))))</f>
        <v/>
      </c>
      <c r="AD91" s="11">
        <f>IF(AC91="","",1)</f>
        <v/>
      </c>
      <c r="AE91" s="15">
        <f>IF((IF(S91="",0,5)+IF(U91="",0,5)+IF(W91="",0,4)+IF(Y91="",0,4)+IF(AA91="",0,4)+IF(AC91="",0,5))=0,"",(IF(S91="",0,S91*5)+IF(U91="",0,U91*5)+IF(W91="",0,W91*4)+IF(Y91="",0,Y91*4)+IF(AA91="",0,AA91*4)+IF(AC91="",0,AC91*5))/(IF(S91="",0,5)+IF(U91="",0,5)+IF(W91="",0,4)+IF(Y91="",0,4)+IF(AA91="",0,4)+IF(AC91="",0,5)))</f>
        <v/>
      </c>
      <c r="AF91" s="14">
        <f>IF((IF(T91="",0,5)+IF(V91="",0,5)+IF(X91="",0,4)+IF(Z91="",0,4)+IF(AB91="",0,4)+IF(AD91="",0,5))=0,"",(IF(T91="",0,T91*5)+IF(V91="",0,V91*5)+IF(X91="",0,X91*4)+IF(Z91="",0,Z91*4)+IF(AB91="",0,AB91*4)+IF(AD91="",0,AD91*5))/27)</f>
        <v/>
      </c>
      <c r="AG91" s="11">
        <f>IF(OR(City_Inputs!$Y91="",Norm_Stats!$F$13="",Norm_Stats!$G$13="",Norm_Stats!$G$13=Norm_Stats!$F$13),"",MAX(0,MIN(100,100*(MIN(MAX(City_Inputs!$Y91,Norm_Stats!$F$13),Norm_Stats!$G$13)-Norm_Stats!$F$13)/(Norm_Stats!$G$13-Norm_Stats!$F$13))))</f>
        <v/>
      </c>
      <c r="AH91" s="14">
        <f>IF(AG91="","",1)</f>
        <v/>
      </c>
      <c r="AI91" s="11">
        <f>IF(OR(City_Inputs!$Z91="",Norm_Stats!$F$14="",Norm_Stats!$G$14="",Norm_Stats!$G$14=Norm_Stats!$F$14),"",MAX(0,MIN(100,100*(MIN(MAX(City_Inputs!$Z91,Norm_Stats!$F$14),Norm_Stats!$G$14)-Norm_Stats!$F$14)/(Norm_Stats!$G$14-Norm_Stats!$F$14))))</f>
        <v/>
      </c>
      <c r="AJ91" s="14">
        <f>IF(AI91="","",1)</f>
        <v/>
      </c>
      <c r="AK91" s="11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(IF(OR(City_Inputs!$AA91="",Norm_Stats!$F$15="",Norm_Stats!$G$15="",Norm_Stats!$G$15=Norm_Stats!$F$15),"",MAX(0,MIN(100,100*(MIN(MAX(City_Inputs!$AA91,Norm_Stats!$F$15),Norm_Stats!$G$15)-Norm_Stats!$F$15)/(Norm_Stats!$G$15-Norm_Stats!$F$15)))))*0.7)+IF((IF(OR(City_Inputs!$AL91="",Norm_Stats!$F$16="",Norm_Stats!$G$16="",Norm_Stats!$G$16=Norm_Stats!$F$16),"",MAX(0,MIN(100,100*(Norm_Stats!$G$16-MIN(MAX(City_Inputs!$AL91,Norm_Stats!$F$16),Norm_Stats!$G$16))/(Norm_Stats!$G$16-Norm_Stats!$F$16)))))="",0,(IF(OR(City_Inputs!$AL91="",Norm_Stats!$F$16="",Norm_Stats!$G$16="",Norm_Stats!$G$16=Norm_Stats!$F$16),"",MAX(0,MIN(100,100*(Norm_Stats!$G$16-MIN(MAX(City_Inputs!$AL91,Norm_Stats!$F$16),Norm_Stats!$G$16))/(Norm_Stats!$G$16-Norm_Stats!$F$16)))))*0.3))/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L91" s="14">
        <f>IF(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=0,"",(IF((IF(OR(City_Inputs!$AA91="",Norm_Stats!$F$15="",Norm_Stats!$G$15="",Norm_Stats!$G$15=Norm_Stats!$F$15),"",MAX(0,MIN(100,100*(MIN(MAX(City_Inputs!$AA91,Norm_Stats!$F$15),Norm_Stats!$G$15)-Norm_Stats!$F$15)/(Norm_Stats!$G$15-Norm_Stats!$F$15)))))="",0,0.7)+IF((IF(OR(City_Inputs!$AL91="",Norm_Stats!$F$16="",Norm_Stats!$G$16="",Norm_Stats!$G$16=Norm_Stats!$F$16),"",MAX(0,MIN(100,100*(Norm_Stats!$G$16-MIN(MAX(City_Inputs!$AL91,Norm_Stats!$F$16),Norm_Stats!$G$16))/(Norm_Stats!$G$16-Norm_Stats!$F$16)))))="",0,0.3)))</f>
        <v/>
      </c>
      <c r="AM91" s="15">
        <f>IF((IF(AG91="",0,8)+IF(AI91="",0,6)+IF(AK91="",0,4))=0,"",(IF(AG91="",0,AG91*8)+IF(AI91="",0,AI91*6)+IF(AK91="",0,AK91*4))/(IF(AG91="",0,8)+IF(AI91="",0,6)+IF(AK91="",0,4)))</f>
        <v/>
      </c>
      <c r="AN91" s="14">
        <f>IF((IF(AH91="",0,8)+IF(AJ91="",0,6)+IF(AL91="",0,4))=0,"",(IF(AH91="",0,AH91*8)+IF(AJ91="",0,AJ91*6)+IF(AL91="",0,AL91*4))/18)</f>
        <v/>
      </c>
      <c r="AO91" s="11">
        <f>IF(OR(City_Inputs!$AB91="",Norm_Stats!$F$17="",Norm_Stats!$G$17="",Norm_Stats!$G$17=Norm_Stats!$F$17),"",MAX(0,MIN(100,100*(MIN(MAX(City_Inputs!$AB91,Norm_Stats!$F$17),Norm_Stats!$G$17)-Norm_Stats!$F$17)/(Norm_Stats!$G$17-Norm_Stats!$F$17))))</f>
        <v/>
      </c>
      <c r="AP91" s="14">
        <f>IF(AO91="","",1)</f>
        <v/>
      </c>
      <c r="AQ91" s="11">
        <f>IF(OR(City_Inputs!$AC91="",Norm_Stats!$F$18="",Norm_Stats!$G$18="",Norm_Stats!$G$18=Norm_Stats!$F$18),"",MAX(0,MIN(100,100*(MIN(MAX(City_Inputs!$AC91,Norm_Stats!$F$18),Norm_Stats!$G$18)-Norm_Stats!$F$18)/(Norm_Stats!$G$18-Norm_Stats!$F$18))))</f>
        <v/>
      </c>
      <c r="AR91" s="14">
        <f>IF(AQ91="","",1)</f>
        <v/>
      </c>
      <c r="AS91" s="11">
        <f>IF(OR(City_Inputs!$AD91="",Norm_Stats!$F$19="",Norm_Stats!$G$19="",Norm_Stats!$G$19=Norm_Stats!$F$19),"",MAX(0,MIN(100,100*(MIN(MAX(City_Inputs!$AD91,Norm_Stats!$F$19),Norm_Stats!$G$19)-Norm_Stats!$F$19)/(Norm_Stats!$G$19-Norm_Stats!$F$19))))</f>
        <v/>
      </c>
      <c r="AT91" s="14">
        <f>IF(AS91="","",1)</f>
        <v/>
      </c>
      <c r="AU91" s="11">
        <f>IF(OR(City_Inputs!$BJ91="",Norm_Stats!$F$26="",Norm_Stats!$G$26="",Norm_Stats!$G$26=Norm_Stats!$F$26),"",MAX(0,MIN(100,100*(MIN(MAX(City_Inputs!$BJ91,Norm_Stats!$F$26),Norm_Stats!$G$26)-Norm_Stats!$F$26)/(Norm_Stats!$G$26-Norm_Stats!$F$26))))</f>
        <v/>
      </c>
      <c r="AV91" s="11">
        <f>IF(AU91="","",1)</f>
        <v/>
      </c>
      <c r="AW91" s="15">
        <f>IF((IF(AO91="",0,5)+IF(AQ91="",0,5)+IF(AS91="",0,5)+IF(AU91="",0,4))=0,"",(IF(AO91="",0,AO91*5)+IF(AQ91="",0,AQ91*5)+IF(AS91="",0,AS91*5)+IF(AU91="",0,AU91*4))/(IF(AO91="",0,5)+IF(AQ91="",0,5)+IF(AS91="",0,5)+IF(AU91="",0,4)))</f>
        <v/>
      </c>
      <c r="AX91" s="14">
        <f>IF((IF(AP91="",0,5)+IF(AR91="",0,5)+IF(AT91="",0,5)+IF(AV91="",0,4))=0,"",(IF(AP91="",0,AP91*5)+IF(AR91="",0,AR91*5)+IF(AT91="",0,AT91*5)+IF(AV91="",0,AV91*4))/19)</f>
        <v/>
      </c>
      <c r="AY91" s="11">
        <f>IF(OR(City_Inputs!$AE91="",Norm_Stats!$F$20="",Norm_Stats!$G$20="",Norm_Stats!$G$20=Norm_Stats!$F$20),"",MAX(0,MIN(100,100*(MIN(MAX(City_Inputs!$AE91,Norm_Stats!$F$20),Norm_Stats!$G$20)-Norm_Stats!$F$20)/(Norm_Stats!$G$20-Norm_Stats!$F$20))))</f>
        <v/>
      </c>
      <c r="AZ91" s="14">
        <f>IF(AY91="","",1)</f>
        <v/>
      </c>
      <c r="BA91" s="11">
        <f>IF(OR(City_Inputs!$AF91="",Norm_Stats!$F$21="",Norm_Stats!$G$21="",Norm_Stats!$G$21=Norm_Stats!$F$21),"",MAX(0,MIN(100,100*(MIN(MAX(City_Inputs!$AF91,Norm_Stats!$F$21),Norm_Stats!$G$21)-Norm_Stats!$F$21)/(Norm_Stats!$G$21-Norm_Stats!$F$21))))</f>
        <v/>
      </c>
      <c r="BB91" s="14">
        <f>IF(BA91="","",1)</f>
        <v/>
      </c>
      <c r="BC91" s="11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(IF(OR(City_Inputs!$AG91="",Norm_Stats!$F$22="",Norm_Stats!$G$22="",Norm_Stats!$G$22=Norm_Stats!$F$22),"",MAX(0,MIN(100,100*(MIN(MAX(City_Inputs!$AG91,Norm_Stats!$F$22),Norm_Stats!$G$22)-Norm_Stats!$F$22)/(Norm_Stats!$G$22-Norm_Stats!$F$22)))))*0.5)+IF((IF(OR(City_Inputs!$AJ91="",Norm_Stats!$F$23="",Norm_Stats!$G$23="",Norm_Stats!$G$23=Norm_Stats!$F$23),"",MAX(0,MIN(100,100*(MIN(MAX(City_Inputs!$AJ91,Norm_Stats!$F$23),Norm_Stats!$G$23)-Norm_Stats!$F$23)/(Norm_Stats!$G$23-Norm_Stats!$F$23)))))="",0,(IF(OR(City_Inputs!$AJ91="",Norm_Stats!$F$23="",Norm_Stats!$G$23="",Norm_Stats!$G$23=Norm_Stats!$F$23),"",MAX(0,MIN(100,100*(MIN(MAX(City_Inputs!$AJ91,Norm_Stats!$F$23),Norm_Stats!$G$23)-Norm_Stats!$F$23)/(Norm_Stats!$G$23-Norm_Stats!$F$23)))))*0.3)+IF((IF(OR(City_Inputs!$AK91="",Norm_Stats!$F$24="",Norm_Stats!$G$24="",Norm_Stats!$G$24=Norm_Stats!$F$24),"",MAX(0,MIN(100,100*(MIN(MAX(City_Inputs!$AK91,Norm_Stats!$F$24),Norm_Stats!$G$24)-Norm_Stats!$F$24)/(Norm_Stats!$G$24-Norm_Stats!$F$24)))))="",0,(IF(OR(City_Inputs!$AK91="",Norm_Stats!$F$24="",Norm_Stats!$G$24="",Norm_Stats!$G$24=Norm_Stats!$F$24),"",MAX(0,MIN(100,100*(MIN(MAX(City_Inputs!$AK91,Norm_Stats!$F$24),Norm_Stats!$G$24)-Norm_Stats!$F$24)/(Norm_Stats!$G$24-Norm_Stats!$F$24)))))*0.2))/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D91" s="14">
        <f>IF(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=0,"",(IF((IF(OR(City_Inputs!$AG91="",Norm_Stats!$F$22="",Norm_Stats!$G$22="",Norm_Stats!$G$22=Norm_Stats!$F$22),"",MAX(0,MIN(100,100*(MIN(MAX(City_Inputs!$AG91,Norm_Stats!$F$22),Norm_Stats!$G$22)-Norm_Stats!$F$22)/(Norm_Stats!$G$22-Norm_Stats!$F$22)))))="",0,0.5)+IF((IF(OR(City_Inputs!$AJ91="",Norm_Stats!$F$23="",Norm_Stats!$G$23="",Norm_Stats!$G$23=Norm_Stats!$F$23),"",MAX(0,MIN(100,100*(MIN(MAX(City_Inputs!$AJ91,Norm_Stats!$F$23),Norm_Stats!$G$23)-Norm_Stats!$F$23)/(Norm_Stats!$G$23-Norm_Stats!$F$23)))))="",0,0.3)+IF((IF(OR(City_Inputs!$AK91="",Norm_Stats!$F$24="",Norm_Stats!$G$24="",Norm_Stats!$G$24=Norm_Stats!$F$24),"",MAX(0,MIN(100,100*(MIN(MAX(City_Inputs!$AK91,Norm_Stats!$F$24),Norm_Stats!$G$24)-Norm_Stats!$F$24)/(Norm_Stats!$G$24-Norm_Stats!$F$24)))))="",0,0.2)))</f>
        <v/>
      </c>
      <c r="BE91" s="11">
        <f>IF(OR(City_Inputs!$AH91="",Norm_Stats!$F$25="",Norm_Stats!$G$25="",Norm_Stats!$G$25=Norm_Stats!$F$25),"",MAX(0,MIN(100,100*(Norm_Stats!$G$25-MIN(MAX(City_Inputs!$AH91,Norm_Stats!$F$25),Norm_Stats!$G$25))/(Norm_Stats!$G$25-Norm_Stats!$F$25))))</f>
        <v/>
      </c>
      <c r="BF91" s="14">
        <f>IF(BE91="","",1)</f>
        <v/>
      </c>
      <c r="BG91" s="15">
        <f>IF((IF(AY91="",0,6)+IF(BA91="",0,5)+IF(BC91="",0,5)+IF(BE91="",0,4))=0,"",(IF(AY91="",0,AY91*6)+IF(BA91="",0,BA91*5)+IF(BC91="",0,BC91*5)+IF(BE91="",0,BE91*4))/(IF(AY91="",0,6)+IF(BA91="",0,5)+IF(BC91="",0,5)+IF(BE91="",0,4)))</f>
        <v/>
      </c>
      <c r="BH91" s="14">
        <f>IF((IF(AZ91="",0,6)+IF(BB91="",0,5)+IF(BD91="",0,5)+IF(BF91="",0,4))=0,"",(IF(AZ91="",0,AZ91*6)+IF(BB91="",0,BB91*5)+IF(BD91="",0,BD91*5)+IF(BF91="",0,BF91*4))/20)</f>
        <v/>
      </c>
      <c r="BI91" s="14">
        <f>IF(AND(R91="",AF91="",AN91="",AX91="",BH91=""),"",((R91*25)+(AF91*22)+(AN91*18)+(AX91*15)+(BH91*20))/100)</f>
        <v/>
      </c>
      <c r="BJ91" s="11">
        <f>IF(BI91="","",IF(BI91&gt;=0.75,"A",IF(BI91&gt;=0.5,"B",IF(BI91&gt;=0.35,"C","Watchlist"))))</f>
        <v/>
      </c>
      <c r="BK91" s="11">
        <f>IF(OR(BI91="",BI91&lt;0.5,R91="",R91&lt;0.35,AF91="",AF91&lt;0.35,AN91="",AN91&lt;0.35,AX91="",AX91&lt;0.35,BH91="",BH91&lt;0.35),"Watchlist","Ranked")</f>
        <v/>
      </c>
      <c r="BL91" s="15">
        <f>IF(AND(Q91="",AE91="",AM91="",AW91="",BG91=""),"",(IF(Q91="",0,Q91*25)+IF(AE91="",0,AE91*22)+IF(AM91="",0,AM91*18)+IF(AW91="",0,AW91*15)+IF(BG91="",0,BG91*20))/(IF(Q91="",0,25)+IF(AE91="",0,22)+IF(AM91="",0,18)+IF(AW91="",0,15)+IF(BG91="",0,20)))</f>
        <v/>
      </c>
      <c r="BM91" s="11">
        <f>IF(BK91="Ranked",1+COUNTIFS($BK$2:$BK$158,"Ranked",$BL$2:$BL$158,"&gt;"&amp;BL91),"")</f>
        <v/>
      </c>
      <c r="BN91" s="11">
        <f>City_Inputs!$AI91</f>
        <v/>
      </c>
    </row>
    <row r="92">
      <c r="A92" t="inlineStr">
        <is>
          <t>za-johannesburg</t>
        </is>
      </c>
      <c r="B92" t="inlineStr">
        <is>
          <t>Johannesburg</t>
        </is>
      </c>
      <c r="C92" t="inlineStr">
        <is>
          <t>South Africa</t>
        </is>
      </c>
      <c r="D92" t="inlineStr">
        <is>
          <t>Africa</t>
        </is>
      </c>
      <c r="E92" t="inlineStr">
        <is>
          <t>provisional</t>
        </is>
      </c>
      <c r="F92" t="inlineStr">
        <is>
          <t>primary</t>
        </is>
      </c>
      <c r="G92" s="11">
        <f>IF(OR(City_Inputs!$M92="",Norm_Stats!$F$2="",Norm_Stats!$G$2="",Norm_Stats!$G$2=Norm_Stats!$F$2),"",MAX(0,MIN(100,100*(MIN(MAX(City_Inputs!$M92,Norm_Stats!$F$2),Norm_Stats!$G$2)-Norm_Stats!$F$2)/(Norm_Stats!$G$2-Norm_Stats!$F$2))))</f>
        <v/>
      </c>
      <c r="H92" s="14">
        <f>IF(G92="","",1)</f>
        <v/>
      </c>
      <c r="I92" s="11">
        <f>IF(OR(City_Inputs!$N92="",Norm_Stats!$F$3="",Norm_Stats!$G$3="",Norm_Stats!$G$3=Norm_Stats!$F$3),"",MAX(0,MIN(100,100*(Norm_Stats!$G$3-MIN(MAX(City_Inputs!$N92,Norm_Stats!$F$3),Norm_Stats!$G$3))/(Norm_Stats!$G$3-Norm_Stats!$F$3))))</f>
        <v/>
      </c>
      <c r="J92" s="14">
        <f>IF(I92="","",1)</f>
        <v/>
      </c>
      <c r="K92" s="11">
        <f>IF(OR(City_Inputs!$P92="",Norm_Stats!$F$4="",Norm_Stats!$G$4="",Norm_Stats!$G$4=Norm_Stats!$F$4),"",MAX(0,MIN(100,100*(Norm_Stats!$G$4-MIN(MAX(City_Inputs!$P92,Norm_Stats!$F$4),Norm_Stats!$G$4))/(Norm_Stats!$G$4-Norm_Stats!$F$4))))</f>
        <v/>
      </c>
      <c r="L92" s="14">
        <f>IF(K92="","",1)</f>
        <v/>
      </c>
      <c r="M92" s="11">
        <f>IF(OR(City_Inputs!$Q92="",Norm_Stats!$F$5="",Norm_Stats!$G$5="",Norm_Stats!$G$5=Norm_Stats!$F$5),"",MAX(0,MIN(100,100*(Norm_Stats!$G$5-MIN(MAX(City_Inputs!$Q92,Norm_Stats!$F$5),Norm_Stats!$G$5))/(Norm_Stats!$G$5-Norm_Stats!$F$5))))</f>
        <v/>
      </c>
      <c r="N92" s="14">
        <f>IF(M92="","",1)</f>
        <v/>
      </c>
      <c r="O92" s="11">
        <f>IF(OR(City_Inputs!$R92="",Norm_Stats!$F$6="",Norm_Stats!$G$6="",Norm_Stats!$G$6=Norm_Stats!$F$6),"",MAX(0,MIN(100,100*(Norm_Stats!$G$6-MIN(MAX(City_Inputs!$R92,Norm_Stats!$F$6),Norm_Stats!$G$6))/(Norm_Stats!$G$6-Norm_Stats!$F$6))))</f>
        <v/>
      </c>
      <c r="P92" s="14">
        <f>IF(O92="","",1)</f>
        <v/>
      </c>
      <c r="Q92" s="15">
        <f>IF((IF(G92="",0,9)+IF(I92="",0,5)+IF(K92="",0,4)+IF(M92="",0,4)+IF(O92="",0,5))=0,"",(IF(G92="",0,G92*9)+IF(I92="",0,I92*5)+IF(K92="",0,K92*4)+IF(M92="",0,M92*4)+IF(O92="",0,O92*5))/(IF(G92="",0,9)+IF(I92="",0,5)+IF(K92="",0,4)+IF(M92="",0,4)+IF(O92="",0,5)))</f>
        <v/>
      </c>
      <c r="R92" s="14">
        <f>IF((IF(H92="",0,9)+IF(J92="",0,5)+IF(L92="",0,4)+IF(N92="",0,4)+IF(P92="",0,5))=0,"",(IF(H92="",0,H92*9)+IF(J92="",0,J92*5)+IF(L92="",0,L92*4)+IF(N92="",0,N92*4)+IF(P92="",0,P92*5))/27)</f>
        <v/>
      </c>
      <c r="S92" s="11">
        <f>IF(OR(City_Inputs!$S92="",Norm_Stats!$F$7="",Norm_Stats!$G$7="",Norm_Stats!$G$7=Norm_Stats!$F$7),"",MAX(0,MIN(100,100*(Norm_Stats!$G$7-MIN(MAX(City_Inputs!$S92,Norm_Stats!$F$7),Norm_Stats!$G$7))/(Norm_Stats!$G$7-Norm_Stats!$F$7))))</f>
        <v/>
      </c>
      <c r="T92" s="14">
        <f>IF(S92="","",1)</f>
        <v/>
      </c>
      <c r="U92" s="11">
        <f>IF(OR(City_Inputs!$T92="",Norm_Stats!$F$8="",Norm_Stats!$G$8="",Norm_Stats!$G$8=Norm_Stats!$F$8),"",MAX(0,MIN(100,100*(MIN(MAX(City_Inputs!$T92,Norm_Stats!$F$8),Norm_Stats!$G$8)-Norm_Stats!$F$8)/(Norm_Stats!$G$8-Norm_Stats!$F$8))))</f>
        <v/>
      </c>
      <c r="V92" s="14">
        <f>IF(U92="","",1)</f>
        <v/>
      </c>
      <c r="W92" s="11">
        <f>IF(OR(City_Inputs!$U92="",Norm_Stats!$F$9="",Norm_Stats!$G$9="",Norm_Stats!$G$9=Norm_Stats!$F$9),"",MAX(0,MIN(100,100*(Norm_Stats!$G$9-MIN(MAX(City_Inputs!$U92,Norm_Stats!$F$9),Norm_Stats!$G$9))/(Norm_Stats!$G$9-Norm_Stats!$F$9))))</f>
        <v/>
      </c>
      <c r="X92" s="14">
        <f>IF(W92="","",1)</f>
        <v/>
      </c>
      <c r="Y92" s="11">
        <f>IF(OR(City_Inputs!$V92="",Norm_Stats!$F$10="",Norm_Stats!$G$10="",Norm_Stats!$G$10=Norm_Stats!$F$10),"",MAX(0,MIN(100,100*(MIN(MAX(City_Inputs!$V92,Norm_Stats!$F$10),Norm_Stats!$G$10)-Norm_Stats!$F$10)/(Norm_Stats!$G$10-Norm_Stats!$F$10))))</f>
        <v/>
      </c>
      <c r="Z92" s="14">
        <f>IF(Y92="","",1)</f>
        <v/>
      </c>
      <c r="AA92" s="11">
        <f>IF(OR(City_Inputs!$W92="",Norm_Stats!$F$11="",Norm_Stats!$G$11="",Norm_Stats!$G$11=Norm_Stats!$F$11),"",MAX(0,MIN(100,100*(MIN(MAX(City_Inputs!$W92,Norm_Stats!$F$11),Norm_Stats!$G$11)-Norm_Stats!$F$11)/(Norm_Stats!$G$11-Norm_Stats!$F$11))))</f>
        <v/>
      </c>
      <c r="AB92" s="14">
        <f>IF(AA92="","",1)</f>
        <v/>
      </c>
      <c r="AC92" s="11">
        <f>IF(OR(City_Inputs!$X92="",Norm_Stats!$F$12="",Norm_Stats!$G$12="",Norm_Stats!$G$12=Norm_Stats!$F$12),"",MAX(0,MIN(100,100*(MIN(MAX(City_Inputs!$X92,Norm_Stats!$F$12),Norm_Stats!$G$12)-Norm_Stats!$F$12)/(Norm_Stats!$G$12-Norm_Stats!$F$12))))</f>
        <v/>
      </c>
      <c r="AD92" s="11">
        <f>IF(AC92="","",1)</f>
        <v/>
      </c>
      <c r="AE92" s="15">
        <f>IF((IF(S92="",0,5)+IF(U92="",0,5)+IF(W92="",0,4)+IF(Y92="",0,4)+IF(AA92="",0,4)+IF(AC92="",0,5))=0,"",(IF(S92="",0,S92*5)+IF(U92="",0,U92*5)+IF(W92="",0,W92*4)+IF(Y92="",0,Y92*4)+IF(AA92="",0,AA92*4)+IF(AC92="",0,AC92*5))/(IF(S92="",0,5)+IF(U92="",0,5)+IF(W92="",0,4)+IF(Y92="",0,4)+IF(AA92="",0,4)+IF(AC92="",0,5)))</f>
        <v/>
      </c>
      <c r="AF92" s="14">
        <f>IF((IF(T92="",0,5)+IF(V92="",0,5)+IF(X92="",0,4)+IF(Z92="",0,4)+IF(AB92="",0,4)+IF(AD92="",0,5))=0,"",(IF(T92="",0,T92*5)+IF(V92="",0,V92*5)+IF(X92="",0,X92*4)+IF(Z92="",0,Z92*4)+IF(AB92="",0,AB92*4)+IF(AD92="",0,AD92*5))/27)</f>
        <v/>
      </c>
      <c r="AG92" s="11">
        <f>IF(OR(City_Inputs!$Y92="",Norm_Stats!$F$13="",Norm_Stats!$G$13="",Norm_Stats!$G$13=Norm_Stats!$F$13),"",MAX(0,MIN(100,100*(MIN(MAX(City_Inputs!$Y92,Norm_Stats!$F$13),Norm_Stats!$G$13)-Norm_Stats!$F$13)/(Norm_Stats!$G$13-Norm_Stats!$F$13))))</f>
        <v/>
      </c>
      <c r="AH92" s="14">
        <f>IF(AG92="","",1)</f>
        <v/>
      </c>
      <c r="AI92" s="11">
        <f>IF(OR(City_Inputs!$Z92="",Norm_Stats!$F$14="",Norm_Stats!$G$14="",Norm_Stats!$G$14=Norm_Stats!$F$14),"",MAX(0,MIN(100,100*(MIN(MAX(City_Inputs!$Z92,Norm_Stats!$F$14),Norm_Stats!$G$14)-Norm_Stats!$F$14)/(Norm_Stats!$G$14-Norm_Stats!$F$14))))</f>
        <v/>
      </c>
      <c r="AJ92" s="14">
        <f>IF(AI92="","",1)</f>
        <v/>
      </c>
      <c r="AK92" s="11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(IF(OR(City_Inputs!$AA92="",Norm_Stats!$F$15="",Norm_Stats!$G$15="",Norm_Stats!$G$15=Norm_Stats!$F$15),"",MAX(0,MIN(100,100*(MIN(MAX(City_Inputs!$AA92,Norm_Stats!$F$15),Norm_Stats!$G$15)-Norm_Stats!$F$15)/(Norm_Stats!$G$15-Norm_Stats!$F$15)))))*0.7)+IF((IF(OR(City_Inputs!$AL92="",Norm_Stats!$F$16="",Norm_Stats!$G$16="",Norm_Stats!$G$16=Norm_Stats!$F$16),"",MAX(0,MIN(100,100*(Norm_Stats!$G$16-MIN(MAX(City_Inputs!$AL92,Norm_Stats!$F$16),Norm_Stats!$G$16))/(Norm_Stats!$G$16-Norm_Stats!$F$16)))))="",0,(IF(OR(City_Inputs!$AL92="",Norm_Stats!$F$16="",Norm_Stats!$G$16="",Norm_Stats!$G$16=Norm_Stats!$F$16),"",MAX(0,MIN(100,100*(Norm_Stats!$G$16-MIN(MAX(City_Inputs!$AL92,Norm_Stats!$F$16),Norm_Stats!$G$16))/(Norm_Stats!$G$16-Norm_Stats!$F$16)))))*0.3))/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L92" s="14">
        <f>IF(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=0,"",(IF((IF(OR(City_Inputs!$AA92="",Norm_Stats!$F$15="",Norm_Stats!$G$15="",Norm_Stats!$G$15=Norm_Stats!$F$15),"",MAX(0,MIN(100,100*(MIN(MAX(City_Inputs!$AA92,Norm_Stats!$F$15),Norm_Stats!$G$15)-Norm_Stats!$F$15)/(Norm_Stats!$G$15-Norm_Stats!$F$15)))))="",0,0.7)+IF((IF(OR(City_Inputs!$AL92="",Norm_Stats!$F$16="",Norm_Stats!$G$16="",Norm_Stats!$G$16=Norm_Stats!$F$16),"",MAX(0,MIN(100,100*(Norm_Stats!$G$16-MIN(MAX(City_Inputs!$AL92,Norm_Stats!$F$16),Norm_Stats!$G$16))/(Norm_Stats!$G$16-Norm_Stats!$F$16)))))="",0,0.3)))</f>
        <v/>
      </c>
      <c r="AM92" s="15">
        <f>IF((IF(AG92="",0,8)+IF(AI92="",0,6)+IF(AK92="",0,4))=0,"",(IF(AG92="",0,AG92*8)+IF(AI92="",0,AI92*6)+IF(AK92="",0,AK92*4))/(IF(AG92="",0,8)+IF(AI92="",0,6)+IF(AK92="",0,4)))</f>
        <v/>
      </c>
      <c r="AN92" s="14">
        <f>IF((IF(AH92="",0,8)+IF(AJ92="",0,6)+IF(AL92="",0,4))=0,"",(IF(AH92="",0,AH92*8)+IF(AJ92="",0,AJ92*6)+IF(AL92="",0,AL92*4))/18)</f>
        <v/>
      </c>
      <c r="AO92" s="11">
        <f>IF(OR(City_Inputs!$AB92="",Norm_Stats!$F$17="",Norm_Stats!$G$17="",Norm_Stats!$G$17=Norm_Stats!$F$17),"",MAX(0,MIN(100,100*(MIN(MAX(City_Inputs!$AB92,Norm_Stats!$F$17),Norm_Stats!$G$17)-Norm_Stats!$F$17)/(Norm_Stats!$G$17-Norm_Stats!$F$17))))</f>
        <v/>
      </c>
      <c r="AP92" s="14">
        <f>IF(AO92="","",1)</f>
        <v/>
      </c>
      <c r="AQ92" s="11">
        <f>IF(OR(City_Inputs!$AC92="",Norm_Stats!$F$18="",Norm_Stats!$G$18="",Norm_Stats!$G$18=Norm_Stats!$F$18),"",MAX(0,MIN(100,100*(MIN(MAX(City_Inputs!$AC92,Norm_Stats!$F$18),Norm_Stats!$G$18)-Norm_Stats!$F$18)/(Norm_Stats!$G$18-Norm_Stats!$F$18))))</f>
        <v/>
      </c>
      <c r="AR92" s="14">
        <f>IF(AQ92="","",1)</f>
        <v/>
      </c>
      <c r="AS92" s="11">
        <f>IF(OR(City_Inputs!$AD92="",Norm_Stats!$F$19="",Norm_Stats!$G$19="",Norm_Stats!$G$19=Norm_Stats!$F$19),"",MAX(0,MIN(100,100*(MIN(MAX(City_Inputs!$AD92,Norm_Stats!$F$19),Norm_Stats!$G$19)-Norm_Stats!$F$19)/(Norm_Stats!$G$19-Norm_Stats!$F$19))))</f>
        <v/>
      </c>
      <c r="AT92" s="14">
        <f>IF(AS92="","",1)</f>
        <v/>
      </c>
      <c r="AU92" s="11">
        <f>IF(OR(City_Inputs!$BJ92="",Norm_Stats!$F$26="",Norm_Stats!$G$26="",Norm_Stats!$G$26=Norm_Stats!$F$26),"",MAX(0,MIN(100,100*(MIN(MAX(City_Inputs!$BJ92,Norm_Stats!$F$26),Norm_Stats!$G$26)-Norm_Stats!$F$26)/(Norm_Stats!$G$26-Norm_Stats!$F$26))))</f>
        <v/>
      </c>
      <c r="AV92" s="11">
        <f>IF(AU92="","",1)</f>
        <v/>
      </c>
      <c r="AW92" s="15">
        <f>IF((IF(AO92="",0,5)+IF(AQ92="",0,5)+IF(AS92="",0,5)+IF(AU92="",0,4))=0,"",(IF(AO92="",0,AO92*5)+IF(AQ92="",0,AQ92*5)+IF(AS92="",0,AS92*5)+IF(AU92="",0,AU92*4))/(IF(AO92="",0,5)+IF(AQ92="",0,5)+IF(AS92="",0,5)+IF(AU92="",0,4)))</f>
        <v/>
      </c>
      <c r="AX92" s="14">
        <f>IF((IF(AP92="",0,5)+IF(AR92="",0,5)+IF(AT92="",0,5)+IF(AV92="",0,4))=0,"",(IF(AP92="",0,AP92*5)+IF(AR92="",0,AR92*5)+IF(AT92="",0,AT92*5)+IF(AV92="",0,AV92*4))/19)</f>
        <v/>
      </c>
      <c r="AY92" s="11">
        <f>IF(OR(City_Inputs!$AE92="",Norm_Stats!$F$20="",Norm_Stats!$G$20="",Norm_Stats!$G$20=Norm_Stats!$F$20),"",MAX(0,MIN(100,100*(MIN(MAX(City_Inputs!$AE92,Norm_Stats!$F$20),Norm_Stats!$G$20)-Norm_Stats!$F$20)/(Norm_Stats!$G$20-Norm_Stats!$F$20))))</f>
        <v/>
      </c>
      <c r="AZ92" s="14">
        <f>IF(AY92="","",1)</f>
        <v/>
      </c>
      <c r="BA92" s="11">
        <f>IF(OR(City_Inputs!$AF92="",Norm_Stats!$F$21="",Norm_Stats!$G$21="",Norm_Stats!$G$21=Norm_Stats!$F$21),"",MAX(0,MIN(100,100*(MIN(MAX(City_Inputs!$AF92,Norm_Stats!$F$21),Norm_Stats!$G$21)-Norm_Stats!$F$21)/(Norm_Stats!$G$21-Norm_Stats!$F$21))))</f>
        <v/>
      </c>
      <c r="BB92" s="14">
        <f>IF(BA92="","",1)</f>
        <v/>
      </c>
      <c r="BC92" s="11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(IF(OR(City_Inputs!$AG92="",Norm_Stats!$F$22="",Norm_Stats!$G$22="",Norm_Stats!$G$22=Norm_Stats!$F$22),"",MAX(0,MIN(100,100*(MIN(MAX(City_Inputs!$AG92,Norm_Stats!$F$22),Norm_Stats!$G$22)-Norm_Stats!$F$22)/(Norm_Stats!$G$22-Norm_Stats!$F$22)))))*0.5)+IF((IF(OR(City_Inputs!$AJ92="",Norm_Stats!$F$23="",Norm_Stats!$G$23="",Norm_Stats!$G$23=Norm_Stats!$F$23),"",MAX(0,MIN(100,100*(MIN(MAX(City_Inputs!$AJ92,Norm_Stats!$F$23),Norm_Stats!$G$23)-Norm_Stats!$F$23)/(Norm_Stats!$G$23-Norm_Stats!$F$23)))))="",0,(IF(OR(City_Inputs!$AJ92="",Norm_Stats!$F$23="",Norm_Stats!$G$23="",Norm_Stats!$G$23=Norm_Stats!$F$23),"",MAX(0,MIN(100,100*(MIN(MAX(City_Inputs!$AJ92,Norm_Stats!$F$23),Norm_Stats!$G$23)-Norm_Stats!$F$23)/(Norm_Stats!$G$23-Norm_Stats!$F$23)))))*0.3)+IF((IF(OR(City_Inputs!$AK92="",Norm_Stats!$F$24="",Norm_Stats!$G$24="",Norm_Stats!$G$24=Norm_Stats!$F$24),"",MAX(0,MIN(100,100*(MIN(MAX(City_Inputs!$AK92,Norm_Stats!$F$24),Norm_Stats!$G$24)-Norm_Stats!$F$24)/(Norm_Stats!$G$24-Norm_Stats!$F$24)))))="",0,(IF(OR(City_Inputs!$AK92="",Norm_Stats!$F$24="",Norm_Stats!$G$24="",Norm_Stats!$G$24=Norm_Stats!$F$24),"",MAX(0,MIN(100,100*(MIN(MAX(City_Inputs!$AK92,Norm_Stats!$F$24),Norm_Stats!$G$24)-Norm_Stats!$F$24)/(Norm_Stats!$G$24-Norm_Stats!$F$24)))))*0.2))/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D92" s="14">
        <f>IF(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=0,"",(IF((IF(OR(City_Inputs!$AG92="",Norm_Stats!$F$22="",Norm_Stats!$G$22="",Norm_Stats!$G$22=Norm_Stats!$F$22),"",MAX(0,MIN(100,100*(MIN(MAX(City_Inputs!$AG92,Norm_Stats!$F$22),Norm_Stats!$G$22)-Norm_Stats!$F$22)/(Norm_Stats!$G$22-Norm_Stats!$F$22)))))="",0,0.5)+IF((IF(OR(City_Inputs!$AJ92="",Norm_Stats!$F$23="",Norm_Stats!$G$23="",Norm_Stats!$G$23=Norm_Stats!$F$23),"",MAX(0,MIN(100,100*(MIN(MAX(City_Inputs!$AJ92,Norm_Stats!$F$23),Norm_Stats!$G$23)-Norm_Stats!$F$23)/(Norm_Stats!$G$23-Norm_Stats!$F$23)))))="",0,0.3)+IF((IF(OR(City_Inputs!$AK92="",Norm_Stats!$F$24="",Norm_Stats!$G$24="",Norm_Stats!$G$24=Norm_Stats!$F$24),"",MAX(0,MIN(100,100*(MIN(MAX(City_Inputs!$AK92,Norm_Stats!$F$24),Norm_Stats!$G$24)-Norm_Stats!$F$24)/(Norm_Stats!$G$24-Norm_Stats!$F$24)))))="",0,0.2)))</f>
        <v/>
      </c>
      <c r="BE92" s="11">
        <f>IF(OR(City_Inputs!$AH92="",Norm_Stats!$F$25="",Norm_Stats!$G$25="",Norm_Stats!$G$25=Norm_Stats!$F$25),"",MAX(0,MIN(100,100*(Norm_Stats!$G$25-MIN(MAX(City_Inputs!$AH92,Norm_Stats!$F$25),Norm_Stats!$G$25))/(Norm_Stats!$G$25-Norm_Stats!$F$25))))</f>
        <v/>
      </c>
      <c r="BF92" s="14">
        <f>IF(BE92="","",1)</f>
        <v/>
      </c>
      <c r="BG92" s="15">
        <f>IF((IF(AY92="",0,6)+IF(BA92="",0,5)+IF(BC92="",0,5)+IF(BE92="",0,4))=0,"",(IF(AY92="",0,AY92*6)+IF(BA92="",0,BA92*5)+IF(BC92="",0,BC92*5)+IF(BE92="",0,BE92*4))/(IF(AY92="",0,6)+IF(BA92="",0,5)+IF(BC92="",0,5)+IF(BE92="",0,4)))</f>
        <v/>
      </c>
      <c r="BH92" s="14">
        <f>IF((IF(AZ92="",0,6)+IF(BB92="",0,5)+IF(BD92="",0,5)+IF(BF92="",0,4))=0,"",(IF(AZ92="",0,AZ92*6)+IF(BB92="",0,BB92*5)+IF(BD92="",0,BD92*5)+IF(BF92="",0,BF92*4))/20)</f>
        <v/>
      </c>
      <c r="BI92" s="14">
        <f>IF(AND(R92="",AF92="",AN92="",AX92="",BH92=""),"",((R92*25)+(AF92*22)+(AN92*18)+(AX92*15)+(BH92*20))/100)</f>
        <v/>
      </c>
      <c r="BJ92" s="11">
        <f>IF(BI92="","",IF(BI92&gt;=0.75,"A",IF(BI92&gt;=0.5,"B",IF(BI92&gt;=0.35,"C","Watchlist"))))</f>
        <v/>
      </c>
      <c r="BK92" s="11">
        <f>IF(OR(BI92="",BI92&lt;0.5,R92="",R92&lt;0.35,AF92="",AF92&lt;0.35,AN92="",AN92&lt;0.35,AX92="",AX92&lt;0.35,BH92="",BH92&lt;0.35),"Watchlist","Ranked")</f>
        <v/>
      </c>
      <c r="BL92" s="15">
        <f>IF(AND(Q92="",AE92="",AM92="",AW92="",BG92=""),"",(IF(Q92="",0,Q92*25)+IF(AE92="",0,AE92*22)+IF(AM92="",0,AM92*18)+IF(AW92="",0,AW92*15)+IF(BG92="",0,BG92*20))/(IF(Q92="",0,25)+IF(AE92="",0,22)+IF(AM92="",0,18)+IF(AW92="",0,15)+IF(BG92="",0,20)))</f>
        <v/>
      </c>
      <c r="BM92" s="11">
        <f>IF(BK92="Ranked",1+COUNTIFS($BK$2:$BK$158,"Ranked",$BL$2:$BL$158,"&gt;"&amp;BL92),"")</f>
        <v/>
      </c>
      <c r="BN92" s="11">
        <f>City_Inputs!$AI92</f>
        <v/>
      </c>
    </row>
    <row r="93">
      <c r="A93" t="inlineStr">
        <is>
          <t>ke-nairobi</t>
        </is>
      </c>
      <c r="B93" t="inlineStr">
        <is>
          <t>Nairobi</t>
        </is>
      </c>
      <c r="C93" t="inlineStr">
        <is>
          <t>Kenya</t>
        </is>
      </c>
      <c r="D93" t="inlineStr">
        <is>
          <t>Africa</t>
        </is>
      </c>
      <c r="E93" t="inlineStr">
        <is>
          <t>locked</t>
        </is>
      </c>
      <c r="F93" t="inlineStr">
        <is>
          <t>primary</t>
        </is>
      </c>
      <c r="G93" s="11">
        <f>IF(OR(City_Inputs!$M93="",Norm_Stats!$F$2="",Norm_Stats!$G$2="",Norm_Stats!$G$2=Norm_Stats!$F$2),"",MAX(0,MIN(100,100*(MIN(MAX(City_Inputs!$M93,Norm_Stats!$F$2),Norm_Stats!$G$2)-Norm_Stats!$F$2)/(Norm_Stats!$G$2-Norm_Stats!$F$2))))</f>
        <v/>
      </c>
      <c r="H93" s="14">
        <f>IF(G93="","",1)</f>
        <v/>
      </c>
      <c r="I93" s="11">
        <f>IF(OR(City_Inputs!$N93="",Norm_Stats!$F$3="",Norm_Stats!$G$3="",Norm_Stats!$G$3=Norm_Stats!$F$3),"",MAX(0,MIN(100,100*(Norm_Stats!$G$3-MIN(MAX(City_Inputs!$N93,Norm_Stats!$F$3),Norm_Stats!$G$3))/(Norm_Stats!$G$3-Norm_Stats!$F$3))))</f>
        <v/>
      </c>
      <c r="J93" s="14">
        <f>IF(I93="","",1)</f>
        <v/>
      </c>
      <c r="K93" s="11">
        <f>IF(OR(City_Inputs!$P93="",Norm_Stats!$F$4="",Norm_Stats!$G$4="",Norm_Stats!$G$4=Norm_Stats!$F$4),"",MAX(0,MIN(100,100*(Norm_Stats!$G$4-MIN(MAX(City_Inputs!$P93,Norm_Stats!$F$4),Norm_Stats!$G$4))/(Norm_Stats!$G$4-Norm_Stats!$F$4))))</f>
        <v/>
      </c>
      <c r="L93" s="14">
        <f>IF(K93="","",1)</f>
        <v/>
      </c>
      <c r="M93" s="11">
        <f>IF(OR(City_Inputs!$Q93="",Norm_Stats!$F$5="",Norm_Stats!$G$5="",Norm_Stats!$G$5=Norm_Stats!$F$5),"",MAX(0,MIN(100,100*(Norm_Stats!$G$5-MIN(MAX(City_Inputs!$Q93,Norm_Stats!$F$5),Norm_Stats!$G$5))/(Norm_Stats!$G$5-Norm_Stats!$F$5))))</f>
        <v/>
      </c>
      <c r="N93" s="14">
        <f>IF(M93="","",1)</f>
        <v/>
      </c>
      <c r="O93" s="11">
        <f>IF(OR(City_Inputs!$R93="",Norm_Stats!$F$6="",Norm_Stats!$G$6="",Norm_Stats!$G$6=Norm_Stats!$F$6),"",MAX(0,MIN(100,100*(Norm_Stats!$G$6-MIN(MAX(City_Inputs!$R93,Norm_Stats!$F$6),Norm_Stats!$G$6))/(Norm_Stats!$G$6-Norm_Stats!$F$6))))</f>
        <v/>
      </c>
      <c r="P93" s="14">
        <f>IF(O93="","",1)</f>
        <v/>
      </c>
      <c r="Q93" s="15">
        <f>IF((IF(G93="",0,9)+IF(I93="",0,5)+IF(K93="",0,4)+IF(M93="",0,4)+IF(O93="",0,5))=0,"",(IF(G93="",0,G93*9)+IF(I93="",0,I93*5)+IF(K93="",0,K93*4)+IF(M93="",0,M93*4)+IF(O93="",0,O93*5))/(IF(G93="",0,9)+IF(I93="",0,5)+IF(K93="",0,4)+IF(M93="",0,4)+IF(O93="",0,5)))</f>
        <v/>
      </c>
      <c r="R93" s="14">
        <f>IF((IF(H93="",0,9)+IF(J93="",0,5)+IF(L93="",0,4)+IF(N93="",0,4)+IF(P93="",0,5))=0,"",(IF(H93="",0,H93*9)+IF(J93="",0,J93*5)+IF(L93="",0,L93*4)+IF(N93="",0,N93*4)+IF(P93="",0,P93*5))/27)</f>
        <v/>
      </c>
      <c r="S93" s="11">
        <f>IF(OR(City_Inputs!$S93="",Norm_Stats!$F$7="",Norm_Stats!$G$7="",Norm_Stats!$G$7=Norm_Stats!$F$7),"",MAX(0,MIN(100,100*(Norm_Stats!$G$7-MIN(MAX(City_Inputs!$S93,Norm_Stats!$F$7),Norm_Stats!$G$7))/(Norm_Stats!$G$7-Norm_Stats!$F$7))))</f>
        <v/>
      </c>
      <c r="T93" s="14">
        <f>IF(S93="","",1)</f>
        <v/>
      </c>
      <c r="U93" s="11">
        <f>IF(OR(City_Inputs!$T93="",Norm_Stats!$F$8="",Norm_Stats!$G$8="",Norm_Stats!$G$8=Norm_Stats!$F$8),"",MAX(0,MIN(100,100*(MIN(MAX(City_Inputs!$T93,Norm_Stats!$F$8),Norm_Stats!$G$8)-Norm_Stats!$F$8)/(Norm_Stats!$G$8-Norm_Stats!$F$8))))</f>
        <v/>
      </c>
      <c r="V93" s="14">
        <f>IF(U93="","",1)</f>
        <v/>
      </c>
      <c r="W93" s="11">
        <f>IF(OR(City_Inputs!$U93="",Norm_Stats!$F$9="",Norm_Stats!$G$9="",Norm_Stats!$G$9=Norm_Stats!$F$9),"",MAX(0,MIN(100,100*(Norm_Stats!$G$9-MIN(MAX(City_Inputs!$U93,Norm_Stats!$F$9),Norm_Stats!$G$9))/(Norm_Stats!$G$9-Norm_Stats!$F$9))))</f>
        <v/>
      </c>
      <c r="X93" s="14">
        <f>IF(W93="","",1)</f>
        <v/>
      </c>
      <c r="Y93" s="11">
        <f>IF(OR(City_Inputs!$V93="",Norm_Stats!$F$10="",Norm_Stats!$G$10="",Norm_Stats!$G$10=Norm_Stats!$F$10),"",MAX(0,MIN(100,100*(MIN(MAX(City_Inputs!$V93,Norm_Stats!$F$10),Norm_Stats!$G$10)-Norm_Stats!$F$10)/(Norm_Stats!$G$10-Norm_Stats!$F$10))))</f>
        <v/>
      </c>
      <c r="Z93" s="14">
        <f>IF(Y93="","",1)</f>
        <v/>
      </c>
      <c r="AA93" s="11">
        <f>IF(OR(City_Inputs!$W93="",Norm_Stats!$F$11="",Norm_Stats!$G$11="",Norm_Stats!$G$11=Norm_Stats!$F$11),"",MAX(0,MIN(100,100*(MIN(MAX(City_Inputs!$W93,Norm_Stats!$F$11),Norm_Stats!$G$11)-Norm_Stats!$F$11)/(Norm_Stats!$G$11-Norm_Stats!$F$11))))</f>
        <v/>
      </c>
      <c r="AB93" s="14">
        <f>IF(AA93="","",1)</f>
        <v/>
      </c>
      <c r="AC93" s="11">
        <f>IF(OR(City_Inputs!$X93="",Norm_Stats!$F$12="",Norm_Stats!$G$12="",Norm_Stats!$G$12=Norm_Stats!$F$12),"",MAX(0,MIN(100,100*(MIN(MAX(City_Inputs!$X93,Norm_Stats!$F$12),Norm_Stats!$G$12)-Norm_Stats!$F$12)/(Norm_Stats!$G$12-Norm_Stats!$F$12))))</f>
        <v/>
      </c>
      <c r="AD93" s="11">
        <f>IF(AC93="","",1)</f>
        <v/>
      </c>
      <c r="AE93" s="15">
        <f>IF((IF(S93="",0,5)+IF(U93="",0,5)+IF(W93="",0,4)+IF(Y93="",0,4)+IF(AA93="",0,4)+IF(AC93="",0,5))=0,"",(IF(S93="",0,S93*5)+IF(U93="",0,U93*5)+IF(W93="",0,W93*4)+IF(Y93="",0,Y93*4)+IF(AA93="",0,AA93*4)+IF(AC93="",0,AC93*5))/(IF(S93="",0,5)+IF(U93="",0,5)+IF(W93="",0,4)+IF(Y93="",0,4)+IF(AA93="",0,4)+IF(AC93="",0,5)))</f>
        <v/>
      </c>
      <c r="AF93" s="14">
        <f>IF((IF(T93="",0,5)+IF(V93="",0,5)+IF(X93="",0,4)+IF(Z93="",0,4)+IF(AB93="",0,4)+IF(AD93="",0,5))=0,"",(IF(T93="",0,T93*5)+IF(V93="",0,V93*5)+IF(X93="",0,X93*4)+IF(Z93="",0,Z93*4)+IF(AB93="",0,AB93*4)+IF(AD93="",0,AD93*5))/27)</f>
        <v/>
      </c>
      <c r="AG93" s="11">
        <f>IF(OR(City_Inputs!$Y93="",Norm_Stats!$F$13="",Norm_Stats!$G$13="",Norm_Stats!$G$13=Norm_Stats!$F$13),"",MAX(0,MIN(100,100*(MIN(MAX(City_Inputs!$Y93,Norm_Stats!$F$13),Norm_Stats!$G$13)-Norm_Stats!$F$13)/(Norm_Stats!$G$13-Norm_Stats!$F$13))))</f>
        <v/>
      </c>
      <c r="AH93" s="14">
        <f>IF(AG93="","",1)</f>
        <v/>
      </c>
      <c r="AI93" s="11">
        <f>IF(OR(City_Inputs!$Z93="",Norm_Stats!$F$14="",Norm_Stats!$G$14="",Norm_Stats!$G$14=Norm_Stats!$F$14),"",MAX(0,MIN(100,100*(MIN(MAX(City_Inputs!$Z93,Norm_Stats!$F$14),Norm_Stats!$G$14)-Norm_Stats!$F$14)/(Norm_Stats!$G$14-Norm_Stats!$F$14))))</f>
        <v/>
      </c>
      <c r="AJ93" s="14">
        <f>IF(AI93="","",1)</f>
        <v/>
      </c>
      <c r="AK93" s="11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(IF(OR(City_Inputs!$AA93="",Norm_Stats!$F$15="",Norm_Stats!$G$15="",Norm_Stats!$G$15=Norm_Stats!$F$15),"",MAX(0,MIN(100,100*(MIN(MAX(City_Inputs!$AA93,Norm_Stats!$F$15),Norm_Stats!$G$15)-Norm_Stats!$F$15)/(Norm_Stats!$G$15-Norm_Stats!$F$15)))))*0.7)+IF((IF(OR(City_Inputs!$AL93="",Norm_Stats!$F$16="",Norm_Stats!$G$16="",Norm_Stats!$G$16=Norm_Stats!$F$16),"",MAX(0,MIN(100,100*(Norm_Stats!$G$16-MIN(MAX(City_Inputs!$AL93,Norm_Stats!$F$16),Norm_Stats!$G$16))/(Norm_Stats!$G$16-Norm_Stats!$F$16)))))="",0,(IF(OR(City_Inputs!$AL93="",Norm_Stats!$F$16="",Norm_Stats!$G$16="",Norm_Stats!$G$16=Norm_Stats!$F$16),"",MAX(0,MIN(100,100*(Norm_Stats!$G$16-MIN(MAX(City_Inputs!$AL93,Norm_Stats!$F$16),Norm_Stats!$G$16))/(Norm_Stats!$G$16-Norm_Stats!$F$16)))))*0.3))/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L93" s="14">
        <f>IF(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=0,"",(IF((IF(OR(City_Inputs!$AA93="",Norm_Stats!$F$15="",Norm_Stats!$G$15="",Norm_Stats!$G$15=Norm_Stats!$F$15),"",MAX(0,MIN(100,100*(MIN(MAX(City_Inputs!$AA93,Norm_Stats!$F$15),Norm_Stats!$G$15)-Norm_Stats!$F$15)/(Norm_Stats!$G$15-Norm_Stats!$F$15)))))="",0,0.7)+IF((IF(OR(City_Inputs!$AL93="",Norm_Stats!$F$16="",Norm_Stats!$G$16="",Norm_Stats!$G$16=Norm_Stats!$F$16),"",MAX(0,MIN(100,100*(Norm_Stats!$G$16-MIN(MAX(City_Inputs!$AL93,Norm_Stats!$F$16),Norm_Stats!$G$16))/(Norm_Stats!$G$16-Norm_Stats!$F$16)))))="",0,0.3)))</f>
        <v/>
      </c>
      <c r="AM93" s="15">
        <f>IF((IF(AG93="",0,8)+IF(AI93="",0,6)+IF(AK93="",0,4))=0,"",(IF(AG93="",0,AG93*8)+IF(AI93="",0,AI93*6)+IF(AK93="",0,AK93*4))/(IF(AG93="",0,8)+IF(AI93="",0,6)+IF(AK93="",0,4)))</f>
        <v/>
      </c>
      <c r="AN93" s="14">
        <f>IF((IF(AH93="",0,8)+IF(AJ93="",0,6)+IF(AL93="",0,4))=0,"",(IF(AH93="",0,AH93*8)+IF(AJ93="",0,AJ93*6)+IF(AL93="",0,AL93*4))/18)</f>
        <v/>
      </c>
      <c r="AO93" s="11">
        <f>IF(OR(City_Inputs!$AB93="",Norm_Stats!$F$17="",Norm_Stats!$G$17="",Norm_Stats!$G$17=Norm_Stats!$F$17),"",MAX(0,MIN(100,100*(MIN(MAX(City_Inputs!$AB93,Norm_Stats!$F$17),Norm_Stats!$G$17)-Norm_Stats!$F$17)/(Norm_Stats!$G$17-Norm_Stats!$F$17))))</f>
        <v/>
      </c>
      <c r="AP93" s="14">
        <f>IF(AO93="","",1)</f>
        <v/>
      </c>
      <c r="AQ93" s="11">
        <f>IF(OR(City_Inputs!$AC93="",Norm_Stats!$F$18="",Norm_Stats!$G$18="",Norm_Stats!$G$18=Norm_Stats!$F$18),"",MAX(0,MIN(100,100*(MIN(MAX(City_Inputs!$AC93,Norm_Stats!$F$18),Norm_Stats!$G$18)-Norm_Stats!$F$18)/(Norm_Stats!$G$18-Norm_Stats!$F$18))))</f>
        <v/>
      </c>
      <c r="AR93" s="14">
        <f>IF(AQ93="","",1)</f>
        <v/>
      </c>
      <c r="AS93" s="11">
        <f>IF(OR(City_Inputs!$AD93="",Norm_Stats!$F$19="",Norm_Stats!$G$19="",Norm_Stats!$G$19=Norm_Stats!$F$19),"",MAX(0,MIN(100,100*(MIN(MAX(City_Inputs!$AD93,Norm_Stats!$F$19),Norm_Stats!$G$19)-Norm_Stats!$F$19)/(Norm_Stats!$G$19-Norm_Stats!$F$19))))</f>
        <v/>
      </c>
      <c r="AT93" s="14">
        <f>IF(AS93="","",1)</f>
        <v/>
      </c>
      <c r="AU93" s="11">
        <f>IF(OR(City_Inputs!$BJ93="",Norm_Stats!$F$26="",Norm_Stats!$G$26="",Norm_Stats!$G$26=Norm_Stats!$F$26),"",MAX(0,MIN(100,100*(MIN(MAX(City_Inputs!$BJ93,Norm_Stats!$F$26),Norm_Stats!$G$26)-Norm_Stats!$F$26)/(Norm_Stats!$G$26-Norm_Stats!$F$26))))</f>
        <v/>
      </c>
      <c r="AV93" s="11">
        <f>IF(AU93="","",1)</f>
        <v/>
      </c>
      <c r="AW93" s="15">
        <f>IF((IF(AO93="",0,5)+IF(AQ93="",0,5)+IF(AS93="",0,5)+IF(AU93="",0,4))=0,"",(IF(AO93="",0,AO93*5)+IF(AQ93="",0,AQ93*5)+IF(AS93="",0,AS93*5)+IF(AU93="",0,AU93*4))/(IF(AO93="",0,5)+IF(AQ93="",0,5)+IF(AS93="",0,5)+IF(AU93="",0,4)))</f>
        <v/>
      </c>
      <c r="AX93" s="14">
        <f>IF((IF(AP93="",0,5)+IF(AR93="",0,5)+IF(AT93="",0,5)+IF(AV93="",0,4))=0,"",(IF(AP93="",0,AP93*5)+IF(AR93="",0,AR93*5)+IF(AT93="",0,AT93*5)+IF(AV93="",0,AV93*4))/19)</f>
        <v/>
      </c>
      <c r="AY93" s="11">
        <f>IF(OR(City_Inputs!$AE93="",Norm_Stats!$F$20="",Norm_Stats!$G$20="",Norm_Stats!$G$20=Norm_Stats!$F$20),"",MAX(0,MIN(100,100*(MIN(MAX(City_Inputs!$AE93,Norm_Stats!$F$20),Norm_Stats!$G$20)-Norm_Stats!$F$20)/(Norm_Stats!$G$20-Norm_Stats!$F$20))))</f>
        <v/>
      </c>
      <c r="AZ93" s="14">
        <f>IF(AY93="","",1)</f>
        <v/>
      </c>
      <c r="BA93" s="11">
        <f>IF(OR(City_Inputs!$AF93="",Norm_Stats!$F$21="",Norm_Stats!$G$21="",Norm_Stats!$G$21=Norm_Stats!$F$21),"",MAX(0,MIN(100,100*(MIN(MAX(City_Inputs!$AF93,Norm_Stats!$F$21),Norm_Stats!$G$21)-Norm_Stats!$F$21)/(Norm_Stats!$G$21-Norm_Stats!$F$21))))</f>
        <v/>
      </c>
      <c r="BB93" s="14">
        <f>IF(BA93="","",1)</f>
        <v/>
      </c>
      <c r="BC93" s="11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(IF(OR(City_Inputs!$AG93="",Norm_Stats!$F$22="",Norm_Stats!$G$22="",Norm_Stats!$G$22=Norm_Stats!$F$22),"",MAX(0,MIN(100,100*(MIN(MAX(City_Inputs!$AG93,Norm_Stats!$F$22),Norm_Stats!$G$22)-Norm_Stats!$F$22)/(Norm_Stats!$G$22-Norm_Stats!$F$22)))))*0.5)+IF((IF(OR(City_Inputs!$AJ93="",Norm_Stats!$F$23="",Norm_Stats!$G$23="",Norm_Stats!$G$23=Norm_Stats!$F$23),"",MAX(0,MIN(100,100*(MIN(MAX(City_Inputs!$AJ93,Norm_Stats!$F$23),Norm_Stats!$G$23)-Norm_Stats!$F$23)/(Norm_Stats!$G$23-Norm_Stats!$F$23)))))="",0,(IF(OR(City_Inputs!$AJ93="",Norm_Stats!$F$23="",Norm_Stats!$G$23="",Norm_Stats!$G$23=Norm_Stats!$F$23),"",MAX(0,MIN(100,100*(MIN(MAX(City_Inputs!$AJ93,Norm_Stats!$F$23),Norm_Stats!$G$23)-Norm_Stats!$F$23)/(Norm_Stats!$G$23-Norm_Stats!$F$23)))))*0.3)+IF((IF(OR(City_Inputs!$AK93="",Norm_Stats!$F$24="",Norm_Stats!$G$24="",Norm_Stats!$G$24=Norm_Stats!$F$24),"",MAX(0,MIN(100,100*(MIN(MAX(City_Inputs!$AK93,Norm_Stats!$F$24),Norm_Stats!$G$24)-Norm_Stats!$F$24)/(Norm_Stats!$G$24-Norm_Stats!$F$24)))))="",0,(IF(OR(City_Inputs!$AK93="",Norm_Stats!$F$24="",Norm_Stats!$G$24="",Norm_Stats!$G$24=Norm_Stats!$F$24),"",MAX(0,MIN(100,100*(MIN(MAX(City_Inputs!$AK93,Norm_Stats!$F$24),Norm_Stats!$G$24)-Norm_Stats!$F$24)/(Norm_Stats!$G$24-Norm_Stats!$F$24)))))*0.2))/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D93" s="14">
        <f>IF(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=0,"",(IF((IF(OR(City_Inputs!$AG93="",Norm_Stats!$F$22="",Norm_Stats!$G$22="",Norm_Stats!$G$22=Norm_Stats!$F$22),"",MAX(0,MIN(100,100*(MIN(MAX(City_Inputs!$AG93,Norm_Stats!$F$22),Norm_Stats!$G$22)-Norm_Stats!$F$22)/(Norm_Stats!$G$22-Norm_Stats!$F$22)))))="",0,0.5)+IF((IF(OR(City_Inputs!$AJ93="",Norm_Stats!$F$23="",Norm_Stats!$G$23="",Norm_Stats!$G$23=Norm_Stats!$F$23),"",MAX(0,MIN(100,100*(MIN(MAX(City_Inputs!$AJ93,Norm_Stats!$F$23),Norm_Stats!$G$23)-Norm_Stats!$F$23)/(Norm_Stats!$G$23-Norm_Stats!$F$23)))))="",0,0.3)+IF((IF(OR(City_Inputs!$AK93="",Norm_Stats!$F$24="",Norm_Stats!$G$24="",Norm_Stats!$G$24=Norm_Stats!$F$24),"",MAX(0,MIN(100,100*(MIN(MAX(City_Inputs!$AK93,Norm_Stats!$F$24),Norm_Stats!$G$24)-Norm_Stats!$F$24)/(Norm_Stats!$G$24-Norm_Stats!$F$24)))))="",0,0.2)))</f>
        <v/>
      </c>
      <c r="BE93" s="11">
        <f>IF(OR(City_Inputs!$AH93="",Norm_Stats!$F$25="",Norm_Stats!$G$25="",Norm_Stats!$G$25=Norm_Stats!$F$25),"",MAX(0,MIN(100,100*(Norm_Stats!$G$25-MIN(MAX(City_Inputs!$AH93,Norm_Stats!$F$25),Norm_Stats!$G$25))/(Norm_Stats!$G$25-Norm_Stats!$F$25))))</f>
        <v/>
      </c>
      <c r="BF93" s="14">
        <f>IF(BE93="","",1)</f>
        <v/>
      </c>
      <c r="BG93" s="15">
        <f>IF((IF(AY93="",0,6)+IF(BA93="",0,5)+IF(BC93="",0,5)+IF(BE93="",0,4))=0,"",(IF(AY93="",0,AY93*6)+IF(BA93="",0,BA93*5)+IF(BC93="",0,BC93*5)+IF(BE93="",0,BE93*4))/(IF(AY93="",0,6)+IF(BA93="",0,5)+IF(BC93="",0,5)+IF(BE93="",0,4)))</f>
        <v/>
      </c>
      <c r="BH93" s="14">
        <f>IF((IF(AZ93="",0,6)+IF(BB93="",0,5)+IF(BD93="",0,5)+IF(BF93="",0,4))=0,"",(IF(AZ93="",0,AZ93*6)+IF(BB93="",0,BB93*5)+IF(BD93="",0,BD93*5)+IF(BF93="",0,BF93*4))/20)</f>
        <v/>
      </c>
      <c r="BI93" s="14">
        <f>IF(AND(R93="",AF93="",AN93="",AX93="",BH93=""),"",((R93*25)+(AF93*22)+(AN93*18)+(AX93*15)+(BH93*20))/100)</f>
        <v/>
      </c>
      <c r="BJ93" s="11">
        <f>IF(BI93="","",IF(BI93&gt;=0.75,"A",IF(BI93&gt;=0.5,"B",IF(BI93&gt;=0.35,"C","Watchlist"))))</f>
        <v/>
      </c>
      <c r="BK93" s="11">
        <f>IF(OR(BI93="",BI93&lt;0.5,R93="",R93&lt;0.35,AF93="",AF93&lt;0.35,AN93="",AN93&lt;0.35,AX93="",AX93&lt;0.35,BH93="",BH93&lt;0.35),"Watchlist","Ranked")</f>
        <v/>
      </c>
      <c r="BL93" s="15">
        <f>IF(AND(Q93="",AE93="",AM93="",AW93="",BG93=""),"",(IF(Q93="",0,Q93*25)+IF(AE93="",0,AE93*22)+IF(AM93="",0,AM93*18)+IF(AW93="",0,AW93*15)+IF(BG93="",0,BG93*20))/(IF(Q93="",0,25)+IF(AE93="",0,22)+IF(AM93="",0,18)+IF(AW93="",0,15)+IF(BG93="",0,20)))</f>
        <v/>
      </c>
      <c r="BM93" s="11">
        <f>IF(BK93="Ranked",1+COUNTIFS($BK$2:$BK$158,"Ranked",$BL$2:$BL$158,"&gt;"&amp;BL93),"")</f>
        <v/>
      </c>
      <c r="BN93" s="11">
        <f>City_Inputs!$AI93</f>
        <v/>
      </c>
    </row>
    <row r="94">
      <c r="A94" t="inlineStr">
        <is>
          <t>rw-kigali</t>
        </is>
      </c>
      <c r="B94" t="inlineStr">
        <is>
          <t>Kigali</t>
        </is>
      </c>
      <c r="C94" t="inlineStr">
        <is>
          <t>Rwanda</t>
        </is>
      </c>
      <c r="D94" t="inlineStr">
        <is>
          <t>Africa</t>
        </is>
      </c>
      <c r="E94" t="inlineStr">
        <is>
          <t>locked</t>
        </is>
      </c>
      <c r="F94" t="inlineStr">
        <is>
          <t>primary</t>
        </is>
      </c>
      <c r="G94" s="11">
        <f>IF(OR(City_Inputs!$M94="",Norm_Stats!$F$2="",Norm_Stats!$G$2="",Norm_Stats!$G$2=Norm_Stats!$F$2),"",MAX(0,MIN(100,100*(MIN(MAX(City_Inputs!$M94,Norm_Stats!$F$2),Norm_Stats!$G$2)-Norm_Stats!$F$2)/(Norm_Stats!$G$2-Norm_Stats!$F$2))))</f>
        <v/>
      </c>
      <c r="H94" s="14">
        <f>IF(G94="","",1)</f>
        <v/>
      </c>
      <c r="I94" s="11">
        <f>IF(OR(City_Inputs!$N94="",Norm_Stats!$F$3="",Norm_Stats!$G$3="",Norm_Stats!$G$3=Norm_Stats!$F$3),"",MAX(0,MIN(100,100*(Norm_Stats!$G$3-MIN(MAX(City_Inputs!$N94,Norm_Stats!$F$3),Norm_Stats!$G$3))/(Norm_Stats!$G$3-Norm_Stats!$F$3))))</f>
        <v/>
      </c>
      <c r="J94" s="14">
        <f>IF(I94="","",1)</f>
        <v/>
      </c>
      <c r="K94" s="11">
        <f>IF(OR(City_Inputs!$P94="",Norm_Stats!$F$4="",Norm_Stats!$G$4="",Norm_Stats!$G$4=Norm_Stats!$F$4),"",MAX(0,MIN(100,100*(Norm_Stats!$G$4-MIN(MAX(City_Inputs!$P94,Norm_Stats!$F$4),Norm_Stats!$G$4))/(Norm_Stats!$G$4-Norm_Stats!$F$4))))</f>
        <v/>
      </c>
      <c r="L94" s="14">
        <f>IF(K94="","",1)</f>
        <v/>
      </c>
      <c r="M94" s="11">
        <f>IF(OR(City_Inputs!$Q94="",Norm_Stats!$F$5="",Norm_Stats!$G$5="",Norm_Stats!$G$5=Norm_Stats!$F$5),"",MAX(0,MIN(100,100*(Norm_Stats!$G$5-MIN(MAX(City_Inputs!$Q94,Norm_Stats!$F$5),Norm_Stats!$G$5))/(Norm_Stats!$G$5-Norm_Stats!$F$5))))</f>
        <v/>
      </c>
      <c r="N94" s="14">
        <f>IF(M94="","",1)</f>
        <v/>
      </c>
      <c r="O94" s="11">
        <f>IF(OR(City_Inputs!$R94="",Norm_Stats!$F$6="",Norm_Stats!$G$6="",Norm_Stats!$G$6=Norm_Stats!$F$6),"",MAX(0,MIN(100,100*(Norm_Stats!$G$6-MIN(MAX(City_Inputs!$R94,Norm_Stats!$F$6),Norm_Stats!$G$6))/(Norm_Stats!$G$6-Norm_Stats!$F$6))))</f>
        <v/>
      </c>
      <c r="P94" s="14">
        <f>IF(O94="","",1)</f>
        <v/>
      </c>
      <c r="Q94" s="15">
        <f>IF((IF(G94="",0,9)+IF(I94="",0,5)+IF(K94="",0,4)+IF(M94="",0,4)+IF(O94="",0,5))=0,"",(IF(G94="",0,G94*9)+IF(I94="",0,I94*5)+IF(K94="",0,K94*4)+IF(M94="",0,M94*4)+IF(O94="",0,O94*5))/(IF(G94="",0,9)+IF(I94="",0,5)+IF(K94="",0,4)+IF(M94="",0,4)+IF(O94="",0,5)))</f>
        <v/>
      </c>
      <c r="R94" s="14">
        <f>IF((IF(H94="",0,9)+IF(J94="",0,5)+IF(L94="",0,4)+IF(N94="",0,4)+IF(P94="",0,5))=0,"",(IF(H94="",0,H94*9)+IF(J94="",0,J94*5)+IF(L94="",0,L94*4)+IF(N94="",0,N94*4)+IF(P94="",0,P94*5))/27)</f>
        <v/>
      </c>
      <c r="S94" s="11">
        <f>IF(OR(City_Inputs!$S94="",Norm_Stats!$F$7="",Norm_Stats!$G$7="",Norm_Stats!$G$7=Norm_Stats!$F$7),"",MAX(0,MIN(100,100*(Norm_Stats!$G$7-MIN(MAX(City_Inputs!$S94,Norm_Stats!$F$7),Norm_Stats!$G$7))/(Norm_Stats!$G$7-Norm_Stats!$F$7))))</f>
        <v/>
      </c>
      <c r="T94" s="14">
        <f>IF(S94="","",1)</f>
        <v/>
      </c>
      <c r="U94" s="11">
        <f>IF(OR(City_Inputs!$T94="",Norm_Stats!$F$8="",Norm_Stats!$G$8="",Norm_Stats!$G$8=Norm_Stats!$F$8),"",MAX(0,MIN(100,100*(MIN(MAX(City_Inputs!$T94,Norm_Stats!$F$8),Norm_Stats!$G$8)-Norm_Stats!$F$8)/(Norm_Stats!$G$8-Norm_Stats!$F$8))))</f>
        <v/>
      </c>
      <c r="V94" s="14">
        <f>IF(U94="","",1)</f>
        <v/>
      </c>
      <c r="W94" s="11">
        <f>IF(OR(City_Inputs!$U94="",Norm_Stats!$F$9="",Norm_Stats!$G$9="",Norm_Stats!$G$9=Norm_Stats!$F$9),"",MAX(0,MIN(100,100*(Norm_Stats!$G$9-MIN(MAX(City_Inputs!$U94,Norm_Stats!$F$9),Norm_Stats!$G$9))/(Norm_Stats!$G$9-Norm_Stats!$F$9))))</f>
        <v/>
      </c>
      <c r="X94" s="14">
        <f>IF(W94="","",1)</f>
        <v/>
      </c>
      <c r="Y94" s="11">
        <f>IF(OR(City_Inputs!$V94="",Norm_Stats!$F$10="",Norm_Stats!$G$10="",Norm_Stats!$G$10=Norm_Stats!$F$10),"",MAX(0,MIN(100,100*(MIN(MAX(City_Inputs!$V94,Norm_Stats!$F$10),Norm_Stats!$G$10)-Norm_Stats!$F$10)/(Norm_Stats!$G$10-Norm_Stats!$F$10))))</f>
        <v/>
      </c>
      <c r="Z94" s="14">
        <f>IF(Y94="","",1)</f>
        <v/>
      </c>
      <c r="AA94" s="11">
        <f>IF(OR(City_Inputs!$W94="",Norm_Stats!$F$11="",Norm_Stats!$G$11="",Norm_Stats!$G$11=Norm_Stats!$F$11),"",MAX(0,MIN(100,100*(MIN(MAX(City_Inputs!$W94,Norm_Stats!$F$11),Norm_Stats!$G$11)-Norm_Stats!$F$11)/(Norm_Stats!$G$11-Norm_Stats!$F$11))))</f>
        <v/>
      </c>
      <c r="AB94" s="14">
        <f>IF(AA94="","",1)</f>
        <v/>
      </c>
      <c r="AC94" s="11">
        <f>IF(OR(City_Inputs!$X94="",Norm_Stats!$F$12="",Norm_Stats!$G$12="",Norm_Stats!$G$12=Norm_Stats!$F$12),"",MAX(0,MIN(100,100*(MIN(MAX(City_Inputs!$X94,Norm_Stats!$F$12),Norm_Stats!$G$12)-Norm_Stats!$F$12)/(Norm_Stats!$G$12-Norm_Stats!$F$12))))</f>
        <v/>
      </c>
      <c r="AD94" s="11">
        <f>IF(AC94="","",1)</f>
        <v/>
      </c>
      <c r="AE94" s="15">
        <f>IF((IF(S94="",0,5)+IF(U94="",0,5)+IF(W94="",0,4)+IF(Y94="",0,4)+IF(AA94="",0,4)+IF(AC94="",0,5))=0,"",(IF(S94="",0,S94*5)+IF(U94="",0,U94*5)+IF(W94="",0,W94*4)+IF(Y94="",0,Y94*4)+IF(AA94="",0,AA94*4)+IF(AC94="",0,AC94*5))/(IF(S94="",0,5)+IF(U94="",0,5)+IF(W94="",0,4)+IF(Y94="",0,4)+IF(AA94="",0,4)+IF(AC94="",0,5)))</f>
        <v/>
      </c>
      <c r="AF94" s="14">
        <f>IF((IF(T94="",0,5)+IF(V94="",0,5)+IF(X94="",0,4)+IF(Z94="",0,4)+IF(AB94="",0,4)+IF(AD94="",0,5))=0,"",(IF(T94="",0,T94*5)+IF(V94="",0,V94*5)+IF(X94="",0,X94*4)+IF(Z94="",0,Z94*4)+IF(AB94="",0,AB94*4)+IF(AD94="",0,AD94*5))/27)</f>
        <v/>
      </c>
      <c r="AG94" s="11">
        <f>IF(OR(City_Inputs!$Y94="",Norm_Stats!$F$13="",Norm_Stats!$G$13="",Norm_Stats!$G$13=Norm_Stats!$F$13),"",MAX(0,MIN(100,100*(MIN(MAX(City_Inputs!$Y94,Norm_Stats!$F$13),Norm_Stats!$G$13)-Norm_Stats!$F$13)/(Norm_Stats!$G$13-Norm_Stats!$F$13))))</f>
        <v/>
      </c>
      <c r="AH94" s="14">
        <f>IF(AG94="","",1)</f>
        <v/>
      </c>
      <c r="AI94" s="11">
        <f>IF(OR(City_Inputs!$Z94="",Norm_Stats!$F$14="",Norm_Stats!$G$14="",Norm_Stats!$G$14=Norm_Stats!$F$14),"",MAX(0,MIN(100,100*(MIN(MAX(City_Inputs!$Z94,Norm_Stats!$F$14),Norm_Stats!$G$14)-Norm_Stats!$F$14)/(Norm_Stats!$G$14-Norm_Stats!$F$14))))</f>
        <v/>
      </c>
      <c r="AJ94" s="14">
        <f>IF(AI94="","",1)</f>
        <v/>
      </c>
      <c r="AK94" s="11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(IF(OR(City_Inputs!$AA94="",Norm_Stats!$F$15="",Norm_Stats!$G$15="",Norm_Stats!$G$15=Norm_Stats!$F$15),"",MAX(0,MIN(100,100*(MIN(MAX(City_Inputs!$AA94,Norm_Stats!$F$15),Norm_Stats!$G$15)-Norm_Stats!$F$15)/(Norm_Stats!$G$15-Norm_Stats!$F$15)))))*0.7)+IF((IF(OR(City_Inputs!$AL94="",Norm_Stats!$F$16="",Norm_Stats!$G$16="",Norm_Stats!$G$16=Norm_Stats!$F$16),"",MAX(0,MIN(100,100*(Norm_Stats!$G$16-MIN(MAX(City_Inputs!$AL94,Norm_Stats!$F$16),Norm_Stats!$G$16))/(Norm_Stats!$G$16-Norm_Stats!$F$16)))))="",0,(IF(OR(City_Inputs!$AL94="",Norm_Stats!$F$16="",Norm_Stats!$G$16="",Norm_Stats!$G$16=Norm_Stats!$F$16),"",MAX(0,MIN(100,100*(Norm_Stats!$G$16-MIN(MAX(City_Inputs!$AL94,Norm_Stats!$F$16),Norm_Stats!$G$16))/(Norm_Stats!$G$16-Norm_Stats!$F$16)))))*0.3))/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L94" s="14">
        <f>IF(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=0,"",(IF((IF(OR(City_Inputs!$AA94="",Norm_Stats!$F$15="",Norm_Stats!$G$15="",Norm_Stats!$G$15=Norm_Stats!$F$15),"",MAX(0,MIN(100,100*(MIN(MAX(City_Inputs!$AA94,Norm_Stats!$F$15),Norm_Stats!$G$15)-Norm_Stats!$F$15)/(Norm_Stats!$G$15-Norm_Stats!$F$15)))))="",0,0.7)+IF((IF(OR(City_Inputs!$AL94="",Norm_Stats!$F$16="",Norm_Stats!$G$16="",Norm_Stats!$G$16=Norm_Stats!$F$16),"",MAX(0,MIN(100,100*(Norm_Stats!$G$16-MIN(MAX(City_Inputs!$AL94,Norm_Stats!$F$16),Norm_Stats!$G$16))/(Norm_Stats!$G$16-Norm_Stats!$F$16)))))="",0,0.3)))</f>
        <v/>
      </c>
      <c r="AM94" s="15">
        <f>IF((IF(AG94="",0,8)+IF(AI94="",0,6)+IF(AK94="",0,4))=0,"",(IF(AG94="",0,AG94*8)+IF(AI94="",0,AI94*6)+IF(AK94="",0,AK94*4))/(IF(AG94="",0,8)+IF(AI94="",0,6)+IF(AK94="",0,4)))</f>
        <v/>
      </c>
      <c r="AN94" s="14">
        <f>IF((IF(AH94="",0,8)+IF(AJ94="",0,6)+IF(AL94="",0,4))=0,"",(IF(AH94="",0,AH94*8)+IF(AJ94="",0,AJ94*6)+IF(AL94="",0,AL94*4))/18)</f>
        <v/>
      </c>
      <c r="AO94" s="11">
        <f>IF(OR(City_Inputs!$AB94="",Norm_Stats!$F$17="",Norm_Stats!$G$17="",Norm_Stats!$G$17=Norm_Stats!$F$17),"",MAX(0,MIN(100,100*(MIN(MAX(City_Inputs!$AB94,Norm_Stats!$F$17),Norm_Stats!$G$17)-Norm_Stats!$F$17)/(Norm_Stats!$G$17-Norm_Stats!$F$17))))</f>
        <v/>
      </c>
      <c r="AP94" s="14">
        <f>IF(AO94="","",1)</f>
        <v/>
      </c>
      <c r="AQ94" s="11">
        <f>IF(OR(City_Inputs!$AC94="",Norm_Stats!$F$18="",Norm_Stats!$G$18="",Norm_Stats!$G$18=Norm_Stats!$F$18),"",MAX(0,MIN(100,100*(MIN(MAX(City_Inputs!$AC94,Norm_Stats!$F$18),Norm_Stats!$G$18)-Norm_Stats!$F$18)/(Norm_Stats!$G$18-Norm_Stats!$F$18))))</f>
        <v/>
      </c>
      <c r="AR94" s="14">
        <f>IF(AQ94="","",1)</f>
        <v/>
      </c>
      <c r="AS94" s="11">
        <f>IF(OR(City_Inputs!$AD94="",Norm_Stats!$F$19="",Norm_Stats!$G$19="",Norm_Stats!$G$19=Norm_Stats!$F$19),"",MAX(0,MIN(100,100*(MIN(MAX(City_Inputs!$AD94,Norm_Stats!$F$19),Norm_Stats!$G$19)-Norm_Stats!$F$19)/(Norm_Stats!$G$19-Norm_Stats!$F$19))))</f>
        <v/>
      </c>
      <c r="AT94" s="14">
        <f>IF(AS94="","",1)</f>
        <v/>
      </c>
      <c r="AU94" s="11">
        <f>IF(OR(City_Inputs!$BJ94="",Norm_Stats!$F$26="",Norm_Stats!$G$26="",Norm_Stats!$G$26=Norm_Stats!$F$26),"",MAX(0,MIN(100,100*(MIN(MAX(City_Inputs!$BJ94,Norm_Stats!$F$26),Norm_Stats!$G$26)-Norm_Stats!$F$26)/(Norm_Stats!$G$26-Norm_Stats!$F$26))))</f>
        <v/>
      </c>
      <c r="AV94" s="11">
        <f>IF(AU94="","",1)</f>
        <v/>
      </c>
      <c r="AW94" s="15">
        <f>IF((IF(AO94="",0,5)+IF(AQ94="",0,5)+IF(AS94="",0,5)+IF(AU94="",0,4))=0,"",(IF(AO94="",0,AO94*5)+IF(AQ94="",0,AQ94*5)+IF(AS94="",0,AS94*5)+IF(AU94="",0,AU94*4))/(IF(AO94="",0,5)+IF(AQ94="",0,5)+IF(AS94="",0,5)+IF(AU94="",0,4)))</f>
        <v/>
      </c>
      <c r="AX94" s="14">
        <f>IF((IF(AP94="",0,5)+IF(AR94="",0,5)+IF(AT94="",0,5)+IF(AV94="",0,4))=0,"",(IF(AP94="",0,AP94*5)+IF(AR94="",0,AR94*5)+IF(AT94="",0,AT94*5)+IF(AV94="",0,AV94*4))/19)</f>
        <v/>
      </c>
      <c r="AY94" s="11">
        <f>IF(OR(City_Inputs!$AE94="",Norm_Stats!$F$20="",Norm_Stats!$G$20="",Norm_Stats!$G$20=Norm_Stats!$F$20),"",MAX(0,MIN(100,100*(MIN(MAX(City_Inputs!$AE94,Norm_Stats!$F$20),Norm_Stats!$G$20)-Norm_Stats!$F$20)/(Norm_Stats!$G$20-Norm_Stats!$F$20))))</f>
        <v/>
      </c>
      <c r="AZ94" s="14">
        <f>IF(AY94="","",1)</f>
        <v/>
      </c>
      <c r="BA94" s="11">
        <f>IF(OR(City_Inputs!$AF94="",Norm_Stats!$F$21="",Norm_Stats!$G$21="",Norm_Stats!$G$21=Norm_Stats!$F$21),"",MAX(0,MIN(100,100*(MIN(MAX(City_Inputs!$AF94,Norm_Stats!$F$21),Norm_Stats!$G$21)-Norm_Stats!$F$21)/(Norm_Stats!$G$21-Norm_Stats!$F$21))))</f>
        <v/>
      </c>
      <c r="BB94" s="14">
        <f>IF(BA94="","",1)</f>
        <v/>
      </c>
      <c r="BC94" s="11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(IF(OR(City_Inputs!$AG94="",Norm_Stats!$F$22="",Norm_Stats!$G$22="",Norm_Stats!$G$22=Norm_Stats!$F$22),"",MAX(0,MIN(100,100*(MIN(MAX(City_Inputs!$AG94,Norm_Stats!$F$22),Norm_Stats!$G$22)-Norm_Stats!$F$22)/(Norm_Stats!$G$22-Norm_Stats!$F$22)))))*0.5)+IF((IF(OR(City_Inputs!$AJ94="",Norm_Stats!$F$23="",Norm_Stats!$G$23="",Norm_Stats!$G$23=Norm_Stats!$F$23),"",MAX(0,MIN(100,100*(MIN(MAX(City_Inputs!$AJ94,Norm_Stats!$F$23),Norm_Stats!$G$23)-Norm_Stats!$F$23)/(Norm_Stats!$G$23-Norm_Stats!$F$23)))))="",0,(IF(OR(City_Inputs!$AJ94="",Norm_Stats!$F$23="",Norm_Stats!$G$23="",Norm_Stats!$G$23=Norm_Stats!$F$23),"",MAX(0,MIN(100,100*(MIN(MAX(City_Inputs!$AJ94,Norm_Stats!$F$23),Norm_Stats!$G$23)-Norm_Stats!$F$23)/(Norm_Stats!$G$23-Norm_Stats!$F$23)))))*0.3)+IF((IF(OR(City_Inputs!$AK94="",Norm_Stats!$F$24="",Norm_Stats!$G$24="",Norm_Stats!$G$24=Norm_Stats!$F$24),"",MAX(0,MIN(100,100*(MIN(MAX(City_Inputs!$AK94,Norm_Stats!$F$24),Norm_Stats!$G$24)-Norm_Stats!$F$24)/(Norm_Stats!$G$24-Norm_Stats!$F$24)))))="",0,(IF(OR(City_Inputs!$AK94="",Norm_Stats!$F$24="",Norm_Stats!$G$24="",Norm_Stats!$G$24=Norm_Stats!$F$24),"",MAX(0,MIN(100,100*(MIN(MAX(City_Inputs!$AK94,Norm_Stats!$F$24),Norm_Stats!$G$24)-Norm_Stats!$F$24)/(Norm_Stats!$G$24-Norm_Stats!$F$24)))))*0.2))/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D94" s="14">
        <f>IF(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=0,"",(IF((IF(OR(City_Inputs!$AG94="",Norm_Stats!$F$22="",Norm_Stats!$G$22="",Norm_Stats!$G$22=Norm_Stats!$F$22),"",MAX(0,MIN(100,100*(MIN(MAX(City_Inputs!$AG94,Norm_Stats!$F$22),Norm_Stats!$G$22)-Norm_Stats!$F$22)/(Norm_Stats!$G$22-Norm_Stats!$F$22)))))="",0,0.5)+IF((IF(OR(City_Inputs!$AJ94="",Norm_Stats!$F$23="",Norm_Stats!$G$23="",Norm_Stats!$G$23=Norm_Stats!$F$23),"",MAX(0,MIN(100,100*(MIN(MAX(City_Inputs!$AJ94,Norm_Stats!$F$23),Norm_Stats!$G$23)-Norm_Stats!$F$23)/(Norm_Stats!$G$23-Norm_Stats!$F$23)))))="",0,0.3)+IF((IF(OR(City_Inputs!$AK94="",Norm_Stats!$F$24="",Norm_Stats!$G$24="",Norm_Stats!$G$24=Norm_Stats!$F$24),"",MAX(0,MIN(100,100*(MIN(MAX(City_Inputs!$AK94,Norm_Stats!$F$24),Norm_Stats!$G$24)-Norm_Stats!$F$24)/(Norm_Stats!$G$24-Norm_Stats!$F$24)))))="",0,0.2)))</f>
        <v/>
      </c>
      <c r="BE94" s="11">
        <f>IF(OR(City_Inputs!$AH94="",Norm_Stats!$F$25="",Norm_Stats!$G$25="",Norm_Stats!$G$25=Norm_Stats!$F$25),"",MAX(0,MIN(100,100*(Norm_Stats!$G$25-MIN(MAX(City_Inputs!$AH94,Norm_Stats!$F$25),Norm_Stats!$G$25))/(Norm_Stats!$G$25-Norm_Stats!$F$25))))</f>
        <v/>
      </c>
      <c r="BF94" s="14">
        <f>IF(BE94="","",1)</f>
        <v/>
      </c>
      <c r="BG94" s="15">
        <f>IF((IF(AY94="",0,6)+IF(BA94="",0,5)+IF(BC94="",0,5)+IF(BE94="",0,4))=0,"",(IF(AY94="",0,AY94*6)+IF(BA94="",0,BA94*5)+IF(BC94="",0,BC94*5)+IF(BE94="",0,BE94*4))/(IF(AY94="",0,6)+IF(BA94="",0,5)+IF(BC94="",0,5)+IF(BE94="",0,4)))</f>
        <v/>
      </c>
      <c r="BH94" s="14">
        <f>IF((IF(AZ94="",0,6)+IF(BB94="",0,5)+IF(BD94="",0,5)+IF(BF94="",0,4))=0,"",(IF(AZ94="",0,AZ94*6)+IF(BB94="",0,BB94*5)+IF(BD94="",0,BD94*5)+IF(BF94="",0,BF94*4))/20)</f>
        <v/>
      </c>
      <c r="BI94" s="14">
        <f>IF(AND(R94="",AF94="",AN94="",AX94="",BH94=""),"",((R94*25)+(AF94*22)+(AN94*18)+(AX94*15)+(BH94*20))/100)</f>
        <v/>
      </c>
      <c r="BJ94" s="11">
        <f>IF(BI94="","",IF(BI94&gt;=0.75,"A",IF(BI94&gt;=0.5,"B",IF(BI94&gt;=0.35,"C","Watchlist"))))</f>
        <v/>
      </c>
      <c r="BK94" s="11">
        <f>IF(OR(BI94="",BI94&lt;0.5,R94="",R94&lt;0.35,AF94="",AF94&lt;0.35,AN94="",AN94&lt;0.35,AX94="",AX94&lt;0.35,BH94="",BH94&lt;0.35),"Watchlist","Ranked")</f>
        <v/>
      </c>
      <c r="BL94" s="15">
        <f>IF(AND(Q94="",AE94="",AM94="",AW94="",BG94=""),"",(IF(Q94="",0,Q94*25)+IF(AE94="",0,AE94*22)+IF(AM94="",0,AM94*18)+IF(AW94="",0,AW94*15)+IF(BG94="",0,BG94*20))/(IF(Q94="",0,25)+IF(AE94="",0,22)+IF(AM94="",0,18)+IF(AW94="",0,15)+IF(BG94="",0,20)))</f>
        <v/>
      </c>
      <c r="BM94" s="11">
        <f>IF(BK94="Ranked",1+COUNTIFS($BK$2:$BK$158,"Ranked",$BL$2:$BL$158,"&gt;"&amp;BL94),"")</f>
        <v/>
      </c>
      <c r="BN94" s="11">
        <f>City_Inputs!$AI94</f>
        <v/>
      </c>
    </row>
    <row r="95">
      <c r="A95" t="inlineStr">
        <is>
          <t>ma-casablanca</t>
        </is>
      </c>
      <c r="B95" t="inlineStr">
        <is>
          <t>Casablanca</t>
        </is>
      </c>
      <c r="C95" t="inlineStr">
        <is>
          <t>Morocco</t>
        </is>
      </c>
      <c r="D95" t="inlineStr">
        <is>
          <t>Africa</t>
        </is>
      </c>
      <c r="E95" t="inlineStr">
        <is>
          <t>provisional</t>
        </is>
      </c>
      <c r="F95" t="inlineStr">
        <is>
          <t>primary</t>
        </is>
      </c>
      <c r="G95" s="11">
        <f>IF(OR(City_Inputs!$M95="",Norm_Stats!$F$2="",Norm_Stats!$G$2="",Norm_Stats!$G$2=Norm_Stats!$F$2),"",MAX(0,MIN(100,100*(MIN(MAX(City_Inputs!$M95,Norm_Stats!$F$2),Norm_Stats!$G$2)-Norm_Stats!$F$2)/(Norm_Stats!$G$2-Norm_Stats!$F$2))))</f>
        <v/>
      </c>
      <c r="H95" s="14">
        <f>IF(G95="","",1)</f>
        <v/>
      </c>
      <c r="I95" s="11">
        <f>IF(OR(City_Inputs!$N95="",Norm_Stats!$F$3="",Norm_Stats!$G$3="",Norm_Stats!$G$3=Norm_Stats!$F$3),"",MAX(0,MIN(100,100*(Norm_Stats!$G$3-MIN(MAX(City_Inputs!$N95,Norm_Stats!$F$3),Norm_Stats!$G$3))/(Norm_Stats!$G$3-Norm_Stats!$F$3))))</f>
        <v/>
      </c>
      <c r="J95" s="14">
        <f>IF(I95="","",1)</f>
        <v/>
      </c>
      <c r="K95" s="11">
        <f>IF(OR(City_Inputs!$P95="",Norm_Stats!$F$4="",Norm_Stats!$G$4="",Norm_Stats!$G$4=Norm_Stats!$F$4),"",MAX(0,MIN(100,100*(Norm_Stats!$G$4-MIN(MAX(City_Inputs!$P95,Norm_Stats!$F$4),Norm_Stats!$G$4))/(Norm_Stats!$G$4-Norm_Stats!$F$4))))</f>
        <v/>
      </c>
      <c r="L95" s="14">
        <f>IF(K95="","",1)</f>
        <v/>
      </c>
      <c r="M95" s="11">
        <f>IF(OR(City_Inputs!$Q95="",Norm_Stats!$F$5="",Norm_Stats!$G$5="",Norm_Stats!$G$5=Norm_Stats!$F$5),"",MAX(0,MIN(100,100*(Norm_Stats!$G$5-MIN(MAX(City_Inputs!$Q95,Norm_Stats!$F$5),Norm_Stats!$G$5))/(Norm_Stats!$G$5-Norm_Stats!$F$5))))</f>
        <v/>
      </c>
      <c r="N95" s="14">
        <f>IF(M95="","",1)</f>
        <v/>
      </c>
      <c r="O95" s="11">
        <f>IF(OR(City_Inputs!$R95="",Norm_Stats!$F$6="",Norm_Stats!$G$6="",Norm_Stats!$G$6=Norm_Stats!$F$6),"",MAX(0,MIN(100,100*(Norm_Stats!$G$6-MIN(MAX(City_Inputs!$R95,Norm_Stats!$F$6),Norm_Stats!$G$6))/(Norm_Stats!$G$6-Norm_Stats!$F$6))))</f>
        <v/>
      </c>
      <c r="P95" s="14">
        <f>IF(O95="","",1)</f>
        <v/>
      </c>
      <c r="Q95" s="15">
        <f>IF((IF(G95="",0,9)+IF(I95="",0,5)+IF(K95="",0,4)+IF(M95="",0,4)+IF(O95="",0,5))=0,"",(IF(G95="",0,G95*9)+IF(I95="",0,I95*5)+IF(K95="",0,K95*4)+IF(M95="",0,M95*4)+IF(O95="",0,O95*5))/(IF(G95="",0,9)+IF(I95="",0,5)+IF(K95="",0,4)+IF(M95="",0,4)+IF(O95="",0,5)))</f>
        <v/>
      </c>
      <c r="R95" s="14">
        <f>IF((IF(H95="",0,9)+IF(J95="",0,5)+IF(L95="",0,4)+IF(N95="",0,4)+IF(P95="",0,5))=0,"",(IF(H95="",0,H95*9)+IF(J95="",0,J95*5)+IF(L95="",0,L95*4)+IF(N95="",0,N95*4)+IF(P95="",0,P95*5))/27)</f>
        <v/>
      </c>
      <c r="S95" s="11">
        <f>IF(OR(City_Inputs!$S95="",Norm_Stats!$F$7="",Norm_Stats!$G$7="",Norm_Stats!$G$7=Norm_Stats!$F$7),"",MAX(0,MIN(100,100*(Norm_Stats!$G$7-MIN(MAX(City_Inputs!$S95,Norm_Stats!$F$7),Norm_Stats!$G$7))/(Norm_Stats!$G$7-Norm_Stats!$F$7))))</f>
        <v/>
      </c>
      <c r="T95" s="14">
        <f>IF(S95="","",1)</f>
        <v/>
      </c>
      <c r="U95" s="11">
        <f>IF(OR(City_Inputs!$T95="",Norm_Stats!$F$8="",Norm_Stats!$G$8="",Norm_Stats!$G$8=Norm_Stats!$F$8),"",MAX(0,MIN(100,100*(MIN(MAX(City_Inputs!$T95,Norm_Stats!$F$8),Norm_Stats!$G$8)-Norm_Stats!$F$8)/(Norm_Stats!$G$8-Norm_Stats!$F$8))))</f>
        <v/>
      </c>
      <c r="V95" s="14">
        <f>IF(U95="","",1)</f>
        <v/>
      </c>
      <c r="W95" s="11">
        <f>IF(OR(City_Inputs!$U95="",Norm_Stats!$F$9="",Norm_Stats!$G$9="",Norm_Stats!$G$9=Norm_Stats!$F$9),"",MAX(0,MIN(100,100*(Norm_Stats!$G$9-MIN(MAX(City_Inputs!$U95,Norm_Stats!$F$9),Norm_Stats!$G$9))/(Norm_Stats!$G$9-Norm_Stats!$F$9))))</f>
        <v/>
      </c>
      <c r="X95" s="14">
        <f>IF(W95="","",1)</f>
        <v/>
      </c>
      <c r="Y95" s="11">
        <f>IF(OR(City_Inputs!$V95="",Norm_Stats!$F$10="",Norm_Stats!$G$10="",Norm_Stats!$G$10=Norm_Stats!$F$10),"",MAX(0,MIN(100,100*(MIN(MAX(City_Inputs!$V95,Norm_Stats!$F$10),Norm_Stats!$G$10)-Norm_Stats!$F$10)/(Norm_Stats!$G$10-Norm_Stats!$F$10))))</f>
        <v/>
      </c>
      <c r="Z95" s="14">
        <f>IF(Y95="","",1)</f>
        <v/>
      </c>
      <c r="AA95" s="11">
        <f>IF(OR(City_Inputs!$W95="",Norm_Stats!$F$11="",Norm_Stats!$G$11="",Norm_Stats!$G$11=Norm_Stats!$F$11),"",MAX(0,MIN(100,100*(MIN(MAX(City_Inputs!$W95,Norm_Stats!$F$11),Norm_Stats!$G$11)-Norm_Stats!$F$11)/(Norm_Stats!$G$11-Norm_Stats!$F$11))))</f>
        <v/>
      </c>
      <c r="AB95" s="14">
        <f>IF(AA95="","",1)</f>
        <v/>
      </c>
      <c r="AC95" s="11">
        <f>IF(OR(City_Inputs!$X95="",Norm_Stats!$F$12="",Norm_Stats!$G$12="",Norm_Stats!$G$12=Norm_Stats!$F$12),"",MAX(0,MIN(100,100*(MIN(MAX(City_Inputs!$X95,Norm_Stats!$F$12),Norm_Stats!$G$12)-Norm_Stats!$F$12)/(Norm_Stats!$G$12-Norm_Stats!$F$12))))</f>
        <v/>
      </c>
      <c r="AD95" s="11">
        <f>IF(AC95="","",1)</f>
        <v/>
      </c>
      <c r="AE95" s="15">
        <f>IF((IF(S95="",0,5)+IF(U95="",0,5)+IF(W95="",0,4)+IF(Y95="",0,4)+IF(AA95="",0,4)+IF(AC95="",0,5))=0,"",(IF(S95="",0,S95*5)+IF(U95="",0,U95*5)+IF(W95="",0,W95*4)+IF(Y95="",0,Y95*4)+IF(AA95="",0,AA95*4)+IF(AC95="",0,AC95*5))/(IF(S95="",0,5)+IF(U95="",0,5)+IF(W95="",0,4)+IF(Y95="",0,4)+IF(AA95="",0,4)+IF(AC95="",0,5)))</f>
        <v/>
      </c>
      <c r="AF95" s="14">
        <f>IF((IF(T95="",0,5)+IF(V95="",0,5)+IF(X95="",0,4)+IF(Z95="",0,4)+IF(AB95="",0,4)+IF(AD95="",0,5))=0,"",(IF(T95="",0,T95*5)+IF(V95="",0,V95*5)+IF(X95="",0,X95*4)+IF(Z95="",0,Z95*4)+IF(AB95="",0,AB95*4)+IF(AD95="",0,AD95*5))/27)</f>
        <v/>
      </c>
      <c r="AG95" s="11">
        <f>IF(OR(City_Inputs!$Y95="",Norm_Stats!$F$13="",Norm_Stats!$G$13="",Norm_Stats!$G$13=Norm_Stats!$F$13),"",MAX(0,MIN(100,100*(MIN(MAX(City_Inputs!$Y95,Norm_Stats!$F$13),Norm_Stats!$G$13)-Norm_Stats!$F$13)/(Norm_Stats!$G$13-Norm_Stats!$F$13))))</f>
        <v/>
      </c>
      <c r="AH95" s="14">
        <f>IF(AG95="","",1)</f>
        <v/>
      </c>
      <c r="AI95" s="11">
        <f>IF(OR(City_Inputs!$Z95="",Norm_Stats!$F$14="",Norm_Stats!$G$14="",Norm_Stats!$G$14=Norm_Stats!$F$14),"",MAX(0,MIN(100,100*(MIN(MAX(City_Inputs!$Z95,Norm_Stats!$F$14),Norm_Stats!$G$14)-Norm_Stats!$F$14)/(Norm_Stats!$G$14-Norm_Stats!$F$14))))</f>
        <v/>
      </c>
      <c r="AJ95" s="14">
        <f>IF(AI95="","",1)</f>
        <v/>
      </c>
      <c r="AK95" s="11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(IF(OR(City_Inputs!$AA95="",Norm_Stats!$F$15="",Norm_Stats!$G$15="",Norm_Stats!$G$15=Norm_Stats!$F$15),"",MAX(0,MIN(100,100*(MIN(MAX(City_Inputs!$AA95,Norm_Stats!$F$15),Norm_Stats!$G$15)-Norm_Stats!$F$15)/(Norm_Stats!$G$15-Norm_Stats!$F$15)))))*0.7)+IF((IF(OR(City_Inputs!$AL95="",Norm_Stats!$F$16="",Norm_Stats!$G$16="",Norm_Stats!$G$16=Norm_Stats!$F$16),"",MAX(0,MIN(100,100*(Norm_Stats!$G$16-MIN(MAX(City_Inputs!$AL95,Norm_Stats!$F$16),Norm_Stats!$G$16))/(Norm_Stats!$G$16-Norm_Stats!$F$16)))))="",0,(IF(OR(City_Inputs!$AL95="",Norm_Stats!$F$16="",Norm_Stats!$G$16="",Norm_Stats!$G$16=Norm_Stats!$F$16),"",MAX(0,MIN(100,100*(Norm_Stats!$G$16-MIN(MAX(City_Inputs!$AL95,Norm_Stats!$F$16),Norm_Stats!$G$16))/(Norm_Stats!$G$16-Norm_Stats!$F$16)))))*0.3))/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L95" s="14">
        <f>IF(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=0,"",(IF((IF(OR(City_Inputs!$AA95="",Norm_Stats!$F$15="",Norm_Stats!$G$15="",Norm_Stats!$G$15=Norm_Stats!$F$15),"",MAX(0,MIN(100,100*(MIN(MAX(City_Inputs!$AA95,Norm_Stats!$F$15),Norm_Stats!$G$15)-Norm_Stats!$F$15)/(Norm_Stats!$G$15-Norm_Stats!$F$15)))))="",0,0.7)+IF((IF(OR(City_Inputs!$AL95="",Norm_Stats!$F$16="",Norm_Stats!$G$16="",Norm_Stats!$G$16=Norm_Stats!$F$16),"",MAX(0,MIN(100,100*(Norm_Stats!$G$16-MIN(MAX(City_Inputs!$AL95,Norm_Stats!$F$16),Norm_Stats!$G$16))/(Norm_Stats!$G$16-Norm_Stats!$F$16)))))="",0,0.3)))</f>
        <v/>
      </c>
      <c r="AM95" s="15">
        <f>IF((IF(AG95="",0,8)+IF(AI95="",0,6)+IF(AK95="",0,4))=0,"",(IF(AG95="",0,AG95*8)+IF(AI95="",0,AI95*6)+IF(AK95="",0,AK95*4))/(IF(AG95="",0,8)+IF(AI95="",0,6)+IF(AK95="",0,4)))</f>
        <v/>
      </c>
      <c r="AN95" s="14">
        <f>IF((IF(AH95="",0,8)+IF(AJ95="",0,6)+IF(AL95="",0,4))=0,"",(IF(AH95="",0,AH95*8)+IF(AJ95="",0,AJ95*6)+IF(AL95="",0,AL95*4))/18)</f>
        <v/>
      </c>
      <c r="AO95" s="11">
        <f>IF(OR(City_Inputs!$AB95="",Norm_Stats!$F$17="",Norm_Stats!$G$17="",Norm_Stats!$G$17=Norm_Stats!$F$17),"",MAX(0,MIN(100,100*(MIN(MAX(City_Inputs!$AB95,Norm_Stats!$F$17),Norm_Stats!$G$17)-Norm_Stats!$F$17)/(Norm_Stats!$G$17-Norm_Stats!$F$17))))</f>
        <v/>
      </c>
      <c r="AP95" s="14">
        <f>IF(AO95="","",1)</f>
        <v/>
      </c>
      <c r="AQ95" s="11">
        <f>IF(OR(City_Inputs!$AC95="",Norm_Stats!$F$18="",Norm_Stats!$G$18="",Norm_Stats!$G$18=Norm_Stats!$F$18),"",MAX(0,MIN(100,100*(MIN(MAX(City_Inputs!$AC95,Norm_Stats!$F$18),Norm_Stats!$G$18)-Norm_Stats!$F$18)/(Norm_Stats!$G$18-Norm_Stats!$F$18))))</f>
        <v/>
      </c>
      <c r="AR95" s="14">
        <f>IF(AQ95="","",1)</f>
        <v/>
      </c>
      <c r="AS95" s="11">
        <f>IF(OR(City_Inputs!$AD95="",Norm_Stats!$F$19="",Norm_Stats!$G$19="",Norm_Stats!$G$19=Norm_Stats!$F$19),"",MAX(0,MIN(100,100*(MIN(MAX(City_Inputs!$AD95,Norm_Stats!$F$19),Norm_Stats!$G$19)-Norm_Stats!$F$19)/(Norm_Stats!$G$19-Norm_Stats!$F$19))))</f>
        <v/>
      </c>
      <c r="AT95" s="14">
        <f>IF(AS95="","",1)</f>
        <v/>
      </c>
      <c r="AU95" s="11">
        <f>IF(OR(City_Inputs!$BJ95="",Norm_Stats!$F$26="",Norm_Stats!$G$26="",Norm_Stats!$G$26=Norm_Stats!$F$26),"",MAX(0,MIN(100,100*(MIN(MAX(City_Inputs!$BJ95,Norm_Stats!$F$26),Norm_Stats!$G$26)-Norm_Stats!$F$26)/(Norm_Stats!$G$26-Norm_Stats!$F$26))))</f>
        <v/>
      </c>
      <c r="AV95" s="11">
        <f>IF(AU95="","",1)</f>
        <v/>
      </c>
      <c r="AW95" s="15">
        <f>IF((IF(AO95="",0,5)+IF(AQ95="",0,5)+IF(AS95="",0,5)+IF(AU95="",0,4))=0,"",(IF(AO95="",0,AO95*5)+IF(AQ95="",0,AQ95*5)+IF(AS95="",0,AS95*5)+IF(AU95="",0,AU95*4))/(IF(AO95="",0,5)+IF(AQ95="",0,5)+IF(AS95="",0,5)+IF(AU95="",0,4)))</f>
        <v/>
      </c>
      <c r="AX95" s="14">
        <f>IF((IF(AP95="",0,5)+IF(AR95="",0,5)+IF(AT95="",0,5)+IF(AV95="",0,4))=0,"",(IF(AP95="",0,AP95*5)+IF(AR95="",0,AR95*5)+IF(AT95="",0,AT95*5)+IF(AV95="",0,AV95*4))/19)</f>
        <v/>
      </c>
      <c r="AY95" s="11">
        <f>IF(OR(City_Inputs!$AE95="",Norm_Stats!$F$20="",Norm_Stats!$G$20="",Norm_Stats!$G$20=Norm_Stats!$F$20),"",MAX(0,MIN(100,100*(MIN(MAX(City_Inputs!$AE95,Norm_Stats!$F$20),Norm_Stats!$G$20)-Norm_Stats!$F$20)/(Norm_Stats!$G$20-Norm_Stats!$F$20))))</f>
        <v/>
      </c>
      <c r="AZ95" s="14">
        <f>IF(AY95="","",1)</f>
        <v/>
      </c>
      <c r="BA95" s="11">
        <f>IF(OR(City_Inputs!$AF95="",Norm_Stats!$F$21="",Norm_Stats!$G$21="",Norm_Stats!$G$21=Norm_Stats!$F$21),"",MAX(0,MIN(100,100*(MIN(MAX(City_Inputs!$AF95,Norm_Stats!$F$21),Norm_Stats!$G$21)-Norm_Stats!$F$21)/(Norm_Stats!$G$21-Norm_Stats!$F$21))))</f>
        <v/>
      </c>
      <c r="BB95" s="14">
        <f>IF(BA95="","",1)</f>
        <v/>
      </c>
      <c r="BC95" s="11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(IF(OR(City_Inputs!$AG95="",Norm_Stats!$F$22="",Norm_Stats!$G$22="",Norm_Stats!$G$22=Norm_Stats!$F$22),"",MAX(0,MIN(100,100*(MIN(MAX(City_Inputs!$AG95,Norm_Stats!$F$22),Norm_Stats!$G$22)-Norm_Stats!$F$22)/(Norm_Stats!$G$22-Norm_Stats!$F$22)))))*0.5)+IF((IF(OR(City_Inputs!$AJ95="",Norm_Stats!$F$23="",Norm_Stats!$G$23="",Norm_Stats!$G$23=Norm_Stats!$F$23),"",MAX(0,MIN(100,100*(MIN(MAX(City_Inputs!$AJ95,Norm_Stats!$F$23),Norm_Stats!$G$23)-Norm_Stats!$F$23)/(Norm_Stats!$G$23-Norm_Stats!$F$23)))))="",0,(IF(OR(City_Inputs!$AJ95="",Norm_Stats!$F$23="",Norm_Stats!$G$23="",Norm_Stats!$G$23=Norm_Stats!$F$23),"",MAX(0,MIN(100,100*(MIN(MAX(City_Inputs!$AJ95,Norm_Stats!$F$23),Norm_Stats!$G$23)-Norm_Stats!$F$23)/(Norm_Stats!$G$23-Norm_Stats!$F$23)))))*0.3)+IF((IF(OR(City_Inputs!$AK95="",Norm_Stats!$F$24="",Norm_Stats!$G$24="",Norm_Stats!$G$24=Norm_Stats!$F$24),"",MAX(0,MIN(100,100*(MIN(MAX(City_Inputs!$AK95,Norm_Stats!$F$24),Norm_Stats!$G$24)-Norm_Stats!$F$24)/(Norm_Stats!$G$24-Norm_Stats!$F$24)))))="",0,(IF(OR(City_Inputs!$AK95="",Norm_Stats!$F$24="",Norm_Stats!$G$24="",Norm_Stats!$G$24=Norm_Stats!$F$24),"",MAX(0,MIN(100,100*(MIN(MAX(City_Inputs!$AK95,Norm_Stats!$F$24),Norm_Stats!$G$24)-Norm_Stats!$F$24)/(Norm_Stats!$G$24-Norm_Stats!$F$24)))))*0.2))/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D95" s="14">
        <f>IF(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=0,"",(IF((IF(OR(City_Inputs!$AG95="",Norm_Stats!$F$22="",Norm_Stats!$G$22="",Norm_Stats!$G$22=Norm_Stats!$F$22),"",MAX(0,MIN(100,100*(MIN(MAX(City_Inputs!$AG95,Norm_Stats!$F$22),Norm_Stats!$G$22)-Norm_Stats!$F$22)/(Norm_Stats!$G$22-Norm_Stats!$F$22)))))="",0,0.5)+IF((IF(OR(City_Inputs!$AJ95="",Norm_Stats!$F$23="",Norm_Stats!$G$23="",Norm_Stats!$G$23=Norm_Stats!$F$23),"",MAX(0,MIN(100,100*(MIN(MAX(City_Inputs!$AJ95,Norm_Stats!$F$23),Norm_Stats!$G$23)-Norm_Stats!$F$23)/(Norm_Stats!$G$23-Norm_Stats!$F$23)))))="",0,0.3)+IF((IF(OR(City_Inputs!$AK95="",Norm_Stats!$F$24="",Norm_Stats!$G$24="",Norm_Stats!$G$24=Norm_Stats!$F$24),"",MAX(0,MIN(100,100*(MIN(MAX(City_Inputs!$AK95,Norm_Stats!$F$24),Norm_Stats!$G$24)-Norm_Stats!$F$24)/(Norm_Stats!$G$24-Norm_Stats!$F$24)))))="",0,0.2)))</f>
        <v/>
      </c>
      <c r="BE95" s="11">
        <f>IF(OR(City_Inputs!$AH95="",Norm_Stats!$F$25="",Norm_Stats!$G$25="",Norm_Stats!$G$25=Norm_Stats!$F$25),"",MAX(0,MIN(100,100*(Norm_Stats!$G$25-MIN(MAX(City_Inputs!$AH95,Norm_Stats!$F$25),Norm_Stats!$G$25))/(Norm_Stats!$G$25-Norm_Stats!$F$25))))</f>
        <v/>
      </c>
      <c r="BF95" s="14">
        <f>IF(BE95="","",1)</f>
        <v/>
      </c>
      <c r="BG95" s="15">
        <f>IF((IF(AY95="",0,6)+IF(BA95="",0,5)+IF(BC95="",0,5)+IF(BE95="",0,4))=0,"",(IF(AY95="",0,AY95*6)+IF(BA95="",0,BA95*5)+IF(BC95="",0,BC95*5)+IF(BE95="",0,BE95*4))/(IF(AY95="",0,6)+IF(BA95="",0,5)+IF(BC95="",0,5)+IF(BE95="",0,4)))</f>
        <v/>
      </c>
      <c r="BH95" s="14">
        <f>IF((IF(AZ95="",0,6)+IF(BB95="",0,5)+IF(BD95="",0,5)+IF(BF95="",0,4))=0,"",(IF(AZ95="",0,AZ95*6)+IF(BB95="",0,BB95*5)+IF(BD95="",0,BD95*5)+IF(BF95="",0,BF95*4))/20)</f>
        <v/>
      </c>
      <c r="BI95" s="14">
        <f>IF(AND(R95="",AF95="",AN95="",AX95="",BH95=""),"",((R95*25)+(AF95*22)+(AN95*18)+(AX95*15)+(BH95*20))/100)</f>
        <v/>
      </c>
      <c r="BJ95" s="11">
        <f>IF(BI95="","",IF(BI95&gt;=0.75,"A",IF(BI95&gt;=0.5,"B",IF(BI95&gt;=0.35,"C","Watchlist"))))</f>
        <v/>
      </c>
      <c r="BK95" s="11">
        <f>IF(OR(BI95="",BI95&lt;0.5,R95="",R95&lt;0.35,AF95="",AF95&lt;0.35,AN95="",AN95&lt;0.35,AX95="",AX95&lt;0.35,BH95="",BH95&lt;0.35),"Watchlist","Ranked")</f>
        <v/>
      </c>
      <c r="BL95" s="15">
        <f>IF(AND(Q95="",AE95="",AM95="",AW95="",BG95=""),"",(IF(Q95="",0,Q95*25)+IF(AE95="",0,AE95*22)+IF(AM95="",0,AM95*18)+IF(AW95="",0,AW95*15)+IF(BG95="",0,BG95*20))/(IF(Q95="",0,25)+IF(AE95="",0,22)+IF(AM95="",0,18)+IF(AW95="",0,15)+IF(BG95="",0,20)))</f>
        <v/>
      </c>
      <c r="BM95" s="11">
        <f>IF(BK95="Ranked",1+COUNTIFS($BK$2:$BK$158,"Ranked",$BL$2:$BL$158,"&gt;"&amp;BL95),"")</f>
        <v/>
      </c>
      <c r="BN95" s="11">
        <f>City_Inputs!$AI95</f>
        <v/>
      </c>
    </row>
    <row r="96">
      <c r="A96" t="inlineStr">
        <is>
          <t>mu-port-louis</t>
        </is>
      </c>
      <c r="B96" t="inlineStr">
        <is>
          <t>Port Louis</t>
        </is>
      </c>
      <c r="C96" t="inlineStr">
        <is>
          <t>Mauritius</t>
        </is>
      </c>
      <c r="D96" t="inlineStr">
        <is>
          <t>Africa</t>
        </is>
      </c>
      <c r="E96" t="inlineStr">
        <is>
          <t>locked</t>
        </is>
      </c>
      <c r="F96" t="inlineStr">
        <is>
          <t>secondary</t>
        </is>
      </c>
      <c r="G96" s="11">
        <f>IF(OR(City_Inputs!$M96="",Norm_Stats!$F$2="",Norm_Stats!$G$2="",Norm_Stats!$G$2=Norm_Stats!$F$2),"",MAX(0,MIN(100,100*(MIN(MAX(City_Inputs!$M96,Norm_Stats!$F$2),Norm_Stats!$G$2)-Norm_Stats!$F$2)/(Norm_Stats!$G$2-Norm_Stats!$F$2))))</f>
        <v/>
      </c>
      <c r="H96" s="14">
        <f>IF(G96="","",1)</f>
        <v/>
      </c>
      <c r="I96" s="11">
        <f>IF(OR(City_Inputs!$N96="",Norm_Stats!$F$3="",Norm_Stats!$G$3="",Norm_Stats!$G$3=Norm_Stats!$F$3),"",MAX(0,MIN(100,100*(Norm_Stats!$G$3-MIN(MAX(City_Inputs!$N96,Norm_Stats!$F$3),Norm_Stats!$G$3))/(Norm_Stats!$G$3-Norm_Stats!$F$3))))</f>
        <v/>
      </c>
      <c r="J96" s="14">
        <f>IF(I96="","",1)</f>
        <v/>
      </c>
      <c r="K96" s="11">
        <f>IF(OR(City_Inputs!$P96="",Norm_Stats!$F$4="",Norm_Stats!$G$4="",Norm_Stats!$G$4=Norm_Stats!$F$4),"",MAX(0,MIN(100,100*(Norm_Stats!$G$4-MIN(MAX(City_Inputs!$P96,Norm_Stats!$F$4),Norm_Stats!$G$4))/(Norm_Stats!$G$4-Norm_Stats!$F$4))))</f>
        <v/>
      </c>
      <c r="L96" s="14">
        <f>IF(K96="","",1)</f>
        <v/>
      </c>
      <c r="M96" s="11">
        <f>IF(OR(City_Inputs!$Q96="",Norm_Stats!$F$5="",Norm_Stats!$G$5="",Norm_Stats!$G$5=Norm_Stats!$F$5),"",MAX(0,MIN(100,100*(Norm_Stats!$G$5-MIN(MAX(City_Inputs!$Q96,Norm_Stats!$F$5),Norm_Stats!$G$5))/(Norm_Stats!$G$5-Norm_Stats!$F$5))))</f>
        <v/>
      </c>
      <c r="N96" s="14">
        <f>IF(M96="","",1)</f>
        <v/>
      </c>
      <c r="O96" s="11">
        <f>IF(OR(City_Inputs!$R96="",Norm_Stats!$F$6="",Norm_Stats!$G$6="",Norm_Stats!$G$6=Norm_Stats!$F$6),"",MAX(0,MIN(100,100*(Norm_Stats!$G$6-MIN(MAX(City_Inputs!$R96,Norm_Stats!$F$6),Norm_Stats!$G$6))/(Norm_Stats!$G$6-Norm_Stats!$F$6))))</f>
        <v/>
      </c>
      <c r="P96" s="14">
        <f>IF(O96="","",1)</f>
        <v/>
      </c>
      <c r="Q96" s="15">
        <f>IF((IF(G96="",0,9)+IF(I96="",0,5)+IF(K96="",0,4)+IF(M96="",0,4)+IF(O96="",0,5))=0,"",(IF(G96="",0,G96*9)+IF(I96="",0,I96*5)+IF(K96="",0,K96*4)+IF(M96="",0,M96*4)+IF(O96="",0,O96*5))/(IF(G96="",0,9)+IF(I96="",0,5)+IF(K96="",0,4)+IF(M96="",0,4)+IF(O96="",0,5)))</f>
        <v/>
      </c>
      <c r="R96" s="14">
        <f>IF((IF(H96="",0,9)+IF(J96="",0,5)+IF(L96="",0,4)+IF(N96="",0,4)+IF(P96="",0,5))=0,"",(IF(H96="",0,H96*9)+IF(J96="",0,J96*5)+IF(L96="",0,L96*4)+IF(N96="",0,N96*4)+IF(P96="",0,P96*5))/27)</f>
        <v/>
      </c>
      <c r="S96" s="11">
        <f>IF(OR(City_Inputs!$S96="",Norm_Stats!$F$7="",Norm_Stats!$G$7="",Norm_Stats!$G$7=Norm_Stats!$F$7),"",MAX(0,MIN(100,100*(Norm_Stats!$G$7-MIN(MAX(City_Inputs!$S96,Norm_Stats!$F$7),Norm_Stats!$G$7))/(Norm_Stats!$G$7-Norm_Stats!$F$7))))</f>
        <v/>
      </c>
      <c r="T96" s="14">
        <f>IF(S96="","",1)</f>
        <v/>
      </c>
      <c r="U96" s="11">
        <f>IF(OR(City_Inputs!$T96="",Norm_Stats!$F$8="",Norm_Stats!$G$8="",Norm_Stats!$G$8=Norm_Stats!$F$8),"",MAX(0,MIN(100,100*(MIN(MAX(City_Inputs!$T96,Norm_Stats!$F$8),Norm_Stats!$G$8)-Norm_Stats!$F$8)/(Norm_Stats!$G$8-Norm_Stats!$F$8))))</f>
        <v/>
      </c>
      <c r="V96" s="14">
        <f>IF(U96="","",1)</f>
        <v/>
      </c>
      <c r="W96" s="11">
        <f>IF(OR(City_Inputs!$U96="",Norm_Stats!$F$9="",Norm_Stats!$G$9="",Norm_Stats!$G$9=Norm_Stats!$F$9),"",MAX(0,MIN(100,100*(Norm_Stats!$G$9-MIN(MAX(City_Inputs!$U96,Norm_Stats!$F$9),Norm_Stats!$G$9))/(Norm_Stats!$G$9-Norm_Stats!$F$9))))</f>
        <v/>
      </c>
      <c r="X96" s="14">
        <f>IF(W96="","",1)</f>
        <v/>
      </c>
      <c r="Y96" s="11">
        <f>IF(OR(City_Inputs!$V96="",Norm_Stats!$F$10="",Norm_Stats!$G$10="",Norm_Stats!$G$10=Norm_Stats!$F$10),"",MAX(0,MIN(100,100*(MIN(MAX(City_Inputs!$V96,Norm_Stats!$F$10),Norm_Stats!$G$10)-Norm_Stats!$F$10)/(Norm_Stats!$G$10-Norm_Stats!$F$10))))</f>
        <v/>
      </c>
      <c r="Z96" s="14">
        <f>IF(Y96="","",1)</f>
        <v/>
      </c>
      <c r="AA96" s="11">
        <f>IF(OR(City_Inputs!$W96="",Norm_Stats!$F$11="",Norm_Stats!$G$11="",Norm_Stats!$G$11=Norm_Stats!$F$11),"",MAX(0,MIN(100,100*(MIN(MAX(City_Inputs!$W96,Norm_Stats!$F$11),Norm_Stats!$G$11)-Norm_Stats!$F$11)/(Norm_Stats!$G$11-Norm_Stats!$F$11))))</f>
        <v/>
      </c>
      <c r="AB96" s="14">
        <f>IF(AA96="","",1)</f>
        <v/>
      </c>
      <c r="AC96" s="11">
        <f>IF(OR(City_Inputs!$X96="",Norm_Stats!$F$12="",Norm_Stats!$G$12="",Norm_Stats!$G$12=Norm_Stats!$F$12),"",MAX(0,MIN(100,100*(MIN(MAX(City_Inputs!$X96,Norm_Stats!$F$12),Norm_Stats!$G$12)-Norm_Stats!$F$12)/(Norm_Stats!$G$12-Norm_Stats!$F$12))))</f>
        <v/>
      </c>
      <c r="AD96" s="11">
        <f>IF(AC96="","",1)</f>
        <v/>
      </c>
      <c r="AE96" s="15">
        <f>IF((IF(S96="",0,5)+IF(U96="",0,5)+IF(W96="",0,4)+IF(Y96="",0,4)+IF(AA96="",0,4)+IF(AC96="",0,5))=0,"",(IF(S96="",0,S96*5)+IF(U96="",0,U96*5)+IF(W96="",0,W96*4)+IF(Y96="",0,Y96*4)+IF(AA96="",0,AA96*4)+IF(AC96="",0,AC96*5))/(IF(S96="",0,5)+IF(U96="",0,5)+IF(W96="",0,4)+IF(Y96="",0,4)+IF(AA96="",0,4)+IF(AC96="",0,5)))</f>
        <v/>
      </c>
      <c r="AF96" s="14">
        <f>IF((IF(T96="",0,5)+IF(V96="",0,5)+IF(X96="",0,4)+IF(Z96="",0,4)+IF(AB96="",0,4)+IF(AD96="",0,5))=0,"",(IF(T96="",0,T96*5)+IF(V96="",0,V96*5)+IF(X96="",0,X96*4)+IF(Z96="",0,Z96*4)+IF(AB96="",0,AB96*4)+IF(AD96="",0,AD96*5))/27)</f>
        <v/>
      </c>
      <c r="AG96" s="11">
        <f>IF(OR(City_Inputs!$Y96="",Norm_Stats!$F$13="",Norm_Stats!$G$13="",Norm_Stats!$G$13=Norm_Stats!$F$13),"",MAX(0,MIN(100,100*(MIN(MAX(City_Inputs!$Y96,Norm_Stats!$F$13),Norm_Stats!$G$13)-Norm_Stats!$F$13)/(Norm_Stats!$G$13-Norm_Stats!$F$13))))</f>
        <v/>
      </c>
      <c r="AH96" s="14">
        <f>IF(AG96="","",1)</f>
        <v/>
      </c>
      <c r="AI96" s="11">
        <f>IF(OR(City_Inputs!$Z96="",Norm_Stats!$F$14="",Norm_Stats!$G$14="",Norm_Stats!$G$14=Norm_Stats!$F$14),"",MAX(0,MIN(100,100*(MIN(MAX(City_Inputs!$Z96,Norm_Stats!$F$14),Norm_Stats!$G$14)-Norm_Stats!$F$14)/(Norm_Stats!$G$14-Norm_Stats!$F$14))))</f>
        <v/>
      </c>
      <c r="AJ96" s="14">
        <f>IF(AI96="","",1)</f>
        <v/>
      </c>
      <c r="AK96" s="11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(IF(OR(City_Inputs!$AA96="",Norm_Stats!$F$15="",Norm_Stats!$G$15="",Norm_Stats!$G$15=Norm_Stats!$F$15),"",MAX(0,MIN(100,100*(MIN(MAX(City_Inputs!$AA96,Norm_Stats!$F$15),Norm_Stats!$G$15)-Norm_Stats!$F$15)/(Norm_Stats!$G$15-Norm_Stats!$F$15)))))*0.7)+IF((IF(OR(City_Inputs!$AL96="",Norm_Stats!$F$16="",Norm_Stats!$G$16="",Norm_Stats!$G$16=Norm_Stats!$F$16),"",MAX(0,MIN(100,100*(Norm_Stats!$G$16-MIN(MAX(City_Inputs!$AL96,Norm_Stats!$F$16),Norm_Stats!$G$16))/(Norm_Stats!$G$16-Norm_Stats!$F$16)))))="",0,(IF(OR(City_Inputs!$AL96="",Norm_Stats!$F$16="",Norm_Stats!$G$16="",Norm_Stats!$G$16=Norm_Stats!$F$16),"",MAX(0,MIN(100,100*(Norm_Stats!$G$16-MIN(MAX(City_Inputs!$AL96,Norm_Stats!$F$16),Norm_Stats!$G$16))/(Norm_Stats!$G$16-Norm_Stats!$F$16)))))*0.3))/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L96" s="14">
        <f>IF(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=0,"",(IF((IF(OR(City_Inputs!$AA96="",Norm_Stats!$F$15="",Norm_Stats!$G$15="",Norm_Stats!$G$15=Norm_Stats!$F$15),"",MAX(0,MIN(100,100*(MIN(MAX(City_Inputs!$AA96,Norm_Stats!$F$15),Norm_Stats!$G$15)-Norm_Stats!$F$15)/(Norm_Stats!$G$15-Norm_Stats!$F$15)))))="",0,0.7)+IF((IF(OR(City_Inputs!$AL96="",Norm_Stats!$F$16="",Norm_Stats!$G$16="",Norm_Stats!$G$16=Norm_Stats!$F$16),"",MAX(0,MIN(100,100*(Norm_Stats!$G$16-MIN(MAX(City_Inputs!$AL96,Norm_Stats!$F$16),Norm_Stats!$G$16))/(Norm_Stats!$G$16-Norm_Stats!$F$16)))))="",0,0.3)))</f>
        <v/>
      </c>
      <c r="AM96" s="15">
        <f>IF((IF(AG96="",0,8)+IF(AI96="",0,6)+IF(AK96="",0,4))=0,"",(IF(AG96="",0,AG96*8)+IF(AI96="",0,AI96*6)+IF(AK96="",0,AK96*4))/(IF(AG96="",0,8)+IF(AI96="",0,6)+IF(AK96="",0,4)))</f>
        <v/>
      </c>
      <c r="AN96" s="14">
        <f>IF((IF(AH96="",0,8)+IF(AJ96="",0,6)+IF(AL96="",0,4))=0,"",(IF(AH96="",0,AH96*8)+IF(AJ96="",0,AJ96*6)+IF(AL96="",0,AL96*4))/18)</f>
        <v/>
      </c>
      <c r="AO96" s="11">
        <f>IF(OR(City_Inputs!$AB96="",Norm_Stats!$F$17="",Norm_Stats!$G$17="",Norm_Stats!$G$17=Norm_Stats!$F$17),"",MAX(0,MIN(100,100*(MIN(MAX(City_Inputs!$AB96,Norm_Stats!$F$17),Norm_Stats!$G$17)-Norm_Stats!$F$17)/(Norm_Stats!$G$17-Norm_Stats!$F$17))))</f>
        <v/>
      </c>
      <c r="AP96" s="14">
        <f>IF(AO96="","",1)</f>
        <v/>
      </c>
      <c r="AQ96" s="11">
        <f>IF(OR(City_Inputs!$AC96="",Norm_Stats!$F$18="",Norm_Stats!$G$18="",Norm_Stats!$G$18=Norm_Stats!$F$18),"",MAX(0,MIN(100,100*(MIN(MAX(City_Inputs!$AC96,Norm_Stats!$F$18),Norm_Stats!$G$18)-Norm_Stats!$F$18)/(Norm_Stats!$G$18-Norm_Stats!$F$18))))</f>
        <v/>
      </c>
      <c r="AR96" s="14">
        <f>IF(AQ96="","",1)</f>
        <v/>
      </c>
      <c r="AS96" s="11">
        <f>IF(OR(City_Inputs!$AD96="",Norm_Stats!$F$19="",Norm_Stats!$G$19="",Norm_Stats!$G$19=Norm_Stats!$F$19),"",MAX(0,MIN(100,100*(MIN(MAX(City_Inputs!$AD96,Norm_Stats!$F$19),Norm_Stats!$G$19)-Norm_Stats!$F$19)/(Norm_Stats!$G$19-Norm_Stats!$F$19))))</f>
        <v/>
      </c>
      <c r="AT96" s="14">
        <f>IF(AS96="","",1)</f>
        <v/>
      </c>
      <c r="AU96" s="11">
        <f>IF(OR(City_Inputs!$BJ96="",Norm_Stats!$F$26="",Norm_Stats!$G$26="",Norm_Stats!$G$26=Norm_Stats!$F$26),"",MAX(0,MIN(100,100*(MIN(MAX(City_Inputs!$BJ96,Norm_Stats!$F$26),Norm_Stats!$G$26)-Norm_Stats!$F$26)/(Norm_Stats!$G$26-Norm_Stats!$F$26))))</f>
        <v/>
      </c>
      <c r="AV96" s="11">
        <f>IF(AU96="","",1)</f>
        <v/>
      </c>
      <c r="AW96" s="15">
        <f>IF((IF(AO96="",0,5)+IF(AQ96="",0,5)+IF(AS96="",0,5)+IF(AU96="",0,4))=0,"",(IF(AO96="",0,AO96*5)+IF(AQ96="",0,AQ96*5)+IF(AS96="",0,AS96*5)+IF(AU96="",0,AU96*4))/(IF(AO96="",0,5)+IF(AQ96="",0,5)+IF(AS96="",0,5)+IF(AU96="",0,4)))</f>
        <v/>
      </c>
      <c r="AX96" s="14">
        <f>IF((IF(AP96="",0,5)+IF(AR96="",0,5)+IF(AT96="",0,5)+IF(AV96="",0,4))=0,"",(IF(AP96="",0,AP96*5)+IF(AR96="",0,AR96*5)+IF(AT96="",0,AT96*5)+IF(AV96="",0,AV96*4))/19)</f>
        <v/>
      </c>
      <c r="AY96" s="11">
        <f>IF(OR(City_Inputs!$AE96="",Norm_Stats!$F$20="",Norm_Stats!$G$20="",Norm_Stats!$G$20=Norm_Stats!$F$20),"",MAX(0,MIN(100,100*(MIN(MAX(City_Inputs!$AE96,Norm_Stats!$F$20),Norm_Stats!$G$20)-Norm_Stats!$F$20)/(Norm_Stats!$G$20-Norm_Stats!$F$20))))</f>
        <v/>
      </c>
      <c r="AZ96" s="14">
        <f>IF(AY96="","",1)</f>
        <v/>
      </c>
      <c r="BA96" s="11">
        <f>IF(OR(City_Inputs!$AF96="",Norm_Stats!$F$21="",Norm_Stats!$G$21="",Norm_Stats!$G$21=Norm_Stats!$F$21),"",MAX(0,MIN(100,100*(MIN(MAX(City_Inputs!$AF96,Norm_Stats!$F$21),Norm_Stats!$G$21)-Norm_Stats!$F$21)/(Norm_Stats!$G$21-Norm_Stats!$F$21))))</f>
        <v/>
      </c>
      <c r="BB96" s="14">
        <f>IF(BA96="","",1)</f>
        <v/>
      </c>
      <c r="BC96" s="11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(IF(OR(City_Inputs!$AG96="",Norm_Stats!$F$22="",Norm_Stats!$G$22="",Norm_Stats!$G$22=Norm_Stats!$F$22),"",MAX(0,MIN(100,100*(MIN(MAX(City_Inputs!$AG96,Norm_Stats!$F$22),Norm_Stats!$G$22)-Norm_Stats!$F$22)/(Norm_Stats!$G$22-Norm_Stats!$F$22)))))*0.5)+IF((IF(OR(City_Inputs!$AJ96="",Norm_Stats!$F$23="",Norm_Stats!$G$23="",Norm_Stats!$G$23=Norm_Stats!$F$23),"",MAX(0,MIN(100,100*(MIN(MAX(City_Inputs!$AJ96,Norm_Stats!$F$23),Norm_Stats!$G$23)-Norm_Stats!$F$23)/(Norm_Stats!$G$23-Norm_Stats!$F$23)))))="",0,(IF(OR(City_Inputs!$AJ96="",Norm_Stats!$F$23="",Norm_Stats!$G$23="",Norm_Stats!$G$23=Norm_Stats!$F$23),"",MAX(0,MIN(100,100*(MIN(MAX(City_Inputs!$AJ96,Norm_Stats!$F$23),Norm_Stats!$G$23)-Norm_Stats!$F$23)/(Norm_Stats!$G$23-Norm_Stats!$F$23)))))*0.3)+IF((IF(OR(City_Inputs!$AK96="",Norm_Stats!$F$24="",Norm_Stats!$G$24="",Norm_Stats!$G$24=Norm_Stats!$F$24),"",MAX(0,MIN(100,100*(MIN(MAX(City_Inputs!$AK96,Norm_Stats!$F$24),Norm_Stats!$G$24)-Norm_Stats!$F$24)/(Norm_Stats!$G$24-Norm_Stats!$F$24)))))="",0,(IF(OR(City_Inputs!$AK96="",Norm_Stats!$F$24="",Norm_Stats!$G$24="",Norm_Stats!$G$24=Norm_Stats!$F$24),"",MAX(0,MIN(100,100*(MIN(MAX(City_Inputs!$AK96,Norm_Stats!$F$24),Norm_Stats!$G$24)-Norm_Stats!$F$24)/(Norm_Stats!$G$24-Norm_Stats!$F$24)))))*0.2))/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D96" s="14">
        <f>IF(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=0,"",(IF((IF(OR(City_Inputs!$AG96="",Norm_Stats!$F$22="",Norm_Stats!$G$22="",Norm_Stats!$G$22=Norm_Stats!$F$22),"",MAX(0,MIN(100,100*(MIN(MAX(City_Inputs!$AG96,Norm_Stats!$F$22),Norm_Stats!$G$22)-Norm_Stats!$F$22)/(Norm_Stats!$G$22-Norm_Stats!$F$22)))))="",0,0.5)+IF((IF(OR(City_Inputs!$AJ96="",Norm_Stats!$F$23="",Norm_Stats!$G$23="",Norm_Stats!$G$23=Norm_Stats!$F$23),"",MAX(0,MIN(100,100*(MIN(MAX(City_Inputs!$AJ96,Norm_Stats!$F$23),Norm_Stats!$G$23)-Norm_Stats!$F$23)/(Norm_Stats!$G$23-Norm_Stats!$F$23)))))="",0,0.3)+IF((IF(OR(City_Inputs!$AK96="",Norm_Stats!$F$24="",Norm_Stats!$G$24="",Norm_Stats!$G$24=Norm_Stats!$F$24),"",MAX(0,MIN(100,100*(MIN(MAX(City_Inputs!$AK96,Norm_Stats!$F$24),Norm_Stats!$G$24)-Norm_Stats!$F$24)/(Norm_Stats!$G$24-Norm_Stats!$F$24)))))="",0,0.2)))</f>
        <v/>
      </c>
      <c r="BE96" s="11">
        <f>IF(OR(City_Inputs!$AH96="",Norm_Stats!$F$25="",Norm_Stats!$G$25="",Norm_Stats!$G$25=Norm_Stats!$F$25),"",MAX(0,MIN(100,100*(Norm_Stats!$G$25-MIN(MAX(City_Inputs!$AH96,Norm_Stats!$F$25),Norm_Stats!$G$25))/(Norm_Stats!$G$25-Norm_Stats!$F$25))))</f>
        <v/>
      </c>
      <c r="BF96" s="14">
        <f>IF(BE96="","",1)</f>
        <v/>
      </c>
      <c r="BG96" s="15">
        <f>IF((IF(AY96="",0,6)+IF(BA96="",0,5)+IF(BC96="",0,5)+IF(BE96="",0,4))=0,"",(IF(AY96="",0,AY96*6)+IF(BA96="",0,BA96*5)+IF(BC96="",0,BC96*5)+IF(BE96="",0,BE96*4))/(IF(AY96="",0,6)+IF(BA96="",0,5)+IF(BC96="",0,5)+IF(BE96="",0,4)))</f>
        <v/>
      </c>
      <c r="BH96" s="14">
        <f>IF((IF(AZ96="",0,6)+IF(BB96="",0,5)+IF(BD96="",0,5)+IF(BF96="",0,4))=0,"",(IF(AZ96="",0,AZ96*6)+IF(BB96="",0,BB96*5)+IF(BD96="",0,BD96*5)+IF(BF96="",0,BF96*4))/20)</f>
        <v/>
      </c>
      <c r="BI96" s="14">
        <f>IF(AND(R96="",AF96="",AN96="",AX96="",BH96=""),"",((R96*25)+(AF96*22)+(AN96*18)+(AX96*15)+(BH96*20))/100)</f>
        <v/>
      </c>
      <c r="BJ96" s="11">
        <f>IF(BI96="","",IF(BI96&gt;=0.75,"A",IF(BI96&gt;=0.5,"B",IF(BI96&gt;=0.35,"C","Watchlist"))))</f>
        <v/>
      </c>
      <c r="BK96" s="11">
        <f>IF(OR(BI96="",BI96&lt;0.5,R96="",R96&lt;0.35,AF96="",AF96&lt;0.35,AN96="",AN96&lt;0.35,AX96="",AX96&lt;0.35,BH96="",BH96&lt;0.35),"Watchlist","Ranked")</f>
        <v/>
      </c>
      <c r="BL96" s="15">
        <f>IF(AND(Q96="",AE96="",AM96="",AW96="",BG96=""),"",(IF(Q96="",0,Q96*25)+IF(AE96="",0,AE96*22)+IF(AM96="",0,AM96*18)+IF(AW96="",0,AW96*15)+IF(BG96="",0,BG96*20))/(IF(Q96="",0,25)+IF(AE96="",0,22)+IF(AM96="",0,18)+IF(AW96="",0,15)+IF(BG96="",0,20)))</f>
        <v/>
      </c>
      <c r="BM96" s="11">
        <f>IF(BK96="Ranked",1+COUNTIFS($BK$2:$BK$158,"Ranked",$BL$2:$BL$158,"&gt;"&amp;BL96),"")</f>
        <v/>
      </c>
      <c r="BN96" s="11">
        <f>City_Inputs!$AI96</f>
        <v/>
      </c>
    </row>
    <row r="97">
      <c r="A97" t="inlineStr">
        <is>
          <t>bw-gaborone</t>
        </is>
      </c>
      <c r="B97" t="inlineStr">
        <is>
          <t>Gaborone</t>
        </is>
      </c>
      <c r="C97" t="inlineStr">
        <is>
          <t>Botswana</t>
        </is>
      </c>
      <c r="D97" t="inlineStr">
        <is>
          <t>Africa</t>
        </is>
      </c>
      <c r="E97" t="inlineStr">
        <is>
          <t>locked</t>
        </is>
      </c>
      <c r="F97" t="inlineStr">
        <is>
          <t>secondary</t>
        </is>
      </c>
      <c r="G97" s="11">
        <f>IF(OR(City_Inputs!$M97="",Norm_Stats!$F$2="",Norm_Stats!$G$2="",Norm_Stats!$G$2=Norm_Stats!$F$2),"",MAX(0,MIN(100,100*(MIN(MAX(City_Inputs!$M97,Norm_Stats!$F$2),Norm_Stats!$G$2)-Norm_Stats!$F$2)/(Norm_Stats!$G$2-Norm_Stats!$F$2))))</f>
        <v/>
      </c>
      <c r="H97" s="14">
        <f>IF(G97="","",1)</f>
        <v/>
      </c>
      <c r="I97" s="11">
        <f>IF(OR(City_Inputs!$N97="",Norm_Stats!$F$3="",Norm_Stats!$G$3="",Norm_Stats!$G$3=Norm_Stats!$F$3),"",MAX(0,MIN(100,100*(Norm_Stats!$G$3-MIN(MAX(City_Inputs!$N97,Norm_Stats!$F$3),Norm_Stats!$G$3))/(Norm_Stats!$G$3-Norm_Stats!$F$3))))</f>
        <v/>
      </c>
      <c r="J97" s="14">
        <f>IF(I97="","",1)</f>
        <v/>
      </c>
      <c r="K97" s="11">
        <f>IF(OR(City_Inputs!$P97="",Norm_Stats!$F$4="",Norm_Stats!$G$4="",Norm_Stats!$G$4=Norm_Stats!$F$4),"",MAX(0,MIN(100,100*(Norm_Stats!$G$4-MIN(MAX(City_Inputs!$P97,Norm_Stats!$F$4),Norm_Stats!$G$4))/(Norm_Stats!$G$4-Norm_Stats!$F$4))))</f>
        <v/>
      </c>
      <c r="L97" s="14">
        <f>IF(K97="","",1)</f>
        <v/>
      </c>
      <c r="M97" s="11">
        <f>IF(OR(City_Inputs!$Q97="",Norm_Stats!$F$5="",Norm_Stats!$G$5="",Norm_Stats!$G$5=Norm_Stats!$F$5),"",MAX(0,MIN(100,100*(Norm_Stats!$G$5-MIN(MAX(City_Inputs!$Q97,Norm_Stats!$F$5),Norm_Stats!$G$5))/(Norm_Stats!$G$5-Norm_Stats!$F$5))))</f>
        <v/>
      </c>
      <c r="N97" s="14">
        <f>IF(M97="","",1)</f>
        <v/>
      </c>
      <c r="O97" s="11">
        <f>IF(OR(City_Inputs!$R97="",Norm_Stats!$F$6="",Norm_Stats!$G$6="",Norm_Stats!$G$6=Norm_Stats!$F$6),"",MAX(0,MIN(100,100*(Norm_Stats!$G$6-MIN(MAX(City_Inputs!$R97,Norm_Stats!$F$6),Norm_Stats!$G$6))/(Norm_Stats!$G$6-Norm_Stats!$F$6))))</f>
        <v/>
      </c>
      <c r="P97" s="14">
        <f>IF(O97="","",1)</f>
        <v/>
      </c>
      <c r="Q97" s="15">
        <f>IF((IF(G97="",0,9)+IF(I97="",0,5)+IF(K97="",0,4)+IF(M97="",0,4)+IF(O97="",0,5))=0,"",(IF(G97="",0,G97*9)+IF(I97="",0,I97*5)+IF(K97="",0,K97*4)+IF(M97="",0,M97*4)+IF(O97="",0,O97*5))/(IF(G97="",0,9)+IF(I97="",0,5)+IF(K97="",0,4)+IF(M97="",0,4)+IF(O97="",0,5)))</f>
        <v/>
      </c>
      <c r="R97" s="14">
        <f>IF((IF(H97="",0,9)+IF(J97="",0,5)+IF(L97="",0,4)+IF(N97="",0,4)+IF(P97="",0,5))=0,"",(IF(H97="",0,H97*9)+IF(J97="",0,J97*5)+IF(L97="",0,L97*4)+IF(N97="",0,N97*4)+IF(P97="",0,P97*5))/27)</f>
        <v/>
      </c>
      <c r="S97" s="11">
        <f>IF(OR(City_Inputs!$S97="",Norm_Stats!$F$7="",Norm_Stats!$G$7="",Norm_Stats!$G$7=Norm_Stats!$F$7),"",MAX(0,MIN(100,100*(Norm_Stats!$G$7-MIN(MAX(City_Inputs!$S97,Norm_Stats!$F$7),Norm_Stats!$G$7))/(Norm_Stats!$G$7-Norm_Stats!$F$7))))</f>
        <v/>
      </c>
      <c r="T97" s="14">
        <f>IF(S97="","",1)</f>
        <v/>
      </c>
      <c r="U97" s="11">
        <f>IF(OR(City_Inputs!$T97="",Norm_Stats!$F$8="",Norm_Stats!$G$8="",Norm_Stats!$G$8=Norm_Stats!$F$8),"",MAX(0,MIN(100,100*(MIN(MAX(City_Inputs!$T97,Norm_Stats!$F$8),Norm_Stats!$G$8)-Norm_Stats!$F$8)/(Norm_Stats!$G$8-Norm_Stats!$F$8))))</f>
        <v/>
      </c>
      <c r="V97" s="14">
        <f>IF(U97="","",1)</f>
        <v/>
      </c>
      <c r="W97" s="11">
        <f>IF(OR(City_Inputs!$U97="",Norm_Stats!$F$9="",Norm_Stats!$G$9="",Norm_Stats!$G$9=Norm_Stats!$F$9),"",MAX(0,MIN(100,100*(Norm_Stats!$G$9-MIN(MAX(City_Inputs!$U97,Norm_Stats!$F$9),Norm_Stats!$G$9))/(Norm_Stats!$G$9-Norm_Stats!$F$9))))</f>
        <v/>
      </c>
      <c r="X97" s="14">
        <f>IF(W97="","",1)</f>
        <v/>
      </c>
      <c r="Y97" s="11">
        <f>IF(OR(City_Inputs!$V97="",Norm_Stats!$F$10="",Norm_Stats!$G$10="",Norm_Stats!$G$10=Norm_Stats!$F$10),"",MAX(0,MIN(100,100*(MIN(MAX(City_Inputs!$V97,Norm_Stats!$F$10),Norm_Stats!$G$10)-Norm_Stats!$F$10)/(Norm_Stats!$G$10-Norm_Stats!$F$10))))</f>
        <v/>
      </c>
      <c r="Z97" s="14">
        <f>IF(Y97="","",1)</f>
        <v/>
      </c>
      <c r="AA97" s="11">
        <f>IF(OR(City_Inputs!$W97="",Norm_Stats!$F$11="",Norm_Stats!$G$11="",Norm_Stats!$G$11=Norm_Stats!$F$11),"",MAX(0,MIN(100,100*(MIN(MAX(City_Inputs!$W97,Norm_Stats!$F$11),Norm_Stats!$G$11)-Norm_Stats!$F$11)/(Norm_Stats!$G$11-Norm_Stats!$F$11))))</f>
        <v/>
      </c>
      <c r="AB97" s="14">
        <f>IF(AA97="","",1)</f>
        <v/>
      </c>
      <c r="AC97" s="11">
        <f>IF(OR(City_Inputs!$X97="",Norm_Stats!$F$12="",Norm_Stats!$G$12="",Norm_Stats!$G$12=Norm_Stats!$F$12),"",MAX(0,MIN(100,100*(MIN(MAX(City_Inputs!$X97,Norm_Stats!$F$12),Norm_Stats!$G$12)-Norm_Stats!$F$12)/(Norm_Stats!$G$12-Norm_Stats!$F$12))))</f>
        <v/>
      </c>
      <c r="AD97" s="11">
        <f>IF(AC97="","",1)</f>
        <v/>
      </c>
      <c r="AE97" s="15">
        <f>IF((IF(S97="",0,5)+IF(U97="",0,5)+IF(W97="",0,4)+IF(Y97="",0,4)+IF(AA97="",0,4)+IF(AC97="",0,5))=0,"",(IF(S97="",0,S97*5)+IF(U97="",0,U97*5)+IF(W97="",0,W97*4)+IF(Y97="",0,Y97*4)+IF(AA97="",0,AA97*4)+IF(AC97="",0,AC97*5))/(IF(S97="",0,5)+IF(U97="",0,5)+IF(W97="",0,4)+IF(Y97="",0,4)+IF(AA97="",0,4)+IF(AC97="",0,5)))</f>
        <v/>
      </c>
      <c r="AF97" s="14">
        <f>IF((IF(T97="",0,5)+IF(V97="",0,5)+IF(X97="",0,4)+IF(Z97="",0,4)+IF(AB97="",0,4)+IF(AD97="",0,5))=0,"",(IF(T97="",0,T97*5)+IF(V97="",0,V97*5)+IF(X97="",0,X97*4)+IF(Z97="",0,Z97*4)+IF(AB97="",0,AB97*4)+IF(AD97="",0,AD97*5))/27)</f>
        <v/>
      </c>
      <c r="AG97" s="11">
        <f>IF(OR(City_Inputs!$Y97="",Norm_Stats!$F$13="",Norm_Stats!$G$13="",Norm_Stats!$G$13=Norm_Stats!$F$13),"",MAX(0,MIN(100,100*(MIN(MAX(City_Inputs!$Y97,Norm_Stats!$F$13),Norm_Stats!$G$13)-Norm_Stats!$F$13)/(Norm_Stats!$G$13-Norm_Stats!$F$13))))</f>
        <v/>
      </c>
      <c r="AH97" s="14">
        <f>IF(AG97="","",1)</f>
        <v/>
      </c>
      <c r="AI97" s="11">
        <f>IF(OR(City_Inputs!$Z97="",Norm_Stats!$F$14="",Norm_Stats!$G$14="",Norm_Stats!$G$14=Norm_Stats!$F$14),"",MAX(0,MIN(100,100*(MIN(MAX(City_Inputs!$Z97,Norm_Stats!$F$14),Norm_Stats!$G$14)-Norm_Stats!$F$14)/(Norm_Stats!$G$14-Norm_Stats!$F$14))))</f>
        <v/>
      </c>
      <c r="AJ97" s="14">
        <f>IF(AI97="","",1)</f>
        <v/>
      </c>
      <c r="AK97" s="11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(IF(OR(City_Inputs!$AA97="",Norm_Stats!$F$15="",Norm_Stats!$G$15="",Norm_Stats!$G$15=Norm_Stats!$F$15),"",MAX(0,MIN(100,100*(MIN(MAX(City_Inputs!$AA97,Norm_Stats!$F$15),Norm_Stats!$G$15)-Norm_Stats!$F$15)/(Norm_Stats!$G$15-Norm_Stats!$F$15)))))*0.7)+IF((IF(OR(City_Inputs!$AL97="",Norm_Stats!$F$16="",Norm_Stats!$G$16="",Norm_Stats!$G$16=Norm_Stats!$F$16),"",MAX(0,MIN(100,100*(Norm_Stats!$G$16-MIN(MAX(City_Inputs!$AL97,Norm_Stats!$F$16),Norm_Stats!$G$16))/(Norm_Stats!$G$16-Norm_Stats!$F$16)))))="",0,(IF(OR(City_Inputs!$AL97="",Norm_Stats!$F$16="",Norm_Stats!$G$16="",Norm_Stats!$G$16=Norm_Stats!$F$16),"",MAX(0,MIN(100,100*(Norm_Stats!$G$16-MIN(MAX(City_Inputs!$AL97,Norm_Stats!$F$16),Norm_Stats!$G$16))/(Norm_Stats!$G$16-Norm_Stats!$F$16)))))*0.3))/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L97" s="14">
        <f>IF(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=0,"",(IF((IF(OR(City_Inputs!$AA97="",Norm_Stats!$F$15="",Norm_Stats!$G$15="",Norm_Stats!$G$15=Norm_Stats!$F$15),"",MAX(0,MIN(100,100*(MIN(MAX(City_Inputs!$AA97,Norm_Stats!$F$15),Norm_Stats!$G$15)-Norm_Stats!$F$15)/(Norm_Stats!$G$15-Norm_Stats!$F$15)))))="",0,0.7)+IF((IF(OR(City_Inputs!$AL97="",Norm_Stats!$F$16="",Norm_Stats!$G$16="",Norm_Stats!$G$16=Norm_Stats!$F$16),"",MAX(0,MIN(100,100*(Norm_Stats!$G$16-MIN(MAX(City_Inputs!$AL97,Norm_Stats!$F$16),Norm_Stats!$G$16))/(Norm_Stats!$G$16-Norm_Stats!$F$16)))))="",0,0.3)))</f>
        <v/>
      </c>
      <c r="AM97" s="15">
        <f>IF((IF(AG97="",0,8)+IF(AI97="",0,6)+IF(AK97="",0,4))=0,"",(IF(AG97="",0,AG97*8)+IF(AI97="",0,AI97*6)+IF(AK97="",0,AK97*4))/(IF(AG97="",0,8)+IF(AI97="",0,6)+IF(AK97="",0,4)))</f>
        <v/>
      </c>
      <c r="AN97" s="14">
        <f>IF((IF(AH97="",0,8)+IF(AJ97="",0,6)+IF(AL97="",0,4))=0,"",(IF(AH97="",0,AH97*8)+IF(AJ97="",0,AJ97*6)+IF(AL97="",0,AL97*4))/18)</f>
        <v/>
      </c>
      <c r="AO97" s="11">
        <f>IF(OR(City_Inputs!$AB97="",Norm_Stats!$F$17="",Norm_Stats!$G$17="",Norm_Stats!$G$17=Norm_Stats!$F$17),"",MAX(0,MIN(100,100*(MIN(MAX(City_Inputs!$AB97,Norm_Stats!$F$17),Norm_Stats!$G$17)-Norm_Stats!$F$17)/(Norm_Stats!$G$17-Norm_Stats!$F$17))))</f>
        <v/>
      </c>
      <c r="AP97" s="14">
        <f>IF(AO97="","",1)</f>
        <v/>
      </c>
      <c r="AQ97" s="11">
        <f>IF(OR(City_Inputs!$AC97="",Norm_Stats!$F$18="",Norm_Stats!$G$18="",Norm_Stats!$G$18=Norm_Stats!$F$18),"",MAX(0,MIN(100,100*(MIN(MAX(City_Inputs!$AC97,Norm_Stats!$F$18),Norm_Stats!$G$18)-Norm_Stats!$F$18)/(Norm_Stats!$G$18-Norm_Stats!$F$18))))</f>
        <v/>
      </c>
      <c r="AR97" s="14">
        <f>IF(AQ97="","",1)</f>
        <v/>
      </c>
      <c r="AS97" s="11">
        <f>IF(OR(City_Inputs!$AD97="",Norm_Stats!$F$19="",Norm_Stats!$G$19="",Norm_Stats!$G$19=Norm_Stats!$F$19),"",MAX(0,MIN(100,100*(MIN(MAX(City_Inputs!$AD97,Norm_Stats!$F$19),Norm_Stats!$G$19)-Norm_Stats!$F$19)/(Norm_Stats!$G$19-Norm_Stats!$F$19))))</f>
        <v/>
      </c>
      <c r="AT97" s="14">
        <f>IF(AS97="","",1)</f>
        <v/>
      </c>
      <c r="AU97" s="11">
        <f>IF(OR(City_Inputs!$BJ97="",Norm_Stats!$F$26="",Norm_Stats!$G$26="",Norm_Stats!$G$26=Norm_Stats!$F$26),"",MAX(0,MIN(100,100*(MIN(MAX(City_Inputs!$BJ97,Norm_Stats!$F$26),Norm_Stats!$G$26)-Norm_Stats!$F$26)/(Norm_Stats!$G$26-Norm_Stats!$F$26))))</f>
        <v/>
      </c>
      <c r="AV97" s="11">
        <f>IF(AU97="","",1)</f>
        <v/>
      </c>
      <c r="AW97" s="15">
        <f>IF((IF(AO97="",0,5)+IF(AQ97="",0,5)+IF(AS97="",0,5)+IF(AU97="",0,4))=0,"",(IF(AO97="",0,AO97*5)+IF(AQ97="",0,AQ97*5)+IF(AS97="",0,AS97*5)+IF(AU97="",0,AU97*4))/(IF(AO97="",0,5)+IF(AQ97="",0,5)+IF(AS97="",0,5)+IF(AU97="",0,4)))</f>
        <v/>
      </c>
      <c r="AX97" s="14">
        <f>IF((IF(AP97="",0,5)+IF(AR97="",0,5)+IF(AT97="",0,5)+IF(AV97="",0,4))=0,"",(IF(AP97="",0,AP97*5)+IF(AR97="",0,AR97*5)+IF(AT97="",0,AT97*5)+IF(AV97="",0,AV97*4))/19)</f>
        <v/>
      </c>
      <c r="AY97" s="11">
        <f>IF(OR(City_Inputs!$AE97="",Norm_Stats!$F$20="",Norm_Stats!$G$20="",Norm_Stats!$G$20=Norm_Stats!$F$20),"",MAX(0,MIN(100,100*(MIN(MAX(City_Inputs!$AE97,Norm_Stats!$F$20),Norm_Stats!$G$20)-Norm_Stats!$F$20)/(Norm_Stats!$G$20-Norm_Stats!$F$20))))</f>
        <v/>
      </c>
      <c r="AZ97" s="14">
        <f>IF(AY97="","",1)</f>
        <v/>
      </c>
      <c r="BA97" s="11">
        <f>IF(OR(City_Inputs!$AF97="",Norm_Stats!$F$21="",Norm_Stats!$G$21="",Norm_Stats!$G$21=Norm_Stats!$F$21),"",MAX(0,MIN(100,100*(MIN(MAX(City_Inputs!$AF97,Norm_Stats!$F$21),Norm_Stats!$G$21)-Norm_Stats!$F$21)/(Norm_Stats!$G$21-Norm_Stats!$F$21))))</f>
        <v/>
      </c>
      <c r="BB97" s="14">
        <f>IF(BA97="","",1)</f>
        <v/>
      </c>
      <c r="BC97" s="11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(IF(OR(City_Inputs!$AG97="",Norm_Stats!$F$22="",Norm_Stats!$G$22="",Norm_Stats!$G$22=Norm_Stats!$F$22),"",MAX(0,MIN(100,100*(MIN(MAX(City_Inputs!$AG97,Norm_Stats!$F$22),Norm_Stats!$G$22)-Norm_Stats!$F$22)/(Norm_Stats!$G$22-Norm_Stats!$F$22)))))*0.5)+IF((IF(OR(City_Inputs!$AJ97="",Norm_Stats!$F$23="",Norm_Stats!$G$23="",Norm_Stats!$G$23=Norm_Stats!$F$23),"",MAX(0,MIN(100,100*(MIN(MAX(City_Inputs!$AJ97,Norm_Stats!$F$23),Norm_Stats!$G$23)-Norm_Stats!$F$23)/(Norm_Stats!$G$23-Norm_Stats!$F$23)))))="",0,(IF(OR(City_Inputs!$AJ97="",Norm_Stats!$F$23="",Norm_Stats!$G$23="",Norm_Stats!$G$23=Norm_Stats!$F$23),"",MAX(0,MIN(100,100*(MIN(MAX(City_Inputs!$AJ97,Norm_Stats!$F$23),Norm_Stats!$G$23)-Norm_Stats!$F$23)/(Norm_Stats!$G$23-Norm_Stats!$F$23)))))*0.3)+IF((IF(OR(City_Inputs!$AK97="",Norm_Stats!$F$24="",Norm_Stats!$G$24="",Norm_Stats!$G$24=Norm_Stats!$F$24),"",MAX(0,MIN(100,100*(MIN(MAX(City_Inputs!$AK97,Norm_Stats!$F$24),Norm_Stats!$G$24)-Norm_Stats!$F$24)/(Norm_Stats!$G$24-Norm_Stats!$F$24)))))="",0,(IF(OR(City_Inputs!$AK97="",Norm_Stats!$F$24="",Norm_Stats!$G$24="",Norm_Stats!$G$24=Norm_Stats!$F$24),"",MAX(0,MIN(100,100*(MIN(MAX(City_Inputs!$AK97,Norm_Stats!$F$24),Norm_Stats!$G$24)-Norm_Stats!$F$24)/(Norm_Stats!$G$24-Norm_Stats!$F$24)))))*0.2))/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D97" s="14">
        <f>IF(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=0,"",(IF((IF(OR(City_Inputs!$AG97="",Norm_Stats!$F$22="",Norm_Stats!$G$22="",Norm_Stats!$G$22=Norm_Stats!$F$22),"",MAX(0,MIN(100,100*(MIN(MAX(City_Inputs!$AG97,Norm_Stats!$F$22),Norm_Stats!$G$22)-Norm_Stats!$F$22)/(Norm_Stats!$G$22-Norm_Stats!$F$22)))))="",0,0.5)+IF((IF(OR(City_Inputs!$AJ97="",Norm_Stats!$F$23="",Norm_Stats!$G$23="",Norm_Stats!$G$23=Norm_Stats!$F$23),"",MAX(0,MIN(100,100*(MIN(MAX(City_Inputs!$AJ97,Norm_Stats!$F$23),Norm_Stats!$G$23)-Norm_Stats!$F$23)/(Norm_Stats!$G$23-Norm_Stats!$F$23)))))="",0,0.3)+IF((IF(OR(City_Inputs!$AK97="",Norm_Stats!$F$24="",Norm_Stats!$G$24="",Norm_Stats!$G$24=Norm_Stats!$F$24),"",MAX(0,MIN(100,100*(MIN(MAX(City_Inputs!$AK97,Norm_Stats!$F$24),Norm_Stats!$G$24)-Norm_Stats!$F$24)/(Norm_Stats!$G$24-Norm_Stats!$F$24)))))="",0,0.2)))</f>
        <v/>
      </c>
      <c r="BE97" s="11">
        <f>IF(OR(City_Inputs!$AH97="",Norm_Stats!$F$25="",Norm_Stats!$G$25="",Norm_Stats!$G$25=Norm_Stats!$F$25),"",MAX(0,MIN(100,100*(Norm_Stats!$G$25-MIN(MAX(City_Inputs!$AH97,Norm_Stats!$F$25),Norm_Stats!$G$25))/(Norm_Stats!$G$25-Norm_Stats!$F$25))))</f>
        <v/>
      </c>
      <c r="BF97" s="14">
        <f>IF(BE97="","",1)</f>
        <v/>
      </c>
      <c r="BG97" s="15">
        <f>IF((IF(AY97="",0,6)+IF(BA97="",0,5)+IF(BC97="",0,5)+IF(BE97="",0,4))=0,"",(IF(AY97="",0,AY97*6)+IF(BA97="",0,BA97*5)+IF(BC97="",0,BC97*5)+IF(BE97="",0,BE97*4))/(IF(AY97="",0,6)+IF(BA97="",0,5)+IF(BC97="",0,5)+IF(BE97="",0,4)))</f>
        <v/>
      </c>
      <c r="BH97" s="14">
        <f>IF((IF(AZ97="",0,6)+IF(BB97="",0,5)+IF(BD97="",0,5)+IF(BF97="",0,4))=0,"",(IF(AZ97="",0,AZ97*6)+IF(BB97="",0,BB97*5)+IF(BD97="",0,BD97*5)+IF(BF97="",0,BF97*4))/20)</f>
        <v/>
      </c>
      <c r="BI97" s="14">
        <f>IF(AND(R97="",AF97="",AN97="",AX97="",BH97=""),"",((R97*25)+(AF97*22)+(AN97*18)+(AX97*15)+(BH97*20))/100)</f>
        <v/>
      </c>
      <c r="BJ97" s="11">
        <f>IF(BI97="","",IF(BI97&gt;=0.75,"A",IF(BI97&gt;=0.5,"B",IF(BI97&gt;=0.35,"C","Watchlist"))))</f>
        <v/>
      </c>
      <c r="BK97" s="11">
        <f>IF(OR(BI97="",BI97&lt;0.5,R97="",R97&lt;0.35,AF97="",AF97&lt;0.35,AN97="",AN97&lt;0.35,AX97="",AX97&lt;0.35,BH97="",BH97&lt;0.35),"Watchlist","Ranked")</f>
        <v/>
      </c>
      <c r="BL97" s="15">
        <f>IF(AND(Q97="",AE97="",AM97="",AW97="",BG97=""),"",(IF(Q97="",0,Q97*25)+IF(AE97="",0,AE97*22)+IF(AM97="",0,AM97*18)+IF(AW97="",0,AW97*15)+IF(BG97="",0,BG97*20))/(IF(Q97="",0,25)+IF(AE97="",0,22)+IF(AM97="",0,18)+IF(AW97="",0,15)+IF(BG97="",0,20)))</f>
        <v/>
      </c>
      <c r="BM97" s="11">
        <f>IF(BK97="Ranked",1+COUNTIFS($BK$2:$BK$158,"Ranked",$BL$2:$BL$158,"&gt;"&amp;BL97),"")</f>
        <v/>
      </c>
      <c r="BN97" s="11">
        <f>City_Inputs!$AI97</f>
        <v/>
      </c>
    </row>
    <row r="98">
      <c r="A98" t="inlineStr">
        <is>
          <t>na-windhoek</t>
        </is>
      </c>
      <c r="B98" t="inlineStr">
        <is>
          <t>Windhoek</t>
        </is>
      </c>
      <c r="C98" t="inlineStr">
        <is>
          <t>Namibia</t>
        </is>
      </c>
      <c r="D98" t="inlineStr">
        <is>
          <t>Africa</t>
        </is>
      </c>
      <c r="E98" t="inlineStr">
        <is>
          <t>locked</t>
        </is>
      </c>
      <c r="F98" t="inlineStr">
        <is>
          <t>secondary</t>
        </is>
      </c>
      <c r="G98" s="11">
        <f>IF(OR(City_Inputs!$M98="",Norm_Stats!$F$2="",Norm_Stats!$G$2="",Norm_Stats!$G$2=Norm_Stats!$F$2),"",MAX(0,MIN(100,100*(MIN(MAX(City_Inputs!$M98,Norm_Stats!$F$2),Norm_Stats!$G$2)-Norm_Stats!$F$2)/(Norm_Stats!$G$2-Norm_Stats!$F$2))))</f>
        <v/>
      </c>
      <c r="H98" s="14">
        <f>IF(G98="","",1)</f>
        <v/>
      </c>
      <c r="I98" s="11">
        <f>IF(OR(City_Inputs!$N98="",Norm_Stats!$F$3="",Norm_Stats!$G$3="",Norm_Stats!$G$3=Norm_Stats!$F$3),"",MAX(0,MIN(100,100*(Norm_Stats!$G$3-MIN(MAX(City_Inputs!$N98,Norm_Stats!$F$3),Norm_Stats!$G$3))/(Norm_Stats!$G$3-Norm_Stats!$F$3))))</f>
        <v/>
      </c>
      <c r="J98" s="14">
        <f>IF(I98="","",1)</f>
        <v/>
      </c>
      <c r="K98" s="11">
        <f>IF(OR(City_Inputs!$P98="",Norm_Stats!$F$4="",Norm_Stats!$G$4="",Norm_Stats!$G$4=Norm_Stats!$F$4),"",MAX(0,MIN(100,100*(Norm_Stats!$G$4-MIN(MAX(City_Inputs!$P98,Norm_Stats!$F$4),Norm_Stats!$G$4))/(Norm_Stats!$G$4-Norm_Stats!$F$4))))</f>
        <v/>
      </c>
      <c r="L98" s="14">
        <f>IF(K98="","",1)</f>
        <v/>
      </c>
      <c r="M98" s="11">
        <f>IF(OR(City_Inputs!$Q98="",Norm_Stats!$F$5="",Norm_Stats!$G$5="",Norm_Stats!$G$5=Norm_Stats!$F$5),"",MAX(0,MIN(100,100*(Norm_Stats!$G$5-MIN(MAX(City_Inputs!$Q98,Norm_Stats!$F$5),Norm_Stats!$G$5))/(Norm_Stats!$G$5-Norm_Stats!$F$5))))</f>
        <v/>
      </c>
      <c r="N98" s="14">
        <f>IF(M98="","",1)</f>
        <v/>
      </c>
      <c r="O98" s="11">
        <f>IF(OR(City_Inputs!$R98="",Norm_Stats!$F$6="",Norm_Stats!$G$6="",Norm_Stats!$G$6=Norm_Stats!$F$6),"",MAX(0,MIN(100,100*(Norm_Stats!$G$6-MIN(MAX(City_Inputs!$R98,Norm_Stats!$F$6),Norm_Stats!$G$6))/(Norm_Stats!$G$6-Norm_Stats!$F$6))))</f>
        <v/>
      </c>
      <c r="P98" s="14">
        <f>IF(O98="","",1)</f>
        <v/>
      </c>
      <c r="Q98" s="15">
        <f>IF((IF(G98="",0,9)+IF(I98="",0,5)+IF(K98="",0,4)+IF(M98="",0,4)+IF(O98="",0,5))=0,"",(IF(G98="",0,G98*9)+IF(I98="",0,I98*5)+IF(K98="",0,K98*4)+IF(M98="",0,M98*4)+IF(O98="",0,O98*5))/(IF(G98="",0,9)+IF(I98="",0,5)+IF(K98="",0,4)+IF(M98="",0,4)+IF(O98="",0,5)))</f>
        <v/>
      </c>
      <c r="R98" s="14">
        <f>IF((IF(H98="",0,9)+IF(J98="",0,5)+IF(L98="",0,4)+IF(N98="",0,4)+IF(P98="",0,5))=0,"",(IF(H98="",0,H98*9)+IF(J98="",0,J98*5)+IF(L98="",0,L98*4)+IF(N98="",0,N98*4)+IF(P98="",0,P98*5))/27)</f>
        <v/>
      </c>
      <c r="S98" s="11">
        <f>IF(OR(City_Inputs!$S98="",Norm_Stats!$F$7="",Norm_Stats!$G$7="",Norm_Stats!$G$7=Norm_Stats!$F$7),"",MAX(0,MIN(100,100*(Norm_Stats!$G$7-MIN(MAX(City_Inputs!$S98,Norm_Stats!$F$7),Norm_Stats!$G$7))/(Norm_Stats!$G$7-Norm_Stats!$F$7))))</f>
        <v/>
      </c>
      <c r="T98" s="14">
        <f>IF(S98="","",1)</f>
        <v/>
      </c>
      <c r="U98" s="11">
        <f>IF(OR(City_Inputs!$T98="",Norm_Stats!$F$8="",Norm_Stats!$G$8="",Norm_Stats!$G$8=Norm_Stats!$F$8),"",MAX(0,MIN(100,100*(MIN(MAX(City_Inputs!$T98,Norm_Stats!$F$8),Norm_Stats!$G$8)-Norm_Stats!$F$8)/(Norm_Stats!$G$8-Norm_Stats!$F$8))))</f>
        <v/>
      </c>
      <c r="V98" s="14">
        <f>IF(U98="","",1)</f>
        <v/>
      </c>
      <c r="W98" s="11">
        <f>IF(OR(City_Inputs!$U98="",Norm_Stats!$F$9="",Norm_Stats!$G$9="",Norm_Stats!$G$9=Norm_Stats!$F$9),"",MAX(0,MIN(100,100*(Norm_Stats!$G$9-MIN(MAX(City_Inputs!$U98,Norm_Stats!$F$9),Norm_Stats!$G$9))/(Norm_Stats!$G$9-Norm_Stats!$F$9))))</f>
        <v/>
      </c>
      <c r="X98" s="14">
        <f>IF(W98="","",1)</f>
        <v/>
      </c>
      <c r="Y98" s="11">
        <f>IF(OR(City_Inputs!$V98="",Norm_Stats!$F$10="",Norm_Stats!$G$10="",Norm_Stats!$G$10=Norm_Stats!$F$10),"",MAX(0,MIN(100,100*(MIN(MAX(City_Inputs!$V98,Norm_Stats!$F$10),Norm_Stats!$G$10)-Norm_Stats!$F$10)/(Norm_Stats!$G$10-Norm_Stats!$F$10))))</f>
        <v/>
      </c>
      <c r="Z98" s="14">
        <f>IF(Y98="","",1)</f>
        <v/>
      </c>
      <c r="AA98" s="11">
        <f>IF(OR(City_Inputs!$W98="",Norm_Stats!$F$11="",Norm_Stats!$G$11="",Norm_Stats!$G$11=Norm_Stats!$F$11),"",MAX(0,MIN(100,100*(MIN(MAX(City_Inputs!$W98,Norm_Stats!$F$11),Norm_Stats!$G$11)-Norm_Stats!$F$11)/(Norm_Stats!$G$11-Norm_Stats!$F$11))))</f>
        <v/>
      </c>
      <c r="AB98" s="14">
        <f>IF(AA98="","",1)</f>
        <v/>
      </c>
      <c r="AC98" s="11">
        <f>IF(OR(City_Inputs!$X98="",Norm_Stats!$F$12="",Norm_Stats!$G$12="",Norm_Stats!$G$12=Norm_Stats!$F$12),"",MAX(0,MIN(100,100*(MIN(MAX(City_Inputs!$X98,Norm_Stats!$F$12),Norm_Stats!$G$12)-Norm_Stats!$F$12)/(Norm_Stats!$G$12-Norm_Stats!$F$12))))</f>
        <v/>
      </c>
      <c r="AD98" s="11">
        <f>IF(AC98="","",1)</f>
        <v/>
      </c>
      <c r="AE98" s="15">
        <f>IF((IF(S98="",0,5)+IF(U98="",0,5)+IF(W98="",0,4)+IF(Y98="",0,4)+IF(AA98="",0,4)+IF(AC98="",0,5))=0,"",(IF(S98="",0,S98*5)+IF(U98="",0,U98*5)+IF(W98="",0,W98*4)+IF(Y98="",0,Y98*4)+IF(AA98="",0,AA98*4)+IF(AC98="",0,AC98*5))/(IF(S98="",0,5)+IF(U98="",0,5)+IF(W98="",0,4)+IF(Y98="",0,4)+IF(AA98="",0,4)+IF(AC98="",0,5)))</f>
        <v/>
      </c>
      <c r="AF98" s="14">
        <f>IF((IF(T98="",0,5)+IF(V98="",0,5)+IF(X98="",0,4)+IF(Z98="",0,4)+IF(AB98="",0,4)+IF(AD98="",0,5))=0,"",(IF(T98="",0,T98*5)+IF(V98="",0,V98*5)+IF(X98="",0,X98*4)+IF(Z98="",0,Z98*4)+IF(AB98="",0,AB98*4)+IF(AD98="",0,AD98*5))/27)</f>
        <v/>
      </c>
      <c r="AG98" s="11">
        <f>IF(OR(City_Inputs!$Y98="",Norm_Stats!$F$13="",Norm_Stats!$G$13="",Norm_Stats!$G$13=Norm_Stats!$F$13),"",MAX(0,MIN(100,100*(MIN(MAX(City_Inputs!$Y98,Norm_Stats!$F$13),Norm_Stats!$G$13)-Norm_Stats!$F$13)/(Norm_Stats!$G$13-Norm_Stats!$F$13))))</f>
        <v/>
      </c>
      <c r="AH98" s="14">
        <f>IF(AG98="","",1)</f>
        <v/>
      </c>
      <c r="AI98" s="11">
        <f>IF(OR(City_Inputs!$Z98="",Norm_Stats!$F$14="",Norm_Stats!$G$14="",Norm_Stats!$G$14=Norm_Stats!$F$14),"",MAX(0,MIN(100,100*(MIN(MAX(City_Inputs!$Z98,Norm_Stats!$F$14),Norm_Stats!$G$14)-Norm_Stats!$F$14)/(Norm_Stats!$G$14-Norm_Stats!$F$14))))</f>
        <v/>
      </c>
      <c r="AJ98" s="14">
        <f>IF(AI98="","",1)</f>
        <v/>
      </c>
      <c r="AK98" s="11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(IF(OR(City_Inputs!$AA98="",Norm_Stats!$F$15="",Norm_Stats!$G$15="",Norm_Stats!$G$15=Norm_Stats!$F$15),"",MAX(0,MIN(100,100*(MIN(MAX(City_Inputs!$AA98,Norm_Stats!$F$15),Norm_Stats!$G$15)-Norm_Stats!$F$15)/(Norm_Stats!$G$15-Norm_Stats!$F$15)))))*0.7)+IF((IF(OR(City_Inputs!$AL98="",Norm_Stats!$F$16="",Norm_Stats!$G$16="",Norm_Stats!$G$16=Norm_Stats!$F$16),"",MAX(0,MIN(100,100*(Norm_Stats!$G$16-MIN(MAX(City_Inputs!$AL98,Norm_Stats!$F$16),Norm_Stats!$G$16))/(Norm_Stats!$G$16-Norm_Stats!$F$16)))))="",0,(IF(OR(City_Inputs!$AL98="",Norm_Stats!$F$16="",Norm_Stats!$G$16="",Norm_Stats!$G$16=Norm_Stats!$F$16),"",MAX(0,MIN(100,100*(Norm_Stats!$G$16-MIN(MAX(City_Inputs!$AL98,Norm_Stats!$F$16),Norm_Stats!$G$16))/(Norm_Stats!$G$16-Norm_Stats!$F$16)))))*0.3))/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L98" s="14">
        <f>IF(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=0,"",(IF((IF(OR(City_Inputs!$AA98="",Norm_Stats!$F$15="",Norm_Stats!$G$15="",Norm_Stats!$G$15=Norm_Stats!$F$15),"",MAX(0,MIN(100,100*(MIN(MAX(City_Inputs!$AA98,Norm_Stats!$F$15),Norm_Stats!$G$15)-Norm_Stats!$F$15)/(Norm_Stats!$G$15-Norm_Stats!$F$15)))))="",0,0.7)+IF((IF(OR(City_Inputs!$AL98="",Norm_Stats!$F$16="",Norm_Stats!$G$16="",Norm_Stats!$G$16=Norm_Stats!$F$16),"",MAX(0,MIN(100,100*(Norm_Stats!$G$16-MIN(MAX(City_Inputs!$AL98,Norm_Stats!$F$16),Norm_Stats!$G$16))/(Norm_Stats!$G$16-Norm_Stats!$F$16)))))="",0,0.3)))</f>
        <v/>
      </c>
      <c r="AM98" s="15">
        <f>IF((IF(AG98="",0,8)+IF(AI98="",0,6)+IF(AK98="",0,4))=0,"",(IF(AG98="",0,AG98*8)+IF(AI98="",0,AI98*6)+IF(AK98="",0,AK98*4))/(IF(AG98="",0,8)+IF(AI98="",0,6)+IF(AK98="",0,4)))</f>
        <v/>
      </c>
      <c r="AN98" s="14">
        <f>IF((IF(AH98="",0,8)+IF(AJ98="",0,6)+IF(AL98="",0,4))=0,"",(IF(AH98="",0,AH98*8)+IF(AJ98="",0,AJ98*6)+IF(AL98="",0,AL98*4))/18)</f>
        <v/>
      </c>
      <c r="AO98" s="11">
        <f>IF(OR(City_Inputs!$AB98="",Norm_Stats!$F$17="",Norm_Stats!$G$17="",Norm_Stats!$G$17=Norm_Stats!$F$17),"",MAX(0,MIN(100,100*(MIN(MAX(City_Inputs!$AB98,Norm_Stats!$F$17),Norm_Stats!$G$17)-Norm_Stats!$F$17)/(Norm_Stats!$G$17-Norm_Stats!$F$17))))</f>
        <v/>
      </c>
      <c r="AP98" s="14">
        <f>IF(AO98="","",1)</f>
        <v/>
      </c>
      <c r="AQ98" s="11">
        <f>IF(OR(City_Inputs!$AC98="",Norm_Stats!$F$18="",Norm_Stats!$G$18="",Norm_Stats!$G$18=Norm_Stats!$F$18),"",MAX(0,MIN(100,100*(MIN(MAX(City_Inputs!$AC98,Norm_Stats!$F$18),Norm_Stats!$G$18)-Norm_Stats!$F$18)/(Norm_Stats!$G$18-Norm_Stats!$F$18))))</f>
        <v/>
      </c>
      <c r="AR98" s="14">
        <f>IF(AQ98="","",1)</f>
        <v/>
      </c>
      <c r="AS98" s="11">
        <f>IF(OR(City_Inputs!$AD98="",Norm_Stats!$F$19="",Norm_Stats!$G$19="",Norm_Stats!$G$19=Norm_Stats!$F$19),"",MAX(0,MIN(100,100*(MIN(MAX(City_Inputs!$AD98,Norm_Stats!$F$19),Norm_Stats!$G$19)-Norm_Stats!$F$19)/(Norm_Stats!$G$19-Norm_Stats!$F$19))))</f>
        <v/>
      </c>
      <c r="AT98" s="14">
        <f>IF(AS98="","",1)</f>
        <v/>
      </c>
      <c r="AU98" s="11">
        <f>IF(OR(City_Inputs!$BJ98="",Norm_Stats!$F$26="",Norm_Stats!$G$26="",Norm_Stats!$G$26=Norm_Stats!$F$26),"",MAX(0,MIN(100,100*(MIN(MAX(City_Inputs!$BJ98,Norm_Stats!$F$26),Norm_Stats!$G$26)-Norm_Stats!$F$26)/(Norm_Stats!$G$26-Norm_Stats!$F$26))))</f>
        <v/>
      </c>
      <c r="AV98" s="11">
        <f>IF(AU98="","",1)</f>
        <v/>
      </c>
      <c r="AW98" s="15">
        <f>IF((IF(AO98="",0,5)+IF(AQ98="",0,5)+IF(AS98="",0,5)+IF(AU98="",0,4))=0,"",(IF(AO98="",0,AO98*5)+IF(AQ98="",0,AQ98*5)+IF(AS98="",0,AS98*5)+IF(AU98="",0,AU98*4))/(IF(AO98="",0,5)+IF(AQ98="",0,5)+IF(AS98="",0,5)+IF(AU98="",0,4)))</f>
        <v/>
      </c>
      <c r="AX98" s="14">
        <f>IF((IF(AP98="",0,5)+IF(AR98="",0,5)+IF(AT98="",0,5)+IF(AV98="",0,4))=0,"",(IF(AP98="",0,AP98*5)+IF(AR98="",0,AR98*5)+IF(AT98="",0,AT98*5)+IF(AV98="",0,AV98*4))/19)</f>
        <v/>
      </c>
      <c r="AY98" s="11">
        <f>IF(OR(City_Inputs!$AE98="",Norm_Stats!$F$20="",Norm_Stats!$G$20="",Norm_Stats!$G$20=Norm_Stats!$F$20),"",MAX(0,MIN(100,100*(MIN(MAX(City_Inputs!$AE98,Norm_Stats!$F$20),Norm_Stats!$G$20)-Norm_Stats!$F$20)/(Norm_Stats!$G$20-Norm_Stats!$F$20))))</f>
        <v/>
      </c>
      <c r="AZ98" s="14">
        <f>IF(AY98="","",1)</f>
        <v/>
      </c>
      <c r="BA98" s="11">
        <f>IF(OR(City_Inputs!$AF98="",Norm_Stats!$F$21="",Norm_Stats!$G$21="",Norm_Stats!$G$21=Norm_Stats!$F$21),"",MAX(0,MIN(100,100*(MIN(MAX(City_Inputs!$AF98,Norm_Stats!$F$21),Norm_Stats!$G$21)-Norm_Stats!$F$21)/(Norm_Stats!$G$21-Norm_Stats!$F$21))))</f>
        <v/>
      </c>
      <c r="BB98" s="14">
        <f>IF(BA98="","",1)</f>
        <v/>
      </c>
      <c r="BC98" s="11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(IF(OR(City_Inputs!$AG98="",Norm_Stats!$F$22="",Norm_Stats!$G$22="",Norm_Stats!$G$22=Norm_Stats!$F$22),"",MAX(0,MIN(100,100*(MIN(MAX(City_Inputs!$AG98,Norm_Stats!$F$22),Norm_Stats!$G$22)-Norm_Stats!$F$22)/(Norm_Stats!$G$22-Norm_Stats!$F$22)))))*0.5)+IF((IF(OR(City_Inputs!$AJ98="",Norm_Stats!$F$23="",Norm_Stats!$G$23="",Norm_Stats!$G$23=Norm_Stats!$F$23),"",MAX(0,MIN(100,100*(MIN(MAX(City_Inputs!$AJ98,Norm_Stats!$F$23),Norm_Stats!$G$23)-Norm_Stats!$F$23)/(Norm_Stats!$G$23-Norm_Stats!$F$23)))))="",0,(IF(OR(City_Inputs!$AJ98="",Norm_Stats!$F$23="",Norm_Stats!$G$23="",Norm_Stats!$G$23=Norm_Stats!$F$23),"",MAX(0,MIN(100,100*(MIN(MAX(City_Inputs!$AJ98,Norm_Stats!$F$23),Norm_Stats!$G$23)-Norm_Stats!$F$23)/(Norm_Stats!$G$23-Norm_Stats!$F$23)))))*0.3)+IF((IF(OR(City_Inputs!$AK98="",Norm_Stats!$F$24="",Norm_Stats!$G$24="",Norm_Stats!$G$24=Norm_Stats!$F$24),"",MAX(0,MIN(100,100*(MIN(MAX(City_Inputs!$AK98,Norm_Stats!$F$24),Norm_Stats!$G$24)-Norm_Stats!$F$24)/(Norm_Stats!$G$24-Norm_Stats!$F$24)))))="",0,(IF(OR(City_Inputs!$AK98="",Norm_Stats!$F$24="",Norm_Stats!$G$24="",Norm_Stats!$G$24=Norm_Stats!$F$24),"",MAX(0,MIN(100,100*(MIN(MAX(City_Inputs!$AK98,Norm_Stats!$F$24),Norm_Stats!$G$24)-Norm_Stats!$F$24)/(Norm_Stats!$G$24-Norm_Stats!$F$24)))))*0.2))/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D98" s="14">
        <f>IF(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=0,"",(IF((IF(OR(City_Inputs!$AG98="",Norm_Stats!$F$22="",Norm_Stats!$G$22="",Norm_Stats!$G$22=Norm_Stats!$F$22),"",MAX(0,MIN(100,100*(MIN(MAX(City_Inputs!$AG98,Norm_Stats!$F$22),Norm_Stats!$G$22)-Norm_Stats!$F$22)/(Norm_Stats!$G$22-Norm_Stats!$F$22)))))="",0,0.5)+IF((IF(OR(City_Inputs!$AJ98="",Norm_Stats!$F$23="",Norm_Stats!$G$23="",Norm_Stats!$G$23=Norm_Stats!$F$23),"",MAX(0,MIN(100,100*(MIN(MAX(City_Inputs!$AJ98,Norm_Stats!$F$23),Norm_Stats!$G$23)-Norm_Stats!$F$23)/(Norm_Stats!$G$23-Norm_Stats!$F$23)))))="",0,0.3)+IF((IF(OR(City_Inputs!$AK98="",Norm_Stats!$F$24="",Norm_Stats!$G$24="",Norm_Stats!$G$24=Norm_Stats!$F$24),"",MAX(0,MIN(100,100*(MIN(MAX(City_Inputs!$AK98,Norm_Stats!$F$24),Norm_Stats!$G$24)-Norm_Stats!$F$24)/(Norm_Stats!$G$24-Norm_Stats!$F$24)))))="",0,0.2)))</f>
        <v/>
      </c>
      <c r="BE98" s="11">
        <f>IF(OR(City_Inputs!$AH98="",Norm_Stats!$F$25="",Norm_Stats!$G$25="",Norm_Stats!$G$25=Norm_Stats!$F$25),"",MAX(0,MIN(100,100*(Norm_Stats!$G$25-MIN(MAX(City_Inputs!$AH98,Norm_Stats!$F$25),Norm_Stats!$G$25))/(Norm_Stats!$G$25-Norm_Stats!$F$25))))</f>
        <v/>
      </c>
      <c r="BF98" s="14">
        <f>IF(BE98="","",1)</f>
        <v/>
      </c>
      <c r="BG98" s="15">
        <f>IF((IF(AY98="",0,6)+IF(BA98="",0,5)+IF(BC98="",0,5)+IF(BE98="",0,4))=0,"",(IF(AY98="",0,AY98*6)+IF(BA98="",0,BA98*5)+IF(BC98="",0,BC98*5)+IF(BE98="",0,BE98*4))/(IF(AY98="",0,6)+IF(BA98="",0,5)+IF(BC98="",0,5)+IF(BE98="",0,4)))</f>
        <v/>
      </c>
      <c r="BH98" s="14">
        <f>IF((IF(AZ98="",0,6)+IF(BB98="",0,5)+IF(BD98="",0,5)+IF(BF98="",0,4))=0,"",(IF(AZ98="",0,AZ98*6)+IF(BB98="",0,BB98*5)+IF(BD98="",0,BD98*5)+IF(BF98="",0,BF98*4))/20)</f>
        <v/>
      </c>
      <c r="BI98" s="14">
        <f>IF(AND(R98="",AF98="",AN98="",AX98="",BH98=""),"",((R98*25)+(AF98*22)+(AN98*18)+(AX98*15)+(BH98*20))/100)</f>
        <v/>
      </c>
      <c r="BJ98" s="11">
        <f>IF(BI98="","",IF(BI98&gt;=0.75,"A",IF(BI98&gt;=0.5,"B",IF(BI98&gt;=0.35,"C","Watchlist"))))</f>
        <v/>
      </c>
      <c r="BK98" s="11">
        <f>IF(OR(BI98="",BI98&lt;0.5,R98="",R98&lt;0.35,AF98="",AF98&lt;0.35,AN98="",AN98&lt;0.35,AX98="",AX98&lt;0.35,BH98="",BH98&lt;0.35),"Watchlist","Ranked")</f>
        <v/>
      </c>
      <c r="BL98" s="15">
        <f>IF(AND(Q98="",AE98="",AM98="",AW98="",BG98=""),"",(IF(Q98="",0,Q98*25)+IF(AE98="",0,AE98*22)+IF(AM98="",0,AM98*18)+IF(AW98="",0,AW98*15)+IF(BG98="",0,BG98*20))/(IF(Q98="",0,25)+IF(AE98="",0,22)+IF(AM98="",0,18)+IF(AW98="",0,15)+IF(BG98="",0,20)))</f>
        <v/>
      </c>
      <c r="BM98" s="11">
        <f>IF(BK98="Ranked",1+COUNTIFS($BK$2:$BK$158,"Ranked",$BL$2:$BL$158,"&gt;"&amp;BL98),"")</f>
        <v/>
      </c>
      <c r="BN98" s="11">
        <f>City_Inputs!$AI98</f>
        <v/>
      </c>
    </row>
    <row r="99">
      <c r="A99" t="inlineStr">
        <is>
          <t>gh-accra</t>
        </is>
      </c>
      <c r="B99" t="inlineStr">
        <is>
          <t>Accra</t>
        </is>
      </c>
      <c r="C99" t="inlineStr">
        <is>
          <t>Ghana</t>
        </is>
      </c>
      <c r="D99" t="inlineStr">
        <is>
          <t>Africa</t>
        </is>
      </c>
      <c r="E99" t="inlineStr">
        <is>
          <t>locked</t>
        </is>
      </c>
      <c r="F99" t="inlineStr">
        <is>
          <t>secondary</t>
        </is>
      </c>
      <c r="G99" s="11">
        <f>IF(OR(City_Inputs!$M99="",Norm_Stats!$F$2="",Norm_Stats!$G$2="",Norm_Stats!$G$2=Norm_Stats!$F$2),"",MAX(0,MIN(100,100*(MIN(MAX(City_Inputs!$M99,Norm_Stats!$F$2),Norm_Stats!$G$2)-Norm_Stats!$F$2)/(Norm_Stats!$G$2-Norm_Stats!$F$2))))</f>
        <v/>
      </c>
      <c r="H99" s="14">
        <f>IF(G99="","",1)</f>
        <v/>
      </c>
      <c r="I99" s="11">
        <f>IF(OR(City_Inputs!$N99="",Norm_Stats!$F$3="",Norm_Stats!$G$3="",Norm_Stats!$G$3=Norm_Stats!$F$3),"",MAX(0,MIN(100,100*(Norm_Stats!$G$3-MIN(MAX(City_Inputs!$N99,Norm_Stats!$F$3),Norm_Stats!$G$3))/(Norm_Stats!$G$3-Norm_Stats!$F$3))))</f>
        <v/>
      </c>
      <c r="J99" s="14">
        <f>IF(I99="","",1)</f>
        <v/>
      </c>
      <c r="K99" s="11">
        <f>IF(OR(City_Inputs!$P99="",Norm_Stats!$F$4="",Norm_Stats!$G$4="",Norm_Stats!$G$4=Norm_Stats!$F$4),"",MAX(0,MIN(100,100*(Norm_Stats!$G$4-MIN(MAX(City_Inputs!$P99,Norm_Stats!$F$4),Norm_Stats!$G$4))/(Norm_Stats!$G$4-Norm_Stats!$F$4))))</f>
        <v/>
      </c>
      <c r="L99" s="14">
        <f>IF(K99="","",1)</f>
        <v/>
      </c>
      <c r="M99" s="11">
        <f>IF(OR(City_Inputs!$Q99="",Norm_Stats!$F$5="",Norm_Stats!$G$5="",Norm_Stats!$G$5=Norm_Stats!$F$5),"",MAX(0,MIN(100,100*(Norm_Stats!$G$5-MIN(MAX(City_Inputs!$Q99,Norm_Stats!$F$5),Norm_Stats!$G$5))/(Norm_Stats!$G$5-Norm_Stats!$F$5))))</f>
        <v/>
      </c>
      <c r="N99" s="14">
        <f>IF(M99="","",1)</f>
        <v/>
      </c>
      <c r="O99" s="11">
        <f>IF(OR(City_Inputs!$R99="",Norm_Stats!$F$6="",Norm_Stats!$G$6="",Norm_Stats!$G$6=Norm_Stats!$F$6),"",MAX(0,MIN(100,100*(Norm_Stats!$G$6-MIN(MAX(City_Inputs!$R99,Norm_Stats!$F$6),Norm_Stats!$G$6))/(Norm_Stats!$G$6-Norm_Stats!$F$6))))</f>
        <v/>
      </c>
      <c r="P99" s="14">
        <f>IF(O99="","",1)</f>
        <v/>
      </c>
      <c r="Q99" s="15">
        <f>IF((IF(G99="",0,9)+IF(I99="",0,5)+IF(K99="",0,4)+IF(M99="",0,4)+IF(O99="",0,5))=0,"",(IF(G99="",0,G99*9)+IF(I99="",0,I99*5)+IF(K99="",0,K99*4)+IF(M99="",0,M99*4)+IF(O99="",0,O99*5))/(IF(G99="",0,9)+IF(I99="",0,5)+IF(K99="",0,4)+IF(M99="",0,4)+IF(O99="",0,5)))</f>
        <v/>
      </c>
      <c r="R99" s="14">
        <f>IF((IF(H99="",0,9)+IF(J99="",0,5)+IF(L99="",0,4)+IF(N99="",0,4)+IF(P99="",0,5))=0,"",(IF(H99="",0,H99*9)+IF(J99="",0,J99*5)+IF(L99="",0,L99*4)+IF(N99="",0,N99*4)+IF(P99="",0,P99*5))/27)</f>
        <v/>
      </c>
      <c r="S99" s="11">
        <f>IF(OR(City_Inputs!$S99="",Norm_Stats!$F$7="",Norm_Stats!$G$7="",Norm_Stats!$G$7=Norm_Stats!$F$7),"",MAX(0,MIN(100,100*(Norm_Stats!$G$7-MIN(MAX(City_Inputs!$S99,Norm_Stats!$F$7),Norm_Stats!$G$7))/(Norm_Stats!$G$7-Norm_Stats!$F$7))))</f>
        <v/>
      </c>
      <c r="T99" s="14">
        <f>IF(S99="","",1)</f>
        <v/>
      </c>
      <c r="U99" s="11">
        <f>IF(OR(City_Inputs!$T99="",Norm_Stats!$F$8="",Norm_Stats!$G$8="",Norm_Stats!$G$8=Norm_Stats!$F$8),"",MAX(0,MIN(100,100*(MIN(MAX(City_Inputs!$T99,Norm_Stats!$F$8),Norm_Stats!$G$8)-Norm_Stats!$F$8)/(Norm_Stats!$G$8-Norm_Stats!$F$8))))</f>
        <v/>
      </c>
      <c r="V99" s="14">
        <f>IF(U99="","",1)</f>
        <v/>
      </c>
      <c r="W99" s="11">
        <f>IF(OR(City_Inputs!$U99="",Norm_Stats!$F$9="",Norm_Stats!$G$9="",Norm_Stats!$G$9=Norm_Stats!$F$9),"",MAX(0,MIN(100,100*(Norm_Stats!$G$9-MIN(MAX(City_Inputs!$U99,Norm_Stats!$F$9),Norm_Stats!$G$9))/(Norm_Stats!$G$9-Norm_Stats!$F$9))))</f>
        <v/>
      </c>
      <c r="X99" s="14">
        <f>IF(W99="","",1)</f>
        <v/>
      </c>
      <c r="Y99" s="11">
        <f>IF(OR(City_Inputs!$V99="",Norm_Stats!$F$10="",Norm_Stats!$G$10="",Norm_Stats!$G$10=Norm_Stats!$F$10),"",MAX(0,MIN(100,100*(MIN(MAX(City_Inputs!$V99,Norm_Stats!$F$10),Norm_Stats!$G$10)-Norm_Stats!$F$10)/(Norm_Stats!$G$10-Norm_Stats!$F$10))))</f>
        <v/>
      </c>
      <c r="Z99" s="14">
        <f>IF(Y99="","",1)</f>
        <v/>
      </c>
      <c r="AA99" s="11">
        <f>IF(OR(City_Inputs!$W99="",Norm_Stats!$F$11="",Norm_Stats!$G$11="",Norm_Stats!$G$11=Norm_Stats!$F$11),"",MAX(0,MIN(100,100*(MIN(MAX(City_Inputs!$W99,Norm_Stats!$F$11),Norm_Stats!$G$11)-Norm_Stats!$F$11)/(Norm_Stats!$G$11-Norm_Stats!$F$11))))</f>
        <v/>
      </c>
      <c r="AB99" s="14">
        <f>IF(AA99="","",1)</f>
        <v/>
      </c>
      <c r="AC99" s="11">
        <f>IF(OR(City_Inputs!$X99="",Norm_Stats!$F$12="",Norm_Stats!$G$12="",Norm_Stats!$G$12=Norm_Stats!$F$12),"",MAX(0,MIN(100,100*(MIN(MAX(City_Inputs!$X99,Norm_Stats!$F$12),Norm_Stats!$G$12)-Norm_Stats!$F$12)/(Norm_Stats!$G$12-Norm_Stats!$F$12))))</f>
        <v/>
      </c>
      <c r="AD99" s="11">
        <f>IF(AC99="","",1)</f>
        <v/>
      </c>
      <c r="AE99" s="15">
        <f>IF((IF(S99="",0,5)+IF(U99="",0,5)+IF(W99="",0,4)+IF(Y99="",0,4)+IF(AA99="",0,4)+IF(AC99="",0,5))=0,"",(IF(S99="",0,S99*5)+IF(U99="",0,U99*5)+IF(W99="",0,W99*4)+IF(Y99="",0,Y99*4)+IF(AA99="",0,AA99*4)+IF(AC99="",0,AC99*5))/(IF(S99="",0,5)+IF(U99="",0,5)+IF(W99="",0,4)+IF(Y99="",0,4)+IF(AA99="",0,4)+IF(AC99="",0,5)))</f>
        <v/>
      </c>
      <c r="AF99" s="14">
        <f>IF((IF(T99="",0,5)+IF(V99="",0,5)+IF(X99="",0,4)+IF(Z99="",0,4)+IF(AB99="",0,4)+IF(AD99="",0,5))=0,"",(IF(T99="",0,T99*5)+IF(V99="",0,V99*5)+IF(X99="",0,X99*4)+IF(Z99="",0,Z99*4)+IF(AB99="",0,AB99*4)+IF(AD99="",0,AD99*5))/27)</f>
        <v/>
      </c>
      <c r="AG99" s="11">
        <f>IF(OR(City_Inputs!$Y99="",Norm_Stats!$F$13="",Norm_Stats!$G$13="",Norm_Stats!$G$13=Norm_Stats!$F$13),"",MAX(0,MIN(100,100*(MIN(MAX(City_Inputs!$Y99,Norm_Stats!$F$13),Norm_Stats!$G$13)-Norm_Stats!$F$13)/(Norm_Stats!$G$13-Norm_Stats!$F$13))))</f>
        <v/>
      </c>
      <c r="AH99" s="14">
        <f>IF(AG99="","",1)</f>
        <v/>
      </c>
      <c r="AI99" s="11">
        <f>IF(OR(City_Inputs!$Z99="",Norm_Stats!$F$14="",Norm_Stats!$G$14="",Norm_Stats!$G$14=Norm_Stats!$F$14),"",MAX(0,MIN(100,100*(MIN(MAX(City_Inputs!$Z99,Norm_Stats!$F$14),Norm_Stats!$G$14)-Norm_Stats!$F$14)/(Norm_Stats!$G$14-Norm_Stats!$F$14))))</f>
        <v/>
      </c>
      <c r="AJ99" s="14">
        <f>IF(AI99="","",1)</f>
        <v/>
      </c>
      <c r="AK99" s="11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(IF(OR(City_Inputs!$AA99="",Norm_Stats!$F$15="",Norm_Stats!$G$15="",Norm_Stats!$G$15=Norm_Stats!$F$15),"",MAX(0,MIN(100,100*(MIN(MAX(City_Inputs!$AA99,Norm_Stats!$F$15),Norm_Stats!$G$15)-Norm_Stats!$F$15)/(Norm_Stats!$G$15-Norm_Stats!$F$15)))))*0.7)+IF((IF(OR(City_Inputs!$AL99="",Norm_Stats!$F$16="",Norm_Stats!$G$16="",Norm_Stats!$G$16=Norm_Stats!$F$16),"",MAX(0,MIN(100,100*(Norm_Stats!$G$16-MIN(MAX(City_Inputs!$AL99,Norm_Stats!$F$16),Norm_Stats!$G$16))/(Norm_Stats!$G$16-Norm_Stats!$F$16)))))="",0,(IF(OR(City_Inputs!$AL99="",Norm_Stats!$F$16="",Norm_Stats!$G$16="",Norm_Stats!$G$16=Norm_Stats!$F$16),"",MAX(0,MIN(100,100*(Norm_Stats!$G$16-MIN(MAX(City_Inputs!$AL99,Norm_Stats!$F$16),Norm_Stats!$G$16))/(Norm_Stats!$G$16-Norm_Stats!$F$16)))))*0.3))/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L99" s="14">
        <f>IF(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=0,"",(IF((IF(OR(City_Inputs!$AA99="",Norm_Stats!$F$15="",Norm_Stats!$G$15="",Norm_Stats!$G$15=Norm_Stats!$F$15),"",MAX(0,MIN(100,100*(MIN(MAX(City_Inputs!$AA99,Norm_Stats!$F$15),Norm_Stats!$G$15)-Norm_Stats!$F$15)/(Norm_Stats!$G$15-Norm_Stats!$F$15)))))="",0,0.7)+IF((IF(OR(City_Inputs!$AL99="",Norm_Stats!$F$16="",Norm_Stats!$G$16="",Norm_Stats!$G$16=Norm_Stats!$F$16),"",MAX(0,MIN(100,100*(Norm_Stats!$G$16-MIN(MAX(City_Inputs!$AL99,Norm_Stats!$F$16),Norm_Stats!$G$16))/(Norm_Stats!$G$16-Norm_Stats!$F$16)))))="",0,0.3)))</f>
        <v/>
      </c>
      <c r="AM99" s="15">
        <f>IF((IF(AG99="",0,8)+IF(AI99="",0,6)+IF(AK99="",0,4))=0,"",(IF(AG99="",0,AG99*8)+IF(AI99="",0,AI99*6)+IF(AK99="",0,AK99*4))/(IF(AG99="",0,8)+IF(AI99="",0,6)+IF(AK99="",0,4)))</f>
        <v/>
      </c>
      <c r="AN99" s="14">
        <f>IF((IF(AH99="",0,8)+IF(AJ99="",0,6)+IF(AL99="",0,4))=0,"",(IF(AH99="",0,AH99*8)+IF(AJ99="",0,AJ99*6)+IF(AL99="",0,AL99*4))/18)</f>
        <v/>
      </c>
      <c r="AO99" s="11">
        <f>IF(OR(City_Inputs!$AB99="",Norm_Stats!$F$17="",Norm_Stats!$G$17="",Norm_Stats!$G$17=Norm_Stats!$F$17),"",MAX(0,MIN(100,100*(MIN(MAX(City_Inputs!$AB99,Norm_Stats!$F$17),Norm_Stats!$G$17)-Norm_Stats!$F$17)/(Norm_Stats!$G$17-Norm_Stats!$F$17))))</f>
        <v/>
      </c>
      <c r="AP99" s="14">
        <f>IF(AO99="","",1)</f>
        <v/>
      </c>
      <c r="AQ99" s="11">
        <f>IF(OR(City_Inputs!$AC99="",Norm_Stats!$F$18="",Norm_Stats!$G$18="",Norm_Stats!$G$18=Norm_Stats!$F$18),"",MAX(0,MIN(100,100*(MIN(MAX(City_Inputs!$AC99,Norm_Stats!$F$18),Norm_Stats!$G$18)-Norm_Stats!$F$18)/(Norm_Stats!$G$18-Norm_Stats!$F$18))))</f>
        <v/>
      </c>
      <c r="AR99" s="14">
        <f>IF(AQ99="","",1)</f>
        <v/>
      </c>
      <c r="AS99" s="11">
        <f>IF(OR(City_Inputs!$AD99="",Norm_Stats!$F$19="",Norm_Stats!$G$19="",Norm_Stats!$G$19=Norm_Stats!$F$19),"",MAX(0,MIN(100,100*(MIN(MAX(City_Inputs!$AD99,Norm_Stats!$F$19),Norm_Stats!$G$19)-Norm_Stats!$F$19)/(Norm_Stats!$G$19-Norm_Stats!$F$19))))</f>
        <v/>
      </c>
      <c r="AT99" s="14">
        <f>IF(AS99="","",1)</f>
        <v/>
      </c>
      <c r="AU99" s="11">
        <f>IF(OR(City_Inputs!$BJ99="",Norm_Stats!$F$26="",Norm_Stats!$G$26="",Norm_Stats!$G$26=Norm_Stats!$F$26),"",MAX(0,MIN(100,100*(MIN(MAX(City_Inputs!$BJ99,Norm_Stats!$F$26),Norm_Stats!$G$26)-Norm_Stats!$F$26)/(Norm_Stats!$G$26-Norm_Stats!$F$26))))</f>
        <v/>
      </c>
      <c r="AV99" s="11">
        <f>IF(AU99="","",1)</f>
        <v/>
      </c>
      <c r="AW99" s="15">
        <f>IF((IF(AO99="",0,5)+IF(AQ99="",0,5)+IF(AS99="",0,5)+IF(AU99="",0,4))=0,"",(IF(AO99="",0,AO99*5)+IF(AQ99="",0,AQ99*5)+IF(AS99="",0,AS99*5)+IF(AU99="",0,AU99*4))/(IF(AO99="",0,5)+IF(AQ99="",0,5)+IF(AS99="",0,5)+IF(AU99="",0,4)))</f>
        <v/>
      </c>
      <c r="AX99" s="14">
        <f>IF((IF(AP99="",0,5)+IF(AR99="",0,5)+IF(AT99="",0,5)+IF(AV99="",0,4))=0,"",(IF(AP99="",0,AP99*5)+IF(AR99="",0,AR99*5)+IF(AT99="",0,AT99*5)+IF(AV99="",0,AV99*4))/19)</f>
        <v/>
      </c>
      <c r="AY99" s="11">
        <f>IF(OR(City_Inputs!$AE99="",Norm_Stats!$F$20="",Norm_Stats!$G$20="",Norm_Stats!$G$20=Norm_Stats!$F$20),"",MAX(0,MIN(100,100*(MIN(MAX(City_Inputs!$AE99,Norm_Stats!$F$20),Norm_Stats!$G$20)-Norm_Stats!$F$20)/(Norm_Stats!$G$20-Norm_Stats!$F$20))))</f>
        <v/>
      </c>
      <c r="AZ99" s="14">
        <f>IF(AY99="","",1)</f>
        <v/>
      </c>
      <c r="BA99" s="11">
        <f>IF(OR(City_Inputs!$AF99="",Norm_Stats!$F$21="",Norm_Stats!$G$21="",Norm_Stats!$G$21=Norm_Stats!$F$21),"",MAX(0,MIN(100,100*(MIN(MAX(City_Inputs!$AF99,Norm_Stats!$F$21),Norm_Stats!$G$21)-Norm_Stats!$F$21)/(Norm_Stats!$G$21-Norm_Stats!$F$21))))</f>
        <v/>
      </c>
      <c r="BB99" s="14">
        <f>IF(BA99="","",1)</f>
        <v/>
      </c>
      <c r="BC99" s="11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(IF(OR(City_Inputs!$AG99="",Norm_Stats!$F$22="",Norm_Stats!$G$22="",Norm_Stats!$G$22=Norm_Stats!$F$22),"",MAX(0,MIN(100,100*(MIN(MAX(City_Inputs!$AG99,Norm_Stats!$F$22),Norm_Stats!$G$22)-Norm_Stats!$F$22)/(Norm_Stats!$G$22-Norm_Stats!$F$22)))))*0.5)+IF((IF(OR(City_Inputs!$AJ99="",Norm_Stats!$F$23="",Norm_Stats!$G$23="",Norm_Stats!$G$23=Norm_Stats!$F$23),"",MAX(0,MIN(100,100*(MIN(MAX(City_Inputs!$AJ99,Norm_Stats!$F$23),Norm_Stats!$G$23)-Norm_Stats!$F$23)/(Norm_Stats!$G$23-Norm_Stats!$F$23)))))="",0,(IF(OR(City_Inputs!$AJ99="",Norm_Stats!$F$23="",Norm_Stats!$G$23="",Norm_Stats!$G$23=Norm_Stats!$F$23),"",MAX(0,MIN(100,100*(MIN(MAX(City_Inputs!$AJ99,Norm_Stats!$F$23),Norm_Stats!$G$23)-Norm_Stats!$F$23)/(Norm_Stats!$G$23-Norm_Stats!$F$23)))))*0.3)+IF((IF(OR(City_Inputs!$AK99="",Norm_Stats!$F$24="",Norm_Stats!$G$24="",Norm_Stats!$G$24=Norm_Stats!$F$24),"",MAX(0,MIN(100,100*(MIN(MAX(City_Inputs!$AK99,Norm_Stats!$F$24),Norm_Stats!$G$24)-Norm_Stats!$F$24)/(Norm_Stats!$G$24-Norm_Stats!$F$24)))))="",0,(IF(OR(City_Inputs!$AK99="",Norm_Stats!$F$24="",Norm_Stats!$G$24="",Norm_Stats!$G$24=Norm_Stats!$F$24),"",MAX(0,MIN(100,100*(MIN(MAX(City_Inputs!$AK99,Norm_Stats!$F$24),Norm_Stats!$G$24)-Norm_Stats!$F$24)/(Norm_Stats!$G$24-Norm_Stats!$F$24)))))*0.2))/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D99" s="14">
        <f>IF(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=0,"",(IF((IF(OR(City_Inputs!$AG99="",Norm_Stats!$F$22="",Norm_Stats!$G$22="",Norm_Stats!$G$22=Norm_Stats!$F$22),"",MAX(0,MIN(100,100*(MIN(MAX(City_Inputs!$AG99,Norm_Stats!$F$22),Norm_Stats!$G$22)-Norm_Stats!$F$22)/(Norm_Stats!$G$22-Norm_Stats!$F$22)))))="",0,0.5)+IF((IF(OR(City_Inputs!$AJ99="",Norm_Stats!$F$23="",Norm_Stats!$G$23="",Norm_Stats!$G$23=Norm_Stats!$F$23),"",MAX(0,MIN(100,100*(MIN(MAX(City_Inputs!$AJ99,Norm_Stats!$F$23),Norm_Stats!$G$23)-Norm_Stats!$F$23)/(Norm_Stats!$G$23-Norm_Stats!$F$23)))))="",0,0.3)+IF((IF(OR(City_Inputs!$AK99="",Norm_Stats!$F$24="",Norm_Stats!$G$24="",Norm_Stats!$G$24=Norm_Stats!$F$24),"",MAX(0,MIN(100,100*(MIN(MAX(City_Inputs!$AK99,Norm_Stats!$F$24),Norm_Stats!$G$24)-Norm_Stats!$F$24)/(Norm_Stats!$G$24-Norm_Stats!$F$24)))))="",0,0.2)))</f>
        <v/>
      </c>
      <c r="BE99" s="11">
        <f>IF(OR(City_Inputs!$AH99="",Norm_Stats!$F$25="",Norm_Stats!$G$25="",Norm_Stats!$G$25=Norm_Stats!$F$25),"",MAX(0,MIN(100,100*(Norm_Stats!$G$25-MIN(MAX(City_Inputs!$AH99,Norm_Stats!$F$25),Norm_Stats!$G$25))/(Norm_Stats!$G$25-Norm_Stats!$F$25))))</f>
        <v/>
      </c>
      <c r="BF99" s="14">
        <f>IF(BE99="","",1)</f>
        <v/>
      </c>
      <c r="BG99" s="15">
        <f>IF((IF(AY99="",0,6)+IF(BA99="",0,5)+IF(BC99="",0,5)+IF(BE99="",0,4))=0,"",(IF(AY99="",0,AY99*6)+IF(BA99="",0,BA99*5)+IF(BC99="",0,BC99*5)+IF(BE99="",0,BE99*4))/(IF(AY99="",0,6)+IF(BA99="",0,5)+IF(BC99="",0,5)+IF(BE99="",0,4)))</f>
        <v/>
      </c>
      <c r="BH99" s="14">
        <f>IF((IF(AZ99="",0,6)+IF(BB99="",0,5)+IF(BD99="",0,5)+IF(BF99="",0,4))=0,"",(IF(AZ99="",0,AZ99*6)+IF(BB99="",0,BB99*5)+IF(BD99="",0,BD99*5)+IF(BF99="",0,BF99*4))/20)</f>
        <v/>
      </c>
      <c r="BI99" s="14">
        <f>IF(AND(R99="",AF99="",AN99="",AX99="",BH99=""),"",((R99*25)+(AF99*22)+(AN99*18)+(AX99*15)+(BH99*20))/100)</f>
        <v/>
      </c>
      <c r="BJ99" s="11">
        <f>IF(BI99="","",IF(BI99&gt;=0.75,"A",IF(BI99&gt;=0.5,"B",IF(BI99&gt;=0.35,"C","Watchlist"))))</f>
        <v/>
      </c>
      <c r="BK99" s="11">
        <f>IF(OR(BI99="",BI99&lt;0.5,R99="",R99&lt;0.35,AF99="",AF99&lt;0.35,AN99="",AN99&lt;0.35,AX99="",AX99&lt;0.35,BH99="",BH99&lt;0.35),"Watchlist","Ranked")</f>
        <v/>
      </c>
      <c r="BL99" s="15">
        <f>IF(AND(Q99="",AE99="",AM99="",AW99="",BG99=""),"",(IF(Q99="",0,Q99*25)+IF(AE99="",0,AE99*22)+IF(AM99="",0,AM99*18)+IF(AW99="",0,AW99*15)+IF(BG99="",0,BG99*20))/(IF(Q99="",0,25)+IF(AE99="",0,22)+IF(AM99="",0,18)+IF(AW99="",0,15)+IF(BG99="",0,20)))</f>
        <v/>
      </c>
      <c r="BM99" s="11">
        <f>IF(BK99="Ranked",1+COUNTIFS($BK$2:$BK$158,"Ranked",$BL$2:$BL$158,"&gt;"&amp;BL99),"")</f>
        <v/>
      </c>
      <c r="BN99" s="11">
        <f>City_Inputs!$AI99</f>
        <v/>
      </c>
    </row>
    <row r="100">
      <c r="A100" t="inlineStr">
        <is>
          <t>sn-dakar</t>
        </is>
      </c>
      <c r="B100" t="inlineStr">
        <is>
          <t>Dakar</t>
        </is>
      </c>
      <c r="C100" t="inlineStr">
        <is>
          <t>Senegal</t>
        </is>
      </c>
      <c r="D100" t="inlineStr">
        <is>
          <t>Africa</t>
        </is>
      </c>
      <c r="E100" t="inlineStr">
        <is>
          <t>provisional</t>
        </is>
      </c>
      <c r="F100" t="inlineStr">
        <is>
          <t>secondary</t>
        </is>
      </c>
      <c r="G100" s="11">
        <f>IF(OR(City_Inputs!$M100="",Norm_Stats!$F$2="",Norm_Stats!$G$2="",Norm_Stats!$G$2=Norm_Stats!$F$2),"",MAX(0,MIN(100,100*(MIN(MAX(City_Inputs!$M100,Norm_Stats!$F$2),Norm_Stats!$G$2)-Norm_Stats!$F$2)/(Norm_Stats!$G$2-Norm_Stats!$F$2))))</f>
        <v/>
      </c>
      <c r="H100" s="14">
        <f>IF(G100="","",1)</f>
        <v/>
      </c>
      <c r="I100" s="11">
        <f>IF(OR(City_Inputs!$N100="",Norm_Stats!$F$3="",Norm_Stats!$G$3="",Norm_Stats!$G$3=Norm_Stats!$F$3),"",MAX(0,MIN(100,100*(Norm_Stats!$G$3-MIN(MAX(City_Inputs!$N100,Norm_Stats!$F$3),Norm_Stats!$G$3))/(Norm_Stats!$G$3-Norm_Stats!$F$3))))</f>
        <v/>
      </c>
      <c r="J100" s="14">
        <f>IF(I100="","",1)</f>
        <v/>
      </c>
      <c r="K100" s="11">
        <f>IF(OR(City_Inputs!$P100="",Norm_Stats!$F$4="",Norm_Stats!$G$4="",Norm_Stats!$G$4=Norm_Stats!$F$4),"",MAX(0,MIN(100,100*(Norm_Stats!$G$4-MIN(MAX(City_Inputs!$P100,Norm_Stats!$F$4),Norm_Stats!$G$4))/(Norm_Stats!$G$4-Norm_Stats!$F$4))))</f>
        <v/>
      </c>
      <c r="L100" s="14">
        <f>IF(K100="","",1)</f>
        <v/>
      </c>
      <c r="M100" s="11">
        <f>IF(OR(City_Inputs!$Q100="",Norm_Stats!$F$5="",Norm_Stats!$G$5="",Norm_Stats!$G$5=Norm_Stats!$F$5),"",MAX(0,MIN(100,100*(Norm_Stats!$G$5-MIN(MAX(City_Inputs!$Q100,Norm_Stats!$F$5),Norm_Stats!$G$5))/(Norm_Stats!$G$5-Norm_Stats!$F$5))))</f>
        <v/>
      </c>
      <c r="N100" s="14">
        <f>IF(M100="","",1)</f>
        <v/>
      </c>
      <c r="O100" s="11">
        <f>IF(OR(City_Inputs!$R100="",Norm_Stats!$F$6="",Norm_Stats!$G$6="",Norm_Stats!$G$6=Norm_Stats!$F$6),"",MAX(0,MIN(100,100*(Norm_Stats!$G$6-MIN(MAX(City_Inputs!$R100,Norm_Stats!$F$6),Norm_Stats!$G$6))/(Norm_Stats!$G$6-Norm_Stats!$F$6))))</f>
        <v/>
      </c>
      <c r="P100" s="14">
        <f>IF(O100="","",1)</f>
        <v/>
      </c>
      <c r="Q100" s="15">
        <f>IF((IF(G100="",0,9)+IF(I100="",0,5)+IF(K100="",0,4)+IF(M100="",0,4)+IF(O100="",0,5))=0,"",(IF(G100="",0,G100*9)+IF(I100="",0,I100*5)+IF(K100="",0,K100*4)+IF(M100="",0,M100*4)+IF(O100="",0,O100*5))/(IF(G100="",0,9)+IF(I100="",0,5)+IF(K100="",0,4)+IF(M100="",0,4)+IF(O100="",0,5)))</f>
        <v/>
      </c>
      <c r="R100" s="14">
        <f>IF((IF(H100="",0,9)+IF(J100="",0,5)+IF(L100="",0,4)+IF(N100="",0,4)+IF(P100="",0,5))=0,"",(IF(H100="",0,H100*9)+IF(J100="",0,J100*5)+IF(L100="",0,L100*4)+IF(N100="",0,N100*4)+IF(P100="",0,P100*5))/27)</f>
        <v/>
      </c>
      <c r="S100" s="11">
        <f>IF(OR(City_Inputs!$S100="",Norm_Stats!$F$7="",Norm_Stats!$G$7="",Norm_Stats!$G$7=Norm_Stats!$F$7),"",MAX(0,MIN(100,100*(Norm_Stats!$G$7-MIN(MAX(City_Inputs!$S100,Norm_Stats!$F$7),Norm_Stats!$G$7))/(Norm_Stats!$G$7-Norm_Stats!$F$7))))</f>
        <v/>
      </c>
      <c r="T100" s="14">
        <f>IF(S100="","",1)</f>
        <v/>
      </c>
      <c r="U100" s="11">
        <f>IF(OR(City_Inputs!$T100="",Norm_Stats!$F$8="",Norm_Stats!$G$8="",Norm_Stats!$G$8=Norm_Stats!$F$8),"",MAX(0,MIN(100,100*(MIN(MAX(City_Inputs!$T100,Norm_Stats!$F$8),Norm_Stats!$G$8)-Norm_Stats!$F$8)/(Norm_Stats!$G$8-Norm_Stats!$F$8))))</f>
        <v/>
      </c>
      <c r="V100" s="14">
        <f>IF(U100="","",1)</f>
        <v/>
      </c>
      <c r="W100" s="11">
        <f>IF(OR(City_Inputs!$U100="",Norm_Stats!$F$9="",Norm_Stats!$G$9="",Norm_Stats!$G$9=Norm_Stats!$F$9),"",MAX(0,MIN(100,100*(Norm_Stats!$G$9-MIN(MAX(City_Inputs!$U100,Norm_Stats!$F$9),Norm_Stats!$G$9))/(Norm_Stats!$G$9-Norm_Stats!$F$9))))</f>
        <v/>
      </c>
      <c r="X100" s="14">
        <f>IF(W100="","",1)</f>
        <v/>
      </c>
      <c r="Y100" s="11">
        <f>IF(OR(City_Inputs!$V100="",Norm_Stats!$F$10="",Norm_Stats!$G$10="",Norm_Stats!$G$10=Norm_Stats!$F$10),"",MAX(0,MIN(100,100*(MIN(MAX(City_Inputs!$V100,Norm_Stats!$F$10),Norm_Stats!$G$10)-Norm_Stats!$F$10)/(Norm_Stats!$G$10-Norm_Stats!$F$10))))</f>
        <v/>
      </c>
      <c r="Z100" s="14">
        <f>IF(Y100="","",1)</f>
        <v/>
      </c>
      <c r="AA100" s="11">
        <f>IF(OR(City_Inputs!$W100="",Norm_Stats!$F$11="",Norm_Stats!$G$11="",Norm_Stats!$G$11=Norm_Stats!$F$11),"",MAX(0,MIN(100,100*(MIN(MAX(City_Inputs!$W100,Norm_Stats!$F$11),Norm_Stats!$G$11)-Norm_Stats!$F$11)/(Norm_Stats!$G$11-Norm_Stats!$F$11))))</f>
        <v/>
      </c>
      <c r="AB100" s="14">
        <f>IF(AA100="","",1)</f>
        <v/>
      </c>
      <c r="AC100" s="11">
        <f>IF(OR(City_Inputs!$X100="",Norm_Stats!$F$12="",Norm_Stats!$G$12="",Norm_Stats!$G$12=Norm_Stats!$F$12),"",MAX(0,MIN(100,100*(MIN(MAX(City_Inputs!$X100,Norm_Stats!$F$12),Norm_Stats!$G$12)-Norm_Stats!$F$12)/(Norm_Stats!$G$12-Norm_Stats!$F$12))))</f>
        <v/>
      </c>
      <c r="AD100" s="11">
        <f>IF(AC100="","",1)</f>
        <v/>
      </c>
      <c r="AE100" s="15">
        <f>IF((IF(S100="",0,5)+IF(U100="",0,5)+IF(W100="",0,4)+IF(Y100="",0,4)+IF(AA100="",0,4)+IF(AC100="",0,5))=0,"",(IF(S100="",0,S100*5)+IF(U100="",0,U100*5)+IF(W100="",0,W100*4)+IF(Y100="",0,Y100*4)+IF(AA100="",0,AA100*4)+IF(AC100="",0,AC100*5))/(IF(S100="",0,5)+IF(U100="",0,5)+IF(W100="",0,4)+IF(Y100="",0,4)+IF(AA100="",0,4)+IF(AC100="",0,5)))</f>
        <v/>
      </c>
      <c r="AF100" s="14">
        <f>IF((IF(T100="",0,5)+IF(V100="",0,5)+IF(X100="",0,4)+IF(Z100="",0,4)+IF(AB100="",0,4)+IF(AD100="",0,5))=0,"",(IF(T100="",0,T100*5)+IF(V100="",0,V100*5)+IF(X100="",0,X100*4)+IF(Z100="",0,Z100*4)+IF(AB100="",0,AB100*4)+IF(AD100="",0,AD100*5))/27)</f>
        <v/>
      </c>
      <c r="AG100" s="11">
        <f>IF(OR(City_Inputs!$Y100="",Norm_Stats!$F$13="",Norm_Stats!$G$13="",Norm_Stats!$G$13=Norm_Stats!$F$13),"",MAX(0,MIN(100,100*(MIN(MAX(City_Inputs!$Y100,Norm_Stats!$F$13),Norm_Stats!$G$13)-Norm_Stats!$F$13)/(Norm_Stats!$G$13-Norm_Stats!$F$13))))</f>
        <v/>
      </c>
      <c r="AH100" s="14">
        <f>IF(AG100="","",1)</f>
        <v/>
      </c>
      <c r="AI100" s="11">
        <f>IF(OR(City_Inputs!$Z100="",Norm_Stats!$F$14="",Norm_Stats!$G$14="",Norm_Stats!$G$14=Norm_Stats!$F$14),"",MAX(0,MIN(100,100*(MIN(MAX(City_Inputs!$Z100,Norm_Stats!$F$14),Norm_Stats!$G$14)-Norm_Stats!$F$14)/(Norm_Stats!$G$14-Norm_Stats!$F$14))))</f>
        <v/>
      </c>
      <c r="AJ100" s="14">
        <f>IF(AI100="","",1)</f>
        <v/>
      </c>
      <c r="AK100" s="11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(IF(OR(City_Inputs!$AA100="",Norm_Stats!$F$15="",Norm_Stats!$G$15="",Norm_Stats!$G$15=Norm_Stats!$F$15),"",MAX(0,MIN(100,100*(MIN(MAX(City_Inputs!$AA100,Norm_Stats!$F$15),Norm_Stats!$G$15)-Norm_Stats!$F$15)/(Norm_Stats!$G$15-Norm_Stats!$F$15)))))*0.7)+IF((IF(OR(City_Inputs!$AL100="",Norm_Stats!$F$16="",Norm_Stats!$G$16="",Norm_Stats!$G$16=Norm_Stats!$F$16),"",MAX(0,MIN(100,100*(Norm_Stats!$G$16-MIN(MAX(City_Inputs!$AL100,Norm_Stats!$F$16),Norm_Stats!$G$16))/(Norm_Stats!$G$16-Norm_Stats!$F$16)))))="",0,(IF(OR(City_Inputs!$AL100="",Norm_Stats!$F$16="",Norm_Stats!$G$16="",Norm_Stats!$G$16=Norm_Stats!$F$16),"",MAX(0,MIN(100,100*(Norm_Stats!$G$16-MIN(MAX(City_Inputs!$AL100,Norm_Stats!$F$16),Norm_Stats!$G$16))/(Norm_Stats!$G$16-Norm_Stats!$F$16)))))*0.3))/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L100" s="14">
        <f>IF(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=0,"",(IF((IF(OR(City_Inputs!$AA100="",Norm_Stats!$F$15="",Norm_Stats!$G$15="",Norm_Stats!$G$15=Norm_Stats!$F$15),"",MAX(0,MIN(100,100*(MIN(MAX(City_Inputs!$AA100,Norm_Stats!$F$15),Norm_Stats!$G$15)-Norm_Stats!$F$15)/(Norm_Stats!$G$15-Norm_Stats!$F$15)))))="",0,0.7)+IF((IF(OR(City_Inputs!$AL100="",Norm_Stats!$F$16="",Norm_Stats!$G$16="",Norm_Stats!$G$16=Norm_Stats!$F$16),"",MAX(0,MIN(100,100*(Norm_Stats!$G$16-MIN(MAX(City_Inputs!$AL100,Norm_Stats!$F$16),Norm_Stats!$G$16))/(Norm_Stats!$G$16-Norm_Stats!$F$16)))))="",0,0.3)))</f>
        <v/>
      </c>
      <c r="AM100" s="15">
        <f>IF((IF(AG100="",0,8)+IF(AI100="",0,6)+IF(AK100="",0,4))=0,"",(IF(AG100="",0,AG100*8)+IF(AI100="",0,AI100*6)+IF(AK100="",0,AK100*4))/(IF(AG100="",0,8)+IF(AI100="",0,6)+IF(AK100="",0,4)))</f>
        <v/>
      </c>
      <c r="AN100" s="14">
        <f>IF((IF(AH100="",0,8)+IF(AJ100="",0,6)+IF(AL100="",0,4))=0,"",(IF(AH100="",0,AH100*8)+IF(AJ100="",0,AJ100*6)+IF(AL100="",0,AL100*4))/18)</f>
        <v/>
      </c>
      <c r="AO100" s="11">
        <f>IF(OR(City_Inputs!$AB100="",Norm_Stats!$F$17="",Norm_Stats!$G$17="",Norm_Stats!$G$17=Norm_Stats!$F$17),"",MAX(0,MIN(100,100*(MIN(MAX(City_Inputs!$AB100,Norm_Stats!$F$17),Norm_Stats!$G$17)-Norm_Stats!$F$17)/(Norm_Stats!$G$17-Norm_Stats!$F$17))))</f>
        <v/>
      </c>
      <c r="AP100" s="14">
        <f>IF(AO100="","",1)</f>
        <v/>
      </c>
      <c r="AQ100" s="11">
        <f>IF(OR(City_Inputs!$AC100="",Norm_Stats!$F$18="",Norm_Stats!$G$18="",Norm_Stats!$G$18=Norm_Stats!$F$18),"",MAX(0,MIN(100,100*(MIN(MAX(City_Inputs!$AC100,Norm_Stats!$F$18),Norm_Stats!$G$18)-Norm_Stats!$F$18)/(Norm_Stats!$G$18-Norm_Stats!$F$18))))</f>
        <v/>
      </c>
      <c r="AR100" s="14">
        <f>IF(AQ100="","",1)</f>
        <v/>
      </c>
      <c r="AS100" s="11">
        <f>IF(OR(City_Inputs!$AD100="",Norm_Stats!$F$19="",Norm_Stats!$G$19="",Norm_Stats!$G$19=Norm_Stats!$F$19),"",MAX(0,MIN(100,100*(MIN(MAX(City_Inputs!$AD100,Norm_Stats!$F$19),Norm_Stats!$G$19)-Norm_Stats!$F$19)/(Norm_Stats!$G$19-Norm_Stats!$F$19))))</f>
        <v/>
      </c>
      <c r="AT100" s="14">
        <f>IF(AS100="","",1)</f>
        <v/>
      </c>
      <c r="AU100" s="11">
        <f>IF(OR(City_Inputs!$BJ100="",Norm_Stats!$F$26="",Norm_Stats!$G$26="",Norm_Stats!$G$26=Norm_Stats!$F$26),"",MAX(0,MIN(100,100*(MIN(MAX(City_Inputs!$BJ100,Norm_Stats!$F$26),Norm_Stats!$G$26)-Norm_Stats!$F$26)/(Norm_Stats!$G$26-Norm_Stats!$F$26))))</f>
        <v/>
      </c>
      <c r="AV100" s="11">
        <f>IF(AU100="","",1)</f>
        <v/>
      </c>
      <c r="AW100" s="15">
        <f>IF((IF(AO100="",0,5)+IF(AQ100="",0,5)+IF(AS100="",0,5)+IF(AU100="",0,4))=0,"",(IF(AO100="",0,AO100*5)+IF(AQ100="",0,AQ100*5)+IF(AS100="",0,AS100*5)+IF(AU100="",0,AU100*4))/(IF(AO100="",0,5)+IF(AQ100="",0,5)+IF(AS100="",0,5)+IF(AU100="",0,4)))</f>
        <v/>
      </c>
      <c r="AX100" s="14">
        <f>IF((IF(AP100="",0,5)+IF(AR100="",0,5)+IF(AT100="",0,5)+IF(AV100="",0,4))=0,"",(IF(AP100="",0,AP100*5)+IF(AR100="",0,AR100*5)+IF(AT100="",0,AT100*5)+IF(AV100="",0,AV100*4))/19)</f>
        <v/>
      </c>
      <c r="AY100" s="11">
        <f>IF(OR(City_Inputs!$AE100="",Norm_Stats!$F$20="",Norm_Stats!$G$20="",Norm_Stats!$G$20=Norm_Stats!$F$20),"",MAX(0,MIN(100,100*(MIN(MAX(City_Inputs!$AE100,Norm_Stats!$F$20),Norm_Stats!$G$20)-Norm_Stats!$F$20)/(Norm_Stats!$G$20-Norm_Stats!$F$20))))</f>
        <v/>
      </c>
      <c r="AZ100" s="14">
        <f>IF(AY100="","",1)</f>
        <v/>
      </c>
      <c r="BA100" s="11">
        <f>IF(OR(City_Inputs!$AF100="",Norm_Stats!$F$21="",Norm_Stats!$G$21="",Norm_Stats!$G$21=Norm_Stats!$F$21),"",MAX(0,MIN(100,100*(MIN(MAX(City_Inputs!$AF100,Norm_Stats!$F$21),Norm_Stats!$G$21)-Norm_Stats!$F$21)/(Norm_Stats!$G$21-Norm_Stats!$F$21))))</f>
        <v/>
      </c>
      <c r="BB100" s="14">
        <f>IF(BA100="","",1)</f>
        <v/>
      </c>
      <c r="BC100" s="11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(IF(OR(City_Inputs!$AG100="",Norm_Stats!$F$22="",Norm_Stats!$G$22="",Norm_Stats!$G$22=Norm_Stats!$F$22),"",MAX(0,MIN(100,100*(MIN(MAX(City_Inputs!$AG100,Norm_Stats!$F$22),Norm_Stats!$G$22)-Norm_Stats!$F$22)/(Norm_Stats!$G$22-Norm_Stats!$F$22)))))*0.5)+IF((IF(OR(City_Inputs!$AJ100="",Norm_Stats!$F$23="",Norm_Stats!$G$23="",Norm_Stats!$G$23=Norm_Stats!$F$23),"",MAX(0,MIN(100,100*(MIN(MAX(City_Inputs!$AJ100,Norm_Stats!$F$23),Norm_Stats!$G$23)-Norm_Stats!$F$23)/(Norm_Stats!$G$23-Norm_Stats!$F$23)))))="",0,(IF(OR(City_Inputs!$AJ100="",Norm_Stats!$F$23="",Norm_Stats!$G$23="",Norm_Stats!$G$23=Norm_Stats!$F$23),"",MAX(0,MIN(100,100*(MIN(MAX(City_Inputs!$AJ100,Norm_Stats!$F$23),Norm_Stats!$G$23)-Norm_Stats!$F$23)/(Norm_Stats!$G$23-Norm_Stats!$F$23)))))*0.3)+IF((IF(OR(City_Inputs!$AK100="",Norm_Stats!$F$24="",Norm_Stats!$G$24="",Norm_Stats!$G$24=Norm_Stats!$F$24),"",MAX(0,MIN(100,100*(MIN(MAX(City_Inputs!$AK100,Norm_Stats!$F$24),Norm_Stats!$G$24)-Norm_Stats!$F$24)/(Norm_Stats!$G$24-Norm_Stats!$F$24)))))="",0,(IF(OR(City_Inputs!$AK100="",Norm_Stats!$F$24="",Norm_Stats!$G$24="",Norm_Stats!$G$24=Norm_Stats!$F$24),"",MAX(0,MIN(100,100*(MIN(MAX(City_Inputs!$AK100,Norm_Stats!$F$24),Norm_Stats!$G$24)-Norm_Stats!$F$24)/(Norm_Stats!$G$24-Norm_Stats!$F$24)))))*0.2))/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D100" s="14">
        <f>IF(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=0,"",(IF((IF(OR(City_Inputs!$AG100="",Norm_Stats!$F$22="",Norm_Stats!$G$22="",Norm_Stats!$G$22=Norm_Stats!$F$22),"",MAX(0,MIN(100,100*(MIN(MAX(City_Inputs!$AG100,Norm_Stats!$F$22),Norm_Stats!$G$22)-Norm_Stats!$F$22)/(Norm_Stats!$G$22-Norm_Stats!$F$22)))))="",0,0.5)+IF((IF(OR(City_Inputs!$AJ100="",Norm_Stats!$F$23="",Norm_Stats!$G$23="",Norm_Stats!$G$23=Norm_Stats!$F$23),"",MAX(0,MIN(100,100*(MIN(MAX(City_Inputs!$AJ100,Norm_Stats!$F$23),Norm_Stats!$G$23)-Norm_Stats!$F$23)/(Norm_Stats!$G$23-Norm_Stats!$F$23)))))="",0,0.3)+IF((IF(OR(City_Inputs!$AK100="",Norm_Stats!$F$24="",Norm_Stats!$G$24="",Norm_Stats!$G$24=Norm_Stats!$F$24),"",MAX(0,MIN(100,100*(MIN(MAX(City_Inputs!$AK100,Norm_Stats!$F$24),Norm_Stats!$G$24)-Norm_Stats!$F$24)/(Norm_Stats!$G$24-Norm_Stats!$F$24)))))="",0,0.2)))</f>
        <v/>
      </c>
      <c r="BE100" s="11">
        <f>IF(OR(City_Inputs!$AH100="",Norm_Stats!$F$25="",Norm_Stats!$G$25="",Norm_Stats!$G$25=Norm_Stats!$F$25),"",MAX(0,MIN(100,100*(Norm_Stats!$G$25-MIN(MAX(City_Inputs!$AH100,Norm_Stats!$F$25),Norm_Stats!$G$25))/(Norm_Stats!$G$25-Norm_Stats!$F$25))))</f>
        <v/>
      </c>
      <c r="BF100" s="14">
        <f>IF(BE100="","",1)</f>
        <v/>
      </c>
      <c r="BG100" s="15">
        <f>IF((IF(AY100="",0,6)+IF(BA100="",0,5)+IF(BC100="",0,5)+IF(BE100="",0,4))=0,"",(IF(AY100="",0,AY100*6)+IF(BA100="",0,BA100*5)+IF(BC100="",0,BC100*5)+IF(BE100="",0,BE100*4))/(IF(AY100="",0,6)+IF(BA100="",0,5)+IF(BC100="",0,5)+IF(BE100="",0,4)))</f>
        <v/>
      </c>
      <c r="BH100" s="14">
        <f>IF((IF(AZ100="",0,6)+IF(BB100="",0,5)+IF(BD100="",0,5)+IF(BF100="",0,4))=0,"",(IF(AZ100="",0,AZ100*6)+IF(BB100="",0,BB100*5)+IF(BD100="",0,BD100*5)+IF(BF100="",0,BF100*4))/20)</f>
        <v/>
      </c>
      <c r="BI100" s="14">
        <f>IF(AND(R100="",AF100="",AN100="",AX100="",BH100=""),"",((R100*25)+(AF100*22)+(AN100*18)+(AX100*15)+(BH100*20))/100)</f>
        <v/>
      </c>
      <c r="BJ100" s="11">
        <f>IF(BI100="","",IF(BI100&gt;=0.75,"A",IF(BI100&gt;=0.5,"B",IF(BI100&gt;=0.35,"C","Watchlist"))))</f>
        <v/>
      </c>
      <c r="BK100" s="11">
        <f>IF(OR(BI100="",BI100&lt;0.5,R100="",R100&lt;0.35,AF100="",AF100&lt;0.35,AN100="",AN100&lt;0.35,AX100="",AX100&lt;0.35,BH100="",BH100&lt;0.35),"Watchlist","Ranked")</f>
        <v/>
      </c>
      <c r="BL100" s="15">
        <f>IF(AND(Q100="",AE100="",AM100="",AW100="",BG100=""),"",(IF(Q100="",0,Q100*25)+IF(AE100="",0,AE100*22)+IF(AM100="",0,AM100*18)+IF(AW100="",0,AW100*15)+IF(BG100="",0,BG100*20))/(IF(Q100="",0,25)+IF(AE100="",0,22)+IF(AM100="",0,18)+IF(AW100="",0,15)+IF(BG100="",0,20)))</f>
        <v/>
      </c>
      <c r="BM100" s="11">
        <f>IF(BK100="Ranked",1+COUNTIFS($BK$2:$BK$158,"Ranked",$BL$2:$BL$158,"&gt;"&amp;BL100),"")</f>
        <v/>
      </c>
      <c r="BN100" s="11">
        <f>City_Inputs!$AI100</f>
        <v/>
      </c>
    </row>
    <row r="101">
      <c r="A101" t="inlineStr">
        <is>
          <t>nz-auckland</t>
        </is>
      </c>
      <c r="B101" t="inlineStr">
        <is>
          <t>Auckland</t>
        </is>
      </c>
      <c r="C101" t="inlineStr">
        <is>
          <t>New Zealand</t>
        </is>
      </c>
      <c r="D101" t="inlineStr">
        <is>
          <t>Oceania</t>
        </is>
      </c>
      <c r="E101" t="inlineStr">
        <is>
          <t>locked</t>
        </is>
      </c>
      <c r="F101" t="inlineStr">
        <is>
          <t>primary</t>
        </is>
      </c>
      <c r="G101" s="11">
        <f>IF(OR(City_Inputs!$M101="",Norm_Stats!$F$2="",Norm_Stats!$G$2="",Norm_Stats!$G$2=Norm_Stats!$F$2),"",MAX(0,MIN(100,100*(MIN(MAX(City_Inputs!$M101,Norm_Stats!$F$2),Norm_Stats!$G$2)-Norm_Stats!$F$2)/(Norm_Stats!$G$2-Norm_Stats!$F$2))))</f>
        <v/>
      </c>
      <c r="H101" s="14">
        <f>IF(G101="","",1)</f>
        <v/>
      </c>
      <c r="I101" s="11">
        <f>IF(OR(City_Inputs!$N101="",Norm_Stats!$F$3="",Norm_Stats!$G$3="",Norm_Stats!$G$3=Norm_Stats!$F$3),"",MAX(0,MIN(100,100*(Norm_Stats!$G$3-MIN(MAX(City_Inputs!$N101,Norm_Stats!$F$3),Norm_Stats!$G$3))/(Norm_Stats!$G$3-Norm_Stats!$F$3))))</f>
        <v/>
      </c>
      <c r="J101" s="14">
        <f>IF(I101="","",1)</f>
        <v/>
      </c>
      <c r="K101" s="11">
        <f>IF(OR(City_Inputs!$P101="",Norm_Stats!$F$4="",Norm_Stats!$G$4="",Norm_Stats!$G$4=Norm_Stats!$F$4),"",MAX(0,MIN(100,100*(Norm_Stats!$G$4-MIN(MAX(City_Inputs!$P101,Norm_Stats!$F$4),Norm_Stats!$G$4))/(Norm_Stats!$G$4-Norm_Stats!$F$4))))</f>
        <v/>
      </c>
      <c r="L101" s="14">
        <f>IF(K101="","",1)</f>
        <v/>
      </c>
      <c r="M101" s="11">
        <f>IF(OR(City_Inputs!$Q101="",Norm_Stats!$F$5="",Norm_Stats!$G$5="",Norm_Stats!$G$5=Norm_Stats!$F$5),"",MAX(0,MIN(100,100*(Norm_Stats!$G$5-MIN(MAX(City_Inputs!$Q101,Norm_Stats!$F$5),Norm_Stats!$G$5))/(Norm_Stats!$G$5-Norm_Stats!$F$5))))</f>
        <v/>
      </c>
      <c r="N101" s="14">
        <f>IF(M101="","",1)</f>
        <v/>
      </c>
      <c r="O101" s="11">
        <f>IF(OR(City_Inputs!$R101="",Norm_Stats!$F$6="",Norm_Stats!$G$6="",Norm_Stats!$G$6=Norm_Stats!$F$6),"",MAX(0,MIN(100,100*(Norm_Stats!$G$6-MIN(MAX(City_Inputs!$R101,Norm_Stats!$F$6),Norm_Stats!$G$6))/(Norm_Stats!$G$6-Norm_Stats!$F$6))))</f>
        <v/>
      </c>
      <c r="P101" s="14">
        <f>IF(O101="","",1)</f>
        <v/>
      </c>
      <c r="Q101" s="15">
        <f>IF((IF(G101="",0,9)+IF(I101="",0,5)+IF(K101="",0,4)+IF(M101="",0,4)+IF(O101="",0,5))=0,"",(IF(G101="",0,G101*9)+IF(I101="",0,I101*5)+IF(K101="",0,K101*4)+IF(M101="",0,M101*4)+IF(O101="",0,O101*5))/(IF(G101="",0,9)+IF(I101="",0,5)+IF(K101="",0,4)+IF(M101="",0,4)+IF(O101="",0,5)))</f>
        <v/>
      </c>
      <c r="R101" s="14">
        <f>IF((IF(H101="",0,9)+IF(J101="",0,5)+IF(L101="",0,4)+IF(N101="",0,4)+IF(P101="",0,5))=0,"",(IF(H101="",0,H101*9)+IF(J101="",0,J101*5)+IF(L101="",0,L101*4)+IF(N101="",0,N101*4)+IF(P101="",0,P101*5))/27)</f>
        <v/>
      </c>
      <c r="S101" s="11">
        <f>IF(OR(City_Inputs!$S101="",Norm_Stats!$F$7="",Norm_Stats!$G$7="",Norm_Stats!$G$7=Norm_Stats!$F$7),"",MAX(0,MIN(100,100*(Norm_Stats!$G$7-MIN(MAX(City_Inputs!$S101,Norm_Stats!$F$7),Norm_Stats!$G$7))/(Norm_Stats!$G$7-Norm_Stats!$F$7))))</f>
        <v/>
      </c>
      <c r="T101" s="14">
        <f>IF(S101="","",1)</f>
        <v/>
      </c>
      <c r="U101" s="11">
        <f>IF(OR(City_Inputs!$T101="",Norm_Stats!$F$8="",Norm_Stats!$G$8="",Norm_Stats!$G$8=Norm_Stats!$F$8),"",MAX(0,MIN(100,100*(MIN(MAX(City_Inputs!$T101,Norm_Stats!$F$8),Norm_Stats!$G$8)-Norm_Stats!$F$8)/(Norm_Stats!$G$8-Norm_Stats!$F$8))))</f>
        <v/>
      </c>
      <c r="V101" s="14">
        <f>IF(U101="","",1)</f>
        <v/>
      </c>
      <c r="W101" s="11">
        <f>IF(OR(City_Inputs!$U101="",Norm_Stats!$F$9="",Norm_Stats!$G$9="",Norm_Stats!$G$9=Norm_Stats!$F$9),"",MAX(0,MIN(100,100*(Norm_Stats!$G$9-MIN(MAX(City_Inputs!$U101,Norm_Stats!$F$9),Norm_Stats!$G$9))/(Norm_Stats!$G$9-Norm_Stats!$F$9))))</f>
        <v/>
      </c>
      <c r="X101" s="14">
        <f>IF(W101="","",1)</f>
        <v/>
      </c>
      <c r="Y101" s="11">
        <f>IF(OR(City_Inputs!$V101="",Norm_Stats!$F$10="",Norm_Stats!$G$10="",Norm_Stats!$G$10=Norm_Stats!$F$10),"",MAX(0,MIN(100,100*(MIN(MAX(City_Inputs!$V101,Norm_Stats!$F$10),Norm_Stats!$G$10)-Norm_Stats!$F$10)/(Norm_Stats!$G$10-Norm_Stats!$F$10))))</f>
        <v/>
      </c>
      <c r="Z101" s="14">
        <f>IF(Y101="","",1)</f>
        <v/>
      </c>
      <c r="AA101" s="11">
        <f>IF(OR(City_Inputs!$W101="",Norm_Stats!$F$11="",Norm_Stats!$G$11="",Norm_Stats!$G$11=Norm_Stats!$F$11),"",MAX(0,MIN(100,100*(MIN(MAX(City_Inputs!$W101,Norm_Stats!$F$11),Norm_Stats!$G$11)-Norm_Stats!$F$11)/(Norm_Stats!$G$11-Norm_Stats!$F$11))))</f>
        <v/>
      </c>
      <c r="AB101" s="14">
        <f>IF(AA101="","",1)</f>
        <v/>
      </c>
      <c r="AC101" s="11">
        <f>IF(OR(City_Inputs!$X101="",Norm_Stats!$F$12="",Norm_Stats!$G$12="",Norm_Stats!$G$12=Norm_Stats!$F$12),"",MAX(0,MIN(100,100*(MIN(MAX(City_Inputs!$X101,Norm_Stats!$F$12),Norm_Stats!$G$12)-Norm_Stats!$F$12)/(Norm_Stats!$G$12-Norm_Stats!$F$12))))</f>
        <v/>
      </c>
      <c r="AD101" s="11">
        <f>IF(AC101="","",1)</f>
        <v/>
      </c>
      <c r="AE101" s="15">
        <f>IF((IF(S101="",0,5)+IF(U101="",0,5)+IF(W101="",0,4)+IF(Y101="",0,4)+IF(AA101="",0,4)+IF(AC101="",0,5))=0,"",(IF(S101="",0,S101*5)+IF(U101="",0,U101*5)+IF(W101="",0,W101*4)+IF(Y101="",0,Y101*4)+IF(AA101="",0,AA101*4)+IF(AC101="",0,AC101*5))/(IF(S101="",0,5)+IF(U101="",0,5)+IF(W101="",0,4)+IF(Y101="",0,4)+IF(AA101="",0,4)+IF(AC101="",0,5)))</f>
        <v/>
      </c>
      <c r="AF101" s="14">
        <f>IF((IF(T101="",0,5)+IF(V101="",0,5)+IF(X101="",0,4)+IF(Z101="",0,4)+IF(AB101="",0,4)+IF(AD101="",0,5))=0,"",(IF(T101="",0,T101*5)+IF(V101="",0,V101*5)+IF(X101="",0,X101*4)+IF(Z101="",0,Z101*4)+IF(AB101="",0,AB101*4)+IF(AD101="",0,AD101*5))/27)</f>
        <v/>
      </c>
      <c r="AG101" s="11">
        <f>IF(OR(City_Inputs!$Y101="",Norm_Stats!$F$13="",Norm_Stats!$G$13="",Norm_Stats!$G$13=Norm_Stats!$F$13),"",MAX(0,MIN(100,100*(MIN(MAX(City_Inputs!$Y101,Norm_Stats!$F$13),Norm_Stats!$G$13)-Norm_Stats!$F$13)/(Norm_Stats!$G$13-Norm_Stats!$F$13))))</f>
        <v/>
      </c>
      <c r="AH101" s="14">
        <f>IF(AG101="","",1)</f>
        <v/>
      </c>
      <c r="AI101" s="11">
        <f>IF(OR(City_Inputs!$Z101="",Norm_Stats!$F$14="",Norm_Stats!$G$14="",Norm_Stats!$G$14=Norm_Stats!$F$14),"",MAX(0,MIN(100,100*(MIN(MAX(City_Inputs!$Z101,Norm_Stats!$F$14),Norm_Stats!$G$14)-Norm_Stats!$F$14)/(Norm_Stats!$G$14-Norm_Stats!$F$14))))</f>
        <v/>
      </c>
      <c r="AJ101" s="14">
        <f>IF(AI101="","",1)</f>
        <v/>
      </c>
      <c r="AK101" s="11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(IF(OR(City_Inputs!$AA101="",Norm_Stats!$F$15="",Norm_Stats!$G$15="",Norm_Stats!$G$15=Norm_Stats!$F$15),"",MAX(0,MIN(100,100*(MIN(MAX(City_Inputs!$AA101,Norm_Stats!$F$15),Norm_Stats!$G$15)-Norm_Stats!$F$15)/(Norm_Stats!$G$15-Norm_Stats!$F$15)))))*0.7)+IF((IF(OR(City_Inputs!$AL101="",Norm_Stats!$F$16="",Norm_Stats!$G$16="",Norm_Stats!$G$16=Norm_Stats!$F$16),"",MAX(0,MIN(100,100*(Norm_Stats!$G$16-MIN(MAX(City_Inputs!$AL101,Norm_Stats!$F$16),Norm_Stats!$G$16))/(Norm_Stats!$G$16-Norm_Stats!$F$16)))))="",0,(IF(OR(City_Inputs!$AL101="",Norm_Stats!$F$16="",Norm_Stats!$G$16="",Norm_Stats!$G$16=Norm_Stats!$F$16),"",MAX(0,MIN(100,100*(Norm_Stats!$G$16-MIN(MAX(City_Inputs!$AL101,Norm_Stats!$F$16),Norm_Stats!$G$16))/(Norm_Stats!$G$16-Norm_Stats!$F$16)))))*0.3))/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L101" s="14">
        <f>IF(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=0,"",(IF((IF(OR(City_Inputs!$AA101="",Norm_Stats!$F$15="",Norm_Stats!$G$15="",Norm_Stats!$G$15=Norm_Stats!$F$15),"",MAX(0,MIN(100,100*(MIN(MAX(City_Inputs!$AA101,Norm_Stats!$F$15),Norm_Stats!$G$15)-Norm_Stats!$F$15)/(Norm_Stats!$G$15-Norm_Stats!$F$15)))))="",0,0.7)+IF((IF(OR(City_Inputs!$AL101="",Norm_Stats!$F$16="",Norm_Stats!$G$16="",Norm_Stats!$G$16=Norm_Stats!$F$16),"",MAX(0,MIN(100,100*(Norm_Stats!$G$16-MIN(MAX(City_Inputs!$AL101,Norm_Stats!$F$16),Norm_Stats!$G$16))/(Norm_Stats!$G$16-Norm_Stats!$F$16)))))="",0,0.3)))</f>
        <v/>
      </c>
      <c r="AM101" s="15">
        <f>IF((IF(AG101="",0,8)+IF(AI101="",0,6)+IF(AK101="",0,4))=0,"",(IF(AG101="",0,AG101*8)+IF(AI101="",0,AI101*6)+IF(AK101="",0,AK101*4))/(IF(AG101="",0,8)+IF(AI101="",0,6)+IF(AK101="",0,4)))</f>
        <v/>
      </c>
      <c r="AN101" s="14">
        <f>IF((IF(AH101="",0,8)+IF(AJ101="",0,6)+IF(AL101="",0,4))=0,"",(IF(AH101="",0,AH101*8)+IF(AJ101="",0,AJ101*6)+IF(AL101="",0,AL101*4))/18)</f>
        <v/>
      </c>
      <c r="AO101" s="11">
        <f>IF(OR(City_Inputs!$AB101="",Norm_Stats!$F$17="",Norm_Stats!$G$17="",Norm_Stats!$G$17=Norm_Stats!$F$17),"",MAX(0,MIN(100,100*(MIN(MAX(City_Inputs!$AB101,Norm_Stats!$F$17),Norm_Stats!$G$17)-Norm_Stats!$F$17)/(Norm_Stats!$G$17-Norm_Stats!$F$17))))</f>
        <v/>
      </c>
      <c r="AP101" s="14">
        <f>IF(AO101="","",1)</f>
        <v/>
      </c>
      <c r="AQ101" s="11">
        <f>IF(OR(City_Inputs!$AC101="",Norm_Stats!$F$18="",Norm_Stats!$G$18="",Norm_Stats!$G$18=Norm_Stats!$F$18),"",MAX(0,MIN(100,100*(MIN(MAX(City_Inputs!$AC101,Norm_Stats!$F$18),Norm_Stats!$G$18)-Norm_Stats!$F$18)/(Norm_Stats!$G$18-Norm_Stats!$F$18))))</f>
        <v/>
      </c>
      <c r="AR101" s="14">
        <f>IF(AQ101="","",1)</f>
        <v/>
      </c>
      <c r="AS101" s="11">
        <f>IF(OR(City_Inputs!$AD101="",Norm_Stats!$F$19="",Norm_Stats!$G$19="",Norm_Stats!$G$19=Norm_Stats!$F$19),"",MAX(0,MIN(100,100*(MIN(MAX(City_Inputs!$AD101,Norm_Stats!$F$19),Norm_Stats!$G$19)-Norm_Stats!$F$19)/(Norm_Stats!$G$19-Norm_Stats!$F$19))))</f>
        <v/>
      </c>
      <c r="AT101" s="14">
        <f>IF(AS101="","",1)</f>
        <v/>
      </c>
      <c r="AU101" s="11">
        <f>IF(OR(City_Inputs!$BJ101="",Norm_Stats!$F$26="",Norm_Stats!$G$26="",Norm_Stats!$G$26=Norm_Stats!$F$26),"",MAX(0,MIN(100,100*(MIN(MAX(City_Inputs!$BJ101,Norm_Stats!$F$26),Norm_Stats!$G$26)-Norm_Stats!$F$26)/(Norm_Stats!$G$26-Norm_Stats!$F$26))))</f>
        <v/>
      </c>
      <c r="AV101" s="11">
        <f>IF(AU101="","",1)</f>
        <v/>
      </c>
      <c r="AW101" s="15">
        <f>IF((IF(AO101="",0,5)+IF(AQ101="",0,5)+IF(AS101="",0,5)+IF(AU101="",0,4))=0,"",(IF(AO101="",0,AO101*5)+IF(AQ101="",0,AQ101*5)+IF(AS101="",0,AS101*5)+IF(AU101="",0,AU101*4))/(IF(AO101="",0,5)+IF(AQ101="",0,5)+IF(AS101="",0,5)+IF(AU101="",0,4)))</f>
        <v/>
      </c>
      <c r="AX101" s="14">
        <f>IF((IF(AP101="",0,5)+IF(AR101="",0,5)+IF(AT101="",0,5)+IF(AV101="",0,4))=0,"",(IF(AP101="",0,AP101*5)+IF(AR101="",0,AR101*5)+IF(AT101="",0,AT101*5)+IF(AV101="",0,AV101*4))/19)</f>
        <v/>
      </c>
      <c r="AY101" s="11">
        <f>IF(OR(City_Inputs!$AE101="",Norm_Stats!$F$20="",Norm_Stats!$G$20="",Norm_Stats!$G$20=Norm_Stats!$F$20),"",MAX(0,MIN(100,100*(MIN(MAX(City_Inputs!$AE101,Norm_Stats!$F$20),Norm_Stats!$G$20)-Norm_Stats!$F$20)/(Norm_Stats!$G$20-Norm_Stats!$F$20))))</f>
        <v/>
      </c>
      <c r="AZ101" s="14">
        <f>IF(AY101="","",1)</f>
        <v/>
      </c>
      <c r="BA101" s="11">
        <f>IF(OR(City_Inputs!$AF101="",Norm_Stats!$F$21="",Norm_Stats!$G$21="",Norm_Stats!$G$21=Norm_Stats!$F$21),"",MAX(0,MIN(100,100*(MIN(MAX(City_Inputs!$AF101,Norm_Stats!$F$21),Norm_Stats!$G$21)-Norm_Stats!$F$21)/(Norm_Stats!$G$21-Norm_Stats!$F$21))))</f>
        <v/>
      </c>
      <c r="BB101" s="14">
        <f>IF(BA101="","",1)</f>
        <v/>
      </c>
      <c r="BC101" s="11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(IF(OR(City_Inputs!$AG101="",Norm_Stats!$F$22="",Norm_Stats!$G$22="",Norm_Stats!$G$22=Norm_Stats!$F$22),"",MAX(0,MIN(100,100*(MIN(MAX(City_Inputs!$AG101,Norm_Stats!$F$22),Norm_Stats!$G$22)-Norm_Stats!$F$22)/(Norm_Stats!$G$22-Norm_Stats!$F$22)))))*0.5)+IF((IF(OR(City_Inputs!$AJ101="",Norm_Stats!$F$23="",Norm_Stats!$G$23="",Norm_Stats!$G$23=Norm_Stats!$F$23),"",MAX(0,MIN(100,100*(MIN(MAX(City_Inputs!$AJ101,Norm_Stats!$F$23),Norm_Stats!$G$23)-Norm_Stats!$F$23)/(Norm_Stats!$G$23-Norm_Stats!$F$23)))))="",0,(IF(OR(City_Inputs!$AJ101="",Norm_Stats!$F$23="",Norm_Stats!$G$23="",Norm_Stats!$G$23=Norm_Stats!$F$23),"",MAX(0,MIN(100,100*(MIN(MAX(City_Inputs!$AJ101,Norm_Stats!$F$23),Norm_Stats!$G$23)-Norm_Stats!$F$23)/(Norm_Stats!$G$23-Norm_Stats!$F$23)))))*0.3)+IF((IF(OR(City_Inputs!$AK101="",Norm_Stats!$F$24="",Norm_Stats!$G$24="",Norm_Stats!$G$24=Norm_Stats!$F$24),"",MAX(0,MIN(100,100*(MIN(MAX(City_Inputs!$AK101,Norm_Stats!$F$24),Norm_Stats!$G$24)-Norm_Stats!$F$24)/(Norm_Stats!$G$24-Norm_Stats!$F$24)))))="",0,(IF(OR(City_Inputs!$AK101="",Norm_Stats!$F$24="",Norm_Stats!$G$24="",Norm_Stats!$G$24=Norm_Stats!$F$24),"",MAX(0,MIN(100,100*(MIN(MAX(City_Inputs!$AK101,Norm_Stats!$F$24),Norm_Stats!$G$24)-Norm_Stats!$F$24)/(Norm_Stats!$G$24-Norm_Stats!$F$24)))))*0.2))/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D101" s="14">
        <f>IF(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=0,"",(IF((IF(OR(City_Inputs!$AG101="",Norm_Stats!$F$22="",Norm_Stats!$G$22="",Norm_Stats!$G$22=Norm_Stats!$F$22),"",MAX(0,MIN(100,100*(MIN(MAX(City_Inputs!$AG101,Norm_Stats!$F$22),Norm_Stats!$G$22)-Norm_Stats!$F$22)/(Norm_Stats!$G$22-Norm_Stats!$F$22)))))="",0,0.5)+IF((IF(OR(City_Inputs!$AJ101="",Norm_Stats!$F$23="",Norm_Stats!$G$23="",Norm_Stats!$G$23=Norm_Stats!$F$23),"",MAX(0,MIN(100,100*(MIN(MAX(City_Inputs!$AJ101,Norm_Stats!$F$23),Norm_Stats!$G$23)-Norm_Stats!$F$23)/(Norm_Stats!$G$23-Norm_Stats!$F$23)))))="",0,0.3)+IF((IF(OR(City_Inputs!$AK101="",Norm_Stats!$F$24="",Norm_Stats!$G$24="",Norm_Stats!$G$24=Norm_Stats!$F$24),"",MAX(0,MIN(100,100*(MIN(MAX(City_Inputs!$AK101,Norm_Stats!$F$24),Norm_Stats!$G$24)-Norm_Stats!$F$24)/(Norm_Stats!$G$24-Norm_Stats!$F$24)))))="",0,0.2)))</f>
        <v/>
      </c>
      <c r="BE101" s="11">
        <f>IF(OR(City_Inputs!$AH101="",Norm_Stats!$F$25="",Norm_Stats!$G$25="",Norm_Stats!$G$25=Norm_Stats!$F$25),"",MAX(0,MIN(100,100*(Norm_Stats!$G$25-MIN(MAX(City_Inputs!$AH101,Norm_Stats!$F$25),Norm_Stats!$G$25))/(Norm_Stats!$G$25-Norm_Stats!$F$25))))</f>
        <v/>
      </c>
      <c r="BF101" s="14">
        <f>IF(BE101="","",1)</f>
        <v/>
      </c>
      <c r="BG101" s="15">
        <f>IF((IF(AY101="",0,6)+IF(BA101="",0,5)+IF(BC101="",0,5)+IF(BE101="",0,4))=0,"",(IF(AY101="",0,AY101*6)+IF(BA101="",0,BA101*5)+IF(BC101="",0,BC101*5)+IF(BE101="",0,BE101*4))/(IF(AY101="",0,6)+IF(BA101="",0,5)+IF(BC101="",0,5)+IF(BE101="",0,4)))</f>
        <v/>
      </c>
      <c r="BH101" s="14">
        <f>IF((IF(AZ101="",0,6)+IF(BB101="",0,5)+IF(BD101="",0,5)+IF(BF101="",0,4))=0,"",(IF(AZ101="",0,AZ101*6)+IF(BB101="",0,BB101*5)+IF(BD101="",0,BD101*5)+IF(BF101="",0,BF101*4))/20)</f>
        <v/>
      </c>
      <c r="BI101" s="14">
        <f>IF(AND(R101="",AF101="",AN101="",AX101="",BH101=""),"",((R101*25)+(AF101*22)+(AN101*18)+(AX101*15)+(BH101*20))/100)</f>
        <v/>
      </c>
      <c r="BJ101" s="11">
        <f>IF(BI101="","",IF(BI101&gt;=0.75,"A",IF(BI101&gt;=0.5,"B",IF(BI101&gt;=0.35,"C","Watchlist"))))</f>
        <v/>
      </c>
      <c r="BK101" s="11">
        <f>IF(OR(BI101="",BI101&lt;0.5,R101="",R101&lt;0.35,AF101="",AF101&lt;0.35,AN101="",AN101&lt;0.35,AX101="",AX101&lt;0.35,BH101="",BH101&lt;0.35),"Watchlist","Ranked")</f>
        <v/>
      </c>
      <c r="BL101" s="15">
        <f>IF(AND(Q101="",AE101="",AM101="",AW101="",BG101=""),"",(IF(Q101="",0,Q101*25)+IF(AE101="",0,AE101*22)+IF(AM101="",0,AM101*18)+IF(AW101="",0,AW101*15)+IF(BG101="",0,BG101*20))/(IF(Q101="",0,25)+IF(AE101="",0,22)+IF(AM101="",0,18)+IF(AW101="",0,15)+IF(BG101="",0,20)))</f>
        <v/>
      </c>
      <c r="BM101" s="11">
        <f>IF(BK101="Ranked",1+COUNTIFS($BK$2:$BK$158,"Ranked",$BL$2:$BL$158,"&gt;"&amp;BL101),"")</f>
        <v/>
      </c>
      <c r="BN101" s="11">
        <f>City_Inputs!$AI101</f>
        <v/>
      </c>
    </row>
    <row r="102">
      <c r="A102" t="inlineStr">
        <is>
          <t>au-sydney</t>
        </is>
      </c>
      <c r="B102" t="inlineStr">
        <is>
          <t>Sydney</t>
        </is>
      </c>
      <c r="C102" t="inlineStr">
        <is>
          <t>Australia</t>
        </is>
      </c>
      <c r="D102" t="inlineStr">
        <is>
          <t>Oceania</t>
        </is>
      </c>
      <c r="E102" t="inlineStr">
        <is>
          <t>provisional</t>
        </is>
      </c>
      <c r="F102" t="inlineStr">
        <is>
          <t>primary</t>
        </is>
      </c>
      <c r="G102" s="11">
        <f>IF(OR(City_Inputs!$M102="",Norm_Stats!$F$2="",Norm_Stats!$G$2="",Norm_Stats!$G$2=Norm_Stats!$F$2),"",MAX(0,MIN(100,100*(MIN(MAX(City_Inputs!$M102,Norm_Stats!$F$2),Norm_Stats!$G$2)-Norm_Stats!$F$2)/(Norm_Stats!$G$2-Norm_Stats!$F$2))))</f>
        <v/>
      </c>
      <c r="H102" s="14">
        <f>IF(G102="","",1)</f>
        <v/>
      </c>
      <c r="I102" s="11">
        <f>IF(OR(City_Inputs!$N102="",Norm_Stats!$F$3="",Norm_Stats!$G$3="",Norm_Stats!$G$3=Norm_Stats!$F$3),"",MAX(0,MIN(100,100*(Norm_Stats!$G$3-MIN(MAX(City_Inputs!$N102,Norm_Stats!$F$3),Norm_Stats!$G$3))/(Norm_Stats!$G$3-Norm_Stats!$F$3))))</f>
        <v/>
      </c>
      <c r="J102" s="14">
        <f>IF(I102="","",1)</f>
        <v/>
      </c>
      <c r="K102" s="11">
        <f>IF(OR(City_Inputs!$P102="",Norm_Stats!$F$4="",Norm_Stats!$G$4="",Norm_Stats!$G$4=Norm_Stats!$F$4),"",MAX(0,MIN(100,100*(Norm_Stats!$G$4-MIN(MAX(City_Inputs!$P102,Norm_Stats!$F$4),Norm_Stats!$G$4))/(Norm_Stats!$G$4-Norm_Stats!$F$4))))</f>
        <v/>
      </c>
      <c r="L102" s="14">
        <f>IF(K102="","",1)</f>
        <v/>
      </c>
      <c r="M102" s="11">
        <f>IF(OR(City_Inputs!$Q102="",Norm_Stats!$F$5="",Norm_Stats!$G$5="",Norm_Stats!$G$5=Norm_Stats!$F$5),"",MAX(0,MIN(100,100*(Norm_Stats!$G$5-MIN(MAX(City_Inputs!$Q102,Norm_Stats!$F$5),Norm_Stats!$G$5))/(Norm_Stats!$G$5-Norm_Stats!$F$5))))</f>
        <v/>
      </c>
      <c r="N102" s="14">
        <f>IF(M102="","",1)</f>
        <v/>
      </c>
      <c r="O102" s="11">
        <f>IF(OR(City_Inputs!$R102="",Norm_Stats!$F$6="",Norm_Stats!$G$6="",Norm_Stats!$G$6=Norm_Stats!$F$6),"",MAX(0,MIN(100,100*(Norm_Stats!$G$6-MIN(MAX(City_Inputs!$R102,Norm_Stats!$F$6),Norm_Stats!$G$6))/(Norm_Stats!$G$6-Norm_Stats!$F$6))))</f>
        <v/>
      </c>
      <c r="P102" s="14">
        <f>IF(O102="","",1)</f>
        <v/>
      </c>
      <c r="Q102" s="15">
        <f>IF((IF(G102="",0,9)+IF(I102="",0,5)+IF(K102="",0,4)+IF(M102="",0,4)+IF(O102="",0,5))=0,"",(IF(G102="",0,G102*9)+IF(I102="",0,I102*5)+IF(K102="",0,K102*4)+IF(M102="",0,M102*4)+IF(O102="",0,O102*5))/(IF(G102="",0,9)+IF(I102="",0,5)+IF(K102="",0,4)+IF(M102="",0,4)+IF(O102="",0,5)))</f>
        <v/>
      </c>
      <c r="R102" s="14">
        <f>IF((IF(H102="",0,9)+IF(J102="",0,5)+IF(L102="",0,4)+IF(N102="",0,4)+IF(P102="",0,5))=0,"",(IF(H102="",0,H102*9)+IF(J102="",0,J102*5)+IF(L102="",0,L102*4)+IF(N102="",0,N102*4)+IF(P102="",0,P102*5))/27)</f>
        <v/>
      </c>
      <c r="S102" s="11">
        <f>IF(OR(City_Inputs!$S102="",Norm_Stats!$F$7="",Norm_Stats!$G$7="",Norm_Stats!$G$7=Norm_Stats!$F$7),"",MAX(0,MIN(100,100*(Norm_Stats!$G$7-MIN(MAX(City_Inputs!$S102,Norm_Stats!$F$7),Norm_Stats!$G$7))/(Norm_Stats!$G$7-Norm_Stats!$F$7))))</f>
        <v/>
      </c>
      <c r="T102" s="14">
        <f>IF(S102="","",1)</f>
        <v/>
      </c>
      <c r="U102" s="11">
        <f>IF(OR(City_Inputs!$T102="",Norm_Stats!$F$8="",Norm_Stats!$G$8="",Norm_Stats!$G$8=Norm_Stats!$F$8),"",MAX(0,MIN(100,100*(MIN(MAX(City_Inputs!$T102,Norm_Stats!$F$8),Norm_Stats!$G$8)-Norm_Stats!$F$8)/(Norm_Stats!$G$8-Norm_Stats!$F$8))))</f>
        <v/>
      </c>
      <c r="V102" s="14">
        <f>IF(U102="","",1)</f>
        <v/>
      </c>
      <c r="W102" s="11">
        <f>IF(OR(City_Inputs!$U102="",Norm_Stats!$F$9="",Norm_Stats!$G$9="",Norm_Stats!$G$9=Norm_Stats!$F$9),"",MAX(0,MIN(100,100*(Norm_Stats!$G$9-MIN(MAX(City_Inputs!$U102,Norm_Stats!$F$9),Norm_Stats!$G$9))/(Norm_Stats!$G$9-Norm_Stats!$F$9))))</f>
        <v/>
      </c>
      <c r="X102" s="14">
        <f>IF(W102="","",1)</f>
        <v/>
      </c>
      <c r="Y102" s="11">
        <f>IF(OR(City_Inputs!$V102="",Norm_Stats!$F$10="",Norm_Stats!$G$10="",Norm_Stats!$G$10=Norm_Stats!$F$10),"",MAX(0,MIN(100,100*(MIN(MAX(City_Inputs!$V102,Norm_Stats!$F$10),Norm_Stats!$G$10)-Norm_Stats!$F$10)/(Norm_Stats!$G$10-Norm_Stats!$F$10))))</f>
        <v/>
      </c>
      <c r="Z102" s="14">
        <f>IF(Y102="","",1)</f>
        <v/>
      </c>
      <c r="AA102" s="11">
        <f>IF(OR(City_Inputs!$W102="",Norm_Stats!$F$11="",Norm_Stats!$G$11="",Norm_Stats!$G$11=Norm_Stats!$F$11),"",MAX(0,MIN(100,100*(MIN(MAX(City_Inputs!$W102,Norm_Stats!$F$11),Norm_Stats!$G$11)-Norm_Stats!$F$11)/(Norm_Stats!$G$11-Norm_Stats!$F$11))))</f>
        <v/>
      </c>
      <c r="AB102" s="14">
        <f>IF(AA102="","",1)</f>
        <v/>
      </c>
      <c r="AC102" s="11">
        <f>IF(OR(City_Inputs!$X102="",Norm_Stats!$F$12="",Norm_Stats!$G$12="",Norm_Stats!$G$12=Norm_Stats!$F$12),"",MAX(0,MIN(100,100*(MIN(MAX(City_Inputs!$X102,Norm_Stats!$F$12),Norm_Stats!$G$12)-Norm_Stats!$F$12)/(Norm_Stats!$G$12-Norm_Stats!$F$12))))</f>
        <v/>
      </c>
      <c r="AD102" s="11">
        <f>IF(AC102="","",1)</f>
        <v/>
      </c>
      <c r="AE102" s="15">
        <f>IF((IF(S102="",0,5)+IF(U102="",0,5)+IF(W102="",0,4)+IF(Y102="",0,4)+IF(AA102="",0,4)+IF(AC102="",0,5))=0,"",(IF(S102="",0,S102*5)+IF(U102="",0,U102*5)+IF(W102="",0,W102*4)+IF(Y102="",0,Y102*4)+IF(AA102="",0,AA102*4)+IF(AC102="",0,AC102*5))/(IF(S102="",0,5)+IF(U102="",0,5)+IF(W102="",0,4)+IF(Y102="",0,4)+IF(AA102="",0,4)+IF(AC102="",0,5)))</f>
        <v/>
      </c>
      <c r="AF102" s="14">
        <f>IF((IF(T102="",0,5)+IF(V102="",0,5)+IF(X102="",0,4)+IF(Z102="",0,4)+IF(AB102="",0,4)+IF(AD102="",0,5))=0,"",(IF(T102="",0,T102*5)+IF(V102="",0,V102*5)+IF(X102="",0,X102*4)+IF(Z102="",0,Z102*4)+IF(AB102="",0,AB102*4)+IF(AD102="",0,AD102*5))/27)</f>
        <v/>
      </c>
      <c r="AG102" s="11">
        <f>IF(OR(City_Inputs!$Y102="",Norm_Stats!$F$13="",Norm_Stats!$G$13="",Norm_Stats!$G$13=Norm_Stats!$F$13),"",MAX(0,MIN(100,100*(MIN(MAX(City_Inputs!$Y102,Norm_Stats!$F$13),Norm_Stats!$G$13)-Norm_Stats!$F$13)/(Norm_Stats!$G$13-Norm_Stats!$F$13))))</f>
        <v/>
      </c>
      <c r="AH102" s="14">
        <f>IF(AG102="","",1)</f>
        <v/>
      </c>
      <c r="AI102" s="11">
        <f>IF(OR(City_Inputs!$Z102="",Norm_Stats!$F$14="",Norm_Stats!$G$14="",Norm_Stats!$G$14=Norm_Stats!$F$14),"",MAX(0,MIN(100,100*(MIN(MAX(City_Inputs!$Z102,Norm_Stats!$F$14),Norm_Stats!$G$14)-Norm_Stats!$F$14)/(Norm_Stats!$G$14-Norm_Stats!$F$14))))</f>
        <v/>
      </c>
      <c r="AJ102" s="14">
        <f>IF(AI102="","",1)</f>
        <v/>
      </c>
      <c r="AK102" s="11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(IF(OR(City_Inputs!$AA102="",Norm_Stats!$F$15="",Norm_Stats!$G$15="",Norm_Stats!$G$15=Norm_Stats!$F$15),"",MAX(0,MIN(100,100*(MIN(MAX(City_Inputs!$AA102,Norm_Stats!$F$15),Norm_Stats!$G$15)-Norm_Stats!$F$15)/(Norm_Stats!$G$15-Norm_Stats!$F$15)))))*0.7)+IF((IF(OR(City_Inputs!$AL102="",Norm_Stats!$F$16="",Norm_Stats!$G$16="",Norm_Stats!$G$16=Norm_Stats!$F$16),"",MAX(0,MIN(100,100*(Norm_Stats!$G$16-MIN(MAX(City_Inputs!$AL102,Norm_Stats!$F$16),Norm_Stats!$G$16))/(Norm_Stats!$G$16-Norm_Stats!$F$16)))))="",0,(IF(OR(City_Inputs!$AL102="",Norm_Stats!$F$16="",Norm_Stats!$G$16="",Norm_Stats!$G$16=Norm_Stats!$F$16),"",MAX(0,MIN(100,100*(Norm_Stats!$G$16-MIN(MAX(City_Inputs!$AL102,Norm_Stats!$F$16),Norm_Stats!$G$16))/(Norm_Stats!$G$16-Norm_Stats!$F$16)))))*0.3))/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L102" s="14">
        <f>IF(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=0,"",(IF((IF(OR(City_Inputs!$AA102="",Norm_Stats!$F$15="",Norm_Stats!$G$15="",Norm_Stats!$G$15=Norm_Stats!$F$15),"",MAX(0,MIN(100,100*(MIN(MAX(City_Inputs!$AA102,Norm_Stats!$F$15),Norm_Stats!$G$15)-Norm_Stats!$F$15)/(Norm_Stats!$G$15-Norm_Stats!$F$15)))))="",0,0.7)+IF((IF(OR(City_Inputs!$AL102="",Norm_Stats!$F$16="",Norm_Stats!$G$16="",Norm_Stats!$G$16=Norm_Stats!$F$16),"",MAX(0,MIN(100,100*(Norm_Stats!$G$16-MIN(MAX(City_Inputs!$AL102,Norm_Stats!$F$16),Norm_Stats!$G$16))/(Norm_Stats!$G$16-Norm_Stats!$F$16)))))="",0,0.3)))</f>
        <v/>
      </c>
      <c r="AM102" s="15">
        <f>IF((IF(AG102="",0,8)+IF(AI102="",0,6)+IF(AK102="",0,4))=0,"",(IF(AG102="",0,AG102*8)+IF(AI102="",0,AI102*6)+IF(AK102="",0,AK102*4))/(IF(AG102="",0,8)+IF(AI102="",0,6)+IF(AK102="",0,4)))</f>
        <v/>
      </c>
      <c r="AN102" s="14">
        <f>IF((IF(AH102="",0,8)+IF(AJ102="",0,6)+IF(AL102="",0,4))=0,"",(IF(AH102="",0,AH102*8)+IF(AJ102="",0,AJ102*6)+IF(AL102="",0,AL102*4))/18)</f>
        <v/>
      </c>
      <c r="AO102" s="11">
        <f>IF(OR(City_Inputs!$AB102="",Norm_Stats!$F$17="",Norm_Stats!$G$17="",Norm_Stats!$G$17=Norm_Stats!$F$17),"",MAX(0,MIN(100,100*(MIN(MAX(City_Inputs!$AB102,Norm_Stats!$F$17),Norm_Stats!$G$17)-Norm_Stats!$F$17)/(Norm_Stats!$G$17-Norm_Stats!$F$17))))</f>
        <v/>
      </c>
      <c r="AP102" s="14">
        <f>IF(AO102="","",1)</f>
        <v/>
      </c>
      <c r="AQ102" s="11">
        <f>IF(OR(City_Inputs!$AC102="",Norm_Stats!$F$18="",Norm_Stats!$G$18="",Norm_Stats!$G$18=Norm_Stats!$F$18),"",MAX(0,MIN(100,100*(MIN(MAX(City_Inputs!$AC102,Norm_Stats!$F$18),Norm_Stats!$G$18)-Norm_Stats!$F$18)/(Norm_Stats!$G$18-Norm_Stats!$F$18))))</f>
        <v/>
      </c>
      <c r="AR102" s="14">
        <f>IF(AQ102="","",1)</f>
        <v/>
      </c>
      <c r="AS102" s="11">
        <f>IF(OR(City_Inputs!$AD102="",Norm_Stats!$F$19="",Norm_Stats!$G$19="",Norm_Stats!$G$19=Norm_Stats!$F$19),"",MAX(0,MIN(100,100*(MIN(MAX(City_Inputs!$AD102,Norm_Stats!$F$19),Norm_Stats!$G$19)-Norm_Stats!$F$19)/(Norm_Stats!$G$19-Norm_Stats!$F$19))))</f>
        <v/>
      </c>
      <c r="AT102" s="14">
        <f>IF(AS102="","",1)</f>
        <v/>
      </c>
      <c r="AU102" s="11">
        <f>IF(OR(City_Inputs!$BJ102="",Norm_Stats!$F$26="",Norm_Stats!$G$26="",Norm_Stats!$G$26=Norm_Stats!$F$26),"",MAX(0,MIN(100,100*(MIN(MAX(City_Inputs!$BJ102,Norm_Stats!$F$26),Norm_Stats!$G$26)-Norm_Stats!$F$26)/(Norm_Stats!$G$26-Norm_Stats!$F$26))))</f>
        <v/>
      </c>
      <c r="AV102" s="11">
        <f>IF(AU102="","",1)</f>
        <v/>
      </c>
      <c r="AW102" s="15">
        <f>IF((IF(AO102="",0,5)+IF(AQ102="",0,5)+IF(AS102="",0,5)+IF(AU102="",0,4))=0,"",(IF(AO102="",0,AO102*5)+IF(AQ102="",0,AQ102*5)+IF(AS102="",0,AS102*5)+IF(AU102="",0,AU102*4))/(IF(AO102="",0,5)+IF(AQ102="",0,5)+IF(AS102="",0,5)+IF(AU102="",0,4)))</f>
        <v/>
      </c>
      <c r="AX102" s="14">
        <f>IF((IF(AP102="",0,5)+IF(AR102="",0,5)+IF(AT102="",0,5)+IF(AV102="",0,4))=0,"",(IF(AP102="",0,AP102*5)+IF(AR102="",0,AR102*5)+IF(AT102="",0,AT102*5)+IF(AV102="",0,AV102*4))/19)</f>
        <v/>
      </c>
      <c r="AY102" s="11">
        <f>IF(OR(City_Inputs!$AE102="",Norm_Stats!$F$20="",Norm_Stats!$G$20="",Norm_Stats!$G$20=Norm_Stats!$F$20),"",MAX(0,MIN(100,100*(MIN(MAX(City_Inputs!$AE102,Norm_Stats!$F$20),Norm_Stats!$G$20)-Norm_Stats!$F$20)/(Norm_Stats!$G$20-Norm_Stats!$F$20))))</f>
        <v/>
      </c>
      <c r="AZ102" s="14">
        <f>IF(AY102="","",1)</f>
        <v/>
      </c>
      <c r="BA102" s="11">
        <f>IF(OR(City_Inputs!$AF102="",Norm_Stats!$F$21="",Norm_Stats!$G$21="",Norm_Stats!$G$21=Norm_Stats!$F$21),"",MAX(0,MIN(100,100*(MIN(MAX(City_Inputs!$AF102,Norm_Stats!$F$21),Norm_Stats!$G$21)-Norm_Stats!$F$21)/(Norm_Stats!$G$21-Norm_Stats!$F$21))))</f>
        <v/>
      </c>
      <c r="BB102" s="14">
        <f>IF(BA102="","",1)</f>
        <v/>
      </c>
      <c r="BC102" s="11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(IF(OR(City_Inputs!$AG102="",Norm_Stats!$F$22="",Norm_Stats!$G$22="",Norm_Stats!$G$22=Norm_Stats!$F$22),"",MAX(0,MIN(100,100*(MIN(MAX(City_Inputs!$AG102,Norm_Stats!$F$22),Norm_Stats!$G$22)-Norm_Stats!$F$22)/(Norm_Stats!$G$22-Norm_Stats!$F$22)))))*0.5)+IF((IF(OR(City_Inputs!$AJ102="",Norm_Stats!$F$23="",Norm_Stats!$G$23="",Norm_Stats!$G$23=Norm_Stats!$F$23),"",MAX(0,MIN(100,100*(MIN(MAX(City_Inputs!$AJ102,Norm_Stats!$F$23),Norm_Stats!$G$23)-Norm_Stats!$F$23)/(Norm_Stats!$G$23-Norm_Stats!$F$23)))))="",0,(IF(OR(City_Inputs!$AJ102="",Norm_Stats!$F$23="",Norm_Stats!$G$23="",Norm_Stats!$G$23=Norm_Stats!$F$23),"",MAX(0,MIN(100,100*(MIN(MAX(City_Inputs!$AJ102,Norm_Stats!$F$23),Norm_Stats!$G$23)-Norm_Stats!$F$23)/(Norm_Stats!$G$23-Norm_Stats!$F$23)))))*0.3)+IF((IF(OR(City_Inputs!$AK102="",Norm_Stats!$F$24="",Norm_Stats!$G$24="",Norm_Stats!$G$24=Norm_Stats!$F$24),"",MAX(0,MIN(100,100*(MIN(MAX(City_Inputs!$AK102,Norm_Stats!$F$24),Norm_Stats!$G$24)-Norm_Stats!$F$24)/(Norm_Stats!$G$24-Norm_Stats!$F$24)))))="",0,(IF(OR(City_Inputs!$AK102="",Norm_Stats!$F$24="",Norm_Stats!$G$24="",Norm_Stats!$G$24=Norm_Stats!$F$24),"",MAX(0,MIN(100,100*(MIN(MAX(City_Inputs!$AK102,Norm_Stats!$F$24),Norm_Stats!$G$24)-Norm_Stats!$F$24)/(Norm_Stats!$G$24-Norm_Stats!$F$24)))))*0.2))/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D102" s="14">
        <f>IF(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=0,"",(IF((IF(OR(City_Inputs!$AG102="",Norm_Stats!$F$22="",Norm_Stats!$G$22="",Norm_Stats!$G$22=Norm_Stats!$F$22),"",MAX(0,MIN(100,100*(MIN(MAX(City_Inputs!$AG102,Norm_Stats!$F$22),Norm_Stats!$G$22)-Norm_Stats!$F$22)/(Norm_Stats!$G$22-Norm_Stats!$F$22)))))="",0,0.5)+IF((IF(OR(City_Inputs!$AJ102="",Norm_Stats!$F$23="",Norm_Stats!$G$23="",Norm_Stats!$G$23=Norm_Stats!$F$23),"",MAX(0,MIN(100,100*(MIN(MAX(City_Inputs!$AJ102,Norm_Stats!$F$23),Norm_Stats!$G$23)-Norm_Stats!$F$23)/(Norm_Stats!$G$23-Norm_Stats!$F$23)))))="",0,0.3)+IF((IF(OR(City_Inputs!$AK102="",Norm_Stats!$F$24="",Norm_Stats!$G$24="",Norm_Stats!$G$24=Norm_Stats!$F$24),"",MAX(0,MIN(100,100*(MIN(MAX(City_Inputs!$AK102,Norm_Stats!$F$24),Norm_Stats!$G$24)-Norm_Stats!$F$24)/(Norm_Stats!$G$24-Norm_Stats!$F$24)))))="",0,0.2)))</f>
        <v/>
      </c>
      <c r="BE102" s="11">
        <f>IF(OR(City_Inputs!$AH102="",Norm_Stats!$F$25="",Norm_Stats!$G$25="",Norm_Stats!$G$25=Norm_Stats!$F$25),"",MAX(0,MIN(100,100*(Norm_Stats!$G$25-MIN(MAX(City_Inputs!$AH102,Norm_Stats!$F$25),Norm_Stats!$G$25))/(Norm_Stats!$G$25-Norm_Stats!$F$25))))</f>
        <v/>
      </c>
      <c r="BF102" s="14">
        <f>IF(BE102="","",1)</f>
        <v/>
      </c>
      <c r="BG102" s="15">
        <f>IF((IF(AY102="",0,6)+IF(BA102="",0,5)+IF(BC102="",0,5)+IF(BE102="",0,4))=0,"",(IF(AY102="",0,AY102*6)+IF(BA102="",0,BA102*5)+IF(BC102="",0,BC102*5)+IF(BE102="",0,BE102*4))/(IF(AY102="",0,6)+IF(BA102="",0,5)+IF(BC102="",0,5)+IF(BE102="",0,4)))</f>
        <v/>
      </c>
      <c r="BH102" s="14">
        <f>IF((IF(AZ102="",0,6)+IF(BB102="",0,5)+IF(BD102="",0,5)+IF(BF102="",0,4))=0,"",(IF(AZ102="",0,AZ102*6)+IF(BB102="",0,BB102*5)+IF(BD102="",0,BD102*5)+IF(BF102="",0,BF102*4))/20)</f>
        <v/>
      </c>
      <c r="BI102" s="14">
        <f>IF(AND(R102="",AF102="",AN102="",AX102="",BH102=""),"",((R102*25)+(AF102*22)+(AN102*18)+(AX102*15)+(BH102*20))/100)</f>
        <v/>
      </c>
      <c r="BJ102" s="11">
        <f>IF(BI102="","",IF(BI102&gt;=0.75,"A",IF(BI102&gt;=0.5,"B",IF(BI102&gt;=0.35,"C","Watchlist"))))</f>
        <v/>
      </c>
      <c r="BK102" s="11">
        <f>IF(OR(BI102="",BI102&lt;0.5,R102="",R102&lt;0.35,AF102="",AF102&lt;0.35,AN102="",AN102&lt;0.35,AX102="",AX102&lt;0.35,BH102="",BH102&lt;0.35),"Watchlist","Ranked")</f>
        <v/>
      </c>
      <c r="BL102" s="15">
        <f>IF(AND(Q102="",AE102="",AM102="",AW102="",BG102=""),"",(IF(Q102="",0,Q102*25)+IF(AE102="",0,AE102*22)+IF(AM102="",0,AM102*18)+IF(AW102="",0,AW102*15)+IF(BG102="",0,BG102*20))/(IF(Q102="",0,25)+IF(AE102="",0,22)+IF(AM102="",0,18)+IF(AW102="",0,15)+IF(BG102="",0,20)))</f>
        <v/>
      </c>
      <c r="BM102" s="11">
        <f>IF(BK102="Ranked",1+COUNTIFS($BK$2:$BK$158,"Ranked",$BL$2:$BL$158,"&gt;"&amp;BL102),"")</f>
        <v/>
      </c>
      <c r="BN102" s="11">
        <f>City_Inputs!$AI102</f>
        <v/>
      </c>
    </row>
    <row r="103">
      <c r="A103" t="inlineStr">
        <is>
          <t>au-melbourne</t>
        </is>
      </c>
      <c r="B103" t="inlineStr">
        <is>
          <t>Melbourne</t>
        </is>
      </c>
      <c r="C103" t="inlineStr">
        <is>
          <t>Australia</t>
        </is>
      </c>
      <c r="D103" t="inlineStr">
        <is>
          <t>Oceania</t>
        </is>
      </c>
      <c r="E103" t="inlineStr">
        <is>
          <t>provisional</t>
        </is>
      </c>
      <c r="F103" t="inlineStr">
        <is>
          <t>primary</t>
        </is>
      </c>
      <c r="G103" s="11">
        <f>IF(OR(City_Inputs!$M103="",Norm_Stats!$F$2="",Norm_Stats!$G$2="",Norm_Stats!$G$2=Norm_Stats!$F$2),"",MAX(0,MIN(100,100*(MIN(MAX(City_Inputs!$M103,Norm_Stats!$F$2),Norm_Stats!$G$2)-Norm_Stats!$F$2)/(Norm_Stats!$G$2-Norm_Stats!$F$2))))</f>
        <v/>
      </c>
      <c r="H103" s="14">
        <f>IF(G103="","",1)</f>
        <v/>
      </c>
      <c r="I103" s="11">
        <f>IF(OR(City_Inputs!$N103="",Norm_Stats!$F$3="",Norm_Stats!$G$3="",Norm_Stats!$G$3=Norm_Stats!$F$3),"",MAX(0,MIN(100,100*(Norm_Stats!$G$3-MIN(MAX(City_Inputs!$N103,Norm_Stats!$F$3),Norm_Stats!$G$3))/(Norm_Stats!$G$3-Norm_Stats!$F$3))))</f>
        <v/>
      </c>
      <c r="J103" s="14">
        <f>IF(I103="","",1)</f>
        <v/>
      </c>
      <c r="K103" s="11">
        <f>IF(OR(City_Inputs!$P103="",Norm_Stats!$F$4="",Norm_Stats!$G$4="",Norm_Stats!$G$4=Norm_Stats!$F$4),"",MAX(0,MIN(100,100*(Norm_Stats!$G$4-MIN(MAX(City_Inputs!$P103,Norm_Stats!$F$4),Norm_Stats!$G$4))/(Norm_Stats!$G$4-Norm_Stats!$F$4))))</f>
        <v/>
      </c>
      <c r="L103" s="14">
        <f>IF(K103="","",1)</f>
        <v/>
      </c>
      <c r="M103" s="11">
        <f>IF(OR(City_Inputs!$Q103="",Norm_Stats!$F$5="",Norm_Stats!$G$5="",Norm_Stats!$G$5=Norm_Stats!$F$5),"",MAX(0,MIN(100,100*(Norm_Stats!$G$5-MIN(MAX(City_Inputs!$Q103,Norm_Stats!$F$5),Norm_Stats!$G$5))/(Norm_Stats!$G$5-Norm_Stats!$F$5))))</f>
        <v/>
      </c>
      <c r="N103" s="14">
        <f>IF(M103="","",1)</f>
        <v/>
      </c>
      <c r="O103" s="11">
        <f>IF(OR(City_Inputs!$R103="",Norm_Stats!$F$6="",Norm_Stats!$G$6="",Norm_Stats!$G$6=Norm_Stats!$F$6),"",MAX(0,MIN(100,100*(Norm_Stats!$G$6-MIN(MAX(City_Inputs!$R103,Norm_Stats!$F$6),Norm_Stats!$G$6))/(Norm_Stats!$G$6-Norm_Stats!$F$6))))</f>
        <v/>
      </c>
      <c r="P103" s="14">
        <f>IF(O103="","",1)</f>
        <v/>
      </c>
      <c r="Q103" s="15">
        <f>IF((IF(G103="",0,9)+IF(I103="",0,5)+IF(K103="",0,4)+IF(M103="",0,4)+IF(O103="",0,5))=0,"",(IF(G103="",0,G103*9)+IF(I103="",0,I103*5)+IF(K103="",0,K103*4)+IF(M103="",0,M103*4)+IF(O103="",0,O103*5))/(IF(G103="",0,9)+IF(I103="",0,5)+IF(K103="",0,4)+IF(M103="",0,4)+IF(O103="",0,5)))</f>
        <v/>
      </c>
      <c r="R103" s="14">
        <f>IF((IF(H103="",0,9)+IF(J103="",0,5)+IF(L103="",0,4)+IF(N103="",0,4)+IF(P103="",0,5))=0,"",(IF(H103="",0,H103*9)+IF(J103="",0,J103*5)+IF(L103="",0,L103*4)+IF(N103="",0,N103*4)+IF(P103="",0,P103*5))/27)</f>
        <v/>
      </c>
      <c r="S103" s="11">
        <f>IF(OR(City_Inputs!$S103="",Norm_Stats!$F$7="",Norm_Stats!$G$7="",Norm_Stats!$G$7=Norm_Stats!$F$7),"",MAX(0,MIN(100,100*(Norm_Stats!$G$7-MIN(MAX(City_Inputs!$S103,Norm_Stats!$F$7),Norm_Stats!$G$7))/(Norm_Stats!$G$7-Norm_Stats!$F$7))))</f>
        <v/>
      </c>
      <c r="T103" s="14">
        <f>IF(S103="","",1)</f>
        <v/>
      </c>
      <c r="U103" s="11">
        <f>IF(OR(City_Inputs!$T103="",Norm_Stats!$F$8="",Norm_Stats!$G$8="",Norm_Stats!$G$8=Norm_Stats!$F$8),"",MAX(0,MIN(100,100*(MIN(MAX(City_Inputs!$T103,Norm_Stats!$F$8),Norm_Stats!$G$8)-Norm_Stats!$F$8)/(Norm_Stats!$G$8-Norm_Stats!$F$8))))</f>
        <v/>
      </c>
      <c r="V103" s="14">
        <f>IF(U103="","",1)</f>
        <v/>
      </c>
      <c r="W103" s="11">
        <f>IF(OR(City_Inputs!$U103="",Norm_Stats!$F$9="",Norm_Stats!$G$9="",Norm_Stats!$G$9=Norm_Stats!$F$9),"",MAX(0,MIN(100,100*(Norm_Stats!$G$9-MIN(MAX(City_Inputs!$U103,Norm_Stats!$F$9),Norm_Stats!$G$9))/(Norm_Stats!$G$9-Norm_Stats!$F$9))))</f>
        <v/>
      </c>
      <c r="X103" s="14">
        <f>IF(W103="","",1)</f>
        <v/>
      </c>
      <c r="Y103" s="11">
        <f>IF(OR(City_Inputs!$V103="",Norm_Stats!$F$10="",Norm_Stats!$G$10="",Norm_Stats!$G$10=Norm_Stats!$F$10),"",MAX(0,MIN(100,100*(MIN(MAX(City_Inputs!$V103,Norm_Stats!$F$10),Norm_Stats!$G$10)-Norm_Stats!$F$10)/(Norm_Stats!$G$10-Norm_Stats!$F$10))))</f>
        <v/>
      </c>
      <c r="Z103" s="14">
        <f>IF(Y103="","",1)</f>
        <v/>
      </c>
      <c r="AA103" s="11">
        <f>IF(OR(City_Inputs!$W103="",Norm_Stats!$F$11="",Norm_Stats!$G$11="",Norm_Stats!$G$11=Norm_Stats!$F$11),"",MAX(0,MIN(100,100*(MIN(MAX(City_Inputs!$W103,Norm_Stats!$F$11),Norm_Stats!$G$11)-Norm_Stats!$F$11)/(Norm_Stats!$G$11-Norm_Stats!$F$11))))</f>
        <v/>
      </c>
      <c r="AB103" s="14">
        <f>IF(AA103="","",1)</f>
        <v/>
      </c>
      <c r="AC103" s="11">
        <f>IF(OR(City_Inputs!$X103="",Norm_Stats!$F$12="",Norm_Stats!$G$12="",Norm_Stats!$G$12=Norm_Stats!$F$12),"",MAX(0,MIN(100,100*(MIN(MAX(City_Inputs!$X103,Norm_Stats!$F$12),Norm_Stats!$G$12)-Norm_Stats!$F$12)/(Norm_Stats!$G$12-Norm_Stats!$F$12))))</f>
        <v/>
      </c>
      <c r="AD103" s="11">
        <f>IF(AC103="","",1)</f>
        <v/>
      </c>
      <c r="AE103" s="15">
        <f>IF((IF(S103="",0,5)+IF(U103="",0,5)+IF(W103="",0,4)+IF(Y103="",0,4)+IF(AA103="",0,4)+IF(AC103="",0,5))=0,"",(IF(S103="",0,S103*5)+IF(U103="",0,U103*5)+IF(W103="",0,W103*4)+IF(Y103="",0,Y103*4)+IF(AA103="",0,AA103*4)+IF(AC103="",0,AC103*5))/(IF(S103="",0,5)+IF(U103="",0,5)+IF(W103="",0,4)+IF(Y103="",0,4)+IF(AA103="",0,4)+IF(AC103="",0,5)))</f>
        <v/>
      </c>
      <c r="AF103" s="14">
        <f>IF((IF(T103="",0,5)+IF(V103="",0,5)+IF(X103="",0,4)+IF(Z103="",0,4)+IF(AB103="",0,4)+IF(AD103="",0,5))=0,"",(IF(T103="",0,T103*5)+IF(V103="",0,V103*5)+IF(X103="",0,X103*4)+IF(Z103="",0,Z103*4)+IF(AB103="",0,AB103*4)+IF(AD103="",0,AD103*5))/27)</f>
        <v/>
      </c>
      <c r="AG103" s="11">
        <f>IF(OR(City_Inputs!$Y103="",Norm_Stats!$F$13="",Norm_Stats!$G$13="",Norm_Stats!$G$13=Norm_Stats!$F$13),"",MAX(0,MIN(100,100*(MIN(MAX(City_Inputs!$Y103,Norm_Stats!$F$13),Norm_Stats!$G$13)-Norm_Stats!$F$13)/(Norm_Stats!$G$13-Norm_Stats!$F$13))))</f>
        <v/>
      </c>
      <c r="AH103" s="14">
        <f>IF(AG103="","",1)</f>
        <v/>
      </c>
      <c r="AI103" s="11">
        <f>IF(OR(City_Inputs!$Z103="",Norm_Stats!$F$14="",Norm_Stats!$G$14="",Norm_Stats!$G$14=Norm_Stats!$F$14),"",MAX(0,MIN(100,100*(MIN(MAX(City_Inputs!$Z103,Norm_Stats!$F$14),Norm_Stats!$G$14)-Norm_Stats!$F$14)/(Norm_Stats!$G$14-Norm_Stats!$F$14))))</f>
        <v/>
      </c>
      <c r="AJ103" s="14">
        <f>IF(AI103="","",1)</f>
        <v/>
      </c>
      <c r="AK103" s="11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(IF(OR(City_Inputs!$AA103="",Norm_Stats!$F$15="",Norm_Stats!$G$15="",Norm_Stats!$G$15=Norm_Stats!$F$15),"",MAX(0,MIN(100,100*(MIN(MAX(City_Inputs!$AA103,Norm_Stats!$F$15),Norm_Stats!$G$15)-Norm_Stats!$F$15)/(Norm_Stats!$G$15-Norm_Stats!$F$15)))))*0.7)+IF((IF(OR(City_Inputs!$AL103="",Norm_Stats!$F$16="",Norm_Stats!$G$16="",Norm_Stats!$G$16=Norm_Stats!$F$16),"",MAX(0,MIN(100,100*(Norm_Stats!$G$16-MIN(MAX(City_Inputs!$AL103,Norm_Stats!$F$16),Norm_Stats!$G$16))/(Norm_Stats!$G$16-Norm_Stats!$F$16)))))="",0,(IF(OR(City_Inputs!$AL103="",Norm_Stats!$F$16="",Norm_Stats!$G$16="",Norm_Stats!$G$16=Norm_Stats!$F$16),"",MAX(0,MIN(100,100*(Norm_Stats!$G$16-MIN(MAX(City_Inputs!$AL103,Norm_Stats!$F$16),Norm_Stats!$G$16))/(Norm_Stats!$G$16-Norm_Stats!$F$16)))))*0.3))/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L103" s="14">
        <f>IF(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=0,"",(IF((IF(OR(City_Inputs!$AA103="",Norm_Stats!$F$15="",Norm_Stats!$G$15="",Norm_Stats!$G$15=Norm_Stats!$F$15),"",MAX(0,MIN(100,100*(MIN(MAX(City_Inputs!$AA103,Norm_Stats!$F$15),Norm_Stats!$G$15)-Norm_Stats!$F$15)/(Norm_Stats!$G$15-Norm_Stats!$F$15)))))="",0,0.7)+IF((IF(OR(City_Inputs!$AL103="",Norm_Stats!$F$16="",Norm_Stats!$G$16="",Norm_Stats!$G$16=Norm_Stats!$F$16),"",MAX(0,MIN(100,100*(Norm_Stats!$G$16-MIN(MAX(City_Inputs!$AL103,Norm_Stats!$F$16),Norm_Stats!$G$16))/(Norm_Stats!$G$16-Norm_Stats!$F$16)))))="",0,0.3)))</f>
        <v/>
      </c>
      <c r="AM103" s="15">
        <f>IF((IF(AG103="",0,8)+IF(AI103="",0,6)+IF(AK103="",0,4))=0,"",(IF(AG103="",0,AG103*8)+IF(AI103="",0,AI103*6)+IF(AK103="",0,AK103*4))/(IF(AG103="",0,8)+IF(AI103="",0,6)+IF(AK103="",0,4)))</f>
        <v/>
      </c>
      <c r="AN103" s="14">
        <f>IF((IF(AH103="",0,8)+IF(AJ103="",0,6)+IF(AL103="",0,4))=0,"",(IF(AH103="",0,AH103*8)+IF(AJ103="",0,AJ103*6)+IF(AL103="",0,AL103*4))/18)</f>
        <v/>
      </c>
      <c r="AO103" s="11">
        <f>IF(OR(City_Inputs!$AB103="",Norm_Stats!$F$17="",Norm_Stats!$G$17="",Norm_Stats!$G$17=Norm_Stats!$F$17),"",MAX(0,MIN(100,100*(MIN(MAX(City_Inputs!$AB103,Norm_Stats!$F$17),Norm_Stats!$G$17)-Norm_Stats!$F$17)/(Norm_Stats!$G$17-Norm_Stats!$F$17))))</f>
        <v/>
      </c>
      <c r="AP103" s="14">
        <f>IF(AO103="","",1)</f>
        <v/>
      </c>
      <c r="AQ103" s="11">
        <f>IF(OR(City_Inputs!$AC103="",Norm_Stats!$F$18="",Norm_Stats!$G$18="",Norm_Stats!$G$18=Norm_Stats!$F$18),"",MAX(0,MIN(100,100*(MIN(MAX(City_Inputs!$AC103,Norm_Stats!$F$18),Norm_Stats!$G$18)-Norm_Stats!$F$18)/(Norm_Stats!$G$18-Norm_Stats!$F$18))))</f>
        <v/>
      </c>
      <c r="AR103" s="14">
        <f>IF(AQ103="","",1)</f>
        <v/>
      </c>
      <c r="AS103" s="11">
        <f>IF(OR(City_Inputs!$AD103="",Norm_Stats!$F$19="",Norm_Stats!$G$19="",Norm_Stats!$G$19=Norm_Stats!$F$19),"",MAX(0,MIN(100,100*(MIN(MAX(City_Inputs!$AD103,Norm_Stats!$F$19),Norm_Stats!$G$19)-Norm_Stats!$F$19)/(Norm_Stats!$G$19-Norm_Stats!$F$19))))</f>
        <v/>
      </c>
      <c r="AT103" s="14">
        <f>IF(AS103="","",1)</f>
        <v/>
      </c>
      <c r="AU103" s="11">
        <f>IF(OR(City_Inputs!$BJ103="",Norm_Stats!$F$26="",Norm_Stats!$G$26="",Norm_Stats!$G$26=Norm_Stats!$F$26),"",MAX(0,MIN(100,100*(MIN(MAX(City_Inputs!$BJ103,Norm_Stats!$F$26),Norm_Stats!$G$26)-Norm_Stats!$F$26)/(Norm_Stats!$G$26-Norm_Stats!$F$26))))</f>
        <v/>
      </c>
      <c r="AV103" s="11">
        <f>IF(AU103="","",1)</f>
        <v/>
      </c>
      <c r="AW103" s="15">
        <f>IF((IF(AO103="",0,5)+IF(AQ103="",0,5)+IF(AS103="",0,5)+IF(AU103="",0,4))=0,"",(IF(AO103="",0,AO103*5)+IF(AQ103="",0,AQ103*5)+IF(AS103="",0,AS103*5)+IF(AU103="",0,AU103*4))/(IF(AO103="",0,5)+IF(AQ103="",0,5)+IF(AS103="",0,5)+IF(AU103="",0,4)))</f>
        <v/>
      </c>
      <c r="AX103" s="14">
        <f>IF((IF(AP103="",0,5)+IF(AR103="",0,5)+IF(AT103="",0,5)+IF(AV103="",0,4))=0,"",(IF(AP103="",0,AP103*5)+IF(AR103="",0,AR103*5)+IF(AT103="",0,AT103*5)+IF(AV103="",0,AV103*4))/19)</f>
        <v/>
      </c>
      <c r="AY103" s="11">
        <f>IF(OR(City_Inputs!$AE103="",Norm_Stats!$F$20="",Norm_Stats!$G$20="",Norm_Stats!$G$20=Norm_Stats!$F$20),"",MAX(0,MIN(100,100*(MIN(MAX(City_Inputs!$AE103,Norm_Stats!$F$20),Norm_Stats!$G$20)-Norm_Stats!$F$20)/(Norm_Stats!$G$20-Norm_Stats!$F$20))))</f>
        <v/>
      </c>
      <c r="AZ103" s="14">
        <f>IF(AY103="","",1)</f>
        <v/>
      </c>
      <c r="BA103" s="11">
        <f>IF(OR(City_Inputs!$AF103="",Norm_Stats!$F$21="",Norm_Stats!$G$21="",Norm_Stats!$G$21=Norm_Stats!$F$21),"",MAX(0,MIN(100,100*(MIN(MAX(City_Inputs!$AF103,Norm_Stats!$F$21),Norm_Stats!$G$21)-Norm_Stats!$F$21)/(Norm_Stats!$G$21-Norm_Stats!$F$21))))</f>
        <v/>
      </c>
      <c r="BB103" s="14">
        <f>IF(BA103="","",1)</f>
        <v/>
      </c>
      <c r="BC103" s="11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(IF(OR(City_Inputs!$AG103="",Norm_Stats!$F$22="",Norm_Stats!$G$22="",Norm_Stats!$G$22=Norm_Stats!$F$22),"",MAX(0,MIN(100,100*(MIN(MAX(City_Inputs!$AG103,Norm_Stats!$F$22),Norm_Stats!$G$22)-Norm_Stats!$F$22)/(Norm_Stats!$G$22-Norm_Stats!$F$22)))))*0.5)+IF((IF(OR(City_Inputs!$AJ103="",Norm_Stats!$F$23="",Norm_Stats!$G$23="",Norm_Stats!$G$23=Norm_Stats!$F$23),"",MAX(0,MIN(100,100*(MIN(MAX(City_Inputs!$AJ103,Norm_Stats!$F$23),Norm_Stats!$G$23)-Norm_Stats!$F$23)/(Norm_Stats!$G$23-Norm_Stats!$F$23)))))="",0,(IF(OR(City_Inputs!$AJ103="",Norm_Stats!$F$23="",Norm_Stats!$G$23="",Norm_Stats!$G$23=Norm_Stats!$F$23),"",MAX(0,MIN(100,100*(MIN(MAX(City_Inputs!$AJ103,Norm_Stats!$F$23),Norm_Stats!$G$23)-Norm_Stats!$F$23)/(Norm_Stats!$G$23-Norm_Stats!$F$23)))))*0.3)+IF((IF(OR(City_Inputs!$AK103="",Norm_Stats!$F$24="",Norm_Stats!$G$24="",Norm_Stats!$G$24=Norm_Stats!$F$24),"",MAX(0,MIN(100,100*(MIN(MAX(City_Inputs!$AK103,Norm_Stats!$F$24),Norm_Stats!$G$24)-Norm_Stats!$F$24)/(Norm_Stats!$G$24-Norm_Stats!$F$24)))))="",0,(IF(OR(City_Inputs!$AK103="",Norm_Stats!$F$24="",Norm_Stats!$G$24="",Norm_Stats!$G$24=Norm_Stats!$F$24),"",MAX(0,MIN(100,100*(MIN(MAX(City_Inputs!$AK103,Norm_Stats!$F$24),Norm_Stats!$G$24)-Norm_Stats!$F$24)/(Norm_Stats!$G$24-Norm_Stats!$F$24)))))*0.2))/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D103" s="14">
        <f>IF(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=0,"",(IF((IF(OR(City_Inputs!$AG103="",Norm_Stats!$F$22="",Norm_Stats!$G$22="",Norm_Stats!$G$22=Norm_Stats!$F$22),"",MAX(0,MIN(100,100*(MIN(MAX(City_Inputs!$AG103,Norm_Stats!$F$22),Norm_Stats!$G$22)-Norm_Stats!$F$22)/(Norm_Stats!$G$22-Norm_Stats!$F$22)))))="",0,0.5)+IF((IF(OR(City_Inputs!$AJ103="",Norm_Stats!$F$23="",Norm_Stats!$G$23="",Norm_Stats!$G$23=Norm_Stats!$F$23),"",MAX(0,MIN(100,100*(MIN(MAX(City_Inputs!$AJ103,Norm_Stats!$F$23),Norm_Stats!$G$23)-Norm_Stats!$F$23)/(Norm_Stats!$G$23-Norm_Stats!$F$23)))))="",0,0.3)+IF((IF(OR(City_Inputs!$AK103="",Norm_Stats!$F$24="",Norm_Stats!$G$24="",Norm_Stats!$G$24=Norm_Stats!$F$24),"",MAX(0,MIN(100,100*(MIN(MAX(City_Inputs!$AK103,Norm_Stats!$F$24),Norm_Stats!$G$24)-Norm_Stats!$F$24)/(Norm_Stats!$G$24-Norm_Stats!$F$24)))))="",0,0.2)))</f>
        <v/>
      </c>
      <c r="BE103" s="11">
        <f>IF(OR(City_Inputs!$AH103="",Norm_Stats!$F$25="",Norm_Stats!$G$25="",Norm_Stats!$G$25=Norm_Stats!$F$25),"",MAX(0,MIN(100,100*(Norm_Stats!$G$25-MIN(MAX(City_Inputs!$AH103,Norm_Stats!$F$25),Norm_Stats!$G$25))/(Norm_Stats!$G$25-Norm_Stats!$F$25))))</f>
        <v/>
      </c>
      <c r="BF103" s="14">
        <f>IF(BE103="","",1)</f>
        <v/>
      </c>
      <c r="BG103" s="15">
        <f>IF((IF(AY103="",0,6)+IF(BA103="",0,5)+IF(BC103="",0,5)+IF(BE103="",0,4))=0,"",(IF(AY103="",0,AY103*6)+IF(BA103="",0,BA103*5)+IF(BC103="",0,BC103*5)+IF(BE103="",0,BE103*4))/(IF(AY103="",0,6)+IF(BA103="",0,5)+IF(BC103="",0,5)+IF(BE103="",0,4)))</f>
        <v/>
      </c>
      <c r="BH103" s="14">
        <f>IF((IF(AZ103="",0,6)+IF(BB103="",0,5)+IF(BD103="",0,5)+IF(BF103="",0,4))=0,"",(IF(AZ103="",0,AZ103*6)+IF(BB103="",0,BB103*5)+IF(BD103="",0,BD103*5)+IF(BF103="",0,BF103*4))/20)</f>
        <v/>
      </c>
      <c r="BI103" s="14">
        <f>IF(AND(R103="",AF103="",AN103="",AX103="",BH103=""),"",((R103*25)+(AF103*22)+(AN103*18)+(AX103*15)+(BH103*20))/100)</f>
        <v/>
      </c>
      <c r="BJ103" s="11">
        <f>IF(BI103="","",IF(BI103&gt;=0.75,"A",IF(BI103&gt;=0.5,"B",IF(BI103&gt;=0.35,"C","Watchlist"))))</f>
        <v/>
      </c>
      <c r="BK103" s="11">
        <f>IF(OR(BI103="",BI103&lt;0.5,R103="",R103&lt;0.35,AF103="",AF103&lt;0.35,AN103="",AN103&lt;0.35,AX103="",AX103&lt;0.35,BH103="",BH103&lt;0.35),"Watchlist","Ranked")</f>
        <v/>
      </c>
      <c r="BL103" s="15">
        <f>IF(AND(Q103="",AE103="",AM103="",AW103="",BG103=""),"",(IF(Q103="",0,Q103*25)+IF(AE103="",0,AE103*22)+IF(AM103="",0,AM103*18)+IF(AW103="",0,AW103*15)+IF(BG103="",0,BG103*20))/(IF(Q103="",0,25)+IF(AE103="",0,22)+IF(AM103="",0,18)+IF(AW103="",0,15)+IF(BG103="",0,20)))</f>
        <v/>
      </c>
      <c r="BM103" s="11">
        <f>IF(BK103="Ranked",1+COUNTIFS($BK$2:$BK$158,"Ranked",$BL$2:$BL$158,"&gt;"&amp;BL103),"")</f>
        <v/>
      </c>
      <c r="BN103" s="11">
        <f>City_Inputs!$AI103</f>
        <v/>
      </c>
    </row>
    <row r="104">
      <c r="A104" t="inlineStr">
        <is>
          <t>au-brisbane</t>
        </is>
      </c>
      <c r="B104" t="inlineStr">
        <is>
          <t>Brisbane</t>
        </is>
      </c>
      <c r="C104" t="inlineStr">
        <is>
          <t>Australia</t>
        </is>
      </c>
      <c r="D104" t="inlineStr">
        <is>
          <t>Oceania</t>
        </is>
      </c>
      <c r="E104" t="inlineStr">
        <is>
          <t>locked</t>
        </is>
      </c>
      <c r="F104" t="inlineStr">
        <is>
          <t>primary</t>
        </is>
      </c>
      <c r="G104" s="11">
        <f>IF(OR(City_Inputs!$M104="",Norm_Stats!$F$2="",Norm_Stats!$G$2="",Norm_Stats!$G$2=Norm_Stats!$F$2),"",MAX(0,MIN(100,100*(MIN(MAX(City_Inputs!$M104,Norm_Stats!$F$2),Norm_Stats!$G$2)-Norm_Stats!$F$2)/(Norm_Stats!$G$2-Norm_Stats!$F$2))))</f>
        <v/>
      </c>
      <c r="H104" s="14">
        <f>IF(G104="","",1)</f>
        <v/>
      </c>
      <c r="I104" s="11">
        <f>IF(OR(City_Inputs!$N104="",Norm_Stats!$F$3="",Norm_Stats!$G$3="",Norm_Stats!$G$3=Norm_Stats!$F$3),"",MAX(0,MIN(100,100*(Norm_Stats!$G$3-MIN(MAX(City_Inputs!$N104,Norm_Stats!$F$3),Norm_Stats!$G$3))/(Norm_Stats!$G$3-Norm_Stats!$F$3))))</f>
        <v/>
      </c>
      <c r="J104" s="14">
        <f>IF(I104="","",1)</f>
        <v/>
      </c>
      <c r="K104" s="11">
        <f>IF(OR(City_Inputs!$P104="",Norm_Stats!$F$4="",Norm_Stats!$G$4="",Norm_Stats!$G$4=Norm_Stats!$F$4),"",MAX(0,MIN(100,100*(Norm_Stats!$G$4-MIN(MAX(City_Inputs!$P104,Norm_Stats!$F$4),Norm_Stats!$G$4))/(Norm_Stats!$G$4-Norm_Stats!$F$4))))</f>
        <v/>
      </c>
      <c r="L104" s="14">
        <f>IF(K104="","",1)</f>
        <v/>
      </c>
      <c r="M104" s="11">
        <f>IF(OR(City_Inputs!$Q104="",Norm_Stats!$F$5="",Norm_Stats!$G$5="",Norm_Stats!$G$5=Norm_Stats!$F$5),"",MAX(0,MIN(100,100*(Norm_Stats!$G$5-MIN(MAX(City_Inputs!$Q104,Norm_Stats!$F$5),Norm_Stats!$G$5))/(Norm_Stats!$G$5-Norm_Stats!$F$5))))</f>
        <v/>
      </c>
      <c r="N104" s="14">
        <f>IF(M104="","",1)</f>
        <v/>
      </c>
      <c r="O104" s="11">
        <f>IF(OR(City_Inputs!$R104="",Norm_Stats!$F$6="",Norm_Stats!$G$6="",Norm_Stats!$G$6=Norm_Stats!$F$6),"",MAX(0,MIN(100,100*(Norm_Stats!$G$6-MIN(MAX(City_Inputs!$R104,Norm_Stats!$F$6),Norm_Stats!$G$6))/(Norm_Stats!$G$6-Norm_Stats!$F$6))))</f>
        <v/>
      </c>
      <c r="P104" s="14">
        <f>IF(O104="","",1)</f>
        <v/>
      </c>
      <c r="Q104" s="15">
        <f>IF((IF(G104="",0,9)+IF(I104="",0,5)+IF(K104="",0,4)+IF(M104="",0,4)+IF(O104="",0,5))=0,"",(IF(G104="",0,G104*9)+IF(I104="",0,I104*5)+IF(K104="",0,K104*4)+IF(M104="",0,M104*4)+IF(O104="",0,O104*5))/(IF(G104="",0,9)+IF(I104="",0,5)+IF(K104="",0,4)+IF(M104="",0,4)+IF(O104="",0,5)))</f>
        <v/>
      </c>
      <c r="R104" s="14">
        <f>IF((IF(H104="",0,9)+IF(J104="",0,5)+IF(L104="",0,4)+IF(N104="",0,4)+IF(P104="",0,5))=0,"",(IF(H104="",0,H104*9)+IF(J104="",0,J104*5)+IF(L104="",0,L104*4)+IF(N104="",0,N104*4)+IF(P104="",0,P104*5))/27)</f>
        <v/>
      </c>
      <c r="S104" s="11">
        <f>IF(OR(City_Inputs!$S104="",Norm_Stats!$F$7="",Norm_Stats!$G$7="",Norm_Stats!$G$7=Norm_Stats!$F$7),"",MAX(0,MIN(100,100*(Norm_Stats!$G$7-MIN(MAX(City_Inputs!$S104,Norm_Stats!$F$7),Norm_Stats!$G$7))/(Norm_Stats!$G$7-Norm_Stats!$F$7))))</f>
        <v/>
      </c>
      <c r="T104" s="14">
        <f>IF(S104="","",1)</f>
        <v/>
      </c>
      <c r="U104" s="11">
        <f>IF(OR(City_Inputs!$T104="",Norm_Stats!$F$8="",Norm_Stats!$G$8="",Norm_Stats!$G$8=Norm_Stats!$F$8),"",MAX(0,MIN(100,100*(MIN(MAX(City_Inputs!$T104,Norm_Stats!$F$8),Norm_Stats!$G$8)-Norm_Stats!$F$8)/(Norm_Stats!$G$8-Norm_Stats!$F$8))))</f>
        <v/>
      </c>
      <c r="V104" s="14">
        <f>IF(U104="","",1)</f>
        <v/>
      </c>
      <c r="W104" s="11">
        <f>IF(OR(City_Inputs!$U104="",Norm_Stats!$F$9="",Norm_Stats!$G$9="",Norm_Stats!$G$9=Norm_Stats!$F$9),"",MAX(0,MIN(100,100*(Norm_Stats!$G$9-MIN(MAX(City_Inputs!$U104,Norm_Stats!$F$9),Norm_Stats!$G$9))/(Norm_Stats!$G$9-Norm_Stats!$F$9))))</f>
        <v/>
      </c>
      <c r="X104" s="14">
        <f>IF(W104="","",1)</f>
        <v/>
      </c>
      <c r="Y104" s="11">
        <f>IF(OR(City_Inputs!$V104="",Norm_Stats!$F$10="",Norm_Stats!$G$10="",Norm_Stats!$G$10=Norm_Stats!$F$10),"",MAX(0,MIN(100,100*(MIN(MAX(City_Inputs!$V104,Norm_Stats!$F$10),Norm_Stats!$G$10)-Norm_Stats!$F$10)/(Norm_Stats!$G$10-Norm_Stats!$F$10))))</f>
        <v/>
      </c>
      <c r="Z104" s="14">
        <f>IF(Y104="","",1)</f>
        <v/>
      </c>
      <c r="AA104" s="11">
        <f>IF(OR(City_Inputs!$W104="",Norm_Stats!$F$11="",Norm_Stats!$G$11="",Norm_Stats!$G$11=Norm_Stats!$F$11),"",MAX(0,MIN(100,100*(MIN(MAX(City_Inputs!$W104,Norm_Stats!$F$11),Norm_Stats!$G$11)-Norm_Stats!$F$11)/(Norm_Stats!$G$11-Norm_Stats!$F$11))))</f>
        <v/>
      </c>
      <c r="AB104" s="14">
        <f>IF(AA104="","",1)</f>
        <v/>
      </c>
      <c r="AC104" s="11">
        <f>IF(OR(City_Inputs!$X104="",Norm_Stats!$F$12="",Norm_Stats!$G$12="",Norm_Stats!$G$12=Norm_Stats!$F$12),"",MAX(0,MIN(100,100*(MIN(MAX(City_Inputs!$X104,Norm_Stats!$F$12),Norm_Stats!$G$12)-Norm_Stats!$F$12)/(Norm_Stats!$G$12-Norm_Stats!$F$12))))</f>
        <v/>
      </c>
      <c r="AD104" s="11">
        <f>IF(AC104="","",1)</f>
        <v/>
      </c>
      <c r="AE104" s="15">
        <f>IF((IF(S104="",0,5)+IF(U104="",0,5)+IF(W104="",0,4)+IF(Y104="",0,4)+IF(AA104="",0,4)+IF(AC104="",0,5))=0,"",(IF(S104="",0,S104*5)+IF(U104="",0,U104*5)+IF(W104="",0,W104*4)+IF(Y104="",0,Y104*4)+IF(AA104="",0,AA104*4)+IF(AC104="",0,AC104*5))/(IF(S104="",0,5)+IF(U104="",0,5)+IF(W104="",0,4)+IF(Y104="",0,4)+IF(AA104="",0,4)+IF(AC104="",0,5)))</f>
        <v/>
      </c>
      <c r="AF104" s="14">
        <f>IF((IF(T104="",0,5)+IF(V104="",0,5)+IF(X104="",0,4)+IF(Z104="",0,4)+IF(AB104="",0,4)+IF(AD104="",0,5))=0,"",(IF(T104="",0,T104*5)+IF(V104="",0,V104*5)+IF(X104="",0,X104*4)+IF(Z104="",0,Z104*4)+IF(AB104="",0,AB104*4)+IF(AD104="",0,AD104*5))/27)</f>
        <v/>
      </c>
      <c r="AG104" s="11">
        <f>IF(OR(City_Inputs!$Y104="",Norm_Stats!$F$13="",Norm_Stats!$G$13="",Norm_Stats!$G$13=Norm_Stats!$F$13),"",MAX(0,MIN(100,100*(MIN(MAX(City_Inputs!$Y104,Norm_Stats!$F$13),Norm_Stats!$G$13)-Norm_Stats!$F$13)/(Norm_Stats!$G$13-Norm_Stats!$F$13))))</f>
        <v/>
      </c>
      <c r="AH104" s="14">
        <f>IF(AG104="","",1)</f>
        <v/>
      </c>
      <c r="AI104" s="11">
        <f>IF(OR(City_Inputs!$Z104="",Norm_Stats!$F$14="",Norm_Stats!$G$14="",Norm_Stats!$G$14=Norm_Stats!$F$14),"",MAX(0,MIN(100,100*(MIN(MAX(City_Inputs!$Z104,Norm_Stats!$F$14),Norm_Stats!$G$14)-Norm_Stats!$F$14)/(Norm_Stats!$G$14-Norm_Stats!$F$14))))</f>
        <v/>
      </c>
      <c r="AJ104" s="14">
        <f>IF(AI104="","",1)</f>
        <v/>
      </c>
      <c r="AK104" s="11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(IF(OR(City_Inputs!$AA104="",Norm_Stats!$F$15="",Norm_Stats!$G$15="",Norm_Stats!$G$15=Norm_Stats!$F$15),"",MAX(0,MIN(100,100*(MIN(MAX(City_Inputs!$AA104,Norm_Stats!$F$15),Norm_Stats!$G$15)-Norm_Stats!$F$15)/(Norm_Stats!$G$15-Norm_Stats!$F$15)))))*0.7)+IF((IF(OR(City_Inputs!$AL104="",Norm_Stats!$F$16="",Norm_Stats!$G$16="",Norm_Stats!$G$16=Norm_Stats!$F$16),"",MAX(0,MIN(100,100*(Norm_Stats!$G$16-MIN(MAX(City_Inputs!$AL104,Norm_Stats!$F$16),Norm_Stats!$G$16))/(Norm_Stats!$G$16-Norm_Stats!$F$16)))))="",0,(IF(OR(City_Inputs!$AL104="",Norm_Stats!$F$16="",Norm_Stats!$G$16="",Norm_Stats!$G$16=Norm_Stats!$F$16),"",MAX(0,MIN(100,100*(Norm_Stats!$G$16-MIN(MAX(City_Inputs!$AL104,Norm_Stats!$F$16),Norm_Stats!$G$16))/(Norm_Stats!$G$16-Norm_Stats!$F$16)))))*0.3))/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L104" s="14">
        <f>IF(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=0,"",(IF((IF(OR(City_Inputs!$AA104="",Norm_Stats!$F$15="",Norm_Stats!$G$15="",Norm_Stats!$G$15=Norm_Stats!$F$15),"",MAX(0,MIN(100,100*(MIN(MAX(City_Inputs!$AA104,Norm_Stats!$F$15),Norm_Stats!$G$15)-Norm_Stats!$F$15)/(Norm_Stats!$G$15-Norm_Stats!$F$15)))))="",0,0.7)+IF((IF(OR(City_Inputs!$AL104="",Norm_Stats!$F$16="",Norm_Stats!$G$16="",Norm_Stats!$G$16=Norm_Stats!$F$16),"",MAX(0,MIN(100,100*(Norm_Stats!$G$16-MIN(MAX(City_Inputs!$AL104,Norm_Stats!$F$16),Norm_Stats!$G$16))/(Norm_Stats!$G$16-Norm_Stats!$F$16)))))="",0,0.3)))</f>
        <v/>
      </c>
      <c r="AM104" s="15">
        <f>IF((IF(AG104="",0,8)+IF(AI104="",0,6)+IF(AK104="",0,4))=0,"",(IF(AG104="",0,AG104*8)+IF(AI104="",0,AI104*6)+IF(AK104="",0,AK104*4))/(IF(AG104="",0,8)+IF(AI104="",0,6)+IF(AK104="",0,4)))</f>
        <v/>
      </c>
      <c r="AN104" s="14">
        <f>IF((IF(AH104="",0,8)+IF(AJ104="",0,6)+IF(AL104="",0,4))=0,"",(IF(AH104="",0,AH104*8)+IF(AJ104="",0,AJ104*6)+IF(AL104="",0,AL104*4))/18)</f>
        <v/>
      </c>
      <c r="AO104" s="11">
        <f>IF(OR(City_Inputs!$AB104="",Norm_Stats!$F$17="",Norm_Stats!$G$17="",Norm_Stats!$G$17=Norm_Stats!$F$17),"",MAX(0,MIN(100,100*(MIN(MAX(City_Inputs!$AB104,Norm_Stats!$F$17),Norm_Stats!$G$17)-Norm_Stats!$F$17)/(Norm_Stats!$G$17-Norm_Stats!$F$17))))</f>
        <v/>
      </c>
      <c r="AP104" s="14">
        <f>IF(AO104="","",1)</f>
        <v/>
      </c>
      <c r="AQ104" s="11">
        <f>IF(OR(City_Inputs!$AC104="",Norm_Stats!$F$18="",Norm_Stats!$G$18="",Norm_Stats!$G$18=Norm_Stats!$F$18),"",MAX(0,MIN(100,100*(MIN(MAX(City_Inputs!$AC104,Norm_Stats!$F$18),Norm_Stats!$G$18)-Norm_Stats!$F$18)/(Norm_Stats!$G$18-Norm_Stats!$F$18))))</f>
        <v/>
      </c>
      <c r="AR104" s="14">
        <f>IF(AQ104="","",1)</f>
        <v/>
      </c>
      <c r="AS104" s="11">
        <f>IF(OR(City_Inputs!$AD104="",Norm_Stats!$F$19="",Norm_Stats!$G$19="",Norm_Stats!$G$19=Norm_Stats!$F$19),"",MAX(0,MIN(100,100*(MIN(MAX(City_Inputs!$AD104,Norm_Stats!$F$19),Norm_Stats!$G$19)-Norm_Stats!$F$19)/(Norm_Stats!$G$19-Norm_Stats!$F$19))))</f>
        <v/>
      </c>
      <c r="AT104" s="14">
        <f>IF(AS104="","",1)</f>
        <v/>
      </c>
      <c r="AU104" s="11">
        <f>IF(OR(City_Inputs!$BJ104="",Norm_Stats!$F$26="",Norm_Stats!$G$26="",Norm_Stats!$G$26=Norm_Stats!$F$26),"",MAX(0,MIN(100,100*(MIN(MAX(City_Inputs!$BJ104,Norm_Stats!$F$26),Norm_Stats!$G$26)-Norm_Stats!$F$26)/(Norm_Stats!$G$26-Norm_Stats!$F$26))))</f>
        <v/>
      </c>
      <c r="AV104" s="11">
        <f>IF(AU104="","",1)</f>
        <v/>
      </c>
      <c r="AW104" s="15">
        <f>IF((IF(AO104="",0,5)+IF(AQ104="",0,5)+IF(AS104="",0,5)+IF(AU104="",0,4))=0,"",(IF(AO104="",0,AO104*5)+IF(AQ104="",0,AQ104*5)+IF(AS104="",0,AS104*5)+IF(AU104="",0,AU104*4))/(IF(AO104="",0,5)+IF(AQ104="",0,5)+IF(AS104="",0,5)+IF(AU104="",0,4)))</f>
        <v/>
      </c>
      <c r="AX104" s="14">
        <f>IF((IF(AP104="",0,5)+IF(AR104="",0,5)+IF(AT104="",0,5)+IF(AV104="",0,4))=0,"",(IF(AP104="",0,AP104*5)+IF(AR104="",0,AR104*5)+IF(AT104="",0,AT104*5)+IF(AV104="",0,AV104*4))/19)</f>
        <v/>
      </c>
      <c r="AY104" s="11">
        <f>IF(OR(City_Inputs!$AE104="",Norm_Stats!$F$20="",Norm_Stats!$G$20="",Norm_Stats!$G$20=Norm_Stats!$F$20),"",MAX(0,MIN(100,100*(MIN(MAX(City_Inputs!$AE104,Norm_Stats!$F$20),Norm_Stats!$G$20)-Norm_Stats!$F$20)/(Norm_Stats!$G$20-Norm_Stats!$F$20))))</f>
        <v/>
      </c>
      <c r="AZ104" s="14">
        <f>IF(AY104="","",1)</f>
        <v/>
      </c>
      <c r="BA104" s="11">
        <f>IF(OR(City_Inputs!$AF104="",Norm_Stats!$F$21="",Norm_Stats!$G$21="",Norm_Stats!$G$21=Norm_Stats!$F$21),"",MAX(0,MIN(100,100*(MIN(MAX(City_Inputs!$AF104,Norm_Stats!$F$21),Norm_Stats!$G$21)-Norm_Stats!$F$21)/(Norm_Stats!$G$21-Norm_Stats!$F$21))))</f>
        <v/>
      </c>
      <c r="BB104" s="14">
        <f>IF(BA104="","",1)</f>
        <v/>
      </c>
      <c r="BC104" s="11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(IF(OR(City_Inputs!$AG104="",Norm_Stats!$F$22="",Norm_Stats!$G$22="",Norm_Stats!$G$22=Norm_Stats!$F$22),"",MAX(0,MIN(100,100*(MIN(MAX(City_Inputs!$AG104,Norm_Stats!$F$22),Norm_Stats!$G$22)-Norm_Stats!$F$22)/(Norm_Stats!$G$22-Norm_Stats!$F$22)))))*0.5)+IF((IF(OR(City_Inputs!$AJ104="",Norm_Stats!$F$23="",Norm_Stats!$G$23="",Norm_Stats!$G$23=Norm_Stats!$F$23),"",MAX(0,MIN(100,100*(MIN(MAX(City_Inputs!$AJ104,Norm_Stats!$F$23),Norm_Stats!$G$23)-Norm_Stats!$F$23)/(Norm_Stats!$G$23-Norm_Stats!$F$23)))))="",0,(IF(OR(City_Inputs!$AJ104="",Norm_Stats!$F$23="",Norm_Stats!$G$23="",Norm_Stats!$G$23=Norm_Stats!$F$23),"",MAX(0,MIN(100,100*(MIN(MAX(City_Inputs!$AJ104,Norm_Stats!$F$23),Norm_Stats!$G$23)-Norm_Stats!$F$23)/(Norm_Stats!$G$23-Norm_Stats!$F$23)))))*0.3)+IF((IF(OR(City_Inputs!$AK104="",Norm_Stats!$F$24="",Norm_Stats!$G$24="",Norm_Stats!$G$24=Norm_Stats!$F$24),"",MAX(0,MIN(100,100*(MIN(MAX(City_Inputs!$AK104,Norm_Stats!$F$24),Norm_Stats!$G$24)-Norm_Stats!$F$24)/(Norm_Stats!$G$24-Norm_Stats!$F$24)))))="",0,(IF(OR(City_Inputs!$AK104="",Norm_Stats!$F$24="",Norm_Stats!$G$24="",Norm_Stats!$G$24=Norm_Stats!$F$24),"",MAX(0,MIN(100,100*(MIN(MAX(City_Inputs!$AK104,Norm_Stats!$F$24),Norm_Stats!$G$24)-Norm_Stats!$F$24)/(Norm_Stats!$G$24-Norm_Stats!$F$24)))))*0.2))/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D104" s="14">
        <f>IF(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=0,"",(IF((IF(OR(City_Inputs!$AG104="",Norm_Stats!$F$22="",Norm_Stats!$G$22="",Norm_Stats!$G$22=Norm_Stats!$F$22),"",MAX(0,MIN(100,100*(MIN(MAX(City_Inputs!$AG104,Norm_Stats!$F$22),Norm_Stats!$G$22)-Norm_Stats!$F$22)/(Norm_Stats!$G$22-Norm_Stats!$F$22)))))="",0,0.5)+IF((IF(OR(City_Inputs!$AJ104="",Norm_Stats!$F$23="",Norm_Stats!$G$23="",Norm_Stats!$G$23=Norm_Stats!$F$23),"",MAX(0,MIN(100,100*(MIN(MAX(City_Inputs!$AJ104,Norm_Stats!$F$23),Norm_Stats!$G$23)-Norm_Stats!$F$23)/(Norm_Stats!$G$23-Norm_Stats!$F$23)))))="",0,0.3)+IF((IF(OR(City_Inputs!$AK104="",Norm_Stats!$F$24="",Norm_Stats!$G$24="",Norm_Stats!$G$24=Norm_Stats!$F$24),"",MAX(0,MIN(100,100*(MIN(MAX(City_Inputs!$AK104,Norm_Stats!$F$24),Norm_Stats!$G$24)-Norm_Stats!$F$24)/(Norm_Stats!$G$24-Norm_Stats!$F$24)))))="",0,0.2)))</f>
        <v/>
      </c>
      <c r="BE104" s="11">
        <f>IF(OR(City_Inputs!$AH104="",Norm_Stats!$F$25="",Norm_Stats!$G$25="",Norm_Stats!$G$25=Norm_Stats!$F$25),"",MAX(0,MIN(100,100*(Norm_Stats!$G$25-MIN(MAX(City_Inputs!$AH104,Norm_Stats!$F$25),Norm_Stats!$G$25))/(Norm_Stats!$G$25-Norm_Stats!$F$25))))</f>
        <v/>
      </c>
      <c r="BF104" s="14">
        <f>IF(BE104="","",1)</f>
        <v/>
      </c>
      <c r="BG104" s="15">
        <f>IF((IF(AY104="",0,6)+IF(BA104="",0,5)+IF(BC104="",0,5)+IF(BE104="",0,4))=0,"",(IF(AY104="",0,AY104*6)+IF(BA104="",0,BA104*5)+IF(BC104="",0,BC104*5)+IF(BE104="",0,BE104*4))/(IF(AY104="",0,6)+IF(BA104="",0,5)+IF(BC104="",0,5)+IF(BE104="",0,4)))</f>
        <v/>
      </c>
      <c r="BH104" s="14">
        <f>IF((IF(AZ104="",0,6)+IF(BB104="",0,5)+IF(BD104="",0,5)+IF(BF104="",0,4))=0,"",(IF(AZ104="",0,AZ104*6)+IF(BB104="",0,BB104*5)+IF(BD104="",0,BD104*5)+IF(BF104="",0,BF104*4))/20)</f>
        <v/>
      </c>
      <c r="BI104" s="14">
        <f>IF(AND(R104="",AF104="",AN104="",AX104="",BH104=""),"",((R104*25)+(AF104*22)+(AN104*18)+(AX104*15)+(BH104*20))/100)</f>
        <v/>
      </c>
      <c r="BJ104" s="11">
        <f>IF(BI104="","",IF(BI104&gt;=0.75,"A",IF(BI104&gt;=0.5,"B",IF(BI104&gt;=0.35,"C","Watchlist"))))</f>
        <v/>
      </c>
      <c r="BK104" s="11">
        <f>IF(OR(BI104="",BI104&lt;0.5,R104="",R104&lt;0.35,AF104="",AF104&lt;0.35,AN104="",AN104&lt;0.35,AX104="",AX104&lt;0.35,BH104="",BH104&lt;0.35),"Watchlist","Ranked")</f>
        <v/>
      </c>
      <c r="BL104" s="15">
        <f>IF(AND(Q104="",AE104="",AM104="",AW104="",BG104=""),"",(IF(Q104="",0,Q104*25)+IF(AE104="",0,AE104*22)+IF(AM104="",0,AM104*18)+IF(AW104="",0,AW104*15)+IF(BG104="",0,BG104*20))/(IF(Q104="",0,25)+IF(AE104="",0,22)+IF(AM104="",0,18)+IF(AW104="",0,15)+IF(BG104="",0,20)))</f>
        <v/>
      </c>
      <c r="BM104" s="11">
        <f>IF(BK104="Ranked",1+COUNTIFS($BK$2:$BK$158,"Ranked",$BL$2:$BL$158,"&gt;"&amp;BL104),"")</f>
        <v/>
      </c>
      <c r="BN104" s="11">
        <f>City_Inputs!$AI104</f>
        <v/>
      </c>
    </row>
    <row r="105">
      <c r="A105" t="inlineStr">
        <is>
          <t>nz-wellington</t>
        </is>
      </c>
      <c r="B105" t="inlineStr">
        <is>
          <t>Wellington</t>
        </is>
      </c>
      <c r="C105" t="inlineStr">
        <is>
          <t>New Zealand</t>
        </is>
      </c>
      <c r="D105" t="inlineStr">
        <is>
          <t>Oceania</t>
        </is>
      </c>
      <c r="E105" t="inlineStr">
        <is>
          <t>locked</t>
        </is>
      </c>
      <c r="F105" t="inlineStr">
        <is>
          <t>primary</t>
        </is>
      </c>
      <c r="G105" s="11">
        <f>IF(OR(City_Inputs!$M105="",Norm_Stats!$F$2="",Norm_Stats!$G$2="",Norm_Stats!$G$2=Norm_Stats!$F$2),"",MAX(0,MIN(100,100*(MIN(MAX(City_Inputs!$M105,Norm_Stats!$F$2),Norm_Stats!$G$2)-Norm_Stats!$F$2)/(Norm_Stats!$G$2-Norm_Stats!$F$2))))</f>
        <v/>
      </c>
      <c r="H105" s="14">
        <f>IF(G105="","",1)</f>
        <v/>
      </c>
      <c r="I105" s="11">
        <f>IF(OR(City_Inputs!$N105="",Norm_Stats!$F$3="",Norm_Stats!$G$3="",Norm_Stats!$G$3=Norm_Stats!$F$3),"",MAX(0,MIN(100,100*(Norm_Stats!$G$3-MIN(MAX(City_Inputs!$N105,Norm_Stats!$F$3),Norm_Stats!$G$3))/(Norm_Stats!$G$3-Norm_Stats!$F$3))))</f>
        <v/>
      </c>
      <c r="J105" s="14">
        <f>IF(I105="","",1)</f>
        <v/>
      </c>
      <c r="K105" s="11">
        <f>IF(OR(City_Inputs!$P105="",Norm_Stats!$F$4="",Norm_Stats!$G$4="",Norm_Stats!$G$4=Norm_Stats!$F$4),"",MAX(0,MIN(100,100*(Norm_Stats!$G$4-MIN(MAX(City_Inputs!$P105,Norm_Stats!$F$4),Norm_Stats!$G$4))/(Norm_Stats!$G$4-Norm_Stats!$F$4))))</f>
        <v/>
      </c>
      <c r="L105" s="14">
        <f>IF(K105="","",1)</f>
        <v/>
      </c>
      <c r="M105" s="11">
        <f>IF(OR(City_Inputs!$Q105="",Norm_Stats!$F$5="",Norm_Stats!$G$5="",Norm_Stats!$G$5=Norm_Stats!$F$5),"",MAX(0,MIN(100,100*(Norm_Stats!$G$5-MIN(MAX(City_Inputs!$Q105,Norm_Stats!$F$5),Norm_Stats!$G$5))/(Norm_Stats!$G$5-Norm_Stats!$F$5))))</f>
        <v/>
      </c>
      <c r="N105" s="14">
        <f>IF(M105="","",1)</f>
        <v/>
      </c>
      <c r="O105" s="11">
        <f>IF(OR(City_Inputs!$R105="",Norm_Stats!$F$6="",Norm_Stats!$G$6="",Norm_Stats!$G$6=Norm_Stats!$F$6),"",MAX(0,MIN(100,100*(Norm_Stats!$G$6-MIN(MAX(City_Inputs!$R105,Norm_Stats!$F$6),Norm_Stats!$G$6))/(Norm_Stats!$G$6-Norm_Stats!$F$6))))</f>
        <v/>
      </c>
      <c r="P105" s="14">
        <f>IF(O105="","",1)</f>
        <v/>
      </c>
      <c r="Q105" s="15">
        <f>IF((IF(G105="",0,9)+IF(I105="",0,5)+IF(K105="",0,4)+IF(M105="",0,4)+IF(O105="",0,5))=0,"",(IF(G105="",0,G105*9)+IF(I105="",0,I105*5)+IF(K105="",0,K105*4)+IF(M105="",0,M105*4)+IF(O105="",0,O105*5))/(IF(G105="",0,9)+IF(I105="",0,5)+IF(K105="",0,4)+IF(M105="",0,4)+IF(O105="",0,5)))</f>
        <v/>
      </c>
      <c r="R105" s="14">
        <f>IF((IF(H105="",0,9)+IF(J105="",0,5)+IF(L105="",0,4)+IF(N105="",0,4)+IF(P105="",0,5))=0,"",(IF(H105="",0,H105*9)+IF(J105="",0,J105*5)+IF(L105="",0,L105*4)+IF(N105="",0,N105*4)+IF(P105="",0,P105*5))/27)</f>
        <v/>
      </c>
      <c r="S105" s="11">
        <f>IF(OR(City_Inputs!$S105="",Norm_Stats!$F$7="",Norm_Stats!$G$7="",Norm_Stats!$G$7=Norm_Stats!$F$7),"",MAX(0,MIN(100,100*(Norm_Stats!$G$7-MIN(MAX(City_Inputs!$S105,Norm_Stats!$F$7),Norm_Stats!$G$7))/(Norm_Stats!$G$7-Norm_Stats!$F$7))))</f>
        <v/>
      </c>
      <c r="T105" s="14">
        <f>IF(S105="","",1)</f>
        <v/>
      </c>
      <c r="U105" s="11">
        <f>IF(OR(City_Inputs!$T105="",Norm_Stats!$F$8="",Norm_Stats!$G$8="",Norm_Stats!$G$8=Norm_Stats!$F$8),"",MAX(0,MIN(100,100*(MIN(MAX(City_Inputs!$T105,Norm_Stats!$F$8),Norm_Stats!$G$8)-Norm_Stats!$F$8)/(Norm_Stats!$G$8-Norm_Stats!$F$8))))</f>
        <v/>
      </c>
      <c r="V105" s="14">
        <f>IF(U105="","",1)</f>
        <v/>
      </c>
      <c r="W105" s="11">
        <f>IF(OR(City_Inputs!$U105="",Norm_Stats!$F$9="",Norm_Stats!$G$9="",Norm_Stats!$G$9=Norm_Stats!$F$9),"",MAX(0,MIN(100,100*(Norm_Stats!$G$9-MIN(MAX(City_Inputs!$U105,Norm_Stats!$F$9),Norm_Stats!$G$9))/(Norm_Stats!$G$9-Norm_Stats!$F$9))))</f>
        <v/>
      </c>
      <c r="X105" s="14">
        <f>IF(W105="","",1)</f>
        <v/>
      </c>
      <c r="Y105" s="11">
        <f>IF(OR(City_Inputs!$V105="",Norm_Stats!$F$10="",Norm_Stats!$G$10="",Norm_Stats!$G$10=Norm_Stats!$F$10),"",MAX(0,MIN(100,100*(MIN(MAX(City_Inputs!$V105,Norm_Stats!$F$10),Norm_Stats!$G$10)-Norm_Stats!$F$10)/(Norm_Stats!$G$10-Norm_Stats!$F$10))))</f>
        <v/>
      </c>
      <c r="Z105" s="14">
        <f>IF(Y105="","",1)</f>
        <v/>
      </c>
      <c r="AA105" s="11">
        <f>IF(OR(City_Inputs!$W105="",Norm_Stats!$F$11="",Norm_Stats!$G$11="",Norm_Stats!$G$11=Norm_Stats!$F$11),"",MAX(0,MIN(100,100*(MIN(MAX(City_Inputs!$W105,Norm_Stats!$F$11),Norm_Stats!$G$11)-Norm_Stats!$F$11)/(Norm_Stats!$G$11-Norm_Stats!$F$11))))</f>
        <v/>
      </c>
      <c r="AB105" s="14">
        <f>IF(AA105="","",1)</f>
        <v/>
      </c>
      <c r="AC105" s="11">
        <f>IF(OR(City_Inputs!$X105="",Norm_Stats!$F$12="",Norm_Stats!$G$12="",Norm_Stats!$G$12=Norm_Stats!$F$12),"",MAX(0,MIN(100,100*(MIN(MAX(City_Inputs!$X105,Norm_Stats!$F$12),Norm_Stats!$G$12)-Norm_Stats!$F$12)/(Norm_Stats!$G$12-Norm_Stats!$F$12))))</f>
        <v/>
      </c>
      <c r="AD105" s="11">
        <f>IF(AC105="","",1)</f>
        <v/>
      </c>
      <c r="AE105" s="15">
        <f>IF((IF(S105="",0,5)+IF(U105="",0,5)+IF(W105="",0,4)+IF(Y105="",0,4)+IF(AA105="",0,4)+IF(AC105="",0,5))=0,"",(IF(S105="",0,S105*5)+IF(U105="",0,U105*5)+IF(W105="",0,W105*4)+IF(Y105="",0,Y105*4)+IF(AA105="",0,AA105*4)+IF(AC105="",0,AC105*5))/(IF(S105="",0,5)+IF(U105="",0,5)+IF(W105="",0,4)+IF(Y105="",0,4)+IF(AA105="",0,4)+IF(AC105="",0,5)))</f>
        <v/>
      </c>
      <c r="AF105" s="14">
        <f>IF((IF(T105="",0,5)+IF(V105="",0,5)+IF(X105="",0,4)+IF(Z105="",0,4)+IF(AB105="",0,4)+IF(AD105="",0,5))=0,"",(IF(T105="",0,T105*5)+IF(V105="",0,V105*5)+IF(X105="",0,X105*4)+IF(Z105="",0,Z105*4)+IF(AB105="",0,AB105*4)+IF(AD105="",0,AD105*5))/27)</f>
        <v/>
      </c>
      <c r="AG105" s="11">
        <f>IF(OR(City_Inputs!$Y105="",Norm_Stats!$F$13="",Norm_Stats!$G$13="",Norm_Stats!$G$13=Norm_Stats!$F$13),"",MAX(0,MIN(100,100*(MIN(MAX(City_Inputs!$Y105,Norm_Stats!$F$13),Norm_Stats!$G$13)-Norm_Stats!$F$13)/(Norm_Stats!$G$13-Norm_Stats!$F$13))))</f>
        <v/>
      </c>
      <c r="AH105" s="14">
        <f>IF(AG105="","",1)</f>
        <v/>
      </c>
      <c r="AI105" s="11">
        <f>IF(OR(City_Inputs!$Z105="",Norm_Stats!$F$14="",Norm_Stats!$G$14="",Norm_Stats!$G$14=Norm_Stats!$F$14),"",MAX(0,MIN(100,100*(MIN(MAX(City_Inputs!$Z105,Norm_Stats!$F$14),Norm_Stats!$G$14)-Norm_Stats!$F$14)/(Norm_Stats!$G$14-Norm_Stats!$F$14))))</f>
        <v/>
      </c>
      <c r="AJ105" s="14">
        <f>IF(AI105="","",1)</f>
        <v/>
      </c>
      <c r="AK105" s="11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(IF(OR(City_Inputs!$AA105="",Norm_Stats!$F$15="",Norm_Stats!$G$15="",Norm_Stats!$G$15=Norm_Stats!$F$15),"",MAX(0,MIN(100,100*(MIN(MAX(City_Inputs!$AA105,Norm_Stats!$F$15),Norm_Stats!$G$15)-Norm_Stats!$F$15)/(Norm_Stats!$G$15-Norm_Stats!$F$15)))))*0.7)+IF((IF(OR(City_Inputs!$AL105="",Norm_Stats!$F$16="",Norm_Stats!$G$16="",Norm_Stats!$G$16=Norm_Stats!$F$16),"",MAX(0,MIN(100,100*(Norm_Stats!$G$16-MIN(MAX(City_Inputs!$AL105,Norm_Stats!$F$16),Norm_Stats!$G$16))/(Norm_Stats!$G$16-Norm_Stats!$F$16)))))="",0,(IF(OR(City_Inputs!$AL105="",Norm_Stats!$F$16="",Norm_Stats!$G$16="",Norm_Stats!$G$16=Norm_Stats!$F$16),"",MAX(0,MIN(100,100*(Norm_Stats!$G$16-MIN(MAX(City_Inputs!$AL105,Norm_Stats!$F$16),Norm_Stats!$G$16))/(Norm_Stats!$G$16-Norm_Stats!$F$16)))))*0.3))/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L105" s="14">
        <f>IF(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=0,"",(IF((IF(OR(City_Inputs!$AA105="",Norm_Stats!$F$15="",Norm_Stats!$G$15="",Norm_Stats!$G$15=Norm_Stats!$F$15),"",MAX(0,MIN(100,100*(MIN(MAX(City_Inputs!$AA105,Norm_Stats!$F$15),Norm_Stats!$G$15)-Norm_Stats!$F$15)/(Norm_Stats!$G$15-Norm_Stats!$F$15)))))="",0,0.7)+IF((IF(OR(City_Inputs!$AL105="",Norm_Stats!$F$16="",Norm_Stats!$G$16="",Norm_Stats!$G$16=Norm_Stats!$F$16),"",MAX(0,MIN(100,100*(Norm_Stats!$G$16-MIN(MAX(City_Inputs!$AL105,Norm_Stats!$F$16),Norm_Stats!$G$16))/(Norm_Stats!$G$16-Norm_Stats!$F$16)))))="",0,0.3)))</f>
        <v/>
      </c>
      <c r="AM105" s="15">
        <f>IF((IF(AG105="",0,8)+IF(AI105="",0,6)+IF(AK105="",0,4))=0,"",(IF(AG105="",0,AG105*8)+IF(AI105="",0,AI105*6)+IF(AK105="",0,AK105*4))/(IF(AG105="",0,8)+IF(AI105="",0,6)+IF(AK105="",0,4)))</f>
        <v/>
      </c>
      <c r="AN105" s="14">
        <f>IF((IF(AH105="",0,8)+IF(AJ105="",0,6)+IF(AL105="",0,4))=0,"",(IF(AH105="",0,AH105*8)+IF(AJ105="",0,AJ105*6)+IF(AL105="",0,AL105*4))/18)</f>
        <v/>
      </c>
      <c r="AO105" s="11">
        <f>IF(OR(City_Inputs!$AB105="",Norm_Stats!$F$17="",Norm_Stats!$G$17="",Norm_Stats!$G$17=Norm_Stats!$F$17),"",MAX(0,MIN(100,100*(MIN(MAX(City_Inputs!$AB105,Norm_Stats!$F$17),Norm_Stats!$G$17)-Norm_Stats!$F$17)/(Norm_Stats!$G$17-Norm_Stats!$F$17))))</f>
        <v/>
      </c>
      <c r="AP105" s="14">
        <f>IF(AO105="","",1)</f>
        <v/>
      </c>
      <c r="AQ105" s="11">
        <f>IF(OR(City_Inputs!$AC105="",Norm_Stats!$F$18="",Norm_Stats!$G$18="",Norm_Stats!$G$18=Norm_Stats!$F$18),"",MAX(0,MIN(100,100*(MIN(MAX(City_Inputs!$AC105,Norm_Stats!$F$18),Norm_Stats!$G$18)-Norm_Stats!$F$18)/(Norm_Stats!$G$18-Norm_Stats!$F$18))))</f>
        <v/>
      </c>
      <c r="AR105" s="14">
        <f>IF(AQ105="","",1)</f>
        <v/>
      </c>
      <c r="AS105" s="11">
        <f>IF(OR(City_Inputs!$AD105="",Norm_Stats!$F$19="",Norm_Stats!$G$19="",Norm_Stats!$G$19=Norm_Stats!$F$19),"",MAX(0,MIN(100,100*(MIN(MAX(City_Inputs!$AD105,Norm_Stats!$F$19),Norm_Stats!$G$19)-Norm_Stats!$F$19)/(Norm_Stats!$G$19-Norm_Stats!$F$19))))</f>
        <v/>
      </c>
      <c r="AT105" s="14">
        <f>IF(AS105="","",1)</f>
        <v/>
      </c>
      <c r="AU105" s="11">
        <f>IF(OR(City_Inputs!$BJ105="",Norm_Stats!$F$26="",Norm_Stats!$G$26="",Norm_Stats!$G$26=Norm_Stats!$F$26),"",MAX(0,MIN(100,100*(MIN(MAX(City_Inputs!$BJ105,Norm_Stats!$F$26),Norm_Stats!$G$26)-Norm_Stats!$F$26)/(Norm_Stats!$G$26-Norm_Stats!$F$26))))</f>
        <v/>
      </c>
      <c r="AV105" s="11">
        <f>IF(AU105="","",1)</f>
        <v/>
      </c>
      <c r="AW105" s="15">
        <f>IF((IF(AO105="",0,5)+IF(AQ105="",0,5)+IF(AS105="",0,5)+IF(AU105="",0,4))=0,"",(IF(AO105="",0,AO105*5)+IF(AQ105="",0,AQ105*5)+IF(AS105="",0,AS105*5)+IF(AU105="",0,AU105*4))/(IF(AO105="",0,5)+IF(AQ105="",0,5)+IF(AS105="",0,5)+IF(AU105="",0,4)))</f>
        <v/>
      </c>
      <c r="AX105" s="14">
        <f>IF((IF(AP105="",0,5)+IF(AR105="",0,5)+IF(AT105="",0,5)+IF(AV105="",0,4))=0,"",(IF(AP105="",0,AP105*5)+IF(AR105="",0,AR105*5)+IF(AT105="",0,AT105*5)+IF(AV105="",0,AV105*4))/19)</f>
        <v/>
      </c>
      <c r="AY105" s="11">
        <f>IF(OR(City_Inputs!$AE105="",Norm_Stats!$F$20="",Norm_Stats!$G$20="",Norm_Stats!$G$20=Norm_Stats!$F$20),"",MAX(0,MIN(100,100*(MIN(MAX(City_Inputs!$AE105,Norm_Stats!$F$20),Norm_Stats!$G$20)-Norm_Stats!$F$20)/(Norm_Stats!$G$20-Norm_Stats!$F$20))))</f>
        <v/>
      </c>
      <c r="AZ105" s="14">
        <f>IF(AY105="","",1)</f>
        <v/>
      </c>
      <c r="BA105" s="11">
        <f>IF(OR(City_Inputs!$AF105="",Norm_Stats!$F$21="",Norm_Stats!$G$21="",Norm_Stats!$G$21=Norm_Stats!$F$21),"",MAX(0,MIN(100,100*(MIN(MAX(City_Inputs!$AF105,Norm_Stats!$F$21),Norm_Stats!$G$21)-Norm_Stats!$F$21)/(Norm_Stats!$G$21-Norm_Stats!$F$21))))</f>
        <v/>
      </c>
      <c r="BB105" s="14">
        <f>IF(BA105="","",1)</f>
        <v/>
      </c>
      <c r="BC105" s="11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(IF(OR(City_Inputs!$AG105="",Norm_Stats!$F$22="",Norm_Stats!$G$22="",Norm_Stats!$G$22=Norm_Stats!$F$22),"",MAX(0,MIN(100,100*(MIN(MAX(City_Inputs!$AG105,Norm_Stats!$F$22),Norm_Stats!$G$22)-Norm_Stats!$F$22)/(Norm_Stats!$G$22-Norm_Stats!$F$22)))))*0.5)+IF((IF(OR(City_Inputs!$AJ105="",Norm_Stats!$F$23="",Norm_Stats!$G$23="",Norm_Stats!$G$23=Norm_Stats!$F$23),"",MAX(0,MIN(100,100*(MIN(MAX(City_Inputs!$AJ105,Norm_Stats!$F$23),Norm_Stats!$G$23)-Norm_Stats!$F$23)/(Norm_Stats!$G$23-Norm_Stats!$F$23)))))="",0,(IF(OR(City_Inputs!$AJ105="",Norm_Stats!$F$23="",Norm_Stats!$G$23="",Norm_Stats!$G$23=Norm_Stats!$F$23),"",MAX(0,MIN(100,100*(MIN(MAX(City_Inputs!$AJ105,Norm_Stats!$F$23),Norm_Stats!$G$23)-Norm_Stats!$F$23)/(Norm_Stats!$G$23-Norm_Stats!$F$23)))))*0.3)+IF((IF(OR(City_Inputs!$AK105="",Norm_Stats!$F$24="",Norm_Stats!$G$24="",Norm_Stats!$G$24=Norm_Stats!$F$24),"",MAX(0,MIN(100,100*(MIN(MAX(City_Inputs!$AK105,Norm_Stats!$F$24),Norm_Stats!$G$24)-Norm_Stats!$F$24)/(Norm_Stats!$G$24-Norm_Stats!$F$24)))))="",0,(IF(OR(City_Inputs!$AK105="",Norm_Stats!$F$24="",Norm_Stats!$G$24="",Norm_Stats!$G$24=Norm_Stats!$F$24),"",MAX(0,MIN(100,100*(MIN(MAX(City_Inputs!$AK105,Norm_Stats!$F$24),Norm_Stats!$G$24)-Norm_Stats!$F$24)/(Norm_Stats!$G$24-Norm_Stats!$F$24)))))*0.2))/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D105" s="14">
        <f>IF(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=0,"",(IF((IF(OR(City_Inputs!$AG105="",Norm_Stats!$F$22="",Norm_Stats!$G$22="",Norm_Stats!$G$22=Norm_Stats!$F$22),"",MAX(0,MIN(100,100*(MIN(MAX(City_Inputs!$AG105,Norm_Stats!$F$22),Norm_Stats!$G$22)-Norm_Stats!$F$22)/(Norm_Stats!$G$22-Norm_Stats!$F$22)))))="",0,0.5)+IF((IF(OR(City_Inputs!$AJ105="",Norm_Stats!$F$23="",Norm_Stats!$G$23="",Norm_Stats!$G$23=Norm_Stats!$F$23),"",MAX(0,MIN(100,100*(MIN(MAX(City_Inputs!$AJ105,Norm_Stats!$F$23),Norm_Stats!$G$23)-Norm_Stats!$F$23)/(Norm_Stats!$G$23-Norm_Stats!$F$23)))))="",0,0.3)+IF((IF(OR(City_Inputs!$AK105="",Norm_Stats!$F$24="",Norm_Stats!$G$24="",Norm_Stats!$G$24=Norm_Stats!$F$24),"",MAX(0,MIN(100,100*(MIN(MAX(City_Inputs!$AK105,Norm_Stats!$F$24),Norm_Stats!$G$24)-Norm_Stats!$F$24)/(Norm_Stats!$G$24-Norm_Stats!$F$24)))))="",0,0.2)))</f>
        <v/>
      </c>
      <c r="BE105" s="11">
        <f>IF(OR(City_Inputs!$AH105="",Norm_Stats!$F$25="",Norm_Stats!$G$25="",Norm_Stats!$G$25=Norm_Stats!$F$25),"",MAX(0,MIN(100,100*(Norm_Stats!$G$25-MIN(MAX(City_Inputs!$AH105,Norm_Stats!$F$25),Norm_Stats!$G$25))/(Norm_Stats!$G$25-Norm_Stats!$F$25))))</f>
        <v/>
      </c>
      <c r="BF105" s="14">
        <f>IF(BE105="","",1)</f>
        <v/>
      </c>
      <c r="BG105" s="15">
        <f>IF((IF(AY105="",0,6)+IF(BA105="",0,5)+IF(BC105="",0,5)+IF(BE105="",0,4))=0,"",(IF(AY105="",0,AY105*6)+IF(BA105="",0,BA105*5)+IF(BC105="",0,BC105*5)+IF(BE105="",0,BE105*4))/(IF(AY105="",0,6)+IF(BA105="",0,5)+IF(BC105="",0,5)+IF(BE105="",0,4)))</f>
        <v/>
      </c>
      <c r="BH105" s="14">
        <f>IF((IF(AZ105="",0,6)+IF(BB105="",0,5)+IF(BD105="",0,5)+IF(BF105="",0,4))=0,"",(IF(AZ105="",0,AZ105*6)+IF(BB105="",0,BB105*5)+IF(BD105="",0,BD105*5)+IF(BF105="",0,BF105*4))/20)</f>
        <v/>
      </c>
      <c r="BI105" s="14">
        <f>IF(AND(R105="",AF105="",AN105="",AX105="",BH105=""),"",((R105*25)+(AF105*22)+(AN105*18)+(AX105*15)+(BH105*20))/100)</f>
        <v/>
      </c>
      <c r="BJ105" s="11">
        <f>IF(BI105="","",IF(BI105&gt;=0.75,"A",IF(BI105&gt;=0.5,"B",IF(BI105&gt;=0.35,"C","Watchlist"))))</f>
        <v/>
      </c>
      <c r="BK105" s="11">
        <f>IF(OR(BI105="",BI105&lt;0.5,R105="",R105&lt;0.35,AF105="",AF105&lt;0.35,AN105="",AN105&lt;0.35,AX105="",AX105&lt;0.35,BH105="",BH105&lt;0.35),"Watchlist","Ranked")</f>
        <v/>
      </c>
      <c r="BL105" s="15">
        <f>IF(AND(Q105="",AE105="",AM105="",AW105="",BG105=""),"",(IF(Q105="",0,Q105*25)+IF(AE105="",0,AE105*22)+IF(AM105="",0,AM105*18)+IF(AW105="",0,AW105*15)+IF(BG105="",0,BG105*20))/(IF(Q105="",0,25)+IF(AE105="",0,22)+IF(AM105="",0,18)+IF(AW105="",0,15)+IF(BG105="",0,20)))</f>
        <v/>
      </c>
      <c r="BM105" s="11">
        <f>IF(BK105="Ranked",1+COUNTIFS($BK$2:$BK$158,"Ranked",$BL$2:$BL$158,"&gt;"&amp;BL105),"")</f>
        <v/>
      </c>
      <c r="BN105" s="11">
        <f>City_Inputs!$AI105</f>
        <v/>
      </c>
    </row>
    <row r="106">
      <c r="A106" t="inlineStr">
        <is>
          <t>au-perth</t>
        </is>
      </c>
      <c r="B106" t="inlineStr">
        <is>
          <t>Perth</t>
        </is>
      </c>
      <c r="C106" t="inlineStr">
        <is>
          <t>Australia</t>
        </is>
      </c>
      <c r="D106" t="inlineStr">
        <is>
          <t>Oceania</t>
        </is>
      </c>
      <c r="E106" t="inlineStr">
        <is>
          <t>locked</t>
        </is>
      </c>
      <c r="F106" t="inlineStr">
        <is>
          <t>secondary</t>
        </is>
      </c>
      <c r="G106" s="11">
        <f>IF(OR(City_Inputs!$M106="",Norm_Stats!$F$2="",Norm_Stats!$G$2="",Norm_Stats!$G$2=Norm_Stats!$F$2),"",MAX(0,MIN(100,100*(MIN(MAX(City_Inputs!$M106,Norm_Stats!$F$2),Norm_Stats!$G$2)-Norm_Stats!$F$2)/(Norm_Stats!$G$2-Norm_Stats!$F$2))))</f>
        <v/>
      </c>
      <c r="H106" s="14">
        <f>IF(G106="","",1)</f>
        <v/>
      </c>
      <c r="I106" s="11">
        <f>IF(OR(City_Inputs!$N106="",Norm_Stats!$F$3="",Norm_Stats!$G$3="",Norm_Stats!$G$3=Norm_Stats!$F$3),"",MAX(0,MIN(100,100*(Norm_Stats!$G$3-MIN(MAX(City_Inputs!$N106,Norm_Stats!$F$3),Norm_Stats!$G$3))/(Norm_Stats!$G$3-Norm_Stats!$F$3))))</f>
        <v/>
      </c>
      <c r="J106" s="14">
        <f>IF(I106="","",1)</f>
        <v/>
      </c>
      <c r="K106" s="11">
        <f>IF(OR(City_Inputs!$P106="",Norm_Stats!$F$4="",Norm_Stats!$G$4="",Norm_Stats!$G$4=Norm_Stats!$F$4),"",MAX(0,MIN(100,100*(Norm_Stats!$G$4-MIN(MAX(City_Inputs!$P106,Norm_Stats!$F$4),Norm_Stats!$G$4))/(Norm_Stats!$G$4-Norm_Stats!$F$4))))</f>
        <v/>
      </c>
      <c r="L106" s="14">
        <f>IF(K106="","",1)</f>
        <v/>
      </c>
      <c r="M106" s="11">
        <f>IF(OR(City_Inputs!$Q106="",Norm_Stats!$F$5="",Norm_Stats!$G$5="",Norm_Stats!$G$5=Norm_Stats!$F$5),"",MAX(0,MIN(100,100*(Norm_Stats!$G$5-MIN(MAX(City_Inputs!$Q106,Norm_Stats!$F$5),Norm_Stats!$G$5))/(Norm_Stats!$G$5-Norm_Stats!$F$5))))</f>
        <v/>
      </c>
      <c r="N106" s="14">
        <f>IF(M106="","",1)</f>
        <v/>
      </c>
      <c r="O106" s="11">
        <f>IF(OR(City_Inputs!$R106="",Norm_Stats!$F$6="",Norm_Stats!$G$6="",Norm_Stats!$G$6=Norm_Stats!$F$6),"",MAX(0,MIN(100,100*(Norm_Stats!$G$6-MIN(MAX(City_Inputs!$R106,Norm_Stats!$F$6),Norm_Stats!$G$6))/(Norm_Stats!$G$6-Norm_Stats!$F$6))))</f>
        <v/>
      </c>
      <c r="P106" s="14">
        <f>IF(O106="","",1)</f>
        <v/>
      </c>
      <c r="Q106" s="15">
        <f>IF((IF(G106="",0,9)+IF(I106="",0,5)+IF(K106="",0,4)+IF(M106="",0,4)+IF(O106="",0,5))=0,"",(IF(G106="",0,G106*9)+IF(I106="",0,I106*5)+IF(K106="",0,K106*4)+IF(M106="",0,M106*4)+IF(O106="",0,O106*5))/(IF(G106="",0,9)+IF(I106="",0,5)+IF(K106="",0,4)+IF(M106="",0,4)+IF(O106="",0,5)))</f>
        <v/>
      </c>
      <c r="R106" s="14">
        <f>IF((IF(H106="",0,9)+IF(J106="",0,5)+IF(L106="",0,4)+IF(N106="",0,4)+IF(P106="",0,5))=0,"",(IF(H106="",0,H106*9)+IF(J106="",0,J106*5)+IF(L106="",0,L106*4)+IF(N106="",0,N106*4)+IF(P106="",0,P106*5))/27)</f>
        <v/>
      </c>
      <c r="S106" s="11">
        <f>IF(OR(City_Inputs!$S106="",Norm_Stats!$F$7="",Norm_Stats!$G$7="",Norm_Stats!$G$7=Norm_Stats!$F$7),"",MAX(0,MIN(100,100*(Norm_Stats!$G$7-MIN(MAX(City_Inputs!$S106,Norm_Stats!$F$7),Norm_Stats!$G$7))/(Norm_Stats!$G$7-Norm_Stats!$F$7))))</f>
        <v/>
      </c>
      <c r="T106" s="14">
        <f>IF(S106="","",1)</f>
        <v/>
      </c>
      <c r="U106" s="11">
        <f>IF(OR(City_Inputs!$T106="",Norm_Stats!$F$8="",Norm_Stats!$G$8="",Norm_Stats!$G$8=Norm_Stats!$F$8),"",MAX(0,MIN(100,100*(MIN(MAX(City_Inputs!$T106,Norm_Stats!$F$8),Norm_Stats!$G$8)-Norm_Stats!$F$8)/(Norm_Stats!$G$8-Norm_Stats!$F$8))))</f>
        <v/>
      </c>
      <c r="V106" s="14">
        <f>IF(U106="","",1)</f>
        <v/>
      </c>
      <c r="W106" s="11">
        <f>IF(OR(City_Inputs!$U106="",Norm_Stats!$F$9="",Norm_Stats!$G$9="",Norm_Stats!$G$9=Norm_Stats!$F$9),"",MAX(0,MIN(100,100*(Norm_Stats!$G$9-MIN(MAX(City_Inputs!$U106,Norm_Stats!$F$9),Norm_Stats!$G$9))/(Norm_Stats!$G$9-Norm_Stats!$F$9))))</f>
        <v/>
      </c>
      <c r="X106" s="14">
        <f>IF(W106="","",1)</f>
        <v/>
      </c>
      <c r="Y106" s="11">
        <f>IF(OR(City_Inputs!$V106="",Norm_Stats!$F$10="",Norm_Stats!$G$10="",Norm_Stats!$G$10=Norm_Stats!$F$10),"",MAX(0,MIN(100,100*(MIN(MAX(City_Inputs!$V106,Norm_Stats!$F$10),Norm_Stats!$G$10)-Norm_Stats!$F$10)/(Norm_Stats!$G$10-Norm_Stats!$F$10))))</f>
        <v/>
      </c>
      <c r="Z106" s="14">
        <f>IF(Y106="","",1)</f>
        <v/>
      </c>
      <c r="AA106" s="11">
        <f>IF(OR(City_Inputs!$W106="",Norm_Stats!$F$11="",Norm_Stats!$G$11="",Norm_Stats!$G$11=Norm_Stats!$F$11),"",MAX(0,MIN(100,100*(MIN(MAX(City_Inputs!$W106,Norm_Stats!$F$11),Norm_Stats!$G$11)-Norm_Stats!$F$11)/(Norm_Stats!$G$11-Norm_Stats!$F$11))))</f>
        <v/>
      </c>
      <c r="AB106" s="14">
        <f>IF(AA106="","",1)</f>
        <v/>
      </c>
      <c r="AC106" s="11">
        <f>IF(OR(City_Inputs!$X106="",Norm_Stats!$F$12="",Norm_Stats!$G$12="",Norm_Stats!$G$12=Norm_Stats!$F$12),"",MAX(0,MIN(100,100*(MIN(MAX(City_Inputs!$X106,Norm_Stats!$F$12),Norm_Stats!$G$12)-Norm_Stats!$F$12)/(Norm_Stats!$G$12-Norm_Stats!$F$12))))</f>
        <v/>
      </c>
      <c r="AD106" s="11">
        <f>IF(AC106="","",1)</f>
        <v/>
      </c>
      <c r="AE106" s="15">
        <f>IF((IF(S106="",0,5)+IF(U106="",0,5)+IF(W106="",0,4)+IF(Y106="",0,4)+IF(AA106="",0,4)+IF(AC106="",0,5))=0,"",(IF(S106="",0,S106*5)+IF(U106="",0,U106*5)+IF(W106="",0,W106*4)+IF(Y106="",0,Y106*4)+IF(AA106="",0,AA106*4)+IF(AC106="",0,AC106*5))/(IF(S106="",0,5)+IF(U106="",0,5)+IF(W106="",0,4)+IF(Y106="",0,4)+IF(AA106="",0,4)+IF(AC106="",0,5)))</f>
        <v/>
      </c>
      <c r="AF106" s="14">
        <f>IF((IF(T106="",0,5)+IF(V106="",0,5)+IF(X106="",0,4)+IF(Z106="",0,4)+IF(AB106="",0,4)+IF(AD106="",0,5))=0,"",(IF(T106="",0,T106*5)+IF(V106="",0,V106*5)+IF(X106="",0,X106*4)+IF(Z106="",0,Z106*4)+IF(AB106="",0,AB106*4)+IF(AD106="",0,AD106*5))/27)</f>
        <v/>
      </c>
      <c r="AG106" s="11">
        <f>IF(OR(City_Inputs!$Y106="",Norm_Stats!$F$13="",Norm_Stats!$G$13="",Norm_Stats!$G$13=Norm_Stats!$F$13),"",MAX(0,MIN(100,100*(MIN(MAX(City_Inputs!$Y106,Norm_Stats!$F$13),Norm_Stats!$G$13)-Norm_Stats!$F$13)/(Norm_Stats!$G$13-Norm_Stats!$F$13))))</f>
        <v/>
      </c>
      <c r="AH106" s="14">
        <f>IF(AG106="","",1)</f>
        <v/>
      </c>
      <c r="AI106" s="11">
        <f>IF(OR(City_Inputs!$Z106="",Norm_Stats!$F$14="",Norm_Stats!$G$14="",Norm_Stats!$G$14=Norm_Stats!$F$14),"",MAX(0,MIN(100,100*(MIN(MAX(City_Inputs!$Z106,Norm_Stats!$F$14),Norm_Stats!$G$14)-Norm_Stats!$F$14)/(Norm_Stats!$G$14-Norm_Stats!$F$14))))</f>
        <v/>
      </c>
      <c r="AJ106" s="14">
        <f>IF(AI106="","",1)</f>
        <v/>
      </c>
      <c r="AK106" s="11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(IF(OR(City_Inputs!$AA106="",Norm_Stats!$F$15="",Norm_Stats!$G$15="",Norm_Stats!$G$15=Norm_Stats!$F$15),"",MAX(0,MIN(100,100*(MIN(MAX(City_Inputs!$AA106,Norm_Stats!$F$15),Norm_Stats!$G$15)-Norm_Stats!$F$15)/(Norm_Stats!$G$15-Norm_Stats!$F$15)))))*0.7)+IF((IF(OR(City_Inputs!$AL106="",Norm_Stats!$F$16="",Norm_Stats!$G$16="",Norm_Stats!$G$16=Norm_Stats!$F$16),"",MAX(0,MIN(100,100*(Norm_Stats!$G$16-MIN(MAX(City_Inputs!$AL106,Norm_Stats!$F$16),Norm_Stats!$G$16))/(Norm_Stats!$G$16-Norm_Stats!$F$16)))))="",0,(IF(OR(City_Inputs!$AL106="",Norm_Stats!$F$16="",Norm_Stats!$G$16="",Norm_Stats!$G$16=Norm_Stats!$F$16),"",MAX(0,MIN(100,100*(Norm_Stats!$G$16-MIN(MAX(City_Inputs!$AL106,Norm_Stats!$F$16),Norm_Stats!$G$16))/(Norm_Stats!$G$16-Norm_Stats!$F$16)))))*0.3))/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L106" s="14">
        <f>IF(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=0,"",(IF((IF(OR(City_Inputs!$AA106="",Norm_Stats!$F$15="",Norm_Stats!$G$15="",Norm_Stats!$G$15=Norm_Stats!$F$15),"",MAX(0,MIN(100,100*(MIN(MAX(City_Inputs!$AA106,Norm_Stats!$F$15),Norm_Stats!$G$15)-Norm_Stats!$F$15)/(Norm_Stats!$G$15-Norm_Stats!$F$15)))))="",0,0.7)+IF((IF(OR(City_Inputs!$AL106="",Norm_Stats!$F$16="",Norm_Stats!$G$16="",Norm_Stats!$G$16=Norm_Stats!$F$16),"",MAX(0,MIN(100,100*(Norm_Stats!$G$16-MIN(MAX(City_Inputs!$AL106,Norm_Stats!$F$16),Norm_Stats!$G$16))/(Norm_Stats!$G$16-Norm_Stats!$F$16)))))="",0,0.3)))</f>
        <v/>
      </c>
      <c r="AM106" s="15">
        <f>IF((IF(AG106="",0,8)+IF(AI106="",0,6)+IF(AK106="",0,4))=0,"",(IF(AG106="",0,AG106*8)+IF(AI106="",0,AI106*6)+IF(AK106="",0,AK106*4))/(IF(AG106="",0,8)+IF(AI106="",0,6)+IF(AK106="",0,4)))</f>
        <v/>
      </c>
      <c r="AN106" s="14">
        <f>IF((IF(AH106="",0,8)+IF(AJ106="",0,6)+IF(AL106="",0,4))=0,"",(IF(AH106="",0,AH106*8)+IF(AJ106="",0,AJ106*6)+IF(AL106="",0,AL106*4))/18)</f>
        <v/>
      </c>
      <c r="AO106" s="11">
        <f>IF(OR(City_Inputs!$AB106="",Norm_Stats!$F$17="",Norm_Stats!$G$17="",Norm_Stats!$G$17=Norm_Stats!$F$17),"",MAX(0,MIN(100,100*(MIN(MAX(City_Inputs!$AB106,Norm_Stats!$F$17),Norm_Stats!$G$17)-Norm_Stats!$F$17)/(Norm_Stats!$G$17-Norm_Stats!$F$17))))</f>
        <v/>
      </c>
      <c r="AP106" s="14">
        <f>IF(AO106="","",1)</f>
        <v/>
      </c>
      <c r="AQ106" s="11">
        <f>IF(OR(City_Inputs!$AC106="",Norm_Stats!$F$18="",Norm_Stats!$G$18="",Norm_Stats!$G$18=Norm_Stats!$F$18),"",MAX(0,MIN(100,100*(MIN(MAX(City_Inputs!$AC106,Norm_Stats!$F$18),Norm_Stats!$G$18)-Norm_Stats!$F$18)/(Norm_Stats!$G$18-Norm_Stats!$F$18))))</f>
        <v/>
      </c>
      <c r="AR106" s="14">
        <f>IF(AQ106="","",1)</f>
        <v/>
      </c>
      <c r="AS106" s="11">
        <f>IF(OR(City_Inputs!$AD106="",Norm_Stats!$F$19="",Norm_Stats!$G$19="",Norm_Stats!$G$19=Norm_Stats!$F$19),"",MAX(0,MIN(100,100*(MIN(MAX(City_Inputs!$AD106,Norm_Stats!$F$19),Norm_Stats!$G$19)-Norm_Stats!$F$19)/(Norm_Stats!$G$19-Norm_Stats!$F$19))))</f>
        <v/>
      </c>
      <c r="AT106" s="14">
        <f>IF(AS106="","",1)</f>
        <v/>
      </c>
      <c r="AU106" s="11">
        <f>IF(OR(City_Inputs!$BJ106="",Norm_Stats!$F$26="",Norm_Stats!$G$26="",Norm_Stats!$G$26=Norm_Stats!$F$26),"",MAX(0,MIN(100,100*(MIN(MAX(City_Inputs!$BJ106,Norm_Stats!$F$26),Norm_Stats!$G$26)-Norm_Stats!$F$26)/(Norm_Stats!$G$26-Norm_Stats!$F$26))))</f>
        <v/>
      </c>
      <c r="AV106" s="11">
        <f>IF(AU106="","",1)</f>
        <v/>
      </c>
      <c r="AW106" s="15">
        <f>IF((IF(AO106="",0,5)+IF(AQ106="",0,5)+IF(AS106="",0,5)+IF(AU106="",0,4))=0,"",(IF(AO106="",0,AO106*5)+IF(AQ106="",0,AQ106*5)+IF(AS106="",0,AS106*5)+IF(AU106="",0,AU106*4))/(IF(AO106="",0,5)+IF(AQ106="",0,5)+IF(AS106="",0,5)+IF(AU106="",0,4)))</f>
        <v/>
      </c>
      <c r="AX106" s="14">
        <f>IF((IF(AP106="",0,5)+IF(AR106="",0,5)+IF(AT106="",0,5)+IF(AV106="",0,4))=0,"",(IF(AP106="",0,AP106*5)+IF(AR106="",0,AR106*5)+IF(AT106="",0,AT106*5)+IF(AV106="",0,AV106*4))/19)</f>
        <v/>
      </c>
      <c r="AY106" s="11">
        <f>IF(OR(City_Inputs!$AE106="",Norm_Stats!$F$20="",Norm_Stats!$G$20="",Norm_Stats!$G$20=Norm_Stats!$F$20),"",MAX(0,MIN(100,100*(MIN(MAX(City_Inputs!$AE106,Norm_Stats!$F$20),Norm_Stats!$G$20)-Norm_Stats!$F$20)/(Norm_Stats!$G$20-Norm_Stats!$F$20))))</f>
        <v/>
      </c>
      <c r="AZ106" s="14">
        <f>IF(AY106="","",1)</f>
        <v/>
      </c>
      <c r="BA106" s="11">
        <f>IF(OR(City_Inputs!$AF106="",Norm_Stats!$F$21="",Norm_Stats!$G$21="",Norm_Stats!$G$21=Norm_Stats!$F$21),"",MAX(0,MIN(100,100*(MIN(MAX(City_Inputs!$AF106,Norm_Stats!$F$21),Norm_Stats!$G$21)-Norm_Stats!$F$21)/(Norm_Stats!$G$21-Norm_Stats!$F$21))))</f>
        <v/>
      </c>
      <c r="BB106" s="14">
        <f>IF(BA106="","",1)</f>
        <v/>
      </c>
      <c r="BC106" s="11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(IF(OR(City_Inputs!$AG106="",Norm_Stats!$F$22="",Norm_Stats!$G$22="",Norm_Stats!$G$22=Norm_Stats!$F$22),"",MAX(0,MIN(100,100*(MIN(MAX(City_Inputs!$AG106,Norm_Stats!$F$22),Norm_Stats!$G$22)-Norm_Stats!$F$22)/(Norm_Stats!$G$22-Norm_Stats!$F$22)))))*0.5)+IF((IF(OR(City_Inputs!$AJ106="",Norm_Stats!$F$23="",Norm_Stats!$G$23="",Norm_Stats!$G$23=Norm_Stats!$F$23),"",MAX(0,MIN(100,100*(MIN(MAX(City_Inputs!$AJ106,Norm_Stats!$F$23),Norm_Stats!$G$23)-Norm_Stats!$F$23)/(Norm_Stats!$G$23-Norm_Stats!$F$23)))))="",0,(IF(OR(City_Inputs!$AJ106="",Norm_Stats!$F$23="",Norm_Stats!$G$23="",Norm_Stats!$G$23=Norm_Stats!$F$23),"",MAX(0,MIN(100,100*(MIN(MAX(City_Inputs!$AJ106,Norm_Stats!$F$23),Norm_Stats!$G$23)-Norm_Stats!$F$23)/(Norm_Stats!$G$23-Norm_Stats!$F$23)))))*0.3)+IF((IF(OR(City_Inputs!$AK106="",Norm_Stats!$F$24="",Norm_Stats!$G$24="",Norm_Stats!$G$24=Norm_Stats!$F$24),"",MAX(0,MIN(100,100*(MIN(MAX(City_Inputs!$AK106,Norm_Stats!$F$24),Norm_Stats!$G$24)-Norm_Stats!$F$24)/(Norm_Stats!$G$24-Norm_Stats!$F$24)))))="",0,(IF(OR(City_Inputs!$AK106="",Norm_Stats!$F$24="",Norm_Stats!$G$24="",Norm_Stats!$G$24=Norm_Stats!$F$24),"",MAX(0,MIN(100,100*(MIN(MAX(City_Inputs!$AK106,Norm_Stats!$F$24),Norm_Stats!$G$24)-Norm_Stats!$F$24)/(Norm_Stats!$G$24-Norm_Stats!$F$24)))))*0.2))/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D106" s="14">
        <f>IF(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=0,"",(IF((IF(OR(City_Inputs!$AG106="",Norm_Stats!$F$22="",Norm_Stats!$G$22="",Norm_Stats!$G$22=Norm_Stats!$F$22),"",MAX(0,MIN(100,100*(MIN(MAX(City_Inputs!$AG106,Norm_Stats!$F$22),Norm_Stats!$G$22)-Norm_Stats!$F$22)/(Norm_Stats!$G$22-Norm_Stats!$F$22)))))="",0,0.5)+IF((IF(OR(City_Inputs!$AJ106="",Norm_Stats!$F$23="",Norm_Stats!$G$23="",Norm_Stats!$G$23=Norm_Stats!$F$23),"",MAX(0,MIN(100,100*(MIN(MAX(City_Inputs!$AJ106,Norm_Stats!$F$23),Norm_Stats!$G$23)-Norm_Stats!$F$23)/(Norm_Stats!$G$23-Norm_Stats!$F$23)))))="",0,0.3)+IF((IF(OR(City_Inputs!$AK106="",Norm_Stats!$F$24="",Norm_Stats!$G$24="",Norm_Stats!$G$24=Norm_Stats!$F$24),"",MAX(0,MIN(100,100*(MIN(MAX(City_Inputs!$AK106,Norm_Stats!$F$24),Norm_Stats!$G$24)-Norm_Stats!$F$24)/(Norm_Stats!$G$24-Norm_Stats!$F$24)))))="",0,0.2)))</f>
        <v/>
      </c>
      <c r="BE106" s="11">
        <f>IF(OR(City_Inputs!$AH106="",Norm_Stats!$F$25="",Norm_Stats!$G$25="",Norm_Stats!$G$25=Norm_Stats!$F$25),"",MAX(0,MIN(100,100*(Norm_Stats!$G$25-MIN(MAX(City_Inputs!$AH106,Norm_Stats!$F$25),Norm_Stats!$G$25))/(Norm_Stats!$G$25-Norm_Stats!$F$25))))</f>
        <v/>
      </c>
      <c r="BF106" s="14">
        <f>IF(BE106="","",1)</f>
        <v/>
      </c>
      <c r="BG106" s="15">
        <f>IF((IF(AY106="",0,6)+IF(BA106="",0,5)+IF(BC106="",0,5)+IF(BE106="",0,4))=0,"",(IF(AY106="",0,AY106*6)+IF(BA106="",0,BA106*5)+IF(BC106="",0,BC106*5)+IF(BE106="",0,BE106*4))/(IF(AY106="",0,6)+IF(BA106="",0,5)+IF(BC106="",0,5)+IF(BE106="",0,4)))</f>
        <v/>
      </c>
      <c r="BH106" s="14">
        <f>IF((IF(AZ106="",0,6)+IF(BB106="",0,5)+IF(BD106="",0,5)+IF(BF106="",0,4))=0,"",(IF(AZ106="",0,AZ106*6)+IF(BB106="",0,BB106*5)+IF(BD106="",0,BD106*5)+IF(BF106="",0,BF106*4))/20)</f>
        <v/>
      </c>
      <c r="BI106" s="14">
        <f>IF(AND(R106="",AF106="",AN106="",AX106="",BH106=""),"",((R106*25)+(AF106*22)+(AN106*18)+(AX106*15)+(BH106*20))/100)</f>
        <v/>
      </c>
      <c r="BJ106" s="11">
        <f>IF(BI106="","",IF(BI106&gt;=0.75,"A",IF(BI106&gt;=0.5,"B",IF(BI106&gt;=0.35,"C","Watchlist"))))</f>
        <v/>
      </c>
      <c r="BK106" s="11">
        <f>IF(OR(BI106="",BI106&lt;0.5,R106="",R106&lt;0.35,AF106="",AF106&lt;0.35,AN106="",AN106&lt;0.35,AX106="",AX106&lt;0.35,BH106="",BH106&lt;0.35),"Watchlist","Ranked")</f>
        <v/>
      </c>
      <c r="BL106" s="15">
        <f>IF(AND(Q106="",AE106="",AM106="",AW106="",BG106=""),"",(IF(Q106="",0,Q106*25)+IF(AE106="",0,AE106*22)+IF(AM106="",0,AM106*18)+IF(AW106="",0,AW106*15)+IF(BG106="",0,BG106*20))/(IF(Q106="",0,25)+IF(AE106="",0,22)+IF(AM106="",0,18)+IF(AW106="",0,15)+IF(BG106="",0,20)))</f>
        <v/>
      </c>
      <c r="BM106" s="11">
        <f>IF(BK106="Ranked",1+COUNTIFS($BK$2:$BK$158,"Ranked",$BL$2:$BL$158,"&gt;"&amp;BL106),"")</f>
        <v/>
      </c>
      <c r="BN106" s="11">
        <f>City_Inputs!$AI106</f>
        <v/>
      </c>
    </row>
    <row r="107">
      <c r="A107" t="inlineStr">
        <is>
          <t>au-adelaide</t>
        </is>
      </c>
      <c r="B107" t="inlineStr">
        <is>
          <t>Adelaide</t>
        </is>
      </c>
      <c r="C107" t="inlineStr">
        <is>
          <t>Australia</t>
        </is>
      </c>
      <c r="D107" t="inlineStr">
        <is>
          <t>Oceania</t>
        </is>
      </c>
      <c r="E107" t="inlineStr">
        <is>
          <t>locked</t>
        </is>
      </c>
      <c r="F107" t="inlineStr">
        <is>
          <t>secondary</t>
        </is>
      </c>
      <c r="G107" s="11">
        <f>IF(OR(City_Inputs!$M107="",Norm_Stats!$F$2="",Norm_Stats!$G$2="",Norm_Stats!$G$2=Norm_Stats!$F$2),"",MAX(0,MIN(100,100*(MIN(MAX(City_Inputs!$M107,Norm_Stats!$F$2),Norm_Stats!$G$2)-Norm_Stats!$F$2)/(Norm_Stats!$G$2-Norm_Stats!$F$2))))</f>
        <v/>
      </c>
      <c r="H107" s="14">
        <f>IF(G107="","",1)</f>
        <v/>
      </c>
      <c r="I107" s="11">
        <f>IF(OR(City_Inputs!$N107="",Norm_Stats!$F$3="",Norm_Stats!$G$3="",Norm_Stats!$G$3=Norm_Stats!$F$3),"",MAX(0,MIN(100,100*(Norm_Stats!$G$3-MIN(MAX(City_Inputs!$N107,Norm_Stats!$F$3),Norm_Stats!$G$3))/(Norm_Stats!$G$3-Norm_Stats!$F$3))))</f>
        <v/>
      </c>
      <c r="J107" s="14">
        <f>IF(I107="","",1)</f>
        <v/>
      </c>
      <c r="K107" s="11">
        <f>IF(OR(City_Inputs!$P107="",Norm_Stats!$F$4="",Norm_Stats!$G$4="",Norm_Stats!$G$4=Norm_Stats!$F$4),"",MAX(0,MIN(100,100*(Norm_Stats!$G$4-MIN(MAX(City_Inputs!$P107,Norm_Stats!$F$4),Norm_Stats!$G$4))/(Norm_Stats!$G$4-Norm_Stats!$F$4))))</f>
        <v/>
      </c>
      <c r="L107" s="14">
        <f>IF(K107="","",1)</f>
        <v/>
      </c>
      <c r="M107" s="11">
        <f>IF(OR(City_Inputs!$Q107="",Norm_Stats!$F$5="",Norm_Stats!$G$5="",Norm_Stats!$G$5=Norm_Stats!$F$5),"",MAX(0,MIN(100,100*(Norm_Stats!$G$5-MIN(MAX(City_Inputs!$Q107,Norm_Stats!$F$5),Norm_Stats!$G$5))/(Norm_Stats!$G$5-Norm_Stats!$F$5))))</f>
        <v/>
      </c>
      <c r="N107" s="14">
        <f>IF(M107="","",1)</f>
        <v/>
      </c>
      <c r="O107" s="11">
        <f>IF(OR(City_Inputs!$R107="",Norm_Stats!$F$6="",Norm_Stats!$G$6="",Norm_Stats!$G$6=Norm_Stats!$F$6),"",MAX(0,MIN(100,100*(Norm_Stats!$G$6-MIN(MAX(City_Inputs!$R107,Norm_Stats!$F$6),Norm_Stats!$G$6))/(Norm_Stats!$G$6-Norm_Stats!$F$6))))</f>
        <v/>
      </c>
      <c r="P107" s="14">
        <f>IF(O107="","",1)</f>
        <v/>
      </c>
      <c r="Q107" s="15">
        <f>IF((IF(G107="",0,9)+IF(I107="",0,5)+IF(K107="",0,4)+IF(M107="",0,4)+IF(O107="",0,5))=0,"",(IF(G107="",0,G107*9)+IF(I107="",0,I107*5)+IF(K107="",0,K107*4)+IF(M107="",0,M107*4)+IF(O107="",0,O107*5))/(IF(G107="",0,9)+IF(I107="",0,5)+IF(K107="",0,4)+IF(M107="",0,4)+IF(O107="",0,5)))</f>
        <v/>
      </c>
      <c r="R107" s="14">
        <f>IF((IF(H107="",0,9)+IF(J107="",0,5)+IF(L107="",0,4)+IF(N107="",0,4)+IF(P107="",0,5))=0,"",(IF(H107="",0,H107*9)+IF(J107="",0,J107*5)+IF(L107="",0,L107*4)+IF(N107="",0,N107*4)+IF(P107="",0,P107*5))/27)</f>
        <v/>
      </c>
      <c r="S107" s="11">
        <f>IF(OR(City_Inputs!$S107="",Norm_Stats!$F$7="",Norm_Stats!$G$7="",Norm_Stats!$G$7=Norm_Stats!$F$7),"",MAX(0,MIN(100,100*(Norm_Stats!$G$7-MIN(MAX(City_Inputs!$S107,Norm_Stats!$F$7),Norm_Stats!$G$7))/(Norm_Stats!$G$7-Norm_Stats!$F$7))))</f>
        <v/>
      </c>
      <c r="T107" s="14">
        <f>IF(S107="","",1)</f>
        <v/>
      </c>
      <c r="U107" s="11">
        <f>IF(OR(City_Inputs!$T107="",Norm_Stats!$F$8="",Norm_Stats!$G$8="",Norm_Stats!$G$8=Norm_Stats!$F$8),"",MAX(0,MIN(100,100*(MIN(MAX(City_Inputs!$T107,Norm_Stats!$F$8),Norm_Stats!$G$8)-Norm_Stats!$F$8)/(Norm_Stats!$G$8-Norm_Stats!$F$8))))</f>
        <v/>
      </c>
      <c r="V107" s="14">
        <f>IF(U107="","",1)</f>
        <v/>
      </c>
      <c r="W107" s="11">
        <f>IF(OR(City_Inputs!$U107="",Norm_Stats!$F$9="",Norm_Stats!$G$9="",Norm_Stats!$G$9=Norm_Stats!$F$9),"",MAX(0,MIN(100,100*(Norm_Stats!$G$9-MIN(MAX(City_Inputs!$U107,Norm_Stats!$F$9),Norm_Stats!$G$9))/(Norm_Stats!$G$9-Norm_Stats!$F$9))))</f>
        <v/>
      </c>
      <c r="X107" s="14">
        <f>IF(W107="","",1)</f>
        <v/>
      </c>
      <c r="Y107" s="11">
        <f>IF(OR(City_Inputs!$V107="",Norm_Stats!$F$10="",Norm_Stats!$G$10="",Norm_Stats!$G$10=Norm_Stats!$F$10),"",MAX(0,MIN(100,100*(MIN(MAX(City_Inputs!$V107,Norm_Stats!$F$10),Norm_Stats!$G$10)-Norm_Stats!$F$10)/(Norm_Stats!$G$10-Norm_Stats!$F$10))))</f>
        <v/>
      </c>
      <c r="Z107" s="14">
        <f>IF(Y107="","",1)</f>
        <v/>
      </c>
      <c r="AA107" s="11">
        <f>IF(OR(City_Inputs!$W107="",Norm_Stats!$F$11="",Norm_Stats!$G$11="",Norm_Stats!$G$11=Norm_Stats!$F$11),"",MAX(0,MIN(100,100*(MIN(MAX(City_Inputs!$W107,Norm_Stats!$F$11),Norm_Stats!$G$11)-Norm_Stats!$F$11)/(Norm_Stats!$G$11-Norm_Stats!$F$11))))</f>
        <v/>
      </c>
      <c r="AB107" s="14">
        <f>IF(AA107="","",1)</f>
        <v/>
      </c>
      <c r="AC107" s="11">
        <f>IF(OR(City_Inputs!$X107="",Norm_Stats!$F$12="",Norm_Stats!$G$12="",Norm_Stats!$G$12=Norm_Stats!$F$12),"",MAX(0,MIN(100,100*(MIN(MAX(City_Inputs!$X107,Norm_Stats!$F$12),Norm_Stats!$G$12)-Norm_Stats!$F$12)/(Norm_Stats!$G$12-Norm_Stats!$F$12))))</f>
        <v/>
      </c>
      <c r="AD107" s="11">
        <f>IF(AC107="","",1)</f>
        <v/>
      </c>
      <c r="AE107" s="15">
        <f>IF((IF(S107="",0,5)+IF(U107="",0,5)+IF(W107="",0,4)+IF(Y107="",0,4)+IF(AA107="",0,4)+IF(AC107="",0,5))=0,"",(IF(S107="",0,S107*5)+IF(U107="",0,U107*5)+IF(W107="",0,W107*4)+IF(Y107="",0,Y107*4)+IF(AA107="",0,AA107*4)+IF(AC107="",0,AC107*5))/(IF(S107="",0,5)+IF(U107="",0,5)+IF(W107="",0,4)+IF(Y107="",0,4)+IF(AA107="",0,4)+IF(AC107="",0,5)))</f>
        <v/>
      </c>
      <c r="AF107" s="14">
        <f>IF((IF(T107="",0,5)+IF(V107="",0,5)+IF(X107="",0,4)+IF(Z107="",0,4)+IF(AB107="",0,4)+IF(AD107="",0,5))=0,"",(IF(T107="",0,T107*5)+IF(V107="",0,V107*5)+IF(X107="",0,X107*4)+IF(Z107="",0,Z107*4)+IF(AB107="",0,AB107*4)+IF(AD107="",0,AD107*5))/27)</f>
        <v/>
      </c>
      <c r="AG107" s="11">
        <f>IF(OR(City_Inputs!$Y107="",Norm_Stats!$F$13="",Norm_Stats!$G$13="",Norm_Stats!$G$13=Norm_Stats!$F$13),"",MAX(0,MIN(100,100*(MIN(MAX(City_Inputs!$Y107,Norm_Stats!$F$13),Norm_Stats!$G$13)-Norm_Stats!$F$13)/(Norm_Stats!$G$13-Norm_Stats!$F$13))))</f>
        <v/>
      </c>
      <c r="AH107" s="14">
        <f>IF(AG107="","",1)</f>
        <v/>
      </c>
      <c r="AI107" s="11">
        <f>IF(OR(City_Inputs!$Z107="",Norm_Stats!$F$14="",Norm_Stats!$G$14="",Norm_Stats!$G$14=Norm_Stats!$F$14),"",MAX(0,MIN(100,100*(MIN(MAX(City_Inputs!$Z107,Norm_Stats!$F$14),Norm_Stats!$G$14)-Norm_Stats!$F$14)/(Norm_Stats!$G$14-Norm_Stats!$F$14))))</f>
        <v/>
      </c>
      <c r="AJ107" s="14">
        <f>IF(AI107="","",1)</f>
        <v/>
      </c>
      <c r="AK107" s="11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(IF(OR(City_Inputs!$AA107="",Norm_Stats!$F$15="",Norm_Stats!$G$15="",Norm_Stats!$G$15=Norm_Stats!$F$15),"",MAX(0,MIN(100,100*(MIN(MAX(City_Inputs!$AA107,Norm_Stats!$F$15),Norm_Stats!$G$15)-Norm_Stats!$F$15)/(Norm_Stats!$G$15-Norm_Stats!$F$15)))))*0.7)+IF((IF(OR(City_Inputs!$AL107="",Norm_Stats!$F$16="",Norm_Stats!$G$16="",Norm_Stats!$G$16=Norm_Stats!$F$16),"",MAX(0,MIN(100,100*(Norm_Stats!$G$16-MIN(MAX(City_Inputs!$AL107,Norm_Stats!$F$16),Norm_Stats!$G$16))/(Norm_Stats!$G$16-Norm_Stats!$F$16)))))="",0,(IF(OR(City_Inputs!$AL107="",Norm_Stats!$F$16="",Norm_Stats!$G$16="",Norm_Stats!$G$16=Norm_Stats!$F$16),"",MAX(0,MIN(100,100*(Norm_Stats!$G$16-MIN(MAX(City_Inputs!$AL107,Norm_Stats!$F$16),Norm_Stats!$G$16))/(Norm_Stats!$G$16-Norm_Stats!$F$16)))))*0.3))/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L107" s="14">
        <f>IF(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=0,"",(IF((IF(OR(City_Inputs!$AA107="",Norm_Stats!$F$15="",Norm_Stats!$G$15="",Norm_Stats!$G$15=Norm_Stats!$F$15),"",MAX(0,MIN(100,100*(MIN(MAX(City_Inputs!$AA107,Norm_Stats!$F$15),Norm_Stats!$G$15)-Norm_Stats!$F$15)/(Norm_Stats!$G$15-Norm_Stats!$F$15)))))="",0,0.7)+IF((IF(OR(City_Inputs!$AL107="",Norm_Stats!$F$16="",Norm_Stats!$G$16="",Norm_Stats!$G$16=Norm_Stats!$F$16),"",MAX(0,MIN(100,100*(Norm_Stats!$G$16-MIN(MAX(City_Inputs!$AL107,Norm_Stats!$F$16),Norm_Stats!$G$16))/(Norm_Stats!$G$16-Norm_Stats!$F$16)))))="",0,0.3)))</f>
        <v/>
      </c>
      <c r="AM107" s="15">
        <f>IF((IF(AG107="",0,8)+IF(AI107="",0,6)+IF(AK107="",0,4))=0,"",(IF(AG107="",0,AG107*8)+IF(AI107="",0,AI107*6)+IF(AK107="",0,AK107*4))/(IF(AG107="",0,8)+IF(AI107="",0,6)+IF(AK107="",0,4)))</f>
        <v/>
      </c>
      <c r="AN107" s="14">
        <f>IF((IF(AH107="",0,8)+IF(AJ107="",0,6)+IF(AL107="",0,4))=0,"",(IF(AH107="",0,AH107*8)+IF(AJ107="",0,AJ107*6)+IF(AL107="",0,AL107*4))/18)</f>
        <v/>
      </c>
      <c r="AO107" s="11">
        <f>IF(OR(City_Inputs!$AB107="",Norm_Stats!$F$17="",Norm_Stats!$G$17="",Norm_Stats!$G$17=Norm_Stats!$F$17),"",MAX(0,MIN(100,100*(MIN(MAX(City_Inputs!$AB107,Norm_Stats!$F$17),Norm_Stats!$G$17)-Norm_Stats!$F$17)/(Norm_Stats!$G$17-Norm_Stats!$F$17))))</f>
        <v/>
      </c>
      <c r="AP107" s="14">
        <f>IF(AO107="","",1)</f>
        <v/>
      </c>
      <c r="AQ107" s="11">
        <f>IF(OR(City_Inputs!$AC107="",Norm_Stats!$F$18="",Norm_Stats!$G$18="",Norm_Stats!$G$18=Norm_Stats!$F$18),"",MAX(0,MIN(100,100*(MIN(MAX(City_Inputs!$AC107,Norm_Stats!$F$18),Norm_Stats!$G$18)-Norm_Stats!$F$18)/(Norm_Stats!$G$18-Norm_Stats!$F$18))))</f>
        <v/>
      </c>
      <c r="AR107" s="14">
        <f>IF(AQ107="","",1)</f>
        <v/>
      </c>
      <c r="AS107" s="11">
        <f>IF(OR(City_Inputs!$AD107="",Norm_Stats!$F$19="",Norm_Stats!$G$19="",Norm_Stats!$G$19=Norm_Stats!$F$19),"",MAX(0,MIN(100,100*(MIN(MAX(City_Inputs!$AD107,Norm_Stats!$F$19),Norm_Stats!$G$19)-Norm_Stats!$F$19)/(Norm_Stats!$G$19-Norm_Stats!$F$19))))</f>
        <v/>
      </c>
      <c r="AT107" s="14">
        <f>IF(AS107="","",1)</f>
        <v/>
      </c>
      <c r="AU107" s="11">
        <f>IF(OR(City_Inputs!$BJ107="",Norm_Stats!$F$26="",Norm_Stats!$G$26="",Norm_Stats!$G$26=Norm_Stats!$F$26),"",MAX(0,MIN(100,100*(MIN(MAX(City_Inputs!$BJ107,Norm_Stats!$F$26),Norm_Stats!$G$26)-Norm_Stats!$F$26)/(Norm_Stats!$G$26-Norm_Stats!$F$26))))</f>
        <v/>
      </c>
      <c r="AV107" s="11">
        <f>IF(AU107="","",1)</f>
        <v/>
      </c>
      <c r="AW107" s="15">
        <f>IF((IF(AO107="",0,5)+IF(AQ107="",0,5)+IF(AS107="",0,5)+IF(AU107="",0,4))=0,"",(IF(AO107="",0,AO107*5)+IF(AQ107="",0,AQ107*5)+IF(AS107="",0,AS107*5)+IF(AU107="",0,AU107*4))/(IF(AO107="",0,5)+IF(AQ107="",0,5)+IF(AS107="",0,5)+IF(AU107="",0,4)))</f>
        <v/>
      </c>
      <c r="AX107" s="14">
        <f>IF((IF(AP107="",0,5)+IF(AR107="",0,5)+IF(AT107="",0,5)+IF(AV107="",0,4))=0,"",(IF(AP107="",0,AP107*5)+IF(AR107="",0,AR107*5)+IF(AT107="",0,AT107*5)+IF(AV107="",0,AV107*4))/19)</f>
        <v/>
      </c>
      <c r="AY107" s="11">
        <f>IF(OR(City_Inputs!$AE107="",Norm_Stats!$F$20="",Norm_Stats!$G$20="",Norm_Stats!$G$20=Norm_Stats!$F$20),"",MAX(0,MIN(100,100*(MIN(MAX(City_Inputs!$AE107,Norm_Stats!$F$20),Norm_Stats!$G$20)-Norm_Stats!$F$20)/(Norm_Stats!$G$20-Norm_Stats!$F$20))))</f>
        <v/>
      </c>
      <c r="AZ107" s="14">
        <f>IF(AY107="","",1)</f>
        <v/>
      </c>
      <c r="BA107" s="11">
        <f>IF(OR(City_Inputs!$AF107="",Norm_Stats!$F$21="",Norm_Stats!$G$21="",Norm_Stats!$G$21=Norm_Stats!$F$21),"",MAX(0,MIN(100,100*(MIN(MAX(City_Inputs!$AF107,Norm_Stats!$F$21),Norm_Stats!$G$21)-Norm_Stats!$F$21)/(Norm_Stats!$G$21-Norm_Stats!$F$21))))</f>
        <v/>
      </c>
      <c r="BB107" s="14">
        <f>IF(BA107="","",1)</f>
        <v/>
      </c>
      <c r="BC107" s="11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(IF(OR(City_Inputs!$AG107="",Norm_Stats!$F$22="",Norm_Stats!$G$22="",Norm_Stats!$G$22=Norm_Stats!$F$22),"",MAX(0,MIN(100,100*(MIN(MAX(City_Inputs!$AG107,Norm_Stats!$F$22),Norm_Stats!$G$22)-Norm_Stats!$F$22)/(Norm_Stats!$G$22-Norm_Stats!$F$22)))))*0.5)+IF((IF(OR(City_Inputs!$AJ107="",Norm_Stats!$F$23="",Norm_Stats!$G$23="",Norm_Stats!$G$23=Norm_Stats!$F$23),"",MAX(0,MIN(100,100*(MIN(MAX(City_Inputs!$AJ107,Norm_Stats!$F$23),Norm_Stats!$G$23)-Norm_Stats!$F$23)/(Norm_Stats!$G$23-Norm_Stats!$F$23)))))="",0,(IF(OR(City_Inputs!$AJ107="",Norm_Stats!$F$23="",Norm_Stats!$G$23="",Norm_Stats!$G$23=Norm_Stats!$F$23),"",MAX(0,MIN(100,100*(MIN(MAX(City_Inputs!$AJ107,Norm_Stats!$F$23),Norm_Stats!$G$23)-Norm_Stats!$F$23)/(Norm_Stats!$G$23-Norm_Stats!$F$23)))))*0.3)+IF((IF(OR(City_Inputs!$AK107="",Norm_Stats!$F$24="",Norm_Stats!$G$24="",Norm_Stats!$G$24=Norm_Stats!$F$24),"",MAX(0,MIN(100,100*(MIN(MAX(City_Inputs!$AK107,Norm_Stats!$F$24),Norm_Stats!$G$24)-Norm_Stats!$F$24)/(Norm_Stats!$G$24-Norm_Stats!$F$24)))))="",0,(IF(OR(City_Inputs!$AK107="",Norm_Stats!$F$24="",Norm_Stats!$G$24="",Norm_Stats!$G$24=Norm_Stats!$F$24),"",MAX(0,MIN(100,100*(MIN(MAX(City_Inputs!$AK107,Norm_Stats!$F$24),Norm_Stats!$G$24)-Norm_Stats!$F$24)/(Norm_Stats!$G$24-Norm_Stats!$F$24)))))*0.2))/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D107" s="14">
        <f>IF(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=0,"",(IF((IF(OR(City_Inputs!$AG107="",Norm_Stats!$F$22="",Norm_Stats!$G$22="",Norm_Stats!$G$22=Norm_Stats!$F$22),"",MAX(0,MIN(100,100*(MIN(MAX(City_Inputs!$AG107,Norm_Stats!$F$22),Norm_Stats!$G$22)-Norm_Stats!$F$22)/(Norm_Stats!$G$22-Norm_Stats!$F$22)))))="",0,0.5)+IF((IF(OR(City_Inputs!$AJ107="",Norm_Stats!$F$23="",Norm_Stats!$G$23="",Norm_Stats!$G$23=Norm_Stats!$F$23),"",MAX(0,MIN(100,100*(MIN(MAX(City_Inputs!$AJ107,Norm_Stats!$F$23),Norm_Stats!$G$23)-Norm_Stats!$F$23)/(Norm_Stats!$G$23-Norm_Stats!$F$23)))))="",0,0.3)+IF((IF(OR(City_Inputs!$AK107="",Norm_Stats!$F$24="",Norm_Stats!$G$24="",Norm_Stats!$G$24=Norm_Stats!$F$24),"",MAX(0,MIN(100,100*(MIN(MAX(City_Inputs!$AK107,Norm_Stats!$F$24),Norm_Stats!$G$24)-Norm_Stats!$F$24)/(Norm_Stats!$G$24-Norm_Stats!$F$24)))))="",0,0.2)))</f>
        <v/>
      </c>
      <c r="BE107" s="11">
        <f>IF(OR(City_Inputs!$AH107="",Norm_Stats!$F$25="",Norm_Stats!$G$25="",Norm_Stats!$G$25=Norm_Stats!$F$25),"",MAX(0,MIN(100,100*(Norm_Stats!$G$25-MIN(MAX(City_Inputs!$AH107,Norm_Stats!$F$25),Norm_Stats!$G$25))/(Norm_Stats!$G$25-Norm_Stats!$F$25))))</f>
        <v/>
      </c>
      <c r="BF107" s="14">
        <f>IF(BE107="","",1)</f>
        <v/>
      </c>
      <c r="BG107" s="15">
        <f>IF((IF(AY107="",0,6)+IF(BA107="",0,5)+IF(BC107="",0,5)+IF(BE107="",0,4))=0,"",(IF(AY107="",0,AY107*6)+IF(BA107="",0,BA107*5)+IF(BC107="",0,BC107*5)+IF(BE107="",0,BE107*4))/(IF(AY107="",0,6)+IF(BA107="",0,5)+IF(BC107="",0,5)+IF(BE107="",0,4)))</f>
        <v/>
      </c>
      <c r="BH107" s="14">
        <f>IF((IF(AZ107="",0,6)+IF(BB107="",0,5)+IF(BD107="",0,5)+IF(BF107="",0,4))=0,"",(IF(AZ107="",0,AZ107*6)+IF(BB107="",0,BB107*5)+IF(BD107="",0,BD107*5)+IF(BF107="",0,BF107*4))/20)</f>
        <v/>
      </c>
      <c r="BI107" s="14">
        <f>IF(AND(R107="",AF107="",AN107="",AX107="",BH107=""),"",((R107*25)+(AF107*22)+(AN107*18)+(AX107*15)+(BH107*20))/100)</f>
        <v/>
      </c>
      <c r="BJ107" s="11">
        <f>IF(BI107="","",IF(BI107&gt;=0.75,"A",IF(BI107&gt;=0.5,"B",IF(BI107&gt;=0.35,"C","Watchlist"))))</f>
        <v/>
      </c>
      <c r="BK107" s="11">
        <f>IF(OR(BI107="",BI107&lt;0.5,R107="",R107&lt;0.35,AF107="",AF107&lt;0.35,AN107="",AN107&lt;0.35,AX107="",AX107&lt;0.35,BH107="",BH107&lt;0.35),"Watchlist","Ranked")</f>
        <v/>
      </c>
      <c r="BL107" s="15">
        <f>IF(AND(Q107="",AE107="",AM107="",AW107="",BG107=""),"",(IF(Q107="",0,Q107*25)+IF(AE107="",0,AE107*22)+IF(AM107="",0,AM107*18)+IF(AW107="",0,AW107*15)+IF(BG107="",0,BG107*20))/(IF(Q107="",0,25)+IF(AE107="",0,22)+IF(AM107="",0,18)+IF(AW107="",0,15)+IF(BG107="",0,20)))</f>
        <v/>
      </c>
      <c r="BM107" s="11">
        <f>IF(BK107="Ranked",1+COUNTIFS($BK$2:$BK$158,"Ranked",$BL$2:$BL$158,"&gt;"&amp;BL107),"")</f>
        <v/>
      </c>
      <c r="BN107" s="11">
        <f>City_Inputs!$AI107</f>
        <v/>
      </c>
    </row>
    <row r="108">
      <c r="A108" t="inlineStr">
        <is>
          <t>au-hobart</t>
        </is>
      </c>
      <c r="B108" t="inlineStr">
        <is>
          <t>Hobart</t>
        </is>
      </c>
      <c r="C108" t="inlineStr">
        <is>
          <t>Australia</t>
        </is>
      </c>
      <c r="D108" t="inlineStr">
        <is>
          <t>Oceania</t>
        </is>
      </c>
      <c r="E108" t="inlineStr">
        <is>
          <t>locked</t>
        </is>
      </c>
      <c r="F108" t="inlineStr">
        <is>
          <t>secondary</t>
        </is>
      </c>
      <c r="G108" s="11">
        <f>IF(OR(City_Inputs!$M108="",Norm_Stats!$F$2="",Norm_Stats!$G$2="",Norm_Stats!$G$2=Norm_Stats!$F$2),"",MAX(0,MIN(100,100*(MIN(MAX(City_Inputs!$M108,Norm_Stats!$F$2),Norm_Stats!$G$2)-Norm_Stats!$F$2)/(Norm_Stats!$G$2-Norm_Stats!$F$2))))</f>
        <v/>
      </c>
      <c r="H108" s="14">
        <f>IF(G108="","",1)</f>
        <v/>
      </c>
      <c r="I108" s="11">
        <f>IF(OR(City_Inputs!$N108="",Norm_Stats!$F$3="",Norm_Stats!$G$3="",Norm_Stats!$G$3=Norm_Stats!$F$3),"",MAX(0,MIN(100,100*(Norm_Stats!$G$3-MIN(MAX(City_Inputs!$N108,Norm_Stats!$F$3),Norm_Stats!$G$3))/(Norm_Stats!$G$3-Norm_Stats!$F$3))))</f>
        <v/>
      </c>
      <c r="J108" s="14">
        <f>IF(I108="","",1)</f>
        <v/>
      </c>
      <c r="K108" s="11">
        <f>IF(OR(City_Inputs!$P108="",Norm_Stats!$F$4="",Norm_Stats!$G$4="",Norm_Stats!$G$4=Norm_Stats!$F$4),"",MAX(0,MIN(100,100*(Norm_Stats!$G$4-MIN(MAX(City_Inputs!$P108,Norm_Stats!$F$4),Norm_Stats!$G$4))/(Norm_Stats!$G$4-Norm_Stats!$F$4))))</f>
        <v/>
      </c>
      <c r="L108" s="14">
        <f>IF(K108="","",1)</f>
        <v/>
      </c>
      <c r="M108" s="11">
        <f>IF(OR(City_Inputs!$Q108="",Norm_Stats!$F$5="",Norm_Stats!$G$5="",Norm_Stats!$G$5=Norm_Stats!$F$5),"",MAX(0,MIN(100,100*(Norm_Stats!$G$5-MIN(MAX(City_Inputs!$Q108,Norm_Stats!$F$5),Norm_Stats!$G$5))/(Norm_Stats!$G$5-Norm_Stats!$F$5))))</f>
        <v/>
      </c>
      <c r="N108" s="14">
        <f>IF(M108="","",1)</f>
        <v/>
      </c>
      <c r="O108" s="11">
        <f>IF(OR(City_Inputs!$R108="",Norm_Stats!$F$6="",Norm_Stats!$G$6="",Norm_Stats!$G$6=Norm_Stats!$F$6),"",MAX(0,MIN(100,100*(Norm_Stats!$G$6-MIN(MAX(City_Inputs!$R108,Norm_Stats!$F$6),Norm_Stats!$G$6))/(Norm_Stats!$G$6-Norm_Stats!$F$6))))</f>
        <v/>
      </c>
      <c r="P108" s="14">
        <f>IF(O108="","",1)</f>
        <v/>
      </c>
      <c r="Q108" s="15">
        <f>IF((IF(G108="",0,9)+IF(I108="",0,5)+IF(K108="",0,4)+IF(M108="",0,4)+IF(O108="",0,5))=0,"",(IF(G108="",0,G108*9)+IF(I108="",0,I108*5)+IF(K108="",0,K108*4)+IF(M108="",0,M108*4)+IF(O108="",0,O108*5))/(IF(G108="",0,9)+IF(I108="",0,5)+IF(K108="",0,4)+IF(M108="",0,4)+IF(O108="",0,5)))</f>
        <v/>
      </c>
      <c r="R108" s="14">
        <f>IF((IF(H108="",0,9)+IF(J108="",0,5)+IF(L108="",0,4)+IF(N108="",0,4)+IF(P108="",0,5))=0,"",(IF(H108="",0,H108*9)+IF(J108="",0,J108*5)+IF(L108="",0,L108*4)+IF(N108="",0,N108*4)+IF(P108="",0,P108*5))/27)</f>
        <v/>
      </c>
      <c r="S108" s="11">
        <f>IF(OR(City_Inputs!$S108="",Norm_Stats!$F$7="",Norm_Stats!$G$7="",Norm_Stats!$G$7=Norm_Stats!$F$7),"",MAX(0,MIN(100,100*(Norm_Stats!$G$7-MIN(MAX(City_Inputs!$S108,Norm_Stats!$F$7),Norm_Stats!$G$7))/(Norm_Stats!$G$7-Norm_Stats!$F$7))))</f>
        <v/>
      </c>
      <c r="T108" s="14">
        <f>IF(S108="","",1)</f>
        <v/>
      </c>
      <c r="U108" s="11">
        <f>IF(OR(City_Inputs!$T108="",Norm_Stats!$F$8="",Norm_Stats!$G$8="",Norm_Stats!$G$8=Norm_Stats!$F$8),"",MAX(0,MIN(100,100*(MIN(MAX(City_Inputs!$T108,Norm_Stats!$F$8),Norm_Stats!$G$8)-Norm_Stats!$F$8)/(Norm_Stats!$G$8-Norm_Stats!$F$8))))</f>
        <v/>
      </c>
      <c r="V108" s="14">
        <f>IF(U108="","",1)</f>
        <v/>
      </c>
      <c r="W108" s="11">
        <f>IF(OR(City_Inputs!$U108="",Norm_Stats!$F$9="",Norm_Stats!$G$9="",Norm_Stats!$G$9=Norm_Stats!$F$9),"",MAX(0,MIN(100,100*(Norm_Stats!$G$9-MIN(MAX(City_Inputs!$U108,Norm_Stats!$F$9),Norm_Stats!$G$9))/(Norm_Stats!$G$9-Norm_Stats!$F$9))))</f>
        <v/>
      </c>
      <c r="X108" s="14">
        <f>IF(W108="","",1)</f>
        <v/>
      </c>
      <c r="Y108" s="11">
        <f>IF(OR(City_Inputs!$V108="",Norm_Stats!$F$10="",Norm_Stats!$G$10="",Norm_Stats!$G$10=Norm_Stats!$F$10),"",MAX(0,MIN(100,100*(MIN(MAX(City_Inputs!$V108,Norm_Stats!$F$10),Norm_Stats!$G$10)-Norm_Stats!$F$10)/(Norm_Stats!$G$10-Norm_Stats!$F$10))))</f>
        <v/>
      </c>
      <c r="Z108" s="14">
        <f>IF(Y108="","",1)</f>
        <v/>
      </c>
      <c r="AA108" s="11">
        <f>IF(OR(City_Inputs!$W108="",Norm_Stats!$F$11="",Norm_Stats!$G$11="",Norm_Stats!$G$11=Norm_Stats!$F$11),"",MAX(0,MIN(100,100*(MIN(MAX(City_Inputs!$W108,Norm_Stats!$F$11),Norm_Stats!$G$11)-Norm_Stats!$F$11)/(Norm_Stats!$G$11-Norm_Stats!$F$11))))</f>
        <v/>
      </c>
      <c r="AB108" s="14">
        <f>IF(AA108="","",1)</f>
        <v/>
      </c>
      <c r="AC108" s="11">
        <f>IF(OR(City_Inputs!$X108="",Norm_Stats!$F$12="",Norm_Stats!$G$12="",Norm_Stats!$G$12=Norm_Stats!$F$12),"",MAX(0,MIN(100,100*(MIN(MAX(City_Inputs!$X108,Norm_Stats!$F$12),Norm_Stats!$G$12)-Norm_Stats!$F$12)/(Norm_Stats!$G$12-Norm_Stats!$F$12))))</f>
        <v/>
      </c>
      <c r="AD108" s="11">
        <f>IF(AC108="","",1)</f>
        <v/>
      </c>
      <c r="AE108" s="15">
        <f>IF((IF(S108="",0,5)+IF(U108="",0,5)+IF(W108="",0,4)+IF(Y108="",0,4)+IF(AA108="",0,4)+IF(AC108="",0,5))=0,"",(IF(S108="",0,S108*5)+IF(U108="",0,U108*5)+IF(W108="",0,W108*4)+IF(Y108="",0,Y108*4)+IF(AA108="",0,AA108*4)+IF(AC108="",0,AC108*5))/(IF(S108="",0,5)+IF(U108="",0,5)+IF(W108="",0,4)+IF(Y108="",0,4)+IF(AA108="",0,4)+IF(AC108="",0,5)))</f>
        <v/>
      </c>
      <c r="AF108" s="14">
        <f>IF((IF(T108="",0,5)+IF(V108="",0,5)+IF(X108="",0,4)+IF(Z108="",0,4)+IF(AB108="",0,4)+IF(AD108="",0,5))=0,"",(IF(T108="",0,T108*5)+IF(V108="",0,V108*5)+IF(X108="",0,X108*4)+IF(Z108="",0,Z108*4)+IF(AB108="",0,AB108*4)+IF(AD108="",0,AD108*5))/27)</f>
        <v/>
      </c>
      <c r="AG108" s="11">
        <f>IF(OR(City_Inputs!$Y108="",Norm_Stats!$F$13="",Norm_Stats!$G$13="",Norm_Stats!$G$13=Norm_Stats!$F$13),"",MAX(0,MIN(100,100*(MIN(MAX(City_Inputs!$Y108,Norm_Stats!$F$13),Norm_Stats!$G$13)-Norm_Stats!$F$13)/(Norm_Stats!$G$13-Norm_Stats!$F$13))))</f>
        <v/>
      </c>
      <c r="AH108" s="14">
        <f>IF(AG108="","",1)</f>
        <v/>
      </c>
      <c r="AI108" s="11">
        <f>IF(OR(City_Inputs!$Z108="",Norm_Stats!$F$14="",Norm_Stats!$G$14="",Norm_Stats!$G$14=Norm_Stats!$F$14),"",MAX(0,MIN(100,100*(MIN(MAX(City_Inputs!$Z108,Norm_Stats!$F$14),Norm_Stats!$G$14)-Norm_Stats!$F$14)/(Norm_Stats!$G$14-Norm_Stats!$F$14))))</f>
        <v/>
      </c>
      <c r="AJ108" s="14">
        <f>IF(AI108="","",1)</f>
        <v/>
      </c>
      <c r="AK108" s="11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(IF(OR(City_Inputs!$AA108="",Norm_Stats!$F$15="",Norm_Stats!$G$15="",Norm_Stats!$G$15=Norm_Stats!$F$15),"",MAX(0,MIN(100,100*(MIN(MAX(City_Inputs!$AA108,Norm_Stats!$F$15),Norm_Stats!$G$15)-Norm_Stats!$F$15)/(Norm_Stats!$G$15-Norm_Stats!$F$15)))))*0.7)+IF((IF(OR(City_Inputs!$AL108="",Norm_Stats!$F$16="",Norm_Stats!$G$16="",Norm_Stats!$G$16=Norm_Stats!$F$16),"",MAX(0,MIN(100,100*(Norm_Stats!$G$16-MIN(MAX(City_Inputs!$AL108,Norm_Stats!$F$16),Norm_Stats!$G$16))/(Norm_Stats!$G$16-Norm_Stats!$F$16)))))="",0,(IF(OR(City_Inputs!$AL108="",Norm_Stats!$F$16="",Norm_Stats!$G$16="",Norm_Stats!$G$16=Norm_Stats!$F$16),"",MAX(0,MIN(100,100*(Norm_Stats!$G$16-MIN(MAX(City_Inputs!$AL108,Norm_Stats!$F$16),Norm_Stats!$G$16))/(Norm_Stats!$G$16-Norm_Stats!$F$16)))))*0.3))/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L108" s="14">
        <f>IF(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=0,"",(IF((IF(OR(City_Inputs!$AA108="",Norm_Stats!$F$15="",Norm_Stats!$G$15="",Norm_Stats!$G$15=Norm_Stats!$F$15),"",MAX(0,MIN(100,100*(MIN(MAX(City_Inputs!$AA108,Norm_Stats!$F$15),Norm_Stats!$G$15)-Norm_Stats!$F$15)/(Norm_Stats!$G$15-Norm_Stats!$F$15)))))="",0,0.7)+IF((IF(OR(City_Inputs!$AL108="",Norm_Stats!$F$16="",Norm_Stats!$G$16="",Norm_Stats!$G$16=Norm_Stats!$F$16),"",MAX(0,MIN(100,100*(Norm_Stats!$G$16-MIN(MAX(City_Inputs!$AL108,Norm_Stats!$F$16),Norm_Stats!$G$16))/(Norm_Stats!$G$16-Norm_Stats!$F$16)))))="",0,0.3)))</f>
        <v/>
      </c>
      <c r="AM108" s="15">
        <f>IF((IF(AG108="",0,8)+IF(AI108="",0,6)+IF(AK108="",0,4))=0,"",(IF(AG108="",0,AG108*8)+IF(AI108="",0,AI108*6)+IF(AK108="",0,AK108*4))/(IF(AG108="",0,8)+IF(AI108="",0,6)+IF(AK108="",0,4)))</f>
        <v/>
      </c>
      <c r="AN108" s="14">
        <f>IF((IF(AH108="",0,8)+IF(AJ108="",0,6)+IF(AL108="",0,4))=0,"",(IF(AH108="",0,AH108*8)+IF(AJ108="",0,AJ108*6)+IF(AL108="",0,AL108*4))/18)</f>
        <v/>
      </c>
      <c r="AO108" s="11">
        <f>IF(OR(City_Inputs!$AB108="",Norm_Stats!$F$17="",Norm_Stats!$G$17="",Norm_Stats!$G$17=Norm_Stats!$F$17),"",MAX(0,MIN(100,100*(MIN(MAX(City_Inputs!$AB108,Norm_Stats!$F$17),Norm_Stats!$G$17)-Norm_Stats!$F$17)/(Norm_Stats!$G$17-Norm_Stats!$F$17))))</f>
        <v/>
      </c>
      <c r="AP108" s="14">
        <f>IF(AO108="","",1)</f>
        <v/>
      </c>
      <c r="AQ108" s="11">
        <f>IF(OR(City_Inputs!$AC108="",Norm_Stats!$F$18="",Norm_Stats!$G$18="",Norm_Stats!$G$18=Norm_Stats!$F$18),"",MAX(0,MIN(100,100*(MIN(MAX(City_Inputs!$AC108,Norm_Stats!$F$18),Norm_Stats!$G$18)-Norm_Stats!$F$18)/(Norm_Stats!$G$18-Norm_Stats!$F$18))))</f>
        <v/>
      </c>
      <c r="AR108" s="14">
        <f>IF(AQ108="","",1)</f>
        <v/>
      </c>
      <c r="AS108" s="11">
        <f>IF(OR(City_Inputs!$AD108="",Norm_Stats!$F$19="",Norm_Stats!$G$19="",Norm_Stats!$G$19=Norm_Stats!$F$19),"",MAX(0,MIN(100,100*(MIN(MAX(City_Inputs!$AD108,Norm_Stats!$F$19),Norm_Stats!$G$19)-Norm_Stats!$F$19)/(Norm_Stats!$G$19-Norm_Stats!$F$19))))</f>
        <v/>
      </c>
      <c r="AT108" s="14">
        <f>IF(AS108="","",1)</f>
        <v/>
      </c>
      <c r="AU108" s="11">
        <f>IF(OR(City_Inputs!$BJ108="",Norm_Stats!$F$26="",Norm_Stats!$G$26="",Norm_Stats!$G$26=Norm_Stats!$F$26),"",MAX(0,MIN(100,100*(MIN(MAX(City_Inputs!$BJ108,Norm_Stats!$F$26),Norm_Stats!$G$26)-Norm_Stats!$F$26)/(Norm_Stats!$G$26-Norm_Stats!$F$26))))</f>
        <v/>
      </c>
      <c r="AV108" s="11">
        <f>IF(AU108="","",1)</f>
        <v/>
      </c>
      <c r="AW108" s="15">
        <f>IF((IF(AO108="",0,5)+IF(AQ108="",0,5)+IF(AS108="",0,5)+IF(AU108="",0,4))=0,"",(IF(AO108="",0,AO108*5)+IF(AQ108="",0,AQ108*5)+IF(AS108="",0,AS108*5)+IF(AU108="",0,AU108*4))/(IF(AO108="",0,5)+IF(AQ108="",0,5)+IF(AS108="",0,5)+IF(AU108="",0,4)))</f>
        <v/>
      </c>
      <c r="AX108" s="14">
        <f>IF((IF(AP108="",0,5)+IF(AR108="",0,5)+IF(AT108="",0,5)+IF(AV108="",0,4))=0,"",(IF(AP108="",0,AP108*5)+IF(AR108="",0,AR108*5)+IF(AT108="",0,AT108*5)+IF(AV108="",0,AV108*4))/19)</f>
        <v/>
      </c>
      <c r="AY108" s="11">
        <f>IF(OR(City_Inputs!$AE108="",Norm_Stats!$F$20="",Norm_Stats!$G$20="",Norm_Stats!$G$20=Norm_Stats!$F$20),"",MAX(0,MIN(100,100*(MIN(MAX(City_Inputs!$AE108,Norm_Stats!$F$20),Norm_Stats!$G$20)-Norm_Stats!$F$20)/(Norm_Stats!$G$20-Norm_Stats!$F$20))))</f>
        <v/>
      </c>
      <c r="AZ108" s="14">
        <f>IF(AY108="","",1)</f>
        <v/>
      </c>
      <c r="BA108" s="11">
        <f>IF(OR(City_Inputs!$AF108="",Norm_Stats!$F$21="",Norm_Stats!$G$21="",Norm_Stats!$G$21=Norm_Stats!$F$21),"",MAX(0,MIN(100,100*(MIN(MAX(City_Inputs!$AF108,Norm_Stats!$F$21),Norm_Stats!$G$21)-Norm_Stats!$F$21)/(Norm_Stats!$G$21-Norm_Stats!$F$21))))</f>
        <v/>
      </c>
      <c r="BB108" s="14">
        <f>IF(BA108="","",1)</f>
        <v/>
      </c>
      <c r="BC108" s="11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(IF(OR(City_Inputs!$AG108="",Norm_Stats!$F$22="",Norm_Stats!$G$22="",Norm_Stats!$G$22=Norm_Stats!$F$22),"",MAX(0,MIN(100,100*(MIN(MAX(City_Inputs!$AG108,Norm_Stats!$F$22),Norm_Stats!$G$22)-Norm_Stats!$F$22)/(Norm_Stats!$G$22-Norm_Stats!$F$22)))))*0.5)+IF((IF(OR(City_Inputs!$AJ108="",Norm_Stats!$F$23="",Norm_Stats!$G$23="",Norm_Stats!$G$23=Norm_Stats!$F$23),"",MAX(0,MIN(100,100*(MIN(MAX(City_Inputs!$AJ108,Norm_Stats!$F$23),Norm_Stats!$G$23)-Norm_Stats!$F$23)/(Norm_Stats!$G$23-Norm_Stats!$F$23)))))="",0,(IF(OR(City_Inputs!$AJ108="",Norm_Stats!$F$23="",Norm_Stats!$G$23="",Norm_Stats!$G$23=Norm_Stats!$F$23),"",MAX(0,MIN(100,100*(MIN(MAX(City_Inputs!$AJ108,Norm_Stats!$F$23),Norm_Stats!$G$23)-Norm_Stats!$F$23)/(Norm_Stats!$G$23-Norm_Stats!$F$23)))))*0.3)+IF((IF(OR(City_Inputs!$AK108="",Norm_Stats!$F$24="",Norm_Stats!$G$24="",Norm_Stats!$G$24=Norm_Stats!$F$24),"",MAX(0,MIN(100,100*(MIN(MAX(City_Inputs!$AK108,Norm_Stats!$F$24),Norm_Stats!$G$24)-Norm_Stats!$F$24)/(Norm_Stats!$G$24-Norm_Stats!$F$24)))))="",0,(IF(OR(City_Inputs!$AK108="",Norm_Stats!$F$24="",Norm_Stats!$G$24="",Norm_Stats!$G$24=Norm_Stats!$F$24),"",MAX(0,MIN(100,100*(MIN(MAX(City_Inputs!$AK108,Norm_Stats!$F$24),Norm_Stats!$G$24)-Norm_Stats!$F$24)/(Norm_Stats!$G$24-Norm_Stats!$F$24)))))*0.2))/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D108" s="14">
        <f>IF(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=0,"",(IF((IF(OR(City_Inputs!$AG108="",Norm_Stats!$F$22="",Norm_Stats!$G$22="",Norm_Stats!$G$22=Norm_Stats!$F$22),"",MAX(0,MIN(100,100*(MIN(MAX(City_Inputs!$AG108,Norm_Stats!$F$22),Norm_Stats!$G$22)-Norm_Stats!$F$22)/(Norm_Stats!$G$22-Norm_Stats!$F$22)))))="",0,0.5)+IF((IF(OR(City_Inputs!$AJ108="",Norm_Stats!$F$23="",Norm_Stats!$G$23="",Norm_Stats!$G$23=Norm_Stats!$F$23),"",MAX(0,MIN(100,100*(MIN(MAX(City_Inputs!$AJ108,Norm_Stats!$F$23),Norm_Stats!$G$23)-Norm_Stats!$F$23)/(Norm_Stats!$G$23-Norm_Stats!$F$23)))))="",0,0.3)+IF((IF(OR(City_Inputs!$AK108="",Norm_Stats!$F$24="",Norm_Stats!$G$24="",Norm_Stats!$G$24=Norm_Stats!$F$24),"",MAX(0,MIN(100,100*(MIN(MAX(City_Inputs!$AK108,Norm_Stats!$F$24),Norm_Stats!$G$24)-Norm_Stats!$F$24)/(Norm_Stats!$G$24-Norm_Stats!$F$24)))))="",0,0.2)))</f>
        <v/>
      </c>
      <c r="BE108" s="11">
        <f>IF(OR(City_Inputs!$AH108="",Norm_Stats!$F$25="",Norm_Stats!$G$25="",Norm_Stats!$G$25=Norm_Stats!$F$25),"",MAX(0,MIN(100,100*(Norm_Stats!$G$25-MIN(MAX(City_Inputs!$AH108,Norm_Stats!$F$25),Norm_Stats!$G$25))/(Norm_Stats!$G$25-Norm_Stats!$F$25))))</f>
        <v/>
      </c>
      <c r="BF108" s="14">
        <f>IF(BE108="","",1)</f>
        <v/>
      </c>
      <c r="BG108" s="15">
        <f>IF((IF(AY108="",0,6)+IF(BA108="",0,5)+IF(BC108="",0,5)+IF(BE108="",0,4))=0,"",(IF(AY108="",0,AY108*6)+IF(BA108="",0,BA108*5)+IF(BC108="",0,BC108*5)+IF(BE108="",0,BE108*4))/(IF(AY108="",0,6)+IF(BA108="",0,5)+IF(BC108="",0,5)+IF(BE108="",0,4)))</f>
        <v/>
      </c>
      <c r="BH108" s="14">
        <f>IF((IF(AZ108="",0,6)+IF(BB108="",0,5)+IF(BD108="",0,5)+IF(BF108="",0,4))=0,"",(IF(AZ108="",0,AZ108*6)+IF(BB108="",0,BB108*5)+IF(BD108="",0,BD108*5)+IF(BF108="",0,BF108*4))/20)</f>
        <v/>
      </c>
      <c r="BI108" s="14">
        <f>IF(AND(R108="",AF108="",AN108="",AX108="",BH108=""),"",((R108*25)+(AF108*22)+(AN108*18)+(AX108*15)+(BH108*20))/100)</f>
        <v/>
      </c>
      <c r="BJ108" s="11">
        <f>IF(BI108="","",IF(BI108&gt;=0.75,"A",IF(BI108&gt;=0.5,"B",IF(BI108&gt;=0.35,"C","Watchlist"))))</f>
        <v/>
      </c>
      <c r="BK108" s="11">
        <f>IF(OR(BI108="",BI108&lt;0.5,R108="",R108&lt;0.35,AF108="",AF108&lt;0.35,AN108="",AN108&lt;0.35,AX108="",AX108&lt;0.35,BH108="",BH108&lt;0.35),"Watchlist","Ranked")</f>
        <v/>
      </c>
      <c r="BL108" s="15">
        <f>IF(AND(Q108="",AE108="",AM108="",AW108="",BG108=""),"",(IF(Q108="",0,Q108*25)+IF(AE108="",0,AE108*22)+IF(AM108="",0,AM108*18)+IF(AW108="",0,AW108*15)+IF(BG108="",0,BG108*20))/(IF(Q108="",0,25)+IF(AE108="",0,22)+IF(AM108="",0,18)+IF(AW108="",0,15)+IF(BG108="",0,20)))</f>
        <v/>
      </c>
      <c r="BM108" s="11">
        <f>IF(BK108="Ranked",1+COUNTIFS($BK$2:$BK$158,"Ranked",$BL$2:$BL$158,"&gt;"&amp;BL108),"")</f>
        <v/>
      </c>
      <c r="BN108" s="11">
        <f>City_Inputs!$AI108</f>
        <v/>
      </c>
    </row>
    <row r="109">
      <c r="A109" t="inlineStr">
        <is>
          <t>nz-christchurch</t>
        </is>
      </c>
      <c r="B109" t="inlineStr">
        <is>
          <t>Christchurch</t>
        </is>
      </c>
      <c r="C109" t="inlineStr">
        <is>
          <t>New Zealand</t>
        </is>
      </c>
      <c r="D109" t="inlineStr">
        <is>
          <t>Oceania</t>
        </is>
      </c>
      <c r="E109" t="inlineStr">
        <is>
          <t>provisional</t>
        </is>
      </c>
      <c r="F109" t="inlineStr">
        <is>
          <t>secondary</t>
        </is>
      </c>
      <c r="G109" s="11">
        <f>IF(OR(City_Inputs!$M109="",Norm_Stats!$F$2="",Norm_Stats!$G$2="",Norm_Stats!$G$2=Norm_Stats!$F$2),"",MAX(0,MIN(100,100*(MIN(MAX(City_Inputs!$M109,Norm_Stats!$F$2),Norm_Stats!$G$2)-Norm_Stats!$F$2)/(Norm_Stats!$G$2-Norm_Stats!$F$2))))</f>
        <v/>
      </c>
      <c r="H109" s="14">
        <f>IF(G109="","",1)</f>
        <v/>
      </c>
      <c r="I109" s="11">
        <f>IF(OR(City_Inputs!$N109="",Norm_Stats!$F$3="",Norm_Stats!$G$3="",Norm_Stats!$G$3=Norm_Stats!$F$3),"",MAX(0,MIN(100,100*(Norm_Stats!$G$3-MIN(MAX(City_Inputs!$N109,Norm_Stats!$F$3),Norm_Stats!$G$3))/(Norm_Stats!$G$3-Norm_Stats!$F$3))))</f>
        <v/>
      </c>
      <c r="J109" s="14">
        <f>IF(I109="","",1)</f>
        <v/>
      </c>
      <c r="K109" s="11">
        <f>IF(OR(City_Inputs!$P109="",Norm_Stats!$F$4="",Norm_Stats!$G$4="",Norm_Stats!$G$4=Norm_Stats!$F$4),"",MAX(0,MIN(100,100*(Norm_Stats!$G$4-MIN(MAX(City_Inputs!$P109,Norm_Stats!$F$4),Norm_Stats!$G$4))/(Norm_Stats!$G$4-Norm_Stats!$F$4))))</f>
        <v/>
      </c>
      <c r="L109" s="14">
        <f>IF(K109="","",1)</f>
        <v/>
      </c>
      <c r="M109" s="11">
        <f>IF(OR(City_Inputs!$Q109="",Norm_Stats!$F$5="",Norm_Stats!$G$5="",Norm_Stats!$G$5=Norm_Stats!$F$5),"",MAX(0,MIN(100,100*(Norm_Stats!$G$5-MIN(MAX(City_Inputs!$Q109,Norm_Stats!$F$5),Norm_Stats!$G$5))/(Norm_Stats!$G$5-Norm_Stats!$F$5))))</f>
        <v/>
      </c>
      <c r="N109" s="14">
        <f>IF(M109="","",1)</f>
        <v/>
      </c>
      <c r="O109" s="11">
        <f>IF(OR(City_Inputs!$R109="",Norm_Stats!$F$6="",Norm_Stats!$G$6="",Norm_Stats!$G$6=Norm_Stats!$F$6),"",MAX(0,MIN(100,100*(Norm_Stats!$G$6-MIN(MAX(City_Inputs!$R109,Norm_Stats!$F$6),Norm_Stats!$G$6))/(Norm_Stats!$G$6-Norm_Stats!$F$6))))</f>
        <v/>
      </c>
      <c r="P109" s="14">
        <f>IF(O109="","",1)</f>
        <v/>
      </c>
      <c r="Q109" s="15">
        <f>IF((IF(G109="",0,9)+IF(I109="",0,5)+IF(K109="",0,4)+IF(M109="",0,4)+IF(O109="",0,5))=0,"",(IF(G109="",0,G109*9)+IF(I109="",0,I109*5)+IF(K109="",0,K109*4)+IF(M109="",0,M109*4)+IF(O109="",0,O109*5))/(IF(G109="",0,9)+IF(I109="",0,5)+IF(K109="",0,4)+IF(M109="",0,4)+IF(O109="",0,5)))</f>
        <v/>
      </c>
      <c r="R109" s="14">
        <f>IF((IF(H109="",0,9)+IF(J109="",0,5)+IF(L109="",0,4)+IF(N109="",0,4)+IF(P109="",0,5))=0,"",(IF(H109="",0,H109*9)+IF(J109="",0,J109*5)+IF(L109="",0,L109*4)+IF(N109="",0,N109*4)+IF(P109="",0,P109*5))/27)</f>
        <v/>
      </c>
      <c r="S109" s="11">
        <f>IF(OR(City_Inputs!$S109="",Norm_Stats!$F$7="",Norm_Stats!$G$7="",Norm_Stats!$G$7=Norm_Stats!$F$7),"",MAX(0,MIN(100,100*(Norm_Stats!$G$7-MIN(MAX(City_Inputs!$S109,Norm_Stats!$F$7),Norm_Stats!$G$7))/(Norm_Stats!$G$7-Norm_Stats!$F$7))))</f>
        <v/>
      </c>
      <c r="T109" s="14">
        <f>IF(S109="","",1)</f>
        <v/>
      </c>
      <c r="U109" s="11">
        <f>IF(OR(City_Inputs!$T109="",Norm_Stats!$F$8="",Norm_Stats!$G$8="",Norm_Stats!$G$8=Norm_Stats!$F$8),"",MAX(0,MIN(100,100*(MIN(MAX(City_Inputs!$T109,Norm_Stats!$F$8),Norm_Stats!$G$8)-Norm_Stats!$F$8)/(Norm_Stats!$G$8-Norm_Stats!$F$8))))</f>
        <v/>
      </c>
      <c r="V109" s="14">
        <f>IF(U109="","",1)</f>
        <v/>
      </c>
      <c r="W109" s="11">
        <f>IF(OR(City_Inputs!$U109="",Norm_Stats!$F$9="",Norm_Stats!$G$9="",Norm_Stats!$G$9=Norm_Stats!$F$9),"",MAX(0,MIN(100,100*(Norm_Stats!$G$9-MIN(MAX(City_Inputs!$U109,Norm_Stats!$F$9),Norm_Stats!$G$9))/(Norm_Stats!$G$9-Norm_Stats!$F$9))))</f>
        <v/>
      </c>
      <c r="X109" s="14">
        <f>IF(W109="","",1)</f>
        <v/>
      </c>
      <c r="Y109" s="11">
        <f>IF(OR(City_Inputs!$V109="",Norm_Stats!$F$10="",Norm_Stats!$G$10="",Norm_Stats!$G$10=Norm_Stats!$F$10),"",MAX(0,MIN(100,100*(MIN(MAX(City_Inputs!$V109,Norm_Stats!$F$10),Norm_Stats!$G$10)-Norm_Stats!$F$10)/(Norm_Stats!$G$10-Norm_Stats!$F$10))))</f>
        <v/>
      </c>
      <c r="Z109" s="14">
        <f>IF(Y109="","",1)</f>
        <v/>
      </c>
      <c r="AA109" s="11">
        <f>IF(OR(City_Inputs!$W109="",Norm_Stats!$F$11="",Norm_Stats!$G$11="",Norm_Stats!$G$11=Norm_Stats!$F$11),"",MAX(0,MIN(100,100*(MIN(MAX(City_Inputs!$W109,Norm_Stats!$F$11),Norm_Stats!$G$11)-Norm_Stats!$F$11)/(Norm_Stats!$G$11-Norm_Stats!$F$11))))</f>
        <v/>
      </c>
      <c r="AB109" s="14">
        <f>IF(AA109="","",1)</f>
        <v/>
      </c>
      <c r="AC109" s="11">
        <f>IF(OR(City_Inputs!$X109="",Norm_Stats!$F$12="",Norm_Stats!$G$12="",Norm_Stats!$G$12=Norm_Stats!$F$12),"",MAX(0,MIN(100,100*(MIN(MAX(City_Inputs!$X109,Norm_Stats!$F$12),Norm_Stats!$G$12)-Norm_Stats!$F$12)/(Norm_Stats!$G$12-Norm_Stats!$F$12))))</f>
        <v/>
      </c>
      <c r="AD109" s="11">
        <f>IF(AC109="","",1)</f>
        <v/>
      </c>
      <c r="AE109" s="15">
        <f>IF((IF(S109="",0,5)+IF(U109="",0,5)+IF(W109="",0,4)+IF(Y109="",0,4)+IF(AA109="",0,4)+IF(AC109="",0,5))=0,"",(IF(S109="",0,S109*5)+IF(U109="",0,U109*5)+IF(W109="",0,W109*4)+IF(Y109="",0,Y109*4)+IF(AA109="",0,AA109*4)+IF(AC109="",0,AC109*5))/(IF(S109="",0,5)+IF(U109="",0,5)+IF(W109="",0,4)+IF(Y109="",0,4)+IF(AA109="",0,4)+IF(AC109="",0,5)))</f>
        <v/>
      </c>
      <c r="AF109" s="14">
        <f>IF((IF(T109="",0,5)+IF(V109="",0,5)+IF(X109="",0,4)+IF(Z109="",0,4)+IF(AB109="",0,4)+IF(AD109="",0,5))=0,"",(IF(T109="",0,T109*5)+IF(V109="",0,V109*5)+IF(X109="",0,X109*4)+IF(Z109="",0,Z109*4)+IF(AB109="",0,AB109*4)+IF(AD109="",0,AD109*5))/27)</f>
        <v/>
      </c>
      <c r="AG109" s="11">
        <f>IF(OR(City_Inputs!$Y109="",Norm_Stats!$F$13="",Norm_Stats!$G$13="",Norm_Stats!$G$13=Norm_Stats!$F$13),"",MAX(0,MIN(100,100*(MIN(MAX(City_Inputs!$Y109,Norm_Stats!$F$13),Norm_Stats!$G$13)-Norm_Stats!$F$13)/(Norm_Stats!$G$13-Norm_Stats!$F$13))))</f>
        <v/>
      </c>
      <c r="AH109" s="14">
        <f>IF(AG109="","",1)</f>
        <v/>
      </c>
      <c r="AI109" s="11">
        <f>IF(OR(City_Inputs!$Z109="",Norm_Stats!$F$14="",Norm_Stats!$G$14="",Norm_Stats!$G$14=Norm_Stats!$F$14),"",MAX(0,MIN(100,100*(MIN(MAX(City_Inputs!$Z109,Norm_Stats!$F$14),Norm_Stats!$G$14)-Norm_Stats!$F$14)/(Norm_Stats!$G$14-Norm_Stats!$F$14))))</f>
        <v/>
      </c>
      <c r="AJ109" s="14">
        <f>IF(AI109="","",1)</f>
        <v/>
      </c>
      <c r="AK109" s="11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(IF(OR(City_Inputs!$AA109="",Norm_Stats!$F$15="",Norm_Stats!$G$15="",Norm_Stats!$G$15=Norm_Stats!$F$15),"",MAX(0,MIN(100,100*(MIN(MAX(City_Inputs!$AA109,Norm_Stats!$F$15),Norm_Stats!$G$15)-Norm_Stats!$F$15)/(Norm_Stats!$G$15-Norm_Stats!$F$15)))))*0.7)+IF((IF(OR(City_Inputs!$AL109="",Norm_Stats!$F$16="",Norm_Stats!$G$16="",Norm_Stats!$G$16=Norm_Stats!$F$16),"",MAX(0,MIN(100,100*(Norm_Stats!$G$16-MIN(MAX(City_Inputs!$AL109,Norm_Stats!$F$16),Norm_Stats!$G$16))/(Norm_Stats!$G$16-Norm_Stats!$F$16)))))="",0,(IF(OR(City_Inputs!$AL109="",Norm_Stats!$F$16="",Norm_Stats!$G$16="",Norm_Stats!$G$16=Norm_Stats!$F$16),"",MAX(0,MIN(100,100*(Norm_Stats!$G$16-MIN(MAX(City_Inputs!$AL109,Norm_Stats!$F$16),Norm_Stats!$G$16))/(Norm_Stats!$G$16-Norm_Stats!$F$16)))))*0.3))/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L109" s="14">
        <f>IF(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=0,"",(IF((IF(OR(City_Inputs!$AA109="",Norm_Stats!$F$15="",Norm_Stats!$G$15="",Norm_Stats!$G$15=Norm_Stats!$F$15),"",MAX(0,MIN(100,100*(MIN(MAX(City_Inputs!$AA109,Norm_Stats!$F$15),Norm_Stats!$G$15)-Norm_Stats!$F$15)/(Norm_Stats!$G$15-Norm_Stats!$F$15)))))="",0,0.7)+IF((IF(OR(City_Inputs!$AL109="",Norm_Stats!$F$16="",Norm_Stats!$G$16="",Norm_Stats!$G$16=Norm_Stats!$F$16),"",MAX(0,MIN(100,100*(Norm_Stats!$G$16-MIN(MAX(City_Inputs!$AL109,Norm_Stats!$F$16),Norm_Stats!$G$16))/(Norm_Stats!$G$16-Norm_Stats!$F$16)))))="",0,0.3)))</f>
        <v/>
      </c>
      <c r="AM109" s="15">
        <f>IF((IF(AG109="",0,8)+IF(AI109="",0,6)+IF(AK109="",0,4))=0,"",(IF(AG109="",0,AG109*8)+IF(AI109="",0,AI109*6)+IF(AK109="",0,AK109*4))/(IF(AG109="",0,8)+IF(AI109="",0,6)+IF(AK109="",0,4)))</f>
        <v/>
      </c>
      <c r="AN109" s="14">
        <f>IF((IF(AH109="",0,8)+IF(AJ109="",0,6)+IF(AL109="",0,4))=0,"",(IF(AH109="",0,AH109*8)+IF(AJ109="",0,AJ109*6)+IF(AL109="",0,AL109*4))/18)</f>
        <v/>
      </c>
      <c r="AO109" s="11">
        <f>IF(OR(City_Inputs!$AB109="",Norm_Stats!$F$17="",Norm_Stats!$G$17="",Norm_Stats!$G$17=Norm_Stats!$F$17),"",MAX(0,MIN(100,100*(MIN(MAX(City_Inputs!$AB109,Norm_Stats!$F$17),Norm_Stats!$G$17)-Norm_Stats!$F$17)/(Norm_Stats!$G$17-Norm_Stats!$F$17))))</f>
        <v/>
      </c>
      <c r="AP109" s="14">
        <f>IF(AO109="","",1)</f>
        <v/>
      </c>
      <c r="AQ109" s="11">
        <f>IF(OR(City_Inputs!$AC109="",Norm_Stats!$F$18="",Norm_Stats!$G$18="",Norm_Stats!$G$18=Norm_Stats!$F$18),"",MAX(0,MIN(100,100*(MIN(MAX(City_Inputs!$AC109,Norm_Stats!$F$18),Norm_Stats!$G$18)-Norm_Stats!$F$18)/(Norm_Stats!$G$18-Norm_Stats!$F$18))))</f>
        <v/>
      </c>
      <c r="AR109" s="14">
        <f>IF(AQ109="","",1)</f>
        <v/>
      </c>
      <c r="AS109" s="11">
        <f>IF(OR(City_Inputs!$AD109="",Norm_Stats!$F$19="",Norm_Stats!$G$19="",Norm_Stats!$G$19=Norm_Stats!$F$19),"",MAX(0,MIN(100,100*(MIN(MAX(City_Inputs!$AD109,Norm_Stats!$F$19),Norm_Stats!$G$19)-Norm_Stats!$F$19)/(Norm_Stats!$G$19-Norm_Stats!$F$19))))</f>
        <v/>
      </c>
      <c r="AT109" s="14">
        <f>IF(AS109="","",1)</f>
        <v/>
      </c>
      <c r="AU109" s="11">
        <f>IF(OR(City_Inputs!$BJ109="",Norm_Stats!$F$26="",Norm_Stats!$G$26="",Norm_Stats!$G$26=Norm_Stats!$F$26),"",MAX(0,MIN(100,100*(MIN(MAX(City_Inputs!$BJ109,Norm_Stats!$F$26),Norm_Stats!$G$26)-Norm_Stats!$F$26)/(Norm_Stats!$G$26-Norm_Stats!$F$26))))</f>
        <v/>
      </c>
      <c r="AV109" s="11">
        <f>IF(AU109="","",1)</f>
        <v/>
      </c>
      <c r="AW109" s="15">
        <f>IF((IF(AO109="",0,5)+IF(AQ109="",0,5)+IF(AS109="",0,5)+IF(AU109="",0,4))=0,"",(IF(AO109="",0,AO109*5)+IF(AQ109="",0,AQ109*5)+IF(AS109="",0,AS109*5)+IF(AU109="",0,AU109*4))/(IF(AO109="",0,5)+IF(AQ109="",0,5)+IF(AS109="",0,5)+IF(AU109="",0,4)))</f>
        <v/>
      </c>
      <c r="AX109" s="14">
        <f>IF((IF(AP109="",0,5)+IF(AR109="",0,5)+IF(AT109="",0,5)+IF(AV109="",0,4))=0,"",(IF(AP109="",0,AP109*5)+IF(AR109="",0,AR109*5)+IF(AT109="",0,AT109*5)+IF(AV109="",0,AV109*4))/19)</f>
        <v/>
      </c>
      <c r="AY109" s="11">
        <f>IF(OR(City_Inputs!$AE109="",Norm_Stats!$F$20="",Norm_Stats!$G$20="",Norm_Stats!$G$20=Norm_Stats!$F$20),"",MAX(0,MIN(100,100*(MIN(MAX(City_Inputs!$AE109,Norm_Stats!$F$20),Norm_Stats!$G$20)-Norm_Stats!$F$20)/(Norm_Stats!$G$20-Norm_Stats!$F$20))))</f>
        <v/>
      </c>
      <c r="AZ109" s="14">
        <f>IF(AY109="","",1)</f>
        <v/>
      </c>
      <c r="BA109" s="11">
        <f>IF(OR(City_Inputs!$AF109="",Norm_Stats!$F$21="",Norm_Stats!$G$21="",Norm_Stats!$G$21=Norm_Stats!$F$21),"",MAX(0,MIN(100,100*(MIN(MAX(City_Inputs!$AF109,Norm_Stats!$F$21),Norm_Stats!$G$21)-Norm_Stats!$F$21)/(Norm_Stats!$G$21-Norm_Stats!$F$21))))</f>
        <v/>
      </c>
      <c r="BB109" s="14">
        <f>IF(BA109="","",1)</f>
        <v/>
      </c>
      <c r="BC109" s="11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(IF(OR(City_Inputs!$AG109="",Norm_Stats!$F$22="",Norm_Stats!$G$22="",Norm_Stats!$G$22=Norm_Stats!$F$22),"",MAX(0,MIN(100,100*(MIN(MAX(City_Inputs!$AG109,Norm_Stats!$F$22),Norm_Stats!$G$22)-Norm_Stats!$F$22)/(Norm_Stats!$G$22-Norm_Stats!$F$22)))))*0.5)+IF((IF(OR(City_Inputs!$AJ109="",Norm_Stats!$F$23="",Norm_Stats!$G$23="",Norm_Stats!$G$23=Norm_Stats!$F$23),"",MAX(0,MIN(100,100*(MIN(MAX(City_Inputs!$AJ109,Norm_Stats!$F$23),Norm_Stats!$G$23)-Norm_Stats!$F$23)/(Norm_Stats!$G$23-Norm_Stats!$F$23)))))="",0,(IF(OR(City_Inputs!$AJ109="",Norm_Stats!$F$23="",Norm_Stats!$G$23="",Norm_Stats!$G$23=Norm_Stats!$F$23),"",MAX(0,MIN(100,100*(MIN(MAX(City_Inputs!$AJ109,Norm_Stats!$F$23),Norm_Stats!$G$23)-Norm_Stats!$F$23)/(Norm_Stats!$G$23-Norm_Stats!$F$23)))))*0.3)+IF((IF(OR(City_Inputs!$AK109="",Norm_Stats!$F$24="",Norm_Stats!$G$24="",Norm_Stats!$G$24=Norm_Stats!$F$24),"",MAX(0,MIN(100,100*(MIN(MAX(City_Inputs!$AK109,Norm_Stats!$F$24),Norm_Stats!$G$24)-Norm_Stats!$F$24)/(Norm_Stats!$G$24-Norm_Stats!$F$24)))))="",0,(IF(OR(City_Inputs!$AK109="",Norm_Stats!$F$24="",Norm_Stats!$G$24="",Norm_Stats!$G$24=Norm_Stats!$F$24),"",MAX(0,MIN(100,100*(MIN(MAX(City_Inputs!$AK109,Norm_Stats!$F$24),Norm_Stats!$G$24)-Norm_Stats!$F$24)/(Norm_Stats!$G$24-Norm_Stats!$F$24)))))*0.2))/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D109" s="14">
        <f>IF(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=0,"",(IF((IF(OR(City_Inputs!$AG109="",Norm_Stats!$F$22="",Norm_Stats!$G$22="",Norm_Stats!$G$22=Norm_Stats!$F$22),"",MAX(0,MIN(100,100*(MIN(MAX(City_Inputs!$AG109,Norm_Stats!$F$22),Norm_Stats!$G$22)-Norm_Stats!$F$22)/(Norm_Stats!$G$22-Norm_Stats!$F$22)))))="",0,0.5)+IF((IF(OR(City_Inputs!$AJ109="",Norm_Stats!$F$23="",Norm_Stats!$G$23="",Norm_Stats!$G$23=Norm_Stats!$F$23),"",MAX(0,MIN(100,100*(MIN(MAX(City_Inputs!$AJ109,Norm_Stats!$F$23),Norm_Stats!$G$23)-Norm_Stats!$F$23)/(Norm_Stats!$G$23-Norm_Stats!$F$23)))))="",0,0.3)+IF((IF(OR(City_Inputs!$AK109="",Norm_Stats!$F$24="",Norm_Stats!$G$24="",Norm_Stats!$G$24=Norm_Stats!$F$24),"",MAX(0,MIN(100,100*(MIN(MAX(City_Inputs!$AK109,Norm_Stats!$F$24),Norm_Stats!$G$24)-Norm_Stats!$F$24)/(Norm_Stats!$G$24-Norm_Stats!$F$24)))))="",0,0.2)))</f>
        <v/>
      </c>
      <c r="BE109" s="11">
        <f>IF(OR(City_Inputs!$AH109="",Norm_Stats!$F$25="",Norm_Stats!$G$25="",Norm_Stats!$G$25=Norm_Stats!$F$25),"",MAX(0,MIN(100,100*(Norm_Stats!$G$25-MIN(MAX(City_Inputs!$AH109,Norm_Stats!$F$25),Norm_Stats!$G$25))/(Norm_Stats!$G$25-Norm_Stats!$F$25))))</f>
        <v/>
      </c>
      <c r="BF109" s="14">
        <f>IF(BE109="","",1)</f>
        <v/>
      </c>
      <c r="BG109" s="15">
        <f>IF((IF(AY109="",0,6)+IF(BA109="",0,5)+IF(BC109="",0,5)+IF(BE109="",0,4))=0,"",(IF(AY109="",0,AY109*6)+IF(BA109="",0,BA109*5)+IF(BC109="",0,BC109*5)+IF(BE109="",0,BE109*4))/(IF(AY109="",0,6)+IF(BA109="",0,5)+IF(BC109="",0,5)+IF(BE109="",0,4)))</f>
        <v/>
      </c>
      <c r="BH109" s="14">
        <f>IF((IF(AZ109="",0,6)+IF(BB109="",0,5)+IF(BD109="",0,5)+IF(BF109="",0,4))=0,"",(IF(AZ109="",0,AZ109*6)+IF(BB109="",0,BB109*5)+IF(BD109="",0,BD109*5)+IF(BF109="",0,BF109*4))/20)</f>
        <v/>
      </c>
      <c r="BI109" s="14">
        <f>IF(AND(R109="",AF109="",AN109="",AX109="",BH109=""),"",((R109*25)+(AF109*22)+(AN109*18)+(AX109*15)+(BH109*20))/100)</f>
        <v/>
      </c>
      <c r="BJ109" s="11">
        <f>IF(BI109="","",IF(BI109&gt;=0.75,"A",IF(BI109&gt;=0.5,"B",IF(BI109&gt;=0.35,"C","Watchlist"))))</f>
        <v/>
      </c>
      <c r="BK109" s="11">
        <f>IF(OR(BI109="",BI109&lt;0.5,R109="",R109&lt;0.35,AF109="",AF109&lt;0.35,AN109="",AN109&lt;0.35,AX109="",AX109&lt;0.35,BH109="",BH109&lt;0.35),"Watchlist","Ranked")</f>
        <v/>
      </c>
      <c r="BL109" s="15">
        <f>IF(AND(Q109="",AE109="",AM109="",AW109="",BG109=""),"",(IF(Q109="",0,Q109*25)+IF(AE109="",0,AE109*22)+IF(AM109="",0,AM109*18)+IF(AW109="",0,AW109*15)+IF(BG109="",0,BG109*20))/(IF(Q109="",0,25)+IF(AE109="",0,22)+IF(AM109="",0,18)+IF(AW109="",0,15)+IF(BG109="",0,20)))</f>
        <v/>
      </c>
      <c r="BM109" s="11">
        <f>IF(BK109="Ranked",1+COUNTIFS($BK$2:$BK$158,"Ranked",$BL$2:$BL$158,"&gt;"&amp;BL109),"")</f>
        <v/>
      </c>
      <c r="BN109" s="11">
        <f>City_Inputs!$AI109</f>
        <v/>
      </c>
    </row>
    <row r="110">
      <c r="A110" t="inlineStr">
        <is>
          <t>fj-suva</t>
        </is>
      </c>
      <c r="B110" t="inlineStr">
        <is>
          <t>Suva</t>
        </is>
      </c>
      <c r="C110" t="inlineStr">
        <is>
          <t>Fiji</t>
        </is>
      </c>
      <c r="D110" t="inlineStr">
        <is>
          <t>Oceania</t>
        </is>
      </c>
      <c r="E110" t="inlineStr">
        <is>
          <t>locked</t>
        </is>
      </c>
      <c r="F110" t="inlineStr">
        <is>
          <t>secondary</t>
        </is>
      </c>
      <c r="G110" s="11">
        <f>IF(OR(City_Inputs!$M110="",Norm_Stats!$F$2="",Norm_Stats!$G$2="",Norm_Stats!$G$2=Norm_Stats!$F$2),"",MAX(0,MIN(100,100*(MIN(MAX(City_Inputs!$M110,Norm_Stats!$F$2),Norm_Stats!$G$2)-Norm_Stats!$F$2)/(Norm_Stats!$G$2-Norm_Stats!$F$2))))</f>
        <v/>
      </c>
      <c r="H110" s="14">
        <f>IF(G110="","",1)</f>
        <v/>
      </c>
      <c r="I110" s="11">
        <f>IF(OR(City_Inputs!$N110="",Norm_Stats!$F$3="",Norm_Stats!$G$3="",Norm_Stats!$G$3=Norm_Stats!$F$3),"",MAX(0,MIN(100,100*(Norm_Stats!$G$3-MIN(MAX(City_Inputs!$N110,Norm_Stats!$F$3),Norm_Stats!$G$3))/(Norm_Stats!$G$3-Norm_Stats!$F$3))))</f>
        <v/>
      </c>
      <c r="J110" s="14">
        <f>IF(I110="","",1)</f>
        <v/>
      </c>
      <c r="K110" s="11">
        <f>IF(OR(City_Inputs!$P110="",Norm_Stats!$F$4="",Norm_Stats!$G$4="",Norm_Stats!$G$4=Norm_Stats!$F$4),"",MAX(0,MIN(100,100*(Norm_Stats!$G$4-MIN(MAX(City_Inputs!$P110,Norm_Stats!$F$4),Norm_Stats!$G$4))/(Norm_Stats!$G$4-Norm_Stats!$F$4))))</f>
        <v/>
      </c>
      <c r="L110" s="14">
        <f>IF(K110="","",1)</f>
        <v/>
      </c>
      <c r="M110" s="11">
        <f>IF(OR(City_Inputs!$Q110="",Norm_Stats!$F$5="",Norm_Stats!$G$5="",Norm_Stats!$G$5=Norm_Stats!$F$5),"",MAX(0,MIN(100,100*(Norm_Stats!$G$5-MIN(MAX(City_Inputs!$Q110,Norm_Stats!$F$5),Norm_Stats!$G$5))/(Norm_Stats!$G$5-Norm_Stats!$F$5))))</f>
        <v/>
      </c>
      <c r="N110" s="14">
        <f>IF(M110="","",1)</f>
        <v/>
      </c>
      <c r="O110" s="11">
        <f>IF(OR(City_Inputs!$R110="",Norm_Stats!$F$6="",Norm_Stats!$G$6="",Norm_Stats!$G$6=Norm_Stats!$F$6),"",MAX(0,MIN(100,100*(Norm_Stats!$G$6-MIN(MAX(City_Inputs!$R110,Norm_Stats!$F$6),Norm_Stats!$G$6))/(Norm_Stats!$G$6-Norm_Stats!$F$6))))</f>
        <v/>
      </c>
      <c r="P110" s="14">
        <f>IF(O110="","",1)</f>
        <v/>
      </c>
      <c r="Q110" s="15">
        <f>IF((IF(G110="",0,9)+IF(I110="",0,5)+IF(K110="",0,4)+IF(M110="",0,4)+IF(O110="",0,5))=0,"",(IF(G110="",0,G110*9)+IF(I110="",0,I110*5)+IF(K110="",0,K110*4)+IF(M110="",0,M110*4)+IF(O110="",0,O110*5))/(IF(G110="",0,9)+IF(I110="",0,5)+IF(K110="",0,4)+IF(M110="",0,4)+IF(O110="",0,5)))</f>
        <v/>
      </c>
      <c r="R110" s="14">
        <f>IF((IF(H110="",0,9)+IF(J110="",0,5)+IF(L110="",0,4)+IF(N110="",0,4)+IF(P110="",0,5))=0,"",(IF(H110="",0,H110*9)+IF(J110="",0,J110*5)+IF(L110="",0,L110*4)+IF(N110="",0,N110*4)+IF(P110="",0,P110*5))/27)</f>
        <v/>
      </c>
      <c r="S110" s="11">
        <f>IF(OR(City_Inputs!$S110="",Norm_Stats!$F$7="",Norm_Stats!$G$7="",Norm_Stats!$G$7=Norm_Stats!$F$7),"",MAX(0,MIN(100,100*(Norm_Stats!$G$7-MIN(MAX(City_Inputs!$S110,Norm_Stats!$F$7),Norm_Stats!$G$7))/(Norm_Stats!$G$7-Norm_Stats!$F$7))))</f>
        <v/>
      </c>
      <c r="T110" s="14">
        <f>IF(S110="","",1)</f>
        <v/>
      </c>
      <c r="U110" s="11">
        <f>IF(OR(City_Inputs!$T110="",Norm_Stats!$F$8="",Norm_Stats!$G$8="",Norm_Stats!$G$8=Norm_Stats!$F$8),"",MAX(0,MIN(100,100*(MIN(MAX(City_Inputs!$T110,Norm_Stats!$F$8),Norm_Stats!$G$8)-Norm_Stats!$F$8)/(Norm_Stats!$G$8-Norm_Stats!$F$8))))</f>
        <v/>
      </c>
      <c r="V110" s="14">
        <f>IF(U110="","",1)</f>
        <v/>
      </c>
      <c r="W110" s="11">
        <f>IF(OR(City_Inputs!$U110="",Norm_Stats!$F$9="",Norm_Stats!$G$9="",Norm_Stats!$G$9=Norm_Stats!$F$9),"",MAX(0,MIN(100,100*(Norm_Stats!$G$9-MIN(MAX(City_Inputs!$U110,Norm_Stats!$F$9),Norm_Stats!$G$9))/(Norm_Stats!$G$9-Norm_Stats!$F$9))))</f>
        <v/>
      </c>
      <c r="X110" s="14">
        <f>IF(W110="","",1)</f>
        <v/>
      </c>
      <c r="Y110" s="11">
        <f>IF(OR(City_Inputs!$V110="",Norm_Stats!$F$10="",Norm_Stats!$G$10="",Norm_Stats!$G$10=Norm_Stats!$F$10),"",MAX(0,MIN(100,100*(MIN(MAX(City_Inputs!$V110,Norm_Stats!$F$10),Norm_Stats!$G$10)-Norm_Stats!$F$10)/(Norm_Stats!$G$10-Norm_Stats!$F$10))))</f>
        <v/>
      </c>
      <c r="Z110" s="14">
        <f>IF(Y110="","",1)</f>
        <v/>
      </c>
      <c r="AA110" s="11">
        <f>IF(OR(City_Inputs!$W110="",Norm_Stats!$F$11="",Norm_Stats!$G$11="",Norm_Stats!$G$11=Norm_Stats!$F$11),"",MAX(0,MIN(100,100*(MIN(MAX(City_Inputs!$W110,Norm_Stats!$F$11),Norm_Stats!$G$11)-Norm_Stats!$F$11)/(Norm_Stats!$G$11-Norm_Stats!$F$11))))</f>
        <v/>
      </c>
      <c r="AB110" s="14">
        <f>IF(AA110="","",1)</f>
        <v/>
      </c>
      <c r="AC110" s="11">
        <f>IF(OR(City_Inputs!$X110="",Norm_Stats!$F$12="",Norm_Stats!$G$12="",Norm_Stats!$G$12=Norm_Stats!$F$12),"",MAX(0,MIN(100,100*(MIN(MAX(City_Inputs!$X110,Norm_Stats!$F$12),Norm_Stats!$G$12)-Norm_Stats!$F$12)/(Norm_Stats!$G$12-Norm_Stats!$F$12))))</f>
        <v/>
      </c>
      <c r="AD110" s="11">
        <f>IF(AC110="","",1)</f>
        <v/>
      </c>
      <c r="AE110" s="15">
        <f>IF((IF(S110="",0,5)+IF(U110="",0,5)+IF(W110="",0,4)+IF(Y110="",0,4)+IF(AA110="",0,4)+IF(AC110="",0,5))=0,"",(IF(S110="",0,S110*5)+IF(U110="",0,U110*5)+IF(W110="",0,W110*4)+IF(Y110="",0,Y110*4)+IF(AA110="",0,AA110*4)+IF(AC110="",0,AC110*5))/(IF(S110="",0,5)+IF(U110="",0,5)+IF(W110="",0,4)+IF(Y110="",0,4)+IF(AA110="",0,4)+IF(AC110="",0,5)))</f>
        <v/>
      </c>
      <c r="AF110" s="14">
        <f>IF((IF(T110="",0,5)+IF(V110="",0,5)+IF(X110="",0,4)+IF(Z110="",0,4)+IF(AB110="",0,4)+IF(AD110="",0,5))=0,"",(IF(T110="",0,T110*5)+IF(V110="",0,V110*5)+IF(X110="",0,X110*4)+IF(Z110="",0,Z110*4)+IF(AB110="",0,AB110*4)+IF(AD110="",0,AD110*5))/27)</f>
        <v/>
      </c>
      <c r="AG110" s="11">
        <f>IF(OR(City_Inputs!$Y110="",Norm_Stats!$F$13="",Norm_Stats!$G$13="",Norm_Stats!$G$13=Norm_Stats!$F$13),"",MAX(0,MIN(100,100*(MIN(MAX(City_Inputs!$Y110,Norm_Stats!$F$13),Norm_Stats!$G$13)-Norm_Stats!$F$13)/(Norm_Stats!$G$13-Norm_Stats!$F$13))))</f>
        <v/>
      </c>
      <c r="AH110" s="14">
        <f>IF(AG110="","",1)</f>
        <v/>
      </c>
      <c r="AI110" s="11">
        <f>IF(OR(City_Inputs!$Z110="",Norm_Stats!$F$14="",Norm_Stats!$G$14="",Norm_Stats!$G$14=Norm_Stats!$F$14),"",MAX(0,MIN(100,100*(MIN(MAX(City_Inputs!$Z110,Norm_Stats!$F$14),Norm_Stats!$G$14)-Norm_Stats!$F$14)/(Norm_Stats!$G$14-Norm_Stats!$F$14))))</f>
        <v/>
      </c>
      <c r="AJ110" s="14">
        <f>IF(AI110="","",1)</f>
        <v/>
      </c>
      <c r="AK110" s="11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(IF(OR(City_Inputs!$AA110="",Norm_Stats!$F$15="",Norm_Stats!$G$15="",Norm_Stats!$G$15=Norm_Stats!$F$15),"",MAX(0,MIN(100,100*(MIN(MAX(City_Inputs!$AA110,Norm_Stats!$F$15),Norm_Stats!$G$15)-Norm_Stats!$F$15)/(Norm_Stats!$G$15-Norm_Stats!$F$15)))))*0.7)+IF((IF(OR(City_Inputs!$AL110="",Norm_Stats!$F$16="",Norm_Stats!$G$16="",Norm_Stats!$G$16=Norm_Stats!$F$16),"",MAX(0,MIN(100,100*(Norm_Stats!$G$16-MIN(MAX(City_Inputs!$AL110,Norm_Stats!$F$16),Norm_Stats!$G$16))/(Norm_Stats!$G$16-Norm_Stats!$F$16)))))="",0,(IF(OR(City_Inputs!$AL110="",Norm_Stats!$F$16="",Norm_Stats!$G$16="",Norm_Stats!$G$16=Norm_Stats!$F$16),"",MAX(0,MIN(100,100*(Norm_Stats!$G$16-MIN(MAX(City_Inputs!$AL110,Norm_Stats!$F$16),Norm_Stats!$G$16))/(Norm_Stats!$G$16-Norm_Stats!$F$16)))))*0.3))/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L110" s="14">
        <f>IF(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=0,"",(IF((IF(OR(City_Inputs!$AA110="",Norm_Stats!$F$15="",Norm_Stats!$G$15="",Norm_Stats!$G$15=Norm_Stats!$F$15),"",MAX(0,MIN(100,100*(MIN(MAX(City_Inputs!$AA110,Norm_Stats!$F$15),Norm_Stats!$G$15)-Norm_Stats!$F$15)/(Norm_Stats!$G$15-Norm_Stats!$F$15)))))="",0,0.7)+IF((IF(OR(City_Inputs!$AL110="",Norm_Stats!$F$16="",Norm_Stats!$G$16="",Norm_Stats!$G$16=Norm_Stats!$F$16),"",MAX(0,MIN(100,100*(Norm_Stats!$G$16-MIN(MAX(City_Inputs!$AL110,Norm_Stats!$F$16),Norm_Stats!$G$16))/(Norm_Stats!$G$16-Norm_Stats!$F$16)))))="",0,0.3)))</f>
        <v/>
      </c>
      <c r="AM110" s="15">
        <f>IF((IF(AG110="",0,8)+IF(AI110="",0,6)+IF(AK110="",0,4))=0,"",(IF(AG110="",0,AG110*8)+IF(AI110="",0,AI110*6)+IF(AK110="",0,AK110*4))/(IF(AG110="",0,8)+IF(AI110="",0,6)+IF(AK110="",0,4)))</f>
        <v/>
      </c>
      <c r="AN110" s="14">
        <f>IF((IF(AH110="",0,8)+IF(AJ110="",0,6)+IF(AL110="",0,4))=0,"",(IF(AH110="",0,AH110*8)+IF(AJ110="",0,AJ110*6)+IF(AL110="",0,AL110*4))/18)</f>
        <v/>
      </c>
      <c r="AO110" s="11">
        <f>IF(OR(City_Inputs!$AB110="",Norm_Stats!$F$17="",Norm_Stats!$G$17="",Norm_Stats!$G$17=Norm_Stats!$F$17),"",MAX(0,MIN(100,100*(MIN(MAX(City_Inputs!$AB110,Norm_Stats!$F$17),Norm_Stats!$G$17)-Norm_Stats!$F$17)/(Norm_Stats!$G$17-Norm_Stats!$F$17))))</f>
        <v/>
      </c>
      <c r="AP110" s="14">
        <f>IF(AO110="","",1)</f>
        <v/>
      </c>
      <c r="AQ110" s="11">
        <f>IF(OR(City_Inputs!$AC110="",Norm_Stats!$F$18="",Norm_Stats!$G$18="",Norm_Stats!$G$18=Norm_Stats!$F$18),"",MAX(0,MIN(100,100*(MIN(MAX(City_Inputs!$AC110,Norm_Stats!$F$18),Norm_Stats!$G$18)-Norm_Stats!$F$18)/(Norm_Stats!$G$18-Norm_Stats!$F$18))))</f>
        <v/>
      </c>
      <c r="AR110" s="14">
        <f>IF(AQ110="","",1)</f>
        <v/>
      </c>
      <c r="AS110" s="11">
        <f>IF(OR(City_Inputs!$AD110="",Norm_Stats!$F$19="",Norm_Stats!$G$19="",Norm_Stats!$G$19=Norm_Stats!$F$19),"",MAX(0,MIN(100,100*(MIN(MAX(City_Inputs!$AD110,Norm_Stats!$F$19),Norm_Stats!$G$19)-Norm_Stats!$F$19)/(Norm_Stats!$G$19-Norm_Stats!$F$19))))</f>
        <v/>
      </c>
      <c r="AT110" s="14">
        <f>IF(AS110="","",1)</f>
        <v/>
      </c>
      <c r="AU110" s="11">
        <f>IF(OR(City_Inputs!$BJ110="",Norm_Stats!$F$26="",Norm_Stats!$G$26="",Norm_Stats!$G$26=Norm_Stats!$F$26),"",MAX(0,MIN(100,100*(MIN(MAX(City_Inputs!$BJ110,Norm_Stats!$F$26),Norm_Stats!$G$26)-Norm_Stats!$F$26)/(Norm_Stats!$G$26-Norm_Stats!$F$26))))</f>
        <v/>
      </c>
      <c r="AV110" s="11">
        <f>IF(AU110="","",1)</f>
        <v/>
      </c>
      <c r="AW110" s="15">
        <f>IF((IF(AO110="",0,5)+IF(AQ110="",0,5)+IF(AS110="",0,5)+IF(AU110="",0,4))=0,"",(IF(AO110="",0,AO110*5)+IF(AQ110="",0,AQ110*5)+IF(AS110="",0,AS110*5)+IF(AU110="",0,AU110*4))/(IF(AO110="",0,5)+IF(AQ110="",0,5)+IF(AS110="",0,5)+IF(AU110="",0,4)))</f>
        <v/>
      </c>
      <c r="AX110" s="14">
        <f>IF((IF(AP110="",0,5)+IF(AR110="",0,5)+IF(AT110="",0,5)+IF(AV110="",0,4))=0,"",(IF(AP110="",0,AP110*5)+IF(AR110="",0,AR110*5)+IF(AT110="",0,AT110*5)+IF(AV110="",0,AV110*4))/19)</f>
        <v/>
      </c>
      <c r="AY110" s="11">
        <f>IF(OR(City_Inputs!$AE110="",Norm_Stats!$F$20="",Norm_Stats!$G$20="",Norm_Stats!$G$20=Norm_Stats!$F$20),"",MAX(0,MIN(100,100*(MIN(MAX(City_Inputs!$AE110,Norm_Stats!$F$20),Norm_Stats!$G$20)-Norm_Stats!$F$20)/(Norm_Stats!$G$20-Norm_Stats!$F$20))))</f>
        <v/>
      </c>
      <c r="AZ110" s="14">
        <f>IF(AY110="","",1)</f>
        <v/>
      </c>
      <c r="BA110" s="11">
        <f>IF(OR(City_Inputs!$AF110="",Norm_Stats!$F$21="",Norm_Stats!$G$21="",Norm_Stats!$G$21=Norm_Stats!$F$21),"",MAX(0,MIN(100,100*(MIN(MAX(City_Inputs!$AF110,Norm_Stats!$F$21),Norm_Stats!$G$21)-Norm_Stats!$F$21)/(Norm_Stats!$G$21-Norm_Stats!$F$21))))</f>
        <v/>
      </c>
      <c r="BB110" s="14">
        <f>IF(BA110="","",1)</f>
        <v/>
      </c>
      <c r="BC110" s="11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(IF(OR(City_Inputs!$AG110="",Norm_Stats!$F$22="",Norm_Stats!$G$22="",Norm_Stats!$G$22=Norm_Stats!$F$22),"",MAX(0,MIN(100,100*(MIN(MAX(City_Inputs!$AG110,Norm_Stats!$F$22),Norm_Stats!$G$22)-Norm_Stats!$F$22)/(Norm_Stats!$G$22-Norm_Stats!$F$22)))))*0.5)+IF((IF(OR(City_Inputs!$AJ110="",Norm_Stats!$F$23="",Norm_Stats!$G$23="",Norm_Stats!$G$23=Norm_Stats!$F$23),"",MAX(0,MIN(100,100*(MIN(MAX(City_Inputs!$AJ110,Norm_Stats!$F$23),Norm_Stats!$G$23)-Norm_Stats!$F$23)/(Norm_Stats!$G$23-Norm_Stats!$F$23)))))="",0,(IF(OR(City_Inputs!$AJ110="",Norm_Stats!$F$23="",Norm_Stats!$G$23="",Norm_Stats!$G$23=Norm_Stats!$F$23),"",MAX(0,MIN(100,100*(MIN(MAX(City_Inputs!$AJ110,Norm_Stats!$F$23),Norm_Stats!$G$23)-Norm_Stats!$F$23)/(Norm_Stats!$G$23-Norm_Stats!$F$23)))))*0.3)+IF((IF(OR(City_Inputs!$AK110="",Norm_Stats!$F$24="",Norm_Stats!$G$24="",Norm_Stats!$G$24=Norm_Stats!$F$24),"",MAX(0,MIN(100,100*(MIN(MAX(City_Inputs!$AK110,Norm_Stats!$F$24),Norm_Stats!$G$24)-Norm_Stats!$F$24)/(Norm_Stats!$G$24-Norm_Stats!$F$24)))))="",0,(IF(OR(City_Inputs!$AK110="",Norm_Stats!$F$24="",Norm_Stats!$G$24="",Norm_Stats!$G$24=Norm_Stats!$F$24),"",MAX(0,MIN(100,100*(MIN(MAX(City_Inputs!$AK110,Norm_Stats!$F$24),Norm_Stats!$G$24)-Norm_Stats!$F$24)/(Norm_Stats!$G$24-Norm_Stats!$F$24)))))*0.2))/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D110" s="14">
        <f>IF(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=0,"",(IF((IF(OR(City_Inputs!$AG110="",Norm_Stats!$F$22="",Norm_Stats!$G$22="",Norm_Stats!$G$22=Norm_Stats!$F$22),"",MAX(0,MIN(100,100*(MIN(MAX(City_Inputs!$AG110,Norm_Stats!$F$22),Norm_Stats!$G$22)-Norm_Stats!$F$22)/(Norm_Stats!$G$22-Norm_Stats!$F$22)))))="",0,0.5)+IF((IF(OR(City_Inputs!$AJ110="",Norm_Stats!$F$23="",Norm_Stats!$G$23="",Norm_Stats!$G$23=Norm_Stats!$F$23),"",MAX(0,MIN(100,100*(MIN(MAX(City_Inputs!$AJ110,Norm_Stats!$F$23),Norm_Stats!$G$23)-Norm_Stats!$F$23)/(Norm_Stats!$G$23-Norm_Stats!$F$23)))))="",0,0.3)+IF((IF(OR(City_Inputs!$AK110="",Norm_Stats!$F$24="",Norm_Stats!$G$24="",Norm_Stats!$G$24=Norm_Stats!$F$24),"",MAX(0,MIN(100,100*(MIN(MAX(City_Inputs!$AK110,Norm_Stats!$F$24),Norm_Stats!$G$24)-Norm_Stats!$F$24)/(Norm_Stats!$G$24-Norm_Stats!$F$24)))))="",0,0.2)))</f>
        <v/>
      </c>
      <c r="BE110" s="11">
        <f>IF(OR(City_Inputs!$AH110="",Norm_Stats!$F$25="",Norm_Stats!$G$25="",Norm_Stats!$G$25=Norm_Stats!$F$25),"",MAX(0,MIN(100,100*(Norm_Stats!$G$25-MIN(MAX(City_Inputs!$AH110,Norm_Stats!$F$25),Norm_Stats!$G$25))/(Norm_Stats!$G$25-Norm_Stats!$F$25))))</f>
        <v/>
      </c>
      <c r="BF110" s="14">
        <f>IF(BE110="","",1)</f>
        <v/>
      </c>
      <c r="BG110" s="15">
        <f>IF((IF(AY110="",0,6)+IF(BA110="",0,5)+IF(BC110="",0,5)+IF(BE110="",0,4))=0,"",(IF(AY110="",0,AY110*6)+IF(BA110="",0,BA110*5)+IF(BC110="",0,BC110*5)+IF(BE110="",0,BE110*4))/(IF(AY110="",0,6)+IF(BA110="",0,5)+IF(BC110="",0,5)+IF(BE110="",0,4)))</f>
        <v/>
      </c>
      <c r="BH110" s="14">
        <f>IF((IF(AZ110="",0,6)+IF(BB110="",0,5)+IF(BD110="",0,5)+IF(BF110="",0,4))=0,"",(IF(AZ110="",0,AZ110*6)+IF(BB110="",0,BB110*5)+IF(BD110="",0,BD110*5)+IF(BF110="",0,BF110*4))/20)</f>
        <v/>
      </c>
      <c r="BI110" s="14">
        <f>IF(AND(R110="",AF110="",AN110="",AX110="",BH110=""),"",((R110*25)+(AF110*22)+(AN110*18)+(AX110*15)+(BH110*20))/100)</f>
        <v/>
      </c>
      <c r="BJ110" s="11">
        <f>IF(BI110="","",IF(BI110&gt;=0.75,"A",IF(BI110&gt;=0.5,"B",IF(BI110&gt;=0.35,"C","Watchlist"))))</f>
        <v/>
      </c>
      <c r="BK110" s="11">
        <f>IF(OR(BI110="",BI110&lt;0.5,R110="",R110&lt;0.35,AF110="",AF110&lt;0.35,AN110="",AN110&lt;0.35,AX110="",AX110&lt;0.35,BH110="",BH110&lt;0.35),"Watchlist","Ranked")</f>
        <v/>
      </c>
      <c r="BL110" s="15">
        <f>IF(AND(Q110="",AE110="",AM110="",AW110="",BG110=""),"",(IF(Q110="",0,Q110*25)+IF(AE110="",0,AE110*22)+IF(AM110="",0,AM110*18)+IF(AW110="",0,AW110*15)+IF(BG110="",0,BG110*20))/(IF(Q110="",0,25)+IF(AE110="",0,22)+IF(AM110="",0,18)+IF(AW110="",0,15)+IF(BG110="",0,20)))</f>
        <v/>
      </c>
      <c r="BM110" s="11">
        <f>IF(BK110="Ranked",1+COUNTIFS($BK$2:$BK$158,"Ranked",$BL$2:$BL$158,"&gt;"&amp;BL110),"")</f>
        <v/>
      </c>
      <c r="BN110" s="11">
        <f>City_Inputs!$AI110</f>
        <v/>
      </c>
    </row>
    <row r="111">
      <c r="A111" t="inlineStr">
        <is>
          <t>id-surabaya</t>
        </is>
      </c>
      <c r="B111" t="inlineStr">
        <is>
          <t>Surabaya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provisional</t>
        </is>
      </c>
      <c r="F111" t="inlineStr">
        <is>
          <t>secondary</t>
        </is>
      </c>
      <c r="G111" s="11">
        <f>IF(OR(City_Inputs!$M111="",Norm_Stats!$F$2="",Norm_Stats!$G$2="",Norm_Stats!$G$2=Norm_Stats!$F$2),"",MAX(0,MIN(100,100*(MIN(MAX(City_Inputs!$M111,Norm_Stats!$F$2),Norm_Stats!$G$2)-Norm_Stats!$F$2)/(Norm_Stats!$G$2-Norm_Stats!$F$2))))</f>
        <v/>
      </c>
      <c r="H111" s="14">
        <f>IF(G111="","",1)</f>
        <v/>
      </c>
      <c r="I111" s="11">
        <f>IF(OR(City_Inputs!$N111="",Norm_Stats!$F$3="",Norm_Stats!$G$3="",Norm_Stats!$G$3=Norm_Stats!$F$3),"",MAX(0,MIN(100,100*(Norm_Stats!$G$3-MIN(MAX(City_Inputs!$N111,Norm_Stats!$F$3),Norm_Stats!$G$3))/(Norm_Stats!$G$3-Norm_Stats!$F$3))))</f>
        <v/>
      </c>
      <c r="J111" s="14">
        <f>IF(I111="","",1)</f>
        <v/>
      </c>
      <c r="K111" s="11">
        <f>IF(OR(City_Inputs!$P111="",Norm_Stats!$F$4="",Norm_Stats!$G$4="",Norm_Stats!$G$4=Norm_Stats!$F$4),"",MAX(0,MIN(100,100*(Norm_Stats!$G$4-MIN(MAX(City_Inputs!$P111,Norm_Stats!$F$4),Norm_Stats!$G$4))/(Norm_Stats!$G$4-Norm_Stats!$F$4))))</f>
        <v/>
      </c>
      <c r="L111" s="14">
        <f>IF(K111="","",1)</f>
        <v/>
      </c>
      <c r="M111" s="11">
        <f>IF(OR(City_Inputs!$Q111="",Norm_Stats!$F$5="",Norm_Stats!$G$5="",Norm_Stats!$G$5=Norm_Stats!$F$5),"",MAX(0,MIN(100,100*(Norm_Stats!$G$5-MIN(MAX(City_Inputs!$Q111,Norm_Stats!$F$5),Norm_Stats!$G$5))/(Norm_Stats!$G$5-Norm_Stats!$F$5))))</f>
        <v/>
      </c>
      <c r="N111" s="14">
        <f>IF(M111="","",1)</f>
        <v/>
      </c>
      <c r="O111" s="11">
        <f>IF(OR(City_Inputs!$R111="",Norm_Stats!$F$6="",Norm_Stats!$G$6="",Norm_Stats!$G$6=Norm_Stats!$F$6),"",MAX(0,MIN(100,100*(Norm_Stats!$G$6-MIN(MAX(City_Inputs!$R111,Norm_Stats!$F$6),Norm_Stats!$G$6))/(Norm_Stats!$G$6-Norm_Stats!$F$6))))</f>
        <v/>
      </c>
      <c r="P111" s="14">
        <f>IF(O111="","",1)</f>
        <v/>
      </c>
      <c r="Q111" s="15">
        <f>IF((IF(G111="",0,9)+IF(I111="",0,5)+IF(K111="",0,4)+IF(M111="",0,4)+IF(O111="",0,5))=0,"",(IF(G111="",0,G111*9)+IF(I111="",0,I111*5)+IF(K111="",0,K111*4)+IF(M111="",0,M111*4)+IF(O111="",0,O111*5))/(IF(G111="",0,9)+IF(I111="",0,5)+IF(K111="",0,4)+IF(M111="",0,4)+IF(O111="",0,5)))</f>
        <v/>
      </c>
      <c r="R111" s="14">
        <f>IF((IF(H111="",0,9)+IF(J111="",0,5)+IF(L111="",0,4)+IF(N111="",0,4)+IF(P111="",0,5))=0,"",(IF(H111="",0,H111*9)+IF(J111="",0,J111*5)+IF(L111="",0,L111*4)+IF(N111="",0,N111*4)+IF(P111="",0,P111*5))/27)</f>
        <v/>
      </c>
      <c r="S111" s="11">
        <f>IF(OR(City_Inputs!$S111="",Norm_Stats!$F$7="",Norm_Stats!$G$7="",Norm_Stats!$G$7=Norm_Stats!$F$7),"",MAX(0,MIN(100,100*(Norm_Stats!$G$7-MIN(MAX(City_Inputs!$S111,Norm_Stats!$F$7),Norm_Stats!$G$7))/(Norm_Stats!$G$7-Norm_Stats!$F$7))))</f>
        <v/>
      </c>
      <c r="T111" s="14">
        <f>IF(S111="","",1)</f>
        <v/>
      </c>
      <c r="U111" s="11">
        <f>IF(OR(City_Inputs!$T111="",Norm_Stats!$F$8="",Norm_Stats!$G$8="",Norm_Stats!$G$8=Norm_Stats!$F$8),"",MAX(0,MIN(100,100*(MIN(MAX(City_Inputs!$T111,Norm_Stats!$F$8),Norm_Stats!$G$8)-Norm_Stats!$F$8)/(Norm_Stats!$G$8-Norm_Stats!$F$8))))</f>
        <v/>
      </c>
      <c r="V111" s="14">
        <f>IF(U111="","",1)</f>
        <v/>
      </c>
      <c r="W111" s="11">
        <f>IF(OR(City_Inputs!$U111="",Norm_Stats!$F$9="",Norm_Stats!$G$9="",Norm_Stats!$G$9=Norm_Stats!$F$9),"",MAX(0,MIN(100,100*(Norm_Stats!$G$9-MIN(MAX(City_Inputs!$U111,Norm_Stats!$F$9),Norm_Stats!$G$9))/(Norm_Stats!$G$9-Norm_Stats!$F$9))))</f>
        <v/>
      </c>
      <c r="X111" s="14">
        <f>IF(W111="","",1)</f>
        <v/>
      </c>
      <c r="Y111" s="11">
        <f>IF(OR(City_Inputs!$V111="",Norm_Stats!$F$10="",Norm_Stats!$G$10="",Norm_Stats!$G$10=Norm_Stats!$F$10),"",MAX(0,MIN(100,100*(MIN(MAX(City_Inputs!$V111,Norm_Stats!$F$10),Norm_Stats!$G$10)-Norm_Stats!$F$10)/(Norm_Stats!$G$10-Norm_Stats!$F$10))))</f>
        <v/>
      </c>
      <c r="Z111" s="14">
        <f>IF(Y111="","",1)</f>
        <v/>
      </c>
      <c r="AA111" s="11">
        <f>IF(OR(City_Inputs!$W111="",Norm_Stats!$F$11="",Norm_Stats!$G$11="",Norm_Stats!$G$11=Norm_Stats!$F$11),"",MAX(0,MIN(100,100*(MIN(MAX(City_Inputs!$W111,Norm_Stats!$F$11),Norm_Stats!$G$11)-Norm_Stats!$F$11)/(Norm_Stats!$G$11-Norm_Stats!$F$11))))</f>
        <v/>
      </c>
      <c r="AB111" s="14">
        <f>IF(AA111="","",1)</f>
        <v/>
      </c>
      <c r="AC111" s="11">
        <f>IF(OR(City_Inputs!$X111="",Norm_Stats!$F$12="",Norm_Stats!$G$12="",Norm_Stats!$G$12=Norm_Stats!$F$12),"",MAX(0,MIN(100,100*(MIN(MAX(City_Inputs!$X111,Norm_Stats!$F$12),Norm_Stats!$G$12)-Norm_Stats!$F$12)/(Norm_Stats!$G$12-Norm_Stats!$F$12))))</f>
        <v/>
      </c>
      <c r="AD111" s="11">
        <f>IF(AC111="","",1)</f>
        <v/>
      </c>
      <c r="AE111" s="15">
        <f>IF((IF(S111="",0,5)+IF(U111="",0,5)+IF(W111="",0,4)+IF(Y111="",0,4)+IF(AA111="",0,4)+IF(AC111="",0,5))=0,"",(IF(S111="",0,S111*5)+IF(U111="",0,U111*5)+IF(W111="",0,W111*4)+IF(Y111="",0,Y111*4)+IF(AA111="",0,AA111*4)+IF(AC111="",0,AC111*5))/(IF(S111="",0,5)+IF(U111="",0,5)+IF(W111="",0,4)+IF(Y111="",0,4)+IF(AA111="",0,4)+IF(AC111="",0,5)))</f>
        <v/>
      </c>
      <c r="AF111" s="14">
        <f>IF((IF(T111="",0,5)+IF(V111="",0,5)+IF(X111="",0,4)+IF(Z111="",0,4)+IF(AB111="",0,4)+IF(AD111="",0,5))=0,"",(IF(T111="",0,T111*5)+IF(V111="",0,V111*5)+IF(X111="",0,X111*4)+IF(Z111="",0,Z111*4)+IF(AB111="",0,AB111*4)+IF(AD111="",0,AD111*5))/27)</f>
        <v/>
      </c>
      <c r="AG111" s="11">
        <f>IF(OR(City_Inputs!$Y111="",Norm_Stats!$F$13="",Norm_Stats!$G$13="",Norm_Stats!$G$13=Norm_Stats!$F$13),"",MAX(0,MIN(100,100*(MIN(MAX(City_Inputs!$Y111,Norm_Stats!$F$13),Norm_Stats!$G$13)-Norm_Stats!$F$13)/(Norm_Stats!$G$13-Norm_Stats!$F$13))))</f>
        <v/>
      </c>
      <c r="AH111" s="14">
        <f>IF(AG111="","",1)</f>
        <v/>
      </c>
      <c r="AI111" s="11">
        <f>IF(OR(City_Inputs!$Z111="",Norm_Stats!$F$14="",Norm_Stats!$G$14="",Norm_Stats!$G$14=Norm_Stats!$F$14),"",MAX(0,MIN(100,100*(MIN(MAX(City_Inputs!$Z111,Norm_Stats!$F$14),Norm_Stats!$G$14)-Norm_Stats!$F$14)/(Norm_Stats!$G$14-Norm_Stats!$F$14))))</f>
        <v/>
      </c>
      <c r="AJ111" s="14">
        <f>IF(AI111="","",1)</f>
        <v/>
      </c>
      <c r="AK111" s="11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(IF(OR(City_Inputs!$AA111="",Norm_Stats!$F$15="",Norm_Stats!$G$15="",Norm_Stats!$G$15=Norm_Stats!$F$15),"",MAX(0,MIN(100,100*(MIN(MAX(City_Inputs!$AA111,Norm_Stats!$F$15),Norm_Stats!$G$15)-Norm_Stats!$F$15)/(Norm_Stats!$G$15-Norm_Stats!$F$15)))))*0.7)+IF((IF(OR(City_Inputs!$AL111="",Norm_Stats!$F$16="",Norm_Stats!$G$16="",Norm_Stats!$G$16=Norm_Stats!$F$16),"",MAX(0,MIN(100,100*(Norm_Stats!$G$16-MIN(MAX(City_Inputs!$AL111,Norm_Stats!$F$16),Norm_Stats!$G$16))/(Norm_Stats!$G$16-Norm_Stats!$F$16)))))="",0,(IF(OR(City_Inputs!$AL111="",Norm_Stats!$F$16="",Norm_Stats!$G$16="",Norm_Stats!$G$16=Norm_Stats!$F$16),"",MAX(0,MIN(100,100*(Norm_Stats!$G$16-MIN(MAX(City_Inputs!$AL111,Norm_Stats!$F$16),Norm_Stats!$G$16))/(Norm_Stats!$G$16-Norm_Stats!$F$16)))))*0.3))/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L111" s="14">
        <f>IF(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=0,"",(IF((IF(OR(City_Inputs!$AA111="",Norm_Stats!$F$15="",Norm_Stats!$G$15="",Norm_Stats!$G$15=Norm_Stats!$F$15),"",MAX(0,MIN(100,100*(MIN(MAX(City_Inputs!$AA111,Norm_Stats!$F$15),Norm_Stats!$G$15)-Norm_Stats!$F$15)/(Norm_Stats!$G$15-Norm_Stats!$F$15)))))="",0,0.7)+IF((IF(OR(City_Inputs!$AL111="",Norm_Stats!$F$16="",Norm_Stats!$G$16="",Norm_Stats!$G$16=Norm_Stats!$F$16),"",MAX(0,MIN(100,100*(Norm_Stats!$G$16-MIN(MAX(City_Inputs!$AL111,Norm_Stats!$F$16),Norm_Stats!$G$16))/(Norm_Stats!$G$16-Norm_Stats!$F$16)))))="",0,0.3)))</f>
        <v/>
      </c>
      <c r="AM111" s="15">
        <f>IF((IF(AG111="",0,8)+IF(AI111="",0,6)+IF(AK111="",0,4))=0,"",(IF(AG111="",0,AG111*8)+IF(AI111="",0,AI111*6)+IF(AK111="",0,AK111*4))/(IF(AG111="",0,8)+IF(AI111="",0,6)+IF(AK111="",0,4)))</f>
        <v/>
      </c>
      <c r="AN111" s="14">
        <f>IF((IF(AH111="",0,8)+IF(AJ111="",0,6)+IF(AL111="",0,4))=0,"",(IF(AH111="",0,AH111*8)+IF(AJ111="",0,AJ111*6)+IF(AL111="",0,AL111*4))/18)</f>
        <v/>
      </c>
      <c r="AO111" s="11">
        <f>IF(OR(City_Inputs!$AB111="",Norm_Stats!$F$17="",Norm_Stats!$G$17="",Norm_Stats!$G$17=Norm_Stats!$F$17),"",MAX(0,MIN(100,100*(MIN(MAX(City_Inputs!$AB111,Norm_Stats!$F$17),Norm_Stats!$G$17)-Norm_Stats!$F$17)/(Norm_Stats!$G$17-Norm_Stats!$F$17))))</f>
        <v/>
      </c>
      <c r="AP111" s="14">
        <f>IF(AO111="","",1)</f>
        <v/>
      </c>
      <c r="AQ111" s="11">
        <f>IF(OR(City_Inputs!$AC111="",Norm_Stats!$F$18="",Norm_Stats!$G$18="",Norm_Stats!$G$18=Norm_Stats!$F$18),"",MAX(0,MIN(100,100*(MIN(MAX(City_Inputs!$AC111,Norm_Stats!$F$18),Norm_Stats!$G$18)-Norm_Stats!$F$18)/(Norm_Stats!$G$18-Norm_Stats!$F$18))))</f>
        <v/>
      </c>
      <c r="AR111" s="14">
        <f>IF(AQ111="","",1)</f>
        <v/>
      </c>
      <c r="AS111" s="11">
        <f>IF(OR(City_Inputs!$AD111="",Norm_Stats!$F$19="",Norm_Stats!$G$19="",Norm_Stats!$G$19=Norm_Stats!$F$19),"",MAX(0,MIN(100,100*(MIN(MAX(City_Inputs!$AD111,Norm_Stats!$F$19),Norm_Stats!$G$19)-Norm_Stats!$F$19)/(Norm_Stats!$G$19-Norm_Stats!$F$19))))</f>
        <v/>
      </c>
      <c r="AT111" s="14">
        <f>IF(AS111="","",1)</f>
        <v/>
      </c>
      <c r="AU111" s="11">
        <f>IF(OR(City_Inputs!$BJ111="",Norm_Stats!$F$26="",Norm_Stats!$G$26="",Norm_Stats!$G$26=Norm_Stats!$F$26),"",MAX(0,MIN(100,100*(MIN(MAX(City_Inputs!$BJ111,Norm_Stats!$F$26),Norm_Stats!$G$26)-Norm_Stats!$F$26)/(Norm_Stats!$G$26-Norm_Stats!$F$26))))</f>
        <v/>
      </c>
      <c r="AV111" s="11">
        <f>IF(AU111="","",1)</f>
        <v/>
      </c>
      <c r="AW111" s="15">
        <f>IF((IF(AO111="",0,5)+IF(AQ111="",0,5)+IF(AS111="",0,5)+IF(AU111="",0,4))=0,"",(IF(AO111="",0,AO111*5)+IF(AQ111="",0,AQ111*5)+IF(AS111="",0,AS111*5)+IF(AU111="",0,AU111*4))/(IF(AO111="",0,5)+IF(AQ111="",0,5)+IF(AS111="",0,5)+IF(AU111="",0,4)))</f>
        <v/>
      </c>
      <c r="AX111" s="14">
        <f>IF((IF(AP111="",0,5)+IF(AR111="",0,5)+IF(AT111="",0,5)+IF(AV111="",0,4))=0,"",(IF(AP111="",0,AP111*5)+IF(AR111="",0,AR111*5)+IF(AT111="",0,AT111*5)+IF(AV111="",0,AV111*4))/19)</f>
        <v/>
      </c>
      <c r="AY111" s="11">
        <f>IF(OR(City_Inputs!$AE111="",Norm_Stats!$F$20="",Norm_Stats!$G$20="",Norm_Stats!$G$20=Norm_Stats!$F$20),"",MAX(0,MIN(100,100*(MIN(MAX(City_Inputs!$AE111,Norm_Stats!$F$20),Norm_Stats!$G$20)-Norm_Stats!$F$20)/(Norm_Stats!$G$20-Norm_Stats!$F$20))))</f>
        <v/>
      </c>
      <c r="AZ111" s="14">
        <f>IF(AY111="","",1)</f>
        <v/>
      </c>
      <c r="BA111" s="11">
        <f>IF(OR(City_Inputs!$AF111="",Norm_Stats!$F$21="",Norm_Stats!$G$21="",Norm_Stats!$G$21=Norm_Stats!$F$21),"",MAX(0,MIN(100,100*(MIN(MAX(City_Inputs!$AF111,Norm_Stats!$F$21),Norm_Stats!$G$21)-Norm_Stats!$F$21)/(Norm_Stats!$G$21-Norm_Stats!$F$21))))</f>
        <v/>
      </c>
      <c r="BB111" s="14">
        <f>IF(BA111="","",1)</f>
        <v/>
      </c>
      <c r="BC111" s="11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(IF(OR(City_Inputs!$AG111="",Norm_Stats!$F$22="",Norm_Stats!$G$22="",Norm_Stats!$G$22=Norm_Stats!$F$22),"",MAX(0,MIN(100,100*(MIN(MAX(City_Inputs!$AG111,Norm_Stats!$F$22),Norm_Stats!$G$22)-Norm_Stats!$F$22)/(Norm_Stats!$G$22-Norm_Stats!$F$22)))))*0.5)+IF((IF(OR(City_Inputs!$AJ111="",Norm_Stats!$F$23="",Norm_Stats!$G$23="",Norm_Stats!$G$23=Norm_Stats!$F$23),"",MAX(0,MIN(100,100*(MIN(MAX(City_Inputs!$AJ111,Norm_Stats!$F$23),Norm_Stats!$G$23)-Norm_Stats!$F$23)/(Norm_Stats!$G$23-Norm_Stats!$F$23)))))="",0,(IF(OR(City_Inputs!$AJ111="",Norm_Stats!$F$23="",Norm_Stats!$G$23="",Norm_Stats!$G$23=Norm_Stats!$F$23),"",MAX(0,MIN(100,100*(MIN(MAX(City_Inputs!$AJ111,Norm_Stats!$F$23),Norm_Stats!$G$23)-Norm_Stats!$F$23)/(Norm_Stats!$G$23-Norm_Stats!$F$23)))))*0.3)+IF((IF(OR(City_Inputs!$AK111="",Norm_Stats!$F$24="",Norm_Stats!$G$24="",Norm_Stats!$G$24=Norm_Stats!$F$24),"",MAX(0,MIN(100,100*(MIN(MAX(City_Inputs!$AK111,Norm_Stats!$F$24),Norm_Stats!$G$24)-Norm_Stats!$F$24)/(Norm_Stats!$G$24-Norm_Stats!$F$24)))))="",0,(IF(OR(City_Inputs!$AK111="",Norm_Stats!$F$24="",Norm_Stats!$G$24="",Norm_Stats!$G$24=Norm_Stats!$F$24),"",MAX(0,MIN(100,100*(MIN(MAX(City_Inputs!$AK111,Norm_Stats!$F$24),Norm_Stats!$G$24)-Norm_Stats!$F$24)/(Norm_Stats!$G$24-Norm_Stats!$F$24)))))*0.2))/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D111" s="14">
        <f>IF(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=0,"",(IF((IF(OR(City_Inputs!$AG111="",Norm_Stats!$F$22="",Norm_Stats!$G$22="",Norm_Stats!$G$22=Norm_Stats!$F$22),"",MAX(0,MIN(100,100*(MIN(MAX(City_Inputs!$AG111,Norm_Stats!$F$22),Norm_Stats!$G$22)-Norm_Stats!$F$22)/(Norm_Stats!$G$22-Norm_Stats!$F$22)))))="",0,0.5)+IF((IF(OR(City_Inputs!$AJ111="",Norm_Stats!$F$23="",Norm_Stats!$G$23="",Norm_Stats!$G$23=Norm_Stats!$F$23),"",MAX(0,MIN(100,100*(MIN(MAX(City_Inputs!$AJ111,Norm_Stats!$F$23),Norm_Stats!$G$23)-Norm_Stats!$F$23)/(Norm_Stats!$G$23-Norm_Stats!$F$23)))))="",0,0.3)+IF((IF(OR(City_Inputs!$AK111="",Norm_Stats!$F$24="",Norm_Stats!$G$24="",Norm_Stats!$G$24=Norm_Stats!$F$24),"",MAX(0,MIN(100,100*(MIN(MAX(City_Inputs!$AK111,Norm_Stats!$F$24),Norm_Stats!$G$24)-Norm_Stats!$F$24)/(Norm_Stats!$G$24-Norm_Stats!$F$24)))))="",0,0.2)))</f>
        <v/>
      </c>
      <c r="BE111" s="11">
        <f>IF(OR(City_Inputs!$AH111="",Norm_Stats!$F$25="",Norm_Stats!$G$25="",Norm_Stats!$G$25=Norm_Stats!$F$25),"",MAX(0,MIN(100,100*(Norm_Stats!$G$25-MIN(MAX(City_Inputs!$AH111,Norm_Stats!$F$25),Norm_Stats!$G$25))/(Norm_Stats!$G$25-Norm_Stats!$F$25))))</f>
        <v/>
      </c>
      <c r="BF111" s="14">
        <f>IF(BE111="","",1)</f>
        <v/>
      </c>
      <c r="BG111" s="15">
        <f>IF((IF(AY111="",0,6)+IF(BA111="",0,5)+IF(BC111="",0,5)+IF(BE111="",0,4))=0,"",(IF(AY111="",0,AY111*6)+IF(BA111="",0,BA111*5)+IF(BC111="",0,BC111*5)+IF(BE111="",0,BE111*4))/(IF(AY111="",0,6)+IF(BA111="",0,5)+IF(BC111="",0,5)+IF(BE111="",0,4)))</f>
        <v/>
      </c>
      <c r="BH111" s="14">
        <f>IF((IF(AZ111="",0,6)+IF(BB111="",0,5)+IF(BD111="",0,5)+IF(BF111="",0,4))=0,"",(IF(AZ111="",0,AZ111*6)+IF(BB111="",0,BB111*5)+IF(BD111="",0,BD111*5)+IF(BF111="",0,BF111*4))/20)</f>
        <v/>
      </c>
      <c r="BI111" s="14">
        <f>IF(AND(R111="",AF111="",AN111="",AX111="",BH111=""),"",((R111*25)+(AF111*22)+(AN111*18)+(AX111*15)+(BH111*20))/100)</f>
        <v/>
      </c>
      <c r="BJ111" s="11">
        <f>IF(BI111="","",IF(BI111&gt;=0.75,"A",IF(BI111&gt;=0.5,"B",IF(BI111&gt;=0.35,"C","Watchlist"))))</f>
        <v/>
      </c>
      <c r="BK111" s="11">
        <f>IF(OR(BI111="",BI111&lt;0.5,R111="",R111&lt;0.35,AF111="",AF111&lt;0.35,AN111="",AN111&lt;0.35,AX111="",AX111&lt;0.35,BH111="",BH111&lt;0.35),"Watchlist","Ranked")</f>
        <v/>
      </c>
      <c r="BL111" s="15">
        <f>IF(AND(Q111="",AE111="",AM111="",AW111="",BG111=""),"",(IF(Q111="",0,Q111*25)+IF(AE111="",0,AE111*22)+IF(AM111="",0,AM111*18)+IF(AW111="",0,AW111*15)+IF(BG111="",0,BG111*20))/(IF(Q111="",0,25)+IF(AE111="",0,22)+IF(AM111="",0,18)+IF(AW111="",0,15)+IF(BG111="",0,20)))</f>
        <v/>
      </c>
      <c r="BM111" s="11">
        <f>IF(BK111="Ranked",1+COUNTIFS($BK$2:$BK$158,"Ranked",$BL$2:$BL$158,"&gt;"&amp;BL111),"")</f>
        <v/>
      </c>
      <c r="BN111" s="11">
        <f>City_Inputs!$AI111</f>
        <v/>
      </c>
    </row>
    <row r="112">
      <c r="A112" t="inlineStr">
        <is>
          <t>ph-cebu-city</t>
        </is>
      </c>
      <c r="B112" t="inlineStr">
        <is>
          <t>Cebu City</t>
        </is>
      </c>
      <c r="C112" t="inlineStr">
        <is>
          <t>Philippines</t>
        </is>
      </c>
      <c r="D112" t="inlineStr">
        <is>
          <t>Southeast Asia</t>
        </is>
      </c>
      <c r="E112" t="inlineStr">
        <is>
          <t>provisional</t>
        </is>
      </c>
      <c r="F112" t="inlineStr">
        <is>
          <t>secondary</t>
        </is>
      </c>
      <c r="G112" s="11">
        <f>IF(OR(City_Inputs!$M112="",Norm_Stats!$F$2="",Norm_Stats!$G$2="",Norm_Stats!$G$2=Norm_Stats!$F$2),"",MAX(0,MIN(100,100*(MIN(MAX(City_Inputs!$M112,Norm_Stats!$F$2),Norm_Stats!$G$2)-Norm_Stats!$F$2)/(Norm_Stats!$G$2-Norm_Stats!$F$2))))</f>
        <v/>
      </c>
      <c r="H112" s="14">
        <f>IF(G112="","",1)</f>
        <v/>
      </c>
      <c r="I112" s="11">
        <f>IF(OR(City_Inputs!$N112="",Norm_Stats!$F$3="",Norm_Stats!$G$3="",Norm_Stats!$G$3=Norm_Stats!$F$3),"",MAX(0,MIN(100,100*(Norm_Stats!$G$3-MIN(MAX(City_Inputs!$N112,Norm_Stats!$F$3),Norm_Stats!$G$3))/(Norm_Stats!$G$3-Norm_Stats!$F$3))))</f>
        <v/>
      </c>
      <c r="J112" s="14">
        <f>IF(I112="","",1)</f>
        <v/>
      </c>
      <c r="K112" s="11">
        <f>IF(OR(City_Inputs!$P112="",Norm_Stats!$F$4="",Norm_Stats!$G$4="",Norm_Stats!$G$4=Norm_Stats!$F$4),"",MAX(0,MIN(100,100*(Norm_Stats!$G$4-MIN(MAX(City_Inputs!$P112,Norm_Stats!$F$4),Norm_Stats!$G$4))/(Norm_Stats!$G$4-Norm_Stats!$F$4))))</f>
        <v/>
      </c>
      <c r="L112" s="14">
        <f>IF(K112="","",1)</f>
        <v/>
      </c>
      <c r="M112" s="11">
        <f>IF(OR(City_Inputs!$Q112="",Norm_Stats!$F$5="",Norm_Stats!$G$5="",Norm_Stats!$G$5=Norm_Stats!$F$5),"",MAX(0,MIN(100,100*(Norm_Stats!$G$5-MIN(MAX(City_Inputs!$Q112,Norm_Stats!$F$5),Norm_Stats!$G$5))/(Norm_Stats!$G$5-Norm_Stats!$F$5))))</f>
        <v/>
      </c>
      <c r="N112" s="14">
        <f>IF(M112="","",1)</f>
        <v/>
      </c>
      <c r="O112" s="11">
        <f>IF(OR(City_Inputs!$R112="",Norm_Stats!$F$6="",Norm_Stats!$G$6="",Norm_Stats!$G$6=Norm_Stats!$F$6),"",MAX(0,MIN(100,100*(Norm_Stats!$G$6-MIN(MAX(City_Inputs!$R112,Norm_Stats!$F$6),Norm_Stats!$G$6))/(Norm_Stats!$G$6-Norm_Stats!$F$6))))</f>
        <v/>
      </c>
      <c r="P112" s="14">
        <f>IF(O112="","",1)</f>
        <v/>
      </c>
      <c r="Q112" s="15">
        <f>IF((IF(G112="",0,9)+IF(I112="",0,5)+IF(K112="",0,4)+IF(M112="",0,4)+IF(O112="",0,5))=0,"",(IF(G112="",0,G112*9)+IF(I112="",0,I112*5)+IF(K112="",0,K112*4)+IF(M112="",0,M112*4)+IF(O112="",0,O112*5))/(IF(G112="",0,9)+IF(I112="",0,5)+IF(K112="",0,4)+IF(M112="",0,4)+IF(O112="",0,5)))</f>
        <v/>
      </c>
      <c r="R112" s="14">
        <f>IF((IF(H112="",0,9)+IF(J112="",0,5)+IF(L112="",0,4)+IF(N112="",0,4)+IF(P112="",0,5))=0,"",(IF(H112="",0,H112*9)+IF(J112="",0,J112*5)+IF(L112="",0,L112*4)+IF(N112="",0,N112*4)+IF(P112="",0,P112*5))/27)</f>
        <v/>
      </c>
      <c r="S112" s="11">
        <f>IF(OR(City_Inputs!$S112="",Norm_Stats!$F$7="",Norm_Stats!$G$7="",Norm_Stats!$G$7=Norm_Stats!$F$7),"",MAX(0,MIN(100,100*(Norm_Stats!$G$7-MIN(MAX(City_Inputs!$S112,Norm_Stats!$F$7),Norm_Stats!$G$7))/(Norm_Stats!$G$7-Norm_Stats!$F$7))))</f>
        <v/>
      </c>
      <c r="T112" s="14">
        <f>IF(S112="","",1)</f>
        <v/>
      </c>
      <c r="U112" s="11">
        <f>IF(OR(City_Inputs!$T112="",Norm_Stats!$F$8="",Norm_Stats!$G$8="",Norm_Stats!$G$8=Norm_Stats!$F$8),"",MAX(0,MIN(100,100*(MIN(MAX(City_Inputs!$T112,Norm_Stats!$F$8),Norm_Stats!$G$8)-Norm_Stats!$F$8)/(Norm_Stats!$G$8-Norm_Stats!$F$8))))</f>
        <v/>
      </c>
      <c r="V112" s="14">
        <f>IF(U112="","",1)</f>
        <v/>
      </c>
      <c r="W112" s="11">
        <f>IF(OR(City_Inputs!$U112="",Norm_Stats!$F$9="",Norm_Stats!$G$9="",Norm_Stats!$G$9=Norm_Stats!$F$9),"",MAX(0,MIN(100,100*(Norm_Stats!$G$9-MIN(MAX(City_Inputs!$U112,Norm_Stats!$F$9),Norm_Stats!$G$9))/(Norm_Stats!$G$9-Norm_Stats!$F$9))))</f>
        <v/>
      </c>
      <c r="X112" s="14">
        <f>IF(W112="","",1)</f>
        <v/>
      </c>
      <c r="Y112" s="11">
        <f>IF(OR(City_Inputs!$V112="",Norm_Stats!$F$10="",Norm_Stats!$G$10="",Norm_Stats!$G$10=Norm_Stats!$F$10),"",MAX(0,MIN(100,100*(MIN(MAX(City_Inputs!$V112,Norm_Stats!$F$10),Norm_Stats!$G$10)-Norm_Stats!$F$10)/(Norm_Stats!$G$10-Norm_Stats!$F$10))))</f>
        <v/>
      </c>
      <c r="Z112" s="14">
        <f>IF(Y112="","",1)</f>
        <v/>
      </c>
      <c r="AA112" s="11">
        <f>IF(OR(City_Inputs!$W112="",Norm_Stats!$F$11="",Norm_Stats!$G$11="",Norm_Stats!$G$11=Norm_Stats!$F$11),"",MAX(0,MIN(100,100*(MIN(MAX(City_Inputs!$W112,Norm_Stats!$F$11),Norm_Stats!$G$11)-Norm_Stats!$F$11)/(Norm_Stats!$G$11-Norm_Stats!$F$11))))</f>
        <v/>
      </c>
      <c r="AB112" s="14">
        <f>IF(AA112="","",1)</f>
        <v/>
      </c>
      <c r="AC112" s="11">
        <f>IF(OR(City_Inputs!$X112="",Norm_Stats!$F$12="",Norm_Stats!$G$12="",Norm_Stats!$G$12=Norm_Stats!$F$12),"",MAX(0,MIN(100,100*(MIN(MAX(City_Inputs!$X112,Norm_Stats!$F$12),Norm_Stats!$G$12)-Norm_Stats!$F$12)/(Norm_Stats!$G$12-Norm_Stats!$F$12))))</f>
        <v/>
      </c>
      <c r="AD112" s="11">
        <f>IF(AC112="","",1)</f>
        <v/>
      </c>
      <c r="AE112" s="15">
        <f>IF((IF(S112="",0,5)+IF(U112="",0,5)+IF(W112="",0,4)+IF(Y112="",0,4)+IF(AA112="",0,4)+IF(AC112="",0,5))=0,"",(IF(S112="",0,S112*5)+IF(U112="",0,U112*5)+IF(W112="",0,W112*4)+IF(Y112="",0,Y112*4)+IF(AA112="",0,AA112*4)+IF(AC112="",0,AC112*5))/(IF(S112="",0,5)+IF(U112="",0,5)+IF(W112="",0,4)+IF(Y112="",0,4)+IF(AA112="",0,4)+IF(AC112="",0,5)))</f>
        <v/>
      </c>
      <c r="AF112" s="14">
        <f>IF((IF(T112="",0,5)+IF(V112="",0,5)+IF(X112="",0,4)+IF(Z112="",0,4)+IF(AB112="",0,4)+IF(AD112="",0,5))=0,"",(IF(T112="",0,T112*5)+IF(V112="",0,V112*5)+IF(X112="",0,X112*4)+IF(Z112="",0,Z112*4)+IF(AB112="",0,AB112*4)+IF(AD112="",0,AD112*5))/27)</f>
        <v/>
      </c>
      <c r="AG112" s="11">
        <f>IF(OR(City_Inputs!$Y112="",Norm_Stats!$F$13="",Norm_Stats!$G$13="",Norm_Stats!$G$13=Norm_Stats!$F$13),"",MAX(0,MIN(100,100*(MIN(MAX(City_Inputs!$Y112,Norm_Stats!$F$13),Norm_Stats!$G$13)-Norm_Stats!$F$13)/(Norm_Stats!$G$13-Norm_Stats!$F$13))))</f>
        <v/>
      </c>
      <c r="AH112" s="14">
        <f>IF(AG112="","",1)</f>
        <v/>
      </c>
      <c r="AI112" s="11">
        <f>IF(OR(City_Inputs!$Z112="",Norm_Stats!$F$14="",Norm_Stats!$G$14="",Norm_Stats!$G$14=Norm_Stats!$F$14),"",MAX(0,MIN(100,100*(MIN(MAX(City_Inputs!$Z112,Norm_Stats!$F$14),Norm_Stats!$G$14)-Norm_Stats!$F$14)/(Norm_Stats!$G$14-Norm_Stats!$F$14))))</f>
        <v/>
      </c>
      <c r="AJ112" s="14">
        <f>IF(AI112="","",1)</f>
        <v/>
      </c>
      <c r="AK112" s="11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(IF(OR(City_Inputs!$AA112="",Norm_Stats!$F$15="",Norm_Stats!$G$15="",Norm_Stats!$G$15=Norm_Stats!$F$15),"",MAX(0,MIN(100,100*(MIN(MAX(City_Inputs!$AA112,Norm_Stats!$F$15),Norm_Stats!$G$15)-Norm_Stats!$F$15)/(Norm_Stats!$G$15-Norm_Stats!$F$15)))))*0.7)+IF((IF(OR(City_Inputs!$AL112="",Norm_Stats!$F$16="",Norm_Stats!$G$16="",Norm_Stats!$G$16=Norm_Stats!$F$16),"",MAX(0,MIN(100,100*(Norm_Stats!$G$16-MIN(MAX(City_Inputs!$AL112,Norm_Stats!$F$16),Norm_Stats!$G$16))/(Norm_Stats!$G$16-Norm_Stats!$F$16)))))="",0,(IF(OR(City_Inputs!$AL112="",Norm_Stats!$F$16="",Norm_Stats!$G$16="",Norm_Stats!$G$16=Norm_Stats!$F$16),"",MAX(0,MIN(100,100*(Norm_Stats!$G$16-MIN(MAX(City_Inputs!$AL112,Norm_Stats!$F$16),Norm_Stats!$G$16))/(Norm_Stats!$G$16-Norm_Stats!$F$16)))))*0.3))/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L112" s="14">
        <f>IF(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=0,"",(IF((IF(OR(City_Inputs!$AA112="",Norm_Stats!$F$15="",Norm_Stats!$G$15="",Norm_Stats!$G$15=Norm_Stats!$F$15),"",MAX(0,MIN(100,100*(MIN(MAX(City_Inputs!$AA112,Norm_Stats!$F$15),Norm_Stats!$G$15)-Norm_Stats!$F$15)/(Norm_Stats!$G$15-Norm_Stats!$F$15)))))="",0,0.7)+IF((IF(OR(City_Inputs!$AL112="",Norm_Stats!$F$16="",Norm_Stats!$G$16="",Norm_Stats!$G$16=Norm_Stats!$F$16),"",MAX(0,MIN(100,100*(Norm_Stats!$G$16-MIN(MAX(City_Inputs!$AL112,Norm_Stats!$F$16),Norm_Stats!$G$16))/(Norm_Stats!$G$16-Norm_Stats!$F$16)))))="",0,0.3)))</f>
        <v/>
      </c>
      <c r="AM112" s="15">
        <f>IF((IF(AG112="",0,8)+IF(AI112="",0,6)+IF(AK112="",0,4))=0,"",(IF(AG112="",0,AG112*8)+IF(AI112="",0,AI112*6)+IF(AK112="",0,AK112*4))/(IF(AG112="",0,8)+IF(AI112="",0,6)+IF(AK112="",0,4)))</f>
        <v/>
      </c>
      <c r="AN112" s="14">
        <f>IF((IF(AH112="",0,8)+IF(AJ112="",0,6)+IF(AL112="",0,4))=0,"",(IF(AH112="",0,AH112*8)+IF(AJ112="",0,AJ112*6)+IF(AL112="",0,AL112*4))/18)</f>
        <v/>
      </c>
      <c r="AO112" s="11">
        <f>IF(OR(City_Inputs!$AB112="",Norm_Stats!$F$17="",Norm_Stats!$G$17="",Norm_Stats!$G$17=Norm_Stats!$F$17),"",MAX(0,MIN(100,100*(MIN(MAX(City_Inputs!$AB112,Norm_Stats!$F$17),Norm_Stats!$G$17)-Norm_Stats!$F$17)/(Norm_Stats!$G$17-Norm_Stats!$F$17))))</f>
        <v/>
      </c>
      <c r="AP112" s="14">
        <f>IF(AO112="","",1)</f>
        <v/>
      </c>
      <c r="AQ112" s="11">
        <f>IF(OR(City_Inputs!$AC112="",Norm_Stats!$F$18="",Norm_Stats!$G$18="",Norm_Stats!$G$18=Norm_Stats!$F$18),"",MAX(0,MIN(100,100*(MIN(MAX(City_Inputs!$AC112,Norm_Stats!$F$18),Norm_Stats!$G$18)-Norm_Stats!$F$18)/(Norm_Stats!$G$18-Norm_Stats!$F$18))))</f>
        <v/>
      </c>
      <c r="AR112" s="14">
        <f>IF(AQ112="","",1)</f>
        <v/>
      </c>
      <c r="AS112" s="11">
        <f>IF(OR(City_Inputs!$AD112="",Norm_Stats!$F$19="",Norm_Stats!$G$19="",Norm_Stats!$G$19=Norm_Stats!$F$19),"",MAX(0,MIN(100,100*(MIN(MAX(City_Inputs!$AD112,Norm_Stats!$F$19),Norm_Stats!$G$19)-Norm_Stats!$F$19)/(Norm_Stats!$G$19-Norm_Stats!$F$19))))</f>
        <v/>
      </c>
      <c r="AT112" s="14">
        <f>IF(AS112="","",1)</f>
        <v/>
      </c>
      <c r="AU112" s="11">
        <f>IF(OR(City_Inputs!$BJ112="",Norm_Stats!$F$26="",Norm_Stats!$G$26="",Norm_Stats!$G$26=Norm_Stats!$F$26),"",MAX(0,MIN(100,100*(MIN(MAX(City_Inputs!$BJ112,Norm_Stats!$F$26),Norm_Stats!$G$26)-Norm_Stats!$F$26)/(Norm_Stats!$G$26-Norm_Stats!$F$26))))</f>
        <v/>
      </c>
      <c r="AV112" s="11">
        <f>IF(AU112="","",1)</f>
        <v/>
      </c>
      <c r="AW112" s="15">
        <f>IF((IF(AO112="",0,5)+IF(AQ112="",0,5)+IF(AS112="",0,5)+IF(AU112="",0,4))=0,"",(IF(AO112="",0,AO112*5)+IF(AQ112="",0,AQ112*5)+IF(AS112="",0,AS112*5)+IF(AU112="",0,AU112*4))/(IF(AO112="",0,5)+IF(AQ112="",0,5)+IF(AS112="",0,5)+IF(AU112="",0,4)))</f>
        <v/>
      </c>
      <c r="AX112" s="14">
        <f>IF((IF(AP112="",0,5)+IF(AR112="",0,5)+IF(AT112="",0,5)+IF(AV112="",0,4))=0,"",(IF(AP112="",0,AP112*5)+IF(AR112="",0,AR112*5)+IF(AT112="",0,AT112*5)+IF(AV112="",0,AV112*4))/19)</f>
        <v/>
      </c>
      <c r="AY112" s="11">
        <f>IF(OR(City_Inputs!$AE112="",Norm_Stats!$F$20="",Norm_Stats!$G$20="",Norm_Stats!$G$20=Norm_Stats!$F$20),"",MAX(0,MIN(100,100*(MIN(MAX(City_Inputs!$AE112,Norm_Stats!$F$20),Norm_Stats!$G$20)-Norm_Stats!$F$20)/(Norm_Stats!$G$20-Norm_Stats!$F$20))))</f>
        <v/>
      </c>
      <c r="AZ112" s="14">
        <f>IF(AY112="","",1)</f>
        <v/>
      </c>
      <c r="BA112" s="11">
        <f>IF(OR(City_Inputs!$AF112="",Norm_Stats!$F$21="",Norm_Stats!$G$21="",Norm_Stats!$G$21=Norm_Stats!$F$21),"",MAX(0,MIN(100,100*(MIN(MAX(City_Inputs!$AF112,Norm_Stats!$F$21),Norm_Stats!$G$21)-Norm_Stats!$F$21)/(Norm_Stats!$G$21-Norm_Stats!$F$21))))</f>
        <v/>
      </c>
      <c r="BB112" s="14">
        <f>IF(BA112="","",1)</f>
        <v/>
      </c>
      <c r="BC112" s="11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(IF(OR(City_Inputs!$AG112="",Norm_Stats!$F$22="",Norm_Stats!$G$22="",Norm_Stats!$G$22=Norm_Stats!$F$22),"",MAX(0,MIN(100,100*(MIN(MAX(City_Inputs!$AG112,Norm_Stats!$F$22),Norm_Stats!$G$22)-Norm_Stats!$F$22)/(Norm_Stats!$G$22-Norm_Stats!$F$22)))))*0.5)+IF((IF(OR(City_Inputs!$AJ112="",Norm_Stats!$F$23="",Norm_Stats!$G$23="",Norm_Stats!$G$23=Norm_Stats!$F$23),"",MAX(0,MIN(100,100*(MIN(MAX(City_Inputs!$AJ112,Norm_Stats!$F$23),Norm_Stats!$G$23)-Norm_Stats!$F$23)/(Norm_Stats!$G$23-Norm_Stats!$F$23)))))="",0,(IF(OR(City_Inputs!$AJ112="",Norm_Stats!$F$23="",Norm_Stats!$G$23="",Norm_Stats!$G$23=Norm_Stats!$F$23),"",MAX(0,MIN(100,100*(MIN(MAX(City_Inputs!$AJ112,Norm_Stats!$F$23),Norm_Stats!$G$23)-Norm_Stats!$F$23)/(Norm_Stats!$G$23-Norm_Stats!$F$23)))))*0.3)+IF((IF(OR(City_Inputs!$AK112="",Norm_Stats!$F$24="",Norm_Stats!$G$24="",Norm_Stats!$G$24=Norm_Stats!$F$24),"",MAX(0,MIN(100,100*(MIN(MAX(City_Inputs!$AK112,Norm_Stats!$F$24),Norm_Stats!$G$24)-Norm_Stats!$F$24)/(Norm_Stats!$G$24-Norm_Stats!$F$24)))))="",0,(IF(OR(City_Inputs!$AK112="",Norm_Stats!$F$24="",Norm_Stats!$G$24="",Norm_Stats!$G$24=Norm_Stats!$F$24),"",MAX(0,MIN(100,100*(MIN(MAX(City_Inputs!$AK112,Norm_Stats!$F$24),Norm_Stats!$G$24)-Norm_Stats!$F$24)/(Norm_Stats!$G$24-Norm_Stats!$F$24)))))*0.2))/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D112" s="14">
        <f>IF(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=0,"",(IF((IF(OR(City_Inputs!$AG112="",Norm_Stats!$F$22="",Norm_Stats!$G$22="",Norm_Stats!$G$22=Norm_Stats!$F$22),"",MAX(0,MIN(100,100*(MIN(MAX(City_Inputs!$AG112,Norm_Stats!$F$22),Norm_Stats!$G$22)-Norm_Stats!$F$22)/(Norm_Stats!$G$22-Norm_Stats!$F$22)))))="",0,0.5)+IF((IF(OR(City_Inputs!$AJ112="",Norm_Stats!$F$23="",Norm_Stats!$G$23="",Norm_Stats!$G$23=Norm_Stats!$F$23),"",MAX(0,MIN(100,100*(MIN(MAX(City_Inputs!$AJ112,Norm_Stats!$F$23),Norm_Stats!$G$23)-Norm_Stats!$F$23)/(Norm_Stats!$G$23-Norm_Stats!$F$23)))))="",0,0.3)+IF((IF(OR(City_Inputs!$AK112="",Norm_Stats!$F$24="",Norm_Stats!$G$24="",Norm_Stats!$G$24=Norm_Stats!$F$24),"",MAX(0,MIN(100,100*(MIN(MAX(City_Inputs!$AK112,Norm_Stats!$F$24),Norm_Stats!$G$24)-Norm_Stats!$F$24)/(Norm_Stats!$G$24-Norm_Stats!$F$24)))))="",0,0.2)))</f>
        <v/>
      </c>
      <c r="BE112" s="11">
        <f>IF(OR(City_Inputs!$AH112="",Norm_Stats!$F$25="",Norm_Stats!$G$25="",Norm_Stats!$G$25=Norm_Stats!$F$25),"",MAX(0,MIN(100,100*(Norm_Stats!$G$25-MIN(MAX(City_Inputs!$AH112,Norm_Stats!$F$25),Norm_Stats!$G$25))/(Norm_Stats!$G$25-Norm_Stats!$F$25))))</f>
        <v/>
      </c>
      <c r="BF112" s="14">
        <f>IF(BE112="","",1)</f>
        <v/>
      </c>
      <c r="BG112" s="15">
        <f>IF((IF(AY112="",0,6)+IF(BA112="",0,5)+IF(BC112="",0,5)+IF(BE112="",0,4))=0,"",(IF(AY112="",0,AY112*6)+IF(BA112="",0,BA112*5)+IF(BC112="",0,BC112*5)+IF(BE112="",0,BE112*4))/(IF(AY112="",0,6)+IF(BA112="",0,5)+IF(BC112="",0,5)+IF(BE112="",0,4)))</f>
        <v/>
      </c>
      <c r="BH112" s="14">
        <f>IF((IF(AZ112="",0,6)+IF(BB112="",0,5)+IF(BD112="",0,5)+IF(BF112="",0,4))=0,"",(IF(AZ112="",0,AZ112*6)+IF(BB112="",0,BB112*5)+IF(BD112="",0,BD112*5)+IF(BF112="",0,BF112*4))/20)</f>
        <v/>
      </c>
      <c r="BI112" s="14">
        <f>IF(AND(R112="",AF112="",AN112="",AX112="",BH112=""),"",((R112*25)+(AF112*22)+(AN112*18)+(AX112*15)+(BH112*20))/100)</f>
        <v/>
      </c>
      <c r="BJ112" s="11">
        <f>IF(BI112="","",IF(BI112&gt;=0.75,"A",IF(BI112&gt;=0.5,"B",IF(BI112&gt;=0.35,"C","Watchlist"))))</f>
        <v/>
      </c>
      <c r="BK112" s="11">
        <f>IF(OR(BI112="",BI112&lt;0.5,R112="",R112&lt;0.35,AF112="",AF112&lt;0.35,AN112="",AN112&lt;0.35,AX112="",AX112&lt;0.35,BH112="",BH112&lt;0.35),"Watchlist","Ranked")</f>
        <v/>
      </c>
      <c r="BL112" s="15">
        <f>IF(AND(Q112="",AE112="",AM112="",AW112="",BG112=""),"",(IF(Q112="",0,Q112*25)+IF(AE112="",0,AE112*22)+IF(AM112="",0,AM112*18)+IF(AW112="",0,AW112*15)+IF(BG112="",0,BG112*20))/(IF(Q112="",0,25)+IF(AE112="",0,22)+IF(AM112="",0,18)+IF(AW112="",0,15)+IF(BG112="",0,20)))</f>
        <v/>
      </c>
      <c r="BM112" s="11">
        <f>IF(BK112="Ranked",1+COUNTIFS($BK$2:$BK$158,"Ranked",$BL$2:$BL$158,"&gt;"&amp;BL112),"")</f>
        <v/>
      </c>
      <c r="BN112" s="11">
        <f>City_Inputs!$AI112</f>
        <v/>
      </c>
    </row>
    <row r="113">
      <c r="A113" t="inlineStr">
        <is>
          <t>vn-da-nang</t>
        </is>
      </c>
      <c r="B113" t="inlineStr">
        <is>
          <t>Da Nang</t>
        </is>
      </c>
      <c r="C113" t="inlineStr">
        <is>
          <t>Vietnam</t>
        </is>
      </c>
      <c r="D113" t="inlineStr">
        <is>
          <t>Southeast Asia</t>
        </is>
      </c>
      <c r="E113" t="inlineStr">
        <is>
          <t>provisional</t>
        </is>
      </c>
      <c r="F113" t="inlineStr">
        <is>
          <t>secondary</t>
        </is>
      </c>
      <c r="G113" s="11">
        <f>IF(OR(City_Inputs!$M113="",Norm_Stats!$F$2="",Norm_Stats!$G$2="",Norm_Stats!$G$2=Norm_Stats!$F$2),"",MAX(0,MIN(100,100*(MIN(MAX(City_Inputs!$M113,Norm_Stats!$F$2),Norm_Stats!$G$2)-Norm_Stats!$F$2)/(Norm_Stats!$G$2-Norm_Stats!$F$2))))</f>
        <v/>
      </c>
      <c r="H113" s="14">
        <f>IF(G113="","",1)</f>
        <v/>
      </c>
      <c r="I113" s="11">
        <f>IF(OR(City_Inputs!$N113="",Norm_Stats!$F$3="",Norm_Stats!$G$3="",Norm_Stats!$G$3=Norm_Stats!$F$3),"",MAX(0,MIN(100,100*(Norm_Stats!$G$3-MIN(MAX(City_Inputs!$N113,Norm_Stats!$F$3),Norm_Stats!$G$3))/(Norm_Stats!$G$3-Norm_Stats!$F$3))))</f>
        <v/>
      </c>
      <c r="J113" s="14">
        <f>IF(I113="","",1)</f>
        <v/>
      </c>
      <c r="K113" s="11">
        <f>IF(OR(City_Inputs!$P113="",Norm_Stats!$F$4="",Norm_Stats!$G$4="",Norm_Stats!$G$4=Norm_Stats!$F$4),"",MAX(0,MIN(100,100*(Norm_Stats!$G$4-MIN(MAX(City_Inputs!$P113,Norm_Stats!$F$4),Norm_Stats!$G$4))/(Norm_Stats!$G$4-Norm_Stats!$F$4))))</f>
        <v/>
      </c>
      <c r="L113" s="14">
        <f>IF(K113="","",1)</f>
        <v/>
      </c>
      <c r="M113" s="11">
        <f>IF(OR(City_Inputs!$Q113="",Norm_Stats!$F$5="",Norm_Stats!$G$5="",Norm_Stats!$G$5=Norm_Stats!$F$5),"",MAX(0,MIN(100,100*(Norm_Stats!$G$5-MIN(MAX(City_Inputs!$Q113,Norm_Stats!$F$5),Norm_Stats!$G$5))/(Norm_Stats!$G$5-Norm_Stats!$F$5))))</f>
        <v/>
      </c>
      <c r="N113" s="14">
        <f>IF(M113="","",1)</f>
        <v/>
      </c>
      <c r="O113" s="11">
        <f>IF(OR(City_Inputs!$R113="",Norm_Stats!$F$6="",Norm_Stats!$G$6="",Norm_Stats!$G$6=Norm_Stats!$F$6),"",MAX(0,MIN(100,100*(Norm_Stats!$G$6-MIN(MAX(City_Inputs!$R113,Norm_Stats!$F$6),Norm_Stats!$G$6))/(Norm_Stats!$G$6-Norm_Stats!$F$6))))</f>
        <v/>
      </c>
      <c r="P113" s="14">
        <f>IF(O113="","",1)</f>
        <v/>
      </c>
      <c r="Q113" s="15">
        <f>IF((IF(G113="",0,9)+IF(I113="",0,5)+IF(K113="",0,4)+IF(M113="",0,4)+IF(O113="",0,5))=0,"",(IF(G113="",0,G113*9)+IF(I113="",0,I113*5)+IF(K113="",0,K113*4)+IF(M113="",0,M113*4)+IF(O113="",0,O113*5))/(IF(G113="",0,9)+IF(I113="",0,5)+IF(K113="",0,4)+IF(M113="",0,4)+IF(O113="",0,5)))</f>
        <v/>
      </c>
      <c r="R113" s="14">
        <f>IF((IF(H113="",0,9)+IF(J113="",0,5)+IF(L113="",0,4)+IF(N113="",0,4)+IF(P113="",0,5))=0,"",(IF(H113="",0,H113*9)+IF(J113="",0,J113*5)+IF(L113="",0,L113*4)+IF(N113="",0,N113*4)+IF(P113="",0,P113*5))/27)</f>
        <v/>
      </c>
      <c r="S113" s="11">
        <f>IF(OR(City_Inputs!$S113="",Norm_Stats!$F$7="",Norm_Stats!$G$7="",Norm_Stats!$G$7=Norm_Stats!$F$7),"",MAX(0,MIN(100,100*(Norm_Stats!$G$7-MIN(MAX(City_Inputs!$S113,Norm_Stats!$F$7),Norm_Stats!$G$7))/(Norm_Stats!$G$7-Norm_Stats!$F$7))))</f>
        <v/>
      </c>
      <c r="T113" s="14">
        <f>IF(S113="","",1)</f>
        <v/>
      </c>
      <c r="U113" s="11">
        <f>IF(OR(City_Inputs!$T113="",Norm_Stats!$F$8="",Norm_Stats!$G$8="",Norm_Stats!$G$8=Norm_Stats!$F$8),"",MAX(0,MIN(100,100*(MIN(MAX(City_Inputs!$T113,Norm_Stats!$F$8),Norm_Stats!$G$8)-Norm_Stats!$F$8)/(Norm_Stats!$G$8-Norm_Stats!$F$8))))</f>
        <v/>
      </c>
      <c r="V113" s="14">
        <f>IF(U113="","",1)</f>
        <v/>
      </c>
      <c r="W113" s="11">
        <f>IF(OR(City_Inputs!$U113="",Norm_Stats!$F$9="",Norm_Stats!$G$9="",Norm_Stats!$G$9=Norm_Stats!$F$9),"",MAX(0,MIN(100,100*(Norm_Stats!$G$9-MIN(MAX(City_Inputs!$U113,Norm_Stats!$F$9),Norm_Stats!$G$9))/(Norm_Stats!$G$9-Norm_Stats!$F$9))))</f>
        <v/>
      </c>
      <c r="X113" s="14">
        <f>IF(W113="","",1)</f>
        <v/>
      </c>
      <c r="Y113" s="11">
        <f>IF(OR(City_Inputs!$V113="",Norm_Stats!$F$10="",Norm_Stats!$G$10="",Norm_Stats!$G$10=Norm_Stats!$F$10),"",MAX(0,MIN(100,100*(MIN(MAX(City_Inputs!$V113,Norm_Stats!$F$10),Norm_Stats!$G$10)-Norm_Stats!$F$10)/(Norm_Stats!$G$10-Norm_Stats!$F$10))))</f>
        <v/>
      </c>
      <c r="Z113" s="14">
        <f>IF(Y113="","",1)</f>
        <v/>
      </c>
      <c r="AA113" s="11">
        <f>IF(OR(City_Inputs!$W113="",Norm_Stats!$F$11="",Norm_Stats!$G$11="",Norm_Stats!$G$11=Norm_Stats!$F$11),"",MAX(0,MIN(100,100*(MIN(MAX(City_Inputs!$W113,Norm_Stats!$F$11),Norm_Stats!$G$11)-Norm_Stats!$F$11)/(Norm_Stats!$G$11-Norm_Stats!$F$11))))</f>
        <v/>
      </c>
      <c r="AB113" s="14">
        <f>IF(AA113="","",1)</f>
        <v/>
      </c>
      <c r="AC113" s="11">
        <f>IF(OR(City_Inputs!$X113="",Norm_Stats!$F$12="",Norm_Stats!$G$12="",Norm_Stats!$G$12=Norm_Stats!$F$12),"",MAX(0,MIN(100,100*(MIN(MAX(City_Inputs!$X113,Norm_Stats!$F$12),Norm_Stats!$G$12)-Norm_Stats!$F$12)/(Norm_Stats!$G$12-Norm_Stats!$F$12))))</f>
        <v/>
      </c>
      <c r="AD113" s="11">
        <f>IF(AC113="","",1)</f>
        <v/>
      </c>
      <c r="AE113" s="15">
        <f>IF((IF(S113="",0,5)+IF(U113="",0,5)+IF(W113="",0,4)+IF(Y113="",0,4)+IF(AA113="",0,4)+IF(AC113="",0,5))=0,"",(IF(S113="",0,S113*5)+IF(U113="",0,U113*5)+IF(W113="",0,W113*4)+IF(Y113="",0,Y113*4)+IF(AA113="",0,AA113*4)+IF(AC113="",0,AC113*5))/(IF(S113="",0,5)+IF(U113="",0,5)+IF(W113="",0,4)+IF(Y113="",0,4)+IF(AA113="",0,4)+IF(AC113="",0,5)))</f>
        <v/>
      </c>
      <c r="AF113" s="14">
        <f>IF((IF(T113="",0,5)+IF(V113="",0,5)+IF(X113="",0,4)+IF(Z113="",0,4)+IF(AB113="",0,4)+IF(AD113="",0,5))=0,"",(IF(T113="",0,T113*5)+IF(V113="",0,V113*5)+IF(X113="",0,X113*4)+IF(Z113="",0,Z113*4)+IF(AB113="",0,AB113*4)+IF(AD113="",0,AD113*5))/27)</f>
        <v/>
      </c>
      <c r="AG113" s="11">
        <f>IF(OR(City_Inputs!$Y113="",Norm_Stats!$F$13="",Norm_Stats!$G$13="",Norm_Stats!$G$13=Norm_Stats!$F$13),"",MAX(0,MIN(100,100*(MIN(MAX(City_Inputs!$Y113,Norm_Stats!$F$13),Norm_Stats!$G$13)-Norm_Stats!$F$13)/(Norm_Stats!$G$13-Norm_Stats!$F$13))))</f>
        <v/>
      </c>
      <c r="AH113" s="14">
        <f>IF(AG113="","",1)</f>
        <v/>
      </c>
      <c r="AI113" s="11">
        <f>IF(OR(City_Inputs!$Z113="",Norm_Stats!$F$14="",Norm_Stats!$G$14="",Norm_Stats!$G$14=Norm_Stats!$F$14),"",MAX(0,MIN(100,100*(MIN(MAX(City_Inputs!$Z113,Norm_Stats!$F$14),Norm_Stats!$G$14)-Norm_Stats!$F$14)/(Norm_Stats!$G$14-Norm_Stats!$F$14))))</f>
        <v/>
      </c>
      <c r="AJ113" s="14">
        <f>IF(AI113="","",1)</f>
        <v/>
      </c>
      <c r="AK113" s="11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(IF(OR(City_Inputs!$AA113="",Norm_Stats!$F$15="",Norm_Stats!$G$15="",Norm_Stats!$G$15=Norm_Stats!$F$15),"",MAX(0,MIN(100,100*(MIN(MAX(City_Inputs!$AA113,Norm_Stats!$F$15),Norm_Stats!$G$15)-Norm_Stats!$F$15)/(Norm_Stats!$G$15-Norm_Stats!$F$15)))))*0.7)+IF((IF(OR(City_Inputs!$AL113="",Norm_Stats!$F$16="",Norm_Stats!$G$16="",Norm_Stats!$G$16=Norm_Stats!$F$16),"",MAX(0,MIN(100,100*(Norm_Stats!$G$16-MIN(MAX(City_Inputs!$AL113,Norm_Stats!$F$16),Norm_Stats!$G$16))/(Norm_Stats!$G$16-Norm_Stats!$F$16)))))="",0,(IF(OR(City_Inputs!$AL113="",Norm_Stats!$F$16="",Norm_Stats!$G$16="",Norm_Stats!$G$16=Norm_Stats!$F$16),"",MAX(0,MIN(100,100*(Norm_Stats!$G$16-MIN(MAX(City_Inputs!$AL113,Norm_Stats!$F$16),Norm_Stats!$G$16))/(Norm_Stats!$G$16-Norm_Stats!$F$16)))))*0.3))/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L113" s="14">
        <f>IF(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=0,"",(IF((IF(OR(City_Inputs!$AA113="",Norm_Stats!$F$15="",Norm_Stats!$G$15="",Norm_Stats!$G$15=Norm_Stats!$F$15),"",MAX(0,MIN(100,100*(MIN(MAX(City_Inputs!$AA113,Norm_Stats!$F$15),Norm_Stats!$G$15)-Norm_Stats!$F$15)/(Norm_Stats!$G$15-Norm_Stats!$F$15)))))="",0,0.7)+IF((IF(OR(City_Inputs!$AL113="",Norm_Stats!$F$16="",Norm_Stats!$G$16="",Norm_Stats!$G$16=Norm_Stats!$F$16),"",MAX(0,MIN(100,100*(Norm_Stats!$G$16-MIN(MAX(City_Inputs!$AL113,Norm_Stats!$F$16),Norm_Stats!$G$16))/(Norm_Stats!$G$16-Norm_Stats!$F$16)))))="",0,0.3)))</f>
        <v/>
      </c>
      <c r="AM113" s="15">
        <f>IF((IF(AG113="",0,8)+IF(AI113="",0,6)+IF(AK113="",0,4))=0,"",(IF(AG113="",0,AG113*8)+IF(AI113="",0,AI113*6)+IF(AK113="",0,AK113*4))/(IF(AG113="",0,8)+IF(AI113="",0,6)+IF(AK113="",0,4)))</f>
        <v/>
      </c>
      <c r="AN113" s="14">
        <f>IF((IF(AH113="",0,8)+IF(AJ113="",0,6)+IF(AL113="",0,4))=0,"",(IF(AH113="",0,AH113*8)+IF(AJ113="",0,AJ113*6)+IF(AL113="",0,AL113*4))/18)</f>
        <v/>
      </c>
      <c r="AO113" s="11">
        <f>IF(OR(City_Inputs!$AB113="",Norm_Stats!$F$17="",Norm_Stats!$G$17="",Norm_Stats!$G$17=Norm_Stats!$F$17),"",MAX(0,MIN(100,100*(MIN(MAX(City_Inputs!$AB113,Norm_Stats!$F$17),Norm_Stats!$G$17)-Norm_Stats!$F$17)/(Norm_Stats!$G$17-Norm_Stats!$F$17))))</f>
        <v/>
      </c>
      <c r="AP113" s="14">
        <f>IF(AO113="","",1)</f>
        <v/>
      </c>
      <c r="AQ113" s="11">
        <f>IF(OR(City_Inputs!$AC113="",Norm_Stats!$F$18="",Norm_Stats!$G$18="",Norm_Stats!$G$18=Norm_Stats!$F$18),"",MAX(0,MIN(100,100*(MIN(MAX(City_Inputs!$AC113,Norm_Stats!$F$18),Norm_Stats!$G$18)-Norm_Stats!$F$18)/(Norm_Stats!$G$18-Norm_Stats!$F$18))))</f>
        <v/>
      </c>
      <c r="AR113" s="14">
        <f>IF(AQ113="","",1)</f>
        <v/>
      </c>
      <c r="AS113" s="11">
        <f>IF(OR(City_Inputs!$AD113="",Norm_Stats!$F$19="",Norm_Stats!$G$19="",Norm_Stats!$G$19=Norm_Stats!$F$19),"",MAX(0,MIN(100,100*(MIN(MAX(City_Inputs!$AD113,Norm_Stats!$F$19),Norm_Stats!$G$19)-Norm_Stats!$F$19)/(Norm_Stats!$G$19-Norm_Stats!$F$19))))</f>
        <v/>
      </c>
      <c r="AT113" s="14">
        <f>IF(AS113="","",1)</f>
        <v/>
      </c>
      <c r="AU113" s="11">
        <f>IF(OR(City_Inputs!$BJ113="",Norm_Stats!$F$26="",Norm_Stats!$G$26="",Norm_Stats!$G$26=Norm_Stats!$F$26),"",MAX(0,MIN(100,100*(MIN(MAX(City_Inputs!$BJ113,Norm_Stats!$F$26),Norm_Stats!$G$26)-Norm_Stats!$F$26)/(Norm_Stats!$G$26-Norm_Stats!$F$26))))</f>
        <v/>
      </c>
      <c r="AV113" s="11">
        <f>IF(AU113="","",1)</f>
        <v/>
      </c>
      <c r="AW113" s="15">
        <f>IF((IF(AO113="",0,5)+IF(AQ113="",0,5)+IF(AS113="",0,5)+IF(AU113="",0,4))=0,"",(IF(AO113="",0,AO113*5)+IF(AQ113="",0,AQ113*5)+IF(AS113="",0,AS113*5)+IF(AU113="",0,AU113*4))/(IF(AO113="",0,5)+IF(AQ113="",0,5)+IF(AS113="",0,5)+IF(AU113="",0,4)))</f>
        <v/>
      </c>
      <c r="AX113" s="14">
        <f>IF((IF(AP113="",0,5)+IF(AR113="",0,5)+IF(AT113="",0,5)+IF(AV113="",0,4))=0,"",(IF(AP113="",0,AP113*5)+IF(AR113="",0,AR113*5)+IF(AT113="",0,AT113*5)+IF(AV113="",0,AV113*4))/19)</f>
        <v/>
      </c>
      <c r="AY113" s="11">
        <f>IF(OR(City_Inputs!$AE113="",Norm_Stats!$F$20="",Norm_Stats!$G$20="",Norm_Stats!$G$20=Norm_Stats!$F$20),"",MAX(0,MIN(100,100*(MIN(MAX(City_Inputs!$AE113,Norm_Stats!$F$20),Norm_Stats!$G$20)-Norm_Stats!$F$20)/(Norm_Stats!$G$20-Norm_Stats!$F$20))))</f>
        <v/>
      </c>
      <c r="AZ113" s="14">
        <f>IF(AY113="","",1)</f>
        <v/>
      </c>
      <c r="BA113" s="11">
        <f>IF(OR(City_Inputs!$AF113="",Norm_Stats!$F$21="",Norm_Stats!$G$21="",Norm_Stats!$G$21=Norm_Stats!$F$21),"",MAX(0,MIN(100,100*(MIN(MAX(City_Inputs!$AF113,Norm_Stats!$F$21),Norm_Stats!$G$21)-Norm_Stats!$F$21)/(Norm_Stats!$G$21-Norm_Stats!$F$21))))</f>
        <v/>
      </c>
      <c r="BB113" s="14">
        <f>IF(BA113="","",1)</f>
        <v/>
      </c>
      <c r="BC113" s="11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(IF(OR(City_Inputs!$AG113="",Norm_Stats!$F$22="",Norm_Stats!$G$22="",Norm_Stats!$G$22=Norm_Stats!$F$22),"",MAX(0,MIN(100,100*(MIN(MAX(City_Inputs!$AG113,Norm_Stats!$F$22),Norm_Stats!$G$22)-Norm_Stats!$F$22)/(Norm_Stats!$G$22-Norm_Stats!$F$22)))))*0.5)+IF((IF(OR(City_Inputs!$AJ113="",Norm_Stats!$F$23="",Norm_Stats!$G$23="",Norm_Stats!$G$23=Norm_Stats!$F$23),"",MAX(0,MIN(100,100*(MIN(MAX(City_Inputs!$AJ113,Norm_Stats!$F$23),Norm_Stats!$G$23)-Norm_Stats!$F$23)/(Norm_Stats!$G$23-Norm_Stats!$F$23)))))="",0,(IF(OR(City_Inputs!$AJ113="",Norm_Stats!$F$23="",Norm_Stats!$G$23="",Norm_Stats!$G$23=Norm_Stats!$F$23),"",MAX(0,MIN(100,100*(MIN(MAX(City_Inputs!$AJ113,Norm_Stats!$F$23),Norm_Stats!$G$23)-Norm_Stats!$F$23)/(Norm_Stats!$G$23-Norm_Stats!$F$23)))))*0.3)+IF((IF(OR(City_Inputs!$AK113="",Norm_Stats!$F$24="",Norm_Stats!$G$24="",Norm_Stats!$G$24=Norm_Stats!$F$24),"",MAX(0,MIN(100,100*(MIN(MAX(City_Inputs!$AK113,Norm_Stats!$F$24),Norm_Stats!$G$24)-Norm_Stats!$F$24)/(Norm_Stats!$G$24-Norm_Stats!$F$24)))))="",0,(IF(OR(City_Inputs!$AK113="",Norm_Stats!$F$24="",Norm_Stats!$G$24="",Norm_Stats!$G$24=Norm_Stats!$F$24),"",MAX(0,MIN(100,100*(MIN(MAX(City_Inputs!$AK113,Norm_Stats!$F$24),Norm_Stats!$G$24)-Norm_Stats!$F$24)/(Norm_Stats!$G$24-Norm_Stats!$F$24)))))*0.2))/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D113" s="14">
        <f>IF(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=0,"",(IF((IF(OR(City_Inputs!$AG113="",Norm_Stats!$F$22="",Norm_Stats!$G$22="",Norm_Stats!$G$22=Norm_Stats!$F$22),"",MAX(0,MIN(100,100*(MIN(MAX(City_Inputs!$AG113,Norm_Stats!$F$22),Norm_Stats!$G$22)-Norm_Stats!$F$22)/(Norm_Stats!$G$22-Norm_Stats!$F$22)))))="",0,0.5)+IF((IF(OR(City_Inputs!$AJ113="",Norm_Stats!$F$23="",Norm_Stats!$G$23="",Norm_Stats!$G$23=Norm_Stats!$F$23),"",MAX(0,MIN(100,100*(MIN(MAX(City_Inputs!$AJ113,Norm_Stats!$F$23),Norm_Stats!$G$23)-Norm_Stats!$F$23)/(Norm_Stats!$G$23-Norm_Stats!$F$23)))))="",0,0.3)+IF((IF(OR(City_Inputs!$AK113="",Norm_Stats!$F$24="",Norm_Stats!$G$24="",Norm_Stats!$G$24=Norm_Stats!$F$24),"",MAX(0,MIN(100,100*(MIN(MAX(City_Inputs!$AK113,Norm_Stats!$F$24),Norm_Stats!$G$24)-Norm_Stats!$F$24)/(Norm_Stats!$G$24-Norm_Stats!$F$24)))))="",0,0.2)))</f>
        <v/>
      </c>
      <c r="BE113" s="11">
        <f>IF(OR(City_Inputs!$AH113="",Norm_Stats!$F$25="",Norm_Stats!$G$25="",Norm_Stats!$G$25=Norm_Stats!$F$25),"",MAX(0,MIN(100,100*(Norm_Stats!$G$25-MIN(MAX(City_Inputs!$AH113,Norm_Stats!$F$25),Norm_Stats!$G$25))/(Norm_Stats!$G$25-Norm_Stats!$F$25))))</f>
        <v/>
      </c>
      <c r="BF113" s="14">
        <f>IF(BE113="","",1)</f>
        <v/>
      </c>
      <c r="BG113" s="15">
        <f>IF((IF(AY113="",0,6)+IF(BA113="",0,5)+IF(BC113="",0,5)+IF(BE113="",0,4))=0,"",(IF(AY113="",0,AY113*6)+IF(BA113="",0,BA113*5)+IF(BC113="",0,BC113*5)+IF(BE113="",0,BE113*4))/(IF(AY113="",0,6)+IF(BA113="",0,5)+IF(BC113="",0,5)+IF(BE113="",0,4)))</f>
        <v/>
      </c>
      <c r="BH113" s="14">
        <f>IF((IF(AZ113="",0,6)+IF(BB113="",0,5)+IF(BD113="",0,5)+IF(BF113="",0,4))=0,"",(IF(AZ113="",0,AZ113*6)+IF(BB113="",0,BB113*5)+IF(BD113="",0,BD113*5)+IF(BF113="",0,BF113*4))/20)</f>
        <v/>
      </c>
      <c r="BI113" s="14">
        <f>IF(AND(R113="",AF113="",AN113="",AX113="",BH113=""),"",((R113*25)+(AF113*22)+(AN113*18)+(AX113*15)+(BH113*20))/100)</f>
        <v/>
      </c>
      <c r="BJ113" s="11">
        <f>IF(BI113="","",IF(BI113&gt;=0.75,"A",IF(BI113&gt;=0.5,"B",IF(BI113&gt;=0.35,"C","Watchlist"))))</f>
        <v/>
      </c>
      <c r="BK113" s="11">
        <f>IF(OR(BI113="",BI113&lt;0.5,R113="",R113&lt;0.35,AF113="",AF113&lt;0.35,AN113="",AN113&lt;0.35,AX113="",AX113&lt;0.35,BH113="",BH113&lt;0.35),"Watchlist","Ranked")</f>
        <v/>
      </c>
      <c r="BL113" s="15">
        <f>IF(AND(Q113="",AE113="",AM113="",AW113="",BG113=""),"",(IF(Q113="",0,Q113*25)+IF(AE113="",0,AE113*22)+IF(AM113="",0,AM113*18)+IF(AW113="",0,AW113*15)+IF(BG113="",0,BG113*20))/(IF(Q113="",0,25)+IF(AE113="",0,22)+IF(AM113="",0,18)+IF(AW113="",0,15)+IF(BG113="",0,20)))</f>
        <v/>
      </c>
      <c r="BM113" s="11">
        <f>IF(BK113="Ranked",1+COUNTIFS($BK$2:$BK$158,"Ranked",$BL$2:$BL$158,"&gt;"&amp;BL113),"")</f>
        <v/>
      </c>
      <c r="BN113" s="11">
        <f>City_Inputs!$AI113</f>
        <v/>
      </c>
    </row>
    <row r="114">
      <c r="A114" t="inlineStr">
        <is>
          <t>kh-phnom-penh</t>
        </is>
      </c>
      <c r="B114" t="inlineStr">
        <is>
          <t>Phnom Penh</t>
        </is>
      </c>
      <c r="C114" t="inlineStr">
        <is>
          <t>Cambodia</t>
        </is>
      </c>
      <c r="D114" t="inlineStr">
        <is>
          <t>Southeast Asia</t>
        </is>
      </c>
      <c r="E114" t="inlineStr">
        <is>
          <t>provisional</t>
        </is>
      </c>
      <c r="F114" t="inlineStr">
        <is>
          <t>primary</t>
        </is>
      </c>
      <c r="G114" s="11">
        <f>IF(OR(City_Inputs!$M114="",Norm_Stats!$F$2="",Norm_Stats!$G$2="",Norm_Stats!$G$2=Norm_Stats!$F$2),"",MAX(0,MIN(100,100*(MIN(MAX(City_Inputs!$M114,Norm_Stats!$F$2),Norm_Stats!$G$2)-Norm_Stats!$F$2)/(Norm_Stats!$G$2-Norm_Stats!$F$2))))</f>
        <v/>
      </c>
      <c r="H114" s="14">
        <f>IF(G114="","",1)</f>
        <v/>
      </c>
      <c r="I114" s="11">
        <f>IF(OR(City_Inputs!$N114="",Norm_Stats!$F$3="",Norm_Stats!$G$3="",Norm_Stats!$G$3=Norm_Stats!$F$3),"",MAX(0,MIN(100,100*(Norm_Stats!$G$3-MIN(MAX(City_Inputs!$N114,Norm_Stats!$F$3),Norm_Stats!$G$3))/(Norm_Stats!$G$3-Norm_Stats!$F$3))))</f>
        <v/>
      </c>
      <c r="J114" s="14">
        <f>IF(I114="","",1)</f>
        <v/>
      </c>
      <c r="K114" s="11">
        <f>IF(OR(City_Inputs!$P114="",Norm_Stats!$F$4="",Norm_Stats!$G$4="",Norm_Stats!$G$4=Norm_Stats!$F$4),"",MAX(0,MIN(100,100*(Norm_Stats!$G$4-MIN(MAX(City_Inputs!$P114,Norm_Stats!$F$4),Norm_Stats!$G$4))/(Norm_Stats!$G$4-Norm_Stats!$F$4))))</f>
        <v/>
      </c>
      <c r="L114" s="14">
        <f>IF(K114="","",1)</f>
        <v/>
      </c>
      <c r="M114" s="11">
        <f>IF(OR(City_Inputs!$Q114="",Norm_Stats!$F$5="",Norm_Stats!$G$5="",Norm_Stats!$G$5=Norm_Stats!$F$5),"",MAX(0,MIN(100,100*(Norm_Stats!$G$5-MIN(MAX(City_Inputs!$Q114,Norm_Stats!$F$5),Norm_Stats!$G$5))/(Norm_Stats!$G$5-Norm_Stats!$F$5))))</f>
        <v/>
      </c>
      <c r="N114" s="14">
        <f>IF(M114="","",1)</f>
        <v/>
      </c>
      <c r="O114" s="11">
        <f>IF(OR(City_Inputs!$R114="",Norm_Stats!$F$6="",Norm_Stats!$G$6="",Norm_Stats!$G$6=Norm_Stats!$F$6),"",MAX(0,MIN(100,100*(Norm_Stats!$G$6-MIN(MAX(City_Inputs!$R114,Norm_Stats!$F$6),Norm_Stats!$G$6))/(Norm_Stats!$G$6-Norm_Stats!$F$6))))</f>
        <v/>
      </c>
      <c r="P114" s="14">
        <f>IF(O114="","",1)</f>
        <v/>
      </c>
      <c r="Q114" s="15">
        <f>IF((IF(G114="",0,9)+IF(I114="",0,5)+IF(K114="",0,4)+IF(M114="",0,4)+IF(O114="",0,5))=0,"",(IF(G114="",0,G114*9)+IF(I114="",0,I114*5)+IF(K114="",0,K114*4)+IF(M114="",0,M114*4)+IF(O114="",0,O114*5))/(IF(G114="",0,9)+IF(I114="",0,5)+IF(K114="",0,4)+IF(M114="",0,4)+IF(O114="",0,5)))</f>
        <v/>
      </c>
      <c r="R114" s="14">
        <f>IF((IF(H114="",0,9)+IF(J114="",0,5)+IF(L114="",0,4)+IF(N114="",0,4)+IF(P114="",0,5))=0,"",(IF(H114="",0,H114*9)+IF(J114="",0,J114*5)+IF(L114="",0,L114*4)+IF(N114="",0,N114*4)+IF(P114="",0,P114*5))/27)</f>
        <v/>
      </c>
      <c r="S114" s="11">
        <f>IF(OR(City_Inputs!$S114="",Norm_Stats!$F$7="",Norm_Stats!$G$7="",Norm_Stats!$G$7=Norm_Stats!$F$7),"",MAX(0,MIN(100,100*(Norm_Stats!$G$7-MIN(MAX(City_Inputs!$S114,Norm_Stats!$F$7),Norm_Stats!$G$7))/(Norm_Stats!$G$7-Norm_Stats!$F$7))))</f>
        <v/>
      </c>
      <c r="T114" s="14">
        <f>IF(S114="","",1)</f>
        <v/>
      </c>
      <c r="U114" s="11">
        <f>IF(OR(City_Inputs!$T114="",Norm_Stats!$F$8="",Norm_Stats!$G$8="",Norm_Stats!$G$8=Norm_Stats!$F$8),"",MAX(0,MIN(100,100*(MIN(MAX(City_Inputs!$T114,Norm_Stats!$F$8),Norm_Stats!$G$8)-Norm_Stats!$F$8)/(Norm_Stats!$G$8-Norm_Stats!$F$8))))</f>
        <v/>
      </c>
      <c r="V114" s="14">
        <f>IF(U114="","",1)</f>
        <v/>
      </c>
      <c r="W114" s="11">
        <f>IF(OR(City_Inputs!$U114="",Norm_Stats!$F$9="",Norm_Stats!$G$9="",Norm_Stats!$G$9=Norm_Stats!$F$9),"",MAX(0,MIN(100,100*(Norm_Stats!$G$9-MIN(MAX(City_Inputs!$U114,Norm_Stats!$F$9),Norm_Stats!$G$9))/(Norm_Stats!$G$9-Norm_Stats!$F$9))))</f>
        <v/>
      </c>
      <c r="X114" s="14">
        <f>IF(W114="","",1)</f>
        <v/>
      </c>
      <c r="Y114" s="11">
        <f>IF(OR(City_Inputs!$V114="",Norm_Stats!$F$10="",Norm_Stats!$G$10="",Norm_Stats!$G$10=Norm_Stats!$F$10),"",MAX(0,MIN(100,100*(MIN(MAX(City_Inputs!$V114,Norm_Stats!$F$10),Norm_Stats!$G$10)-Norm_Stats!$F$10)/(Norm_Stats!$G$10-Norm_Stats!$F$10))))</f>
        <v/>
      </c>
      <c r="Z114" s="14">
        <f>IF(Y114="","",1)</f>
        <v/>
      </c>
      <c r="AA114" s="11">
        <f>IF(OR(City_Inputs!$W114="",Norm_Stats!$F$11="",Norm_Stats!$G$11="",Norm_Stats!$G$11=Norm_Stats!$F$11),"",MAX(0,MIN(100,100*(MIN(MAX(City_Inputs!$W114,Norm_Stats!$F$11),Norm_Stats!$G$11)-Norm_Stats!$F$11)/(Norm_Stats!$G$11-Norm_Stats!$F$11))))</f>
        <v/>
      </c>
      <c r="AB114" s="14">
        <f>IF(AA114="","",1)</f>
        <v/>
      </c>
      <c r="AC114" s="11">
        <f>IF(OR(City_Inputs!$X114="",Norm_Stats!$F$12="",Norm_Stats!$G$12="",Norm_Stats!$G$12=Norm_Stats!$F$12),"",MAX(0,MIN(100,100*(MIN(MAX(City_Inputs!$X114,Norm_Stats!$F$12),Norm_Stats!$G$12)-Norm_Stats!$F$12)/(Norm_Stats!$G$12-Norm_Stats!$F$12))))</f>
        <v/>
      </c>
      <c r="AD114" s="11">
        <f>IF(AC114="","",1)</f>
        <v/>
      </c>
      <c r="AE114" s="15">
        <f>IF((IF(S114="",0,5)+IF(U114="",0,5)+IF(W114="",0,4)+IF(Y114="",0,4)+IF(AA114="",0,4)+IF(AC114="",0,5))=0,"",(IF(S114="",0,S114*5)+IF(U114="",0,U114*5)+IF(W114="",0,W114*4)+IF(Y114="",0,Y114*4)+IF(AA114="",0,AA114*4)+IF(AC114="",0,AC114*5))/(IF(S114="",0,5)+IF(U114="",0,5)+IF(W114="",0,4)+IF(Y114="",0,4)+IF(AA114="",0,4)+IF(AC114="",0,5)))</f>
        <v/>
      </c>
      <c r="AF114" s="14">
        <f>IF((IF(T114="",0,5)+IF(V114="",0,5)+IF(X114="",0,4)+IF(Z114="",0,4)+IF(AB114="",0,4)+IF(AD114="",0,5))=0,"",(IF(T114="",0,T114*5)+IF(V114="",0,V114*5)+IF(X114="",0,X114*4)+IF(Z114="",0,Z114*4)+IF(AB114="",0,AB114*4)+IF(AD114="",0,AD114*5))/27)</f>
        <v/>
      </c>
      <c r="AG114" s="11">
        <f>IF(OR(City_Inputs!$Y114="",Norm_Stats!$F$13="",Norm_Stats!$G$13="",Norm_Stats!$G$13=Norm_Stats!$F$13),"",MAX(0,MIN(100,100*(MIN(MAX(City_Inputs!$Y114,Norm_Stats!$F$13),Norm_Stats!$G$13)-Norm_Stats!$F$13)/(Norm_Stats!$G$13-Norm_Stats!$F$13))))</f>
        <v/>
      </c>
      <c r="AH114" s="14">
        <f>IF(AG114="","",1)</f>
        <v/>
      </c>
      <c r="AI114" s="11">
        <f>IF(OR(City_Inputs!$Z114="",Norm_Stats!$F$14="",Norm_Stats!$G$14="",Norm_Stats!$G$14=Norm_Stats!$F$14),"",MAX(0,MIN(100,100*(MIN(MAX(City_Inputs!$Z114,Norm_Stats!$F$14),Norm_Stats!$G$14)-Norm_Stats!$F$14)/(Norm_Stats!$G$14-Norm_Stats!$F$14))))</f>
        <v/>
      </c>
      <c r="AJ114" s="14">
        <f>IF(AI114="","",1)</f>
        <v/>
      </c>
      <c r="AK114" s="11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(IF(OR(City_Inputs!$AA114="",Norm_Stats!$F$15="",Norm_Stats!$G$15="",Norm_Stats!$G$15=Norm_Stats!$F$15),"",MAX(0,MIN(100,100*(MIN(MAX(City_Inputs!$AA114,Norm_Stats!$F$15),Norm_Stats!$G$15)-Norm_Stats!$F$15)/(Norm_Stats!$G$15-Norm_Stats!$F$15)))))*0.7)+IF((IF(OR(City_Inputs!$AL114="",Norm_Stats!$F$16="",Norm_Stats!$G$16="",Norm_Stats!$G$16=Norm_Stats!$F$16),"",MAX(0,MIN(100,100*(Norm_Stats!$G$16-MIN(MAX(City_Inputs!$AL114,Norm_Stats!$F$16),Norm_Stats!$G$16))/(Norm_Stats!$G$16-Norm_Stats!$F$16)))))="",0,(IF(OR(City_Inputs!$AL114="",Norm_Stats!$F$16="",Norm_Stats!$G$16="",Norm_Stats!$G$16=Norm_Stats!$F$16),"",MAX(0,MIN(100,100*(Norm_Stats!$G$16-MIN(MAX(City_Inputs!$AL114,Norm_Stats!$F$16),Norm_Stats!$G$16))/(Norm_Stats!$G$16-Norm_Stats!$F$16)))))*0.3))/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L114" s="14">
        <f>IF(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=0,"",(IF((IF(OR(City_Inputs!$AA114="",Norm_Stats!$F$15="",Norm_Stats!$G$15="",Norm_Stats!$G$15=Norm_Stats!$F$15),"",MAX(0,MIN(100,100*(MIN(MAX(City_Inputs!$AA114,Norm_Stats!$F$15),Norm_Stats!$G$15)-Norm_Stats!$F$15)/(Norm_Stats!$G$15-Norm_Stats!$F$15)))))="",0,0.7)+IF((IF(OR(City_Inputs!$AL114="",Norm_Stats!$F$16="",Norm_Stats!$G$16="",Norm_Stats!$G$16=Norm_Stats!$F$16),"",MAX(0,MIN(100,100*(Norm_Stats!$G$16-MIN(MAX(City_Inputs!$AL114,Norm_Stats!$F$16),Norm_Stats!$G$16))/(Norm_Stats!$G$16-Norm_Stats!$F$16)))))="",0,0.3)))</f>
        <v/>
      </c>
      <c r="AM114" s="15">
        <f>IF((IF(AG114="",0,8)+IF(AI114="",0,6)+IF(AK114="",0,4))=0,"",(IF(AG114="",0,AG114*8)+IF(AI114="",0,AI114*6)+IF(AK114="",0,AK114*4))/(IF(AG114="",0,8)+IF(AI114="",0,6)+IF(AK114="",0,4)))</f>
        <v/>
      </c>
      <c r="AN114" s="14">
        <f>IF((IF(AH114="",0,8)+IF(AJ114="",0,6)+IF(AL114="",0,4))=0,"",(IF(AH114="",0,AH114*8)+IF(AJ114="",0,AJ114*6)+IF(AL114="",0,AL114*4))/18)</f>
        <v/>
      </c>
      <c r="AO114" s="11">
        <f>IF(OR(City_Inputs!$AB114="",Norm_Stats!$F$17="",Norm_Stats!$G$17="",Norm_Stats!$G$17=Norm_Stats!$F$17),"",MAX(0,MIN(100,100*(MIN(MAX(City_Inputs!$AB114,Norm_Stats!$F$17),Norm_Stats!$G$17)-Norm_Stats!$F$17)/(Norm_Stats!$G$17-Norm_Stats!$F$17))))</f>
        <v/>
      </c>
      <c r="AP114" s="14">
        <f>IF(AO114="","",1)</f>
        <v/>
      </c>
      <c r="AQ114" s="11">
        <f>IF(OR(City_Inputs!$AC114="",Norm_Stats!$F$18="",Norm_Stats!$G$18="",Norm_Stats!$G$18=Norm_Stats!$F$18),"",MAX(0,MIN(100,100*(MIN(MAX(City_Inputs!$AC114,Norm_Stats!$F$18),Norm_Stats!$G$18)-Norm_Stats!$F$18)/(Norm_Stats!$G$18-Norm_Stats!$F$18))))</f>
        <v/>
      </c>
      <c r="AR114" s="14">
        <f>IF(AQ114="","",1)</f>
        <v/>
      </c>
      <c r="AS114" s="11">
        <f>IF(OR(City_Inputs!$AD114="",Norm_Stats!$F$19="",Norm_Stats!$G$19="",Norm_Stats!$G$19=Norm_Stats!$F$19),"",MAX(0,MIN(100,100*(MIN(MAX(City_Inputs!$AD114,Norm_Stats!$F$19),Norm_Stats!$G$19)-Norm_Stats!$F$19)/(Norm_Stats!$G$19-Norm_Stats!$F$19))))</f>
        <v/>
      </c>
      <c r="AT114" s="14">
        <f>IF(AS114="","",1)</f>
        <v/>
      </c>
      <c r="AU114" s="11">
        <f>IF(OR(City_Inputs!$BJ114="",Norm_Stats!$F$26="",Norm_Stats!$G$26="",Norm_Stats!$G$26=Norm_Stats!$F$26),"",MAX(0,MIN(100,100*(MIN(MAX(City_Inputs!$BJ114,Norm_Stats!$F$26),Norm_Stats!$G$26)-Norm_Stats!$F$26)/(Norm_Stats!$G$26-Norm_Stats!$F$26))))</f>
        <v/>
      </c>
      <c r="AV114" s="11">
        <f>IF(AU114="","",1)</f>
        <v/>
      </c>
      <c r="AW114" s="15">
        <f>IF((IF(AO114="",0,5)+IF(AQ114="",0,5)+IF(AS114="",0,5)+IF(AU114="",0,4))=0,"",(IF(AO114="",0,AO114*5)+IF(AQ114="",0,AQ114*5)+IF(AS114="",0,AS114*5)+IF(AU114="",0,AU114*4))/(IF(AO114="",0,5)+IF(AQ114="",0,5)+IF(AS114="",0,5)+IF(AU114="",0,4)))</f>
        <v/>
      </c>
      <c r="AX114" s="14">
        <f>IF((IF(AP114="",0,5)+IF(AR114="",0,5)+IF(AT114="",0,5)+IF(AV114="",0,4))=0,"",(IF(AP114="",0,AP114*5)+IF(AR114="",0,AR114*5)+IF(AT114="",0,AT114*5)+IF(AV114="",0,AV114*4))/19)</f>
        <v/>
      </c>
      <c r="AY114" s="11">
        <f>IF(OR(City_Inputs!$AE114="",Norm_Stats!$F$20="",Norm_Stats!$G$20="",Norm_Stats!$G$20=Norm_Stats!$F$20),"",MAX(0,MIN(100,100*(MIN(MAX(City_Inputs!$AE114,Norm_Stats!$F$20),Norm_Stats!$G$20)-Norm_Stats!$F$20)/(Norm_Stats!$G$20-Norm_Stats!$F$20))))</f>
        <v/>
      </c>
      <c r="AZ114" s="14">
        <f>IF(AY114="","",1)</f>
        <v/>
      </c>
      <c r="BA114" s="11">
        <f>IF(OR(City_Inputs!$AF114="",Norm_Stats!$F$21="",Norm_Stats!$G$21="",Norm_Stats!$G$21=Norm_Stats!$F$21),"",MAX(0,MIN(100,100*(MIN(MAX(City_Inputs!$AF114,Norm_Stats!$F$21),Norm_Stats!$G$21)-Norm_Stats!$F$21)/(Norm_Stats!$G$21-Norm_Stats!$F$21))))</f>
        <v/>
      </c>
      <c r="BB114" s="14">
        <f>IF(BA114="","",1)</f>
        <v/>
      </c>
      <c r="BC114" s="11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(IF(OR(City_Inputs!$AG114="",Norm_Stats!$F$22="",Norm_Stats!$G$22="",Norm_Stats!$G$22=Norm_Stats!$F$22),"",MAX(0,MIN(100,100*(MIN(MAX(City_Inputs!$AG114,Norm_Stats!$F$22),Norm_Stats!$G$22)-Norm_Stats!$F$22)/(Norm_Stats!$G$22-Norm_Stats!$F$22)))))*0.5)+IF((IF(OR(City_Inputs!$AJ114="",Norm_Stats!$F$23="",Norm_Stats!$G$23="",Norm_Stats!$G$23=Norm_Stats!$F$23),"",MAX(0,MIN(100,100*(MIN(MAX(City_Inputs!$AJ114,Norm_Stats!$F$23),Norm_Stats!$G$23)-Norm_Stats!$F$23)/(Norm_Stats!$G$23-Norm_Stats!$F$23)))))="",0,(IF(OR(City_Inputs!$AJ114="",Norm_Stats!$F$23="",Norm_Stats!$G$23="",Norm_Stats!$G$23=Norm_Stats!$F$23),"",MAX(0,MIN(100,100*(MIN(MAX(City_Inputs!$AJ114,Norm_Stats!$F$23),Norm_Stats!$G$23)-Norm_Stats!$F$23)/(Norm_Stats!$G$23-Norm_Stats!$F$23)))))*0.3)+IF((IF(OR(City_Inputs!$AK114="",Norm_Stats!$F$24="",Norm_Stats!$G$24="",Norm_Stats!$G$24=Norm_Stats!$F$24),"",MAX(0,MIN(100,100*(MIN(MAX(City_Inputs!$AK114,Norm_Stats!$F$24),Norm_Stats!$G$24)-Norm_Stats!$F$24)/(Norm_Stats!$G$24-Norm_Stats!$F$24)))))="",0,(IF(OR(City_Inputs!$AK114="",Norm_Stats!$F$24="",Norm_Stats!$G$24="",Norm_Stats!$G$24=Norm_Stats!$F$24),"",MAX(0,MIN(100,100*(MIN(MAX(City_Inputs!$AK114,Norm_Stats!$F$24),Norm_Stats!$G$24)-Norm_Stats!$F$24)/(Norm_Stats!$G$24-Norm_Stats!$F$24)))))*0.2))/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D114" s="14">
        <f>IF(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=0,"",(IF((IF(OR(City_Inputs!$AG114="",Norm_Stats!$F$22="",Norm_Stats!$G$22="",Norm_Stats!$G$22=Norm_Stats!$F$22),"",MAX(0,MIN(100,100*(MIN(MAX(City_Inputs!$AG114,Norm_Stats!$F$22),Norm_Stats!$G$22)-Norm_Stats!$F$22)/(Norm_Stats!$G$22-Norm_Stats!$F$22)))))="",0,0.5)+IF((IF(OR(City_Inputs!$AJ114="",Norm_Stats!$F$23="",Norm_Stats!$G$23="",Norm_Stats!$G$23=Norm_Stats!$F$23),"",MAX(0,MIN(100,100*(MIN(MAX(City_Inputs!$AJ114,Norm_Stats!$F$23),Norm_Stats!$G$23)-Norm_Stats!$F$23)/(Norm_Stats!$G$23-Norm_Stats!$F$23)))))="",0,0.3)+IF((IF(OR(City_Inputs!$AK114="",Norm_Stats!$F$24="",Norm_Stats!$G$24="",Norm_Stats!$G$24=Norm_Stats!$F$24),"",MAX(0,MIN(100,100*(MIN(MAX(City_Inputs!$AK114,Norm_Stats!$F$24),Norm_Stats!$G$24)-Norm_Stats!$F$24)/(Norm_Stats!$G$24-Norm_Stats!$F$24)))))="",0,0.2)))</f>
        <v/>
      </c>
      <c r="BE114" s="11">
        <f>IF(OR(City_Inputs!$AH114="",Norm_Stats!$F$25="",Norm_Stats!$G$25="",Norm_Stats!$G$25=Norm_Stats!$F$25),"",MAX(0,MIN(100,100*(Norm_Stats!$G$25-MIN(MAX(City_Inputs!$AH114,Norm_Stats!$F$25),Norm_Stats!$G$25))/(Norm_Stats!$G$25-Norm_Stats!$F$25))))</f>
        <v/>
      </c>
      <c r="BF114" s="14">
        <f>IF(BE114="","",1)</f>
        <v/>
      </c>
      <c r="BG114" s="15">
        <f>IF((IF(AY114="",0,6)+IF(BA114="",0,5)+IF(BC114="",0,5)+IF(BE114="",0,4))=0,"",(IF(AY114="",0,AY114*6)+IF(BA114="",0,BA114*5)+IF(BC114="",0,BC114*5)+IF(BE114="",0,BE114*4))/(IF(AY114="",0,6)+IF(BA114="",0,5)+IF(BC114="",0,5)+IF(BE114="",0,4)))</f>
        <v/>
      </c>
      <c r="BH114" s="14">
        <f>IF((IF(AZ114="",0,6)+IF(BB114="",0,5)+IF(BD114="",0,5)+IF(BF114="",0,4))=0,"",(IF(AZ114="",0,AZ114*6)+IF(BB114="",0,BB114*5)+IF(BD114="",0,BD114*5)+IF(BF114="",0,BF114*4))/20)</f>
        <v/>
      </c>
      <c r="BI114" s="14">
        <f>IF(AND(R114="",AF114="",AN114="",AX114="",BH114=""),"",((R114*25)+(AF114*22)+(AN114*18)+(AX114*15)+(BH114*20))/100)</f>
        <v/>
      </c>
      <c r="BJ114" s="11">
        <f>IF(BI114="","",IF(BI114&gt;=0.75,"A",IF(BI114&gt;=0.5,"B",IF(BI114&gt;=0.35,"C","Watchlist"))))</f>
        <v/>
      </c>
      <c r="BK114" s="11">
        <f>IF(OR(BI114="",BI114&lt;0.5,R114="",R114&lt;0.35,AF114="",AF114&lt;0.35,AN114="",AN114&lt;0.35,AX114="",AX114&lt;0.35,BH114="",BH114&lt;0.35),"Watchlist","Ranked")</f>
        <v/>
      </c>
      <c r="BL114" s="15">
        <f>IF(AND(Q114="",AE114="",AM114="",AW114="",BG114=""),"",(IF(Q114="",0,Q114*25)+IF(AE114="",0,AE114*22)+IF(AM114="",0,AM114*18)+IF(AW114="",0,AW114*15)+IF(BG114="",0,BG114*20))/(IF(Q114="",0,25)+IF(AE114="",0,22)+IF(AM114="",0,18)+IF(AW114="",0,15)+IF(BG114="",0,20)))</f>
        <v/>
      </c>
      <c r="BM114" s="11">
        <f>IF(BK114="Ranked",1+COUNTIFS($BK$2:$BK$158,"Ranked",$BL$2:$BL$158,"&gt;"&amp;BL114),"")</f>
        <v/>
      </c>
      <c r="BN114" s="11">
        <f>City_Inputs!$AI114</f>
        <v/>
      </c>
    </row>
    <row r="115">
      <c r="A115" t="inlineStr">
        <is>
          <t>tw-taichung</t>
        </is>
      </c>
      <c r="B115" t="inlineStr">
        <is>
          <t>Taichung</t>
        </is>
      </c>
      <c r="C115" t="inlineStr">
        <is>
          <t>Taiwan</t>
        </is>
      </c>
      <c r="D115" t="inlineStr">
        <is>
          <t>East Asia</t>
        </is>
      </c>
      <c r="E115" t="inlineStr">
        <is>
          <t>provisional</t>
        </is>
      </c>
      <c r="F115" t="inlineStr">
        <is>
          <t>primary</t>
        </is>
      </c>
      <c r="G115" s="11">
        <f>IF(OR(City_Inputs!$M115="",Norm_Stats!$F$2="",Norm_Stats!$G$2="",Norm_Stats!$G$2=Norm_Stats!$F$2),"",MAX(0,MIN(100,100*(MIN(MAX(City_Inputs!$M115,Norm_Stats!$F$2),Norm_Stats!$G$2)-Norm_Stats!$F$2)/(Norm_Stats!$G$2-Norm_Stats!$F$2))))</f>
        <v/>
      </c>
      <c r="H115" s="14">
        <f>IF(G115="","",1)</f>
        <v/>
      </c>
      <c r="I115" s="11">
        <f>IF(OR(City_Inputs!$N115="",Norm_Stats!$F$3="",Norm_Stats!$G$3="",Norm_Stats!$G$3=Norm_Stats!$F$3),"",MAX(0,MIN(100,100*(Norm_Stats!$G$3-MIN(MAX(City_Inputs!$N115,Norm_Stats!$F$3),Norm_Stats!$G$3))/(Norm_Stats!$G$3-Norm_Stats!$F$3))))</f>
        <v/>
      </c>
      <c r="J115" s="14">
        <f>IF(I115="","",1)</f>
        <v/>
      </c>
      <c r="K115" s="11">
        <f>IF(OR(City_Inputs!$P115="",Norm_Stats!$F$4="",Norm_Stats!$G$4="",Norm_Stats!$G$4=Norm_Stats!$F$4),"",MAX(0,MIN(100,100*(Norm_Stats!$G$4-MIN(MAX(City_Inputs!$P115,Norm_Stats!$F$4),Norm_Stats!$G$4))/(Norm_Stats!$G$4-Norm_Stats!$F$4))))</f>
        <v/>
      </c>
      <c r="L115" s="14">
        <f>IF(K115="","",1)</f>
        <v/>
      </c>
      <c r="M115" s="11">
        <f>IF(OR(City_Inputs!$Q115="",Norm_Stats!$F$5="",Norm_Stats!$G$5="",Norm_Stats!$G$5=Norm_Stats!$F$5),"",MAX(0,MIN(100,100*(Norm_Stats!$G$5-MIN(MAX(City_Inputs!$Q115,Norm_Stats!$F$5),Norm_Stats!$G$5))/(Norm_Stats!$G$5-Norm_Stats!$F$5))))</f>
        <v/>
      </c>
      <c r="N115" s="14">
        <f>IF(M115="","",1)</f>
        <v/>
      </c>
      <c r="O115" s="11">
        <f>IF(OR(City_Inputs!$R115="",Norm_Stats!$F$6="",Norm_Stats!$G$6="",Norm_Stats!$G$6=Norm_Stats!$F$6),"",MAX(0,MIN(100,100*(Norm_Stats!$G$6-MIN(MAX(City_Inputs!$R115,Norm_Stats!$F$6),Norm_Stats!$G$6))/(Norm_Stats!$G$6-Norm_Stats!$F$6))))</f>
        <v/>
      </c>
      <c r="P115" s="14">
        <f>IF(O115="","",1)</f>
        <v/>
      </c>
      <c r="Q115" s="15">
        <f>IF((IF(G115="",0,9)+IF(I115="",0,5)+IF(K115="",0,4)+IF(M115="",0,4)+IF(O115="",0,5))=0,"",(IF(G115="",0,G115*9)+IF(I115="",0,I115*5)+IF(K115="",0,K115*4)+IF(M115="",0,M115*4)+IF(O115="",0,O115*5))/(IF(G115="",0,9)+IF(I115="",0,5)+IF(K115="",0,4)+IF(M115="",0,4)+IF(O115="",0,5)))</f>
        <v/>
      </c>
      <c r="R115" s="14">
        <f>IF((IF(H115="",0,9)+IF(J115="",0,5)+IF(L115="",0,4)+IF(N115="",0,4)+IF(P115="",0,5))=0,"",(IF(H115="",0,H115*9)+IF(J115="",0,J115*5)+IF(L115="",0,L115*4)+IF(N115="",0,N115*4)+IF(P115="",0,P115*5))/27)</f>
        <v/>
      </c>
      <c r="S115" s="11">
        <f>IF(OR(City_Inputs!$S115="",Norm_Stats!$F$7="",Norm_Stats!$G$7="",Norm_Stats!$G$7=Norm_Stats!$F$7),"",MAX(0,MIN(100,100*(Norm_Stats!$G$7-MIN(MAX(City_Inputs!$S115,Norm_Stats!$F$7),Norm_Stats!$G$7))/(Norm_Stats!$G$7-Norm_Stats!$F$7))))</f>
        <v/>
      </c>
      <c r="T115" s="14">
        <f>IF(S115="","",1)</f>
        <v/>
      </c>
      <c r="U115" s="11">
        <f>IF(OR(City_Inputs!$T115="",Norm_Stats!$F$8="",Norm_Stats!$G$8="",Norm_Stats!$G$8=Norm_Stats!$F$8),"",MAX(0,MIN(100,100*(MIN(MAX(City_Inputs!$T115,Norm_Stats!$F$8),Norm_Stats!$G$8)-Norm_Stats!$F$8)/(Norm_Stats!$G$8-Norm_Stats!$F$8))))</f>
        <v/>
      </c>
      <c r="V115" s="14">
        <f>IF(U115="","",1)</f>
        <v/>
      </c>
      <c r="W115" s="11">
        <f>IF(OR(City_Inputs!$U115="",Norm_Stats!$F$9="",Norm_Stats!$G$9="",Norm_Stats!$G$9=Norm_Stats!$F$9),"",MAX(0,MIN(100,100*(Norm_Stats!$G$9-MIN(MAX(City_Inputs!$U115,Norm_Stats!$F$9),Norm_Stats!$G$9))/(Norm_Stats!$G$9-Norm_Stats!$F$9))))</f>
        <v/>
      </c>
      <c r="X115" s="14">
        <f>IF(W115="","",1)</f>
        <v/>
      </c>
      <c r="Y115" s="11">
        <f>IF(OR(City_Inputs!$V115="",Norm_Stats!$F$10="",Norm_Stats!$G$10="",Norm_Stats!$G$10=Norm_Stats!$F$10),"",MAX(0,MIN(100,100*(MIN(MAX(City_Inputs!$V115,Norm_Stats!$F$10),Norm_Stats!$G$10)-Norm_Stats!$F$10)/(Norm_Stats!$G$10-Norm_Stats!$F$10))))</f>
        <v/>
      </c>
      <c r="Z115" s="14">
        <f>IF(Y115="","",1)</f>
        <v/>
      </c>
      <c r="AA115" s="11">
        <f>IF(OR(City_Inputs!$W115="",Norm_Stats!$F$11="",Norm_Stats!$G$11="",Norm_Stats!$G$11=Norm_Stats!$F$11),"",MAX(0,MIN(100,100*(MIN(MAX(City_Inputs!$W115,Norm_Stats!$F$11),Norm_Stats!$G$11)-Norm_Stats!$F$11)/(Norm_Stats!$G$11-Norm_Stats!$F$11))))</f>
        <v/>
      </c>
      <c r="AB115" s="14">
        <f>IF(AA115="","",1)</f>
        <v/>
      </c>
      <c r="AC115" s="11">
        <f>IF(OR(City_Inputs!$X115="",Norm_Stats!$F$12="",Norm_Stats!$G$12="",Norm_Stats!$G$12=Norm_Stats!$F$12),"",MAX(0,MIN(100,100*(MIN(MAX(City_Inputs!$X115,Norm_Stats!$F$12),Norm_Stats!$G$12)-Norm_Stats!$F$12)/(Norm_Stats!$G$12-Norm_Stats!$F$12))))</f>
        <v/>
      </c>
      <c r="AD115" s="11">
        <f>IF(AC115="","",1)</f>
        <v/>
      </c>
      <c r="AE115" s="15">
        <f>IF((IF(S115="",0,5)+IF(U115="",0,5)+IF(W115="",0,4)+IF(Y115="",0,4)+IF(AA115="",0,4)+IF(AC115="",0,5))=0,"",(IF(S115="",0,S115*5)+IF(U115="",0,U115*5)+IF(W115="",0,W115*4)+IF(Y115="",0,Y115*4)+IF(AA115="",0,AA115*4)+IF(AC115="",0,AC115*5))/(IF(S115="",0,5)+IF(U115="",0,5)+IF(W115="",0,4)+IF(Y115="",0,4)+IF(AA115="",0,4)+IF(AC115="",0,5)))</f>
        <v/>
      </c>
      <c r="AF115" s="14">
        <f>IF((IF(T115="",0,5)+IF(V115="",0,5)+IF(X115="",0,4)+IF(Z115="",0,4)+IF(AB115="",0,4)+IF(AD115="",0,5))=0,"",(IF(T115="",0,T115*5)+IF(V115="",0,V115*5)+IF(X115="",0,X115*4)+IF(Z115="",0,Z115*4)+IF(AB115="",0,AB115*4)+IF(AD115="",0,AD115*5))/27)</f>
        <v/>
      </c>
      <c r="AG115" s="11">
        <f>IF(OR(City_Inputs!$Y115="",Norm_Stats!$F$13="",Norm_Stats!$G$13="",Norm_Stats!$G$13=Norm_Stats!$F$13),"",MAX(0,MIN(100,100*(MIN(MAX(City_Inputs!$Y115,Norm_Stats!$F$13),Norm_Stats!$G$13)-Norm_Stats!$F$13)/(Norm_Stats!$G$13-Norm_Stats!$F$13))))</f>
        <v/>
      </c>
      <c r="AH115" s="14">
        <f>IF(AG115="","",1)</f>
        <v/>
      </c>
      <c r="AI115" s="11">
        <f>IF(OR(City_Inputs!$Z115="",Norm_Stats!$F$14="",Norm_Stats!$G$14="",Norm_Stats!$G$14=Norm_Stats!$F$14),"",MAX(0,MIN(100,100*(MIN(MAX(City_Inputs!$Z115,Norm_Stats!$F$14),Norm_Stats!$G$14)-Norm_Stats!$F$14)/(Norm_Stats!$G$14-Norm_Stats!$F$14))))</f>
        <v/>
      </c>
      <c r="AJ115" s="14">
        <f>IF(AI115="","",1)</f>
        <v/>
      </c>
      <c r="AK115" s="11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(IF(OR(City_Inputs!$AA115="",Norm_Stats!$F$15="",Norm_Stats!$G$15="",Norm_Stats!$G$15=Norm_Stats!$F$15),"",MAX(0,MIN(100,100*(MIN(MAX(City_Inputs!$AA115,Norm_Stats!$F$15),Norm_Stats!$G$15)-Norm_Stats!$F$15)/(Norm_Stats!$G$15-Norm_Stats!$F$15)))))*0.7)+IF((IF(OR(City_Inputs!$AL115="",Norm_Stats!$F$16="",Norm_Stats!$G$16="",Norm_Stats!$G$16=Norm_Stats!$F$16),"",MAX(0,MIN(100,100*(Norm_Stats!$G$16-MIN(MAX(City_Inputs!$AL115,Norm_Stats!$F$16),Norm_Stats!$G$16))/(Norm_Stats!$G$16-Norm_Stats!$F$16)))))="",0,(IF(OR(City_Inputs!$AL115="",Norm_Stats!$F$16="",Norm_Stats!$G$16="",Norm_Stats!$G$16=Norm_Stats!$F$16),"",MAX(0,MIN(100,100*(Norm_Stats!$G$16-MIN(MAX(City_Inputs!$AL115,Norm_Stats!$F$16),Norm_Stats!$G$16))/(Norm_Stats!$G$16-Norm_Stats!$F$16)))))*0.3))/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L115" s="14">
        <f>IF(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=0,"",(IF((IF(OR(City_Inputs!$AA115="",Norm_Stats!$F$15="",Norm_Stats!$G$15="",Norm_Stats!$G$15=Norm_Stats!$F$15),"",MAX(0,MIN(100,100*(MIN(MAX(City_Inputs!$AA115,Norm_Stats!$F$15),Norm_Stats!$G$15)-Norm_Stats!$F$15)/(Norm_Stats!$G$15-Norm_Stats!$F$15)))))="",0,0.7)+IF((IF(OR(City_Inputs!$AL115="",Norm_Stats!$F$16="",Norm_Stats!$G$16="",Norm_Stats!$G$16=Norm_Stats!$F$16),"",MAX(0,MIN(100,100*(Norm_Stats!$G$16-MIN(MAX(City_Inputs!$AL115,Norm_Stats!$F$16),Norm_Stats!$G$16))/(Norm_Stats!$G$16-Norm_Stats!$F$16)))))="",0,0.3)))</f>
        <v/>
      </c>
      <c r="AM115" s="15">
        <f>IF((IF(AG115="",0,8)+IF(AI115="",0,6)+IF(AK115="",0,4))=0,"",(IF(AG115="",0,AG115*8)+IF(AI115="",0,AI115*6)+IF(AK115="",0,AK115*4))/(IF(AG115="",0,8)+IF(AI115="",0,6)+IF(AK115="",0,4)))</f>
        <v/>
      </c>
      <c r="AN115" s="14">
        <f>IF((IF(AH115="",0,8)+IF(AJ115="",0,6)+IF(AL115="",0,4))=0,"",(IF(AH115="",0,AH115*8)+IF(AJ115="",0,AJ115*6)+IF(AL115="",0,AL115*4))/18)</f>
        <v/>
      </c>
      <c r="AO115" s="11">
        <f>IF(OR(City_Inputs!$AB115="",Norm_Stats!$F$17="",Norm_Stats!$G$17="",Norm_Stats!$G$17=Norm_Stats!$F$17),"",MAX(0,MIN(100,100*(MIN(MAX(City_Inputs!$AB115,Norm_Stats!$F$17),Norm_Stats!$G$17)-Norm_Stats!$F$17)/(Norm_Stats!$G$17-Norm_Stats!$F$17))))</f>
        <v/>
      </c>
      <c r="AP115" s="14">
        <f>IF(AO115="","",1)</f>
        <v/>
      </c>
      <c r="AQ115" s="11">
        <f>IF(OR(City_Inputs!$AC115="",Norm_Stats!$F$18="",Norm_Stats!$G$18="",Norm_Stats!$G$18=Norm_Stats!$F$18),"",MAX(0,MIN(100,100*(MIN(MAX(City_Inputs!$AC115,Norm_Stats!$F$18),Norm_Stats!$G$18)-Norm_Stats!$F$18)/(Norm_Stats!$G$18-Norm_Stats!$F$18))))</f>
        <v/>
      </c>
      <c r="AR115" s="14">
        <f>IF(AQ115="","",1)</f>
        <v/>
      </c>
      <c r="AS115" s="11">
        <f>IF(OR(City_Inputs!$AD115="",Norm_Stats!$F$19="",Norm_Stats!$G$19="",Norm_Stats!$G$19=Norm_Stats!$F$19),"",MAX(0,MIN(100,100*(MIN(MAX(City_Inputs!$AD115,Norm_Stats!$F$19),Norm_Stats!$G$19)-Norm_Stats!$F$19)/(Norm_Stats!$G$19-Norm_Stats!$F$19))))</f>
        <v/>
      </c>
      <c r="AT115" s="14">
        <f>IF(AS115="","",1)</f>
        <v/>
      </c>
      <c r="AU115" s="11">
        <f>IF(OR(City_Inputs!$BJ115="",Norm_Stats!$F$26="",Norm_Stats!$G$26="",Norm_Stats!$G$26=Norm_Stats!$F$26),"",MAX(0,MIN(100,100*(MIN(MAX(City_Inputs!$BJ115,Norm_Stats!$F$26),Norm_Stats!$G$26)-Norm_Stats!$F$26)/(Norm_Stats!$G$26-Norm_Stats!$F$26))))</f>
        <v/>
      </c>
      <c r="AV115" s="11">
        <f>IF(AU115="","",1)</f>
        <v/>
      </c>
      <c r="AW115" s="15">
        <f>IF((IF(AO115="",0,5)+IF(AQ115="",0,5)+IF(AS115="",0,5)+IF(AU115="",0,4))=0,"",(IF(AO115="",0,AO115*5)+IF(AQ115="",0,AQ115*5)+IF(AS115="",0,AS115*5)+IF(AU115="",0,AU115*4))/(IF(AO115="",0,5)+IF(AQ115="",0,5)+IF(AS115="",0,5)+IF(AU115="",0,4)))</f>
        <v/>
      </c>
      <c r="AX115" s="14">
        <f>IF((IF(AP115="",0,5)+IF(AR115="",0,5)+IF(AT115="",0,5)+IF(AV115="",0,4))=0,"",(IF(AP115="",0,AP115*5)+IF(AR115="",0,AR115*5)+IF(AT115="",0,AT115*5)+IF(AV115="",0,AV115*4))/19)</f>
        <v/>
      </c>
      <c r="AY115" s="11">
        <f>IF(OR(City_Inputs!$AE115="",Norm_Stats!$F$20="",Norm_Stats!$G$20="",Norm_Stats!$G$20=Norm_Stats!$F$20),"",MAX(0,MIN(100,100*(MIN(MAX(City_Inputs!$AE115,Norm_Stats!$F$20),Norm_Stats!$G$20)-Norm_Stats!$F$20)/(Norm_Stats!$G$20-Norm_Stats!$F$20))))</f>
        <v/>
      </c>
      <c r="AZ115" s="14">
        <f>IF(AY115="","",1)</f>
        <v/>
      </c>
      <c r="BA115" s="11">
        <f>IF(OR(City_Inputs!$AF115="",Norm_Stats!$F$21="",Norm_Stats!$G$21="",Norm_Stats!$G$21=Norm_Stats!$F$21),"",MAX(0,MIN(100,100*(MIN(MAX(City_Inputs!$AF115,Norm_Stats!$F$21),Norm_Stats!$G$21)-Norm_Stats!$F$21)/(Norm_Stats!$G$21-Norm_Stats!$F$21))))</f>
        <v/>
      </c>
      <c r="BB115" s="14">
        <f>IF(BA115="","",1)</f>
        <v/>
      </c>
      <c r="BC115" s="11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(IF(OR(City_Inputs!$AG115="",Norm_Stats!$F$22="",Norm_Stats!$G$22="",Norm_Stats!$G$22=Norm_Stats!$F$22),"",MAX(0,MIN(100,100*(MIN(MAX(City_Inputs!$AG115,Norm_Stats!$F$22),Norm_Stats!$G$22)-Norm_Stats!$F$22)/(Norm_Stats!$G$22-Norm_Stats!$F$22)))))*0.5)+IF((IF(OR(City_Inputs!$AJ115="",Norm_Stats!$F$23="",Norm_Stats!$G$23="",Norm_Stats!$G$23=Norm_Stats!$F$23),"",MAX(0,MIN(100,100*(MIN(MAX(City_Inputs!$AJ115,Norm_Stats!$F$23),Norm_Stats!$G$23)-Norm_Stats!$F$23)/(Norm_Stats!$G$23-Norm_Stats!$F$23)))))="",0,(IF(OR(City_Inputs!$AJ115="",Norm_Stats!$F$23="",Norm_Stats!$G$23="",Norm_Stats!$G$23=Norm_Stats!$F$23),"",MAX(0,MIN(100,100*(MIN(MAX(City_Inputs!$AJ115,Norm_Stats!$F$23),Norm_Stats!$G$23)-Norm_Stats!$F$23)/(Norm_Stats!$G$23-Norm_Stats!$F$23)))))*0.3)+IF((IF(OR(City_Inputs!$AK115="",Norm_Stats!$F$24="",Norm_Stats!$G$24="",Norm_Stats!$G$24=Norm_Stats!$F$24),"",MAX(0,MIN(100,100*(MIN(MAX(City_Inputs!$AK115,Norm_Stats!$F$24),Norm_Stats!$G$24)-Norm_Stats!$F$24)/(Norm_Stats!$G$24-Norm_Stats!$F$24)))))="",0,(IF(OR(City_Inputs!$AK115="",Norm_Stats!$F$24="",Norm_Stats!$G$24="",Norm_Stats!$G$24=Norm_Stats!$F$24),"",MAX(0,MIN(100,100*(MIN(MAX(City_Inputs!$AK115,Norm_Stats!$F$24),Norm_Stats!$G$24)-Norm_Stats!$F$24)/(Norm_Stats!$G$24-Norm_Stats!$F$24)))))*0.2))/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D115" s="14">
        <f>IF(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=0,"",(IF((IF(OR(City_Inputs!$AG115="",Norm_Stats!$F$22="",Norm_Stats!$G$22="",Norm_Stats!$G$22=Norm_Stats!$F$22),"",MAX(0,MIN(100,100*(MIN(MAX(City_Inputs!$AG115,Norm_Stats!$F$22),Norm_Stats!$G$22)-Norm_Stats!$F$22)/(Norm_Stats!$G$22-Norm_Stats!$F$22)))))="",0,0.5)+IF((IF(OR(City_Inputs!$AJ115="",Norm_Stats!$F$23="",Norm_Stats!$G$23="",Norm_Stats!$G$23=Norm_Stats!$F$23),"",MAX(0,MIN(100,100*(MIN(MAX(City_Inputs!$AJ115,Norm_Stats!$F$23),Norm_Stats!$G$23)-Norm_Stats!$F$23)/(Norm_Stats!$G$23-Norm_Stats!$F$23)))))="",0,0.3)+IF((IF(OR(City_Inputs!$AK115="",Norm_Stats!$F$24="",Norm_Stats!$G$24="",Norm_Stats!$G$24=Norm_Stats!$F$24),"",MAX(0,MIN(100,100*(MIN(MAX(City_Inputs!$AK115,Norm_Stats!$F$24),Norm_Stats!$G$24)-Norm_Stats!$F$24)/(Norm_Stats!$G$24-Norm_Stats!$F$24)))))="",0,0.2)))</f>
        <v/>
      </c>
      <c r="BE115" s="11">
        <f>IF(OR(City_Inputs!$AH115="",Norm_Stats!$F$25="",Norm_Stats!$G$25="",Norm_Stats!$G$25=Norm_Stats!$F$25),"",MAX(0,MIN(100,100*(Norm_Stats!$G$25-MIN(MAX(City_Inputs!$AH115,Norm_Stats!$F$25),Norm_Stats!$G$25))/(Norm_Stats!$G$25-Norm_Stats!$F$25))))</f>
        <v/>
      </c>
      <c r="BF115" s="14">
        <f>IF(BE115="","",1)</f>
        <v/>
      </c>
      <c r="BG115" s="15">
        <f>IF((IF(AY115="",0,6)+IF(BA115="",0,5)+IF(BC115="",0,5)+IF(BE115="",0,4))=0,"",(IF(AY115="",0,AY115*6)+IF(BA115="",0,BA115*5)+IF(BC115="",0,BC115*5)+IF(BE115="",0,BE115*4))/(IF(AY115="",0,6)+IF(BA115="",0,5)+IF(BC115="",0,5)+IF(BE115="",0,4)))</f>
        <v/>
      </c>
      <c r="BH115" s="14">
        <f>IF((IF(AZ115="",0,6)+IF(BB115="",0,5)+IF(BD115="",0,5)+IF(BF115="",0,4))=0,"",(IF(AZ115="",0,AZ115*6)+IF(BB115="",0,BB115*5)+IF(BD115="",0,BD115*5)+IF(BF115="",0,BF115*4))/20)</f>
        <v/>
      </c>
      <c r="BI115" s="14">
        <f>IF(AND(R115="",AF115="",AN115="",AX115="",BH115=""),"",((R115*25)+(AF115*22)+(AN115*18)+(AX115*15)+(BH115*20))/100)</f>
        <v/>
      </c>
      <c r="BJ115" s="11">
        <f>IF(BI115="","",IF(BI115&gt;=0.75,"A",IF(BI115&gt;=0.5,"B",IF(BI115&gt;=0.35,"C","Watchlist"))))</f>
        <v/>
      </c>
      <c r="BK115" s="11">
        <f>IF(OR(BI115="",BI115&lt;0.5,R115="",R115&lt;0.35,AF115="",AF115&lt;0.35,AN115="",AN115&lt;0.35,AX115="",AX115&lt;0.35,BH115="",BH115&lt;0.35),"Watchlist","Ranked")</f>
        <v/>
      </c>
      <c r="BL115" s="15">
        <f>IF(AND(Q115="",AE115="",AM115="",AW115="",BG115=""),"",(IF(Q115="",0,Q115*25)+IF(AE115="",0,AE115*22)+IF(AM115="",0,AM115*18)+IF(AW115="",0,AW115*15)+IF(BG115="",0,BG115*20))/(IF(Q115="",0,25)+IF(AE115="",0,22)+IF(AM115="",0,18)+IF(AW115="",0,15)+IF(BG115="",0,20)))</f>
        <v/>
      </c>
      <c r="BM115" s="11">
        <f>IF(BK115="Ranked",1+COUNTIFS($BK$2:$BK$158,"Ranked",$BL$2:$BL$158,"&gt;"&amp;BL115),"")</f>
        <v/>
      </c>
      <c r="BN115" s="11">
        <f>City_Inputs!$AI115</f>
        <v/>
      </c>
    </row>
    <row r="116">
      <c r="A116" t="inlineStr">
        <is>
          <t>tw-kaohsiung</t>
        </is>
      </c>
      <c r="B116" t="inlineStr">
        <is>
          <t>Kaohsiung</t>
        </is>
      </c>
      <c r="C116" t="inlineStr">
        <is>
          <t>Taiwan</t>
        </is>
      </c>
      <c r="D116" t="inlineStr">
        <is>
          <t>East Asia</t>
        </is>
      </c>
      <c r="E116" t="inlineStr">
        <is>
          <t>locked</t>
        </is>
      </c>
      <c r="F116" t="inlineStr">
        <is>
          <t>primary</t>
        </is>
      </c>
      <c r="G116" s="11">
        <f>IF(OR(City_Inputs!$M116="",Norm_Stats!$F$2="",Norm_Stats!$G$2="",Norm_Stats!$G$2=Norm_Stats!$F$2),"",MAX(0,MIN(100,100*(MIN(MAX(City_Inputs!$M116,Norm_Stats!$F$2),Norm_Stats!$G$2)-Norm_Stats!$F$2)/(Norm_Stats!$G$2-Norm_Stats!$F$2))))</f>
        <v/>
      </c>
      <c r="H116" s="14">
        <f>IF(G116="","",1)</f>
        <v/>
      </c>
      <c r="I116" s="11">
        <f>IF(OR(City_Inputs!$N116="",Norm_Stats!$F$3="",Norm_Stats!$G$3="",Norm_Stats!$G$3=Norm_Stats!$F$3),"",MAX(0,MIN(100,100*(Norm_Stats!$G$3-MIN(MAX(City_Inputs!$N116,Norm_Stats!$F$3),Norm_Stats!$G$3))/(Norm_Stats!$G$3-Norm_Stats!$F$3))))</f>
        <v/>
      </c>
      <c r="J116" s="14">
        <f>IF(I116="","",1)</f>
        <v/>
      </c>
      <c r="K116" s="11">
        <f>IF(OR(City_Inputs!$P116="",Norm_Stats!$F$4="",Norm_Stats!$G$4="",Norm_Stats!$G$4=Norm_Stats!$F$4),"",MAX(0,MIN(100,100*(Norm_Stats!$G$4-MIN(MAX(City_Inputs!$P116,Norm_Stats!$F$4),Norm_Stats!$G$4))/(Norm_Stats!$G$4-Norm_Stats!$F$4))))</f>
        <v/>
      </c>
      <c r="L116" s="14">
        <f>IF(K116="","",1)</f>
        <v/>
      </c>
      <c r="M116" s="11">
        <f>IF(OR(City_Inputs!$Q116="",Norm_Stats!$F$5="",Norm_Stats!$G$5="",Norm_Stats!$G$5=Norm_Stats!$F$5),"",MAX(0,MIN(100,100*(Norm_Stats!$G$5-MIN(MAX(City_Inputs!$Q116,Norm_Stats!$F$5),Norm_Stats!$G$5))/(Norm_Stats!$G$5-Norm_Stats!$F$5))))</f>
        <v/>
      </c>
      <c r="N116" s="14">
        <f>IF(M116="","",1)</f>
        <v/>
      </c>
      <c r="O116" s="11">
        <f>IF(OR(City_Inputs!$R116="",Norm_Stats!$F$6="",Norm_Stats!$G$6="",Norm_Stats!$G$6=Norm_Stats!$F$6),"",MAX(0,MIN(100,100*(Norm_Stats!$G$6-MIN(MAX(City_Inputs!$R116,Norm_Stats!$F$6),Norm_Stats!$G$6))/(Norm_Stats!$G$6-Norm_Stats!$F$6))))</f>
        <v/>
      </c>
      <c r="P116" s="14">
        <f>IF(O116="","",1)</f>
        <v/>
      </c>
      <c r="Q116" s="15">
        <f>IF((IF(G116="",0,9)+IF(I116="",0,5)+IF(K116="",0,4)+IF(M116="",0,4)+IF(O116="",0,5))=0,"",(IF(G116="",0,G116*9)+IF(I116="",0,I116*5)+IF(K116="",0,K116*4)+IF(M116="",0,M116*4)+IF(O116="",0,O116*5))/(IF(G116="",0,9)+IF(I116="",0,5)+IF(K116="",0,4)+IF(M116="",0,4)+IF(O116="",0,5)))</f>
        <v/>
      </c>
      <c r="R116" s="14">
        <f>IF((IF(H116="",0,9)+IF(J116="",0,5)+IF(L116="",0,4)+IF(N116="",0,4)+IF(P116="",0,5))=0,"",(IF(H116="",0,H116*9)+IF(J116="",0,J116*5)+IF(L116="",0,L116*4)+IF(N116="",0,N116*4)+IF(P116="",0,P116*5))/27)</f>
        <v/>
      </c>
      <c r="S116" s="11">
        <f>IF(OR(City_Inputs!$S116="",Norm_Stats!$F$7="",Norm_Stats!$G$7="",Norm_Stats!$G$7=Norm_Stats!$F$7),"",MAX(0,MIN(100,100*(Norm_Stats!$G$7-MIN(MAX(City_Inputs!$S116,Norm_Stats!$F$7),Norm_Stats!$G$7))/(Norm_Stats!$G$7-Norm_Stats!$F$7))))</f>
        <v/>
      </c>
      <c r="T116" s="14">
        <f>IF(S116="","",1)</f>
        <v/>
      </c>
      <c r="U116" s="11">
        <f>IF(OR(City_Inputs!$T116="",Norm_Stats!$F$8="",Norm_Stats!$G$8="",Norm_Stats!$G$8=Norm_Stats!$F$8),"",MAX(0,MIN(100,100*(MIN(MAX(City_Inputs!$T116,Norm_Stats!$F$8),Norm_Stats!$G$8)-Norm_Stats!$F$8)/(Norm_Stats!$G$8-Norm_Stats!$F$8))))</f>
        <v/>
      </c>
      <c r="V116" s="14">
        <f>IF(U116="","",1)</f>
        <v/>
      </c>
      <c r="W116" s="11">
        <f>IF(OR(City_Inputs!$U116="",Norm_Stats!$F$9="",Norm_Stats!$G$9="",Norm_Stats!$G$9=Norm_Stats!$F$9),"",MAX(0,MIN(100,100*(Norm_Stats!$G$9-MIN(MAX(City_Inputs!$U116,Norm_Stats!$F$9),Norm_Stats!$G$9))/(Norm_Stats!$G$9-Norm_Stats!$F$9))))</f>
        <v/>
      </c>
      <c r="X116" s="14">
        <f>IF(W116="","",1)</f>
        <v/>
      </c>
      <c r="Y116" s="11">
        <f>IF(OR(City_Inputs!$V116="",Norm_Stats!$F$10="",Norm_Stats!$G$10="",Norm_Stats!$G$10=Norm_Stats!$F$10),"",MAX(0,MIN(100,100*(MIN(MAX(City_Inputs!$V116,Norm_Stats!$F$10),Norm_Stats!$G$10)-Norm_Stats!$F$10)/(Norm_Stats!$G$10-Norm_Stats!$F$10))))</f>
        <v/>
      </c>
      <c r="Z116" s="14">
        <f>IF(Y116="","",1)</f>
        <v/>
      </c>
      <c r="AA116" s="11">
        <f>IF(OR(City_Inputs!$W116="",Norm_Stats!$F$11="",Norm_Stats!$G$11="",Norm_Stats!$G$11=Norm_Stats!$F$11),"",MAX(0,MIN(100,100*(MIN(MAX(City_Inputs!$W116,Norm_Stats!$F$11),Norm_Stats!$G$11)-Norm_Stats!$F$11)/(Norm_Stats!$G$11-Norm_Stats!$F$11))))</f>
        <v/>
      </c>
      <c r="AB116" s="14">
        <f>IF(AA116="","",1)</f>
        <v/>
      </c>
      <c r="AC116" s="11">
        <f>IF(OR(City_Inputs!$X116="",Norm_Stats!$F$12="",Norm_Stats!$G$12="",Norm_Stats!$G$12=Norm_Stats!$F$12),"",MAX(0,MIN(100,100*(MIN(MAX(City_Inputs!$X116,Norm_Stats!$F$12),Norm_Stats!$G$12)-Norm_Stats!$F$12)/(Norm_Stats!$G$12-Norm_Stats!$F$12))))</f>
        <v/>
      </c>
      <c r="AD116" s="11">
        <f>IF(AC116="","",1)</f>
        <v/>
      </c>
      <c r="AE116" s="15">
        <f>IF((IF(S116="",0,5)+IF(U116="",0,5)+IF(W116="",0,4)+IF(Y116="",0,4)+IF(AA116="",0,4)+IF(AC116="",0,5))=0,"",(IF(S116="",0,S116*5)+IF(U116="",0,U116*5)+IF(W116="",0,W116*4)+IF(Y116="",0,Y116*4)+IF(AA116="",0,AA116*4)+IF(AC116="",0,AC116*5))/(IF(S116="",0,5)+IF(U116="",0,5)+IF(W116="",0,4)+IF(Y116="",0,4)+IF(AA116="",0,4)+IF(AC116="",0,5)))</f>
        <v/>
      </c>
      <c r="AF116" s="14">
        <f>IF((IF(T116="",0,5)+IF(V116="",0,5)+IF(X116="",0,4)+IF(Z116="",0,4)+IF(AB116="",0,4)+IF(AD116="",0,5))=0,"",(IF(T116="",0,T116*5)+IF(V116="",0,V116*5)+IF(X116="",0,X116*4)+IF(Z116="",0,Z116*4)+IF(AB116="",0,AB116*4)+IF(AD116="",0,AD116*5))/27)</f>
        <v/>
      </c>
      <c r="AG116" s="11">
        <f>IF(OR(City_Inputs!$Y116="",Norm_Stats!$F$13="",Norm_Stats!$G$13="",Norm_Stats!$G$13=Norm_Stats!$F$13),"",MAX(0,MIN(100,100*(MIN(MAX(City_Inputs!$Y116,Norm_Stats!$F$13),Norm_Stats!$G$13)-Norm_Stats!$F$13)/(Norm_Stats!$G$13-Norm_Stats!$F$13))))</f>
        <v/>
      </c>
      <c r="AH116" s="14">
        <f>IF(AG116="","",1)</f>
        <v/>
      </c>
      <c r="AI116" s="11">
        <f>IF(OR(City_Inputs!$Z116="",Norm_Stats!$F$14="",Norm_Stats!$G$14="",Norm_Stats!$G$14=Norm_Stats!$F$14),"",MAX(0,MIN(100,100*(MIN(MAX(City_Inputs!$Z116,Norm_Stats!$F$14),Norm_Stats!$G$14)-Norm_Stats!$F$14)/(Norm_Stats!$G$14-Norm_Stats!$F$14))))</f>
        <v/>
      </c>
      <c r="AJ116" s="14">
        <f>IF(AI116="","",1)</f>
        <v/>
      </c>
      <c r="AK116" s="11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(IF(OR(City_Inputs!$AA116="",Norm_Stats!$F$15="",Norm_Stats!$G$15="",Norm_Stats!$G$15=Norm_Stats!$F$15),"",MAX(0,MIN(100,100*(MIN(MAX(City_Inputs!$AA116,Norm_Stats!$F$15),Norm_Stats!$G$15)-Norm_Stats!$F$15)/(Norm_Stats!$G$15-Norm_Stats!$F$15)))))*0.7)+IF((IF(OR(City_Inputs!$AL116="",Norm_Stats!$F$16="",Norm_Stats!$G$16="",Norm_Stats!$G$16=Norm_Stats!$F$16),"",MAX(0,MIN(100,100*(Norm_Stats!$G$16-MIN(MAX(City_Inputs!$AL116,Norm_Stats!$F$16),Norm_Stats!$G$16))/(Norm_Stats!$G$16-Norm_Stats!$F$16)))))="",0,(IF(OR(City_Inputs!$AL116="",Norm_Stats!$F$16="",Norm_Stats!$G$16="",Norm_Stats!$G$16=Norm_Stats!$F$16),"",MAX(0,MIN(100,100*(Norm_Stats!$G$16-MIN(MAX(City_Inputs!$AL116,Norm_Stats!$F$16),Norm_Stats!$G$16))/(Norm_Stats!$G$16-Norm_Stats!$F$16)))))*0.3))/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L116" s="14">
        <f>IF(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=0,"",(IF((IF(OR(City_Inputs!$AA116="",Norm_Stats!$F$15="",Norm_Stats!$G$15="",Norm_Stats!$G$15=Norm_Stats!$F$15),"",MAX(0,MIN(100,100*(MIN(MAX(City_Inputs!$AA116,Norm_Stats!$F$15),Norm_Stats!$G$15)-Norm_Stats!$F$15)/(Norm_Stats!$G$15-Norm_Stats!$F$15)))))="",0,0.7)+IF((IF(OR(City_Inputs!$AL116="",Norm_Stats!$F$16="",Norm_Stats!$G$16="",Norm_Stats!$G$16=Norm_Stats!$F$16),"",MAX(0,MIN(100,100*(Norm_Stats!$G$16-MIN(MAX(City_Inputs!$AL116,Norm_Stats!$F$16),Norm_Stats!$G$16))/(Norm_Stats!$G$16-Norm_Stats!$F$16)))))="",0,0.3)))</f>
        <v/>
      </c>
      <c r="AM116" s="15">
        <f>IF((IF(AG116="",0,8)+IF(AI116="",0,6)+IF(AK116="",0,4))=0,"",(IF(AG116="",0,AG116*8)+IF(AI116="",0,AI116*6)+IF(AK116="",0,AK116*4))/(IF(AG116="",0,8)+IF(AI116="",0,6)+IF(AK116="",0,4)))</f>
        <v/>
      </c>
      <c r="AN116" s="14">
        <f>IF((IF(AH116="",0,8)+IF(AJ116="",0,6)+IF(AL116="",0,4))=0,"",(IF(AH116="",0,AH116*8)+IF(AJ116="",0,AJ116*6)+IF(AL116="",0,AL116*4))/18)</f>
        <v/>
      </c>
      <c r="AO116" s="11">
        <f>IF(OR(City_Inputs!$AB116="",Norm_Stats!$F$17="",Norm_Stats!$G$17="",Norm_Stats!$G$17=Norm_Stats!$F$17),"",MAX(0,MIN(100,100*(MIN(MAX(City_Inputs!$AB116,Norm_Stats!$F$17),Norm_Stats!$G$17)-Norm_Stats!$F$17)/(Norm_Stats!$G$17-Norm_Stats!$F$17))))</f>
        <v/>
      </c>
      <c r="AP116" s="14">
        <f>IF(AO116="","",1)</f>
        <v/>
      </c>
      <c r="AQ116" s="11">
        <f>IF(OR(City_Inputs!$AC116="",Norm_Stats!$F$18="",Norm_Stats!$G$18="",Norm_Stats!$G$18=Norm_Stats!$F$18),"",MAX(0,MIN(100,100*(MIN(MAX(City_Inputs!$AC116,Norm_Stats!$F$18),Norm_Stats!$G$18)-Norm_Stats!$F$18)/(Norm_Stats!$G$18-Norm_Stats!$F$18))))</f>
        <v/>
      </c>
      <c r="AR116" s="14">
        <f>IF(AQ116="","",1)</f>
        <v/>
      </c>
      <c r="AS116" s="11">
        <f>IF(OR(City_Inputs!$AD116="",Norm_Stats!$F$19="",Norm_Stats!$G$19="",Norm_Stats!$G$19=Norm_Stats!$F$19),"",MAX(0,MIN(100,100*(MIN(MAX(City_Inputs!$AD116,Norm_Stats!$F$19),Norm_Stats!$G$19)-Norm_Stats!$F$19)/(Norm_Stats!$G$19-Norm_Stats!$F$19))))</f>
        <v/>
      </c>
      <c r="AT116" s="14">
        <f>IF(AS116="","",1)</f>
        <v/>
      </c>
      <c r="AU116" s="11">
        <f>IF(OR(City_Inputs!$BJ116="",Norm_Stats!$F$26="",Norm_Stats!$G$26="",Norm_Stats!$G$26=Norm_Stats!$F$26),"",MAX(0,MIN(100,100*(MIN(MAX(City_Inputs!$BJ116,Norm_Stats!$F$26),Norm_Stats!$G$26)-Norm_Stats!$F$26)/(Norm_Stats!$G$26-Norm_Stats!$F$26))))</f>
        <v/>
      </c>
      <c r="AV116" s="11">
        <f>IF(AU116="","",1)</f>
        <v/>
      </c>
      <c r="AW116" s="15">
        <f>IF((IF(AO116="",0,5)+IF(AQ116="",0,5)+IF(AS116="",0,5)+IF(AU116="",0,4))=0,"",(IF(AO116="",0,AO116*5)+IF(AQ116="",0,AQ116*5)+IF(AS116="",0,AS116*5)+IF(AU116="",0,AU116*4))/(IF(AO116="",0,5)+IF(AQ116="",0,5)+IF(AS116="",0,5)+IF(AU116="",0,4)))</f>
        <v/>
      </c>
      <c r="AX116" s="14">
        <f>IF((IF(AP116="",0,5)+IF(AR116="",0,5)+IF(AT116="",0,5)+IF(AV116="",0,4))=0,"",(IF(AP116="",0,AP116*5)+IF(AR116="",0,AR116*5)+IF(AT116="",0,AT116*5)+IF(AV116="",0,AV116*4))/19)</f>
        <v/>
      </c>
      <c r="AY116" s="11">
        <f>IF(OR(City_Inputs!$AE116="",Norm_Stats!$F$20="",Norm_Stats!$G$20="",Norm_Stats!$G$20=Norm_Stats!$F$20),"",MAX(0,MIN(100,100*(MIN(MAX(City_Inputs!$AE116,Norm_Stats!$F$20),Norm_Stats!$G$20)-Norm_Stats!$F$20)/(Norm_Stats!$G$20-Norm_Stats!$F$20))))</f>
        <v/>
      </c>
      <c r="AZ116" s="14">
        <f>IF(AY116="","",1)</f>
        <v/>
      </c>
      <c r="BA116" s="11">
        <f>IF(OR(City_Inputs!$AF116="",Norm_Stats!$F$21="",Norm_Stats!$G$21="",Norm_Stats!$G$21=Norm_Stats!$F$21),"",MAX(0,MIN(100,100*(MIN(MAX(City_Inputs!$AF116,Norm_Stats!$F$21),Norm_Stats!$G$21)-Norm_Stats!$F$21)/(Norm_Stats!$G$21-Norm_Stats!$F$21))))</f>
        <v/>
      </c>
      <c r="BB116" s="14">
        <f>IF(BA116="","",1)</f>
        <v/>
      </c>
      <c r="BC116" s="11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(IF(OR(City_Inputs!$AG116="",Norm_Stats!$F$22="",Norm_Stats!$G$22="",Norm_Stats!$G$22=Norm_Stats!$F$22),"",MAX(0,MIN(100,100*(MIN(MAX(City_Inputs!$AG116,Norm_Stats!$F$22),Norm_Stats!$G$22)-Norm_Stats!$F$22)/(Norm_Stats!$G$22-Norm_Stats!$F$22)))))*0.5)+IF((IF(OR(City_Inputs!$AJ116="",Norm_Stats!$F$23="",Norm_Stats!$G$23="",Norm_Stats!$G$23=Norm_Stats!$F$23),"",MAX(0,MIN(100,100*(MIN(MAX(City_Inputs!$AJ116,Norm_Stats!$F$23),Norm_Stats!$G$23)-Norm_Stats!$F$23)/(Norm_Stats!$G$23-Norm_Stats!$F$23)))))="",0,(IF(OR(City_Inputs!$AJ116="",Norm_Stats!$F$23="",Norm_Stats!$G$23="",Norm_Stats!$G$23=Norm_Stats!$F$23),"",MAX(0,MIN(100,100*(MIN(MAX(City_Inputs!$AJ116,Norm_Stats!$F$23),Norm_Stats!$G$23)-Norm_Stats!$F$23)/(Norm_Stats!$G$23-Norm_Stats!$F$23)))))*0.3)+IF((IF(OR(City_Inputs!$AK116="",Norm_Stats!$F$24="",Norm_Stats!$G$24="",Norm_Stats!$G$24=Norm_Stats!$F$24),"",MAX(0,MIN(100,100*(MIN(MAX(City_Inputs!$AK116,Norm_Stats!$F$24),Norm_Stats!$G$24)-Norm_Stats!$F$24)/(Norm_Stats!$G$24-Norm_Stats!$F$24)))))="",0,(IF(OR(City_Inputs!$AK116="",Norm_Stats!$F$24="",Norm_Stats!$G$24="",Norm_Stats!$G$24=Norm_Stats!$F$24),"",MAX(0,MIN(100,100*(MIN(MAX(City_Inputs!$AK116,Norm_Stats!$F$24),Norm_Stats!$G$24)-Norm_Stats!$F$24)/(Norm_Stats!$G$24-Norm_Stats!$F$24)))))*0.2))/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D116" s="14">
        <f>IF(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=0,"",(IF((IF(OR(City_Inputs!$AG116="",Norm_Stats!$F$22="",Norm_Stats!$G$22="",Norm_Stats!$G$22=Norm_Stats!$F$22),"",MAX(0,MIN(100,100*(MIN(MAX(City_Inputs!$AG116,Norm_Stats!$F$22),Norm_Stats!$G$22)-Norm_Stats!$F$22)/(Norm_Stats!$G$22-Norm_Stats!$F$22)))))="",0,0.5)+IF((IF(OR(City_Inputs!$AJ116="",Norm_Stats!$F$23="",Norm_Stats!$G$23="",Norm_Stats!$G$23=Norm_Stats!$F$23),"",MAX(0,MIN(100,100*(MIN(MAX(City_Inputs!$AJ116,Norm_Stats!$F$23),Norm_Stats!$G$23)-Norm_Stats!$F$23)/(Norm_Stats!$G$23-Norm_Stats!$F$23)))))="",0,0.3)+IF((IF(OR(City_Inputs!$AK116="",Norm_Stats!$F$24="",Norm_Stats!$G$24="",Norm_Stats!$G$24=Norm_Stats!$F$24),"",MAX(0,MIN(100,100*(MIN(MAX(City_Inputs!$AK116,Norm_Stats!$F$24),Norm_Stats!$G$24)-Norm_Stats!$F$24)/(Norm_Stats!$G$24-Norm_Stats!$F$24)))))="",0,0.2)))</f>
        <v/>
      </c>
      <c r="BE116" s="11">
        <f>IF(OR(City_Inputs!$AH116="",Norm_Stats!$F$25="",Norm_Stats!$G$25="",Norm_Stats!$G$25=Norm_Stats!$F$25),"",MAX(0,MIN(100,100*(Norm_Stats!$G$25-MIN(MAX(City_Inputs!$AH116,Norm_Stats!$F$25),Norm_Stats!$G$25))/(Norm_Stats!$G$25-Norm_Stats!$F$25))))</f>
        <v/>
      </c>
      <c r="BF116" s="14">
        <f>IF(BE116="","",1)</f>
        <v/>
      </c>
      <c r="BG116" s="15">
        <f>IF((IF(AY116="",0,6)+IF(BA116="",0,5)+IF(BC116="",0,5)+IF(BE116="",0,4))=0,"",(IF(AY116="",0,AY116*6)+IF(BA116="",0,BA116*5)+IF(BC116="",0,BC116*5)+IF(BE116="",0,BE116*4))/(IF(AY116="",0,6)+IF(BA116="",0,5)+IF(BC116="",0,5)+IF(BE116="",0,4)))</f>
        <v/>
      </c>
      <c r="BH116" s="14">
        <f>IF((IF(AZ116="",0,6)+IF(BB116="",0,5)+IF(BD116="",0,5)+IF(BF116="",0,4))=0,"",(IF(AZ116="",0,AZ116*6)+IF(BB116="",0,BB116*5)+IF(BD116="",0,BD116*5)+IF(BF116="",0,BF116*4))/20)</f>
        <v/>
      </c>
      <c r="BI116" s="14">
        <f>IF(AND(R116="",AF116="",AN116="",AX116="",BH116=""),"",((R116*25)+(AF116*22)+(AN116*18)+(AX116*15)+(BH116*20))/100)</f>
        <v/>
      </c>
      <c r="BJ116" s="11">
        <f>IF(BI116="","",IF(BI116&gt;=0.75,"A",IF(BI116&gt;=0.5,"B",IF(BI116&gt;=0.35,"C","Watchlist"))))</f>
        <v/>
      </c>
      <c r="BK116" s="11">
        <f>IF(OR(BI116="",BI116&lt;0.5,R116="",R116&lt;0.35,AF116="",AF116&lt;0.35,AN116="",AN116&lt;0.35,AX116="",AX116&lt;0.35,BH116="",BH116&lt;0.35),"Watchlist","Ranked")</f>
        <v/>
      </c>
      <c r="BL116" s="15">
        <f>IF(AND(Q116="",AE116="",AM116="",AW116="",BG116=""),"",(IF(Q116="",0,Q116*25)+IF(AE116="",0,AE116*22)+IF(AM116="",0,AM116*18)+IF(AW116="",0,AW116*15)+IF(BG116="",0,BG116*20))/(IF(Q116="",0,25)+IF(AE116="",0,22)+IF(AM116="",0,18)+IF(AW116="",0,15)+IF(BG116="",0,20)))</f>
        <v/>
      </c>
      <c r="BM116" s="11">
        <f>IF(BK116="Ranked",1+COUNTIFS($BK$2:$BK$158,"Ranked",$BL$2:$BL$158,"&gt;"&amp;BL116),"")</f>
        <v/>
      </c>
      <c r="BN116" s="11">
        <f>City_Inputs!$AI116</f>
        <v/>
      </c>
    </row>
    <row r="117">
      <c r="A117" t="inlineStr">
        <is>
          <t>kr-incheon</t>
        </is>
      </c>
      <c r="B117" t="inlineStr">
        <is>
          <t>Incheon</t>
        </is>
      </c>
      <c r="C117" t="inlineStr">
        <is>
          <t>South Korea</t>
        </is>
      </c>
      <c r="D117" t="inlineStr">
        <is>
          <t>East Asia</t>
        </is>
      </c>
      <c r="E117" t="inlineStr">
        <is>
          <t>provisional</t>
        </is>
      </c>
      <c r="F117" t="inlineStr">
        <is>
          <t>primary</t>
        </is>
      </c>
      <c r="G117" s="11">
        <f>IF(OR(City_Inputs!$M117="",Norm_Stats!$F$2="",Norm_Stats!$G$2="",Norm_Stats!$G$2=Norm_Stats!$F$2),"",MAX(0,MIN(100,100*(MIN(MAX(City_Inputs!$M117,Norm_Stats!$F$2),Norm_Stats!$G$2)-Norm_Stats!$F$2)/(Norm_Stats!$G$2-Norm_Stats!$F$2))))</f>
        <v/>
      </c>
      <c r="H117" s="14">
        <f>IF(G117="","",1)</f>
        <v/>
      </c>
      <c r="I117" s="11">
        <f>IF(OR(City_Inputs!$N117="",Norm_Stats!$F$3="",Norm_Stats!$G$3="",Norm_Stats!$G$3=Norm_Stats!$F$3),"",MAX(0,MIN(100,100*(Norm_Stats!$G$3-MIN(MAX(City_Inputs!$N117,Norm_Stats!$F$3),Norm_Stats!$G$3))/(Norm_Stats!$G$3-Norm_Stats!$F$3))))</f>
        <v/>
      </c>
      <c r="J117" s="14">
        <f>IF(I117="","",1)</f>
        <v/>
      </c>
      <c r="K117" s="11">
        <f>IF(OR(City_Inputs!$P117="",Norm_Stats!$F$4="",Norm_Stats!$G$4="",Norm_Stats!$G$4=Norm_Stats!$F$4),"",MAX(0,MIN(100,100*(Norm_Stats!$G$4-MIN(MAX(City_Inputs!$P117,Norm_Stats!$F$4),Norm_Stats!$G$4))/(Norm_Stats!$G$4-Norm_Stats!$F$4))))</f>
        <v/>
      </c>
      <c r="L117" s="14">
        <f>IF(K117="","",1)</f>
        <v/>
      </c>
      <c r="M117" s="11">
        <f>IF(OR(City_Inputs!$Q117="",Norm_Stats!$F$5="",Norm_Stats!$G$5="",Norm_Stats!$G$5=Norm_Stats!$F$5),"",MAX(0,MIN(100,100*(Norm_Stats!$G$5-MIN(MAX(City_Inputs!$Q117,Norm_Stats!$F$5),Norm_Stats!$G$5))/(Norm_Stats!$G$5-Norm_Stats!$F$5))))</f>
        <v/>
      </c>
      <c r="N117" s="14">
        <f>IF(M117="","",1)</f>
        <v/>
      </c>
      <c r="O117" s="11">
        <f>IF(OR(City_Inputs!$R117="",Norm_Stats!$F$6="",Norm_Stats!$G$6="",Norm_Stats!$G$6=Norm_Stats!$F$6),"",MAX(0,MIN(100,100*(Norm_Stats!$G$6-MIN(MAX(City_Inputs!$R117,Norm_Stats!$F$6),Norm_Stats!$G$6))/(Norm_Stats!$G$6-Norm_Stats!$F$6))))</f>
        <v/>
      </c>
      <c r="P117" s="14">
        <f>IF(O117="","",1)</f>
        <v/>
      </c>
      <c r="Q117" s="15">
        <f>IF((IF(G117="",0,9)+IF(I117="",0,5)+IF(K117="",0,4)+IF(M117="",0,4)+IF(O117="",0,5))=0,"",(IF(G117="",0,G117*9)+IF(I117="",0,I117*5)+IF(K117="",0,K117*4)+IF(M117="",0,M117*4)+IF(O117="",0,O117*5))/(IF(G117="",0,9)+IF(I117="",0,5)+IF(K117="",0,4)+IF(M117="",0,4)+IF(O117="",0,5)))</f>
        <v/>
      </c>
      <c r="R117" s="14">
        <f>IF((IF(H117="",0,9)+IF(J117="",0,5)+IF(L117="",0,4)+IF(N117="",0,4)+IF(P117="",0,5))=0,"",(IF(H117="",0,H117*9)+IF(J117="",0,J117*5)+IF(L117="",0,L117*4)+IF(N117="",0,N117*4)+IF(P117="",0,P117*5))/27)</f>
        <v/>
      </c>
      <c r="S117" s="11">
        <f>IF(OR(City_Inputs!$S117="",Norm_Stats!$F$7="",Norm_Stats!$G$7="",Norm_Stats!$G$7=Norm_Stats!$F$7),"",MAX(0,MIN(100,100*(Norm_Stats!$G$7-MIN(MAX(City_Inputs!$S117,Norm_Stats!$F$7),Norm_Stats!$G$7))/(Norm_Stats!$G$7-Norm_Stats!$F$7))))</f>
        <v/>
      </c>
      <c r="T117" s="14">
        <f>IF(S117="","",1)</f>
        <v/>
      </c>
      <c r="U117" s="11">
        <f>IF(OR(City_Inputs!$T117="",Norm_Stats!$F$8="",Norm_Stats!$G$8="",Norm_Stats!$G$8=Norm_Stats!$F$8),"",MAX(0,MIN(100,100*(MIN(MAX(City_Inputs!$T117,Norm_Stats!$F$8),Norm_Stats!$G$8)-Norm_Stats!$F$8)/(Norm_Stats!$G$8-Norm_Stats!$F$8))))</f>
        <v/>
      </c>
      <c r="V117" s="14">
        <f>IF(U117="","",1)</f>
        <v/>
      </c>
      <c r="W117" s="11">
        <f>IF(OR(City_Inputs!$U117="",Norm_Stats!$F$9="",Norm_Stats!$G$9="",Norm_Stats!$G$9=Norm_Stats!$F$9),"",MAX(0,MIN(100,100*(Norm_Stats!$G$9-MIN(MAX(City_Inputs!$U117,Norm_Stats!$F$9),Norm_Stats!$G$9))/(Norm_Stats!$G$9-Norm_Stats!$F$9))))</f>
        <v/>
      </c>
      <c r="X117" s="14">
        <f>IF(W117="","",1)</f>
        <v/>
      </c>
      <c r="Y117" s="11">
        <f>IF(OR(City_Inputs!$V117="",Norm_Stats!$F$10="",Norm_Stats!$G$10="",Norm_Stats!$G$10=Norm_Stats!$F$10),"",MAX(0,MIN(100,100*(MIN(MAX(City_Inputs!$V117,Norm_Stats!$F$10),Norm_Stats!$G$10)-Norm_Stats!$F$10)/(Norm_Stats!$G$10-Norm_Stats!$F$10))))</f>
        <v/>
      </c>
      <c r="Z117" s="14">
        <f>IF(Y117="","",1)</f>
        <v/>
      </c>
      <c r="AA117" s="11">
        <f>IF(OR(City_Inputs!$W117="",Norm_Stats!$F$11="",Norm_Stats!$G$11="",Norm_Stats!$G$11=Norm_Stats!$F$11),"",MAX(0,MIN(100,100*(MIN(MAX(City_Inputs!$W117,Norm_Stats!$F$11),Norm_Stats!$G$11)-Norm_Stats!$F$11)/(Norm_Stats!$G$11-Norm_Stats!$F$11))))</f>
        <v/>
      </c>
      <c r="AB117" s="14">
        <f>IF(AA117="","",1)</f>
        <v/>
      </c>
      <c r="AC117" s="11">
        <f>IF(OR(City_Inputs!$X117="",Norm_Stats!$F$12="",Norm_Stats!$G$12="",Norm_Stats!$G$12=Norm_Stats!$F$12),"",MAX(0,MIN(100,100*(MIN(MAX(City_Inputs!$X117,Norm_Stats!$F$12),Norm_Stats!$G$12)-Norm_Stats!$F$12)/(Norm_Stats!$G$12-Norm_Stats!$F$12))))</f>
        <v/>
      </c>
      <c r="AD117" s="11">
        <f>IF(AC117="","",1)</f>
        <v/>
      </c>
      <c r="AE117" s="15">
        <f>IF((IF(S117="",0,5)+IF(U117="",0,5)+IF(W117="",0,4)+IF(Y117="",0,4)+IF(AA117="",0,4)+IF(AC117="",0,5))=0,"",(IF(S117="",0,S117*5)+IF(U117="",0,U117*5)+IF(W117="",0,W117*4)+IF(Y117="",0,Y117*4)+IF(AA117="",0,AA117*4)+IF(AC117="",0,AC117*5))/(IF(S117="",0,5)+IF(U117="",0,5)+IF(W117="",0,4)+IF(Y117="",0,4)+IF(AA117="",0,4)+IF(AC117="",0,5)))</f>
        <v/>
      </c>
      <c r="AF117" s="14">
        <f>IF((IF(T117="",0,5)+IF(V117="",0,5)+IF(X117="",0,4)+IF(Z117="",0,4)+IF(AB117="",0,4)+IF(AD117="",0,5))=0,"",(IF(T117="",0,T117*5)+IF(V117="",0,V117*5)+IF(X117="",0,X117*4)+IF(Z117="",0,Z117*4)+IF(AB117="",0,AB117*4)+IF(AD117="",0,AD117*5))/27)</f>
        <v/>
      </c>
      <c r="AG117" s="11">
        <f>IF(OR(City_Inputs!$Y117="",Norm_Stats!$F$13="",Norm_Stats!$G$13="",Norm_Stats!$G$13=Norm_Stats!$F$13),"",MAX(0,MIN(100,100*(MIN(MAX(City_Inputs!$Y117,Norm_Stats!$F$13),Norm_Stats!$G$13)-Norm_Stats!$F$13)/(Norm_Stats!$G$13-Norm_Stats!$F$13))))</f>
        <v/>
      </c>
      <c r="AH117" s="14">
        <f>IF(AG117="","",1)</f>
        <v/>
      </c>
      <c r="AI117" s="11">
        <f>IF(OR(City_Inputs!$Z117="",Norm_Stats!$F$14="",Norm_Stats!$G$14="",Norm_Stats!$G$14=Norm_Stats!$F$14),"",MAX(0,MIN(100,100*(MIN(MAX(City_Inputs!$Z117,Norm_Stats!$F$14),Norm_Stats!$G$14)-Norm_Stats!$F$14)/(Norm_Stats!$G$14-Norm_Stats!$F$14))))</f>
        <v/>
      </c>
      <c r="AJ117" s="14">
        <f>IF(AI117="","",1)</f>
        <v/>
      </c>
      <c r="AK117" s="11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(IF(OR(City_Inputs!$AA117="",Norm_Stats!$F$15="",Norm_Stats!$G$15="",Norm_Stats!$G$15=Norm_Stats!$F$15),"",MAX(0,MIN(100,100*(MIN(MAX(City_Inputs!$AA117,Norm_Stats!$F$15),Norm_Stats!$G$15)-Norm_Stats!$F$15)/(Norm_Stats!$G$15-Norm_Stats!$F$15)))))*0.7)+IF((IF(OR(City_Inputs!$AL117="",Norm_Stats!$F$16="",Norm_Stats!$G$16="",Norm_Stats!$G$16=Norm_Stats!$F$16),"",MAX(0,MIN(100,100*(Norm_Stats!$G$16-MIN(MAX(City_Inputs!$AL117,Norm_Stats!$F$16),Norm_Stats!$G$16))/(Norm_Stats!$G$16-Norm_Stats!$F$16)))))="",0,(IF(OR(City_Inputs!$AL117="",Norm_Stats!$F$16="",Norm_Stats!$G$16="",Norm_Stats!$G$16=Norm_Stats!$F$16),"",MAX(0,MIN(100,100*(Norm_Stats!$G$16-MIN(MAX(City_Inputs!$AL117,Norm_Stats!$F$16),Norm_Stats!$G$16))/(Norm_Stats!$G$16-Norm_Stats!$F$16)))))*0.3))/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L117" s="14">
        <f>IF(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=0,"",(IF((IF(OR(City_Inputs!$AA117="",Norm_Stats!$F$15="",Norm_Stats!$G$15="",Norm_Stats!$G$15=Norm_Stats!$F$15),"",MAX(0,MIN(100,100*(MIN(MAX(City_Inputs!$AA117,Norm_Stats!$F$15),Norm_Stats!$G$15)-Norm_Stats!$F$15)/(Norm_Stats!$G$15-Norm_Stats!$F$15)))))="",0,0.7)+IF((IF(OR(City_Inputs!$AL117="",Norm_Stats!$F$16="",Norm_Stats!$G$16="",Norm_Stats!$G$16=Norm_Stats!$F$16),"",MAX(0,MIN(100,100*(Norm_Stats!$G$16-MIN(MAX(City_Inputs!$AL117,Norm_Stats!$F$16),Norm_Stats!$G$16))/(Norm_Stats!$G$16-Norm_Stats!$F$16)))))="",0,0.3)))</f>
        <v/>
      </c>
      <c r="AM117" s="15">
        <f>IF((IF(AG117="",0,8)+IF(AI117="",0,6)+IF(AK117="",0,4))=0,"",(IF(AG117="",0,AG117*8)+IF(AI117="",0,AI117*6)+IF(AK117="",0,AK117*4))/(IF(AG117="",0,8)+IF(AI117="",0,6)+IF(AK117="",0,4)))</f>
        <v/>
      </c>
      <c r="AN117" s="14">
        <f>IF((IF(AH117="",0,8)+IF(AJ117="",0,6)+IF(AL117="",0,4))=0,"",(IF(AH117="",0,AH117*8)+IF(AJ117="",0,AJ117*6)+IF(AL117="",0,AL117*4))/18)</f>
        <v/>
      </c>
      <c r="AO117" s="11">
        <f>IF(OR(City_Inputs!$AB117="",Norm_Stats!$F$17="",Norm_Stats!$G$17="",Norm_Stats!$G$17=Norm_Stats!$F$17),"",MAX(0,MIN(100,100*(MIN(MAX(City_Inputs!$AB117,Norm_Stats!$F$17),Norm_Stats!$G$17)-Norm_Stats!$F$17)/(Norm_Stats!$G$17-Norm_Stats!$F$17))))</f>
        <v/>
      </c>
      <c r="AP117" s="14">
        <f>IF(AO117="","",1)</f>
        <v/>
      </c>
      <c r="AQ117" s="11">
        <f>IF(OR(City_Inputs!$AC117="",Norm_Stats!$F$18="",Norm_Stats!$G$18="",Norm_Stats!$G$18=Norm_Stats!$F$18),"",MAX(0,MIN(100,100*(MIN(MAX(City_Inputs!$AC117,Norm_Stats!$F$18),Norm_Stats!$G$18)-Norm_Stats!$F$18)/(Norm_Stats!$G$18-Norm_Stats!$F$18))))</f>
        <v/>
      </c>
      <c r="AR117" s="14">
        <f>IF(AQ117="","",1)</f>
        <v/>
      </c>
      <c r="AS117" s="11">
        <f>IF(OR(City_Inputs!$AD117="",Norm_Stats!$F$19="",Norm_Stats!$G$19="",Norm_Stats!$G$19=Norm_Stats!$F$19),"",MAX(0,MIN(100,100*(MIN(MAX(City_Inputs!$AD117,Norm_Stats!$F$19),Norm_Stats!$G$19)-Norm_Stats!$F$19)/(Norm_Stats!$G$19-Norm_Stats!$F$19))))</f>
        <v/>
      </c>
      <c r="AT117" s="14">
        <f>IF(AS117="","",1)</f>
        <v/>
      </c>
      <c r="AU117" s="11">
        <f>IF(OR(City_Inputs!$BJ117="",Norm_Stats!$F$26="",Norm_Stats!$G$26="",Norm_Stats!$G$26=Norm_Stats!$F$26),"",MAX(0,MIN(100,100*(MIN(MAX(City_Inputs!$BJ117,Norm_Stats!$F$26),Norm_Stats!$G$26)-Norm_Stats!$F$26)/(Norm_Stats!$G$26-Norm_Stats!$F$26))))</f>
        <v/>
      </c>
      <c r="AV117" s="11">
        <f>IF(AU117="","",1)</f>
        <v/>
      </c>
      <c r="AW117" s="15">
        <f>IF((IF(AO117="",0,5)+IF(AQ117="",0,5)+IF(AS117="",0,5)+IF(AU117="",0,4))=0,"",(IF(AO117="",0,AO117*5)+IF(AQ117="",0,AQ117*5)+IF(AS117="",0,AS117*5)+IF(AU117="",0,AU117*4))/(IF(AO117="",0,5)+IF(AQ117="",0,5)+IF(AS117="",0,5)+IF(AU117="",0,4)))</f>
        <v/>
      </c>
      <c r="AX117" s="14">
        <f>IF((IF(AP117="",0,5)+IF(AR117="",0,5)+IF(AT117="",0,5)+IF(AV117="",0,4))=0,"",(IF(AP117="",0,AP117*5)+IF(AR117="",0,AR117*5)+IF(AT117="",0,AT117*5)+IF(AV117="",0,AV117*4))/19)</f>
        <v/>
      </c>
      <c r="AY117" s="11">
        <f>IF(OR(City_Inputs!$AE117="",Norm_Stats!$F$20="",Norm_Stats!$G$20="",Norm_Stats!$G$20=Norm_Stats!$F$20),"",MAX(0,MIN(100,100*(MIN(MAX(City_Inputs!$AE117,Norm_Stats!$F$20),Norm_Stats!$G$20)-Norm_Stats!$F$20)/(Norm_Stats!$G$20-Norm_Stats!$F$20))))</f>
        <v/>
      </c>
      <c r="AZ117" s="14">
        <f>IF(AY117="","",1)</f>
        <v/>
      </c>
      <c r="BA117" s="11">
        <f>IF(OR(City_Inputs!$AF117="",Norm_Stats!$F$21="",Norm_Stats!$G$21="",Norm_Stats!$G$21=Norm_Stats!$F$21),"",MAX(0,MIN(100,100*(MIN(MAX(City_Inputs!$AF117,Norm_Stats!$F$21),Norm_Stats!$G$21)-Norm_Stats!$F$21)/(Norm_Stats!$G$21-Norm_Stats!$F$21))))</f>
        <v/>
      </c>
      <c r="BB117" s="14">
        <f>IF(BA117="","",1)</f>
        <v/>
      </c>
      <c r="BC117" s="11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(IF(OR(City_Inputs!$AG117="",Norm_Stats!$F$22="",Norm_Stats!$G$22="",Norm_Stats!$G$22=Norm_Stats!$F$22),"",MAX(0,MIN(100,100*(MIN(MAX(City_Inputs!$AG117,Norm_Stats!$F$22),Norm_Stats!$G$22)-Norm_Stats!$F$22)/(Norm_Stats!$G$22-Norm_Stats!$F$22)))))*0.5)+IF((IF(OR(City_Inputs!$AJ117="",Norm_Stats!$F$23="",Norm_Stats!$G$23="",Norm_Stats!$G$23=Norm_Stats!$F$23),"",MAX(0,MIN(100,100*(MIN(MAX(City_Inputs!$AJ117,Norm_Stats!$F$23),Norm_Stats!$G$23)-Norm_Stats!$F$23)/(Norm_Stats!$G$23-Norm_Stats!$F$23)))))="",0,(IF(OR(City_Inputs!$AJ117="",Norm_Stats!$F$23="",Norm_Stats!$G$23="",Norm_Stats!$G$23=Norm_Stats!$F$23),"",MAX(0,MIN(100,100*(MIN(MAX(City_Inputs!$AJ117,Norm_Stats!$F$23),Norm_Stats!$G$23)-Norm_Stats!$F$23)/(Norm_Stats!$G$23-Norm_Stats!$F$23)))))*0.3)+IF((IF(OR(City_Inputs!$AK117="",Norm_Stats!$F$24="",Norm_Stats!$G$24="",Norm_Stats!$G$24=Norm_Stats!$F$24),"",MAX(0,MIN(100,100*(MIN(MAX(City_Inputs!$AK117,Norm_Stats!$F$24),Norm_Stats!$G$24)-Norm_Stats!$F$24)/(Norm_Stats!$G$24-Norm_Stats!$F$24)))))="",0,(IF(OR(City_Inputs!$AK117="",Norm_Stats!$F$24="",Norm_Stats!$G$24="",Norm_Stats!$G$24=Norm_Stats!$F$24),"",MAX(0,MIN(100,100*(MIN(MAX(City_Inputs!$AK117,Norm_Stats!$F$24),Norm_Stats!$G$24)-Norm_Stats!$F$24)/(Norm_Stats!$G$24-Norm_Stats!$F$24)))))*0.2))/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D117" s="14">
        <f>IF(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=0,"",(IF((IF(OR(City_Inputs!$AG117="",Norm_Stats!$F$22="",Norm_Stats!$G$22="",Norm_Stats!$G$22=Norm_Stats!$F$22),"",MAX(0,MIN(100,100*(MIN(MAX(City_Inputs!$AG117,Norm_Stats!$F$22),Norm_Stats!$G$22)-Norm_Stats!$F$22)/(Norm_Stats!$G$22-Norm_Stats!$F$22)))))="",0,0.5)+IF((IF(OR(City_Inputs!$AJ117="",Norm_Stats!$F$23="",Norm_Stats!$G$23="",Norm_Stats!$G$23=Norm_Stats!$F$23),"",MAX(0,MIN(100,100*(MIN(MAX(City_Inputs!$AJ117,Norm_Stats!$F$23),Norm_Stats!$G$23)-Norm_Stats!$F$23)/(Norm_Stats!$G$23-Norm_Stats!$F$23)))))="",0,0.3)+IF((IF(OR(City_Inputs!$AK117="",Norm_Stats!$F$24="",Norm_Stats!$G$24="",Norm_Stats!$G$24=Norm_Stats!$F$24),"",MAX(0,MIN(100,100*(MIN(MAX(City_Inputs!$AK117,Norm_Stats!$F$24),Norm_Stats!$G$24)-Norm_Stats!$F$24)/(Norm_Stats!$G$24-Norm_Stats!$F$24)))))="",0,0.2)))</f>
        <v/>
      </c>
      <c r="BE117" s="11">
        <f>IF(OR(City_Inputs!$AH117="",Norm_Stats!$F$25="",Norm_Stats!$G$25="",Norm_Stats!$G$25=Norm_Stats!$F$25),"",MAX(0,MIN(100,100*(Norm_Stats!$G$25-MIN(MAX(City_Inputs!$AH117,Norm_Stats!$F$25),Norm_Stats!$G$25))/(Norm_Stats!$G$25-Norm_Stats!$F$25))))</f>
        <v/>
      </c>
      <c r="BF117" s="14">
        <f>IF(BE117="","",1)</f>
        <v/>
      </c>
      <c r="BG117" s="15">
        <f>IF((IF(AY117="",0,6)+IF(BA117="",0,5)+IF(BC117="",0,5)+IF(BE117="",0,4))=0,"",(IF(AY117="",0,AY117*6)+IF(BA117="",0,BA117*5)+IF(BC117="",0,BC117*5)+IF(BE117="",0,BE117*4))/(IF(AY117="",0,6)+IF(BA117="",0,5)+IF(BC117="",0,5)+IF(BE117="",0,4)))</f>
        <v/>
      </c>
      <c r="BH117" s="14">
        <f>IF((IF(AZ117="",0,6)+IF(BB117="",0,5)+IF(BD117="",0,5)+IF(BF117="",0,4))=0,"",(IF(AZ117="",0,AZ117*6)+IF(BB117="",0,BB117*5)+IF(BD117="",0,BD117*5)+IF(BF117="",0,BF117*4))/20)</f>
        <v/>
      </c>
      <c r="BI117" s="14">
        <f>IF(AND(R117="",AF117="",AN117="",AX117="",BH117=""),"",((R117*25)+(AF117*22)+(AN117*18)+(AX117*15)+(BH117*20))/100)</f>
        <v/>
      </c>
      <c r="BJ117" s="11">
        <f>IF(BI117="","",IF(BI117&gt;=0.75,"A",IF(BI117&gt;=0.5,"B",IF(BI117&gt;=0.35,"C","Watchlist"))))</f>
        <v/>
      </c>
      <c r="BK117" s="11">
        <f>IF(OR(BI117="",BI117&lt;0.5,R117="",R117&lt;0.35,AF117="",AF117&lt;0.35,AN117="",AN117&lt;0.35,AX117="",AX117&lt;0.35,BH117="",BH117&lt;0.35),"Watchlist","Ranked")</f>
        <v/>
      </c>
      <c r="BL117" s="15">
        <f>IF(AND(Q117="",AE117="",AM117="",AW117="",BG117=""),"",(IF(Q117="",0,Q117*25)+IF(AE117="",0,AE117*22)+IF(AM117="",0,AM117*18)+IF(AW117="",0,AW117*15)+IF(BG117="",0,BG117*20))/(IF(Q117="",0,25)+IF(AE117="",0,22)+IF(AM117="",0,18)+IF(AW117="",0,15)+IF(BG117="",0,20)))</f>
        <v/>
      </c>
      <c r="BM117" s="11">
        <f>IF(BK117="Ranked",1+COUNTIFS($BK$2:$BK$158,"Ranked",$BL$2:$BL$158,"&gt;"&amp;BL117),"")</f>
        <v/>
      </c>
      <c r="BN117" s="11">
        <f>City_Inputs!$AI117</f>
        <v/>
      </c>
    </row>
    <row r="118">
      <c r="A118" t="inlineStr">
        <is>
          <t>cn-guangzhou</t>
        </is>
      </c>
      <c r="B118" t="inlineStr">
        <is>
          <t>Guangzhou</t>
        </is>
      </c>
      <c r="C118" t="inlineStr">
        <is>
          <t>China</t>
        </is>
      </c>
      <c r="D118" t="inlineStr">
        <is>
          <t>East Asia</t>
        </is>
      </c>
      <c r="E118" t="inlineStr">
        <is>
          <t>provisional</t>
        </is>
      </c>
      <c r="F118" t="inlineStr">
        <is>
          <t>primary</t>
        </is>
      </c>
      <c r="G118" s="11">
        <f>IF(OR(City_Inputs!$M118="",Norm_Stats!$F$2="",Norm_Stats!$G$2="",Norm_Stats!$G$2=Norm_Stats!$F$2),"",MAX(0,MIN(100,100*(MIN(MAX(City_Inputs!$M118,Norm_Stats!$F$2),Norm_Stats!$G$2)-Norm_Stats!$F$2)/(Norm_Stats!$G$2-Norm_Stats!$F$2))))</f>
        <v/>
      </c>
      <c r="H118" s="14">
        <f>IF(G118="","",1)</f>
        <v/>
      </c>
      <c r="I118" s="11">
        <f>IF(OR(City_Inputs!$N118="",Norm_Stats!$F$3="",Norm_Stats!$G$3="",Norm_Stats!$G$3=Norm_Stats!$F$3),"",MAX(0,MIN(100,100*(Norm_Stats!$G$3-MIN(MAX(City_Inputs!$N118,Norm_Stats!$F$3),Norm_Stats!$G$3))/(Norm_Stats!$G$3-Norm_Stats!$F$3))))</f>
        <v/>
      </c>
      <c r="J118" s="14">
        <f>IF(I118="","",1)</f>
        <v/>
      </c>
      <c r="K118" s="11">
        <f>IF(OR(City_Inputs!$P118="",Norm_Stats!$F$4="",Norm_Stats!$G$4="",Norm_Stats!$G$4=Norm_Stats!$F$4),"",MAX(0,MIN(100,100*(Norm_Stats!$G$4-MIN(MAX(City_Inputs!$P118,Norm_Stats!$F$4),Norm_Stats!$G$4))/(Norm_Stats!$G$4-Norm_Stats!$F$4))))</f>
        <v/>
      </c>
      <c r="L118" s="14">
        <f>IF(K118="","",1)</f>
        <v/>
      </c>
      <c r="M118" s="11">
        <f>IF(OR(City_Inputs!$Q118="",Norm_Stats!$F$5="",Norm_Stats!$G$5="",Norm_Stats!$G$5=Norm_Stats!$F$5),"",MAX(0,MIN(100,100*(Norm_Stats!$G$5-MIN(MAX(City_Inputs!$Q118,Norm_Stats!$F$5),Norm_Stats!$G$5))/(Norm_Stats!$G$5-Norm_Stats!$F$5))))</f>
        <v/>
      </c>
      <c r="N118" s="14">
        <f>IF(M118="","",1)</f>
        <v/>
      </c>
      <c r="O118" s="11">
        <f>IF(OR(City_Inputs!$R118="",Norm_Stats!$F$6="",Norm_Stats!$G$6="",Norm_Stats!$G$6=Norm_Stats!$F$6),"",MAX(0,MIN(100,100*(Norm_Stats!$G$6-MIN(MAX(City_Inputs!$R118,Norm_Stats!$F$6),Norm_Stats!$G$6))/(Norm_Stats!$G$6-Norm_Stats!$F$6))))</f>
        <v/>
      </c>
      <c r="P118" s="14">
        <f>IF(O118="","",1)</f>
        <v/>
      </c>
      <c r="Q118" s="15">
        <f>IF((IF(G118="",0,9)+IF(I118="",0,5)+IF(K118="",0,4)+IF(M118="",0,4)+IF(O118="",0,5))=0,"",(IF(G118="",0,G118*9)+IF(I118="",0,I118*5)+IF(K118="",0,K118*4)+IF(M118="",0,M118*4)+IF(O118="",0,O118*5))/(IF(G118="",0,9)+IF(I118="",0,5)+IF(K118="",0,4)+IF(M118="",0,4)+IF(O118="",0,5)))</f>
        <v/>
      </c>
      <c r="R118" s="14">
        <f>IF((IF(H118="",0,9)+IF(J118="",0,5)+IF(L118="",0,4)+IF(N118="",0,4)+IF(P118="",0,5))=0,"",(IF(H118="",0,H118*9)+IF(J118="",0,J118*5)+IF(L118="",0,L118*4)+IF(N118="",0,N118*4)+IF(P118="",0,P118*5))/27)</f>
        <v/>
      </c>
      <c r="S118" s="11">
        <f>IF(OR(City_Inputs!$S118="",Norm_Stats!$F$7="",Norm_Stats!$G$7="",Norm_Stats!$G$7=Norm_Stats!$F$7),"",MAX(0,MIN(100,100*(Norm_Stats!$G$7-MIN(MAX(City_Inputs!$S118,Norm_Stats!$F$7),Norm_Stats!$G$7))/(Norm_Stats!$G$7-Norm_Stats!$F$7))))</f>
        <v/>
      </c>
      <c r="T118" s="14">
        <f>IF(S118="","",1)</f>
        <v/>
      </c>
      <c r="U118" s="11">
        <f>IF(OR(City_Inputs!$T118="",Norm_Stats!$F$8="",Norm_Stats!$G$8="",Norm_Stats!$G$8=Norm_Stats!$F$8),"",MAX(0,MIN(100,100*(MIN(MAX(City_Inputs!$T118,Norm_Stats!$F$8),Norm_Stats!$G$8)-Norm_Stats!$F$8)/(Norm_Stats!$G$8-Norm_Stats!$F$8))))</f>
        <v/>
      </c>
      <c r="V118" s="14">
        <f>IF(U118="","",1)</f>
        <v/>
      </c>
      <c r="W118" s="11">
        <f>IF(OR(City_Inputs!$U118="",Norm_Stats!$F$9="",Norm_Stats!$G$9="",Norm_Stats!$G$9=Norm_Stats!$F$9),"",MAX(0,MIN(100,100*(Norm_Stats!$G$9-MIN(MAX(City_Inputs!$U118,Norm_Stats!$F$9),Norm_Stats!$G$9))/(Norm_Stats!$G$9-Norm_Stats!$F$9))))</f>
        <v/>
      </c>
      <c r="X118" s="14">
        <f>IF(W118="","",1)</f>
        <v/>
      </c>
      <c r="Y118" s="11">
        <f>IF(OR(City_Inputs!$V118="",Norm_Stats!$F$10="",Norm_Stats!$G$10="",Norm_Stats!$G$10=Norm_Stats!$F$10),"",MAX(0,MIN(100,100*(MIN(MAX(City_Inputs!$V118,Norm_Stats!$F$10),Norm_Stats!$G$10)-Norm_Stats!$F$10)/(Norm_Stats!$G$10-Norm_Stats!$F$10))))</f>
        <v/>
      </c>
      <c r="Z118" s="14">
        <f>IF(Y118="","",1)</f>
        <v/>
      </c>
      <c r="AA118" s="11">
        <f>IF(OR(City_Inputs!$W118="",Norm_Stats!$F$11="",Norm_Stats!$G$11="",Norm_Stats!$G$11=Norm_Stats!$F$11),"",MAX(0,MIN(100,100*(MIN(MAX(City_Inputs!$W118,Norm_Stats!$F$11),Norm_Stats!$G$11)-Norm_Stats!$F$11)/(Norm_Stats!$G$11-Norm_Stats!$F$11))))</f>
        <v/>
      </c>
      <c r="AB118" s="14">
        <f>IF(AA118="","",1)</f>
        <v/>
      </c>
      <c r="AC118" s="11">
        <f>IF(OR(City_Inputs!$X118="",Norm_Stats!$F$12="",Norm_Stats!$G$12="",Norm_Stats!$G$12=Norm_Stats!$F$12),"",MAX(0,MIN(100,100*(MIN(MAX(City_Inputs!$X118,Norm_Stats!$F$12),Norm_Stats!$G$12)-Norm_Stats!$F$12)/(Norm_Stats!$G$12-Norm_Stats!$F$12))))</f>
        <v/>
      </c>
      <c r="AD118" s="11">
        <f>IF(AC118="","",1)</f>
        <v/>
      </c>
      <c r="AE118" s="15">
        <f>IF((IF(S118="",0,5)+IF(U118="",0,5)+IF(W118="",0,4)+IF(Y118="",0,4)+IF(AA118="",0,4)+IF(AC118="",0,5))=0,"",(IF(S118="",0,S118*5)+IF(U118="",0,U118*5)+IF(W118="",0,W118*4)+IF(Y118="",0,Y118*4)+IF(AA118="",0,AA118*4)+IF(AC118="",0,AC118*5))/(IF(S118="",0,5)+IF(U118="",0,5)+IF(W118="",0,4)+IF(Y118="",0,4)+IF(AA118="",0,4)+IF(AC118="",0,5)))</f>
        <v/>
      </c>
      <c r="AF118" s="14">
        <f>IF((IF(T118="",0,5)+IF(V118="",0,5)+IF(X118="",0,4)+IF(Z118="",0,4)+IF(AB118="",0,4)+IF(AD118="",0,5))=0,"",(IF(T118="",0,T118*5)+IF(V118="",0,V118*5)+IF(X118="",0,X118*4)+IF(Z118="",0,Z118*4)+IF(AB118="",0,AB118*4)+IF(AD118="",0,AD118*5))/27)</f>
        <v/>
      </c>
      <c r="AG118" s="11">
        <f>IF(OR(City_Inputs!$Y118="",Norm_Stats!$F$13="",Norm_Stats!$G$13="",Norm_Stats!$G$13=Norm_Stats!$F$13),"",MAX(0,MIN(100,100*(MIN(MAX(City_Inputs!$Y118,Norm_Stats!$F$13),Norm_Stats!$G$13)-Norm_Stats!$F$13)/(Norm_Stats!$G$13-Norm_Stats!$F$13))))</f>
        <v/>
      </c>
      <c r="AH118" s="14">
        <f>IF(AG118="","",1)</f>
        <v/>
      </c>
      <c r="AI118" s="11">
        <f>IF(OR(City_Inputs!$Z118="",Norm_Stats!$F$14="",Norm_Stats!$G$14="",Norm_Stats!$G$14=Norm_Stats!$F$14),"",MAX(0,MIN(100,100*(MIN(MAX(City_Inputs!$Z118,Norm_Stats!$F$14),Norm_Stats!$G$14)-Norm_Stats!$F$14)/(Norm_Stats!$G$14-Norm_Stats!$F$14))))</f>
        <v/>
      </c>
      <c r="AJ118" s="14">
        <f>IF(AI118="","",1)</f>
        <v/>
      </c>
      <c r="AK118" s="11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(IF(OR(City_Inputs!$AA118="",Norm_Stats!$F$15="",Norm_Stats!$G$15="",Norm_Stats!$G$15=Norm_Stats!$F$15),"",MAX(0,MIN(100,100*(MIN(MAX(City_Inputs!$AA118,Norm_Stats!$F$15),Norm_Stats!$G$15)-Norm_Stats!$F$15)/(Norm_Stats!$G$15-Norm_Stats!$F$15)))))*0.7)+IF((IF(OR(City_Inputs!$AL118="",Norm_Stats!$F$16="",Norm_Stats!$G$16="",Norm_Stats!$G$16=Norm_Stats!$F$16),"",MAX(0,MIN(100,100*(Norm_Stats!$G$16-MIN(MAX(City_Inputs!$AL118,Norm_Stats!$F$16),Norm_Stats!$G$16))/(Norm_Stats!$G$16-Norm_Stats!$F$16)))))="",0,(IF(OR(City_Inputs!$AL118="",Norm_Stats!$F$16="",Norm_Stats!$G$16="",Norm_Stats!$G$16=Norm_Stats!$F$16),"",MAX(0,MIN(100,100*(Norm_Stats!$G$16-MIN(MAX(City_Inputs!$AL118,Norm_Stats!$F$16),Norm_Stats!$G$16))/(Norm_Stats!$G$16-Norm_Stats!$F$16)))))*0.3))/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L118" s="14">
        <f>IF(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=0,"",(IF((IF(OR(City_Inputs!$AA118="",Norm_Stats!$F$15="",Norm_Stats!$G$15="",Norm_Stats!$G$15=Norm_Stats!$F$15),"",MAX(0,MIN(100,100*(MIN(MAX(City_Inputs!$AA118,Norm_Stats!$F$15),Norm_Stats!$G$15)-Norm_Stats!$F$15)/(Norm_Stats!$G$15-Norm_Stats!$F$15)))))="",0,0.7)+IF((IF(OR(City_Inputs!$AL118="",Norm_Stats!$F$16="",Norm_Stats!$G$16="",Norm_Stats!$G$16=Norm_Stats!$F$16),"",MAX(0,MIN(100,100*(Norm_Stats!$G$16-MIN(MAX(City_Inputs!$AL118,Norm_Stats!$F$16),Norm_Stats!$G$16))/(Norm_Stats!$G$16-Norm_Stats!$F$16)))))="",0,0.3)))</f>
        <v/>
      </c>
      <c r="AM118" s="15">
        <f>IF((IF(AG118="",0,8)+IF(AI118="",0,6)+IF(AK118="",0,4))=0,"",(IF(AG118="",0,AG118*8)+IF(AI118="",0,AI118*6)+IF(AK118="",0,AK118*4))/(IF(AG118="",0,8)+IF(AI118="",0,6)+IF(AK118="",0,4)))</f>
        <v/>
      </c>
      <c r="AN118" s="14">
        <f>IF((IF(AH118="",0,8)+IF(AJ118="",0,6)+IF(AL118="",0,4))=0,"",(IF(AH118="",0,AH118*8)+IF(AJ118="",0,AJ118*6)+IF(AL118="",0,AL118*4))/18)</f>
        <v/>
      </c>
      <c r="AO118" s="11">
        <f>IF(OR(City_Inputs!$AB118="",Norm_Stats!$F$17="",Norm_Stats!$G$17="",Norm_Stats!$G$17=Norm_Stats!$F$17),"",MAX(0,MIN(100,100*(MIN(MAX(City_Inputs!$AB118,Norm_Stats!$F$17),Norm_Stats!$G$17)-Norm_Stats!$F$17)/(Norm_Stats!$G$17-Norm_Stats!$F$17))))</f>
        <v/>
      </c>
      <c r="AP118" s="14">
        <f>IF(AO118="","",1)</f>
        <v/>
      </c>
      <c r="AQ118" s="11">
        <f>IF(OR(City_Inputs!$AC118="",Norm_Stats!$F$18="",Norm_Stats!$G$18="",Norm_Stats!$G$18=Norm_Stats!$F$18),"",MAX(0,MIN(100,100*(MIN(MAX(City_Inputs!$AC118,Norm_Stats!$F$18),Norm_Stats!$G$18)-Norm_Stats!$F$18)/(Norm_Stats!$G$18-Norm_Stats!$F$18))))</f>
        <v/>
      </c>
      <c r="AR118" s="14">
        <f>IF(AQ118="","",1)</f>
        <v/>
      </c>
      <c r="AS118" s="11">
        <f>IF(OR(City_Inputs!$AD118="",Norm_Stats!$F$19="",Norm_Stats!$G$19="",Norm_Stats!$G$19=Norm_Stats!$F$19),"",MAX(0,MIN(100,100*(MIN(MAX(City_Inputs!$AD118,Norm_Stats!$F$19),Norm_Stats!$G$19)-Norm_Stats!$F$19)/(Norm_Stats!$G$19-Norm_Stats!$F$19))))</f>
        <v/>
      </c>
      <c r="AT118" s="14">
        <f>IF(AS118="","",1)</f>
        <v/>
      </c>
      <c r="AU118" s="11">
        <f>IF(OR(City_Inputs!$BJ118="",Norm_Stats!$F$26="",Norm_Stats!$G$26="",Norm_Stats!$G$26=Norm_Stats!$F$26),"",MAX(0,MIN(100,100*(MIN(MAX(City_Inputs!$BJ118,Norm_Stats!$F$26),Norm_Stats!$G$26)-Norm_Stats!$F$26)/(Norm_Stats!$G$26-Norm_Stats!$F$26))))</f>
        <v/>
      </c>
      <c r="AV118" s="11">
        <f>IF(AU118="","",1)</f>
        <v/>
      </c>
      <c r="AW118" s="15">
        <f>IF((IF(AO118="",0,5)+IF(AQ118="",0,5)+IF(AS118="",0,5)+IF(AU118="",0,4))=0,"",(IF(AO118="",0,AO118*5)+IF(AQ118="",0,AQ118*5)+IF(AS118="",0,AS118*5)+IF(AU118="",0,AU118*4))/(IF(AO118="",0,5)+IF(AQ118="",0,5)+IF(AS118="",0,5)+IF(AU118="",0,4)))</f>
        <v/>
      </c>
      <c r="AX118" s="14">
        <f>IF((IF(AP118="",0,5)+IF(AR118="",0,5)+IF(AT118="",0,5)+IF(AV118="",0,4))=0,"",(IF(AP118="",0,AP118*5)+IF(AR118="",0,AR118*5)+IF(AT118="",0,AT118*5)+IF(AV118="",0,AV118*4))/19)</f>
        <v/>
      </c>
      <c r="AY118" s="11">
        <f>IF(OR(City_Inputs!$AE118="",Norm_Stats!$F$20="",Norm_Stats!$G$20="",Norm_Stats!$G$20=Norm_Stats!$F$20),"",MAX(0,MIN(100,100*(MIN(MAX(City_Inputs!$AE118,Norm_Stats!$F$20),Norm_Stats!$G$20)-Norm_Stats!$F$20)/(Norm_Stats!$G$20-Norm_Stats!$F$20))))</f>
        <v/>
      </c>
      <c r="AZ118" s="14">
        <f>IF(AY118="","",1)</f>
        <v/>
      </c>
      <c r="BA118" s="11">
        <f>IF(OR(City_Inputs!$AF118="",Norm_Stats!$F$21="",Norm_Stats!$G$21="",Norm_Stats!$G$21=Norm_Stats!$F$21),"",MAX(0,MIN(100,100*(MIN(MAX(City_Inputs!$AF118,Norm_Stats!$F$21),Norm_Stats!$G$21)-Norm_Stats!$F$21)/(Norm_Stats!$G$21-Norm_Stats!$F$21))))</f>
        <v/>
      </c>
      <c r="BB118" s="14">
        <f>IF(BA118="","",1)</f>
        <v/>
      </c>
      <c r="BC118" s="11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(IF(OR(City_Inputs!$AG118="",Norm_Stats!$F$22="",Norm_Stats!$G$22="",Norm_Stats!$G$22=Norm_Stats!$F$22),"",MAX(0,MIN(100,100*(MIN(MAX(City_Inputs!$AG118,Norm_Stats!$F$22),Norm_Stats!$G$22)-Norm_Stats!$F$22)/(Norm_Stats!$G$22-Norm_Stats!$F$22)))))*0.5)+IF((IF(OR(City_Inputs!$AJ118="",Norm_Stats!$F$23="",Norm_Stats!$G$23="",Norm_Stats!$G$23=Norm_Stats!$F$23),"",MAX(0,MIN(100,100*(MIN(MAX(City_Inputs!$AJ118,Norm_Stats!$F$23),Norm_Stats!$G$23)-Norm_Stats!$F$23)/(Norm_Stats!$G$23-Norm_Stats!$F$23)))))="",0,(IF(OR(City_Inputs!$AJ118="",Norm_Stats!$F$23="",Norm_Stats!$G$23="",Norm_Stats!$G$23=Norm_Stats!$F$23),"",MAX(0,MIN(100,100*(MIN(MAX(City_Inputs!$AJ118,Norm_Stats!$F$23),Norm_Stats!$G$23)-Norm_Stats!$F$23)/(Norm_Stats!$G$23-Norm_Stats!$F$23)))))*0.3)+IF((IF(OR(City_Inputs!$AK118="",Norm_Stats!$F$24="",Norm_Stats!$G$24="",Norm_Stats!$G$24=Norm_Stats!$F$24),"",MAX(0,MIN(100,100*(MIN(MAX(City_Inputs!$AK118,Norm_Stats!$F$24),Norm_Stats!$G$24)-Norm_Stats!$F$24)/(Norm_Stats!$G$24-Norm_Stats!$F$24)))))="",0,(IF(OR(City_Inputs!$AK118="",Norm_Stats!$F$24="",Norm_Stats!$G$24="",Norm_Stats!$G$24=Norm_Stats!$F$24),"",MAX(0,MIN(100,100*(MIN(MAX(City_Inputs!$AK118,Norm_Stats!$F$24),Norm_Stats!$G$24)-Norm_Stats!$F$24)/(Norm_Stats!$G$24-Norm_Stats!$F$24)))))*0.2))/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D118" s="14">
        <f>IF(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=0,"",(IF((IF(OR(City_Inputs!$AG118="",Norm_Stats!$F$22="",Norm_Stats!$G$22="",Norm_Stats!$G$22=Norm_Stats!$F$22),"",MAX(0,MIN(100,100*(MIN(MAX(City_Inputs!$AG118,Norm_Stats!$F$22),Norm_Stats!$G$22)-Norm_Stats!$F$22)/(Norm_Stats!$G$22-Norm_Stats!$F$22)))))="",0,0.5)+IF((IF(OR(City_Inputs!$AJ118="",Norm_Stats!$F$23="",Norm_Stats!$G$23="",Norm_Stats!$G$23=Norm_Stats!$F$23),"",MAX(0,MIN(100,100*(MIN(MAX(City_Inputs!$AJ118,Norm_Stats!$F$23),Norm_Stats!$G$23)-Norm_Stats!$F$23)/(Norm_Stats!$G$23-Norm_Stats!$F$23)))))="",0,0.3)+IF((IF(OR(City_Inputs!$AK118="",Norm_Stats!$F$24="",Norm_Stats!$G$24="",Norm_Stats!$G$24=Norm_Stats!$F$24),"",MAX(0,MIN(100,100*(MIN(MAX(City_Inputs!$AK118,Norm_Stats!$F$24),Norm_Stats!$G$24)-Norm_Stats!$F$24)/(Norm_Stats!$G$24-Norm_Stats!$F$24)))))="",0,0.2)))</f>
        <v/>
      </c>
      <c r="BE118" s="11">
        <f>IF(OR(City_Inputs!$AH118="",Norm_Stats!$F$25="",Norm_Stats!$G$25="",Norm_Stats!$G$25=Norm_Stats!$F$25),"",MAX(0,MIN(100,100*(Norm_Stats!$G$25-MIN(MAX(City_Inputs!$AH118,Norm_Stats!$F$25),Norm_Stats!$G$25))/(Norm_Stats!$G$25-Norm_Stats!$F$25))))</f>
        <v/>
      </c>
      <c r="BF118" s="14">
        <f>IF(BE118="","",1)</f>
        <v/>
      </c>
      <c r="BG118" s="15">
        <f>IF((IF(AY118="",0,6)+IF(BA118="",0,5)+IF(BC118="",0,5)+IF(BE118="",0,4))=0,"",(IF(AY118="",0,AY118*6)+IF(BA118="",0,BA118*5)+IF(BC118="",0,BC118*5)+IF(BE118="",0,BE118*4))/(IF(AY118="",0,6)+IF(BA118="",0,5)+IF(BC118="",0,5)+IF(BE118="",0,4)))</f>
        <v/>
      </c>
      <c r="BH118" s="14">
        <f>IF((IF(AZ118="",0,6)+IF(BB118="",0,5)+IF(BD118="",0,5)+IF(BF118="",0,4))=0,"",(IF(AZ118="",0,AZ118*6)+IF(BB118="",0,BB118*5)+IF(BD118="",0,BD118*5)+IF(BF118="",0,BF118*4))/20)</f>
        <v/>
      </c>
      <c r="BI118" s="14">
        <f>IF(AND(R118="",AF118="",AN118="",AX118="",BH118=""),"",((R118*25)+(AF118*22)+(AN118*18)+(AX118*15)+(BH118*20))/100)</f>
        <v/>
      </c>
      <c r="BJ118" s="11">
        <f>IF(BI118="","",IF(BI118&gt;=0.75,"A",IF(BI118&gt;=0.5,"B",IF(BI118&gt;=0.35,"C","Watchlist"))))</f>
        <v/>
      </c>
      <c r="BK118" s="11">
        <f>IF(OR(BI118="",BI118&lt;0.5,R118="",R118&lt;0.35,AF118="",AF118&lt;0.35,AN118="",AN118&lt;0.35,AX118="",AX118&lt;0.35,BH118="",BH118&lt;0.35),"Watchlist","Ranked")</f>
        <v/>
      </c>
      <c r="BL118" s="15">
        <f>IF(AND(Q118="",AE118="",AM118="",AW118="",BG118=""),"",(IF(Q118="",0,Q118*25)+IF(AE118="",0,AE118*22)+IF(AM118="",0,AM118*18)+IF(AW118="",0,AW118*15)+IF(BG118="",0,BG118*20))/(IF(Q118="",0,25)+IF(AE118="",0,22)+IF(AM118="",0,18)+IF(AW118="",0,15)+IF(BG118="",0,20)))</f>
        <v/>
      </c>
      <c r="BM118" s="11">
        <f>IF(BK118="Ranked",1+COUNTIFS($BK$2:$BK$158,"Ranked",$BL$2:$BL$158,"&gt;"&amp;BL118),"")</f>
        <v/>
      </c>
      <c r="BN118" s="11">
        <f>City_Inputs!$AI118</f>
        <v/>
      </c>
    </row>
    <row r="119">
      <c r="A119" t="inlineStr">
        <is>
          <t>in-pune</t>
        </is>
      </c>
      <c r="B119" t="inlineStr">
        <is>
          <t>Pune</t>
        </is>
      </c>
      <c r="C119" t="inlineStr">
        <is>
          <t>India</t>
        </is>
      </c>
      <c r="D119" t="inlineStr">
        <is>
          <t>South Asia</t>
        </is>
      </c>
      <c r="E119" t="inlineStr">
        <is>
          <t>provisional</t>
        </is>
      </c>
      <c r="F119" t="inlineStr">
        <is>
          <t>primary</t>
        </is>
      </c>
      <c r="G119" s="11">
        <f>IF(OR(City_Inputs!$M119="",Norm_Stats!$F$2="",Norm_Stats!$G$2="",Norm_Stats!$G$2=Norm_Stats!$F$2),"",MAX(0,MIN(100,100*(MIN(MAX(City_Inputs!$M119,Norm_Stats!$F$2),Norm_Stats!$G$2)-Norm_Stats!$F$2)/(Norm_Stats!$G$2-Norm_Stats!$F$2))))</f>
        <v/>
      </c>
      <c r="H119" s="14">
        <f>IF(G119="","",1)</f>
        <v/>
      </c>
      <c r="I119" s="11">
        <f>IF(OR(City_Inputs!$N119="",Norm_Stats!$F$3="",Norm_Stats!$G$3="",Norm_Stats!$G$3=Norm_Stats!$F$3),"",MAX(0,MIN(100,100*(Norm_Stats!$G$3-MIN(MAX(City_Inputs!$N119,Norm_Stats!$F$3),Norm_Stats!$G$3))/(Norm_Stats!$G$3-Norm_Stats!$F$3))))</f>
        <v/>
      </c>
      <c r="J119" s="14">
        <f>IF(I119="","",1)</f>
        <v/>
      </c>
      <c r="K119" s="11">
        <f>IF(OR(City_Inputs!$P119="",Norm_Stats!$F$4="",Norm_Stats!$G$4="",Norm_Stats!$G$4=Norm_Stats!$F$4),"",MAX(0,MIN(100,100*(Norm_Stats!$G$4-MIN(MAX(City_Inputs!$P119,Norm_Stats!$F$4),Norm_Stats!$G$4))/(Norm_Stats!$G$4-Norm_Stats!$F$4))))</f>
        <v/>
      </c>
      <c r="L119" s="14">
        <f>IF(K119="","",1)</f>
        <v/>
      </c>
      <c r="M119" s="11">
        <f>IF(OR(City_Inputs!$Q119="",Norm_Stats!$F$5="",Norm_Stats!$G$5="",Norm_Stats!$G$5=Norm_Stats!$F$5),"",MAX(0,MIN(100,100*(Norm_Stats!$G$5-MIN(MAX(City_Inputs!$Q119,Norm_Stats!$F$5),Norm_Stats!$G$5))/(Norm_Stats!$G$5-Norm_Stats!$F$5))))</f>
        <v/>
      </c>
      <c r="N119" s="14">
        <f>IF(M119="","",1)</f>
        <v/>
      </c>
      <c r="O119" s="11">
        <f>IF(OR(City_Inputs!$R119="",Norm_Stats!$F$6="",Norm_Stats!$G$6="",Norm_Stats!$G$6=Norm_Stats!$F$6),"",MAX(0,MIN(100,100*(Norm_Stats!$G$6-MIN(MAX(City_Inputs!$R119,Norm_Stats!$F$6),Norm_Stats!$G$6))/(Norm_Stats!$G$6-Norm_Stats!$F$6))))</f>
        <v/>
      </c>
      <c r="P119" s="14">
        <f>IF(O119="","",1)</f>
        <v/>
      </c>
      <c r="Q119" s="15">
        <f>IF((IF(G119="",0,9)+IF(I119="",0,5)+IF(K119="",0,4)+IF(M119="",0,4)+IF(O119="",0,5))=0,"",(IF(G119="",0,G119*9)+IF(I119="",0,I119*5)+IF(K119="",0,K119*4)+IF(M119="",0,M119*4)+IF(O119="",0,O119*5))/(IF(G119="",0,9)+IF(I119="",0,5)+IF(K119="",0,4)+IF(M119="",0,4)+IF(O119="",0,5)))</f>
        <v/>
      </c>
      <c r="R119" s="14">
        <f>IF((IF(H119="",0,9)+IF(J119="",0,5)+IF(L119="",0,4)+IF(N119="",0,4)+IF(P119="",0,5))=0,"",(IF(H119="",0,H119*9)+IF(J119="",0,J119*5)+IF(L119="",0,L119*4)+IF(N119="",0,N119*4)+IF(P119="",0,P119*5))/27)</f>
        <v/>
      </c>
      <c r="S119" s="11">
        <f>IF(OR(City_Inputs!$S119="",Norm_Stats!$F$7="",Norm_Stats!$G$7="",Norm_Stats!$G$7=Norm_Stats!$F$7),"",MAX(0,MIN(100,100*(Norm_Stats!$G$7-MIN(MAX(City_Inputs!$S119,Norm_Stats!$F$7),Norm_Stats!$G$7))/(Norm_Stats!$G$7-Norm_Stats!$F$7))))</f>
        <v/>
      </c>
      <c r="T119" s="14">
        <f>IF(S119="","",1)</f>
        <v/>
      </c>
      <c r="U119" s="11">
        <f>IF(OR(City_Inputs!$T119="",Norm_Stats!$F$8="",Norm_Stats!$G$8="",Norm_Stats!$G$8=Norm_Stats!$F$8),"",MAX(0,MIN(100,100*(MIN(MAX(City_Inputs!$T119,Norm_Stats!$F$8),Norm_Stats!$G$8)-Norm_Stats!$F$8)/(Norm_Stats!$G$8-Norm_Stats!$F$8))))</f>
        <v/>
      </c>
      <c r="V119" s="14">
        <f>IF(U119="","",1)</f>
        <v/>
      </c>
      <c r="W119" s="11">
        <f>IF(OR(City_Inputs!$U119="",Norm_Stats!$F$9="",Norm_Stats!$G$9="",Norm_Stats!$G$9=Norm_Stats!$F$9),"",MAX(0,MIN(100,100*(Norm_Stats!$G$9-MIN(MAX(City_Inputs!$U119,Norm_Stats!$F$9),Norm_Stats!$G$9))/(Norm_Stats!$G$9-Norm_Stats!$F$9))))</f>
        <v/>
      </c>
      <c r="X119" s="14">
        <f>IF(W119="","",1)</f>
        <v/>
      </c>
      <c r="Y119" s="11">
        <f>IF(OR(City_Inputs!$V119="",Norm_Stats!$F$10="",Norm_Stats!$G$10="",Norm_Stats!$G$10=Norm_Stats!$F$10),"",MAX(0,MIN(100,100*(MIN(MAX(City_Inputs!$V119,Norm_Stats!$F$10),Norm_Stats!$G$10)-Norm_Stats!$F$10)/(Norm_Stats!$G$10-Norm_Stats!$F$10))))</f>
        <v/>
      </c>
      <c r="Z119" s="14">
        <f>IF(Y119="","",1)</f>
        <v/>
      </c>
      <c r="AA119" s="11">
        <f>IF(OR(City_Inputs!$W119="",Norm_Stats!$F$11="",Norm_Stats!$G$11="",Norm_Stats!$G$11=Norm_Stats!$F$11),"",MAX(0,MIN(100,100*(MIN(MAX(City_Inputs!$W119,Norm_Stats!$F$11),Norm_Stats!$G$11)-Norm_Stats!$F$11)/(Norm_Stats!$G$11-Norm_Stats!$F$11))))</f>
        <v/>
      </c>
      <c r="AB119" s="14">
        <f>IF(AA119="","",1)</f>
        <v/>
      </c>
      <c r="AC119" s="11">
        <f>IF(OR(City_Inputs!$X119="",Norm_Stats!$F$12="",Norm_Stats!$G$12="",Norm_Stats!$G$12=Norm_Stats!$F$12),"",MAX(0,MIN(100,100*(MIN(MAX(City_Inputs!$X119,Norm_Stats!$F$12),Norm_Stats!$G$12)-Norm_Stats!$F$12)/(Norm_Stats!$G$12-Norm_Stats!$F$12))))</f>
        <v/>
      </c>
      <c r="AD119" s="11">
        <f>IF(AC119="","",1)</f>
        <v/>
      </c>
      <c r="AE119" s="15">
        <f>IF((IF(S119="",0,5)+IF(U119="",0,5)+IF(W119="",0,4)+IF(Y119="",0,4)+IF(AA119="",0,4)+IF(AC119="",0,5))=0,"",(IF(S119="",0,S119*5)+IF(U119="",0,U119*5)+IF(W119="",0,W119*4)+IF(Y119="",0,Y119*4)+IF(AA119="",0,AA119*4)+IF(AC119="",0,AC119*5))/(IF(S119="",0,5)+IF(U119="",0,5)+IF(W119="",0,4)+IF(Y119="",0,4)+IF(AA119="",0,4)+IF(AC119="",0,5)))</f>
        <v/>
      </c>
      <c r="AF119" s="14">
        <f>IF((IF(T119="",0,5)+IF(V119="",0,5)+IF(X119="",0,4)+IF(Z119="",0,4)+IF(AB119="",0,4)+IF(AD119="",0,5))=0,"",(IF(T119="",0,T119*5)+IF(V119="",0,V119*5)+IF(X119="",0,X119*4)+IF(Z119="",0,Z119*4)+IF(AB119="",0,AB119*4)+IF(AD119="",0,AD119*5))/27)</f>
        <v/>
      </c>
      <c r="AG119" s="11">
        <f>IF(OR(City_Inputs!$Y119="",Norm_Stats!$F$13="",Norm_Stats!$G$13="",Norm_Stats!$G$13=Norm_Stats!$F$13),"",MAX(0,MIN(100,100*(MIN(MAX(City_Inputs!$Y119,Norm_Stats!$F$13),Norm_Stats!$G$13)-Norm_Stats!$F$13)/(Norm_Stats!$G$13-Norm_Stats!$F$13))))</f>
        <v/>
      </c>
      <c r="AH119" s="14">
        <f>IF(AG119="","",1)</f>
        <v/>
      </c>
      <c r="AI119" s="11">
        <f>IF(OR(City_Inputs!$Z119="",Norm_Stats!$F$14="",Norm_Stats!$G$14="",Norm_Stats!$G$14=Norm_Stats!$F$14),"",MAX(0,MIN(100,100*(MIN(MAX(City_Inputs!$Z119,Norm_Stats!$F$14),Norm_Stats!$G$14)-Norm_Stats!$F$14)/(Norm_Stats!$G$14-Norm_Stats!$F$14))))</f>
        <v/>
      </c>
      <c r="AJ119" s="14">
        <f>IF(AI119="","",1)</f>
        <v/>
      </c>
      <c r="AK119" s="11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(IF(OR(City_Inputs!$AA119="",Norm_Stats!$F$15="",Norm_Stats!$G$15="",Norm_Stats!$G$15=Norm_Stats!$F$15),"",MAX(0,MIN(100,100*(MIN(MAX(City_Inputs!$AA119,Norm_Stats!$F$15),Norm_Stats!$G$15)-Norm_Stats!$F$15)/(Norm_Stats!$G$15-Norm_Stats!$F$15)))))*0.7)+IF((IF(OR(City_Inputs!$AL119="",Norm_Stats!$F$16="",Norm_Stats!$G$16="",Norm_Stats!$G$16=Norm_Stats!$F$16),"",MAX(0,MIN(100,100*(Norm_Stats!$G$16-MIN(MAX(City_Inputs!$AL119,Norm_Stats!$F$16),Norm_Stats!$G$16))/(Norm_Stats!$G$16-Norm_Stats!$F$16)))))="",0,(IF(OR(City_Inputs!$AL119="",Norm_Stats!$F$16="",Norm_Stats!$G$16="",Norm_Stats!$G$16=Norm_Stats!$F$16),"",MAX(0,MIN(100,100*(Norm_Stats!$G$16-MIN(MAX(City_Inputs!$AL119,Norm_Stats!$F$16),Norm_Stats!$G$16))/(Norm_Stats!$G$16-Norm_Stats!$F$16)))))*0.3))/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L119" s="14">
        <f>IF(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=0,"",(IF((IF(OR(City_Inputs!$AA119="",Norm_Stats!$F$15="",Norm_Stats!$G$15="",Norm_Stats!$G$15=Norm_Stats!$F$15),"",MAX(0,MIN(100,100*(MIN(MAX(City_Inputs!$AA119,Norm_Stats!$F$15),Norm_Stats!$G$15)-Norm_Stats!$F$15)/(Norm_Stats!$G$15-Norm_Stats!$F$15)))))="",0,0.7)+IF((IF(OR(City_Inputs!$AL119="",Norm_Stats!$F$16="",Norm_Stats!$G$16="",Norm_Stats!$G$16=Norm_Stats!$F$16),"",MAX(0,MIN(100,100*(Norm_Stats!$G$16-MIN(MAX(City_Inputs!$AL119,Norm_Stats!$F$16),Norm_Stats!$G$16))/(Norm_Stats!$G$16-Norm_Stats!$F$16)))))="",0,0.3)))</f>
        <v/>
      </c>
      <c r="AM119" s="15">
        <f>IF((IF(AG119="",0,8)+IF(AI119="",0,6)+IF(AK119="",0,4))=0,"",(IF(AG119="",0,AG119*8)+IF(AI119="",0,AI119*6)+IF(AK119="",0,AK119*4))/(IF(AG119="",0,8)+IF(AI119="",0,6)+IF(AK119="",0,4)))</f>
        <v/>
      </c>
      <c r="AN119" s="14">
        <f>IF((IF(AH119="",0,8)+IF(AJ119="",0,6)+IF(AL119="",0,4))=0,"",(IF(AH119="",0,AH119*8)+IF(AJ119="",0,AJ119*6)+IF(AL119="",0,AL119*4))/18)</f>
        <v/>
      </c>
      <c r="AO119" s="11">
        <f>IF(OR(City_Inputs!$AB119="",Norm_Stats!$F$17="",Norm_Stats!$G$17="",Norm_Stats!$G$17=Norm_Stats!$F$17),"",MAX(0,MIN(100,100*(MIN(MAX(City_Inputs!$AB119,Norm_Stats!$F$17),Norm_Stats!$G$17)-Norm_Stats!$F$17)/(Norm_Stats!$G$17-Norm_Stats!$F$17))))</f>
        <v/>
      </c>
      <c r="AP119" s="14">
        <f>IF(AO119="","",1)</f>
        <v/>
      </c>
      <c r="AQ119" s="11">
        <f>IF(OR(City_Inputs!$AC119="",Norm_Stats!$F$18="",Norm_Stats!$G$18="",Norm_Stats!$G$18=Norm_Stats!$F$18),"",MAX(0,MIN(100,100*(MIN(MAX(City_Inputs!$AC119,Norm_Stats!$F$18),Norm_Stats!$G$18)-Norm_Stats!$F$18)/(Norm_Stats!$G$18-Norm_Stats!$F$18))))</f>
        <v/>
      </c>
      <c r="AR119" s="14">
        <f>IF(AQ119="","",1)</f>
        <v/>
      </c>
      <c r="AS119" s="11">
        <f>IF(OR(City_Inputs!$AD119="",Norm_Stats!$F$19="",Norm_Stats!$G$19="",Norm_Stats!$G$19=Norm_Stats!$F$19),"",MAX(0,MIN(100,100*(MIN(MAX(City_Inputs!$AD119,Norm_Stats!$F$19),Norm_Stats!$G$19)-Norm_Stats!$F$19)/(Norm_Stats!$G$19-Norm_Stats!$F$19))))</f>
        <v/>
      </c>
      <c r="AT119" s="14">
        <f>IF(AS119="","",1)</f>
        <v/>
      </c>
      <c r="AU119" s="11">
        <f>IF(OR(City_Inputs!$BJ119="",Norm_Stats!$F$26="",Norm_Stats!$G$26="",Norm_Stats!$G$26=Norm_Stats!$F$26),"",MAX(0,MIN(100,100*(MIN(MAX(City_Inputs!$BJ119,Norm_Stats!$F$26),Norm_Stats!$G$26)-Norm_Stats!$F$26)/(Norm_Stats!$G$26-Norm_Stats!$F$26))))</f>
        <v/>
      </c>
      <c r="AV119" s="11">
        <f>IF(AU119="","",1)</f>
        <v/>
      </c>
      <c r="AW119" s="15">
        <f>IF((IF(AO119="",0,5)+IF(AQ119="",0,5)+IF(AS119="",0,5)+IF(AU119="",0,4))=0,"",(IF(AO119="",0,AO119*5)+IF(AQ119="",0,AQ119*5)+IF(AS119="",0,AS119*5)+IF(AU119="",0,AU119*4))/(IF(AO119="",0,5)+IF(AQ119="",0,5)+IF(AS119="",0,5)+IF(AU119="",0,4)))</f>
        <v/>
      </c>
      <c r="AX119" s="14">
        <f>IF((IF(AP119="",0,5)+IF(AR119="",0,5)+IF(AT119="",0,5)+IF(AV119="",0,4))=0,"",(IF(AP119="",0,AP119*5)+IF(AR119="",0,AR119*5)+IF(AT119="",0,AT119*5)+IF(AV119="",0,AV119*4))/19)</f>
        <v/>
      </c>
      <c r="AY119" s="11">
        <f>IF(OR(City_Inputs!$AE119="",Norm_Stats!$F$20="",Norm_Stats!$G$20="",Norm_Stats!$G$20=Norm_Stats!$F$20),"",MAX(0,MIN(100,100*(MIN(MAX(City_Inputs!$AE119,Norm_Stats!$F$20),Norm_Stats!$G$20)-Norm_Stats!$F$20)/(Norm_Stats!$G$20-Norm_Stats!$F$20))))</f>
        <v/>
      </c>
      <c r="AZ119" s="14">
        <f>IF(AY119="","",1)</f>
        <v/>
      </c>
      <c r="BA119" s="11">
        <f>IF(OR(City_Inputs!$AF119="",Norm_Stats!$F$21="",Norm_Stats!$G$21="",Norm_Stats!$G$21=Norm_Stats!$F$21),"",MAX(0,MIN(100,100*(MIN(MAX(City_Inputs!$AF119,Norm_Stats!$F$21),Norm_Stats!$G$21)-Norm_Stats!$F$21)/(Norm_Stats!$G$21-Norm_Stats!$F$21))))</f>
        <v/>
      </c>
      <c r="BB119" s="14">
        <f>IF(BA119="","",1)</f>
        <v/>
      </c>
      <c r="BC119" s="11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(IF(OR(City_Inputs!$AG119="",Norm_Stats!$F$22="",Norm_Stats!$G$22="",Norm_Stats!$G$22=Norm_Stats!$F$22),"",MAX(0,MIN(100,100*(MIN(MAX(City_Inputs!$AG119,Norm_Stats!$F$22),Norm_Stats!$G$22)-Norm_Stats!$F$22)/(Norm_Stats!$G$22-Norm_Stats!$F$22)))))*0.5)+IF((IF(OR(City_Inputs!$AJ119="",Norm_Stats!$F$23="",Norm_Stats!$G$23="",Norm_Stats!$G$23=Norm_Stats!$F$23),"",MAX(0,MIN(100,100*(MIN(MAX(City_Inputs!$AJ119,Norm_Stats!$F$23),Norm_Stats!$G$23)-Norm_Stats!$F$23)/(Norm_Stats!$G$23-Norm_Stats!$F$23)))))="",0,(IF(OR(City_Inputs!$AJ119="",Norm_Stats!$F$23="",Norm_Stats!$G$23="",Norm_Stats!$G$23=Norm_Stats!$F$23),"",MAX(0,MIN(100,100*(MIN(MAX(City_Inputs!$AJ119,Norm_Stats!$F$23),Norm_Stats!$G$23)-Norm_Stats!$F$23)/(Norm_Stats!$G$23-Norm_Stats!$F$23)))))*0.3)+IF((IF(OR(City_Inputs!$AK119="",Norm_Stats!$F$24="",Norm_Stats!$G$24="",Norm_Stats!$G$24=Norm_Stats!$F$24),"",MAX(0,MIN(100,100*(MIN(MAX(City_Inputs!$AK119,Norm_Stats!$F$24),Norm_Stats!$G$24)-Norm_Stats!$F$24)/(Norm_Stats!$G$24-Norm_Stats!$F$24)))))="",0,(IF(OR(City_Inputs!$AK119="",Norm_Stats!$F$24="",Norm_Stats!$G$24="",Norm_Stats!$G$24=Norm_Stats!$F$24),"",MAX(0,MIN(100,100*(MIN(MAX(City_Inputs!$AK119,Norm_Stats!$F$24),Norm_Stats!$G$24)-Norm_Stats!$F$24)/(Norm_Stats!$G$24-Norm_Stats!$F$24)))))*0.2))/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D119" s="14">
        <f>IF(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=0,"",(IF((IF(OR(City_Inputs!$AG119="",Norm_Stats!$F$22="",Norm_Stats!$G$22="",Norm_Stats!$G$22=Norm_Stats!$F$22),"",MAX(0,MIN(100,100*(MIN(MAX(City_Inputs!$AG119,Norm_Stats!$F$22),Norm_Stats!$G$22)-Norm_Stats!$F$22)/(Norm_Stats!$G$22-Norm_Stats!$F$22)))))="",0,0.5)+IF((IF(OR(City_Inputs!$AJ119="",Norm_Stats!$F$23="",Norm_Stats!$G$23="",Norm_Stats!$G$23=Norm_Stats!$F$23),"",MAX(0,MIN(100,100*(MIN(MAX(City_Inputs!$AJ119,Norm_Stats!$F$23),Norm_Stats!$G$23)-Norm_Stats!$F$23)/(Norm_Stats!$G$23-Norm_Stats!$F$23)))))="",0,0.3)+IF((IF(OR(City_Inputs!$AK119="",Norm_Stats!$F$24="",Norm_Stats!$G$24="",Norm_Stats!$G$24=Norm_Stats!$F$24),"",MAX(0,MIN(100,100*(MIN(MAX(City_Inputs!$AK119,Norm_Stats!$F$24),Norm_Stats!$G$24)-Norm_Stats!$F$24)/(Norm_Stats!$G$24-Norm_Stats!$F$24)))))="",0,0.2)))</f>
        <v/>
      </c>
      <c r="BE119" s="11">
        <f>IF(OR(City_Inputs!$AH119="",Norm_Stats!$F$25="",Norm_Stats!$G$25="",Norm_Stats!$G$25=Norm_Stats!$F$25),"",MAX(0,MIN(100,100*(Norm_Stats!$G$25-MIN(MAX(City_Inputs!$AH119,Norm_Stats!$F$25),Norm_Stats!$G$25))/(Norm_Stats!$G$25-Norm_Stats!$F$25))))</f>
        <v/>
      </c>
      <c r="BF119" s="14">
        <f>IF(BE119="","",1)</f>
        <v/>
      </c>
      <c r="BG119" s="15">
        <f>IF((IF(AY119="",0,6)+IF(BA119="",0,5)+IF(BC119="",0,5)+IF(BE119="",0,4))=0,"",(IF(AY119="",0,AY119*6)+IF(BA119="",0,BA119*5)+IF(BC119="",0,BC119*5)+IF(BE119="",0,BE119*4))/(IF(AY119="",0,6)+IF(BA119="",0,5)+IF(BC119="",0,5)+IF(BE119="",0,4)))</f>
        <v/>
      </c>
      <c r="BH119" s="14">
        <f>IF((IF(AZ119="",0,6)+IF(BB119="",0,5)+IF(BD119="",0,5)+IF(BF119="",0,4))=0,"",(IF(AZ119="",0,AZ119*6)+IF(BB119="",0,BB119*5)+IF(BD119="",0,BD119*5)+IF(BF119="",0,BF119*4))/20)</f>
        <v/>
      </c>
      <c r="BI119" s="14">
        <f>IF(AND(R119="",AF119="",AN119="",AX119="",BH119=""),"",((R119*25)+(AF119*22)+(AN119*18)+(AX119*15)+(BH119*20))/100)</f>
        <v/>
      </c>
      <c r="BJ119" s="11">
        <f>IF(BI119="","",IF(BI119&gt;=0.75,"A",IF(BI119&gt;=0.5,"B",IF(BI119&gt;=0.35,"C","Watchlist"))))</f>
        <v/>
      </c>
      <c r="BK119" s="11">
        <f>IF(OR(BI119="",BI119&lt;0.5,R119="",R119&lt;0.35,AF119="",AF119&lt;0.35,AN119="",AN119&lt;0.35,AX119="",AX119&lt;0.35,BH119="",BH119&lt;0.35),"Watchlist","Ranked")</f>
        <v/>
      </c>
      <c r="BL119" s="15">
        <f>IF(AND(Q119="",AE119="",AM119="",AW119="",BG119=""),"",(IF(Q119="",0,Q119*25)+IF(AE119="",0,AE119*22)+IF(AM119="",0,AM119*18)+IF(AW119="",0,AW119*15)+IF(BG119="",0,BG119*20))/(IF(Q119="",0,25)+IF(AE119="",0,22)+IF(AM119="",0,18)+IF(AW119="",0,15)+IF(BG119="",0,20)))</f>
        <v/>
      </c>
      <c r="BM119" s="11">
        <f>IF(BK119="Ranked",1+COUNTIFS($BK$2:$BK$158,"Ranked",$BL$2:$BL$158,"&gt;"&amp;BL119),"")</f>
        <v/>
      </c>
      <c r="BN119" s="11">
        <f>City_Inputs!$AI119</f>
        <v/>
      </c>
    </row>
    <row r="120">
      <c r="A120" t="inlineStr">
        <is>
          <t>pk-islamabad</t>
        </is>
      </c>
      <c r="B120" t="inlineStr">
        <is>
          <t>Islamabad</t>
        </is>
      </c>
      <c r="C120" t="inlineStr">
        <is>
          <t>Pakistan</t>
        </is>
      </c>
      <c r="D120" t="inlineStr">
        <is>
          <t>South Asia</t>
        </is>
      </c>
      <c r="E120" t="inlineStr">
        <is>
          <t>provisional</t>
        </is>
      </c>
      <c r="F120" t="inlineStr">
        <is>
          <t>primary</t>
        </is>
      </c>
      <c r="G120" s="11">
        <f>IF(OR(City_Inputs!$M120="",Norm_Stats!$F$2="",Norm_Stats!$G$2="",Norm_Stats!$G$2=Norm_Stats!$F$2),"",MAX(0,MIN(100,100*(MIN(MAX(City_Inputs!$M120,Norm_Stats!$F$2),Norm_Stats!$G$2)-Norm_Stats!$F$2)/(Norm_Stats!$G$2-Norm_Stats!$F$2))))</f>
        <v/>
      </c>
      <c r="H120" s="14">
        <f>IF(G120="","",1)</f>
        <v/>
      </c>
      <c r="I120" s="11">
        <f>IF(OR(City_Inputs!$N120="",Norm_Stats!$F$3="",Norm_Stats!$G$3="",Norm_Stats!$G$3=Norm_Stats!$F$3),"",MAX(0,MIN(100,100*(Norm_Stats!$G$3-MIN(MAX(City_Inputs!$N120,Norm_Stats!$F$3),Norm_Stats!$G$3))/(Norm_Stats!$G$3-Norm_Stats!$F$3))))</f>
        <v/>
      </c>
      <c r="J120" s="14">
        <f>IF(I120="","",1)</f>
        <v/>
      </c>
      <c r="K120" s="11">
        <f>IF(OR(City_Inputs!$P120="",Norm_Stats!$F$4="",Norm_Stats!$G$4="",Norm_Stats!$G$4=Norm_Stats!$F$4),"",MAX(0,MIN(100,100*(Norm_Stats!$G$4-MIN(MAX(City_Inputs!$P120,Norm_Stats!$F$4),Norm_Stats!$G$4))/(Norm_Stats!$G$4-Norm_Stats!$F$4))))</f>
        <v/>
      </c>
      <c r="L120" s="14">
        <f>IF(K120="","",1)</f>
        <v/>
      </c>
      <c r="M120" s="11">
        <f>IF(OR(City_Inputs!$Q120="",Norm_Stats!$F$5="",Norm_Stats!$G$5="",Norm_Stats!$G$5=Norm_Stats!$F$5),"",MAX(0,MIN(100,100*(Norm_Stats!$G$5-MIN(MAX(City_Inputs!$Q120,Norm_Stats!$F$5),Norm_Stats!$G$5))/(Norm_Stats!$G$5-Norm_Stats!$F$5))))</f>
        <v/>
      </c>
      <c r="N120" s="14">
        <f>IF(M120="","",1)</f>
        <v/>
      </c>
      <c r="O120" s="11">
        <f>IF(OR(City_Inputs!$R120="",Norm_Stats!$F$6="",Norm_Stats!$G$6="",Norm_Stats!$G$6=Norm_Stats!$F$6),"",MAX(0,MIN(100,100*(Norm_Stats!$G$6-MIN(MAX(City_Inputs!$R120,Norm_Stats!$F$6),Norm_Stats!$G$6))/(Norm_Stats!$G$6-Norm_Stats!$F$6))))</f>
        <v/>
      </c>
      <c r="P120" s="14">
        <f>IF(O120="","",1)</f>
        <v/>
      </c>
      <c r="Q120" s="15">
        <f>IF((IF(G120="",0,9)+IF(I120="",0,5)+IF(K120="",0,4)+IF(M120="",0,4)+IF(O120="",0,5))=0,"",(IF(G120="",0,G120*9)+IF(I120="",0,I120*5)+IF(K120="",0,K120*4)+IF(M120="",0,M120*4)+IF(O120="",0,O120*5))/(IF(G120="",0,9)+IF(I120="",0,5)+IF(K120="",0,4)+IF(M120="",0,4)+IF(O120="",0,5)))</f>
        <v/>
      </c>
      <c r="R120" s="14">
        <f>IF((IF(H120="",0,9)+IF(J120="",0,5)+IF(L120="",0,4)+IF(N120="",0,4)+IF(P120="",0,5))=0,"",(IF(H120="",0,H120*9)+IF(J120="",0,J120*5)+IF(L120="",0,L120*4)+IF(N120="",0,N120*4)+IF(P120="",0,P120*5))/27)</f>
        <v/>
      </c>
      <c r="S120" s="11">
        <f>IF(OR(City_Inputs!$S120="",Norm_Stats!$F$7="",Norm_Stats!$G$7="",Norm_Stats!$G$7=Norm_Stats!$F$7),"",MAX(0,MIN(100,100*(Norm_Stats!$G$7-MIN(MAX(City_Inputs!$S120,Norm_Stats!$F$7),Norm_Stats!$G$7))/(Norm_Stats!$G$7-Norm_Stats!$F$7))))</f>
        <v/>
      </c>
      <c r="T120" s="14">
        <f>IF(S120="","",1)</f>
        <v/>
      </c>
      <c r="U120" s="11">
        <f>IF(OR(City_Inputs!$T120="",Norm_Stats!$F$8="",Norm_Stats!$G$8="",Norm_Stats!$G$8=Norm_Stats!$F$8),"",MAX(0,MIN(100,100*(MIN(MAX(City_Inputs!$T120,Norm_Stats!$F$8),Norm_Stats!$G$8)-Norm_Stats!$F$8)/(Norm_Stats!$G$8-Norm_Stats!$F$8))))</f>
        <v/>
      </c>
      <c r="V120" s="14">
        <f>IF(U120="","",1)</f>
        <v/>
      </c>
      <c r="W120" s="11">
        <f>IF(OR(City_Inputs!$U120="",Norm_Stats!$F$9="",Norm_Stats!$G$9="",Norm_Stats!$G$9=Norm_Stats!$F$9),"",MAX(0,MIN(100,100*(Norm_Stats!$G$9-MIN(MAX(City_Inputs!$U120,Norm_Stats!$F$9),Norm_Stats!$G$9))/(Norm_Stats!$G$9-Norm_Stats!$F$9))))</f>
        <v/>
      </c>
      <c r="X120" s="14">
        <f>IF(W120="","",1)</f>
        <v/>
      </c>
      <c r="Y120" s="11">
        <f>IF(OR(City_Inputs!$V120="",Norm_Stats!$F$10="",Norm_Stats!$G$10="",Norm_Stats!$G$10=Norm_Stats!$F$10),"",MAX(0,MIN(100,100*(MIN(MAX(City_Inputs!$V120,Norm_Stats!$F$10),Norm_Stats!$G$10)-Norm_Stats!$F$10)/(Norm_Stats!$G$10-Norm_Stats!$F$10))))</f>
        <v/>
      </c>
      <c r="Z120" s="14">
        <f>IF(Y120="","",1)</f>
        <v/>
      </c>
      <c r="AA120" s="11">
        <f>IF(OR(City_Inputs!$W120="",Norm_Stats!$F$11="",Norm_Stats!$G$11="",Norm_Stats!$G$11=Norm_Stats!$F$11),"",MAX(0,MIN(100,100*(MIN(MAX(City_Inputs!$W120,Norm_Stats!$F$11),Norm_Stats!$G$11)-Norm_Stats!$F$11)/(Norm_Stats!$G$11-Norm_Stats!$F$11))))</f>
        <v/>
      </c>
      <c r="AB120" s="14">
        <f>IF(AA120="","",1)</f>
        <v/>
      </c>
      <c r="AC120" s="11">
        <f>IF(OR(City_Inputs!$X120="",Norm_Stats!$F$12="",Norm_Stats!$G$12="",Norm_Stats!$G$12=Norm_Stats!$F$12),"",MAX(0,MIN(100,100*(MIN(MAX(City_Inputs!$X120,Norm_Stats!$F$12),Norm_Stats!$G$12)-Norm_Stats!$F$12)/(Norm_Stats!$G$12-Norm_Stats!$F$12))))</f>
        <v/>
      </c>
      <c r="AD120" s="11">
        <f>IF(AC120="","",1)</f>
        <v/>
      </c>
      <c r="AE120" s="15">
        <f>IF((IF(S120="",0,5)+IF(U120="",0,5)+IF(W120="",0,4)+IF(Y120="",0,4)+IF(AA120="",0,4)+IF(AC120="",0,5))=0,"",(IF(S120="",0,S120*5)+IF(U120="",0,U120*5)+IF(W120="",0,W120*4)+IF(Y120="",0,Y120*4)+IF(AA120="",0,AA120*4)+IF(AC120="",0,AC120*5))/(IF(S120="",0,5)+IF(U120="",0,5)+IF(W120="",0,4)+IF(Y120="",0,4)+IF(AA120="",0,4)+IF(AC120="",0,5)))</f>
        <v/>
      </c>
      <c r="AF120" s="14">
        <f>IF((IF(T120="",0,5)+IF(V120="",0,5)+IF(X120="",0,4)+IF(Z120="",0,4)+IF(AB120="",0,4)+IF(AD120="",0,5))=0,"",(IF(T120="",0,T120*5)+IF(V120="",0,V120*5)+IF(X120="",0,X120*4)+IF(Z120="",0,Z120*4)+IF(AB120="",0,AB120*4)+IF(AD120="",0,AD120*5))/27)</f>
        <v/>
      </c>
      <c r="AG120" s="11">
        <f>IF(OR(City_Inputs!$Y120="",Norm_Stats!$F$13="",Norm_Stats!$G$13="",Norm_Stats!$G$13=Norm_Stats!$F$13),"",MAX(0,MIN(100,100*(MIN(MAX(City_Inputs!$Y120,Norm_Stats!$F$13),Norm_Stats!$G$13)-Norm_Stats!$F$13)/(Norm_Stats!$G$13-Norm_Stats!$F$13))))</f>
        <v/>
      </c>
      <c r="AH120" s="14">
        <f>IF(AG120="","",1)</f>
        <v/>
      </c>
      <c r="AI120" s="11">
        <f>IF(OR(City_Inputs!$Z120="",Norm_Stats!$F$14="",Norm_Stats!$G$14="",Norm_Stats!$G$14=Norm_Stats!$F$14),"",MAX(0,MIN(100,100*(MIN(MAX(City_Inputs!$Z120,Norm_Stats!$F$14),Norm_Stats!$G$14)-Norm_Stats!$F$14)/(Norm_Stats!$G$14-Norm_Stats!$F$14))))</f>
        <v/>
      </c>
      <c r="AJ120" s="14">
        <f>IF(AI120="","",1)</f>
        <v/>
      </c>
      <c r="AK120" s="11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(IF(OR(City_Inputs!$AA120="",Norm_Stats!$F$15="",Norm_Stats!$G$15="",Norm_Stats!$G$15=Norm_Stats!$F$15),"",MAX(0,MIN(100,100*(MIN(MAX(City_Inputs!$AA120,Norm_Stats!$F$15),Norm_Stats!$G$15)-Norm_Stats!$F$15)/(Norm_Stats!$G$15-Norm_Stats!$F$15)))))*0.7)+IF((IF(OR(City_Inputs!$AL120="",Norm_Stats!$F$16="",Norm_Stats!$G$16="",Norm_Stats!$G$16=Norm_Stats!$F$16),"",MAX(0,MIN(100,100*(Norm_Stats!$G$16-MIN(MAX(City_Inputs!$AL120,Norm_Stats!$F$16),Norm_Stats!$G$16))/(Norm_Stats!$G$16-Norm_Stats!$F$16)))))="",0,(IF(OR(City_Inputs!$AL120="",Norm_Stats!$F$16="",Norm_Stats!$G$16="",Norm_Stats!$G$16=Norm_Stats!$F$16),"",MAX(0,MIN(100,100*(Norm_Stats!$G$16-MIN(MAX(City_Inputs!$AL120,Norm_Stats!$F$16),Norm_Stats!$G$16))/(Norm_Stats!$G$16-Norm_Stats!$F$16)))))*0.3))/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L120" s="14">
        <f>IF(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=0,"",(IF((IF(OR(City_Inputs!$AA120="",Norm_Stats!$F$15="",Norm_Stats!$G$15="",Norm_Stats!$G$15=Norm_Stats!$F$15),"",MAX(0,MIN(100,100*(MIN(MAX(City_Inputs!$AA120,Norm_Stats!$F$15),Norm_Stats!$G$15)-Norm_Stats!$F$15)/(Norm_Stats!$G$15-Norm_Stats!$F$15)))))="",0,0.7)+IF((IF(OR(City_Inputs!$AL120="",Norm_Stats!$F$16="",Norm_Stats!$G$16="",Norm_Stats!$G$16=Norm_Stats!$F$16),"",MAX(0,MIN(100,100*(Norm_Stats!$G$16-MIN(MAX(City_Inputs!$AL120,Norm_Stats!$F$16),Norm_Stats!$G$16))/(Norm_Stats!$G$16-Norm_Stats!$F$16)))))="",0,0.3)))</f>
        <v/>
      </c>
      <c r="AM120" s="15">
        <f>IF((IF(AG120="",0,8)+IF(AI120="",0,6)+IF(AK120="",0,4))=0,"",(IF(AG120="",0,AG120*8)+IF(AI120="",0,AI120*6)+IF(AK120="",0,AK120*4))/(IF(AG120="",0,8)+IF(AI120="",0,6)+IF(AK120="",0,4)))</f>
        <v/>
      </c>
      <c r="AN120" s="14">
        <f>IF((IF(AH120="",0,8)+IF(AJ120="",0,6)+IF(AL120="",0,4))=0,"",(IF(AH120="",0,AH120*8)+IF(AJ120="",0,AJ120*6)+IF(AL120="",0,AL120*4))/18)</f>
        <v/>
      </c>
      <c r="AO120" s="11">
        <f>IF(OR(City_Inputs!$AB120="",Norm_Stats!$F$17="",Norm_Stats!$G$17="",Norm_Stats!$G$17=Norm_Stats!$F$17),"",MAX(0,MIN(100,100*(MIN(MAX(City_Inputs!$AB120,Norm_Stats!$F$17),Norm_Stats!$G$17)-Norm_Stats!$F$17)/(Norm_Stats!$G$17-Norm_Stats!$F$17))))</f>
        <v/>
      </c>
      <c r="AP120" s="14">
        <f>IF(AO120="","",1)</f>
        <v/>
      </c>
      <c r="AQ120" s="11">
        <f>IF(OR(City_Inputs!$AC120="",Norm_Stats!$F$18="",Norm_Stats!$G$18="",Norm_Stats!$G$18=Norm_Stats!$F$18),"",MAX(0,MIN(100,100*(MIN(MAX(City_Inputs!$AC120,Norm_Stats!$F$18),Norm_Stats!$G$18)-Norm_Stats!$F$18)/(Norm_Stats!$G$18-Norm_Stats!$F$18))))</f>
        <v/>
      </c>
      <c r="AR120" s="14">
        <f>IF(AQ120="","",1)</f>
        <v/>
      </c>
      <c r="AS120" s="11">
        <f>IF(OR(City_Inputs!$AD120="",Norm_Stats!$F$19="",Norm_Stats!$G$19="",Norm_Stats!$G$19=Norm_Stats!$F$19),"",MAX(0,MIN(100,100*(MIN(MAX(City_Inputs!$AD120,Norm_Stats!$F$19),Norm_Stats!$G$19)-Norm_Stats!$F$19)/(Norm_Stats!$G$19-Norm_Stats!$F$19))))</f>
        <v/>
      </c>
      <c r="AT120" s="14">
        <f>IF(AS120="","",1)</f>
        <v/>
      </c>
      <c r="AU120" s="11">
        <f>IF(OR(City_Inputs!$BJ120="",Norm_Stats!$F$26="",Norm_Stats!$G$26="",Norm_Stats!$G$26=Norm_Stats!$F$26),"",MAX(0,MIN(100,100*(MIN(MAX(City_Inputs!$BJ120,Norm_Stats!$F$26),Norm_Stats!$G$26)-Norm_Stats!$F$26)/(Norm_Stats!$G$26-Norm_Stats!$F$26))))</f>
        <v/>
      </c>
      <c r="AV120" s="11">
        <f>IF(AU120="","",1)</f>
        <v/>
      </c>
      <c r="AW120" s="15">
        <f>IF((IF(AO120="",0,5)+IF(AQ120="",0,5)+IF(AS120="",0,5)+IF(AU120="",0,4))=0,"",(IF(AO120="",0,AO120*5)+IF(AQ120="",0,AQ120*5)+IF(AS120="",0,AS120*5)+IF(AU120="",0,AU120*4))/(IF(AO120="",0,5)+IF(AQ120="",0,5)+IF(AS120="",0,5)+IF(AU120="",0,4)))</f>
        <v/>
      </c>
      <c r="AX120" s="14">
        <f>IF((IF(AP120="",0,5)+IF(AR120="",0,5)+IF(AT120="",0,5)+IF(AV120="",0,4))=0,"",(IF(AP120="",0,AP120*5)+IF(AR120="",0,AR120*5)+IF(AT120="",0,AT120*5)+IF(AV120="",0,AV120*4))/19)</f>
        <v/>
      </c>
      <c r="AY120" s="11">
        <f>IF(OR(City_Inputs!$AE120="",Norm_Stats!$F$20="",Norm_Stats!$G$20="",Norm_Stats!$G$20=Norm_Stats!$F$20),"",MAX(0,MIN(100,100*(MIN(MAX(City_Inputs!$AE120,Norm_Stats!$F$20),Norm_Stats!$G$20)-Norm_Stats!$F$20)/(Norm_Stats!$G$20-Norm_Stats!$F$20))))</f>
        <v/>
      </c>
      <c r="AZ120" s="14">
        <f>IF(AY120="","",1)</f>
        <v/>
      </c>
      <c r="BA120" s="11">
        <f>IF(OR(City_Inputs!$AF120="",Norm_Stats!$F$21="",Norm_Stats!$G$21="",Norm_Stats!$G$21=Norm_Stats!$F$21),"",MAX(0,MIN(100,100*(MIN(MAX(City_Inputs!$AF120,Norm_Stats!$F$21),Norm_Stats!$G$21)-Norm_Stats!$F$21)/(Norm_Stats!$G$21-Norm_Stats!$F$21))))</f>
        <v/>
      </c>
      <c r="BB120" s="14">
        <f>IF(BA120="","",1)</f>
        <v/>
      </c>
      <c r="BC120" s="11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(IF(OR(City_Inputs!$AG120="",Norm_Stats!$F$22="",Norm_Stats!$G$22="",Norm_Stats!$G$22=Norm_Stats!$F$22),"",MAX(0,MIN(100,100*(MIN(MAX(City_Inputs!$AG120,Norm_Stats!$F$22),Norm_Stats!$G$22)-Norm_Stats!$F$22)/(Norm_Stats!$G$22-Norm_Stats!$F$22)))))*0.5)+IF((IF(OR(City_Inputs!$AJ120="",Norm_Stats!$F$23="",Norm_Stats!$G$23="",Norm_Stats!$G$23=Norm_Stats!$F$23),"",MAX(0,MIN(100,100*(MIN(MAX(City_Inputs!$AJ120,Norm_Stats!$F$23),Norm_Stats!$G$23)-Norm_Stats!$F$23)/(Norm_Stats!$G$23-Norm_Stats!$F$23)))))="",0,(IF(OR(City_Inputs!$AJ120="",Norm_Stats!$F$23="",Norm_Stats!$G$23="",Norm_Stats!$G$23=Norm_Stats!$F$23),"",MAX(0,MIN(100,100*(MIN(MAX(City_Inputs!$AJ120,Norm_Stats!$F$23),Norm_Stats!$G$23)-Norm_Stats!$F$23)/(Norm_Stats!$G$23-Norm_Stats!$F$23)))))*0.3)+IF((IF(OR(City_Inputs!$AK120="",Norm_Stats!$F$24="",Norm_Stats!$G$24="",Norm_Stats!$G$24=Norm_Stats!$F$24),"",MAX(0,MIN(100,100*(MIN(MAX(City_Inputs!$AK120,Norm_Stats!$F$24),Norm_Stats!$G$24)-Norm_Stats!$F$24)/(Norm_Stats!$G$24-Norm_Stats!$F$24)))))="",0,(IF(OR(City_Inputs!$AK120="",Norm_Stats!$F$24="",Norm_Stats!$G$24="",Norm_Stats!$G$24=Norm_Stats!$F$24),"",MAX(0,MIN(100,100*(MIN(MAX(City_Inputs!$AK120,Norm_Stats!$F$24),Norm_Stats!$G$24)-Norm_Stats!$F$24)/(Norm_Stats!$G$24-Norm_Stats!$F$24)))))*0.2))/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D120" s="14">
        <f>IF(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=0,"",(IF((IF(OR(City_Inputs!$AG120="",Norm_Stats!$F$22="",Norm_Stats!$G$22="",Norm_Stats!$G$22=Norm_Stats!$F$22),"",MAX(0,MIN(100,100*(MIN(MAX(City_Inputs!$AG120,Norm_Stats!$F$22),Norm_Stats!$G$22)-Norm_Stats!$F$22)/(Norm_Stats!$G$22-Norm_Stats!$F$22)))))="",0,0.5)+IF((IF(OR(City_Inputs!$AJ120="",Norm_Stats!$F$23="",Norm_Stats!$G$23="",Norm_Stats!$G$23=Norm_Stats!$F$23),"",MAX(0,MIN(100,100*(MIN(MAX(City_Inputs!$AJ120,Norm_Stats!$F$23),Norm_Stats!$G$23)-Norm_Stats!$F$23)/(Norm_Stats!$G$23-Norm_Stats!$F$23)))))="",0,0.3)+IF((IF(OR(City_Inputs!$AK120="",Norm_Stats!$F$24="",Norm_Stats!$G$24="",Norm_Stats!$G$24=Norm_Stats!$F$24),"",MAX(0,MIN(100,100*(MIN(MAX(City_Inputs!$AK120,Norm_Stats!$F$24),Norm_Stats!$G$24)-Norm_Stats!$F$24)/(Norm_Stats!$G$24-Norm_Stats!$F$24)))))="",0,0.2)))</f>
        <v/>
      </c>
      <c r="BE120" s="11">
        <f>IF(OR(City_Inputs!$AH120="",Norm_Stats!$F$25="",Norm_Stats!$G$25="",Norm_Stats!$G$25=Norm_Stats!$F$25),"",MAX(0,MIN(100,100*(Norm_Stats!$G$25-MIN(MAX(City_Inputs!$AH120,Norm_Stats!$F$25),Norm_Stats!$G$25))/(Norm_Stats!$G$25-Norm_Stats!$F$25))))</f>
        <v/>
      </c>
      <c r="BF120" s="14">
        <f>IF(BE120="","",1)</f>
        <v/>
      </c>
      <c r="BG120" s="15">
        <f>IF((IF(AY120="",0,6)+IF(BA120="",0,5)+IF(BC120="",0,5)+IF(BE120="",0,4))=0,"",(IF(AY120="",0,AY120*6)+IF(BA120="",0,BA120*5)+IF(BC120="",0,BC120*5)+IF(BE120="",0,BE120*4))/(IF(AY120="",0,6)+IF(BA120="",0,5)+IF(BC120="",0,5)+IF(BE120="",0,4)))</f>
        <v/>
      </c>
      <c r="BH120" s="14">
        <f>IF((IF(AZ120="",0,6)+IF(BB120="",0,5)+IF(BD120="",0,5)+IF(BF120="",0,4))=0,"",(IF(AZ120="",0,AZ120*6)+IF(BB120="",0,BB120*5)+IF(BD120="",0,BD120*5)+IF(BF120="",0,BF120*4))/20)</f>
        <v/>
      </c>
      <c r="BI120" s="14">
        <f>IF(AND(R120="",AF120="",AN120="",AX120="",BH120=""),"",((R120*25)+(AF120*22)+(AN120*18)+(AX120*15)+(BH120*20))/100)</f>
        <v/>
      </c>
      <c r="BJ120" s="11">
        <f>IF(BI120="","",IF(BI120&gt;=0.75,"A",IF(BI120&gt;=0.5,"B",IF(BI120&gt;=0.35,"C","Watchlist"))))</f>
        <v/>
      </c>
      <c r="BK120" s="11">
        <f>IF(OR(BI120="",BI120&lt;0.5,R120="",R120&lt;0.35,AF120="",AF120&lt;0.35,AN120="",AN120&lt;0.35,AX120="",AX120&lt;0.35,BH120="",BH120&lt;0.35),"Watchlist","Ranked")</f>
        <v/>
      </c>
      <c r="BL120" s="15">
        <f>IF(AND(Q120="",AE120="",AM120="",AW120="",BG120=""),"",(IF(Q120="",0,Q120*25)+IF(AE120="",0,AE120*22)+IF(AM120="",0,AM120*18)+IF(AW120="",0,AW120*15)+IF(BG120="",0,BG120*20))/(IF(Q120="",0,25)+IF(AE120="",0,22)+IF(AM120="",0,18)+IF(AW120="",0,15)+IF(BG120="",0,20)))</f>
        <v/>
      </c>
      <c r="BM120" s="11">
        <f>IF(BK120="Ranked",1+COUNTIFS($BK$2:$BK$158,"Ranked",$BL$2:$BL$158,"&gt;"&amp;BL120),"")</f>
        <v/>
      </c>
      <c r="BN120" s="11">
        <f>City_Inputs!$AI120</f>
        <v/>
      </c>
    </row>
    <row r="121">
      <c r="A121" t="inlineStr">
        <is>
          <t>lk-kandy</t>
        </is>
      </c>
      <c r="B121" t="inlineStr">
        <is>
          <t>Kandy</t>
        </is>
      </c>
      <c r="C121" t="inlineStr">
        <is>
          <t>Sri Lanka</t>
        </is>
      </c>
      <c r="D121" t="inlineStr">
        <is>
          <t>South Asia</t>
        </is>
      </c>
      <c r="E121" t="inlineStr">
        <is>
          <t>provisional</t>
        </is>
      </c>
      <c r="F121" t="inlineStr">
        <is>
          <t>secondary</t>
        </is>
      </c>
      <c r="G121" s="11">
        <f>IF(OR(City_Inputs!$M121="",Norm_Stats!$F$2="",Norm_Stats!$G$2="",Norm_Stats!$G$2=Norm_Stats!$F$2),"",MAX(0,MIN(100,100*(MIN(MAX(City_Inputs!$M121,Norm_Stats!$F$2),Norm_Stats!$G$2)-Norm_Stats!$F$2)/(Norm_Stats!$G$2-Norm_Stats!$F$2))))</f>
        <v/>
      </c>
      <c r="H121" s="14">
        <f>IF(G121="","",1)</f>
        <v/>
      </c>
      <c r="I121" s="11">
        <f>IF(OR(City_Inputs!$N121="",Norm_Stats!$F$3="",Norm_Stats!$G$3="",Norm_Stats!$G$3=Norm_Stats!$F$3),"",MAX(0,MIN(100,100*(Norm_Stats!$G$3-MIN(MAX(City_Inputs!$N121,Norm_Stats!$F$3),Norm_Stats!$G$3))/(Norm_Stats!$G$3-Norm_Stats!$F$3))))</f>
        <v/>
      </c>
      <c r="J121" s="14">
        <f>IF(I121="","",1)</f>
        <v/>
      </c>
      <c r="K121" s="11">
        <f>IF(OR(City_Inputs!$P121="",Norm_Stats!$F$4="",Norm_Stats!$G$4="",Norm_Stats!$G$4=Norm_Stats!$F$4),"",MAX(0,MIN(100,100*(Norm_Stats!$G$4-MIN(MAX(City_Inputs!$P121,Norm_Stats!$F$4),Norm_Stats!$G$4))/(Norm_Stats!$G$4-Norm_Stats!$F$4))))</f>
        <v/>
      </c>
      <c r="L121" s="14">
        <f>IF(K121="","",1)</f>
        <v/>
      </c>
      <c r="M121" s="11">
        <f>IF(OR(City_Inputs!$Q121="",Norm_Stats!$F$5="",Norm_Stats!$G$5="",Norm_Stats!$G$5=Norm_Stats!$F$5),"",MAX(0,MIN(100,100*(Norm_Stats!$G$5-MIN(MAX(City_Inputs!$Q121,Norm_Stats!$F$5),Norm_Stats!$G$5))/(Norm_Stats!$G$5-Norm_Stats!$F$5))))</f>
        <v/>
      </c>
      <c r="N121" s="14">
        <f>IF(M121="","",1)</f>
        <v/>
      </c>
      <c r="O121" s="11">
        <f>IF(OR(City_Inputs!$R121="",Norm_Stats!$F$6="",Norm_Stats!$G$6="",Norm_Stats!$G$6=Norm_Stats!$F$6),"",MAX(0,MIN(100,100*(Norm_Stats!$G$6-MIN(MAX(City_Inputs!$R121,Norm_Stats!$F$6),Norm_Stats!$G$6))/(Norm_Stats!$G$6-Norm_Stats!$F$6))))</f>
        <v/>
      </c>
      <c r="P121" s="14">
        <f>IF(O121="","",1)</f>
        <v/>
      </c>
      <c r="Q121" s="15">
        <f>IF((IF(G121="",0,9)+IF(I121="",0,5)+IF(K121="",0,4)+IF(M121="",0,4)+IF(O121="",0,5))=0,"",(IF(G121="",0,G121*9)+IF(I121="",0,I121*5)+IF(K121="",0,K121*4)+IF(M121="",0,M121*4)+IF(O121="",0,O121*5))/(IF(G121="",0,9)+IF(I121="",0,5)+IF(K121="",0,4)+IF(M121="",0,4)+IF(O121="",0,5)))</f>
        <v/>
      </c>
      <c r="R121" s="14">
        <f>IF((IF(H121="",0,9)+IF(J121="",0,5)+IF(L121="",0,4)+IF(N121="",0,4)+IF(P121="",0,5))=0,"",(IF(H121="",0,H121*9)+IF(J121="",0,J121*5)+IF(L121="",0,L121*4)+IF(N121="",0,N121*4)+IF(P121="",0,P121*5))/27)</f>
        <v/>
      </c>
      <c r="S121" s="11">
        <f>IF(OR(City_Inputs!$S121="",Norm_Stats!$F$7="",Norm_Stats!$G$7="",Norm_Stats!$G$7=Norm_Stats!$F$7),"",MAX(0,MIN(100,100*(Norm_Stats!$G$7-MIN(MAX(City_Inputs!$S121,Norm_Stats!$F$7),Norm_Stats!$G$7))/(Norm_Stats!$G$7-Norm_Stats!$F$7))))</f>
        <v/>
      </c>
      <c r="T121" s="14">
        <f>IF(S121="","",1)</f>
        <v/>
      </c>
      <c r="U121" s="11">
        <f>IF(OR(City_Inputs!$T121="",Norm_Stats!$F$8="",Norm_Stats!$G$8="",Norm_Stats!$G$8=Norm_Stats!$F$8),"",MAX(0,MIN(100,100*(MIN(MAX(City_Inputs!$T121,Norm_Stats!$F$8),Norm_Stats!$G$8)-Norm_Stats!$F$8)/(Norm_Stats!$G$8-Norm_Stats!$F$8))))</f>
        <v/>
      </c>
      <c r="V121" s="14">
        <f>IF(U121="","",1)</f>
        <v/>
      </c>
      <c r="W121" s="11">
        <f>IF(OR(City_Inputs!$U121="",Norm_Stats!$F$9="",Norm_Stats!$G$9="",Norm_Stats!$G$9=Norm_Stats!$F$9),"",MAX(0,MIN(100,100*(Norm_Stats!$G$9-MIN(MAX(City_Inputs!$U121,Norm_Stats!$F$9),Norm_Stats!$G$9))/(Norm_Stats!$G$9-Norm_Stats!$F$9))))</f>
        <v/>
      </c>
      <c r="X121" s="14">
        <f>IF(W121="","",1)</f>
        <v/>
      </c>
      <c r="Y121" s="11">
        <f>IF(OR(City_Inputs!$V121="",Norm_Stats!$F$10="",Norm_Stats!$G$10="",Norm_Stats!$G$10=Norm_Stats!$F$10),"",MAX(0,MIN(100,100*(MIN(MAX(City_Inputs!$V121,Norm_Stats!$F$10),Norm_Stats!$G$10)-Norm_Stats!$F$10)/(Norm_Stats!$G$10-Norm_Stats!$F$10))))</f>
        <v/>
      </c>
      <c r="Z121" s="14">
        <f>IF(Y121="","",1)</f>
        <v/>
      </c>
      <c r="AA121" s="11">
        <f>IF(OR(City_Inputs!$W121="",Norm_Stats!$F$11="",Norm_Stats!$G$11="",Norm_Stats!$G$11=Norm_Stats!$F$11),"",MAX(0,MIN(100,100*(MIN(MAX(City_Inputs!$W121,Norm_Stats!$F$11),Norm_Stats!$G$11)-Norm_Stats!$F$11)/(Norm_Stats!$G$11-Norm_Stats!$F$11))))</f>
        <v/>
      </c>
      <c r="AB121" s="14">
        <f>IF(AA121="","",1)</f>
        <v/>
      </c>
      <c r="AC121" s="11">
        <f>IF(OR(City_Inputs!$X121="",Norm_Stats!$F$12="",Norm_Stats!$G$12="",Norm_Stats!$G$12=Norm_Stats!$F$12),"",MAX(0,MIN(100,100*(MIN(MAX(City_Inputs!$X121,Norm_Stats!$F$12),Norm_Stats!$G$12)-Norm_Stats!$F$12)/(Norm_Stats!$G$12-Norm_Stats!$F$12))))</f>
        <v/>
      </c>
      <c r="AD121" s="11">
        <f>IF(AC121="","",1)</f>
        <v/>
      </c>
      <c r="AE121" s="15">
        <f>IF((IF(S121="",0,5)+IF(U121="",0,5)+IF(W121="",0,4)+IF(Y121="",0,4)+IF(AA121="",0,4)+IF(AC121="",0,5))=0,"",(IF(S121="",0,S121*5)+IF(U121="",0,U121*5)+IF(W121="",0,W121*4)+IF(Y121="",0,Y121*4)+IF(AA121="",0,AA121*4)+IF(AC121="",0,AC121*5))/(IF(S121="",0,5)+IF(U121="",0,5)+IF(W121="",0,4)+IF(Y121="",0,4)+IF(AA121="",0,4)+IF(AC121="",0,5)))</f>
        <v/>
      </c>
      <c r="AF121" s="14">
        <f>IF((IF(T121="",0,5)+IF(V121="",0,5)+IF(X121="",0,4)+IF(Z121="",0,4)+IF(AB121="",0,4)+IF(AD121="",0,5))=0,"",(IF(T121="",0,T121*5)+IF(V121="",0,V121*5)+IF(X121="",0,X121*4)+IF(Z121="",0,Z121*4)+IF(AB121="",0,AB121*4)+IF(AD121="",0,AD121*5))/27)</f>
        <v/>
      </c>
      <c r="AG121" s="11">
        <f>IF(OR(City_Inputs!$Y121="",Norm_Stats!$F$13="",Norm_Stats!$G$13="",Norm_Stats!$G$13=Norm_Stats!$F$13),"",MAX(0,MIN(100,100*(MIN(MAX(City_Inputs!$Y121,Norm_Stats!$F$13),Norm_Stats!$G$13)-Norm_Stats!$F$13)/(Norm_Stats!$G$13-Norm_Stats!$F$13))))</f>
        <v/>
      </c>
      <c r="AH121" s="14">
        <f>IF(AG121="","",1)</f>
        <v/>
      </c>
      <c r="AI121" s="11">
        <f>IF(OR(City_Inputs!$Z121="",Norm_Stats!$F$14="",Norm_Stats!$G$14="",Norm_Stats!$G$14=Norm_Stats!$F$14),"",MAX(0,MIN(100,100*(MIN(MAX(City_Inputs!$Z121,Norm_Stats!$F$14),Norm_Stats!$G$14)-Norm_Stats!$F$14)/(Norm_Stats!$G$14-Norm_Stats!$F$14))))</f>
        <v/>
      </c>
      <c r="AJ121" s="14">
        <f>IF(AI121="","",1)</f>
        <v/>
      </c>
      <c r="AK121" s="11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(IF(OR(City_Inputs!$AA121="",Norm_Stats!$F$15="",Norm_Stats!$G$15="",Norm_Stats!$G$15=Norm_Stats!$F$15),"",MAX(0,MIN(100,100*(MIN(MAX(City_Inputs!$AA121,Norm_Stats!$F$15),Norm_Stats!$G$15)-Norm_Stats!$F$15)/(Norm_Stats!$G$15-Norm_Stats!$F$15)))))*0.7)+IF((IF(OR(City_Inputs!$AL121="",Norm_Stats!$F$16="",Norm_Stats!$G$16="",Norm_Stats!$G$16=Norm_Stats!$F$16),"",MAX(0,MIN(100,100*(Norm_Stats!$G$16-MIN(MAX(City_Inputs!$AL121,Norm_Stats!$F$16),Norm_Stats!$G$16))/(Norm_Stats!$G$16-Norm_Stats!$F$16)))))="",0,(IF(OR(City_Inputs!$AL121="",Norm_Stats!$F$16="",Norm_Stats!$G$16="",Norm_Stats!$G$16=Norm_Stats!$F$16),"",MAX(0,MIN(100,100*(Norm_Stats!$G$16-MIN(MAX(City_Inputs!$AL121,Norm_Stats!$F$16),Norm_Stats!$G$16))/(Norm_Stats!$G$16-Norm_Stats!$F$16)))))*0.3))/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L121" s="14">
        <f>IF(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=0,"",(IF((IF(OR(City_Inputs!$AA121="",Norm_Stats!$F$15="",Norm_Stats!$G$15="",Norm_Stats!$G$15=Norm_Stats!$F$15),"",MAX(0,MIN(100,100*(MIN(MAX(City_Inputs!$AA121,Norm_Stats!$F$15),Norm_Stats!$G$15)-Norm_Stats!$F$15)/(Norm_Stats!$G$15-Norm_Stats!$F$15)))))="",0,0.7)+IF((IF(OR(City_Inputs!$AL121="",Norm_Stats!$F$16="",Norm_Stats!$G$16="",Norm_Stats!$G$16=Norm_Stats!$F$16),"",MAX(0,MIN(100,100*(Norm_Stats!$G$16-MIN(MAX(City_Inputs!$AL121,Norm_Stats!$F$16),Norm_Stats!$G$16))/(Norm_Stats!$G$16-Norm_Stats!$F$16)))))="",0,0.3)))</f>
        <v/>
      </c>
      <c r="AM121" s="15">
        <f>IF((IF(AG121="",0,8)+IF(AI121="",0,6)+IF(AK121="",0,4))=0,"",(IF(AG121="",0,AG121*8)+IF(AI121="",0,AI121*6)+IF(AK121="",0,AK121*4))/(IF(AG121="",0,8)+IF(AI121="",0,6)+IF(AK121="",0,4)))</f>
        <v/>
      </c>
      <c r="AN121" s="14">
        <f>IF((IF(AH121="",0,8)+IF(AJ121="",0,6)+IF(AL121="",0,4))=0,"",(IF(AH121="",0,AH121*8)+IF(AJ121="",0,AJ121*6)+IF(AL121="",0,AL121*4))/18)</f>
        <v/>
      </c>
      <c r="AO121" s="11">
        <f>IF(OR(City_Inputs!$AB121="",Norm_Stats!$F$17="",Norm_Stats!$G$17="",Norm_Stats!$G$17=Norm_Stats!$F$17),"",MAX(0,MIN(100,100*(MIN(MAX(City_Inputs!$AB121,Norm_Stats!$F$17),Norm_Stats!$G$17)-Norm_Stats!$F$17)/(Norm_Stats!$G$17-Norm_Stats!$F$17))))</f>
        <v/>
      </c>
      <c r="AP121" s="14">
        <f>IF(AO121="","",1)</f>
        <v/>
      </c>
      <c r="AQ121" s="11">
        <f>IF(OR(City_Inputs!$AC121="",Norm_Stats!$F$18="",Norm_Stats!$G$18="",Norm_Stats!$G$18=Norm_Stats!$F$18),"",MAX(0,MIN(100,100*(MIN(MAX(City_Inputs!$AC121,Norm_Stats!$F$18),Norm_Stats!$G$18)-Norm_Stats!$F$18)/(Norm_Stats!$G$18-Norm_Stats!$F$18))))</f>
        <v/>
      </c>
      <c r="AR121" s="14">
        <f>IF(AQ121="","",1)</f>
        <v/>
      </c>
      <c r="AS121" s="11">
        <f>IF(OR(City_Inputs!$AD121="",Norm_Stats!$F$19="",Norm_Stats!$G$19="",Norm_Stats!$G$19=Norm_Stats!$F$19),"",MAX(0,MIN(100,100*(MIN(MAX(City_Inputs!$AD121,Norm_Stats!$F$19),Norm_Stats!$G$19)-Norm_Stats!$F$19)/(Norm_Stats!$G$19-Norm_Stats!$F$19))))</f>
        <v/>
      </c>
      <c r="AT121" s="14">
        <f>IF(AS121="","",1)</f>
        <v/>
      </c>
      <c r="AU121" s="11">
        <f>IF(OR(City_Inputs!$BJ121="",Norm_Stats!$F$26="",Norm_Stats!$G$26="",Norm_Stats!$G$26=Norm_Stats!$F$26),"",MAX(0,MIN(100,100*(MIN(MAX(City_Inputs!$BJ121,Norm_Stats!$F$26),Norm_Stats!$G$26)-Norm_Stats!$F$26)/(Norm_Stats!$G$26-Norm_Stats!$F$26))))</f>
        <v/>
      </c>
      <c r="AV121" s="11">
        <f>IF(AU121="","",1)</f>
        <v/>
      </c>
      <c r="AW121" s="15">
        <f>IF((IF(AO121="",0,5)+IF(AQ121="",0,5)+IF(AS121="",0,5)+IF(AU121="",0,4))=0,"",(IF(AO121="",0,AO121*5)+IF(AQ121="",0,AQ121*5)+IF(AS121="",0,AS121*5)+IF(AU121="",0,AU121*4))/(IF(AO121="",0,5)+IF(AQ121="",0,5)+IF(AS121="",0,5)+IF(AU121="",0,4)))</f>
        <v/>
      </c>
      <c r="AX121" s="14">
        <f>IF((IF(AP121="",0,5)+IF(AR121="",0,5)+IF(AT121="",0,5)+IF(AV121="",0,4))=0,"",(IF(AP121="",0,AP121*5)+IF(AR121="",0,AR121*5)+IF(AT121="",0,AT121*5)+IF(AV121="",0,AV121*4))/19)</f>
        <v/>
      </c>
      <c r="AY121" s="11">
        <f>IF(OR(City_Inputs!$AE121="",Norm_Stats!$F$20="",Norm_Stats!$G$20="",Norm_Stats!$G$20=Norm_Stats!$F$20),"",MAX(0,MIN(100,100*(MIN(MAX(City_Inputs!$AE121,Norm_Stats!$F$20),Norm_Stats!$G$20)-Norm_Stats!$F$20)/(Norm_Stats!$G$20-Norm_Stats!$F$20))))</f>
        <v/>
      </c>
      <c r="AZ121" s="14">
        <f>IF(AY121="","",1)</f>
        <v/>
      </c>
      <c r="BA121" s="11">
        <f>IF(OR(City_Inputs!$AF121="",Norm_Stats!$F$21="",Norm_Stats!$G$21="",Norm_Stats!$G$21=Norm_Stats!$F$21),"",MAX(0,MIN(100,100*(MIN(MAX(City_Inputs!$AF121,Norm_Stats!$F$21),Norm_Stats!$G$21)-Norm_Stats!$F$21)/(Norm_Stats!$G$21-Norm_Stats!$F$21))))</f>
        <v/>
      </c>
      <c r="BB121" s="14">
        <f>IF(BA121="","",1)</f>
        <v/>
      </c>
      <c r="BC121" s="11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(IF(OR(City_Inputs!$AG121="",Norm_Stats!$F$22="",Norm_Stats!$G$22="",Norm_Stats!$G$22=Norm_Stats!$F$22),"",MAX(0,MIN(100,100*(MIN(MAX(City_Inputs!$AG121,Norm_Stats!$F$22),Norm_Stats!$G$22)-Norm_Stats!$F$22)/(Norm_Stats!$G$22-Norm_Stats!$F$22)))))*0.5)+IF((IF(OR(City_Inputs!$AJ121="",Norm_Stats!$F$23="",Norm_Stats!$G$23="",Norm_Stats!$G$23=Norm_Stats!$F$23),"",MAX(0,MIN(100,100*(MIN(MAX(City_Inputs!$AJ121,Norm_Stats!$F$23),Norm_Stats!$G$23)-Norm_Stats!$F$23)/(Norm_Stats!$G$23-Norm_Stats!$F$23)))))="",0,(IF(OR(City_Inputs!$AJ121="",Norm_Stats!$F$23="",Norm_Stats!$G$23="",Norm_Stats!$G$23=Norm_Stats!$F$23),"",MAX(0,MIN(100,100*(MIN(MAX(City_Inputs!$AJ121,Norm_Stats!$F$23),Norm_Stats!$G$23)-Norm_Stats!$F$23)/(Norm_Stats!$G$23-Norm_Stats!$F$23)))))*0.3)+IF((IF(OR(City_Inputs!$AK121="",Norm_Stats!$F$24="",Norm_Stats!$G$24="",Norm_Stats!$G$24=Norm_Stats!$F$24),"",MAX(0,MIN(100,100*(MIN(MAX(City_Inputs!$AK121,Norm_Stats!$F$24),Norm_Stats!$G$24)-Norm_Stats!$F$24)/(Norm_Stats!$G$24-Norm_Stats!$F$24)))))="",0,(IF(OR(City_Inputs!$AK121="",Norm_Stats!$F$24="",Norm_Stats!$G$24="",Norm_Stats!$G$24=Norm_Stats!$F$24),"",MAX(0,MIN(100,100*(MIN(MAX(City_Inputs!$AK121,Norm_Stats!$F$24),Norm_Stats!$G$24)-Norm_Stats!$F$24)/(Norm_Stats!$G$24-Norm_Stats!$F$24)))))*0.2))/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D121" s="14">
        <f>IF(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=0,"",(IF((IF(OR(City_Inputs!$AG121="",Norm_Stats!$F$22="",Norm_Stats!$G$22="",Norm_Stats!$G$22=Norm_Stats!$F$22),"",MAX(0,MIN(100,100*(MIN(MAX(City_Inputs!$AG121,Norm_Stats!$F$22),Norm_Stats!$G$22)-Norm_Stats!$F$22)/(Norm_Stats!$G$22-Norm_Stats!$F$22)))))="",0,0.5)+IF((IF(OR(City_Inputs!$AJ121="",Norm_Stats!$F$23="",Norm_Stats!$G$23="",Norm_Stats!$G$23=Norm_Stats!$F$23),"",MAX(0,MIN(100,100*(MIN(MAX(City_Inputs!$AJ121,Norm_Stats!$F$23),Norm_Stats!$G$23)-Norm_Stats!$F$23)/(Norm_Stats!$G$23-Norm_Stats!$F$23)))))="",0,0.3)+IF((IF(OR(City_Inputs!$AK121="",Norm_Stats!$F$24="",Norm_Stats!$G$24="",Norm_Stats!$G$24=Norm_Stats!$F$24),"",MAX(0,MIN(100,100*(MIN(MAX(City_Inputs!$AK121,Norm_Stats!$F$24),Norm_Stats!$G$24)-Norm_Stats!$F$24)/(Norm_Stats!$G$24-Norm_Stats!$F$24)))))="",0,0.2)))</f>
        <v/>
      </c>
      <c r="BE121" s="11">
        <f>IF(OR(City_Inputs!$AH121="",Norm_Stats!$F$25="",Norm_Stats!$G$25="",Norm_Stats!$G$25=Norm_Stats!$F$25),"",MAX(0,MIN(100,100*(Norm_Stats!$G$25-MIN(MAX(City_Inputs!$AH121,Norm_Stats!$F$25),Norm_Stats!$G$25))/(Norm_Stats!$G$25-Norm_Stats!$F$25))))</f>
        <v/>
      </c>
      <c r="BF121" s="14">
        <f>IF(BE121="","",1)</f>
        <v/>
      </c>
      <c r="BG121" s="15">
        <f>IF((IF(AY121="",0,6)+IF(BA121="",0,5)+IF(BC121="",0,5)+IF(BE121="",0,4))=0,"",(IF(AY121="",0,AY121*6)+IF(BA121="",0,BA121*5)+IF(BC121="",0,BC121*5)+IF(BE121="",0,BE121*4))/(IF(AY121="",0,6)+IF(BA121="",0,5)+IF(BC121="",0,5)+IF(BE121="",0,4)))</f>
        <v/>
      </c>
      <c r="BH121" s="14">
        <f>IF((IF(AZ121="",0,6)+IF(BB121="",0,5)+IF(BD121="",0,5)+IF(BF121="",0,4))=0,"",(IF(AZ121="",0,AZ121*6)+IF(BB121="",0,BB121*5)+IF(BD121="",0,BD121*5)+IF(BF121="",0,BF121*4))/20)</f>
        <v/>
      </c>
      <c r="BI121" s="14">
        <f>IF(AND(R121="",AF121="",AN121="",AX121="",BH121=""),"",((R121*25)+(AF121*22)+(AN121*18)+(AX121*15)+(BH121*20))/100)</f>
        <v/>
      </c>
      <c r="BJ121" s="11">
        <f>IF(BI121="","",IF(BI121&gt;=0.75,"A",IF(BI121&gt;=0.5,"B",IF(BI121&gt;=0.35,"C","Watchlist"))))</f>
        <v/>
      </c>
      <c r="BK121" s="11">
        <f>IF(OR(BI121="",BI121&lt;0.5,R121="",R121&lt;0.35,AF121="",AF121&lt;0.35,AN121="",AN121&lt;0.35,AX121="",AX121&lt;0.35,BH121="",BH121&lt;0.35),"Watchlist","Ranked")</f>
        <v/>
      </c>
      <c r="BL121" s="15">
        <f>IF(AND(Q121="",AE121="",AM121="",AW121="",BG121=""),"",(IF(Q121="",0,Q121*25)+IF(AE121="",0,AE121*22)+IF(AM121="",0,AM121*18)+IF(AW121="",0,AW121*15)+IF(BG121="",0,BG121*20))/(IF(Q121="",0,25)+IF(AE121="",0,22)+IF(AM121="",0,18)+IF(AW121="",0,15)+IF(BG121="",0,20)))</f>
        <v/>
      </c>
      <c r="BM121" s="11">
        <f>IF(BK121="Ranked",1+COUNTIFS($BK$2:$BK$158,"Ranked",$BL$2:$BL$158,"&gt;"&amp;BL121),"")</f>
        <v/>
      </c>
      <c r="BN121" s="11">
        <f>City_Inputs!$AI121</f>
        <v/>
      </c>
    </row>
    <row r="122">
      <c r="A122" t="inlineStr">
        <is>
          <t>np-pokhara</t>
        </is>
      </c>
      <c r="B122" t="inlineStr">
        <is>
          <t>Pokhara</t>
        </is>
      </c>
      <c r="C122" t="inlineStr">
        <is>
          <t>Nepal</t>
        </is>
      </c>
      <c r="D122" t="inlineStr">
        <is>
          <t>South Asia</t>
        </is>
      </c>
      <c r="E122" t="inlineStr">
        <is>
          <t>provisional</t>
        </is>
      </c>
      <c r="F122" t="inlineStr">
        <is>
          <t>secondary</t>
        </is>
      </c>
      <c r="G122" s="11">
        <f>IF(OR(City_Inputs!$M122="",Norm_Stats!$F$2="",Norm_Stats!$G$2="",Norm_Stats!$G$2=Norm_Stats!$F$2),"",MAX(0,MIN(100,100*(MIN(MAX(City_Inputs!$M122,Norm_Stats!$F$2),Norm_Stats!$G$2)-Norm_Stats!$F$2)/(Norm_Stats!$G$2-Norm_Stats!$F$2))))</f>
        <v/>
      </c>
      <c r="H122" s="14">
        <f>IF(G122="","",1)</f>
        <v/>
      </c>
      <c r="I122" s="11">
        <f>IF(OR(City_Inputs!$N122="",Norm_Stats!$F$3="",Norm_Stats!$G$3="",Norm_Stats!$G$3=Norm_Stats!$F$3),"",MAX(0,MIN(100,100*(Norm_Stats!$G$3-MIN(MAX(City_Inputs!$N122,Norm_Stats!$F$3),Norm_Stats!$G$3))/(Norm_Stats!$G$3-Norm_Stats!$F$3))))</f>
        <v/>
      </c>
      <c r="J122" s="14">
        <f>IF(I122="","",1)</f>
        <v/>
      </c>
      <c r="K122" s="11">
        <f>IF(OR(City_Inputs!$P122="",Norm_Stats!$F$4="",Norm_Stats!$G$4="",Norm_Stats!$G$4=Norm_Stats!$F$4),"",MAX(0,MIN(100,100*(Norm_Stats!$G$4-MIN(MAX(City_Inputs!$P122,Norm_Stats!$F$4),Norm_Stats!$G$4))/(Norm_Stats!$G$4-Norm_Stats!$F$4))))</f>
        <v/>
      </c>
      <c r="L122" s="14">
        <f>IF(K122="","",1)</f>
        <v/>
      </c>
      <c r="M122" s="11">
        <f>IF(OR(City_Inputs!$Q122="",Norm_Stats!$F$5="",Norm_Stats!$G$5="",Norm_Stats!$G$5=Norm_Stats!$F$5),"",MAX(0,MIN(100,100*(Norm_Stats!$G$5-MIN(MAX(City_Inputs!$Q122,Norm_Stats!$F$5),Norm_Stats!$G$5))/(Norm_Stats!$G$5-Norm_Stats!$F$5))))</f>
        <v/>
      </c>
      <c r="N122" s="14">
        <f>IF(M122="","",1)</f>
        <v/>
      </c>
      <c r="O122" s="11">
        <f>IF(OR(City_Inputs!$R122="",Norm_Stats!$F$6="",Norm_Stats!$G$6="",Norm_Stats!$G$6=Norm_Stats!$F$6),"",MAX(0,MIN(100,100*(Norm_Stats!$G$6-MIN(MAX(City_Inputs!$R122,Norm_Stats!$F$6),Norm_Stats!$G$6))/(Norm_Stats!$G$6-Norm_Stats!$F$6))))</f>
        <v/>
      </c>
      <c r="P122" s="14">
        <f>IF(O122="","",1)</f>
        <v/>
      </c>
      <c r="Q122" s="15">
        <f>IF((IF(G122="",0,9)+IF(I122="",0,5)+IF(K122="",0,4)+IF(M122="",0,4)+IF(O122="",0,5))=0,"",(IF(G122="",0,G122*9)+IF(I122="",0,I122*5)+IF(K122="",0,K122*4)+IF(M122="",0,M122*4)+IF(O122="",0,O122*5))/(IF(G122="",0,9)+IF(I122="",0,5)+IF(K122="",0,4)+IF(M122="",0,4)+IF(O122="",0,5)))</f>
        <v/>
      </c>
      <c r="R122" s="14">
        <f>IF((IF(H122="",0,9)+IF(J122="",0,5)+IF(L122="",0,4)+IF(N122="",0,4)+IF(P122="",0,5))=0,"",(IF(H122="",0,H122*9)+IF(J122="",0,J122*5)+IF(L122="",0,L122*4)+IF(N122="",0,N122*4)+IF(P122="",0,P122*5))/27)</f>
        <v/>
      </c>
      <c r="S122" s="11">
        <f>IF(OR(City_Inputs!$S122="",Norm_Stats!$F$7="",Norm_Stats!$G$7="",Norm_Stats!$G$7=Norm_Stats!$F$7),"",MAX(0,MIN(100,100*(Norm_Stats!$G$7-MIN(MAX(City_Inputs!$S122,Norm_Stats!$F$7),Norm_Stats!$G$7))/(Norm_Stats!$G$7-Norm_Stats!$F$7))))</f>
        <v/>
      </c>
      <c r="T122" s="14">
        <f>IF(S122="","",1)</f>
        <v/>
      </c>
      <c r="U122" s="11">
        <f>IF(OR(City_Inputs!$T122="",Norm_Stats!$F$8="",Norm_Stats!$G$8="",Norm_Stats!$G$8=Norm_Stats!$F$8),"",MAX(0,MIN(100,100*(MIN(MAX(City_Inputs!$T122,Norm_Stats!$F$8),Norm_Stats!$G$8)-Norm_Stats!$F$8)/(Norm_Stats!$G$8-Norm_Stats!$F$8))))</f>
        <v/>
      </c>
      <c r="V122" s="14">
        <f>IF(U122="","",1)</f>
        <v/>
      </c>
      <c r="W122" s="11">
        <f>IF(OR(City_Inputs!$U122="",Norm_Stats!$F$9="",Norm_Stats!$G$9="",Norm_Stats!$G$9=Norm_Stats!$F$9),"",MAX(0,MIN(100,100*(Norm_Stats!$G$9-MIN(MAX(City_Inputs!$U122,Norm_Stats!$F$9),Norm_Stats!$G$9))/(Norm_Stats!$G$9-Norm_Stats!$F$9))))</f>
        <v/>
      </c>
      <c r="X122" s="14">
        <f>IF(W122="","",1)</f>
        <v/>
      </c>
      <c r="Y122" s="11">
        <f>IF(OR(City_Inputs!$V122="",Norm_Stats!$F$10="",Norm_Stats!$G$10="",Norm_Stats!$G$10=Norm_Stats!$F$10),"",MAX(0,MIN(100,100*(MIN(MAX(City_Inputs!$V122,Norm_Stats!$F$10),Norm_Stats!$G$10)-Norm_Stats!$F$10)/(Norm_Stats!$G$10-Norm_Stats!$F$10))))</f>
        <v/>
      </c>
      <c r="Z122" s="14">
        <f>IF(Y122="","",1)</f>
        <v/>
      </c>
      <c r="AA122" s="11">
        <f>IF(OR(City_Inputs!$W122="",Norm_Stats!$F$11="",Norm_Stats!$G$11="",Norm_Stats!$G$11=Norm_Stats!$F$11),"",MAX(0,MIN(100,100*(MIN(MAX(City_Inputs!$W122,Norm_Stats!$F$11),Norm_Stats!$G$11)-Norm_Stats!$F$11)/(Norm_Stats!$G$11-Norm_Stats!$F$11))))</f>
        <v/>
      </c>
      <c r="AB122" s="14">
        <f>IF(AA122="","",1)</f>
        <v/>
      </c>
      <c r="AC122" s="11">
        <f>IF(OR(City_Inputs!$X122="",Norm_Stats!$F$12="",Norm_Stats!$G$12="",Norm_Stats!$G$12=Norm_Stats!$F$12),"",MAX(0,MIN(100,100*(MIN(MAX(City_Inputs!$X122,Norm_Stats!$F$12),Norm_Stats!$G$12)-Norm_Stats!$F$12)/(Norm_Stats!$G$12-Norm_Stats!$F$12))))</f>
        <v/>
      </c>
      <c r="AD122" s="11">
        <f>IF(AC122="","",1)</f>
        <v/>
      </c>
      <c r="AE122" s="15">
        <f>IF((IF(S122="",0,5)+IF(U122="",0,5)+IF(W122="",0,4)+IF(Y122="",0,4)+IF(AA122="",0,4)+IF(AC122="",0,5))=0,"",(IF(S122="",0,S122*5)+IF(U122="",0,U122*5)+IF(W122="",0,W122*4)+IF(Y122="",0,Y122*4)+IF(AA122="",0,AA122*4)+IF(AC122="",0,AC122*5))/(IF(S122="",0,5)+IF(U122="",0,5)+IF(W122="",0,4)+IF(Y122="",0,4)+IF(AA122="",0,4)+IF(AC122="",0,5)))</f>
        <v/>
      </c>
      <c r="AF122" s="14">
        <f>IF((IF(T122="",0,5)+IF(V122="",0,5)+IF(X122="",0,4)+IF(Z122="",0,4)+IF(AB122="",0,4)+IF(AD122="",0,5))=0,"",(IF(T122="",0,T122*5)+IF(V122="",0,V122*5)+IF(X122="",0,X122*4)+IF(Z122="",0,Z122*4)+IF(AB122="",0,AB122*4)+IF(AD122="",0,AD122*5))/27)</f>
        <v/>
      </c>
      <c r="AG122" s="11">
        <f>IF(OR(City_Inputs!$Y122="",Norm_Stats!$F$13="",Norm_Stats!$G$13="",Norm_Stats!$G$13=Norm_Stats!$F$13),"",MAX(0,MIN(100,100*(MIN(MAX(City_Inputs!$Y122,Norm_Stats!$F$13),Norm_Stats!$G$13)-Norm_Stats!$F$13)/(Norm_Stats!$G$13-Norm_Stats!$F$13))))</f>
        <v/>
      </c>
      <c r="AH122" s="14">
        <f>IF(AG122="","",1)</f>
        <v/>
      </c>
      <c r="AI122" s="11">
        <f>IF(OR(City_Inputs!$Z122="",Norm_Stats!$F$14="",Norm_Stats!$G$14="",Norm_Stats!$G$14=Norm_Stats!$F$14),"",MAX(0,MIN(100,100*(MIN(MAX(City_Inputs!$Z122,Norm_Stats!$F$14),Norm_Stats!$G$14)-Norm_Stats!$F$14)/(Norm_Stats!$G$14-Norm_Stats!$F$14))))</f>
        <v/>
      </c>
      <c r="AJ122" s="14">
        <f>IF(AI122="","",1)</f>
        <v/>
      </c>
      <c r="AK122" s="11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(IF(OR(City_Inputs!$AA122="",Norm_Stats!$F$15="",Norm_Stats!$G$15="",Norm_Stats!$G$15=Norm_Stats!$F$15),"",MAX(0,MIN(100,100*(MIN(MAX(City_Inputs!$AA122,Norm_Stats!$F$15),Norm_Stats!$G$15)-Norm_Stats!$F$15)/(Norm_Stats!$G$15-Norm_Stats!$F$15)))))*0.7)+IF((IF(OR(City_Inputs!$AL122="",Norm_Stats!$F$16="",Norm_Stats!$G$16="",Norm_Stats!$G$16=Norm_Stats!$F$16),"",MAX(0,MIN(100,100*(Norm_Stats!$G$16-MIN(MAX(City_Inputs!$AL122,Norm_Stats!$F$16),Norm_Stats!$G$16))/(Norm_Stats!$G$16-Norm_Stats!$F$16)))))="",0,(IF(OR(City_Inputs!$AL122="",Norm_Stats!$F$16="",Norm_Stats!$G$16="",Norm_Stats!$G$16=Norm_Stats!$F$16),"",MAX(0,MIN(100,100*(Norm_Stats!$G$16-MIN(MAX(City_Inputs!$AL122,Norm_Stats!$F$16),Norm_Stats!$G$16))/(Norm_Stats!$G$16-Norm_Stats!$F$16)))))*0.3))/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L122" s="14">
        <f>IF(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=0,"",(IF((IF(OR(City_Inputs!$AA122="",Norm_Stats!$F$15="",Norm_Stats!$G$15="",Norm_Stats!$G$15=Norm_Stats!$F$15),"",MAX(0,MIN(100,100*(MIN(MAX(City_Inputs!$AA122,Norm_Stats!$F$15),Norm_Stats!$G$15)-Norm_Stats!$F$15)/(Norm_Stats!$G$15-Norm_Stats!$F$15)))))="",0,0.7)+IF((IF(OR(City_Inputs!$AL122="",Norm_Stats!$F$16="",Norm_Stats!$G$16="",Norm_Stats!$G$16=Norm_Stats!$F$16),"",MAX(0,MIN(100,100*(Norm_Stats!$G$16-MIN(MAX(City_Inputs!$AL122,Norm_Stats!$F$16),Norm_Stats!$G$16))/(Norm_Stats!$G$16-Norm_Stats!$F$16)))))="",0,0.3)))</f>
        <v/>
      </c>
      <c r="AM122" s="15">
        <f>IF((IF(AG122="",0,8)+IF(AI122="",0,6)+IF(AK122="",0,4))=0,"",(IF(AG122="",0,AG122*8)+IF(AI122="",0,AI122*6)+IF(AK122="",0,AK122*4))/(IF(AG122="",0,8)+IF(AI122="",0,6)+IF(AK122="",0,4)))</f>
        <v/>
      </c>
      <c r="AN122" s="14">
        <f>IF((IF(AH122="",0,8)+IF(AJ122="",0,6)+IF(AL122="",0,4))=0,"",(IF(AH122="",0,AH122*8)+IF(AJ122="",0,AJ122*6)+IF(AL122="",0,AL122*4))/18)</f>
        <v/>
      </c>
      <c r="AO122" s="11">
        <f>IF(OR(City_Inputs!$AB122="",Norm_Stats!$F$17="",Norm_Stats!$G$17="",Norm_Stats!$G$17=Norm_Stats!$F$17),"",MAX(0,MIN(100,100*(MIN(MAX(City_Inputs!$AB122,Norm_Stats!$F$17),Norm_Stats!$G$17)-Norm_Stats!$F$17)/(Norm_Stats!$G$17-Norm_Stats!$F$17))))</f>
        <v/>
      </c>
      <c r="AP122" s="14">
        <f>IF(AO122="","",1)</f>
        <v/>
      </c>
      <c r="AQ122" s="11">
        <f>IF(OR(City_Inputs!$AC122="",Norm_Stats!$F$18="",Norm_Stats!$G$18="",Norm_Stats!$G$18=Norm_Stats!$F$18),"",MAX(0,MIN(100,100*(MIN(MAX(City_Inputs!$AC122,Norm_Stats!$F$18),Norm_Stats!$G$18)-Norm_Stats!$F$18)/(Norm_Stats!$G$18-Norm_Stats!$F$18))))</f>
        <v/>
      </c>
      <c r="AR122" s="14">
        <f>IF(AQ122="","",1)</f>
        <v/>
      </c>
      <c r="AS122" s="11">
        <f>IF(OR(City_Inputs!$AD122="",Norm_Stats!$F$19="",Norm_Stats!$G$19="",Norm_Stats!$G$19=Norm_Stats!$F$19),"",MAX(0,MIN(100,100*(MIN(MAX(City_Inputs!$AD122,Norm_Stats!$F$19),Norm_Stats!$G$19)-Norm_Stats!$F$19)/(Norm_Stats!$G$19-Norm_Stats!$F$19))))</f>
        <v/>
      </c>
      <c r="AT122" s="14">
        <f>IF(AS122="","",1)</f>
        <v/>
      </c>
      <c r="AU122" s="11">
        <f>IF(OR(City_Inputs!$BJ122="",Norm_Stats!$F$26="",Norm_Stats!$G$26="",Norm_Stats!$G$26=Norm_Stats!$F$26),"",MAX(0,MIN(100,100*(MIN(MAX(City_Inputs!$BJ122,Norm_Stats!$F$26),Norm_Stats!$G$26)-Norm_Stats!$F$26)/(Norm_Stats!$G$26-Norm_Stats!$F$26))))</f>
        <v/>
      </c>
      <c r="AV122" s="11">
        <f>IF(AU122="","",1)</f>
        <v/>
      </c>
      <c r="AW122" s="15">
        <f>IF((IF(AO122="",0,5)+IF(AQ122="",0,5)+IF(AS122="",0,5)+IF(AU122="",0,4))=0,"",(IF(AO122="",0,AO122*5)+IF(AQ122="",0,AQ122*5)+IF(AS122="",0,AS122*5)+IF(AU122="",0,AU122*4))/(IF(AO122="",0,5)+IF(AQ122="",0,5)+IF(AS122="",0,5)+IF(AU122="",0,4)))</f>
        <v/>
      </c>
      <c r="AX122" s="14">
        <f>IF((IF(AP122="",0,5)+IF(AR122="",0,5)+IF(AT122="",0,5)+IF(AV122="",0,4))=0,"",(IF(AP122="",0,AP122*5)+IF(AR122="",0,AR122*5)+IF(AT122="",0,AT122*5)+IF(AV122="",0,AV122*4))/19)</f>
        <v/>
      </c>
      <c r="AY122" s="11">
        <f>IF(OR(City_Inputs!$AE122="",Norm_Stats!$F$20="",Norm_Stats!$G$20="",Norm_Stats!$G$20=Norm_Stats!$F$20),"",MAX(0,MIN(100,100*(MIN(MAX(City_Inputs!$AE122,Norm_Stats!$F$20),Norm_Stats!$G$20)-Norm_Stats!$F$20)/(Norm_Stats!$G$20-Norm_Stats!$F$20))))</f>
        <v/>
      </c>
      <c r="AZ122" s="14">
        <f>IF(AY122="","",1)</f>
        <v/>
      </c>
      <c r="BA122" s="11">
        <f>IF(OR(City_Inputs!$AF122="",Norm_Stats!$F$21="",Norm_Stats!$G$21="",Norm_Stats!$G$21=Norm_Stats!$F$21),"",MAX(0,MIN(100,100*(MIN(MAX(City_Inputs!$AF122,Norm_Stats!$F$21),Norm_Stats!$G$21)-Norm_Stats!$F$21)/(Norm_Stats!$G$21-Norm_Stats!$F$21))))</f>
        <v/>
      </c>
      <c r="BB122" s="14">
        <f>IF(BA122="","",1)</f>
        <v/>
      </c>
      <c r="BC122" s="11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(IF(OR(City_Inputs!$AG122="",Norm_Stats!$F$22="",Norm_Stats!$G$22="",Norm_Stats!$G$22=Norm_Stats!$F$22),"",MAX(0,MIN(100,100*(MIN(MAX(City_Inputs!$AG122,Norm_Stats!$F$22),Norm_Stats!$G$22)-Norm_Stats!$F$22)/(Norm_Stats!$G$22-Norm_Stats!$F$22)))))*0.5)+IF((IF(OR(City_Inputs!$AJ122="",Norm_Stats!$F$23="",Norm_Stats!$G$23="",Norm_Stats!$G$23=Norm_Stats!$F$23),"",MAX(0,MIN(100,100*(MIN(MAX(City_Inputs!$AJ122,Norm_Stats!$F$23),Norm_Stats!$G$23)-Norm_Stats!$F$23)/(Norm_Stats!$G$23-Norm_Stats!$F$23)))))="",0,(IF(OR(City_Inputs!$AJ122="",Norm_Stats!$F$23="",Norm_Stats!$G$23="",Norm_Stats!$G$23=Norm_Stats!$F$23),"",MAX(0,MIN(100,100*(MIN(MAX(City_Inputs!$AJ122,Norm_Stats!$F$23),Norm_Stats!$G$23)-Norm_Stats!$F$23)/(Norm_Stats!$G$23-Norm_Stats!$F$23)))))*0.3)+IF((IF(OR(City_Inputs!$AK122="",Norm_Stats!$F$24="",Norm_Stats!$G$24="",Norm_Stats!$G$24=Norm_Stats!$F$24),"",MAX(0,MIN(100,100*(MIN(MAX(City_Inputs!$AK122,Norm_Stats!$F$24),Norm_Stats!$G$24)-Norm_Stats!$F$24)/(Norm_Stats!$G$24-Norm_Stats!$F$24)))))="",0,(IF(OR(City_Inputs!$AK122="",Norm_Stats!$F$24="",Norm_Stats!$G$24="",Norm_Stats!$G$24=Norm_Stats!$F$24),"",MAX(0,MIN(100,100*(MIN(MAX(City_Inputs!$AK122,Norm_Stats!$F$24),Norm_Stats!$G$24)-Norm_Stats!$F$24)/(Norm_Stats!$G$24-Norm_Stats!$F$24)))))*0.2))/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D122" s="14">
        <f>IF(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=0,"",(IF((IF(OR(City_Inputs!$AG122="",Norm_Stats!$F$22="",Norm_Stats!$G$22="",Norm_Stats!$G$22=Norm_Stats!$F$22),"",MAX(0,MIN(100,100*(MIN(MAX(City_Inputs!$AG122,Norm_Stats!$F$22),Norm_Stats!$G$22)-Norm_Stats!$F$22)/(Norm_Stats!$G$22-Norm_Stats!$F$22)))))="",0,0.5)+IF((IF(OR(City_Inputs!$AJ122="",Norm_Stats!$F$23="",Norm_Stats!$G$23="",Norm_Stats!$G$23=Norm_Stats!$F$23),"",MAX(0,MIN(100,100*(MIN(MAX(City_Inputs!$AJ122,Norm_Stats!$F$23),Norm_Stats!$G$23)-Norm_Stats!$F$23)/(Norm_Stats!$G$23-Norm_Stats!$F$23)))))="",0,0.3)+IF((IF(OR(City_Inputs!$AK122="",Norm_Stats!$F$24="",Norm_Stats!$G$24="",Norm_Stats!$G$24=Norm_Stats!$F$24),"",MAX(0,MIN(100,100*(MIN(MAX(City_Inputs!$AK122,Norm_Stats!$F$24),Norm_Stats!$G$24)-Norm_Stats!$F$24)/(Norm_Stats!$G$24-Norm_Stats!$F$24)))))="",0,0.2)))</f>
        <v/>
      </c>
      <c r="BE122" s="11">
        <f>IF(OR(City_Inputs!$AH122="",Norm_Stats!$F$25="",Norm_Stats!$G$25="",Norm_Stats!$G$25=Norm_Stats!$F$25),"",MAX(0,MIN(100,100*(Norm_Stats!$G$25-MIN(MAX(City_Inputs!$AH122,Norm_Stats!$F$25),Norm_Stats!$G$25))/(Norm_Stats!$G$25-Norm_Stats!$F$25))))</f>
        <v/>
      </c>
      <c r="BF122" s="14">
        <f>IF(BE122="","",1)</f>
        <v/>
      </c>
      <c r="BG122" s="15">
        <f>IF((IF(AY122="",0,6)+IF(BA122="",0,5)+IF(BC122="",0,5)+IF(BE122="",0,4))=0,"",(IF(AY122="",0,AY122*6)+IF(BA122="",0,BA122*5)+IF(BC122="",0,BC122*5)+IF(BE122="",0,BE122*4))/(IF(AY122="",0,6)+IF(BA122="",0,5)+IF(BC122="",0,5)+IF(BE122="",0,4)))</f>
        <v/>
      </c>
      <c r="BH122" s="14">
        <f>IF((IF(AZ122="",0,6)+IF(BB122="",0,5)+IF(BD122="",0,5)+IF(BF122="",0,4))=0,"",(IF(AZ122="",0,AZ122*6)+IF(BB122="",0,BB122*5)+IF(BD122="",0,BD122*5)+IF(BF122="",0,BF122*4))/20)</f>
        <v/>
      </c>
      <c r="BI122" s="14">
        <f>IF(AND(R122="",AF122="",AN122="",AX122="",BH122=""),"",((R122*25)+(AF122*22)+(AN122*18)+(AX122*15)+(BH122*20))/100)</f>
        <v/>
      </c>
      <c r="BJ122" s="11">
        <f>IF(BI122="","",IF(BI122&gt;=0.75,"A",IF(BI122&gt;=0.5,"B",IF(BI122&gt;=0.35,"C","Watchlist"))))</f>
        <v/>
      </c>
      <c r="BK122" s="11">
        <f>IF(OR(BI122="",BI122&lt;0.5,R122="",R122&lt;0.35,AF122="",AF122&lt;0.35,AN122="",AN122&lt;0.35,AX122="",AX122&lt;0.35,BH122="",BH122&lt;0.35),"Watchlist","Ranked")</f>
        <v/>
      </c>
      <c r="BL122" s="15">
        <f>IF(AND(Q122="",AE122="",AM122="",AW122="",BG122=""),"",(IF(Q122="",0,Q122*25)+IF(AE122="",0,AE122*22)+IF(AM122="",0,AM122*18)+IF(AW122="",0,AW122*15)+IF(BG122="",0,BG122*20))/(IF(Q122="",0,25)+IF(AE122="",0,22)+IF(AM122="",0,18)+IF(AW122="",0,15)+IF(BG122="",0,20)))</f>
        <v/>
      </c>
      <c r="BM122" s="11">
        <f>IF(BK122="Ranked",1+COUNTIFS($BK$2:$BK$158,"Ranked",$BL$2:$BL$158,"&gt;"&amp;BL122),"")</f>
        <v/>
      </c>
      <c r="BN122" s="11">
        <f>City_Inputs!$AI122</f>
        <v/>
      </c>
    </row>
    <row r="123">
      <c r="A123" t="inlineStr">
        <is>
          <t>cz-brno</t>
        </is>
      </c>
      <c r="B123" t="inlineStr">
        <is>
          <t>Brno</t>
        </is>
      </c>
      <c r="C123" t="inlineStr">
        <is>
          <t>Czechia</t>
        </is>
      </c>
      <c r="D123" t="inlineStr">
        <is>
          <t>Southern/Eastern Europe and Eurasia</t>
        </is>
      </c>
      <c r="E123" t="inlineStr">
        <is>
          <t>provisional</t>
        </is>
      </c>
      <c r="F123" t="inlineStr">
        <is>
          <t>secondary</t>
        </is>
      </c>
      <c r="G123" s="11">
        <f>IF(OR(City_Inputs!$M123="",Norm_Stats!$F$2="",Norm_Stats!$G$2="",Norm_Stats!$G$2=Norm_Stats!$F$2),"",MAX(0,MIN(100,100*(MIN(MAX(City_Inputs!$M123,Norm_Stats!$F$2),Norm_Stats!$G$2)-Norm_Stats!$F$2)/(Norm_Stats!$G$2-Norm_Stats!$F$2))))</f>
        <v/>
      </c>
      <c r="H123" s="14">
        <f>IF(G123="","",1)</f>
        <v/>
      </c>
      <c r="I123" s="11">
        <f>IF(OR(City_Inputs!$N123="",Norm_Stats!$F$3="",Norm_Stats!$G$3="",Norm_Stats!$G$3=Norm_Stats!$F$3),"",MAX(0,MIN(100,100*(Norm_Stats!$G$3-MIN(MAX(City_Inputs!$N123,Norm_Stats!$F$3),Norm_Stats!$G$3))/(Norm_Stats!$G$3-Norm_Stats!$F$3))))</f>
        <v/>
      </c>
      <c r="J123" s="14">
        <f>IF(I123="","",1)</f>
        <v/>
      </c>
      <c r="K123" s="11">
        <f>IF(OR(City_Inputs!$P123="",Norm_Stats!$F$4="",Norm_Stats!$G$4="",Norm_Stats!$G$4=Norm_Stats!$F$4),"",MAX(0,MIN(100,100*(Norm_Stats!$G$4-MIN(MAX(City_Inputs!$P123,Norm_Stats!$F$4),Norm_Stats!$G$4))/(Norm_Stats!$G$4-Norm_Stats!$F$4))))</f>
        <v/>
      </c>
      <c r="L123" s="14">
        <f>IF(K123="","",1)</f>
        <v/>
      </c>
      <c r="M123" s="11">
        <f>IF(OR(City_Inputs!$Q123="",Norm_Stats!$F$5="",Norm_Stats!$G$5="",Norm_Stats!$G$5=Norm_Stats!$F$5),"",MAX(0,MIN(100,100*(Norm_Stats!$G$5-MIN(MAX(City_Inputs!$Q123,Norm_Stats!$F$5),Norm_Stats!$G$5))/(Norm_Stats!$G$5-Norm_Stats!$F$5))))</f>
        <v/>
      </c>
      <c r="N123" s="14">
        <f>IF(M123="","",1)</f>
        <v/>
      </c>
      <c r="O123" s="11">
        <f>IF(OR(City_Inputs!$R123="",Norm_Stats!$F$6="",Norm_Stats!$G$6="",Norm_Stats!$G$6=Norm_Stats!$F$6),"",MAX(0,MIN(100,100*(Norm_Stats!$G$6-MIN(MAX(City_Inputs!$R123,Norm_Stats!$F$6),Norm_Stats!$G$6))/(Norm_Stats!$G$6-Norm_Stats!$F$6))))</f>
        <v/>
      </c>
      <c r="P123" s="14">
        <f>IF(O123="","",1)</f>
        <v/>
      </c>
      <c r="Q123" s="15">
        <f>IF((IF(G123="",0,9)+IF(I123="",0,5)+IF(K123="",0,4)+IF(M123="",0,4)+IF(O123="",0,5))=0,"",(IF(G123="",0,G123*9)+IF(I123="",0,I123*5)+IF(K123="",0,K123*4)+IF(M123="",0,M123*4)+IF(O123="",0,O123*5))/(IF(G123="",0,9)+IF(I123="",0,5)+IF(K123="",0,4)+IF(M123="",0,4)+IF(O123="",0,5)))</f>
        <v/>
      </c>
      <c r="R123" s="14">
        <f>IF((IF(H123="",0,9)+IF(J123="",0,5)+IF(L123="",0,4)+IF(N123="",0,4)+IF(P123="",0,5))=0,"",(IF(H123="",0,H123*9)+IF(J123="",0,J123*5)+IF(L123="",0,L123*4)+IF(N123="",0,N123*4)+IF(P123="",0,P123*5))/27)</f>
        <v/>
      </c>
      <c r="S123" s="11">
        <f>IF(OR(City_Inputs!$S123="",Norm_Stats!$F$7="",Norm_Stats!$G$7="",Norm_Stats!$G$7=Norm_Stats!$F$7),"",MAX(0,MIN(100,100*(Norm_Stats!$G$7-MIN(MAX(City_Inputs!$S123,Norm_Stats!$F$7),Norm_Stats!$G$7))/(Norm_Stats!$G$7-Norm_Stats!$F$7))))</f>
        <v/>
      </c>
      <c r="T123" s="14">
        <f>IF(S123="","",1)</f>
        <v/>
      </c>
      <c r="U123" s="11">
        <f>IF(OR(City_Inputs!$T123="",Norm_Stats!$F$8="",Norm_Stats!$G$8="",Norm_Stats!$G$8=Norm_Stats!$F$8),"",MAX(0,MIN(100,100*(MIN(MAX(City_Inputs!$T123,Norm_Stats!$F$8),Norm_Stats!$G$8)-Norm_Stats!$F$8)/(Norm_Stats!$G$8-Norm_Stats!$F$8))))</f>
        <v/>
      </c>
      <c r="V123" s="14">
        <f>IF(U123="","",1)</f>
        <v/>
      </c>
      <c r="W123" s="11">
        <f>IF(OR(City_Inputs!$U123="",Norm_Stats!$F$9="",Norm_Stats!$G$9="",Norm_Stats!$G$9=Norm_Stats!$F$9),"",MAX(0,MIN(100,100*(Norm_Stats!$G$9-MIN(MAX(City_Inputs!$U123,Norm_Stats!$F$9),Norm_Stats!$G$9))/(Norm_Stats!$G$9-Norm_Stats!$F$9))))</f>
        <v/>
      </c>
      <c r="X123" s="14">
        <f>IF(W123="","",1)</f>
        <v/>
      </c>
      <c r="Y123" s="11">
        <f>IF(OR(City_Inputs!$V123="",Norm_Stats!$F$10="",Norm_Stats!$G$10="",Norm_Stats!$G$10=Norm_Stats!$F$10),"",MAX(0,MIN(100,100*(MIN(MAX(City_Inputs!$V123,Norm_Stats!$F$10),Norm_Stats!$G$10)-Norm_Stats!$F$10)/(Norm_Stats!$G$10-Norm_Stats!$F$10))))</f>
        <v/>
      </c>
      <c r="Z123" s="14">
        <f>IF(Y123="","",1)</f>
        <v/>
      </c>
      <c r="AA123" s="11">
        <f>IF(OR(City_Inputs!$W123="",Norm_Stats!$F$11="",Norm_Stats!$G$11="",Norm_Stats!$G$11=Norm_Stats!$F$11),"",MAX(0,MIN(100,100*(MIN(MAX(City_Inputs!$W123,Norm_Stats!$F$11),Norm_Stats!$G$11)-Norm_Stats!$F$11)/(Norm_Stats!$G$11-Norm_Stats!$F$11))))</f>
        <v/>
      </c>
      <c r="AB123" s="14">
        <f>IF(AA123="","",1)</f>
        <v/>
      </c>
      <c r="AC123" s="11">
        <f>IF(OR(City_Inputs!$X123="",Norm_Stats!$F$12="",Norm_Stats!$G$12="",Norm_Stats!$G$12=Norm_Stats!$F$12),"",MAX(0,MIN(100,100*(MIN(MAX(City_Inputs!$X123,Norm_Stats!$F$12),Norm_Stats!$G$12)-Norm_Stats!$F$12)/(Norm_Stats!$G$12-Norm_Stats!$F$12))))</f>
        <v/>
      </c>
      <c r="AD123" s="11">
        <f>IF(AC123="","",1)</f>
        <v/>
      </c>
      <c r="AE123" s="15">
        <f>IF((IF(S123="",0,5)+IF(U123="",0,5)+IF(W123="",0,4)+IF(Y123="",0,4)+IF(AA123="",0,4)+IF(AC123="",0,5))=0,"",(IF(S123="",0,S123*5)+IF(U123="",0,U123*5)+IF(W123="",0,W123*4)+IF(Y123="",0,Y123*4)+IF(AA123="",0,AA123*4)+IF(AC123="",0,AC123*5))/(IF(S123="",0,5)+IF(U123="",0,5)+IF(W123="",0,4)+IF(Y123="",0,4)+IF(AA123="",0,4)+IF(AC123="",0,5)))</f>
        <v/>
      </c>
      <c r="AF123" s="14">
        <f>IF((IF(T123="",0,5)+IF(V123="",0,5)+IF(X123="",0,4)+IF(Z123="",0,4)+IF(AB123="",0,4)+IF(AD123="",0,5))=0,"",(IF(T123="",0,T123*5)+IF(V123="",0,V123*5)+IF(X123="",0,X123*4)+IF(Z123="",0,Z123*4)+IF(AB123="",0,AB123*4)+IF(AD123="",0,AD123*5))/27)</f>
        <v/>
      </c>
      <c r="AG123" s="11">
        <f>IF(OR(City_Inputs!$Y123="",Norm_Stats!$F$13="",Norm_Stats!$G$13="",Norm_Stats!$G$13=Norm_Stats!$F$13),"",MAX(0,MIN(100,100*(MIN(MAX(City_Inputs!$Y123,Norm_Stats!$F$13),Norm_Stats!$G$13)-Norm_Stats!$F$13)/(Norm_Stats!$G$13-Norm_Stats!$F$13))))</f>
        <v/>
      </c>
      <c r="AH123" s="14">
        <f>IF(AG123="","",1)</f>
        <v/>
      </c>
      <c r="AI123" s="11">
        <f>IF(OR(City_Inputs!$Z123="",Norm_Stats!$F$14="",Norm_Stats!$G$14="",Norm_Stats!$G$14=Norm_Stats!$F$14),"",MAX(0,MIN(100,100*(MIN(MAX(City_Inputs!$Z123,Norm_Stats!$F$14),Norm_Stats!$G$14)-Norm_Stats!$F$14)/(Norm_Stats!$G$14-Norm_Stats!$F$14))))</f>
        <v/>
      </c>
      <c r="AJ123" s="14">
        <f>IF(AI123="","",1)</f>
        <v/>
      </c>
      <c r="AK123" s="11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(IF(OR(City_Inputs!$AA123="",Norm_Stats!$F$15="",Norm_Stats!$G$15="",Norm_Stats!$G$15=Norm_Stats!$F$15),"",MAX(0,MIN(100,100*(MIN(MAX(City_Inputs!$AA123,Norm_Stats!$F$15),Norm_Stats!$G$15)-Norm_Stats!$F$15)/(Norm_Stats!$G$15-Norm_Stats!$F$15)))))*0.7)+IF((IF(OR(City_Inputs!$AL123="",Norm_Stats!$F$16="",Norm_Stats!$G$16="",Norm_Stats!$G$16=Norm_Stats!$F$16),"",MAX(0,MIN(100,100*(Norm_Stats!$G$16-MIN(MAX(City_Inputs!$AL123,Norm_Stats!$F$16),Norm_Stats!$G$16))/(Norm_Stats!$G$16-Norm_Stats!$F$16)))))="",0,(IF(OR(City_Inputs!$AL123="",Norm_Stats!$F$16="",Norm_Stats!$G$16="",Norm_Stats!$G$16=Norm_Stats!$F$16),"",MAX(0,MIN(100,100*(Norm_Stats!$G$16-MIN(MAX(City_Inputs!$AL123,Norm_Stats!$F$16),Norm_Stats!$G$16))/(Norm_Stats!$G$16-Norm_Stats!$F$16)))))*0.3))/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L123" s="14">
        <f>IF(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=0,"",(IF((IF(OR(City_Inputs!$AA123="",Norm_Stats!$F$15="",Norm_Stats!$G$15="",Norm_Stats!$G$15=Norm_Stats!$F$15),"",MAX(0,MIN(100,100*(MIN(MAX(City_Inputs!$AA123,Norm_Stats!$F$15),Norm_Stats!$G$15)-Norm_Stats!$F$15)/(Norm_Stats!$G$15-Norm_Stats!$F$15)))))="",0,0.7)+IF((IF(OR(City_Inputs!$AL123="",Norm_Stats!$F$16="",Norm_Stats!$G$16="",Norm_Stats!$G$16=Norm_Stats!$F$16),"",MAX(0,MIN(100,100*(Norm_Stats!$G$16-MIN(MAX(City_Inputs!$AL123,Norm_Stats!$F$16),Norm_Stats!$G$16))/(Norm_Stats!$G$16-Norm_Stats!$F$16)))))="",0,0.3)))</f>
        <v/>
      </c>
      <c r="AM123" s="15">
        <f>IF((IF(AG123="",0,8)+IF(AI123="",0,6)+IF(AK123="",0,4))=0,"",(IF(AG123="",0,AG123*8)+IF(AI123="",0,AI123*6)+IF(AK123="",0,AK123*4))/(IF(AG123="",0,8)+IF(AI123="",0,6)+IF(AK123="",0,4)))</f>
        <v/>
      </c>
      <c r="AN123" s="14">
        <f>IF((IF(AH123="",0,8)+IF(AJ123="",0,6)+IF(AL123="",0,4))=0,"",(IF(AH123="",0,AH123*8)+IF(AJ123="",0,AJ123*6)+IF(AL123="",0,AL123*4))/18)</f>
        <v/>
      </c>
      <c r="AO123" s="11">
        <f>IF(OR(City_Inputs!$AB123="",Norm_Stats!$F$17="",Norm_Stats!$G$17="",Norm_Stats!$G$17=Norm_Stats!$F$17),"",MAX(0,MIN(100,100*(MIN(MAX(City_Inputs!$AB123,Norm_Stats!$F$17),Norm_Stats!$G$17)-Norm_Stats!$F$17)/(Norm_Stats!$G$17-Norm_Stats!$F$17))))</f>
        <v/>
      </c>
      <c r="AP123" s="14">
        <f>IF(AO123="","",1)</f>
        <v/>
      </c>
      <c r="AQ123" s="11">
        <f>IF(OR(City_Inputs!$AC123="",Norm_Stats!$F$18="",Norm_Stats!$G$18="",Norm_Stats!$G$18=Norm_Stats!$F$18),"",MAX(0,MIN(100,100*(MIN(MAX(City_Inputs!$AC123,Norm_Stats!$F$18),Norm_Stats!$G$18)-Norm_Stats!$F$18)/(Norm_Stats!$G$18-Norm_Stats!$F$18))))</f>
        <v/>
      </c>
      <c r="AR123" s="14">
        <f>IF(AQ123="","",1)</f>
        <v/>
      </c>
      <c r="AS123" s="11">
        <f>IF(OR(City_Inputs!$AD123="",Norm_Stats!$F$19="",Norm_Stats!$G$19="",Norm_Stats!$G$19=Norm_Stats!$F$19),"",MAX(0,MIN(100,100*(MIN(MAX(City_Inputs!$AD123,Norm_Stats!$F$19),Norm_Stats!$G$19)-Norm_Stats!$F$19)/(Norm_Stats!$G$19-Norm_Stats!$F$19))))</f>
        <v/>
      </c>
      <c r="AT123" s="14">
        <f>IF(AS123="","",1)</f>
        <v/>
      </c>
      <c r="AU123" s="11">
        <f>IF(OR(City_Inputs!$BJ123="",Norm_Stats!$F$26="",Norm_Stats!$G$26="",Norm_Stats!$G$26=Norm_Stats!$F$26),"",MAX(0,MIN(100,100*(MIN(MAX(City_Inputs!$BJ123,Norm_Stats!$F$26),Norm_Stats!$G$26)-Norm_Stats!$F$26)/(Norm_Stats!$G$26-Norm_Stats!$F$26))))</f>
        <v/>
      </c>
      <c r="AV123" s="11">
        <f>IF(AU123="","",1)</f>
        <v/>
      </c>
      <c r="AW123" s="15">
        <f>IF((IF(AO123="",0,5)+IF(AQ123="",0,5)+IF(AS123="",0,5)+IF(AU123="",0,4))=0,"",(IF(AO123="",0,AO123*5)+IF(AQ123="",0,AQ123*5)+IF(AS123="",0,AS123*5)+IF(AU123="",0,AU123*4))/(IF(AO123="",0,5)+IF(AQ123="",0,5)+IF(AS123="",0,5)+IF(AU123="",0,4)))</f>
        <v/>
      </c>
      <c r="AX123" s="14">
        <f>IF((IF(AP123="",0,5)+IF(AR123="",0,5)+IF(AT123="",0,5)+IF(AV123="",0,4))=0,"",(IF(AP123="",0,AP123*5)+IF(AR123="",0,AR123*5)+IF(AT123="",0,AT123*5)+IF(AV123="",0,AV123*4))/19)</f>
        <v/>
      </c>
      <c r="AY123" s="11">
        <f>IF(OR(City_Inputs!$AE123="",Norm_Stats!$F$20="",Norm_Stats!$G$20="",Norm_Stats!$G$20=Norm_Stats!$F$20),"",MAX(0,MIN(100,100*(MIN(MAX(City_Inputs!$AE123,Norm_Stats!$F$20),Norm_Stats!$G$20)-Norm_Stats!$F$20)/(Norm_Stats!$G$20-Norm_Stats!$F$20))))</f>
        <v/>
      </c>
      <c r="AZ123" s="14">
        <f>IF(AY123="","",1)</f>
        <v/>
      </c>
      <c r="BA123" s="11">
        <f>IF(OR(City_Inputs!$AF123="",Norm_Stats!$F$21="",Norm_Stats!$G$21="",Norm_Stats!$G$21=Norm_Stats!$F$21),"",MAX(0,MIN(100,100*(MIN(MAX(City_Inputs!$AF123,Norm_Stats!$F$21),Norm_Stats!$G$21)-Norm_Stats!$F$21)/(Norm_Stats!$G$21-Norm_Stats!$F$21))))</f>
        <v/>
      </c>
      <c r="BB123" s="14">
        <f>IF(BA123="","",1)</f>
        <v/>
      </c>
      <c r="BC123" s="11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(IF(OR(City_Inputs!$AG123="",Norm_Stats!$F$22="",Norm_Stats!$G$22="",Norm_Stats!$G$22=Norm_Stats!$F$22),"",MAX(0,MIN(100,100*(MIN(MAX(City_Inputs!$AG123,Norm_Stats!$F$22),Norm_Stats!$G$22)-Norm_Stats!$F$22)/(Norm_Stats!$G$22-Norm_Stats!$F$22)))))*0.5)+IF((IF(OR(City_Inputs!$AJ123="",Norm_Stats!$F$23="",Norm_Stats!$G$23="",Norm_Stats!$G$23=Norm_Stats!$F$23),"",MAX(0,MIN(100,100*(MIN(MAX(City_Inputs!$AJ123,Norm_Stats!$F$23),Norm_Stats!$G$23)-Norm_Stats!$F$23)/(Norm_Stats!$G$23-Norm_Stats!$F$23)))))="",0,(IF(OR(City_Inputs!$AJ123="",Norm_Stats!$F$23="",Norm_Stats!$G$23="",Norm_Stats!$G$23=Norm_Stats!$F$23),"",MAX(0,MIN(100,100*(MIN(MAX(City_Inputs!$AJ123,Norm_Stats!$F$23),Norm_Stats!$G$23)-Norm_Stats!$F$23)/(Norm_Stats!$G$23-Norm_Stats!$F$23)))))*0.3)+IF((IF(OR(City_Inputs!$AK123="",Norm_Stats!$F$24="",Norm_Stats!$G$24="",Norm_Stats!$G$24=Norm_Stats!$F$24),"",MAX(0,MIN(100,100*(MIN(MAX(City_Inputs!$AK123,Norm_Stats!$F$24),Norm_Stats!$G$24)-Norm_Stats!$F$24)/(Norm_Stats!$G$24-Norm_Stats!$F$24)))))="",0,(IF(OR(City_Inputs!$AK123="",Norm_Stats!$F$24="",Norm_Stats!$G$24="",Norm_Stats!$G$24=Norm_Stats!$F$24),"",MAX(0,MIN(100,100*(MIN(MAX(City_Inputs!$AK123,Norm_Stats!$F$24),Norm_Stats!$G$24)-Norm_Stats!$F$24)/(Norm_Stats!$G$24-Norm_Stats!$F$24)))))*0.2))/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D123" s="14">
        <f>IF(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=0,"",(IF((IF(OR(City_Inputs!$AG123="",Norm_Stats!$F$22="",Norm_Stats!$G$22="",Norm_Stats!$G$22=Norm_Stats!$F$22),"",MAX(0,MIN(100,100*(MIN(MAX(City_Inputs!$AG123,Norm_Stats!$F$22),Norm_Stats!$G$22)-Norm_Stats!$F$22)/(Norm_Stats!$G$22-Norm_Stats!$F$22)))))="",0,0.5)+IF((IF(OR(City_Inputs!$AJ123="",Norm_Stats!$F$23="",Norm_Stats!$G$23="",Norm_Stats!$G$23=Norm_Stats!$F$23),"",MAX(0,MIN(100,100*(MIN(MAX(City_Inputs!$AJ123,Norm_Stats!$F$23),Norm_Stats!$G$23)-Norm_Stats!$F$23)/(Norm_Stats!$G$23-Norm_Stats!$F$23)))))="",0,0.3)+IF((IF(OR(City_Inputs!$AK123="",Norm_Stats!$F$24="",Norm_Stats!$G$24="",Norm_Stats!$G$24=Norm_Stats!$F$24),"",MAX(0,MIN(100,100*(MIN(MAX(City_Inputs!$AK123,Norm_Stats!$F$24),Norm_Stats!$G$24)-Norm_Stats!$F$24)/(Norm_Stats!$G$24-Norm_Stats!$F$24)))))="",0,0.2)))</f>
        <v/>
      </c>
      <c r="BE123" s="11">
        <f>IF(OR(City_Inputs!$AH123="",Norm_Stats!$F$25="",Norm_Stats!$G$25="",Norm_Stats!$G$25=Norm_Stats!$F$25),"",MAX(0,MIN(100,100*(Norm_Stats!$G$25-MIN(MAX(City_Inputs!$AH123,Norm_Stats!$F$25),Norm_Stats!$G$25))/(Norm_Stats!$G$25-Norm_Stats!$F$25))))</f>
        <v/>
      </c>
      <c r="BF123" s="14">
        <f>IF(BE123="","",1)</f>
        <v/>
      </c>
      <c r="BG123" s="15">
        <f>IF((IF(AY123="",0,6)+IF(BA123="",0,5)+IF(BC123="",0,5)+IF(BE123="",0,4))=0,"",(IF(AY123="",0,AY123*6)+IF(BA123="",0,BA123*5)+IF(BC123="",0,BC123*5)+IF(BE123="",0,BE123*4))/(IF(AY123="",0,6)+IF(BA123="",0,5)+IF(BC123="",0,5)+IF(BE123="",0,4)))</f>
        <v/>
      </c>
      <c r="BH123" s="14">
        <f>IF((IF(AZ123="",0,6)+IF(BB123="",0,5)+IF(BD123="",0,5)+IF(BF123="",0,4))=0,"",(IF(AZ123="",0,AZ123*6)+IF(BB123="",0,BB123*5)+IF(BD123="",0,BD123*5)+IF(BF123="",0,BF123*4))/20)</f>
        <v/>
      </c>
      <c r="BI123" s="14">
        <f>IF(AND(R123="",AF123="",AN123="",AX123="",BH123=""),"",((R123*25)+(AF123*22)+(AN123*18)+(AX123*15)+(BH123*20))/100)</f>
        <v/>
      </c>
      <c r="BJ123" s="11">
        <f>IF(BI123="","",IF(BI123&gt;=0.75,"A",IF(BI123&gt;=0.5,"B",IF(BI123&gt;=0.35,"C","Watchlist"))))</f>
        <v/>
      </c>
      <c r="BK123" s="11">
        <f>IF(OR(BI123="",BI123&lt;0.5,R123="",R123&lt;0.35,AF123="",AF123&lt;0.35,AN123="",AN123&lt;0.35,AX123="",AX123&lt;0.35,BH123="",BH123&lt;0.35),"Watchlist","Ranked")</f>
        <v/>
      </c>
      <c r="BL123" s="15">
        <f>IF(AND(Q123="",AE123="",AM123="",AW123="",BG123=""),"",(IF(Q123="",0,Q123*25)+IF(AE123="",0,AE123*22)+IF(AM123="",0,AM123*18)+IF(AW123="",0,AW123*15)+IF(BG123="",0,BG123*20))/(IF(Q123="",0,25)+IF(AE123="",0,22)+IF(AM123="",0,18)+IF(AW123="",0,15)+IF(BG123="",0,20)))</f>
        <v/>
      </c>
      <c r="BM123" s="11">
        <f>IF(BK123="Ranked",1+COUNTIFS($BK$2:$BK$158,"Ranked",$BL$2:$BL$158,"&gt;"&amp;BL123),"")</f>
        <v/>
      </c>
      <c r="BN123" s="11">
        <f>City_Inputs!$AI123</f>
        <v/>
      </c>
    </row>
    <row r="124">
      <c r="A124" t="inlineStr">
        <is>
          <t>si-ljubljana</t>
        </is>
      </c>
      <c r="B124" t="inlineStr">
        <is>
          <t>Ljubljana</t>
        </is>
      </c>
      <c r="C124" t="inlineStr">
        <is>
          <t>Slovenia</t>
        </is>
      </c>
      <c r="D124" t="inlineStr">
        <is>
          <t>Southern/Eastern Europe and Eurasia</t>
        </is>
      </c>
      <c r="E124" t="inlineStr">
        <is>
          <t>provisional</t>
        </is>
      </c>
      <c r="F124" t="inlineStr">
        <is>
          <t>primary</t>
        </is>
      </c>
      <c r="G124" s="11">
        <f>IF(OR(City_Inputs!$M124="",Norm_Stats!$F$2="",Norm_Stats!$G$2="",Norm_Stats!$G$2=Norm_Stats!$F$2),"",MAX(0,MIN(100,100*(MIN(MAX(City_Inputs!$M124,Norm_Stats!$F$2),Norm_Stats!$G$2)-Norm_Stats!$F$2)/(Norm_Stats!$G$2-Norm_Stats!$F$2))))</f>
        <v/>
      </c>
      <c r="H124" s="14">
        <f>IF(G124="","",1)</f>
        <v/>
      </c>
      <c r="I124" s="11">
        <f>IF(OR(City_Inputs!$N124="",Norm_Stats!$F$3="",Norm_Stats!$G$3="",Norm_Stats!$G$3=Norm_Stats!$F$3),"",MAX(0,MIN(100,100*(Norm_Stats!$G$3-MIN(MAX(City_Inputs!$N124,Norm_Stats!$F$3),Norm_Stats!$G$3))/(Norm_Stats!$G$3-Norm_Stats!$F$3))))</f>
        <v/>
      </c>
      <c r="J124" s="14">
        <f>IF(I124="","",1)</f>
        <v/>
      </c>
      <c r="K124" s="11">
        <f>IF(OR(City_Inputs!$P124="",Norm_Stats!$F$4="",Norm_Stats!$G$4="",Norm_Stats!$G$4=Norm_Stats!$F$4),"",MAX(0,MIN(100,100*(Norm_Stats!$G$4-MIN(MAX(City_Inputs!$P124,Norm_Stats!$F$4),Norm_Stats!$G$4))/(Norm_Stats!$G$4-Norm_Stats!$F$4))))</f>
        <v/>
      </c>
      <c r="L124" s="14">
        <f>IF(K124="","",1)</f>
        <v/>
      </c>
      <c r="M124" s="11">
        <f>IF(OR(City_Inputs!$Q124="",Norm_Stats!$F$5="",Norm_Stats!$G$5="",Norm_Stats!$G$5=Norm_Stats!$F$5),"",MAX(0,MIN(100,100*(Norm_Stats!$G$5-MIN(MAX(City_Inputs!$Q124,Norm_Stats!$F$5),Norm_Stats!$G$5))/(Norm_Stats!$G$5-Norm_Stats!$F$5))))</f>
        <v/>
      </c>
      <c r="N124" s="14">
        <f>IF(M124="","",1)</f>
        <v/>
      </c>
      <c r="O124" s="11">
        <f>IF(OR(City_Inputs!$R124="",Norm_Stats!$F$6="",Norm_Stats!$G$6="",Norm_Stats!$G$6=Norm_Stats!$F$6),"",MAX(0,MIN(100,100*(Norm_Stats!$G$6-MIN(MAX(City_Inputs!$R124,Norm_Stats!$F$6),Norm_Stats!$G$6))/(Norm_Stats!$G$6-Norm_Stats!$F$6))))</f>
        <v/>
      </c>
      <c r="P124" s="14">
        <f>IF(O124="","",1)</f>
        <v/>
      </c>
      <c r="Q124" s="15">
        <f>IF((IF(G124="",0,9)+IF(I124="",0,5)+IF(K124="",0,4)+IF(M124="",0,4)+IF(O124="",0,5))=0,"",(IF(G124="",0,G124*9)+IF(I124="",0,I124*5)+IF(K124="",0,K124*4)+IF(M124="",0,M124*4)+IF(O124="",0,O124*5))/(IF(G124="",0,9)+IF(I124="",0,5)+IF(K124="",0,4)+IF(M124="",0,4)+IF(O124="",0,5)))</f>
        <v/>
      </c>
      <c r="R124" s="14">
        <f>IF((IF(H124="",0,9)+IF(J124="",0,5)+IF(L124="",0,4)+IF(N124="",0,4)+IF(P124="",0,5))=0,"",(IF(H124="",0,H124*9)+IF(J124="",0,J124*5)+IF(L124="",0,L124*4)+IF(N124="",0,N124*4)+IF(P124="",0,P124*5))/27)</f>
        <v/>
      </c>
      <c r="S124" s="11">
        <f>IF(OR(City_Inputs!$S124="",Norm_Stats!$F$7="",Norm_Stats!$G$7="",Norm_Stats!$G$7=Norm_Stats!$F$7),"",MAX(0,MIN(100,100*(Norm_Stats!$G$7-MIN(MAX(City_Inputs!$S124,Norm_Stats!$F$7),Norm_Stats!$G$7))/(Norm_Stats!$G$7-Norm_Stats!$F$7))))</f>
        <v/>
      </c>
      <c r="T124" s="14">
        <f>IF(S124="","",1)</f>
        <v/>
      </c>
      <c r="U124" s="11">
        <f>IF(OR(City_Inputs!$T124="",Norm_Stats!$F$8="",Norm_Stats!$G$8="",Norm_Stats!$G$8=Norm_Stats!$F$8),"",MAX(0,MIN(100,100*(MIN(MAX(City_Inputs!$T124,Norm_Stats!$F$8),Norm_Stats!$G$8)-Norm_Stats!$F$8)/(Norm_Stats!$G$8-Norm_Stats!$F$8))))</f>
        <v/>
      </c>
      <c r="V124" s="14">
        <f>IF(U124="","",1)</f>
        <v/>
      </c>
      <c r="W124" s="11">
        <f>IF(OR(City_Inputs!$U124="",Norm_Stats!$F$9="",Norm_Stats!$G$9="",Norm_Stats!$G$9=Norm_Stats!$F$9),"",MAX(0,MIN(100,100*(Norm_Stats!$G$9-MIN(MAX(City_Inputs!$U124,Norm_Stats!$F$9),Norm_Stats!$G$9))/(Norm_Stats!$G$9-Norm_Stats!$F$9))))</f>
        <v/>
      </c>
      <c r="X124" s="14">
        <f>IF(W124="","",1)</f>
        <v/>
      </c>
      <c r="Y124" s="11">
        <f>IF(OR(City_Inputs!$V124="",Norm_Stats!$F$10="",Norm_Stats!$G$10="",Norm_Stats!$G$10=Norm_Stats!$F$10),"",MAX(0,MIN(100,100*(MIN(MAX(City_Inputs!$V124,Norm_Stats!$F$10),Norm_Stats!$G$10)-Norm_Stats!$F$10)/(Norm_Stats!$G$10-Norm_Stats!$F$10))))</f>
        <v/>
      </c>
      <c r="Z124" s="14">
        <f>IF(Y124="","",1)</f>
        <v/>
      </c>
      <c r="AA124" s="11">
        <f>IF(OR(City_Inputs!$W124="",Norm_Stats!$F$11="",Norm_Stats!$G$11="",Norm_Stats!$G$11=Norm_Stats!$F$11),"",MAX(0,MIN(100,100*(MIN(MAX(City_Inputs!$W124,Norm_Stats!$F$11),Norm_Stats!$G$11)-Norm_Stats!$F$11)/(Norm_Stats!$G$11-Norm_Stats!$F$11))))</f>
        <v/>
      </c>
      <c r="AB124" s="14">
        <f>IF(AA124="","",1)</f>
        <v/>
      </c>
      <c r="AC124" s="11">
        <f>IF(OR(City_Inputs!$X124="",Norm_Stats!$F$12="",Norm_Stats!$G$12="",Norm_Stats!$G$12=Norm_Stats!$F$12),"",MAX(0,MIN(100,100*(MIN(MAX(City_Inputs!$X124,Norm_Stats!$F$12),Norm_Stats!$G$12)-Norm_Stats!$F$12)/(Norm_Stats!$G$12-Norm_Stats!$F$12))))</f>
        <v/>
      </c>
      <c r="AD124" s="11">
        <f>IF(AC124="","",1)</f>
        <v/>
      </c>
      <c r="AE124" s="15">
        <f>IF((IF(S124="",0,5)+IF(U124="",0,5)+IF(W124="",0,4)+IF(Y124="",0,4)+IF(AA124="",0,4)+IF(AC124="",0,5))=0,"",(IF(S124="",0,S124*5)+IF(U124="",0,U124*5)+IF(W124="",0,W124*4)+IF(Y124="",0,Y124*4)+IF(AA124="",0,AA124*4)+IF(AC124="",0,AC124*5))/(IF(S124="",0,5)+IF(U124="",0,5)+IF(W124="",0,4)+IF(Y124="",0,4)+IF(AA124="",0,4)+IF(AC124="",0,5)))</f>
        <v/>
      </c>
      <c r="AF124" s="14">
        <f>IF((IF(T124="",0,5)+IF(V124="",0,5)+IF(X124="",0,4)+IF(Z124="",0,4)+IF(AB124="",0,4)+IF(AD124="",0,5))=0,"",(IF(T124="",0,T124*5)+IF(V124="",0,V124*5)+IF(X124="",0,X124*4)+IF(Z124="",0,Z124*4)+IF(AB124="",0,AB124*4)+IF(AD124="",0,AD124*5))/27)</f>
        <v/>
      </c>
      <c r="AG124" s="11">
        <f>IF(OR(City_Inputs!$Y124="",Norm_Stats!$F$13="",Norm_Stats!$G$13="",Norm_Stats!$G$13=Norm_Stats!$F$13),"",MAX(0,MIN(100,100*(MIN(MAX(City_Inputs!$Y124,Norm_Stats!$F$13),Norm_Stats!$G$13)-Norm_Stats!$F$13)/(Norm_Stats!$G$13-Norm_Stats!$F$13))))</f>
        <v/>
      </c>
      <c r="AH124" s="14">
        <f>IF(AG124="","",1)</f>
        <v/>
      </c>
      <c r="AI124" s="11">
        <f>IF(OR(City_Inputs!$Z124="",Norm_Stats!$F$14="",Norm_Stats!$G$14="",Norm_Stats!$G$14=Norm_Stats!$F$14),"",MAX(0,MIN(100,100*(MIN(MAX(City_Inputs!$Z124,Norm_Stats!$F$14),Norm_Stats!$G$14)-Norm_Stats!$F$14)/(Norm_Stats!$G$14-Norm_Stats!$F$14))))</f>
        <v/>
      </c>
      <c r="AJ124" s="14">
        <f>IF(AI124="","",1)</f>
        <v/>
      </c>
      <c r="AK124" s="11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(IF(OR(City_Inputs!$AA124="",Norm_Stats!$F$15="",Norm_Stats!$G$15="",Norm_Stats!$G$15=Norm_Stats!$F$15),"",MAX(0,MIN(100,100*(MIN(MAX(City_Inputs!$AA124,Norm_Stats!$F$15),Norm_Stats!$G$15)-Norm_Stats!$F$15)/(Norm_Stats!$G$15-Norm_Stats!$F$15)))))*0.7)+IF((IF(OR(City_Inputs!$AL124="",Norm_Stats!$F$16="",Norm_Stats!$G$16="",Norm_Stats!$G$16=Norm_Stats!$F$16),"",MAX(0,MIN(100,100*(Norm_Stats!$G$16-MIN(MAX(City_Inputs!$AL124,Norm_Stats!$F$16),Norm_Stats!$G$16))/(Norm_Stats!$G$16-Norm_Stats!$F$16)))))="",0,(IF(OR(City_Inputs!$AL124="",Norm_Stats!$F$16="",Norm_Stats!$G$16="",Norm_Stats!$G$16=Norm_Stats!$F$16),"",MAX(0,MIN(100,100*(Norm_Stats!$G$16-MIN(MAX(City_Inputs!$AL124,Norm_Stats!$F$16),Norm_Stats!$G$16))/(Norm_Stats!$G$16-Norm_Stats!$F$16)))))*0.3))/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L124" s="14">
        <f>IF(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=0,"",(IF((IF(OR(City_Inputs!$AA124="",Norm_Stats!$F$15="",Norm_Stats!$G$15="",Norm_Stats!$G$15=Norm_Stats!$F$15),"",MAX(0,MIN(100,100*(MIN(MAX(City_Inputs!$AA124,Norm_Stats!$F$15),Norm_Stats!$G$15)-Norm_Stats!$F$15)/(Norm_Stats!$G$15-Norm_Stats!$F$15)))))="",0,0.7)+IF((IF(OR(City_Inputs!$AL124="",Norm_Stats!$F$16="",Norm_Stats!$G$16="",Norm_Stats!$G$16=Norm_Stats!$F$16),"",MAX(0,MIN(100,100*(Norm_Stats!$G$16-MIN(MAX(City_Inputs!$AL124,Norm_Stats!$F$16),Norm_Stats!$G$16))/(Norm_Stats!$G$16-Norm_Stats!$F$16)))))="",0,0.3)))</f>
        <v/>
      </c>
      <c r="AM124" s="15">
        <f>IF((IF(AG124="",0,8)+IF(AI124="",0,6)+IF(AK124="",0,4))=0,"",(IF(AG124="",0,AG124*8)+IF(AI124="",0,AI124*6)+IF(AK124="",0,AK124*4))/(IF(AG124="",0,8)+IF(AI124="",0,6)+IF(AK124="",0,4)))</f>
        <v/>
      </c>
      <c r="AN124" s="14">
        <f>IF((IF(AH124="",0,8)+IF(AJ124="",0,6)+IF(AL124="",0,4))=0,"",(IF(AH124="",0,AH124*8)+IF(AJ124="",0,AJ124*6)+IF(AL124="",0,AL124*4))/18)</f>
        <v/>
      </c>
      <c r="AO124" s="11">
        <f>IF(OR(City_Inputs!$AB124="",Norm_Stats!$F$17="",Norm_Stats!$G$17="",Norm_Stats!$G$17=Norm_Stats!$F$17),"",MAX(0,MIN(100,100*(MIN(MAX(City_Inputs!$AB124,Norm_Stats!$F$17),Norm_Stats!$G$17)-Norm_Stats!$F$17)/(Norm_Stats!$G$17-Norm_Stats!$F$17))))</f>
        <v/>
      </c>
      <c r="AP124" s="14">
        <f>IF(AO124="","",1)</f>
        <v/>
      </c>
      <c r="AQ124" s="11">
        <f>IF(OR(City_Inputs!$AC124="",Norm_Stats!$F$18="",Norm_Stats!$G$18="",Norm_Stats!$G$18=Norm_Stats!$F$18),"",MAX(0,MIN(100,100*(MIN(MAX(City_Inputs!$AC124,Norm_Stats!$F$18),Norm_Stats!$G$18)-Norm_Stats!$F$18)/(Norm_Stats!$G$18-Norm_Stats!$F$18))))</f>
        <v/>
      </c>
      <c r="AR124" s="14">
        <f>IF(AQ124="","",1)</f>
        <v/>
      </c>
      <c r="AS124" s="11">
        <f>IF(OR(City_Inputs!$AD124="",Norm_Stats!$F$19="",Norm_Stats!$G$19="",Norm_Stats!$G$19=Norm_Stats!$F$19),"",MAX(0,MIN(100,100*(MIN(MAX(City_Inputs!$AD124,Norm_Stats!$F$19),Norm_Stats!$G$19)-Norm_Stats!$F$19)/(Norm_Stats!$G$19-Norm_Stats!$F$19))))</f>
        <v/>
      </c>
      <c r="AT124" s="14">
        <f>IF(AS124="","",1)</f>
        <v/>
      </c>
      <c r="AU124" s="11">
        <f>IF(OR(City_Inputs!$BJ124="",Norm_Stats!$F$26="",Norm_Stats!$G$26="",Norm_Stats!$G$26=Norm_Stats!$F$26),"",MAX(0,MIN(100,100*(MIN(MAX(City_Inputs!$BJ124,Norm_Stats!$F$26),Norm_Stats!$G$26)-Norm_Stats!$F$26)/(Norm_Stats!$G$26-Norm_Stats!$F$26))))</f>
        <v/>
      </c>
      <c r="AV124" s="11">
        <f>IF(AU124="","",1)</f>
        <v/>
      </c>
      <c r="AW124" s="15">
        <f>IF((IF(AO124="",0,5)+IF(AQ124="",0,5)+IF(AS124="",0,5)+IF(AU124="",0,4))=0,"",(IF(AO124="",0,AO124*5)+IF(AQ124="",0,AQ124*5)+IF(AS124="",0,AS124*5)+IF(AU124="",0,AU124*4))/(IF(AO124="",0,5)+IF(AQ124="",0,5)+IF(AS124="",0,5)+IF(AU124="",0,4)))</f>
        <v/>
      </c>
      <c r="AX124" s="14">
        <f>IF((IF(AP124="",0,5)+IF(AR124="",0,5)+IF(AT124="",0,5)+IF(AV124="",0,4))=0,"",(IF(AP124="",0,AP124*5)+IF(AR124="",0,AR124*5)+IF(AT124="",0,AT124*5)+IF(AV124="",0,AV124*4))/19)</f>
        <v/>
      </c>
      <c r="AY124" s="11">
        <f>IF(OR(City_Inputs!$AE124="",Norm_Stats!$F$20="",Norm_Stats!$G$20="",Norm_Stats!$G$20=Norm_Stats!$F$20),"",MAX(0,MIN(100,100*(MIN(MAX(City_Inputs!$AE124,Norm_Stats!$F$20),Norm_Stats!$G$20)-Norm_Stats!$F$20)/(Norm_Stats!$G$20-Norm_Stats!$F$20))))</f>
        <v/>
      </c>
      <c r="AZ124" s="14">
        <f>IF(AY124="","",1)</f>
        <v/>
      </c>
      <c r="BA124" s="11">
        <f>IF(OR(City_Inputs!$AF124="",Norm_Stats!$F$21="",Norm_Stats!$G$21="",Norm_Stats!$G$21=Norm_Stats!$F$21),"",MAX(0,MIN(100,100*(MIN(MAX(City_Inputs!$AF124,Norm_Stats!$F$21),Norm_Stats!$G$21)-Norm_Stats!$F$21)/(Norm_Stats!$G$21-Norm_Stats!$F$21))))</f>
        <v/>
      </c>
      <c r="BB124" s="14">
        <f>IF(BA124="","",1)</f>
        <v/>
      </c>
      <c r="BC124" s="11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(IF(OR(City_Inputs!$AG124="",Norm_Stats!$F$22="",Norm_Stats!$G$22="",Norm_Stats!$G$22=Norm_Stats!$F$22),"",MAX(0,MIN(100,100*(MIN(MAX(City_Inputs!$AG124,Norm_Stats!$F$22),Norm_Stats!$G$22)-Norm_Stats!$F$22)/(Norm_Stats!$G$22-Norm_Stats!$F$22)))))*0.5)+IF((IF(OR(City_Inputs!$AJ124="",Norm_Stats!$F$23="",Norm_Stats!$G$23="",Norm_Stats!$G$23=Norm_Stats!$F$23),"",MAX(0,MIN(100,100*(MIN(MAX(City_Inputs!$AJ124,Norm_Stats!$F$23),Norm_Stats!$G$23)-Norm_Stats!$F$23)/(Norm_Stats!$G$23-Norm_Stats!$F$23)))))="",0,(IF(OR(City_Inputs!$AJ124="",Norm_Stats!$F$23="",Norm_Stats!$G$23="",Norm_Stats!$G$23=Norm_Stats!$F$23),"",MAX(0,MIN(100,100*(MIN(MAX(City_Inputs!$AJ124,Norm_Stats!$F$23),Norm_Stats!$G$23)-Norm_Stats!$F$23)/(Norm_Stats!$G$23-Norm_Stats!$F$23)))))*0.3)+IF((IF(OR(City_Inputs!$AK124="",Norm_Stats!$F$24="",Norm_Stats!$G$24="",Norm_Stats!$G$24=Norm_Stats!$F$24),"",MAX(0,MIN(100,100*(MIN(MAX(City_Inputs!$AK124,Norm_Stats!$F$24),Norm_Stats!$G$24)-Norm_Stats!$F$24)/(Norm_Stats!$G$24-Norm_Stats!$F$24)))))="",0,(IF(OR(City_Inputs!$AK124="",Norm_Stats!$F$24="",Norm_Stats!$G$24="",Norm_Stats!$G$24=Norm_Stats!$F$24),"",MAX(0,MIN(100,100*(MIN(MAX(City_Inputs!$AK124,Norm_Stats!$F$24),Norm_Stats!$G$24)-Norm_Stats!$F$24)/(Norm_Stats!$G$24-Norm_Stats!$F$24)))))*0.2))/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D124" s="14">
        <f>IF(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=0,"",(IF((IF(OR(City_Inputs!$AG124="",Norm_Stats!$F$22="",Norm_Stats!$G$22="",Norm_Stats!$G$22=Norm_Stats!$F$22),"",MAX(0,MIN(100,100*(MIN(MAX(City_Inputs!$AG124,Norm_Stats!$F$22),Norm_Stats!$G$22)-Norm_Stats!$F$22)/(Norm_Stats!$G$22-Norm_Stats!$F$22)))))="",0,0.5)+IF((IF(OR(City_Inputs!$AJ124="",Norm_Stats!$F$23="",Norm_Stats!$G$23="",Norm_Stats!$G$23=Norm_Stats!$F$23),"",MAX(0,MIN(100,100*(MIN(MAX(City_Inputs!$AJ124,Norm_Stats!$F$23),Norm_Stats!$G$23)-Norm_Stats!$F$23)/(Norm_Stats!$G$23-Norm_Stats!$F$23)))))="",0,0.3)+IF((IF(OR(City_Inputs!$AK124="",Norm_Stats!$F$24="",Norm_Stats!$G$24="",Norm_Stats!$G$24=Norm_Stats!$F$24),"",MAX(0,MIN(100,100*(MIN(MAX(City_Inputs!$AK124,Norm_Stats!$F$24),Norm_Stats!$G$24)-Norm_Stats!$F$24)/(Norm_Stats!$G$24-Norm_Stats!$F$24)))))="",0,0.2)))</f>
        <v/>
      </c>
      <c r="BE124" s="11">
        <f>IF(OR(City_Inputs!$AH124="",Norm_Stats!$F$25="",Norm_Stats!$G$25="",Norm_Stats!$G$25=Norm_Stats!$F$25),"",MAX(0,MIN(100,100*(Norm_Stats!$G$25-MIN(MAX(City_Inputs!$AH124,Norm_Stats!$F$25),Norm_Stats!$G$25))/(Norm_Stats!$G$25-Norm_Stats!$F$25))))</f>
        <v/>
      </c>
      <c r="BF124" s="14">
        <f>IF(BE124="","",1)</f>
        <v/>
      </c>
      <c r="BG124" s="15">
        <f>IF((IF(AY124="",0,6)+IF(BA124="",0,5)+IF(BC124="",0,5)+IF(BE124="",0,4))=0,"",(IF(AY124="",0,AY124*6)+IF(BA124="",0,BA124*5)+IF(BC124="",0,BC124*5)+IF(BE124="",0,BE124*4))/(IF(AY124="",0,6)+IF(BA124="",0,5)+IF(BC124="",0,5)+IF(BE124="",0,4)))</f>
        <v/>
      </c>
      <c r="BH124" s="14">
        <f>IF((IF(AZ124="",0,6)+IF(BB124="",0,5)+IF(BD124="",0,5)+IF(BF124="",0,4))=0,"",(IF(AZ124="",0,AZ124*6)+IF(BB124="",0,BB124*5)+IF(BD124="",0,BD124*5)+IF(BF124="",0,BF124*4))/20)</f>
        <v/>
      </c>
      <c r="BI124" s="14">
        <f>IF(AND(R124="",AF124="",AN124="",AX124="",BH124=""),"",((R124*25)+(AF124*22)+(AN124*18)+(AX124*15)+(BH124*20))/100)</f>
        <v/>
      </c>
      <c r="BJ124" s="11">
        <f>IF(BI124="","",IF(BI124&gt;=0.75,"A",IF(BI124&gt;=0.5,"B",IF(BI124&gt;=0.35,"C","Watchlist"))))</f>
        <v/>
      </c>
      <c r="BK124" s="11">
        <f>IF(OR(BI124="",BI124&lt;0.5,R124="",R124&lt;0.35,AF124="",AF124&lt;0.35,AN124="",AN124&lt;0.35,AX124="",AX124&lt;0.35,BH124="",BH124&lt;0.35),"Watchlist","Ranked")</f>
        <v/>
      </c>
      <c r="BL124" s="15">
        <f>IF(AND(Q124="",AE124="",AM124="",AW124="",BG124=""),"",(IF(Q124="",0,Q124*25)+IF(AE124="",0,AE124*22)+IF(AM124="",0,AM124*18)+IF(AW124="",0,AW124*15)+IF(BG124="",0,BG124*20))/(IF(Q124="",0,25)+IF(AE124="",0,22)+IF(AM124="",0,18)+IF(AW124="",0,15)+IF(BG124="",0,20)))</f>
        <v/>
      </c>
      <c r="BM124" s="11">
        <f>IF(BK124="Ranked",1+COUNTIFS($BK$2:$BK$158,"Ranked",$BL$2:$BL$158,"&gt;"&amp;BL124),"")</f>
        <v/>
      </c>
      <c r="BN124" s="11">
        <f>City_Inputs!$AI124</f>
        <v/>
      </c>
    </row>
    <row r="125">
      <c r="A125" t="inlineStr">
        <is>
          <t>hr-zagreb</t>
        </is>
      </c>
      <c r="B125" t="inlineStr">
        <is>
          <t>Zagreb</t>
        </is>
      </c>
      <c r="C125" t="inlineStr">
        <is>
          <t>Croatia</t>
        </is>
      </c>
      <c r="D125" t="inlineStr">
        <is>
          <t>Southern/Eastern Europe and Eurasia</t>
        </is>
      </c>
      <c r="E125" t="inlineStr">
        <is>
          <t>provisional</t>
        </is>
      </c>
      <c r="F125" t="inlineStr">
        <is>
          <t>primary</t>
        </is>
      </c>
      <c r="G125" s="11">
        <f>IF(OR(City_Inputs!$M125="",Norm_Stats!$F$2="",Norm_Stats!$G$2="",Norm_Stats!$G$2=Norm_Stats!$F$2),"",MAX(0,MIN(100,100*(MIN(MAX(City_Inputs!$M125,Norm_Stats!$F$2),Norm_Stats!$G$2)-Norm_Stats!$F$2)/(Norm_Stats!$G$2-Norm_Stats!$F$2))))</f>
        <v/>
      </c>
      <c r="H125" s="14">
        <f>IF(G125="","",1)</f>
        <v/>
      </c>
      <c r="I125" s="11">
        <f>IF(OR(City_Inputs!$N125="",Norm_Stats!$F$3="",Norm_Stats!$G$3="",Norm_Stats!$G$3=Norm_Stats!$F$3),"",MAX(0,MIN(100,100*(Norm_Stats!$G$3-MIN(MAX(City_Inputs!$N125,Norm_Stats!$F$3),Norm_Stats!$G$3))/(Norm_Stats!$G$3-Norm_Stats!$F$3))))</f>
        <v/>
      </c>
      <c r="J125" s="14">
        <f>IF(I125="","",1)</f>
        <v/>
      </c>
      <c r="K125" s="11">
        <f>IF(OR(City_Inputs!$P125="",Norm_Stats!$F$4="",Norm_Stats!$G$4="",Norm_Stats!$G$4=Norm_Stats!$F$4),"",MAX(0,MIN(100,100*(Norm_Stats!$G$4-MIN(MAX(City_Inputs!$P125,Norm_Stats!$F$4),Norm_Stats!$G$4))/(Norm_Stats!$G$4-Norm_Stats!$F$4))))</f>
        <v/>
      </c>
      <c r="L125" s="14">
        <f>IF(K125="","",1)</f>
        <v/>
      </c>
      <c r="M125" s="11">
        <f>IF(OR(City_Inputs!$Q125="",Norm_Stats!$F$5="",Norm_Stats!$G$5="",Norm_Stats!$G$5=Norm_Stats!$F$5),"",MAX(0,MIN(100,100*(Norm_Stats!$G$5-MIN(MAX(City_Inputs!$Q125,Norm_Stats!$F$5),Norm_Stats!$G$5))/(Norm_Stats!$G$5-Norm_Stats!$F$5))))</f>
        <v/>
      </c>
      <c r="N125" s="14">
        <f>IF(M125="","",1)</f>
        <v/>
      </c>
      <c r="O125" s="11">
        <f>IF(OR(City_Inputs!$R125="",Norm_Stats!$F$6="",Norm_Stats!$G$6="",Norm_Stats!$G$6=Norm_Stats!$F$6),"",MAX(0,MIN(100,100*(Norm_Stats!$G$6-MIN(MAX(City_Inputs!$R125,Norm_Stats!$F$6),Norm_Stats!$G$6))/(Norm_Stats!$G$6-Norm_Stats!$F$6))))</f>
        <v/>
      </c>
      <c r="P125" s="14">
        <f>IF(O125="","",1)</f>
        <v/>
      </c>
      <c r="Q125" s="15">
        <f>IF((IF(G125="",0,9)+IF(I125="",0,5)+IF(K125="",0,4)+IF(M125="",0,4)+IF(O125="",0,5))=0,"",(IF(G125="",0,G125*9)+IF(I125="",0,I125*5)+IF(K125="",0,K125*4)+IF(M125="",0,M125*4)+IF(O125="",0,O125*5))/(IF(G125="",0,9)+IF(I125="",0,5)+IF(K125="",0,4)+IF(M125="",0,4)+IF(O125="",0,5)))</f>
        <v/>
      </c>
      <c r="R125" s="14">
        <f>IF((IF(H125="",0,9)+IF(J125="",0,5)+IF(L125="",0,4)+IF(N125="",0,4)+IF(P125="",0,5))=0,"",(IF(H125="",0,H125*9)+IF(J125="",0,J125*5)+IF(L125="",0,L125*4)+IF(N125="",0,N125*4)+IF(P125="",0,P125*5))/27)</f>
        <v/>
      </c>
      <c r="S125" s="11">
        <f>IF(OR(City_Inputs!$S125="",Norm_Stats!$F$7="",Norm_Stats!$G$7="",Norm_Stats!$G$7=Norm_Stats!$F$7),"",MAX(0,MIN(100,100*(Norm_Stats!$G$7-MIN(MAX(City_Inputs!$S125,Norm_Stats!$F$7),Norm_Stats!$G$7))/(Norm_Stats!$G$7-Norm_Stats!$F$7))))</f>
        <v/>
      </c>
      <c r="T125" s="14">
        <f>IF(S125="","",1)</f>
        <v/>
      </c>
      <c r="U125" s="11">
        <f>IF(OR(City_Inputs!$T125="",Norm_Stats!$F$8="",Norm_Stats!$G$8="",Norm_Stats!$G$8=Norm_Stats!$F$8),"",MAX(0,MIN(100,100*(MIN(MAX(City_Inputs!$T125,Norm_Stats!$F$8),Norm_Stats!$G$8)-Norm_Stats!$F$8)/(Norm_Stats!$G$8-Norm_Stats!$F$8))))</f>
        <v/>
      </c>
      <c r="V125" s="14">
        <f>IF(U125="","",1)</f>
        <v/>
      </c>
      <c r="W125" s="11">
        <f>IF(OR(City_Inputs!$U125="",Norm_Stats!$F$9="",Norm_Stats!$G$9="",Norm_Stats!$G$9=Norm_Stats!$F$9),"",MAX(0,MIN(100,100*(Norm_Stats!$G$9-MIN(MAX(City_Inputs!$U125,Norm_Stats!$F$9),Norm_Stats!$G$9))/(Norm_Stats!$G$9-Norm_Stats!$F$9))))</f>
        <v/>
      </c>
      <c r="X125" s="14">
        <f>IF(W125="","",1)</f>
        <v/>
      </c>
      <c r="Y125" s="11">
        <f>IF(OR(City_Inputs!$V125="",Norm_Stats!$F$10="",Norm_Stats!$G$10="",Norm_Stats!$G$10=Norm_Stats!$F$10),"",MAX(0,MIN(100,100*(MIN(MAX(City_Inputs!$V125,Norm_Stats!$F$10),Norm_Stats!$G$10)-Norm_Stats!$F$10)/(Norm_Stats!$G$10-Norm_Stats!$F$10))))</f>
        <v/>
      </c>
      <c r="Z125" s="14">
        <f>IF(Y125="","",1)</f>
        <v/>
      </c>
      <c r="AA125" s="11">
        <f>IF(OR(City_Inputs!$W125="",Norm_Stats!$F$11="",Norm_Stats!$G$11="",Norm_Stats!$G$11=Norm_Stats!$F$11),"",MAX(0,MIN(100,100*(MIN(MAX(City_Inputs!$W125,Norm_Stats!$F$11),Norm_Stats!$G$11)-Norm_Stats!$F$11)/(Norm_Stats!$G$11-Norm_Stats!$F$11))))</f>
        <v/>
      </c>
      <c r="AB125" s="14">
        <f>IF(AA125="","",1)</f>
        <v/>
      </c>
      <c r="AC125" s="11">
        <f>IF(OR(City_Inputs!$X125="",Norm_Stats!$F$12="",Norm_Stats!$G$12="",Norm_Stats!$G$12=Norm_Stats!$F$12),"",MAX(0,MIN(100,100*(MIN(MAX(City_Inputs!$X125,Norm_Stats!$F$12),Norm_Stats!$G$12)-Norm_Stats!$F$12)/(Norm_Stats!$G$12-Norm_Stats!$F$12))))</f>
        <v/>
      </c>
      <c r="AD125" s="11">
        <f>IF(AC125="","",1)</f>
        <v/>
      </c>
      <c r="AE125" s="15">
        <f>IF((IF(S125="",0,5)+IF(U125="",0,5)+IF(W125="",0,4)+IF(Y125="",0,4)+IF(AA125="",0,4)+IF(AC125="",0,5))=0,"",(IF(S125="",0,S125*5)+IF(U125="",0,U125*5)+IF(W125="",0,W125*4)+IF(Y125="",0,Y125*4)+IF(AA125="",0,AA125*4)+IF(AC125="",0,AC125*5))/(IF(S125="",0,5)+IF(U125="",0,5)+IF(W125="",0,4)+IF(Y125="",0,4)+IF(AA125="",0,4)+IF(AC125="",0,5)))</f>
        <v/>
      </c>
      <c r="AF125" s="14">
        <f>IF((IF(T125="",0,5)+IF(V125="",0,5)+IF(X125="",0,4)+IF(Z125="",0,4)+IF(AB125="",0,4)+IF(AD125="",0,5))=0,"",(IF(T125="",0,T125*5)+IF(V125="",0,V125*5)+IF(X125="",0,X125*4)+IF(Z125="",0,Z125*4)+IF(AB125="",0,AB125*4)+IF(AD125="",0,AD125*5))/27)</f>
        <v/>
      </c>
      <c r="AG125" s="11">
        <f>IF(OR(City_Inputs!$Y125="",Norm_Stats!$F$13="",Norm_Stats!$G$13="",Norm_Stats!$G$13=Norm_Stats!$F$13),"",MAX(0,MIN(100,100*(MIN(MAX(City_Inputs!$Y125,Norm_Stats!$F$13),Norm_Stats!$G$13)-Norm_Stats!$F$13)/(Norm_Stats!$G$13-Norm_Stats!$F$13))))</f>
        <v/>
      </c>
      <c r="AH125" s="14">
        <f>IF(AG125="","",1)</f>
        <v/>
      </c>
      <c r="AI125" s="11">
        <f>IF(OR(City_Inputs!$Z125="",Norm_Stats!$F$14="",Norm_Stats!$G$14="",Norm_Stats!$G$14=Norm_Stats!$F$14),"",MAX(0,MIN(100,100*(MIN(MAX(City_Inputs!$Z125,Norm_Stats!$F$14),Norm_Stats!$G$14)-Norm_Stats!$F$14)/(Norm_Stats!$G$14-Norm_Stats!$F$14))))</f>
        <v/>
      </c>
      <c r="AJ125" s="14">
        <f>IF(AI125="","",1)</f>
        <v/>
      </c>
      <c r="AK125" s="11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(IF(OR(City_Inputs!$AA125="",Norm_Stats!$F$15="",Norm_Stats!$G$15="",Norm_Stats!$G$15=Norm_Stats!$F$15),"",MAX(0,MIN(100,100*(MIN(MAX(City_Inputs!$AA125,Norm_Stats!$F$15),Norm_Stats!$G$15)-Norm_Stats!$F$15)/(Norm_Stats!$G$15-Norm_Stats!$F$15)))))*0.7)+IF((IF(OR(City_Inputs!$AL125="",Norm_Stats!$F$16="",Norm_Stats!$G$16="",Norm_Stats!$G$16=Norm_Stats!$F$16),"",MAX(0,MIN(100,100*(Norm_Stats!$G$16-MIN(MAX(City_Inputs!$AL125,Norm_Stats!$F$16),Norm_Stats!$G$16))/(Norm_Stats!$G$16-Norm_Stats!$F$16)))))="",0,(IF(OR(City_Inputs!$AL125="",Norm_Stats!$F$16="",Norm_Stats!$G$16="",Norm_Stats!$G$16=Norm_Stats!$F$16),"",MAX(0,MIN(100,100*(Norm_Stats!$G$16-MIN(MAX(City_Inputs!$AL125,Norm_Stats!$F$16),Norm_Stats!$G$16))/(Norm_Stats!$G$16-Norm_Stats!$F$16)))))*0.3))/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L125" s="14">
        <f>IF(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=0,"",(IF((IF(OR(City_Inputs!$AA125="",Norm_Stats!$F$15="",Norm_Stats!$G$15="",Norm_Stats!$G$15=Norm_Stats!$F$15),"",MAX(0,MIN(100,100*(MIN(MAX(City_Inputs!$AA125,Norm_Stats!$F$15),Norm_Stats!$G$15)-Norm_Stats!$F$15)/(Norm_Stats!$G$15-Norm_Stats!$F$15)))))="",0,0.7)+IF((IF(OR(City_Inputs!$AL125="",Norm_Stats!$F$16="",Norm_Stats!$G$16="",Norm_Stats!$G$16=Norm_Stats!$F$16),"",MAX(0,MIN(100,100*(Norm_Stats!$G$16-MIN(MAX(City_Inputs!$AL125,Norm_Stats!$F$16),Norm_Stats!$G$16))/(Norm_Stats!$G$16-Norm_Stats!$F$16)))))="",0,0.3)))</f>
        <v/>
      </c>
      <c r="AM125" s="15">
        <f>IF((IF(AG125="",0,8)+IF(AI125="",0,6)+IF(AK125="",0,4))=0,"",(IF(AG125="",0,AG125*8)+IF(AI125="",0,AI125*6)+IF(AK125="",0,AK125*4))/(IF(AG125="",0,8)+IF(AI125="",0,6)+IF(AK125="",0,4)))</f>
        <v/>
      </c>
      <c r="AN125" s="14">
        <f>IF((IF(AH125="",0,8)+IF(AJ125="",0,6)+IF(AL125="",0,4))=0,"",(IF(AH125="",0,AH125*8)+IF(AJ125="",0,AJ125*6)+IF(AL125="",0,AL125*4))/18)</f>
        <v/>
      </c>
      <c r="AO125" s="11">
        <f>IF(OR(City_Inputs!$AB125="",Norm_Stats!$F$17="",Norm_Stats!$G$17="",Norm_Stats!$G$17=Norm_Stats!$F$17),"",MAX(0,MIN(100,100*(MIN(MAX(City_Inputs!$AB125,Norm_Stats!$F$17),Norm_Stats!$G$17)-Norm_Stats!$F$17)/(Norm_Stats!$G$17-Norm_Stats!$F$17))))</f>
        <v/>
      </c>
      <c r="AP125" s="14">
        <f>IF(AO125="","",1)</f>
        <v/>
      </c>
      <c r="AQ125" s="11">
        <f>IF(OR(City_Inputs!$AC125="",Norm_Stats!$F$18="",Norm_Stats!$G$18="",Norm_Stats!$G$18=Norm_Stats!$F$18),"",MAX(0,MIN(100,100*(MIN(MAX(City_Inputs!$AC125,Norm_Stats!$F$18),Norm_Stats!$G$18)-Norm_Stats!$F$18)/(Norm_Stats!$G$18-Norm_Stats!$F$18))))</f>
        <v/>
      </c>
      <c r="AR125" s="14">
        <f>IF(AQ125="","",1)</f>
        <v/>
      </c>
      <c r="AS125" s="11">
        <f>IF(OR(City_Inputs!$AD125="",Norm_Stats!$F$19="",Norm_Stats!$G$19="",Norm_Stats!$G$19=Norm_Stats!$F$19),"",MAX(0,MIN(100,100*(MIN(MAX(City_Inputs!$AD125,Norm_Stats!$F$19),Norm_Stats!$G$19)-Norm_Stats!$F$19)/(Norm_Stats!$G$19-Norm_Stats!$F$19))))</f>
        <v/>
      </c>
      <c r="AT125" s="14">
        <f>IF(AS125="","",1)</f>
        <v/>
      </c>
      <c r="AU125" s="11">
        <f>IF(OR(City_Inputs!$BJ125="",Norm_Stats!$F$26="",Norm_Stats!$G$26="",Norm_Stats!$G$26=Norm_Stats!$F$26),"",MAX(0,MIN(100,100*(MIN(MAX(City_Inputs!$BJ125,Norm_Stats!$F$26),Norm_Stats!$G$26)-Norm_Stats!$F$26)/(Norm_Stats!$G$26-Norm_Stats!$F$26))))</f>
        <v/>
      </c>
      <c r="AV125" s="11">
        <f>IF(AU125="","",1)</f>
        <v/>
      </c>
      <c r="AW125" s="15">
        <f>IF((IF(AO125="",0,5)+IF(AQ125="",0,5)+IF(AS125="",0,5)+IF(AU125="",0,4))=0,"",(IF(AO125="",0,AO125*5)+IF(AQ125="",0,AQ125*5)+IF(AS125="",0,AS125*5)+IF(AU125="",0,AU125*4))/(IF(AO125="",0,5)+IF(AQ125="",0,5)+IF(AS125="",0,5)+IF(AU125="",0,4)))</f>
        <v/>
      </c>
      <c r="AX125" s="14">
        <f>IF((IF(AP125="",0,5)+IF(AR125="",0,5)+IF(AT125="",0,5)+IF(AV125="",0,4))=0,"",(IF(AP125="",0,AP125*5)+IF(AR125="",0,AR125*5)+IF(AT125="",0,AT125*5)+IF(AV125="",0,AV125*4))/19)</f>
        <v/>
      </c>
      <c r="AY125" s="11">
        <f>IF(OR(City_Inputs!$AE125="",Norm_Stats!$F$20="",Norm_Stats!$G$20="",Norm_Stats!$G$20=Norm_Stats!$F$20),"",MAX(0,MIN(100,100*(MIN(MAX(City_Inputs!$AE125,Norm_Stats!$F$20),Norm_Stats!$G$20)-Norm_Stats!$F$20)/(Norm_Stats!$G$20-Norm_Stats!$F$20))))</f>
        <v/>
      </c>
      <c r="AZ125" s="14">
        <f>IF(AY125="","",1)</f>
        <v/>
      </c>
      <c r="BA125" s="11">
        <f>IF(OR(City_Inputs!$AF125="",Norm_Stats!$F$21="",Norm_Stats!$G$21="",Norm_Stats!$G$21=Norm_Stats!$F$21),"",MAX(0,MIN(100,100*(MIN(MAX(City_Inputs!$AF125,Norm_Stats!$F$21),Norm_Stats!$G$21)-Norm_Stats!$F$21)/(Norm_Stats!$G$21-Norm_Stats!$F$21))))</f>
        <v/>
      </c>
      <c r="BB125" s="14">
        <f>IF(BA125="","",1)</f>
        <v/>
      </c>
      <c r="BC125" s="11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(IF(OR(City_Inputs!$AG125="",Norm_Stats!$F$22="",Norm_Stats!$G$22="",Norm_Stats!$G$22=Norm_Stats!$F$22),"",MAX(0,MIN(100,100*(MIN(MAX(City_Inputs!$AG125,Norm_Stats!$F$22),Norm_Stats!$G$22)-Norm_Stats!$F$22)/(Norm_Stats!$G$22-Norm_Stats!$F$22)))))*0.5)+IF((IF(OR(City_Inputs!$AJ125="",Norm_Stats!$F$23="",Norm_Stats!$G$23="",Norm_Stats!$G$23=Norm_Stats!$F$23),"",MAX(0,MIN(100,100*(MIN(MAX(City_Inputs!$AJ125,Norm_Stats!$F$23),Norm_Stats!$G$23)-Norm_Stats!$F$23)/(Norm_Stats!$G$23-Norm_Stats!$F$23)))))="",0,(IF(OR(City_Inputs!$AJ125="",Norm_Stats!$F$23="",Norm_Stats!$G$23="",Norm_Stats!$G$23=Norm_Stats!$F$23),"",MAX(0,MIN(100,100*(MIN(MAX(City_Inputs!$AJ125,Norm_Stats!$F$23),Norm_Stats!$G$23)-Norm_Stats!$F$23)/(Norm_Stats!$G$23-Norm_Stats!$F$23)))))*0.3)+IF((IF(OR(City_Inputs!$AK125="",Norm_Stats!$F$24="",Norm_Stats!$G$24="",Norm_Stats!$G$24=Norm_Stats!$F$24),"",MAX(0,MIN(100,100*(MIN(MAX(City_Inputs!$AK125,Norm_Stats!$F$24),Norm_Stats!$G$24)-Norm_Stats!$F$24)/(Norm_Stats!$G$24-Norm_Stats!$F$24)))))="",0,(IF(OR(City_Inputs!$AK125="",Norm_Stats!$F$24="",Norm_Stats!$G$24="",Norm_Stats!$G$24=Norm_Stats!$F$24),"",MAX(0,MIN(100,100*(MIN(MAX(City_Inputs!$AK125,Norm_Stats!$F$24),Norm_Stats!$G$24)-Norm_Stats!$F$24)/(Norm_Stats!$G$24-Norm_Stats!$F$24)))))*0.2))/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D125" s="14">
        <f>IF(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=0,"",(IF((IF(OR(City_Inputs!$AG125="",Norm_Stats!$F$22="",Norm_Stats!$G$22="",Norm_Stats!$G$22=Norm_Stats!$F$22),"",MAX(0,MIN(100,100*(MIN(MAX(City_Inputs!$AG125,Norm_Stats!$F$22),Norm_Stats!$G$22)-Norm_Stats!$F$22)/(Norm_Stats!$G$22-Norm_Stats!$F$22)))))="",0,0.5)+IF((IF(OR(City_Inputs!$AJ125="",Norm_Stats!$F$23="",Norm_Stats!$G$23="",Norm_Stats!$G$23=Norm_Stats!$F$23),"",MAX(0,MIN(100,100*(MIN(MAX(City_Inputs!$AJ125,Norm_Stats!$F$23),Norm_Stats!$G$23)-Norm_Stats!$F$23)/(Norm_Stats!$G$23-Norm_Stats!$F$23)))))="",0,0.3)+IF((IF(OR(City_Inputs!$AK125="",Norm_Stats!$F$24="",Norm_Stats!$G$24="",Norm_Stats!$G$24=Norm_Stats!$F$24),"",MAX(0,MIN(100,100*(MIN(MAX(City_Inputs!$AK125,Norm_Stats!$F$24),Norm_Stats!$G$24)-Norm_Stats!$F$24)/(Norm_Stats!$G$24-Norm_Stats!$F$24)))))="",0,0.2)))</f>
        <v/>
      </c>
      <c r="BE125" s="11">
        <f>IF(OR(City_Inputs!$AH125="",Norm_Stats!$F$25="",Norm_Stats!$G$25="",Norm_Stats!$G$25=Norm_Stats!$F$25),"",MAX(0,MIN(100,100*(Norm_Stats!$G$25-MIN(MAX(City_Inputs!$AH125,Norm_Stats!$F$25),Norm_Stats!$G$25))/(Norm_Stats!$G$25-Norm_Stats!$F$25))))</f>
        <v/>
      </c>
      <c r="BF125" s="14">
        <f>IF(BE125="","",1)</f>
        <v/>
      </c>
      <c r="BG125" s="15">
        <f>IF((IF(AY125="",0,6)+IF(BA125="",0,5)+IF(BC125="",0,5)+IF(BE125="",0,4))=0,"",(IF(AY125="",0,AY125*6)+IF(BA125="",0,BA125*5)+IF(BC125="",0,BC125*5)+IF(BE125="",0,BE125*4))/(IF(AY125="",0,6)+IF(BA125="",0,5)+IF(BC125="",0,5)+IF(BE125="",0,4)))</f>
        <v/>
      </c>
      <c r="BH125" s="14">
        <f>IF((IF(AZ125="",0,6)+IF(BB125="",0,5)+IF(BD125="",0,5)+IF(BF125="",0,4))=0,"",(IF(AZ125="",0,AZ125*6)+IF(BB125="",0,BB125*5)+IF(BD125="",0,BD125*5)+IF(BF125="",0,BF125*4))/20)</f>
        <v/>
      </c>
      <c r="BI125" s="14">
        <f>IF(AND(R125="",AF125="",AN125="",AX125="",BH125=""),"",((R125*25)+(AF125*22)+(AN125*18)+(AX125*15)+(BH125*20))/100)</f>
        <v/>
      </c>
      <c r="BJ125" s="11">
        <f>IF(BI125="","",IF(BI125&gt;=0.75,"A",IF(BI125&gt;=0.5,"B",IF(BI125&gt;=0.35,"C","Watchlist"))))</f>
        <v/>
      </c>
      <c r="BK125" s="11">
        <f>IF(OR(BI125="",BI125&lt;0.5,R125="",R125&lt;0.35,AF125="",AF125&lt;0.35,AN125="",AN125&lt;0.35,AX125="",AX125&lt;0.35,BH125="",BH125&lt;0.35),"Watchlist","Ranked")</f>
        <v/>
      </c>
      <c r="BL125" s="15">
        <f>IF(AND(Q125="",AE125="",AM125="",AW125="",BG125=""),"",(IF(Q125="",0,Q125*25)+IF(AE125="",0,AE125*22)+IF(AM125="",0,AM125*18)+IF(AW125="",0,AW125*15)+IF(BG125="",0,BG125*20))/(IF(Q125="",0,25)+IF(AE125="",0,22)+IF(AM125="",0,18)+IF(AW125="",0,15)+IF(BG125="",0,20)))</f>
        <v/>
      </c>
      <c r="BM125" s="11">
        <f>IF(BK125="Ranked",1+COUNTIFS($BK$2:$BK$158,"Ranked",$BL$2:$BL$158,"&gt;"&amp;BL125),"")</f>
        <v/>
      </c>
      <c r="BN125" s="11">
        <f>City_Inputs!$AI125</f>
        <v/>
      </c>
    </row>
    <row r="126">
      <c r="A126" t="inlineStr">
        <is>
          <t>lt-vilnius</t>
        </is>
      </c>
      <c r="B126" t="inlineStr">
        <is>
          <t>Vilnius</t>
        </is>
      </c>
      <c r="C126" t="inlineStr">
        <is>
          <t>Lithuania</t>
        </is>
      </c>
      <c r="D126" t="inlineStr">
        <is>
          <t>Southern/Eastern Europe and Eurasia</t>
        </is>
      </c>
      <c r="E126" t="inlineStr">
        <is>
          <t>provisional</t>
        </is>
      </c>
      <c r="F126" t="inlineStr">
        <is>
          <t>primary</t>
        </is>
      </c>
      <c r="G126" s="11">
        <f>IF(OR(City_Inputs!$M126="",Norm_Stats!$F$2="",Norm_Stats!$G$2="",Norm_Stats!$G$2=Norm_Stats!$F$2),"",MAX(0,MIN(100,100*(MIN(MAX(City_Inputs!$M126,Norm_Stats!$F$2),Norm_Stats!$G$2)-Norm_Stats!$F$2)/(Norm_Stats!$G$2-Norm_Stats!$F$2))))</f>
        <v/>
      </c>
      <c r="H126" s="14">
        <f>IF(G126="","",1)</f>
        <v/>
      </c>
      <c r="I126" s="11">
        <f>IF(OR(City_Inputs!$N126="",Norm_Stats!$F$3="",Norm_Stats!$G$3="",Norm_Stats!$G$3=Norm_Stats!$F$3),"",MAX(0,MIN(100,100*(Norm_Stats!$G$3-MIN(MAX(City_Inputs!$N126,Norm_Stats!$F$3),Norm_Stats!$G$3))/(Norm_Stats!$G$3-Norm_Stats!$F$3))))</f>
        <v/>
      </c>
      <c r="J126" s="14">
        <f>IF(I126="","",1)</f>
        <v/>
      </c>
      <c r="K126" s="11">
        <f>IF(OR(City_Inputs!$P126="",Norm_Stats!$F$4="",Norm_Stats!$G$4="",Norm_Stats!$G$4=Norm_Stats!$F$4),"",MAX(0,MIN(100,100*(Norm_Stats!$G$4-MIN(MAX(City_Inputs!$P126,Norm_Stats!$F$4),Norm_Stats!$G$4))/(Norm_Stats!$G$4-Norm_Stats!$F$4))))</f>
        <v/>
      </c>
      <c r="L126" s="14">
        <f>IF(K126="","",1)</f>
        <v/>
      </c>
      <c r="M126" s="11">
        <f>IF(OR(City_Inputs!$Q126="",Norm_Stats!$F$5="",Norm_Stats!$G$5="",Norm_Stats!$G$5=Norm_Stats!$F$5),"",MAX(0,MIN(100,100*(Norm_Stats!$G$5-MIN(MAX(City_Inputs!$Q126,Norm_Stats!$F$5),Norm_Stats!$G$5))/(Norm_Stats!$G$5-Norm_Stats!$F$5))))</f>
        <v/>
      </c>
      <c r="N126" s="14">
        <f>IF(M126="","",1)</f>
        <v/>
      </c>
      <c r="O126" s="11">
        <f>IF(OR(City_Inputs!$R126="",Norm_Stats!$F$6="",Norm_Stats!$G$6="",Norm_Stats!$G$6=Norm_Stats!$F$6),"",MAX(0,MIN(100,100*(Norm_Stats!$G$6-MIN(MAX(City_Inputs!$R126,Norm_Stats!$F$6),Norm_Stats!$G$6))/(Norm_Stats!$G$6-Norm_Stats!$F$6))))</f>
        <v/>
      </c>
      <c r="P126" s="14">
        <f>IF(O126="","",1)</f>
        <v/>
      </c>
      <c r="Q126" s="15">
        <f>IF((IF(G126="",0,9)+IF(I126="",0,5)+IF(K126="",0,4)+IF(M126="",0,4)+IF(O126="",0,5))=0,"",(IF(G126="",0,G126*9)+IF(I126="",0,I126*5)+IF(K126="",0,K126*4)+IF(M126="",0,M126*4)+IF(O126="",0,O126*5))/(IF(G126="",0,9)+IF(I126="",0,5)+IF(K126="",0,4)+IF(M126="",0,4)+IF(O126="",0,5)))</f>
        <v/>
      </c>
      <c r="R126" s="14">
        <f>IF((IF(H126="",0,9)+IF(J126="",0,5)+IF(L126="",0,4)+IF(N126="",0,4)+IF(P126="",0,5))=0,"",(IF(H126="",0,H126*9)+IF(J126="",0,J126*5)+IF(L126="",0,L126*4)+IF(N126="",0,N126*4)+IF(P126="",0,P126*5))/27)</f>
        <v/>
      </c>
      <c r="S126" s="11">
        <f>IF(OR(City_Inputs!$S126="",Norm_Stats!$F$7="",Norm_Stats!$G$7="",Norm_Stats!$G$7=Norm_Stats!$F$7),"",MAX(0,MIN(100,100*(Norm_Stats!$G$7-MIN(MAX(City_Inputs!$S126,Norm_Stats!$F$7),Norm_Stats!$G$7))/(Norm_Stats!$G$7-Norm_Stats!$F$7))))</f>
        <v/>
      </c>
      <c r="T126" s="14">
        <f>IF(S126="","",1)</f>
        <v/>
      </c>
      <c r="U126" s="11">
        <f>IF(OR(City_Inputs!$T126="",Norm_Stats!$F$8="",Norm_Stats!$G$8="",Norm_Stats!$G$8=Norm_Stats!$F$8),"",MAX(0,MIN(100,100*(MIN(MAX(City_Inputs!$T126,Norm_Stats!$F$8),Norm_Stats!$G$8)-Norm_Stats!$F$8)/(Norm_Stats!$G$8-Norm_Stats!$F$8))))</f>
        <v/>
      </c>
      <c r="V126" s="14">
        <f>IF(U126="","",1)</f>
        <v/>
      </c>
      <c r="W126" s="11">
        <f>IF(OR(City_Inputs!$U126="",Norm_Stats!$F$9="",Norm_Stats!$G$9="",Norm_Stats!$G$9=Norm_Stats!$F$9),"",MAX(0,MIN(100,100*(Norm_Stats!$G$9-MIN(MAX(City_Inputs!$U126,Norm_Stats!$F$9),Norm_Stats!$G$9))/(Norm_Stats!$G$9-Norm_Stats!$F$9))))</f>
        <v/>
      </c>
      <c r="X126" s="14">
        <f>IF(W126="","",1)</f>
        <v/>
      </c>
      <c r="Y126" s="11">
        <f>IF(OR(City_Inputs!$V126="",Norm_Stats!$F$10="",Norm_Stats!$G$10="",Norm_Stats!$G$10=Norm_Stats!$F$10),"",MAX(0,MIN(100,100*(MIN(MAX(City_Inputs!$V126,Norm_Stats!$F$10),Norm_Stats!$G$10)-Norm_Stats!$F$10)/(Norm_Stats!$G$10-Norm_Stats!$F$10))))</f>
        <v/>
      </c>
      <c r="Z126" s="14">
        <f>IF(Y126="","",1)</f>
        <v/>
      </c>
      <c r="AA126" s="11">
        <f>IF(OR(City_Inputs!$W126="",Norm_Stats!$F$11="",Norm_Stats!$G$11="",Norm_Stats!$G$11=Norm_Stats!$F$11),"",MAX(0,MIN(100,100*(MIN(MAX(City_Inputs!$W126,Norm_Stats!$F$11),Norm_Stats!$G$11)-Norm_Stats!$F$11)/(Norm_Stats!$G$11-Norm_Stats!$F$11))))</f>
        <v/>
      </c>
      <c r="AB126" s="14">
        <f>IF(AA126="","",1)</f>
        <v/>
      </c>
      <c r="AC126" s="11">
        <f>IF(OR(City_Inputs!$X126="",Norm_Stats!$F$12="",Norm_Stats!$G$12="",Norm_Stats!$G$12=Norm_Stats!$F$12),"",MAX(0,MIN(100,100*(MIN(MAX(City_Inputs!$X126,Norm_Stats!$F$12),Norm_Stats!$G$12)-Norm_Stats!$F$12)/(Norm_Stats!$G$12-Norm_Stats!$F$12))))</f>
        <v/>
      </c>
      <c r="AD126" s="11">
        <f>IF(AC126="","",1)</f>
        <v/>
      </c>
      <c r="AE126" s="15">
        <f>IF((IF(S126="",0,5)+IF(U126="",0,5)+IF(W126="",0,4)+IF(Y126="",0,4)+IF(AA126="",0,4)+IF(AC126="",0,5))=0,"",(IF(S126="",0,S126*5)+IF(U126="",0,U126*5)+IF(W126="",0,W126*4)+IF(Y126="",0,Y126*4)+IF(AA126="",0,AA126*4)+IF(AC126="",0,AC126*5))/(IF(S126="",0,5)+IF(U126="",0,5)+IF(W126="",0,4)+IF(Y126="",0,4)+IF(AA126="",0,4)+IF(AC126="",0,5)))</f>
        <v/>
      </c>
      <c r="AF126" s="14">
        <f>IF((IF(T126="",0,5)+IF(V126="",0,5)+IF(X126="",0,4)+IF(Z126="",0,4)+IF(AB126="",0,4)+IF(AD126="",0,5))=0,"",(IF(T126="",0,T126*5)+IF(V126="",0,V126*5)+IF(X126="",0,X126*4)+IF(Z126="",0,Z126*4)+IF(AB126="",0,AB126*4)+IF(AD126="",0,AD126*5))/27)</f>
        <v/>
      </c>
      <c r="AG126" s="11">
        <f>IF(OR(City_Inputs!$Y126="",Norm_Stats!$F$13="",Norm_Stats!$G$13="",Norm_Stats!$G$13=Norm_Stats!$F$13),"",MAX(0,MIN(100,100*(MIN(MAX(City_Inputs!$Y126,Norm_Stats!$F$13),Norm_Stats!$G$13)-Norm_Stats!$F$13)/(Norm_Stats!$G$13-Norm_Stats!$F$13))))</f>
        <v/>
      </c>
      <c r="AH126" s="14">
        <f>IF(AG126="","",1)</f>
        <v/>
      </c>
      <c r="AI126" s="11">
        <f>IF(OR(City_Inputs!$Z126="",Norm_Stats!$F$14="",Norm_Stats!$G$14="",Norm_Stats!$G$14=Norm_Stats!$F$14),"",MAX(0,MIN(100,100*(MIN(MAX(City_Inputs!$Z126,Norm_Stats!$F$14),Norm_Stats!$G$14)-Norm_Stats!$F$14)/(Norm_Stats!$G$14-Norm_Stats!$F$14))))</f>
        <v/>
      </c>
      <c r="AJ126" s="14">
        <f>IF(AI126="","",1)</f>
        <v/>
      </c>
      <c r="AK126" s="11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(IF(OR(City_Inputs!$AA126="",Norm_Stats!$F$15="",Norm_Stats!$G$15="",Norm_Stats!$G$15=Norm_Stats!$F$15),"",MAX(0,MIN(100,100*(MIN(MAX(City_Inputs!$AA126,Norm_Stats!$F$15),Norm_Stats!$G$15)-Norm_Stats!$F$15)/(Norm_Stats!$G$15-Norm_Stats!$F$15)))))*0.7)+IF((IF(OR(City_Inputs!$AL126="",Norm_Stats!$F$16="",Norm_Stats!$G$16="",Norm_Stats!$G$16=Norm_Stats!$F$16),"",MAX(0,MIN(100,100*(Norm_Stats!$G$16-MIN(MAX(City_Inputs!$AL126,Norm_Stats!$F$16),Norm_Stats!$G$16))/(Norm_Stats!$G$16-Norm_Stats!$F$16)))))="",0,(IF(OR(City_Inputs!$AL126="",Norm_Stats!$F$16="",Norm_Stats!$G$16="",Norm_Stats!$G$16=Norm_Stats!$F$16),"",MAX(0,MIN(100,100*(Norm_Stats!$G$16-MIN(MAX(City_Inputs!$AL126,Norm_Stats!$F$16),Norm_Stats!$G$16))/(Norm_Stats!$G$16-Norm_Stats!$F$16)))))*0.3))/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L126" s="14">
        <f>IF(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=0,"",(IF((IF(OR(City_Inputs!$AA126="",Norm_Stats!$F$15="",Norm_Stats!$G$15="",Norm_Stats!$G$15=Norm_Stats!$F$15),"",MAX(0,MIN(100,100*(MIN(MAX(City_Inputs!$AA126,Norm_Stats!$F$15),Norm_Stats!$G$15)-Norm_Stats!$F$15)/(Norm_Stats!$G$15-Norm_Stats!$F$15)))))="",0,0.7)+IF((IF(OR(City_Inputs!$AL126="",Norm_Stats!$F$16="",Norm_Stats!$G$16="",Norm_Stats!$G$16=Norm_Stats!$F$16),"",MAX(0,MIN(100,100*(Norm_Stats!$G$16-MIN(MAX(City_Inputs!$AL126,Norm_Stats!$F$16),Norm_Stats!$G$16))/(Norm_Stats!$G$16-Norm_Stats!$F$16)))))="",0,0.3)))</f>
        <v/>
      </c>
      <c r="AM126" s="15">
        <f>IF((IF(AG126="",0,8)+IF(AI126="",0,6)+IF(AK126="",0,4))=0,"",(IF(AG126="",0,AG126*8)+IF(AI126="",0,AI126*6)+IF(AK126="",0,AK126*4))/(IF(AG126="",0,8)+IF(AI126="",0,6)+IF(AK126="",0,4)))</f>
        <v/>
      </c>
      <c r="AN126" s="14">
        <f>IF((IF(AH126="",0,8)+IF(AJ126="",0,6)+IF(AL126="",0,4))=0,"",(IF(AH126="",0,AH126*8)+IF(AJ126="",0,AJ126*6)+IF(AL126="",0,AL126*4))/18)</f>
        <v/>
      </c>
      <c r="AO126" s="11">
        <f>IF(OR(City_Inputs!$AB126="",Norm_Stats!$F$17="",Norm_Stats!$G$17="",Norm_Stats!$G$17=Norm_Stats!$F$17),"",MAX(0,MIN(100,100*(MIN(MAX(City_Inputs!$AB126,Norm_Stats!$F$17),Norm_Stats!$G$17)-Norm_Stats!$F$17)/(Norm_Stats!$G$17-Norm_Stats!$F$17))))</f>
        <v/>
      </c>
      <c r="AP126" s="14">
        <f>IF(AO126="","",1)</f>
        <v/>
      </c>
      <c r="AQ126" s="11">
        <f>IF(OR(City_Inputs!$AC126="",Norm_Stats!$F$18="",Norm_Stats!$G$18="",Norm_Stats!$G$18=Norm_Stats!$F$18),"",MAX(0,MIN(100,100*(MIN(MAX(City_Inputs!$AC126,Norm_Stats!$F$18),Norm_Stats!$G$18)-Norm_Stats!$F$18)/(Norm_Stats!$G$18-Norm_Stats!$F$18))))</f>
        <v/>
      </c>
      <c r="AR126" s="14">
        <f>IF(AQ126="","",1)</f>
        <v/>
      </c>
      <c r="AS126" s="11">
        <f>IF(OR(City_Inputs!$AD126="",Norm_Stats!$F$19="",Norm_Stats!$G$19="",Norm_Stats!$G$19=Norm_Stats!$F$19),"",MAX(0,MIN(100,100*(MIN(MAX(City_Inputs!$AD126,Norm_Stats!$F$19),Norm_Stats!$G$19)-Norm_Stats!$F$19)/(Norm_Stats!$G$19-Norm_Stats!$F$19))))</f>
        <v/>
      </c>
      <c r="AT126" s="14">
        <f>IF(AS126="","",1)</f>
        <v/>
      </c>
      <c r="AU126" s="11">
        <f>IF(OR(City_Inputs!$BJ126="",Norm_Stats!$F$26="",Norm_Stats!$G$26="",Norm_Stats!$G$26=Norm_Stats!$F$26),"",MAX(0,MIN(100,100*(MIN(MAX(City_Inputs!$BJ126,Norm_Stats!$F$26),Norm_Stats!$G$26)-Norm_Stats!$F$26)/(Norm_Stats!$G$26-Norm_Stats!$F$26))))</f>
        <v/>
      </c>
      <c r="AV126" s="11">
        <f>IF(AU126="","",1)</f>
        <v/>
      </c>
      <c r="AW126" s="15">
        <f>IF((IF(AO126="",0,5)+IF(AQ126="",0,5)+IF(AS126="",0,5)+IF(AU126="",0,4))=0,"",(IF(AO126="",0,AO126*5)+IF(AQ126="",0,AQ126*5)+IF(AS126="",0,AS126*5)+IF(AU126="",0,AU126*4))/(IF(AO126="",0,5)+IF(AQ126="",0,5)+IF(AS126="",0,5)+IF(AU126="",0,4)))</f>
        <v/>
      </c>
      <c r="AX126" s="14">
        <f>IF((IF(AP126="",0,5)+IF(AR126="",0,5)+IF(AT126="",0,5)+IF(AV126="",0,4))=0,"",(IF(AP126="",0,AP126*5)+IF(AR126="",0,AR126*5)+IF(AT126="",0,AT126*5)+IF(AV126="",0,AV126*4))/19)</f>
        <v/>
      </c>
      <c r="AY126" s="11">
        <f>IF(OR(City_Inputs!$AE126="",Norm_Stats!$F$20="",Norm_Stats!$G$20="",Norm_Stats!$G$20=Norm_Stats!$F$20),"",MAX(0,MIN(100,100*(MIN(MAX(City_Inputs!$AE126,Norm_Stats!$F$20),Norm_Stats!$G$20)-Norm_Stats!$F$20)/(Norm_Stats!$G$20-Norm_Stats!$F$20))))</f>
        <v/>
      </c>
      <c r="AZ126" s="14">
        <f>IF(AY126="","",1)</f>
        <v/>
      </c>
      <c r="BA126" s="11">
        <f>IF(OR(City_Inputs!$AF126="",Norm_Stats!$F$21="",Norm_Stats!$G$21="",Norm_Stats!$G$21=Norm_Stats!$F$21),"",MAX(0,MIN(100,100*(MIN(MAX(City_Inputs!$AF126,Norm_Stats!$F$21),Norm_Stats!$G$21)-Norm_Stats!$F$21)/(Norm_Stats!$G$21-Norm_Stats!$F$21))))</f>
        <v/>
      </c>
      <c r="BB126" s="14">
        <f>IF(BA126="","",1)</f>
        <v/>
      </c>
      <c r="BC126" s="11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(IF(OR(City_Inputs!$AG126="",Norm_Stats!$F$22="",Norm_Stats!$G$22="",Norm_Stats!$G$22=Norm_Stats!$F$22),"",MAX(0,MIN(100,100*(MIN(MAX(City_Inputs!$AG126,Norm_Stats!$F$22),Norm_Stats!$G$22)-Norm_Stats!$F$22)/(Norm_Stats!$G$22-Norm_Stats!$F$22)))))*0.5)+IF((IF(OR(City_Inputs!$AJ126="",Norm_Stats!$F$23="",Norm_Stats!$G$23="",Norm_Stats!$G$23=Norm_Stats!$F$23),"",MAX(0,MIN(100,100*(MIN(MAX(City_Inputs!$AJ126,Norm_Stats!$F$23),Norm_Stats!$G$23)-Norm_Stats!$F$23)/(Norm_Stats!$G$23-Norm_Stats!$F$23)))))="",0,(IF(OR(City_Inputs!$AJ126="",Norm_Stats!$F$23="",Norm_Stats!$G$23="",Norm_Stats!$G$23=Norm_Stats!$F$23),"",MAX(0,MIN(100,100*(MIN(MAX(City_Inputs!$AJ126,Norm_Stats!$F$23),Norm_Stats!$G$23)-Norm_Stats!$F$23)/(Norm_Stats!$G$23-Norm_Stats!$F$23)))))*0.3)+IF((IF(OR(City_Inputs!$AK126="",Norm_Stats!$F$24="",Norm_Stats!$G$24="",Norm_Stats!$G$24=Norm_Stats!$F$24),"",MAX(0,MIN(100,100*(MIN(MAX(City_Inputs!$AK126,Norm_Stats!$F$24),Norm_Stats!$G$24)-Norm_Stats!$F$24)/(Norm_Stats!$G$24-Norm_Stats!$F$24)))))="",0,(IF(OR(City_Inputs!$AK126="",Norm_Stats!$F$24="",Norm_Stats!$G$24="",Norm_Stats!$G$24=Norm_Stats!$F$24),"",MAX(0,MIN(100,100*(MIN(MAX(City_Inputs!$AK126,Norm_Stats!$F$24),Norm_Stats!$G$24)-Norm_Stats!$F$24)/(Norm_Stats!$G$24-Norm_Stats!$F$24)))))*0.2))/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D126" s="14">
        <f>IF(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=0,"",(IF((IF(OR(City_Inputs!$AG126="",Norm_Stats!$F$22="",Norm_Stats!$G$22="",Norm_Stats!$G$22=Norm_Stats!$F$22),"",MAX(0,MIN(100,100*(MIN(MAX(City_Inputs!$AG126,Norm_Stats!$F$22),Norm_Stats!$G$22)-Norm_Stats!$F$22)/(Norm_Stats!$G$22-Norm_Stats!$F$22)))))="",0,0.5)+IF((IF(OR(City_Inputs!$AJ126="",Norm_Stats!$F$23="",Norm_Stats!$G$23="",Norm_Stats!$G$23=Norm_Stats!$F$23),"",MAX(0,MIN(100,100*(MIN(MAX(City_Inputs!$AJ126,Norm_Stats!$F$23),Norm_Stats!$G$23)-Norm_Stats!$F$23)/(Norm_Stats!$G$23-Norm_Stats!$F$23)))))="",0,0.3)+IF((IF(OR(City_Inputs!$AK126="",Norm_Stats!$F$24="",Norm_Stats!$G$24="",Norm_Stats!$G$24=Norm_Stats!$F$24),"",MAX(0,MIN(100,100*(MIN(MAX(City_Inputs!$AK126,Norm_Stats!$F$24),Norm_Stats!$G$24)-Norm_Stats!$F$24)/(Norm_Stats!$G$24-Norm_Stats!$F$24)))))="",0,0.2)))</f>
        <v/>
      </c>
      <c r="BE126" s="11">
        <f>IF(OR(City_Inputs!$AH126="",Norm_Stats!$F$25="",Norm_Stats!$G$25="",Norm_Stats!$G$25=Norm_Stats!$F$25),"",MAX(0,MIN(100,100*(Norm_Stats!$G$25-MIN(MAX(City_Inputs!$AH126,Norm_Stats!$F$25),Norm_Stats!$G$25))/(Norm_Stats!$G$25-Norm_Stats!$F$25))))</f>
        <v/>
      </c>
      <c r="BF126" s="14">
        <f>IF(BE126="","",1)</f>
        <v/>
      </c>
      <c r="BG126" s="15">
        <f>IF((IF(AY126="",0,6)+IF(BA126="",0,5)+IF(BC126="",0,5)+IF(BE126="",0,4))=0,"",(IF(AY126="",0,AY126*6)+IF(BA126="",0,BA126*5)+IF(BC126="",0,BC126*5)+IF(BE126="",0,BE126*4))/(IF(AY126="",0,6)+IF(BA126="",0,5)+IF(BC126="",0,5)+IF(BE126="",0,4)))</f>
        <v/>
      </c>
      <c r="BH126" s="14">
        <f>IF((IF(AZ126="",0,6)+IF(BB126="",0,5)+IF(BD126="",0,5)+IF(BF126="",0,4))=0,"",(IF(AZ126="",0,AZ126*6)+IF(BB126="",0,BB126*5)+IF(BD126="",0,BD126*5)+IF(BF126="",0,BF126*4))/20)</f>
        <v/>
      </c>
      <c r="BI126" s="14">
        <f>IF(AND(R126="",AF126="",AN126="",AX126="",BH126=""),"",((R126*25)+(AF126*22)+(AN126*18)+(AX126*15)+(BH126*20))/100)</f>
        <v/>
      </c>
      <c r="BJ126" s="11">
        <f>IF(BI126="","",IF(BI126&gt;=0.75,"A",IF(BI126&gt;=0.5,"B",IF(BI126&gt;=0.35,"C","Watchlist"))))</f>
        <v/>
      </c>
      <c r="BK126" s="11">
        <f>IF(OR(BI126="",BI126&lt;0.5,R126="",R126&lt;0.35,AF126="",AF126&lt;0.35,AN126="",AN126&lt;0.35,AX126="",AX126&lt;0.35,BH126="",BH126&lt;0.35),"Watchlist","Ranked")</f>
        <v/>
      </c>
      <c r="BL126" s="15">
        <f>IF(AND(Q126="",AE126="",AM126="",AW126="",BG126=""),"",(IF(Q126="",0,Q126*25)+IF(AE126="",0,AE126*22)+IF(AM126="",0,AM126*18)+IF(AW126="",0,AW126*15)+IF(BG126="",0,BG126*20))/(IF(Q126="",0,25)+IF(AE126="",0,22)+IF(AM126="",0,18)+IF(AW126="",0,15)+IF(BG126="",0,20)))</f>
        <v/>
      </c>
      <c r="BM126" s="11">
        <f>IF(BK126="Ranked",1+COUNTIFS($BK$2:$BK$158,"Ranked",$BL$2:$BL$158,"&gt;"&amp;BL126),"")</f>
        <v/>
      </c>
      <c r="BN126" s="11">
        <f>City_Inputs!$AI126</f>
        <v/>
      </c>
    </row>
    <row r="127">
      <c r="A127" t="inlineStr">
        <is>
          <t>lv-riga</t>
        </is>
      </c>
      <c r="B127" t="inlineStr">
        <is>
          <t>Riga</t>
        </is>
      </c>
      <c r="C127" t="inlineStr">
        <is>
          <t>Latvia</t>
        </is>
      </c>
      <c r="D127" t="inlineStr">
        <is>
          <t>Southern/Eastern Europe and Eurasia</t>
        </is>
      </c>
      <c r="E127" t="inlineStr">
        <is>
          <t>provisional</t>
        </is>
      </c>
      <c r="F127" t="inlineStr">
        <is>
          <t>primary</t>
        </is>
      </c>
      <c r="G127" s="11">
        <f>IF(OR(City_Inputs!$M127="",Norm_Stats!$F$2="",Norm_Stats!$G$2="",Norm_Stats!$G$2=Norm_Stats!$F$2),"",MAX(0,MIN(100,100*(MIN(MAX(City_Inputs!$M127,Norm_Stats!$F$2),Norm_Stats!$G$2)-Norm_Stats!$F$2)/(Norm_Stats!$G$2-Norm_Stats!$F$2))))</f>
        <v/>
      </c>
      <c r="H127" s="14">
        <f>IF(G127="","",1)</f>
        <v/>
      </c>
      <c r="I127" s="11">
        <f>IF(OR(City_Inputs!$N127="",Norm_Stats!$F$3="",Norm_Stats!$G$3="",Norm_Stats!$G$3=Norm_Stats!$F$3),"",MAX(0,MIN(100,100*(Norm_Stats!$G$3-MIN(MAX(City_Inputs!$N127,Norm_Stats!$F$3),Norm_Stats!$G$3))/(Norm_Stats!$G$3-Norm_Stats!$F$3))))</f>
        <v/>
      </c>
      <c r="J127" s="14">
        <f>IF(I127="","",1)</f>
        <v/>
      </c>
      <c r="K127" s="11">
        <f>IF(OR(City_Inputs!$P127="",Norm_Stats!$F$4="",Norm_Stats!$G$4="",Norm_Stats!$G$4=Norm_Stats!$F$4),"",MAX(0,MIN(100,100*(Norm_Stats!$G$4-MIN(MAX(City_Inputs!$P127,Norm_Stats!$F$4),Norm_Stats!$G$4))/(Norm_Stats!$G$4-Norm_Stats!$F$4))))</f>
        <v/>
      </c>
      <c r="L127" s="14">
        <f>IF(K127="","",1)</f>
        <v/>
      </c>
      <c r="M127" s="11">
        <f>IF(OR(City_Inputs!$Q127="",Norm_Stats!$F$5="",Norm_Stats!$G$5="",Norm_Stats!$G$5=Norm_Stats!$F$5),"",MAX(0,MIN(100,100*(Norm_Stats!$G$5-MIN(MAX(City_Inputs!$Q127,Norm_Stats!$F$5),Norm_Stats!$G$5))/(Norm_Stats!$G$5-Norm_Stats!$F$5))))</f>
        <v/>
      </c>
      <c r="N127" s="14">
        <f>IF(M127="","",1)</f>
        <v/>
      </c>
      <c r="O127" s="11">
        <f>IF(OR(City_Inputs!$R127="",Norm_Stats!$F$6="",Norm_Stats!$G$6="",Norm_Stats!$G$6=Norm_Stats!$F$6),"",MAX(0,MIN(100,100*(Norm_Stats!$G$6-MIN(MAX(City_Inputs!$R127,Norm_Stats!$F$6),Norm_Stats!$G$6))/(Norm_Stats!$G$6-Norm_Stats!$F$6))))</f>
        <v/>
      </c>
      <c r="P127" s="14">
        <f>IF(O127="","",1)</f>
        <v/>
      </c>
      <c r="Q127" s="15">
        <f>IF((IF(G127="",0,9)+IF(I127="",0,5)+IF(K127="",0,4)+IF(M127="",0,4)+IF(O127="",0,5))=0,"",(IF(G127="",0,G127*9)+IF(I127="",0,I127*5)+IF(K127="",0,K127*4)+IF(M127="",0,M127*4)+IF(O127="",0,O127*5))/(IF(G127="",0,9)+IF(I127="",0,5)+IF(K127="",0,4)+IF(M127="",0,4)+IF(O127="",0,5)))</f>
        <v/>
      </c>
      <c r="R127" s="14">
        <f>IF((IF(H127="",0,9)+IF(J127="",0,5)+IF(L127="",0,4)+IF(N127="",0,4)+IF(P127="",0,5))=0,"",(IF(H127="",0,H127*9)+IF(J127="",0,J127*5)+IF(L127="",0,L127*4)+IF(N127="",0,N127*4)+IF(P127="",0,P127*5))/27)</f>
        <v/>
      </c>
      <c r="S127" s="11">
        <f>IF(OR(City_Inputs!$S127="",Norm_Stats!$F$7="",Norm_Stats!$G$7="",Norm_Stats!$G$7=Norm_Stats!$F$7),"",MAX(0,MIN(100,100*(Norm_Stats!$G$7-MIN(MAX(City_Inputs!$S127,Norm_Stats!$F$7),Norm_Stats!$G$7))/(Norm_Stats!$G$7-Norm_Stats!$F$7))))</f>
        <v/>
      </c>
      <c r="T127" s="14">
        <f>IF(S127="","",1)</f>
        <v/>
      </c>
      <c r="U127" s="11">
        <f>IF(OR(City_Inputs!$T127="",Norm_Stats!$F$8="",Norm_Stats!$G$8="",Norm_Stats!$G$8=Norm_Stats!$F$8),"",MAX(0,MIN(100,100*(MIN(MAX(City_Inputs!$T127,Norm_Stats!$F$8),Norm_Stats!$G$8)-Norm_Stats!$F$8)/(Norm_Stats!$G$8-Norm_Stats!$F$8))))</f>
        <v/>
      </c>
      <c r="V127" s="14">
        <f>IF(U127="","",1)</f>
        <v/>
      </c>
      <c r="W127" s="11">
        <f>IF(OR(City_Inputs!$U127="",Norm_Stats!$F$9="",Norm_Stats!$G$9="",Norm_Stats!$G$9=Norm_Stats!$F$9),"",MAX(0,MIN(100,100*(Norm_Stats!$G$9-MIN(MAX(City_Inputs!$U127,Norm_Stats!$F$9),Norm_Stats!$G$9))/(Norm_Stats!$G$9-Norm_Stats!$F$9))))</f>
        <v/>
      </c>
      <c r="X127" s="14">
        <f>IF(W127="","",1)</f>
        <v/>
      </c>
      <c r="Y127" s="11">
        <f>IF(OR(City_Inputs!$V127="",Norm_Stats!$F$10="",Norm_Stats!$G$10="",Norm_Stats!$G$10=Norm_Stats!$F$10),"",MAX(0,MIN(100,100*(MIN(MAX(City_Inputs!$V127,Norm_Stats!$F$10),Norm_Stats!$G$10)-Norm_Stats!$F$10)/(Norm_Stats!$G$10-Norm_Stats!$F$10))))</f>
        <v/>
      </c>
      <c r="Z127" s="14">
        <f>IF(Y127="","",1)</f>
        <v/>
      </c>
      <c r="AA127" s="11">
        <f>IF(OR(City_Inputs!$W127="",Norm_Stats!$F$11="",Norm_Stats!$G$11="",Norm_Stats!$G$11=Norm_Stats!$F$11),"",MAX(0,MIN(100,100*(MIN(MAX(City_Inputs!$W127,Norm_Stats!$F$11),Norm_Stats!$G$11)-Norm_Stats!$F$11)/(Norm_Stats!$G$11-Norm_Stats!$F$11))))</f>
        <v/>
      </c>
      <c r="AB127" s="14">
        <f>IF(AA127="","",1)</f>
        <v/>
      </c>
      <c r="AC127" s="11">
        <f>IF(OR(City_Inputs!$X127="",Norm_Stats!$F$12="",Norm_Stats!$G$12="",Norm_Stats!$G$12=Norm_Stats!$F$12),"",MAX(0,MIN(100,100*(MIN(MAX(City_Inputs!$X127,Norm_Stats!$F$12),Norm_Stats!$G$12)-Norm_Stats!$F$12)/(Norm_Stats!$G$12-Norm_Stats!$F$12))))</f>
        <v/>
      </c>
      <c r="AD127" s="11">
        <f>IF(AC127="","",1)</f>
        <v/>
      </c>
      <c r="AE127" s="15">
        <f>IF((IF(S127="",0,5)+IF(U127="",0,5)+IF(W127="",0,4)+IF(Y127="",0,4)+IF(AA127="",0,4)+IF(AC127="",0,5))=0,"",(IF(S127="",0,S127*5)+IF(U127="",0,U127*5)+IF(W127="",0,W127*4)+IF(Y127="",0,Y127*4)+IF(AA127="",0,AA127*4)+IF(AC127="",0,AC127*5))/(IF(S127="",0,5)+IF(U127="",0,5)+IF(W127="",0,4)+IF(Y127="",0,4)+IF(AA127="",0,4)+IF(AC127="",0,5)))</f>
        <v/>
      </c>
      <c r="AF127" s="14">
        <f>IF((IF(T127="",0,5)+IF(V127="",0,5)+IF(X127="",0,4)+IF(Z127="",0,4)+IF(AB127="",0,4)+IF(AD127="",0,5))=0,"",(IF(T127="",0,T127*5)+IF(V127="",0,V127*5)+IF(X127="",0,X127*4)+IF(Z127="",0,Z127*4)+IF(AB127="",0,AB127*4)+IF(AD127="",0,AD127*5))/27)</f>
        <v/>
      </c>
      <c r="AG127" s="11">
        <f>IF(OR(City_Inputs!$Y127="",Norm_Stats!$F$13="",Norm_Stats!$G$13="",Norm_Stats!$G$13=Norm_Stats!$F$13),"",MAX(0,MIN(100,100*(MIN(MAX(City_Inputs!$Y127,Norm_Stats!$F$13),Norm_Stats!$G$13)-Norm_Stats!$F$13)/(Norm_Stats!$G$13-Norm_Stats!$F$13))))</f>
        <v/>
      </c>
      <c r="AH127" s="14">
        <f>IF(AG127="","",1)</f>
        <v/>
      </c>
      <c r="AI127" s="11">
        <f>IF(OR(City_Inputs!$Z127="",Norm_Stats!$F$14="",Norm_Stats!$G$14="",Norm_Stats!$G$14=Norm_Stats!$F$14),"",MAX(0,MIN(100,100*(MIN(MAX(City_Inputs!$Z127,Norm_Stats!$F$14),Norm_Stats!$G$14)-Norm_Stats!$F$14)/(Norm_Stats!$G$14-Norm_Stats!$F$14))))</f>
        <v/>
      </c>
      <c r="AJ127" s="14">
        <f>IF(AI127="","",1)</f>
        <v/>
      </c>
      <c r="AK127" s="11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(IF(OR(City_Inputs!$AA127="",Norm_Stats!$F$15="",Norm_Stats!$G$15="",Norm_Stats!$G$15=Norm_Stats!$F$15),"",MAX(0,MIN(100,100*(MIN(MAX(City_Inputs!$AA127,Norm_Stats!$F$15),Norm_Stats!$G$15)-Norm_Stats!$F$15)/(Norm_Stats!$G$15-Norm_Stats!$F$15)))))*0.7)+IF((IF(OR(City_Inputs!$AL127="",Norm_Stats!$F$16="",Norm_Stats!$G$16="",Norm_Stats!$G$16=Norm_Stats!$F$16),"",MAX(0,MIN(100,100*(Norm_Stats!$G$16-MIN(MAX(City_Inputs!$AL127,Norm_Stats!$F$16),Norm_Stats!$G$16))/(Norm_Stats!$G$16-Norm_Stats!$F$16)))))="",0,(IF(OR(City_Inputs!$AL127="",Norm_Stats!$F$16="",Norm_Stats!$G$16="",Norm_Stats!$G$16=Norm_Stats!$F$16),"",MAX(0,MIN(100,100*(Norm_Stats!$G$16-MIN(MAX(City_Inputs!$AL127,Norm_Stats!$F$16),Norm_Stats!$G$16))/(Norm_Stats!$G$16-Norm_Stats!$F$16)))))*0.3))/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L127" s="14">
        <f>IF(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=0,"",(IF((IF(OR(City_Inputs!$AA127="",Norm_Stats!$F$15="",Norm_Stats!$G$15="",Norm_Stats!$G$15=Norm_Stats!$F$15),"",MAX(0,MIN(100,100*(MIN(MAX(City_Inputs!$AA127,Norm_Stats!$F$15),Norm_Stats!$G$15)-Norm_Stats!$F$15)/(Norm_Stats!$G$15-Norm_Stats!$F$15)))))="",0,0.7)+IF((IF(OR(City_Inputs!$AL127="",Norm_Stats!$F$16="",Norm_Stats!$G$16="",Norm_Stats!$G$16=Norm_Stats!$F$16),"",MAX(0,MIN(100,100*(Norm_Stats!$G$16-MIN(MAX(City_Inputs!$AL127,Norm_Stats!$F$16),Norm_Stats!$G$16))/(Norm_Stats!$G$16-Norm_Stats!$F$16)))))="",0,0.3)))</f>
        <v/>
      </c>
      <c r="AM127" s="15">
        <f>IF((IF(AG127="",0,8)+IF(AI127="",0,6)+IF(AK127="",0,4))=0,"",(IF(AG127="",0,AG127*8)+IF(AI127="",0,AI127*6)+IF(AK127="",0,AK127*4))/(IF(AG127="",0,8)+IF(AI127="",0,6)+IF(AK127="",0,4)))</f>
        <v/>
      </c>
      <c r="AN127" s="14">
        <f>IF((IF(AH127="",0,8)+IF(AJ127="",0,6)+IF(AL127="",0,4))=0,"",(IF(AH127="",0,AH127*8)+IF(AJ127="",0,AJ127*6)+IF(AL127="",0,AL127*4))/18)</f>
        <v/>
      </c>
      <c r="AO127" s="11">
        <f>IF(OR(City_Inputs!$AB127="",Norm_Stats!$F$17="",Norm_Stats!$G$17="",Norm_Stats!$G$17=Norm_Stats!$F$17),"",MAX(0,MIN(100,100*(MIN(MAX(City_Inputs!$AB127,Norm_Stats!$F$17),Norm_Stats!$G$17)-Norm_Stats!$F$17)/(Norm_Stats!$G$17-Norm_Stats!$F$17))))</f>
        <v/>
      </c>
      <c r="AP127" s="14">
        <f>IF(AO127="","",1)</f>
        <v/>
      </c>
      <c r="AQ127" s="11">
        <f>IF(OR(City_Inputs!$AC127="",Norm_Stats!$F$18="",Norm_Stats!$G$18="",Norm_Stats!$G$18=Norm_Stats!$F$18),"",MAX(0,MIN(100,100*(MIN(MAX(City_Inputs!$AC127,Norm_Stats!$F$18),Norm_Stats!$G$18)-Norm_Stats!$F$18)/(Norm_Stats!$G$18-Norm_Stats!$F$18))))</f>
        <v/>
      </c>
      <c r="AR127" s="14">
        <f>IF(AQ127="","",1)</f>
        <v/>
      </c>
      <c r="AS127" s="11">
        <f>IF(OR(City_Inputs!$AD127="",Norm_Stats!$F$19="",Norm_Stats!$G$19="",Norm_Stats!$G$19=Norm_Stats!$F$19),"",MAX(0,MIN(100,100*(MIN(MAX(City_Inputs!$AD127,Norm_Stats!$F$19),Norm_Stats!$G$19)-Norm_Stats!$F$19)/(Norm_Stats!$G$19-Norm_Stats!$F$19))))</f>
        <v/>
      </c>
      <c r="AT127" s="14">
        <f>IF(AS127="","",1)</f>
        <v/>
      </c>
      <c r="AU127" s="11">
        <f>IF(OR(City_Inputs!$BJ127="",Norm_Stats!$F$26="",Norm_Stats!$G$26="",Norm_Stats!$G$26=Norm_Stats!$F$26),"",MAX(0,MIN(100,100*(MIN(MAX(City_Inputs!$BJ127,Norm_Stats!$F$26),Norm_Stats!$G$26)-Norm_Stats!$F$26)/(Norm_Stats!$G$26-Norm_Stats!$F$26))))</f>
        <v/>
      </c>
      <c r="AV127" s="11">
        <f>IF(AU127="","",1)</f>
        <v/>
      </c>
      <c r="AW127" s="15">
        <f>IF((IF(AO127="",0,5)+IF(AQ127="",0,5)+IF(AS127="",0,5)+IF(AU127="",0,4))=0,"",(IF(AO127="",0,AO127*5)+IF(AQ127="",0,AQ127*5)+IF(AS127="",0,AS127*5)+IF(AU127="",0,AU127*4))/(IF(AO127="",0,5)+IF(AQ127="",0,5)+IF(AS127="",0,5)+IF(AU127="",0,4)))</f>
        <v/>
      </c>
      <c r="AX127" s="14">
        <f>IF((IF(AP127="",0,5)+IF(AR127="",0,5)+IF(AT127="",0,5)+IF(AV127="",0,4))=0,"",(IF(AP127="",0,AP127*5)+IF(AR127="",0,AR127*5)+IF(AT127="",0,AT127*5)+IF(AV127="",0,AV127*4))/19)</f>
        <v/>
      </c>
      <c r="AY127" s="11">
        <f>IF(OR(City_Inputs!$AE127="",Norm_Stats!$F$20="",Norm_Stats!$G$20="",Norm_Stats!$G$20=Norm_Stats!$F$20),"",MAX(0,MIN(100,100*(MIN(MAX(City_Inputs!$AE127,Norm_Stats!$F$20),Norm_Stats!$G$20)-Norm_Stats!$F$20)/(Norm_Stats!$G$20-Norm_Stats!$F$20))))</f>
        <v/>
      </c>
      <c r="AZ127" s="14">
        <f>IF(AY127="","",1)</f>
        <v/>
      </c>
      <c r="BA127" s="11">
        <f>IF(OR(City_Inputs!$AF127="",Norm_Stats!$F$21="",Norm_Stats!$G$21="",Norm_Stats!$G$21=Norm_Stats!$F$21),"",MAX(0,MIN(100,100*(MIN(MAX(City_Inputs!$AF127,Norm_Stats!$F$21),Norm_Stats!$G$21)-Norm_Stats!$F$21)/(Norm_Stats!$G$21-Norm_Stats!$F$21))))</f>
        <v/>
      </c>
      <c r="BB127" s="14">
        <f>IF(BA127="","",1)</f>
        <v/>
      </c>
      <c r="BC127" s="11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(IF(OR(City_Inputs!$AG127="",Norm_Stats!$F$22="",Norm_Stats!$G$22="",Norm_Stats!$G$22=Norm_Stats!$F$22),"",MAX(0,MIN(100,100*(MIN(MAX(City_Inputs!$AG127,Norm_Stats!$F$22),Norm_Stats!$G$22)-Norm_Stats!$F$22)/(Norm_Stats!$G$22-Norm_Stats!$F$22)))))*0.5)+IF((IF(OR(City_Inputs!$AJ127="",Norm_Stats!$F$23="",Norm_Stats!$G$23="",Norm_Stats!$G$23=Norm_Stats!$F$23),"",MAX(0,MIN(100,100*(MIN(MAX(City_Inputs!$AJ127,Norm_Stats!$F$23),Norm_Stats!$G$23)-Norm_Stats!$F$23)/(Norm_Stats!$G$23-Norm_Stats!$F$23)))))="",0,(IF(OR(City_Inputs!$AJ127="",Norm_Stats!$F$23="",Norm_Stats!$G$23="",Norm_Stats!$G$23=Norm_Stats!$F$23),"",MAX(0,MIN(100,100*(MIN(MAX(City_Inputs!$AJ127,Norm_Stats!$F$23),Norm_Stats!$G$23)-Norm_Stats!$F$23)/(Norm_Stats!$G$23-Norm_Stats!$F$23)))))*0.3)+IF((IF(OR(City_Inputs!$AK127="",Norm_Stats!$F$24="",Norm_Stats!$G$24="",Norm_Stats!$G$24=Norm_Stats!$F$24),"",MAX(0,MIN(100,100*(MIN(MAX(City_Inputs!$AK127,Norm_Stats!$F$24),Norm_Stats!$G$24)-Norm_Stats!$F$24)/(Norm_Stats!$G$24-Norm_Stats!$F$24)))))="",0,(IF(OR(City_Inputs!$AK127="",Norm_Stats!$F$24="",Norm_Stats!$G$24="",Norm_Stats!$G$24=Norm_Stats!$F$24),"",MAX(0,MIN(100,100*(MIN(MAX(City_Inputs!$AK127,Norm_Stats!$F$24),Norm_Stats!$G$24)-Norm_Stats!$F$24)/(Norm_Stats!$G$24-Norm_Stats!$F$24)))))*0.2))/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D127" s="14">
        <f>IF(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=0,"",(IF((IF(OR(City_Inputs!$AG127="",Norm_Stats!$F$22="",Norm_Stats!$G$22="",Norm_Stats!$G$22=Norm_Stats!$F$22),"",MAX(0,MIN(100,100*(MIN(MAX(City_Inputs!$AG127,Norm_Stats!$F$22),Norm_Stats!$G$22)-Norm_Stats!$F$22)/(Norm_Stats!$G$22-Norm_Stats!$F$22)))))="",0,0.5)+IF((IF(OR(City_Inputs!$AJ127="",Norm_Stats!$F$23="",Norm_Stats!$G$23="",Norm_Stats!$G$23=Norm_Stats!$F$23),"",MAX(0,MIN(100,100*(MIN(MAX(City_Inputs!$AJ127,Norm_Stats!$F$23),Norm_Stats!$G$23)-Norm_Stats!$F$23)/(Norm_Stats!$G$23-Norm_Stats!$F$23)))))="",0,0.3)+IF((IF(OR(City_Inputs!$AK127="",Norm_Stats!$F$24="",Norm_Stats!$G$24="",Norm_Stats!$G$24=Norm_Stats!$F$24),"",MAX(0,MIN(100,100*(MIN(MAX(City_Inputs!$AK127,Norm_Stats!$F$24),Norm_Stats!$G$24)-Norm_Stats!$F$24)/(Norm_Stats!$G$24-Norm_Stats!$F$24)))))="",0,0.2)))</f>
        <v/>
      </c>
      <c r="BE127" s="11">
        <f>IF(OR(City_Inputs!$AH127="",Norm_Stats!$F$25="",Norm_Stats!$G$25="",Norm_Stats!$G$25=Norm_Stats!$F$25),"",MAX(0,MIN(100,100*(Norm_Stats!$G$25-MIN(MAX(City_Inputs!$AH127,Norm_Stats!$F$25),Norm_Stats!$G$25))/(Norm_Stats!$G$25-Norm_Stats!$F$25))))</f>
        <v/>
      </c>
      <c r="BF127" s="14">
        <f>IF(BE127="","",1)</f>
        <v/>
      </c>
      <c r="BG127" s="15">
        <f>IF((IF(AY127="",0,6)+IF(BA127="",0,5)+IF(BC127="",0,5)+IF(BE127="",0,4))=0,"",(IF(AY127="",0,AY127*6)+IF(BA127="",0,BA127*5)+IF(BC127="",0,BC127*5)+IF(BE127="",0,BE127*4))/(IF(AY127="",0,6)+IF(BA127="",0,5)+IF(BC127="",0,5)+IF(BE127="",0,4)))</f>
        <v/>
      </c>
      <c r="BH127" s="14">
        <f>IF((IF(AZ127="",0,6)+IF(BB127="",0,5)+IF(BD127="",0,5)+IF(BF127="",0,4))=0,"",(IF(AZ127="",0,AZ127*6)+IF(BB127="",0,BB127*5)+IF(BD127="",0,BD127*5)+IF(BF127="",0,BF127*4))/20)</f>
        <v/>
      </c>
      <c r="BI127" s="14">
        <f>IF(AND(R127="",AF127="",AN127="",AX127="",BH127=""),"",((R127*25)+(AF127*22)+(AN127*18)+(AX127*15)+(BH127*20))/100)</f>
        <v/>
      </c>
      <c r="BJ127" s="11">
        <f>IF(BI127="","",IF(BI127&gt;=0.75,"A",IF(BI127&gt;=0.5,"B",IF(BI127&gt;=0.35,"C","Watchlist"))))</f>
        <v/>
      </c>
      <c r="BK127" s="11">
        <f>IF(OR(BI127="",BI127&lt;0.5,R127="",R127&lt;0.35,AF127="",AF127&lt;0.35,AN127="",AN127&lt;0.35,AX127="",AX127&lt;0.35,BH127="",BH127&lt;0.35),"Watchlist","Ranked")</f>
        <v/>
      </c>
      <c r="BL127" s="15">
        <f>IF(AND(Q127="",AE127="",AM127="",AW127="",BG127=""),"",(IF(Q127="",0,Q127*25)+IF(AE127="",0,AE127*22)+IF(AM127="",0,AM127*18)+IF(AW127="",0,AW127*15)+IF(BG127="",0,BG127*20))/(IF(Q127="",0,25)+IF(AE127="",0,22)+IF(AM127="",0,18)+IF(AW127="",0,15)+IF(BG127="",0,20)))</f>
        <v/>
      </c>
      <c r="BM127" s="11">
        <f>IF(BK127="Ranked",1+COUNTIFS($BK$2:$BK$158,"Ranked",$BL$2:$BL$158,"&gt;"&amp;BL127),"")</f>
        <v/>
      </c>
      <c r="BN127" s="11">
        <f>City_Inputs!$AI127</f>
        <v/>
      </c>
    </row>
    <row r="128">
      <c r="A128" t="inlineStr">
        <is>
          <t>ge-tbilisi</t>
        </is>
      </c>
      <c r="B128" t="inlineStr">
        <is>
          <t>Tbilisi</t>
        </is>
      </c>
      <c r="C128" t="inlineStr">
        <is>
          <t>Georgia</t>
        </is>
      </c>
      <c r="D128" t="inlineStr">
        <is>
          <t>Southern/Eastern Europe and Eurasia</t>
        </is>
      </c>
      <c r="E128" t="inlineStr">
        <is>
          <t>provisional</t>
        </is>
      </c>
      <c r="F128" t="inlineStr">
        <is>
          <t>primary</t>
        </is>
      </c>
      <c r="G128" s="11">
        <f>IF(OR(City_Inputs!$M128="",Norm_Stats!$F$2="",Norm_Stats!$G$2="",Norm_Stats!$G$2=Norm_Stats!$F$2),"",MAX(0,MIN(100,100*(MIN(MAX(City_Inputs!$M128,Norm_Stats!$F$2),Norm_Stats!$G$2)-Norm_Stats!$F$2)/(Norm_Stats!$G$2-Norm_Stats!$F$2))))</f>
        <v/>
      </c>
      <c r="H128" s="14">
        <f>IF(G128="","",1)</f>
        <v/>
      </c>
      <c r="I128" s="11">
        <f>IF(OR(City_Inputs!$N128="",Norm_Stats!$F$3="",Norm_Stats!$G$3="",Norm_Stats!$G$3=Norm_Stats!$F$3),"",MAX(0,MIN(100,100*(Norm_Stats!$G$3-MIN(MAX(City_Inputs!$N128,Norm_Stats!$F$3),Norm_Stats!$G$3))/(Norm_Stats!$G$3-Norm_Stats!$F$3))))</f>
        <v/>
      </c>
      <c r="J128" s="14">
        <f>IF(I128="","",1)</f>
        <v/>
      </c>
      <c r="K128" s="11">
        <f>IF(OR(City_Inputs!$P128="",Norm_Stats!$F$4="",Norm_Stats!$G$4="",Norm_Stats!$G$4=Norm_Stats!$F$4),"",MAX(0,MIN(100,100*(Norm_Stats!$G$4-MIN(MAX(City_Inputs!$P128,Norm_Stats!$F$4),Norm_Stats!$G$4))/(Norm_Stats!$G$4-Norm_Stats!$F$4))))</f>
        <v/>
      </c>
      <c r="L128" s="14">
        <f>IF(K128="","",1)</f>
        <v/>
      </c>
      <c r="M128" s="11">
        <f>IF(OR(City_Inputs!$Q128="",Norm_Stats!$F$5="",Norm_Stats!$G$5="",Norm_Stats!$G$5=Norm_Stats!$F$5),"",MAX(0,MIN(100,100*(Norm_Stats!$G$5-MIN(MAX(City_Inputs!$Q128,Norm_Stats!$F$5),Norm_Stats!$G$5))/(Norm_Stats!$G$5-Norm_Stats!$F$5))))</f>
        <v/>
      </c>
      <c r="N128" s="14">
        <f>IF(M128="","",1)</f>
        <v/>
      </c>
      <c r="O128" s="11">
        <f>IF(OR(City_Inputs!$R128="",Norm_Stats!$F$6="",Norm_Stats!$G$6="",Norm_Stats!$G$6=Norm_Stats!$F$6),"",MAX(0,MIN(100,100*(Norm_Stats!$G$6-MIN(MAX(City_Inputs!$R128,Norm_Stats!$F$6),Norm_Stats!$G$6))/(Norm_Stats!$G$6-Norm_Stats!$F$6))))</f>
        <v/>
      </c>
      <c r="P128" s="14">
        <f>IF(O128="","",1)</f>
        <v/>
      </c>
      <c r="Q128" s="15">
        <f>IF((IF(G128="",0,9)+IF(I128="",0,5)+IF(K128="",0,4)+IF(M128="",0,4)+IF(O128="",0,5))=0,"",(IF(G128="",0,G128*9)+IF(I128="",0,I128*5)+IF(K128="",0,K128*4)+IF(M128="",0,M128*4)+IF(O128="",0,O128*5))/(IF(G128="",0,9)+IF(I128="",0,5)+IF(K128="",0,4)+IF(M128="",0,4)+IF(O128="",0,5)))</f>
        <v/>
      </c>
      <c r="R128" s="14">
        <f>IF((IF(H128="",0,9)+IF(J128="",0,5)+IF(L128="",0,4)+IF(N128="",0,4)+IF(P128="",0,5))=0,"",(IF(H128="",0,H128*9)+IF(J128="",0,J128*5)+IF(L128="",0,L128*4)+IF(N128="",0,N128*4)+IF(P128="",0,P128*5))/27)</f>
        <v/>
      </c>
      <c r="S128" s="11">
        <f>IF(OR(City_Inputs!$S128="",Norm_Stats!$F$7="",Norm_Stats!$G$7="",Norm_Stats!$G$7=Norm_Stats!$F$7),"",MAX(0,MIN(100,100*(Norm_Stats!$G$7-MIN(MAX(City_Inputs!$S128,Norm_Stats!$F$7),Norm_Stats!$G$7))/(Norm_Stats!$G$7-Norm_Stats!$F$7))))</f>
        <v/>
      </c>
      <c r="T128" s="14">
        <f>IF(S128="","",1)</f>
        <v/>
      </c>
      <c r="U128" s="11">
        <f>IF(OR(City_Inputs!$T128="",Norm_Stats!$F$8="",Norm_Stats!$G$8="",Norm_Stats!$G$8=Norm_Stats!$F$8),"",MAX(0,MIN(100,100*(MIN(MAX(City_Inputs!$T128,Norm_Stats!$F$8),Norm_Stats!$G$8)-Norm_Stats!$F$8)/(Norm_Stats!$G$8-Norm_Stats!$F$8))))</f>
        <v/>
      </c>
      <c r="V128" s="14">
        <f>IF(U128="","",1)</f>
        <v/>
      </c>
      <c r="W128" s="11">
        <f>IF(OR(City_Inputs!$U128="",Norm_Stats!$F$9="",Norm_Stats!$G$9="",Norm_Stats!$G$9=Norm_Stats!$F$9),"",MAX(0,MIN(100,100*(Norm_Stats!$G$9-MIN(MAX(City_Inputs!$U128,Norm_Stats!$F$9),Norm_Stats!$G$9))/(Norm_Stats!$G$9-Norm_Stats!$F$9))))</f>
        <v/>
      </c>
      <c r="X128" s="14">
        <f>IF(W128="","",1)</f>
        <v/>
      </c>
      <c r="Y128" s="11">
        <f>IF(OR(City_Inputs!$V128="",Norm_Stats!$F$10="",Norm_Stats!$G$10="",Norm_Stats!$G$10=Norm_Stats!$F$10),"",MAX(0,MIN(100,100*(MIN(MAX(City_Inputs!$V128,Norm_Stats!$F$10),Norm_Stats!$G$10)-Norm_Stats!$F$10)/(Norm_Stats!$G$10-Norm_Stats!$F$10))))</f>
        <v/>
      </c>
      <c r="Z128" s="14">
        <f>IF(Y128="","",1)</f>
        <v/>
      </c>
      <c r="AA128" s="11">
        <f>IF(OR(City_Inputs!$W128="",Norm_Stats!$F$11="",Norm_Stats!$G$11="",Norm_Stats!$G$11=Norm_Stats!$F$11),"",MAX(0,MIN(100,100*(MIN(MAX(City_Inputs!$W128,Norm_Stats!$F$11),Norm_Stats!$G$11)-Norm_Stats!$F$11)/(Norm_Stats!$G$11-Norm_Stats!$F$11))))</f>
        <v/>
      </c>
      <c r="AB128" s="14">
        <f>IF(AA128="","",1)</f>
        <v/>
      </c>
      <c r="AC128" s="11">
        <f>IF(OR(City_Inputs!$X128="",Norm_Stats!$F$12="",Norm_Stats!$G$12="",Norm_Stats!$G$12=Norm_Stats!$F$12),"",MAX(0,MIN(100,100*(MIN(MAX(City_Inputs!$X128,Norm_Stats!$F$12),Norm_Stats!$G$12)-Norm_Stats!$F$12)/(Norm_Stats!$G$12-Norm_Stats!$F$12))))</f>
        <v/>
      </c>
      <c r="AD128" s="11">
        <f>IF(AC128="","",1)</f>
        <v/>
      </c>
      <c r="AE128" s="15">
        <f>IF((IF(S128="",0,5)+IF(U128="",0,5)+IF(W128="",0,4)+IF(Y128="",0,4)+IF(AA128="",0,4)+IF(AC128="",0,5))=0,"",(IF(S128="",0,S128*5)+IF(U128="",0,U128*5)+IF(W128="",0,W128*4)+IF(Y128="",0,Y128*4)+IF(AA128="",0,AA128*4)+IF(AC128="",0,AC128*5))/(IF(S128="",0,5)+IF(U128="",0,5)+IF(W128="",0,4)+IF(Y128="",0,4)+IF(AA128="",0,4)+IF(AC128="",0,5)))</f>
        <v/>
      </c>
      <c r="AF128" s="14">
        <f>IF((IF(T128="",0,5)+IF(V128="",0,5)+IF(X128="",0,4)+IF(Z128="",0,4)+IF(AB128="",0,4)+IF(AD128="",0,5))=0,"",(IF(T128="",0,T128*5)+IF(V128="",0,V128*5)+IF(X128="",0,X128*4)+IF(Z128="",0,Z128*4)+IF(AB128="",0,AB128*4)+IF(AD128="",0,AD128*5))/27)</f>
        <v/>
      </c>
      <c r="AG128" s="11">
        <f>IF(OR(City_Inputs!$Y128="",Norm_Stats!$F$13="",Norm_Stats!$G$13="",Norm_Stats!$G$13=Norm_Stats!$F$13),"",MAX(0,MIN(100,100*(MIN(MAX(City_Inputs!$Y128,Norm_Stats!$F$13),Norm_Stats!$G$13)-Norm_Stats!$F$13)/(Norm_Stats!$G$13-Norm_Stats!$F$13))))</f>
        <v/>
      </c>
      <c r="AH128" s="14">
        <f>IF(AG128="","",1)</f>
        <v/>
      </c>
      <c r="AI128" s="11">
        <f>IF(OR(City_Inputs!$Z128="",Norm_Stats!$F$14="",Norm_Stats!$G$14="",Norm_Stats!$G$14=Norm_Stats!$F$14),"",MAX(0,MIN(100,100*(MIN(MAX(City_Inputs!$Z128,Norm_Stats!$F$14),Norm_Stats!$G$14)-Norm_Stats!$F$14)/(Norm_Stats!$G$14-Norm_Stats!$F$14))))</f>
        <v/>
      </c>
      <c r="AJ128" s="14">
        <f>IF(AI128="","",1)</f>
        <v/>
      </c>
      <c r="AK128" s="11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(IF(OR(City_Inputs!$AA128="",Norm_Stats!$F$15="",Norm_Stats!$G$15="",Norm_Stats!$G$15=Norm_Stats!$F$15),"",MAX(0,MIN(100,100*(MIN(MAX(City_Inputs!$AA128,Norm_Stats!$F$15),Norm_Stats!$G$15)-Norm_Stats!$F$15)/(Norm_Stats!$G$15-Norm_Stats!$F$15)))))*0.7)+IF((IF(OR(City_Inputs!$AL128="",Norm_Stats!$F$16="",Norm_Stats!$G$16="",Norm_Stats!$G$16=Norm_Stats!$F$16),"",MAX(0,MIN(100,100*(Norm_Stats!$G$16-MIN(MAX(City_Inputs!$AL128,Norm_Stats!$F$16),Norm_Stats!$G$16))/(Norm_Stats!$G$16-Norm_Stats!$F$16)))))="",0,(IF(OR(City_Inputs!$AL128="",Norm_Stats!$F$16="",Norm_Stats!$G$16="",Norm_Stats!$G$16=Norm_Stats!$F$16),"",MAX(0,MIN(100,100*(Norm_Stats!$G$16-MIN(MAX(City_Inputs!$AL128,Norm_Stats!$F$16),Norm_Stats!$G$16))/(Norm_Stats!$G$16-Norm_Stats!$F$16)))))*0.3))/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L128" s="14">
        <f>IF(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=0,"",(IF((IF(OR(City_Inputs!$AA128="",Norm_Stats!$F$15="",Norm_Stats!$G$15="",Norm_Stats!$G$15=Norm_Stats!$F$15),"",MAX(0,MIN(100,100*(MIN(MAX(City_Inputs!$AA128,Norm_Stats!$F$15),Norm_Stats!$G$15)-Norm_Stats!$F$15)/(Norm_Stats!$G$15-Norm_Stats!$F$15)))))="",0,0.7)+IF((IF(OR(City_Inputs!$AL128="",Norm_Stats!$F$16="",Norm_Stats!$G$16="",Norm_Stats!$G$16=Norm_Stats!$F$16),"",MAX(0,MIN(100,100*(Norm_Stats!$G$16-MIN(MAX(City_Inputs!$AL128,Norm_Stats!$F$16),Norm_Stats!$G$16))/(Norm_Stats!$G$16-Norm_Stats!$F$16)))))="",0,0.3)))</f>
        <v/>
      </c>
      <c r="AM128" s="15">
        <f>IF((IF(AG128="",0,8)+IF(AI128="",0,6)+IF(AK128="",0,4))=0,"",(IF(AG128="",0,AG128*8)+IF(AI128="",0,AI128*6)+IF(AK128="",0,AK128*4))/(IF(AG128="",0,8)+IF(AI128="",0,6)+IF(AK128="",0,4)))</f>
        <v/>
      </c>
      <c r="AN128" s="14">
        <f>IF((IF(AH128="",0,8)+IF(AJ128="",0,6)+IF(AL128="",0,4))=0,"",(IF(AH128="",0,AH128*8)+IF(AJ128="",0,AJ128*6)+IF(AL128="",0,AL128*4))/18)</f>
        <v/>
      </c>
      <c r="AO128" s="11">
        <f>IF(OR(City_Inputs!$AB128="",Norm_Stats!$F$17="",Norm_Stats!$G$17="",Norm_Stats!$G$17=Norm_Stats!$F$17),"",MAX(0,MIN(100,100*(MIN(MAX(City_Inputs!$AB128,Norm_Stats!$F$17),Norm_Stats!$G$17)-Norm_Stats!$F$17)/(Norm_Stats!$G$17-Norm_Stats!$F$17))))</f>
        <v/>
      </c>
      <c r="AP128" s="14">
        <f>IF(AO128="","",1)</f>
        <v/>
      </c>
      <c r="AQ128" s="11">
        <f>IF(OR(City_Inputs!$AC128="",Norm_Stats!$F$18="",Norm_Stats!$G$18="",Norm_Stats!$G$18=Norm_Stats!$F$18),"",MAX(0,MIN(100,100*(MIN(MAX(City_Inputs!$AC128,Norm_Stats!$F$18),Norm_Stats!$G$18)-Norm_Stats!$F$18)/(Norm_Stats!$G$18-Norm_Stats!$F$18))))</f>
        <v/>
      </c>
      <c r="AR128" s="14">
        <f>IF(AQ128="","",1)</f>
        <v/>
      </c>
      <c r="AS128" s="11">
        <f>IF(OR(City_Inputs!$AD128="",Norm_Stats!$F$19="",Norm_Stats!$G$19="",Norm_Stats!$G$19=Norm_Stats!$F$19),"",MAX(0,MIN(100,100*(MIN(MAX(City_Inputs!$AD128,Norm_Stats!$F$19),Norm_Stats!$G$19)-Norm_Stats!$F$19)/(Norm_Stats!$G$19-Norm_Stats!$F$19))))</f>
        <v/>
      </c>
      <c r="AT128" s="14">
        <f>IF(AS128="","",1)</f>
        <v/>
      </c>
      <c r="AU128" s="11">
        <f>IF(OR(City_Inputs!$BJ128="",Norm_Stats!$F$26="",Norm_Stats!$G$26="",Norm_Stats!$G$26=Norm_Stats!$F$26),"",MAX(0,MIN(100,100*(MIN(MAX(City_Inputs!$BJ128,Norm_Stats!$F$26),Norm_Stats!$G$26)-Norm_Stats!$F$26)/(Norm_Stats!$G$26-Norm_Stats!$F$26))))</f>
        <v/>
      </c>
      <c r="AV128" s="11">
        <f>IF(AU128="","",1)</f>
        <v/>
      </c>
      <c r="AW128" s="15">
        <f>IF((IF(AO128="",0,5)+IF(AQ128="",0,5)+IF(AS128="",0,5)+IF(AU128="",0,4))=0,"",(IF(AO128="",0,AO128*5)+IF(AQ128="",0,AQ128*5)+IF(AS128="",0,AS128*5)+IF(AU128="",0,AU128*4))/(IF(AO128="",0,5)+IF(AQ128="",0,5)+IF(AS128="",0,5)+IF(AU128="",0,4)))</f>
        <v/>
      </c>
      <c r="AX128" s="14">
        <f>IF((IF(AP128="",0,5)+IF(AR128="",0,5)+IF(AT128="",0,5)+IF(AV128="",0,4))=0,"",(IF(AP128="",0,AP128*5)+IF(AR128="",0,AR128*5)+IF(AT128="",0,AT128*5)+IF(AV128="",0,AV128*4))/19)</f>
        <v/>
      </c>
      <c r="AY128" s="11">
        <f>IF(OR(City_Inputs!$AE128="",Norm_Stats!$F$20="",Norm_Stats!$G$20="",Norm_Stats!$G$20=Norm_Stats!$F$20),"",MAX(0,MIN(100,100*(MIN(MAX(City_Inputs!$AE128,Norm_Stats!$F$20),Norm_Stats!$G$20)-Norm_Stats!$F$20)/(Norm_Stats!$G$20-Norm_Stats!$F$20))))</f>
        <v/>
      </c>
      <c r="AZ128" s="14">
        <f>IF(AY128="","",1)</f>
        <v/>
      </c>
      <c r="BA128" s="11">
        <f>IF(OR(City_Inputs!$AF128="",Norm_Stats!$F$21="",Norm_Stats!$G$21="",Norm_Stats!$G$21=Norm_Stats!$F$21),"",MAX(0,MIN(100,100*(MIN(MAX(City_Inputs!$AF128,Norm_Stats!$F$21),Norm_Stats!$G$21)-Norm_Stats!$F$21)/(Norm_Stats!$G$21-Norm_Stats!$F$21))))</f>
        <v/>
      </c>
      <c r="BB128" s="14">
        <f>IF(BA128="","",1)</f>
        <v/>
      </c>
      <c r="BC128" s="11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(IF(OR(City_Inputs!$AG128="",Norm_Stats!$F$22="",Norm_Stats!$G$22="",Norm_Stats!$G$22=Norm_Stats!$F$22),"",MAX(0,MIN(100,100*(MIN(MAX(City_Inputs!$AG128,Norm_Stats!$F$22),Norm_Stats!$G$22)-Norm_Stats!$F$22)/(Norm_Stats!$G$22-Norm_Stats!$F$22)))))*0.5)+IF((IF(OR(City_Inputs!$AJ128="",Norm_Stats!$F$23="",Norm_Stats!$G$23="",Norm_Stats!$G$23=Norm_Stats!$F$23),"",MAX(0,MIN(100,100*(MIN(MAX(City_Inputs!$AJ128,Norm_Stats!$F$23),Norm_Stats!$G$23)-Norm_Stats!$F$23)/(Norm_Stats!$G$23-Norm_Stats!$F$23)))))="",0,(IF(OR(City_Inputs!$AJ128="",Norm_Stats!$F$23="",Norm_Stats!$G$23="",Norm_Stats!$G$23=Norm_Stats!$F$23),"",MAX(0,MIN(100,100*(MIN(MAX(City_Inputs!$AJ128,Norm_Stats!$F$23),Norm_Stats!$G$23)-Norm_Stats!$F$23)/(Norm_Stats!$G$23-Norm_Stats!$F$23)))))*0.3)+IF((IF(OR(City_Inputs!$AK128="",Norm_Stats!$F$24="",Norm_Stats!$G$24="",Norm_Stats!$G$24=Norm_Stats!$F$24),"",MAX(0,MIN(100,100*(MIN(MAX(City_Inputs!$AK128,Norm_Stats!$F$24),Norm_Stats!$G$24)-Norm_Stats!$F$24)/(Norm_Stats!$G$24-Norm_Stats!$F$24)))))="",0,(IF(OR(City_Inputs!$AK128="",Norm_Stats!$F$24="",Norm_Stats!$G$24="",Norm_Stats!$G$24=Norm_Stats!$F$24),"",MAX(0,MIN(100,100*(MIN(MAX(City_Inputs!$AK128,Norm_Stats!$F$24),Norm_Stats!$G$24)-Norm_Stats!$F$24)/(Norm_Stats!$G$24-Norm_Stats!$F$24)))))*0.2))/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D128" s="14">
        <f>IF(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=0,"",(IF((IF(OR(City_Inputs!$AG128="",Norm_Stats!$F$22="",Norm_Stats!$G$22="",Norm_Stats!$G$22=Norm_Stats!$F$22),"",MAX(0,MIN(100,100*(MIN(MAX(City_Inputs!$AG128,Norm_Stats!$F$22),Norm_Stats!$G$22)-Norm_Stats!$F$22)/(Norm_Stats!$G$22-Norm_Stats!$F$22)))))="",0,0.5)+IF((IF(OR(City_Inputs!$AJ128="",Norm_Stats!$F$23="",Norm_Stats!$G$23="",Norm_Stats!$G$23=Norm_Stats!$F$23),"",MAX(0,MIN(100,100*(MIN(MAX(City_Inputs!$AJ128,Norm_Stats!$F$23),Norm_Stats!$G$23)-Norm_Stats!$F$23)/(Norm_Stats!$G$23-Norm_Stats!$F$23)))))="",0,0.3)+IF((IF(OR(City_Inputs!$AK128="",Norm_Stats!$F$24="",Norm_Stats!$G$24="",Norm_Stats!$G$24=Norm_Stats!$F$24),"",MAX(0,MIN(100,100*(MIN(MAX(City_Inputs!$AK128,Norm_Stats!$F$24),Norm_Stats!$G$24)-Norm_Stats!$F$24)/(Norm_Stats!$G$24-Norm_Stats!$F$24)))))="",0,0.2)))</f>
        <v/>
      </c>
      <c r="BE128" s="11">
        <f>IF(OR(City_Inputs!$AH128="",Norm_Stats!$F$25="",Norm_Stats!$G$25="",Norm_Stats!$G$25=Norm_Stats!$F$25),"",MAX(0,MIN(100,100*(Norm_Stats!$G$25-MIN(MAX(City_Inputs!$AH128,Norm_Stats!$F$25),Norm_Stats!$G$25))/(Norm_Stats!$G$25-Norm_Stats!$F$25))))</f>
        <v/>
      </c>
      <c r="BF128" s="14">
        <f>IF(BE128="","",1)</f>
        <v/>
      </c>
      <c r="BG128" s="15">
        <f>IF((IF(AY128="",0,6)+IF(BA128="",0,5)+IF(BC128="",0,5)+IF(BE128="",0,4))=0,"",(IF(AY128="",0,AY128*6)+IF(BA128="",0,BA128*5)+IF(BC128="",0,BC128*5)+IF(BE128="",0,BE128*4))/(IF(AY128="",0,6)+IF(BA128="",0,5)+IF(BC128="",0,5)+IF(BE128="",0,4)))</f>
        <v/>
      </c>
      <c r="BH128" s="14">
        <f>IF((IF(AZ128="",0,6)+IF(BB128="",0,5)+IF(BD128="",0,5)+IF(BF128="",0,4))=0,"",(IF(AZ128="",0,AZ128*6)+IF(BB128="",0,BB128*5)+IF(BD128="",0,BD128*5)+IF(BF128="",0,BF128*4))/20)</f>
        <v/>
      </c>
      <c r="BI128" s="14">
        <f>IF(AND(R128="",AF128="",AN128="",AX128="",BH128=""),"",((R128*25)+(AF128*22)+(AN128*18)+(AX128*15)+(BH128*20))/100)</f>
        <v/>
      </c>
      <c r="BJ128" s="11">
        <f>IF(BI128="","",IF(BI128&gt;=0.75,"A",IF(BI128&gt;=0.5,"B",IF(BI128&gt;=0.35,"C","Watchlist"))))</f>
        <v/>
      </c>
      <c r="BK128" s="11">
        <f>IF(OR(BI128="",BI128&lt;0.5,R128="",R128&lt;0.35,AF128="",AF128&lt;0.35,AN128="",AN128&lt;0.35,AX128="",AX128&lt;0.35,BH128="",BH128&lt;0.35),"Watchlist","Ranked")</f>
        <v/>
      </c>
      <c r="BL128" s="15">
        <f>IF(AND(Q128="",AE128="",AM128="",AW128="",BG128=""),"",(IF(Q128="",0,Q128*25)+IF(AE128="",0,AE128*22)+IF(AM128="",0,AM128*18)+IF(AW128="",0,AW128*15)+IF(BG128="",0,BG128*20))/(IF(Q128="",0,25)+IF(AE128="",0,22)+IF(AM128="",0,18)+IF(AW128="",0,15)+IF(BG128="",0,20)))</f>
        <v/>
      </c>
      <c r="BM128" s="11">
        <f>IF(BK128="Ranked",1+COUNTIFS($BK$2:$BK$158,"Ranked",$BL$2:$BL$158,"&gt;"&amp;BL128),"")</f>
        <v/>
      </c>
      <c r="BN128" s="11">
        <f>City_Inputs!$AI128</f>
        <v/>
      </c>
    </row>
    <row r="129">
      <c r="A129" t="inlineStr">
        <is>
          <t>fr-lyon</t>
        </is>
      </c>
      <c r="B129" t="inlineStr">
        <is>
          <t>Lyon</t>
        </is>
      </c>
      <c r="C129" t="inlineStr">
        <is>
          <t>France</t>
        </is>
      </c>
      <c r="D129" t="inlineStr">
        <is>
          <t>Western, Northern, and Southern Europe</t>
        </is>
      </c>
      <c r="E129" t="inlineStr">
        <is>
          <t>provisional</t>
        </is>
      </c>
      <c r="F129" t="inlineStr">
        <is>
          <t>primary</t>
        </is>
      </c>
      <c r="G129" s="11">
        <f>IF(OR(City_Inputs!$M129="",Norm_Stats!$F$2="",Norm_Stats!$G$2="",Norm_Stats!$G$2=Norm_Stats!$F$2),"",MAX(0,MIN(100,100*(MIN(MAX(City_Inputs!$M129,Norm_Stats!$F$2),Norm_Stats!$G$2)-Norm_Stats!$F$2)/(Norm_Stats!$G$2-Norm_Stats!$F$2))))</f>
        <v/>
      </c>
      <c r="H129" s="14">
        <f>IF(G129="","",1)</f>
        <v/>
      </c>
      <c r="I129" s="11">
        <f>IF(OR(City_Inputs!$N129="",Norm_Stats!$F$3="",Norm_Stats!$G$3="",Norm_Stats!$G$3=Norm_Stats!$F$3),"",MAX(0,MIN(100,100*(Norm_Stats!$G$3-MIN(MAX(City_Inputs!$N129,Norm_Stats!$F$3),Norm_Stats!$G$3))/(Norm_Stats!$G$3-Norm_Stats!$F$3))))</f>
        <v/>
      </c>
      <c r="J129" s="14">
        <f>IF(I129="","",1)</f>
        <v/>
      </c>
      <c r="K129" s="11">
        <f>IF(OR(City_Inputs!$P129="",Norm_Stats!$F$4="",Norm_Stats!$G$4="",Norm_Stats!$G$4=Norm_Stats!$F$4),"",MAX(0,MIN(100,100*(Norm_Stats!$G$4-MIN(MAX(City_Inputs!$P129,Norm_Stats!$F$4),Norm_Stats!$G$4))/(Norm_Stats!$G$4-Norm_Stats!$F$4))))</f>
        <v/>
      </c>
      <c r="L129" s="14">
        <f>IF(K129="","",1)</f>
        <v/>
      </c>
      <c r="M129" s="11">
        <f>IF(OR(City_Inputs!$Q129="",Norm_Stats!$F$5="",Norm_Stats!$G$5="",Norm_Stats!$G$5=Norm_Stats!$F$5),"",MAX(0,MIN(100,100*(Norm_Stats!$G$5-MIN(MAX(City_Inputs!$Q129,Norm_Stats!$F$5),Norm_Stats!$G$5))/(Norm_Stats!$G$5-Norm_Stats!$F$5))))</f>
        <v/>
      </c>
      <c r="N129" s="14">
        <f>IF(M129="","",1)</f>
        <v/>
      </c>
      <c r="O129" s="11">
        <f>IF(OR(City_Inputs!$R129="",Norm_Stats!$F$6="",Norm_Stats!$G$6="",Norm_Stats!$G$6=Norm_Stats!$F$6),"",MAX(0,MIN(100,100*(Norm_Stats!$G$6-MIN(MAX(City_Inputs!$R129,Norm_Stats!$F$6),Norm_Stats!$G$6))/(Norm_Stats!$G$6-Norm_Stats!$F$6))))</f>
        <v/>
      </c>
      <c r="P129" s="14">
        <f>IF(O129="","",1)</f>
        <v/>
      </c>
      <c r="Q129" s="15">
        <f>IF((IF(G129="",0,9)+IF(I129="",0,5)+IF(K129="",0,4)+IF(M129="",0,4)+IF(O129="",0,5))=0,"",(IF(G129="",0,G129*9)+IF(I129="",0,I129*5)+IF(K129="",0,K129*4)+IF(M129="",0,M129*4)+IF(O129="",0,O129*5))/(IF(G129="",0,9)+IF(I129="",0,5)+IF(K129="",0,4)+IF(M129="",0,4)+IF(O129="",0,5)))</f>
        <v/>
      </c>
      <c r="R129" s="14">
        <f>IF((IF(H129="",0,9)+IF(J129="",0,5)+IF(L129="",0,4)+IF(N129="",0,4)+IF(P129="",0,5))=0,"",(IF(H129="",0,H129*9)+IF(J129="",0,J129*5)+IF(L129="",0,L129*4)+IF(N129="",0,N129*4)+IF(P129="",0,P129*5))/27)</f>
        <v/>
      </c>
      <c r="S129" s="11">
        <f>IF(OR(City_Inputs!$S129="",Norm_Stats!$F$7="",Norm_Stats!$G$7="",Norm_Stats!$G$7=Norm_Stats!$F$7),"",MAX(0,MIN(100,100*(Norm_Stats!$G$7-MIN(MAX(City_Inputs!$S129,Norm_Stats!$F$7),Norm_Stats!$G$7))/(Norm_Stats!$G$7-Norm_Stats!$F$7))))</f>
        <v/>
      </c>
      <c r="T129" s="14">
        <f>IF(S129="","",1)</f>
        <v/>
      </c>
      <c r="U129" s="11">
        <f>IF(OR(City_Inputs!$T129="",Norm_Stats!$F$8="",Norm_Stats!$G$8="",Norm_Stats!$G$8=Norm_Stats!$F$8),"",MAX(0,MIN(100,100*(MIN(MAX(City_Inputs!$T129,Norm_Stats!$F$8),Norm_Stats!$G$8)-Norm_Stats!$F$8)/(Norm_Stats!$G$8-Norm_Stats!$F$8))))</f>
        <v/>
      </c>
      <c r="V129" s="14">
        <f>IF(U129="","",1)</f>
        <v/>
      </c>
      <c r="W129" s="11">
        <f>IF(OR(City_Inputs!$U129="",Norm_Stats!$F$9="",Norm_Stats!$G$9="",Norm_Stats!$G$9=Norm_Stats!$F$9),"",MAX(0,MIN(100,100*(Norm_Stats!$G$9-MIN(MAX(City_Inputs!$U129,Norm_Stats!$F$9),Norm_Stats!$G$9))/(Norm_Stats!$G$9-Norm_Stats!$F$9))))</f>
        <v/>
      </c>
      <c r="X129" s="14">
        <f>IF(W129="","",1)</f>
        <v/>
      </c>
      <c r="Y129" s="11">
        <f>IF(OR(City_Inputs!$V129="",Norm_Stats!$F$10="",Norm_Stats!$G$10="",Norm_Stats!$G$10=Norm_Stats!$F$10),"",MAX(0,MIN(100,100*(MIN(MAX(City_Inputs!$V129,Norm_Stats!$F$10),Norm_Stats!$G$10)-Norm_Stats!$F$10)/(Norm_Stats!$G$10-Norm_Stats!$F$10))))</f>
        <v/>
      </c>
      <c r="Z129" s="14">
        <f>IF(Y129="","",1)</f>
        <v/>
      </c>
      <c r="AA129" s="11">
        <f>IF(OR(City_Inputs!$W129="",Norm_Stats!$F$11="",Norm_Stats!$G$11="",Norm_Stats!$G$11=Norm_Stats!$F$11),"",MAX(0,MIN(100,100*(MIN(MAX(City_Inputs!$W129,Norm_Stats!$F$11),Norm_Stats!$G$11)-Norm_Stats!$F$11)/(Norm_Stats!$G$11-Norm_Stats!$F$11))))</f>
        <v/>
      </c>
      <c r="AB129" s="14">
        <f>IF(AA129="","",1)</f>
        <v/>
      </c>
      <c r="AC129" s="11">
        <f>IF(OR(City_Inputs!$X129="",Norm_Stats!$F$12="",Norm_Stats!$G$12="",Norm_Stats!$G$12=Norm_Stats!$F$12),"",MAX(0,MIN(100,100*(MIN(MAX(City_Inputs!$X129,Norm_Stats!$F$12),Norm_Stats!$G$12)-Norm_Stats!$F$12)/(Norm_Stats!$G$12-Norm_Stats!$F$12))))</f>
        <v/>
      </c>
      <c r="AD129" s="11">
        <f>IF(AC129="","",1)</f>
        <v/>
      </c>
      <c r="AE129" s="15">
        <f>IF((IF(S129="",0,5)+IF(U129="",0,5)+IF(W129="",0,4)+IF(Y129="",0,4)+IF(AA129="",0,4)+IF(AC129="",0,5))=0,"",(IF(S129="",0,S129*5)+IF(U129="",0,U129*5)+IF(W129="",0,W129*4)+IF(Y129="",0,Y129*4)+IF(AA129="",0,AA129*4)+IF(AC129="",0,AC129*5))/(IF(S129="",0,5)+IF(U129="",0,5)+IF(W129="",0,4)+IF(Y129="",0,4)+IF(AA129="",0,4)+IF(AC129="",0,5)))</f>
        <v/>
      </c>
      <c r="AF129" s="14">
        <f>IF((IF(T129="",0,5)+IF(V129="",0,5)+IF(X129="",0,4)+IF(Z129="",0,4)+IF(AB129="",0,4)+IF(AD129="",0,5))=0,"",(IF(T129="",0,T129*5)+IF(V129="",0,V129*5)+IF(X129="",0,X129*4)+IF(Z129="",0,Z129*4)+IF(AB129="",0,AB129*4)+IF(AD129="",0,AD129*5))/27)</f>
        <v/>
      </c>
      <c r="AG129" s="11">
        <f>IF(OR(City_Inputs!$Y129="",Norm_Stats!$F$13="",Norm_Stats!$G$13="",Norm_Stats!$G$13=Norm_Stats!$F$13),"",MAX(0,MIN(100,100*(MIN(MAX(City_Inputs!$Y129,Norm_Stats!$F$13),Norm_Stats!$G$13)-Norm_Stats!$F$13)/(Norm_Stats!$G$13-Norm_Stats!$F$13))))</f>
        <v/>
      </c>
      <c r="AH129" s="14">
        <f>IF(AG129="","",1)</f>
        <v/>
      </c>
      <c r="AI129" s="11">
        <f>IF(OR(City_Inputs!$Z129="",Norm_Stats!$F$14="",Norm_Stats!$G$14="",Norm_Stats!$G$14=Norm_Stats!$F$14),"",MAX(0,MIN(100,100*(MIN(MAX(City_Inputs!$Z129,Norm_Stats!$F$14),Norm_Stats!$G$14)-Norm_Stats!$F$14)/(Norm_Stats!$G$14-Norm_Stats!$F$14))))</f>
        <v/>
      </c>
      <c r="AJ129" s="14">
        <f>IF(AI129="","",1)</f>
        <v/>
      </c>
      <c r="AK129" s="11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(IF(OR(City_Inputs!$AA129="",Norm_Stats!$F$15="",Norm_Stats!$G$15="",Norm_Stats!$G$15=Norm_Stats!$F$15),"",MAX(0,MIN(100,100*(MIN(MAX(City_Inputs!$AA129,Norm_Stats!$F$15),Norm_Stats!$G$15)-Norm_Stats!$F$15)/(Norm_Stats!$G$15-Norm_Stats!$F$15)))))*0.7)+IF((IF(OR(City_Inputs!$AL129="",Norm_Stats!$F$16="",Norm_Stats!$G$16="",Norm_Stats!$G$16=Norm_Stats!$F$16),"",MAX(0,MIN(100,100*(Norm_Stats!$G$16-MIN(MAX(City_Inputs!$AL129,Norm_Stats!$F$16),Norm_Stats!$G$16))/(Norm_Stats!$G$16-Norm_Stats!$F$16)))))="",0,(IF(OR(City_Inputs!$AL129="",Norm_Stats!$F$16="",Norm_Stats!$G$16="",Norm_Stats!$G$16=Norm_Stats!$F$16),"",MAX(0,MIN(100,100*(Norm_Stats!$G$16-MIN(MAX(City_Inputs!$AL129,Norm_Stats!$F$16),Norm_Stats!$G$16))/(Norm_Stats!$G$16-Norm_Stats!$F$16)))))*0.3))/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L129" s="14">
        <f>IF(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=0,"",(IF((IF(OR(City_Inputs!$AA129="",Norm_Stats!$F$15="",Norm_Stats!$G$15="",Norm_Stats!$G$15=Norm_Stats!$F$15),"",MAX(0,MIN(100,100*(MIN(MAX(City_Inputs!$AA129,Norm_Stats!$F$15),Norm_Stats!$G$15)-Norm_Stats!$F$15)/(Norm_Stats!$G$15-Norm_Stats!$F$15)))))="",0,0.7)+IF((IF(OR(City_Inputs!$AL129="",Norm_Stats!$F$16="",Norm_Stats!$G$16="",Norm_Stats!$G$16=Norm_Stats!$F$16),"",MAX(0,MIN(100,100*(Norm_Stats!$G$16-MIN(MAX(City_Inputs!$AL129,Norm_Stats!$F$16),Norm_Stats!$G$16))/(Norm_Stats!$G$16-Norm_Stats!$F$16)))))="",0,0.3)))</f>
        <v/>
      </c>
      <c r="AM129" s="15">
        <f>IF((IF(AG129="",0,8)+IF(AI129="",0,6)+IF(AK129="",0,4))=0,"",(IF(AG129="",0,AG129*8)+IF(AI129="",0,AI129*6)+IF(AK129="",0,AK129*4))/(IF(AG129="",0,8)+IF(AI129="",0,6)+IF(AK129="",0,4)))</f>
        <v/>
      </c>
      <c r="AN129" s="14">
        <f>IF((IF(AH129="",0,8)+IF(AJ129="",0,6)+IF(AL129="",0,4))=0,"",(IF(AH129="",0,AH129*8)+IF(AJ129="",0,AJ129*6)+IF(AL129="",0,AL129*4))/18)</f>
        <v/>
      </c>
      <c r="AO129" s="11">
        <f>IF(OR(City_Inputs!$AB129="",Norm_Stats!$F$17="",Norm_Stats!$G$17="",Norm_Stats!$G$17=Norm_Stats!$F$17),"",MAX(0,MIN(100,100*(MIN(MAX(City_Inputs!$AB129,Norm_Stats!$F$17),Norm_Stats!$G$17)-Norm_Stats!$F$17)/(Norm_Stats!$G$17-Norm_Stats!$F$17))))</f>
        <v/>
      </c>
      <c r="AP129" s="14">
        <f>IF(AO129="","",1)</f>
        <v/>
      </c>
      <c r="AQ129" s="11">
        <f>IF(OR(City_Inputs!$AC129="",Norm_Stats!$F$18="",Norm_Stats!$G$18="",Norm_Stats!$G$18=Norm_Stats!$F$18),"",MAX(0,MIN(100,100*(MIN(MAX(City_Inputs!$AC129,Norm_Stats!$F$18),Norm_Stats!$G$18)-Norm_Stats!$F$18)/(Norm_Stats!$G$18-Norm_Stats!$F$18))))</f>
        <v/>
      </c>
      <c r="AR129" s="14">
        <f>IF(AQ129="","",1)</f>
        <v/>
      </c>
      <c r="AS129" s="11">
        <f>IF(OR(City_Inputs!$AD129="",Norm_Stats!$F$19="",Norm_Stats!$G$19="",Norm_Stats!$G$19=Norm_Stats!$F$19),"",MAX(0,MIN(100,100*(MIN(MAX(City_Inputs!$AD129,Norm_Stats!$F$19),Norm_Stats!$G$19)-Norm_Stats!$F$19)/(Norm_Stats!$G$19-Norm_Stats!$F$19))))</f>
        <v/>
      </c>
      <c r="AT129" s="14">
        <f>IF(AS129="","",1)</f>
        <v/>
      </c>
      <c r="AU129" s="11">
        <f>IF(OR(City_Inputs!$BJ129="",Norm_Stats!$F$26="",Norm_Stats!$G$26="",Norm_Stats!$G$26=Norm_Stats!$F$26),"",MAX(0,MIN(100,100*(MIN(MAX(City_Inputs!$BJ129,Norm_Stats!$F$26),Norm_Stats!$G$26)-Norm_Stats!$F$26)/(Norm_Stats!$G$26-Norm_Stats!$F$26))))</f>
        <v/>
      </c>
      <c r="AV129" s="11">
        <f>IF(AU129="","",1)</f>
        <v/>
      </c>
      <c r="AW129" s="15">
        <f>IF((IF(AO129="",0,5)+IF(AQ129="",0,5)+IF(AS129="",0,5)+IF(AU129="",0,4))=0,"",(IF(AO129="",0,AO129*5)+IF(AQ129="",0,AQ129*5)+IF(AS129="",0,AS129*5)+IF(AU129="",0,AU129*4))/(IF(AO129="",0,5)+IF(AQ129="",0,5)+IF(AS129="",0,5)+IF(AU129="",0,4)))</f>
        <v/>
      </c>
      <c r="AX129" s="14">
        <f>IF((IF(AP129="",0,5)+IF(AR129="",0,5)+IF(AT129="",0,5)+IF(AV129="",0,4))=0,"",(IF(AP129="",0,AP129*5)+IF(AR129="",0,AR129*5)+IF(AT129="",0,AT129*5)+IF(AV129="",0,AV129*4))/19)</f>
        <v/>
      </c>
      <c r="AY129" s="11">
        <f>IF(OR(City_Inputs!$AE129="",Norm_Stats!$F$20="",Norm_Stats!$G$20="",Norm_Stats!$G$20=Norm_Stats!$F$20),"",MAX(0,MIN(100,100*(MIN(MAX(City_Inputs!$AE129,Norm_Stats!$F$20),Norm_Stats!$G$20)-Norm_Stats!$F$20)/(Norm_Stats!$G$20-Norm_Stats!$F$20))))</f>
        <v/>
      </c>
      <c r="AZ129" s="14">
        <f>IF(AY129="","",1)</f>
        <v/>
      </c>
      <c r="BA129" s="11">
        <f>IF(OR(City_Inputs!$AF129="",Norm_Stats!$F$21="",Norm_Stats!$G$21="",Norm_Stats!$G$21=Norm_Stats!$F$21),"",MAX(0,MIN(100,100*(MIN(MAX(City_Inputs!$AF129,Norm_Stats!$F$21),Norm_Stats!$G$21)-Norm_Stats!$F$21)/(Norm_Stats!$G$21-Norm_Stats!$F$21))))</f>
        <v/>
      </c>
      <c r="BB129" s="14">
        <f>IF(BA129="","",1)</f>
        <v/>
      </c>
      <c r="BC129" s="11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(IF(OR(City_Inputs!$AG129="",Norm_Stats!$F$22="",Norm_Stats!$G$22="",Norm_Stats!$G$22=Norm_Stats!$F$22),"",MAX(0,MIN(100,100*(MIN(MAX(City_Inputs!$AG129,Norm_Stats!$F$22),Norm_Stats!$G$22)-Norm_Stats!$F$22)/(Norm_Stats!$G$22-Norm_Stats!$F$22)))))*0.5)+IF((IF(OR(City_Inputs!$AJ129="",Norm_Stats!$F$23="",Norm_Stats!$G$23="",Norm_Stats!$G$23=Norm_Stats!$F$23),"",MAX(0,MIN(100,100*(MIN(MAX(City_Inputs!$AJ129,Norm_Stats!$F$23),Norm_Stats!$G$23)-Norm_Stats!$F$23)/(Norm_Stats!$G$23-Norm_Stats!$F$23)))))="",0,(IF(OR(City_Inputs!$AJ129="",Norm_Stats!$F$23="",Norm_Stats!$G$23="",Norm_Stats!$G$23=Norm_Stats!$F$23),"",MAX(0,MIN(100,100*(MIN(MAX(City_Inputs!$AJ129,Norm_Stats!$F$23),Norm_Stats!$G$23)-Norm_Stats!$F$23)/(Norm_Stats!$G$23-Norm_Stats!$F$23)))))*0.3)+IF((IF(OR(City_Inputs!$AK129="",Norm_Stats!$F$24="",Norm_Stats!$G$24="",Norm_Stats!$G$24=Norm_Stats!$F$24),"",MAX(0,MIN(100,100*(MIN(MAX(City_Inputs!$AK129,Norm_Stats!$F$24),Norm_Stats!$G$24)-Norm_Stats!$F$24)/(Norm_Stats!$G$24-Norm_Stats!$F$24)))))="",0,(IF(OR(City_Inputs!$AK129="",Norm_Stats!$F$24="",Norm_Stats!$G$24="",Norm_Stats!$G$24=Norm_Stats!$F$24),"",MAX(0,MIN(100,100*(MIN(MAX(City_Inputs!$AK129,Norm_Stats!$F$24),Norm_Stats!$G$24)-Norm_Stats!$F$24)/(Norm_Stats!$G$24-Norm_Stats!$F$24)))))*0.2))/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D129" s="14">
        <f>IF(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=0,"",(IF((IF(OR(City_Inputs!$AG129="",Norm_Stats!$F$22="",Norm_Stats!$G$22="",Norm_Stats!$G$22=Norm_Stats!$F$22),"",MAX(0,MIN(100,100*(MIN(MAX(City_Inputs!$AG129,Norm_Stats!$F$22),Norm_Stats!$G$22)-Norm_Stats!$F$22)/(Norm_Stats!$G$22-Norm_Stats!$F$22)))))="",0,0.5)+IF((IF(OR(City_Inputs!$AJ129="",Norm_Stats!$F$23="",Norm_Stats!$G$23="",Norm_Stats!$G$23=Norm_Stats!$F$23),"",MAX(0,MIN(100,100*(MIN(MAX(City_Inputs!$AJ129,Norm_Stats!$F$23),Norm_Stats!$G$23)-Norm_Stats!$F$23)/(Norm_Stats!$G$23-Norm_Stats!$F$23)))))="",0,0.3)+IF((IF(OR(City_Inputs!$AK129="",Norm_Stats!$F$24="",Norm_Stats!$G$24="",Norm_Stats!$G$24=Norm_Stats!$F$24),"",MAX(0,MIN(100,100*(MIN(MAX(City_Inputs!$AK129,Norm_Stats!$F$24),Norm_Stats!$G$24)-Norm_Stats!$F$24)/(Norm_Stats!$G$24-Norm_Stats!$F$24)))))="",0,0.2)))</f>
        <v/>
      </c>
      <c r="BE129" s="11">
        <f>IF(OR(City_Inputs!$AH129="",Norm_Stats!$F$25="",Norm_Stats!$G$25="",Norm_Stats!$G$25=Norm_Stats!$F$25),"",MAX(0,MIN(100,100*(Norm_Stats!$G$25-MIN(MAX(City_Inputs!$AH129,Norm_Stats!$F$25),Norm_Stats!$G$25))/(Norm_Stats!$G$25-Norm_Stats!$F$25))))</f>
        <v/>
      </c>
      <c r="BF129" s="14">
        <f>IF(BE129="","",1)</f>
        <v/>
      </c>
      <c r="BG129" s="15">
        <f>IF((IF(AY129="",0,6)+IF(BA129="",0,5)+IF(BC129="",0,5)+IF(BE129="",0,4))=0,"",(IF(AY129="",0,AY129*6)+IF(BA129="",0,BA129*5)+IF(BC129="",0,BC129*5)+IF(BE129="",0,BE129*4))/(IF(AY129="",0,6)+IF(BA129="",0,5)+IF(BC129="",0,5)+IF(BE129="",0,4)))</f>
        <v/>
      </c>
      <c r="BH129" s="14">
        <f>IF((IF(AZ129="",0,6)+IF(BB129="",0,5)+IF(BD129="",0,5)+IF(BF129="",0,4))=0,"",(IF(AZ129="",0,AZ129*6)+IF(BB129="",0,BB129*5)+IF(BD129="",0,BD129*5)+IF(BF129="",0,BF129*4))/20)</f>
        <v/>
      </c>
      <c r="BI129" s="14">
        <f>IF(AND(R129="",AF129="",AN129="",AX129="",BH129=""),"",((R129*25)+(AF129*22)+(AN129*18)+(AX129*15)+(BH129*20))/100)</f>
        <v/>
      </c>
      <c r="BJ129" s="11">
        <f>IF(BI129="","",IF(BI129&gt;=0.75,"A",IF(BI129&gt;=0.5,"B",IF(BI129&gt;=0.35,"C","Watchlist"))))</f>
        <v/>
      </c>
      <c r="BK129" s="11">
        <f>IF(OR(BI129="",BI129&lt;0.5,R129="",R129&lt;0.35,AF129="",AF129&lt;0.35,AN129="",AN129&lt;0.35,AX129="",AX129&lt;0.35,BH129="",BH129&lt;0.35),"Watchlist","Ranked")</f>
        <v/>
      </c>
      <c r="BL129" s="15">
        <f>IF(AND(Q129="",AE129="",AM129="",AW129="",BG129=""),"",(IF(Q129="",0,Q129*25)+IF(AE129="",0,AE129*22)+IF(AM129="",0,AM129*18)+IF(AW129="",0,AW129*15)+IF(BG129="",0,BG129*20))/(IF(Q129="",0,25)+IF(AE129="",0,22)+IF(AM129="",0,18)+IF(AW129="",0,15)+IF(BG129="",0,20)))</f>
        <v/>
      </c>
      <c r="BM129" s="11">
        <f>IF(BK129="Ranked",1+COUNTIFS($BK$2:$BK$158,"Ranked",$BL$2:$BL$158,"&gt;"&amp;BL129),"")</f>
        <v/>
      </c>
      <c r="BN129" s="11">
        <f>City_Inputs!$AI129</f>
        <v/>
      </c>
    </row>
    <row r="130">
      <c r="A130" t="inlineStr">
        <is>
          <t>es-valencia</t>
        </is>
      </c>
      <c r="B130" t="inlineStr">
        <is>
          <t>Valencia</t>
        </is>
      </c>
      <c r="C130" t="inlineStr">
        <is>
          <t>Spain</t>
        </is>
      </c>
      <c r="D130" t="inlineStr">
        <is>
          <t>Western, Northern, and Southern Europe</t>
        </is>
      </c>
      <c r="E130" t="inlineStr">
        <is>
          <t>provisional</t>
        </is>
      </c>
      <c r="F130" t="inlineStr">
        <is>
          <t>primary</t>
        </is>
      </c>
      <c r="G130" s="11">
        <f>IF(OR(City_Inputs!$M130="",Norm_Stats!$F$2="",Norm_Stats!$G$2="",Norm_Stats!$G$2=Norm_Stats!$F$2),"",MAX(0,MIN(100,100*(MIN(MAX(City_Inputs!$M130,Norm_Stats!$F$2),Norm_Stats!$G$2)-Norm_Stats!$F$2)/(Norm_Stats!$G$2-Norm_Stats!$F$2))))</f>
        <v/>
      </c>
      <c r="H130" s="14">
        <f>IF(G130="","",1)</f>
        <v/>
      </c>
      <c r="I130" s="11">
        <f>IF(OR(City_Inputs!$N130="",Norm_Stats!$F$3="",Norm_Stats!$G$3="",Norm_Stats!$G$3=Norm_Stats!$F$3),"",MAX(0,MIN(100,100*(Norm_Stats!$G$3-MIN(MAX(City_Inputs!$N130,Norm_Stats!$F$3),Norm_Stats!$G$3))/(Norm_Stats!$G$3-Norm_Stats!$F$3))))</f>
        <v/>
      </c>
      <c r="J130" s="14">
        <f>IF(I130="","",1)</f>
        <v/>
      </c>
      <c r="K130" s="11">
        <f>IF(OR(City_Inputs!$P130="",Norm_Stats!$F$4="",Norm_Stats!$G$4="",Norm_Stats!$G$4=Norm_Stats!$F$4),"",MAX(0,MIN(100,100*(Norm_Stats!$G$4-MIN(MAX(City_Inputs!$P130,Norm_Stats!$F$4),Norm_Stats!$G$4))/(Norm_Stats!$G$4-Norm_Stats!$F$4))))</f>
        <v/>
      </c>
      <c r="L130" s="14">
        <f>IF(K130="","",1)</f>
        <v/>
      </c>
      <c r="M130" s="11">
        <f>IF(OR(City_Inputs!$Q130="",Norm_Stats!$F$5="",Norm_Stats!$G$5="",Norm_Stats!$G$5=Norm_Stats!$F$5),"",MAX(0,MIN(100,100*(Norm_Stats!$G$5-MIN(MAX(City_Inputs!$Q130,Norm_Stats!$F$5),Norm_Stats!$G$5))/(Norm_Stats!$G$5-Norm_Stats!$F$5))))</f>
        <v/>
      </c>
      <c r="N130" s="14">
        <f>IF(M130="","",1)</f>
        <v/>
      </c>
      <c r="O130" s="11">
        <f>IF(OR(City_Inputs!$R130="",Norm_Stats!$F$6="",Norm_Stats!$G$6="",Norm_Stats!$G$6=Norm_Stats!$F$6),"",MAX(0,MIN(100,100*(Norm_Stats!$G$6-MIN(MAX(City_Inputs!$R130,Norm_Stats!$F$6),Norm_Stats!$G$6))/(Norm_Stats!$G$6-Norm_Stats!$F$6))))</f>
        <v/>
      </c>
      <c r="P130" s="14">
        <f>IF(O130="","",1)</f>
        <v/>
      </c>
      <c r="Q130" s="15">
        <f>IF((IF(G130="",0,9)+IF(I130="",0,5)+IF(K130="",0,4)+IF(M130="",0,4)+IF(O130="",0,5))=0,"",(IF(G130="",0,G130*9)+IF(I130="",0,I130*5)+IF(K130="",0,K130*4)+IF(M130="",0,M130*4)+IF(O130="",0,O130*5))/(IF(G130="",0,9)+IF(I130="",0,5)+IF(K130="",0,4)+IF(M130="",0,4)+IF(O130="",0,5)))</f>
        <v/>
      </c>
      <c r="R130" s="14">
        <f>IF((IF(H130="",0,9)+IF(J130="",0,5)+IF(L130="",0,4)+IF(N130="",0,4)+IF(P130="",0,5))=0,"",(IF(H130="",0,H130*9)+IF(J130="",0,J130*5)+IF(L130="",0,L130*4)+IF(N130="",0,N130*4)+IF(P130="",0,P130*5))/27)</f>
        <v/>
      </c>
      <c r="S130" s="11">
        <f>IF(OR(City_Inputs!$S130="",Norm_Stats!$F$7="",Norm_Stats!$G$7="",Norm_Stats!$G$7=Norm_Stats!$F$7),"",MAX(0,MIN(100,100*(Norm_Stats!$G$7-MIN(MAX(City_Inputs!$S130,Norm_Stats!$F$7),Norm_Stats!$G$7))/(Norm_Stats!$G$7-Norm_Stats!$F$7))))</f>
        <v/>
      </c>
      <c r="T130" s="14">
        <f>IF(S130="","",1)</f>
        <v/>
      </c>
      <c r="U130" s="11">
        <f>IF(OR(City_Inputs!$T130="",Norm_Stats!$F$8="",Norm_Stats!$G$8="",Norm_Stats!$G$8=Norm_Stats!$F$8),"",MAX(0,MIN(100,100*(MIN(MAX(City_Inputs!$T130,Norm_Stats!$F$8),Norm_Stats!$G$8)-Norm_Stats!$F$8)/(Norm_Stats!$G$8-Norm_Stats!$F$8))))</f>
        <v/>
      </c>
      <c r="V130" s="14">
        <f>IF(U130="","",1)</f>
        <v/>
      </c>
      <c r="W130" s="11">
        <f>IF(OR(City_Inputs!$U130="",Norm_Stats!$F$9="",Norm_Stats!$G$9="",Norm_Stats!$G$9=Norm_Stats!$F$9),"",MAX(0,MIN(100,100*(Norm_Stats!$G$9-MIN(MAX(City_Inputs!$U130,Norm_Stats!$F$9),Norm_Stats!$G$9))/(Norm_Stats!$G$9-Norm_Stats!$F$9))))</f>
        <v/>
      </c>
      <c r="X130" s="14">
        <f>IF(W130="","",1)</f>
        <v/>
      </c>
      <c r="Y130" s="11">
        <f>IF(OR(City_Inputs!$V130="",Norm_Stats!$F$10="",Norm_Stats!$G$10="",Norm_Stats!$G$10=Norm_Stats!$F$10),"",MAX(0,MIN(100,100*(MIN(MAX(City_Inputs!$V130,Norm_Stats!$F$10),Norm_Stats!$G$10)-Norm_Stats!$F$10)/(Norm_Stats!$G$10-Norm_Stats!$F$10))))</f>
        <v/>
      </c>
      <c r="Z130" s="14">
        <f>IF(Y130="","",1)</f>
        <v/>
      </c>
      <c r="AA130" s="11">
        <f>IF(OR(City_Inputs!$W130="",Norm_Stats!$F$11="",Norm_Stats!$G$11="",Norm_Stats!$G$11=Norm_Stats!$F$11),"",MAX(0,MIN(100,100*(MIN(MAX(City_Inputs!$W130,Norm_Stats!$F$11),Norm_Stats!$G$11)-Norm_Stats!$F$11)/(Norm_Stats!$G$11-Norm_Stats!$F$11))))</f>
        <v/>
      </c>
      <c r="AB130" s="14">
        <f>IF(AA130="","",1)</f>
        <v/>
      </c>
      <c r="AC130" s="11">
        <f>IF(OR(City_Inputs!$X130="",Norm_Stats!$F$12="",Norm_Stats!$G$12="",Norm_Stats!$G$12=Norm_Stats!$F$12),"",MAX(0,MIN(100,100*(MIN(MAX(City_Inputs!$X130,Norm_Stats!$F$12),Norm_Stats!$G$12)-Norm_Stats!$F$12)/(Norm_Stats!$G$12-Norm_Stats!$F$12))))</f>
        <v/>
      </c>
      <c r="AD130" s="11">
        <f>IF(AC130="","",1)</f>
        <v/>
      </c>
      <c r="AE130" s="15">
        <f>IF((IF(S130="",0,5)+IF(U130="",0,5)+IF(W130="",0,4)+IF(Y130="",0,4)+IF(AA130="",0,4)+IF(AC130="",0,5))=0,"",(IF(S130="",0,S130*5)+IF(U130="",0,U130*5)+IF(W130="",0,W130*4)+IF(Y130="",0,Y130*4)+IF(AA130="",0,AA130*4)+IF(AC130="",0,AC130*5))/(IF(S130="",0,5)+IF(U130="",0,5)+IF(W130="",0,4)+IF(Y130="",0,4)+IF(AA130="",0,4)+IF(AC130="",0,5)))</f>
        <v/>
      </c>
      <c r="AF130" s="14">
        <f>IF((IF(T130="",0,5)+IF(V130="",0,5)+IF(X130="",0,4)+IF(Z130="",0,4)+IF(AB130="",0,4)+IF(AD130="",0,5))=0,"",(IF(T130="",0,T130*5)+IF(V130="",0,V130*5)+IF(X130="",0,X130*4)+IF(Z130="",0,Z130*4)+IF(AB130="",0,AB130*4)+IF(AD130="",0,AD130*5))/27)</f>
        <v/>
      </c>
      <c r="AG130" s="11">
        <f>IF(OR(City_Inputs!$Y130="",Norm_Stats!$F$13="",Norm_Stats!$G$13="",Norm_Stats!$G$13=Norm_Stats!$F$13),"",MAX(0,MIN(100,100*(MIN(MAX(City_Inputs!$Y130,Norm_Stats!$F$13),Norm_Stats!$G$13)-Norm_Stats!$F$13)/(Norm_Stats!$G$13-Norm_Stats!$F$13))))</f>
        <v/>
      </c>
      <c r="AH130" s="14">
        <f>IF(AG130="","",1)</f>
        <v/>
      </c>
      <c r="AI130" s="11">
        <f>IF(OR(City_Inputs!$Z130="",Norm_Stats!$F$14="",Norm_Stats!$G$14="",Norm_Stats!$G$14=Norm_Stats!$F$14),"",MAX(0,MIN(100,100*(MIN(MAX(City_Inputs!$Z130,Norm_Stats!$F$14),Norm_Stats!$G$14)-Norm_Stats!$F$14)/(Norm_Stats!$G$14-Norm_Stats!$F$14))))</f>
        <v/>
      </c>
      <c r="AJ130" s="14">
        <f>IF(AI130="","",1)</f>
        <v/>
      </c>
      <c r="AK130" s="11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(IF(OR(City_Inputs!$AA130="",Norm_Stats!$F$15="",Norm_Stats!$G$15="",Norm_Stats!$G$15=Norm_Stats!$F$15),"",MAX(0,MIN(100,100*(MIN(MAX(City_Inputs!$AA130,Norm_Stats!$F$15),Norm_Stats!$G$15)-Norm_Stats!$F$15)/(Norm_Stats!$G$15-Norm_Stats!$F$15)))))*0.7)+IF((IF(OR(City_Inputs!$AL130="",Norm_Stats!$F$16="",Norm_Stats!$G$16="",Norm_Stats!$G$16=Norm_Stats!$F$16),"",MAX(0,MIN(100,100*(Norm_Stats!$G$16-MIN(MAX(City_Inputs!$AL130,Norm_Stats!$F$16),Norm_Stats!$G$16))/(Norm_Stats!$G$16-Norm_Stats!$F$16)))))="",0,(IF(OR(City_Inputs!$AL130="",Norm_Stats!$F$16="",Norm_Stats!$G$16="",Norm_Stats!$G$16=Norm_Stats!$F$16),"",MAX(0,MIN(100,100*(Norm_Stats!$G$16-MIN(MAX(City_Inputs!$AL130,Norm_Stats!$F$16),Norm_Stats!$G$16))/(Norm_Stats!$G$16-Norm_Stats!$F$16)))))*0.3))/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L130" s="14">
        <f>IF(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=0,"",(IF((IF(OR(City_Inputs!$AA130="",Norm_Stats!$F$15="",Norm_Stats!$G$15="",Norm_Stats!$G$15=Norm_Stats!$F$15),"",MAX(0,MIN(100,100*(MIN(MAX(City_Inputs!$AA130,Norm_Stats!$F$15),Norm_Stats!$G$15)-Norm_Stats!$F$15)/(Norm_Stats!$G$15-Norm_Stats!$F$15)))))="",0,0.7)+IF((IF(OR(City_Inputs!$AL130="",Norm_Stats!$F$16="",Norm_Stats!$G$16="",Norm_Stats!$G$16=Norm_Stats!$F$16),"",MAX(0,MIN(100,100*(Norm_Stats!$G$16-MIN(MAX(City_Inputs!$AL130,Norm_Stats!$F$16),Norm_Stats!$G$16))/(Norm_Stats!$G$16-Norm_Stats!$F$16)))))="",0,0.3)))</f>
        <v/>
      </c>
      <c r="AM130" s="15">
        <f>IF((IF(AG130="",0,8)+IF(AI130="",0,6)+IF(AK130="",0,4))=0,"",(IF(AG130="",0,AG130*8)+IF(AI130="",0,AI130*6)+IF(AK130="",0,AK130*4))/(IF(AG130="",0,8)+IF(AI130="",0,6)+IF(AK130="",0,4)))</f>
        <v/>
      </c>
      <c r="AN130" s="14">
        <f>IF((IF(AH130="",0,8)+IF(AJ130="",0,6)+IF(AL130="",0,4))=0,"",(IF(AH130="",0,AH130*8)+IF(AJ130="",0,AJ130*6)+IF(AL130="",0,AL130*4))/18)</f>
        <v/>
      </c>
      <c r="AO130" s="11">
        <f>IF(OR(City_Inputs!$AB130="",Norm_Stats!$F$17="",Norm_Stats!$G$17="",Norm_Stats!$G$17=Norm_Stats!$F$17),"",MAX(0,MIN(100,100*(MIN(MAX(City_Inputs!$AB130,Norm_Stats!$F$17),Norm_Stats!$G$17)-Norm_Stats!$F$17)/(Norm_Stats!$G$17-Norm_Stats!$F$17))))</f>
        <v/>
      </c>
      <c r="AP130" s="14">
        <f>IF(AO130="","",1)</f>
        <v/>
      </c>
      <c r="AQ130" s="11">
        <f>IF(OR(City_Inputs!$AC130="",Norm_Stats!$F$18="",Norm_Stats!$G$18="",Norm_Stats!$G$18=Norm_Stats!$F$18),"",MAX(0,MIN(100,100*(MIN(MAX(City_Inputs!$AC130,Norm_Stats!$F$18),Norm_Stats!$G$18)-Norm_Stats!$F$18)/(Norm_Stats!$G$18-Norm_Stats!$F$18))))</f>
        <v/>
      </c>
      <c r="AR130" s="14">
        <f>IF(AQ130="","",1)</f>
        <v/>
      </c>
      <c r="AS130" s="11">
        <f>IF(OR(City_Inputs!$AD130="",Norm_Stats!$F$19="",Norm_Stats!$G$19="",Norm_Stats!$G$19=Norm_Stats!$F$19),"",MAX(0,MIN(100,100*(MIN(MAX(City_Inputs!$AD130,Norm_Stats!$F$19),Norm_Stats!$G$19)-Norm_Stats!$F$19)/(Norm_Stats!$G$19-Norm_Stats!$F$19))))</f>
        <v/>
      </c>
      <c r="AT130" s="14">
        <f>IF(AS130="","",1)</f>
        <v/>
      </c>
      <c r="AU130" s="11">
        <f>IF(OR(City_Inputs!$BJ130="",Norm_Stats!$F$26="",Norm_Stats!$G$26="",Norm_Stats!$G$26=Norm_Stats!$F$26),"",MAX(0,MIN(100,100*(MIN(MAX(City_Inputs!$BJ130,Norm_Stats!$F$26),Norm_Stats!$G$26)-Norm_Stats!$F$26)/(Norm_Stats!$G$26-Norm_Stats!$F$26))))</f>
        <v/>
      </c>
      <c r="AV130" s="11">
        <f>IF(AU130="","",1)</f>
        <v/>
      </c>
      <c r="AW130" s="15">
        <f>IF((IF(AO130="",0,5)+IF(AQ130="",0,5)+IF(AS130="",0,5)+IF(AU130="",0,4))=0,"",(IF(AO130="",0,AO130*5)+IF(AQ130="",0,AQ130*5)+IF(AS130="",0,AS130*5)+IF(AU130="",0,AU130*4))/(IF(AO130="",0,5)+IF(AQ130="",0,5)+IF(AS130="",0,5)+IF(AU130="",0,4)))</f>
        <v/>
      </c>
      <c r="AX130" s="14">
        <f>IF((IF(AP130="",0,5)+IF(AR130="",0,5)+IF(AT130="",0,5)+IF(AV130="",0,4))=0,"",(IF(AP130="",0,AP130*5)+IF(AR130="",0,AR130*5)+IF(AT130="",0,AT130*5)+IF(AV130="",0,AV130*4))/19)</f>
        <v/>
      </c>
      <c r="AY130" s="11">
        <f>IF(OR(City_Inputs!$AE130="",Norm_Stats!$F$20="",Norm_Stats!$G$20="",Norm_Stats!$G$20=Norm_Stats!$F$20),"",MAX(0,MIN(100,100*(MIN(MAX(City_Inputs!$AE130,Norm_Stats!$F$20),Norm_Stats!$G$20)-Norm_Stats!$F$20)/(Norm_Stats!$G$20-Norm_Stats!$F$20))))</f>
        <v/>
      </c>
      <c r="AZ130" s="14">
        <f>IF(AY130="","",1)</f>
        <v/>
      </c>
      <c r="BA130" s="11">
        <f>IF(OR(City_Inputs!$AF130="",Norm_Stats!$F$21="",Norm_Stats!$G$21="",Norm_Stats!$G$21=Norm_Stats!$F$21),"",MAX(0,MIN(100,100*(MIN(MAX(City_Inputs!$AF130,Norm_Stats!$F$21),Norm_Stats!$G$21)-Norm_Stats!$F$21)/(Norm_Stats!$G$21-Norm_Stats!$F$21))))</f>
        <v/>
      </c>
      <c r="BB130" s="14">
        <f>IF(BA130="","",1)</f>
        <v/>
      </c>
      <c r="BC130" s="11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(IF(OR(City_Inputs!$AG130="",Norm_Stats!$F$22="",Norm_Stats!$G$22="",Norm_Stats!$G$22=Norm_Stats!$F$22),"",MAX(0,MIN(100,100*(MIN(MAX(City_Inputs!$AG130,Norm_Stats!$F$22),Norm_Stats!$G$22)-Norm_Stats!$F$22)/(Norm_Stats!$G$22-Norm_Stats!$F$22)))))*0.5)+IF((IF(OR(City_Inputs!$AJ130="",Norm_Stats!$F$23="",Norm_Stats!$G$23="",Norm_Stats!$G$23=Norm_Stats!$F$23),"",MAX(0,MIN(100,100*(MIN(MAX(City_Inputs!$AJ130,Norm_Stats!$F$23),Norm_Stats!$G$23)-Norm_Stats!$F$23)/(Norm_Stats!$G$23-Norm_Stats!$F$23)))))="",0,(IF(OR(City_Inputs!$AJ130="",Norm_Stats!$F$23="",Norm_Stats!$G$23="",Norm_Stats!$G$23=Norm_Stats!$F$23),"",MAX(0,MIN(100,100*(MIN(MAX(City_Inputs!$AJ130,Norm_Stats!$F$23),Norm_Stats!$G$23)-Norm_Stats!$F$23)/(Norm_Stats!$G$23-Norm_Stats!$F$23)))))*0.3)+IF((IF(OR(City_Inputs!$AK130="",Norm_Stats!$F$24="",Norm_Stats!$G$24="",Norm_Stats!$G$24=Norm_Stats!$F$24),"",MAX(0,MIN(100,100*(MIN(MAX(City_Inputs!$AK130,Norm_Stats!$F$24),Norm_Stats!$G$24)-Norm_Stats!$F$24)/(Norm_Stats!$G$24-Norm_Stats!$F$24)))))="",0,(IF(OR(City_Inputs!$AK130="",Norm_Stats!$F$24="",Norm_Stats!$G$24="",Norm_Stats!$G$24=Norm_Stats!$F$24),"",MAX(0,MIN(100,100*(MIN(MAX(City_Inputs!$AK130,Norm_Stats!$F$24),Norm_Stats!$G$24)-Norm_Stats!$F$24)/(Norm_Stats!$G$24-Norm_Stats!$F$24)))))*0.2))/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D130" s="14">
        <f>IF(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=0,"",(IF((IF(OR(City_Inputs!$AG130="",Norm_Stats!$F$22="",Norm_Stats!$G$22="",Norm_Stats!$G$22=Norm_Stats!$F$22),"",MAX(0,MIN(100,100*(MIN(MAX(City_Inputs!$AG130,Norm_Stats!$F$22),Norm_Stats!$G$22)-Norm_Stats!$F$22)/(Norm_Stats!$G$22-Norm_Stats!$F$22)))))="",0,0.5)+IF((IF(OR(City_Inputs!$AJ130="",Norm_Stats!$F$23="",Norm_Stats!$G$23="",Norm_Stats!$G$23=Norm_Stats!$F$23),"",MAX(0,MIN(100,100*(MIN(MAX(City_Inputs!$AJ130,Norm_Stats!$F$23),Norm_Stats!$G$23)-Norm_Stats!$F$23)/(Norm_Stats!$G$23-Norm_Stats!$F$23)))))="",0,0.3)+IF((IF(OR(City_Inputs!$AK130="",Norm_Stats!$F$24="",Norm_Stats!$G$24="",Norm_Stats!$G$24=Norm_Stats!$F$24),"",MAX(0,MIN(100,100*(MIN(MAX(City_Inputs!$AK130,Norm_Stats!$F$24),Norm_Stats!$G$24)-Norm_Stats!$F$24)/(Norm_Stats!$G$24-Norm_Stats!$F$24)))))="",0,0.2)))</f>
        <v/>
      </c>
      <c r="BE130" s="11">
        <f>IF(OR(City_Inputs!$AH130="",Norm_Stats!$F$25="",Norm_Stats!$G$25="",Norm_Stats!$G$25=Norm_Stats!$F$25),"",MAX(0,MIN(100,100*(Norm_Stats!$G$25-MIN(MAX(City_Inputs!$AH130,Norm_Stats!$F$25),Norm_Stats!$G$25))/(Norm_Stats!$G$25-Norm_Stats!$F$25))))</f>
        <v/>
      </c>
      <c r="BF130" s="14">
        <f>IF(BE130="","",1)</f>
        <v/>
      </c>
      <c r="BG130" s="15">
        <f>IF((IF(AY130="",0,6)+IF(BA130="",0,5)+IF(BC130="",0,5)+IF(BE130="",0,4))=0,"",(IF(AY130="",0,AY130*6)+IF(BA130="",0,BA130*5)+IF(BC130="",0,BC130*5)+IF(BE130="",0,BE130*4))/(IF(AY130="",0,6)+IF(BA130="",0,5)+IF(BC130="",0,5)+IF(BE130="",0,4)))</f>
        <v/>
      </c>
      <c r="BH130" s="14">
        <f>IF((IF(AZ130="",0,6)+IF(BB130="",0,5)+IF(BD130="",0,5)+IF(BF130="",0,4))=0,"",(IF(AZ130="",0,AZ130*6)+IF(BB130="",0,BB130*5)+IF(BD130="",0,BD130*5)+IF(BF130="",0,BF130*4))/20)</f>
        <v/>
      </c>
      <c r="BI130" s="14">
        <f>IF(AND(R130="",AF130="",AN130="",AX130="",BH130=""),"",((R130*25)+(AF130*22)+(AN130*18)+(AX130*15)+(BH130*20))/100)</f>
        <v/>
      </c>
      <c r="BJ130" s="11">
        <f>IF(BI130="","",IF(BI130&gt;=0.75,"A",IF(BI130&gt;=0.5,"B",IF(BI130&gt;=0.35,"C","Watchlist"))))</f>
        <v/>
      </c>
      <c r="BK130" s="11">
        <f>IF(OR(BI130="",BI130&lt;0.5,R130="",R130&lt;0.35,AF130="",AF130&lt;0.35,AN130="",AN130&lt;0.35,AX130="",AX130&lt;0.35,BH130="",BH130&lt;0.35),"Watchlist","Ranked")</f>
        <v/>
      </c>
      <c r="BL130" s="15">
        <f>IF(AND(Q130="",AE130="",AM130="",AW130="",BG130=""),"",(IF(Q130="",0,Q130*25)+IF(AE130="",0,AE130*22)+IF(AM130="",0,AM130*18)+IF(AW130="",0,AW130*15)+IF(BG130="",0,BG130*20))/(IF(Q130="",0,25)+IF(AE130="",0,22)+IF(AM130="",0,18)+IF(AW130="",0,15)+IF(BG130="",0,20)))</f>
        <v/>
      </c>
      <c r="BM130" s="11">
        <f>IF(BK130="Ranked",1+COUNTIFS($BK$2:$BK$158,"Ranked",$BL$2:$BL$158,"&gt;"&amp;BL130),"")</f>
        <v/>
      </c>
      <c r="BN130" s="11">
        <f>City_Inputs!$AI130</f>
        <v/>
      </c>
    </row>
    <row r="131">
      <c r="A131" t="inlineStr">
        <is>
          <t>de-munich</t>
        </is>
      </c>
      <c r="B131" t="inlineStr">
        <is>
          <t>Munich</t>
        </is>
      </c>
      <c r="C131" t="inlineStr">
        <is>
          <t>Germany</t>
        </is>
      </c>
      <c r="D131" t="inlineStr">
        <is>
          <t>Western, Northern, and Southern Europe</t>
        </is>
      </c>
      <c r="E131" t="inlineStr">
        <is>
          <t>provisional</t>
        </is>
      </c>
      <c r="F131" t="inlineStr">
        <is>
          <t>primary</t>
        </is>
      </c>
      <c r="G131" s="11">
        <f>IF(OR(City_Inputs!$M131="",Norm_Stats!$F$2="",Norm_Stats!$G$2="",Norm_Stats!$G$2=Norm_Stats!$F$2),"",MAX(0,MIN(100,100*(MIN(MAX(City_Inputs!$M131,Norm_Stats!$F$2),Norm_Stats!$G$2)-Norm_Stats!$F$2)/(Norm_Stats!$G$2-Norm_Stats!$F$2))))</f>
        <v/>
      </c>
      <c r="H131" s="14">
        <f>IF(G131="","",1)</f>
        <v/>
      </c>
      <c r="I131" s="11">
        <f>IF(OR(City_Inputs!$N131="",Norm_Stats!$F$3="",Norm_Stats!$G$3="",Norm_Stats!$G$3=Norm_Stats!$F$3),"",MAX(0,MIN(100,100*(Norm_Stats!$G$3-MIN(MAX(City_Inputs!$N131,Norm_Stats!$F$3),Norm_Stats!$G$3))/(Norm_Stats!$G$3-Norm_Stats!$F$3))))</f>
        <v/>
      </c>
      <c r="J131" s="14">
        <f>IF(I131="","",1)</f>
        <v/>
      </c>
      <c r="K131" s="11">
        <f>IF(OR(City_Inputs!$P131="",Norm_Stats!$F$4="",Norm_Stats!$G$4="",Norm_Stats!$G$4=Norm_Stats!$F$4),"",MAX(0,MIN(100,100*(Norm_Stats!$G$4-MIN(MAX(City_Inputs!$P131,Norm_Stats!$F$4),Norm_Stats!$G$4))/(Norm_Stats!$G$4-Norm_Stats!$F$4))))</f>
        <v/>
      </c>
      <c r="L131" s="14">
        <f>IF(K131="","",1)</f>
        <v/>
      </c>
      <c r="M131" s="11">
        <f>IF(OR(City_Inputs!$Q131="",Norm_Stats!$F$5="",Norm_Stats!$G$5="",Norm_Stats!$G$5=Norm_Stats!$F$5),"",MAX(0,MIN(100,100*(Norm_Stats!$G$5-MIN(MAX(City_Inputs!$Q131,Norm_Stats!$F$5),Norm_Stats!$G$5))/(Norm_Stats!$G$5-Norm_Stats!$F$5))))</f>
        <v/>
      </c>
      <c r="N131" s="14">
        <f>IF(M131="","",1)</f>
        <v/>
      </c>
      <c r="O131" s="11">
        <f>IF(OR(City_Inputs!$R131="",Norm_Stats!$F$6="",Norm_Stats!$G$6="",Norm_Stats!$G$6=Norm_Stats!$F$6),"",MAX(0,MIN(100,100*(Norm_Stats!$G$6-MIN(MAX(City_Inputs!$R131,Norm_Stats!$F$6),Norm_Stats!$G$6))/(Norm_Stats!$G$6-Norm_Stats!$F$6))))</f>
        <v/>
      </c>
      <c r="P131" s="14">
        <f>IF(O131="","",1)</f>
        <v/>
      </c>
      <c r="Q131" s="15">
        <f>IF((IF(G131="",0,9)+IF(I131="",0,5)+IF(K131="",0,4)+IF(M131="",0,4)+IF(O131="",0,5))=0,"",(IF(G131="",0,G131*9)+IF(I131="",0,I131*5)+IF(K131="",0,K131*4)+IF(M131="",0,M131*4)+IF(O131="",0,O131*5))/(IF(G131="",0,9)+IF(I131="",0,5)+IF(K131="",0,4)+IF(M131="",0,4)+IF(O131="",0,5)))</f>
        <v/>
      </c>
      <c r="R131" s="14">
        <f>IF((IF(H131="",0,9)+IF(J131="",0,5)+IF(L131="",0,4)+IF(N131="",0,4)+IF(P131="",0,5))=0,"",(IF(H131="",0,H131*9)+IF(J131="",0,J131*5)+IF(L131="",0,L131*4)+IF(N131="",0,N131*4)+IF(P131="",0,P131*5))/27)</f>
        <v/>
      </c>
      <c r="S131" s="11">
        <f>IF(OR(City_Inputs!$S131="",Norm_Stats!$F$7="",Norm_Stats!$G$7="",Norm_Stats!$G$7=Norm_Stats!$F$7),"",MAX(0,MIN(100,100*(Norm_Stats!$G$7-MIN(MAX(City_Inputs!$S131,Norm_Stats!$F$7),Norm_Stats!$G$7))/(Norm_Stats!$G$7-Norm_Stats!$F$7))))</f>
        <v/>
      </c>
      <c r="T131" s="14">
        <f>IF(S131="","",1)</f>
        <v/>
      </c>
      <c r="U131" s="11">
        <f>IF(OR(City_Inputs!$T131="",Norm_Stats!$F$8="",Norm_Stats!$G$8="",Norm_Stats!$G$8=Norm_Stats!$F$8),"",MAX(0,MIN(100,100*(MIN(MAX(City_Inputs!$T131,Norm_Stats!$F$8),Norm_Stats!$G$8)-Norm_Stats!$F$8)/(Norm_Stats!$G$8-Norm_Stats!$F$8))))</f>
        <v/>
      </c>
      <c r="V131" s="14">
        <f>IF(U131="","",1)</f>
        <v/>
      </c>
      <c r="W131" s="11">
        <f>IF(OR(City_Inputs!$U131="",Norm_Stats!$F$9="",Norm_Stats!$G$9="",Norm_Stats!$G$9=Norm_Stats!$F$9),"",MAX(0,MIN(100,100*(Norm_Stats!$G$9-MIN(MAX(City_Inputs!$U131,Norm_Stats!$F$9),Norm_Stats!$G$9))/(Norm_Stats!$G$9-Norm_Stats!$F$9))))</f>
        <v/>
      </c>
      <c r="X131" s="14">
        <f>IF(W131="","",1)</f>
        <v/>
      </c>
      <c r="Y131" s="11">
        <f>IF(OR(City_Inputs!$V131="",Norm_Stats!$F$10="",Norm_Stats!$G$10="",Norm_Stats!$G$10=Norm_Stats!$F$10),"",MAX(0,MIN(100,100*(MIN(MAX(City_Inputs!$V131,Norm_Stats!$F$10),Norm_Stats!$G$10)-Norm_Stats!$F$10)/(Norm_Stats!$G$10-Norm_Stats!$F$10))))</f>
        <v/>
      </c>
      <c r="Z131" s="14">
        <f>IF(Y131="","",1)</f>
        <v/>
      </c>
      <c r="AA131" s="11">
        <f>IF(OR(City_Inputs!$W131="",Norm_Stats!$F$11="",Norm_Stats!$G$11="",Norm_Stats!$G$11=Norm_Stats!$F$11),"",MAX(0,MIN(100,100*(MIN(MAX(City_Inputs!$W131,Norm_Stats!$F$11),Norm_Stats!$G$11)-Norm_Stats!$F$11)/(Norm_Stats!$G$11-Norm_Stats!$F$11))))</f>
        <v/>
      </c>
      <c r="AB131" s="14">
        <f>IF(AA131="","",1)</f>
        <v/>
      </c>
      <c r="AC131" s="11">
        <f>IF(OR(City_Inputs!$X131="",Norm_Stats!$F$12="",Norm_Stats!$G$12="",Norm_Stats!$G$12=Norm_Stats!$F$12),"",MAX(0,MIN(100,100*(MIN(MAX(City_Inputs!$X131,Norm_Stats!$F$12),Norm_Stats!$G$12)-Norm_Stats!$F$12)/(Norm_Stats!$G$12-Norm_Stats!$F$12))))</f>
        <v/>
      </c>
      <c r="AD131" s="11">
        <f>IF(AC131="","",1)</f>
        <v/>
      </c>
      <c r="AE131" s="15">
        <f>IF((IF(S131="",0,5)+IF(U131="",0,5)+IF(W131="",0,4)+IF(Y131="",0,4)+IF(AA131="",0,4)+IF(AC131="",0,5))=0,"",(IF(S131="",0,S131*5)+IF(U131="",0,U131*5)+IF(W131="",0,W131*4)+IF(Y131="",0,Y131*4)+IF(AA131="",0,AA131*4)+IF(AC131="",0,AC131*5))/(IF(S131="",0,5)+IF(U131="",0,5)+IF(W131="",0,4)+IF(Y131="",0,4)+IF(AA131="",0,4)+IF(AC131="",0,5)))</f>
        <v/>
      </c>
      <c r="AF131" s="14">
        <f>IF((IF(T131="",0,5)+IF(V131="",0,5)+IF(X131="",0,4)+IF(Z131="",0,4)+IF(AB131="",0,4)+IF(AD131="",0,5))=0,"",(IF(T131="",0,T131*5)+IF(V131="",0,V131*5)+IF(X131="",0,X131*4)+IF(Z131="",0,Z131*4)+IF(AB131="",0,AB131*4)+IF(AD131="",0,AD131*5))/27)</f>
        <v/>
      </c>
      <c r="AG131" s="11">
        <f>IF(OR(City_Inputs!$Y131="",Norm_Stats!$F$13="",Norm_Stats!$G$13="",Norm_Stats!$G$13=Norm_Stats!$F$13),"",MAX(0,MIN(100,100*(MIN(MAX(City_Inputs!$Y131,Norm_Stats!$F$13),Norm_Stats!$G$13)-Norm_Stats!$F$13)/(Norm_Stats!$G$13-Norm_Stats!$F$13))))</f>
        <v/>
      </c>
      <c r="AH131" s="14">
        <f>IF(AG131="","",1)</f>
        <v/>
      </c>
      <c r="AI131" s="11">
        <f>IF(OR(City_Inputs!$Z131="",Norm_Stats!$F$14="",Norm_Stats!$G$14="",Norm_Stats!$G$14=Norm_Stats!$F$14),"",MAX(0,MIN(100,100*(MIN(MAX(City_Inputs!$Z131,Norm_Stats!$F$14),Norm_Stats!$G$14)-Norm_Stats!$F$14)/(Norm_Stats!$G$14-Norm_Stats!$F$14))))</f>
        <v/>
      </c>
      <c r="AJ131" s="14">
        <f>IF(AI131="","",1)</f>
        <v/>
      </c>
      <c r="AK131" s="11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(IF(OR(City_Inputs!$AA131="",Norm_Stats!$F$15="",Norm_Stats!$G$15="",Norm_Stats!$G$15=Norm_Stats!$F$15),"",MAX(0,MIN(100,100*(MIN(MAX(City_Inputs!$AA131,Norm_Stats!$F$15),Norm_Stats!$G$15)-Norm_Stats!$F$15)/(Norm_Stats!$G$15-Norm_Stats!$F$15)))))*0.7)+IF((IF(OR(City_Inputs!$AL131="",Norm_Stats!$F$16="",Norm_Stats!$G$16="",Norm_Stats!$G$16=Norm_Stats!$F$16),"",MAX(0,MIN(100,100*(Norm_Stats!$G$16-MIN(MAX(City_Inputs!$AL131,Norm_Stats!$F$16),Norm_Stats!$G$16))/(Norm_Stats!$G$16-Norm_Stats!$F$16)))))="",0,(IF(OR(City_Inputs!$AL131="",Norm_Stats!$F$16="",Norm_Stats!$G$16="",Norm_Stats!$G$16=Norm_Stats!$F$16),"",MAX(0,MIN(100,100*(Norm_Stats!$G$16-MIN(MAX(City_Inputs!$AL131,Norm_Stats!$F$16),Norm_Stats!$G$16))/(Norm_Stats!$G$16-Norm_Stats!$F$16)))))*0.3))/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L131" s="14">
        <f>IF(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=0,"",(IF((IF(OR(City_Inputs!$AA131="",Norm_Stats!$F$15="",Norm_Stats!$G$15="",Norm_Stats!$G$15=Norm_Stats!$F$15),"",MAX(0,MIN(100,100*(MIN(MAX(City_Inputs!$AA131,Norm_Stats!$F$15),Norm_Stats!$G$15)-Norm_Stats!$F$15)/(Norm_Stats!$G$15-Norm_Stats!$F$15)))))="",0,0.7)+IF((IF(OR(City_Inputs!$AL131="",Norm_Stats!$F$16="",Norm_Stats!$G$16="",Norm_Stats!$G$16=Norm_Stats!$F$16),"",MAX(0,MIN(100,100*(Norm_Stats!$G$16-MIN(MAX(City_Inputs!$AL131,Norm_Stats!$F$16),Norm_Stats!$G$16))/(Norm_Stats!$G$16-Norm_Stats!$F$16)))))="",0,0.3)))</f>
        <v/>
      </c>
      <c r="AM131" s="15">
        <f>IF((IF(AG131="",0,8)+IF(AI131="",0,6)+IF(AK131="",0,4))=0,"",(IF(AG131="",0,AG131*8)+IF(AI131="",0,AI131*6)+IF(AK131="",0,AK131*4))/(IF(AG131="",0,8)+IF(AI131="",0,6)+IF(AK131="",0,4)))</f>
        <v/>
      </c>
      <c r="AN131" s="14">
        <f>IF((IF(AH131="",0,8)+IF(AJ131="",0,6)+IF(AL131="",0,4))=0,"",(IF(AH131="",0,AH131*8)+IF(AJ131="",0,AJ131*6)+IF(AL131="",0,AL131*4))/18)</f>
        <v/>
      </c>
      <c r="AO131" s="11">
        <f>IF(OR(City_Inputs!$AB131="",Norm_Stats!$F$17="",Norm_Stats!$G$17="",Norm_Stats!$G$17=Norm_Stats!$F$17),"",MAX(0,MIN(100,100*(MIN(MAX(City_Inputs!$AB131,Norm_Stats!$F$17),Norm_Stats!$G$17)-Norm_Stats!$F$17)/(Norm_Stats!$G$17-Norm_Stats!$F$17))))</f>
        <v/>
      </c>
      <c r="AP131" s="14">
        <f>IF(AO131="","",1)</f>
        <v/>
      </c>
      <c r="AQ131" s="11">
        <f>IF(OR(City_Inputs!$AC131="",Norm_Stats!$F$18="",Norm_Stats!$G$18="",Norm_Stats!$G$18=Norm_Stats!$F$18),"",MAX(0,MIN(100,100*(MIN(MAX(City_Inputs!$AC131,Norm_Stats!$F$18),Norm_Stats!$G$18)-Norm_Stats!$F$18)/(Norm_Stats!$G$18-Norm_Stats!$F$18))))</f>
        <v/>
      </c>
      <c r="AR131" s="14">
        <f>IF(AQ131="","",1)</f>
        <v/>
      </c>
      <c r="AS131" s="11">
        <f>IF(OR(City_Inputs!$AD131="",Norm_Stats!$F$19="",Norm_Stats!$G$19="",Norm_Stats!$G$19=Norm_Stats!$F$19),"",MAX(0,MIN(100,100*(MIN(MAX(City_Inputs!$AD131,Norm_Stats!$F$19),Norm_Stats!$G$19)-Norm_Stats!$F$19)/(Norm_Stats!$G$19-Norm_Stats!$F$19))))</f>
        <v/>
      </c>
      <c r="AT131" s="14">
        <f>IF(AS131="","",1)</f>
        <v/>
      </c>
      <c r="AU131" s="11">
        <f>IF(OR(City_Inputs!$BJ131="",Norm_Stats!$F$26="",Norm_Stats!$G$26="",Norm_Stats!$G$26=Norm_Stats!$F$26),"",MAX(0,MIN(100,100*(MIN(MAX(City_Inputs!$BJ131,Norm_Stats!$F$26),Norm_Stats!$G$26)-Norm_Stats!$F$26)/(Norm_Stats!$G$26-Norm_Stats!$F$26))))</f>
        <v/>
      </c>
      <c r="AV131" s="11">
        <f>IF(AU131="","",1)</f>
        <v/>
      </c>
      <c r="AW131" s="15">
        <f>IF((IF(AO131="",0,5)+IF(AQ131="",0,5)+IF(AS131="",0,5)+IF(AU131="",0,4))=0,"",(IF(AO131="",0,AO131*5)+IF(AQ131="",0,AQ131*5)+IF(AS131="",0,AS131*5)+IF(AU131="",0,AU131*4))/(IF(AO131="",0,5)+IF(AQ131="",0,5)+IF(AS131="",0,5)+IF(AU131="",0,4)))</f>
        <v/>
      </c>
      <c r="AX131" s="14">
        <f>IF((IF(AP131="",0,5)+IF(AR131="",0,5)+IF(AT131="",0,5)+IF(AV131="",0,4))=0,"",(IF(AP131="",0,AP131*5)+IF(AR131="",0,AR131*5)+IF(AT131="",0,AT131*5)+IF(AV131="",0,AV131*4))/19)</f>
        <v/>
      </c>
      <c r="AY131" s="11">
        <f>IF(OR(City_Inputs!$AE131="",Norm_Stats!$F$20="",Norm_Stats!$G$20="",Norm_Stats!$G$20=Norm_Stats!$F$20),"",MAX(0,MIN(100,100*(MIN(MAX(City_Inputs!$AE131,Norm_Stats!$F$20),Norm_Stats!$G$20)-Norm_Stats!$F$20)/(Norm_Stats!$G$20-Norm_Stats!$F$20))))</f>
        <v/>
      </c>
      <c r="AZ131" s="14">
        <f>IF(AY131="","",1)</f>
        <v/>
      </c>
      <c r="BA131" s="11">
        <f>IF(OR(City_Inputs!$AF131="",Norm_Stats!$F$21="",Norm_Stats!$G$21="",Norm_Stats!$G$21=Norm_Stats!$F$21),"",MAX(0,MIN(100,100*(MIN(MAX(City_Inputs!$AF131,Norm_Stats!$F$21),Norm_Stats!$G$21)-Norm_Stats!$F$21)/(Norm_Stats!$G$21-Norm_Stats!$F$21))))</f>
        <v/>
      </c>
      <c r="BB131" s="14">
        <f>IF(BA131="","",1)</f>
        <v/>
      </c>
      <c r="BC131" s="11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(IF(OR(City_Inputs!$AG131="",Norm_Stats!$F$22="",Norm_Stats!$G$22="",Norm_Stats!$G$22=Norm_Stats!$F$22),"",MAX(0,MIN(100,100*(MIN(MAX(City_Inputs!$AG131,Norm_Stats!$F$22),Norm_Stats!$G$22)-Norm_Stats!$F$22)/(Norm_Stats!$G$22-Norm_Stats!$F$22)))))*0.5)+IF((IF(OR(City_Inputs!$AJ131="",Norm_Stats!$F$23="",Norm_Stats!$G$23="",Norm_Stats!$G$23=Norm_Stats!$F$23),"",MAX(0,MIN(100,100*(MIN(MAX(City_Inputs!$AJ131,Norm_Stats!$F$23),Norm_Stats!$G$23)-Norm_Stats!$F$23)/(Norm_Stats!$G$23-Norm_Stats!$F$23)))))="",0,(IF(OR(City_Inputs!$AJ131="",Norm_Stats!$F$23="",Norm_Stats!$G$23="",Norm_Stats!$G$23=Norm_Stats!$F$23),"",MAX(0,MIN(100,100*(MIN(MAX(City_Inputs!$AJ131,Norm_Stats!$F$23),Norm_Stats!$G$23)-Norm_Stats!$F$23)/(Norm_Stats!$G$23-Norm_Stats!$F$23)))))*0.3)+IF((IF(OR(City_Inputs!$AK131="",Norm_Stats!$F$24="",Norm_Stats!$G$24="",Norm_Stats!$G$24=Norm_Stats!$F$24),"",MAX(0,MIN(100,100*(MIN(MAX(City_Inputs!$AK131,Norm_Stats!$F$24),Norm_Stats!$G$24)-Norm_Stats!$F$24)/(Norm_Stats!$G$24-Norm_Stats!$F$24)))))="",0,(IF(OR(City_Inputs!$AK131="",Norm_Stats!$F$24="",Norm_Stats!$G$24="",Norm_Stats!$G$24=Norm_Stats!$F$24),"",MAX(0,MIN(100,100*(MIN(MAX(City_Inputs!$AK131,Norm_Stats!$F$24),Norm_Stats!$G$24)-Norm_Stats!$F$24)/(Norm_Stats!$G$24-Norm_Stats!$F$24)))))*0.2))/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D131" s="14">
        <f>IF(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=0,"",(IF((IF(OR(City_Inputs!$AG131="",Norm_Stats!$F$22="",Norm_Stats!$G$22="",Norm_Stats!$G$22=Norm_Stats!$F$22),"",MAX(0,MIN(100,100*(MIN(MAX(City_Inputs!$AG131,Norm_Stats!$F$22),Norm_Stats!$G$22)-Norm_Stats!$F$22)/(Norm_Stats!$G$22-Norm_Stats!$F$22)))))="",0,0.5)+IF((IF(OR(City_Inputs!$AJ131="",Norm_Stats!$F$23="",Norm_Stats!$G$23="",Norm_Stats!$G$23=Norm_Stats!$F$23),"",MAX(0,MIN(100,100*(MIN(MAX(City_Inputs!$AJ131,Norm_Stats!$F$23),Norm_Stats!$G$23)-Norm_Stats!$F$23)/(Norm_Stats!$G$23-Norm_Stats!$F$23)))))="",0,0.3)+IF((IF(OR(City_Inputs!$AK131="",Norm_Stats!$F$24="",Norm_Stats!$G$24="",Norm_Stats!$G$24=Norm_Stats!$F$24),"",MAX(0,MIN(100,100*(MIN(MAX(City_Inputs!$AK131,Norm_Stats!$F$24),Norm_Stats!$G$24)-Norm_Stats!$F$24)/(Norm_Stats!$G$24-Norm_Stats!$F$24)))))="",0,0.2)))</f>
        <v/>
      </c>
      <c r="BE131" s="11">
        <f>IF(OR(City_Inputs!$AH131="",Norm_Stats!$F$25="",Norm_Stats!$G$25="",Norm_Stats!$G$25=Norm_Stats!$F$25),"",MAX(0,MIN(100,100*(Norm_Stats!$G$25-MIN(MAX(City_Inputs!$AH131,Norm_Stats!$F$25),Norm_Stats!$G$25))/(Norm_Stats!$G$25-Norm_Stats!$F$25))))</f>
        <v/>
      </c>
      <c r="BF131" s="14">
        <f>IF(BE131="","",1)</f>
        <v/>
      </c>
      <c r="BG131" s="15">
        <f>IF((IF(AY131="",0,6)+IF(BA131="",0,5)+IF(BC131="",0,5)+IF(BE131="",0,4))=0,"",(IF(AY131="",0,AY131*6)+IF(BA131="",0,BA131*5)+IF(BC131="",0,BC131*5)+IF(BE131="",0,BE131*4))/(IF(AY131="",0,6)+IF(BA131="",0,5)+IF(BC131="",0,5)+IF(BE131="",0,4)))</f>
        <v/>
      </c>
      <c r="BH131" s="14">
        <f>IF((IF(AZ131="",0,6)+IF(BB131="",0,5)+IF(BD131="",0,5)+IF(BF131="",0,4))=0,"",(IF(AZ131="",0,AZ131*6)+IF(BB131="",0,BB131*5)+IF(BD131="",0,BD131*5)+IF(BF131="",0,BF131*4))/20)</f>
        <v/>
      </c>
      <c r="BI131" s="14">
        <f>IF(AND(R131="",AF131="",AN131="",AX131="",BH131=""),"",((R131*25)+(AF131*22)+(AN131*18)+(AX131*15)+(BH131*20))/100)</f>
        <v/>
      </c>
      <c r="BJ131" s="11">
        <f>IF(BI131="","",IF(BI131&gt;=0.75,"A",IF(BI131&gt;=0.5,"B",IF(BI131&gt;=0.35,"C","Watchlist"))))</f>
        <v/>
      </c>
      <c r="BK131" s="11">
        <f>IF(OR(BI131="",BI131&lt;0.5,R131="",R131&lt;0.35,AF131="",AF131&lt;0.35,AN131="",AN131&lt;0.35,AX131="",AX131&lt;0.35,BH131="",BH131&lt;0.35),"Watchlist","Ranked")</f>
        <v/>
      </c>
      <c r="BL131" s="15">
        <f>IF(AND(Q131="",AE131="",AM131="",AW131="",BG131=""),"",(IF(Q131="",0,Q131*25)+IF(AE131="",0,AE131*22)+IF(AM131="",0,AM131*18)+IF(AW131="",0,AW131*15)+IF(BG131="",0,BG131*20))/(IF(Q131="",0,25)+IF(AE131="",0,22)+IF(AM131="",0,18)+IF(AW131="",0,15)+IF(BG131="",0,20)))</f>
        <v/>
      </c>
      <c r="BM131" s="11">
        <f>IF(BK131="Ranked",1+COUNTIFS($BK$2:$BK$158,"Ranked",$BL$2:$BL$158,"&gt;"&amp;BL131),"")</f>
        <v/>
      </c>
      <c r="BN131" s="11">
        <f>City_Inputs!$AI131</f>
        <v/>
      </c>
    </row>
    <row r="132">
      <c r="A132" t="inlineStr">
        <is>
          <t>be-antwerp</t>
        </is>
      </c>
      <c r="B132" t="inlineStr">
        <is>
          <t>Antwerp</t>
        </is>
      </c>
      <c r="C132" t="inlineStr">
        <is>
          <t>Belgium</t>
        </is>
      </c>
      <c r="D132" t="inlineStr">
        <is>
          <t>Western, Northern, and Southern Europe</t>
        </is>
      </c>
      <c r="E132" t="inlineStr">
        <is>
          <t>provisional</t>
        </is>
      </c>
      <c r="F132" t="inlineStr">
        <is>
          <t>secondary</t>
        </is>
      </c>
      <c r="G132" s="11">
        <f>IF(OR(City_Inputs!$M132="",Norm_Stats!$F$2="",Norm_Stats!$G$2="",Norm_Stats!$G$2=Norm_Stats!$F$2),"",MAX(0,MIN(100,100*(MIN(MAX(City_Inputs!$M132,Norm_Stats!$F$2),Norm_Stats!$G$2)-Norm_Stats!$F$2)/(Norm_Stats!$G$2-Norm_Stats!$F$2))))</f>
        <v/>
      </c>
      <c r="H132" s="14">
        <f>IF(G132="","",1)</f>
        <v/>
      </c>
      <c r="I132" s="11">
        <f>IF(OR(City_Inputs!$N132="",Norm_Stats!$F$3="",Norm_Stats!$G$3="",Norm_Stats!$G$3=Norm_Stats!$F$3),"",MAX(0,MIN(100,100*(Norm_Stats!$G$3-MIN(MAX(City_Inputs!$N132,Norm_Stats!$F$3),Norm_Stats!$G$3))/(Norm_Stats!$G$3-Norm_Stats!$F$3))))</f>
        <v/>
      </c>
      <c r="J132" s="14">
        <f>IF(I132="","",1)</f>
        <v/>
      </c>
      <c r="K132" s="11">
        <f>IF(OR(City_Inputs!$P132="",Norm_Stats!$F$4="",Norm_Stats!$G$4="",Norm_Stats!$G$4=Norm_Stats!$F$4),"",MAX(0,MIN(100,100*(Norm_Stats!$G$4-MIN(MAX(City_Inputs!$P132,Norm_Stats!$F$4),Norm_Stats!$G$4))/(Norm_Stats!$G$4-Norm_Stats!$F$4))))</f>
        <v/>
      </c>
      <c r="L132" s="14">
        <f>IF(K132="","",1)</f>
        <v/>
      </c>
      <c r="M132" s="11">
        <f>IF(OR(City_Inputs!$Q132="",Norm_Stats!$F$5="",Norm_Stats!$G$5="",Norm_Stats!$G$5=Norm_Stats!$F$5),"",MAX(0,MIN(100,100*(Norm_Stats!$G$5-MIN(MAX(City_Inputs!$Q132,Norm_Stats!$F$5),Norm_Stats!$G$5))/(Norm_Stats!$G$5-Norm_Stats!$F$5))))</f>
        <v/>
      </c>
      <c r="N132" s="14">
        <f>IF(M132="","",1)</f>
        <v/>
      </c>
      <c r="O132" s="11">
        <f>IF(OR(City_Inputs!$R132="",Norm_Stats!$F$6="",Norm_Stats!$G$6="",Norm_Stats!$G$6=Norm_Stats!$F$6),"",MAX(0,MIN(100,100*(Norm_Stats!$G$6-MIN(MAX(City_Inputs!$R132,Norm_Stats!$F$6),Norm_Stats!$G$6))/(Norm_Stats!$G$6-Norm_Stats!$F$6))))</f>
        <v/>
      </c>
      <c r="P132" s="14">
        <f>IF(O132="","",1)</f>
        <v/>
      </c>
      <c r="Q132" s="15">
        <f>IF((IF(G132="",0,9)+IF(I132="",0,5)+IF(K132="",0,4)+IF(M132="",0,4)+IF(O132="",0,5))=0,"",(IF(G132="",0,G132*9)+IF(I132="",0,I132*5)+IF(K132="",0,K132*4)+IF(M132="",0,M132*4)+IF(O132="",0,O132*5))/(IF(G132="",0,9)+IF(I132="",0,5)+IF(K132="",0,4)+IF(M132="",0,4)+IF(O132="",0,5)))</f>
        <v/>
      </c>
      <c r="R132" s="14">
        <f>IF((IF(H132="",0,9)+IF(J132="",0,5)+IF(L132="",0,4)+IF(N132="",0,4)+IF(P132="",0,5))=0,"",(IF(H132="",0,H132*9)+IF(J132="",0,J132*5)+IF(L132="",0,L132*4)+IF(N132="",0,N132*4)+IF(P132="",0,P132*5))/27)</f>
        <v/>
      </c>
      <c r="S132" s="11">
        <f>IF(OR(City_Inputs!$S132="",Norm_Stats!$F$7="",Norm_Stats!$G$7="",Norm_Stats!$G$7=Norm_Stats!$F$7),"",MAX(0,MIN(100,100*(Norm_Stats!$G$7-MIN(MAX(City_Inputs!$S132,Norm_Stats!$F$7),Norm_Stats!$G$7))/(Norm_Stats!$G$7-Norm_Stats!$F$7))))</f>
        <v/>
      </c>
      <c r="T132" s="14">
        <f>IF(S132="","",1)</f>
        <v/>
      </c>
      <c r="U132" s="11">
        <f>IF(OR(City_Inputs!$T132="",Norm_Stats!$F$8="",Norm_Stats!$G$8="",Norm_Stats!$G$8=Norm_Stats!$F$8),"",MAX(0,MIN(100,100*(MIN(MAX(City_Inputs!$T132,Norm_Stats!$F$8),Norm_Stats!$G$8)-Norm_Stats!$F$8)/(Norm_Stats!$G$8-Norm_Stats!$F$8))))</f>
        <v/>
      </c>
      <c r="V132" s="14">
        <f>IF(U132="","",1)</f>
        <v/>
      </c>
      <c r="W132" s="11">
        <f>IF(OR(City_Inputs!$U132="",Norm_Stats!$F$9="",Norm_Stats!$G$9="",Norm_Stats!$G$9=Norm_Stats!$F$9),"",MAX(0,MIN(100,100*(Norm_Stats!$G$9-MIN(MAX(City_Inputs!$U132,Norm_Stats!$F$9),Norm_Stats!$G$9))/(Norm_Stats!$G$9-Norm_Stats!$F$9))))</f>
        <v/>
      </c>
      <c r="X132" s="14">
        <f>IF(W132="","",1)</f>
        <v/>
      </c>
      <c r="Y132" s="11">
        <f>IF(OR(City_Inputs!$V132="",Norm_Stats!$F$10="",Norm_Stats!$G$10="",Norm_Stats!$G$10=Norm_Stats!$F$10),"",MAX(0,MIN(100,100*(MIN(MAX(City_Inputs!$V132,Norm_Stats!$F$10),Norm_Stats!$G$10)-Norm_Stats!$F$10)/(Norm_Stats!$G$10-Norm_Stats!$F$10))))</f>
        <v/>
      </c>
      <c r="Z132" s="14">
        <f>IF(Y132="","",1)</f>
        <v/>
      </c>
      <c r="AA132" s="11">
        <f>IF(OR(City_Inputs!$W132="",Norm_Stats!$F$11="",Norm_Stats!$G$11="",Norm_Stats!$G$11=Norm_Stats!$F$11),"",MAX(0,MIN(100,100*(MIN(MAX(City_Inputs!$W132,Norm_Stats!$F$11),Norm_Stats!$G$11)-Norm_Stats!$F$11)/(Norm_Stats!$G$11-Norm_Stats!$F$11))))</f>
        <v/>
      </c>
      <c r="AB132" s="14">
        <f>IF(AA132="","",1)</f>
        <v/>
      </c>
      <c r="AC132" s="11">
        <f>IF(OR(City_Inputs!$X132="",Norm_Stats!$F$12="",Norm_Stats!$G$12="",Norm_Stats!$G$12=Norm_Stats!$F$12),"",MAX(0,MIN(100,100*(MIN(MAX(City_Inputs!$X132,Norm_Stats!$F$12),Norm_Stats!$G$12)-Norm_Stats!$F$12)/(Norm_Stats!$G$12-Norm_Stats!$F$12))))</f>
        <v/>
      </c>
      <c r="AD132" s="11">
        <f>IF(AC132="","",1)</f>
        <v/>
      </c>
      <c r="AE132" s="15">
        <f>IF((IF(S132="",0,5)+IF(U132="",0,5)+IF(W132="",0,4)+IF(Y132="",0,4)+IF(AA132="",0,4)+IF(AC132="",0,5))=0,"",(IF(S132="",0,S132*5)+IF(U132="",0,U132*5)+IF(W132="",0,W132*4)+IF(Y132="",0,Y132*4)+IF(AA132="",0,AA132*4)+IF(AC132="",0,AC132*5))/(IF(S132="",0,5)+IF(U132="",0,5)+IF(W132="",0,4)+IF(Y132="",0,4)+IF(AA132="",0,4)+IF(AC132="",0,5)))</f>
        <v/>
      </c>
      <c r="AF132" s="14">
        <f>IF((IF(T132="",0,5)+IF(V132="",0,5)+IF(X132="",0,4)+IF(Z132="",0,4)+IF(AB132="",0,4)+IF(AD132="",0,5))=0,"",(IF(T132="",0,T132*5)+IF(V132="",0,V132*5)+IF(X132="",0,X132*4)+IF(Z132="",0,Z132*4)+IF(AB132="",0,AB132*4)+IF(AD132="",0,AD132*5))/27)</f>
        <v/>
      </c>
      <c r="AG132" s="11">
        <f>IF(OR(City_Inputs!$Y132="",Norm_Stats!$F$13="",Norm_Stats!$G$13="",Norm_Stats!$G$13=Norm_Stats!$F$13),"",MAX(0,MIN(100,100*(MIN(MAX(City_Inputs!$Y132,Norm_Stats!$F$13),Norm_Stats!$G$13)-Norm_Stats!$F$13)/(Norm_Stats!$G$13-Norm_Stats!$F$13))))</f>
        <v/>
      </c>
      <c r="AH132" s="14">
        <f>IF(AG132="","",1)</f>
        <v/>
      </c>
      <c r="AI132" s="11">
        <f>IF(OR(City_Inputs!$Z132="",Norm_Stats!$F$14="",Norm_Stats!$G$14="",Norm_Stats!$G$14=Norm_Stats!$F$14),"",MAX(0,MIN(100,100*(MIN(MAX(City_Inputs!$Z132,Norm_Stats!$F$14),Norm_Stats!$G$14)-Norm_Stats!$F$14)/(Norm_Stats!$G$14-Norm_Stats!$F$14))))</f>
        <v/>
      </c>
      <c r="AJ132" s="14">
        <f>IF(AI132="","",1)</f>
        <v/>
      </c>
      <c r="AK132" s="11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(IF(OR(City_Inputs!$AA132="",Norm_Stats!$F$15="",Norm_Stats!$G$15="",Norm_Stats!$G$15=Norm_Stats!$F$15),"",MAX(0,MIN(100,100*(MIN(MAX(City_Inputs!$AA132,Norm_Stats!$F$15),Norm_Stats!$G$15)-Norm_Stats!$F$15)/(Norm_Stats!$G$15-Norm_Stats!$F$15)))))*0.7)+IF((IF(OR(City_Inputs!$AL132="",Norm_Stats!$F$16="",Norm_Stats!$G$16="",Norm_Stats!$G$16=Norm_Stats!$F$16),"",MAX(0,MIN(100,100*(Norm_Stats!$G$16-MIN(MAX(City_Inputs!$AL132,Norm_Stats!$F$16),Norm_Stats!$G$16))/(Norm_Stats!$G$16-Norm_Stats!$F$16)))))="",0,(IF(OR(City_Inputs!$AL132="",Norm_Stats!$F$16="",Norm_Stats!$G$16="",Norm_Stats!$G$16=Norm_Stats!$F$16),"",MAX(0,MIN(100,100*(Norm_Stats!$G$16-MIN(MAX(City_Inputs!$AL132,Norm_Stats!$F$16),Norm_Stats!$G$16))/(Norm_Stats!$G$16-Norm_Stats!$F$16)))))*0.3))/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L132" s="14">
        <f>IF(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=0,"",(IF((IF(OR(City_Inputs!$AA132="",Norm_Stats!$F$15="",Norm_Stats!$G$15="",Norm_Stats!$G$15=Norm_Stats!$F$15),"",MAX(0,MIN(100,100*(MIN(MAX(City_Inputs!$AA132,Norm_Stats!$F$15),Norm_Stats!$G$15)-Norm_Stats!$F$15)/(Norm_Stats!$G$15-Norm_Stats!$F$15)))))="",0,0.7)+IF((IF(OR(City_Inputs!$AL132="",Norm_Stats!$F$16="",Norm_Stats!$G$16="",Norm_Stats!$G$16=Norm_Stats!$F$16),"",MAX(0,MIN(100,100*(Norm_Stats!$G$16-MIN(MAX(City_Inputs!$AL132,Norm_Stats!$F$16),Norm_Stats!$G$16))/(Norm_Stats!$G$16-Norm_Stats!$F$16)))))="",0,0.3)))</f>
        <v/>
      </c>
      <c r="AM132" s="15">
        <f>IF((IF(AG132="",0,8)+IF(AI132="",0,6)+IF(AK132="",0,4))=0,"",(IF(AG132="",0,AG132*8)+IF(AI132="",0,AI132*6)+IF(AK132="",0,AK132*4))/(IF(AG132="",0,8)+IF(AI132="",0,6)+IF(AK132="",0,4)))</f>
        <v/>
      </c>
      <c r="AN132" s="14">
        <f>IF((IF(AH132="",0,8)+IF(AJ132="",0,6)+IF(AL132="",0,4))=0,"",(IF(AH132="",0,AH132*8)+IF(AJ132="",0,AJ132*6)+IF(AL132="",0,AL132*4))/18)</f>
        <v/>
      </c>
      <c r="AO132" s="11">
        <f>IF(OR(City_Inputs!$AB132="",Norm_Stats!$F$17="",Norm_Stats!$G$17="",Norm_Stats!$G$17=Norm_Stats!$F$17),"",MAX(0,MIN(100,100*(MIN(MAX(City_Inputs!$AB132,Norm_Stats!$F$17),Norm_Stats!$G$17)-Norm_Stats!$F$17)/(Norm_Stats!$G$17-Norm_Stats!$F$17))))</f>
        <v/>
      </c>
      <c r="AP132" s="14">
        <f>IF(AO132="","",1)</f>
        <v/>
      </c>
      <c r="AQ132" s="11">
        <f>IF(OR(City_Inputs!$AC132="",Norm_Stats!$F$18="",Norm_Stats!$G$18="",Norm_Stats!$G$18=Norm_Stats!$F$18),"",MAX(0,MIN(100,100*(MIN(MAX(City_Inputs!$AC132,Norm_Stats!$F$18),Norm_Stats!$G$18)-Norm_Stats!$F$18)/(Norm_Stats!$G$18-Norm_Stats!$F$18))))</f>
        <v/>
      </c>
      <c r="AR132" s="14">
        <f>IF(AQ132="","",1)</f>
        <v/>
      </c>
      <c r="AS132" s="11">
        <f>IF(OR(City_Inputs!$AD132="",Norm_Stats!$F$19="",Norm_Stats!$G$19="",Norm_Stats!$G$19=Norm_Stats!$F$19),"",MAX(0,MIN(100,100*(MIN(MAX(City_Inputs!$AD132,Norm_Stats!$F$19),Norm_Stats!$G$19)-Norm_Stats!$F$19)/(Norm_Stats!$G$19-Norm_Stats!$F$19))))</f>
        <v/>
      </c>
      <c r="AT132" s="14">
        <f>IF(AS132="","",1)</f>
        <v/>
      </c>
      <c r="AU132" s="11">
        <f>IF(OR(City_Inputs!$BJ132="",Norm_Stats!$F$26="",Norm_Stats!$G$26="",Norm_Stats!$G$26=Norm_Stats!$F$26),"",MAX(0,MIN(100,100*(MIN(MAX(City_Inputs!$BJ132,Norm_Stats!$F$26),Norm_Stats!$G$26)-Norm_Stats!$F$26)/(Norm_Stats!$G$26-Norm_Stats!$F$26))))</f>
        <v/>
      </c>
      <c r="AV132" s="11">
        <f>IF(AU132="","",1)</f>
        <v/>
      </c>
      <c r="AW132" s="15">
        <f>IF((IF(AO132="",0,5)+IF(AQ132="",0,5)+IF(AS132="",0,5)+IF(AU132="",0,4))=0,"",(IF(AO132="",0,AO132*5)+IF(AQ132="",0,AQ132*5)+IF(AS132="",0,AS132*5)+IF(AU132="",0,AU132*4))/(IF(AO132="",0,5)+IF(AQ132="",0,5)+IF(AS132="",0,5)+IF(AU132="",0,4)))</f>
        <v/>
      </c>
      <c r="AX132" s="14">
        <f>IF((IF(AP132="",0,5)+IF(AR132="",0,5)+IF(AT132="",0,5)+IF(AV132="",0,4))=0,"",(IF(AP132="",0,AP132*5)+IF(AR132="",0,AR132*5)+IF(AT132="",0,AT132*5)+IF(AV132="",0,AV132*4))/19)</f>
        <v/>
      </c>
      <c r="AY132" s="11">
        <f>IF(OR(City_Inputs!$AE132="",Norm_Stats!$F$20="",Norm_Stats!$G$20="",Norm_Stats!$G$20=Norm_Stats!$F$20),"",MAX(0,MIN(100,100*(MIN(MAX(City_Inputs!$AE132,Norm_Stats!$F$20),Norm_Stats!$G$20)-Norm_Stats!$F$20)/(Norm_Stats!$G$20-Norm_Stats!$F$20))))</f>
        <v/>
      </c>
      <c r="AZ132" s="14">
        <f>IF(AY132="","",1)</f>
        <v/>
      </c>
      <c r="BA132" s="11">
        <f>IF(OR(City_Inputs!$AF132="",Norm_Stats!$F$21="",Norm_Stats!$G$21="",Norm_Stats!$G$21=Norm_Stats!$F$21),"",MAX(0,MIN(100,100*(MIN(MAX(City_Inputs!$AF132,Norm_Stats!$F$21),Norm_Stats!$G$21)-Norm_Stats!$F$21)/(Norm_Stats!$G$21-Norm_Stats!$F$21))))</f>
        <v/>
      </c>
      <c r="BB132" s="14">
        <f>IF(BA132="","",1)</f>
        <v/>
      </c>
      <c r="BC132" s="11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(IF(OR(City_Inputs!$AG132="",Norm_Stats!$F$22="",Norm_Stats!$G$22="",Norm_Stats!$G$22=Norm_Stats!$F$22),"",MAX(0,MIN(100,100*(MIN(MAX(City_Inputs!$AG132,Norm_Stats!$F$22),Norm_Stats!$G$22)-Norm_Stats!$F$22)/(Norm_Stats!$G$22-Norm_Stats!$F$22)))))*0.5)+IF((IF(OR(City_Inputs!$AJ132="",Norm_Stats!$F$23="",Norm_Stats!$G$23="",Norm_Stats!$G$23=Norm_Stats!$F$23),"",MAX(0,MIN(100,100*(MIN(MAX(City_Inputs!$AJ132,Norm_Stats!$F$23),Norm_Stats!$G$23)-Norm_Stats!$F$23)/(Norm_Stats!$G$23-Norm_Stats!$F$23)))))="",0,(IF(OR(City_Inputs!$AJ132="",Norm_Stats!$F$23="",Norm_Stats!$G$23="",Norm_Stats!$G$23=Norm_Stats!$F$23),"",MAX(0,MIN(100,100*(MIN(MAX(City_Inputs!$AJ132,Norm_Stats!$F$23),Norm_Stats!$G$23)-Norm_Stats!$F$23)/(Norm_Stats!$G$23-Norm_Stats!$F$23)))))*0.3)+IF((IF(OR(City_Inputs!$AK132="",Norm_Stats!$F$24="",Norm_Stats!$G$24="",Norm_Stats!$G$24=Norm_Stats!$F$24),"",MAX(0,MIN(100,100*(MIN(MAX(City_Inputs!$AK132,Norm_Stats!$F$24),Norm_Stats!$G$24)-Norm_Stats!$F$24)/(Norm_Stats!$G$24-Norm_Stats!$F$24)))))="",0,(IF(OR(City_Inputs!$AK132="",Norm_Stats!$F$24="",Norm_Stats!$G$24="",Norm_Stats!$G$24=Norm_Stats!$F$24),"",MAX(0,MIN(100,100*(MIN(MAX(City_Inputs!$AK132,Norm_Stats!$F$24),Norm_Stats!$G$24)-Norm_Stats!$F$24)/(Norm_Stats!$G$24-Norm_Stats!$F$24)))))*0.2))/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D132" s="14">
        <f>IF(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=0,"",(IF((IF(OR(City_Inputs!$AG132="",Norm_Stats!$F$22="",Norm_Stats!$G$22="",Norm_Stats!$G$22=Norm_Stats!$F$22),"",MAX(0,MIN(100,100*(MIN(MAX(City_Inputs!$AG132,Norm_Stats!$F$22),Norm_Stats!$G$22)-Norm_Stats!$F$22)/(Norm_Stats!$G$22-Norm_Stats!$F$22)))))="",0,0.5)+IF((IF(OR(City_Inputs!$AJ132="",Norm_Stats!$F$23="",Norm_Stats!$G$23="",Norm_Stats!$G$23=Norm_Stats!$F$23),"",MAX(0,MIN(100,100*(MIN(MAX(City_Inputs!$AJ132,Norm_Stats!$F$23),Norm_Stats!$G$23)-Norm_Stats!$F$23)/(Norm_Stats!$G$23-Norm_Stats!$F$23)))))="",0,0.3)+IF((IF(OR(City_Inputs!$AK132="",Norm_Stats!$F$24="",Norm_Stats!$G$24="",Norm_Stats!$G$24=Norm_Stats!$F$24),"",MAX(0,MIN(100,100*(MIN(MAX(City_Inputs!$AK132,Norm_Stats!$F$24),Norm_Stats!$G$24)-Norm_Stats!$F$24)/(Norm_Stats!$G$24-Norm_Stats!$F$24)))))="",0,0.2)))</f>
        <v/>
      </c>
      <c r="BE132" s="11">
        <f>IF(OR(City_Inputs!$AH132="",Norm_Stats!$F$25="",Norm_Stats!$G$25="",Norm_Stats!$G$25=Norm_Stats!$F$25),"",MAX(0,MIN(100,100*(Norm_Stats!$G$25-MIN(MAX(City_Inputs!$AH132,Norm_Stats!$F$25),Norm_Stats!$G$25))/(Norm_Stats!$G$25-Norm_Stats!$F$25))))</f>
        <v/>
      </c>
      <c r="BF132" s="14">
        <f>IF(BE132="","",1)</f>
        <v/>
      </c>
      <c r="BG132" s="15">
        <f>IF((IF(AY132="",0,6)+IF(BA132="",0,5)+IF(BC132="",0,5)+IF(BE132="",0,4))=0,"",(IF(AY132="",0,AY132*6)+IF(BA132="",0,BA132*5)+IF(BC132="",0,BC132*5)+IF(BE132="",0,BE132*4))/(IF(AY132="",0,6)+IF(BA132="",0,5)+IF(BC132="",0,5)+IF(BE132="",0,4)))</f>
        <v/>
      </c>
      <c r="BH132" s="14">
        <f>IF((IF(AZ132="",0,6)+IF(BB132="",0,5)+IF(BD132="",0,5)+IF(BF132="",0,4))=0,"",(IF(AZ132="",0,AZ132*6)+IF(BB132="",0,BB132*5)+IF(BD132="",0,BD132*5)+IF(BF132="",0,BF132*4))/20)</f>
        <v/>
      </c>
      <c r="BI132" s="14">
        <f>IF(AND(R132="",AF132="",AN132="",AX132="",BH132=""),"",((R132*25)+(AF132*22)+(AN132*18)+(AX132*15)+(BH132*20))/100)</f>
        <v/>
      </c>
      <c r="BJ132" s="11">
        <f>IF(BI132="","",IF(BI132&gt;=0.75,"A",IF(BI132&gt;=0.5,"B",IF(BI132&gt;=0.35,"C","Watchlist"))))</f>
        <v/>
      </c>
      <c r="BK132" s="11">
        <f>IF(OR(BI132="",BI132&lt;0.5,R132="",R132&lt;0.35,AF132="",AF132&lt;0.35,AN132="",AN132&lt;0.35,AX132="",AX132&lt;0.35,BH132="",BH132&lt;0.35),"Watchlist","Ranked")</f>
        <v/>
      </c>
      <c r="BL132" s="15">
        <f>IF(AND(Q132="",AE132="",AM132="",AW132="",BG132=""),"",(IF(Q132="",0,Q132*25)+IF(AE132="",0,AE132*22)+IF(AM132="",0,AM132*18)+IF(AW132="",0,AW132*15)+IF(BG132="",0,BG132*20))/(IF(Q132="",0,25)+IF(AE132="",0,22)+IF(AM132="",0,18)+IF(AW132="",0,15)+IF(BG132="",0,20)))</f>
        <v/>
      </c>
      <c r="BM132" s="11">
        <f>IF(BK132="Ranked",1+COUNTIFS($BK$2:$BK$158,"Ranked",$BL$2:$BL$158,"&gt;"&amp;BL132),"")</f>
        <v/>
      </c>
      <c r="BN132" s="11">
        <f>City_Inputs!$AI132</f>
        <v/>
      </c>
    </row>
    <row r="133">
      <c r="A133" t="inlineStr">
        <is>
          <t>ie-cork</t>
        </is>
      </c>
      <c r="B133" t="inlineStr">
        <is>
          <t>Cork</t>
        </is>
      </c>
      <c r="C133" t="inlineStr">
        <is>
          <t>Ireland</t>
        </is>
      </c>
      <c r="D133" t="inlineStr">
        <is>
          <t>Western, Northern, and Southern Europe</t>
        </is>
      </c>
      <c r="E133" t="inlineStr">
        <is>
          <t>provisional</t>
        </is>
      </c>
      <c r="F133" t="inlineStr">
        <is>
          <t>secondary</t>
        </is>
      </c>
      <c r="G133" s="11">
        <f>IF(OR(City_Inputs!$M133="",Norm_Stats!$F$2="",Norm_Stats!$G$2="",Norm_Stats!$G$2=Norm_Stats!$F$2),"",MAX(0,MIN(100,100*(MIN(MAX(City_Inputs!$M133,Norm_Stats!$F$2),Norm_Stats!$G$2)-Norm_Stats!$F$2)/(Norm_Stats!$G$2-Norm_Stats!$F$2))))</f>
        <v/>
      </c>
      <c r="H133" s="14">
        <f>IF(G133="","",1)</f>
        <v/>
      </c>
      <c r="I133" s="11">
        <f>IF(OR(City_Inputs!$N133="",Norm_Stats!$F$3="",Norm_Stats!$G$3="",Norm_Stats!$G$3=Norm_Stats!$F$3),"",MAX(0,MIN(100,100*(Norm_Stats!$G$3-MIN(MAX(City_Inputs!$N133,Norm_Stats!$F$3),Norm_Stats!$G$3))/(Norm_Stats!$G$3-Norm_Stats!$F$3))))</f>
        <v/>
      </c>
      <c r="J133" s="14">
        <f>IF(I133="","",1)</f>
        <v/>
      </c>
      <c r="K133" s="11">
        <f>IF(OR(City_Inputs!$P133="",Norm_Stats!$F$4="",Norm_Stats!$G$4="",Norm_Stats!$G$4=Norm_Stats!$F$4),"",MAX(0,MIN(100,100*(Norm_Stats!$G$4-MIN(MAX(City_Inputs!$P133,Norm_Stats!$F$4),Norm_Stats!$G$4))/(Norm_Stats!$G$4-Norm_Stats!$F$4))))</f>
        <v/>
      </c>
      <c r="L133" s="14">
        <f>IF(K133="","",1)</f>
        <v/>
      </c>
      <c r="M133" s="11">
        <f>IF(OR(City_Inputs!$Q133="",Norm_Stats!$F$5="",Norm_Stats!$G$5="",Norm_Stats!$G$5=Norm_Stats!$F$5),"",MAX(0,MIN(100,100*(Norm_Stats!$G$5-MIN(MAX(City_Inputs!$Q133,Norm_Stats!$F$5),Norm_Stats!$G$5))/(Norm_Stats!$G$5-Norm_Stats!$F$5))))</f>
        <v/>
      </c>
      <c r="N133" s="14">
        <f>IF(M133="","",1)</f>
        <v/>
      </c>
      <c r="O133" s="11">
        <f>IF(OR(City_Inputs!$R133="",Norm_Stats!$F$6="",Norm_Stats!$G$6="",Norm_Stats!$G$6=Norm_Stats!$F$6),"",MAX(0,MIN(100,100*(Norm_Stats!$G$6-MIN(MAX(City_Inputs!$R133,Norm_Stats!$F$6),Norm_Stats!$G$6))/(Norm_Stats!$G$6-Norm_Stats!$F$6))))</f>
        <v/>
      </c>
      <c r="P133" s="14">
        <f>IF(O133="","",1)</f>
        <v/>
      </c>
      <c r="Q133" s="15">
        <f>IF((IF(G133="",0,9)+IF(I133="",0,5)+IF(K133="",0,4)+IF(M133="",0,4)+IF(O133="",0,5))=0,"",(IF(G133="",0,G133*9)+IF(I133="",0,I133*5)+IF(K133="",0,K133*4)+IF(M133="",0,M133*4)+IF(O133="",0,O133*5))/(IF(G133="",0,9)+IF(I133="",0,5)+IF(K133="",0,4)+IF(M133="",0,4)+IF(O133="",0,5)))</f>
        <v/>
      </c>
      <c r="R133" s="14">
        <f>IF((IF(H133="",0,9)+IF(J133="",0,5)+IF(L133="",0,4)+IF(N133="",0,4)+IF(P133="",0,5))=0,"",(IF(H133="",0,H133*9)+IF(J133="",0,J133*5)+IF(L133="",0,L133*4)+IF(N133="",0,N133*4)+IF(P133="",0,P133*5))/27)</f>
        <v/>
      </c>
      <c r="S133" s="11">
        <f>IF(OR(City_Inputs!$S133="",Norm_Stats!$F$7="",Norm_Stats!$G$7="",Norm_Stats!$G$7=Norm_Stats!$F$7),"",MAX(0,MIN(100,100*(Norm_Stats!$G$7-MIN(MAX(City_Inputs!$S133,Norm_Stats!$F$7),Norm_Stats!$G$7))/(Norm_Stats!$G$7-Norm_Stats!$F$7))))</f>
        <v/>
      </c>
      <c r="T133" s="14">
        <f>IF(S133="","",1)</f>
        <v/>
      </c>
      <c r="U133" s="11">
        <f>IF(OR(City_Inputs!$T133="",Norm_Stats!$F$8="",Norm_Stats!$G$8="",Norm_Stats!$G$8=Norm_Stats!$F$8),"",MAX(0,MIN(100,100*(MIN(MAX(City_Inputs!$T133,Norm_Stats!$F$8),Norm_Stats!$G$8)-Norm_Stats!$F$8)/(Norm_Stats!$G$8-Norm_Stats!$F$8))))</f>
        <v/>
      </c>
      <c r="V133" s="14">
        <f>IF(U133="","",1)</f>
        <v/>
      </c>
      <c r="W133" s="11">
        <f>IF(OR(City_Inputs!$U133="",Norm_Stats!$F$9="",Norm_Stats!$G$9="",Norm_Stats!$G$9=Norm_Stats!$F$9),"",MAX(0,MIN(100,100*(Norm_Stats!$G$9-MIN(MAX(City_Inputs!$U133,Norm_Stats!$F$9),Norm_Stats!$G$9))/(Norm_Stats!$G$9-Norm_Stats!$F$9))))</f>
        <v/>
      </c>
      <c r="X133" s="14">
        <f>IF(W133="","",1)</f>
        <v/>
      </c>
      <c r="Y133" s="11">
        <f>IF(OR(City_Inputs!$V133="",Norm_Stats!$F$10="",Norm_Stats!$G$10="",Norm_Stats!$G$10=Norm_Stats!$F$10),"",MAX(0,MIN(100,100*(MIN(MAX(City_Inputs!$V133,Norm_Stats!$F$10),Norm_Stats!$G$10)-Norm_Stats!$F$10)/(Norm_Stats!$G$10-Norm_Stats!$F$10))))</f>
        <v/>
      </c>
      <c r="Z133" s="14">
        <f>IF(Y133="","",1)</f>
        <v/>
      </c>
      <c r="AA133" s="11">
        <f>IF(OR(City_Inputs!$W133="",Norm_Stats!$F$11="",Norm_Stats!$G$11="",Norm_Stats!$G$11=Norm_Stats!$F$11),"",MAX(0,MIN(100,100*(MIN(MAX(City_Inputs!$W133,Norm_Stats!$F$11),Norm_Stats!$G$11)-Norm_Stats!$F$11)/(Norm_Stats!$G$11-Norm_Stats!$F$11))))</f>
        <v/>
      </c>
      <c r="AB133" s="14">
        <f>IF(AA133="","",1)</f>
        <v/>
      </c>
      <c r="AC133" s="11">
        <f>IF(OR(City_Inputs!$X133="",Norm_Stats!$F$12="",Norm_Stats!$G$12="",Norm_Stats!$G$12=Norm_Stats!$F$12),"",MAX(0,MIN(100,100*(MIN(MAX(City_Inputs!$X133,Norm_Stats!$F$12),Norm_Stats!$G$12)-Norm_Stats!$F$12)/(Norm_Stats!$G$12-Norm_Stats!$F$12))))</f>
        <v/>
      </c>
      <c r="AD133" s="11">
        <f>IF(AC133="","",1)</f>
        <v/>
      </c>
      <c r="AE133" s="15">
        <f>IF((IF(S133="",0,5)+IF(U133="",0,5)+IF(W133="",0,4)+IF(Y133="",0,4)+IF(AA133="",0,4)+IF(AC133="",0,5))=0,"",(IF(S133="",0,S133*5)+IF(U133="",0,U133*5)+IF(W133="",0,W133*4)+IF(Y133="",0,Y133*4)+IF(AA133="",0,AA133*4)+IF(AC133="",0,AC133*5))/(IF(S133="",0,5)+IF(U133="",0,5)+IF(W133="",0,4)+IF(Y133="",0,4)+IF(AA133="",0,4)+IF(AC133="",0,5)))</f>
        <v/>
      </c>
      <c r="AF133" s="14">
        <f>IF((IF(T133="",0,5)+IF(V133="",0,5)+IF(X133="",0,4)+IF(Z133="",0,4)+IF(AB133="",0,4)+IF(AD133="",0,5))=0,"",(IF(T133="",0,T133*5)+IF(V133="",0,V133*5)+IF(X133="",0,X133*4)+IF(Z133="",0,Z133*4)+IF(AB133="",0,AB133*4)+IF(AD133="",0,AD133*5))/27)</f>
        <v/>
      </c>
      <c r="AG133" s="11">
        <f>IF(OR(City_Inputs!$Y133="",Norm_Stats!$F$13="",Norm_Stats!$G$13="",Norm_Stats!$G$13=Norm_Stats!$F$13),"",MAX(0,MIN(100,100*(MIN(MAX(City_Inputs!$Y133,Norm_Stats!$F$13),Norm_Stats!$G$13)-Norm_Stats!$F$13)/(Norm_Stats!$G$13-Norm_Stats!$F$13))))</f>
        <v/>
      </c>
      <c r="AH133" s="14">
        <f>IF(AG133="","",1)</f>
        <v/>
      </c>
      <c r="AI133" s="11">
        <f>IF(OR(City_Inputs!$Z133="",Norm_Stats!$F$14="",Norm_Stats!$G$14="",Norm_Stats!$G$14=Norm_Stats!$F$14),"",MAX(0,MIN(100,100*(MIN(MAX(City_Inputs!$Z133,Norm_Stats!$F$14),Norm_Stats!$G$14)-Norm_Stats!$F$14)/(Norm_Stats!$G$14-Norm_Stats!$F$14))))</f>
        <v/>
      </c>
      <c r="AJ133" s="14">
        <f>IF(AI133="","",1)</f>
        <v/>
      </c>
      <c r="AK133" s="11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(IF(OR(City_Inputs!$AA133="",Norm_Stats!$F$15="",Norm_Stats!$G$15="",Norm_Stats!$G$15=Norm_Stats!$F$15),"",MAX(0,MIN(100,100*(MIN(MAX(City_Inputs!$AA133,Norm_Stats!$F$15),Norm_Stats!$G$15)-Norm_Stats!$F$15)/(Norm_Stats!$G$15-Norm_Stats!$F$15)))))*0.7)+IF((IF(OR(City_Inputs!$AL133="",Norm_Stats!$F$16="",Norm_Stats!$G$16="",Norm_Stats!$G$16=Norm_Stats!$F$16),"",MAX(0,MIN(100,100*(Norm_Stats!$G$16-MIN(MAX(City_Inputs!$AL133,Norm_Stats!$F$16),Norm_Stats!$G$16))/(Norm_Stats!$G$16-Norm_Stats!$F$16)))))="",0,(IF(OR(City_Inputs!$AL133="",Norm_Stats!$F$16="",Norm_Stats!$G$16="",Norm_Stats!$G$16=Norm_Stats!$F$16),"",MAX(0,MIN(100,100*(Norm_Stats!$G$16-MIN(MAX(City_Inputs!$AL133,Norm_Stats!$F$16),Norm_Stats!$G$16))/(Norm_Stats!$G$16-Norm_Stats!$F$16)))))*0.3))/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L133" s="14">
        <f>IF(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=0,"",(IF((IF(OR(City_Inputs!$AA133="",Norm_Stats!$F$15="",Norm_Stats!$G$15="",Norm_Stats!$G$15=Norm_Stats!$F$15),"",MAX(0,MIN(100,100*(MIN(MAX(City_Inputs!$AA133,Norm_Stats!$F$15),Norm_Stats!$G$15)-Norm_Stats!$F$15)/(Norm_Stats!$G$15-Norm_Stats!$F$15)))))="",0,0.7)+IF((IF(OR(City_Inputs!$AL133="",Norm_Stats!$F$16="",Norm_Stats!$G$16="",Norm_Stats!$G$16=Norm_Stats!$F$16),"",MAX(0,MIN(100,100*(Norm_Stats!$G$16-MIN(MAX(City_Inputs!$AL133,Norm_Stats!$F$16),Norm_Stats!$G$16))/(Norm_Stats!$G$16-Norm_Stats!$F$16)))))="",0,0.3)))</f>
        <v/>
      </c>
      <c r="AM133" s="15">
        <f>IF((IF(AG133="",0,8)+IF(AI133="",0,6)+IF(AK133="",0,4))=0,"",(IF(AG133="",0,AG133*8)+IF(AI133="",0,AI133*6)+IF(AK133="",0,AK133*4))/(IF(AG133="",0,8)+IF(AI133="",0,6)+IF(AK133="",0,4)))</f>
        <v/>
      </c>
      <c r="AN133" s="14">
        <f>IF((IF(AH133="",0,8)+IF(AJ133="",0,6)+IF(AL133="",0,4))=0,"",(IF(AH133="",0,AH133*8)+IF(AJ133="",0,AJ133*6)+IF(AL133="",0,AL133*4))/18)</f>
        <v/>
      </c>
      <c r="AO133" s="11">
        <f>IF(OR(City_Inputs!$AB133="",Norm_Stats!$F$17="",Norm_Stats!$G$17="",Norm_Stats!$G$17=Norm_Stats!$F$17),"",MAX(0,MIN(100,100*(MIN(MAX(City_Inputs!$AB133,Norm_Stats!$F$17),Norm_Stats!$G$17)-Norm_Stats!$F$17)/(Norm_Stats!$G$17-Norm_Stats!$F$17))))</f>
        <v/>
      </c>
      <c r="AP133" s="14">
        <f>IF(AO133="","",1)</f>
        <v/>
      </c>
      <c r="AQ133" s="11">
        <f>IF(OR(City_Inputs!$AC133="",Norm_Stats!$F$18="",Norm_Stats!$G$18="",Norm_Stats!$G$18=Norm_Stats!$F$18),"",MAX(0,MIN(100,100*(MIN(MAX(City_Inputs!$AC133,Norm_Stats!$F$18),Norm_Stats!$G$18)-Norm_Stats!$F$18)/(Norm_Stats!$G$18-Norm_Stats!$F$18))))</f>
        <v/>
      </c>
      <c r="AR133" s="14">
        <f>IF(AQ133="","",1)</f>
        <v/>
      </c>
      <c r="AS133" s="11">
        <f>IF(OR(City_Inputs!$AD133="",Norm_Stats!$F$19="",Norm_Stats!$G$19="",Norm_Stats!$G$19=Norm_Stats!$F$19),"",MAX(0,MIN(100,100*(MIN(MAX(City_Inputs!$AD133,Norm_Stats!$F$19),Norm_Stats!$G$19)-Norm_Stats!$F$19)/(Norm_Stats!$G$19-Norm_Stats!$F$19))))</f>
        <v/>
      </c>
      <c r="AT133" s="14">
        <f>IF(AS133="","",1)</f>
        <v/>
      </c>
      <c r="AU133" s="11">
        <f>IF(OR(City_Inputs!$BJ133="",Norm_Stats!$F$26="",Norm_Stats!$G$26="",Norm_Stats!$G$26=Norm_Stats!$F$26),"",MAX(0,MIN(100,100*(MIN(MAX(City_Inputs!$BJ133,Norm_Stats!$F$26),Norm_Stats!$G$26)-Norm_Stats!$F$26)/(Norm_Stats!$G$26-Norm_Stats!$F$26))))</f>
        <v/>
      </c>
      <c r="AV133" s="11">
        <f>IF(AU133="","",1)</f>
        <v/>
      </c>
      <c r="AW133" s="15">
        <f>IF((IF(AO133="",0,5)+IF(AQ133="",0,5)+IF(AS133="",0,5)+IF(AU133="",0,4))=0,"",(IF(AO133="",0,AO133*5)+IF(AQ133="",0,AQ133*5)+IF(AS133="",0,AS133*5)+IF(AU133="",0,AU133*4))/(IF(AO133="",0,5)+IF(AQ133="",0,5)+IF(AS133="",0,5)+IF(AU133="",0,4)))</f>
        <v/>
      </c>
      <c r="AX133" s="14">
        <f>IF((IF(AP133="",0,5)+IF(AR133="",0,5)+IF(AT133="",0,5)+IF(AV133="",0,4))=0,"",(IF(AP133="",0,AP133*5)+IF(AR133="",0,AR133*5)+IF(AT133="",0,AT133*5)+IF(AV133="",0,AV133*4))/19)</f>
        <v/>
      </c>
      <c r="AY133" s="11">
        <f>IF(OR(City_Inputs!$AE133="",Norm_Stats!$F$20="",Norm_Stats!$G$20="",Norm_Stats!$G$20=Norm_Stats!$F$20),"",MAX(0,MIN(100,100*(MIN(MAX(City_Inputs!$AE133,Norm_Stats!$F$20),Norm_Stats!$G$20)-Norm_Stats!$F$20)/(Norm_Stats!$G$20-Norm_Stats!$F$20))))</f>
        <v/>
      </c>
      <c r="AZ133" s="14">
        <f>IF(AY133="","",1)</f>
        <v/>
      </c>
      <c r="BA133" s="11">
        <f>IF(OR(City_Inputs!$AF133="",Norm_Stats!$F$21="",Norm_Stats!$G$21="",Norm_Stats!$G$21=Norm_Stats!$F$21),"",MAX(0,MIN(100,100*(MIN(MAX(City_Inputs!$AF133,Norm_Stats!$F$21),Norm_Stats!$G$21)-Norm_Stats!$F$21)/(Norm_Stats!$G$21-Norm_Stats!$F$21))))</f>
        <v/>
      </c>
      <c r="BB133" s="14">
        <f>IF(BA133="","",1)</f>
        <v/>
      </c>
      <c r="BC133" s="11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(IF(OR(City_Inputs!$AG133="",Norm_Stats!$F$22="",Norm_Stats!$G$22="",Norm_Stats!$G$22=Norm_Stats!$F$22),"",MAX(0,MIN(100,100*(MIN(MAX(City_Inputs!$AG133,Norm_Stats!$F$22),Norm_Stats!$G$22)-Norm_Stats!$F$22)/(Norm_Stats!$G$22-Norm_Stats!$F$22)))))*0.5)+IF((IF(OR(City_Inputs!$AJ133="",Norm_Stats!$F$23="",Norm_Stats!$G$23="",Norm_Stats!$G$23=Norm_Stats!$F$23),"",MAX(0,MIN(100,100*(MIN(MAX(City_Inputs!$AJ133,Norm_Stats!$F$23),Norm_Stats!$G$23)-Norm_Stats!$F$23)/(Norm_Stats!$G$23-Norm_Stats!$F$23)))))="",0,(IF(OR(City_Inputs!$AJ133="",Norm_Stats!$F$23="",Norm_Stats!$G$23="",Norm_Stats!$G$23=Norm_Stats!$F$23),"",MAX(0,MIN(100,100*(MIN(MAX(City_Inputs!$AJ133,Norm_Stats!$F$23),Norm_Stats!$G$23)-Norm_Stats!$F$23)/(Norm_Stats!$G$23-Norm_Stats!$F$23)))))*0.3)+IF((IF(OR(City_Inputs!$AK133="",Norm_Stats!$F$24="",Norm_Stats!$G$24="",Norm_Stats!$G$24=Norm_Stats!$F$24),"",MAX(0,MIN(100,100*(MIN(MAX(City_Inputs!$AK133,Norm_Stats!$F$24),Norm_Stats!$G$24)-Norm_Stats!$F$24)/(Norm_Stats!$G$24-Norm_Stats!$F$24)))))="",0,(IF(OR(City_Inputs!$AK133="",Norm_Stats!$F$24="",Norm_Stats!$G$24="",Norm_Stats!$G$24=Norm_Stats!$F$24),"",MAX(0,MIN(100,100*(MIN(MAX(City_Inputs!$AK133,Norm_Stats!$F$24),Norm_Stats!$G$24)-Norm_Stats!$F$24)/(Norm_Stats!$G$24-Norm_Stats!$F$24)))))*0.2))/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D133" s="14">
        <f>IF(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=0,"",(IF((IF(OR(City_Inputs!$AG133="",Norm_Stats!$F$22="",Norm_Stats!$G$22="",Norm_Stats!$G$22=Norm_Stats!$F$22),"",MAX(0,MIN(100,100*(MIN(MAX(City_Inputs!$AG133,Norm_Stats!$F$22),Norm_Stats!$G$22)-Norm_Stats!$F$22)/(Norm_Stats!$G$22-Norm_Stats!$F$22)))))="",0,0.5)+IF((IF(OR(City_Inputs!$AJ133="",Norm_Stats!$F$23="",Norm_Stats!$G$23="",Norm_Stats!$G$23=Norm_Stats!$F$23),"",MAX(0,MIN(100,100*(MIN(MAX(City_Inputs!$AJ133,Norm_Stats!$F$23),Norm_Stats!$G$23)-Norm_Stats!$F$23)/(Norm_Stats!$G$23-Norm_Stats!$F$23)))))="",0,0.3)+IF((IF(OR(City_Inputs!$AK133="",Norm_Stats!$F$24="",Norm_Stats!$G$24="",Norm_Stats!$G$24=Norm_Stats!$F$24),"",MAX(0,MIN(100,100*(MIN(MAX(City_Inputs!$AK133,Norm_Stats!$F$24),Norm_Stats!$G$24)-Norm_Stats!$F$24)/(Norm_Stats!$G$24-Norm_Stats!$F$24)))))="",0,0.2)))</f>
        <v/>
      </c>
      <c r="BE133" s="11">
        <f>IF(OR(City_Inputs!$AH133="",Norm_Stats!$F$25="",Norm_Stats!$G$25="",Norm_Stats!$G$25=Norm_Stats!$F$25),"",MAX(0,MIN(100,100*(Norm_Stats!$G$25-MIN(MAX(City_Inputs!$AH133,Norm_Stats!$F$25),Norm_Stats!$G$25))/(Norm_Stats!$G$25-Norm_Stats!$F$25))))</f>
        <v/>
      </c>
      <c r="BF133" s="14">
        <f>IF(BE133="","",1)</f>
        <v/>
      </c>
      <c r="BG133" s="15">
        <f>IF((IF(AY133="",0,6)+IF(BA133="",0,5)+IF(BC133="",0,5)+IF(BE133="",0,4))=0,"",(IF(AY133="",0,AY133*6)+IF(BA133="",0,BA133*5)+IF(BC133="",0,BC133*5)+IF(BE133="",0,BE133*4))/(IF(AY133="",0,6)+IF(BA133="",0,5)+IF(BC133="",0,5)+IF(BE133="",0,4)))</f>
        <v/>
      </c>
      <c r="BH133" s="14">
        <f>IF((IF(AZ133="",0,6)+IF(BB133="",0,5)+IF(BD133="",0,5)+IF(BF133="",0,4))=0,"",(IF(AZ133="",0,AZ133*6)+IF(BB133="",0,BB133*5)+IF(BD133="",0,BD133*5)+IF(BF133="",0,BF133*4))/20)</f>
        <v/>
      </c>
      <c r="BI133" s="14">
        <f>IF(AND(R133="",AF133="",AN133="",AX133="",BH133=""),"",((R133*25)+(AF133*22)+(AN133*18)+(AX133*15)+(BH133*20))/100)</f>
        <v/>
      </c>
      <c r="BJ133" s="11">
        <f>IF(BI133="","",IF(BI133&gt;=0.75,"A",IF(BI133&gt;=0.5,"B",IF(BI133&gt;=0.35,"C","Watchlist"))))</f>
        <v/>
      </c>
      <c r="BK133" s="11">
        <f>IF(OR(BI133="",BI133&lt;0.5,R133="",R133&lt;0.35,AF133="",AF133&lt;0.35,AN133="",AN133&lt;0.35,AX133="",AX133&lt;0.35,BH133="",BH133&lt;0.35),"Watchlist","Ranked")</f>
        <v/>
      </c>
      <c r="BL133" s="15">
        <f>IF(AND(Q133="",AE133="",AM133="",AW133="",BG133=""),"",(IF(Q133="",0,Q133*25)+IF(AE133="",0,AE133*22)+IF(AM133="",0,AM133*18)+IF(AW133="",0,AW133*15)+IF(BG133="",0,BG133*20))/(IF(Q133="",0,25)+IF(AE133="",0,22)+IF(AM133="",0,18)+IF(AW133="",0,15)+IF(BG133="",0,20)))</f>
        <v/>
      </c>
      <c r="BM133" s="11">
        <f>IF(BK133="Ranked",1+COUNTIFS($BK$2:$BK$158,"Ranked",$BL$2:$BL$158,"&gt;"&amp;BL133),"")</f>
        <v/>
      </c>
      <c r="BN133" s="11">
        <f>City_Inputs!$AI133</f>
        <v/>
      </c>
    </row>
    <row r="134">
      <c r="A134" t="inlineStr">
        <is>
          <t>se-gothenburg</t>
        </is>
      </c>
      <c r="B134" t="inlineStr">
        <is>
          <t>Gothenburg</t>
        </is>
      </c>
      <c r="C134" t="inlineStr">
        <is>
          <t>Sweden</t>
        </is>
      </c>
      <c r="D134" t="inlineStr">
        <is>
          <t>Western, Northern, and Southern Europe</t>
        </is>
      </c>
      <c r="E134" t="inlineStr">
        <is>
          <t>provisional</t>
        </is>
      </c>
      <c r="F134" t="inlineStr">
        <is>
          <t>primary</t>
        </is>
      </c>
      <c r="G134" s="11">
        <f>IF(OR(City_Inputs!$M134="",Norm_Stats!$F$2="",Norm_Stats!$G$2="",Norm_Stats!$G$2=Norm_Stats!$F$2),"",MAX(0,MIN(100,100*(MIN(MAX(City_Inputs!$M134,Norm_Stats!$F$2),Norm_Stats!$G$2)-Norm_Stats!$F$2)/(Norm_Stats!$G$2-Norm_Stats!$F$2))))</f>
        <v/>
      </c>
      <c r="H134" s="14">
        <f>IF(G134="","",1)</f>
        <v/>
      </c>
      <c r="I134" s="11">
        <f>IF(OR(City_Inputs!$N134="",Norm_Stats!$F$3="",Norm_Stats!$G$3="",Norm_Stats!$G$3=Norm_Stats!$F$3),"",MAX(0,MIN(100,100*(Norm_Stats!$G$3-MIN(MAX(City_Inputs!$N134,Norm_Stats!$F$3),Norm_Stats!$G$3))/(Norm_Stats!$G$3-Norm_Stats!$F$3))))</f>
        <v/>
      </c>
      <c r="J134" s="14">
        <f>IF(I134="","",1)</f>
        <v/>
      </c>
      <c r="K134" s="11">
        <f>IF(OR(City_Inputs!$P134="",Norm_Stats!$F$4="",Norm_Stats!$G$4="",Norm_Stats!$G$4=Norm_Stats!$F$4),"",MAX(0,MIN(100,100*(Norm_Stats!$G$4-MIN(MAX(City_Inputs!$P134,Norm_Stats!$F$4),Norm_Stats!$G$4))/(Norm_Stats!$G$4-Norm_Stats!$F$4))))</f>
        <v/>
      </c>
      <c r="L134" s="14">
        <f>IF(K134="","",1)</f>
        <v/>
      </c>
      <c r="M134" s="11">
        <f>IF(OR(City_Inputs!$Q134="",Norm_Stats!$F$5="",Norm_Stats!$G$5="",Norm_Stats!$G$5=Norm_Stats!$F$5),"",MAX(0,MIN(100,100*(Norm_Stats!$G$5-MIN(MAX(City_Inputs!$Q134,Norm_Stats!$F$5),Norm_Stats!$G$5))/(Norm_Stats!$G$5-Norm_Stats!$F$5))))</f>
        <v/>
      </c>
      <c r="N134" s="14">
        <f>IF(M134="","",1)</f>
        <v/>
      </c>
      <c r="O134" s="11">
        <f>IF(OR(City_Inputs!$R134="",Norm_Stats!$F$6="",Norm_Stats!$G$6="",Norm_Stats!$G$6=Norm_Stats!$F$6),"",MAX(0,MIN(100,100*(Norm_Stats!$G$6-MIN(MAX(City_Inputs!$R134,Norm_Stats!$F$6),Norm_Stats!$G$6))/(Norm_Stats!$G$6-Norm_Stats!$F$6))))</f>
        <v/>
      </c>
      <c r="P134" s="14">
        <f>IF(O134="","",1)</f>
        <v/>
      </c>
      <c r="Q134" s="15">
        <f>IF((IF(G134="",0,9)+IF(I134="",0,5)+IF(K134="",0,4)+IF(M134="",0,4)+IF(O134="",0,5))=0,"",(IF(G134="",0,G134*9)+IF(I134="",0,I134*5)+IF(K134="",0,K134*4)+IF(M134="",0,M134*4)+IF(O134="",0,O134*5))/(IF(G134="",0,9)+IF(I134="",0,5)+IF(K134="",0,4)+IF(M134="",0,4)+IF(O134="",0,5)))</f>
        <v/>
      </c>
      <c r="R134" s="14">
        <f>IF((IF(H134="",0,9)+IF(J134="",0,5)+IF(L134="",0,4)+IF(N134="",0,4)+IF(P134="",0,5))=0,"",(IF(H134="",0,H134*9)+IF(J134="",0,J134*5)+IF(L134="",0,L134*4)+IF(N134="",0,N134*4)+IF(P134="",0,P134*5))/27)</f>
        <v/>
      </c>
      <c r="S134" s="11">
        <f>IF(OR(City_Inputs!$S134="",Norm_Stats!$F$7="",Norm_Stats!$G$7="",Norm_Stats!$G$7=Norm_Stats!$F$7),"",MAX(0,MIN(100,100*(Norm_Stats!$G$7-MIN(MAX(City_Inputs!$S134,Norm_Stats!$F$7),Norm_Stats!$G$7))/(Norm_Stats!$G$7-Norm_Stats!$F$7))))</f>
        <v/>
      </c>
      <c r="T134" s="14">
        <f>IF(S134="","",1)</f>
        <v/>
      </c>
      <c r="U134" s="11">
        <f>IF(OR(City_Inputs!$T134="",Norm_Stats!$F$8="",Norm_Stats!$G$8="",Norm_Stats!$G$8=Norm_Stats!$F$8),"",MAX(0,MIN(100,100*(MIN(MAX(City_Inputs!$T134,Norm_Stats!$F$8),Norm_Stats!$G$8)-Norm_Stats!$F$8)/(Norm_Stats!$G$8-Norm_Stats!$F$8))))</f>
        <v/>
      </c>
      <c r="V134" s="14">
        <f>IF(U134="","",1)</f>
        <v/>
      </c>
      <c r="W134" s="11">
        <f>IF(OR(City_Inputs!$U134="",Norm_Stats!$F$9="",Norm_Stats!$G$9="",Norm_Stats!$G$9=Norm_Stats!$F$9),"",MAX(0,MIN(100,100*(Norm_Stats!$G$9-MIN(MAX(City_Inputs!$U134,Norm_Stats!$F$9),Norm_Stats!$G$9))/(Norm_Stats!$G$9-Norm_Stats!$F$9))))</f>
        <v/>
      </c>
      <c r="X134" s="14">
        <f>IF(W134="","",1)</f>
        <v/>
      </c>
      <c r="Y134" s="11">
        <f>IF(OR(City_Inputs!$V134="",Norm_Stats!$F$10="",Norm_Stats!$G$10="",Norm_Stats!$G$10=Norm_Stats!$F$10),"",MAX(0,MIN(100,100*(MIN(MAX(City_Inputs!$V134,Norm_Stats!$F$10),Norm_Stats!$G$10)-Norm_Stats!$F$10)/(Norm_Stats!$G$10-Norm_Stats!$F$10))))</f>
        <v/>
      </c>
      <c r="Z134" s="14">
        <f>IF(Y134="","",1)</f>
        <v/>
      </c>
      <c r="AA134" s="11">
        <f>IF(OR(City_Inputs!$W134="",Norm_Stats!$F$11="",Norm_Stats!$G$11="",Norm_Stats!$G$11=Norm_Stats!$F$11),"",MAX(0,MIN(100,100*(MIN(MAX(City_Inputs!$W134,Norm_Stats!$F$11),Norm_Stats!$G$11)-Norm_Stats!$F$11)/(Norm_Stats!$G$11-Norm_Stats!$F$11))))</f>
        <v/>
      </c>
      <c r="AB134" s="14">
        <f>IF(AA134="","",1)</f>
        <v/>
      </c>
      <c r="AC134" s="11">
        <f>IF(OR(City_Inputs!$X134="",Norm_Stats!$F$12="",Norm_Stats!$G$12="",Norm_Stats!$G$12=Norm_Stats!$F$12),"",MAX(0,MIN(100,100*(MIN(MAX(City_Inputs!$X134,Norm_Stats!$F$12),Norm_Stats!$G$12)-Norm_Stats!$F$12)/(Norm_Stats!$G$12-Norm_Stats!$F$12))))</f>
        <v/>
      </c>
      <c r="AD134" s="11">
        <f>IF(AC134="","",1)</f>
        <v/>
      </c>
      <c r="AE134" s="15">
        <f>IF((IF(S134="",0,5)+IF(U134="",0,5)+IF(W134="",0,4)+IF(Y134="",0,4)+IF(AA134="",0,4)+IF(AC134="",0,5))=0,"",(IF(S134="",0,S134*5)+IF(U134="",0,U134*5)+IF(W134="",0,W134*4)+IF(Y134="",0,Y134*4)+IF(AA134="",0,AA134*4)+IF(AC134="",0,AC134*5))/(IF(S134="",0,5)+IF(U134="",0,5)+IF(W134="",0,4)+IF(Y134="",0,4)+IF(AA134="",0,4)+IF(AC134="",0,5)))</f>
        <v/>
      </c>
      <c r="AF134" s="14">
        <f>IF((IF(T134="",0,5)+IF(V134="",0,5)+IF(X134="",0,4)+IF(Z134="",0,4)+IF(AB134="",0,4)+IF(AD134="",0,5))=0,"",(IF(T134="",0,T134*5)+IF(V134="",0,V134*5)+IF(X134="",0,X134*4)+IF(Z134="",0,Z134*4)+IF(AB134="",0,AB134*4)+IF(AD134="",0,AD134*5))/27)</f>
        <v/>
      </c>
      <c r="AG134" s="11">
        <f>IF(OR(City_Inputs!$Y134="",Norm_Stats!$F$13="",Norm_Stats!$G$13="",Norm_Stats!$G$13=Norm_Stats!$F$13),"",MAX(0,MIN(100,100*(MIN(MAX(City_Inputs!$Y134,Norm_Stats!$F$13),Norm_Stats!$G$13)-Norm_Stats!$F$13)/(Norm_Stats!$G$13-Norm_Stats!$F$13))))</f>
        <v/>
      </c>
      <c r="AH134" s="14">
        <f>IF(AG134="","",1)</f>
        <v/>
      </c>
      <c r="AI134" s="11">
        <f>IF(OR(City_Inputs!$Z134="",Norm_Stats!$F$14="",Norm_Stats!$G$14="",Norm_Stats!$G$14=Norm_Stats!$F$14),"",MAX(0,MIN(100,100*(MIN(MAX(City_Inputs!$Z134,Norm_Stats!$F$14),Norm_Stats!$G$14)-Norm_Stats!$F$14)/(Norm_Stats!$G$14-Norm_Stats!$F$14))))</f>
        <v/>
      </c>
      <c r="AJ134" s="14">
        <f>IF(AI134="","",1)</f>
        <v/>
      </c>
      <c r="AK134" s="11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(IF(OR(City_Inputs!$AA134="",Norm_Stats!$F$15="",Norm_Stats!$G$15="",Norm_Stats!$G$15=Norm_Stats!$F$15),"",MAX(0,MIN(100,100*(MIN(MAX(City_Inputs!$AA134,Norm_Stats!$F$15),Norm_Stats!$G$15)-Norm_Stats!$F$15)/(Norm_Stats!$G$15-Norm_Stats!$F$15)))))*0.7)+IF((IF(OR(City_Inputs!$AL134="",Norm_Stats!$F$16="",Norm_Stats!$G$16="",Norm_Stats!$G$16=Norm_Stats!$F$16),"",MAX(0,MIN(100,100*(Norm_Stats!$G$16-MIN(MAX(City_Inputs!$AL134,Norm_Stats!$F$16),Norm_Stats!$G$16))/(Norm_Stats!$G$16-Norm_Stats!$F$16)))))="",0,(IF(OR(City_Inputs!$AL134="",Norm_Stats!$F$16="",Norm_Stats!$G$16="",Norm_Stats!$G$16=Norm_Stats!$F$16),"",MAX(0,MIN(100,100*(Norm_Stats!$G$16-MIN(MAX(City_Inputs!$AL134,Norm_Stats!$F$16),Norm_Stats!$G$16))/(Norm_Stats!$G$16-Norm_Stats!$F$16)))))*0.3))/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L134" s="14">
        <f>IF(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=0,"",(IF((IF(OR(City_Inputs!$AA134="",Norm_Stats!$F$15="",Norm_Stats!$G$15="",Norm_Stats!$G$15=Norm_Stats!$F$15),"",MAX(0,MIN(100,100*(MIN(MAX(City_Inputs!$AA134,Norm_Stats!$F$15),Norm_Stats!$G$15)-Norm_Stats!$F$15)/(Norm_Stats!$G$15-Norm_Stats!$F$15)))))="",0,0.7)+IF((IF(OR(City_Inputs!$AL134="",Norm_Stats!$F$16="",Norm_Stats!$G$16="",Norm_Stats!$G$16=Norm_Stats!$F$16),"",MAX(0,MIN(100,100*(Norm_Stats!$G$16-MIN(MAX(City_Inputs!$AL134,Norm_Stats!$F$16),Norm_Stats!$G$16))/(Norm_Stats!$G$16-Norm_Stats!$F$16)))))="",0,0.3)))</f>
        <v/>
      </c>
      <c r="AM134" s="15">
        <f>IF((IF(AG134="",0,8)+IF(AI134="",0,6)+IF(AK134="",0,4))=0,"",(IF(AG134="",0,AG134*8)+IF(AI134="",0,AI134*6)+IF(AK134="",0,AK134*4))/(IF(AG134="",0,8)+IF(AI134="",0,6)+IF(AK134="",0,4)))</f>
        <v/>
      </c>
      <c r="AN134" s="14">
        <f>IF((IF(AH134="",0,8)+IF(AJ134="",0,6)+IF(AL134="",0,4))=0,"",(IF(AH134="",0,AH134*8)+IF(AJ134="",0,AJ134*6)+IF(AL134="",0,AL134*4))/18)</f>
        <v/>
      </c>
      <c r="AO134" s="11">
        <f>IF(OR(City_Inputs!$AB134="",Norm_Stats!$F$17="",Norm_Stats!$G$17="",Norm_Stats!$G$17=Norm_Stats!$F$17),"",MAX(0,MIN(100,100*(MIN(MAX(City_Inputs!$AB134,Norm_Stats!$F$17),Norm_Stats!$G$17)-Norm_Stats!$F$17)/(Norm_Stats!$G$17-Norm_Stats!$F$17))))</f>
        <v/>
      </c>
      <c r="AP134" s="14">
        <f>IF(AO134="","",1)</f>
        <v/>
      </c>
      <c r="AQ134" s="11">
        <f>IF(OR(City_Inputs!$AC134="",Norm_Stats!$F$18="",Norm_Stats!$G$18="",Norm_Stats!$G$18=Norm_Stats!$F$18),"",MAX(0,MIN(100,100*(MIN(MAX(City_Inputs!$AC134,Norm_Stats!$F$18),Norm_Stats!$G$18)-Norm_Stats!$F$18)/(Norm_Stats!$G$18-Norm_Stats!$F$18))))</f>
        <v/>
      </c>
      <c r="AR134" s="14">
        <f>IF(AQ134="","",1)</f>
        <v/>
      </c>
      <c r="AS134" s="11">
        <f>IF(OR(City_Inputs!$AD134="",Norm_Stats!$F$19="",Norm_Stats!$G$19="",Norm_Stats!$G$19=Norm_Stats!$F$19),"",MAX(0,MIN(100,100*(MIN(MAX(City_Inputs!$AD134,Norm_Stats!$F$19),Norm_Stats!$G$19)-Norm_Stats!$F$19)/(Norm_Stats!$G$19-Norm_Stats!$F$19))))</f>
        <v/>
      </c>
      <c r="AT134" s="14">
        <f>IF(AS134="","",1)</f>
        <v/>
      </c>
      <c r="AU134" s="11">
        <f>IF(OR(City_Inputs!$BJ134="",Norm_Stats!$F$26="",Norm_Stats!$G$26="",Norm_Stats!$G$26=Norm_Stats!$F$26),"",MAX(0,MIN(100,100*(MIN(MAX(City_Inputs!$BJ134,Norm_Stats!$F$26),Norm_Stats!$G$26)-Norm_Stats!$F$26)/(Norm_Stats!$G$26-Norm_Stats!$F$26))))</f>
        <v/>
      </c>
      <c r="AV134" s="11">
        <f>IF(AU134="","",1)</f>
        <v/>
      </c>
      <c r="AW134" s="15">
        <f>IF((IF(AO134="",0,5)+IF(AQ134="",0,5)+IF(AS134="",0,5)+IF(AU134="",0,4))=0,"",(IF(AO134="",0,AO134*5)+IF(AQ134="",0,AQ134*5)+IF(AS134="",0,AS134*5)+IF(AU134="",0,AU134*4))/(IF(AO134="",0,5)+IF(AQ134="",0,5)+IF(AS134="",0,5)+IF(AU134="",0,4)))</f>
        <v/>
      </c>
      <c r="AX134" s="14">
        <f>IF((IF(AP134="",0,5)+IF(AR134="",0,5)+IF(AT134="",0,5)+IF(AV134="",0,4))=0,"",(IF(AP134="",0,AP134*5)+IF(AR134="",0,AR134*5)+IF(AT134="",0,AT134*5)+IF(AV134="",0,AV134*4))/19)</f>
        <v/>
      </c>
      <c r="AY134" s="11">
        <f>IF(OR(City_Inputs!$AE134="",Norm_Stats!$F$20="",Norm_Stats!$G$20="",Norm_Stats!$G$20=Norm_Stats!$F$20),"",MAX(0,MIN(100,100*(MIN(MAX(City_Inputs!$AE134,Norm_Stats!$F$20),Norm_Stats!$G$20)-Norm_Stats!$F$20)/(Norm_Stats!$G$20-Norm_Stats!$F$20))))</f>
        <v/>
      </c>
      <c r="AZ134" s="14">
        <f>IF(AY134="","",1)</f>
        <v/>
      </c>
      <c r="BA134" s="11">
        <f>IF(OR(City_Inputs!$AF134="",Norm_Stats!$F$21="",Norm_Stats!$G$21="",Norm_Stats!$G$21=Norm_Stats!$F$21),"",MAX(0,MIN(100,100*(MIN(MAX(City_Inputs!$AF134,Norm_Stats!$F$21),Norm_Stats!$G$21)-Norm_Stats!$F$21)/(Norm_Stats!$G$21-Norm_Stats!$F$21))))</f>
        <v/>
      </c>
      <c r="BB134" s="14">
        <f>IF(BA134="","",1)</f>
        <v/>
      </c>
      <c r="BC134" s="11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(IF(OR(City_Inputs!$AG134="",Norm_Stats!$F$22="",Norm_Stats!$G$22="",Norm_Stats!$G$22=Norm_Stats!$F$22),"",MAX(0,MIN(100,100*(MIN(MAX(City_Inputs!$AG134,Norm_Stats!$F$22),Norm_Stats!$G$22)-Norm_Stats!$F$22)/(Norm_Stats!$G$22-Norm_Stats!$F$22)))))*0.5)+IF((IF(OR(City_Inputs!$AJ134="",Norm_Stats!$F$23="",Norm_Stats!$G$23="",Norm_Stats!$G$23=Norm_Stats!$F$23),"",MAX(0,MIN(100,100*(MIN(MAX(City_Inputs!$AJ134,Norm_Stats!$F$23),Norm_Stats!$G$23)-Norm_Stats!$F$23)/(Norm_Stats!$G$23-Norm_Stats!$F$23)))))="",0,(IF(OR(City_Inputs!$AJ134="",Norm_Stats!$F$23="",Norm_Stats!$G$23="",Norm_Stats!$G$23=Norm_Stats!$F$23),"",MAX(0,MIN(100,100*(MIN(MAX(City_Inputs!$AJ134,Norm_Stats!$F$23),Norm_Stats!$G$23)-Norm_Stats!$F$23)/(Norm_Stats!$G$23-Norm_Stats!$F$23)))))*0.3)+IF((IF(OR(City_Inputs!$AK134="",Norm_Stats!$F$24="",Norm_Stats!$G$24="",Norm_Stats!$G$24=Norm_Stats!$F$24),"",MAX(0,MIN(100,100*(MIN(MAX(City_Inputs!$AK134,Norm_Stats!$F$24),Norm_Stats!$G$24)-Norm_Stats!$F$24)/(Norm_Stats!$G$24-Norm_Stats!$F$24)))))="",0,(IF(OR(City_Inputs!$AK134="",Norm_Stats!$F$24="",Norm_Stats!$G$24="",Norm_Stats!$G$24=Norm_Stats!$F$24),"",MAX(0,MIN(100,100*(MIN(MAX(City_Inputs!$AK134,Norm_Stats!$F$24),Norm_Stats!$G$24)-Norm_Stats!$F$24)/(Norm_Stats!$G$24-Norm_Stats!$F$24)))))*0.2))/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D134" s="14">
        <f>IF(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=0,"",(IF((IF(OR(City_Inputs!$AG134="",Norm_Stats!$F$22="",Norm_Stats!$G$22="",Norm_Stats!$G$22=Norm_Stats!$F$22),"",MAX(0,MIN(100,100*(MIN(MAX(City_Inputs!$AG134,Norm_Stats!$F$22),Norm_Stats!$G$22)-Norm_Stats!$F$22)/(Norm_Stats!$G$22-Norm_Stats!$F$22)))))="",0,0.5)+IF((IF(OR(City_Inputs!$AJ134="",Norm_Stats!$F$23="",Norm_Stats!$G$23="",Norm_Stats!$G$23=Norm_Stats!$F$23),"",MAX(0,MIN(100,100*(MIN(MAX(City_Inputs!$AJ134,Norm_Stats!$F$23),Norm_Stats!$G$23)-Norm_Stats!$F$23)/(Norm_Stats!$G$23-Norm_Stats!$F$23)))))="",0,0.3)+IF((IF(OR(City_Inputs!$AK134="",Norm_Stats!$F$24="",Norm_Stats!$G$24="",Norm_Stats!$G$24=Norm_Stats!$F$24),"",MAX(0,MIN(100,100*(MIN(MAX(City_Inputs!$AK134,Norm_Stats!$F$24),Norm_Stats!$G$24)-Norm_Stats!$F$24)/(Norm_Stats!$G$24-Norm_Stats!$F$24)))))="",0,0.2)))</f>
        <v/>
      </c>
      <c r="BE134" s="11">
        <f>IF(OR(City_Inputs!$AH134="",Norm_Stats!$F$25="",Norm_Stats!$G$25="",Norm_Stats!$G$25=Norm_Stats!$F$25),"",MAX(0,MIN(100,100*(Norm_Stats!$G$25-MIN(MAX(City_Inputs!$AH134,Norm_Stats!$F$25),Norm_Stats!$G$25))/(Norm_Stats!$G$25-Norm_Stats!$F$25))))</f>
        <v/>
      </c>
      <c r="BF134" s="14">
        <f>IF(BE134="","",1)</f>
        <v/>
      </c>
      <c r="BG134" s="15">
        <f>IF((IF(AY134="",0,6)+IF(BA134="",0,5)+IF(BC134="",0,5)+IF(BE134="",0,4))=0,"",(IF(AY134="",0,AY134*6)+IF(BA134="",0,BA134*5)+IF(BC134="",0,BC134*5)+IF(BE134="",0,BE134*4))/(IF(AY134="",0,6)+IF(BA134="",0,5)+IF(BC134="",0,5)+IF(BE134="",0,4)))</f>
        <v/>
      </c>
      <c r="BH134" s="14">
        <f>IF((IF(AZ134="",0,6)+IF(BB134="",0,5)+IF(BD134="",0,5)+IF(BF134="",0,4))=0,"",(IF(AZ134="",0,AZ134*6)+IF(BB134="",0,BB134*5)+IF(BD134="",0,BD134*5)+IF(BF134="",0,BF134*4))/20)</f>
        <v/>
      </c>
      <c r="BI134" s="14">
        <f>IF(AND(R134="",AF134="",AN134="",AX134="",BH134=""),"",((R134*25)+(AF134*22)+(AN134*18)+(AX134*15)+(BH134*20))/100)</f>
        <v/>
      </c>
      <c r="BJ134" s="11">
        <f>IF(BI134="","",IF(BI134&gt;=0.75,"A",IF(BI134&gt;=0.5,"B",IF(BI134&gt;=0.35,"C","Watchlist"))))</f>
        <v/>
      </c>
      <c r="BK134" s="11">
        <f>IF(OR(BI134="",BI134&lt;0.5,R134="",R134&lt;0.35,AF134="",AF134&lt;0.35,AN134="",AN134&lt;0.35,AX134="",AX134&lt;0.35,BH134="",BH134&lt;0.35),"Watchlist","Ranked")</f>
        <v/>
      </c>
      <c r="BL134" s="15">
        <f>IF(AND(Q134="",AE134="",AM134="",AW134="",BG134=""),"",(IF(Q134="",0,Q134*25)+IF(AE134="",0,AE134*22)+IF(AM134="",0,AM134*18)+IF(AW134="",0,AW134*15)+IF(BG134="",0,BG134*20))/(IF(Q134="",0,25)+IF(AE134="",0,22)+IF(AM134="",0,18)+IF(AW134="",0,15)+IF(BG134="",0,20)))</f>
        <v/>
      </c>
      <c r="BM134" s="11">
        <f>IF(BK134="Ranked",1+COUNTIFS($BK$2:$BK$158,"Ranked",$BL$2:$BL$158,"&gt;"&amp;BL134),"")</f>
        <v/>
      </c>
      <c r="BN134" s="11">
        <f>City_Inputs!$AI134</f>
        <v/>
      </c>
    </row>
    <row r="135">
      <c r="A135" t="inlineStr">
        <is>
          <t>no-bergen</t>
        </is>
      </c>
      <c r="B135" t="inlineStr">
        <is>
          <t>Bergen</t>
        </is>
      </c>
      <c r="C135" t="inlineStr">
        <is>
          <t>Norway</t>
        </is>
      </c>
      <c r="D135" t="inlineStr">
        <is>
          <t>Western, Northern, and Southern Europe</t>
        </is>
      </c>
      <c r="E135" t="inlineStr">
        <is>
          <t>provisional</t>
        </is>
      </c>
      <c r="F135" t="inlineStr">
        <is>
          <t>secondary</t>
        </is>
      </c>
      <c r="G135" s="11">
        <f>IF(OR(City_Inputs!$M135="",Norm_Stats!$F$2="",Norm_Stats!$G$2="",Norm_Stats!$G$2=Norm_Stats!$F$2),"",MAX(0,MIN(100,100*(MIN(MAX(City_Inputs!$M135,Norm_Stats!$F$2),Norm_Stats!$G$2)-Norm_Stats!$F$2)/(Norm_Stats!$G$2-Norm_Stats!$F$2))))</f>
        <v/>
      </c>
      <c r="H135" s="14">
        <f>IF(G135="","",1)</f>
        <v/>
      </c>
      <c r="I135" s="11">
        <f>IF(OR(City_Inputs!$N135="",Norm_Stats!$F$3="",Norm_Stats!$G$3="",Norm_Stats!$G$3=Norm_Stats!$F$3),"",MAX(0,MIN(100,100*(Norm_Stats!$G$3-MIN(MAX(City_Inputs!$N135,Norm_Stats!$F$3),Norm_Stats!$G$3))/(Norm_Stats!$G$3-Norm_Stats!$F$3))))</f>
        <v/>
      </c>
      <c r="J135" s="14">
        <f>IF(I135="","",1)</f>
        <v/>
      </c>
      <c r="K135" s="11">
        <f>IF(OR(City_Inputs!$P135="",Norm_Stats!$F$4="",Norm_Stats!$G$4="",Norm_Stats!$G$4=Norm_Stats!$F$4),"",MAX(0,MIN(100,100*(Norm_Stats!$G$4-MIN(MAX(City_Inputs!$P135,Norm_Stats!$F$4),Norm_Stats!$G$4))/(Norm_Stats!$G$4-Norm_Stats!$F$4))))</f>
        <v/>
      </c>
      <c r="L135" s="14">
        <f>IF(K135="","",1)</f>
        <v/>
      </c>
      <c r="M135" s="11">
        <f>IF(OR(City_Inputs!$Q135="",Norm_Stats!$F$5="",Norm_Stats!$G$5="",Norm_Stats!$G$5=Norm_Stats!$F$5),"",MAX(0,MIN(100,100*(Norm_Stats!$G$5-MIN(MAX(City_Inputs!$Q135,Norm_Stats!$F$5),Norm_Stats!$G$5))/(Norm_Stats!$G$5-Norm_Stats!$F$5))))</f>
        <v/>
      </c>
      <c r="N135" s="14">
        <f>IF(M135="","",1)</f>
        <v/>
      </c>
      <c r="O135" s="11">
        <f>IF(OR(City_Inputs!$R135="",Norm_Stats!$F$6="",Norm_Stats!$G$6="",Norm_Stats!$G$6=Norm_Stats!$F$6),"",MAX(0,MIN(100,100*(Norm_Stats!$G$6-MIN(MAX(City_Inputs!$R135,Norm_Stats!$F$6),Norm_Stats!$G$6))/(Norm_Stats!$G$6-Norm_Stats!$F$6))))</f>
        <v/>
      </c>
      <c r="P135" s="14">
        <f>IF(O135="","",1)</f>
        <v/>
      </c>
      <c r="Q135" s="15">
        <f>IF((IF(G135="",0,9)+IF(I135="",0,5)+IF(K135="",0,4)+IF(M135="",0,4)+IF(O135="",0,5))=0,"",(IF(G135="",0,G135*9)+IF(I135="",0,I135*5)+IF(K135="",0,K135*4)+IF(M135="",0,M135*4)+IF(O135="",0,O135*5))/(IF(G135="",0,9)+IF(I135="",0,5)+IF(K135="",0,4)+IF(M135="",0,4)+IF(O135="",0,5)))</f>
        <v/>
      </c>
      <c r="R135" s="14">
        <f>IF((IF(H135="",0,9)+IF(J135="",0,5)+IF(L135="",0,4)+IF(N135="",0,4)+IF(P135="",0,5))=0,"",(IF(H135="",0,H135*9)+IF(J135="",0,J135*5)+IF(L135="",0,L135*4)+IF(N135="",0,N135*4)+IF(P135="",0,P135*5))/27)</f>
        <v/>
      </c>
      <c r="S135" s="11">
        <f>IF(OR(City_Inputs!$S135="",Norm_Stats!$F$7="",Norm_Stats!$G$7="",Norm_Stats!$G$7=Norm_Stats!$F$7),"",MAX(0,MIN(100,100*(Norm_Stats!$G$7-MIN(MAX(City_Inputs!$S135,Norm_Stats!$F$7),Norm_Stats!$G$7))/(Norm_Stats!$G$7-Norm_Stats!$F$7))))</f>
        <v/>
      </c>
      <c r="T135" s="14">
        <f>IF(S135="","",1)</f>
        <v/>
      </c>
      <c r="U135" s="11">
        <f>IF(OR(City_Inputs!$T135="",Norm_Stats!$F$8="",Norm_Stats!$G$8="",Norm_Stats!$G$8=Norm_Stats!$F$8),"",MAX(0,MIN(100,100*(MIN(MAX(City_Inputs!$T135,Norm_Stats!$F$8),Norm_Stats!$G$8)-Norm_Stats!$F$8)/(Norm_Stats!$G$8-Norm_Stats!$F$8))))</f>
        <v/>
      </c>
      <c r="V135" s="14">
        <f>IF(U135="","",1)</f>
        <v/>
      </c>
      <c r="W135" s="11">
        <f>IF(OR(City_Inputs!$U135="",Norm_Stats!$F$9="",Norm_Stats!$G$9="",Norm_Stats!$G$9=Norm_Stats!$F$9),"",MAX(0,MIN(100,100*(Norm_Stats!$G$9-MIN(MAX(City_Inputs!$U135,Norm_Stats!$F$9),Norm_Stats!$G$9))/(Norm_Stats!$G$9-Norm_Stats!$F$9))))</f>
        <v/>
      </c>
      <c r="X135" s="14">
        <f>IF(W135="","",1)</f>
        <v/>
      </c>
      <c r="Y135" s="11">
        <f>IF(OR(City_Inputs!$V135="",Norm_Stats!$F$10="",Norm_Stats!$G$10="",Norm_Stats!$G$10=Norm_Stats!$F$10),"",MAX(0,MIN(100,100*(MIN(MAX(City_Inputs!$V135,Norm_Stats!$F$10),Norm_Stats!$G$10)-Norm_Stats!$F$10)/(Norm_Stats!$G$10-Norm_Stats!$F$10))))</f>
        <v/>
      </c>
      <c r="Z135" s="14">
        <f>IF(Y135="","",1)</f>
        <v/>
      </c>
      <c r="AA135" s="11">
        <f>IF(OR(City_Inputs!$W135="",Norm_Stats!$F$11="",Norm_Stats!$G$11="",Norm_Stats!$G$11=Norm_Stats!$F$11),"",MAX(0,MIN(100,100*(MIN(MAX(City_Inputs!$W135,Norm_Stats!$F$11),Norm_Stats!$G$11)-Norm_Stats!$F$11)/(Norm_Stats!$G$11-Norm_Stats!$F$11))))</f>
        <v/>
      </c>
      <c r="AB135" s="14">
        <f>IF(AA135="","",1)</f>
        <v/>
      </c>
      <c r="AC135" s="11">
        <f>IF(OR(City_Inputs!$X135="",Norm_Stats!$F$12="",Norm_Stats!$G$12="",Norm_Stats!$G$12=Norm_Stats!$F$12),"",MAX(0,MIN(100,100*(MIN(MAX(City_Inputs!$X135,Norm_Stats!$F$12),Norm_Stats!$G$12)-Norm_Stats!$F$12)/(Norm_Stats!$G$12-Norm_Stats!$F$12))))</f>
        <v/>
      </c>
      <c r="AD135" s="11">
        <f>IF(AC135="","",1)</f>
        <v/>
      </c>
      <c r="AE135" s="15">
        <f>IF((IF(S135="",0,5)+IF(U135="",0,5)+IF(W135="",0,4)+IF(Y135="",0,4)+IF(AA135="",0,4)+IF(AC135="",0,5))=0,"",(IF(S135="",0,S135*5)+IF(U135="",0,U135*5)+IF(W135="",0,W135*4)+IF(Y135="",0,Y135*4)+IF(AA135="",0,AA135*4)+IF(AC135="",0,AC135*5))/(IF(S135="",0,5)+IF(U135="",0,5)+IF(W135="",0,4)+IF(Y135="",0,4)+IF(AA135="",0,4)+IF(AC135="",0,5)))</f>
        <v/>
      </c>
      <c r="AF135" s="14">
        <f>IF((IF(T135="",0,5)+IF(V135="",0,5)+IF(X135="",0,4)+IF(Z135="",0,4)+IF(AB135="",0,4)+IF(AD135="",0,5))=0,"",(IF(T135="",0,T135*5)+IF(V135="",0,V135*5)+IF(X135="",0,X135*4)+IF(Z135="",0,Z135*4)+IF(AB135="",0,AB135*4)+IF(AD135="",0,AD135*5))/27)</f>
        <v/>
      </c>
      <c r="AG135" s="11">
        <f>IF(OR(City_Inputs!$Y135="",Norm_Stats!$F$13="",Norm_Stats!$G$13="",Norm_Stats!$G$13=Norm_Stats!$F$13),"",MAX(0,MIN(100,100*(MIN(MAX(City_Inputs!$Y135,Norm_Stats!$F$13),Norm_Stats!$G$13)-Norm_Stats!$F$13)/(Norm_Stats!$G$13-Norm_Stats!$F$13))))</f>
        <v/>
      </c>
      <c r="AH135" s="14">
        <f>IF(AG135="","",1)</f>
        <v/>
      </c>
      <c r="AI135" s="11">
        <f>IF(OR(City_Inputs!$Z135="",Norm_Stats!$F$14="",Norm_Stats!$G$14="",Norm_Stats!$G$14=Norm_Stats!$F$14),"",MAX(0,MIN(100,100*(MIN(MAX(City_Inputs!$Z135,Norm_Stats!$F$14),Norm_Stats!$G$14)-Norm_Stats!$F$14)/(Norm_Stats!$G$14-Norm_Stats!$F$14))))</f>
        <v/>
      </c>
      <c r="AJ135" s="14">
        <f>IF(AI135="","",1)</f>
        <v/>
      </c>
      <c r="AK135" s="11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(IF(OR(City_Inputs!$AA135="",Norm_Stats!$F$15="",Norm_Stats!$G$15="",Norm_Stats!$G$15=Norm_Stats!$F$15),"",MAX(0,MIN(100,100*(MIN(MAX(City_Inputs!$AA135,Norm_Stats!$F$15),Norm_Stats!$G$15)-Norm_Stats!$F$15)/(Norm_Stats!$G$15-Norm_Stats!$F$15)))))*0.7)+IF((IF(OR(City_Inputs!$AL135="",Norm_Stats!$F$16="",Norm_Stats!$G$16="",Norm_Stats!$G$16=Norm_Stats!$F$16),"",MAX(0,MIN(100,100*(Norm_Stats!$G$16-MIN(MAX(City_Inputs!$AL135,Norm_Stats!$F$16),Norm_Stats!$G$16))/(Norm_Stats!$G$16-Norm_Stats!$F$16)))))="",0,(IF(OR(City_Inputs!$AL135="",Norm_Stats!$F$16="",Norm_Stats!$G$16="",Norm_Stats!$G$16=Norm_Stats!$F$16),"",MAX(0,MIN(100,100*(Norm_Stats!$G$16-MIN(MAX(City_Inputs!$AL135,Norm_Stats!$F$16),Norm_Stats!$G$16))/(Norm_Stats!$G$16-Norm_Stats!$F$16)))))*0.3))/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L135" s="14">
        <f>IF(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=0,"",(IF((IF(OR(City_Inputs!$AA135="",Norm_Stats!$F$15="",Norm_Stats!$G$15="",Norm_Stats!$G$15=Norm_Stats!$F$15),"",MAX(0,MIN(100,100*(MIN(MAX(City_Inputs!$AA135,Norm_Stats!$F$15),Norm_Stats!$G$15)-Norm_Stats!$F$15)/(Norm_Stats!$G$15-Norm_Stats!$F$15)))))="",0,0.7)+IF((IF(OR(City_Inputs!$AL135="",Norm_Stats!$F$16="",Norm_Stats!$G$16="",Norm_Stats!$G$16=Norm_Stats!$F$16),"",MAX(0,MIN(100,100*(Norm_Stats!$G$16-MIN(MAX(City_Inputs!$AL135,Norm_Stats!$F$16),Norm_Stats!$G$16))/(Norm_Stats!$G$16-Norm_Stats!$F$16)))))="",0,0.3)))</f>
        <v/>
      </c>
      <c r="AM135" s="15">
        <f>IF((IF(AG135="",0,8)+IF(AI135="",0,6)+IF(AK135="",0,4))=0,"",(IF(AG135="",0,AG135*8)+IF(AI135="",0,AI135*6)+IF(AK135="",0,AK135*4))/(IF(AG135="",0,8)+IF(AI135="",0,6)+IF(AK135="",0,4)))</f>
        <v/>
      </c>
      <c r="AN135" s="14">
        <f>IF((IF(AH135="",0,8)+IF(AJ135="",0,6)+IF(AL135="",0,4))=0,"",(IF(AH135="",0,AH135*8)+IF(AJ135="",0,AJ135*6)+IF(AL135="",0,AL135*4))/18)</f>
        <v/>
      </c>
      <c r="AO135" s="11">
        <f>IF(OR(City_Inputs!$AB135="",Norm_Stats!$F$17="",Norm_Stats!$G$17="",Norm_Stats!$G$17=Norm_Stats!$F$17),"",MAX(0,MIN(100,100*(MIN(MAX(City_Inputs!$AB135,Norm_Stats!$F$17),Norm_Stats!$G$17)-Norm_Stats!$F$17)/(Norm_Stats!$G$17-Norm_Stats!$F$17))))</f>
        <v/>
      </c>
      <c r="AP135" s="14">
        <f>IF(AO135="","",1)</f>
        <v/>
      </c>
      <c r="AQ135" s="11">
        <f>IF(OR(City_Inputs!$AC135="",Norm_Stats!$F$18="",Norm_Stats!$G$18="",Norm_Stats!$G$18=Norm_Stats!$F$18),"",MAX(0,MIN(100,100*(MIN(MAX(City_Inputs!$AC135,Norm_Stats!$F$18),Norm_Stats!$G$18)-Norm_Stats!$F$18)/(Norm_Stats!$G$18-Norm_Stats!$F$18))))</f>
        <v/>
      </c>
      <c r="AR135" s="14">
        <f>IF(AQ135="","",1)</f>
        <v/>
      </c>
      <c r="AS135" s="11">
        <f>IF(OR(City_Inputs!$AD135="",Norm_Stats!$F$19="",Norm_Stats!$G$19="",Norm_Stats!$G$19=Norm_Stats!$F$19),"",MAX(0,MIN(100,100*(MIN(MAX(City_Inputs!$AD135,Norm_Stats!$F$19),Norm_Stats!$G$19)-Norm_Stats!$F$19)/(Norm_Stats!$G$19-Norm_Stats!$F$19))))</f>
        <v/>
      </c>
      <c r="AT135" s="14">
        <f>IF(AS135="","",1)</f>
        <v/>
      </c>
      <c r="AU135" s="11">
        <f>IF(OR(City_Inputs!$BJ135="",Norm_Stats!$F$26="",Norm_Stats!$G$26="",Norm_Stats!$G$26=Norm_Stats!$F$26),"",MAX(0,MIN(100,100*(MIN(MAX(City_Inputs!$BJ135,Norm_Stats!$F$26),Norm_Stats!$G$26)-Norm_Stats!$F$26)/(Norm_Stats!$G$26-Norm_Stats!$F$26))))</f>
        <v/>
      </c>
      <c r="AV135" s="11">
        <f>IF(AU135="","",1)</f>
        <v/>
      </c>
      <c r="AW135" s="15">
        <f>IF((IF(AO135="",0,5)+IF(AQ135="",0,5)+IF(AS135="",0,5)+IF(AU135="",0,4))=0,"",(IF(AO135="",0,AO135*5)+IF(AQ135="",0,AQ135*5)+IF(AS135="",0,AS135*5)+IF(AU135="",0,AU135*4))/(IF(AO135="",0,5)+IF(AQ135="",0,5)+IF(AS135="",0,5)+IF(AU135="",0,4)))</f>
        <v/>
      </c>
      <c r="AX135" s="14">
        <f>IF((IF(AP135="",0,5)+IF(AR135="",0,5)+IF(AT135="",0,5)+IF(AV135="",0,4))=0,"",(IF(AP135="",0,AP135*5)+IF(AR135="",0,AR135*5)+IF(AT135="",0,AT135*5)+IF(AV135="",0,AV135*4))/19)</f>
        <v/>
      </c>
      <c r="AY135" s="11">
        <f>IF(OR(City_Inputs!$AE135="",Norm_Stats!$F$20="",Norm_Stats!$G$20="",Norm_Stats!$G$20=Norm_Stats!$F$20),"",MAX(0,MIN(100,100*(MIN(MAX(City_Inputs!$AE135,Norm_Stats!$F$20),Norm_Stats!$G$20)-Norm_Stats!$F$20)/(Norm_Stats!$G$20-Norm_Stats!$F$20))))</f>
        <v/>
      </c>
      <c r="AZ135" s="14">
        <f>IF(AY135="","",1)</f>
        <v/>
      </c>
      <c r="BA135" s="11">
        <f>IF(OR(City_Inputs!$AF135="",Norm_Stats!$F$21="",Norm_Stats!$G$21="",Norm_Stats!$G$21=Norm_Stats!$F$21),"",MAX(0,MIN(100,100*(MIN(MAX(City_Inputs!$AF135,Norm_Stats!$F$21),Norm_Stats!$G$21)-Norm_Stats!$F$21)/(Norm_Stats!$G$21-Norm_Stats!$F$21))))</f>
        <v/>
      </c>
      <c r="BB135" s="14">
        <f>IF(BA135="","",1)</f>
        <v/>
      </c>
      <c r="BC135" s="11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(IF(OR(City_Inputs!$AG135="",Norm_Stats!$F$22="",Norm_Stats!$G$22="",Norm_Stats!$G$22=Norm_Stats!$F$22),"",MAX(0,MIN(100,100*(MIN(MAX(City_Inputs!$AG135,Norm_Stats!$F$22),Norm_Stats!$G$22)-Norm_Stats!$F$22)/(Norm_Stats!$G$22-Norm_Stats!$F$22)))))*0.5)+IF((IF(OR(City_Inputs!$AJ135="",Norm_Stats!$F$23="",Norm_Stats!$G$23="",Norm_Stats!$G$23=Norm_Stats!$F$23),"",MAX(0,MIN(100,100*(MIN(MAX(City_Inputs!$AJ135,Norm_Stats!$F$23),Norm_Stats!$G$23)-Norm_Stats!$F$23)/(Norm_Stats!$G$23-Norm_Stats!$F$23)))))="",0,(IF(OR(City_Inputs!$AJ135="",Norm_Stats!$F$23="",Norm_Stats!$G$23="",Norm_Stats!$G$23=Norm_Stats!$F$23),"",MAX(0,MIN(100,100*(MIN(MAX(City_Inputs!$AJ135,Norm_Stats!$F$23),Norm_Stats!$G$23)-Norm_Stats!$F$23)/(Norm_Stats!$G$23-Norm_Stats!$F$23)))))*0.3)+IF((IF(OR(City_Inputs!$AK135="",Norm_Stats!$F$24="",Norm_Stats!$G$24="",Norm_Stats!$G$24=Norm_Stats!$F$24),"",MAX(0,MIN(100,100*(MIN(MAX(City_Inputs!$AK135,Norm_Stats!$F$24),Norm_Stats!$G$24)-Norm_Stats!$F$24)/(Norm_Stats!$G$24-Norm_Stats!$F$24)))))="",0,(IF(OR(City_Inputs!$AK135="",Norm_Stats!$F$24="",Norm_Stats!$G$24="",Norm_Stats!$G$24=Norm_Stats!$F$24),"",MAX(0,MIN(100,100*(MIN(MAX(City_Inputs!$AK135,Norm_Stats!$F$24),Norm_Stats!$G$24)-Norm_Stats!$F$24)/(Norm_Stats!$G$24-Norm_Stats!$F$24)))))*0.2))/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D135" s="14">
        <f>IF(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=0,"",(IF((IF(OR(City_Inputs!$AG135="",Norm_Stats!$F$22="",Norm_Stats!$G$22="",Norm_Stats!$G$22=Norm_Stats!$F$22),"",MAX(0,MIN(100,100*(MIN(MAX(City_Inputs!$AG135,Norm_Stats!$F$22),Norm_Stats!$G$22)-Norm_Stats!$F$22)/(Norm_Stats!$G$22-Norm_Stats!$F$22)))))="",0,0.5)+IF((IF(OR(City_Inputs!$AJ135="",Norm_Stats!$F$23="",Norm_Stats!$G$23="",Norm_Stats!$G$23=Norm_Stats!$F$23),"",MAX(0,MIN(100,100*(MIN(MAX(City_Inputs!$AJ135,Norm_Stats!$F$23),Norm_Stats!$G$23)-Norm_Stats!$F$23)/(Norm_Stats!$G$23-Norm_Stats!$F$23)))))="",0,0.3)+IF((IF(OR(City_Inputs!$AK135="",Norm_Stats!$F$24="",Norm_Stats!$G$24="",Norm_Stats!$G$24=Norm_Stats!$F$24),"",MAX(0,MIN(100,100*(MIN(MAX(City_Inputs!$AK135,Norm_Stats!$F$24),Norm_Stats!$G$24)-Norm_Stats!$F$24)/(Norm_Stats!$G$24-Norm_Stats!$F$24)))))="",0,0.2)))</f>
        <v/>
      </c>
      <c r="BE135" s="11">
        <f>IF(OR(City_Inputs!$AH135="",Norm_Stats!$F$25="",Norm_Stats!$G$25="",Norm_Stats!$G$25=Norm_Stats!$F$25),"",MAX(0,MIN(100,100*(Norm_Stats!$G$25-MIN(MAX(City_Inputs!$AH135,Norm_Stats!$F$25),Norm_Stats!$G$25))/(Norm_Stats!$G$25-Norm_Stats!$F$25))))</f>
        <v/>
      </c>
      <c r="BF135" s="14">
        <f>IF(BE135="","",1)</f>
        <v/>
      </c>
      <c r="BG135" s="15">
        <f>IF((IF(AY135="",0,6)+IF(BA135="",0,5)+IF(BC135="",0,5)+IF(BE135="",0,4))=0,"",(IF(AY135="",0,AY135*6)+IF(BA135="",0,BA135*5)+IF(BC135="",0,BC135*5)+IF(BE135="",0,BE135*4))/(IF(AY135="",0,6)+IF(BA135="",0,5)+IF(BC135="",0,5)+IF(BE135="",0,4)))</f>
        <v/>
      </c>
      <c r="BH135" s="14">
        <f>IF((IF(AZ135="",0,6)+IF(BB135="",0,5)+IF(BD135="",0,5)+IF(BF135="",0,4))=0,"",(IF(AZ135="",0,AZ135*6)+IF(BB135="",0,BB135*5)+IF(BD135="",0,BD135*5)+IF(BF135="",0,BF135*4))/20)</f>
        <v/>
      </c>
      <c r="BI135" s="14">
        <f>IF(AND(R135="",AF135="",AN135="",AX135="",BH135=""),"",((R135*25)+(AF135*22)+(AN135*18)+(AX135*15)+(BH135*20))/100)</f>
        <v/>
      </c>
      <c r="BJ135" s="11">
        <f>IF(BI135="","",IF(BI135&gt;=0.75,"A",IF(BI135&gt;=0.5,"B",IF(BI135&gt;=0.35,"C","Watchlist"))))</f>
        <v/>
      </c>
      <c r="BK135" s="11">
        <f>IF(OR(BI135="",BI135&lt;0.5,R135="",R135&lt;0.35,AF135="",AF135&lt;0.35,AN135="",AN135&lt;0.35,AX135="",AX135&lt;0.35,BH135="",BH135&lt;0.35),"Watchlist","Ranked")</f>
        <v/>
      </c>
      <c r="BL135" s="15">
        <f>IF(AND(Q135="",AE135="",AM135="",AW135="",BG135=""),"",(IF(Q135="",0,Q135*25)+IF(AE135="",0,AE135*22)+IF(AM135="",0,AM135*18)+IF(AW135="",0,AW135*15)+IF(BG135="",0,BG135*20))/(IF(Q135="",0,25)+IF(AE135="",0,22)+IF(AM135="",0,18)+IF(AW135="",0,15)+IF(BG135="",0,20)))</f>
        <v/>
      </c>
      <c r="BM135" s="11">
        <f>IF(BK135="Ranked",1+COUNTIFS($BK$2:$BK$158,"Ranked",$BL$2:$BL$158,"&gt;"&amp;BL135),"")</f>
        <v/>
      </c>
      <c r="BN135" s="11">
        <f>City_Inputs!$AI135</f>
        <v/>
      </c>
    </row>
    <row r="136">
      <c r="A136" t="inlineStr">
        <is>
          <t>nl-eindhoven</t>
        </is>
      </c>
      <c r="B136" t="inlineStr">
        <is>
          <t>Eindhoven</t>
        </is>
      </c>
      <c r="C136" t="inlineStr">
        <is>
          <t>Netherlands</t>
        </is>
      </c>
      <c r="D136" t="inlineStr">
        <is>
          <t>Western, Northern, and Southern Europe</t>
        </is>
      </c>
      <c r="E136" t="inlineStr">
        <is>
          <t>provisional</t>
        </is>
      </c>
      <c r="F136" t="inlineStr">
        <is>
          <t>secondary</t>
        </is>
      </c>
      <c r="G136" s="11">
        <f>IF(OR(City_Inputs!$M136="",Norm_Stats!$F$2="",Norm_Stats!$G$2="",Norm_Stats!$G$2=Norm_Stats!$F$2),"",MAX(0,MIN(100,100*(MIN(MAX(City_Inputs!$M136,Norm_Stats!$F$2),Norm_Stats!$G$2)-Norm_Stats!$F$2)/(Norm_Stats!$G$2-Norm_Stats!$F$2))))</f>
        <v/>
      </c>
      <c r="H136" s="14">
        <f>IF(G136="","",1)</f>
        <v/>
      </c>
      <c r="I136" s="11">
        <f>IF(OR(City_Inputs!$N136="",Norm_Stats!$F$3="",Norm_Stats!$G$3="",Norm_Stats!$G$3=Norm_Stats!$F$3),"",MAX(0,MIN(100,100*(Norm_Stats!$G$3-MIN(MAX(City_Inputs!$N136,Norm_Stats!$F$3),Norm_Stats!$G$3))/(Norm_Stats!$G$3-Norm_Stats!$F$3))))</f>
        <v/>
      </c>
      <c r="J136" s="14">
        <f>IF(I136="","",1)</f>
        <v/>
      </c>
      <c r="K136" s="11">
        <f>IF(OR(City_Inputs!$P136="",Norm_Stats!$F$4="",Norm_Stats!$G$4="",Norm_Stats!$G$4=Norm_Stats!$F$4),"",MAX(0,MIN(100,100*(Norm_Stats!$G$4-MIN(MAX(City_Inputs!$P136,Norm_Stats!$F$4),Norm_Stats!$G$4))/(Norm_Stats!$G$4-Norm_Stats!$F$4))))</f>
        <v/>
      </c>
      <c r="L136" s="14">
        <f>IF(K136="","",1)</f>
        <v/>
      </c>
      <c r="M136" s="11">
        <f>IF(OR(City_Inputs!$Q136="",Norm_Stats!$F$5="",Norm_Stats!$G$5="",Norm_Stats!$G$5=Norm_Stats!$F$5),"",MAX(0,MIN(100,100*(Norm_Stats!$G$5-MIN(MAX(City_Inputs!$Q136,Norm_Stats!$F$5),Norm_Stats!$G$5))/(Norm_Stats!$G$5-Norm_Stats!$F$5))))</f>
        <v/>
      </c>
      <c r="N136" s="14">
        <f>IF(M136="","",1)</f>
        <v/>
      </c>
      <c r="O136" s="11">
        <f>IF(OR(City_Inputs!$R136="",Norm_Stats!$F$6="",Norm_Stats!$G$6="",Norm_Stats!$G$6=Norm_Stats!$F$6),"",MAX(0,MIN(100,100*(Norm_Stats!$G$6-MIN(MAX(City_Inputs!$R136,Norm_Stats!$F$6),Norm_Stats!$G$6))/(Norm_Stats!$G$6-Norm_Stats!$F$6))))</f>
        <v/>
      </c>
      <c r="P136" s="14">
        <f>IF(O136="","",1)</f>
        <v/>
      </c>
      <c r="Q136" s="15">
        <f>IF((IF(G136="",0,9)+IF(I136="",0,5)+IF(K136="",0,4)+IF(M136="",0,4)+IF(O136="",0,5))=0,"",(IF(G136="",0,G136*9)+IF(I136="",0,I136*5)+IF(K136="",0,K136*4)+IF(M136="",0,M136*4)+IF(O136="",0,O136*5))/(IF(G136="",0,9)+IF(I136="",0,5)+IF(K136="",0,4)+IF(M136="",0,4)+IF(O136="",0,5)))</f>
        <v/>
      </c>
      <c r="R136" s="14">
        <f>IF((IF(H136="",0,9)+IF(J136="",0,5)+IF(L136="",0,4)+IF(N136="",0,4)+IF(P136="",0,5))=0,"",(IF(H136="",0,H136*9)+IF(J136="",0,J136*5)+IF(L136="",0,L136*4)+IF(N136="",0,N136*4)+IF(P136="",0,P136*5))/27)</f>
        <v/>
      </c>
      <c r="S136" s="11">
        <f>IF(OR(City_Inputs!$S136="",Norm_Stats!$F$7="",Norm_Stats!$G$7="",Norm_Stats!$G$7=Norm_Stats!$F$7),"",MAX(0,MIN(100,100*(Norm_Stats!$G$7-MIN(MAX(City_Inputs!$S136,Norm_Stats!$F$7),Norm_Stats!$G$7))/(Norm_Stats!$G$7-Norm_Stats!$F$7))))</f>
        <v/>
      </c>
      <c r="T136" s="14">
        <f>IF(S136="","",1)</f>
        <v/>
      </c>
      <c r="U136" s="11">
        <f>IF(OR(City_Inputs!$T136="",Norm_Stats!$F$8="",Norm_Stats!$G$8="",Norm_Stats!$G$8=Norm_Stats!$F$8),"",MAX(0,MIN(100,100*(MIN(MAX(City_Inputs!$T136,Norm_Stats!$F$8),Norm_Stats!$G$8)-Norm_Stats!$F$8)/(Norm_Stats!$G$8-Norm_Stats!$F$8))))</f>
        <v/>
      </c>
      <c r="V136" s="14">
        <f>IF(U136="","",1)</f>
        <v/>
      </c>
      <c r="W136" s="11">
        <f>IF(OR(City_Inputs!$U136="",Norm_Stats!$F$9="",Norm_Stats!$G$9="",Norm_Stats!$G$9=Norm_Stats!$F$9),"",MAX(0,MIN(100,100*(Norm_Stats!$G$9-MIN(MAX(City_Inputs!$U136,Norm_Stats!$F$9),Norm_Stats!$G$9))/(Norm_Stats!$G$9-Norm_Stats!$F$9))))</f>
        <v/>
      </c>
      <c r="X136" s="14">
        <f>IF(W136="","",1)</f>
        <v/>
      </c>
      <c r="Y136" s="11">
        <f>IF(OR(City_Inputs!$V136="",Norm_Stats!$F$10="",Norm_Stats!$G$10="",Norm_Stats!$G$10=Norm_Stats!$F$10),"",MAX(0,MIN(100,100*(MIN(MAX(City_Inputs!$V136,Norm_Stats!$F$10),Norm_Stats!$G$10)-Norm_Stats!$F$10)/(Norm_Stats!$G$10-Norm_Stats!$F$10))))</f>
        <v/>
      </c>
      <c r="Z136" s="14">
        <f>IF(Y136="","",1)</f>
        <v/>
      </c>
      <c r="AA136" s="11">
        <f>IF(OR(City_Inputs!$W136="",Norm_Stats!$F$11="",Norm_Stats!$G$11="",Norm_Stats!$G$11=Norm_Stats!$F$11),"",MAX(0,MIN(100,100*(MIN(MAX(City_Inputs!$W136,Norm_Stats!$F$11),Norm_Stats!$G$11)-Norm_Stats!$F$11)/(Norm_Stats!$G$11-Norm_Stats!$F$11))))</f>
        <v/>
      </c>
      <c r="AB136" s="14">
        <f>IF(AA136="","",1)</f>
        <v/>
      </c>
      <c r="AC136" s="11">
        <f>IF(OR(City_Inputs!$X136="",Norm_Stats!$F$12="",Norm_Stats!$G$12="",Norm_Stats!$G$12=Norm_Stats!$F$12),"",MAX(0,MIN(100,100*(MIN(MAX(City_Inputs!$X136,Norm_Stats!$F$12),Norm_Stats!$G$12)-Norm_Stats!$F$12)/(Norm_Stats!$G$12-Norm_Stats!$F$12))))</f>
        <v/>
      </c>
      <c r="AD136" s="11">
        <f>IF(AC136="","",1)</f>
        <v/>
      </c>
      <c r="AE136" s="15">
        <f>IF((IF(S136="",0,5)+IF(U136="",0,5)+IF(W136="",0,4)+IF(Y136="",0,4)+IF(AA136="",0,4)+IF(AC136="",0,5))=0,"",(IF(S136="",0,S136*5)+IF(U136="",0,U136*5)+IF(W136="",0,W136*4)+IF(Y136="",0,Y136*4)+IF(AA136="",0,AA136*4)+IF(AC136="",0,AC136*5))/(IF(S136="",0,5)+IF(U136="",0,5)+IF(W136="",0,4)+IF(Y136="",0,4)+IF(AA136="",0,4)+IF(AC136="",0,5)))</f>
        <v/>
      </c>
      <c r="AF136" s="14">
        <f>IF((IF(T136="",0,5)+IF(V136="",0,5)+IF(X136="",0,4)+IF(Z136="",0,4)+IF(AB136="",0,4)+IF(AD136="",0,5))=0,"",(IF(T136="",0,T136*5)+IF(V136="",0,V136*5)+IF(X136="",0,X136*4)+IF(Z136="",0,Z136*4)+IF(AB136="",0,AB136*4)+IF(AD136="",0,AD136*5))/27)</f>
        <v/>
      </c>
      <c r="AG136" s="11">
        <f>IF(OR(City_Inputs!$Y136="",Norm_Stats!$F$13="",Norm_Stats!$G$13="",Norm_Stats!$G$13=Norm_Stats!$F$13),"",MAX(0,MIN(100,100*(MIN(MAX(City_Inputs!$Y136,Norm_Stats!$F$13),Norm_Stats!$G$13)-Norm_Stats!$F$13)/(Norm_Stats!$G$13-Norm_Stats!$F$13))))</f>
        <v/>
      </c>
      <c r="AH136" s="14">
        <f>IF(AG136="","",1)</f>
        <v/>
      </c>
      <c r="AI136" s="11">
        <f>IF(OR(City_Inputs!$Z136="",Norm_Stats!$F$14="",Norm_Stats!$G$14="",Norm_Stats!$G$14=Norm_Stats!$F$14),"",MAX(0,MIN(100,100*(MIN(MAX(City_Inputs!$Z136,Norm_Stats!$F$14),Norm_Stats!$G$14)-Norm_Stats!$F$14)/(Norm_Stats!$G$14-Norm_Stats!$F$14))))</f>
        <v/>
      </c>
      <c r="AJ136" s="14">
        <f>IF(AI136="","",1)</f>
        <v/>
      </c>
      <c r="AK136" s="11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(IF(OR(City_Inputs!$AA136="",Norm_Stats!$F$15="",Norm_Stats!$G$15="",Norm_Stats!$G$15=Norm_Stats!$F$15),"",MAX(0,MIN(100,100*(MIN(MAX(City_Inputs!$AA136,Norm_Stats!$F$15),Norm_Stats!$G$15)-Norm_Stats!$F$15)/(Norm_Stats!$G$15-Norm_Stats!$F$15)))))*0.7)+IF((IF(OR(City_Inputs!$AL136="",Norm_Stats!$F$16="",Norm_Stats!$G$16="",Norm_Stats!$G$16=Norm_Stats!$F$16),"",MAX(0,MIN(100,100*(Norm_Stats!$G$16-MIN(MAX(City_Inputs!$AL136,Norm_Stats!$F$16),Norm_Stats!$G$16))/(Norm_Stats!$G$16-Norm_Stats!$F$16)))))="",0,(IF(OR(City_Inputs!$AL136="",Norm_Stats!$F$16="",Norm_Stats!$G$16="",Norm_Stats!$G$16=Norm_Stats!$F$16),"",MAX(0,MIN(100,100*(Norm_Stats!$G$16-MIN(MAX(City_Inputs!$AL136,Norm_Stats!$F$16),Norm_Stats!$G$16))/(Norm_Stats!$G$16-Norm_Stats!$F$16)))))*0.3))/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L136" s="14">
        <f>IF(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=0,"",(IF((IF(OR(City_Inputs!$AA136="",Norm_Stats!$F$15="",Norm_Stats!$G$15="",Norm_Stats!$G$15=Norm_Stats!$F$15),"",MAX(0,MIN(100,100*(MIN(MAX(City_Inputs!$AA136,Norm_Stats!$F$15),Norm_Stats!$G$15)-Norm_Stats!$F$15)/(Norm_Stats!$G$15-Norm_Stats!$F$15)))))="",0,0.7)+IF((IF(OR(City_Inputs!$AL136="",Norm_Stats!$F$16="",Norm_Stats!$G$16="",Norm_Stats!$G$16=Norm_Stats!$F$16),"",MAX(0,MIN(100,100*(Norm_Stats!$G$16-MIN(MAX(City_Inputs!$AL136,Norm_Stats!$F$16),Norm_Stats!$G$16))/(Norm_Stats!$G$16-Norm_Stats!$F$16)))))="",0,0.3)))</f>
        <v/>
      </c>
      <c r="AM136" s="15">
        <f>IF((IF(AG136="",0,8)+IF(AI136="",0,6)+IF(AK136="",0,4))=0,"",(IF(AG136="",0,AG136*8)+IF(AI136="",0,AI136*6)+IF(AK136="",0,AK136*4))/(IF(AG136="",0,8)+IF(AI136="",0,6)+IF(AK136="",0,4)))</f>
        <v/>
      </c>
      <c r="AN136" s="14">
        <f>IF((IF(AH136="",0,8)+IF(AJ136="",0,6)+IF(AL136="",0,4))=0,"",(IF(AH136="",0,AH136*8)+IF(AJ136="",0,AJ136*6)+IF(AL136="",0,AL136*4))/18)</f>
        <v/>
      </c>
      <c r="AO136" s="11">
        <f>IF(OR(City_Inputs!$AB136="",Norm_Stats!$F$17="",Norm_Stats!$G$17="",Norm_Stats!$G$17=Norm_Stats!$F$17),"",MAX(0,MIN(100,100*(MIN(MAX(City_Inputs!$AB136,Norm_Stats!$F$17),Norm_Stats!$G$17)-Norm_Stats!$F$17)/(Norm_Stats!$G$17-Norm_Stats!$F$17))))</f>
        <v/>
      </c>
      <c r="AP136" s="14">
        <f>IF(AO136="","",1)</f>
        <v/>
      </c>
      <c r="AQ136" s="11">
        <f>IF(OR(City_Inputs!$AC136="",Norm_Stats!$F$18="",Norm_Stats!$G$18="",Norm_Stats!$G$18=Norm_Stats!$F$18),"",MAX(0,MIN(100,100*(MIN(MAX(City_Inputs!$AC136,Norm_Stats!$F$18),Norm_Stats!$G$18)-Norm_Stats!$F$18)/(Norm_Stats!$G$18-Norm_Stats!$F$18))))</f>
        <v/>
      </c>
      <c r="AR136" s="14">
        <f>IF(AQ136="","",1)</f>
        <v/>
      </c>
      <c r="AS136" s="11">
        <f>IF(OR(City_Inputs!$AD136="",Norm_Stats!$F$19="",Norm_Stats!$G$19="",Norm_Stats!$G$19=Norm_Stats!$F$19),"",MAX(0,MIN(100,100*(MIN(MAX(City_Inputs!$AD136,Norm_Stats!$F$19),Norm_Stats!$G$19)-Norm_Stats!$F$19)/(Norm_Stats!$G$19-Norm_Stats!$F$19))))</f>
        <v/>
      </c>
      <c r="AT136" s="14">
        <f>IF(AS136="","",1)</f>
        <v/>
      </c>
      <c r="AU136" s="11">
        <f>IF(OR(City_Inputs!$BJ136="",Norm_Stats!$F$26="",Norm_Stats!$G$26="",Norm_Stats!$G$26=Norm_Stats!$F$26),"",MAX(0,MIN(100,100*(MIN(MAX(City_Inputs!$BJ136,Norm_Stats!$F$26),Norm_Stats!$G$26)-Norm_Stats!$F$26)/(Norm_Stats!$G$26-Norm_Stats!$F$26))))</f>
        <v/>
      </c>
      <c r="AV136" s="11">
        <f>IF(AU136="","",1)</f>
        <v/>
      </c>
      <c r="AW136" s="15">
        <f>IF((IF(AO136="",0,5)+IF(AQ136="",0,5)+IF(AS136="",0,5)+IF(AU136="",0,4))=0,"",(IF(AO136="",0,AO136*5)+IF(AQ136="",0,AQ136*5)+IF(AS136="",0,AS136*5)+IF(AU136="",0,AU136*4))/(IF(AO136="",0,5)+IF(AQ136="",0,5)+IF(AS136="",0,5)+IF(AU136="",0,4)))</f>
        <v/>
      </c>
      <c r="AX136" s="14">
        <f>IF((IF(AP136="",0,5)+IF(AR136="",0,5)+IF(AT136="",0,5)+IF(AV136="",0,4))=0,"",(IF(AP136="",0,AP136*5)+IF(AR136="",0,AR136*5)+IF(AT136="",0,AT136*5)+IF(AV136="",0,AV136*4))/19)</f>
        <v/>
      </c>
      <c r="AY136" s="11">
        <f>IF(OR(City_Inputs!$AE136="",Norm_Stats!$F$20="",Norm_Stats!$G$20="",Norm_Stats!$G$20=Norm_Stats!$F$20),"",MAX(0,MIN(100,100*(MIN(MAX(City_Inputs!$AE136,Norm_Stats!$F$20),Norm_Stats!$G$20)-Norm_Stats!$F$20)/(Norm_Stats!$G$20-Norm_Stats!$F$20))))</f>
        <v/>
      </c>
      <c r="AZ136" s="14">
        <f>IF(AY136="","",1)</f>
        <v/>
      </c>
      <c r="BA136" s="11">
        <f>IF(OR(City_Inputs!$AF136="",Norm_Stats!$F$21="",Norm_Stats!$G$21="",Norm_Stats!$G$21=Norm_Stats!$F$21),"",MAX(0,MIN(100,100*(MIN(MAX(City_Inputs!$AF136,Norm_Stats!$F$21),Norm_Stats!$G$21)-Norm_Stats!$F$21)/(Norm_Stats!$G$21-Norm_Stats!$F$21))))</f>
        <v/>
      </c>
      <c r="BB136" s="14">
        <f>IF(BA136="","",1)</f>
        <v/>
      </c>
      <c r="BC136" s="11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(IF(OR(City_Inputs!$AG136="",Norm_Stats!$F$22="",Norm_Stats!$G$22="",Norm_Stats!$G$22=Norm_Stats!$F$22),"",MAX(0,MIN(100,100*(MIN(MAX(City_Inputs!$AG136,Norm_Stats!$F$22),Norm_Stats!$G$22)-Norm_Stats!$F$22)/(Norm_Stats!$G$22-Norm_Stats!$F$22)))))*0.5)+IF((IF(OR(City_Inputs!$AJ136="",Norm_Stats!$F$23="",Norm_Stats!$G$23="",Norm_Stats!$G$23=Norm_Stats!$F$23),"",MAX(0,MIN(100,100*(MIN(MAX(City_Inputs!$AJ136,Norm_Stats!$F$23),Norm_Stats!$G$23)-Norm_Stats!$F$23)/(Norm_Stats!$G$23-Norm_Stats!$F$23)))))="",0,(IF(OR(City_Inputs!$AJ136="",Norm_Stats!$F$23="",Norm_Stats!$G$23="",Norm_Stats!$G$23=Norm_Stats!$F$23),"",MAX(0,MIN(100,100*(MIN(MAX(City_Inputs!$AJ136,Norm_Stats!$F$23),Norm_Stats!$G$23)-Norm_Stats!$F$23)/(Norm_Stats!$G$23-Norm_Stats!$F$23)))))*0.3)+IF((IF(OR(City_Inputs!$AK136="",Norm_Stats!$F$24="",Norm_Stats!$G$24="",Norm_Stats!$G$24=Norm_Stats!$F$24),"",MAX(0,MIN(100,100*(MIN(MAX(City_Inputs!$AK136,Norm_Stats!$F$24),Norm_Stats!$G$24)-Norm_Stats!$F$24)/(Norm_Stats!$G$24-Norm_Stats!$F$24)))))="",0,(IF(OR(City_Inputs!$AK136="",Norm_Stats!$F$24="",Norm_Stats!$G$24="",Norm_Stats!$G$24=Norm_Stats!$F$24),"",MAX(0,MIN(100,100*(MIN(MAX(City_Inputs!$AK136,Norm_Stats!$F$24),Norm_Stats!$G$24)-Norm_Stats!$F$24)/(Norm_Stats!$G$24-Norm_Stats!$F$24)))))*0.2))/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D136" s="14">
        <f>IF(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=0,"",(IF((IF(OR(City_Inputs!$AG136="",Norm_Stats!$F$22="",Norm_Stats!$G$22="",Norm_Stats!$G$22=Norm_Stats!$F$22),"",MAX(0,MIN(100,100*(MIN(MAX(City_Inputs!$AG136,Norm_Stats!$F$22),Norm_Stats!$G$22)-Norm_Stats!$F$22)/(Norm_Stats!$G$22-Norm_Stats!$F$22)))))="",0,0.5)+IF((IF(OR(City_Inputs!$AJ136="",Norm_Stats!$F$23="",Norm_Stats!$G$23="",Norm_Stats!$G$23=Norm_Stats!$F$23),"",MAX(0,MIN(100,100*(MIN(MAX(City_Inputs!$AJ136,Norm_Stats!$F$23),Norm_Stats!$G$23)-Norm_Stats!$F$23)/(Norm_Stats!$G$23-Norm_Stats!$F$23)))))="",0,0.3)+IF((IF(OR(City_Inputs!$AK136="",Norm_Stats!$F$24="",Norm_Stats!$G$24="",Norm_Stats!$G$24=Norm_Stats!$F$24),"",MAX(0,MIN(100,100*(MIN(MAX(City_Inputs!$AK136,Norm_Stats!$F$24),Norm_Stats!$G$24)-Norm_Stats!$F$24)/(Norm_Stats!$G$24-Norm_Stats!$F$24)))))="",0,0.2)))</f>
        <v/>
      </c>
      <c r="BE136" s="11">
        <f>IF(OR(City_Inputs!$AH136="",Norm_Stats!$F$25="",Norm_Stats!$G$25="",Norm_Stats!$G$25=Norm_Stats!$F$25),"",MAX(0,MIN(100,100*(Norm_Stats!$G$25-MIN(MAX(City_Inputs!$AH136,Norm_Stats!$F$25),Norm_Stats!$G$25))/(Norm_Stats!$G$25-Norm_Stats!$F$25))))</f>
        <v/>
      </c>
      <c r="BF136" s="14">
        <f>IF(BE136="","",1)</f>
        <v/>
      </c>
      <c r="BG136" s="15">
        <f>IF((IF(AY136="",0,6)+IF(BA136="",0,5)+IF(BC136="",0,5)+IF(BE136="",0,4))=0,"",(IF(AY136="",0,AY136*6)+IF(BA136="",0,BA136*5)+IF(BC136="",0,BC136*5)+IF(BE136="",0,BE136*4))/(IF(AY136="",0,6)+IF(BA136="",0,5)+IF(BC136="",0,5)+IF(BE136="",0,4)))</f>
        <v/>
      </c>
      <c r="BH136" s="14">
        <f>IF((IF(AZ136="",0,6)+IF(BB136="",0,5)+IF(BD136="",0,5)+IF(BF136="",0,4))=0,"",(IF(AZ136="",0,AZ136*6)+IF(BB136="",0,BB136*5)+IF(BD136="",0,BD136*5)+IF(BF136="",0,BF136*4))/20)</f>
        <v/>
      </c>
      <c r="BI136" s="14">
        <f>IF(AND(R136="",AF136="",AN136="",AX136="",BH136=""),"",((R136*25)+(AF136*22)+(AN136*18)+(AX136*15)+(BH136*20))/100)</f>
        <v/>
      </c>
      <c r="BJ136" s="11">
        <f>IF(BI136="","",IF(BI136&gt;=0.75,"A",IF(BI136&gt;=0.5,"B",IF(BI136&gt;=0.35,"C","Watchlist"))))</f>
        <v/>
      </c>
      <c r="BK136" s="11">
        <f>IF(OR(BI136="",BI136&lt;0.5,R136="",R136&lt;0.35,AF136="",AF136&lt;0.35,AN136="",AN136&lt;0.35,AX136="",AX136&lt;0.35,BH136="",BH136&lt;0.35),"Watchlist","Ranked")</f>
        <v/>
      </c>
      <c r="BL136" s="15">
        <f>IF(AND(Q136="",AE136="",AM136="",AW136="",BG136=""),"",(IF(Q136="",0,Q136*25)+IF(AE136="",0,AE136*22)+IF(AM136="",0,AM136*18)+IF(AW136="",0,AW136*15)+IF(BG136="",0,BG136*20))/(IF(Q136="",0,25)+IF(AE136="",0,22)+IF(AM136="",0,18)+IF(AW136="",0,15)+IF(BG136="",0,20)))</f>
        <v/>
      </c>
      <c r="BM136" s="11">
        <f>IF(BK136="Ranked",1+COUNTIFS($BK$2:$BK$158,"Ranked",$BL$2:$BL$158,"&gt;"&amp;BL136),"")</f>
        <v/>
      </c>
      <c r="BN136" s="11">
        <f>City_Inputs!$AI136</f>
        <v/>
      </c>
    </row>
    <row r="137">
      <c r="A137" t="inlineStr">
        <is>
          <t>ca-vancouver</t>
        </is>
      </c>
      <c r="B137" t="inlineStr">
        <is>
          <t>Vancouver</t>
        </is>
      </c>
      <c r="C137" t="inlineStr">
        <is>
          <t>Canada</t>
        </is>
      </c>
      <c r="D137" t="inlineStr">
        <is>
          <t>North America</t>
        </is>
      </c>
      <c r="E137" t="inlineStr">
        <is>
          <t>provisional</t>
        </is>
      </c>
      <c r="F137" t="inlineStr">
        <is>
          <t>primary</t>
        </is>
      </c>
      <c r="G137" s="11">
        <f>IF(OR(City_Inputs!$M137="",Norm_Stats!$F$2="",Norm_Stats!$G$2="",Norm_Stats!$G$2=Norm_Stats!$F$2),"",MAX(0,MIN(100,100*(MIN(MAX(City_Inputs!$M137,Norm_Stats!$F$2),Norm_Stats!$G$2)-Norm_Stats!$F$2)/(Norm_Stats!$G$2-Norm_Stats!$F$2))))</f>
        <v/>
      </c>
      <c r="H137" s="14">
        <f>IF(G137="","",1)</f>
        <v/>
      </c>
      <c r="I137" s="11">
        <f>IF(OR(City_Inputs!$N137="",Norm_Stats!$F$3="",Norm_Stats!$G$3="",Norm_Stats!$G$3=Norm_Stats!$F$3),"",MAX(0,MIN(100,100*(Norm_Stats!$G$3-MIN(MAX(City_Inputs!$N137,Norm_Stats!$F$3),Norm_Stats!$G$3))/(Norm_Stats!$G$3-Norm_Stats!$F$3))))</f>
        <v/>
      </c>
      <c r="J137" s="14">
        <f>IF(I137="","",1)</f>
        <v/>
      </c>
      <c r="K137" s="11">
        <f>IF(OR(City_Inputs!$P137="",Norm_Stats!$F$4="",Norm_Stats!$G$4="",Norm_Stats!$G$4=Norm_Stats!$F$4),"",MAX(0,MIN(100,100*(Norm_Stats!$G$4-MIN(MAX(City_Inputs!$P137,Norm_Stats!$F$4),Norm_Stats!$G$4))/(Norm_Stats!$G$4-Norm_Stats!$F$4))))</f>
        <v/>
      </c>
      <c r="L137" s="14">
        <f>IF(K137="","",1)</f>
        <v/>
      </c>
      <c r="M137" s="11">
        <f>IF(OR(City_Inputs!$Q137="",Norm_Stats!$F$5="",Norm_Stats!$G$5="",Norm_Stats!$G$5=Norm_Stats!$F$5),"",MAX(0,MIN(100,100*(Norm_Stats!$G$5-MIN(MAX(City_Inputs!$Q137,Norm_Stats!$F$5),Norm_Stats!$G$5))/(Norm_Stats!$G$5-Norm_Stats!$F$5))))</f>
        <v/>
      </c>
      <c r="N137" s="14">
        <f>IF(M137="","",1)</f>
        <v/>
      </c>
      <c r="O137" s="11">
        <f>IF(OR(City_Inputs!$R137="",Norm_Stats!$F$6="",Norm_Stats!$G$6="",Norm_Stats!$G$6=Norm_Stats!$F$6),"",MAX(0,MIN(100,100*(Norm_Stats!$G$6-MIN(MAX(City_Inputs!$R137,Norm_Stats!$F$6),Norm_Stats!$G$6))/(Norm_Stats!$G$6-Norm_Stats!$F$6))))</f>
        <v/>
      </c>
      <c r="P137" s="14">
        <f>IF(O137="","",1)</f>
        <v/>
      </c>
      <c r="Q137" s="15">
        <f>IF((IF(G137="",0,9)+IF(I137="",0,5)+IF(K137="",0,4)+IF(M137="",0,4)+IF(O137="",0,5))=0,"",(IF(G137="",0,G137*9)+IF(I137="",0,I137*5)+IF(K137="",0,K137*4)+IF(M137="",0,M137*4)+IF(O137="",0,O137*5))/(IF(G137="",0,9)+IF(I137="",0,5)+IF(K137="",0,4)+IF(M137="",0,4)+IF(O137="",0,5)))</f>
        <v/>
      </c>
      <c r="R137" s="14">
        <f>IF((IF(H137="",0,9)+IF(J137="",0,5)+IF(L137="",0,4)+IF(N137="",0,4)+IF(P137="",0,5))=0,"",(IF(H137="",0,H137*9)+IF(J137="",0,J137*5)+IF(L137="",0,L137*4)+IF(N137="",0,N137*4)+IF(P137="",0,P137*5))/27)</f>
        <v/>
      </c>
      <c r="S137" s="11">
        <f>IF(OR(City_Inputs!$S137="",Norm_Stats!$F$7="",Norm_Stats!$G$7="",Norm_Stats!$G$7=Norm_Stats!$F$7),"",MAX(0,MIN(100,100*(Norm_Stats!$G$7-MIN(MAX(City_Inputs!$S137,Norm_Stats!$F$7),Norm_Stats!$G$7))/(Norm_Stats!$G$7-Norm_Stats!$F$7))))</f>
        <v/>
      </c>
      <c r="T137" s="14">
        <f>IF(S137="","",1)</f>
        <v/>
      </c>
      <c r="U137" s="11">
        <f>IF(OR(City_Inputs!$T137="",Norm_Stats!$F$8="",Norm_Stats!$G$8="",Norm_Stats!$G$8=Norm_Stats!$F$8),"",MAX(0,MIN(100,100*(MIN(MAX(City_Inputs!$T137,Norm_Stats!$F$8),Norm_Stats!$G$8)-Norm_Stats!$F$8)/(Norm_Stats!$G$8-Norm_Stats!$F$8))))</f>
        <v/>
      </c>
      <c r="V137" s="14">
        <f>IF(U137="","",1)</f>
        <v/>
      </c>
      <c r="W137" s="11">
        <f>IF(OR(City_Inputs!$U137="",Norm_Stats!$F$9="",Norm_Stats!$G$9="",Norm_Stats!$G$9=Norm_Stats!$F$9),"",MAX(0,MIN(100,100*(Norm_Stats!$G$9-MIN(MAX(City_Inputs!$U137,Norm_Stats!$F$9),Norm_Stats!$G$9))/(Norm_Stats!$G$9-Norm_Stats!$F$9))))</f>
        <v/>
      </c>
      <c r="X137" s="14">
        <f>IF(W137="","",1)</f>
        <v/>
      </c>
      <c r="Y137" s="11">
        <f>IF(OR(City_Inputs!$V137="",Norm_Stats!$F$10="",Norm_Stats!$G$10="",Norm_Stats!$G$10=Norm_Stats!$F$10),"",MAX(0,MIN(100,100*(MIN(MAX(City_Inputs!$V137,Norm_Stats!$F$10),Norm_Stats!$G$10)-Norm_Stats!$F$10)/(Norm_Stats!$G$10-Norm_Stats!$F$10))))</f>
        <v/>
      </c>
      <c r="Z137" s="14">
        <f>IF(Y137="","",1)</f>
        <v/>
      </c>
      <c r="AA137" s="11">
        <f>IF(OR(City_Inputs!$W137="",Norm_Stats!$F$11="",Norm_Stats!$G$11="",Norm_Stats!$G$11=Norm_Stats!$F$11),"",MAX(0,MIN(100,100*(MIN(MAX(City_Inputs!$W137,Norm_Stats!$F$11),Norm_Stats!$G$11)-Norm_Stats!$F$11)/(Norm_Stats!$G$11-Norm_Stats!$F$11))))</f>
        <v/>
      </c>
      <c r="AB137" s="14">
        <f>IF(AA137="","",1)</f>
        <v/>
      </c>
      <c r="AC137" s="11">
        <f>IF(OR(City_Inputs!$X137="",Norm_Stats!$F$12="",Norm_Stats!$G$12="",Norm_Stats!$G$12=Norm_Stats!$F$12),"",MAX(0,MIN(100,100*(MIN(MAX(City_Inputs!$X137,Norm_Stats!$F$12),Norm_Stats!$G$12)-Norm_Stats!$F$12)/(Norm_Stats!$G$12-Norm_Stats!$F$12))))</f>
        <v/>
      </c>
      <c r="AD137" s="11">
        <f>IF(AC137="","",1)</f>
        <v/>
      </c>
      <c r="AE137" s="15">
        <f>IF((IF(S137="",0,5)+IF(U137="",0,5)+IF(W137="",0,4)+IF(Y137="",0,4)+IF(AA137="",0,4)+IF(AC137="",0,5))=0,"",(IF(S137="",0,S137*5)+IF(U137="",0,U137*5)+IF(W137="",0,W137*4)+IF(Y137="",0,Y137*4)+IF(AA137="",0,AA137*4)+IF(AC137="",0,AC137*5))/(IF(S137="",0,5)+IF(U137="",0,5)+IF(W137="",0,4)+IF(Y137="",0,4)+IF(AA137="",0,4)+IF(AC137="",0,5)))</f>
        <v/>
      </c>
      <c r="AF137" s="14">
        <f>IF((IF(T137="",0,5)+IF(V137="",0,5)+IF(X137="",0,4)+IF(Z137="",0,4)+IF(AB137="",0,4)+IF(AD137="",0,5))=0,"",(IF(T137="",0,T137*5)+IF(V137="",0,V137*5)+IF(X137="",0,X137*4)+IF(Z137="",0,Z137*4)+IF(AB137="",0,AB137*4)+IF(AD137="",0,AD137*5))/27)</f>
        <v/>
      </c>
      <c r="AG137" s="11">
        <f>IF(OR(City_Inputs!$Y137="",Norm_Stats!$F$13="",Norm_Stats!$G$13="",Norm_Stats!$G$13=Norm_Stats!$F$13),"",MAX(0,MIN(100,100*(MIN(MAX(City_Inputs!$Y137,Norm_Stats!$F$13),Norm_Stats!$G$13)-Norm_Stats!$F$13)/(Norm_Stats!$G$13-Norm_Stats!$F$13))))</f>
        <v/>
      </c>
      <c r="AH137" s="14">
        <f>IF(AG137="","",1)</f>
        <v/>
      </c>
      <c r="AI137" s="11">
        <f>IF(OR(City_Inputs!$Z137="",Norm_Stats!$F$14="",Norm_Stats!$G$14="",Norm_Stats!$G$14=Norm_Stats!$F$14),"",MAX(0,MIN(100,100*(MIN(MAX(City_Inputs!$Z137,Norm_Stats!$F$14),Norm_Stats!$G$14)-Norm_Stats!$F$14)/(Norm_Stats!$G$14-Norm_Stats!$F$14))))</f>
        <v/>
      </c>
      <c r="AJ137" s="14">
        <f>IF(AI137="","",1)</f>
        <v/>
      </c>
      <c r="AK137" s="11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(IF(OR(City_Inputs!$AA137="",Norm_Stats!$F$15="",Norm_Stats!$G$15="",Norm_Stats!$G$15=Norm_Stats!$F$15),"",MAX(0,MIN(100,100*(MIN(MAX(City_Inputs!$AA137,Norm_Stats!$F$15),Norm_Stats!$G$15)-Norm_Stats!$F$15)/(Norm_Stats!$G$15-Norm_Stats!$F$15)))))*0.7)+IF((IF(OR(City_Inputs!$AL137="",Norm_Stats!$F$16="",Norm_Stats!$G$16="",Norm_Stats!$G$16=Norm_Stats!$F$16),"",MAX(0,MIN(100,100*(Norm_Stats!$G$16-MIN(MAX(City_Inputs!$AL137,Norm_Stats!$F$16),Norm_Stats!$G$16))/(Norm_Stats!$G$16-Norm_Stats!$F$16)))))="",0,(IF(OR(City_Inputs!$AL137="",Norm_Stats!$F$16="",Norm_Stats!$G$16="",Norm_Stats!$G$16=Norm_Stats!$F$16),"",MAX(0,MIN(100,100*(Norm_Stats!$G$16-MIN(MAX(City_Inputs!$AL137,Norm_Stats!$F$16),Norm_Stats!$G$16))/(Norm_Stats!$G$16-Norm_Stats!$F$16)))))*0.3))/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L137" s="14">
        <f>IF(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=0,"",(IF((IF(OR(City_Inputs!$AA137="",Norm_Stats!$F$15="",Norm_Stats!$G$15="",Norm_Stats!$G$15=Norm_Stats!$F$15),"",MAX(0,MIN(100,100*(MIN(MAX(City_Inputs!$AA137,Norm_Stats!$F$15),Norm_Stats!$G$15)-Norm_Stats!$F$15)/(Norm_Stats!$G$15-Norm_Stats!$F$15)))))="",0,0.7)+IF((IF(OR(City_Inputs!$AL137="",Norm_Stats!$F$16="",Norm_Stats!$G$16="",Norm_Stats!$G$16=Norm_Stats!$F$16),"",MAX(0,MIN(100,100*(Norm_Stats!$G$16-MIN(MAX(City_Inputs!$AL137,Norm_Stats!$F$16),Norm_Stats!$G$16))/(Norm_Stats!$G$16-Norm_Stats!$F$16)))))="",0,0.3)))</f>
        <v/>
      </c>
      <c r="AM137" s="15">
        <f>IF((IF(AG137="",0,8)+IF(AI137="",0,6)+IF(AK137="",0,4))=0,"",(IF(AG137="",0,AG137*8)+IF(AI137="",0,AI137*6)+IF(AK137="",0,AK137*4))/(IF(AG137="",0,8)+IF(AI137="",0,6)+IF(AK137="",0,4)))</f>
        <v/>
      </c>
      <c r="AN137" s="14">
        <f>IF((IF(AH137="",0,8)+IF(AJ137="",0,6)+IF(AL137="",0,4))=0,"",(IF(AH137="",0,AH137*8)+IF(AJ137="",0,AJ137*6)+IF(AL137="",0,AL137*4))/18)</f>
        <v/>
      </c>
      <c r="AO137" s="11">
        <f>IF(OR(City_Inputs!$AB137="",Norm_Stats!$F$17="",Norm_Stats!$G$17="",Norm_Stats!$G$17=Norm_Stats!$F$17),"",MAX(0,MIN(100,100*(MIN(MAX(City_Inputs!$AB137,Norm_Stats!$F$17),Norm_Stats!$G$17)-Norm_Stats!$F$17)/(Norm_Stats!$G$17-Norm_Stats!$F$17))))</f>
        <v/>
      </c>
      <c r="AP137" s="14">
        <f>IF(AO137="","",1)</f>
        <v/>
      </c>
      <c r="AQ137" s="11">
        <f>IF(OR(City_Inputs!$AC137="",Norm_Stats!$F$18="",Norm_Stats!$G$18="",Norm_Stats!$G$18=Norm_Stats!$F$18),"",MAX(0,MIN(100,100*(MIN(MAX(City_Inputs!$AC137,Norm_Stats!$F$18),Norm_Stats!$G$18)-Norm_Stats!$F$18)/(Norm_Stats!$G$18-Norm_Stats!$F$18))))</f>
        <v/>
      </c>
      <c r="AR137" s="14">
        <f>IF(AQ137="","",1)</f>
        <v/>
      </c>
      <c r="AS137" s="11">
        <f>IF(OR(City_Inputs!$AD137="",Norm_Stats!$F$19="",Norm_Stats!$G$19="",Norm_Stats!$G$19=Norm_Stats!$F$19),"",MAX(0,MIN(100,100*(MIN(MAX(City_Inputs!$AD137,Norm_Stats!$F$19),Norm_Stats!$G$19)-Norm_Stats!$F$19)/(Norm_Stats!$G$19-Norm_Stats!$F$19))))</f>
        <v/>
      </c>
      <c r="AT137" s="14">
        <f>IF(AS137="","",1)</f>
        <v/>
      </c>
      <c r="AU137" s="11">
        <f>IF(OR(City_Inputs!$BJ137="",Norm_Stats!$F$26="",Norm_Stats!$G$26="",Norm_Stats!$G$26=Norm_Stats!$F$26),"",MAX(0,MIN(100,100*(MIN(MAX(City_Inputs!$BJ137,Norm_Stats!$F$26),Norm_Stats!$G$26)-Norm_Stats!$F$26)/(Norm_Stats!$G$26-Norm_Stats!$F$26))))</f>
        <v/>
      </c>
      <c r="AV137" s="11">
        <f>IF(AU137="","",1)</f>
        <v/>
      </c>
      <c r="AW137" s="15">
        <f>IF((IF(AO137="",0,5)+IF(AQ137="",0,5)+IF(AS137="",0,5)+IF(AU137="",0,4))=0,"",(IF(AO137="",0,AO137*5)+IF(AQ137="",0,AQ137*5)+IF(AS137="",0,AS137*5)+IF(AU137="",0,AU137*4))/(IF(AO137="",0,5)+IF(AQ137="",0,5)+IF(AS137="",0,5)+IF(AU137="",0,4)))</f>
        <v/>
      </c>
      <c r="AX137" s="14">
        <f>IF((IF(AP137="",0,5)+IF(AR137="",0,5)+IF(AT137="",0,5)+IF(AV137="",0,4))=0,"",(IF(AP137="",0,AP137*5)+IF(AR137="",0,AR137*5)+IF(AT137="",0,AT137*5)+IF(AV137="",0,AV137*4))/19)</f>
        <v/>
      </c>
      <c r="AY137" s="11">
        <f>IF(OR(City_Inputs!$AE137="",Norm_Stats!$F$20="",Norm_Stats!$G$20="",Norm_Stats!$G$20=Norm_Stats!$F$20),"",MAX(0,MIN(100,100*(MIN(MAX(City_Inputs!$AE137,Norm_Stats!$F$20),Norm_Stats!$G$20)-Norm_Stats!$F$20)/(Norm_Stats!$G$20-Norm_Stats!$F$20))))</f>
        <v/>
      </c>
      <c r="AZ137" s="14">
        <f>IF(AY137="","",1)</f>
        <v/>
      </c>
      <c r="BA137" s="11">
        <f>IF(OR(City_Inputs!$AF137="",Norm_Stats!$F$21="",Norm_Stats!$G$21="",Norm_Stats!$G$21=Norm_Stats!$F$21),"",MAX(0,MIN(100,100*(MIN(MAX(City_Inputs!$AF137,Norm_Stats!$F$21),Norm_Stats!$G$21)-Norm_Stats!$F$21)/(Norm_Stats!$G$21-Norm_Stats!$F$21))))</f>
        <v/>
      </c>
      <c r="BB137" s="14">
        <f>IF(BA137="","",1)</f>
        <v/>
      </c>
      <c r="BC137" s="11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(IF(OR(City_Inputs!$AG137="",Norm_Stats!$F$22="",Norm_Stats!$G$22="",Norm_Stats!$G$22=Norm_Stats!$F$22),"",MAX(0,MIN(100,100*(MIN(MAX(City_Inputs!$AG137,Norm_Stats!$F$22),Norm_Stats!$G$22)-Norm_Stats!$F$22)/(Norm_Stats!$G$22-Norm_Stats!$F$22)))))*0.5)+IF((IF(OR(City_Inputs!$AJ137="",Norm_Stats!$F$23="",Norm_Stats!$G$23="",Norm_Stats!$G$23=Norm_Stats!$F$23),"",MAX(0,MIN(100,100*(MIN(MAX(City_Inputs!$AJ137,Norm_Stats!$F$23),Norm_Stats!$G$23)-Norm_Stats!$F$23)/(Norm_Stats!$G$23-Norm_Stats!$F$23)))))="",0,(IF(OR(City_Inputs!$AJ137="",Norm_Stats!$F$23="",Norm_Stats!$G$23="",Norm_Stats!$G$23=Norm_Stats!$F$23),"",MAX(0,MIN(100,100*(MIN(MAX(City_Inputs!$AJ137,Norm_Stats!$F$23),Norm_Stats!$G$23)-Norm_Stats!$F$23)/(Norm_Stats!$G$23-Norm_Stats!$F$23)))))*0.3)+IF((IF(OR(City_Inputs!$AK137="",Norm_Stats!$F$24="",Norm_Stats!$G$24="",Norm_Stats!$G$24=Norm_Stats!$F$24),"",MAX(0,MIN(100,100*(MIN(MAX(City_Inputs!$AK137,Norm_Stats!$F$24),Norm_Stats!$G$24)-Norm_Stats!$F$24)/(Norm_Stats!$G$24-Norm_Stats!$F$24)))))="",0,(IF(OR(City_Inputs!$AK137="",Norm_Stats!$F$24="",Norm_Stats!$G$24="",Norm_Stats!$G$24=Norm_Stats!$F$24),"",MAX(0,MIN(100,100*(MIN(MAX(City_Inputs!$AK137,Norm_Stats!$F$24),Norm_Stats!$G$24)-Norm_Stats!$F$24)/(Norm_Stats!$G$24-Norm_Stats!$F$24)))))*0.2))/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D137" s="14">
        <f>IF(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=0,"",(IF((IF(OR(City_Inputs!$AG137="",Norm_Stats!$F$22="",Norm_Stats!$G$22="",Norm_Stats!$G$22=Norm_Stats!$F$22),"",MAX(0,MIN(100,100*(MIN(MAX(City_Inputs!$AG137,Norm_Stats!$F$22),Norm_Stats!$G$22)-Norm_Stats!$F$22)/(Norm_Stats!$G$22-Norm_Stats!$F$22)))))="",0,0.5)+IF((IF(OR(City_Inputs!$AJ137="",Norm_Stats!$F$23="",Norm_Stats!$G$23="",Norm_Stats!$G$23=Norm_Stats!$F$23),"",MAX(0,MIN(100,100*(MIN(MAX(City_Inputs!$AJ137,Norm_Stats!$F$23),Norm_Stats!$G$23)-Norm_Stats!$F$23)/(Norm_Stats!$G$23-Norm_Stats!$F$23)))))="",0,0.3)+IF((IF(OR(City_Inputs!$AK137="",Norm_Stats!$F$24="",Norm_Stats!$G$24="",Norm_Stats!$G$24=Norm_Stats!$F$24),"",MAX(0,MIN(100,100*(MIN(MAX(City_Inputs!$AK137,Norm_Stats!$F$24),Norm_Stats!$G$24)-Norm_Stats!$F$24)/(Norm_Stats!$G$24-Norm_Stats!$F$24)))))="",0,0.2)))</f>
        <v/>
      </c>
      <c r="BE137" s="11">
        <f>IF(OR(City_Inputs!$AH137="",Norm_Stats!$F$25="",Norm_Stats!$G$25="",Norm_Stats!$G$25=Norm_Stats!$F$25),"",MAX(0,MIN(100,100*(Norm_Stats!$G$25-MIN(MAX(City_Inputs!$AH137,Norm_Stats!$F$25),Norm_Stats!$G$25))/(Norm_Stats!$G$25-Norm_Stats!$F$25))))</f>
        <v/>
      </c>
      <c r="BF137" s="14">
        <f>IF(BE137="","",1)</f>
        <v/>
      </c>
      <c r="BG137" s="15">
        <f>IF((IF(AY137="",0,6)+IF(BA137="",0,5)+IF(BC137="",0,5)+IF(BE137="",0,4))=0,"",(IF(AY137="",0,AY137*6)+IF(BA137="",0,BA137*5)+IF(BC137="",0,BC137*5)+IF(BE137="",0,BE137*4))/(IF(AY137="",0,6)+IF(BA137="",0,5)+IF(BC137="",0,5)+IF(BE137="",0,4)))</f>
        <v/>
      </c>
      <c r="BH137" s="14">
        <f>IF((IF(AZ137="",0,6)+IF(BB137="",0,5)+IF(BD137="",0,5)+IF(BF137="",0,4))=0,"",(IF(AZ137="",0,AZ137*6)+IF(BB137="",0,BB137*5)+IF(BD137="",0,BD137*5)+IF(BF137="",0,BF137*4))/20)</f>
        <v/>
      </c>
      <c r="BI137" s="14">
        <f>IF(AND(R137="",AF137="",AN137="",AX137="",BH137=""),"",((R137*25)+(AF137*22)+(AN137*18)+(AX137*15)+(BH137*20))/100)</f>
        <v/>
      </c>
      <c r="BJ137" s="11">
        <f>IF(BI137="","",IF(BI137&gt;=0.75,"A",IF(BI137&gt;=0.5,"B",IF(BI137&gt;=0.35,"C","Watchlist"))))</f>
        <v/>
      </c>
      <c r="BK137" s="11">
        <f>IF(OR(BI137="",BI137&lt;0.5,R137="",R137&lt;0.35,AF137="",AF137&lt;0.35,AN137="",AN137&lt;0.35,AX137="",AX137&lt;0.35,BH137="",BH137&lt;0.35),"Watchlist","Ranked")</f>
        <v/>
      </c>
      <c r="BL137" s="15">
        <f>IF(AND(Q137="",AE137="",AM137="",AW137="",BG137=""),"",(IF(Q137="",0,Q137*25)+IF(AE137="",0,AE137*22)+IF(AM137="",0,AM137*18)+IF(AW137="",0,AW137*15)+IF(BG137="",0,BG137*20))/(IF(Q137="",0,25)+IF(AE137="",0,22)+IF(AM137="",0,18)+IF(AW137="",0,15)+IF(BG137="",0,20)))</f>
        <v/>
      </c>
      <c r="BM137" s="11">
        <f>IF(BK137="Ranked",1+COUNTIFS($BK$2:$BK$158,"Ranked",$BL$2:$BL$158,"&gt;"&amp;BL137),"")</f>
        <v/>
      </c>
      <c r="BN137" s="11">
        <f>City_Inputs!$AI137</f>
        <v/>
      </c>
    </row>
    <row r="138">
      <c r="A138" t="inlineStr">
        <is>
          <t>ca-ottawa</t>
        </is>
      </c>
      <c r="B138" t="inlineStr">
        <is>
          <t>Ottawa</t>
        </is>
      </c>
      <c r="C138" t="inlineStr">
        <is>
          <t>Canada</t>
        </is>
      </c>
      <c r="D138" t="inlineStr">
        <is>
          <t>North America</t>
        </is>
      </c>
      <c r="E138" t="inlineStr">
        <is>
          <t>provisional</t>
        </is>
      </c>
      <c r="F138" t="inlineStr">
        <is>
          <t>primary</t>
        </is>
      </c>
      <c r="G138" s="11">
        <f>IF(OR(City_Inputs!$M138="",Norm_Stats!$F$2="",Norm_Stats!$G$2="",Norm_Stats!$G$2=Norm_Stats!$F$2),"",MAX(0,MIN(100,100*(MIN(MAX(City_Inputs!$M138,Norm_Stats!$F$2),Norm_Stats!$G$2)-Norm_Stats!$F$2)/(Norm_Stats!$G$2-Norm_Stats!$F$2))))</f>
        <v/>
      </c>
      <c r="H138" s="14">
        <f>IF(G138="","",1)</f>
        <v/>
      </c>
      <c r="I138" s="11">
        <f>IF(OR(City_Inputs!$N138="",Norm_Stats!$F$3="",Norm_Stats!$G$3="",Norm_Stats!$G$3=Norm_Stats!$F$3),"",MAX(0,MIN(100,100*(Norm_Stats!$G$3-MIN(MAX(City_Inputs!$N138,Norm_Stats!$F$3),Norm_Stats!$G$3))/(Norm_Stats!$G$3-Norm_Stats!$F$3))))</f>
        <v/>
      </c>
      <c r="J138" s="14">
        <f>IF(I138="","",1)</f>
        <v/>
      </c>
      <c r="K138" s="11">
        <f>IF(OR(City_Inputs!$P138="",Norm_Stats!$F$4="",Norm_Stats!$G$4="",Norm_Stats!$G$4=Norm_Stats!$F$4),"",MAX(0,MIN(100,100*(Norm_Stats!$G$4-MIN(MAX(City_Inputs!$P138,Norm_Stats!$F$4),Norm_Stats!$G$4))/(Norm_Stats!$G$4-Norm_Stats!$F$4))))</f>
        <v/>
      </c>
      <c r="L138" s="14">
        <f>IF(K138="","",1)</f>
        <v/>
      </c>
      <c r="M138" s="11">
        <f>IF(OR(City_Inputs!$Q138="",Norm_Stats!$F$5="",Norm_Stats!$G$5="",Norm_Stats!$G$5=Norm_Stats!$F$5),"",MAX(0,MIN(100,100*(Norm_Stats!$G$5-MIN(MAX(City_Inputs!$Q138,Norm_Stats!$F$5),Norm_Stats!$G$5))/(Norm_Stats!$G$5-Norm_Stats!$F$5))))</f>
        <v/>
      </c>
      <c r="N138" s="14">
        <f>IF(M138="","",1)</f>
        <v/>
      </c>
      <c r="O138" s="11">
        <f>IF(OR(City_Inputs!$R138="",Norm_Stats!$F$6="",Norm_Stats!$G$6="",Norm_Stats!$G$6=Norm_Stats!$F$6),"",MAX(0,MIN(100,100*(Norm_Stats!$G$6-MIN(MAX(City_Inputs!$R138,Norm_Stats!$F$6),Norm_Stats!$G$6))/(Norm_Stats!$G$6-Norm_Stats!$F$6))))</f>
        <v/>
      </c>
      <c r="P138" s="14">
        <f>IF(O138="","",1)</f>
        <v/>
      </c>
      <c r="Q138" s="15">
        <f>IF((IF(G138="",0,9)+IF(I138="",0,5)+IF(K138="",0,4)+IF(M138="",0,4)+IF(O138="",0,5))=0,"",(IF(G138="",0,G138*9)+IF(I138="",0,I138*5)+IF(K138="",0,K138*4)+IF(M138="",0,M138*4)+IF(O138="",0,O138*5))/(IF(G138="",0,9)+IF(I138="",0,5)+IF(K138="",0,4)+IF(M138="",0,4)+IF(O138="",0,5)))</f>
        <v/>
      </c>
      <c r="R138" s="14">
        <f>IF((IF(H138="",0,9)+IF(J138="",0,5)+IF(L138="",0,4)+IF(N138="",0,4)+IF(P138="",0,5))=0,"",(IF(H138="",0,H138*9)+IF(J138="",0,J138*5)+IF(L138="",0,L138*4)+IF(N138="",0,N138*4)+IF(P138="",0,P138*5))/27)</f>
        <v/>
      </c>
      <c r="S138" s="11">
        <f>IF(OR(City_Inputs!$S138="",Norm_Stats!$F$7="",Norm_Stats!$G$7="",Norm_Stats!$G$7=Norm_Stats!$F$7),"",MAX(0,MIN(100,100*(Norm_Stats!$G$7-MIN(MAX(City_Inputs!$S138,Norm_Stats!$F$7),Norm_Stats!$G$7))/(Norm_Stats!$G$7-Norm_Stats!$F$7))))</f>
        <v/>
      </c>
      <c r="T138" s="14">
        <f>IF(S138="","",1)</f>
        <v/>
      </c>
      <c r="U138" s="11">
        <f>IF(OR(City_Inputs!$T138="",Norm_Stats!$F$8="",Norm_Stats!$G$8="",Norm_Stats!$G$8=Norm_Stats!$F$8),"",MAX(0,MIN(100,100*(MIN(MAX(City_Inputs!$T138,Norm_Stats!$F$8),Norm_Stats!$G$8)-Norm_Stats!$F$8)/(Norm_Stats!$G$8-Norm_Stats!$F$8))))</f>
        <v/>
      </c>
      <c r="V138" s="14">
        <f>IF(U138="","",1)</f>
        <v/>
      </c>
      <c r="W138" s="11">
        <f>IF(OR(City_Inputs!$U138="",Norm_Stats!$F$9="",Norm_Stats!$G$9="",Norm_Stats!$G$9=Norm_Stats!$F$9),"",MAX(0,MIN(100,100*(Norm_Stats!$G$9-MIN(MAX(City_Inputs!$U138,Norm_Stats!$F$9),Norm_Stats!$G$9))/(Norm_Stats!$G$9-Norm_Stats!$F$9))))</f>
        <v/>
      </c>
      <c r="X138" s="14">
        <f>IF(W138="","",1)</f>
        <v/>
      </c>
      <c r="Y138" s="11">
        <f>IF(OR(City_Inputs!$V138="",Norm_Stats!$F$10="",Norm_Stats!$G$10="",Norm_Stats!$G$10=Norm_Stats!$F$10),"",MAX(0,MIN(100,100*(MIN(MAX(City_Inputs!$V138,Norm_Stats!$F$10),Norm_Stats!$G$10)-Norm_Stats!$F$10)/(Norm_Stats!$G$10-Norm_Stats!$F$10))))</f>
        <v/>
      </c>
      <c r="Z138" s="14">
        <f>IF(Y138="","",1)</f>
        <v/>
      </c>
      <c r="AA138" s="11">
        <f>IF(OR(City_Inputs!$W138="",Norm_Stats!$F$11="",Norm_Stats!$G$11="",Norm_Stats!$G$11=Norm_Stats!$F$11),"",MAX(0,MIN(100,100*(MIN(MAX(City_Inputs!$W138,Norm_Stats!$F$11),Norm_Stats!$G$11)-Norm_Stats!$F$11)/(Norm_Stats!$G$11-Norm_Stats!$F$11))))</f>
        <v/>
      </c>
      <c r="AB138" s="14">
        <f>IF(AA138="","",1)</f>
        <v/>
      </c>
      <c r="AC138" s="11">
        <f>IF(OR(City_Inputs!$X138="",Norm_Stats!$F$12="",Norm_Stats!$G$12="",Norm_Stats!$G$12=Norm_Stats!$F$12),"",MAX(0,MIN(100,100*(MIN(MAX(City_Inputs!$X138,Norm_Stats!$F$12),Norm_Stats!$G$12)-Norm_Stats!$F$12)/(Norm_Stats!$G$12-Norm_Stats!$F$12))))</f>
        <v/>
      </c>
      <c r="AD138" s="11">
        <f>IF(AC138="","",1)</f>
        <v/>
      </c>
      <c r="AE138" s="15">
        <f>IF((IF(S138="",0,5)+IF(U138="",0,5)+IF(W138="",0,4)+IF(Y138="",0,4)+IF(AA138="",0,4)+IF(AC138="",0,5))=0,"",(IF(S138="",0,S138*5)+IF(U138="",0,U138*5)+IF(W138="",0,W138*4)+IF(Y138="",0,Y138*4)+IF(AA138="",0,AA138*4)+IF(AC138="",0,AC138*5))/(IF(S138="",0,5)+IF(U138="",0,5)+IF(W138="",0,4)+IF(Y138="",0,4)+IF(AA138="",0,4)+IF(AC138="",0,5)))</f>
        <v/>
      </c>
      <c r="AF138" s="14">
        <f>IF((IF(T138="",0,5)+IF(V138="",0,5)+IF(X138="",0,4)+IF(Z138="",0,4)+IF(AB138="",0,4)+IF(AD138="",0,5))=0,"",(IF(T138="",0,T138*5)+IF(V138="",0,V138*5)+IF(X138="",0,X138*4)+IF(Z138="",0,Z138*4)+IF(AB138="",0,AB138*4)+IF(AD138="",0,AD138*5))/27)</f>
        <v/>
      </c>
      <c r="AG138" s="11">
        <f>IF(OR(City_Inputs!$Y138="",Norm_Stats!$F$13="",Norm_Stats!$G$13="",Norm_Stats!$G$13=Norm_Stats!$F$13),"",MAX(0,MIN(100,100*(MIN(MAX(City_Inputs!$Y138,Norm_Stats!$F$13),Norm_Stats!$G$13)-Norm_Stats!$F$13)/(Norm_Stats!$G$13-Norm_Stats!$F$13))))</f>
        <v/>
      </c>
      <c r="AH138" s="14">
        <f>IF(AG138="","",1)</f>
        <v/>
      </c>
      <c r="AI138" s="11">
        <f>IF(OR(City_Inputs!$Z138="",Norm_Stats!$F$14="",Norm_Stats!$G$14="",Norm_Stats!$G$14=Norm_Stats!$F$14),"",MAX(0,MIN(100,100*(MIN(MAX(City_Inputs!$Z138,Norm_Stats!$F$14),Norm_Stats!$G$14)-Norm_Stats!$F$14)/(Norm_Stats!$G$14-Norm_Stats!$F$14))))</f>
        <v/>
      </c>
      <c r="AJ138" s="14">
        <f>IF(AI138="","",1)</f>
        <v/>
      </c>
      <c r="AK138" s="11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(IF(OR(City_Inputs!$AA138="",Norm_Stats!$F$15="",Norm_Stats!$G$15="",Norm_Stats!$G$15=Norm_Stats!$F$15),"",MAX(0,MIN(100,100*(MIN(MAX(City_Inputs!$AA138,Norm_Stats!$F$15),Norm_Stats!$G$15)-Norm_Stats!$F$15)/(Norm_Stats!$G$15-Norm_Stats!$F$15)))))*0.7)+IF((IF(OR(City_Inputs!$AL138="",Norm_Stats!$F$16="",Norm_Stats!$G$16="",Norm_Stats!$G$16=Norm_Stats!$F$16),"",MAX(0,MIN(100,100*(Norm_Stats!$G$16-MIN(MAX(City_Inputs!$AL138,Norm_Stats!$F$16),Norm_Stats!$G$16))/(Norm_Stats!$G$16-Norm_Stats!$F$16)))))="",0,(IF(OR(City_Inputs!$AL138="",Norm_Stats!$F$16="",Norm_Stats!$G$16="",Norm_Stats!$G$16=Norm_Stats!$F$16),"",MAX(0,MIN(100,100*(Norm_Stats!$G$16-MIN(MAX(City_Inputs!$AL138,Norm_Stats!$F$16),Norm_Stats!$G$16))/(Norm_Stats!$G$16-Norm_Stats!$F$16)))))*0.3))/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L138" s="14">
        <f>IF(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=0,"",(IF((IF(OR(City_Inputs!$AA138="",Norm_Stats!$F$15="",Norm_Stats!$G$15="",Norm_Stats!$G$15=Norm_Stats!$F$15),"",MAX(0,MIN(100,100*(MIN(MAX(City_Inputs!$AA138,Norm_Stats!$F$15),Norm_Stats!$G$15)-Norm_Stats!$F$15)/(Norm_Stats!$G$15-Norm_Stats!$F$15)))))="",0,0.7)+IF((IF(OR(City_Inputs!$AL138="",Norm_Stats!$F$16="",Norm_Stats!$G$16="",Norm_Stats!$G$16=Norm_Stats!$F$16),"",MAX(0,MIN(100,100*(Norm_Stats!$G$16-MIN(MAX(City_Inputs!$AL138,Norm_Stats!$F$16),Norm_Stats!$G$16))/(Norm_Stats!$G$16-Norm_Stats!$F$16)))))="",0,0.3)))</f>
        <v/>
      </c>
      <c r="AM138" s="15">
        <f>IF((IF(AG138="",0,8)+IF(AI138="",0,6)+IF(AK138="",0,4))=0,"",(IF(AG138="",0,AG138*8)+IF(AI138="",0,AI138*6)+IF(AK138="",0,AK138*4))/(IF(AG138="",0,8)+IF(AI138="",0,6)+IF(AK138="",0,4)))</f>
        <v/>
      </c>
      <c r="AN138" s="14">
        <f>IF((IF(AH138="",0,8)+IF(AJ138="",0,6)+IF(AL138="",0,4))=0,"",(IF(AH138="",0,AH138*8)+IF(AJ138="",0,AJ138*6)+IF(AL138="",0,AL138*4))/18)</f>
        <v/>
      </c>
      <c r="AO138" s="11">
        <f>IF(OR(City_Inputs!$AB138="",Norm_Stats!$F$17="",Norm_Stats!$G$17="",Norm_Stats!$G$17=Norm_Stats!$F$17),"",MAX(0,MIN(100,100*(MIN(MAX(City_Inputs!$AB138,Norm_Stats!$F$17),Norm_Stats!$G$17)-Norm_Stats!$F$17)/(Norm_Stats!$G$17-Norm_Stats!$F$17))))</f>
        <v/>
      </c>
      <c r="AP138" s="14">
        <f>IF(AO138="","",1)</f>
        <v/>
      </c>
      <c r="AQ138" s="11">
        <f>IF(OR(City_Inputs!$AC138="",Norm_Stats!$F$18="",Norm_Stats!$G$18="",Norm_Stats!$G$18=Norm_Stats!$F$18),"",MAX(0,MIN(100,100*(MIN(MAX(City_Inputs!$AC138,Norm_Stats!$F$18),Norm_Stats!$G$18)-Norm_Stats!$F$18)/(Norm_Stats!$G$18-Norm_Stats!$F$18))))</f>
        <v/>
      </c>
      <c r="AR138" s="14">
        <f>IF(AQ138="","",1)</f>
        <v/>
      </c>
      <c r="AS138" s="11">
        <f>IF(OR(City_Inputs!$AD138="",Norm_Stats!$F$19="",Norm_Stats!$G$19="",Norm_Stats!$G$19=Norm_Stats!$F$19),"",MAX(0,MIN(100,100*(MIN(MAX(City_Inputs!$AD138,Norm_Stats!$F$19),Norm_Stats!$G$19)-Norm_Stats!$F$19)/(Norm_Stats!$G$19-Norm_Stats!$F$19))))</f>
        <v/>
      </c>
      <c r="AT138" s="14">
        <f>IF(AS138="","",1)</f>
        <v/>
      </c>
      <c r="AU138" s="11">
        <f>IF(OR(City_Inputs!$BJ138="",Norm_Stats!$F$26="",Norm_Stats!$G$26="",Norm_Stats!$G$26=Norm_Stats!$F$26),"",MAX(0,MIN(100,100*(MIN(MAX(City_Inputs!$BJ138,Norm_Stats!$F$26),Norm_Stats!$G$26)-Norm_Stats!$F$26)/(Norm_Stats!$G$26-Norm_Stats!$F$26))))</f>
        <v/>
      </c>
      <c r="AV138" s="11">
        <f>IF(AU138="","",1)</f>
        <v/>
      </c>
      <c r="AW138" s="15">
        <f>IF((IF(AO138="",0,5)+IF(AQ138="",0,5)+IF(AS138="",0,5)+IF(AU138="",0,4))=0,"",(IF(AO138="",0,AO138*5)+IF(AQ138="",0,AQ138*5)+IF(AS138="",0,AS138*5)+IF(AU138="",0,AU138*4))/(IF(AO138="",0,5)+IF(AQ138="",0,5)+IF(AS138="",0,5)+IF(AU138="",0,4)))</f>
        <v/>
      </c>
      <c r="AX138" s="14">
        <f>IF((IF(AP138="",0,5)+IF(AR138="",0,5)+IF(AT138="",0,5)+IF(AV138="",0,4))=0,"",(IF(AP138="",0,AP138*5)+IF(AR138="",0,AR138*5)+IF(AT138="",0,AT138*5)+IF(AV138="",0,AV138*4))/19)</f>
        <v/>
      </c>
      <c r="AY138" s="11">
        <f>IF(OR(City_Inputs!$AE138="",Norm_Stats!$F$20="",Norm_Stats!$G$20="",Norm_Stats!$G$20=Norm_Stats!$F$20),"",MAX(0,MIN(100,100*(MIN(MAX(City_Inputs!$AE138,Norm_Stats!$F$20),Norm_Stats!$G$20)-Norm_Stats!$F$20)/(Norm_Stats!$G$20-Norm_Stats!$F$20))))</f>
        <v/>
      </c>
      <c r="AZ138" s="14">
        <f>IF(AY138="","",1)</f>
        <v/>
      </c>
      <c r="BA138" s="11">
        <f>IF(OR(City_Inputs!$AF138="",Norm_Stats!$F$21="",Norm_Stats!$G$21="",Norm_Stats!$G$21=Norm_Stats!$F$21),"",MAX(0,MIN(100,100*(MIN(MAX(City_Inputs!$AF138,Norm_Stats!$F$21),Norm_Stats!$G$21)-Norm_Stats!$F$21)/(Norm_Stats!$G$21-Norm_Stats!$F$21))))</f>
        <v/>
      </c>
      <c r="BB138" s="14">
        <f>IF(BA138="","",1)</f>
        <v/>
      </c>
      <c r="BC138" s="11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(IF(OR(City_Inputs!$AG138="",Norm_Stats!$F$22="",Norm_Stats!$G$22="",Norm_Stats!$G$22=Norm_Stats!$F$22),"",MAX(0,MIN(100,100*(MIN(MAX(City_Inputs!$AG138,Norm_Stats!$F$22),Norm_Stats!$G$22)-Norm_Stats!$F$22)/(Norm_Stats!$G$22-Norm_Stats!$F$22)))))*0.5)+IF((IF(OR(City_Inputs!$AJ138="",Norm_Stats!$F$23="",Norm_Stats!$G$23="",Norm_Stats!$G$23=Norm_Stats!$F$23),"",MAX(0,MIN(100,100*(MIN(MAX(City_Inputs!$AJ138,Norm_Stats!$F$23),Norm_Stats!$G$23)-Norm_Stats!$F$23)/(Norm_Stats!$G$23-Norm_Stats!$F$23)))))="",0,(IF(OR(City_Inputs!$AJ138="",Norm_Stats!$F$23="",Norm_Stats!$G$23="",Norm_Stats!$G$23=Norm_Stats!$F$23),"",MAX(0,MIN(100,100*(MIN(MAX(City_Inputs!$AJ138,Norm_Stats!$F$23),Norm_Stats!$G$23)-Norm_Stats!$F$23)/(Norm_Stats!$G$23-Norm_Stats!$F$23)))))*0.3)+IF((IF(OR(City_Inputs!$AK138="",Norm_Stats!$F$24="",Norm_Stats!$G$24="",Norm_Stats!$G$24=Norm_Stats!$F$24),"",MAX(0,MIN(100,100*(MIN(MAX(City_Inputs!$AK138,Norm_Stats!$F$24),Norm_Stats!$G$24)-Norm_Stats!$F$24)/(Norm_Stats!$G$24-Norm_Stats!$F$24)))))="",0,(IF(OR(City_Inputs!$AK138="",Norm_Stats!$F$24="",Norm_Stats!$G$24="",Norm_Stats!$G$24=Norm_Stats!$F$24),"",MAX(0,MIN(100,100*(MIN(MAX(City_Inputs!$AK138,Norm_Stats!$F$24),Norm_Stats!$G$24)-Norm_Stats!$F$24)/(Norm_Stats!$G$24-Norm_Stats!$F$24)))))*0.2))/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D138" s="14">
        <f>IF(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=0,"",(IF((IF(OR(City_Inputs!$AG138="",Norm_Stats!$F$22="",Norm_Stats!$G$22="",Norm_Stats!$G$22=Norm_Stats!$F$22),"",MAX(0,MIN(100,100*(MIN(MAX(City_Inputs!$AG138,Norm_Stats!$F$22),Norm_Stats!$G$22)-Norm_Stats!$F$22)/(Norm_Stats!$G$22-Norm_Stats!$F$22)))))="",0,0.5)+IF((IF(OR(City_Inputs!$AJ138="",Norm_Stats!$F$23="",Norm_Stats!$G$23="",Norm_Stats!$G$23=Norm_Stats!$F$23),"",MAX(0,MIN(100,100*(MIN(MAX(City_Inputs!$AJ138,Norm_Stats!$F$23),Norm_Stats!$G$23)-Norm_Stats!$F$23)/(Norm_Stats!$G$23-Norm_Stats!$F$23)))))="",0,0.3)+IF((IF(OR(City_Inputs!$AK138="",Norm_Stats!$F$24="",Norm_Stats!$G$24="",Norm_Stats!$G$24=Norm_Stats!$F$24),"",MAX(0,MIN(100,100*(MIN(MAX(City_Inputs!$AK138,Norm_Stats!$F$24),Norm_Stats!$G$24)-Norm_Stats!$F$24)/(Norm_Stats!$G$24-Norm_Stats!$F$24)))))="",0,0.2)))</f>
        <v/>
      </c>
      <c r="BE138" s="11">
        <f>IF(OR(City_Inputs!$AH138="",Norm_Stats!$F$25="",Norm_Stats!$G$25="",Norm_Stats!$G$25=Norm_Stats!$F$25),"",MAX(0,MIN(100,100*(Norm_Stats!$G$25-MIN(MAX(City_Inputs!$AH138,Norm_Stats!$F$25),Norm_Stats!$G$25))/(Norm_Stats!$G$25-Norm_Stats!$F$25))))</f>
        <v/>
      </c>
      <c r="BF138" s="14">
        <f>IF(BE138="","",1)</f>
        <v/>
      </c>
      <c r="BG138" s="15">
        <f>IF((IF(AY138="",0,6)+IF(BA138="",0,5)+IF(BC138="",0,5)+IF(BE138="",0,4))=0,"",(IF(AY138="",0,AY138*6)+IF(BA138="",0,BA138*5)+IF(BC138="",0,BC138*5)+IF(BE138="",0,BE138*4))/(IF(AY138="",0,6)+IF(BA138="",0,5)+IF(BC138="",0,5)+IF(BE138="",0,4)))</f>
        <v/>
      </c>
      <c r="BH138" s="14">
        <f>IF((IF(AZ138="",0,6)+IF(BB138="",0,5)+IF(BD138="",0,5)+IF(BF138="",0,4))=0,"",(IF(AZ138="",0,AZ138*6)+IF(BB138="",0,BB138*5)+IF(BD138="",0,BD138*5)+IF(BF138="",0,BF138*4))/20)</f>
        <v/>
      </c>
      <c r="BI138" s="14">
        <f>IF(AND(R138="",AF138="",AN138="",AX138="",BH138=""),"",((R138*25)+(AF138*22)+(AN138*18)+(AX138*15)+(BH138*20))/100)</f>
        <v/>
      </c>
      <c r="BJ138" s="11">
        <f>IF(BI138="","",IF(BI138&gt;=0.75,"A",IF(BI138&gt;=0.5,"B",IF(BI138&gt;=0.35,"C","Watchlist"))))</f>
        <v/>
      </c>
      <c r="BK138" s="11">
        <f>IF(OR(BI138="",BI138&lt;0.5,R138="",R138&lt;0.35,AF138="",AF138&lt;0.35,AN138="",AN138&lt;0.35,AX138="",AX138&lt;0.35,BH138="",BH138&lt;0.35),"Watchlist","Ranked")</f>
        <v/>
      </c>
      <c r="BL138" s="15">
        <f>IF(AND(Q138="",AE138="",AM138="",AW138="",BG138=""),"",(IF(Q138="",0,Q138*25)+IF(AE138="",0,AE138*22)+IF(AM138="",0,AM138*18)+IF(AW138="",0,AW138*15)+IF(BG138="",0,BG138*20))/(IF(Q138="",0,25)+IF(AE138="",0,22)+IF(AM138="",0,18)+IF(AW138="",0,15)+IF(BG138="",0,20)))</f>
        <v/>
      </c>
      <c r="BM138" s="11">
        <f>IF(BK138="Ranked",1+COUNTIFS($BK$2:$BK$158,"Ranked",$BL$2:$BL$158,"&gt;"&amp;BL138),"")</f>
        <v/>
      </c>
      <c r="BN138" s="11">
        <f>City_Inputs!$AI138</f>
        <v/>
      </c>
    </row>
    <row r="139">
      <c r="A139" t="inlineStr">
        <is>
          <t>us-minneapolis</t>
        </is>
      </c>
      <c r="B139" t="inlineStr">
        <is>
          <t>Minneapolis</t>
        </is>
      </c>
      <c r="C139" t="inlineStr">
        <is>
          <t>United States</t>
        </is>
      </c>
      <c r="D139" t="inlineStr">
        <is>
          <t>North America</t>
        </is>
      </c>
      <c r="E139" t="inlineStr">
        <is>
          <t>provisional</t>
        </is>
      </c>
      <c r="F139" t="inlineStr">
        <is>
          <t>primary</t>
        </is>
      </c>
      <c r="G139" s="11">
        <f>IF(OR(City_Inputs!$M139="",Norm_Stats!$F$2="",Norm_Stats!$G$2="",Norm_Stats!$G$2=Norm_Stats!$F$2),"",MAX(0,MIN(100,100*(MIN(MAX(City_Inputs!$M139,Norm_Stats!$F$2),Norm_Stats!$G$2)-Norm_Stats!$F$2)/(Norm_Stats!$G$2-Norm_Stats!$F$2))))</f>
        <v/>
      </c>
      <c r="H139" s="14">
        <f>IF(G139="","",1)</f>
        <v/>
      </c>
      <c r="I139" s="11">
        <f>IF(OR(City_Inputs!$N139="",Norm_Stats!$F$3="",Norm_Stats!$G$3="",Norm_Stats!$G$3=Norm_Stats!$F$3),"",MAX(0,MIN(100,100*(Norm_Stats!$G$3-MIN(MAX(City_Inputs!$N139,Norm_Stats!$F$3),Norm_Stats!$G$3))/(Norm_Stats!$G$3-Norm_Stats!$F$3))))</f>
        <v/>
      </c>
      <c r="J139" s="14">
        <f>IF(I139="","",1)</f>
        <v/>
      </c>
      <c r="K139" s="11">
        <f>IF(OR(City_Inputs!$P139="",Norm_Stats!$F$4="",Norm_Stats!$G$4="",Norm_Stats!$G$4=Norm_Stats!$F$4),"",MAX(0,MIN(100,100*(Norm_Stats!$G$4-MIN(MAX(City_Inputs!$P139,Norm_Stats!$F$4),Norm_Stats!$G$4))/(Norm_Stats!$G$4-Norm_Stats!$F$4))))</f>
        <v/>
      </c>
      <c r="L139" s="14">
        <f>IF(K139="","",1)</f>
        <v/>
      </c>
      <c r="M139" s="11">
        <f>IF(OR(City_Inputs!$Q139="",Norm_Stats!$F$5="",Norm_Stats!$G$5="",Norm_Stats!$G$5=Norm_Stats!$F$5),"",MAX(0,MIN(100,100*(Norm_Stats!$G$5-MIN(MAX(City_Inputs!$Q139,Norm_Stats!$F$5),Norm_Stats!$G$5))/(Norm_Stats!$G$5-Norm_Stats!$F$5))))</f>
        <v/>
      </c>
      <c r="N139" s="14">
        <f>IF(M139="","",1)</f>
        <v/>
      </c>
      <c r="O139" s="11">
        <f>IF(OR(City_Inputs!$R139="",Norm_Stats!$F$6="",Norm_Stats!$G$6="",Norm_Stats!$G$6=Norm_Stats!$F$6),"",MAX(0,MIN(100,100*(Norm_Stats!$G$6-MIN(MAX(City_Inputs!$R139,Norm_Stats!$F$6),Norm_Stats!$G$6))/(Norm_Stats!$G$6-Norm_Stats!$F$6))))</f>
        <v/>
      </c>
      <c r="P139" s="14">
        <f>IF(O139="","",1)</f>
        <v/>
      </c>
      <c r="Q139" s="15">
        <f>IF((IF(G139="",0,9)+IF(I139="",0,5)+IF(K139="",0,4)+IF(M139="",0,4)+IF(O139="",0,5))=0,"",(IF(G139="",0,G139*9)+IF(I139="",0,I139*5)+IF(K139="",0,K139*4)+IF(M139="",0,M139*4)+IF(O139="",0,O139*5))/(IF(G139="",0,9)+IF(I139="",0,5)+IF(K139="",0,4)+IF(M139="",0,4)+IF(O139="",0,5)))</f>
        <v/>
      </c>
      <c r="R139" s="14">
        <f>IF((IF(H139="",0,9)+IF(J139="",0,5)+IF(L139="",0,4)+IF(N139="",0,4)+IF(P139="",0,5))=0,"",(IF(H139="",0,H139*9)+IF(J139="",0,J139*5)+IF(L139="",0,L139*4)+IF(N139="",0,N139*4)+IF(P139="",0,P139*5))/27)</f>
        <v/>
      </c>
      <c r="S139" s="11">
        <f>IF(OR(City_Inputs!$S139="",Norm_Stats!$F$7="",Norm_Stats!$G$7="",Norm_Stats!$G$7=Norm_Stats!$F$7),"",MAX(0,MIN(100,100*(Norm_Stats!$G$7-MIN(MAX(City_Inputs!$S139,Norm_Stats!$F$7),Norm_Stats!$G$7))/(Norm_Stats!$G$7-Norm_Stats!$F$7))))</f>
        <v/>
      </c>
      <c r="T139" s="14">
        <f>IF(S139="","",1)</f>
        <v/>
      </c>
      <c r="U139" s="11">
        <f>IF(OR(City_Inputs!$T139="",Norm_Stats!$F$8="",Norm_Stats!$G$8="",Norm_Stats!$G$8=Norm_Stats!$F$8),"",MAX(0,MIN(100,100*(MIN(MAX(City_Inputs!$T139,Norm_Stats!$F$8),Norm_Stats!$G$8)-Norm_Stats!$F$8)/(Norm_Stats!$G$8-Norm_Stats!$F$8))))</f>
        <v/>
      </c>
      <c r="V139" s="14">
        <f>IF(U139="","",1)</f>
        <v/>
      </c>
      <c r="W139" s="11">
        <f>IF(OR(City_Inputs!$U139="",Norm_Stats!$F$9="",Norm_Stats!$G$9="",Norm_Stats!$G$9=Norm_Stats!$F$9),"",MAX(0,MIN(100,100*(Norm_Stats!$G$9-MIN(MAX(City_Inputs!$U139,Norm_Stats!$F$9),Norm_Stats!$G$9))/(Norm_Stats!$G$9-Norm_Stats!$F$9))))</f>
        <v/>
      </c>
      <c r="X139" s="14">
        <f>IF(W139="","",1)</f>
        <v/>
      </c>
      <c r="Y139" s="11">
        <f>IF(OR(City_Inputs!$V139="",Norm_Stats!$F$10="",Norm_Stats!$G$10="",Norm_Stats!$G$10=Norm_Stats!$F$10),"",MAX(0,MIN(100,100*(MIN(MAX(City_Inputs!$V139,Norm_Stats!$F$10),Norm_Stats!$G$10)-Norm_Stats!$F$10)/(Norm_Stats!$G$10-Norm_Stats!$F$10))))</f>
        <v/>
      </c>
      <c r="Z139" s="14">
        <f>IF(Y139="","",1)</f>
        <v/>
      </c>
      <c r="AA139" s="11">
        <f>IF(OR(City_Inputs!$W139="",Norm_Stats!$F$11="",Norm_Stats!$G$11="",Norm_Stats!$G$11=Norm_Stats!$F$11),"",MAX(0,MIN(100,100*(MIN(MAX(City_Inputs!$W139,Norm_Stats!$F$11),Norm_Stats!$G$11)-Norm_Stats!$F$11)/(Norm_Stats!$G$11-Norm_Stats!$F$11))))</f>
        <v/>
      </c>
      <c r="AB139" s="14">
        <f>IF(AA139="","",1)</f>
        <v/>
      </c>
      <c r="AC139" s="11">
        <f>IF(OR(City_Inputs!$X139="",Norm_Stats!$F$12="",Norm_Stats!$G$12="",Norm_Stats!$G$12=Norm_Stats!$F$12),"",MAX(0,MIN(100,100*(MIN(MAX(City_Inputs!$X139,Norm_Stats!$F$12),Norm_Stats!$G$12)-Norm_Stats!$F$12)/(Norm_Stats!$G$12-Norm_Stats!$F$12))))</f>
        <v/>
      </c>
      <c r="AD139" s="11">
        <f>IF(AC139="","",1)</f>
        <v/>
      </c>
      <c r="AE139" s="15">
        <f>IF((IF(S139="",0,5)+IF(U139="",0,5)+IF(W139="",0,4)+IF(Y139="",0,4)+IF(AA139="",0,4)+IF(AC139="",0,5))=0,"",(IF(S139="",0,S139*5)+IF(U139="",0,U139*5)+IF(W139="",0,W139*4)+IF(Y139="",0,Y139*4)+IF(AA139="",0,AA139*4)+IF(AC139="",0,AC139*5))/(IF(S139="",0,5)+IF(U139="",0,5)+IF(W139="",0,4)+IF(Y139="",0,4)+IF(AA139="",0,4)+IF(AC139="",0,5)))</f>
        <v/>
      </c>
      <c r="AF139" s="14">
        <f>IF((IF(T139="",0,5)+IF(V139="",0,5)+IF(X139="",0,4)+IF(Z139="",0,4)+IF(AB139="",0,4)+IF(AD139="",0,5))=0,"",(IF(T139="",0,T139*5)+IF(V139="",0,V139*5)+IF(X139="",0,X139*4)+IF(Z139="",0,Z139*4)+IF(AB139="",0,AB139*4)+IF(AD139="",0,AD139*5))/27)</f>
        <v/>
      </c>
      <c r="AG139" s="11">
        <f>IF(OR(City_Inputs!$Y139="",Norm_Stats!$F$13="",Norm_Stats!$G$13="",Norm_Stats!$G$13=Norm_Stats!$F$13),"",MAX(0,MIN(100,100*(MIN(MAX(City_Inputs!$Y139,Norm_Stats!$F$13),Norm_Stats!$G$13)-Norm_Stats!$F$13)/(Norm_Stats!$G$13-Norm_Stats!$F$13))))</f>
        <v/>
      </c>
      <c r="AH139" s="14">
        <f>IF(AG139="","",1)</f>
        <v/>
      </c>
      <c r="AI139" s="11">
        <f>IF(OR(City_Inputs!$Z139="",Norm_Stats!$F$14="",Norm_Stats!$G$14="",Norm_Stats!$G$14=Norm_Stats!$F$14),"",MAX(0,MIN(100,100*(MIN(MAX(City_Inputs!$Z139,Norm_Stats!$F$14),Norm_Stats!$G$14)-Norm_Stats!$F$14)/(Norm_Stats!$G$14-Norm_Stats!$F$14))))</f>
        <v/>
      </c>
      <c r="AJ139" s="14">
        <f>IF(AI139="","",1)</f>
        <v/>
      </c>
      <c r="AK139" s="11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(IF(OR(City_Inputs!$AA139="",Norm_Stats!$F$15="",Norm_Stats!$G$15="",Norm_Stats!$G$15=Norm_Stats!$F$15),"",MAX(0,MIN(100,100*(MIN(MAX(City_Inputs!$AA139,Norm_Stats!$F$15),Norm_Stats!$G$15)-Norm_Stats!$F$15)/(Norm_Stats!$G$15-Norm_Stats!$F$15)))))*0.7)+IF((IF(OR(City_Inputs!$AL139="",Norm_Stats!$F$16="",Norm_Stats!$G$16="",Norm_Stats!$G$16=Norm_Stats!$F$16),"",MAX(0,MIN(100,100*(Norm_Stats!$G$16-MIN(MAX(City_Inputs!$AL139,Norm_Stats!$F$16),Norm_Stats!$G$16))/(Norm_Stats!$G$16-Norm_Stats!$F$16)))))="",0,(IF(OR(City_Inputs!$AL139="",Norm_Stats!$F$16="",Norm_Stats!$G$16="",Norm_Stats!$G$16=Norm_Stats!$F$16),"",MAX(0,MIN(100,100*(Norm_Stats!$G$16-MIN(MAX(City_Inputs!$AL139,Norm_Stats!$F$16),Norm_Stats!$G$16))/(Norm_Stats!$G$16-Norm_Stats!$F$16)))))*0.3))/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L139" s="14">
        <f>IF(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=0,"",(IF((IF(OR(City_Inputs!$AA139="",Norm_Stats!$F$15="",Norm_Stats!$G$15="",Norm_Stats!$G$15=Norm_Stats!$F$15),"",MAX(0,MIN(100,100*(MIN(MAX(City_Inputs!$AA139,Norm_Stats!$F$15),Norm_Stats!$G$15)-Norm_Stats!$F$15)/(Norm_Stats!$G$15-Norm_Stats!$F$15)))))="",0,0.7)+IF((IF(OR(City_Inputs!$AL139="",Norm_Stats!$F$16="",Norm_Stats!$G$16="",Norm_Stats!$G$16=Norm_Stats!$F$16),"",MAX(0,MIN(100,100*(Norm_Stats!$G$16-MIN(MAX(City_Inputs!$AL139,Norm_Stats!$F$16),Norm_Stats!$G$16))/(Norm_Stats!$G$16-Norm_Stats!$F$16)))))="",0,0.3)))</f>
        <v/>
      </c>
      <c r="AM139" s="15">
        <f>IF((IF(AG139="",0,8)+IF(AI139="",0,6)+IF(AK139="",0,4))=0,"",(IF(AG139="",0,AG139*8)+IF(AI139="",0,AI139*6)+IF(AK139="",0,AK139*4))/(IF(AG139="",0,8)+IF(AI139="",0,6)+IF(AK139="",0,4)))</f>
        <v/>
      </c>
      <c r="AN139" s="14">
        <f>IF((IF(AH139="",0,8)+IF(AJ139="",0,6)+IF(AL139="",0,4))=0,"",(IF(AH139="",0,AH139*8)+IF(AJ139="",0,AJ139*6)+IF(AL139="",0,AL139*4))/18)</f>
        <v/>
      </c>
      <c r="AO139" s="11">
        <f>IF(OR(City_Inputs!$AB139="",Norm_Stats!$F$17="",Norm_Stats!$G$17="",Norm_Stats!$G$17=Norm_Stats!$F$17),"",MAX(0,MIN(100,100*(MIN(MAX(City_Inputs!$AB139,Norm_Stats!$F$17),Norm_Stats!$G$17)-Norm_Stats!$F$17)/(Norm_Stats!$G$17-Norm_Stats!$F$17))))</f>
        <v/>
      </c>
      <c r="AP139" s="14">
        <f>IF(AO139="","",1)</f>
        <v/>
      </c>
      <c r="AQ139" s="11">
        <f>IF(OR(City_Inputs!$AC139="",Norm_Stats!$F$18="",Norm_Stats!$G$18="",Norm_Stats!$G$18=Norm_Stats!$F$18),"",MAX(0,MIN(100,100*(MIN(MAX(City_Inputs!$AC139,Norm_Stats!$F$18),Norm_Stats!$G$18)-Norm_Stats!$F$18)/(Norm_Stats!$G$18-Norm_Stats!$F$18))))</f>
        <v/>
      </c>
      <c r="AR139" s="14">
        <f>IF(AQ139="","",1)</f>
        <v/>
      </c>
      <c r="AS139" s="11">
        <f>IF(OR(City_Inputs!$AD139="",Norm_Stats!$F$19="",Norm_Stats!$G$19="",Norm_Stats!$G$19=Norm_Stats!$F$19),"",MAX(0,MIN(100,100*(MIN(MAX(City_Inputs!$AD139,Norm_Stats!$F$19),Norm_Stats!$G$19)-Norm_Stats!$F$19)/(Norm_Stats!$G$19-Norm_Stats!$F$19))))</f>
        <v/>
      </c>
      <c r="AT139" s="14">
        <f>IF(AS139="","",1)</f>
        <v/>
      </c>
      <c r="AU139" s="11">
        <f>IF(OR(City_Inputs!$BJ139="",Norm_Stats!$F$26="",Norm_Stats!$G$26="",Norm_Stats!$G$26=Norm_Stats!$F$26),"",MAX(0,MIN(100,100*(MIN(MAX(City_Inputs!$BJ139,Norm_Stats!$F$26),Norm_Stats!$G$26)-Norm_Stats!$F$26)/(Norm_Stats!$G$26-Norm_Stats!$F$26))))</f>
        <v/>
      </c>
      <c r="AV139" s="11">
        <f>IF(AU139="","",1)</f>
        <v/>
      </c>
      <c r="AW139" s="15">
        <f>IF((IF(AO139="",0,5)+IF(AQ139="",0,5)+IF(AS139="",0,5)+IF(AU139="",0,4))=0,"",(IF(AO139="",0,AO139*5)+IF(AQ139="",0,AQ139*5)+IF(AS139="",0,AS139*5)+IF(AU139="",0,AU139*4))/(IF(AO139="",0,5)+IF(AQ139="",0,5)+IF(AS139="",0,5)+IF(AU139="",0,4)))</f>
        <v/>
      </c>
      <c r="AX139" s="14">
        <f>IF((IF(AP139="",0,5)+IF(AR139="",0,5)+IF(AT139="",0,5)+IF(AV139="",0,4))=0,"",(IF(AP139="",0,AP139*5)+IF(AR139="",0,AR139*5)+IF(AT139="",0,AT139*5)+IF(AV139="",0,AV139*4))/19)</f>
        <v/>
      </c>
      <c r="AY139" s="11">
        <f>IF(OR(City_Inputs!$AE139="",Norm_Stats!$F$20="",Norm_Stats!$G$20="",Norm_Stats!$G$20=Norm_Stats!$F$20),"",MAX(0,MIN(100,100*(MIN(MAX(City_Inputs!$AE139,Norm_Stats!$F$20),Norm_Stats!$G$20)-Norm_Stats!$F$20)/(Norm_Stats!$G$20-Norm_Stats!$F$20))))</f>
        <v/>
      </c>
      <c r="AZ139" s="14">
        <f>IF(AY139="","",1)</f>
        <v/>
      </c>
      <c r="BA139" s="11">
        <f>IF(OR(City_Inputs!$AF139="",Norm_Stats!$F$21="",Norm_Stats!$G$21="",Norm_Stats!$G$21=Norm_Stats!$F$21),"",MAX(0,MIN(100,100*(MIN(MAX(City_Inputs!$AF139,Norm_Stats!$F$21),Norm_Stats!$G$21)-Norm_Stats!$F$21)/(Norm_Stats!$G$21-Norm_Stats!$F$21))))</f>
        <v/>
      </c>
      <c r="BB139" s="14">
        <f>IF(BA139="","",1)</f>
        <v/>
      </c>
      <c r="BC139" s="11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(IF(OR(City_Inputs!$AG139="",Norm_Stats!$F$22="",Norm_Stats!$G$22="",Norm_Stats!$G$22=Norm_Stats!$F$22),"",MAX(0,MIN(100,100*(MIN(MAX(City_Inputs!$AG139,Norm_Stats!$F$22),Norm_Stats!$G$22)-Norm_Stats!$F$22)/(Norm_Stats!$G$22-Norm_Stats!$F$22)))))*0.5)+IF((IF(OR(City_Inputs!$AJ139="",Norm_Stats!$F$23="",Norm_Stats!$G$23="",Norm_Stats!$G$23=Norm_Stats!$F$23),"",MAX(0,MIN(100,100*(MIN(MAX(City_Inputs!$AJ139,Norm_Stats!$F$23),Norm_Stats!$G$23)-Norm_Stats!$F$23)/(Norm_Stats!$G$23-Norm_Stats!$F$23)))))="",0,(IF(OR(City_Inputs!$AJ139="",Norm_Stats!$F$23="",Norm_Stats!$G$23="",Norm_Stats!$G$23=Norm_Stats!$F$23),"",MAX(0,MIN(100,100*(MIN(MAX(City_Inputs!$AJ139,Norm_Stats!$F$23),Norm_Stats!$G$23)-Norm_Stats!$F$23)/(Norm_Stats!$G$23-Norm_Stats!$F$23)))))*0.3)+IF((IF(OR(City_Inputs!$AK139="",Norm_Stats!$F$24="",Norm_Stats!$G$24="",Norm_Stats!$G$24=Norm_Stats!$F$24),"",MAX(0,MIN(100,100*(MIN(MAX(City_Inputs!$AK139,Norm_Stats!$F$24),Norm_Stats!$G$24)-Norm_Stats!$F$24)/(Norm_Stats!$G$24-Norm_Stats!$F$24)))))="",0,(IF(OR(City_Inputs!$AK139="",Norm_Stats!$F$24="",Norm_Stats!$G$24="",Norm_Stats!$G$24=Norm_Stats!$F$24),"",MAX(0,MIN(100,100*(MIN(MAX(City_Inputs!$AK139,Norm_Stats!$F$24),Norm_Stats!$G$24)-Norm_Stats!$F$24)/(Norm_Stats!$G$24-Norm_Stats!$F$24)))))*0.2))/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D139" s="14">
        <f>IF(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=0,"",(IF((IF(OR(City_Inputs!$AG139="",Norm_Stats!$F$22="",Norm_Stats!$G$22="",Norm_Stats!$G$22=Norm_Stats!$F$22),"",MAX(0,MIN(100,100*(MIN(MAX(City_Inputs!$AG139,Norm_Stats!$F$22),Norm_Stats!$G$22)-Norm_Stats!$F$22)/(Norm_Stats!$G$22-Norm_Stats!$F$22)))))="",0,0.5)+IF((IF(OR(City_Inputs!$AJ139="",Norm_Stats!$F$23="",Norm_Stats!$G$23="",Norm_Stats!$G$23=Norm_Stats!$F$23),"",MAX(0,MIN(100,100*(MIN(MAX(City_Inputs!$AJ139,Norm_Stats!$F$23),Norm_Stats!$G$23)-Norm_Stats!$F$23)/(Norm_Stats!$G$23-Norm_Stats!$F$23)))))="",0,0.3)+IF((IF(OR(City_Inputs!$AK139="",Norm_Stats!$F$24="",Norm_Stats!$G$24="",Norm_Stats!$G$24=Norm_Stats!$F$24),"",MAX(0,MIN(100,100*(MIN(MAX(City_Inputs!$AK139,Norm_Stats!$F$24),Norm_Stats!$G$24)-Norm_Stats!$F$24)/(Norm_Stats!$G$24-Norm_Stats!$F$24)))))="",0,0.2)))</f>
        <v/>
      </c>
      <c r="BE139" s="11">
        <f>IF(OR(City_Inputs!$AH139="",Norm_Stats!$F$25="",Norm_Stats!$G$25="",Norm_Stats!$G$25=Norm_Stats!$F$25),"",MAX(0,MIN(100,100*(Norm_Stats!$G$25-MIN(MAX(City_Inputs!$AH139,Norm_Stats!$F$25),Norm_Stats!$G$25))/(Norm_Stats!$G$25-Norm_Stats!$F$25))))</f>
        <v/>
      </c>
      <c r="BF139" s="14">
        <f>IF(BE139="","",1)</f>
        <v/>
      </c>
      <c r="BG139" s="15">
        <f>IF((IF(AY139="",0,6)+IF(BA139="",0,5)+IF(BC139="",0,5)+IF(BE139="",0,4))=0,"",(IF(AY139="",0,AY139*6)+IF(BA139="",0,BA139*5)+IF(BC139="",0,BC139*5)+IF(BE139="",0,BE139*4))/(IF(AY139="",0,6)+IF(BA139="",0,5)+IF(BC139="",0,5)+IF(BE139="",0,4)))</f>
        <v/>
      </c>
      <c r="BH139" s="14">
        <f>IF((IF(AZ139="",0,6)+IF(BB139="",0,5)+IF(BD139="",0,5)+IF(BF139="",0,4))=0,"",(IF(AZ139="",0,AZ139*6)+IF(BB139="",0,BB139*5)+IF(BD139="",0,BD139*5)+IF(BF139="",0,BF139*4))/20)</f>
        <v/>
      </c>
      <c r="BI139" s="14">
        <f>IF(AND(R139="",AF139="",AN139="",AX139="",BH139=""),"",((R139*25)+(AF139*22)+(AN139*18)+(AX139*15)+(BH139*20))/100)</f>
        <v/>
      </c>
      <c r="BJ139" s="11">
        <f>IF(BI139="","",IF(BI139&gt;=0.75,"A",IF(BI139&gt;=0.5,"B",IF(BI139&gt;=0.35,"C","Watchlist"))))</f>
        <v/>
      </c>
      <c r="BK139" s="11">
        <f>IF(OR(BI139="",BI139&lt;0.5,R139="",R139&lt;0.35,AF139="",AF139&lt;0.35,AN139="",AN139&lt;0.35,AX139="",AX139&lt;0.35,BH139="",BH139&lt;0.35),"Watchlist","Ranked")</f>
        <v/>
      </c>
      <c r="BL139" s="15">
        <f>IF(AND(Q139="",AE139="",AM139="",AW139="",BG139=""),"",(IF(Q139="",0,Q139*25)+IF(AE139="",0,AE139*22)+IF(AM139="",0,AM139*18)+IF(AW139="",0,AW139*15)+IF(BG139="",0,BG139*20))/(IF(Q139="",0,25)+IF(AE139="",0,22)+IF(AM139="",0,18)+IF(AW139="",0,15)+IF(BG139="",0,20)))</f>
        <v/>
      </c>
      <c r="BM139" s="11">
        <f>IF(BK139="Ranked",1+COUNTIFS($BK$2:$BK$158,"Ranked",$BL$2:$BL$158,"&gt;"&amp;BL139),"")</f>
        <v/>
      </c>
      <c r="BN139" s="11">
        <f>City_Inputs!$AI139</f>
        <v/>
      </c>
    </row>
    <row r="140">
      <c r="A140" t="inlineStr">
        <is>
          <t>us-raleigh</t>
        </is>
      </c>
      <c r="B140" t="inlineStr">
        <is>
          <t>Raleigh</t>
        </is>
      </c>
      <c r="C140" t="inlineStr">
        <is>
          <t>United States</t>
        </is>
      </c>
      <c r="D140" t="inlineStr">
        <is>
          <t>North America</t>
        </is>
      </c>
      <c r="E140" t="inlineStr">
        <is>
          <t>provisional</t>
        </is>
      </c>
      <c r="F140" t="inlineStr">
        <is>
          <t>secondary</t>
        </is>
      </c>
      <c r="G140" s="11">
        <f>IF(OR(City_Inputs!$M140="",Norm_Stats!$F$2="",Norm_Stats!$G$2="",Norm_Stats!$G$2=Norm_Stats!$F$2),"",MAX(0,MIN(100,100*(MIN(MAX(City_Inputs!$M140,Norm_Stats!$F$2),Norm_Stats!$G$2)-Norm_Stats!$F$2)/(Norm_Stats!$G$2-Norm_Stats!$F$2))))</f>
        <v/>
      </c>
      <c r="H140" s="14">
        <f>IF(G140="","",1)</f>
        <v/>
      </c>
      <c r="I140" s="11">
        <f>IF(OR(City_Inputs!$N140="",Norm_Stats!$F$3="",Norm_Stats!$G$3="",Norm_Stats!$G$3=Norm_Stats!$F$3),"",MAX(0,MIN(100,100*(Norm_Stats!$G$3-MIN(MAX(City_Inputs!$N140,Norm_Stats!$F$3),Norm_Stats!$G$3))/(Norm_Stats!$G$3-Norm_Stats!$F$3))))</f>
        <v/>
      </c>
      <c r="J140" s="14">
        <f>IF(I140="","",1)</f>
        <v/>
      </c>
      <c r="K140" s="11">
        <f>IF(OR(City_Inputs!$P140="",Norm_Stats!$F$4="",Norm_Stats!$G$4="",Norm_Stats!$G$4=Norm_Stats!$F$4),"",MAX(0,MIN(100,100*(Norm_Stats!$G$4-MIN(MAX(City_Inputs!$P140,Norm_Stats!$F$4),Norm_Stats!$G$4))/(Norm_Stats!$G$4-Norm_Stats!$F$4))))</f>
        <v/>
      </c>
      <c r="L140" s="14">
        <f>IF(K140="","",1)</f>
        <v/>
      </c>
      <c r="M140" s="11">
        <f>IF(OR(City_Inputs!$Q140="",Norm_Stats!$F$5="",Norm_Stats!$G$5="",Norm_Stats!$G$5=Norm_Stats!$F$5),"",MAX(0,MIN(100,100*(Norm_Stats!$G$5-MIN(MAX(City_Inputs!$Q140,Norm_Stats!$F$5),Norm_Stats!$G$5))/(Norm_Stats!$G$5-Norm_Stats!$F$5))))</f>
        <v/>
      </c>
      <c r="N140" s="14">
        <f>IF(M140="","",1)</f>
        <v/>
      </c>
      <c r="O140" s="11">
        <f>IF(OR(City_Inputs!$R140="",Norm_Stats!$F$6="",Norm_Stats!$G$6="",Norm_Stats!$G$6=Norm_Stats!$F$6),"",MAX(0,MIN(100,100*(Norm_Stats!$G$6-MIN(MAX(City_Inputs!$R140,Norm_Stats!$F$6),Norm_Stats!$G$6))/(Norm_Stats!$G$6-Norm_Stats!$F$6))))</f>
        <v/>
      </c>
      <c r="P140" s="14">
        <f>IF(O140="","",1)</f>
        <v/>
      </c>
      <c r="Q140" s="15">
        <f>IF((IF(G140="",0,9)+IF(I140="",0,5)+IF(K140="",0,4)+IF(M140="",0,4)+IF(O140="",0,5))=0,"",(IF(G140="",0,G140*9)+IF(I140="",0,I140*5)+IF(K140="",0,K140*4)+IF(M140="",0,M140*4)+IF(O140="",0,O140*5))/(IF(G140="",0,9)+IF(I140="",0,5)+IF(K140="",0,4)+IF(M140="",0,4)+IF(O140="",0,5)))</f>
        <v/>
      </c>
      <c r="R140" s="14">
        <f>IF((IF(H140="",0,9)+IF(J140="",0,5)+IF(L140="",0,4)+IF(N140="",0,4)+IF(P140="",0,5))=0,"",(IF(H140="",0,H140*9)+IF(J140="",0,J140*5)+IF(L140="",0,L140*4)+IF(N140="",0,N140*4)+IF(P140="",0,P140*5))/27)</f>
        <v/>
      </c>
      <c r="S140" s="11">
        <f>IF(OR(City_Inputs!$S140="",Norm_Stats!$F$7="",Norm_Stats!$G$7="",Norm_Stats!$G$7=Norm_Stats!$F$7),"",MAX(0,MIN(100,100*(Norm_Stats!$G$7-MIN(MAX(City_Inputs!$S140,Norm_Stats!$F$7),Norm_Stats!$G$7))/(Norm_Stats!$G$7-Norm_Stats!$F$7))))</f>
        <v/>
      </c>
      <c r="T140" s="14">
        <f>IF(S140="","",1)</f>
        <v/>
      </c>
      <c r="U140" s="11">
        <f>IF(OR(City_Inputs!$T140="",Norm_Stats!$F$8="",Norm_Stats!$G$8="",Norm_Stats!$G$8=Norm_Stats!$F$8),"",MAX(0,MIN(100,100*(MIN(MAX(City_Inputs!$T140,Norm_Stats!$F$8),Norm_Stats!$G$8)-Norm_Stats!$F$8)/(Norm_Stats!$G$8-Norm_Stats!$F$8))))</f>
        <v/>
      </c>
      <c r="V140" s="14">
        <f>IF(U140="","",1)</f>
        <v/>
      </c>
      <c r="W140" s="11">
        <f>IF(OR(City_Inputs!$U140="",Norm_Stats!$F$9="",Norm_Stats!$G$9="",Norm_Stats!$G$9=Norm_Stats!$F$9),"",MAX(0,MIN(100,100*(Norm_Stats!$G$9-MIN(MAX(City_Inputs!$U140,Norm_Stats!$F$9),Norm_Stats!$G$9))/(Norm_Stats!$G$9-Norm_Stats!$F$9))))</f>
        <v/>
      </c>
      <c r="X140" s="14">
        <f>IF(W140="","",1)</f>
        <v/>
      </c>
      <c r="Y140" s="11">
        <f>IF(OR(City_Inputs!$V140="",Norm_Stats!$F$10="",Norm_Stats!$G$10="",Norm_Stats!$G$10=Norm_Stats!$F$10),"",MAX(0,MIN(100,100*(MIN(MAX(City_Inputs!$V140,Norm_Stats!$F$10),Norm_Stats!$G$10)-Norm_Stats!$F$10)/(Norm_Stats!$G$10-Norm_Stats!$F$10))))</f>
        <v/>
      </c>
      <c r="Z140" s="14">
        <f>IF(Y140="","",1)</f>
        <v/>
      </c>
      <c r="AA140" s="11">
        <f>IF(OR(City_Inputs!$W140="",Norm_Stats!$F$11="",Norm_Stats!$G$11="",Norm_Stats!$G$11=Norm_Stats!$F$11),"",MAX(0,MIN(100,100*(MIN(MAX(City_Inputs!$W140,Norm_Stats!$F$11),Norm_Stats!$G$11)-Norm_Stats!$F$11)/(Norm_Stats!$G$11-Norm_Stats!$F$11))))</f>
        <v/>
      </c>
      <c r="AB140" s="14">
        <f>IF(AA140="","",1)</f>
        <v/>
      </c>
      <c r="AC140" s="11">
        <f>IF(OR(City_Inputs!$X140="",Norm_Stats!$F$12="",Norm_Stats!$G$12="",Norm_Stats!$G$12=Norm_Stats!$F$12),"",MAX(0,MIN(100,100*(MIN(MAX(City_Inputs!$X140,Norm_Stats!$F$12),Norm_Stats!$G$12)-Norm_Stats!$F$12)/(Norm_Stats!$G$12-Norm_Stats!$F$12))))</f>
        <v/>
      </c>
      <c r="AD140" s="11">
        <f>IF(AC140="","",1)</f>
        <v/>
      </c>
      <c r="AE140" s="15">
        <f>IF((IF(S140="",0,5)+IF(U140="",0,5)+IF(W140="",0,4)+IF(Y140="",0,4)+IF(AA140="",0,4)+IF(AC140="",0,5))=0,"",(IF(S140="",0,S140*5)+IF(U140="",0,U140*5)+IF(W140="",0,W140*4)+IF(Y140="",0,Y140*4)+IF(AA140="",0,AA140*4)+IF(AC140="",0,AC140*5))/(IF(S140="",0,5)+IF(U140="",0,5)+IF(W140="",0,4)+IF(Y140="",0,4)+IF(AA140="",0,4)+IF(AC140="",0,5)))</f>
        <v/>
      </c>
      <c r="AF140" s="14">
        <f>IF((IF(T140="",0,5)+IF(V140="",0,5)+IF(X140="",0,4)+IF(Z140="",0,4)+IF(AB140="",0,4)+IF(AD140="",0,5))=0,"",(IF(T140="",0,T140*5)+IF(V140="",0,V140*5)+IF(X140="",0,X140*4)+IF(Z140="",0,Z140*4)+IF(AB140="",0,AB140*4)+IF(AD140="",0,AD140*5))/27)</f>
        <v/>
      </c>
      <c r="AG140" s="11">
        <f>IF(OR(City_Inputs!$Y140="",Norm_Stats!$F$13="",Norm_Stats!$G$13="",Norm_Stats!$G$13=Norm_Stats!$F$13),"",MAX(0,MIN(100,100*(MIN(MAX(City_Inputs!$Y140,Norm_Stats!$F$13),Norm_Stats!$G$13)-Norm_Stats!$F$13)/(Norm_Stats!$G$13-Norm_Stats!$F$13))))</f>
        <v/>
      </c>
      <c r="AH140" s="14">
        <f>IF(AG140="","",1)</f>
        <v/>
      </c>
      <c r="AI140" s="11">
        <f>IF(OR(City_Inputs!$Z140="",Norm_Stats!$F$14="",Norm_Stats!$G$14="",Norm_Stats!$G$14=Norm_Stats!$F$14),"",MAX(0,MIN(100,100*(MIN(MAX(City_Inputs!$Z140,Norm_Stats!$F$14),Norm_Stats!$G$14)-Norm_Stats!$F$14)/(Norm_Stats!$G$14-Norm_Stats!$F$14))))</f>
        <v/>
      </c>
      <c r="AJ140" s="14">
        <f>IF(AI140="","",1)</f>
        <v/>
      </c>
      <c r="AK140" s="11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(IF(OR(City_Inputs!$AA140="",Norm_Stats!$F$15="",Norm_Stats!$G$15="",Norm_Stats!$G$15=Norm_Stats!$F$15),"",MAX(0,MIN(100,100*(MIN(MAX(City_Inputs!$AA140,Norm_Stats!$F$15),Norm_Stats!$G$15)-Norm_Stats!$F$15)/(Norm_Stats!$G$15-Norm_Stats!$F$15)))))*0.7)+IF((IF(OR(City_Inputs!$AL140="",Norm_Stats!$F$16="",Norm_Stats!$G$16="",Norm_Stats!$G$16=Norm_Stats!$F$16),"",MAX(0,MIN(100,100*(Norm_Stats!$G$16-MIN(MAX(City_Inputs!$AL140,Norm_Stats!$F$16),Norm_Stats!$G$16))/(Norm_Stats!$G$16-Norm_Stats!$F$16)))))="",0,(IF(OR(City_Inputs!$AL140="",Norm_Stats!$F$16="",Norm_Stats!$G$16="",Norm_Stats!$G$16=Norm_Stats!$F$16),"",MAX(0,MIN(100,100*(Norm_Stats!$G$16-MIN(MAX(City_Inputs!$AL140,Norm_Stats!$F$16),Norm_Stats!$G$16))/(Norm_Stats!$G$16-Norm_Stats!$F$16)))))*0.3))/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L140" s="14">
        <f>IF(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=0,"",(IF((IF(OR(City_Inputs!$AA140="",Norm_Stats!$F$15="",Norm_Stats!$G$15="",Norm_Stats!$G$15=Norm_Stats!$F$15),"",MAX(0,MIN(100,100*(MIN(MAX(City_Inputs!$AA140,Norm_Stats!$F$15),Norm_Stats!$G$15)-Norm_Stats!$F$15)/(Norm_Stats!$G$15-Norm_Stats!$F$15)))))="",0,0.7)+IF((IF(OR(City_Inputs!$AL140="",Norm_Stats!$F$16="",Norm_Stats!$G$16="",Norm_Stats!$G$16=Norm_Stats!$F$16),"",MAX(0,MIN(100,100*(Norm_Stats!$G$16-MIN(MAX(City_Inputs!$AL140,Norm_Stats!$F$16),Norm_Stats!$G$16))/(Norm_Stats!$G$16-Norm_Stats!$F$16)))))="",0,0.3)))</f>
        <v/>
      </c>
      <c r="AM140" s="15">
        <f>IF((IF(AG140="",0,8)+IF(AI140="",0,6)+IF(AK140="",0,4))=0,"",(IF(AG140="",0,AG140*8)+IF(AI140="",0,AI140*6)+IF(AK140="",0,AK140*4))/(IF(AG140="",0,8)+IF(AI140="",0,6)+IF(AK140="",0,4)))</f>
        <v/>
      </c>
      <c r="AN140" s="14">
        <f>IF((IF(AH140="",0,8)+IF(AJ140="",0,6)+IF(AL140="",0,4))=0,"",(IF(AH140="",0,AH140*8)+IF(AJ140="",0,AJ140*6)+IF(AL140="",0,AL140*4))/18)</f>
        <v/>
      </c>
      <c r="AO140" s="11">
        <f>IF(OR(City_Inputs!$AB140="",Norm_Stats!$F$17="",Norm_Stats!$G$17="",Norm_Stats!$G$17=Norm_Stats!$F$17),"",MAX(0,MIN(100,100*(MIN(MAX(City_Inputs!$AB140,Norm_Stats!$F$17),Norm_Stats!$G$17)-Norm_Stats!$F$17)/(Norm_Stats!$G$17-Norm_Stats!$F$17))))</f>
        <v/>
      </c>
      <c r="AP140" s="14">
        <f>IF(AO140="","",1)</f>
        <v/>
      </c>
      <c r="AQ140" s="11">
        <f>IF(OR(City_Inputs!$AC140="",Norm_Stats!$F$18="",Norm_Stats!$G$18="",Norm_Stats!$G$18=Norm_Stats!$F$18),"",MAX(0,MIN(100,100*(MIN(MAX(City_Inputs!$AC140,Norm_Stats!$F$18),Norm_Stats!$G$18)-Norm_Stats!$F$18)/(Norm_Stats!$G$18-Norm_Stats!$F$18))))</f>
        <v/>
      </c>
      <c r="AR140" s="14">
        <f>IF(AQ140="","",1)</f>
        <v/>
      </c>
      <c r="AS140" s="11">
        <f>IF(OR(City_Inputs!$AD140="",Norm_Stats!$F$19="",Norm_Stats!$G$19="",Norm_Stats!$G$19=Norm_Stats!$F$19),"",MAX(0,MIN(100,100*(MIN(MAX(City_Inputs!$AD140,Norm_Stats!$F$19),Norm_Stats!$G$19)-Norm_Stats!$F$19)/(Norm_Stats!$G$19-Norm_Stats!$F$19))))</f>
        <v/>
      </c>
      <c r="AT140" s="14">
        <f>IF(AS140="","",1)</f>
        <v/>
      </c>
      <c r="AU140" s="11">
        <f>IF(OR(City_Inputs!$BJ140="",Norm_Stats!$F$26="",Norm_Stats!$G$26="",Norm_Stats!$G$26=Norm_Stats!$F$26),"",MAX(0,MIN(100,100*(MIN(MAX(City_Inputs!$BJ140,Norm_Stats!$F$26),Norm_Stats!$G$26)-Norm_Stats!$F$26)/(Norm_Stats!$G$26-Norm_Stats!$F$26))))</f>
        <v/>
      </c>
      <c r="AV140" s="11">
        <f>IF(AU140="","",1)</f>
        <v/>
      </c>
      <c r="AW140" s="15">
        <f>IF((IF(AO140="",0,5)+IF(AQ140="",0,5)+IF(AS140="",0,5)+IF(AU140="",0,4))=0,"",(IF(AO140="",0,AO140*5)+IF(AQ140="",0,AQ140*5)+IF(AS140="",0,AS140*5)+IF(AU140="",0,AU140*4))/(IF(AO140="",0,5)+IF(AQ140="",0,5)+IF(AS140="",0,5)+IF(AU140="",0,4)))</f>
        <v/>
      </c>
      <c r="AX140" s="14">
        <f>IF((IF(AP140="",0,5)+IF(AR140="",0,5)+IF(AT140="",0,5)+IF(AV140="",0,4))=0,"",(IF(AP140="",0,AP140*5)+IF(AR140="",0,AR140*5)+IF(AT140="",0,AT140*5)+IF(AV140="",0,AV140*4))/19)</f>
        <v/>
      </c>
      <c r="AY140" s="11">
        <f>IF(OR(City_Inputs!$AE140="",Norm_Stats!$F$20="",Norm_Stats!$G$20="",Norm_Stats!$G$20=Norm_Stats!$F$20),"",MAX(0,MIN(100,100*(MIN(MAX(City_Inputs!$AE140,Norm_Stats!$F$20),Norm_Stats!$G$20)-Norm_Stats!$F$20)/(Norm_Stats!$G$20-Norm_Stats!$F$20))))</f>
        <v/>
      </c>
      <c r="AZ140" s="14">
        <f>IF(AY140="","",1)</f>
        <v/>
      </c>
      <c r="BA140" s="11">
        <f>IF(OR(City_Inputs!$AF140="",Norm_Stats!$F$21="",Norm_Stats!$G$21="",Norm_Stats!$G$21=Norm_Stats!$F$21),"",MAX(0,MIN(100,100*(MIN(MAX(City_Inputs!$AF140,Norm_Stats!$F$21),Norm_Stats!$G$21)-Norm_Stats!$F$21)/(Norm_Stats!$G$21-Norm_Stats!$F$21))))</f>
        <v/>
      </c>
      <c r="BB140" s="14">
        <f>IF(BA140="","",1)</f>
        <v/>
      </c>
      <c r="BC140" s="11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(IF(OR(City_Inputs!$AG140="",Norm_Stats!$F$22="",Norm_Stats!$G$22="",Norm_Stats!$G$22=Norm_Stats!$F$22),"",MAX(0,MIN(100,100*(MIN(MAX(City_Inputs!$AG140,Norm_Stats!$F$22),Norm_Stats!$G$22)-Norm_Stats!$F$22)/(Norm_Stats!$G$22-Norm_Stats!$F$22)))))*0.5)+IF((IF(OR(City_Inputs!$AJ140="",Norm_Stats!$F$23="",Norm_Stats!$G$23="",Norm_Stats!$G$23=Norm_Stats!$F$23),"",MAX(0,MIN(100,100*(MIN(MAX(City_Inputs!$AJ140,Norm_Stats!$F$23),Norm_Stats!$G$23)-Norm_Stats!$F$23)/(Norm_Stats!$G$23-Norm_Stats!$F$23)))))="",0,(IF(OR(City_Inputs!$AJ140="",Norm_Stats!$F$23="",Norm_Stats!$G$23="",Norm_Stats!$G$23=Norm_Stats!$F$23),"",MAX(0,MIN(100,100*(MIN(MAX(City_Inputs!$AJ140,Norm_Stats!$F$23),Norm_Stats!$G$23)-Norm_Stats!$F$23)/(Norm_Stats!$G$23-Norm_Stats!$F$23)))))*0.3)+IF((IF(OR(City_Inputs!$AK140="",Norm_Stats!$F$24="",Norm_Stats!$G$24="",Norm_Stats!$G$24=Norm_Stats!$F$24),"",MAX(0,MIN(100,100*(MIN(MAX(City_Inputs!$AK140,Norm_Stats!$F$24),Norm_Stats!$G$24)-Norm_Stats!$F$24)/(Norm_Stats!$G$24-Norm_Stats!$F$24)))))="",0,(IF(OR(City_Inputs!$AK140="",Norm_Stats!$F$24="",Norm_Stats!$G$24="",Norm_Stats!$G$24=Norm_Stats!$F$24),"",MAX(0,MIN(100,100*(MIN(MAX(City_Inputs!$AK140,Norm_Stats!$F$24),Norm_Stats!$G$24)-Norm_Stats!$F$24)/(Norm_Stats!$G$24-Norm_Stats!$F$24)))))*0.2))/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D140" s="14">
        <f>IF(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=0,"",(IF((IF(OR(City_Inputs!$AG140="",Norm_Stats!$F$22="",Norm_Stats!$G$22="",Norm_Stats!$G$22=Norm_Stats!$F$22),"",MAX(0,MIN(100,100*(MIN(MAX(City_Inputs!$AG140,Norm_Stats!$F$22),Norm_Stats!$G$22)-Norm_Stats!$F$22)/(Norm_Stats!$G$22-Norm_Stats!$F$22)))))="",0,0.5)+IF((IF(OR(City_Inputs!$AJ140="",Norm_Stats!$F$23="",Norm_Stats!$G$23="",Norm_Stats!$G$23=Norm_Stats!$F$23),"",MAX(0,MIN(100,100*(MIN(MAX(City_Inputs!$AJ140,Norm_Stats!$F$23),Norm_Stats!$G$23)-Norm_Stats!$F$23)/(Norm_Stats!$G$23-Norm_Stats!$F$23)))))="",0,0.3)+IF((IF(OR(City_Inputs!$AK140="",Norm_Stats!$F$24="",Norm_Stats!$G$24="",Norm_Stats!$G$24=Norm_Stats!$F$24),"",MAX(0,MIN(100,100*(MIN(MAX(City_Inputs!$AK140,Norm_Stats!$F$24),Norm_Stats!$G$24)-Norm_Stats!$F$24)/(Norm_Stats!$G$24-Norm_Stats!$F$24)))))="",0,0.2)))</f>
        <v/>
      </c>
      <c r="BE140" s="11">
        <f>IF(OR(City_Inputs!$AH140="",Norm_Stats!$F$25="",Norm_Stats!$G$25="",Norm_Stats!$G$25=Norm_Stats!$F$25),"",MAX(0,MIN(100,100*(Norm_Stats!$G$25-MIN(MAX(City_Inputs!$AH140,Norm_Stats!$F$25),Norm_Stats!$G$25))/(Norm_Stats!$G$25-Norm_Stats!$F$25))))</f>
        <v/>
      </c>
      <c r="BF140" s="14">
        <f>IF(BE140="","",1)</f>
        <v/>
      </c>
      <c r="BG140" s="15">
        <f>IF((IF(AY140="",0,6)+IF(BA140="",0,5)+IF(BC140="",0,5)+IF(BE140="",0,4))=0,"",(IF(AY140="",0,AY140*6)+IF(BA140="",0,BA140*5)+IF(BC140="",0,BC140*5)+IF(BE140="",0,BE140*4))/(IF(AY140="",0,6)+IF(BA140="",0,5)+IF(BC140="",0,5)+IF(BE140="",0,4)))</f>
        <v/>
      </c>
      <c r="BH140" s="14">
        <f>IF((IF(AZ140="",0,6)+IF(BB140="",0,5)+IF(BD140="",0,5)+IF(BF140="",0,4))=0,"",(IF(AZ140="",0,AZ140*6)+IF(BB140="",0,BB140*5)+IF(BD140="",0,BD140*5)+IF(BF140="",0,BF140*4))/20)</f>
        <v/>
      </c>
      <c r="BI140" s="14">
        <f>IF(AND(R140="",AF140="",AN140="",AX140="",BH140=""),"",((R140*25)+(AF140*22)+(AN140*18)+(AX140*15)+(BH140*20))/100)</f>
        <v/>
      </c>
      <c r="BJ140" s="11">
        <f>IF(BI140="","",IF(BI140&gt;=0.75,"A",IF(BI140&gt;=0.5,"B",IF(BI140&gt;=0.35,"C","Watchlist"))))</f>
        <v/>
      </c>
      <c r="BK140" s="11">
        <f>IF(OR(BI140="",BI140&lt;0.5,R140="",R140&lt;0.35,AF140="",AF140&lt;0.35,AN140="",AN140&lt;0.35,AX140="",AX140&lt;0.35,BH140="",BH140&lt;0.35),"Watchlist","Ranked")</f>
        <v/>
      </c>
      <c r="BL140" s="15">
        <f>IF(AND(Q140="",AE140="",AM140="",AW140="",BG140=""),"",(IF(Q140="",0,Q140*25)+IF(AE140="",0,AE140*22)+IF(AM140="",0,AM140*18)+IF(AW140="",0,AW140*15)+IF(BG140="",0,BG140*20))/(IF(Q140="",0,25)+IF(AE140="",0,22)+IF(AM140="",0,18)+IF(AW140="",0,15)+IF(BG140="",0,20)))</f>
        <v/>
      </c>
      <c r="BM140" s="11">
        <f>IF(BK140="Ranked",1+COUNTIFS($BK$2:$BK$158,"Ranked",$BL$2:$BL$158,"&gt;"&amp;BL140),"")</f>
        <v/>
      </c>
      <c r="BN140" s="11">
        <f>City_Inputs!$AI140</f>
        <v/>
      </c>
    </row>
    <row r="141">
      <c r="A141" t="inlineStr">
        <is>
          <t>do-santo-domingo</t>
        </is>
      </c>
      <c r="B141" t="inlineStr">
        <is>
          <t>Santo Domingo</t>
        </is>
      </c>
      <c r="C141" t="inlineStr">
        <is>
          <t>Dominican Republic</t>
        </is>
      </c>
      <c r="D141" t="inlineStr">
        <is>
          <t>North America</t>
        </is>
      </c>
      <c r="E141" t="inlineStr">
        <is>
          <t>provisional</t>
        </is>
      </c>
      <c r="F141" t="inlineStr">
        <is>
          <t>primary</t>
        </is>
      </c>
      <c r="G141" s="11">
        <f>IF(OR(City_Inputs!$M141="",Norm_Stats!$F$2="",Norm_Stats!$G$2="",Norm_Stats!$G$2=Norm_Stats!$F$2),"",MAX(0,MIN(100,100*(MIN(MAX(City_Inputs!$M141,Norm_Stats!$F$2),Norm_Stats!$G$2)-Norm_Stats!$F$2)/(Norm_Stats!$G$2-Norm_Stats!$F$2))))</f>
        <v/>
      </c>
      <c r="H141" s="14">
        <f>IF(G141="","",1)</f>
        <v/>
      </c>
      <c r="I141" s="11">
        <f>IF(OR(City_Inputs!$N141="",Norm_Stats!$F$3="",Norm_Stats!$G$3="",Norm_Stats!$G$3=Norm_Stats!$F$3),"",MAX(0,MIN(100,100*(Norm_Stats!$G$3-MIN(MAX(City_Inputs!$N141,Norm_Stats!$F$3),Norm_Stats!$G$3))/(Norm_Stats!$G$3-Norm_Stats!$F$3))))</f>
        <v/>
      </c>
      <c r="J141" s="14">
        <f>IF(I141="","",1)</f>
        <v/>
      </c>
      <c r="K141" s="11">
        <f>IF(OR(City_Inputs!$P141="",Norm_Stats!$F$4="",Norm_Stats!$G$4="",Norm_Stats!$G$4=Norm_Stats!$F$4),"",MAX(0,MIN(100,100*(Norm_Stats!$G$4-MIN(MAX(City_Inputs!$P141,Norm_Stats!$F$4),Norm_Stats!$G$4))/(Norm_Stats!$G$4-Norm_Stats!$F$4))))</f>
        <v/>
      </c>
      <c r="L141" s="14">
        <f>IF(K141="","",1)</f>
        <v/>
      </c>
      <c r="M141" s="11">
        <f>IF(OR(City_Inputs!$Q141="",Norm_Stats!$F$5="",Norm_Stats!$G$5="",Norm_Stats!$G$5=Norm_Stats!$F$5),"",MAX(0,MIN(100,100*(Norm_Stats!$G$5-MIN(MAX(City_Inputs!$Q141,Norm_Stats!$F$5),Norm_Stats!$G$5))/(Norm_Stats!$G$5-Norm_Stats!$F$5))))</f>
        <v/>
      </c>
      <c r="N141" s="14">
        <f>IF(M141="","",1)</f>
        <v/>
      </c>
      <c r="O141" s="11">
        <f>IF(OR(City_Inputs!$R141="",Norm_Stats!$F$6="",Norm_Stats!$G$6="",Norm_Stats!$G$6=Norm_Stats!$F$6),"",MAX(0,MIN(100,100*(Norm_Stats!$G$6-MIN(MAX(City_Inputs!$R141,Norm_Stats!$F$6),Norm_Stats!$G$6))/(Norm_Stats!$G$6-Norm_Stats!$F$6))))</f>
        <v/>
      </c>
      <c r="P141" s="14">
        <f>IF(O141="","",1)</f>
        <v/>
      </c>
      <c r="Q141" s="15">
        <f>IF((IF(G141="",0,9)+IF(I141="",0,5)+IF(K141="",0,4)+IF(M141="",0,4)+IF(O141="",0,5))=0,"",(IF(G141="",0,G141*9)+IF(I141="",0,I141*5)+IF(K141="",0,K141*4)+IF(M141="",0,M141*4)+IF(O141="",0,O141*5))/(IF(G141="",0,9)+IF(I141="",0,5)+IF(K141="",0,4)+IF(M141="",0,4)+IF(O141="",0,5)))</f>
        <v/>
      </c>
      <c r="R141" s="14">
        <f>IF((IF(H141="",0,9)+IF(J141="",0,5)+IF(L141="",0,4)+IF(N141="",0,4)+IF(P141="",0,5))=0,"",(IF(H141="",0,H141*9)+IF(J141="",0,J141*5)+IF(L141="",0,L141*4)+IF(N141="",0,N141*4)+IF(P141="",0,P141*5))/27)</f>
        <v/>
      </c>
      <c r="S141" s="11">
        <f>IF(OR(City_Inputs!$S141="",Norm_Stats!$F$7="",Norm_Stats!$G$7="",Norm_Stats!$G$7=Norm_Stats!$F$7),"",MAX(0,MIN(100,100*(Norm_Stats!$G$7-MIN(MAX(City_Inputs!$S141,Norm_Stats!$F$7),Norm_Stats!$G$7))/(Norm_Stats!$G$7-Norm_Stats!$F$7))))</f>
        <v/>
      </c>
      <c r="T141" s="14">
        <f>IF(S141="","",1)</f>
        <v/>
      </c>
      <c r="U141" s="11">
        <f>IF(OR(City_Inputs!$T141="",Norm_Stats!$F$8="",Norm_Stats!$G$8="",Norm_Stats!$G$8=Norm_Stats!$F$8),"",MAX(0,MIN(100,100*(MIN(MAX(City_Inputs!$T141,Norm_Stats!$F$8),Norm_Stats!$G$8)-Norm_Stats!$F$8)/(Norm_Stats!$G$8-Norm_Stats!$F$8))))</f>
        <v/>
      </c>
      <c r="V141" s="14">
        <f>IF(U141="","",1)</f>
        <v/>
      </c>
      <c r="W141" s="11">
        <f>IF(OR(City_Inputs!$U141="",Norm_Stats!$F$9="",Norm_Stats!$G$9="",Norm_Stats!$G$9=Norm_Stats!$F$9),"",MAX(0,MIN(100,100*(Norm_Stats!$G$9-MIN(MAX(City_Inputs!$U141,Norm_Stats!$F$9),Norm_Stats!$G$9))/(Norm_Stats!$G$9-Norm_Stats!$F$9))))</f>
        <v/>
      </c>
      <c r="X141" s="14">
        <f>IF(W141="","",1)</f>
        <v/>
      </c>
      <c r="Y141" s="11">
        <f>IF(OR(City_Inputs!$V141="",Norm_Stats!$F$10="",Norm_Stats!$G$10="",Norm_Stats!$G$10=Norm_Stats!$F$10),"",MAX(0,MIN(100,100*(MIN(MAX(City_Inputs!$V141,Norm_Stats!$F$10),Norm_Stats!$G$10)-Norm_Stats!$F$10)/(Norm_Stats!$G$10-Norm_Stats!$F$10))))</f>
        <v/>
      </c>
      <c r="Z141" s="14">
        <f>IF(Y141="","",1)</f>
        <v/>
      </c>
      <c r="AA141" s="11">
        <f>IF(OR(City_Inputs!$W141="",Norm_Stats!$F$11="",Norm_Stats!$G$11="",Norm_Stats!$G$11=Norm_Stats!$F$11),"",MAX(0,MIN(100,100*(MIN(MAX(City_Inputs!$W141,Norm_Stats!$F$11),Norm_Stats!$G$11)-Norm_Stats!$F$11)/(Norm_Stats!$G$11-Norm_Stats!$F$11))))</f>
        <v/>
      </c>
      <c r="AB141" s="14">
        <f>IF(AA141="","",1)</f>
        <v/>
      </c>
      <c r="AC141" s="11">
        <f>IF(OR(City_Inputs!$X141="",Norm_Stats!$F$12="",Norm_Stats!$G$12="",Norm_Stats!$G$12=Norm_Stats!$F$12),"",MAX(0,MIN(100,100*(MIN(MAX(City_Inputs!$X141,Norm_Stats!$F$12),Norm_Stats!$G$12)-Norm_Stats!$F$12)/(Norm_Stats!$G$12-Norm_Stats!$F$12))))</f>
        <v/>
      </c>
      <c r="AD141" s="11">
        <f>IF(AC141="","",1)</f>
        <v/>
      </c>
      <c r="AE141" s="15">
        <f>IF((IF(S141="",0,5)+IF(U141="",0,5)+IF(W141="",0,4)+IF(Y141="",0,4)+IF(AA141="",0,4)+IF(AC141="",0,5))=0,"",(IF(S141="",0,S141*5)+IF(U141="",0,U141*5)+IF(W141="",0,W141*4)+IF(Y141="",0,Y141*4)+IF(AA141="",0,AA141*4)+IF(AC141="",0,AC141*5))/(IF(S141="",0,5)+IF(U141="",0,5)+IF(W141="",0,4)+IF(Y141="",0,4)+IF(AA141="",0,4)+IF(AC141="",0,5)))</f>
        <v/>
      </c>
      <c r="AF141" s="14">
        <f>IF((IF(T141="",0,5)+IF(V141="",0,5)+IF(X141="",0,4)+IF(Z141="",0,4)+IF(AB141="",0,4)+IF(AD141="",0,5))=0,"",(IF(T141="",0,T141*5)+IF(V141="",0,V141*5)+IF(X141="",0,X141*4)+IF(Z141="",0,Z141*4)+IF(AB141="",0,AB141*4)+IF(AD141="",0,AD141*5))/27)</f>
        <v/>
      </c>
      <c r="AG141" s="11">
        <f>IF(OR(City_Inputs!$Y141="",Norm_Stats!$F$13="",Norm_Stats!$G$13="",Norm_Stats!$G$13=Norm_Stats!$F$13),"",MAX(0,MIN(100,100*(MIN(MAX(City_Inputs!$Y141,Norm_Stats!$F$13),Norm_Stats!$G$13)-Norm_Stats!$F$13)/(Norm_Stats!$G$13-Norm_Stats!$F$13))))</f>
        <v/>
      </c>
      <c r="AH141" s="14">
        <f>IF(AG141="","",1)</f>
        <v/>
      </c>
      <c r="AI141" s="11">
        <f>IF(OR(City_Inputs!$Z141="",Norm_Stats!$F$14="",Norm_Stats!$G$14="",Norm_Stats!$G$14=Norm_Stats!$F$14),"",MAX(0,MIN(100,100*(MIN(MAX(City_Inputs!$Z141,Norm_Stats!$F$14),Norm_Stats!$G$14)-Norm_Stats!$F$14)/(Norm_Stats!$G$14-Norm_Stats!$F$14))))</f>
        <v/>
      </c>
      <c r="AJ141" s="14">
        <f>IF(AI141="","",1)</f>
        <v/>
      </c>
      <c r="AK141" s="11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(IF(OR(City_Inputs!$AA141="",Norm_Stats!$F$15="",Norm_Stats!$G$15="",Norm_Stats!$G$15=Norm_Stats!$F$15),"",MAX(0,MIN(100,100*(MIN(MAX(City_Inputs!$AA141,Norm_Stats!$F$15),Norm_Stats!$G$15)-Norm_Stats!$F$15)/(Norm_Stats!$G$15-Norm_Stats!$F$15)))))*0.7)+IF((IF(OR(City_Inputs!$AL141="",Norm_Stats!$F$16="",Norm_Stats!$G$16="",Norm_Stats!$G$16=Norm_Stats!$F$16),"",MAX(0,MIN(100,100*(Norm_Stats!$G$16-MIN(MAX(City_Inputs!$AL141,Norm_Stats!$F$16),Norm_Stats!$G$16))/(Norm_Stats!$G$16-Norm_Stats!$F$16)))))="",0,(IF(OR(City_Inputs!$AL141="",Norm_Stats!$F$16="",Norm_Stats!$G$16="",Norm_Stats!$G$16=Norm_Stats!$F$16),"",MAX(0,MIN(100,100*(Norm_Stats!$G$16-MIN(MAX(City_Inputs!$AL141,Norm_Stats!$F$16),Norm_Stats!$G$16))/(Norm_Stats!$G$16-Norm_Stats!$F$16)))))*0.3))/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L141" s="14">
        <f>IF(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=0,"",(IF((IF(OR(City_Inputs!$AA141="",Norm_Stats!$F$15="",Norm_Stats!$G$15="",Norm_Stats!$G$15=Norm_Stats!$F$15),"",MAX(0,MIN(100,100*(MIN(MAX(City_Inputs!$AA141,Norm_Stats!$F$15),Norm_Stats!$G$15)-Norm_Stats!$F$15)/(Norm_Stats!$G$15-Norm_Stats!$F$15)))))="",0,0.7)+IF((IF(OR(City_Inputs!$AL141="",Norm_Stats!$F$16="",Norm_Stats!$G$16="",Norm_Stats!$G$16=Norm_Stats!$F$16),"",MAX(0,MIN(100,100*(Norm_Stats!$G$16-MIN(MAX(City_Inputs!$AL141,Norm_Stats!$F$16),Norm_Stats!$G$16))/(Norm_Stats!$G$16-Norm_Stats!$F$16)))))="",0,0.3)))</f>
        <v/>
      </c>
      <c r="AM141" s="15">
        <f>IF((IF(AG141="",0,8)+IF(AI141="",0,6)+IF(AK141="",0,4))=0,"",(IF(AG141="",0,AG141*8)+IF(AI141="",0,AI141*6)+IF(AK141="",0,AK141*4))/(IF(AG141="",0,8)+IF(AI141="",0,6)+IF(AK141="",0,4)))</f>
        <v/>
      </c>
      <c r="AN141" s="14">
        <f>IF((IF(AH141="",0,8)+IF(AJ141="",0,6)+IF(AL141="",0,4))=0,"",(IF(AH141="",0,AH141*8)+IF(AJ141="",0,AJ141*6)+IF(AL141="",0,AL141*4))/18)</f>
        <v/>
      </c>
      <c r="AO141" s="11">
        <f>IF(OR(City_Inputs!$AB141="",Norm_Stats!$F$17="",Norm_Stats!$G$17="",Norm_Stats!$G$17=Norm_Stats!$F$17),"",MAX(0,MIN(100,100*(MIN(MAX(City_Inputs!$AB141,Norm_Stats!$F$17),Norm_Stats!$G$17)-Norm_Stats!$F$17)/(Norm_Stats!$G$17-Norm_Stats!$F$17))))</f>
        <v/>
      </c>
      <c r="AP141" s="14">
        <f>IF(AO141="","",1)</f>
        <v/>
      </c>
      <c r="AQ141" s="11">
        <f>IF(OR(City_Inputs!$AC141="",Norm_Stats!$F$18="",Norm_Stats!$G$18="",Norm_Stats!$G$18=Norm_Stats!$F$18),"",MAX(0,MIN(100,100*(MIN(MAX(City_Inputs!$AC141,Norm_Stats!$F$18),Norm_Stats!$G$18)-Norm_Stats!$F$18)/(Norm_Stats!$G$18-Norm_Stats!$F$18))))</f>
        <v/>
      </c>
      <c r="AR141" s="14">
        <f>IF(AQ141="","",1)</f>
        <v/>
      </c>
      <c r="AS141" s="11">
        <f>IF(OR(City_Inputs!$AD141="",Norm_Stats!$F$19="",Norm_Stats!$G$19="",Norm_Stats!$G$19=Norm_Stats!$F$19),"",MAX(0,MIN(100,100*(MIN(MAX(City_Inputs!$AD141,Norm_Stats!$F$19),Norm_Stats!$G$19)-Norm_Stats!$F$19)/(Norm_Stats!$G$19-Norm_Stats!$F$19))))</f>
        <v/>
      </c>
      <c r="AT141" s="14">
        <f>IF(AS141="","",1)</f>
        <v/>
      </c>
      <c r="AU141" s="11">
        <f>IF(OR(City_Inputs!$BJ141="",Norm_Stats!$F$26="",Norm_Stats!$G$26="",Norm_Stats!$G$26=Norm_Stats!$F$26),"",MAX(0,MIN(100,100*(MIN(MAX(City_Inputs!$BJ141,Norm_Stats!$F$26),Norm_Stats!$G$26)-Norm_Stats!$F$26)/(Norm_Stats!$G$26-Norm_Stats!$F$26))))</f>
        <v/>
      </c>
      <c r="AV141" s="11">
        <f>IF(AU141="","",1)</f>
        <v/>
      </c>
      <c r="AW141" s="15">
        <f>IF((IF(AO141="",0,5)+IF(AQ141="",0,5)+IF(AS141="",0,5)+IF(AU141="",0,4))=0,"",(IF(AO141="",0,AO141*5)+IF(AQ141="",0,AQ141*5)+IF(AS141="",0,AS141*5)+IF(AU141="",0,AU141*4))/(IF(AO141="",0,5)+IF(AQ141="",0,5)+IF(AS141="",0,5)+IF(AU141="",0,4)))</f>
        <v/>
      </c>
      <c r="AX141" s="14">
        <f>IF((IF(AP141="",0,5)+IF(AR141="",0,5)+IF(AT141="",0,5)+IF(AV141="",0,4))=0,"",(IF(AP141="",0,AP141*5)+IF(AR141="",0,AR141*5)+IF(AT141="",0,AT141*5)+IF(AV141="",0,AV141*4))/19)</f>
        <v/>
      </c>
      <c r="AY141" s="11">
        <f>IF(OR(City_Inputs!$AE141="",Norm_Stats!$F$20="",Norm_Stats!$G$20="",Norm_Stats!$G$20=Norm_Stats!$F$20),"",MAX(0,MIN(100,100*(MIN(MAX(City_Inputs!$AE141,Norm_Stats!$F$20),Norm_Stats!$G$20)-Norm_Stats!$F$20)/(Norm_Stats!$G$20-Norm_Stats!$F$20))))</f>
        <v/>
      </c>
      <c r="AZ141" s="14">
        <f>IF(AY141="","",1)</f>
        <v/>
      </c>
      <c r="BA141" s="11">
        <f>IF(OR(City_Inputs!$AF141="",Norm_Stats!$F$21="",Norm_Stats!$G$21="",Norm_Stats!$G$21=Norm_Stats!$F$21),"",MAX(0,MIN(100,100*(MIN(MAX(City_Inputs!$AF141,Norm_Stats!$F$21),Norm_Stats!$G$21)-Norm_Stats!$F$21)/(Norm_Stats!$G$21-Norm_Stats!$F$21))))</f>
        <v/>
      </c>
      <c r="BB141" s="14">
        <f>IF(BA141="","",1)</f>
        <v/>
      </c>
      <c r="BC141" s="11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(IF(OR(City_Inputs!$AG141="",Norm_Stats!$F$22="",Norm_Stats!$G$22="",Norm_Stats!$G$22=Norm_Stats!$F$22),"",MAX(0,MIN(100,100*(MIN(MAX(City_Inputs!$AG141,Norm_Stats!$F$22),Norm_Stats!$G$22)-Norm_Stats!$F$22)/(Norm_Stats!$G$22-Norm_Stats!$F$22)))))*0.5)+IF((IF(OR(City_Inputs!$AJ141="",Norm_Stats!$F$23="",Norm_Stats!$G$23="",Norm_Stats!$G$23=Norm_Stats!$F$23),"",MAX(0,MIN(100,100*(MIN(MAX(City_Inputs!$AJ141,Norm_Stats!$F$23),Norm_Stats!$G$23)-Norm_Stats!$F$23)/(Norm_Stats!$G$23-Norm_Stats!$F$23)))))="",0,(IF(OR(City_Inputs!$AJ141="",Norm_Stats!$F$23="",Norm_Stats!$G$23="",Norm_Stats!$G$23=Norm_Stats!$F$23),"",MAX(0,MIN(100,100*(MIN(MAX(City_Inputs!$AJ141,Norm_Stats!$F$23),Norm_Stats!$G$23)-Norm_Stats!$F$23)/(Norm_Stats!$G$23-Norm_Stats!$F$23)))))*0.3)+IF((IF(OR(City_Inputs!$AK141="",Norm_Stats!$F$24="",Norm_Stats!$G$24="",Norm_Stats!$G$24=Norm_Stats!$F$24),"",MAX(0,MIN(100,100*(MIN(MAX(City_Inputs!$AK141,Norm_Stats!$F$24),Norm_Stats!$G$24)-Norm_Stats!$F$24)/(Norm_Stats!$G$24-Norm_Stats!$F$24)))))="",0,(IF(OR(City_Inputs!$AK141="",Norm_Stats!$F$24="",Norm_Stats!$G$24="",Norm_Stats!$G$24=Norm_Stats!$F$24),"",MAX(0,MIN(100,100*(MIN(MAX(City_Inputs!$AK141,Norm_Stats!$F$24),Norm_Stats!$G$24)-Norm_Stats!$F$24)/(Norm_Stats!$G$24-Norm_Stats!$F$24)))))*0.2))/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D141" s="14">
        <f>IF(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=0,"",(IF((IF(OR(City_Inputs!$AG141="",Norm_Stats!$F$22="",Norm_Stats!$G$22="",Norm_Stats!$G$22=Norm_Stats!$F$22),"",MAX(0,MIN(100,100*(MIN(MAX(City_Inputs!$AG141,Norm_Stats!$F$22),Norm_Stats!$G$22)-Norm_Stats!$F$22)/(Norm_Stats!$G$22-Norm_Stats!$F$22)))))="",0,0.5)+IF((IF(OR(City_Inputs!$AJ141="",Norm_Stats!$F$23="",Norm_Stats!$G$23="",Norm_Stats!$G$23=Norm_Stats!$F$23),"",MAX(0,MIN(100,100*(MIN(MAX(City_Inputs!$AJ141,Norm_Stats!$F$23),Norm_Stats!$G$23)-Norm_Stats!$F$23)/(Norm_Stats!$G$23-Norm_Stats!$F$23)))))="",0,0.3)+IF((IF(OR(City_Inputs!$AK141="",Norm_Stats!$F$24="",Norm_Stats!$G$24="",Norm_Stats!$G$24=Norm_Stats!$F$24),"",MAX(0,MIN(100,100*(MIN(MAX(City_Inputs!$AK141,Norm_Stats!$F$24),Norm_Stats!$G$24)-Norm_Stats!$F$24)/(Norm_Stats!$G$24-Norm_Stats!$F$24)))))="",0,0.2)))</f>
        <v/>
      </c>
      <c r="BE141" s="11">
        <f>IF(OR(City_Inputs!$AH141="",Norm_Stats!$F$25="",Norm_Stats!$G$25="",Norm_Stats!$G$25=Norm_Stats!$F$25),"",MAX(0,MIN(100,100*(Norm_Stats!$G$25-MIN(MAX(City_Inputs!$AH141,Norm_Stats!$F$25),Norm_Stats!$G$25))/(Norm_Stats!$G$25-Norm_Stats!$F$25))))</f>
        <v/>
      </c>
      <c r="BF141" s="14">
        <f>IF(BE141="","",1)</f>
        <v/>
      </c>
      <c r="BG141" s="15">
        <f>IF((IF(AY141="",0,6)+IF(BA141="",0,5)+IF(BC141="",0,5)+IF(BE141="",0,4))=0,"",(IF(AY141="",0,AY141*6)+IF(BA141="",0,BA141*5)+IF(BC141="",0,BC141*5)+IF(BE141="",0,BE141*4))/(IF(AY141="",0,6)+IF(BA141="",0,5)+IF(BC141="",0,5)+IF(BE141="",0,4)))</f>
        <v/>
      </c>
      <c r="BH141" s="14">
        <f>IF((IF(AZ141="",0,6)+IF(BB141="",0,5)+IF(BD141="",0,5)+IF(BF141="",0,4))=0,"",(IF(AZ141="",0,AZ141*6)+IF(BB141="",0,BB141*5)+IF(BD141="",0,BD141*5)+IF(BF141="",0,BF141*4))/20)</f>
        <v/>
      </c>
      <c r="BI141" s="14">
        <f>IF(AND(R141="",AF141="",AN141="",AX141="",BH141=""),"",((R141*25)+(AF141*22)+(AN141*18)+(AX141*15)+(BH141*20))/100)</f>
        <v/>
      </c>
      <c r="BJ141" s="11">
        <f>IF(BI141="","",IF(BI141&gt;=0.75,"A",IF(BI141&gt;=0.5,"B",IF(BI141&gt;=0.35,"C","Watchlist"))))</f>
        <v/>
      </c>
      <c r="BK141" s="11">
        <f>IF(OR(BI141="",BI141&lt;0.5,R141="",R141&lt;0.35,AF141="",AF141&lt;0.35,AN141="",AN141&lt;0.35,AX141="",AX141&lt;0.35,BH141="",BH141&lt;0.35),"Watchlist","Ranked")</f>
        <v/>
      </c>
      <c r="BL141" s="15">
        <f>IF(AND(Q141="",AE141="",AM141="",AW141="",BG141=""),"",(IF(Q141="",0,Q141*25)+IF(AE141="",0,AE141*22)+IF(AM141="",0,AM141*18)+IF(AW141="",0,AW141*15)+IF(BG141="",0,BG141*20))/(IF(Q141="",0,25)+IF(AE141="",0,22)+IF(AM141="",0,18)+IF(AW141="",0,15)+IF(BG141="",0,20)))</f>
        <v/>
      </c>
      <c r="BM141" s="11">
        <f>IF(BK141="Ranked",1+COUNTIFS($BK$2:$BK$158,"Ranked",$BL$2:$BL$158,"&gt;"&amp;BL141),"")</f>
        <v/>
      </c>
      <c r="BN141" s="11">
        <f>City_Inputs!$AI141</f>
        <v/>
      </c>
    </row>
    <row r="142">
      <c r="A142" t="inlineStr">
        <is>
          <t>br-florianopolis</t>
        </is>
      </c>
      <c r="B142" t="inlineStr">
        <is>
          <t>Florianopolis</t>
        </is>
      </c>
      <c r="C142" t="inlineStr">
        <is>
          <t>Brazil</t>
        </is>
      </c>
      <c r="D142" t="inlineStr">
        <is>
          <t>Latin America</t>
        </is>
      </c>
      <c r="E142" t="inlineStr">
        <is>
          <t>provisional</t>
        </is>
      </c>
      <c r="F142" t="inlineStr">
        <is>
          <t>secondary</t>
        </is>
      </c>
      <c r="G142" s="11">
        <f>IF(OR(City_Inputs!$M142="",Norm_Stats!$F$2="",Norm_Stats!$G$2="",Norm_Stats!$G$2=Norm_Stats!$F$2),"",MAX(0,MIN(100,100*(MIN(MAX(City_Inputs!$M142,Norm_Stats!$F$2),Norm_Stats!$G$2)-Norm_Stats!$F$2)/(Norm_Stats!$G$2-Norm_Stats!$F$2))))</f>
        <v/>
      </c>
      <c r="H142" s="14">
        <f>IF(G142="","",1)</f>
        <v/>
      </c>
      <c r="I142" s="11">
        <f>IF(OR(City_Inputs!$N142="",Norm_Stats!$F$3="",Norm_Stats!$G$3="",Norm_Stats!$G$3=Norm_Stats!$F$3),"",MAX(0,MIN(100,100*(Norm_Stats!$G$3-MIN(MAX(City_Inputs!$N142,Norm_Stats!$F$3),Norm_Stats!$G$3))/(Norm_Stats!$G$3-Norm_Stats!$F$3))))</f>
        <v/>
      </c>
      <c r="J142" s="14">
        <f>IF(I142="","",1)</f>
        <v/>
      </c>
      <c r="K142" s="11">
        <f>IF(OR(City_Inputs!$P142="",Norm_Stats!$F$4="",Norm_Stats!$G$4="",Norm_Stats!$G$4=Norm_Stats!$F$4),"",MAX(0,MIN(100,100*(Norm_Stats!$G$4-MIN(MAX(City_Inputs!$P142,Norm_Stats!$F$4),Norm_Stats!$G$4))/(Norm_Stats!$G$4-Norm_Stats!$F$4))))</f>
        <v/>
      </c>
      <c r="L142" s="14">
        <f>IF(K142="","",1)</f>
        <v/>
      </c>
      <c r="M142" s="11">
        <f>IF(OR(City_Inputs!$Q142="",Norm_Stats!$F$5="",Norm_Stats!$G$5="",Norm_Stats!$G$5=Norm_Stats!$F$5),"",MAX(0,MIN(100,100*(Norm_Stats!$G$5-MIN(MAX(City_Inputs!$Q142,Norm_Stats!$F$5),Norm_Stats!$G$5))/(Norm_Stats!$G$5-Norm_Stats!$F$5))))</f>
        <v/>
      </c>
      <c r="N142" s="14">
        <f>IF(M142="","",1)</f>
        <v/>
      </c>
      <c r="O142" s="11">
        <f>IF(OR(City_Inputs!$R142="",Norm_Stats!$F$6="",Norm_Stats!$G$6="",Norm_Stats!$G$6=Norm_Stats!$F$6),"",MAX(0,MIN(100,100*(Norm_Stats!$G$6-MIN(MAX(City_Inputs!$R142,Norm_Stats!$F$6),Norm_Stats!$G$6))/(Norm_Stats!$G$6-Norm_Stats!$F$6))))</f>
        <v/>
      </c>
      <c r="P142" s="14">
        <f>IF(O142="","",1)</f>
        <v/>
      </c>
      <c r="Q142" s="15">
        <f>IF((IF(G142="",0,9)+IF(I142="",0,5)+IF(K142="",0,4)+IF(M142="",0,4)+IF(O142="",0,5))=0,"",(IF(G142="",0,G142*9)+IF(I142="",0,I142*5)+IF(K142="",0,K142*4)+IF(M142="",0,M142*4)+IF(O142="",0,O142*5))/(IF(G142="",0,9)+IF(I142="",0,5)+IF(K142="",0,4)+IF(M142="",0,4)+IF(O142="",0,5)))</f>
        <v/>
      </c>
      <c r="R142" s="14">
        <f>IF((IF(H142="",0,9)+IF(J142="",0,5)+IF(L142="",0,4)+IF(N142="",0,4)+IF(P142="",0,5))=0,"",(IF(H142="",0,H142*9)+IF(J142="",0,J142*5)+IF(L142="",0,L142*4)+IF(N142="",0,N142*4)+IF(P142="",0,P142*5))/27)</f>
        <v/>
      </c>
      <c r="S142" s="11">
        <f>IF(OR(City_Inputs!$S142="",Norm_Stats!$F$7="",Norm_Stats!$G$7="",Norm_Stats!$G$7=Norm_Stats!$F$7),"",MAX(0,MIN(100,100*(Norm_Stats!$G$7-MIN(MAX(City_Inputs!$S142,Norm_Stats!$F$7),Norm_Stats!$G$7))/(Norm_Stats!$G$7-Norm_Stats!$F$7))))</f>
        <v/>
      </c>
      <c r="T142" s="14">
        <f>IF(S142="","",1)</f>
        <v/>
      </c>
      <c r="U142" s="11">
        <f>IF(OR(City_Inputs!$T142="",Norm_Stats!$F$8="",Norm_Stats!$G$8="",Norm_Stats!$G$8=Norm_Stats!$F$8),"",MAX(0,MIN(100,100*(MIN(MAX(City_Inputs!$T142,Norm_Stats!$F$8),Norm_Stats!$G$8)-Norm_Stats!$F$8)/(Norm_Stats!$G$8-Norm_Stats!$F$8))))</f>
        <v/>
      </c>
      <c r="V142" s="14">
        <f>IF(U142="","",1)</f>
        <v/>
      </c>
      <c r="W142" s="11">
        <f>IF(OR(City_Inputs!$U142="",Norm_Stats!$F$9="",Norm_Stats!$G$9="",Norm_Stats!$G$9=Norm_Stats!$F$9),"",MAX(0,MIN(100,100*(Norm_Stats!$G$9-MIN(MAX(City_Inputs!$U142,Norm_Stats!$F$9),Norm_Stats!$G$9))/(Norm_Stats!$G$9-Norm_Stats!$F$9))))</f>
        <v/>
      </c>
      <c r="X142" s="14">
        <f>IF(W142="","",1)</f>
        <v/>
      </c>
      <c r="Y142" s="11">
        <f>IF(OR(City_Inputs!$V142="",Norm_Stats!$F$10="",Norm_Stats!$G$10="",Norm_Stats!$G$10=Norm_Stats!$F$10),"",MAX(0,MIN(100,100*(MIN(MAX(City_Inputs!$V142,Norm_Stats!$F$10),Norm_Stats!$G$10)-Norm_Stats!$F$10)/(Norm_Stats!$G$10-Norm_Stats!$F$10))))</f>
        <v/>
      </c>
      <c r="Z142" s="14">
        <f>IF(Y142="","",1)</f>
        <v/>
      </c>
      <c r="AA142" s="11">
        <f>IF(OR(City_Inputs!$W142="",Norm_Stats!$F$11="",Norm_Stats!$G$11="",Norm_Stats!$G$11=Norm_Stats!$F$11),"",MAX(0,MIN(100,100*(MIN(MAX(City_Inputs!$W142,Norm_Stats!$F$11),Norm_Stats!$G$11)-Norm_Stats!$F$11)/(Norm_Stats!$G$11-Norm_Stats!$F$11))))</f>
        <v/>
      </c>
      <c r="AB142" s="14">
        <f>IF(AA142="","",1)</f>
        <v/>
      </c>
      <c r="AC142" s="11">
        <f>IF(OR(City_Inputs!$X142="",Norm_Stats!$F$12="",Norm_Stats!$G$12="",Norm_Stats!$G$12=Norm_Stats!$F$12),"",MAX(0,MIN(100,100*(MIN(MAX(City_Inputs!$X142,Norm_Stats!$F$12),Norm_Stats!$G$12)-Norm_Stats!$F$12)/(Norm_Stats!$G$12-Norm_Stats!$F$12))))</f>
        <v/>
      </c>
      <c r="AD142" s="11">
        <f>IF(AC142="","",1)</f>
        <v/>
      </c>
      <c r="AE142" s="15">
        <f>IF((IF(S142="",0,5)+IF(U142="",0,5)+IF(W142="",0,4)+IF(Y142="",0,4)+IF(AA142="",0,4)+IF(AC142="",0,5))=0,"",(IF(S142="",0,S142*5)+IF(U142="",0,U142*5)+IF(W142="",0,W142*4)+IF(Y142="",0,Y142*4)+IF(AA142="",0,AA142*4)+IF(AC142="",0,AC142*5))/(IF(S142="",0,5)+IF(U142="",0,5)+IF(W142="",0,4)+IF(Y142="",0,4)+IF(AA142="",0,4)+IF(AC142="",0,5)))</f>
        <v/>
      </c>
      <c r="AF142" s="14">
        <f>IF((IF(T142="",0,5)+IF(V142="",0,5)+IF(X142="",0,4)+IF(Z142="",0,4)+IF(AB142="",0,4)+IF(AD142="",0,5))=0,"",(IF(T142="",0,T142*5)+IF(V142="",0,V142*5)+IF(X142="",0,X142*4)+IF(Z142="",0,Z142*4)+IF(AB142="",0,AB142*4)+IF(AD142="",0,AD142*5))/27)</f>
        <v/>
      </c>
      <c r="AG142" s="11">
        <f>IF(OR(City_Inputs!$Y142="",Norm_Stats!$F$13="",Norm_Stats!$G$13="",Norm_Stats!$G$13=Norm_Stats!$F$13),"",MAX(0,MIN(100,100*(MIN(MAX(City_Inputs!$Y142,Norm_Stats!$F$13),Norm_Stats!$G$13)-Norm_Stats!$F$13)/(Norm_Stats!$G$13-Norm_Stats!$F$13))))</f>
        <v/>
      </c>
      <c r="AH142" s="14">
        <f>IF(AG142="","",1)</f>
        <v/>
      </c>
      <c r="AI142" s="11">
        <f>IF(OR(City_Inputs!$Z142="",Norm_Stats!$F$14="",Norm_Stats!$G$14="",Norm_Stats!$G$14=Norm_Stats!$F$14),"",MAX(0,MIN(100,100*(MIN(MAX(City_Inputs!$Z142,Norm_Stats!$F$14),Norm_Stats!$G$14)-Norm_Stats!$F$14)/(Norm_Stats!$G$14-Norm_Stats!$F$14))))</f>
        <v/>
      </c>
      <c r="AJ142" s="14">
        <f>IF(AI142="","",1)</f>
        <v/>
      </c>
      <c r="AK142" s="11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(IF(OR(City_Inputs!$AA142="",Norm_Stats!$F$15="",Norm_Stats!$G$15="",Norm_Stats!$G$15=Norm_Stats!$F$15),"",MAX(0,MIN(100,100*(MIN(MAX(City_Inputs!$AA142,Norm_Stats!$F$15),Norm_Stats!$G$15)-Norm_Stats!$F$15)/(Norm_Stats!$G$15-Norm_Stats!$F$15)))))*0.7)+IF((IF(OR(City_Inputs!$AL142="",Norm_Stats!$F$16="",Norm_Stats!$G$16="",Norm_Stats!$G$16=Norm_Stats!$F$16),"",MAX(0,MIN(100,100*(Norm_Stats!$G$16-MIN(MAX(City_Inputs!$AL142,Norm_Stats!$F$16),Norm_Stats!$G$16))/(Norm_Stats!$G$16-Norm_Stats!$F$16)))))="",0,(IF(OR(City_Inputs!$AL142="",Norm_Stats!$F$16="",Norm_Stats!$G$16="",Norm_Stats!$G$16=Norm_Stats!$F$16),"",MAX(0,MIN(100,100*(Norm_Stats!$G$16-MIN(MAX(City_Inputs!$AL142,Norm_Stats!$F$16),Norm_Stats!$G$16))/(Norm_Stats!$G$16-Norm_Stats!$F$16)))))*0.3))/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L142" s="14">
        <f>IF(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=0,"",(IF((IF(OR(City_Inputs!$AA142="",Norm_Stats!$F$15="",Norm_Stats!$G$15="",Norm_Stats!$G$15=Norm_Stats!$F$15),"",MAX(0,MIN(100,100*(MIN(MAX(City_Inputs!$AA142,Norm_Stats!$F$15),Norm_Stats!$G$15)-Norm_Stats!$F$15)/(Norm_Stats!$G$15-Norm_Stats!$F$15)))))="",0,0.7)+IF((IF(OR(City_Inputs!$AL142="",Norm_Stats!$F$16="",Norm_Stats!$G$16="",Norm_Stats!$G$16=Norm_Stats!$F$16),"",MAX(0,MIN(100,100*(Norm_Stats!$G$16-MIN(MAX(City_Inputs!$AL142,Norm_Stats!$F$16),Norm_Stats!$G$16))/(Norm_Stats!$G$16-Norm_Stats!$F$16)))))="",0,0.3)))</f>
        <v/>
      </c>
      <c r="AM142" s="15">
        <f>IF((IF(AG142="",0,8)+IF(AI142="",0,6)+IF(AK142="",0,4))=0,"",(IF(AG142="",0,AG142*8)+IF(AI142="",0,AI142*6)+IF(AK142="",0,AK142*4))/(IF(AG142="",0,8)+IF(AI142="",0,6)+IF(AK142="",0,4)))</f>
        <v/>
      </c>
      <c r="AN142" s="14">
        <f>IF((IF(AH142="",0,8)+IF(AJ142="",0,6)+IF(AL142="",0,4))=0,"",(IF(AH142="",0,AH142*8)+IF(AJ142="",0,AJ142*6)+IF(AL142="",0,AL142*4))/18)</f>
        <v/>
      </c>
      <c r="AO142" s="11">
        <f>IF(OR(City_Inputs!$AB142="",Norm_Stats!$F$17="",Norm_Stats!$G$17="",Norm_Stats!$G$17=Norm_Stats!$F$17),"",MAX(0,MIN(100,100*(MIN(MAX(City_Inputs!$AB142,Norm_Stats!$F$17),Norm_Stats!$G$17)-Norm_Stats!$F$17)/(Norm_Stats!$G$17-Norm_Stats!$F$17))))</f>
        <v/>
      </c>
      <c r="AP142" s="14">
        <f>IF(AO142="","",1)</f>
        <v/>
      </c>
      <c r="AQ142" s="11">
        <f>IF(OR(City_Inputs!$AC142="",Norm_Stats!$F$18="",Norm_Stats!$G$18="",Norm_Stats!$G$18=Norm_Stats!$F$18),"",MAX(0,MIN(100,100*(MIN(MAX(City_Inputs!$AC142,Norm_Stats!$F$18),Norm_Stats!$G$18)-Norm_Stats!$F$18)/(Norm_Stats!$G$18-Norm_Stats!$F$18))))</f>
        <v/>
      </c>
      <c r="AR142" s="14">
        <f>IF(AQ142="","",1)</f>
        <v/>
      </c>
      <c r="AS142" s="11">
        <f>IF(OR(City_Inputs!$AD142="",Norm_Stats!$F$19="",Norm_Stats!$G$19="",Norm_Stats!$G$19=Norm_Stats!$F$19),"",MAX(0,MIN(100,100*(MIN(MAX(City_Inputs!$AD142,Norm_Stats!$F$19),Norm_Stats!$G$19)-Norm_Stats!$F$19)/(Norm_Stats!$G$19-Norm_Stats!$F$19))))</f>
        <v/>
      </c>
      <c r="AT142" s="14">
        <f>IF(AS142="","",1)</f>
        <v/>
      </c>
      <c r="AU142" s="11">
        <f>IF(OR(City_Inputs!$BJ142="",Norm_Stats!$F$26="",Norm_Stats!$G$26="",Norm_Stats!$G$26=Norm_Stats!$F$26),"",MAX(0,MIN(100,100*(MIN(MAX(City_Inputs!$BJ142,Norm_Stats!$F$26),Norm_Stats!$G$26)-Norm_Stats!$F$26)/(Norm_Stats!$G$26-Norm_Stats!$F$26))))</f>
        <v/>
      </c>
      <c r="AV142" s="11">
        <f>IF(AU142="","",1)</f>
        <v/>
      </c>
      <c r="AW142" s="15">
        <f>IF((IF(AO142="",0,5)+IF(AQ142="",0,5)+IF(AS142="",0,5)+IF(AU142="",0,4))=0,"",(IF(AO142="",0,AO142*5)+IF(AQ142="",0,AQ142*5)+IF(AS142="",0,AS142*5)+IF(AU142="",0,AU142*4))/(IF(AO142="",0,5)+IF(AQ142="",0,5)+IF(AS142="",0,5)+IF(AU142="",0,4)))</f>
        <v/>
      </c>
      <c r="AX142" s="14">
        <f>IF((IF(AP142="",0,5)+IF(AR142="",0,5)+IF(AT142="",0,5)+IF(AV142="",0,4))=0,"",(IF(AP142="",0,AP142*5)+IF(AR142="",0,AR142*5)+IF(AT142="",0,AT142*5)+IF(AV142="",0,AV142*4))/19)</f>
        <v/>
      </c>
      <c r="AY142" s="11">
        <f>IF(OR(City_Inputs!$AE142="",Norm_Stats!$F$20="",Norm_Stats!$G$20="",Norm_Stats!$G$20=Norm_Stats!$F$20),"",MAX(0,MIN(100,100*(MIN(MAX(City_Inputs!$AE142,Norm_Stats!$F$20),Norm_Stats!$G$20)-Norm_Stats!$F$20)/(Norm_Stats!$G$20-Norm_Stats!$F$20))))</f>
        <v/>
      </c>
      <c r="AZ142" s="14">
        <f>IF(AY142="","",1)</f>
        <v/>
      </c>
      <c r="BA142" s="11">
        <f>IF(OR(City_Inputs!$AF142="",Norm_Stats!$F$21="",Norm_Stats!$G$21="",Norm_Stats!$G$21=Norm_Stats!$F$21),"",MAX(0,MIN(100,100*(MIN(MAX(City_Inputs!$AF142,Norm_Stats!$F$21),Norm_Stats!$G$21)-Norm_Stats!$F$21)/(Norm_Stats!$G$21-Norm_Stats!$F$21))))</f>
        <v/>
      </c>
      <c r="BB142" s="14">
        <f>IF(BA142="","",1)</f>
        <v/>
      </c>
      <c r="BC142" s="11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(IF(OR(City_Inputs!$AG142="",Norm_Stats!$F$22="",Norm_Stats!$G$22="",Norm_Stats!$G$22=Norm_Stats!$F$22),"",MAX(0,MIN(100,100*(MIN(MAX(City_Inputs!$AG142,Norm_Stats!$F$22),Norm_Stats!$G$22)-Norm_Stats!$F$22)/(Norm_Stats!$G$22-Norm_Stats!$F$22)))))*0.5)+IF((IF(OR(City_Inputs!$AJ142="",Norm_Stats!$F$23="",Norm_Stats!$G$23="",Norm_Stats!$G$23=Norm_Stats!$F$23),"",MAX(0,MIN(100,100*(MIN(MAX(City_Inputs!$AJ142,Norm_Stats!$F$23),Norm_Stats!$G$23)-Norm_Stats!$F$23)/(Norm_Stats!$G$23-Norm_Stats!$F$23)))))="",0,(IF(OR(City_Inputs!$AJ142="",Norm_Stats!$F$23="",Norm_Stats!$G$23="",Norm_Stats!$G$23=Norm_Stats!$F$23),"",MAX(0,MIN(100,100*(MIN(MAX(City_Inputs!$AJ142,Norm_Stats!$F$23),Norm_Stats!$G$23)-Norm_Stats!$F$23)/(Norm_Stats!$G$23-Norm_Stats!$F$23)))))*0.3)+IF((IF(OR(City_Inputs!$AK142="",Norm_Stats!$F$24="",Norm_Stats!$G$24="",Norm_Stats!$G$24=Norm_Stats!$F$24),"",MAX(0,MIN(100,100*(MIN(MAX(City_Inputs!$AK142,Norm_Stats!$F$24),Norm_Stats!$G$24)-Norm_Stats!$F$24)/(Norm_Stats!$G$24-Norm_Stats!$F$24)))))="",0,(IF(OR(City_Inputs!$AK142="",Norm_Stats!$F$24="",Norm_Stats!$G$24="",Norm_Stats!$G$24=Norm_Stats!$F$24),"",MAX(0,MIN(100,100*(MIN(MAX(City_Inputs!$AK142,Norm_Stats!$F$24),Norm_Stats!$G$24)-Norm_Stats!$F$24)/(Norm_Stats!$G$24-Norm_Stats!$F$24)))))*0.2))/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D142" s="14">
        <f>IF(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=0,"",(IF((IF(OR(City_Inputs!$AG142="",Norm_Stats!$F$22="",Norm_Stats!$G$22="",Norm_Stats!$G$22=Norm_Stats!$F$22),"",MAX(0,MIN(100,100*(MIN(MAX(City_Inputs!$AG142,Norm_Stats!$F$22),Norm_Stats!$G$22)-Norm_Stats!$F$22)/(Norm_Stats!$G$22-Norm_Stats!$F$22)))))="",0,0.5)+IF((IF(OR(City_Inputs!$AJ142="",Norm_Stats!$F$23="",Norm_Stats!$G$23="",Norm_Stats!$G$23=Norm_Stats!$F$23),"",MAX(0,MIN(100,100*(MIN(MAX(City_Inputs!$AJ142,Norm_Stats!$F$23),Norm_Stats!$G$23)-Norm_Stats!$F$23)/(Norm_Stats!$G$23-Norm_Stats!$F$23)))))="",0,0.3)+IF((IF(OR(City_Inputs!$AK142="",Norm_Stats!$F$24="",Norm_Stats!$G$24="",Norm_Stats!$G$24=Norm_Stats!$F$24),"",MAX(0,MIN(100,100*(MIN(MAX(City_Inputs!$AK142,Norm_Stats!$F$24),Norm_Stats!$G$24)-Norm_Stats!$F$24)/(Norm_Stats!$G$24-Norm_Stats!$F$24)))))="",0,0.2)))</f>
        <v/>
      </c>
      <c r="BE142" s="11">
        <f>IF(OR(City_Inputs!$AH142="",Norm_Stats!$F$25="",Norm_Stats!$G$25="",Norm_Stats!$G$25=Norm_Stats!$F$25),"",MAX(0,MIN(100,100*(Norm_Stats!$G$25-MIN(MAX(City_Inputs!$AH142,Norm_Stats!$F$25),Norm_Stats!$G$25))/(Norm_Stats!$G$25-Norm_Stats!$F$25))))</f>
        <v/>
      </c>
      <c r="BF142" s="14">
        <f>IF(BE142="","",1)</f>
        <v/>
      </c>
      <c r="BG142" s="15">
        <f>IF((IF(AY142="",0,6)+IF(BA142="",0,5)+IF(BC142="",0,5)+IF(BE142="",0,4))=0,"",(IF(AY142="",0,AY142*6)+IF(BA142="",0,BA142*5)+IF(BC142="",0,BC142*5)+IF(BE142="",0,BE142*4))/(IF(AY142="",0,6)+IF(BA142="",0,5)+IF(BC142="",0,5)+IF(BE142="",0,4)))</f>
        <v/>
      </c>
      <c r="BH142" s="14">
        <f>IF((IF(AZ142="",0,6)+IF(BB142="",0,5)+IF(BD142="",0,5)+IF(BF142="",0,4))=0,"",(IF(AZ142="",0,AZ142*6)+IF(BB142="",0,BB142*5)+IF(BD142="",0,BD142*5)+IF(BF142="",0,BF142*4))/20)</f>
        <v/>
      </c>
      <c r="BI142" s="14">
        <f>IF(AND(R142="",AF142="",AN142="",AX142="",BH142=""),"",((R142*25)+(AF142*22)+(AN142*18)+(AX142*15)+(BH142*20))/100)</f>
        <v/>
      </c>
      <c r="BJ142" s="11">
        <f>IF(BI142="","",IF(BI142&gt;=0.75,"A",IF(BI142&gt;=0.5,"B",IF(BI142&gt;=0.35,"C","Watchlist"))))</f>
        <v/>
      </c>
      <c r="BK142" s="11">
        <f>IF(OR(BI142="",BI142&lt;0.5,R142="",R142&lt;0.35,AF142="",AF142&lt;0.35,AN142="",AN142&lt;0.35,AX142="",AX142&lt;0.35,BH142="",BH142&lt;0.35),"Watchlist","Ranked")</f>
        <v/>
      </c>
      <c r="BL142" s="15">
        <f>IF(AND(Q142="",AE142="",AM142="",AW142="",BG142=""),"",(IF(Q142="",0,Q142*25)+IF(AE142="",0,AE142*22)+IF(AM142="",0,AM142*18)+IF(AW142="",0,AW142*15)+IF(BG142="",0,BG142*20))/(IF(Q142="",0,25)+IF(AE142="",0,22)+IF(AM142="",0,18)+IF(AW142="",0,15)+IF(BG142="",0,20)))</f>
        <v/>
      </c>
      <c r="BM142" s="11">
        <f>IF(BK142="Ranked",1+COUNTIFS($BK$2:$BK$158,"Ranked",$BL$2:$BL$158,"&gt;"&amp;BL142),"")</f>
        <v/>
      </c>
      <c r="BN142" s="11">
        <f>City_Inputs!$AI142</f>
        <v/>
      </c>
    </row>
    <row r="143">
      <c r="A143" t="inlineStr">
        <is>
          <t>pe-arequipa</t>
        </is>
      </c>
      <c r="B143" t="inlineStr">
        <is>
          <t>Arequipa</t>
        </is>
      </c>
      <c r="C143" t="inlineStr">
        <is>
          <t>Peru</t>
        </is>
      </c>
      <c r="D143" t="inlineStr">
        <is>
          <t>Latin America</t>
        </is>
      </c>
      <c r="E143" t="inlineStr">
        <is>
          <t>provisional</t>
        </is>
      </c>
      <c r="F143" t="inlineStr">
        <is>
          <t>secondary</t>
        </is>
      </c>
      <c r="G143" s="11">
        <f>IF(OR(City_Inputs!$M143="",Norm_Stats!$F$2="",Norm_Stats!$G$2="",Norm_Stats!$G$2=Norm_Stats!$F$2),"",MAX(0,MIN(100,100*(MIN(MAX(City_Inputs!$M143,Norm_Stats!$F$2),Norm_Stats!$G$2)-Norm_Stats!$F$2)/(Norm_Stats!$G$2-Norm_Stats!$F$2))))</f>
        <v/>
      </c>
      <c r="H143" s="14">
        <f>IF(G143="","",1)</f>
        <v/>
      </c>
      <c r="I143" s="11">
        <f>IF(OR(City_Inputs!$N143="",Norm_Stats!$F$3="",Norm_Stats!$G$3="",Norm_Stats!$G$3=Norm_Stats!$F$3),"",MAX(0,MIN(100,100*(Norm_Stats!$G$3-MIN(MAX(City_Inputs!$N143,Norm_Stats!$F$3),Norm_Stats!$G$3))/(Norm_Stats!$G$3-Norm_Stats!$F$3))))</f>
        <v/>
      </c>
      <c r="J143" s="14">
        <f>IF(I143="","",1)</f>
        <v/>
      </c>
      <c r="K143" s="11">
        <f>IF(OR(City_Inputs!$P143="",Norm_Stats!$F$4="",Norm_Stats!$G$4="",Norm_Stats!$G$4=Norm_Stats!$F$4),"",MAX(0,MIN(100,100*(Norm_Stats!$G$4-MIN(MAX(City_Inputs!$P143,Norm_Stats!$F$4),Norm_Stats!$G$4))/(Norm_Stats!$G$4-Norm_Stats!$F$4))))</f>
        <v/>
      </c>
      <c r="L143" s="14">
        <f>IF(K143="","",1)</f>
        <v/>
      </c>
      <c r="M143" s="11">
        <f>IF(OR(City_Inputs!$Q143="",Norm_Stats!$F$5="",Norm_Stats!$G$5="",Norm_Stats!$G$5=Norm_Stats!$F$5),"",MAX(0,MIN(100,100*(Norm_Stats!$G$5-MIN(MAX(City_Inputs!$Q143,Norm_Stats!$F$5),Norm_Stats!$G$5))/(Norm_Stats!$G$5-Norm_Stats!$F$5))))</f>
        <v/>
      </c>
      <c r="N143" s="14">
        <f>IF(M143="","",1)</f>
        <v/>
      </c>
      <c r="O143" s="11">
        <f>IF(OR(City_Inputs!$R143="",Norm_Stats!$F$6="",Norm_Stats!$G$6="",Norm_Stats!$G$6=Norm_Stats!$F$6),"",MAX(0,MIN(100,100*(Norm_Stats!$G$6-MIN(MAX(City_Inputs!$R143,Norm_Stats!$F$6),Norm_Stats!$G$6))/(Norm_Stats!$G$6-Norm_Stats!$F$6))))</f>
        <v/>
      </c>
      <c r="P143" s="14">
        <f>IF(O143="","",1)</f>
        <v/>
      </c>
      <c r="Q143" s="15">
        <f>IF((IF(G143="",0,9)+IF(I143="",0,5)+IF(K143="",0,4)+IF(M143="",0,4)+IF(O143="",0,5))=0,"",(IF(G143="",0,G143*9)+IF(I143="",0,I143*5)+IF(K143="",0,K143*4)+IF(M143="",0,M143*4)+IF(O143="",0,O143*5))/(IF(G143="",0,9)+IF(I143="",0,5)+IF(K143="",0,4)+IF(M143="",0,4)+IF(O143="",0,5)))</f>
        <v/>
      </c>
      <c r="R143" s="14">
        <f>IF((IF(H143="",0,9)+IF(J143="",0,5)+IF(L143="",0,4)+IF(N143="",0,4)+IF(P143="",0,5))=0,"",(IF(H143="",0,H143*9)+IF(J143="",0,J143*5)+IF(L143="",0,L143*4)+IF(N143="",0,N143*4)+IF(P143="",0,P143*5))/27)</f>
        <v/>
      </c>
      <c r="S143" s="11">
        <f>IF(OR(City_Inputs!$S143="",Norm_Stats!$F$7="",Norm_Stats!$G$7="",Norm_Stats!$G$7=Norm_Stats!$F$7),"",MAX(0,MIN(100,100*(Norm_Stats!$G$7-MIN(MAX(City_Inputs!$S143,Norm_Stats!$F$7),Norm_Stats!$G$7))/(Norm_Stats!$G$7-Norm_Stats!$F$7))))</f>
        <v/>
      </c>
      <c r="T143" s="14">
        <f>IF(S143="","",1)</f>
        <v/>
      </c>
      <c r="U143" s="11">
        <f>IF(OR(City_Inputs!$T143="",Norm_Stats!$F$8="",Norm_Stats!$G$8="",Norm_Stats!$G$8=Norm_Stats!$F$8),"",MAX(0,MIN(100,100*(MIN(MAX(City_Inputs!$T143,Norm_Stats!$F$8),Norm_Stats!$G$8)-Norm_Stats!$F$8)/(Norm_Stats!$G$8-Norm_Stats!$F$8))))</f>
        <v/>
      </c>
      <c r="V143" s="14">
        <f>IF(U143="","",1)</f>
        <v/>
      </c>
      <c r="W143" s="11">
        <f>IF(OR(City_Inputs!$U143="",Norm_Stats!$F$9="",Norm_Stats!$G$9="",Norm_Stats!$G$9=Norm_Stats!$F$9),"",MAX(0,MIN(100,100*(Norm_Stats!$G$9-MIN(MAX(City_Inputs!$U143,Norm_Stats!$F$9),Norm_Stats!$G$9))/(Norm_Stats!$G$9-Norm_Stats!$F$9))))</f>
        <v/>
      </c>
      <c r="X143" s="14">
        <f>IF(W143="","",1)</f>
        <v/>
      </c>
      <c r="Y143" s="11">
        <f>IF(OR(City_Inputs!$V143="",Norm_Stats!$F$10="",Norm_Stats!$G$10="",Norm_Stats!$G$10=Norm_Stats!$F$10),"",MAX(0,MIN(100,100*(MIN(MAX(City_Inputs!$V143,Norm_Stats!$F$10),Norm_Stats!$G$10)-Norm_Stats!$F$10)/(Norm_Stats!$G$10-Norm_Stats!$F$10))))</f>
        <v/>
      </c>
      <c r="Z143" s="14">
        <f>IF(Y143="","",1)</f>
        <v/>
      </c>
      <c r="AA143" s="11">
        <f>IF(OR(City_Inputs!$W143="",Norm_Stats!$F$11="",Norm_Stats!$G$11="",Norm_Stats!$G$11=Norm_Stats!$F$11),"",MAX(0,MIN(100,100*(MIN(MAX(City_Inputs!$W143,Norm_Stats!$F$11),Norm_Stats!$G$11)-Norm_Stats!$F$11)/(Norm_Stats!$G$11-Norm_Stats!$F$11))))</f>
        <v/>
      </c>
      <c r="AB143" s="14">
        <f>IF(AA143="","",1)</f>
        <v/>
      </c>
      <c r="AC143" s="11">
        <f>IF(OR(City_Inputs!$X143="",Norm_Stats!$F$12="",Norm_Stats!$G$12="",Norm_Stats!$G$12=Norm_Stats!$F$12),"",MAX(0,MIN(100,100*(MIN(MAX(City_Inputs!$X143,Norm_Stats!$F$12),Norm_Stats!$G$12)-Norm_Stats!$F$12)/(Norm_Stats!$G$12-Norm_Stats!$F$12))))</f>
        <v/>
      </c>
      <c r="AD143" s="11">
        <f>IF(AC143="","",1)</f>
        <v/>
      </c>
      <c r="AE143" s="15">
        <f>IF((IF(S143="",0,5)+IF(U143="",0,5)+IF(W143="",0,4)+IF(Y143="",0,4)+IF(AA143="",0,4)+IF(AC143="",0,5))=0,"",(IF(S143="",0,S143*5)+IF(U143="",0,U143*5)+IF(W143="",0,W143*4)+IF(Y143="",0,Y143*4)+IF(AA143="",0,AA143*4)+IF(AC143="",0,AC143*5))/(IF(S143="",0,5)+IF(U143="",0,5)+IF(W143="",0,4)+IF(Y143="",0,4)+IF(AA143="",0,4)+IF(AC143="",0,5)))</f>
        <v/>
      </c>
      <c r="AF143" s="14">
        <f>IF((IF(T143="",0,5)+IF(V143="",0,5)+IF(X143="",0,4)+IF(Z143="",0,4)+IF(AB143="",0,4)+IF(AD143="",0,5))=0,"",(IF(T143="",0,T143*5)+IF(V143="",0,V143*5)+IF(X143="",0,X143*4)+IF(Z143="",0,Z143*4)+IF(AB143="",0,AB143*4)+IF(AD143="",0,AD143*5))/27)</f>
        <v/>
      </c>
      <c r="AG143" s="11">
        <f>IF(OR(City_Inputs!$Y143="",Norm_Stats!$F$13="",Norm_Stats!$G$13="",Norm_Stats!$G$13=Norm_Stats!$F$13),"",MAX(0,MIN(100,100*(MIN(MAX(City_Inputs!$Y143,Norm_Stats!$F$13),Norm_Stats!$G$13)-Norm_Stats!$F$13)/(Norm_Stats!$G$13-Norm_Stats!$F$13))))</f>
        <v/>
      </c>
      <c r="AH143" s="14">
        <f>IF(AG143="","",1)</f>
        <v/>
      </c>
      <c r="AI143" s="11">
        <f>IF(OR(City_Inputs!$Z143="",Norm_Stats!$F$14="",Norm_Stats!$G$14="",Norm_Stats!$G$14=Norm_Stats!$F$14),"",MAX(0,MIN(100,100*(MIN(MAX(City_Inputs!$Z143,Norm_Stats!$F$14),Norm_Stats!$G$14)-Norm_Stats!$F$14)/(Norm_Stats!$G$14-Norm_Stats!$F$14))))</f>
        <v/>
      </c>
      <c r="AJ143" s="14">
        <f>IF(AI143="","",1)</f>
        <v/>
      </c>
      <c r="AK143" s="11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(IF(OR(City_Inputs!$AA143="",Norm_Stats!$F$15="",Norm_Stats!$G$15="",Norm_Stats!$G$15=Norm_Stats!$F$15),"",MAX(0,MIN(100,100*(MIN(MAX(City_Inputs!$AA143,Norm_Stats!$F$15),Norm_Stats!$G$15)-Norm_Stats!$F$15)/(Norm_Stats!$G$15-Norm_Stats!$F$15)))))*0.7)+IF((IF(OR(City_Inputs!$AL143="",Norm_Stats!$F$16="",Norm_Stats!$G$16="",Norm_Stats!$G$16=Norm_Stats!$F$16),"",MAX(0,MIN(100,100*(Norm_Stats!$G$16-MIN(MAX(City_Inputs!$AL143,Norm_Stats!$F$16),Norm_Stats!$G$16))/(Norm_Stats!$G$16-Norm_Stats!$F$16)))))="",0,(IF(OR(City_Inputs!$AL143="",Norm_Stats!$F$16="",Norm_Stats!$G$16="",Norm_Stats!$G$16=Norm_Stats!$F$16),"",MAX(0,MIN(100,100*(Norm_Stats!$G$16-MIN(MAX(City_Inputs!$AL143,Norm_Stats!$F$16),Norm_Stats!$G$16))/(Norm_Stats!$G$16-Norm_Stats!$F$16)))))*0.3))/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L143" s="14">
        <f>IF(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=0,"",(IF((IF(OR(City_Inputs!$AA143="",Norm_Stats!$F$15="",Norm_Stats!$G$15="",Norm_Stats!$G$15=Norm_Stats!$F$15),"",MAX(0,MIN(100,100*(MIN(MAX(City_Inputs!$AA143,Norm_Stats!$F$15),Norm_Stats!$G$15)-Norm_Stats!$F$15)/(Norm_Stats!$G$15-Norm_Stats!$F$15)))))="",0,0.7)+IF((IF(OR(City_Inputs!$AL143="",Norm_Stats!$F$16="",Norm_Stats!$G$16="",Norm_Stats!$G$16=Norm_Stats!$F$16),"",MAX(0,MIN(100,100*(Norm_Stats!$G$16-MIN(MAX(City_Inputs!$AL143,Norm_Stats!$F$16),Norm_Stats!$G$16))/(Norm_Stats!$G$16-Norm_Stats!$F$16)))))="",0,0.3)))</f>
        <v/>
      </c>
      <c r="AM143" s="15">
        <f>IF((IF(AG143="",0,8)+IF(AI143="",0,6)+IF(AK143="",0,4))=0,"",(IF(AG143="",0,AG143*8)+IF(AI143="",0,AI143*6)+IF(AK143="",0,AK143*4))/(IF(AG143="",0,8)+IF(AI143="",0,6)+IF(AK143="",0,4)))</f>
        <v/>
      </c>
      <c r="AN143" s="14">
        <f>IF((IF(AH143="",0,8)+IF(AJ143="",0,6)+IF(AL143="",0,4))=0,"",(IF(AH143="",0,AH143*8)+IF(AJ143="",0,AJ143*6)+IF(AL143="",0,AL143*4))/18)</f>
        <v/>
      </c>
      <c r="AO143" s="11">
        <f>IF(OR(City_Inputs!$AB143="",Norm_Stats!$F$17="",Norm_Stats!$G$17="",Norm_Stats!$G$17=Norm_Stats!$F$17),"",MAX(0,MIN(100,100*(MIN(MAX(City_Inputs!$AB143,Norm_Stats!$F$17),Norm_Stats!$G$17)-Norm_Stats!$F$17)/(Norm_Stats!$G$17-Norm_Stats!$F$17))))</f>
        <v/>
      </c>
      <c r="AP143" s="14">
        <f>IF(AO143="","",1)</f>
        <v/>
      </c>
      <c r="AQ143" s="11">
        <f>IF(OR(City_Inputs!$AC143="",Norm_Stats!$F$18="",Norm_Stats!$G$18="",Norm_Stats!$G$18=Norm_Stats!$F$18),"",MAX(0,MIN(100,100*(MIN(MAX(City_Inputs!$AC143,Norm_Stats!$F$18),Norm_Stats!$G$18)-Norm_Stats!$F$18)/(Norm_Stats!$G$18-Norm_Stats!$F$18))))</f>
        <v/>
      </c>
      <c r="AR143" s="14">
        <f>IF(AQ143="","",1)</f>
        <v/>
      </c>
      <c r="AS143" s="11">
        <f>IF(OR(City_Inputs!$AD143="",Norm_Stats!$F$19="",Norm_Stats!$G$19="",Norm_Stats!$G$19=Norm_Stats!$F$19),"",MAX(0,MIN(100,100*(MIN(MAX(City_Inputs!$AD143,Norm_Stats!$F$19),Norm_Stats!$G$19)-Norm_Stats!$F$19)/(Norm_Stats!$G$19-Norm_Stats!$F$19))))</f>
        <v/>
      </c>
      <c r="AT143" s="14">
        <f>IF(AS143="","",1)</f>
        <v/>
      </c>
      <c r="AU143" s="11">
        <f>IF(OR(City_Inputs!$BJ143="",Norm_Stats!$F$26="",Norm_Stats!$G$26="",Norm_Stats!$G$26=Norm_Stats!$F$26),"",MAX(0,MIN(100,100*(MIN(MAX(City_Inputs!$BJ143,Norm_Stats!$F$26),Norm_Stats!$G$26)-Norm_Stats!$F$26)/(Norm_Stats!$G$26-Norm_Stats!$F$26))))</f>
        <v/>
      </c>
      <c r="AV143" s="11">
        <f>IF(AU143="","",1)</f>
        <v/>
      </c>
      <c r="AW143" s="15">
        <f>IF((IF(AO143="",0,5)+IF(AQ143="",0,5)+IF(AS143="",0,5)+IF(AU143="",0,4))=0,"",(IF(AO143="",0,AO143*5)+IF(AQ143="",0,AQ143*5)+IF(AS143="",0,AS143*5)+IF(AU143="",0,AU143*4))/(IF(AO143="",0,5)+IF(AQ143="",0,5)+IF(AS143="",0,5)+IF(AU143="",0,4)))</f>
        <v/>
      </c>
      <c r="AX143" s="14">
        <f>IF((IF(AP143="",0,5)+IF(AR143="",0,5)+IF(AT143="",0,5)+IF(AV143="",0,4))=0,"",(IF(AP143="",0,AP143*5)+IF(AR143="",0,AR143*5)+IF(AT143="",0,AT143*5)+IF(AV143="",0,AV143*4))/19)</f>
        <v/>
      </c>
      <c r="AY143" s="11">
        <f>IF(OR(City_Inputs!$AE143="",Norm_Stats!$F$20="",Norm_Stats!$G$20="",Norm_Stats!$G$20=Norm_Stats!$F$20),"",MAX(0,MIN(100,100*(MIN(MAX(City_Inputs!$AE143,Norm_Stats!$F$20),Norm_Stats!$G$20)-Norm_Stats!$F$20)/(Norm_Stats!$G$20-Norm_Stats!$F$20))))</f>
        <v/>
      </c>
      <c r="AZ143" s="14">
        <f>IF(AY143="","",1)</f>
        <v/>
      </c>
      <c r="BA143" s="11">
        <f>IF(OR(City_Inputs!$AF143="",Norm_Stats!$F$21="",Norm_Stats!$G$21="",Norm_Stats!$G$21=Norm_Stats!$F$21),"",MAX(0,MIN(100,100*(MIN(MAX(City_Inputs!$AF143,Norm_Stats!$F$21),Norm_Stats!$G$21)-Norm_Stats!$F$21)/(Norm_Stats!$G$21-Norm_Stats!$F$21))))</f>
        <v/>
      </c>
      <c r="BB143" s="14">
        <f>IF(BA143="","",1)</f>
        <v/>
      </c>
      <c r="BC143" s="11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(IF(OR(City_Inputs!$AG143="",Norm_Stats!$F$22="",Norm_Stats!$G$22="",Norm_Stats!$G$22=Norm_Stats!$F$22),"",MAX(0,MIN(100,100*(MIN(MAX(City_Inputs!$AG143,Norm_Stats!$F$22),Norm_Stats!$G$22)-Norm_Stats!$F$22)/(Norm_Stats!$G$22-Norm_Stats!$F$22)))))*0.5)+IF((IF(OR(City_Inputs!$AJ143="",Norm_Stats!$F$23="",Norm_Stats!$G$23="",Norm_Stats!$G$23=Norm_Stats!$F$23),"",MAX(0,MIN(100,100*(MIN(MAX(City_Inputs!$AJ143,Norm_Stats!$F$23),Norm_Stats!$G$23)-Norm_Stats!$F$23)/(Norm_Stats!$G$23-Norm_Stats!$F$23)))))="",0,(IF(OR(City_Inputs!$AJ143="",Norm_Stats!$F$23="",Norm_Stats!$G$23="",Norm_Stats!$G$23=Norm_Stats!$F$23),"",MAX(0,MIN(100,100*(MIN(MAX(City_Inputs!$AJ143,Norm_Stats!$F$23),Norm_Stats!$G$23)-Norm_Stats!$F$23)/(Norm_Stats!$G$23-Norm_Stats!$F$23)))))*0.3)+IF((IF(OR(City_Inputs!$AK143="",Norm_Stats!$F$24="",Norm_Stats!$G$24="",Norm_Stats!$G$24=Norm_Stats!$F$24),"",MAX(0,MIN(100,100*(MIN(MAX(City_Inputs!$AK143,Norm_Stats!$F$24),Norm_Stats!$G$24)-Norm_Stats!$F$24)/(Norm_Stats!$G$24-Norm_Stats!$F$24)))))="",0,(IF(OR(City_Inputs!$AK143="",Norm_Stats!$F$24="",Norm_Stats!$G$24="",Norm_Stats!$G$24=Norm_Stats!$F$24),"",MAX(0,MIN(100,100*(MIN(MAX(City_Inputs!$AK143,Norm_Stats!$F$24),Norm_Stats!$G$24)-Norm_Stats!$F$24)/(Norm_Stats!$G$24-Norm_Stats!$F$24)))))*0.2))/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D143" s="14">
        <f>IF(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=0,"",(IF((IF(OR(City_Inputs!$AG143="",Norm_Stats!$F$22="",Norm_Stats!$G$22="",Norm_Stats!$G$22=Norm_Stats!$F$22),"",MAX(0,MIN(100,100*(MIN(MAX(City_Inputs!$AG143,Norm_Stats!$F$22),Norm_Stats!$G$22)-Norm_Stats!$F$22)/(Norm_Stats!$G$22-Norm_Stats!$F$22)))))="",0,0.5)+IF((IF(OR(City_Inputs!$AJ143="",Norm_Stats!$F$23="",Norm_Stats!$G$23="",Norm_Stats!$G$23=Norm_Stats!$F$23),"",MAX(0,MIN(100,100*(MIN(MAX(City_Inputs!$AJ143,Norm_Stats!$F$23),Norm_Stats!$G$23)-Norm_Stats!$F$23)/(Norm_Stats!$G$23-Norm_Stats!$F$23)))))="",0,0.3)+IF((IF(OR(City_Inputs!$AK143="",Norm_Stats!$F$24="",Norm_Stats!$G$24="",Norm_Stats!$G$24=Norm_Stats!$F$24),"",MAX(0,MIN(100,100*(MIN(MAX(City_Inputs!$AK143,Norm_Stats!$F$24),Norm_Stats!$G$24)-Norm_Stats!$F$24)/(Norm_Stats!$G$24-Norm_Stats!$F$24)))))="",0,0.2)))</f>
        <v/>
      </c>
      <c r="BE143" s="11">
        <f>IF(OR(City_Inputs!$AH143="",Norm_Stats!$F$25="",Norm_Stats!$G$25="",Norm_Stats!$G$25=Norm_Stats!$F$25),"",MAX(0,MIN(100,100*(Norm_Stats!$G$25-MIN(MAX(City_Inputs!$AH143,Norm_Stats!$F$25),Norm_Stats!$G$25))/(Norm_Stats!$G$25-Norm_Stats!$F$25))))</f>
        <v/>
      </c>
      <c r="BF143" s="14">
        <f>IF(BE143="","",1)</f>
        <v/>
      </c>
      <c r="BG143" s="15">
        <f>IF((IF(AY143="",0,6)+IF(BA143="",0,5)+IF(BC143="",0,5)+IF(BE143="",0,4))=0,"",(IF(AY143="",0,AY143*6)+IF(BA143="",0,BA143*5)+IF(BC143="",0,BC143*5)+IF(BE143="",0,BE143*4))/(IF(AY143="",0,6)+IF(BA143="",0,5)+IF(BC143="",0,5)+IF(BE143="",0,4)))</f>
        <v/>
      </c>
      <c r="BH143" s="14">
        <f>IF((IF(AZ143="",0,6)+IF(BB143="",0,5)+IF(BD143="",0,5)+IF(BF143="",0,4))=0,"",(IF(AZ143="",0,AZ143*6)+IF(BB143="",0,BB143*5)+IF(BD143="",0,BD143*5)+IF(BF143="",0,BF143*4))/20)</f>
        <v/>
      </c>
      <c r="BI143" s="14">
        <f>IF(AND(R143="",AF143="",AN143="",AX143="",BH143=""),"",((R143*25)+(AF143*22)+(AN143*18)+(AX143*15)+(BH143*20))/100)</f>
        <v/>
      </c>
      <c r="BJ143" s="11">
        <f>IF(BI143="","",IF(BI143&gt;=0.75,"A",IF(BI143&gt;=0.5,"B",IF(BI143&gt;=0.35,"C","Watchlist"))))</f>
        <v/>
      </c>
      <c r="BK143" s="11">
        <f>IF(OR(BI143="",BI143&lt;0.5,R143="",R143&lt;0.35,AF143="",AF143&lt;0.35,AN143="",AN143&lt;0.35,AX143="",AX143&lt;0.35,BH143="",BH143&lt;0.35),"Watchlist","Ranked")</f>
        <v/>
      </c>
      <c r="BL143" s="15">
        <f>IF(AND(Q143="",AE143="",AM143="",AW143="",BG143=""),"",(IF(Q143="",0,Q143*25)+IF(AE143="",0,AE143*22)+IF(AM143="",0,AM143*18)+IF(AW143="",0,AW143*15)+IF(BG143="",0,BG143*20))/(IF(Q143="",0,25)+IF(AE143="",0,22)+IF(AM143="",0,18)+IF(AW143="",0,15)+IF(BG143="",0,20)))</f>
        <v/>
      </c>
      <c r="BM143" s="11">
        <f>IF(BK143="Ranked",1+COUNTIFS($BK$2:$BK$158,"Ranked",$BL$2:$BL$158,"&gt;"&amp;BL143),"")</f>
        <v/>
      </c>
      <c r="BN143" s="11">
        <f>City_Inputs!$AI143</f>
        <v/>
      </c>
    </row>
    <row r="144">
      <c r="A144" t="inlineStr">
        <is>
          <t>ec-cuenca</t>
        </is>
      </c>
      <c r="B144" t="inlineStr">
        <is>
          <t>Cuenca</t>
        </is>
      </c>
      <c r="C144" t="inlineStr">
        <is>
          <t>Ecuador</t>
        </is>
      </c>
      <c r="D144" t="inlineStr">
        <is>
          <t>Latin America</t>
        </is>
      </c>
      <c r="E144" t="inlineStr">
        <is>
          <t>provisional</t>
        </is>
      </c>
      <c r="F144" t="inlineStr">
        <is>
          <t>secondary</t>
        </is>
      </c>
      <c r="G144" s="11">
        <f>IF(OR(City_Inputs!$M144="",Norm_Stats!$F$2="",Norm_Stats!$G$2="",Norm_Stats!$G$2=Norm_Stats!$F$2),"",MAX(0,MIN(100,100*(MIN(MAX(City_Inputs!$M144,Norm_Stats!$F$2),Norm_Stats!$G$2)-Norm_Stats!$F$2)/(Norm_Stats!$G$2-Norm_Stats!$F$2))))</f>
        <v/>
      </c>
      <c r="H144" s="14">
        <f>IF(G144="","",1)</f>
        <v/>
      </c>
      <c r="I144" s="11">
        <f>IF(OR(City_Inputs!$N144="",Norm_Stats!$F$3="",Norm_Stats!$G$3="",Norm_Stats!$G$3=Norm_Stats!$F$3),"",MAX(0,MIN(100,100*(Norm_Stats!$G$3-MIN(MAX(City_Inputs!$N144,Norm_Stats!$F$3),Norm_Stats!$G$3))/(Norm_Stats!$G$3-Norm_Stats!$F$3))))</f>
        <v/>
      </c>
      <c r="J144" s="14">
        <f>IF(I144="","",1)</f>
        <v/>
      </c>
      <c r="K144" s="11">
        <f>IF(OR(City_Inputs!$P144="",Norm_Stats!$F$4="",Norm_Stats!$G$4="",Norm_Stats!$G$4=Norm_Stats!$F$4),"",MAX(0,MIN(100,100*(Norm_Stats!$G$4-MIN(MAX(City_Inputs!$P144,Norm_Stats!$F$4),Norm_Stats!$G$4))/(Norm_Stats!$G$4-Norm_Stats!$F$4))))</f>
        <v/>
      </c>
      <c r="L144" s="14">
        <f>IF(K144="","",1)</f>
        <v/>
      </c>
      <c r="M144" s="11">
        <f>IF(OR(City_Inputs!$Q144="",Norm_Stats!$F$5="",Norm_Stats!$G$5="",Norm_Stats!$G$5=Norm_Stats!$F$5),"",MAX(0,MIN(100,100*(Norm_Stats!$G$5-MIN(MAX(City_Inputs!$Q144,Norm_Stats!$F$5),Norm_Stats!$G$5))/(Norm_Stats!$G$5-Norm_Stats!$F$5))))</f>
        <v/>
      </c>
      <c r="N144" s="14">
        <f>IF(M144="","",1)</f>
        <v/>
      </c>
      <c r="O144" s="11">
        <f>IF(OR(City_Inputs!$R144="",Norm_Stats!$F$6="",Norm_Stats!$G$6="",Norm_Stats!$G$6=Norm_Stats!$F$6),"",MAX(0,MIN(100,100*(Norm_Stats!$G$6-MIN(MAX(City_Inputs!$R144,Norm_Stats!$F$6),Norm_Stats!$G$6))/(Norm_Stats!$G$6-Norm_Stats!$F$6))))</f>
        <v/>
      </c>
      <c r="P144" s="14">
        <f>IF(O144="","",1)</f>
        <v/>
      </c>
      <c r="Q144" s="15">
        <f>IF((IF(G144="",0,9)+IF(I144="",0,5)+IF(K144="",0,4)+IF(M144="",0,4)+IF(O144="",0,5))=0,"",(IF(G144="",0,G144*9)+IF(I144="",0,I144*5)+IF(K144="",0,K144*4)+IF(M144="",0,M144*4)+IF(O144="",0,O144*5))/(IF(G144="",0,9)+IF(I144="",0,5)+IF(K144="",0,4)+IF(M144="",0,4)+IF(O144="",0,5)))</f>
        <v/>
      </c>
      <c r="R144" s="14">
        <f>IF((IF(H144="",0,9)+IF(J144="",0,5)+IF(L144="",0,4)+IF(N144="",0,4)+IF(P144="",0,5))=0,"",(IF(H144="",0,H144*9)+IF(J144="",0,J144*5)+IF(L144="",0,L144*4)+IF(N144="",0,N144*4)+IF(P144="",0,P144*5))/27)</f>
        <v/>
      </c>
      <c r="S144" s="11">
        <f>IF(OR(City_Inputs!$S144="",Norm_Stats!$F$7="",Norm_Stats!$G$7="",Norm_Stats!$G$7=Norm_Stats!$F$7),"",MAX(0,MIN(100,100*(Norm_Stats!$G$7-MIN(MAX(City_Inputs!$S144,Norm_Stats!$F$7),Norm_Stats!$G$7))/(Norm_Stats!$G$7-Norm_Stats!$F$7))))</f>
        <v/>
      </c>
      <c r="T144" s="14">
        <f>IF(S144="","",1)</f>
        <v/>
      </c>
      <c r="U144" s="11">
        <f>IF(OR(City_Inputs!$T144="",Norm_Stats!$F$8="",Norm_Stats!$G$8="",Norm_Stats!$G$8=Norm_Stats!$F$8),"",MAX(0,MIN(100,100*(MIN(MAX(City_Inputs!$T144,Norm_Stats!$F$8),Norm_Stats!$G$8)-Norm_Stats!$F$8)/(Norm_Stats!$G$8-Norm_Stats!$F$8))))</f>
        <v/>
      </c>
      <c r="V144" s="14">
        <f>IF(U144="","",1)</f>
        <v/>
      </c>
      <c r="W144" s="11">
        <f>IF(OR(City_Inputs!$U144="",Norm_Stats!$F$9="",Norm_Stats!$G$9="",Norm_Stats!$G$9=Norm_Stats!$F$9),"",MAX(0,MIN(100,100*(Norm_Stats!$G$9-MIN(MAX(City_Inputs!$U144,Norm_Stats!$F$9),Norm_Stats!$G$9))/(Norm_Stats!$G$9-Norm_Stats!$F$9))))</f>
        <v/>
      </c>
      <c r="X144" s="14">
        <f>IF(W144="","",1)</f>
        <v/>
      </c>
      <c r="Y144" s="11">
        <f>IF(OR(City_Inputs!$V144="",Norm_Stats!$F$10="",Norm_Stats!$G$10="",Norm_Stats!$G$10=Norm_Stats!$F$10),"",MAX(0,MIN(100,100*(MIN(MAX(City_Inputs!$V144,Norm_Stats!$F$10),Norm_Stats!$G$10)-Norm_Stats!$F$10)/(Norm_Stats!$G$10-Norm_Stats!$F$10))))</f>
        <v/>
      </c>
      <c r="Z144" s="14">
        <f>IF(Y144="","",1)</f>
        <v/>
      </c>
      <c r="AA144" s="11">
        <f>IF(OR(City_Inputs!$W144="",Norm_Stats!$F$11="",Norm_Stats!$G$11="",Norm_Stats!$G$11=Norm_Stats!$F$11),"",MAX(0,MIN(100,100*(MIN(MAX(City_Inputs!$W144,Norm_Stats!$F$11),Norm_Stats!$G$11)-Norm_Stats!$F$11)/(Norm_Stats!$G$11-Norm_Stats!$F$11))))</f>
        <v/>
      </c>
      <c r="AB144" s="14">
        <f>IF(AA144="","",1)</f>
        <v/>
      </c>
      <c r="AC144" s="11">
        <f>IF(OR(City_Inputs!$X144="",Norm_Stats!$F$12="",Norm_Stats!$G$12="",Norm_Stats!$G$12=Norm_Stats!$F$12),"",MAX(0,MIN(100,100*(MIN(MAX(City_Inputs!$X144,Norm_Stats!$F$12),Norm_Stats!$G$12)-Norm_Stats!$F$12)/(Norm_Stats!$G$12-Norm_Stats!$F$12))))</f>
        <v/>
      </c>
      <c r="AD144" s="11">
        <f>IF(AC144="","",1)</f>
        <v/>
      </c>
      <c r="AE144" s="15">
        <f>IF((IF(S144="",0,5)+IF(U144="",0,5)+IF(W144="",0,4)+IF(Y144="",0,4)+IF(AA144="",0,4)+IF(AC144="",0,5))=0,"",(IF(S144="",0,S144*5)+IF(U144="",0,U144*5)+IF(W144="",0,W144*4)+IF(Y144="",0,Y144*4)+IF(AA144="",0,AA144*4)+IF(AC144="",0,AC144*5))/(IF(S144="",0,5)+IF(U144="",0,5)+IF(W144="",0,4)+IF(Y144="",0,4)+IF(AA144="",0,4)+IF(AC144="",0,5)))</f>
        <v/>
      </c>
      <c r="AF144" s="14">
        <f>IF((IF(T144="",0,5)+IF(V144="",0,5)+IF(X144="",0,4)+IF(Z144="",0,4)+IF(AB144="",0,4)+IF(AD144="",0,5))=0,"",(IF(T144="",0,T144*5)+IF(V144="",0,V144*5)+IF(X144="",0,X144*4)+IF(Z144="",0,Z144*4)+IF(AB144="",0,AB144*4)+IF(AD144="",0,AD144*5))/27)</f>
        <v/>
      </c>
      <c r="AG144" s="11">
        <f>IF(OR(City_Inputs!$Y144="",Norm_Stats!$F$13="",Norm_Stats!$G$13="",Norm_Stats!$G$13=Norm_Stats!$F$13),"",MAX(0,MIN(100,100*(MIN(MAX(City_Inputs!$Y144,Norm_Stats!$F$13),Norm_Stats!$G$13)-Norm_Stats!$F$13)/(Norm_Stats!$G$13-Norm_Stats!$F$13))))</f>
        <v/>
      </c>
      <c r="AH144" s="14">
        <f>IF(AG144="","",1)</f>
        <v/>
      </c>
      <c r="AI144" s="11">
        <f>IF(OR(City_Inputs!$Z144="",Norm_Stats!$F$14="",Norm_Stats!$G$14="",Norm_Stats!$G$14=Norm_Stats!$F$14),"",MAX(0,MIN(100,100*(MIN(MAX(City_Inputs!$Z144,Norm_Stats!$F$14),Norm_Stats!$G$14)-Norm_Stats!$F$14)/(Norm_Stats!$G$14-Norm_Stats!$F$14))))</f>
        <v/>
      </c>
      <c r="AJ144" s="14">
        <f>IF(AI144="","",1)</f>
        <v/>
      </c>
      <c r="AK144" s="11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(IF(OR(City_Inputs!$AA144="",Norm_Stats!$F$15="",Norm_Stats!$G$15="",Norm_Stats!$G$15=Norm_Stats!$F$15),"",MAX(0,MIN(100,100*(MIN(MAX(City_Inputs!$AA144,Norm_Stats!$F$15),Norm_Stats!$G$15)-Norm_Stats!$F$15)/(Norm_Stats!$G$15-Norm_Stats!$F$15)))))*0.7)+IF((IF(OR(City_Inputs!$AL144="",Norm_Stats!$F$16="",Norm_Stats!$G$16="",Norm_Stats!$G$16=Norm_Stats!$F$16),"",MAX(0,MIN(100,100*(Norm_Stats!$G$16-MIN(MAX(City_Inputs!$AL144,Norm_Stats!$F$16),Norm_Stats!$G$16))/(Norm_Stats!$G$16-Norm_Stats!$F$16)))))="",0,(IF(OR(City_Inputs!$AL144="",Norm_Stats!$F$16="",Norm_Stats!$G$16="",Norm_Stats!$G$16=Norm_Stats!$F$16),"",MAX(0,MIN(100,100*(Norm_Stats!$G$16-MIN(MAX(City_Inputs!$AL144,Norm_Stats!$F$16),Norm_Stats!$G$16))/(Norm_Stats!$G$16-Norm_Stats!$F$16)))))*0.3))/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L144" s="14">
        <f>IF(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=0,"",(IF((IF(OR(City_Inputs!$AA144="",Norm_Stats!$F$15="",Norm_Stats!$G$15="",Norm_Stats!$G$15=Norm_Stats!$F$15),"",MAX(0,MIN(100,100*(MIN(MAX(City_Inputs!$AA144,Norm_Stats!$F$15),Norm_Stats!$G$15)-Norm_Stats!$F$15)/(Norm_Stats!$G$15-Norm_Stats!$F$15)))))="",0,0.7)+IF((IF(OR(City_Inputs!$AL144="",Norm_Stats!$F$16="",Norm_Stats!$G$16="",Norm_Stats!$G$16=Norm_Stats!$F$16),"",MAX(0,MIN(100,100*(Norm_Stats!$G$16-MIN(MAX(City_Inputs!$AL144,Norm_Stats!$F$16),Norm_Stats!$G$16))/(Norm_Stats!$G$16-Norm_Stats!$F$16)))))="",0,0.3)))</f>
        <v/>
      </c>
      <c r="AM144" s="15">
        <f>IF((IF(AG144="",0,8)+IF(AI144="",0,6)+IF(AK144="",0,4))=0,"",(IF(AG144="",0,AG144*8)+IF(AI144="",0,AI144*6)+IF(AK144="",0,AK144*4))/(IF(AG144="",0,8)+IF(AI144="",0,6)+IF(AK144="",0,4)))</f>
        <v/>
      </c>
      <c r="AN144" s="14">
        <f>IF((IF(AH144="",0,8)+IF(AJ144="",0,6)+IF(AL144="",0,4))=0,"",(IF(AH144="",0,AH144*8)+IF(AJ144="",0,AJ144*6)+IF(AL144="",0,AL144*4))/18)</f>
        <v/>
      </c>
      <c r="AO144" s="11">
        <f>IF(OR(City_Inputs!$AB144="",Norm_Stats!$F$17="",Norm_Stats!$G$17="",Norm_Stats!$G$17=Norm_Stats!$F$17),"",MAX(0,MIN(100,100*(MIN(MAX(City_Inputs!$AB144,Norm_Stats!$F$17),Norm_Stats!$G$17)-Norm_Stats!$F$17)/(Norm_Stats!$G$17-Norm_Stats!$F$17))))</f>
        <v/>
      </c>
      <c r="AP144" s="14">
        <f>IF(AO144="","",1)</f>
        <v/>
      </c>
      <c r="AQ144" s="11">
        <f>IF(OR(City_Inputs!$AC144="",Norm_Stats!$F$18="",Norm_Stats!$G$18="",Norm_Stats!$G$18=Norm_Stats!$F$18),"",MAX(0,MIN(100,100*(MIN(MAX(City_Inputs!$AC144,Norm_Stats!$F$18),Norm_Stats!$G$18)-Norm_Stats!$F$18)/(Norm_Stats!$G$18-Norm_Stats!$F$18))))</f>
        <v/>
      </c>
      <c r="AR144" s="14">
        <f>IF(AQ144="","",1)</f>
        <v/>
      </c>
      <c r="AS144" s="11">
        <f>IF(OR(City_Inputs!$AD144="",Norm_Stats!$F$19="",Norm_Stats!$G$19="",Norm_Stats!$G$19=Norm_Stats!$F$19),"",MAX(0,MIN(100,100*(MIN(MAX(City_Inputs!$AD144,Norm_Stats!$F$19),Norm_Stats!$G$19)-Norm_Stats!$F$19)/(Norm_Stats!$G$19-Norm_Stats!$F$19))))</f>
        <v/>
      </c>
      <c r="AT144" s="14">
        <f>IF(AS144="","",1)</f>
        <v/>
      </c>
      <c r="AU144" s="11">
        <f>IF(OR(City_Inputs!$BJ144="",Norm_Stats!$F$26="",Norm_Stats!$G$26="",Norm_Stats!$G$26=Norm_Stats!$F$26),"",MAX(0,MIN(100,100*(MIN(MAX(City_Inputs!$BJ144,Norm_Stats!$F$26),Norm_Stats!$G$26)-Norm_Stats!$F$26)/(Norm_Stats!$G$26-Norm_Stats!$F$26))))</f>
        <v/>
      </c>
      <c r="AV144" s="11">
        <f>IF(AU144="","",1)</f>
        <v/>
      </c>
      <c r="AW144" s="15">
        <f>IF((IF(AO144="",0,5)+IF(AQ144="",0,5)+IF(AS144="",0,5)+IF(AU144="",0,4))=0,"",(IF(AO144="",0,AO144*5)+IF(AQ144="",0,AQ144*5)+IF(AS144="",0,AS144*5)+IF(AU144="",0,AU144*4))/(IF(AO144="",0,5)+IF(AQ144="",0,5)+IF(AS144="",0,5)+IF(AU144="",0,4)))</f>
        <v/>
      </c>
      <c r="AX144" s="14">
        <f>IF((IF(AP144="",0,5)+IF(AR144="",0,5)+IF(AT144="",0,5)+IF(AV144="",0,4))=0,"",(IF(AP144="",0,AP144*5)+IF(AR144="",0,AR144*5)+IF(AT144="",0,AT144*5)+IF(AV144="",0,AV144*4))/19)</f>
        <v/>
      </c>
      <c r="AY144" s="11">
        <f>IF(OR(City_Inputs!$AE144="",Norm_Stats!$F$20="",Norm_Stats!$G$20="",Norm_Stats!$G$20=Norm_Stats!$F$20),"",MAX(0,MIN(100,100*(MIN(MAX(City_Inputs!$AE144,Norm_Stats!$F$20),Norm_Stats!$G$20)-Norm_Stats!$F$20)/(Norm_Stats!$G$20-Norm_Stats!$F$20))))</f>
        <v/>
      </c>
      <c r="AZ144" s="14">
        <f>IF(AY144="","",1)</f>
        <v/>
      </c>
      <c r="BA144" s="11">
        <f>IF(OR(City_Inputs!$AF144="",Norm_Stats!$F$21="",Norm_Stats!$G$21="",Norm_Stats!$G$21=Norm_Stats!$F$21),"",MAX(0,MIN(100,100*(MIN(MAX(City_Inputs!$AF144,Norm_Stats!$F$21),Norm_Stats!$G$21)-Norm_Stats!$F$21)/(Norm_Stats!$G$21-Norm_Stats!$F$21))))</f>
        <v/>
      </c>
      <c r="BB144" s="14">
        <f>IF(BA144="","",1)</f>
        <v/>
      </c>
      <c r="BC144" s="11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(IF(OR(City_Inputs!$AG144="",Norm_Stats!$F$22="",Norm_Stats!$G$22="",Norm_Stats!$G$22=Norm_Stats!$F$22),"",MAX(0,MIN(100,100*(MIN(MAX(City_Inputs!$AG144,Norm_Stats!$F$22),Norm_Stats!$G$22)-Norm_Stats!$F$22)/(Norm_Stats!$G$22-Norm_Stats!$F$22)))))*0.5)+IF((IF(OR(City_Inputs!$AJ144="",Norm_Stats!$F$23="",Norm_Stats!$G$23="",Norm_Stats!$G$23=Norm_Stats!$F$23),"",MAX(0,MIN(100,100*(MIN(MAX(City_Inputs!$AJ144,Norm_Stats!$F$23),Norm_Stats!$G$23)-Norm_Stats!$F$23)/(Norm_Stats!$G$23-Norm_Stats!$F$23)))))="",0,(IF(OR(City_Inputs!$AJ144="",Norm_Stats!$F$23="",Norm_Stats!$G$23="",Norm_Stats!$G$23=Norm_Stats!$F$23),"",MAX(0,MIN(100,100*(MIN(MAX(City_Inputs!$AJ144,Norm_Stats!$F$23),Norm_Stats!$G$23)-Norm_Stats!$F$23)/(Norm_Stats!$G$23-Norm_Stats!$F$23)))))*0.3)+IF((IF(OR(City_Inputs!$AK144="",Norm_Stats!$F$24="",Norm_Stats!$G$24="",Norm_Stats!$G$24=Norm_Stats!$F$24),"",MAX(0,MIN(100,100*(MIN(MAX(City_Inputs!$AK144,Norm_Stats!$F$24),Norm_Stats!$G$24)-Norm_Stats!$F$24)/(Norm_Stats!$G$24-Norm_Stats!$F$24)))))="",0,(IF(OR(City_Inputs!$AK144="",Norm_Stats!$F$24="",Norm_Stats!$G$24="",Norm_Stats!$G$24=Norm_Stats!$F$24),"",MAX(0,MIN(100,100*(MIN(MAX(City_Inputs!$AK144,Norm_Stats!$F$24),Norm_Stats!$G$24)-Norm_Stats!$F$24)/(Norm_Stats!$G$24-Norm_Stats!$F$24)))))*0.2))/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D144" s="14">
        <f>IF(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=0,"",(IF((IF(OR(City_Inputs!$AG144="",Norm_Stats!$F$22="",Norm_Stats!$G$22="",Norm_Stats!$G$22=Norm_Stats!$F$22),"",MAX(0,MIN(100,100*(MIN(MAX(City_Inputs!$AG144,Norm_Stats!$F$22),Norm_Stats!$G$22)-Norm_Stats!$F$22)/(Norm_Stats!$G$22-Norm_Stats!$F$22)))))="",0,0.5)+IF((IF(OR(City_Inputs!$AJ144="",Norm_Stats!$F$23="",Norm_Stats!$G$23="",Norm_Stats!$G$23=Norm_Stats!$F$23),"",MAX(0,MIN(100,100*(MIN(MAX(City_Inputs!$AJ144,Norm_Stats!$F$23),Norm_Stats!$G$23)-Norm_Stats!$F$23)/(Norm_Stats!$G$23-Norm_Stats!$F$23)))))="",0,0.3)+IF((IF(OR(City_Inputs!$AK144="",Norm_Stats!$F$24="",Norm_Stats!$G$24="",Norm_Stats!$G$24=Norm_Stats!$F$24),"",MAX(0,MIN(100,100*(MIN(MAX(City_Inputs!$AK144,Norm_Stats!$F$24),Norm_Stats!$G$24)-Norm_Stats!$F$24)/(Norm_Stats!$G$24-Norm_Stats!$F$24)))))="",0,0.2)))</f>
        <v/>
      </c>
      <c r="BE144" s="11">
        <f>IF(OR(City_Inputs!$AH144="",Norm_Stats!$F$25="",Norm_Stats!$G$25="",Norm_Stats!$G$25=Norm_Stats!$F$25),"",MAX(0,MIN(100,100*(Norm_Stats!$G$25-MIN(MAX(City_Inputs!$AH144,Norm_Stats!$F$25),Norm_Stats!$G$25))/(Norm_Stats!$G$25-Norm_Stats!$F$25))))</f>
        <v/>
      </c>
      <c r="BF144" s="14">
        <f>IF(BE144="","",1)</f>
        <v/>
      </c>
      <c r="BG144" s="15">
        <f>IF((IF(AY144="",0,6)+IF(BA144="",0,5)+IF(BC144="",0,5)+IF(BE144="",0,4))=0,"",(IF(AY144="",0,AY144*6)+IF(BA144="",0,BA144*5)+IF(BC144="",0,BC144*5)+IF(BE144="",0,BE144*4))/(IF(AY144="",0,6)+IF(BA144="",0,5)+IF(BC144="",0,5)+IF(BE144="",0,4)))</f>
        <v/>
      </c>
      <c r="BH144" s="14">
        <f>IF((IF(AZ144="",0,6)+IF(BB144="",0,5)+IF(BD144="",0,5)+IF(BF144="",0,4))=0,"",(IF(AZ144="",0,AZ144*6)+IF(BB144="",0,BB144*5)+IF(BD144="",0,BD144*5)+IF(BF144="",0,BF144*4))/20)</f>
        <v/>
      </c>
      <c r="BI144" s="14">
        <f>IF(AND(R144="",AF144="",AN144="",AX144="",BH144=""),"",((R144*25)+(AF144*22)+(AN144*18)+(AX144*15)+(BH144*20))/100)</f>
        <v/>
      </c>
      <c r="BJ144" s="11">
        <f>IF(BI144="","",IF(BI144&gt;=0.75,"A",IF(BI144&gt;=0.5,"B",IF(BI144&gt;=0.35,"C","Watchlist"))))</f>
        <v/>
      </c>
      <c r="BK144" s="11">
        <f>IF(OR(BI144="",BI144&lt;0.5,R144="",R144&lt;0.35,AF144="",AF144&lt;0.35,AN144="",AN144&lt;0.35,AX144="",AX144&lt;0.35,BH144="",BH144&lt;0.35),"Watchlist","Ranked")</f>
        <v/>
      </c>
      <c r="BL144" s="15">
        <f>IF(AND(Q144="",AE144="",AM144="",AW144="",BG144=""),"",(IF(Q144="",0,Q144*25)+IF(AE144="",0,AE144*22)+IF(AM144="",0,AM144*18)+IF(AW144="",0,AW144*15)+IF(BG144="",0,BG144*20))/(IF(Q144="",0,25)+IF(AE144="",0,22)+IF(AM144="",0,18)+IF(AW144="",0,15)+IF(BG144="",0,20)))</f>
        <v/>
      </c>
      <c r="BM144" s="11">
        <f>IF(BK144="Ranked",1+COUNTIFS($BK$2:$BK$158,"Ranked",$BL$2:$BL$158,"&gt;"&amp;BL144),"")</f>
        <v/>
      </c>
      <c r="BN144" s="11">
        <f>City_Inputs!$AI144</f>
        <v/>
      </c>
    </row>
    <row r="145">
      <c r="A145" t="inlineStr">
        <is>
          <t>py-asuncion</t>
        </is>
      </c>
      <c r="B145" t="inlineStr">
        <is>
          <t>Asuncion</t>
        </is>
      </c>
      <c r="C145" t="inlineStr">
        <is>
          <t>Paraguay</t>
        </is>
      </c>
      <c r="D145" t="inlineStr">
        <is>
          <t>Latin America</t>
        </is>
      </c>
      <c r="E145" t="inlineStr">
        <is>
          <t>provisional</t>
        </is>
      </c>
      <c r="F145" t="inlineStr">
        <is>
          <t>primary</t>
        </is>
      </c>
      <c r="G145" s="11">
        <f>IF(OR(City_Inputs!$M145="",Norm_Stats!$F$2="",Norm_Stats!$G$2="",Norm_Stats!$G$2=Norm_Stats!$F$2),"",MAX(0,MIN(100,100*(MIN(MAX(City_Inputs!$M145,Norm_Stats!$F$2),Norm_Stats!$G$2)-Norm_Stats!$F$2)/(Norm_Stats!$G$2-Norm_Stats!$F$2))))</f>
        <v/>
      </c>
      <c r="H145" s="14">
        <f>IF(G145="","",1)</f>
        <v/>
      </c>
      <c r="I145" s="11">
        <f>IF(OR(City_Inputs!$N145="",Norm_Stats!$F$3="",Norm_Stats!$G$3="",Norm_Stats!$G$3=Norm_Stats!$F$3),"",MAX(0,MIN(100,100*(Norm_Stats!$G$3-MIN(MAX(City_Inputs!$N145,Norm_Stats!$F$3),Norm_Stats!$G$3))/(Norm_Stats!$G$3-Norm_Stats!$F$3))))</f>
        <v/>
      </c>
      <c r="J145" s="14">
        <f>IF(I145="","",1)</f>
        <v/>
      </c>
      <c r="K145" s="11">
        <f>IF(OR(City_Inputs!$P145="",Norm_Stats!$F$4="",Norm_Stats!$G$4="",Norm_Stats!$G$4=Norm_Stats!$F$4),"",MAX(0,MIN(100,100*(Norm_Stats!$G$4-MIN(MAX(City_Inputs!$P145,Norm_Stats!$F$4),Norm_Stats!$G$4))/(Norm_Stats!$G$4-Norm_Stats!$F$4))))</f>
        <v/>
      </c>
      <c r="L145" s="14">
        <f>IF(K145="","",1)</f>
        <v/>
      </c>
      <c r="M145" s="11">
        <f>IF(OR(City_Inputs!$Q145="",Norm_Stats!$F$5="",Norm_Stats!$G$5="",Norm_Stats!$G$5=Norm_Stats!$F$5),"",MAX(0,MIN(100,100*(Norm_Stats!$G$5-MIN(MAX(City_Inputs!$Q145,Norm_Stats!$F$5),Norm_Stats!$G$5))/(Norm_Stats!$G$5-Norm_Stats!$F$5))))</f>
        <v/>
      </c>
      <c r="N145" s="14">
        <f>IF(M145="","",1)</f>
        <v/>
      </c>
      <c r="O145" s="11">
        <f>IF(OR(City_Inputs!$R145="",Norm_Stats!$F$6="",Norm_Stats!$G$6="",Norm_Stats!$G$6=Norm_Stats!$F$6),"",MAX(0,MIN(100,100*(Norm_Stats!$G$6-MIN(MAX(City_Inputs!$R145,Norm_Stats!$F$6),Norm_Stats!$G$6))/(Norm_Stats!$G$6-Norm_Stats!$F$6))))</f>
        <v/>
      </c>
      <c r="P145" s="14">
        <f>IF(O145="","",1)</f>
        <v/>
      </c>
      <c r="Q145" s="15">
        <f>IF((IF(G145="",0,9)+IF(I145="",0,5)+IF(K145="",0,4)+IF(M145="",0,4)+IF(O145="",0,5))=0,"",(IF(G145="",0,G145*9)+IF(I145="",0,I145*5)+IF(K145="",0,K145*4)+IF(M145="",0,M145*4)+IF(O145="",0,O145*5))/(IF(G145="",0,9)+IF(I145="",0,5)+IF(K145="",0,4)+IF(M145="",0,4)+IF(O145="",0,5)))</f>
        <v/>
      </c>
      <c r="R145" s="14">
        <f>IF((IF(H145="",0,9)+IF(J145="",0,5)+IF(L145="",0,4)+IF(N145="",0,4)+IF(P145="",0,5))=0,"",(IF(H145="",0,H145*9)+IF(J145="",0,J145*5)+IF(L145="",0,L145*4)+IF(N145="",0,N145*4)+IF(P145="",0,P145*5))/27)</f>
        <v/>
      </c>
      <c r="S145" s="11">
        <f>IF(OR(City_Inputs!$S145="",Norm_Stats!$F$7="",Norm_Stats!$G$7="",Norm_Stats!$G$7=Norm_Stats!$F$7),"",MAX(0,MIN(100,100*(Norm_Stats!$G$7-MIN(MAX(City_Inputs!$S145,Norm_Stats!$F$7),Norm_Stats!$G$7))/(Norm_Stats!$G$7-Norm_Stats!$F$7))))</f>
        <v/>
      </c>
      <c r="T145" s="14">
        <f>IF(S145="","",1)</f>
        <v/>
      </c>
      <c r="U145" s="11">
        <f>IF(OR(City_Inputs!$T145="",Norm_Stats!$F$8="",Norm_Stats!$G$8="",Norm_Stats!$G$8=Norm_Stats!$F$8),"",MAX(0,MIN(100,100*(MIN(MAX(City_Inputs!$T145,Norm_Stats!$F$8),Norm_Stats!$G$8)-Norm_Stats!$F$8)/(Norm_Stats!$G$8-Norm_Stats!$F$8))))</f>
        <v/>
      </c>
      <c r="V145" s="14">
        <f>IF(U145="","",1)</f>
        <v/>
      </c>
      <c r="W145" s="11">
        <f>IF(OR(City_Inputs!$U145="",Norm_Stats!$F$9="",Norm_Stats!$G$9="",Norm_Stats!$G$9=Norm_Stats!$F$9),"",MAX(0,MIN(100,100*(Norm_Stats!$G$9-MIN(MAX(City_Inputs!$U145,Norm_Stats!$F$9),Norm_Stats!$G$9))/(Norm_Stats!$G$9-Norm_Stats!$F$9))))</f>
        <v/>
      </c>
      <c r="X145" s="14">
        <f>IF(W145="","",1)</f>
        <v/>
      </c>
      <c r="Y145" s="11">
        <f>IF(OR(City_Inputs!$V145="",Norm_Stats!$F$10="",Norm_Stats!$G$10="",Norm_Stats!$G$10=Norm_Stats!$F$10),"",MAX(0,MIN(100,100*(MIN(MAX(City_Inputs!$V145,Norm_Stats!$F$10),Norm_Stats!$G$10)-Norm_Stats!$F$10)/(Norm_Stats!$G$10-Norm_Stats!$F$10))))</f>
        <v/>
      </c>
      <c r="Z145" s="14">
        <f>IF(Y145="","",1)</f>
        <v/>
      </c>
      <c r="AA145" s="11">
        <f>IF(OR(City_Inputs!$W145="",Norm_Stats!$F$11="",Norm_Stats!$G$11="",Norm_Stats!$G$11=Norm_Stats!$F$11),"",MAX(0,MIN(100,100*(MIN(MAX(City_Inputs!$W145,Norm_Stats!$F$11),Norm_Stats!$G$11)-Norm_Stats!$F$11)/(Norm_Stats!$G$11-Norm_Stats!$F$11))))</f>
        <v/>
      </c>
      <c r="AB145" s="14">
        <f>IF(AA145="","",1)</f>
        <v/>
      </c>
      <c r="AC145" s="11">
        <f>IF(OR(City_Inputs!$X145="",Norm_Stats!$F$12="",Norm_Stats!$G$12="",Norm_Stats!$G$12=Norm_Stats!$F$12),"",MAX(0,MIN(100,100*(MIN(MAX(City_Inputs!$X145,Norm_Stats!$F$12),Norm_Stats!$G$12)-Norm_Stats!$F$12)/(Norm_Stats!$G$12-Norm_Stats!$F$12))))</f>
        <v/>
      </c>
      <c r="AD145" s="11">
        <f>IF(AC145="","",1)</f>
        <v/>
      </c>
      <c r="AE145" s="15">
        <f>IF((IF(S145="",0,5)+IF(U145="",0,5)+IF(W145="",0,4)+IF(Y145="",0,4)+IF(AA145="",0,4)+IF(AC145="",0,5))=0,"",(IF(S145="",0,S145*5)+IF(U145="",0,U145*5)+IF(W145="",0,W145*4)+IF(Y145="",0,Y145*4)+IF(AA145="",0,AA145*4)+IF(AC145="",0,AC145*5))/(IF(S145="",0,5)+IF(U145="",0,5)+IF(W145="",0,4)+IF(Y145="",0,4)+IF(AA145="",0,4)+IF(AC145="",0,5)))</f>
        <v/>
      </c>
      <c r="AF145" s="14">
        <f>IF((IF(T145="",0,5)+IF(V145="",0,5)+IF(X145="",0,4)+IF(Z145="",0,4)+IF(AB145="",0,4)+IF(AD145="",0,5))=0,"",(IF(T145="",0,T145*5)+IF(V145="",0,V145*5)+IF(X145="",0,X145*4)+IF(Z145="",0,Z145*4)+IF(AB145="",0,AB145*4)+IF(AD145="",0,AD145*5))/27)</f>
        <v/>
      </c>
      <c r="AG145" s="11">
        <f>IF(OR(City_Inputs!$Y145="",Norm_Stats!$F$13="",Norm_Stats!$G$13="",Norm_Stats!$G$13=Norm_Stats!$F$13),"",MAX(0,MIN(100,100*(MIN(MAX(City_Inputs!$Y145,Norm_Stats!$F$13),Norm_Stats!$G$13)-Norm_Stats!$F$13)/(Norm_Stats!$G$13-Norm_Stats!$F$13))))</f>
        <v/>
      </c>
      <c r="AH145" s="14">
        <f>IF(AG145="","",1)</f>
        <v/>
      </c>
      <c r="AI145" s="11">
        <f>IF(OR(City_Inputs!$Z145="",Norm_Stats!$F$14="",Norm_Stats!$G$14="",Norm_Stats!$G$14=Norm_Stats!$F$14),"",MAX(0,MIN(100,100*(MIN(MAX(City_Inputs!$Z145,Norm_Stats!$F$14),Norm_Stats!$G$14)-Norm_Stats!$F$14)/(Norm_Stats!$G$14-Norm_Stats!$F$14))))</f>
        <v/>
      </c>
      <c r="AJ145" s="14">
        <f>IF(AI145="","",1)</f>
        <v/>
      </c>
      <c r="AK145" s="11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(IF(OR(City_Inputs!$AA145="",Norm_Stats!$F$15="",Norm_Stats!$G$15="",Norm_Stats!$G$15=Norm_Stats!$F$15),"",MAX(0,MIN(100,100*(MIN(MAX(City_Inputs!$AA145,Norm_Stats!$F$15),Norm_Stats!$G$15)-Norm_Stats!$F$15)/(Norm_Stats!$G$15-Norm_Stats!$F$15)))))*0.7)+IF((IF(OR(City_Inputs!$AL145="",Norm_Stats!$F$16="",Norm_Stats!$G$16="",Norm_Stats!$G$16=Norm_Stats!$F$16),"",MAX(0,MIN(100,100*(Norm_Stats!$G$16-MIN(MAX(City_Inputs!$AL145,Norm_Stats!$F$16),Norm_Stats!$G$16))/(Norm_Stats!$G$16-Norm_Stats!$F$16)))))="",0,(IF(OR(City_Inputs!$AL145="",Norm_Stats!$F$16="",Norm_Stats!$G$16="",Norm_Stats!$G$16=Norm_Stats!$F$16),"",MAX(0,MIN(100,100*(Norm_Stats!$G$16-MIN(MAX(City_Inputs!$AL145,Norm_Stats!$F$16),Norm_Stats!$G$16))/(Norm_Stats!$G$16-Norm_Stats!$F$16)))))*0.3))/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L145" s="14">
        <f>IF(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=0,"",(IF((IF(OR(City_Inputs!$AA145="",Norm_Stats!$F$15="",Norm_Stats!$G$15="",Norm_Stats!$G$15=Norm_Stats!$F$15),"",MAX(0,MIN(100,100*(MIN(MAX(City_Inputs!$AA145,Norm_Stats!$F$15),Norm_Stats!$G$15)-Norm_Stats!$F$15)/(Norm_Stats!$G$15-Norm_Stats!$F$15)))))="",0,0.7)+IF((IF(OR(City_Inputs!$AL145="",Norm_Stats!$F$16="",Norm_Stats!$G$16="",Norm_Stats!$G$16=Norm_Stats!$F$16),"",MAX(0,MIN(100,100*(Norm_Stats!$G$16-MIN(MAX(City_Inputs!$AL145,Norm_Stats!$F$16),Norm_Stats!$G$16))/(Norm_Stats!$G$16-Norm_Stats!$F$16)))))="",0,0.3)))</f>
        <v/>
      </c>
      <c r="AM145" s="15">
        <f>IF((IF(AG145="",0,8)+IF(AI145="",0,6)+IF(AK145="",0,4))=0,"",(IF(AG145="",0,AG145*8)+IF(AI145="",0,AI145*6)+IF(AK145="",0,AK145*4))/(IF(AG145="",0,8)+IF(AI145="",0,6)+IF(AK145="",0,4)))</f>
        <v/>
      </c>
      <c r="AN145" s="14">
        <f>IF((IF(AH145="",0,8)+IF(AJ145="",0,6)+IF(AL145="",0,4))=0,"",(IF(AH145="",0,AH145*8)+IF(AJ145="",0,AJ145*6)+IF(AL145="",0,AL145*4))/18)</f>
        <v/>
      </c>
      <c r="AO145" s="11">
        <f>IF(OR(City_Inputs!$AB145="",Norm_Stats!$F$17="",Norm_Stats!$G$17="",Norm_Stats!$G$17=Norm_Stats!$F$17),"",MAX(0,MIN(100,100*(MIN(MAX(City_Inputs!$AB145,Norm_Stats!$F$17),Norm_Stats!$G$17)-Norm_Stats!$F$17)/(Norm_Stats!$G$17-Norm_Stats!$F$17))))</f>
        <v/>
      </c>
      <c r="AP145" s="14">
        <f>IF(AO145="","",1)</f>
        <v/>
      </c>
      <c r="AQ145" s="11">
        <f>IF(OR(City_Inputs!$AC145="",Norm_Stats!$F$18="",Norm_Stats!$G$18="",Norm_Stats!$G$18=Norm_Stats!$F$18),"",MAX(0,MIN(100,100*(MIN(MAX(City_Inputs!$AC145,Norm_Stats!$F$18),Norm_Stats!$G$18)-Norm_Stats!$F$18)/(Norm_Stats!$G$18-Norm_Stats!$F$18))))</f>
        <v/>
      </c>
      <c r="AR145" s="14">
        <f>IF(AQ145="","",1)</f>
        <v/>
      </c>
      <c r="AS145" s="11">
        <f>IF(OR(City_Inputs!$AD145="",Norm_Stats!$F$19="",Norm_Stats!$G$19="",Norm_Stats!$G$19=Norm_Stats!$F$19),"",MAX(0,MIN(100,100*(MIN(MAX(City_Inputs!$AD145,Norm_Stats!$F$19),Norm_Stats!$G$19)-Norm_Stats!$F$19)/(Norm_Stats!$G$19-Norm_Stats!$F$19))))</f>
        <v/>
      </c>
      <c r="AT145" s="14">
        <f>IF(AS145="","",1)</f>
        <v/>
      </c>
      <c r="AU145" s="11">
        <f>IF(OR(City_Inputs!$BJ145="",Norm_Stats!$F$26="",Norm_Stats!$G$26="",Norm_Stats!$G$26=Norm_Stats!$F$26),"",MAX(0,MIN(100,100*(MIN(MAX(City_Inputs!$BJ145,Norm_Stats!$F$26),Norm_Stats!$G$26)-Norm_Stats!$F$26)/(Norm_Stats!$G$26-Norm_Stats!$F$26))))</f>
        <v/>
      </c>
      <c r="AV145" s="11">
        <f>IF(AU145="","",1)</f>
        <v/>
      </c>
      <c r="AW145" s="15">
        <f>IF((IF(AO145="",0,5)+IF(AQ145="",0,5)+IF(AS145="",0,5)+IF(AU145="",0,4))=0,"",(IF(AO145="",0,AO145*5)+IF(AQ145="",0,AQ145*5)+IF(AS145="",0,AS145*5)+IF(AU145="",0,AU145*4))/(IF(AO145="",0,5)+IF(AQ145="",0,5)+IF(AS145="",0,5)+IF(AU145="",0,4)))</f>
        <v/>
      </c>
      <c r="AX145" s="14">
        <f>IF((IF(AP145="",0,5)+IF(AR145="",0,5)+IF(AT145="",0,5)+IF(AV145="",0,4))=0,"",(IF(AP145="",0,AP145*5)+IF(AR145="",0,AR145*5)+IF(AT145="",0,AT145*5)+IF(AV145="",0,AV145*4))/19)</f>
        <v/>
      </c>
      <c r="AY145" s="11">
        <f>IF(OR(City_Inputs!$AE145="",Norm_Stats!$F$20="",Norm_Stats!$G$20="",Norm_Stats!$G$20=Norm_Stats!$F$20),"",MAX(0,MIN(100,100*(MIN(MAX(City_Inputs!$AE145,Norm_Stats!$F$20),Norm_Stats!$G$20)-Norm_Stats!$F$20)/(Norm_Stats!$G$20-Norm_Stats!$F$20))))</f>
        <v/>
      </c>
      <c r="AZ145" s="14">
        <f>IF(AY145="","",1)</f>
        <v/>
      </c>
      <c r="BA145" s="11">
        <f>IF(OR(City_Inputs!$AF145="",Norm_Stats!$F$21="",Norm_Stats!$G$21="",Norm_Stats!$G$21=Norm_Stats!$F$21),"",MAX(0,MIN(100,100*(MIN(MAX(City_Inputs!$AF145,Norm_Stats!$F$21),Norm_Stats!$G$21)-Norm_Stats!$F$21)/(Norm_Stats!$G$21-Norm_Stats!$F$21))))</f>
        <v/>
      </c>
      <c r="BB145" s="14">
        <f>IF(BA145="","",1)</f>
        <v/>
      </c>
      <c r="BC145" s="11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(IF(OR(City_Inputs!$AG145="",Norm_Stats!$F$22="",Norm_Stats!$G$22="",Norm_Stats!$G$22=Norm_Stats!$F$22),"",MAX(0,MIN(100,100*(MIN(MAX(City_Inputs!$AG145,Norm_Stats!$F$22),Norm_Stats!$G$22)-Norm_Stats!$F$22)/(Norm_Stats!$G$22-Norm_Stats!$F$22)))))*0.5)+IF((IF(OR(City_Inputs!$AJ145="",Norm_Stats!$F$23="",Norm_Stats!$G$23="",Norm_Stats!$G$23=Norm_Stats!$F$23),"",MAX(0,MIN(100,100*(MIN(MAX(City_Inputs!$AJ145,Norm_Stats!$F$23),Norm_Stats!$G$23)-Norm_Stats!$F$23)/(Norm_Stats!$G$23-Norm_Stats!$F$23)))))="",0,(IF(OR(City_Inputs!$AJ145="",Norm_Stats!$F$23="",Norm_Stats!$G$23="",Norm_Stats!$G$23=Norm_Stats!$F$23),"",MAX(0,MIN(100,100*(MIN(MAX(City_Inputs!$AJ145,Norm_Stats!$F$23),Norm_Stats!$G$23)-Norm_Stats!$F$23)/(Norm_Stats!$G$23-Norm_Stats!$F$23)))))*0.3)+IF((IF(OR(City_Inputs!$AK145="",Norm_Stats!$F$24="",Norm_Stats!$G$24="",Norm_Stats!$G$24=Norm_Stats!$F$24),"",MAX(0,MIN(100,100*(MIN(MAX(City_Inputs!$AK145,Norm_Stats!$F$24),Norm_Stats!$G$24)-Norm_Stats!$F$24)/(Norm_Stats!$G$24-Norm_Stats!$F$24)))))="",0,(IF(OR(City_Inputs!$AK145="",Norm_Stats!$F$24="",Norm_Stats!$G$24="",Norm_Stats!$G$24=Norm_Stats!$F$24),"",MAX(0,MIN(100,100*(MIN(MAX(City_Inputs!$AK145,Norm_Stats!$F$24),Norm_Stats!$G$24)-Norm_Stats!$F$24)/(Norm_Stats!$G$24-Norm_Stats!$F$24)))))*0.2))/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D145" s="14">
        <f>IF(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=0,"",(IF((IF(OR(City_Inputs!$AG145="",Norm_Stats!$F$22="",Norm_Stats!$G$22="",Norm_Stats!$G$22=Norm_Stats!$F$22),"",MAX(0,MIN(100,100*(MIN(MAX(City_Inputs!$AG145,Norm_Stats!$F$22),Norm_Stats!$G$22)-Norm_Stats!$F$22)/(Norm_Stats!$G$22-Norm_Stats!$F$22)))))="",0,0.5)+IF((IF(OR(City_Inputs!$AJ145="",Norm_Stats!$F$23="",Norm_Stats!$G$23="",Norm_Stats!$G$23=Norm_Stats!$F$23),"",MAX(0,MIN(100,100*(MIN(MAX(City_Inputs!$AJ145,Norm_Stats!$F$23),Norm_Stats!$G$23)-Norm_Stats!$F$23)/(Norm_Stats!$G$23-Norm_Stats!$F$23)))))="",0,0.3)+IF((IF(OR(City_Inputs!$AK145="",Norm_Stats!$F$24="",Norm_Stats!$G$24="",Norm_Stats!$G$24=Norm_Stats!$F$24),"",MAX(0,MIN(100,100*(MIN(MAX(City_Inputs!$AK145,Norm_Stats!$F$24),Norm_Stats!$G$24)-Norm_Stats!$F$24)/(Norm_Stats!$G$24-Norm_Stats!$F$24)))))="",0,0.2)))</f>
        <v/>
      </c>
      <c r="BE145" s="11">
        <f>IF(OR(City_Inputs!$AH145="",Norm_Stats!$F$25="",Norm_Stats!$G$25="",Norm_Stats!$G$25=Norm_Stats!$F$25),"",MAX(0,MIN(100,100*(Norm_Stats!$G$25-MIN(MAX(City_Inputs!$AH145,Norm_Stats!$F$25),Norm_Stats!$G$25))/(Norm_Stats!$G$25-Norm_Stats!$F$25))))</f>
        <v/>
      </c>
      <c r="BF145" s="14">
        <f>IF(BE145="","",1)</f>
        <v/>
      </c>
      <c r="BG145" s="15">
        <f>IF((IF(AY145="",0,6)+IF(BA145="",0,5)+IF(BC145="",0,5)+IF(BE145="",0,4))=0,"",(IF(AY145="",0,AY145*6)+IF(BA145="",0,BA145*5)+IF(BC145="",0,BC145*5)+IF(BE145="",0,BE145*4))/(IF(AY145="",0,6)+IF(BA145="",0,5)+IF(BC145="",0,5)+IF(BE145="",0,4)))</f>
        <v/>
      </c>
      <c r="BH145" s="14">
        <f>IF((IF(AZ145="",0,6)+IF(BB145="",0,5)+IF(BD145="",0,5)+IF(BF145="",0,4))=0,"",(IF(AZ145="",0,AZ145*6)+IF(BB145="",0,BB145*5)+IF(BD145="",0,BD145*5)+IF(BF145="",0,BF145*4))/20)</f>
        <v/>
      </c>
      <c r="BI145" s="14">
        <f>IF(AND(R145="",AF145="",AN145="",AX145="",BH145=""),"",((R145*25)+(AF145*22)+(AN145*18)+(AX145*15)+(BH145*20))/100)</f>
        <v/>
      </c>
      <c r="BJ145" s="11">
        <f>IF(BI145="","",IF(BI145&gt;=0.75,"A",IF(BI145&gt;=0.5,"B",IF(BI145&gt;=0.35,"C","Watchlist"))))</f>
        <v/>
      </c>
      <c r="BK145" s="11">
        <f>IF(OR(BI145="",BI145&lt;0.5,R145="",R145&lt;0.35,AF145="",AF145&lt;0.35,AN145="",AN145&lt;0.35,AX145="",AX145&lt;0.35,BH145="",BH145&lt;0.35),"Watchlist","Ranked")</f>
        <v/>
      </c>
      <c r="BL145" s="15">
        <f>IF(AND(Q145="",AE145="",AM145="",AW145="",BG145=""),"",(IF(Q145="",0,Q145*25)+IF(AE145="",0,AE145*22)+IF(AM145="",0,AM145*18)+IF(AW145="",0,AW145*15)+IF(BG145="",0,BG145*20))/(IF(Q145="",0,25)+IF(AE145="",0,22)+IF(AM145="",0,18)+IF(AW145="",0,15)+IF(BG145="",0,20)))</f>
        <v/>
      </c>
      <c r="BM145" s="11">
        <f>IF(BK145="Ranked",1+COUNTIFS($BK$2:$BK$158,"Ranked",$BL$2:$BL$158,"&gt;"&amp;BL145),"")</f>
        <v/>
      </c>
      <c r="BN145" s="11">
        <f>City_Inputs!$AI145</f>
        <v/>
      </c>
    </row>
    <row r="146">
      <c r="A146" t="inlineStr">
        <is>
          <t>il-haifa</t>
        </is>
      </c>
      <c r="B146" t="inlineStr">
        <is>
          <t>Haifa</t>
        </is>
      </c>
      <c r="C146" t="inlineStr">
        <is>
          <t>Israel</t>
        </is>
      </c>
      <c r="D146" t="inlineStr">
        <is>
          <t>Middle East</t>
        </is>
      </c>
      <c r="E146" t="inlineStr">
        <is>
          <t>provisional</t>
        </is>
      </c>
      <c r="F146" t="inlineStr">
        <is>
          <t>secondary</t>
        </is>
      </c>
      <c r="G146" s="11">
        <f>IF(OR(City_Inputs!$M146="",Norm_Stats!$F$2="",Norm_Stats!$G$2="",Norm_Stats!$G$2=Norm_Stats!$F$2),"",MAX(0,MIN(100,100*(MIN(MAX(City_Inputs!$M146,Norm_Stats!$F$2),Norm_Stats!$G$2)-Norm_Stats!$F$2)/(Norm_Stats!$G$2-Norm_Stats!$F$2))))</f>
        <v/>
      </c>
      <c r="H146" s="14">
        <f>IF(G146="","",1)</f>
        <v/>
      </c>
      <c r="I146" s="11">
        <f>IF(OR(City_Inputs!$N146="",Norm_Stats!$F$3="",Norm_Stats!$G$3="",Norm_Stats!$G$3=Norm_Stats!$F$3),"",MAX(0,MIN(100,100*(Norm_Stats!$G$3-MIN(MAX(City_Inputs!$N146,Norm_Stats!$F$3),Norm_Stats!$G$3))/(Norm_Stats!$G$3-Norm_Stats!$F$3))))</f>
        <v/>
      </c>
      <c r="J146" s="14">
        <f>IF(I146="","",1)</f>
        <v/>
      </c>
      <c r="K146" s="11">
        <f>IF(OR(City_Inputs!$P146="",Norm_Stats!$F$4="",Norm_Stats!$G$4="",Norm_Stats!$G$4=Norm_Stats!$F$4),"",MAX(0,MIN(100,100*(Norm_Stats!$G$4-MIN(MAX(City_Inputs!$P146,Norm_Stats!$F$4),Norm_Stats!$G$4))/(Norm_Stats!$G$4-Norm_Stats!$F$4))))</f>
        <v/>
      </c>
      <c r="L146" s="14">
        <f>IF(K146="","",1)</f>
        <v/>
      </c>
      <c r="M146" s="11">
        <f>IF(OR(City_Inputs!$Q146="",Norm_Stats!$F$5="",Norm_Stats!$G$5="",Norm_Stats!$G$5=Norm_Stats!$F$5),"",MAX(0,MIN(100,100*(Norm_Stats!$G$5-MIN(MAX(City_Inputs!$Q146,Norm_Stats!$F$5),Norm_Stats!$G$5))/(Norm_Stats!$G$5-Norm_Stats!$F$5))))</f>
        <v/>
      </c>
      <c r="N146" s="14">
        <f>IF(M146="","",1)</f>
        <v/>
      </c>
      <c r="O146" s="11">
        <f>IF(OR(City_Inputs!$R146="",Norm_Stats!$F$6="",Norm_Stats!$G$6="",Norm_Stats!$G$6=Norm_Stats!$F$6),"",MAX(0,MIN(100,100*(Norm_Stats!$G$6-MIN(MAX(City_Inputs!$R146,Norm_Stats!$F$6),Norm_Stats!$G$6))/(Norm_Stats!$G$6-Norm_Stats!$F$6))))</f>
        <v/>
      </c>
      <c r="P146" s="14">
        <f>IF(O146="","",1)</f>
        <v/>
      </c>
      <c r="Q146" s="15">
        <f>IF((IF(G146="",0,9)+IF(I146="",0,5)+IF(K146="",0,4)+IF(M146="",0,4)+IF(O146="",0,5))=0,"",(IF(G146="",0,G146*9)+IF(I146="",0,I146*5)+IF(K146="",0,K146*4)+IF(M146="",0,M146*4)+IF(O146="",0,O146*5))/(IF(G146="",0,9)+IF(I146="",0,5)+IF(K146="",0,4)+IF(M146="",0,4)+IF(O146="",0,5)))</f>
        <v/>
      </c>
      <c r="R146" s="14">
        <f>IF((IF(H146="",0,9)+IF(J146="",0,5)+IF(L146="",0,4)+IF(N146="",0,4)+IF(P146="",0,5))=0,"",(IF(H146="",0,H146*9)+IF(J146="",0,J146*5)+IF(L146="",0,L146*4)+IF(N146="",0,N146*4)+IF(P146="",0,P146*5))/27)</f>
        <v/>
      </c>
      <c r="S146" s="11">
        <f>IF(OR(City_Inputs!$S146="",Norm_Stats!$F$7="",Norm_Stats!$G$7="",Norm_Stats!$G$7=Norm_Stats!$F$7),"",MAX(0,MIN(100,100*(Norm_Stats!$G$7-MIN(MAX(City_Inputs!$S146,Norm_Stats!$F$7),Norm_Stats!$G$7))/(Norm_Stats!$G$7-Norm_Stats!$F$7))))</f>
        <v/>
      </c>
      <c r="T146" s="14">
        <f>IF(S146="","",1)</f>
        <v/>
      </c>
      <c r="U146" s="11">
        <f>IF(OR(City_Inputs!$T146="",Norm_Stats!$F$8="",Norm_Stats!$G$8="",Norm_Stats!$G$8=Norm_Stats!$F$8),"",MAX(0,MIN(100,100*(MIN(MAX(City_Inputs!$T146,Norm_Stats!$F$8),Norm_Stats!$G$8)-Norm_Stats!$F$8)/(Norm_Stats!$G$8-Norm_Stats!$F$8))))</f>
        <v/>
      </c>
      <c r="V146" s="14">
        <f>IF(U146="","",1)</f>
        <v/>
      </c>
      <c r="W146" s="11">
        <f>IF(OR(City_Inputs!$U146="",Norm_Stats!$F$9="",Norm_Stats!$G$9="",Norm_Stats!$G$9=Norm_Stats!$F$9),"",MAX(0,MIN(100,100*(Norm_Stats!$G$9-MIN(MAX(City_Inputs!$U146,Norm_Stats!$F$9),Norm_Stats!$G$9))/(Norm_Stats!$G$9-Norm_Stats!$F$9))))</f>
        <v/>
      </c>
      <c r="X146" s="14">
        <f>IF(W146="","",1)</f>
        <v/>
      </c>
      <c r="Y146" s="11">
        <f>IF(OR(City_Inputs!$V146="",Norm_Stats!$F$10="",Norm_Stats!$G$10="",Norm_Stats!$G$10=Norm_Stats!$F$10),"",MAX(0,MIN(100,100*(MIN(MAX(City_Inputs!$V146,Norm_Stats!$F$10),Norm_Stats!$G$10)-Norm_Stats!$F$10)/(Norm_Stats!$G$10-Norm_Stats!$F$10))))</f>
        <v/>
      </c>
      <c r="Z146" s="14">
        <f>IF(Y146="","",1)</f>
        <v/>
      </c>
      <c r="AA146" s="11">
        <f>IF(OR(City_Inputs!$W146="",Norm_Stats!$F$11="",Norm_Stats!$G$11="",Norm_Stats!$G$11=Norm_Stats!$F$11),"",MAX(0,MIN(100,100*(MIN(MAX(City_Inputs!$W146,Norm_Stats!$F$11),Norm_Stats!$G$11)-Norm_Stats!$F$11)/(Norm_Stats!$G$11-Norm_Stats!$F$11))))</f>
        <v/>
      </c>
      <c r="AB146" s="14">
        <f>IF(AA146="","",1)</f>
        <v/>
      </c>
      <c r="AC146" s="11">
        <f>IF(OR(City_Inputs!$X146="",Norm_Stats!$F$12="",Norm_Stats!$G$12="",Norm_Stats!$G$12=Norm_Stats!$F$12),"",MAX(0,MIN(100,100*(MIN(MAX(City_Inputs!$X146,Norm_Stats!$F$12),Norm_Stats!$G$12)-Norm_Stats!$F$12)/(Norm_Stats!$G$12-Norm_Stats!$F$12))))</f>
        <v/>
      </c>
      <c r="AD146" s="11">
        <f>IF(AC146="","",1)</f>
        <v/>
      </c>
      <c r="AE146" s="15">
        <f>IF((IF(S146="",0,5)+IF(U146="",0,5)+IF(W146="",0,4)+IF(Y146="",0,4)+IF(AA146="",0,4)+IF(AC146="",0,5))=0,"",(IF(S146="",0,S146*5)+IF(U146="",0,U146*5)+IF(W146="",0,W146*4)+IF(Y146="",0,Y146*4)+IF(AA146="",0,AA146*4)+IF(AC146="",0,AC146*5))/(IF(S146="",0,5)+IF(U146="",0,5)+IF(W146="",0,4)+IF(Y146="",0,4)+IF(AA146="",0,4)+IF(AC146="",0,5)))</f>
        <v/>
      </c>
      <c r="AF146" s="14">
        <f>IF((IF(T146="",0,5)+IF(V146="",0,5)+IF(X146="",0,4)+IF(Z146="",0,4)+IF(AB146="",0,4)+IF(AD146="",0,5))=0,"",(IF(T146="",0,T146*5)+IF(V146="",0,V146*5)+IF(X146="",0,X146*4)+IF(Z146="",0,Z146*4)+IF(AB146="",0,AB146*4)+IF(AD146="",0,AD146*5))/27)</f>
        <v/>
      </c>
      <c r="AG146" s="11">
        <f>IF(OR(City_Inputs!$Y146="",Norm_Stats!$F$13="",Norm_Stats!$G$13="",Norm_Stats!$G$13=Norm_Stats!$F$13),"",MAX(0,MIN(100,100*(MIN(MAX(City_Inputs!$Y146,Norm_Stats!$F$13),Norm_Stats!$G$13)-Norm_Stats!$F$13)/(Norm_Stats!$G$13-Norm_Stats!$F$13))))</f>
        <v/>
      </c>
      <c r="AH146" s="14">
        <f>IF(AG146="","",1)</f>
        <v/>
      </c>
      <c r="AI146" s="11">
        <f>IF(OR(City_Inputs!$Z146="",Norm_Stats!$F$14="",Norm_Stats!$G$14="",Norm_Stats!$G$14=Norm_Stats!$F$14),"",MAX(0,MIN(100,100*(MIN(MAX(City_Inputs!$Z146,Norm_Stats!$F$14),Norm_Stats!$G$14)-Norm_Stats!$F$14)/(Norm_Stats!$G$14-Norm_Stats!$F$14))))</f>
        <v/>
      </c>
      <c r="AJ146" s="14">
        <f>IF(AI146="","",1)</f>
        <v/>
      </c>
      <c r="AK146" s="11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(IF(OR(City_Inputs!$AA146="",Norm_Stats!$F$15="",Norm_Stats!$G$15="",Norm_Stats!$G$15=Norm_Stats!$F$15),"",MAX(0,MIN(100,100*(MIN(MAX(City_Inputs!$AA146,Norm_Stats!$F$15),Norm_Stats!$G$15)-Norm_Stats!$F$15)/(Norm_Stats!$G$15-Norm_Stats!$F$15)))))*0.7)+IF((IF(OR(City_Inputs!$AL146="",Norm_Stats!$F$16="",Norm_Stats!$G$16="",Norm_Stats!$G$16=Norm_Stats!$F$16),"",MAX(0,MIN(100,100*(Norm_Stats!$G$16-MIN(MAX(City_Inputs!$AL146,Norm_Stats!$F$16),Norm_Stats!$G$16))/(Norm_Stats!$G$16-Norm_Stats!$F$16)))))="",0,(IF(OR(City_Inputs!$AL146="",Norm_Stats!$F$16="",Norm_Stats!$G$16="",Norm_Stats!$G$16=Norm_Stats!$F$16),"",MAX(0,MIN(100,100*(Norm_Stats!$G$16-MIN(MAX(City_Inputs!$AL146,Norm_Stats!$F$16),Norm_Stats!$G$16))/(Norm_Stats!$G$16-Norm_Stats!$F$16)))))*0.3))/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L146" s="14">
        <f>IF(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=0,"",(IF((IF(OR(City_Inputs!$AA146="",Norm_Stats!$F$15="",Norm_Stats!$G$15="",Norm_Stats!$G$15=Norm_Stats!$F$15),"",MAX(0,MIN(100,100*(MIN(MAX(City_Inputs!$AA146,Norm_Stats!$F$15),Norm_Stats!$G$15)-Norm_Stats!$F$15)/(Norm_Stats!$G$15-Norm_Stats!$F$15)))))="",0,0.7)+IF((IF(OR(City_Inputs!$AL146="",Norm_Stats!$F$16="",Norm_Stats!$G$16="",Norm_Stats!$G$16=Norm_Stats!$F$16),"",MAX(0,MIN(100,100*(Norm_Stats!$G$16-MIN(MAX(City_Inputs!$AL146,Norm_Stats!$F$16),Norm_Stats!$G$16))/(Norm_Stats!$G$16-Norm_Stats!$F$16)))))="",0,0.3)))</f>
        <v/>
      </c>
      <c r="AM146" s="15">
        <f>IF((IF(AG146="",0,8)+IF(AI146="",0,6)+IF(AK146="",0,4))=0,"",(IF(AG146="",0,AG146*8)+IF(AI146="",0,AI146*6)+IF(AK146="",0,AK146*4))/(IF(AG146="",0,8)+IF(AI146="",0,6)+IF(AK146="",0,4)))</f>
        <v/>
      </c>
      <c r="AN146" s="14">
        <f>IF((IF(AH146="",0,8)+IF(AJ146="",0,6)+IF(AL146="",0,4))=0,"",(IF(AH146="",0,AH146*8)+IF(AJ146="",0,AJ146*6)+IF(AL146="",0,AL146*4))/18)</f>
        <v/>
      </c>
      <c r="AO146" s="11">
        <f>IF(OR(City_Inputs!$AB146="",Norm_Stats!$F$17="",Norm_Stats!$G$17="",Norm_Stats!$G$17=Norm_Stats!$F$17),"",MAX(0,MIN(100,100*(MIN(MAX(City_Inputs!$AB146,Norm_Stats!$F$17),Norm_Stats!$G$17)-Norm_Stats!$F$17)/(Norm_Stats!$G$17-Norm_Stats!$F$17))))</f>
        <v/>
      </c>
      <c r="AP146" s="14">
        <f>IF(AO146="","",1)</f>
        <v/>
      </c>
      <c r="AQ146" s="11">
        <f>IF(OR(City_Inputs!$AC146="",Norm_Stats!$F$18="",Norm_Stats!$G$18="",Norm_Stats!$G$18=Norm_Stats!$F$18),"",MAX(0,MIN(100,100*(MIN(MAX(City_Inputs!$AC146,Norm_Stats!$F$18),Norm_Stats!$G$18)-Norm_Stats!$F$18)/(Norm_Stats!$G$18-Norm_Stats!$F$18))))</f>
        <v/>
      </c>
      <c r="AR146" s="14">
        <f>IF(AQ146="","",1)</f>
        <v/>
      </c>
      <c r="AS146" s="11">
        <f>IF(OR(City_Inputs!$AD146="",Norm_Stats!$F$19="",Norm_Stats!$G$19="",Norm_Stats!$G$19=Norm_Stats!$F$19),"",MAX(0,MIN(100,100*(MIN(MAX(City_Inputs!$AD146,Norm_Stats!$F$19),Norm_Stats!$G$19)-Norm_Stats!$F$19)/(Norm_Stats!$G$19-Norm_Stats!$F$19))))</f>
        <v/>
      </c>
      <c r="AT146" s="14">
        <f>IF(AS146="","",1)</f>
        <v/>
      </c>
      <c r="AU146" s="11">
        <f>IF(OR(City_Inputs!$BJ146="",Norm_Stats!$F$26="",Norm_Stats!$G$26="",Norm_Stats!$G$26=Norm_Stats!$F$26),"",MAX(0,MIN(100,100*(MIN(MAX(City_Inputs!$BJ146,Norm_Stats!$F$26),Norm_Stats!$G$26)-Norm_Stats!$F$26)/(Norm_Stats!$G$26-Norm_Stats!$F$26))))</f>
        <v/>
      </c>
      <c r="AV146" s="11">
        <f>IF(AU146="","",1)</f>
        <v/>
      </c>
      <c r="AW146" s="15">
        <f>IF((IF(AO146="",0,5)+IF(AQ146="",0,5)+IF(AS146="",0,5)+IF(AU146="",0,4))=0,"",(IF(AO146="",0,AO146*5)+IF(AQ146="",0,AQ146*5)+IF(AS146="",0,AS146*5)+IF(AU146="",0,AU146*4))/(IF(AO146="",0,5)+IF(AQ146="",0,5)+IF(AS146="",0,5)+IF(AU146="",0,4)))</f>
        <v/>
      </c>
      <c r="AX146" s="14">
        <f>IF((IF(AP146="",0,5)+IF(AR146="",0,5)+IF(AT146="",0,5)+IF(AV146="",0,4))=0,"",(IF(AP146="",0,AP146*5)+IF(AR146="",0,AR146*5)+IF(AT146="",0,AT146*5)+IF(AV146="",0,AV146*4))/19)</f>
        <v/>
      </c>
      <c r="AY146" s="11">
        <f>IF(OR(City_Inputs!$AE146="",Norm_Stats!$F$20="",Norm_Stats!$G$20="",Norm_Stats!$G$20=Norm_Stats!$F$20),"",MAX(0,MIN(100,100*(MIN(MAX(City_Inputs!$AE146,Norm_Stats!$F$20),Norm_Stats!$G$20)-Norm_Stats!$F$20)/(Norm_Stats!$G$20-Norm_Stats!$F$20))))</f>
        <v/>
      </c>
      <c r="AZ146" s="14">
        <f>IF(AY146="","",1)</f>
        <v/>
      </c>
      <c r="BA146" s="11">
        <f>IF(OR(City_Inputs!$AF146="",Norm_Stats!$F$21="",Norm_Stats!$G$21="",Norm_Stats!$G$21=Norm_Stats!$F$21),"",MAX(0,MIN(100,100*(MIN(MAX(City_Inputs!$AF146,Norm_Stats!$F$21),Norm_Stats!$G$21)-Norm_Stats!$F$21)/(Norm_Stats!$G$21-Norm_Stats!$F$21))))</f>
        <v/>
      </c>
      <c r="BB146" s="14">
        <f>IF(BA146="","",1)</f>
        <v/>
      </c>
      <c r="BC146" s="11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(IF(OR(City_Inputs!$AG146="",Norm_Stats!$F$22="",Norm_Stats!$G$22="",Norm_Stats!$G$22=Norm_Stats!$F$22),"",MAX(0,MIN(100,100*(MIN(MAX(City_Inputs!$AG146,Norm_Stats!$F$22),Norm_Stats!$G$22)-Norm_Stats!$F$22)/(Norm_Stats!$G$22-Norm_Stats!$F$22)))))*0.5)+IF((IF(OR(City_Inputs!$AJ146="",Norm_Stats!$F$23="",Norm_Stats!$G$23="",Norm_Stats!$G$23=Norm_Stats!$F$23),"",MAX(0,MIN(100,100*(MIN(MAX(City_Inputs!$AJ146,Norm_Stats!$F$23),Norm_Stats!$G$23)-Norm_Stats!$F$23)/(Norm_Stats!$G$23-Norm_Stats!$F$23)))))="",0,(IF(OR(City_Inputs!$AJ146="",Norm_Stats!$F$23="",Norm_Stats!$G$23="",Norm_Stats!$G$23=Norm_Stats!$F$23),"",MAX(0,MIN(100,100*(MIN(MAX(City_Inputs!$AJ146,Norm_Stats!$F$23),Norm_Stats!$G$23)-Norm_Stats!$F$23)/(Norm_Stats!$G$23-Norm_Stats!$F$23)))))*0.3)+IF((IF(OR(City_Inputs!$AK146="",Norm_Stats!$F$24="",Norm_Stats!$G$24="",Norm_Stats!$G$24=Norm_Stats!$F$24),"",MAX(0,MIN(100,100*(MIN(MAX(City_Inputs!$AK146,Norm_Stats!$F$24),Norm_Stats!$G$24)-Norm_Stats!$F$24)/(Norm_Stats!$G$24-Norm_Stats!$F$24)))))="",0,(IF(OR(City_Inputs!$AK146="",Norm_Stats!$F$24="",Norm_Stats!$G$24="",Norm_Stats!$G$24=Norm_Stats!$F$24),"",MAX(0,MIN(100,100*(MIN(MAX(City_Inputs!$AK146,Norm_Stats!$F$24),Norm_Stats!$G$24)-Norm_Stats!$F$24)/(Norm_Stats!$G$24-Norm_Stats!$F$24)))))*0.2))/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D146" s="14">
        <f>IF(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=0,"",(IF((IF(OR(City_Inputs!$AG146="",Norm_Stats!$F$22="",Norm_Stats!$G$22="",Norm_Stats!$G$22=Norm_Stats!$F$22),"",MAX(0,MIN(100,100*(MIN(MAX(City_Inputs!$AG146,Norm_Stats!$F$22),Norm_Stats!$G$22)-Norm_Stats!$F$22)/(Norm_Stats!$G$22-Norm_Stats!$F$22)))))="",0,0.5)+IF((IF(OR(City_Inputs!$AJ146="",Norm_Stats!$F$23="",Norm_Stats!$G$23="",Norm_Stats!$G$23=Norm_Stats!$F$23),"",MAX(0,MIN(100,100*(MIN(MAX(City_Inputs!$AJ146,Norm_Stats!$F$23),Norm_Stats!$G$23)-Norm_Stats!$F$23)/(Norm_Stats!$G$23-Norm_Stats!$F$23)))))="",0,0.3)+IF((IF(OR(City_Inputs!$AK146="",Norm_Stats!$F$24="",Norm_Stats!$G$24="",Norm_Stats!$G$24=Norm_Stats!$F$24),"",MAX(0,MIN(100,100*(MIN(MAX(City_Inputs!$AK146,Norm_Stats!$F$24),Norm_Stats!$G$24)-Norm_Stats!$F$24)/(Norm_Stats!$G$24-Norm_Stats!$F$24)))))="",0,0.2)))</f>
        <v/>
      </c>
      <c r="BE146" s="11">
        <f>IF(OR(City_Inputs!$AH146="",Norm_Stats!$F$25="",Norm_Stats!$G$25="",Norm_Stats!$G$25=Norm_Stats!$F$25),"",MAX(0,MIN(100,100*(Norm_Stats!$G$25-MIN(MAX(City_Inputs!$AH146,Norm_Stats!$F$25),Norm_Stats!$G$25))/(Norm_Stats!$G$25-Norm_Stats!$F$25))))</f>
        <v/>
      </c>
      <c r="BF146" s="14">
        <f>IF(BE146="","",1)</f>
        <v/>
      </c>
      <c r="BG146" s="15">
        <f>IF((IF(AY146="",0,6)+IF(BA146="",0,5)+IF(BC146="",0,5)+IF(BE146="",0,4))=0,"",(IF(AY146="",0,AY146*6)+IF(BA146="",0,BA146*5)+IF(BC146="",0,BC146*5)+IF(BE146="",0,BE146*4))/(IF(AY146="",0,6)+IF(BA146="",0,5)+IF(BC146="",0,5)+IF(BE146="",0,4)))</f>
        <v/>
      </c>
      <c r="BH146" s="14">
        <f>IF((IF(AZ146="",0,6)+IF(BB146="",0,5)+IF(BD146="",0,5)+IF(BF146="",0,4))=0,"",(IF(AZ146="",0,AZ146*6)+IF(BB146="",0,BB146*5)+IF(BD146="",0,BD146*5)+IF(BF146="",0,BF146*4))/20)</f>
        <v/>
      </c>
      <c r="BI146" s="14">
        <f>IF(AND(R146="",AF146="",AN146="",AX146="",BH146=""),"",((R146*25)+(AF146*22)+(AN146*18)+(AX146*15)+(BH146*20))/100)</f>
        <v/>
      </c>
      <c r="BJ146" s="11">
        <f>IF(BI146="","",IF(BI146&gt;=0.75,"A",IF(BI146&gt;=0.5,"B",IF(BI146&gt;=0.35,"C","Watchlist"))))</f>
        <v/>
      </c>
      <c r="BK146" s="11">
        <f>IF(OR(BI146="",BI146&lt;0.5,R146="",R146&lt;0.35,AF146="",AF146&lt;0.35,AN146="",AN146&lt;0.35,AX146="",AX146&lt;0.35,BH146="",BH146&lt;0.35),"Watchlist","Ranked")</f>
        <v/>
      </c>
      <c r="BL146" s="15">
        <f>IF(AND(Q146="",AE146="",AM146="",AW146="",BG146=""),"",(IF(Q146="",0,Q146*25)+IF(AE146="",0,AE146*22)+IF(AM146="",0,AM146*18)+IF(AW146="",0,AW146*15)+IF(BG146="",0,BG146*20))/(IF(Q146="",0,25)+IF(AE146="",0,22)+IF(AM146="",0,18)+IF(AW146="",0,15)+IF(BG146="",0,20)))</f>
        <v/>
      </c>
      <c r="BM146" s="11">
        <f>IF(BK146="Ranked",1+COUNTIFS($BK$2:$BK$158,"Ranked",$BL$2:$BL$158,"&gt;"&amp;BL146),"")</f>
        <v/>
      </c>
      <c r="BN146" s="11">
        <f>City_Inputs!$AI146</f>
        <v/>
      </c>
    </row>
    <row r="147">
      <c r="A147" t="inlineStr">
        <is>
          <t>om-salalah</t>
        </is>
      </c>
      <c r="B147" t="inlineStr">
        <is>
          <t>Salalah</t>
        </is>
      </c>
      <c r="C147" t="inlineStr">
        <is>
          <t>Oman</t>
        </is>
      </c>
      <c r="D147" t="inlineStr">
        <is>
          <t>Middle East</t>
        </is>
      </c>
      <c r="E147" t="inlineStr">
        <is>
          <t>provisional</t>
        </is>
      </c>
      <c r="F147" t="inlineStr">
        <is>
          <t>secondary</t>
        </is>
      </c>
      <c r="G147" s="11">
        <f>IF(OR(City_Inputs!$M147="",Norm_Stats!$F$2="",Norm_Stats!$G$2="",Norm_Stats!$G$2=Norm_Stats!$F$2),"",MAX(0,MIN(100,100*(MIN(MAX(City_Inputs!$M147,Norm_Stats!$F$2),Norm_Stats!$G$2)-Norm_Stats!$F$2)/(Norm_Stats!$G$2-Norm_Stats!$F$2))))</f>
        <v/>
      </c>
      <c r="H147" s="14">
        <f>IF(G147="","",1)</f>
        <v/>
      </c>
      <c r="I147" s="11">
        <f>IF(OR(City_Inputs!$N147="",Norm_Stats!$F$3="",Norm_Stats!$G$3="",Norm_Stats!$G$3=Norm_Stats!$F$3),"",MAX(0,MIN(100,100*(Norm_Stats!$G$3-MIN(MAX(City_Inputs!$N147,Norm_Stats!$F$3),Norm_Stats!$G$3))/(Norm_Stats!$G$3-Norm_Stats!$F$3))))</f>
        <v/>
      </c>
      <c r="J147" s="14">
        <f>IF(I147="","",1)</f>
        <v/>
      </c>
      <c r="K147" s="11">
        <f>IF(OR(City_Inputs!$P147="",Norm_Stats!$F$4="",Norm_Stats!$G$4="",Norm_Stats!$G$4=Norm_Stats!$F$4),"",MAX(0,MIN(100,100*(Norm_Stats!$G$4-MIN(MAX(City_Inputs!$P147,Norm_Stats!$F$4),Norm_Stats!$G$4))/(Norm_Stats!$G$4-Norm_Stats!$F$4))))</f>
        <v/>
      </c>
      <c r="L147" s="14">
        <f>IF(K147="","",1)</f>
        <v/>
      </c>
      <c r="M147" s="11">
        <f>IF(OR(City_Inputs!$Q147="",Norm_Stats!$F$5="",Norm_Stats!$G$5="",Norm_Stats!$G$5=Norm_Stats!$F$5),"",MAX(0,MIN(100,100*(Norm_Stats!$G$5-MIN(MAX(City_Inputs!$Q147,Norm_Stats!$F$5),Norm_Stats!$G$5))/(Norm_Stats!$G$5-Norm_Stats!$F$5))))</f>
        <v/>
      </c>
      <c r="N147" s="14">
        <f>IF(M147="","",1)</f>
        <v/>
      </c>
      <c r="O147" s="11">
        <f>IF(OR(City_Inputs!$R147="",Norm_Stats!$F$6="",Norm_Stats!$G$6="",Norm_Stats!$G$6=Norm_Stats!$F$6),"",MAX(0,MIN(100,100*(Norm_Stats!$G$6-MIN(MAX(City_Inputs!$R147,Norm_Stats!$F$6),Norm_Stats!$G$6))/(Norm_Stats!$G$6-Norm_Stats!$F$6))))</f>
        <v/>
      </c>
      <c r="P147" s="14">
        <f>IF(O147="","",1)</f>
        <v/>
      </c>
      <c r="Q147" s="15">
        <f>IF((IF(G147="",0,9)+IF(I147="",0,5)+IF(K147="",0,4)+IF(M147="",0,4)+IF(O147="",0,5))=0,"",(IF(G147="",0,G147*9)+IF(I147="",0,I147*5)+IF(K147="",0,K147*4)+IF(M147="",0,M147*4)+IF(O147="",0,O147*5))/(IF(G147="",0,9)+IF(I147="",0,5)+IF(K147="",0,4)+IF(M147="",0,4)+IF(O147="",0,5)))</f>
        <v/>
      </c>
      <c r="R147" s="14">
        <f>IF((IF(H147="",0,9)+IF(J147="",0,5)+IF(L147="",0,4)+IF(N147="",0,4)+IF(P147="",0,5))=0,"",(IF(H147="",0,H147*9)+IF(J147="",0,J147*5)+IF(L147="",0,L147*4)+IF(N147="",0,N147*4)+IF(P147="",0,P147*5))/27)</f>
        <v/>
      </c>
      <c r="S147" s="11">
        <f>IF(OR(City_Inputs!$S147="",Norm_Stats!$F$7="",Norm_Stats!$G$7="",Norm_Stats!$G$7=Norm_Stats!$F$7),"",MAX(0,MIN(100,100*(Norm_Stats!$G$7-MIN(MAX(City_Inputs!$S147,Norm_Stats!$F$7),Norm_Stats!$G$7))/(Norm_Stats!$G$7-Norm_Stats!$F$7))))</f>
        <v/>
      </c>
      <c r="T147" s="14">
        <f>IF(S147="","",1)</f>
        <v/>
      </c>
      <c r="U147" s="11">
        <f>IF(OR(City_Inputs!$T147="",Norm_Stats!$F$8="",Norm_Stats!$G$8="",Norm_Stats!$G$8=Norm_Stats!$F$8),"",MAX(0,MIN(100,100*(MIN(MAX(City_Inputs!$T147,Norm_Stats!$F$8),Norm_Stats!$G$8)-Norm_Stats!$F$8)/(Norm_Stats!$G$8-Norm_Stats!$F$8))))</f>
        <v/>
      </c>
      <c r="V147" s="14">
        <f>IF(U147="","",1)</f>
        <v/>
      </c>
      <c r="W147" s="11">
        <f>IF(OR(City_Inputs!$U147="",Norm_Stats!$F$9="",Norm_Stats!$G$9="",Norm_Stats!$G$9=Norm_Stats!$F$9),"",MAX(0,MIN(100,100*(Norm_Stats!$G$9-MIN(MAX(City_Inputs!$U147,Norm_Stats!$F$9),Norm_Stats!$G$9))/(Norm_Stats!$G$9-Norm_Stats!$F$9))))</f>
        <v/>
      </c>
      <c r="X147" s="14">
        <f>IF(W147="","",1)</f>
        <v/>
      </c>
      <c r="Y147" s="11">
        <f>IF(OR(City_Inputs!$V147="",Norm_Stats!$F$10="",Norm_Stats!$G$10="",Norm_Stats!$G$10=Norm_Stats!$F$10),"",MAX(0,MIN(100,100*(MIN(MAX(City_Inputs!$V147,Norm_Stats!$F$10),Norm_Stats!$G$10)-Norm_Stats!$F$10)/(Norm_Stats!$G$10-Norm_Stats!$F$10))))</f>
        <v/>
      </c>
      <c r="Z147" s="14">
        <f>IF(Y147="","",1)</f>
        <v/>
      </c>
      <c r="AA147" s="11">
        <f>IF(OR(City_Inputs!$W147="",Norm_Stats!$F$11="",Norm_Stats!$G$11="",Norm_Stats!$G$11=Norm_Stats!$F$11),"",MAX(0,MIN(100,100*(MIN(MAX(City_Inputs!$W147,Norm_Stats!$F$11),Norm_Stats!$G$11)-Norm_Stats!$F$11)/(Norm_Stats!$G$11-Norm_Stats!$F$11))))</f>
        <v/>
      </c>
      <c r="AB147" s="14">
        <f>IF(AA147="","",1)</f>
        <v/>
      </c>
      <c r="AC147" s="11">
        <f>IF(OR(City_Inputs!$X147="",Norm_Stats!$F$12="",Norm_Stats!$G$12="",Norm_Stats!$G$12=Norm_Stats!$F$12),"",MAX(0,MIN(100,100*(MIN(MAX(City_Inputs!$X147,Norm_Stats!$F$12),Norm_Stats!$G$12)-Norm_Stats!$F$12)/(Norm_Stats!$G$12-Norm_Stats!$F$12))))</f>
        <v/>
      </c>
      <c r="AD147" s="11">
        <f>IF(AC147="","",1)</f>
        <v/>
      </c>
      <c r="AE147" s="15">
        <f>IF((IF(S147="",0,5)+IF(U147="",0,5)+IF(W147="",0,4)+IF(Y147="",0,4)+IF(AA147="",0,4)+IF(AC147="",0,5))=0,"",(IF(S147="",0,S147*5)+IF(U147="",0,U147*5)+IF(W147="",0,W147*4)+IF(Y147="",0,Y147*4)+IF(AA147="",0,AA147*4)+IF(AC147="",0,AC147*5))/(IF(S147="",0,5)+IF(U147="",0,5)+IF(W147="",0,4)+IF(Y147="",0,4)+IF(AA147="",0,4)+IF(AC147="",0,5)))</f>
        <v/>
      </c>
      <c r="AF147" s="14">
        <f>IF((IF(T147="",0,5)+IF(V147="",0,5)+IF(X147="",0,4)+IF(Z147="",0,4)+IF(AB147="",0,4)+IF(AD147="",0,5))=0,"",(IF(T147="",0,T147*5)+IF(V147="",0,V147*5)+IF(X147="",0,X147*4)+IF(Z147="",0,Z147*4)+IF(AB147="",0,AB147*4)+IF(AD147="",0,AD147*5))/27)</f>
        <v/>
      </c>
      <c r="AG147" s="11">
        <f>IF(OR(City_Inputs!$Y147="",Norm_Stats!$F$13="",Norm_Stats!$G$13="",Norm_Stats!$G$13=Norm_Stats!$F$13),"",MAX(0,MIN(100,100*(MIN(MAX(City_Inputs!$Y147,Norm_Stats!$F$13),Norm_Stats!$G$13)-Norm_Stats!$F$13)/(Norm_Stats!$G$13-Norm_Stats!$F$13))))</f>
        <v/>
      </c>
      <c r="AH147" s="14">
        <f>IF(AG147="","",1)</f>
        <v/>
      </c>
      <c r="AI147" s="11">
        <f>IF(OR(City_Inputs!$Z147="",Norm_Stats!$F$14="",Norm_Stats!$G$14="",Norm_Stats!$G$14=Norm_Stats!$F$14),"",MAX(0,MIN(100,100*(MIN(MAX(City_Inputs!$Z147,Norm_Stats!$F$14),Norm_Stats!$G$14)-Norm_Stats!$F$14)/(Norm_Stats!$G$14-Norm_Stats!$F$14))))</f>
        <v/>
      </c>
      <c r="AJ147" s="14">
        <f>IF(AI147="","",1)</f>
        <v/>
      </c>
      <c r="AK147" s="11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(IF(OR(City_Inputs!$AA147="",Norm_Stats!$F$15="",Norm_Stats!$G$15="",Norm_Stats!$G$15=Norm_Stats!$F$15),"",MAX(0,MIN(100,100*(MIN(MAX(City_Inputs!$AA147,Norm_Stats!$F$15),Norm_Stats!$G$15)-Norm_Stats!$F$15)/(Norm_Stats!$G$15-Norm_Stats!$F$15)))))*0.7)+IF((IF(OR(City_Inputs!$AL147="",Norm_Stats!$F$16="",Norm_Stats!$G$16="",Norm_Stats!$G$16=Norm_Stats!$F$16),"",MAX(0,MIN(100,100*(Norm_Stats!$G$16-MIN(MAX(City_Inputs!$AL147,Norm_Stats!$F$16),Norm_Stats!$G$16))/(Norm_Stats!$G$16-Norm_Stats!$F$16)))))="",0,(IF(OR(City_Inputs!$AL147="",Norm_Stats!$F$16="",Norm_Stats!$G$16="",Norm_Stats!$G$16=Norm_Stats!$F$16),"",MAX(0,MIN(100,100*(Norm_Stats!$G$16-MIN(MAX(City_Inputs!$AL147,Norm_Stats!$F$16),Norm_Stats!$G$16))/(Norm_Stats!$G$16-Norm_Stats!$F$16)))))*0.3))/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L147" s="14">
        <f>IF(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=0,"",(IF((IF(OR(City_Inputs!$AA147="",Norm_Stats!$F$15="",Norm_Stats!$G$15="",Norm_Stats!$G$15=Norm_Stats!$F$15),"",MAX(0,MIN(100,100*(MIN(MAX(City_Inputs!$AA147,Norm_Stats!$F$15),Norm_Stats!$G$15)-Norm_Stats!$F$15)/(Norm_Stats!$G$15-Norm_Stats!$F$15)))))="",0,0.7)+IF((IF(OR(City_Inputs!$AL147="",Norm_Stats!$F$16="",Norm_Stats!$G$16="",Norm_Stats!$G$16=Norm_Stats!$F$16),"",MAX(0,MIN(100,100*(Norm_Stats!$G$16-MIN(MAX(City_Inputs!$AL147,Norm_Stats!$F$16),Norm_Stats!$G$16))/(Norm_Stats!$G$16-Norm_Stats!$F$16)))))="",0,0.3)))</f>
        <v/>
      </c>
      <c r="AM147" s="15">
        <f>IF((IF(AG147="",0,8)+IF(AI147="",0,6)+IF(AK147="",0,4))=0,"",(IF(AG147="",0,AG147*8)+IF(AI147="",0,AI147*6)+IF(AK147="",0,AK147*4))/(IF(AG147="",0,8)+IF(AI147="",0,6)+IF(AK147="",0,4)))</f>
        <v/>
      </c>
      <c r="AN147" s="14">
        <f>IF((IF(AH147="",0,8)+IF(AJ147="",0,6)+IF(AL147="",0,4))=0,"",(IF(AH147="",0,AH147*8)+IF(AJ147="",0,AJ147*6)+IF(AL147="",0,AL147*4))/18)</f>
        <v/>
      </c>
      <c r="AO147" s="11">
        <f>IF(OR(City_Inputs!$AB147="",Norm_Stats!$F$17="",Norm_Stats!$G$17="",Norm_Stats!$G$17=Norm_Stats!$F$17),"",MAX(0,MIN(100,100*(MIN(MAX(City_Inputs!$AB147,Norm_Stats!$F$17),Norm_Stats!$G$17)-Norm_Stats!$F$17)/(Norm_Stats!$G$17-Norm_Stats!$F$17))))</f>
        <v/>
      </c>
      <c r="AP147" s="14">
        <f>IF(AO147="","",1)</f>
        <v/>
      </c>
      <c r="AQ147" s="11">
        <f>IF(OR(City_Inputs!$AC147="",Norm_Stats!$F$18="",Norm_Stats!$G$18="",Norm_Stats!$G$18=Norm_Stats!$F$18),"",MAX(0,MIN(100,100*(MIN(MAX(City_Inputs!$AC147,Norm_Stats!$F$18),Norm_Stats!$G$18)-Norm_Stats!$F$18)/(Norm_Stats!$G$18-Norm_Stats!$F$18))))</f>
        <v/>
      </c>
      <c r="AR147" s="14">
        <f>IF(AQ147="","",1)</f>
        <v/>
      </c>
      <c r="AS147" s="11">
        <f>IF(OR(City_Inputs!$AD147="",Norm_Stats!$F$19="",Norm_Stats!$G$19="",Norm_Stats!$G$19=Norm_Stats!$F$19),"",MAX(0,MIN(100,100*(MIN(MAX(City_Inputs!$AD147,Norm_Stats!$F$19),Norm_Stats!$G$19)-Norm_Stats!$F$19)/(Norm_Stats!$G$19-Norm_Stats!$F$19))))</f>
        <v/>
      </c>
      <c r="AT147" s="14">
        <f>IF(AS147="","",1)</f>
        <v/>
      </c>
      <c r="AU147" s="11">
        <f>IF(OR(City_Inputs!$BJ147="",Norm_Stats!$F$26="",Norm_Stats!$G$26="",Norm_Stats!$G$26=Norm_Stats!$F$26),"",MAX(0,MIN(100,100*(MIN(MAX(City_Inputs!$BJ147,Norm_Stats!$F$26),Norm_Stats!$G$26)-Norm_Stats!$F$26)/(Norm_Stats!$G$26-Norm_Stats!$F$26))))</f>
        <v/>
      </c>
      <c r="AV147" s="11">
        <f>IF(AU147="","",1)</f>
        <v/>
      </c>
      <c r="AW147" s="15">
        <f>IF((IF(AO147="",0,5)+IF(AQ147="",0,5)+IF(AS147="",0,5)+IF(AU147="",0,4))=0,"",(IF(AO147="",0,AO147*5)+IF(AQ147="",0,AQ147*5)+IF(AS147="",0,AS147*5)+IF(AU147="",0,AU147*4))/(IF(AO147="",0,5)+IF(AQ147="",0,5)+IF(AS147="",0,5)+IF(AU147="",0,4)))</f>
        <v/>
      </c>
      <c r="AX147" s="14">
        <f>IF((IF(AP147="",0,5)+IF(AR147="",0,5)+IF(AT147="",0,5)+IF(AV147="",0,4))=0,"",(IF(AP147="",0,AP147*5)+IF(AR147="",0,AR147*5)+IF(AT147="",0,AT147*5)+IF(AV147="",0,AV147*4))/19)</f>
        <v/>
      </c>
      <c r="AY147" s="11">
        <f>IF(OR(City_Inputs!$AE147="",Norm_Stats!$F$20="",Norm_Stats!$G$20="",Norm_Stats!$G$20=Norm_Stats!$F$20),"",MAX(0,MIN(100,100*(MIN(MAX(City_Inputs!$AE147,Norm_Stats!$F$20),Norm_Stats!$G$20)-Norm_Stats!$F$20)/(Norm_Stats!$G$20-Norm_Stats!$F$20))))</f>
        <v/>
      </c>
      <c r="AZ147" s="14">
        <f>IF(AY147="","",1)</f>
        <v/>
      </c>
      <c r="BA147" s="11">
        <f>IF(OR(City_Inputs!$AF147="",Norm_Stats!$F$21="",Norm_Stats!$G$21="",Norm_Stats!$G$21=Norm_Stats!$F$21),"",MAX(0,MIN(100,100*(MIN(MAX(City_Inputs!$AF147,Norm_Stats!$F$21),Norm_Stats!$G$21)-Norm_Stats!$F$21)/(Norm_Stats!$G$21-Norm_Stats!$F$21))))</f>
        <v/>
      </c>
      <c r="BB147" s="14">
        <f>IF(BA147="","",1)</f>
        <v/>
      </c>
      <c r="BC147" s="11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(IF(OR(City_Inputs!$AG147="",Norm_Stats!$F$22="",Norm_Stats!$G$22="",Norm_Stats!$G$22=Norm_Stats!$F$22),"",MAX(0,MIN(100,100*(MIN(MAX(City_Inputs!$AG147,Norm_Stats!$F$22),Norm_Stats!$G$22)-Norm_Stats!$F$22)/(Norm_Stats!$G$22-Norm_Stats!$F$22)))))*0.5)+IF((IF(OR(City_Inputs!$AJ147="",Norm_Stats!$F$23="",Norm_Stats!$G$23="",Norm_Stats!$G$23=Norm_Stats!$F$23),"",MAX(0,MIN(100,100*(MIN(MAX(City_Inputs!$AJ147,Norm_Stats!$F$23),Norm_Stats!$G$23)-Norm_Stats!$F$23)/(Norm_Stats!$G$23-Norm_Stats!$F$23)))))="",0,(IF(OR(City_Inputs!$AJ147="",Norm_Stats!$F$23="",Norm_Stats!$G$23="",Norm_Stats!$G$23=Norm_Stats!$F$23),"",MAX(0,MIN(100,100*(MIN(MAX(City_Inputs!$AJ147,Norm_Stats!$F$23),Norm_Stats!$G$23)-Norm_Stats!$F$23)/(Norm_Stats!$G$23-Norm_Stats!$F$23)))))*0.3)+IF((IF(OR(City_Inputs!$AK147="",Norm_Stats!$F$24="",Norm_Stats!$G$24="",Norm_Stats!$G$24=Norm_Stats!$F$24),"",MAX(0,MIN(100,100*(MIN(MAX(City_Inputs!$AK147,Norm_Stats!$F$24),Norm_Stats!$G$24)-Norm_Stats!$F$24)/(Norm_Stats!$G$24-Norm_Stats!$F$24)))))="",0,(IF(OR(City_Inputs!$AK147="",Norm_Stats!$F$24="",Norm_Stats!$G$24="",Norm_Stats!$G$24=Norm_Stats!$F$24),"",MAX(0,MIN(100,100*(MIN(MAX(City_Inputs!$AK147,Norm_Stats!$F$24),Norm_Stats!$G$24)-Norm_Stats!$F$24)/(Norm_Stats!$G$24-Norm_Stats!$F$24)))))*0.2))/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D147" s="14">
        <f>IF(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=0,"",(IF((IF(OR(City_Inputs!$AG147="",Norm_Stats!$F$22="",Norm_Stats!$G$22="",Norm_Stats!$G$22=Norm_Stats!$F$22),"",MAX(0,MIN(100,100*(MIN(MAX(City_Inputs!$AG147,Norm_Stats!$F$22),Norm_Stats!$G$22)-Norm_Stats!$F$22)/(Norm_Stats!$G$22-Norm_Stats!$F$22)))))="",0,0.5)+IF((IF(OR(City_Inputs!$AJ147="",Norm_Stats!$F$23="",Norm_Stats!$G$23="",Norm_Stats!$G$23=Norm_Stats!$F$23),"",MAX(0,MIN(100,100*(MIN(MAX(City_Inputs!$AJ147,Norm_Stats!$F$23),Norm_Stats!$G$23)-Norm_Stats!$F$23)/(Norm_Stats!$G$23-Norm_Stats!$F$23)))))="",0,0.3)+IF((IF(OR(City_Inputs!$AK147="",Norm_Stats!$F$24="",Norm_Stats!$G$24="",Norm_Stats!$G$24=Norm_Stats!$F$24),"",MAX(0,MIN(100,100*(MIN(MAX(City_Inputs!$AK147,Norm_Stats!$F$24),Norm_Stats!$G$24)-Norm_Stats!$F$24)/(Norm_Stats!$G$24-Norm_Stats!$F$24)))))="",0,0.2)))</f>
        <v/>
      </c>
      <c r="BE147" s="11">
        <f>IF(OR(City_Inputs!$AH147="",Norm_Stats!$F$25="",Norm_Stats!$G$25="",Norm_Stats!$G$25=Norm_Stats!$F$25),"",MAX(0,MIN(100,100*(Norm_Stats!$G$25-MIN(MAX(City_Inputs!$AH147,Norm_Stats!$F$25),Norm_Stats!$G$25))/(Norm_Stats!$G$25-Norm_Stats!$F$25))))</f>
        <v/>
      </c>
      <c r="BF147" s="14">
        <f>IF(BE147="","",1)</f>
        <v/>
      </c>
      <c r="BG147" s="15">
        <f>IF((IF(AY147="",0,6)+IF(BA147="",0,5)+IF(BC147="",0,5)+IF(BE147="",0,4))=0,"",(IF(AY147="",0,AY147*6)+IF(BA147="",0,BA147*5)+IF(BC147="",0,BC147*5)+IF(BE147="",0,BE147*4))/(IF(AY147="",0,6)+IF(BA147="",0,5)+IF(BC147="",0,5)+IF(BE147="",0,4)))</f>
        <v/>
      </c>
      <c r="BH147" s="14">
        <f>IF((IF(AZ147="",0,6)+IF(BB147="",0,5)+IF(BD147="",0,5)+IF(BF147="",0,4))=0,"",(IF(AZ147="",0,AZ147*6)+IF(BB147="",0,BB147*5)+IF(BD147="",0,BD147*5)+IF(BF147="",0,BF147*4))/20)</f>
        <v/>
      </c>
      <c r="BI147" s="14">
        <f>IF(AND(R147="",AF147="",AN147="",AX147="",BH147=""),"",((R147*25)+(AF147*22)+(AN147*18)+(AX147*15)+(BH147*20))/100)</f>
        <v/>
      </c>
      <c r="BJ147" s="11">
        <f>IF(BI147="","",IF(BI147&gt;=0.75,"A",IF(BI147&gt;=0.5,"B",IF(BI147&gt;=0.35,"C","Watchlist"))))</f>
        <v/>
      </c>
      <c r="BK147" s="11">
        <f>IF(OR(BI147="",BI147&lt;0.5,R147="",R147&lt;0.35,AF147="",AF147&lt;0.35,AN147="",AN147&lt;0.35,AX147="",AX147&lt;0.35,BH147="",BH147&lt;0.35),"Watchlist","Ranked")</f>
        <v/>
      </c>
      <c r="BL147" s="15">
        <f>IF(AND(Q147="",AE147="",AM147="",AW147="",BG147=""),"",(IF(Q147="",0,Q147*25)+IF(AE147="",0,AE147*22)+IF(AM147="",0,AM147*18)+IF(AW147="",0,AW147*15)+IF(BG147="",0,BG147*20))/(IF(Q147="",0,25)+IF(AE147="",0,22)+IF(AM147="",0,18)+IF(AW147="",0,15)+IF(BG147="",0,20)))</f>
        <v/>
      </c>
      <c r="BM147" s="11">
        <f>IF(BK147="Ranked",1+COUNTIFS($BK$2:$BK$158,"Ranked",$BL$2:$BL$158,"&gt;"&amp;BL147),"")</f>
        <v/>
      </c>
      <c r="BN147" s="11">
        <f>City_Inputs!$AI147</f>
        <v/>
      </c>
    </row>
    <row r="148">
      <c r="A148" t="inlineStr">
        <is>
          <t>jo-aqaba</t>
        </is>
      </c>
      <c r="B148" t="inlineStr">
        <is>
          <t>Aqaba</t>
        </is>
      </c>
      <c r="C148" t="inlineStr">
        <is>
          <t>Jordan</t>
        </is>
      </c>
      <c r="D148" t="inlineStr">
        <is>
          <t>Middle East</t>
        </is>
      </c>
      <c r="E148" t="inlineStr">
        <is>
          <t>provisional</t>
        </is>
      </c>
      <c r="F148" t="inlineStr">
        <is>
          <t>secondary</t>
        </is>
      </c>
      <c r="G148" s="11">
        <f>IF(OR(City_Inputs!$M148="",Norm_Stats!$F$2="",Norm_Stats!$G$2="",Norm_Stats!$G$2=Norm_Stats!$F$2),"",MAX(0,MIN(100,100*(MIN(MAX(City_Inputs!$M148,Norm_Stats!$F$2),Norm_Stats!$G$2)-Norm_Stats!$F$2)/(Norm_Stats!$G$2-Norm_Stats!$F$2))))</f>
        <v/>
      </c>
      <c r="H148" s="14">
        <f>IF(G148="","",1)</f>
        <v/>
      </c>
      <c r="I148" s="11">
        <f>IF(OR(City_Inputs!$N148="",Norm_Stats!$F$3="",Norm_Stats!$G$3="",Norm_Stats!$G$3=Norm_Stats!$F$3),"",MAX(0,MIN(100,100*(Norm_Stats!$G$3-MIN(MAX(City_Inputs!$N148,Norm_Stats!$F$3),Norm_Stats!$G$3))/(Norm_Stats!$G$3-Norm_Stats!$F$3))))</f>
        <v/>
      </c>
      <c r="J148" s="14">
        <f>IF(I148="","",1)</f>
        <v/>
      </c>
      <c r="K148" s="11">
        <f>IF(OR(City_Inputs!$P148="",Norm_Stats!$F$4="",Norm_Stats!$G$4="",Norm_Stats!$G$4=Norm_Stats!$F$4),"",MAX(0,MIN(100,100*(Norm_Stats!$G$4-MIN(MAX(City_Inputs!$P148,Norm_Stats!$F$4),Norm_Stats!$G$4))/(Norm_Stats!$G$4-Norm_Stats!$F$4))))</f>
        <v/>
      </c>
      <c r="L148" s="14">
        <f>IF(K148="","",1)</f>
        <v/>
      </c>
      <c r="M148" s="11">
        <f>IF(OR(City_Inputs!$Q148="",Norm_Stats!$F$5="",Norm_Stats!$G$5="",Norm_Stats!$G$5=Norm_Stats!$F$5),"",MAX(0,MIN(100,100*(Norm_Stats!$G$5-MIN(MAX(City_Inputs!$Q148,Norm_Stats!$F$5),Norm_Stats!$G$5))/(Norm_Stats!$G$5-Norm_Stats!$F$5))))</f>
        <v/>
      </c>
      <c r="N148" s="14">
        <f>IF(M148="","",1)</f>
        <v/>
      </c>
      <c r="O148" s="11">
        <f>IF(OR(City_Inputs!$R148="",Norm_Stats!$F$6="",Norm_Stats!$G$6="",Norm_Stats!$G$6=Norm_Stats!$F$6),"",MAX(0,MIN(100,100*(Norm_Stats!$G$6-MIN(MAX(City_Inputs!$R148,Norm_Stats!$F$6),Norm_Stats!$G$6))/(Norm_Stats!$G$6-Norm_Stats!$F$6))))</f>
        <v/>
      </c>
      <c r="P148" s="14">
        <f>IF(O148="","",1)</f>
        <v/>
      </c>
      <c r="Q148" s="15">
        <f>IF((IF(G148="",0,9)+IF(I148="",0,5)+IF(K148="",0,4)+IF(M148="",0,4)+IF(O148="",0,5))=0,"",(IF(G148="",0,G148*9)+IF(I148="",0,I148*5)+IF(K148="",0,K148*4)+IF(M148="",0,M148*4)+IF(O148="",0,O148*5))/(IF(G148="",0,9)+IF(I148="",0,5)+IF(K148="",0,4)+IF(M148="",0,4)+IF(O148="",0,5)))</f>
        <v/>
      </c>
      <c r="R148" s="14">
        <f>IF((IF(H148="",0,9)+IF(J148="",0,5)+IF(L148="",0,4)+IF(N148="",0,4)+IF(P148="",0,5))=0,"",(IF(H148="",0,H148*9)+IF(J148="",0,J148*5)+IF(L148="",0,L148*4)+IF(N148="",0,N148*4)+IF(P148="",0,P148*5))/27)</f>
        <v/>
      </c>
      <c r="S148" s="11">
        <f>IF(OR(City_Inputs!$S148="",Norm_Stats!$F$7="",Norm_Stats!$G$7="",Norm_Stats!$G$7=Norm_Stats!$F$7),"",MAX(0,MIN(100,100*(Norm_Stats!$G$7-MIN(MAX(City_Inputs!$S148,Norm_Stats!$F$7),Norm_Stats!$G$7))/(Norm_Stats!$G$7-Norm_Stats!$F$7))))</f>
        <v/>
      </c>
      <c r="T148" s="14">
        <f>IF(S148="","",1)</f>
        <v/>
      </c>
      <c r="U148" s="11">
        <f>IF(OR(City_Inputs!$T148="",Norm_Stats!$F$8="",Norm_Stats!$G$8="",Norm_Stats!$G$8=Norm_Stats!$F$8),"",MAX(0,MIN(100,100*(MIN(MAX(City_Inputs!$T148,Norm_Stats!$F$8),Norm_Stats!$G$8)-Norm_Stats!$F$8)/(Norm_Stats!$G$8-Norm_Stats!$F$8))))</f>
        <v/>
      </c>
      <c r="V148" s="14">
        <f>IF(U148="","",1)</f>
        <v/>
      </c>
      <c r="W148" s="11">
        <f>IF(OR(City_Inputs!$U148="",Norm_Stats!$F$9="",Norm_Stats!$G$9="",Norm_Stats!$G$9=Norm_Stats!$F$9),"",MAX(0,MIN(100,100*(Norm_Stats!$G$9-MIN(MAX(City_Inputs!$U148,Norm_Stats!$F$9),Norm_Stats!$G$9))/(Norm_Stats!$G$9-Norm_Stats!$F$9))))</f>
        <v/>
      </c>
      <c r="X148" s="14">
        <f>IF(W148="","",1)</f>
        <v/>
      </c>
      <c r="Y148" s="11">
        <f>IF(OR(City_Inputs!$V148="",Norm_Stats!$F$10="",Norm_Stats!$G$10="",Norm_Stats!$G$10=Norm_Stats!$F$10),"",MAX(0,MIN(100,100*(MIN(MAX(City_Inputs!$V148,Norm_Stats!$F$10),Norm_Stats!$G$10)-Norm_Stats!$F$10)/(Norm_Stats!$G$10-Norm_Stats!$F$10))))</f>
        <v/>
      </c>
      <c r="Z148" s="14">
        <f>IF(Y148="","",1)</f>
        <v/>
      </c>
      <c r="AA148" s="11">
        <f>IF(OR(City_Inputs!$W148="",Norm_Stats!$F$11="",Norm_Stats!$G$11="",Norm_Stats!$G$11=Norm_Stats!$F$11),"",MAX(0,MIN(100,100*(MIN(MAX(City_Inputs!$W148,Norm_Stats!$F$11),Norm_Stats!$G$11)-Norm_Stats!$F$11)/(Norm_Stats!$G$11-Norm_Stats!$F$11))))</f>
        <v/>
      </c>
      <c r="AB148" s="14">
        <f>IF(AA148="","",1)</f>
        <v/>
      </c>
      <c r="AC148" s="11">
        <f>IF(OR(City_Inputs!$X148="",Norm_Stats!$F$12="",Norm_Stats!$G$12="",Norm_Stats!$G$12=Norm_Stats!$F$12),"",MAX(0,MIN(100,100*(MIN(MAX(City_Inputs!$X148,Norm_Stats!$F$12),Norm_Stats!$G$12)-Norm_Stats!$F$12)/(Norm_Stats!$G$12-Norm_Stats!$F$12))))</f>
        <v/>
      </c>
      <c r="AD148" s="11">
        <f>IF(AC148="","",1)</f>
        <v/>
      </c>
      <c r="AE148" s="15">
        <f>IF((IF(S148="",0,5)+IF(U148="",0,5)+IF(W148="",0,4)+IF(Y148="",0,4)+IF(AA148="",0,4)+IF(AC148="",0,5))=0,"",(IF(S148="",0,S148*5)+IF(U148="",0,U148*5)+IF(W148="",0,W148*4)+IF(Y148="",0,Y148*4)+IF(AA148="",0,AA148*4)+IF(AC148="",0,AC148*5))/(IF(S148="",0,5)+IF(U148="",0,5)+IF(W148="",0,4)+IF(Y148="",0,4)+IF(AA148="",0,4)+IF(AC148="",0,5)))</f>
        <v/>
      </c>
      <c r="AF148" s="14">
        <f>IF((IF(T148="",0,5)+IF(V148="",0,5)+IF(X148="",0,4)+IF(Z148="",0,4)+IF(AB148="",0,4)+IF(AD148="",0,5))=0,"",(IF(T148="",0,T148*5)+IF(V148="",0,V148*5)+IF(X148="",0,X148*4)+IF(Z148="",0,Z148*4)+IF(AB148="",0,AB148*4)+IF(AD148="",0,AD148*5))/27)</f>
        <v/>
      </c>
      <c r="AG148" s="11">
        <f>IF(OR(City_Inputs!$Y148="",Norm_Stats!$F$13="",Norm_Stats!$G$13="",Norm_Stats!$G$13=Norm_Stats!$F$13),"",MAX(0,MIN(100,100*(MIN(MAX(City_Inputs!$Y148,Norm_Stats!$F$13),Norm_Stats!$G$13)-Norm_Stats!$F$13)/(Norm_Stats!$G$13-Norm_Stats!$F$13))))</f>
        <v/>
      </c>
      <c r="AH148" s="14">
        <f>IF(AG148="","",1)</f>
        <v/>
      </c>
      <c r="AI148" s="11">
        <f>IF(OR(City_Inputs!$Z148="",Norm_Stats!$F$14="",Norm_Stats!$G$14="",Norm_Stats!$G$14=Norm_Stats!$F$14),"",MAX(0,MIN(100,100*(MIN(MAX(City_Inputs!$Z148,Norm_Stats!$F$14),Norm_Stats!$G$14)-Norm_Stats!$F$14)/(Norm_Stats!$G$14-Norm_Stats!$F$14))))</f>
        <v/>
      </c>
      <c r="AJ148" s="14">
        <f>IF(AI148="","",1)</f>
        <v/>
      </c>
      <c r="AK148" s="11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(IF(OR(City_Inputs!$AA148="",Norm_Stats!$F$15="",Norm_Stats!$G$15="",Norm_Stats!$G$15=Norm_Stats!$F$15),"",MAX(0,MIN(100,100*(MIN(MAX(City_Inputs!$AA148,Norm_Stats!$F$15),Norm_Stats!$G$15)-Norm_Stats!$F$15)/(Norm_Stats!$G$15-Norm_Stats!$F$15)))))*0.7)+IF((IF(OR(City_Inputs!$AL148="",Norm_Stats!$F$16="",Norm_Stats!$G$16="",Norm_Stats!$G$16=Norm_Stats!$F$16),"",MAX(0,MIN(100,100*(Norm_Stats!$G$16-MIN(MAX(City_Inputs!$AL148,Norm_Stats!$F$16),Norm_Stats!$G$16))/(Norm_Stats!$G$16-Norm_Stats!$F$16)))))="",0,(IF(OR(City_Inputs!$AL148="",Norm_Stats!$F$16="",Norm_Stats!$G$16="",Norm_Stats!$G$16=Norm_Stats!$F$16),"",MAX(0,MIN(100,100*(Norm_Stats!$G$16-MIN(MAX(City_Inputs!$AL148,Norm_Stats!$F$16),Norm_Stats!$G$16))/(Norm_Stats!$G$16-Norm_Stats!$F$16)))))*0.3))/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L148" s="14">
        <f>IF(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=0,"",(IF((IF(OR(City_Inputs!$AA148="",Norm_Stats!$F$15="",Norm_Stats!$G$15="",Norm_Stats!$G$15=Norm_Stats!$F$15),"",MAX(0,MIN(100,100*(MIN(MAX(City_Inputs!$AA148,Norm_Stats!$F$15),Norm_Stats!$G$15)-Norm_Stats!$F$15)/(Norm_Stats!$G$15-Norm_Stats!$F$15)))))="",0,0.7)+IF((IF(OR(City_Inputs!$AL148="",Norm_Stats!$F$16="",Norm_Stats!$G$16="",Norm_Stats!$G$16=Norm_Stats!$F$16),"",MAX(0,MIN(100,100*(Norm_Stats!$G$16-MIN(MAX(City_Inputs!$AL148,Norm_Stats!$F$16),Norm_Stats!$G$16))/(Norm_Stats!$G$16-Norm_Stats!$F$16)))))="",0,0.3)))</f>
        <v/>
      </c>
      <c r="AM148" s="15">
        <f>IF((IF(AG148="",0,8)+IF(AI148="",0,6)+IF(AK148="",0,4))=0,"",(IF(AG148="",0,AG148*8)+IF(AI148="",0,AI148*6)+IF(AK148="",0,AK148*4))/(IF(AG148="",0,8)+IF(AI148="",0,6)+IF(AK148="",0,4)))</f>
        <v/>
      </c>
      <c r="AN148" s="14">
        <f>IF((IF(AH148="",0,8)+IF(AJ148="",0,6)+IF(AL148="",0,4))=0,"",(IF(AH148="",0,AH148*8)+IF(AJ148="",0,AJ148*6)+IF(AL148="",0,AL148*4))/18)</f>
        <v/>
      </c>
      <c r="AO148" s="11">
        <f>IF(OR(City_Inputs!$AB148="",Norm_Stats!$F$17="",Norm_Stats!$G$17="",Norm_Stats!$G$17=Norm_Stats!$F$17),"",MAX(0,MIN(100,100*(MIN(MAX(City_Inputs!$AB148,Norm_Stats!$F$17),Norm_Stats!$G$17)-Norm_Stats!$F$17)/(Norm_Stats!$G$17-Norm_Stats!$F$17))))</f>
        <v/>
      </c>
      <c r="AP148" s="14">
        <f>IF(AO148="","",1)</f>
        <v/>
      </c>
      <c r="AQ148" s="11">
        <f>IF(OR(City_Inputs!$AC148="",Norm_Stats!$F$18="",Norm_Stats!$G$18="",Norm_Stats!$G$18=Norm_Stats!$F$18),"",MAX(0,MIN(100,100*(MIN(MAX(City_Inputs!$AC148,Norm_Stats!$F$18),Norm_Stats!$G$18)-Norm_Stats!$F$18)/(Norm_Stats!$G$18-Norm_Stats!$F$18))))</f>
        <v/>
      </c>
      <c r="AR148" s="14">
        <f>IF(AQ148="","",1)</f>
        <v/>
      </c>
      <c r="AS148" s="11">
        <f>IF(OR(City_Inputs!$AD148="",Norm_Stats!$F$19="",Norm_Stats!$G$19="",Norm_Stats!$G$19=Norm_Stats!$F$19),"",MAX(0,MIN(100,100*(MIN(MAX(City_Inputs!$AD148,Norm_Stats!$F$19),Norm_Stats!$G$19)-Norm_Stats!$F$19)/(Norm_Stats!$G$19-Norm_Stats!$F$19))))</f>
        <v/>
      </c>
      <c r="AT148" s="14">
        <f>IF(AS148="","",1)</f>
        <v/>
      </c>
      <c r="AU148" s="11">
        <f>IF(OR(City_Inputs!$BJ148="",Norm_Stats!$F$26="",Norm_Stats!$G$26="",Norm_Stats!$G$26=Norm_Stats!$F$26),"",MAX(0,MIN(100,100*(MIN(MAX(City_Inputs!$BJ148,Norm_Stats!$F$26),Norm_Stats!$G$26)-Norm_Stats!$F$26)/(Norm_Stats!$G$26-Norm_Stats!$F$26))))</f>
        <v/>
      </c>
      <c r="AV148" s="11">
        <f>IF(AU148="","",1)</f>
        <v/>
      </c>
      <c r="AW148" s="15">
        <f>IF((IF(AO148="",0,5)+IF(AQ148="",0,5)+IF(AS148="",0,5)+IF(AU148="",0,4))=0,"",(IF(AO148="",0,AO148*5)+IF(AQ148="",0,AQ148*5)+IF(AS148="",0,AS148*5)+IF(AU148="",0,AU148*4))/(IF(AO148="",0,5)+IF(AQ148="",0,5)+IF(AS148="",0,5)+IF(AU148="",0,4)))</f>
        <v/>
      </c>
      <c r="AX148" s="14">
        <f>IF((IF(AP148="",0,5)+IF(AR148="",0,5)+IF(AT148="",0,5)+IF(AV148="",0,4))=0,"",(IF(AP148="",0,AP148*5)+IF(AR148="",0,AR148*5)+IF(AT148="",0,AT148*5)+IF(AV148="",0,AV148*4))/19)</f>
        <v/>
      </c>
      <c r="AY148" s="11">
        <f>IF(OR(City_Inputs!$AE148="",Norm_Stats!$F$20="",Norm_Stats!$G$20="",Norm_Stats!$G$20=Norm_Stats!$F$20),"",MAX(0,MIN(100,100*(MIN(MAX(City_Inputs!$AE148,Norm_Stats!$F$20),Norm_Stats!$G$20)-Norm_Stats!$F$20)/(Norm_Stats!$G$20-Norm_Stats!$F$20))))</f>
        <v/>
      </c>
      <c r="AZ148" s="14">
        <f>IF(AY148="","",1)</f>
        <v/>
      </c>
      <c r="BA148" s="11">
        <f>IF(OR(City_Inputs!$AF148="",Norm_Stats!$F$21="",Norm_Stats!$G$21="",Norm_Stats!$G$21=Norm_Stats!$F$21),"",MAX(0,MIN(100,100*(MIN(MAX(City_Inputs!$AF148,Norm_Stats!$F$21),Norm_Stats!$G$21)-Norm_Stats!$F$21)/(Norm_Stats!$G$21-Norm_Stats!$F$21))))</f>
        <v/>
      </c>
      <c r="BB148" s="14">
        <f>IF(BA148="","",1)</f>
        <v/>
      </c>
      <c r="BC148" s="11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(IF(OR(City_Inputs!$AG148="",Norm_Stats!$F$22="",Norm_Stats!$G$22="",Norm_Stats!$G$22=Norm_Stats!$F$22),"",MAX(0,MIN(100,100*(MIN(MAX(City_Inputs!$AG148,Norm_Stats!$F$22),Norm_Stats!$G$22)-Norm_Stats!$F$22)/(Norm_Stats!$G$22-Norm_Stats!$F$22)))))*0.5)+IF((IF(OR(City_Inputs!$AJ148="",Norm_Stats!$F$23="",Norm_Stats!$G$23="",Norm_Stats!$G$23=Norm_Stats!$F$23),"",MAX(0,MIN(100,100*(MIN(MAX(City_Inputs!$AJ148,Norm_Stats!$F$23),Norm_Stats!$G$23)-Norm_Stats!$F$23)/(Norm_Stats!$G$23-Norm_Stats!$F$23)))))="",0,(IF(OR(City_Inputs!$AJ148="",Norm_Stats!$F$23="",Norm_Stats!$G$23="",Norm_Stats!$G$23=Norm_Stats!$F$23),"",MAX(0,MIN(100,100*(MIN(MAX(City_Inputs!$AJ148,Norm_Stats!$F$23),Norm_Stats!$G$23)-Norm_Stats!$F$23)/(Norm_Stats!$G$23-Norm_Stats!$F$23)))))*0.3)+IF((IF(OR(City_Inputs!$AK148="",Norm_Stats!$F$24="",Norm_Stats!$G$24="",Norm_Stats!$G$24=Norm_Stats!$F$24),"",MAX(0,MIN(100,100*(MIN(MAX(City_Inputs!$AK148,Norm_Stats!$F$24),Norm_Stats!$G$24)-Norm_Stats!$F$24)/(Norm_Stats!$G$24-Norm_Stats!$F$24)))))="",0,(IF(OR(City_Inputs!$AK148="",Norm_Stats!$F$24="",Norm_Stats!$G$24="",Norm_Stats!$G$24=Norm_Stats!$F$24),"",MAX(0,MIN(100,100*(MIN(MAX(City_Inputs!$AK148,Norm_Stats!$F$24),Norm_Stats!$G$24)-Norm_Stats!$F$24)/(Norm_Stats!$G$24-Norm_Stats!$F$24)))))*0.2))/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D148" s="14">
        <f>IF(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=0,"",(IF((IF(OR(City_Inputs!$AG148="",Norm_Stats!$F$22="",Norm_Stats!$G$22="",Norm_Stats!$G$22=Norm_Stats!$F$22),"",MAX(0,MIN(100,100*(MIN(MAX(City_Inputs!$AG148,Norm_Stats!$F$22),Norm_Stats!$G$22)-Norm_Stats!$F$22)/(Norm_Stats!$G$22-Norm_Stats!$F$22)))))="",0,0.5)+IF((IF(OR(City_Inputs!$AJ148="",Norm_Stats!$F$23="",Norm_Stats!$G$23="",Norm_Stats!$G$23=Norm_Stats!$F$23),"",MAX(0,MIN(100,100*(MIN(MAX(City_Inputs!$AJ148,Norm_Stats!$F$23),Norm_Stats!$G$23)-Norm_Stats!$F$23)/(Norm_Stats!$G$23-Norm_Stats!$F$23)))))="",0,0.3)+IF((IF(OR(City_Inputs!$AK148="",Norm_Stats!$F$24="",Norm_Stats!$G$24="",Norm_Stats!$G$24=Norm_Stats!$F$24),"",MAX(0,MIN(100,100*(MIN(MAX(City_Inputs!$AK148,Norm_Stats!$F$24),Norm_Stats!$G$24)-Norm_Stats!$F$24)/(Norm_Stats!$G$24-Norm_Stats!$F$24)))))="",0,0.2)))</f>
        <v/>
      </c>
      <c r="BE148" s="11">
        <f>IF(OR(City_Inputs!$AH148="",Norm_Stats!$F$25="",Norm_Stats!$G$25="",Norm_Stats!$G$25=Norm_Stats!$F$25),"",MAX(0,MIN(100,100*(Norm_Stats!$G$25-MIN(MAX(City_Inputs!$AH148,Norm_Stats!$F$25),Norm_Stats!$G$25))/(Norm_Stats!$G$25-Norm_Stats!$F$25))))</f>
        <v/>
      </c>
      <c r="BF148" s="14">
        <f>IF(BE148="","",1)</f>
        <v/>
      </c>
      <c r="BG148" s="15">
        <f>IF((IF(AY148="",0,6)+IF(BA148="",0,5)+IF(BC148="",0,5)+IF(BE148="",0,4))=0,"",(IF(AY148="",0,AY148*6)+IF(BA148="",0,BA148*5)+IF(BC148="",0,BC148*5)+IF(BE148="",0,BE148*4))/(IF(AY148="",0,6)+IF(BA148="",0,5)+IF(BC148="",0,5)+IF(BE148="",0,4)))</f>
        <v/>
      </c>
      <c r="BH148" s="14">
        <f>IF((IF(AZ148="",0,6)+IF(BB148="",0,5)+IF(BD148="",0,5)+IF(BF148="",0,4))=0,"",(IF(AZ148="",0,AZ148*6)+IF(BB148="",0,BB148*5)+IF(BD148="",0,BD148*5)+IF(BF148="",0,BF148*4))/20)</f>
        <v/>
      </c>
      <c r="BI148" s="14">
        <f>IF(AND(R148="",AF148="",AN148="",AX148="",BH148=""),"",((R148*25)+(AF148*22)+(AN148*18)+(AX148*15)+(BH148*20))/100)</f>
        <v/>
      </c>
      <c r="BJ148" s="11">
        <f>IF(BI148="","",IF(BI148&gt;=0.75,"A",IF(BI148&gt;=0.5,"B",IF(BI148&gt;=0.35,"C","Watchlist"))))</f>
        <v/>
      </c>
      <c r="BK148" s="11">
        <f>IF(OR(BI148="",BI148&lt;0.5,R148="",R148&lt;0.35,AF148="",AF148&lt;0.35,AN148="",AN148&lt;0.35,AX148="",AX148&lt;0.35,BH148="",BH148&lt;0.35),"Watchlist","Ranked")</f>
        <v/>
      </c>
      <c r="BL148" s="15">
        <f>IF(AND(Q148="",AE148="",AM148="",AW148="",BG148=""),"",(IF(Q148="",0,Q148*25)+IF(AE148="",0,AE148*22)+IF(AM148="",0,AM148*18)+IF(AW148="",0,AW148*15)+IF(BG148="",0,BG148*20))/(IF(Q148="",0,25)+IF(AE148="",0,22)+IF(AM148="",0,18)+IF(AW148="",0,15)+IF(BG148="",0,20)))</f>
        <v/>
      </c>
      <c r="BM148" s="11">
        <f>IF(BK148="Ranked",1+COUNTIFS($BK$2:$BK$158,"Ranked",$BL$2:$BL$158,"&gt;"&amp;BL148),"")</f>
        <v/>
      </c>
      <c r="BN148" s="11">
        <f>City_Inputs!$AI148</f>
        <v/>
      </c>
    </row>
    <row r="149">
      <c r="A149" t="inlineStr">
        <is>
          <t>sa-khobar</t>
        </is>
      </c>
      <c r="B149" t="inlineStr">
        <is>
          <t>Khobar</t>
        </is>
      </c>
      <c r="C149" t="inlineStr">
        <is>
          <t>Saudi Arabia</t>
        </is>
      </c>
      <c r="D149" t="inlineStr">
        <is>
          <t>Middle East</t>
        </is>
      </c>
      <c r="E149" t="inlineStr">
        <is>
          <t>provisional</t>
        </is>
      </c>
      <c r="F149" t="inlineStr">
        <is>
          <t>secondary</t>
        </is>
      </c>
      <c r="G149" s="11">
        <f>IF(OR(City_Inputs!$M149="",Norm_Stats!$F$2="",Norm_Stats!$G$2="",Norm_Stats!$G$2=Norm_Stats!$F$2),"",MAX(0,MIN(100,100*(MIN(MAX(City_Inputs!$M149,Norm_Stats!$F$2),Norm_Stats!$G$2)-Norm_Stats!$F$2)/(Norm_Stats!$G$2-Norm_Stats!$F$2))))</f>
        <v/>
      </c>
      <c r="H149" s="14">
        <f>IF(G149="","",1)</f>
        <v/>
      </c>
      <c r="I149" s="11">
        <f>IF(OR(City_Inputs!$N149="",Norm_Stats!$F$3="",Norm_Stats!$G$3="",Norm_Stats!$G$3=Norm_Stats!$F$3),"",MAX(0,MIN(100,100*(Norm_Stats!$G$3-MIN(MAX(City_Inputs!$N149,Norm_Stats!$F$3),Norm_Stats!$G$3))/(Norm_Stats!$G$3-Norm_Stats!$F$3))))</f>
        <v/>
      </c>
      <c r="J149" s="14">
        <f>IF(I149="","",1)</f>
        <v/>
      </c>
      <c r="K149" s="11">
        <f>IF(OR(City_Inputs!$P149="",Norm_Stats!$F$4="",Norm_Stats!$G$4="",Norm_Stats!$G$4=Norm_Stats!$F$4),"",MAX(0,MIN(100,100*(Norm_Stats!$G$4-MIN(MAX(City_Inputs!$P149,Norm_Stats!$F$4),Norm_Stats!$G$4))/(Norm_Stats!$G$4-Norm_Stats!$F$4))))</f>
        <v/>
      </c>
      <c r="L149" s="14">
        <f>IF(K149="","",1)</f>
        <v/>
      </c>
      <c r="M149" s="11">
        <f>IF(OR(City_Inputs!$Q149="",Norm_Stats!$F$5="",Norm_Stats!$G$5="",Norm_Stats!$G$5=Norm_Stats!$F$5),"",MAX(0,MIN(100,100*(Norm_Stats!$G$5-MIN(MAX(City_Inputs!$Q149,Norm_Stats!$F$5),Norm_Stats!$G$5))/(Norm_Stats!$G$5-Norm_Stats!$F$5))))</f>
        <v/>
      </c>
      <c r="N149" s="14">
        <f>IF(M149="","",1)</f>
        <v/>
      </c>
      <c r="O149" s="11">
        <f>IF(OR(City_Inputs!$R149="",Norm_Stats!$F$6="",Norm_Stats!$G$6="",Norm_Stats!$G$6=Norm_Stats!$F$6),"",MAX(0,MIN(100,100*(Norm_Stats!$G$6-MIN(MAX(City_Inputs!$R149,Norm_Stats!$F$6),Norm_Stats!$G$6))/(Norm_Stats!$G$6-Norm_Stats!$F$6))))</f>
        <v/>
      </c>
      <c r="P149" s="14">
        <f>IF(O149="","",1)</f>
        <v/>
      </c>
      <c r="Q149" s="15">
        <f>IF((IF(G149="",0,9)+IF(I149="",0,5)+IF(K149="",0,4)+IF(M149="",0,4)+IF(O149="",0,5))=0,"",(IF(G149="",0,G149*9)+IF(I149="",0,I149*5)+IF(K149="",0,K149*4)+IF(M149="",0,M149*4)+IF(O149="",0,O149*5))/(IF(G149="",0,9)+IF(I149="",0,5)+IF(K149="",0,4)+IF(M149="",0,4)+IF(O149="",0,5)))</f>
        <v/>
      </c>
      <c r="R149" s="14">
        <f>IF((IF(H149="",0,9)+IF(J149="",0,5)+IF(L149="",0,4)+IF(N149="",0,4)+IF(P149="",0,5))=0,"",(IF(H149="",0,H149*9)+IF(J149="",0,J149*5)+IF(L149="",0,L149*4)+IF(N149="",0,N149*4)+IF(P149="",0,P149*5))/27)</f>
        <v/>
      </c>
      <c r="S149" s="11">
        <f>IF(OR(City_Inputs!$S149="",Norm_Stats!$F$7="",Norm_Stats!$G$7="",Norm_Stats!$G$7=Norm_Stats!$F$7),"",MAX(0,MIN(100,100*(Norm_Stats!$G$7-MIN(MAX(City_Inputs!$S149,Norm_Stats!$F$7),Norm_Stats!$G$7))/(Norm_Stats!$G$7-Norm_Stats!$F$7))))</f>
        <v/>
      </c>
      <c r="T149" s="14">
        <f>IF(S149="","",1)</f>
        <v/>
      </c>
      <c r="U149" s="11">
        <f>IF(OR(City_Inputs!$T149="",Norm_Stats!$F$8="",Norm_Stats!$G$8="",Norm_Stats!$G$8=Norm_Stats!$F$8),"",MAX(0,MIN(100,100*(MIN(MAX(City_Inputs!$T149,Norm_Stats!$F$8),Norm_Stats!$G$8)-Norm_Stats!$F$8)/(Norm_Stats!$G$8-Norm_Stats!$F$8))))</f>
        <v/>
      </c>
      <c r="V149" s="14">
        <f>IF(U149="","",1)</f>
        <v/>
      </c>
      <c r="W149" s="11">
        <f>IF(OR(City_Inputs!$U149="",Norm_Stats!$F$9="",Norm_Stats!$G$9="",Norm_Stats!$G$9=Norm_Stats!$F$9),"",MAX(0,MIN(100,100*(Norm_Stats!$G$9-MIN(MAX(City_Inputs!$U149,Norm_Stats!$F$9),Norm_Stats!$G$9))/(Norm_Stats!$G$9-Norm_Stats!$F$9))))</f>
        <v/>
      </c>
      <c r="X149" s="14">
        <f>IF(W149="","",1)</f>
        <v/>
      </c>
      <c r="Y149" s="11">
        <f>IF(OR(City_Inputs!$V149="",Norm_Stats!$F$10="",Norm_Stats!$G$10="",Norm_Stats!$G$10=Norm_Stats!$F$10),"",MAX(0,MIN(100,100*(MIN(MAX(City_Inputs!$V149,Norm_Stats!$F$10),Norm_Stats!$G$10)-Norm_Stats!$F$10)/(Norm_Stats!$G$10-Norm_Stats!$F$10))))</f>
        <v/>
      </c>
      <c r="Z149" s="14">
        <f>IF(Y149="","",1)</f>
        <v/>
      </c>
      <c r="AA149" s="11">
        <f>IF(OR(City_Inputs!$W149="",Norm_Stats!$F$11="",Norm_Stats!$G$11="",Norm_Stats!$G$11=Norm_Stats!$F$11),"",MAX(0,MIN(100,100*(MIN(MAX(City_Inputs!$W149,Norm_Stats!$F$11),Norm_Stats!$G$11)-Norm_Stats!$F$11)/(Norm_Stats!$G$11-Norm_Stats!$F$11))))</f>
        <v/>
      </c>
      <c r="AB149" s="14">
        <f>IF(AA149="","",1)</f>
        <v/>
      </c>
      <c r="AC149" s="11">
        <f>IF(OR(City_Inputs!$X149="",Norm_Stats!$F$12="",Norm_Stats!$G$12="",Norm_Stats!$G$12=Norm_Stats!$F$12),"",MAX(0,MIN(100,100*(MIN(MAX(City_Inputs!$X149,Norm_Stats!$F$12),Norm_Stats!$G$12)-Norm_Stats!$F$12)/(Norm_Stats!$G$12-Norm_Stats!$F$12))))</f>
        <v/>
      </c>
      <c r="AD149" s="11">
        <f>IF(AC149="","",1)</f>
        <v/>
      </c>
      <c r="AE149" s="15">
        <f>IF((IF(S149="",0,5)+IF(U149="",0,5)+IF(W149="",0,4)+IF(Y149="",0,4)+IF(AA149="",0,4)+IF(AC149="",0,5))=0,"",(IF(S149="",0,S149*5)+IF(U149="",0,U149*5)+IF(W149="",0,W149*4)+IF(Y149="",0,Y149*4)+IF(AA149="",0,AA149*4)+IF(AC149="",0,AC149*5))/(IF(S149="",0,5)+IF(U149="",0,5)+IF(W149="",0,4)+IF(Y149="",0,4)+IF(AA149="",0,4)+IF(AC149="",0,5)))</f>
        <v/>
      </c>
      <c r="AF149" s="14">
        <f>IF((IF(T149="",0,5)+IF(V149="",0,5)+IF(X149="",0,4)+IF(Z149="",0,4)+IF(AB149="",0,4)+IF(AD149="",0,5))=0,"",(IF(T149="",0,T149*5)+IF(V149="",0,V149*5)+IF(X149="",0,X149*4)+IF(Z149="",0,Z149*4)+IF(AB149="",0,AB149*4)+IF(AD149="",0,AD149*5))/27)</f>
        <v/>
      </c>
      <c r="AG149" s="11">
        <f>IF(OR(City_Inputs!$Y149="",Norm_Stats!$F$13="",Norm_Stats!$G$13="",Norm_Stats!$G$13=Norm_Stats!$F$13),"",MAX(0,MIN(100,100*(MIN(MAX(City_Inputs!$Y149,Norm_Stats!$F$13),Norm_Stats!$G$13)-Norm_Stats!$F$13)/(Norm_Stats!$G$13-Norm_Stats!$F$13))))</f>
        <v/>
      </c>
      <c r="AH149" s="14">
        <f>IF(AG149="","",1)</f>
        <v/>
      </c>
      <c r="AI149" s="11">
        <f>IF(OR(City_Inputs!$Z149="",Norm_Stats!$F$14="",Norm_Stats!$G$14="",Norm_Stats!$G$14=Norm_Stats!$F$14),"",MAX(0,MIN(100,100*(MIN(MAX(City_Inputs!$Z149,Norm_Stats!$F$14),Norm_Stats!$G$14)-Norm_Stats!$F$14)/(Norm_Stats!$G$14-Norm_Stats!$F$14))))</f>
        <v/>
      </c>
      <c r="AJ149" s="14">
        <f>IF(AI149="","",1)</f>
        <v/>
      </c>
      <c r="AK149" s="11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(IF(OR(City_Inputs!$AA149="",Norm_Stats!$F$15="",Norm_Stats!$G$15="",Norm_Stats!$G$15=Norm_Stats!$F$15),"",MAX(0,MIN(100,100*(MIN(MAX(City_Inputs!$AA149,Norm_Stats!$F$15),Norm_Stats!$G$15)-Norm_Stats!$F$15)/(Norm_Stats!$G$15-Norm_Stats!$F$15)))))*0.7)+IF((IF(OR(City_Inputs!$AL149="",Norm_Stats!$F$16="",Norm_Stats!$G$16="",Norm_Stats!$G$16=Norm_Stats!$F$16),"",MAX(0,MIN(100,100*(Norm_Stats!$G$16-MIN(MAX(City_Inputs!$AL149,Norm_Stats!$F$16),Norm_Stats!$G$16))/(Norm_Stats!$G$16-Norm_Stats!$F$16)))))="",0,(IF(OR(City_Inputs!$AL149="",Norm_Stats!$F$16="",Norm_Stats!$G$16="",Norm_Stats!$G$16=Norm_Stats!$F$16),"",MAX(0,MIN(100,100*(Norm_Stats!$G$16-MIN(MAX(City_Inputs!$AL149,Norm_Stats!$F$16),Norm_Stats!$G$16))/(Norm_Stats!$G$16-Norm_Stats!$F$16)))))*0.3))/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L149" s="14">
        <f>IF(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=0,"",(IF((IF(OR(City_Inputs!$AA149="",Norm_Stats!$F$15="",Norm_Stats!$G$15="",Norm_Stats!$G$15=Norm_Stats!$F$15),"",MAX(0,MIN(100,100*(MIN(MAX(City_Inputs!$AA149,Norm_Stats!$F$15),Norm_Stats!$G$15)-Norm_Stats!$F$15)/(Norm_Stats!$G$15-Norm_Stats!$F$15)))))="",0,0.7)+IF((IF(OR(City_Inputs!$AL149="",Norm_Stats!$F$16="",Norm_Stats!$G$16="",Norm_Stats!$G$16=Norm_Stats!$F$16),"",MAX(0,MIN(100,100*(Norm_Stats!$G$16-MIN(MAX(City_Inputs!$AL149,Norm_Stats!$F$16),Norm_Stats!$G$16))/(Norm_Stats!$G$16-Norm_Stats!$F$16)))))="",0,0.3)))</f>
        <v/>
      </c>
      <c r="AM149" s="15">
        <f>IF((IF(AG149="",0,8)+IF(AI149="",0,6)+IF(AK149="",0,4))=0,"",(IF(AG149="",0,AG149*8)+IF(AI149="",0,AI149*6)+IF(AK149="",0,AK149*4))/(IF(AG149="",0,8)+IF(AI149="",0,6)+IF(AK149="",0,4)))</f>
        <v/>
      </c>
      <c r="AN149" s="14">
        <f>IF((IF(AH149="",0,8)+IF(AJ149="",0,6)+IF(AL149="",0,4))=0,"",(IF(AH149="",0,AH149*8)+IF(AJ149="",0,AJ149*6)+IF(AL149="",0,AL149*4))/18)</f>
        <v/>
      </c>
      <c r="AO149" s="11">
        <f>IF(OR(City_Inputs!$AB149="",Norm_Stats!$F$17="",Norm_Stats!$G$17="",Norm_Stats!$G$17=Norm_Stats!$F$17),"",MAX(0,MIN(100,100*(MIN(MAX(City_Inputs!$AB149,Norm_Stats!$F$17),Norm_Stats!$G$17)-Norm_Stats!$F$17)/(Norm_Stats!$G$17-Norm_Stats!$F$17))))</f>
        <v/>
      </c>
      <c r="AP149" s="14">
        <f>IF(AO149="","",1)</f>
        <v/>
      </c>
      <c r="AQ149" s="11">
        <f>IF(OR(City_Inputs!$AC149="",Norm_Stats!$F$18="",Norm_Stats!$G$18="",Norm_Stats!$G$18=Norm_Stats!$F$18),"",MAX(0,MIN(100,100*(MIN(MAX(City_Inputs!$AC149,Norm_Stats!$F$18),Norm_Stats!$G$18)-Norm_Stats!$F$18)/(Norm_Stats!$G$18-Norm_Stats!$F$18))))</f>
        <v/>
      </c>
      <c r="AR149" s="14">
        <f>IF(AQ149="","",1)</f>
        <v/>
      </c>
      <c r="AS149" s="11">
        <f>IF(OR(City_Inputs!$AD149="",Norm_Stats!$F$19="",Norm_Stats!$G$19="",Norm_Stats!$G$19=Norm_Stats!$F$19),"",MAX(0,MIN(100,100*(MIN(MAX(City_Inputs!$AD149,Norm_Stats!$F$19),Norm_Stats!$G$19)-Norm_Stats!$F$19)/(Norm_Stats!$G$19-Norm_Stats!$F$19))))</f>
        <v/>
      </c>
      <c r="AT149" s="14">
        <f>IF(AS149="","",1)</f>
        <v/>
      </c>
      <c r="AU149" s="11">
        <f>IF(OR(City_Inputs!$BJ149="",Norm_Stats!$F$26="",Norm_Stats!$G$26="",Norm_Stats!$G$26=Norm_Stats!$F$26),"",MAX(0,MIN(100,100*(MIN(MAX(City_Inputs!$BJ149,Norm_Stats!$F$26),Norm_Stats!$G$26)-Norm_Stats!$F$26)/(Norm_Stats!$G$26-Norm_Stats!$F$26))))</f>
        <v/>
      </c>
      <c r="AV149" s="11">
        <f>IF(AU149="","",1)</f>
        <v/>
      </c>
      <c r="AW149" s="15">
        <f>IF((IF(AO149="",0,5)+IF(AQ149="",0,5)+IF(AS149="",0,5)+IF(AU149="",0,4))=0,"",(IF(AO149="",0,AO149*5)+IF(AQ149="",0,AQ149*5)+IF(AS149="",0,AS149*5)+IF(AU149="",0,AU149*4))/(IF(AO149="",0,5)+IF(AQ149="",0,5)+IF(AS149="",0,5)+IF(AU149="",0,4)))</f>
        <v/>
      </c>
      <c r="AX149" s="14">
        <f>IF((IF(AP149="",0,5)+IF(AR149="",0,5)+IF(AT149="",0,5)+IF(AV149="",0,4))=0,"",(IF(AP149="",0,AP149*5)+IF(AR149="",0,AR149*5)+IF(AT149="",0,AT149*5)+IF(AV149="",0,AV149*4))/19)</f>
        <v/>
      </c>
      <c r="AY149" s="11">
        <f>IF(OR(City_Inputs!$AE149="",Norm_Stats!$F$20="",Norm_Stats!$G$20="",Norm_Stats!$G$20=Norm_Stats!$F$20),"",MAX(0,MIN(100,100*(MIN(MAX(City_Inputs!$AE149,Norm_Stats!$F$20),Norm_Stats!$G$20)-Norm_Stats!$F$20)/(Norm_Stats!$G$20-Norm_Stats!$F$20))))</f>
        <v/>
      </c>
      <c r="AZ149" s="14">
        <f>IF(AY149="","",1)</f>
        <v/>
      </c>
      <c r="BA149" s="11">
        <f>IF(OR(City_Inputs!$AF149="",Norm_Stats!$F$21="",Norm_Stats!$G$21="",Norm_Stats!$G$21=Norm_Stats!$F$21),"",MAX(0,MIN(100,100*(MIN(MAX(City_Inputs!$AF149,Norm_Stats!$F$21),Norm_Stats!$G$21)-Norm_Stats!$F$21)/(Norm_Stats!$G$21-Norm_Stats!$F$21))))</f>
        <v/>
      </c>
      <c r="BB149" s="14">
        <f>IF(BA149="","",1)</f>
        <v/>
      </c>
      <c r="BC149" s="11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(IF(OR(City_Inputs!$AG149="",Norm_Stats!$F$22="",Norm_Stats!$G$22="",Norm_Stats!$G$22=Norm_Stats!$F$22),"",MAX(0,MIN(100,100*(MIN(MAX(City_Inputs!$AG149,Norm_Stats!$F$22),Norm_Stats!$G$22)-Norm_Stats!$F$22)/(Norm_Stats!$G$22-Norm_Stats!$F$22)))))*0.5)+IF((IF(OR(City_Inputs!$AJ149="",Norm_Stats!$F$23="",Norm_Stats!$G$23="",Norm_Stats!$G$23=Norm_Stats!$F$23),"",MAX(0,MIN(100,100*(MIN(MAX(City_Inputs!$AJ149,Norm_Stats!$F$23),Norm_Stats!$G$23)-Norm_Stats!$F$23)/(Norm_Stats!$G$23-Norm_Stats!$F$23)))))="",0,(IF(OR(City_Inputs!$AJ149="",Norm_Stats!$F$23="",Norm_Stats!$G$23="",Norm_Stats!$G$23=Norm_Stats!$F$23),"",MAX(0,MIN(100,100*(MIN(MAX(City_Inputs!$AJ149,Norm_Stats!$F$23),Norm_Stats!$G$23)-Norm_Stats!$F$23)/(Norm_Stats!$G$23-Norm_Stats!$F$23)))))*0.3)+IF((IF(OR(City_Inputs!$AK149="",Norm_Stats!$F$24="",Norm_Stats!$G$24="",Norm_Stats!$G$24=Norm_Stats!$F$24),"",MAX(0,MIN(100,100*(MIN(MAX(City_Inputs!$AK149,Norm_Stats!$F$24),Norm_Stats!$G$24)-Norm_Stats!$F$24)/(Norm_Stats!$G$24-Norm_Stats!$F$24)))))="",0,(IF(OR(City_Inputs!$AK149="",Norm_Stats!$F$24="",Norm_Stats!$G$24="",Norm_Stats!$G$24=Norm_Stats!$F$24),"",MAX(0,MIN(100,100*(MIN(MAX(City_Inputs!$AK149,Norm_Stats!$F$24),Norm_Stats!$G$24)-Norm_Stats!$F$24)/(Norm_Stats!$G$24-Norm_Stats!$F$24)))))*0.2))/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D149" s="14">
        <f>IF(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=0,"",(IF((IF(OR(City_Inputs!$AG149="",Norm_Stats!$F$22="",Norm_Stats!$G$22="",Norm_Stats!$G$22=Norm_Stats!$F$22),"",MAX(0,MIN(100,100*(MIN(MAX(City_Inputs!$AG149,Norm_Stats!$F$22),Norm_Stats!$G$22)-Norm_Stats!$F$22)/(Norm_Stats!$G$22-Norm_Stats!$F$22)))))="",0,0.5)+IF((IF(OR(City_Inputs!$AJ149="",Norm_Stats!$F$23="",Norm_Stats!$G$23="",Norm_Stats!$G$23=Norm_Stats!$F$23),"",MAX(0,MIN(100,100*(MIN(MAX(City_Inputs!$AJ149,Norm_Stats!$F$23),Norm_Stats!$G$23)-Norm_Stats!$F$23)/(Norm_Stats!$G$23-Norm_Stats!$F$23)))))="",0,0.3)+IF((IF(OR(City_Inputs!$AK149="",Norm_Stats!$F$24="",Norm_Stats!$G$24="",Norm_Stats!$G$24=Norm_Stats!$F$24),"",MAX(0,MIN(100,100*(MIN(MAX(City_Inputs!$AK149,Norm_Stats!$F$24),Norm_Stats!$G$24)-Norm_Stats!$F$24)/(Norm_Stats!$G$24-Norm_Stats!$F$24)))))="",0,0.2)))</f>
        <v/>
      </c>
      <c r="BE149" s="11">
        <f>IF(OR(City_Inputs!$AH149="",Norm_Stats!$F$25="",Norm_Stats!$G$25="",Norm_Stats!$G$25=Norm_Stats!$F$25),"",MAX(0,MIN(100,100*(Norm_Stats!$G$25-MIN(MAX(City_Inputs!$AH149,Norm_Stats!$F$25),Norm_Stats!$G$25))/(Norm_Stats!$G$25-Norm_Stats!$F$25))))</f>
        <v/>
      </c>
      <c r="BF149" s="14">
        <f>IF(BE149="","",1)</f>
        <v/>
      </c>
      <c r="BG149" s="15">
        <f>IF((IF(AY149="",0,6)+IF(BA149="",0,5)+IF(BC149="",0,5)+IF(BE149="",0,4))=0,"",(IF(AY149="",0,AY149*6)+IF(BA149="",0,BA149*5)+IF(BC149="",0,BC149*5)+IF(BE149="",0,BE149*4))/(IF(AY149="",0,6)+IF(BA149="",0,5)+IF(BC149="",0,5)+IF(BE149="",0,4)))</f>
        <v/>
      </c>
      <c r="BH149" s="14">
        <f>IF((IF(AZ149="",0,6)+IF(BB149="",0,5)+IF(BD149="",0,5)+IF(BF149="",0,4))=0,"",(IF(AZ149="",0,AZ149*6)+IF(BB149="",0,BB149*5)+IF(BD149="",0,BD149*5)+IF(BF149="",0,BF149*4))/20)</f>
        <v/>
      </c>
      <c r="BI149" s="14">
        <f>IF(AND(R149="",AF149="",AN149="",AX149="",BH149=""),"",((R149*25)+(AF149*22)+(AN149*18)+(AX149*15)+(BH149*20))/100)</f>
        <v/>
      </c>
      <c r="BJ149" s="11">
        <f>IF(BI149="","",IF(BI149&gt;=0.75,"A",IF(BI149&gt;=0.5,"B",IF(BI149&gt;=0.35,"C","Watchlist"))))</f>
        <v/>
      </c>
      <c r="BK149" s="11">
        <f>IF(OR(BI149="",BI149&lt;0.5,R149="",R149&lt;0.35,AF149="",AF149&lt;0.35,AN149="",AN149&lt;0.35,AX149="",AX149&lt;0.35,BH149="",BH149&lt;0.35),"Watchlist","Ranked")</f>
        <v/>
      </c>
      <c r="BL149" s="15">
        <f>IF(AND(Q149="",AE149="",AM149="",AW149="",BG149=""),"",(IF(Q149="",0,Q149*25)+IF(AE149="",0,AE149*22)+IF(AM149="",0,AM149*18)+IF(AW149="",0,AW149*15)+IF(BG149="",0,BG149*20))/(IF(Q149="",0,25)+IF(AE149="",0,22)+IF(AM149="",0,18)+IF(AW149="",0,15)+IF(BG149="",0,20)))</f>
        <v/>
      </c>
      <c r="BM149" s="11">
        <f>IF(BK149="Ranked",1+COUNTIFS($BK$2:$BK$158,"Ranked",$BL$2:$BL$158,"&gt;"&amp;BL149),"")</f>
        <v/>
      </c>
      <c r="BN149" s="11">
        <f>City_Inputs!$AI149</f>
        <v/>
      </c>
    </row>
    <row r="150">
      <c r="A150" t="inlineStr">
        <is>
          <t>ma-rabat</t>
        </is>
      </c>
      <c r="B150" t="inlineStr">
        <is>
          <t>Rabat</t>
        </is>
      </c>
      <c r="C150" t="inlineStr">
        <is>
          <t>Morocco</t>
        </is>
      </c>
      <c r="D150" t="inlineStr">
        <is>
          <t>Africa</t>
        </is>
      </c>
      <c r="E150" t="inlineStr">
        <is>
          <t>provisional</t>
        </is>
      </c>
      <c r="F150" t="inlineStr">
        <is>
          <t>primary</t>
        </is>
      </c>
      <c r="G150" s="11">
        <f>IF(OR(City_Inputs!$M150="",Norm_Stats!$F$2="",Norm_Stats!$G$2="",Norm_Stats!$G$2=Norm_Stats!$F$2),"",MAX(0,MIN(100,100*(MIN(MAX(City_Inputs!$M150,Norm_Stats!$F$2),Norm_Stats!$G$2)-Norm_Stats!$F$2)/(Norm_Stats!$G$2-Norm_Stats!$F$2))))</f>
        <v/>
      </c>
      <c r="H150" s="14">
        <f>IF(G150="","",1)</f>
        <v/>
      </c>
      <c r="I150" s="11">
        <f>IF(OR(City_Inputs!$N150="",Norm_Stats!$F$3="",Norm_Stats!$G$3="",Norm_Stats!$G$3=Norm_Stats!$F$3),"",MAX(0,MIN(100,100*(Norm_Stats!$G$3-MIN(MAX(City_Inputs!$N150,Norm_Stats!$F$3),Norm_Stats!$G$3))/(Norm_Stats!$G$3-Norm_Stats!$F$3))))</f>
        <v/>
      </c>
      <c r="J150" s="14">
        <f>IF(I150="","",1)</f>
        <v/>
      </c>
      <c r="K150" s="11">
        <f>IF(OR(City_Inputs!$P150="",Norm_Stats!$F$4="",Norm_Stats!$G$4="",Norm_Stats!$G$4=Norm_Stats!$F$4),"",MAX(0,MIN(100,100*(Norm_Stats!$G$4-MIN(MAX(City_Inputs!$P150,Norm_Stats!$F$4),Norm_Stats!$G$4))/(Norm_Stats!$G$4-Norm_Stats!$F$4))))</f>
        <v/>
      </c>
      <c r="L150" s="14">
        <f>IF(K150="","",1)</f>
        <v/>
      </c>
      <c r="M150" s="11">
        <f>IF(OR(City_Inputs!$Q150="",Norm_Stats!$F$5="",Norm_Stats!$G$5="",Norm_Stats!$G$5=Norm_Stats!$F$5),"",MAX(0,MIN(100,100*(Norm_Stats!$G$5-MIN(MAX(City_Inputs!$Q150,Norm_Stats!$F$5),Norm_Stats!$G$5))/(Norm_Stats!$G$5-Norm_Stats!$F$5))))</f>
        <v/>
      </c>
      <c r="N150" s="14">
        <f>IF(M150="","",1)</f>
        <v/>
      </c>
      <c r="O150" s="11">
        <f>IF(OR(City_Inputs!$R150="",Norm_Stats!$F$6="",Norm_Stats!$G$6="",Norm_Stats!$G$6=Norm_Stats!$F$6),"",MAX(0,MIN(100,100*(Norm_Stats!$G$6-MIN(MAX(City_Inputs!$R150,Norm_Stats!$F$6),Norm_Stats!$G$6))/(Norm_Stats!$G$6-Norm_Stats!$F$6))))</f>
        <v/>
      </c>
      <c r="P150" s="14">
        <f>IF(O150="","",1)</f>
        <v/>
      </c>
      <c r="Q150" s="15">
        <f>IF((IF(G150="",0,9)+IF(I150="",0,5)+IF(K150="",0,4)+IF(M150="",0,4)+IF(O150="",0,5))=0,"",(IF(G150="",0,G150*9)+IF(I150="",0,I150*5)+IF(K150="",0,K150*4)+IF(M150="",0,M150*4)+IF(O150="",0,O150*5))/(IF(G150="",0,9)+IF(I150="",0,5)+IF(K150="",0,4)+IF(M150="",0,4)+IF(O150="",0,5)))</f>
        <v/>
      </c>
      <c r="R150" s="14">
        <f>IF((IF(H150="",0,9)+IF(J150="",0,5)+IF(L150="",0,4)+IF(N150="",0,4)+IF(P150="",0,5))=0,"",(IF(H150="",0,H150*9)+IF(J150="",0,J150*5)+IF(L150="",0,L150*4)+IF(N150="",0,N150*4)+IF(P150="",0,P150*5))/27)</f>
        <v/>
      </c>
      <c r="S150" s="11">
        <f>IF(OR(City_Inputs!$S150="",Norm_Stats!$F$7="",Norm_Stats!$G$7="",Norm_Stats!$G$7=Norm_Stats!$F$7),"",MAX(0,MIN(100,100*(Norm_Stats!$G$7-MIN(MAX(City_Inputs!$S150,Norm_Stats!$F$7),Norm_Stats!$G$7))/(Norm_Stats!$G$7-Norm_Stats!$F$7))))</f>
        <v/>
      </c>
      <c r="T150" s="14">
        <f>IF(S150="","",1)</f>
        <v/>
      </c>
      <c r="U150" s="11">
        <f>IF(OR(City_Inputs!$T150="",Norm_Stats!$F$8="",Norm_Stats!$G$8="",Norm_Stats!$G$8=Norm_Stats!$F$8),"",MAX(0,MIN(100,100*(MIN(MAX(City_Inputs!$T150,Norm_Stats!$F$8),Norm_Stats!$G$8)-Norm_Stats!$F$8)/(Norm_Stats!$G$8-Norm_Stats!$F$8))))</f>
        <v/>
      </c>
      <c r="V150" s="14">
        <f>IF(U150="","",1)</f>
        <v/>
      </c>
      <c r="W150" s="11">
        <f>IF(OR(City_Inputs!$U150="",Norm_Stats!$F$9="",Norm_Stats!$G$9="",Norm_Stats!$G$9=Norm_Stats!$F$9),"",MAX(0,MIN(100,100*(Norm_Stats!$G$9-MIN(MAX(City_Inputs!$U150,Norm_Stats!$F$9),Norm_Stats!$G$9))/(Norm_Stats!$G$9-Norm_Stats!$F$9))))</f>
        <v/>
      </c>
      <c r="X150" s="14">
        <f>IF(W150="","",1)</f>
        <v/>
      </c>
      <c r="Y150" s="11">
        <f>IF(OR(City_Inputs!$V150="",Norm_Stats!$F$10="",Norm_Stats!$G$10="",Norm_Stats!$G$10=Norm_Stats!$F$10),"",MAX(0,MIN(100,100*(MIN(MAX(City_Inputs!$V150,Norm_Stats!$F$10),Norm_Stats!$G$10)-Norm_Stats!$F$10)/(Norm_Stats!$G$10-Norm_Stats!$F$10))))</f>
        <v/>
      </c>
      <c r="Z150" s="14">
        <f>IF(Y150="","",1)</f>
        <v/>
      </c>
      <c r="AA150" s="11">
        <f>IF(OR(City_Inputs!$W150="",Norm_Stats!$F$11="",Norm_Stats!$G$11="",Norm_Stats!$G$11=Norm_Stats!$F$11),"",MAX(0,MIN(100,100*(MIN(MAX(City_Inputs!$W150,Norm_Stats!$F$11),Norm_Stats!$G$11)-Norm_Stats!$F$11)/(Norm_Stats!$G$11-Norm_Stats!$F$11))))</f>
        <v/>
      </c>
      <c r="AB150" s="14">
        <f>IF(AA150="","",1)</f>
        <v/>
      </c>
      <c r="AC150" s="11">
        <f>IF(OR(City_Inputs!$X150="",Norm_Stats!$F$12="",Norm_Stats!$G$12="",Norm_Stats!$G$12=Norm_Stats!$F$12),"",MAX(0,MIN(100,100*(MIN(MAX(City_Inputs!$X150,Norm_Stats!$F$12),Norm_Stats!$G$12)-Norm_Stats!$F$12)/(Norm_Stats!$G$12-Norm_Stats!$F$12))))</f>
        <v/>
      </c>
      <c r="AD150" s="11">
        <f>IF(AC150="","",1)</f>
        <v/>
      </c>
      <c r="AE150" s="15">
        <f>IF((IF(S150="",0,5)+IF(U150="",0,5)+IF(W150="",0,4)+IF(Y150="",0,4)+IF(AA150="",0,4)+IF(AC150="",0,5))=0,"",(IF(S150="",0,S150*5)+IF(U150="",0,U150*5)+IF(W150="",0,W150*4)+IF(Y150="",0,Y150*4)+IF(AA150="",0,AA150*4)+IF(AC150="",0,AC150*5))/(IF(S150="",0,5)+IF(U150="",0,5)+IF(W150="",0,4)+IF(Y150="",0,4)+IF(AA150="",0,4)+IF(AC150="",0,5)))</f>
        <v/>
      </c>
      <c r="AF150" s="14">
        <f>IF((IF(T150="",0,5)+IF(V150="",0,5)+IF(X150="",0,4)+IF(Z150="",0,4)+IF(AB150="",0,4)+IF(AD150="",0,5))=0,"",(IF(T150="",0,T150*5)+IF(V150="",0,V150*5)+IF(X150="",0,X150*4)+IF(Z150="",0,Z150*4)+IF(AB150="",0,AB150*4)+IF(AD150="",0,AD150*5))/27)</f>
        <v/>
      </c>
      <c r="AG150" s="11">
        <f>IF(OR(City_Inputs!$Y150="",Norm_Stats!$F$13="",Norm_Stats!$G$13="",Norm_Stats!$G$13=Norm_Stats!$F$13),"",MAX(0,MIN(100,100*(MIN(MAX(City_Inputs!$Y150,Norm_Stats!$F$13),Norm_Stats!$G$13)-Norm_Stats!$F$13)/(Norm_Stats!$G$13-Norm_Stats!$F$13))))</f>
        <v/>
      </c>
      <c r="AH150" s="14">
        <f>IF(AG150="","",1)</f>
        <v/>
      </c>
      <c r="AI150" s="11">
        <f>IF(OR(City_Inputs!$Z150="",Norm_Stats!$F$14="",Norm_Stats!$G$14="",Norm_Stats!$G$14=Norm_Stats!$F$14),"",MAX(0,MIN(100,100*(MIN(MAX(City_Inputs!$Z150,Norm_Stats!$F$14),Norm_Stats!$G$14)-Norm_Stats!$F$14)/(Norm_Stats!$G$14-Norm_Stats!$F$14))))</f>
        <v/>
      </c>
      <c r="AJ150" s="14">
        <f>IF(AI150="","",1)</f>
        <v/>
      </c>
      <c r="AK150" s="11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(IF(OR(City_Inputs!$AA150="",Norm_Stats!$F$15="",Norm_Stats!$G$15="",Norm_Stats!$G$15=Norm_Stats!$F$15),"",MAX(0,MIN(100,100*(MIN(MAX(City_Inputs!$AA150,Norm_Stats!$F$15),Norm_Stats!$G$15)-Norm_Stats!$F$15)/(Norm_Stats!$G$15-Norm_Stats!$F$15)))))*0.7)+IF((IF(OR(City_Inputs!$AL150="",Norm_Stats!$F$16="",Norm_Stats!$G$16="",Norm_Stats!$G$16=Norm_Stats!$F$16),"",MAX(0,MIN(100,100*(Norm_Stats!$G$16-MIN(MAX(City_Inputs!$AL150,Norm_Stats!$F$16),Norm_Stats!$G$16))/(Norm_Stats!$G$16-Norm_Stats!$F$16)))))="",0,(IF(OR(City_Inputs!$AL150="",Norm_Stats!$F$16="",Norm_Stats!$G$16="",Norm_Stats!$G$16=Norm_Stats!$F$16),"",MAX(0,MIN(100,100*(Norm_Stats!$G$16-MIN(MAX(City_Inputs!$AL150,Norm_Stats!$F$16),Norm_Stats!$G$16))/(Norm_Stats!$G$16-Norm_Stats!$F$16)))))*0.3))/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L150" s="14">
        <f>IF(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=0,"",(IF((IF(OR(City_Inputs!$AA150="",Norm_Stats!$F$15="",Norm_Stats!$G$15="",Norm_Stats!$G$15=Norm_Stats!$F$15),"",MAX(0,MIN(100,100*(MIN(MAX(City_Inputs!$AA150,Norm_Stats!$F$15),Norm_Stats!$G$15)-Norm_Stats!$F$15)/(Norm_Stats!$G$15-Norm_Stats!$F$15)))))="",0,0.7)+IF((IF(OR(City_Inputs!$AL150="",Norm_Stats!$F$16="",Norm_Stats!$G$16="",Norm_Stats!$G$16=Norm_Stats!$F$16),"",MAX(0,MIN(100,100*(Norm_Stats!$G$16-MIN(MAX(City_Inputs!$AL150,Norm_Stats!$F$16),Norm_Stats!$G$16))/(Norm_Stats!$G$16-Norm_Stats!$F$16)))))="",0,0.3)))</f>
        <v/>
      </c>
      <c r="AM150" s="15">
        <f>IF((IF(AG150="",0,8)+IF(AI150="",0,6)+IF(AK150="",0,4))=0,"",(IF(AG150="",0,AG150*8)+IF(AI150="",0,AI150*6)+IF(AK150="",0,AK150*4))/(IF(AG150="",0,8)+IF(AI150="",0,6)+IF(AK150="",0,4)))</f>
        <v/>
      </c>
      <c r="AN150" s="14">
        <f>IF((IF(AH150="",0,8)+IF(AJ150="",0,6)+IF(AL150="",0,4))=0,"",(IF(AH150="",0,AH150*8)+IF(AJ150="",0,AJ150*6)+IF(AL150="",0,AL150*4))/18)</f>
        <v/>
      </c>
      <c r="AO150" s="11">
        <f>IF(OR(City_Inputs!$AB150="",Norm_Stats!$F$17="",Norm_Stats!$G$17="",Norm_Stats!$G$17=Norm_Stats!$F$17),"",MAX(0,MIN(100,100*(MIN(MAX(City_Inputs!$AB150,Norm_Stats!$F$17),Norm_Stats!$G$17)-Norm_Stats!$F$17)/(Norm_Stats!$G$17-Norm_Stats!$F$17))))</f>
        <v/>
      </c>
      <c r="AP150" s="14">
        <f>IF(AO150="","",1)</f>
        <v/>
      </c>
      <c r="AQ150" s="11">
        <f>IF(OR(City_Inputs!$AC150="",Norm_Stats!$F$18="",Norm_Stats!$G$18="",Norm_Stats!$G$18=Norm_Stats!$F$18),"",MAX(0,MIN(100,100*(MIN(MAX(City_Inputs!$AC150,Norm_Stats!$F$18),Norm_Stats!$G$18)-Norm_Stats!$F$18)/(Norm_Stats!$G$18-Norm_Stats!$F$18))))</f>
        <v/>
      </c>
      <c r="AR150" s="14">
        <f>IF(AQ150="","",1)</f>
        <v/>
      </c>
      <c r="AS150" s="11">
        <f>IF(OR(City_Inputs!$AD150="",Norm_Stats!$F$19="",Norm_Stats!$G$19="",Norm_Stats!$G$19=Norm_Stats!$F$19),"",MAX(0,MIN(100,100*(MIN(MAX(City_Inputs!$AD150,Norm_Stats!$F$19),Norm_Stats!$G$19)-Norm_Stats!$F$19)/(Norm_Stats!$G$19-Norm_Stats!$F$19))))</f>
        <v/>
      </c>
      <c r="AT150" s="14">
        <f>IF(AS150="","",1)</f>
        <v/>
      </c>
      <c r="AU150" s="11">
        <f>IF(OR(City_Inputs!$BJ150="",Norm_Stats!$F$26="",Norm_Stats!$G$26="",Norm_Stats!$G$26=Norm_Stats!$F$26),"",MAX(0,MIN(100,100*(MIN(MAX(City_Inputs!$BJ150,Norm_Stats!$F$26),Norm_Stats!$G$26)-Norm_Stats!$F$26)/(Norm_Stats!$G$26-Norm_Stats!$F$26))))</f>
        <v/>
      </c>
      <c r="AV150" s="11">
        <f>IF(AU150="","",1)</f>
        <v/>
      </c>
      <c r="AW150" s="15">
        <f>IF((IF(AO150="",0,5)+IF(AQ150="",0,5)+IF(AS150="",0,5)+IF(AU150="",0,4))=0,"",(IF(AO150="",0,AO150*5)+IF(AQ150="",0,AQ150*5)+IF(AS150="",0,AS150*5)+IF(AU150="",0,AU150*4))/(IF(AO150="",0,5)+IF(AQ150="",0,5)+IF(AS150="",0,5)+IF(AU150="",0,4)))</f>
        <v/>
      </c>
      <c r="AX150" s="14">
        <f>IF((IF(AP150="",0,5)+IF(AR150="",0,5)+IF(AT150="",0,5)+IF(AV150="",0,4))=0,"",(IF(AP150="",0,AP150*5)+IF(AR150="",0,AR150*5)+IF(AT150="",0,AT150*5)+IF(AV150="",0,AV150*4))/19)</f>
        <v/>
      </c>
      <c r="AY150" s="11">
        <f>IF(OR(City_Inputs!$AE150="",Norm_Stats!$F$20="",Norm_Stats!$G$20="",Norm_Stats!$G$20=Norm_Stats!$F$20),"",MAX(0,MIN(100,100*(MIN(MAX(City_Inputs!$AE150,Norm_Stats!$F$20),Norm_Stats!$G$20)-Norm_Stats!$F$20)/(Norm_Stats!$G$20-Norm_Stats!$F$20))))</f>
        <v/>
      </c>
      <c r="AZ150" s="14">
        <f>IF(AY150="","",1)</f>
        <v/>
      </c>
      <c r="BA150" s="11">
        <f>IF(OR(City_Inputs!$AF150="",Norm_Stats!$F$21="",Norm_Stats!$G$21="",Norm_Stats!$G$21=Norm_Stats!$F$21),"",MAX(0,MIN(100,100*(MIN(MAX(City_Inputs!$AF150,Norm_Stats!$F$21),Norm_Stats!$G$21)-Norm_Stats!$F$21)/(Norm_Stats!$G$21-Norm_Stats!$F$21))))</f>
        <v/>
      </c>
      <c r="BB150" s="14">
        <f>IF(BA150="","",1)</f>
        <v/>
      </c>
      <c r="BC150" s="11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(IF(OR(City_Inputs!$AG150="",Norm_Stats!$F$22="",Norm_Stats!$G$22="",Norm_Stats!$G$22=Norm_Stats!$F$22),"",MAX(0,MIN(100,100*(MIN(MAX(City_Inputs!$AG150,Norm_Stats!$F$22),Norm_Stats!$G$22)-Norm_Stats!$F$22)/(Norm_Stats!$G$22-Norm_Stats!$F$22)))))*0.5)+IF((IF(OR(City_Inputs!$AJ150="",Norm_Stats!$F$23="",Norm_Stats!$G$23="",Norm_Stats!$G$23=Norm_Stats!$F$23),"",MAX(0,MIN(100,100*(MIN(MAX(City_Inputs!$AJ150,Norm_Stats!$F$23),Norm_Stats!$G$23)-Norm_Stats!$F$23)/(Norm_Stats!$G$23-Norm_Stats!$F$23)))))="",0,(IF(OR(City_Inputs!$AJ150="",Norm_Stats!$F$23="",Norm_Stats!$G$23="",Norm_Stats!$G$23=Norm_Stats!$F$23),"",MAX(0,MIN(100,100*(MIN(MAX(City_Inputs!$AJ150,Norm_Stats!$F$23),Norm_Stats!$G$23)-Norm_Stats!$F$23)/(Norm_Stats!$G$23-Norm_Stats!$F$23)))))*0.3)+IF((IF(OR(City_Inputs!$AK150="",Norm_Stats!$F$24="",Norm_Stats!$G$24="",Norm_Stats!$G$24=Norm_Stats!$F$24),"",MAX(0,MIN(100,100*(MIN(MAX(City_Inputs!$AK150,Norm_Stats!$F$24),Norm_Stats!$G$24)-Norm_Stats!$F$24)/(Norm_Stats!$G$24-Norm_Stats!$F$24)))))="",0,(IF(OR(City_Inputs!$AK150="",Norm_Stats!$F$24="",Norm_Stats!$G$24="",Norm_Stats!$G$24=Norm_Stats!$F$24),"",MAX(0,MIN(100,100*(MIN(MAX(City_Inputs!$AK150,Norm_Stats!$F$24),Norm_Stats!$G$24)-Norm_Stats!$F$24)/(Norm_Stats!$G$24-Norm_Stats!$F$24)))))*0.2))/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D150" s="14">
        <f>IF(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=0,"",(IF((IF(OR(City_Inputs!$AG150="",Norm_Stats!$F$22="",Norm_Stats!$G$22="",Norm_Stats!$G$22=Norm_Stats!$F$22),"",MAX(0,MIN(100,100*(MIN(MAX(City_Inputs!$AG150,Norm_Stats!$F$22),Norm_Stats!$G$22)-Norm_Stats!$F$22)/(Norm_Stats!$G$22-Norm_Stats!$F$22)))))="",0,0.5)+IF((IF(OR(City_Inputs!$AJ150="",Norm_Stats!$F$23="",Norm_Stats!$G$23="",Norm_Stats!$G$23=Norm_Stats!$F$23),"",MAX(0,MIN(100,100*(MIN(MAX(City_Inputs!$AJ150,Norm_Stats!$F$23),Norm_Stats!$G$23)-Norm_Stats!$F$23)/(Norm_Stats!$G$23-Norm_Stats!$F$23)))))="",0,0.3)+IF((IF(OR(City_Inputs!$AK150="",Norm_Stats!$F$24="",Norm_Stats!$G$24="",Norm_Stats!$G$24=Norm_Stats!$F$24),"",MAX(0,MIN(100,100*(MIN(MAX(City_Inputs!$AK150,Norm_Stats!$F$24),Norm_Stats!$G$24)-Norm_Stats!$F$24)/(Norm_Stats!$G$24-Norm_Stats!$F$24)))))="",0,0.2)))</f>
        <v/>
      </c>
      <c r="BE150" s="11">
        <f>IF(OR(City_Inputs!$AH150="",Norm_Stats!$F$25="",Norm_Stats!$G$25="",Norm_Stats!$G$25=Norm_Stats!$F$25),"",MAX(0,MIN(100,100*(Norm_Stats!$G$25-MIN(MAX(City_Inputs!$AH150,Norm_Stats!$F$25),Norm_Stats!$G$25))/(Norm_Stats!$G$25-Norm_Stats!$F$25))))</f>
        <v/>
      </c>
      <c r="BF150" s="14">
        <f>IF(BE150="","",1)</f>
        <v/>
      </c>
      <c r="BG150" s="15">
        <f>IF((IF(AY150="",0,6)+IF(BA150="",0,5)+IF(BC150="",0,5)+IF(BE150="",0,4))=0,"",(IF(AY150="",0,AY150*6)+IF(BA150="",0,BA150*5)+IF(BC150="",0,BC150*5)+IF(BE150="",0,BE150*4))/(IF(AY150="",0,6)+IF(BA150="",0,5)+IF(BC150="",0,5)+IF(BE150="",0,4)))</f>
        <v/>
      </c>
      <c r="BH150" s="14">
        <f>IF((IF(AZ150="",0,6)+IF(BB150="",0,5)+IF(BD150="",0,5)+IF(BF150="",0,4))=0,"",(IF(AZ150="",0,AZ150*6)+IF(BB150="",0,BB150*5)+IF(BD150="",0,BD150*5)+IF(BF150="",0,BF150*4))/20)</f>
        <v/>
      </c>
      <c r="BI150" s="14">
        <f>IF(AND(R150="",AF150="",AN150="",AX150="",BH150=""),"",((R150*25)+(AF150*22)+(AN150*18)+(AX150*15)+(BH150*20))/100)</f>
        <v/>
      </c>
      <c r="BJ150" s="11">
        <f>IF(BI150="","",IF(BI150&gt;=0.75,"A",IF(BI150&gt;=0.5,"B",IF(BI150&gt;=0.35,"C","Watchlist"))))</f>
        <v/>
      </c>
      <c r="BK150" s="11">
        <f>IF(OR(BI150="",BI150&lt;0.5,R150="",R150&lt;0.35,AF150="",AF150&lt;0.35,AN150="",AN150&lt;0.35,AX150="",AX150&lt;0.35,BH150="",BH150&lt;0.35),"Watchlist","Ranked")</f>
        <v/>
      </c>
      <c r="BL150" s="15">
        <f>IF(AND(Q150="",AE150="",AM150="",AW150="",BG150=""),"",(IF(Q150="",0,Q150*25)+IF(AE150="",0,AE150*22)+IF(AM150="",0,AM150*18)+IF(AW150="",0,AW150*15)+IF(BG150="",0,BG150*20))/(IF(Q150="",0,25)+IF(AE150="",0,22)+IF(AM150="",0,18)+IF(AW150="",0,15)+IF(BG150="",0,20)))</f>
        <v/>
      </c>
      <c r="BM150" s="11">
        <f>IF(BK150="Ranked",1+COUNTIFS($BK$2:$BK$158,"Ranked",$BL$2:$BL$158,"&gt;"&amp;BL150),"")</f>
        <v/>
      </c>
      <c r="BN150" s="11">
        <f>City_Inputs!$AI150</f>
        <v/>
      </c>
    </row>
    <row r="151">
      <c r="A151" t="inlineStr">
        <is>
          <t>eg-alexandria</t>
        </is>
      </c>
      <c r="B151" t="inlineStr">
        <is>
          <t>Alexandria</t>
        </is>
      </c>
      <c r="C151" t="inlineStr">
        <is>
          <t>Egypt</t>
        </is>
      </c>
      <c r="D151" t="inlineStr">
        <is>
          <t>Africa</t>
        </is>
      </c>
      <c r="E151" t="inlineStr">
        <is>
          <t>provisional</t>
        </is>
      </c>
      <c r="F151" t="inlineStr">
        <is>
          <t>primary</t>
        </is>
      </c>
      <c r="G151" s="11">
        <f>IF(OR(City_Inputs!$M151="",Norm_Stats!$F$2="",Norm_Stats!$G$2="",Norm_Stats!$G$2=Norm_Stats!$F$2),"",MAX(0,MIN(100,100*(MIN(MAX(City_Inputs!$M151,Norm_Stats!$F$2),Norm_Stats!$G$2)-Norm_Stats!$F$2)/(Norm_Stats!$G$2-Norm_Stats!$F$2))))</f>
        <v/>
      </c>
      <c r="H151" s="14">
        <f>IF(G151="","",1)</f>
        <v/>
      </c>
      <c r="I151" s="11">
        <f>IF(OR(City_Inputs!$N151="",Norm_Stats!$F$3="",Norm_Stats!$G$3="",Norm_Stats!$G$3=Norm_Stats!$F$3),"",MAX(0,MIN(100,100*(Norm_Stats!$G$3-MIN(MAX(City_Inputs!$N151,Norm_Stats!$F$3),Norm_Stats!$G$3))/(Norm_Stats!$G$3-Norm_Stats!$F$3))))</f>
        <v/>
      </c>
      <c r="J151" s="14">
        <f>IF(I151="","",1)</f>
        <v/>
      </c>
      <c r="K151" s="11">
        <f>IF(OR(City_Inputs!$P151="",Norm_Stats!$F$4="",Norm_Stats!$G$4="",Norm_Stats!$G$4=Norm_Stats!$F$4),"",MAX(0,MIN(100,100*(Norm_Stats!$G$4-MIN(MAX(City_Inputs!$P151,Norm_Stats!$F$4),Norm_Stats!$G$4))/(Norm_Stats!$G$4-Norm_Stats!$F$4))))</f>
        <v/>
      </c>
      <c r="L151" s="14">
        <f>IF(K151="","",1)</f>
        <v/>
      </c>
      <c r="M151" s="11">
        <f>IF(OR(City_Inputs!$Q151="",Norm_Stats!$F$5="",Norm_Stats!$G$5="",Norm_Stats!$G$5=Norm_Stats!$F$5),"",MAX(0,MIN(100,100*(Norm_Stats!$G$5-MIN(MAX(City_Inputs!$Q151,Norm_Stats!$F$5),Norm_Stats!$G$5))/(Norm_Stats!$G$5-Norm_Stats!$F$5))))</f>
        <v/>
      </c>
      <c r="N151" s="14">
        <f>IF(M151="","",1)</f>
        <v/>
      </c>
      <c r="O151" s="11">
        <f>IF(OR(City_Inputs!$R151="",Norm_Stats!$F$6="",Norm_Stats!$G$6="",Norm_Stats!$G$6=Norm_Stats!$F$6),"",MAX(0,MIN(100,100*(Norm_Stats!$G$6-MIN(MAX(City_Inputs!$R151,Norm_Stats!$F$6),Norm_Stats!$G$6))/(Norm_Stats!$G$6-Norm_Stats!$F$6))))</f>
        <v/>
      </c>
      <c r="P151" s="14">
        <f>IF(O151="","",1)</f>
        <v/>
      </c>
      <c r="Q151" s="15">
        <f>IF((IF(G151="",0,9)+IF(I151="",0,5)+IF(K151="",0,4)+IF(M151="",0,4)+IF(O151="",0,5))=0,"",(IF(G151="",0,G151*9)+IF(I151="",0,I151*5)+IF(K151="",0,K151*4)+IF(M151="",0,M151*4)+IF(O151="",0,O151*5))/(IF(G151="",0,9)+IF(I151="",0,5)+IF(K151="",0,4)+IF(M151="",0,4)+IF(O151="",0,5)))</f>
        <v/>
      </c>
      <c r="R151" s="14">
        <f>IF((IF(H151="",0,9)+IF(J151="",0,5)+IF(L151="",0,4)+IF(N151="",0,4)+IF(P151="",0,5))=0,"",(IF(H151="",0,H151*9)+IF(J151="",0,J151*5)+IF(L151="",0,L151*4)+IF(N151="",0,N151*4)+IF(P151="",0,P151*5))/27)</f>
        <v/>
      </c>
      <c r="S151" s="11">
        <f>IF(OR(City_Inputs!$S151="",Norm_Stats!$F$7="",Norm_Stats!$G$7="",Norm_Stats!$G$7=Norm_Stats!$F$7),"",MAX(0,MIN(100,100*(Norm_Stats!$G$7-MIN(MAX(City_Inputs!$S151,Norm_Stats!$F$7),Norm_Stats!$G$7))/(Norm_Stats!$G$7-Norm_Stats!$F$7))))</f>
        <v/>
      </c>
      <c r="T151" s="14">
        <f>IF(S151="","",1)</f>
        <v/>
      </c>
      <c r="U151" s="11">
        <f>IF(OR(City_Inputs!$T151="",Norm_Stats!$F$8="",Norm_Stats!$G$8="",Norm_Stats!$G$8=Norm_Stats!$F$8),"",MAX(0,MIN(100,100*(MIN(MAX(City_Inputs!$T151,Norm_Stats!$F$8),Norm_Stats!$G$8)-Norm_Stats!$F$8)/(Norm_Stats!$G$8-Norm_Stats!$F$8))))</f>
        <v/>
      </c>
      <c r="V151" s="14">
        <f>IF(U151="","",1)</f>
        <v/>
      </c>
      <c r="W151" s="11">
        <f>IF(OR(City_Inputs!$U151="",Norm_Stats!$F$9="",Norm_Stats!$G$9="",Norm_Stats!$G$9=Norm_Stats!$F$9),"",MAX(0,MIN(100,100*(Norm_Stats!$G$9-MIN(MAX(City_Inputs!$U151,Norm_Stats!$F$9),Norm_Stats!$G$9))/(Norm_Stats!$G$9-Norm_Stats!$F$9))))</f>
        <v/>
      </c>
      <c r="X151" s="14">
        <f>IF(W151="","",1)</f>
        <v/>
      </c>
      <c r="Y151" s="11">
        <f>IF(OR(City_Inputs!$V151="",Norm_Stats!$F$10="",Norm_Stats!$G$10="",Norm_Stats!$G$10=Norm_Stats!$F$10),"",MAX(0,MIN(100,100*(MIN(MAX(City_Inputs!$V151,Norm_Stats!$F$10),Norm_Stats!$G$10)-Norm_Stats!$F$10)/(Norm_Stats!$G$10-Norm_Stats!$F$10))))</f>
        <v/>
      </c>
      <c r="Z151" s="14">
        <f>IF(Y151="","",1)</f>
        <v/>
      </c>
      <c r="AA151" s="11">
        <f>IF(OR(City_Inputs!$W151="",Norm_Stats!$F$11="",Norm_Stats!$G$11="",Norm_Stats!$G$11=Norm_Stats!$F$11),"",MAX(0,MIN(100,100*(MIN(MAX(City_Inputs!$W151,Norm_Stats!$F$11),Norm_Stats!$G$11)-Norm_Stats!$F$11)/(Norm_Stats!$G$11-Norm_Stats!$F$11))))</f>
        <v/>
      </c>
      <c r="AB151" s="14">
        <f>IF(AA151="","",1)</f>
        <v/>
      </c>
      <c r="AC151" s="11">
        <f>IF(OR(City_Inputs!$X151="",Norm_Stats!$F$12="",Norm_Stats!$G$12="",Norm_Stats!$G$12=Norm_Stats!$F$12),"",MAX(0,MIN(100,100*(MIN(MAX(City_Inputs!$X151,Norm_Stats!$F$12),Norm_Stats!$G$12)-Norm_Stats!$F$12)/(Norm_Stats!$G$12-Norm_Stats!$F$12))))</f>
        <v/>
      </c>
      <c r="AD151" s="11">
        <f>IF(AC151="","",1)</f>
        <v/>
      </c>
      <c r="AE151" s="15">
        <f>IF((IF(S151="",0,5)+IF(U151="",0,5)+IF(W151="",0,4)+IF(Y151="",0,4)+IF(AA151="",0,4)+IF(AC151="",0,5))=0,"",(IF(S151="",0,S151*5)+IF(U151="",0,U151*5)+IF(W151="",0,W151*4)+IF(Y151="",0,Y151*4)+IF(AA151="",0,AA151*4)+IF(AC151="",0,AC151*5))/(IF(S151="",0,5)+IF(U151="",0,5)+IF(W151="",0,4)+IF(Y151="",0,4)+IF(AA151="",0,4)+IF(AC151="",0,5)))</f>
        <v/>
      </c>
      <c r="AF151" s="14">
        <f>IF((IF(T151="",0,5)+IF(V151="",0,5)+IF(X151="",0,4)+IF(Z151="",0,4)+IF(AB151="",0,4)+IF(AD151="",0,5))=0,"",(IF(T151="",0,T151*5)+IF(V151="",0,V151*5)+IF(X151="",0,X151*4)+IF(Z151="",0,Z151*4)+IF(AB151="",0,AB151*4)+IF(AD151="",0,AD151*5))/27)</f>
        <v/>
      </c>
      <c r="AG151" s="11">
        <f>IF(OR(City_Inputs!$Y151="",Norm_Stats!$F$13="",Norm_Stats!$G$13="",Norm_Stats!$G$13=Norm_Stats!$F$13),"",MAX(0,MIN(100,100*(MIN(MAX(City_Inputs!$Y151,Norm_Stats!$F$13),Norm_Stats!$G$13)-Norm_Stats!$F$13)/(Norm_Stats!$G$13-Norm_Stats!$F$13))))</f>
        <v/>
      </c>
      <c r="AH151" s="14">
        <f>IF(AG151="","",1)</f>
        <v/>
      </c>
      <c r="AI151" s="11">
        <f>IF(OR(City_Inputs!$Z151="",Norm_Stats!$F$14="",Norm_Stats!$G$14="",Norm_Stats!$G$14=Norm_Stats!$F$14),"",MAX(0,MIN(100,100*(MIN(MAX(City_Inputs!$Z151,Norm_Stats!$F$14),Norm_Stats!$G$14)-Norm_Stats!$F$14)/(Norm_Stats!$G$14-Norm_Stats!$F$14))))</f>
        <v/>
      </c>
      <c r="AJ151" s="14">
        <f>IF(AI151="","",1)</f>
        <v/>
      </c>
      <c r="AK151" s="11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(IF(OR(City_Inputs!$AA151="",Norm_Stats!$F$15="",Norm_Stats!$G$15="",Norm_Stats!$G$15=Norm_Stats!$F$15),"",MAX(0,MIN(100,100*(MIN(MAX(City_Inputs!$AA151,Norm_Stats!$F$15),Norm_Stats!$G$15)-Norm_Stats!$F$15)/(Norm_Stats!$G$15-Norm_Stats!$F$15)))))*0.7)+IF((IF(OR(City_Inputs!$AL151="",Norm_Stats!$F$16="",Norm_Stats!$G$16="",Norm_Stats!$G$16=Norm_Stats!$F$16),"",MAX(0,MIN(100,100*(Norm_Stats!$G$16-MIN(MAX(City_Inputs!$AL151,Norm_Stats!$F$16),Norm_Stats!$G$16))/(Norm_Stats!$G$16-Norm_Stats!$F$16)))))="",0,(IF(OR(City_Inputs!$AL151="",Norm_Stats!$F$16="",Norm_Stats!$G$16="",Norm_Stats!$G$16=Norm_Stats!$F$16),"",MAX(0,MIN(100,100*(Norm_Stats!$G$16-MIN(MAX(City_Inputs!$AL151,Norm_Stats!$F$16),Norm_Stats!$G$16))/(Norm_Stats!$G$16-Norm_Stats!$F$16)))))*0.3))/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L151" s="14">
        <f>IF(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=0,"",(IF((IF(OR(City_Inputs!$AA151="",Norm_Stats!$F$15="",Norm_Stats!$G$15="",Norm_Stats!$G$15=Norm_Stats!$F$15),"",MAX(0,MIN(100,100*(MIN(MAX(City_Inputs!$AA151,Norm_Stats!$F$15),Norm_Stats!$G$15)-Norm_Stats!$F$15)/(Norm_Stats!$G$15-Norm_Stats!$F$15)))))="",0,0.7)+IF((IF(OR(City_Inputs!$AL151="",Norm_Stats!$F$16="",Norm_Stats!$G$16="",Norm_Stats!$G$16=Norm_Stats!$F$16),"",MAX(0,MIN(100,100*(Norm_Stats!$G$16-MIN(MAX(City_Inputs!$AL151,Norm_Stats!$F$16),Norm_Stats!$G$16))/(Norm_Stats!$G$16-Norm_Stats!$F$16)))))="",0,0.3)))</f>
        <v/>
      </c>
      <c r="AM151" s="15">
        <f>IF((IF(AG151="",0,8)+IF(AI151="",0,6)+IF(AK151="",0,4))=0,"",(IF(AG151="",0,AG151*8)+IF(AI151="",0,AI151*6)+IF(AK151="",0,AK151*4))/(IF(AG151="",0,8)+IF(AI151="",0,6)+IF(AK151="",0,4)))</f>
        <v/>
      </c>
      <c r="AN151" s="14">
        <f>IF((IF(AH151="",0,8)+IF(AJ151="",0,6)+IF(AL151="",0,4))=0,"",(IF(AH151="",0,AH151*8)+IF(AJ151="",0,AJ151*6)+IF(AL151="",0,AL151*4))/18)</f>
        <v/>
      </c>
      <c r="AO151" s="11">
        <f>IF(OR(City_Inputs!$AB151="",Norm_Stats!$F$17="",Norm_Stats!$G$17="",Norm_Stats!$G$17=Norm_Stats!$F$17),"",MAX(0,MIN(100,100*(MIN(MAX(City_Inputs!$AB151,Norm_Stats!$F$17),Norm_Stats!$G$17)-Norm_Stats!$F$17)/(Norm_Stats!$G$17-Norm_Stats!$F$17))))</f>
        <v/>
      </c>
      <c r="AP151" s="14">
        <f>IF(AO151="","",1)</f>
        <v/>
      </c>
      <c r="AQ151" s="11">
        <f>IF(OR(City_Inputs!$AC151="",Norm_Stats!$F$18="",Norm_Stats!$G$18="",Norm_Stats!$G$18=Norm_Stats!$F$18),"",MAX(0,MIN(100,100*(MIN(MAX(City_Inputs!$AC151,Norm_Stats!$F$18),Norm_Stats!$G$18)-Norm_Stats!$F$18)/(Norm_Stats!$G$18-Norm_Stats!$F$18))))</f>
        <v/>
      </c>
      <c r="AR151" s="14">
        <f>IF(AQ151="","",1)</f>
        <v/>
      </c>
      <c r="AS151" s="11">
        <f>IF(OR(City_Inputs!$AD151="",Norm_Stats!$F$19="",Norm_Stats!$G$19="",Norm_Stats!$G$19=Norm_Stats!$F$19),"",MAX(0,MIN(100,100*(MIN(MAX(City_Inputs!$AD151,Norm_Stats!$F$19),Norm_Stats!$G$19)-Norm_Stats!$F$19)/(Norm_Stats!$G$19-Norm_Stats!$F$19))))</f>
        <v/>
      </c>
      <c r="AT151" s="14">
        <f>IF(AS151="","",1)</f>
        <v/>
      </c>
      <c r="AU151" s="11">
        <f>IF(OR(City_Inputs!$BJ151="",Norm_Stats!$F$26="",Norm_Stats!$G$26="",Norm_Stats!$G$26=Norm_Stats!$F$26),"",MAX(0,MIN(100,100*(MIN(MAX(City_Inputs!$BJ151,Norm_Stats!$F$26),Norm_Stats!$G$26)-Norm_Stats!$F$26)/(Norm_Stats!$G$26-Norm_Stats!$F$26))))</f>
        <v/>
      </c>
      <c r="AV151" s="11">
        <f>IF(AU151="","",1)</f>
        <v/>
      </c>
      <c r="AW151" s="15">
        <f>IF((IF(AO151="",0,5)+IF(AQ151="",0,5)+IF(AS151="",0,5)+IF(AU151="",0,4))=0,"",(IF(AO151="",0,AO151*5)+IF(AQ151="",0,AQ151*5)+IF(AS151="",0,AS151*5)+IF(AU151="",0,AU151*4))/(IF(AO151="",0,5)+IF(AQ151="",0,5)+IF(AS151="",0,5)+IF(AU151="",0,4)))</f>
        <v/>
      </c>
      <c r="AX151" s="14">
        <f>IF((IF(AP151="",0,5)+IF(AR151="",0,5)+IF(AT151="",0,5)+IF(AV151="",0,4))=0,"",(IF(AP151="",0,AP151*5)+IF(AR151="",0,AR151*5)+IF(AT151="",0,AT151*5)+IF(AV151="",0,AV151*4))/19)</f>
        <v/>
      </c>
      <c r="AY151" s="11">
        <f>IF(OR(City_Inputs!$AE151="",Norm_Stats!$F$20="",Norm_Stats!$G$20="",Norm_Stats!$G$20=Norm_Stats!$F$20),"",MAX(0,MIN(100,100*(MIN(MAX(City_Inputs!$AE151,Norm_Stats!$F$20),Norm_Stats!$G$20)-Norm_Stats!$F$20)/(Norm_Stats!$G$20-Norm_Stats!$F$20))))</f>
        <v/>
      </c>
      <c r="AZ151" s="14">
        <f>IF(AY151="","",1)</f>
        <v/>
      </c>
      <c r="BA151" s="11">
        <f>IF(OR(City_Inputs!$AF151="",Norm_Stats!$F$21="",Norm_Stats!$G$21="",Norm_Stats!$G$21=Norm_Stats!$F$21),"",MAX(0,MIN(100,100*(MIN(MAX(City_Inputs!$AF151,Norm_Stats!$F$21),Norm_Stats!$G$21)-Norm_Stats!$F$21)/(Norm_Stats!$G$21-Norm_Stats!$F$21))))</f>
        <v/>
      </c>
      <c r="BB151" s="14">
        <f>IF(BA151="","",1)</f>
        <v/>
      </c>
      <c r="BC151" s="11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(IF(OR(City_Inputs!$AG151="",Norm_Stats!$F$22="",Norm_Stats!$G$22="",Norm_Stats!$G$22=Norm_Stats!$F$22),"",MAX(0,MIN(100,100*(MIN(MAX(City_Inputs!$AG151,Norm_Stats!$F$22),Norm_Stats!$G$22)-Norm_Stats!$F$22)/(Norm_Stats!$G$22-Norm_Stats!$F$22)))))*0.5)+IF((IF(OR(City_Inputs!$AJ151="",Norm_Stats!$F$23="",Norm_Stats!$G$23="",Norm_Stats!$G$23=Norm_Stats!$F$23),"",MAX(0,MIN(100,100*(MIN(MAX(City_Inputs!$AJ151,Norm_Stats!$F$23),Norm_Stats!$G$23)-Norm_Stats!$F$23)/(Norm_Stats!$G$23-Norm_Stats!$F$23)))))="",0,(IF(OR(City_Inputs!$AJ151="",Norm_Stats!$F$23="",Norm_Stats!$G$23="",Norm_Stats!$G$23=Norm_Stats!$F$23),"",MAX(0,MIN(100,100*(MIN(MAX(City_Inputs!$AJ151,Norm_Stats!$F$23),Norm_Stats!$G$23)-Norm_Stats!$F$23)/(Norm_Stats!$G$23-Norm_Stats!$F$23)))))*0.3)+IF((IF(OR(City_Inputs!$AK151="",Norm_Stats!$F$24="",Norm_Stats!$G$24="",Norm_Stats!$G$24=Norm_Stats!$F$24),"",MAX(0,MIN(100,100*(MIN(MAX(City_Inputs!$AK151,Norm_Stats!$F$24),Norm_Stats!$G$24)-Norm_Stats!$F$24)/(Norm_Stats!$G$24-Norm_Stats!$F$24)))))="",0,(IF(OR(City_Inputs!$AK151="",Norm_Stats!$F$24="",Norm_Stats!$G$24="",Norm_Stats!$G$24=Norm_Stats!$F$24),"",MAX(0,MIN(100,100*(MIN(MAX(City_Inputs!$AK151,Norm_Stats!$F$24),Norm_Stats!$G$24)-Norm_Stats!$F$24)/(Norm_Stats!$G$24-Norm_Stats!$F$24)))))*0.2))/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D151" s="14">
        <f>IF(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=0,"",(IF((IF(OR(City_Inputs!$AG151="",Norm_Stats!$F$22="",Norm_Stats!$G$22="",Norm_Stats!$G$22=Norm_Stats!$F$22),"",MAX(0,MIN(100,100*(MIN(MAX(City_Inputs!$AG151,Norm_Stats!$F$22),Norm_Stats!$G$22)-Norm_Stats!$F$22)/(Norm_Stats!$G$22-Norm_Stats!$F$22)))))="",0,0.5)+IF((IF(OR(City_Inputs!$AJ151="",Norm_Stats!$F$23="",Norm_Stats!$G$23="",Norm_Stats!$G$23=Norm_Stats!$F$23),"",MAX(0,MIN(100,100*(MIN(MAX(City_Inputs!$AJ151,Norm_Stats!$F$23),Norm_Stats!$G$23)-Norm_Stats!$F$23)/(Norm_Stats!$G$23-Norm_Stats!$F$23)))))="",0,0.3)+IF((IF(OR(City_Inputs!$AK151="",Norm_Stats!$F$24="",Norm_Stats!$G$24="",Norm_Stats!$G$24=Norm_Stats!$F$24),"",MAX(0,MIN(100,100*(MIN(MAX(City_Inputs!$AK151,Norm_Stats!$F$24),Norm_Stats!$G$24)-Norm_Stats!$F$24)/(Norm_Stats!$G$24-Norm_Stats!$F$24)))))="",0,0.2)))</f>
        <v/>
      </c>
      <c r="BE151" s="11">
        <f>IF(OR(City_Inputs!$AH151="",Norm_Stats!$F$25="",Norm_Stats!$G$25="",Norm_Stats!$G$25=Norm_Stats!$F$25),"",MAX(0,MIN(100,100*(Norm_Stats!$G$25-MIN(MAX(City_Inputs!$AH151,Norm_Stats!$F$25),Norm_Stats!$G$25))/(Norm_Stats!$G$25-Norm_Stats!$F$25))))</f>
        <v/>
      </c>
      <c r="BF151" s="14">
        <f>IF(BE151="","",1)</f>
        <v/>
      </c>
      <c r="BG151" s="15">
        <f>IF((IF(AY151="",0,6)+IF(BA151="",0,5)+IF(BC151="",0,5)+IF(BE151="",0,4))=0,"",(IF(AY151="",0,AY151*6)+IF(BA151="",0,BA151*5)+IF(BC151="",0,BC151*5)+IF(BE151="",0,BE151*4))/(IF(AY151="",0,6)+IF(BA151="",0,5)+IF(BC151="",0,5)+IF(BE151="",0,4)))</f>
        <v/>
      </c>
      <c r="BH151" s="14">
        <f>IF((IF(AZ151="",0,6)+IF(BB151="",0,5)+IF(BD151="",0,5)+IF(BF151="",0,4))=0,"",(IF(AZ151="",0,AZ151*6)+IF(BB151="",0,BB151*5)+IF(BD151="",0,BD151*5)+IF(BF151="",0,BF151*4))/20)</f>
        <v/>
      </c>
      <c r="BI151" s="14">
        <f>IF(AND(R151="",AF151="",AN151="",AX151="",BH151=""),"",((R151*25)+(AF151*22)+(AN151*18)+(AX151*15)+(BH151*20))/100)</f>
        <v/>
      </c>
      <c r="BJ151" s="11">
        <f>IF(BI151="","",IF(BI151&gt;=0.75,"A",IF(BI151&gt;=0.5,"B",IF(BI151&gt;=0.35,"C","Watchlist"))))</f>
        <v/>
      </c>
      <c r="BK151" s="11">
        <f>IF(OR(BI151="",BI151&lt;0.5,R151="",R151&lt;0.35,AF151="",AF151&lt;0.35,AN151="",AN151&lt;0.35,AX151="",AX151&lt;0.35,BH151="",BH151&lt;0.35),"Watchlist","Ranked")</f>
        <v/>
      </c>
      <c r="BL151" s="15">
        <f>IF(AND(Q151="",AE151="",AM151="",AW151="",BG151=""),"",(IF(Q151="",0,Q151*25)+IF(AE151="",0,AE151*22)+IF(AM151="",0,AM151*18)+IF(AW151="",0,AW151*15)+IF(BG151="",0,BG151*20))/(IF(Q151="",0,25)+IF(AE151="",0,22)+IF(AM151="",0,18)+IF(AW151="",0,15)+IF(BG151="",0,20)))</f>
        <v/>
      </c>
      <c r="BM151" s="11">
        <f>IF(BK151="Ranked",1+COUNTIFS($BK$2:$BK$158,"Ranked",$BL$2:$BL$158,"&gt;"&amp;BL151),"")</f>
        <v/>
      </c>
      <c r="BN151" s="11">
        <f>City_Inputs!$AI151</f>
        <v/>
      </c>
    </row>
    <row r="152">
      <c r="A152" t="inlineStr">
        <is>
          <t>tz-dar-es-salaam</t>
        </is>
      </c>
      <c r="B152" t="inlineStr">
        <is>
          <t>Dar es Salaam</t>
        </is>
      </c>
      <c r="C152" t="inlineStr">
        <is>
          <t>Tanzania</t>
        </is>
      </c>
      <c r="D152" t="inlineStr">
        <is>
          <t>Africa</t>
        </is>
      </c>
      <c r="E152" t="inlineStr">
        <is>
          <t>provisional</t>
        </is>
      </c>
      <c r="F152" t="inlineStr">
        <is>
          <t>primary</t>
        </is>
      </c>
      <c r="G152" s="11">
        <f>IF(OR(City_Inputs!$M152="",Norm_Stats!$F$2="",Norm_Stats!$G$2="",Norm_Stats!$G$2=Norm_Stats!$F$2),"",MAX(0,MIN(100,100*(MIN(MAX(City_Inputs!$M152,Norm_Stats!$F$2),Norm_Stats!$G$2)-Norm_Stats!$F$2)/(Norm_Stats!$G$2-Norm_Stats!$F$2))))</f>
        <v/>
      </c>
      <c r="H152" s="14">
        <f>IF(G152="","",1)</f>
        <v/>
      </c>
      <c r="I152" s="11">
        <f>IF(OR(City_Inputs!$N152="",Norm_Stats!$F$3="",Norm_Stats!$G$3="",Norm_Stats!$G$3=Norm_Stats!$F$3),"",MAX(0,MIN(100,100*(Norm_Stats!$G$3-MIN(MAX(City_Inputs!$N152,Norm_Stats!$F$3),Norm_Stats!$G$3))/(Norm_Stats!$G$3-Norm_Stats!$F$3))))</f>
        <v/>
      </c>
      <c r="J152" s="14">
        <f>IF(I152="","",1)</f>
        <v/>
      </c>
      <c r="K152" s="11">
        <f>IF(OR(City_Inputs!$P152="",Norm_Stats!$F$4="",Norm_Stats!$G$4="",Norm_Stats!$G$4=Norm_Stats!$F$4),"",MAX(0,MIN(100,100*(Norm_Stats!$G$4-MIN(MAX(City_Inputs!$P152,Norm_Stats!$F$4),Norm_Stats!$G$4))/(Norm_Stats!$G$4-Norm_Stats!$F$4))))</f>
        <v/>
      </c>
      <c r="L152" s="14">
        <f>IF(K152="","",1)</f>
        <v/>
      </c>
      <c r="M152" s="11">
        <f>IF(OR(City_Inputs!$Q152="",Norm_Stats!$F$5="",Norm_Stats!$G$5="",Norm_Stats!$G$5=Norm_Stats!$F$5),"",MAX(0,MIN(100,100*(Norm_Stats!$G$5-MIN(MAX(City_Inputs!$Q152,Norm_Stats!$F$5),Norm_Stats!$G$5))/(Norm_Stats!$G$5-Norm_Stats!$F$5))))</f>
        <v/>
      </c>
      <c r="N152" s="14">
        <f>IF(M152="","",1)</f>
        <v/>
      </c>
      <c r="O152" s="11">
        <f>IF(OR(City_Inputs!$R152="",Norm_Stats!$F$6="",Norm_Stats!$G$6="",Norm_Stats!$G$6=Norm_Stats!$F$6),"",MAX(0,MIN(100,100*(Norm_Stats!$G$6-MIN(MAX(City_Inputs!$R152,Norm_Stats!$F$6),Norm_Stats!$G$6))/(Norm_Stats!$G$6-Norm_Stats!$F$6))))</f>
        <v/>
      </c>
      <c r="P152" s="14">
        <f>IF(O152="","",1)</f>
        <v/>
      </c>
      <c r="Q152" s="15">
        <f>IF((IF(G152="",0,9)+IF(I152="",0,5)+IF(K152="",0,4)+IF(M152="",0,4)+IF(O152="",0,5))=0,"",(IF(G152="",0,G152*9)+IF(I152="",0,I152*5)+IF(K152="",0,K152*4)+IF(M152="",0,M152*4)+IF(O152="",0,O152*5))/(IF(G152="",0,9)+IF(I152="",0,5)+IF(K152="",0,4)+IF(M152="",0,4)+IF(O152="",0,5)))</f>
        <v/>
      </c>
      <c r="R152" s="14">
        <f>IF((IF(H152="",0,9)+IF(J152="",0,5)+IF(L152="",0,4)+IF(N152="",0,4)+IF(P152="",0,5))=0,"",(IF(H152="",0,H152*9)+IF(J152="",0,J152*5)+IF(L152="",0,L152*4)+IF(N152="",0,N152*4)+IF(P152="",0,P152*5))/27)</f>
        <v/>
      </c>
      <c r="S152" s="11">
        <f>IF(OR(City_Inputs!$S152="",Norm_Stats!$F$7="",Norm_Stats!$G$7="",Norm_Stats!$G$7=Norm_Stats!$F$7),"",MAX(0,MIN(100,100*(Norm_Stats!$G$7-MIN(MAX(City_Inputs!$S152,Norm_Stats!$F$7),Norm_Stats!$G$7))/(Norm_Stats!$G$7-Norm_Stats!$F$7))))</f>
        <v/>
      </c>
      <c r="T152" s="14">
        <f>IF(S152="","",1)</f>
        <v/>
      </c>
      <c r="U152" s="11">
        <f>IF(OR(City_Inputs!$T152="",Norm_Stats!$F$8="",Norm_Stats!$G$8="",Norm_Stats!$G$8=Norm_Stats!$F$8),"",MAX(0,MIN(100,100*(MIN(MAX(City_Inputs!$T152,Norm_Stats!$F$8),Norm_Stats!$G$8)-Norm_Stats!$F$8)/(Norm_Stats!$G$8-Norm_Stats!$F$8))))</f>
        <v/>
      </c>
      <c r="V152" s="14">
        <f>IF(U152="","",1)</f>
        <v/>
      </c>
      <c r="W152" s="11">
        <f>IF(OR(City_Inputs!$U152="",Norm_Stats!$F$9="",Norm_Stats!$G$9="",Norm_Stats!$G$9=Norm_Stats!$F$9),"",MAX(0,MIN(100,100*(Norm_Stats!$G$9-MIN(MAX(City_Inputs!$U152,Norm_Stats!$F$9),Norm_Stats!$G$9))/(Norm_Stats!$G$9-Norm_Stats!$F$9))))</f>
        <v/>
      </c>
      <c r="X152" s="14">
        <f>IF(W152="","",1)</f>
        <v/>
      </c>
      <c r="Y152" s="11">
        <f>IF(OR(City_Inputs!$V152="",Norm_Stats!$F$10="",Norm_Stats!$G$10="",Norm_Stats!$G$10=Norm_Stats!$F$10),"",MAX(0,MIN(100,100*(MIN(MAX(City_Inputs!$V152,Norm_Stats!$F$10),Norm_Stats!$G$10)-Norm_Stats!$F$10)/(Norm_Stats!$G$10-Norm_Stats!$F$10))))</f>
        <v/>
      </c>
      <c r="Z152" s="14">
        <f>IF(Y152="","",1)</f>
        <v/>
      </c>
      <c r="AA152" s="11">
        <f>IF(OR(City_Inputs!$W152="",Norm_Stats!$F$11="",Norm_Stats!$G$11="",Norm_Stats!$G$11=Norm_Stats!$F$11),"",MAX(0,MIN(100,100*(MIN(MAX(City_Inputs!$W152,Norm_Stats!$F$11),Norm_Stats!$G$11)-Norm_Stats!$F$11)/(Norm_Stats!$G$11-Norm_Stats!$F$11))))</f>
        <v/>
      </c>
      <c r="AB152" s="14">
        <f>IF(AA152="","",1)</f>
        <v/>
      </c>
      <c r="AC152" s="11">
        <f>IF(OR(City_Inputs!$X152="",Norm_Stats!$F$12="",Norm_Stats!$G$12="",Norm_Stats!$G$12=Norm_Stats!$F$12),"",MAX(0,MIN(100,100*(MIN(MAX(City_Inputs!$X152,Norm_Stats!$F$12),Norm_Stats!$G$12)-Norm_Stats!$F$12)/(Norm_Stats!$G$12-Norm_Stats!$F$12))))</f>
        <v/>
      </c>
      <c r="AD152" s="11">
        <f>IF(AC152="","",1)</f>
        <v/>
      </c>
      <c r="AE152" s="15">
        <f>IF((IF(S152="",0,5)+IF(U152="",0,5)+IF(W152="",0,4)+IF(Y152="",0,4)+IF(AA152="",0,4)+IF(AC152="",0,5))=0,"",(IF(S152="",0,S152*5)+IF(U152="",0,U152*5)+IF(W152="",0,W152*4)+IF(Y152="",0,Y152*4)+IF(AA152="",0,AA152*4)+IF(AC152="",0,AC152*5))/(IF(S152="",0,5)+IF(U152="",0,5)+IF(W152="",0,4)+IF(Y152="",0,4)+IF(AA152="",0,4)+IF(AC152="",0,5)))</f>
        <v/>
      </c>
      <c r="AF152" s="14">
        <f>IF((IF(T152="",0,5)+IF(V152="",0,5)+IF(X152="",0,4)+IF(Z152="",0,4)+IF(AB152="",0,4)+IF(AD152="",0,5))=0,"",(IF(T152="",0,T152*5)+IF(V152="",0,V152*5)+IF(X152="",0,X152*4)+IF(Z152="",0,Z152*4)+IF(AB152="",0,AB152*4)+IF(AD152="",0,AD152*5))/27)</f>
        <v/>
      </c>
      <c r="AG152" s="11">
        <f>IF(OR(City_Inputs!$Y152="",Norm_Stats!$F$13="",Norm_Stats!$G$13="",Norm_Stats!$G$13=Norm_Stats!$F$13),"",MAX(0,MIN(100,100*(MIN(MAX(City_Inputs!$Y152,Norm_Stats!$F$13),Norm_Stats!$G$13)-Norm_Stats!$F$13)/(Norm_Stats!$G$13-Norm_Stats!$F$13))))</f>
        <v/>
      </c>
      <c r="AH152" s="14">
        <f>IF(AG152="","",1)</f>
        <v/>
      </c>
      <c r="AI152" s="11">
        <f>IF(OR(City_Inputs!$Z152="",Norm_Stats!$F$14="",Norm_Stats!$G$14="",Norm_Stats!$G$14=Norm_Stats!$F$14),"",MAX(0,MIN(100,100*(MIN(MAX(City_Inputs!$Z152,Norm_Stats!$F$14),Norm_Stats!$G$14)-Norm_Stats!$F$14)/(Norm_Stats!$G$14-Norm_Stats!$F$14))))</f>
        <v/>
      </c>
      <c r="AJ152" s="14">
        <f>IF(AI152="","",1)</f>
        <v/>
      </c>
      <c r="AK152" s="11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(IF(OR(City_Inputs!$AA152="",Norm_Stats!$F$15="",Norm_Stats!$G$15="",Norm_Stats!$G$15=Norm_Stats!$F$15),"",MAX(0,MIN(100,100*(MIN(MAX(City_Inputs!$AA152,Norm_Stats!$F$15),Norm_Stats!$G$15)-Norm_Stats!$F$15)/(Norm_Stats!$G$15-Norm_Stats!$F$15)))))*0.7)+IF((IF(OR(City_Inputs!$AL152="",Norm_Stats!$F$16="",Norm_Stats!$G$16="",Norm_Stats!$G$16=Norm_Stats!$F$16),"",MAX(0,MIN(100,100*(Norm_Stats!$G$16-MIN(MAX(City_Inputs!$AL152,Norm_Stats!$F$16),Norm_Stats!$G$16))/(Norm_Stats!$G$16-Norm_Stats!$F$16)))))="",0,(IF(OR(City_Inputs!$AL152="",Norm_Stats!$F$16="",Norm_Stats!$G$16="",Norm_Stats!$G$16=Norm_Stats!$F$16),"",MAX(0,MIN(100,100*(Norm_Stats!$G$16-MIN(MAX(City_Inputs!$AL152,Norm_Stats!$F$16),Norm_Stats!$G$16))/(Norm_Stats!$G$16-Norm_Stats!$F$16)))))*0.3))/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L152" s="14">
        <f>IF(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=0,"",(IF((IF(OR(City_Inputs!$AA152="",Norm_Stats!$F$15="",Norm_Stats!$G$15="",Norm_Stats!$G$15=Norm_Stats!$F$15),"",MAX(0,MIN(100,100*(MIN(MAX(City_Inputs!$AA152,Norm_Stats!$F$15),Norm_Stats!$G$15)-Norm_Stats!$F$15)/(Norm_Stats!$G$15-Norm_Stats!$F$15)))))="",0,0.7)+IF((IF(OR(City_Inputs!$AL152="",Norm_Stats!$F$16="",Norm_Stats!$G$16="",Norm_Stats!$G$16=Norm_Stats!$F$16),"",MAX(0,MIN(100,100*(Norm_Stats!$G$16-MIN(MAX(City_Inputs!$AL152,Norm_Stats!$F$16),Norm_Stats!$G$16))/(Norm_Stats!$G$16-Norm_Stats!$F$16)))))="",0,0.3)))</f>
        <v/>
      </c>
      <c r="AM152" s="15">
        <f>IF((IF(AG152="",0,8)+IF(AI152="",0,6)+IF(AK152="",0,4))=0,"",(IF(AG152="",0,AG152*8)+IF(AI152="",0,AI152*6)+IF(AK152="",0,AK152*4))/(IF(AG152="",0,8)+IF(AI152="",0,6)+IF(AK152="",0,4)))</f>
        <v/>
      </c>
      <c r="AN152" s="14">
        <f>IF((IF(AH152="",0,8)+IF(AJ152="",0,6)+IF(AL152="",0,4))=0,"",(IF(AH152="",0,AH152*8)+IF(AJ152="",0,AJ152*6)+IF(AL152="",0,AL152*4))/18)</f>
        <v/>
      </c>
      <c r="AO152" s="11">
        <f>IF(OR(City_Inputs!$AB152="",Norm_Stats!$F$17="",Norm_Stats!$G$17="",Norm_Stats!$G$17=Norm_Stats!$F$17),"",MAX(0,MIN(100,100*(MIN(MAX(City_Inputs!$AB152,Norm_Stats!$F$17),Norm_Stats!$G$17)-Norm_Stats!$F$17)/(Norm_Stats!$G$17-Norm_Stats!$F$17))))</f>
        <v/>
      </c>
      <c r="AP152" s="14">
        <f>IF(AO152="","",1)</f>
        <v/>
      </c>
      <c r="AQ152" s="11">
        <f>IF(OR(City_Inputs!$AC152="",Norm_Stats!$F$18="",Norm_Stats!$G$18="",Norm_Stats!$G$18=Norm_Stats!$F$18),"",MAX(0,MIN(100,100*(MIN(MAX(City_Inputs!$AC152,Norm_Stats!$F$18),Norm_Stats!$G$18)-Norm_Stats!$F$18)/(Norm_Stats!$G$18-Norm_Stats!$F$18))))</f>
        <v/>
      </c>
      <c r="AR152" s="14">
        <f>IF(AQ152="","",1)</f>
        <v/>
      </c>
      <c r="AS152" s="11">
        <f>IF(OR(City_Inputs!$AD152="",Norm_Stats!$F$19="",Norm_Stats!$G$19="",Norm_Stats!$G$19=Norm_Stats!$F$19),"",MAX(0,MIN(100,100*(MIN(MAX(City_Inputs!$AD152,Norm_Stats!$F$19),Norm_Stats!$G$19)-Norm_Stats!$F$19)/(Norm_Stats!$G$19-Norm_Stats!$F$19))))</f>
        <v/>
      </c>
      <c r="AT152" s="14">
        <f>IF(AS152="","",1)</f>
        <v/>
      </c>
      <c r="AU152" s="11">
        <f>IF(OR(City_Inputs!$BJ152="",Norm_Stats!$F$26="",Norm_Stats!$G$26="",Norm_Stats!$G$26=Norm_Stats!$F$26),"",MAX(0,MIN(100,100*(MIN(MAX(City_Inputs!$BJ152,Norm_Stats!$F$26),Norm_Stats!$G$26)-Norm_Stats!$F$26)/(Norm_Stats!$G$26-Norm_Stats!$F$26))))</f>
        <v/>
      </c>
      <c r="AV152" s="11">
        <f>IF(AU152="","",1)</f>
        <v/>
      </c>
      <c r="AW152" s="15">
        <f>IF((IF(AO152="",0,5)+IF(AQ152="",0,5)+IF(AS152="",0,5)+IF(AU152="",0,4))=0,"",(IF(AO152="",0,AO152*5)+IF(AQ152="",0,AQ152*5)+IF(AS152="",0,AS152*5)+IF(AU152="",0,AU152*4))/(IF(AO152="",0,5)+IF(AQ152="",0,5)+IF(AS152="",0,5)+IF(AU152="",0,4)))</f>
        <v/>
      </c>
      <c r="AX152" s="14">
        <f>IF((IF(AP152="",0,5)+IF(AR152="",0,5)+IF(AT152="",0,5)+IF(AV152="",0,4))=0,"",(IF(AP152="",0,AP152*5)+IF(AR152="",0,AR152*5)+IF(AT152="",0,AT152*5)+IF(AV152="",0,AV152*4))/19)</f>
        <v/>
      </c>
      <c r="AY152" s="11">
        <f>IF(OR(City_Inputs!$AE152="",Norm_Stats!$F$20="",Norm_Stats!$G$20="",Norm_Stats!$G$20=Norm_Stats!$F$20),"",MAX(0,MIN(100,100*(MIN(MAX(City_Inputs!$AE152,Norm_Stats!$F$20),Norm_Stats!$G$20)-Norm_Stats!$F$20)/(Norm_Stats!$G$20-Norm_Stats!$F$20))))</f>
        <v/>
      </c>
      <c r="AZ152" s="14">
        <f>IF(AY152="","",1)</f>
        <v/>
      </c>
      <c r="BA152" s="11">
        <f>IF(OR(City_Inputs!$AF152="",Norm_Stats!$F$21="",Norm_Stats!$G$21="",Norm_Stats!$G$21=Norm_Stats!$F$21),"",MAX(0,MIN(100,100*(MIN(MAX(City_Inputs!$AF152,Norm_Stats!$F$21),Norm_Stats!$G$21)-Norm_Stats!$F$21)/(Norm_Stats!$G$21-Norm_Stats!$F$21))))</f>
        <v/>
      </c>
      <c r="BB152" s="14">
        <f>IF(BA152="","",1)</f>
        <v/>
      </c>
      <c r="BC152" s="11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(IF(OR(City_Inputs!$AG152="",Norm_Stats!$F$22="",Norm_Stats!$G$22="",Norm_Stats!$G$22=Norm_Stats!$F$22),"",MAX(0,MIN(100,100*(MIN(MAX(City_Inputs!$AG152,Norm_Stats!$F$22),Norm_Stats!$G$22)-Norm_Stats!$F$22)/(Norm_Stats!$G$22-Norm_Stats!$F$22)))))*0.5)+IF((IF(OR(City_Inputs!$AJ152="",Norm_Stats!$F$23="",Norm_Stats!$G$23="",Norm_Stats!$G$23=Norm_Stats!$F$23),"",MAX(0,MIN(100,100*(MIN(MAX(City_Inputs!$AJ152,Norm_Stats!$F$23),Norm_Stats!$G$23)-Norm_Stats!$F$23)/(Norm_Stats!$G$23-Norm_Stats!$F$23)))))="",0,(IF(OR(City_Inputs!$AJ152="",Norm_Stats!$F$23="",Norm_Stats!$G$23="",Norm_Stats!$G$23=Norm_Stats!$F$23),"",MAX(0,MIN(100,100*(MIN(MAX(City_Inputs!$AJ152,Norm_Stats!$F$23),Norm_Stats!$G$23)-Norm_Stats!$F$23)/(Norm_Stats!$G$23-Norm_Stats!$F$23)))))*0.3)+IF((IF(OR(City_Inputs!$AK152="",Norm_Stats!$F$24="",Norm_Stats!$G$24="",Norm_Stats!$G$24=Norm_Stats!$F$24),"",MAX(0,MIN(100,100*(MIN(MAX(City_Inputs!$AK152,Norm_Stats!$F$24),Norm_Stats!$G$24)-Norm_Stats!$F$24)/(Norm_Stats!$G$24-Norm_Stats!$F$24)))))="",0,(IF(OR(City_Inputs!$AK152="",Norm_Stats!$F$24="",Norm_Stats!$G$24="",Norm_Stats!$G$24=Norm_Stats!$F$24),"",MAX(0,MIN(100,100*(MIN(MAX(City_Inputs!$AK152,Norm_Stats!$F$24),Norm_Stats!$G$24)-Norm_Stats!$F$24)/(Norm_Stats!$G$24-Norm_Stats!$F$24)))))*0.2))/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D152" s="14">
        <f>IF(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=0,"",(IF((IF(OR(City_Inputs!$AG152="",Norm_Stats!$F$22="",Norm_Stats!$G$22="",Norm_Stats!$G$22=Norm_Stats!$F$22),"",MAX(0,MIN(100,100*(MIN(MAX(City_Inputs!$AG152,Norm_Stats!$F$22),Norm_Stats!$G$22)-Norm_Stats!$F$22)/(Norm_Stats!$G$22-Norm_Stats!$F$22)))))="",0,0.5)+IF((IF(OR(City_Inputs!$AJ152="",Norm_Stats!$F$23="",Norm_Stats!$G$23="",Norm_Stats!$G$23=Norm_Stats!$F$23),"",MAX(0,MIN(100,100*(MIN(MAX(City_Inputs!$AJ152,Norm_Stats!$F$23),Norm_Stats!$G$23)-Norm_Stats!$F$23)/(Norm_Stats!$G$23-Norm_Stats!$F$23)))))="",0,0.3)+IF((IF(OR(City_Inputs!$AK152="",Norm_Stats!$F$24="",Norm_Stats!$G$24="",Norm_Stats!$G$24=Norm_Stats!$F$24),"",MAX(0,MIN(100,100*(MIN(MAX(City_Inputs!$AK152,Norm_Stats!$F$24),Norm_Stats!$G$24)-Norm_Stats!$F$24)/(Norm_Stats!$G$24-Norm_Stats!$F$24)))))="",0,0.2)))</f>
        <v/>
      </c>
      <c r="BE152" s="11">
        <f>IF(OR(City_Inputs!$AH152="",Norm_Stats!$F$25="",Norm_Stats!$G$25="",Norm_Stats!$G$25=Norm_Stats!$F$25),"",MAX(0,MIN(100,100*(Norm_Stats!$G$25-MIN(MAX(City_Inputs!$AH152,Norm_Stats!$F$25),Norm_Stats!$G$25))/(Norm_Stats!$G$25-Norm_Stats!$F$25))))</f>
        <v/>
      </c>
      <c r="BF152" s="14">
        <f>IF(BE152="","",1)</f>
        <v/>
      </c>
      <c r="BG152" s="15">
        <f>IF((IF(AY152="",0,6)+IF(BA152="",0,5)+IF(BC152="",0,5)+IF(BE152="",0,4))=0,"",(IF(AY152="",0,AY152*6)+IF(BA152="",0,BA152*5)+IF(BC152="",0,BC152*5)+IF(BE152="",0,BE152*4))/(IF(AY152="",0,6)+IF(BA152="",0,5)+IF(BC152="",0,5)+IF(BE152="",0,4)))</f>
        <v/>
      </c>
      <c r="BH152" s="14">
        <f>IF((IF(AZ152="",0,6)+IF(BB152="",0,5)+IF(BD152="",0,5)+IF(BF152="",0,4))=0,"",(IF(AZ152="",0,AZ152*6)+IF(BB152="",0,BB152*5)+IF(BD152="",0,BD152*5)+IF(BF152="",0,BF152*4))/20)</f>
        <v/>
      </c>
      <c r="BI152" s="14">
        <f>IF(AND(R152="",AF152="",AN152="",AX152="",BH152=""),"",((R152*25)+(AF152*22)+(AN152*18)+(AX152*15)+(BH152*20))/100)</f>
        <v/>
      </c>
      <c r="BJ152" s="11">
        <f>IF(BI152="","",IF(BI152&gt;=0.75,"A",IF(BI152&gt;=0.5,"B",IF(BI152&gt;=0.35,"C","Watchlist"))))</f>
        <v/>
      </c>
      <c r="BK152" s="11">
        <f>IF(OR(BI152="",BI152&lt;0.5,R152="",R152&lt;0.35,AF152="",AF152&lt;0.35,AN152="",AN152&lt;0.35,AX152="",AX152&lt;0.35,BH152="",BH152&lt;0.35),"Watchlist","Ranked")</f>
        <v/>
      </c>
      <c r="BL152" s="15">
        <f>IF(AND(Q152="",AE152="",AM152="",AW152="",BG152=""),"",(IF(Q152="",0,Q152*25)+IF(AE152="",0,AE152*22)+IF(AM152="",0,AM152*18)+IF(AW152="",0,AW152*15)+IF(BG152="",0,BG152*20))/(IF(Q152="",0,25)+IF(AE152="",0,22)+IF(AM152="",0,18)+IF(AW152="",0,15)+IF(BG152="",0,20)))</f>
        <v/>
      </c>
      <c r="BM152" s="11">
        <f>IF(BK152="Ranked",1+COUNTIFS($BK$2:$BK$158,"Ranked",$BL$2:$BL$158,"&gt;"&amp;BL152),"")</f>
        <v/>
      </c>
      <c r="BN152" s="11">
        <f>City_Inputs!$AI152</f>
        <v/>
      </c>
    </row>
    <row r="153">
      <c r="A153" t="inlineStr">
        <is>
          <t>ug-kampala</t>
        </is>
      </c>
      <c r="B153" t="inlineStr">
        <is>
          <t>Kampala</t>
        </is>
      </c>
      <c r="C153" t="inlineStr">
        <is>
          <t>Uganda</t>
        </is>
      </c>
      <c r="D153" t="inlineStr">
        <is>
          <t>Africa</t>
        </is>
      </c>
      <c r="E153" t="inlineStr">
        <is>
          <t>provisional</t>
        </is>
      </c>
      <c r="F153" t="inlineStr">
        <is>
          <t>primary</t>
        </is>
      </c>
      <c r="G153" s="11">
        <f>IF(OR(City_Inputs!$M153="",Norm_Stats!$F$2="",Norm_Stats!$G$2="",Norm_Stats!$G$2=Norm_Stats!$F$2),"",MAX(0,MIN(100,100*(MIN(MAX(City_Inputs!$M153,Norm_Stats!$F$2),Norm_Stats!$G$2)-Norm_Stats!$F$2)/(Norm_Stats!$G$2-Norm_Stats!$F$2))))</f>
        <v/>
      </c>
      <c r="H153" s="14">
        <f>IF(G153="","",1)</f>
        <v/>
      </c>
      <c r="I153" s="11">
        <f>IF(OR(City_Inputs!$N153="",Norm_Stats!$F$3="",Norm_Stats!$G$3="",Norm_Stats!$G$3=Norm_Stats!$F$3),"",MAX(0,MIN(100,100*(Norm_Stats!$G$3-MIN(MAX(City_Inputs!$N153,Norm_Stats!$F$3),Norm_Stats!$G$3))/(Norm_Stats!$G$3-Norm_Stats!$F$3))))</f>
        <v/>
      </c>
      <c r="J153" s="14">
        <f>IF(I153="","",1)</f>
        <v/>
      </c>
      <c r="K153" s="11">
        <f>IF(OR(City_Inputs!$P153="",Norm_Stats!$F$4="",Norm_Stats!$G$4="",Norm_Stats!$G$4=Norm_Stats!$F$4),"",MAX(0,MIN(100,100*(Norm_Stats!$G$4-MIN(MAX(City_Inputs!$P153,Norm_Stats!$F$4),Norm_Stats!$G$4))/(Norm_Stats!$G$4-Norm_Stats!$F$4))))</f>
        <v/>
      </c>
      <c r="L153" s="14">
        <f>IF(K153="","",1)</f>
        <v/>
      </c>
      <c r="M153" s="11">
        <f>IF(OR(City_Inputs!$Q153="",Norm_Stats!$F$5="",Norm_Stats!$G$5="",Norm_Stats!$G$5=Norm_Stats!$F$5),"",MAX(0,MIN(100,100*(Norm_Stats!$G$5-MIN(MAX(City_Inputs!$Q153,Norm_Stats!$F$5),Norm_Stats!$G$5))/(Norm_Stats!$G$5-Norm_Stats!$F$5))))</f>
        <v/>
      </c>
      <c r="N153" s="14">
        <f>IF(M153="","",1)</f>
        <v/>
      </c>
      <c r="O153" s="11">
        <f>IF(OR(City_Inputs!$R153="",Norm_Stats!$F$6="",Norm_Stats!$G$6="",Norm_Stats!$G$6=Norm_Stats!$F$6),"",MAX(0,MIN(100,100*(Norm_Stats!$G$6-MIN(MAX(City_Inputs!$R153,Norm_Stats!$F$6),Norm_Stats!$G$6))/(Norm_Stats!$G$6-Norm_Stats!$F$6))))</f>
        <v/>
      </c>
      <c r="P153" s="14">
        <f>IF(O153="","",1)</f>
        <v/>
      </c>
      <c r="Q153" s="15">
        <f>IF((IF(G153="",0,9)+IF(I153="",0,5)+IF(K153="",0,4)+IF(M153="",0,4)+IF(O153="",0,5))=0,"",(IF(G153="",0,G153*9)+IF(I153="",0,I153*5)+IF(K153="",0,K153*4)+IF(M153="",0,M153*4)+IF(O153="",0,O153*5))/(IF(G153="",0,9)+IF(I153="",0,5)+IF(K153="",0,4)+IF(M153="",0,4)+IF(O153="",0,5)))</f>
        <v/>
      </c>
      <c r="R153" s="14">
        <f>IF((IF(H153="",0,9)+IF(J153="",0,5)+IF(L153="",0,4)+IF(N153="",0,4)+IF(P153="",0,5))=0,"",(IF(H153="",0,H153*9)+IF(J153="",0,J153*5)+IF(L153="",0,L153*4)+IF(N153="",0,N153*4)+IF(P153="",0,P153*5))/27)</f>
        <v/>
      </c>
      <c r="S153" s="11">
        <f>IF(OR(City_Inputs!$S153="",Norm_Stats!$F$7="",Norm_Stats!$G$7="",Norm_Stats!$G$7=Norm_Stats!$F$7),"",MAX(0,MIN(100,100*(Norm_Stats!$G$7-MIN(MAX(City_Inputs!$S153,Norm_Stats!$F$7),Norm_Stats!$G$7))/(Norm_Stats!$G$7-Norm_Stats!$F$7))))</f>
        <v/>
      </c>
      <c r="T153" s="14">
        <f>IF(S153="","",1)</f>
        <v/>
      </c>
      <c r="U153" s="11">
        <f>IF(OR(City_Inputs!$T153="",Norm_Stats!$F$8="",Norm_Stats!$G$8="",Norm_Stats!$G$8=Norm_Stats!$F$8),"",MAX(0,MIN(100,100*(MIN(MAX(City_Inputs!$T153,Norm_Stats!$F$8),Norm_Stats!$G$8)-Norm_Stats!$F$8)/(Norm_Stats!$G$8-Norm_Stats!$F$8))))</f>
        <v/>
      </c>
      <c r="V153" s="14">
        <f>IF(U153="","",1)</f>
        <v/>
      </c>
      <c r="W153" s="11">
        <f>IF(OR(City_Inputs!$U153="",Norm_Stats!$F$9="",Norm_Stats!$G$9="",Norm_Stats!$G$9=Norm_Stats!$F$9),"",MAX(0,MIN(100,100*(Norm_Stats!$G$9-MIN(MAX(City_Inputs!$U153,Norm_Stats!$F$9),Norm_Stats!$G$9))/(Norm_Stats!$G$9-Norm_Stats!$F$9))))</f>
        <v/>
      </c>
      <c r="X153" s="14">
        <f>IF(W153="","",1)</f>
        <v/>
      </c>
      <c r="Y153" s="11">
        <f>IF(OR(City_Inputs!$V153="",Norm_Stats!$F$10="",Norm_Stats!$G$10="",Norm_Stats!$G$10=Norm_Stats!$F$10),"",MAX(0,MIN(100,100*(MIN(MAX(City_Inputs!$V153,Norm_Stats!$F$10),Norm_Stats!$G$10)-Norm_Stats!$F$10)/(Norm_Stats!$G$10-Norm_Stats!$F$10))))</f>
        <v/>
      </c>
      <c r="Z153" s="14">
        <f>IF(Y153="","",1)</f>
        <v/>
      </c>
      <c r="AA153" s="11">
        <f>IF(OR(City_Inputs!$W153="",Norm_Stats!$F$11="",Norm_Stats!$G$11="",Norm_Stats!$G$11=Norm_Stats!$F$11),"",MAX(0,MIN(100,100*(MIN(MAX(City_Inputs!$W153,Norm_Stats!$F$11),Norm_Stats!$G$11)-Norm_Stats!$F$11)/(Norm_Stats!$G$11-Norm_Stats!$F$11))))</f>
        <v/>
      </c>
      <c r="AB153" s="14">
        <f>IF(AA153="","",1)</f>
        <v/>
      </c>
      <c r="AC153" s="11">
        <f>IF(OR(City_Inputs!$X153="",Norm_Stats!$F$12="",Norm_Stats!$G$12="",Norm_Stats!$G$12=Norm_Stats!$F$12),"",MAX(0,MIN(100,100*(MIN(MAX(City_Inputs!$X153,Norm_Stats!$F$12),Norm_Stats!$G$12)-Norm_Stats!$F$12)/(Norm_Stats!$G$12-Norm_Stats!$F$12))))</f>
        <v/>
      </c>
      <c r="AD153" s="11">
        <f>IF(AC153="","",1)</f>
        <v/>
      </c>
      <c r="AE153" s="15">
        <f>IF((IF(S153="",0,5)+IF(U153="",0,5)+IF(W153="",0,4)+IF(Y153="",0,4)+IF(AA153="",0,4)+IF(AC153="",0,5))=0,"",(IF(S153="",0,S153*5)+IF(U153="",0,U153*5)+IF(W153="",0,W153*4)+IF(Y153="",0,Y153*4)+IF(AA153="",0,AA153*4)+IF(AC153="",0,AC153*5))/(IF(S153="",0,5)+IF(U153="",0,5)+IF(W153="",0,4)+IF(Y153="",0,4)+IF(AA153="",0,4)+IF(AC153="",0,5)))</f>
        <v/>
      </c>
      <c r="AF153" s="14">
        <f>IF((IF(T153="",0,5)+IF(V153="",0,5)+IF(X153="",0,4)+IF(Z153="",0,4)+IF(AB153="",0,4)+IF(AD153="",0,5))=0,"",(IF(T153="",0,T153*5)+IF(V153="",0,V153*5)+IF(X153="",0,X153*4)+IF(Z153="",0,Z153*4)+IF(AB153="",0,AB153*4)+IF(AD153="",0,AD153*5))/27)</f>
        <v/>
      </c>
      <c r="AG153" s="11">
        <f>IF(OR(City_Inputs!$Y153="",Norm_Stats!$F$13="",Norm_Stats!$G$13="",Norm_Stats!$G$13=Norm_Stats!$F$13),"",MAX(0,MIN(100,100*(MIN(MAX(City_Inputs!$Y153,Norm_Stats!$F$13),Norm_Stats!$G$13)-Norm_Stats!$F$13)/(Norm_Stats!$G$13-Norm_Stats!$F$13))))</f>
        <v/>
      </c>
      <c r="AH153" s="14">
        <f>IF(AG153="","",1)</f>
        <v/>
      </c>
      <c r="AI153" s="11">
        <f>IF(OR(City_Inputs!$Z153="",Norm_Stats!$F$14="",Norm_Stats!$G$14="",Norm_Stats!$G$14=Norm_Stats!$F$14),"",MAX(0,MIN(100,100*(MIN(MAX(City_Inputs!$Z153,Norm_Stats!$F$14),Norm_Stats!$G$14)-Norm_Stats!$F$14)/(Norm_Stats!$G$14-Norm_Stats!$F$14))))</f>
        <v/>
      </c>
      <c r="AJ153" s="14">
        <f>IF(AI153="","",1)</f>
        <v/>
      </c>
      <c r="AK153" s="11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(IF(OR(City_Inputs!$AA153="",Norm_Stats!$F$15="",Norm_Stats!$G$15="",Norm_Stats!$G$15=Norm_Stats!$F$15),"",MAX(0,MIN(100,100*(MIN(MAX(City_Inputs!$AA153,Norm_Stats!$F$15),Norm_Stats!$G$15)-Norm_Stats!$F$15)/(Norm_Stats!$G$15-Norm_Stats!$F$15)))))*0.7)+IF((IF(OR(City_Inputs!$AL153="",Norm_Stats!$F$16="",Norm_Stats!$G$16="",Norm_Stats!$G$16=Norm_Stats!$F$16),"",MAX(0,MIN(100,100*(Norm_Stats!$G$16-MIN(MAX(City_Inputs!$AL153,Norm_Stats!$F$16),Norm_Stats!$G$16))/(Norm_Stats!$G$16-Norm_Stats!$F$16)))))="",0,(IF(OR(City_Inputs!$AL153="",Norm_Stats!$F$16="",Norm_Stats!$G$16="",Norm_Stats!$G$16=Norm_Stats!$F$16),"",MAX(0,MIN(100,100*(Norm_Stats!$G$16-MIN(MAX(City_Inputs!$AL153,Norm_Stats!$F$16),Norm_Stats!$G$16))/(Norm_Stats!$G$16-Norm_Stats!$F$16)))))*0.3))/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L153" s="14">
        <f>IF(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=0,"",(IF((IF(OR(City_Inputs!$AA153="",Norm_Stats!$F$15="",Norm_Stats!$G$15="",Norm_Stats!$G$15=Norm_Stats!$F$15),"",MAX(0,MIN(100,100*(MIN(MAX(City_Inputs!$AA153,Norm_Stats!$F$15),Norm_Stats!$G$15)-Norm_Stats!$F$15)/(Norm_Stats!$G$15-Norm_Stats!$F$15)))))="",0,0.7)+IF((IF(OR(City_Inputs!$AL153="",Norm_Stats!$F$16="",Norm_Stats!$G$16="",Norm_Stats!$G$16=Norm_Stats!$F$16),"",MAX(0,MIN(100,100*(Norm_Stats!$G$16-MIN(MAX(City_Inputs!$AL153,Norm_Stats!$F$16),Norm_Stats!$G$16))/(Norm_Stats!$G$16-Norm_Stats!$F$16)))))="",0,0.3)))</f>
        <v/>
      </c>
      <c r="AM153" s="15">
        <f>IF((IF(AG153="",0,8)+IF(AI153="",0,6)+IF(AK153="",0,4))=0,"",(IF(AG153="",0,AG153*8)+IF(AI153="",0,AI153*6)+IF(AK153="",0,AK153*4))/(IF(AG153="",0,8)+IF(AI153="",0,6)+IF(AK153="",0,4)))</f>
        <v/>
      </c>
      <c r="AN153" s="14">
        <f>IF((IF(AH153="",0,8)+IF(AJ153="",0,6)+IF(AL153="",0,4))=0,"",(IF(AH153="",0,AH153*8)+IF(AJ153="",0,AJ153*6)+IF(AL153="",0,AL153*4))/18)</f>
        <v/>
      </c>
      <c r="AO153" s="11">
        <f>IF(OR(City_Inputs!$AB153="",Norm_Stats!$F$17="",Norm_Stats!$G$17="",Norm_Stats!$G$17=Norm_Stats!$F$17),"",MAX(0,MIN(100,100*(MIN(MAX(City_Inputs!$AB153,Norm_Stats!$F$17),Norm_Stats!$G$17)-Norm_Stats!$F$17)/(Norm_Stats!$G$17-Norm_Stats!$F$17))))</f>
        <v/>
      </c>
      <c r="AP153" s="14">
        <f>IF(AO153="","",1)</f>
        <v/>
      </c>
      <c r="AQ153" s="11">
        <f>IF(OR(City_Inputs!$AC153="",Norm_Stats!$F$18="",Norm_Stats!$G$18="",Norm_Stats!$G$18=Norm_Stats!$F$18),"",MAX(0,MIN(100,100*(MIN(MAX(City_Inputs!$AC153,Norm_Stats!$F$18),Norm_Stats!$G$18)-Norm_Stats!$F$18)/(Norm_Stats!$G$18-Norm_Stats!$F$18))))</f>
        <v/>
      </c>
      <c r="AR153" s="14">
        <f>IF(AQ153="","",1)</f>
        <v/>
      </c>
      <c r="AS153" s="11">
        <f>IF(OR(City_Inputs!$AD153="",Norm_Stats!$F$19="",Norm_Stats!$G$19="",Norm_Stats!$G$19=Norm_Stats!$F$19),"",MAX(0,MIN(100,100*(MIN(MAX(City_Inputs!$AD153,Norm_Stats!$F$19),Norm_Stats!$G$19)-Norm_Stats!$F$19)/(Norm_Stats!$G$19-Norm_Stats!$F$19))))</f>
        <v/>
      </c>
      <c r="AT153" s="14">
        <f>IF(AS153="","",1)</f>
        <v/>
      </c>
      <c r="AU153" s="11">
        <f>IF(OR(City_Inputs!$BJ153="",Norm_Stats!$F$26="",Norm_Stats!$G$26="",Norm_Stats!$G$26=Norm_Stats!$F$26),"",MAX(0,MIN(100,100*(MIN(MAX(City_Inputs!$BJ153,Norm_Stats!$F$26),Norm_Stats!$G$26)-Norm_Stats!$F$26)/(Norm_Stats!$G$26-Norm_Stats!$F$26))))</f>
        <v/>
      </c>
      <c r="AV153" s="11">
        <f>IF(AU153="","",1)</f>
        <v/>
      </c>
      <c r="AW153" s="15">
        <f>IF((IF(AO153="",0,5)+IF(AQ153="",0,5)+IF(AS153="",0,5)+IF(AU153="",0,4))=0,"",(IF(AO153="",0,AO153*5)+IF(AQ153="",0,AQ153*5)+IF(AS153="",0,AS153*5)+IF(AU153="",0,AU153*4))/(IF(AO153="",0,5)+IF(AQ153="",0,5)+IF(AS153="",0,5)+IF(AU153="",0,4)))</f>
        <v/>
      </c>
      <c r="AX153" s="14">
        <f>IF((IF(AP153="",0,5)+IF(AR153="",0,5)+IF(AT153="",0,5)+IF(AV153="",0,4))=0,"",(IF(AP153="",0,AP153*5)+IF(AR153="",0,AR153*5)+IF(AT153="",0,AT153*5)+IF(AV153="",0,AV153*4))/19)</f>
        <v/>
      </c>
      <c r="AY153" s="11">
        <f>IF(OR(City_Inputs!$AE153="",Norm_Stats!$F$20="",Norm_Stats!$G$20="",Norm_Stats!$G$20=Norm_Stats!$F$20),"",MAX(0,MIN(100,100*(MIN(MAX(City_Inputs!$AE153,Norm_Stats!$F$20),Norm_Stats!$G$20)-Norm_Stats!$F$20)/(Norm_Stats!$G$20-Norm_Stats!$F$20))))</f>
        <v/>
      </c>
      <c r="AZ153" s="14">
        <f>IF(AY153="","",1)</f>
        <v/>
      </c>
      <c r="BA153" s="11">
        <f>IF(OR(City_Inputs!$AF153="",Norm_Stats!$F$21="",Norm_Stats!$G$21="",Norm_Stats!$G$21=Norm_Stats!$F$21),"",MAX(0,MIN(100,100*(MIN(MAX(City_Inputs!$AF153,Norm_Stats!$F$21),Norm_Stats!$G$21)-Norm_Stats!$F$21)/(Norm_Stats!$G$21-Norm_Stats!$F$21))))</f>
        <v/>
      </c>
      <c r="BB153" s="14">
        <f>IF(BA153="","",1)</f>
        <v/>
      </c>
      <c r="BC153" s="11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(IF(OR(City_Inputs!$AG153="",Norm_Stats!$F$22="",Norm_Stats!$G$22="",Norm_Stats!$G$22=Norm_Stats!$F$22),"",MAX(0,MIN(100,100*(MIN(MAX(City_Inputs!$AG153,Norm_Stats!$F$22),Norm_Stats!$G$22)-Norm_Stats!$F$22)/(Norm_Stats!$G$22-Norm_Stats!$F$22)))))*0.5)+IF((IF(OR(City_Inputs!$AJ153="",Norm_Stats!$F$23="",Norm_Stats!$G$23="",Norm_Stats!$G$23=Norm_Stats!$F$23),"",MAX(0,MIN(100,100*(MIN(MAX(City_Inputs!$AJ153,Norm_Stats!$F$23),Norm_Stats!$G$23)-Norm_Stats!$F$23)/(Norm_Stats!$G$23-Norm_Stats!$F$23)))))="",0,(IF(OR(City_Inputs!$AJ153="",Norm_Stats!$F$23="",Norm_Stats!$G$23="",Norm_Stats!$G$23=Norm_Stats!$F$23),"",MAX(0,MIN(100,100*(MIN(MAX(City_Inputs!$AJ153,Norm_Stats!$F$23),Norm_Stats!$G$23)-Norm_Stats!$F$23)/(Norm_Stats!$G$23-Norm_Stats!$F$23)))))*0.3)+IF((IF(OR(City_Inputs!$AK153="",Norm_Stats!$F$24="",Norm_Stats!$G$24="",Norm_Stats!$G$24=Norm_Stats!$F$24),"",MAX(0,MIN(100,100*(MIN(MAX(City_Inputs!$AK153,Norm_Stats!$F$24),Norm_Stats!$G$24)-Norm_Stats!$F$24)/(Norm_Stats!$G$24-Norm_Stats!$F$24)))))="",0,(IF(OR(City_Inputs!$AK153="",Norm_Stats!$F$24="",Norm_Stats!$G$24="",Norm_Stats!$G$24=Norm_Stats!$F$24),"",MAX(0,MIN(100,100*(MIN(MAX(City_Inputs!$AK153,Norm_Stats!$F$24),Norm_Stats!$G$24)-Norm_Stats!$F$24)/(Norm_Stats!$G$24-Norm_Stats!$F$24)))))*0.2))/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D153" s="14">
        <f>IF(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=0,"",(IF((IF(OR(City_Inputs!$AG153="",Norm_Stats!$F$22="",Norm_Stats!$G$22="",Norm_Stats!$G$22=Norm_Stats!$F$22),"",MAX(0,MIN(100,100*(MIN(MAX(City_Inputs!$AG153,Norm_Stats!$F$22),Norm_Stats!$G$22)-Norm_Stats!$F$22)/(Norm_Stats!$G$22-Norm_Stats!$F$22)))))="",0,0.5)+IF((IF(OR(City_Inputs!$AJ153="",Norm_Stats!$F$23="",Norm_Stats!$G$23="",Norm_Stats!$G$23=Norm_Stats!$F$23),"",MAX(0,MIN(100,100*(MIN(MAX(City_Inputs!$AJ153,Norm_Stats!$F$23),Norm_Stats!$G$23)-Norm_Stats!$F$23)/(Norm_Stats!$G$23-Norm_Stats!$F$23)))))="",0,0.3)+IF((IF(OR(City_Inputs!$AK153="",Norm_Stats!$F$24="",Norm_Stats!$G$24="",Norm_Stats!$G$24=Norm_Stats!$F$24),"",MAX(0,MIN(100,100*(MIN(MAX(City_Inputs!$AK153,Norm_Stats!$F$24),Norm_Stats!$G$24)-Norm_Stats!$F$24)/(Norm_Stats!$G$24-Norm_Stats!$F$24)))))="",0,0.2)))</f>
        <v/>
      </c>
      <c r="BE153" s="11">
        <f>IF(OR(City_Inputs!$AH153="",Norm_Stats!$F$25="",Norm_Stats!$G$25="",Norm_Stats!$G$25=Norm_Stats!$F$25),"",MAX(0,MIN(100,100*(Norm_Stats!$G$25-MIN(MAX(City_Inputs!$AH153,Norm_Stats!$F$25),Norm_Stats!$G$25))/(Norm_Stats!$G$25-Norm_Stats!$F$25))))</f>
        <v/>
      </c>
      <c r="BF153" s="14">
        <f>IF(BE153="","",1)</f>
        <v/>
      </c>
      <c r="BG153" s="15">
        <f>IF((IF(AY153="",0,6)+IF(BA153="",0,5)+IF(BC153="",0,5)+IF(BE153="",0,4))=0,"",(IF(AY153="",0,AY153*6)+IF(BA153="",0,BA153*5)+IF(BC153="",0,BC153*5)+IF(BE153="",0,BE153*4))/(IF(AY153="",0,6)+IF(BA153="",0,5)+IF(BC153="",0,5)+IF(BE153="",0,4)))</f>
        <v/>
      </c>
      <c r="BH153" s="14">
        <f>IF((IF(AZ153="",0,6)+IF(BB153="",0,5)+IF(BD153="",0,5)+IF(BF153="",0,4))=0,"",(IF(AZ153="",0,AZ153*6)+IF(BB153="",0,BB153*5)+IF(BD153="",0,BD153*5)+IF(BF153="",0,BF153*4))/20)</f>
        <v/>
      </c>
      <c r="BI153" s="14">
        <f>IF(AND(R153="",AF153="",AN153="",AX153="",BH153=""),"",((R153*25)+(AF153*22)+(AN153*18)+(AX153*15)+(BH153*20))/100)</f>
        <v/>
      </c>
      <c r="BJ153" s="11">
        <f>IF(BI153="","",IF(BI153&gt;=0.75,"A",IF(BI153&gt;=0.5,"B",IF(BI153&gt;=0.35,"C","Watchlist"))))</f>
        <v/>
      </c>
      <c r="BK153" s="11">
        <f>IF(OR(BI153="",BI153&lt;0.5,R153="",R153&lt;0.35,AF153="",AF153&lt;0.35,AN153="",AN153&lt;0.35,AX153="",AX153&lt;0.35,BH153="",BH153&lt;0.35),"Watchlist","Ranked")</f>
        <v/>
      </c>
      <c r="BL153" s="15">
        <f>IF(AND(Q153="",AE153="",AM153="",AW153="",BG153=""),"",(IF(Q153="",0,Q153*25)+IF(AE153="",0,AE153*22)+IF(AM153="",0,AM153*18)+IF(AW153="",0,AW153*15)+IF(BG153="",0,BG153*20))/(IF(Q153="",0,25)+IF(AE153="",0,22)+IF(AM153="",0,18)+IF(AW153="",0,15)+IF(BG153="",0,20)))</f>
        <v/>
      </c>
      <c r="BM153" s="11">
        <f>IF(BK153="Ranked",1+COUNTIFS($BK$2:$BK$158,"Ranked",$BL$2:$BL$158,"&gt;"&amp;BL153),"")</f>
        <v/>
      </c>
      <c r="BN153" s="11">
        <f>City_Inputs!$AI153</f>
        <v/>
      </c>
    </row>
    <row r="154">
      <c r="A154" t="inlineStr">
        <is>
          <t>gh-kumasi</t>
        </is>
      </c>
      <c r="B154" t="inlineStr">
        <is>
          <t>Kumasi</t>
        </is>
      </c>
      <c r="C154" t="inlineStr">
        <is>
          <t>Ghana</t>
        </is>
      </c>
      <c r="D154" t="inlineStr">
        <is>
          <t>Africa</t>
        </is>
      </c>
      <c r="E154" t="inlineStr">
        <is>
          <t>provisional</t>
        </is>
      </c>
      <c r="F154" t="inlineStr">
        <is>
          <t>secondary</t>
        </is>
      </c>
      <c r="G154" s="11">
        <f>IF(OR(City_Inputs!$M154="",Norm_Stats!$F$2="",Norm_Stats!$G$2="",Norm_Stats!$G$2=Norm_Stats!$F$2),"",MAX(0,MIN(100,100*(MIN(MAX(City_Inputs!$M154,Norm_Stats!$F$2),Norm_Stats!$G$2)-Norm_Stats!$F$2)/(Norm_Stats!$G$2-Norm_Stats!$F$2))))</f>
        <v/>
      </c>
      <c r="H154" s="14">
        <f>IF(G154="","",1)</f>
        <v/>
      </c>
      <c r="I154" s="11">
        <f>IF(OR(City_Inputs!$N154="",Norm_Stats!$F$3="",Norm_Stats!$G$3="",Norm_Stats!$G$3=Norm_Stats!$F$3),"",MAX(0,MIN(100,100*(Norm_Stats!$G$3-MIN(MAX(City_Inputs!$N154,Norm_Stats!$F$3),Norm_Stats!$G$3))/(Norm_Stats!$G$3-Norm_Stats!$F$3))))</f>
        <v/>
      </c>
      <c r="J154" s="14">
        <f>IF(I154="","",1)</f>
        <v/>
      </c>
      <c r="K154" s="11">
        <f>IF(OR(City_Inputs!$P154="",Norm_Stats!$F$4="",Norm_Stats!$G$4="",Norm_Stats!$G$4=Norm_Stats!$F$4),"",MAX(0,MIN(100,100*(Norm_Stats!$G$4-MIN(MAX(City_Inputs!$P154,Norm_Stats!$F$4),Norm_Stats!$G$4))/(Norm_Stats!$G$4-Norm_Stats!$F$4))))</f>
        <v/>
      </c>
      <c r="L154" s="14">
        <f>IF(K154="","",1)</f>
        <v/>
      </c>
      <c r="M154" s="11">
        <f>IF(OR(City_Inputs!$Q154="",Norm_Stats!$F$5="",Norm_Stats!$G$5="",Norm_Stats!$G$5=Norm_Stats!$F$5),"",MAX(0,MIN(100,100*(Norm_Stats!$G$5-MIN(MAX(City_Inputs!$Q154,Norm_Stats!$F$5),Norm_Stats!$G$5))/(Norm_Stats!$G$5-Norm_Stats!$F$5))))</f>
        <v/>
      </c>
      <c r="N154" s="14">
        <f>IF(M154="","",1)</f>
        <v/>
      </c>
      <c r="O154" s="11">
        <f>IF(OR(City_Inputs!$R154="",Norm_Stats!$F$6="",Norm_Stats!$G$6="",Norm_Stats!$G$6=Norm_Stats!$F$6),"",MAX(0,MIN(100,100*(Norm_Stats!$G$6-MIN(MAX(City_Inputs!$R154,Norm_Stats!$F$6),Norm_Stats!$G$6))/(Norm_Stats!$G$6-Norm_Stats!$F$6))))</f>
        <v/>
      </c>
      <c r="P154" s="14">
        <f>IF(O154="","",1)</f>
        <v/>
      </c>
      <c r="Q154" s="15">
        <f>IF((IF(G154="",0,9)+IF(I154="",0,5)+IF(K154="",0,4)+IF(M154="",0,4)+IF(O154="",0,5))=0,"",(IF(G154="",0,G154*9)+IF(I154="",0,I154*5)+IF(K154="",0,K154*4)+IF(M154="",0,M154*4)+IF(O154="",0,O154*5))/(IF(G154="",0,9)+IF(I154="",0,5)+IF(K154="",0,4)+IF(M154="",0,4)+IF(O154="",0,5)))</f>
        <v/>
      </c>
      <c r="R154" s="14">
        <f>IF((IF(H154="",0,9)+IF(J154="",0,5)+IF(L154="",0,4)+IF(N154="",0,4)+IF(P154="",0,5))=0,"",(IF(H154="",0,H154*9)+IF(J154="",0,J154*5)+IF(L154="",0,L154*4)+IF(N154="",0,N154*4)+IF(P154="",0,P154*5))/27)</f>
        <v/>
      </c>
      <c r="S154" s="11">
        <f>IF(OR(City_Inputs!$S154="",Norm_Stats!$F$7="",Norm_Stats!$G$7="",Norm_Stats!$G$7=Norm_Stats!$F$7),"",MAX(0,MIN(100,100*(Norm_Stats!$G$7-MIN(MAX(City_Inputs!$S154,Norm_Stats!$F$7),Norm_Stats!$G$7))/(Norm_Stats!$G$7-Norm_Stats!$F$7))))</f>
        <v/>
      </c>
      <c r="T154" s="14">
        <f>IF(S154="","",1)</f>
        <v/>
      </c>
      <c r="U154" s="11">
        <f>IF(OR(City_Inputs!$T154="",Norm_Stats!$F$8="",Norm_Stats!$G$8="",Norm_Stats!$G$8=Norm_Stats!$F$8),"",MAX(0,MIN(100,100*(MIN(MAX(City_Inputs!$T154,Norm_Stats!$F$8),Norm_Stats!$G$8)-Norm_Stats!$F$8)/(Norm_Stats!$G$8-Norm_Stats!$F$8))))</f>
        <v/>
      </c>
      <c r="V154" s="14">
        <f>IF(U154="","",1)</f>
        <v/>
      </c>
      <c r="W154" s="11">
        <f>IF(OR(City_Inputs!$U154="",Norm_Stats!$F$9="",Norm_Stats!$G$9="",Norm_Stats!$G$9=Norm_Stats!$F$9),"",MAX(0,MIN(100,100*(Norm_Stats!$G$9-MIN(MAX(City_Inputs!$U154,Norm_Stats!$F$9),Norm_Stats!$G$9))/(Norm_Stats!$G$9-Norm_Stats!$F$9))))</f>
        <v/>
      </c>
      <c r="X154" s="14">
        <f>IF(W154="","",1)</f>
        <v/>
      </c>
      <c r="Y154" s="11">
        <f>IF(OR(City_Inputs!$V154="",Norm_Stats!$F$10="",Norm_Stats!$G$10="",Norm_Stats!$G$10=Norm_Stats!$F$10),"",MAX(0,MIN(100,100*(MIN(MAX(City_Inputs!$V154,Norm_Stats!$F$10),Norm_Stats!$G$10)-Norm_Stats!$F$10)/(Norm_Stats!$G$10-Norm_Stats!$F$10))))</f>
        <v/>
      </c>
      <c r="Z154" s="14">
        <f>IF(Y154="","",1)</f>
        <v/>
      </c>
      <c r="AA154" s="11">
        <f>IF(OR(City_Inputs!$W154="",Norm_Stats!$F$11="",Norm_Stats!$G$11="",Norm_Stats!$G$11=Norm_Stats!$F$11),"",MAX(0,MIN(100,100*(MIN(MAX(City_Inputs!$W154,Norm_Stats!$F$11),Norm_Stats!$G$11)-Norm_Stats!$F$11)/(Norm_Stats!$G$11-Norm_Stats!$F$11))))</f>
        <v/>
      </c>
      <c r="AB154" s="14">
        <f>IF(AA154="","",1)</f>
        <v/>
      </c>
      <c r="AC154" s="11">
        <f>IF(OR(City_Inputs!$X154="",Norm_Stats!$F$12="",Norm_Stats!$G$12="",Norm_Stats!$G$12=Norm_Stats!$F$12),"",MAX(0,MIN(100,100*(MIN(MAX(City_Inputs!$X154,Norm_Stats!$F$12),Norm_Stats!$G$12)-Norm_Stats!$F$12)/(Norm_Stats!$G$12-Norm_Stats!$F$12))))</f>
        <v/>
      </c>
      <c r="AD154" s="11">
        <f>IF(AC154="","",1)</f>
        <v/>
      </c>
      <c r="AE154" s="15">
        <f>IF((IF(S154="",0,5)+IF(U154="",0,5)+IF(W154="",0,4)+IF(Y154="",0,4)+IF(AA154="",0,4)+IF(AC154="",0,5))=0,"",(IF(S154="",0,S154*5)+IF(U154="",0,U154*5)+IF(W154="",0,W154*4)+IF(Y154="",0,Y154*4)+IF(AA154="",0,AA154*4)+IF(AC154="",0,AC154*5))/(IF(S154="",0,5)+IF(U154="",0,5)+IF(W154="",0,4)+IF(Y154="",0,4)+IF(AA154="",0,4)+IF(AC154="",0,5)))</f>
        <v/>
      </c>
      <c r="AF154" s="14">
        <f>IF((IF(T154="",0,5)+IF(V154="",0,5)+IF(X154="",0,4)+IF(Z154="",0,4)+IF(AB154="",0,4)+IF(AD154="",0,5))=0,"",(IF(T154="",0,T154*5)+IF(V154="",0,V154*5)+IF(X154="",0,X154*4)+IF(Z154="",0,Z154*4)+IF(AB154="",0,AB154*4)+IF(AD154="",0,AD154*5))/27)</f>
        <v/>
      </c>
      <c r="AG154" s="11">
        <f>IF(OR(City_Inputs!$Y154="",Norm_Stats!$F$13="",Norm_Stats!$G$13="",Norm_Stats!$G$13=Norm_Stats!$F$13),"",MAX(0,MIN(100,100*(MIN(MAX(City_Inputs!$Y154,Norm_Stats!$F$13),Norm_Stats!$G$13)-Norm_Stats!$F$13)/(Norm_Stats!$G$13-Norm_Stats!$F$13))))</f>
        <v/>
      </c>
      <c r="AH154" s="14">
        <f>IF(AG154="","",1)</f>
        <v/>
      </c>
      <c r="AI154" s="11">
        <f>IF(OR(City_Inputs!$Z154="",Norm_Stats!$F$14="",Norm_Stats!$G$14="",Norm_Stats!$G$14=Norm_Stats!$F$14),"",MAX(0,MIN(100,100*(MIN(MAX(City_Inputs!$Z154,Norm_Stats!$F$14),Norm_Stats!$G$14)-Norm_Stats!$F$14)/(Norm_Stats!$G$14-Norm_Stats!$F$14))))</f>
        <v/>
      </c>
      <c r="AJ154" s="14">
        <f>IF(AI154="","",1)</f>
        <v/>
      </c>
      <c r="AK154" s="11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(IF(OR(City_Inputs!$AA154="",Norm_Stats!$F$15="",Norm_Stats!$G$15="",Norm_Stats!$G$15=Norm_Stats!$F$15),"",MAX(0,MIN(100,100*(MIN(MAX(City_Inputs!$AA154,Norm_Stats!$F$15),Norm_Stats!$G$15)-Norm_Stats!$F$15)/(Norm_Stats!$G$15-Norm_Stats!$F$15)))))*0.7)+IF((IF(OR(City_Inputs!$AL154="",Norm_Stats!$F$16="",Norm_Stats!$G$16="",Norm_Stats!$G$16=Norm_Stats!$F$16),"",MAX(0,MIN(100,100*(Norm_Stats!$G$16-MIN(MAX(City_Inputs!$AL154,Norm_Stats!$F$16),Norm_Stats!$G$16))/(Norm_Stats!$G$16-Norm_Stats!$F$16)))))="",0,(IF(OR(City_Inputs!$AL154="",Norm_Stats!$F$16="",Norm_Stats!$G$16="",Norm_Stats!$G$16=Norm_Stats!$F$16),"",MAX(0,MIN(100,100*(Norm_Stats!$G$16-MIN(MAX(City_Inputs!$AL154,Norm_Stats!$F$16),Norm_Stats!$G$16))/(Norm_Stats!$G$16-Norm_Stats!$F$16)))))*0.3))/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L154" s="14">
        <f>IF(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=0,"",(IF((IF(OR(City_Inputs!$AA154="",Norm_Stats!$F$15="",Norm_Stats!$G$15="",Norm_Stats!$G$15=Norm_Stats!$F$15),"",MAX(0,MIN(100,100*(MIN(MAX(City_Inputs!$AA154,Norm_Stats!$F$15),Norm_Stats!$G$15)-Norm_Stats!$F$15)/(Norm_Stats!$G$15-Norm_Stats!$F$15)))))="",0,0.7)+IF((IF(OR(City_Inputs!$AL154="",Norm_Stats!$F$16="",Norm_Stats!$G$16="",Norm_Stats!$G$16=Norm_Stats!$F$16),"",MAX(0,MIN(100,100*(Norm_Stats!$G$16-MIN(MAX(City_Inputs!$AL154,Norm_Stats!$F$16),Norm_Stats!$G$16))/(Norm_Stats!$G$16-Norm_Stats!$F$16)))))="",0,0.3)))</f>
        <v/>
      </c>
      <c r="AM154" s="15">
        <f>IF((IF(AG154="",0,8)+IF(AI154="",0,6)+IF(AK154="",0,4))=0,"",(IF(AG154="",0,AG154*8)+IF(AI154="",0,AI154*6)+IF(AK154="",0,AK154*4))/(IF(AG154="",0,8)+IF(AI154="",0,6)+IF(AK154="",0,4)))</f>
        <v/>
      </c>
      <c r="AN154" s="14">
        <f>IF((IF(AH154="",0,8)+IF(AJ154="",0,6)+IF(AL154="",0,4))=0,"",(IF(AH154="",0,AH154*8)+IF(AJ154="",0,AJ154*6)+IF(AL154="",0,AL154*4))/18)</f>
        <v/>
      </c>
      <c r="AO154" s="11">
        <f>IF(OR(City_Inputs!$AB154="",Norm_Stats!$F$17="",Norm_Stats!$G$17="",Norm_Stats!$G$17=Norm_Stats!$F$17),"",MAX(0,MIN(100,100*(MIN(MAX(City_Inputs!$AB154,Norm_Stats!$F$17),Norm_Stats!$G$17)-Norm_Stats!$F$17)/(Norm_Stats!$G$17-Norm_Stats!$F$17))))</f>
        <v/>
      </c>
      <c r="AP154" s="14">
        <f>IF(AO154="","",1)</f>
        <v/>
      </c>
      <c r="AQ154" s="11">
        <f>IF(OR(City_Inputs!$AC154="",Norm_Stats!$F$18="",Norm_Stats!$G$18="",Norm_Stats!$G$18=Norm_Stats!$F$18),"",MAX(0,MIN(100,100*(MIN(MAX(City_Inputs!$AC154,Norm_Stats!$F$18),Norm_Stats!$G$18)-Norm_Stats!$F$18)/(Norm_Stats!$G$18-Norm_Stats!$F$18))))</f>
        <v/>
      </c>
      <c r="AR154" s="14">
        <f>IF(AQ154="","",1)</f>
        <v/>
      </c>
      <c r="AS154" s="11">
        <f>IF(OR(City_Inputs!$AD154="",Norm_Stats!$F$19="",Norm_Stats!$G$19="",Norm_Stats!$G$19=Norm_Stats!$F$19),"",MAX(0,MIN(100,100*(MIN(MAX(City_Inputs!$AD154,Norm_Stats!$F$19),Norm_Stats!$G$19)-Norm_Stats!$F$19)/(Norm_Stats!$G$19-Norm_Stats!$F$19))))</f>
        <v/>
      </c>
      <c r="AT154" s="14">
        <f>IF(AS154="","",1)</f>
        <v/>
      </c>
      <c r="AU154" s="11">
        <f>IF(OR(City_Inputs!$BJ154="",Norm_Stats!$F$26="",Norm_Stats!$G$26="",Norm_Stats!$G$26=Norm_Stats!$F$26),"",MAX(0,MIN(100,100*(MIN(MAX(City_Inputs!$BJ154,Norm_Stats!$F$26),Norm_Stats!$G$26)-Norm_Stats!$F$26)/(Norm_Stats!$G$26-Norm_Stats!$F$26))))</f>
        <v/>
      </c>
      <c r="AV154" s="11">
        <f>IF(AU154="","",1)</f>
        <v/>
      </c>
      <c r="AW154" s="15">
        <f>IF((IF(AO154="",0,5)+IF(AQ154="",0,5)+IF(AS154="",0,5)+IF(AU154="",0,4))=0,"",(IF(AO154="",0,AO154*5)+IF(AQ154="",0,AQ154*5)+IF(AS154="",0,AS154*5)+IF(AU154="",0,AU154*4))/(IF(AO154="",0,5)+IF(AQ154="",0,5)+IF(AS154="",0,5)+IF(AU154="",0,4)))</f>
        <v/>
      </c>
      <c r="AX154" s="14">
        <f>IF((IF(AP154="",0,5)+IF(AR154="",0,5)+IF(AT154="",0,5)+IF(AV154="",0,4))=0,"",(IF(AP154="",0,AP154*5)+IF(AR154="",0,AR154*5)+IF(AT154="",0,AT154*5)+IF(AV154="",0,AV154*4))/19)</f>
        <v/>
      </c>
      <c r="AY154" s="11">
        <f>IF(OR(City_Inputs!$AE154="",Norm_Stats!$F$20="",Norm_Stats!$G$20="",Norm_Stats!$G$20=Norm_Stats!$F$20),"",MAX(0,MIN(100,100*(MIN(MAX(City_Inputs!$AE154,Norm_Stats!$F$20),Norm_Stats!$G$20)-Norm_Stats!$F$20)/(Norm_Stats!$G$20-Norm_Stats!$F$20))))</f>
        <v/>
      </c>
      <c r="AZ154" s="14">
        <f>IF(AY154="","",1)</f>
        <v/>
      </c>
      <c r="BA154" s="11">
        <f>IF(OR(City_Inputs!$AF154="",Norm_Stats!$F$21="",Norm_Stats!$G$21="",Norm_Stats!$G$21=Norm_Stats!$F$21),"",MAX(0,MIN(100,100*(MIN(MAX(City_Inputs!$AF154,Norm_Stats!$F$21),Norm_Stats!$G$21)-Norm_Stats!$F$21)/(Norm_Stats!$G$21-Norm_Stats!$F$21))))</f>
        <v/>
      </c>
      <c r="BB154" s="14">
        <f>IF(BA154="","",1)</f>
        <v/>
      </c>
      <c r="BC154" s="11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(IF(OR(City_Inputs!$AG154="",Norm_Stats!$F$22="",Norm_Stats!$G$22="",Norm_Stats!$G$22=Norm_Stats!$F$22),"",MAX(0,MIN(100,100*(MIN(MAX(City_Inputs!$AG154,Norm_Stats!$F$22),Norm_Stats!$G$22)-Norm_Stats!$F$22)/(Norm_Stats!$G$22-Norm_Stats!$F$22)))))*0.5)+IF((IF(OR(City_Inputs!$AJ154="",Norm_Stats!$F$23="",Norm_Stats!$G$23="",Norm_Stats!$G$23=Norm_Stats!$F$23),"",MAX(0,MIN(100,100*(MIN(MAX(City_Inputs!$AJ154,Norm_Stats!$F$23),Norm_Stats!$G$23)-Norm_Stats!$F$23)/(Norm_Stats!$G$23-Norm_Stats!$F$23)))))="",0,(IF(OR(City_Inputs!$AJ154="",Norm_Stats!$F$23="",Norm_Stats!$G$23="",Norm_Stats!$G$23=Norm_Stats!$F$23),"",MAX(0,MIN(100,100*(MIN(MAX(City_Inputs!$AJ154,Norm_Stats!$F$23),Norm_Stats!$G$23)-Norm_Stats!$F$23)/(Norm_Stats!$G$23-Norm_Stats!$F$23)))))*0.3)+IF((IF(OR(City_Inputs!$AK154="",Norm_Stats!$F$24="",Norm_Stats!$G$24="",Norm_Stats!$G$24=Norm_Stats!$F$24),"",MAX(0,MIN(100,100*(MIN(MAX(City_Inputs!$AK154,Norm_Stats!$F$24),Norm_Stats!$G$24)-Norm_Stats!$F$24)/(Norm_Stats!$G$24-Norm_Stats!$F$24)))))="",0,(IF(OR(City_Inputs!$AK154="",Norm_Stats!$F$24="",Norm_Stats!$G$24="",Norm_Stats!$G$24=Norm_Stats!$F$24),"",MAX(0,MIN(100,100*(MIN(MAX(City_Inputs!$AK154,Norm_Stats!$F$24),Norm_Stats!$G$24)-Norm_Stats!$F$24)/(Norm_Stats!$G$24-Norm_Stats!$F$24)))))*0.2))/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D154" s="14">
        <f>IF(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=0,"",(IF((IF(OR(City_Inputs!$AG154="",Norm_Stats!$F$22="",Norm_Stats!$G$22="",Norm_Stats!$G$22=Norm_Stats!$F$22),"",MAX(0,MIN(100,100*(MIN(MAX(City_Inputs!$AG154,Norm_Stats!$F$22),Norm_Stats!$G$22)-Norm_Stats!$F$22)/(Norm_Stats!$G$22-Norm_Stats!$F$22)))))="",0,0.5)+IF((IF(OR(City_Inputs!$AJ154="",Norm_Stats!$F$23="",Norm_Stats!$G$23="",Norm_Stats!$G$23=Norm_Stats!$F$23),"",MAX(0,MIN(100,100*(MIN(MAX(City_Inputs!$AJ154,Norm_Stats!$F$23),Norm_Stats!$G$23)-Norm_Stats!$F$23)/(Norm_Stats!$G$23-Norm_Stats!$F$23)))))="",0,0.3)+IF((IF(OR(City_Inputs!$AK154="",Norm_Stats!$F$24="",Norm_Stats!$G$24="",Norm_Stats!$G$24=Norm_Stats!$F$24),"",MAX(0,MIN(100,100*(MIN(MAX(City_Inputs!$AK154,Norm_Stats!$F$24),Norm_Stats!$G$24)-Norm_Stats!$F$24)/(Norm_Stats!$G$24-Norm_Stats!$F$24)))))="",0,0.2)))</f>
        <v/>
      </c>
      <c r="BE154" s="11">
        <f>IF(OR(City_Inputs!$AH154="",Norm_Stats!$F$25="",Norm_Stats!$G$25="",Norm_Stats!$G$25=Norm_Stats!$F$25),"",MAX(0,MIN(100,100*(Norm_Stats!$G$25-MIN(MAX(City_Inputs!$AH154,Norm_Stats!$F$25),Norm_Stats!$G$25))/(Norm_Stats!$G$25-Norm_Stats!$F$25))))</f>
        <v/>
      </c>
      <c r="BF154" s="14">
        <f>IF(BE154="","",1)</f>
        <v/>
      </c>
      <c r="BG154" s="15">
        <f>IF((IF(AY154="",0,6)+IF(BA154="",0,5)+IF(BC154="",0,5)+IF(BE154="",0,4))=0,"",(IF(AY154="",0,AY154*6)+IF(BA154="",0,BA154*5)+IF(BC154="",0,BC154*5)+IF(BE154="",0,BE154*4))/(IF(AY154="",0,6)+IF(BA154="",0,5)+IF(BC154="",0,5)+IF(BE154="",0,4)))</f>
        <v/>
      </c>
      <c r="BH154" s="14">
        <f>IF((IF(AZ154="",0,6)+IF(BB154="",0,5)+IF(BD154="",0,5)+IF(BF154="",0,4))=0,"",(IF(AZ154="",0,AZ154*6)+IF(BB154="",0,BB154*5)+IF(BD154="",0,BD154*5)+IF(BF154="",0,BF154*4))/20)</f>
        <v/>
      </c>
      <c r="BI154" s="14">
        <f>IF(AND(R154="",AF154="",AN154="",AX154="",BH154=""),"",((R154*25)+(AF154*22)+(AN154*18)+(AX154*15)+(BH154*20))/100)</f>
        <v/>
      </c>
      <c r="BJ154" s="11">
        <f>IF(BI154="","",IF(BI154&gt;=0.75,"A",IF(BI154&gt;=0.5,"B",IF(BI154&gt;=0.35,"C","Watchlist"))))</f>
        <v/>
      </c>
      <c r="BK154" s="11">
        <f>IF(OR(BI154="",BI154&lt;0.5,R154="",R154&lt;0.35,AF154="",AF154&lt;0.35,AN154="",AN154&lt;0.35,AX154="",AX154&lt;0.35,BH154="",BH154&lt;0.35),"Watchlist","Ranked")</f>
        <v/>
      </c>
      <c r="BL154" s="15">
        <f>IF(AND(Q154="",AE154="",AM154="",AW154="",BG154=""),"",(IF(Q154="",0,Q154*25)+IF(AE154="",0,AE154*22)+IF(AM154="",0,AM154*18)+IF(AW154="",0,AW154*15)+IF(BG154="",0,BG154*20))/(IF(Q154="",0,25)+IF(AE154="",0,22)+IF(AM154="",0,18)+IF(AW154="",0,15)+IF(BG154="",0,20)))</f>
        <v/>
      </c>
      <c r="BM154" s="11">
        <f>IF(BK154="Ranked",1+COUNTIFS($BK$2:$BK$158,"Ranked",$BL$2:$BL$158,"&gt;"&amp;BL154),"")</f>
        <v/>
      </c>
      <c r="BN154" s="11">
        <f>City_Inputs!$AI154</f>
        <v/>
      </c>
    </row>
    <row r="155">
      <c r="A155" t="inlineStr">
        <is>
          <t>nz-dunedin</t>
        </is>
      </c>
      <c r="B155" t="inlineStr">
        <is>
          <t>Dunedin</t>
        </is>
      </c>
      <c r="C155" t="inlineStr">
        <is>
          <t>New Zealand</t>
        </is>
      </c>
      <c r="D155" t="inlineStr">
        <is>
          <t>Oceania</t>
        </is>
      </c>
      <c r="E155" t="inlineStr">
        <is>
          <t>provisional</t>
        </is>
      </c>
      <c r="F155" t="inlineStr">
        <is>
          <t>secondary</t>
        </is>
      </c>
      <c r="G155" s="11">
        <f>IF(OR(City_Inputs!$M155="",Norm_Stats!$F$2="",Norm_Stats!$G$2="",Norm_Stats!$G$2=Norm_Stats!$F$2),"",MAX(0,MIN(100,100*(MIN(MAX(City_Inputs!$M155,Norm_Stats!$F$2),Norm_Stats!$G$2)-Norm_Stats!$F$2)/(Norm_Stats!$G$2-Norm_Stats!$F$2))))</f>
        <v/>
      </c>
      <c r="H155" s="14">
        <f>IF(G155="","",1)</f>
        <v/>
      </c>
      <c r="I155" s="11">
        <f>IF(OR(City_Inputs!$N155="",Norm_Stats!$F$3="",Norm_Stats!$G$3="",Norm_Stats!$G$3=Norm_Stats!$F$3),"",MAX(0,MIN(100,100*(Norm_Stats!$G$3-MIN(MAX(City_Inputs!$N155,Norm_Stats!$F$3),Norm_Stats!$G$3))/(Norm_Stats!$G$3-Norm_Stats!$F$3))))</f>
        <v/>
      </c>
      <c r="J155" s="14">
        <f>IF(I155="","",1)</f>
        <v/>
      </c>
      <c r="K155" s="11">
        <f>IF(OR(City_Inputs!$P155="",Norm_Stats!$F$4="",Norm_Stats!$G$4="",Norm_Stats!$G$4=Norm_Stats!$F$4),"",MAX(0,MIN(100,100*(Norm_Stats!$G$4-MIN(MAX(City_Inputs!$P155,Norm_Stats!$F$4),Norm_Stats!$G$4))/(Norm_Stats!$G$4-Norm_Stats!$F$4))))</f>
        <v/>
      </c>
      <c r="L155" s="14">
        <f>IF(K155="","",1)</f>
        <v/>
      </c>
      <c r="M155" s="11">
        <f>IF(OR(City_Inputs!$Q155="",Norm_Stats!$F$5="",Norm_Stats!$G$5="",Norm_Stats!$G$5=Norm_Stats!$F$5),"",MAX(0,MIN(100,100*(Norm_Stats!$G$5-MIN(MAX(City_Inputs!$Q155,Norm_Stats!$F$5),Norm_Stats!$G$5))/(Norm_Stats!$G$5-Norm_Stats!$F$5))))</f>
        <v/>
      </c>
      <c r="N155" s="14">
        <f>IF(M155="","",1)</f>
        <v/>
      </c>
      <c r="O155" s="11">
        <f>IF(OR(City_Inputs!$R155="",Norm_Stats!$F$6="",Norm_Stats!$G$6="",Norm_Stats!$G$6=Norm_Stats!$F$6),"",MAX(0,MIN(100,100*(Norm_Stats!$G$6-MIN(MAX(City_Inputs!$R155,Norm_Stats!$F$6),Norm_Stats!$G$6))/(Norm_Stats!$G$6-Norm_Stats!$F$6))))</f>
        <v/>
      </c>
      <c r="P155" s="14">
        <f>IF(O155="","",1)</f>
        <v/>
      </c>
      <c r="Q155" s="15">
        <f>IF((IF(G155="",0,9)+IF(I155="",0,5)+IF(K155="",0,4)+IF(M155="",0,4)+IF(O155="",0,5))=0,"",(IF(G155="",0,G155*9)+IF(I155="",0,I155*5)+IF(K155="",0,K155*4)+IF(M155="",0,M155*4)+IF(O155="",0,O155*5))/(IF(G155="",0,9)+IF(I155="",0,5)+IF(K155="",0,4)+IF(M155="",0,4)+IF(O155="",0,5)))</f>
        <v/>
      </c>
      <c r="R155" s="14">
        <f>IF((IF(H155="",0,9)+IF(J155="",0,5)+IF(L155="",0,4)+IF(N155="",0,4)+IF(P155="",0,5))=0,"",(IF(H155="",0,H155*9)+IF(J155="",0,J155*5)+IF(L155="",0,L155*4)+IF(N155="",0,N155*4)+IF(P155="",0,P155*5))/27)</f>
        <v/>
      </c>
      <c r="S155" s="11">
        <f>IF(OR(City_Inputs!$S155="",Norm_Stats!$F$7="",Norm_Stats!$G$7="",Norm_Stats!$G$7=Norm_Stats!$F$7),"",MAX(0,MIN(100,100*(Norm_Stats!$G$7-MIN(MAX(City_Inputs!$S155,Norm_Stats!$F$7),Norm_Stats!$G$7))/(Norm_Stats!$G$7-Norm_Stats!$F$7))))</f>
        <v/>
      </c>
      <c r="T155" s="14">
        <f>IF(S155="","",1)</f>
        <v/>
      </c>
      <c r="U155" s="11">
        <f>IF(OR(City_Inputs!$T155="",Norm_Stats!$F$8="",Norm_Stats!$G$8="",Norm_Stats!$G$8=Norm_Stats!$F$8),"",MAX(0,MIN(100,100*(MIN(MAX(City_Inputs!$T155,Norm_Stats!$F$8),Norm_Stats!$G$8)-Norm_Stats!$F$8)/(Norm_Stats!$G$8-Norm_Stats!$F$8))))</f>
        <v/>
      </c>
      <c r="V155" s="14">
        <f>IF(U155="","",1)</f>
        <v/>
      </c>
      <c r="W155" s="11">
        <f>IF(OR(City_Inputs!$U155="",Norm_Stats!$F$9="",Norm_Stats!$G$9="",Norm_Stats!$G$9=Norm_Stats!$F$9),"",MAX(0,MIN(100,100*(Norm_Stats!$G$9-MIN(MAX(City_Inputs!$U155,Norm_Stats!$F$9),Norm_Stats!$G$9))/(Norm_Stats!$G$9-Norm_Stats!$F$9))))</f>
        <v/>
      </c>
      <c r="X155" s="14">
        <f>IF(W155="","",1)</f>
        <v/>
      </c>
      <c r="Y155" s="11">
        <f>IF(OR(City_Inputs!$V155="",Norm_Stats!$F$10="",Norm_Stats!$G$10="",Norm_Stats!$G$10=Norm_Stats!$F$10),"",MAX(0,MIN(100,100*(MIN(MAX(City_Inputs!$V155,Norm_Stats!$F$10),Norm_Stats!$G$10)-Norm_Stats!$F$10)/(Norm_Stats!$G$10-Norm_Stats!$F$10))))</f>
        <v/>
      </c>
      <c r="Z155" s="14">
        <f>IF(Y155="","",1)</f>
        <v/>
      </c>
      <c r="AA155" s="11">
        <f>IF(OR(City_Inputs!$W155="",Norm_Stats!$F$11="",Norm_Stats!$G$11="",Norm_Stats!$G$11=Norm_Stats!$F$11),"",MAX(0,MIN(100,100*(MIN(MAX(City_Inputs!$W155,Norm_Stats!$F$11),Norm_Stats!$G$11)-Norm_Stats!$F$11)/(Norm_Stats!$G$11-Norm_Stats!$F$11))))</f>
        <v/>
      </c>
      <c r="AB155" s="14">
        <f>IF(AA155="","",1)</f>
        <v/>
      </c>
      <c r="AC155" s="11">
        <f>IF(OR(City_Inputs!$X155="",Norm_Stats!$F$12="",Norm_Stats!$G$12="",Norm_Stats!$G$12=Norm_Stats!$F$12),"",MAX(0,MIN(100,100*(MIN(MAX(City_Inputs!$X155,Norm_Stats!$F$12),Norm_Stats!$G$12)-Norm_Stats!$F$12)/(Norm_Stats!$G$12-Norm_Stats!$F$12))))</f>
        <v/>
      </c>
      <c r="AD155" s="11">
        <f>IF(AC155="","",1)</f>
        <v/>
      </c>
      <c r="AE155" s="15">
        <f>IF((IF(S155="",0,5)+IF(U155="",0,5)+IF(W155="",0,4)+IF(Y155="",0,4)+IF(AA155="",0,4)+IF(AC155="",0,5))=0,"",(IF(S155="",0,S155*5)+IF(U155="",0,U155*5)+IF(W155="",0,W155*4)+IF(Y155="",0,Y155*4)+IF(AA155="",0,AA155*4)+IF(AC155="",0,AC155*5))/(IF(S155="",0,5)+IF(U155="",0,5)+IF(W155="",0,4)+IF(Y155="",0,4)+IF(AA155="",0,4)+IF(AC155="",0,5)))</f>
        <v/>
      </c>
      <c r="AF155" s="14">
        <f>IF((IF(T155="",0,5)+IF(V155="",0,5)+IF(X155="",0,4)+IF(Z155="",0,4)+IF(AB155="",0,4)+IF(AD155="",0,5))=0,"",(IF(T155="",0,T155*5)+IF(V155="",0,V155*5)+IF(X155="",0,X155*4)+IF(Z155="",0,Z155*4)+IF(AB155="",0,AB155*4)+IF(AD155="",0,AD155*5))/27)</f>
        <v/>
      </c>
      <c r="AG155" s="11">
        <f>IF(OR(City_Inputs!$Y155="",Norm_Stats!$F$13="",Norm_Stats!$G$13="",Norm_Stats!$G$13=Norm_Stats!$F$13),"",MAX(0,MIN(100,100*(MIN(MAX(City_Inputs!$Y155,Norm_Stats!$F$13),Norm_Stats!$G$13)-Norm_Stats!$F$13)/(Norm_Stats!$G$13-Norm_Stats!$F$13))))</f>
        <v/>
      </c>
      <c r="AH155" s="14">
        <f>IF(AG155="","",1)</f>
        <v/>
      </c>
      <c r="AI155" s="11">
        <f>IF(OR(City_Inputs!$Z155="",Norm_Stats!$F$14="",Norm_Stats!$G$14="",Norm_Stats!$G$14=Norm_Stats!$F$14),"",MAX(0,MIN(100,100*(MIN(MAX(City_Inputs!$Z155,Norm_Stats!$F$14),Norm_Stats!$G$14)-Norm_Stats!$F$14)/(Norm_Stats!$G$14-Norm_Stats!$F$14))))</f>
        <v/>
      </c>
      <c r="AJ155" s="14">
        <f>IF(AI155="","",1)</f>
        <v/>
      </c>
      <c r="AK155" s="11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(IF(OR(City_Inputs!$AA155="",Norm_Stats!$F$15="",Norm_Stats!$G$15="",Norm_Stats!$G$15=Norm_Stats!$F$15),"",MAX(0,MIN(100,100*(MIN(MAX(City_Inputs!$AA155,Norm_Stats!$F$15),Norm_Stats!$G$15)-Norm_Stats!$F$15)/(Norm_Stats!$G$15-Norm_Stats!$F$15)))))*0.7)+IF((IF(OR(City_Inputs!$AL155="",Norm_Stats!$F$16="",Norm_Stats!$G$16="",Norm_Stats!$G$16=Norm_Stats!$F$16),"",MAX(0,MIN(100,100*(Norm_Stats!$G$16-MIN(MAX(City_Inputs!$AL155,Norm_Stats!$F$16),Norm_Stats!$G$16))/(Norm_Stats!$G$16-Norm_Stats!$F$16)))))="",0,(IF(OR(City_Inputs!$AL155="",Norm_Stats!$F$16="",Norm_Stats!$G$16="",Norm_Stats!$G$16=Norm_Stats!$F$16),"",MAX(0,MIN(100,100*(Norm_Stats!$G$16-MIN(MAX(City_Inputs!$AL155,Norm_Stats!$F$16),Norm_Stats!$G$16))/(Norm_Stats!$G$16-Norm_Stats!$F$16)))))*0.3))/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L155" s="14">
        <f>IF(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=0,"",(IF((IF(OR(City_Inputs!$AA155="",Norm_Stats!$F$15="",Norm_Stats!$G$15="",Norm_Stats!$G$15=Norm_Stats!$F$15),"",MAX(0,MIN(100,100*(MIN(MAX(City_Inputs!$AA155,Norm_Stats!$F$15),Norm_Stats!$G$15)-Norm_Stats!$F$15)/(Norm_Stats!$G$15-Norm_Stats!$F$15)))))="",0,0.7)+IF((IF(OR(City_Inputs!$AL155="",Norm_Stats!$F$16="",Norm_Stats!$G$16="",Norm_Stats!$G$16=Norm_Stats!$F$16),"",MAX(0,MIN(100,100*(Norm_Stats!$G$16-MIN(MAX(City_Inputs!$AL155,Norm_Stats!$F$16),Norm_Stats!$G$16))/(Norm_Stats!$G$16-Norm_Stats!$F$16)))))="",0,0.3)))</f>
        <v/>
      </c>
      <c r="AM155" s="15">
        <f>IF((IF(AG155="",0,8)+IF(AI155="",0,6)+IF(AK155="",0,4))=0,"",(IF(AG155="",0,AG155*8)+IF(AI155="",0,AI155*6)+IF(AK155="",0,AK155*4))/(IF(AG155="",0,8)+IF(AI155="",0,6)+IF(AK155="",0,4)))</f>
        <v/>
      </c>
      <c r="AN155" s="14">
        <f>IF((IF(AH155="",0,8)+IF(AJ155="",0,6)+IF(AL155="",0,4))=0,"",(IF(AH155="",0,AH155*8)+IF(AJ155="",0,AJ155*6)+IF(AL155="",0,AL155*4))/18)</f>
        <v/>
      </c>
      <c r="AO155" s="11">
        <f>IF(OR(City_Inputs!$AB155="",Norm_Stats!$F$17="",Norm_Stats!$G$17="",Norm_Stats!$G$17=Norm_Stats!$F$17),"",MAX(0,MIN(100,100*(MIN(MAX(City_Inputs!$AB155,Norm_Stats!$F$17),Norm_Stats!$G$17)-Norm_Stats!$F$17)/(Norm_Stats!$G$17-Norm_Stats!$F$17))))</f>
        <v/>
      </c>
      <c r="AP155" s="14">
        <f>IF(AO155="","",1)</f>
        <v/>
      </c>
      <c r="AQ155" s="11">
        <f>IF(OR(City_Inputs!$AC155="",Norm_Stats!$F$18="",Norm_Stats!$G$18="",Norm_Stats!$G$18=Norm_Stats!$F$18),"",MAX(0,MIN(100,100*(MIN(MAX(City_Inputs!$AC155,Norm_Stats!$F$18),Norm_Stats!$G$18)-Norm_Stats!$F$18)/(Norm_Stats!$G$18-Norm_Stats!$F$18))))</f>
        <v/>
      </c>
      <c r="AR155" s="14">
        <f>IF(AQ155="","",1)</f>
        <v/>
      </c>
      <c r="AS155" s="11">
        <f>IF(OR(City_Inputs!$AD155="",Norm_Stats!$F$19="",Norm_Stats!$G$19="",Norm_Stats!$G$19=Norm_Stats!$F$19),"",MAX(0,MIN(100,100*(MIN(MAX(City_Inputs!$AD155,Norm_Stats!$F$19),Norm_Stats!$G$19)-Norm_Stats!$F$19)/(Norm_Stats!$G$19-Norm_Stats!$F$19))))</f>
        <v/>
      </c>
      <c r="AT155" s="14">
        <f>IF(AS155="","",1)</f>
        <v/>
      </c>
      <c r="AU155" s="11">
        <f>IF(OR(City_Inputs!$BJ155="",Norm_Stats!$F$26="",Norm_Stats!$G$26="",Norm_Stats!$G$26=Norm_Stats!$F$26),"",MAX(0,MIN(100,100*(MIN(MAX(City_Inputs!$BJ155,Norm_Stats!$F$26),Norm_Stats!$G$26)-Norm_Stats!$F$26)/(Norm_Stats!$G$26-Norm_Stats!$F$26))))</f>
        <v/>
      </c>
      <c r="AV155" s="11">
        <f>IF(AU155="","",1)</f>
        <v/>
      </c>
      <c r="AW155" s="15">
        <f>IF((IF(AO155="",0,5)+IF(AQ155="",0,5)+IF(AS155="",0,5)+IF(AU155="",0,4))=0,"",(IF(AO155="",0,AO155*5)+IF(AQ155="",0,AQ155*5)+IF(AS155="",0,AS155*5)+IF(AU155="",0,AU155*4))/(IF(AO155="",0,5)+IF(AQ155="",0,5)+IF(AS155="",0,5)+IF(AU155="",0,4)))</f>
        <v/>
      </c>
      <c r="AX155" s="14">
        <f>IF((IF(AP155="",0,5)+IF(AR155="",0,5)+IF(AT155="",0,5)+IF(AV155="",0,4))=0,"",(IF(AP155="",0,AP155*5)+IF(AR155="",0,AR155*5)+IF(AT155="",0,AT155*5)+IF(AV155="",0,AV155*4))/19)</f>
        <v/>
      </c>
      <c r="AY155" s="11">
        <f>IF(OR(City_Inputs!$AE155="",Norm_Stats!$F$20="",Norm_Stats!$G$20="",Norm_Stats!$G$20=Norm_Stats!$F$20),"",MAX(0,MIN(100,100*(MIN(MAX(City_Inputs!$AE155,Norm_Stats!$F$20),Norm_Stats!$G$20)-Norm_Stats!$F$20)/(Norm_Stats!$G$20-Norm_Stats!$F$20))))</f>
        <v/>
      </c>
      <c r="AZ155" s="14">
        <f>IF(AY155="","",1)</f>
        <v/>
      </c>
      <c r="BA155" s="11">
        <f>IF(OR(City_Inputs!$AF155="",Norm_Stats!$F$21="",Norm_Stats!$G$21="",Norm_Stats!$G$21=Norm_Stats!$F$21),"",MAX(0,MIN(100,100*(MIN(MAX(City_Inputs!$AF155,Norm_Stats!$F$21),Norm_Stats!$G$21)-Norm_Stats!$F$21)/(Norm_Stats!$G$21-Norm_Stats!$F$21))))</f>
        <v/>
      </c>
      <c r="BB155" s="14">
        <f>IF(BA155="","",1)</f>
        <v/>
      </c>
      <c r="BC155" s="11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(IF(OR(City_Inputs!$AG155="",Norm_Stats!$F$22="",Norm_Stats!$G$22="",Norm_Stats!$G$22=Norm_Stats!$F$22),"",MAX(0,MIN(100,100*(MIN(MAX(City_Inputs!$AG155,Norm_Stats!$F$22),Norm_Stats!$G$22)-Norm_Stats!$F$22)/(Norm_Stats!$G$22-Norm_Stats!$F$22)))))*0.5)+IF((IF(OR(City_Inputs!$AJ155="",Norm_Stats!$F$23="",Norm_Stats!$G$23="",Norm_Stats!$G$23=Norm_Stats!$F$23),"",MAX(0,MIN(100,100*(MIN(MAX(City_Inputs!$AJ155,Norm_Stats!$F$23),Norm_Stats!$G$23)-Norm_Stats!$F$23)/(Norm_Stats!$G$23-Norm_Stats!$F$23)))))="",0,(IF(OR(City_Inputs!$AJ155="",Norm_Stats!$F$23="",Norm_Stats!$G$23="",Norm_Stats!$G$23=Norm_Stats!$F$23),"",MAX(0,MIN(100,100*(MIN(MAX(City_Inputs!$AJ155,Norm_Stats!$F$23),Norm_Stats!$G$23)-Norm_Stats!$F$23)/(Norm_Stats!$G$23-Norm_Stats!$F$23)))))*0.3)+IF((IF(OR(City_Inputs!$AK155="",Norm_Stats!$F$24="",Norm_Stats!$G$24="",Norm_Stats!$G$24=Norm_Stats!$F$24),"",MAX(0,MIN(100,100*(MIN(MAX(City_Inputs!$AK155,Norm_Stats!$F$24),Norm_Stats!$G$24)-Norm_Stats!$F$24)/(Norm_Stats!$G$24-Norm_Stats!$F$24)))))="",0,(IF(OR(City_Inputs!$AK155="",Norm_Stats!$F$24="",Norm_Stats!$G$24="",Norm_Stats!$G$24=Norm_Stats!$F$24),"",MAX(0,MIN(100,100*(MIN(MAX(City_Inputs!$AK155,Norm_Stats!$F$24),Norm_Stats!$G$24)-Norm_Stats!$F$24)/(Norm_Stats!$G$24-Norm_Stats!$F$24)))))*0.2))/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D155" s="14">
        <f>IF(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=0,"",(IF((IF(OR(City_Inputs!$AG155="",Norm_Stats!$F$22="",Norm_Stats!$G$22="",Norm_Stats!$G$22=Norm_Stats!$F$22),"",MAX(0,MIN(100,100*(MIN(MAX(City_Inputs!$AG155,Norm_Stats!$F$22),Norm_Stats!$G$22)-Norm_Stats!$F$22)/(Norm_Stats!$G$22-Norm_Stats!$F$22)))))="",0,0.5)+IF((IF(OR(City_Inputs!$AJ155="",Norm_Stats!$F$23="",Norm_Stats!$G$23="",Norm_Stats!$G$23=Norm_Stats!$F$23),"",MAX(0,MIN(100,100*(MIN(MAX(City_Inputs!$AJ155,Norm_Stats!$F$23),Norm_Stats!$G$23)-Norm_Stats!$F$23)/(Norm_Stats!$G$23-Norm_Stats!$F$23)))))="",0,0.3)+IF((IF(OR(City_Inputs!$AK155="",Norm_Stats!$F$24="",Norm_Stats!$G$24="",Norm_Stats!$G$24=Norm_Stats!$F$24),"",MAX(0,MIN(100,100*(MIN(MAX(City_Inputs!$AK155,Norm_Stats!$F$24),Norm_Stats!$G$24)-Norm_Stats!$F$24)/(Norm_Stats!$G$24-Norm_Stats!$F$24)))))="",0,0.2)))</f>
        <v/>
      </c>
      <c r="BE155" s="11">
        <f>IF(OR(City_Inputs!$AH155="",Norm_Stats!$F$25="",Norm_Stats!$G$25="",Norm_Stats!$G$25=Norm_Stats!$F$25),"",MAX(0,MIN(100,100*(Norm_Stats!$G$25-MIN(MAX(City_Inputs!$AH155,Norm_Stats!$F$25),Norm_Stats!$G$25))/(Norm_Stats!$G$25-Norm_Stats!$F$25))))</f>
        <v/>
      </c>
      <c r="BF155" s="14">
        <f>IF(BE155="","",1)</f>
        <v/>
      </c>
      <c r="BG155" s="15">
        <f>IF((IF(AY155="",0,6)+IF(BA155="",0,5)+IF(BC155="",0,5)+IF(BE155="",0,4))=0,"",(IF(AY155="",0,AY155*6)+IF(BA155="",0,BA155*5)+IF(BC155="",0,BC155*5)+IF(BE155="",0,BE155*4))/(IF(AY155="",0,6)+IF(BA155="",0,5)+IF(BC155="",0,5)+IF(BE155="",0,4)))</f>
        <v/>
      </c>
      <c r="BH155" s="14">
        <f>IF((IF(AZ155="",0,6)+IF(BB155="",0,5)+IF(BD155="",0,5)+IF(BF155="",0,4))=0,"",(IF(AZ155="",0,AZ155*6)+IF(BB155="",0,BB155*5)+IF(BD155="",0,BD155*5)+IF(BF155="",0,BF155*4))/20)</f>
        <v/>
      </c>
      <c r="BI155" s="14">
        <f>IF(AND(R155="",AF155="",AN155="",AX155="",BH155=""),"",((R155*25)+(AF155*22)+(AN155*18)+(AX155*15)+(BH155*20))/100)</f>
        <v/>
      </c>
      <c r="BJ155" s="11">
        <f>IF(BI155="","",IF(BI155&gt;=0.75,"A",IF(BI155&gt;=0.5,"B",IF(BI155&gt;=0.35,"C","Watchlist"))))</f>
        <v/>
      </c>
      <c r="BK155" s="11">
        <f>IF(OR(BI155="",BI155&lt;0.5,R155="",R155&lt;0.35,AF155="",AF155&lt;0.35,AN155="",AN155&lt;0.35,AX155="",AX155&lt;0.35,BH155="",BH155&lt;0.35),"Watchlist","Ranked")</f>
        <v/>
      </c>
      <c r="BL155" s="15">
        <f>IF(AND(Q155="",AE155="",AM155="",AW155="",BG155=""),"",(IF(Q155="",0,Q155*25)+IF(AE155="",0,AE155*22)+IF(AM155="",0,AM155*18)+IF(AW155="",0,AW155*15)+IF(BG155="",0,BG155*20))/(IF(Q155="",0,25)+IF(AE155="",0,22)+IF(AM155="",0,18)+IF(AW155="",0,15)+IF(BG155="",0,20)))</f>
        <v/>
      </c>
      <c r="BM155" s="11">
        <f>IF(BK155="Ranked",1+COUNTIFS($BK$2:$BK$158,"Ranked",$BL$2:$BL$158,"&gt;"&amp;BL155),"")</f>
        <v/>
      </c>
      <c r="BN155" s="11">
        <f>City_Inputs!$AI155</f>
        <v/>
      </c>
    </row>
    <row r="156">
      <c r="A156" t="inlineStr">
        <is>
          <t>pg-port-moresby</t>
        </is>
      </c>
      <c r="B156" t="inlineStr">
        <is>
          <t>Port Moresby</t>
        </is>
      </c>
      <c r="C156" t="inlineStr">
        <is>
          <t>Papua New Guinea</t>
        </is>
      </c>
      <c r="D156" t="inlineStr">
        <is>
          <t>Oceania</t>
        </is>
      </c>
      <c r="E156" t="inlineStr">
        <is>
          <t>provisional</t>
        </is>
      </c>
      <c r="F156" t="inlineStr">
        <is>
          <t>primary</t>
        </is>
      </c>
      <c r="G156" s="11">
        <f>IF(OR(City_Inputs!$M156="",Norm_Stats!$F$2="",Norm_Stats!$G$2="",Norm_Stats!$G$2=Norm_Stats!$F$2),"",MAX(0,MIN(100,100*(MIN(MAX(City_Inputs!$M156,Norm_Stats!$F$2),Norm_Stats!$G$2)-Norm_Stats!$F$2)/(Norm_Stats!$G$2-Norm_Stats!$F$2))))</f>
        <v/>
      </c>
      <c r="H156" s="14">
        <f>IF(G156="","",1)</f>
        <v/>
      </c>
      <c r="I156" s="11">
        <f>IF(OR(City_Inputs!$N156="",Norm_Stats!$F$3="",Norm_Stats!$G$3="",Norm_Stats!$G$3=Norm_Stats!$F$3),"",MAX(0,MIN(100,100*(Norm_Stats!$G$3-MIN(MAX(City_Inputs!$N156,Norm_Stats!$F$3),Norm_Stats!$G$3))/(Norm_Stats!$G$3-Norm_Stats!$F$3))))</f>
        <v/>
      </c>
      <c r="J156" s="14">
        <f>IF(I156="","",1)</f>
        <v/>
      </c>
      <c r="K156" s="11">
        <f>IF(OR(City_Inputs!$P156="",Norm_Stats!$F$4="",Norm_Stats!$G$4="",Norm_Stats!$G$4=Norm_Stats!$F$4),"",MAX(0,MIN(100,100*(Norm_Stats!$G$4-MIN(MAX(City_Inputs!$P156,Norm_Stats!$F$4),Norm_Stats!$G$4))/(Norm_Stats!$G$4-Norm_Stats!$F$4))))</f>
        <v/>
      </c>
      <c r="L156" s="14">
        <f>IF(K156="","",1)</f>
        <v/>
      </c>
      <c r="M156" s="11">
        <f>IF(OR(City_Inputs!$Q156="",Norm_Stats!$F$5="",Norm_Stats!$G$5="",Norm_Stats!$G$5=Norm_Stats!$F$5),"",MAX(0,MIN(100,100*(Norm_Stats!$G$5-MIN(MAX(City_Inputs!$Q156,Norm_Stats!$F$5),Norm_Stats!$G$5))/(Norm_Stats!$G$5-Norm_Stats!$F$5))))</f>
        <v/>
      </c>
      <c r="N156" s="14">
        <f>IF(M156="","",1)</f>
        <v/>
      </c>
      <c r="O156" s="11">
        <f>IF(OR(City_Inputs!$R156="",Norm_Stats!$F$6="",Norm_Stats!$G$6="",Norm_Stats!$G$6=Norm_Stats!$F$6),"",MAX(0,MIN(100,100*(Norm_Stats!$G$6-MIN(MAX(City_Inputs!$R156,Norm_Stats!$F$6),Norm_Stats!$G$6))/(Norm_Stats!$G$6-Norm_Stats!$F$6))))</f>
        <v/>
      </c>
      <c r="P156" s="14">
        <f>IF(O156="","",1)</f>
        <v/>
      </c>
      <c r="Q156" s="15">
        <f>IF((IF(G156="",0,9)+IF(I156="",0,5)+IF(K156="",0,4)+IF(M156="",0,4)+IF(O156="",0,5))=0,"",(IF(G156="",0,G156*9)+IF(I156="",0,I156*5)+IF(K156="",0,K156*4)+IF(M156="",0,M156*4)+IF(O156="",0,O156*5))/(IF(G156="",0,9)+IF(I156="",0,5)+IF(K156="",0,4)+IF(M156="",0,4)+IF(O156="",0,5)))</f>
        <v/>
      </c>
      <c r="R156" s="14">
        <f>IF((IF(H156="",0,9)+IF(J156="",0,5)+IF(L156="",0,4)+IF(N156="",0,4)+IF(P156="",0,5))=0,"",(IF(H156="",0,H156*9)+IF(J156="",0,J156*5)+IF(L156="",0,L156*4)+IF(N156="",0,N156*4)+IF(P156="",0,P156*5))/27)</f>
        <v/>
      </c>
      <c r="S156" s="11">
        <f>IF(OR(City_Inputs!$S156="",Norm_Stats!$F$7="",Norm_Stats!$G$7="",Norm_Stats!$G$7=Norm_Stats!$F$7),"",MAX(0,MIN(100,100*(Norm_Stats!$G$7-MIN(MAX(City_Inputs!$S156,Norm_Stats!$F$7),Norm_Stats!$G$7))/(Norm_Stats!$G$7-Norm_Stats!$F$7))))</f>
        <v/>
      </c>
      <c r="T156" s="14">
        <f>IF(S156="","",1)</f>
        <v/>
      </c>
      <c r="U156" s="11">
        <f>IF(OR(City_Inputs!$T156="",Norm_Stats!$F$8="",Norm_Stats!$G$8="",Norm_Stats!$G$8=Norm_Stats!$F$8),"",MAX(0,MIN(100,100*(MIN(MAX(City_Inputs!$T156,Norm_Stats!$F$8),Norm_Stats!$G$8)-Norm_Stats!$F$8)/(Norm_Stats!$G$8-Norm_Stats!$F$8))))</f>
        <v/>
      </c>
      <c r="V156" s="14">
        <f>IF(U156="","",1)</f>
        <v/>
      </c>
      <c r="W156" s="11">
        <f>IF(OR(City_Inputs!$U156="",Norm_Stats!$F$9="",Norm_Stats!$G$9="",Norm_Stats!$G$9=Norm_Stats!$F$9),"",MAX(0,MIN(100,100*(Norm_Stats!$G$9-MIN(MAX(City_Inputs!$U156,Norm_Stats!$F$9),Norm_Stats!$G$9))/(Norm_Stats!$G$9-Norm_Stats!$F$9))))</f>
        <v/>
      </c>
      <c r="X156" s="14">
        <f>IF(W156="","",1)</f>
        <v/>
      </c>
      <c r="Y156" s="11">
        <f>IF(OR(City_Inputs!$V156="",Norm_Stats!$F$10="",Norm_Stats!$G$10="",Norm_Stats!$G$10=Norm_Stats!$F$10),"",MAX(0,MIN(100,100*(MIN(MAX(City_Inputs!$V156,Norm_Stats!$F$10),Norm_Stats!$G$10)-Norm_Stats!$F$10)/(Norm_Stats!$G$10-Norm_Stats!$F$10))))</f>
        <v/>
      </c>
      <c r="Z156" s="14">
        <f>IF(Y156="","",1)</f>
        <v/>
      </c>
      <c r="AA156" s="11">
        <f>IF(OR(City_Inputs!$W156="",Norm_Stats!$F$11="",Norm_Stats!$G$11="",Norm_Stats!$G$11=Norm_Stats!$F$11),"",MAX(0,MIN(100,100*(MIN(MAX(City_Inputs!$W156,Norm_Stats!$F$11),Norm_Stats!$G$11)-Norm_Stats!$F$11)/(Norm_Stats!$G$11-Norm_Stats!$F$11))))</f>
        <v/>
      </c>
      <c r="AB156" s="14">
        <f>IF(AA156="","",1)</f>
        <v/>
      </c>
      <c r="AC156" s="11">
        <f>IF(OR(City_Inputs!$X156="",Norm_Stats!$F$12="",Norm_Stats!$G$12="",Norm_Stats!$G$12=Norm_Stats!$F$12),"",MAX(0,MIN(100,100*(MIN(MAX(City_Inputs!$X156,Norm_Stats!$F$12),Norm_Stats!$G$12)-Norm_Stats!$F$12)/(Norm_Stats!$G$12-Norm_Stats!$F$12))))</f>
        <v/>
      </c>
      <c r="AD156" s="11">
        <f>IF(AC156="","",1)</f>
        <v/>
      </c>
      <c r="AE156" s="15">
        <f>IF((IF(S156="",0,5)+IF(U156="",0,5)+IF(W156="",0,4)+IF(Y156="",0,4)+IF(AA156="",0,4)+IF(AC156="",0,5))=0,"",(IF(S156="",0,S156*5)+IF(U156="",0,U156*5)+IF(W156="",0,W156*4)+IF(Y156="",0,Y156*4)+IF(AA156="",0,AA156*4)+IF(AC156="",0,AC156*5))/(IF(S156="",0,5)+IF(U156="",0,5)+IF(W156="",0,4)+IF(Y156="",0,4)+IF(AA156="",0,4)+IF(AC156="",0,5)))</f>
        <v/>
      </c>
      <c r="AF156" s="14">
        <f>IF((IF(T156="",0,5)+IF(V156="",0,5)+IF(X156="",0,4)+IF(Z156="",0,4)+IF(AB156="",0,4)+IF(AD156="",0,5))=0,"",(IF(T156="",0,T156*5)+IF(V156="",0,V156*5)+IF(X156="",0,X156*4)+IF(Z156="",0,Z156*4)+IF(AB156="",0,AB156*4)+IF(AD156="",0,AD156*5))/27)</f>
        <v/>
      </c>
      <c r="AG156" s="11">
        <f>IF(OR(City_Inputs!$Y156="",Norm_Stats!$F$13="",Norm_Stats!$G$13="",Norm_Stats!$G$13=Norm_Stats!$F$13),"",MAX(0,MIN(100,100*(MIN(MAX(City_Inputs!$Y156,Norm_Stats!$F$13),Norm_Stats!$G$13)-Norm_Stats!$F$13)/(Norm_Stats!$G$13-Norm_Stats!$F$13))))</f>
        <v/>
      </c>
      <c r="AH156" s="14">
        <f>IF(AG156="","",1)</f>
        <v/>
      </c>
      <c r="AI156" s="11">
        <f>IF(OR(City_Inputs!$Z156="",Norm_Stats!$F$14="",Norm_Stats!$G$14="",Norm_Stats!$G$14=Norm_Stats!$F$14),"",MAX(0,MIN(100,100*(MIN(MAX(City_Inputs!$Z156,Norm_Stats!$F$14),Norm_Stats!$G$14)-Norm_Stats!$F$14)/(Norm_Stats!$G$14-Norm_Stats!$F$14))))</f>
        <v/>
      </c>
      <c r="AJ156" s="14">
        <f>IF(AI156="","",1)</f>
        <v/>
      </c>
      <c r="AK156" s="11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(IF(OR(City_Inputs!$AA156="",Norm_Stats!$F$15="",Norm_Stats!$G$15="",Norm_Stats!$G$15=Norm_Stats!$F$15),"",MAX(0,MIN(100,100*(MIN(MAX(City_Inputs!$AA156,Norm_Stats!$F$15),Norm_Stats!$G$15)-Norm_Stats!$F$15)/(Norm_Stats!$G$15-Norm_Stats!$F$15)))))*0.7)+IF((IF(OR(City_Inputs!$AL156="",Norm_Stats!$F$16="",Norm_Stats!$G$16="",Norm_Stats!$G$16=Norm_Stats!$F$16),"",MAX(0,MIN(100,100*(Norm_Stats!$G$16-MIN(MAX(City_Inputs!$AL156,Norm_Stats!$F$16),Norm_Stats!$G$16))/(Norm_Stats!$G$16-Norm_Stats!$F$16)))))="",0,(IF(OR(City_Inputs!$AL156="",Norm_Stats!$F$16="",Norm_Stats!$G$16="",Norm_Stats!$G$16=Norm_Stats!$F$16),"",MAX(0,MIN(100,100*(Norm_Stats!$G$16-MIN(MAX(City_Inputs!$AL156,Norm_Stats!$F$16),Norm_Stats!$G$16))/(Norm_Stats!$G$16-Norm_Stats!$F$16)))))*0.3))/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L156" s="14">
        <f>IF(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=0,"",(IF((IF(OR(City_Inputs!$AA156="",Norm_Stats!$F$15="",Norm_Stats!$G$15="",Norm_Stats!$G$15=Norm_Stats!$F$15),"",MAX(0,MIN(100,100*(MIN(MAX(City_Inputs!$AA156,Norm_Stats!$F$15),Norm_Stats!$G$15)-Norm_Stats!$F$15)/(Norm_Stats!$G$15-Norm_Stats!$F$15)))))="",0,0.7)+IF((IF(OR(City_Inputs!$AL156="",Norm_Stats!$F$16="",Norm_Stats!$G$16="",Norm_Stats!$G$16=Norm_Stats!$F$16),"",MAX(0,MIN(100,100*(Norm_Stats!$G$16-MIN(MAX(City_Inputs!$AL156,Norm_Stats!$F$16),Norm_Stats!$G$16))/(Norm_Stats!$G$16-Norm_Stats!$F$16)))))="",0,0.3)))</f>
        <v/>
      </c>
      <c r="AM156" s="15">
        <f>IF((IF(AG156="",0,8)+IF(AI156="",0,6)+IF(AK156="",0,4))=0,"",(IF(AG156="",0,AG156*8)+IF(AI156="",0,AI156*6)+IF(AK156="",0,AK156*4))/(IF(AG156="",0,8)+IF(AI156="",0,6)+IF(AK156="",0,4)))</f>
        <v/>
      </c>
      <c r="AN156" s="14">
        <f>IF((IF(AH156="",0,8)+IF(AJ156="",0,6)+IF(AL156="",0,4))=0,"",(IF(AH156="",0,AH156*8)+IF(AJ156="",0,AJ156*6)+IF(AL156="",0,AL156*4))/18)</f>
        <v/>
      </c>
      <c r="AO156" s="11">
        <f>IF(OR(City_Inputs!$AB156="",Norm_Stats!$F$17="",Norm_Stats!$G$17="",Norm_Stats!$G$17=Norm_Stats!$F$17),"",MAX(0,MIN(100,100*(MIN(MAX(City_Inputs!$AB156,Norm_Stats!$F$17),Norm_Stats!$G$17)-Norm_Stats!$F$17)/(Norm_Stats!$G$17-Norm_Stats!$F$17))))</f>
        <v/>
      </c>
      <c r="AP156" s="14">
        <f>IF(AO156="","",1)</f>
        <v/>
      </c>
      <c r="AQ156" s="11">
        <f>IF(OR(City_Inputs!$AC156="",Norm_Stats!$F$18="",Norm_Stats!$G$18="",Norm_Stats!$G$18=Norm_Stats!$F$18),"",MAX(0,MIN(100,100*(MIN(MAX(City_Inputs!$AC156,Norm_Stats!$F$18),Norm_Stats!$G$18)-Norm_Stats!$F$18)/(Norm_Stats!$G$18-Norm_Stats!$F$18))))</f>
        <v/>
      </c>
      <c r="AR156" s="14">
        <f>IF(AQ156="","",1)</f>
        <v/>
      </c>
      <c r="AS156" s="11">
        <f>IF(OR(City_Inputs!$AD156="",Norm_Stats!$F$19="",Norm_Stats!$G$19="",Norm_Stats!$G$19=Norm_Stats!$F$19),"",MAX(0,MIN(100,100*(MIN(MAX(City_Inputs!$AD156,Norm_Stats!$F$19),Norm_Stats!$G$19)-Norm_Stats!$F$19)/(Norm_Stats!$G$19-Norm_Stats!$F$19))))</f>
        <v/>
      </c>
      <c r="AT156" s="14">
        <f>IF(AS156="","",1)</f>
        <v/>
      </c>
      <c r="AU156" s="11">
        <f>IF(OR(City_Inputs!$BJ156="",Norm_Stats!$F$26="",Norm_Stats!$G$26="",Norm_Stats!$G$26=Norm_Stats!$F$26),"",MAX(0,MIN(100,100*(MIN(MAX(City_Inputs!$BJ156,Norm_Stats!$F$26),Norm_Stats!$G$26)-Norm_Stats!$F$26)/(Norm_Stats!$G$26-Norm_Stats!$F$26))))</f>
        <v/>
      </c>
      <c r="AV156" s="11">
        <f>IF(AU156="","",1)</f>
        <v/>
      </c>
      <c r="AW156" s="15">
        <f>IF((IF(AO156="",0,5)+IF(AQ156="",0,5)+IF(AS156="",0,5)+IF(AU156="",0,4))=0,"",(IF(AO156="",0,AO156*5)+IF(AQ156="",0,AQ156*5)+IF(AS156="",0,AS156*5)+IF(AU156="",0,AU156*4))/(IF(AO156="",0,5)+IF(AQ156="",0,5)+IF(AS156="",0,5)+IF(AU156="",0,4)))</f>
        <v/>
      </c>
      <c r="AX156" s="14">
        <f>IF((IF(AP156="",0,5)+IF(AR156="",0,5)+IF(AT156="",0,5)+IF(AV156="",0,4))=0,"",(IF(AP156="",0,AP156*5)+IF(AR156="",0,AR156*5)+IF(AT156="",0,AT156*5)+IF(AV156="",0,AV156*4))/19)</f>
        <v/>
      </c>
      <c r="AY156" s="11">
        <f>IF(OR(City_Inputs!$AE156="",Norm_Stats!$F$20="",Norm_Stats!$G$20="",Norm_Stats!$G$20=Norm_Stats!$F$20),"",MAX(0,MIN(100,100*(MIN(MAX(City_Inputs!$AE156,Norm_Stats!$F$20),Norm_Stats!$G$20)-Norm_Stats!$F$20)/(Norm_Stats!$G$20-Norm_Stats!$F$20))))</f>
        <v/>
      </c>
      <c r="AZ156" s="14">
        <f>IF(AY156="","",1)</f>
        <v/>
      </c>
      <c r="BA156" s="11">
        <f>IF(OR(City_Inputs!$AF156="",Norm_Stats!$F$21="",Norm_Stats!$G$21="",Norm_Stats!$G$21=Norm_Stats!$F$21),"",MAX(0,MIN(100,100*(MIN(MAX(City_Inputs!$AF156,Norm_Stats!$F$21),Norm_Stats!$G$21)-Norm_Stats!$F$21)/(Norm_Stats!$G$21-Norm_Stats!$F$21))))</f>
        <v/>
      </c>
      <c r="BB156" s="14">
        <f>IF(BA156="","",1)</f>
        <v/>
      </c>
      <c r="BC156" s="11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(IF(OR(City_Inputs!$AG156="",Norm_Stats!$F$22="",Norm_Stats!$G$22="",Norm_Stats!$G$22=Norm_Stats!$F$22),"",MAX(0,MIN(100,100*(MIN(MAX(City_Inputs!$AG156,Norm_Stats!$F$22),Norm_Stats!$G$22)-Norm_Stats!$F$22)/(Norm_Stats!$G$22-Norm_Stats!$F$22)))))*0.5)+IF((IF(OR(City_Inputs!$AJ156="",Norm_Stats!$F$23="",Norm_Stats!$G$23="",Norm_Stats!$G$23=Norm_Stats!$F$23),"",MAX(0,MIN(100,100*(MIN(MAX(City_Inputs!$AJ156,Norm_Stats!$F$23),Norm_Stats!$G$23)-Norm_Stats!$F$23)/(Norm_Stats!$G$23-Norm_Stats!$F$23)))))="",0,(IF(OR(City_Inputs!$AJ156="",Norm_Stats!$F$23="",Norm_Stats!$G$23="",Norm_Stats!$G$23=Norm_Stats!$F$23),"",MAX(0,MIN(100,100*(MIN(MAX(City_Inputs!$AJ156,Norm_Stats!$F$23),Norm_Stats!$G$23)-Norm_Stats!$F$23)/(Norm_Stats!$G$23-Norm_Stats!$F$23)))))*0.3)+IF((IF(OR(City_Inputs!$AK156="",Norm_Stats!$F$24="",Norm_Stats!$G$24="",Norm_Stats!$G$24=Norm_Stats!$F$24),"",MAX(0,MIN(100,100*(MIN(MAX(City_Inputs!$AK156,Norm_Stats!$F$24),Norm_Stats!$G$24)-Norm_Stats!$F$24)/(Norm_Stats!$G$24-Norm_Stats!$F$24)))))="",0,(IF(OR(City_Inputs!$AK156="",Norm_Stats!$F$24="",Norm_Stats!$G$24="",Norm_Stats!$G$24=Norm_Stats!$F$24),"",MAX(0,MIN(100,100*(MIN(MAX(City_Inputs!$AK156,Norm_Stats!$F$24),Norm_Stats!$G$24)-Norm_Stats!$F$24)/(Norm_Stats!$G$24-Norm_Stats!$F$24)))))*0.2))/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D156" s="14">
        <f>IF(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=0,"",(IF((IF(OR(City_Inputs!$AG156="",Norm_Stats!$F$22="",Norm_Stats!$G$22="",Norm_Stats!$G$22=Norm_Stats!$F$22),"",MAX(0,MIN(100,100*(MIN(MAX(City_Inputs!$AG156,Norm_Stats!$F$22),Norm_Stats!$G$22)-Norm_Stats!$F$22)/(Norm_Stats!$G$22-Norm_Stats!$F$22)))))="",0,0.5)+IF((IF(OR(City_Inputs!$AJ156="",Norm_Stats!$F$23="",Norm_Stats!$G$23="",Norm_Stats!$G$23=Norm_Stats!$F$23),"",MAX(0,MIN(100,100*(MIN(MAX(City_Inputs!$AJ156,Norm_Stats!$F$23),Norm_Stats!$G$23)-Norm_Stats!$F$23)/(Norm_Stats!$G$23-Norm_Stats!$F$23)))))="",0,0.3)+IF((IF(OR(City_Inputs!$AK156="",Norm_Stats!$F$24="",Norm_Stats!$G$24="",Norm_Stats!$G$24=Norm_Stats!$F$24),"",MAX(0,MIN(100,100*(MIN(MAX(City_Inputs!$AK156,Norm_Stats!$F$24),Norm_Stats!$G$24)-Norm_Stats!$F$24)/(Norm_Stats!$G$24-Norm_Stats!$F$24)))))="",0,0.2)))</f>
        <v/>
      </c>
      <c r="BE156" s="11">
        <f>IF(OR(City_Inputs!$AH156="",Norm_Stats!$F$25="",Norm_Stats!$G$25="",Norm_Stats!$G$25=Norm_Stats!$F$25),"",MAX(0,MIN(100,100*(Norm_Stats!$G$25-MIN(MAX(City_Inputs!$AH156,Norm_Stats!$F$25),Norm_Stats!$G$25))/(Norm_Stats!$G$25-Norm_Stats!$F$25))))</f>
        <v/>
      </c>
      <c r="BF156" s="14">
        <f>IF(BE156="","",1)</f>
        <v/>
      </c>
      <c r="BG156" s="15">
        <f>IF((IF(AY156="",0,6)+IF(BA156="",0,5)+IF(BC156="",0,5)+IF(BE156="",0,4))=0,"",(IF(AY156="",0,AY156*6)+IF(BA156="",0,BA156*5)+IF(BC156="",0,BC156*5)+IF(BE156="",0,BE156*4))/(IF(AY156="",0,6)+IF(BA156="",0,5)+IF(BC156="",0,5)+IF(BE156="",0,4)))</f>
        <v/>
      </c>
      <c r="BH156" s="14">
        <f>IF((IF(AZ156="",0,6)+IF(BB156="",0,5)+IF(BD156="",0,5)+IF(BF156="",0,4))=0,"",(IF(AZ156="",0,AZ156*6)+IF(BB156="",0,BB156*5)+IF(BD156="",0,BD156*5)+IF(BF156="",0,BF156*4))/20)</f>
        <v/>
      </c>
      <c r="BI156" s="14">
        <f>IF(AND(R156="",AF156="",AN156="",AX156="",BH156=""),"",((R156*25)+(AF156*22)+(AN156*18)+(AX156*15)+(BH156*20))/100)</f>
        <v/>
      </c>
      <c r="BJ156" s="11">
        <f>IF(BI156="","",IF(BI156&gt;=0.75,"A",IF(BI156&gt;=0.5,"B",IF(BI156&gt;=0.35,"C","Watchlist"))))</f>
        <v/>
      </c>
      <c r="BK156" s="11">
        <f>IF(OR(BI156="",BI156&lt;0.5,R156="",R156&lt;0.35,AF156="",AF156&lt;0.35,AN156="",AN156&lt;0.35,AX156="",AX156&lt;0.35,BH156="",BH156&lt;0.35),"Watchlist","Ranked")</f>
        <v/>
      </c>
      <c r="BL156" s="15">
        <f>IF(AND(Q156="",AE156="",AM156="",AW156="",BG156=""),"",(IF(Q156="",0,Q156*25)+IF(AE156="",0,AE156*22)+IF(AM156="",0,AM156*18)+IF(AW156="",0,AW156*15)+IF(BG156="",0,BG156*20))/(IF(Q156="",0,25)+IF(AE156="",0,22)+IF(AM156="",0,18)+IF(AW156="",0,15)+IF(BG156="",0,20)))</f>
        <v/>
      </c>
      <c r="BM156" s="11">
        <f>IF(BK156="Ranked",1+COUNTIFS($BK$2:$BK$158,"Ranked",$BL$2:$BL$158,"&gt;"&amp;BL156),"")</f>
        <v/>
      </c>
      <c r="BN156" s="11">
        <f>City_Inputs!$AI156</f>
        <v/>
      </c>
    </row>
    <row r="157">
      <c r="A157" t="inlineStr">
        <is>
          <t>ws-apia</t>
        </is>
      </c>
      <c r="B157" t="inlineStr">
        <is>
          <t>Apia</t>
        </is>
      </c>
      <c r="C157" t="inlineStr">
        <is>
          <t>Samoa</t>
        </is>
      </c>
      <c r="D157" t="inlineStr">
        <is>
          <t>Oceania</t>
        </is>
      </c>
      <c r="E157" t="inlineStr">
        <is>
          <t>provisional</t>
        </is>
      </c>
      <c r="F157" t="inlineStr">
        <is>
          <t>primary</t>
        </is>
      </c>
      <c r="G157" s="11">
        <f>IF(OR(City_Inputs!$M157="",Norm_Stats!$F$2="",Norm_Stats!$G$2="",Norm_Stats!$G$2=Norm_Stats!$F$2),"",MAX(0,MIN(100,100*(MIN(MAX(City_Inputs!$M157,Norm_Stats!$F$2),Norm_Stats!$G$2)-Norm_Stats!$F$2)/(Norm_Stats!$G$2-Norm_Stats!$F$2))))</f>
        <v/>
      </c>
      <c r="H157" s="14">
        <f>IF(G157="","",1)</f>
        <v/>
      </c>
      <c r="I157" s="11">
        <f>IF(OR(City_Inputs!$N157="",Norm_Stats!$F$3="",Norm_Stats!$G$3="",Norm_Stats!$G$3=Norm_Stats!$F$3),"",MAX(0,MIN(100,100*(Norm_Stats!$G$3-MIN(MAX(City_Inputs!$N157,Norm_Stats!$F$3),Norm_Stats!$G$3))/(Norm_Stats!$G$3-Norm_Stats!$F$3))))</f>
        <v/>
      </c>
      <c r="J157" s="14">
        <f>IF(I157="","",1)</f>
        <v/>
      </c>
      <c r="K157" s="11">
        <f>IF(OR(City_Inputs!$P157="",Norm_Stats!$F$4="",Norm_Stats!$G$4="",Norm_Stats!$G$4=Norm_Stats!$F$4),"",MAX(0,MIN(100,100*(Norm_Stats!$G$4-MIN(MAX(City_Inputs!$P157,Norm_Stats!$F$4),Norm_Stats!$G$4))/(Norm_Stats!$G$4-Norm_Stats!$F$4))))</f>
        <v/>
      </c>
      <c r="L157" s="14">
        <f>IF(K157="","",1)</f>
        <v/>
      </c>
      <c r="M157" s="11">
        <f>IF(OR(City_Inputs!$Q157="",Norm_Stats!$F$5="",Norm_Stats!$G$5="",Norm_Stats!$G$5=Norm_Stats!$F$5),"",MAX(0,MIN(100,100*(Norm_Stats!$G$5-MIN(MAX(City_Inputs!$Q157,Norm_Stats!$F$5),Norm_Stats!$G$5))/(Norm_Stats!$G$5-Norm_Stats!$F$5))))</f>
        <v/>
      </c>
      <c r="N157" s="14">
        <f>IF(M157="","",1)</f>
        <v/>
      </c>
      <c r="O157" s="11">
        <f>IF(OR(City_Inputs!$R157="",Norm_Stats!$F$6="",Norm_Stats!$G$6="",Norm_Stats!$G$6=Norm_Stats!$F$6),"",MAX(0,MIN(100,100*(Norm_Stats!$G$6-MIN(MAX(City_Inputs!$R157,Norm_Stats!$F$6),Norm_Stats!$G$6))/(Norm_Stats!$G$6-Norm_Stats!$F$6))))</f>
        <v/>
      </c>
      <c r="P157" s="14">
        <f>IF(O157="","",1)</f>
        <v/>
      </c>
      <c r="Q157" s="15">
        <f>IF((IF(G157="",0,9)+IF(I157="",0,5)+IF(K157="",0,4)+IF(M157="",0,4)+IF(O157="",0,5))=0,"",(IF(G157="",0,G157*9)+IF(I157="",0,I157*5)+IF(K157="",0,K157*4)+IF(M157="",0,M157*4)+IF(O157="",0,O157*5))/(IF(G157="",0,9)+IF(I157="",0,5)+IF(K157="",0,4)+IF(M157="",0,4)+IF(O157="",0,5)))</f>
        <v/>
      </c>
      <c r="R157" s="14">
        <f>IF((IF(H157="",0,9)+IF(J157="",0,5)+IF(L157="",0,4)+IF(N157="",0,4)+IF(P157="",0,5))=0,"",(IF(H157="",0,H157*9)+IF(J157="",0,J157*5)+IF(L157="",0,L157*4)+IF(N157="",0,N157*4)+IF(P157="",0,P157*5))/27)</f>
        <v/>
      </c>
      <c r="S157" s="11">
        <f>IF(OR(City_Inputs!$S157="",Norm_Stats!$F$7="",Norm_Stats!$G$7="",Norm_Stats!$G$7=Norm_Stats!$F$7),"",MAX(0,MIN(100,100*(Norm_Stats!$G$7-MIN(MAX(City_Inputs!$S157,Norm_Stats!$F$7),Norm_Stats!$G$7))/(Norm_Stats!$G$7-Norm_Stats!$F$7))))</f>
        <v/>
      </c>
      <c r="T157" s="14">
        <f>IF(S157="","",1)</f>
        <v/>
      </c>
      <c r="U157" s="11">
        <f>IF(OR(City_Inputs!$T157="",Norm_Stats!$F$8="",Norm_Stats!$G$8="",Norm_Stats!$G$8=Norm_Stats!$F$8),"",MAX(0,MIN(100,100*(MIN(MAX(City_Inputs!$T157,Norm_Stats!$F$8),Norm_Stats!$G$8)-Norm_Stats!$F$8)/(Norm_Stats!$G$8-Norm_Stats!$F$8))))</f>
        <v/>
      </c>
      <c r="V157" s="14">
        <f>IF(U157="","",1)</f>
        <v/>
      </c>
      <c r="W157" s="11">
        <f>IF(OR(City_Inputs!$U157="",Norm_Stats!$F$9="",Norm_Stats!$G$9="",Norm_Stats!$G$9=Norm_Stats!$F$9),"",MAX(0,MIN(100,100*(Norm_Stats!$G$9-MIN(MAX(City_Inputs!$U157,Norm_Stats!$F$9),Norm_Stats!$G$9))/(Norm_Stats!$G$9-Norm_Stats!$F$9))))</f>
        <v/>
      </c>
      <c r="X157" s="14">
        <f>IF(W157="","",1)</f>
        <v/>
      </c>
      <c r="Y157" s="11">
        <f>IF(OR(City_Inputs!$V157="",Norm_Stats!$F$10="",Norm_Stats!$G$10="",Norm_Stats!$G$10=Norm_Stats!$F$10),"",MAX(0,MIN(100,100*(MIN(MAX(City_Inputs!$V157,Norm_Stats!$F$10),Norm_Stats!$G$10)-Norm_Stats!$F$10)/(Norm_Stats!$G$10-Norm_Stats!$F$10))))</f>
        <v/>
      </c>
      <c r="Z157" s="14">
        <f>IF(Y157="","",1)</f>
        <v/>
      </c>
      <c r="AA157" s="11">
        <f>IF(OR(City_Inputs!$W157="",Norm_Stats!$F$11="",Norm_Stats!$G$11="",Norm_Stats!$G$11=Norm_Stats!$F$11),"",MAX(0,MIN(100,100*(MIN(MAX(City_Inputs!$W157,Norm_Stats!$F$11),Norm_Stats!$G$11)-Norm_Stats!$F$11)/(Norm_Stats!$G$11-Norm_Stats!$F$11))))</f>
        <v/>
      </c>
      <c r="AB157" s="14">
        <f>IF(AA157="","",1)</f>
        <v/>
      </c>
      <c r="AC157" s="11">
        <f>IF(OR(City_Inputs!$X157="",Norm_Stats!$F$12="",Norm_Stats!$G$12="",Norm_Stats!$G$12=Norm_Stats!$F$12),"",MAX(0,MIN(100,100*(MIN(MAX(City_Inputs!$X157,Norm_Stats!$F$12),Norm_Stats!$G$12)-Norm_Stats!$F$12)/(Norm_Stats!$G$12-Norm_Stats!$F$12))))</f>
        <v/>
      </c>
      <c r="AD157" s="11">
        <f>IF(AC157="","",1)</f>
        <v/>
      </c>
      <c r="AE157" s="15">
        <f>IF((IF(S157="",0,5)+IF(U157="",0,5)+IF(W157="",0,4)+IF(Y157="",0,4)+IF(AA157="",0,4)+IF(AC157="",0,5))=0,"",(IF(S157="",0,S157*5)+IF(U157="",0,U157*5)+IF(W157="",0,W157*4)+IF(Y157="",0,Y157*4)+IF(AA157="",0,AA157*4)+IF(AC157="",0,AC157*5))/(IF(S157="",0,5)+IF(U157="",0,5)+IF(W157="",0,4)+IF(Y157="",0,4)+IF(AA157="",0,4)+IF(AC157="",0,5)))</f>
        <v/>
      </c>
      <c r="AF157" s="14">
        <f>IF((IF(T157="",0,5)+IF(V157="",0,5)+IF(X157="",0,4)+IF(Z157="",0,4)+IF(AB157="",0,4)+IF(AD157="",0,5))=0,"",(IF(T157="",0,T157*5)+IF(V157="",0,V157*5)+IF(X157="",0,X157*4)+IF(Z157="",0,Z157*4)+IF(AB157="",0,AB157*4)+IF(AD157="",0,AD157*5))/27)</f>
        <v/>
      </c>
      <c r="AG157" s="11">
        <f>IF(OR(City_Inputs!$Y157="",Norm_Stats!$F$13="",Norm_Stats!$G$13="",Norm_Stats!$G$13=Norm_Stats!$F$13),"",MAX(0,MIN(100,100*(MIN(MAX(City_Inputs!$Y157,Norm_Stats!$F$13),Norm_Stats!$G$13)-Norm_Stats!$F$13)/(Norm_Stats!$G$13-Norm_Stats!$F$13))))</f>
        <v/>
      </c>
      <c r="AH157" s="14">
        <f>IF(AG157="","",1)</f>
        <v/>
      </c>
      <c r="AI157" s="11">
        <f>IF(OR(City_Inputs!$Z157="",Norm_Stats!$F$14="",Norm_Stats!$G$14="",Norm_Stats!$G$14=Norm_Stats!$F$14),"",MAX(0,MIN(100,100*(MIN(MAX(City_Inputs!$Z157,Norm_Stats!$F$14),Norm_Stats!$G$14)-Norm_Stats!$F$14)/(Norm_Stats!$G$14-Norm_Stats!$F$14))))</f>
        <v/>
      </c>
      <c r="AJ157" s="14">
        <f>IF(AI157="","",1)</f>
        <v/>
      </c>
      <c r="AK157" s="11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(IF(OR(City_Inputs!$AA157="",Norm_Stats!$F$15="",Norm_Stats!$G$15="",Norm_Stats!$G$15=Norm_Stats!$F$15),"",MAX(0,MIN(100,100*(MIN(MAX(City_Inputs!$AA157,Norm_Stats!$F$15),Norm_Stats!$G$15)-Norm_Stats!$F$15)/(Norm_Stats!$G$15-Norm_Stats!$F$15)))))*0.7)+IF((IF(OR(City_Inputs!$AL157="",Norm_Stats!$F$16="",Norm_Stats!$G$16="",Norm_Stats!$G$16=Norm_Stats!$F$16),"",MAX(0,MIN(100,100*(Norm_Stats!$G$16-MIN(MAX(City_Inputs!$AL157,Norm_Stats!$F$16),Norm_Stats!$G$16))/(Norm_Stats!$G$16-Norm_Stats!$F$16)))))="",0,(IF(OR(City_Inputs!$AL157="",Norm_Stats!$F$16="",Norm_Stats!$G$16="",Norm_Stats!$G$16=Norm_Stats!$F$16),"",MAX(0,MIN(100,100*(Norm_Stats!$G$16-MIN(MAX(City_Inputs!$AL157,Norm_Stats!$F$16),Norm_Stats!$G$16))/(Norm_Stats!$G$16-Norm_Stats!$F$16)))))*0.3))/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L157" s="14">
        <f>IF(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=0,"",(IF((IF(OR(City_Inputs!$AA157="",Norm_Stats!$F$15="",Norm_Stats!$G$15="",Norm_Stats!$G$15=Norm_Stats!$F$15),"",MAX(0,MIN(100,100*(MIN(MAX(City_Inputs!$AA157,Norm_Stats!$F$15),Norm_Stats!$G$15)-Norm_Stats!$F$15)/(Norm_Stats!$G$15-Norm_Stats!$F$15)))))="",0,0.7)+IF((IF(OR(City_Inputs!$AL157="",Norm_Stats!$F$16="",Norm_Stats!$G$16="",Norm_Stats!$G$16=Norm_Stats!$F$16),"",MAX(0,MIN(100,100*(Norm_Stats!$G$16-MIN(MAX(City_Inputs!$AL157,Norm_Stats!$F$16),Norm_Stats!$G$16))/(Norm_Stats!$G$16-Norm_Stats!$F$16)))))="",0,0.3)))</f>
        <v/>
      </c>
      <c r="AM157" s="15">
        <f>IF((IF(AG157="",0,8)+IF(AI157="",0,6)+IF(AK157="",0,4))=0,"",(IF(AG157="",0,AG157*8)+IF(AI157="",0,AI157*6)+IF(AK157="",0,AK157*4))/(IF(AG157="",0,8)+IF(AI157="",0,6)+IF(AK157="",0,4)))</f>
        <v/>
      </c>
      <c r="AN157" s="14">
        <f>IF((IF(AH157="",0,8)+IF(AJ157="",0,6)+IF(AL157="",0,4))=0,"",(IF(AH157="",0,AH157*8)+IF(AJ157="",0,AJ157*6)+IF(AL157="",0,AL157*4))/18)</f>
        <v/>
      </c>
      <c r="AO157" s="11">
        <f>IF(OR(City_Inputs!$AB157="",Norm_Stats!$F$17="",Norm_Stats!$G$17="",Norm_Stats!$G$17=Norm_Stats!$F$17),"",MAX(0,MIN(100,100*(MIN(MAX(City_Inputs!$AB157,Norm_Stats!$F$17),Norm_Stats!$G$17)-Norm_Stats!$F$17)/(Norm_Stats!$G$17-Norm_Stats!$F$17))))</f>
        <v/>
      </c>
      <c r="AP157" s="14">
        <f>IF(AO157="","",1)</f>
        <v/>
      </c>
      <c r="AQ157" s="11">
        <f>IF(OR(City_Inputs!$AC157="",Norm_Stats!$F$18="",Norm_Stats!$G$18="",Norm_Stats!$G$18=Norm_Stats!$F$18),"",MAX(0,MIN(100,100*(MIN(MAX(City_Inputs!$AC157,Norm_Stats!$F$18),Norm_Stats!$G$18)-Norm_Stats!$F$18)/(Norm_Stats!$G$18-Norm_Stats!$F$18))))</f>
        <v/>
      </c>
      <c r="AR157" s="14">
        <f>IF(AQ157="","",1)</f>
        <v/>
      </c>
      <c r="AS157" s="11">
        <f>IF(OR(City_Inputs!$AD157="",Norm_Stats!$F$19="",Norm_Stats!$G$19="",Norm_Stats!$G$19=Norm_Stats!$F$19),"",MAX(0,MIN(100,100*(MIN(MAX(City_Inputs!$AD157,Norm_Stats!$F$19),Norm_Stats!$G$19)-Norm_Stats!$F$19)/(Norm_Stats!$G$19-Norm_Stats!$F$19))))</f>
        <v/>
      </c>
      <c r="AT157" s="14">
        <f>IF(AS157="","",1)</f>
        <v/>
      </c>
      <c r="AU157" s="11">
        <f>IF(OR(City_Inputs!$BJ157="",Norm_Stats!$F$26="",Norm_Stats!$G$26="",Norm_Stats!$G$26=Norm_Stats!$F$26),"",MAX(0,MIN(100,100*(MIN(MAX(City_Inputs!$BJ157,Norm_Stats!$F$26),Norm_Stats!$G$26)-Norm_Stats!$F$26)/(Norm_Stats!$G$26-Norm_Stats!$F$26))))</f>
        <v/>
      </c>
      <c r="AV157" s="11">
        <f>IF(AU157="","",1)</f>
        <v/>
      </c>
      <c r="AW157" s="15">
        <f>IF((IF(AO157="",0,5)+IF(AQ157="",0,5)+IF(AS157="",0,5)+IF(AU157="",0,4))=0,"",(IF(AO157="",0,AO157*5)+IF(AQ157="",0,AQ157*5)+IF(AS157="",0,AS157*5)+IF(AU157="",0,AU157*4))/(IF(AO157="",0,5)+IF(AQ157="",0,5)+IF(AS157="",0,5)+IF(AU157="",0,4)))</f>
        <v/>
      </c>
      <c r="AX157" s="14">
        <f>IF((IF(AP157="",0,5)+IF(AR157="",0,5)+IF(AT157="",0,5)+IF(AV157="",0,4))=0,"",(IF(AP157="",0,AP157*5)+IF(AR157="",0,AR157*5)+IF(AT157="",0,AT157*5)+IF(AV157="",0,AV157*4))/19)</f>
        <v/>
      </c>
      <c r="AY157" s="11">
        <f>IF(OR(City_Inputs!$AE157="",Norm_Stats!$F$20="",Norm_Stats!$G$20="",Norm_Stats!$G$20=Norm_Stats!$F$20),"",MAX(0,MIN(100,100*(MIN(MAX(City_Inputs!$AE157,Norm_Stats!$F$20),Norm_Stats!$G$20)-Norm_Stats!$F$20)/(Norm_Stats!$G$20-Norm_Stats!$F$20))))</f>
        <v/>
      </c>
      <c r="AZ157" s="14">
        <f>IF(AY157="","",1)</f>
        <v/>
      </c>
      <c r="BA157" s="11">
        <f>IF(OR(City_Inputs!$AF157="",Norm_Stats!$F$21="",Norm_Stats!$G$21="",Norm_Stats!$G$21=Norm_Stats!$F$21),"",MAX(0,MIN(100,100*(MIN(MAX(City_Inputs!$AF157,Norm_Stats!$F$21),Norm_Stats!$G$21)-Norm_Stats!$F$21)/(Norm_Stats!$G$21-Norm_Stats!$F$21))))</f>
        <v/>
      </c>
      <c r="BB157" s="14">
        <f>IF(BA157="","",1)</f>
        <v/>
      </c>
      <c r="BC157" s="11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(IF(OR(City_Inputs!$AG157="",Norm_Stats!$F$22="",Norm_Stats!$G$22="",Norm_Stats!$G$22=Norm_Stats!$F$22),"",MAX(0,MIN(100,100*(MIN(MAX(City_Inputs!$AG157,Norm_Stats!$F$22),Norm_Stats!$G$22)-Norm_Stats!$F$22)/(Norm_Stats!$G$22-Norm_Stats!$F$22)))))*0.5)+IF((IF(OR(City_Inputs!$AJ157="",Norm_Stats!$F$23="",Norm_Stats!$G$23="",Norm_Stats!$G$23=Norm_Stats!$F$23),"",MAX(0,MIN(100,100*(MIN(MAX(City_Inputs!$AJ157,Norm_Stats!$F$23),Norm_Stats!$G$23)-Norm_Stats!$F$23)/(Norm_Stats!$G$23-Norm_Stats!$F$23)))))="",0,(IF(OR(City_Inputs!$AJ157="",Norm_Stats!$F$23="",Norm_Stats!$G$23="",Norm_Stats!$G$23=Norm_Stats!$F$23),"",MAX(0,MIN(100,100*(MIN(MAX(City_Inputs!$AJ157,Norm_Stats!$F$23),Norm_Stats!$G$23)-Norm_Stats!$F$23)/(Norm_Stats!$G$23-Norm_Stats!$F$23)))))*0.3)+IF((IF(OR(City_Inputs!$AK157="",Norm_Stats!$F$24="",Norm_Stats!$G$24="",Norm_Stats!$G$24=Norm_Stats!$F$24),"",MAX(0,MIN(100,100*(MIN(MAX(City_Inputs!$AK157,Norm_Stats!$F$24),Norm_Stats!$G$24)-Norm_Stats!$F$24)/(Norm_Stats!$G$24-Norm_Stats!$F$24)))))="",0,(IF(OR(City_Inputs!$AK157="",Norm_Stats!$F$24="",Norm_Stats!$G$24="",Norm_Stats!$G$24=Norm_Stats!$F$24),"",MAX(0,MIN(100,100*(MIN(MAX(City_Inputs!$AK157,Norm_Stats!$F$24),Norm_Stats!$G$24)-Norm_Stats!$F$24)/(Norm_Stats!$G$24-Norm_Stats!$F$24)))))*0.2))/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D157" s="14">
        <f>IF(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=0,"",(IF((IF(OR(City_Inputs!$AG157="",Norm_Stats!$F$22="",Norm_Stats!$G$22="",Norm_Stats!$G$22=Norm_Stats!$F$22),"",MAX(0,MIN(100,100*(MIN(MAX(City_Inputs!$AG157,Norm_Stats!$F$22),Norm_Stats!$G$22)-Norm_Stats!$F$22)/(Norm_Stats!$G$22-Norm_Stats!$F$22)))))="",0,0.5)+IF((IF(OR(City_Inputs!$AJ157="",Norm_Stats!$F$23="",Norm_Stats!$G$23="",Norm_Stats!$G$23=Norm_Stats!$F$23),"",MAX(0,MIN(100,100*(MIN(MAX(City_Inputs!$AJ157,Norm_Stats!$F$23),Norm_Stats!$G$23)-Norm_Stats!$F$23)/(Norm_Stats!$G$23-Norm_Stats!$F$23)))))="",0,0.3)+IF((IF(OR(City_Inputs!$AK157="",Norm_Stats!$F$24="",Norm_Stats!$G$24="",Norm_Stats!$G$24=Norm_Stats!$F$24),"",MAX(0,MIN(100,100*(MIN(MAX(City_Inputs!$AK157,Norm_Stats!$F$24),Norm_Stats!$G$24)-Norm_Stats!$F$24)/(Norm_Stats!$G$24-Norm_Stats!$F$24)))))="",0,0.2)))</f>
        <v/>
      </c>
      <c r="BE157" s="11">
        <f>IF(OR(City_Inputs!$AH157="",Norm_Stats!$F$25="",Norm_Stats!$G$25="",Norm_Stats!$G$25=Norm_Stats!$F$25),"",MAX(0,MIN(100,100*(Norm_Stats!$G$25-MIN(MAX(City_Inputs!$AH157,Norm_Stats!$F$25),Norm_Stats!$G$25))/(Norm_Stats!$G$25-Norm_Stats!$F$25))))</f>
        <v/>
      </c>
      <c r="BF157" s="14">
        <f>IF(BE157="","",1)</f>
        <v/>
      </c>
      <c r="BG157" s="15">
        <f>IF((IF(AY157="",0,6)+IF(BA157="",0,5)+IF(BC157="",0,5)+IF(BE157="",0,4))=0,"",(IF(AY157="",0,AY157*6)+IF(BA157="",0,BA157*5)+IF(BC157="",0,BC157*5)+IF(BE157="",0,BE157*4))/(IF(AY157="",0,6)+IF(BA157="",0,5)+IF(BC157="",0,5)+IF(BE157="",0,4)))</f>
        <v/>
      </c>
      <c r="BH157" s="14">
        <f>IF((IF(AZ157="",0,6)+IF(BB157="",0,5)+IF(BD157="",0,5)+IF(BF157="",0,4))=0,"",(IF(AZ157="",0,AZ157*6)+IF(BB157="",0,BB157*5)+IF(BD157="",0,BD157*5)+IF(BF157="",0,BF157*4))/20)</f>
        <v/>
      </c>
      <c r="BI157" s="14">
        <f>IF(AND(R157="",AF157="",AN157="",AX157="",BH157=""),"",((R157*25)+(AF157*22)+(AN157*18)+(AX157*15)+(BH157*20))/100)</f>
        <v/>
      </c>
      <c r="BJ157" s="11">
        <f>IF(BI157="","",IF(BI157&gt;=0.75,"A",IF(BI157&gt;=0.5,"B",IF(BI157&gt;=0.35,"C","Watchlist"))))</f>
        <v/>
      </c>
      <c r="BK157" s="11">
        <f>IF(OR(BI157="",BI157&lt;0.5,R157="",R157&lt;0.35,AF157="",AF157&lt;0.35,AN157="",AN157&lt;0.35,AX157="",AX157&lt;0.35,BH157="",BH157&lt;0.35),"Watchlist","Ranked")</f>
        <v/>
      </c>
      <c r="BL157" s="15">
        <f>IF(AND(Q157="",AE157="",AM157="",AW157="",BG157=""),"",(IF(Q157="",0,Q157*25)+IF(AE157="",0,AE157*22)+IF(AM157="",0,AM157*18)+IF(AW157="",0,AW157*15)+IF(BG157="",0,BG157*20))/(IF(Q157="",0,25)+IF(AE157="",0,22)+IF(AM157="",0,18)+IF(AW157="",0,15)+IF(BG157="",0,20)))</f>
        <v/>
      </c>
      <c r="BM157" s="11">
        <f>IF(BK157="Ranked",1+COUNTIFS($BK$2:$BK$158,"Ranked",$BL$2:$BL$158,"&gt;"&amp;BL157),"")</f>
        <v/>
      </c>
      <c r="BN157" s="11">
        <f>City_Inputs!$AI157</f>
        <v/>
      </c>
    </row>
    <row r="158">
      <c r="A158" t="inlineStr">
        <is>
          <t>vu-port-vila</t>
        </is>
      </c>
      <c r="B158" t="inlineStr">
        <is>
          <t>Port Vila</t>
        </is>
      </c>
      <c r="C158" t="inlineStr">
        <is>
          <t>Vanuatu</t>
        </is>
      </c>
      <c r="D158" t="inlineStr">
        <is>
          <t>Oceania</t>
        </is>
      </c>
      <c r="E158" t="inlineStr">
        <is>
          <t>provisional</t>
        </is>
      </c>
      <c r="F158" t="inlineStr">
        <is>
          <t>primary</t>
        </is>
      </c>
      <c r="G158" s="11">
        <f>IF(OR(City_Inputs!$M158="",Norm_Stats!$F$2="",Norm_Stats!$G$2="",Norm_Stats!$G$2=Norm_Stats!$F$2),"",MAX(0,MIN(100,100*(MIN(MAX(City_Inputs!$M158,Norm_Stats!$F$2),Norm_Stats!$G$2)-Norm_Stats!$F$2)/(Norm_Stats!$G$2-Norm_Stats!$F$2))))</f>
        <v/>
      </c>
      <c r="H158" s="14">
        <f>IF(G158="","",1)</f>
        <v/>
      </c>
      <c r="I158" s="11">
        <f>IF(OR(City_Inputs!$N158="",Norm_Stats!$F$3="",Norm_Stats!$G$3="",Norm_Stats!$G$3=Norm_Stats!$F$3),"",MAX(0,MIN(100,100*(Norm_Stats!$G$3-MIN(MAX(City_Inputs!$N158,Norm_Stats!$F$3),Norm_Stats!$G$3))/(Norm_Stats!$G$3-Norm_Stats!$F$3))))</f>
        <v/>
      </c>
      <c r="J158" s="14">
        <f>IF(I158="","",1)</f>
        <v/>
      </c>
      <c r="K158" s="11">
        <f>IF(OR(City_Inputs!$P158="",Norm_Stats!$F$4="",Norm_Stats!$G$4="",Norm_Stats!$G$4=Norm_Stats!$F$4),"",MAX(0,MIN(100,100*(Norm_Stats!$G$4-MIN(MAX(City_Inputs!$P158,Norm_Stats!$F$4),Norm_Stats!$G$4))/(Norm_Stats!$G$4-Norm_Stats!$F$4))))</f>
        <v/>
      </c>
      <c r="L158" s="14">
        <f>IF(K158="","",1)</f>
        <v/>
      </c>
      <c r="M158" s="11">
        <f>IF(OR(City_Inputs!$Q158="",Norm_Stats!$F$5="",Norm_Stats!$G$5="",Norm_Stats!$G$5=Norm_Stats!$F$5),"",MAX(0,MIN(100,100*(Norm_Stats!$G$5-MIN(MAX(City_Inputs!$Q158,Norm_Stats!$F$5),Norm_Stats!$G$5))/(Norm_Stats!$G$5-Norm_Stats!$F$5))))</f>
        <v/>
      </c>
      <c r="N158" s="14">
        <f>IF(M158="","",1)</f>
        <v/>
      </c>
      <c r="O158" s="11">
        <f>IF(OR(City_Inputs!$R158="",Norm_Stats!$F$6="",Norm_Stats!$G$6="",Norm_Stats!$G$6=Norm_Stats!$F$6),"",MAX(0,MIN(100,100*(Norm_Stats!$G$6-MIN(MAX(City_Inputs!$R158,Norm_Stats!$F$6),Norm_Stats!$G$6))/(Norm_Stats!$G$6-Norm_Stats!$F$6))))</f>
        <v/>
      </c>
      <c r="P158" s="14">
        <f>IF(O158="","",1)</f>
        <v/>
      </c>
      <c r="Q158" s="15">
        <f>IF((IF(G158="",0,9)+IF(I158="",0,5)+IF(K158="",0,4)+IF(M158="",0,4)+IF(O158="",0,5))=0,"",(IF(G158="",0,G158*9)+IF(I158="",0,I158*5)+IF(K158="",0,K158*4)+IF(M158="",0,M158*4)+IF(O158="",0,O158*5))/(IF(G158="",0,9)+IF(I158="",0,5)+IF(K158="",0,4)+IF(M158="",0,4)+IF(O158="",0,5)))</f>
        <v/>
      </c>
      <c r="R158" s="14">
        <f>IF((IF(H158="",0,9)+IF(J158="",0,5)+IF(L158="",0,4)+IF(N158="",0,4)+IF(P158="",0,5))=0,"",(IF(H158="",0,H158*9)+IF(J158="",0,J158*5)+IF(L158="",0,L158*4)+IF(N158="",0,N158*4)+IF(P158="",0,P158*5))/27)</f>
        <v/>
      </c>
      <c r="S158" s="11">
        <f>IF(OR(City_Inputs!$S158="",Norm_Stats!$F$7="",Norm_Stats!$G$7="",Norm_Stats!$G$7=Norm_Stats!$F$7),"",MAX(0,MIN(100,100*(Norm_Stats!$G$7-MIN(MAX(City_Inputs!$S158,Norm_Stats!$F$7),Norm_Stats!$G$7))/(Norm_Stats!$G$7-Norm_Stats!$F$7))))</f>
        <v/>
      </c>
      <c r="T158" s="14">
        <f>IF(S158="","",1)</f>
        <v/>
      </c>
      <c r="U158" s="11">
        <f>IF(OR(City_Inputs!$T158="",Norm_Stats!$F$8="",Norm_Stats!$G$8="",Norm_Stats!$G$8=Norm_Stats!$F$8),"",MAX(0,MIN(100,100*(MIN(MAX(City_Inputs!$T158,Norm_Stats!$F$8),Norm_Stats!$G$8)-Norm_Stats!$F$8)/(Norm_Stats!$G$8-Norm_Stats!$F$8))))</f>
        <v/>
      </c>
      <c r="V158" s="14">
        <f>IF(U158="","",1)</f>
        <v/>
      </c>
      <c r="W158" s="11">
        <f>IF(OR(City_Inputs!$U158="",Norm_Stats!$F$9="",Norm_Stats!$G$9="",Norm_Stats!$G$9=Norm_Stats!$F$9),"",MAX(0,MIN(100,100*(Norm_Stats!$G$9-MIN(MAX(City_Inputs!$U158,Norm_Stats!$F$9),Norm_Stats!$G$9))/(Norm_Stats!$G$9-Norm_Stats!$F$9))))</f>
        <v/>
      </c>
      <c r="X158" s="14">
        <f>IF(W158="","",1)</f>
        <v/>
      </c>
      <c r="Y158" s="11">
        <f>IF(OR(City_Inputs!$V158="",Norm_Stats!$F$10="",Norm_Stats!$G$10="",Norm_Stats!$G$10=Norm_Stats!$F$10),"",MAX(0,MIN(100,100*(MIN(MAX(City_Inputs!$V158,Norm_Stats!$F$10),Norm_Stats!$G$10)-Norm_Stats!$F$10)/(Norm_Stats!$G$10-Norm_Stats!$F$10))))</f>
        <v/>
      </c>
      <c r="Z158" s="14">
        <f>IF(Y158="","",1)</f>
        <v/>
      </c>
      <c r="AA158" s="11">
        <f>IF(OR(City_Inputs!$W158="",Norm_Stats!$F$11="",Norm_Stats!$G$11="",Norm_Stats!$G$11=Norm_Stats!$F$11),"",MAX(0,MIN(100,100*(MIN(MAX(City_Inputs!$W158,Norm_Stats!$F$11),Norm_Stats!$G$11)-Norm_Stats!$F$11)/(Norm_Stats!$G$11-Norm_Stats!$F$11))))</f>
        <v/>
      </c>
      <c r="AB158" s="14">
        <f>IF(AA158="","",1)</f>
        <v/>
      </c>
      <c r="AC158" s="11">
        <f>IF(OR(City_Inputs!$X158="",Norm_Stats!$F$12="",Norm_Stats!$G$12="",Norm_Stats!$G$12=Norm_Stats!$F$12),"",MAX(0,MIN(100,100*(MIN(MAX(City_Inputs!$X158,Norm_Stats!$F$12),Norm_Stats!$G$12)-Norm_Stats!$F$12)/(Norm_Stats!$G$12-Norm_Stats!$F$12))))</f>
        <v/>
      </c>
      <c r="AD158" s="11">
        <f>IF(AC158="","",1)</f>
        <v/>
      </c>
      <c r="AE158" s="15">
        <f>IF((IF(S158="",0,5)+IF(U158="",0,5)+IF(W158="",0,4)+IF(Y158="",0,4)+IF(AA158="",0,4)+IF(AC158="",0,5))=0,"",(IF(S158="",0,S158*5)+IF(U158="",0,U158*5)+IF(W158="",0,W158*4)+IF(Y158="",0,Y158*4)+IF(AA158="",0,AA158*4)+IF(AC158="",0,AC158*5))/(IF(S158="",0,5)+IF(U158="",0,5)+IF(W158="",0,4)+IF(Y158="",0,4)+IF(AA158="",0,4)+IF(AC158="",0,5)))</f>
        <v/>
      </c>
      <c r="AF158" s="14">
        <f>IF((IF(T158="",0,5)+IF(V158="",0,5)+IF(X158="",0,4)+IF(Z158="",0,4)+IF(AB158="",0,4)+IF(AD158="",0,5))=0,"",(IF(T158="",0,T158*5)+IF(V158="",0,V158*5)+IF(X158="",0,X158*4)+IF(Z158="",0,Z158*4)+IF(AB158="",0,AB158*4)+IF(AD158="",0,AD158*5))/27)</f>
        <v/>
      </c>
      <c r="AG158" s="11">
        <f>IF(OR(City_Inputs!$Y158="",Norm_Stats!$F$13="",Norm_Stats!$G$13="",Norm_Stats!$G$13=Norm_Stats!$F$13),"",MAX(0,MIN(100,100*(MIN(MAX(City_Inputs!$Y158,Norm_Stats!$F$13),Norm_Stats!$G$13)-Norm_Stats!$F$13)/(Norm_Stats!$G$13-Norm_Stats!$F$13))))</f>
        <v/>
      </c>
      <c r="AH158" s="14">
        <f>IF(AG158="","",1)</f>
        <v/>
      </c>
      <c r="AI158" s="11">
        <f>IF(OR(City_Inputs!$Z158="",Norm_Stats!$F$14="",Norm_Stats!$G$14="",Norm_Stats!$G$14=Norm_Stats!$F$14),"",MAX(0,MIN(100,100*(MIN(MAX(City_Inputs!$Z158,Norm_Stats!$F$14),Norm_Stats!$G$14)-Norm_Stats!$F$14)/(Norm_Stats!$G$14-Norm_Stats!$F$14))))</f>
        <v/>
      </c>
      <c r="AJ158" s="14">
        <f>IF(AI158="","",1)</f>
        <v/>
      </c>
      <c r="AK158" s="11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(IF(OR(City_Inputs!$AA158="",Norm_Stats!$F$15="",Norm_Stats!$G$15="",Norm_Stats!$G$15=Norm_Stats!$F$15),"",MAX(0,MIN(100,100*(MIN(MAX(City_Inputs!$AA158,Norm_Stats!$F$15),Norm_Stats!$G$15)-Norm_Stats!$F$15)/(Norm_Stats!$G$15-Norm_Stats!$F$15)))))*0.7)+IF((IF(OR(City_Inputs!$AL158="",Norm_Stats!$F$16="",Norm_Stats!$G$16="",Norm_Stats!$G$16=Norm_Stats!$F$16),"",MAX(0,MIN(100,100*(Norm_Stats!$G$16-MIN(MAX(City_Inputs!$AL158,Norm_Stats!$F$16),Norm_Stats!$G$16))/(Norm_Stats!$G$16-Norm_Stats!$F$16)))))="",0,(IF(OR(City_Inputs!$AL158="",Norm_Stats!$F$16="",Norm_Stats!$G$16="",Norm_Stats!$G$16=Norm_Stats!$F$16),"",MAX(0,MIN(100,100*(Norm_Stats!$G$16-MIN(MAX(City_Inputs!$AL158,Norm_Stats!$F$16),Norm_Stats!$G$16))/(Norm_Stats!$G$16-Norm_Stats!$F$16)))))*0.3))/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L158" s="14">
        <f>IF(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=0,"",(IF((IF(OR(City_Inputs!$AA158="",Norm_Stats!$F$15="",Norm_Stats!$G$15="",Norm_Stats!$G$15=Norm_Stats!$F$15),"",MAX(0,MIN(100,100*(MIN(MAX(City_Inputs!$AA158,Norm_Stats!$F$15),Norm_Stats!$G$15)-Norm_Stats!$F$15)/(Norm_Stats!$G$15-Norm_Stats!$F$15)))))="",0,0.7)+IF((IF(OR(City_Inputs!$AL158="",Norm_Stats!$F$16="",Norm_Stats!$G$16="",Norm_Stats!$G$16=Norm_Stats!$F$16),"",MAX(0,MIN(100,100*(Norm_Stats!$G$16-MIN(MAX(City_Inputs!$AL158,Norm_Stats!$F$16),Norm_Stats!$G$16))/(Norm_Stats!$G$16-Norm_Stats!$F$16)))))="",0,0.3)))</f>
        <v/>
      </c>
      <c r="AM158" s="15">
        <f>IF((IF(AG158="",0,8)+IF(AI158="",0,6)+IF(AK158="",0,4))=0,"",(IF(AG158="",0,AG158*8)+IF(AI158="",0,AI158*6)+IF(AK158="",0,AK158*4))/(IF(AG158="",0,8)+IF(AI158="",0,6)+IF(AK158="",0,4)))</f>
        <v/>
      </c>
      <c r="AN158" s="14">
        <f>IF((IF(AH158="",0,8)+IF(AJ158="",0,6)+IF(AL158="",0,4))=0,"",(IF(AH158="",0,AH158*8)+IF(AJ158="",0,AJ158*6)+IF(AL158="",0,AL158*4))/18)</f>
        <v/>
      </c>
      <c r="AO158" s="11">
        <f>IF(OR(City_Inputs!$AB158="",Norm_Stats!$F$17="",Norm_Stats!$G$17="",Norm_Stats!$G$17=Norm_Stats!$F$17),"",MAX(0,MIN(100,100*(MIN(MAX(City_Inputs!$AB158,Norm_Stats!$F$17),Norm_Stats!$G$17)-Norm_Stats!$F$17)/(Norm_Stats!$G$17-Norm_Stats!$F$17))))</f>
        <v/>
      </c>
      <c r="AP158" s="14">
        <f>IF(AO158="","",1)</f>
        <v/>
      </c>
      <c r="AQ158" s="11">
        <f>IF(OR(City_Inputs!$AC158="",Norm_Stats!$F$18="",Norm_Stats!$G$18="",Norm_Stats!$G$18=Norm_Stats!$F$18),"",MAX(0,MIN(100,100*(MIN(MAX(City_Inputs!$AC158,Norm_Stats!$F$18),Norm_Stats!$G$18)-Norm_Stats!$F$18)/(Norm_Stats!$G$18-Norm_Stats!$F$18))))</f>
        <v/>
      </c>
      <c r="AR158" s="14">
        <f>IF(AQ158="","",1)</f>
        <v/>
      </c>
      <c r="AS158" s="11">
        <f>IF(OR(City_Inputs!$AD158="",Norm_Stats!$F$19="",Norm_Stats!$G$19="",Norm_Stats!$G$19=Norm_Stats!$F$19),"",MAX(0,MIN(100,100*(MIN(MAX(City_Inputs!$AD158,Norm_Stats!$F$19),Norm_Stats!$G$19)-Norm_Stats!$F$19)/(Norm_Stats!$G$19-Norm_Stats!$F$19))))</f>
        <v/>
      </c>
      <c r="AT158" s="14">
        <f>IF(AS158="","",1)</f>
        <v/>
      </c>
      <c r="AU158" s="11">
        <f>IF(OR(City_Inputs!$BJ158="",Norm_Stats!$F$26="",Norm_Stats!$G$26="",Norm_Stats!$G$26=Norm_Stats!$F$26),"",MAX(0,MIN(100,100*(MIN(MAX(City_Inputs!$BJ158,Norm_Stats!$F$26),Norm_Stats!$G$26)-Norm_Stats!$F$26)/(Norm_Stats!$G$26-Norm_Stats!$F$26))))</f>
        <v/>
      </c>
      <c r="AV158" s="11">
        <f>IF(AU158="","",1)</f>
        <v/>
      </c>
      <c r="AW158" s="15">
        <f>IF((IF(AO158="",0,5)+IF(AQ158="",0,5)+IF(AS158="",0,5)+IF(AU158="",0,4))=0,"",(IF(AO158="",0,AO158*5)+IF(AQ158="",0,AQ158*5)+IF(AS158="",0,AS158*5)+IF(AU158="",0,AU158*4))/(IF(AO158="",0,5)+IF(AQ158="",0,5)+IF(AS158="",0,5)+IF(AU158="",0,4)))</f>
        <v/>
      </c>
      <c r="AX158" s="14">
        <f>IF((IF(AP158="",0,5)+IF(AR158="",0,5)+IF(AT158="",0,5)+IF(AV158="",0,4))=0,"",(IF(AP158="",0,AP158*5)+IF(AR158="",0,AR158*5)+IF(AT158="",0,AT158*5)+IF(AV158="",0,AV158*4))/19)</f>
        <v/>
      </c>
      <c r="AY158" s="11">
        <f>IF(OR(City_Inputs!$AE158="",Norm_Stats!$F$20="",Norm_Stats!$G$20="",Norm_Stats!$G$20=Norm_Stats!$F$20),"",MAX(0,MIN(100,100*(MIN(MAX(City_Inputs!$AE158,Norm_Stats!$F$20),Norm_Stats!$G$20)-Norm_Stats!$F$20)/(Norm_Stats!$G$20-Norm_Stats!$F$20))))</f>
        <v/>
      </c>
      <c r="AZ158" s="14">
        <f>IF(AY158="","",1)</f>
        <v/>
      </c>
      <c r="BA158" s="11">
        <f>IF(OR(City_Inputs!$AF158="",Norm_Stats!$F$21="",Norm_Stats!$G$21="",Norm_Stats!$G$21=Norm_Stats!$F$21),"",MAX(0,MIN(100,100*(MIN(MAX(City_Inputs!$AF158,Norm_Stats!$F$21),Norm_Stats!$G$21)-Norm_Stats!$F$21)/(Norm_Stats!$G$21-Norm_Stats!$F$21))))</f>
        <v/>
      </c>
      <c r="BB158" s="14">
        <f>IF(BA158="","",1)</f>
        <v/>
      </c>
      <c r="BC158" s="11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(IF(OR(City_Inputs!$AG158="",Norm_Stats!$F$22="",Norm_Stats!$G$22="",Norm_Stats!$G$22=Norm_Stats!$F$22),"",MAX(0,MIN(100,100*(MIN(MAX(City_Inputs!$AG158,Norm_Stats!$F$22),Norm_Stats!$G$22)-Norm_Stats!$F$22)/(Norm_Stats!$G$22-Norm_Stats!$F$22)))))*0.5)+IF((IF(OR(City_Inputs!$AJ158="",Norm_Stats!$F$23="",Norm_Stats!$G$23="",Norm_Stats!$G$23=Norm_Stats!$F$23),"",MAX(0,MIN(100,100*(MIN(MAX(City_Inputs!$AJ158,Norm_Stats!$F$23),Norm_Stats!$G$23)-Norm_Stats!$F$23)/(Norm_Stats!$G$23-Norm_Stats!$F$23)))))="",0,(IF(OR(City_Inputs!$AJ158="",Norm_Stats!$F$23="",Norm_Stats!$G$23="",Norm_Stats!$G$23=Norm_Stats!$F$23),"",MAX(0,MIN(100,100*(MIN(MAX(City_Inputs!$AJ158,Norm_Stats!$F$23),Norm_Stats!$G$23)-Norm_Stats!$F$23)/(Norm_Stats!$G$23-Norm_Stats!$F$23)))))*0.3)+IF((IF(OR(City_Inputs!$AK158="",Norm_Stats!$F$24="",Norm_Stats!$G$24="",Norm_Stats!$G$24=Norm_Stats!$F$24),"",MAX(0,MIN(100,100*(MIN(MAX(City_Inputs!$AK158,Norm_Stats!$F$24),Norm_Stats!$G$24)-Norm_Stats!$F$24)/(Norm_Stats!$G$24-Norm_Stats!$F$24)))))="",0,(IF(OR(City_Inputs!$AK158="",Norm_Stats!$F$24="",Norm_Stats!$G$24="",Norm_Stats!$G$24=Norm_Stats!$F$24),"",MAX(0,MIN(100,100*(MIN(MAX(City_Inputs!$AK158,Norm_Stats!$F$24),Norm_Stats!$G$24)-Norm_Stats!$F$24)/(Norm_Stats!$G$24-Norm_Stats!$F$24)))))*0.2))/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D158" s="14">
        <f>IF(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=0,"",(IF((IF(OR(City_Inputs!$AG158="",Norm_Stats!$F$22="",Norm_Stats!$G$22="",Norm_Stats!$G$22=Norm_Stats!$F$22),"",MAX(0,MIN(100,100*(MIN(MAX(City_Inputs!$AG158,Norm_Stats!$F$22),Norm_Stats!$G$22)-Norm_Stats!$F$22)/(Norm_Stats!$G$22-Norm_Stats!$F$22)))))="",0,0.5)+IF((IF(OR(City_Inputs!$AJ158="",Norm_Stats!$F$23="",Norm_Stats!$G$23="",Norm_Stats!$G$23=Norm_Stats!$F$23),"",MAX(0,MIN(100,100*(MIN(MAX(City_Inputs!$AJ158,Norm_Stats!$F$23),Norm_Stats!$G$23)-Norm_Stats!$F$23)/(Norm_Stats!$G$23-Norm_Stats!$F$23)))))="",0,0.3)+IF((IF(OR(City_Inputs!$AK158="",Norm_Stats!$F$24="",Norm_Stats!$G$24="",Norm_Stats!$G$24=Norm_Stats!$F$24),"",MAX(0,MIN(100,100*(MIN(MAX(City_Inputs!$AK158,Norm_Stats!$F$24),Norm_Stats!$G$24)-Norm_Stats!$F$24)/(Norm_Stats!$G$24-Norm_Stats!$F$24)))))="",0,0.2)))</f>
        <v/>
      </c>
      <c r="BE158" s="11">
        <f>IF(OR(City_Inputs!$AH158="",Norm_Stats!$F$25="",Norm_Stats!$G$25="",Norm_Stats!$G$25=Norm_Stats!$F$25),"",MAX(0,MIN(100,100*(Norm_Stats!$G$25-MIN(MAX(City_Inputs!$AH158,Norm_Stats!$F$25),Norm_Stats!$G$25))/(Norm_Stats!$G$25-Norm_Stats!$F$25))))</f>
        <v/>
      </c>
      <c r="BF158" s="14">
        <f>IF(BE158="","",1)</f>
        <v/>
      </c>
      <c r="BG158" s="15">
        <f>IF((IF(AY158="",0,6)+IF(BA158="",0,5)+IF(BC158="",0,5)+IF(BE158="",0,4))=0,"",(IF(AY158="",0,AY158*6)+IF(BA158="",0,BA158*5)+IF(BC158="",0,BC158*5)+IF(BE158="",0,BE158*4))/(IF(AY158="",0,6)+IF(BA158="",0,5)+IF(BC158="",0,5)+IF(BE158="",0,4)))</f>
        <v/>
      </c>
      <c r="BH158" s="14">
        <f>IF((IF(AZ158="",0,6)+IF(BB158="",0,5)+IF(BD158="",0,5)+IF(BF158="",0,4))=0,"",(IF(AZ158="",0,AZ158*6)+IF(BB158="",0,BB158*5)+IF(BD158="",0,BD158*5)+IF(BF158="",0,BF158*4))/20)</f>
        <v/>
      </c>
      <c r="BI158" s="14">
        <f>IF(AND(R158="",AF158="",AN158="",AX158="",BH158=""),"",((R158*25)+(AF158*22)+(AN158*18)+(AX158*15)+(BH158*20))/100)</f>
        <v/>
      </c>
      <c r="BJ158" s="11">
        <f>IF(BI158="","",IF(BI158&gt;=0.75,"A",IF(BI158&gt;=0.5,"B",IF(BI158&gt;=0.35,"C","Watchlist"))))</f>
        <v/>
      </c>
      <c r="BK158" s="11">
        <f>IF(OR(BI158="",BI158&lt;0.5,R158="",R158&lt;0.35,AF158="",AF158&lt;0.35,AN158="",AN158&lt;0.35,AX158="",AX158&lt;0.35,BH158="",BH158&lt;0.35),"Watchlist","Ranked")</f>
        <v/>
      </c>
      <c r="BL158" s="15">
        <f>IF(AND(Q158="",AE158="",AM158="",AW158="",BG158=""),"",(IF(Q158="",0,Q158*25)+IF(AE158="",0,AE158*22)+IF(AM158="",0,AM158*18)+IF(AW158="",0,AW158*15)+IF(BG158="",0,BG158*20))/(IF(Q158="",0,25)+IF(AE158="",0,22)+IF(AM158="",0,18)+IF(AW158="",0,15)+IF(BG158="",0,20)))</f>
        <v/>
      </c>
      <c r="BM158" s="11">
        <f>IF(BK158="Ranked",1+COUNTIFS($BK$2:$BK$158,"Ranked",$BL$2:$BL$158,"&gt;"&amp;BL158),"")</f>
        <v/>
      </c>
      <c r="BN158" s="11">
        <f>City_Inputs!$AI158</f>
        <v/>
      </c>
    </row>
  </sheetData>
  <autoFilter ref="A1:BN15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3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</cols>
  <sheetData>
    <row r="1">
      <c r="A1" s="16" t="inlineStr">
        <is>
          <t>Ranked Cities</t>
        </is>
      </c>
    </row>
    <row r="2">
      <c r="A2" s="6" t="inlineStr">
        <is>
          <t>leaderboard_scope</t>
        </is>
      </c>
      <c r="B2" s="6" t="inlineStr">
        <is>
          <t>target_rank</t>
        </is>
      </c>
      <c r="C2" s="6" t="inlineStr">
        <is>
          <t>rank</t>
        </is>
      </c>
      <c r="D2" s="6" t="inlineStr">
        <is>
          <t>display_name</t>
        </is>
      </c>
      <c r="E2" s="6" t="inlineStr">
        <is>
          <t>country</t>
        </is>
      </c>
      <c r="F2" s="6" t="inlineStr">
        <is>
          <t>cohort</t>
        </is>
      </c>
      <c r="G2" s="6" t="inlineStr">
        <is>
          <t>manifest_status</t>
        </is>
      </c>
      <c r="H2" s="6" t="inlineStr">
        <is>
          <t>coverage_grade</t>
        </is>
      </c>
      <c r="I2" s="6" t="inlineStr">
        <is>
          <t>slic_score</t>
        </is>
      </c>
      <c r="J2" s="6" t="inlineStr">
        <is>
          <t>pressure_pillar_score</t>
        </is>
      </c>
      <c r="K2" s="6" t="inlineStr">
        <is>
          <t>viability_pillar_score</t>
        </is>
      </c>
      <c r="L2" s="6" t="inlineStr">
        <is>
          <t>capability_pillar_score</t>
        </is>
      </c>
      <c r="M2" s="6" t="inlineStr">
        <is>
          <t>community_pillar_score</t>
        </is>
      </c>
      <c r="N2" s="6" t="inlineStr">
        <is>
          <t>creative_pillar_score</t>
        </is>
      </c>
    </row>
    <row r="3">
      <c r="A3" t="inlineStr">
        <is>
          <t>Ranked</t>
        </is>
      </c>
      <c r="B3" t="n">
        <v>1</v>
      </c>
      <c r="C3">
        <f>IFERROR(INDEX(Scores!$BM$2:$BM$158,MATCH($B3,Scores!$BM$2:$BM$158,0)),"")</f>
        <v/>
      </c>
      <c r="D3">
        <f>IFERROR(INDEX(Scores!$B$2:$B$158,MATCH($B3,Scores!$BM$2:$BM$158,0)),"")</f>
        <v/>
      </c>
      <c r="E3">
        <f>IFERROR(INDEX(Scores!$C$2:$C$158,MATCH($B3,Scores!$BM$2:$BM$158,0)),"")</f>
        <v/>
      </c>
      <c r="F3">
        <f>IFERROR(INDEX(Scores!$D$2:$D$158,MATCH($B3,Scores!$BM$2:$BM$158,0)),"")</f>
        <v/>
      </c>
      <c r="G3">
        <f>IFERROR(INDEX(Scores!$E$2:$E$158,MATCH($B3,Scores!$BM$2:$BM$158,0)),"")</f>
        <v/>
      </c>
      <c r="H3">
        <f>IFERROR(INDEX(Scores!$BJ$2:$BJ$158,MATCH($B3,Scores!$BM$2:$BM$158,0)),"")</f>
        <v/>
      </c>
      <c r="I3">
        <f>IFERROR(INDEX(Scores!$BL$2:$BL$158,MATCH($B3,Scores!$BM$2:$BM$158,0)),"")</f>
        <v/>
      </c>
      <c r="J3">
        <f>IFERROR(INDEX(Scores!$Q$2:$Q$158,MATCH($B3,Scores!$BM$2:$BM$158,0)),"")</f>
        <v/>
      </c>
      <c r="K3">
        <f>IFERROR(INDEX(Scores!$AE$2:$AE$158,MATCH($B3,Scores!$BM$2:$BM$158,0)),"")</f>
        <v/>
      </c>
      <c r="L3">
        <f>IFERROR(INDEX(Scores!$AM$2:$AM$158,MATCH($B3,Scores!$BM$2:$BM$158,0)),"")</f>
        <v/>
      </c>
      <c r="M3">
        <f>IFERROR(INDEX(Scores!$AW$2:$AW$158,MATCH($B3,Scores!$BM$2:$BM$158,0)),"")</f>
        <v/>
      </c>
      <c r="N3">
        <f>IFERROR(INDEX(Scores!$BG$2:$BG$158,MATCH($B3,Scores!$BM$2:$BM$158,0)),"")</f>
        <v/>
      </c>
    </row>
    <row r="4">
      <c r="A4" t="inlineStr">
        <is>
          <t>Ranked</t>
        </is>
      </c>
      <c r="B4" t="n">
        <v>2</v>
      </c>
      <c r="C4">
        <f>IFERROR(INDEX(Scores!$BM$2:$BM$158,MATCH($B4,Scores!$BM$2:$BM$158,0)),"")</f>
        <v/>
      </c>
      <c r="D4">
        <f>IFERROR(INDEX(Scores!$B$2:$B$158,MATCH($B4,Scores!$BM$2:$BM$158,0)),"")</f>
        <v/>
      </c>
      <c r="E4">
        <f>IFERROR(INDEX(Scores!$C$2:$C$158,MATCH($B4,Scores!$BM$2:$BM$158,0)),"")</f>
        <v/>
      </c>
      <c r="F4">
        <f>IFERROR(INDEX(Scores!$D$2:$D$158,MATCH($B4,Scores!$BM$2:$BM$158,0)),"")</f>
        <v/>
      </c>
      <c r="G4">
        <f>IFERROR(INDEX(Scores!$E$2:$E$158,MATCH($B4,Scores!$BM$2:$BM$158,0)),"")</f>
        <v/>
      </c>
      <c r="H4">
        <f>IFERROR(INDEX(Scores!$BJ$2:$BJ$158,MATCH($B4,Scores!$BM$2:$BM$158,0)),"")</f>
        <v/>
      </c>
      <c r="I4">
        <f>IFERROR(INDEX(Scores!$BL$2:$BL$158,MATCH($B4,Scores!$BM$2:$BM$158,0)),"")</f>
        <v/>
      </c>
      <c r="J4">
        <f>IFERROR(INDEX(Scores!$Q$2:$Q$158,MATCH($B4,Scores!$BM$2:$BM$158,0)),"")</f>
        <v/>
      </c>
      <c r="K4">
        <f>IFERROR(INDEX(Scores!$AE$2:$AE$158,MATCH($B4,Scores!$BM$2:$BM$158,0)),"")</f>
        <v/>
      </c>
      <c r="L4">
        <f>IFERROR(INDEX(Scores!$AM$2:$AM$158,MATCH($B4,Scores!$BM$2:$BM$158,0)),"")</f>
        <v/>
      </c>
      <c r="M4">
        <f>IFERROR(INDEX(Scores!$AW$2:$AW$158,MATCH($B4,Scores!$BM$2:$BM$158,0)),"")</f>
        <v/>
      </c>
      <c r="N4">
        <f>IFERROR(INDEX(Scores!$BG$2:$BG$158,MATCH($B4,Scores!$BM$2:$BM$158,0)),"")</f>
        <v/>
      </c>
    </row>
    <row r="5">
      <c r="A5" t="inlineStr">
        <is>
          <t>Ranked</t>
        </is>
      </c>
      <c r="B5" t="n">
        <v>3</v>
      </c>
      <c r="C5">
        <f>IFERROR(INDEX(Scores!$BM$2:$BM$158,MATCH($B5,Scores!$BM$2:$BM$158,0)),"")</f>
        <v/>
      </c>
      <c r="D5">
        <f>IFERROR(INDEX(Scores!$B$2:$B$158,MATCH($B5,Scores!$BM$2:$BM$158,0)),"")</f>
        <v/>
      </c>
      <c r="E5">
        <f>IFERROR(INDEX(Scores!$C$2:$C$158,MATCH($B5,Scores!$BM$2:$BM$158,0)),"")</f>
        <v/>
      </c>
      <c r="F5">
        <f>IFERROR(INDEX(Scores!$D$2:$D$158,MATCH($B5,Scores!$BM$2:$BM$158,0)),"")</f>
        <v/>
      </c>
      <c r="G5">
        <f>IFERROR(INDEX(Scores!$E$2:$E$158,MATCH($B5,Scores!$BM$2:$BM$158,0)),"")</f>
        <v/>
      </c>
      <c r="H5">
        <f>IFERROR(INDEX(Scores!$BJ$2:$BJ$158,MATCH($B5,Scores!$BM$2:$BM$158,0)),"")</f>
        <v/>
      </c>
      <c r="I5">
        <f>IFERROR(INDEX(Scores!$BL$2:$BL$158,MATCH($B5,Scores!$BM$2:$BM$158,0)),"")</f>
        <v/>
      </c>
      <c r="J5">
        <f>IFERROR(INDEX(Scores!$Q$2:$Q$158,MATCH($B5,Scores!$BM$2:$BM$158,0)),"")</f>
        <v/>
      </c>
      <c r="K5">
        <f>IFERROR(INDEX(Scores!$AE$2:$AE$158,MATCH($B5,Scores!$BM$2:$BM$158,0)),"")</f>
        <v/>
      </c>
      <c r="L5">
        <f>IFERROR(INDEX(Scores!$AM$2:$AM$158,MATCH($B5,Scores!$BM$2:$BM$158,0)),"")</f>
        <v/>
      </c>
      <c r="M5">
        <f>IFERROR(INDEX(Scores!$AW$2:$AW$158,MATCH($B5,Scores!$BM$2:$BM$158,0)),"")</f>
        <v/>
      </c>
      <c r="N5">
        <f>IFERROR(INDEX(Scores!$BG$2:$BG$158,MATCH($B5,Scores!$BM$2:$BM$158,0)),"")</f>
        <v/>
      </c>
    </row>
    <row r="6">
      <c r="A6" t="inlineStr">
        <is>
          <t>Ranked</t>
        </is>
      </c>
      <c r="B6" t="n">
        <v>4</v>
      </c>
      <c r="C6">
        <f>IFERROR(INDEX(Scores!$BM$2:$BM$158,MATCH($B6,Scores!$BM$2:$BM$158,0)),"")</f>
        <v/>
      </c>
      <c r="D6">
        <f>IFERROR(INDEX(Scores!$B$2:$B$158,MATCH($B6,Scores!$BM$2:$BM$158,0)),"")</f>
        <v/>
      </c>
      <c r="E6">
        <f>IFERROR(INDEX(Scores!$C$2:$C$158,MATCH($B6,Scores!$BM$2:$BM$158,0)),"")</f>
        <v/>
      </c>
      <c r="F6">
        <f>IFERROR(INDEX(Scores!$D$2:$D$158,MATCH($B6,Scores!$BM$2:$BM$158,0)),"")</f>
        <v/>
      </c>
      <c r="G6">
        <f>IFERROR(INDEX(Scores!$E$2:$E$158,MATCH($B6,Scores!$BM$2:$BM$158,0)),"")</f>
        <v/>
      </c>
      <c r="H6">
        <f>IFERROR(INDEX(Scores!$BJ$2:$BJ$158,MATCH($B6,Scores!$BM$2:$BM$158,0)),"")</f>
        <v/>
      </c>
      <c r="I6">
        <f>IFERROR(INDEX(Scores!$BL$2:$BL$158,MATCH($B6,Scores!$BM$2:$BM$158,0)),"")</f>
        <v/>
      </c>
      <c r="J6">
        <f>IFERROR(INDEX(Scores!$Q$2:$Q$158,MATCH($B6,Scores!$BM$2:$BM$158,0)),"")</f>
        <v/>
      </c>
      <c r="K6">
        <f>IFERROR(INDEX(Scores!$AE$2:$AE$158,MATCH($B6,Scores!$BM$2:$BM$158,0)),"")</f>
        <v/>
      </c>
      <c r="L6">
        <f>IFERROR(INDEX(Scores!$AM$2:$AM$158,MATCH($B6,Scores!$BM$2:$BM$158,0)),"")</f>
        <v/>
      </c>
      <c r="M6">
        <f>IFERROR(INDEX(Scores!$AW$2:$AW$158,MATCH($B6,Scores!$BM$2:$BM$158,0)),"")</f>
        <v/>
      </c>
      <c r="N6">
        <f>IFERROR(INDEX(Scores!$BG$2:$BG$158,MATCH($B6,Scores!$BM$2:$BM$158,0)),"")</f>
        <v/>
      </c>
    </row>
    <row r="7">
      <c r="A7" t="inlineStr">
        <is>
          <t>Ranked</t>
        </is>
      </c>
      <c r="B7" t="n">
        <v>5</v>
      </c>
      <c r="C7">
        <f>IFERROR(INDEX(Scores!$BM$2:$BM$158,MATCH($B7,Scores!$BM$2:$BM$158,0)),"")</f>
        <v/>
      </c>
      <c r="D7">
        <f>IFERROR(INDEX(Scores!$B$2:$B$158,MATCH($B7,Scores!$BM$2:$BM$158,0)),"")</f>
        <v/>
      </c>
      <c r="E7">
        <f>IFERROR(INDEX(Scores!$C$2:$C$158,MATCH($B7,Scores!$BM$2:$BM$158,0)),"")</f>
        <v/>
      </c>
      <c r="F7">
        <f>IFERROR(INDEX(Scores!$D$2:$D$158,MATCH($B7,Scores!$BM$2:$BM$158,0)),"")</f>
        <v/>
      </c>
      <c r="G7">
        <f>IFERROR(INDEX(Scores!$E$2:$E$158,MATCH($B7,Scores!$BM$2:$BM$158,0)),"")</f>
        <v/>
      </c>
      <c r="H7">
        <f>IFERROR(INDEX(Scores!$BJ$2:$BJ$158,MATCH($B7,Scores!$BM$2:$BM$158,0)),"")</f>
        <v/>
      </c>
      <c r="I7">
        <f>IFERROR(INDEX(Scores!$BL$2:$BL$158,MATCH($B7,Scores!$BM$2:$BM$158,0)),"")</f>
        <v/>
      </c>
      <c r="J7">
        <f>IFERROR(INDEX(Scores!$Q$2:$Q$158,MATCH($B7,Scores!$BM$2:$BM$158,0)),"")</f>
        <v/>
      </c>
      <c r="K7">
        <f>IFERROR(INDEX(Scores!$AE$2:$AE$158,MATCH($B7,Scores!$BM$2:$BM$158,0)),"")</f>
        <v/>
      </c>
      <c r="L7">
        <f>IFERROR(INDEX(Scores!$AM$2:$AM$158,MATCH($B7,Scores!$BM$2:$BM$158,0)),"")</f>
        <v/>
      </c>
      <c r="M7">
        <f>IFERROR(INDEX(Scores!$AW$2:$AW$158,MATCH($B7,Scores!$BM$2:$BM$158,0)),"")</f>
        <v/>
      </c>
      <c r="N7">
        <f>IFERROR(INDEX(Scores!$BG$2:$BG$158,MATCH($B7,Scores!$BM$2:$BM$158,0)),"")</f>
        <v/>
      </c>
    </row>
    <row r="8">
      <c r="A8" t="inlineStr">
        <is>
          <t>Ranked</t>
        </is>
      </c>
      <c r="B8" t="n">
        <v>6</v>
      </c>
      <c r="C8">
        <f>IFERROR(INDEX(Scores!$BM$2:$BM$158,MATCH($B8,Scores!$BM$2:$BM$158,0)),"")</f>
        <v/>
      </c>
      <c r="D8">
        <f>IFERROR(INDEX(Scores!$B$2:$B$158,MATCH($B8,Scores!$BM$2:$BM$158,0)),"")</f>
        <v/>
      </c>
      <c r="E8">
        <f>IFERROR(INDEX(Scores!$C$2:$C$158,MATCH($B8,Scores!$BM$2:$BM$158,0)),"")</f>
        <v/>
      </c>
      <c r="F8">
        <f>IFERROR(INDEX(Scores!$D$2:$D$158,MATCH($B8,Scores!$BM$2:$BM$158,0)),"")</f>
        <v/>
      </c>
      <c r="G8">
        <f>IFERROR(INDEX(Scores!$E$2:$E$158,MATCH($B8,Scores!$BM$2:$BM$158,0)),"")</f>
        <v/>
      </c>
      <c r="H8">
        <f>IFERROR(INDEX(Scores!$BJ$2:$BJ$158,MATCH($B8,Scores!$BM$2:$BM$158,0)),"")</f>
        <v/>
      </c>
      <c r="I8">
        <f>IFERROR(INDEX(Scores!$BL$2:$BL$158,MATCH($B8,Scores!$BM$2:$BM$158,0)),"")</f>
        <v/>
      </c>
      <c r="J8">
        <f>IFERROR(INDEX(Scores!$Q$2:$Q$158,MATCH($B8,Scores!$BM$2:$BM$158,0)),"")</f>
        <v/>
      </c>
      <c r="K8">
        <f>IFERROR(INDEX(Scores!$AE$2:$AE$158,MATCH($B8,Scores!$BM$2:$BM$158,0)),"")</f>
        <v/>
      </c>
      <c r="L8">
        <f>IFERROR(INDEX(Scores!$AM$2:$AM$158,MATCH($B8,Scores!$BM$2:$BM$158,0)),"")</f>
        <v/>
      </c>
      <c r="M8">
        <f>IFERROR(INDEX(Scores!$AW$2:$AW$158,MATCH($B8,Scores!$BM$2:$BM$158,0)),"")</f>
        <v/>
      </c>
      <c r="N8">
        <f>IFERROR(INDEX(Scores!$BG$2:$BG$158,MATCH($B8,Scores!$BM$2:$BM$158,0)),"")</f>
        <v/>
      </c>
    </row>
    <row r="9">
      <c r="A9" t="inlineStr">
        <is>
          <t>Ranked</t>
        </is>
      </c>
      <c r="B9" t="n">
        <v>7</v>
      </c>
      <c r="C9">
        <f>IFERROR(INDEX(Scores!$BM$2:$BM$158,MATCH($B9,Scores!$BM$2:$BM$158,0)),"")</f>
        <v/>
      </c>
      <c r="D9">
        <f>IFERROR(INDEX(Scores!$B$2:$B$158,MATCH($B9,Scores!$BM$2:$BM$158,0)),"")</f>
        <v/>
      </c>
      <c r="E9">
        <f>IFERROR(INDEX(Scores!$C$2:$C$158,MATCH($B9,Scores!$BM$2:$BM$158,0)),"")</f>
        <v/>
      </c>
      <c r="F9">
        <f>IFERROR(INDEX(Scores!$D$2:$D$158,MATCH($B9,Scores!$BM$2:$BM$158,0)),"")</f>
        <v/>
      </c>
      <c r="G9">
        <f>IFERROR(INDEX(Scores!$E$2:$E$158,MATCH($B9,Scores!$BM$2:$BM$158,0)),"")</f>
        <v/>
      </c>
      <c r="H9">
        <f>IFERROR(INDEX(Scores!$BJ$2:$BJ$158,MATCH($B9,Scores!$BM$2:$BM$158,0)),"")</f>
        <v/>
      </c>
      <c r="I9">
        <f>IFERROR(INDEX(Scores!$BL$2:$BL$158,MATCH($B9,Scores!$BM$2:$BM$158,0)),"")</f>
        <v/>
      </c>
      <c r="J9">
        <f>IFERROR(INDEX(Scores!$Q$2:$Q$158,MATCH($B9,Scores!$BM$2:$BM$158,0)),"")</f>
        <v/>
      </c>
      <c r="K9">
        <f>IFERROR(INDEX(Scores!$AE$2:$AE$158,MATCH($B9,Scores!$BM$2:$BM$158,0)),"")</f>
        <v/>
      </c>
      <c r="L9">
        <f>IFERROR(INDEX(Scores!$AM$2:$AM$158,MATCH($B9,Scores!$BM$2:$BM$158,0)),"")</f>
        <v/>
      </c>
      <c r="M9">
        <f>IFERROR(INDEX(Scores!$AW$2:$AW$158,MATCH($B9,Scores!$BM$2:$BM$158,0)),"")</f>
        <v/>
      </c>
      <c r="N9">
        <f>IFERROR(INDEX(Scores!$BG$2:$BG$158,MATCH($B9,Scores!$BM$2:$BM$158,0)),"")</f>
        <v/>
      </c>
    </row>
    <row r="10">
      <c r="A10" t="inlineStr">
        <is>
          <t>Ranked</t>
        </is>
      </c>
      <c r="B10" t="n">
        <v>8</v>
      </c>
      <c r="C10">
        <f>IFERROR(INDEX(Scores!$BM$2:$BM$158,MATCH($B10,Scores!$BM$2:$BM$158,0)),"")</f>
        <v/>
      </c>
      <c r="D10">
        <f>IFERROR(INDEX(Scores!$B$2:$B$158,MATCH($B10,Scores!$BM$2:$BM$158,0)),"")</f>
        <v/>
      </c>
      <c r="E10">
        <f>IFERROR(INDEX(Scores!$C$2:$C$158,MATCH($B10,Scores!$BM$2:$BM$158,0)),"")</f>
        <v/>
      </c>
      <c r="F10">
        <f>IFERROR(INDEX(Scores!$D$2:$D$158,MATCH($B10,Scores!$BM$2:$BM$158,0)),"")</f>
        <v/>
      </c>
      <c r="G10">
        <f>IFERROR(INDEX(Scores!$E$2:$E$158,MATCH($B10,Scores!$BM$2:$BM$158,0)),"")</f>
        <v/>
      </c>
      <c r="H10">
        <f>IFERROR(INDEX(Scores!$BJ$2:$BJ$158,MATCH($B10,Scores!$BM$2:$BM$158,0)),"")</f>
        <v/>
      </c>
      <c r="I10">
        <f>IFERROR(INDEX(Scores!$BL$2:$BL$158,MATCH($B10,Scores!$BM$2:$BM$158,0)),"")</f>
        <v/>
      </c>
      <c r="J10">
        <f>IFERROR(INDEX(Scores!$Q$2:$Q$158,MATCH($B10,Scores!$BM$2:$BM$158,0)),"")</f>
        <v/>
      </c>
      <c r="K10">
        <f>IFERROR(INDEX(Scores!$AE$2:$AE$158,MATCH($B10,Scores!$BM$2:$BM$158,0)),"")</f>
        <v/>
      </c>
      <c r="L10">
        <f>IFERROR(INDEX(Scores!$AM$2:$AM$158,MATCH($B10,Scores!$BM$2:$BM$158,0)),"")</f>
        <v/>
      </c>
      <c r="M10">
        <f>IFERROR(INDEX(Scores!$AW$2:$AW$158,MATCH($B10,Scores!$BM$2:$BM$158,0)),"")</f>
        <v/>
      </c>
      <c r="N10">
        <f>IFERROR(INDEX(Scores!$BG$2:$BG$158,MATCH($B10,Scores!$BM$2:$BM$158,0)),"")</f>
        <v/>
      </c>
    </row>
    <row r="11">
      <c r="A11" t="inlineStr">
        <is>
          <t>Ranked</t>
        </is>
      </c>
      <c r="B11" t="n">
        <v>9</v>
      </c>
      <c r="C11">
        <f>IFERROR(INDEX(Scores!$BM$2:$BM$158,MATCH($B11,Scores!$BM$2:$BM$158,0)),"")</f>
        <v/>
      </c>
      <c r="D11">
        <f>IFERROR(INDEX(Scores!$B$2:$B$158,MATCH($B11,Scores!$BM$2:$BM$158,0)),"")</f>
        <v/>
      </c>
      <c r="E11">
        <f>IFERROR(INDEX(Scores!$C$2:$C$158,MATCH($B11,Scores!$BM$2:$BM$158,0)),"")</f>
        <v/>
      </c>
      <c r="F11">
        <f>IFERROR(INDEX(Scores!$D$2:$D$158,MATCH($B11,Scores!$BM$2:$BM$158,0)),"")</f>
        <v/>
      </c>
      <c r="G11">
        <f>IFERROR(INDEX(Scores!$E$2:$E$158,MATCH($B11,Scores!$BM$2:$BM$158,0)),"")</f>
        <v/>
      </c>
      <c r="H11">
        <f>IFERROR(INDEX(Scores!$BJ$2:$BJ$158,MATCH($B11,Scores!$BM$2:$BM$158,0)),"")</f>
        <v/>
      </c>
      <c r="I11">
        <f>IFERROR(INDEX(Scores!$BL$2:$BL$158,MATCH($B11,Scores!$BM$2:$BM$158,0)),"")</f>
        <v/>
      </c>
      <c r="J11">
        <f>IFERROR(INDEX(Scores!$Q$2:$Q$158,MATCH($B11,Scores!$BM$2:$BM$158,0)),"")</f>
        <v/>
      </c>
      <c r="K11">
        <f>IFERROR(INDEX(Scores!$AE$2:$AE$158,MATCH($B11,Scores!$BM$2:$BM$158,0)),"")</f>
        <v/>
      </c>
      <c r="L11">
        <f>IFERROR(INDEX(Scores!$AM$2:$AM$158,MATCH($B11,Scores!$BM$2:$BM$158,0)),"")</f>
        <v/>
      </c>
      <c r="M11">
        <f>IFERROR(INDEX(Scores!$AW$2:$AW$158,MATCH($B11,Scores!$BM$2:$BM$158,0)),"")</f>
        <v/>
      </c>
      <c r="N11">
        <f>IFERROR(INDEX(Scores!$BG$2:$BG$158,MATCH($B11,Scores!$BM$2:$BM$158,0)),"")</f>
        <v/>
      </c>
    </row>
    <row r="12">
      <c r="A12" t="inlineStr">
        <is>
          <t>Ranked</t>
        </is>
      </c>
      <c r="B12" t="n">
        <v>10</v>
      </c>
      <c r="C12">
        <f>IFERROR(INDEX(Scores!$BM$2:$BM$158,MATCH($B12,Scores!$BM$2:$BM$158,0)),"")</f>
        <v/>
      </c>
      <c r="D12">
        <f>IFERROR(INDEX(Scores!$B$2:$B$158,MATCH($B12,Scores!$BM$2:$BM$158,0)),"")</f>
        <v/>
      </c>
      <c r="E12">
        <f>IFERROR(INDEX(Scores!$C$2:$C$158,MATCH($B12,Scores!$BM$2:$BM$158,0)),"")</f>
        <v/>
      </c>
      <c r="F12">
        <f>IFERROR(INDEX(Scores!$D$2:$D$158,MATCH($B12,Scores!$BM$2:$BM$158,0)),"")</f>
        <v/>
      </c>
      <c r="G12">
        <f>IFERROR(INDEX(Scores!$E$2:$E$158,MATCH($B12,Scores!$BM$2:$BM$158,0)),"")</f>
        <v/>
      </c>
      <c r="H12">
        <f>IFERROR(INDEX(Scores!$BJ$2:$BJ$158,MATCH($B12,Scores!$BM$2:$BM$158,0)),"")</f>
        <v/>
      </c>
      <c r="I12">
        <f>IFERROR(INDEX(Scores!$BL$2:$BL$158,MATCH($B12,Scores!$BM$2:$BM$158,0)),"")</f>
        <v/>
      </c>
      <c r="J12">
        <f>IFERROR(INDEX(Scores!$Q$2:$Q$158,MATCH($B12,Scores!$BM$2:$BM$158,0)),"")</f>
        <v/>
      </c>
      <c r="K12">
        <f>IFERROR(INDEX(Scores!$AE$2:$AE$158,MATCH($B12,Scores!$BM$2:$BM$158,0)),"")</f>
        <v/>
      </c>
      <c r="L12">
        <f>IFERROR(INDEX(Scores!$AM$2:$AM$158,MATCH($B12,Scores!$BM$2:$BM$158,0)),"")</f>
        <v/>
      </c>
      <c r="M12">
        <f>IFERROR(INDEX(Scores!$AW$2:$AW$158,MATCH($B12,Scores!$BM$2:$BM$158,0)),"")</f>
        <v/>
      </c>
      <c r="N12">
        <f>IFERROR(INDEX(Scores!$BG$2:$BG$158,MATCH($B12,Scores!$BM$2:$BM$158,0)),"")</f>
        <v/>
      </c>
    </row>
    <row r="13">
      <c r="A13" t="inlineStr">
        <is>
          <t>Ranked</t>
        </is>
      </c>
      <c r="B13" t="n">
        <v>11</v>
      </c>
      <c r="C13">
        <f>IFERROR(INDEX(Scores!$BM$2:$BM$158,MATCH($B13,Scores!$BM$2:$BM$158,0)),"")</f>
        <v/>
      </c>
      <c r="D13">
        <f>IFERROR(INDEX(Scores!$B$2:$B$158,MATCH($B13,Scores!$BM$2:$BM$158,0)),"")</f>
        <v/>
      </c>
      <c r="E13">
        <f>IFERROR(INDEX(Scores!$C$2:$C$158,MATCH($B13,Scores!$BM$2:$BM$158,0)),"")</f>
        <v/>
      </c>
      <c r="F13">
        <f>IFERROR(INDEX(Scores!$D$2:$D$158,MATCH($B13,Scores!$BM$2:$BM$158,0)),"")</f>
        <v/>
      </c>
      <c r="G13">
        <f>IFERROR(INDEX(Scores!$E$2:$E$158,MATCH($B13,Scores!$BM$2:$BM$158,0)),"")</f>
        <v/>
      </c>
      <c r="H13">
        <f>IFERROR(INDEX(Scores!$BJ$2:$BJ$158,MATCH($B13,Scores!$BM$2:$BM$158,0)),"")</f>
        <v/>
      </c>
      <c r="I13">
        <f>IFERROR(INDEX(Scores!$BL$2:$BL$158,MATCH($B13,Scores!$BM$2:$BM$158,0)),"")</f>
        <v/>
      </c>
      <c r="J13">
        <f>IFERROR(INDEX(Scores!$Q$2:$Q$158,MATCH($B13,Scores!$BM$2:$BM$158,0)),"")</f>
        <v/>
      </c>
      <c r="K13">
        <f>IFERROR(INDEX(Scores!$AE$2:$AE$158,MATCH($B13,Scores!$BM$2:$BM$158,0)),"")</f>
        <v/>
      </c>
      <c r="L13">
        <f>IFERROR(INDEX(Scores!$AM$2:$AM$158,MATCH($B13,Scores!$BM$2:$BM$158,0)),"")</f>
        <v/>
      </c>
      <c r="M13">
        <f>IFERROR(INDEX(Scores!$AW$2:$AW$158,MATCH($B13,Scores!$BM$2:$BM$158,0)),"")</f>
        <v/>
      </c>
      <c r="N13">
        <f>IFERROR(INDEX(Scores!$BG$2:$BG$158,MATCH($B13,Scores!$BM$2:$BM$158,0)),"")</f>
        <v/>
      </c>
    </row>
    <row r="14">
      <c r="A14" t="inlineStr">
        <is>
          <t>Ranked</t>
        </is>
      </c>
      <c r="B14" t="n">
        <v>12</v>
      </c>
      <c r="C14">
        <f>IFERROR(INDEX(Scores!$BM$2:$BM$158,MATCH($B14,Scores!$BM$2:$BM$158,0)),"")</f>
        <v/>
      </c>
      <c r="D14">
        <f>IFERROR(INDEX(Scores!$B$2:$B$158,MATCH($B14,Scores!$BM$2:$BM$158,0)),"")</f>
        <v/>
      </c>
      <c r="E14">
        <f>IFERROR(INDEX(Scores!$C$2:$C$158,MATCH($B14,Scores!$BM$2:$BM$158,0)),"")</f>
        <v/>
      </c>
      <c r="F14">
        <f>IFERROR(INDEX(Scores!$D$2:$D$158,MATCH($B14,Scores!$BM$2:$BM$158,0)),"")</f>
        <v/>
      </c>
      <c r="G14">
        <f>IFERROR(INDEX(Scores!$E$2:$E$158,MATCH($B14,Scores!$BM$2:$BM$158,0)),"")</f>
        <v/>
      </c>
      <c r="H14">
        <f>IFERROR(INDEX(Scores!$BJ$2:$BJ$158,MATCH($B14,Scores!$BM$2:$BM$158,0)),"")</f>
        <v/>
      </c>
      <c r="I14">
        <f>IFERROR(INDEX(Scores!$BL$2:$BL$158,MATCH($B14,Scores!$BM$2:$BM$158,0)),"")</f>
        <v/>
      </c>
      <c r="J14">
        <f>IFERROR(INDEX(Scores!$Q$2:$Q$158,MATCH($B14,Scores!$BM$2:$BM$158,0)),"")</f>
        <v/>
      </c>
      <c r="K14">
        <f>IFERROR(INDEX(Scores!$AE$2:$AE$158,MATCH($B14,Scores!$BM$2:$BM$158,0)),"")</f>
        <v/>
      </c>
      <c r="L14">
        <f>IFERROR(INDEX(Scores!$AM$2:$AM$158,MATCH($B14,Scores!$BM$2:$BM$158,0)),"")</f>
        <v/>
      </c>
      <c r="M14">
        <f>IFERROR(INDEX(Scores!$AW$2:$AW$158,MATCH($B14,Scores!$BM$2:$BM$158,0)),"")</f>
        <v/>
      </c>
      <c r="N14">
        <f>IFERROR(INDEX(Scores!$BG$2:$BG$158,MATCH($B14,Scores!$BM$2:$BM$158,0)),"")</f>
        <v/>
      </c>
    </row>
    <row r="15">
      <c r="A15" t="inlineStr">
        <is>
          <t>Ranked</t>
        </is>
      </c>
      <c r="B15" t="n">
        <v>13</v>
      </c>
      <c r="C15">
        <f>IFERROR(INDEX(Scores!$BM$2:$BM$158,MATCH($B15,Scores!$BM$2:$BM$158,0)),"")</f>
        <v/>
      </c>
      <c r="D15">
        <f>IFERROR(INDEX(Scores!$B$2:$B$158,MATCH($B15,Scores!$BM$2:$BM$158,0)),"")</f>
        <v/>
      </c>
      <c r="E15">
        <f>IFERROR(INDEX(Scores!$C$2:$C$158,MATCH($B15,Scores!$BM$2:$BM$158,0)),"")</f>
        <v/>
      </c>
      <c r="F15">
        <f>IFERROR(INDEX(Scores!$D$2:$D$158,MATCH($B15,Scores!$BM$2:$BM$158,0)),"")</f>
        <v/>
      </c>
      <c r="G15">
        <f>IFERROR(INDEX(Scores!$E$2:$E$158,MATCH($B15,Scores!$BM$2:$BM$158,0)),"")</f>
        <v/>
      </c>
      <c r="H15">
        <f>IFERROR(INDEX(Scores!$BJ$2:$BJ$158,MATCH($B15,Scores!$BM$2:$BM$158,0)),"")</f>
        <v/>
      </c>
      <c r="I15">
        <f>IFERROR(INDEX(Scores!$BL$2:$BL$158,MATCH($B15,Scores!$BM$2:$BM$158,0)),"")</f>
        <v/>
      </c>
      <c r="J15">
        <f>IFERROR(INDEX(Scores!$Q$2:$Q$158,MATCH($B15,Scores!$BM$2:$BM$158,0)),"")</f>
        <v/>
      </c>
      <c r="K15">
        <f>IFERROR(INDEX(Scores!$AE$2:$AE$158,MATCH($B15,Scores!$BM$2:$BM$158,0)),"")</f>
        <v/>
      </c>
      <c r="L15">
        <f>IFERROR(INDEX(Scores!$AM$2:$AM$158,MATCH($B15,Scores!$BM$2:$BM$158,0)),"")</f>
        <v/>
      </c>
      <c r="M15">
        <f>IFERROR(INDEX(Scores!$AW$2:$AW$158,MATCH($B15,Scores!$BM$2:$BM$158,0)),"")</f>
        <v/>
      </c>
      <c r="N15">
        <f>IFERROR(INDEX(Scores!$BG$2:$BG$158,MATCH($B15,Scores!$BM$2:$BM$158,0)),"")</f>
        <v/>
      </c>
    </row>
    <row r="16">
      <c r="A16" t="inlineStr">
        <is>
          <t>Ranked</t>
        </is>
      </c>
      <c r="B16" t="n">
        <v>14</v>
      </c>
      <c r="C16">
        <f>IFERROR(INDEX(Scores!$BM$2:$BM$158,MATCH($B16,Scores!$BM$2:$BM$158,0)),"")</f>
        <v/>
      </c>
      <c r="D16">
        <f>IFERROR(INDEX(Scores!$B$2:$B$158,MATCH($B16,Scores!$BM$2:$BM$158,0)),"")</f>
        <v/>
      </c>
      <c r="E16">
        <f>IFERROR(INDEX(Scores!$C$2:$C$158,MATCH($B16,Scores!$BM$2:$BM$158,0)),"")</f>
        <v/>
      </c>
      <c r="F16">
        <f>IFERROR(INDEX(Scores!$D$2:$D$158,MATCH($B16,Scores!$BM$2:$BM$158,0)),"")</f>
        <v/>
      </c>
      <c r="G16">
        <f>IFERROR(INDEX(Scores!$E$2:$E$158,MATCH($B16,Scores!$BM$2:$BM$158,0)),"")</f>
        <v/>
      </c>
      <c r="H16">
        <f>IFERROR(INDEX(Scores!$BJ$2:$BJ$158,MATCH($B16,Scores!$BM$2:$BM$158,0)),"")</f>
        <v/>
      </c>
      <c r="I16">
        <f>IFERROR(INDEX(Scores!$BL$2:$BL$158,MATCH($B16,Scores!$BM$2:$BM$158,0)),"")</f>
        <v/>
      </c>
      <c r="J16">
        <f>IFERROR(INDEX(Scores!$Q$2:$Q$158,MATCH($B16,Scores!$BM$2:$BM$158,0)),"")</f>
        <v/>
      </c>
      <c r="K16">
        <f>IFERROR(INDEX(Scores!$AE$2:$AE$158,MATCH($B16,Scores!$BM$2:$BM$158,0)),"")</f>
        <v/>
      </c>
      <c r="L16">
        <f>IFERROR(INDEX(Scores!$AM$2:$AM$158,MATCH($B16,Scores!$BM$2:$BM$158,0)),"")</f>
        <v/>
      </c>
      <c r="M16">
        <f>IFERROR(INDEX(Scores!$AW$2:$AW$158,MATCH($B16,Scores!$BM$2:$BM$158,0)),"")</f>
        <v/>
      </c>
      <c r="N16">
        <f>IFERROR(INDEX(Scores!$BG$2:$BG$158,MATCH($B16,Scores!$BM$2:$BM$158,0)),"")</f>
        <v/>
      </c>
    </row>
    <row r="17">
      <c r="A17" t="inlineStr">
        <is>
          <t>Ranked</t>
        </is>
      </c>
      <c r="B17" t="n">
        <v>15</v>
      </c>
      <c r="C17">
        <f>IFERROR(INDEX(Scores!$BM$2:$BM$158,MATCH($B17,Scores!$BM$2:$BM$158,0)),"")</f>
        <v/>
      </c>
      <c r="D17">
        <f>IFERROR(INDEX(Scores!$B$2:$B$158,MATCH($B17,Scores!$BM$2:$BM$158,0)),"")</f>
        <v/>
      </c>
      <c r="E17">
        <f>IFERROR(INDEX(Scores!$C$2:$C$158,MATCH($B17,Scores!$BM$2:$BM$158,0)),"")</f>
        <v/>
      </c>
      <c r="F17">
        <f>IFERROR(INDEX(Scores!$D$2:$D$158,MATCH($B17,Scores!$BM$2:$BM$158,0)),"")</f>
        <v/>
      </c>
      <c r="G17">
        <f>IFERROR(INDEX(Scores!$E$2:$E$158,MATCH($B17,Scores!$BM$2:$BM$158,0)),"")</f>
        <v/>
      </c>
      <c r="H17">
        <f>IFERROR(INDEX(Scores!$BJ$2:$BJ$158,MATCH($B17,Scores!$BM$2:$BM$158,0)),"")</f>
        <v/>
      </c>
      <c r="I17">
        <f>IFERROR(INDEX(Scores!$BL$2:$BL$158,MATCH($B17,Scores!$BM$2:$BM$158,0)),"")</f>
        <v/>
      </c>
      <c r="J17">
        <f>IFERROR(INDEX(Scores!$Q$2:$Q$158,MATCH($B17,Scores!$BM$2:$BM$158,0)),"")</f>
        <v/>
      </c>
      <c r="K17">
        <f>IFERROR(INDEX(Scores!$AE$2:$AE$158,MATCH($B17,Scores!$BM$2:$BM$158,0)),"")</f>
        <v/>
      </c>
      <c r="L17">
        <f>IFERROR(INDEX(Scores!$AM$2:$AM$158,MATCH($B17,Scores!$BM$2:$BM$158,0)),"")</f>
        <v/>
      </c>
      <c r="M17">
        <f>IFERROR(INDEX(Scores!$AW$2:$AW$158,MATCH($B17,Scores!$BM$2:$BM$158,0)),"")</f>
        <v/>
      </c>
      <c r="N17">
        <f>IFERROR(INDEX(Scores!$BG$2:$BG$158,MATCH($B17,Scores!$BM$2:$BM$158,0)),"")</f>
        <v/>
      </c>
    </row>
    <row r="18">
      <c r="A18" t="inlineStr">
        <is>
          <t>Ranked</t>
        </is>
      </c>
      <c r="B18" t="n">
        <v>16</v>
      </c>
      <c r="C18">
        <f>IFERROR(INDEX(Scores!$BM$2:$BM$158,MATCH($B18,Scores!$BM$2:$BM$158,0)),"")</f>
        <v/>
      </c>
      <c r="D18">
        <f>IFERROR(INDEX(Scores!$B$2:$B$158,MATCH($B18,Scores!$BM$2:$BM$158,0)),"")</f>
        <v/>
      </c>
      <c r="E18">
        <f>IFERROR(INDEX(Scores!$C$2:$C$158,MATCH($B18,Scores!$BM$2:$BM$158,0)),"")</f>
        <v/>
      </c>
      <c r="F18">
        <f>IFERROR(INDEX(Scores!$D$2:$D$158,MATCH($B18,Scores!$BM$2:$BM$158,0)),"")</f>
        <v/>
      </c>
      <c r="G18">
        <f>IFERROR(INDEX(Scores!$E$2:$E$158,MATCH($B18,Scores!$BM$2:$BM$158,0)),"")</f>
        <v/>
      </c>
      <c r="H18">
        <f>IFERROR(INDEX(Scores!$BJ$2:$BJ$158,MATCH($B18,Scores!$BM$2:$BM$158,0)),"")</f>
        <v/>
      </c>
      <c r="I18">
        <f>IFERROR(INDEX(Scores!$BL$2:$BL$158,MATCH($B18,Scores!$BM$2:$BM$158,0)),"")</f>
        <v/>
      </c>
      <c r="J18">
        <f>IFERROR(INDEX(Scores!$Q$2:$Q$158,MATCH($B18,Scores!$BM$2:$BM$158,0)),"")</f>
        <v/>
      </c>
      <c r="K18">
        <f>IFERROR(INDEX(Scores!$AE$2:$AE$158,MATCH($B18,Scores!$BM$2:$BM$158,0)),"")</f>
        <v/>
      </c>
      <c r="L18">
        <f>IFERROR(INDEX(Scores!$AM$2:$AM$158,MATCH($B18,Scores!$BM$2:$BM$158,0)),"")</f>
        <v/>
      </c>
      <c r="M18">
        <f>IFERROR(INDEX(Scores!$AW$2:$AW$158,MATCH($B18,Scores!$BM$2:$BM$158,0)),"")</f>
        <v/>
      </c>
      <c r="N18">
        <f>IFERROR(INDEX(Scores!$BG$2:$BG$158,MATCH($B18,Scores!$BM$2:$BM$158,0)),"")</f>
        <v/>
      </c>
    </row>
    <row r="19">
      <c r="A19" t="inlineStr">
        <is>
          <t>Ranked</t>
        </is>
      </c>
      <c r="B19" t="n">
        <v>17</v>
      </c>
      <c r="C19">
        <f>IFERROR(INDEX(Scores!$BM$2:$BM$158,MATCH($B19,Scores!$BM$2:$BM$158,0)),"")</f>
        <v/>
      </c>
      <c r="D19">
        <f>IFERROR(INDEX(Scores!$B$2:$B$158,MATCH($B19,Scores!$BM$2:$BM$158,0)),"")</f>
        <v/>
      </c>
      <c r="E19">
        <f>IFERROR(INDEX(Scores!$C$2:$C$158,MATCH($B19,Scores!$BM$2:$BM$158,0)),"")</f>
        <v/>
      </c>
      <c r="F19">
        <f>IFERROR(INDEX(Scores!$D$2:$D$158,MATCH($B19,Scores!$BM$2:$BM$158,0)),"")</f>
        <v/>
      </c>
      <c r="G19">
        <f>IFERROR(INDEX(Scores!$E$2:$E$158,MATCH($B19,Scores!$BM$2:$BM$158,0)),"")</f>
        <v/>
      </c>
      <c r="H19">
        <f>IFERROR(INDEX(Scores!$BJ$2:$BJ$158,MATCH($B19,Scores!$BM$2:$BM$158,0)),"")</f>
        <v/>
      </c>
      <c r="I19">
        <f>IFERROR(INDEX(Scores!$BL$2:$BL$158,MATCH($B19,Scores!$BM$2:$BM$158,0)),"")</f>
        <v/>
      </c>
      <c r="J19">
        <f>IFERROR(INDEX(Scores!$Q$2:$Q$158,MATCH($B19,Scores!$BM$2:$BM$158,0)),"")</f>
        <v/>
      </c>
      <c r="K19">
        <f>IFERROR(INDEX(Scores!$AE$2:$AE$158,MATCH($B19,Scores!$BM$2:$BM$158,0)),"")</f>
        <v/>
      </c>
      <c r="L19">
        <f>IFERROR(INDEX(Scores!$AM$2:$AM$158,MATCH($B19,Scores!$BM$2:$BM$158,0)),"")</f>
        <v/>
      </c>
      <c r="M19">
        <f>IFERROR(INDEX(Scores!$AW$2:$AW$158,MATCH($B19,Scores!$BM$2:$BM$158,0)),"")</f>
        <v/>
      </c>
      <c r="N19">
        <f>IFERROR(INDEX(Scores!$BG$2:$BG$158,MATCH($B19,Scores!$BM$2:$BM$158,0)),"")</f>
        <v/>
      </c>
    </row>
    <row r="20">
      <c r="A20" t="inlineStr">
        <is>
          <t>Ranked</t>
        </is>
      </c>
      <c r="B20" t="n">
        <v>18</v>
      </c>
      <c r="C20">
        <f>IFERROR(INDEX(Scores!$BM$2:$BM$158,MATCH($B20,Scores!$BM$2:$BM$158,0)),"")</f>
        <v/>
      </c>
      <c r="D20">
        <f>IFERROR(INDEX(Scores!$B$2:$B$158,MATCH($B20,Scores!$BM$2:$BM$158,0)),"")</f>
        <v/>
      </c>
      <c r="E20">
        <f>IFERROR(INDEX(Scores!$C$2:$C$158,MATCH($B20,Scores!$BM$2:$BM$158,0)),"")</f>
        <v/>
      </c>
      <c r="F20">
        <f>IFERROR(INDEX(Scores!$D$2:$D$158,MATCH($B20,Scores!$BM$2:$BM$158,0)),"")</f>
        <v/>
      </c>
      <c r="G20">
        <f>IFERROR(INDEX(Scores!$E$2:$E$158,MATCH($B20,Scores!$BM$2:$BM$158,0)),"")</f>
        <v/>
      </c>
      <c r="H20">
        <f>IFERROR(INDEX(Scores!$BJ$2:$BJ$158,MATCH($B20,Scores!$BM$2:$BM$158,0)),"")</f>
        <v/>
      </c>
      <c r="I20">
        <f>IFERROR(INDEX(Scores!$BL$2:$BL$158,MATCH($B20,Scores!$BM$2:$BM$158,0)),"")</f>
        <v/>
      </c>
      <c r="J20">
        <f>IFERROR(INDEX(Scores!$Q$2:$Q$158,MATCH($B20,Scores!$BM$2:$BM$158,0)),"")</f>
        <v/>
      </c>
      <c r="K20">
        <f>IFERROR(INDEX(Scores!$AE$2:$AE$158,MATCH($B20,Scores!$BM$2:$BM$158,0)),"")</f>
        <v/>
      </c>
      <c r="L20">
        <f>IFERROR(INDEX(Scores!$AM$2:$AM$158,MATCH($B20,Scores!$BM$2:$BM$158,0)),"")</f>
        <v/>
      </c>
      <c r="M20">
        <f>IFERROR(INDEX(Scores!$AW$2:$AW$158,MATCH($B20,Scores!$BM$2:$BM$158,0)),"")</f>
        <v/>
      </c>
      <c r="N20">
        <f>IFERROR(INDEX(Scores!$BG$2:$BG$158,MATCH($B20,Scores!$BM$2:$BM$158,0)),"")</f>
        <v/>
      </c>
    </row>
    <row r="21">
      <c r="A21" t="inlineStr">
        <is>
          <t>Ranked</t>
        </is>
      </c>
      <c r="B21" t="n">
        <v>19</v>
      </c>
      <c r="C21">
        <f>IFERROR(INDEX(Scores!$BM$2:$BM$158,MATCH($B21,Scores!$BM$2:$BM$158,0)),"")</f>
        <v/>
      </c>
      <c r="D21">
        <f>IFERROR(INDEX(Scores!$B$2:$B$158,MATCH($B21,Scores!$BM$2:$BM$158,0)),"")</f>
        <v/>
      </c>
      <c r="E21">
        <f>IFERROR(INDEX(Scores!$C$2:$C$158,MATCH($B21,Scores!$BM$2:$BM$158,0)),"")</f>
        <v/>
      </c>
      <c r="F21">
        <f>IFERROR(INDEX(Scores!$D$2:$D$158,MATCH($B21,Scores!$BM$2:$BM$158,0)),"")</f>
        <v/>
      </c>
      <c r="G21">
        <f>IFERROR(INDEX(Scores!$E$2:$E$158,MATCH($B21,Scores!$BM$2:$BM$158,0)),"")</f>
        <v/>
      </c>
      <c r="H21">
        <f>IFERROR(INDEX(Scores!$BJ$2:$BJ$158,MATCH($B21,Scores!$BM$2:$BM$158,0)),"")</f>
        <v/>
      </c>
      <c r="I21">
        <f>IFERROR(INDEX(Scores!$BL$2:$BL$158,MATCH($B21,Scores!$BM$2:$BM$158,0)),"")</f>
        <v/>
      </c>
      <c r="J21">
        <f>IFERROR(INDEX(Scores!$Q$2:$Q$158,MATCH($B21,Scores!$BM$2:$BM$158,0)),"")</f>
        <v/>
      </c>
      <c r="K21">
        <f>IFERROR(INDEX(Scores!$AE$2:$AE$158,MATCH($B21,Scores!$BM$2:$BM$158,0)),"")</f>
        <v/>
      </c>
      <c r="L21">
        <f>IFERROR(INDEX(Scores!$AM$2:$AM$158,MATCH($B21,Scores!$BM$2:$BM$158,0)),"")</f>
        <v/>
      </c>
      <c r="M21">
        <f>IFERROR(INDEX(Scores!$AW$2:$AW$158,MATCH($B21,Scores!$BM$2:$BM$158,0)),"")</f>
        <v/>
      </c>
      <c r="N21">
        <f>IFERROR(INDEX(Scores!$BG$2:$BG$158,MATCH($B21,Scores!$BM$2:$BM$158,0)),"")</f>
        <v/>
      </c>
    </row>
    <row r="22">
      <c r="A22" t="inlineStr">
        <is>
          <t>Ranked</t>
        </is>
      </c>
      <c r="B22" t="n">
        <v>20</v>
      </c>
      <c r="C22">
        <f>IFERROR(INDEX(Scores!$BM$2:$BM$158,MATCH($B22,Scores!$BM$2:$BM$158,0)),"")</f>
        <v/>
      </c>
      <c r="D22">
        <f>IFERROR(INDEX(Scores!$B$2:$B$158,MATCH($B22,Scores!$BM$2:$BM$158,0)),"")</f>
        <v/>
      </c>
      <c r="E22">
        <f>IFERROR(INDEX(Scores!$C$2:$C$158,MATCH($B22,Scores!$BM$2:$BM$158,0)),"")</f>
        <v/>
      </c>
      <c r="F22">
        <f>IFERROR(INDEX(Scores!$D$2:$D$158,MATCH($B22,Scores!$BM$2:$BM$158,0)),"")</f>
        <v/>
      </c>
      <c r="G22">
        <f>IFERROR(INDEX(Scores!$E$2:$E$158,MATCH($B22,Scores!$BM$2:$BM$158,0)),"")</f>
        <v/>
      </c>
      <c r="H22">
        <f>IFERROR(INDEX(Scores!$BJ$2:$BJ$158,MATCH($B22,Scores!$BM$2:$BM$158,0)),"")</f>
        <v/>
      </c>
      <c r="I22">
        <f>IFERROR(INDEX(Scores!$BL$2:$BL$158,MATCH($B22,Scores!$BM$2:$BM$158,0)),"")</f>
        <v/>
      </c>
      <c r="J22">
        <f>IFERROR(INDEX(Scores!$Q$2:$Q$158,MATCH($B22,Scores!$BM$2:$BM$158,0)),"")</f>
        <v/>
      </c>
      <c r="K22">
        <f>IFERROR(INDEX(Scores!$AE$2:$AE$158,MATCH($B22,Scores!$BM$2:$BM$158,0)),"")</f>
        <v/>
      </c>
      <c r="L22">
        <f>IFERROR(INDEX(Scores!$AM$2:$AM$158,MATCH($B22,Scores!$BM$2:$BM$158,0)),"")</f>
        <v/>
      </c>
      <c r="M22">
        <f>IFERROR(INDEX(Scores!$AW$2:$AW$158,MATCH($B22,Scores!$BM$2:$BM$158,0)),"")</f>
        <v/>
      </c>
      <c r="N22">
        <f>IFERROR(INDEX(Scores!$BG$2:$BG$158,MATCH($B22,Scores!$BM$2:$BM$158,0)),"")</f>
        <v/>
      </c>
    </row>
    <row r="23">
      <c r="A23" t="inlineStr">
        <is>
          <t>Ranked</t>
        </is>
      </c>
      <c r="B23" t="n">
        <v>21</v>
      </c>
      <c r="C23">
        <f>IFERROR(INDEX(Scores!$BM$2:$BM$158,MATCH($B23,Scores!$BM$2:$BM$158,0)),"")</f>
        <v/>
      </c>
      <c r="D23">
        <f>IFERROR(INDEX(Scores!$B$2:$B$158,MATCH($B23,Scores!$BM$2:$BM$158,0)),"")</f>
        <v/>
      </c>
      <c r="E23">
        <f>IFERROR(INDEX(Scores!$C$2:$C$158,MATCH($B23,Scores!$BM$2:$BM$158,0)),"")</f>
        <v/>
      </c>
      <c r="F23">
        <f>IFERROR(INDEX(Scores!$D$2:$D$158,MATCH($B23,Scores!$BM$2:$BM$158,0)),"")</f>
        <v/>
      </c>
      <c r="G23">
        <f>IFERROR(INDEX(Scores!$E$2:$E$158,MATCH($B23,Scores!$BM$2:$BM$158,0)),"")</f>
        <v/>
      </c>
      <c r="H23">
        <f>IFERROR(INDEX(Scores!$BJ$2:$BJ$158,MATCH($B23,Scores!$BM$2:$BM$158,0)),"")</f>
        <v/>
      </c>
      <c r="I23">
        <f>IFERROR(INDEX(Scores!$BL$2:$BL$158,MATCH($B23,Scores!$BM$2:$BM$158,0)),"")</f>
        <v/>
      </c>
      <c r="J23">
        <f>IFERROR(INDEX(Scores!$Q$2:$Q$158,MATCH($B23,Scores!$BM$2:$BM$158,0)),"")</f>
        <v/>
      </c>
      <c r="K23">
        <f>IFERROR(INDEX(Scores!$AE$2:$AE$158,MATCH($B23,Scores!$BM$2:$BM$158,0)),"")</f>
        <v/>
      </c>
      <c r="L23">
        <f>IFERROR(INDEX(Scores!$AM$2:$AM$158,MATCH($B23,Scores!$BM$2:$BM$158,0)),"")</f>
        <v/>
      </c>
      <c r="M23">
        <f>IFERROR(INDEX(Scores!$AW$2:$AW$158,MATCH($B23,Scores!$BM$2:$BM$158,0)),"")</f>
        <v/>
      </c>
      <c r="N23">
        <f>IFERROR(INDEX(Scores!$BG$2:$BG$158,MATCH($B23,Scores!$BM$2:$BM$158,0)),"")</f>
        <v/>
      </c>
    </row>
    <row r="24">
      <c r="A24" t="inlineStr">
        <is>
          <t>Ranked</t>
        </is>
      </c>
      <c r="B24" t="n">
        <v>22</v>
      </c>
      <c r="C24">
        <f>IFERROR(INDEX(Scores!$BM$2:$BM$158,MATCH($B24,Scores!$BM$2:$BM$158,0)),"")</f>
        <v/>
      </c>
      <c r="D24">
        <f>IFERROR(INDEX(Scores!$B$2:$B$158,MATCH($B24,Scores!$BM$2:$BM$158,0)),"")</f>
        <v/>
      </c>
      <c r="E24">
        <f>IFERROR(INDEX(Scores!$C$2:$C$158,MATCH($B24,Scores!$BM$2:$BM$158,0)),"")</f>
        <v/>
      </c>
      <c r="F24">
        <f>IFERROR(INDEX(Scores!$D$2:$D$158,MATCH($B24,Scores!$BM$2:$BM$158,0)),"")</f>
        <v/>
      </c>
      <c r="G24">
        <f>IFERROR(INDEX(Scores!$E$2:$E$158,MATCH($B24,Scores!$BM$2:$BM$158,0)),"")</f>
        <v/>
      </c>
      <c r="H24">
        <f>IFERROR(INDEX(Scores!$BJ$2:$BJ$158,MATCH($B24,Scores!$BM$2:$BM$158,0)),"")</f>
        <v/>
      </c>
      <c r="I24">
        <f>IFERROR(INDEX(Scores!$BL$2:$BL$158,MATCH($B24,Scores!$BM$2:$BM$158,0)),"")</f>
        <v/>
      </c>
      <c r="J24">
        <f>IFERROR(INDEX(Scores!$Q$2:$Q$158,MATCH($B24,Scores!$BM$2:$BM$158,0)),"")</f>
        <v/>
      </c>
      <c r="K24">
        <f>IFERROR(INDEX(Scores!$AE$2:$AE$158,MATCH($B24,Scores!$BM$2:$BM$158,0)),"")</f>
        <v/>
      </c>
      <c r="L24">
        <f>IFERROR(INDEX(Scores!$AM$2:$AM$158,MATCH($B24,Scores!$BM$2:$BM$158,0)),"")</f>
        <v/>
      </c>
      <c r="M24">
        <f>IFERROR(INDEX(Scores!$AW$2:$AW$158,MATCH($B24,Scores!$BM$2:$BM$158,0)),"")</f>
        <v/>
      </c>
      <c r="N24">
        <f>IFERROR(INDEX(Scores!$BG$2:$BG$158,MATCH($B24,Scores!$BM$2:$BM$158,0)),"")</f>
        <v/>
      </c>
    </row>
    <row r="25">
      <c r="A25" t="inlineStr">
        <is>
          <t>Ranked</t>
        </is>
      </c>
      <c r="B25" t="n">
        <v>23</v>
      </c>
      <c r="C25">
        <f>IFERROR(INDEX(Scores!$BM$2:$BM$158,MATCH($B25,Scores!$BM$2:$BM$158,0)),"")</f>
        <v/>
      </c>
      <c r="D25">
        <f>IFERROR(INDEX(Scores!$B$2:$B$158,MATCH($B25,Scores!$BM$2:$BM$158,0)),"")</f>
        <v/>
      </c>
      <c r="E25">
        <f>IFERROR(INDEX(Scores!$C$2:$C$158,MATCH($B25,Scores!$BM$2:$BM$158,0)),"")</f>
        <v/>
      </c>
      <c r="F25">
        <f>IFERROR(INDEX(Scores!$D$2:$D$158,MATCH($B25,Scores!$BM$2:$BM$158,0)),"")</f>
        <v/>
      </c>
      <c r="G25">
        <f>IFERROR(INDEX(Scores!$E$2:$E$158,MATCH($B25,Scores!$BM$2:$BM$158,0)),"")</f>
        <v/>
      </c>
      <c r="H25">
        <f>IFERROR(INDEX(Scores!$BJ$2:$BJ$158,MATCH($B25,Scores!$BM$2:$BM$158,0)),"")</f>
        <v/>
      </c>
      <c r="I25">
        <f>IFERROR(INDEX(Scores!$BL$2:$BL$158,MATCH($B25,Scores!$BM$2:$BM$158,0)),"")</f>
        <v/>
      </c>
      <c r="J25">
        <f>IFERROR(INDEX(Scores!$Q$2:$Q$158,MATCH($B25,Scores!$BM$2:$BM$158,0)),"")</f>
        <v/>
      </c>
      <c r="K25">
        <f>IFERROR(INDEX(Scores!$AE$2:$AE$158,MATCH($B25,Scores!$BM$2:$BM$158,0)),"")</f>
        <v/>
      </c>
      <c r="L25">
        <f>IFERROR(INDEX(Scores!$AM$2:$AM$158,MATCH($B25,Scores!$BM$2:$BM$158,0)),"")</f>
        <v/>
      </c>
      <c r="M25">
        <f>IFERROR(INDEX(Scores!$AW$2:$AW$158,MATCH($B25,Scores!$BM$2:$BM$158,0)),"")</f>
        <v/>
      </c>
      <c r="N25">
        <f>IFERROR(INDEX(Scores!$BG$2:$BG$158,MATCH($B25,Scores!$BM$2:$BM$158,0)),"")</f>
        <v/>
      </c>
    </row>
    <row r="26">
      <c r="A26" t="inlineStr">
        <is>
          <t>Ranked</t>
        </is>
      </c>
      <c r="B26" t="n">
        <v>24</v>
      </c>
      <c r="C26">
        <f>IFERROR(INDEX(Scores!$BM$2:$BM$158,MATCH($B26,Scores!$BM$2:$BM$158,0)),"")</f>
        <v/>
      </c>
      <c r="D26">
        <f>IFERROR(INDEX(Scores!$B$2:$B$158,MATCH($B26,Scores!$BM$2:$BM$158,0)),"")</f>
        <v/>
      </c>
      <c r="E26">
        <f>IFERROR(INDEX(Scores!$C$2:$C$158,MATCH($B26,Scores!$BM$2:$BM$158,0)),"")</f>
        <v/>
      </c>
      <c r="F26">
        <f>IFERROR(INDEX(Scores!$D$2:$D$158,MATCH($B26,Scores!$BM$2:$BM$158,0)),"")</f>
        <v/>
      </c>
      <c r="G26">
        <f>IFERROR(INDEX(Scores!$E$2:$E$158,MATCH($B26,Scores!$BM$2:$BM$158,0)),"")</f>
        <v/>
      </c>
      <c r="H26">
        <f>IFERROR(INDEX(Scores!$BJ$2:$BJ$158,MATCH($B26,Scores!$BM$2:$BM$158,0)),"")</f>
        <v/>
      </c>
      <c r="I26">
        <f>IFERROR(INDEX(Scores!$BL$2:$BL$158,MATCH($B26,Scores!$BM$2:$BM$158,0)),"")</f>
        <v/>
      </c>
      <c r="J26">
        <f>IFERROR(INDEX(Scores!$Q$2:$Q$158,MATCH($B26,Scores!$BM$2:$BM$158,0)),"")</f>
        <v/>
      </c>
      <c r="K26">
        <f>IFERROR(INDEX(Scores!$AE$2:$AE$158,MATCH($B26,Scores!$BM$2:$BM$158,0)),"")</f>
        <v/>
      </c>
      <c r="L26">
        <f>IFERROR(INDEX(Scores!$AM$2:$AM$158,MATCH($B26,Scores!$BM$2:$BM$158,0)),"")</f>
        <v/>
      </c>
      <c r="M26">
        <f>IFERROR(INDEX(Scores!$AW$2:$AW$158,MATCH($B26,Scores!$BM$2:$BM$158,0)),"")</f>
        <v/>
      </c>
      <c r="N26">
        <f>IFERROR(INDEX(Scores!$BG$2:$BG$158,MATCH($B26,Scores!$BM$2:$BM$158,0)),"")</f>
        <v/>
      </c>
    </row>
    <row r="27">
      <c r="A27" t="inlineStr">
        <is>
          <t>Ranked</t>
        </is>
      </c>
      <c r="B27" t="n">
        <v>25</v>
      </c>
      <c r="C27">
        <f>IFERROR(INDEX(Scores!$BM$2:$BM$158,MATCH($B27,Scores!$BM$2:$BM$158,0)),"")</f>
        <v/>
      </c>
      <c r="D27">
        <f>IFERROR(INDEX(Scores!$B$2:$B$158,MATCH($B27,Scores!$BM$2:$BM$158,0)),"")</f>
        <v/>
      </c>
      <c r="E27">
        <f>IFERROR(INDEX(Scores!$C$2:$C$158,MATCH($B27,Scores!$BM$2:$BM$158,0)),"")</f>
        <v/>
      </c>
      <c r="F27">
        <f>IFERROR(INDEX(Scores!$D$2:$D$158,MATCH($B27,Scores!$BM$2:$BM$158,0)),"")</f>
        <v/>
      </c>
      <c r="G27">
        <f>IFERROR(INDEX(Scores!$E$2:$E$158,MATCH($B27,Scores!$BM$2:$BM$158,0)),"")</f>
        <v/>
      </c>
      <c r="H27">
        <f>IFERROR(INDEX(Scores!$BJ$2:$BJ$158,MATCH($B27,Scores!$BM$2:$BM$158,0)),"")</f>
        <v/>
      </c>
      <c r="I27">
        <f>IFERROR(INDEX(Scores!$BL$2:$BL$158,MATCH($B27,Scores!$BM$2:$BM$158,0)),"")</f>
        <v/>
      </c>
      <c r="J27">
        <f>IFERROR(INDEX(Scores!$Q$2:$Q$158,MATCH($B27,Scores!$BM$2:$BM$158,0)),"")</f>
        <v/>
      </c>
      <c r="K27">
        <f>IFERROR(INDEX(Scores!$AE$2:$AE$158,MATCH($B27,Scores!$BM$2:$BM$158,0)),"")</f>
        <v/>
      </c>
      <c r="L27">
        <f>IFERROR(INDEX(Scores!$AM$2:$AM$158,MATCH($B27,Scores!$BM$2:$BM$158,0)),"")</f>
        <v/>
      </c>
      <c r="M27">
        <f>IFERROR(INDEX(Scores!$AW$2:$AW$158,MATCH($B27,Scores!$BM$2:$BM$158,0)),"")</f>
        <v/>
      </c>
      <c r="N27">
        <f>IFERROR(INDEX(Scores!$BG$2:$BG$158,MATCH($B27,Scores!$BM$2:$BM$158,0)),"")</f>
        <v/>
      </c>
    </row>
    <row r="28">
      <c r="A28" t="inlineStr">
        <is>
          <t>Ranked</t>
        </is>
      </c>
      <c r="B28" t="n">
        <v>26</v>
      </c>
      <c r="C28">
        <f>IFERROR(INDEX(Scores!$BM$2:$BM$158,MATCH($B28,Scores!$BM$2:$BM$158,0)),"")</f>
        <v/>
      </c>
      <c r="D28">
        <f>IFERROR(INDEX(Scores!$B$2:$B$158,MATCH($B28,Scores!$BM$2:$BM$158,0)),"")</f>
        <v/>
      </c>
      <c r="E28">
        <f>IFERROR(INDEX(Scores!$C$2:$C$158,MATCH($B28,Scores!$BM$2:$BM$158,0)),"")</f>
        <v/>
      </c>
      <c r="F28">
        <f>IFERROR(INDEX(Scores!$D$2:$D$158,MATCH($B28,Scores!$BM$2:$BM$158,0)),"")</f>
        <v/>
      </c>
      <c r="G28">
        <f>IFERROR(INDEX(Scores!$E$2:$E$158,MATCH($B28,Scores!$BM$2:$BM$158,0)),"")</f>
        <v/>
      </c>
      <c r="H28">
        <f>IFERROR(INDEX(Scores!$BJ$2:$BJ$158,MATCH($B28,Scores!$BM$2:$BM$158,0)),"")</f>
        <v/>
      </c>
      <c r="I28">
        <f>IFERROR(INDEX(Scores!$BL$2:$BL$158,MATCH($B28,Scores!$BM$2:$BM$158,0)),"")</f>
        <v/>
      </c>
      <c r="J28">
        <f>IFERROR(INDEX(Scores!$Q$2:$Q$158,MATCH($B28,Scores!$BM$2:$BM$158,0)),"")</f>
        <v/>
      </c>
      <c r="K28">
        <f>IFERROR(INDEX(Scores!$AE$2:$AE$158,MATCH($B28,Scores!$BM$2:$BM$158,0)),"")</f>
        <v/>
      </c>
      <c r="L28">
        <f>IFERROR(INDEX(Scores!$AM$2:$AM$158,MATCH($B28,Scores!$BM$2:$BM$158,0)),"")</f>
        <v/>
      </c>
      <c r="M28">
        <f>IFERROR(INDEX(Scores!$AW$2:$AW$158,MATCH($B28,Scores!$BM$2:$BM$158,0)),"")</f>
        <v/>
      </c>
      <c r="N28">
        <f>IFERROR(INDEX(Scores!$BG$2:$BG$158,MATCH($B28,Scores!$BM$2:$BM$158,0)),"")</f>
        <v/>
      </c>
    </row>
    <row r="29">
      <c r="A29" t="inlineStr">
        <is>
          <t>Ranked</t>
        </is>
      </c>
      <c r="B29" t="n">
        <v>27</v>
      </c>
      <c r="C29">
        <f>IFERROR(INDEX(Scores!$BM$2:$BM$158,MATCH($B29,Scores!$BM$2:$BM$158,0)),"")</f>
        <v/>
      </c>
      <c r="D29">
        <f>IFERROR(INDEX(Scores!$B$2:$B$158,MATCH($B29,Scores!$BM$2:$BM$158,0)),"")</f>
        <v/>
      </c>
      <c r="E29">
        <f>IFERROR(INDEX(Scores!$C$2:$C$158,MATCH($B29,Scores!$BM$2:$BM$158,0)),"")</f>
        <v/>
      </c>
      <c r="F29">
        <f>IFERROR(INDEX(Scores!$D$2:$D$158,MATCH($B29,Scores!$BM$2:$BM$158,0)),"")</f>
        <v/>
      </c>
      <c r="G29">
        <f>IFERROR(INDEX(Scores!$E$2:$E$158,MATCH($B29,Scores!$BM$2:$BM$158,0)),"")</f>
        <v/>
      </c>
      <c r="H29">
        <f>IFERROR(INDEX(Scores!$BJ$2:$BJ$158,MATCH($B29,Scores!$BM$2:$BM$158,0)),"")</f>
        <v/>
      </c>
      <c r="I29">
        <f>IFERROR(INDEX(Scores!$BL$2:$BL$158,MATCH($B29,Scores!$BM$2:$BM$158,0)),"")</f>
        <v/>
      </c>
      <c r="J29">
        <f>IFERROR(INDEX(Scores!$Q$2:$Q$158,MATCH($B29,Scores!$BM$2:$BM$158,0)),"")</f>
        <v/>
      </c>
      <c r="K29">
        <f>IFERROR(INDEX(Scores!$AE$2:$AE$158,MATCH($B29,Scores!$BM$2:$BM$158,0)),"")</f>
        <v/>
      </c>
      <c r="L29">
        <f>IFERROR(INDEX(Scores!$AM$2:$AM$158,MATCH($B29,Scores!$BM$2:$BM$158,0)),"")</f>
        <v/>
      </c>
      <c r="M29">
        <f>IFERROR(INDEX(Scores!$AW$2:$AW$158,MATCH($B29,Scores!$BM$2:$BM$158,0)),"")</f>
        <v/>
      </c>
      <c r="N29">
        <f>IFERROR(INDEX(Scores!$BG$2:$BG$158,MATCH($B29,Scores!$BM$2:$BM$158,0)),"")</f>
        <v/>
      </c>
    </row>
    <row r="30">
      <c r="A30" t="inlineStr">
        <is>
          <t>Ranked</t>
        </is>
      </c>
      <c r="B30" t="n">
        <v>28</v>
      </c>
      <c r="C30">
        <f>IFERROR(INDEX(Scores!$BM$2:$BM$158,MATCH($B30,Scores!$BM$2:$BM$158,0)),"")</f>
        <v/>
      </c>
      <c r="D30">
        <f>IFERROR(INDEX(Scores!$B$2:$B$158,MATCH($B30,Scores!$BM$2:$BM$158,0)),"")</f>
        <v/>
      </c>
      <c r="E30">
        <f>IFERROR(INDEX(Scores!$C$2:$C$158,MATCH($B30,Scores!$BM$2:$BM$158,0)),"")</f>
        <v/>
      </c>
      <c r="F30">
        <f>IFERROR(INDEX(Scores!$D$2:$D$158,MATCH($B30,Scores!$BM$2:$BM$158,0)),"")</f>
        <v/>
      </c>
      <c r="G30">
        <f>IFERROR(INDEX(Scores!$E$2:$E$158,MATCH($B30,Scores!$BM$2:$BM$158,0)),"")</f>
        <v/>
      </c>
      <c r="H30">
        <f>IFERROR(INDEX(Scores!$BJ$2:$BJ$158,MATCH($B30,Scores!$BM$2:$BM$158,0)),"")</f>
        <v/>
      </c>
      <c r="I30">
        <f>IFERROR(INDEX(Scores!$BL$2:$BL$158,MATCH($B30,Scores!$BM$2:$BM$158,0)),"")</f>
        <v/>
      </c>
      <c r="J30">
        <f>IFERROR(INDEX(Scores!$Q$2:$Q$158,MATCH($B30,Scores!$BM$2:$BM$158,0)),"")</f>
        <v/>
      </c>
      <c r="K30">
        <f>IFERROR(INDEX(Scores!$AE$2:$AE$158,MATCH($B30,Scores!$BM$2:$BM$158,0)),"")</f>
        <v/>
      </c>
      <c r="L30">
        <f>IFERROR(INDEX(Scores!$AM$2:$AM$158,MATCH($B30,Scores!$BM$2:$BM$158,0)),"")</f>
        <v/>
      </c>
      <c r="M30">
        <f>IFERROR(INDEX(Scores!$AW$2:$AW$158,MATCH($B30,Scores!$BM$2:$BM$158,0)),"")</f>
        <v/>
      </c>
      <c r="N30">
        <f>IFERROR(INDEX(Scores!$BG$2:$BG$158,MATCH($B30,Scores!$BM$2:$BM$158,0)),"")</f>
        <v/>
      </c>
    </row>
    <row r="31">
      <c r="A31" t="inlineStr">
        <is>
          <t>Ranked</t>
        </is>
      </c>
      <c r="B31" t="n">
        <v>29</v>
      </c>
      <c r="C31">
        <f>IFERROR(INDEX(Scores!$BM$2:$BM$158,MATCH($B31,Scores!$BM$2:$BM$158,0)),"")</f>
        <v/>
      </c>
      <c r="D31">
        <f>IFERROR(INDEX(Scores!$B$2:$B$158,MATCH($B31,Scores!$BM$2:$BM$158,0)),"")</f>
        <v/>
      </c>
      <c r="E31">
        <f>IFERROR(INDEX(Scores!$C$2:$C$158,MATCH($B31,Scores!$BM$2:$BM$158,0)),"")</f>
        <v/>
      </c>
      <c r="F31">
        <f>IFERROR(INDEX(Scores!$D$2:$D$158,MATCH($B31,Scores!$BM$2:$BM$158,0)),"")</f>
        <v/>
      </c>
      <c r="G31">
        <f>IFERROR(INDEX(Scores!$E$2:$E$158,MATCH($B31,Scores!$BM$2:$BM$158,0)),"")</f>
        <v/>
      </c>
      <c r="H31">
        <f>IFERROR(INDEX(Scores!$BJ$2:$BJ$158,MATCH($B31,Scores!$BM$2:$BM$158,0)),"")</f>
        <v/>
      </c>
      <c r="I31">
        <f>IFERROR(INDEX(Scores!$BL$2:$BL$158,MATCH($B31,Scores!$BM$2:$BM$158,0)),"")</f>
        <v/>
      </c>
      <c r="J31">
        <f>IFERROR(INDEX(Scores!$Q$2:$Q$158,MATCH($B31,Scores!$BM$2:$BM$158,0)),"")</f>
        <v/>
      </c>
      <c r="K31">
        <f>IFERROR(INDEX(Scores!$AE$2:$AE$158,MATCH($B31,Scores!$BM$2:$BM$158,0)),"")</f>
        <v/>
      </c>
      <c r="L31">
        <f>IFERROR(INDEX(Scores!$AM$2:$AM$158,MATCH($B31,Scores!$BM$2:$BM$158,0)),"")</f>
        <v/>
      </c>
      <c r="M31">
        <f>IFERROR(INDEX(Scores!$AW$2:$AW$158,MATCH($B31,Scores!$BM$2:$BM$158,0)),"")</f>
        <v/>
      </c>
      <c r="N31">
        <f>IFERROR(INDEX(Scores!$BG$2:$BG$158,MATCH($B31,Scores!$BM$2:$BM$158,0)),"")</f>
        <v/>
      </c>
    </row>
    <row r="32">
      <c r="A32" t="inlineStr">
        <is>
          <t>Ranked</t>
        </is>
      </c>
      <c r="B32" t="n">
        <v>30</v>
      </c>
      <c r="C32">
        <f>IFERROR(INDEX(Scores!$BM$2:$BM$158,MATCH($B32,Scores!$BM$2:$BM$158,0)),"")</f>
        <v/>
      </c>
      <c r="D32">
        <f>IFERROR(INDEX(Scores!$B$2:$B$158,MATCH($B32,Scores!$BM$2:$BM$158,0)),"")</f>
        <v/>
      </c>
      <c r="E32">
        <f>IFERROR(INDEX(Scores!$C$2:$C$158,MATCH($B32,Scores!$BM$2:$BM$158,0)),"")</f>
        <v/>
      </c>
      <c r="F32">
        <f>IFERROR(INDEX(Scores!$D$2:$D$158,MATCH($B32,Scores!$BM$2:$BM$158,0)),"")</f>
        <v/>
      </c>
      <c r="G32">
        <f>IFERROR(INDEX(Scores!$E$2:$E$158,MATCH($B32,Scores!$BM$2:$BM$158,0)),"")</f>
        <v/>
      </c>
      <c r="H32">
        <f>IFERROR(INDEX(Scores!$BJ$2:$BJ$158,MATCH($B32,Scores!$BM$2:$BM$158,0)),"")</f>
        <v/>
      </c>
      <c r="I32">
        <f>IFERROR(INDEX(Scores!$BL$2:$BL$158,MATCH($B32,Scores!$BM$2:$BM$158,0)),"")</f>
        <v/>
      </c>
      <c r="J32">
        <f>IFERROR(INDEX(Scores!$Q$2:$Q$158,MATCH($B32,Scores!$BM$2:$BM$158,0)),"")</f>
        <v/>
      </c>
      <c r="K32">
        <f>IFERROR(INDEX(Scores!$AE$2:$AE$158,MATCH($B32,Scores!$BM$2:$BM$158,0)),"")</f>
        <v/>
      </c>
      <c r="L32">
        <f>IFERROR(INDEX(Scores!$AM$2:$AM$158,MATCH($B32,Scores!$BM$2:$BM$158,0)),"")</f>
        <v/>
      </c>
      <c r="M32">
        <f>IFERROR(INDEX(Scores!$AW$2:$AW$158,MATCH($B32,Scores!$BM$2:$BM$158,0)),"")</f>
        <v/>
      </c>
      <c r="N32">
        <f>IFERROR(INDEX(Scores!$BG$2:$BG$158,MATCH($B32,Scores!$BM$2:$BM$158,0)),"")</f>
        <v/>
      </c>
    </row>
    <row r="33">
      <c r="A33" t="inlineStr">
        <is>
          <t>Ranked</t>
        </is>
      </c>
      <c r="B33" t="n">
        <v>31</v>
      </c>
      <c r="C33">
        <f>IFERROR(INDEX(Scores!$BM$2:$BM$158,MATCH($B33,Scores!$BM$2:$BM$158,0)),"")</f>
        <v/>
      </c>
      <c r="D33">
        <f>IFERROR(INDEX(Scores!$B$2:$B$158,MATCH($B33,Scores!$BM$2:$BM$158,0)),"")</f>
        <v/>
      </c>
      <c r="E33">
        <f>IFERROR(INDEX(Scores!$C$2:$C$158,MATCH($B33,Scores!$BM$2:$BM$158,0)),"")</f>
        <v/>
      </c>
      <c r="F33">
        <f>IFERROR(INDEX(Scores!$D$2:$D$158,MATCH($B33,Scores!$BM$2:$BM$158,0)),"")</f>
        <v/>
      </c>
      <c r="G33">
        <f>IFERROR(INDEX(Scores!$E$2:$E$158,MATCH($B33,Scores!$BM$2:$BM$158,0)),"")</f>
        <v/>
      </c>
      <c r="H33">
        <f>IFERROR(INDEX(Scores!$BJ$2:$BJ$158,MATCH($B33,Scores!$BM$2:$BM$158,0)),"")</f>
        <v/>
      </c>
      <c r="I33">
        <f>IFERROR(INDEX(Scores!$BL$2:$BL$158,MATCH($B33,Scores!$BM$2:$BM$158,0)),"")</f>
        <v/>
      </c>
      <c r="J33">
        <f>IFERROR(INDEX(Scores!$Q$2:$Q$158,MATCH($B33,Scores!$BM$2:$BM$158,0)),"")</f>
        <v/>
      </c>
      <c r="K33">
        <f>IFERROR(INDEX(Scores!$AE$2:$AE$158,MATCH($B33,Scores!$BM$2:$BM$158,0)),"")</f>
        <v/>
      </c>
      <c r="L33">
        <f>IFERROR(INDEX(Scores!$AM$2:$AM$158,MATCH($B33,Scores!$BM$2:$BM$158,0)),"")</f>
        <v/>
      </c>
      <c r="M33">
        <f>IFERROR(INDEX(Scores!$AW$2:$AW$158,MATCH($B33,Scores!$BM$2:$BM$158,0)),"")</f>
        <v/>
      </c>
      <c r="N33">
        <f>IFERROR(INDEX(Scores!$BG$2:$BG$158,MATCH($B33,Scores!$BM$2:$BM$158,0)),"")</f>
        <v/>
      </c>
    </row>
    <row r="34">
      <c r="A34" t="inlineStr">
        <is>
          <t>Ranked</t>
        </is>
      </c>
      <c r="B34" t="n">
        <v>32</v>
      </c>
      <c r="C34">
        <f>IFERROR(INDEX(Scores!$BM$2:$BM$158,MATCH($B34,Scores!$BM$2:$BM$158,0)),"")</f>
        <v/>
      </c>
      <c r="D34">
        <f>IFERROR(INDEX(Scores!$B$2:$B$158,MATCH($B34,Scores!$BM$2:$BM$158,0)),"")</f>
        <v/>
      </c>
      <c r="E34">
        <f>IFERROR(INDEX(Scores!$C$2:$C$158,MATCH($B34,Scores!$BM$2:$BM$158,0)),"")</f>
        <v/>
      </c>
      <c r="F34">
        <f>IFERROR(INDEX(Scores!$D$2:$D$158,MATCH($B34,Scores!$BM$2:$BM$158,0)),"")</f>
        <v/>
      </c>
      <c r="G34">
        <f>IFERROR(INDEX(Scores!$E$2:$E$158,MATCH($B34,Scores!$BM$2:$BM$158,0)),"")</f>
        <v/>
      </c>
      <c r="H34">
        <f>IFERROR(INDEX(Scores!$BJ$2:$BJ$158,MATCH($B34,Scores!$BM$2:$BM$158,0)),"")</f>
        <v/>
      </c>
      <c r="I34">
        <f>IFERROR(INDEX(Scores!$BL$2:$BL$158,MATCH($B34,Scores!$BM$2:$BM$158,0)),"")</f>
        <v/>
      </c>
      <c r="J34">
        <f>IFERROR(INDEX(Scores!$Q$2:$Q$158,MATCH($B34,Scores!$BM$2:$BM$158,0)),"")</f>
        <v/>
      </c>
      <c r="K34">
        <f>IFERROR(INDEX(Scores!$AE$2:$AE$158,MATCH($B34,Scores!$BM$2:$BM$158,0)),"")</f>
        <v/>
      </c>
      <c r="L34">
        <f>IFERROR(INDEX(Scores!$AM$2:$AM$158,MATCH($B34,Scores!$BM$2:$BM$158,0)),"")</f>
        <v/>
      </c>
      <c r="M34">
        <f>IFERROR(INDEX(Scores!$AW$2:$AW$158,MATCH($B34,Scores!$BM$2:$BM$158,0)),"")</f>
        <v/>
      </c>
      <c r="N34">
        <f>IFERROR(INDEX(Scores!$BG$2:$BG$158,MATCH($B34,Scores!$BM$2:$BM$158,0)),"")</f>
        <v/>
      </c>
    </row>
    <row r="35">
      <c r="A35" t="inlineStr">
        <is>
          <t>Ranked</t>
        </is>
      </c>
      <c r="B35" t="n">
        <v>33</v>
      </c>
      <c r="C35">
        <f>IFERROR(INDEX(Scores!$BM$2:$BM$158,MATCH($B35,Scores!$BM$2:$BM$158,0)),"")</f>
        <v/>
      </c>
      <c r="D35">
        <f>IFERROR(INDEX(Scores!$B$2:$B$158,MATCH($B35,Scores!$BM$2:$BM$158,0)),"")</f>
        <v/>
      </c>
      <c r="E35">
        <f>IFERROR(INDEX(Scores!$C$2:$C$158,MATCH($B35,Scores!$BM$2:$BM$158,0)),"")</f>
        <v/>
      </c>
      <c r="F35">
        <f>IFERROR(INDEX(Scores!$D$2:$D$158,MATCH($B35,Scores!$BM$2:$BM$158,0)),"")</f>
        <v/>
      </c>
      <c r="G35">
        <f>IFERROR(INDEX(Scores!$E$2:$E$158,MATCH($B35,Scores!$BM$2:$BM$158,0)),"")</f>
        <v/>
      </c>
      <c r="H35">
        <f>IFERROR(INDEX(Scores!$BJ$2:$BJ$158,MATCH($B35,Scores!$BM$2:$BM$158,0)),"")</f>
        <v/>
      </c>
      <c r="I35">
        <f>IFERROR(INDEX(Scores!$BL$2:$BL$158,MATCH($B35,Scores!$BM$2:$BM$158,0)),"")</f>
        <v/>
      </c>
      <c r="J35">
        <f>IFERROR(INDEX(Scores!$Q$2:$Q$158,MATCH($B35,Scores!$BM$2:$BM$158,0)),"")</f>
        <v/>
      </c>
      <c r="K35">
        <f>IFERROR(INDEX(Scores!$AE$2:$AE$158,MATCH($B35,Scores!$BM$2:$BM$158,0)),"")</f>
        <v/>
      </c>
      <c r="L35">
        <f>IFERROR(INDEX(Scores!$AM$2:$AM$158,MATCH($B35,Scores!$BM$2:$BM$158,0)),"")</f>
        <v/>
      </c>
      <c r="M35">
        <f>IFERROR(INDEX(Scores!$AW$2:$AW$158,MATCH($B35,Scores!$BM$2:$BM$158,0)),"")</f>
        <v/>
      </c>
      <c r="N35">
        <f>IFERROR(INDEX(Scores!$BG$2:$BG$158,MATCH($B35,Scores!$BM$2:$BM$158,0)),"")</f>
        <v/>
      </c>
    </row>
    <row r="36">
      <c r="A36" t="inlineStr">
        <is>
          <t>Ranked</t>
        </is>
      </c>
      <c r="B36" t="n">
        <v>34</v>
      </c>
      <c r="C36">
        <f>IFERROR(INDEX(Scores!$BM$2:$BM$158,MATCH($B36,Scores!$BM$2:$BM$158,0)),"")</f>
        <v/>
      </c>
      <c r="D36">
        <f>IFERROR(INDEX(Scores!$B$2:$B$158,MATCH($B36,Scores!$BM$2:$BM$158,0)),"")</f>
        <v/>
      </c>
      <c r="E36">
        <f>IFERROR(INDEX(Scores!$C$2:$C$158,MATCH($B36,Scores!$BM$2:$BM$158,0)),"")</f>
        <v/>
      </c>
      <c r="F36">
        <f>IFERROR(INDEX(Scores!$D$2:$D$158,MATCH($B36,Scores!$BM$2:$BM$158,0)),"")</f>
        <v/>
      </c>
      <c r="G36">
        <f>IFERROR(INDEX(Scores!$E$2:$E$158,MATCH($B36,Scores!$BM$2:$BM$158,0)),"")</f>
        <v/>
      </c>
      <c r="H36">
        <f>IFERROR(INDEX(Scores!$BJ$2:$BJ$158,MATCH($B36,Scores!$BM$2:$BM$158,0)),"")</f>
        <v/>
      </c>
      <c r="I36">
        <f>IFERROR(INDEX(Scores!$BL$2:$BL$158,MATCH($B36,Scores!$BM$2:$BM$158,0)),"")</f>
        <v/>
      </c>
      <c r="J36">
        <f>IFERROR(INDEX(Scores!$Q$2:$Q$158,MATCH($B36,Scores!$BM$2:$BM$158,0)),"")</f>
        <v/>
      </c>
      <c r="K36">
        <f>IFERROR(INDEX(Scores!$AE$2:$AE$158,MATCH($B36,Scores!$BM$2:$BM$158,0)),"")</f>
        <v/>
      </c>
      <c r="L36">
        <f>IFERROR(INDEX(Scores!$AM$2:$AM$158,MATCH($B36,Scores!$BM$2:$BM$158,0)),"")</f>
        <v/>
      </c>
      <c r="M36">
        <f>IFERROR(INDEX(Scores!$AW$2:$AW$158,MATCH($B36,Scores!$BM$2:$BM$158,0)),"")</f>
        <v/>
      </c>
      <c r="N36">
        <f>IFERROR(INDEX(Scores!$BG$2:$BG$158,MATCH($B36,Scores!$BM$2:$BM$158,0)),"")</f>
        <v/>
      </c>
    </row>
    <row r="37">
      <c r="A37" t="inlineStr">
        <is>
          <t>Ranked</t>
        </is>
      </c>
      <c r="B37" t="n">
        <v>35</v>
      </c>
      <c r="C37">
        <f>IFERROR(INDEX(Scores!$BM$2:$BM$158,MATCH($B37,Scores!$BM$2:$BM$158,0)),"")</f>
        <v/>
      </c>
      <c r="D37">
        <f>IFERROR(INDEX(Scores!$B$2:$B$158,MATCH($B37,Scores!$BM$2:$BM$158,0)),"")</f>
        <v/>
      </c>
      <c r="E37">
        <f>IFERROR(INDEX(Scores!$C$2:$C$158,MATCH($B37,Scores!$BM$2:$BM$158,0)),"")</f>
        <v/>
      </c>
      <c r="F37">
        <f>IFERROR(INDEX(Scores!$D$2:$D$158,MATCH($B37,Scores!$BM$2:$BM$158,0)),"")</f>
        <v/>
      </c>
      <c r="G37">
        <f>IFERROR(INDEX(Scores!$E$2:$E$158,MATCH($B37,Scores!$BM$2:$BM$158,0)),"")</f>
        <v/>
      </c>
      <c r="H37">
        <f>IFERROR(INDEX(Scores!$BJ$2:$BJ$158,MATCH($B37,Scores!$BM$2:$BM$158,0)),"")</f>
        <v/>
      </c>
      <c r="I37">
        <f>IFERROR(INDEX(Scores!$BL$2:$BL$158,MATCH($B37,Scores!$BM$2:$BM$158,0)),"")</f>
        <v/>
      </c>
      <c r="J37">
        <f>IFERROR(INDEX(Scores!$Q$2:$Q$158,MATCH($B37,Scores!$BM$2:$BM$158,0)),"")</f>
        <v/>
      </c>
      <c r="K37">
        <f>IFERROR(INDEX(Scores!$AE$2:$AE$158,MATCH($B37,Scores!$BM$2:$BM$158,0)),"")</f>
        <v/>
      </c>
      <c r="L37">
        <f>IFERROR(INDEX(Scores!$AM$2:$AM$158,MATCH($B37,Scores!$BM$2:$BM$158,0)),"")</f>
        <v/>
      </c>
      <c r="M37">
        <f>IFERROR(INDEX(Scores!$AW$2:$AW$158,MATCH($B37,Scores!$BM$2:$BM$158,0)),"")</f>
        <v/>
      </c>
      <c r="N37">
        <f>IFERROR(INDEX(Scores!$BG$2:$BG$158,MATCH($B37,Scores!$BM$2:$BM$158,0)),"")</f>
        <v/>
      </c>
    </row>
    <row r="38">
      <c r="A38" t="inlineStr">
        <is>
          <t>Ranked</t>
        </is>
      </c>
      <c r="B38" t="n">
        <v>36</v>
      </c>
      <c r="C38">
        <f>IFERROR(INDEX(Scores!$BM$2:$BM$158,MATCH($B38,Scores!$BM$2:$BM$158,0)),"")</f>
        <v/>
      </c>
      <c r="D38">
        <f>IFERROR(INDEX(Scores!$B$2:$B$158,MATCH($B38,Scores!$BM$2:$BM$158,0)),"")</f>
        <v/>
      </c>
      <c r="E38">
        <f>IFERROR(INDEX(Scores!$C$2:$C$158,MATCH($B38,Scores!$BM$2:$BM$158,0)),"")</f>
        <v/>
      </c>
      <c r="F38">
        <f>IFERROR(INDEX(Scores!$D$2:$D$158,MATCH($B38,Scores!$BM$2:$BM$158,0)),"")</f>
        <v/>
      </c>
      <c r="G38">
        <f>IFERROR(INDEX(Scores!$E$2:$E$158,MATCH($B38,Scores!$BM$2:$BM$158,0)),"")</f>
        <v/>
      </c>
      <c r="H38">
        <f>IFERROR(INDEX(Scores!$BJ$2:$BJ$158,MATCH($B38,Scores!$BM$2:$BM$158,0)),"")</f>
        <v/>
      </c>
      <c r="I38">
        <f>IFERROR(INDEX(Scores!$BL$2:$BL$158,MATCH($B38,Scores!$BM$2:$BM$158,0)),"")</f>
        <v/>
      </c>
      <c r="J38">
        <f>IFERROR(INDEX(Scores!$Q$2:$Q$158,MATCH($B38,Scores!$BM$2:$BM$158,0)),"")</f>
        <v/>
      </c>
      <c r="K38">
        <f>IFERROR(INDEX(Scores!$AE$2:$AE$158,MATCH($B38,Scores!$BM$2:$BM$158,0)),"")</f>
        <v/>
      </c>
      <c r="L38">
        <f>IFERROR(INDEX(Scores!$AM$2:$AM$158,MATCH($B38,Scores!$BM$2:$BM$158,0)),"")</f>
        <v/>
      </c>
      <c r="M38">
        <f>IFERROR(INDEX(Scores!$AW$2:$AW$158,MATCH($B38,Scores!$BM$2:$BM$158,0)),"")</f>
        <v/>
      </c>
      <c r="N38">
        <f>IFERROR(INDEX(Scores!$BG$2:$BG$158,MATCH($B38,Scores!$BM$2:$BM$158,0)),"")</f>
        <v/>
      </c>
    </row>
    <row r="39">
      <c r="A39" t="inlineStr">
        <is>
          <t>Ranked</t>
        </is>
      </c>
      <c r="B39" t="n">
        <v>37</v>
      </c>
      <c r="C39">
        <f>IFERROR(INDEX(Scores!$BM$2:$BM$158,MATCH($B39,Scores!$BM$2:$BM$158,0)),"")</f>
        <v/>
      </c>
      <c r="D39">
        <f>IFERROR(INDEX(Scores!$B$2:$B$158,MATCH($B39,Scores!$BM$2:$BM$158,0)),"")</f>
        <v/>
      </c>
      <c r="E39">
        <f>IFERROR(INDEX(Scores!$C$2:$C$158,MATCH($B39,Scores!$BM$2:$BM$158,0)),"")</f>
        <v/>
      </c>
      <c r="F39">
        <f>IFERROR(INDEX(Scores!$D$2:$D$158,MATCH($B39,Scores!$BM$2:$BM$158,0)),"")</f>
        <v/>
      </c>
      <c r="G39">
        <f>IFERROR(INDEX(Scores!$E$2:$E$158,MATCH($B39,Scores!$BM$2:$BM$158,0)),"")</f>
        <v/>
      </c>
      <c r="H39">
        <f>IFERROR(INDEX(Scores!$BJ$2:$BJ$158,MATCH($B39,Scores!$BM$2:$BM$158,0)),"")</f>
        <v/>
      </c>
      <c r="I39">
        <f>IFERROR(INDEX(Scores!$BL$2:$BL$158,MATCH($B39,Scores!$BM$2:$BM$158,0)),"")</f>
        <v/>
      </c>
      <c r="J39">
        <f>IFERROR(INDEX(Scores!$Q$2:$Q$158,MATCH($B39,Scores!$BM$2:$BM$158,0)),"")</f>
        <v/>
      </c>
      <c r="K39">
        <f>IFERROR(INDEX(Scores!$AE$2:$AE$158,MATCH($B39,Scores!$BM$2:$BM$158,0)),"")</f>
        <v/>
      </c>
      <c r="L39">
        <f>IFERROR(INDEX(Scores!$AM$2:$AM$158,MATCH($B39,Scores!$BM$2:$BM$158,0)),"")</f>
        <v/>
      </c>
      <c r="M39">
        <f>IFERROR(INDEX(Scores!$AW$2:$AW$158,MATCH($B39,Scores!$BM$2:$BM$158,0)),"")</f>
        <v/>
      </c>
      <c r="N39">
        <f>IFERROR(INDEX(Scores!$BG$2:$BG$158,MATCH($B39,Scores!$BM$2:$BM$158,0)),"")</f>
        <v/>
      </c>
    </row>
    <row r="40">
      <c r="A40" t="inlineStr">
        <is>
          <t>Ranked</t>
        </is>
      </c>
      <c r="B40" t="n">
        <v>38</v>
      </c>
      <c r="C40">
        <f>IFERROR(INDEX(Scores!$BM$2:$BM$158,MATCH($B40,Scores!$BM$2:$BM$158,0)),"")</f>
        <v/>
      </c>
      <c r="D40">
        <f>IFERROR(INDEX(Scores!$B$2:$B$158,MATCH($B40,Scores!$BM$2:$BM$158,0)),"")</f>
        <v/>
      </c>
      <c r="E40">
        <f>IFERROR(INDEX(Scores!$C$2:$C$158,MATCH($B40,Scores!$BM$2:$BM$158,0)),"")</f>
        <v/>
      </c>
      <c r="F40">
        <f>IFERROR(INDEX(Scores!$D$2:$D$158,MATCH($B40,Scores!$BM$2:$BM$158,0)),"")</f>
        <v/>
      </c>
      <c r="G40">
        <f>IFERROR(INDEX(Scores!$E$2:$E$158,MATCH($B40,Scores!$BM$2:$BM$158,0)),"")</f>
        <v/>
      </c>
      <c r="H40">
        <f>IFERROR(INDEX(Scores!$BJ$2:$BJ$158,MATCH($B40,Scores!$BM$2:$BM$158,0)),"")</f>
        <v/>
      </c>
      <c r="I40">
        <f>IFERROR(INDEX(Scores!$BL$2:$BL$158,MATCH($B40,Scores!$BM$2:$BM$158,0)),"")</f>
        <v/>
      </c>
      <c r="J40">
        <f>IFERROR(INDEX(Scores!$Q$2:$Q$158,MATCH($B40,Scores!$BM$2:$BM$158,0)),"")</f>
        <v/>
      </c>
      <c r="K40">
        <f>IFERROR(INDEX(Scores!$AE$2:$AE$158,MATCH($B40,Scores!$BM$2:$BM$158,0)),"")</f>
        <v/>
      </c>
      <c r="L40">
        <f>IFERROR(INDEX(Scores!$AM$2:$AM$158,MATCH($B40,Scores!$BM$2:$BM$158,0)),"")</f>
        <v/>
      </c>
      <c r="M40">
        <f>IFERROR(INDEX(Scores!$AW$2:$AW$158,MATCH($B40,Scores!$BM$2:$BM$158,0)),"")</f>
        <v/>
      </c>
      <c r="N40">
        <f>IFERROR(INDEX(Scores!$BG$2:$BG$158,MATCH($B40,Scores!$BM$2:$BM$158,0)),"")</f>
        <v/>
      </c>
    </row>
    <row r="41">
      <c r="A41" t="inlineStr">
        <is>
          <t>Ranked</t>
        </is>
      </c>
      <c r="B41" t="n">
        <v>39</v>
      </c>
      <c r="C41">
        <f>IFERROR(INDEX(Scores!$BM$2:$BM$158,MATCH($B41,Scores!$BM$2:$BM$158,0)),"")</f>
        <v/>
      </c>
      <c r="D41">
        <f>IFERROR(INDEX(Scores!$B$2:$B$158,MATCH($B41,Scores!$BM$2:$BM$158,0)),"")</f>
        <v/>
      </c>
      <c r="E41">
        <f>IFERROR(INDEX(Scores!$C$2:$C$158,MATCH($B41,Scores!$BM$2:$BM$158,0)),"")</f>
        <v/>
      </c>
      <c r="F41">
        <f>IFERROR(INDEX(Scores!$D$2:$D$158,MATCH($B41,Scores!$BM$2:$BM$158,0)),"")</f>
        <v/>
      </c>
      <c r="G41">
        <f>IFERROR(INDEX(Scores!$E$2:$E$158,MATCH($B41,Scores!$BM$2:$BM$158,0)),"")</f>
        <v/>
      </c>
      <c r="H41">
        <f>IFERROR(INDEX(Scores!$BJ$2:$BJ$158,MATCH($B41,Scores!$BM$2:$BM$158,0)),"")</f>
        <v/>
      </c>
      <c r="I41">
        <f>IFERROR(INDEX(Scores!$BL$2:$BL$158,MATCH($B41,Scores!$BM$2:$BM$158,0)),"")</f>
        <v/>
      </c>
      <c r="J41">
        <f>IFERROR(INDEX(Scores!$Q$2:$Q$158,MATCH($B41,Scores!$BM$2:$BM$158,0)),"")</f>
        <v/>
      </c>
      <c r="K41">
        <f>IFERROR(INDEX(Scores!$AE$2:$AE$158,MATCH($B41,Scores!$BM$2:$BM$158,0)),"")</f>
        <v/>
      </c>
      <c r="L41">
        <f>IFERROR(INDEX(Scores!$AM$2:$AM$158,MATCH($B41,Scores!$BM$2:$BM$158,0)),"")</f>
        <v/>
      </c>
      <c r="M41">
        <f>IFERROR(INDEX(Scores!$AW$2:$AW$158,MATCH($B41,Scores!$BM$2:$BM$158,0)),"")</f>
        <v/>
      </c>
      <c r="N41">
        <f>IFERROR(INDEX(Scores!$BG$2:$BG$158,MATCH($B41,Scores!$BM$2:$BM$158,0)),"")</f>
        <v/>
      </c>
    </row>
    <row r="42">
      <c r="A42" t="inlineStr">
        <is>
          <t>Ranked</t>
        </is>
      </c>
      <c r="B42" t="n">
        <v>40</v>
      </c>
      <c r="C42">
        <f>IFERROR(INDEX(Scores!$BM$2:$BM$158,MATCH($B42,Scores!$BM$2:$BM$158,0)),"")</f>
        <v/>
      </c>
      <c r="D42">
        <f>IFERROR(INDEX(Scores!$B$2:$B$158,MATCH($B42,Scores!$BM$2:$BM$158,0)),"")</f>
        <v/>
      </c>
      <c r="E42">
        <f>IFERROR(INDEX(Scores!$C$2:$C$158,MATCH($B42,Scores!$BM$2:$BM$158,0)),"")</f>
        <v/>
      </c>
      <c r="F42">
        <f>IFERROR(INDEX(Scores!$D$2:$D$158,MATCH($B42,Scores!$BM$2:$BM$158,0)),"")</f>
        <v/>
      </c>
      <c r="G42">
        <f>IFERROR(INDEX(Scores!$E$2:$E$158,MATCH($B42,Scores!$BM$2:$BM$158,0)),"")</f>
        <v/>
      </c>
      <c r="H42">
        <f>IFERROR(INDEX(Scores!$BJ$2:$BJ$158,MATCH($B42,Scores!$BM$2:$BM$158,0)),"")</f>
        <v/>
      </c>
      <c r="I42">
        <f>IFERROR(INDEX(Scores!$BL$2:$BL$158,MATCH($B42,Scores!$BM$2:$BM$158,0)),"")</f>
        <v/>
      </c>
      <c r="J42">
        <f>IFERROR(INDEX(Scores!$Q$2:$Q$158,MATCH($B42,Scores!$BM$2:$BM$158,0)),"")</f>
        <v/>
      </c>
      <c r="K42">
        <f>IFERROR(INDEX(Scores!$AE$2:$AE$158,MATCH($B42,Scores!$BM$2:$BM$158,0)),"")</f>
        <v/>
      </c>
      <c r="L42">
        <f>IFERROR(INDEX(Scores!$AM$2:$AM$158,MATCH($B42,Scores!$BM$2:$BM$158,0)),"")</f>
        <v/>
      </c>
      <c r="M42">
        <f>IFERROR(INDEX(Scores!$AW$2:$AW$158,MATCH($B42,Scores!$BM$2:$BM$158,0)),"")</f>
        <v/>
      </c>
      <c r="N42">
        <f>IFERROR(INDEX(Scores!$BG$2:$BG$158,MATCH($B42,Scores!$BM$2:$BM$158,0)),"")</f>
        <v/>
      </c>
    </row>
    <row r="43">
      <c r="A43" t="inlineStr">
        <is>
          <t>Ranked</t>
        </is>
      </c>
      <c r="B43" t="n">
        <v>41</v>
      </c>
      <c r="C43">
        <f>IFERROR(INDEX(Scores!$BM$2:$BM$158,MATCH($B43,Scores!$BM$2:$BM$158,0)),"")</f>
        <v/>
      </c>
      <c r="D43">
        <f>IFERROR(INDEX(Scores!$B$2:$B$158,MATCH($B43,Scores!$BM$2:$BM$158,0)),"")</f>
        <v/>
      </c>
      <c r="E43">
        <f>IFERROR(INDEX(Scores!$C$2:$C$158,MATCH($B43,Scores!$BM$2:$BM$158,0)),"")</f>
        <v/>
      </c>
      <c r="F43">
        <f>IFERROR(INDEX(Scores!$D$2:$D$158,MATCH($B43,Scores!$BM$2:$BM$158,0)),"")</f>
        <v/>
      </c>
      <c r="G43">
        <f>IFERROR(INDEX(Scores!$E$2:$E$158,MATCH($B43,Scores!$BM$2:$BM$158,0)),"")</f>
        <v/>
      </c>
      <c r="H43">
        <f>IFERROR(INDEX(Scores!$BJ$2:$BJ$158,MATCH($B43,Scores!$BM$2:$BM$158,0)),"")</f>
        <v/>
      </c>
      <c r="I43">
        <f>IFERROR(INDEX(Scores!$BL$2:$BL$158,MATCH($B43,Scores!$BM$2:$BM$158,0)),"")</f>
        <v/>
      </c>
      <c r="J43">
        <f>IFERROR(INDEX(Scores!$Q$2:$Q$158,MATCH($B43,Scores!$BM$2:$BM$158,0)),"")</f>
        <v/>
      </c>
      <c r="K43">
        <f>IFERROR(INDEX(Scores!$AE$2:$AE$158,MATCH($B43,Scores!$BM$2:$BM$158,0)),"")</f>
        <v/>
      </c>
      <c r="L43">
        <f>IFERROR(INDEX(Scores!$AM$2:$AM$158,MATCH($B43,Scores!$BM$2:$BM$158,0)),"")</f>
        <v/>
      </c>
      <c r="M43">
        <f>IFERROR(INDEX(Scores!$AW$2:$AW$158,MATCH($B43,Scores!$BM$2:$BM$158,0)),"")</f>
        <v/>
      </c>
      <c r="N43">
        <f>IFERROR(INDEX(Scores!$BG$2:$BG$158,MATCH($B43,Scores!$BM$2:$BM$158,0)),"")</f>
        <v/>
      </c>
    </row>
    <row r="44">
      <c r="A44" t="inlineStr">
        <is>
          <t>Ranked</t>
        </is>
      </c>
      <c r="B44" t="n">
        <v>42</v>
      </c>
      <c r="C44">
        <f>IFERROR(INDEX(Scores!$BM$2:$BM$158,MATCH($B44,Scores!$BM$2:$BM$158,0)),"")</f>
        <v/>
      </c>
      <c r="D44">
        <f>IFERROR(INDEX(Scores!$B$2:$B$158,MATCH($B44,Scores!$BM$2:$BM$158,0)),"")</f>
        <v/>
      </c>
      <c r="E44">
        <f>IFERROR(INDEX(Scores!$C$2:$C$158,MATCH($B44,Scores!$BM$2:$BM$158,0)),"")</f>
        <v/>
      </c>
      <c r="F44">
        <f>IFERROR(INDEX(Scores!$D$2:$D$158,MATCH($B44,Scores!$BM$2:$BM$158,0)),"")</f>
        <v/>
      </c>
      <c r="G44">
        <f>IFERROR(INDEX(Scores!$E$2:$E$158,MATCH($B44,Scores!$BM$2:$BM$158,0)),"")</f>
        <v/>
      </c>
      <c r="H44">
        <f>IFERROR(INDEX(Scores!$BJ$2:$BJ$158,MATCH($B44,Scores!$BM$2:$BM$158,0)),"")</f>
        <v/>
      </c>
      <c r="I44">
        <f>IFERROR(INDEX(Scores!$BL$2:$BL$158,MATCH($B44,Scores!$BM$2:$BM$158,0)),"")</f>
        <v/>
      </c>
      <c r="J44">
        <f>IFERROR(INDEX(Scores!$Q$2:$Q$158,MATCH($B44,Scores!$BM$2:$BM$158,0)),"")</f>
        <v/>
      </c>
      <c r="K44">
        <f>IFERROR(INDEX(Scores!$AE$2:$AE$158,MATCH($B44,Scores!$BM$2:$BM$158,0)),"")</f>
        <v/>
      </c>
      <c r="L44">
        <f>IFERROR(INDEX(Scores!$AM$2:$AM$158,MATCH($B44,Scores!$BM$2:$BM$158,0)),"")</f>
        <v/>
      </c>
      <c r="M44">
        <f>IFERROR(INDEX(Scores!$AW$2:$AW$158,MATCH($B44,Scores!$BM$2:$BM$158,0)),"")</f>
        <v/>
      </c>
      <c r="N44">
        <f>IFERROR(INDEX(Scores!$BG$2:$BG$158,MATCH($B44,Scores!$BM$2:$BM$158,0)),"")</f>
        <v/>
      </c>
    </row>
    <row r="45">
      <c r="A45" t="inlineStr">
        <is>
          <t>Ranked</t>
        </is>
      </c>
      <c r="B45" t="n">
        <v>43</v>
      </c>
      <c r="C45">
        <f>IFERROR(INDEX(Scores!$BM$2:$BM$158,MATCH($B45,Scores!$BM$2:$BM$158,0)),"")</f>
        <v/>
      </c>
      <c r="D45">
        <f>IFERROR(INDEX(Scores!$B$2:$B$158,MATCH($B45,Scores!$BM$2:$BM$158,0)),"")</f>
        <v/>
      </c>
      <c r="E45">
        <f>IFERROR(INDEX(Scores!$C$2:$C$158,MATCH($B45,Scores!$BM$2:$BM$158,0)),"")</f>
        <v/>
      </c>
      <c r="F45">
        <f>IFERROR(INDEX(Scores!$D$2:$D$158,MATCH($B45,Scores!$BM$2:$BM$158,0)),"")</f>
        <v/>
      </c>
      <c r="G45">
        <f>IFERROR(INDEX(Scores!$E$2:$E$158,MATCH($B45,Scores!$BM$2:$BM$158,0)),"")</f>
        <v/>
      </c>
      <c r="H45">
        <f>IFERROR(INDEX(Scores!$BJ$2:$BJ$158,MATCH($B45,Scores!$BM$2:$BM$158,0)),"")</f>
        <v/>
      </c>
      <c r="I45">
        <f>IFERROR(INDEX(Scores!$BL$2:$BL$158,MATCH($B45,Scores!$BM$2:$BM$158,0)),"")</f>
        <v/>
      </c>
      <c r="J45">
        <f>IFERROR(INDEX(Scores!$Q$2:$Q$158,MATCH($B45,Scores!$BM$2:$BM$158,0)),"")</f>
        <v/>
      </c>
      <c r="K45">
        <f>IFERROR(INDEX(Scores!$AE$2:$AE$158,MATCH($B45,Scores!$BM$2:$BM$158,0)),"")</f>
        <v/>
      </c>
      <c r="L45">
        <f>IFERROR(INDEX(Scores!$AM$2:$AM$158,MATCH($B45,Scores!$BM$2:$BM$158,0)),"")</f>
        <v/>
      </c>
      <c r="M45">
        <f>IFERROR(INDEX(Scores!$AW$2:$AW$158,MATCH($B45,Scores!$BM$2:$BM$158,0)),"")</f>
        <v/>
      </c>
      <c r="N45">
        <f>IFERROR(INDEX(Scores!$BG$2:$BG$158,MATCH($B45,Scores!$BM$2:$BM$158,0)),"")</f>
        <v/>
      </c>
    </row>
    <row r="46">
      <c r="A46" t="inlineStr">
        <is>
          <t>Ranked</t>
        </is>
      </c>
      <c r="B46" t="n">
        <v>44</v>
      </c>
      <c r="C46">
        <f>IFERROR(INDEX(Scores!$BM$2:$BM$158,MATCH($B46,Scores!$BM$2:$BM$158,0)),"")</f>
        <v/>
      </c>
      <c r="D46">
        <f>IFERROR(INDEX(Scores!$B$2:$B$158,MATCH($B46,Scores!$BM$2:$BM$158,0)),"")</f>
        <v/>
      </c>
      <c r="E46">
        <f>IFERROR(INDEX(Scores!$C$2:$C$158,MATCH($B46,Scores!$BM$2:$BM$158,0)),"")</f>
        <v/>
      </c>
      <c r="F46">
        <f>IFERROR(INDEX(Scores!$D$2:$D$158,MATCH($B46,Scores!$BM$2:$BM$158,0)),"")</f>
        <v/>
      </c>
      <c r="G46">
        <f>IFERROR(INDEX(Scores!$E$2:$E$158,MATCH($B46,Scores!$BM$2:$BM$158,0)),"")</f>
        <v/>
      </c>
      <c r="H46">
        <f>IFERROR(INDEX(Scores!$BJ$2:$BJ$158,MATCH($B46,Scores!$BM$2:$BM$158,0)),"")</f>
        <v/>
      </c>
      <c r="I46">
        <f>IFERROR(INDEX(Scores!$BL$2:$BL$158,MATCH($B46,Scores!$BM$2:$BM$158,0)),"")</f>
        <v/>
      </c>
      <c r="J46">
        <f>IFERROR(INDEX(Scores!$Q$2:$Q$158,MATCH($B46,Scores!$BM$2:$BM$158,0)),"")</f>
        <v/>
      </c>
      <c r="K46">
        <f>IFERROR(INDEX(Scores!$AE$2:$AE$158,MATCH($B46,Scores!$BM$2:$BM$158,0)),"")</f>
        <v/>
      </c>
      <c r="L46">
        <f>IFERROR(INDEX(Scores!$AM$2:$AM$158,MATCH($B46,Scores!$BM$2:$BM$158,0)),"")</f>
        <v/>
      </c>
      <c r="M46">
        <f>IFERROR(INDEX(Scores!$AW$2:$AW$158,MATCH($B46,Scores!$BM$2:$BM$158,0)),"")</f>
        <v/>
      </c>
      <c r="N46">
        <f>IFERROR(INDEX(Scores!$BG$2:$BG$158,MATCH($B46,Scores!$BM$2:$BM$158,0)),"")</f>
        <v/>
      </c>
    </row>
    <row r="47">
      <c r="A47" t="inlineStr">
        <is>
          <t>Ranked</t>
        </is>
      </c>
      <c r="B47" t="n">
        <v>45</v>
      </c>
      <c r="C47">
        <f>IFERROR(INDEX(Scores!$BM$2:$BM$158,MATCH($B47,Scores!$BM$2:$BM$158,0)),"")</f>
        <v/>
      </c>
      <c r="D47">
        <f>IFERROR(INDEX(Scores!$B$2:$B$158,MATCH($B47,Scores!$BM$2:$BM$158,0)),"")</f>
        <v/>
      </c>
      <c r="E47">
        <f>IFERROR(INDEX(Scores!$C$2:$C$158,MATCH($B47,Scores!$BM$2:$BM$158,0)),"")</f>
        <v/>
      </c>
      <c r="F47">
        <f>IFERROR(INDEX(Scores!$D$2:$D$158,MATCH($B47,Scores!$BM$2:$BM$158,0)),"")</f>
        <v/>
      </c>
      <c r="G47">
        <f>IFERROR(INDEX(Scores!$E$2:$E$158,MATCH($B47,Scores!$BM$2:$BM$158,0)),"")</f>
        <v/>
      </c>
      <c r="H47">
        <f>IFERROR(INDEX(Scores!$BJ$2:$BJ$158,MATCH($B47,Scores!$BM$2:$BM$158,0)),"")</f>
        <v/>
      </c>
      <c r="I47">
        <f>IFERROR(INDEX(Scores!$BL$2:$BL$158,MATCH($B47,Scores!$BM$2:$BM$158,0)),"")</f>
        <v/>
      </c>
      <c r="J47">
        <f>IFERROR(INDEX(Scores!$Q$2:$Q$158,MATCH($B47,Scores!$BM$2:$BM$158,0)),"")</f>
        <v/>
      </c>
      <c r="K47">
        <f>IFERROR(INDEX(Scores!$AE$2:$AE$158,MATCH($B47,Scores!$BM$2:$BM$158,0)),"")</f>
        <v/>
      </c>
      <c r="L47">
        <f>IFERROR(INDEX(Scores!$AM$2:$AM$158,MATCH($B47,Scores!$BM$2:$BM$158,0)),"")</f>
        <v/>
      </c>
      <c r="M47">
        <f>IFERROR(INDEX(Scores!$AW$2:$AW$158,MATCH($B47,Scores!$BM$2:$BM$158,0)),"")</f>
        <v/>
      </c>
      <c r="N47">
        <f>IFERROR(INDEX(Scores!$BG$2:$BG$158,MATCH($B47,Scores!$BM$2:$BM$158,0)),"")</f>
        <v/>
      </c>
    </row>
    <row r="48">
      <c r="A48" t="inlineStr">
        <is>
          <t>Ranked</t>
        </is>
      </c>
      <c r="B48" t="n">
        <v>46</v>
      </c>
      <c r="C48">
        <f>IFERROR(INDEX(Scores!$BM$2:$BM$158,MATCH($B48,Scores!$BM$2:$BM$158,0)),"")</f>
        <v/>
      </c>
      <c r="D48">
        <f>IFERROR(INDEX(Scores!$B$2:$B$158,MATCH($B48,Scores!$BM$2:$BM$158,0)),"")</f>
        <v/>
      </c>
      <c r="E48">
        <f>IFERROR(INDEX(Scores!$C$2:$C$158,MATCH($B48,Scores!$BM$2:$BM$158,0)),"")</f>
        <v/>
      </c>
      <c r="F48">
        <f>IFERROR(INDEX(Scores!$D$2:$D$158,MATCH($B48,Scores!$BM$2:$BM$158,0)),"")</f>
        <v/>
      </c>
      <c r="G48">
        <f>IFERROR(INDEX(Scores!$E$2:$E$158,MATCH($B48,Scores!$BM$2:$BM$158,0)),"")</f>
        <v/>
      </c>
      <c r="H48">
        <f>IFERROR(INDEX(Scores!$BJ$2:$BJ$158,MATCH($B48,Scores!$BM$2:$BM$158,0)),"")</f>
        <v/>
      </c>
      <c r="I48">
        <f>IFERROR(INDEX(Scores!$BL$2:$BL$158,MATCH($B48,Scores!$BM$2:$BM$158,0)),"")</f>
        <v/>
      </c>
      <c r="J48">
        <f>IFERROR(INDEX(Scores!$Q$2:$Q$158,MATCH($B48,Scores!$BM$2:$BM$158,0)),"")</f>
        <v/>
      </c>
      <c r="K48">
        <f>IFERROR(INDEX(Scores!$AE$2:$AE$158,MATCH($B48,Scores!$BM$2:$BM$158,0)),"")</f>
        <v/>
      </c>
      <c r="L48">
        <f>IFERROR(INDEX(Scores!$AM$2:$AM$158,MATCH($B48,Scores!$BM$2:$BM$158,0)),"")</f>
        <v/>
      </c>
      <c r="M48">
        <f>IFERROR(INDEX(Scores!$AW$2:$AW$158,MATCH($B48,Scores!$BM$2:$BM$158,0)),"")</f>
        <v/>
      </c>
      <c r="N48">
        <f>IFERROR(INDEX(Scores!$BG$2:$BG$158,MATCH($B48,Scores!$BM$2:$BM$158,0)),"")</f>
        <v/>
      </c>
    </row>
    <row r="49">
      <c r="A49" t="inlineStr">
        <is>
          <t>Ranked</t>
        </is>
      </c>
      <c r="B49" t="n">
        <v>47</v>
      </c>
      <c r="C49">
        <f>IFERROR(INDEX(Scores!$BM$2:$BM$158,MATCH($B49,Scores!$BM$2:$BM$158,0)),"")</f>
        <v/>
      </c>
      <c r="D49">
        <f>IFERROR(INDEX(Scores!$B$2:$B$158,MATCH($B49,Scores!$BM$2:$BM$158,0)),"")</f>
        <v/>
      </c>
      <c r="E49">
        <f>IFERROR(INDEX(Scores!$C$2:$C$158,MATCH($B49,Scores!$BM$2:$BM$158,0)),"")</f>
        <v/>
      </c>
      <c r="F49">
        <f>IFERROR(INDEX(Scores!$D$2:$D$158,MATCH($B49,Scores!$BM$2:$BM$158,0)),"")</f>
        <v/>
      </c>
      <c r="G49">
        <f>IFERROR(INDEX(Scores!$E$2:$E$158,MATCH($B49,Scores!$BM$2:$BM$158,0)),"")</f>
        <v/>
      </c>
      <c r="H49">
        <f>IFERROR(INDEX(Scores!$BJ$2:$BJ$158,MATCH($B49,Scores!$BM$2:$BM$158,0)),"")</f>
        <v/>
      </c>
      <c r="I49">
        <f>IFERROR(INDEX(Scores!$BL$2:$BL$158,MATCH($B49,Scores!$BM$2:$BM$158,0)),"")</f>
        <v/>
      </c>
      <c r="J49">
        <f>IFERROR(INDEX(Scores!$Q$2:$Q$158,MATCH($B49,Scores!$BM$2:$BM$158,0)),"")</f>
        <v/>
      </c>
      <c r="K49">
        <f>IFERROR(INDEX(Scores!$AE$2:$AE$158,MATCH($B49,Scores!$BM$2:$BM$158,0)),"")</f>
        <v/>
      </c>
      <c r="L49">
        <f>IFERROR(INDEX(Scores!$AM$2:$AM$158,MATCH($B49,Scores!$BM$2:$BM$158,0)),"")</f>
        <v/>
      </c>
      <c r="M49">
        <f>IFERROR(INDEX(Scores!$AW$2:$AW$158,MATCH($B49,Scores!$BM$2:$BM$158,0)),"")</f>
        <v/>
      </c>
      <c r="N49">
        <f>IFERROR(INDEX(Scores!$BG$2:$BG$158,MATCH($B49,Scores!$BM$2:$BM$158,0)),"")</f>
        <v/>
      </c>
    </row>
    <row r="50">
      <c r="A50" t="inlineStr">
        <is>
          <t>Ranked</t>
        </is>
      </c>
      <c r="B50" t="n">
        <v>48</v>
      </c>
      <c r="C50">
        <f>IFERROR(INDEX(Scores!$BM$2:$BM$158,MATCH($B50,Scores!$BM$2:$BM$158,0)),"")</f>
        <v/>
      </c>
      <c r="D50">
        <f>IFERROR(INDEX(Scores!$B$2:$B$158,MATCH($B50,Scores!$BM$2:$BM$158,0)),"")</f>
        <v/>
      </c>
      <c r="E50">
        <f>IFERROR(INDEX(Scores!$C$2:$C$158,MATCH($B50,Scores!$BM$2:$BM$158,0)),"")</f>
        <v/>
      </c>
      <c r="F50">
        <f>IFERROR(INDEX(Scores!$D$2:$D$158,MATCH($B50,Scores!$BM$2:$BM$158,0)),"")</f>
        <v/>
      </c>
      <c r="G50">
        <f>IFERROR(INDEX(Scores!$E$2:$E$158,MATCH($B50,Scores!$BM$2:$BM$158,0)),"")</f>
        <v/>
      </c>
      <c r="H50">
        <f>IFERROR(INDEX(Scores!$BJ$2:$BJ$158,MATCH($B50,Scores!$BM$2:$BM$158,0)),"")</f>
        <v/>
      </c>
      <c r="I50">
        <f>IFERROR(INDEX(Scores!$BL$2:$BL$158,MATCH($B50,Scores!$BM$2:$BM$158,0)),"")</f>
        <v/>
      </c>
      <c r="J50">
        <f>IFERROR(INDEX(Scores!$Q$2:$Q$158,MATCH($B50,Scores!$BM$2:$BM$158,0)),"")</f>
        <v/>
      </c>
      <c r="K50">
        <f>IFERROR(INDEX(Scores!$AE$2:$AE$158,MATCH($B50,Scores!$BM$2:$BM$158,0)),"")</f>
        <v/>
      </c>
      <c r="L50">
        <f>IFERROR(INDEX(Scores!$AM$2:$AM$158,MATCH($B50,Scores!$BM$2:$BM$158,0)),"")</f>
        <v/>
      </c>
      <c r="M50">
        <f>IFERROR(INDEX(Scores!$AW$2:$AW$158,MATCH($B50,Scores!$BM$2:$BM$158,0)),"")</f>
        <v/>
      </c>
      <c r="N50">
        <f>IFERROR(INDEX(Scores!$BG$2:$BG$158,MATCH($B50,Scores!$BM$2:$BM$158,0)),"")</f>
        <v/>
      </c>
    </row>
    <row r="51">
      <c r="A51" t="inlineStr">
        <is>
          <t>Ranked</t>
        </is>
      </c>
      <c r="B51" t="n">
        <v>49</v>
      </c>
      <c r="C51">
        <f>IFERROR(INDEX(Scores!$BM$2:$BM$158,MATCH($B51,Scores!$BM$2:$BM$158,0)),"")</f>
        <v/>
      </c>
      <c r="D51">
        <f>IFERROR(INDEX(Scores!$B$2:$B$158,MATCH($B51,Scores!$BM$2:$BM$158,0)),"")</f>
        <v/>
      </c>
      <c r="E51">
        <f>IFERROR(INDEX(Scores!$C$2:$C$158,MATCH($B51,Scores!$BM$2:$BM$158,0)),"")</f>
        <v/>
      </c>
      <c r="F51">
        <f>IFERROR(INDEX(Scores!$D$2:$D$158,MATCH($B51,Scores!$BM$2:$BM$158,0)),"")</f>
        <v/>
      </c>
      <c r="G51">
        <f>IFERROR(INDEX(Scores!$E$2:$E$158,MATCH($B51,Scores!$BM$2:$BM$158,0)),"")</f>
        <v/>
      </c>
      <c r="H51">
        <f>IFERROR(INDEX(Scores!$BJ$2:$BJ$158,MATCH($B51,Scores!$BM$2:$BM$158,0)),"")</f>
        <v/>
      </c>
      <c r="I51">
        <f>IFERROR(INDEX(Scores!$BL$2:$BL$158,MATCH($B51,Scores!$BM$2:$BM$158,0)),"")</f>
        <v/>
      </c>
      <c r="J51">
        <f>IFERROR(INDEX(Scores!$Q$2:$Q$158,MATCH($B51,Scores!$BM$2:$BM$158,0)),"")</f>
        <v/>
      </c>
      <c r="K51">
        <f>IFERROR(INDEX(Scores!$AE$2:$AE$158,MATCH($B51,Scores!$BM$2:$BM$158,0)),"")</f>
        <v/>
      </c>
      <c r="L51">
        <f>IFERROR(INDEX(Scores!$AM$2:$AM$158,MATCH($B51,Scores!$BM$2:$BM$158,0)),"")</f>
        <v/>
      </c>
      <c r="M51">
        <f>IFERROR(INDEX(Scores!$AW$2:$AW$158,MATCH($B51,Scores!$BM$2:$BM$158,0)),"")</f>
        <v/>
      </c>
      <c r="N51">
        <f>IFERROR(INDEX(Scores!$BG$2:$BG$158,MATCH($B51,Scores!$BM$2:$BM$158,0)),"")</f>
        <v/>
      </c>
    </row>
    <row r="52">
      <c r="A52" t="inlineStr">
        <is>
          <t>Ranked</t>
        </is>
      </c>
      <c r="B52" t="n">
        <v>50</v>
      </c>
      <c r="C52">
        <f>IFERROR(INDEX(Scores!$BM$2:$BM$158,MATCH($B52,Scores!$BM$2:$BM$158,0)),"")</f>
        <v/>
      </c>
      <c r="D52">
        <f>IFERROR(INDEX(Scores!$B$2:$B$158,MATCH($B52,Scores!$BM$2:$BM$158,0)),"")</f>
        <v/>
      </c>
      <c r="E52">
        <f>IFERROR(INDEX(Scores!$C$2:$C$158,MATCH($B52,Scores!$BM$2:$BM$158,0)),"")</f>
        <v/>
      </c>
      <c r="F52">
        <f>IFERROR(INDEX(Scores!$D$2:$D$158,MATCH($B52,Scores!$BM$2:$BM$158,0)),"")</f>
        <v/>
      </c>
      <c r="G52">
        <f>IFERROR(INDEX(Scores!$E$2:$E$158,MATCH($B52,Scores!$BM$2:$BM$158,0)),"")</f>
        <v/>
      </c>
      <c r="H52">
        <f>IFERROR(INDEX(Scores!$BJ$2:$BJ$158,MATCH($B52,Scores!$BM$2:$BM$158,0)),"")</f>
        <v/>
      </c>
      <c r="I52">
        <f>IFERROR(INDEX(Scores!$BL$2:$BL$158,MATCH($B52,Scores!$BM$2:$BM$158,0)),"")</f>
        <v/>
      </c>
      <c r="J52">
        <f>IFERROR(INDEX(Scores!$Q$2:$Q$158,MATCH($B52,Scores!$BM$2:$BM$158,0)),"")</f>
        <v/>
      </c>
      <c r="K52">
        <f>IFERROR(INDEX(Scores!$AE$2:$AE$158,MATCH($B52,Scores!$BM$2:$BM$158,0)),"")</f>
        <v/>
      </c>
      <c r="L52">
        <f>IFERROR(INDEX(Scores!$AM$2:$AM$158,MATCH($B52,Scores!$BM$2:$BM$158,0)),"")</f>
        <v/>
      </c>
      <c r="M52">
        <f>IFERROR(INDEX(Scores!$AW$2:$AW$158,MATCH($B52,Scores!$BM$2:$BM$158,0)),"")</f>
        <v/>
      </c>
      <c r="N52">
        <f>IFERROR(INDEX(Scores!$BG$2:$BG$158,MATCH($B52,Scores!$BM$2:$BM$158,0)),"")</f>
        <v/>
      </c>
    </row>
    <row r="53">
      <c r="A53" t="inlineStr">
        <is>
          <t>Ranked</t>
        </is>
      </c>
      <c r="B53" t="n">
        <v>51</v>
      </c>
      <c r="C53">
        <f>IFERROR(INDEX(Scores!$BM$2:$BM$158,MATCH($B53,Scores!$BM$2:$BM$158,0)),"")</f>
        <v/>
      </c>
      <c r="D53">
        <f>IFERROR(INDEX(Scores!$B$2:$B$158,MATCH($B53,Scores!$BM$2:$BM$158,0)),"")</f>
        <v/>
      </c>
      <c r="E53">
        <f>IFERROR(INDEX(Scores!$C$2:$C$158,MATCH($B53,Scores!$BM$2:$BM$158,0)),"")</f>
        <v/>
      </c>
      <c r="F53">
        <f>IFERROR(INDEX(Scores!$D$2:$D$158,MATCH($B53,Scores!$BM$2:$BM$158,0)),"")</f>
        <v/>
      </c>
      <c r="G53">
        <f>IFERROR(INDEX(Scores!$E$2:$E$158,MATCH($B53,Scores!$BM$2:$BM$158,0)),"")</f>
        <v/>
      </c>
      <c r="H53">
        <f>IFERROR(INDEX(Scores!$BJ$2:$BJ$158,MATCH($B53,Scores!$BM$2:$BM$158,0)),"")</f>
        <v/>
      </c>
      <c r="I53">
        <f>IFERROR(INDEX(Scores!$BL$2:$BL$158,MATCH($B53,Scores!$BM$2:$BM$158,0)),"")</f>
        <v/>
      </c>
      <c r="J53">
        <f>IFERROR(INDEX(Scores!$Q$2:$Q$158,MATCH($B53,Scores!$BM$2:$BM$158,0)),"")</f>
        <v/>
      </c>
      <c r="K53">
        <f>IFERROR(INDEX(Scores!$AE$2:$AE$158,MATCH($B53,Scores!$BM$2:$BM$158,0)),"")</f>
        <v/>
      </c>
      <c r="L53">
        <f>IFERROR(INDEX(Scores!$AM$2:$AM$158,MATCH($B53,Scores!$BM$2:$BM$158,0)),"")</f>
        <v/>
      </c>
      <c r="M53">
        <f>IFERROR(INDEX(Scores!$AW$2:$AW$158,MATCH($B53,Scores!$BM$2:$BM$158,0)),"")</f>
        <v/>
      </c>
      <c r="N53">
        <f>IFERROR(INDEX(Scores!$BG$2:$BG$158,MATCH($B53,Scores!$BM$2:$BM$158,0)),"")</f>
        <v/>
      </c>
    </row>
    <row r="54">
      <c r="A54" t="inlineStr">
        <is>
          <t>Ranked</t>
        </is>
      </c>
      <c r="B54" t="n">
        <v>52</v>
      </c>
      <c r="C54">
        <f>IFERROR(INDEX(Scores!$BM$2:$BM$158,MATCH($B54,Scores!$BM$2:$BM$158,0)),"")</f>
        <v/>
      </c>
      <c r="D54">
        <f>IFERROR(INDEX(Scores!$B$2:$B$158,MATCH($B54,Scores!$BM$2:$BM$158,0)),"")</f>
        <v/>
      </c>
      <c r="E54">
        <f>IFERROR(INDEX(Scores!$C$2:$C$158,MATCH($B54,Scores!$BM$2:$BM$158,0)),"")</f>
        <v/>
      </c>
      <c r="F54">
        <f>IFERROR(INDEX(Scores!$D$2:$D$158,MATCH($B54,Scores!$BM$2:$BM$158,0)),"")</f>
        <v/>
      </c>
      <c r="G54">
        <f>IFERROR(INDEX(Scores!$E$2:$E$158,MATCH($B54,Scores!$BM$2:$BM$158,0)),"")</f>
        <v/>
      </c>
      <c r="H54">
        <f>IFERROR(INDEX(Scores!$BJ$2:$BJ$158,MATCH($B54,Scores!$BM$2:$BM$158,0)),"")</f>
        <v/>
      </c>
      <c r="I54">
        <f>IFERROR(INDEX(Scores!$BL$2:$BL$158,MATCH($B54,Scores!$BM$2:$BM$158,0)),"")</f>
        <v/>
      </c>
      <c r="J54">
        <f>IFERROR(INDEX(Scores!$Q$2:$Q$158,MATCH($B54,Scores!$BM$2:$BM$158,0)),"")</f>
        <v/>
      </c>
      <c r="K54">
        <f>IFERROR(INDEX(Scores!$AE$2:$AE$158,MATCH($B54,Scores!$BM$2:$BM$158,0)),"")</f>
        <v/>
      </c>
      <c r="L54">
        <f>IFERROR(INDEX(Scores!$AM$2:$AM$158,MATCH($B54,Scores!$BM$2:$BM$158,0)),"")</f>
        <v/>
      </c>
      <c r="M54">
        <f>IFERROR(INDEX(Scores!$AW$2:$AW$158,MATCH($B54,Scores!$BM$2:$BM$158,0)),"")</f>
        <v/>
      </c>
      <c r="N54">
        <f>IFERROR(INDEX(Scores!$BG$2:$BG$158,MATCH($B54,Scores!$BM$2:$BM$158,0)),"")</f>
        <v/>
      </c>
    </row>
    <row r="55">
      <c r="A55" t="inlineStr">
        <is>
          <t>Ranked</t>
        </is>
      </c>
      <c r="B55" t="n">
        <v>53</v>
      </c>
      <c r="C55">
        <f>IFERROR(INDEX(Scores!$BM$2:$BM$158,MATCH($B55,Scores!$BM$2:$BM$158,0)),"")</f>
        <v/>
      </c>
      <c r="D55">
        <f>IFERROR(INDEX(Scores!$B$2:$B$158,MATCH($B55,Scores!$BM$2:$BM$158,0)),"")</f>
        <v/>
      </c>
      <c r="E55">
        <f>IFERROR(INDEX(Scores!$C$2:$C$158,MATCH($B55,Scores!$BM$2:$BM$158,0)),"")</f>
        <v/>
      </c>
      <c r="F55">
        <f>IFERROR(INDEX(Scores!$D$2:$D$158,MATCH($B55,Scores!$BM$2:$BM$158,0)),"")</f>
        <v/>
      </c>
      <c r="G55">
        <f>IFERROR(INDEX(Scores!$E$2:$E$158,MATCH($B55,Scores!$BM$2:$BM$158,0)),"")</f>
        <v/>
      </c>
      <c r="H55">
        <f>IFERROR(INDEX(Scores!$BJ$2:$BJ$158,MATCH($B55,Scores!$BM$2:$BM$158,0)),"")</f>
        <v/>
      </c>
      <c r="I55">
        <f>IFERROR(INDEX(Scores!$BL$2:$BL$158,MATCH($B55,Scores!$BM$2:$BM$158,0)),"")</f>
        <v/>
      </c>
      <c r="J55">
        <f>IFERROR(INDEX(Scores!$Q$2:$Q$158,MATCH($B55,Scores!$BM$2:$BM$158,0)),"")</f>
        <v/>
      </c>
      <c r="K55">
        <f>IFERROR(INDEX(Scores!$AE$2:$AE$158,MATCH($B55,Scores!$BM$2:$BM$158,0)),"")</f>
        <v/>
      </c>
      <c r="L55">
        <f>IFERROR(INDEX(Scores!$AM$2:$AM$158,MATCH($B55,Scores!$BM$2:$BM$158,0)),"")</f>
        <v/>
      </c>
      <c r="M55">
        <f>IFERROR(INDEX(Scores!$AW$2:$AW$158,MATCH($B55,Scores!$BM$2:$BM$158,0)),"")</f>
        <v/>
      </c>
      <c r="N55">
        <f>IFERROR(INDEX(Scores!$BG$2:$BG$158,MATCH($B55,Scores!$BM$2:$BM$158,0)),"")</f>
        <v/>
      </c>
    </row>
    <row r="56">
      <c r="A56" t="inlineStr">
        <is>
          <t>Ranked</t>
        </is>
      </c>
      <c r="B56" t="n">
        <v>54</v>
      </c>
      <c r="C56">
        <f>IFERROR(INDEX(Scores!$BM$2:$BM$158,MATCH($B56,Scores!$BM$2:$BM$158,0)),"")</f>
        <v/>
      </c>
      <c r="D56">
        <f>IFERROR(INDEX(Scores!$B$2:$B$158,MATCH($B56,Scores!$BM$2:$BM$158,0)),"")</f>
        <v/>
      </c>
      <c r="E56">
        <f>IFERROR(INDEX(Scores!$C$2:$C$158,MATCH($B56,Scores!$BM$2:$BM$158,0)),"")</f>
        <v/>
      </c>
      <c r="F56">
        <f>IFERROR(INDEX(Scores!$D$2:$D$158,MATCH($B56,Scores!$BM$2:$BM$158,0)),"")</f>
        <v/>
      </c>
      <c r="G56">
        <f>IFERROR(INDEX(Scores!$E$2:$E$158,MATCH($B56,Scores!$BM$2:$BM$158,0)),"")</f>
        <v/>
      </c>
      <c r="H56">
        <f>IFERROR(INDEX(Scores!$BJ$2:$BJ$158,MATCH($B56,Scores!$BM$2:$BM$158,0)),"")</f>
        <v/>
      </c>
      <c r="I56">
        <f>IFERROR(INDEX(Scores!$BL$2:$BL$158,MATCH($B56,Scores!$BM$2:$BM$158,0)),"")</f>
        <v/>
      </c>
      <c r="J56">
        <f>IFERROR(INDEX(Scores!$Q$2:$Q$158,MATCH($B56,Scores!$BM$2:$BM$158,0)),"")</f>
        <v/>
      </c>
      <c r="K56">
        <f>IFERROR(INDEX(Scores!$AE$2:$AE$158,MATCH($B56,Scores!$BM$2:$BM$158,0)),"")</f>
        <v/>
      </c>
      <c r="L56">
        <f>IFERROR(INDEX(Scores!$AM$2:$AM$158,MATCH($B56,Scores!$BM$2:$BM$158,0)),"")</f>
        <v/>
      </c>
      <c r="M56">
        <f>IFERROR(INDEX(Scores!$AW$2:$AW$158,MATCH($B56,Scores!$BM$2:$BM$158,0)),"")</f>
        <v/>
      </c>
      <c r="N56">
        <f>IFERROR(INDEX(Scores!$BG$2:$BG$158,MATCH($B56,Scores!$BM$2:$BM$158,0)),"")</f>
        <v/>
      </c>
    </row>
    <row r="57">
      <c r="A57" t="inlineStr">
        <is>
          <t>Ranked</t>
        </is>
      </c>
      <c r="B57" t="n">
        <v>55</v>
      </c>
      <c r="C57">
        <f>IFERROR(INDEX(Scores!$BM$2:$BM$158,MATCH($B57,Scores!$BM$2:$BM$158,0)),"")</f>
        <v/>
      </c>
      <c r="D57">
        <f>IFERROR(INDEX(Scores!$B$2:$B$158,MATCH($B57,Scores!$BM$2:$BM$158,0)),"")</f>
        <v/>
      </c>
      <c r="E57">
        <f>IFERROR(INDEX(Scores!$C$2:$C$158,MATCH($B57,Scores!$BM$2:$BM$158,0)),"")</f>
        <v/>
      </c>
      <c r="F57">
        <f>IFERROR(INDEX(Scores!$D$2:$D$158,MATCH($B57,Scores!$BM$2:$BM$158,0)),"")</f>
        <v/>
      </c>
      <c r="G57">
        <f>IFERROR(INDEX(Scores!$E$2:$E$158,MATCH($B57,Scores!$BM$2:$BM$158,0)),"")</f>
        <v/>
      </c>
      <c r="H57">
        <f>IFERROR(INDEX(Scores!$BJ$2:$BJ$158,MATCH($B57,Scores!$BM$2:$BM$158,0)),"")</f>
        <v/>
      </c>
      <c r="I57">
        <f>IFERROR(INDEX(Scores!$BL$2:$BL$158,MATCH($B57,Scores!$BM$2:$BM$158,0)),"")</f>
        <v/>
      </c>
      <c r="J57">
        <f>IFERROR(INDEX(Scores!$Q$2:$Q$158,MATCH($B57,Scores!$BM$2:$BM$158,0)),"")</f>
        <v/>
      </c>
      <c r="K57">
        <f>IFERROR(INDEX(Scores!$AE$2:$AE$158,MATCH($B57,Scores!$BM$2:$BM$158,0)),"")</f>
        <v/>
      </c>
      <c r="L57">
        <f>IFERROR(INDEX(Scores!$AM$2:$AM$158,MATCH($B57,Scores!$BM$2:$BM$158,0)),"")</f>
        <v/>
      </c>
      <c r="M57">
        <f>IFERROR(INDEX(Scores!$AW$2:$AW$158,MATCH($B57,Scores!$BM$2:$BM$158,0)),"")</f>
        <v/>
      </c>
      <c r="N57">
        <f>IFERROR(INDEX(Scores!$BG$2:$BG$158,MATCH($B57,Scores!$BM$2:$BM$158,0)),"")</f>
        <v/>
      </c>
    </row>
    <row r="58">
      <c r="A58" t="inlineStr">
        <is>
          <t>Ranked</t>
        </is>
      </c>
      <c r="B58" t="n">
        <v>56</v>
      </c>
      <c r="C58">
        <f>IFERROR(INDEX(Scores!$BM$2:$BM$158,MATCH($B58,Scores!$BM$2:$BM$158,0)),"")</f>
        <v/>
      </c>
      <c r="D58">
        <f>IFERROR(INDEX(Scores!$B$2:$B$158,MATCH($B58,Scores!$BM$2:$BM$158,0)),"")</f>
        <v/>
      </c>
      <c r="E58">
        <f>IFERROR(INDEX(Scores!$C$2:$C$158,MATCH($B58,Scores!$BM$2:$BM$158,0)),"")</f>
        <v/>
      </c>
      <c r="F58">
        <f>IFERROR(INDEX(Scores!$D$2:$D$158,MATCH($B58,Scores!$BM$2:$BM$158,0)),"")</f>
        <v/>
      </c>
      <c r="G58">
        <f>IFERROR(INDEX(Scores!$E$2:$E$158,MATCH($B58,Scores!$BM$2:$BM$158,0)),"")</f>
        <v/>
      </c>
      <c r="H58">
        <f>IFERROR(INDEX(Scores!$BJ$2:$BJ$158,MATCH($B58,Scores!$BM$2:$BM$158,0)),"")</f>
        <v/>
      </c>
      <c r="I58">
        <f>IFERROR(INDEX(Scores!$BL$2:$BL$158,MATCH($B58,Scores!$BM$2:$BM$158,0)),"")</f>
        <v/>
      </c>
      <c r="J58">
        <f>IFERROR(INDEX(Scores!$Q$2:$Q$158,MATCH($B58,Scores!$BM$2:$BM$158,0)),"")</f>
        <v/>
      </c>
      <c r="K58">
        <f>IFERROR(INDEX(Scores!$AE$2:$AE$158,MATCH($B58,Scores!$BM$2:$BM$158,0)),"")</f>
        <v/>
      </c>
      <c r="L58">
        <f>IFERROR(INDEX(Scores!$AM$2:$AM$158,MATCH($B58,Scores!$BM$2:$BM$158,0)),"")</f>
        <v/>
      </c>
      <c r="M58">
        <f>IFERROR(INDEX(Scores!$AW$2:$AW$158,MATCH($B58,Scores!$BM$2:$BM$158,0)),"")</f>
        <v/>
      </c>
      <c r="N58">
        <f>IFERROR(INDEX(Scores!$BG$2:$BG$158,MATCH($B58,Scores!$BM$2:$BM$158,0)),"")</f>
        <v/>
      </c>
    </row>
    <row r="59">
      <c r="A59" t="inlineStr">
        <is>
          <t>Ranked</t>
        </is>
      </c>
      <c r="B59" t="n">
        <v>57</v>
      </c>
      <c r="C59">
        <f>IFERROR(INDEX(Scores!$BM$2:$BM$158,MATCH($B59,Scores!$BM$2:$BM$158,0)),"")</f>
        <v/>
      </c>
      <c r="D59">
        <f>IFERROR(INDEX(Scores!$B$2:$B$158,MATCH($B59,Scores!$BM$2:$BM$158,0)),"")</f>
        <v/>
      </c>
      <c r="E59">
        <f>IFERROR(INDEX(Scores!$C$2:$C$158,MATCH($B59,Scores!$BM$2:$BM$158,0)),"")</f>
        <v/>
      </c>
      <c r="F59">
        <f>IFERROR(INDEX(Scores!$D$2:$D$158,MATCH($B59,Scores!$BM$2:$BM$158,0)),"")</f>
        <v/>
      </c>
      <c r="G59">
        <f>IFERROR(INDEX(Scores!$E$2:$E$158,MATCH($B59,Scores!$BM$2:$BM$158,0)),"")</f>
        <v/>
      </c>
      <c r="H59">
        <f>IFERROR(INDEX(Scores!$BJ$2:$BJ$158,MATCH($B59,Scores!$BM$2:$BM$158,0)),"")</f>
        <v/>
      </c>
      <c r="I59">
        <f>IFERROR(INDEX(Scores!$BL$2:$BL$158,MATCH($B59,Scores!$BM$2:$BM$158,0)),"")</f>
        <v/>
      </c>
      <c r="J59">
        <f>IFERROR(INDEX(Scores!$Q$2:$Q$158,MATCH($B59,Scores!$BM$2:$BM$158,0)),"")</f>
        <v/>
      </c>
      <c r="K59">
        <f>IFERROR(INDEX(Scores!$AE$2:$AE$158,MATCH($B59,Scores!$BM$2:$BM$158,0)),"")</f>
        <v/>
      </c>
      <c r="L59">
        <f>IFERROR(INDEX(Scores!$AM$2:$AM$158,MATCH($B59,Scores!$BM$2:$BM$158,0)),"")</f>
        <v/>
      </c>
      <c r="M59">
        <f>IFERROR(INDEX(Scores!$AW$2:$AW$158,MATCH($B59,Scores!$BM$2:$BM$158,0)),"")</f>
        <v/>
      </c>
      <c r="N59">
        <f>IFERROR(INDEX(Scores!$BG$2:$BG$158,MATCH($B59,Scores!$BM$2:$BM$158,0)),"")</f>
        <v/>
      </c>
    </row>
    <row r="60">
      <c r="A60" t="inlineStr">
        <is>
          <t>Ranked</t>
        </is>
      </c>
      <c r="B60" t="n">
        <v>58</v>
      </c>
      <c r="C60">
        <f>IFERROR(INDEX(Scores!$BM$2:$BM$158,MATCH($B60,Scores!$BM$2:$BM$158,0)),"")</f>
        <v/>
      </c>
      <c r="D60">
        <f>IFERROR(INDEX(Scores!$B$2:$B$158,MATCH($B60,Scores!$BM$2:$BM$158,0)),"")</f>
        <v/>
      </c>
      <c r="E60">
        <f>IFERROR(INDEX(Scores!$C$2:$C$158,MATCH($B60,Scores!$BM$2:$BM$158,0)),"")</f>
        <v/>
      </c>
      <c r="F60">
        <f>IFERROR(INDEX(Scores!$D$2:$D$158,MATCH($B60,Scores!$BM$2:$BM$158,0)),"")</f>
        <v/>
      </c>
      <c r="G60">
        <f>IFERROR(INDEX(Scores!$E$2:$E$158,MATCH($B60,Scores!$BM$2:$BM$158,0)),"")</f>
        <v/>
      </c>
      <c r="H60">
        <f>IFERROR(INDEX(Scores!$BJ$2:$BJ$158,MATCH($B60,Scores!$BM$2:$BM$158,0)),"")</f>
        <v/>
      </c>
      <c r="I60">
        <f>IFERROR(INDEX(Scores!$BL$2:$BL$158,MATCH($B60,Scores!$BM$2:$BM$158,0)),"")</f>
        <v/>
      </c>
      <c r="J60">
        <f>IFERROR(INDEX(Scores!$Q$2:$Q$158,MATCH($B60,Scores!$BM$2:$BM$158,0)),"")</f>
        <v/>
      </c>
      <c r="K60">
        <f>IFERROR(INDEX(Scores!$AE$2:$AE$158,MATCH($B60,Scores!$BM$2:$BM$158,0)),"")</f>
        <v/>
      </c>
      <c r="L60">
        <f>IFERROR(INDEX(Scores!$AM$2:$AM$158,MATCH($B60,Scores!$BM$2:$BM$158,0)),"")</f>
        <v/>
      </c>
      <c r="M60">
        <f>IFERROR(INDEX(Scores!$AW$2:$AW$158,MATCH($B60,Scores!$BM$2:$BM$158,0)),"")</f>
        <v/>
      </c>
      <c r="N60">
        <f>IFERROR(INDEX(Scores!$BG$2:$BG$158,MATCH($B60,Scores!$BM$2:$BM$158,0)),"")</f>
        <v/>
      </c>
    </row>
    <row r="61">
      <c r="A61" t="inlineStr">
        <is>
          <t>Ranked</t>
        </is>
      </c>
      <c r="B61" t="n">
        <v>59</v>
      </c>
      <c r="C61">
        <f>IFERROR(INDEX(Scores!$BM$2:$BM$158,MATCH($B61,Scores!$BM$2:$BM$158,0)),"")</f>
        <v/>
      </c>
      <c r="D61">
        <f>IFERROR(INDEX(Scores!$B$2:$B$158,MATCH($B61,Scores!$BM$2:$BM$158,0)),"")</f>
        <v/>
      </c>
      <c r="E61">
        <f>IFERROR(INDEX(Scores!$C$2:$C$158,MATCH($B61,Scores!$BM$2:$BM$158,0)),"")</f>
        <v/>
      </c>
      <c r="F61">
        <f>IFERROR(INDEX(Scores!$D$2:$D$158,MATCH($B61,Scores!$BM$2:$BM$158,0)),"")</f>
        <v/>
      </c>
      <c r="G61">
        <f>IFERROR(INDEX(Scores!$E$2:$E$158,MATCH($B61,Scores!$BM$2:$BM$158,0)),"")</f>
        <v/>
      </c>
      <c r="H61">
        <f>IFERROR(INDEX(Scores!$BJ$2:$BJ$158,MATCH($B61,Scores!$BM$2:$BM$158,0)),"")</f>
        <v/>
      </c>
      <c r="I61">
        <f>IFERROR(INDEX(Scores!$BL$2:$BL$158,MATCH($B61,Scores!$BM$2:$BM$158,0)),"")</f>
        <v/>
      </c>
      <c r="J61">
        <f>IFERROR(INDEX(Scores!$Q$2:$Q$158,MATCH($B61,Scores!$BM$2:$BM$158,0)),"")</f>
        <v/>
      </c>
      <c r="K61">
        <f>IFERROR(INDEX(Scores!$AE$2:$AE$158,MATCH($B61,Scores!$BM$2:$BM$158,0)),"")</f>
        <v/>
      </c>
      <c r="L61">
        <f>IFERROR(INDEX(Scores!$AM$2:$AM$158,MATCH($B61,Scores!$BM$2:$BM$158,0)),"")</f>
        <v/>
      </c>
      <c r="M61">
        <f>IFERROR(INDEX(Scores!$AW$2:$AW$158,MATCH($B61,Scores!$BM$2:$BM$158,0)),"")</f>
        <v/>
      </c>
      <c r="N61">
        <f>IFERROR(INDEX(Scores!$BG$2:$BG$158,MATCH($B61,Scores!$BM$2:$BM$158,0)),"")</f>
        <v/>
      </c>
    </row>
    <row r="62">
      <c r="A62" t="inlineStr">
        <is>
          <t>Ranked</t>
        </is>
      </c>
      <c r="B62" t="n">
        <v>60</v>
      </c>
      <c r="C62">
        <f>IFERROR(INDEX(Scores!$BM$2:$BM$158,MATCH($B62,Scores!$BM$2:$BM$158,0)),"")</f>
        <v/>
      </c>
      <c r="D62">
        <f>IFERROR(INDEX(Scores!$B$2:$B$158,MATCH($B62,Scores!$BM$2:$BM$158,0)),"")</f>
        <v/>
      </c>
      <c r="E62">
        <f>IFERROR(INDEX(Scores!$C$2:$C$158,MATCH($B62,Scores!$BM$2:$BM$158,0)),"")</f>
        <v/>
      </c>
      <c r="F62">
        <f>IFERROR(INDEX(Scores!$D$2:$D$158,MATCH($B62,Scores!$BM$2:$BM$158,0)),"")</f>
        <v/>
      </c>
      <c r="G62">
        <f>IFERROR(INDEX(Scores!$E$2:$E$158,MATCH($B62,Scores!$BM$2:$BM$158,0)),"")</f>
        <v/>
      </c>
      <c r="H62">
        <f>IFERROR(INDEX(Scores!$BJ$2:$BJ$158,MATCH($B62,Scores!$BM$2:$BM$158,0)),"")</f>
        <v/>
      </c>
      <c r="I62">
        <f>IFERROR(INDEX(Scores!$BL$2:$BL$158,MATCH($B62,Scores!$BM$2:$BM$158,0)),"")</f>
        <v/>
      </c>
      <c r="J62">
        <f>IFERROR(INDEX(Scores!$Q$2:$Q$158,MATCH($B62,Scores!$BM$2:$BM$158,0)),"")</f>
        <v/>
      </c>
      <c r="K62">
        <f>IFERROR(INDEX(Scores!$AE$2:$AE$158,MATCH($B62,Scores!$BM$2:$BM$158,0)),"")</f>
        <v/>
      </c>
      <c r="L62">
        <f>IFERROR(INDEX(Scores!$AM$2:$AM$158,MATCH($B62,Scores!$BM$2:$BM$158,0)),"")</f>
        <v/>
      </c>
      <c r="M62">
        <f>IFERROR(INDEX(Scores!$AW$2:$AW$158,MATCH($B62,Scores!$BM$2:$BM$158,0)),"")</f>
        <v/>
      </c>
      <c r="N62">
        <f>IFERROR(INDEX(Scores!$BG$2:$BG$158,MATCH($B62,Scores!$BM$2:$BM$158,0)),"")</f>
        <v/>
      </c>
    </row>
    <row r="63">
      <c r="A63" t="inlineStr">
        <is>
          <t>Ranked</t>
        </is>
      </c>
      <c r="B63" t="n">
        <v>61</v>
      </c>
      <c r="C63">
        <f>IFERROR(INDEX(Scores!$BM$2:$BM$158,MATCH($B63,Scores!$BM$2:$BM$158,0)),"")</f>
        <v/>
      </c>
      <c r="D63">
        <f>IFERROR(INDEX(Scores!$B$2:$B$158,MATCH($B63,Scores!$BM$2:$BM$158,0)),"")</f>
        <v/>
      </c>
      <c r="E63">
        <f>IFERROR(INDEX(Scores!$C$2:$C$158,MATCH($B63,Scores!$BM$2:$BM$158,0)),"")</f>
        <v/>
      </c>
      <c r="F63">
        <f>IFERROR(INDEX(Scores!$D$2:$D$158,MATCH($B63,Scores!$BM$2:$BM$158,0)),"")</f>
        <v/>
      </c>
      <c r="G63">
        <f>IFERROR(INDEX(Scores!$E$2:$E$158,MATCH($B63,Scores!$BM$2:$BM$158,0)),"")</f>
        <v/>
      </c>
      <c r="H63">
        <f>IFERROR(INDEX(Scores!$BJ$2:$BJ$158,MATCH($B63,Scores!$BM$2:$BM$158,0)),"")</f>
        <v/>
      </c>
      <c r="I63">
        <f>IFERROR(INDEX(Scores!$BL$2:$BL$158,MATCH($B63,Scores!$BM$2:$BM$158,0)),"")</f>
        <v/>
      </c>
      <c r="J63">
        <f>IFERROR(INDEX(Scores!$Q$2:$Q$158,MATCH($B63,Scores!$BM$2:$BM$158,0)),"")</f>
        <v/>
      </c>
      <c r="K63">
        <f>IFERROR(INDEX(Scores!$AE$2:$AE$158,MATCH($B63,Scores!$BM$2:$BM$158,0)),"")</f>
        <v/>
      </c>
      <c r="L63">
        <f>IFERROR(INDEX(Scores!$AM$2:$AM$158,MATCH($B63,Scores!$BM$2:$BM$158,0)),"")</f>
        <v/>
      </c>
      <c r="M63">
        <f>IFERROR(INDEX(Scores!$AW$2:$AW$158,MATCH($B63,Scores!$BM$2:$BM$158,0)),"")</f>
        <v/>
      </c>
      <c r="N63">
        <f>IFERROR(INDEX(Scores!$BG$2:$BG$158,MATCH($B63,Scores!$BM$2:$BM$158,0)),"")</f>
        <v/>
      </c>
    </row>
    <row r="64">
      <c r="A64" t="inlineStr">
        <is>
          <t>Ranked</t>
        </is>
      </c>
      <c r="B64" t="n">
        <v>62</v>
      </c>
      <c r="C64">
        <f>IFERROR(INDEX(Scores!$BM$2:$BM$158,MATCH($B64,Scores!$BM$2:$BM$158,0)),"")</f>
        <v/>
      </c>
      <c r="D64">
        <f>IFERROR(INDEX(Scores!$B$2:$B$158,MATCH($B64,Scores!$BM$2:$BM$158,0)),"")</f>
        <v/>
      </c>
      <c r="E64">
        <f>IFERROR(INDEX(Scores!$C$2:$C$158,MATCH($B64,Scores!$BM$2:$BM$158,0)),"")</f>
        <v/>
      </c>
      <c r="F64">
        <f>IFERROR(INDEX(Scores!$D$2:$D$158,MATCH($B64,Scores!$BM$2:$BM$158,0)),"")</f>
        <v/>
      </c>
      <c r="G64">
        <f>IFERROR(INDEX(Scores!$E$2:$E$158,MATCH($B64,Scores!$BM$2:$BM$158,0)),"")</f>
        <v/>
      </c>
      <c r="H64">
        <f>IFERROR(INDEX(Scores!$BJ$2:$BJ$158,MATCH($B64,Scores!$BM$2:$BM$158,0)),"")</f>
        <v/>
      </c>
      <c r="I64">
        <f>IFERROR(INDEX(Scores!$BL$2:$BL$158,MATCH($B64,Scores!$BM$2:$BM$158,0)),"")</f>
        <v/>
      </c>
      <c r="J64">
        <f>IFERROR(INDEX(Scores!$Q$2:$Q$158,MATCH($B64,Scores!$BM$2:$BM$158,0)),"")</f>
        <v/>
      </c>
      <c r="K64">
        <f>IFERROR(INDEX(Scores!$AE$2:$AE$158,MATCH($B64,Scores!$BM$2:$BM$158,0)),"")</f>
        <v/>
      </c>
      <c r="L64">
        <f>IFERROR(INDEX(Scores!$AM$2:$AM$158,MATCH($B64,Scores!$BM$2:$BM$158,0)),"")</f>
        <v/>
      </c>
      <c r="M64">
        <f>IFERROR(INDEX(Scores!$AW$2:$AW$158,MATCH($B64,Scores!$BM$2:$BM$158,0)),"")</f>
        <v/>
      </c>
      <c r="N64">
        <f>IFERROR(INDEX(Scores!$BG$2:$BG$158,MATCH($B64,Scores!$BM$2:$BM$158,0)),"")</f>
        <v/>
      </c>
    </row>
    <row r="65">
      <c r="A65" t="inlineStr">
        <is>
          <t>Ranked</t>
        </is>
      </c>
      <c r="B65" t="n">
        <v>63</v>
      </c>
      <c r="C65">
        <f>IFERROR(INDEX(Scores!$BM$2:$BM$158,MATCH($B65,Scores!$BM$2:$BM$158,0)),"")</f>
        <v/>
      </c>
      <c r="D65">
        <f>IFERROR(INDEX(Scores!$B$2:$B$158,MATCH($B65,Scores!$BM$2:$BM$158,0)),"")</f>
        <v/>
      </c>
      <c r="E65">
        <f>IFERROR(INDEX(Scores!$C$2:$C$158,MATCH($B65,Scores!$BM$2:$BM$158,0)),"")</f>
        <v/>
      </c>
      <c r="F65">
        <f>IFERROR(INDEX(Scores!$D$2:$D$158,MATCH($B65,Scores!$BM$2:$BM$158,0)),"")</f>
        <v/>
      </c>
      <c r="G65">
        <f>IFERROR(INDEX(Scores!$E$2:$E$158,MATCH($B65,Scores!$BM$2:$BM$158,0)),"")</f>
        <v/>
      </c>
      <c r="H65">
        <f>IFERROR(INDEX(Scores!$BJ$2:$BJ$158,MATCH($B65,Scores!$BM$2:$BM$158,0)),"")</f>
        <v/>
      </c>
      <c r="I65">
        <f>IFERROR(INDEX(Scores!$BL$2:$BL$158,MATCH($B65,Scores!$BM$2:$BM$158,0)),"")</f>
        <v/>
      </c>
      <c r="J65">
        <f>IFERROR(INDEX(Scores!$Q$2:$Q$158,MATCH($B65,Scores!$BM$2:$BM$158,0)),"")</f>
        <v/>
      </c>
      <c r="K65">
        <f>IFERROR(INDEX(Scores!$AE$2:$AE$158,MATCH($B65,Scores!$BM$2:$BM$158,0)),"")</f>
        <v/>
      </c>
      <c r="L65">
        <f>IFERROR(INDEX(Scores!$AM$2:$AM$158,MATCH($B65,Scores!$BM$2:$BM$158,0)),"")</f>
        <v/>
      </c>
      <c r="M65">
        <f>IFERROR(INDEX(Scores!$AW$2:$AW$158,MATCH($B65,Scores!$BM$2:$BM$158,0)),"")</f>
        <v/>
      </c>
      <c r="N65">
        <f>IFERROR(INDEX(Scores!$BG$2:$BG$158,MATCH($B65,Scores!$BM$2:$BM$158,0)),"")</f>
        <v/>
      </c>
    </row>
    <row r="66">
      <c r="A66" t="inlineStr">
        <is>
          <t>Ranked</t>
        </is>
      </c>
      <c r="B66" t="n">
        <v>64</v>
      </c>
      <c r="C66">
        <f>IFERROR(INDEX(Scores!$BM$2:$BM$158,MATCH($B66,Scores!$BM$2:$BM$158,0)),"")</f>
        <v/>
      </c>
      <c r="D66">
        <f>IFERROR(INDEX(Scores!$B$2:$B$158,MATCH($B66,Scores!$BM$2:$BM$158,0)),"")</f>
        <v/>
      </c>
      <c r="E66">
        <f>IFERROR(INDEX(Scores!$C$2:$C$158,MATCH($B66,Scores!$BM$2:$BM$158,0)),"")</f>
        <v/>
      </c>
      <c r="F66">
        <f>IFERROR(INDEX(Scores!$D$2:$D$158,MATCH($B66,Scores!$BM$2:$BM$158,0)),"")</f>
        <v/>
      </c>
      <c r="G66">
        <f>IFERROR(INDEX(Scores!$E$2:$E$158,MATCH($B66,Scores!$BM$2:$BM$158,0)),"")</f>
        <v/>
      </c>
      <c r="H66">
        <f>IFERROR(INDEX(Scores!$BJ$2:$BJ$158,MATCH($B66,Scores!$BM$2:$BM$158,0)),"")</f>
        <v/>
      </c>
      <c r="I66">
        <f>IFERROR(INDEX(Scores!$BL$2:$BL$158,MATCH($B66,Scores!$BM$2:$BM$158,0)),"")</f>
        <v/>
      </c>
      <c r="J66">
        <f>IFERROR(INDEX(Scores!$Q$2:$Q$158,MATCH($B66,Scores!$BM$2:$BM$158,0)),"")</f>
        <v/>
      </c>
      <c r="K66">
        <f>IFERROR(INDEX(Scores!$AE$2:$AE$158,MATCH($B66,Scores!$BM$2:$BM$158,0)),"")</f>
        <v/>
      </c>
      <c r="L66">
        <f>IFERROR(INDEX(Scores!$AM$2:$AM$158,MATCH($B66,Scores!$BM$2:$BM$158,0)),"")</f>
        <v/>
      </c>
      <c r="M66">
        <f>IFERROR(INDEX(Scores!$AW$2:$AW$158,MATCH($B66,Scores!$BM$2:$BM$158,0)),"")</f>
        <v/>
      </c>
      <c r="N66">
        <f>IFERROR(INDEX(Scores!$BG$2:$BG$158,MATCH($B66,Scores!$BM$2:$BM$158,0)),"")</f>
        <v/>
      </c>
    </row>
    <row r="67">
      <c r="A67" t="inlineStr">
        <is>
          <t>Ranked</t>
        </is>
      </c>
      <c r="B67" t="n">
        <v>65</v>
      </c>
      <c r="C67">
        <f>IFERROR(INDEX(Scores!$BM$2:$BM$158,MATCH($B67,Scores!$BM$2:$BM$158,0)),"")</f>
        <v/>
      </c>
      <c r="D67">
        <f>IFERROR(INDEX(Scores!$B$2:$B$158,MATCH($B67,Scores!$BM$2:$BM$158,0)),"")</f>
        <v/>
      </c>
      <c r="E67">
        <f>IFERROR(INDEX(Scores!$C$2:$C$158,MATCH($B67,Scores!$BM$2:$BM$158,0)),"")</f>
        <v/>
      </c>
      <c r="F67">
        <f>IFERROR(INDEX(Scores!$D$2:$D$158,MATCH($B67,Scores!$BM$2:$BM$158,0)),"")</f>
        <v/>
      </c>
      <c r="G67">
        <f>IFERROR(INDEX(Scores!$E$2:$E$158,MATCH($B67,Scores!$BM$2:$BM$158,0)),"")</f>
        <v/>
      </c>
      <c r="H67">
        <f>IFERROR(INDEX(Scores!$BJ$2:$BJ$158,MATCH($B67,Scores!$BM$2:$BM$158,0)),"")</f>
        <v/>
      </c>
      <c r="I67">
        <f>IFERROR(INDEX(Scores!$BL$2:$BL$158,MATCH($B67,Scores!$BM$2:$BM$158,0)),"")</f>
        <v/>
      </c>
      <c r="J67">
        <f>IFERROR(INDEX(Scores!$Q$2:$Q$158,MATCH($B67,Scores!$BM$2:$BM$158,0)),"")</f>
        <v/>
      </c>
      <c r="K67">
        <f>IFERROR(INDEX(Scores!$AE$2:$AE$158,MATCH($B67,Scores!$BM$2:$BM$158,0)),"")</f>
        <v/>
      </c>
      <c r="L67">
        <f>IFERROR(INDEX(Scores!$AM$2:$AM$158,MATCH($B67,Scores!$BM$2:$BM$158,0)),"")</f>
        <v/>
      </c>
      <c r="M67">
        <f>IFERROR(INDEX(Scores!$AW$2:$AW$158,MATCH($B67,Scores!$BM$2:$BM$158,0)),"")</f>
        <v/>
      </c>
      <c r="N67">
        <f>IFERROR(INDEX(Scores!$BG$2:$BG$158,MATCH($B67,Scores!$BM$2:$BM$158,0)),"")</f>
        <v/>
      </c>
    </row>
    <row r="68">
      <c r="A68" t="inlineStr">
        <is>
          <t>Ranked</t>
        </is>
      </c>
      <c r="B68" t="n">
        <v>66</v>
      </c>
      <c r="C68">
        <f>IFERROR(INDEX(Scores!$BM$2:$BM$158,MATCH($B68,Scores!$BM$2:$BM$158,0)),"")</f>
        <v/>
      </c>
      <c r="D68">
        <f>IFERROR(INDEX(Scores!$B$2:$B$158,MATCH($B68,Scores!$BM$2:$BM$158,0)),"")</f>
        <v/>
      </c>
      <c r="E68">
        <f>IFERROR(INDEX(Scores!$C$2:$C$158,MATCH($B68,Scores!$BM$2:$BM$158,0)),"")</f>
        <v/>
      </c>
      <c r="F68">
        <f>IFERROR(INDEX(Scores!$D$2:$D$158,MATCH($B68,Scores!$BM$2:$BM$158,0)),"")</f>
        <v/>
      </c>
      <c r="G68">
        <f>IFERROR(INDEX(Scores!$E$2:$E$158,MATCH($B68,Scores!$BM$2:$BM$158,0)),"")</f>
        <v/>
      </c>
      <c r="H68">
        <f>IFERROR(INDEX(Scores!$BJ$2:$BJ$158,MATCH($B68,Scores!$BM$2:$BM$158,0)),"")</f>
        <v/>
      </c>
      <c r="I68">
        <f>IFERROR(INDEX(Scores!$BL$2:$BL$158,MATCH($B68,Scores!$BM$2:$BM$158,0)),"")</f>
        <v/>
      </c>
      <c r="J68">
        <f>IFERROR(INDEX(Scores!$Q$2:$Q$158,MATCH($B68,Scores!$BM$2:$BM$158,0)),"")</f>
        <v/>
      </c>
      <c r="K68">
        <f>IFERROR(INDEX(Scores!$AE$2:$AE$158,MATCH($B68,Scores!$BM$2:$BM$158,0)),"")</f>
        <v/>
      </c>
      <c r="L68">
        <f>IFERROR(INDEX(Scores!$AM$2:$AM$158,MATCH($B68,Scores!$BM$2:$BM$158,0)),"")</f>
        <v/>
      </c>
      <c r="M68">
        <f>IFERROR(INDEX(Scores!$AW$2:$AW$158,MATCH($B68,Scores!$BM$2:$BM$158,0)),"")</f>
        <v/>
      </c>
      <c r="N68">
        <f>IFERROR(INDEX(Scores!$BG$2:$BG$158,MATCH($B68,Scores!$BM$2:$BM$158,0)),"")</f>
        <v/>
      </c>
    </row>
    <row r="69">
      <c r="A69" t="inlineStr">
        <is>
          <t>Ranked</t>
        </is>
      </c>
      <c r="B69" t="n">
        <v>67</v>
      </c>
      <c r="C69">
        <f>IFERROR(INDEX(Scores!$BM$2:$BM$158,MATCH($B69,Scores!$BM$2:$BM$158,0)),"")</f>
        <v/>
      </c>
      <c r="D69">
        <f>IFERROR(INDEX(Scores!$B$2:$B$158,MATCH($B69,Scores!$BM$2:$BM$158,0)),"")</f>
        <v/>
      </c>
      <c r="E69">
        <f>IFERROR(INDEX(Scores!$C$2:$C$158,MATCH($B69,Scores!$BM$2:$BM$158,0)),"")</f>
        <v/>
      </c>
      <c r="F69">
        <f>IFERROR(INDEX(Scores!$D$2:$D$158,MATCH($B69,Scores!$BM$2:$BM$158,0)),"")</f>
        <v/>
      </c>
      <c r="G69">
        <f>IFERROR(INDEX(Scores!$E$2:$E$158,MATCH($B69,Scores!$BM$2:$BM$158,0)),"")</f>
        <v/>
      </c>
      <c r="H69">
        <f>IFERROR(INDEX(Scores!$BJ$2:$BJ$158,MATCH($B69,Scores!$BM$2:$BM$158,0)),"")</f>
        <v/>
      </c>
      <c r="I69">
        <f>IFERROR(INDEX(Scores!$BL$2:$BL$158,MATCH($B69,Scores!$BM$2:$BM$158,0)),"")</f>
        <v/>
      </c>
      <c r="J69">
        <f>IFERROR(INDEX(Scores!$Q$2:$Q$158,MATCH($B69,Scores!$BM$2:$BM$158,0)),"")</f>
        <v/>
      </c>
      <c r="K69">
        <f>IFERROR(INDEX(Scores!$AE$2:$AE$158,MATCH($B69,Scores!$BM$2:$BM$158,0)),"")</f>
        <v/>
      </c>
      <c r="L69">
        <f>IFERROR(INDEX(Scores!$AM$2:$AM$158,MATCH($B69,Scores!$BM$2:$BM$158,0)),"")</f>
        <v/>
      </c>
      <c r="M69">
        <f>IFERROR(INDEX(Scores!$AW$2:$AW$158,MATCH($B69,Scores!$BM$2:$BM$158,0)),"")</f>
        <v/>
      </c>
      <c r="N69">
        <f>IFERROR(INDEX(Scores!$BG$2:$BG$158,MATCH($B69,Scores!$BM$2:$BM$158,0)),"")</f>
        <v/>
      </c>
    </row>
    <row r="70">
      <c r="A70" t="inlineStr">
        <is>
          <t>Ranked</t>
        </is>
      </c>
      <c r="B70" t="n">
        <v>68</v>
      </c>
      <c r="C70">
        <f>IFERROR(INDEX(Scores!$BM$2:$BM$158,MATCH($B70,Scores!$BM$2:$BM$158,0)),"")</f>
        <v/>
      </c>
      <c r="D70">
        <f>IFERROR(INDEX(Scores!$B$2:$B$158,MATCH($B70,Scores!$BM$2:$BM$158,0)),"")</f>
        <v/>
      </c>
      <c r="E70">
        <f>IFERROR(INDEX(Scores!$C$2:$C$158,MATCH($B70,Scores!$BM$2:$BM$158,0)),"")</f>
        <v/>
      </c>
      <c r="F70">
        <f>IFERROR(INDEX(Scores!$D$2:$D$158,MATCH($B70,Scores!$BM$2:$BM$158,0)),"")</f>
        <v/>
      </c>
      <c r="G70">
        <f>IFERROR(INDEX(Scores!$E$2:$E$158,MATCH($B70,Scores!$BM$2:$BM$158,0)),"")</f>
        <v/>
      </c>
      <c r="H70">
        <f>IFERROR(INDEX(Scores!$BJ$2:$BJ$158,MATCH($B70,Scores!$BM$2:$BM$158,0)),"")</f>
        <v/>
      </c>
      <c r="I70">
        <f>IFERROR(INDEX(Scores!$BL$2:$BL$158,MATCH($B70,Scores!$BM$2:$BM$158,0)),"")</f>
        <v/>
      </c>
      <c r="J70">
        <f>IFERROR(INDEX(Scores!$Q$2:$Q$158,MATCH($B70,Scores!$BM$2:$BM$158,0)),"")</f>
        <v/>
      </c>
      <c r="K70">
        <f>IFERROR(INDEX(Scores!$AE$2:$AE$158,MATCH($B70,Scores!$BM$2:$BM$158,0)),"")</f>
        <v/>
      </c>
      <c r="L70">
        <f>IFERROR(INDEX(Scores!$AM$2:$AM$158,MATCH($B70,Scores!$BM$2:$BM$158,0)),"")</f>
        <v/>
      </c>
      <c r="M70">
        <f>IFERROR(INDEX(Scores!$AW$2:$AW$158,MATCH($B70,Scores!$BM$2:$BM$158,0)),"")</f>
        <v/>
      </c>
      <c r="N70">
        <f>IFERROR(INDEX(Scores!$BG$2:$BG$158,MATCH($B70,Scores!$BM$2:$BM$158,0)),"")</f>
        <v/>
      </c>
    </row>
    <row r="71">
      <c r="A71" t="inlineStr">
        <is>
          <t>Ranked</t>
        </is>
      </c>
      <c r="B71" t="n">
        <v>69</v>
      </c>
      <c r="C71">
        <f>IFERROR(INDEX(Scores!$BM$2:$BM$158,MATCH($B71,Scores!$BM$2:$BM$158,0)),"")</f>
        <v/>
      </c>
      <c r="D71">
        <f>IFERROR(INDEX(Scores!$B$2:$B$158,MATCH($B71,Scores!$BM$2:$BM$158,0)),"")</f>
        <v/>
      </c>
      <c r="E71">
        <f>IFERROR(INDEX(Scores!$C$2:$C$158,MATCH($B71,Scores!$BM$2:$BM$158,0)),"")</f>
        <v/>
      </c>
      <c r="F71">
        <f>IFERROR(INDEX(Scores!$D$2:$D$158,MATCH($B71,Scores!$BM$2:$BM$158,0)),"")</f>
        <v/>
      </c>
      <c r="G71">
        <f>IFERROR(INDEX(Scores!$E$2:$E$158,MATCH($B71,Scores!$BM$2:$BM$158,0)),"")</f>
        <v/>
      </c>
      <c r="H71">
        <f>IFERROR(INDEX(Scores!$BJ$2:$BJ$158,MATCH($B71,Scores!$BM$2:$BM$158,0)),"")</f>
        <v/>
      </c>
      <c r="I71">
        <f>IFERROR(INDEX(Scores!$BL$2:$BL$158,MATCH($B71,Scores!$BM$2:$BM$158,0)),"")</f>
        <v/>
      </c>
      <c r="J71">
        <f>IFERROR(INDEX(Scores!$Q$2:$Q$158,MATCH($B71,Scores!$BM$2:$BM$158,0)),"")</f>
        <v/>
      </c>
      <c r="K71">
        <f>IFERROR(INDEX(Scores!$AE$2:$AE$158,MATCH($B71,Scores!$BM$2:$BM$158,0)),"")</f>
        <v/>
      </c>
      <c r="L71">
        <f>IFERROR(INDEX(Scores!$AM$2:$AM$158,MATCH($B71,Scores!$BM$2:$BM$158,0)),"")</f>
        <v/>
      </c>
      <c r="M71">
        <f>IFERROR(INDEX(Scores!$AW$2:$AW$158,MATCH($B71,Scores!$BM$2:$BM$158,0)),"")</f>
        <v/>
      </c>
      <c r="N71">
        <f>IFERROR(INDEX(Scores!$BG$2:$BG$158,MATCH($B71,Scores!$BM$2:$BM$158,0)),"")</f>
        <v/>
      </c>
    </row>
    <row r="72">
      <c r="A72" t="inlineStr">
        <is>
          <t>Ranked</t>
        </is>
      </c>
      <c r="B72" t="n">
        <v>70</v>
      </c>
      <c r="C72">
        <f>IFERROR(INDEX(Scores!$BM$2:$BM$158,MATCH($B72,Scores!$BM$2:$BM$158,0)),"")</f>
        <v/>
      </c>
      <c r="D72">
        <f>IFERROR(INDEX(Scores!$B$2:$B$158,MATCH($B72,Scores!$BM$2:$BM$158,0)),"")</f>
        <v/>
      </c>
      <c r="E72">
        <f>IFERROR(INDEX(Scores!$C$2:$C$158,MATCH($B72,Scores!$BM$2:$BM$158,0)),"")</f>
        <v/>
      </c>
      <c r="F72">
        <f>IFERROR(INDEX(Scores!$D$2:$D$158,MATCH($B72,Scores!$BM$2:$BM$158,0)),"")</f>
        <v/>
      </c>
      <c r="G72">
        <f>IFERROR(INDEX(Scores!$E$2:$E$158,MATCH($B72,Scores!$BM$2:$BM$158,0)),"")</f>
        <v/>
      </c>
      <c r="H72">
        <f>IFERROR(INDEX(Scores!$BJ$2:$BJ$158,MATCH($B72,Scores!$BM$2:$BM$158,0)),"")</f>
        <v/>
      </c>
      <c r="I72">
        <f>IFERROR(INDEX(Scores!$BL$2:$BL$158,MATCH($B72,Scores!$BM$2:$BM$158,0)),"")</f>
        <v/>
      </c>
      <c r="J72">
        <f>IFERROR(INDEX(Scores!$Q$2:$Q$158,MATCH($B72,Scores!$BM$2:$BM$158,0)),"")</f>
        <v/>
      </c>
      <c r="K72">
        <f>IFERROR(INDEX(Scores!$AE$2:$AE$158,MATCH($B72,Scores!$BM$2:$BM$158,0)),"")</f>
        <v/>
      </c>
      <c r="L72">
        <f>IFERROR(INDEX(Scores!$AM$2:$AM$158,MATCH($B72,Scores!$BM$2:$BM$158,0)),"")</f>
        <v/>
      </c>
      <c r="M72">
        <f>IFERROR(INDEX(Scores!$AW$2:$AW$158,MATCH($B72,Scores!$BM$2:$BM$158,0)),"")</f>
        <v/>
      </c>
      <c r="N72">
        <f>IFERROR(INDEX(Scores!$BG$2:$BG$158,MATCH($B72,Scores!$BM$2:$BM$158,0)),"")</f>
        <v/>
      </c>
    </row>
    <row r="73">
      <c r="A73" t="inlineStr">
        <is>
          <t>Ranked</t>
        </is>
      </c>
      <c r="B73" t="n">
        <v>71</v>
      </c>
      <c r="C73">
        <f>IFERROR(INDEX(Scores!$BM$2:$BM$158,MATCH($B73,Scores!$BM$2:$BM$158,0)),"")</f>
        <v/>
      </c>
      <c r="D73">
        <f>IFERROR(INDEX(Scores!$B$2:$B$158,MATCH($B73,Scores!$BM$2:$BM$158,0)),"")</f>
        <v/>
      </c>
      <c r="E73">
        <f>IFERROR(INDEX(Scores!$C$2:$C$158,MATCH($B73,Scores!$BM$2:$BM$158,0)),"")</f>
        <v/>
      </c>
      <c r="F73">
        <f>IFERROR(INDEX(Scores!$D$2:$D$158,MATCH($B73,Scores!$BM$2:$BM$158,0)),"")</f>
        <v/>
      </c>
      <c r="G73">
        <f>IFERROR(INDEX(Scores!$E$2:$E$158,MATCH($B73,Scores!$BM$2:$BM$158,0)),"")</f>
        <v/>
      </c>
      <c r="H73">
        <f>IFERROR(INDEX(Scores!$BJ$2:$BJ$158,MATCH($B73,Scores!$BM$2:$BM$158,0)),"")</f>
        <v/>
      </c>
      <c r="I73">
        <f>IFERROR(INDEX(Scores!$BL$2:$BL$158,MATCH($B73,Scores!$BM$2:$BM$158,0)),"")</f>
        <v/>
      </c>
      <c r="J73">
        <f>IFERROR(INDEX(Scores!$Q$2:$Q$158,MATCH($B73,Scores!$BM$2:$BM$158,0)),"")</f>
        <v/>
      </c>
      <c r="K73">
        <f>IFERROR(INDEX(Scores!$AE$2:$AE$158,MATCH($B73,Scores!$BM$2:$BM$158,0)),"")</f>
        <v/>
      </c>
      <c r="L73">
        <f>IFERROR(INDEX(Scores!$AM$2:$AM$158,MATCH($B73,Scores!$BM$2:$BM$158,0)),"")</f>
        <v/>
      </c>
      <c r="M73">
        <f>IFERROR(INDEX(Scores!$AW$2:$AW$158,MATCH($B73,Scores!$BM$2:$BM$158,0)),"")</f>
        <v/>
      </c>
      <c r="N73">
        <f>IFERROR(INDEX(Scores!$BG$2:$BG$158,MATCH($B73,Scores!$BM$2:$BM$158,0)),"")</f>
        <v/>
      </c>
    </row>
    <row r="74">
      <c r="A74" t="inlineStr">
        <is>
          <t>Ranked</t>
        </is>
      </c>
      <c r="B74" t="n">
        <v>72</v>
      </c>
      <c r="C74">
        <f>IFERROR(INDEX(Scores!$BM$2:$BM$158,MATCH($B74,Scores!$BM$2:$BM$158,0)),"")</f>
        <v/>
      </c>
      <c r="D74">
        <f>IFERROR(INDEX(Scores!$B$2:$B$158,MATCH($B74,Scores!$BM$2:$BM$158,0)),"")</f>
        <v/>
      </c>
      <c r="E74">
        <f>IFERROR(INDEX(Scores!$C$2:$C$158,MATCH($B74,Scores!$BM$2:$BM$158,0)),"")</f>
        <v/>
      </c>
      <c r="F74">
        <f>IFERROR(INDEX(Scores!$D$2:$D$158,MATCH($B74,Scores!$BM$2:$BM$158,0)),"")</f>
        <v/>
      </c>
      <c r="G74">
        <f>IFERROR(INDEX(Scores!$E$2:$E$158,MATCH($B74,Scores!$BM$2:$BM$158,0)),"")</f>
        <v/>
      </c>
      <c r="H74">
        <f>IFERROR(INDEX(Scores!$BJ$2:$BJ$158,MATCH($B74,Scores!$BM$2:$BM$158,0)),"")</f>
        <v/>
      </c>
      <c r="I74">
        <f>IFERROR(INDEX(Scores!$BL$2:$BL$158,MATCH($B74,Scores!$BM$2:$BM$158,0)),"")</f>
        <v/>
      </c>
      <c r="J74">
        <f>IFERROR(INDEX(Scores!$Q$2:$Q$158,MATCH($B74,Scores!$BM$2:$BM$158,0)),"")</f>
        <v/>
      </c>
      <c r="K74">
        <f>IFERROR(INDEX(Scores!$AE$2:$AE$158,MATCH($B74,Scores!$BM$2:$BM$158,0)),"")</f>
        <v/>
      </c>
      <c r="L74">
        <f>IFERROR(INDEX(Scores!$AM$2:$AM$158,MATCH($B74,Scores!$BM$2:$BM$158,0)),"")</f>
        <v/>
      </c>
      <c r="M74">
        <f>IFERROR(INDEX(Scores!$AW$2:$AW$158,MATCH($B74,Scores!$BM$2:$BM$158,0)),"")</f>
        <v/>
      </c>
      <c r="N74">
        <f>IFERROR(INDEX(Scores!$BG$2:$BG$158,MATCH($B74,Scores!$BM$2:$BM$158,0)),"")</f>
        <v/>
      </c>
    </row>
    <row r="75">
      <c r="A75" t="inlineStr">
        <is>
          <t>Ranked</t>
        </is>
      </c>
      <c r="B75" t="n">
        <v>73</v>
      </c>
      <c r="C75">
        <f>IFERROR(INDEX(Scores!$BM$2:$BM$158,MATCH($B75,Scores!$BM$2:$BM$158,0)),"")</f>
        <v/>
      </c>
      <c r="D75">
        <f>IFERROR(INDEX(Scores!$B$2:$B$158,MATCH($B75,Scores!$BM$2:$BM$158,0)),"")</f>
        <v/>
      </c>
      <c r="E75">
        <f>IFERROR(INDEX(Scores!$C$2:$C$158,MATCH($B75,Scores!$BM$2:$BM$158,0)),"")</f>
        <v/>
      </c>
      <c r="F75">
        <f>IFERROR(INDEX(Scores!$D$2:$D$158,MATCH($B75,Scores!$BM$2:$BM$158,0)),"")</f>
        <v/>
      </c>
      <c r="G75">
        <f>IFERROR(INDEX(Scores!$E$2:$E$158,MATCH($B75,Scores!$BM$2:$BM$158,0)),"")</f>
        <v/>
      </c>
      <c r="H75">
        <f>IFERROR(INDEX(Scores!$BJ$2:$BJ$158,MATCH($B75,Scores!$BM$2:$BM$158,0)),"")</f>
        <v/>
      </c>
      <c r="I75">
        <f>IFERROR(INDEX(Scores!$BL$2:$BL$158,MATCH($B75,Scores!$BM$2:$BM$158,0)),"")</f>
        <v/>
      </c>
      <c r="J75">
        <f>IFERROR(INDEX(Scores!$Q$2:$Q$158,MATCH($B75,Scores!$BM$2:$BM$158,0)),"")</f>
        <v/>
      </c>
      <c r="K75">
        <f>IFERROR(INDEX(Scores!$AE$2:$AE$158,MATCH($B75,Scores!$BM$2:$BM$158,0)),"")</f>
        <v/>
      </c>
      <c r="L75">
        <f>IFERROR(INDEX(Scores!$AM$2:$AM$158,MATCH($B75,Scores!$BM$2:$BM$158,0)),"")</f>
        <v/>
      </c>
      <c r="M75">
        <f>IFERROR(INDEX(Scores!$AW$2:$AW$158,MATCH($B75,Scores!$BM$2:$BM$158,0)),"")</f>
        <v/>
      </c>
      <c r="N75">
        <f>IFERROR(INDEX(Scores!$BG$2:$BG$158,MATCH($B75,Scores!$BM$2:$BM$158,0)),"")</f>
        <v/>
      </c>
    </row>
    <row r="76">
      <c r="A76" t="inlineStr">
        <is>
          <t>Ranked</t>
        </is>
      </c>
      <c r="B76" t="n">
        <v>74</v>
      </c>
      <c r="C76">
        <f>IFERROR(INDEX(Scores!$BM$2:$BM$158,MATCH($B76,Scores!$BM$2:$BM$158,0)),"")</f>
        <v/>
      </c>
      <c r="D76">
        <f>IFERROR(INDEX(Scores!$B$2:$B$158,MATCH($B76,Scores!$BM$2:$BM$158,0)),"")</f>
        <v/>
      </c>
      <c r="E76">
        <f>IFERROR(INDEX(Scores!$C$2:$C$158,MATCH($B76,Scores!$BM$2:$BM$158,0)),"")</f>
        <v/>
      </c>
      <c r="F76">
        <f>IFERROR(INDEX(Scores!$D$2:$D$158,MATCH($B76,Scores!$BM$2:$BM$158,0)),"")</f>
        <v/>
      </c>
      <c r="G76">
        <f>IFERROR(INDEX(Scores!$E$2:$E$158,MATCH($B76,Scores!$BM$2:$BM$158,0)),"")</f>
        <v/>
      </c>
      <c r="H76">
        <f>IFERROR(INDEX(Scores!$BJ$2:$BJ$158,MATCH($B76,Scores!$BM$2:$BM$158,0)),"")</f>
        <v/>
      </c>
      <c r="I76">
        <f>IFERROR(INDEX(Scores!$BL$2:$BL$158,MATCH($B76,Scores!$BM$2:$BM$158,0)),"")</f>
        <v/>
      </c>
      <c r="J76">
        <f>IFERROR(INDEX(Scores!$Q$2:$Q$158,MATCH($B76,Scores!$BM$2:$BM$158,0)),"")</f>
        <v/>
      </c>
      <c r="K76">
        <f>IFERROR(INDEX(Scores!$AE$2:$AE$158,MATCH($B76,Scores!$BM$2:$BM$158,0)),"")</f>
        <v/>
      </c>
      <c r="L76">
        <f>IFERROR(INDEX(Scores!$AM$2:$AM$158,MATCH($B76,Scores!$BM$2:$BM$158,0)),"")</f>
        <v/>
      </c>
      <c r="M76">
        <f>IFERROR(INDEX(Scores!$AW$2:$AW$158,MATCH($B76,Scores!$BM$2:$BM$158,0)),"")</f>
        <v/>
      </c>
      <c r="N76">
        <f>IFERROR(INDEX(Scores!$BG$2:$BG$158,MATCH($B76,Scores!$BM$2:$BM$158,0)),"")</f>
        <v/>
      </c>
    </row>
    <row r="77">
      <c r="A77" t="inlineStr">
        <is>
          <t>Ranked</t>
        </is>
      </c>
      <c r="B77" t="n">
        <v>75</v>
      </c>
      <c r="C77">
        <f>IFERROR(INDEX(Scores!$BM$2:$BM$158,MATCH($B77,Scores!$BM$2:$BM$158,0)),"")</f>
        <v/>
      </c>
      <c r="D77">
        <f>IFERROR(INDEX(Scores!$B$2:$B$158,MATCH($B77,Scores!$BM$2:$BM$158,0)),"")</f>
        <v/>
      </c>
      <c r="E77">
        <f>IFERROR(INDEX(Scores!$C$2:$C$158,MATCH($B77,Scores!$BM$2:$BM$158,0)),"")</f>
        <v/>
      </c>
      <c r="F77">
        <f>IFERROR(INDEX(Scores!$D$2:$D$158,MATCH($B77,Scores!$BM$2:$BM$158,0)),"")</f>
        <v/>
      </c>
      <c r="G77">
        <f>IFERROR(INDEX(Scores!$E$2:$E$158,MATCH($B77,Scores!$BM$2:$BM$158,0)),"")</f>
        <v/>
      </c>
      <c r="H77">
        <f>IFERROR(INDEX(Scores!$BJ$2:$BJ$158,MATCH($B77,Scores!$BM$2:$BM$158,0)),"")</f>
        <v/>
      </c>
      <c r="I77">
        <f>IFERROR(INDEX(Scores!$BL$2:$BL$158,MATCH($B77,Scores!$BM$2:$BM$158,0)),"")</f>
        <v/>
      </c>
      <c r="J77">
        <f>IFERROR(INDEX(Scores!$Q$2:$Q$158,MATCH($B77,Scores!$BM$2:$BM$158,0)),"")</f>
        <v/>
      </c>
      <c r="K77">
        <f>IFERROR(INDEX(Scores!$AE$2:$AE$158,MATCH($B77,Scores!$BM$2:$BM$158,0)),"")</f>
        <v/>
      </c>
      <c r="L77">
        <f>IFERROR(INDEX(Scores!$AM$2:$AM$158,MATCH($B77,Scores!$BM$2:$BM$158,0)),"")</f>
        <v/>
      </c>
      <c r="M77">
        <f>IFERROR(INDEX(Scores!$AW$2:$AW$158,MATCH($B77,Scores!$BM$2:$BM$158,0)),"")</f>
        <v/>
      </c>
      <c r="N77">
        <f>IFERROR(INDEX(Scores!$BG$2:$BG$158,MATCH($B77,Scores!$BM$2:$BM$158,0)),"")</f>
        <v/>
      </c>
    </row>
    <row r="78">
      <c r="A78" t="inlineStr">
        <is>
          <t>Ranked</t>
        </is>
      </c>
      <c r="B78" t="n">
        <v>76</v>
      </c>
      <c r="C78">
        <f>IFERROR(INDEX(Scores!$BM$2:$BM$158,MATCH($B78,Scores!$BM$2:$BM$158,0)),"")</f>
        <v/>
      </c>
      <c r="D78">
        <f>IFERROR(INDEX(Scores!$B$2:$B$158,MATCH($B78,Scores!$BM$2:$BM$158,0)),"")</f>
        <v/>
      </c>
      <c r="E78">
        <f>IFERROR(INDEX(Scores!$C$2:$C$158,MATCH($B78,Scores!$BM$2:$BM$158,0)),"")</f>
        <v/>
      </c>
      <c r="F78">
        <f>IFERROR(INDEX(Scores!$D$2:$D$158,MATCH($B78,Scores!$BM$2:$BM$158,0)),"")</f>
        <v/>
      </c>
      <c r="G78">
        <f>IFERROR(INDEX(Scores!$E$2:$E$158,MATCH($B78,Scores!$BM$2:$BM$158,0)),"")</f>
        <v/>
      </c>
      <c r="H78">
        <f>IFERROR(INDEX(Scores!$BJ$2:$BJ$158,MATCH($B78,Scores!$BM$2:$BM$158,0)),"")</f>
        <v/>
      </c>
      <c r="I78">
        <f>IFERROR(INDEX(Scores!$BL$2:$BL$158,MATCH($B78,Scores!$BM$2:$BM$158,0)),"")</f>
        <v/>
      </c>
      <c r="J78">
        <f>IFERROR(INDEX(Scores!$Q$2:$Q$158,MATCH($B78,Scores!$BM$2:$BM$158,0)),"")</f>
        <v/>
      </c>
      <c r="K78">
        <f>IFERROR(INDEX(Scores!$AE$2:$AE$158,MATCH($B78,Scores!$BM$2:$BM$158,0)),"")</f>
        <v/>
      </c>
      <c r="L78">
        <f>IFERROR(INDEX(Scores!$AM$2:$AM$158,MATCH($B78,Scores!$BM$2:$BM$158,0)),"")</f>
        <v/>
      </c>
      <c r="M78">
        <f>IFERROR(INDEX(Scores!$AW$2:$AW$158,MATCH($B78,Scores!$BM$2:$BM$158,0)),"")</f>
        <v/>
      </c>
      <c r="N78">
        <f>IFERROR(INDEX(Scores!$BG$2:$BG$158,MATCH($B78,Scores!$BM$2:$BM$158,0)),"")</f>
        <v/>
      </c>
    </row>
    <row r="79">
      <c r="A79" t="inlineStr">
        <is>
          <t>Ranked</t>
        </is>
      </c>
      <c r="B79" t="n">
        <v>77</v>
      </c>
      <c r="C79">
        <f>IFERROR(INDEX(Scores!$BM$2:$BM$158,MATCH($B79,Scores!$BM$2:$BM$158,0)),"")</f>
        <v/>
      </c>
      <c r="D79">
        <f>IFERROR(INDEX(Scores!$B$2:$B$158,MATCH($B79,Scores!$BM$2:$BM$158,0)),"")</f>
        <v/>
      </c>
      <c r="E79">
        <f>IFERROR(INDEX(Scores!$C$2:$C$158,MATCH($B79,Scores!$BM$2:$BM$158,0)),"")</f>
        <v/>
      </c>
      <c r="F79">
        <f>IFERROR(INDEX(Scores!$D$2:$D$158,MATCH($B79,Scores!$BM$2:$BM$158,0)),"")</f>
        <v/>
      </c>
      <c r="G79">
        <f>IFERROR(INDEX(Scores!$E$2:$E$158,MATCH($B79,Scores!$BM$2:$BM$158,0)),"")</f>
        <v/>
      </c>
      <c r="H79">
        <f>IFERROR(INDEX(Scores!$BJ$2:$BJ$158,MATCH($B79,Scores!$BM$2:$BM$158,0)),"")</f>
        <v/>
      </c>
      <c r="I79">
        <f>IFERROR(INDEX(Scores!$BL$2:$BL$158,MATCH($B79,Scores!$BM$2:$BM$158,0)),"")</f>
        <v/>
      </c>
      <c r="J79">
        <f>IFERROR(INDEX(Scores!$Q$2:$Q$158,MATCH($B79,Scores!$BM$2:$BM$158,0)),"")</f>
        <v/>
      </c>
      <c r="K79">
        <f>IFERROR(INDEX(Scores!$AE$2:$AE$158,MATCH($B79,Scores!$BM$2:$BM$158,0)),"")</f>
        <v/>
      </c>
      <c r="L79">
        <f>IFERROR(INDEX(Scores!$AM$2:$AM$158,MATCH($B79,Scores!$BM$2:$BM$158,0)),"")</f>
        <v/>
      </c>
      <c r="M79">
        <f>IFERROR(INDEX(Scores!$AW$2:$AW$158,MATCH($B79,Scores!$BM$2:$BM$158,0)),"")</f>
        <v/>
      </c>
      <c r="N79">
        <f>IFERROR(INDEX(Scores!$BG$2:$BG$158,MATCH($B79,Scores!$BM$2:$BM$158,0)),"")</f>
        <v/>
      </c>
    </row>
    <row r="80">
      <c r="A80" t="inlineStr">
        <is>
          <t>Ranked</t>
        </is>
      </c>
      <c r="B80" t="n">
        <v>78</v>
      </c>
      <c r="C80">
        <f>IFERROR(INDEX(Scores!$BM$2:$BM$158,MATCH($B80,Scores!$BM$2:$BM$158,0)),"")</f>
        <v/>
      </c>
      <c r="D80">
        <f>IFERROR(INDEX(Scores!$B$2:$B$158,MATCH($B80,Scores!$BM$2:$BM$158,0)),"")</f>
        <v/>
      </c>
      <c r="E80">
        <f>IFERROR(INDEX(Scores!$C$2:$C$158,MATCH($B80,Scores!$BM$2:$BM$158,0)),"")</f>
        <v/>
      </c>
      <c r="F80">
        <f>IFERROR(INDEX(Scores!$D$2:$D$158,MATCH($B80,Scores!$BM$2:$BM$158,0)),"")</f>
        <v/>
      </c>
      <c r="G80">
        <f>IFERROR(INDEX(Scores!$E$2:$E$158,MATCH($B80,Scores!$BM$2:$BM$158,0)),"")</f>
        <v/>
      </c>
      <c r="H80">
        <f>IFERROR(INDEX(Scores!$BJ$2:$BJ$158,MATCH($B80,Scores!$BM$2:$BM$158,0)),"")</f>
        <v/>
      </c>
      <c r="I80">
        <f>IFERROR(INDEX(Scores!$BL$2:$BL$158,MATCH($B80,Scores!$BM$2:$BM$158,0)),"")</f>
        <v/>
      </c>
      <c r="J80">
        <f>IFERROR(INDEX(Scores!$Q$2:$Q$158,MATCH($B80,Scores!$BM$2:$BM$158,0)),"")</f>
        <v/>
      </c>
      <c r="K80">
        <f>IFERROR(INDEX(Scores!$AE$2:$AE$158,MATCH($B80,Scores!$BM$2:$BM$158,0)),"")</f>
        <v/>
      </c>
      <c r="L80">
        <f>IFERROR(INDEX(Scores!$AM$2:$AM$158,MATCH($B80,Scores!$BM$2:$BM$158,0)),"")</f>
        <v/>
      </c>
      <c r="M80">
        <f>IFERROR(INDEX(Scores!$AW$2:$AW$158,MATCH($B80,Scores!$BM$2:$BM$158,0)),"")</f>
        <v/>
      </c>
      <c r="N80">
        <f>IFERROR(INDEX(Scores!$BG$2:$BG$158,MATCH($B80,Scores!$BM$2:$BM$158,0)),"")</f>
        <v/>
      </c>
    </row>
    <row r="81">
      <c r="A81" t="inlineStr">
        <is>
          <t>Ranked</t>
        </is>
      </c>
      <c r="B81" t="n">
        <v>79</v>
      </c>
      <c r="C81">
        <f>IFERROR(INDEX(Scores!$BM$2:$BM$158,MATCH($B81,Scores!$BM$2:$BM$158,0)),"")</f>
        <v/>
      </c>
      <c r="D81">
        <f>IFERROR(INDEX(Scores!$B$2:$B$158,MATCH($B81,Scores!$BM$2:$BM$158,0)),"")</f>
        <v/>
      </c>
      <c r="E81">
        <f>IFERROR(INDEX(Scores!$C$2:$C$158,MATCH($B81,Scores!$BM$2:$BM$158,0)),"")</f>
        <v/>
      </c>
      <c r="F81">
        <f>IFERROR(INDEX(Scores!$D$2:$D$158,MATCH($B81,Scores!$BM$2:$BM$158,0)),"")</f>
        <v/>
      </c>
      <c r="G81">
        <f>IFERROR(INDEX(Scores!$E$2:$E$158,MATCH($B81,Scores!$BM$2:$BM$158,0)),"")</f>
        <v/>
      </c>
      <c r="H81">
        <f>IFERROR(INDEX(Scores!$BJ$2:$BJ$158,MATCH($B81,Scores!$BM$2:$BM$158,0)),"")</f>
        <v/>
      </c>
      <c r="I81">
        <f>IFERROR(INDEX(Scores!$BL$2:$BL$158,MATCH($B81,Scores!$BM$2:$BM$158,0)),"")</f>
        <v/>
      </c>
      <c r="J81">
        <f>IFERROR(INDEX(Scores!$Q$2:$Q$158,MATCH($B81,Scores!$BM$2:$BM$158,0)),"")</f>
        <v/>
      </c>
      <c r="K81">
        <f>IFERROR(INDEX(Scores!$AE$2:$AE$158,MATCH($B81,Scores!$BM$2:$BM$158,0)),"")</f>
        <v/>
      </c>
      <c r="L81">
        <f>IFERROR(INDEX(Scores!$AM$2:$AM$158,MATCH($B81,Scores!$BM$2:$BM$158,0)),"")</f>
        <v/>
      </c>
      <c r="M81">
        <f>IFERROR(INDEX(Scores!$AW$2:$AW$158,MATCH($B81,Scores!$BM$2:$BM$158,0)),"")</f>
        <v/>
      </c>
      <c r="N81">
        <f>IFERROR(INDEX(Scores!$BG$2:$BG$158,MATCH($B81,Scores!$BM$2:$BM$158,0)),"")</f>
        <v/>
      </c>
    </row>
    <row r="82">
      <c r="A82" t="inlineStr">
        <is>
          <t>Ranked</t>
        </is>
      </c>
      <c r="B82" t="n">
        <v>80</v>
      </c>
      <c r="C82">
        <f>IFERROR(INDEX(Scores!$BM$2:$BM$158,MATCH($B82,Scores!$BM$2:$BM$158,0)),"")</f>
        <v/>
      </c>
      <c r="D82">
        <f>IFERROR(INDEX(Scores!$B$2:$B$158,MATCH($B82,Scores!$BM$2:$BM$158,0)),"")</f>
        <v/>
      </c>
      <c r="E82">
        <f>IFERROR(INDEX(Scores!$C$2:$C$158,MATCH($B82,Scores!$BM$2:$BM$158,0)),"")</f>
        <v/>
      </c>
      <c r="F82">
        <f>IFERROR(INDEX(Scores!$D$2:$D$158,MATCH($B82,Scores!$BM$2:$BM$158,0)),"")</f>
        <v/>
      </c>
      <c r="G82">
        <f>IFERROR(INDEX(Scores!$E$2:$E$158,MATCH($B82,Scores!$BM$2:$BM$158,0)),"")</f>
        <v/>
      </c>
      <c r="H82">
        <f>IFERROR(INDEX(Scores!$BJ$2:$BJ$158,MATCH($B82,Scores!$BM$2:$BM$158,0)),"")</f>
        <v/>
      </c>
      <c r="I82">
        <f>IFERROR(INDEX(Scores!$BL$2:$BL$158,MATCH($B82,Scores!$BM$2:$BM$158,0)),"")</f>
        <v/>
      </c>
      <c r="J82">
        <f>IFERROR(INDEX(Scores!$Q$2:$Q$158,MATCH($B82,Scores!$BM$2:$BM$158,0)),"")</f>
        <v/>
      </c>
      <c r="K82">
        <f>IFERROR(INDEX(Scores!$AE$2:$AE$158,MATCH($B82,Scores!$BM$2:$BM$158,0)),"")</f>
        <v/>
      </c>
      <c r="L82">
        <f>IFERROR(INDEX(Scores!$AM$2:$AM$158,MATCH($B82,Scores!$BM$2:$BM$158,0)),"")</f>
        <v/>
      </c>
      <c r="M82">
        <f>IFERROR(INDEX(Scores!$AW$2:$AW$158,MATCH($B82,Scores!$BM$2:$BM$158,0)),"")</f>
        <v/>
      </c>
      <c r="N82">
        <f>IFERROR(INDEX(Scores!$BG$2:$BG$158,MATCH($B82,Scores!$BM$2:$BM$158,0)),"")</f>
        <v/>
      </c>
    </row>
    <row r="83">
      <c r="A83" t="inlineStr">
        <is>
          <t>Ranked</t>
        </is>
      </c>
      <c r="B83" t="n">
        <v>81</v>
      </c>
      <c r="C83">
        <f>IFERROR(INDEX(Scores!$BM$2:$BM$158,MATCH($B83,Scores!$BM$2:$BM$158,0)),"")</f>
        <v/>
      </c>
      <c r="D83">
        <f>IFERROR(INDEX(Scores!$B$2:$B$158,MATCH($B83,Scores!$BM$2:$BM$158,0)),"")</f>
        <v/>
      </c>
      <c r="E83">
        <f>IFERROR(INDEX(Scores!$C$2:$C$158,MATCH($B83,Scores!$BM$2:$BM$158,0)),"")</f>
        <v/>
      </c>
      <c r="F83">
        <f>IFERROR(INDEX(Scores!$D$2:$D$158,MATCH($B83,Scores!$BM$2:$BM$158,0)),"")</f>
        <v/>
      </c>
      <c r="G83">
        <f>IFERROR(INDEX(Scores!$E$2:$E$158,MATCH($B83,Scores!$BM$2:$BM$158,0)),"")</f>
        <v/>
      </c>
      <c r="H83">
        <f>IFERROR(INDEX(Scores!$BJ$2:$BJ$158,MATCH($B83,Scores!$BM$2:$BM$158,0)),"")</f>
        <v/>
      </c>
      <c r="I83">
        <f>IFERROR(INDEX(Scores!$BL$2:$BL$158,MATCH($B83,Scores!$BM$2:$BM$158,0)),"")</f>
        <v/>
      </c>
      <c r="J83">
        <f>IFERROR(INDEX(Scores!$Q$2:$Q$158,MATCH($B83,Scores!$BM$2:$BM$158,0)),"")</f>
        <v/>
      </c>
      <c r="K83">
        <f>IFERROR(INDEX(Scores!$AE$2:$AE$158,MATCH($B83,Scores!$BM$2:$BM$158,0)),"")</f>
        <v/>
      </c>
      <c r="L83">
        <f>IFERROR(INDEX(Scores!$AM$2:$AM$158,MATCH($B83,Scores!$BM$2:$BM$158,0)),"")</f>
        <v/>
      </c>
      <c r="M83">
        <f>IFERROR(INDEX(Scores!$AW$2:$AW$158,MATCH($B83,Scores!$BM$2:$BM$158,0)),"")</f>
        <v/>
      </c>
      <c r="N83">
        <f>IFERROR(INDEX(Scores!$BG$2:$BG$158,MATCH($B83,Scores!$BM$2:$BM$158,0)),"")</f>
        <v/>
      </c>
    </row>
    <row r="84">
      <c r="A84" t="inlineStr">
        <is>
          <t>Ranked</t>
        </is>
      </c>
      <c r="B84" t="n">
        <v>82</v>
      </c>
      <c r="C84">
        <f>IFERROR(INDEX(Scores!$BM$2:$BM$158,MATCH($B84,Scores!$BM$2:$BM$158,0)),"")</f>
        <v/>
      </c>
      <c r="D84">
        <f>IFERROR(INDEX(Scores!$B$2:$B$158,MATCH($B84,Scores!$BM$2:$BM$158,0)),"")</f>
        <v/>
      </c>
      <c r="E84">
        <f>IFERROR(INDEX(Scores!$C$2:$C$158,MATCH($B84,Scores!$BM$2:$BM$158,0)),"")</f>
        <v/>
      </c>
      <c r="F84">
        <f>IFERROR(INDEX(Scores!$D$2:$D$158,MATCH($B84,Scores!$BM$2:$BM$158,0)),"")</f>
        <v/>
      </c>
      <c r="G84">
        <f>IFERROR(INDEX(Scores!$E$2:$E$158,MATCH($B84,Scores!$BM$2:$BM$158,0)),"")</f>
        <v/>
      </c>
      <c r="H84">
        <f>IFERROR(INDEX(Scores!$BJ$2:$BJ$158,MATCH($B84,Scores!$BM$2:$BM$158,0)),"")</f>
        <v/>
      </c>
      <c r="I84">
        <f>IFERROR(INDEX(Scores!$BL$2:$BL$158,MATCH($B84,Scores!$BM$2:$BM$158,0)),"")</f>
        <v/>
      </c>
      <c r="J84">
        <f>IFERROR(INDEX(Scores!$Q$2:$Q$158,MATCH($B84,Scores!$BM$2:$BM$158,0)),"")</f>
        <v/>
      </c>
      <c r="K84">
        <f>IFERROR(INDEX(Scores!$AE$2:$AE$158,MATCH($B84,Scores!$BM$2:$BM$158,0)),"")</f>
        <v/>
      </c>
      <c r="L84">
        <f>IFERROR(INDEX(Scores!$AM$2:$AM$158,MATCH($B84,Scores!$BM$2:$BM$158,0)),"")</f>
        <v/>
      </c>
      <c r="M84">
        <f>IFERROR(INDEX(Scores!$AW$2:$AW$158,MATCH($B84,Scores!$BM$2:$BM$158,0)),"")</f>
        <v/>
      </c>
      <c r="N84">
        <f>IFERROR(INDEX(Scores!$BG$2:$BG$158,MATCH($B84,Scores!$BM$2:$BM$158,0)),"")</f>
        <v/>
      </c>
    </row>
    <row r="85">
      <c r="A85" t="inlineStr">
        <is>
          <t>Ranked</t>
        </is>
      </c>
      <c r="B85" t="n">
        <v>83</v>
      </c>
      <c r="C85">
        <f>IFERROR(INDEX(Scores!$BM$2:$BM$158,MATCH($B85,Scores!$BM$2:$BM$158,0)),"")</f>
        <v/>
      </c>
      <c r="D85">
        <f>IFERROR(INDEX(Scores!$B$2:$B$158,MATCH($B85,Scores!$BM$2:$BM$158,0)),"")</f>
        <v/>
      </c>
      <c r="E85">
        <f>IFERROR(INDEX(Scores!$C$2:$C$158,MATCH($B85,Scores!$BM$2:$BM$158,0)),"")</f>
        <v/>
      </c>
      <c r="F85">
        <f>IFERROR(INDEX(Scores!$D$2:$D$158,MATCH($B85,Scores!$BM$2:$BM$158,0)),"")</f>
        <v/>
      </c>
      <c r="G85">
        <f>IFERROR(INDEX(Scores!$E$2:$E$158,MATCH($B85,Scores!$BM$2:$BM$158,0)),"")</f>
        <v/>
      </c>
      <c r="H85">
        <f>IFERROR(INDEX(Scores!$BJ$2:$BJ$158,MATCH($B85,Scores!$BM$2:$BM$158,0)),"")</f>
        <v/>
      </c>
      <c r="I85">
        <f>IFERROR(INDEX(Scores!$BL$2:$BL$158,MATCH($B85,Scores!$BM$2:$BM$158,0)),"")</f>
        <v/>
      </c>
      <c r="J85">
        <f>IFERROR(INDEX(Scores!$Q$2:$Q$158,MATCH($B85,Scores!$BM$2:$BM$158,0)),"")</f>
        <v/>
      </c>
      <c r="K85">
        <f>IFERROR(INDEX(Scores!$AE$2:$AE$158,MATCH($B85,Scores!$BM$2:$BM$158,0)),"")</f>
        <v/>
      </c>
      <c r="L85">
        <f>IFERROR(INDEX(Scores!$AM$2:$AM$158,MATCH($B85,Scores!$BM$2:$BM$158,0)),"")</f>
        <v/>
      </c>
      <c r="M85">
        <f>IFERROR(INDEX(Scores!$AW$2:$AW$158,MATCH($B85,Scores!$BM$2:$BM$158,0)),"")</f>
        <v/>
      </c>
      <c r="N85">
        <f>IFERROR(INDEX(Scores!$BG$2:$BG$158,MATCH($B85,Scores!$BM$2:$BM$158,0)),"")</f>
        <v/>
      </c>
    </row>
    <row r="86">
      <c r="A86" t="inlineStr">
        <is>
          <t>Ranked</t>
        </is>
      </c>
      <c r="B86" t="n">
        <v>84</v>
      </c>
      <c r="C86">
        <f>IFERROR(INDEX(Scores!$BM$2:$BM$158,MATCH($B86,Scores!$BM$2:$BM$158,0)),"")</f>
        <v/>
      </c>
      <c r="D86">
        <f>IFERROR(INDEX(Scores!$B$2:$B$158,MATCH($B86,Scores!$BM$2:$BM$158,0)),"")</f>
        <v/>
      </c>
      <c r="E86">
        <f>IFERROR(INDEX(Scores!$C$2:$C$158,MATCH($B86,Scores!$BM$2:$BM$158,0)),"")</f>
        <v/>
      </c>
      <c r="F86">
        <f>IFERROR(INDEX(Scores!$D$2:$D$158,MATCH($B86,Scores!$BM$2:$BM$158,0)),"")</f>
        <v/>
      </c>
      <c r="G86">
        <f>IFERROR(INDEX(Scores!$E$2:$E$158,MATCH($B86,Scores!$BM$2:$BM$158,0)),"")</f>
        <v/>
      </c>
      <c r="H86">
        <f>IFERROR(INDEX(Scores!$BJ$2:$BJ$158,MATCH($B86,Scores!$BM$2:$BM$158,0)),"")</f>
        <v/>
      </c>
      <c r="I86">
        <f>IFERROR(INDEX(Scores!$BL$2:$BL$158,MATCH($B86,Scores!$BM$2:$BM$158,0)),"")</f>
        <v/>
      </c>
      <c r="J86">
        <f>IFERROR(INDEX(Scores!$Q$2:$Q$158,MATCH($B86,Scores!$BM$2:$BM$158,0)),"")</f>
        <v/>
      </c>
      <c r="K86">
        <f>IFERROR(INDEX(Scores!$AE$2:$AE$158,MATCH($B86,Scores!$BM$2:$BM$158,0)),"")</f>
        <v/>
      </c>
      <c r="L86">
        <f>IFERROR(INDEX(Scores!$AM$2:$AM$158,MATCH($B86,Scores!$BM$2:$BM$158,0)),"")</f>
        <v/>
      </c>
      <c r="M86">
        <f>IFERROR(INDEX(Scores!$AW$2:$AW$158,MATCH($B86,Scores!$BM$2:$BM$158,0)),"")</f>
        <v/>
      </c>
      <c r="N86">
        <f>IFERROR(INDEX(Scores!$BG$2:$BG$158,MATCH($B86,Scores!$BM$2:$BM$158,0)),"")</f>
        <v/>
      </c>
    </row>
    <row r="87">
      <c r="A87" t="inlineStr">
        <is>
          <t>Ranked</t>
        </is>
      </c>
      <c r="B87" t="n">
        <v>85</v>
      </c>
      <c r="C87">
        <f>IFERROR(INDEX(Scores!$BM$2:$BM$158,MATCH($B87,Scores!$BM$2:$BM$158,0)),"")</f>
        <v/>
      </c>
      <c r="D87">
        <f>IFERROR(INDEX(Scores!$B$2:$B$158,MATCH($B87,Scores!$BM$2:$BM$158,0)),"")</f>
        <v/>
      </c>
      <c r="E87">
        <f>IFERROR(INDEX(Scores!$C$2:$C$158,MATCH($B87,Scores!$BM$2:$BM$158,0)),"")</f>
        <v/>
      </c>
      <c r="F87">
        <f>IFERROR(INDEX(Scores!$D$2:$D$158,MATCH($B87,Scores!$BM$2:$BM$158,0)),"")</f>
        <v/>
      </c>
      <c r="G87">
        <f>IFERROR(INDEX(Scores!$E$2:$E$158,MATCH($B87,Scores!$BM$2:$BM$158,0)),"")</f>
        <v/>
      </c>
      <c r="H87">
        <f>IFERROR(INDEX(Scores!$BJ$2:$BJ$158,MATCH($B87,Scores!$BM$2:$BM$158,0)),"")</f>
        <v/>
      </c>
      <c r="I87">
        <f>IFERROR(INDEX(Scores!$BL$2:$BL$158,MATCH($B87,Scores!$BM$2:$BM$158,0)),"")</f>
        <v/>
      </c>
      <c r="J87">
        <f>IFERROR(INDEX(Scores!$Q$2:$Q$158,MATCH($B87,Scores!$BM$2:$BM$158,0)),"")</f>
        <v/>
      </c>
      <c r="K87">
        <f>IFERROR(INDEX(Scores!$AE$2:$AE$158,MATCH($B87,Scores!$BM$2:$BM$158,0)),"")</f>
        <v/>
      </c>
      <c r="L87">
        <f>IFERROR(INDEX(Scores!$AM$2:$AM$158,MATCH($B87,Scores!$BM$2:$BM$158,0)),"")</f>
        <v/>
      </c>
      <c r="M87">
        <f>IFERROR(INDEX(Scores!$AW$2:$AW$158,MATCH($B87,Scores!$BM$2:$BM$158,0)),"")</f>
        <v/>
      </c>
      <c r="N87">
        <f>IFERROR(INDEX(Scores!$BG$2:$BG$158,MATCH($B87,Scores!$BM$2:$BM$158,0)),"")</f>
        <v/>
      </c>
    </row>
    <row r="88">
      <c r="A88" t="inlineStr">
        <is>
          <t>Ranked</t>
        </is>
      </c>
      <c r="B88" t="n">
        <v>86</v>
      </c>
      <c r="C88">
        <f>IFERROR(INDEX(Scores!$BM$2:$BM$158,MATCH($B88,Scores!$BM$2:$BM$158,0)),"")</f>
        <v/>
      </c>
      <c r="D88">
        <f>IFERROR(INDEX(Scores!$B$2:$B$158,MATCH($B88,Scores!$BM$2:$BM$158,0)),"")</f>
        <v/>
      </c>
      <c r="E88">
        <f>IFERROR(INDEX(Scores!$C$2:$C$158,MATCH($B88,Scores!$BM$2:$BM$158,0)),"")</f>
        <v/>
      </c>
      <c r="F88">
        <f>IFERROR(INDEX(Scores!$D$2:$D$158,MATCH($B88,Scores!$BM$2:$BM$158,0)),"")</f>
        <v/>
      </c>
      <c r="G88">
        <f>IFERROR(INDEX(Scores!$E$2:$E$158,MATCH($B88,Scores!$BM$2:$BM$158,0)),"")</f>
        <v/>
      </c>
      <c r="H88">
        <f>IFERROR(INDEX(Scores!$BJ$2:$BJ$158,MATCH($B88,Scores!$BM$2:$BM$158,0)),"")</f>
        <v/>
      </c>
      <c r="I88">
        <f>IFERROR(INDEX(Scores!$BL$2:$BL$158,MATCH($B88,Scores!$BM$2:$BM$158,0)),"")</f>
        <v/>
      </c>
      <c r="J88">
        <f>IFERROR(INDEX(Scores!$Q$2:$Q$158,MATCH($B88,Scores!$BM$2:$BM$158,0)),"")</f>
        <v/>
      </c>
      <c r="K88">
        <f>IFERROR(INDEX(Scores!$AE$2:$AE$158,MATCH($B88,Scores!$BM$2:$BM$158,0)),"")</f>
        <v/>
      </c>
      <c r="L88">
        <f>IFERROR(INDEX(Scores!$AM$2:$AM$158,MATCH($B88,Scores!$BM$2:$BM$158,0)),"")</f>
        <v/>
      </c>
      <c r="M88">
        <f>IFERROR(INDEX(Scores!$AW$2:$AW$158,MATCH($B88,Scores!$BM$2:$BM$158,0)),"")</f>
        <v/>
      </c>
      <c r="N88">
        <f>IFERROR(INDEX(Scores!$BG$2:$BG$158,MATCH($B88,Scores!$BM$2:$BM$158,0)),"")</f>
        <v/>
      </c>
    </row>
    <row r="89">
      <c r="A89" t="inlineStr">
        <is>
          <t>Ranked</t>
        </is>
      </c>
      <c r="B89" t="n">
        <v>87</v>
      </c>
      <c r="C89">
        <f>IFERROR(INDEX(Scores!$BM$2:$BM$158,MATCH($B89,Scores!$BM$2:$BM$158,0)),"")</f>
        <v/>
      </c>
      <c r="D89">
        <f>IFERROR(INDEX(Scores!$B$2:$B$158,MATCH($B89,Scores!$BM$2:$BM$158,0)),"")</f>
        <v/>
      </c>
      <c r="E89">
        <f>IFERROR(INDEX(Scores!$C$2:$C$158,MATCH($B89,Scores!$BM$2:$BM$158,0)),"")</f>
        <v/>
      </c>
      <c r="F89">
        <f>IFERROR(INDEX(Scores!$D$2:$D$158,MATCH($B89,Scores!$BM$2:$BM$158,0)),"")</f>
        <v/>
      </c>
      <c r="G89">
        <f>IFERROR(INDEX(Scores!$E$2:$E$158,MATCH($B89,Scores!$BM$2:$BM$158,0)),"")</f>
        <v/>
      </c>
      <c r="H89">
        <f>IFERROR(INDEX(Scores!$BJ$2:$BJ$158,MATCH($B89,Scores!$BM$2:$BM$158,0)),"")</f>
        <v/>
      </c>
      <c r="I89">
        <f>IFERROR(INDEX(Scores!$BL$2:$BL$158,MATCH($B89,Scores!$BM$2:$BM$158,0)),"")</f>
        <v/>
      </c>
      <c r="J89">
        <f>IFERROR(INDEX(Scores!$Q$2:$Q$158,MATCH($B89,Scores!$BM$2:$BM$158,0)),"")</f>
        <v/>
      </c>
      <c r="K89">
        <f>IFERROR(INDEX(Scores!$AE$2:$AE$158,MATCH($B89,Scores!$BM$2:$BM$158,0)),"")</f>
        <v/>
      </c>
      <c r="L89">
        <f>IFERROR(INDEX(Scores!$AM$2:$AM$158,MATCH($B89,Scores!$BM$2:$BM$158,0)),"")</f>
        <v/>
      </c>
      <c r="M89">
        <f>IFERROR(INDEX(Scores!$AW$2:$AW$158,MATCH($B89,Scores!$BM$2:$BM$158,0)),"")</f>
        <v/>
      </c>
      <c r="N89">
        <f>IFERROR(INDEX(Scores!$BG$2:$BG$158,MATCH($B89,Scores!$BM$2:$BM$158,0)),"")</f>
        <v/>
      </c>
    </row>
    <row r="90">
      <c r="A90" t="inlineStr">
        <is>
          <t>Ranked</t>
        </is>
      </c>
      <c r="B90" t="n">
        <v>88</v>
      </c>
      <c r="C90">
        <f>IFERROR(INDEX(Scores!$BM$2:$BM$158,MATCH($B90,Scores!$BM$2:$BM$158,0)),"")</f>
        <v/>
      </c>
      <c r="D90">
        <f>IFERROR(INDEX(Scores!$B$2:$B$158,MATCH($B90,Scores!$BM$2:$BM$158,0)),"")</f>
        <v/>
      </c>
      <c r="E90">
        <f>IFERROR(INDEX(Scores!$C$2:$C$158,MATCH($B90,Scores!$BM$2:$BM$158,0)),"")</f>
        <v/>
      </c>
      <c r="F90">
        <f>IFERROR(INDEX(Scores!$D$2:$D$158,MATCH($B90,Scores!$BM$2:$BM$158,0)),"")</f>
        <v/>
      </c>
      <c r="G90">
        <f>IFERROR(INDEX(Scores!$E$2:$E$158,MATCH($B90,Scores!$BM$2:$BM$158,0)),"")</f>
        <v/>
      </c>
      <c r="H90">
        <f>IFERROR(INDEX(Scores!$BJ$2:$BJ$158,MATCH($B90,Scores!$BM$2:$BM$158,0)),"")</f>
        <v/>
      </c>
      <c r="I90">
        <f>IFERROR(INDEX(Scores!$BL$2:$BL$158,MATCH($B90,Scores!$BM$2:$BM$158,0)),"")</f>
        <v/>
      </c>
      <c r="J90">
        <f>IFERROR(INDEX(Scores!$Q$2:$Q$158,MATCH($B90,Scores!$BM$2:$BM$158,0)),"")</f>
        <v/>
      </c>
      <c r="K90">
        <f>IFERROR(INDEX(Scores!$AE$2:$AE$158,MATCH($B90,Scores!$BM$2:$BM$158,0)),"")</f>
        <v/>
      </c>
      <c r="L90">
        <f>IFERROR(INDEX(Scores!$AM$2:$AM$158,MATCH($B90,Scores!$BM$2:$BM$158,0)),"")</f>
        <v/>
      </c>
      <c r="M90">
        <f>IFERROR(INDEX(Scores!$AW$2:$AW$158,MATCH($B90,Scores!$BM$2:$BM$158,0)),"")</f>
        <v/>
      </c>
      <c r="N90">
        <f>IFERROR(INDEX(Scores!$BG$2:$BG$158,MATCH($B90,Scores!$BM$2:$BM$158,0)),"")</f>
        <v/>
      </c>
    </row>
    <row r="91">
      <c r="A91" t="inlineStr">
        <is>
          <t>Ranked</t>
        </is>
      </c>
      <c r="B91" t="n">
        <v>89</v>
      </c>
      <c r="C91">
        <f>IFERROR(INDEX(Scores!$BM$2:$BM$158,MATCH($B91,Scores!$BM$2:$BM$158,0)),"")</f>
        <v/>
      </c>
      <c r="D91">
        <f>IFERROR(INDEX(Scores!$B$2:$B$158,MATCH($B91,Scores!$BM$2:$BM$158,0)),"")</f>
        <v/>
      </c>
      <c r="E91">
        <f>IFERROR(INDEX(Scores!$C$2:$C$158,MATCH($B91,Scores!$BM$2:$BM$158,0)),"")</f>
        <v/>
      </c>
      <c r="F91">
        <f>IFERROR(INDEX(Scores!$D$2:$D$158,MATCH($B91,Scores!$BM$2:$BM$158,0)),"")</f>
        <v/>
      </c>
      <c r="G91">
        <f>IFERROR(INDEX(Scores!$E$2:$E$158,MATCH($B91,Scores!$BM$2:$BM$158,0)),"")</f>
        <v/>
      </c>
      <c r="H91">
        <f>IFERROR(INDEX(Scores!$BJ$2:$BJ$158,MATCH($B91,Scores!$BM$2:$BM$158,0)),"")</f>
        <v/>
      </c>
      <c r="I91">
        <f>IFERROR(INDEX(Scores!$BL$2:$BL$158,MATCH($B91,Scores!$BM$2:$BM$158,0)),"")</f>
        <v/>
      </c>
      <c r="J91">
        <f>IFERROR(INDEX(Scores!$Q$2:$Q$158,MATCH($B91,Scores!$BM$2:$BM$158,0)),"")</f>
        <v/>
      </c>
      <c r="K91">
        <f>IFERROR(INDEX(Scores!$AE$2:$AE$158,MATCH($B91,Scores!$BM$2:$BM$158,0)),"")</f>
        <v/>
      </c>
      <c r="L91">
        <f>IFERROR(INDEX(Scores!$AM$2:$AM$158,MATCH($B91,Scores!$BM$2:$BM$158,0)),"")</f>
        <v/>
      </c>
      <c r="M91">
        <f>IFERROR(INDEX(Scores!$AW$2:$AW$158,MATCH($B91,Scores!$BM$2:$BM$158,0)),"")</f>
        <v/>
      </c>
      <c r="N91">
        <f>IFERROR(INDEX(Scores!$BG$2:$BG$158,MATCH($B91,Scores!$BM$2:$BM$158,0)),"")</f>
        <v/>
      </c>
    </row>
    <row r="92">
      <c r="A92" t="inlineStr">
        <is>
          <t>Ranked</t>
        </is>
      </c>
      <c r="B92" t="n">
        <v>90</v>
      </c>
      <c r="C92">
        <f>IFERROR(INDEX(Scores!$BM$2:$BM$158,MATCH($B92,Scores!$BM$2:$BM$158,0)),"")</f>
        <v/>
      </c>
      <c r="D92">
        <f>IFERROR(INDEX(Scores!$B$2:$B$158,MATCH($B92,Scores!$BM$2:$BM$158,0)),"")</f>
        <v/>
      </c>
      <c r="E92">
        <f>IFERROR(INDEX(Scores!$C$2:$C$158,MATCH($B92,Scores!$BM$2:$BM$158,0)),"")</f>
        <v/>
      </c>
      <c r="F92">
        <f>IFERROR(INDEX(Scores!$D$2:$D$158,MATCH($B92,Scores!$BM$2:$BM$158,0)),"")</f>
        <v/>
      </c>
      <c r="G92">
        <f>IFERROR(INDEX(Scores!$E$2:$E$158,MATCH($B92,Scores!$BM$2:$BM$158,0)),"")</f>
        <v/>
      </c>
      <c r="H92">
        <f>IFERROR(INDEX(Scores!$BJ$2:$BJ$158,MATCH($B92,Scores!$BM$2:$BM$158,0)),"")</f>
        <v/>
      </c>
      <c r="I92">
        <f>IFERROR(INDEX(Scores!$BL$2:$BL$158,MATCH($B92,Scores!$BM$2:$BM$158,0)),"")</f>
        <v/>
      </c>
      <c r="J92">
        <f>IFERROR(INDEX(Scores!$Q$2:$Q$158,MATCH($B92,Scores!$BM$2:$BM$158,0)),"")</f>
        <v/>
      </c>
      <c r="K92">
        <f>IFERROR(INDEX(Scores!$AE$2:$AE$158,MATCH($B92,Scores!$BM$2:$BM$158,0)),"")</f>
        <v/>
      </c>
      <c r="L92">
        <f>IFERROR(INDEX(Scores!$AM$2:$AM$158,MATCH($B92,Scores!$BM$2:$BM$158,0)),"")</f>
        <v/>
      </c>
      <c r="M92">
        <f>IFERROR(INDEX(Scores!$AW$2:$AW$158,MATCH($B92,Scores!$BM$2:$BM$158,0)),"")</f>
        <v/>
      </c>
      <c r="N92">
        <f>IFERROR(INDEX(Scores!$BG$2:$BG$158,MATCH($B92,Scores!$BM$2:$BM$158,0)),"")</f>
        <v/>
      </c>
    </row>
    <row r="93">
      <c r="A93" t="inlineStr">
        <is>
          <t>Ranked</t>
        </is>
      </c>
      <c r="B93" t="n">
        <v>91</v>
      </c>
      <c r="C93">
        <f>IFERROR(INDEX(Scores!$BM$2:$BM$158,MATCH($B93,Scores!$BM$2:$BM$158,0)),"")</f>
        <v/>
      </c>
      <c r="D93">
        <f>IFERROR(INDEX(Scores!$B$2:$B$158,MATCH($B93,Scores!$BM$2:$BM$158,0)),"")</f>
        <v/>
      </c>
      <c r="E93">
        <f>IFERROR(INDEX(Scores!$C$2:$C$158,MATCH($B93,Scores!$BM$2:$BM$158,0)),"")</f>
        <v/>
      </c>
      <c r="F93">
        <f>IFERROR(INDEX(Scores!$D$2:$D$158,MATCH($B93,Scores!$BM$2:$BM$158,0)),"")</f>
        <v/>
      </c>
      <c r="G93">
        <f>IFERROR(INDEX(Scores!$E$2:$E$158,MATCH($B93,Scores!$BM$2:$BM$158,0)),"")</f>
        <v/>
      </c>
      <c r="H93">
        <f>IFERROR(INDEX(Scores!$BJ$2:$BJ$158,MATCH($B93,Scores!$BM$2:$BM$158,0)),"")</f>
        <v/>
      </c>
      <c r="I93">
        <f>IFERROR(INDEX(Scores!$BL$2:$BL$158,MATCH($B93,Scores!$BM$2:$BM$158,0)),"")</f>
        <v/>
      </c>
      <c r="J93">
        <f>IFERROR(INDEX(Scores!$Q$2:$Q$158,MATCH($B93,Scores!$BM$2:$BM$158,0)),"")</f>
        <v/>
      </c>
      <c r="K93">
        <f>IFERROR(INDEX(Scores!$AE$2:$AE$158,MATCH($B93,Scores!$BM$2:$BM$158,0)),"")</f>
        <v/>
      </c>
      <c r="L93">
        <f>IFERROR(INDEX(Scores!$AM$2:$AM$158,MATCH($B93,Scores!$BM$2:$BM$158,0)),"")</f>
        <v/>
      </c>
      <c r="M93">
        <f>IFERROR(INDEX(Scores!$AW$2:$AW$158,MATCH($B93,Scores!$BM$2:$BM$158,0)),"")</f>
        <v/>
      </c>
      <c r="N93">
        <f>IFERROR(INDEX(Scores!$BG$2:$BG$158,MATCH($B93,Scores!$BM$2:$BM$158,0)),"")</f>
        <v/>
      </c>
    </row>
    <row r="94">
      <c r="A94" t="inlineStr">
        <is>
          <t>Ranked</t>
        </is>
      </c>
      <c r="B94" t="n">
        <v>92</v>
      </c>
      <c r="C94">
        <f>IFERROR(INDEX(Scores!$BM$2:$BM$158,MATCH($B94,Scores!$BM$2:$BM$158,0)),"")</f>
        <v/>
      </c>
      <c r="D94">
        <f>IFERROR(INDEX(Scores!$B$2:$B$158,MATCH($B94,Scores!$BM$2:$BM$158,0)),"")</f>
        <v/>
      </c>
      <c r="E94">
        <f>IFERROR(INDEX(Scores!$C$2:$C$158,MATCH($B94,Scores!$BM$2:$BM$158,0)),"")</f>
        <v/>
      </c>
      <c r="F94">
        <f>IFERROR(INDEX(Scores!$D$2:$D$158,MATCH($B94,Scores!$BM$2:$BM$158,0)),"")</f>
        <v/>
      </c>
      <c r="G94">
        <f>IFERROR(INDEX(Scores!$E$2:$E$158,MATCH($B94,Scores!$BM$2:$BM$158,0)),"")</f>
        <v/>
      </c>
      <c r="H94">
        <f>IFERROR(INDEX(Scores!$BJ$2:$BJ$158,MATCH($B94,Scores!$BM$2:$BM$158,0)),"")</f>
        <v/>
      </c>
      <c r="I94">
        <f>IFERROR(INDEX(Scores!$BL$2:$BL$158,MATCH($B94,Scores!$BM$2:$BM$158,0)),"")</f>
        <v/>
      </c>
      <c r="J94">
        <f>IFERROR(INDEX(Scores!$Q$2:$Q$158,MATCH($B94,Scores!$BM$2:$BM$158,0)),"")</f>
        <v/>
      </c>
      <c r="K94">
        <f>IFERROR(INDEX(Scores!$AE$2:$AE$158,MATCH($B94,Scores!$BM$2:$BM$158,0)),"")</f>
        <v/>
      </c>
      <c r="L94">
        <f>IFERROR(INDEX(Scores!$AM$2:$AM$158,MATCH($B94,Scores!$BM$2:$BM$158,0)),"")</f>
        <v/>
      </c>
      <c r="M94">
        <f>IFERROR(INDEX(Scores!$AW$2:$AW$158,MATCH($B94,Scores!$BM$2:$BM$158,0)),"")</f>
        <v/>
      </c>
      <c r="N94">
        <f>IFERROR(INDEX(Scores!$BG$2:$BG$158,MATCH($B94,Scores!$BM$2:$BM$158,0)),"")</f>
        <v/>
      </c>
    </row>
    <row r="95">
      <c r="A95" t="inlineStr">
        <is>
          <t>Ranked</t>
        </is>
      </c>
      <c r="B95" t="n">
        <v>93</v>
      </c>
      <c r="C95">
        <f>IFERROR(INDEX(Scores!$BM$2:$BM$158,MATCH($B95,Scores!$BM$2:$BM$158,0)),"")</f>
        <v/>
      </c>
      <c r="D95">
        <f>IFERROR(INDEX(Scores!$B$2:$B$158,MATCH($B95,Scores!$BM$2:$BM$158,0)),"")</f>
        <v/>
      </c>
      <c r="E95">
        <f>IFERROR(INDEX(Scores!$C$2:$C$158,MATCH($B95,Scores!$BM$2:$BM$158,0)),"")</f>
        <v/>
      </c>
      <c r="F95">
        <f>IFERROR(INDEX(Scores!$D$2:$D$158,MATCH($B95,Scores!$BM$2:$BM$158,0)),"")</f>
        <v/>
      </c>
      <c r="G95">
        <f>IFERROR(INDEX(Scores!$E$2:$E$158,MATCH($B95,Scores!$BM$2:$BM$158,0)),"")</f>
        <v/>
      </c>
      <c r="H95">
        <f>IFERROR(INDEX(Scores!$BJ$2:$BJ$158,MATCH($B95,Scores!$BM$2:$BM$158,0)),"")</f>
        <v/>
      </c>
      <c r="I95">
        <f>IFERROR(INDEX(Scores!$BL$2:$BL$158,MATCH($B95,Scores!$BM$2:$BM$158,0)),"")</f>
        <v/>
      </c>
      <c r="J95">
        <f>IFERROR(INDEX(Scores!$Q$2:$Q$158,MATCH($B95,Scores!$BM$2:$BM$158,0)),"")</f>
        <v/>
      </c>
      <c r="K95">
        <f>IFERROR(INDEX(Scores!$AE$2:$AE$158,MATCH($B95,Scores!$BM$2:$BM$158,0)),"")</f>
        <v/>
      </c>
      <c r="L95">
        <f>IFERROR(INDEX(Scores!$AM$2:$AM$158,MATCH($B95,Scores!$BM$2:$BM$158,0)),"")</f>
        <v/>
      </c>
      <c r="M95">
        <f>IFERROR(INDEX(Scores!$AW$2:$AW$158,MATCH($B95,Scores!$BM$2:$BM$158,0)),"")</f>
        <v/>
      </c>
      <c r="N95">
        <f>IFERROR(INDEX(Scores!$BG$2:$BG$158,MATCH($B95,Scores!$BM$2:$BM$158,0)),"")</f>
        <v/>
      </c>
    </row>
    <row r="96">
      <c r="A96" t="inlineStr">
        <is>
          <t>Ranked</t>
        </is>
      </c>
      <c r="B96" t="n">
        <v>94</v>
      </c>
      <c r="C96">
        <f>IFERROR(INDEX(Scores!$BM$2:$BM$158,MATCH($B96,Scores!$BM$2:$BM$158,0)),"")</f>
        <v/>
      </c>
      <c r="D96">
        <f>IFERROR(INDEX(Scores!$B$2:$B$158,MATCH($B96,Scores!$BM$2:$BM$158,0)),"")</f>
        <v/>
      </c>
      <c r="E96">
        <f>IFERROR(INDEX(Scores!$C$2:$C$158,MATCH($B96,Scores!$BM$2:$BM$158,0)),"")</f>
        <v/>
      </c>
      <c r="F96">
        <f>IFERROR(INDEX(Scores!$D$2:$D$158,MATCH($B96,Scores!$BM$2:$BM$158,0)),"")</f>
        <v/>
      </c>
      <c r="G96">
        <f>IFERROR(INDEX(Scores!$E$2:$E$158,MATCH($B96,Scores!$BM$2:$BM$158,0)),"")</f>
        <v/>
      </c>
      <c r="H96">
        <f>IFERROR(INDEX(Scores!$BJ$2:$BJ$158,MATCH($B96,Scores!$BM$2:$BM$158,0)),"")</f>
        <v/>
      </c>
      <c r="I96">
        <f>IFERROR(INDEX(Scores!$BL$2:$BL$158,MATCH($B96,Scores!$BM$2:$BM$158,0)),"")</f>
        <v/>
      </c>
      <c r="J96">
        <f>IFERROR(INDEX(Scores!$Q$2:$Q$158,MATCH($B96,Scores!$BM$2:$BM$158,0)),"")</f>
        <v/>
      </c>
      <c r="K96">
        <f>IFERROR(INDEX(Scores!$AE$2:$AE$158,MATCH($B96,Scores!$BM$2:$BM$158,0)),"")</f>
        <v/>
      </c>
      <c r="L96">
        <f>IFERROR(INDEX(Scores!$AM$2:$AM$158,MATCH($B96,Scores!$BM$2:$BM$158,0)),"")</f>
        <v/>
      </c>
      <c r="M96">
        <f>IFERROR(INDEX(Scores!$AW$2:$AW$158,MATCH($B96,Scores!$BM$2:$BM$158,0)),"")</f>
        <v/>
      </c>
      <c r="N96">
        <f>IFERROR(INDEX(Scores!$BG$2:$BG$158,MATCH($B96,Scores!$BM$2:$BM$158,0)),"")</f>
        <v/>
      </c>
    </row>
    <row r="97">
      <c r="A97" t="inlineStr">
        <is>
          <t>Ranked</t>
        </is>
      </c>
      <c r="B97" t="n">
        <v>95</v>
      </c>
      <c r="C97">
        <f>IFERROR(INDEX(Scores!$BM$2:$BM$158,MATCH($B97,Scores!$BM$2:$BM$158,0)),"")</f>
        <v/>
      </c>
      <c r="D97">
        <f>IFERROR(INDEX(Scores!$B$2:$B$158,MATCH($B97,Scores!$BM$2:$BM$158,0)),"")</f>
        <v/>
      </c>
      <c r="E97">
        <f>IFERROR(INDEX(Scores!$C$2:$C$158,MATCH($B97,Scores!$BM$2:$BM$158,0)),"")</f>
        <v/>
      </c>
      <c r="F97">
        <f>IFERROR(INDEX(Scores!$D$2:$D$158,MATCH($B97,Scores!$BM$2:$BM$158,0)),"")</f>
        <v/>
      </c>
      <c r="G97">
        <f>IFERROR(INDEX(Scores!$E$2:$E$158,MATCH($B97,Scores!$BM$2:$BM$158,0)),"")</f>
        <v/>
      </c>
      <c r="H97">
        <f>IFERROR(INDEX(Scores!$BJ$2:$BJ$158,MATCH($B97,Scores!$BM$2:$BM$158,0)),"")</f>
        <v/>
      </c>
      <c r="I97">
        <f>IFERROR(INDEX(Scores!$BL$2:$BL$158,MATCH($B97,Scores!$BM$2:$BM$158,0)),"")</f>
        <v/>
      </c>
      <c r="J97">
        <f>IFERROR(INDEX(Scores!$Q$2:$Q$158,MATCH($B97,Scores!$BM$2:$BM$158,0)),"")</f>
        <v/>
      </c>
      <c r="K97">
        <f>IFERROR(INDEX(Scores!$AE$2:$AE$158,MATCH($B97,Scores!$BM$2:$BM$158,0)),"")</f>
        <v/>
      </c>
      <c r="L97">
        <f>IFERROR(INDEX(Scores!$AM$2:$AM$158,MATCH($B97,Scores!$BM$2:$BM$158,0)),"")</f>
        <v/>
      </c>
      <c r="M97">
        <f>IFERROR(INDEX(Scores!$AW$2:$AW$158,MATCH($B97,Scores!$BM$2:$BM$158,0)),"")</f>
        <v/>
      </c>
      <c r="N97">
        <f>IFERROR(INDEX(Scores!$BG$2:$BG$158,MATCH($B97,Scores!$BM$2:$BM$158,0)),"")</f>
        <v/>
      </c>
    </row>
    <row r="98">
      <c r="A98" t="inlineStr">
        <is>
          <t>Ranked</t>
        </is>
      </c>
      <c r="B98" t="n">
        <v>96</v>
      </c>
      <c r="C98">
        <f>IFERROR(INDEX(Scores!$BM$2:$BM$158,MATCH($B98,Scores!$BM$2:$BM$158,0)),"")</f>
        <v/>
      </c>
      <c r="D98">
        <f>IFERROR(INDEX(Scores!$B$2:$B$158,MATCH($B98,Scores!$BM$2:$BM$158,0)),"")</f>
        <v/>
      </c>
      <c r="E98">
        <f>IFERROR(INDEX(Scores!$C$2:$C$158,MATCH($B98,Scores!$BM$2:$BM$158,0)),"")</f>
        <v/>
      </c>
      <c r="F98">
        <f>IFERROR(INDEX(Scores!$D$2:$D$158,MATCH($B98,Scores!$BM$2:$BM$158,0)),"")</f>
        <v/>
      </c>
      <c r="G98">
        <f>IFERROR(INDEX(Scores!$E$2:$E$158,MATCH($B98,Scores!$BM$2:$BM$158,0)),"")</f>
        <v/>
      </c>
      <c r="H98">
        <f>IFERROR(INDEX(Scores!$BJ$2:$BJ$158,MATCH($B98,Scores!$BM$2:$BM$158,0)),"")</f>
        <v/>
      </c>
      <c r="I98">
        <f>IFERROR(INDEX(Scores!$BL$2:$BL$158,MATCH($B98,Scores!$BM$2:$BM$158,0)),"")</f>
        <v/>
      </c>
      <c r="J98">
        <f>IFERROR(INDEX(Scores!$Q$2:$Q$158,MATCH($B98,Scores!$BM$2:$BM$158,0)),"")</f>
        <v/>
      </c>
      <c r="K98">
        <f>IFERROR(INDEX(Scores!$AE$2:$AE$158,MATCH($B98,Scores!$BM$2:$BM$158,0)),"")</f>
        <v/>
      </c>
      <c r="L98">
        <f>IFERROR(INDEX(Scores!$AM$2:$AM$158,MATCH($B98,Scores!$BM$2:$BM$158,0)),"")</f>
        <v/>
      </c>
      <c r="M98">
        <f>IFERROR(INDEX(Scores!$AW$2:$AW$158,MATCH($B98,Scores!$BM$2:$BM$158,0)),"")</f>
        <v/>
      </c>
      <c r="N98">
        <f>IFERROR(INDEX(Scores!$BG$2:$BG$158,MATCH($B98,Scores!$BM$2:$BM$158,0)),"")</f>
        <v/>
      </c>
    </row>
    <row r="99">
      <c r="A99" t="inlineStr">
        <is>
          <t>Ranked</t>
        </is>
      </c>
      <c r="B99" t="n">
        <v>97</v>
      </c>
      <c r="C99">
        <f>IFERROR(INDEX(Scores!$BM$2:$BM$158,MATCH($B99,Scores!$BM$2:$BM$158,0)),"")</f>
        <v/>
      </c>
      <c r="D99">
        <f>IFERROR(INDEX(Scores!$B$2:$B$158,MATCH($B99,Scores!$BM$2:$BM$158,0)),"")</f>
        <v/>
      </c>
      <c r="E99">
        <f>IFERROR(INDEX(Scores!$C$2:$C$158,MATCH($B99,Scores!$BM$2:$BM$158,0)),"")</f>
        <v/>
      </c>
      <c r="F99">
        <f>IFERROR(INDEX(Scores!$D$2:$D$158,MATCH($B99,Scores!$BM$2:$BM$158,0)),"")</f>
        <v/>
      </c>
      <c r="G99">
        <f>IFERROR(INDEX(Scores!$E$2:$E$158,MATCH($B99,Scores!$BM$2:$BM$158,0)),"")</f>
        <v/>
      </c>
      <c r="H99">
        <f>IFERROR(INDEX(Scores!$BJ$2:$BJ$158,MATCH($B99,Scores!$BM$2:$BM$158,0)),"")</f>
        <v/>
      </c>
      <c r="I99">
        <f>IFERROR(INDEX(Scores!$BL$2:$BL$158,MATCH($B99,Scores!$BM$2:$BM$158,0)),"")</f>
        <v/>
      </c>
      <c r="J99">
        <f>IFERROR(INDEX(Scores!$Q$2:$Q$158,MATCH($B99,Scores!$BM$2:$BM$158,0)),"")</f>
        <v/>
      </c>
      <c r="K99">
        <f>IFERROR(INDEX(Scores!$AE$2:$AE$158,MATCH($B99,Scores!$BM$2:$BM$158,0)),"")</f>
        <v/>
      </c>
      <c r="L99">
        <f>IFERROR(INDEX(Scores!$AM$2:$AM$158,MATCH($B99,Scores!$BM$2:$BM$158,0)),"")</f>
        <v/>
      </c>
      <c r="M99">
        <f>IFERROR(INDEX(Scores!$AW$2:$AW$158,MATCH($B99,Scores!$BM$2:$BM$158,0)),"")</f>
        <v/>
      </c>
      <c r="N99">
        <f>IFERROR(INDEX(Scores!$BG$2:$BG$158,MATCH($B99,Scores!$BM$2:$BM$158,0)),"")</f>
        <v/>
      </c>
    </row>
    <row r="100">
      <c r="A100" t="inlineStr">
        <is>
          <t>Ranked</t>
        </is>
      </c>
      <c r="B100" t="n">
        <v>98</v>
      </c>
      <c r="C100">
        <f>IFERROR(INDEX(Scores!$BM$2:$BM$158,MATCH($B100,Scores!$BM$2:$BM$158,0)),"")</f>
        <v/>
      </c>
      <c r="D100">
        <f>IFERROR(INDEX(Scores!$B$2:$B$158,MATCH($B100,Scores!$BM$2:$BM$158,0)),"")</f>
        <v/>
      </c>
      <c r="E100">
        <f>IFERROR(INDEX(Scores!$C$2:$C$158,MATCH($B100,Scores!$BM$2:$BM$158,0)),"")</f>
        <v/>
      </c>
      <c r="F100">
        <f>IFERROR(INDEX(Scores!$D$2:$D$158,MATCH($B100,Scores!$BM$2:$BM$158,0)),"")</f>
        <v/>
      </c>
      <c r="G100">
        <f>IFERROR(INDEX(Scores!$E$2:$E$158,MATCH($B100,Scores!$BM$2:$BM$158,0)),"")</f>
        <v/>
      </c>
      <c r="H100">
        <f>IFERROR(INDEX(Scores!$BJ$2:$BJ$158,MATCH($B100,Scores!$BM$2:$BM$158,0)),"")</f>
        <v/>
      </c>
      <c r="I100">
        <f>IFERROR(INDEX(Scores!$BL$2:$BL$158,MATCH($B100,Scores!$BM$2:$BM$158,0)),"")</f>
        <v/>
      </c>
      <c r="J100">
        <f>IFERROR(INDEX(Scores!$Q$2:$Q$158,MATCH($B100,Scores!$BM$2:$BM$158,0)),"")</f>
        <v/>
      </c>
      <c r="K100">
        <f>IFERROR(INDEX(Scores!$AE$2:$AE$158,MATCH($B100,Scores!$BM$2:$BM$158,0)),"")</f>
        <v/>
      </c>
      <c r="L100">
        <f>IFERROR(INDEX(Scores!$AM$2:$AM$158,MATCH($B100,Scores!$BM$2:$BM$158,0)),"")</f>
        <v/>
      </c>
      <c r="M100">
        <f>IFERROR(INDEX(Scores!$AW$2:$AW$158,MATCH($B100,Scores!$BM$2:$BM$158,0)),"")</f>
        <v/>
      </c>
      <c r="N100">
        <f>IFERROR(INDEX(Scores!$BG$2:$BG$158,MATCH($B100,Scores!$BM$2:$BM$158,0)),"")</f>
        <v/>
      </c>
    </row>
    <row r="101">
      <c r="A101" t="inlineStr">
        <is>
          <t>Ranked</t>
        </is>
      </c>
      <c r="B101" t="n">
        <v>99</v>
      </c>
      <c r="C101">
        <f>IFERROR(INDEX(Scores!$BM$2:$BM$158,MATCH($B101,Scores!$BM$2:$BM$158,0)),"")</f>
        <v/>
      </c>
      <c r="D101">
        <f>IFERROR(INDEX(Scores!$B$2:$B$158,MATCH($B101,Scores!$BM$2:$BM$158,0)),"")</f>
        <v/>
      </c>
      <c r="E101">
        <f>IFERROR(INDEX(Scores!$C$2:$C$158,MATCH($B101,Scores!$BM$2:$BM$158,0)),"")</f>
        <v/>
      </c>
      <c r="F101">
        <f>IFERROR(INDEX(Scores!$D$2:$D$158,MATCH($B101,Scores!$BM$2:$BM$158,0)),"")</f>
        <v/>
      </c>
      <c r="G101">
        <f>IFERROR(INDEX(Scores!$E$2:$E$158,MATCH($B101,Scores!$BM$2:$BM$158,0)),"")</f>
        <v/>
      </c>
      <c r="H101">
        <f>IFERROR(INDEX(Scores!$BJ$2:$BJ$158,MATCH($B101,Scores!$BM$2:$BM$158,0)),"")</f>
        <v/>
      </c>
      <c r="I101">
        <f>IFERROR(INDEX(Scores!$BL$2:$BL$158,MATCH($B101,Scores!$BM$2:$BM$158,0)),"")</f>
        <v/>
      </c>
      <c r="J101">
        <f>IFERROR(INDEX(Scores!$Q$2:$Q$158,MATCH($B101,Scores!$BM$2:$BM$158,0)),"")</f>
        <v/>
      </c>
      <c r="K101">
        <f>IFERROR(INDEX(Scores!$AE$2:$AE$158,MATCH($B101,Scores!$BM$2:$BM$158,0)),"")</f>
        <v/>
      </c>
      <c r="L101">
        <f>IFERROR(INDEX(Scores!$AM$2:$AM$158,MATCH($B101,Scores!$BM$2:$BM$158,0)),"")</f>
        <v/>
      </c>
      <c r="M101">
        <f>IFERROR(INDEX(Scores!$AW$2:$AW$158,MATCH($B101,Scores!$BM$2:$BM$158,0)),"")</f>
        <v/>
      </c>
      <c r="N101">
        <f>IFERROR(INDEX(Scores!$BG$2:$BG$158,MATCH($B101,Scores!$BM$2:$BM$158,0)),"")</f>
        <v/>
      </c>
    </row>
    <row r="102">
      <c r="A102" t="inlineStr">
        <is>
          <t>Ranked</t>
        </is>
      </c>
      <c r="B102" t="n">
        <v>100</v>
      </c>
      <c r="C102">
        <f>IFERROR(INDEX(Scores!$BM$2:$BM$158,MATCH($B102,Scores!$BM$2:$BM$158,0)),"")</f>
        <v/>
      </c>
      <c r="D102">
        <f>IFERROR(INDEX(Scores!$B$2:$B$158,MATCH($B102,Scores!$BM$2:$BM$158,0)),"")</f>
        <v/>
      </c>
      <c r="E102">
        <f>IFERROR(INDEX(Scores!$C$2:$C$158,MATCH($B102,Scores!$BM$2:$BM$158,0)),"")</f>
        <v/>
      </c>
      <c r="F102">
        <f>IFERROR(INDEX(Scores!$D$2:$D$158,MATCH($B102,Scores!$BM$2:$BM$158,0)),"")</f>
        <v/>
      </c>
      <c r="G102">
        <f>IFERROR(INDEX(Scores!$E$2:$E$158,MATCH($B102,Scores!$BM$2:$BM$158,0)),"")</f>
        <v/>
      </c>
      <c r="H102">
        <f>IFERROR(INDEX(Scores!$BJ$2:$BJ$158,MATCH($B102,Scores!$BM$2:$BM$158,0)),"")</f>
        <v/>
      </c>
      <c r="I102">
        <f>IFERROR(INDEX(Scores!$BL$2:$BL$158,MATCH($B102,Scores!$BM$2:$BM$158,0)),"")</f>
        <v/>
      </c>
      <c r="J102">
        <f>IFERROR(INDEX(Scores!$Q$2:$Q$158,MATCH($B102,Scores!$BM$2:$BM$158,0)),"")</f>
        <v/>
      </c>
      <c r="K102">
        <f>IFERROR(INDEX(Scores!$AE$2:$AE$158,MATCH($B102,Scores!$BM$2:$BM$158,0)),"")</f>
        <v/>
      </c>
      <c r="L102">
        <f>IFERROR(INDEX(Scores!$AM$2:$AM$158,MATCH($B102,Scores!$BM$2:$BM$158,0)),"")</f>
        <v/>
      </c>
      <c r="M102">
        <f>IFERROR(INDEX(Scores!$AW$2:$AW$158,MATCH($B102,Scores!$BM$2:$BM$158,0)),"")</f>
        <v/>
      </c>
      <c r="N102">
        <f>IFERROR(INDEX(Scores!$BG$2:$BG$158,MATCH($B102,Scores!$BM$2:$BM$158,0)),"")</f>
        <v/>
      </c>
    </row>
    <row r="103">
      <c r="A103" t="inlineStr">
        <is>
          <t>Ranked</t>
        </is>
      </c>
      <c r="B103" t="n">
        <v>101</v>
      </c>
      <c r="C103">
        <f>IFERROR(INDEX(Scores!$BM$2:$BM$158,MATCH($B103,Scores!$BM$2:$BM$158,0)),"")</f>
        <v/>
      </c>
      <c r="D103">
        <f>IFERROR(INDEX(Scores!$B$2:$B$158,MATCH($B103,Scores!$BM$2:$BM$158,0)),"")</f>
        <v/>
      </c>
      <c r="E103">
        <f>IFERROR(INDEX(Scores!$C$2:$C$158,MATCH($B103,Scores!$BM$2:$BM$158,0)),"")</f>
        <v/>
      </c>
      <c r="F103">
        <f>IFERROR(INDEX(Scores!$D$2:$D$158,MATCH($B103,Scores!$BM$2:$BM$158,0)),"")</f>
        <v/>
      </c>
      <c r="G103">
        <f>IFERROR(INDEX(Scores!$E$2:$E$158,MATCH($B103,Scores!$BM$2:$BM$158,0)),"")</f>
        <v/>
      </c>
      <c r="H103">
        <f>IFERROR(INDEX(Scores!$BJ$2:$BJ$158,MATCH($B103,Scores!$BM$2:$BM$158,0)),"")</f>
        <v/>
      </c>
      <c r="I103">
        <f>IFERROR(INDEX(Scores!$BL$2:$BL$158,MATCH($B103,Scores!$BM$2:$BM$158,0)),"")</f>
        <v/>
      </c>
      <c r="J103">
        <f>IFERROR(INDEX(Scores!$Q$2:$Q$158,MATCH($B103,Scores!$BM$2:$BM$158,0)),"")</f>
        <v/>
      </c>
      <c r="K103">
        <f>IFERROR(INDEX(Scores!$AE$2:$AE$158,MATCH($B103,Scores!$BM$2:$BM$158,0)),"")</f>
        <v/>
      </c>
      <c r="L103">
        <f>IFERROR(INDEX(Scores!$AM$2:$AM$158,MATCH($B103,Scores!$BM$2:$BM$158,0)),"")</f>
        <v/>
      </c>
      <c r="M103">
        <f>IFERROR(INDEX(Scores!$AW$2:$AW$158,MATCH($B103,Scores!$BM$2:$BM$158,0)),"")</f>
        <v/>
      </c>
      <c r="N103">
        <f>IFERROR(INDEX(Scores!$BG$2:$BG$158,MATCH($B103,Scores!$BM$2:$BM$158,0)),"")</f>
        <v/>
      </c>
    </row>
    <row r="104">
      <c r="A104" t="inlineStr">
        <is>
          <t>Ranked</t>
        </is>
      </c>
      <c r="B104" t="n">
        <v>102</v>
      </c>
      <c r="C104">
        <f>IFERROR(INDEX(Scores!$BM$2:$BM$158,MATCH($B104,Scores!$BM$2:$BM$158,0)),"")</f>
        <v/>
      </c>
      <c r="D104">
        <f>IFERROR(INDEX(Scores!$B$2:$B$158,MATCH($B104,Scores!$BM$2:$BM$158,0)),"")</f>
        <v/>
      </c>
      <c r="E104">
        <f>IFERROR(INDEX(Scores!$C$2:$C$158,MATCH($B104,Scores!$BM$2:$BM$158,0)),"")</f>
        <v/>
      </c>
      <c r="F104">
        <f>IFERROR(INDEX(Scores!$D$2:$D$158,MATCH($B104,Scores!$BM$2:$BM$158,0)),"")</f>
        <v/>
      </c>
      <c r="G104">
        <f>IFERROR(INDEX(Scores!$E$2:$E$158,MATCH($B104,Scores!$BM$2:$BM$158,0)),"")</f>
        <v/>
      </c>
      <c r="H104">
        <f>IFERROR(INDEX(Scores!$BJ$2:$BJ$158,MATCH($B104,Scores!$BM$2:$BM$158,0)),"")</f>
        <v/>
      </c>
      <c r="I104">
        <f>IFERROR(INDEX(Scores!$BL$2:$BL$158,MATCH($B104,Scores!$BM$2:$BM$158,0)),"")</f>
        <v/>
      </c>
      <c r="J104">
        <f>IFERROR(INDEX(Scores!$Q$2:$Q$158,MATCH($B104,Scores!$BM$2:$BM$158,0)),"")</f>
        <v/>
      </c>
      <c r="K104">
        <f>IFERROR(INDEX(Scores!$AE$2:$AE$158,MATCH($B104,Scores!$BM$2:$BM$158,0)),"")</f>
        <v/>
      </c>
      <c r="L104">
        <f>IFERROR(INDEX(Scores!$AM$2:$AM$158,MATCH($B104,Scores!$BM$2:$BM$158,0)),"")</f>
        <v/>
      </c>
      <c r="M104">
        <f>IFERROR(INDEX(Scores!$AW$2:$AW$158,MATCH($B104,Scores!$BM$2:$BM$158,0)),"")</f>
        <v/>
      </c>
      <c r="N104">
        <f>IFERROR(INDEX(Scores!$BG$2:$BG$158,MATCH($B104,Scores!$BM$2:$BM$158,0)),"")</f>
        <v/>
      </c>
    </row>
    <row r="105">
      <c r="A105" t="inlineStr">
        <is>
          <t>Ranked</t>
        </is>
      </c>
      <c r="B105" t="n">
        <v>103</v>
      </c>
      <c r="C105">
        <f>IFERROR(INDEX(Scores!$BM$2:$BM$158,MATCH($B105,Scores!$BM$2:$BM$158,0)),"")</f>
        <v/>
      </c>
      <c r="D105">
        <f>IFERROR(INDEX(Scores!$B$2:$B$158,MATCH($B105,Scores!$BM$2:$BM$158,0)),"")</f>
        <v/>
      </c>
      <c r="E105">
        <f>IFERROR(INDEX(Scores!$C$2:$C$158,MATCH($B105,Scores!$BM$2:$BM$158,0)),"")</f>
        <v/>
      </c>
      <c r="F105">
        <f>IFERROR(INDEX(Scores!$D$2:$D$158,MATCH($B105,Scores!$BM$2:$BM$158,0)),"")</f>
        <v/>
      </c>
      <c r="G105">
        <f>IFERROR(INDEX(Scores!$E$2:$E$158,MATCH($B105,Scores!$BM$2:$BM$158,0)),"")</f>
        <v/>
      </c>
      <c r="H105">
        <f>IFERROR(INDEX(Scores!$BJ$2:$BJ$158,MATCH($B105,Scores!$BM$2:$BM$158,0)),"")</f>
        <v/>
      </c>
      <c r="I105">
        <f>IFERROR(INDEX(Scores!$BL$2:$BL$158,MATCH($B105,Scores!$BM$2:$BM$158,0)),"")</f>
        <v/>
      </c>
      <c r="J105">
        <f>IFERROR(INDEX(Scores!$Q$2:$Q$158,MATCH($B105,Scores!$BM$2:$BM$158,0)),"")</f>
        <v/>
      </c>
      <c r="K105">
        <f>IFERROR(INDEX(Scores!$AE$2:$AE$158,MATCH($B105,Scores!$BM$2:$BM$158,0)),"")</f>
        <v/>
      </c>
      <c r="L105">
        <f>IFERROR(INDEX(Scores!$AM$2:$AM$158,MATCH($B105,Scores!$BM$2:$BM$158,0)),"")</f>
        <v/>
      </c>
      <c r="M105">
        <f>IFERROR(INDEX(Scores!$AW$2:$AW$158,MATCH($B105,Scores!$BM$2:$BM$158,0)),"")</f>
        <v/>
      </c>
      <c r="N105">
        <f>IFERROR(INDEX(Scores!$BG$2:$BG$158,MATCH($B105,Scores!$BM$2:$BM$158,0)),"")</f>
        <v/>
      </c>
    </row>
    <row r="106">
      <c r="A106" t="inlineStr">
        <is>
          <t>Ranked</t>
        </is>
      </c>
      <c r="B106" t="n">
        <v>104</v>
      </c>
      <c r="C106">
        <f>IFERROR(INDEX(Scores!$BM$2:$BM$158,MATCH($B106,Scores!$BM$2:$BM$158,0)),"")</f>
        <v/>
      </c>
      <c r="D106">
        <f>IFERROR(INDEX(Scores!$B$2:$B$158,MATCH($B106,Scores!$BM$2:$BM$158,0)),"")</f>
        <v/>
      </c>
      <c r="E106">
        <f>IFERROR(INDEX(Scores!$C$2:$C$158,MATCH($B106,Scores!$BM$2:$BM$158,0)),"")</f>
        <v/>
      </c>
      <c r="F106">
        <f>IFERROR(INDEX(Scores!$D$2:$D$158,MATCH($B106,Scores!$BM$2:$BM$158,0)),"")</f>
        <v/>
      </c>
      <c r="G106">
        <f>IFERROR(INDEX(Scores!$E$2:$E$158,MATCH($B106,Scores!$BM$2:$BM$158,0)),"")</f>
        <v/>
      </c>
      <c r="H106">
        <f>IFERROR(INDEX(Scores!$BJ$2:$BJ$158,MATCH($B106,Scores!$BM$2:$BM$158,0)),"")</f>
        <v/>
      </c>
      <c r="I106">
        <f>IFERROR(INDEX(Scores!$BL$2:$BL$158,MATCH($B106,Scores!$BM$2:$BM$158,0)),"")</f>
        <v/>
      </c>
      <c r="J106">
        <f>IFERROR(INDEX(Scores!$Q$2:$Q$158,MATCH($B106,Scores!$BM$2:$BM$158,0)),"")</f>
        <v/>
      </c>
      <c r="K106">
        <f>IFERROR(INDEX(Scores!$AE$2:$AE$158,MATCH($B106,Scores!$BM$2:$BM$158,0)),"")</f>
        <v/>
      </c>
      <c r="L106">
        <f>IFERROR(INDEX(Scores!$AM$2:$AM$158,MATCH($B106,Scores!$BM$2:$BM$158,0)),"")</f>
        <v/>
      </c>
      <c r="M106">
        <f>IFERROR(INDEX(Scores!$AW$2:$AW$158,MATCH($B106,Scores!$BM$2:$BM$158,0)),"")</f>
        <v/>
      </c>
      <c r="N106">
        <f>IFERROR(INDEX(Scores!$BG$2:$BG$158,MATCH($B106,Scores!$BM$2:$BM$158,0)),"")</f>
        <v/>
      </c>
    </row>
    <row r="107">
      <c r="A107" t="inlineStr">
        <is>
          <t>Ranked</t>
        </is>
      </c>
      <c r="B107" t="n">
        <v>105</v>
      </c>
      <c r="C107">
        <f>IFERROR(INDEX(Scores!$BM$2:$BM$158,MATCH($B107,Scores!$BM$2:$BM$158,0)),"")</f>
        <v/>
      </c>
      <c r="D107">
        <f>IFERROR(INDEX(Scores!$B$2:$B$158,MATCH($B107,Scores!$BM$2:$BM$158,0)),"")</f>
        <v/>
      </c>
      <c r="E107">
        <f>IFERROR(INDEX(Scores!$C$2:$C$158,MATCH($B107,Scores!$BM$2:$BM$158,0)),"")</f>
        <v/>
      </c>
      <c r="F107">
        <f>IFERROR(INDEX(Scores!$D$2:$D$158,MATCH($B107,Scores!$BM$2:$BM$158,0)),"")</f>
        <v/>
      </c>
      <c r="G107">
        <f>IFERROR(INDEX(Scores!$E$2:$E$158,MATCH($B107,Scores!$BM$2:$BM$158,0)),"")</f>
        <v/>
      </c>
      <c r="H107">
        <f>IFERROR(INDEX(Scores!$BJ$2:$BJ$158,MATCH($B107,Scores!$BM$2:$BM$158,0)),"")</f>
        <v/>
      </c>
      <c r="I107">
        <f>IFERROR(INDEX(Scores!$BL$2:$BL$158,MATCH($B107,Scores!$BM$2:$BM$158,0)),"")</f>
        <v/>
      </c>
      <c r="J107">
        <f>IFERROR(INDEX(Scores!$Q$2:$Q$158,MATCH($B107,Scores!$BM$2:$BM$158,0)),"")</f>
        <v/>
      </c>
      <c r="K107">
        <f>IFERROR(INDEX(Scores!$AE$2:$AE$158,MATCH($B107,Scores!$BM$2:$BM$158,0)),"")</f>
        <v/>
      </c>
      <c r="L107">
        <f>IFERROR(INDEX(Scores!$AM$2:$AM$158,MATCH($B107,Scores!$BM$2:$BM$158,0)),"")</f>
        <v/>
      </c>
      <c r="M107">
        <f>IFERROR(INDEX(Scores!$AW$2:$AW$158,MATCH($B107,Scores!$BM$2:$BM$158,0)),"")</f>
        <v/>
      </c>
      <c r="N107">
        <f>IFERROR(INDEX(Scores!$BG$2:$BG$158,MATCH($B107,Scores!$BM$2:$BM$158,0)),"")</f>
        <v/>
      </c>
    </row>
    <row r="108">
      <c r="A108" t="inlineStr">
        <is>
          <t>Ranked</t>
        </is>
      </c>
      <c r="B108" t="n">
        <v>106</v>
      </c>
      <c r="C108">
        <f>IFERROR(INDEX(Scores!$BM$2:$BM$158,MATCH($B108,Scores!$BM$2:$BM$158,0)),"")</f>
        <v/>
      </c>
      <c r="D108">
        <f>IFERROR(INDEX(Scores!$B$2:$B$158,MATCH($B108,Scores!$BM$2:$BM$158,0)),"")</f>
        <v/>
      </c>
      <c r="E108">
        <f>IFERROR(INDEX(Scores!$C$2:$C$158,MATCH($B108,Scores!$BM$2:$BM$158,0)),"")</f>
        <v/>
      </c>
      <c r="F108">
        <f>IFERROR(INDEX(Scores!$D$2:$D$158,MATCH($B108,Scores!$BM$2:$BM$158,0)),"")</f>
        <v/>
      </c>
      <c r="G108">
        <f>IFERROR(INDEX(Scores!$E$2:$E$158,MATCH($B108,Scores!$BM$2:$BM$158,0)),"")</f>
        <v/>
      </c>
      <c r="H108">
        <f>IFERROR(INDEX(Scores!$BJ$2:$BJ$158,MATCH($B108,Scores!$BM$2:$BM$158,0)),"")</f>
        <v/>
      </c>
      <c r="I108">
        <f>IFERROR(INDEX(Scores!$BL$2:$BL$158,MATCH($B108,Scores!$BM$2:$BM$158,0)),"")</f>
        <v/>
      </c>
      <c r="J108">
        <f>IFERROR(INDEX(Scores!$Q$2:$Q$158,MATCH($B108,Scores!$BM$2:$BM$158,0)),"")</f>
        <v/>
      </c>
      <c r="K108">
        <f>IFERROR(INDEX(Scores!$AE$2:$AE$158,MATCH($B108,Scores!$BM$2:$BM$158,0)),"")</f>
        <v/>
      </c>
      <c r="L108">
        <f>IFERROR(INDEX(Scores!$AM$2:$AM$158,MATCH($B108,Scores!$BM$2:$BM$158,0)),"")</f>
        <v/>
      </c>
      <c r="M108">
        <f>IFERROR(INDEX(Scores!$AW$2:$AW$158,MATCH($B108,Scores!$BM$2:$BM$158,0)),"")</f>
        <v/>
      </c>
      <c r="N108">
        <f>IFERROR(INDEX(Scores!$BG$2:$BG$158,MATCH($B108,Scores!$BM$2:$BM$158,0)),"")</f>
        <v/>
      </c>
    </row>
    <row r="109">
      <c r="A109" t="inlineStr">
        <is>
          <t>Ranked</t>
        </is>
      </c>
      <c r="B109" t="n">
        <v>107</v>
      </c>
      <c r="C109">
        <f>IFERROR(INDEX(Scores!$BM$2:$BM$158,MATCH($B109,Scores!$BM$2:$BM$158,0)),"")</f>
        <v/>
      </c>
      <c r="D109">
        <f>IFERROR(INDEX(Scores!$B$2:$B$158,MATCH($B109,Scores!$BM$2:$BM$158,0)),"")</f>
        <v/>
      </c>
      <c r="E109">
        <f>IFERROR(INDEX(Scores!$C$2:$C$158,MATCH($B109,Scores!$BM$2:$BM$158,0)),"")</f>
        <v/>
      </c>
      <c r="F109">
        <f>IFERROR(INDEX(Scores!$D$2:$D$158,MATCH($B109,Scores!$BM$2:$BM$158,0)),"")</f>
        <v/>
      </c>
      <c r="G109">
        <f>IFERROR(INDEX(Scores!$E$2:$E$158,MATCH($B109,Scores!$BM$2:$BM$158,0)),"")</f>
        <v/>
      </c>
      <c r="H109">
        <f>IFERROR(INDEX(Scores!$BJ$2:$BJ$158,MATCH($B109,Scores!$BM$2:$BM$158,0)),"")</f>
        <v/>
      </c>
      <c r="I109">
        <f>IFERROR(INDEX(Scores!$BL$2:$BL$158,MATCH($B109,Scores!$BM$2:$BM$158,0)),"")</f>
        <v/>
      </c>
      <c r="J109">
        <f>IFERROR(INDEX(Scores!$Q$2:$Q$158,MATCH($B109,Scores!$BM$2:$BM$158,0)),"")</f>
        <v/>
      </c>
      <c r="K109">
        <f>IFERROR(INDEX(Scores!$AE$2:$AE$158,MATCH($B109,Scores!$BM$2:$BM$158,0)),"")</f>
        <v/>
      </c>
      <c r="L109">
        <f>IFERROR(INDEX(Scores!$AM$2:$AM$158,MATCH($B109,Scores!$BM$2:$BM$158,0)),"")</f>
        <v/>
      </c>
      <c r="M109">
        <f>IFERROR(INDEX(Scores!$AW$2:$AW$158,MATCH($B109,Scores!$BM$2:$BM$158,0)),"")</f>
        <v/>
      </c>
      <c r="N109">
        <f>IFERROR(INDEX(Scores!$BG$2:$BG$158,MATCH($B109,Scores!$BM$2:$BM$158,0)),"")</f>
        <v/>
      </c>
    </row>
    <row r="110">
      <c r="A110" t="inlineStr">
        <is>
          <t>Ranked</t>
        </is>
      </c>
      <c r="B110" t="n">
        <v>108</v>
      </c>
      <c r="C110">
        <f>IFERROR(INDEX(Scores!$BM$2:$BM$158,MATCH($B110,Scores!$BM$2:$BM$158,0)),"")</f>
        <v/>
      </c>
      <c r="D110">
        <f>IFERROR(INDEX(Scores!$B$2:$B$158,MATCH($B110,Scores!$BM$2:$BM$158,0)),"")</f>
        <v/>
      </c>
      <c r="E110">
        <f>IFERROR(INDEX(Scores!$C$2:$C$158,MATCH($B110,Scores!$BM$2:$BM$158,0)),"")</f>
        <v/>
      </c>
      <c r="F110">
        <f>IFERROR(INDEX(Scores!$D$2:$D$158,MATCH($B110,Scores!$BM$2:$BM$158,0)),"")</f>
        <v/>
      </c>
      <c r="G110">
        <f>IFERROR(INDEX(Scores!$E$2:$E$158,MATCH($B110,Scores!$BM$2:$BM$158,0)),"")</f>
        <v/>
      </c>
      <c r="H110">
        <f>IFERROR(INDEX(Scores!$BJ$2:$BJ$158,MATCH($B110,Scores!$BM$2:$BM$158,0)),"")</f>
        <v/>
      </c>
      <c r="I110">
        <f>IFERROR(INDEX(Scores!$BL$2:$BL$158,MATCH($B110,Scores!$BM$2:$BM$158,0)),"")</f>
        <v/>
      </c>
      <c r="J110">
        <f>IFERROR(INDEX(Scores!$Q$2:$Q$158,MATCH($B110,Scores!$BM$2:$BM$158,0)),"")</f>
        <v/>
      </c>
      <c r="K110">
        <f>IFERROR(INDEX(Scores!$AE$2:$AE$158,MATCH($B110,Scores!$BM$2:$BM$158,0)),"")</f>
        <v/>
      </c>
      <c r="L110">
        <f>IFERROR(INDEX(Scores!$AM$2:$AM$158,MATCH($B110,Scores!$BM$2:$BM$158,0)),"")</f>
        <v/>
      </c>
      <c r="M110">
        <f>IFERROR(INDEX(Scores!$AW$2:$AW$158,MATCH($B110,Scores!$BM$2:$BM$158,0)),"")</f>
        <v/>
      </c>
      <c r="N110">
        <f>IFERROR(INDEX(Scores!$BG$2:$BG$158,MATCH($B110,Scores!$BM$2:$BM$158,0)),"")</f>
        <v/>
      </c>
    </row>
    <row r="111">
      <c r="A111" t="inlineStr">
        <is>
          <t>Ranked</t>
        </is>
      </c>
      <c r="B111" t="n">
        <v>109</v>
      </c>
      <c r="C111">
        <f>IFERROR(INDEX(Scores!$BM$2:$BM$158,MATCH($B111,Scores!$BM$2:$BM$158,0)),"")</f>
        <v/>
      </c>
      <c r="D111">
        <f>IFERROR(INDEX(Scores!$B$2:$B$158,MATCH($B111,Scores!$BM$2:$BM$158,0)),"")</f>
        <v/>
      </c>
      <c r="E111">
        <f>IFERROR(INDEX(Scores!$C$2:$C$158,MATCH($B111,Scores!$BM$2:$BM$158,0)),"")</f>
        <v/>
      </c>
      <c r="F111">
        <f>IFERROR(INDEX(Scores!$D$2:$D$158,MATCH($B111,Scores!$BM$2:$BM$158,0)),"")</f>
        <v/>
      </c>
      <c r="G111">
        <f>IFERROR(INDEX(Scores!$E$2:$E$158,MATCH($B111,Scores!$BM$2:$BM$158,0)),"")</f>
        <v/>
      </c>
      <c r="H111">
        <f>IFERROR(INDEX(Scores!$BJ$2:$BJ$158,MATCH($B111,Scores!$BM$2:$BM$158,0)),"")</f>
        <v/>
      </c>
      <c r="I111">
        <f>IFERROR(INDEX(Scores!$BL$2:$BL$158,MATCH($B111,Scores!$BM$2:$BM$158,0)),"")</f>
        <v/>
      </c>
      <c r="J111">
        <f>IFERROR(INDEX(Scores!$Q$2:$Q$158,MATCH($B111,Scores!$BM$2:$BM$158,0)),"")</f>
        <v/>
      </c>
      <c r="K111">
        <f>IFERROR(INDEX(Scores!$AE$2:$AE$158,MATCH($B111,Scores!$BM$2:$BM$158,0)),"")</f>
        <v/>
      </c>
      <c r="L111">
        <f>IFERROR(INDEX(Scores!$AM$2:$AM$158,MATCH($B111,Scores!$BM$2:$BM$158,0)),"")</f>
        <v/>
      </c>
      <c r="M111">
        <f>IFERROR(INDEX(Scores!$AW$2:$AW$158,MATCH($B111,Scores!$BM$2:$BM$158,0)),"")</f>
        <v/>
      </c>
      <c r="N111">
        <f>IFERROR(INDEX(Scores!$BG$2:$BG$158,MATCH($B111,Scores!$BM$2:$BM$158,0)),"")</f>
        <v/>
      </c>
    </row>
    <row r="112">
      <c r="A112" t="inlineStr">
        <is>
          <t>Ranked</t>
        </is>
      </c>
      <c r="B112" t="n">
        <v>110</v>
      </c>
      <c r="C112">
        <f>IFERROR(INDEX(Scores!$BM$2:$BM$158,MATCH($B112,Scores!$BM$2:$BM$158,0)),"")</f>
        <v/>
      </c>
      <c r="D112">
        <f>IFERROR(INDEX(Scores!$B$2:$B$158,MATCH($B112,Scores!$BM$2:$BM$158,0)),"")</f>
        <v/>
      </c>
      <c r="E112">
        <f>IFERROR(INDEX(Scores!$C$2:$C$158,MATCH($B112,Scores!$BM$2:$BM$158,0)),"")</f>
        <v/>
      </c>
      <c r="F112">
        <f>IFERROR(INDEX(Scores!$D$2:$D$158,MATCH($B112,Scores!$BM$2:$BM$158,0)),"")</f>
        <v/>
      </c>
      <c r="G112">
        <f>IFERROR(INDEX(Scores!$E$2:$E$158,MATCH($B112,Scores!$BM$2:$BM$158,0)),"")</f>
        <v/>
      </c>
      <c r="H112">
        <f>IFERROR(INDEX(Scores!$BJ$2:$BJ$158,MATCH($B112,Scores!$BM$2:$BM$158,0)),"")</f>
        <v/>
      </c>
      <c r="I112">
        <f>IFERROR(INDEX(Scores!$BL$2:$BL$158,MATCH($B112,Scores!$BM$2:$BM$158,0)),"")</f>
        <v/>
      </c>
      <c r="J112">
        <f>IFERROR(INDEX(Scores!$Q$2:$Q$158,MATCH($B112,Scores!$BM$2:$BM$158,0)),"")</f>
        <v/>
      </c>
      <c r="K112">
        <f>IFERROR(INDEX(Scores!$AE$2:$AE$158,MATCH($B112,Scores!$BM$2:$BM$158,0)),"")</f>
        <v/>
      </c>
      <c r="L112">
        <f>IFERROR(INDEX(Scores!$AM$2:$AM$158,MATCH($B112,Scores!$BM$2:$BM$158,0)),"")</f>
        <v/>
      </c>
      <c r="M112">
        <f>IFERROR(INDEX(Scores!$AW$2:$AW$158,MATCH($B112,Scores!$BM$2:$BM$158,0)),"")</f>
        <v/>
      </c>
      <c r="N112">
        <f>IFERROR(INDEX(Scores!$BG$2:$BG$158,MATCH($B112,Scores!$BM$2:$BM$158,0)),"")</f>
        <v/>
      </c>
    </row>
    <row r="113">
      <c r="A113" t="inlineStr">
        <is>
          <t>Ranked</t>
        </is>
      </c>
      <c r="B113" t="n">
        <v>111</v>
      </c>
      <c r="C113">
        <f>IFERROR(INDEX(Scores!$BM$2:$BM$158,MATCH($B113,Scores!$BM$2:$BM$158,0)),"")</f>
        <v/>
      </c>
      <c r="D113">
        <f>IFERROR(INDEX(Scores!$B$2:$B$158,MATCH($B113,Scores!$BM$2:$BM$158,0)),"")</f>
        <v/>
      </c>
      <c r="E113">
        <f>IFERROR(INDEX(Scores!$C$2:$C$158,MATCH($B113,Scores!$BM$2:$BM$158,0)),"")</f>
        <v/>
      </c>
      <c r="F113">
        <f>IFERROR(INDEX(Scores!$D$2:$D$158,MATCH($B113,Scores!$BM$2:$BM$158,0)),"")</f>
        <v/>
      </c>
      <c r="G113">
        <f>IFERROR(INDEX(Scores!$E$2:$E$158,MATCH($B113,Scores!$BM$2:$BM$158,0)),"")</f>
        <v/>
      </c>
      <c r="H113">
        <f>IFERROR(INDEX(Scores!$BJ$2:$BJ$158,MATCH($B113,Scores!$BM$2:$BM$158,0)),"")</f>
        <v/>
      </c>
      <c r="I113">
        <f>IFERROR(INDEX(Scores!$BL$2:$BL$158,MATCH($B113,Scores!$BM$2:$BM$158,0)),"")</f>
        <v/>
      </c>
      <c r="J113">
        <f>IFERROR(INDEX(Scores!$Q$2:$Q$158,MATCH($B113,Scores!$BM$2:$BM$158,0)),"")</f>
        <v/>
      </c>
      <c r="K113">
        <f>IFERROR(INDEX(Scores!$AE$2:$AE$158,MATCH($B113,Scores!$BM$2:$BM$158,0)),"")</f>
        <v/>
      </c>
      <c r="L113">
        <f>IFERROR(INDEX(Scores!$AM$2:$AM$158,MATCH($B113,Scores!$BM$2:$BM$158,0)),"")</f>
        <v/>
      </c>
      <c r="M113">
        <f>IFERROR(INDEX(Scores!$AW$2:$AW$158,MATCH($B113,Scores!$BM$2:$BM$158,0)),"")</f>
        <v/>
      </c>
      <c r="N113">
        <f>IFERROR(INDEX(Scores!$BG$2:$BG$158,MATCH($B113,Scores!$BM$2:$BM$158,0)),"")</f>
        <v/>
      </c>
    </row>
    <row r="114">
      <c r="A114" t="inlineStr">
        <is>
          <t>Ranked</t>
        </is>
      </c>
      <c r="B114" t="n">
        <v>112</v>
      </c>
      <c r="C114">
        <f>IFERROR(INDEX(Scores!$BM$2:$BM$158,MATCH($B114,Scores!$BM$2:$BM$158,0)),"")</f>
        <v/>
      </c>
      <c r="D114">
        <f>IFERROR(INDEX(Scores!$B$2:$B$158,MATCH($B114,Scores!$BM$2:$BM$158,0)),"")</f>
        <v/>
      </c>
      <c r="E114">
        <f>IFERROR(INDEX(Scores!$C$2:$C$158,MATCH($B114,Scores!$BM$2:$BM$158,0)),"")</f>
        <v/>
      </c>
      <c r="F114">
        <f>IFERROR(INDEX(Scores!$D$2:$D$158,MATCH($B114,Scores!$BM$2:$BM$158,0)),"")</f>
        <v/>
      </c>
      <c r="G114">
        <f>IFERROR(INDEX(Scores!$E$2:$E$158,MATCH($B114,Scores!$BM$2:$BM$158,0)),"")</f>
        <v/>
      </c>
      <c r="H114">
        <f>IFERROR(INDEX(Scores!$BJ$2:$BJ$158,MATCH($B114,Scores!$BM$2:$BM$158,0)),"")</f>
        <v/>
      </c>
      <c r="I114">
        <f>IFERROR(INDEX(Scores!$BL$2:$BL$158,MATCH($B114,Scores!$BM$2:$BM$158,0)),"")</f>
        <v/>
      </c>
      <c r="J114">
        <f>IFERROR(INDEX(Scores!$Q$2:$Q$158,MATCH($B114,Scores!$BM$2:$BM$158,0)),"")</f>
        <v/>
      </c>
      <c r="K114">
        <f>IFERROR(INDEX(Scores!$AE$2:$AE$158,MATCH($B114,Scores!$BM$2:$BM$158,0)),"")</f>
        <v/>
      </c>
      <c r="L114">
        <f>IFERROR(INDEX(Scores!$AM$2:$AM$158,MATCH($B114,Scores!$BM$2:$BM$158,0)),"")</f>
        <v/>
      </c>
      <c r="M114">
        <f>IFERROR(INDEX(Scores!$AW$2:$AW$158,MATCH($B114,Scores!$BM$2:$BM$158,0)),"")</f>
        <v/>
      </c>
      <c r="N114">
        <f>IFERROR(INDEX(Scores!$BG$2:$BG$158,MATCH($B114,Scores!$BM$2:$BM$158,0)),"")</f>
        <v/>
      </c>
    </row>
    <row r="115">
      <c r="A115" t="inlineStr">
        <is>
          <t>Ranked</t>
        </is>
      </c>
      <c r="B115" t="n">
        <v>113</v>
      </c>
      <c r="C115">
        <f>IFERROR(INDEX(Scores!$BM$2:$BM$158,MATCH($B115,Scores!$BM$2:$BM$158,0)),"")</f>
        <v/>
      </c>
      <c r="D115">
        <f>IFERROR(INDEX(Scores!$B$2:$B$158,MATCH($B115,Scores!$BM$2:$BM$158,0)),"")</f>
        <v/>
      </c>
      <c r="E115">
        <f>IFERROR(INDEX(Scores!$C$2:$C$158,MATCH($B115,Scores!$BM$2:$BM$158,0)),"")</f>
        <v/>
      </c>
      <c r="F115">
        <f>IFERROR(INDEX(Scores!$D$2:$D$158,MATCH($B115,Scores!$BM$2:$BM$158,0)),"")</f>
        <v/>
      </c>
      <c r="G115">
        <f>IFERROR(INDEX(Scores!$E$2:$E$158,MATCH($B115,Scores!$BM$2:$BM$158,0)),"")</f>
        <v/>
      </c>
      <c r="H115">
        <f>IFERROR(INDEX(Scores!$BJ$2:$BJ$158,MATCH($B115,Scores!$BM$2:$BM$158,0)),"")</f>
        <v/>
      </c>
      <c r="I115">
        <f>IFERROR(INDEX(Scores!$BL$2:$BL$158,MATCH($B115,Scores!$BM$2:$BM$158,0)),"")</f>
        <v/>
      </c>
      <c r="J115">
        <f>IFERROR(INDEX(Scores!$Q$2:$Q$158,MATCH($B115,Scores!$BM$2:$BM$158,0)),"")</f>
        <v/>
      </c>
      <c r="K115">
        <f>IFERROR(INDEX(Scores!$AE$2:$AE$158,MATCH($B115,Scores!$BM$2:$BM$158,0)),"")</f>
        <v/>
      </c>
      <c r="L115">
        <f>IFERROR(INDEX(Scores!$AM$2:$AM$158,MATCH($B115,Scores!$BM$2:$BM$158,0)),"")</f>
        <v/>
      </c>
      <c r="M115">
        <f>IFERROR(INDEX(Scores!$AW$2:$AW$158,MATCH($B115,Scores!$BM$2:$BM$158,0)),"")</f>
        <v/>
      </c>
      <c r="N115">
        <f>IFERROR(INDEX(Scores!$BG$2:$BG$158,MATCH($B115,Scores!$BM$2:$BM$158,0)),"")</f>
        <v/>
      </c>
    </row>
    <row r="116">
      <c r="A116" t="inlineStr">
        <is>
          <t>Ranked</t>
        </is>
      </c>
      <c r="B116" t="n">
        <v>114</v>
      </c>
      <c r="C116">
        <f>IFERROR(INDEX(Scores!$BM$2:$BM$158,MATCH($B116,Scores!$BM$2:$BM$158,0)),"")</f>
        <v/>
      </c>
      <c r="D116">
        <f>IFERROR(INDEX(Scores!$B$2:$B$158,MATCH($B116,Scores!$BM$2:$BM$158,0)),"")</f>
        <v/>
      </c>
      <c r="E116">
        <f>IFERROR(INDEX(Scores!$C$2:$C$158,MATCH($B116,Scores!$BM$2:$BM$158,0)),"")</f>
        <v/>
      </c>
      <c r="F116">
        <f>IFERROR(INDEX(Scores!$D$2:$D$158,MATCH($B116,Scores!$BM$2:$BM$158,0)),"")</f>
        <v/>
      </c>
      <c r="G116">
        <f>IFERROR(INDEX(Scores!$E$2:$E$158,MATCH($B116,Scores!$BM$2:$BM$158,0)),"")</f>
        <v/>
      </c>
      <c r="H116">
        <f>IFERROR(INDEX(Scores!$BJ$2:$BJ$158,MATCH($B116,Scores!$BM$2:$BM$158,0)),"")</f>
        <v/>
      </c>
      <c r="I116">
        <f>IFERROR(INDEX(Scores!$BL$2:$BL$158,MATCH($B116,Scores!$BM$2:$BM$158,0)),"")</f>
        <v/>
      </c>
      <c r="J116">
        <f>IFERROR(INDEX(Scores!$Q$2:$Q$158,MATCH($B116,Scores!$BM$2:$BM$158,0)),"")</f>
        <v/>
      </c>
      <c r="K116">
        <f>IFERROR(INDEX(Scores!$AE$2:$AE$158,MATCH($B116,Scores!$BM$2:$BM$158,0)),"")</f>
        <v/>
      </c>
      <c r="L116">
        <f>IFERROR(INDEX(Scores!$AM$2:$AM$158,MATCH($B116,Scores!$BM$2:$BM$158,0)),"")</f>
        <v/>
      </c>
      <c r="M116">
        <f>IFERROR(INDEX(Scores!$AW$2:$AW$158,MATCH($B116,Scores!$BM$2:$BM$158,0)),"")</f>
        <v/>
      </c>
      <c r="N116">
        <f>IFERROR(INDEX(Scores!$BG$2:$BG$158,MATCH($B116,Scores!$BM$2:$BM$158,0)),"")</f>
        <v/>
      </c>
    </row>
    <row r="117">
      <c r="A117" t="inlineStr">
        <is>
          <t>Ranked</t>
        </is>
      </c>
      <c r="B117" t="n">
        <v>115</v>
      </c>
      <c r="C117">
        <f>IFERROR(INDEX(Scores!$BM$2:$BM$158,MATCH($B117,Scores!$BM$2:$BM$158,0)),"")</f>
        <v/>
      </c>
      <c r="D117">
        <f>IFERROR(INDEX(Scores!$B$2:$B$158,MATCH($B117,Scores!$BM$2:$BM$158,0)),"")</f>
        <v/>
      </c>
      <c r="E117">
        <f>IFERROR(INDEX(Scores!$C$2:$C$158,MATCH($B117,Scores!$BM$2:$BM$158,0)),"")</f>
        <v/>
      </c>
      <c r="F117">
        <f>IFERROR(INDEX(Scores!$D$2:$D$158,MATCH($B117,Scores!$BM$2:$BM$158,0)),"")</f>
        <v/>
      </c>
      <c r="G117">
        <f>IFERROR(INDEX(Scores!$E$2:$E$158,MATCH($B117,Scores!$BM$2:$BM$158,0)),"")</f>
        <v/>
      </c>
      <c r="H117">
        <f>IFERROR(INDEX(Scores!$BJ$2:$BJ$158,MATCH($B117,Scores!$BM$2:$BM$158,0)),"")</f>
        <v/>
      </c>
      <c r="I117">
        <f>IFERROR(INDEX(Scores!$BL$2:$BL$158,MATCH($B117,Scores!$BM$2:$BM$158,0)),"")</f>
        <v/>
      </c>
      <c r="J117">
        <f>IFERROR(INDEX(Scores!$Q$2:$Q$158,MATCH($B117,Scores!$BM$2:$BM$158,0)),"")</f>
        <v/>
      </c>
      <c r="K117">
        <f>IFERROR(INDEX(Scores!$AE$2:$AE$158,MATCH($B117,Scores!$BM$2:$BM$158,0)),"")</f>
        <v/>
      </c>
      <c r="L117">
        <f>IFERROR(INDEX(Scores!$AM$2:$AM$158,MATCH($B117,Scores!$BM$2:$BM$158,0)),"")</f>
        <v/>
      </c>
      <c r="M117">
        <f>IFERROR(INDEX(Scores!$AW$2:$AW$158,MATCH($B117,Scores!$BM$2:$BM$158,0)),"")</f>
        <v/>
      </c>
      <c r="N117">
        <f>IFERROR(INDEX(Scores!$BG$2:$BG$158,MATCH($B117,Scores!$BM$2:$BM$158,0)),"")</f>
        <v/>
      </c>
    </row>
    <row r="118">
      <c r="A118" t="inlineStr">
        <is>
          <t>Ranked</t>
        </is>
      </c>
      <c r="B118" t="n">
        <v>116</v>
      </c>
      <c r="C118">
        <f>IFERROR(INDEX(Scores!$BM$2:$BM$158,MATCH($B118,Scores!$BM$2:$BM$158,0)),"")</f>
        <v/>
      </c>
      <c r="D118">
        <f>IFERROR(INDEX(Scores!$B$2:$B$158,MATCH($B118,Scores!$BM$2:$BM$158,0)),"")</f>
        <v/>
      </c>
      <c r="E118">
        <f>IFERROR(INDEX(Scores!$C$2:$C$158,MATCH($B118,Scores!$BM$2:$BM$158,0)),"")</f>
        <v/>
      </c>
      <c r="F118">
        <f>IFERROR(INDEX(Scores!$D$2:$D$158,MATCH($B118,Scores!$BM$2:$BM$158,0)),"")</f>
        <v/>
      </c>
      <c r="G118">
        <f>IFERROR(INDEX(Scores!$E$2:$E$158,MATCH($B118,Scores!$BM$2:$BM$158,0)),"")</f>
        <v/>
      </c>
      <c r="H118">
        <f>IFERROR(INDEX(Scores!$BJ$2:$BJ$158,MATCH($B118,Scores!$BM$2:$BM$158,0)),"")</f>
        <v/>
      </c>
      <c r="I118">
        <f>IFERROR(INDEX(Scores!$BL$2:$BL$158,MATCH($B118,Scores!$BM$2:$BM$158,0)),"")</f>
        <v/>
      </c>
      <c r="J118">
        <f>IFERROR(INDEX(Scores!$Q$2:$Q$158,MATCH($B118,Scores!$BM$2:$BM$158,0)),"")</f>
        <v/>
      </c>
      <c r="K118">
        <f>IFERROR(INDEX(Scores!$AE$2:$AE$158,MATCH($B118,Scores!$BM$2:$BM$158,0)),"")</f>
        <v/>
      </c>
      <c r="L118">
        <f>IFERROR(INDEX(Scores!$AM$2:$AM$158,MATCH($B118,Scores!$BM$2:$BM$158,0)),"")</f>
        <v/>
      </c>
      <c r="M118">
        <f>IFERROR(INDEX(Scores!$AW$2:$AW$158,MATCH($B118,Scores!$BM$2:$BM$158,0)),"")</f>
        <v/>
      </c>
      <c r="N118">
        <f>IFERROR(INDEX(Scores!$BG$2:$BG$158,MATCH($B118,Scores!$BM$2:$BM$158,0)),"")</f>
        <v/>
      </c>
    </row>
    <row r="119">
      <c r="A119" t="inlineStr">
        <is>
          <t>Ranked</t>
        </is>
      </c>
      <c r="B119" t="n">
        <v>117</v>
      </c>
      <c r="C119">
        <f>IFERROR(INDEX(Scores!$BM$2:$BM$158,MATCH($B119,Scores!$BM$2:$BM$158,0)),"")</f>
        <v/>
      </c>
      <c r="D119">
        <f>IFERROR(INDEX(Scores!$B$2:$B$158,MATCH($B119,Scores!$BM$2:$BM$158,0)),"")</f>
        <v/>
      </c>
      <c r="E119">
        <f>IFERROR(INDEX(Scores!$C$2:$C$158,MATCH($B119,Scores!$BM$2:$BM$158,0)),"")</f>
        <v/>
      </c>
      <c r="F119">
        <f>IFERROR(INDEX(Scores!$D$2:$D$158,MATCH($B119,Scores!$BM$2:$BM$158,0)),"")</f>
        <v/>
      </c>
      <c r="G119">
        <f>IFERROR(INDEX(Scores!$E$2:$E$158,MATCH($B119,Scores!$BM$2:$BM$158,0)),"")</f>
        <v/>
      </c>
      <c r="H119">
        <f>IFERROR(INDEX(Scores!$BJ$2:$BJ$158,MATCH($B119,Scores!$BM$2:$BM$158,0)),"")</f>
        <v/>
      </c>
      <c r="I119">
        <f>IFERROR(INDEX(Scores!$BL$2:$BL$158,MATCH($B119,Scores!$BM$2:$BM$158,0)),"")</f>
        <v/>
      </c>
      <c r="J119">
        <f>IFERROR(INDEX(Scores!$Q$2:$Q$158,MATCH($B119,Scores!$BM$2:$BM$158,0)),"")</f>
        <v/>
      </c>
      <c r="K119">
        <f>IFERROR(INDEX(Scores!$AE$2:$AE$158,MATCH($B119,Scores!$BM$2:$BM$158,0)),"")</f>
        <v/>
      </c>
      <c r="L119">
        <f>IFERROR(INDEX(Scores!$AM$2:$AM$158,MATCH($B119,Scores!$BM$2:$BM$158,0)),"")</f>
        <v/>
      </c>
      <c r="M119">
        <f>IFERROR(INDEX(Scores!$AW$2:$AW$158,MATCH($B119,Scores!$BM$2:$BM$158,0)),"")</f>
        <v/>
      </c>
      <c r="N119">
        <f>IFERROR(INDEX(Scores!$BG$2:$BG$158,MATCH($B119,Scores!$BM$2:$BM$158,0)),"")</f>
        <v/>
      </c>
    </row>
    <row r="120">
      <c r="A120" t="inlineStr">
        <is>
          <t>Ranked</t>
        </is>
      </c>
      <c r="B120" t="n">
        <v>118</v>
      </c>
      <c r="C120">
        <f>IFERROR(INDEX(Scores!$BM$2:$BM$158,MATCH($B120,Scores!$BM$2:$BM$158,0)),"")</f>
        <v/>
      </c>
      <c r="D120">
        <f>IFERROR(INDEX(Scores!$B$2:$B$158,MATCH($B120,Scores!$BM$2:$BM$158,0)),"")</f>
        <v/>
      </c>
      <c r="E120">
        <f>IFERROR(INDEX(Scores!$C$2:$C$158,MATCH($B120,Scores!$BM$2:$BM$158,0)),"")</f>
        <v/>
      </c>
      <c r="F120">
        <f>IFERROR(INDEX(Scores!$D$2:$D$158,MATCH($B120,Scores!$BM$2:$BM$158,0)),"")</f>
        <v/>
      </c>
      <c r="G120">
        <f>IFERROR(INDEX(Scores!$E$2:$E$158,MATCH($B120,Scores!$BM$2:$BM$158,0)),"")</f>
        <v/>
      </c>
      <c r="H120">
        <f>IFERROR(INDEX(Scores!$BJ$2:$BJ$158,MATCH($B120,Scores!$BM$2:$BM$158,0)),"")</f>
        <v/>
      </c>
      <c r="I120">
        <f>IFERROR(INDEX(Scores!$BL$2:$BL$158,MATCH($B120,Scores!$BM$2:$BM$158,0)),"")</f>
        <v/>
      </c>
      <c r="J120">
        <f>IFERROR(INDEX(Scores!$Q$2:$Q$158,MATCH($B120,Scores!$BM$2:$BM$158,0)),"")</f>
        <v/>
      </c>
      <c r="K120">
        <f>IFERROR(INDEX(Scores!$AE$2:$AE$158,MATCH($B120,Scores!$BM$2:$BM$158,0)),"")</f>
        <v/>
      </c>
      <c r="L120">
        <f>IFERROR(INDEX(Scores!$AM$2:$AM$158,MATCH($B120,Scores!$BM$2:$BM$158,0)),"")</f>
        <v/>
      </c>
      <c r="M120">
        <f>IFERROR(INDEX(Scores!$AW$2:$AW$158,MATCH($B120,Scores!$BM$2:$BM$158,0)),"")</f>
        <v/>
      </c>
      <c r="N120">
        <f>IFERROR(INDEX(Scores!$BG$2:$BG$158,MATCH($B120,Scores!$BM$2:$BM$158,0)),"")</f>
        <v/>
      </c>
    </row>
    <row r="121">
      <c r="A121" t="inlineStr">
        <is>
          <t>Ranked</t>
        </is>
      </c>
      <c r="B121" t="n">
        <v>119</v>
      </c>
      <c r="C121">
        <f>IFERROR(INDEX(Scores!$BM$2:$BM$158,MATCH($B121,Scores!$BM$2:$BM$158,0)),"")</f>
        <v/>
      </c>
      <c r="D121">
        <f>IFERROR(INDEX(Scores!$B$2:$B$158,MATCH($B121,Scores!$BM$2:$BM$158,0)),"")</f>
        <v/>
      </c>
      <c r="E121">
        <f>IFERROR(INDEX(Scores!$C$2:$C$158,MATCH($B121,Scores!$BM$2:$BM$158,0)),"")</f>
        <v/>
      </c>
      <c r="F121">
        <f>IFERROR(INDEX(Scores!$D$2:$D$158,MATCH($B121,Scores!$BM$2:$BM$158,0)),"")</f>
        <v/>
      </c>
      <c r="G121">
        <f>IFERROR(INDEX(Scores!$E$2:$E$158,MATCH($B121,Scores!$BM$2:$BM$158,0)),"")</f>
        <v/>
      </c>
      <c r="H121">
        <f>IFERROR(INDEX(Scores!$BJ$2:$BJ$158,MATCH($B121,Scores!$BM$2:$BM$158,0)),"")</f>
        <v/>
      </c>
      <c r="I121">
        <f>IFERROR(INDEX(Scores!$BL$2:$BL$158,MATCH($B121,Scores!$BM$2:$BM$158,0)),"")</f>
        <v/>
      </c>
      <c r="J121">
        <f>IFERROR(INDEX(Scores!$Q$2:$Q$158,MATCH($B121,Scores!$BM$2:$BM$158,0)),"")</f>
        <v/>
      </c>
      <c r="K121">
        <f>IFERROR(INDEX(Scores!$AE$2:$AE$158,MATCH($B121,Scores!$BM$2:$BM$158,0)),"")</f>
        <v/>
      </c>
      <c r="L121">
        <f>IFERROR(INDEX(Scores!$AM$2:$AM$158,MATCH($B121,Scores!$BM$2:$BM$158,0)),"")</f>
        <v/>
      </c>
      <c r="M121">
        <f>IFERROR(INDEX(Scores!$AW$2:$AW$158,MATCH($B121,Scores!$BM$2:$BM$158,0)),"")</f>
        <v/>
      </c>
      <c r="N121">
        <f>IFERROR(INDEX(Scores!$BG$2:$BG$158,MATCH($B121,Scores!$BM$2:$BM$158,0)),"")</f>
        <v/>
      </c>
    </row>
    <row r="122">
      <c r="A122" t="inlineStr">
        <is>
          <t>Ranked</t>
        </is>
      </c>
      <c r="B122" t="n">
        <v>120</v>
      </c>
      <c r="C122">
        <f>IFERROR(INDEX(Scores!$BM$2:$BM$158,MATCH($B122,Scores!$BM$2:$BM$158,0)),"")</f>
        <v/>
      </c>
      <c r="D122">
        <f>IFERROR(INDEX(Scores!$B$2:$B$158,MATCH($B122,Scores!$BM$2:$BM$158,0)),"")</f>
        <v/>
      </c>
      <c r="E122">
        <f>IFERROR(INDEX(Scores!$C$2:$C$158,MATCH($B122,Scores!$BM$2:$BM$158,0)),"")</f>
        <v/>
      </c>
      <c r="F122">
        <f>IFERROR(INDEX(Scores!$D$2:$D$158,MATCH($B122,Scores!$BM$2:$BM$158,0)),"")</f>
        <v/>
      </c>
      <c r="G122">
        <f>IFERROR(INDEX(Scores!$E$2:$E$158,MATCH($B122,Scores!$BM$2:$BM$158,0)),"")</f>
        <v/>
      </c>
      <c r="H122">
        <f>IFERROR(INDEX(Scores!$BJ$2:$BJ$158,MATCH($B122,Scores!$BM$2:$BM$158,0)),"")</f>
        <v/>
      </c>
      <c r="I122">
        <f>IFERROR(INDEX(Scores!$BL$2:$BL$158,MATCH($B122,Scores!$BM$2:$BM$158,0)),"")</f>
        <v/>
      </c>
      <c r="J122">
        <f>IFERROR(INDEX(Scores!$Q$2:$Q$158,MATCH($B122,Scores!$BM$2:$BM$158,0)),"")</f>
        <v/>
      </c>
      <c r="K122">
        <f>IFERROR(INDEX(Scores!$AE$2:$AE$158,MATCH($B122,Scores!$BM$2:$BM$158,0)),"")</f>
        <v/>
      </c>
      <c r="L122">
        <f>IFERROR(INDEX(Scores!$AM$2:$AM$158,MATCH($B122,Scores!$BM$2:$BM$158,0)),"")</f>
        <v/>
      </c>
      <c r="M122">
        <f>IFERROR(INDEX(Scores!$AW$2:$AW$158,MATCH($B122,Scores!$BM$2:$BM$158,0)),"")</f>
        <v/>
      </c>
      <c r="N122">
        <f>IFERROR(INDEX(Scores!$BG$2:$BG$158,MATCH($B122,Scores!$BM$2:$BM$158,0)),"")</f>
        <v/>
      </c>
    </row>
    <row r="123">
      <c r="A123" t="inlineStr">
        <is>
          <t>Ranked</t>
        </is>
      </c>
      <c r="B123" t="n">
        <v>121</v>
      </c>
      <c r="C123">
        <f>IFERROR(INDEX(Scores!$BM$2:$BM$158,MATCH($B123,Scores!$BM$2:$BM$158,0)),"")</f>
        <v/>
      </c>
      <c r="D123">
        <f>IFERROR(INDEX(Scores!$B$2:$B$158,MATCH($B123,Scores!$BM$2:$BM$158,0)),"")</f>
        <v/>
      </c>
      <c r="E123">
        <f>IFERROR(INDEX(Scores!$C$2:$C$158,MATCH($B123,Scores!$BM$2:$BM$158,0)),"")</f>
        <v/>
      </c>
      <c r="F123">
        <f>IFERROR(INDEX(Scores!$D$2:$D$158,MATCH($B123,Scores!$BM$2:$BM$158,0)),"")</f>
        <v/>
      </c>
      <c r="G123">
        <f>IFERROR(INDEX(Scores!$E$2:$E$158,MATCH($B123,Scores!$BM$2:$BM$158,0)),"")</f>
        <v/>
      </c>
      <c r="H123">
        <f>IFERROR(INDEX(Scores!$BJ$2:$BJ$158,MATCH($B123,Scores!$BM$2:$BM$158,0)),"")</f>
        <v/>
      </c>
      <c r="I123">
        <f>IFERROR(INDEX(Scores!$BL$2:$BL$158,MATCH($B123,Scores!$BM$2:$BM$158,0)),"")</f>
        <v/>
      </c>
      <c r="J123">
        <f>IFERROR(INDEX(Scores!$Q$2:$Q$158,MATCH($B123,Scores!$BM$2:$BM$158,0)),"")</f>
        <v/>
      </c>
      <c r="K123">
        <f>IFERROR(INDEX(Scores!$AE$2:$AE$158,MATCH($B123,Scores!$BM$2:$BM$158,0)),"")</f>
        <v/>
      </c>
      <c r="L123">
        <f>IFERROR(INDEX(Scores!$AM$2:$AM$158,MATCH($B123,Scores!$BM$2:$BM$158,0)),"")</f>
        <v/>
      </c>
      <c r="M123">
        <f>IFERROR(INDEX(Scores!$AW$2:$AW$158,MATCH($B123,Scores!$BM$2:$BM$158,0)),"")</f>
        <v/>
      </c>
      <c r="N123">
        <f>IFERROR(INDEX(Scores!$BG$2:$BG$158,MATCH($B123,Scores!$BM$2:$BM$158,0)),"")</f>
        <v/>
      </c>
    </row>
    <row r="124">
      <c r="A124" t="inlineStr">
        <is>
          <t>Ranked</t>
        </is>
      </c>
      <c r="B124" t="n">
        <v>122</v>
      </c>
      <c r="C124">
        <f>IFERROR(INDEX(Scores!$BM$2:$BM$158,MATCH($B124,Scores!$BM$2:$BM$158,0)),"")</f>
        <v/>
      </c>
      <c r="D124">
        <f>IFERROR(INDEX(Scores!$B$2:$B$158,MATCH($B124,Scores!$BM$2:$BM$158,0)),"")</f>
        <v/>
      </c>
      <c r="E124">
        <f>IFERROR(INDEX(Scores!$C$2:$C$158,MATCH($B124,Scores!$BM$2:$BM$158,0)),"")</f>
        <v/>
      </c>
      <c r="F124">
        <f>IFERROR(INDEX(Scores!$D$2:$D$158,MATCH($B124,Scores!$BM$2:$BM$158,0)),"")</f>
        <v/>
      </c>
      <c r="G124">
        <f>IFERROR(INDEX(Scores!$E$2:$E$158,MATCH($B124,Scores!$BM$2:$BM$158,0)),"")</f>
        <v/>
      </c>
      <c r="H124">
        <f>IFERROR(INDEX(Scores!$BJ$2:$BJ$158,MATCH($B124,Scores!$BM$2:$BM$158,0)),"")</f>
        <v/>
      </c>
      <c r="I124">
        <f>IFERROR(INDEX(Scores!$BL$2:$BL$158,MATCH($B124,Scores!$BM$2:$BM$158,0)),"")</f>
        <v/>
      </c>
      <c r="J124">
        <f>IFERROR(INDEX(Scores!$Q$2:$Q$158,MATCH($B124,Scores!$BM$2:$BM$158,0)),"")</f>
        <v/>
      </c>
      <c r="K124">
        <f>IFERROR(INDEX(Scores!$AE$2:$AE$158,MATCH($B124,Scores!$BM$2:$BM$158,0)),"")</f>
        <v/>
      </c>
      <c r="L124">
        <f>IFERROR(INDEX(Scores!$AM$2:$AM$158,MATCH($B124,Scores!$BM$2:$BM$158,0)),"")</f>
        <v/>
      </c>
      <c r="M124">
        <f>IFERROR(INDEX(Scores!$AW$2:$AW$158,MATCH($B124,Scores!$BM$2:$BM$158,0)),"")</f>
        <v/>
      </c>
      <c r="N124">
        <f>IFERROR(INDEX(Scores!$BG$2:$BG$158,MATCH($B124,Scores!$BM$2:$BM$158,0)),"")</f>
        <v/>
      </c>
    </row>
    <row r="125">
      <c r="A125" t="inlineStr">
        <is>
          <t>Ranked</t>
        </is>
      </c>
      <c r="B125" t="n">
        <v>123</v>
      </c>
      <c r="C125">
        <f>IFERROR(INDEX(Scores!$BM$2:$BM$158,MATCH($B125,Scores!$BM$2:$BM$158,0)),"")</f>
        <v/>
      </c>
      <c r="D125">
        <f>IFERROR(INDEX(Scores!$B$2:$B$158,MATCH($B125,Scores!$BM$2:$BM$158,0)),"")</f>
        <v/>
      </c>
      <c r="E125">
        <f>IFERROR(INDEX(Scores!$C$2:$C$158,MATCH($B125,Scores!$BM$2:$BM$158,0)),"")</f>
        <v/>
      </c>
      <c r="F125">
        <f>IFERROR(INDEX(Scores!$D$2:$D$158,MATCH($B125,Scores!$BM$2:$BM$158,0)),"")</f>
        <v/>
      </c>
      <c r="G125">
        <f>IFERROR(INDEX(Scores!$E$2:$E$158,MATCH($B125,Scores!$BM$2:$BM$158,0)),"")</f>
        <v/>
      </c>
      <c r="H125">
        <f>IFERROR(INDEX(Scores!$BJ$2:$BJ$158,MATCH($B125,Scores!$BM$2:$BM$158,0)),"")</f>
        <v/>
      </c>
      <c r="I125">
        <f>IFERROR(INDEX(Scores!$BL$2:$BL$158,MATCH($B125,Scores!$BM$2:$BM$158,0)),"")</f>
        <v/>
      </c>
      <c r="J125">
        <f>IFERROR(INDEX(Scores!$Q$2:$Q$158,MATCH($B125,Scores!$BM$2:$BM$158,0)),"")</f>
        <v/>
      </c>
      <c r="K125">
        <f>IFERROR(INDEX(Scores!$AE$2:$AE$158,MATCH($B125,Scores!$BM$2:$BM$158,0)),"")</f>
        <v/>
      </c>
      <c r="L125">
        <f>IFERROR(INDEX(Scores!$AM$2:$AM$158,MATCH($B125,Scores!$BM$2:$BM$158,0)),"")</f>
        <v/>
      </c>
      <c r="M125">
        <f>IFERROR(INDEX(Scores!$AW$2:$AW$158,MATCH($B125,Scores!$BM$2:$BM$158,0)),"")</f>
        <v/>
      </c>
      <c r="N125">
        <f>IFERROR(INDEX(Scores!$BG$2:$BG$158,MATCH($B125,Scores!$BM$2:$BM$158,0)),"")</f>
        <v/>
      </c>
    </row>
    <row r="126">
      <c r="A126" t="inlineStr">
        <is>
          <t>Ranked</t>
        </is>
      </c>
      <c r="B126" t="n">
        <v>124</v>
      </c>
      <c r="C126">
        <f>IFERROR(INDEX(Scores!$BM$2:$BM$158,MATCH($B126,Scores!$BM$2:$BM$158,0)),"")</f>
        <v/>
      </c>
      <c r="D126">
        <f>IFERROR(INDEX(Scores!$B$2:$B$158,MATCH($B126,Scores!$BM$2:$BM$158,0)),"")</f>
        <v/>
      </c>
      <c r="E126">
        <f>IFERROR(INDEX(Scores!$C$2:$C$158,MATCH($B126,Scores!$BM$2:$BM$158,0)),"")</f>
        <v/>
      </c>
      <c r="F126">
        <f>IFERROR(INDEX(Scores!$D$2:$D$158,MATCH($B126,Scores!$BM$2:$BM$158,0)),"")</f>
        <v/>
      </c>
      <c r="G126">
        <f>IFERROR(INDEX(Scores!$E$2:$E$158,MATCH($B126,Scores!$BM$2:$BM$158,0)),"")</f>
        <v/>
      </c>
      <c r="H126">
        <f>IFERROR(INDEX(Scores!$BJ$2:$BJ$158,MATCH($B126,Scores!$BM$2:$BM$158,0)),"")</f>
        <v/>
      </c>
      <c r="I126">
        <f>IFERROR(INDEX(Scores!$BL$2:$BL$158,MATCH($B126,Scores!$BM$2:$BM$158,0)),"")</f>
        <v/>
      </c>
      <c r="J126">
        <f>IFERROR(INDEX(Scores!$Q$2:$Q$158,MATCH($B126,Scores!$BM$2:$BM$158,0)),"")</f>
        <v/>
      </c>
      <c r="K126">
        <f>IFERROR(INDEX(Scores!$AE$2:$AE$158,MATCH($B126,Scores!$BM$2:$BM$158,0)),"")</f>
        <v/>
      </c>
      <c r="L126">
        <f>IFERROR(INDEX(Scores!$AM$2:$AM$158,MATCH($B126,Scores!$BM$2:$BM$158,0)),"")</f>
        <v/>
      </c>
      <c r="M126">
        <f>IFERROR(INDEX(Scores!$AW$2:$AW$158,MATCH($B126,Scores!$BM$2:$BM$158,0)),"")</f>
        <v/>
      </c>
      <c r="N126">
        <f>IFERROR(INDEX(Scores!$BG$2:$BG$158,MATCH($B126,Scores!$BM$2:$BM$158,0)),"")</f>
        <v/>
      </c>
    </row>
    <row r="127">
      <c r="A127" t="inlineStr">
        <is>
          <t>Ranked</t>
        </is>
      </c>
      <c r="B127" t="n">
        <v>125</v>
      </c>
      <c r="C127">
        <f>IFERROR(INDEX(Scores!$BM$2:$BM$158,MATCH($B127,Scores!$BM$2:$BM$158,0)),"")</f>
        <v/>
      </c>
      <c r="D127">
        <f>IFERROR(INDEX(Scores!$B$2:$B$158,MATCH($B127,Scores!$BM$2:$BM$158,0)),"")</f>
        <v/>
      </c>
      <c r="E127">
        <f>IFERROR(INDEX(Scores!$C$2:$C$158,MATCH($B127,Scores!$BM$2:$BM$158,0)),"")</f>
        <v/>
      </c>
      <c r="F127">
        <f>IFERROR(INDEX(Scores!$D$2:$D$158,MATCH($B127,Scores!$BM$2:$BM$158,0)),"")</f>
        <v/>
      </c>
      <c r="G127">
        <f>IFERROR(INDEX(Scores!$E$2:$E$158,MATCH($B127,Scores!$BM$2:$BM$158,0)),"")</f>
        <v/>
      </c>
      <c r="H127">
        <f>IFERROR(INDEX(Scores!$BJ$2:$BJ$158,MATCH($B127,Scores!$BM$2:$BM$158,0)),"")</f>
        <v/>
      </c>
      <c r="I127">
        <f>IFERROR(INDEX(Scores!$BL$2:$BL$158,MATCH($B127,Scores!$BM$2:$BM$158,0)),"")</f>
        <v/>
      </c>
      <c r="J127">
        <f>IFERROR(INDEX(Scores!$Q$2:$Q$158,MATCH($B127,Scores!$BM$2:$BM$158,0)),"")</f>
        <v/>
      </c>
      <c r="K127">
        <f>IFERROR(INDEX(Scores!$AE$2:$AE$158,MATCH($B127,Scores!$BM$2:$BM$158,0)),"")</f>
        <v/>
      </c>
      <c r="L127">
        <f>IFERROR(INDEX(Scores!$AM$2:$AM$158,MATCH($B127,Scores!$BM$2:$BM$158,0)),"")</f>
        <v/>
      </c>
      <c r="M127">
        <f>IFERROR(INDEX(Scores!$AW$2:$AW$158,MATCH($B127,Scores!$BM$2:$BM$158,0)),"")</f>
        <v/>
      </c>
      <c r="N127">
        <f>IFERROR(INDEX(Scores!$BG$2:$BG$158,MATCH($B127,Scores!$BM$2:$BM$158,0)),"")</f>
        <v/>
      </c>
    </row>
    <row r="128">
      <c r="A128" t="inlineStr">
        <is>
          <t>Ranked</t>
        </is>
      </c>
      <c r="B128" t="n">
        <v>126</v>
      </c>
      <c r="C128">
        <f>IFERROR(INDEX(Scores!$BM$2:$BM$158,MATCH($B128,Scores!$BM$2:$BM$158,0)),"")</f>
        <v/>
      </c>
      <c r="D128">
        <f>IFERROR(INDEX(Scores!$B$2:$B$158,MATCH($B128,Scores!$BM$2:$BM$158,0)),"")</f>
        <v/>
      </c>
      <c r="E128">
        <f>IFERROR(INDEX(Scores!$C$2:$C$158,MATCH($B128,Scores!$BM$2:$BM$158,0)),"")</f>
        <v/>
      </c>
      <c r="F128">
        <f>IFERROR(INDEX(Scores!$D$2:$D$158,MATCH($B128,Scores!$BM$2:$BM$158,0)),"")</f>
        <v/>
      </c>
      <c r="G128">
        <f>IFERROR(INDEX(Scores!$E$2:$E$158,MATCH($B128,Scores!$BM$2:$BM$158,0)),"")</f>
        <v/>
      </c>
      <c r="H128">
        <f>IFERROR(INDEX(Scores!$BJ$2:$BJ$158,MATCH($B128,Scores!$BM$2:$BM$158,0)),"")</f>
        <v/>
      </c>
      <c r="I128">
        <f>IFERROR(INDEX(Scores!$BL$2:$BL$158,MATCH($B128,Scores!$BM$2:$BM$158,0)),"")</f>
        <v/>
      </c>
      <c r="J128">
        <f>IFERROR(INDEX(Scores!$Q$2:$Q$158,MATCH($B128,Scores!$BM$2:$BM$158,0)),"")</f>
        <v/>
      </c>
      <c r="K128">
        <f>IFERROR(INDEX(Scores!$AE$2:$AE$158,MATCH($B128,Scores!$BM$2:$BM$158,0)),"")</f>
        <v/>
      </c>
      <c r="L128">
        <f>IFERROR(INDEX(Scores!$AM$2:$AM$158,MATCH($B128,Scores!$BM$2:$BM$158,0)),"")</f>
        <v/>
      </c>
      <c r="M128">
        <f>IFERROR(INDEX(Scores!$AW$2:$AW$158,MATCH($B128,Scores!$BM$2:$BM$158,0)),"")</f>
        <v/>
      </c>
      <c r="N128">
        <f>IFERROR(INDEX(Scores!$BG$2:$BG$158,MATCH($B128,Scores!$BM$2:$BM$158,0)),"")</f>
        <v/>
      </c>
    </row>
    <row r="129">
      <c r="A129" t="inlineStr">
        <is>
          <t>Ranked</t>
        </is>
      </c>
      <c r="B129" t="n">
        <v>127</v>
      </c>
      <c r="C129">
        <f>IFERROR(INDEX(Scores!$BM$2:$BM$158,MATCH($B129,Scores!$BM$2:$BM$158,0)),"")</f>
        <v/>
      </c>
      <c r="D129">
        <f>IFERROR(INDEX(Scores!$B$2:$B$158,MATCH($B129,Scores!$BM$2:$BM$158,0)),"")</f>
        <v/>
      </c>
      <c r="E129">
        <f>IFERROR(INDEX(Scores!$C$2:$C$158,MATCH($B129,Scores!$BM$2:$BM$158,0)),"")</f>
        <v/>
      </c>
      <c r="F129">
        <f>IFERROR(INDEX(Scores!$D$2:$D$158,MATCH($B129,Scores!$BM$2:$BM$158,0)),"")</f>
        <v/>
      </c>
      <c r="G129">
        <f>IFERROR(INDEX(Scores!$E$2:$E$158,MATCH($B129,Scores!$BM$2:$BM$158,0)),"")</f>
        <v/>
      </c>
      <c r="H129">
        <f>IFERROR(INDEX(Scores!$BJ$2:$BJ$158,MATCH($B129,Scores!$BM$2:$BM$158,0)),"")</f>
        <v/>
      </c>
      <c r="I129">
        <f>IFERROR(INDEX(Scores!$BL$2:$BL$158,MATCH($B129,Scores!$BM$2:$BM$158,0)),"")</f>
        <v/>
      </c>
      <c r="J129">
        <f>IFERROR(INDEX(Scores!$Q$2:$Q$158,MATCH($B129,Scores!$BM$2:$BM$158,0)),"")</f>
        <v/>
      </c>
      <c r="K129">
        <f>IFERROR(INDEX(Scores!$AE$2:$AE$158,MATCH($B129,Scores!$BM$2:$BM$158,0)),"")</f>
        <v/>
      </c>
      <c r="L129">
        <f>IFERROR(INDEX(Scores!$AM$2:$AM$158,MATCH($B129,Scores!$BM$2:$BM$158,0)),"")</f>
        <v/>
      </c>
      <c r="M129">
        <f>IFERROR(INDEX(Scores!$AW$2:$AW$158,MATCH($B129,Scores!$BM$2:$BM$158,0)),"")</f>
        <v/>
      </c>
      <c r="N129">
        <f>IFERROR(INDEX(Scores!$BG$2:$BG$158,MATCH($B129,Scores!$BM$2:$BM$158,0)),"")</f>
        <v/>
      </c>
    </row>
    <row r="130">
      <c r="A130" t="inlineStr">
        <is>
          <t>Ranked</t>
        </is>
      </c>
      <c r="B130" t="n">
        <v>128</v>
      </c>
      <c r="C130">
        <f>IFERROR(INDEX(Scores!$BM$2:$BM$158,MATCH($B130,Scores!$BM$2:$BM$158,0)),"")</f>
        <v/>
      </c>
      <c r="D130">
        <f>IFERROR(INDEX(Scores!$B$2:$B$158,MATCH($B130,Scores!$BM$2:$BM$158,0)),"")</f>
        <v/>
      </c>
      <c r="E130">
        <f>IFERROR(INDEX(Scores!$C$2:$C$158,MATCH($B130,Scores!$BM$2:$BM$158,0)),"")</f>
        <v/>
      </c>
      <c r="F130">
        <f>IFERROR(INDEX(Scores!$D$2:$D$158,MATCH($B130,Scores!$BM$2:$BM$158,0)),"")</f>
        <v/>
      </c>
      <c r="G130">
        <f>IFERROR(INDEX(Scores!$E$2:$E$158,MATCH($B130,Scores!$BM$2:$BM$158,0)),"")</f>
        <v/>
      </c>
      <c r="H130">
        <f>IFERROR(INDEX(Scores!$BJ$2:$BJ$158,MATCH($B130,Scores!$BM$2:$BM$158,0)),"")</f>
        <v/>
      </c>
      <c r="I130">
        <f>IFERROR(INDEX(Scores!$BL$2:$BL$158,MATCH($B130,Scores!$BM$2:$BM$158,0)),"")</f>
        <v/>
      </c>
      <c r="J130">
        <f>IFERROR(INDEX(Scores!$Q$2:$Q$158,MATCH($B130,Scores!$BM$2:$BM$158,0)),"")</f>
        <v/>
      </c>
      <c r="K130">
        <f>IFERROR(INDEX(Scores!$AE$2:$AE$158,MATCH($B130,Scores!$BM$2:$BM$158,0)),"")</f>
        <v/>
      </c>
      <c r="L130">
        <f>IFERROR(INDEX(Scores!$AM$2:$AM$158,MATCH($B130,Scores!$BM$2:$BM$158,0)),"")</f>
        <v/>
      </c>
      <c r="M130">
        <f>IFERROR(INDEX(Scores!$AW$2:$AW$158,MATCH($B130,Scores!$BM$2:$BM$158,0)),"")</f>
        <v/>
      </c>
      <c r="N130">
        <f>IFERROR(INDEX(Scores!$BG$2:$BG$158,MATCH($B130,Scores!$BM$2:$BM$158,0)),"")</f>
        <v/>
      </c>
    </row>
    <row r="131">
      <c r="A131" t="inlineStr">
        <is>
          <t>Ranked</t>
        </is>
      </c>
      <c r="B131" t="n">
        <v>129</v>
      </c>
      <c r="C131">
        <f>IFERROR(INDEX(Scores!$BM$2:$BM$158,MATCH($B131,Scores!$BM$2:$BM$158,0)),"")</f>
        <v/>
      </c>
      <c r="D131">
        <f>IFERROR(INDEX(Scores!$B$2:$B$158,MATCH($B131,Scores!$BM$2:$BM$158,0)),"")</f>
        <v/>
      </c>
      <c r="E131">
        <f>IFERROR(INDEX(Scores!$C$2:$C$158,MATCH($B131,Scores!$BM$2:$BM$158,0)),"")</f>
        <v/>
      </c>
      <c r="F131">
        <f>IFERROR(INDEX(Scores!$D$2:$D$158,MATCH($B131,Scores!$BM$2:$BM$158,0)),"")</f>
        <v/>
      </c>
      <c r="G131">
        <f>IFERROR(INDEX(Scores!$E$2:$E$158,MATCH($B131,Scores!$BM$2:$BM$158,0)),"")</f>
        <v/>
      </c>
      <c r="H131">
        <f>IFERROR(INDEX(Scores!$BJ$2:$BJ$158,MATCH($B131,Scores!$BM$2:$BM$158,0)),"")</f>
        <v/>
      </c>
      <c r="I131">
        <f>IFERROR(INDEX(Scores!$BL$2:$BL$158,MATCH($B131,Scores!$BM$2:$BM$158,0)),"")</f>
        <v/>
      </c>
      <c r="J131">
        <f>IFERROR(INDEX(Scores!$Q$2:$Q$158,MATCH($B131,Scores!$BM$2:$BM$158,0)),"")</f>
        <v/>
      </c>
      <c r="K131">
        <f>IFERROR(INDEX(Scores!$AE$2:$AE$158,MATCH($B131,Scores!$BM$2:$BM$158,0)),"")</f>
        <v/>
      </c>
      <c r="L131">
        <f>IFERROR(INDEX(Scores!$AM$2:$AM$158,MATCH($B131,Scores!$BM$2:$BM$158,0)),"")</f>
        <v/>
      </c>
      <c r="M131">
        <f>IFERROR(INDEX(Scores!$AW$2:$AW$158,MATCH($B131,Scores!$BM$2:$BM$158,0)),"")</f>
        <v/>
      </c>
      <c r="N131">
        <f>IFERROR(INDEX(Scores!$BG$2:$BG$158,MATCH($B131,Scores!$BM$2:$BM$158,0)),"")</f>
        <v/>
      </c>
    </row>
    <row r="132">
      <c r="A132" t="inlineStr">
        <is>
          <t>Ranked</t>
        </is>
      </c>
      <c r="B132" t="n">
        <v>130</v>
      </c>
      <c r="C132">
        <f>IFERROR(INDEX(Scores!$BM$2:$BM$158,MATCH($B132,Scores!$BM$2:$BM$158,0)),"")</f>
        <v/>
      </c>
      <c r="D132">
        <f>IFERROR(INDEX(Scores!$B$2:$B$158,MATCH($B132,Scores!$BM$2:$BM$158,0)),"")</f>
        <v/>
      </c>
      <c r="E132">
        <f>IFERROR(INDEX(Scores!$C$2:$C$158,MATCH($B132,Scores!$BM$2:$BM$158,0)),"")</f>
        <v/>
      </c>
      <c r="F132">
        <f>IFERROR(INDEX(Scores!$D$2:$D$158,MATCH($B132,Scores!$BM$2:$BM$158,0)),"")</f>
        <v/>
      </c>
      <c r="G132">
        <f>IFERROR(INDEX(Scores!$E$2:$E$158,MATCH($B132,Scores!$BM$2:$BM$158,0)),"")</f>
        <v/>
      </c>
      <c r="H132">
        <f>IFERROR(INDEX(Scores!$BJ$2:$BJ$158,MATCH($B132,Scores!$BM$2:$BM$158,0)),"")</f>
        <v/>
      </c>
      <c r="I132">
        <f>IFERROR(INDEX(Scores!$BL$2:$BL$158,MATCH($B132,Scores!$BM$2:$BM$158,0)),"")</f>
        <v/>
      </c>
      <c r="J132">
        <f>IFERROR(INDEX(Scores!$Q$2:$Q$158,MATCH($B132,Scores!$BM$2:$BM$158,0)),"")</f>
        <v/>
      </c>
      <c r="K132">
        <f>IFERROR(INDEX(Scores!$AE$2:$AE$158,MATCH($B132,Scores!$BM$2:$BM$158,0)),"")</f>
        <v/>
      </c>
      <c r="L132">
        <f>IFERROR(INDEX(Scores!$AM$2:$AM$158,MATCH($B132,Scores!$BM$2:$BM$158,0)),"")</f>
        <v/>
      </c>
      <c r="M132">
        <f>IFERROR(INDEX(Scores!$AW$2:$AW$158,MATCH($B132,Scores!$BM$2:$BM$158,0)),"")</f>
        <v/>
      </c>
      <c r="N132">
        <f>IFERROR(INDEX(Scores!$BG$2:$BG$158,MATCH($B132,Scores!$BM$2:$BM$158,0)),"")</f>
        <v/>
      </c>
    </row>
    <row r="133">
      <c r="A133" t="inlineStr">
        <is>
          <t>Ranked</t>
        </is>
      </c>
      <c r="B133" t="n">
        <v>131</v>
      </c>
      <c r="C133">
        <f>IFERROR(INDEX(Scores!$BM$2:$BM$158,MATCH($B133,Scores!$BM$2:$BM$158,0)),"")</f>
        <v/>
      </c>
      <c r="D133">
        <f>IFERROR(INDEX(Scores!$B$2:$B$158,MATCH($B133,Scores!$BM$2:$BM$158,0)),"")</f>
        <v/>
      </c>
      <c r="E133">
        <f>IFERROR(INDEX(Scores!$C$2:$C$158,MATCH($B133,Scores!$BM$2:$BM$158,0)),"")</f>
        <v/>
      </c>
      <c r="F133">
        <f>IFERROR(INDEX(Scores!$D$2:$D$158,MATCH($B133,Scores!$BM$2:$BM$158,0)),"")</f>
        <v/>
      </c>
      <c r="G133">
        <f>IFERROR(INDEX(Scores!$E$2:$E$158,MATCH($B133,Scores!$BM$2:$BM$158,0)),"")</f>
        <v/>
      </c>
      <c r="H133">
        <f>IFERROR(INDEX(Scores!$BJ$2:$BJ$158,MATCH($B133,Scores!$BM$2:$BM$158,0)),"")</f>
        <v/>
      </c>
      <c r="I133">
        <f>IFERROR(INDEX(Scores!$BL$2:$BL$158,MATCH($B133,Scores!$BM$2:$BM$158,0)),"")</f>
        <v/>
      </c>
      <c r="J133">
        <f>IFERROR(INDEX(Scores!$Q$2:$Q$158,MATCH($B133,Scores!$BM$2:$BM$158,0)),"")</f>
        <v/>
      </c>
      <c r="K133">
        <f>IFERROR(INDEX(Scores!$AE$2:$AE$158,MATCH($B133,Scores!$BM$2:$BM$158,0)),"")</f>
        <v/>
      </c>
      <c r="L133">
        <f>IFERROR(INDEX(Scores!$AM$2:$AM$158,MATCH($B133,Scores!$BM$2:$BM$158,0)),"")</f>
        <v/>
      </c>
      <c r="M133">
        <f>IFERROR(INDEX(Scores!$AW$2:$AW$158,MATCH($B133,Scores!$BM$2:$BM$158,0)),"")</f>
        <v/>
      </c>
      <c r="N133">
        <f>IFERROR(INDEX(Scores!$BG$2:$BG$158,MATCH($B133,Scores!$BM$2:$BM$158,0)),"")</f>
        <v/>
      </c>
    </row>
    <row r="134">
      <c r="A134" t="inlineStr">
        <is>
          <t>Ranked</t>
        </is>
      </c>
      <c r="B134" t="n">
        <v>132</v>
      </c>
      <c r="C134">
        <f>IFERROR(INDEX(Scores!$BM$2:$BM$158,MATCH($B134,Scores!$BM$2:$BM$158,0)),"")</f>
        <v/>
      </c>
      <c r="D134">
        <f>IFERROR(INDEX(Scores!$B$2:$B$158,MATCH($B134,Scores!$BM$2:$BM$158,0)),"")</f>
        <v/>
      </c>
      <c r="E134">
        <f>IFERROR(INDEX(Scores!$C$2:$C$158,MATCH($B134,Scores!$BM$2:$BM$158,0)),"")</f>
        <v/>
      </c>
      <c r="F134">
        <f>IFERROR(INDEX(Scores!$D$2:$D$158,MATCH($B134,Scores!$BM$2:$BM$158,0)),"")</f>
        <v/>
      </c>
      <c r="G134">
        <f>IFERROR(INDEX(Scores!$E$2:$E$158,MATCH($B134,Scores!$BM$2:$BM$158,0)),"")</f>
        <v/>
      </c>
      <c r="H134">
        <f>IFERROR(INDEX(Scores!$BJ$2:$BJ$158,MATCH($B134,Scores!$BM$2:$BM$158,0)),"")</f>
        <v/>
      </c>
      <c r="I134">
        <f>IFERROR(INDEX(Scores!$BL$2:$BL$158,MATCH($B134,Scores!$BM$2:$BM$158,0)),"")</f>
        <v/>
      </c>
      <c r="J134">
        <f>IFERROR(INDEX(Scores!$Q$2:$Q$158,MATCH($B134,Scores!$BM$2:$BM$158,0)),"")</f>
        <v/>
      </c>
      <c r="K134">
        <f>IFERROR(INDEX(Scores!$AE$2:$AE$158,MATCH($B134,Scores!$BM$2:$BM$158,0)),"")</f>
        <v/>
      </c>
      <c r="L134">
        <f>IFERROR(INDEX(Scores!$AM$2:$AM$158,MATCH($B134,Scores!$BM$2:$BM$158,0)),"")</f>
        <v/>
      </c>
      <c r="M134">
        <f>IFERROR(INDEX(Scores!$AW$2:$AW$158,MATCH($B134,Scores!$BM$2:$BM$158,0)),"")</f>
        <v/>
      </c>
      <c r="N134">
        <f>IFERROR(INDEX(Scores!$BG$2:$BG$158,MATCH($B134,Scores!$BM$2:$BM$158,0)),"")</f>
        <v/>
      </c>
    </row>
    <row r="135">
      <c r="A135" t="inlineStr">
        <is>
          <t>Ranked</t>
        </is>
      </c>
      <c r="B135" t="n">
        <v>133</v>
      </c>
      <c r="C135">
        <f>IFERROR(INDEX(Scores!$BM$2:$BM$158,MATCH($B135,Scores!$BM$2:$BM$158,0)),"")</f>
        <v/>
      </c>
      <c r="D135">
        <f>IFERROR(INDEX(Scores!$B$2:$B$158,MATCH($B135,Scores!$BM$2:$BM$158,0)),"")</f>
        <v/>
      </c>
      <c r="E135">
        <f>IFERROR(INDEX(Scores!$C$2:$C$158,MATCH($B135,Scores!$BM$2:$BM$158,0)),"")</f>
        <v/>
      </c>
      <c r="F135">
        <f>IFERROR(INDEX(Scores!$D$2:$D$158,MATCH($B135,Scores!$BM$2:$BM$158,0)),"")</f>
        <v/>
      </c>
      <c r="G135">
        <f>IFERROR(INDEX(Scores!$E$2:$E$158,MATCH($B135,Scores!$BM$2:$BM$158,0)),"")</f>
        <v/>
      </c>
      <c r="H135">
        <f>IFERROR(INDEX(Scores!$BJ$2:$BJ$158,MATCH($B135,Scores!$BM$2:$BM$158,0)),"")</f>
        <v/>
      </c>
      <c r="I135">
        <f>IFERROR(INDEX(Scores!$BL$2:$BL$158,MATCH($B135,Scores!$BM$2:$BM$158,0)),"")</f>
        <v/>
      </c>
      <c r="J135">
        <f>IFERROR(INDEX(Scores!$Q$2:$Q$158,MATCH($B135,Scores!$BM$2:$BM$158,0)),"")</f>
        <v/>
      </c>
      <c r="K135">
        <f>IFERROR(INDEX(Scores!$AE$2:$AE$158,MATCH($B135,Scores!$BM$2:$BM$158,0)),"")</f>
        <v/>
      </c>
      <c r="L135">
        <f>IFERROR(INDEX(Scores!$AM$2:$AM$158,MATCH($B135,Scores!$BM$2:$BM$158,0)),"")</f>
        <v/>
      </c>
      <c r="M135">
        <f>IFERROR(INDEX(Scores!$AW$2:$AW$158,MATCH($B135,Scores!$BM$2:$BM$158,0)),"")</f>
        <v/>
      </c>
      <c r="N135">
        <f>IFERROR(INDEX(Scores!$BG$2:$BG$158,MATCH($B135,Scores!$BM$2:$BM$158,0)),"")</f>
        <v/>
      </c>
    </row>
    <row r="136">
      <c r="A136" t="inlineStr">
        <is>
          <t>Ranked</t>
        </is>
      </c>
      <c r="B136" t="n">
        <v>134</v>
      </c>
      <c r="C136">
        <f>IFERROR(INDEX(Scores!$BM$2:$BM$158,MATCH($B136,Scores!$BM$2:$BM$158,0)),"")</f>
        <v/>
      </c>
      <c r="D136">
        <f>IFERROR(INDEX(Scores!$B$2:$B$158,MATCH($B136,Scores!$BM$2:$BM$158,0)),"")</f>
        <v/>
      </c>
      <c r="E136">
        <f>IFERROR(INDEX(Scores!$C$2:$C$158,MATCH($B136,Scores!$BM$2:$BM$158,0)),"")</f>
        <v/>
      </c>
      <c r="F136">
        <f>IFERROR(INDEX(Scores!$D$2:$D$158,MATCH($B136,Scores!$BM$2:$BM$158,0)),"")</f>
        <v/>
      </c>
      <c r="G136">
        <f>IFERROR(INDEX(Scores!$E$2:$E$158,MATCH($B136,Scores!$BM$2:$BM$158,0)),"")</f>
        <v/>
      </c>
      <c r="H136">
        <f>IFERROR(INDEX(Scores!$BJ$2:$BJ$158,MATCH($B136,Scores!$BM$2:$BM$158,0)),"")</f>
        <v/>
      </c>
      <c r="I136">
        <f>IFERROR(INDEX(Scores!$BL$2:$BL$158,MATCH($B136,Scores!$BM$2:$BM$158,0)),"")</f>
        <v/>
      </c>
      <c r="J136">
        <f>IFERROR(INDEX(Scores!$Q$2:$Q$158,MATCH($B136,Scores!$BM$2:$BM$158,0)),"")</f>
        <v/>
      </c>
      <c r="K136">
        <f>IFERROR(INDEX(Scores!$AE$2:$AE$158,MATCH($B136,Scores!$BM$2:$BM$158,0)),"")</f>
        <v/>
      </c>
      <c r="L136">
        <f>IFERROR(INDEX(Scores!$AM$2:$AM$158,MATCH($B136,Scores!$BM$2:$BM$158,0)),"")</f>
        <v/>
      </c>
      <c r="M136">
        <f>IFERROR(INDEX(Scores!$AW$2:$AW$158,MATCH($B136,Scores!$BM$2:$BM$158,0)),"")</f>
        <v/>
      </c>
      <c r="N136">
        <f>IFERROR(INDEX(Scores!$BG$2:$BG$158,MATCH($B136,Scores!$BM$2:$BM$158,0)),"")</f>
        <v/>
      </c>
    </row>
    <row r="137">
      <c r="A137" t="inlineStr">
        <is>
          <t>Ranked</t>
        </is>
      </c>
      <c r="B137" t="n">
        <v>135</v>
      </c>
      <c r="C137">
        <f>IFERROR(INDEX(Scores!$BM$2:$BM$158,MATCH($B137,Scores!$BM$2:$BM$158,0)),"")</f>
        <v/>
      </c>
      <c r="D137">
        <f>IFERROR(INDEX(Scores!$B$2:$B$158,MATCH($B137,Scores!$BM$2:$BM$158,0)),"")</f>
        <v/>
      </c>
      <c r="E137">
        <f>IFERROR(INDEX(Scores!$C$2:$C$158,MATCH($B137,Scores!$BM$2:$BM$158,0)),"")</f>
        <v/>
      </c>
      <c r="F137">
        <f>IFERROR(INDEX(Scores!$D$2:$D$158,MATCH($B137,Scores!$BM$2:$BM$158,0)),"")</f>
        <v/>
      </c>
      <c r="G137">
        <f>IFERROR(INDEX(Scores!$E$2:$E$158,MATCH($B137,Scores!$BM$2:$BM$158,0)),"")</f>
        <v/>
      </c>
      <c r="H137">
        <f>IFERROR(INDEX(Scores!$BJ$2:$BJ$158,MATCH($B137,Scores!$BM$2:$BM$158,0)),"")</f>
        <v/>
      </c>
      <c r="I137">
        <f>IFERROR(INDEX(Scores!$BL$2:$BL$158,MATCH($B137,Scores!$BM$2:$BM$158,0)),"")</f>
        <v/>
      </c>
      <c r="J137">
        <f>IFERROR(INDEX(Scores!$Q$2:$Q$158,MATCH($B137,Scores!$BM$2:$BM$158,0)),"")</f>
        <v/>
      </c>
      <c r="K137">
        <f>IFERROR(INDEX(Scores!$AE$2:$AE$158,MATCH($B137,Scores!$BM$2:$BM$158,0)),"")</f>
        <v/>
      </c>
      <c r="L137">
        <f>IFERROR(INDEX(Scores!$AM$2:$AM$158,MATCH($B137,Scores!$BM$2:$BM$158,0)),"")</f>
        <v/>
      </c>
      <c r="M137">
        <f>IFERROR(INDEX(Scores!$AW$2:$AW$158,MATCH($B137,Scores!$BM$2:$BM$158,0)),"")</f>
        <v/>
      </c>
      <c r="N137">
        <f>IFERROR(INDEX(Scores!$BG$2:$BG$158,MATCH($B137,Scores!$BM$2:$BM$158,0)),"")</f>
        <v/>
      </c>
    </row>
    <row r="138">
      <c r="A138" t="inlineStr">
        <is>
          <t>Ranked</t>
        </is>
      </c>
      <c r="B138" t="n">
        <v>136</v>
      </c>
      <c r="C138">
        <f>IFERROR(INDEX(Scores!$BM$2:$BM$158,MATCH($B138,Scores!$BM$2:$BM$158,0)),"")</f>
        <v/>
      </c>
      <c r="D138">
        <f>IFERROR(INDEX(Scores!$B$2:$B$158,MATCH($B138,Scores!$BM$2:$BM$158,0)),"")</f>
        <v/>
      </c>
      <c r="E138">
        <f>IFERROR(INDEX(Scores!$C$2:$C$158,MATCH($B138,Scores!$BM$2:$BM$158,0)),"")</f>
        <v/>
      </c>
      <c r="F138">
        <f>IFERROR(INDEX(Scores!$D$2:$D$158,MATCH($B138,Scores!$BM$2:$BM$158,0)),"")</f>
        <v/>
      </c>
      <c r="G138">
        <f>IFERROR(INDEX(Scores!$E$2:$E$158,MATCH($B138,Scores!$BM$2:$BM$158,0)),"")</f>
        <v/>
      </c>
      <c r="H138">
        <f>IFERROR(INDEX(Scores!$BJ$2:$BJ$158,MATCH($B138,Scores!$BM$2:$BM$158,0)),"")</f>
        <v/>
      </c>
      <c r="I138">
        <f>IFERROR(INDEX(Scores!$BL$2:$BL$158,MATCH($B138,Scores!$BM$2:$BM$158,0)),"")</f>
        <v/>
      </c>
      <c r="J138">
        <f>IFERROR(INDEX(Scores!$Q$2:$Q$158,MATCH($B138,Scores!$BM$2:$BM$158,0)),"")</f>
        <v/>
      </c>
      <c r="K138">
        <f>IFERROR(INDEX(Scores!$AE$2:$AE$158,MATCH($B138,Scores!$BM$2:$BM$158,0)),"")</f>
        <v/>
      </c>
      <c r="L138">
        <f>IFERROR(INDEX(Scores!$AM$2:$AM$158,MATCH($B138,Scores!$BM$2:$BM$158,0)),"")</f>
        <v/>
      </c>
      <c r="M138">
        <f>IFERROR(INDEX(Scores!$AW$2:$AW$158,MATCH($B138,Scores!$BM$2:$BM$158,0)),"")</f>
        <v/>
      </c>
      <c r="N138">
        <f>IFERROR(INDEX(Scores!$BG$2:$BG$158,MATCH($B138,Scores!$BM$2:$BM$158,0)),"")</f>
        <v/>
      </c>
    </row>
    <row r="139">
      <c r="A139" t="inlineStr">
        <is>
          <t>Ranked</t>
        </is>
      </c>
      <c r="B139" t="n">
        <v>137</v>
      </c>
      <c r="C139">
        <f>IFERROR(INDEX(Scores!$BM$2:$BM$158,MATCH($B139,Scores!$BM$2:$BM$158,0)),"")</f>
        <v/>
      </c>
      <c r="D139">
        <f>IFERROR(INDEX(Scores!$B$2:$B$158,MATCH($B139,Scores!$BM$2:$BM$158,0)),"")</f>
        <v/>
      </c>
      <c r="E139">
        <f>IFERROR(INDEX(Scores!$C$2:$C$158,MATCH($B139,Scores!$BM$2:$BM$158,0)),"")</f>
        <v/>
      </c>
      <c r="F139">
        <f>IFERROR(INDEX(Scores!$D$2:$D$158,MATCH($B139,Scores!$BM$2:$BM$158,0)),"")</f>
        <v/>
      </c>
      <c r="G139">
        <f>IFERROR(INDEX(Scores!$E$2:$E$158,MATCH($B139,Scores!$BM$2:$BM$158,0)),"")</f>
        <v/>
      </c>
      <c r="H139">
        <f>IFERROR(INDEX(Scores!$BJ$2:$BJ$158,MATCH($B139,Scores!$BM$2:$BM$158,0)),"")</f>
        <v/>
      </c>
      <c r="I139">
        <f>IFERROR(INDEX(Scores!$BL$2:$BL$158,MATCH($B139,Scores!$BM$2:$BM$158,0)),"")</f>
        <v/>
      </c>
      <c r="J139">
        <f>IFERROR(INDEX(Scores!$Q$2:$Q$158,MATCH($B139,Scores!$BM$2:$BM$158,0)),"")</f>
        <v/>
      </c>
      <c r="K139">
        <f>IFERROR(INDEX(Scores!$AE$2:$AE$158,MATCH($B139,Scores!$BM$2:$BM$158,0)),"")</f>
        <v/>
      </c>
      <c r="L139">
        <f>IFERROR(INDEX(Scores!$AM$2:$AM$158,MATCH($B139,Scores!$BM$2:$BM$158,0)),"")</f>
        <v/>
      </c>
      <c r="M139">
        <f>IFERROR(INDEX(Scores!$AW$2:$AW$158,MATCH($B139,Scores!$BM$2:$BM$158,0)),"")</f>
        <v/>
      </c>
      <c r="N139">
        <f>IFERROR(INDEX(Scores!$BG$2:$BG$158,MATCH($B139,Scores!$BM$2:$BM$158,0)),"")</f>
        <v/>
      </c>
    </row>
    <row r="140">
      <c r="A140" t="inlineStr">
        <is>
          <t>Ranked</t>
        </is>
      </c>
      <c r="B140" t="n">
        <v>138</v>
      </c>
      <c r="C140">
        <f>IFERROR(INDEX(Scores!$BM$2:$BM$158,MATCH($B140,Scores!$BM$2:$BM$158,0)),"")</f>
        <v/>
      </c>
      <c r="D140">
        <f>IFERROR(INDEX(Scores!$B$2:$B$158,MATCH($B140,Scores!$BM$2:$BM$158,0)),"")</f>
        <v/>
      </c>
      <c r="E140">
        <f>IFERROR(INDEX(Scores!$C$2:$C$158,MATCH($B140,Scores!$BM$2:$BM$158,0)),"")</f>
        <v/>
      </c>
      <c r="F140">
        <f>IFERROR(INDEX(Scores!$D$2:$D$158,MATCH($B140,Scores!$BM$2:$BM$158,0)),"")</f>
        <v/>
      </c>
      <c r="G140">
        <f>IFERROR(INDEX(Scores!$E$2:$E$158,MATCH($B140,Scores!$BM$2:$BM$158,0)),"")</f>
        <v/>
      </c>
      <c r="H140">
        <f>IFERROR(INDEX(Scores!$BJ$2:$BJ$158,MATCH($B140,Scores!$BM$2:$BM$158,0)),"")</f>
        <v/>
      </c>
      <c r="I140">
        <f>IFERROR(INDEX(Scores!$BL$2:$BL$158,MATCH($B140,Scores!$BM$2:$BM$158,0)),"")</f>
        <v/>
      </c>
      <c r="J140">
        <f>IFERROR(INDEX(Scores!$Q$2:$Q$158,MATCH($B140,Scores!$BM$2:$BM$158,0)),"")</f>
        <v/>
      </c>
      <c r="K140">
        <f>IFERROR(INDEX(Scores!$AE$2:$AE$158,MATCH($B140,Scores!$BM$2:$BM$158,0)),"")</f>
        <v/>
      </c>
      <c r="L140">
        <f>IFERROR(INDEX(Scores!$AM$2:$AM$158,MATCH($B140,Scores!$BM$2:$BM$158,0)),"")</f>
        <v/>
      </c>
      <c r="M140">
        <f>IFERROR(INDEX(Scores!$AW$2:$AW$158,MATCH($B140,Scores!$BM$2:$BM$158,0)),"")</f>
        <v/>
      </c>
      <c r="N140">
        <f>IFERROR(INDEX(Scores!$BG$2:$BG$158,MATCH($B140,Scores!$BM$2:$BM$158,0)),"")</f>
        <v/>
      </c>
    </row>
    <row r="141">
      <c r="A141" t="inlineStr">
        <is>
          <t>Ranked</t>
        </is>
      </c>
      <c r="B141" t="n">
        <v>139</v>
      </c>
      <c r="C141">
        <f>IFERROR(INDEX(Scores!$BM$2:$BM$158,MATCH($B141,Scores!$BM$2:$BM$158,0)),"")</f>
        <v/>
      </c>
      <c r="D141">
        <f>IFERROR(INDEX(Scores!$B$2:$B$158,MATCH($B141,Scores!$BM$2:$BM$158,0)),"")</f>
        <v/>
      </c>
      <c r="E141">
        <f>IFERROR(INDEX(Scores!$C$2:$C$158,MATCH($B141,Scores!$BM$2:$BM$158,0)),"")</f>
        <v/>
      </c>
      <c r="F141">
        <f>IFERROR(INDEX(Scores!$D$2:$D$158,MATCH($B141,Scores!$BM$2:$BM$158,0)),"")</f>
        <v/>
      </c>
      <c r="G141">
        <f>IFERROR(INDEX(Scores!$E$2:$E$158,MATCH($B141,Scores!$BM$2:$BM$158,0)),"")</f>
        <v/>
      </c>
      <c r="H141">
        <f>IFERROR(INDEX(Scores!$BJ$2:$BJ$158,MATCH($B141,Scores!$BM$2:$BM$158,0)),"")</f>
        <v/>
      </c>
      <c r="I141">
        <f>IFERROR(INDEX(Scores!$BL$2:$BL$158,MATCH($B141,Scores!$BM$2:$BM$158,0)),"")</f>
        <v/>
      </c>
      <c r="J141">
        <f>IFERROR(INDEX(Scores!$Q$2:$Q$158,MATCH($B141,Scores!$BM$2:$BM$158,0)),"")</f>
        <v/>
      </c>
      <c r="K141">
        <f>IFERROR(INDEX(Scores!$AE$2:$AE$158,MATCH($B141,Scores!$BM$2:$BM$158,0)),"")</f>
        <v/>
      </c>
      <c r="L141">
        <f>IFERROR(INDEX(Scores!$AM$2:$AM$158,MATCH($B141,Scores!$BM$2:$BM$158,0)),"")</f>
        <v/>
      </c>
      <c r="M141">
        <f>IFERROR(INDEX(Scores!$AW$2:$AW$158,MATCH($B141,Scores!$BM$2:$BM$158,0)),"")</f>
        <v/>
      </c>
      <c r="N141">
        <f>IFERROR(INDEX(Scores!$BG$2:$BG$158,MATCH($B141,Scores!$BM$2:$BM$158,0)),"")</f>
        <v/>
      </c>
    </row>
    <row r="142">
      <c r="A142" t="inlineStr">
        <is>
          <t>Ranked</t>
        </is>
      </c>
      <c r="B142" t="n">
        <v>140</v>
      </c>
      <c r="C142">
        <f>IFERROR(INDEX(Scores!$BM$2:$BM$158,MATCH($B142,Scores!$BM$2:$BM$158,0)),"")</f>
        <v/>
      </c>
      <c r="D142">
        <f>IFERROR(INDEX(Scores!$B$2:$B$158,MATCH($B142,Scores!$BM$2:$BM$158,0)),"")</f>
        <v/>
      </c>
      <c r="E142">
        <f>IFERROR(INDEX(Scores!$C$2:$C$158,MATCH($B142,Scores!$BM$2:$BM$158,0)),"")</f>
        <v/>
      </c>
      <c r="F142">
        <f>IFERROR(INDEX(Scores!$D$2:$D$158,MATCH($B142,Scores!$BM$2:$BM$158,0)),"")</f>
        <v/>
      </c>
      <c r="G142">
        <f>IFERROR(INDEX(Scores!$E$2:$E$158,MATCH($B142,Scores!$BM$2:$BM$158,0)),"")</f>
        <v/>
      </c>
      <c r="H142">
        <f>IFERROR(INDEX(Scores!$BJ$2:$BJ$158,MATCH($B142,Scores!$BM$2:$BM$158,0)),"")</f>
        <v/>
      </c>
      <c r="I142">
        <f>IFERROR(INDEX(Scores!$BL$2:$BL$158,MATCH($B142,Scores!$BM$2:$BM$158,0)),"")</f>
        <v/>
      </c>
      <c r="J142">
        <f>IFERROR(INDEX(Scores!$Q$2:$Q$158,MATCH($B142,Scores!$BM$2:$BM$158,0)),"")</f>
        <v/>
      </c>
      <c r="K142">
        <f>IFERROR(INDEX(Scores!$AE$2:$AE$158,MATCH($B142,Scores!$BM$2:$BM$158,0)),"")</f>
        <v/>
      </c>
      <c r="L142">
        <f>IFERROR(INDEX(Scores!$AM$2:$AM$158,MATCH($B142,Scores!$BM$2:$BM$158,0)),"")</f>
        <v/>
      </c>
      <c r="M142">
        <f>IFERROR(INDEX(Scores!$AW$2:$AW$158,MATCH($B142,Scores!$BM$2:$BM$158,0)),"")</f>
        <v/>
      </c>
      <c r="N142">
        <f>IFERROR(INDEX(Scores!$BG$2:$BG$158,MATCH($B142,Scores!$BM$2:$BM$158,0)),"")</f>
        <v/>
      </c>
    </row>
    <row r="143">
      <c r="A143" t="inlineStr">
        <is>
          <t>Ranked</t>
        </is>
      </c>
      <c r="B143" t="n">
        <v>141</v>
      </c>
      <c r="C143">
        <f>IFERROR(INDEX(Scores!$BM$2:$BM$158,MATCH($B143,Scores!$BM$2:$BM$158,0)),"")</f>
        <v/>
      </c>
      <c r="D143">
        <f>IFERROR(INDEX(Scores!$B$2:$B$158,MATCH($B143,Scores!$BM$2:$BM$158,0)),"")</f>
        <v/>
      </c>
      <c r="E143">
        <f>IFERROR(INDEX(Scores!$C$2:$C$158,MATCH($B143,Scores!$BM$2:$BM$158,0)),"")</f>
        <v/>
      </c>
      <c r="F143">
        <f>IFERROR(INDEX(Scores!$D$2:$D$158,MATCH($B143,Scores!$BM$2:$BM$158,0)),"")</f>
        <v/>
      </c>
      <c r="G143">
        <f>IFERROR(INDEX(Scores!$E$2:$E$158,MATCH($B143,Scores!$BM$2:$BM$158,0)),"")</f>
        <v/>
      </c>
      <c r="H143">
        <f>IFERROR(INDEX(Scores!$BJ$2:$BJ$158,MATCH($B143,Scores!$BM$2:$BM$158,0)),"")</f>
        <v/>
      </c>
      <c r="I143">
        <f>IFERROR(INDEX(Scores!$BL$2:$BL$158,MATCH($B143,Scores!$BM$2:$BM$158,0)),"")</f>
        <v/>
      </c>
      <c r="J143">
        <f>IFERROR(INDEX(Scores!$Q$2:$Q$158,MATCH($B143,Scores!$BM$2:$BM$158,0)),"")</f>
        <v/>
      </c>
      <c r="K143">
        <f>IFERROR(INDEX(Scores!$AE$2:$AE$158,MATCH($B143,Scores!$BM$2:$BM$158,0)),"")</f>
        <v/>
      </c>
      <c r="L143">
        <f>IFERROR(INDEX(Scores!$AM$2:$AM$158,MATCH($B143,Scores!$BM$2:$BM$158,0)),"")</f>
        <v/>
      </c>
      <c r="M143">
        <f>IFERROR(INDEX(Scores!$AW$2:$AW$158,MATCH($B143,Scores!$BM$2:$BM$158,0)),"")</f>
        <v/>
      </c>
      <c r="N143">
        <f>IFERROR(INDEX(Scores!$BG$2:$BG$158,MATCH($B143,Scores!$BM$2:$BM$158,0)),"")</f>
        <v/>
      </c>
    </row>
    <row r="144">
      <c r="A144" t="inlineStr">
        <is>
          <t>Ranked</t>
        </is>
      </c>
      <c r="B144" t="n">
        <v>142</v>
      </c>
      <c r="C144">
        <f>IFERROR(INDEX(Scores!$BM$2:$BM$158,MATCH($B144,Scores!$BM$2:$BM$158,0)),"")</f>
        <v/>
      </c>
      <c r="D144">
        <f>IFERROR(INDEX(Scores!$B$2:$B$158,MATCH($B144,Scores!$BM$2:$BM$158,0)),"")</f>
        <v/>
      </c>
      <c r="E144">
        <f>IFERROR(INDEX(Scores!$C$2:$C$158,MATCH($B144,Scores!$BM$2:$BM$158,0)),"")</f>
        <v/>
      </c>
      <c r="F144">
        <f>IFERROR(INDEX(Scores!$D$2:$D$158,MATCH($B144,Scores!$BM$2:$BM$158,0)),"")</f>
        <v/>
      </c>
      <c r="G144">
        <f>IFERROR(INDEX(Scores!$E$2:$E$158,MATCH($B144,Scores!$BM$2:$BM$158,0)),"")</f>
        <v/>
      </c>
      <c r="H144">
        <f>IFERROR(INDEX(Scores!$BJ$2:$BJ$158,MATCH($B144,Scores!$BM$2:$BM$158,0)),"")</f>
        <v/>
      </c>
      <c r="I144">
        <f>IFERROR(INDEX(Scores!$BL$2:$BL$158,MATCH($B144,Scores!$BM$2:$BM$158,0)),"")</f>
        <v/>
      </c>
      <c r="J144">
        <f>IFERROR(INDEX(Scores!$Q$2:$Q$158,MATCH($B144,Scores!$BM$2:$BM$158,0)),"")</f>
        <v/>
      </c>
      <c r="K144">
        <f>IFERROR(INDEX(Scores!$AE$2:$AE$158,MATCH($B144,Scores!$BM$2:$BM$158,0)),"")</f>
        <v/>
      </c>
      <c r="L144">
        <f>IFERROR(INDEX(Scores!$AM$2:$AM$158,MATCH($B144,Scores!$BM$2:$BM$158,0)),"")</f>
        <v/>
      </c>
      <c r="M144">
        <f>IFERROR(INDEX(Scores!$AW$2:$AW$158,MATCH($B144,Scores!$BM$2:$BM$158,0)),"")</f>
        <v/>
      </c>
      <c r="N144">
        <f>IFERROR(INDEX(Scores!$BG$2:$BG$158,MATCH($B144,Scores!$BM$2:$BM$158,0)),"")</f>
        <v/>
      </c>
    </row>
    <row r="145">
      <c r="A145" t="inlineStr">
        <is>
          <t>Ranked</t>
        </is>
      </c>
      <c r="B145" t="n">
        <v>143</v>
      </c>
      <c r="C145">
        <f>IFERROR(INDEX(Scores!$BM$2:$BM$158,MATCH($B145,Scores!$BM$2:$BM$158,0)),"")</f>
        <v/>
      </c>
      <c r="D145">
        <f>IFERROR(INDEX(Scores!$B$2:$B$158,MATCH($B145,Scores!$BM$2:$BM$158,0)),"")</f>
        <v/>
      </c>
      <c r="E145">
        <f>IFERROR(INDEX(Scores!$C$2:$C$158,MATCH($B145,Scores!$BM$2:$BM$158,0)),"")</f>
        <v/>
      </c>
      <c r="F145">
        <f>IFERROR(INDEX(Scores!$D$2:$D$158,MATCH($B145,Scores!$BM$2:$BM$158,0)),"")</f>
        <v/>
      </c>
      <c r="G145">
        <f>IFERROR(INDEX(Scores!$E$2:$E$158,MATCH($B145,Scores!$BM$2:$BM$158,0)),"")</f>
        <v/>
      </c>
      <c r="H145">
        <f>IFERROR(INDEX(Scores!$BJ$2:$BJ$158,MATCH($B145,Scores!$BM$2:$BM$158,0)),"")</f>
        <v/>
      </c>
      <c r="I145">
        <f>IFERROR(INDEX(Scores!$BL$2:$BL$158,MATCH($B145,Scores!$BM$2:$BM$158,0)),"")</f>
        <v/>
      </c>
      <c r="J145">
        <f>IFERROR(INDEX(Scores!$Q$2:$Q$158,MATCH($B145,Scores!$BM$2:$BM$158,0)),"")</f>
        <v/>
      </c>
      <c r="K145">
        <f>IFERROR(INDEX(Scores!$AE$2:$AE$158,MATCH($B145,Scores!$BM$2:$BM$158,0)),"")</f>
        <v/>
      </c>
      <c r="L145">
        <f>IFERROR(INDEX(Scores!$AM$2:$AM$158,MATCH($B145,Scores!$BM$2:$BM$158,0)),"")</f>
        <v/>
      </c>
      <c r="M145">
        <f>IFERROR(INDEX(Scores!$AW$2:$AW$158,MATCH($B145,Scores!$BM$2:$BM$158,0)),"")</f>
        <v/>
      </c>
      <c r="N145">
        <f>IFERROR(INDEX(Scores!$BG$2:$BG$158,MATCH($B145,Scores!$BM$2:$BM$158,0)),"")</f>
        <v/>
      </c>
    </row>
    <row r="146">
      <c r="A146" t="inlineStr">
        <is>
          <t>Ranked</t>
        </is>
      </c>
      <c r="B146" t="n">
        <v>144</v>
      </c>
      <c r="C146">
        <f>IFERROR(INDEX(Scores!$BM$2:$BM$158,MATCH($B146,Scores!$BM$2:$BM$158,0)),"")</f>
        <v/>
      </c>
      <c r="D146">
        <f>IFERROR(INDEX(Scores!$B$2:$B$158,MATCH($B146,Scores!$BM$2:$BM$158,0)),"")</f>
        <v/>
      </c>
      <c r="E146">
        <f>IFERROR(INDEX(Scores!$C$2:$C$158,MATCH($B146,Scores!$BM$2:$BM$158,0)),"")</f>
        <v/>
      </c>
      <c r="F146">
        <f>IFERROR(INDEX(Scores!$D$2:$D$158,MATCH($B146,Scores!$BM$2:$BM$158,0)),"")</f>
        <v/>
      </c>
      <c r="G146">
        <f>IFERROR(INDEX(Scores!$E$2:$E$158,MATCH($B146,Scores!$BM$2:$BM$158,0)),"")</f>
        <v/>
      </c>
      <c r="H146">
        <f>IFERROR(INDEX(Scores!$BJ$2:$BJ$158,MATCH($B146,Scores!$BM$2:$BM$158,0)),"")</f>
        <v/>
      </c>
      <c r="I146">
        <f>IFERROR(INDEX(Scores!$BL$2:$BL$158,MATCH($B146,Scores!$BM$2:$BM$158,0)),"")</f>
        <v/>
      </c>
      <c r="J146">
        <f>IFERROR(INDEX(Scores!$Q$2:$Q$158,MATCH($B146,Scores!$BM$2:$BM$158,0)),"")</f>
        <v/>
      </c>
      <c r="K146">
        <f>IFERROR(INDEX(Scores!$AE$2:$AE$158,MATCH($B146,Scores!$BM$2:$BM$158,0)),"")</f>
        <v/>
      </c>
      <c r="L146">
        <f>IFERROR(INDEX(Scores!$AM$2:$AM$158,MATCH($B146,Scores!$BM$2:$BM$158,0)),"")</f>
        <v/>
      </c>
      <c r="M146">
        <f>IFERROR(INDEX(Scores!$AW$2:$AW$158,MATCH($B146,Scores!$BM$2:$BM$158,0)),"")</f>
        <v/>
      </c>
      <c r="N146">
        <f>IFERROR(INDEX(Scores!$BG$2:$BG$158,MATCH($B146,Scores!$BM$2:$BM$158,0)),"")</f>
        <v/>
      </c>
    </row>
    <row r="147">
      <c r="A147" t="inlineStr">
        <is>
          <t>Ranked</t>
        </is>
      </c>
      <c r="B147" t="n">
        <v>145</v>
      </c>
      <c r="C147">
        <f>IFERROR(INDEX(Scores!$BM$2:$BM$158,MATCH($B147,Scores!$BM$2:$BM$158,0)),"")</f>
        <v/>
      </c>
      <c r="D147">
        <f>IFERROR(INDEX(Scores!$B$2:$B$158,MATCH($B147,Scores!$BM$2:$BM$158,0)),"")</f>
        <v/>
      </c>
      <c r="E147">
        <f>IFERROR(INDEX(Scores!$C$2:$C$158,MATCH($B147,Scores!$BM$2:$BM$158,0)),"")</f>
        <v/>
      </c>
      <c r="F147">
        <f>IFERROR(INDEX(Scores!$D$2:$D$158,MATCH($B147,Scores!$BM$2:$BM$158,0)),"")</f>
        <v/>
      </c>
      <c r="G147">
        <f>IFERROR(INDEX(Scores!$E$2:$E$158,MATCH($B147,Scores!$BM$2:$BM$158,0)),"")</f>
        <v/>
      </c>
      <c r="H147">
        <f>IFERROR(INDEX(Scores!$BJ$2:$BJ$158,MATCH($B147,Scores!$BM$2:$BM$158,0)),"")</f>
        <v/>
      </c>
      <c r="I147">
        <f>IFERROR(INDEX(Scores!$BL$2:$BL$158,MATCH($B147,Scores!$BM$2:$BM$158,0)),"")</f>
        <v/>
      </c>
      <c r="J147">
        <f>IFERROR(INDEX(Scores!$Q$2:$Q$158,MATCH($B147,Scores!$BM$2:$BM$158,0)),"")</f>
        <v/>
      </c>
      <c r="K147">
        <f>IFERROR(INDEX(Scores!$AE$2:$AE$158,MATCH($B147,Scores!$BM$2:$BM$158,0)),"")</f>
        <v/>
      </c>
      <c r="L147">
        <f>IFERROR(INDEX(Scores!$AM$2:$AM$158,MATCH($B147,Scores!$BM$2:$BM$158,0)),"")</f>
        <v/>
      </c>
      <c r="M147">
        <f>IFERROR(INDEX(Scores!$AW$2:$AW$158,MATCH($B147,Scores!$BM$2:$BM$158,0)),"")</f>
        <v/>
      </c>
      <c r="N147">
        <f>IFERROR(INDEX(Scores!$BG$2:$BG$158,MATCH($B147,Scores!$BM$2:$BM$158,0)),"")</f>
        <v/>
      </c>
    </row>
    <row r="148">
      <c r="A148" t="inlineStr">
        <is>
          <t>Ranked</t>
        </is>
      </c>
      <c r="B148" t="n">
        <v>146</v>
      </c>
      <c r="C148">
        <f>IFERROR(INDEX(Scores!$BM$2:$BM$158,MATCH($B148,Scores!$BM$2:$BM$158,0)),"")</f>
        <v/>
      </c>
      <c r="D148">
        <f>IFERROR(INDEX(Scores!$B$2:$B$158,MATCH($B148,Scores!$BM$2:$BM$158,0)),"")</f>
        <v/>
      </c>
      <c r="E148">
        <f>IFERROR(INDEX(Scores!$C$2:$C$158,MATCH($B148,Scores!$BM$2:$BM$158,0)),"")</f>
        <v/>
      </c>
      <c r="F148">
        <f>IFERROR(INDEX(Scores!$D$2:$D$158,MATCH($B148,Scores!$BM$2:$BM$158,0)),"")</f>
        <v/>
      </c>
      <c r="G148">
        <f>IFERROR(INDEX(Scores!$E$2:$E$158,MATCH($B148,Scores!$BM$2:$BM$158,0)),"")</f>
        <v/>
      </c>
      <c r="H148">
        <f>IFERROR(INDEX(Scores!$BJ$2:$BJ$158,MATCH($B148,Scores!$BM$2:$BM$158,0)),"")</f>
        <v/>
      </c>
      <c r="I148">
        <f>IFERROR(INDEX(Scores!$BL$2:$BL$158,MATCH($B148,Scores!$BM$2:$BM$158,0)),"")</f>
        <v/>
      </c>
      <c r="J148">
        <f>IFERROR(INDEX(Scores!$Q$2:$Q$158,MATCH($B148,Scores!$BM$2:$BM$158,0)),"")</f>
        <v/>
      </c>
      <c r="K148">
        <f>IFERROR(INDEX(Scores!$AE$2:$AE$158,MATCH($B148,Scores!$BM$2:$BM$158,0)),"")</f>
        <v/>
      </c>
      <c r="L148">
        <f>IFERROR(INDEX(Scores!$AM$2:$AM$158,MATCH($B148,Scores!$BM$2:$BM$158,0)),"")</f>
        <v/>
      </c>
      <c r="M148">
        <f>IFERROR(INDEX(Scores!$AW$2:$AW$158,MATCH($B148,Scores!$BM$2:$BM$158,0)),"")</f>
        <v/>
      </c>
      <c r="N148">
        <f>IFERROR(INDEX(Scores!$BG$2:$BG$158,MATCH($B148,Scores!$BM$2:$BM$158,0)),"")</f>
        <v/>
      </c>
    </row>
    <row r="149">
      <c r="A149" t="inlineStr">
        <is>
          <t>Ranked</t>
        </is>
      </c>
      <c r="B149" t="n">
        <v>147</v>
      </c>
      <c r="C149">
        <f>IFERROR(INDEX(Scores!$BM$2:$BM$158,MATCH($B149,Scores!$BM$2:$BM$158,0)),"")</f>
        <v/>
      </c>
      <c r="D149">
        <f>IFERROR(INDEX(Scores!$B$2:$B$158,MATCH($B149,Scores!$BM$2:$BM$158,0)),"")</f>
        <v/>
      </c>
      <c r="E149">
        <f>IFERROR(INDEX(Scores!$C$2:$C$158,MATCH($B149,Scores!$BM$2:$BM$158,0)),"")</f>
        <v/>
      </c>
      <c r="F149">
        <f>IFERROR(INDEX(Scores!$D$2:$D$158,MATCH($B149,Scores!$BM$2:$BM$158,0)),"")</f>
        <v/>
      </c>
      <c r="G149">
        <f>IFERROR(INDEX(Scores!$E$2:$E$158,MATCH($B149,Scores!$BM$2:$BM$158,0)),"")</f>
        <v/>
      </c>
      <c r="H149">
        <f>IFERROR(INDEX(Scores!$BJ$2:$BJ$158,MATCH($B149,Scores!$BM$2:$BM$158,0)),"")</f>
        <v/>
      </c>
      <c r="I149">
        <f>IFERROR(INDEX(Scores!$BL$2:$BL$158,MATCH($B149,Scores!$BM$2:$BM$158,0)),"")</f>
        <v/>
      </c>
      <c r="J149">
        <f>IFERROR(INDEX(Scores!$Q$2:$Q$158,MATCH($B149,Scores!$BM$2:$BM$158,0)),"")</f>
        <v/>
      </c>
      <c r="K149">
        <f>IFERROR(INDEX(Scores!$AE$2:$AE$158,MATCH($B149,Scores!$BM$2:$BM$158,0)),"")</f>
        <v/>
      </c>
      <c r="L149">
        <f>IFERROR(INDEX(Scores!$AM$2:$AM$158,MATCH($B149,Scores!$BM$2:$BM$158,0)),"")</f>
        <v/>
      </c>
      <c r="M149">
        <f>IFERROR(INDEX(Scores!$AW$2:$AW$158,MATCH($B149,Scores!$BM$2:$BM$158,0)),"")</f>
        <v/>
      </c>
      <c r="N149">
        <f>IFERROR(INDEX(Scores!$BG$2:$BG$158,MATCH($B149,Scores!$BM$2:$BM$158,0)),"")</f>
        <v/>
      </c>
    </row>
    <row r="150">
      <c r="A150" t="inlineStr">
        <is>
          <t>Ranked</t>
        </is>
      </c>
      <c r="B150" t="n">
        <v>148</v>
      </c>
      <c r="C150">
        <f>IFERROR(INDEX(Scores!$BM$2:$BM$158,MATCH($B150,Scores!$BM$2:$BM$158,0)),"")</f>
        <v/>
      </c>
      <c r="D150">
        <f>IFERROR(INDEX(Scores!$B$2:$B$158,MATCH($B150,Scores!$BM$2:$BM$158,0)),"")</f>
        <v/>
      </c>
      <c r="E150">
        <f>IFERROR(INDEX(Scores!$C$2:$C$158,MATCH($B150,Scores!$BM$2:$BM$158,0)),"")</f>
        <v/>
      </c>
      <c r="F150">
        <f>IFERROR(INDEX(Scores!$D$2:$D$158,MATCH($B150,Scores!$BM$2:$BM$158,0)),"")</f>
        <v/>
      </c>
      <c r="G150">
        <f>IFERROR(INDEX(Scores!$E$2:$E$158,MATCH($B150,Scores!$BM$2:$BM$158,0)),"")</f>
        <v/>
      </c>
      <c r="H150">
        <f>IFERROR(INDEX(Scores!$BJ$2:$BJ$158,MATCH($B150,Scores!$BM$2:$BM$158,0)),"")</f>
        <v/>
      </c>
      <c r="I150">
        <f>IFERROR(INDEX(Scores!$BL$2:$BL$158,MATCH($B150,Scores!$BM$2:$BM$158,0)),"")</f>
        <v/>
      </c>
      <c r="J150">
        <f>IFERROR(INDEX(Scores!$Q$2:$Q$158,MATCH($B150,Scores!$BM$2:$BM$158,0)),"")</f>
        <v/>
      </c>
      <c r="K150">
        <f>IFERROR(INDEX(Scores!$AE$2:$AE$158,MATCH($B150,Scores!$BM$2:$BM$158,0)),"")</f>
        <v/>
      </c>
      <c r="L150">
        <f>IFERROR(INDEX(Scores!$AM$2:$AM$158,MATCH($B150,Scores!$BM$2:$BM$158,0)),"")</f>
        <v/>
      </c>
      <c r="M150">
        <f>IFERROR(INDEX(Scores!$AW$2:$AW$158,MATCH($B150,Scores!$BM$2:$BM$158,0)),"")</f>
        <v/>
      </c>
      <c r="N150">
        <f>IFERROR(INDEX(Scores!$BG$2:$BG$158,MATCH($B150,Scores!$BM$2:$BM$158,0)),"")</f>
        <v/>
      </c>
    </row>
    <row r="151">
      <c r="A151" t="inlineStr">
        <is>
          <t>Ranked</t>
        </is>
      </c>
      <c r="B151" t="n">
        <v>149</v>
      </c>
      <c r="C151">
        <f>IFERROR(INDEX(Scores!$BM$2:$BM$158,MATCH($B151,Scores!$BM$2:$BM$158,0)),"")</f>
        <v/>
      </c>
      <c r="D151">
        <f>IFERROR(INDEX(Scores!$B$2:$B$158,MATCH($B151,Scores!$BM$2:$BM$158,0)),"")</f>
        <v/>
      </c>
      <c r="E151">
        <f>IFERROR(INDEX(Scores!$C$2:$C$158,MATCH($B151,Scores!$BM$2:$BM$158,0)),"")</f>
        <v/>
      </c>
      <c r="F151">
        <f>IFERROR(INDEX(Scores!$D$2:$D$158,MATCH($B151,Scores!$BM$2:$BM$158,0)),"")</f>
        <v/>
      </c>
      <c r="G151">
        <f>IFERROR(INDEX(Scores!$E$2:$E$158,MATCH($B151,Scores!$BM$2:$BM$158,0)),"")</f>
        <v/>
      </c>
      <c r="H151">
        <f>IFERROR(INDEX(Scores!$BJ$2:$BJ$158,MATCH($B151,Scores!$BM$2:$BM$158,0)),"")</f>
        <v/>
      </c>
      <c r="I151">
        <f>IFERROR(INDEX(Scores!$BL$2:$BL$158,MATCH($B151,Scores!$BM$2:$BM$158,0)),"")</f>
        <v/>
      </c>
      <c r="J151">
        <f>IFERROR(INDEX(Scores!$Q$2:$Q$158,MATCH($B151,Scores!$BM$2:$BM$158,0)),"")</f>
        <v/>
      </c>
      <c r="K151">
        <f>IFERROR(INDEX(Scores!$AE$2:$AE$158,MATCH($B151,Scores!$BM$2:$BM$158,0)),"")</f>
        <v/>
      </c>
      <c r="L151">
        <f>IFERROR(INDEX(Scores!$AM$2:$AM$158,MATCH($B151,Scores!$BM$2:$BM$158,0)),"")</f>
        <v/>
      </c>
      <c r="M151">
        <f>IFERROR(INDEX(Scores!$AW$2:$AW$158,MATCH($B151,Scores!$BM$2:$BM$158,0)),"")</f>
        <v/>
      </c>
      <c r="N151">
        <f>IFERROR(INDEX(Scores!$BG$2:$BG$158,MATCH($B151,Scores!$BM$2:$BM$158,0)),"")</f>
        <v/>
      </c>
    </row>
    <row r="152">
      <c r="A152" t="inlineStr">
        <is>
          <t>Ranked</t>
        </is>
      </c>
      <c r="B152" t="n">
        <v>150</v>
      </c>
      <c r="C152">
        <f>IFERROR(INDEX(Scores!$BM$2:$BM$158,MATCH($B152,Scores!$BM$2:$BM$158,0)),"")</f>
        <v/>
      </c>
      <c r="D152">
        <f>IFERROR(INDEX(Scores!$B$2:$B$158,MATCH($B152,Scores!$BM$2:$BM$158,0)),"")</f>
        <v/>
      </c>
      <c r="E152">
        <f>IFERROR(INDEX(Scores!$C$2:$C$158,MATCH($B152,Scores!$BM$2:$BM$158,0)),"")</f>
        <v/>
      </c>
      <c r="F152">
        <f>IFERROR(INDEX(Scores!$D$2:$D$158,MATCH($B152,Scores!$BM$2:$BM$158,0)),"")</f>
        <v/>
      </c>
      <c r="G152">
        <f>IFERROR(INDEX(Scores!$E$2:$E$158,MATCH($B152,Scores!$BM$2:$BM$158,0)),"")</f>
        <v/>
      </c>
      <c r="H152">
        <f>IFERROR(INDEX(Scores!$BJ$2:$BJ$158,MATCH($B152,Scores!$BM$2:$BM$158,0)),"")</f>
        <v/>
      </c>
      <c r="I152">
        <f>IFERROR(INDEX(Scores!$BL$2:$BL$158,MATCH($B152,Scores!$BM$2:$BM$158,0)),"")</f>
        <v/>
      </c>
      <c r="J152">
        <f>IFERROR(INDEX(Scores!$Q$2:$Q$158,MATCH($B152,Scores!$BM$2:$BM$158,0)),"")</f>
        <v/>
      </c>
      <c r="K152">
        <f>IFERROR(INDEX(Scores!$AE$2:$AE$158,MATCH($B152,Scores!$BM$2:$BM$158,0)),"")</f>
        <v/>
      </c>
      <c r="L152">
        <f>IFERROR(INDEX(Scores!$AM$2:$AM$158,MATCH($B152,Scores!$BM$2:$BM$158,0)),"")</f>
        <v/>
      </c>
      <c r="M152">
        <f>IFERROR(INDEX(Scores!$AW$2:$AW$158,MATCH($B152,Scores!$BM$2:$BM$158,0)),"")</f>
        <v/>
      </c>
      <c r="N152">
        <f>IFERROR(INDEX(Scores!$BG$2:$BG$158,MATCH($B152,Scores!$BM$2:$BM$158,0)),"")</f>
        <v/>
      </c>
    </row>
    <row r="153">
      <c r="A153" t="inlineStr">
        <is>
          <t>Ranked</t>
        </is>
      </c>
      <c r="B153" t="n">
        <v>151</v>
      </c>
      <c r="C153">
        <f>IFERROR(INDEX(Scores!$BM$2:$BM$158,MATCH($B153,Scores!$BM$2:$BM$158,0)),"")</f>
        <v/>
      </c>
      <c r="D153">
        <f>IFERROR(INDEX(Scores!$B$2:$B$158,MATCH($B153,Scores!$BM$2:$BM$158,0)),"")</f>
        <v/>
      </c>
      <c r="E153">
        <f>IFERROR(INDEX(Scores!$C$2:$C$158,MATCH($B153,Scores!$BM$2:$BM$158,0)),"")</f>
        <v/>
      </c>
      <c r="F153">
        <f>IFERROR(INDEX(Scores!$D$2:$D$158,MATCH($B153,Scores!$BM$2:$BM$158,0)),"")</f>
        <v/>
      </c>
      <c r="G153">
        <f>IFERROR(INDEX(Scores!$E$2:$E$158,MATCH($B153,Scores!$BM$2:$BM$158,0)),"")</f>
        <v/>
      </c>
      <c r="H153">
        <f>IFERROR(INDEX(Scores!$BJ$2:$BJ$158,MATCH($B153,Scores!$BM$2:$BM$158,0)),"")</f>
        <v/>
      </c>
      <c r="I153">
        <f>IFERROR(INDEX(Scores!$BL$2:$BL$158,MATCH($B153,Scores!$BM$2:$BM$158,0)),"")</f>
        <v/>
      </c>
      <c r="J153">
        <f>IFERROR(INDEX(Scores!$Q$2:$Q$158,MATCH($B153,Scores!$BM$2:$BM$158,0)),"")</f>
        <v/>
      </c>
      <c r="K153">
        <f>IFERROR(INDEX(Scores!$AE$2:$AE$158,MATCH($B153,Scores!$BM$2:$BM$158,0)),"")</f>
        <v/>
      </c>
      <c r="L153">
        <f>IFERROR(INDEX(Scores!$AM$2:$AM$158,MATCH($B153,Scores!$BM$2:$BM$158,0)),"")</f>
        <v/>
      </c>
      <c r="M153">
        <f>IFERROR(INDEX(Scores!$AW$2:$AW$158,MATCH($B153,Scores!$BM$2:$BM$158,0)),"")</f>
        <v/>
      </c>
      <c r="N153">
        <f>IFERROR(INDEX(Scores!$BG$2:$BG$158,MATCH($B153,Scores!$BM$2:$BM$158,0)),"")</f>
        <v/>
      </c>
    </row>
    <row r="154">
      <c r="A154" t="inlineStr">
        <is>
          <t>Ranked</t>
        </is>
      </c>
      <c r="B154" t="n">
        <v>152</v>
      </c>
      <c r="C154">
        <f>IFERROR(INDEX(Scores!$BM$2:$BM$158,MATCH($B154,Scores!$BM$2:$BM$158,0)),"")</f>
        <v/>
      </c>
      <c r="D154">
        <f>IFERROR(INDEX(Scores!$B$2:$B$158,MATCH($B154,Scores!$BM$2:$BM$158,0)),"")</f>
        <v/>
      </c>
      <c r="E154">
        <f>IFERROR(INDEX(Scores!$C$2:$C$158,MATCH($B154,Scores!$BM$2:$BM$158,0)),"")</f>
        <v/>
      </c>
      <c r="F154">
        <f>IFERROR(INDEX(Scores!$D$2:$D$158,MATCH($B154,Scores!$BM$2:$BM$158,0)),"")</f>
        <v/>
      </c>
      <c r="G154">
        <f>IFERROR(INDEX(Scores!$E$2:$E$158,MATCH($B154,Scores!$BM$2:$BM$158,0)),"")</f>
        <v/>
      </c>
      <c r="H154">
        <f>IFERROR(INDEX(Scores!$BJ$2:$BJ$158,MATCH($B154,Scores!$BM$2:$BM$158,0)),"")</f>
        <v/>
      </c>
      <c r="I154">
        <f>IFERROR(INDEX(Scores!$BL$2:$BL$158,MATCH($B154,Scores!$BM$2:$BM$158,0)),"")</f>
        <v/>
      </c>
      <c r="J154">
        <f>IFERROR(INDEX(Scores!$Q$2:$Q$158,MATCH($B154,Scores!$BM$2:$BM$158,0)),"")</f>
        <v/>
      </c>
      <c r="K154">
        <f>IFERROR(INDEX(Scores!$AE$2:$AE$158,MATCH($B154,Scores!$BM$2:$BM$158,0)),"")</f>
        <v/>
      </c>
      <c r="L154">
        <f>IFERROR(INDEX(Scores!$AM$2:$AM$158,MATCH($B154,Scores!$BM$2:$BM$158,0)),"")</f>
        <v/>
      </c>
      <c r="M154">
        <f>IFERROR(INDEX(Scores!$AW$2:$AW$158,MATCH($B154,Scores!$BM$2:$BM$158,0)),"")</f>
        <v/>
      </c>
      <c r="N154">
        <f>IFERROR(INDEX(Scores!$BG$2:$BG$158,MATCH($B154,Scores!$BM$2:$BM$158,0)),"")</f>
        <v/>
      </c>
    </row>
    <row r="155">
      <c r="A155" t="inlineStr">
        <is>
          <t>Ranked</t>
        </is>
      </c>
      <c r="B155" t="n">
        <v>153</v>
      </c>
      <c r="C155">
        <f>IFERROR(INDEX(Scores!$BM$2:$BM$158,MATCH($B155,Scores!$BM$2:$BM$158,0)),"")</f>
        <v/>
      </c>
      <c r="D155">
        <f>IFERROR(INDEX(Scores!$B$2:$B$158,MATCH($B155,Scores!$BM$2:$BM$158,0)),"")</f>
        <v/>
      </c>
      <c r="E155">
        <f>IFERROR(INDEX(Scores!$C$2:$C$158,MATCH($B155,Scores!$BM$2:$BM$158,0)),"")</f>
        <v/>
      </c>
      <c r="F155">
        <f>IFERROR(INDEX(Scores!$D$2:$D$158,MATCH($B155,Scores!$BM$2:$BM$158,0)),"")</f>
        <v/>
      </c>
      <c r="G155">
        <f>IFERROR(INDEX(Scores!$E$2:$E$158,MATCH($B155,Scores!$BM$2:$BM$158,0)),"")</f>
        <v/>
      </c>
      <c r="H155">
        <f>IFERROR(INDEX(Scores!$BJ$2:$BJ$158,MATCH($B155,Scores!$BM$2:$BM$158,0)),"")</f>
        <v/>
      </c>
      <c r="I155">
        <f>IFERROR(INDEX(Scores!$BL$2:$BL$158,MATCH($B155,Scores!$BM$2:$BM$158,0)),"")</f>
        <v/>
      </c>
      <c r="J155">
        <f>IFERROR(INDEX(Scores!$Q$2:$Q$158,MATCH($B155,Scores!$BM$2:$BM$158,0)),"")</f>
        <v/>
      </c>
      <c r="K155">
        <f>IFERROR(INDEX(Scores!$AE$2:$AE$158,MATCH($B155,Scores!$BM$2:$BM$158,0)),"")</f>
        <v/>
      </c>
      <c r="L155">
        <f>IFERROR(INDEX(Scores!$AM$2:$AM$158,MATCH($B155,Scores!$BM$2:$BM$158,0)),"")</f>
        <v/>
      </c>
      <c r="M155">
        <f>IFERROR(INDEX(Scores!$AW$2:$AW$158,MATCH($B155,Scores!$BM$2:$BM$158,0)),"")</f>
        <v/>
      </c>
      <c r="N155">
        <f>IFERROR(INDEX(Scores!$BG$2:$BG$158,MATCH($B155,Scores!$BM$2:$BM$158,0)),"")</f>
        <v/>
      </c>
    </row>
    <row r="156">
      <c r="A156" t="inlineStr">
        <is>
          <t>Ranked</t>
        </is>
      </c>
      <c r="B156" t="n">
        <v>154</v>
      </c>
      <c r="C156">
        <f>IFERROR(INDEX(Scores!$BM$2:$BM$158,MATCH($B156,Scores!$BM$2:$BM$158,0)),"")</f>
        <v/>
      </c>
      <c r="D156">
        <f>IFERROR(INDEX(Scores!$B$2:$B$158,MATCH($B156,Scores!$BM$2:$BM$158,0)),"")</f>
        <v/>
      </c>
      <c r="E156">
        <f>IFERROR(INDEX(Scores!$C$2:$C$158,MATCH($B156,Scores!$BM$2:$BM$158,0)),"")</f>
        <v/>
      </c>
      <c r="F156">
        <f>IFERROR(INDEX(Scores!$D$2:$D$158,MATCH($B156,Scores!$BM$2:$BM$158,0)),"")</f>
        <v/>
      </c>
      <c r="G156">
        <f>IFERROR(INDEX(Scores!$E$2:$E$158,MATCH($B156,Scores!$BM$2:$BM$158,0)),"")</f>
        <v/>
      </c>
      <c r="H156">
        <f>IFERROR(INDEX(Scores!$BJ$2:$BJ$158,MATCH($B156,Scores!$BM$2:$BM$158,0)),"")</f>
        <v/>
      </c>
      <c r="I156">
        <f>IFERROR(INDEX(Scores!$BL$2:$BL$158,MATCH($B156,Scores!$BM$2:$BM$158,0)),"")</f>
        <v/>
      </c>
      <c r="J156">
        <f>IFERROR(INDEX(Scores!$Q$2:$Q$158,MATCH($B156,Scores!$BM$2:$BM$158,0)),"")</f>
        <v/>
      </c>
      <c r="K156">
        <f>IFERROR(INDEX(Scores!$AE$2:$AE$158,MATCH($B156,Scores!$BM$2:$BM$158,0)),"")</f>
        <v/>
      </c>
      <c r="L156">
        <f>IFERROR(INDEX(Scores!$AM$2:$AM$158,MATCH($B156,Scores!$BM$2:$BM$158,0)),"")</f>
        <v/>
      </c>
      <c r="M156">
        <f>IFERROR(INDEX(Scores!$AW$2:$AW$158,MATCH($B156,Scores!$BM$2:$BM$158,0)),"")</f>
        <v/>
      </c>
      <c r="N156">
        <f>IFERROR(INDEX(Scores!$BG$2:$BG$158,MATCH($B156,Scores!$BM$2:$BM$158,0)),"")</f>
        <v/>
      </c>
    </row>
    <row r="157">
      <c r="A157" t="inlineStr">
        <is>
          <t>Ranked</t>
        </is>
      </c>
      <c r="B157" t="n">
        <v>155</v>
      </c>
      <c r="C157">
        <f>IFERROR(INDEX(Scores!$BM$2:$BM$158,MATCH($B157,Scores!$BM$2:$BM$158,0)),"")</f>
        <v/>
      </c>
      <c r="D157">
        <f>IFERROR(INDEX(Scores!$B$2:$B$158,MATCH($B157,Scores!$BM$2:$BM$158,0)),"")</f>
        <v/>
      </c>
      <c r="E157">
        <f>IFERROR(INDEX(Scores!$C$2:$C$158,MATCH($B157,Scores!$BM$2:$BM$158,0)),"")</f>
        <v/>
      </c>
      <c r="F157">
        <f>IFERROR(INDEX(Scores!$D$2:$D$158,MATCH($B157,Scores!$BM$2:$BM$158,0)),"")</f>
        <v/>
      </c>
      <c r="G157">
        <f>IFERROR(INDEX(Scores!$E$2:$E$158,MATCH($B157,Scores!$BM$2:$BM$158,0)),"")</f>
        <v/>
      </c>
      <c r="H157">
        <f>IFERROR(INDEX(Scores!$BJ$2:$BJ$158,MATCH($B157,Scores!$BM$2:$BM$158,0)),"")</f>
        <v/>
      </c>
      <c r="I157">
        <f>IFERROR(INDEX(Scores!$BL$2:$BL$158,MATCH($B157,Scores!$BM$2:$BM$158,0)),"")</f>
        <v/>
      </c>
      <c r="J157">
        <f>IFERROR(INDEX(Scores!$Q$2:$Q$158,MATCH($B157,Scores!$BM$2:$BM$158,0)),"")</f>
        <v/>
      </c>
      <c r="K157">
        <f>IFERROR(INDEX(Scores!$AE$2:$AE$158,MATCH($B157,Scores!$BM$2:$BM$158,0)),"")</f>
        <v/>
      </c>
      <c r="L157">
        <f>IFERROR(INDEX(Scores!$AM$2:$AM$158,MATCH($B157,Scores!$BM$2:$BM$158,0)),"")</f>
        <v/>
      </c>
      <c r="M157">
        <f>IFERROR(INDEX(Scores!$AW$2:$AW$158,MATCH($B157,Scores!$BM$2:$BM$158,0)),"")</f>
        <v/>
      </c>
      <c r="N157">
        <f>IFERROR(INDEX(Scores!$BG$2:$BG$158,MATCH($B157,Scores!$BM$2:$BM$158,0)),"")</f>
        <v/>
      </c>
    </row>
    <row r="158">
      <c r="A158" t="inlineStr">
        <is>
          <t>Ranked</t>
        </is>
      </c>
      <c r="B158" t="n">
        <v>156</v>
      </c>
      <c r="C158">
        <f>IFERROR(INDEX(Scores!$BM$2:$BM$158,MATCH($B158,Scores!$BM$2:$BM$158,0)),"")</f>
        <v/>
      </c>
      <c r="D158">
        <f>IFERROR(INDEX(Scores!$B$2:$B$158,MATCH($B158,Scores!$BM$2:$BM$158,0)),"")</f>
        <v/>
      </c>
      <c r="E158">
        <f>IFERROR(INDEX(Scores!$C$2:$C$158,MATCH($B158,Scores!$BM$2:$BM$158,0)),"")</f>
        <v/>
      </c>
      <c r="F158">
        <f>IFERROR(INDEX(Scores!$D$2:$D$158,MATCH($B158,Scores!$BM$2:$BM$158,0)),"")</f>
        <v/>
      </c>
      <c r="G158">
        <f>IFERROR(INDEX(Scores!$E$2:$E$158,MATCH($B158,Scores!$BM$2:$BM$158,0)),"")</f>
        <v/>
      </c>
      <c r="H158">
        <f>IFERROR(INDEX(Scores!$BJ$2:$BJ$158,MATCH($B158,Scores!$BM$2:$BM$158,0)),"")</f>
        <v/>
      </c>
      <c r="I158">
        <f>IFERROR(INDEX(Scores!$BL$2:$BL$158,MATCH($B158,Scores!$BM$2:$BM$158,0)),"")</f>
        <v/>
      </c>
      <c r="J158">
        <f>IFERROR(INDEX(Scores!$Q$2:$Q$158,MATCH($B158,Scores!$BM$2:$BM$158,0)),"")</f>
        <v/>
      </c>
      <c r="K158">
        <f>IFERROR(INDEX(Scores!$AE$2:$AE$158,MATCH($B158,Scores!$BM$2:$BM$158,0)),"")</f>
        <v/>
      </c>
      <c r="L158">
        <f>IFERROR(INDEX(Scores!$AM$2:$AM$158,MATCH($B158,Scores!$BM$2:$BM$158,0)),"")</f>
        <v/>
      </c>
      <c r="M158">
        <f>IFERROR(INDEX(Scores!$AW$2:$AW$158,MATCH($B158,Scores!$BM$2:$BM$158,0)),"")</f>
        <v/>
      </c>
      <c r="N158">
        <f>IFERROR(INDEX(Scores!$BG$2:$BG$158,MATCH($B158,Scores!$BM$2:$BM$158,0)),"")</f>
        <v/>
      </c>
    </row>
    <row r="159">
      <c r="A159" t="inlineStr">
        <is>
          <t>Ranked</t>
        </is>
      </c>
      <c r="B159" t="n">
        <v>157</v>
      </c>
      <c r="C159">
        <f>IFERROR(INDEX(Scores!$BM$2:$BM$158,MATCH($B159,Scores!$BM$2:$BM$158,0)),"")</f>
        <v/>
      </c>
      <c r="D159">
        <f>IFERROR(INDEX(Scores!$B$2:$B$158,MATCH($B159,Scores!$BM$2:$BM$158,0)),"")</f>
        <v/>
      </c>
      <c r="E159">
        <f>IFERROR(INDEX(Scores!$C$2:$C$158,MATCH($B159,Scores!$BM$2:$BM$158,0)),"")</f>
        <v/>
      </c>
      <c r="F159">
        <f>IFERROR(INDEX(Scores!$D$2:$D$158,MATCH($B159,Scores!$BM$2:$BM$158,0)),"")</f>
        <v/>
      </c>
      <c r="G159">
        <f>IFERROR(INDEX(Scores!$E$2:$E$158,MATCH($B159,Scores!$BM$2:$BM$158,0)),"")</f>
        <v/>
      </c>
      <c r="H159">
        <f>IFERROR(INDEX(Scores!$BJ$2:$BJ$158,MATCH($B159,Scores!$BM$2:$BM$158,0)),"")</f>
        <v/>
      </c>
      <c r="I159">
        <f>IFERROR(INDEX(Scores!$BL$2:$BL$158,MATCH($B159,Scores!$BM$2:$BM$158,0)),"")</f>
        <v/>
      </c>
      <c r="J159">
        <f>IFERROR(INDEX(Scores!$Q$2:$Q$158,MATCH($B159,Scores!$BM$2:$BM$158,0)),"")</f>
        <v/>
      </c>
      <c r="K159">
        <f>IFERROR(INDEX(Scores!$AE$2:$AE$158,MATCH($B159,Scores!$BM$2:$BM$158,0)),"")</f>
        <v/>
      </c>
      <c r="L159">
        <f>IFERROR(INDEX(Scores!$AM$2:$AM$158,MATCH($B159,Scores!$BM$2:$BM$158,0)),"")</f>
        <v/>
      </c>
      <c r="M159">
        <f>IFERROR(INDEX(Scores!$AW$2:$AW$158,MATCH($B159,Scores!$BM$2:$BM$158,0)),"")</f>
        <v/>
      </c>
      <c r="N159">
        <f>IFERROR(INDEX(Scores!$BG$2:$BG$158,MATCH($B159,Scores!$BM$2:$BM$158,0)),"")</f>
        <v/>
      </c>
    </row>
    <row r="160">
      <c r="A160" s="16" t="inlineStr">
        <is>
          <t>Top 50 Ranked Cities</t>
        </is>
      </c>
    </row>
    <row r="161">
      <c r="A161" s="6" t="inlineStr">
        <is>
          <t>leaderboard_scope</t>
        </is>
      </c>
      <c r="B161" s="6" t="inlineStr">
        <is>
          <t>target_rank</t>
        </is>
      </c>
      <c r="C161" s="6" t="inlineStr">
        <is>
          <t>rank</t>
        </is>
      </c>
      <c r="D161" s="6" t="inlineStr">
        <is>
          <t>display_name</t>
        </is>
      </c>
      <c r="E161" s="6" t="inlineStr">
        <is>
          <t>country</t>
        </is>
      </c>
      <c r="F161" s="6" t="inlineStr">
        <is>
          <t>cohort</t>
        </is>
      </c>
      <c r="G161" s="6" t="inlineStr">
        <is>
          <t>manifest_status</t>
        </is>
      </c>
      <c r="H161" s="6" t="inlineStr">
        <is>
          <t>coverage_grade</t>
        </is>
      </c>
      <c r="I161" s="6" t="inlineStr">
        <is>
          <t>slic_score</t>
        </is>
      </c>
      <c r="J161" s="6" t="inlineStr">
        <is>
          <t>pressure_pillar_score</t>
        </is>
      </c>
      <c r="K161" s="6" t="inlineStr">
        <is>
          <t>viability_pillar_score</t>
        </is>
      </c>
      <c r="L161" s="6" t="inlineStr">
        <is>
          <t>capability_pillar_score</t>
        </is>
      </c>
      <c r="M161" s="6" t="inlineStr">
        <is>
          <t>community_pillar_score</t>
        </is>
      </c>
      <c r="N161" s="6" t="inlineStr">
        <is>
          <t>creative_pillar_score</t>
        </is>
      </c>
    </row>
    <row r="162">
      <c r="A162" t="inlineStr">
        <is>
          <t>Top 50</t>
        </is>
      </c>
      <c r="B162" t="n">
        <v>1</v>
      </c>
      <c r="C162">
        <f>IFERROR(INDEX(Scores!$BM$2:$BM$158,MATCH($B162,Scores!$BM$2:$BM$158,0)),"")</f>
        <v/>
      </c>
      <c r="D162">
        <f>IFERROR(INDEX(Scores!$B$2:$B$158,MATCH($B162,Scores!$BM$2:$BM$158,0)),"")</f>
        <v/>
      </c>
      <c r="E162">
        <f>IFERROR(INDEX(Scores!$C$2:$C$158,MATCH($B162,Scores!$BM$2:$BM$158,0)),"")</f>
        <v/>
      </c>
      <c r="F162">
        <f>IFERROR(INDEX(Scores!$D$2:$D$158,MATCH($B162,Scores!$BM$2:$BM$158,0)),"")</f>
        <v/>
      </c>
      <c r="G162">
        <f>IFERROR(INDEX(Scores!$E$2:$E$158,MATCH($B162,Scores!$BM$2:$BM$158,0)),"")</f>
        <v/>
      </c>
      <c r="H162">
        <f>IFERROR(INDEX(Scores!$BJ$2:$BJ$158,MATCH($B162,Scores!$BM$2:$BM$158,0)),"")</f>
        <v/>
      </c>
      <c r="I162">
        <f>IFERROR(INDEX(Scores!$BL$2:$BL$158,MATCH($B162,Scores!$BM$2:$BM$158,0)),"")</f>
        <v/>
      </c>
      <c r="J162">
        <f>IFERROR(INDEX(Scores!$Q$2:$Q$158,MATCH($B162,Scores!$BM$2:$BM$158,0)),"")</f>
        <v/>
      </c>
      <c r="K162">
        <f>IFERROR(INDEX(Scores!$AE$2:$AE$158,MATCH($B162,Scores!$BM$2:$BM$158,0)),"")</f>
        <v/>
      </c>
      <c r="L162">
        <f>IFERROR(INDEX(Scores!$AM$2:$AM$158,MATCH($B162,Scores!$BM$2:$BM$158,0)),"")</f>
        <v/>
      </c>
      <c r="M162">
        <f>IFERROR(INDEX(Scores!$AW$2:$AW$158,MATCH($B162,Scores!$BM$2:$BM$158,0)),"")</f>
        <v/>
      </c>
      <c r="N162">
        <f>IFERROR(INDEX(Scores!$BG$2:$BG$158,MATCH($B162,Scores!$BM$2:$BM$158,0)),"")</f>
        <v/>
      </c>
    </row>
    <row r="163">
      <c r="A163" t="inlineStr">
        <is>
          <t>Top 50</t>
        </is>
      </c>
      <c r="B163" t="n">
        <v>2</v>
      </c>
      <c r="C163">
        <f>IFERROR(INDEX(Scores!$BM$2:$BM$158,MATCH($B163,Scores!$BM$2:$BM$158,0)),"")</f>
        <v/>
      </c>
      <c r="D163">
        <f>IFERROR(INDEX(Scores!$B$2:$B$158,MATCH($B163,Scores!$BM$2:$BM$158,0)),"")</f>
        <v/>
      </c>
      <c r="E163">
        <f>IFERROR(INDEX(Scores!$C$2:$C$158,MATCH($B163,Scores!$BM$2:$BM$158,0)),"")</f>
        <v/>
      </c>
      <c r="F163">
        <f>IFERROR(INDEX(Scores!$D$2:$D$158,MATCH($B163,Scores!$BM$2:$BM$158,0)),"")</f>
        <v/>
      </c>
      <c r="G163">
        <f>IFERROR(INDEX(Scores!$E$2:$E$158,MATCH($B163,Scores!$BM$2:$BM$158,0)),"")</f>
        <v/>
      </c>
      <c r="H163">
        <f>IFERROR(INDEX(Scores!$BJ$2:$BJ$158,MATCH($B163,Scores!$BM$2:$BM$158,0)),"")</f>
        <v/>
      </c>
      <c r="I163">
        <f>IFERROR(INDEX(Scores!$BL$2:$BL$158,MATCH($B163,Scores!$BM$2:$BM$158,0)),"")</f>
        <v/>
      </c>
      <c r="J163">
        <f>IFERROR(INDEX(Scores!$Q$2:$Q$158,MATCH($B163,Scores!$BM$2:$BM$158,0)),"")</f>
        <v/>
      </c>
      <c r="K163">
        <f>IFERROR(INDEX(Scores!$AE$2:$AE$158,MATCH($B163,Scores!$BM$2:$BM$158,0)),"")</f>
        <v/>
      </c>
      <c r="L163">
        <f>IFERROR(INDEX(Scores!$AM$2:$AM$158,MATCH($B163,Scores!$BM$2:$BM$158,0)),"")</f>
        <v/>
      </c>
      <c r="M163">
        <f>IFERROR(INDEX(Scores!$AW$2:$AW$158,MATCH($B163,Scores!$BM$2:$BM$158,0)),"")</f>
        <v/>
      </c>
      <c r="N163">
        <f>IFERROR(INDEX(Scores!$BG$2:$BG$158,MATCH($B163,Scores!$BM$2:$BM$158,0)),"")</f>
        <v/>
      </c>
    </row>
    <row r="164">
      <c r="A164" t="inlineStr">
        <is>
          <t>Top 50</t>
        </is>
      </c>
      <c r="B164" t="n">
        <v>3</v>
      </c>
      <c r="C164">
        <f>IFERROR(INDEX(Scores!$BM$2:$BM$158,MATCH($B164,Scores!$BM$2:$BM$158,0)),"")</f>
        <v/>
      </c>
      <c r="D164">
        <f>IFERROR(INDEX(Scores!$B$2:$B$158,MATCH($B164,Scores!$BM$2:$BM$158,0)),"")</f>
        <v/>
      </c>
      <c r="E164">
        <f>IFERROR(INDEX(Scores!$C$2:$C$158,MATCH($B164,Scores!$BM$2:$BM$158,0)),"")</f>
        <v/>
      </c>
      <c r="F164">
        <f>IFERROR(INDEX(Scores!$D$2:$D$158,MATCH($B164,Scores!$BM$2:$BM$158,0)),"")</f>
        <v/>
      </c>
      <c r="G164">
        <f>IFERROR(INDEX(Scores!$E$2:$E$158,MATCH($B164,Scores!$BM$2:$BM$158,0)),"")</f>
        <v/>
      </c>
      <c r="H164">
        <f>IFERROR(INDEX(Scores!$BJ$2:$BJ$158,MATCH($B164,Scores!$BM$2:$BM$158,0)),"")</f>
        <v/>
      </c>
      <c r="I164">
        <f>IFERROR(INDEX(Scores!$BL$2:$BL$158,MATCH($B164,Scores!$BM$2:$BM$158,0)),"")</f>
        <v/>
      </c>
      <c r="J164">
        <f>IFERROR(INDEX(Scores!$Q$2:$Q$158,MATCH($B164,Scores!$BM$2:$BM$158,0)),"")</f>
        <v/>
      </c>
      <c r="K164">
        <f>IFERROR(INDEX(Scores!$AE$2:$AE$158,MATCH($B164,Scores!$BM$2:$BM$158,0)),"")</f>
        <v/>
      </c>
      <c r="L164">
        <f>IFERROR(INDEX(Scores!$AM$2:$AM$158,MATCH($B164,Scores!$BM$2:$BM$158,0)),"")</f>
        <v/>
      </c>
      <c r="M164">
        <f>IFERROR(INDEX(Scores!$AW$2:$AW$158,MATCH($B164,Scores!$BM$2:$BM$158,0)),"")</f>
        <v/>
      </c>
      <c r="N164">
        <f>IFERROR(INDEX(Scores!$BG$2:$BG$158,MATCH($B164,Scores!$BM$2:$BM$158,0)),"")</f>
        <v/>
      </c>
    </row>
    <row r="165">
      <c r="A165" t="inlineStr">
        <is>
          <t>Top 50</t>
        </is>
      </c>
      <c r="B165" t="n">
        <v>4</v>
      </c>
      <c r="C165">
        <f>IFERROR(INDEX(Scores!$BM$2:$BM$158,MATCH($B165,Scores!$BM$2:$BM$158,0)),"")</f>
        <v/>
      </c>
      <c r="D165">
        <f>IFERROR(INDEX(Scores!$B$2:$B$158,MATCH($B165,Scores!$BM$2:$BM$158,0)),"")</f>
        <v/>
      </c>
      <c r="E165">
        <f>IFERROR(INDEX(Scores!$C$2:$C$158,MATCH($B165,Scores!$BM$2:$BM$158,0)),"")</f>
        <v/>
      </c>
      <c r="F165">
        <f>IFERROR(INDEX(Scores!$D$2:$D$158,MATCH($B165,Scores!$BM$2:$BM$158,0)),"")</f>
        <v/>
      </c>
      <c r="G165">
        <f>IFERROR(INDEX(Scores!$E$2:$E$158,MATCH($B165,Scores!$BM$2:$BM$158,0)),"")</f>
        <v/>
      </c>
      <c r="H165">
        <f>IFERROR(INDEX(Scores!$BJ$2:$BJ$158,MATCH($B165,Scores!$BM$2:$BM$158,0)),"")</f>
        <v/>
      </c>
      <c r="I165">
        <f>IFERROR(INDEX(Scores!$BL$2:$BL$158,MATCH($B165,Scores!$BM$2:$BM$158,0)),"")</f>
        <v/>
      </c>
      <c r="J165">
        <f>IFERROR(INDEX(Scores!$Q$2:$Q$158,MATCH($B165,Scores!$BM$2:$BM$158,0)),"")</f>
        <v/>
      </c>
      <c r="K165">
        <f>IFERROR(INDEX(Scores!$AE$2:$AE$158,MATCH($B165,Scores!$BM$2:$BM$158,0)),"")</f>
        <v/>
      </c>
      <c r="L165">
        <f>IFERROR(INDEX(Scores!$AM$2:$AM$158,MATCH($B165,Scores!$BM$2:$BM$158,0)),"")</f>
        <v/>
      </c>
      <c r="M165">
        <f>IFERROR(INDEX(Scores!$AW$2:$AW$158,MATCH($B165,Scores!$BM$2:$BM$158,0)),"")</f>
        <v/>
      </c>
      <c r="N165">
        <f>IFERROR(INDEX(Scores!$BG$2:$BG$158,MATCH($B165,Scores!$BM$2:$BM$158,0)),"")</f>
        <v/>
      </c>
    </row>
    <row r="166">
      <c r="A166" t="inlineStr">
        <is>
          <t>Top 50</t>
        </is>
      </c>
      <c r="B166" t="n">
        <v>5</v>
      </c>
      <c r="C166">
        <f>IFERROR(INDEX(Scores!$BM$2:$BM$158,MATCH($B166,Scores!$BM$2:$BM$158,0)),"")</f>
        <v/>
      </c>
      <c r="D166">
        <f>IFERROR(INDEX(Scores!$B$2:$B$158,MATCH($B166,Scores!$BM$2:$BM$158,0)),"")</f>
        <v/>
      </c>
      <c r="E166">
        <f>IFERROR(INDEX(Scores!$C$2:$C$158,MATCH($B166,Scores!$BM$2:$BM$158,0)),"")</f>
        <v/>
      </c>
      <c r="F166">
        <f>IFERROR(INDEX(Scores!$D$2:$D$158,MATCH($B166,Scores!$BM$2:$BM$158,0)),"")</f>
        <v/>
      </c>
      <c r="G166">
        <f>IFERROR(INDEX(Scores!$E$2:$E$158,MATCH($B166,Scores!$BM$2:$BM$158,0)),"")</f>
        <v/>
      </c>
      <c r="H166">
        <f>IFERROR(INDEX(Scores!$BJ$2:$BJ$158,MATCH($B166,Scores!$BM$2:$BM$158,0)),"")</f>
        <v/>
      </c>
      <c r="I166">
        <f>IFERROR(INDEX(Scores!$BL$2:$BL$158,MATCH($B166,Scores!$BM$2:$BM$158,0)),"")</f>
        <v/>
      </c>
      <c r="J166">
        <f>IFERROR(INDEX(Scores!$Q$2:$Q$158,MATCH($B166,Scores!$BM$2:$BM$158,0)),"")</f>
        <v/>
      </c>
      <c r="K166">
        <f>IFERROR(INDEX(Scores!$AE$2:$AE$158,MATCH($B166,Scores!$BM$2:$BM$158,0)),"")</f>
        <v/>
      </c>
      <c r="L166">
        <f>IFERROR(INDEX(Scores!$AM$2:$AM$158,MATCH($B166,Scores!$BM$2:$BM$158,0)),"")</f>
        <v/>
      </c>
      <c r="M166">
        <f>IFERROR(INDEX(Scores!$AW$2:$AW$158,MATCH($B166,Scores!$BM$2:$BM$158,0)),"")</f>
        <v/>
      </c>
      <c r="N166">
        <f>IFERROR(INDEX(Scores!$BG$2:$BG$158,MATCH($B166,Scores!$BM$2:$BM$158,0)),"")</f>
        <v/>
      </c>
    </row>
    <row r="167">
      <c r="A167" t="inlineStr">
        <is>
          <t>Top 50</t>
        </is>
      </c>
      <c r="B167" t="n">
        <v>6</v>
      </c>
      <c r="C167">
        <f>IFERROR(INDEX(Scores!$BM$2:$BM$158,MATCH($B167,Scores!$BM$2:$BM$158,0)),"")</f>
        <v/>
      </c>
      <c r="D167">
        <f>IFERROR(INDEX(Scores!$B$2:$B$158,MATCH($B167,Scores!$BM$2:$BM$158,0)),"")</f>
        <v/>
      </c>
      <c r="E167">
        <f>IFERROR(INDEX(Scores!$C$2:$C$158,MATCH($B167,Scores!$BM$2:$BM$158,0)),"")</f>
        <v/>
      </c>
      <c r="F167">
        <f>IFERROR(INDEX(Scores!$D$2:$D$158,MATCH($B167,Scores!$BM$2:$BM$158,0)),"")</f>
        <v/>
      </c>
      <c r="G167">
        <f>IFERROR(INDEX(Scores!$E$2:$E$158,MATCH($B167,Scores!$BM$2:$BM$158,0)),"")</f>
        <v/>
      </c>
      <c r="H167">
        <f>IFERROR(INDEX(Scores!$BJ$2:$BJ$158,MATCH($B167,Scores!$BM$2:$BM$158,0)),"")</f>
        <v/>
      </c>
      <c r="I167">
        <f>IFERROR(INDEX(Scores!$BL$2:$BL$158,MATCH($B167,Scores!$BM$2:$BM$158,0)),"")</f>
        <v/>
      </c>
      <c r="J167">
        <f>IFERROR(INDEX(Scores!$Q$2:$Q$158,MATCH($B167,Scores!$BM$2:$BM$158,0)),"")</f>
        <v/>
      </c>
      <c r="K167">
        <f>IFERROR(INDEX(Scores!$AE$2:$AE$158,MATCH($B167,Scores!$BM$2:$BM$158,0)),"")</f>
        <v/>
      </c>
      <c r="L167">
        <f>IFERROR(INDEX(Scores!$AM$2:$AM$158,MATCH($B167,Scores!$BM$2:$BM$158,0)),"")</f>
        <v/>
      </c>
      <c r="M167">
        <f>IFERROR(INDEX(Scores!$AW$2:$AW$158,MATCH($B167,Scores!$BM$2:$BM$158,0)),"")</f>
        <v/>
      </c>
      <c r="N167">
        <f>IFERROR(INDEX(Scores!$BG$2:$BG$158,MATCH($B167,Scores!$BM$2:$BM$158,0)),"")</f>
        <v/>
      </c>
    </row>
    <row r="168">
      <c r="A168" t="inlineStr">
        <is>
          <t>Top 50</t>
        </is>
      </c>
      <c r="B168" t="n">
        <v>7</v>
      </c>
      <c r="C168">
        <f>IFERROR(INDEX(Scores!$BM$2:$BM$158,MATCH($B168,Scores!$BM$2:$BM$158,0)),"")</f>
        <v/>
      </c>
      <c r="D168">
        <f>IFERROR(INDEX(Scores!$B$2:$B$158,MATCH($B168,Scores!$BM$2:$BM$158,0)),"")</f>
        <v/>
      </c>
      <c r="E168">
        <f>IFERROR(INDEX(Scores!$C$2:$C$158,MATCH($B168,Scores!$BM$2:$BM$158,0)),"")</f>
        <v/>
      </c>
      <c r="F168">
        <f>IFERROR(INDEX(Scores!$D$2:$D$158,MATCH($B168,Scores!$BM$2:$BM$158,0)),"")</f>
        <v/>
      </c>
      <c r="G168">
        <f>IFERROR(INDEX(Scores!$E$2:$E$158,MATCH($B168,Scores!$BM$2:$BM$158,0)),"")</f>
        <v/>
      </c>
      <c r="H168">
        <f>IFERROR(INDEX(Scores!$BJ$2:$BJ$158,MATCH($B168,Scores!$BM$2:$BM$158,0)),"")</f>
        <v/>
      </c>
      <c r="I168">
        <f>IFERROR(INDEX(Scores!$BL$2:$BL$158,MATCH($B168,Scores!$BM$2:$BM$158,0)),"")</f>
        <v/>
      </c>
      <c r="J168">
        <f>IFERROR(INDEX(Scores!$Q$2:$Q$158,MATCH($B168,Scores!$BM$2:$BM$158,0)),"")</f>
        <v/>
      </c>
      <c r="K168">
        <f>IFERROR(INDEX(Scores!$AE$2:$AE$158,MATCH($B168,Scores!$BM$2:$BM$158,0)),"")</f>
        <v/>
      </c>
      <c r="L168">
        <f>IFERROR(INDEX(Scores!$AM$2:$AM$158,MATCH($B168,Scores!$BM$2:$BM$158,0)),"")</f>
        <v/>
      </c>
      <c r="M168">
        <f>IFERROR(INDEX(Scores!$AW$2:$AW$158,MATCH($B168,Scores!$BM$2:$BM$158,0)),"")</f>
        <v/>
      </c>
      <c r="N168">
        <f>IFERROR(INDEX(Scores!$BG$2:$BG$158,MATCH($B168,Scores!$BM$2:$BM$158,0)),"")</f>
        <v/>
      </c>
    </row>
    <row r="169">
      <c r="A169" t="inlineStr">
        <is>
          <t>Top 50</t>
        </is>
      </c>
      <c r="B169" t="n">
        <v>8</v>
      </c>
      <c r="C169">
        <f>IFERROR(INDEX(Scores!$BM$2:$BM$158,MATCH($B169,Scores!$BM$2:$BM$158,0)),"")</f>
        <v/>
      </c>
      <c r="D169">
        <f>IFERROR(INDEX(Scores!$B$2:$B$158,MATCH($B169,Scores!$BM$2:$BM$158,0)),"")</f>
        <v/>
      </c>
      <c r="E169">
        <f>IFERROR(INDEX(Scores!$C$2:$C$158,MATCH($B169,Scores!$BM$2:$BM$158,0)),"")</f>
        <v/>
      </c>
      <c r="F169">
        <f>IFERROR(INDEX(Scores!$D$2:$D$158,MATCH($B169,Scores!$BM$2:$BM$158,0)),"")</f>
        <v/>
      </c>
      <c r="G169">
        <f>IFERROR(INDEX(Scores!$E$2:$E$158,MATCH($B169,Scores!$BM$2:$BM$158,0)),"")</f>
        <v/>
      </c>
      <c r="H169">
        <f>IFERROR(INDEX(Scores!$BJ$2:$BJ$158,MATCH($B169,Scores!$BM$2:$BM$158,0)),"")</f>
        <v/>
      </c>
      <c r="I169">
        <f>IFERROR(INDEX(Scores!$BL$2:$BL$158,MATCH($B169,Scores!$BM$2:$BM$158,0)),"")</f>
        <v/>
      </c>
      <c r="J169">
        <f>IFERROR(INDEX(Scores!$Q$2:$Q$158,MATCH($B169,Scores!$BM$2:$BM$158,0)),"")</f>
        <v/>
      </c>
      <c r="K169">
        <f>IFERROR(INDEX(Scores!$AE$2:$AE$158,MATCH($B169,Scores!$BM$2:$BM$158,0)),"")</f>
        <v/>
      </c>
      <c r="L169">
        <f>IFERROR(INDEX(Scores!$AM$2:$AM$158,MATCH($B169,Scores!$BM$2:$BM$158,0)),"")</f>
        <v/>
      </c>
      <c r="M169">
        <f>IFERROR(INDEX(Scores!$AW$2:$AW$158,MATCH($B169,Scores!$BM$2:$BM$158,0)),"")</f>
        <v/>
      </c>
      <c r="N169">
        <f>IFERROR(INDEX(Scores!$BG$2:$BG$158,MATCH($B169,Scores!$BM$2:$BM$158,0)),"")</f>
        <v/>
      </c>
    </row>
    <row r="170">
      <c r="A170" t="inlineStr">
        <is>
          <t>Top 50</t>
        </is>
      </c>
      <c r="B170" t="n">
        <v>9</v>
      </c>
      <c r="C170">
        <f>IFERROR(INDEX(Scores!$BM$2:$BM$158,MATCH($B170,Scores!$BM$2:$BM$158,0)),"")</f>
        <v/>
      </c>
      <c r="D170">
        <f>IFERROR(INDEX(Scores!$B$2:$B$158,MATCH($B170,Scores!$BM$2:$BM$158,0)),"")</f>
        <v/>
      </c>
      <c r="E170">
        <f>IFERROR(INDEX(Scores!$C$2:$C$158,MATCH($B170,Scores!$BM$2:$BM$158,0)),"")</f>
        <v/>
      </c>
      <c r="F170">
        <f>IFERROR(INDEX(Scores!$D$2:$D$158,MATCH($B170,Scores!$BM$2:$BM$158,0)),"")</f>
        <v/>
      </c>
      <c r="G170">
        <f>IFERROR(INDEX(Scores!$E$2:$E$158,MATCH($B170,Scores!$BM$2:$BM$158,0)),"")</f>
        <v/>
      </c>
      <c r="H170">
        <f>IFERROR(INDEX(Scores!$BJ$2:$BJ$158,MATCH($B170,Scores!$BM$2:$BM$158,0)),"")</f>
        <v/>
      </c>
      <c r="I170">
        <f>IFERROR(INDEX(Scores!$BL$2:$BL$158,MATCH($B170,Scores!$BM$2:$BM$158,0)),"")</f>
        <v/>
      </c>
      <c r="J170">
        <f>IFERROR(INDEX(Scores!$Q$2:$Q$158,MATCH($B170,Scores!$BM$2:$BM$158,0)),"")</f>
        <v/>
      </c>
      <c r="K170">
        <f>IFERROR(INDEX(Scores!$AE$2:$AE$158,MATCH($B170,Scores!$BM$2:$BM$158,0)),"")</f>
        <v/>
      </c>
      <c r="L170">
        <f>IFERROR(INDEX(Scores!$AM$2:$AM$158,MATCH($B170,Scores!$BM$2:$BM$158,0)),"")</f>
        <v/>
      </c>
      <c r="M170">
        <f>IFERROR(INDEX(Scores!$AW$2:$AW$158,MATCH($B170,Scores!$BM$2:$BM$158,0)),"")</f>
        <v/>
      </c>
      <c r="N170">
        <f>IFERROR(INDEX(Scores!$BG$2:$BG$158,MATCH($B170,Scores!$BM$2:$BM$158,0)),"")</f>
        <v/>
      </c>
    </row>
    <row r="171">
      <c r="A171" t="inlineStr">
        <is>
          <t>Top 50</t>
        </is>
      </c>
      <c r="B171" t="n">
        <v>10</v>
      </c>
      <c r="C171">
        <f>IFERROR(INDEX(Scores!$BM$2:$BM$158,MATCH($B171,Scores!$BM$2:$BM$158,0)),"")</f>
        <v/>
      </c>
      <c r="D171">
        <f>IFERROR(INDEX(Scores!$B$2:$B$158,MATCH($B171,Scores!$BM$2:$BM$158,0)),"")</f>
        <v/>
      </c>
      <c r="E171">
        <f>IFERROR(INDEX(Scores!$C$2:$C$158,MATCH($B171,Scores!$BM$2:$BM$158,0)),"")</f>
        <v/>
      </c>
      <c r="F171">
        <f>IFERROR(INDEX(Scores!$D$2:$D$158,MATCH($B171,Scores!$BM$2:$BM$158,0)),"")</f>
        <v/>
      </c>
      <c r="G171">
        <f>IFERROR(INDEX(Scores!$E$2:$E$158,MATCH($B171,Scores!$BM$2:$BM$158,0)),"")</f>
        <v/>
      </c>
      <c r="H171">
        <f>IFERROR(INDEX(Scores!$BJ$2:$BJ$158,MATCH($B171,Scores!$BM$2:$BM$158,0)),"")</f>
        <v/>
      </c>
      <c r="I171">
        <f>IFERROR(INDEX(Scores!$BL$2:$BL$158,MATCH($B171,Scores!$BM$2:$BM$158,0)),"")</f>
        <v/>
      </c>
      <c r="J171">
        <f>IFERROR(INDEX(Scores!$Q$2:$Q$158,MATCH($B171,Scores!$BM$2:$BM$158,0)),"")</f>
        <v/>
      </c>
      <c r="K171">
        <f>IFERROR(INDEX(Scores!$AE$2:$AE$158,MATCH($B171,Scores!$BM$2:$BM$158,0)),"")</f>
        <v/>
      </c>
      <c r="L171">
        <f>IFERROR(INDEX(Scores!$AM$2:$AM$158,MATCH($B171,Scores!$BM$2:$BM$158,0)),"")</f>
        <v/>
      </c>
      <c r="M171">
        <f>IFERROR(INDEX(Scores!$AW$2:$AW$158,MATCH($B171,Scores!$BM$2:$BM$158,0)),"")</f>
        <v/>
      </c>
      <c r="N171">
        <f>IFERROR(INDEX(Scores!$BG$2:$BG$158,MATCH($B171,Scores!$BM$2:$BM$158,0)),"")</f>
        <v/>
      </c>
    </row>
    <row r="172">
      <c r="A172" t="inlineStr">
        <is>
          <t>Top 50</t>
        </is>
      </c>
      <c r="B172" t="n">
        <v>11</v>
      </c>
      <c r="C172">
        <f>IFERROR(INDEX(Scores!$BM$2:$BM$158,MATCH($B172,Scores!$BM$2:$BM$158,0)),"")</f>
        <v/>
      </c>
      <c r="D172">
        <f>IFERROR(INDEX(Scores!$B$2:$B$158,MATCH($B172,Scores!$BM$2:$BM$158,0)),"")</f>
        <v/>
      </c>
      <c r="E172">
        <f>IFERROR(INDEX(Scores!$C$2:$C$158,MATCH($B172,Scores!$BM$2:$BM$158,0)),"")</f>
        <v/>
      </c>
      <c r="F172">
        <f>IFERROR(INDEX(Scores!$D$2:$D$158,MATCH($B172,Scores!$BM$2:$BM$158,0)),"")</f>
        <v/>
      </c>
      <c r="G172">
        <f>IFERROR(INDEX(Scores!$E$2:$E$158,MATCH($B172,Scores!$BM$2:$BM$158,0)),"")</f>
        <v/>
      </c>
      <c r="H172">
        <f>IFERROR(INDEX(Scores!$BJ$2:$BJ$158,MATCH($B172,Scores!$BM$2:$BM$158,0)),"")</f>
        <v/>
      </c>
      <c r="I172">
        <f>IFERROR(INDEX(Scores!$BL$2:$BL$158,MATCH($B172,Scores!$BM$2:$BM$158,0)),"")</f>
        <v/>
      </c>
      <c r="J172">
        <f>IFERROR(INDEX(Scores!$Q$2:$Q$158,MATCH($B172,Scores!$BM$2:$BM$158,0)),"")</f>
        <v/>
      </c>
      <c r="K172">
        <f>IFERROR(INDEX(Scores!$AE$2:$AE$158,MATCH($B172,Scores!$BM$2:$BM$158,0)),"")</f>
        <v/>
      </c>
      <c r="L172">
        <f>IFERROR(INDEX(Scores!$AM$2:$AM$158,MATCH($B172,Scores!$BM$2:$BM$158,0)),"")</f>
        <v/>
      </c>
      <c r="M172">
        <f>IFERROR(INDEX(Scores!$AW$2:$AW$158,MATCH($B172,Scores!$BM$2:$BM$158,0)),"")</f>
        <v/>
      </c>
      <c r="N172">
        <f>IFERROR(INDEX(Scores!$BG$2:$BG$158,MATCH($B172,Scores!$BM$2:$BM$158,0)),"")</f>
        <v/>
      </c>
    </row>
    <row r="173">
      <c r="A173" t="inlineStr">
        <is>
          <t>Top 50</t>
        </is>
      </c>
      <c r="B173" t="n">
        <v>12</v>
      </c>
      <c r="C173">
        <f>IFERROR(INDEX(Scores!$BM$2:$BM$158,MATCH($B173,Scores!$BM$2:$BM$158,0)),"")</f>
        <v/>
      </c>
      <c r="D173">
        <f>IFERROR(INDEX(Scores!$B$2:$B$158,MATCH($B173,Scores!$BM$2:$BM$158,0)),"")</f>
        <v/>
      </c>
      <c r="E173">
        <f>IFERROR(INDEX(Scores!$C$2:$C$158,MATCH($B173,Scores!$BM$2:$BM$158,0)),"")</f>
        <v/>
      </c>
      <c r="F173">
        <f>IFERROR(INDEX(Scores!$D$2:$D$158,MATCH($B173,Scores!$BM$2:$BM$158,0)),"")</f>
        <v/>
      </c>
      <c r="G173">
        <f>IFERROR(INDEX(Scores!$E$2:$E$158,MATCH($B173,Scores!$BM$2:$BM$158,0)),"")</f>
        <v/>
      </c>
      <c r="H173">
        <f>IFERROR(INDEX(Scores!$BJ$2:$BJ$158,MATCH($B173,Scores!$BM$2:$BM$158,0)),"")</f>
        <v/>
      </c>
      <c r="I173">
        <f>IFERROR(INDEX(Scores!$BL$2:$BL$158,MATCH($B173,Scores!$BM$2:$BM$158,0)),"")</f>
        <v/>
      </c>
      <c r="J173">
        <f>IFERROR(INDEX(Scores!$Q$2:$Q$158,MATCH($B173,Scores!$BM$2:$BM$158,0)),"")</f>
        <v/>
      </c>
      <c r="K173">
        <f>IFERROR(INDEX(Scores!$AE$2:$AE$158,MATCH($B173,Scores!$BM$2:$BM$158,0)),"")</f>
        <v/>
      </c>
      <c r="L173">
        <f>IFERROR(INDEX(Scores!$AM$2:$AM$158,MATCH($B173,Scores!$BM$2:$BM$158,0)),"")</f>
        <v/>
      </c>
      <c r="M173">
        <f>IFERROR(INDEX(Scores!$AW$2:$AW$158,MATCH($B173,Scores!$BM$2:$BM$158,0)),"")</f>
        <v/>
      </c>
      <c r="N173">
        <f>IFERROR(INDEX(Scores!$BG$2:$BG$158,MATCH($B173,Scores!$BM$2:$BM$158,0)),"")</f>
        <v/>
      </c>
    </row>
    <row r="174">
      <c r="A174" t="inlineStr">
        <is>
          <t>Top 50</t>
        </is>
      </c>
      <c r="B174" t="n">
        <v>13</v>
      </c>
      <c r="C174">
        <f>IFERROR(INDEX(Scores!$BM$2:$BM$158,MATCH($B174,Scores!$BM$2:$BM$158,0)),"")</f>
        <v/>
      </c>
      <c r="D174">
        <f>IFERROR(INDEX(Scores!$B$2:$B$158,MATCH($B174,Scores!$BM$2:$BM$158,0)),"")</f>
        <v/>
      </c>
      <c r="E174">
        <f>IFERROR(INDEX(Scores!$C$2:$C$158,MATCH($B174,Scores!$BM$2:$BM$158,0)),"")</f>
        <v/>
      </c>
      <c r="F174">
        <f>IFERROR(INDEX(Scores!$D$2:$D$158,MATCH($B174,Scores!$BM$2:$BM$158,0)),"")</f>
        <v/>
      </c>
      <c r="G174">
        <f>IFERROR(INDEX(Scores!$E$2:$E$158,MATCH($B174,Scores!$BM$2:$BM$158,0)),"")</f>
        <v/>
      </c>
      <c r="H174">
        <f>IFERROR(INDEX(Scores!$BJ$2:$BJ$158,MATCH($B174,Scores!$BM$2:$BM$158,0)),"")</f>
        <v/>
      </c>
      <c r="I174">
        <f>IFERROR(INDEX(Scores!$BL$2:$BL$158,MATCH($B174,Scores!$BM$2:$BM$158,0)),"")</f>
        <v/>
      </c>
      <c r="J174">
        <f>IFERROR(INDEX(Scores!$Q$2:$Q$158,MATCH($B174,Scores!$BM$2:$BM$158,0)),"")</f>
        <v/>
      </c>
      <c r="K174">
        <f>IFERROR(INDEX(Scores!$AE$2:$AE$158,MATCH($B174,Scores!$BM$2:$BM$158,0)),"")</f>
        <v/>
      </c>
      <c r="L174">
        <f>IFERROR(INDEX(Scores!$AM$2:$AM$158,MATCH($B174,Scores!$BM$2:$BM$158,0)),"")</f>
        <v/>
      </c>
      <c r="M174">
        <f>IFERROR(INDEX(Scores!$AW$2:$AW$158,MATCH($B174,Scores!$BM$2:$BM$158,0)),"")</f>
        <v/>
      </c>
      <c r="N174">
        <f>IFERROR(INDEX(Scores!$BG$2:$BG$158,MATCH($B174,Scores!$BM$2:$BM$158,0)),"")</f>
        <v/>
      </c>
    </row>
    <row r="175">
      <c r="A175" t="inlineStr">
        <is>
          <t>Top 50</t>
        </is>
      </c>
      <c r="B175" t="n">
        <v>14</v>
      </c>
      <c r="C175">
        <f>IFERROR(INDEX(Scores!$BM$2:$BM$158,MATCH($B175,Scores!$BM$2:$BM$158,0)),"")</f>
        <v/>
      </c>
      <c r="D175">
        <f>IFERROR(INDEX(Scores!$B$2:$B$158,MATCH($B175,Scores!$BM$2:$BM$158,0)),"")</f>
        <v/>
      </c>
      <c r="E175">
        <f>IFERROR(INDEX(Scores!$C$2:$C$158,MATCH($B175,Scores!$BM$2:$BM$158,0)),"")</f>
        <v/>
      </c>
      <c r="F175">
        <f>IFERROR(INDEX(Scores!$D$2:$D$158,MATCH($B175,Scores!$BM$2:$BM$158,0)),"")</f>
        <v/>
      </c>
      <c r="G175">
        <f>IFERROR(INDEX(Scores!$E$2:$E$158,MATCH($B175,Scores!$BM$2:$BM$158,0)),"")</f>
        <v/>
      </c>
      <c r="H175">
        <f>IFERROR(INDEX(Scores!$BJ$2:$BJ$158,MATCH($B175,Scores!$BM$2:$BM$158,0)),"")</f>
        <v/>
      </c>
      <c r="I175">
        <f>IFERROR(INDEX(Scores!$BL$2:$BL$158,MATCH($B175,Scores!$BM$2:$BM$158,0)),"")</f>
        <v/>
      </c>
      <c r="J175">
        <f>IFERROR(INDEX(Scores!$Q$2:$Q$158,MATCH($B175,Scores!$BM$2:$BM$158,0)),"")</f>
        <v/>
      </c>
      <c r="K175">
        <f>IFERROR(INDEX(Scores!$AE$2:$AE$158,MATCH($B175,Scores!$BM$2:$BM$158,0)),"")</f>
        <v/>
      </c>
      <c r="L175">
        <f>IFERROR(INDEX(Scores!$AM$2:$AM$158,MATCH($B175,Scores!$BM$2:$BM$158,0)),"")</f>
        <v/>
      </c>
      <c r="M175">
        <f>IFERROR(INDEX(Scores!$AW$2:$AW$158,MATCH($B175,Scores!$BM$2:$BM$158,0)),"")</f>
        <v/>
      </c>
      <c r="N175">
        <f>IFERROR(INDEX(Scores!$BG$2:$BG$158,MATCH($B175,Scores!$BM$2:$BM$158,0)),"")</f>
        <v/>
      </c>
    </row>
    <row r="176">
      <c r="A176" t="inlineStr">
        <is>
          <t>Top 50</t>
        </is>
      </c>
      <c r="B176" t="n">
        <v>15</v>
      </c>
      <c r="C176">
        <f>IFERROR(INDEX(Scores!$BM$2:$BM$158,MATCH($B176,Scores!$BM$2:$BM$158,0)),"")</f>
        <v/>
      </c>
      <c r="D176">
        <f>IFERROR(INDEX(Scores!$B$2:$B$158,MATCH($B176,Scores!$BM$2:$BM$158,0)),"")</f>
        <v/>
      </c>
      <c r="E176">
        <f>IFERROR(INDEX(Scores!$C$2:$C$158,MATCH($B176,Scores!$BM$2:$BM$158,0)),"")</f>
        <v/>
      </c>
      <c r="F176">
        <f>IFERROR(INDEX(Scores!$D$2:$D$158,MATCH($B176,Scores!$BM$2:$BM$158,0)),"")</f>
        <v/>
      </c>
      <c r="G176">
        <f>IFERROR(INDEX(Scores!$E$2:$E$158,MATCH($B176,Scores!$BM$2:$BM$158,0)),"")</f>
        <v/>
      </c>
      <c r="H176">
        <f>IFERROR(INDEX(Scores!$BJ$2:$BJ$158,MATCH($B176,Scores!$BM$2:$BM$158,0)),"")</f>
        <v/>
      </c>
      <c r="I176">
        <f>IFERROR(INDEX(Scores!$BL$2:$BL$158,MATCH($B176,Scores!$BM$2:$BM$158,0)),"")</f>
        <v/>
      </c>
      <c r="J176">
        <f>IFERROR(INDEX(Scores!$Q$2:$Q$158,MATCH($B176,Scores!$BM$2:$BM$158,0)),"")</f>
        <v/>
      </c>
      <c r="K176">
        <f>IFERROR(INDEX(Scores!$AE$2:$AE$158,MATCH($B176,Scores!$BM$2:$BM$158,0)),"")</f>
        <v/>
      </c>
      <c r="L176">
        <f>IFERROR(INDEX(Scores!$AM$2:$AM$158,MATCH($B176,Scores!$BM$2:$BM$158,0)),"")</f>
        <v/>
      </c>
      <c r="M176">
        <f>IFERROR(INDEX(Scores!$AW$2:$AW$158,MATCH($B176,Scores!$BM$2:$BM$158,0)),"")</f>
        <v/>
      </c>
      <c r="N176">
        <f>IFERROR(INDEX(Scores!$BG$2:$BG$158,MATCH($B176,Scores!$BM$2:$BM$158,0)),"")</f>
        <v/>
      </c>
    </row>
    <row r="177">
      <c r="A177" t="inlineStr">
        <is>
          <t>Top 50</t>
        </is>
      </c>
      <c r="B177" t="n">
        <v>16</v>
      </c>
      <c r="C177">
        <f>IFERROR(INDEX(Scores!$BM$2:$BM$158,MATCH($B177,Scores!$BM$2:$BM$158,0)),"")</f>
        <v/>
      </c>
      <c r="D177">
        <f>IFERROR(INDEX(Scores!$B$2:$B$158,MATCH($B177,Scores!$BM$2:$BM$158,0)),"")</f>
        <v/>
      </c>
      <c r="E177">
        <f>IFERROR(INDEX(Scores!$C$2:$C$158,MATCH($B177,Scores!$BM$2:$BM$158,0)),"")</f>
        <v/>
      </c>
      <c r="F177">
        <f>IFERROR(INDEX(Scores!$D$2:$D$158,MATCH($B177,Scores!$BM$2:$BM$158,0)),"")</f>
        <v/>
      </c>
      <c r="G177">
        <f>IFERROR(INDEX(Scores!$E$2:$E$158,MATCH($B177,Scores!$BM$2:$BM$158,0)),"")</f>
        <v/>
      </c>
      <c r="H177">
        <f>IFERROR(INDEX(Scores!$BJ$2:$BJ$158,MATCH($B177,Scores!$BM$2:$BM$158,0)),"")</f>
        <v/>
      </c>
      <c r="I177">
        <f>IFERROR(INDEX(Scores!$BL$2:$BL$158,MATCH($B177,Scores!$BM$2:$BM$158,0)),"")</f>
        <v/>
      </c>
      <c r="J177">
        <f>IFERROR(INDEX(Scores!$Q$2:$Q$158,MATCH($B177,Scores!$BM$2:$BM$158,0)),"")</f>
        <v/>
      </c>
      <c r="K177">
        <f>IFERROR(INDEX(Scores!$AE$2:$AE$158,MATCH($B177,Scores!$BM$2:$BM$158,0)),"")</f>
        <v/>
      </c>
      <c r="L177">
        <f>IFERROR(INDEX(Scores!$AM$2:$AM$158,MATCH($B177,Scores!$BM$2:$BM$158,0)),"")</f>
        <v/>
      </c>
      <c r="M177">
        <f>IFERROR(INDEX(Scores!$AW$2:$AW$158,MATCH($B177,Scores!$BM$2:$BM$158,0)),"")</f>
        <v/>
      </c>
      <c r="N177">
        <f>IFERROR(INDEX(Scores!$BG$2:$BG$158,MATCH($B177,Scores!$BM$2:$BM$158,0)),"")</f>
        <v/>
      </c>
    </row>
    <row r="178">
      <c r="A178" t="inlineStr">
        <is>
          <t>Top 50</t>
        </is>
      </c>
      <c r="B178" t="n">
        <v>17</v>
      </c>
      <c r="C178">
        <f>IFERROR(INDEX(Scores!$BM$2:$BM$158,MATCH($B178,Scores!$BM$2:$BM$158,0)),"")</f>
        <v/>
      </c>
      <c r="D178">
        <f>IFERROR(INDEX(Scores!$B$2:$B$158,MATCH($B178,Scores!$BM$2:$BM$158,0)),"")</f>
        <v/>
      </c>
      <c r="E178">
        <f>IFERROR(INDEX(Scores!$C$2:$C$158,MATCH($B178,Scores!$BM$2:$BM$158,0)),"")</f>
        <v/>
      </c>
      <c r="F178">
        <f>IFERROR(INDEX(Scores!$D$2:$D$158,MATCH($B178,Scores!$BM$2:$BM$158,0)),"")</f>
        <v/>
      </c>
      <c r="G178">
        <f>IFERROR(INDEX(Scores!$E$2:$E$158,MATCH($B178,Scores!$BM$2:$BM$158,0)),"")</f>
        <v/>
      </c>
      <c r="H178">
        <f>IFERROR(INDEX(Scores!$BJ$2:$BJ$158,MATCH($B178,Scores!$BM$2:$BM$158,0)),"")</f>
        <v/>
      </c>
      <c r="I178">
        <f>IFERROR(INDEX(Scores!$BL$2:$BL$158,MATCH($B178,Scores!$BM$2:$BM$158,0)),"")</f>
        <v/>
      </c>
      <c r="J178">
        <f>IFERROR(INDEX(Scores!$Q$2:$Q$158,MATCH($B178,Scores!$BM$2:$BM$158,0)),"")</f>
        <v/>
      </c>
      <c r="K178">
        <f>IFERROR(INDEX(Scores!$AE$2:$AE$158,MATCH($B178,Scores!$BM$2:$BM$158,0)),"")</f>
        <v/>
      </c>
      <c r="L178">
        <f>IFERROR(INDEX(Scores!$AM$2:$AM$158,MATCH($B178,Scores!$BM$2:$BM$158,0)),"")</f>
        <v/>
      </c>
      <c r="M178">
        <f>IFERROR(INDEX(Scores!$AW$2:$AW$158,MATCH($B178,Scores!$BM$2:$BM$158,0)),"")</f>
        <v/>
      </c>
      <c r="N178">
        <f>IFERROR(INDEX(Scores!$BG$2:$BG$158,MATCH($B178,Scores!$BM$2:$BM$158,0)),"")</f>
        <v/>
      </c>
    </row>
    <row r="179">
      <c r="A179" t="inlineStr">
        <is>
          <t>Top 50</t>
        </is>
      </c>
      <c r="B179" t="n">
        <v>18</v>
      </c>
      <c r="C179">
        <f>IFERROR(INDEX(Scores!$BM$2:$BM$158,MATCH($B179,Scores!$BM$2:$BM$158,0)),"")</f>
        <v/>
      </c>
      <c r="D179">
        <f>IFERROR(INDEX(Scores!$B$2:$B$158,MATCH($B179,Scores!$BM$2:$BM$158,0)),"")</f>
        <v/>
      </c>
      <c r="E179">
        <f>IFERROR(INDEX(Scores!$C$2:$C$158,MATCH($B179,Scores!$BM$2:$BM$158,0)),"")</f>
        <v/>
      </c>
      <c r="F179">
        <f>IFERROR(INDEX(Scores!$D$2:$D$158,MATCH($B179,Scores!$BM$2:$BM$158,0)),"")</f>
        <v/>
      </c>
      <c r="G179">
        <f>IFERROR(INDEX(Scores!$E$2:$E$158,MATCH($B179,Scores!$BM$2:$BM$158,0)),"")</f>
        <v/>
      </c>
      <c r="H179">
        <f>IFERROR(INDEX(Scores!$BJ$2:$BJ$158,MATCH($B179,Scores!$BM$2:$BM$158,0)),"")</f>
        <v/>
      </c>
      <c r="I179">
        <f>IFERROR(INDEX(Scores!$BL$2:$BL$158,MATCH($B179,Scores!$BM$2:$BM$158,0)),"")</f>
        <v/>
      </c>
      <c r="J179">
        <f>IFERROR(INDEX(Scores!$Q$2:$Q$158,MATCH($B179,Scores!$BM$2:$BM$158,0)),"")</f>
        <v/>
      </c>
      <c r="K179">
        <f>IFERROR(INDEX(Scores!$AE$2:$AE$158,MATCH($B179,Scores!$BM$2:$BM$158,0)),"")</f>
        <v/>
      </c>
      <c r="L179">
        <f>IFERROR(INDEX(Scores!$AM$2:$AM$158,MATCH($B179,Scores!$BM$2:$BM$158,0)),"")</f>
        <v/>
      </c>
      <c r="M179">
        <f>IFERROR(INDEX(Scores!$AW$2:$AW$158,MATCH($B179,Scores!$BM$2:$BM$158,0)),"")</f>
        <v/>
      </c>
      <c r="N179">
        <f>IFERROR(INDEX(Scores!$BG$2:$BG$158,MATCH($B179,Scores!$BM$2:$BM$158,0)),"")</f>
        <v/>
      </c>
    </row>
    <row r="180">
      <c r="A180" t="inlineStr">
        <is>
          <t>Top 50</t>
        </is>
      </c>
      <c r="B180" t="n">
        <v>19</v>
      </c>
      <c r="C180">
        <f>IFERROR(INDEX(Scores!$BM$2:$BM$158,MATCH($B180,Scores!$BM$2:$BM$158,0)),"")</f>
        <v/>
      </c>
      <c r="D180">
        <f>IFERROR(INDEX(Scores!$B$2:$B$158,MATCH($B180,Scores!$BM$2:$BM$158,0)),"")</f>
        <v/>
      </c>
      <c r="E180">
        <f>IFERROR(INDEX(Scores!$C$2:$C$158,MATCH($B180,Scores!$BM$2:$BM$158,0)),"")</f>
        <v/>
      </c>
      <c r="F180">
        <f>IFERROR(INDEX(Scores!$D$2:$D$158,MATCH($B180,Scores!$BM$2:$BM$158,0)),"")</f>
        <v/>
      </c>
      <c r="G180">
        <f>IFERROR(INDEX(Scores!$E$2:$E$158,MATCH($B180,Scores!$BM$2:$BM$158,0)),"")</f>
        <v/>
      </c>
      <c r="H180">
        <f>IFERROR(INDEX(Scores!$BJ$2:$BJ$158,MATCH($B180,Scores!$BM$2:$BM$158,0)),"")</f>
        <v/>
      </c>
      <c r="I180">
        <f>IFERROR(INDEX(Scores!$BL$2:$BL$158,MATCH($B180,Scores!$BM$2:$BM$158,0)),"")</f>
        <v/>
      </c>
      <c r="J180">
        <f>IFERROR(INDEX(Scores!$Q$2:$Q$158,MATCH($B180,Scores!$BM$2:$BM$158,0)),"")</f>
        <v/>
      </c>
      <c r="K180">
        <f>IFERROR(INDEX(Scores!$AE$2:$AE$158,MATCH($B180,Scores!$BM$2:$BM$158,0)),"")</f>
        <v/>
      </c>
      <c r="L180">
        <f>IFERROR(INDEX(Scores!$AM$2:$AM$158,MATCH($B180,Scores!$BM$2:$BM$158,0)),"")</f>
        <v/>
      </c>
      <c r="M180">
        <f>IFERROR(INDEX(Scores!$AW$2:$AW$158,MATCH($B180,Scores!$BM$2:$BM$158,0)),"")</f>
        <v/>
      </c>
      <c r="N180">
        <f>IFERROR(INDEX(Scores!$BG$2:$BG$158,MATCH($B180,Scores!$BM$2:$BM$158,0)),"")</f>
        <v/>
      </c>
    </row>
    <row r="181">
      <c r="A181" t="inlineStr">
        <is>
          <t>Top 50</t>
        </is>
      </c>
      <c r="B181" t="n">
        <v>20</v>
      </c>
      <c r="C181">
        <f>IFERROR(INDEX(Scores!$BM$2:$BM$158,MATCH($B181,Scores!$BM$2:$BM$158,0)),"")</f>
        <v/>
      </c>
      <c r="D181">
        <f>IFERROR(INDEX(Scores!$B$2:$B$158,MATCH($B181,Scores!$BM$2:$BM$158,0)),"")</f>
        <v/>
      </c>
      <c r="E181">
        <f>IFERROR(INDEX(Scores!$C$2:$C$158,MATCH($B181,Scores!$BM$2:$BM$158,0)),"")</f>
        <v/>
      </c>
      <c r="F181">
        <f>IFERROR(INDEX(Scores!$D$2:$D$158,MATCH($B181,Scores!$BM$2:$BM$158,0)),"")</f>
        <v/>
      </c>
      <c r="G181">
        <f>IFERROR(INDEX(Scores!$E$2:$E$158,MATCH($B181,Scores!$BM$2:$BM$158,0)),"")</f>
        <v/>
      </c>
      <c r="H181">
        <f>IFERROR(INDEX(Scores!$BJ$2:$BJ$158,MATCH($B181,Scores!$BM$2:$BM$158,0)),"")</f>
        <v/>
      </c>
      <c r="I181">
        <f>IFERROR(INDEX(Scores!$BL$2:$BL$158,MATCH($B181,Scores!$BM$2:$BM$158,0)),"")</f>
        <v/>
      </c>
      <c r="J181">
        <f>IFERROR(INDEX(Scores!$Q$2:$Q$158,MATCH($B181,Scores!$BM$2:$BM$158,0)),"")</f>
        <v/>
      </c>
      <c r="K181">
        <f>IFERROR(INDEX(Scores!$AE$2:$AE$158,MATCH($B181,Scores!$BM$2:$BM$158,0)),"")</f>
        <v/>
      </c>
      <c r="L181">
        <f>IFERROR(INDEX(Scores!$AM$2:$AM$158,MATCH($B181,Scores!$BM$2:$BM$158,0)),"")</f>
        <v/>
      </c>
      <c r="M181">
        <f>IFERROR(INDEX(Scores!$AW$2:$AW$158,MATCH($B181,Scores!$BM$2:$BM$158,0)),"")</f>
        <v/>
      </c>
      <c r="N181">
        <f>IFERROR(INDEX(Scores!$BG$2:$BG$158,MATCH($B181,Scores!$BM$2:$BM$158,0)),"")</f>
        <v/>
      </c>
    </row>
    <row r="182">
      <c r="A182" t="inlineStr">
        <is>
          <t>Top 50</t>
        </is>
      </c>
      <c r="B182" t="n">
        <v>21</v>
      </c>
      <c r="C182">
        <f>IFERROR(INDEX(Scores!$BM$2:$BM$158,MATCH($B182,Scores!$BM$2:$BM$158,0)),"")</f>
        <v/>
      </c>
      <c r="D182">
        <f>IFERROR(INDEX(Scores!$B$2:$B$158,MATCH($B182,Scores!$BM$2:$BM$158,0)),"")</f>
        <v/>
      </c>
      <c r="E182">
        <f>IFERROR(INDEX(Scores!$C$2:$C$158,MATCH($B182,Scores!$BM$2:$BM$158,0)),"")</f>
        <v/>
      </c>
      <c r="F182">
        <f>IFERROR(INDEX(Scores!$D$2:$D$158,MATCH($B182,Scores!$BM$2:$BM$158,0)),"")</f>
        <v/>
      </c>
      <c r="G182">
        <f>IFERROR(INDEX(Scores!$E$2:$E$158,MATCH($B182,Scores!$BM$2:$BM$158,0)),"")</f>
        <v/>
      </c>
      <c r="H182">
        <f>IFERROR(INDEX(Scores!$BJ$2:$BJ$158,MATCH($B182,Scores!$BM$2:$BM$158,0)),"")</f>
        <v/>
      </c>
      <c r="I182">
        <f>IFERROR(INDEX(Scores!$BL$2:$BL$158,MATCH($B182,Scores!$BM$2:$BM$158,0)),"")</f>
        <v/>
      </c>
      <c r="J182">
        <f>IFERROR(INDEX(Scores!$Q$2:$Q$158,MATCH($B182,Scores!$BM$2:$BM$158,0)),"")</f>
        <v/>
      </c>
      <c r="K182">
        <f>IFERROR(INDEX(Scores!$AE$2:$AE$158,MATCH($B182,Scores!$BM$2:$BM$158,0)),"")</f>
        <v/>
      </c>
      <c r="L182">
        <f>IFERROR(INDEX(Scores!$AM$2:$AM$158,MATCH($B182,Scores!$BM$2:$BM$158,0)),"")</f>
        <v/>
      </c>
      <c r="M182">
        <f>IFERROR(INDEX(Scores!$AW$2:$AW$158,MATCH($B182,Scores!$BM$2:$BM$158,0)),"")</f>
        <v/>
      </c>
      <c r="N182">
        <f>IFERROR(INDEX(Scores!$BG$2:$BG$158,MATCH($B182,Scores!$BM$2:$BM$158,0)),"")</f>
        <v/>
      </c>
    </row>
    <row r="183">
      <c r="A183" t="inlineStr">
        <is>
          <t>Top 50</t>
        </is>
      </c>
      <c r="B183" t="n">
        <v>22</v>
      </c>
      <c r="C183">
        <f>IFERROR(INDEX(Scores!$BM$2:$BM$158,MATCH($B183,Scores!$BM$2:$BM$158,0)),"")</f>
        <v/>
      </c>
      <c r="D183">
        <f>IFERROR(INDEX(Scores!$B$2:$B$158,MATCH($B183,Scores!$BM$2:$BM$158,0)),"")</f>
        <v/>
      </c>
      <c r="E183">
        <f>IFERROR(INDEX(Scores!$C$2:$C$158,MATCH($B183,Scores!$BM$2:$BM$158,0)),"")</f>
        <v/>
      </c>
      <c r="F183">
        <f>IFERROR(INDEX(Scores!$D$2:$D$158,MATCH($B183,Scores!$BM$2:$BM$158,0)),"")</f>
        <v/>
      </c>
      <c r="G183">
        <f>IFERROR(INDEX(Scores!$E$2:$E$158,MATCH($B183,Scores!$BM$2:$BM$158,0)),"")</f>
        <v/>
      </c>
      <c r="H183">
        <f>IFERROR(INDEX(Scores!$BJ$2:$BJ$158,MATCH($B183,Scores!$BM$2:$BM$158,0)),"")</f>
        <v/>
      </c>
      <c r="I183">
        <f>IFERROR(INDEX(Scores!$BL$2:$BL$158,MATCH($B183,Scores!$BM$2:$BM$158,0)),"")</f>
        <v/>
      </c>
      <c r="J183">
        <f>IFERROR(INDEX(Scores!$Q$2:$Q$158,MATCH($B183,Scores!$BM$2:$BM$158,0)),"")</f>
        <v/>
      </c>
      <c r="K183">
        <f>IFERROR(INDEX(Scores!$AE$2:$AE$158,MATCH($B183,Scores!$BM$2:$BM$158,0)),"")</f>
        <v/>
      </c>
      <c r="L183">
        <f>IFERROR(INDEX(Scores!$AM$2:$AM$158,MATCH($B183,Scores!$BM$2:$BM$158,0)),"")</f>
        <v/>
      </c>
      <c r="M183">
        <f>IFERROR(INDEX(Scores!$AW$2:$AW$158,MATCH($B183,Scores!$BM$2:$BM$158,0)),"")</f>
        <v/>
      </c>
      <c r="N183">
        <f>IFERROR(INDEX(Scores!$BG$2:$BG$158,MATCH($B183,Scores!$BM$2:$BM$158,0)),"")</f>
        <v/>
      </c>
    </row>
    <row r="184">
      <c r="A184" t="inlineStr">
        <is>
          <t>Top 50</t>
        </is>
      </c>
      <c r="B184" t="n">
        <v>23</v>
      </c>
      <c r="C184">
        <f>IFERROR(INDEX(Scores!$BM$2:$BM$158,MATCH($B184,Scores!$BM$2:$BM$158,0)),"")</f>
        <v/>
      </c>
      <c r="D184">
        <f>IFERROR(INDEX(Scores!$B$2:$B$158,MATCH($B184,Scores!$BM$2:$BM$158,0)),"")</f>
        <v/>
      </c>
      <c r="E184">
        <f>IFERROR(INDEX(Scores!$C$2:$C$158,MATCH($B184,Scores!$BM$2:$BM$158,0)),"")</f>
        <v/>
      </c>
      <c r="F184">
        <f>IFERROR(INDEX(Scores!$D$2:$D$158,MATCH($B184,Scores!$BM$2:$BM$158,0)),"")</f>
        <v/>
      </c>
      <c r="G184">
        <f>IFERROR(INDEX(Scores!$E$2:$E$158,MATCH($B184,Scores!$BM$2:$BM$158,0)),"")</f>
        <v/>
      </c>
      <c r="H184">
        <f>IFERROR(INDEX(Scores!$BJ$2:$BJ$158,MATCH($B184,Scores!$BM$2:$BM$158,0)),"")</f>
        <v/>
      </c>
      <c r="I184">
        <f>IFERROR(INDEX(Scores!$BL$2:$BL$158,MATCH($B184,Scores!$BM$2:$BM$158,0)),"")</f>
        <v/>
      </c>
      <c r="J184">
        <f>IFERROR(INDEX(Scores!$Q$2:$Q$158,MATCH($B184,Scores!$BM$2:$BM$158,0)),"")</f>
        <v/>
      </c>
      <c r="K184">
        <f>IFERROR(INDEX(Scores!$AE$2:$AE$158,MATCH($B184,Scores!$BM$2:$BM$158,0)),"")</f>
        <v/>
      </c>
      <c r="L184">
        <f>IFERROR(INDEX(Scores!$AM$2:$AM$158,MATCH($B184,Scores!$BM$2:$BM$158,0)),"")</f>
        <v/>
      </c>
      <c r="M184">
        <f>IFERROR(INDEX(Scores!$AW$2:$AW$158,MATCH($B184,Scores!$BM$2:$BM$158,0)),"")</f>
        <v/>
      </c>
      <c r="N184">
        <f>IFERROR(INDEX(Scores!$BG$2:$BG$158,MATCH($B184,Scores!$BM$2:$BM$158,0)),"")</f>
        <v/>
      </c>
    </row>
    <row r="185">
      <c r="A185" t="inlineStr">
        <is>
          <t>Top 50</t>
        </is>
      </c>
      <c r="B185" t="n">
        <v>24</v>
      </c>
      <c r="C185">
        <f>IFERROR(INDEX(Scores!$BM$2:$BM$158,MATCH($B185,Scores!$BM$2:$BM$158,0)),"")</f>
        <v/>
      </c>
      <c r="D185">
        <f>IFERROR(INDEX(Scores!$B$2:$B$158,MATCH($B185,Scores!$BM$2:$BM$158,0)),"")</f>
        <v/>
      </c>
      <c r="E185">
        <f>IFERROR(INDEX(Scores!$C$2:$C$158,MATCH($B185,Scores!$BM$2:$BM$158,0)),"")</f>
        <v/>
      </c>
      <c r="F185">
        <f>IFERROR(INDEX(Scores!$D$2:$D$158,MATCH($B185,Scores!$BM$2:$BM$158,0)),"")</f>
        <v/>
      </c>
      <c r="G185">
        <f>IFERROR(INDEX(Scores!$E$2:$E$158,MATCH($B185,Scores!$BM$2:$BM$158,0)),"")</f>
        <v/>
      </c>
      <c r="H185">
        <f>IFERROR(INDEX(Scores!$BJ$2:$BJ$158,MATCH($B185,Scores!$BM$2:$BM$158,0)),"")</f>
        <v/>
      </c>
      <c r="I185">
        <f>IFERROR(INDEX(Scores!$BL$2:$BL$158,MATCH($B185,Scores!$BM$2:$BM$158,0)),"")</f>
        <v/>
      </c>
      <c r="J185">
        <f>IFERROR(INDEX(Scores!$Q$2:$Q$158,MATCH($B185,Scores!$BM$2:$BM$158,0)),"")</f>
        <v/>
      </c>
      <c r="K185">
        <f>IFERROR(INDEX(Scores!$AE$2:$AE$158,MATCH($B185,Scores!$BM$2:$BM$158,0)),"")</f>
        <v/>
      </c>
      <c r="L185">
        <f>IFERROR(INDEX(Scores!$AM$2:$AM$158,MATCH($B185,Scores!$BM$2:$BM$158,0)),"")</f>
        <v/>
      </c>
      <c r="M185">
        <f>IFERROR(INDEX(Scores!$AW$2:$AW$158,MATCH($B185,Scores!$BM$2:$BM$158,0)),"")</f>
        <v/>
      </c>
      <c r="N185">
        <f>IFERROR(INDEX(Scores!$BG$2:$BG$158,MATCH($B185,Scores!$BM$2:$BM$158,0)),"")</f>
        <v/>
      </c>
    </row>
    <row r="186">
      <c r="A186" t="inlineStr">
        <is>
          <t>Top 50</t>
        </is>
      </c>
      <c r="B186" t="n">
        <v>25</v>
      </c>
      <c r="C186">
        <f>IFERROR(INDEX(Scores!$BM$2:$BM$158,MATCH($B186,Scores!$BM$2:$BM$158,0)),"")</f>
        <v/>
      </c>
      <c r="D186">
        <f>IFERROR(INDEX(Scores!$B$2:$B$158,MATCH($B186,Scores!$BM$2:$BM$158,0)),"")</f>
        <v/>
      </c>
      <c r="E186">
        <f>IFERROR(INDEX(Scores!$C$2:$C$158,MATCH($B186,Scores!$BM$2:$BM$158,0)),"")</f>
        <v/>
      </c>
      <c r="F186">
        <f>IFERROR(INDEX(Scores!$D$2:$D$158,MATCH($B186,Scores!$BM$2:$BM$158,0)),"")</f>
        <v/>
      </c>
      <c r="G186">
        <f>IFERROR(INDEX(Scores!$E$2:$E$158,MATCH($B186,Scores!$BM$2:$BM$158,0)),"")</f>
        <v/>
      </c>
      <c r="H186">
        <f>IFERROR(INDEX(Scores!$BJ$2:$BJ$158,MATCH($B186,Scores!$BM$2:$BM$158,0)),"")</f>
        <v/>
      </c>
      <c r="I186">
        <f>IFERROR(INDEX(Scores!$BL$2:$BL$158,MATCH($B186,Scores!$BM$2:$BM$158,0)),"")</f>
        <v/>
      </c>
      <c r="J186">
        <f>IFERROR(INDEX(Scores!$Q$2:$Q$158,MATCH($B186,Scores!$BM$2:$BM$158,0)),"")</f>
        <v/>
      </c>
      <c r="K186">
        <f>IFERROR(INDEX(Scores!$AE$2:$AE$158,MATCH($B186,Scores!$BM$2:$BM$158,0)),"")</f>
        <v/>
      </c>
      <c r="L186">
        <f>IFERROR(INDEX(Scores!$AM$2:$AM$158,MATCH($B186,Scores!$BM$2:$BM$158,0)),"")</f>
        <v/>
      </c>
      <c r="M186">
        <f>IFERROR(INDEX(Scores!$AW$2:$AW$158,MATCH($B186,Scores!$BM$2:$BM$158,0)),"")</f>
        <v/>
      </c>
      <c r="N186">
        <f>IFERROR(INDEX(Scores!$BG$2:$BG$158,MATCH($B186,Scores!$BM$2:$BM$158,0)),"")</f>
        <v/>
      </c>
    </row>
    <row r="187">
      <c r="A187" t="inlineStr">
        <is>
          <t>Top 50</t>
        </is>
      </c>
      <c r="B187" t="n">
        <v>26</v>
      </c>
      <c r="C187">
        <f>IFERROR(INDEX(Scores!$BM$2:$BM$158,MATCH($B187,Scores!$BM$2:$BM$158,0)),"")</f>
        <v/>
      </c>
      <c r="D187">
        <f>IFERROR(INDEX(Scores!$B$2:$B$158,MATCH($B187,Scores!$BM$2:$BM$158,0)),"")</f>
        <v/>
      </c>
      <c r="E187">
        <f>IFERROR(INDEX(Scores!$C$2:$C$158,MATCH($B187,Scores!$BM$2:$BM$158,0)),"")</f>
        <v/>
      </c>
      <c r="F187">
        <f>IFERROR(INDEX(Scores!$D$2:$D$158,MATCH($B187,Scores!$BM$2:$BM$158,0)),"")</f>
        <v/>
      </c>
      <c r="G187">
        <f>IFERROR(INDEX(Scores!$E$2:$E$158,MATCH($B187,Scores!$BM$2:$BM$158,0)),"")</f>
        <v/>
      </c>
      <c r="H187">
        <f>IFERROR(INDEX(Scores!$BJ$2:$BJ$158,MATCH($B187,Scores!$BM$2:$BM$158,0)),"")</f>
        <v/>
      </c>
      <c r="I187">
        <f>IFERROR(INDEX(Scores!$BL$2:$BL$158,MATCH($B187,Scores!$BM$2:$BM$158,0)),"")</f>
        <v/>
      </c>
      <c r="J187">
        <f>IFERROR(INDEX(Scores!$Q$2:$Q$158,MATCH($B187,Scores!$BM$2:$BM$158,0)),"")</f>
        <v/>
      </c>
      <c r="K187">
        <f>IFERROR(INDEX(Scores!$AE$2:$AE$158,MATCH($B187,Scores!$BM$2:$BM$158,0)),"")</f>
        <v/>
      </c>
      <c r="L187">
        <f>IFERROR(INDEX(Scores!$AM$2:$AM$158,MATCH($B187,Scores!$BM$2:$BM$158,0)),"")</f>
        <v/>
      </c>
      <c r="M187">
        <f>IFERROR(INDEX(Scores!$AW$2:$AW$158,MATCH($B187,Scores!$BM$2:$BM$158,0)),"")</f>
        <v/>
      </c>
      <c r="N187">
        <f>IFERROR(INDEX(Scores!$BG$2:$BG$158,MATCH($B187,Scores!$BM$2:$BM$158,0)),"")</f>
        <v/>
      </c>
    </row>
    <row r="188">
      <c r="A188" t="inlineStr">
        <is>
          <t>Top 50</t>
        </is>
      </c>
      <c r="B188" t="n">
        <v>27</v>
      </c>
      <c r="C188">
        <f>IFERROR(INDEX(Scores!$BM$2:$BM$158,MATCH($B188,Scores!$BM$2:$BM$158,0)),"")</f>
        <v/>
      </c>
      <c r="D188">
        <f>IFERROR(INDEX(Scores!$B$2:$B$158,MATCH($B188,Scores!$BM$2:$BM$158,0)),"")</f>
        <v/>
      </c>
      <c r="E188">
        <f>IFERROR(INDEX(Scores!$C$2:$C$158,MATCH($B188,Scores!$BM$2:$BM$158,0)),"")</f>
        <v/>
      </c>
      <c r="F188">
        <f>IFERROR(INDEX(Scores!$D$2:$D$158,MATCH($B188,Scores!$BM$2:$BM$158,0)),"")</f>
        <v/>
      </c>
      <c r="G188">
        <f>IFERROR(INDEX(Scores!$E$2:$E$158,MATCH($B188,Scores!$BM$2:$BM$158,0)),"")</f>
        <v/>
      </c>
      <c r="H188">
        <f>IFERROR(INDEX(Scores!$BJ$2:$BJ$158,MATCH($B188,Scores!$BM$2:$BM$158,0)),"")</f>
        <v/>
      </c>
      <c r="I188">
        <f>IFERROR(INDEX(Scores!$BL$2:$BL$158,MATCH($B188,Scores!$BM$2:$BM$158,0)),"")</f>
        <v/>
      </c>
      <c r="J188">
        <f>IFERROR(INDEX(Scores!$Q$2:$Q$158,MATCH($B188,Scores!$BM$2:$BM$158,0)),"")</f>
        <v/>
      </c>
      <c r="K188">
        <f>IFERROR(INDEX(Scores!$AE$2:$AE$158,MATCH($B188,Scores!$BM$2:$BM$158,0)),"")</f>
        <v/>
      </c>
      <c r="L188">
        <f>IFERROR(INDEX(Scores!$AM$2:$AM$158,MATCH($B188,Scores!$BM$2:$BM$158,0)),"")</f>
        <v/>
      </c>
      <c r="M188">
        <f>IFERROR(INDEX(Scores!$AW$2:$AW$158,MATCH($B188,Scores!$BM$2:$BM$158,0)),"")</f>
        <v/>
      </c>
      <c r="N188">
        <f>IFERROR(INDEX(Scores!$BG$2:$BG$158,MATCH($B188,Scores!$BM$2:$BM$158,0)),"")</f>
        <v/>
      </c>
    </row>
    <row r="189">
      <c r="A189" t="inlineStr">
        <is>
          <t>Top 50</t>
        </is>
      </c>
      <c r="B189" t="n">
        <v>28</v>
      </c>
      <c r="C189">
        <f>IFERROR(INDEX(Scores!$BM$2:$BM$158,MATCH($B189,Scores!$BM$2:$BM$158,0)),"")</f>
        <v/>
      </c>
      <c r="D189">
        <f>IFERROR(INDEX(Scores!$B$2:$B$158,MATCH($B189,Scores!$BM$2:$BM$158,0)),"")</f>
        <v/>
      </c>
      <c r="E189">
        <f>IFERROR(INDEX(Scores!$C$2:$C$158,MATCH($B189,Scores!$BM$2:$BM$158,0)),"")</f>
        <v/>
      </c>
      <c r="F189">
        <f>IFERROR(INDEX(Scores!$D$2:$D$158,MATCH($B189,Scores!$BM$2:$BM$158,0)),"")</f>
        <v/>
      </c>
      <c r="G189">
        <f>IFERROR(INDEX(Scores!$E$2:$E$158,MATCH($B189,Scores!$BM$2:$BM$158,0)),"")</f>
        <v/>
      </c>
      <c r="H189">
        <f>IFERROR(INDEX(Scores!$BJ$2:$BJ$158,MATCH($B189,Scores!$BM$2:$BM$158,0)),"")</f>
        <v/>
      </c>
      <c r="I189">
        <f>IFERROR(INDEX(Scores!$BL$2:$BL$158,MATCH($B189,Scores!$BM$2:$BM$158,0)),"")</f>
        <v/>
      </c>
      <c r="J189">
        <f>IFERROR(INDEX(Scores!$Q$2:$Q$158,MATCH($B189,Scores!$BM$2:$BM$158,0)),"")</f>
        <v/>
      </c>
      <c r="K189">
        <f>IFERROR(INDEX(Scores!$AE$2:$AE$158,MATCH($B189,Scores!$BM$2:$BM$158,0)),"")</f>
        <v/>
      </c>
      <c r="L189">
        <f>IFERROR(INDEX(Scores!$AM$2:$AM$158,MATCH($B189,Scores!$BM$2:$BM$158,0)),"")</f>
        <v/>
      </c>
      <c r="M189">
        <f>IFERROR(INDEX(Scores!$AW$2:$AW$158,MATCH($B189,Scores!$BM$2:$BM$158,0)),"")</f>
        <v/>
      </c>
      <c r="N189">
        <f>IFERROR(INDEX(Scores!$BG$2:$BG$158,MATCH($B189,Scores!$BM$2:$BM$158,0)),"")</f>
        <v/>
      </c>
    </row>
    <row r="190">
      <c r="A190" t="inlineStr">
        <is>
          <t>Top 50</t>
        </is>
      </c>
      <c r="B190" t="n">
        <v>29</v>
      </c>
      <c r="C190">
        <f>IFERROR(INDEX(Scores!$BM$2:$BM$158,MATCH($B190,Scores!$BM$2:$BM$158,0)),"")</f>
        <v/>
      </c>
      <c r="D190">
        <f>IFERROR(INDEX(Scores!$B$2:$B$158,MATCH($B190,Scores!$BM$2:$BM$158,0)),"")</f>
        <v/>
      </c>
      <c r="E190">
        <f>IFERROR(INDEX(Scores!$C$2:$C$158,MATCH($B190,Scores!$BM$2:$BM$158,0)),"")</f>
        <v/>
      </c>
      <c r="F190">
        <f>IFERROR(INDEX(Scores!$D$2:$D$158,MATCH($B190,Scores!$BM$2:$BM$158,0)),"")</f>
        <v/>
      </c>
      <c r="G190">
        <f>IFERROR(INDEX(Scores!$E$2:$E$158,MATCH($B190,Scores!$BM$2:$BM$158,0)),"")</f>
        <v/>
      </c>
      <c r="H190">
        <f>IFERROR(INDEX(Scores!$BJ$2:$BJ$158,MATCH($B190,Scores!$BM$2:$BM$158,0)),"")</f>
        <v/>
      </c>
      <c r="I190">
        <f>IFERROR(INDEX(Scores!$BL$2:$BL$158,MATCH($B190,Scores!$BM$2:$BM$158,0)),"")</f>
        <v/>
      </c>
      <c r="J190">
        <f>IFERROR(INDEX(Scores!$Q$2:$Q$158,MATCH($B190,Scores!$BM$2:$BM$158,0)),"")</f>
        <v/>
      </c>
      <c r="K190">
        <f>IFERROR(INDEX(Scores!$AE$2:$AE$158,MATCH($B190,Scores!$BM$2:$BM$158,0)),"")</f>
        <v/>
      </c>
      <c r="L190">
        <f>IFERROR(INDEX(Scores!$AM$2:$AM$158,MATCH($B190,Scores!$BM$2:$BM$158,0)),"")</f>
        <v/>
      </c>
      <c r="M190">
        <f>IFERROR(INDEX(Scores!$AW$2:$AW$158,MATCH($B190,Scores!$BM$2:$BM$158,0)),"")</f>
        <v/>
      </c>
      <c r="N190">
        <f>IFERROR(INDEX(Scores!$BG$2:$BG$158,MATCH($B190,Scores!$BM$2:$BM$158,0)),"")</f>
        <v/>
      </c>
    </row>
    <row r="191">
      <c r="A191" t="inlineStr">
        <is>
          <t>Top 50</t>
        </is>
      </c>
      <c r="B191" t="n">
        <v>30</v>
      </c>
      <c r="C191">
        <f>IFERROR(INDEX(Scores!$BM$2:$BM$158,MATCH($B191,Scores!$BM$2:$BM$158,0)),"")</f>
        <v/>
      </c>
      <c r="D191">
        <f>IFERROR(INDEX(Scores!$B$2:$B$158,MATCH($B191,Scores!$BM$2:$BM$158,0)),"")</f>
        <v/>
      </c>
      <c r="E191">
        <f>IFERROR(INDEX(Scores!$C$2:$C$158,MATCH($B191,Scores!$BM$2:$BM$158,0)),"")</f>
        <v/>
      </c>
      <c r="F191">
        <f>IFERROR(INDEX(Scores!$D$2:$D$158,MATCH($B191,Scores!$BM$2:$BM$158,0)),"")</f>
        <v/>
      </c>
      <c r="G191">
        <f>IFERROR(INDEX(Scores!$E$2:$E$158,MATCH($B191,Scores!$BM$2:$BM$158,0)),"")</f>
        <v/>
      </c>
      <c r="H191">
        <f>IFERROR(INDEX(Scores!$BJ$2:$BJ$158,MATCH($B191,Scores!$BM$2:$BM$158,0)),"")</f>
        <v/>
      </c>
      <c r="I191">
        <f>IFERROR(INDEX(Scores!$BL$2:$BL$158,MATCH($B191,Scores!$BM$2:$BM$158,0)),"")</f>
        <v/>
      </c>
      <c r="J191">
        <f>IFERROR(INDEX(Scores!$Q$2:$Q$158,MATCH($B191,Scores!$BM$2:$BM$158,0)),"")</f>
        <v/>
      </c>
      <c r="K191">
        <f>IFERROR(INDEX(Scores!$AE$2:$AE$158,MATCH($B191,Scores!$BM$2:$BM$158,0)),"")</f>
        <v/>
      </c>
      <c r="L191">
        <f>IFERROR(INDEX(Scores!$AM$2:$AM$158,MATCH($B191,Scores!$BM$2:$BM$158,0)),"")</f>
        <v/>
      </c>
      <c r="M191">
        <f>IFERROR(INDEX(Scores!$AW$2:$AW$158,MATCH($B191,Scores!$BM$2:$BM$158,0)),"")</f>
        <v/>
      </c>
      <c r="N191">
        <f>IFERROR(INDEX(Scores!$BG$2:$BG$158,MATCH($B191,Scores!$BM$2:$BM$158,0)),"")</f>
        <v/>
      </c>
    </row>
    <row r="192">
      <c r="A192" t="inlineStr">
        <is>
          <t>Top 50</t>
        </is>
      </c>
      <c r="B192" t="n">
        <v>31</v>
      </c>
      <c r="C192">
        <f>IFERROR(INDEX(Scores!$BM$2:$BM$158,MATCH($B192,Scores!$BM$2:$BM$158,0)),"")</f>
        <v/>
      </c>
      <c r="D192">
        <f>IFERROR(INDEX(Scores!$B$2:$B$158,MATCH($B192,Scores!$BM$2:$BM$158,0)),"")</f>
        <v/>
      </c>
      <c r="E192">
        <f>IFERROR(INDEX(Scores!$C$2:$C$158,MATCH($B192,Scores!$BM$2:$BM$158,0)),"")</f>
        <v/>
      </c>
      <c r="F192">
        <f>IFERROR(INDEX(Scores!$D$2:$D$158,MATCH($B192,Scores!$BM$2:$BM$158,0)),"")</f>
        <v/>
      </c>
      <c r="G192">
        <f>IFERROR(INDEX(Scores!$E$2:$E$158,MATCH($B192,Scores!$BM$2:$BM$158,0)),"")</f>
        <v/>
      </c>
      <c r="H192">
        <f>IFERROR(INDEX(Scores!$BJ$2:$BJ$158,MATCH($B192,Scores!$BM$2:$BM$158,0)),"")</f>
        <v/>
      </c>
      <c r="I192">
        <f>IFERROR(INDEX(Scores!$BL$2:$BL$158,MATCH($B192,Scores!$BM$2:$BM$158,0)),"")</f>
        <v/>
      </c>
      <c r="J192">
        <f>IFERROR(INDEX(Scores!$Q$2:$Q$158,MATCH($B192,Scores!$BM$2:$BM$158,0)),"")</f>
        <v/>
      </c>
      <c r="K192">
        <f>IFERROR(INDEX(Scores!$AE$2:$AE$158,MATCH($B192,Scores!$BM$2:$BM$158,0)),"")</f>
        <v/>
      </c>
      <c r="L192">
        <f>IFERROR(INDEX(Scores!$AM$2:$AM$158,MATCH($B192,Scores!$BM$2:$BM$158,0)),"")</f>
        <v/>
      </c>
      <c r="M192">
        <f>IFERROR(INDEX(Scores!$AW$2:$AW$158,MATCH($B192,Scores!$BM$2:$BM$158,0)),"")</f>
        <v/>
      </c>
      <c r="N192">
        <f>IFERROR(INDEX(Scores!$BG$2:$BG$158,MATCH($B192,Scores!$BM$2:$BM$158,0)),"")</f>
        <v/>
      </c>
    </row>
    <row r="193">
      <c r="A193" t="inlineStr">
        <is>
          <t>Top 50</t>
        </is>
      </c>
      <c r="B193" t="n">
        <v>32</v>
      </c>
      <c r="C193">
        <f>IFERROR(INDEX(Scores!$BM$2:$BM$158,MATCH($B193,Scores!$BM$2:$BM$158,0)),"")</f>
        <v/>
      </c>
      <c r="D193">
        <f>IFERROR(INDEX(Scores!$B$2:$B$158,MATCH($B193,Scores!$BM$2:$BM$158,0)),"")</f>
        <v/>
      </c>
      <c r="E193">
        <f>IFERROR(INDEX(Scores!$C$2:$C$158,MATCH($B193,Scores!$BM$2:$BM$158,0)),"")</f>
        <v/>
      </c>
      <c r="F193">
        <f>IFERROR(INDEX(Scores!$D$2:$D$158,MATCH($B193,Scores!$BM$2:$BM$158,0)),"")</f>
        <v/>
      </c>
      <c r="G193">
        <f>IFERROR(INDEX(Scores!$E$2:$E$158,MATCH($B193,Scores!$BM$2:$BM$158,0)),"")</f>
        <v/>
      </c>
      <c r="H193">
        <f>IFERROR(INDEX(Scores!$BJ$2:$BJ$158,MATCH($B193,Scores!$BM$2:$BM$158,0)),"")</f>
        <v/>
      </c>
      <c r="I193">
        <f>IFERROR(INDEX(Scores!$BL$2:$BL$158,MATCH($B193,Scores!$BM$2:$BM$158,0)),"")</f>
        <v/>
      </c>
      <c r="J193">
        <f>IFERROR(INDEX(Scores!$Q$2:$Q$158,MATCH($B193,Scores!$BM$2:$BM$158,0)),"")</f>
        <v/>
      </c>
      <c r="K193">
        <f>IFERROR(INDEX(Scores!$AE$2:$AE$158,MATCH($B193,Scores!$BM$2:$BM$158,0)),"")</f>
        <v/>
      </c>
      <c r="L193">
        <f>IFERROR(INDEX(Scores!$AM$2:$AM$158,MATCH($B193,Scores!$BM$2:$BM$158,0)),"")</f>
        <v/>
      </c>
      <c r="M193">
        <f>IFERROR(INDEX(Scores!$AW$2:$AW$158,MATCH($B193,Scores!$BM$2:$BM$158,0)),"")</f>
        <v/>
      </c>
      <c r="N193">
        <f>IFERROR(INDEX(Scores!$BG$2:$BG$158,MATCH($B193,Scores!$BM$2:$BM$158,0)),"")</f>
        <v/>
      </c>
    </row>
    <row r="194">
      <c r="A194" t="inlineStr">
        <is>
          <t>Top 50</t>
        </is>
      </c>
      <c r="B194" t="n">
        <v>33</v>
      </c>
      <c r="C194">
        <f>IFERROR(INDEX(Scores!$BM$2:$BM$158,MATCH($B194,Scores!$BM$2:$BM$158,0)),"")</f>
        <v/>
      </c>
      <c r="D194">
        <f>IFERROR(INDEX(Scores!$B$2:$B$158,MATCH($B194,Scores!$BM$2:$BM$158,0)),"")</f>
        <v/>
      </c>
      <c r="E194">
        <f>IFERROR(INDEX(Scores!$C$2:$C$158,MATCH($B194,Scores!$BM$2:$BM$158,0)),"")</f>
        <v/>
      </c>
      <c r="F194">
        <f>IFERROR(INDEX(Scores!$D$2:$D$158,MATCH($B194,Scores!$BM$2:$BM$158,0)),"")</f>
        <v/>
      </c>
      <c r="G194">
        <f>IFERROR(INDEX(Scores!$E$2:$E$158,MATCH($B194,Scores!$BM$2:$BM$158,0)),"")</f>
        <v/>
      </c>
      <c r="H194">
        <f>IFERROR(INDEX(Scores!$BJ$2:$BJ$158,MATCH($B194,Scores!$BM$2:$BM$158,0)),"")</f>
        <v/>
      </c>
      <c r="I194">
        <f>IFERROR(INDEX(Scores!$BL$2:$BL$158,MATCH($B194,Scores!$BM$2:$BM$158,0)),"")</f>
        <v/>
      </c>
      <c r="J194">
        <f>IFERROR(INDEX(Scores!$Q$2:$Q$158,MATCH($B194,Scores!$BM$2:$BM$158,0)),"")</f>
        <v/>
      </c>
      <c r="K194">
        <f>IFERROR(INDEX(Scores!$AE$2:$AE$158,MATCH($B194,Scores!$BM$2:$BM$158,0)),"")</f>
        <v/>
      </c>
      <c r="L194">
        <f>IFERROR(INDEX(Scores!$AM$2:$AM$158,MATCH($B194,Scores!$BM$2:$BM$158,0)),"")</f>
        <v/>
      </c>
      <c r="M194">
        <f>IFERROR(INDEX(Scores!$AW$2:$AW$158,MATCH($B194,Scores!$BM$2:$BM$158,0)),"")</f>
        <v/>
      </c>
      <c r="N194">
        <f>IFERROR(INDEX(Scores!$BG$2:$BG$158,MATCH($B194,Scores!$BM$2:$BM$158,0)),"")</f>
        <v/>
      </c>
    </row>
    <row r="195">
      <c r="A195" t="inlineStr">
        <is>
          <t>Top 50</t>
        </is>
      </c>
      <c r="B195" t="n">
        <v>34</v>
      </c>
      <c r="C195">
        <f>IFERROR(INDEX(Scores!$BM$2:$BM$158,MATCH($B195,Scores!$BM$2:$BM$158,0)),"")</f>
        <v/>
      </c>
      <c r="D195">
        <f>IFERROR(INDEX(Scores!$B$2:$B$158,MATCH($B195,Scores!$BM$2:$BM$158,0)),"")</f>
        <v/>
      </c>
      <c r="E195">
        <f>IFERROR(INDEX(Scores!$C$2:$C$158,MATCH($B195,Scores!$BM$2:$BM$158,0)),"")</f>
        <v/>
      </c>
      <c r="F195">
        <f>IFERROR(INDEX(Scores!$D$2:$D$158,MATCH($B195,Scores!$BM$2:$BM$158,0)),"")</f>
        <v/>
      </c>
      <c r="G195">
        <f>IFERROR(INDEX(Scores!$E$2:$E$158,MATCH($B195,Scores!$BM$2:$BM$158,0)),"")</f>
        <v/>
      </c>
      <c r="H195">
        <f>IFERROR(INDEX(Scores!$BJ$2:$BJ$158,MATCH($B195,Scores!$BM$2:$BM$158,0)),"")</f>
        <v/>
      </c>
      <c r="I195">
        <f>IFERROR(INDEX(Scores!$BL$2:$BL$158,MATCH($B195,Scores!$BM$2:$BM$158,0)),"")</f>
        <v/>
      </c>
      <c r="J195">
        <f>IFERROR(INDEX(Scores!$Q$2:$Q$158,MATCH($B195,Scores!$BM$2:$BM$158,0)),"")</f>
        <v/>
      </c>
      <c r="K195">
        <f>IFERROR(INDEX(Scores!$AE$2:$AE$158,MATCH($B195,Scores!$BM$2:$BM$158,0)),"")</f>
        <v/>
      </c>
      <c r="L195">
        <f>IFERROR(INDEX(Scores!$AM$2:$AM$158,MATCH($B195,Scores!$BM$2:$BM$158,0)),"")</f>
        <v/>
      </c>
      <c r="M195">
        <f>IFERROR(INDEX(Scores!$AW$2:$AW$158,MATCH($B195,Scores!$BM$2:$BM$158,0)),"")</f>
        <v/>
      </c>
      <c r="N195">
        <f>IFERROR(INDEX(Scores!$BG$2:$BG$158,MATCH($B195,Scores!$BM$2:$BM$158,0)),"")</f>
        <v/>
      </c>
    </row>
    <row r="196">
      <c r="A196" t="inlineStr">
        <is>
          <t>Top 50</t>
        </is>
      </c>
      <c r="B196" t="n">
        <v>35</v>
      </c>
      <c r="C196">
        <f>IFERROR(INDEX(Scores!$BM$2:$BM$158,MATCH($B196,Scores!$BM$2:$BM$158,0)),"")</f>
        <v/>
      </c>
      <c r="D196">
        <f>IFERROR(INDEX(Scores!$B$2:$B$158,MATCH($B196,Scores!$BM$2:$BM$158,0)),"")</f>
        <v/>
      </c>
      <c r="E196">
        <f>IFERROR(INDEX(Scores!$C$2:$C$158,MATCH($B196,Scores!$BM$2:$BM$158,0)),"")</f>
        <v/>
      </c>
      <c r="F196">
        <f>IFERROR(INDEX(Scores!$D$2:$D$158,MATCH($B196,Scores!$BM$2:$BM$158,0)),"")</f>
        <v/>
      </c>
      <c r="G196">
        <f>IFERROR(INDEX(Scores!$E$2:$E$158,MATCH($B196,Scores!$BM$2:$BM$158,0)),"")</f>
        <v/>
      </c>
      <c r="H196">
        <f>IFERROR(INDEX(Scores!$BJ$2:$BJ$158,MATCH($B196,Scores!$BM$2:$BM$158,0)),"")</f>
        <v/>
      </c>
      <c r="I196">
        <f>IFERROR(INDEX(Scores!$BL$2:$BL$158,MATCH($B196,Scores!$BM$2:$BM$158,0)),"")</f>
        <v/>
      </c>
      <c r="J196">
        <f>IFERROR(INDEX(Scores!$Q$2:$Q$158,MATCH($B196,Scores!$BM$2:$BM$158,0)),"")</f>
        <v/>
      </c>
      <c r="K196">
        <f>IFERROR(INDEX(Scores!$AE$2:$AE$158,MATCH($B196,Scores!$BM$2:$BM$158,0)),"")</f>
        <v/>
      </c>
      <c r="L196">
        <f>IFERROR(INDEX(Scores!$AM$2:$AM$158,MATCH($B196,Scores!$BM$2:$BM$158,0)),"")</f>
        <v/>
      </c>
      <c r="M196">
        <f>IFERROR(INDEX(Scores!$AW$2:$AW$158,MATCH($B196,Scores!$BM$2:$BM$158,0)),"")</f>
        <v/>
      </c>
      <c r="N196">
        <f>IFERROR(INDEX(Scores!$BG$2:$BG$158,MATCH($B196,Scores!$BM$2:$BM$158,0)),"")</f>
        <v/>
      </c>
    </row>
    <row r="197">
      <c r="A197" t="inlineStr">
        <is>
          <t>Top 50</t>
        </is>
      </c>
      <c r="B197" t="n">
        <v>36</v>
      </c>
      <c r="C197">
        <f>IFERROR(INDEX(Scores!$BM$2:$BM$158,MATCH($B197,Scores!$BM$2:$BM$158,0)),"")</f>
        <v/>
      </c>
      <c r="D197">
        <f>IFERROR(INDEX(Scores!$B$2:$B$158,MATCH($B197,Scores!$BM$2:$BM$158,0)),"")</f>
        <v/>
      </c>
      <c r="E197">
        <f>IFERROR(INDEX(Scores!$C$2:$C$158,MATCH($B197,Scores!$BM$2:$BM$158,0)),"")</f>
        <v/>
      </c>
      <c r="F197">
        <f>IFERROR(INDEX(Scores!$D$2:$D$158,MATCH($B197,Scores!$BM$2:$BM$158,0)),"")</f>
        <v/>
      </c>
      <c r="G197">
        <f>IFERROR(INDEX(Scores!$E$2:$E$158,MATCH($B197,Scores!$BM$2:$BM$158,0)),"")</f>
        <v/>
      </c>
      <c r="H197">
        <f>IFERROR(INDEX(Scores!$BJ$2:$BJ$158,MATCH($B197,Scores!$BM$2:$BM$158,0)),"")</f>
        <v/>
      </c>
      <c r="I197">
        <f>IFERROR(INDEX(Scores!$BL$2:$BL$158,MATCH($B197,Scores!$BM$2:$BM$158,0)),"")</f>
        <v/>
      </c>
      <c r="J197">
        <f>IFERROR(INDEX(Scores!$Q$2:$Q$158,MATCH($B197,Scores!$BM$2:$BM$158,0)),"")</f>
        <v/>
      </c>
      <c r="K197">
        <f>IFERROR(INDEX(Scores!$AE$2:$AE$158,MATCH($B197,Scores!$BM$2:$BM$158,0)),"")</f>
        <v/>
      </c>
      <c r="L197">
        <f>IFERROR(INDEX(Scores!$AM$2:$AM$158,MATCH($B197,Scores!$BM$2:$BM$158,0)),"")</f>
        <v/>
      </c>
      <c r="M197">
        <f>IFERROR(INDEX(Scores!$AW$2:$AW$158,MATCH($B197,Scores!$BM$2:$BM$158,0)),"")</f>
        <v/>
      </c>
      <c r="N197">
        <f>IFERROR(INDEX(Scores!$BG$2:$BG$158,MATCH($B197,Scores!$BM$2:$BM$158,0)),"")</f>
        <v/>
      </c>
    </row>
    <row r="198">
      <c r="A198" t="inlineStr">
        <is>
          <t>Top 50</t>
        </is>
      </c>
      <c r="B198" t="n">
        <v>37</v>
      </c>
      <c r="C198">
        <f>IFERROR(INDEX(Scores!$BM$2:$BM$158,MATCH($B198,Scores!$BM$2:$BM$158,0)),"")</f>
        <v/>
      </c>
      <c r="D198">
        <f>IFERROR(INDEX(Scores!$B$2:$B$158,MATCH($B198,Scores!$BM$2:$BM$158,0)),"")</f>
        <v/>
      </c>
      <c r="E198">
        <f>IFERROR(INDEX(Scores!$C$2:$C$158,MATCH($B198,Scores!$BM$2:$BM$158,0)),"")</f>
        <v/>
      </c>
      <c r="F198">
        <f>IFERROR(INDEX(Scores!$D$2:$D$158,MATCH($B198,Scores!$BM$2:$BM$158,0)),"")</f>
        <v/>
      </c>
      <c r="G198">
        <f>IFERROR(INDEX(Scores!$E$2:$E$158,MATCH($B198,Scores!$BM$2:$BM$158,0)),"")</f>
        <v/>
      </c>
      <c r="H198">
        <f>IFERROR(INDEX(Scores!$BJ$2:$BJ$158,MATCH($B198,Scores!$BM$2:$BM$158,0)),"")</f>
        <v/>
      </c>
      <c r="I198">
        <f>IFERROR(INDEX(Scores!$BL$2:$BL$158,MATCH($B198,Scores!$BM$2:$BM$158,0)),"")</f>
        <v/>
      </c>
      <c r="J198">
        <f>IFERROR(INDEX(Scores!$Q$2:$Q$158,MATCH($B198,Scores!$BM$2:$BM$158,0)),"")</f>
        <v/>
      </c>
      <c r="K198">
        <f>IFERROR(INDEX(Scores!$AE$2:$AE$158,MATCH($B198,Scores!$BM$2:$BM$158,0)),"")</f>
        <v/>
      </c>
      <c r="L198">
        <f>IFERROR(INDEX(Scores!$AM$2:$AM$158,MATCH($B198,Scores!$BM$2:$BM$158,0)),"")</f>
        <v/>
      </c>
      <c r="M198">
        <f>IFERROR(INDEX(Scores!$AW$2:$AW$158,MATCH($B198,Scores!$BM$2:$BM$158,0)),"")</f>
        <v/>
      </c>
      <c r="N198">
        <f>IFERROR(INDEX(Scores!$BG$2:$BG$158,MATCH($B198,Scores!$BM$2:$BM$158,0)),"")</f>
        <v/>
      </c>
    </row>
    <row r="199">
      <c r="A199" t="inlineStr">
        <is>
          <t>Top 50</t>
        </is>
      </c>
      <c r="B199" t="n">
        <v>38</v>
      </c>
      <c r="C199">
        <f>IFERROR(INDEX(Scores!$BM$2:$BM$158,MATCH($B199,Scores!$BM$2:$BM$158,0)),"")</f>
        <v/>
      </c>
      <c r="D199">
        <f>IFERROR(INDEX(Scores!$B$2:$B$158,MATCH($B199,Scores!$BM$2:$BM$158,0)),"")</f>
        <v/>
      </c>
      <c r="E199">
        <f>IFERROR(INDEX(Scores!$C$2:$C$158,MATCH($B199,Scores!$BM$2:$BM$158,0)),"")</f>
        <v/>
      </c>
      <c r="F199">
        <f>IFERROR(INDEX(Scores!$D$2:$D$158,MATCH($B199,Scores!$BM$2:$BM$158,0)),"")</f>
        <v/>
      </c>
      <c r="G199">
        <f>IFERROR(INDEX(Scores!$E$2:$E$158,MATCH($B199,Scores!$BM$2:$BM$158,0)),"")</f>
        <v/>
      </c>
      <c r="H199">
        <f>IFERROR(INDEX(Scores!$BJ$2:$BJ$158,MATCH($B199,Scores!$BM$2:$BM$158,0)),"")</f>
        <v/>
      </c>
      <c r="I199">
        <f>IFERROR(INDEX(Scores!$BL$2:$BL$158,MATCH($B199,Scores!$BM$2:$BM$158,0)),"")</f>
        <v/>
      </c>
      <c r="J199">
        <f>IFERROR(INDEX(Scores!$Q$2:$Q$158,MATCH($B199,Scores!$BM$2:$BM$158,0)),"")</f>
        <v/>
      </c>
      <c r="K199">
        <f>IFERROR(INDEX(Scores!$AE$2:$AE$158,MATCH($B199,Scores!$BM$2:$BM$158,0)),"")</f>
        <v/>
      </c>
      <c r="L199">
        <f>IFERROR(INDEX(Scores!$AM$2:$AM$158,MATCH($B199,Scores!$BM$2:$BM$158,0)),"")</f>
        <v/>
      </c>
      <c r="M199">
        <f>IFERROR(INDEX(Scores!$AW$2:$AW$158,MATCH($B199,Scores!$BM$2:$BM$158,0)),"")</f>
        <v/>
      </c>
      <c r="N199">
        <f>IFERROR(INDEX(Scores!$BG$2:$BG$158,MATCH($B199,Scores!$BM$2:$BM$158,0)),"")</f>
        <v/>
      </c>
    </row>
    <row r="200">
      <c r="A200" t="inlineStr">
        <is>
          <t>Top 50</t>
        </is>
      </c>
      <c r="B200" t="n">
        <v>39</v>
      </c>
      <c r="C200">
        <f>IFERROR(INDEX(Scores!$BM$2:$BM$158,MATCH($B200,Scores!$BM$2:$BM$158,0)),"")</f>
        <v/>
      </c>
      <c r="D200">
        <f>IFERROR(INDEX(Scores!$B$2:$B$158,MATCH($B200,Scores!$BM$2:$BM$158,0)),"")</f>
        <v/>
      </c>
      <c r="E200">
        <f>IFERROR(INDEX(Scores!$C$2:$C$158,MATCH($B200,Scores!$BM$2:$BM$158,0)),"")</f>
        <v/>
      </c>
      <c r="F200">
        <f>IFERROR(INDEX(Scores!$D$2:$D$158,MATCH($B200,Scores!$BM$2:$BM$158,0)),"")</f>
        <v/>
      </c>
      <c r="G200">
        <f>IFERROR(INDEX(Scores!$E$2:$E$158,MATCH($B200,Scores!$BM$2:$BM$158,0)),"")</f>
        <v/>
      </c>
      <c r="H200">
        <f>IFERROR(INDEX(Scores!$BJ$2:$BJ$158,MATCH($B200,Scores!$BM$2:$BM$158,0)),"")</f>
        <v/>
      </c>
      <c r="I200">
        <f>IFERROR(INDEX(Scores!$BL$2:$BL$158,MATCH($B200,Scores!$BM$2:$BM$158,0)),"")</f>
        <v/>
      </c>
      <c r="J200">
        <f>IFERROR(INDEX(Scores!$Q$2:$Q$158,MATCH($B200,Scores!$BM$2:$BM$158,0)),"")</f>
        <v/>
      </c>
      <c r="K200">
        <f>IFERROR(INDEX(Scores!$AE$2:$AE$158,MATCH($B200,Scores!$BM$2:$BM$158,0)),"")</f>
        <v/>
      </c>
      <c r="L200">
        <f>IFERROR(INDEX(Scores!$AM$2:$AM$158,MATCH($B200,Scores!$BM$2:$BM$158,0)),"")</f>
        <v/>
      </c>
      <c r="M200">
        <f>IFERROR(INDEX(Scores!$AW$2:$AW$158,MATCH($B200,Scores!$BM$2:$BM$158,0)),"")</f>
        <v/>
      </c>
      <c r="N200">
        <f>IFERROR(INDEX(Scores!$BG$2:$BG$158,MATCH($B200,Scores!$BM$2:$BM$158,0)),"")</f>
        <v/>
      </c>
    </row>
    <row r="201">
      <c r="A201" t="inlineStr">
        <is>
          <t>Top 50</t>
        </is>
      </c>
      <c r="B201" t="n">
        <v>40</v>
      </c>
      <c r="C201">
        <f>IFERROR(INDEX(Scores!$BM$2:$BM$158,MATCH($B201,Scores!$BM$2:$BM$158,0)),"")</f>
        <v/>
      </c>
      <c r="D201">
        <f>IFERROR(INDEX(Scores!$B$2:$B$158,MATCH($B201,Scores!$BM$2:$BM$158,0)),"")</f>
        <v/>
      </c>
      <c r="E201">
        <f>IFERROR(INDEX(Scores!$C$2:$C$158,MATCH($B201,Scores!$BM$2:$BM$158,0)),"")</f>
        <v/>
      </c>
      <c r="F201">
        <f>IFERROR(INDEX(Scores!$D$2:$D$158,MATCH($B201,Scores!$BM$2:$BM$158,0)),"")</f>
        <v/>
      </c>
      <c r="G201">
        <f>IFERROR(INDEX(Scores!$E$2:$E$158,MATCH($B201,Scores!$BM$2:$BM$158,0)),"")</f>
        <v/>
      </c>
      <c r="H201">
        <f>IFERROR(INDEX(Scores!$BJ$2:$BJ$158,MATCH($B201,Scores!$BM$2:$BM$158,0)),"")</f>
        <v/>
      </c>
      <c r="I201">
        <f>IFERROR(INDEX(Scores!$BL$2:$BL$158,MATCH($B201,Scores!$BM$2:$BM$158,0)),"")</f>
        <v/>
      </c>
      <c r="J201">
        <f>IFERROR(INDEX(Scores!$Q$2:$Q$158,MATCH($B201,Scores!$BM$2:$BM$158,0)),"")</f>
        <v/>
      </c>
      <c r="K201">
        <f>IFERROR(INDEX(Scores!$AE$2:$AE$158,MATCH($B201,Scores!$BM$2:$BM$158,0)),"")</f>
        <v/>
      </c>
      <c r="L201">
        <f>IFERROR(INDEX(Scores!$AM$2:$AM$158,MATCH($B201,Scores!$BM$2:$BM$158,0)),"")</f>
        <v/>
      </c>
      <c r="M201">
        <f>IFERROR(INDEX(Scores!$AW$2:$AW$158,MATCH($B201,Scores!$BM$2:$BM$158,0)),"")</f>
        <v/>
      </c>
      <c r="N201">
        <f>IFERROR(INDEX(Scores!$BG$2:$BG$158,MATCH($B201,Scores!$BM$2:$BM$158,0)),"")</f>
        <v/>
      </c>
    </row>
    <row r="202">
      <c r="A202" t="inlineStr">
        <is>
          <t>Top 50</t>
        </is>
      </c>
      <c r="B202" t="n">
        <v>41</v>
      </c>
      <c r="C202">
        <f>IFERROR(INDEX(Scores!$BM$2:$BM$158,MATCH($B202,Scores!$BM$2:$BM$158,0)),"")</f>
        <v/>
      </c>
      <c r="D202">
        <f>IFERROR(INDEX(Scores!$B$2:$B$158,MATCH($B202,Scores!$BM$2:$BM$158,0)),"")</f>
        <v/>
      </c>
      <c r="E202">
        <f>IFERROR(INDEX(Scores!$C$2:$C$158,MATCH($B202,Scores!$BM$2:$BM$158,0)),"")</f>
        <v/>
      </c>
      <c r="F202">
        <f>IFERROR(INDEX(Scores!$D$2:$D$158,MATCH($B202,Scores!$BM$2:$BM$158,0)),"")</f>
        <v/>
      </c>
      <c r="G202">
        <f>IFERROR(INDEX(Scores!$E$2:$E$158,MATCH($B202,Scores!$BM$2:$BM$158,0)),"")</f>
        <v/>
      </c>
      <c r="H202">
        <f>IFERROR(INDEX(Scores!$BJ$2:$BJ$158,MATCH($B202,Scores!$BM$2:$BM$158,0)),"")</f>
        <v/>
      </c>
      <c r="I202">
        <f>IFERROR(INDEX(Scores!$BL$2:$BL$158,MATCH($B202,Scores!$BM$2:$BM$158,0)),"")</f>
        <v/>
      </c>
      <c r="J202">
        <f>IFERROR(INDEX(Scores!$Q$2:$Q$158,MATCH($B202,Scores!$BM$2:$BM$158,0)),"")</f>
        <v/>
      </c>
      <c r="K202">
        <f>IFERROR(INDEX(Scores!$AE$2:$AE$158,MATCH($B202,Scores!$BM$2:$BM$158,0)),"")</f>
        <v/>
      </c>
      <c r="L202">
        <f>IFERROR(INDEX(Scores!$AM$2:$AM$158,MATCH($B202,Scores!$BM$2:$BM$158,0)),"")</f>
        <v/>
      </c>
      <c r="M202">
        <f>IFERROR(INDEX(Scores!$AW$2:$AW$158,MATCH($B202,Scores!$BM$2:$BM$158,0)),"")</f>
        <v/>
      </c>
      <c r="N202">
        <f>IFERROR(INDEX(Scores!$BG$2:$BG$158,MATCH($B202,Scores!$BM$2:$BM$158,0)),"")</f>
        <v/>
      </c>
    </row>
    <row r="203">
      <c r="A203" t="inlineStr">
        <is>
          <t>Top 50</t>
        </is>
      </c>
      <c r="B203" t="n">
        <v>42</v>
      </c>
      <c r="C203">
        <f>IFERROR(INDEX(Scores!$BM$2:$BM$158,MATCH($B203,Scores!$BM$2:$BM$158,0)),"")</f>
        <v/>
      </c>
      <c r="D203">
        <f>IFERROR(INDEX(Scores!$B$2:$B$158,MATCH($B203,Scores!$BM$2:$BM$158,0)),"")</f>
        <v/>
      </c>
      <c r="E203">
        <f>IFERROR(INDEX(Scores!$C$2:$C$158,MATCH($B203,Scores!$BM$2:$BM$158,0)),"")</f>
        <v/>
      </c>
      <c r="F203">
        <f>IFERROR(INDEX(Scores!$D$2:$D$158,MATCH($B203,Scores!$BM$2:$BM$158,0)),"")</f>
        <v/>
      </c>
      <c r="G203">
        <f>IFERROR(INDEX(Scores!$E$2:$E$158,MATCH($B203,Scores!$BM$2:$BM$158,0)),"")</f>
        <v/>
      </c>
      <c r="H203">
        <f>IFERROR(INDEX(Scores!$BJ$2:$BJ$158,MATCH($B203,Scores!$BM$2:$BM$158,0)),"")</f>
        <v/>
      </c>
      <c r="I203">
        <f>IFERROR(INDEX(Scores!$BL$2:$BL$158,MATCH($B203,Scores!$BM$2:$BM$158,0)),"")</f>
        <v/>
      </c>
      <c r="J203">
        <f>IFERROR(INDEX(Scores!$Q$2:$Q$158,MATCH($B203,Scores!$BM$2:$BM$158,0)),"")</f>
        <v/>
      </c>
      <c r="K203">
        <f>IFERROR(INDEX(Scores!$AE$2:$AE$158,MATCH($B203,Scores!$BM$2:$BM$158,0)),"")</f>
        <v/>
      </c>
      <c r="L203">
        <f>IFERROR(INDEX(Scores!$AM$2:$AM$158,MATCH($B203,Scores!$BM$2:$BM$158,0)),"")</f>
        <v/>
      </c>
      <c r="M203">
        <f>IFERROR(INDEX(Scores!$AW$2:$AW$158,MATCH($B203,Scores!$BM$2:$BM$158,0)),"")</f>
        <v/>
      </c>
      <c r="N203">
        <f>IFERROR(INDEX(Scores!$BG$2:$BG$158,MATCH($B203,Scores!$BM$2:$BM$158,0)),"")</f>
        <v/>
      </c>
    </row>
    <row r="204">
      <c r="A204" t="inlineStr">
        <is>
          <t>Top 50</t>
        </is>
      </c>
      <c r="B204" t="n">
        <v>43</v>
      </c>
      <c r="C204">
        <f>IFERROR(INDEX(Scores!$BM$2:$BM$158,MATCH($B204,Scores!$BM$2:$BM$158,0)),"")</f>
        <v/>
      </c>
      <c r="D204">
        <f>IFERROR(INDEX(Scores!$B$2:$B$158,MATCH($B204,Scores!$BM$2:$BM$158,0)),"")</f>
        <v/>
      </c>
      <c r="E204">
        <f>IFERROR(INDEX(Scores!$C$2:$C$158,MATCH($B204,Scores!$BM$2:$BM$158,0)),"")</f>
        <v/>
      </c>
      <c r="F204">
        <f>IFERROR(INDEX(Scores!$D$2:$D$158,MATCH($B204,Scores!$BM$2:$BM$158,0)),"")</f>
        <v/>
      </c>
      <c r="G204">
        <f>IFERROR(INDEX(Scores!$E$2:$E$158,MATCH($B204,Scores!$BM$2:$BM$158,0)),"")</f>
        <v/>
      </c>
      <c r="H204">
        <f>IFERROR(INDEX(Scores!$BJ$2:$BJ$158,MATCH($B204,Scores!$BM$2:$BM$158,0)),"")</f>
        <v/>
      </c>
      <c r="I204">
        <f>IFERROR(INDEX(Scores!$BL$2:$BL$158,MATCH($B204,Scores!$BM$2:$BM$158,0)),"")</f>
        <v/>
      </c>
      <c r="J204">
        <f>IFERROR(INDEX(Scores!$Q$2:$Q$158,MATCH($B204,Scores!$BM$2:$BM$158,0)),"")</f>
        <v/>
      </c>
      <c r="K204">
        <f>IFERROR(INDEX(Scores!$AE$2:$AE$158,MATCH($B204,Scores!$BM$2:$BM$158,0)),"")</f>
        <v/>
      </c>
      <c r="L204">
        <f>IFERROR(INDEX(Scores!$AM$2:$AM$158,MATCH($B204,Scores!$BM$2:$BM$158,0)),"")</f>
        <v/>
      </c>
      <c r="M204">
        <f>IFERROR(INDEX(Scores!$AW$2:$AW$158,MATCH($B204,Scores!$BM$2:$BM$158,0)),"")</f>
        <v/>
      </c>
      <c r="N204">
        <f>IFERROR(INDEX(Scores!$BG$2:$BG$158,MATCH($B204,Scores!$BM$2:$BM$158,0)),"")</f>
        <v/>
      </c>
    </row>
    <row r="205">
      <c r="A205" t="inlineStr">
        <is>
          <t>Top 50</t>
        </is>
      </c>
      <c r="B205" t="n">
        <v>44</v>
      </c>
      <c r="C205">
        <f>IFERROR(INDEX(Scores!$BM$2:$BM$158,MATCH($B205,Scores!$BM$2:$BM$158,0)),"")</f>
        <v/>
      </c>
      <c r="D205">
        <f>IFERROR(INDEX(Scores!$B$2:$B$158,MATCH($B205,Scores!$BM$2:$BM$158,0)),"")</f>
        <v/>
      </c>
      <c r="E205">
        <f>IFERROR(INDEX(Scores!$C$2:$C$158,MATCH($B205,Scores!$BM$2:$BM$158,0)),"")</f>
        <v/>
      </c>
      <c r="F205">
        <f>IFERROR(INDEX(Scores!$D$2:$D$158,MATCH($B205,Scores!$BM$2:$BM$158,0)),"")</f>
        <v/>
      </c>
      <c r="G205">
        <f>IFERROR(INDEX(Scores!$E$2:$E$158,MATCH($B205,Scores!$BM$2:$BM$158,0)),"")</f>
        <v/>
      </c>
      <c r="H205">
        <f>IFERROR(INDEX(Scores!$BJ$2:$BJ$158,MATCH($B205,Scores!$BM$2:$BM$158,0)),"")</f>
        <v/>
      </c>
      <c r="I205">
        <f>IFERROR(INDEX(Scores!$BL$2:$BL$158,MATCH($B205,Scores!$BM$2:$BM$158,0)),"")</f>
        <v/>
      </c>
      <c r="J205">
        <f>IFERROR(INDEX(Scores!$Q$2:$Q$158,MATCH($B205,Scores!$BM$2:$BM$158,0)),"")</f>
        <v/>
      </c>
      <c r="K205">
        <f>IFERROR(INDEX(Scores!$AE$2:$AE$158,MATCH($B205,Scores!$BM$2:$BM$158,0)),"")</f>
        <v/>
      </c>
      <c r="L205">
        <f>IFERROR(INDEX(Scores!$AM$2:$AM$158,MATCH($B205,Scores!$BM$2:$BM$158,0)),"")</f>
        <v/>
      </c>
      <c r="M205">
        <f>IFERROR(INDEX(Scores!$AW$2:$AW$158,MATCH($B205,Scores!$BM$2:$BM$158,0)),"")</f>
        <v/>
      </c>
      <c r="N205">
        <f>IFERROR(INDEX(Scores!$BG$2:$BG$158,MATCH($B205,Scores!$BM$2:$BM$158,0)),"")</f>
        <v/>
      </c>
    </row>
    <row r="206">
      <c r="A206" t="inlineStr">
        <is>
          <t>Top 50</t>
        </is>
      </c>
      <c r="B206" t="n">
        <v>45</v>
      </c>
      <c r="C206">
        <f>IFERROR(INDEX(Scores!$BM$2:$BM$158,MATCH($B206,Scores!$BM$2:$BM$158,0)),"")</f>
        <v/>
      </c>
      <c r="D206">
        <f>IFERROR(INDEX(Scores!$B$2:$B$158,MATCH($B206,Scores!$BM$2:$BM$158,0)),"")</f>
        <v/>
      </c>
      <c r="E206">
        <f>IFERROR(INDEX(Scores!$C$2:$C$158,MATCH($B206,Scores!$BM$2:$BM$158,0)),"")</f>
        <v/>
      </c>
      <c r="F206">
        <f>IFERROR(INDEX(Scores!$D$2:$D$158,MATCH($B206,Scores!$BM$2:$BM$158,0)),"")</f>
        <v/>
      </c>
      <c r="G206">
        <f>IFERROR(INDEX(Scores!$E$2:$E$158,MATCH($B206,Scores!$BM$2:$BM$158,0)),"")</f>
        <v/>
      </c>
      <c r="H206">
        <f>IFERROR(INDEX(Scores!$BJ$2:$BJ$158,MATCH($B206,Scores!$BM$2:$BM$158,0)),"")</f>
        <v/>
      </c>
      <c r="I206">
        <f>IFERROR(INDEX(Scores!$BL$2:$BL$158,MATCH($B206,Scores!$BM$2:$BM$158,0)),"")</f>
        <v/>
      </c>
      <c r="J206">
        <f>IFERROR(INDEX(Scores!$Q$2:$Q$158,MATCH($B206,Scores!$BM$2:$BM$158,0)),"")</f>
        <v/>
      </c>
      <c r="K206">
        <f>IFERROR(INDEX(Scores!$AE$2:$AE$158,MATCH($B206,Scores!$BM$2:$BM$158,0)),"")</f>
        <v/>
      </c>
      <c r="L206">
        <f>IFERROR(INDEX(Scores!$AM$2:$AM$158,MATCH($B206,Scores!$BM$2:$BM$158,0)),"")</f>
        <v/>
      </c>
      <c r="M206">
        <f>IFERROR(INDEX(Scores!$AW$2:$AW$158,MATCH($B206,Scores!$BM$2:$BM$158,0)),"")</f>
        <v/>
      </c>
      <c r="N206">
        <f>IFERROR(INDEX(Scores!$BG$2:$BG$158,MATCH($B206,Scores!$BM$2:$BM$158,0)),"")</f>
        <v/>
      </c>
    </row>
    <row r="207">
      <c r="A207" t="inlineStr">
        <is>
          <t>Top 50</t>
        </is>
      </c>
      <c r="B207" t="n">
        <v>46</v>
      </c>
      <c r="C207">
        <f>IFERROR(INDEX(Scores!$BM$2:$BM$158,MATCH($B207,Scores!$BM$2:$BM$158,0)),"")</f>
        <v/>
      </c>
      <c r="D207">
        <f>IFERROR(INDEX(Scores!$B$2:$B$158,MATCH($B207,Scores!$BM$2:$BM$158,0)),"")</f>
        <v/>
      </c>
      <c r="E207">
        <f>IFERROR(INDEX(Scores!$C$2:$C$158,MATCH($B207,Scores!$BM$2:$BM$158,0)),"")</f>
        <v/>
      </c>
      <c r="F207">
        <f>IFERROR(INDEX(Scores!$D$2:$D$158,MATCH($B207,Scores!$BM$2:$BM$158,0)),"")</f>
        <v/>
      </c>
      <c r="G207">
        <f>IFERROR(INDEX(Scores!$E$2:$E$158,MATCH($B207,Scores!$BM$2:$BM$158,0)),"")</f>
        <v/>
      </c>
      <c r="H207">
        <f>IFERROR(INDEX(Scores!$BJ$2:$BJ$158,MATCH($B207,Scores!$BM$2:$BM$158,0)),"")</f>
        <v/>
      </c>
      <c r="I207">
        <f>IFERROR(INDEX(Scores!$BL$2:$BL$158,MATCH($B207,Scores!$BM$2:$BM$158,0)),"")</f>
        <v/>
      </c>
      <c r="J207">
        <f>IFERROR(INDEX(Scores!$Q$2:$Q$158,MATCH($B207,Scores!$BM$2:$BM$158,0)),"")</f>
        <v/>
      </c>
      <c r="K207">
        <f>IFERROR(INDEX(Scores!$AE$2:$AE$158,MATCH($B207,Scores!$BM$2:$BM$158,0)),"")</f>
        <v/>
      </c>
      <c r="L207">
        <f>IFERROR(INDEX(Scores!$AM$2:$AM$158,MATCH($B207,Scores!$BM$2:$BM$158,0)),"")</f>
        <v/>
      </c>
      <c r="M207">
        <f>IFERROR(INDEX(Scores!$AW$2:$AW$158,MATCH($B207,Scores!$BM$2:$BM$158,0)),"")</f>
        <v/>
      </c>
      <c r="N207">
        <f>IFERROR(INDEX(Scores!$BG$2:$BG$158,MATCH($B207,Scores!$BM$2:$BM$158,0)),"")</f>
        <v/>
      </c>
    </row>
    <row r="208">
      <c r="A208" t="inlineStr">
        <is>
          <t>Top 50</t>
        </is>
      </c>
      <c r="B208" t="n">
        <v>47</v>
      </c>
      <c r="C208">
        <f>IFERROR(INDEX(Scores!$BM$2:$BM$158,MATCH($B208,Scores!$BM$2:$BM$158,0)),"")</f>
        <v/>
      </c>
      <c r="D208">
        <f>IFERROR(INDEX(Scores!$B$2:$B$158,MATCH($B208,Scores!$BM$2:$BM$158,0)),"")</f>
        <v/>
      </c>
      <c r="E208">
        <f>IFERROR(INDEX(Scores!$C$2:$C$158,MATCH($B208,Scores!$BM$2:$BM$158,0)),"")</f>
        <v/>
      </c>
      <c r="F208">
        <f>IFERROR(INDEX(Scores!$D$2:$D$158,MATCH($B208,Scores!$BM$2:$BM$158,0)),"")</f>
        <v/>
      </c>
      <c r="G208">
        <f>IFERROR(INDEX(Scores!$E$2:$E$158,MATCH($B208,Scores!$BM$2:$BM$158,0)),"")</f>
        <v/>
      </c>
      <c r="H208">
        <f>IFERROR(INDEX(Scores!$BJ$2:$BJ$158,MATCH($B208,Scores!$BM$2:$BM$158,0)),"")</f>
        <v/>
      </c>
      <c r="I208">
        <f>IFERROR(INDEX(Scores!$BL$2:$BL$158,MATCH($B208,Scores!$BM$2:$BM$158,0)),"")</f>
        <v/>
      </c>
      <c r="J208">
        <f>IFERROR(INDEX(Scores!$Q$2:$Q$158,MATCH($B208,Scores!$BM$2:$BM$158,0)),"")</f>
        <v/>
      </c>
      <c r="K208">
        <f>IFERROR(INDEX(Scores!$AE$2:$AE$158,MATCH($B208,Scores!$BM$2:$BM$158,0)),"")</f>
        <v/>
      </c>
      <c r="L208">
        <f>IFERROR(INDEX(Scores!$AM$2:$AM$158,MATCH($B208,Scores!$BM$2:$BM$158,0)),"")</f>
        <v/>
      </c>
      <c r="M208">
        <f>IFERROR(INDEX(Scores!$AW$2:$AW$158,MATCH($B208,Scores!$BM$2:$BM$158,0)),"")</f>
        <v/>
      </c>
      <c r="N208">
        <f>IFERROR(INDEX(Scores!$BG$2:$BG$158,MATCH($B208,Scores!$BM$2:$BM$158,0)),"")</f>
        <v/>
      </c>
    </row>
    <row r="209">
      <c r="A209" t="inlineStr">
        <is>
          <t>Top 50</t>
        </is>
      </c>
      <c r="B209" t="n">
        <v>48</v>
      </c>
      <c r="C209">
        <f>IFERROR(INDEX(Scores!$BM$2:$BM$158,MATCH($B209,Scores!$BM$2:$BM$158,0)),"")</f>
        <v/>
      </c>
      <c r="D209">
        <f>IFERROR(INDEX(Scores!$B$2:$B$158,MATCH($B209,Scores!$BM$2:$BM$158,0)),"")</f>
        <v/>
      </c>
      <c r="E209">
        <f>IFERROR(INDEX(Scores!$C$2:$C$158,MATCH($B209,Scores!$BM$2:$BM$158,0)),"")</f>
        <v/>
      </c>
      <c r="F209">
        <f>IFERROR(INDEX(Scores!$D$2:$D$158,MATCH($B209,Scores!$BM$2:$BM$158,0)),"")</f>
        <v/>
      </c>
      <c r="G209">
        <f>IFERROR(INDEX(Scores!$E$2:$E$158,MATCH($B209,Scores!$BM$2:$BM$158,0)),"")</f>
        <v/>
      </c>
      <c r="H209">
        <f>IFERROR(INDEX(Scores!$BJ$2:$BJ$158,MATCH($B209,Scores!$BM$2:$BM$158,0)),"")</f>
        <v/>
      </c>
      <c r="I209">
        <f>IFERROR(INDEX(Scores!$BL$2:$BL$158,MATCH($B209,Scores!$BM$2:$BM$158,0)),"")</f>
        <v/>
      </c>
      <c r="J209">
        <f>IFERROR(INDEX(Scores!$Q$2:$Q$158,MATCH($B209,Scores!$BM$2:$BM$158,0)),"")</f>
        <v/>
      </c>
      <c r="K209">
        <f>IFERROR(INDEX(Scores!$AE$2:$AE$158,MATCH($B209,Scores!$BM$2:$BM$158,0)),"")</f>
        <v/>
      </c>
      <c r="L209">
        <f>IFERROR(INDEX(Scores!$AM$2:$AM$158,MATCH($B209,Scores!$BM$2:$BM$158,0)),"")</f>
        <v/>
      </c>
      <c r="M209">
        <f>IFERROR(INDEX(Scores!$AW$2:$AW$158,MATCH($B209,Scores!$BM$2:$BM$158,0)),"")</f>
        <v/>
      </c>
      <c r="N209">
        <f>IFERROR(INDEX(Scores!$BG$2:$BG$158,MATCH($B209,Scores!$BM$2:$BM$158,0)),"")</f>
        <v/>
      </c>
    </row>
    <row r="210">
      <c r="A210" t="inlineStr">
        <is>
          <t>Top 50</t>
        </is>
      </c>
      <c r="B210" t="n">
        <v>49</v>
      </c>
      <c r="C210">
        <f>IFERROR(INDEX(Scores!$BM$2:$BM$158,MATCH($B210,Scores!$BM$2:$BM$158,0)),"")</f>
        <v/>
      </c>
      <c r="D210">
        <f>IFERROR(INDEX(Scores!$B$2:$B$158,MATCH($B210,Scores!$BM$2:$BM$158,0)),"")</f>
        <v/>
      </c>
      <c r="E210">
        <f>IFERROR(INDEX(Scores!$C$2:$C$158,MATCH($B210,Scores!$BM$2:$BM$158,0)),"")</f>
        <v/>
      </c>
      <c r="F210">
        <f>IFERROR(INDEX(Scores!$D$2:$D$158,MATCH($B210,Scores!$BM$2:$BM$158,0)),"")</f>
        <v/>
      </c>
      <c r="G210">
        <f>IFERROR(INDEX(Scores!$E$2:$E$158,MATCH($B210,Scores!$BM$2:$BM$158,0)),"")</f>
        <v/>
      </c>
      <c r="H210">
        <f>IFERROR(INDEX(Scores!$BJ$2:$BJ$158,MATCH($B210,Scores!$BM$2:$BM$158,0)),"")</f>
        <v/>
      </c>
      <c r="I210">
        <f>IFERROR(INDEX(Scores!$BL$2:$BL$158,MATCH($B210,Scores!$BM$2:$BM$158,0)),"")</f>
        <v/>
      </c>
      <c r="J210">
        <f>IFERROR(INDEX(Scores!$Q$2:$Q$158,MATCH($B210,Scores!$BM$2:$BM$158,0)),"")</f>
        <v/>
      </c>
      <c r="K210">
        <f>IFERROR(INDEX(Scores!$AE$2:$AE$158,MATCH($B210,Scores!$BM$2:$BM$158,0)),"")</f>
        <v/>
      </c>
      <c r="L210">
        <f>IFERROR(INDEX(Scores!$AM$2:$AM$158,MATCH($B210,Scores!$BM$2:$BM$158,0)),"")</f>
        <v/>
      </c>
      <c r="M210">
        <f>IFERROR(INDEX(Scores!$AW$2:$AW$158,MATCH($B210,Scores!$BM$2:$BM$158,0)),"")</f>
        <v/>
      </c>
      <c r="N210">
        <f>IFERROR(INDEX(Scores!$BG$2:$BG$158,MATCH($B210,Scores!$BM$2:$BM$158,0)),"")</f>
        <v/>
      </c>
    </row>
    <row r="211">
      <c r="A211" t="inlineStr">
        <is>
          <t>Top 50</t>
        </is>
      </c>
      <c r="B211" t="n">
        <v>50</v>
      </c>
      <c r="C211">
        <f>IFERROR(INDEX(Scores!$BM$2:$BM$158,MATCH($B211,Scores!$BM$2:$BM$158,0)),"")</f>
        <v/>
      </c>
      <c r="D211">
        <f>IFERROR(INDEX(Scores!$B$2:$B$158,MATCH($B211,Scores!$BM$2:$BM$158,0)),"")</f>
        <v/>
      </c>
      <c r="E211">
        <f>IFERROR(INDEX(Scores!$C$2:$C$158,MATCH($B211,Scores!$BM$2:$BM$158,0)),"")</f>
        <v/>
      </c>
      <c r="F211">
        <f>IFERROR(INDEX(Scores!$D$2:$D$158,MATCH($B211,Scores!$BM$2:$BM$158,0)),"")</f>
        <v/>
      </c>
      <c r="G211">
        <f>IFERROR(INDEX(Scores!$E$2:$E$158,MATCH($B211,Scores!$BM$2:$BM$158,0)),"")</f>
        <v/>
      </c>
      <c r="H211">
        <f>IFERROR(INDEX(Scores!$BJ$2:$BJ$158,MATCH($B211,Scores!$BM$2:$BM$158,0)),"")</f>
        <v/>
      </c>
      <c r="I211">
        <f>IFERROR(INDEX(Scores!$BL$2:$BL$158,MATCH($B211,Scores!$BM$2:$BM$158,0)),"")</f>
        <v/>
      </c>
      <c r="J211">
        <f>IFERROR(INDEX(Scores!$Q$2:$Q$158,MATCH($B211,Scores!$BM$2:$BM$158,0)),"")</f>
        <v/>
      </c>
      <c r="K211">
        <f>IFERROR(INDEX(Scores!$AE$2:$AE$158,MATCH($B211,Scores!$BM$2:$BM$158,0)),"")</f>
        <v/>
      </c>
      <c r="L211">
        <f>IFERROR(INDEX(Scores!$AM$2:$AM$158,MATCH($B211,Scores!$BM$2:$BM$158,0)),"")</f>
        <v/>
      </c>
      <c r="M211">
        <f>IFERROR(INDEX(Scores!$AW$2:$AW$158,MATCH($B211,Scores!$BM$2:$BM$158,0)),"")</f>
        <v/>
      </c>
      <c r="N211">
        <f>IFERROR(INDEX(Scores!$BG$2:$BG$158,MATCH($B211,Scores!$BM$2:$BM$158,0)),"")</f>
        <v/>
      </c>
    </row>
  </sheetData>
  <autoFilter ref="A1:N211"/>
  <mergeCells count="2">
    <mergeCell ref="A160:N160"/>
    <mergeCell ref="A1:N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</cols>
  <sheetData>
    <row r="1">
      <c r="A1" s="6" t="inlineStr">
        <is>
          <t>cohort</t>
        </is>
      </c>
      <c r="B1" s="6" t="inlineStr">
        <is>
          <t>ranked_city_count</t>
        </is>
      </c>
      <c r="C1" s="6" t="inlineStr">
        <is>
          <t>average_slic_score</t>
        </is>
      </c>
      <c r="D1" s="6" t="inlineStr">
        <is>
          <t>average_overall_coverage</t>
        </is>
      </c>
      <c r="E1" s="6" t="inlineStr">
        <is>
          <t>average_pressure_score</t>
        </is>
      </c>
      <c r="F1" s="6" t="inlineStr">
        <is>
          <t>average_creative_score</t>
        </is>
      </c>
      <c r="G1" s="6" t="inlineStr">
        <is>
          <t>top_ranked_city</t>
        </is>
      </c>
    </row>
    <row r="2">
      <c r="A2" t="inlineStr">
        <is>
          <t>Southeast Asia</t>
        </is>
      </c>
      <c r="B2">
        <f>COUNTIFS(Scores!$D$2:$D$158,$A2,Scores!$BK$2:$BK$158,"Ranked")</f>
        <v/>
      </c>
      <c r="C2">
        <f>IFERROR(AVERAGEIFS(Scores!$BL$2:$BL$158,Scores!$D$2:$D$158,$A2,Scores!$BK$2:$BK$158,"Ranked"),"")</f>
        <v/>
      </c>
      <c r="D2">
        <f>IFERROR(AVERAGEIFS(Scores!$BI$2:$BI$158,Scores!$D$2:$D$158,$A2),"")</f>
        <v/>
      </c>
      <c r="E2">
        <f>IFERROR(AVERAGEIFS(Scores!$Q$2:$Q$158,Scores!$D$2:$D$158,$A2,Scores!$BK$2:$BK$158,"Ranked"),"")</f>
        <v/>
      </c>
      <c r="F2">
        <f>IFERROR(AVERAGEIFS(Scores!$BG$2:$BG$158,Scores!$D$2:$D$158,$A2,Scores!$BK$2:$BK$158,"Ranked"),"")</f>
        <v/>
      </c>
      <c r="G2">
        <f>IFERROR(INDEX(Scores!$B$2:$B$158,MATCH(MINIFS(Scores!$BM$2:$BM$158,Scores!$D$2:$D$158,$A2,Scores!$BK$2:$BK$158,"Ranked"),Scores!$BM$2:$BM$158,0)),"")</f>
        <v/>
      </c>
    </row>
    <row r="3">
      <c r="A3" t="inlineStr">
        <is>
          <t>East Asia</t>
        </is>
      </c>
      <c r="B3">
        <f>COUNTIFS(Scores!$D$2:$D$158,$A3,Scores!$BK$2:$BK$158,"Ranked")</f>
        <v/>
      </c>
      <c r="C3">
        <f>IFERROR(AVERAGEIFS(Scores!$BL$2:$BL$158,Scores!$D$2:$D$158,$A3,Scores!$BK$2:$BK$158,"Ranked"),"")</f>
        <v/>
      </c>
      <c r="D3">
        <f>IFERROR(AVERAGEIFS(Scores!$BI$2:$BI$158,Scores!$D$2:$D$158,$A3),"")</f>
        <v/>
      </c>
      <c r="E3">
        <f>IFERROR(AVERAGEIFS(Scores!$Q$2:$Q$158,Scores!$D$2:$D$158,$A3,Scores!$BK$2:$BK$158,"Ranked"),"")</f>
        <v/>
      </c>
      <c r="F3">
        <f>IFERROR(AVERAGEIFS(Scores!$BG$2:$BG$158,Scores!$D$2:$D$158,$A3,Scores!$BK$2:$BK$158,"Ranked"),"")</f>
        <v/>
      </c>
      <c r="G3">
        <f>IFERROR(INDEX(Scores!$B$2:$B$158,MATCH(MINIFS(Scores!$BM$2:$BM$158,Scores!$D$2:$D$158,$A3,Scores!$BK$2:$BK$158,"Ranked"),Scores!$BM$2:$BM$158,0)),"")</f>
        <v/>
      </c>
    </row>
    <row r="4">
      <c r="A4" t="inlineStr">
        <is>
          <t>South Asia</t>
        </is>
      </c>
      <c r="B4">
        <f>COUNTIFS(Scores!$D$2:$D$158,$A4,Scores!$BK$2:$BK$158,"Ranked")</f>
        <v/>
      </c>
      <c r="C4">
        <f>IFERROR(AVERAGEIFS(Scores!$BL$2:$BL$158,Scores!$D$2:$D$158,$A4,Scores!$BK$2:$BK$158,"Ranked"),"")</f>
        <v/>
      </c>
      <c r="D4">
        <f>IFERROR(AVERAGEIFS(Scores!$BI$2:$BI$158,Scores!$D$2:$D$158,$A4),"")</f>
        <v/>
      </c>
      <c r="E4">
        <f>IFERROR(AVERAGEIFS(Scores!$Q$2:$Q$158,Scores!$D$2:$D$158,$A4,Scores!$BK$2:$BK$158,"Ranked"),"")</f>
        <v/>
      </c>
      <c r="F4">
        <f>IFERROR(AVERAGEIFS(Scores!$BG$2:$BG$158,Scores!$D$2:$D$158,$A4,Scores!$BK$2:$BK$158,"Ranked"),"")</f>
        <v/>
      </c>
      <c r="G4">
        <f>IFERROR(INDEX(Scores!$B$2:$B$158,MATCH(MINIFS(Scores!$BM$2:$BM$158,Scores!$D$2:$D$158,$A4,Scores!$BK$2:$BK$158,"Ranked"),Scores!$BM$2:$BM$158,0)),"")</f>
        <v/>
      </c>
    </row>
    <row r="5">
      <c r="A5" t="inlineStr">
        <is>
          <t>Western, Northern, and Southern Europe</t>
        </is>
      </c>
      <c r="B5">
        <f>COUNTIFS(Scores!$D$2:$D$158,$A5,Scores!$BK$2:$BK$158,"Ranked")</f>
        <v/>
      </c>
      <c r="C5">
        <f>IFERROR(AVERAGEIFS(Scores!$BL$2:$BL$158,Scores!$D$2:$D$158,$A5,Scores!$BK$2:$BK$158,"Ranked"),"")</f>
        <v/>
      </c>
      <c r="D5">
        <f>IFERROR(AVERAGEIFS(Scores!$BI$2:$BI$158,Scores!$D$2:$D$158,$A5),"")</f>
        <v/>
      </c>
      <c r="E5">
        <f>IFERROR(AVERAGEIFS(Scores!$Q$2:$Q$158,Scores!$D$2:$D$158,$A5,Scores!$BK$2:$BK$158,"Ranked"),"")</f>
        <v/>
      </c>
      <c r="F5">
        <f>IFERROR(AVERAGEIFS(Scores!$BG$2:$BG$158,Scores!$D$2:$D$158,$A5,Scores!$BK$2:$BK$158,"Ranked"),"")</f>
        <v/>
      </c>
      <c r="G5">
        <f>IFERROR(INDEX(Scores!$B$2:$B$158,MATCH(MINIFS(Scores!$BM$2:$BM$158,Scores!$D$2:$D$158,$A5,Scores!$BK$2:$BK$158,"Ranked"),Scores!$BM$2:$BM$158,0)),"")</f>
        <v/>
      </c>
    </row>
    <row r="6">
      <c r="A6" t="inlineStr">
        <is>
          <t>Southern/Eastern Europe and Eurasia</t>
        </is>
      </c>
      <c r="B6">
        <f>COUNTIFS(Scores!$D$2:$D$158,$A6,Scores!$BK$2:$BK$158,"Ranked")</f>
        <v/>
      </c>
      <c r="C6">
        <f>IFERROR(AVERAGEIFS(Scores!$BL$2:$BL$158,Scores!$D$2:$D$158,$A6,Scores!$BK$2:$BK$158,"Ranked"),"")</f>
        <v/>
      </c>
      <c r="D6">
        <f>IFERROR(AVERAGEIFS(Scores!$BI$2:$BI$158,Scores!$D$2:$D$158,$A6),"")</f>
        <v/>
      </c>
      <c r="E6">
        <f>IFERROR(AVERAGEIFS(Scores!$Q$2:$Q$158,Scores!$D$2:$D$158,$A6,Scores!$BK$2:$BK$158,"Ranked"),"")</f>
        <v/>
      </c>
      <c r="F6">
        <f>IFERROR(AVERAGEIFS(Scores!$BG$2:$BG$158,Scores!$D$2:$D$158,$A6,Scores!$BK$2:$BK$158,"Ranked"),"")</f>
        <v/>
      </c>
      <c r="G6">
        <f>IFERROR(INDEX(Scores!$B$2:$B$158,MATCH(MINIFS(Scores!$BM$2:$BM$158,Scores!$D$2:$D$158,$A6,Scores!$BK$2:$BK$158,"Ranked"),Scores!$BM$2:$BM$158,0)),"")</f>
        <v/>
      </c>
    </row>
    <row r="7">
      <c r="A7" t="inlineStr">
        <is>
          <t>North America</t>
        </is>
      </c>
      <c r="B7">
        <f>COUNTIFS(Scores!$D$2:$D$158,$A7,Scores!$BK$2:$BK$158,"Ranked")</f>
        <v/>
      </c>
      <c r="C7">
        <f>IFERROR(AVERAGEIFS(Scores!$BL$2:$BL$158,Scores!$D$2:$D$158,$A7,Scores!$BK$2:$BK$158,"Ranked"),"")</f>
        <v/>
      </c>
      <c r="D7">
        <f>IFERROR(AVERAGEIFS(Scores!$BI$2:$BI$158,Scores!$D$2:$D$158,$A7),"")</f>
        <v/>
      </c>
      <c r="E7">
        <f>IFERROR(AVERAGEIFS(Scores!$Q$2:$Q$158,Scores!$D$2:$D$158,$A7,Scores!$BK$2:$BK$158,"Ranked"),"")</f>
        <v/>
      </c>
      <c r="F7">
        <f>IFERROR(AVERAGEIFS(Scores!$BG$2:$BG$158,Scores!$D$2:$D$158,$A7,Scores!$BK$2:$BK$158,"Ranked"),"")</f>
        <v/>
      </c>
      <c r="G7">
        <f>IFERROR(INDEX(Scores!$B$2:$B$158,MATCH(MINIFS(Scores!$BM$2:$BM$158,Scores!$D$2:$D$158,$A7,Scores!$BK$2:$BK$158,"Ranked"),Scores!$BM$2:$BM$158,0)),"")</f>
        <v/>
      </c>
    </row>
    <row r="8">
      <c r="A8" t="inlineStr">
        <is>
          <t>Latin America</t>
        </is>
      </c>
      <c r="B8">
        <f>COUNTIFS(Scores!$D$2:$D$158,$A8,Scores!$BK$2:$BK$158,"Ranked")</f>
        <v/>
      </c>
      <c r="C8">
        <f>IFERROR(AVERAGEIFS(Scores!$BL$2:$BL$158,Scores!$D$2:$D$158,$A8,Scores!$BK$2:$BK$158,"Ranked"),"")</f>
        <v/>
      </c>
      <c r="D8">
        <f>IFERROR(AVERAGEIFS(Scores!$BI$2:$BI$158,Scores!$D$2:$D$158,$A8),"")</f>
        <v/>
      </c>
      <c r="E8">
        <f>IFERROR(AVERAGEIFS(Scores!$Q$2:$Q$158,Scores!$D$2:$D$158,$A8,Scores!$BK$2:$BK$158,"Ranked"),"")</f>
        <v/>
      </c>
      <c r="F8">
        <f>IFERROR(AVERAGEIFS(Scores!$BG$2:$BG$158,Scores!$D$2:$D$158,$A8,Scores!$BK$2:$BK$158,"Ranked"),"")</f>
        <v/>
      </c>
      <c r="G8">
        <f>IFERROR(INDEX(Scores!$B$2:$B$158,MATCH(MINIFS(Scores!$BM$2:$BM$158,Scores!$D$2:$D$158,$A8,Scores!$BK$2:$BK$158,"Ranked"),Scores!$BM$2:$BM$158,0)),"")</f>
        <v/>
      </c>
    </row>
    <row r="9">
      <c r="A9" t="inlineStr">
        <is>
          <t>Middle East</t>
        </is>
      </c>
      <c r="B9">
        <f>COUNTIFS(Scores!$D$2:$D$158,$A9,Scores!$BK$2:$BK$158,"Ranked")</f>
        <v/>
      </c>
      <c r="C9">
        <f>IFERROR(AVERAGEIFS(Scores!$BL$2:$BL$158,Scores!$D$2:$D$158,$A9,Scores!$BK$2:$BK$158,"Ranked"),"")</f>
        <v/>
      </c>
      <c r="D9">
        <f>IFERROR(AVERAGEIFS(Scores!$BI$2:$BI$158,Scores!$D$2:$D$158,$A9),"")</f>
        <v/>
      </c>
      <c r="E9">
        <f>IFERROR(AVERAGEIFS(Scores!$Q$2:$Q$158,Scores!$D$2:$D$158,$A9,Scores!$BK$2:$BK$158,"Ranked"),"")</f>
        <v/>
      </c>
      <c r="F9">
        <f>IFERROR(AVERAGEIFS(Scores!$BG$2:$BG$158,Scores!$D$2:$D$158,$A9,Scores!$BK$2:$BK$158,"Ranked"),"")</f>
        <v/>
      </c>
      <c r="G9">
        <f>IFERROR(INDEX(Scores!$B$2:$B$158,MATCH(MINIFS(Scores!$BM$2:$BM$158,Scores!$D$2:$D$158,$A9,Scores!$BK$2:$BK$158,"Ranked"),Scores!$BM$2:$BM$158,0)),"")</f>
        <v/>
      </c>
    </row>
    <row r="10">
      <c r="A10" t="inlineStr">
        <is>
          <t>Africa</t>
        </is>
      </c>
      <c r="B10">
        <f>COUNTIFS(Scores!$D$2:$D$158,$A10,Scores!$BK$2:$BK$158,"Ranked")</f>
        <v/>
      </c>
      <c r="C10">
        <f>IFERROR(AVERAGEIFS(Scores!$BL$2:$BL$158,Scores!$D$2:$D$158,$A10,Scores!$BK$2:$BK$158,"Ranked"),"")</f>
        <v/>
      </c>
      <c r="D10">
        <f>IFERROR(AVERAGEIFS(Scores!$BI$2:$BI$158,Scores!$D$2:$D$158,$A10),"")</f>
        <v/>
      </c>
      <c r="E10">
        <f>IFERROR(AVERAGEIFS(Scores!$Q$2:$Q$158,Scores!$D$2:$D$158,$A10,Scores!$BK$2:$BK$158,"Ranked"),"")</f>
        <v/>
      </c>
      <c r="F10">
        <f>IFERROR(AVERAGEIFS(Scores!$BG$2:$BG$158,Scores!$D$2:$D$158,$A10,Scores!$BK$2:$BK$158,"Ranked"),"")</f>
        <v/>
      </c>
      <c r="G10">
        <f>IFERROR(INDEX(Scores!$B$2:$B$158,MATCH(MINIFS(Scores!$BM$2:$BM$158,Scores!$D$2:$D$158,$A10,Scores!$BK$2:$BK$158,"Ranked"),Scores!$BM$2:$BM$158,0)),"")</f>
        <v/>
      </c>
    </row>
    <row r="11">
      <c r="A11" t="inlineStr">
        <is>
          <t>Oceania</t>
        </is>
      </c>
      <c r="B11">
        <f>COUNTIFS(Scores!$D$2:$D$158,$A11,Scores!$BK$2:$BK$158,"Ranked")</f>
        <v/>
      </c>
      <c r="C11">
        <f>IFERROR(AVERAGEIFS(Scores!$BL$2:$BL$158,Scores!$D$2:$D$158,$A11,Scores!$BK$2:$BK$158,"Ranked"),"")</f>
        <v/>
      </c>
      <c r="D11">
        <f>IFERROR(AVERAGEIFS(Scores!$BI$2:$BI$158,Scores!$D$2:$D$158,$A11),"")</f>
        <v/>
      </c>
      <c r="E11">
        <f>IFERROR(AVERAGEIFS(Scores!$Q$2:$Q$158,Scores!$D$2:$D$158,$A11,Scores!$BK$2:$BK$158,"Ranked"),"")</f>
        <v/>
      </c>
      <c r="F11">
        <f>IFERROR(AVERAGEIFS(Scores!$BG$2:$BG$158,Scores!$D$2:$D$158,$A11,Scores!$BK$2:$BK$158,"Ranked"),"")</f>
        <v/>
      </c>
      <c r="G11">
        <f>IFERROR(INDEX(Scores!$B$2:$B$158,MATCH(MINIFS(Scores!$BM$2:$BM$158,Scores!$D$2:$D$158,$A11,Scores!$BK$2:$BK$158,"Ranked"),Scores!$BM$2:$BM$158,0)),"")</f>
        <v/>
      </c>
    </row>
  </sheetData>
  <autoFilter ref="A1:G1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5" customWidth="1" min="4" max="4"/>
    <col width="17" customWidth="1" min="5" max="5"/>
    <col width="16" customWidth="1" min="6" max="6"/>
    <col width="14" customWidth="1" min="7" max="7"/>
    <col width="22" customWidth="1" min="8" max="8"/>
    <col width="15" customWidth="1" min="9" max="9"/>
    <col width="12" customWidth="1" min="10" max="10"/>
    <col width="23" customWidth="1" min="11" max="11"/>
    <col width="28" customWidth="1" min="12" max="12"/>
    <col width="28" customWidth="1" min="13" max="13"/>
    <col width="28" customWidth="1" min="14" max="14"/>
  </cols>
  <sheetData>
    <row r="1">
      <c r="A1" s="6" t="inlineStr">
        <is>
          <t>city_id</t>
        </is>
      </c>
      <c r="B1" s="6" t="inlineStr">
        <is>
          <t>display_name</t>
        </is>
      </c>
      <c r="C1" s="6" t="inlineStr">
        <is>
          <t>province</t>
        </is>
      </c>
      <c r="D1" s="6" t="inlineStr">
        <is>
          <t>province_gdp_per_capita</t>
        </is>
      </c>
      <c r="E1" s="6" t="inlineStr">
        <is>
          <t>pollution_index</t>
        </is>
      </c>
      <c r="F1" s="6" t="inlineStr">
        <is>
          <t>hospital_count</t>
        </is>
      </c>
      <c r="G1" s="6" t="inlineStr">
        <is>
          <t>school_count</t>
        </is>
      </c>
      <c r="H1" s="6" t="inlineStr">
        <is>
          <t>infrastructure_index</t>
        </is>
      </c>
      <c r="I1" s="6" t="inlineStr">
        <is>
          <t>median_income</t>
        </is>
      </c>
      <c r="J1" s="6" t="inlineStr">
        <is>
          <t>longevity</t>
        </is>
      </c>
      <c r="K1" s="6" t="inlineStr">
        <is>
          <t>competitiveness_index</t>
        </is>
      </c>
      <c r="L1" s="6" t="inlineStr">
        <is>
          <t>thai_slic_score</t>
        </is>
      </c>
      <c r="M1" s="6" t="inlineStr">
        <is>
          <t>rank</t>
        </is>
      </c>
      <c r="N1" s="6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Bangkok</t>
        </is>
      </c>
      <c r="L2" s="13">
        <f>IF(COUNT(D2:K2)=0,"",(IF(D2="",0,IF(COUNT($D$2:$D$12)&gt;=2,PERCENTRANK.INC($D$2:$D$12,D2)*100,"")*0.15)+IF(E2="",0,IF(COUNT($E$2:$E$12)&gt;=2,(1-PERCENTRANK.INC($E$2:$E$12,E2))*100,"")*0.15)+IF(F2="",0,IF(COUNT($F$2:$F$12)&gt;=2,PERCENTRANK.INC($F$2:$F$12,F2)*100,"")*0.15)+IF(G2="",0,IF(COUNT($G$2:$G$12)&gt;=2,PERCENTRANK.INC($G$2:$G$12,G2)*100,"")*0.10)+IF(H2="",0,IF(COUNT($H$2:$H$12)&gt;=2,PERCENTRANK.INC($H$2:$H$12,H2)*100,"")*0.10)+IF(I2="",0,IF(COUNT($I$2:$I$12)&gt;=2,PERCENTRANK.INC($I$2:$I$12,I2)*100,"")*0.15)+IF(J2="",0,IF(COUNT($J$2:$J$12)&gt;=2,PERCENTRANK.INC($J$2:$J$12,J2)*100,"")*0.10)+IF(K2="",0,IF(COUNT($K$2:$K$12)&gt;=2,PERCENTRANK.INC($K$2:$K$12,K2)*100,"")*0.10))/(IF(D2="",0,0.15)+IF(E2="",0,0.15)+IF(F2="",0,0.15)+IF(G2="",0,0.10)+IF(H2="",0,0.10)+IF(I2="",0,0.15)+IF(J2="",0,0.10)+IF(K2="",0,0.10)))</f>
        <v/>
      </c>
      <c r="M2" s="13">
        <f>IF(L2="", "", 1+COUNTIF($L$2:$L$12, "&gt;"&amp;L2))</f>
        <v/>
      </c>
      <c r="N2" s="3" t="inlineStr">
        <is>
          <t>Thailand-only companion ranking. This sheet is intentionally separate from global SLIC so province and city data can be handled with Thai-specific logic.</t>
        </is>
      </c>
    </row>
    <row r="3">
      <c r="A3" t="inlineStr">
        <is>
          <t>th-chonburi</t>
        </is>
      </c>
      <c r="B3" t="inlineStr">
        <is>
          <t>Chonburi-Pattaya</t>
        </is>
      </c>
      <c r="C3" t="inlineStr">
        <is>
          <t>Chonburi</t>
        </is>
      </c>
      <c r="L3" s="13">
        <f>IF(COUNT(D3:K3)=0,"",(IF(D3="",0,IF(COUNT($D$2:$D$12)&gt;=2,PERCENTRANK.INC($D$2:$D$12,D3)*100,"")*0.15)+IF(E3="",0,IF(COUNT($E$2:$E$12)&gt;=2,(1-PERCENTRANK.INC($E$2:$E$12,E3))*100,"")*0.15)+IF(F3="",0,IF(COUNT($F$2:$F$12)&gt;=2,PERCENTRANK.INC($F$2:$F$12,F3)*100,"")*0.15)+IF(G3="",0,IF(COUNT($G$2:$G$12)&gt;=2,PERCENTRANK.INC($G$2:$G$12,G3)*100,"")*0.10)+IF(H3="",0,IF(COUNT($H$2:$H$12)&gt;=2,PERCENTRANK.INC($H$2:$H$12,H3)*100,"")*0.10)+IF(I3="",0,IF(COUNT($I$2:$I$12)&gt;=2,PERCENTRANK.INC($I$2:$I$12,I3)*100,"")*0.15)+IF(J3="",0,IF(COUNT($J$2:$J$12)&gt;=2,PERCENTRANK.INC($J$2:$J$12,J3)*100,"")*0.10)+IF(K3="",0,IF(COUNT($K$2:$K$12)&gt;=2,PERCENTRANK.INC($K$2:$K$12,K3)*100,"")*0.10))/(IF(D3="",0,0.15)+IF(E3="",0,0.15)+IF(F3="",0,0.15)+IF(G3="",0,0.10)+IF(H3="",0,0.10)+IF(I3="",0,0.15)+IF(J3="",0,0.10)+IF(K3="",0,0.10)))</f>
        <v/>
      </c>
      <c r="M3" s="13">
        <f>IF(L3="", "", 1+COUNTIF($L$2:$L$12, "&gt;"&amp;L3))</f>
        <v/>
      </c>
    </row>
    <row r="4">
      <c r="A4" t="inlineStr">
        <is>
          <t>th-phuket</t>
        </is>
      </c>
      <c r="B4" t="inlineStr">
        <is>
          <t>Phuket</t>
        </is>
      </c>
      <c r="C4" t="inlineStr">
        <is>
          <t>Phuket</t>
        </is>
      </c>
      <c r="L4" s="13">
        <f>IF(COUNT(D4:K4)=0,"",(IF(D4="",0,IF(COUNT($D$2:$D$12)&gt;=2,PERCENTRANK.INC($D$2:$D$12,D4)*100,"")*0.15)+IF(E4="",0,IF(COUNT($E$2:$E$12)&gt;=2,(1-PERCENTRANK.INC($E$2:$E$12,E4))*100,"")*0.15)+IF(F4="",0,IF(COUNT($F$2:$F$12)&gt;=2,PERCENTRANK.INC($F$2:$F$12,F4)*100,"")*0.15)+IF(G4="",0,IF(COUNT($G$2:$G$12)&gt;=2,PERCENTRANK.INC($G$2:$G$12,G4)*100,"")*0.10)+IF(H4="",0,IF(COUNT($H$2:$H$12)&gt;=2,PERCENTRANK.INC($H$2:$H$12,H4)*100,"")*0.10)+IF(I4="",0,IF(COUNT($I$2:$I$12)&gt;=2,PERCENTRANK.INC($I$2:$I$12,I4)*100,"")*0.15)+IF(J4="",0,IF(COUNT($J$2:$J$12)&gt;=2,PERCENTRANK.INC($J$2:$J$12,J4)*100,"")*0.10)+IF(K4="",0,IF(COUNT($K$2:$K$12)&gt;=2,PERCENTRANK.INC($K$2:$K$12,K4)*100,"")*0.10))/(IF(D4="",0,0.15)+IF(E4="",0,0.15)+IF(F4="",0,0.15)+IF(G4="",0,0.10)+IF(H4="",0,0.10)+IF(I4="",0,0.15)+IF(J4="",0,0.10)+IF(K4="",0,0.10)))</f>
        <v/>
      </c>
      <c r="M4" s="13">
        <f>IF(L4="", "", 1+COUNTIF($L$2:$L$12, "&gt;"&amp;L4))</f>
        <v/>
      </c>
    </row>
    <row r="5">
      <c r="A5" t="inlineStr">
        <is>
          <t>th-chiang-mai</t>
        </is>
      </c>
      <c r="B5" t="inlineStr">
        <is>
          <t>Chiang Mai</t>
        </is>
      </c>
      <c r="C5" t="inlineStr">
        <is>
          <t>Chiang Mai</t>
        </is>
      </c>
      <c r="L5" s="13">
        <f>IF(COUNT(D5:K5)=0,"",(IF(D5="",0,IF(COUNT($D$2:$D$12)&gt;=2,PERCENTRANK.INC($D$2:$D$12,D5)*100,"")*0.15)+IF(E5="",0,IF(COUNT($E$2:$E$12)&gt;=2,(1-PERCENTRANK.INC($E$2:$E$12,E5))*100,"")*0.15)+IF(F5="",0,IF(COUNT($F$2:$F$12)&gt;=2,PERCENTRANK.INC($F$2:$F$12,F5)*100,"")*0.15)+IF(G5="",0,IF(COUNT($G$2:$G$12)&gt;=2,PERCENTRANK.INC($G$2:$G$12,G5)*100,"")*0.10)+IF(H5="",0,IF(COUNT($H$2:$H$12)&gt;=2,PERCENTRANK.INC($H$2:$H$12,H5)*100,"")*0.10)+IF(I5="",0,IF(COUNT($I$2:$I$12)&gt;=2,PERCENTRANK.INC($I$2:$I$12,I5)*100,"")*0.15)+IF(J5="",0,IF(COUNT($J$2:$J$12)&gt;=2,PERCENTRANK.INC($J$2:$J$12,J5)*100,"")*0.10)+IF(K5="",0,IF(COUNT($K$2:$K$12)&gt;=2,PERCENTRANK.INC($K$2:$K$12,K5)*100,"")*0.10))/(IF(D5="",0,0.15)+IF(E5="",0,0.15)+IF(F5="",0,0.15)+IF(G5="",0,0.10)+IF(H5="",0,0.10)+IF(I5="",0,0.15)+IF(J5="",0,0.10)+IF(K5="",0,0.10)))</f>
        <v/>
      </c>
      <c r="M5" s="13">
        <f>IF(L5="", "", 1+COUNTIF($L$2:$L$12, "&gt;"&amp;L5))</f>
        <v/>
      </c>
    </row>
    <row r="6">
      <c r="A6" t="inlineStr">
        <is>
          <t>th-chiang-rai</t>
        </is>
      </c>
      <c r="B6" t="inlineStr">
        <is>
          <t>Chiang Rai</t>
        </is>
      </c>
      <c r="C6" t="inlineStr">
        <is>
          <t>Chiang Rai</t>
        </is>
      </c>
      <c r="L6" s="13">
        <f>IF(COUNT(D6:K6)=0,"",(IF(D6="",0,IF(COUNT($D$2:$D$12)&gt;=2,PERCENTRANK.INC($D$2:$D$12,D6)*100,"")*0.15)+IF(E6="",0,IF(COUNT($E$2:$E$12)&gt;=2,(1-PERCENTRANK.INC($E$2:$E$12,E6))*100,"")*0.15)+IF(F6="",0,IF(COUNT($F$2:$F$12)&gt;=2,PERCENTRANK.INC($F$2:$F$12,F6)*100,"")*0.15)+IF(G6="",0,IF(COUNT($G$2:$G$12)&gt;=2,PERCENTRANK.INC($G$2:$G$12,G6)*100,"")*0.10)+IF(H6="",0,IF(COUNT($H$2:$H$12)&gt;=2,PERCENTRANK.INC($H$2:$H$12,H6)*100,"")*0.10)+IF(I6="",0,IF(COUNT($I$2:$I$12)&gt;=2,PERCENTRANK.INC($I$2:$I$12,I6)*100,"")*0.15)+IF(J6="",0,IF(COUNT($J$2:$J$12)&gt;=2,PERCENTRANK.INC($J$2:$J$12,J6)*100,"")*0.10)+IF(K6="",0,IF(COUNT($K$2:$K$12)&gt;=2,PERCENTRANK.INC($K$2:$K$12,K6)*100,"")*0.10))/(IF(D6="",0,0.15)+IF(E6="",0,0.15)+IF(F6="",0,0.15)+IF(G6="",0,0.10)+IF(H6="",0,0.10)+IF(I6="",0,0.15)+IF(J6="",0,0.10)+IF(K6="",0,0.10)))</f>
        <v/>
      </c>
      <c r="M6" s="13">
        <f>IF(L6="", "", 1+COUNTIF($L$2:$L$12, "&gt;"&amp;L6))</f>
        <v/>
      </c>
    </row>
    <row r="7">
      <c r="A7" t="inlineStr">
        <is>
          <t>th-nakhon-si-thammarat</t>
        </is>
      </c>
      <c r="B7" t="inlineStr">
        <is>
          <t>Nakhon Si Thammarat</t>
        </is>
      </c>
      <c r="C7" t="inlineStr">
        <is>
          <t>Nakhon Si Thammarat</t>
        </is>
      </c>
      <c r="L7" s="13">
        <f>IF(COUNT(D7:K7)=0,"",(IF(D7="",0,IF(COUNT($D$2:$D$12)&gt;=2,PERCENTRANK.INC($D$2:$D$12,D7)*100,"")*0.15)+IF(E7="",0,IF(COUNT($E$2:$E$12)&gt;=2,(1-PERCENTRANK.INC($E$2:$E$12,E7))*100,"")*0.15)+IF(F7="",0,IF(COUNT($F$2:$F$12)&gt;=2,PERCENTRANK.INC($F$2:$F$12,F7)*100,"")*0.15)+IF(G7="",0,IF(COUNT($G$2:$G$12)&gt;=2,PERCENTRANK.INC($G$2:$G$12,G7)*100,"")*0.10)+IF(H7="",0,IF(COUNT($H$2:$H$12)&gt;=2,PERCENTRANK.INC($H$2:$H$12,H7)*100,"")*0.10)+IF(I7="",0,IF(COUNT($I$2:$I$12)&gt;=2,PERCENTRANK.INC($I$2:$I$12,I7)*100,"")*0.15)+IF(J7="",0,IF(COUNT($J$2:$J$12)&gt;=2,PERCENTRANK.INC($J$2:$J$12,J7)*100,"")*0.10)+IF(K7="",0,IF(COUNT($K$2:$K$12)&gt;=2,PERCENTRANK.INC($K$2:$K$12,K7)*100,"")*0.10))/(IF(D7="",0,0.15)+IF(E7="",0,0.15)+IF(F7="",0,0.15)+IF(G7="",0,0.10)+IF(H7="",0,0.10)+IF(I7="",0,0.15)+IF(J7="",0,0.10)+IF(K7="",0,0.10)))</f>
        <v/>
      </c>
      <c r="M7" s="13">
        <f>IF(L7="", "", 1+COUNTIF($L$2:$L$12, "&gt;"&amp;L7))</f>
        <v/>
      </c>
    </row>
    <row r="8">
      <c r="A8" t="inlineStr">
        <is>
          <t>th-nakhon-ratchasima</t>
        </is>
      </c>
      <c r="B8" t="inlineStr">
        <is>
          <t>Nakhon Ratchasima</t>
        </is>
      </c>
      <c r="C8" t="inlineStr">
        <is>
          <t>Nakhon Ratchasima</t>
        </is>
      </c>
      <c r="L8" s="13">
        <f>IF(COUNT(D8:K8)=0,"",(IF(D8="",0,IF(COUNT($D$2:$D$12)&gt;=2,PERCENTRANK.INC($D$2:$D$12,D8)*100,"")*0.15)+IF(E8="",0,IF(COUNT($E$2:$E$12)&gt;=2,(1-PERCENTRANK.INC($E$2:$E$12,E8))*100,"")*0.15)+IF(F8="",0,IF(COUNT($F$2:$F$12)&gt;=2,PERCENTRANK.INC($F$2:$F$12,F8)*100,"")*0.15)+IF(G8="",0,IF(COUNT($G$2:$G$12)&gt;=2,PERCENTRANK.INC($G$2:$G$12,G8)*100,"")*0.10)+IF(H8="",0,IF(COUNT($H$2:$H$12)&gt;=2,PERCENTRANK.INC($H$2:$H$12,H8)*100,"")*0.10)+IF(I8="",0,IF(COUNT($I$2:$I$12)&gt;=2,PERCENTRANK.INC($I$2:$I$12,I8)*100,"")*0.15)+IF(J8="",0,IF(COUNT($J$2:$J$12)&gt;=2,PERCENTRANK.INC($J$2:$J$12,J8)*100,"")*0.10)+IF(K8="",0,IF(COUNT($K$2:$K$12)&gt;=2,PERCENTRANK.INC($K$2:$K$12,K8)*100,"")*0.10))/(IF(D8="",0,0.15)+IF(E8="",0,0.15)+IF(F8="",0,0.15)+IF(G8="",0,0.10)+IF(H8="",0,0.10)+IF(I8="",0,0.15)+IF(J8="",0,0.10)+IF(K8="",0,0.10)))</f>
        <v/>
      </c>
      <c r="M8" s="13">
        <f>IF(L8="", "", 1+COUNTIF($L$2:$L$12, "&gt;"&amp;L8))</f>
        <v/>
      </c>
    </row>
    <row r="9">
      <c r="A9" t="inlineStr">
        <is>
          <t>th-khon-kaen</t>
        </is>
      </c>
      <c r="B9" t="inlineStr">
        <is>
          <t>Khon Kaen</t>
        </is>
      </c>
      <c r="C9" t="inlineStr">
        <is>
          <t>Khon Kaen</t>
        </is>
      </c>
      <c r="L9" s="13">
        <f>IF(COUNT(D9:K9)=0,"",(IF(D9="",0,IF(COUNT($D$2:$D$12)&gt;=2,PERCENTRANK.INC($D$2:$D$12,D9)*100,"")*0.15)+IF(E9="",0,IF(COUNT($E$2:$E$12)&gt;=2,(1-PERCENTRANK.INC($E$2:$E$12,E9))*100,"")*0.15)+IF(F9="",0,IF(COUNT($F$2:$F$12)&gt;=2,PERCENTRANK.INC($F$2:$F$12,F9)*100,"")*0.15)+IF(G9="",0,IF(COUNT($G$2:$G$12)&gt;=2,PERCENTRANK.INC($G$2:$G$12,G9)*100,"")*0.10)+IF(H9="",0,IF(COUNT($H$2:$H$12)&gt;=2,PERCENTRANK.INC($H$2:$H$12,H9)*100,"")*0.10)+IF(I9="",0,IF(COUNT($I$2:$I$12)&gt;=2,PERCENTRANK.INC($I$2:$I$12,I9)*100,"")*0.15)+IF(J9="",0,IF(COUNT($J$2:$J$12)&gt;=2,PERCENTRANK.INC($J$2:$J$12,J9)*100,"")*0.10)+IF(K9="",0,IF(COUNT($K$2:$K$12)&gt;=2,PERCENTRANK.INC($K$2:$K$12,K9)*100,"")*0.10))/(IF(D9="",0,0.15)+IF(E9="",0,0.15)+IF(F9="",0,0.15)+IF(G9="",0,0.10)+IF(H9="",0,0.10)+IF(I9="",0,0.15)+IF(J9="",0,0.10)+IF(K9="",0,0.10)))</f>
        <v/>
      </c>
      <c r="M9" s="13">
        <f>IF(L9="", "", 1+COUNTIF($L$2:$L$12, "&gt;"&amp;L9))</f>
        <v/>
      </c>
    </row>
    <row r="10">
      <c r="A10" t="inlineStr">
        <is>
          <t>th-ubon-ratchathani</t>
        </is>
      </c>
      <c r="B10" t="inlineStr">
        <is>
          <t>Ubon Ratchathani</t>
        </is>
      </c>
      <c r="C10" t="inlineStr">
        <is>
          <t>Ubon Ratchathani</t>
        </is>
      </c>
      <c r="L10" s="13">
        <f>IF(COUNT(D10:K10)=0,"",(IF(D10="",0,IF(COUNT($D$2:$D$12)&gt;=2,PERCENTRANK.INC($D$2:$D$12,D10)*100,"")*0.15)+IF(E10="",0,IF(COUNT($E$2:$E$12)&gt;=2,(1-PERCENTRANK.INC($E$2:$E$12,E10))*100,"")*0.15)+IF(F10="",0,IF(COUNT($F$2:$F$12)&gt;=2,PERCENTRANK.INC($F$2:$F$12,F10)*100,"")*0.15)+IF(G10="",0,IF(COUNT($G$2:$G$12)&gt;=2,PERCENTRANK.INC($G$2:$G$12,G10)*100,"")*0.10)+IF(H10="",0,IF(COUNT($H$2:$H$12)&gt;=2,PERCENTRANK.INC($H$2:$H$12,H10)*100,"")*0.10)+IF(I10="",0,IF(COUNT($I$2:$I$12)&gt;=2,PERCENTRANK.INC($I$2:$I$12,I10)*100,"")*0.15)+IF(J10="",0,IF(COUNT($J$2:$J$12)&gt;=2,PERCENTRANK.INC($J$2:$J$12,J10)*100,"")*0.10)+IF(K10="",0,IF(COUNT($K$2:$K$12)&gt;=2,PERCENTRANK.INC($K$2:$K$12,K10)*100,"")*0.10))/(IF(D10="",0,0.15)+IF(E10="",0,0.15)+IF(F10="",0,0.15)+IF(G10="",0,0.10)+IF(H10="",0,0.10)+IF(I10="",0,0.15)+IF(J10="",0,0.10)+IF(K10="",0,0.10)))</f>
        <v/>
      </c>
      <c r="M10" s="13">
        <f>IF(L10="", "", 1+COUNTIF($L$2:$L$12, "&gt;"&amp;L10))</f>
        <v/>
      </c>
    </row>
    <row r="11">
      <c r="A11" t="inlineStr">
        <is>
          <t>th-surat-thani</t>
        </is>
      </c>
      <c r="B11" t="inlineStr">
        <is>
          <t>Surat Thani</t>
        </is>
      </c>
      <c r="C11" t="inlineStr">
        <is>
          <t>Surat Thani</t>
        </is>
      </c>
      <c r="L11" s="13">
        <f>IF(COUNT(D11:K11)=0,"",(IF(D11="",0,IF(COUNT($D$2:$D$12)&gt;=2,PERCENTRANK.INC($D$2:$D$12,D11)*100,"")*0.15)+IF(E11="",0,IF(COUNT($E$2:$E$12)&gt;=2,(1-PERCENTRANK.INC($E$2:$E$12,E11))*100,"")*0.15)+IF(F11="",0,IF(COUNT($F$2:$F$12)&gt;=2,PERCENTRANK.INC($F$2:$F$12,F11)*100,"")*0.15)+IF(G11="",0,IF(COUNT($G$2:$G$12)&gt;=2,PERCENTRANK.INC($G$2:$G$12,G11)*100,"")*0.10)+IF(H11="",0,IF(COUNT($H$2:$H$12)&gt;=2,PERCENTRANK.INC($H$2:$H$12,H11)*100,"")*0.10)+IF(I11="",0,IF(COUNT($I$2:$I$12)&gt;=2,PERCENTRANK.INC($I$2:$I$12,I11)*100,"")*0.15)+IF(J11="",0,IF(COUNT($J$2:$J$12)&gt;=2,PERCENTRANK.INC($J$2:$J$12,J11)*100,"")*0.10)+IF(K11="",0,IF(COUNT($K$2:$K$12)&gt;=2,PERCENTRANK.INC($K$2:$K$12,K11)*100,"")*0.10))/(IF(D11="",0,0.15)+IF(E11="",0,0.15)+IF(F11="",0,0.15)+IF(G11="",0,0.10)+IF(H11="",0,0.10)+IF(I11="",0,0.15)+IF(J11="",0,0.10)+IF(K11="",0,0.10)))</f>
        <v/>
      </c>
      <c r="M11" s="13">
        <f>IF(L11="", "", 1+COUNTIF($L$2:$L$12, "&gt;"&amp;L11))</f>
        <v/>
      </c>
    </row>
    <row r="12">
      <c r="A12" t="inlineStr">
        <is>
          <t>th-hat-yai</t>
        </is>
      </c>
      <c r="B12" t="inlineStr">
        <is>
          <t>Hat Yai</t>
        </is>
      </c>
      <c r="C12" t="inlineStr">
        <is>
          <t>Songkhla</t>
        </is>
      </c>
      <c r="L12" s="13">
        <f>IF(COUNT(D12:K12)=0,"",(IF(D12="",0,IF(COUNT($D$2:$D$12)&gt;=2,PERCENTRANK.INC($D$2:$D$12,D12)*100,"")*0.15)+IF(E12="",0,IF(COUNT($E$2:$E$12)&gt;=2,(1-PERCENTRANK.INC($E$2:$E$12,E12))*100,"")*0.15)+IF(F12="",0,IF(COUNT($F$2:$F$12)&gt;=2,PERCENTRANK.INC($F$2:$F$12,F12)*100,"")*0.15)+IF(G12="",0,IF(COUNT($G$2:$G$12)&gt;=2,PERCENTRANK.INC($G$2:$G$12,G12)*100,"")*0.10)+IF(H12="",0,IF(COUNT($H$2:$H$12)&gt;=2,PERCENTRANK.INC($H$2:$H$12,H12)*100,"")*0.10)+IF(I12="",0,IF(COUNT($I$2:$I$12)&gt;=2,PERCENTRANK.INC($I$2:$I$12,I12)*100,"")*0.15)+IF(J12="",0,IF(COUNT($J$2:$J$12)&gt;=2,PERCENTRANK.INC($J$2:$J$12,J12)*100,"")*0.10)+IF(K12="",0,IF(COUNT($K$2:$K$12)&gt;=2,PERCENTRANK.INC($K$2:$K$12,K12)*100,"")*0.10))/(IF(D12="",0,0.15)+IF(E12="",0,0.15)+IF(F12="",0,0.15)+IF(G12="",0,0.10)+IF(H12="",0,0.10)+IF(I12="",0,0.15)+IF(J12="",0,0.10)+IF(K12="",0,0.10)))</f>
        <v/>
      </c>
      <c r="M12" s="13">
        <f>IF(L12="", "", 1+COUNTIF($L$2:$L$12, "&gt;"&amp;L12))</f>
        <v/>
      </c>
    </row>
  </sheetData>
  <autoFilter ref="A1:N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0" customWidth="1" min="2" max="2"/>
    <col width="12" customWidth="1" min="3" max="3"/>
    <col width="31" customWidth="1" min="4" max="4"/>
    <col width="28" customWidth="1" min="5" max="5"/>
    <col width="17" customWidth="1" min="6" max="6"/>
    <col width="16" customWidth="1" min="7" max="7"/>
    <col width="40" customWidth="1" min="8" max="8"/>
  </cols>
  <sheetData>
    <row r="1">
      <c r="A1" s="19" t="inlineStr">
        <is>
          <t>provider_id</t>
        </is>
      </c>
      <c r="B1" s="19" t="inlineStr">
        <is>
          <t>name</t>
        </is>
      </c>
      <c r="C1" s="19" t="inlineStr">
        <is>
          <t>tier</t>
        </is>
      </c>
      <c r="D1" s="19" t="inlineStr">
        <is>
          <t>scope</t>
        </is>
      </c>
      <c r="E1" s="19" t="inlineStr">
        <is>
          <t>allowed_host</t>
        </is>
      </c>
      <c r="F1" s="19" t="inlineStr">
        <is>
          <t>allow_any_https</t>
        </is>
      </c>
      <c r="G1" s="19" t="inlineStr">
        <is>
          <t>reference_only</t>
        </is>
      </c>
      <c r="H1" s="19" t="inlineStr">
        <is>
          <t>notes</t>
        </is>
      </c>
    </row>
    <row r="2">
      <c r="A2" t="inlineStr">
        <is>
          <t>city_official_portal</t>
        </is>
      </c>
      <c r="B2" t="inlineStr">
        <is>
          <t>City or metro official portal</t>
        </is>
      </c>
      <c r="C2" t="inlineStr">
        <is>
          <t>Tier 1</t>
        </is>
      </c>
      <c r="D2" t="inlineStr">
        <is>
          <t>city_or_metro</t>
        </is>
      </c>
      <c r="E2" t="inlineStr"/>
      <c r="F2" t="inlineStr">
        <is>
          <t>true</t>
        </is>
      </c>
      <c r="G2" t="inlineStr">
        <is>
          <t>false</t>
        </is>
      </c>
      <c r="H2" t="inlineStr">
        <is>
          <t>Use for municipal statistical offices, city open-data portals, transit authorities, or water and utility agencies.</t>
        </is>
      </c>
    </row>
    <row r="3">
      <c r="A3" t="inlineStr">
        <is>
          <t>subnational_official_portal</t>
        </is>
      </c>
      <c r="B3" t="inlineStr">
        <is>
          <t>State or provincial official portal</t>
        </is>
      </c>
      <c r="C3" t="inlineStr">
        <is>
          <t>Tier 2</t>
        </is>
      </c>
      <c r="D3" t="inlineStr">
        <is>
          <t>subnational</t>
        </is>
      </c>
      <c r="E3" t="inlineStr"/>
      <c r="F3" t="inlineStr">
        <is>
          <t>true</t>
        </is>
      </c>
      <c r="G3" t="inlineStr">
        <is>
          <t>false</t>
        </is>
      </c>
      <c r="H3" t="inlineStr">
        <is>
          <t>Use for provincial, prefectural, or metropolitan statistical offices and observatories.</t>
        </is>
      </c>
    </row>
    <row r="4">
      <c r="A4" t="inlineStr">
        <is>
          <t>national_statistical_office</t>
        </is>
      </c>
      <c r="B4" t="inlineStr">
        <is>
          <t>National statistical office</t>
        </is>
      </c>
      <c r="C4" t="inlineStr">
        <is>
          <t>Tier 3</t>
        </is>
      </c>
      <c r="D4" t="inlineStr">
        <is>
          <t>national</t>
        </is>
      </c>
      <c r="E4" t="inlineStr"/>
      <c r="F4" t="inlineStr">
        <is>
          <t>true</t>
        </is>
      </c>
      <c r="G4" t="inlineStr">
        <is>
          <t>false</t>
        </is>
      </c>
      <c r="H4" t="inlineStr">
        <is>
          <t>Use for official national statistics portals when a city metric is only available nationally or by subnational breakdown.</t>
        </is>
      </c>
    </row>
    <row r="5">
      <c r="A5" t="inlineStr">
        <is>
          <t>world_bank</t>
        </is>
      </c>
      <c r="B5" t="inlineStr">
        <is>
          <t>World Bank Data</t>
        </is>
      </c>
      <c r="C5" t="inlineStr">
        <is>
          <t>Tier 3</t>
        </is>
      </c>
      <c r="D5" t="inlineStr">
        <is>
          <t>international</t>
        </is>
      </c>
      <c r="E5" t="inlineStr">
        <is>
          <t>worldbank.org</t>
        </is>
      </c>
      <c r="F5" t="inlineStr">
        <is>
          <t>false</t>
        </is>
      </c>
      <c r="G5" t="inlineStr">
        <is>
          <t>false</t>
        </is>
      </c>
      <c r="H5" t="inlineStr">
        <is>
          <t>Recommended for GDP per capita PPP, growth, inequality context, and related official international baselines.</t>
        </is>
      </c>
    </row>
    <row r="6">
      <c r="A6" t="inlineStr">
        <is>
          <t>who_gho</t>
        </is>
      </c>
      <c r="B6" t="inlineStr">
        <is>
          <t>WHO Global Health Observatory</t>
        </is>
      </c>
      <c r="C6" t="inlineStr">
        <is>
          <t>Tier 3</t>
        </is>
      </c>
      <c r="D6" t="inlineStr">
        <is>
          <t>international</t>
        </is>
      </c>
      <c r="E6" t="inlineStr">
        <is>
          <t>who.int</t>
        </is>
      </c>
      <c r="F6" t="inlineStr">
        <is>
          <t>false</t>
        </is>
      </c>
      <c r="G6" t="inlineStr">
        <is>
          <t>false</t>
        </is>
      </c>
      <c r="H6" t="inlineStr">
        <is>
          <t>Recommended for health and mortality baselines when city-level official releases are unavailable.</t>
        </is>
      </c>
    </row>
    <row r="7">
      <c r="A7" t="inlineStr">
        <is>
          <t>ilo_ilostat</t>
        </is>
      </c>
      <c r="B7" t="inlineStr">
        <is>
          <t>ILO ILOSTAT</t>
        </is>
      </c>
      <c r="C7" t="inlineStr">
        <is>
          <t>Tier 3</t>
        </is>
      </c>
      <c r="D7" t="inlineStr">
        <is>
          <t>international</t>
        </is>
      </c>
      <c r="E7" t="inlineStr">
        <is>
          <t>ilo.org</t>
        </is>
      </c>
      <c r="F7" t="inlineStr">
        <is>
          <t>false</t>
        </is>
      </c>
      <c r="G7" t="inlineStr">
        <is>
          <t>false</t>
        </is>
      </c>
      <c r="H7" t="inlineStr">
        <is>
          <t>Recommended for labour, work-time, and employment pressure indicators.</t>
        </is>
      </c>
    </row>
    <row r="8">
      <c r="A8" t="inlineStr">
        <is>
          <t>who_unicef_jmp</t>
        </is>
      </c>
      <c r="B8" t="inlineStr">
        <is>
          <t>WHO/UNICEF JMP</t>
        </is>
      </c>
      <c r="C8" t="inlineStr">
        <is>
          <t>Tier 3</t>
        </is>
      </c>
      <c r="D8" t="inlineStr">
        <is>
          <t>international</t>
        </is>
      </c>
      <c r="E8" t="inlineStr">
        <is>
          <t>washdata.org</t>
        </is>
      </c>
      <c r="F8" t="inlineStr">
        <is>
          <t>false</t>
        </is>
      </c>
      <c r="G8" t="inlineStr">
        <is>
          <t>false</t>
        </is>
      </c>
      <c r="H8" t="inlineStr">
        <is>
          <t>Recommended for water, sanitation, and utility service baselines.</t>
        </is>
      </c>
    </row>
    <row r="9">
      <c r="A9" t="inlineStr">
        <is>
          <t>unesco_uis</t>
        </is>
      </c>
      <c r="B9" t="inlineStr">
        <is>
          <t>UNESCO UIS</t>
        </is>
      </c>
      <c r="C9" t="inlineStr">
        <is>
          <t>Tier 3</t>
        </is>
      </c>
      <c r="D9" t="inlineStr">
        <is>
          <t>international</t>
        </is>
      </c>
      <c r="E9" t="inlineStr">
        <is>
          <t>uis.unesco.org</t>
        </is>
      </c>
      <c r="F9" t="inlineStr">
        <is>
          <t>false</t>
        </is>
      </c>
      <c r="G9" t="inlineStr">
        <is>
          <t>false</t>
        </is>
      </c>
      <c r="H9" t="inlineStr">
        <is>
          <t>Recommended for education and human-capability indicators.</t>
        </is>
      </c>
    </row>
    <row r="10">
      <c r="A10" t="inlineStr">
        <is>
          <t>oecd_data</t>
        </is>
      </c>
      <c r="B10" t="inlineStr">
        <is>
          <t>OECD Data</t>
        </is>
      </c>
      <c r="C10" t="inlineStr">
        <is>
          <t>Tier 3</t>
        </is>
      </c>
      <c r="D10" t="inlineStr">
        <is>
          <t>international</t>
        </is>
      </c>
      <c r="E10" t="inlineStr">
        <is>
          <t>oecd.org</t>
        </is>
      </c>
      <c r="F10" t="inlineStr">
        <is>
          <t>false</t>
        </is>
      </c>
      <c r="G10" t="inlineStr">
        <is>
          <t>false</t>
        </is>
      </c>
      <c r="H10" t="inlineStr">
        <is>
          <t>Recommended for housing, health, education, and competitive-context baselines.</t>
        </is>
      </c>
    </row>
    <row r="11">
      <c r="A11" t="inlineStr">
        <is>
          <t>wipo_statistics</t>
        </is>
      </c>
      <c r="B11" t="inlineStr">
        <is>
          <t>WIPO IP Statistics</t>
        </is>
      </c>
      <c r="C11" t="inlineStr">
        <is>
          <t>Tier 3</t>
        </is>
      </c>
      <c r="D11" t="inlineStr">
        <is>
          <t>international</t>
        </is>
      </c>
      <c r="E11" t="inlineStr">
        <is>
          <t>wipo.int</t>
        </is>
      </c>
      <c r="F11" t="inlineStr">
        <is>
          <t>false</t>
        </is>
      </c>
      <c r="G11" t="inlineStr">
        <is>
          <t>false</t>
        </is>
      </c>
      <c r="H11" t="inlineStr">
        <is>
          <t>Recommended for innovation and research intensity proxies.</t>
        </is>
      </c>
    </row>
    <row r="12">
      <c r="A12" t="inlineStr">
        <is>
          <t>openaq</t>
        </is>
      </c>
      <c r="B12" t="inlineStr">
        <is>
          <t>OpenAQ</t>
        </is>
      </c>
      <c r="C12" t="inlineStr">
        <is>
          <t>Tier 4</t>
        </is>
      </c>
      <c r="D12" t="inlineStr">
        <is>
          <t>secondary</t>
        </is>
      </c>
      <c r="E12" t="inlineStr">
        <is>
          <t>openaq.org</t>
        </is>
      </c>
      <c r="F12" t="inlineStr">
        <is>
          <t>false</t>
        </is>
      </c>
      <c r="G12" t="inlineStr">
        <is>
          <t>false</t>
        </is>
      </c>
      <c r="H12" t="inlineStr">
        <is>
          <t>Audited secondary layer for air-quality coverage when official city feeds are thin.</t>
        </is>
      </c>
    </row>
    <row r="13">
      <c r="A13" t="inlineStr">
        <is>
          <t>mlab</t>
        </is>
      </c>
      <c r="B13" t="inlineStr">
        <is>
          <t>Measurement Lab</t>
        </is>
      </c>
      <c r="C13" t="inlineStr">
        <is>
          <t>Tier 4</t>
        </is>
      </c>
      <c r="D13" t="inlineStr">
        <is>
          <t>secondary</t>
        </is>
      </c>
      <c r="E13" t="inlineStr">
        <is>
          <t>measurementlab.net</t>
        </is>
      </c>
      <c r="F13" t="inlineStr">
        <is>
          <t>false</t>
        </is>
      </c>
      <c r="G13" t="inlineStr">
        <is>
          <t>false</t>
        </is>
      </c>
      <c r="H13" t="inlineStr">
        <is>
          <t>Audited secondary layer for digital-performance context.</t>
        </is>
      </c>
    </row>
    <row r="14">
      <c r="A14" t="inlineStr">
        <is>
          <t>economist_world_in_numbers</t>
        </is>
      </c>
      <c r="B14" t="inlineStr">
        <is>
          <t>The World in Numbers | The Economist</t>
        </is>
      </c>
      <c r="C14" t="inlineStr">
        <is>
          <t>Tier 4</t>
        </is>
      </c>
      <c r="D14" t="inlineStr">
        <is>
          <t>secondary_editorial_reference</t>
        </is>
      </c>
      <c r="E14" t="inlineStr">
        <is>
          <t>economist.com</t>
        </is>
      </c>
      <c r="F14" t="inlineStr">
        <is>
          <t>false</t>
        </is>
      </c>
      <c r="G14" t="inlineStr">
        <is>
          <t>true</t>
        </is>
      </c>
      <c r="H14" t="inlineStr">
        <is>
          <t>Internal analyst reference only. Do not use this provider directly in publishable Country_Context or City_Inputs scoring rows.</t>
        </is>
      </c>
    </row>
    <row r="15">
      <c r="A15" t="inlineStr">
        <is>
          <t>istat</t>
        </is>
      </c>
      <c r="B15" t="inlineStr">
        <is>
          <t>ISTAT</t>
        </is>
      </c>
      <c r="C15" t="inlineStr">
        <is>
          <t>Tier 3</t>
        </is>
      </c>
      <c r="D15" t="inlineStr">
        <is>
          <t>national</t>
        </is>
      </c>
      <c r="E15" t="inlineStr">
        <is>
          <t>istat.it</t>
        </is>
      </c>
      <c r="F15" t="inlineStr">
        <is>
          <t>false</t>
        </is>
      </c>
      <c r="G15" t="inlineStr">
        <is>
          <t>false</t>
        </is>
      </c>
      <c r="H15" t="inlineStr">
        <is>
          <t>Official Italian national statistical institute. Use for labour, prices, safety, education, and subnational social indicators.</t>
        </is>
      </c>
    </row>
    <row r="16">
      <c r="A16" t="inlineStr">
        <is>
          <t>banca_d_italia</t>
        </is>
      </c>
      <c r="B16" t="inlineStr">
        <is>
          <t>Banca d'Italia</t>
        </is>
      </c>
      <c r="C16" t="inlineStr">
        <is>
          <t>Tier 3</t>
        </is>
      </c>
      <c r="D16" t="inlineStr">
        <is>
          <t>national</t>
        </is>
      </c>
      <c r="E16" t="inlineStr">
        <is>
          <t>bancaditalia.it</t>
        </is>
      </c>
      <c r="F16" t="inlineStr">
        <is>
          <t>false</t>
        </is>
      </c>
      <c r="G16" t="inlineStr">
        <is>
          <t>false</t>
        </is>
      </c>
      <c r="H16" t="inlineStr">
        <is>
          <t>Official Bank of Italy source for credit, household finance, and territorial banking indicators.</t>
        </is>
      </c>
    </row>
    <row r="17">
      <c r="A17" t="inlineStr">
        <is>
          <t>agenzia_entrate_omi</t>
        </is>
      </c>
      <c r="B17" t="inlineStr">
        <is>
          <t>Agenzia delle Entrate OMI</t>
        </is>
      </c>
      <c r="C17" t="inlineStr">
        <is>
          <t>Tier 3</t>
        </is>
      </c>
      <c r="D17" t="inlineStr">
        <is>
          <t>national</t>
        </is>
      </c>
      <c r="E17" t="inlineStr">
        <is>
          <t>agenziaentrate.gov.it</t>
        </is>
      </c>
      <c r="F17" t="inlineStr">
        <is>
          <t>false</t>
        </is>
      </c>
      <c r="G17" t="inlineStr">
        <is>
          <t>false</t>
        </is>
      </c>
      <c r="H17" t="inlineStr">
        <is>
          <t>Official Property Market Observatory for housing and rent reference values in Italian cities.</t>
        </is>
      </c>
    </row>
    <row r="18">
      <c r="A18" t="inlineStr">
        <is>
          <t>comune_milano_open_data</t>
        </is>
      </c>
      <c r="B18" t="inlineStr">
        <is>
          <t>Comune di Milano Open Data</t>
        </is>
      </c>
      <c r="C18" t="inlineStr">
        <is>
          <t>Tier 1</t>
        </is>
      </c>
      <c r="D18" t="inlineStr">
        <is>
          <t>city_or_metro</t>
        </is>
      </c>
      <c r="E18" t="inlineStr">
        <is>
          <t>dati.comune.milano.it</t>
        </is>
      </c>
      <c r="F18" t="inlineStr">
        <is>
          <t>false</t>
        </is>
      </c>
      <c r="G18" t="inlineStr">
        <is>
          <t>false</t>
        </is>
      </c>
      <c r="H18" t="inlineStr">
        <is>
          <t>Official Comune di Milano open-data portal for city statistics, mobility, services, business activity, and civic indicators.</t>
        </is>
      </c>
    </row>
    <row r="19">
      <c r="A19" t="inlineStr">
        <is>
          <t>atm_milano</t>
        </is>
      </c>
      <c r="B19" t="inlineStr">
        <is>
          <t>ATM Milano</t>
        </is>
      </c>
      <c r="C19" t="inlineStr">
        <is>
          <t>Tier 1</t>
        </is>
      </c>
      <c r="D19" t="inlineStr">
        <is>
          <t>city_or_metro</t>
        </is>
      </c>
      <c r="E19" t="inlineStr">
        <is>
          <t>atm.it</t>
        </is>
      </c>
      <c r="F19" t="inlineStr">
        <is>
          <t>false</t>
        </is>
      </c>
      <c r="G19" t="inlineStr">
        <is>
          <t>false</t>
        </is>
      </c>
      <c r="H19" t="inlineStr">
        <is>
          <t>Official Milan public-transport operator for fares, service coverage, and network information.</t>
        </is>
      </c>
    </row>
    <row r="20">
      <c r="A20" t="inlineStr">
        <is>
          <t>arpa_lombardia</t>
        </is>
      </c>
      <c r="B20" t="inlineStr">
        <is>
          <t>ARPA Lombardia</t>
        </is>
      </c>
      <c r="C20" t="inlineStr">
        <is>
          <t>Tier 2</t>
        </is>
      </c>
      <c r="D20" t="inlineStr">
        <is>
          <t>subnational</t>
        </is>
      </c>
      <c r="E20" t="inlineStr">
        <is>
          <t>arpalombardia.it</t>
        </is>
      </c>
      <c r="F20" t="inlineStr">
        <is>
          <t>false</t>
        </is>
      </c>
      <c r="G20" t="inlineStr">
        <is>
          <t>false</t>
        </is>
      </c>
      <c r="H20" t="inlineStr">
        <is>
          <t>Official Lombardy regional environmental protection agency for air quality and environmental monitoring.</t>
        </is>
      </c>
    </row>
    <row r="21">
      <c r="A21" t="inlineStr">
        <is>
          <t>mm_milano</t>
        </is>
      </c>
      <c r="B21" t="inlineStr">
        <is>
          <t>MM S.p.A.</t>
        </is>
      </c>
      <c r="C21" t="inlineStr">
        <is>
          <t>Tier 2</t>
        </is>
      </c>
      <c r="D21" t="inlineStr">
        <is>
          <t>utility_operator</t>
        </is>
      </c>
      <c r="E21" t="inlineStr">
        <is>
          <t>mmspa.eu</t>
        </is>
      </c>
      <c r="F21" t="inlineStr">
        <is>
          <t>false</t>
        </is>
      </c>
      <c r="G21" t="inlineStr">
        <is>
          <t>false</t>
        </is>
      </c>
      <c r="H21" t="inlineStr">
        <is>
          <t>Official Milan utility operator for water-service and network performance information.</t>
        </is>
      </c>
    </row>
    <row r="22">
      <c r="A22" t="inlineStr">
        <is>
          <t>comune_bologna</t>
        </is>
      </c>
      <c r="B22" t="inlineStr">
        <is>
          <t>Comune di Bologna</t>
        </is>
      </c>
      <c r="C22" t="inlineStr">
        <is>
          <t>Tier 1</t>
        </is>
      </c>
      <c r="D22" t="inlineStr">
        <is>
          <t>city_or_metro</t>
        </is>
      </c>
      <c r="E22" t="inlineStr">
        <is>
          <t>comune.bologna.it</t>
        </is>
      </c>
      <c r="F22" t="inlineStr">
        <is>
          <t>false</t>
        </is>
      </c>
      <c r="G22" t="inlineStr">
        <is>
          <t>false</t>
        </is>
      </c>
      <c r="H22" t="inlineStr">
        <is>
          <t>Official Comune di Bologna portal for city programmes, civic services, culture, and local statistics.</t>
        </is>
      </c>
    </row>
    <row r="23">
      <c r="A23" t="inlineStr">
        <is>
          <t>comune_bologna_open_data</t>
        </is>
      </c>
      <c r="B23" t="inlineStr">
        <is>
          <t>Comune di Bologna Open Data</t>
        </is>
      </c>
      <c r="C23" t="inlineStr">
        <is>
          <t>Tier 1</t>
        </is>
      </c>
      <c r="D23" t="inlineStr">
        <is>
          <t>city_or_metro</t>
        </is>
      </c>
      <c r="E23" t="inlineStr">
        <is>
          <t>opendata.comune.bologna.it</t>
        </is>
      </c>
      <c r="F23" t="inlineStr">
        <is>
          <t>false</t>
        </is>
      </c>
      <c r="G23" t="inlineStr">
        <is>
          <t>false</t>
        </is>
      </c>
      <c r="H23" t="inlineStr">
        <is>
          <t>Official Comune di Bologna open-data portal for mobility, demographics, business, neighbourhood, and service indicators.</t>
        </is>
      </c>
    </row>
    <row r="24">
      <c r="A24" t="inlineStr">
        <is>
          <t>tper_bologna</t>
        </is>
      </c>
      <c r="B24" t="inlineStr">
        <is>
          <t>TPER Bologna</t>
        </is>
      </c>
      <c r="C24" t="inlineStr">
        <is>
          <t>Tier 1</t>
        </is>
      </c>
      <c r="D24" t="inlineStr">
        <is>
          <t>city_or_metro</t>
        </is>
      </c>
      <c r="E24" t="inlineStr">
        <is>
          <t>tper.it</t>
        </is>
      </c>
      <c r="F24" t="inlineStr">
        <is>
          <t>false</t>
        </is>
      </c>
      <c r="G24" t="inlineStr">
        <is>
          <t>false</t>
        </is>
      </c>
      <c r="H24" t="inlineStr">
        <is>
          <t>Official Bologna-area transport operator for fares, service information, and local transit network details.</t>
        </is>
      </c>
    </row>
    <row r="25">
      <c r="A25" t="inlineStr">
        <is>
          <t>arpae_emilia_romagna</t>
        </is>
      </c>
      <c r="B25" t="inlineStr">
        <is>
          <t>ARPAE Emilia-Romagna</t>
        </is>
      </c>
      <c r="C25" t="inlineStr">
        <is>
          <t>Tier 2</t>
        </is>
      </c>
      <c r="D25" t="inlineStr">
        <is>
          <t>subnational</t>
        </is>
      </c>
      <c r="E25" t="inlineStr">
        <is>
          <t>arpae.it</t>
        </is>
      </c>
      <c r="F25" t="inlineStr">
        <is>
          <t>false</t>
        </is>
      </c>
      <c r="G25" t="inlineStr">
        <is>
          <t>false</t>
        </is>
      </c>
      <c r="H25" t="inlineStr">
        <is>
          <t>Official Emilia-Romagna environmental agency for air, water, and local environmental quality monitoring.</t>
        </is>
      </c>
    </row>
    <row r="26">
      <c r="A26" t="inlineStr">
        <is>
          <t>gruppo_hera</t>
        </is>
      </c>
      <c r="B26" t="inlineStr">
        <is>
          <t>Gruppo Hera</t>
        </is>
      </c>
      <c r="C26" t="inlineStr">
        <is>
          <t>Tier 2</t>
        </is>
      </c>
      <c r="D26" t="inlineStr">
        <is>
          <t>utility_operator</t>
        </is>
      </c>
      <c r="E26" t="inlineStr">
        <is>
          <t>gruppohera.it</t>
        </is>
      </c>
      <c r="F26" t="inlineStr">
        <is>
          <t>false</t>
        </is>
      </c>
      <c r="G26" t="inlineStr">
        <is>
          <t>false</t>
        </is>
      </c>
      <c r="H26" t="inlineStr">
        <is>
          <t>Primary regional utility operator for Bologna-area water, waste, and utility service data.</t>
        </is>
      </c>
    </row>
    <row r="27">
      <c r="A27" t="inlineStr">
        <is>
          <t>thai_gov_pcd_rsc</t>
        </is>
      </c>
      <c r="B27" t="inlineStr">
        <is>
          <t>Thai Government PCD / RSC / MWA</t>
        </is>
      </c>
      <c r="C27" t="inlineStr">
        <is>
          <t>Tier 2</t>
        </is>
      </c>
      <c r="D27" t="inlineStr">
        <is>
          <t>subnational</t>
        </is>
      </c>
      <c r="E27" t="inlineStr"/>
      <c r="F27" t="inlineStr">
        <is>
          <t>true</t>
        </is>
      </c>
      <c r="G27" t="inlineStr">
        <is>
          <t>false</t>
        </is>
      </c>
      <c r="H27" t="inlineStr">
        <is>
          <t>Composite Thai subnational provider covering Pollution Control Department (PCD) air quality, Road Safety Centre (RSC) fatality statistics, and Metropolitan/Provincial Waterworks Authority (MWA/PWA) water coverage data.</t>
        </is>
      </c>
    </row>
    <row r="28">
      <c r="A28" t="inlineStr">
        <is>
          <t>wmo_natl_met</t>
        </is>
      </c>
      <c r="B28" t="inlineStr">
        <is>
          <t>WMO and National Meteorological Services</t>
        </is>
      </c>
      <c r="C28" t="inlineStr">
        <is>
          <t>Tier 3</t>
        </is>
      </c>
      <c r="D28" t="inlineStr">
        <is>
          <t>national_international</t>
        </is>
      </c>
      <c r="E28" t="inlineStr">
        <is>
          <t>worldweather.wmo.int</t>
        </is>
      </c>
      <c r="F28" t="inlineStr">
        <is>
          <t>true</t>
        </is>
      </c>
      <c r="G28" t="inlineStr">
        <is>
          <t>false</t>
        </is>
      </c>
      <c r="H28" t="inlineStr">
        <is>
          <t>World Meteorological Organization and national met services. Climate normals, sunshine hours, temperature records.</t>
        </is>
      </c>
    </row>
    <row r="29">
      <c r="A29" t="inlineStr">
        <is>
          <t>teleport_cities</t>
        </is>
      </c>
      <c r="B29" t="inlineStr">
        <is>
          <t>Teleport Cities API</t>
        </is>
      </c>
      <c r="C29" t="inlineStr">
        <is>
          <t>Tier 4</t>
        </is>
      </c>
      <c r="D29" t="inlineStr">
        <is>
          <t>secondary</t>
        </is>
      </c>
      <c r="E29" t="inlineStr">
        <is>
          <t>teleport.org</t>
        </is>
      </c>
      <c r="F29" t="inlineStr">
        <is>
          <t>false</t>
        </is>
      </c>
      <c r="G29" t="inlineStr">
        <is>
          <t>false</t>
        </is>
      </c>
      <c r="H29" t="inlineStr">
        <is>
          <t>Aggregated city-level cost-of-living, commute, and internet data from Teleport. Use as fallback when higher-tier official sources are unavailable.</t>
        </is>
      </c>
    </row>
    <row r="30">
      <c r="A30" t="inlineStr">
        <is>
          <t>oecd_better_life</t>
        </is>
      </c>
      <c r="B30" t="inlineStr">
        <is>
          <t>OECD Better Life Index</t>
        </is>
      </c>
      <c r="C30" t="inlineStr">
        <is>
          <t>Tier 3</t>
        </is>
      </c>
      <c r="D30" t="inlineStr">
        <is>
          <t>international</t>
        </is>
      </c>
      <c r="E30" t="inlineStr">
        <is>
          <t>oecd.org</t>
        </is>
      </c>
      <c r="F30" t="inlineStr">
        <is>
          <t>false</t>
        </is>
      </c>
      <c r="G30" t="inlineStr">
        <is>
          <t>false</t>
        </is>
      </c>
      <c r="H30" t="inlineStr">
        <is>
          <t>OECD Better Life Index for housing expenditure, disposable income, and working hours. Country-level proxy applied to all cities in each OECD member.</t>
        </is>
      </c>
    </row>
    <row r="31">
      <c r="A31" t="inlineStr">
        <is>
          <t>slic_analyst</t>
        </is>
      </c>
      <c r="B31" t="inlineStr">
        <is>
          <t>SLIC Index Analyst Assessment</t>
        </is>
      </c>
      <c r="C31" t="inlineStr">
        <is>
          <t>Tier 5</t>
        </is>
      </c>
      <c r="D31" t="inlineStr">
        <is>
          <t>analyst_assessment</t>
        </is>
      </c>
      <c r="E31" t="inlineStr"/>
      <c r="F31" t="inlineStr">
        <is>
          <t>true</t>
        </is>
      </c>
      <c r="G31" t="inlineStr">
        <is>
          <t>true</t>
        </is>
      </c>
      <c r="H31" t="inlineStr">
        <is>
          <t>Internal analyst reference only. Do not use this provider in publishable scoring rows.</t>
        </is>
      </c>
    </row>
    <row r="32">
      <c r="A32" t="inlineStr">
        <is>
          <t>derived</t>
        </is>
      </c>
      <c r="B32" t="inlineStr">
        <is>
          <t>Derived Computation</t>
        </is>
      </c>
      <c r="C32" t="inlineStr">
        <is>
          <t>Tier 4</t>
        </is>
      </c>
      <c r="D32" t="inlineStr">
        <is>
          <t>secondary</t>
        </is>
      </c>
      <c r="E32" t="inlineStr"/>
      <c r="F32" t="inlineStr">
        <is>
          <t>true</t>
        </is>
      </c>
      <c r="G32" t="inlineStr">
        <is>
          <t>false</t>
        </is>
      </c>
      <c r="H32" t="inlineStr">
        <is>
          <t>Computed from other available fields in city_inputs.csv and country_context.csv.</t>
        </is>
      </c>
    </row>
    <row r="33">
      <c r="A33" t="inlineStr">
        <is>
          <t>world_bank_col_estimate</t>
        </is>
      </c>
      <c r="B33" t="inlineStr">
        <is>
          <t>World Bank GNI + Regional Expenditure Estimate</t>
        </is>
      </c>
      <c r="C33" t="inlineStr">
        <is>
          <t>Tier 4</t>
        </is>
      </c>
      <c r="D33" t="inlineStr">
        <is>
          <t>international</t>
        </is>
      </c>
      <c r="E33" t="inlineStr">
        <is>
          <t>worldbank.org</t>
        </is>
      </c>
      <c r="F33" t="inlineStr">
        <is>
          <t>false</t>
        </is>
      </c>
      <c r="G33" t="inlineStr">
        <is>
          <t>false</t>
        </is>
      </c>
      <c r="H33" t="inlineStr">
        <is>
          <t>Cost-of-living estimates derived from World Bank GNI per capita PPP and regional household expenditure survey ratios.</t>
        </is>
      </c>
    </row>
    <row r="34">
      <c r="A34" t="inlineStr">
        <is>
          <t>taiwan_dgbas</t>
        </is>
      </c>
      <c r="B34" t="inlineStr">
        <is>
          <t>Directorate General of Budget, Accounting and Statistics (Taiwan)</t>
        </is>
      </c>
      <c r="C34" t="inlineStr">
        <is>
          <t>Tier 3</t>
        </is>
      </c>
      <c r="D34" t="inlineStr">
        <is>
          <t>national</t>
        </is>
      </c>
      <c r="E34" t="inlineStr">
        <is>
          <t>eng.dgbas.gov.tw</t>
        </is>
      </c>
      <c r="F34" t="inlineStr">
        <is>
          <t>false</t>
        </is>
      </c>
      <c r="G34" t="inlineStr">
        <is>
          <t>false</t>
        </is>
      </c>
      <c r="H34" t="inlineStr">
        <is>
          <t>Official Taiwan national statistical office for income</t>
        </is>
      </c>
    </row>
  </sheetData>
  <autoFilter ref="A1:H3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12" customWidth="1" min="3" max="3"/>
    <col width="29" customWidth="1" min="4" max="4"/>
    <col width="29" customWidth="1" min="5" max="5"/>
    <col width="40" customWidth="1" min="6" max="6"/>
    <col width="40" customWidth="1" min="7" max="7"/>
    <col width="40" customWidth="1" min="8" max="8"/>
  </cols>
  <sheetData>
    <row r="1">
      <c r="A1" s="19" t="inlineStr">
        <is>
          <t>field</t>
        </is>
      </c>
      <c r="B1" s="19" t="inlineStr">
        <is>
          <t>label</t>
        </is>
      </c>
      <c r="C1" s="19" t="inlineStr">
        <is>
          <t>pillar</t>
        </is>
      </c>
      <c r="D1" s="19" t="inlineStr">
        <is>
          <t>preferred_provider_id</t>
        </is>
      </c>
      <c r="E1" s="19" t="inlineStr">
        <is>
          <t>fallback_provider_id</t>
        </is>
      </c>
      <c r="F1" s="19" t="inlineStr">
        <is>
          <t>collection_hint</t>
        </is>
      </c>
      <c r="G1" s="19" t="inlineStr">
        <is>
          <t>minimum_evidence</t>
        </is>
      </c>
      <c r="H1" s="19" t="inlineStr">
        <is>
          <t>notes</t>
        </is>
      </c>
    </row>
    <row r="2">
      <c r="A2" t="inlineStr">
        <is>
          <t>gross_income</t>
        </is>
      </c>
      <c r="B2" t="inlineStr">
        <is>
          <t>Gross income</t>
        </is>
      </c>
      <c r="C2" t="inlineStr">
        <is>
          <t>pressure</t>
        </is>
      </c>
      <c r="D2" t="inlineStr">
        <is>
          <t>national_statistical_office</t>
        </is>
      </c>
      <c r="E2" t="inlineStr">
        <is>
          <t>city_official_portal</t>
        </is>
      </c>
      <c r="F2" t="inlineStr">
        <is>
          <t>Use disposable or median household income at city, metro, or closest urban functional-area level.</t>
        </is>
      </c>
      <c r="G2" t="inlineStr">
        <is>
          <t>Official city or metro income table with a clear reference year and local-currency definition.</t>
        </is>
      </c>
      <c r="H2" t="inlineStr">
        <is>
          <t>Avoid lifestyle blogs or commercial cost-of-living sites. National statistical microdata is acceptable if urban breakdowns are official.</t>
        </is>
      </c>
    </row>
    <row r="3">
      <c r="A3" t="inlineStr">
        <is>
          <t>di_ppp_raw</t>
        </is>
      </c>
      <c r="B3" t="inlineStr">
        <is>
          <t>Disposable income PPP (Raw)</t>
        </is>
      </c>
      <c r="C3" t="inlineStr">
        <is>
          <t>pressure</t>
        </is>
      </c>
      <c r="D3" t="inlineStr">
        <is>
          <t>derived</t>
        </is>
      </c>
      <c r="E3" t="inlineStr">
        <is>
          <t>world_bank</t>
        </is>
      </c>
      <c r="F3" t="inlineStr">
        <is>
          <t>Disposable income in PPP terms. Computed from components or taken from official regional surveys.</t>
        </is>
      </c>
      <c r="G3" t="inlineStr">
        <is>
          <t>Official income survey or a transparently documented combination of official revenue and cost sources.</t>
        </is>
      </c>
      <c r="H3" t="inlineStr">
        <is>
          <t>A core V3 metric. If computed manually, ensure all components (rent, food, etc.) are cited.</t>
        </is>
      </c>
    </row>
    <row r="4">
      <c r="A4" t="inlineStr">
        <is>
          <t>rent</t>
        </is>
      </c>
      <c r="B4" t="inlineStr">
        <is>
          <t>Rent</t>
        </is>
      </c>
      <c r="C4" t="inlineStr">
        <is>
          <t>pressure</t>
        </is>
      </c>
      <c r="D4" t="inlineStr">
        <is>
          <t>city_official_portal</t>
        </is>
      </c>
      <c r="E4" t="inlineStr">
        <is>
          <t>national_statistical_office</t>
        </is>
      </c>
      <c r="F4" t="inlineStr">
        <is>
          <t>Use official advertised or observed urban rent benchmarks for a standard long-stay dwelling.</t>
        </is>
      </c>
      <c r="G4" t="inlineStr">
        <is>
          <t>Official city, metro, or national housing dataset with dwelling type or square-metre basis stated.</t>
        </is>
      </c>
      <c r="H4" t="inlineStr">
        <is>
          <t>If multiple dwelling sizes are available, document the chosen standard in notes before entering the number.</t>
        </is>
      </c>
    </row>
    <row r="5">
      <c r="A5" t="inlineStr">
        <is>
          <t>utilities</t>
        </is>
      </c>
      <c r="B5" t="inlineStr">
        <is>
          <t>Utilities</t>
        </is>
      </c>
      <c r="C5" t="inlineStr">
        <is>
          <t>pressure</t>
        </is>
      </c>
      <c r="D5" t="inlineStr">
        <is>
          <t>city_official_portal</t>
        </is>
      </c>
      <c r="E5" t="inlineStr">
        <is>
          <t>subnational_official_portal</t>
        </is>
      </c>
      <c r="F5" t="inlineStr">
        <is>
          <t>Use official household utility tariffs or annual service-cost tables covering electricity, water, or bundled utilities.</t>
        </is>
      </c>
      <c r="G5" t="inlineStr">
        <is>
          <t>Official tariff schedule or utility regulator table with billing unit stated.</t>
        </is>
      </c>
      <c r="H5" t="inlineStr">
        <is>
          <t>If utilities are split across agencies, note the blend used in City_Inputs.</t>
        </is>
      </c>
    </row>
    <row r="6">
      <c r="A6" t="inlineStr">
        <is>
          <t>transit_cost</t>
        </is>
      </c>
      <c r="B6" t="inlineStr">
        <is>
          <t>Transit cost</t>
        </is>
      </c>
      <c r="C6" t="inlineStr">
        <is>
          <t>pressure</t>
        </is>
      </c>
      <c r="D6" t="inlineStr">
        <is>
          <t>city_official_portal</t>
        </is>
      </c>
      <c r="E6" t="inlineStr">
        <is>
          <t>subnational_official_portal</t>
        </is>
      </c>
      <c r="F6" t="inlineStr">
        <is>
          <t>Use the official adult fare for the standard recurring urban pass or ticket chosen for the method.</t>
        </is>
      </c>
      <c r="G6" t="inlineStr">
        <is>
          <t>Official transport authority fare table with validity period stated.</t>
        </is>
      </c>
      <c r="H6" t="inlineStr">
        <is>
          <t>Do not use trip-planner screenshots or resale pages as the source of record.</t>
        </is>
      </c>
    </row>
    <row r="7">
      <c r="A7" t="inlineStr">
        <is>
          <t>internet_cost</t>
        </is>
      </c>
      <c r="B7" t="inlineStr">
        <is>
          <t>Internet cost</t>
        </is>
      </c>
      <c r="C7" t="inlineStr">
        <is>
          <t>pressure</t>
        </is>
      </c>
      <c r="D7" t="inlineStr">
        <is>
          <t>national_statistical_office</t>
        </is>
      </c>
      <c r="E7" t="inlineStr">
        <is>
          <t>subnational_official_portal</t>
        </is>
      </c>
      <c r="F7" t="inlineStr">
        <is>
          <t>Use official communications regulator or statistical releases for household broadband pricing or affordability.</t>
        </is>
      </c>
      <c r="G7" t="inlineStr">
        <is>
          <t>Official regulator or statistical publication with broadband package definition and date.</t>
        </is>
      </c>
      <c r="H7" t="inlineStr">
        <is>
          <t>Commercial ISP landing pages are a weak fallback and should be avoided when official regulator data exists.</t>
        </is>
      </c>
    </row>
    <row r="8">
      <c r="A8" t="inlineStr">
        <is>
          <t>food_cost</t>
        </is>
      </c>
      <c r="B8" t="inlineStr">
        <is>
          <t>Food cost</t>
        </is>
      </c>
      <c r="C8" t="inlineStr">
        <is>
          <t>pressure</t>
        </is>
      </c>
      <c r="D8" t="inlineStr">
        <is>
          <t>national_statistical_office</t>
        </is>
      </c>
      <c r="E8" t="inlineStr">
        <is>
          <t>city_official_portal</t>
        </is>
      </c>
      <c r="F8" t="inlineStr">
        <is>
          <t>Use official consumer-price baskets, municipal market surveys, or urban CPI components.</t>
        </is>
      </c>
      <c r="G8" t="inlineStr">
        <is>
          <t>Official basket or price index release with city or metro scope explained.</t>
        </is>
      </c>
      <c r="H8" t="inlineStr">
        <is>
          <t>Document whether the number is a direct basket cost or an indexed proxy.</t>
        </is>
      </c>
    </row>
    <row r="9">
      <c r="A9" t="inlineStr">
        <is>
          <t>housing_burden_raw</t>
        </is>
      </c>
      <c r="B9" t="inlineStr">
        <is>
          <t>Housing burden raw</t>
        </is>
      </c>
      <c r="C9" t="inlineStr">
        <is>
          <t>pressure</t>
        </is>
      </c>
      <c r="D9" t="inlineStr">
        <is>
          <t>city_official_portal</t>
        </is>
      </c>
      <c r="E9" t="inlineStr">
        <is>
          <t>national_statistical_office</t>
        </is>
      </c>
      <c r="F9" t="inlineStr">
        <is>
          <t>Use official housing-cost share or combine official rent and official income sources transparently.</t>
        </is>
      </c>
      <c r="G9" t="inlineStr">
        <is>
          <t>Official burden ratio or a clearly documented manual combination of official rent and income sources.</t>
        </is>
      </c>
      <c r="H9" t="inlineStr">
        <is>
          <t>If you compute the burden manually, cite both upstream sources in notes.</t>
        </is>
      </c>
    </row>
    <row r="10">
      <c r="A10" t="inlineStr">
        <is>
          <t>household_debt_burden_raw</t>
        </is>
      </c>
      <c r="B10" t="inlineStr">
        <is>
          <t>Household debt burden raw</t>
        </is>
      </c>
      <c r="C10" t="inlineStr">
        <is>
          <t>pressure</t>
        </is>
      </c>
      <c r="D10" t="inlineStr">
        <is>
          <t>national_statistical_office</t>
        </is>
      </c>
      <c r="E10" t="inlineStr">
        <is>
          <t>oecd_data</t>
        </is>
      </c>
      <c r="F10" t="inlineStr">
        <is>
          <t>Use official household debt, arrears, or credit-burden indicators at city, metro, or closest functional-area level.</t>
        </is>
      </c>
      <c r="G10" t="inlineStr">
        <is>
          <t>Official household finance or credit-statistics release with geography and year stated.</t>
        </is>
      </c>
      <c r="H10" t="inlineStr">
        <is>
          <t>If only regional or national figures exist, mark that explicitly in notes before reuse.</t>
        </is>
      </c>
    </row>
    <row r="11">
      <c r="A11" t="inlineStr">
        <is>
          <t>working_time_pressure_raw</t>
        </is>
      </c>
      <c r="B11" t="inlineStr">
        <is>
          <t>Working time pressure raw</t>
        </is>
      </c>
      <c r="C11" t="inlineStr">
        <is>
          <t>pressure</t>
        </is>
      </c>
      <c r="D11" t="inlineStr">
        <is>
          <t>ilo_ilostat</t>
        </is>
      </c>
      <c r="E11" t="inlineStr">
        <is>
          <t>national_statistical_office</t>
        </is>
      </c>
      <c r="F11" t="inlineStr">
        <is>
          <t>Use average weekly hours, excessive-hours share, or equivalent official work-time pressure indicator.</t>
        </is>
      </c>
      <c r="G11" t="inlineStr">
        <is>
          <t>Official labour-force or work-time release with geography, unit, and reference period stated.</t>
        </is>
      </c>
      <c r="H11" t="inlineStr">
        <is>
          <t>Prefer urban breakdowns; otherwise use the closest official metro or regional labour market release.</t>
        </is>
      </c>
    </row>
    <row r="12">
      <c r="A12" t="inlineStr">
        <is>
          <t>suicide_mental_strain_raw</t>
        </is>
      </c>
      <c r="B12" t="inlineStr">
        <is>
          <t>Suicide or mental strain raw</t>
        </is>
      </c>
      <c r="C12" t="inlineStr">
        <is>
          <t>pressure</t>
        </is>
      </c>
      <c r="D12" t="inlineStr">
        <is>
          <t>who_gho</t>
        </is>
      </c>
      <c r="E12" t="inlineStr">
        <is>
          <t>national_statistical_office</t>
        </is>
      </c>
      <c r="F12" t="inlineStr">
        <is>
          <t>Use official suicide mortality, severe mental-health strain, or comparable public-health burden figures.</t>
        </is>
      </c>
      <c r="G12" t="inlineStr">
        <is>
          <t>Official health release with numerator basis and geography stated.</t>
        </is>
      </c>
      <c r="H12" t="inlineStr">
        <is>
          <t>Do not use editorial rankings or perception surveys for this field.</t>
        </is>
      </c>
    </row>
    <row r="13">
      <c r="A13" t="inlineStr">
        <is>
          <t>personal_safety_raw</t>
        </is>
      </c>
      <c r="B13" t="inlineStr">
        <is>
          <t>Personal safety raw</t>
        </is>
      </c>
      <c r="C13" t="inlineStr">
        <is>
          <t>viability</t>
        </is>
      </c>
      <c r="D13" t="inlineStr">
        <is>
          <t>city_official_portal</t>
        </is>
      </c>
      <c r="E13" t="inlineStr">
        <is>
          <t>national_statistical_office</t>
        </is>
      </c>
      <c r="F13" t="inlineStr">
        <is>
          <t>Use official crime incidence, victimisation, or public-safety releases covering the city or metro area.</t>
        </is>
      </c>
      <c r="G13" t="inlineStr">
        <is>
          <t>Official police, justice, or municipal safety dataset with geography and rate definition stated.</t>
        </is>
      </c>
      <c r="H13" t="inlineStr">
        <is>
          <t>Prefer incidence rates over narrative safety claims.</t>
        </is>
      </c>
    </row>
    <row r="14">
      <c r="A14" t="inlineStr">
        <is>
          <t>transit_access_commute_raw</t>
        </is>
      </c>
      <c r="B14" t="inlineStr">
        <is>
          <t>Transit access and commute raw</t>
        </is>
      </c>
      <c r="C14" t="inlineStr">
        <is>
          <t>viability</t>
        </is>
      </c>
      <c r="D14" t="inlineStr">
        <is>
          <t>city_official_portal</t>
        </is>
      </c>
      <c r="E14" t="inlineStr">
        <is>
          <t>subnational_official_portal</t>
        </is>
      </c>
      <c r="F14" t="inlineStr">
        <is>
          <t>Use official commute-time, service-coverage, or accessibility indicators from transport or mobility agencies.</t>
        </is>
      </c>
      <c r="G14" t="inlineStr">
        <is>
          <t>Official transport or mobility release with geography and calculation method stated.</t>
        </is>
      </c>
      <c r="H14" t="inlineStr">
        <is>
          <t>Network size alone is not enough; prefer measures tied to access or travel time.</t>
        </is>
      </c>
    </row>
    <row r="15">
      <c r="A15" t="inlineStr">
        <is>
          <t>clean_air_raw</t>
        </is>
      </c>
      <c r="B15" t="inlineStr">
        <is>
          <t>Clean air raw</t>
        </is>
      </c>
      <c r="C15" t="inlineStr">
        <is>
          <t>viability</t>
        </is>
      </c>
      <c r="D15" t="inlineStr">
        <is>
          <t>subnational_official_portal</t>
        </is>
      </c>
      <c r="E15" t="inlineStr">
        <is>
          <t>openaq</t>
        </is>
      </c>
      <c r="F15" t="inlineStr">
        <is>
          <t>Use official PM2.5, NO2, or composite air-quality monitoring results tied to the city or metro area.</t>
        </is>
      </c>
      <c r="G15" t="inlineStr">
        <is>
          <t>Official monitoring data with station coverage and time period stated.</t>
        </is>
      </c>
      <c r="H15" t="inlineStr">
        <is>
          <t>OpenAQ can be an audited fallback, but official environmental monitoring remains preferred.</t>
        </is>
      </c>
    </row>
    <row r="16">
      <c r="A16" t="inlineStr">
        <is>
          <t>water_sanitation_utility_raw</t>
        </is>
      </c>
      <c r="B16" t="inlineStr">
        <is>
          <t>Water, sanitation, and utility raw</t>
        </is>
      </c>
      <c r="C16" t="inlineStr">
        <is>
          <t>viability</t>
        </is>
      </c>
      <c r="D16" t="inlineStr">
        <is>
          <t>city_official_portal</t>
        </is>
      </c>
      <c r="E16" t="inlineStr">
        <is>
          <t>who_unicef_jmp</t>
        </is>
      </c>
      <c r="F16" t="inlineStr">
        <is>
          <t>Use official service continuity, potable-water quality, wastewater coverage, or utility reliability indicators.</t>
        </is>
      </c>
      <c r="G16" t="inlineStr">
        <is>
          <t>Official utility or public-health service release with city or metro scope stated.</t>
        </is>
      </c>
      <c r="H16" t="inlineStr">
        <is>
          <t>If several utilities serve the metro, document the aggregation rule used.</t>
        </is>
      </c>
    </row>
    <row r="17">
      <c r="A17" t="inlineStr">
        <is>
          <t>digital_infrastructure_raw</t>
        </is>
      </c>
      <c r="B17" t="inlineStr">
        <is>
          <t>Digital infrastructure raw</t>
        </is>
      </c>
      <c r="C17" t="inlineStr">
        <is>
          <t>viability</t>
        </is>
      </c>
      <c r="D17" t="inlineStr">
        <is>
          <t>subnational_official_portal</t>
        </is>
      </c>
      <c r="E17" t="inlineStr">
        <is>
          <t>mlab</t>
        </is>
      </c>
      <c r="F17" t="inlineStr">
        <is>
          <t>Use official broadband availability, fixed-speed coverage, or digital-service quality indicators.</t>
        </is>
      </c>
      <c r="G17" t="inlineStr">
        <is>
          <t>Official telecom or digital-infrastructure release with geography and metric definition stated.</t>
        </is>
      </c>
      <c r="H17" t="inlineStr">
        <is>
          <t>Measurement Lab is acceptable as audited context, but official digital coverage is preferred.</t>
        </is>
      </c>
    </row>
    <row r="18">
      <c r="A18" t="inlineStr">
        <is>
          <t>climate_sunlight_livability_raw</t>
        </is>
      </c>
      <c r="B18" t="inlineStr">
        <is>
          <t>Climate and sunlight livability raw</t>
        </is>
      </c>
      <c r="C18" t="inlineStr">
        <is>
          <t>viability</t>
        </is>
      </c>
      <c r="D18" t="inlineStr">
        <is>
          <t>wmo_natl_met</t>
        </is>
      </c>
      <c r="E18" t="inlineStr">
        <is>
          <t>national_statistical_office</t>
        </is>
      </c>
      <c r="F18" t="inlineStr">
        <is>
          <t>Composite of annual sunshine hours, temperature comfort (22 deg C optimum), and extreme weather frequency.</t>
        </is>
      </c>
      <c r="G18" t="inlineStr">
        <is>
          <t>WMO climate normals or national meteorological service data with annual averages.</t>
        </is>
      </c>
      <c r="H18" t="inlineStr">
        <is>
          <t>Penalizes both Nordic darkness and Gulf desert heat. Score reflects year-round outdoor livability.</t>
        </is>
      </c>
    </row>
    <row r="19">
      <c r="A19" t="inlineStr">
        <is>
          <t>healthcare_quality_raw</t>
        </is>
      </c>
      <c r="B19" t="inlineStr">
        <is>
          <t>Healthcare quality raw</t>
        </is>
      </c>
      <c r="C19" t="inlineStr">
        <is>
          <t>capability</t>
        </is>
      </c>
      <c r="D19" t="inlineStr">
        <is>
          <t>subnational_official_portal</t>
        </is>
      </c>
      <c r="E19" t="inlineStr">
        <is>
          <t>who_gho</t>
        </is>
      </c>
      <c r="F19" t="inlineStr">
        <is>
          <t>Use official healthcare access, capacity, outcomes, or service-quality indicators with city or metro relevance.</t>
        </is>
      </c>
      <c r="G19" t="inlineStr">
        <is>
          <t>Official health-system release with geography and measurement basis stated.</t>
        </is>
      </c>
      <c r="H19" t="inlineStr">
        <is>
          <t>Prefer local access or outcomes metrics over generic hospital counts.</t>
        </is>
      </c>
    </row>
    <row r="20">
      <c r="A20" t="inlineStr">
        <is>
          <t>education_quality_raw</t>
        </is>
      </c>
      <c r="B20" t="inlineStr">
        <is>
          <t>Education quality raw</t>
        </is>
      </c>
      <c r="C20" t="inlineStr">
        <is>
          <t>capability</t>
        </is>
      </c>
      <c r="D20" t="inlineStr">
        <is>
          <t>subnational_official_portal</t>
        </is>
      </c>
      <c r="E20" t="inlineStr">
        <is>
          <t>unesco_uis</t>
        </is>
      </c>
      <c r="F20" t="inlineStr">
        <is>
          <t>Use official school outcomes, completion, attainment, or tertiary-access indicators with local coverage.</t>
        </is>
      </c>
      <c r="G20" t="inlineStr">
        <is>
          <t>Official education release with geography and cohort definition stated.</t>
        </is>
      </c>
      <c r="H20" t="inlineStr">
        <is>
          <t>If only national figures exist, use them transparently and mark the loss of local granularity.</t>
        </is>
      </c>
    </row>
    <row r="21">
      <c r="A21" t="inlineStr">
        <is>
          <t>equal_opportunity_raw</t>
        </is>
      </c>
      <c r="B21" t="inlineStr">
        <is>
          <t>Equal opportunity raw</t>
        </is>
      </c>
      <c r="C21" t="inlineStr">
        <is>
          <t>capability</t>
        </is>
      </c>
      <c r="D21" t="inlineStr">
        <is>
          <t>national_statistical_office</t>
        </is>
      </c>
      <c r="E21" t="inlineStr">
        <is>
          <t>city_official_portal</t>
        </is>
      </c>
      <c r="F21" t="inlineStr">
        <is>
          <t>Use official inequality-of-access, social mobility, poverty, or inclusion indicators at city or metro scale.</t>
        </is>
      </c>
      <c r="G21" t="inlineStr">
        <is>
          <t>Official social or labour statistics release with geography and indicator definition stated.</t>
        </is>
      </c>
      <c r="H21" t="inlineStr">
        <is>
          <t>Do not duplicate the country Gini value here; use a local opportunity measure if available.</t>
        </is>
      </c>
    </row>
    <row r="22">
      <c r="A22" t="inlineStr">
        <is>
          <t>hospitality_belonging_raw</t>
        </is>
      </c>
      <c r="B22" t="inlineStr">
        <is>
          <t>Hospitality and belonging raw</t>
        </is>
      </c>
      <c r="C22" t="inlineStr">
        <is>
          <t>community</t>
        </is>
      </c>
      <c r="D22" t="inlineStr">
        <is>
          <t>city_official_portal</t>
        </is>
      </c>
      <c r="E22" t="inlineStr">
        <is>
          <t>subnational_official_portal</t>
        </is>
      </c>
      <c r="F22" t="inlineStr">
        <is>
          <t>Use official civic-participation, volunteerism, newcomer integration, or resident-satisfaction evidence.</t>
        </is>
      </c>
      <c r="G22" t="inlineStr">
        <is>
          <t>Official municipal or regional social-cohesion release with methodology stated.</t>
        </is>
      </c>
      <c r="H22" t="inlineStr">
        <is>
          <t>This field can rely on high-quality municipal surveys if the survey owner is official.</t>
        </is>
      </c>
    </row>
    <row r="23">
      <c r="A23" t="inlineStr">
        <is>
          <t>tolerance_pluralism_raw</t>
        </is>
      </c>
      <c r="B23" t="inlineStr">
        <is>
          <t>Tolerance and pluralism raw</t>
        </is>
      </c>
      <c r="C23" t="inlineStr">
        <is>
          <t>community</t>
        </is>
      </c>
      <c r="D23" t="inlineStr">
        <is>
          <t>national_statistical_office</t>
        </is>
      </c>
      <c r="E23" t="inlineStr">
        <is>
          <t>city_official_portal</t>
        </is>
      </c>
      <c r="F23" t="inlineStr">
        <is>
          <t>Use official diversity, anti-discrimination, inclusion, or rights-based indicators with urban relevance.</t>
        </is>
      </c>
      <c r="G23" t="inlineStr">
        <is>
          <t>Official demographic or inclusion release with geography and indicator basis stated.</t>
        </is>
      </c>
      <c r="H23" t="inlineStr">
        <is>
          <t>Prefer measured inclusion outcomes over branding statements or awards.</t>
        </is>
      </c>
    </row>
    <row r="24">
      <c r="A24" t="inlineStr">
        <is>
          <t>cultural_public_life_raw</t>
        </is>
      </c>
      <c r="B24" t="inlineStr">
        <is>
          <t>Cultural public life raw</t>
        </is>
      </c>
      <c r="C24" t="inlineStr">
        <is>
          <t>community</t>
        </is>
      </c>
      <c r="D24" t="inlineStr">
        <is>
          <t>city_official_portal</t>
        </is>
      </c>
      <c r="E24" t="inlineStr">
        <is>
          <t>subnational_official_portal</t>
        </is>
      </c>
      <c r="F24" t="inlineStr">
        <is>
          <t>Use official culture, library, museum, or events participation indicators tied to the city.</t>
        </is>
      </c>
      <c r="G24" t="inlineStr">
        <is>
          <t>Official municipal or regional culture release with attendance or availability measures stated.</t>
        </is>
      </c>
      <c r="H24" t="inlineStr">
        <is>
          <t>A structured city culture dataset is stronger than promotional tourism copy.</t>
        </is>
      </c>
    </row>
    <row r="25">
      <c r="A25" t="inlineStr">
        <is>
          <t>birth_rate_optimism_raw</t>
        </is>
      </c>
      <c r="B25" t="inlineStr">
        <is>
          <t>Birth rate and societal optimism raw</t>
        </is>
      </c>
      <c r="C25" t="inlineStr">
        <is>
          <t>community</t>
        </is>
      </c>
      <c r="D25" t="inlineStr">
        <is>
          <t>world_bank</t>
        </is>
      </c>
      <c r="E25" t="inlineStr">
        <is>
          <t>national_statistical_office</t>
        </is>
      </c>
      <c r="F25" t="inlineStr">
        <is>
          <t>Use total fertility rate (TFR) as a societal optimism proxy. Applied at national level.</t>
        </is>
      </c>
      <c r="G25" t="inlineStr">
        <is>
          <t>World Bank TFR data or official national statistics with clear reference year.</t>
        </is>
      </c>
      <c r="H25" t="inlineStr">
        <is>
          <t>Higher TFR signals greater societal confidence. Directionality is positive.</t>
        </is>
      </c>
    </row>
    <row r="26">
      <c r="A26" t="inlineStr">
        <is>
          <t>entrepreneurial_dynamism_raw</t>
        </is>
      </c>
      <c r="B26" t="inlineStr">
        <is>
          <t>Entrepreneurial dynamism raw</t>
        </is>
      </c>
      <c r="C26" t="inlineStr">
        <is>
          <t>creative</t>
        </is>
      </c>
      <c r="D26" t="inlineStr">
        <is>
          <t>city_official_portal</t>
        </is>
      </c>
      <c r="E26" t="inlineStr">
        <is>
          <t>national_statistical_office</t>
        </is>
      </c>
      <c r="F26" t="inlineStr">
        <is>
          <t>Use official business formation, enterprise density, startup registrations, or employer growth indicators.</t>
        </is>
      </c>
      <c r="G26" t="inlineStr">
        <is>
          <t>Official city, chamber, or national business-statistics release with urban geography stated.</t>
        </is>
      </c>
      <c r="H26" t="inlineStr">
        <is>
          <t>Prefer per-capita or rate-based indicators where possible.</t>
        </is>
      </c>
    </row>
    <row r="27">
      <c r="A27" t="inlineStr">
        <is>
          <t>innovation_research_intensity_raw</t>
        </is>
      </c>
      <c r="B27" t="inlineStr">
        <is>
          <t>Innovation and research raw</t>
        </is>
      </c>
      <c r="C27" t="inlineStr">
        <is>
          <t>creative</t>
        </is>
      </c>
      <c r="D27" t="inlineStr">
        <is>
          <t>city_official_portal</t>
        </is>
      </c>
      <c r="E27" t="inlineStr">
        <is>
          <t>wipo_statistics</t>
        </is>
      </c>
      <c r="F27" t="inlineStr">
        <is>
          <t>Use official patenting, R&amp;D, university research, or scientific-output indicators with local attribution.</t>
        </is>
      </c>
      <c r="G27" t="inlineStr">
        <is>
          <t>Official university, municipal, or national innovation release with geography and date stated.</t>
        </is>
      </c>
      <c r="H27" t="inlineStr">
        <is>
          <t>If you fall back to WIPO, explain how the local geography is inferred.</t>
        </is>
      </c>
    </row>
    <row r="28">
      <c r="A28" t="inlineStr">
        <is>
          <t>investment_signal_raw</t>
        </is>
      </c>
      <c r="B28" t="inlineStr">
        <is>
          <t>Investment signal raw</t>
        </is>
      </c>
      <c r="C28" t="inlineStr">
        <is>
          <t>creative</t>
        </is>
      </c>
      <c r="D28" t="inlineStr">
        <is>
          <t>city_official_portal</t>
        </is>
      </c>
      <c r="E28" t="inlineStr">
        <is>
          <t>oecd_data</t>
        </is>
      </c>
      <c r="F28" t="inlineStr">
        <is>
          <t>Use official investment project, capital expenditure, office absorption, or productive-enterprise growth indicators.</t>
        </is>
      </c>
      <c r="G28" t="inlineStr">
        <is>
          <t>Official economic development or statistical release with urban geography and year stated.</t>
        </is>
      </c>
      <c r="H28" t="inlineStr">
        <is>
          <t>Avoid PR roundups unless they are published by the city or official investment agency.</t>
        </is>
      </c>
    </row>
    <row r="29">
      <c r="A29" t="inlineStr">
        <is>
          <t>administrative_investment_friction_raw</t>
        </is>
      </c>
      <c r="B29" t="inlineStr">
        <is>
          <t>Administrative investment friction raw</t>
        </is>
      </c>
      <c r="C29" t="inlineStr">
        <is>
          <t>creative</t>
        </is>
      </c>
      <c r="D29" t="inlineStr">
        <is>
          <t>city_official_portal</t>
        </is>
      </c>
      <c r="E29" t="inlineStr">
        <is>
          <t>world_bank</t>
        </is>
      </c>
      <c r="F29" t="inlineStr">
        <is>
          <t>Use official permitting, licensing, or business-service turnaround metrics relevant to the city.</t>
        </is>
      </c>
      <c r="G29" t="inlineStr">
        <is>
          <t>Official service standard or regulatory performance release with a dated methodology.</t>
        </is>
      </c>
      <c r="H29" t="inlineStr">
        <is>
          <t>If only national ease-of-doing-business proxies exist, mark that clearly as a context fallback.</t>
        </is>
      </c>
    </row>
    <row r="30">
      <c r="A30" t="inlineStr">
        <is>
          <t>visitor_flow_context_raw</t>
        </is>
      </c>
      <c r="B30" t="inlineStr">
        <is>
          <t>Visitor flow context raw</t>
        </is>
      </c>
      <c r="C30" t="inlineStr">
        <is>
          <t>creative</t>
        </is>
      </c>
      <c r="D30" t="inlineStr">
        <is>
          <t>city_official_portal</t>
        </is>
      </c>
      <c r="E30" t="inlineStr">
        <is>
          <t>national_statistical_office</t>
        </is>
      </c>
      <c r="F30" t="inlineStr">
        <is>
          <t>Use official visitor arrivals, hotel nights, or tourism load indicators tied to the city.</t>
        </is>
      </c>
      <c r="G30" t="inlineStr">
        <is>
          <t>Official tourism or accommodation release with city or metro scope stated.</t>
        </is>
      </c>
      <c r="H30" t="inlineStr">
        <is>
          <t>This field is optional in the score, but it is useful context for sense-checking city dynamics.</t>
        </is>
      </c>
    </row>
  </sheetData>
  <autoFilter ref="A1:H3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40" customWidth="1" min="4" max="4"/>
    <col width="40" customWidth="1" min="5" max="5"/>
    <col width="12" customWidth="1" min="6" max="6"/>
    <col width="26" customWidth="1" min="7" max="7"/>
    <col width="25" customWidth="1" min="8" max="8"/>
    <col width="40" customWidth="1" min="9" max="9"/>
    <col width="40" customWidth="1" min="10" max="10"/>
    <col width="20" customWidth="1" min="11" max="11"/>
    <col width="12" customWidth="1" min="12" max="12"/>
    <col width="40" customWidth="1" min="13" max="13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field</t>
        </is>
      </c>
      <c r="E1" s="19" t="inlineStr">
        <is>
          <t>label</t>
        </is>
      </c>
      <c r="F1" s="19" t="inlineStr">
        <is>
          <t>pillar</t>
        </is>
      </c>
      <c r="G1" s="19" t="inlineStr">
        <is>
          <t>suggested_provider_id</t>
        </is>
      </c>
      <c r="H1" s="19" t="inlineStr">
        <is>
          <t>backup_provider_id</t>
        </is>
      </c>
      <c r="I1" s="19" t="inlineStr">
        <is>
          <t>source_url</t>
        </is>
      </c>
      <c r="J1" s="19" t="inlineStr">
        <is>
          <t>source_title</t>
        </is>
      </c>
      <c r="K1" s="19" t="inlineStr">
        <is>
          <t>last_verified_date</t>
        </is>
      </c>
      <c r="L1" s="19" t="inlineStr">
        <is>
          <t>priority</t>
        </is>
      </c>
      <c r="M1" s="19" t="inlineStr">
        <is>
          <t>notes</t>
        </is>
      </c>
    </row>
    <row r="2">
      <c r="A2" t="inlineStr">
        <is>
          <t>it-milan</t>
        </is>
      </c>
      <c r="B2" t="inlineStr">
        <is>
          <t>Milan</t>
        </is>
      </c>
      <c r="C2" t="inlineStr">
        <is>
          <t>Italy</t>
        </is>
      </c>
      <c r="D2" t="inlineStr">
        <is>
          <t>food_cost</t>
        </is>
      </c>
      <c r="E2" t="inlineStr">
        <is>
          <t>Food cost</t>
        </is>
      </c>
      <c r="F2" t="inlineStr">
        <is>
          <t>pressure</t>
        </is>
      </c>
      <c r="G2" t="inlineStr">
        <is>
          <t>comune_milano_open_data</t>
        </is>
      </c>
      <c r="H2" t="inlineStr">
        <is>
          <t>istat</t>
        </is>
      </c>
      <c r="I2" t="inlineStr">
        <is>
          <t>https://dati.comune.milano.it/</t>
        </is>
      </c>
      <c r="J2" t="inlineStr">
        <is>
          <t>Comune di Milano Open Data</t>
        </is>
      </c>
      <c r="K2" t="inlineStr">
        <is>
          <t>2026-03-12</t>
        </is>
      </c>
      <c r="L2" t="inlineStr">
        <is>
          <t>high</t>
        </is>
      </c>
      <c r="M2" t="inlineStr">
        <is>
          <t>Start with the city open-data portal or statistical yearbook. If the exact indicator is missing, escalate to ISTAT local series before entering a proxy.</t>
        </is>
      </c>
    </row>
    <row r="3">
      <c r="A3" t="inlineStr">
        <is>
          <t>it-milan</t>
        </is>
      </c>
      <c r="B3" t="inlineStr">
        <is>
          <t>Milan</t>
        </is>
      </c>
      <c r="C3" t="inlineStr">
        <is>
          <t>Italy</t>
        </is>
      </c>
      <c r="D3" t="inlineStr">
        <is>
          <t>digital_infrastructure_raw</t>
        </is>
      </c>
      <c r="E3" t="inlineStr">
        <is>
          <t>Digital infrastructure raw</t>
        </is>
      </c>
      <c r="F3" t="inlineStr">
        <is>
          <t>viability</t>
        </is>
      </c>
      <c r="G3" t="inlineStr">
        <is>
          <t>comune_milano_open_data</t>
        </is>
      </c>
      <c r="H3" t="inlineStr">
        <is>
          <t>istat</t>
        </is>
      </c>
      <c r="I3" t="inlineStr">
        <is>
          <t>https://dati.comune.milano.it/</t>
        </is>
      </c>
      <c r="J3" t="inlineStr">
        <is>
          <t>Comune di Milano Open Data</t>
        </is>
      </c>
      <c r="K3" t="inlineStr">
        <is>
          <t>2026-03-12</t>
        </is>
      </c>
      <c r="L3" t="inlineStr">
        <is>
          <t>high</t>
        </is>
      </c>
      <c r="M3" t="inlineStr">
        <is>
          <t>Start with the city open-data portal or statistical yearbook. If the exact indicator is missing, escalate to ISTAT local series before entering a proxy.</t>
        </is>
      </c>
    </row>
    <row r="4">
      <c r="A4" t="inlineStr">
        <is>
          <t>it-milan</t>
        </is>
      </c>
      <c r="B4" t="inlineStr">
        <is>
          <t>Milan</t>
        </is>
      </c>
      <c r="C4" t="inlineStr">
        <is>
          <t>Italy</t>
        </is>
      </c>
      <c r="D4" t="inlineStr">
        <is>
          <t>education_quality_raw</t>
        </is>
      </c>
      <c r="E4" t="inlineStr">
        <is>
          <t>Education quality raw</t>
        </is>
      </c>
      <c r="F4" t="inlineStr">
        <is>
          <t>capability</t>
        </is>
      </c>
      <c r="G4" t="inlineStr">
        <is>
          <t>comune_milano_open_data</t>
        </is>
      </c>
      <c r="H4" t="inlineStr">
        <is>
          <t>istat</t>
        </is>
      </c>
      <c r="I4" t="inlineStr">
        <is>
          <t>https://dati.comune.milano.it/</t>
        </is>
      </c>
      <c r="J4" t="inlineStr">
        <is>
          <t>Comune di Milano Open Data</t>
        </is>
      </c>
      <c r="K4" t="inlineStr">
        <is>
          <t>2026-03-12</t>
        </is>
      </c>
      <c r="L4" t="inlineStr">
        <is>
          <t>high</t>
        </is>
      </c>
      <c r="M4" t="inlineStr">
        <is>
          <t>Start with the city open-data portal or statistical yearbook. If the exact indicator is missing, escalate to ISTAT local series before entering a proxy.</t>
        </is>
      </c>
    </row>
    <row r="5">
      <c r="A5" t="inlineStr">
        <is>
          <t>it-milan</t>
        </is>
      </c>
      <c r="B5" t="inlineStr">
        <is>
          <t>Milan</t>
        </is>
      </c>
      <c r="C5" t="inlineStr">
        <is>
          <t>Italy</t>
        </is>
      </c>
      <c r="D5" t="inlineStr">
        <is>
          <t>equal_opportunity_raw</t>
        </is>
      </c>
      <c r="E5" t="inlineStr">
        <is>
          <t>Equal opportunity raw</t>
        </is>
      </c>
      <c r="F5" t="inlineStr">
        <is>
          <t>capability</t>
        </is>
      </c>
      <c r="G5" t="inlineStr">
        <is>
          <t>comune_milano_open_data</t>
        </is>
      </c>
      <c r="H5" t="inlineStr">
        <is>
          <t>istat</t>
        </is>
      </c>
      <c r="I5" t="inlineStr">
        <is>
          <t>https://dati.comune.milano.it/</t>
        </is>
      </c>
      <c r="J5" t="inlineStr">
        <is>
          <t>Comune di Milano Open Data</t>
        </is>
      </c>
      <c r="K5" t="inlineStr">
        <is>
          <t>2026-03-12</t>
        </is>
      </c>
      <c r="L5" t="inlineStr">
        <is>
          <t>high</t>
        </is>
      </c>
      <c r="M5" t="inlineStr">
        <is>
          <t>Start with the city open-data portal or statistical yearbook. If the exact indicator is missing, escalate to ISTAT local series before entering a proxy.</t>
        </is>
      </c>
    </row>
    <row r="6">
      <c r="A6" t="inlineStr">
        <is>
          <t>it-milan</t>
        </is>
      </c>
      <c r="B6" t="inlineStr">
        <is>
          <t>Milan</t>
        </is>
      </c>
      <c r="C6" t="inlineStr">
        <is>
          <t>Italy</t>
        </is>
      </c>
      <c r="D6" t="inlineStr">
        <is>
          <t>hospitality_belonging_raw</t>
        </is>
      </c>
      <c r="E6" t="inlineStr">
        <is>
          <t>Hospitality and belonging raw</t>
        </is>
      </c>
      <c r="F6" t="inlineStr">
        <is>
          <t>community</t>
        </is>
      </c>
      <c r="G6" t="inlineStr">
        <is>
          <t>comune_milano_open_data</t>
        </is>
      </c>
      <c r="H6" t="inlineStr">
        <is>
          <t>istat</t>
        </is>
      </c>
      <c r="I6" t="inlineStr">
        <is>
          <t>https://dati.comune.milano.it/</t>
        </is>
      </c>
      <c r="J6" t="inlineStr">
        <is>
          <t>Comune di Milano Open Data</t>
        </is>
      </c>
      <c r="K6" t="inlineStr">
        <is>
          <t>2026-03-12</t>
        </is>
      </c>
      <c r="L6" t="inlineStr">
        <is>
          <t>high</t>
        </is>
      </c>
      <c r="M6" t="inlineStr">
        <is>
          <t>Start with the city open-data portal or statistical yearbook. If the exact indicator is missing, escalate to ISTAT local series before entering a proxy.</t>
        </is>
      </c>
    </row>
    <row r="7">
      <c r="A7" t="inlineStr">
        <is>
          <t>it-milan</t>
        </is>
      </c>
      <c r="B7" t="inlineStr">
        <is>
          <t>Milan</t>
        </is>
      </c>
      <c r="C7" t="inlineStr">
        <is>
          <t>Italy</t>
        </is>
      </c>
      <c r="D7" t="inlineStr">
        <is>
          <t>tolerance_pluralism_raw</t>
        </is>
      </c>
      <c r="E7" t="inlineStr">
        <is>
          <t>Tolerance and pluralism raw</t>
        </is>
      </c>
      <c r="F7" t="inlineStr">
        <is>
          <t>community</t>
        </is>
      </c>
      <c r="G7" t="inlineStr">
        <is>
          <t>comune_milano_open_data</t>
        </is>
      </c>
      <c r="H7" t="inlineStr">
        <is>
          <t>istat</t>
        </is>
      </c>
      <c r="I7" t="inlineStr">
        <is>
          <t>https://dati.comune.milano.it/</t>
        </is>
      </c>
      <c r="J7" t="inlineStr">
        <is>
          <t>Comune di Milano Open Data</t>
        </is>
      </c>
      <c r="K7" t="inlineStr">
        <is>
          <t>2026-03-12</t>
        </is>
      </c>
      <c r="L7" t="inlineStr">
        <is>
          <t>high</t>
        </is>
      </c>
      <c r="M7" t="inlineStr">
        <is>
          <t>Start with the city open-data portal or statistical yearbook. If the exact indicator is missing, escalate to ISTAT local series before entering a proxy.</t>
        </is>
      </c>
    </row>
    <row r="8">
      <c r="A8" t="inlineStr">
        <is>
          <t>it-milan</t>
        </is>
      </c>
      <c r="B8" t="inlineStr">
        <is>
          <t>Milan</t>
        </is>
      </c>
      <c r="C8" t="inlineStr">
        <is>
          <t>Italy</t>
        </is>
      </c>
      <c r="D8" t="inlineStr">
        <is>
          <t>cultural_public_life_raw</t>
        </is>
      </c>
      <c r="E8" t="inlineStr">
        <is>
          <t>Cultural public life raw</t>
        </is>
      </c>
      <c r="F8" t="inlineStr">
        <is>
          <t>community</t>
        </is>
      </c>
      <c r="G8" t="inlineStr">
        <is>
          <t>comune_milano_open_data</t>
        </is>
      </c>
      <c r="H8" t="inlineStr">
        <is>
          <t>istat</t>
        </is>
      </c>
      <c r="I8" t="inlineStr">
        <is>
          <t>https://dati.comune.milano.it/</t>
        </is>
      </c>
      <c r="J8" t="inlineStr">
        <is>
          <t>Comune di Milano Open Data</t>
        </is>
      </c>
      <c r="K8" t="inlineStr">
        <is>
          <t>2026-03-12</t>
        </is>
      </c>
      <c r="L8" t="inlineStr">
        <is>
          <t>high</t>
        </is>
      </c>
      <c r="M8" t="inlineStr">
        <is>
          <t>Start with the city open-data portal or statistical yearbook. If the exact indicator is missing, escalate to ISTAT local series before entering a proxy.</t>
        </is>
      </c>
    </row>
    <row r="9">
      <c r="A9" t="inlineStr">
        <is>
          <t>it-milan</t>
        </is>
      </c>
      <c r="B9" t="inlineStr">
        <is>
          <t>Milan</t>
        </is>
      </c>
      <c r="C9" t="inlineStr">
        <is>
          <t>Italy</t>
        </is>
      </c>
      <c r="D9" t="inlineStr">
        <is>
          <t>innovation_research_intensity_raw</t>
        </is>
      </c>
      <c r="E9" t="inlineStr">
        <is>
          <t>Innovation and research raw</t>
        </is>
      </c>
      <c r="F9" t="inlineStr">
        <is>
          <t>creative</t>
        </is>
      </c>
      <c r="G9" t="inlineStr">
        <is>
          <t>comune_milano_open_data</t>
        </is>
      </c>
      <c r="H9" t="inlineStr">
        <is>
          <t>istat</t>
        </is>
      </c>
      <c r="I9" t="inlineStr">
        <is>
          <t>https://dati.comune.milano.it/</t>
        </is>
      </c>
      <c r="J9" t="inlineStr">
        <is>
          <t>Comune di Milano Open Data</t>
        </is>
      </c>
      <c r="K9" t="inlineStr">
        <is>
          <t>2026-03-12</t>
        </is>
      </c>
      <c r="L9" t="inlineStr">
        <is>
          <t>high</t>
        </is>
      </c>
      <c r="M9" t="inlineStr">
        <is>
          <t>Start with the city open-data portal or statistical yearbook. If the exact indicator is missing, escalate to ISTAT local series before entering a proxy.</t>
        </is>
      </c>
    </row>
    <row r="10">
      <c r="A10" t="inlineStr">
        <is>
          <t>it-milan</t>
        </is>
      </c>
      <c r="B10" t="inlineStr">
        <is>
          <t>Milan</t>
        </is>
      </c>
      <c r="C10" t="inlineStr">
        <is>
          <t>Italy</t>
        </is>
      </c>
      <c r="D10" t="inlineStr">
        <is>
          <t>investment_signal_raw</t>
        </is>
      </c>
      <c r="E10" t="inlineStr">
        <is>
          <t>Investment signal raw</t>
        </is>
      </c>
      <c r="F10" t="inlineStr">
        <is>
          <t>creative</t>
        </is>
      </c>
      <c r="G10" t="inlineStr">
        <is>
          <t>comune_milano_open_data</t>
        </is>
      </c>
      <c r="H10" t="inlineStr">
        <is>
          <t>istat</t>
        </is>
      </c>
      <c r="I10" t="inlineStr">
        <is>
          <t>https://dati.comune.milano.it/</t>
        </is>
      </c>
      <c r="J10" t="inlineStr">
        <is>
          <t>Comune di Milano Open Data</t>
        </is>
      </c>
      <c r="K10" t="inlineStr">
        <is>
          <t>2026-03-12</t>
        </is>
      </c>
      <c r="L10" t="inlineStr">
        <is>
          <t>high</t>
        </is>
      </c>
      <c r="M10" t="inlineStr">
        <is>
          <t>Start with the city open-data portal or statistical yearbook. If the exact indicator is missing, escalate to ISTAT local series before entering a proxy.</t>
        </is>
      </c>
    </row>
    <row r="11">
      <c r="A11" t="inlineStr">
        <is>
          <t>it-milan</t>
        </is>
      </c>
      <c r="B11" t="inlineStr">
        <is>
          <t>Milan</t>
        </is>
      </c>
      <c r="C11" t="inlineStr">
        <is>
          <t>Italy</t>
        </is>
      </c>
      <c r="D11" t="inlineStr">
        <is>
          <t>administrative_investment_friction_raw</t>
        </is>
      </c>
      <c r="E11" t="inlineStr">
        <is>
          <t>Administrative investment friction raw</t>
        </is>
      </c>
      <c r="F11" t="inlineStr">
        <is>
          <t>creative</t>
        </is>
      </c>
      <c r="G11" t="inlineStr">
        <is>
          <t>comune_milano_open_data</t>
        </is>
      </c>
      <c r="H11" t="inlineStr">
        <is>
          <t>istat</t>
        </is>
      </c>
      <c r="I11" t="inlineStr">
        <is>
          <t>https://dati.comune.milano.it/</t>
        </is>
      </c>
      <c r="J11" t="inlineStr">
        <is>
          <t>Comune di Milano Open Data</t>
        </is>
      </c>
      <c r="K11" t="inlineStr">
        <is>
          <t>2026-03-12</t>
        </is>
      </c>
      <c r="L11" t="inlineStr">
        <is>
          <t>high</t>
        </is>
      </c>
      <c r="M11" t="inlineStr">
        <is>
          <t>Start with the city open-data portal or statistical yearbook. If the exact indicator is missing, escalate to ISTAT local series before entering a proxy.</t>
        </is>
      </c>
    </row>
    <row r="12">
      <c r="A12" t="inlineStr">
        <is>
          <t>it-milan</t>
        </is>
      </c>
      <c r="B12" t="inlineStr">
        <is>
          <t>Milan</t>
        </is>
      </c>
      <c r="C12" t="inlineStr">
        <is>
          <t>Italy</t>
        </is>
      </c>
      <c r="D12" t="inlineStr">
        <is>
          <t>gross_income</t>
        </is>
      </c>
      <c r="E12" t="inlineStr">
        <is>
          <t>Gross income</t>
        </is>
      </c>
      <c r="F12" t="inlineStr">
        <is>
          <t>pressure</t>
        </is>
      </c>
      <c r="G12" t="inlineStr">
        <is>
          <t>comune_milano_open_data</t>
        </is>
      </c>
      <c r="H12" t="inlineStr">
        <is>
          <t>istat</t>
        </is>
      </c>
      <c r="I12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J12" t="inlineStr">
        <is>
          <t>Comune di Milano Open Data | Redditi e variabili Irpef su base comunale: 2024 a.i. 2023</t>
        </is>
      </c>
      <c r="K12" t="inlineStr">
        <is>
          <t>2026-03-12</t>
        </is>
      </c>
      <c r="L12" t="inlineStr">
        <is>
          <t>high</t>
        </is>
      </c>
      <c r="M12" t="inlineStr">
        <is>
          <t>Use the official municipal IRPEF income table and compute the per-contributor city average transparently from the published bracket totals.</t>
        </is>
      </c>
    </row>
    <row r="13">
      <c r="A13" t="inlineStr">
        <is>
          <t>it-milan</t>
        </is>
      </c>
      <c r="B13" t="inlineStr">
        <is>
          <t>Milan</t>
        </is>
      </c>
      <c r="C13" t="inlineStr">
        <is>
          <t>Italy</t>
        </is>
      </c>
      <c r="D13" t="inlineStr">
        <is>
          <t>rent</t>
        </is>
      </c>
      <c r="E13" t="inlineStr">
        <is>
          <t>Rent</t>
        </is>
      </c>
      <c r="F13" t="inlineStr">
        <is>
          <t>pressure</t>
        </is>
      </c>
      <c r="G13" t="inlineStr">
        <is>
          <t>agenzia_entrate_omi</t>
        </is>
      </c>
      <c r="H13" t="inlineStr">
        <is>
          <t>comune_milano_open_data</t>
        </is>
      </c>
      <c r="I13" t="inlineStr">
        <is>
          <t>https://www.agenziaentrate.gov.it/portale/web/english/nsi/omi</t>
        </is>
      </c>
      <c r="J13" t="inlineStr">
        <is>
          <t>Agenzia delle Entrate | OMI</t>
        </is>
      </c>
      <c r="K13" t="inlineStr">
        <is>
          <t>2026-03-12</t>
        </is>
      </c>
      <c r="L13" t="inlineStr">
        <is>
          <t>high</t>
        </is>
      </c>
      <c r="M13" t="inlineStr">
        <is>
          <t>Use official housing-market observatory tables for Milan. Pair with official income data if you need to compute the housing burden manually.</t>
        </is>
      </c>
    </row>
    <row r="14">
      <c r="A14" t="inlineStr">
        <is>
          <t>it-milan</t>
        </is>
      </c>
      <c r="B14" t="inlineStr">
        <is>
          <t>Milan</t>
        </is>
      </c>
      <c r="C14" t="inlineStr">
        <is>
          <t>Italy</t>
        </is>
      </c>
      <c r="D14" t="inlineStr">
        <is>
          <t>housing_burden_raw</t>
        </is>
      </c>
      <c r="E14" t="inlineStr">
        <is>
          <t>Housing burden raw</t>
        </is>
      </c>
      <c r="F14" t="inlineStr">
        <is>
          <t>pressure</t>
        </is>
      </c>
      <c r="G14" t="inlineStr">
        <is>
          <t>agenzia_entrate_omi</t>
        </is>
      </c>
      <c r="H14" t="inlineStr">
        <is>
          <t>comune_milano_open_data</t>
        </is>
      </c>
      <c r="I14" t="inlineStr">
        <is>
          <t>https://www.agenziaentrate.gov.it/portale/web/english/nsi/omi</t>
        </is>
      </c>
      <c r="J14" t="inlineStr">
        <is>
          <t>Agenzia delle Entrate | OMI</t>
        </is>
      </c>
      <c r="K14" t="inlineStr">
        <is>
          <t>2026-03-12</t>
        </is>
      </c>
      <c r="L14" t="inlineStr">
        <is>
          <t>high</t>
        </is>
      </c>
      <c r="M14" t="inlineStr">
        <is>
          <t>Use official housing-market observatory tables for Milan. Pair with official income data if you need to compute the housing burden manually.</t>
        </is>
      </c>
    </row>
    <row r="15">
      <c r="A15" t="inlineStr">
        <is>
          <t>it-milan</t>
        </is>
      </c>
      <c r="B15" t="inlineStr">
        <is>
          <t>Milan</t>
        </is>
      </c>
      <c r="C15" t="inlineStr">
        <is>
          <t>Italy</t>
        </is>
      </c>
      <c r="D15" t="inlineStr">
        <is>
          <t>utilities</t>
        </is>
      </c>
      <c r="E15" t="inlineStr">
        <is>
          <t>Utilities</t>
        </is>
      </c>
      <c r="F15" t="inlineStr">
        <is>
          <t>pressure</t>
        </is>
      </c>
      <c r="G15" t="inlineStr">
        <is>
          <t>mm_milano</t>
        </is>
      </c>
      <c r="H15" t="inlineStr">
        <is>
          <t>comune_milano_open_data</t>
        </is>
      </c>
      <c r="I15" t="inlineStr">
        <is>
          <t>https://www.mmspa.eu/en/</t>
        </is>
      </c>
      <c r="J15" t="inlineStr">
        <is>
          <t>MM S.p.A.</t>
        </is>
      </c>
      <c r="K15" t="inlineStr">
        <is>
          <t>2026-03-12</t>
        </is>
      </c>
      <c r="L15" t="inlineStr">
        <is>
          <t>medium</t>
        </is>
      </c>
      <c r="M15" t="inlineStr">
        <is>
          <t>Use official utility tariffs or service-reliability material published by Milan's water and network operator.</t>
        </is>
      </c>
    </row>
    <row r="16">
      <c r="A16" t="inlineStr">
        <is>
          <t>it-milan</t>
        </is>
      </c>
      <c r="B16" t="inlineStr">
        <is>
          <t>Milan</t>
        </is>
      </c>
      <c r="C16" t="inlineStr">
        <is>
          <t>Italy</t>
        </is>
      </c>
      <c r="D16" t="inlineStr">
        <is>
          <t>water_sanitation_utility_raw</t>
        </is>
      </c>
      <c r="E16" t="inlineStr">
        <is>
          <t>Water, sanitation, and utility raw</t>
        </is>
      </c>
      <c r="F16" t="inlineStr">
        <is>
          <t>viability</t>
        </is>
      </c>
      <c r="G16" t="inlineStr">
        <is>
          <t>mm_milano</t>
        </is>
      </c>
      <c r="H16" t="inlineStr">
        <is>
          <t>comune_milano_open_data</t>
        </is>
      </c>
      <c r="I16" t="inlineStr">
        <is>
          <t>https://www.mmspa.eu/en/</t>
        </is>
      </c>
      <c r="J16" t="inlineStr">
        <is>
          <t>MM S.p.A.</t>
        </is>
      </c>
      <c r="K16" t="inlineStr">
        <is>
          <t>2026-03-12</t>
        </is>
      </c>
      <c r="L16" t="inlineStr">
        <is>
          <t>medium</t>
        </is>
      </c>
      <c r="M16" t="inlineStr">
        <is>
          <t>Use official utility tariffs or service-reliability material published by Milan's water and network operator.</t>
        </is>
      </c>
    </row>
    <row r="17">
      <c r="A17" t="inlineStr">
        <is>
          <t>it-milan</t>
        </is>
      </c>
      <c r="B17" t="inlineStr">
        <is>
          <t>Milan</t>
        </is>
      </c>
      <c r="C17" t="inlineStr">
        <is>
          <t>Italy</t>
        </is>
      </c>
      <c r="D17" t="inlineStr">
        <is>
          <t>transit_cost</t>
        </is>
      </c>
      <c r="E17" t="inlineStr">
        <is>
          <t>Transit cost</t>
        </is>
      </c>
      <c r="F17" t="inlineStr">
        <is>
          <t>pressure</t>
        </is>
      </c>
      <c r="G17" t="inlineStr">
        <is>
          <t>atm_milano</t>
        </is>
      </c>
      <c r="H17" t="inlineStr">
        <is>
          <t>comune_milano_open_data</t>
        </is>
      </c>
      <c r="I17" t="inlineStr">
        <is>
          <t>https://www.atm.it/en/ViaggiaConNoi/Abbonamenti/Pages/Tipologie.aspx</t>
        </is>
      </c>
      <c r="J17" t="inlineStr">
        <is>
          <t>ATM Milano | Travel pass subscriptions</t>
        </is>
      </c>
      <c r="K17" t="inlineStr">
        <is>
          <t>2026-03-12</t>
        </is>
      </c>
      <c r="L17" t="inlineStr">
        <is>
          <t>high</t>
        </is>
      </c>
      <c r="M17" t="inlineStr">
        <is>
          <t>Use the standard adult annual urban pass and record the annualized fare basis in City_Inputs.</t>
        </is>
      </c>
    </row>
    <row r="18">
      <c r="A18" t="inlineStr">
        <is>
          <t>it-milan</t>
        </is>
      </c>
      <c r="B18" t="inlineStr">
        <is>
          <t>Milan</t>
        </is>
      </c>
      <c r="C18" t="inlineStr">
        <is>
          <t>Italy</t>
        </is>
      </c>
      <c r="D18" t="inlineStr">
        <is>
          <t>transit_access_commute_raw</t>
        </is>
      </c>
      <c r="E18" t="inlineStr">
        <is>
          <t>Transit access and commute raw</t>
        </is>
      </c>
      <c r="F18" t="inlineStr">
        <is>
          <t>viability</t>
        </is>
      </c>
      <c r="G18" t="inlineStr">
        <is>
          <t>comune_milano_open_data</t>
        </is>
      </c>
      <c r="H18" t="inlineStr">
        <is>
          <t>atm_milano</t>
        </is>
      </c>
      <c r="I18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J18" t="inlineStr">
        <is>
          <t>Comune di Milano Open Data | Censimento 2011: movimenti pendolari interni per mezzo, tempo impiegato, orario di uscita e genere</t>
        </is>
      </c>
      <c r="K18" t="inlineStr">
        <is>
          <t>2026-03-12</t>
        </is>
      </c>
      <c r="L18" t="inlineStr">
        <is>
          <t>high</t>
        </is>
      </c>
      <c r="M18" t="inlineStr">
        <is>
          <t>Use the official commuting-time distribution and derive the share of internal commuters with travel times of 30 minutes or less.</t>
        </is>
      </c>
    </row>
    <row r="19">
      <c r="A19" t="inlineStr">
        <is>
          <t>it-milan</t>
        </is>
      </c>
      <c r="B19" t="inlineStr">
        <is>
          <t>Milan</t>
        </is>
      </c>
      <c r="C19" t="inlineStr">
        <is>
          <t>Italy</t>
        </is>
      </c>
      <c r="D19" t="inlineStr">
        <is>
          <t>clean_air_raw</t>
        </is>
      </c>
      <c r="E19" t="inlineStr">
        <is>
          <t>Clean air raw</t>
        </is>
      </c>
      <c r="F19" t="inlineStr">
        <is>
          <t>viability</t>
        </is>
      </c>
      <c r="G19" t="inlineStr">
        <is>
          <t>arpa_lombardia</t>
        </is>
      </c>
      <c r="H19" t="inlineStr">
        <is>
          <t>openaq</t>
        </is>
      </c>
      <c r="I19" t="inlineStr">
        <is>
          <t>https://www.arpalombardia.it/agenda/notizie/2026/qualita-dell-aria-prosegue-il-miglioramento-anche-nell-anno-2025/</t>
        </is>
      </c>
      <c r="J19" t="inlineStr">
        <is>
          <t>ARPA Lombardia | Qualita dell'aria, prosegue il miglioramento anche nell'anno 2025</t>
        </is>
      </c>
      <c r="K19" t="inlineStr">
        <is>
          <t>2026-03-12</t>
        </is>
      </c>
      <c r="L19" t="inlineStr">
        <is>
          <t>high</t>
        </is>
      </c>
      <c r="M19" t="inlineStr">
        <is>
          <t>Use the official ARPA Lombardia annual monitoring summary, preferably the city PM2.5 average published for Milan.</t>
        </is>
      </c>
    </row>
    <row r="20">
      <c r="A20" t="inlineStr">
        <is>
          <t>it-milan</t>
        </is>
      </c>
      <c r="B20" t="inlineStr">
        <is>
          <t>Milan</t>
        </is>
      </c>
      <c r="C20" t="inlineStr">
        <is>
          <t>Italy</t>
        </is>
      </c>
      <c r="D20" t="inlineStr">
        <is>
          <t>personal_safety_raw</t>
        </is>
      </c>
      <c r="E20" t="inlineStr">
        <is>
          <t>Personal safety raw</t>
        </is>
      </c>
      <c r="F20" t="inlineStr">
        <is>
          <t>viability</t>
        </is>
      </c>
      <c r="G20" t="inlineStr">
        <is>
          <t>comune_milano_open_data</t>
        </is>
      </c>
      <c r="H20" t="inlineStr">
        <is>
          <t>istat</t>
        </is>
      </c>
      <c r="I20" t="inlineStr">
        <is>
          <t>https://dati.comune.milano.it/dataset/34e2d2af-5c3b-4768-918b-ab7e5c0d15da/resource/8b03b9f2-f2d7-4408-b439-bc6efc093cff/download/ds564_reati_denunciati_2004_2023.csv</t>
        </is>
      </c>
      <c r="J20" t="inlineStr">
        <is>
          <t>Comune di Milano Open Data | Reati denunciati all'autorita giudiziaria (2004-2023)</t>
        </is>
      </c>
      <c r="K20" t="inlineStr">
        <is>
          <t>2026-03-12</t>
        </is>
      </c>
      <c r="L20" t="inlineStr">
        <is>
          <t>high</t>
        </is>
      </c>
      <c r="M20" t="inlineStr">
        <is>
          <t>Use the official crime series and convert it into a per-1,000-resident burden using the latest official resident count.</t>
        </is>
      </c>
    </row>
    <row r="21">
      <c r="A21" t="inlineStr">
        <is>
          <t>it-milan</t>
        </is>
      </c>
      <c r="B21" t="inlineStr">
        <is>
          <t>Milan</t>
        </is>
      </c>
      <c r="C21" t="inlineStr">
        <is>
          <t>Italy</t>
        </is>
      </c>
      <c r="D21" t="inlineStr">
        <is>
          <t>healthcare_quality_raw</t>
        </is>
      </c>
      <c r="E21" t="inlineStr">
        <is>
          <t>Healthcare quality raw</t>
        </is>
      </c>
      <c r="F21" t="inlineStr">
        <is>
          <t>capability</t>
        </is>
      </c>
      <c r="G21" t="inlineStr">
        <is>
          <t>comune_milano_open_data</t>
        </is>
      </c>
      <c r="H21" t="inlineStr">
        <is>
          <t>istat</t>
        </is>
      </c>
      <c r="I21" t="inlineStr">
        <is>
          <t>https://dati.comune.milano.it/dataset/71477d58-03a6-468b-81de-b168a264c82c/resource/7632c319-4a2a-4ab5-a39d-74d6ecc7323d/download/ds683_posti_letto_strutture_milano_010925_.csv</t>
        </is>
      </c>
      <c r="J21" t="inlineStr">
        <is>
          <t>Comune di Milano Open Data | Sanita: posti letto delle strutture ospedaliere e case di cura</t>
        </is>
      </c>
      <c r="K21" t="inlineStr">
        <is>
          <t>2026-03-12</t>
        </is>
      </c>
      <c r="L21" t="inlineStr">
        <is>
          <t>high</t>
        </is>
      </c>
      <c r="M21" t="inlineStr">
        <is>
          <t>Use the official bed-capacity series and express it as beds per 1,000 residents using the official population denominator.</t>
        </is>
      </c>
    </row>
    <row r="22">
      <c r="A22" t="inlineStr">
        <is>
          <t>it-milan</t>
        </is>
      </c>
      <c r="B22" t="inlineStr">
        <is>
          <t>Milan</t>
        </is>
      </c>
      <c r="C22" t="inlineStr">
        <is>
          <t>Italy</t>
        </is>
      </c>
      <c r="D22" t="inlineStr">
        <is>
          <t>entrepreneurial_dynamism_raw</t>
        </is>
      </c>
      <c r="E22" t="inlineStr">
        <is>
          <t>Entrepreneurial dynamism raw</t>
        </is>
      </c>
      <c r="F22" t="inlineStr">
        <is>
          <t>creative</t>
        </is>
      </c>
      <c r="G22" t="inlineStr">
        <is>
          <t>comune_milano_open_data</t>
        </is>
      </c>
      <c r="H22" t="inlineStr">
        <is>
          <t>istat</t>
        </is>
      </c>
      <c r="I22" t="inlineStr">
        <is>
          <t>https://dati.comune.milano.it/dataset/8d8a4d19-0004-48a8-9425-e892deffde10/resource/68ebcbed-a736-4f0a-b654-17232b18deb0/download/ds691_imprese.csv</t>
        </is>
      </c>
      <c r="J22" t="inlineStr">
        <is>
          <t>Comune di Milano Open Data | Imprese attive divise per settore merceologico e anno</t>
        </is>
      </c>
      <c r="K22" t="inlineStr">
        <is>
          <t>2026-03-12</t>
        </is>
      </c>
      <c r="L22" t="inlineStr">
        <is>
          <t>high</t>
        </is>
      </c>
      <c r="M22" t="inlineStr">
        <is>
          <t>Use the official business stock series and convert it into active enterprises per 1,000 residents.</t>
        </is>
      </c>
    </row>
    <row r="23">
      <c r="A23" t="inlineStr">
        <is>
          <t>it-milan</t>
        </is>
      </c>
      <c r="B23" t="inlineStr">
        <is>
          <t>Milan</t>
        </is>
      </c>
      <c r="C23" t="inlineStr">
        <is>
          <t>Italy</t>
        </is>
      </c>
      <c r="D23" t="inlineStr">
        <is>
          <t>visitor_flow_context_raw</t>
        </is>
      </c>
      <c r="E23" t="inlineStr">
        <is>
          <t>Visitor flow context raw</t>
        </is>
      </c>
      <c r="F23" t="inlineStr">
        <is>
          <t>creative</t>
        </is>
      </c>
      <c r="G23" t="inlineStr">
        <is>
          <t>comune_milano_open_data</t>
        </is>
      </c>
      <c r="H23" t="inlineStr">
        <is>
          <t>istat</t>
        </is>
      </c>
      <c r="I23" t="inlineStr">
        <is>
          <t>https://dati.comune.milano.it/dataset/645e64c2-0a51-4823-8a40-633cc162b4af/resource/89f7c6c4-fd98-4e5e-8e9a-041b92bac9d8/download/ds215_presenze_mensili-1.csv</t>
        </is>
      </c>
      <c r="J23" t="inlineStr">
        <is>
          <t>Comune di Milano Open Data | Presenze mensili</t>
        </is>
      </c>
      <c r="K23" t="inlineStr">
        <is>
          <t>2026-03-12</t>
        </is>
      </c>
      <c r="L23" t="inlineStr">
        <is>
          <t>high</t>
        </is>
      </c>
      <c r="M23" t="inlineStr">
        <is>
          <t>Use the official monthly tourism-presence series and sum the full year for annual city visitor context.</t>
        </is>
      </c>
    </row>
    <row r="24">
      <c r="A24" t="inlineStr">
        <is>
          <t>it-milan</t>
        </is>
      </c>
      <c r="B24" t="inlineStr">
        <is>
          <t>Milan</t>
        </is>
      </c>
      <c r="C24" t="inlineStr">
        <is>
          <t>Italy</t>
        </is>
      </c>
      <c r="D24" t="inlineStr">
        <is>
          <t>internet_cost</t>
        </is>
      </c>
      <c r="E24" t="inlineStr">
        <is>
          <t>Internet cost</t>
        </is>
      </c>
      <c r="F24" t="inlineStr">
        <is>
          <t>pressure</t>
        </is>
      </c>
      <c r="G24" t="inlineStr">
        <is>
          <t>istat</t>
        </is>
      </c>
      <c r="H24" t="inlineStr">
        <is>
          <t>comune_milano_open_data</t>
        </is>
      </c>
      <c r="I24" t="inlineStr">
        <is>
          <t>https://www.istat.it/en/</t>
        </is>
      </c>
      <c r="J24" t="inlineStr">
        <is>
          <t>ISTAT</t>
        </is>
      </c>
      <c r="K24" t="inlineStr">
        <is>
          <t>2026-03-12</t>
        </is>
      </c>
      <c r="L24" t="inlineStr">
        <is>
          <t>medium</t>
        </is>
      </c>
      <c r="M24" t="inlineStr">
        <is>
          <t>Use official Italian statistical releases with local or metro breakdowns where available.</t>
        </is>
      </c>
    </row>
    <row r="25">
      <c r="A25" t="inlineStr">
        <is>
          <t>it-milan</t>
        </is>
      </c>
      <c r="B25" t="inlineStr">
        <is>
          <t>Milan</t>
        </is>
      </c>
      <c r="C25" t="inlineStr">
        <is>
          <t>Italy</t>
        </is>
      </c>
      <c r="D25" t="inlineStr">
        <is>
          <t>working_time_pressure_raw</t>
        </is>
      </c>
      <c r="E25" t="inlineStr">
        <is>
          <t>Working time pressure raw</t>
        </is>
      </c>
      <c r="F25" t="inlineStr">
        <is>
          <t>pressure</t>
        </is>
      </c>
      <c r="G25" t="inlineStr">
        <is>
          <t>istat</t>
        </is>
      </c>
      <c r="H25" t="inlineStr">
        <is>
          <t>comune_milano_open_data</t>
        </is>
      </c>
      <c r="I25" t="inlineStr">
        <is>
          <t>https://www.istat.it/en/</t>
        </is>
      </c>
      <c r="J25" t="inlineStr">
        <is>
          <t>ISTAT</t>
        </is>
      </c>
      <c r="K25" t="inlineStr">
        <is>
          <t>2026-03-12</t>
        </is>
      </c>
      <c r="L25" t="inlineStr">
        <is>
          <t>medium</t>
        </is>
      </c>
      <c r="M25" t="inlineStr">
        <is>
          <t>Use official Italian statistical releases with local or metro breakdowns where available.</t>
        </is>
      </c>
    </row>
    <row r="26">
      <c r="A26" t="inlineStr">
        <is>
          <t>it-milan</t>
        </is>
      </c>
      <c r="B26" t="inlineStr">
        <is>
          <t>Milan</t>
        </is>
      </c>
      <c r="C26" t="inlineStr">
        <is>
          <t>Italy</t>
        </is>
      </c>
      <c r="D26" t="inlineStr">
        <is>
          <t>suicide_mental_strain_raw</t>
        </is>
      </c>
      <c r="E26" t="inlineStr">
        <is>
          <t>Suicide or mental strain raw</t>
        </is>
      </c>
      <c r="F26" t="inlineStr">
        <is>
          <t>pressure</t>
        </is>
      </c>
      <c r="G26" t="inlineStr">
        <is>
          <t>istat</t>
        </is>
      </c>
      <c r="H26" t="inlineStr">
        <is>
          <t>comune_milano_open_data</t>
        </is>
      </c>
      <c r="I26" t="inlineStr">
        <is>
          <t>https://www.istat.it/en/</t>
        </is>
      </c>
      <c r="J26" t="inlineStr">
        <is>
          <t>ISTAT</t>
        </is>
      </c>
      <c r="K26" t="inlineStr">
        <is>
          <t>2026-03-12</t>
        </is>
      </c>
      <c r="L26" t="inlineStr">
        <is>
          <t>medium</t>
        </is>
      </c>
      <c r="M26" t="inlineStr">
        <is>
          <t>Use official Italian statistical releases with local or metro breakdowns where available.</t>
        </is>
      </c>
    </row>
    <row r="27">
      <c r="A27" t="inlineStr">
        <is>
          <t>it-milan</t>
        </is>
      </c>
      <c r="B27" t="inlineStr">
        <is>
          <t>Milan</t>
        </is>
      </c>
      <c r="C27" t="inlineStr">
        <is>
          <t>Italy</t>
        </is>
      </c>
      <c r="D27" t="inlineStr">
        <is>
          <t>household_debt_burden_raw</t>
        </is>
      </c>
      <c r="E27" t="inlineStr">
        <is>
          <t>Household debt burden raw</t>
        </is>
      </c>
      <c r="F27" t="inlineStr">
        <is>
          <t>pressure</t>
        </is>
      </c>
      <c r="G27" t="inlineStr">
        <is>
          <t>banca_d_italia</t>
        </is>
      </c>
      <c r="H27" t="inlineStr">
        <is>
          <t>istat</t>
        </is>
      </c>
      <c r="I27" t="inlineStr">
        <is>
          <t>https://www.bancaditalia.it/</t>
        </is>
      </c>
      <c r="J27" t="inlineStr">
        <is>
          <t>Banca d'Italia</t>
        </is>
      </c>
      <c r="K27" t="inlineStr">
        <is>
          <t>2026-03-12</t>
        </is>
      </c>
      <c r="L27" t="inlineStr">
        <is>
          <t>medium</t>
        </is>
      </c>
      <c r="M27" t="inlineStr">
        <is>
          <t>Use territorial household-finance or credit indicators. If the city figure is unavailable, document the closest official regional fallback.</t>
        </is>
      </c>
    </row>
    <row r="28">
      <c r="A28" t="inlineStr">
        <is>
          <t>it-bologna</t>
        </is>
      </c>
      <c r="B28" t="inlineStr">
        <is>
          <t>Bologna</t>
        </is>
      </c>
      <c r="C28" t="inlineStr">
        <is>
          <t>Italy</t>
        </is>
      </c>
      <c r="D28" t="inlineStr">
        <is>
          <t>gross_income</t>
        </is>
      </c>
      <c r="E28" t="inlineStr">
        <is>
          <t>Gross income</t>
        </is>
      </c>
      <c r="F28" t="inlineStr">
        <is>
          <t>pressure</t>
        </is>
      </c>
      <c r="G28" t="inlineStr">
        <is>
          <t>comune_bologna_open_data</t>
        </is>
      </c>
      <c r="H28" t="inlineStr">
        <is>
          <t>istat</t>
        </is>
      </c>
      <c r="I28" t="inlineStr">
        <is>
          <t>https://opendata.comune.bologna.it/</t>
        </is>
      </c>
      <c r="J28" t="inlineStr">
        <is>
          <t>Comune di Bologna Open Data</t>
        </is>
      </c>
      <c r="K28" t="inlineStr">
        <is>
          <t>2026-03-12</t>
        </is>
      </c>
      <c r="L28" t="inlineStr">
        <is>
          <t>high</t>
        </is>
      </c>
      <c r="M28" t="inlineStr">
        <is>
          <t>Start with Bologna open data and city statistical publications. Escalate to ISTAT only when the city portal does not publish the needed local series.</t>
        </is>
      </c>
    </row>
    <row r="29">
      <c r="A29" t="inlineStr">
        <is>
          <t>it-bologna</t>
        </is>
      </c>
      <c r="B29" t="inlineStr">
        <is>
          <t>Bologna</t>
        </is>
      </c>
      <c r="C29" t="inlineStr">
        <is>
          <t>Italy</t>
        </is>
      </c>
      <c r="D29" t="inlineStr">
        <is>
          <t>food_cost</t>
        </is>
      </c>
      <c r="E29" t="inlineStr">
        <is>
          <t>Food cost</t>
        </is>
      </c>
      <c r="F29" t="inlineStr">
        <is>
          <t>pressure</t>
        </is>
      </c>
      <c r="G29" t="inlineStr">
        <is>
          <t>comune_bologna_open_data</t>
        </is>
      </c>
      <c r="H29" t="inlineStr">
        <is>
          <t>istat</t>
        </is>
      </c>
      <c r="I29" t="inlineStr">
        <is>
          <t>https://opendata.comune.bologna.it/</t>
        </is>
      </c>
      <c r="J29" t="inlineStr">
        <is>
          <t>Comune di Bologna Open Data</t>
        </is>
      </c>
      <c r="K29" t="inlineStr">
        <is>
          <t>2026-03-12</t>
        </is>
      </c>
      <c r="L29" t="inlineStr">
        <is>
          <t>high</t>
        </is>
      </c>
      <c r="M29" t="inlineStr">
        <is>
          <t>Start with Bologna open data and city statistical publications. Escalate to ISTAT only when the city portal does not publish the needed local series.</t>
        </is>
      </c>
    </row>
    <row r="30">
      <c r="A30" t="inlineStr">
        <is>
          <t>it-bologna</t>
        </is>
      </c>
      <c r="B30" t="inlineStr">
        <is>
          <t>Bologna</t>
        </is>
      </c>
      <c r="C30" t="inlineStr">
        <is>
          <t>Italy</t>
        </is>
      </c>
      <c r="D30" t="inlineStr">
        <is>
          <t>digital_infrastructure_raw</t>
        </is>
      </c>
      <c r="E30" t="inlineStr">
        <is>
          <t>Digital infrastructure raw</t>
        </is>
      </c>
      <c r="F30" t="inlineStr">
        <is>
          <t>viability</t>
        </is>
      </c>
      <c r="G30" t="inlineStr">
        <is>
          <t>comune_bologna_open_data</t>
        </is>
      </c>
      <c r="H30" t="inlineStr">
        <is>
          <t>istat</t>
        </is>
      </c>
      <c r="I30" t="inlineStr">
        <is>
          <t>https://opendata.comune.bologna.it/</t>
        </is>
      </c>
      <c r="J30" t="inlineStr">
        <is>
          <t>Comune di Bologna Open Data</t>
        </is>
      </c>
      <c r="K30" t="inlineStr">
        <is>
          <t>2026-03-12</t>
        </is>
      </c>
      <c r="L30" t="inlineStr">
        <is>
          <t>high</t>
        </is>
      </c>
      <c r="M30" t="inlineStr">
        <is>
          <t>Start with Bologna open data and city statistical publications. Escalate to ISTAT only when the city portal does not publish the needed local series.</t>
        </is>
      </c>
    </row>
    <row r="31">
      <c r="A31" t="inlineStr">
        <is>
          <t>it-bologna</t>
        </is>
      </c>
      <c r="B31" t="inlineStr">
        <is>
          <t>Bologna</t>
        </is>
      </c>
      <c r="C31" t="inlineStr">
        <is>
          <t>Italy</t>
        </is>
      </c>
      <c r="D31" t="inlineStr">
        <is>
          <t>personal_safety_raw</t>
        </is>
      </c>
      <c r="E31" t="inlineStr">
        <is>
          <t>Personal safety raw</t>
        </is>
      </c>
      <c r="F31" t="inlineStr">
        <is>
          <t>viability</t>
        </is>
      </c>
      <c r="G31" t="inlineStr">
        <is>
          <t>comune_bologna_open_data</t>
        </is>
      </c>
      <c r="H31" t="inlineStr">
        <is>
          <t>istat</t>
        </is>
      </c>
      <c r="I31" t="inlineStr">
        <is>
          <t>https://opendata.comune.bologna.it/</t>
        </is>
      </c>
      <c r="J31" t="inlineStr">
        <is>
          <t>Comune di Bologna Open Data</t>
        </is>
      </c>
      <c r="K31" t="inlineStr">
        <is>
          <t>2026-03-12</t>
        </is>
      </c>
      <c r="L31" t="inlineStr">
        <is>
          <t>high</t>
        </is>
      </c>
      <c r="M31" t="inlineStr">
        <is>
          <t>Start with Bologna open data and city statistical publications. Escalate to ISTAT only when the city portal does not publish the needed local series.</t>
        </is>
      </c>
    </row>
    <row r="32">
      <c r="A32" t="inlineStr">
        <is>
          <t>it-bologna</t>
        </is>
      </c>
      <c r="B32" t="inlineStr">
        <is>
          <t>Bologna</t>
        </is>
      </c>
      <c r="C32" t="inlineStr">
        <is>
          <t>Italy</t>
        </is>
      </c>
      <c r="D32" t="inlineStr">
        <is>
          <t>healthcare_quality_raw</t>
        </is>
      </c>
      <c r="E32" t="inlineStr">
        <is>
          <t>Healthcare quality raw</t>
        </is>
      </c>
      <c r="F32" t="inlineStr">
        <is>
          <t>capability</t>
        </is>
      </c>
      <c r="G32" t="inlineStr">
        <is>
          <t>comune_bologna_open_data</t>
        </is>
      </c>
      <c r="H32" t="inlineStr">
        <is>
          <t>istat</t>
        </is>
      </c>
      <c r="I32" t="inlineStr">
        <is>
          <t>https://opendata.comune.bologna.it/</t>
        </is>
      </c>
      <c r="J32" t="inlineStr">
        <is>
          <t>Comune di Bologna Open Data</t>
        </is>
      </c>
      <c r="K32" t="inlineStr">
        <is>
          <t>2026-03-12</t>
        </is>
      </c>
      <c r="L32" t="inlineStr">
        <is>
          <t>high</t>
        </is>
      </c>
      <c r="M32" t="inlineStr">
        <is>
          <t>Start with Bologna open data and city statistical publications. Escalate to ISTAT only when the city portal does not publish the needed local series.</t>
        </is>
      </c>
    </row>
    <row r="33">
      <c r="A33" t="inlineStr">
        <is>
          <t>it-bologna</t>
        </is>
      </c>
      <c r="B33" t="inlineStr">
        <is>
          <t>Bologna</t>
        </is>
      </c>
      <c r="C33" t="inlineStr">
        <is>
          <t>Italy</t>
        </is>
      </c>
      <c r="D33" t="inlineStr">
        <is>
          <t>education_quality_raw</t>
        </is>
      </c>
      <c r="E33" t="inlineStr">
        <is>
          <t>Education quality raw</t>
        </is>
      </c>
      <c r="F33" t="inlineStr">
        <is>
          <t>capability</t>
        </is>
      </c>
      <c r="G33" t="inlineStr">
        <is>
          <t>comune_bologna_open_data</t>
        </is>
      </c>
      <c r="H33" t="inlineStr">
        <is>
          <t>istat</t>
        </is>
      </c>
      <c r="I33" t="inlineStr">
        <is>
          <t>https://opendata.comune.bologna.it/</t>
        </is>
      </c>
      <c r="J33" t="inlineStr">
        <is>
          <t>Comune di Bologna Open Data</t>
        </is>
      </c>
      <c r="K33" t="inlineStr">
        <is>
          <t>2026-03-12</t>
        </is>
      </c>
      <c r="L33" t="inlineStr">
        <is>
          <t>high</t>
        </is>
      </c>
      <c r="M33" t="inlineStr">
        <is>
          <t>Start with Bologna open data and city statistical publications. Escalate to ISTAT only when the city portal does not publish the needed local series.</t>
        </is>
      </c>
    </row>
    <row r="34">
      <c r="A34" t="inlineStr">
        <is>
          <t>it-bologna</t>
        </is>
      </c>
      <c r="B34" t="inlineStr">
        <is>
          <t>Bologna</t>
        </is>
      </c>
      <c r="C34" t="inlineStr">
        <is>
          <t>Italy</t>
        </is>
      </c>
      <c r="D34" t="inlineStr">
        <is>
          <t>equal_opportunity_raw</t>
        </is>
      </c>
      <c r="E34" t="inlineStr">
        <is>
          <t>Equal opportunity raw</t>
        </is>
      </c>
      <c r="F34" t="inlineStr">
        <is>
          <t>capability</t>
        </is>
      </c>
      <c r="G34" t="inlineStr">
        <is>
          <t>comune_bologna_open_data</t>
        </is>
      </c>
      <c r="H34" t="inlineStr">
        <is>
          <t>istat</t>
        </is>
      </c>
      <c r="I34" t="inlineStr">
        <is>
          <t>https://opendata.comune.bologna.it/</t>
        </is>
      </c>
      <c r="J34" t="inlineStr">
        <is>
          <t>Comune di Bologna Open Data</t>
        </is>
      </c>
      <c r="K34" t="inlineStr">
        <is>
          <t>2026-03-12</t>
        </is>
      </c>
      <c r="L34" t="inlineStr">
        <is>
          <t>high</t>
        </is>
      </c>
      <c r="M34" t="inlineStr">
        <is>
          <t>Start with Bologna open data and city statistical publications. Escalate to ISTAT only when the city portal does not publish the needed local series.</t>
        </is>
      </c>
    </row>
    <row r="35">
      <c r="A35" t="inlineStr">
        <is>
          <t>it-bologna</t>
        </is>
      </c>
      <c r="B35" t="inlineStr">
        <is>
          <t>Bologna</t>
        </is>
      </c>
      <c r="C35" t="inlineStr">
        <is>
          <t>Italy</t>
        </is>
      </c>
      <c r="D35" t="inlineStr">
        <is>
          <t>hospitality_belonging_raw</t>
        </is>
      </c>
      <c r="E35" t="inlineStr">
        <is>
          <t>Hospitality and belonging raw</t>
        </is>
      </c>
      <c r="F35" t="inlineStr">
        <is>
          <t>community</t>
        </is>
      </c>
      <c r="G35" t="inlineStr">
        <is>
          <t>comune_bologna_open_data</t>
        </is>
      </c>
      <c r="H35" t="inlineStr">
        <is>
          <t>istat</t>
        </is>
      </c>
      <c r="I35" t="inlineStr">
        <is>
          <t>https://opendata.comune.bologna.it/</t>
        </is>
      </c>
      <c r="J35" t="inlineStr">
        <is>
          <t>Comune di Bologna Open Data</t>
        </is>
      </c>
      <c r="K35" t="inlineStr">
        <is>
          <t>2026-03-12</t>
        </is>
      </c>
      <c r="L35" t="inlineStr">
        <is>
          <t>high</t>
        </is>
      </c>
      <c r="M35" t="inlineStr">
        <is>
          <t>Start with Bologna open data and city statistical publications. Escalate to ISTAT only when the city portal does not publish the needed local series.</t>
        </is>
      </c>
    </row>
    <row r="36">
      <c r="A36" t="inlineStr">
        <is>
          <t>it-bologna</t>
        </is>
      </c>
      <c r="B36" t="inlineStr">
        <is>
          <t>Bologna</t>
        </is>
      </c>
      <c r="C36" t="inlineStr">
        <is>
          <t>Italy</t>
        </is>
      </c>
      <c r="D36" t="inlineStr">
        <is>
          <t>tolerance_pluralism_raw</t>
        </is>
      </c>
      <c r="E36" t="inlineStr">
        <is>
          <t>Tolerance and pluralism raw</t>
        </is>
      </c>
      <c r="F36" t="inlineStr">
        <is>
          <t>community</t>
        </is>
      </c>
      <c r="G36" t="inlineStr">
        <is>
          <t>comune_bologna_open_data</t>
        </is>
      </c>
      <c r="H36" t="inlineStr">
        <is>
          <t>istat</t>
        </is>
      </c>
      <c r="I36" t="inlineStr">
        <is>
          <t>https://opendata.comune.bologna.it/</t>
        </is>
      </c>
      <c r="J36" t="inlineStr">
        <is>
          <t>Comune di Bologna Open Data</t>
        </is>
      </c>
      <c r="K36" t="inlineStr">
        <is>
          <t>2026-03-12</t>
        </is>
      </c>
      <c r="L36" t="inlineStr">
        <is>
          <t>high</t>
        </is>
      </c>
      <c r="M36" t="inlineStr">
        <is>
          <t>Start with Bologna open data and city statistical publications. Escalate to ISTAT only when the city portal does not publish the needed local series.</t>
        </is>
      </c>
    </row>
    <row r="37">
      <c r="A37" t="inlineStr">
        <is>
          <t>it-bologna</t>
        </is>
      </c>
      <c r="B37" t="inlineStr">
        <is>
          <t>Bologna</t>
        </is>
      </c>
      <c r="C37" t="inlineStr">
        <is>
          <t>Italy</t>
        </is>
      </c>
      <c r="D37" t="inlineStr">
        <is>
          <t>cultural_public_life_raw</t>
        </is>
      </c>
      <c r="E37" t="inlineStr">
        <is>
          <t>Cultural public life raw</t>
        </is>
      </c>
      <c r="F37" t="inlineStr">
        <is>
          <t>community</t>
        </is>
      </c>
      <c r="G37" t="inlineStr">
        <is>
          <t>comune_bologna_open_data</t>
        </is>
      </c>
      <c r="H37" t="inlineStr">
        <is>
          <t>istat</t>
        </is>
      </c>
      <c r="I37" t="inlineStr">
        <is>
          <t>https://opendata.comune.bologna.it/</t>
        </is>
      </c>
      <c r="J37" t="inlineStr">
        <is>
          <t>Comune di Bologna Open Data</t>
        </is>
      </c>
      <c r="K37" t="inlineStr">
        <is>
          <t>2026-03-12</t>
        </is>
      </c>
      <c r="L37" t="inlineStr">
        <is>
          <t>high</t>
        </is>
      </c>
      <c r="M37" t="inlineStr">
        <is>
          <t>Start with Bologna open data and city statistical publications. Escalate to ISTAT only when the city portal does not publish the needed local series.</t>
        </is>
      </c>
    </row>
    <row r="38">
      <c r="A38" t="inlineStr">
        <is>
          <t>it-bologna</t>
        </is>
      </c>
      <c r="B38" t="inlineStr">
        <is>
          <t>Bologna</t>
        </is>
      </c>
      <c r="C38" t="inlineStr">
        <is>
          <t>Italy</t>
        </is>
      </c>
      <c r="D38" t="inlineStr">
        <is>
          <t>entrepreneurial_dynamism_raw</t>
        </is>
      </c>
      <c r="E38" t="inlineStr">
        <is>
          <t>Entrepreneurial dynamism raw</t>
        </is>
      </c>
      <c r="F38" t="inlineStr">
        <is>
          <t>creative</t>
        </is>
      </c>
      <c r="G38" t="inlineStr">
        <is>
          <t>comune_bologna_open_data</t>
        </is>
      </c>
      <c r="H38" t="inlineStr">
        <is>
          <t>istat</t>
        </is>
      </c>
      <c r="I38" t="inlineStr">
        <is>
          <t>https://opendata.comune.bologna.it/</t>
        </is>
      </c>
      <c r="J38" t="inlineStr">
        <is>
          <t>Comune di Bologna Open Data</t>
        </is>
      </c>
      <c r="K38" t="inlineStr">
        <is>
          <t>2026-03-12</t>
        </is>
      </c>
      <c r="L38" t="inlineStr">
        <is>
          <t>high</t>
        </is>
      </c>
      <c r="M38" t="inlineStr">
        <is>
          <t>Start with Bologna open data and city statistical publications. Escalate to ISTAT only when the city portal does not publish the needed local series.</t>
        </is>
      </c>
    </row>
    <row r="39">
      <c r="A39" t="inlineStr">
        <is>
          <t>it-bologna</t>
        </is>
      </c>
      <c r="B39" t="inlineStr">
        <is>
          <t>Bologna</t>
        </is>
      </c>
      <c r="C39" t="inlineStr">
        <is>
          <t>Italy</t>
        </is>
      </c>
      <c r="D39" t="inlineStr">
        <is>
          <t>innovation_research_intensity_raw</t>
        </is>
      </c>
      <c r="E39" t="inlineStr">
        <is>
          <t>Innovation and research raw</t>
        </is>
      </c>
      <c r="F39" t="inlineStr">
        <is>
          <t>creative</t>
        </is>
      </c>
      <c r="G39" t="inlineStr">
        <is>
          <t>comune_bologna_open_data</t>
        </is>
      </c>
      <c r="H39" t="inlineStr">
        <is>
          <t>istat</t>
        </is>
      </c>
      <c r="I39" t="inlineStr">
        <is>
          <t>https://opendata.comune.bologna.it/</t>
        </is>
      </c>
      <c r="J39" t="inlineStr">
        <is>
          <t>Comune di Bologna Open Data</t>
        </is>
      </c>
      <c r="K39" t="inlineStr">
        <is>
          <t>2026-03-12</t>
        </is>
      </c>
      <c r="L39" t="inlineStr">
        <is>
          <t>high</t>
        </is>
      </c>
      <c r="M39" t="inlineStr">
        <is>
          <t>Start with Bologna open data and city statistical publications. Escalate to ISTAT only when the city portal does not publish the needed local series.</t>
        </is>
      </c>
    </row>
    <row r="40">
      <c r="A40" t="inlineStr">
        <is>
          <t>it-bologna</t>
        </is>
      </c>
      <c r="B40" t="inlineStr">
        <is>
          <t>Bologna</t>
        </is>
      </c>
      <c r="C40" t="inlineStr">
        <is>
          <t>Italy</t>
        </is>
      </c>
      <c r="D40" t="inlineStr">
        <is>
          <t>investment_signal_raw</t>
        </is>
      </c>
      <c r="E40" t="inlineStr">
        <is>
          <t>Investment signal raw</t>
        </is>
      </c>
      <c r="F40" t="inlineStr">
        <is>
          <t>creative</t>
        </is>
      </c>
      <c r="G40" t="inlineStr">
        <is>
          <t>comune_bologna_open_data</t>
        </is>
      </c>
      <c r="H40" t="inlineStr">
        <is>
          <t>istat</t>
        </is>
      </c>
      <c r="I40" t="inlineStr">
        <is>
          <t>https://opendata.comune.bologna.it/</t>
        </is>
      </c>
      <c r="J40" t="inlineStr">
        <is>
          <t>Comune di Bologna Open Data</t>
        </is>
      </c>
      <c r="K40" t="inlineStr">
        <is>
          <t>2026-03-12</t>
        </is>
      </c>
      <c r="L40" t="inlineStr">
        <is>
          <t>high</t>
        </is>
      </c>
      <c r="M40" t="inlineStr">
        <is>
          <t>Start with Bologna open data and city statistical publications. Escalate to ISTAT only when the city portal does not publish the needed local series.</t>
        </is>
      </c>
    </row>
    <row r="41">
      <c r="A41" t="inlineStr">
        <is>
          <t>it-bologna</t>
        </is>
      </c>
      <c r="B41" t="inlineStr">
        <is>
          <t>Bologna</t>
        </is>
      </c>
      <c r="C41" t="inlineStr">
        <is>
          <t>Italy</t>
        </is>
      </c>
      <c r="D41" t="inlineStr">
        <is>
          <t>administrative_investment_friction_raw</t>
        </is>
      </c>
      <c r="E41" t="inlineStr">
        <is>
          <t>Administrative investment friction raw</t>
        </is>
      </c>
      <c r="F41" t="inlineStr">
        <is>
          <t>creative</t>
        </is>
      </c>
      <c r="G41" t="inlineStr">
        <is>
          <t>comune_bologna_open_data</t>
        </is>
      </c>
      <c r="H41" t="inlineStr">
        <is>
          <t>istat</t>
        </is>
      </c>
      <c r="I41" t="inlineStr">
        <is>
          <t>https://opendata.comune.bologna.it/</t>
        </is>
      </c>
      <c r="J41" t="inlineStr">
        <is>
          <t>Comune di Bologna Open Data</t>
        </is>
      </c>
      <c r="K41" t="inlineStr">
        <is>
          <t>2026-03-12</t>
        </is>
      </c>
      <c r="L41" t="inlineStr">
        <is>
          <t>high</t>
        </is>
      </c>
      <c r="M41" t="inlineStr">
        <is>
          <t>Start with Bologna open data and city statistical publications. Escalate to ISTAT only when the city portal does not publish the needed local series.</t>
        </is>
      </c>
    </row>
    <row r="42">
      <c r="A42" t="inlineStr">
        <is>
          <t>it-bologna</t>
        </is>
      </c>
      <c r="B42" t="inlineStr">
        <is>
          <t>Bologna</t>
        </is>
      </c>
      <c r="C42" t="inlineStr">
        <is>
          <t>Italy</t>
        </is>
      </c>
      <c r="D42" t="inlineStr">
        <is>
          <t>visitor_flow_context_raw</t>
        </is>
      </c>
      <c r="E42" t="inlineStr">
        <is>
          <t>Visitor flow context raw</t>
        </is>
      </c>
      <c r="F42" t="inlineStr">
        <is>
          <t>creative</t>
        </is>
      </c>
      <c r="G42" t="inlineStr">
        <is>
          <t>comune_bologna_open_data</t>
        </is>
      </c>
      <c r="H42" t="inlineStr">
        <is>
          <t>istat</t>
        </is>
      </c>
      <c r="I42" t="inlineStr">
        <is>
          <t>https://opendata.comune.bologna.it/</t>
        </is>
      </c>
      <c r="J42" t="inlineStr">
        <is>
          <t>Comune di Bologna Open Data</t>
        </is>
      </c>
      <c r="K42" t="inlineStr">
        <is>
          <t>2026-03-12</t>
        </is>
      </c>
      <c r="L42" t="inlineStr">
        <is>
          <t>high</t>
        </is>
      </c>
      <c r="M42" t="inlineStr">
        <is>
          <t>Start with Bologna open data and city statistical publications. Escalate to ISTAT only when the city portal does not publish the needed local series.</t>
        </is>
      </c>
    </row>
    <row r="43">
      <c r="A43" t="inlineStr">
        <is>
          <t>it-bologna</t>
        </is>
      </c>
      <c r="B43" t="inlineStr">
        <is>
          <t>Bologna</t>
        </is>
      </c>
      <c r="C43" t="inlineStr">
        <is>
          <t>Italy</t>
        </is>
      </c>
      <c r="D43" t="inlineStr">
        <is>
          <t>rent</t>
        </is>
      </c>
      <c r="E43" t="inlineStr">
        <is>
          <t>Rent</t>
        </is>
      </c>
      <c r="F43" t="inlineStr">
        <is>
          <t>pressure</t>
        </is>
      </c>
      <c r="G43" t="inlineStr">
        <is>
          <t>agenzia_entrate_omi</t>
        </is>
      </c>
      <c r="H43" t="inlineStr">
        <is>
          <t>comune_bologna_open_data</t>
        </is>
      </c>
      <c r="I43" t="inlineStr">
        <is>
          <t>https://www.agenziaentrate.gov.it/portale/web/english/nsi/omi</t>
        </is>
      </c>
      <c r="J43" t="inlineStr">
        <is>
          <t>Agenzia delle Entrate | OMI</t>
        </is>
      </c>
      <c r="K43" t="inlineStr">
        <is>
          <t>2026-03-12</t>
        </is>
      </c>
      <c r="L43" t="inlineStr">
        <is>
          <t>high</t>
        </is>
      </c>
      <c r="M43" t="inlineStr">
        <is>
          <t>Use OMI housing-market tables for Bologna and pair them with official income data when a housing-burden ratio must be built manually.</t>
        </is>
      </c>
    </row>
    <row r="44">
      <c r="A44" t="inlineStr">
        <is>
          <t>it-bologna</t>
        </is>
      </c>
      <c r="B44" t="inlineStr">
        <is>
          <t>Bologna</t>
        </is>
      </c>
      <c r="C44" t="inlineStr">
        <is>
          <t>Italy</t>
        </is>
      </c>
      <c r="D44" t="inlineStr">
        <is>
          <t>housing_burden_raw</t>
        </is>
      </c>
      <c r="E44" t="inlineStr">
        <is>
          <t>Housing burden raw</t>
        </is>
      </c>
      <c r="F44" t="inlineStr">
        <is>
          <t>pressure</t>
        </is>
      </c>
      <c r="G44" t="inlineStr">
        <is>
          <t>agenzia_entrate_omi</t>
        </is>
      </c>
      <c r="H44" t="inlineStr">
        <is>
          <t>comune_bologna_open_data</t>
        </is>
      </c>
      <c r="I44" t="inlineStr">
        <is>
          <t>https://www.agenziaentrate.gov.it/portale/web/english/nsi/omi</t>
        </is>
      </c>
      <c r="J44" t="inlineStr">
        <is>
          <t>Agenzia delle Entrate | OMI</t>
        </is>
      </c>
      <c r="K44" t="inlineStr">
        <is>
          <t>2026-03-12</t>
        </is>
      </c>
      <c r="L44" t="inlineStr">
        <is>
          <t>high</t>
        </is>
      </c>
      <c r="M44" t="inlineStr">
        <is>
          <t>Use OMI housing-market tables for Bologna and pair them with official income data when a housing-burden ratio must be built manually.</t>
        </is>
      </c>
    </row>
    <row r="45">
      <c r="A45" t="inlineStr">
        <is>
          <t>it-bologna</t>
        </is>
      </c>
      <c r="B45" t="inlineStr">
        <is>
          <t>Bologna</t>
        </is>
      </c>
      <c r="C45" t="inlineStr">
        <is>
          <t>Italy</t>
        </is>
      </c>
      <c r="D45" t="inlineStr">
        <is>
          <t>utilities</t>
        </is>
      </c>
      <c r="E45" t="inlineStr">
        <is>
          <t>Utilities</t>
        </is>
      </c>
      <c r="F45" t="inlineStr">
        <is>
          <t>pressure</t>
        </is>
      </c>
      <c r="G45" t="inlineStr">
        <is>
          <t>gruppo_hera</t>
        </is>
      </c>
      <c r="H45" t="inlineStr">
        <is>
          <t>comune_bologna</t>
        </is>
      </c>
      <c r="I45" t="inlineStr">
        <is>
          <t>https://www.gruppohera.it/</t>
        </is>
      </c>
      <c r="J45" t="inlineStr">
        <is>
          <t>Gruppo Hera</t>
        </is>
      </c>
      <c r="K45" t="inlineStr">
        <is>
          <t>2026-03-12</t>
        </is>
      </c>
      <c r="L45" t="inlineStr">
        <is>
          <t>medium</t>
        </is>
      </c>
      <c r="M45" t="inlineStr">
        <is>
          <t>Use official utility tariffs or service-quality material for Bologna-area households.</t>
        </is>
      </c>
    </row>
    <row r="46">
      <c r="A46" t="inlineStr">
        <is>
          <t>it-bologna</t>
        </is>
      </c>
      <c r="B46" t="inlineStr">
        <is>
          <t>Bologna</t>
        </is>
      </c>
      <c r="C46" t="inlineStr">
        <is>
          <t>Italy</t>
        </is>
      </c>
      <c r="D46" t="inlineStr">
        <is>
          <t>water_sanitation_utility_raw</t>
        </is>
      </c>
      <c r="E46" t="inlineStr">
        <is>
          <t>Water, sanitation, and utility raw</t>
        </is>
      </c>
      <c r="F46" t="inlineStr">
        <is>
          <t>viability</t>
        </is>
      </c>
      <c r="G46" t="inlineStr">
        <is>
          <t>gruppo_hera</t>
        </is>
      </c>
      <c r="H46" t="inlineStr">
        <is>
          <t>comune_bologna</t>
        </is>
      </c>
      <c r="I46" t="inlineStr">
        <is>
          <t>https://www.gruppohera.it/</t>
        </is>
      </c>
      <c r="J46" t="inlineStr">
        <is>
          <t>Gruppo Hera</t>
        </is>
      </c>
      <c r="K46" t="inlineStr">
        <is>
          <t>2026-03-12</t>
        </is>
      </c>
      <c r="L46" t="inlineStr">
        <is>
          <t>medium</t>
        </is>
      </c>
      <c r="M46" t="inlineStr">
        <is>
          <t>Use official utility tariffs or service-quality material for Bologna-area households.</t>
        </is>
      </c>
    </row>
    <row r="47">
      <c r="A47" t="inlineStr">
        <is>
          <t>it-bologna</t>
        </is>
      </c>
      <c r="B47" t="inlineStr">
        <is>
          <t>Bologna</t>
        </is>
      </c>
      <c r="C47" t="inlineStr">
        <is>
          <t>Italy</t>
        </is>
      </c>
      <c r="D47" t="inlineStr">
        <is>
          <t>transit_cost</t>
        </is>
      </c>
      <c r="E47" t="inlineStr">
        <is>
          <t>Transit cost</t>
        </is>
      </c>
      <c r="F47" t="inlineStr">
        <is>
          <t>pressure</t>
        </is>
      </c>
      <c r="G47" t="inlineStr">
        <is>
          <t>tper_bologna</t>
        </is>
      </c>
      <c r="H47" t="inlineStr">
        <is>
          <t>comune_bologna_open_data</t>
        </is>
      </c>
      <c r="I47" t="inlineStr">
        <is>
          <t>https://www.tper.it/tariffe</t>
        </is>
      </c>
      <c r="J47" t="inlineStr">
        <is>
          <t>TPER | Fares</t>
        </is>
      </c>
      <c r="K47" t="inlineStr">
        <is>
          <t>2026-03-12</t>
        </is>
      </c>
      <c r="L47" t="inlineStr">
        <is>
          <t>high</t>
        </is>
      </c>
      <c r="M47" t="inlineStr">
        <is>
          <t>Use the standard recurring urban fare basis and note the pass type in City_Inputs.</t>
        </is>
      </c>
    </row>
    <row r="48">
      <c r="A48" t="inlineStr">
        <is>
          <t>it-bologna</t>
        </is>
      </c>
      <c r="B48" t="inlineStr">
        <is>
          <t>Bologna</t>
        </is>
      </c>
      <c r="C48" t="inlineStr">
        <is>
          <t>Italy</t>
        </is>
      </c>
      <c r="D48" t="inlineStr">
        <is>
          <t>transit_access_commute_raw</t>
        </is>
      </c>
      <c r="E48" t="inlineStr">
        <is>
          <t>Transit access and commute raw</t>
        </is>
      </c>
      <c r="F48" t="inlineStr">
        <is>
          <t>viability</t>
        </is>
      </c>
      <c r="G48" t="inlineStr">
        <is>
          <t>comune_bologna_open_data</t>
        </is>
      </c>
      <c r="H48" t="inlineStr">
        <is>
          <t>tper_bologna</t>
        </is>
      </c>
      <c r="I48" t="inlineStr">
        <is>
          <t>https://opendata.comune.bologna.it/</t>
        </is>
      </c>
      <c r="J48" t="inlineStr">
        <is>
          <t>Comune di Bologna Open Data</t>
        </is>
      </c>
      <c r="K48" t="inlineStr">
        <is>
          <t>2026-03-12</t>
        </is>
      </c>
      <c r="L48" t="inlineStr">
        <is>
          <t>high</t>
        </is>
      </c>
      <c r="M48" t="inlineStr">
        <is>
          <t>Look for official mobility and commuting datasets first, then use operator service data if necessary.</t>
        </is>
      </c>
    </row>
    <row r="49">
      <c r="A49" t="inlineStr">
        <is>
          <t>it-bologna</t>
        </is>
      </c>
      <c r="B49" t="inlineStr">
        <is>
          <t>Bologna</t>
        </is>
      </c>
      <c r="C49" t="inlineStr">
        <is>
          <t>Italy</t>
        </is>
      </c>
      <c r="D49" t="inlineStr">
        <is>
          <t>clean_air_raw</t>
        </is>
      </c>
      <c r="E49" t="inlineStr">
        <is>
          <t>Clean air raw</t>
        </is>
      </c>
      <c r="F49" t="inlineStr">
        <is>
          <t>viability</t>
        </is>
      </c>
      <c r="G49" t="inlineStr">
        <is>
          <t>arpae_emilia_romagna</t>
        </is>
      </c>
      <c r="H49" t="inlineStr">
        <is>
          <t>openaq</t>
        </is>
      </c>
      <c r="I49" t="inlineStr">
        <is>
          <t>https://www.arpae.it/it/temi-ambientali/aria</t>
        </is>
      </c>
      <c r="J49" t="inlineStr">
        <is>
          <t>ARPAE Emilia-Romagna | Air</t>
        </is>
      </c>
      <c r="K49" t="inlineStr">
        <is>
          <t>2026-03-12</t>
        </is>
      </c>
      <c r="L49" t="inlineStr">
        <is>
          <t>high</t>
        </is>
      </c>
      <c r="M49" t="inlineStr">
        <is>
          <t>Regional environmental monitoring remains the source of record for Bologna air-quality data.</t>
        </is>
      </c>
    </row>
    <row r="50">
      <c r="A50" t="inlineStr">
        <is>
          <t>it-bologna</t>
        </is>
      </c>
      <c r="B50" t="inlineStr">
        <is>
          <t>Bologna</t>
        </is>
      </c>
      <c r="C50" t="inlineStr">
        <is>
          <t>Italy</t>
        </is>
      </c>
      <c r="D50" t="inlineStr">
        <is>
          <t>internet_cost</t>
        </is>
      </c>
      <c r="E50" t="inlineStr">
        <is>
          <t>Internet cost</t>
        </is>
      </c>
      <c r="F50" t="inlineStr">
        <is>
          <t>pressure</t>
        </is>
      </c>
      <c r="G50" t="inlineStr">
        <is>
          <t>istat</t>
        </is>
      </c>
      <c r="H50" t="inlineStr">
        <is>
          <t>comune_bologna</t>
        </is>
      </c>
      <c r="I50" t="inlineStr">
        <is>
          <t>https://www.istat.it/en/</t>
        </is>
      </c>
      <c r="J50" t="inlineStr">
        <is>
          <t>ISTAT</t>
        </is>
      </c>
      <c r="K50" t="inlineStr">
        <is>
          <t>2026-03-12</t>
        </is>
      </c>
      <c r="L50" t="inlineStr">
        <is>
          <t>medium</t>
        </is>
      </c>
      <c r="M50" t="inlineStr">
        <is>
          <t>Use official national statistical releases with Bologna or metro breakdowns where available.</t>
        </is>
      </c>
    </row>
    <row r="51">
      <c r="A51" t="inlineStr">
        <is>
          <t>it-bologna</t>
        </is>
      </c>
      <c r="B51" t="inlineStr">
        <is>
          <t>Bologna</t>
        </is>
      </c>
      <c r="C51" t="inlineStr">
        <is>
          <t>Italy</t>
        </is>
      </c>
      <c r="D51" t="inlineStr">
        <is>
          <t>working_time_pressure_raw</t>
        </is>
      </c>
      <c r="E51" t="inlineStr">
        <is>
          <t>Working time pressure raw</t>
        </is>
      </c>
      <c r="F51" t="inlineStr">
        <is>
          <t>pressure</t>
        </is>
      </c>
      <c r="G51" t="inlineStr">
        <is>
          <t>istat</t>
        </is>
      </c>
      <c r="H51" t="inlineStr">
        <is>
          <t>comune_bologna</t>
        </is>
      </c>
      <c r="I51" t="inlineStr">
        <is>
          <t>https://www.istat.it/en/</t>
        </is>
      </c>
      <c r="J51" t="inlineStr">
        <is>
          <t>ISTAT</t>
        </is>
      </c>
      <c r="K51" t="inlineStr">
        <is>
          <t>2026-03-12</t>
        </is>
      </c>
      <c r="L51" t="inlineStr">
        <is>
          <t>medium</t>
        </is>
      </c>
      <c r="M51" t="inlineStr">
        <is>
          <t>Use official national statistical releases with Bologna or metro breakdowns where available.</t>
        </is>
      </c>
    </row>
    <row r="52">
      <c r="A52" t="inlineStr">
        <is>
          <t>it-bologna</t>
        </is>
      </c>
      <c r="B52" t="inlineStr">
        <is>
          <t>Bologna</t>
        </is>
      </c>
      <c r="C52" t="inlineStr">
        <is>
          <t>Italy</t>
        </is>
      </c>
      <c r="D52" t="inlineStr">
        <is>
          <t>suicide_mental_strain_raw</t>
        </is>
      </c>
      <c r="E52" t="inlineStr">
        <is>
          <t>Suicide or mental strain raw</t>
        </is>
      </c>
      <c r="F52" t="inlineStr">
        <is>
          <t>pressure</t>
        </is>
      </c>
      <c r="G52" t="inlineStr">
        <is>
          <t>istat</t>
        </is>
      </c>
      <c r="H52" t="inlineStr">
        <is>
          <t>comune_bologna</t>
        </is>
      </c>
      <c r="I52" t="inlineStr">
        <is>
          <t>https://www.istat.it/en/</t>
        </is>
      </c>
      <c r="J52" t="inlineStr">
        <is>
          <t>ISTAT</t>
        </is>
      </c>
      <c r="K52" t="inlineStr">
        <is>
          <t>2026-03-12</t>
        </is>
      </c>
      <c r="L52" t="inlineStr">
        <is>
          <t>medium</t>
        </is>
      </c>
      <c r="M52" t="inlineStr">
        <is>
          <t>Use official national statistical releases with Bologna or metro breakdowns where available.</t>
        </is>
      </c>
    </row>
    <row r="53">
      <c r="A53" t="inlineStr">
        <is>
          <t>it-bologna</t>
        </is>
      </c>
      <c r="B53" t="inlineStr">
        <is>
          <t>Bologna</t>
        </is>
      </c>
      <c r="C53" t="inlineStr">
        <is>
          <t>Italy</t>
        </is>
      </c>
      <c r="D53" t="inlineStr">
        <is>
          <t>household_debt_burden_raw</t>
        </is>
      </c>
      <c r="E53" t="inlineStr">
        <is>
          <t>Household debt burden raw</t>
        </is>
      </c>
      <c r="F53" t="inlineStr">
        <is>
          <t>pressure</t>
        </is>
      </c>
      <c r="G53" t="inlineStr">
        <is>
          <t>banca_d_italia</t>
        </is>
      </c>
      <c r="H53" t="inlineStr">
        <is>
          <t>istat</t>
        </is>
      </c>
      <c r="I53" t="inlineStr">
        <is>
          <t>https://www.bancaditalia.it/</t>
        </is>
      </c>
      <c r="J53" t="inlineStr">
        <is>
          <t>Banca d'Italia</t>
        </is>
      </c>
      <c r="K53" t="inlineStr">
        <is>
          <t>2026-03-12</t>
        </is>
      </c>
      <c r="L53" t="inlineStr">
        <is>
          <t>medium</t>
        </is>
      </c>
      <c r="M53" t="inlineStr">
        <is>
          <t>Prefer territorial household-finance or consumer-credit indicators and document any regional fallback used.</t>
        </is>
      </c>
    </row>
  </sheetData>
  <autoFilter ref="A1:M5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32" customWidth="1" min="3" max="3"/>
    <col width="12" customWidth="1" min="4" max="4"/>
    <col width="22" customWidth="1" min="5" max="5"/>
    <col width="12" customWidth="1" min="6" max="6"/>
    <col width="13" customWidth="1" min="7" max="7"/>
    <col width="40" customWidth="1" min="8" max="8"/>
    <col width="40" customWidth="1" min="9" max="9"/>
    <col width="13" customWidth="1" min="10" max="10"/>
    <col width="40" customWidth="1" min="11" max="11"/>
  </cols>
  <sheetData>
    <row r="1">
      <c r="A1" s="19" t="inlineStr">
        <is>
          <t>country</t>
        </is>
      </c>
      <c r="B1" s="19" t="inlineStr">
        <is>
          <t>field</t>
        </is>
      </c>
      <c r="C1" s="19" t="inlineStr">
        <is>
          <t>label</t>
        </is>
      </c>
      <c r="D1" s="19" t="inlineStr">
        <is>
          <t>pillar</t>
        </is>
      </c>
      <c r="E1" s="19" t="inlineStr">
        <is>
          <t>required_for_ranking</t>
        </is>
      </c>
      <c r="F1" s="19" t="inlineStr">
        <is>
          <t>value</t>
        </is>
      </c>
      <c r="G1" s="19" t="inlineStr">
        <is>
          <t>provider_id</t>
        </is>
      </c>
      <c r="H1" s="19" t="inlineStr">
        <is>
          <t>source_url</t>
        </is>
      </c>
      <c r="I1" s="19" t="inlineStr">
        <is>
          <t>source_title</t>
        </is>
      </c>
      <c r="J1" s="19" t="inlineStr">
        <is>
          <t>source_date</t>
        </is>
      </c>
      <c r="K1" s="19" t="inlineStr">
        <is>
          <t>notes</t>
        </is>
      </c>
    </row>
    <row r="2">
      <c r="A2" t="inlineStr">
        <is>
          <t>Thailand</t>
        </is>
      </c>
      <c r="B2" t="inlineStr">
        <is>
          <t>gdp_per_capita_ppp</t>
        </is>
      </c>
      <c r="C2" t="inlineStr">
        <is>
          <t>GDP per capita (PPP)</t>
        </is>
      </c>
      <c r="D2" t="inlineStr">
        <is>
          <t>creative</t>
        </is>
      </c>
      <c r="E2" t="inlineStr">
        <is>
          <t>yes</t>
        </is>
      </c>
      <c r="F2" t="inlineStr">
        <is>
          <t>24712.07</t>
        </is>
      </c>
      <c r="G2" t="inlineStr">
        <is>
          <t>world_bank</t>
        </is>
      </c>
      <c r="H2" t="inlineStr">
        <is>
          <t>https://api.worldbank.org/v2/country/THA/indicator/NY.GDP.PCAP.PP.CD?format=json&amp;mrv=30</t>
        </is>
      </c>
      <c r="I2" t="inlineStr">
        <is>
          <t>World Bank WDI: GDP per capita, PPP (current international $)</t>
        </is>
      </c>
      <c r="J2" t="inlineStr">
        <is>
          <t>2024-12-31</t>
        </is>
      </c>
      <c r="K2" t="inlineStr">
        <is>
          <t>auto_seed=world_bank_wdi; indicator=NY.GDP.PCAP.PP.CD; observation_year=2024; dataset_lastupdated=2026-02-24; stale=no</t>
        </is>
      </c>
    </row>
    <row r="3">
      <c r="A3" t="inlineStr">
        <is>
          <t>Thailand</t>
        </is>
      </c>
      <c r="B3" t="inlineStr">
        <is>
          <t>gdp_growth</t>
        </is>
      </c>
      <c r="C3" t="inlineStr">
        <is>
          <t>GDP growth</t>
        </is>
      </c>
      <c r="D3" t="inlineStr">
        <is>
          <t>creative</t>
        </is>
      </c>
      <c r="E3" t="inlineStr">
        <is>
          <t>yes</t>
        </is>
      </c>
      <c r="F3" t="inlineStr">
        <is>
          <t>2.5418</t>
        </is>
      </c>
      <c r="G3" t="inlineStr">
        <is>
          <t>world_bank</t>
        </is>
      </c>
      <c r="H3" t="inlineStr">
        <is>
          <t>https://api.worldbank.org/v2/country/THA/indicator/NY.GDP.MKTP.KD.ZG?format=json&amp;mrv=30</t>
        </is>
      </c>
      <c r="I3" t="inlineStr">
        <is>
          <t>World Bank WDI: GDP growth (annual %)</t>
        </is>
      </c>
      <c r="J3" t="inlineStr">
        <is>
          <t>2024-12-31</t>
        </is>
      </c>
      <c r="K3" t="inlineStr">
        <is>
          <t>auto_seed=world_bank_wdi; indicator=NY.GDP.MKTP.KD.ZG; observation_year=2024; dataset_lastupdated=2026-02-24; stale=no</t>
        </is>
      </c>
    </row>
    <row r="4">
      <c r="A4" t="inlineStr">
        <is>
          <t>Thailand</t>
        </is>
      </c>
      <c r="B4" t="inlineStr">
        <is>
          <t>gini_coefficient</t>
        </is>
      </c>
      <c r="C4" t="inlineStr">
        <is>
          <t>Gini coefficient</t>
        </is>
      </c>
      <c r="D4" t="inlineStr">
        <is>
          <t>capability</t>
        </is>
      </c>
      <c r="E4" t="inlineStr">
        <is>
          <t>yes</t>
        </is>
      </c>
      <c r="F4" t="inlineStr">
        <is>
          <t>33.5</t>
        </is>
      </c>
      <c r="G4" t="inlineStr">
        <is>
          <t>world_bank</t>
        </is>
      </c>
      <c r="H4" t="inlineStr">
        <is>
          <t>https://api.worldbank.org/v2/country/THA/indicator/SI.POV.GINI?format=json&amp;mrv=30</t>
        </is>
      </c>
      <c r="I4" t="inlineStr">
        <is>
          <t>World Bank WDI: Gini index</t>
        </is>
      </c>
      <c r="J4" t="inlineStr">
        <is>
          <t>2023-12-31</t>
        </is>
      </c>
      <c r="K4" t="inlineStr">
        <is>
          <t>auto_seed=world_bank_wdi; indicator=SI.POV.GINI; observation_year=2023; dataset_lastupdated=2026-02-24; stale=no</t>
        </is>
      </c>
    </row>
    <row r="5">
      <c r="A5" t="inlineStr">
        <is>
          <t>Thailand</t>
        </is>
      </c>
      <c r="B5" t="inlineStr">
        <is>
          <t>ppp_private_consumption</t>
        </is>
      </c>
      <c r="C5" t="inlineStr">
        <is>
          <t>PPP private consumption factor</t>
        </is>
      </c>
      <c r="D5" t="inlineStr">
        <is>
          <t>pressure</t>
        </is>
      </c>
      <c r="E5" t="inlineStr">
        <is>
          <t>yes</t>
        </is>
      </c>
      <c r="F5" t="inlineStr">
        <is>
          <t>10.945576</t>
        </is>
      </c>
      <c r="G5" t="inlineStr">
        <is>
          <t>world_bank</t>
        </is>
      </c>
      <c r="H5" t="inlineStr">
        <is>
          <t>https://api.worldbank.org/v2/country/THA/indicator/PA.NUS.PRVT.PP?format=json&amp;mrv=30</t>
        </is>
      </c>
      <c r="I5" t="inlineStr">
        <is>
          <t>World Bank WDI: PPP conversion factor, private consumption (LCU per international $)</t>
        </is>
      </c>
      <c r="J5" t="inlineStr">
        <is>
          <t>2024-12-31</t>
        </is>
      </c>
      <c r="K5" t="inlineStr">
        <is>
          <t>auto_seed=world_bank_wdi; indicator=PA.NUS.PRVT.PP; observation_year=2024; dataset_lastupdated=2026-02-24; stale=no</t>
        </is>
      </c>
    </row>
    <row r="6">
      <c r="A6" t="inlineStr">
        <is>
          <t>Thailand</t>
        </is>
      </c>
      <c r="B6" t="inlineStr">
        <is>
          <t>tax_rate_assumption</t>
        </is>
      </c>
      <c r="C6" t="inlineStr">
        <is>
          <t>Tax rate assumption</t>
        </is>
      </c>
      <c r="D6" t="inlineStr">
        <is>
          <t>pressure</t>
        </is>
      </c>
      <c r="E6" t="inlineStr">
        <is>
          <t>yes</t>
        </is>
      </c>
      <c r="F6" t="inlineStr">
        <is>
          <t>0.152577</t>
        </is>
      </c>
      <c r="G6" t="inlineStr">
        <is>
          <t>world_bank</t>
        </is>
      </c>
      <c r="H6" t="inlineStr">
        <is>
          <t>https://api.worldbank.org/v2/country/THA/indicator/GC.TAX.TOTL.GD.ZS?format=json&amp;mrv=30</t>
        </is>
      </c>
      <c r="I6" t="inlineStr">
        <is>
          <t>World Bank WDI: Tax revenue (% of GDP) used as interim country average tax-take proxy</t>
        </is>
      </c>
      <c r="J6" t="inlineStr">
        <is>
          <t>2024-12-31</t>
        </is>
      </c>
      <c r="K6" t="inlineStr">
        <is>
          <t>auto_seed=world_bank_wdi; proxy=country_average_tax_take_from_tax_revenue_share; indicator=GC.TAX.TOTL.GD.ZS; observation_year=2024; dataset_lastupdated=2026-02-24; stale=no</t>
        </is>
      </c>
    </row>
    <row r="7">
      <c r="A7" t="inlineStr">
        <is>
          <t>Thailand</t>
        </is>
      </c>
      <c r="B7" t="inlineStr">
        <is>
          <t>household_debt_proxy</t>
        </is>
      </c>
      <c r="C7" t="inlineStr">
        <is>
          <t>Household debt proxy</t>
        </is>
      </c>
      <c r="D7" t="inlineStr">
        <is>
          <t>pressure</t>
        </is>
      </c>
      <c r="E7" t="inlineStr">
        <is>
          <t>yes</t>
        </is>
      </c>
      <c r="F7" t="inlineStr">
        <is>
          <t>115.1054</t>
        </is>
      </c>
      <c r="G7" t="inlineStr">
        <is>
          <t>world_bank</t>
        </is>
      </c>
      <c r="H7" t="inlineStr">
        <is>
          <t>https://api.worldbank.org/v2/country/THA/indicator/FD.AST.PRVT.GD.ZS?format=json&amp;mrv=30</t>
        </is>
      </c>
      <c r="I7" t="inlineStr">
        <is>
          <t>World Bank WDI: Domestic credit to private sector by banks (% of GDP) used as interim leverage proxy</t>
        </is>
      </c>
      <c r="J7" t="inlineStr">
        <is>
          <t>2024-12-31</t>
        </is>
      </c>
      <c r="K7" t="inlineStr">
        <is>
          <t>auto_seed=world_bank_wdi; proxy=broad_private_credit_not_household_only; indicator=FD.AST.PRVT.GD.ZS; observation_year=2024; dataset_lastupdated=2026-02-24; stale=no</t>
        </is>
      </c>
    </row>
    <row r="8">
      <c r="A8" t="inlineStr">
        <is>
          <t>Singapore</t>
        </is>
      </c>
      <c r="B8" t="inlineStr">
        <is>
          <t>gdp_per_capita_ppp</t>
        </is>
      </c>
      <c r="C8" t="inlineStr">
        <is>
          <t>GDP per capita (PPP)</t>
        </is>
      </c>
      <c r="D8" t="inlineStr">
        <is>
          <t>creative</t>
        </is>
      </c>
      <c r="E8" t="inlineStr">
        <is>
          <t>yes</t>
        </is>
      </c>
      <c r="F8" t="inlineStr">
        <is>
          <t>150689.3</t>
        </is>
      </c>
      <c r="G8" t="inlineStr">
        <is>
          <t>world_bank</t>
        </is>
      </c>
      <c r="H8" t="inlineStr">
        <is>
          <t>https://api.worldbank.org/v2/country/SGP/indicator/NY.GDP.PCAP.PP.CD?format=json&amp;mrv=30</t>
        </is>
      </c>
      <c r="I8" t="inlineStr">
        <is>
          <t>World Bank WDI: GDP per capita, PPP (current international $)</t>
        </is>
      </c>
      <c r="J8" t="inlineStr">
        <is>
          <t>2024-12-31</t>
        </is>
      </c>
      <c r="K8" t="inlineStr">
        <is>
          <t>auto_seed=world_bank_wdi; indicator=NY.GDP.PCAP.PP.CD; observation_year=2024; dataset_lastupdated=2026-02-24; stale=no</t>
        </is>
      </c>
    </row>
    <row r="9">
      <c r="A9" t="inlineStr">
        <is>
          <t>Singapore</t>
        </is>
      </c>
      <c r="B9" t="inlineStr">
        <is>
          <t>gdp_growth</t>
        </is>
      </c>
      <c r="C9" t="inlineStr">
        <is>
          <t>GDP growth</t>
        </is>
      </c>
      <c r="D9" t="inlineStr">
        <is>
          <t>creative</t>
        </is>
      </c>
      <c r="E9" t="inlineStr">
        <is>
          <t>yes</t>
        </is>
      </c>
      <c r="F9" t="inlineStr">
        <is>
          <t>4.388</t>
        </is>
      </c>
      <c r="G9" t="inlineStr">
        <is>
          <t>world_bank</t>
        </is>
      </c>
      <c r="H9" t="inlineStr">
        <is>
          <t>https://api.worldbank.org/v2/country/SGP/indicator/NY.GDP.MKTP.KD.ZG?format=json&amp;mrv=30</t>
        </is>
      </c>
      <c r="I9" t="inlineStr">
        <is>
          <t>World Bank WDI: GDP growth (annual %)</t>
        </is>
      </c>
      <c r="J9" t="inlineStr">
        <is>
          <t>2024-12-31</t>
        </is>
      </c>
      <c r="K9" t="inlineStr">
        <is>
          <t>auto_seed=world_bank_wdi; indicator=NY.GDP.MKTP.KD.ZG; observation_year=2024; dataset_lastupdated=2026-02-24; stale=no</t>
        </is>
      </c>
    </row>
    <row r="10">
      <c r="A10" t="inlineStr">
        <is>
          <t>Singapore</t>
        </is>
      </c>
      <c r="B10" t="inlineStr">
        <is>
          <t>gini_coefficient</t>
        </is>
      </c>
      <c r="C10" t="inlineStr">
        <is>
          <t>Gini coefficient</t>
        </is>
      </c>
      <c r="D10" t="inlineStr">
        <is>
          <t>capability</t>
        </is>
      </c>
      <c r="E10" t="inlineStr">
        <is>
          <t>yes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Singapore</t>
        </is>
      </c>
      <c r="B11" t="inlineStr">
        <is>
          <t>ppp_private_consumption</t>
        </is>
      </c>
      <c r="C11" t="inlineStr">
        <is>
          <t>PPP private consumption factor</t>
        </is>
      </c>
      <c r="D11" t="inlineStr">
        <is>
          <t>pressure</t>
        </is>
      </c>
      <c r="E11" t="inlineStr">
        <is>
          <t>yes</t>
        </is>
      </c>
      <c r="F11" t="inlineStr">
        <is>
          <t>1.04203</t>
        </is>
      </c>
      <c r="G11" t="inlineStr">
        <is>
          <t>world_bank</t>
        </is>
      </c>
      <c r="H11" t="inlineStr">
        <is>
          <t>https://api.worldbank.org/v2/country/SGP/indicator/PA.NUS.PRVT.PP?format=json&amp;mrv=30</t>
        </is>
      </c>
      <c r="I11" t="inlineStr">
        <is>
          <t>World Bank WDI: PPP conversion factor, private consumption (LCU per international $)</t>
        </is>
      </c>
      <c r="J11" t="inlineStr">
        <is>
          <t>2024-12-31</t>
        </is>
      </c>
      <c r="K11" t="inlineStr">
        <is>
          <t>auto_seed=world_bank_wdi; indicator=PA.NUS.PRVT.PP; observation_year=2024; dataset_lastupdated=2026-02-24; stale=no</t>
        </is>
      </c>
    </row>
    <row r="12">
      <c r="A12" t="inlineStr">
        <is>
          <t>Singapore</t>
        </is>
      </c>
      <c r="B12" t="inlineStr">
        <is>
          <t>tax_rate_assumption</t>
        </is>
      </c>
      <c r="C12" t="inlineStr">
        <is>
          <t>Tax rate assumption</t>
        </is>
      </c>
      <c r="D12" t="inlineStr">
        <is>
          <t>pressure</t>
        </is>
      </c>
      <c r="E12" t="inlineStr">
        <is>
          <t>yes</t>
        </is>
      </c>
      <c r="F12" t="inlineStr">
        <is>
          <t>0.141917</t>
        </is>
      </c>
      <c r="G12" t="inlineStr">
        <is>
          <t>world_bank</t>
        </is>
      </c>
      <c r="H12" t="inlineStr">
        <is>
          <t>https://api.worldbank.org/v2/country/SGP/indicator/GC.TAX.TOTL.GD.ZS?format=json&amp;mrv=30</t>
        </is>
      </c>
      <c r="I12" t="inlineStr">
        <is>
          <t>World Bank WDI: Tax revenue (% of GDP) used as interim country average tax-take proxy</t>
        </is>
      </c>
      <c r="J12" t="inlineStr">
        <is>
          <t>2024-12-31</t>
        </is>
      </c>
      <c r="K12" t="inlineStr">
        <is>
          <t>auto_seed=world_bank_wdi; proxy=country_average_tax_take_from_tax_revenue_share; indicator=GC.TAX.TOTL.GD.ZS; observation_year=2024; dataset_lastupdated=2026-02-24; stale=no</t>
        </is>
      </c>
    </row>
    <row r="13">
      <c r="A13" t="inlineStr">
        <is>
          <t>Singapore</t>
        </is>
      </c>
      <c r="B13" t="inlineStr">
        <is>
          <t>household_debt_proxy</t>
        </is>
      </c>
      <c r="C13" t="inlineStr">
        <is>
          <t>Household debt proxy</t>
        </is>
      </c>
      <c r="D13" t="inlineStr">
        <is>
          <t>pressure</t>
        </is>
      </c>
      <c r="E13" t="inlineStr">
        <is>
          <t>yes</t>
        </is>
      </c>
      <c r="F13" t="inlineStr">
        <is>
          <t>129.1908</t>
        </is>
      </c>
      <c r="G13" t="inlineStr">
        <is>
          <t>world_bank</t>
        </is>
      </c>
      <c r="H13" t="inlineStr">
        <is>
          <t>https://api.worldbank.org/v2/country/SGP/indicator/FD.AST.PRVT.GD.ZS?format=json&amp;mrv=30</t>
        </is>
      </c>
      <c r="I13" t="inlineStr">
        <is>
          <t>World Bank WDI: Domestic credit to private sector by banks (% of GDP) used as interim leverage proxy</t>
        </is>
      </c>
      <c r="J13" t="inlineStr">
        <is>
          <t>2020-12-31</t>
        </is>
      </c>
      <c r="K13" t="inlineStr">
        <is>
          <t>auto_seed=world_bank_wdi; proxy=broad_private_credit_not_household_only; indicator=FD.AST.PRVT.GD.ZS; observation_year=2020; dataset_lastupdated=2026-02-24; stale=no</t>
        </is>
      </c>
    </row>
    <row r="14">
      <c r="A14" t="inlineStr">
        <is>
          <t>Malaysia</t>
        </is>
      </c>
      <c r="B14" t="inlineStr">
        <is>
          <t>gdp_per_capita_ppp</t>
        </is>
      </c>
      <c r="C14" t="inlineStr">
        <is>
          <t>GDP per capita (PPP)</t>
        </is>
      </c>
      <c r="D14" t="inlineStr">
        <is>
          <t>creative</t>
        </is>
      </c>
      <c r="E14" t="inlineStr">
        <is>
          <t>yes</t>
        </is>
      </c>
      <c r="F14" t="inlineStr">
        <is>
          <t>38779.28</t>
        </is>
      </c>
      <c r="G14" t="inlineStr">
        <is>
          <t>world_bank</t>
        </is>
      </c>
      <c r="H14" t="inlineStr">
        <is>
          <t>https://api.worldbank.org/v2/country/MYS/indicator/NY.GDP.PCAP.PP.CD?format=json&amp;mrv=30</t>
        </is>
      </c>
      <c r="I14" t="inlineStr">
        <is>
          <t>World Bank WDI: GDP per capita, PPP (current international $)</t>
        </is>
      </c>
      <c r="J14" t="inlineStr">
        <is>
          <t>2024-12-31</t>
        </is>
      </c>
      <c r="K14" t="inlineStr">
        <is>
          <t>auto_seed=world_bank_wdi; indicator=NY.GDP.PCAP.PP.CD; observation_year=2024; dataset_lastupdated=2026-02-24; stale=no</t>
        </is>
      </c>
    </row>
    <row r="15">
      <c r="A15" t="inlineStr">
        <is>
          <t>Malaysia</t>
        </is>
      </c>
      <c r="B15" t="inlineStr">
        <is>
          <t>gdp_growth</t>
        </is>
      </c>
      <c r="C15" t="inlineStr">
        <is>
          <t>GDP growth</t>
        </is>
      </c>
      <c r="D15" t="inlineStr">
        <is>
          <t>creative</t>
        </is>
      </c>
      <c r="E15" t="inlineStr">
        <is>
          <t>yes</t>
        </is>
      </c>
      <c r="F15" t="inlineStr">
        <is>
          <t>5.1055</t>
        </is>
      </c>
      <c r="G15" t="inlineStr">
        <is>
          <t>world_bank</t>
        </is>
      </c>
      <c r="H15" t="inlineStr">
        <is>
          <t>https://api.worldbank.org/v2/country/MYS/indicator/NY.GDP.MKTP.KD.ZG?format=json&amp;mrv=30</t>
        </is>
      </c>
      <c r="I15" t="inlineStr">
        <is>
          <t>World Bank WDI: GDP growth (annual %)</t>
        </is>
      </c>
      <c r="J15" t="inlineStr">
        <is>
          <t>2024-12-31</t>
        </is>
      </c>
      <c r="K15" t="inlineStr">
        <is>
          <t>auto_seed=world_bank_wdi; indicator=NY.GDP.MKTP.KD.ZG; observation_year=2024; dataset_lastupdated=2026-02-24; stale=no</t>
        </is>
      </c>
    </row>
    <row r="16">
      <c r="A16" t="inlineStr">
        <is>
          <t>Malaysia</t>
        </is>
      </c>
      <c r="B16" t="inlineStr">
        <is>
          <t>gini_coefficient</t>
        </is>
      </c>
      <c r="C16" t="inlineStr">
        <is>
          <t>Gini coefficient</t>
        </is>
      </c>
      <c r="D16" t="inlineStr">
        <is>
          <t>capability</t>
        </is>
      </c>
      <c r="E16" t="inlineStr">
        <is>
          <t>yes</t>
        </is>
      </c>
      <c r="F16" t="inlineStr">
        <is>
          <t>40.7</t>
        </is>
      </c>
      <c r="G16" t="inlineStr">
        <is>
          <t>world_bank</t>
        </is>
      </c>
      <c r="H16" t="inlineStr">
        <is>
          <t>https://api.worldbank.org/v2/country/MYS/indicator/SI.POV.GINI?format=json&amp;mrv=30</t>
        </is>
      </c>
      <c r="I16" t="inlineStr">
        <is>
          <t>World Bank WDI: Gini index</t>
        </is>
      </c>
      <c r="J16" t="inlineStr">
        <is>
          <t>2021-12-31</t>
        </is>
      </c>
      <c r="K16" t="inlineStr">
        <is>
          <t>auto_seed=world_bank_wdi; indicator=SI.POV.GINI; observation_year=2021; dataset_lastupdated=2026-02-24; stale=no</t>
        </is>
      </c>
    </row>
    <row r="17">
      <c r="A17" t="inlineStr">
        <is>
          <t>Malaysia</t>
        </is>
      </c>
      <c r="B17" t="inlineStr">
        <is>
          <t>ppp_private_consumption</t>
        </is>
      </c>
      <c r="C17" t="inlineStr">
        <is>
          <t>PPP private consumption factor</t>
        </is>
      </c>
      <c r="D17" t="inlineStr">
        <is>
          <t>pressure</t>
        </is>
      </c>
      <c r="E17" t="inlineStr">
        <is>
          <t>yes</t>
        </is>
      </c>
      <c r="F17" t="inlineStr">
        <is>
          <t>1.449227</t>
        </is>
      </c>
      <c r="G17" t="inlineStr">
        <is>
          <t>world_bank</t>
        </is>
      </c>
      <c r="H17" t="inlineStr">
        <is>
          <t>https://api.worldbank.org/v2/country/MYS/indicator/PA.NUS.PRVT.PP?format=json&amp;mrv=30</t>
        </is>
      </c>
      <c r="I17" t="inlineStr">
        <is>
          <t>World Bank WDI: PPP conversion factor, private consumption (LCU per international $)</t>
        </is>
      </c>
      <c r="J17" t="inlineStr">
        <is>
          <t>2024-12-31</t>
        </is>
      </c>
      <c r="K17" t="inlineStr">
        <is>
          <t>auto_seed=world_bank_wdi; indicator=PA.NUS.PRVT.PP; observation_year=2024; dataset_lastupdated=2026-02-24; stale=no</t>
        </is>
      </c>
    </row>
    <row r="18">
      <c r="A18" t="inlineStr">
        <is>
          <t>Malaysia</t>
        </is>
      </c>
      <c r="B18" t="inlineStr">
        <is>
          <t>tax_rate_assumption</t>
        </is>
      </c>
      <c r="C18" t="inlineStr">
        <is>
          <t>Tax rate assumption</t>
        </is>
      </c>
      <c r="D18" t="inlineStr">
        <is>
          <t>pressure</t>
        </is>
      </c>
      <c r="E18" t="inlineStr">
        <is>
          <t>yes</t>
        </is>
      </c>
      <c r="F18" t="inlineStr">
        <is>
          <t>0.125648</t>
        </is>
      </c>
      <c r="G18" t="inlineStr">
        <is>
          <t>world_bank</t>
        </is>
      </c>
      <c r="H18" t="inlineStr">
        <is>
          <t>https://api.worldbank.org/v2/country/MYS/indicator/GC.TAX.TOTL.GD.ZS?format=json&amp;mrv=30</t>
        </is>
      </c>
      <c r="I18" t="inlineStr">
        <is>
          <t>World Bank WDI: Tax revenue (% of GDP) used as interim country average tax-take proxy</t>
        </is>
      </c>
      <c r="J18" t="inlineStr">
        <is>
          <t>2023-12-31</t>
        </is>
      </c>
      <c r="K18" t="inlineStr">
        <is>
          <t>auto_seed=world_bank_wdi; proxy=country_average_tax_take_from_tax_revenue_share; indicator=GC.TAX.TOTL.GD.ZS; observation_year=2023; dataset_lastupdated=2026-02-24; stale=no</t>
        </is>
      </c>
    </row>
    <row r="19">
      <c r="A19" t="inlineStr">
        <is>
          <t>Malaysia</t>
        </is>
      </c>
      <c r="B19" t="inlineStr">
        <is>
          <t>household_debt_proxy</t>
        </is>
      </c>
      <c r="C19" t="inlineStr">
        <is>
          <t>Household debt proxy</t>
        </is>
      </c>
      <c r="D19" t="inlineStr">
        <is>
          <t>pressure</t>
        </is>
      </c>
      <c r="E19" t="inlineStr">
        <is>
          <t>yes</t>
        </is>
      </c>
      <c r="F19" t="inlineStr">
        <is>
          <t>116.0773</t>
        </is>
      </c>
      <c r="G19" t="inlineStr">
        <is>
          <t>world_bank</t>
        </is>
      </c>
      <c r="H19" t="inlineStr">
        <is>
          <t>https://api.worldbank.org/v2/country/MYS/indicator/FD.AST.PRVT.GD.ZS?format=json&amp;mrv=30</t>
        </is>
      </c>
      <c r="I19" t="inlineStr">
        <is>
          <t>World Bank WDI: Domestic credit to private sector by banks (% of GDP) used as interim leverage proxy</t>
        </is>
      </c>
      <c r="J19" t="inlineStr">
        <is>
          <t>2024-12-31</t>
        </is>
      </c>
      <c r="K19" t="inlineStr">
        <is>
          <t>auto_seed=world_bank_wdi; proxy=broad_private_credit_not_household_only; indicator=FD.AST.PRVT.GD.ZS; observation_year=2024; dataset_lastupdated=2026-02-24; stale=no</t>
        </is>
      </c>
    </row>
    <row r="20">
      <c r="A20" t="inlineStr">
        <is>
          <t>Indonesia</t>
        </is>
      </c>
      <c r="B20" t="inlineStr">
        <is>
          <t>gdp_per_capita_ppp</t>
        </is>
      </c>
      <c r="C20" t="inlineStr">
        <is>
          <t>GDP per capita (PPP)</t>
        </is>
      </c>
      <c r="D20" t="inlineStr">
        <is>
          <t>creative</t>
        </is>
      </c>
      <c r="E20" t="inlineStr">
        <is>
          <t>yes</t>
        </is>
      </c>
      <c r="F20" t="inlineStr">
        <is>
          <t>16448.28</t>
        </is>
      </c>
      <c r="G20" t="inlineStr">
        <is>
          <t>world_bank</t>
        </is>
      </c>
      <c r="H20" t="inlineStr">
        <is>
          <t>https://api.worldbank.org/v2/country/IDN/indicator/NY.GDP.PCAP.PP.CD?format=json&amp;mrv=30</t>
        </is>
      </c>
      <c r="I20" t="inlineStr">
        <is>
          <t>World Bank WDI: GDP per capita, PPP (current international $)</t>
        </is>
      </c>
      <c r="J20" t="inlineStr">
        <is>
          <t>2024-12-31</t>
        </is>
      </c>
      <c r="K20" t="inlineStr">
        <is>
          <t>auto_seed=world_bank_wdi; indicator=NY.GDP.PCAP.PP.CD; observation_year=2024; dataset_lastupdated=2026-02-24; stale=no</t>
        </is>
      </c>
    </row>
    <row r="21">
      <c r="A21" t="inlineStr">
        <is>
          <t>Indonesia</t>
        </is>
      </c>
      <c r="B21" t="inlineStr">
        <is>
          <t>gdp_growth</t>
        </is>
      </c>
      <c r="C21" t="inlineStr">
        <is>
          <t>GDP growth</t>
        </is>
      </c>
      <c r="D21" t="inlineStr">
        <is>
          <t>creative</t>
        </is>
      </c>
      <c r="E21" t="inlineStr">
        <is>
          <t>yes</t>
        </is>
      </c>
      <c r="F21" t="inlineStr">
        <is>
          <t>5.0303</t>
        </is>
      </c>
      <c r="G21" t="inlineStr">
        <is>
          <t>world_bank</t>
        </is>
      </c>
      <c r="H21" t="inlineStr">
        <is>
          <t>https://api.worldbank.org/v2/country/IDN/indicator/NY.GDP.MKTP.KD.ZG?format=json&amp;mrv=30</t>
        </is>
      </c>
      <c r="I21" t="inlineStr">
        <is>
          <t>World Bank WDI: GDP growth (annual %)</t>
        </is>
      </c>
      <c r="J21" t="inlineStr">
        <is>
          <t>2024-12-31</t>
        </is>
      </c>
      <c r="K21" t="inlineStr">
        <is>
          <t>auto_seed=world_bank_wdi; indicator=NY.GDP.MKTP.KD.ZG; observation_year=2024; dataset_lastupdated=2026-02-24; stale=no</t>
        </is>
      </c>
    </row>
    <row r="22">
      <c r="A22" t="inlineStr">
        <is>
          <t>Indonesia</t>
        </is>
      </c>
      <c r="B22" t="inlineStr">
        <is>
          <t>gini_coefficient</t>
        </is>
      </c>
      <c r="C22" t="inlineStr">
        <is>
          <t>Gini coefficient</t>
        </is>
      </c>
      <c r="D22" t="inlineStr">
        <is>
          <t>capability</t>
        </is>
      </c>
      <c r="E22" t="inlineStr">
        <is>
          <t>yes</t>
        </is>
      </c>
      <c r="F22" t="inlineStr">
        <is>
          <t>34.9</t>
        </is>
      </c>
      <c r="G22" t="inlineStr">
        <is>
          <t>world_bank</t>
        </is>
      </c>
      <c r="H22" t="inlineStr">
        <is>
          <t>https://api.worldbank.org/v2/country/IDN/indicator/SI.POV.GINI?format=json&amp;mrv=30</t>
        </is>
      </c>
      <c r="I22" t="inlineStr">
        <is>
          <t>World Bank WDI: Gini index</t>
        </is>
      </c>
      <c r="J22" t="inlineStr">
        <is>
          <t>2024-12-31</t>
        </is>
      </c>
      <c r="K22" t="inlineStr">
        <is>
          <t>auto_seed=world_bank_wdi; indicator=SI.POV.GINI; observation_year=2024; dataset_lastupdated=2026-02-24; stale=no</t>
        </is>
      </c>
    </row>
    <row r="23">
      <c r="A23" t="inlineStr">
        <is>
          <t>Indonesia</t>
        </is>
      </c>
      <c r="B23" t="inlineStr">
        <is>
          <t>ppp_private_consumption</t>
        </is>
      </c>
      <c r="C23" t="inlineStr">
        <is>
          <t>PPP private consumption factor</t>
        </is>
      </c>
      <c r="D23" t="inlineStr">
        <is>
          <t>pressure</t>
        </is>
      </c>
      <c r="E23" t="inlineStr">
        <is>
          <t>yes</t>
        </is>
      </c>
      <c r="F23" t="inlineStr">
        <is>
          <t>5104.98432</t>
        </is>
      </c>
      <c r="G23" t="inlineStr">
        <is>
          <t>world_bank</t>
        </is>
      </c>
      <c r="H23" t="inlineStr">
        <is>
          <t>https://api.worldbank.org/v2/country/IDN/indicator/PA.NUS.PRVT.PP?format=json&amp;mrv=30</t>
        </is>
      </c>
      <c r="I23" t="inlineStr">
        <is>
          <t>World Bank WDI: PPP conversion factor, private consumption (LCU per international $)</t>
        </is>
      </c>
      <c r="J23" t="inlineStr">
        <is>
          <t>2024-12-31</t>
        </is>
      </c>
      <c r="K23" t="inlineStr">
        <is>
          <t>auto_seed=world_bank_wdi; indicator=PA.NUS.PRVT.PP; observation_year=2024; dataset_lastupdated=2026-02-24; stale=no</t>
        </is>
      </c>
    </row>
    <row r="24">
      <c r="A24" t="inlineStr">
        <is>
          <t>Indonesia</t>
        </is>
      </c>
      <c r="B24" t="inlineStr">
        <is>
          <t>tax_rate_assumption</t>
        </is>
      </c>
      <c r="C24" t="inlineStr">
        <is>
          <t>Tax rate assumption</t>
        </is>
      </c>
      <c r="D24" t="inlineStr">
        <is>
          <t>pressure</t>
        </is>
      </c>
      <c r="E24" t="inlineStr">
        <is>
          <t>yes</t>
        </is>
      </c>
      <c r="F24" t="inlineStr">
        <is>
          <t>0.110578</t>
        </is>
      </c>
      <c r="G24" t="inlineStr">
        <is>
          <t>world_bank</t>
        </is>
      </c>
      <c r="H24" t="inlineStr">
        <is>
          <t>https://api.worldbank.org/v2/country/IDN/indicator/GC.TAX.TOTL.GD.ZS?format=json&amp;mrv=30</t>
        </is>
      </c>
      <c r="I24" t="inlineStr">
        <is>
          <t>World Bank WDI: Tax revenue (% of GDP) used as interim country average tax-take proxy</t>
        </is>
      </c>
      <c r="J24" t="inlineStr">
        <is>
          <t>2009-12-31</t>
        </is>
      </c>
      <c r="K24" t="inlineStr">
        <is>
          <t>auto_seed=world_bank_wdi; proxy=country_average_tax_take_from_tax_revenue_share; indicator=GC.TAX.TOTL.GD.ZS; observation_year=2009; dataset_lastupdated=2026-02-24; stale=yes</t>
        </is>
      </c>
    </row>
    <row r="25">
      <c r="A25" t="inlineStr">
        <is>
          <t>Indonesia</t>
        </is>
      </c>
      <c r="B25" t="inlineStr">
        <is>
          <t>household_debt_proxy</t>
        </is>
      </c>
      <c r="C25" t="inlineStr">
        <is>
          <t>Household debt proxy</t>
        </is>
      </c>
      <c r="D25" t="inlineStr">
        <is>
          <t>pressure</t>
        </is>
      </c>
      <c r="E25" t="inlineStr">
        <is>
          <t>yes</t>
        </is>
      </c>
      <c r="F25" t="inlineStr">
        <is>
          <t>31.7861</t>
        </is>
      </c>
      <c r="G25" t="inlineStr">
        <is>
          <t>world_bank</t>
        </is>
      </c>
      <c r="H25" t="inlineStr">
        <is>
          <t>https://api.worldbank.org/v2/country/IDN/indicator/FD.AST.PRVT.GD.ZS?format=json&amp;mrv=30</t>
        </is>
      </c>
      <c r="I25" t="inlineStr">
        <is>
          <t>World Bank WDI: Domestic credit to private sector by banks (% of GDP) used as interim leverage proxy</t>
        </is>
      </c>
      <c r="J25" t="inlineStr">
        <is>
          <t>2024-12-31</t>
        </is>
      </c>
      <c r="K25" t="inlineStr">
        <is>
          <t>auto_seed=world_bank_wdi; proxy=broad_private_credit_not_household_only; indicator=FD.AST.PRVT.GD.ZS; observation_year=2024; dataset_lastupdated=2026-02-24; stale=no</t>
        </is>
      </c>
    </row>
    <row r="26">
      <c r="A26" t="inlineStr">
        <is>
          <t>Philippines</t>
        </is>
      </c>
      <c r="B26" t="inlineStr">
        <is>
          <t>gdp_per_capita_ppp</t>
        </is>
      </c>
      <c r="C26" t="inlineStr">
        <is>
          <t>GDP per capita (PPP)</t>
        </is>
      </c>
      <c r="D26" t="inlineStr">
        <is>
          <t>creative</t>
        </is>
      </c>
      <c r="E26" t="inlineStr">
        <is>
          <t>yes</t>
        </is>
      </c>
      <c r="F26" t="inlineStr">
        <is>
          <t>11794.14</t>
        </is>
      </c>
      <c r="G26" t="inlineStr">
        <is>
          <t>world_bank</t>
        </is>
      </c>
      <c r="H26" t="inlineStr">
        <is>
          <t>https://api.worldbank.org/v2/country/PHL/indicator/NY.GDP.PCAP.PP.CD?format=json&amp;mrv=30</t>
        </is>
      </c>
      <c r="I26" t="inlineStr">
        <is>
          <t>World Bank WDI: GDP per capita, PPP (current international $)</t>
        </is>
      </c>
      <c r="J26" t="inlineStr">
        <is>
          <t>2024-12-31</t>
        </is>
      </c>
      <c r="K26" t="inlineStr">
        <is>
          <t>auto_seed=world_bank_wdi; indicator=NY.GDP.PCAP.PP.CD; observation_year=2024; dataset_lastupdated=2026-02-24; stale=no</t>
        </is>
      </c>
    </row>
    <row r="27">
      <c r="A27" t="inlineStr">
        <is>
          <t>Philippines</t>
        </is>
      </c>
      <c r="B27" t="inlineStr">
        <is>
          <t>gdp_growth</t>
        </is>
      </c>
      <c r="C27" t="inlineStr">
        <is>
          <t>GDP growth</t>
        </is>
      </c>
      <c r="D27" t="inlineStr">
        <is>
          <t>creative</t>
        </is>
      </c>
      <c r="E27" t="inlineStr">
        <is>
          <t>yes</t>
        </is>
      </c>
      <c r="F27" t="inlineStr">
        <is>
          <t>5.692</t>
        </is>
      </c>
      <c r="G27" t="inlineStr">
        <is>
          <t>world_bank</t>
        </is>
      </c>
      <c r="H27" t="inlineStr">
        <is>
          <t>https://api.worldbank.org/v2/country/PHL/indicator/NY.GDP.MKTP.KD.ZG?format=json&amp;mrv=30</t>
        </is>
      </c>
      <c r="I27" t="inlineStr">
        <is>
          <t>World Bank WDI: GDP growth (annual %)</t>
        </is>
      </c>
      <c r="J27" t="inlineStr">
        <is>
          <t>2024-12-31</t>
        </is>
      </c>
      <c r="K27" t="inlineStr">
        <is>
          <t>auto_seed=world_bank_wdi; indicator=NY.GDP.MKTP.KD.ZG; observation_year=2024; dataset_lastupdated=2026-02-24; stale=no</t>
        </is>
      </c>
    </row>
    <row r="28">
      <c r="A28" t="inlineStr">
        <is>
          <t>Philippines</t>
        </is>
      </c>
      <c r="B28" t="inlineStr">
        <is>
          <t>gini_coefficient</t>
        </is>
      </c>
      <c r="C28" t="inlineStr">
        <is>
          <t>Gini coefficient</t>
        </is>
      </c>
      <c r="D28" t="inlineStr">
        <is>
          <t>capability</t>
        </is>
      </c>
      <c r="E28" t="inlineStr">
        <is>
          <t>yes</t>
        </is>
      </c>
      <c r="F28" t="inlineStr">
        <is>
          <t>39.3</t>
        </is>
      </c>
      <c r="G28" t="inlineStr">
        <is>
          <t>world_bank</t>
        </is>
      </c>
      <c r="H28" t="inlineStr">
        <is>
          <t>https://api.worldbank.org/v2/country/PHL/indicator/SI.POV.GINI?format=json&amp;mrv=30</t>
        </is>
      </c>
      <c r="I28" t="inlineStr">
        <is>
          <t>World Bank WDI: Gini index</t>
        </is>
      </c>
      <c r="J28" t="inlineStr">
        <is>
          <t>2023-12-31</t>
        </is>
      </c>
      <c r="K28" t="inlineStr">
        <is>
          <t>auto_seed=world_bank_wdi; indicator=SI.POV.GINI; observation_year=2023; dataset_lastupdated=2026-02-24; stale=no</t>
        </is>
      </c>
    </row>
    <row r="29">
      <c r="A29" t="inlineStr">
        <is>
          <t>Philippines</t>
        </is>
      </c>
      <c r="B29" t="inlineStr">
        <is>
          <t>ppp_private_consumption</t>
        </is>
      </c>
      <c r="C29" t="inlineStr">
        <is>
          <t>PPP private consumption factor</t>
        </is>
      </c>
      <c r="D29" t="inlineStr">
        <is>
          <t>pressure</t>
        </is>
      </c>
      <c r="E29" t="inlineStr">
        <is>
          <t>yes</t>
        </is>
      </c>
      <c r="F29" t="inlineStr">
        <is>
          <t>20.743506</t>
        </is>
      </c>
      <c r="G29" t="inlineStr">
        <is>
          <t>world_bank</t>
        </is>
      </c>
      <c r="H29" t="inlineStr">
        <is>
          <t>https://api.worldbank.org/v2/country/PHL/indicator/PA.NUS.PRVT.PP?format=json&amp;mrv=30</t>
        </is>
      </c>
      <c r="I29" t="inlineStr">
        <is>
          <t>World Bank WDI: PPP conversion factor, private consumption (LCU per international $)</t>
        </is>
      </c>
      <c r="J29" t="inlineStr">
        <is>
          <t>2024-12-31</t>
        </is>
      </c>
      <c r="K29" t="inlineStr">
        <is>
          <t>auto_seed=world_bank_wdi; indicator=PA.NUS.PRVT.PP; observation_year=2024; dataset_lastupdated=2026-02-24; stale=no</t>
        </is>
      </c>
    </row>
    <row r="30">
      <c r="A30" t="inlineStr">
        <is>
          <t>Philippines</t>
        </is>
      </c>
      <c r="B30" t="inlineStr">
        <is>
          <t>tax_rate_assumption</t>
        </is>
      </c>
      <c r="C30" t="inlineStr">
        <is>
          <t>Tax rate assumption</t>
        </is>
      </c>
      <c r="D30" t="inlineStr">
        <is>
          <t>pressure</t>
        </is>
      </c>
      <c r="E30" t="inlineStr">
        <is>
          <t>yes</t>
        </is>
      </c>
      <c r="F30" t="inlineStr">
        <is>
          <t>0.141044</t>
        </is>
      </c>
      <c r="G30" t="inlineStr">
        <is>
          <t>world_bank</t>
        </is>
      </c>
      <c r="H30" t="inlineStr">
        <is>
          <t>https://api.worldbank.org/v2/country/PHL/indicator/GC.TAX.TOTL.GD.ZS?format=json&amp;mrv=30</t>
        </is>
      </c>
      <c r="I30" t="inlineStr">
        <is>
          <t>World Bank WDI: Tax revenue (% of GDP) used as interim country average tax-take proxy</t>
        </is>
      </c>
      <c r="J30" t="inlineStr">
        <is>
          <t>2023-12-31</t>
        </is>
      </c>
      <c r="K30" t="inlineStr">
        <is>
          <t>auto_seed=world_bank_wdi; proxy=country_average_tax_take_from_tax_revenue_share; indicator=GC.TAX.TOTL.GD.ZS; observation_year=2023; dataset_lastupdated=2026-02-24; stale=no</t>
        </is>
      </c>
    </row>
    <row r="31">
      <c r="A31" t="inlineStr">
        <is>
          <t>Philippines</t>
        </is>
      </c>
      <c r="B31" t="inlineStr">
        <is>
          <t>household_debt_proxy</t>
        </is>
      </c>
      <c r="C31" t="inlineStr">
        <is>
          <t>Household debt proxy</t>
        </is>
      </c>
      <c r="D31" t="inlineStr">
        <is>
          <t>pressure</t>
        </is>
      </c>
      <c r="E31" t="inlineStr">
        <is>
          <t>yes</t>
        </is>
      </c>
      <c r="F31" t="inlineStr">
        <is>
          <t>49.8137</t>
        </is>
      </c>
      <c r="G31" t="inlineStr">
        <is>
          <t>world_bank</t>
        </is>
      </c>
      <c r="H31" t="inlineStr">
        <is>
          <t>https://api.worldbank.org/v2/country/PHL/indicator/FD.AST.PRVT.GD.ZS?format=json&amp;mrv=30</t>
        </is>
      </c>
      <c r="I31" t="inlineStr">
        <is>
          <t>World Bank WDI: Domestic credit to private sector by banks (% of GDP) used as interim leverage proxy</t>
        </is>
      </c>
      <c r="J31" t="inlineStr">
        <is>
          <t>2024-12-31</t>
        </is>
      </c>
      <c r="K31" t="inlineStr">
        <is>
          <t>auto_seed=world_bank_wdi; proxy=broad_private_credit_not_household_only; indicator=FD.AST.PRVT.GD.ZS; observation_year=2024; dataset_lastupdated=2026-02-24; stale=no</t>
        </is>
      </c>
    </row>
    <row r="32">
      <c r="A32" t="inlineStr">
        <is>
          <t>Taiwan</t>
        </is>
      </c>
      <c r="B32" t="inlineStr">
        <is>
          <t>gdp_per_capita_ppp</t>
        </is>
      </c>
      <c r="C32" t="inlineStr">
        <is>
          <t>GDP per capita (PPP)</t>
        </is>
      </c>
      <c r="D32" t="inlineStr">
        <is>
          <t>creative</t>
        </is>
      </c>
      <c r="E32" t="inlineStr">
        <is>
          <t>yes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Taiwan</t>
        </is>
      </c>
      <c r="B33" t="inlineStr">
        <is>
          <t>gdp_growth</t>
        </is>
      </c>
      <c r="C33" t="inlineStr">
        <is>
          <t>GDP growth</t>
        </is>
      </c>
      <c r="D33" t="inlineStr">
        <is>
          <t>creative</t>
        </is>
      </c>
      <c r="E33" t="inlineStr">
        <is>
          <t>yes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Taiwan</t>
        </is>
      </c>
      <c r="B34" t="inlineStr">
        <is>
          <t>gini_coefficient</t>
        </is>
      </c>
      <c r="C34" t="inlineStr">
        <is>
          <t>Gini coefficient</t>
        </is>
      </c>
      <c r="D34" t="inlineStr">
        <is>
          <t>capability</t>
        </is>
      </c>
      <c r="E34" t="inlineStr">
        <is>
          <t>yes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Taiwan</t>
        </is>
      </c>
      <c r="B35" t="inlineStr">
        <is>
          <t>ppp_private_consumption</t>
        </is>
      </c>
      <c r="C35" t="inlineStr">
        <is>
          <t>PPP private consumption factor</t>
        </is>
      </c>
      <c r="D35" t="inlineStr">
        <is>
          <t>pressure</t>
        </is>
      </c>
      <c r="E35" t="inlineStr">
        <is>
          <t>yes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Taiwan</t>
        </is>
      </c>
      <c r="B36" t="inlineStr">
        <is>
          <t>tax_rate_assumption</t>
        </is>
      </c>
      <c r="C36" t="inlineStr">
        <is>
          <t>Tax rate assumption</t>
        </is>
      </c>
      <c r="D36" t="inlineStr">
        <is>
          <t>pressure</t>
        </is>
      </c>
      <c r="E36" t="inlineStr">
        <is>
          <t>yes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Taiwan</t>
        </is>
      </c>
      <c r="B37" t="inlineStr">
        <is>
          <t>household_debt_proxy</t>
        </is>
      </c>
      <c r="C37" t="inlineStr">
        <is>
          <t>Household debt proxy</t>
        </is>
      </c>
      <c r="D37" t="inlineStr">
        <is>
          <t>pressure</t>
        </is>
      </c>
      <c r="E37" t="inlineStr">
        <is>
          <t>yes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South Korea</t>
        </is>
      </c>
      <c r="B38" t="inlineStr">
        <is>
          <t>gdp_per_capita_ppp</t>
        </is>
      </c>
      <c r="C38" t="inlineStr">
        <is>
          <t>GDP per capita (PPP)</t>
        </is>
      </c>
      <c r="D38" t="inlineStr">
        <is>
          <t>creative</t>
        </is>
      </c>
      <c r="E38" t="inlineStr">
        <is>
          <t>yes</t>
        </is>
      </c>
      <c r="F38" t="inlineStr">
        <is>
          <t>61051.35</t>
        </is>
      </c>
      <c r="G38" t="inlineStr">
        <is>
          <t>world_bank</t>
        </is>
      </c>
      <c r="H38" t="inlineStr">
        <is>
          <t>https://api.worldbank.org/v2/country/KOR/indicator/NY.GDP.PCAP.PP.CD?format=json&amp;mrv=30</t>
        </is>
      </c>
      <c r="I38" t="inlineStr">
        <is>
          <t>World Bank WDI: GDP per capita, PPP (current international $)</t>
        </is>
      </c>
      <c r="J38" t="inlineStr">
        <is>
          <t>2024-12-31</t>
        </is>
      </c>
      <c r="K38" t="inlineStr">
        <is>
          <t>auto_seed=world_bank_wdi; indicator=NY.GDP.PCAP.PP.CD; observation_year=2024; dataset_lastupdated=2026-02-24; stale=no</t>
        </is>
      </c>
    </row>
    <row r="39">
      <c r="A39" t="inlineStr">
        <is>
          <t>South Korea</t>
        </is>
      </c>
      <c r="B39" t="inlineStr">
        <is>
          <t>gdp_growth</t>
        </is>
      </c>
      <c r="C39" t="inlineStr">
        <is>
          <t>GDP growth</t>
        </is>
      </c>
      <c r="D39" t="inlineStr">
        <is>
          <t>creative</t>
        </is>
      </c>
      <c r="E39" t="inlineStr">
        <is>
          <t>yes</t>
        </is>
      </c>
      <c r="F39" t="inlineStr">
        <is>
          <t>2.0036</t>
        </is>
      </c>
      <c r="G39" t="inlineStr">
        <is>
          <t>world_bank</t>
        </is>
      </c>
      <c r="H39" t="inlineStr">
        <is>
          <t>https://api.worldbank.org/v2/country/KOR/indicator/NY.GDP.MKTP.KD.ZG?format=json&amp;mrv=30</t>
        </is>
      </c>
      <c r="I39" t="inlineStr">
        <is>
          <t>World Bank WDI: GDP growth (annual %)</t>
        </is>
      </c>
      <c r="J39" t="inlineStr">
        <is>
          <t>2024-12-31</t>
        </is>
      </c>
      <c r="K39" t="inlineStr">
        <is>
          <t>auto_seed=world_bank_wdi; indicator=NY.GDP.MKTP.KD.ZG; observation_year=2024; dataset_lastupdated=2026-02-24; stale=no</t>
        </is>
      </c>
    </row>
    <row r="40">
      <c r="A40" t="inlineStr">
        <is>
          <t>South Korea</t>
        </is>
      </c>
      <c r="B40" t="inlineStr">
        <is>
          <t>gini_coefficient</t>
        </is>
      </c>
      <c r="C40" t="inlineStr">
        <is>
          <t>Gini coefficient</t>
        </is>
      </c>
      <c r="D40" t="inlineStr">
        <is>
          <t>capability</t>
        </is>
      </c>
      <c r="E40" t="inlineStr">
        <is>
          <t>yes</t>
        </is>
      </c>
      <c r="F40" t="inlineStr">
        <is>
          <t>32.9</t>
        </is>
      </c>
      <c r="G40" t="inlineStr">
        <is>
          <t>world_bank</t>
        </is>
      </c>
      <c r="H40" t="inlineStr">
        <is>
          <t>https://api.worldbank.org/v2/country/KOR/indicator/SI.POV.GINI?format=json&amp;mrv=30</t>
        </is>
      </c>
      <c r="I40" t="inlineStr">
        <is>
          <t>World Bank WDI: Gini index</t>
        </is>
      </c>
      <c r="J40" t="inlineStr">
        <is>
          <t>2021-12-31</t>
        </is>
      </c>
      <c r="K40" t="inlineStr">
        <is>
          <t>auto_seed=world_bank_wdi; indicator=SI.POV.GINI; observation_year=2021; dataset_lastupdated=2026-02-24; stale=no</t>
        </is>
      </c>
    </row>
    <row r="41">
      <c r="A41" t="inlineStr">
        <is>
          <t>South Korea</t>
        </is>
      </c>
      <c r="B41" t="inlineStr">
        <is>
          <t>ppp_private_consumption</t>
        </is>
      </c>
      <c r="C41" t="inlineStr">
        <is>
          <t>PPP private consumption factor</t>
        </is>
      </c>
      <c r="D41" t="inlineStr">
        <is>
          <t>pressure</t>
        </is>
      </c>
      <c r="E41" t="inlineStr">
        <is>
          <t>yes</t>
        </is>
      </c>
      <c r="F41" t="inlineStr">
        <is>
          <t>872.468736</t>
        </is>
      </c>
      <c r="G41" t="inlineStr">
        <is>
          <t>world_bank</t>
        </is>
      </c>
      <c r="H41" t="inlineStr">
        <is>
          <t>https://api.worldbank.org/v2/country/KOR/indicator/PA.NUS.PRVT.PP?format=json&amp;mrv=30</t>
        </is>
      </c>
      <c r="I41" t="inlineStr">
        <is>
          <t>World Bank WDI: PPP conversion factor, private consumption (LCU per international $)</t>
        </is>
      </c>
      <c r="J41" t="inlineStr">
        <is>
          <t>2024-12-31</t>
        </is>
      </c>
      <c r="K41" t="inlineStr">
        <is>
          <t>auto_seed=world_bank_wdi; indicator=PA.NUS.PRVT.PP; observation_year=2024; dataset_lastupdated=2026-02-24; stale=no</t>
        </is>
      </c>
    </row>
    <row r="42">
      <c r="A42" t="inlineStr">
        <is>
          <t>South Korea</t>
        </is>
      </c>
      <c r="B42" t="inlineStr">
        <is>
          <t>tax_rate_assumption</t>
        </is>
      </c>
      <c r="C42" t="inlineStr">
        <is>
          <t>Tax rate assumption</t>
        </is>
      </c>
      <c r="D42" t="inlineStr">
        <is>
          <t>pressure</t>
        </is>
      </c>
      <c r="E42" t="inlineStr">
        <is>
          <t>yes</t>
        </is>
      </c>
      <c r="F42" t="inlineStr">
        <is>
          <t>0.145991</t>
        </is>
      </c>
      <c r="G42" t="inlineStr">
        <is>
          <t>world_bank</t>
        </is>
      </c>
      <c r="H42" t="inlineStr">
        <is>
          <t>https://api.worldbank.org/v2/country/KOR/indicator/GC.TAX.TOTL.GD.ZS?format=json&amp;mrv=30</t>
        </is>
      </c>
      <c r="I42" t="inlineStr">
        <is>
          <t>World Bank WDI: Tax revenue (% of GDP) used as interim country average tax-take proxy</t>
        </is>
      </c>
      <c r="J42" t="inlineStr">
        <is>
          <t>2023-12-31</t>
        </is>
      </c>
      <c r="K42" t="inlineStr">
        <is>
          <t>auto_seed=world_bank_wdi; proxy=country_average_tax_take_from_tax_revenue_share; indicator=GC.TAX.TOTL.GD.ZS; observation_year=2023; dataset_lastupdated=2026-02-24; stale=no</t>
        </is>
      </c>
    </row>
    <row r="43">
      <c r="A43" t="inlineStr">
        <is>
          <t>South Korea</t>
        </is>
      </c>
      <c r="B43" t="inlineStr">
        <is>
          <t>household_debt_proxy</t>
        </is>
      </c>
      <c r="C43" t="inlineStr">
        <is>
          <t>Household debt proxy</t>
        </is>
      </c>
      <c r="D43" t="inlineStr">
        <is>
          <t>pressure</t>
        </is>
      </c>
      <c r="E43" t="inlineStr">
        <is>
          <t>yes</t>
        </is>
      </c>
      <c r="F43" t="inlineStr">
        <is>
          <t>160.3472</t>
        </is>
      </c>
      <c r="G43" t="inlineStr">
        <is>
          <t>world_bank</t>
        </is>
      </c>
      <c r="H43" t="inlineStr">
        <is>
          <t>https://api.worldbank.org/v2/country/KOR/indicator/FD.AST.PRVT.GD.ZS?format=json&amp;mrv=30</t>
        </is>
      </c>
      <c r="I43" t="inlineStr">
        <is>
          <t>World Bank WDI: Domestic credit to private sector by banks (% of GDP) used as interim leverage proxy</t>
        </is>
      </c>
      <c r="J43" t="inlineStr">
        <is>
          <t>2024-12-31</t>
        </is>
      </c>
      <c r="K43" t="inlineStr">
        <is>
          <t>auto_seed=world_bank_wdi; proxy=broad_private_credit_not_household_only; indicator=FD.AST.PRVT.GD.ZS; observation_year=2024; dataset_lastupdated=2026-02-24; stale=no</t>
        </is>
      </c>
    </row>
    <row r="44">
      <c r="A44" t="inlineStr">
        <is>
          <t>China</t>
        </is>
      </c>
      <c r="B44" t="inlineStr">
        <is>
          <t>gdp_per_capita_ppp</t>
        </is>
      </c>
      <c r="C44" t="inlineStr">
        <is>
          <t>GDP per capita (PPP)</t>
        </is>
      </c>
      <c r="D44" t="inlineStr">
        <is>
          <t>creative</t>
        </is>
      </c>
      <c r="E44" t="inlineStr">
        <is>
          <t>yes</t>
        </is>
      </c>
      <c r="F44" t="inlineStr">
        <is>
          <t>27104.87</t>
        </is>
      </c>
      <c r="G44" t="inlineStr">
        <is>
          <t>world_bank</t>
        </is>
      </c>
      <c r="H44" t="inlineStr">
        <is>
          <t>https://api.worldbank.org/v2/country/CHN/indicator/NY.GDP.PCAP.PP.CD?format=json&amp;mrv=30</t>
        </is>
      </c>
      <c r="I44" t="inlineStr">
        <is>
          <t>World Bank WDI: GDP per capita, PPP (current international $)</t>
        </is>
      </c>
      <c r="J44" t="inlineStr">
        <is>
          <t>2024-12-31</t>
        </is>
      </c>
      <c r="K44" t="inlineStr">
        <is>
          <t>auto_seed=world_bank_wdi; indicator=NY.GDP.PCAP.PP.CD; observation_year=2024; dataset_lastupdated=2026-02-24; stale=no</t>
        </is>
      </c>
    </row>
    <row r="45">
      <c r="A45" t="inlineStr">
        <is>
          <t>China</t>
        </is>
      </c>
      <c r="B45" t="inlineStr">
        <is>
          <t>gdp_growth</t>
        </is>
      </c>
      <c r="C45" t="inlineStr">
        <is>
          <t>GDP growth</t>
        </is>
      </c>
      <c r="D45" t="inlineStr">
        <is>
          <t>creative</t>
        </is>
      </c>
      <c r="E45" t="inlineStr">
        <is>
          <t>yes</t>
        </is>
      </c>
      <c r="F45" t="inlineStr">
        <is>
          <t>4.9774</t>
        </is>
      </c>
      <c r="G45" t="inlineStr">
        <is>
          <t>world_bank</t>
        </is>
      </c>
      <c r="H45" t="inlineStr">
        <is>
          <t>https://api.worldbank.org/v2/country/CHN/indicator/NY.GDP.MKTP.KD.ZG?format=json&amp;mrv=30</t>
        </is>
      </c>
      <c r="I45" t="inlineStr">
        <is>
          <t>World Bank WDI: GDP growth (annual %)</t>
        </is>
      </c>
      <c r="J45" t="inlineStr">
        <is>
          <t>2024-12-31</t>
        </is>
      </c>
      <c r="K45" t="inlineStr">
        <is>
          <t>auto_seed=world_bank_wdi; indicator=NY.GDP.MKTP.KD.ZG; observation_year=2024; dataset_lastupdated=2026-02-24; stale=no</t>
        </is>
      </c>
    </row>
    <row r="46">
      <c r="A46" t="inlineStr">
        <is>
          <t>China</t>
        </is>
      </c>
      <c r="B46" t="inlineStr">
        <is>
          <t>gini_coefficient</t>
        </is>
      </c>
      <c r="C46" t="inlineStr">
        <is>
          <t>Gini coefficient</t>
        </is>
      </c>
      <c r="D46" t="inlineStr">
        <is>
          <t>capability</t>
        </is>
      </c>
      <c r="E46" t="inlineStr">
        <is>
          <t>yes</t>
        </is>
      </c>
      <c r="F46" t="inlineStr">
        <is>
          <t>36</t>
        </is>
      </c>
      <c r="G46" t="inlineStr">
        <is>
          <t>world_bank</t>
        </is>
      </c>
      <c r="H46" t="inlineStr">
        <is>
          <t>https://api.worldbank.org/v2/country/CHN/indicator/SI.POV.GINI?format=json&amp;mrv=30</t>
        </is>
      </c>
      <c r="I46" t="inlineStr">
        <is>
          <t>World Bank WDI: Gini index</t>
        </is>
      </c>
      <c r="J46" t="inlineStr">
        <is>
          <t>2022-12-31</t>
        </is>
      </c>
      <c r="K46" t="inlineStr">
        <is>
          <t>auto_seed=world_bank_wdi; indicator=SI.POV.GINI; observation_year=2022; dataset_lastupdated=2026-02-24; stale=no</t>
        </is>
      </c>
    </row>
    <row r="47">
      <c r="A47" t="inlineStr">
        <is>
          <t>China</t>
        </is>
      </c>
      <c r="B47" t="inlineStr">
        <is>
          <t>ppp_private_consumption</t>
        </is>
      </c>
      <c r="C47" t="inlineStr">
        <is>
          <t>PPP private consumption factor</t>
        </is>
      </c>
      <c r="D47" t="inlineStr">
        <is>
          <t>pressure</t>
        </is>
      </c>
      <c r="E47" t="inlineStr">
        <is>
          <t>yes</t>
        </is>
      </c>
      <c r="F47" t="inlineStr">
        <is>
          <t>3.550789</t>
        </is>
      </c>
      <c r="G47" t="inlineStr">
        <is>
          <t>world_bank</t>
        </is>
      </c>
      <c r="H47" t="inlineStr">
        <is>
          <t>https://api.worldbank.org/v2/country/CHN/indicator/PA.NUS.PRVT.PP?format=json&amp;mrv=30</t>
        </is>
      </c>
      <c r="I47" t="inlineStr">
        <is>
          <t>World Bank WDI: PPP conversion factor, private consumption (LCU per international $)</t>
        </is>
      </c>
      <c r="J47" t="inlineStr">
        <is>
          <t>2024-12-31</t>
        </is>
      </c>
      <c r="K47" t="inlineStr">
        <is>
          <t>auto_seed=world_bank_wdi; indicator=PA.NUS.PRVT.PP; observation_year=2024; dataset_lastupdated=2026-02-24; stale=no</t>
        </is>
      </c>
    </row>
    <row r="48">
      <c r="A48" t="inlineStr">
        <is>
          <t>China</t>
        </is>
      </c>
      <c r="B48" t="inlineStr">
        <is>
          <t>tax_rate_assumption</t>
        </is>
      </c>
      <c r="C48" t="inlineStr">
        <is>
          <t>Tax rate assumption</t>
        </is>
      </c>
      <c r="D48" t="inlineStr">
        <is>
          <t>pressure</t>
        </is>
      </c>
      <c r="E48" t="inlineStr">
        <is>
          <t>yes</t>
        </is>
      </c>
      <c r="F48" t="inlineStr">
        <is>
          <t>0.076382</t>
        </is>
      </c>
      <c r="G48" t="inlineStr">
        <is>
          <t>world_bank</t>
        </is>
      </c>
      <c r="H48" t="inlineStr">
        <is>
          <t>https://api.worldbank.org/v2/country/CHN/indicator/GC.TAX.TOTL.GD.ZS?format=json&amp;mrv=30</t>
        </is>
      </c>
      <c r="I48" t="inlineStr">
        <is>
          <t>World Bank WDI: Tax revenue (% of GDP) used as interim country average tax-take proxy</t>
        </is>
      </c>
      <c r="J48" t="inlineStr">
        <is>
          <t>2023-12-31</t>
        </is>
      </c>
      <c r="K48" t="inlineStr">
        <is>
          <t>auto_seed=world_bank_wdi; proxy=country_average_tax_take_from_tax_revenue_share; indicator=GC.TAX.TOTL.GD.ZS; observation_year=2023; dataset_lastupdated=2026-02-24; stale=no</t>
        </is>
      </c>
    </row>
    <row r="49">
      <c r="A49" t="inlineStr">
        <is>
          <t>China</t>
        </is>
      </c>
      <c r="B49" t="inlineStr">
        <is>
          <t>household_debt_proxy</t>
        </is>
      </c>
      <c r="C49" t="inlineStr">
        <is>
          <t>Household debt proxy</t>
        </is>
      </c>
      <c r="D49" t="inlineStr">
        <is>
          <t>pressure</t>
        </is>
      </c>
      <c r="E49" t="inlineStr">
        <is>
          <t>yes</t>
        </is>
      </c>
      <c r="F49" t="inlineStr">
        <is>
          <t>194.166</t>
        </is>
      </c>
      <c r="G49" t="inlineStr">
        <is>
          <t>world_bank</t>
        </is>
      </c>
      <c r="H49" t="inlineStr">
        <is>
          <t>https://api.worldbank.org/v2/country/CHN/indicator/FD.AST.PRVT.GD.ZS?format=json&amp;mrv=30</t>
        </is>
      </c>
      <c r="I49" t="inlineStr">
        <is>
          <t>World Bank WDI: Domestic credit to private sector by banks (% of GDP) used as interim leverage proxy</t>
        </is>
      </c>
      <c r="J49" t="inlineStr">
        <is>
          <t>2024-12-31</t>
        </is>
      </c>
      <c r="K49" t="inlineStr">
        <is>
          <t>auto_seed=world_bank_wdi; proxy=broad_private_credit_not_household_only; indicator=FD.AST.PRVT.GD.ZS; observation_year=2024; dataset_lastupdated=2026-02-24; stale=no</t>
        </is>
      </c>
    </row>
    <row r="50">
      <c r="A50" t="inlineStr">
        <is>
          <t>Japan</t>
        </is>
      </c>
      <c r="B50" t="inlineStr">
        <is>
          <t>gdp_per_capita_ppp</t>
        </is>
      </c>
      <c r="C50" t="inlineStr">
        <is>
          <t>GDP per capita (PPP)</t>
        </is>
      </c>
      <c r="D50" t="inlineStr">
        <is>
          <t>creative</t>
        </is>
      </c>
      <c r="E50" t="inlineStr">
        <is>
          <t>yes</t>
        </is>
      </c>
      <c r="F50" t="inlineStr">
        <is>
          <t>52039.17</t>
        </is>
      </c>
      <c r="G50" t="inlineStr">
        <is>
          <t>world_bank</t>
        </is>
      </c>
      <c r="H50" t="inlineStr">
        <is>
          <t>https://api.worldbank.org/v2/country/JPN/indicator/NY.GDP.PCAP.PP.CD?format=json&amp;mrv=30</t>
        </is>
      </c>
      <c r="I50" t="inlineStr">
        <is>
          <t>World Bank WDI: GDP per capita, PPP (current international $)</t>
        </is>
      </c>
      <c r="J50" t="inlineStr">
        <is>
          <t>2024-12-31</t>
        </is>
      </c>
      <c r="K50" t="inlineStr">
        <is>
          <t>auto_seed=world_bank_wdi; indicator=NY.GDP.PCAP.PP.CD; observation_year=2024; dataset_lastupdated=2026-02-24; stale=no</t>
        </is>
      </c>
    </row>
    <row r="51">
      <c r="A51" t="inlineStr">
        <is>
          <t>Japan</t>
        </is>
      </c>
      <c r="B51" t="inlineStr">
        <is>
          <t>gdp_growth</t>
        </is>
      </c>
      <c r="C51" t="inlineStr">
        <is>
          <t>GDP growth</t>
        </is>
      </c>
      <c r="D51" t="inlineStr">
        <is>
          <t>creative</t>
        </is>
      </c>
      <c r="E51" t="inlineStr">
        <is>
          <t>yes</t>
        </is>
      </c>
      <c r="F51" t="inlineStr">
        <is>
          <t>0.1043</t>
        </is>
      </c>
      <c r="G51" t="inlineStr">
        <is>
          <t>world_bank</t>
        </is>
      </c>
      <c r="H51" t="inlineStr">
        <is>
          <t>https://api.worldbank.org/v2/country/JPN/indicator/NY.GDP.MKTP.KD.ZG?format=json&amp;mrv=30</t>
        </is>
      </c>
      <c r="I51" t="inlineStr">
        <is>
          <t>World Bank WDI: GDP growth (annual %)</t>
        </is>
      </c>
      <c r="J51" t="inlineStr">
        <is>
          <t>2024-12-31</t>
        </is>
      </c>
      <c r="K51" t="inlineStr">
        <is>
          <t>auto_seed=world_bank_wdi; indicator=NY.GDP.MKTP.KD.ZG; observation_year=2024; dataset_lastupdated=2026-02-24; stale=no</t>
        </is>
      </c>
    </row>
    <row r="52">
      <c r="A52" t="inlineStr">
        <is>
          <t>Japan</t>
        </is>
      </c>
      <c r="B52" t="inlineStr">
        <is>
          <t>gini_coefficient</t>
        </is>
      </c>
      <c r="C52" t="inlineStr">
        <is>
          <t>Gini coefficient</t>
        </is>
      </c>
      <c r="D52" t="inlineStr">
        <is>
          <t>capability</t>
        </is>
      </c>
      <c r="E52" t="inlineStr">
        <is>
          <t>yes</t>
        </is>
      </c>
      <c r="F52" t="inlineStr">
        <is>
          <t>32.3</t>
        </is>
      </c>
      <c r="G52" t="inlineStr">
        <is>
          <t>world_bank</t>
        </is>
      </c>
      <c r="H52" t="inlineStr">
        <is>
          <t>https://api.worldbank.org/v2/country/JPN/indicator/SI.POV.GINI?format=json&amp;mrv=30</t>
        </is>
      </c>
      <c r="I52" t="inlineStr">
        <is>
          <t>World Bank WDI: Gini index</t>
        </is>
      </c>
      <c r="J52" t="inlineStr">
        <is>
          <t>2020-12-31</t>
        </is>
      </c>
      <c r="K52" t="inlineStr">
        <is>
          <t>auto_seed=world_bank_wdi; indicator=SI.POV.GINI; observation_year=2020; dataset_lastupdated=2026-02-24; stale=no</t>
        </is>
      </c>
    </row>
    <row r="53">
      <c r="A53" t="inlineStr">
        <is>
          <t>Japan</t>
        </is>
      </c>
      <c r="B53" t="inlineStr">
        <is>
          <t>ppp_private_consumption</t>
        </is>
      </c>
      <c r="C53" t="inlineStr">
        <is>
          <t>PPP private consumption factor</t>
        </is>
      </c>
      <c r="D53" t="inlineStr">
        <is>
          <t>pressure</t>
        </is>
      </c>
      <c r="E53" t="inlineStr">
        <is>
          <t>yes</t>
        </is>
      </c>
      <c r="F53" t="inlineStr">
        <is>
          <t>99.384798</t>
        </is>
      </c>
      <c r="G53" t="inlineStr">
        <is>
          <t>world_bank</t>
        </is>
      </c>
      <c r="H53" t="inlineStr">
        <is>
          <t>https://api.worldbank.org/v2/country/JPN/indicator/PA.NUS.PRVT.PP?format=json&amp;mrv=30</t>
        </is>
      </c>
      <c r="I53" t="inlineStr">
        <is>
          <t>World Bank WDI: PPP conversion factor, private consumption (LCU per international $)</t>
        </is>
      </c>
      <c r="J53" t="inlineStr">
        <is>
          <t>2024-12-31</t>
        </is>
      </c>
      <c r="K53" t="inlineStr">
        <is>
          <t>auto_seed=world_bank_wdi; indicator=PA.NUS.PRVT.PP; observation_year=2024; dataset_lastupdated=2026-02-24; stale=no</t>
        </is>
      </c>
    </row>
    <row r="54">
      <c r="A54" t="inlineStr">
        <is>
          <t>Japan</t>
        </is>
      </c>
      <c r="B54" t="inlineStr">
        <is>
          <t>tax_rate_assumption</t>
        </is>
      </c>
      <c r="C54" t="inlineStr">
        <is>
          <t>Tax rate assumption</t>
        </is>
      </c>
      <c r="D54" t="inlineStr">
        <is>
          <t>pressure</t>
        </is>
      </c>
      <c r="E54" t="inlineStr">
        <is>
          <t>yes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Japan</t>
        </is>
      </c>
      <c r="B55" t="inlineStr">
        <is>
          <t>household_debt_proxy</t>
        </is>
      </c>
      <c r="C55" t="inlineStr">
        <is>
          <t>Household debt proxy</t>
        </is>
      </c>
      <c r="D55" t="inlineStr">
        <is>
          <t>pressure</t>
        </is>
      </c>
      <c r="E55" t="inlineStr">
        <is>
          <t>yes</t>
        </is>
      </c>
      <c r="F55" t="inlineStr">
        <is>
          <t>123.1289</t>
        </is>
      </c>
      <c r="G55" t="inlineStr">
        <is>
          <t>world_bank</t>
        </is>
      </c>
      <c r="H55" t="inlineStr">
        <is>
          <t>https://api.worldbank.org/v2/country/JPN/indicator/FD.AST.PRVT.GD.ZS?format=json&amp;mrv=30</t>
        </is>
      </c>
      <c r="I55" t="inlineStr">
        <is>
          <t>World Bank WDI: Domestic credit to private sector by banks (% of GDP) used as interim leverage proxy</t>
        </is>
      </c>
      <c r="J55" t="inlineStr">
        <is>
          <t>2024-12-31</t>
        </is>
      </c>
      <c r="K55" t="inlineStr">
        <is>
          <t>auto_seed=world_bank_wdi; proxy=broad_private_credit_not_household_only; indicator=FD.AST.PRVT.GD.ZS; observation_year=2024; dataset_lastupdated=2026-02-24; stale=no</t>
        </is>
      </c>
    </row>
    <row r="56">
      <c r="A56" t="inlineStr">
        <is>
          <t>India</t>
        </is>
      </c>
      <c r="B56" t="inlineStr">
        <is>
          <t>gdp_per_capita_ppp</t>
        </is>
      </c>
      <c r="C56" t="inlineStr">
        <is>
          <t>GDP per capita (PPP)</t>
        </is>
      </c>
      <c r="D56" t="inlineStr">
        <is>
          <t>creative</t>
        </is>
      </c>
      <c r="E56" t="inlineStr">
        <is>
          <t>yes</t>
        </is>
      </c>
      <c r="F56" t="inlineStr">
        <is>
          <t>11159.99</t>
        </is>
      </c>
      <c r="G56" t="inlineStr">
        <is>
          <t>world_bank</t>
        </is>
      </c>
      <c r="H56" t="inlineStr">
        <is>
          <t>https://api.worldbank.org/v2/country/IND/indicator/NY.GDP.PCAP.PP.CD?format=json&amp;mrv=30</t>
        </is>
      </c>
      <c r="I56" t="inlineStr">
        <is>
          <t>World Bank WDI: GDP per capita, PPP (current international $)</t>
        </is>
      </c>
      <c r="J56" t="inlineStr">
        <is>
          <t>2024-12-31</t>
        </is>
      </c>
      <c r="K56" t="inlineStr">
        <is>
          <t>auto_seed=world_bank_wdi; indicator=NY.GDP.PCAP.PP.CD; observation_year=2024; dataset_lastupdated=2026-02-24; stale=no</t>
        </is>
      </c>
    </row>
    <row r="57">
      <c r="A57" t="inlineStr">
        <is>
          <t>India</t>
        </is>
      </c>
      <c r="B57" t="inlineStr">
        <is>
          <t>gdp_growth</t>
        </is>
      </c>
      <c r="C57" t="inlineStr">
        <is>
          <t>GDP growth</t>
        </is>
      </c>
      <c r="D57" t="inlineStr">
        <is>
          <t>creative</t>
        </is>
      </c>
      <c r="E57" t="inlineStr">
        <is>
          <t>yes</t>
        </is>
      </c>
      <c r="F57" t="inlineStr">
        <is>
          <t>6.4948</t>
        </is>
      </c>
      <c r="G57" t="inlineStr">
        <is>
          <t>world_bank</t>
        </is>
      </c>
      <c r="H57" t="inlineStr">
        <is>
          <t>https://api.worldbank.org/v2/country/IND/indicator/NY.GDP.MKTP.KD.ZG?format=json&amp;mrv=30</t>
        </is>
      </c>
      <c r="I57" t="inlineStr">
        <is>
          <t>World Bank WDI: GDP growth (annual %)</t>
        </is>
      </c>
      <c r="J57" t="inlineStr">
        <is>
          <t>2024-12-31</t>
        </is>
      </c>
      <c r="K57" t="inlineStr">
        <is>
          <t>auto_seed=world_bank_wdi; indicator=NY.GDP.MKTP.KD.ZG; observation_year=2024; dataset_lastupdated=2026-02-24; stale=no</t>
        </is>
      </c>
    </row>
    <row r="58">
      <c r="A58" t="inlineStr">
        <is>
          <t>India</t>
        </is>
      </c>
      <c r="B58" t="inlineStr">
        <is>
          <t>gini_coefficient</t>
        </is>
      </c>
      <c r="C58" t="inlineStr">
        <is>
          <t>Gini coefficient</t>
        </is>
      </c>
      <c r="D58" t="inlineStr">
        <is>
          <t>capability</t>
        </is>
      </c>
      <c r="E58" t="inlineStr">
        <is>
          <t>yes</t>
        </is>
      </c>
      <c r="F58" t="inlineStr">
        <is>
          <t>25.5</t>
        </is>
      </c>
      <c r="G58" t="inlineStr">
        <is>
          <t>world_bank</t>
        </is>
      </c>
      <c r="H58" t="inlineStr">
        <is>
          <t>https://api.worldbank.org/v2/country/IND/indicator/SI.POV.GINI?format=json&amp;mrv=30</t>
        </is>
      </c>
      <c r="I58" t="inlineStr">
        <is>
          <t>World Bank WDI: Gini index</t>
        </is>
      </c>
      <c r="J58" t="inlineStr">
        <is>
          <t>2022-12-31</t>
        </is>
      </c>
      <c r="K58" t="inlineStr">
        <is>
          <t>auto_seed=world_bank_wdi; indicator=SI.POV.GINI; observation_year=2022; dataset_lastupdated=2026-02-24; stale=no</t>
        </is>
      </c>
    </row>
    <row r="59">
      <c r="A59" t="inlineStr">
        <is>
          <t>India</t>
        </is>
      </c>
      <c r="B59" t="inlineStr">
        <is>
          <t>ppp_private_consumption</t>
        </is>
      </c>
      <c r="C59" t="inlineStr">
        <is>
          <t>PPP private consumption factor</t>
        </is>
      </c>
      <c r="D59" t="inlineStr">
        <is>
          <t>pressure</t>
        </is>
      </c>
      <c r="E59" t="inlineStr">
        <is>
          <t>yes</t>
        </is>
      </c>
      <c r="F59" t="inlineStr">
        <is>
          <t>19.896916</t>
        </is>
      </c>
      <c r="G59" t="inlineStr">
        <is>
          <t>world_bank</t>
        </is>
      </c>
      <c r="H59" t="inlineStr">
        <is>
          <t>https://api.worldbank.org/v2/country/IND/indicator/PA.NUS.PRVT.PP?format=json&amp;mrv=30</t>
        </is>
      </c>
      <c r="I59" t="inlineStr">
        <is>
          <t>World Bank WDI: PPP conversion factor, private consumption (LCU per international $)</t>
        </is>
      </c>
      <c r="J59" t="inlineStr">
        <is>
          <t>2024-12-31</t>
        </is>
      </c>
      <c r="K59" t="inlineStr">
        <is>
          <t>auto_seed=world_bank_wdi; indicator=PA.NUS.PRVT.PP; observation_year=2024; dataset_lastupdated=2026-02-24; stale=no</t>
        </is>
      </c>
    </row>
    <row r="60">
      <c r="A60" t="inlineStr">
        <is>
          <t>India</t>
        </is>
      </c>
      <c r="B60" t="inlineStr">
        <is>
          <t>tax_rate_assumption</t>
        </is>
      </c>
      <c r="C60" t="inlineStr">
        <is>
          <t>Tax rate assumption</t>
        </is>
      </c>
      <c r="D60" t="inlineStr">
        <is>
          <t>pressure</t>
        </is>
      </c>
      <c r="E60" t="inlineStr">
        <is>
          <t>yes</t>
        </is>
      </c>
      <c r="F60" t="inlineStr">
        <is>
          <t>0.067344</t>
        </is>
      </c>
      <c r="G60" t="inlineStr">
        <is>
          <t>world_bank</t>
        </is>
      </c>
      <c r="H60" t="inlineStr">
        <is>
          <t>https://api.worldbank.org/v2/country/IND/indicator/GC.TAX.TOTL.GD.ZS?format=json&amp;mrv=30</t>
        </is>
      </c>
      <c r="I60" t="inlineStr">
        <is>
          <t>World Bank WDI: Tax revenue (% of GDP) used as interim country average tax-take proxy</t>
        </is>
      </c>
      <c r="J60" t="inlineStr">
        <is>
          <t>2022-12-31</t>
        </is>
      </c>
      <c r="K60" t="inlineStr">
        <is>
          <t>auto_seed=world_bank_wdi; proxy=country_average_tax_take_from_tax_revenue_share; indicator=GC.TAX.TOTL.GD.ZS; observation_year=2022; dataset_lastupdated=2026-02-24; stale=no</t>
        </is>
      </c>
    </row>
    <row r="61">
      <c r="A61" t="inlineStr">
        <is>
          <t>India</t>
        </is>
      </c>
      <c r="B61" t="inlineStr">
        <is>
          <t>household_debt_proxy</t>
        </is>
      </c>
      <c r="C61" t="inlineStr">
        <is>
          <t>Household debt proxy</t>
        </is>
      </c>
      <c r="D61" t="inlineStr">
        <is>
          <t>pressure</t>
        </is>
      </c>
      <c r="E61" t="inlineStr">
        <is>
          <t>yes</t>
        </is>
      </c>
      <c r="F61" t="inlineStr">
        <is>
          <t>50.1422</t>
        </is>
      </c>
      <c r="G61" t="inlineStr">
        <is>
          <t>world_bank</t>
        </is>
      </c>
      <c r="H61" t="inlineStr">
        <is>
          <t>https://api.worldbank.org/v2/country/IND/indicator/FD.AST.PRVT.GD.ZS?format=json&amp;mrv=30</t>
        </is>
      </c>
      <c r="I61" t="inlineStr">
        <is>
          <t>World Bank WDI: Domestic credit to private sector by banks (% of GDP) used as interim leverage proxy</t>
        </is>
      </c>
      <c r="J61" t="inlineStr">
        <is>
          <t>2021-12-31</t>
        </is>
      </c>
      <c r="K61" t="inlineStr">
        <is>
          <t>auto_seed=world_bank_wdi; proxy=broad_private_credit_not_household_only; indicator=FD.AST.PRVT.GD.ZS; observation_year=2021; dataset_lastupdated=2026-02-24; stale=no</t>
        </is>
      </c>
    </row>
    <row r="62">
      <c r="A62" t="inlineStr">
        <is>
          <t>Sri Lanka</t>
        </is>
      </c>
      <c r="B62" t="inlineStr">
        <is>
          <t>gdp_per_capita_ppp</t>
        </is>
      </c>
      <c r="C62" t="inlineStr">
        <is>
          <t>GDP per capita (PPP)</t>
        </is>
      </c>
      <c r="D62" t="inlineStr">
        <is>
          <t>creative</t>
        </is>
      </c>
      <c r="E62" t="inlineStr">
        <is>
          <t>yes</t>
        </is>
      </c>
      <c r="F62" t="inlineStr">
        <is>
          <t>15632.59</t>
        </is>
      </c>
      <c r="G62" t="inlineStr">
        <is>
          <t>world_bank</t>
        </is>
      </c>
      <c r="H62" t="inlineStr">
        <is>
          <t>https://api.worldbank.org/v2/country/LKA/indicator/NY.GDP.PCAP.PP.CD?format=json&amp;mrv=30</t>
        </is>
      </c>
      <c r="I62" t="inlineStr">
        <is>
          <t>World Bank WDI: GDP per capita, PPP (current international $)</t>
        </is>
      </c>
      <c r="J62" t="inlineStr">
        <is>
          <t>2024-12-31</t>
        </is>
      </c>
      <c r="K62" t="inlineStr">
        <is>
          <t>auto_seed=world_bank_wdi; indicator=NY.GDP.PCAP.PP.CD; observation_year=2024; dataset_lastupdated=2026-02-24; stale=no</t>
        </is>
      </c>
    </row>
    <row r="63">
      <c r="A63" t="inlineStr">
        <is>
          <t>Sri Lanka</t>
        </is>
      </c>
      <c r="B63" t="inlineStr">
        <is>
          <t>gdp_growth</t>
        </is>
      </c>
      <c r="C63" t="inlineStr">
        <is>
          <t>GDP growth</t>
        </is>
      </c>
      <c r="D63" t="inlineStr">
        <is>
          <t>creative</t>
        </is>
      </c>
      <c r="E63" t="inlineStr">
        <is>
          <t>yes</t>
        </is>
      </c>
      <c r="F63" t="inlineStr">
        <is>
          <t>5.0087</t>
        </is>
      </c>
      <c r="G63" t="inlineStr">
        <is>
          <t>world_bank</t>
        </is>
      </c>
      <c r="H63" t="inlineStr">
        <is>
          <t>https://api.worldbank.org/v2/country/LKA/indicator/NY.GDP.MKTP.KD.ZG?format=json&amp;mrv=30</t>
        </is>
      </c>
      <c r="I63" t="inlineStr">
        <is>
          <t>World Bank WDI: GDP growth (annual %)</t>
        </is>
      </c>
      <c r="J63" t="inlineStr">
        <is>
          <t>2024-12-31</t>
        </is>
      </c>
      <c r="K63" t="inlineStr">
        <is>
          <t>auto_seed=world_bank_wdi; indicator=NY.GDP.MKTP.KD.ZG; observation_year=2024; dataset_lastupdated=2026-02-24; stale=no</t>
        </is>
      </c>
    </row>
    <row r="64">
      <c r="A64" t="inlineStr">
        <is>
          <t>Sri Lanka</t>
        </is>
      </c>
      <c r="B64" t="inlineStr">
        <is>
          <t>gini_coefficient</t>
        </is>
      </c>
      <c r="C64" t="inlineStr">
        <is>
          <t>Gini coefficient</t>
        </is>
      </c>
      <c r="D64" t="inlineStr">
        <is>
          <t>capability</t>
        </is>
      </c>
      <c r="E64" t="inlineStr">
        <is>
          <t>yes</t>
        </is>
      </c>
      <c r="F64" t="inlineStr">
        <is>
          <t>37.7</t>
        </is>
      </c>
      <c r="G64" t="inlineStr">
        <is>
          <t>world_bank</t>
        </is>
      </c>
      <c r="H64" t="inlineStr">
        <is>
          <t>https://api.worldbank.org/v2/country/LKA/indicator/SI.POV.GINI?format=json&amp;mrv=30</t>
        </is>
      </c>
      <c r="I64" t="inlineStr">
        <is>
          <t>World Bank WDI: Gini index</t>
        </is>
      </c>
      <c r="J64" t="inlineStr">
        <is>
          <t>2019-12-31</t>
        </is>
      </c>
      <c r="K64" t="inlineStr">
        <is>
          <t>auto_seed=world_bank_wdi; indicator=SI.POV.GINI; observation_year=2019; dataset_lastupdated=2026-02-24; stale=no</t>
        </is>
      </c>
    </row>
    <row r="65">
      <c r="A65" t="inlineStr">
        <is>
          <t>Sri Lanka</t>
        </is>
      </c>
      <c r="B65" t="inlineStr">
        <is>
          <t>ppp_private_consumption</t>
        </is>
      </c>
      <c r="C65" t="inlineStr">
        <is>
          <t>PPP private consumption factor</t>
        </is>
      </c>
      <c r="D65" t="inlineStr">
        <is>
          <t>pressure</t>
        </is>
      </c>
      <c r="E65" t="inlineStr">
        <is>
          <t>yes</t>
        </is>
      </c>
      <c r="F65" t="inlineStr">
        <is>
          <t>87.489315</t>
        </is>
      </c>
      <c r="G65" t="inlineStr">
        <is>
          <t>world_bank</t>
        </is>
      </c>
      <c r="H65" t="inlineStr">
        <is>
          <t>https://api.worldbank.org/v2/country/LKA/indicator/PA.NUS.PRVT.PP?format=json&amp;mrv=30</t>
        </is>
      </c>
      <c r="I65" t="inlineStr">
        <is>
          <t>World Bank WDI: PPP conversion factor, private consumption (LCU per international $)</t>
        </is>
      </c>
      <c r="J65" t="inlineStr">
        <is>
          <t>2024-12-31</t>
        </is>
      </c>
      <c r="K65" t="inlineStr">
        <is>
          <t>auto_seed=world_bank_wdi; indicator=PA.NUS.PRVT.PP; observation_year=2024; dataset_lastupdated=2026-02-24; stale=no</t>
        </is>
      </c>
    </row>
    <row r="66">
      <c r="A66" t="inlineStr">
        <is>
          <t>Sri Lanka</t>
        </is>
      </c>
      <c r="B66" t="inlineStr">
        <is>
          <t>tax_rate_assumption</t>
        </is>
      </c>
      <c r="C66" t="inlineStr">
        <is>
          <t>Tax rate assumption</t>
        </is>
      </c>
      <c r="D66" t="inlineStr">
        <is>
          <t>pressure</t>
        </is>
      </c>
      <c r="E66" t="inlineStr">
        <is>
          <t>yes</t>
        </is>
      </c>
      <c r="F66" t="inlineStr">
        <is>
          <t>0.099219</t>
        </is>
      </c>
      <c r="G66" t="inlineStr">
        <is>
          <t>world_bank</t>
        </is>
      </c>
      <c r="H66" t="inlineStr">
        <is>
          <t>https://api.worldbank.org/v2/country/LKA/indicator/GC.TAX.TOTL.GD.ZS?format=json&amp;mrv=30</t>
        </is>
      </c>
      <c r="I66" t="inlineStr">
        <is>
          <t>World Bank WDI: Tax revenue (% of GDP) used as interim country average tax-take proxy</t>
        </is>
      </c>
      <c r="J66" t="inlineStr">
        <is>
          <t>2023-12-31</t>
        </is>
      </c>
      <c r="K66" t="inlineStr">
        <is>
          <t>auto_seed=world_bank_wdi; proxy=country_average_tax_take_from_tax_revenue_share; indicator=GC.TAX.TOTL.GD.ZS; observation_year=2023; dataset_lastupdated=2026-02-24; stale=no</t>
        </is>
      </c>
    </row>
    <row r="67">
      <c r="A67" t="inlineStr">
        <is>
          <t>Sri Lanka</t>
        </is>
      </c>
      <c r="B67" t="inlineStr">
        <is>
          <t>household_debt_proxy</t>
        </is>
      </c>
      <c r="C67" t="inlineStr">
        <is>
          <t>Household debt proxy</t>
        </is>
      </c>
      <c r="D67" t="inlineStr">
        <is>
          <t>pressure</t>
        </is>
      </c>
      <c r="E67" t="inlineStr">
        <is>
          <t>yes</t>
        </is>
      </c>
      <c r="F67" t="inlineStr">
        <is>
          <t>46.8716</t>
        </is>
      </c>
      <c r="G67" t="inlineStr">
        <is>
          <t>world_bank</t>
        </is>
      </c>
      <c r="H67" t="inlineStr">
        <is>
          <t>https://api.worldbank.org/v2/country/LKA/indicator/FD.AST.PRVT.GD.ZS?format=json&amp;mrv=30</t>
        </is>
      </c>
      <c r="I67" t="inlineStr">
        <is>
          <t>World Bank WDI: Domestic credit to private sector by banks (% of GDP) used as interim leverage proxy</t>
        </is>
      </c>
      <c r="J67" t="inlineStr">
        <is>
          <t>2019-12-31</t>
        </is>
      </c>
      <c r="K67" t="inlineStr">
        <is>
          <t>auto_seed=world_bank_wdi; proxy=broad_private_credit_not_household_only; indicator=FD.AST.PRVT.GD.ZS; observation_year=2019; dataset_lastupdated=2026-02-24; stale=yes</t>
        </is>
      </c>
    </row>
    <row r="68">
      <c r="A68" t="inlineStr">
        <is>
          <t>Bangladesh</t>
        </is>
      </c>
      <c r="B68" t="inlineStr">
        <is>
          <t>gdp_per_capita_ppp</t>
        </is>
      </c>
      <c r="C68" t="inlineStr">
        <is>
          <t>GDP per capita (PPP)</t>
        </is>
      </c>
      <c r="D68" t="inlineStr">
        <is>
          <t>creative</t>
        </is>
      </c>
      <c r="E68" t="inlineStr">
        <is>
          <t>yes</t>
        </is>
      </c>
      <c r="F68" t="inlineStr">
        <is>
          <t>9646.77</t>
        </is>
      </c>
      <c r="G68" t="inlineStr">
        <is>
          <t>world_bank</t>
        </is>
      </c>
      <c r="H68" t="inlineStr">
        <is>
          <t>https://api.worldbank.org/v2/country/BGD/indicator/NY.GDP.PCAP.PP.CD?format=json&amp;mrv=30</t>
        </is>
      </c>
      <c r="I68" t="inlineStr">
        <is>
          <t>World Bank WDI: GDP per capita, PPP (current international $)</t>
        </is>
      </c>
      <c r="J68" t="inlineStr">
        <is>
          <t>2024-12-31</t>
        </is>
      </c>
      <c r="K68" t="inlineStr">
        <is>
          <t>auto_seed=world_bank_wdi; indicator=NY.GDP.PCAP.PP.CD; observation_year=2024; dataset_lastupdated=2026-02-24; stale=no</t>
        </is>
      </c>
    </row>
    <row r="69">
      <c r="A69" t="inlineStr">
        <is>
          <t>Bangladesh</t>
        </is>
      </c>
      <c r="B69" t="inlineStr">
        <is>
          <t>gdp_growth</t>
        </is>
      </c>
      <c r="C69" t="inlineStr">
        <is>
          <t>GDP growth</t>
        </is>
      </c>
      <c r="D69" t="inlineStr">
        <is>
          <t>creative</t>
        </is>
      </c>
      <c r="E69" t="inlineStr">
        <is>
          <t>yes</t>
        </is>
      </c>
      <c r="F69" t="inlineStr">
        <is>
          <t>4.2233</t>
        </is>
      </c>
      <c r="G69" t="inlineStr">
        <is>
          <t>world_bank</t>
        </is>
      </c>
      <c r="H69" t="inlineStr">
        <is>
          <t>https://api.worldbank.org/v2/country/BGD/indicator/NY.GDP.MKTP.KD.ZG?format=json&amp;mrv=30</t>
        </is>
      </c>
      <c r="I69" t="inlineStr">
        <is>
          <t>World Bank WDI: GDP growth (annual %)</t>
        </is>
      </c>
      <c r="J69" t="inlineStr">
        <is>
          <t>2024-12-31</t>
        </is>
      </c>
      <c r="K69" t="inlineStr">
        <is>
          <t>auto_seed=world_bank_wdi; indicator=NY.GDP.MKTP.KD.ZG; observation_year=2024; dataset_lastupdated=2026-02-24; stale=no</t>
        </is>
      </c>
    </row>
    <row r="70">
      <c r="A70" t="inlineStr">
        <is>
          <t>Bangladesh</t>
        </is>
      </c>
      <c r="B70" t="inlineStr">
        <is>
          <t>gini_coefficient</t>
        </is>
      </c>
      <c r="C70" t="inlineStr">
        <is>
          <t>Gini coefficient</t>
        </is>
      </c>
      <c r="D70" t="inlineStr">
        <is>
          <t>capability</t>
        </is>
      </c>
      <c r="E70" t="inlineStr">
        <is>
          <t>yes</t>
        </is>
      </c>
      <c r="F70" t="inlineStr">
        <is>
          <t>30.9</t>
        </is>
      </c>
      <c r="G70" t="inlineStr">
        <is>
          <t>world_bank</t>
        </is>
      </c>
      <c r="H70" t="inlineStr">
        <is>
          <t>https://api.worldbank.org/v2/country/BGD/indicator/SI.POV.GINI?format=json&amp;mrv=30</t>
        </is>
      </c>
      <c r="I70" t="inlineStr">
        <is>
          <t>World Bank WDI: Gini index</t>
        </is>
      </c>
      <c r="J70" t="inlineStr">
        <is>
          <t>2022-12-31</t>
        </is>
      </c>
      <c r="K70" t="inlineStr">
        <is>
          <t>auto_seed=world_bank_wdi; indicator=SI.POV.GINI; observation_year=2022; dataset_lastupdated=2026-02-24; stale=no</t>
        </is>
      </c>
    </row>
    <row r="71">
      <c r="A71" t="inlineStr">
        <is>
          <t>Bangladesh</t>
        </is>
      </c>
      <c r="B71" t="inlineStr">
        <is>
          <t>ppp_private_consumption</t>
        </is>
      </c>
      <c r="C71" t="inlineStr">
        <is>
          <t>PPP private consumption factor</t>
        </is>
      </c>
      <c r="D71" t="inlineStr">
        <is>
          <t>pressure</t>
        </is>
      </c>
      <c r="E71" t="inlineStr">
        <is>
          <t>yes</t>
        </is>
      </c>
      <c r="F71" t="inlineStr">
        <is>
          <t>32.990539</t>
        </is>
      </c>
      <c r="G71" t="inlineStr">
        <is>
          <t>world_bank</t>
        </is>
      </c>
      <c r="H71" t="inlineStr">
        <is>
          <t>https://api.worldbank.org/v2/country/BGD/indicator/PA.NUS.PRVT.PP?format=json&amp;mrv=30</t>
        </is>
      </c>
      <c r="I71" t="inlineStr">
        <is>
          <t>World Bank WDI: PPP conversion factor, private consumption (LCU per international $)</t>
        </is>
      </c>
      <c r="J71" t="inlineStr">
        <is>
          <t>2024-12-31</t>
        </is>
      </c>
      <c r="K71" t="inlineStr">
        <is>
          <t>auto_seed=world_bank_wdi; indicator=PA.NUS.PRVT.PP; observation_year=2024; dataset_lastupdated=2026-02-24; stale=no</t>
        </is>
      </c>
    </row>
    <row r="72">
      <c r="A72" t="inlineStr">
        <is>
          <t>Bangladesh</t>
        </is>
      </c>
      <c r="B72" t="inlineStr">
        <is>
          <t>tax_rate_assumption</t>
        </is>
      </c>
      <c r="C72" t="inlineStr">
        <is>
          <t>Tax rate assumption</t>
        </is>
      </c>
      <c r="D72" t="inlineStr">
        <is>
          <t>pressure</t>
        </is>
      </c>
      <c r="E72" t="inlineStr">
        <is>
          <t>yes</t>
        </is>
      </c>
      <c r="F72" t="inlineStr">
        <is>
          <t>0.076424</t>
        </is>
      </c>
      <c r="G72" t="inlineStr">
        <is>
          <t>world_bank</t>
        </is>
      </c>
      <c r="H72" t="inlineStr">
        <is>
          <t>https://api.worldbank.org/v2/country/BGD/indicator/GC.TAX.TOTL.GD.ZS?format=json&amp;mrv=30</t>
        </is>
      </c>
      <c r="I72" t="inlineStr">
        <is>
          <t>World Bank WDI: Tax revenue (% of GDP) used as interim country average tax-take proxy</t>
        </is>
      </c>
      <c r="J72" t="inlineStr">
        <is>
          <t>2021-12-31</t>
        </is>
      </c>
      <c r="K72" t="inlineStr">
        <is>
          <t>auto_seed=world_bank_wdi; proxy=country_average_tax_take_from_tax_revenue_share; indicator=GC.TAX.TOTL.GD.ZS; observation_year=2021; dataset_lastupdated=2026-02-24; stale=no</t>
        </is>
      </c>
    </row>
    <row r="73">
      <c r="A73" t="inlineStr">
        <is>
          <t>Bangladesh</t>
        </is>
      </c>
      <c r="B73" t="inlineStr">
        <is>
          <t>household_debt_proxy</t>
        </is>
      </c>
      <c r="C73" t="inlineStr">
        <is>
          <t>Household debt proxy</t>
        </is>
      </c>
      <c r="D73" t="inlineStr">
        <is>
          <t>pressure</t>
        </is>
      </c>
      <c r="E73" t="inlineStr">
        <is>
          <t>yes</t>
        </is>
      </c>
      <c r="F73" t="inlineStr">
        <is>
          <t>35.7061</t>
        </is>
      </c>
      <c r="G73" t="inlineStr">
        <is>
          <t>world_bank</t>
        </is>
      </c>
      <c r="H73" t="inlineStr">
        <is>
          <t>https://api.worldbank.org/v2/country/BGD/indicator/FD.AST.PRVT.GD.ZS?format=json&amp;mrv=30</t>
        </is>
      </c>
      <c r="I73" t="inlineStr">
        <is>
          <t>World Bank WDI: Domestic credit to private sector by banks (% of GDP) used as interim leverage proxy</t>
        </is>
      </c>
      <c r="J73" t="inlineStr">
        <is>
          <t>2024-12-31</t>
        </is>
      </c>
      <c r="K73" t="inlineStr">
        <is>
          <t>auto_seed=world_bank_wdi; proxy=broad_private_credit_not_household_only; indicator=FD.AST.PRVT.GD.ZS; observation_year=2024; dataset_lastupdated=2026-02-24; stale=no</t>
        </is>
      </c>
    </row>
    <row r="74">
      <c r="A74" t="inlineStr">
        <is>
          <t>Pakistan</t>
        </is>
      </c>
      <c r="B74" t="inlineStr">
        <is>
          <t>gdp_per_capita_ppp</t>
        </is>
      </c>
      <c r="C74" t="inlineStr">
        <is>
          <t>GDP per capita (PPP)</t>
        </is>
      </c>
      <c r="D74" t="inlineStr">
        <is>
          <t>creative</t>
        </is>
      </c>
      <c r="E74" t="inlineStr">
        <is>
          <t>yes</t>
        </is>
      </c>
      <c r="F74" t="inlineStr">
        <is>
          <t>6252.12</t>
        </is>
      </c>
      <c r="G74" t="inlineStr">
        <is>
          <t>world_bank</t>
        </is>
      </c>
      <c r="H74" t="inlineStr">
        <is>
          <t>https://api.worldbank.org/v2/country/PAK/indicator/NY.GDP.PCAP.PP.CD?format=json&amp;mrv=30</t>
        </is>
      </c>
      <c r="I74" t="inlineStr">
        <is>
          <t>World Bank WDI: GDP per capita, PPP (current international $)</t>
        </is>
      </c>
      <c r="J74" t="inlineStr">
        <is>
          <t>2024-12-31</t>
        </is>
      </c>
      <c r="K74" t="inlineStr">
        <is>
          <t>auto_seed=world_bank_wdi; indicator=NY.GDP.PCAP.PP.CD; observation_year=2024; dataset_lastupdated=2026-02-24; stale=no</t>
        </is>
      </c>
    </row>
    <row r="75">
      <c r="A75" t="inlineStr">
        <is>
          <t>Pakistan</t>
        </is>
      </c>
      <c r="B75" t="inlineStr">
        <is>
          <t>gdp_growth</t>
        </is>
      </c>
      <c r="C75" t="inlineStr">
        <is>
          <t>GDP growth</t>
        </is>
      </c>
      <c r="D75" t="inlineStr">
        <is>
          <t>creative</t>
        </is>
      </c>
      <c r="E75" t="inlineStr">
        <is>
          <t>yes</t>
        </is>
      </c>
      <c r="F75" t="inlineStr">
        <is>
          <t>3.049</t>
        </is>
      </c>
      <c r="G75" t="inlineStr">
        <is>
          <t>world_bank</t>
        </is>
      </c>
      <c r="H75" t="inlineStr">
        <is>
          <t>https://api.worldbank.org/v2/country/PAK/indicator/NY.GDP.MKTP.KD.ZG?format=json&amp;mrv=30</t>
        </is>
      </c>
      <c r="I75" t="inlineStr">
        <is>
          <t>World Bank WDI: GDP growth (annual %)</t>
        </is>
      </c>
      <c r="J75" t="inlineStr">
        <is>
          <t>2024-12-31</t>
        </is>
      </c>
      <c r="K75" t="inlineStr">
        <is>
          <t>auto_seed=world_bank_wdi; indicator=NY.GDP.MKTP.KD.ZG; observation_year=2024; dataset_lastupdated=2026-02-24; stale=no</t>
        </is>
      </c>
    </row>
    <row r="76">
      <c r="A76" t="inlineStr">
        <is>
          <t>Pakistan</t>
        </is>
      </c>
      <c r="B76" t="inlineStr">
        <is>
          <t>gini_coefficient</t>
        </is>
      </c>
      <c r="C76" t="inlineStr">
        <is>
          <t>Gini coefficient</t>
        </is>
      </c>
      <c r="D76" t="inlineStr">
        <is>
          <t>capability</t>
        </is>
      </c>
      <c r="E76" t="inlineStr">
        <is>
          <t>yes</t>
        </is>
      </c>
      <c r="F76" t="inlineStr">
        <is>
          <t>29.6</t>
        </is>
      </c>
      <c r="G76" t="inlineStr">
        <is>
          <t>world_bank</t>
        </is>
      </c>
      <c r="H76" t="inlineStr">
        <is>
          <t>https://api.worldbank.org/v2/country/PAK/indicator/SI.POV.GINI?format=json&amp;mrv=30</t>
        </is>
      </c>
      <c r="I76" t="inlineStr">
        <is>
          <t>World Bank WDI: Gini index</t>
        </is>
      </c>
      <c r="J76" t="inlineStr">
        <is>
          <t>2018-12-31</t>
        </is>
      </c>
      <c r="K76" t="inlineStr">
        <is>
          <t>auto_seed=world_bank_wdi; indicator=SI.POV.GINI; observation_year=2018; dataset_lastupdated=2026-02-24; stale=no</t>
        </is>
      </c>
    </row>
    <row r="77">
      <c r="A77" t="inlineStr">
        <is>
          <t>Pakistan</t>
        </is>
      </c>
      <c r="B77" t="inlineStr">
        <is>
          <t>ppp_private_consumption</t>
        </is>
      </c>
      <c r="C77" t="inlineStr">
        <is>
          <t>PPP private consumption factor</t>
        </is>
      </c>
      <c r="D77" t="inlineStr">
        <is>
          <t>pressure</t>
        </is>
      </c>
      <c r="E77" t="inlineStr">
        <is>
          <t>yes</t>
        </is>
      </c>
      <c r="F77" t="inlineStr">
        <is>
          <t>64.860994</t>
        </is>
      </c>
      <c r="G77" t="inlineStr">
        <is>
          <t>world_bank</t>
        </is>
      </c>
      <c r="H77" t="inlineStr">
        <is>
          <t>https://api.worldbank.org/v2/country/PAK/indicator/PA.NUS.PRVT.PP?format=json&amp;mrv=30</t>
        </is>
      </c>
      <c r="I77" t="inlineStr">
        <is>
          <t>World Bank WDI: PPP conversion factor, private consumption (LCU per international $)</t>
        </is>
      </c>
      <c r="J77" t="inlineStr">
        <is>
          <t>2024-12-31</t>
        </is>
      </c>
      <c r="K77" t="inlineStr">
        <is>
          <t>auto_seed=world_bank_wdi; indicator=PA.NUS.PRVT.PP; observation_year=2024; dataset_lastupdated=2026-02-24; stale=no</t>
        </is>
      </c>
    </row>
    <row r="78">
      <c r="A78" t="inlineStr">
        <is>
          <t>Pakistan</t>
        </is>
      </c>
      <c r="B78" t="inlineStr">
        <is>
          <t>tax_rate_assumption</t>
        </is>
      </c>
      <c r="C78" t="inlineStr">
        <is>
          <t>Tax rate assumption</t>
        </is>
      </c>
      <c r="D78" t="inlineStr">
        <is>
          <t>pressure</t>
        </is>
      </c>
      <c r="E78" t="inlineStr">
        <is>
          <t>yes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Pakistan</t>
        </is>
      </c>
      <c r="B79" t="inlineStr">
        <is>
          <t>household_debt_proxy</t>
        </is>
      </c>
      <c r="C79" t="inlineStr">
        <is>
          <t>Household debt proxy</t>
        </is>
      </c>
      <c r="D79" t="inlineStr">
        <is>
          <t>pressure</t>
        </is>
      </c>
      <c r="E79" t="inlineStr">
        <is>
          <t>yes</t>
        </is>
      </c>
      <c r="F79" t="inlineStr">
        <is>
          <t>11.3901</t>
        </is>
      </c>
      <c r="G79" t="inlineStr">
        <is>
          <t>world_bank</t>
        </is>
      </c>
      <c r="H79" t="inlineStr">
        <is>
          <t>https://api.worldbank.org/v2/country/PAK/indicator/FD.AST.PRVT.GD.ZS?format=json&amp;mrv=30</t>
        </is>
      </c>
      <c r="I79" t="inlineStr">
        <is>
          <t>World Bank WDI: Domestic credit to private sector by banks (% of GDP) used as interim leverage proxy</t>
        </is>
      </c>
      <c r="J79" t="inlineStr">
        <is>
          <t>2024-12-31</t>
        </is>
      </c>
      <c r="K79" t="inlineStr">
        <is>
          <t>auto_seed=world_bank_wdi; proxy=broad_private_credit_not_household_only; indicator=FD.AST.PRVT.GD.ZS; observation_year=2024; dataset_lastupdated=2026-02-24; stale=no</t>
        </is>
      </c>
    </row>
    <row r="80">
      <c r="A80" t="inlineStr">
        <is>
          <t>Nepal</t>
        </is>
      </c>
      <c r="B80" t="inlineStr">
        <is>
          <t>gdp_per_capita_ppp</t>
        </is>
      </c>
      <c r="C80" t="inlineStr">
        <is>
          <t>GDP per capita (PPP)</t>
        </is>
      </c>
      <c r="D80" t="inlineStr">
        <is>
          <t>creative</t>
        </is>
      </c>
      <c r="E80" t="inlineStr">
        <is>
          <t>yes</t>
        </is>
      </c>
      <c r="F80" t="inlineStr">
        <is>
          <t>5736.62</t>
        </is>
      </c>
      <c r="G80" t="inlineStr">
        <is>
          <t>world_bank</t>
        </is>
      </c>
      <c r="H80" t="inlineStr">
        <is>
          <t>https://api.worldbank.org/v2/country/NPL/indicator/NY.GDP.PCAP.PP.CD?format=json&amp;mrv=30</t>
        </is>
      </c>
      <c r="I80" t="inlineStr">
        <is>
          <t>World Bank WDI: GDP per capita, PPP (current international $)</t>
        </is>
      </c>
      <c r="J80" t="inlineStr">
        <is>
          <t>2024-12-31</t>
        </is>
      </c>
      <c r="K80" t="inlineStr">
        <is>
          <t>auto_seed=world_bank_wdi; indicator=NY.GDP.PCAP.PP.CD; observation_year=2024; dataset_lastupdated=2026-02-24; stale=no</t>
        </is>
      </c>
    </row>
    <row r="81">
      <c r="A81" t="inlineStr">
        <is>
          <t>Nepal</t>
        </is>
      </c>
      <c r="B81" t="inlineStr">
        <is>
          <t>gdp_growth</t>
        </is>
      </c>
      <c r="C81" t="inlineStr">
        <is>
          <t>GDP growth</t>
        </is>
      </c>
      <c r="D81" t="inlineStr">
        <is>
          <t>creative</t>
        </is>
      </c>
      <c r="E81" t="inlineStr">
        <is>
          <t>yes</t>
        </is>
      </c>
      <c r="F81" t="inlineStr">
        <is>
          <t>3.6654</t>
        </is>
      </c>
      <c r="G81" t="inlineStr">
        <is>
          <t>world_bank</t>
        </is>
      </c>
      <c r="H81" t="inlineStr">
        <is>
          <t>https://api.worldbank.org/v2/country/NPL/indicator/NY.GDP.MKTP.KD.ZG?format=json&amp;mrv=30</t>
        </is>
      </c>
      <c r="I81" t="inlineStr">
        <is>
          <t>World Bank WDI: GDP growth (annual %)</t>
        </is>
      </c>
      <c r="J81" t="inlineStr">
        <is>
          <t>2024-12-31</t>
        </is>
      </c>
      <c r="K81" t="inlineStr">
        <is>
          <t>auto_seed=world_bank_wdi; indicator=NY.GDP.MKTP.KD.ZG; observation_year=2024; dataset_lastupdated=2026-02-24; stale=no</t>
        </is>
      </c>
    </row>
    <row r="82">
      <c r="A82" t="inlineStr">
        <is>
          <t>Nepal</t>
        </is>
      </c>
      <c r="B82" t="inlineStr">
        <is>
          <t>gini_coefficient</t>
        </is>
      </c>
      <c r="C82" t="inlineStr">
        <is>
          <t>Gini coefficient</t>
        </is>
      </c>
      <c r="D82" t="inlineStr">
        <is>
          <t>capability</t>
        </is>
      </c>
      <c r="E82" t="inlineStr">
        <is>
          <t>yes</t>
        </is>
      </c>
      <c r="F82" t="inlineStr">
        <is>
          <t>30</t>
        </is>
      </c>
      <c r="G82" t="inlineStr">
        <is>
          <t>world_bank</t>
        </is>
      </c>
      <c r="H82" t="inlineStr">
        <is>
          <t>https://api.worldbank.org/v2/country/NPL/indicator/SI.POV.GINI?format=json&amp;mrv=30</t>
        </is>
      </c>
      <c r="I82" t="inlineStr">
        <is>
          <t>World Bank WDI: Gini index</t>
        </is>
      </c>
      <c r="J82" t="inlineStr">
        <is>
          <t>2022-12-31</t>
        </is>
      </c>
      <c r="K82" t="inlineStr">
        <is>
          <t>auto_seed=world_bank_wdi; indicator=SI.POV.GINI; observation_year=2022; dataset_lastupdated=2026-02-24; stale=no</t>
        </is>
      </c>
    </row>
    <row r="83">
      <c r="A83" t="inlineStr">
        <is>
          <t>Nepal</t>
        </is>
      </c>
      <c r="B83" t="inlineStr">
        <is>
          <t>ppp_private_consumption</t>
        </is>
      </c>
      <c r="C83" t="inlineStr">
        <is>
          <t>PPP private consumption factor</t>
        </is>
      </c>
      <c r="D83" t="inlineStr">
        <is>
          <t>pressure</t>
        </is>
      </c>
      <c r="E83" t="inlineStr">
        <is>
          <t>yes</t>
        </is>
      </c>
      <c r="F83" t="inlineStr">
        <is>
          <t>35.285741</t>
        </is>
      </c>
      <c r="G83" t="inlineStr">
        <is>
          <t>world_bank</t>
        </is>
      </c>
      <c r="H83" t="inlineStr">
        <is>
          <t>https://api.worldbank.org/v2/country/NPL/indicator/PA.NUS.PRVT.PP?format=json&amp;mrv=30</t>
        </is>
      </c>
      <c r="I83" t="inlineStr">
        <is>
          <t>World Bank WDI: PPP conversion factor, private consumption (LCU per international $)</t>
        </is>
      </c>
      <c r="J83" t="inlineStr">
        <is>
          <t>2024-12-31</t>
        </is>
      </c>
      <c r="K83" t="inlineStr">
        <is>
          <t>auto_seed=world_bank_wdi; indicator=PA.NUS.PRVT.PP; observation_year=2024; dataset_lastupdated=2026-02-24; stale=no</t>
        </is>
      </c>
    </row>
    <row r="84">
      <c r="A84" t="inlineStr">
        <is>
          <t>Nepal</t>
        </is>
      </c>
      <c r="B84" t="inlineStr">
        <is>
          <t>tax_rate_assumption</t>
        </is>
      </c>
      <c r="C84" t="inlineStr">
        <is>
          <t>Tax rate assumption</t>
        </is>
      </c>
      <c r="D84" t="inlineStr">
        <is>
          <t>pressure</t>
        </is>
      </c>
      <c r="E84" t="inlineStr">
        <is>
          <t>yes</t>
        </is>
      </c>
      <c r="F84" t="inlineStr">
        <is>
          <t>0.139449</t>
        </is>
      </c>
      <c r="G84" t="inlineStr">
        <is>
          <t>world_bank</t>
        </is>
      </c>
      <c r="H84" t="inlineStr">
        <is>
          <t>https://api.worldbank.org/v2/country/NPL/indicator/GC.TAX.TOTL.GD.ZS?format=json&amp;mrv=30</t>
        </is>
      </c>
      <c r="I84" t="inlineStr">
        <is>
          <t>World Bank WDI: Tax revenue (% of GDP) used as interim country average tax-take proxy</t>
        </is>
      </c>
      <c r="J84" t="inlineStr">
        <is>
          <t>2023-12-31</t>
        </is>
      </c>
      <c r="K84" t="inlineStr">
        <is>
          <t>auto_seed=world_bank_wdi; proxy=country_average_tax_take_from_tax_revenue_share; indicator=GC.TAX.TOTL.GD.ZS; observation_year=2023; dataset_lastupdated=2026-02-24; stale=no</t>
        </is>
      </c>
    </row>
    <row r="85">
      <c r="A85" t="inlineStr">
        <is>
          <t>Nepal</t>
        </is>
      </c>
      <c r="B85" t="inlineStr">
        <is>
          <t>household_debt_proxy</t>
        </is>
      </c>
      <c r="C85" t="inlineStr">
        <is>
          <t>Household debt proxy</t>
        </is>
      </c>
      <c r="D85" t="inlineStr">
        <is>
          <t>pressure</t>
        </is>
      </c>
      <c r="E85" t="inlineStr">
        <is>
          <t>yes</t>
        </is>
      </c>
      <c r="F85" t="inlineStr">
        <is>
          <t>91.9385</t>
        </is>
      </c>
      <c r="G85" t="inlineStr">
        <is>
          <t>world_bank</t>
        </is>
      </c>
      <c r="H85" t="inlineStr">
        <is>
          <t>https://api.worldbank.org/v2/country/NPL/indicator/FD.AST.PRVT.GD.ZS?format=json&amp;mrv=30</t>
        </is>
      </c>
      <c r="I85" t="inlineStr">
        <is>
          <t>World Bank WDI: Domestic credit to private sector by banks (% of GDP) used as interim leverage proxy</t>
        </is>
      </c>
      <c r="J85" t="inlineStr">
        <is>
          <t>2024-12-31</t>
        </is>
      </c>
      <c r="K85" t="inlineStr">
        <is>
          <t>auto_seed=world_bank_wdi; proxy=broad_private_credit_not_household_only; indicator=FD.AST.PRVT.GD.ZS; observation_year=2024; dataset_lastupdated=2026-02-24; stale=no</t>
        </is>
      </c>
    </row>
    <row r="86">
      <c r="A86" t="inlineStr">
        <is>
          <t>Bhutan</t>
        </is>
      </c>
      <c r="B86" t="inlineStr">
        <is>
          <t>gdp_per_capita_ppp</t>
        </is>
      </c>
      <c r="C86" t="inlineStr">
        <is>
          <t>GDP per capita (PPP)</t>
        </is>
      </c>
      <c r="D86" t="inlineStr">
        <is>
          <t>creative</t>
        </is>
      </c>
      <c r="E86" t="inlineStr">
        <is>
          <t>yes</t>
        </is>
      </c>
      <c r="F86" t="inlineStr">
        <is>
          <t>16215.15</t>
        </is>
      </c>
      <c r="G86" t="inlineStr">
        <is>
          <t>world_bank</t>
        </is>
      </c>
      <c r="H86" t="inlineStr">
        <is>
          <t>https://api.worldbank.org/v2/country/BTN/indicator/NY.GDP.PCAP.PP.CD?format=json&amp;mrv=30</t>
        </is>
      </c>
      <c r="I86" t="inlineStr">
        <is>
          <t>World Bank WDI: GDP per capita, PPP (current international $)</t>
        </is>
      </c>
      <c r="J86" t="inlineStr">
        <is>
          <t>2023-12-31</t>
        </is>
      </c>
      <c r="K86" t="inlineStr">
        <is>
          <t>auto_seed=world_bank_wdi; indicator=NY.GDP.PCAP.PP.CD; observation_year=2023; dataset_lastupdated=2026-02-24; stale=no</t>
        </is>
      </c>
    </row>
    <row r="87">
      <c r="A87" t="inlineStr">
        <is>
          <t>Bhutan</t>
        </is>
      </c>
      <c r="B87" t="inlineStr">
        <is>
          <t>gdp_growth</t>
        </is>
      </c>
      <c r="C87" t="inlineStr">
        <is>
          <t>GDP growth</t>
        </is>
      </c>
      <c r="D87" t="inlineStr">
        <is>
          <t>creative</t>
        </is>
      </c>
      <c r="E87" t="inlineStr">
        <is>
          <t>yes</t>
        </is>
      </c>
      <c r="F87" t="inlineStr">
        <is>
          <t>4.6322</t>
        </is>
      </c>
      <c r="G87" t="inlineStr">
        <is>
          <t>world_bank</t>
        </is>
      </c>
      <c r="H87" t="inlineStr">
        <is>
          <t>https://api.worldbank.org/v2/country/BTN/indicator/NY.GDP.MKTP.KD.ZG?format=json&amp;mrv=30</t>
        </is>
      </c>
      <c r="I87" t="inlineStr">
        <is>
          <t>World Bank WDI: GDP growth (annual %)</t>
        </is>
      </c>
      <c r="J87" t="inlineStr">
        <is>
          <t>2023-12-31</t>
        </is>
      </c>
      <c r="K87" t="inlineStr">
        <is>
          <t>auto_seed=world_bank_wdi; indicator=NY.GDP.MKTP.KD.ZG; observation_year=2023; dataset_lastupdated=2026-02-24; stale=no</t>
        </is>
      </c>
    </row>
    <row r="88">
      <c r="A88" t="inlineStr">
        <is>
          <t>Bhutan</t>
        </is>
      </c>
      <c r="B88" t="inlineStr">
        <is>
          <t>gini_coefficient</t>
        </is>
      </c>
      <c r="C88" t="inlineStr">
        <is>
          <t>Gini coefficient</t>
        </is>
      </c>
      <c r="D88" t="inlineStr">
        <is>
          <t>capability</t>
        </is>
      </c>
      <c r="E88" t="inlineStr">
        <is>
          <t>yes</t>
        </is>
      </c>
      <c r="F88" t="inlineStr">
        <is>
          <t>28.5</t>
        </is>
      </c>
      <c r="G88" t="inlineStr">
        <is>
          <t>world_bank</t>
        </is>
      </c>
      <c r="H88" t="inlineStr">
        <is>
          <t>https://api.worldbank.org/v2/country/BTN/indicator/SI.POV.GINI?format=json&amp;mrv=30</t>
        </is>
      </c>
      <c r="I88" t="inlineStr">
        <is>
          <t>World Bank WDI: Gini index</t>
        </is>
      </c>
      <c r="J88" t="inlineStr">
        <is>
          <t>2022-12-31</t>
        </is>
      </c>
      <c r="K88" t="inlineStr">
        <is>
          <t>auto_seed=world_bank_wdi; indicator=SI.POV.GINI; observation_year=2022; dataset_lastupdated=2026-02-24; stale=no</t>
        </is>
      </c>
    </row>
    <row r="89">
      <c r="A89" t="inlineStr">
        <is>
          <t>Bhutan</t>
        </is>
      </c>
      <c r="B89" t="inlineStr">
        <is>
          <t>ppp_private_consumption</t>
        </is>
      </c>
      <c r="C89" t="inlineStr">
        <is>
          <t>PPP private consumption factor</t>
        </is>
      </c>
      <c r="D89" t="inlineStr">
        <is>
          <t>pressure</t>
        </is>
      </c>
      <c r="E89" t="inlineStr">
        <is>
          <t>yes</t>
        </is>
      </c>
      <c r="F89" t="inlineStr">
        <is>
          <t>20.878112</t>
        </is>
      </c>
      <c r="G89" t="inlineStr">
        <is>
          <t>world_bank</t>
        </is>
      </c>
      <c r="H89" t="inlineStr">
        <is>
          <t>https://api.worldbank.org/v2/country/BTN/indicator/PA.NUS.PRVT.PP?format=json&amp;mrv=30</t>
        </is>
      </c>
      <c r="I89" t="inlineStr">
        <is>
          <t>World Bank WDI: PPP conversion factor, private consumption (LCU per international $)</t>
        </is>
      </c>
      <c r="J89" t="inlineStr">
        <is>
          <t>2024-12-31</t>
        </is>
      </c>
      <c r="K89" t="inlineStr">
        <is>
          <t>auto_seed=world_bank_wdi; indicator=PA.NUS.PRVT.PP; observation_year=2024; dataset_lastupdated=2026-02-24; stale=no</t>
        </is>
      </c>
    </row>
    <row r="90">
      <c r="A90" t="inlineStr">
        <is>
          <t>Bhutan</t>
        </is>
      </c>
      <c r="B90" t="inlineStr">
        <is>
          <t>tax_rate_assumption</t>
        </is>
      </c>
      <c r="C90" t="inlineStr">
        <is>
          <t>Tax rate assumption</t>
        </is>
      </c>
      <c r="D90" t="inlineStr">
        <is>
          <t>pressure</t>
        </is>
      </c>
      <c r="E90" t="inlineStr">
        <is>
          <t>yes</t>
        </is>
      </c>
      <c r="F90" t="inlineStr">
        <is>
          <t>0.122846</t>
        </is>
      </c>
      <c r="G90" t="inlineStr">
        <is>
          <t>world_bank</t>
        </is>
      </c>
      <c r="H90" t="inlineStr">
        <is>
          <t>https://api.worldbank.org/v2/country/BTN/indicator/GC.TAX.TOTL.GD.ZS?format=json&amp;mrv=30</t>
        </is>
      </c>
      <c r="I90" t="inlineStr">
        <is>
          <t>World Bank WDI: Tax revenue (% of GDP) used as interim country average tax-take proxy</t>
        </is>
      </c>
      <c r="J90" t="inlineStr">
        <is>
          <t>2020-12-31</t>
        </is>
      </c>
      <c r="K90" t="inlineStr">
        <is>
          <t>auto_seed=world_bank_wdi; proxy=country_average_tax_take_from_tax_revenue_share; indicator=GC.TAX.TOTL.GD.ZS; observation_year=2020; dataset_lastupdated=2026-02-24; stale=no</t>
        </is>
      </c>
    </row>
    <row r="91">
      <c r="A91" t="inlineStr">
        <is>
          <t>Bhutan</t>
        </is>
      </c>
      <c r="B91" t="inlineStr">
        <is>
          <t>household_debt_proxy</t>
        </is>
      </c>
      <c r="C91" t="inlineStr">
        <is>
          <t>Household debt proxy</t>
        </is>
      </c>
      <c r="D91" t="inlineStr">
        <is>
          <t>pressure</t>
        </is>
      </c>
      <c r="E91" t="inlineStr">
        <is>
          <t>yes</t>
        </is>
      </c>
      <c r="F91" t="inlineStr">
        <is>
          <t>51.8935</t>
        </is>
      </c>
      <c r="G91" t="inlineStr">
        <is>
          <t>world_bank</t>
        </is>
      </c>
      <c r="H91" t="inlineStr">
        <is>
          <t>https://api.worldbank.org/v2/country/BTN/indicator/FD.AST.PRVT.GD.ZS?format=json&amp;mrv=30</t>
        </is>
      </c>
      <c r="I91" t="inlineStr">
        <is>
          <t>World Bank WDI: Domestic credit to private sector by banks (% of GDP) used as interim leverage proxy</t>
        </is>
      </c>
      <c r="J91" t="inlineStr">
        <is>
          <t>2024-12-31</t>
        </is>
      </c>
      <c r="K91" t="inlineStr">
        <is>
          <t>auto_seed=world_bank_wdi; proxy=broad_private_credit_not_household_only; indicator=FD.AST.PRVT.GD.ZS; observation_year=2024; dataset_lastupdated=2026-02-24; stale=no</t>
        </is>
      </c>
    </row>
    <row r="92">
      <c r="A92" t="inlineStr">
        <is>
          <t>Maldives</t>
        </is>
      </c>
      <c r="B92" t="inlineStr">
        <is>
          <t>gdp_per_capita_ppp</t>
        </is>
      </c>
      <c r="C92" t="inlineStr">
        <is>
          <t>GDP per capita (PPP)</t>
        </is>
      </c>
      <c r="D92" t="inlineStr">
        <is>
          <t>creative</t>
        </is>
      </c>
      <c r="E92" t="inlineStr">
        <is>
          <t>yes</t>
        </is>
      </c>
      <c r="F92" t="inlineStr">
        <is>
          <t>26182.78</t>
        </is>
      </c>
      <c r="G92" t="inlineStr">
        <is>
          <t>world_bank</t>
        </is>
      </c>
      <c r="H92" t="inlineStr">
        <is>
          <t>https://api.worldbank.org/v2/country/MDV/indicator/NY.GDP.PCAP.PP.CD?format=json&amp;mrv=30</t>
        </is>
      </c>
      <c r="I92" t="inlineStr">
        <is>
          <t>World Bank WDI: GDP per capita, PPP (current international $)</t>
        </is>
      </c>
      <c r="J92" t="inlineStr">
        <is>
          <t>2024-12-31</t>
        </is>
      </c>
      <c r="K92" t="inlineStr">
        <is>
          <t>auto_seed=world_bank_wdi; indicator=NY.GDP.PCAP.PP.CD; observation_year=2024; dataset_lastupdated=2026-02-24; stale=no</t>
        </is>
      </c>
    </row>
    <row r="93">
      <c r="A93" t="inlineStr">
        <is>
          <t>Maldives</t>
        </is>
      </c>
      <c r="B93" t="inlineStr">
        <is>
          <t>gdp_growth</t>
        </is>
      </c>
      <c r="C93" t="inlineStr">
        <is>
          <t>GDP growth</t>
        </is>
      </c>
      <c r="D93" t="inlineStr">
        <is>
          <t>creative</t>
        </is>
      </c>
      <c r="E93" t="inlineStr">
        <is>
          <t>yes</t>
        </is>
      </c>
      <c r="F93" t="inlineStr">
        <is>
          <t>3.4944</t>
        </is>
      </c>
      <c r="G93" t="inlineStr">
        <is>
          <t>world_bank</t>
        </is>
      </c>
      <c r="H93" t="inlineStr">
        <is>
          <t>https://api.worldbank.org/v2/country/MDV/indicator/NY.GDP.MKTP.KD.ZG?format=json&amp;mrv=30</t>
        </is>
      </c>
      <c r="I93" t="inlineStr">
        <is>
          <t>World Bank WDI: GDP growth (annual %)</t>
        </is>
      </c>
      <c r="J93" t="inlineStr">
        <is>
          <t>2024-12-31</t>
        </is>
      </c>
      <c r="K93" t="inlineStr">
        <is>
          <t>auto_seed=world_bank_wdi; indicator=NY.GDP.MKTP.KD.ZG; observation_year=2024; dataset_lastupdated=2026-02-24; stale=no</t>
        </is>
      </c>
    </row>
    <row r="94">
      <c r="A94" t="inlineStr">
        <is>
          <t>Maldives</t>
        </is>
      </c>
      <c r="B94" t="inlineStr">
        <is>
          <t>gini_coefficient</t>
        </is>
      </c>
      <c r="C94" t="inlineStr">
        <is>
          <t>Gini coefficient</t>
        </is>
      </c>
      <c r="D94" t="inlineStr">
        <is>
          <t>capability</t>
        </is>
      </c>
      <c r="E94" t="inlineStr">
        <is>
          <t>yes</t>
        </is>
      </c>
      <c r="F94" t="inlineStr">
        <is>
          <t>29.3</t>
        </is>
      </c>
      <c r="G94" t="inlineStr">
        <is>
          <t>world_bank</t>
        </is>
      </c>
      <c r="H94" t="inlineStr">
        <is>
          <t>https://api.worldbank.org/v2/country/MDV/indicator/SI.POV.GINI?format=json&amp;mrv=30</t>
        </is>
      </c>
      <c r="I94" t="inlineStr">
        <is>
          <t>World Bank WDI: Gini index</t>
        </is>
      </c>
      <c r="J94" t="inlineStr">
        <is>
          <t>2019-12-31</t>
        </is>
      </c>
      <c r="K94" t="inlineStr">
        <is>
          <t>auto_seed=world_bank_wdi; indicator=SI.POV.GINI; observation_year=2019; dataset_lastupdated=2026-02-24; stale=no</t>
        </is>
      </c>
    </row>
    <row r="95">
      <c r="A95" t="inlineStr">
        <is>
          <t>Maldives</t>
        </is>
      </c>
      <c r="B95" t="inlineStr">
        <is>
          <t>ppp_private_consumption</t>
        </is>
      </c>
      <c r="C95" t="inlineStr">
        <is>
          <t>PPP private consumption factor</t>
        </is>
      </c>
      <c r="D95" t="inlineStr">
        <is>
          <t>pressure</t>
        </is>
      </c>
      <c r="E95" t="inlineStr">
        <is>
          <t>yes</t>
        </is>
      </c>
      <c r="F95" t="inlineStr">
        <is>
          <t>9.455282</t>
        </is>
      </c>
      <c r="G95" t="inlineStr">
        <is>
          <t>world_bank</t>
        </is>
      </c>
      <c r="H95" t="inlineStr">
        <is>
          <t>https://api.worldbank.org/v2/country/MDV/indicator/PA.NUS.PRVT.PP?format=json&amp;mrv=30</t>
        </is>
      </c>
      <c r="I95" t="inlineStr">
        <is>
          <t>World Bank WDI: PPP conversion factor, private consumption (LCU per international $)</t>
        </is>
      </c>
      <c r="J95" t="inlineStr">
        <is>
          <t>2024-12-31</t>
        </is>
      </c>
      <c r="K95" t="inlineStr">
        <is>
          <t>auto_seed=world_bank_wdi; indicator=PA.NUS.PRVT.PP; observation_year=2024; dataset_lastupdated=2026-02-24; stale=no</t>
        </is>
      </c>
    </row>
    <row r="96">
      <c r="A96" t="inlineStr">
        <is>
          <t>Maldives</t>
        </is>
      </c>
      <c r="B96" t="inlineStr">
        <is>
          <t>tax_rate_assumption</t>
        </is>
      </c>
      <c r="C96" t="inlineStr">
        <is>
          <t>Tax rate assumption</t>
        </is>
      </c>
      <c r="D96" t="inlineStr">
        <is>
          <t>pressure</t>
        </is>
      </c>
      <c r="E96" t="inlineStr">
        <is>
          <t>yes</t>
        </is>
      </c>
      <c r="F96" t="inlineStr">
        <is>
          <t>0.194532</t>
        </is>
      </c>
      <c r="G96" t="inlineStr">
        <is>
          <t>world_bank</t>
        </is>
      </c>
      <c r="H96" t="inlineStr">
        <is>
          <t>https://api.worldbank.org/v2/country/MDV/indicator/GC.TAX.TOTL.GD.ZS?format=json&amp;mrv=30</t>
        </is>
      </c>
      <c r="I96" t="inlineStr">
        <is>
          <t>World Bank WDI: Tax revenue (% of GDP) used as interim country average tax-take proxy</t>
        </is>
      </c>
      <c r="J96" t="inlineStr">
        <is>
          <t>2021-12-31</t>
        </is>
      </c>
      <c r="K96" t="inlineStr">
        <is>
          <t>auto_seed=world_bank_wdi; proxy=country_average_tax_take_from_tax_revenue_share; indicator=GC.TAX.TOTL.GD.ZS; observation_year=2021; dataset_lastupdated=2026-02-24; stale=no</t>
        </is>
      </c>
    </row>
    <row r="97">
      <c r="A97" t="inlineStr">
        <is>
          <t>Maldives</t>
        </is>
      </c>
      <c r="B97" t="inlineStr">
        <is>
          <t>household_debt_proxy</t>
        </is>
      </c>
      <c r="C97" t="inlineStr">
        <is>
          <t>Household debt proxy</t>
        </is>
      </c>
      <c r="D97" t="inlineStr">
        <is>
          <t>pressure</t>
        </is>
      </c>
      <c r="E97" t="inlineStr">
        <is>
          <t>yes</t>
        </is>
      </c>
      <c r="F97" t="inlineStr">
        <is>
          <t>31.5415</t>
        </is>
      </c>
      <c r="G97" t="inlineStr">
        <is>
          <t>world_bank</t>
        </is>
      </c>
      <c r="H97" t="inlineStr">
        <is>
          <t>https://api.worldbank.org/v2/country/MDV/indicator/FD.AST.PRVT.GD.ZS?format=json&amp;mrv=30</t>
        </is>
      </c>
      <c r="I97" t="inlineStr">
        <is>
          <t>World Bank WDI: Domestic credit to private sector by banks (% of GDP) used as interim leverage proxy</t>
        </is>
      </c>
      <c r="J97" t="inlineStr">
        <is>
          <t>2024-12-31</t>
        </is>
      </c>
      <c r="K97" t="inlineStr">
        <is>
          <t>auto_seed=world_bank_wdi; proxy=broad_private_credit_not_household_only; indicator=FD.AST.PRVT.GD.ZS; observation_year=2024; dataset_lastupdated=2026-02-24; stale=no</t>
        </is>
      </c>
    </row>
    <row r="98">
      <c r="A98" t="inlineStr">
        <is>
          <t>France</t>
        </is>
      </c>
      <c r="B98" t="inlineStr">
        <is>
          <t>gdp_per_capita_ppp</t>
        </is>
      </c>
      <c r="C98" t="inlineStr">
        <is>
          <t>GDP per capita (PPP)</t>
        </is>
      </c>
      <c r="D98" t="inlineStr">
        <is>
          <t>creative</t>
        </is>
      </c>
      <c r="E98" t="inlineStr">
        <is>
          <t>yes</t>
        </is>
      </c>
      <c r="F98" t="inlineStr">
        <is>
          <t>62556.92</t>
        </is>
      </c>
      <c r="G98" t="inlineStr">
        <is>
          <t>world_bank</t>
        </is>
      </c>
      <c r="H98" t="inlineStr">
        <is>
          <t>https://api.worldbank.org/v2/country/FRA/indicator/NY.GDP.PCAP.PP.CD?format=json&amp;mrv=30</t>
        </is>
      </c>
      <c r="I98" t="inlineStr">
        <is>
          <t>World Bank WDI: GDP per capita, PPP (current international $)</t>
        </is>
      </c>
      <c r="J98" t="inlineStr">
        <is>
          <t>2024-12-31</t>
        </is>
      </c>
      <c r="K98" t="inlineStr">
        <is>
          <t>auto_seed=world_bank_wdi; indicator=NY.GDP.PCAP.PP.CD; observation_year=2024; dataset_lastupdated=2026-02-24; stale=no</t>
        </is>
      </c>
    </row>
    <row r="99">
      <c r="A99" t="inlineStr">
        <is>
          <t>France</t>
        </is>
      </c>
      <c r="B99" t="inlineStr">
        <is>
          <t>gdp_growth</t>
        </is>
      </c>
      <c r="C99" t="inlineStr">
        <is>
          <t>GDP growth</t>
        </is>
      </c>
      <c r="D99" t="inlineStr">
        <is>
          <t>creative</t>
        </is>
      </c>
      <c r="E99" t="inlineStr">
        <is>
          <t>yes</t>
        </is>
      </c>
      <c r="F99" t="inlineStr">
        <is>
          <t>1.1905</t>
        </is>
      </c>
      <c r="G99" t="inlineStr">
        <is>
          <t>world_bank</t>
        </is>
      </c>
      <c r="H99" t="inlineStr">
        <is>
          <t>https://api.worldbank.org/v2/country/FRA/indicator/NY.GDP.MKTP.KD.ZG?format=json&amp;mrv=30</t>
        </is>
      </c>
      <c r="I99" t="inlineStr">
        <is>
          <t>World Bank WDI: GDP growth (annual %)</t>
        </is>
      </c>
      <c r="J99" t="inlineStr">
        <is>
          <t>2024-12-31</t>
        </is>
      </c>
      <c r="K99" t="inlineStr">
        <is>
          <t>auto_seed=world_bank_wdi; indicator=NY.GDP.MKTP.KD.ZG; observation_year=2024; dataset_lastupdated=2026-02-24; stale=no</t>
        </is>
      </c>
    </row>
    <row r="100">
      <c r="A100" t="inlineStr">
        <is>
          <t>France</t>
        </is>
      </c>
      <c r="B100" t="inlineStr">
        <is>
          <t>gini_coefficient</t>
        </is>
      </c>
      <c r="C100" t="inlineStr">
        <is>
          <t>Gini coefficient</t>
        </is>
      </c>
      <c r="D100" t="inlineStr">
        <is>
          <t>capability</t>
        </is>
      </c>
      <c r="E100" t="inlineStr">
        <is>
          <t>yes</t>
        </is>
      </c>
      <c r="F100" t="inlineStr">
        <is>
          <t>31.8</t>
        </is>
      </c>
      <c r="G100" t="inlineStr">
        <is>
          <t>world_bank</t>
        </is>
      </c>
      <c r="H100" t="inlineStr">
        <is>
          <t>https://api.worldbank.org/v2/country/FRA/indicator/SI.POV.GINI?format=json&amp;mrv=30</t>
        </is>
      </c>
      <c r="I100" t="inlineStr">
        <is>
          <t>World Bank WDI: Gini index</t>
        </is>
      </c>
      <c r="J100" t="inlineStr">
        <is>
          <t>2023-12-31</t>
        </is>
      </c>
      <c r="K100" t="inlineStr">
        <is>
          <t>auto_seed=world_bank_wdi; indicator=SI.POV.GINI; observation_year=2023; dataset_lastupdated=2026-02-24; stale=no</t>
        </is>
      </c>
    </row>
    <row r="101">
      <c r="A101" t="inlineStr">
        <is>
          <t>France</t>
        </is>
      </c>
      <c r="B101" t="inlineStr">
        <is>
          <t>ppp_private_consumption</t>
        </is>
      </c>
      <c r="C101" t="inlineStr">
        <is>
          <t>PPP private consumption factor</t>
        </is>
      </c>
      <c r="D101" t="inlineStr">
        <is>
          <t>pressure</t>
        </is>
      </c>
      <c r="E101" t="inlineStr">
        <is>
          <t>yes</t>
        </is>
      </c>
      <c r="F101" t="inlineStr">
        <is>
          <t>0.716934</t>
        </is>
      </c>
      <c r="G101" t="inlineStr">
        <is>
          <t>world_bank</t>
        </is>
      </c>
      <c r="H101" t="inlineStr">
        <is>
          <t>https://api.worldbank.org/v2/country/FRA/indicator/PA.NUS.PRVT.PP?format=json&amp;mrv=30</t>
        </is>
      </c>
      <c r="I101" t="inlineStr">
        <is>
          <t>World Bank WDI: PPP conversion factor, private consumption (LCU per international $)</t>
        </is>
      </c>
      <c r="J101" t="inlineStr">
        <is>
          <t>2024-12-31</t>
        </is>
      </c>
      <c r="K101" t="inlineStr">
        <is>
          <t>auto_seed=world_bank_wdi; indicator=PA.NUS.PRVT.PP; observation_year=2024; dataset_lastupdated=2026-02-24; stale=no</t>
        </is>
      </c>
    </row>
    <row r="102">
      <c r="A102" t="inlineStr">
        <is>
          <t>France</t>
        </is>
      </c>
      <c r="B102" t="inlineStr">
        <is>
          <t>tax_rate_assumption</t>
        </is>
      </c>
      <c r="C102" t="inlineStr">
        <is>
          <t>Tax rate assumption</t>
        </is>
      </c>
      <c r="D102" t="inlineStr">
        <is>
          <t>pressure</t>
        </is>
      </c>
      <c r="E102" t="inlineStr">
        <is>
          <t>yes</t>
        </is>
      </c>
      <c r="F102" t="inlineStr">
        <is>
          <t>0.23077</t>
        </is>
      </c>
      <c r="G102" t="inlineStr">
        <is>
          <t>world_bank</t>
        </is>
      </c>
      <c r="H102" t="inlineStr">
        <is>
          <t>https://api.worldbank.org/v2/country/FRA/indicator/GC.TAX.TOTL.GD.ZS?format=json&amp;mrv=30</t>
        </is>
      </c>
      <c r="I102" t="inlineStr">
        <is>
          <t>World Bank WDI: Tax revenue (% of GDP) used as interim country average tax-take proxy</t>
        </is>
      </c>
      <c r="J102" t="inlineStr">
        <is>
          <t>2023-12-31</t>
        </is>
      </c>
      <c r="K102" t="inlineStr">
        <is>
          <t>auto_seed=world_bank_wdi; proxy=country_average_tax_take_from_tax_revenue_share; indicator=GC.TAX.TOTL.GD.ZS; observation_year=2023; dataset_lastupdated=2026-02-24; stale=no</t>
        </is>
      </c>
    </row>
    <row r="103">
      <c r="A103" t="inlineStr">
        <is>
          <t>France</t>
        </is>
      </c>
      <c r="B103" t="inlineStr">
        <is>
          <t>household_debt_proxy</t>
        </is>
      </c>
      <c r="C103" t="inlineStr">
        <is>
          <t>Household debt proxy</t>
        </is>
      </c>
      <c r="D103" t="inlineStr">
        <is>
          <t>pressure</t>
        </is>
      </c>
      <c r="E103" t="inlineStr">
        <is>
          <t>yes</t>
        </is>
      </c>
      <c r="F103" t="inlineStr">
        <is>
          <t>103.9081</t>
        </is>
      </c>
      <c r="G103" t="inlineStr">
        <is>
          <t>world_bank</t>
        </is>
      </c>
      <c r="H103" t="inlineStr">
        <is>
          <t>https://api.worldbank.org/v2/country/FRA/indicator/FD.AST.PRVT.GD.ZS?format=json&amp;mrv=30</t>
        </is>
      </c>
      <c r="I103" t="inlineStr">
        <is>
          <t>World Bank WDI: Domestic credit to private sector by banks (% of GDP) used as interim leverage proxy</t>
        </is>
      </c>
      <c r="J103" t="inlineStr">
        <is>
          <t>2024-12-31</t>
        </is>
      </c>
      <c r="K103" t="inlineStr">
        <is>
          <t>auto_seed=world_bank_wdi; proxy=broad_private_credit_not_household_only; indicator=FD.AST.PRVT.GD.ZS; observation_year=2024; dataset_lastupdated=2026-02-24; stale=no</t>
        </is>
      </c>
    </row>
    <row r="104">
      <c r="A104" t="inlineStr">
        <is>
          <t>Austria</t>
        </is>
      </c>
      <c r="B104" t="inlineStr">
        <is>
          <t>gdp_per_capita_ppp</t>
        </is>
      </c>
      <c r="C104" t="inlineStr">
        <is>
          <t>GDP per capita (PPP)</t>
        </is>
      </c>
      <c r="D104" t="inlineStr">
        <is>
          <t>creative</t>
        </is>
      </c>
      <c r="E104" t="inlineStr">
        <is>
          <t>yes</t>
        </is>
      </c>
      <c r="F104" t="inlineStr">
        <is>
          <t>73911.44</t>
        </is>
      </c>
      <c r="G104" t="inlineStr">
        <is>
          <t>world_bank</t>
        </is>
      </c>
      <c r="H104" t="inlineStr">
        <is>
          <t>https://api.worldbank.org/v2/country/AUT/indicator/NY.GDP.PCAP.PP.CD?format=json&amp;mrv=30</t>
        </is>
      </c>
      <c r="I104" t="inlineStr">
        <is>
          <t>World Bank WDI: GDP per capita, PPP (current international $)</t>
        </is>
      </c>
      <c r="J104" t="inlineStr">
        <is>
          <t>2024-12-31</t>
        </is>
      </c>
      <c r="K104" t="inlineStr">
        <is>
          <t>auto_seed=world_bank_wdi; indicator=NY.GDP.PCAP.PP.CD; observation_year=2024; dataset_lastupdated=2026-02-24; stale=no</t>
        </is>
      </c>
    </row>
    <row r="105">
      <c r="A105" t="inlineStr">
        <is>
          <t>Austria</t>
        </is>
      </c>
      <c r="B105" t="inlineStr">
        <is>
          <t>gdp_growth</t>
        </is>
      </c>
      <c r="C105" t="inlineStr">
        <is>
          <t>GDP growth</t>
        </is>
      </c>
      <c r="D105" t="inlineStr">
        <is>
          <t>creative</t>
        </is>
      </c>
      <c r="E105" t="inlineStr">
        <is>
          <t>yes</t>
        </is>
      </c>
      <c r="F105" t="inlineStr">
        <is>
          <t>-0.6591</t>
        </is>
      </c>
      <c r="G105" t="inlineStr">
        <is>
          <t>world_bank</t>
        </is>
      </c>
      <c r="H105" t="inlineStr">
        <is>
          <t>https://api.worldbank.org/v2/country/AUT/indicator/NY.GDP.MKTP.KD.ZG?format=json&amp;mrv=30</t>
        </is>
      </c>
      <c r="I105" t="inlineStr">
        <is>
          <t>World Bank WDI: GDP growth (annual %)</t>
        </is>
      </c>
      <c r="J105" t="inlineStr">
        <is>
          <t>2024-12-31</t>
        </is>
      </c>
      <c r="K105" t="inlineStr">
        <is>
          <t>auto_seed=world_bank_wdi; indicator=NY.GDP.MKTP.KD.ZG; observation_year=2024; dataset_lastupdated=2026-02-24; stale=no</t>
        </is>
      </c>
    </row>
    <row r="106">
      <c r="A106" t="inlineStr">
        <is>
          <t>Austria</t>
        </is>
      </c>
      <c r="B106" t="inlineStr">
        <is>
          <t>gini_coefficient</t>
        </is>
      </c>
      <c r="C106" t="inlineStr">
        <is>
          <t>Gini coefficient</t>
        </is>
      </c>
      <c r="D106" t="inlineStr">
        <is>
          <t>capability</t>
        </is>
      </c>
      <c r="E106" t="inlineStr">
        <is>
          <t>yes</t>
        </is>
      </c>
      <c r="F106" t="inlineStr">
        <is>
          <t>31.2</t>
        </is>
      </c>
      <c r="G106" t="inlineStr">
        <is>
          <t>world_bank</t>
        </is>
      </c>
      <c r="H106" t="inlineStr">
        <is>
          <t>https://api.worldbank.org/v2/country/AUT/indicator/SI.POV.GINI?format=json&amp;mrv=30</t>
        </is>
      </c>
      <c r="I106" t="inlineStr">
        <is>
          <t>World Bank WDI: Gini index</t>
        </is>
      </c>
      <c r="J106" t="inlineStr">
        <is>
          <t>2023-12-31</t>
        </is>
      </c>
      <c r="K106" t="inlineStr">
        <is>
          <t>auto_seed=world_bank_wdi; indicator=SI.POV.GINI; observation_year=2023; dataset_lastupdated=2026-02-24; stale=no</t>
        </is>
      </c>
    </row>
    <row r="107">
      <c r="A107" t="inlineStr">
        <is>
          <t>Austria</t>
        </is>
      </c>
      <c r="B107" t="inlineStr">
        <is>
          <t>ppp_private_consumption</t>
        </is>
      </c>
      <c r="C107" t="inlineStr">
        <is>
          <t>PPP private consumption factor</t>
        </is>
      </c>
      <c r="D107" t="inlineStr">
        <is>
          <t>pressure</t>
        </is>
      </c>
      <c r="E107" t="inlineStr">
        <is>
          <t>yes</t>
        </is>
      </c>
      <c r="F107" t="inlineStr">
        <is>
          <t>0.720487</t>
        </is>
      </c>
      <c r="G107" t="inlineStr">
        <is>
          <t>world_bank</t>
        </is>
      </c>
      <c r="H107" t="inlineStr">
        <is>
          <t>https://api.worldbank.org/v2/country/AUT/indicator/PA.NUS.PRVT.PP?format=json&amp;mrv=30</t>
        </is>
      </c>
      <c r="I107" t="inlineStr">
        <is>
          <t>World Bank WDI: PPP conversion factor, private consumption (LCU per international $)</t>
        </is>
      </c>
      <c r="J107" t="inlineStr">
        <is>
          <t>2024-12-31</t>
        </is>
      </c>
      <c r="K107" t="inlineStr">
        <is>
          <t>auto_seed=world_bank_wdi; indicator=PA.NUS.PRVT.PP; observation_year=2024; dataset_lastupdated=2026-02-24; stale=no</t>
        </is>
      </c>
    </row>
    <row r="108">
      <c r="A108" t="inlineStr">
        <is>
          <t>Austria</t>
        </is>
      </c>
      <c r="B108" t="inlineStr">
        <is>
          <t>tax_rate_assumption</t>
        </is>
      </c>
      <c r="C108" t="inlineStr">
        <is>
          <t>Tax rate assumption</t>
        </is>
      </c>
      <c r="D108" t="inlineStr">
        <is>
          <t>pressure</t>
        </is>
      </c>
      <c r="E108" t="inlineStr">
        <is>
          <t>yes</t>
        </is>
      </c>
      <c r="F108" t="inlineStr">
        <is>
          <t>0.256407</t>
        </is>
      </c>
      <c r="G108" t="inlineStr">
        <is>
          <t>world_bank</t>
        </is>
      </c>
      <c r="H108" t="inlineStr">
        <is>
          <t>https://api.worldbank.org/v2/country/AUT/indicator/GC.TAX.TOTL.GD.ZS?format=json&amp;mrv=30</t>
        </is>
      </c>
      <c r="I108" t="inlineStr">
        <is>
          <t>World Bank WDI: Tax revenue (% of GDP) used as interim country average tax-take proxy</t>
        </is>
      </c>
      <c r="J108" t="inlineStr">
        <is>
          <t>2023-12-31</t>
        </is>
      </c>
      <c r="K108" t="inlineStr">
        <is>
          <t>auto_seed=world_bank_wdi; proxy=country_average_tax_take_from_tax_revenue_share; indicator=GC.TAX.TOTL.GD.ZS; observation_year=2023; dataset_lastupdated=2026-02-24; stale=no</t>
        </is>
      </c>
    </row>
    <row r="109">
      <c r="A109" t="inlineStr">
        <is>
          <t>Austria</t>
        </is>
      </c>
      <c r="B109" t="inlineStr">
        <is>
          <t>household_debt_proxy</t>
        </is>
      </c>
      <c r="C109" t="inlineStr">
        <is>
          <t>Household debt proxy</t>
        </is>
      </c>
      <c r="D109" t="inlineStr">
        <is>
          <t>pressure</t>
        </is>
      </c>
      <c r="E109" t="inlineStr">
        <is>
          <t>yes</t>
        </is>
      </c>
      <c r="F109" t="inlineStr">
        <is>
          <t>81.4953</t>
        </is>
      </c>
      <c r="G109" t="inlineStr">
        <is>
          <t>world_bank</t>
        </is>
      </c>
      <c r="H109" t="inlineStr">
        <is>
          <t>https://api.worldbank.org/v2/country/AUT/indicator/FD.AST.PRVT.GD.ZS?format=json&amp;mrv=30</t>
        </is>
      </c>
      <c r="I109" t="inlineStr">
        <is>
          <t>World Bank WDI: Domestic credit to private sector by banks (% of GDP) used as interim leverage proxy</t>
        </is>
      </c>
      <c r="J109" t="inlineStr">
        <is>
          <t>2024-12-31</t>
        </is>
      </c>
      <c r="K109" t="inlineStr">
        <is>
          <t>auto_seed=world_bank_wdi; proxy=broad_private_credit_not_household_only; indicator=FD.AST.PRVT.GD.ZS; observation_year=2024; dataset_lastupdated=2026-02-24; stale=no</t>
        </is>
      </c>
    </row>
    <row r="110">
      <c r="A110" t="inlineStr">
        <is>
          <t>Switzerland</t>
        </is>
      </c>
      <c r="B110" t="inlineStr">
        <is>
          <t>gdp_per_capita_ppp</t>
        </is>
      </c>
      <c r="C110" t="inlineStr">
        <is>
          <t>GDP per capita (PPP)</t>
        </is>
      </c>
      <c r="D110" t="inlineStr">
        <is>
          <t>creative</t>
        </is>
      </c>
      <c r="E110" t="inlineStr">
        <is>
          <t>yes</t>
        </is>
      </c>
      <c r="F110" t="inlineStr">
        <is>
          <t>96497.69</t>
        </is>
      </c>
      <c r="G110" t="inlineStr">
        <is>
          <t>world_bank</t>
        </is>
      </c>
      <c r="H110" t="inlineStr">
        <is>
          <t>https://api.worldbank.org/v2/country/CHE/indicator/NY.GDP.PCAP.PP.CD?format=json&amp;mrv=30</t>
        </is>
      </c>
      <c r="I110" t="inlineStr">
        <is>
          <t>World Bank WDI: GDP per capita, PPP (current international $)</t>
        </is>
      </c>
      <c r="J110" t="inlineStr">
        <is>
          <t>2024-12-31</t>
        </is>
      </c>
      <c r="K110" t="inlineStr">
        <is>
          <t>auto_seed=world_bank_wdi; indicator=NY.GDP.PCAP.PP.CD; observation_year=2024; dataset_lastupdated=2026-02-24; stale=no</t>
        </is>
      </c>
    </row>
    <row r="111">
      <c r="A111" t="inlineStr">
        <is>
          <t>Switzerland</t>
        </is>
      </c>
      <c r="B111" t="inlineStr">
        <is>
          <t>gdp_growth</t>
        </is>
      </c>
      <c r="C111" t="inlineStr">
        <is>
          <t>GDP growth</t>
        </is>
      </c>
      <c r="D111" t="inlineStr">
        <is>
          <t>creative</t>
        </is>
      </c>
      <c r="E111" t="inlineStr">
        <is>
          <t>yes</t>
        </is>
      </c>
      <c r="F111" t="inlineStr">
        <is>
          <t>1.3023</t>
        </is>
      </c>
      <c r="G111" t="inlineStr">
        <is>
          <t>world_bank</t>
        </is>
      </c>
      <c r="H111" t="inlineStr">
        <is>
          <t>https://api.worldbank.org/v2/country/CHE/indicator/NY.GDP.MKTP.KD.ZG?format=json&amp;mrv=30</t>
        </is>
      </c>
      <c r="I111" t="inlineStr">
        <is>
          <t>World Bank WDI: GDP growth (annual %)</t>
        </is>
      </c>
      <c r="J111" t="inlineStr">
        <is>
          <t>2024-12-31</t>
        </is>
      </c>
      <c r="K111" t="inlineStr">
        <is>
          <t>auto_seed=world_bank_wdi; indicator=NY.GDP.MKTP.KD.ZG; observation_year=2024; dataset_lastupdated=2026-02-24; stale=no</t>
        </is>
      </c>
    </row>
    <row r="112">
      <c r="A112" t="inlineStr">
        <is>
          <t>Switzerland</t>
        </is>
      </c>
      <c r="B112" t="inlineStr">
        <is>
          <t>gini_coefficient</t>
        </is>
      </c>
      <c r="C112" t="inlineStr">
        <is>
          <t>Gini coefficient</t>
        </is>
      </c>
      <c r="D112" t="inlineStr">
        <is>
          <t>capability</t>
        </is>
      </c>
      <c r="E112" t="inlineStr">
        <is>
          <t>yes</t>
        </is>
      </c>
      <c r="F112" t="inlineStr">
        <is>
          <t>33.8</t>
        </is>
      </c>
      <c r="G112" t="inlineStr">
        <is>
          <t>world_bank</t>
        </is>
      </c>
      <c r="H112" t="inlineStr">
        <is>
          <t>https://api.worldbank.org/v2/country/CHE/indicator/SI.POV.GINI?format=json&amp;mrv=30</t>
        </is>
      </c>
      <c r="I112" t="inlineStr">
        <is>
          <t>World Bank WDI: Gini index</t>
        </is>
      </c>
      <c r="J112" t="inlineStr">
        <is>
          <t>2022-12-31</t>
        </is>
      </c>
      <c r="K112" t="inlineStr">
        <is>
          <t>auto_seed=world_bank_wdi; indicator=SI.POV.GINI; observation_year=2022; dataset_lastupdated=2026-02-24; stale=no</t>
        </is>
      </c>
    </row>
    <row r="113">
      <c r="A113" t="inlineStr">
        <is>
          <t>Switzerland</t>
        </is>
      </c>
      <c r="B113" t="inlineStr">
        <is>
          <t>ppp_private_consumption</t>
        </is>
      </c>
      <c r="C113" t="inlineStr">
        <is>
          <t>PPP private consumption factor</t>
        </is>
      </c>
      <c r="D113" t="inlineStr">
        <is>
          <t>pressure</t>
        </is>
      </c>
      <c r="E113" t="inlineStr">
        <is>
          <t>yes</t>
        </is>
      </c>
      <c r="F113" t="inlineStr">
        <is>
          <t>1.062369</t>
        </is>
      </c>
      <c r="G113" t="inlineStr">
        <is>
          <t>world_bank</t>
        </is>
      </c>
      <c r="H113" t="inlineStr">
        <is>
          <t>https://api.worldbank.org/v2/country/CHE/indicator/PA.NUS.PRVT.PP?format=json&amp;mrv=30</t>
        </is>
      </c>
      <c r="I113" t="inlineStr">
        <is>
          <t>World Bank WDI: PPP conversion factor, private consumption (LCU per international $)</t>
        </is>
      </c>
      <c r="J113" t="inlineStr">
        <is>
          <t>2024-12-31</t>
        </is>
      </c>
      <c r="K113" t="inlineStr">
        <is>
          <t>auto_seed=world_bank_wdi; indicator=PA.NUS.PRVT.PP; observation_year=2024; dataset_lastupdated=2026-02-24; stale=no</t>
        </is>
      </c>
    </row>
    <row r="114">
      <c r="A114" t="inlineStr">
        <is>
          <t>Switzerland</t>
        </is>
      </c>
      <c r="B114" t="inlineStr">
        <is>
          <t>tax_rate_assumption</t>
        </is>
      </c>
      <c r="C114" t="inlineStr">
        <is>
          <t>Tax rate assumption</t>
        </is>
      </c>
      <c r="D114" t="inlineStr">
        <is>
          <t>pressure</t>
        </is>
      </c>
      <c r="E114" t="inlineStr">
        <is>
          <t>yes</t>
        </is>
      </c>
      <c r="F114" t="inlineStr">
        <is>
          <t>0.090036</t>
        </is>
      </c>
      <c r="G114" t="inlineStr">
        <is>
          <t>world_bank</t>
        </is>
      </c>
      <c r="H114" t="inlineStr">
        <is>
          <t>https://api.worldbank.org/v2/country/CHE/indicator/GC.TAX.TOTL.GD.ZS?format=json&amp;mrv=30</t>
        </is>
      </c>
      <c r="I114" t="inlineStr">
        <is>
          <t>World Bank WDI: Tax revenue (% of GDP) used as interim country average tax-take proxy</t>
        </is>
      </c>
      <c r="J114" t="inlineStr">
        <is>
          <t>2023-12-31</t>
        </is>
      </c>
      <c r="K114" t="inlineStr">
        <is>
          <t>auto_seed=world_bank_wdi; proxy=country_average_tax_take_from_tax_revenue_share; indicator=GC.TAX.TOTL.GD.ZS; observation_year=2023; dataset_lastupdated=2026-02-24; stale=no</t>
        </is>
      </c>
    </row>
    <row r="115">
      <c r="A115" t="inlineStr">
        <is>
          <t>Switzerland</t>
        </is>
      </c>
      <c r="B115" t="inlineStr">
        <is>
          <t>household_debt_proxy</t>
        </is>
      </c>
      <c r="C115" t="inlineStr">
        <is>
          <t>Household debt proxy</t>
        </is>
      </c>
      <c r="D115" t="inlineStr">
        <is>
          <t>pressure</t>
        </is>
      </c>
      <c r="E115" t="inlineStr">
        <is>
          <t>yes</t>
        </is>
      </c>
      <c r="F115" t="inlineStr">
        <is>
          <t>170.3782</t>
        </is>
      </c>
      <c r="G115" t="inlineStr">
        <is>
          <t>world_bank</t>
        </is>
      </c>
      <c r="H115" t="inlineStr">
        <is>
          <t>https://api.worldbank.org/v2/country/CHE/indicator/FD.AST.PRVT.GD.ZS?format=json&amp;mrv=30</t>
        </is>
      </c>
      <c r="I115" t="inlineStr">
        <is>
          <t>World Bank WDI: Domestic credit to private sector by banks (% of GDP) used as interim leverage proxy</t>
        </is>
      </c>
      <c r="J115" t="inlineStr">
        <is>
          <t>2016-12-31</t>
        </is>
      </c>
      <c r="K115" t="inlineStr">
        <is>
          <t>auto_seed=world_bank_wdi; proxy=broad_private_credit_not_household_only; indicator=FD.AST.PRVT.GD.ZS; observation_year=2016; dataset_lastupdated=2026-02-24; stale=yes</t>
        </is>
      </c>
    </row>
    <row r="116">
      <c r="A116" t="inlineStr">
        <is>
          <t>Netherlands</t>
        </is>
      </c>
      <c r="B116" t="inlineStr">
        <is>
          <t>gdp_per_capita_ppp</t>
        </is>
      </c>
      <c r="C116" t="inlineStr">
        <is>
          <t>GDP per capita (PPP)</t>
        </is>
      </c>
      <c r="D116" t="inlineStr">
        <is>
          <t>creative</t>
        </is>
      </c>
      <c r="E116" t="inlineStr">
        <is>
          <t>yes</t>
        </is>
      </c>
      <c r="F116" t="inlineStr">
        <is>
          <t>86173.63</t>
        </is>
      </c>
      <c r="G116" t="inlineStr">
        <is>
          <t>world_bank</t>
        </is>
      </c>
      <c r="H116" t="inlineStr">
        <is>
          <t>https://api.worldbank.org/v2/country/NLD/indicator/NY.GDP.PCAP.PP.CD?format=json&amp;mrv=30</t>
        </is>
      </c>
      <c r="I116" t="inlineStr">
        <is>
          <t>World Bank WDI: GDP per capita, PPP (current international $)</t>
        </is>
      </c>
      <c r="J116" t="inlineStr">
        <is>
          <t>2024-12-31</t>
        </is>
      </c>
      <c r="K116" t="inlineStr">
        <is>
          <t>auto_seed=world_bank_wdi; indicator=NY.GDP.PCAP.PP.CD; observation_year=2024; dataset_lastupdated=2026-02-24; stale=no</t>
        </is>
      </c>
    </row>
    <row r="117">
      <c r="A117" t="inlineStr">
        <is>
          <t>Netherlands</t>
        </is>
      </c>
      <c r="B117" t="inlineStr">
        <is>
          <t>gdp_growth</t>
        </is>
      </c>
      <c r="C117" t="inlineStr">
        <is>
          <t>GDP growth</t>
        </is>
      </c>
      <c r="D117" t="inlineStr">
        <is>
          <t>creative</t>
        </is>
      </c>
      <c r="E117" t="inlineStr">
        <is>
          <t>yes</t>
        </is>
      </c>
      <c r="F117" t="inlineStr">
        <is>
          <t>1.081</t>
        </is>
      </c>
      <c r="G117" t="inlineStr">
        <is>
          <t>world_bank</t>
        </is>
      </c>
      <c r="H117" t="inlineStr">
        <is>
          <t>https://api.worldbank.org/v2/country/NLD/indicator/NY.GDP.MKTP.KD.ZG?format=json&amp;mrv=30</t>
        </is>
      </c>
      <c r="I117" t="inlineStr">
        <is>
          <t>World Bank WDI: GDP growth (annual %)</t>
        </is>
      </c>
      <c r="J117" t="inlineStr">
        <is>
          <t>2024-12-31</t>
        </is>
      </c>
      <c r="K117" t="inlineStr">
        <is>
          <t>auto_seed=world_bank_wdi; indicator=NY.GDP.MKTP.KD.ZG; observation_year=2024; dataset_lastupdated=2026-02-24; stale=no</t>
        </is>
      </c>
    </row>
    <row r="118">
      <c r="A118" t="inlineStr">
        <is>
          <t>Netherlands</t>
        </is>
      </c>
      <c r="B118" t="inlineStr">
        <is>
          <t>gini_coefficient</t>
        </is>
      </c>
      <c r="C118" t="inlineStr">
        <is>
          <t>Gini coefficient</t>
        </is>
      </c>
      <c r="D118" t="inlineStr">
        <is>
          <t>capability</t>
        </is>
      </c>
      <c r="E118" t="inlineStr">
        <is>
          <t>yes</t>
        </is>
      </c>
      <c r="F118" t="inlineStr">
        <is>
          <t>25.7</t>
        </is>
      </c>
      <c r="G118" t="inlineStr">
        <is>
          <t>world_bank</t>
        </is>
      </c>
      <c r="H118" t="inlineStr">
        <is>
          <t>https://api.worldbank.org/v2/country/NLD/indicator/SI.POV.GINI?format=json&amp;mrv=30</t>
        </is>
      </c>
      <c r="I118" t="inlineStr">
        <is>
          <t>World Bank WDI: Gini index</t>
        </is>
      </c>
      <c r="J118" t="inlineStr">
        <is>
          <t>2021-12-31</t>
        </is>
      </c>
      <c r="K118" t="inlineStr">
        <is>
          <t>auto_seed=world_bank_wdi; indicator=SI.POV.GINI; observation_year=2021; dataset_lastupdated=2026-02-24; stale=no</t>
        </is>
      </c>
    </row>
    <row r="119">
      <c r="A119" t="inlineStr">
        <is>
          <t>Netherlands</t>
        </is>
      </c>
      <c r="B119" t="inlineStr">
        <is>
          <t>ppp_private_consumption</t>
        </is>
      </c>
      <c r="C119" t="inlineStr">
        <is>
          <t>PPP private consumption factor</t>
        </is>
      </c>
      <c r="D119" t="inlineStr">
        <is>
          <t>pressure</t>
        </is>
      </c>
      <c r="E119" t="inlineStr">
        <is>
          <t>yes</t>
        </is>
      </c>
      <c r="F119" t="inlineStr">
        <is>
          <t>0.74195</t>
        </is>
      </c>
      <c r="G119" t="inlineStr">
        <is>
          <t>world_bank</t>
        </is>
      </c>
      <c r="H119" t="inlineStr">
        <is>
          <t>https://api.worldbank.org/v2/country/NLD/indicator/PA.NUS.PRVT.PP?format=json&amp;mrv=30</t>
        </is>
      </c>
      <c r="I119" t="inlineStr">
        <is>
          <t>World Bank WDI: PPP conversion factor, private consumption (LCU per international $)</t>
        </is>
      </c>
      <c r="J119" t="inlineStr">
        <is>
          <t>2024-12-31</t>
        </is>
      </c>
      <c r="K119" t="inlineStr">
        <is>
          <t>auto_seed=world_bank_wdi; indicator=PA.NUS.PRVT.PP; observation_year=2024; dataset_lastupdated=2026-02-24; stale=no</t>
        </is>
      </c>
    </row>
    <row r="120">
      <c r="A120" t="inlineStr">
        <is>
          <t>Netherlands</t>
        </is>
      </c>
      <c r="B120" t="inlineStr">
        <is>
          <t>tax_rate_assumption</t>
        </is>
      </c>
      <c r="C120" t="inlineStr">
        <is>
          <t>Tax rate assumption</t>
        </is>
      </c>
      <c r="D120" t="inlineStr">
        <is>
          <t>pressure</t>
        </is>
      </c>
      <c r="E120" t="inlineStr">
        <is>
          <t>yes</t>
        </is>
      </c>
      <c r="F120" t="inlineStr">
        <is>
          <t>0.25254</t>
        </is>
      </c>
      <c r="G120" t="inlineStr">
        <is>
          <t>world_bank</t>
        </is>
      </c>
      <c r="H120" t="inlineStr">
        <is>
          <t>https://api.worldbank.org/v2/country/NLD/indicator/GC.TAX.TOTL.GD.ZS?format=json&amp;mrv=30</t>
        </is>
      </c>
      <c r="I120" t="inlineStr">
        <is>
          <t>World Bank WDI: Tax revenue (% of GDP) used as interim country average tax-take proxy</t>
        </is>
      </c>
      <c r="J120" t="inlineStr">
        <is>
          <t>2023-12-31</t>
        </is>
      </c>
      <c r="K120" t="inlineStr">
        <is>
          <t>auto_seed=world_bank_wdi; proxy=country_average_tax_take_from_tax_revenue_share; indicator=GC.TAX.TOTL.GD.ZS; observation_year=2023; dataset_lastupdated=2026-02-24; stale=no</t>
        </is>
      </c>
    </row>
    <row r="121">
      <c r="A121" t="inlineStr">
        <is>
          <t>Netherlands</t>
        </is>
      </c>
      <c r="B121" t="inlineStr">
        <is>
          <t>household_debt_proxy</t>
        </is>
      </c>
      <c r="C121" t="inlineStr">
        <is>
          <t>Household debt proxy</t>
        </is>
      </c>
      <c r="D121" t="inlineStr">
        <is>
          <t>pressure</t>
        </is>
      </c>
      <c r="E121" t="inlineStr">
        <is>
          <t>yes</t>
        </is>
      </c>
      <c r="F121" t="inlineStr">
        <is>
          <t>82.3297</t>
        </is>
      </c>
      <c r="G121" t="inlineStr">
        <is>
          <t>world_bank</t>
        </is>
      </c>
      <c r="H121" t="inlineStr">
        <is>
          <t>https://api.worldbank.org/v2/country/NLD/indicator/FD.AST.PRVT.GD.ZS?format=json&amp;mrv=30</t>
        </is>
      </c>
      <c r="I121" t="inlineStr">
        <is>
          <t>World Bank WDI: Domestic credit to private sector by banks (% of GDP) used as interim leverage proxy</t>
        </is>
      </c>
      <c r="J121" t="inlineStr">
        <is>
          <t>2024-12-31</t>
        </is>
      </c>
      <c r="K121" t="inlineStr">
        <is>
          <t>auto_seed=world_bank_wdi; proxy=broad_private_credit_not_household_only; indicator=FD.AST.PRVT.GD.ZS; observation_year=2024; dataset_lastupdated=2026-02-24; stale=no</t>
        </is>
      </c>
    </row>
    <row r="122">
      <c r="A122" t="inlineStr">
        <is>
          <t>Denmark</t>
        </is>
      </c>
      <c r="B122" t="inlineStr">
        <is>
          <t>gdp_per_capita_ppp</t>
        </is>
      </c>
      <c r="C122" t="inlineStr">
        <is>
          <t>GDP per capita (PPP)</t>
        </is>
      </c>
      <c r="D122" t="inlineStr">
        <is>
          <t>creative</t>
        </is>
      </c>
      <c r="E122" t="inlineStr">
        <is>
          <t>yes</t>
        </is>
      </c>
      <c r="F122" t="inlineStr">
        <is>
          <t>81878.23</t>
        </is>
      </c>
      <c r="G122" t="inlineStr">
        <is>
          <t>world_bank</t>
        </is>
      </c>
      <c r="H122" t="inlineStr">
        <is>
          <t>https://api.worldbank.org/v2/country/DNK/indicator/NY.GDP.PCAP.PP.CD?format=json&amp;mrv=30</t>
        </is>
      </c>
      <c r="I122" t="inlineStr">
        <is>
          <t>World Bank WDI: GDP per capita, PPP (current international $)</t>
        </is>
      </c>
      <c r="J122" t="inlineStr">
        <is>
          <t>2024-12-31</t>
        </is>
      </c>
      <c r="K122" t="inlineStr">
        <is>
          <t>auto_seed=world_bank_wdi; indicator=NY.GDP.PCAP.PP.CD; observation_year=2024; dataset_lastupdated=2026-02-24; stale=no</t>
        </is>
      </c>
    </row>
    <row r="123">
      <c r="A123" t="inlineStr">
        <is>
          <t>Denmark</t>
        </is>
      </c>
      <c r="B123" t="inlineStr">
        <is>
          <t>gdp_growth</t>
        </is>
      </c>
      <c r="C123" t="inlineStr">
        <is>
          <t>GDP growth</t>
        </is>
      </c>
      <c r="D123" t="inlineStr">
        <is>
          <t>creative</t>
        </is>
      </c>
      <c r="E123" t="inlineStr">
        <is>
          <t>yes</t>
        </is>
      </c>
      <c r="F123" t="inlineStr">
        <is>
          <t>3.4778</t>
        </is>
      </c>
      <c r="G123" t="inlineStr">
        <is>
          <t>world_bank</t>
        </is>
      </c>
      <c r="H123" t="inlineStr">
        <is>
          <t>https://api.worldbank.org/v2/country/DNK/indicator/NY.GDP.MKTP.KD.ZG?format=json&amp;mrv=30</t>
        </is>
      </c>
      <c r="I123" t="inlineStr">
        <is>
          <t>World Bank WDI: GDP growth (annual %)</t>
        </is>
      </c>
      <c r="J123" t="inlineStr">
        <is>
          <t>2024-12-31</t>
        </is>
      </c>
      <c r="K123" t="inlineStr">
        <is>
          <t>auto_seed=world_bank_wdi; indicator=NY.GDP.MKTP.KD.ZG; observation_year=2024; dataset_lastupdated=2026-02-24; stale=no</t>
        </is>
      </c>
    </row>
    <row r="124">
      <c r="A124" t="inlineStr">
        <is>
          <t>Denmark</t>
        </is>
      </c>
      <c r="B124" t="inlineStr">
        <is>
          <t>gini_coefficient</t>
        </is>
      </c>
      <c r="C124" t="inlineStr">
        <is>
          <t>Gini coefficient</t>
        </is>
      </c>
      <c r="D124" t="inlineStr">
        <is>
          <t>capability</t>
        </is>
      </c>
      <c r="E124" t="inlineStr">
        <is>
          <t>yes</t>
        </is>
      </c>
      <c r="F124" t="inlineStr">
        <is>
          <t>29.9</t>
        </is>
      </c>
      <c r="G124" t="inlineStr">
        <is>
          <t>world_bank</t>
        </is>
      </c>
      <c r="H124" t="inlineStr">
        <is>
          <t>https://api.worldbank.org/v2/country/DNK/indicator/SI.POV.GINI?format=json&amp;mrv=30</t>
        </is>
      </c>
      <c r="I124" t="inlineStr">
        <is>
          <t>World Bank WDI: Gini index</t>
        </is>
      </c>
      <c r="J124" t="inlineStr">
        <is>
          <t>2023-12-31</t>
        </is>
      </c>
      <c r="K124" t="inlineStr">
        <is>
          <t>auto_seed=world_bank_wdi; indicator=SI.POV.GINI; observation_year=2023; dataset_lastupdated=2026-02-24; stale=no</t>
        </is>
      </c>
    </row>
    <row r="125">
      <c r="A125" t="inlineStr">
        <is>
          <t>Denmark</t>
        </is>
      </c>
      <c r="B125" t="inlineStr">
        <is>
          <t>ppp_private_consumption</t>
        </is>
      </c>
      <c r="C125" t="inlineStr">
        <is>
          <t>PPP private consumption factor</t>
        </is>
      </c>
      <c r="D125" t="inlineStr">
        <is>
          <t>pressure</t>
        </is>
      </c>
      <c r="E125" t="inlineStr">
        <is>
          <t>yes</t>
        </is>
      </c>
      <c r="F125" t="inlineStr">
        <is>
          <t>6.764411</t>
        </is>
      </c>
      <c r="G125" t="inlineStr">
        <is>
          <t>world_bank</t>
        </is>
      </c>
      <c r="H125" t="inlineStr">
        <is>
          <t>https://api.worldbank.org/v2/country/DNK/indicator/PA.NUS.PRVT.PP?format=json&amp;mrv=30</t>
        </is>
      </c>
      <c r="I125" t="inlineStr">
        <is>
          <t>World Bank WDI: PPP conversion factor, private consumption (LCU per international $)</t>
        </is>
      </c>
      <c r="J125" t="inlineStr">
        <is>
          <t>2024-12-31</t>
        </is>
      </c>
      <c r="K125" t="inlineStr">
        <is>
          <t>auto_seed=world_bank_wdi; indicator=PA.NUS.PRVT.PP; observation_year=2024; dataset_lastupdated=2026-02-24; stale=no</t>
        </is>
      </c>
    </row>
    <row r="126">
      <c r="A126" t="inlineStr">
        <is>
          <t>Denmark</t>
        </is>
      </c>
      <c r="B126" t="inlineStr">
        <is>
          <t>tax_rate_assumption</t>
        </is>
      </c>
      <c r="C126" t="inlineStr">
        <is>
          <t>Tax rate assumption</t>
        </is>
      </c>
      <c r="D126" t="inlineStr">
        <is>
          <t>pressure</t>
        </is>
      </c>
      <c r="E126" t="inlineStr">
        <is>
          <t>yes</t>
        </is>
      </c>
      <c r="F126" t="inlineStr">
        <is>
          <t>0.315935</t>
        </is>
      </c>
      <c r="G126" t="inlineStr">
        <is>
          <t>world_bank</t>
        </is>
      </c>
      <c r="H126" t="inlineStr">
        <is>
          <t>https://api.worldbank.org/v2/country/DNK/indicator/GC.TAX.TOTL.GD.ZS?format=json&amp;mrv=30</t>
        </is>
      </c>
      <c r="I126" t="inlineStr">
        <is>
          <t>World Bank WDI: Tax revenue (% of GDP) used as interim country average tax-take proxy</t>
        </is>
      </c>
      <c r="J126" t="inlineStr">
        <is>
          <t>2023-12-31</t>
        </is>
      </c>
      <c r="K126" t="inlineStr">
        <is>
          <t>auto_seed=world_bank_wdi; proxy=country_average_tax_take_from_tax_revenue_share; indicator=GC.TAX.TOTL.GD.ZS; observation_year=2023; dataset_lastupdated=2026-02-24; stale=no</t>
        </is>
      </c>
    </row>
    <row r="127">
      <c r="A127" t="inlineStr">
        <is>
          <t>Denmark</t>
        </is>
      </c>
      <c r="B127" t="inlineStr">
        <is>
          <t>household_debt_proxy</t>
        </is>
      </c>
      <c r="C127" t="inlineStr">
        <is>
          <t>Household debt proxy</t>
        </is>
      </c>
      <c r="D127" t="inlineStr">
        <is>
          <t>pressure</t>
        </is>
      </c>
      <c r="E127" t="inlineStr">
        <is>
          <t>yes</t>
        </is>
      </c>
      <c r="F127" t="inlineStr">
        <is>
          <t>144.0931</t>
        </is>
      </c>
      <c r="G127" t="inlineStr">
        <is>
          <t>world_bank</t>
        </is>
      </c>
      <c r="H127" t="inlineStr">
        <is>
          <t>https://api.worldbank.org/v2/country/DNK/indicator/FD.AST.PRVT.GD.ZS?format=json&amp;mrv=30</t>
        </is>
      </c>
      <c r="I127" t="inlineStr">
        <is>
          <t>World Bank WDI: Domestic credit to private sector by banks (% of GDP) used as interim leverage proxy</t>
        </is>
      </c>
      <c r="J127" t="inlineStr">
        <is>
          <t>2024-12-31</t>
        </is>
      </c>
      <c r="K127" t="inlineStr">
        <is>
          <t>auto_seed=world_bank_wdi; proxy=broad_private_credit_not_household_only; indicator=FD.AST.PRVT.GD.ZS; observation_year=2024; dataset_lastupdated=2026-02-24; stale=no</t>
        </is>
      </c>
    </row>
    <row r="128">
      <c r="A128" t="inlineStr">
        <is>
          <t>Italy</t>
        </is>
      </c>
      <c r="B128" t="inlineStr">
        <is>
          <t>gdp_per_capita_ppp</t>
        </is>
      </c>
      <c r="C128" t="inlineStr">
        <is>
          <t>GDP per capita (PPP)</t>
        </is>
      </c>
      <c r="D128" t="inlineStr">
        <is>
          <t>creative</t>
        </is>
      </c>
      <c r="E128" t="inlineStr">
        <is>
          <t>yes</t>
        </is>
      </c>
      <c r="F128" t="inlineStr">
        <is>
          <t>62014.27</t>
        </is>
      </c>
      <c r="G128" t="inlineStr">
        <is>
          <t>world_bank</t>
        </is>
      </c>
      <c r="H128" t="inlineStr">
        <is>
          <t>https://api.worldbank.org/v2/country/ITA/indicator/NY.GDP.PCAP.PP.CD?format=json&amp;mrv=30</t>
        </is>
      </c>
      <c r="I128" t="inlineStr">
        <is>
          <t>World Bank WDI: GDP per capita, PPP (current international $)</t>
        </is>
      </c>
      <c r="J128" t="inlineStr">
        <is>
          <t>2024-12-31</t>
        </is>
      </c>
      <c r="K128" t="inlineStr">
        <is>
          <t>auto_seed=world_bank_wdi; indicator=NY.GDP.PCAP.PP.CD; observation_year=2024; dataset_lastupdated=2026-02-24; stale=no</t>
        </is>
      </c>
    </row>
    <row r="129">
      <c r="A129" t="inlineStr">
        <is>
          <t>Italy</t>
        </is>
      </c>
      <c r="B129" t="inlineStr">
        <is>
          <t>gdp_growth</t>
        </is>
      </c>
      <c r="C129" t="inlineStr">
        <is>
          <t>GDP growth</t>
        </is>
      </c>
      <c r="D129" t="inlineStr">
        <is>
          <t>creative</t>
        </is>
      </c>
      <c r="E129" t="inlineStr">
        <is>
          <t>yes</t>
        </is>
      </c>
      <c r="F129" t="inlineStr">
        <is>
          <t>0.6927</t>
        </is>
      </c>
      <c r="G129" t="inlineStr">
        <is>
          <t>world_bank</t>
        </is>
      </c>
      <c r="H129" t="inlineStr">
        <is>
          <t>https://api.worldbank.org/v2/country/ITA/indicator/NY.GDP.MKTP.KD.ZG?format=json&amp;mrv=30</t>
        </is>
      </c>
      <c r="I129" t="inlineStr">
        <is>
          <t>World Bank WDI: GDP growth (annual %)</t>
        </is>
      </c>
      <c r="J129" t="inlineStr">
        <is>
          <t>2024-12-31</t>
        </is>
      </c>
      <c r="K129" t="inlineStr">
        <is>
          <t>auto_seed=world_bank_wdi; indicator=NY.GDP.MKTP.KD.ZG; observation_year=2024; dataset_lastupdated=2026-02-24; stale=no</t>
        </is>
      </c>
    </row>
    <row r="130">
      <c r="A130" t="inlineStr">
        <is>
          <t>Italy</t>
        </is>
      </c>
      <c r="B130" t="inlineStr">
        <is>
          <t>gini_coefficient</t>
        </is>
      </c>
      <c r="C130" t="inlineStr">
        <is>
          <t>Gini coefficient</t>
        </is>
      </c>
      <c r="D130" t="inlineStr">
        <is>
          <t>capability</t>
        </is>
      </c>
      <c r="E130" t="inlineStr">
        <is>
          <t>yes</t>
        </is>
      </c>
      <c r="F130" t="inlineStr">
        <is>
          <t>34.3</t>
        </is>
      </c>
      <c r="G130" t="inlineStr">
        <is>
          <t>world_bank</t>
        </is>
      </c>
      <c r="H130" t="inlineStr">
        <is>
          <t>https://api.worldbank.org/v2/country/ITA/indicator/SI.POV.GINI?format=json&amp;mrv=30</t>
        </is>
      </c>
      <c r="I130" t="inlineStr">
        <is>
          <t>World Bank WDI: Gini index</t>
        </is>
      </c>
      <c r="J130" t="inlineStr">
        <is>
          <t>2023-12-31</t>
        </is>
      </c>
      <c r="K130" t="inlineStr">
        <is>
          <t>auto_seed=world_bank_wdi; indicator=SI.POV.GINI; observation_year=2023; dataset_lastupdated=2026-02-24; stale=no</t>
        </is>
      </c>
    </row>
    <row r="131">
      <c r="A131" t="inlineStr">
        <is>
          <t>Italy</t>
        </is>
      </c>
      <c r="B131" t="inlineStr">
        <is>
          <t>ppp_private_consumption</t>
        </is>
      </c>
      <c r="C131" t="inlineStr">
        <is>
          <t>PPP private consumption factor</t>
        </is>
      </c>
      <c r="D131" t="inlineStr">
        <is>
          <t>pressure</t>
        </is>
      </c>
      <c r="E131" t="inlineStr">
        <is>
          <t>yes</t>
        </is>
      </c>
      <c r="F131" t="inlineStr">
        <is>
          <t>0.625157</t>
        </is>
      </c>
      <c r="G131" t="inlineStr">
        <is>
          <t>world_bank</t>
        </is>
      </c>
      <c r="H131" t="inlineStr">
        <is>
          <t>https://api.worldbank.org/v2/country/ITA/indicator/PA.NUS.PRVT.PP?format=json&amp;mrv=30</t>
        </is>
      </c>
      <c r="I131" t="inlineStr">
        <is>
          <t>World Bank WDI: PPP conversion factor, private consumption (LCU per international $)</t>
        </is>
      </c>
      <c r="J131" t="inlineStr">
        <is>
          <t>2024-12-31</t>
        </is>
      </c>
      <c r="K131" t="inlineStr">
        <is>
          <t>auto_seed=world_bank_wdi; indicator=PA.NUS.PRVT.PP; observation_year=2024; dataset_lastupdated=2026-02-24; stale=no</t>
        </is>
      </c>
    </row>
    <row r="132">
      <c r="A132" t="inlineStr">
        <is>
          <t>Italy</t>
        </is>
      </c>
      <c r="B132" t="inlineStr">
        <is>
          <t>tax_rate_assumption</t>
        </is>
      </c>
      <c r="C132" t="inlineStr">
        <is>
          <t>Tax rate assumption</t>
        </is>
      </c>
      <c r="D132" t="inlineStr">
        <is>
          <t>pressure</t>
        </is>
      </c>
      <c r="E132" t="inlineStr">
        <is>
          <t>yes</t>
        </is>
      </c>
      <c r="F132" t="inlineStr">
        <is>
          <t>0.24708</t>
        </is>
      </c>
      <c r="G132" t="inlineStr">
        <is>
          <t>world_bank</t>
        </is>
      </c>
      <c r="H132" t="inlineStr">
        <is>
          <t>https://api.worldbank.org/v2/country/ITA/indicator/GC.TAX.TOTL.GD.ZS?format=json&amp;mrv=30</t>
        </is>
      </c>
      <c r="I132" t="inlineStr">
        <is>
          <t>World Bank WDI: Tax revenue (% of GDP) used as interim country average tax-take proxy</t>
        </is>
      </c>
      <c r="J132" t="inlineStr">
        <is>
          <t>2023-12-31</t>
        </is>
      </c>
      <c r="K132" t="inlineStr">
        <is>
          <t>auto_seed=world_bank_wdi; proxy=country_average_tax_take_from_tax_revenue_share; indicator=GC.TAX.TOTL.GD.ZS; observation_year=2023; dataset_lastupdated=2026-02-24; stale=no</t>
        </is>
      </c>
    </row>
    <row r="133">
      <c r="A133" t="inlineStr">
        <is>
          <t>Italy</t>
        </is>
      </c>
      <c r="B133" t="inlineStr">
        <is>
          <t>household_debt_proxy</t>
        </is>
      </c>
      <c r="C133" t="inlineStr">
        <is>
          <t>Household debt proxy</t>
        </is>
      </c>
      <c r="D133" t="inlineStr">
        <is>
          <t>pressure</t>
        </is>
      </c>
      <c r="E133" t="inlineStr">
        <is>
          <t>yes</t>
        </is>
      </c>
      <c r="F133" t="inlineStr">
        <is>
          <t>59.3116</t>
        </is>
      </c>
      <c r="G133" t="inlineStr">
        <is>
          <t>world_bank</t>
        </is>
      </c>
      <c r="H133" t="inlineStr">
        <is>
          <t>https://api.worldbank.org/v2/country/ITA/indicator/FD.AST.PRVT.GD.ZS?format=json&amp;mrv=30</t>
        </is>
      </c>
      <c r="I133" t="inlineStr">
        <is>
          <t>World Bank WDI: Domestic credit to private sector by banks (% of GDP) used as interim leverage proxy</t>
        </is>
      </c>
      <c r="J133" t="inlineStr">
        <is>
          <t>2024-12-31</t>
        </is>
      </c>
      <c r="K133" t="inlineStr">
        <is>
          <t>auto_seed=world_bank_wdi; proxy=broad_private_credit_not_household_only; indicator=FD.AST.PRVT.GD.ZS; observation_year=2024; dataset_lastupdated=2026-02-24; stale=no</t>
        </is>
      </c>
    </row>
    <row r="134">
      <c r="A134" t="inlineStr">
        <is>
          <t>Portugal</t>
        </is>
      </c>
      <c r="B134" t="inlineStr">
        <is>
          <t>gdp_per_capita_ppp</t>
        </is>
      </c>
      <c r="C134" t="inlineStr">
        <is>
          <t>GDP per capita (PPP)</t>
        </is>
      </c>
      <c r="D134" t="inlineStr">
        <is>
          <t>creative</t>
        </is>
      </c>
      <c r="E134" t="inlineStr">
        <is>
          <t>yes</t>
        </is>
      </c>
      <c r="F134" t="inlineStr">
        <is>
          <t>51679.89</t>
        </is>
      </c>
      <c r="G134" t="inlineStr">
        <is>
          <t>world_bank</t>
        </is>
      </c>
      <c r="H134" t="inlineStr">
        <is>
          <t>https://api.worldbank.org/v2/country/PRT/indicator/NY.GDP.PCAP.PP.CD?format=json&amp;mrv=30</t>
        </is>
      </c>
      <c r="I134" t="inlineStr">
        <is>
          <t>World Bank WDI: GDP per capita, PPP (current international $)</t>
        </is>
      </c>
      <c r="J134" t="inlineStr">
        <is>
          <t>2024-12-31</t>
        </is>
      </c>
      <c r="K134" t="inlineStr">
        <is>
          <t>auto_seed=world_bank_wdi; indicator=NY.GDP.PCAP.PP.CD; observation_year=2024; dataset_lastupdated=2026-02-24; stale=no</t>
        </is>
      </c>
    </row>
    <row r="135">
      <c r="A135" t="inlineStr">
        <is>
          <t>Portugal</t>
        </is>
      </c>
      <c r="B135" t="inlineStr">
        <is>
          <t>gdp_growth</t>
        </is>
      </c>
      <c r="C135" t="inlineStr">
        <is>
          <t>GDP growth</t>
        </is>
      </c>
      <c r="D135" t="inlineStr">
        <is>
          <t>creative</t>
        </is>
      </c>
      <c r="E135" t="inlineStr">
        <is>
          <t>yes</t>
        </is>
      </c>
      <c r="F135" t="inlineStr">
        <is>
          <t>2.1397</t>
        </is>
      </c>
      <c r="G135" t="inlineStr">
        <is>
          <t>world_bank</t>
        </is>
      </c>
      <c r="H135" t="inlineStr">
        <is>
          <t>https://api.worldbank.org/v2/country/PRT/indicator/NY.GDP.MKTP.KD.ZG?format=json&amp;mrv=30</t>
        </is>
      </c>
      <c r="I135" t="inlineStr">
        <is>
          <t>World Bank WDI: GDP growth (annual %)</t>
        </is>
      </c>
      <c r="J135" t="inlineStr">
        <is>
          <t>2024-12-31</t>
        </is>
      </c>
      <c r="K135" t="inlineStr">
        <is>
          <t>auto_seed=world_bank_wdi; indicator=NY.GDP.MKTP.KD.ZG; observation_year=2024; dataset_lastupdated=2026-02-24; stale=no</t>
        </is>
      </c>
    </row>
    <row r="136">
      <c r="A136" t="inlineStr">
        <is>
          <t>Portugal</t>
        </is>
      </c>
      <c r="B136" t="inlineStr">
        <is>
          <t>gini_coefficient</t>
        </is>
      </c>
      <c r="C136" t="inlineStr">
        <is>
          <t>Gini coefficient</t>
        </is>
      </c>
      <c r="D136" t="inlineStr">
        <is>
          <t>capability</t>
        </is>
      </c>
      <c r="E136" t="inlineStr">
        <is>
          <t>yes</t>
        </is>
      </c>
      <c r="F136" t="inlineStr">
        <is>
          <t>33.9</t>
        </is>
      </c>
      <c r="G136" t="inlineStr">
        <is>
          <t>world_bank</t>
        </is>
      </c>
      <c r="H136" t="inlineStr">
        <is>
          <t>https://api.worldbank.org/v2/country/PRT/indicator/SI.POV.GINI?format=json&amp;mrv=30</t>
        </is>
      </c>
      <c r="I136" t="inlineStr">
        <is>
          <t>World Bank WDI: Gini index</t>
        </is>
      </c>
      <c r="J136" t="inlineStr">
        <is>
          <t>2023-12-31</t>
        </is>
      </c>
      <c r="K136" t="inlineStr">
        <is>
          <t>auto_seed=world_bank_wdi; indicator=SI.POV.GINI; observation_year=2023; dataset_lastupdated=2026-02-24; stale=no</t>
        </is>
      </c>
    </row>
    <row r="137">
      <c r="A137" t="inlineStr">
        <is>
          <t>Portugal</t>
        </is>
      </c>
      <c r="B137" t="inlineStr">
        <is>
          <t>ppp_private_consumption</t>
        </is>
      </c>
      <c r="C137" t="inlineStr">
        <is>
          <t>PPP private consumption factor</t>
        </is>
      </c>
      <c r="D137" t="inlineStr">
        <is>
          <t>pressure</t>
        </is>
      </c>
      <c r="E137" t="inlineStr">
        <is>
          <t>yes</t>
        </is>
      </c>
      <c r="F137" t="inlineStr">
        <is>
          <t>0.558749</t>
        </is>
      </c>
      <c r="G137" t="inlineStr">
        <is>
          <t>world_bank</t>
        </is>
      </c>
      <c r="H137" t="inlineStr">
        <is>
          <t>https://api.worldbank.org/v2/country/PRT/indicator/PA.NUS.PRVT.PP?format=json&amp;mrv=30</t>
        </is>
      </c>
      <c r="I137" t="inlineStr">
        <is>
          <t>World Bank WDI: PPP conversion factor, private consumption (LCU per international $)</t>
        </is>
      </c>
      <c r="J137" t="inlineStr">
        <is>
          <t>2024-12-31</t>
        </is>
      </c>
      <c r="K137" t="inlineStr">
        <is>
          <t>auto_seed=world_bank_wdi; indicator=PA.NUS.PRVT.PP; observation_year=2024; dataset_lastupdated=2026-02-24; stale=no</t>
        </is>
      </c>
    </row>
    <row r="138">
      <c r="A138" t="inlineStr">
        <is>
          <t>Portugal</t>
        </is>
      </c>
      <c r="B138" t="inlineStr">
        <is>
          <t>tax_rate_assumption</t>
        </is>
      </c>
      <c r="C138" t="inlineStr">
        <is>
          <t>Tax rate assumption</t>
        </is>
      </c>
      <c r="D138" t="inlineStr">
        <is>
          <t>pressure</t>
        </is>
      </c>
      <c r="E138" t="inlineStr">
        <is>
          <t>yes</t>
        </is>
      </c>
      <c r="F138" t="inlineStr">
        <is>
          <t>0.226188</t>
        </is>
      </c>
      <c r="G138" t="inlineStr">
        <is>
          <t>world_bank</t>
        </is>
      </c>
      <c r="H138" t="inlineStr">
        <is>
          <t>https://api.worldbank.org/v2/country/PRT/indicator/GC.TAX.TOTL.GD.ZS?format=json&amp;mrv=30</t>
        </is>
      </c>
      <c r="I138" t="inlineStr">
        <is>
          <t>World Bank WDI: Tax revenue (% of GDP) used as interim country average tax-take proxy</t>
        </is>
      </c>
      <c r="J138" t="inlineStr">
        <is>
          <t>2023-12-31</t>
        </is>
      </c>
      <c r="K138" t="inlineStr">
        <is>
          <t>auto_seed=world_bank_wdi; proxy=country_average_tax_take_from_tax_revenue_share; indicator=GC.TAX.TOTL.GD.ZS; observation_year=2023; dataset_lastupdated=2026-02-24; stale=no</t>
        </is>
      </c>
    </row>
    <row r="139">
      <c r="A139" t="inlineStr">
        <is>
          <t>Portugal</t>
        </is>
      </c>
      <c r="B139" t="inlineStr">
        <is>
          <t>household_debt_proxy</t>
        </is>
      </c>
      <c r="C139" t="inlineStr">
        <is>
          <t>Household debt proxy</t>
        </is>
      </c>
      <c r="D139" t="inlineStr">
        <is>
          <t>pressure</t>
        </is>
      </c>
      <c r="E139" t="inlineStr">
        <is>
          <t>yes</t>
        </is>
      </c>
      <c r="F139" t="inlineStr">
        <is>
          <t>77.1375</t>
        </is>
      </c>
      <c r="G139" t="inlineStr">
        <is>
          <t>world_bank</t>
        </is>
      </c>
      <c r="H139" t="inlineStr">
        <is>
          <t>https://api.worldbank.org/v2/country/PRT/indicator/FD.AST.PRVT.GD.ZS?format=json&amp;mrv=30</t>
        </is>
      </c>
      <c r="I139" t="inlineStr">
        <is>
          <t>World Bank WDI: Domestic credit to private sector by banks (% of GDP) used as interim leverage proxy</t>
        </is>
      </c>
      <c r="J139" t="inlineStr">
        <is>
          <t>2024-12-31</t>
        </is>
      </c>
      <c r="K139" t="inlineStr">
        <is>
          <t>auto_seed=world_bank_wdi; proxy=broad_private_credit_not_household_only; indicator=FD.AST.PRVT.GD.ZS; observation_year=2024; dataset_lastupdated=2026-02-24; stale=no</t>
        </is>
      </c>
    </row>
    <row r="140">
      <c r="A140" t="inlineStr">
        <is>
          <t>Estonia</t>
        </is>
      </c>
      <c r="B140" t="inlineStr">
        <is>
          <t>gdp_per_capita_ppp</t>
        </is>
      </c>
      <c r="C140" t="inlineStr">
        <is>
          <t>GDP per capita (PPP)</t>
        </is>
      </c>
      <c r="D140" t="inlineStr">
        <is>
          <t>creative</t>
        </is>
      </c>
      <c r="E140" t="inlineStr">
        <is>
          <t>yes</t>
        </is>
      </c>
      <c r="F140" t="inlineStr">
        <is>
          <t>49968.71</t>
        </is>
      </c>
      <c r="G140" t="inlineStr">
        <is>
          <t>world_bank</t>
        </is>
      </c>
      <c r="H140" t="inlineStr">
        <is>
          <t>https://api.worldbank.org/v2/country/EST/indicator/NY.GDP.PCAP.PP.CD?format=json&amp;mrv=30</t>
        </is>
      </c>
      <c r="I140" t="inlineStr">
        <is>
          <t>World Bank WDI: GDP per capita, PPP (current international $)</t>
        </is>
      </c>
      <c r="J140" t="inlineStr">
        <is>
          <t>2024-12-31</t>
        </is>
      </c>
      <c r="K140" t="inlineStr">
        <is>
          <t>auto_seed=world_bank_wdi; indicator=NY.GDP.PCAP.PP.CD; observation_year=2024; dataset_lastupdated=2026-02-24; stale=no</t>
        </is>
      </c>
    </row>
    <row r="141">
      <c r="A141" t="inlineStr">
        <is>
          <t>Estonia</t>
        </is>
      </c>
      <c r="B141" t="inlineStr">
        <is>
          <t>gdp_growth</t>
        </is>
      </c>
      <c r="C141" t="inlineStr">
        <is>
          <t>GDP growth</t>
        </is>
      </c>
      <c r="D141" t="inlineStr">
        <is>
          <t>creative</t>
        </is>
      </c>
      <c r="E141" t="inlineStr">
        <is>
          <t>yes</t>
        </is>
      </c>
      <c r="F141" t="inlineStr">
        <is>
          <t>-0.09</t>
        </is>
      </c>
      <c r="G141" t="inlineStr">
        <is>
          <t>world_bank</t>
        </is>
      </c>
      <c r="H141" t="inlineStr">
        <is>
          <t>https://api.worldbank.org/v2/country/EST/indicator/NY.GDP.MKTP.KD.ZG?format=json&amp;mrv=30</t>
        </is>
      </c>
      <c r="I141" t="inlineStr">
        <is>
          <t>World Bank WDI: GDP growth (annual %)</t>
        </is>
      </c>
      <c r="J141" t="inlineStr">
        <is>
          <t>2024-12-31</t>
        </is>
      </c>
      <c r="K141" t="inlineStr">
        <is>
          <t>auto_seed=world_bank_wdi; indicator=NY.GDP.MKTP.KD.ZG; observation_year=2024; dataset_lastupdated=2026-02-24; stale=no</t>
        </is>
      </c>
    </row>
    <row r="142">
      <c r="A142" t="inlineStr">
        <is>
          <t>Estonia</t>
        </is>
      </c>
      <c r="B142" t="inlineStr">
        <is>
          <t>gini_coefficient</t>
        </is>
      </c>
      <c r="C142" t="inlineStr">
        <is>
          <t>Gini coefficient</t>
        </is>
      </c>
      <c r="D142" t="inlineStr">
        <is>
          <t>capability</t>
        </is>
      </c>
      <c r="E142" t="inlineStr">
        <is>
          <t>yes</t>
        </is>
      </c>
      <c r="F142" t="inlineStr">
        <is>
          <t>30.7</t>
        </is>
      </c>
      <c r="G142" t="inlineStr">
        <is>
          <t>world_bank</t>
        </is>
      </c>
      <c r="H142" t="inlineStr">
        <is>
          <t>https://api.worldbank.org/v2/country/EST/indicator/SI.POV.GINI?format=json&amp;mrv=30</t>
        </is>
      </c>
      <c r="I142" t="inlineStr">
        <is>
          <t>World Bank WDI: Gini index</t>
        </is>
      </c>
      <c r="J142" t="inlineStr">
        <is>
          <t>2023-12-31</t>
        </is>
      </c>
      <c r="K142" t="inlineStr">
        <is>
          <t>auto_seed=world_bank_wdi; indicator=SI.POV.GINI; observation_year=2023; dataset_lastupdated=2026-02-24; stale=no</t>
        </is>
      </c>
    </row>
    <row r="143">
      <c r="A143" t="inlineStr">
        <is>
          <t>Estonia</t>
        </is>
      </c>
      <c r="B143" t="inlineStr">
        <is>
          <t>ppp_private_consumption</t>
        </is>
      </c>
      <c r="C143" t="inlineStr">
        <is>
          <t>PPP private consumption factor</t>
        </is>
      </c>
      <c r="D143" t="inlineStr">
        <is>
          <t>pressure</t>
        </is>
      </c>
      <c r="E143" t="inlineStr">
        <is>
          <t>yes</t>
        </is>
      </c>
      <c r="F143" t="inlineStr">
        <is>
          <t>0.646078</t>
        </is>
      </c>
      <c r="G143" t="inlineStr">
        <is>
          <t>world_bank</t>
        </is>
      </c>
      <c r="H143" t="inlineStr">
        <is>
          <t>https://api.worldbank.org/v2/country/EST/indicator/PA.NUS.PRVT.PP?format=json&amp;mrv=30</t>
        </is>
      </c>
      <c r="I143" t="inlineStr">
        <is>
          <t>World Bank WDI: PPP conversion factor, private consumption (LCU per international $)</t>
        </is>
      </c>
      <c r="J143" t="inlineStr">
        <is>
          <t>2024-12-31</t>
        </is>
      </c>
      <c r="K143" t="inlineStr">
        <is>
          <t>auto_seed=world_bank_wdi; indicator=PA.NUS.PRVT.PP; observation_year=2024; dataset_lastupdated=2026-02-24; stale=no</t>
        </is>
      </c>
    </row>
    <row r="144">
      <c r="A144" t="inlineStr">
        <is>
          <t>Estonia</t>
        </is>
      </c>
      <c r="B144" t="inlineStr">
        <is>
          <t>tax_rate_assumption</t>
        </is>
      </c>
      <c r="C144" t="inlineStr">
        <is>
          <t>Tax rate assumption</t>
        </is>
      </c>
      <c r="D144" t="inlineStr">
        <is>
          <t>pressure</t>
        </is>
      </c>
      <c r="E144" t="inlineStr">
        <is>
          <t>yes</t>
        </is>
      </c>
      <c r="F144" t="inlineStr">
        <is>
          <t>0.21329</t>
        </is>
      </c>
      <c r="G144" t="inlineStr">
        <is>
          <t>world_bank</t>
        </is>
      </c>
      <c r="H144" t="inlineStr">
        <is>
          <t>https://api.worldbank.org/v2/country/EST/indicator/GC.TAX.TOTL.GD.ZS?format=json&amp;mrv=30</t>
        </is>
      </c>
      <c r="I144" t="inlineStr">
        <is>
          <t>World Bank WDI: Tax revenue (% of GDP) used as interim country average tax-take proxy</t>
        </is>
      </c>
      <c r="J144" t="inlineStr">
        <is>
          <t>2023-12-31</t>
        </is>
      </c>
      <c r="K144" t="inlineStr">
        <is>
          <t>auto_seed=world_bank_wdi; proxy=country_average_tax_take_from_tax_revenue_share; indicator=GC.TAX.TOTL.GD.ZS; observation_year=2023; dataset_lastupdated=2026-02-24; stale=no</t>
        </is>
      </c>
    </row>
    <row r="145">
      <c r="A145" t="inlineStr">
        <is>
          <t>Estonia</t>
        </is>
      </c>
      <c r="B145" t="inlineStr">
        <is>
          <t>household_debt_proxy</t>
        </is>
      </c>
      <c r="C145" t="inlineStr">
        <is>
          <t>Household debt proxy</t>
        </is>
      </c>
      <c r="D145" t="inlineStr">
        <is>
          <t>pressure</t>
        </is>
      </c>
      <c r="E145" t="inlineStr">
        <is>
          <t>yes</t>
        </is>
      </c>
      <c r="F145" t="inlineStr">
        <is>
          <t>60.5329</t>
        </is>
      </c>
      <c r="G145" t="inlineStr">
        <is>
          <t>world_bank</t>
        </is>
      </c>
      <c r="H145" t="inlineStr">
        <is>
          <t>https://api.worldbank.org/v2/country/EST/indicator/FD.AST.PRVT.GD.ZS?format=json&amp;mrv=30</t>
        </is>
      </c>
      <c r="I145" t="inlineStr">
        <is>
          <t>World Bank WDI: Domestic credit to private sector by banks (% of GDP) used as interim leverage proxy</t>
        </is>
      </c>
      <c r="J145" t="inlineStr">
        <is>
          <t>2024-12-31</t>
        </is>
      </c>
      <c r="K145" t="inlineStr">
        <is>
          <t>auto_seed=world_bank_wdi; proxy=broad_private_credit_not_household_only; indicator=FD.AST.PRVT.GD.ZS; observation_year=2024; dataset_lastupdated=2026-02-24; stale=no</t>
        </is>
      </c>
    </row>
    <row r="146">
      <c r="A146" t="inlineStr">
        <is>
          <t>Finland</t>
        </is>
      </c>
      <c r="B146" t="inlineStr">
        <is>
          <t>gdp_per_capita_ppp</t>
        </is>
      </c>
      <c r="C146" t="inlineStr">
        <is>
          <t>GDP per capita (PPP)</t>
        </is>
      </c>
      <c r="D146" t="inlineStr">
        <is>
          <t>creative</t>
        </is>
      </c>
      <c r="E146" t="inlineStr">
        <is>
          <t>yes</t>
        </is>
      </c>
      <c r="F146" t="inlineStr">
        <is>
          <t>65378.38</t>
        </is>
      </c>
      <c r="G146" t="inlineStr">
        <is>
          <t>world_bank</t>
        </is>
      </c>
      <c r="H146" t="inlineStr">
        <is>
          <t>https://api.worldbank.org/v2/country/FIN/indicator/NY.GDP.PCAP.PP.CD?format=json&amp;mrv=30</t>
        </is>
      </c>
      <c r="I146" t="inlineStr">
        <is>
          <t>World Bank WDI: GDP per capita, PPP (current international $)</t>
        </is>
      </c>
      <c r="J146" t="inlineStr">
        <is>
          <t>2024-12-31</t>
        </is>
      </c>
      <c r="K146" t="inlineStr">
        <is>
          <t>auto_seed=world_bank_wdi; indicator=NY.GDP.PCAP.PP.CD; observation_year=2024; dataset_lastupdated=2026-02-24; stale=no</t>
        </is>
      </c>
    </row>
    <row r="147">
      <c r="A147" t="inlineStr">
        <is>
          <t>Finland</t>
        </is>
      </c>
      <c r="B147" t="inlineStr">
        <is>
          <t>gdp_growth</t>
        </is>
      </c>
      <c r="C147" t="inlineStr">
        <is>
          <t>GDP growth</t>
        </is>
      </c>
      <c r="D147" t="inlineStr">
        <is>
          <t>creative</t>
        </is>
      </c>
      <c r="E147" t="inlineStr">
        <is>
          <t>yes</t>
        </is>
      </c>
      <c r="F147" t="inlineStr">
        <is>
          <t>0.4162</t>
        </is>
      </c>
      <c r="G147" t="inlineStr">
        <is>
          <t>world_bank</t>
        </is>
      </c>
      <c r="H147" t="inlineStr">
        <is>
          <t>https://api.worldbank.org/v2/country/FIN/indicator/NY.GDP.MKTP.KD.ZG?format=json&amp;mrv=30</t>
        </is>
      </c>
      <c r="I147" t="inlineStr">
        <is>
          <t>World Bank WDI: GDP growth (annual %)</t>
        </is>
      </c>
      <c r="J147" t="inlineStr">
        <is>
          <t>2024-12-31</t>
        </is>
      </c>
      <c r="K147" t="inlineStr">
        <is>
          <t>auto_seed=world_bank_wdi; indicator=NY.GDP.MKTP.KD.ZG; observation_year=2024; dataset_lastupdated=2026-02-24; stale=no</t>
        </is>
      </c>
    </row>
    <row r="148">
      <c r="A148" t="inlineStr">
        <is>
          <t>Finland</t>
        </is>
      </c>
      <c r="B148" t="inlineStr">
        <is>
          <t>gini_coefficient</t>
        </is>
      </c>
      <c r="C148" t="inlineStr">
        <is>
          <t>Gini coefficient</t>
        </is>
      </c>
      <c r="D148" t="inlineStr">
        <is>
          <t>capability</t>
        </is>
      </c>
      <c r="E148" t="inlineStr">
        <is>
          <t>yes</t>
        </is>
      </c>
      <c r="F148" t="inlineStr">
        <is>
          <t>27.4</t>
        </is>
      </c>
      <c r="G148" t="inlineStr">
        <is>
          <t>world_bank</t>
        </is>
      </c>
      <c r="H148" t="inlineStr">
        <is>
          <t>https://api.worldbank.org/v2/country/FIN/indicator/SI.POV.GINI?format=json&amp;mrv=30</t>
        </is>
      </c>
      <c r="I148" t="inlineStr">
        <is>
          <t>World Bank WDI: Gini index</t>
        </is>
      </c>
      <c r="J148" t="inlineStr">
        <is>
          <t>2023-12-31</t>
        </is>
      </c>
      <c r="K148" t="inlineStr">
        <is>
          <t>auto_seed=world_bank_wdi; indicator=SI.POV.GINI; observation_year=2023; dataset_lastupdated=2026-02-24; stale=no</t>
        </is>
      </c>
    </row>
    <row r="149">
      <c r="A149" t="inlineStr">
        <is>
          <t>Finland</t>
        </is>
      </c>
      <c r="B149" t="inlineStr">
        <is>
          <t>ppp_private_consumption</t>
        </is>
      </c>
      <c r="C149" t="inlineStr">
        <is>
          <t>PPP private consumption factor</t>
        </is>
      </c>
      <c r="D149" t="inlineStr">
        <is>
          <t>pressure</t>
        </is>
      </c>
      <c r="E149" t="inlineStr">
        <is>
          <t>yes</t>
        </is>
      </c>
      <c r="F149" t="inlineStr">
        <is>
          <t>0.788236</t>
        </is>
      </c>
      <c r="G149" t="inlineStr">
        <is>
          <t>world_bank</t>
        </is>
      </c>
      <c r="H149" t="inlineStr">
        <is>
          <t>https://api.worldbank.org/v2/country/FIN/indicator/PA.NUS.PRVT.PP?format=json&amp;mrv=30</t>
        </is>
      </c>
      <c r="I149" t="inlineStr">
        <is>
          <t>World Bank WDI: PPP conversion factor, private consumption (LCU per international $)</t>
        </is>
      </c>
      <c r="J149" t="inlineStr">
        <is>
          <t>2024-12-31</t>
        </is>
      </c>
      <c r="K149" t="inlineStr">
        <is>
          <t>auto_seed=world_bank_wdi; indicator=PA.NUS.PRVT.PP; observation_year=2024; dataset_lastupdated=2026-02-24; stale=no</t>
        </is>
      </c>
    </row>
    <row r="150">
      <c r="A150" t="inlineStr">
        <is>
          <t>Finland</t>
        </is>
      </c>
      <c r="B150" t="inlineStr">
        <is>
          <t>tax_rate_assumption</t>
        </is>
      </c>
      <c r="C150" t="inlineStr">
        <is>
          <t>Tax rate assumption</t>
        </is>
      </c>
      <c r="D150" t="inlineStr">
        <is>
          <t>pressure</t>
        </is>
      </c>
      <c r="E150" t="inlineStr">
        <is>
          <t>yes</t>
        </is>
      </c>
      <c r="F150" t="inlineStr">
        <is>
          <t>0.253757</t>
        </is>
      </c>
      <c r="G150" t="inlineStr">
        <is>
          <t>world_bank</t>
        </is>
      </c>
      <c r="H150" t="inlineStr">
        <is>
          <t>https://api.worldbank.org/v2/country/FIN/indicator/GC.TAX.TOTL.GD.ZS?format=json&amp;mrv=30</t>
        </is>
      </c>
      <c r="I150" t="inlineStr">
        <is>
          <t>World Bank WDI: Tax revenue (% of GDP) used as interim country average tax-take proxy</t>
        </is>
      </c>
      <c r="J150" t="inlineStr">
        <is>
          <t>2023-12-31</t>
        </is>
      </c>
      <c r="K150" t="inlineStr">
        <is>
          <t>auto_seed=world_bank_wdi; proxy=country_average_tax_take_from_tax_revenue_share; indicator=GC.TAX.TOTL.GD.ZS; observation_year=2023; dataset_lastupdated=2026-02-24; stale=no</t>
        </is>
      </c>
    </row>
    <row r="151">
      <c r="A151" t="inlineStr">
        <is>
          <t>Finland</t>
        </is>
      </c>
      <c r="B151" t="inlineStr">
        <is>
          <t>household_debt_proxy</t>
        </is>
      </c>
      <c r="C151" t="inlineStr">
        <is>
          <t>Household debt proxy</t>
        </is>
      </c>
      <c r="D151" t="inlineStr">
        <is>
          <t>pressure</t>
        </is>
      </c>
      <c r="E151" t="inlineStr">
        <is>
          <t>yes</t>
        </is>
      </c>
      <c r="F151" t="inlineStr">
        <is>
          <t>90.8647</t>
        </is>
      </c>
      <c r="G151" t="inlineStr">
        <is>
          <t>world_bank</t>
        </is>
      </c>
      <c r="H151" t="inlineStr">
        <is>
          <t>https://api.worldbank.org/v2/country/FIN/indicator/FD.AST.PRVT.GD.ZS?format=json&amp;mrv=30</t>
        </is>
      </c>
      <c r="I151" t="inlineStr">
        <is>
          <t>World Bank WDI: Domestic credit to private sector by banks (% of GDP) used as interim leverage proxy</t>
        </is>
      </c>
      <c r="J151" t="inlineStr">
        <is>
          <t>2024-12-31</t>
        </is>
      </c>
      <c r="K151" t="inlineStr">
        <is>
          <t>auto_seed=world_bank_wdi; proxy=broad_private_credit_not_household_only; indicator=FD.AST.PRVT.GD.ZS; observation_year=2024; dataset_lastupdated=2026-02-24; stale=no</t>
        </is>
      </c>
    </row>
    <row r="152">
      <c r="A152" t="inlineStr">
        <is>
          <t>Russia</t>
        </is>
      </c>
      <c r="B152" t="inlineStr">
        <is>
          <t>gdp_per_capita_ppp</t>
        </is>
      </c>
      <c r="C152" t="inlineStr">
        <is>
          <t>GDP per capita (PPP)</t>
        </is>
      </c>
      <c r="D152" t="inlineStr">
        <is>
          <t>creative</t>
        </is>
      </c>
      <c r="E152" t="inlineStr">
        <is>
          <t>yes</t>
        </is>
      </c>
      <c r="F152" t="inlineStr">
        <is>
          <t>47404.96</t>
        </is>
      </c>
      <c r="G152" t="inlineStr">
        <is>
          <t>world_bank</t>
        </is>
      </c>
      <c r="H152" t="inlineStr">
        <is>
          <t>https://api.worldbank.org/v2/country/RUS/indicator/NY.GDP.PCAP.PP.CD?format=json&amp;mrv=30</t>
        </is>
      </c>
      <c r="I152" t="inlineStr">
        <is>
          <t>World Bank WDI: GDP per capita, PPP (current international $)</t>
        </is>
      </c>
      <c r="J152" t="inlineStr">
        <is>
          <t>2024-12-31</t>
        </is>
      </c>
      <c r="K152" t="inlineStr">
        <is>
          <t>auto_seed=world_bank_wdi; indicator=NY.GDP.PCAP.PP.CD; observation_year=2024; dataset_lastupdated=2026-02-24; stale=no</t>
        </is>
      </c>
    </row>
    <row r="153">
      <c r="A153" t="inlineStr">
        <is>
          <t>Russia</t>
        </is>
      </c>
      <c r="B153" t="inlineStr">
        <is>
          <t>gdp_growth</t>
        </is>
      </c>
      <c r="C153" t="inlineStr">
        <is>
          <t>GDP growth</t>
        </is>
      </c>
      <c r="D153" t="inlineStr">
        <is>
          <t>creative</t>
        </is>
      </c>
      <c r="E153" t="inlineStr">
        <is>
          <t>yes</t>
        </is>
      </c>
      <c r="F153" t="inlineStr">
        <is>
          <t>4.3444</t>
        </is>
      </c>
      <c r="G153" t="inlineStr">
        <is>
          <t>world_bank</t>
        </is>
      </c>
      <c r="H153" t="inlineStr">
        <is>
          <t>https://api.worldbank.org/v2/country/RUS/indicator/NY.GDP.MKTP.KD.ZG?format=json&amp;mrv=30</t>
        </is>
      </c>
      <c r="I153" t="inlineStr">
        <is>
          <t>World Bank WDI: GDP growth (annual %)</t>
        </is>
      </c>
      <c r="J153" t="inlineStr">
        <is>
          <t>2024-12-31</t>
        </is>
      </c>
      <c r="K153" t="inlineStr">
        <is>
          <t>auto_seed=world_bank_wdi; indicator=NY.GDP.MKTP.KD.ZG; observation_year=2024; dataset_lastupdated=2026-02-24; stale=no</t>
        </is>
      </c>
    </row>
    <row r="154">
      <c r="A154" t="inlineStr">
        <is>
          <t>Russia</t>
        </is>
      </c>
      <c r="B154" t="inlineStr">
        <is>
          <t>gini_coefficient</t>
        </is>
      </c>
      <c r="C154" t="inlineStr">
        <is>
          <t>Gini coefficient</t>
        </is>
      </c>
      <c r="D154" t="inlineStr">
        <is>
          <t>capability</t>
        </is>
      </c>
      <c r="E154" t="inlineStr">
        <is>
          <t>yes</t>
        </is>
      </c>
      <c r="F154" t="inlineStr">
        <is>
          <t>33</t>
        </is>
      </c>
      <c r="G154" t="inlineStr">
        <is>
          <t>world_bank</t>
        </is>
      </c>
      <c r="H154" t="inlineStr">
        <is>
          <t>https://api.worldbank.org/v2/country/RUS/indicator/SI.POV.GINI?format=json&amp;mrv=30</t>
        </is>
      </c>
      <c r="I154" t="inlineStr">
        <is>
          <t>World Bank WDI: Gini index</t>
        </is>
      </c>
      <c r="J154" t="inlineStr">
        <is>
          <t>2023-12-31</t>
        </is>
      </c>
      <c r="K154" t="inlineStr">
        <is>
          <t>auto_seed=world_bank_wdi; indicator=SI.POV.GINI; observation_year=2023; dataset_lastupdated=2026-02-24; stale=no</t>
        </is>
      </c>
    </row>
    <row r="155">
      <c r="A155" t="inlineStr">
        <is>
          <t>Russia</t>
        </is>
      </c>
      <c r="B155" t="inlineStr">
        <is>
          <t>ppp_private_consumption</t>
        </is>
      </c>
      <c r="C155" t="inlineStr">
        <is>
          <t>PPP private consumption factor</t>
        </is>
      </c>
      <c r="D155" t="inlineStr">
        <is>
          <t>pressure</t>
        </is>
      </c>
      <c r="E155" t="inlineStr">
        <is>
          <t>yes</t>
        </is>
      </c>
      <c r="F155" t="inlineStr">
        <is>
          <t>29.049846</t>
        </is>
      </c>
      <c r="G155" t="inlineStr">
        <is>
          <t>world_bank</t>
        </is>
      </c>
      <c r="H155" t="inlineStr">
        <is>
          <t>https://api.worldbank.org/v2/country/RUS/indicator/PA.NUS.PRVT.PP?format=json&amp;mrv=30</t>
        </is>
      </c>
      <c r="I155" t="inlineStr">
        <is>
          <t>World Bank WDI: PPP conversion factor, private consumption (LCU per international $)</t>
        </is>
      </c>
      <c r="J155" t="inlineStr">
        <is>
          <t>2024-12-31</t>
        </is>
      </c>
      <c r="K155" t="inlineStr">
        <is>
          <t>auto_seed=world_bank_wdi; indicator=PA.NUS.PRVT.PP; observation_year=2024; dataset_lastupdated=2026-02-24; stale=no</t>
        </is>
      </c>
    </row>
    <row r="156">
      <c r="A156" t="inlineStr">
        <is>
          <t>Russia</t>
        </is>
      </c>
      <c r="B156" t="inlineStr">
        <is>
          <t>tax_rate_assumption</t>
        </is>
      </c>
      <c r="C156" t="inlineStr">
        <is>
          <t>Tax rate assumption</t>
        </is>
      </c>
      <c r="D156" t="inlineStr">
        <is>
          <t>pressure</t>
        </is>
      </c>
      <c r="E156" t="inlineStr">
        <is>
          <t>yes</t>
        </is>
      </c>
      <c r="F156" t="inlineStr">
        <is>
          <t>0.120728</t>
        </is>
      </c>
      <c r="G156" t="inlineStr">
        <is>
          <t>world_bank</t>
        </is>
      </c>
      <c r="H156" t="inlineStr">
        <is>
          <t>https://api.worldbank.org/v2/country/RUS/indicator/GC.TAX.TOTL.GD.ZS?format=json&amp;mrv=30</t>
        </is>
      </c>
      <c r="I156" t="inlineStr">
        <is>
          <t>World Bank WDI: Tax revenue (% of GDP) used as interim country average tax-take proxy</t>
        </is>
      </c>
      <c r="J156" t="inlineStr">
        <is>
          <t>2023-12-31</t>
        </is>
      </c>
      <c r="K156" t="inlineStr">
        <is>
          <t>auto_seed=world_bank_wdi; proxy=country_average_tax_take_from_tax_revenue_share; indicator=GC.TAX.TOTL.GD.ZS; observation_year=2023; dataset_lastupdated=2026-02-24; stale=no</t>
        </is>
      </c>
    </row>
    <row r="157">
      <c r="A157" t="inlineStr">
        <is>
          <t>Russia</t>
        </is>
      </c>
      <c r="B157" t="inlineStr">
        <is>
          <t>household_debt_proxy</t>
        </is>
      </c>
      <c r="C157" t="inlineStr">
        <is>
          <t>Household debt proxy</t>
        </is>
      </c>
      <c r="D157" t="inlineStr">
        <is>
          <t>pressure</t>
        </is>
      </c>
      <c r="E157" t="inlineStr">
        <is>
          <t>yes</t>
        </is>
      </c>
      <c r="F157" t="inlineStr">
        <is>
          <t>54.6413</t>
        </is>
      </c>
      <c r="G157" t="inlineStr">
        <is>
          <t>world_bank</t>
        </is>
      </c>
      <c r="H157" t="inlineStr">
        <is>
          <t>https://api.worldbank.org/v2/country/RUS/indicator/FD.AST.PRVT.GD.ZS?format=json&amp;mrv=30</t>
        </is>
      </c>
      <c r="I157" t="inlineStr">
        <is>
          <t>World Bank WDI: Domestic credit to private sector by banks (% of GDP) used as interim leverage proxy</t>
        </is>
      </c>
      <c r="J157" t="inlineStr">
        <is>
          <t>2021-12-31</t>
        </is>
      </c>
      <c r="K157" t="inlineStr">
        <is>
          <t>auto_seed=world_bank_wdi; proxy=broad_private_credit_not_household_only; indicator=FD.AST.PRVT.GD.ZS; observation_year=2021; dataset_lastupdated=2026-02-24; stale=no</t>
        </is>
      </c>
    </row>
    <row r="158">
      <c r="A158" t="inlineStr">
        <is>
          <t>Hungary</t>
        </is>
      </c>
      <c r="B158" t="inlineStr">
        <is>
          <t>gdp_per_capita_ppp</t>
        </is>
      </c>
      <c r="C158" t="inlineStr">
        <is>
          <t>GDP per capita (PPP)</t>
        </is>
      </c>
      <c r="D158" t="inlineStr">
        <is>
          <t>creative</t>
        </is>
      </c>
      <c r="E158" t="inlineStr">
        <is>
          <t>yes</t>
        </is>
      </c>
      <c r="F158" t="inlineStr">
        <is>
          <t>48552.47</t>
        </is>
      </c>
      <c r="G158" t="inlineStr">
        <is>
          <t>world_bank</t>
        </is>
      </c>
      <c r="H158" t="inlineStr">
        <is>
          <t>https://api.worldbank.org/v2/country/HUN/indicator/NY.GDP.PCAP.PP.CD?format=json&amp;mrv=30</t>
        </is>
      </c>
      <c r="I158" t="inlineStr">
        <is>
          <t>World Bank WDI: GDP per capita, PPP (current international $)</t>
        </is>
      </c>
      <c r="J158" t="inlineStr">
        <is>
          <t>2024-12-31</t>
        </is>
      </c>
      <c r="K158" t="inlineStr">
        <is>
          <t>auto_seed=world_bank_wdi; indicator=NY.GDP.PCAP.PP.CD; observation_year=2024; dataset_lastupdated=2026-02-24; stale=no</t>
        </is>
      </c>
    </row>
    <row r="159">
      <c r="A159" t="inlineStr">
        <is>
          <t>Hungary</t>
        </is>
      </c>
      <c r="B159" t="inlineStr">
        <is>
          <t>gdp_growth</t>
        </is>
      </c>
      <c r="C159" t="inlineStr">
        <is>
          <t>GDP growth</t>
        </is>
      </c>
      <c r="D159" t="inlineStr">
        <is>
          <t>creative</t>
        </is>
      </c>
      <c r="E159" t="inlineStr">
        <is>
          <t>yes</t>
        </is>
      </c>
      <c r="F159" t="inlineStr">
        <is>
          <t>0.5601</t>
        </is>
      </c>
      <c r="G159" t="inlineStr">
        <is>
          <t>world_bank</t>
        </is>
      </c>
      <c r="H159" t="inlineStr">
        <is>
          <t>https://api.worldbank.org/v2/country/HUN/indicator/NY.GDP.MKTP.KD.ZG?format=json&amp;mrv=30</t>
        </is>
      </c>
      <c r="I159" t="inlineStr">
        <is>
          <t>World Bank WDI: GDP growth (annual %)</t>
        </is>
      </c>
      <c r="J159" t="inlineStr">
        <is>
          <t>2024-12-31</t>
        </is>
      </c>
      <c r="K159" t="inlineStr">
        <is>
          <t>auto_seed=world_bank_wdi; indicator=NY.GDP.MKTP.KD.ZG; observation_year=2024; dataset_lastupdated=2026-02-24; stale=no</t>
        </is>
      </c>
    </row>
    <row r="160">
      <c r="A160" t="inlineStr">
        <is>
          <t>Hungary</t>
        </is>
      </c>
      <c r="B160" t="inlineStr">
        <is>
          <t>gini_coefficient</t>
        </is>
      </c>
      <c r="C160" t="inlineStr">
        <is>
          <t>Gini coefficient</t>
        </is>
      </c>
      <c r="D160" t="inlineStr">
        <is>
          <t>capability</t>
        </is>
      </c>
      <c r="E160" t="inlineStr">
        <is>
          <t>yes</t>
        </is>
      </c>
      <c r="F160" t="inlineStr">
        <is>
          <t>30.6</t>
        </is>
      </c>
      <c r="G160" t="inlineStr">
        <is>
          <t>world_bank</t>
        </is>
      </c>
      <c r="H160" t="inlineStr">
        <is>
          <t>https://api.worldbank.org/v2/country/HUN/indicator/SI.POV.GINI?format=json&amp;mrv=30</t>
        </is>
      </c>
      <c r="I160" t="inlineStr">
        <is>
          <t>World Bank WDI: Gini index</t>
        </is>
      </c>
      <c r="J160" t="inlineStr">
        <is>
          <t>2017-12-31</t>
        </is>
      </c>
      <c r="K160" t="inlineStr">
        <is>
          <t>auto_seed=world_bank_wdi; indicator=SI.POV.GINI; observation_year=2017; dataset_lastupdated=2026-02-24; stale=yes</t>
        </is>
      </c>
    </row>
    <row r="161">
      <c r="A161" t="inlineStr">
        <is>
          <t>Hungary</t>
        </is>
      </c>
      <c r="B161" t="inlineStr">
        <is>
          <t>ppp_private_consumption</t>
        </is>
      </c>
      <c r="C161" t="inlineStr">
        <is>
          <t>PPP private consumption factor</t>
        </is>
      </c>
      <c r="D161" t="inlineStr">
        <is>
          <t>pressure</t>
        </is>
      </c>
      <c r="E161" t="inlineStr">
        <is>
          <t>yes</t>
        </is>
      </c>
      <c r="F161" t="inlineStr">
        <is>
          <t>189.314181</t>
        </is>
      </c>
      <c r="G161" t="inlineStr">
        <is>
          <t>world_bank</t>
        </is>
      </c>
      <c r="H161" t="inlineStr">
        <is>
          <t>https://api.worldbank.org/v2/country/HUN/indicator/PA.NUS.PRVT.PP?format=json&amp;mrv=30</t>
        </is>
      </c>
      <c r="I161" t="inlineStr">
        <is>
          <t>World Bank WDI: PPP conversion factor, private consumption (LCU per international $)</t>
        </is>
      </c>
      <c r="J161" t="inlineStr">
        <is>
          <t>2024-12-31</t>
        </is>
      </c>
      <c r="K161" t="inlineStr">
        <is>
          <t>auto_seed=world_bank_wdi; indicator=PA.NUS.PRVT.PP; observation_year=2024; dataset_lastupdated=2026-02-24; stale=no</t>
        </is>
      </c>
    </row>
    <row r="162">
      <c r="A162" t="inlineStr">
        <is>
          <t>Hungary</t>
        </is>
      </c>
      <c r="B162" t="inlineStr">
        <is>
          <t>tax_rate_assumption</t>
        </is>
      </c>
      <c r="C162" t="inlineStr">
        <is>
          <t>Tax rate assumption</t>
        </is>
      </c>
      <c r="D162" t="inlineStr">
        <is>
          <t>pressure</t>
        </is>
      </c>
      <c r="E162" t="inlineStr">
        <is>
          <t>yes</t>
        </is>
      </c>
      <c r="F162" t="inlineStr">
        <is>
          <t>0.234286</t>
        </is>
      </c>
      <c r="G162" t="inlineStr">
        <is>
          <t>world_bank</t>
        </is>
      </c>
      <c r="H162" t="inlineStr">
        <is>
          <t>https://api.worldbank.org/v2/country/HUN/indicator/GC.TAX.TOTL.GD.ZS?format=json&amp;mrv=30</t>
        </is>
      </c>
      <c r="I162" t="inlineStr">
        <is>
          <t>World Bank WDI: Tax revenue (% of GDP) used as interim country average tax-take proxy</t>
        </is>
      </c>
      <c r="J162" t="inlineStr">
        <is>
          <t>2022-12-31</t>
        </is>
      </c>
      <c r="K162" t="inlineStr">
        <is>
          <t>auto_seed=world_bank_wdi; proxy=country_average_tax_take_from_tax_revenue_share; indicator=GC.TAX.TOTL.GD.ZS; observation_year=2022; dataset_lastupdated=2026-02-24; stale=no</t>
        </is>
      </c>
    </row>
    <row r="163">
      <c r="A163" t="inlineStr">
        <is>
          <t>Hungary</t>
        </is>
      </c>
      <c r="B163" t="inlineStr">
        <is>
          <t>household_debt_proxy</t>
        </is>
      </c>
      <c r="C163" t="inlineStr">
        <is>
          <t>Household debt proxy</t>
        </is>
      </c>
      <c r="D163" t="inlineStr">
        <is>
          <t>pressure</t>
        </is>
      </c>
      <c r="E163" t="inlineStr">
        <is>
          <t>yes</t>
        </is>
      </c>
      <c r="F163" t="inlineStr">
        <is>
          <t>32.1191</t>
        </is>
      </c>
      <c r="G163" t="inlineStr">
        <is>
          <t>world_bank</t>
        </is>
      </c>
      <c r="H163" t="inlineStr">
        <is>
          <t>https://api.worldbank.org/v2/country/HUN/indicator/FD.AST.PRVT.GD.ZS?format=json&amp;mrv=30</t>
        </is>
      </c>
      <c r="I163" t="inlineStr">
        <is>
          <t>World Bank WDI: Domestic credit to private sector by banks (% of GDP) used as interim leverage proxy</t>
        </is>
      </c>
      <c r="J163" t="inlineStr">
        <is>
          <t>2024-12-31</t>
        </is>
      </c>
      <c r="K163" t="inlineStr">
        <is>
          <t>auto_seed=world_bank_wdi; proxy=broad_private_credit_not_household_only; indicator=FD.AST.PRVT.GD.ZS; observation_year=2024; dataset_lastupdated=2026-02-24; stale=no</t>
        </is>
      </c>
    </row>
    <row r="164">
      <c r="A164" t="inlineStr">
        <is>
          <t>Poland</t>
        </is>
      </c>
      <c r="B164" t="inlineStr">
        <is>
          <t>gdp_per_capita_ppp</t>
        </is>
      </c>
      <c r="C164" t="inlineStr">
        <is>
          <t>GDP per capita (PPP)</t>
        </is>
      </c>
      <c r="D164" t="inlineStr">
        <is>
          <t>creative</t>
        </is>
      </c>
      <c r="E164" t="inlineStr">
        <is>
          <t>yes</t>
        </is>
      </c>
      <c r="F164" t="inlineStr">
        <is>
          <t>51262.51</t>
        </is>
      </c>
      <c r="G164" t="inlineStr">
        <is>
          <t>world_bank</t>
        </is>
      </c>
      <c r="H164" t="inlineStr">
        <is>
          <t>https://api.worldbank.org/v2/country/POL/indicator/NY.GDP.PCAP.PP.CD?format=json&amp;mrv=30</t>
        </is>
      </c>
      <c r="I164" t="inlineStr">
        <is>
          <t>World Bank WDI: GDP per capita, PPP (current international $)</t>
        </is>
      </c>
      <c r="J164" t="inlineStr">
        <is>
          <t>2024-12-31</t>
        </is>
      </c>
      <c r="K164" t="inlineStr">
        <is>
          <t>auto_seed=world_bank_wdi; indicator=NY.GDP.PCAP.PP.CD; observation_year=2024; dataset_lastupdated=2026-02-24; stale=no</t>
        </is>
      </c>
    </row>
    <row r="165">
      <c r="A165" t="inlineStr">
        <is>
          <t>Poland</t>
        </is>
      </c>
      <c r="B165" t="inlineStr">
        <is>
          <t>gdp_growth</t>
        </is>
      </c>
      <c r="C165" t="inlineStr">
        <is>
          <t>GDP growth</t>
        </is>
      </c>
      <c r="D165" t="inlineStr">
        <is>
          <t>creative</t>
        </is>
      </c>
      <c r="E165" t="inlineStr">
        <is>
          <t>yes</t>
        </is>
      </c>
      <c r="F165" t="inlineStr">
        <is>
          <t>3.0284</t>
        </is>
      </c>
      <c r="G165" t="inlineStr">
        <is>
          <t>world_bank</t>
        </is>
      </c>
      <c r="H165" t="inlineStr">
        <is>
          <t>https://api.worldbank.org/v2/country/POL/indicator/NY.GDP.MKTP.KD.ZG?format=json&amp;mrv=30</t>
        </is>
      </c>
      <c r="I165" t="inlineStr">
        <is>
          <t>World Bank WDI: GDP growth (annual %)</t>
        </is>
      </c>
      <c r="J165" t="inlineStr">
        <is>
          <t>2024-12-31</t>
        </is>
      </c>
      <c r="K165" t="inlineStr">
        <is>
          <t>auto_seed=world_bank_wdi; indicator=NY.GDP.MKTP.KD.ZG; observation_year=2024; dataset_lastupdated=2026-02-24; stale=no</t>
        </is>
      </c>
    </row>
    <row r="166">
      <c r="A166" t="inlineStr">
        <is>
          <t>Poland</t>
        </is>
      </c>
      <c r="B166" t="inlineStr">
        <is>
          <t>gini_coefficient</t>
        </is>
      </c>
      <c r="C166" t="inlineStr">
        <is>
          <t>Gini coefficient</t>
        </is>
      </c>
      <c r="D166" t="inlineStr">
        <is>
          <t>capability</t>
        </is>
      </c>
      <c r="E166" t="inlineStr">
        <is>
          <t>yes</t>
        </is>
      </c>
      <c r="F166" t="inlineStr">
        <is>
          <t>28.5</t>
        </is>
      </c>
      <c r="G166" t="inlineStr">
        <is>
          <t>world_bank</t>
        </is>
      </c>
      <c r="H166" t="inlineStr">
        <is>
          <t>https://api.worldbank.org/v2/country/POL/indicator/SI.POV.GINI?format=json&amp;mrv=30</t>
        </is>
      </c>
      <c r="I166" t="inlineStr">
        <is>
          <t>World Bank WDI: Gini index</t>
        </is>
      </c>
      <c r="J166" t="inlineStr">
        <is>
          <t>2023-12-31</t>
        </is>
      </c>
      <c r="K166" t="inlineStr">
        <is>
          <t>auto_seed=world_bank_wdi; indicator=SI.POV.GINI; observation_year=2023; dataset_lastupdated=2026-02-24; stale=no</t>
        </is>
      </c>
    </row>
    <row r="167">
      <c r="A167" t="inlineStr">
        <is>
          <t>Poland</t>
        </is>
      </c>
      <c r="B167" t="inlineStr">
        <is>
          <t>ppp_private_consumption</t>
        </is>
      </c>
      <c r="C167" t="inlineStr">
        <is>
          <t>PPP private consumption factor</t>
        </is>
      </c>
      <c r="D167" t="inlineStr">
        <is>
          <t>pressure</t>
        </is>
      </c>
      <c r="E167" t="inlineStr">
        <is>
          <t>yes</t>
        </is>
      </c>
      <c r="F167" t="inlineStr">
        <is>
          <t>2.008043</t>
        </is>
      </c>
      <c r="G167" t="inlineStr">
        <is>
          <t>world_bank</t>
        </is>
      </c>
      <c r="H167" t="inlineStr">
        <is>
          <t>https://api.worldbank.org/v2/country/POL/indicator/PA.NUS.PRVT.PP?format=json&amp;mrv=30</t>
        </is>
      </c>
      <c r="I167" t="inlineStr">
        <is>
          <t>World Bank WDI: PPP conversion factor, private consumption (LCU per international $)</t>
        </is>
      </c>
      <c r="J167" t="inlineStr">
        <is>
          <t>2024-12-31</t>
        </is>
      </c>
      <c r="K167" t="inlineStr">
        <is>
          <t>auto_seed=world_bank_wdi; indicator=PA.NUS.PRVT.PP; observation_year=2024; dataset_lastupdated=2026-02-24; stale=no</t>
        </is>
      </c>
    </row>
    <row r="168">
      <c r="A168" t="inlineStr">
        <is>
          <t>Poland</t>
        </is>
      </c>
      <c r="B168" t="inlineStr">
        <is>
          <t>tax_rate_assumption</t>
        </is>
      </c>
      <c r="C168" t="inlineStr">
        <is>
          <t>Tax rate assumption</t>
        </is>
      </c>
      <c r="D168" t="inlineStr">
        <is>
          <t>pressure</t>
        </is>
      </c>
      <c r="E168" t="inlineStr">
        <is>
          <t>yes</t>
        </is>
      </c>
      <c r="F168" t="inlineStr">
        <is>
          <t>0.179988</t>
        </is>
      </c>
      <c r="G168" t="inlineStr">
        <is>
          <t>world_bank</t>
        </is>
      </c>
      <c r="H168" t="inlineStr">
        <is>
          <t>https://api.worldbank.org/v2/country/POL/indicator/GC.TAX.TOTL.GD.ZS?format=json&amp;mrv=30</t>
        </is>
      </c>
      <c r="I168" t="inlineStr">
        <is>
          <t>World Bank WDI: Tax revenue (% of GDP) used as interim country average tax-take proxy</t>
        </is>
      </c>
      <c r="J168" t="inlineStr">
        <is>
          <t>2023-12-31</t>
        </is>
      </c>
      <c r="K168" t="inlineStr">
        <is>
          <t>auto_seed=world_bank_wdi; proxy=country_average_tax_take_from_tax_revenue_share; indicator=GC.TAX.TOTL.GD.ZS; observation_year=2023; dataset_lastupdated=2026-02-24; stale=no</t>
        </is>
      </c>
    </row>
    <row r="169">
      <c r="A169" t="inlineStr">
        <is>
          <t>Poland</t>
        </is>
      </c>
      <c r="B169" t="inlineStr">
        <is>
          <t>household_debt_proxy</t>
        </is>
      </c>
      <c r="C169" t="inlineStr">
        <is>
          <t>Household debt proxy</t>
        </is>
      </c>
      <c r="D169" t="inlineStr">
        <is>
          <t>pressure</t>
        </is>
      </c>
      <c r="E169" t="inlineStr">
        <is>
          <t>yes</t>
        </is>
      </c>
      <c r="F169" t="inlineStr">
        <is>
          <t>33.5851</t>
        </is>
      </c>
      <c r="G169" t="inlineStr">
        <is>
          <t>world_bank</t>
        </is>
      </c>
      <c r="H169" t="inlineStr">
        <is>
          <t>https://api.worldbank.org/v2/country/POL/indicator/FD.AST.PRVT.GD.ZS?format=json&amp;mrv=30</t>
        </is>
      </c>
      <c r="I169" t="inlineStr">
        <is>
          <t>World Bank WDI: Domestic credit to private sector by banks (% of GDP) used as interim leverage proxy</t>
        </is>
      </c>
      <c r="J169" t="inlineStr">
        <is>
          <t>2024-12-31</t>
        </is>
      </c>
      <c r="K169" t="inlineStr">
        <is>
          <t>auto_seed=world_bank_wdi; proxy=broad_private_credit_not_household_only; indicator=FD.AST.PRVT.GD.ZS; observation_year=2024; dataset_lastupdated=2026-02-24; stale=no</t>
        </is>
      </c>
    </row>
    <row r="170">
      <c r="A170" t="inlineStr">
        <is>
          <t>Romania</t>
        </is>
      </c>
      <c r="B170" t="inlineStr">
        <is>
          <t>gdp_per_capita_ppp</t>
        </is>
      </c>
      <c r="C170" t="inlineStr">
        <is>
          <t>GDP per capita (PPP)</t>
        </is>
      </c>
      <c r="D170" t="inlineStr">
        <is>
          <t>creative</t>
        </is>
      </c>
      <c r="E170" t="inlineStr">
        <is>
          <t>yes</t>
        </is>
      </c>
      <c r="F170" t="inlineStr">
        <is>
          <t>49076.54</t>
        </is>
      </c>
      <c r="G170" t="inlineStr">
        <is>
          <t>world_bank</t>
        </is>
      </c>
      <c r="H170" t="inlineStr">
        <is>
          <t>https://api.worldbank.org/v2/country/ROU/indicator/NY.GDP.PCAP.PP.CD?format=json&amp;mrv=30</t>
        </is>
      </c>
      <c r="I170" t="inlineStr">
        <is>
          <t>World Bank WDI: GDP per capita, PPP (current international $)</t>
        </is>
      </c>
      <c r="J170" t="inlineStr">
        <is>
          <t>2024-12-31</t>
        </is>
      </c>
      <c r="K170" t="inlineStr">
        <is>
          <t>auto_seed=world_bank_wdi; indicator=NY.GDP.PCAP.PP.CD; observation_year=2024; dataset_lastupdated=2026-02-24; stale=no</t>
        </is>
      </c>
    </row>
    <row r="171">
      <c r="A171" t="inlineStr">
        <is>
          <t>Romania</t>
        </is>
      </c>
      <c r="B171" t="inlineStr">
        <is>
          <t>gdp_growth</t>
        </is>
      </c>
      <c r="C171" t="inlineStr">
        <is>
          <t>GDP growth</t>
        </is>
      </c>
      <c r="D171" t="inlineStr">
        <is>
          <t>creative</t>
        </is>
      </c>
      <c r="E171" t="inlineStr">
        <is>
          <t>yes</t>
        </is>
      </c>
      <c r="F171" t="inlineStr">
        <is>
          <t>0.916</t>
        </is>
      </c>
      <c r="G171" t="inlineStr">
        <is>
          <t>world_bank</t>
        </is>
      </c>
      <c r="H171" t="inlineStr">
        <is>
          <t>https://api.worldbank.org/v2/country/ROU/indicator/NY.GDP.MKTP.KD.ZG?format=json&amp;mrv=30</t>
        </is>
      </c>
      <c r="I171" t="inlineStr">
        <is>
          <t>World Bank WDI: GDP growth (annual %)</t>
        </is>
      </c>
      <c r="J171" t="inlineStr">
        <is>
          <t>2024-12-31</t>
        </is>
      </c>
      <c r="K171" t="inlineStr">
        <is>
          <t>auto_seed=world_bank_wdi; indicator=NY.GDP.MKTP.KD.ZG; observation_year=2024; dataset_lastupdated=2026-02-24; stale=no</t>
        </is>
      </c>
    </row>
    <row r="172">
      <c r="A172" t="inlineStr">
        <is>
          <t>Romania</t>
        </is>
      </c>
      <c r="B172" t="inlineStr">
        <is>
          <t>gini_coefficient</t>
        </is>
      </c>
      <c r="C172" t="inlineStr">
        <is>
          <t>Gini coefficient</t>
        </is>
      </c>
      <c r="D172" t="inlineStr">
        <is>
          <t>capability</t>
        </is>
      </c>
      <c r="E172" t="inlineStr">
        <is>
          <t>yes</t>
        </is>
      </c>
      <c r="F172" t="inlineStr">
        <is>
          <t>29.8</t>
        </is>
      </c>
      <c r="G172" t="inlineStr">
        <is>
          <t>world_bank</t>
        </is>
      </c>
      <c r="H172" t="inlineStr">
        <is>
          <t>https://api.worldbank.org/v2/country/ROU/indicator/SI.POV.GINI?format=json&amp;mrv=30</t>
        </is>
      </c>
      <c r="I172" t="inlineStr">
        <is>
          <t>World Bank WDI: Gini index</t>
        </is>
      </c>
      <c r="J172" t="inlineStr">
        <is>
          <t>2023-12-31</t>
        </is>
      </c>
      <c r="K172" t="inlineStr">
        <is>
          <t>auto_seed=world_bank_wdi; indicator=SI.POV.GINI; observation_year=2023; dataset_lastupdated=2026-02-24; stale=no</t>
        </is>
      </c>
    </row>
    <row r="173">
      <c r="A173" t="inlineStr">
        <is>
          <t>Romania</t>
        </is>
      </c>
      <c r="B173" t="inlineStr">
        <is>
          <t>ppp_private_consumption</t>
        </is>
      </c>
      <c r="C173" t="inlineStr">
        <is>
          <t>PPP private consumption factor</t>
        </is>
      </c>
      <c r="D173" t="inlineStr">
        <is>
          <t>pressure</t>
        </is>
      </c>
      <c r="E173" t="inlineStr">
        <is>
          <t>yes</t>
        </is>
      </c>
      <c r="F173" t="inlineStr">
        <is>
          <t>2.056572</t>
        </is>
      </c>
      <c r="G173" t="inlineStr">
        <is>
          <t>world_bank</t>
        </is>
      </c>
      <c r="H173" t="inlineStr">
        <is>
          <t>https://api.worldbank.org/v2/country/ROU/indicator/PA.NUS.PRVT.PP?format=json&amp;mrv=30</t>
        </is>
      </c>
      <c r="I173" t="inlineStr">
        <is>
          <t>World Bank WDI: PPP conversion factor, private consumption (LCU per international $)</t>
        </is>
      </c>
      <c r="J173" t="inlineStr">
        <is>
          <t>2024-12-31</t>
        </is>
      </c>
      <c r="K173" t="inlineStr">
        <is>
          <t>auto_seed=world_bank_wdi; indicator=PA.NUS.PRVT.PP; observation_year=2024; dataset_lastupdated=2026-02-24; stale=no</t>
        </is>
      </c>
    </row>
    <row r="174">
      <c r="A174" t="inlineStr">
        <is>
          <t>Romania</t>
        </is>
      </c>
      <c r="B174" t="inlineStr">
        <is>
          <t>tax_rate_assumption</t>
        </is>
      </c>
      <c r="C174" t="inlineStr">
        <is>
          <t>Tax rate assumption</t>
        </is>
      </c>
      <c r="D174" t="inlineStr">
        <is>
          <t>pressure</t>
        </is>
      </c>
      <c r="E174" t="inlineStr">
        <is>
          <t>yes</t>
        </is>
      </c>
      <c r="F174" t="inlineStr">
        <is>
          <t>0.162142</t>
        </is>
      </c>
      <c r="G174" t="inlineStr">
        <is>
          <t>world_bank</t>
        </is>
      </c>
      <c r="H174" t="inlineStr">
        <is>
          <t>https://api.worldbank.org/v2/country/ROU/indicator/GC.TAX.TOTL.GD.ZS?format=json&amp;mrv=30</t>
        </is>
      </c>
      <c r="I174" t="inlineStr">
        <is>
          <t>World Bank WDI: Tax revenue (% of GDP) used as interim country average tax-take proxy</t>
        </is>
      </c>
      <c r="J174" t="inlineStr">
        <is>
          <t>2022-12-31</t>
        </is>
      </c>
      <c r="K174" t="inlineStr">
        <is>
          <t>auto_seed=world_bank_wdi; proxy=country_average_tax_take_from_tax_revenue_share; indicator=GC.TAX.TOTL.GD.ZS; observation_year=2022; dataset_lastupdated=2026-02-24; stale=no</t>
        </is>
      </c>
    </row>
    <row r="175">
      <c r="A175" t="inlineStr">
        <is>
          <t>Romania</t>
        </is>
      </c>
      <c r="B175" t="inlineStr">
        <is>
          <t>household_debt_proxy</t>
        </is>
      </c>
      <c r="C175" t="inlineStr">
        <is>
          <t>Household debt proxy</t>
        </is>
      </c>
      <c r="D175" t="inlineStr">
        <is>
          <t>pressure</t>
        </is>
      </c>
      <c r="E175" t="inlineStr">
        <is>
          <t>yes</t>
        </is>
      </c>
      <c r="F175" t="inlineStr">
        <is>
          <t>22.7281</t>
        </is>
      </c>
      <c r="G175" t="inlineStr">
        <is>
          <t>world_bank</t>
        </is>
      </c>
      <c r="H175" t="inlineStr">
        <is>
          <t>https://api.worldbank.org/v2/country/ROU/indicator/FD.AST.PRVT.GD.ZS?format=json&amp;mrv=30</t>
        </is>
      </c>
      <c r="I175" t="inlineStr">
        <is>
          <t>World Bank WDI: Domestic credit to private sector by banks (% of GDP) used as interim leverage proxy</t>
        </is>
      </c>
      <c r="J175" t="inlineStr">
        <is>
          <t>2024-12-31</t>
        </is>
      </c>
      <c r="K175" t="inlineStr">
        <is>
          <t>auto_seed=world_bank_wdi; proxy=broad_private_credit_not_household_only; indicator=FD.AST.PRVT.GD.ZS; observation_year=2024; dataset_lastupdated=2026-02-24; stale=no</t>
        </is>
      </c>
    </row>
    <row r="176">
      <c r="A176" t="inlineStr">
        <is>
          <t>Serbia</t>
        </is>
      </c>
      <c r="B176" t="inlineStr">
        <is>
          <t>gdp_per_capita_ppp</t>
        </is>
      </c>
      <c r="C176" t="inlineStr">
        <is>
          <t>GDP per capita (PPP)</t>
        </is>
      </c>
      <c r="D176" t="inlineStr">
        <is>
          <t>creative</t>
        </is>
      </c>
      <c r="E176" t="inlineStr">
        <is>
          <t>yes</t>
        </is>
      </c>
      <c r="F176" t="inlineStr">
        <is>
          <t>32832.18</t>
        </is>
      </c>
      <c r="G176" t="inlineStr">
        <is>
          <t>world_bank</t>
        </is>
      </c>
      <c r="H176" t="inlineStr">
        <is>
          <t>https://api.worldbank.org/v2/country/SRB/indicator/NY.GDP.PCAP.PP.CD?format=json&amp;mrv=30</t>
        </is>
      </c>
      <c r="I176" t="inlineStr">
        <is>
          <t>World Bank WDI: GDP per capita, PPP (current international $)</t>
        </is>
      </c>
      <c r="J176" t="inlineStr">
        <is>
          <t>2024-12-31</t>
        </is>
      </c>
      <c r="K176" t="inlineStr">
        <is>
          <t>auto_seed=world_bank_wdi; indicator=NY.GDP.PCAP.PP.CD; observation_year=2024; dataset_lastupdated=2026-02-24; stale=no</t>
        </is>
      </c>
    </row>
    <row r="177">
      <c r="A177" t="inlineStr">
        <is>
          <t>Serbia</t>
        </is>
      </c>
      <c r="B177" t="inlineStr">
        <is>
          <t>gdp_growth</t>
        </is>
      </c>
      <c r="C177" t="inlineStr">
        <is>
          <t>GDP growth</t>
        </is>
      </c>
      <c r="D177" t="inlineStr">
        <is>
          <t>creative</t>
        </is>
      </c>
      <c r="E177" t="inlineStr">
        <is>
          <t>yes</t>
        </is>
      </c>
      <c r="F177" t="inlineStr">
        <is>
          <t>3.9499</t>
        </is>
      </c>
      <c r="G177" t="inlineStr">
        <is>
          <t>world_bank</t>
        </is>
      </c>
      <c r="H177" t="inlineStr">
        <is>
          <t>https://api.worldbank.org/v2/country/SRB/indicator/NY.GDP.MKTP.KD.ZG?format=json&amp;mrv=30</t>
        </is>
      </c>
      <c r="I177" t="inlineStr">
        <is>
          <t>World Bank WDI: GDP growth (annual %)</t>
        </is>
      </c>
      <c r="J177" t="inlineStr">
        <is>
          <t>2024-12-31</t>
        </is>
      </c>
      <c r="K177" t="inlineStr">
        <is>
          <t>auto_seed=world_bank_wdi; indicator=NY.GDP.MKTP.KD.ZG; observation_year=2024; dataset_lastupdated=2026-02-24; stale=no</t>
        </is>
      </c>
    </row>
    <row r="178">
      <c r="A178" t="inlineStr">
        <is>
          <t>Serbia</t>
        </is>
      </c>
      <c r="B178" t="inlineStr">
        <is>
          <t>gini_coefficient</t>
        </is>
      </c>
      <c r="C178" t="inlineStr">
        <is>
          <t>Gini coefficient</t>
        </is>
      </c>
      <c r="D178" t="inlineStr">
        <is>
          <t>capability</t>
        </is>
      </c>
      <c r="E178" t="inlineStr">
        <is>
          <t>yes</t>
        </is>
      </c>
      <c r="F178" t="inlineStr">
        <is>
          <t>32.8</t>
        </is>
      </c>
      <c r="G178" t="inlineStr">
        <is>
          <t>world_bank</t>
        </is>
      </c>
      <c r="H178" t="inlineStr">
        <is>
          <t>https://api.worldbank.org/v2/country/SRB/indicator/SI.POV.GINI?format=json&amp;mrv=30</t>
        </is>
      </c>
      <c r="I178" t="inlineStr">
        <is>
          <t>World Bank WDI: Gini index</t>
        </is>
      </c>
      <c r="J178" t="inlineStr">
        <is>
          <t>2022-12-31</t>
        </is>
      </c>
      <c r="K178" t="inlineStr">
        <is>
          <t>auto_seed=world_bank_wdi; indicator=SI.POV.GINI; observation_year=2022; dataset_lastupdated=2026-02-24; stale=no</t>
        </is>
      </c>
    </row>
    <row r="179">
      <c r="A179" t="inlineStr">
        <is>
          <t>Serbia</t>
        </is>
      </c>
      <c r="B179" t="inlineStr">
        <is>
          <t>ppp_private_consumption</t>
        </is>
      </c>
      <c r="C179" t="inlineStr">
        <is>
          <t>PPP private consumption factor</t>
        </is>
      </c>
      <c r="D179" t="inlineStr">
        <is>
          <t>pressure</t>
        </is>
      </c>
      <c r="E179" t="inlineStr">
        <is>
          <t>yes</t>
        </is>
      </c>
      <c r="F179" t="inlineStr">
        <is>
          <t>50.584223</t>
        </is>
      </c>
      <c r="G179" t="inlineStr">
        <is>
          <t>world_bank</t>
        </is>
      </c>
      <c r="H179" t="inlineStr">
        <is>
          <t>https://api.worldbank.org/v2/country/SRB/indicator/PA.NUS.PRVT.PP?format=json&amp;mrv=30</t>
        </is>
      </c>
      <c r="I179" t="inlineStr">
        <is>
          <t>World Bank WDI: PPP conversion factor, private consumption (LCU per international $)</t>
        </is>
      </c>
      <c r="J179" t="inlineStr">
        <is>
          <t>2024-12-31</t>
        </is>
      </c>
      <c r="K179" t="inlineStr">
        <is>
          <t>auto_seed=world_bank_wdi; indicator=PA.NUS.PRVT.PP; observation_year=2024; dataset_lastupdated=2026-02-24; stale=no</t>
        </is>
      </c>
    </row>
    <row r="180">
      <c r="A180" t="inlineStr">
        <is>
          <t>Serbia</t>
        </is>
      </c>
      <c r="B180" t="inlineStr">
        <is>
          <t>tax_rate_assumption</t>
        </is>
      </c>
      <c r="C180" t="inlineStr">
        <is>
          <t>Tax rate assumption</t>
        </is>
      </c>
      <c r="D180" t="inlineStr">
        <is>
          <t>pressure</t>
        </is>
      </c>
      <c r="E180" t="inlineStr">
        <is>
          <t>yes</t>
        </is>
      </c>
      <c r="F180" t="inlineStr">
        <is>
          <t>0.23893</t>
        </is>
      </c>
      <c r="G180" t="inlineStr">
        <is>
          <t>world_bank</t>
        </is>
      </c>
      <c r="H180" t="inlineStr">
        <is>
          <t>https://api.worldbank.org/v2/country/SRB/indicator/GC.TAX.TOTL.GD.ZS?format=json&amp;mrv=30</t>
        </is>
      </c>
      <c r="I180" t="inlineStr">
        <is>
          <t>World Bank WDI: Tax revenue (% of GDP) used as interim country average tax-take proxy</t>
        </is>
      </c>
      <c r="J180" t="inlineStr">
        <is>
          <t>2022-12-31</t>
        </is>
      </c>
      <c r="K180" t="inlineStr">
        <is>
          <t>auto_seed=world_bank_wdi; proxy=country_average_tax_take_from_tax_revenue_share; indicator=GC.TAX.TOTL.GD.ZS; observation_year=2022; dataset_lastupdated=2026-02-24; stale=no</t>
        </is>
      </c>
    </row>
    <row r="181">
      <c r="A181" t="inlineStr">
        <is>
          <t>Serbia</t>
        </is>
      </c>
      <c r="B181" t="inlineStr">
        <is>
          <t>household_debt_proxy</t>
        </is>
      </c>
      <c r="C181" t="inlineStr">
        <is>
          <t>Household debt proxy</t>
        </is>
      </c>
      <c r="D181" t="inlineStr">
        <is>
          <t>pressure</t>
        </is>
      </c>
      <c r="E181" t="inlineStr">
        <is>
          <t>yes</t>
        </is>
      </c>
      <c r="F181" t="inlineStr">
        <is>
          <t>32.6048</t>
        </is>
      </c>
      <c r="G181" t="inlineStr">
        <is>
          <t>world_bank</t>
        </is>
      </c>
      <c r="H181" t="inlineStr">
        <is>
          <t>https://api.worldbank.org/v2/country/SRB/indicator/FD.AST.PRVT.GD.ZS?format=json&amp;mrv=30</t>
        </is>
      </c>
      <c r="I181" t="inlineStr">
        <is>
          <t>World Bank WDI: Domestic credit to private sector by banks (% of GDP) used as interim leverage proxy</t>
        </is>
      </c>
      <c r="J181" t="inlineStr">
        <is>
          <t>2024-12-31</t>
        </is>
      </c>
      <c r="K181" t="inlineStr">
        <is>
          <t>auto_seed=world_bank_wdi; proxy=broad_private_credit_not_household_only; indicator=FD.AST.PRVT.GD.ZS; observation_year=2024; dataset_lastupdated=2026-02-24; stale=no</t>
        </is>
      </c>
    </row>
    <row r="182">
      <c r="A182" t="inlineStr">
        <is>
          <t>Slovakia</t>
        </is>
      </c>
      <c r="B182" t="inlineStr">
        <is>
          <t>gdp_per_capita_ppp</t>
        </is>
      </c>
      <c r="C182" t="inlineStr">
        <is>
          <t>GDP per capita (PPP)</t>
        </is>
      </c>
      <c r="D182" t="inlineStr">
        <is>
          <t>creative</t>
        </is>
      </c>
      <c r="E182" t="inlineStr">
        <is>
          <t>yes</t>
        </is>
      </c>
      <c r="F182" t="inlineStr">
        <is>
          <t>48132.36</t>
        </is>
      </c>
      <c r="G182" t="inlineStr">
        <is>
          <t>world_bank</t>
        </is>
      </c>
      <c r="H182" t="inlineStr">
        <is>
          <t>https://api.worldbank.org/v2/country/SVK/indicator/NY.GDP.PCAP.PP.CD?format=json&amp;mrv=30</t>
        </is>
      </c>
      <c r="I182" t="inlineStr">
        <is>
          <t>World Bank WDI: GDP per capita, PPP (current international $)</t>
        </is>
      </c>
      <c r="J182" t="inlineStr">
        <is>
          <t>2024-12-31</t>
        </is>
      </c>
      <c r="K182" t="inlineStr">
        <is>
          <t>auto_seed=world_bank_wdi; indicator=NY.GDP.PCAP.PP.CD; observation_year=2024; dataset_lastupdated=2026-02-24; stale=no</t>
        </is>
      </c>
    </row>
    <row r="183">
      <c r="A183" t="inlineStr">
        <is>
          <t>Slovakia</t>
        </is>
      </c>
      <c r="B183" t="inlineStr">
        <is>
          <t>gdp_growth</t>
        </is>
      </c>
      <c r="C183" t="inlineStr">
        <is>
          <t>GDP growth</t>
        </is>
      </c>
      <c r="D183" t="inlineStr">
        <is>
          <t>creative</t>
        </is>
      </c>
      <c r="E183" t="inlineStr">
        <is>
          <t>yes</t>
        </is>
      </c>
      <c r="F183" t="inlineStr">
        <is>
          <t>1.9387</t>
        </is>
      </c>
      <c r="G183" t="inlineStr">
        <is>
          <t>world_bank</t>
        </is>
      </c>
      <c r="H183" t="inlineStr">
        <is>
          <t>https://api.worldbank.org/v2/country/SVK/indicator/NY.GDP.MKTP.KD.ZG?format=json&amp;mrv=30</t>
        </is>
      </c>
      <c r="I183" t="inlineStr">
        <is>
          <t>World Bank WDI: GDP growth (annual %)</t>
        </is>
      </c>
      <c r="J183" t="inlineStr">
        <is>
          <t>2024-12-31</t>
        </is>
      </c>
      <c r="K183" t="inlineStr">
        <is>
          <t>auto_seed=world_bank_wdi; indicator=NY.GDP.MKTP.KD.ZG; observation_year=2024; dataset_lastupdated=2026-02-24; stale=no</t>
        </is>
      </c>
    </row>
    <row r="184">
      <c r="A184" t="inlineStr">
        <is>
          <t>Slovakia</t>
        </is>
      </c>
      <c r="B184" t="inlineStr">
        <is>
          <t>gini_coefficient</t>
        </is>
      </c>
      <c r="C184" t="inlineStr">
        <is>
          <t>Gini coefficient</t>
        </is>
      </c>
      <c r="D184" t="inlineStr">
        <is>
          <t>capability</t>
        </is>
      </c>
      <c r="E184" t="inlineStr">
        <is>
          <t>yes</t>
        </is>
      </c>
      <c r="F184" t="inlineStr">
        <is>
          <t>23.8</t>
        </is>
      </c>
      <c r="G184" t="inlineStr">
        <is>
          <t>world_bank</t>
        </is>
      </c>
      <c r="H184" t="inlineStr">
        <is>
          <t>https://api.worldbank.org/v2/country/SVK/indicator/SI.POV.GINI?format=json&amp;mrv=30</t>
        </is>
      </c>
      <c r="I184" t="inlineStr">
        <is>
          <t>World Bank WDI: Gini index</t>
        </is>
      </c>
      <c r="J184" t="inlineStr">
        <is>
          <t>2023-12-31</t>
        </is>
      </c>
      <c r="K184" t="inlineStr">
        <is>
          <t>auto_seed=world_bank_wdi; indicator=SI.POV.GINI; observation_year=2023; dataset_lastupdated=2026-02-24; stale=no</t>
        </is>
      </c>
    </row>
    <row r="185">
      <c r="A185" t="inlineStr">
        <is>
          <t>Slovakia</t>
        </is>
      </c>
      <c r="B185" t="inlineStr">
        <is>
          <t>ppp_private_consumption</t>
        </is>
      </c>
      <c r="C185" t="inlineStr">
        <is>
          <t>PPP private consumption factor</t>
        </is>
      </c>
      <c r="D185" t="inlineStr">
        <is>
          <t>pressure</t>
        </is>
      </c>
      <c r="E185" t="inlineStr">
        <is>
          <t>yes</t>
        </is>
      </c>
      <c r="F185" t="inlineStr">
        <is>
          <t>0.545311</t>
        </is>
      </c>
      <c r="G185" t="inlineStr">
        <is>
          <t>world_bank</t>
        </is>
      </c>
      <c r="H185" t="inlineStr">
        <is>
          <t>https://api.worldbank.org/v2/country/SVK/indicator/PA.NUS.PRVT.PP?format=json&amp;mrv=30</t>
        </is>
      </c>
      <c r="I185" t="inlineStr">
        <is>
          <t>World Bank WDI: PPP conversion factor, private consumption (LCU per international $)</t>
        </is>
      </c>
      <c r="J185" t="inlineStr">
        <is>
          <t>2024-12-31</t>
        </is>
      </c>
      <c r="K185" t="inlineStr">
        <is>
          <t>auto_seed=world_bank_wdi; indicator=PA.NUS.PRVT.PP; observation_year=2024; dataset_lastupdated=2026-02-24; stale=no</t>
        </is>
      </c>
    </row>
    <row r="186">
      <c r="A186" t="inlineStr">
        <is>
          <t>Slovakia</t>
        </is>
      </c>
      <c r="B186" t="inlineStr">
        <is>
          <t>tax_rate_assumption</t>
        </is>
      </c>
      <c r="C186" t="inlineStr">
        <is>
          <t>Tax rate assumption</t>
        </is>
      </c>
      <c r="D186" t="inlineStr">
        <is>
          <t>pressure</t>
        </is>
      </c>
      <c r="E186" t="inlineStr">
        <is>
          <t>yes</t>
        </is>
      </c>
      <c r="F186" t="inlineStr">
        <is>
          <t>0.193079</t>
        </is>
      </c>
      <c r="G186" t="inlineStr">
        <is>
          <t>world_bank</t>
        </is>
      </c>
      <c r="H186" t="inlineStr">
        <is>
          <t>https://api.worldbank.org/v2/country/SVK/indicator/GC.TAX.TOTL.GD.ZS?format=json&amp;mrv=30</t>
        </is>
      </c>
      <c r="I186" t="inlineStr">
        <is>
          <t>World Bank WDI: Tax revenue (% of GDP) used as interim country average tax-take proxy</t>
        </is>
      </c>
      <c r="J186" t="inlineStr">
        <is>
          <t>2023-12-31</t>
        </is>
      </c>
      <c r="K186" t="inlineStr">
        <is>
          <t>auto_seed=world_bank_wdi; proxy=country_average_tax_take_from_tax_revenue_share; indicator=GC.TAX.TOTL.GD.ZS; observation_year=2023; dataset_lastupdated=2026-02-24; stale=no</t>
        </is>
      </c>
    </row>
    <row r="187">
      <c r="A187" t="inlineStr">
        <is>
          <t>Slovakia</t>
        </is>
      </c>
      <c r="B187" t="inlineStr">
        <is>
          <t>household_debt_proxy</t>
        </is>
      </c>
      <c r="C187" t="inlineStr">
        <is>
          <t>Household debt proxy</t>
        </is>
      </c>
      <c r="D187" t="inlineStr">
        <is>
          <t>pressure</t>
        </is>
      </c>
      <c r="E187" t="inlineStr">
        <is>
          <t>yes</t>
        </is>
      </c>
      <c r="F187" t="inlineStr">
        <is>
          <t>59.6386</t>
        </is>
      </c>
      <c r="G187" t="inlineStr">
        <is>
          <t>world_bank</t>
        </is>
      </c>
      <c r="H187" t="inlineStr">
        <is>
          <t>https://api.worldbank.org/v2/country/SVK/indicator/FD.AST.PRVT.GD.ZS?format=json&amp;mrv=30</t>
        </is>
      </c>
      <c r="I187" t="inlineStr">
        <is>
          <t>World Bank WDI: Domestic credit to private sector by banks (% of GDP) used as interim leverage proxy</t>
        </is>
      </c>
      <c r="J187" t="inlineStr">
        <is>
          <t>2024-12-31</t>
        </is>
      </c>
      <c r="K187" t="inlineStr">
        <is>
          <t>auto_seed=world_bank_wdi; proxy=broad_private_credit_not_household_only; indicator=FD.AST.PRVT.GD.ZS; observation_year=2024; dataset_lastupdated=2026-02-24; stale=no</t>
        </is>
      </c>
    </row>
    <row r="188">
      <c r="A188" t="inlineStr">
        <is>
          <t>United States</t>
        </is>
      </c>
      <c r="B188" t="inlineStr">
        <is>
          <t>gdp_per_capita_ppp</t>
        </is>
      </c>
      <c r="C188" t="inlineStr">
        <is>
          <t>GDP per capita (PPP)</t>
        </is>
      </c>
      <c r="D188" t="inlineStr">
        <is>
          <t>creative</t>
        </is>
      </c>
      <c r="E188" t="inlineStr">
        <is>
          <t>yes</t>
        </is>
      </c>
      <c r="F188" t="inlineStr">
        <is>
          <t>85809.9</t>
        </is>
      </c>
      <c r="G188" t="inlineStr">
        <is>
          <t>world_bank</t>
        </is>
      </c>
      <c r="H188" t="inlineStr">
        <is>
          <t>https://api.worldbank.org/v2/country/USA/indicator/NY.GDP.PCAP.PP.CD?format=json&amp;mrv=30</t>
        </is>
      </c>
      <c r="I188" t="inlineStr">
        <is>
          <t>World Bank WDI: GDP per capita, PPP (current international $)</t>
        </is>
      </c>
      <c r="J188" t="inlineStr">
        <is>
          <t>2024-12-31</t>
        </is>
      </c>
      <c r="K188" t="inlineStr">
        <is>
          <t>auto_seed=world_bank_wdi; indicator=NY.GDP.PCAP.PP.CD; observation_year=2024; dataset_lastupdated=2026-02-24; stale=no</t>
        </is>
      </c>
    </row>
    <row r="189">
      <c r="A189" t="inlineStr">
        <is>
          <t>United States</t>
        </is>
      </c>
      <c r="B189" t="inlineStr">
        <is>
          <t>gdp_growth</t>
        </is>
      </c>
      <c r="C189" t="inlineStr">
        <is>
          <t>GDP growth</t>
        </is>
      </c>
      <c r="D189" t="inlineStr">
        <is>
          <t>creative</t>
        </is>
      </c>
      <c r="E189" t="inlineStr">
        <is>
          <t>yes</t>
        </is>
      </c>
      <c r="F189" t="inlineStr">
        <is>
          <t>2.793</t>
        </is>
      </c>
      <c r="G189" t="inlineStr">
        <is>
          <t>world_bank</t>
        </is>
      </c>
      <c r="H189" t="inlineStr">
        <is>
          <t>https://api.worldbank.org/v2/country/USA/indicator/NY.GDP.MKTP.KD.ZG?format=json&amp;mrv=30</t>
        </is>
      </c>
      <c r="I189" t="inlineStr">
        <is>
          <t>World Bank WDI: GDP growth (annual %)</t>
        </is>
      </c>
      <c r="J189" t="inlineStr">
        <is>
          <t>2024-12-31</t>
        </is>
      </c>
      <c r="K189" t="inlineStr">
        <is>
          <t>auto_seed=world_bank_wdi; indicator=NY.GDP.MKTP.KD.ZG; observation_year=2024; dataset_lastupdated=2026-02-24; stale=no</t>
        </is>
      </c>
    </row>
    <row r="190">
      <c r="A190" t="inlineStr">
        <is>
          <t>United States</t>
        </is>
      </c>
      <c r="B190" t="inlineStr">
        <is>
          <t>gini_coefficient</t>
        </is>
      </c>
      <c r="C190" t="inlineStr">
        <is>
          <t>Gini coefficient</t>
        </is>
      </c>
      <c r="D190" t="inlineStr">
        <is>
          <t>capability</t>
        </is>
      </c>
      <c r="E190" t="inlineStr">
        <is>
          <t>yes</t>
        </is>
      </c>
      <c r="F190" t="inlineStr">
        <is>
          <t>41.8</t>
        </is>
      </c>
      <c r="G190" t="inlineStr">
        <is>
          <t>world_bank</t>
        </is>
      </c>
      <c r="H190" t="inlineStr">
        <is>
          <t>https://api.worldbank.org/v2/country/USA/indicator/SI.POV.GINI?format=json&amp;mrv=30</t>
        </is>
      </c>
      <c r="I190" t="inlineStr">
        <is>
          <t>World Bank WDI: Gini index</t>
        </is>
      </c>
      <c r="J190" t="inlineStr">
        <is>
          <t>2023-12-31</t>
        </is>
      </c>
      <c r="K190" t="inlineStr">
        <is>
          <t>auto_seed=world_bank_wdi; indicator=SI.POV.GINI; observation_year=2023; dataset_lastupdated=2026-02-24; stale=no</t>
        </is>
      </c>
    </row>
    <row r="191">
      <c r="A191" t="inlineStr">
        <is>
          <t>United States</t>
        </is>
      </c>
      <c r="B191" t="inlineStr">
        <is>
          <t>ppp_private_consumption</t>
        </is>
      </c>
      <c r="C191" t="inlineStr">
        <is>
          <t>PPP private consumption factor</t>
        </is>
      </c>
      <c r="D191" t="inlineStr">
        <is>
          <t>pressure</t>
        </is>
      </c>
      <c r="E191" t="inlineStr">
        <is>
          <t>yes</t>
        </is>
      </c>
      <c r="F191" t="inlineStr">
        <is>
          <t>1</t>
        </is>
      </c>
      <c r="G191" t="inlineStr">
        <is>
          <t>world_bank</t>
        </is>
      </c>
      <c r="H191" t="inlineStr">
        <is>
          <t>https://api.worldbank.org/v2/country/USA/indicator/PA.NUS.PRVT.PP?format=json&amp;mrv=30</t>
        </is>
      </c>
      <c r="I191" t="inlineStr">
        <is>
          <t>World Bank WDI: PPP conversion factor, private consumption (LCU per international $)</t>
        </is>
      </c>
      <c r="J191" t="inlineStr">
        <is>
          <t>2024-12-31</t>
        </is>
      </c>
      <c r="K191" t="inlineStr">
        <is>
          <t>auto_seed=world_bank_wdi; indicator=PA.NUS.PRVT.PP; observation_year=2024; dataset_lastupdated=2026-02-24; stale=no</t>
        </is>
      </c>
    </row>
    <row r="192">
      <c r="A192" t="inlineStr">
        <is>
          <t>United States</t>
        </is>
      </c>
      <c r="B192" t="inlineStr">
        <is>
          <t>tax_rate_assumption</t>
        </is>
      </c>
      <c r="C192" t="inlineStr">
        <is>
          <t>Tax rate assumption</t>
        </is>
      </c>
      <c r="D192" t="inlineStr">
        <is>
          <t>pressure</t>
        </is>
      </c>
      <c r="E192" t="inlineStr">
        <is>
          <t>yes</t>
        </is>
      </c>
      <c r="F192" t="inlineStr">
        <is>
          <t>0.108905</t>
        </is>
      </c>
      <c r="G192" t="inlineStr">
        <is>
          <t>world_bank</t>
        </is>
      </c>
      <c r="H192" t="inlineStr">
        <is>
          <t>https://api.worldbank.org/v2/country/USA/indicator/GC.TAX.TOTL.GD.ZS?format=json&amp;mrv=30</t>
        </is>
      </c>
      <c r="I192" t="inlineStr">
        <is>
          <t>World Bank WDI: Tax revenue (% of GDP) used as interim country average tax-take proxy</t>
        </is>
      </c>
      <c r="J192" t="inlineStr">
        <is>
          <t>2024-12-31</t>
        </is>
      </c>
      <c r="K192" t="inlineStr">
        <is>
          <t>auto_seed=world_bank_wdi; proxy=country_average_tax_take_from_tax_revenue_share; indicator=GC.TAX.TOTL.GD.ZS; observation_year=2024; dataset_lastupdated=2026-02-24; stale=no</t>
        </is>
      </c>
    </row>
    <row r="193">
      <c r="A193" t="inlineStr">
        <is>
          <t>United States</t>
        </is>
      </c>
      <c r="B193" t="inlineStr">
        <is>
          <t>household_debt_proxy</t>
        </is>
      </c>
      <c r="C193" t="inlineStr">
        <is>
          <t>Household debt proxy</t>
        </is>
      </c>
      <c r="D193" t="inlineStr">
        <is>
          <t>pressure</t>
        </is>
      </c>
      <c r="E193" t="inlineStr">
        <is>
          <t>yes</t>
        </is>
      </c>
      <c r="F193" t="inlineStr">
        <is>
          <t>46.8411</t>
        </is>
      </c>
      <c r="G193" t="inlineStr">
        <is>
          <t>world_bank</t>
        </is>
      </c>
      <c r="H193" t="inlineStr">
        <is>
          <t>https://api.worldbank.org/v2/country/USA/indicator/FD.AST.PRVT.GD.ZS?format=json&amp;mrv=30</t>
        </is>
      </c>
      <c r="I193" t="inlineStr">
        <is>
          <t>World Bank WDI: Domestic credit to private sector by banks (% of GDP) used as interim leverage proxy</t>
        </is>
      </c>
      <c r="J193" t="inlineStr">
        <is>
          <t>2024-12-31</t>
        </is>
      </c>
      <c r="K193" t="inlineStr">
        <is>
          <t>auto_seed=world_bank_wdi; proxy=broad_private_credit_not_household_only; indicator=FD.AST.PRVT.GD.ZS; observation_year=2024; dataset_lastupdated=2026-02-24; stale=no</t>
        </is>
      </c>
    </row>
    <row r="194">
      <c r="A194" t="inlineStr">
        <is>
          <t>Mexico</t>
        </is>
      </c>
      <c r="B194" t="inlineStr">
        <is>
          <t>gdp_per_capita_ppp</t>
        </is>
      </c>
      <c r="C194" t="inlineStr">
        <is>
          <t>GDP per capita (PPP)</t>
        </is>
      </c>
      <c r="D194" t="inlineStr">
        <is>
          <t>creative</t>
        </is>
      </c>
      <c r="E194" t="inlineStr">
        <is>
          <t>yes</t>
        </is>
      </c>
      <c r="F194" t="inlineStr">
        <is>
          <t>26185.36</t>
        </is>
      </c>
      <c r="G194" t="inlineStr">
        <is>
          <t>world_bank</t>
        </is>
      </c>
      <c r="H194" t="inlineStr">
        <is>
          <t>https://api.worldbank.org/v2/country/MEX/indicator/NY.GDP.PCAP.PP.CD?format=json&amp;mrv=30</t>
        </is>
      </c>
      <c r="I194" t="inlineStr">
        <is>
          <t>World Bank WDI: GDP per capita, PPP (current international $)</t>
        </is>
      </c>
      <c r="J194" t="inlineStr">
        <is>
          <t>2024-12-31</t>
        </is>
      </c>
      <c r="K194" t="inlineStr">
        <is>
          <t>auto_seed=world_bank_wdi; indicator=NY.GDP.PCAP.PP.CD; observation_year=2024; dataset_lastupdated=2026-02-24; stale=no</t>
        </is>
      </c>
    </row>
    <row r="195">
      <c r="A195" t="inlineStr">
        <is>
          <t>Mexico</t>
        </is>
      </c>
      <c r="B195" t="inlineStr">
        <is>
          <t>gdp_growth</t>
        </is>
      </c>
      <c r="C195" t="inlineStr">
        <is>
          <t>GDP growth</t>
        </is>
      </c>
      <c r="D195" t="inlineStr">
        <is>
          <t>creative</t>
        </is>
      </c>
      <c r="E195" t="inlineStr">
        <is>
          <t>yes</t>
        </is>
      </c>
      <c r="F195" t="inlineStr">
        <is>
          <t>1.4274</t>
        </is>
      </c>
      <c r="G195" t="inlineStr">
        <is>
          <t>world_bank</t>
        </is>
      </c>
      <c r="H195" t="inlineStr">
        <is>
          <t>https://api.worldbank.org/v2/country/MEX/indicator/NY.GDP.MKTP.KD.ZG?format=json&amp;mrv=30</t>
        </is>
      </c>
      <c r="I195" t="inlineStr">
        <is>
          <t>World Bank WDI: GDP growth (annual %)</t>
        </is>
      </c>
      <c r="J195" t="inlineStr">
        <is>
          <t>2024-12-31</t>
        </is>
      </c>
      <c r="K195" t="inlineStr">
        <is>
          <t>auto_seed=world_bank_wdi; indicator=NY.GDP.MKTP.KD.ZG; observation_year=2024; dataset_lastupdated=2026-02-24; stale=no</t>
        </is>
      </c>
    </row>
    <row r="196">
      <c r="A196" t="inlineStr">
        <is>
          <t>Mexico</t>
        </is>
      </c>
      <c r="B196" t="inlineStr">
        <is>
          <t>gini_coefficient</t>
        </is>
      </c>
      <c r="C196" t="inlineStr">
        <is>
          <t>Gini coefficient</t>
        </is>
      </c>
      <c r="D196" t="inlineStr">
        <is>
          <t>capability</t>
        </is>
      </c>
      <c r="E196" t="inlineStr">
        <is>
          <t>yes</t>
        </is>
      </c>
      <c r="F196" t="inlineStr">
        <is>
          <t>43.5</t>
        </is>
      </c>
      <c r="G196" t="inlineStr">
        <is>
          <t>world_bank</t>
        </is>
      </c>
      <c r="H196" t="inlineStr">
        <is>
          <t>https://api.worldbank.org/v2/country/MEX/indicator/SI.POV.GINI?format=json&amp;mrv=30</t>
        </is>
      </c>
      <c r="I196" t="inlineStr">
        <is>
          <t>World Bank WDI: Gini index</t>
        </is>
      </c>
      <c r="J196" t="inlineStr">
        <is>
          <t>2022-12-31</t>
        </is>
      </c>
      <c r="K196" t="inlineStr">
        <is>
          <t>auto_seed=world_bank_wdi; indicator=SI.POV.GINI; observation_year=2022; dataset_lastupdated=2026-02-24; stale=no</t>
        </is>
      </c>
    </row>
    <row r="197">
      <c r="A197" t="inlineStr">
        <is>
          <t>Mexico</t>
        </is>
      </c>
      <c r="B197" t="inlineStr">
        <is>
          <t>ppp_private_consumption</t>
        </is>
      </c>
      <c r="C197" t="inlineStr">
        <is>
          <t>PPP private consumption factor</t>
        </is>
      </c>
      <c r="D197" t="inlineStr">
        <is>
          <t>pressure</t>
        </is>
      </c>
      <c r="E197" t="inlineStr">
        <is>
          <t>yes</t>
        </is>
      </c>
      <c r="F197" t="inlineStr">
        <is>
          <t>10.801299</t>
        </is>
      </c>
      <c r="G197" t="inlineStr">
        <is>
          <t>world_bank</t>
        </is>
      </c>
      <c r="H197" t="inlineStr">
        <is>
          <t>https://api.worldbank.org/v2/country/MEX/indicator/PA.NUS.PRVT.PP?format=json&amp;mrv=30</t>
        </is>
      </c>
      <c r="I197" t="inlineStr">
        <is>
          <t>World Bank WDI: PPP conversion factor, private consumption (LCU per international $)</t>
        </is>
      </c>
      <c r="J197" t="inlineStr">
        <is>
          <t>2024-12-31</t>
        </is>
      </c>
      <c r="K197" t="inlineStr">
        <is>
          <t>auto_seed=world_bank_wdi; indicator=PA.NUS.PRVT.PP; observation_year=2024; dataset_lastupdated=2026-02-24; stale=no</t>
        </is>
      </c>
    </row>
    <row r="198">
      <c r="A198" t="inlineStr">
        <is>
          <t>Mexico</t>
        </is>
      </c>
      <c r="B198" t="inlineStr">
        <is>
          <t>tax_rate_assumption</t>
        </is>
      </c>
      <c r="C198" t="inlineStr">
        <is>
          <t>Tax rate assumption</t>
        </is>
      </c>
      <c r="D198" t="inlineStr">
        <is>
          <t>pressure</t>
        </is>
      </c>
      <c r="E198" t="inlineStr">
        <is>
          <t>yes</t>
        </is>
      </c>
      <c r="F198" t="inlineStr">
        <is>
          <t>0.141936</t>
        </is>
      </c>
      <c r="G198" t="inlineStr">
        <is>
          <t>world_bank</t>
        </is>
      </c>
      <c r="H198" t="inlineStr">
        <is>
          <t>https://api.worldbank.org/v2/country/MEX/indicator/GC.TAX.TOTL.GD.ZS?format=json&amp;mrv=30</t>
        </is>
      </c>
      <c r="I198" t="inlineStr">
        <is>
          <t>World Bank WDI: Tax revenue (% of GDP) used as interim country average tax-take proxy</t>
        </is>
      </c>
      <c r="J198" t="inlineStr">
        <is>
          <t>2023-12-31</t>
        </is>
      </c>
      <c r="K198" t="inlineStr">
        <is>
          <t>auto_seed=world_bank_wdi; proxy=country_average_tax_take_from_tax_revenue_share; indicator=GC.TAX.TOTL.GD.ZS; observation_year=2023; dataset_lastupdated=2026-02-24; stale=no</t>
        </is>
      </c>
    </row>
    <row r="199">
      <c r="A199" t="inlineStr">
        <is>
          <t>Mexico</t>
        </is>
      </c>
      <c r="B199" t="inlineStr">
        <is>
          <t>household_debt_proxy</t>
        </is>
      </c>
      <c r="C199" t="inlineStr">
        <is>
          <t>Household debt proxy</t>
        </is>
      </c>
      <c r="D199" t="inlineStr">
        <is>
          <t>pressure</t>
        </is>
      </c>
      <c r="E199" t="inlineStr">
        <is>
          <t>yes</t>
        </is>
      </c>
      <c r="F199" t="inlineStr">
        <is>
          <t>26.5628</t>
        </is>
      </c>
      <c r="G199" t="inlineStr">
        <is>
          <t>world_bank</t>
        </is>
      </c>
      <c r="H199" t="inlineStr">
        <is>
          <t>https://api.worldbank.org/v2/country/MEX/indicator/FD.AST.PRVT.GD.ZS?format=json&amp;mrv=30</t>
        </is>
      </c>
      <c r="I199" t="inlineStr">
        <is>
          <t>World Bank WDI: Domestic credit to private sector by banks (% of GDP) used as interim leverage proxy</t>
        </is>
      </c>
      <c r="J199" t="inlineStr">
        <is>
          <t>2024-12-31</t>
        </is>
      </c>
      <c r="K199" t="inlineStr">
        <is>
          <t>auto_seed=world_bank_wdi; proxy=broad_private_credit_not_household_only; indicator=FD.AST.PRVT.GD.ZS; observation_year=2024; dataset_lastupdated=2026-02-24; stale=no</t>
        </is>
      </c>
    </row>
    <row r="200">
      <c r="A200" t="inlineStr">
        <is>
          <t>Canada</t>
        </is>
      </c>
      <c r="B200" t="inlineStr">
        <is>
          <t>gdp_per_capita_ppp</t>
        </is>
      </c>
      <c r="C200" t="inlineStr">
        <is>
          <t>GDP per capita (PPP)</t>
        </is>
      </c>
      <c r="D200" t="inlineStr">
        <is>
          <t>creative</t>
        </is>
      </c>
      <c r="E200" t="inlineStr">
        <is>
          <t>yes</t>
        </is>
      </c>
      <c r="F200" t="inlineStr">
        <is>
          <t>64610.38</t>
        </is>
      </c>
      <c r="G200" t="inlineStr">
        <is>
          <t>world_bank</t>
        </is>
      </c>
      <c r="H200" t="inlineStr">
        <is>
          <t>https://api.worldbank.org/v2/country/CAN/indicator/NY.GDP.PCAP.PP.CD?format=json&amp;mrv=30</t>
        </is>
      </c>
      <c r="I200" t="inlineStr">
        <is>
          <t>World Bank WDI: GDP per capita, PPP (current international $)</t>
        </is>
      </c>
      <c r="J200" t="inlineStr">
        <is>
          <t>2024-12-31</t>
        </is>
      </c>
      <c r="K200" t="inlineStr">
        <is>
          <t>auto_seed=world_bank_wdi; indicator=NY.GDP.PCAP.PP.CD; observation_year=2024; dataset_lastupdated=2026-02-24; stale=no</t>
        </is>
      </c>
    </row>
    <row r="201">
      <c r="A201" t="inlineStr">
        <is>
          <t>Canada</t>
        </is>
      </c>
      <c r="B201" t="inlineStr">
        <is>
          <t>gdp_growth</t>
        </is>
      </c>
      <c r="C201" t="inlineStr">
        <is>
          <t>GDP growth</t>
        </is>
      </c>
      <c r="D201" t="inlineStr">
        <is>
          <t>creative</t>
        </is>
      </c>
      <c r="E201" t="inlineStr">
        <is>
          <t>yes</t>
        </is>
      </c>
      <c r="F201" t="inlineStr">
        <is>
          <t>1.5548</t>
        </is>
      </c>
      <c r="G201" t="inlineStr">
        <is>
          <t>world_bank</t>
        </is>
      </c>
      <c r="H201" t="inlineStr">
        <is>
          <t>https://api.worldbank.org/v2/country/CAN/indicator/NY.GDP.MKTP.KD.ZG?format=json&amp;mrv=30</t>
        </is>
      </c>
      <c r="I201" t="inlineStr">
        <is>
          <t>World Bank WDI: GDP growth (annual %)</t>
        </is>
      </c>
      <c r="J201" t="inlineStr">
        <is>
          <t>2024-12-31</t>
        </is>
      </c>
      <c r="K201" t="inlineStr">
        <is>
          <t>auto_seed=world_bank_wdi; indicator=NY.GDP.MKTP.KD.ZG; observation_year=2024; dataset_lastupdated=2026-02-24; stale=no</t>
        </is>
      </c>
    </row>
    <row r="202">
      <c r="A202" t="inlineStr">
        <is>
          <t>Canada</t>
        </is>
      </c>
      <c r="B202" t="inlineStr">
        <is>
          <t>gini_coefficient</t>
        </is>
      </c>
      <c r="C202" t="inlineStr">
        <is>
          <t>Gini coefficient</t>
        </is>
      </c>
      <c r="D202" t="inlineStr">
        <is>
          <t>capability</t>
        </is>
      </c>
      <c r="E202" t="inlineStr">
        <is>
          <t>yes</t>
        </is>
      </c>
      <c r="F202" t="inlineStr">
        <is>
          <t>31.1</t>
        </is>
      </c>
      <c r="G202" t="inlineStr">
        <is>
          <t>world_bank</t>
        </is>
      </c>
      <c r="H202" t="inlineStr">
        <is>
          <t>https://api.worldbank.org/v2/country/CAN/indicator/SI.POV.GINI?format=json&amp;mrv=30</t>
        </is>
      </c>
      <c r="I202" t="inlineStr">
        <is>
          <t>World Bank WDI: Gini index</t>
        </is>
      </c>
      <c r="J202" t="inlineStr">
        <is>
          <t>2021-12-31</t>
        </is>
      </c>
      <c r="K202" t="inlineStr">
        <is>
          <t>auto_seed=world_bank_wdi; indicator=SI.POV.GINI; observation_year=2021; dataset_lastupdated=2026-02-24; stale=no</t>
        </is>
      </c>
    </row>
    <row r="203">
      <c r="A203" t="inlineStr">
        <is>
          <t>Canada</t>
        </is>
      </c>
      <c r="B203" t="inlineStr">
        <is>
          <t>ppp_private_consumption</t>
        </is>
      </c>
      <c r="C203" t="inlineStr">
        <is>
          <t>PPP private consumption factor</t>
        </is>
      </c>
      <c r="D203" t="inlineStr">
        <is>
          <t>pressure</t>
        </is>
      </c>
      <c r="E203" t="inlineStr">
        <is>
          <t>yes</t>
        </is>
      </c>
      <c r="F203" t="inlineStr">
        <is>
          <t>1.240903</t>
        </is>
      </c>
      <c r="G203" t="inlineStr">
        <is>
          <t>world_bank</t>
        </is>
      </c>
      <c r="H203" t="inlineStr">
        <is>
          <t>https://api.worldbank.org/v2/country/CAN/indicator/PA.NUS.PRVT.PP?format=json&amp;mrv=30</t>
        </is>
      </c>
      <c r="I203" t="inlineStr">
        <is>
          <t>World Bank WDI: PPP conversion factor, private consumption (LCU per international $)</t>
        </is>
      </c>
      <c r="J203" t="inlineStr">
        <is>
          <t>2024-12-31</t>
        </is>
      </c>
      <c r="K203" t="inlineStr">
        <is>
          <t>auto_seed=world_bank_wdi; indicator=PA.NUS.PRVT.PP; observation_year=2024; dataset_lastupdated=2026-02-24; stale=no</t>
        </is>
      </c>
    </row>
    <row r="204">
      <c r="A204" t="inlineStr">
        <is>
          <t>Canada</t>
        </is>
      </c>
      <c r="B204" t="inlineStr">
        <is>
          <t>tax_rate_assumption</t>
        </is>
      </c>
      <c r="C204" t="inlineStr">
        <is>
          <t>Tax rate assumption</t>
        </is>
      </c>
      <c r="D204" t="inlineStr">
        <is>
          <t>pressure</t>
        </is>
      </c>
      <c r="E204" t="inlineStr">
        <is>
          <t>yes</t>
        </is>
      </c>
      <c r="F204" t="inlineStr">
        <is>
          <t>0.142302</t>
        </is>
      </c>
      <c r="G204" t="inlineStr">
        <is>
          <t>world_bank</t>
        </is>
      </c>
      <c r="H204" t="inlineStr">
        <is>
          <t>https://api.worldbank.org/v2/country/CAN/indicator/GC.TAX.TOTL.GD.ZS?format=json&amp;mrv=30</t>
        </is>
      </c>
      <c r="I204" t="inlineStr">
        <is>
          <t>World Bank WDI: Tax revenue (% of GDP) used as interim country average tax-take proxy</t>
        </is>
      </c>
      <c r="J204" t="inlineStr">
        <is>
          <t>2024-12-31</t>
        </is>
      </c>
      <c r="K204" t="inlineStr">
        <is>
          <t>auto_seed=world_bank_wdi; proxy=country_average_tax_take_from_tax_revenue_share; indicator=GC.TAX.TOTL.GD.ZS; observation_year=2024; dataset_lastupdated=2026-02-24; stale=no</t>
        </is>
      </c>
    </row>
    <row r="205">
      <c r="A205" t="inlineStr">
        <is>
          <t>Canada</t>
        </is>
      </c>
      <c r="B205" t="inlineStr">
        <is>
          <t>household_debt_proxy</t>
        </is>
      </c>
      <c r="C205" t="inlineStr">
        <is>
          <t>Household debt proxy</t>
        </is>
      </c>
      <c r="D205" t="inlineStr">
        <is>
          <t>pressure</t>
        </is>
      </c>
      <c r="E205" t="inlineStr">
        <is>
          <t>yes</t>
        </is>
      </c>
      <c r="F205" t="inlineStr">
        <is>
          <t>124.0978</t>
        </is>
      </c>
      <c r="G205" t="inlineStr">
        <is>
          <t>world_bank</t>
        </is>
      </c>
      <c r="H205" t="inlineStr">
        <is>
          <t>https://api.worldbank.org/v2/country/CAN/indicator/FD.AST.PRVT.GD.ZS?format=json&amp;mrv=30</t>
        </is>
      </c>
      <c r="I205" t="inlineStr">
        <is>
          <t>World Bank WDI: Domestic credit to private sector by banks (% of GDP) used as interim leverage proxy</t>
        </is>
      </c>
      <c r="J205" t="inlineStr">
        <is>
          <t>2008-12-31</t>
        </is>
      </c>
      <c r="K205" t="inlineStr">
        <is>
          <t>auto_seed=world_bank_wdi; proxy=broad_private_credit_not_household_only; indicator=FD.AST.PRVT.GD.ZS; observation_year=2008; dataset_lastupdated=2026-02-24; stale=yes</t>
        </is>
      </c>
    </row>
    <row r="206">
      <c r="A206" t="inlineStr">
        <is>
          <t>Panama</t>
        </is>
      </c>
      <c r="B206" t="inlineStr">
        <is>
          <t>gdp_per_capita_ppp</t>
        </is>
      </c>
      <c r="C206" t="inlineStr">
        <is>
          <t>GDP per capita (PPP)</t>
        </is>
      </c>
      <c r="D206" t="inlineStr">
        <is>
          <t>creative</t>
        </is>
      </c>
      <c r="E206" t="inlineStr">
        <is>
          <t>yes</t>
        </is>
      </c>
      <c r="F206" t="inlineStr">
        <is>
          <t>41369.42</t>
        </is>
      </c>
      <c r="G206" t="inlineStr">
        <is>
          <t>world_bank</t>
        </is>
      </c>
      <c r="H206" t="inlineStr">
        <is>
          <t>https://api.worldbank.org/v2/country/PAN/indicator/NY.GDP.PCAP.PP.CD?format=json&amp;mrv=30</t>
        </is>
      </c>
      <c r="I206" t="inlineStr">
        <is>
          <t>World Bank WDI: GDP per capita, PPP (current international $)</t>
        </is>
      </c>
      <c r="J206" t="inlineStr">
        <is>
          <t>2024-12-31</t>
        </is>
      </c>
      <c r="K206" t="inlineStr">
        <is>
          <t>auto_seed=world_bank_wdi; indicator=NY.GDP.PCAP.PP.CD; observation_year=2024; dataset_lastupdated=2026-02-24; stale=no</t>
        </is>
      </c>
    </row>
    <row r="207">
      <c r="A207" t="inlineStr">
        <is>
          <t>Panama</t>
        </is>
      </c>
      <c r="B207" t="inlineStr">
        <is>
          <t>gdp_growth</t>
        </is>
      </c>
      <c r="C207" t="inlineStr">
        <is>
          <t>GDP growth</t>
        </is>
      </c>
      <c r="D207" t="inlineStr">
        <is>
          <t>creative</t>
        </is>
      </c>
      <c r="E207" t="inlineStr">
        <is>
          <t>yes</t>
        </is>
      </c>
      <c r="F207" t="inlineStr">
        <is>
          <t>2.7479</t>
        </is>
      </c>
      <c r="G207" t="inlineStr">
        <is>
          <t>world_bank</t>
        </is>
      </c>
      <c r="H207" t="inlineStr">
        <is>
          <t>https://api.worldbank.org/v2/country/PAN/indicator/NY.GDP.MKTP.KD.ZG?format=json&amp;mrv=30</t>
        </is>
      </c>
      <c r="I207" t="inlineStr">
        <is>
          <t>World Bank WDI: GDP growth (annual %)</t>
        </is>
      </c>
      <c r="J207" t="inlineStr">
        <is>
          <t>2024-12-31</t>
        </is>
      </c>
      <c r="K207" t="inlineStr">
        <is>
          <t>auto_seed=world_bank_wdi; indicator=NY.GDP.MKTP.KD.ZG; observation_year=2024; dataset_lastupdated=2026-02-24; stale=no</t>
        </is>
      </c>
    </row>
    <row r="208">
      <c r="A208" t="inlineStr">
        <is>
          <t>Panama</t>
        </is>
      </c>
      <c r="B208" t="inlineStr">
        <is>
          <t>gini_coefficient</t>
        </is>
      </c>
      <c r="C208" t="inlineStr">
        <is>
          <t>Gini coefficient</t>
        </is>
      </c>
      <c r="D208" t="inlineStr">
        <is>
          <t>capability</t>
        </is>
      </c>
      <c r="E208" t="inlineStr">
        <is>
          <t>yes</t>
        </is>
      </c>
      <c r="F208" t="inlineStr">
        <is>
          <t>49.7</t>
        </is>
      </c>
      <c r="G208" t="inlineStr">
        <is>
          <t>world_bank</t>
        </is>
      </c>
      <c r="H208" t="inlineStr">
        <is>
          <t>https://api.worldbank.org/v2/country/PAN/indicator/SI.POV.GINI?format=json&amp;mrv=30</t>
        </is>
      </c>
      <c r="I208" t="inlineStr">
        <is>
          <t>World Bank WDI: Gini index</t>
        </is>
      </c>
      <c r="J208" t="inlineStr">
        <is>
          <t>2024-12-31</t>
        </is>
      </c>
      <c r="K208" t="inlineStr">
        <is>
          <t>auto_seed=world_bank_wdi; indicator=SI.POV.GINI; observation_year=2024; dataset_lastupdated=2026-02-24; stale=no</t>
        </is>
      </c>
    </row>
    <row r="209">
      <c r="A209" t="inlineStr">
        <is>
          <t>Panama</t>
        </is>
      </c>
      <c r="B209" t="inlineStr">
        <is>
          <t>ppp_private_consumption</t>
        </is>
      </c>
      <c r="C209" t="inlineStr">
        <is>
          <t>PPP private consumption factor</t>
        </is>
      </c>
      <c r="D209" t="inlineStr">
        <is>
          <t>pressure</t>
        </is>
      </c>
      <c r="E209" t="inlineStr">
        <is>
          <t>yes</t>
        </is>
      </c>
      <c r="F209" t="inlineStr">
        <is>
          <t>0.511074</t>
        </is>
      </c>
      <c r="G209" t="inlineStr">
        <is>
          <t>world_bank</t>
        </is>
      </c>
      <c r="H209" t="inlineStr">
        <is>
          <t>https://api.worldbank.org/v2/country/PAN/indicator/PA.NUS.PRVT.PP?format=json&amp;mrv=30</t>
        </is>
      </c>
      <c r="I209" t="inlineStr">
        <is>
          <t>World Bank WDI: PPP conversion factor, private consumption (LCU per international $)</t>
        </is>
      </c>
      <c r="J209" t="inlineStr">
        <is>
          <t>2024-12-31</t>
        </is>
      </c>
      <c r="K209" t="inlineStr">
        <is>
          <t>auto_seed=world_bank_wdi; indicator=PA.NUS.PRVT.PP; observation_year=2024; dataset_lastupdated=2026-02-24; stale=no</t>
        </is>
      </c>
    </row>
    <row r="210">
      <c r="A210" t="inlineStr">
        <is>
          <t>Panama</t>
        </is>
      </c>
      <c r="B210" t="inlineStr">
        <is>
          <t>tax_rate_assumption</t>
        </is>
      </c>
      <c r="C210" t="inlineStr">
        <is>
          <t>Tax rate assumption</t>
        </is>
      </c>
      <c r="D210" t="inlineStr">
        <is>
          <t>pressure</t>
        </is>
      </c>
      <c r="E210" t="inlineStr">
        <is>
          <t>yes</t>
        </is>
      </c>
      <c r="F210" t="inlineStr">
        <is>
          <t>0.074606</t>
        </is>
      </c>
      <c r="G210" t="inlineStr">
        <is>
          <t>world_bank</t>
        </is>
      </c>
      <c r="H210" t="inlineStr">
        <is>
          <t>https://api.worldbank.org/v2/country/PAN/indicator/GC.TAX.TOTL.GD.ZS?format=json&amp;mrv=30</t>
        </is>
      </c>
      <c r="I210" t="inlineStr">
        <is>
          <t>World Bank WDI: Tax revenue (% of GDP) used as interim country average tax-take proxy</t>
        </is>
      </c>
      <c r="J210" t="inlineStr">
        <is>
          <t>2021-12-31</t>
        </is>
      </c>
      <c r="K210" t="inlineStr">
        <is>
          <t>auto_seed=world_bank_wdi; proxy=country_average_tax_take_from_tax_revenue_share; indicator=GC.TAX.TOTL.GD.ZS; observation_year=2021; dataset_lastupdated=2026-02-24; stale=no</t>
        </is>
      </c>
    </row>
    <row r="211">
      <c r="A211" t="inlineStr">
        <is>
          <t>Panama</t>
        </is>
      </c>
      <c r="B211" t="inlineStr">
        <is>
          <t>household_debt_proxy</t>
        </is>
      </c>
      <c r="C211" t="inlineStr">
        <is>
          <t>Household debt proxy</t>
        </is>
      </c>
      <c r="D211" t="inlineStr">
        <is>
          <t>pressure</t>
        </is>
      </c>
      <c r="E211" t="inlineStr">
        <is>
          <t>yes</t>
        </is>
      </c>
      <c r="F211" t="inlineStr">
        <is>
          <t>68.0947</t>
        </is>
      </c>
      <c r="G211" t="inlineStr">
        <is>
          <t>world_bank</t>
        </is>
      </c>
      <c r="H211" t="inlineStr">
        <is>
          <t>https://api.worldbank.org/v2/country/PAN/indicator/FD.AST.PRVT.GD.ZS?format=json&amp;mrv=30</t>
        </is>
      </c>
      <c r="I211" t="inlineStr">
        <is>
          <t>World Bank WDI: Domestic credit to private sector by banks (% of GDP) used as interim leverage proxy</t>
        </is>
      </c>
      <c r="J211" t="inlineStr">
        <is>
          <t>2024-12-31</t>
        </is>
      </c>
      <c r="K211" t="inlineStr">
        <is>
          <t>auto_seed=world_bank_wdi; proxy=broad_private_credit_not_household_only; indicator=FD.AST.PRVT.GD.ZS; observation_year=2024; dataset_lastupdated=2026-02-24; stale=no</t>
        </is>
      </c>
    </row>
    <row r="212">
      <c r="A212" t="inlineStr">
        <is>
          <t>Costa Rica</t>
        </is>
      </c>
      <c r="B212" t="inlineStr">
        <is>
          <t>gdp_per_capita_ppp</t>
        </is>
      </c>
      <c r="C212" t="inlineStr">
        <is>
          <t>GDP per capita (PPP)</t>
        </is>
      </c>
      <c r="D212" t="inlineStr">
        <is>
          <t>creative</t>
        </is>
      </c>
      <c r="E212" t="inlineStr">
        <is>
          <t>yes</t>
        </is>
      </c>
      <c r="F212" t="inlineStr">
        <is>
          <t>31106.76</t>
        </is>
      </c>
      <c r="G212" t="inlineStr">
        <is>
          <t>world_bank</t>
        </is>
      </c>
      <c r="H212" t="inlineStr">
        <is>
          <t>https://api.worldbank.org/v2/country/CRI/indicator/NY.GDP.PCAP.PP.CD?format=json&amp;mrv=30</t>
        </is>
      </c>
      <c r="I212" t="inlineStr">
        <is>
          <t>World Bank WDI: GDP per capita, PPP (current international $)</t>
        </is>
      </c>
      <c r="J212" t="inlineStr">
        <is>
          <t>2024-12-31</t>
        </is>
      </c>
      <c r="K212" t="inlineStr">
        <is>
          <t>auto_seed=world_bank_wdi; indicator=NY.GDP.PCAP.PP.CD; observation_year=2024; dataset_lastupdated=2026-02-24; stale=no</t>
        </is>
      </c>
    </row>
    <row r="213">
      <c r="A213" t="inlineStr">
        <is>
          <t>Costa Rica</t>
        </is>
      </c>
      <c r="B213" t="inlineStr">
        <is>
          <t>gdp_growth</t>
        </is>
      </c>
      <c r="C213" t="inlineStr">
        <is>
          <t>GDP growth</t>
        </is>
      </c>
      <c r="D213" t="inlineStr">
        <is>
          <t>creative</t>
        </is>
      </c>
      <c r="E213" t="inlineStr">
        <is>
          <t>yes</t>
        </is>
      </c>
      <c r="F213" t="inlineStr">
        <is>
          <t>4.3212</t>
        </is>
      </c>
      <c r="G213" t="inlineStr">
        <is>
          <t>world_bank</t>
        </is>
      </c>
      <c r="H213" t="inlineStr">
        <is>
          <t>https://api.worldbank.org/v2/country/CRI/indicator/NY.GDP.MKTP.KD.ZG?format=json&amp;mrv=30</t>
        </is>
      </c>
      <c r="I213" t="inlineStr">
        <is>
          <t>World Bank WDI: GDP growth (annual %)</t>
        </is>
      </c>
      <c r="J213" t="inlineStr">
        <is>
          <t>2024-12-31</t>
        </is>
      </c>
      <c r="K213" t="inlineStr">
        <is>
          <t>auto_seed=world_bank_wdi; indicator=NY.GDP.MKTP.KD.ZG; observation_year=2024; dataset_lastupdated=2026-02-24; stale=no</t>
        </is>
      </c>
    </row>
    <row r="214">
      <c r="A214" t="inlineStr">
        <is>
          <t>Costa Rica</t>
        </is>
      </c>
      <c r="B214" t="inlineStr">
        <is>
          <t>gini_coefficient</t>
        </is>
      </c>
      <c r="C214" t="inlineStr">
        <is>
          <t>Gini coefficient</t>
        </is>
      </c>
      <c r="D214" t="inlineStr">
        <is>
          <t>capability</t>
        </is>
      </c>
      <c r="E214" t="inlineStr">
        <is>
          <t>yes</t>
        </is>
      </c>
      <c r="F214" t="inlineStr">
        <is>
          <t>45.8</t>
        </is>
      </c>
      <c r="G214" t="inlineStr">
        <is>
          <t>world_bank</t>
        </is>
      </c>
      <c r="H214" t="inlineStr">
        <is>
          <t>https://api.worldbank.org/v2/country/CRI/indicator/SI.POV.GINI?format=json&amp;mrv=30</t>
        </is>
      </c>
      <c r="I214" t="inlineStr">
        <is>
          <t>World Bank WDI: Gini index</t>
        </is>
      </c>
      <c r="J214" t="inlineStr">
        <is>
          <t>2024-12-31</t>
        </is>
      </c>
      <c r="K214" t="inlineStr">
        <is>
          <t>auto_seed=world_bank_wdi; indicator=SI.POV.GINI; observation_year=2024; dataset_lastupdated=2026-02-24; stale=no</t>
        </is>
      </c>
    </row>
    <row r="215">
      <c r="A215" t="inlineStr">
        <is>
          <t>Costa Rica</t>
        </is>
      </c>
      <c r="B215" t="inlineStr">
        <is>
          <t>ppp_private_consumption</t>
        </is>
      </c>
      <c r="C215" t="inlineStr">
        <is>
          <t>PPP private consumption factor</t>
        </is>
      </c>
      <c r="D215" t="inlineStr">
        <is>
          <t>pressure</t>
        </is>
      </c>
      <c r="E215" t="inlineStr">
        <is>
          <t>yes</t>
        </is>
      </c>
      <c r="F215" t="inlineStr">
        <is>
          <t>328.046587</t>
        </is>
      </c>
      <c r="G215" t="inlineStr">
        <is>
          <t>world_bank</t>
        </is>
      </c>
      <c r="H215" t="inlineStr">
        <is>
          <t>https://api.worldbank.org/v2/country/CRI/indicator/PA.NUS.PRVT.PP?format=json&amp;mrv=30</t>
        </is>
      </c>
      <c r="I215" t="inlineStr">
        <is>
          <t>World Bank WDI: PPP conversion factor, private consumption (LCU per international $)</t>
        </is>
      </c>
      <c r="J215" t="inlineStr">
        <is>
          <t>2024-12-31</t>
        </is>
      </c>
      <c r="K215" t="inlineStr">
        <is>
          <t>auto_seed=world_bank_wdi; indicator=PA.NUS.PRVT.PP; observation_year=2024; dataset_lastupdated=2026-02-24; stale=no</t>
        </is>
      </c>
    </row>
    <row r="216">
      <c r="A216" t="inlineStr">
        <is>
          <t>Costa Rica</t>
        </is>
      </c>
      <c r="B216" t="inlineStr">
        <is>
          <t>tax_rate_assumption</t>
        </is>
      </c>
      <c r="C216" t="inlineStr">
        <is>
          <t>Tax rate assumption</t>
        </is>
      </c>
      <c r="D216" t="inlineStr">
        <is>
          <t>pressure</t>
        </is>
      </c>
      <c r="E216" t="inlineStr">
        <is>
          <t>yes</t>
        </is>
      </c>
      <c r="F216" t="inlineStr">
        <is>
          <t>0.139115</t>
        </is>
      </c>
      <c r="G216" t="inlineStr">
        <is>
          <t>world_bank</t>
        </is>
      </c>
      <c r="H216" t="inlineStr">
        <is>
          <t>https://api.worldbank.org/v2/country/CRI/indicator/GC.TAX.TOTL.GD.ZS?format=json&amp;mrv=30</t>
        </is>
      </c>
      <c r="I216" t="inlineStr">
        <is>
          <t>World Bank WDI: Tax revenue (% of GDP) used as interim country average tax-take proxy</t>
        </is>
      </c>
      <c r="J216" t="inlineStr">
        <is>
          <t>2023-12-31</t>
        </is>
      </c>
      <c r="K216" t="inlineStr">
        <is>
          <t>auto_seed=world_bank_wdi; proxy=country_average_tax_take_from_tax_revenue_share; indicator=GC.TAX.TOTL.GD.ZS; observation_year=2023; dataset_lastupdated=2026-02-24; stale=no</t>
        </is>
      </c>
    </row>
    <row r="217">
      <c r="A217" t="inlineStr">
        <is>
          <t>Costa Rica</t>
        </is>
      </c>
      <c r="B217" t="inlineStr">
        <is>
          <t>household_debt_proxy</t>
        </is>
      </c>
      <c r="C217" t="inlineStr">
        <is>
          <t>Household debt proxy</t>
        </is>
      </c>
      <c r="D217" t="inlineStr">
        <is>
          <t>pressure</t>
        </is>
      </c>
      <c r="E217" t="inlineStr">
        <is>
          <t>yes</t>
        </is>
      </c>
      <c r="F217" t="inlineStr">
        <is>
          <t>50.9742</t>
        </is>
      </c>
      <c r="G217" t="inlineStr">
        <is>
          <t>world_bank</t>
        </is>
      </c>
      <c r="H217" t="inlineStr">
        <is>
          <t>https://api.worldbank.org/v2/country/CRI/indicator/FD.AST.PRVT.GD.ZS?format=json&amp;mrv=30</t>
        </is>
      </c>
      <c r="I217" t="inlineStr">
        <is>
          <t>World Bank WDI: Domestic credit to private sector by banks (% of GDP) used as interim leverage proxy</t>
        </is>
      </c>
      <c r="J217" t="inlineStr">
        <is>
          <t>2024-12-31</t>
        </is>
      </c>
      <c r="K217" t="inlineStr">
        <is>
          <t>auto_seed=world_bank_wdi; proxy=broad_private_credit_not_household_only; indicator=FD.AST.PRVT.GD.ZS; observation_year=2024; dataset_lastupdated=2026-02-24; stale=no</t>
        </is>
      </c>
    </row>
    <row r="218">
      <c r="A218" t="inlineStr">
        <is>
          <t>Puerto Rico</t>
        </is>
      </c>
      <c r="B218" t="inlineStr">
        <is>
          <t>gdp_per_capita_ppp</t>
        </is>
      </c>
      <c r="C218" t="inlineStr">
        <is>
          <t>GDP per capita (PPP)</t>
        </is>
      </c>
      <c r="D218" t="inlineStr">
        <is>
          <t>creative</t>
        </is>
      </c>
      <c r="E218" t="inlineStr">
        <is>
          <t>yes</t>
        </is>
      </c>
      <c r="F218" t="inlineStr">
        <is>
          <t>50247.85</t>
        </is>
      </c>
      <c r="G218" t="inlineStr">
        <is>
          <t>world_bank</t>
        </is>
      </c>
      <c r="H218" t="inlineStr">
        <is>
          <t>https://api.worldbank.org/v2/country/PRI/indicator/NY.GDP.PCAP.PP.CD?format=json&amp;mrv=30</t>
        </is>
      </c>
      <c r="I218" t="inlineStr">
        <is>
          <t>World Bank WDI: GDP per capita, PPP (current international $)</t>
        </is>
      </c>
      <c r="J218" t="inlineStr">
        <is>
          <t>2024-12-31</t>
        </is>
      </c>
      <c r="K218" t="inlineStr">
        <is>
          <t>auto_seed=world_bank_wdi; indicator=NY.GDP.PCAP.PP.CD; observation_year=2024; dataset_lastupdated=2026-02-24; stale=no</t>
        </is>
      </c>
    </row>
    <row r="219">
      <c r="A219" t="inlineStr">
        <is>
          <t>Puerto Rico</t>
        </is>
      </c>
      <c r="B219" t="inlineStr">
        <is>
          <t>gdp_growth</t>
        </is>
      </c>
      <c r="C219" t="inlineStr">
        <is>
          <t>GDP growth</t>
        </is>
      </c>
      <c r="D219" t="inlineStr">
        <is>
          <t>creative</t>
        </is>
      </c>
      <c r="E219" t="inlineStr">
        <is>
          <t>yes</t>
        </is>
      </c>
      <c r="F219" t="inlineStr">
        <is>
          <t>3.1771</t>
        </is>
      </c>
      <c r="G219" t="inlineStr">
        <is>
          <t>world_bank</t>
        </is>
      </c>
      <c r="H219" t="inlineStr">
        <is>
          <t>https://api.worldbank.org/v2/country/PRI/indicator/NY.GDP.MKTP.KD.ZG?format=json&amp;mrv=30</t>
        </is>
      </c>
      <c r="I219" t="inlineStr">
        <is>
          <t>World Bank WDI: GDP growth (annual %)</t>
        </is>
      </c>
      <c r="J219" t="inlineStr">
        <is>
          <t>2024-12-31</t>
        </is>
      </c>
      <c r="K219" t="inlineStr">
        <is>
          <t>auto_seed=world_bank_wdi; indicator=NY.GDP.MKTP.KD.ZG; observation_year=2024; dataset_lastupdated=2026-02-24; stale=no</t>
        </is>
      </c>
    </row>
    <row r="220">
      <c r="A220" t="inlineStr">
        <is>
          <t>Puerto Rico</t>
        </is>
      </c>
      <c r="B220" t="inlineStr">
        <is>
          <t>gini_coefficient</t>
        </is>
      </c>
      <c r="C220" t="inlineStr">
        <is>
          <t>Gini coefficient</t>
        </is>
      </c>
      <c r="D220" t="inlineStr">
        <is>
          <t>capability</t>
        </is>
      </c>
      <c r="E220" t="inlineStr">
        <is>
          <t>yes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Puerto Rico</t>
        </is>
      </c>
      <c r="B221" t="inlineStr">
        <is>
          <t>ppp_private_consumption</t>
        </is>
      </c>
      <c r="C221" t="inlineStr">
        <is>
          <t>PPP private consumption factor</t>
        </is>
      </c>
      <c r="D221" t="inlineStr">
        <is>
          <t>pressure</t>
        </is>
      </c>
      <c r="E221" t="inlineStr">
        <is>
          <t>yes</t>
        </is>
      </c>
      <c r="F221" t="inlineStr">
        <is>
          <t>0.896932</t>
        </is>
      </c>
      <c r="G221" t="inlineStr">
        <is>
          <t>world_bank</t>
        </is>
      </c>
      <c r="H221" t="inlineStr">
        <is>
          <t>https://api.worldbank.org/v2/country/PRI/indicator/PA.NUS.PRVT.PP?format=json&amp;mrv=30</t>
        </is>
      </c>
      <c r="I221" t="inlineStr">
        <is>
          <t>World Bank WDI: PPP conversion factor, private consumption (LCU per international $)</t>
        </is>
      </c>
      <c r="J221" t="inlineStr">
        <is>
          <t>2021-12-31</t>
        </is>
      </c>
      <c r="K221" t="inlineStr">
        <is>
          <t>auto_seed=world_bank_wdi; indicator=PA.NUS.PRVT.PP; observation_year=2021; dataset_lastupdated=2026-02-24; stale=yes</t>
        </is>
      </c>
    </row>
    <row r="222">
      <c r="A222" t="inlineStr">
        <is>
          <t>Puerto Rico</t>
        </is>
      </c>
      <c r="B222" t="inlineStr">
        <is>
          <t>tax_rate_assumption</t>
        </is>
      </c>
      <c r="C222" t="inlineStr">
        <is>
          <t>Tax rate assumption</t>
        </is>
      </c>
      <c r="D222" t="inlineStr">
        <is>
          <t>pressure</t>
        </is>
      </c>
      <c r="E222" t="inlineStr">
        <is>
          <t>yes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Puerto Rico</t>
        </is>
      </c>
      <c r="B223" t="inlineStr">
        <is>
          <t>household_debt_proxy</t>
        </is>
      </c>
      <c r="C223" t="inlineStr">
        <is>
          <t>Household debt proxy</t>
        </is>
      </c>
      <c r="D223" t="inlineStr">
        <is>
          <t>pressure</t>
        </is>
      </c>
      <c r="E223" t="inlineStr">
        <is>
          <t>yes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Brazil</t>
        </is>
      </c>
      <c r="B224" t="inlineStr">
        <is>
          <t>gdp_per_capita_ppp</t>
        </is>
      </c>
      <c r="C224" t="inlineStr">
        <is>
          <t>GDP per capita (PPP)</t>
        </is>
      </c>
      <c r="D224" t="inlineStr">
        <is>
          <t>creative</t>
        </is>
      </c>
      <c r="E224" t="inlineStr">
        <is>
          <t>yes</t>
        </is>
      </c>
      <c r="F224" t="inlineStr">
        <is>
          <t>22338.48</t>
        </is>
      </c>
      <c r="G224" t="inlineStr">
        <is>
          <t>world_bank</t>
        </is>
      </c>
      <c r="H224" t="inlineStr">
        <is>
          <t>https://api.worldbank.org/v2/country/BRA/indicator/NY.GDP.PCAP.PP.CD?format=json&amp;mrv=30</t>
        </is>
      </c>
      <c r="I224" t="inlineStr">
        <is>
          <t>World Bank WDI: GDP per capita, PPP (current international $)</t>
        </is>
      </c>
      <c r="J224" t="inlineStr">
        <is>
          <t>2024-12-31</t>
        </is>
      </c>
      <c r="K224" t="inlineStr">
        <is>
          <t>auto_seed=world_bank_wdi; indicator=NY.GDP.PCAP.PP.CD; observation_year=2024; dataset_lastupdated=2026-02-24; stale=no</t>
        </is>
      </c>
    </row>
    <row r="225">
      <c r="A225" t="inlineStr">
        <is>
          <t>Brazil</t>
        </is>
      </c>
      <c r="B225" t="inlineStr">
        <is>
          <t>gdp_growth</t>
        </is>
      </c>
      <c r="C225" t="inlineStr">
        <is>
          <t>GDP growth</t>
        </is>
      </c>
      <c r="D225" t="inlineStr">
        <is>
          <t>creative</t>
        </is>
      </c>
      <c r="E225" t="inlineStr">
        <is>
          <t>yes</t>
        </is>
      </c>
      <c r="F225" t="inlineStr">
        <is>
          <t>3.4193</t>
        </is>
      </c>
      <c r="G225" t="inlineStr">
        <is>
          <t>world_bank</t>
        </is>
      </c>
      <c r="H225" t="inlineStr">
        <is>
          <t>https://api.worldbank.org/v2/country/BRA/indicator/NY.GDP.MKTP.KD.ZG?format=json&amp;mrv=30</t>
        </is>
      </c>
      <c r="I225" t="inlineStr">
        <is>
          <t>World Bank WDI: GDP growth (annual %)</t>
        </is>
      </c>
      <c r="J225" t="inlineStr">
        <is>
          <t>2024-12-31</t>
        </is>
      </c>
      <c r="K225" t="inlineStr">
        <is>
          <t>auto_seed=world_bank_wdi; indicator=NY.GDP.MKTP.KD.ZG; observation_year=2024; dataset_lastupdated=2026-02-24; stale=no</t>
        </is>
      </c>
    </row>
    <row r="226">
      <c r="A226" t="inlineStr">
        <is>
          <t>Brazil</t>
        </is>
      </c>
      <c r="B226" t="inlineStr">
        <is>
          <t>gini_coefficient</t>
        </is>
      </c>
      <c r="C226" t="inlineStr">
        <is>
          <t>Gini coefficient</t>
        </is>
      </c>
      <c r="D226" t="inlineStr">
        <is>
          <t>capability</t>
        </is>
      </c>
      <c r="E226" t="inlineStr">
        <is>
          <t>yes</t>
        </is>
      </c>
      <c r="F226" t="inlineStr">
        <is>
          <t>51.6</t>
        </is>
      </c>
      <c r="G226" t="inlineStr">
        <is>
          <t>world_bank</t>
        </is>
      </c>
      <c r="H226" t="inlineStr">
        <is>
          <t>https://api.worldbank.org/v2/country/BRA/indicator/SI.POV.GINI?format=json&amp;mrv=30</t>
        </is>
      </c>
      <c r="I226" t="inlineStr">
        <is>
          <t>World Bank WDI: Gini index</t>
        </is>
      </c>
      <c r="J226" t="inlineStr">
        <is>
          <t>2023-12-31</t>
        </is>
      </c>
      <c r="K226" t="inlineStr">
        <is>
          <t>auto_seed=world_bank_wdi; indicator=SI.POV.GINI; observation_year=2023; dataset_lastupdated=2026-02-24; stale=no</t>
        </is>
      </c>
    </row>
    <row r="227">
      <c r="A227" t="inlineStr">
        <is>
          <t>Brazil</t>
        </is>
      </c>
      <c r="B227" t="inlineStr">
        <is>
          <t>ppp_private_consumption</t>
        </is>
      </c>
      <c r="C227" t="inlineStr">
        <is>
          <t>PPP private consumption factor</t>
        </is>
      </c>
      <c r="D227" t="inlineStr">
        <is>
          <t>pressure</t>
        </is>
      </c>
      <c r="E227" t="inlineStr">
        <is>
          <t>yes</t>
        </is>
      </c>
      <c r="F227" t="inlineStr">
        <is>
          <t>2.524497</t>
        </is>
      </c>
      <c r="G227" t="inlineStr">
        <is>
          <t>world_bank</t>
        </is>
      </c>
      <c r="H227" t="inlineStr">
        <is>
          <t>https://api.worldbank.org/v2/country/BRA/indicator/PA.NUS.PRVT.PP?format=json&amp;mrv=30</t>
        </is>
      </c>
      <c r="I227" t="inlineStr">
        <is>
          <t>World Bank WDI: PPP conversion factor, private consumption (LCU per international $)</t>
        </is>
      </c>
      <c r="J227" t="inlineStr">
        <is>
          <t>2024-12-31</t>
        </is>
      </c>
      <c r="K227" t="inlineStr">
        <is>
          <t>auto_seed=world_bank_wdi; indicator=PA.NUS.PRVT.PP; observation_year=2024; dataset_lastupdated=2026-02-24; stale=no</t>
        </is>
      </c>
    </row>
    <row r="228">
      <c r="A228" t="inlineStr">
        <is>
          <t>Brazil</t>
        </is>
      </c>
      <c r="B228" t="inlineStr">
        <is>
          <t>tax_rate_assumption</t>
        </is>
      </c>
      <c r="C228" t="inlineStr">
        <is>
          <t>Tax rate assumption</t>
        </is>
      </c>
      <c r="D228" t="inlineStr">
        <is>
          <t>pressure</t>
        </is>
      </c>
      <c r="E228" t="inlineStr">
        <is>
          <t>yes</t>
        </is>
      </c>
      <c r="F228" t="inlineStr">
        <is>
          <t>0.154102</t>
        </is>
      </c>
      <c r="G228" t="inlineStr">
        <is>
          <t>world_bank</t>
        </is>
      </c>
      <c r="H228" t="inlineStr">
        <is>
          <t>https://api.worldbank.org/v2/country/BRA/indicator/GC.TAX.TOTL.GD.ZS?format=json&amp;mrv=30</t>
        </is>
      </c>
      <c r="I228" t="inlineStr">
        <is>
          <t>World Bank WDI: Tax revenue (% of GDP) used as interim country average tax-take proxy</t>
        </is>
      </c>
      <c r="J228" t="inlineStr">
        <is>
          <t>2024-12-31</t>
        </is>
      </c>
      <c r="K228" t="inlineStr">
        <is>
          <t>auto_seed=world_bank_wdi; proxy=country_average_tax_take_from_tax_revenue_share; indicator=GC.TAX.TOTL.GD.ZS; observation_year=2024; dataset_lastupdated=2026-02-24; stale=no</t>
        </is>
      </c>
    </row>
    <row r="229">
      <c r="A229" t="inlineStr">
        <is>
          <t>Brazil</t>
        </is>
      </c>
      <c r="B229" t="inlineStr">
        <is>
          <t>household_debt_proxy</t>
        </is>
      </c>
      <c r="C229" t="inlineStr">
        <is>
          <t>Household debt proxy</t>
        </is>
      </c>
      <c r="D229" t="inlineStr">
        <is>
          <t>pressure</t>
        </is>
      </c>
      <c r="E229" t="inlineStr">
        <is>
          <t>yes</t>
        </is>
      </c>
      <c r="F229" t="inlineStr">
        <is>
          <t>75.6164</t>
        </is>
      </c>
      <c r="G229" t="inlineStr">
        <is>
          <t>world_bank</t>
        </is>
      </c>
      <c r="H229" t="inlineStr">
        <is>
          <t>https://api.worldbank.org/v2/country/BRA/indicator/FD.AST.PRVT.GD.ZS?format=json&amp;mrv=30</t>
        </is>
      </c>
      <c r="I229" t="inlineStr">
        <is>
          <t>World Bank WDI: Domestic credit to private sector by banks (% of GDP) used as interim leverage proxy</t>
        </is>
      </c>
      <c r="J229" t="inlineStr">
        <is>
          <t>2024-12-31</t>
        </is>
      </c>
      <c r="K229" t="inlineStr">
        <is>
          <t>auto_seed=world_bank_wdi; proxy=broad_private_credit_not_household_only; indicator=FD.AST.PRVT.GD.ZS; observation_year=2024; dataset_lastupdated=2026-02-24; stale=no</t>
        </is>
      </c>
    </row>
    <row r="230">
      <c r="A230" t="inlineStr">
        <is>
          <t>Argentina</t>
        </is>
      </c>
      <c r="B230" t="inlineStr">
        <is>
          <t>gdp_per_capita_ppp</t>
        </is>
      </c>
      <c r="C230" t="inlineStr">
        <is>
          <t>GDP per capita (PPP)</t>
        </is>
      </c>
      <c r="D230" t="inlineStr">
        <is>
          <t>creative</t>
        </is>
      </c>
      <c r="E230" t="inlineStr">
        <is>
          <t>yes</t>
        </is>
      </c>
      <c r="F230" t="inlineStr">
        <is>
          <t>30431.19</t>
        </is>
      </c>
      <c r="G230" t="inlineStr">
        <is>
          <t>world_bank</t>
        </is>
      </c>
      <c r="H230" t="inlineStr">
        <is>
          <t>https://api.worldbank.org/v2/country/ARG/indicator/NY.GDP.PCAP.PP.CD?format=json&amp;mrv=30</t>
        </is>
      </c>
      <c r="I230" t="inlineStr">
        <is>
          <t>World Bank WDI: GDP per capita, PPP (current international $)</t>
        </is>
      </c>
      <c r="J230" t="inlineStr">
        <is>
          <t>2024-12-31</t>
        </is>
      </c>
      <c r="K230" t="inlineStr">
        <is>
          <t>auto_seed=world_bank_wdi; indicator=NY.GDP.PCAP.PP.CD; observation_year=2024; dataset_lastupdated=2026-02-24; stale=no</t>
        </is>
      </c>
    </row>
    <row r="231">
      <c r="A231" t="inlineStr">
        <is>
          <t>Argentina</t>
        </is>
      </c>
      <c r="B231" t="inlineStr">
        <is>
          <t>gdp_growth</t>
        </is>
      </c>
      <c r="C231" t="inlineStr">
        <is>
          <t>GDP growth</t>
        </is>
      </c>
      <c r="D231" t="inlineStr">
        <is>
          <t>creative</t>
        </is>
      </c>
      <c r="E231" t="inlineStr">
        <is>
          <t>yes</t>
        </is>
      </c>
      <c r="F231" t="inlineStr">
        <is>
          <t>-1.3429</t>
        </is>
      </c>
      <c r="G231" t="inlineStr">
        <is>
          <t>world_bank</t>
        </is>
      </c>
      <c r="H231" t="inlineStr">
        <is>
          <t>https://api.worldbank.org/v2/country/ARG/indicator/NY.GDP.MKTP.KD.ZG?format=json&amp;mrv=30</t>
        </is>
      </c>
      <c r="I231" t="inlineStr">
        <is>
          <t>World Bank WDI: GDP growth (annual %)</t>
        </is>
      </c>
      <c r="J231" t="inlineStr">
        <is>
          <t>2024-12-31</t>
        </is>
      </c>
      <c r="K231" t="inlineStr">
        <is>
          <t>auto_seed=world_bank_wdi; indicator=NY.GDP.MKTP.KD.ZG; observation_year=2024; dataset_lastupdated=2026-02-24; stale=no</t>
        </is>
      </c>
    </row>
    <row r="232">
      <c r="A232" t="inlineStr">
        <is>
          <t>Argentina</t>
        </is>
      </c>
      <c r="B232" t="inlineStr">
        <is>
          <t>gini_coefficient</t>
        </is>
      </c>
      <c r="C232" t="inlineStr">
        <is>
          <t>Gini coefficient</t>
        </is>
      </c>
      <c r="D232" t="inlineStr">
        <is>
          <t>capability</t>
        </is>
      </c>
      <c r="E232" t="inlineStr">
        <is>
          <t>yes</t>
        </is>
      </c>
      <c r="F232" t="inlineStr">
        <is>
          <t>42.4</t>
        </is>
      </c>
      <c r="G232" t="inlineStr">
        <is>
          <t>world_bank</t>
        </is>
      </c>
      <c r="H232" t="inlineStr">
        <is>
          <t>https://api.worldbank.org/v2/country/ARG/indicator/SI.POV.GINI?format=json&amp;mrv=30</t>
        </is>
      </c>
      <c r="I232" t="inlineStr">
        <is>
          <t>World Bank WDI: Gini index</t>
        </is>
      </c>
      <c r="J232" t="inlineStr">
        <is>
          <t>2024-12-31</t>
        </is>
      </c>
      <c r="K232" t="inlineStr">
        <is>
          <t>auto_seed=world_bank_wdi; indicator=SI.POV.GINI; observation_year=2024; dataset_lastupdated=2026-02-24; stale=no</t>
        </is>
      </c>
    </row>
    <row r="233">
      <c r="A233" t="inlineStr">
        <is>
          <t>Argentina</t>
        </is>
      </c>
      <c r="B233" t="inlineStr">
        <is>
          <t>ppp_private_consumption</t>
        </is>
      </c>
      <c r="C233" t="inlineStr">
        <is>
          <t>PPP private consumption factor</t>
        </is>
      </c>
      <c r="D233" t="inlineStr">
        <is>
          <t>pressure</t>
        </is>
      </c>
      <c r="E233" t="inlineStr">
        <is>
          <t>yes</t>
        </is>
      </c>
      <c r="F233" t="inlineStr">
        <is>
          <t>42.98624</t>
        </is>
      </c>
      <c r="G233" t="inlineStr">
        <is>
          <t>world_bank</t>
        </is>
      </c>
      <c r="H233" t="inlineStr">
        <is>
          <t>https://api.worldbank.org/v2/country/ARG/indicator/PA.NUS.PRVT.PP?format=json&amp;mrv=30</t>
        </is>
      </c>
      <c r="I233" t="inlineStr">
        <is>
          <t>World Bank WDI: PPP conversion factor, private consumption (LCU per international $)</t>
        </is>
      </c>
      <c r="J233" t="inlineStr">
        <is>
          <t>2021-12-31</t>
        </is>
      </c>
      <c r="K233" t="inlineStr">
        <is>
          <t>auto_seed=world_bank_wdi; indicator=PA.NUS.PRVT.PP; observation_year=2021; dataset_lastupdated=2026-02-24; stale=yes</t>
        </is>
      </c>
    </row>
    <row r="234">
      <c r="A234" t="inlineStr">
        <is>
          <t>Argentina</t>
        </is>
      </c>
      <c r="B234" t="inlineStr">
        <is>
          <t>tax_rate_assumption</t>
        </is>
      </c>
      <c r="C234" t="inlineStr">
        <is>
          <t>Tax rate assumption</t>
        </is>
      </c>
      <c r="D234" t="inlineStr">
        <is>
          <t>pressure</t>
        </is>
      </c>
      <c r="E234" t="inlineStr">
        <is>
          <t>yes</t>
        </is>
      </c>
      <c r="F234" t="inlineStr">
        <is>
          <t>0.099289</t>
        </is>
      </c>
      <c r="G234" t="inlineStr">
        <is>
          <t>world_bank</t>
        </is>
      </c>
      <c r="H234" t="inlineStr">
        <is>
          <t>https://api.worldbank.org/v2/country/ARG/indicator/GC.TAX.TOTL.GD.ZS?format=json&amp;mrv=30</t>
        </is>
      </c>
      <c r="I234" t="inlineStr">
        <is>
          <t>World Bank WDI: Tax revenue (% of GDP) used as interim country average tax-take proxy</t>
        </is>
      </c>
      <c r="J234" t="inlineStr">
        <is>
          <t>2023-12-31</t>
        </is>
      </c>
      <c r="K234" t="inlineStr">
        <is>
          <t>auto_seed=world_bank_wdi; proxy=country_average_tax_take_from_tax_revenue_share; indicator=GC.TAX.TOTL.GD.ZS; observation_year=2023; dataset_lastupdated=2026-02-24; stale=no</t>
        </is>
      </c>
    </row>
    <row r="235">
      <c r="A235" t="inlineStr">
        <is>
          <t>Argentina</t>
        </is>
      </c>
      <c r="B235" t="inlineStr">
        <is>
          <t>household_debt_proxy</t>
        </is>
      </c>
      <c r="C235" t="inlineStr">
        <is>
          <t>Household debt proxy</t>
        </is>
      </c>
      <c r="D235" t="inlineStr">
        <is>
          <t>pressure</t>
        </is>
      </c>
      <c r="E235" t="inlineStr">
        <is>
          <t>yes</t>
        </is>
      </c>
      <c r="F235" t="inlineStr">
        <is>
          <t>13.0788</t>
        </is>
      </c>
      <c r="G235" t="inlineStr">
        <is>
          <t>world_bank</t>
        </is>
      </c>
      <c r="H235" t="inlineStr">
        <is>
          <t>https://api.worldbank.org/v2/country/ARG/indicator/FD.AST.PRVT.GD.ZS?format=json&amp;mrv=30</t>
        </is>
      </c>
      <c r="I235" t="inlineStr">
        <is>
          <t>World Bank WDI: Domestic credit to private sector by banks (% of GDP) used as interim leverage proxy</t>
        </is>
      </c>
      <c r="J235" t="inlineStr">
        <is>
          <t>2024-12-31</t>
        </is>
      </c>
      <c r="K235" t="inlineStr">
        <is>
          <t>auto_seed=world_bank_wdi; proxy=broad_private_credit_not_household_only; indicator=FD.AST.PRVT.GD.ZS; observation_year=2024; dataset_lastupdated=2026-02-24; stale=no</t>
        </is>
      </c>
    </row>
    <row r="236">
      <c r="A236" t="inlineStr">
        <is>
          <t>Chile</t>
        </is>
      </c>
      <c r="B236" t="inlineStr">
        <is>
          <t>gdp_per_capita_ppp</t>
        </is>
      </c>
      <c r="C236" t="inlineStr">
        <is>
          <t>GDP per capita (PPP)</t>
        </is>
      </c>
      <c r="D236" t="inlineStr">
        <is>
          <t>creative</t>
        </is>
      </c>
      <c r="E236" t="inlineStr">
        <is>
          <t>yes</t>
        </is>
      </c>
      <c r="F236" t="inlineStr">
        <is>
          <t>36181.16</t>
        </is>
      </c>
      <c r="G236" t="inlineStr">
        <is>
          <t>world_bank</t>
        </is>
      </c>
      <c r="H236" t="inlineStr">
        <is>
          <t>https://api.worldbank.org/v2/country/CHL/indicator/NY.GDP.PCAP.PP.CD?format=json&amp;mrv=30</t>
        </is>
      </c>
      <c r="I236" t="inlineStr">
        <is>
          <t>World Bank WDI: GDP per capita, PPP (current international $)</t>
        </is>
      </c>
      <c r="J236" t="inlineStr">
        <is>
          <t>2024-12-31</t>
        </is>
      </c>
      <c r="K236" t="inlineStr">
        <is>
          <t>auto_seed=world_bank_wdi; indicator=NY.GDP.PCAP.PP.CD; observation_year=2024; dataset_lastupdated=2026-02-24; stale=no</t>
        </is>
      </c>
    </row>
    <row r="237">
      <c r="A237" t="inlineStr">
        <is>
          <t>Chile</t>
        </is>
      </c>
      <c r="B237" t="inlineStr">
        <is>
          <t>gdp_growth</t>
        </is>
      </c>
      <c r="C237" t="inlineStr">
        <is>
          <t>GDP growth</t>
        </is>
      </c>
      <c r="D237" t="inlineStr">
        <is>
          <t>creative</t>
        </is>
      </c>
      <c r="E237" t="inlineStr">
        <is>
          <t>yes</t>
        </is>
      </c>
      <c r="F237" t="inlineStr">
        <is>
          <t>2.6443</t>
        </is>
      </c>
      <c r="G237" t="inlineStr">
        <is>
          <t>world_bank</t>
        </is>
      </c>
      <c r="H237" t="inlineStr">
        <is>
          <t>https://api.worldbank.org/v2/country/CHL/indicator/NY.GDP.MKTP.KD.ZG?format=json&amp;mrv=30</t>
        </is>
      </c>
      <c r="I237" t="inlineStr">
        <is>
          <t>World Bank WDI: GDP growth (annual %)</t>
        </is>
      </c>
      <c r="J237" t="inlineStr">
        <is>
          <t>2024-12-31</t>
        </is>
      </c>
      <c r="K237" t="inlineStr">
        <is>
          <t>auto_seed=world_bank_wdi; indicator=NY.GDP.MKTP.KD.ZG; observation_year=2024; dataset_lastupdated=2026-02-24; stale=no</t>
        </is>
      </c>
    </row>
    <row r="238">
      <c r="A238" t="inlineStr">
        <is>
          <t>Chile</t>
        </is>
      </c>
      <c r="B238" t="inlineStr">
        <is>
          <t>gini_coefficient</t>
        </is>
      </c>
      <c r="C238" t="inlineStr">
        <is>
          <t>Gini coefficient</t>
        </is>
      </c>
      <c r="D238" t="inlineStr">
        <is>
          <t>capability</t>
        </is>
      </c>
      <c r="E238" t="inlineStr">
        <is>
          <t>yes</t>
        </is>
      </c>
      <c r="F238" t="inlineStr">
        <is>
          <t>43</t>
        </is>
      </c>
      <c r="G238" t="inlineStr">
        <is>
          <t>world_bank</t>
        </is>
      </c>
      <c r="H238" t="inlineStr">
        <is>
          <t>https://api.worldbank.org/v2/country/CHL/indicator/SI.POV.GINI?format=json&amp;mrv=30</t>
        </is>
      </c>
      <c r="I238" t="inlineStr">
        <is>
          <t>World Bank WDI: Gini index</t>
        </is>
      </c>
      <c r="J238" t="inlineStr">
        <is>
          <t>2022-12-31</t>
        </is>
      </c>
      <c r="K238" t="inlineStr">
        <is>
          <t>auto_seed=world_bank_wdi; indicator=SI.POV.GINI; observation_year=2022; dataset_lastupdated=2026-02-24; stale=no</t>
        </is>
      </c>
    </row>
    <row r="239">
      <c r="A239" t="inlineStr">
        <is>
          <t>Chile</t>
        </is>
      </c>
      <c r="B239" t="inlineStr">
        <is>
          <t>ppp_private_consumption</t>
        </is>
      </c>
      <c r="C239" t="inlineStr">
        <is>
          <t>PPP private consumption factor</t>
        </is>
      </c>
      <c r="D239" t="inlineStr">
        <is>
          <t>pressure</t>
        </is>
      </c>
      <c r="E239" t="inlineStr">
        <is>
          <t>yes</t>
        </is>
      </c>
      <c r="F239" t="inlineStr">
        <is>
          <t>464.876032</t>
        </is>
      </c>
      <c r="G239" t="inlineStr">
        <is>
          <t>world_bank</t>
        </is>
      </c>
      <c r="H239" t="inlineStr">
        <is>
          <t>https://api.worldbank.org/v2/country/CHL/indicator/PA.NUS.PRVT.PP?format=json&amp;mrv=30</t>
        </is>
      </c>
      <c r="I239" t="inlineStr">
        <is>
          <t>World Bank WDI: PPP conversion factor, private consumption (LCU per international $)</t>
        </is>
      </c>
      <c r="J239" t="inlineStr">
        <is>
          <t>2024-12-31</t>
        </is>
      </c>
      <c r="K239" t="inlineStr">
        <is>
          <t>auto_seed=world_bank_wdi; indicator=PA.NUS.PRVT.PP; observation_year=2024; dataset_lastupdated=2026-02-24; stale=no</t>
        </is>
      </c>
    </row>
    <row r="240">
      <c r="A240" t="inlineStr">
        <is>
          <t>Chile</t>
        </is>
      </c>
      <c r="B240" t="inlineStr">
        <is>
          <t>tax_rate_assumption</t>
        </is>
      </c>
      <c r="C240" t="inlineStr">
        <is>
          <t>Tax rate assumption</t>
        </is>
      </c>
      <c r="D240" t="inlineStr">
        <is>
          <t>pressure</t>
        </is>
      </c>
      <c r="E240" t="inlineStr">
        <is>
          <t>yes</t>
        </is>
      </c>
      <c r="F240" t="inlineStr">
        <is>
          <t>0.177194</t>
        </is>
      </c>
      <c r="G240" t="inlineStr">
        <is>
          <t>world_bank</t>
        </is>
      </c>
      <c r="H240" t="inlineStr">
        <is>
          <t>https://api.worldbank.org/v2/country/CHL/indicator/GC.TAX.TOTL.GD.ZS?format=json&amp;mrv=30</t>
        </is>
      </c>
      <c r="I240" t="inlineStr">
        <is>
          <t>World Bank WDI: Tax revenue (% of GDP) used as interim country average tax-take proxy</t>
        </is>
      </c>
      <c r="J240" t="inlineStr">
        <is>
          <t>2023-12-31</t>
        </is>
      </c>
      <c r="K240" t="inlineStr">
        <is>
          <t>auto_seed=world_bank_wdi; proxy=country_average_tax_take_from_tax_revenue_share; indicator=GC.TAX.TOTL.GD.ZS; observation_year=2023; dataset_lastupdated=2026-02-24; stale=no</t>
        </is>
      </c>
    </row>
    <row r="241">
      <c r="A241" t="inlineStr">
        <is>
          <t>Chile</t>
        </is>
      </c>
      <c r="B241" t="inlineStr">
        <is>
          <t>household_debt_proxy</t>
        </is>
      </c>
      <c r="C241" t="inlineStr">
        <is>
          <t>Household debt proxy</t>
        </is>
      </c>
      <c r="D241" t="inlineStr">
        <is>
          <t>pressure</t>
        </is>
      </c>
      <c r="E241" t="inlineStr">
        <is>
          <t>yes</t>
        </is>
      </c>
      <c r="F241" t="inlineStr">
        <is>
          <t>74.9355</t>
        </is>
      </c>
      <c r="G241" t="inlineStr">
        <is>
          <t>world_bank</t>
        </is>
      </c>
      <c r="H241" t="inlineStr">
        <is>
          <t>https://api.worldbank.org/v2/country/CHL/indicator/FD.AST.PRVT.GD.ZS?format=json&amp;mrv=30</t>
        </is>
      </c>
      <c r="I241" t="inlineStr">
        <is>
          <t>World Bank WDI: Domestic credit to private sector by banks (% of GDP) used as interim leverage proxy</t>
        </is>
      </c>
      <c r="J241" t="inlineStr">
        <is>
          <t>2024-12-31</t>
        </is>
      </c>
      <c r="K241" t="inlineStr">
        <is>
          <t>auto_seed=world_bank_wdi; proxy=broad_private_credit_not_household_only; indicator=FD.AST.PRVT.GD.ZS; observation_year=2024; dataset_lastupdated=2026-02-24; stale=no</t>
        </is>
      </c>
    </row>
    <row r="242">
      <c r="A242" t="inlineStr">
        <is>
          <t>Colombia</t>
        </is>
      </c>
      <c r="B242" t="inlineStr">
        <is>
          <t>gdp_per_capita_ppp</t>
        </is>
      </c>
      <c r="C242" t="inlineStr">
        <is>
          <t>GDP per capita (PPP)</t>
        </is>
      </c>
      <c r="D242" t="inlineStr">
        <is>
          <t>creative</t>
        </is>
      </c>
      <c r="E242" t="inlineStr">
        <is>
          <t>yes</t>
        </is>
      </c>
      <c r="F242" t="inlineStr">
        <is>
          <t>22349.44</t>
        </is>
      </c>
      <c r="G242" t="inlineStr">
        <is>
          <t>world_bank</t>
        </is>
      </c>
      <c r="H242" t="inlineStr">
        <is>
          <t>https://api.worldbank.org/v2/country/COL/indicator/NY.GDP.PCAP.PP.CD?format=json&amp;mrv=30</t>
        </is>
      </c>
      <c r="I242" t="inlineStr">
        <is>
          <t>World Bank WDI: GDP per capita, PPP (current international $)</t>
        </is>
      </c>
      <c r="J242" t="inlineStr">
        <is>
          <t>2024-12-31</t>
        </is>
      </c>
      <c r="K242" t="inlineStr">
        <is>
          <t>auto_seed=world_bank_wdi; indicator=NY.GDP.PCAP.PP.CD; observation_year=2024; dataset_lastupdated=2026-02-24; stale=no</t>
        </is>
      </c>
    </row>
    <row r="243">
      <c r="A243" t="inlineStr">
        <is>
          <t>Colombia</t>
        </is>
      </c>
      <c r="B243" t="inlineStr">
        <is>
          <t>gdp_growth</t>
        </is>
      </c>
      <c r="C243" t="inlineStr">
        <is>
          <t>GDP growth</t>
        </is>
      </c>
      <c r="D243" t="inlineStr">
        <is>
          <t>creative</t>
        </is>
      </c>
      <c r="E243" t="inlineStr">
        <is>
          <t>yes</t>
        </is>
      </c>
      <c r="F243" t="inlineStr">
        <is>
          <t>1.5983</t>
        </is>
      </c>
      <c r="G243" t="inlineStr">
        <is>
          <t>world_bank</t>
        </is>
      </c>
      <c r="H243" t="inlineStr">
        <is>
          <t>https://api.worldbank.org/v2/country/COL/indicator/NY.GDP.MKTP.KD.ZG?format=json&amp;mrv=30</t>
        </is>
      </c>
      <c r="I243" t="inlineStr">
        <is>
          <t>World Bank WDI: GDP growth (annual %)</t>
        </is>
      </c>
      <c r="J243" t="inlineStr">
        <is>
          <t>2024-12-31</t>
        </is>
      </c>
      <c r="K243" t="inlineStr">
        <is>
          <t>auto_seed=world_bank_wdi; indicator=NY.GDP.MKTP.KD.ZG; observation_year=2024; dataset_lastupdated=2026-02-24; stale=no</t>
        </is>
      </c>
    </row>
    <row r="244">
      <c r="A244" t="inlineStr">
        <is>
          <t>Colombia</t>
        </is>
      </c>
      <c r="B244" t="inlineStr">
        <is>
          <t>gini_coefficient</t>
        </is>
      </c>
      <c r="C244" t="inlineStr">
        <is>
          <t>Gini coefficient</t>
        </is>
      </c>
      <c r="D244" t="inlineStr">
        <is>
          <t>capability</t>
        </is>
      </c>
      <c r="E244" t="inlineStr">
        <is>
          <t>yes</t>
        </is>
      </c>
      <c r="F244" t="inlineStr">
        <is>
          <t>53.9</t>
        </is>
      </c>
      <c r="G244" t="inlineStr">
        <is>
          <t>world_bank</t>
        </is>
      </c>
      <c r="H244" t="inlineStr">
        <is>
          <t>https://api.worldbank.org/v2/country/COL/indicator/SI.POV.GINI?format=json&amp;mrv=30</t>
        </is>
      </c>
      <c r="I244" t="inlineStr">
        <is>
          <t>World Bank WDI: Gini index</t>
        </is>
      </c>
      <c r="J244" t="inlineStr">
        <is>
          <t>2023-12-31</t>
        </is>
      </c>
      <c r="K244" t="inlineStr">
        <is>
          <t>auto_seed=world_bank_wdi; indicator=SI.POV.GINI; observation_year=2023; dataset_lastupdated=2026-02-24; stale=no</t>
        </is>
      </c>
    </row>
    <row r="245">
      <c r="A245" t="inlineStr">
        <is>
          <t>Colombia</t>
        </is>
      </c>
      <c r="B245" t="inlineStr">
        <is>
          <t>ppp_private_consumption</t>
        </is>
      </c>
      <c r="C245" t="inlineStr">
        <is>
          <t>PPP private consumption factor</t>
        </is>
      </c>
      <c r="D245" t="inlineStr">
        <is>
          <t>pressure</t>
        </is>
      </c>
      <c r="E245" t="inlineStr">
        <is>
          <t>yes</t>
        </is>
      </c>
      <c r="F245" t="inlineStr">
        <is>
          <t>1542.193816</t>
        </is>
      </c>
      <c r="G245" t="inlineStr">
        <is>
          <t>world_bank</t>
        </is>
      </c>
      <c r="H245" t="inlineStr">
        <is>
          <t>https://api.worldbank.org/v2/country/COL/indicator/PA.NUS.PRVT.PP?format=json&amp;mrv=30</t>
        </is>
      </c>
      <c r="I245" t="inlineStr">
        <is>
          <t>World Bank WDI: PPP conversion factor, private consumption (LCU per international $)</t>
        </is>
      </c>
      <c r="J245" t="inlineStr">
        <is>
          <t>2024-12-31</t>
        </is>
      </c>
      <c r="K245" t="inlineStr">
        <is>
          <t>auto_seed=world_bank_wdi; indicator=PA.NUS.PRVT.PP; observation_year=2024; dataset_lastupdated=2026-02-24; stale=no</t>
        </is>
      </c>
    </row>
    <row r="246">
      <c r="A246" t="inlineStr">
        <is>
          <t>Colombia</t>
        </is>
      </c>
      <c r="B246" t="inlineStr">
        <is>
          <t>tax_rate_assumption</t>
        </is>
      </c>
      <c r="C246" t="inlineStr">
        <is>
          <t>Tax rate assumption</t>
        </is>
      </c>
      <c r="D246" t="inlineStr">
        <is>
          <t>pressure</t>
        </is>
      </c>
      <c r="E246" t="inlineStr">
        <is>
          <t>yes</t>
        </is>
      </c>
      <c r="F246" t="inlineStr">
        <is>
          <t>0.152812</t>
        </is>
      </c>
      <c r="G246" t="inlineStr">
        <is>
          <t>world_bank</t>
        </is>
      </c>
      <c r="H246" t="inlineStr">
        <is>
          <t>https://api.worldbank.org/v2/country/COL/indicator/GC.TAX.TOTL.GD.ZS?format=json&amp;mrv=30</t>
        </is>
      </c>
      <c r="I246" t="inlineStr">
        <is>
          <t>World Bank WDI: Tax revenue (% of GDP) used as interim country average tax-take proxy</t>
        </is>
      </c>
      <c r="J246" t="inlineStr">
        <is>
          <t>2024-12-31</t>
        </is>
      </c>
      <c r="K246" t="inlineStr">
        <is>
          <t>auto_seed=world_bank_wdi; proxy=country_average_tax_take_from_tax_revenue_share; indicator=GC.TAX.TOTL.GD.ZS; observation_year=2024; dataset_lastupdated=2026-02-24; stale=no</t>
        </is>
      </c>
    </row>
    <row r="247">
      <c r="A247" t="inlineStr">
        <is>
          <t>Colombia</t>
        </is>
      </c>
      <c r="B247" t="inlineStr">
        <is>
          <t>household_debt_proxy</t>
        </is>
      </c>
      <c r="C247" t="inlineStr">
        <is>
          <t>Household debt proxy</t>
        </is>
      </c>
      <c r="D247" t="inlineStr">
        <is>
          <t>pressure</t>
        </is>
      </c>
      <c r="E247" t="inlineStr">
        <is>
          <t>yes</t>
        </is>
      </c>
      <c r="F247" t="inlineStr">
        <is>
          <t>39.5117</t>
        </is>
      </c>
      <c r="G247" t="inlineStr">
        <is>
          <t>world_bank</t>
        </is>
      </c>
      <c r="H247" t="inlineStr">
        <is>
          <t>https://api.worldbank.org/v2/country/COL/indicator/FD.AST.PRVT.GD.ZS?format=json&amp;mrv=30</t>
        </is>
      </c>
      <c r="I247" t="inlineStr">
        <is>
          <t>World Bank WDI: Domestic credit to private sector by banks (% of GDP) used as interim leverage proxy</t>
        </is>
      </c>
      <c r="J247" t="inlineStr">
        <is>
          <t>2024-12-31</t>
        </is>
      </c>
      <c r="K247" t="inlineStr">
        <is>
          <t>auto_seed=world_bank_wdi; proxy=broad_private_credit_not_household_only; indicator=FD.AST.PRVT.GD.ZS; observation_year=2024; dataset_lastupdated=2026-02-24; stale=no</t>
        </is>
      </c>
    </row>
    <row r="248">
      <c r="A248" t="inlineStr">
        <is>
          <t>Peru</t>
        </is>
      </c>
      <c r="B248" t="inlineStr">
        <is>
          <t>gdp_per_capita_ppp</t>
        </is>
      </c>
      <c r="C248" t="inlineStr">
        <is>
          <t>GDP per capita (PPP)</t>
        </is>
      </c>
      <c r="D248" t="inlineStr">
        <is>
          <t>creative</t>
        </is>
      </c>
      <c r="E248" t="inlineStr">
        <is>
          <t>yes</t>
        </is>
      </c>
      <c r="F248" t="inlineStr">
        <is>
          <t>17802.42</t>
        </is>
      </c>
      <c r="G248" t="inlineStr">
        <is>
          <t>world_bank</t>
        </is>
      </c>
      <c r="H248" t="inlineStr">
        <is>
          <t>https://api.worldbank.org/v2/country/PER/indicator/NY.GDP.PCAP.PP.CD?format=json&amp;mrv=30</t>
        </is>
      </c>
      <c r="I248" t="inlineStr">
        <is>
          <t>World Bank WDI: GDP per capita, PPP (current international $)</t>
        </is>
      </c>
      <c r="J248" t="inlineStr">
        <is>
          <t>2024-12-31</t>
        </is>
      </c>
      <c r="K248" t="inlineStr">
        <is>
          <t>auto_seed=world_bank_wdi; indicator=NY.GDP.PCAP.PP.CD; observation_year=2024; dataset_lastupdated=2026-02-24; stale=no</t>
        </is>
      </c>
    </row>
    <row r="249">
      <c r="A249" t="inlineStr">
        <is>
          <t>Peru</t>
        </is>
      </c>
      <c r="B249" t="inlineStr">
        <is>
          <t>gdp_growth</t>
        </is>
      </c>
      <c r="C249" t="inlineStr">
        <is>
          <t>GDP growth</t>
        </is>
      </c>
      <c r="D249" t="inlineStr">
        <is>
          <t>creative</t>
        </is>
      </c>
      <c r="E249" t="inlineStr">
        <is>
          <t>yes</t>
        </is>
      </c>
      <c r="F249" t="inlineStr">
        <is>
          <t>3.3039</t>
        </is>
      </c>
      <c r="G249" t="inlineStr">
        <is>
          <t>world_bank</t>
        </is>
      </c>
      <c r="H249" t="inlineStr">
        <is>
          <t>https://api.worldbank.org/v2/country/PER/indicator/NY.GDP.MKTP.KD.ZG?format=json&amp;mrv=30</t>
        </is>
      </c>
      <c r="I249" t="inlineStr">
        <is>
          <t>World Bank WDI: GDP growth (annual %)</t>
        </is>
      </c>
      <c r="J249" t="inlineStr">
        <is>
          <t>2024-12-31</t>
        </is>
      </c>
      <c r="K249" t="inlineStr">
        <is>
          <t>auto_seed=world_bank_wdi; indicator=NY.GDP.MKTP.KD.ZG; observation_year=2024; dataset_lastupdated=2026-02-24; stale=no</t>
        </is>
      </c>
    </row>
    <row r="250">
      <c r="A250" t="inlineStr">
        <is>
          <t>Peru</t>
        </is>
      </c>
      <c r="B250" t="inlineStr">
        <is>
          <t>gini_coefficient</t>
        </is>
      </c>
      <c r="C250" t="inlineStr">
        <is>
          <t>Gini coefficient</t>
        </is>
      </c>
      <c r="D250" t="inlineStr">
        <is>
          <t>capability</t>
        </is>
      </c>
      <c r="E250" t="inlineStr">
        <is>
          <t>yes</t>
        </is>
      </c>
      <c r="F250" t="inlineStr">
        <is>
          <t>40.1</t>
        </is>
      </c>
      <c r="G250" t="inlineStr">
        <is>
          <t>world_bank</t>
        </is>
      </c>
      <c r="H250" t="inlineStr">
        <is>
          <t>https://api.worldbank.org/v2/country/PER/indicator/SI.POV.GINI?format=json&amp;mrv=30</t>
        </is>
      </c>
      <c r="I250" t="inlineStr">
        <is>
          <t>World Bank WDI: Gini index</t>
        </is>
      </c>
      <c r="J250" t="inlineStr">
        <is>
          <t>2024-12-31</t>
        </is>
      </c>
      <c r="K250" t="inlineStr">
        <is>
          <t>auto_seed=world_bank_wdi; indicator=SI.POV.GINI; observation_year=2024; dataset_lastupdated=2026-02-24; stale=no</t>
        </is>
      </c>
    </row>
    <row r="251">
      <c r="A251" t="inlineStr">
        <is>
          <t>Peru</t>
        </is>
      </c>
      <c r="B251" t="inlineStr">
        <is>
          <t>ppp_private_consumption</t>
        </is>
      </c>
      <c r="C251" t="inlineStr">
        <is>
          <t>PPP private consumption factor</t>
        </is>
      </c>
      <c r="D251" t="inlineStr">
        <is>
          <t>pressure</t>
        </is>
      </c>
      <c r="E251" t="inlineStr">
        <is>
          <t>yes</t>
        </is>
      </c>
      <c r="F251" t="inlineStr">
        <is>
          <t>1.94918</t>
        </is>
      </c>
      <c r="G251" t="inlineStr">
        <is>
          <t>world_bank</t>
        </is>
      </c>
      <c r="H251" t="inlineStr">
        <is>
          <t>https://api.worldbank.org/v2/country/PER/indicator/PA.NUS.PRVT.PP?format=json&amp;mrv=30</t>
        </is>
      </c>
      <c r="I251" t="inlineStr">
        <is>
          <t>World Bank WDI: PPP conversion factor, private consumption (LCU per international $)</t>
        </is>
      </c>
      <c r="J251" t="inlineStr">
        <is>
          <t>2024-12-31</t>
        </is>
      </c>
      <c r="K251" t="inlineStr">
        <is>
          <t>auto_seed=world_bank_wdi; indicator=PA.NUS.PRVT.PP; observation_year=2024; dataset_lastupdated=2026-02-24; stale=no</t>
        </is>
      </c>
    </row>
    <row r="252">
      <c r="A252" t="inlineStr">
        <is>
          <t>Peru</t>
        </is>
      </c>
      <c r="B252" t="inlineStr">
        <is>
          <t>tax_rate_assumption</t>
        </is>
      </c>
      <c r="C252" t="inlineStr">
        <is>
          <t>Tax rate assumption</t>
        </is>
      </c>
      <c r="D252" t="inlineStr">
        <is>
          <t>pressure</t>
        </is>
      </c>
      <c r="E252" t="inlineStr">
        <is>
          <t>yes</t>
        </is>
      </c>
      <c r="F252" t="inlineStr">
        <is>
          <t>0.159243</t>
        </is>
      </c>
      <c r="G252" t="inlineStr">
        <is>
          <t>world_bank</t>
        </is>
      </c>
      <c r="H252" t="inlineStr">
        <is>
          <t>https://api.worldbank.org/v2/country/PER/indicator/GC.TAX.TOTL.GD.ZS?format=json&amp;mrv=30</t>
        </is>
      </c>
      <c r="I252" t="inlineStr">
        <is>
          <t>World Bank WDI: Tax revenue (% of GDP) used as interim country average tax-take proxy</t>
        </is>
      </c>
      <c r="J252" t="inlineStr">
        <is>
          <t>2021-12-31</t>
        </is>
      </c>
      <c r="K252" t="inlineStr">
        <is>
          <t>auto_seed=world_bank_wdi; proxy=country_average_tax_take_from_tax_revenue_share; indicator=GC.TAX.TOTL.GD.ZS; observation_year=2021; dataset_lastupdated=2026-02-24; stale=no</t>
        </is>
      </c>
    </row>
    <row r="253">
      <c r="A253" t="inlineStr">
        <is>
          <t>Peru</t>
        </is>
      </c>
      <c r="B253" t="inlineStr">
        <is>
          <t>household_debt_proxy</t>
        </is>
      </c>
      <c r="C253" t="inlineStr">
        <is>
          <t>Household debt proxy</t>
        </is>
      </c>
      <c r="D253" t="inlineStr">
        <is>
          <t>pressure</t>
        </is>
      </c>
      <c r="E253" t="inlineStr">
        <is>
          <t>yes</t>
        </is>
      </c>
      <c r="F253" t="inlineStr">
        <is>
          <t>45.668</t>
        </is>
      </c>
      <c r="G253" t="inlineStr">
        <is>
          <t>world_bank</t>
        </is>
      </c>
      <c r="H253" t="inlineStr">
        <is>
          <t>https://api.worldbank.org/v2/country/PER/indicator/FD.AST.PRVT.GD.ZS?format=json&amp;mrv=30</t>
        </is>
      </c>
      <c r="I253" t="inlineStr">
        <is>
          <t>World Bank WDI: Domestic credit to private sector by banks (% of GDP) used as interim leverage proxy</t>
        </is>
      </c>
      <c r="J253" t="inlineStr">
        <is>
          <t>2022-12-31</t>
        </is>
      </c>
      <c r="K253" t="inlineStr">
        <is>
          <t>auto_seed=world_bank_wdi; proxy=broad_private_credit_not_household_only; indicator=FD.AST.PRVT.GD.ZS; observation_year=2022; dataset_lastupdated=2026-02-24; stale=no</t>
        </is>
      </c>
    </row>
    <row r="254">
      <c r="A254" t="inlineStr">
        <is>
          <t>Uruguay</t>
        </is>
      </c>
      <c r="B254" t="inlineStr">
        <is>
          <t>gdp_per_capita_ppp</t>
        </is>
      </c>
      <c r="C254" t="inlineStr">
        <is>
          <t>GDP per capita (PPP)</t>
        </is>
      </c>
      <c r="D254" t="inlineStr">
        <is>
          <t>creative</t>
        </is>
      </c>
      <c r="E254" t="inlineStr">
        <is>
          <t>yes</t>
        </is>
      </c>
      <c r="F254" t="inlineStr">
        <is>
          <t>36417.87</t>
        </is>
      </c>
      <c r="G254" t="inlineStr">
        <is>
          <t>world_bank</t>
        </is>
      </c>
      <c r="H254" t="inlineStr">
        <is>
          <t>https://api.worldbank.org/v2/country/URY/indicator/NY.GDP.PCAP.PP.CD?format=json&amp;mrv=30</t>
        </is>
      </c>
      <c r="I254" t="inlineStr">
        <is>
          <t>World Bank WDI: GDP per capita, PPP (current international $)</t>
        </is>
      </c>
      <c r="J254" t="inlineStr">
        <is>
          <t>2024-12-31</t>
        </is>
      </c>
      <c r="K254" t="inlineStr">
        <is>
          <t>auto_seed=world_bank_wdi; indicator=NY.GDP.PCAP.PP.CD; observation_year=2024; dataset_lastupdated=2026-02-24; stale=no</t>
        </is>
      </c>
    </row>
    <row r="255">
      <c r="A255" t="inlineStr">
        <is>
          <t>Uruguay</t>
        </is>
      </c>
      <c r="B255" t="inlineStr">
        <is>
          <t>gdp_growth</t>
        </is>
      </c>
      <c r="C255" t="inlineStr">
        <is>
          <t>GDP growth</t>
        </is>
      </c>
      <c r="D255" t="inlineStr">
        <is>
          <t>creative</t>
        </is>
      </c>
      <c r="E255" t="inlineStr">
        <is>
          <t>yes</t>
        </is>
      </c>
      <c r="F255" t="inlineStr">
        <is>
          <t>3.1083</t>
        </is>
      </c>
      <c r="G255" t="inlineStr">
        <is>
          <t>world_bank</t>
        </is>
      </c>
      <c r="H255" t="inlineStr">
        <is>
          <t>https://api.worldbank.org/v2/country/URY/indicator/NY.GDP.MKTP.KD.ZG?format=json&amp;mrv=30</t>
        </is>
      </c>
      <c r="I255" t="inlineStr">
        <is>
          <t>World Bank WDI: GDP growth (annual %)</t>
        </is>
      </c>
      <c r="J255" t="inlineStr">
        <is>
          <t>2024-12-31</t>
        </is>
      </c>
      <c r="K255" t="inlineStr">
        <is>
          <t>auto_seed=world_bank_wdi; indicator=NY.GDP.MKTP.KD.ZG; observation_year=2024; dataset_lastupdated=2026-02-24; stale=no</t>
        </is>
      </c>
    </row>
    <row r="256">
      <c r="A256" t="inlineStr">
        <is>
          <t>Uruguay</t>
        </is>
      </c>
      <c r="B256" t="inlineStr">
        <is>
          <t>gini_coefficient</t>
        </is>
      </c>
      <c r="C256" t="inlineStr">
        <is>
          <t>Gini coefficient</t>
        </is>
      </c>
      <c r="D256" t="inlineStr">
        <is>
          <t>capability</t>
        </is>
      </c>
      <c r="E256" t="inlineStr">
        <is>
          <t>yes</t>
        </is>
      </c>
      <c r="F256" t="inlineStr">
        <is>
          <t>40</t>
        </is>
      </c>
      <c r="G256" t="inlineStr">
        <is>
          <t>world_bank</t>
        </is>
      </c>
      <c r="H256" t="inlineStr">
        <is>
          <t>https://api.worldbank.org/v2/country/URY/indicator/SI.POV.GINI?format=json&amp;mrv=30</t>
        </is>
      </c>
      <c r="I256" t="inlineStr">
        <is>
          <t>World Bank WDI: Gini index</t>
        </is>
      </c>
      <c r="J256" t="inlineStr">
        <is>
          <t>2024-12-31</t>
        </is>
      </c>
      <c r="K256" t="inlineStr">
        <is>
          <t>auto_seed=world_bank_wdi; indicator=SI.POV.GINI; observation_year=2024; dataset_lastupdated=2026-02-24; stale=no</t>
        </is>
      </c>
    </row>
    <row r="257">
      <c r="A257" t="inlineStr">
        <is>
          <t>Uruguay</t>
        </is>
      </c>
      <c r="B257" t="inlineStr">
        <is>
          <t>ppp_private_consumption</t>
        </is>
      </c>
      <c r="C257" t="inlineStr">
        <is>
          <t>PPP private consumption factor</t>
        </is>
      </c>
      <c r="D257" t="inlineStr">
        <is>
          <t>pressure</t>
        </is>
      </c>
      <c r="E257" t="inlineStr">
        <is>
          <t>yes</t>
        </is>
      </c>
      <c r="F257" t="inlineStr">
        <is>
          <t>29.298217</t>
        </is>
      </c>
      <c r="G257" t="inlineStr">
        <is>
          <t>world_bank</t>
        </is>
      </c>
      <c r="H257" t="inlineStr">
        <is>
          <t>https://api.worldbank.org/v2/country/URY/indicator/PA.NUS.PRVT.PP?format=json&amp;mrv=30</t>
        </is>
      </c>
      <c r="I257" t="inlineStr">
        <is>
          <t>World Bank WDI: PPP conversion factor, private consumption (LCU per international $)</t>
        </is>
      </c>
      <c r="J257" t="inlineStr">
        <is>
          <t>2024-12-31</t>
        </is>
      </c>
      <c r="K257" t="inlineStr">
        <is>
          <t>auto_seed=world_bank_wdi; indicator=PA.NUS.PRVT.PP; observation_year=2024; dataset_lastupdated=2026-02-24; stale=no</t>
        </is>
      </c>
    </row>
    <row r="258">
      <c r="A258" t="inlineStr">
        <is>
          <t>Uruguay</t>
        </is>
      </c>
      <c r="B258" t="inlineStr">
        <is>
          <t>tax_rate_assumption</t>
        </is>
      </c>
      <c r="C258" t="inlineStr">
        <is>
          <t>Tax rate assumption</t>
        </is>
      </c>
      <c r="D258" t="inlineStr">
        <is>
          <t>pressure</t>
        </is>
      </c>
      <c r="E258" t="inlineStr">
        <is>
          <t>yes</t>
        </is>
      </c>
      <c r="F258" t="inlineStr">
        <is>
          <t>0.181624</t>
        </is>
      </c>
      <c r="G258" t="inlineStr">
        <is>
          <t>world_bank</t>
        </is>
      </c>
      <c r="H258" t="inlineStr">
        <is>
          <t>https://api.worldbank.org/v2/country/URY/indicator/GC.TAX.TOTL.GD.ZS?format=json&amp;mrv=30</t>
        </is>
      </c>
      <c r="I258" t="inlineStr">
        <is>
          <t>World Bank WDI: Tax revenue (% of GDP) used as interim country average tax-take proxy</t>
        </is>
      </c>
      <c r="J258" t="inlineStr">
        <is>
          <t>2024-12-31</t>
        </is>
      </c>
      <c r="K258" t="inlineStr">
        <is>
          <t>auto_seed=world_bank_wdi; proxy=country_average_tax_take_from_tax_revenue_share; indicator=GC.TAX.TOTL.GD.ZS; observation_year=2024; dataset_lastupdated=2026-02-24; stale=no</t>
        </is>
      </c>
    </row>
    <row r="259">
      <c r="A259" t="inlineStr">
        <is>
          <t>Uruguay</t>
        </is>
      </c>
      <c r="B259" t="inlineStr">
        <is>
          <t>household_debt_proxy</t>
        </is>
      </c>
      <c r="C259" t="inlineStr">
        <is>
          <t>Household debt proxy</t>
        </is>
      </c>
      <c r="D259" t="inlineStr">
        <is>
          <t>pressure</t>
        </is>
      </c>
      <c r="E259" t="inlineStr">
        <is>
          <t>yes</t>
        </is>
      </c>
      <c r="F259" t="inlineStr">
        <is>
          <t>31.0608</t>
        </is>
      </c>
      <c r="G259" t="inlineStr">
        <is>
          <t>world_bank</t>
        </is>
      </c>
      <c r="H259" t="inlineStr">
        <is>
          <t>https://api.worldbank.org/v2/country/URY/indicator/FD.AST.PRVT.GD.ZS?format=json&amp;mrv=30</t>
        </is>
      </c>
      <c r="I259" t="inlineStr">
        <is>
          <t>World Bank WDI: Domestic credit to private sector by banks (% of GDP) used as interim leverage proxy</t>
        </is>
      </c>
      <c r="J259" t="inlineStr">
        <is>
          <t>2024-12-31</t>
        </is>
      </c>
      <c r="K259" t="inlineStr">
        <is>
          <t>auto_seed=world_bank_wdi; proxy=broad_private_credit_not_household_only; indicator=FD.AST.PRVT.GD.ZS; observation_year=2024; dataset_lastupdated=2026-02-24; stale=no</t>
        </is>
      </c>
    </row>
    <row r="260">
      <c r="A260" t="inlineStr">
        <is>
          <t>United Arab Emirates</t>
        </is>
      </c>
      <c r="B260" t="inlineStr">
        <is>
          <t>gdp_per_capita_ppp</t>
        </is>
      </c>
      <c r="C260" t="inlineStr">
        <is>
          <t>GDP per capita (PPP)</t>
        </is>
      </c>
      <c r="D260" t="inlineStr">
        <is>
          <t>creative</t>
        </is>
      </c>
      <c r="E260" t="inlineStr">
        <is>
          <t>yes</t>
        </is>
      </c>
      <c r="F260" t="inlineStr">
        <is>
          <t>79228.74</t>
        </is>
      </c>
      <c r="G260" t="inlineStr">
        <is>
          <t>world_bank</t>
        </is>
      </c>
      <c r="H260" t="inlineStr">
        <is>
          <t>https://api.worldbank.org/v2/country/ARE/indicator/NY.GDP.PCAP.PP.CD?format=json&amp;mrv=30</t>
        </is>
      </c>
      <c r="I260" t="inlineStr">
        <is>
          <t>World Bank WDI: GDP per capita, PPP (current international $)</t>
        </is>
      </c>
      <c r="J260" t="inlineStr">
        <is>
          <t>2024-12-31</t>
        </is>
      </c>
      <c r="K260" t="inlineStr">
        <is>
          <t>auto_seed=world_bank_wdi; indicator=NY.GDP.PCAP.PP.CD; observation_year=2024; dataset_lastupdated=2026-02-24; stale=no</t>
        </is>
      </c>
    </row>
    <row r="261">
      <c r="A261" t="inlineStr">
        <is>
          <t>United Arab Emirates</t>
        </is>
      </c>
      <c r="B261" t="inlineStr">
        <is>
          <t>gdp_growth</t>
        </is>
      </c>
      <c r="C261" t="inlineStr">
        <is>
          <t>GDP growth</t>
        </is>
      </c>
      <c r="D261" t="inlineStr">
        <is>
          <t>creative</t>
        </is>
      </c>
      <c r="E261" t="inlineStr">
        <is>
          <t>yes</t>
        </is>
      </c>
      <c r="F261" t="inlineStr">
        <is>
          <t>3.9918</t>
        </is>
      </c>
      <c r="G261" t="inlineStr">
        <is>
          <t>world_bank</t>
        </is>
      </c>
      <c r="H261" t="inlineStr">
        <is>
          <t>https://api.worldbank.org/v2/country/ARE/indicator/NY.GDP.MKTP.KD.ZG?format=json&amp;mrv=30</t>
        </is>
      </c>
      <c r="I261" t="inlineStr">
        <is>
          <t>World Bank WDI: GDP growth (annual %)</t>
        </is>
      </c>
      <c r="J261" t="inlineStr">
        <is>
          <t>2024-12-31</t>
        </is>
      </c>
      <c r="K261" t="inlineStr">
        <is>
          <t>auto_seed=world_bank_wdi; indicator=NY.GDP.MKTP.KD.ZG; observation_year=2024; dataset_lastupdated=2026-02-24; stale=no</t>
        </is>
      </c>
    </row>
    <row r="262">
      <c r="A262" t="inlineStr">
        <is>
          <t>United Arab Emirates</t>
        </is>
      </c>
      <c r="B262" t="inlineStr">
        <is>
          <t>gini_coefficient</t>
        </is>
      </c>
      <c r="C262" t="inlineStr">
        <is>
          <t>Gini coefficient</t>
        </is>
      </c>
      <c r="D262" t="inlineStr">
        <is>
          <t>capability</t>
        </is>
      </c>
      <c r="E262" t="inlineStr">
        <is>
          <t>yes</t>
        </is>
      </c>
      <c r="F262" t="inlineStr">
        <is>
          <t>26.4</t>
        </is>
      </c>
      <c r="G262" t="inlineStr">
        <is>
          <t>world_bank</t>
        </is>
      </c>
      <c r="H262" t="inlineStr">
        <is>
          <t>https://api.worldbank.org/v2/country/ARE/indicator/SI.POV.GINI?format=json&amp;mrv=30</t>
        </is>
      </c>
      <c r="I262" t="inlineStr">
        <is>
          <t>World Bank WDI: Gini index</t>
        </is>
      </c>
      <c r="J262" t="inlineStr">
        <is>
          <t>2018-12-31</t>
        </is>
      </c>
      <c r="K262" t="inlineStr">
        <is>
          <t>auto_seed=world_bank_wdi; indicator=SI.POV.GINI; observation_year=2018; dataset_lastupdated=2026-02-24; stale=no</t>
        </is>
      </c>
    </row>
    <row r="263">
      <c r="A263" t="inlineStr">
        <is>
          <t>United Arab Emirates</t>
        </is>
      </c>
      <c r="B263" t="inlineStr">
        <is>
          <t>ppp_private_consumption</t>
        </is>
      </c>
      <c r="C263" t="inlineStr">
        <is>
          <t>PPP private consumption factor</t>
        </is>
      </c>
      <c r="D263" t="inlineStr">
        <is>
          <t>pressure</t>
        </is>
      </c>
      <c r="E263" t="inlineStr">
        <is>
          <t>yes</t>
        </is>
      </c>
      <c r="F263" t="inlineStr">
        <is>
          <t>2.56311</t>
        </is>
      </c>
      <c r="G263" t="inlineStr">
        <is>
          <t>world_bank</t>
        </is>
      </c>
      <c r="H263" t="inlineStr">
        <is>
          <t>https://api.worldbank.org/v2/country/ARE/indicator/PA.NUS.PRVT.PP?format=json&amp;mrv=30</t>
        </is>
      </c>
      <c r="I263" t="inlineStr">
        <is>
          <t>World Bank WDI: PPP conversion factor, private consumption (LCU per international $)</t>
        </is>
      </c>
      <c r="J263" t="inlineStr">
        <is>
          <t>2024-12-31</t>
        </is>
      </c>
      <c r="K263" t="inlineStr">
        <is>
          <t>auto_seed=world_bank_wdi; indicator=PA.NUS.PRVT.PP; observation_year=2024; dataset_lastupdated=2026-02-24; stale=no</t>
        </is>
      </c>
    </row>
    <row r="264">
      <c r="A264" t="inlineStr">
        <is>
          <t>United Arab Emirates</t>
        </is>
      </c>
      <c r="B264" t="inlineStr">
        <is>
          <t>tax_rate_assumption</t>
        </is>
      </c>
      <c r="C264" t="inlineStr">
        <is>
          <t>Tax rate assumption</t>
        </is>
      </c>
      <c r="D264" t="inlineStr">
        <is>
          <t>pressure</t>
        </is>
      </c>
      <c r="E264" t="inlineStr">
        <is>
          <t>yes</t>
        </is>
      </c>
      <c r="F264" t="inlineStr">
        <is>
          <t>0.006475</t>
        </is>
      </c>
      <c r="G264" t="inlineStr">
        <is>
          <t>world_bank</t>
        </is>
      </c>
      <c r="H264" t="inlineStr">
        <is>
          <t>https://api.worldbank.org/v2/country/ARE/indicator/GC.TAX.TOTL.GD.ZS?format=json&amp;mrv=30</t>
        </is>
      </c>
      <c r="I264" t="inlineStr">
        <is>
          <t>World Bank WDI: Tax revenue (% of GDP) used as interim country average tax-take proxy</t>
        </is>
      </c>
      <c r="J264" t="inlineStr">
        <is>
          <t>2024-12-31</t>
        </is>
      </c>
      <c r="K264" t="inlineStr">
        <is>
          <t>auto_seed=world_bank_wdi; proxy=country_average_tax_take_from_tax_revenue_share; indicator=GC.TAX.TOTL.GD.ZS; observation_year=2024; dataset_lastupdated=2026-02-24; stale=no</t>
        </is>
      </c>
    </row>
    <row r="265">
      <c r="A265" t="inlineStr">
        <is>
          <t>United Arab Emirates</t>
        </is>
      </c>
      <c r="B265" t="inlineStr">
        <is>
          <t>household_debt_proxy</t>
        </is>
      </c>
      <c r="C265" t="inlineStr">
        <is>
          <t>Household debt proxy</t>
        </is>
      </c>
      <c r="D265" t="inlineStr">
        <is>
          <t>pressure</t>
        </is>
      </c>
      <c r="E265" t="inlineStr">
        <is>
          <t>yes</t>
        </is>
      </c>
      <c r="F265" t="inlineStr">
        <is>
          <t>67.9658</t>
        </is>
      </c>
      <c r="G265" t="inlineStr">
        <is>
          <t>world_bank</t>
        </is>
      </c>
      <c r="H265" t="inlineStr">
        <is>
          <t>https://api.worldbank.org/v2/country/ARE/indicator/FD.AST.PRVT.GD.ZS?format=json&amp;mrv=30</t>
        </is>
      </c>
      <c r="I265" t="inlineStr">
        <is>
          <t>World Bank WDI: Domestic credit to private sector by banks (% of GDP) used as interim leverage proxy</t>
        </is>
      </c>
      <c r="J265" t="inlineStr">
        <is>
          <t>2024-12-31</t>
        </is>
      </c>
      <c r="K265" t="inlineStr">
        <is>
          <t>auto_seed=world_bank_wdi; proxy=broad_private_credit_not_household_only; indicator=FD.AST.PRVT.GD.ZS; observation_year=2024; dataset_lastupdated=2026-02-24; stale=no</t>
        </is>
      </c>
    </row>
    <row r="266">
      <c r="A266" t="inlineStr">
        <is>
          <t>Qatar</t>
        </is>
      </c>
      <c r="B266" t="inlineStr">
        <is>
          <t>gdp_per_capita_ppp</t>
        </is>
      </c>
      <c r="C266" t="inlineStr">
        <is>
          <t>GDP per capita (PPP)</t>
        </is>
      </c>
      <c r="D266" t="inlineStr">
        <is>
          <t>creative</t>
        </is>
      </c>
      <c r="E266" t="inlineStr">
        <is>
          <t>yes</t>
        </is>
      </c>
      <c r="F266" t="inlineStr">
        <is>
          <t>126046.35</t>
        </is>
      </c>
      <c r="G266" t="inlineStr">
        <is>
          <t>world_bank</t>
        </is>
      </c>
      <c r="H266" t="inlineStr">
        <is>
          <t>https://api.worldbank.org/v2/country/QAT/indicator/NY.GDP.PCAP.PP.CD?format=json&amp;mrv=30</t>
        </is>
      </c>
      <c r="I266" t="inlineStr">
        <is>
          <t>World Bank WDI: GDP per capita, PPP (current international $)</t>
        </is>
      </c>
      <c r="J266" t="inlineStr">
        <is>
          <t>2024-12-31</t>
        </is>
      </c>
      <c r="K266" t="inlineStr">
        <is>
          <t>auto_seed=world_bank_wdi; indicator=NY.GDP.PCAP.PP.CD; observation_year=2024; dataset_lastupdated=2026-02-24; stale=no</t>
        </is>
      </c>
    </row>
    <row r="267">
      <c r="A267" t="inlineStr">
        <is>
          <t>Qatar</t>
        </is>
      </c>
      <c r="B267" t="inlineStr">
        <is>
          <t>gdp_growth</t>
        </is>
      </c>
      <c r="C267" t="inlineStr">
        <is>
          <t>GDP growth</t>
        </is>
      </c>
      <c r="D267" t="inlineStr">
        <is>
          <t>creative</t>
        </is>
      </c>
      <c r="E267" t="inlineStr">
        <is>
          <t>yes</t>
        </is>
      </c>
      <c r="F267" t="inlineStr">
        <is>
          <t>2.3597</t>
        </is>
      </c>
      <c r="G267" t="inlineStr">
        <is>
          <t>world_bank</t>
        </is>
      </c>
      <c r="H267" t="inlineStr">
        <is>
          <t>https://api.worldbank.org/v2/country/QAT/indicator/NY.GDP.MKTP.KD.ZG?format=json&amp;mrv=30</t>
        </is>
      </c>
      <c r="I267" t="inlineStr">
        <is>
          <t>World Bank WDI: GDP growth (annual %)</t>
        </is>
      </c>
      <c r="J267" t="inlineStr">
        <is>
          <t>2024-12-31</t>
        </is>
      </c>
      <c r="K267" t="inlineStr">
        <is>
          <t>auto_seed=world_bank_wdi; indicator=NY.GDP.MKTP.KD.ZG; observation_year=2024; dataset_lastupdated=2026-02-24; stale=no</t>
        </is>
      </c>
    </row>
    <row r="268">
      <c r="A268" t="inlineStr">
        <is>
          <t>Qatar</t>
        </is>
      </c>
      <c r="B268" t="inlineStr">
        <is>
          <t>gini_coefficient</t>
        </is>
      </c>
      <c r="C268" t="inlineStr">
        <is>
          <t>Gini coefficient</t>
        </is>
      </c>
      <c r="D268" t="inlineStr">
        <is>
          <t>capability</t>
        </is>
      </c>
      <c r="E268" t="inlineStr">
        <is>
          <t>yes</t>
        </is>
      </c>
      <c r="F268" t="inlineStr">
        <is>
          <t>35.1</t>
        </is>
      </c>
      <c r="G268" t="inlineStr">
        <is>
          <t>world_bank</t>
        </is>
      </c>
      <c r="H268" t="inlineStr">
        <is>
          <t>https://api.worldbank.org/v2/country/QAT/indicator/SI.POV.GINI?format=json&amp;mrv=30</t>
        </is>
      </c>
      <c r="I268" t="inlineStr">
        <is>
          <t>World Bank WDI: Gini index</t>
        </is>
      </c>
      <c r="J268" t="inlineStr">
        <is>
          <t>2017-12-31</t>
        </is>
      </c>
      <c r="K268" t="inlineStr">
        <is>
          <t>auto_seed=world_bank_wdi; indicator=SI.POV.GINI; observation_year=2017; dataset_lastupdated=2026-02-24; stale=yes</t>
        </is>
      </c>
    </row>
    <row r="269">
      <c r="A269" t="inlineStr">
        <is>
          <t>Qatar</t>
        </is>
      </c>
      <c r="B269" t="inlineStr">
        <is>
          <t>ppp_private_consumption</t>
        </is>
      </c>
      <c r="C269" t="inlineStr">
        <is>
          <t>PPP private consumption factor</t>
        </is>
      </c>
      <c r="D269" t="inlineStr">
        <is>
          <t>pressure</t>
        </is>
      </c>
      <c r="E269" t="inlineStr">
        <is>
          <t>yes</t>
        </is>
      </c>
      <c r="F269" t="inlineStr">
        <is>
          <t>2.755487</t>
        </is>
      </c>
      <c r="G269" t="inlineStr">
        <is>
          <t>world_bank</t>
        </is>
      </c>
      <c r="H269" t="inlineStr">
        <is>
          <t>https://api.worldbank.org/v2/country/QAT/indicator/PA.NUS.PRVT.PP?format=json&amp;mrv=30</t>
        </is>
      </c>
      <c r="I269" t="inlineStr">
        <is>
          <t>World Bank WDI: PPP conversion factor, private consumption (LCU per international $)</t>
        </is>
      </c>
      <c r="J269" t="inlineStr">
        <is>
          <t>2024-12-31</t>
        </is>
      </c>
      <c r="K269" t="inlineStr">
        <is>
          <t>auto_seed=world_bank_wdi; indicator=PA.NUS.PRVT.PP; observation_year=2024; dataset_lastupdated=2026-02-24; stale=no</t>
        </is>
      </c>
    </row>
    <row r="270">
      <c r="A270" t="inlineStr">
        <is>
          <t>Qatar</t>
        </is>
      </c>
      <c r="B270" t="inlineStr">
        <is>
          <t>tax_rate_assumption</t>
        </is>
      </c>
      <c r="C270" t="inlineStr">
        <is>
          <t>Tax rate assumption</t>
        </is>
      </c>
      <c r="D270" t="inlineStr">
        <is>
          <t>pressure</t>
        </is>
      </c>
      <c r="E270" t="inlineStr">
        <is>
          <t>yes</t>
        </is>
      </c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Qatar</t>
        </is>
      </c>
      <c r="B271" t="inlineStr">
        <is>
          <t>household_debt_proxy</t>
        </is>
      </c>
      <c r="C271" t="inlineStr">
        <is>
          <t>Household debt proxy</t>
        </is>
      </c>
      <c r="D271" t="inlineStr">
        <is>
          <t>pressure</t>
        </is>
      </c>
      <c r="E271" t="inlineStr">
        <is>
          <t>yes</t>
        </is>
      </c>
      <c r="F271" t="inlineStr">
        <is>
          <t>118.8652</t>
        </is>
      </c>
      <c r="G271" t="inlineStr">
        <is>
          <t>world_bank</t>
        </is>
      </c>
      <c r="H271" t="inlineStr">
        <is>
          <t>https://api.worldbank.org/v2/country/QAT/indicator/FD.AST.PRVT.GD.ZS?format=json&amp;mrv=30</t>
        </is>
      </c>
      <c r="I271" t="inlineStr">
        <is>
          <t>World Bank WDI: Domestic credit to private sector by banks (% of GDP) used as interim leverage proxy</t>
        </is>
      </c>
      <c r="J271" t="inlineStr">
        <is>
          <t>2024-12-31</t>
        </is>
      </c>
      <c r="K271" t="inlineStr">
        <is>
          <t>auto_seed=world_bank_wdi; proxy=broad_private_credit_not_household_only; indicator=FD.AST.PRVT.GD.ZS; observation_year=2024; dataset_lastupdated=2026-02-24; stale=no</t>
        </is>
      </c>
    </row>
    <row r="272">
      <c r="A272" t="inlineStr">
        <is>
          <t>Saudi Arabia</t>
        </is>
      </c>
      <c r="B272" t="inlineStr">
        <is>
          <t>gdp_per_capita_ppp</t>
        </is>
      </c>
      <c r="C272" t="inlineStr">
        <is>
          <t>GDP per capita (PPP)</t>
        </is>
      </c>
      <c r="D272" t="inlineStr">
        <is>
          <t>creative</t>
        </is>
      </c>
      <c r="E272" t="inlineStr">
        <is>
          <t>yes</t>
        </is>
      </c>
      <c r="F272" t="inlineStr">
        <is>
          <t>71375.37</t>
        </is>
      </c>
      <c r="G272" t="inlineStr">
        <is>
          <t>world_bank</t>
        </is>
      </c>
      <c r="H272" t="inlineStr">
        <is>
          <t>https://api.worldbank.org/v2/country/SAU/indicator/NY.GDP.PCAP.PP.CD?format=json&amp;mrv=30</t>
        </is>
      </c>
      <c r="I272" t="inlineStr">
        <is>
          <t>World Bank WDI: GDP per capita, PPP (current international $)</t>
        </is>
      </c>
      <c r="J272" t="inlineStr">
        <is>
          <t>2024-12-31</t>
        </is>
      </c>
      <c r="K272" t="inlineStr">
        <is>
          <t>auto_seed=world_bank_wdi; indicator=NY.GDP.PCAP.PP.CD; observation_year=2024; dataset_lastupdated=2026-02-24; stale=no</t>
        </is>
      </c>
    </row>
    <row r="273">
      <c r="A273" t="inlineStr">
        <is>
          <t>Saudi Arabia</t>
        </is>
      </c>
      <c r="B273" t="inlineStr">
        <is>
          <t>gdp_growth</t>
        </is>
      </c>
      <c r="C273" t="inlineStr">
        <is>
          <t>GDP growth</t>
        </is>
      </c>
      <c r="D273" t="inlineStr">
        <is>
          <t>creative</t>
        </is>
      </c>
      <c r="E273" t="inlineStr">
        <is>
          <t>yes</t>
        </is>
      </c>
      <c r="F273" t="inlineStr">
        <is>
          <t>1.9965</t>
        </is>
      </c>
      <c r="G273" t="inlineStr">
        <is>
          <t>world_bank</t>
        </is>
      </c>
      <c r="H273" t="inlineStr">
        <is>
          <t>https://api.worldbank.org/v2/country/SAU/indicator/NY.GDP.MKTP.KD.ZG?format=json&amp;mrv=30</t>
        </is>
      </c>
      <c r="I273" t="inlineStr">
        <is>
          <t>World Bank WDI: GDP growth (annual %)</t>
        </is>
      </c>
      <c r="J273" t="inlineStr">
        <is>
          <t>2024-12-31</t>
        </is>
      </c>
      <c r="K273" t="inlineStr">
        <is>
          <t>auto_seed=world_bank_wdi; indicator=NY.GDP.MKTP.KD.ZG; observation_year=2024; dataset_lastupdated=2026-02-24; stale=no</t>
        </is>
      </c>
    </row>
    <row r="274">
      <c r="A274" t="inlineStr">
        <is>
          <t>Saudi Arabia</t>
        </is>
      </c>
      <c r="B274" t="inlineStr">
        <is>
          <t>gini_coefficient</t>
        </is>
      </c>
      <c r="C274" t="inlineStr">
        <is>
          <t>Gini coefficient</t>
        </is>
      </c>
      <c r="D274" t="inlineStr">
        <is>
          <t>capability</t>
        </is>
      </c>
      <c r="E274" t="inlineStr">
        <is>
          <t>yes</t>
        </is>
      </c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Saudi Arabia</t>
        </is>
      </c>
      <c r="B275" t="inlineStr">
        <is>
          <t>ppp_private_consumption</t>
        </is>
      </c>
      <c r="C275" t="inlineStr">
        <is>
          <t>PPP private consumption factor</t>
        </is>
      </c>
      <c r="D275" t="inlineStr">
        <is>
          <t>pressure</t>
        </is>
      </c>
      <c r="E275" t="inlineStr">
        <is>
          <t>yes</t>
        </is>
      </c>
      <c r="F275" t="inlineStr">
        <is>
          <t>1.882361</t>
        </is>
      </c>
      <c r="G275" t="inlineStr">
        <is>
          <t>world_bank</t>
        </is>
      </c>
      <c r="H275" t="inlineStr">
        <is>
          <t>https://api.worldbank.org/v2/country/SAU/indicator/PA.NUS.PRVT.PP?format=json&amp;mrv=30</t>
        </is>
      </c>
      <c r="I275" t="inlineStr">
        <is>
          <t>World Bank WDI: PPP conversion factor, private consumption (LCU per international $)</t>
        </is>
      </c>
      <c r="J275" t="inlineStr">
        <is>
          <t>2024-12-31</t>
        </is>
      </c>
      <c r="K275" t="inlineStr">
        <is>
          <t>auto_seed=world_bank_wdi; indicator=PA.NUS.PRVT.PP; observation_year=2024; dataset_lastupdated=2026-02-24; stale=no</t>
        </is>
      </c>
    </row>
    <row r="276">
      <c r="A276" t="inlineStr">
        <is>
          <t>Saudi Arabia</t>
        </is>
      </c>
      <c r="B276" t="inlineStr">
        <is>
          <t>tax_rate_assumption</t>
        </is>
      </c>
      <c r="C276" t="inlineStr">
        <is>
          <t>Tax rate assumption</t>
        </is>
      </c>
      <c r="D276" t="inlineStr">
        <is>
          <t>pressure</t>
        </is>
      </c>
      <c r="E276" t="inlineStr">
        <is>
          <t>yes</t>
        </is>
      </c>
      <c r="F276" t="inlineStr">
        <is>
          <t>0.081847</t>
        </is>
      </c>
      <c r="G276" t="inlineStr">
        <is>
          <t>world_bank</t>
        </is>
      </c>
      <c r="H276" t="inlineStr">
        <is>
          <t>https://api.worldbank.org/v2/country/SAU/indicator/GC.TAX.TOTL.GD.ZS?format=json&amp;mrv=30</t>
        </is>
      </c>
      <c r="I276" t="inlineStr">
        <is>
          <t>World Bank WDI: Tax revenue (% of GDP) used as interim country average tax-take proxy</t>
        </is>
      </c>
      <c r="J276" t="inlineStr">
        <is>
          <t>2024-12-31</t>
        </is>
      </c>
      <c r="K276" t="inlineStr">
        <is>
          <t>auto_seed=world_bank_wdi; proxy=country_average_tax_take_from_tax_revenue_share; indicator=GC.TAX.TOTL.GD.ZS; observation_year=2024; dataset_lastupdated=2026-02-24; stale=no</t>
        </is>
      </c>
    </row>
    <row r="277">
      <c r="A277" t="inlineStr">
        <is>
          <t>Saudi Arabia</t>
        </is>
      </c>
      <c r="B277" t="inlineStr">
        <is>
          <t>household_debt_proxy</t>
        </is>
      </c>
      <c r="C277" t="inlineStr">
        <is>
          <t>Household debt proxy</t>
        </is>
      </c>
      <c r="D277" t="inlineStr">
        <is>
          <t>pressure</t>
        </is>
      </c>
      <c r="E277" t="inlineStr">
        <is>
          <t>yes</t>
        </is>
      </c>
      <c r="F277" t="inlineStr">
        <is>
          <t>50.1376</t>
        </is>
      </c>
      <c r="G277" t="inlineStr">
        <is>
          <t>world_bank</t>
        </is>
      </c>
      <c r="H277" t="inlineStr">
        <is>
          <t>https://api.worldbank.org/v2/country/SAU/indicator/FD.AST.PRVT.GD.ZS?format=json&amp;mrv=30</t>
        </is>
      </c>
      <c r="I277" t="inlineStr">
        <is>
          <t>World Bank WDI: Domestic credit to private sector by banks (% of GDP) used as interim leverage proxy</t>
        </is>
      </c>
      <c r="J277" t="inlineStr">
        <is>
          <t>2017-12-31</t>
        </is>
      </c>
      <c r="K277" t="inlineStr">
        <is>
          <t>auto_seed=world_bank_wdi; proxy=broad_private_credit_not_household_only; indicator=FD.AST.PRVT.GD.ZS; observation_year=2017; dataset_lastupdated=2026-02-24; stale=yes</t>
        </is>
      </c>
    </row>
    <row r="278">
      <c r="A278" t="inlineStr">
        <is>
          <t>Israel</t>
        </is>
      </c>
      <c r="B278" t="inlineStr">
        <is>
          <t>gdp_per_capita_ppp</t>
        </is>
      </c>
      <c r="C278" t="inlineStr">
        <is>
          <t>GDP per capita (PPP)</t>
        </is>
      </c>
      <c r="D278" t="inlineStr">
        <is>
          <t>creative</t>
        </is>
      </c>
      <c r="E278" t="inlineStr">
        <is>
          <t>yes</t>
        </is>
      </c>
      <c r="F278" t="inlineStr">
        <is>
          <t>57235.78</t>
        </is>
      </c>
      <c r="G278" t="inlineStr">
        <is>
          <t>world_bank</t>
        </is>
      </c>
      <c r="H278" t="inlineStr">
        <is>
          <t>https://api.worldbank.org/v2/country/ISR/indicator/NY.GDP.PCAP.PP.CD?format=json&amp;mrv=30</t>
        </is>
      </c>
      <c r="I278" t="inlineStr">
        <is>
          <t>World Bank WDI: GDP per capita, PPP (current international $)</t>
        </is>
      </c>
      <c r="J278" t="inlineStr">
        <is>
          <t>2024-12-31</t>
        </is>
      </c>
      <c r="K278" t="inlineStr">
        <is>
          <t>auto_seed=world_bank_wdi; indicator=NY.GDP.PCAP.PP.CD; observation_year=2024; dataset_lastupdated=2026-02-24; stale=no</t>
        </is>
      </c>
    </row>
    <row r="279">
      <c r="A279" t="inlineStr">
        <is>
          <t>Israel</t>
        </is>
      </c>
      <c r="B279" t="inlineStr">
        <is>
          <t>gdp_growth</t>
        </is>
      </c>
      <c r="C279" t="inlineStr">
        <is>
          <t>GDP growth</t>
        </is>
      </c>
      <c r="D279" t="inlineStr">
        <is>
          <t>creative</t>
        </is>
      </c>
      <c r="E279" t="inlineStr">
        <is>
          <t>yes</t>
        </is>
      </c>
      <c r="F279" t="inlineStr">
        <is>
          <t>0.872</t>
        </is>
      </c>
      <c r="G279" t="inlineStr">
        <is>
          <t>world_bank</t>
        </is>
      </c>
      <c r="H279" t="inlineStr">
        <is>
          <t>https://api.worldbank.org/v2/country/ISR/indicator/NY.GDP.MKTP.KD.ZG?format=json&amp;mrv=30</t>
        </is>
      </c>
      <c r="I279" t="inlineStr">
        <is>
          <t>World Bank WDI: GDP growth (annual %)</t>
        </is>
      </c>
      <c r="J279" t="inlineStr">
        <is>
          <t>2024-12-31</t>
        </is>
      </c>
      <c r="K279" t="inlineStr">
        <is>
          <t>auto_seed=world_bank_wdi; indicator=NY.GDP.MKTP.KD.ZG; observation_year=2024; dataset_lastupdated=2026-02-24; stale=no</t>
        </is>
      </c>
    </row>
    <row r="280">
      <c r="A280" t="inlineStr">
        <is>
          <t>Israel</t>
        </is>
      </c>
      <c r="B280" t="inlineStr">
        <is>
          <t>gini_coefficient</t>
        </is>
      </c>
      <c r="C280" t="inlineStr">
        <is>
          <t>Gini coefficient</t>
        </is>
      </c>
      <c r="D280" t="inlineStr">
        <is>
          <t>capability</t>
        </is>
      </c>
      <c r="E280" t="inlineStr">
        <is>
          <t>yes</t>
        </is>
      </c>
      <c r="F280" t="inlineStr">
        <is>
          <t>37.9</t>
        </is>
      </c>
      <c r="G280" t="inlineStr">
        <is>
          <t>world_bank</t>
        </is>
      </c>
      <c r="H280" t="inlineStr">
        <is>
          <t>https://api.worldbank.org/v2/country/ISR/indicator/SI.POV.GINI?format=json&amp;mrv=30</t>
        </is>
      </c>
      <c r="I280" t="inlineStr">
        <is>
          <t>World Bank WDI: Gini index</t>
        </is>
      </c>
      <c r="J280" t="inlineStr">
        <is>
          <t>2021-12-31</t>
        </is>
      </c>
      <c r="K280" t="inlineStr">
        <is>
          <t>auto_seed=world_bank_wdi; indicator=SI.POV.GINI; observation_year=2021; dataset_lastupdated=2026-02-24; stale=no</t>
        </is>
      </c>
    </row>
    <row r="281">
      <c r="A281" t="inlineStr">
        <is>
          <t>Israel</t>
        </is>
      </c>
      <c r="B281" t="inlineStr">
        <is>
          <t>ppp_private_consumption</t>
        </is>
      </c>
      <c r="C281" t="inlineStr">
        <is>
          <t>PPP private consumption factor</t>
        </is>
      </c>
      <c r="D281" t="inlineStr">
        <is>
          <t>pressure</t>
        </is>
      </c>
      <c r="E281" t="inlineStr">
        <is>
          <t>yes</t>
        </is>
      </c>
      <c r="F281" t="inlineStr">
        <is>
          <t>3.607983</t>
        </is>
      </c>
      <c r="G281" t="inlineStr">
        <is>
          <t>world_bank</t>
        </is>
      </c>
      <c r="H281" t="inlineStr">
        <is>
          <t>https://api.worldbank.org/v2/country/ISR/indicator/PA.NUS.PRVT.PP?format=json&amp;mrv=30</t>
        </is>
      </c>
      <c r="I281" t="inlineStr">
        <is>
          <t>World Bank WDI: PPP conversion factor, private consumption (LCU per international $)</t>
        </is>
      </c>
      <c r="J281" t="inlineStr">
        <is>
          <t>2024-12-31</t>
        </is>
      </c>
      <c r="K281" t="inlineStr">
        <is>
          <t>auto_seed=world_bank_wdi; indicator=PA.NUS.PRVT.PP; observation_year=2024; dataset_lastupdated=2026-02-24; stale=no</t>
        </is>
      </c>
    </row>
    <row r="282">
      <c r="A282" t="inlineStr">
        <is>
          <t>Israel</t>
        </is>
      </c>
      <c r="B282" t="inlineStr">
        <is>
          <t>tax_rate_assumption</t>
        </is>
      </c>
      <c r="C282" t="inlineStr">
        <is>
          <t>Tax rate assumption</t>
        </is>
      </c>
      <c r="D282" t="inlineStr">
        <is>
          <t>pressure</t>
        </is>
      </c>
      <c r="E282" t="inlineStr">
        <is>
          <t>yes</t>
        </is>
      </c>
      <c r="F282" t="inlineStr">
        <is>
          <t>0.221364</t>
        </is>
      </c>
      <c r="G282" t="inlineStr">
        <is>
          <t>world_bank</t>
        </is>
      </c>
      <c r="H282" t="inlineStr">
        <is>
          <t>https://api.worldbank.org/v2/country/ISR/indicator/GC.TAX.TOTL.GD.ZS?format=json&amp;mrv=30</t>
        </is>
      </c>
      <c r="I282" t="inlineStr">
        <is>
          <t>World Bank WDI: Tax revenue (% of GDP) used as interim country average tax-take proxy</t>
        </is>
      </c>
      <c r="J282" t="inlineStr">
        <is>
          <t>2023-12-31</t>
        </is>
      </c>
      <c r="K282" t="inlineStr">
        <is>
          <t>auto_seed=world_bank_wdi; proxy=country_average_tax_take_from_tax_revenue_share; indicator=GC.TAX.TOTL.GD.ZS; observation_year=2023; dataset_lastupdated=2026-02-24; stale=no</t>
        </is>
      </c>
    </row>
    <row r="283">
      <c r="A283" t="inlineStr">
        <is>
          <t>Israel</t>
        </is>
      </c>
      <c r="B283" t="inlineStr">
        <is>
          <t>household_debt_proxy</t>
        </is>
      </c>
      <c r="C283" t="inlineStr">
        <is>
          <t>Household debt proxy</t>
        </is>
      </c>
      <c r="D283" t="inlineStr">
        <is>
          <t>pressure</t>
        </is>
      </c>
      <c r="E283" t="inlineStr">
        <is>
          <t>yes</t>
        </is>
      </c>
      <c r="F283" t="inlineStr">
        <is>
          <t>69.7497</t>
        </is>
      </c>
      <c r="G283" t="inlineStr">
        <is>
          <t>world_bank</t>
        </is>
      </c>
      <c r="H283" t="inlineStr">
        <is>
          <t>https://api.worldbank.org/v2/country/ISR/indicator/FD.AST.PRVT.GD.ZS?format=json&amp;mrv=30</t>
        </is>
      </c>
      <c r="I283" t="inlineStr">
        <is>
          <t>World Bank WDI: Domestic credit to private sector by banks (% of GDP) used as interim leverage proxy</t>
        </is>
      </c>
      <c r="J283" t="inlineStr">
        <is>
          <t>2024-12-31</t>
        </is>
      </c>
      <c r="K283" t="inlineStr">
        <is>
          <t>auto_seed=world_bank_wdi; proxy=broad_private_credit_not_household_only; indicator=FD.AST.PRVT.GD.ZS; observation_year=2024; dataset_lastupdated=2026-02-24; stale=no</t>
        </is>
      </c>
    </row>
    <row r="284">
      <c r="A284" t="inlineStr">
        <is>
          <t>Oman</t>
        </is>
      </c>
      <c r="B284" t="inlineStr">
        <is>
          <t>gdp_per_capita_ppp</t>
        </is>
      </c>
      <c r="C284" t="inlineStr">
        <is>
          <t>GDP per capita (PPP)</t>
        </is>
      </c>
      <c r="D284" t="inlineStr">
        <is>
          <t>creative</t>
        </is>
      </c>
      <c r="E284" t="inlineStr">
        <is>
          <t>yes</t>
        </is>
      </c>
      <c r="F284" t="inlineStr">
        <is>
          <t>41740.17</t>
        </is>
      </c>
      <c r="G284" t="inlineStr">
        <is>
          <t>world_bank</t>
        </is>
      </c>
      <c r="H284" t="inlineStr">
        <is>
          <t>https://api.worldbank.org/v2/country/OMN/indicator/NY.GDP.PCAP.PP.CD?format=json&amp;mrv=30</t>
        </is>
      </c>
      <c r="I284" t="inlineStr">
        <is>
          <t>World Bank WDI: GDP per capita, PPP (current international $)</t>
        </is>
      </c>
      <c r="J284" t="inlineStr">
        <is>
          <t>2024-12-31</t>
        </is>
      </c>
      <c r="K284" t="inlineStr">
        <is>
          <t>auto_seed=world_bank_wdi; indicator=NY.GDP.PCAP.PP.CD; observation_year=2024; dataset_lastupdated=2026-02-24; stale=no</t>
        </is>
      </c>
    </row>
    <row r="285">
      <c r="A285" t="inlineStr">
        <is>
          <t>Oman</t>
        </is>
      </c>
      <c r="B285" t="inlineStr">
        <is>
          <t>gdp_growth</t>
        </is>
      </c>
      <c r="C285" t="inlineStr">
        <is>
          <t>GDP growth</t>
        </is>
      </c>
      <c r="D285" t="inlineStr">
        <is>
          <t>creative</t>
        </is>
      </c>
      <c r="E285" t="inlineStr">
        <is>
          <t>yes</t>
        </is>
      </c>
      <c r="F285" t="inlineStr">
        <is>
          <t>1.6316</t>
        </is>
      </c>
      <c r="G285" t="inlineStr">
        <is>
          <t>world_bank</t>
        </is>
      </c>
      <c r="H285" t="inlineStr">
        <is>
          <t>https://api.worldbank.org/v2/country/OMN/indicator/NY.GDP.MKTP.KD.ZG?format=json&amp;mrv=30</t>
        </is>
      </c>
      <c r="I285" t="inlineStr">
        <is>
          <t>World Bank WDI: GDP growth (annual %)</t>
        </is>
      </c>
      <c r="J285" t="inlineStr">
        <is>
          <t>2024-12-31</t>
        </is>
      </c>
      <c r="K285" t="inlineStr">
        <is>
          <t>auto_seed=world_bank_wdi; indicator=NY.GDP.MKTP.KD.ZG; observation_year=2024; dataset_lastupdated=2026-02-24; stale=no</t>
        </is>
      </c>
    </row>
    <row r="286">
      <c r="A286" t="inlineStr">
        <is>
          <t>Oman</t>
        </is>
      </c>
      <c r="B286" t="inlineStr">
        <is>
          <t>gini_coefficient</t>
        </is>
      </c>
      <c r="C286" t="inlineStr">
        <is>
          <t>Gini coefficient</t>
        </is>
      </c>
      <c r="D286" t="inlineStr">
        <is>
          <t>capability</t>
        </is>
      </c>
      <c r="E286" t="inlineStr">
        <is>
          <t>yes</t>
        </is>
      </c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Oman</t>
        </is>
      </c>
      <c r="B287" t="inlineStr">
        <is>
          <t>ppp_private_consumption</t>
        </is>
      </c>
      <c r="C287" t="inlineStr">
        <is>
          <t>PPP private consumption factor</t>
        </is>
      </c>
      <c r="D287" t="inlineStr">
        <is>
          <t>pressure</t>
        </is>
      </c>
      <c r="E287" t="inlineStr">
        <is>
          <t>yes</t>
        </is>
      </c>
      <c r="F287" t="inlineStr">
        <is>
          <t>0.184982</t>
        </is>
      </c>
      <c r="G287" t="inlineStr">
        <is>
          <t>world_bank</t>
        </is>
      </c>
      <c r="H287" t="inlineStr">
        <is>
          <t>https://api.worldbank.org/v2/country/OMN/indicator/PA.NUS.PRVT.PP?format=json&amp;mrv=30</t>
        </is>
      </c>
      <c r="I287" t="inlineStr">
        <is>
          <t>World Bank WDI: PPP conversion factor, private consumption (LCU per international $)</t>
        </is>
      </c>
      <c r="J287" t="inlineStr">
        <is>
          <t>2024-12-31</t>
        </is>
      </c>
      <c r="K287" t="inlineStr">
        <is>
          <t>auto_seed=world_bank_wdi; indicator=PA.NUS.PRVT.PP; observation_year=2024; dataset_lastupdated=2026-02-24; stale=no</t>
        </is>
      </c>
    </row>
    <row r="288">
      <c r="A288" t="inlineStr">
        <is>
          <t>Oman</t>
        </is>
      </c>
      <c r="B288" t="inlineStr">
        <is>
          <t>tax_rate_assumption</t>
        </is>
      </c>
      <c r="C288" t="inlineStr">
        <is>
          <t>Tax rate assumption</t>
        </is>
      </c>
      <c r="D288" t="inlineStr">
        <is>
          <t>pressure</t>
        </is>
      </c>
      <c r="E288" t="inlineStr">
        <is>
          <t>yes</t>
        </is>
      </c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Oman</t>
        </is>
      </c>
      <c r="B289" t="inlineStr">
        <is>
          <t>household_debt_proxy</t>
        </is>
      </c>
      <c r="C289" t="inlineStr">
        <is>
          <t>Household debt proxy</t>
        </is>
      </c>
      <c r="D289" t="inlineStr">
        <is>
          <t>pressure</t>
        </is>
      </c>
      <c r="E289" t="inlineStr">
        <is>
          <t>yes</t>
        </is>
      </c>
      <c r="F289" t="inlineStr">
        <is>
          <t>59.7083</t>
        </is>
      </c>
      <c r="G289" t="inlineStr">
        <is>
          <t>world_bank</t>
        </is>
      </c>
      <c r="H289" t="inlineStr">
        <is>
          <t>https://api.worldbank.org/v2/country/OMN/indicator/FD.AST.PRVT.GD.ZS?format=json&amp;mrv=30</t>
        </is>
      </c>
      <c r="I289" t="inlineStr">
        <is>
          <t>World Bank WDI: Domestic credit to private sector by banks (% of GDP) used as interim leverage proxy</t>
        </is>
      </c>
      <c r="J289" t="inlineStr">
        <is>
          <t>2023-12-31</t>
        </is>
      </c>
      <c r="K289" t="inlineStr">
        <is>
          <t>auto_seed=world_bank_wdi; proxy=broad_private_credit_not_household_only; indicator=FD.AST.PRVT.GD.ZS; observation_year=2023; dataset_lastupdated=2026-02-24; stale=no</t>
        </is>
      </c>
    </row>
    <row r="290">
      <c r="A290" t="inlineStr">
        <is>
          <t>Bahrain</t>
        </is>
      </c>
      <c r="B290" t="inlineStr">
        <is>
          <t>gdp_per_capita_ppp</t>
        </is>
      </c>
      <c r="C290" t="inlineStr">
        <is>
          <t>GDP per capita (PPP)</t>
        </is>
      </c>
      <c r="D290" t="inlineStr">
        <is>
          <t>creative</t>
        </is>
      </c>
      <c r="E290" t="inlineStr">
        <is>
          <t>yes</t>
        </is>
      </c>
      <c r="F290" t="inlineStr">
        <is>
          <t>66941.24</t>
        </is>
      </c>
      <c r="G290" t="inlineStr">
        <is>
          <t>world_bank</t>
        </is>
      </c>
      <c r="H290" t="inlineStr">
        <is>
          <t>https://api.worldbank.org/v2/country/BHR/indicator/NY.GDP.PCAP.PP.CD?format=json&amp;mrv=30</t>
        </is>
      </c>
      <c r="I290" t="inlineStr">
        <is>
          <t>World Bank WDI: GDP per capita, PPP (current international $)</t>
        </is>
      </c>
      <c r="J290" t="inlineStr">
        <is>
          <t>2024-12-31</t>
        </is>
      </c>
      <c r="K290" t="inlineStr">
        <is>
          <t>auto_seed=world_bank_wdi; indicator=NY.GDP.PCAP.PP.CD; observation_year=2024; dataset_lastupdated=2026-02-24; stale=no</t>
        </is>
      </c>
    </row>
    <row r="291">
      <c r="A291" t="inlineStr">
        <is>
          <t>Bahrain</t>
        </is>
      </c>
      <c r="B291" t="inlineStr">
        <is>
          <t>gdp_growth</t>
        </is>
      </c>
      <c r="C291" t="inlineStr">
        <is>
          <t>GDP growth</t>
        </is>
      </c>
      <c r="D291" t="inlineStr">
        <is>
          <t>creative</t>
        </is>
      </c>
      <c r="E291" t="inlineStr">
        <is>
          <t>yes</t>
        </is>
      </c>
      <c r="F291" t="inlineStr">
        <is>
          <t>2.6038</t>
        </is>
      </c>
      <c r="G291" t="inlineStr">
        <is>
          <t>world_bank</t>
        </is>
      </c>
      <c r="H291" t="inlineStr">
        <is>
          <t>https://api.worldbank.org/v2/country/BHR/indicator/NY.GDP.MKTP.KD.ZG?format=json&amp;mrv=30</t>
        </is>
      </c>
      <c r="I291" t="inlineStr">
        <is>
          <t>World Bank WDI: GDP growth (annual %)</t>
        </is>
      </c>
      <c r="J291" t="inlineStr">
        <is>
          <t>2024-12-31</t>
        </is>
      </c>
      <c r="K291" t="inlineStr">
        <is>
          <t>auto_seed=world_bank_wdi; indicator=NY.GDP.MKTP.KD.ZG; observation_year=2024; dataset_lastupdated=2026-02-24; stale=no</t>
        </is>
      </c>
    </row>
    <row r="292">
      <c r="A292" t="inlineStr">
        <is>
          <t>Bahrain</t>
        </is>
      </c>
      <c r="B292" t="inlineStr">
        <is>
          <t>gini_coefficient</t>
        </is>
      </c>
      <c r="C292" t="inlineStr">
        <is>
          <t>Gini coefficient</t>
        </is>
      </c>
      <c r="D292" t="inlineStr">
        <is>
          <t>capability</t>
        </is>
      </c>
      <c r="E292" t="inlineStr">
        <is>
          <t>yes</t>
        </is>
      </c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Bahrain</t>
        </is>
      </c>
      <c r="B293" t="inlineStr">
        <is>
          <t>ppp_private_consumption</t>
        </is>
      </c>
      <c r="C293" t="inlineStr">
        <is>
          <t>PPP private consumption factor</t>
        </is>
      </c>
      <c r="D293" t="inlineStr">
        <is>
          <t>pressure</t>
        </is>
      </c>
      <c r="E293" t="inlineStr">
        <is>
          <t>yes</t>
        </is>
      </c>
      <c r="F293" t="inlineStr">
        <is>
          <t>0.188671</t>
        </is>
      </c>
      <c r="G293" t="inlineStr">
        <is>
          <t>world_bank</t>
        </is>
      </c>
      <c r="H293" t="inlineStr">
        <is>
          <t>https://api.worldbank.org/v2/country/BHR/indicator/PA.NUS.PRVT.PP?format=json&amp;mrv=30</t>
        </is>
      </c>
      <c r="I293" t="inlineStr">
        <is>
          <t>World Bank WDI: PPP conversion factor, private consumption (LCU per international $)</t>
        </is>
      </c>
      <c r="J293" t="inlineStr">
        <is>
          <t>2024-12-31</t>
        </is>
      </c>
      <c r="K293" t="inlineStr">
        <is>
          <t>auto_seed=world_bank_wdi; indicator=PA.NUS.PRVT.PP; observation_year=2024; dataset_lastupdated=2026-02-24; stale=no</t>
        </is>
      </c>
    </row>
    <row r="294">
      <c r="A294" t="inlineStr">
        <is>
          <t>Bahrain</t>
        </is>
      </c>
      <c r="B294" t="inlineStr">
        <is>
          <t>tax_rate_assumption</t>
        </is>
      </c>
      <c r="C294" t="inlineStr">
        <is>
          <t>Tax rate assumption</t>
        </is>
      </c>
      <c r="D294" t="inlineStr">
        <is>
          <t>pressure</t>
        </is>
      </c>
      <c r="E294" t="inlineStr">
        <is>
          <t>yes</t>
        </is>
      </c>
      <c r="F294" t="inlineStr">
        <is>
          <t>0.028232</t>
        </is>
      </c>
      <c r="G294" t="inlineStr">
        <is>
          <t>world_bank</t>
        </is>
      </c>
      <c r="H294" t="inlineStr">
        <is>
          <t>https://api.worldbank.org/v2/country/BHR/indicator/GC.TAX.TOTL.GD.ZS?format=json&amp;mrv=30</t>
        </is>
      </c>
      <c r="I294" t="inlineStr">
        <is>
          <t>World Bank WDI: Tax revenue (% of GDP) used as interim country average tax-take proxy</t>
        </is>
      </c>
      <c r="J294" t="inlineStr">
        <is>
          <t>2020-12-31</t>
        </is>
      </c>
      <c r="K294" t="inlineStr">
        <is>
          <t>auto_seed=world_bank_wdi; proxy=country_average_tax_take_from_tax_revenue_share; indicator=GC.TAX.TOTL.GD.ZS; observation_year=2020; dataset_lastupdated=2026-02-24; stale=no</t>
        </is>
      </c>
    </row>
    <row r="295">
      <c r="A295" t="inlineStr">
        <is>
          <t>Bahrain</t>
        </is>
      </c>
      <c r="B295" t="inlineStr">
        <is>
          <t>household_debt_proxy</t>
        </is>
      </c>
      <c r="C295" t="inlineStr">
        <is>
          <t>Household debt proxy</t>
        </is>
      </c>
      <c r="D295" t="inlineStr">
        <is>
          <t>pressure</t>
        </is>
      </c>
      <c r="E295" t="inlineStr">
        <is>
          <t>yes</t>
        </is>
      </c>
      <c r="F295" t="inlineStr">
        <is>
          <t>70.5501</t>
        </is>
      </c>
      <c r="G295" t="inlineStr">
        <is>
          <t>world_bank</t>
        </is>
      </c>
      <c r="H295" t="inlineStr">
        <is>
          <t>https://api.worldbank.org/v2/country/BHR/indicator/FD.AST.PRVT.GD.ZS?format=json&amp;mrv=30</t>
        </is>
      </c>
      <c r="I295" t="inlineStr">
        <is>
          <t>World Bank WDI: Domestic credit to private sector by banks (% of GDP) used as interim leverage proxy</t>
        </is>
      </c>
      <c r="J295" t="inlineStr">
        <is>
          <t>2015-12-31</t>
        </is>
      </c>
      <c r="K295" t="inlineStr">
        <is>
          <t>auto_seed=world_bank_wdi; proxy=broad_private_credit_not_household_only; indicator=FD.AST.PRVT.GD.ZS; observation_year=2015; dataset_lastupdated=2026-02-24; stale=yes</t>
        </is>
      </c>
    </row>
    <row r="296">
      <c r="A296" t="inlineStr">
        <is>
          <t>Kuwait</t>
        </is>
      </c>
      <c r="B296" t="inlineStr">
        <is>
          <t>gdp_per_capita_ppp</t>
        </is>
      </c>
      <c r="C296" t="inlineStr">
        <is>
          <t>GDP per capita (PPP)</t>
        </is>
      </c>
      <c r="D296" t="inlineStr">
        <is>
          <t>creative</t>
        </is>
      </c>
      <c r="E296" t="inlineStr">
        <is>
          <t>yes</t>
        </is>
      </c>
      <c r="F296" t="inlineStr">
        <is>
          <t>52443.6</t>
        </is>
      </c>
      <c r="G296" t="inlineStr">
        <is>
          <t>world_bank</t>
        </is>
      </c>
      <c r="H296" t="inlineStr">
        <is>
          <t>https://api.worldbank.org/v2/country/KWT/indicator/NY.GDP.PCAP.PP.CD?format=json&amp;mrv=30</t>
        </is>
      </c>
      <c r="I296" t="inlineStr">
        <is>
          <t>World Bank WDI: GDP per capita, PPP (current international $)</t>
        </is>
      </c>
      <c r="J296" t="inlineStr">
        <is>
          <t>2024-12-31</t>
        </is>
      </c>
      <c r="K296" t="inlineStr">
        <is>
          <t>auto_seed=world_bank_wdi; indicator=NY.GDP.PCAP.PP.CD; observation_year=2024; dataset_lastupdated=2026-02-24; stale=no</t>
        </is>
      </c>
    </row>
    <row r="297">
      <c r="A297" t="inlineStr">
        <is>
          <t>Kuwait</t>
        </is>
      </c>
      <c r="B297" t="inlineStr">
        <is>
          <t>gdp_growth</t>
        </is>
      </c>
      <c r="C297" t="inlineStr">
        <is>
          <t>GDP growth</t>
        </is>
      </c>
      <c r="D297" t="inlineStr">
        <is>
          <t>creative</t>
        </is>
      </c>
      <c r="E297" t="inlineStr">
        <is>
          <t>yes</t>
        </is>
      </c>
      <c r="F297" t="inlineStr">
        <is>
          <t>-2.5601</t>
        </is>
      </c>
      <c r="G297" t="inlineStr">
        <is>
          <t>world_bank</t>
        </is>
      </c>
      <c r="H297" t="inlineStr">
        <is>
          <t>https://api.worldbank.org/v2/country/KWT/indicator/NY.GDP.MKTP.KD.ZG?format=json&amp;mrv=30</t>
        </is>
      </c>
      <c r="I297" t="inlineStr">
        <is>
          <t>World Bank WDI: GDP growth (annual %)</t>
        </is>
      </c>
      <c r="J297" t="inlineStr">
        <is>
          <t>2024-12-31</t>
        </is>
      </c>
      <c r="K297" t="inlineStr">
        <is>
          <t>auto_seed=world_bank_wdi; indicator=NY.GDP.MKTP.KD.ZG; observation_year=2024; dataset_lastupdated=2026-02-24; stale=no</t>
        </is>
      </c>
    </row>
    <row r="298">
      <c r="A298" t="inlineStr">
        <is>
          <t>Kuwait</t>
        </is>
      </c>
      <c r="B298" t="inlineStr">
        <is>
          <t>gini_coefficient</t>
        </is>
      </c>
      <c r="C298" t="inlineStr">
        <is>
          <t>Gini coefficient</t>
        </is>
      </c>
      <c r="D298" t="inlineStr">
        <is>
          <t>capability</t>
        </is>
      </c>
      <c r="E298" t="inlineStr">
        <is>
          <t>yes</t>
        </is>
      </c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Kuwait</t>
        </is>
      </c>
      <c r="B299" t="inlineStr">
        <is>
          <t>ppp_private_consumption</t>
        </is>
      </c>
      <c r="C299" t="inlineStr">
        <is>
          <t>PPP private consumption factor</t>
        </is>
      </c>
      <c r="D299" t="inlineStr">
        <is>
          <t>pressure</t>
        </is>
      </c>
      <c r="E299" t="inlineStr">
        <is>
          <t>yes</t>
        </is>
      </c>
      <c r="F299" t="inlineStr">
        <is>
          <t>0.183789</t>
        </is>
      </c>
      <c r="G299" t="inlineStr">
        <is>
          <t>world_bank</t>
        </is>
      </c>
      <c r="H299" t="inlineStr">
        <is>
          <t>https://api.worldbank.org/v2/country/KWT/indicator/PA.NUS.PRVT.PP?format=json&amp;mrv=30</t>
        </is>
      </c>
      <c r="I299" t="inlineStr">
        <is>
          <t>World Bank WDI: PPP conversion factor, private consumption (LCU per international $)</t>
        </is>
      </c>
      <c r="J299" t="inlineStr">
        <is>
          <t>2024-12-31</t>
        </is>
      </c>
      <c r="K299" t="inlineStr">
        <is>
          <t>auto_seed=world_bank_wdi; indicator=PA.NUS.PRVT.PP; observation_year=2024; dataset_lastupdated=2026-02-24; stale=no</t>
        </is>
      </c>
    </row>
    <row r="300">
      <c r="A300" t="inlineStr">
        <is>
          <t>Kuwait</t>
        </is>
      </c>
      <c r="B300" t="inlineStr">
        <is>
          <t>tax_rate_assumption</t>
        </is>
      </c>
      <c r="C300" t="inlineStr">
        <is>
          <t>Tax rate assumption</t>
        </is>
      </c>
      <c r="D300" t="inlineStr">
        <is>
          <t>pressure</t>
        </is>
      </c>
      <c r="E300" t="inlineStr">
        <is>
          <t>yes</t>
        </is>
      </c>
      <c r="F300" t="inlineStr">
        <is>
          <t>0.014924</t>
        </is>
      </c>
      <c r="G300" t="inlineStr">
        <is>
          <t>world_bank</t>
        </is>
      </c>
      <c r="H300" t="inlineStr">
        <is>
          <t>https://api.worldbank.org/v2/country/KWT/indicator/GC.TAX.TOTL.GD.ZS?format=json&amp;mrv=30</t>
        </is>
      </c>
      <c r="I300" t="inlineStr">
        <is>
          <t>World Bank WDI: Tax revenue (% of GDP) used as interim country average tax-take proxy</t>
        </is>
      </c>
      <c r="J300" t="inlineStr">
        <is>
          <t>1998-12-31</t>
        </is>
      </c>
      <c r="K300" t="inlineStr">
        <is>
          <t>auto_seed=world_bank_wdi; proxy=country_average_tax_take_from_tax_revenue_share; indicator=GC.TAX.TOTL.GD.ZS; observation_year=1998; dataset_lastupdated=2026-02-24; stale=yes</t>
        </is>
      </c>
    </row>
    <row r="301">
      <c r="A301" t="inlineStr">
        <is>
          <t>Kuwait</t>
        </is>
      </c>
      <c r="B301" t="inlineStr">
        <is>
          <t>household_debt_proxy</t>
        </is>
      </c>
      <c r="C301" t="inlineStr">
        <is>
          <t>Household debt proxy</t>
        </is>
      </c>
      <c r="D301" t="inlineStr">
        <is>
          <t>pressure</t>
        </is>
      </c>
      <c r="E301" t="inlineStr">
        <is>
          <t>yes</t>
        </is>
      </c>
      <c r="F301" t="inlineStr">
        <is>
          <t>4.3975</t>
        </is>
      </c>
      <c r="G301" t="inlineStr">
        <is>
          <t>world_bank</t>
        </is>
      </c>
      <c r="H301" t="inlineStr">
        <is>
          <t>https://api.worldbank.org/v2/country/KWT/indicator/FD.AST.PRVT.GD.ZS?format=json&amp;mrv=30</t>
        </is>
      </c>
      <c r="I301" t="inlineStr">
        <is>
          <t>World Bank WDI: Domestic credit to private sector by banks (% of GDP) used as interim leverage proxy</t>
        </is>
      </c>
      <c r="J301" t="inlineStr">
        <is>
          <t>2024-12-31</t>
        </is>
      </c>
      <c r="K301" t="inlineStr">
        <is>
          <t>auto_seed=world_bank_wdi; proxy=broad_private_credit_not_household_only; indicator=FD.AST.PRVT.GD.ZS; observation_year=2024; dataset_lastupdated=2026-02-24; stale=no</t>
        </is>
      </c>
    </row>
    <row r="302">
      <c r="A302" t="inlineStr">
        <is>
          <t>Jordan</t>
        </is>
      </c>
      <c r="B302" t="inlineStr">
        <is>
          <t>gdp_per_capita_ppp</t>
        </is>
      </c>
      <c r="C302" t="inlineStr">
        <is>
          <t>GDP per capita (PPP)</t>
        </is>
      </c>
      <c r="D302" t="inlineStr">
        <is>
          <t>creative</t>
        </is>
      </c>
      <c r="E302" t="inlineStr">
        <is>
          <t>yes</t>
        </is>
      </c>
      <c r="F302" t="inlineStr">
        <is>
          <t>10821.49</t>
        </is>
      </c>
      <c r="G302" t="inlineStr">
        <is>
          <t>world_bank</t>
        </is>
      </c>
      <c r="H302" t="inlineStr">
        <is>
          <t>https://api.worldbank.org/v2/country/JOR/indicator/NY.GDP.PCAP.PP.CD?format=json&amp;mrv=30</t>
        </is>
      </c>
      <c r="I302" t="inlineStr">
        <is>
          <t>World Bank WDI: GDP per capita, PPP (current international $)</t>
        </is>
      </c>
      <c r="J302" t="inlineStr">
        <is>
          <t>2024-12-31</t>
        </is>
      </c>
      <c r="K302" t="inlineStr">
        <is>
          <t>auto_seed=world_bank_wdi; indicator=NY.GDP.PCAP.PP.CD; observation_year=2024; dataset_lastupdated=2026-02-24; stale=no</t>
        </is>
      </c>
    </row>
    <row r="303">
      <c r="A303" t="inlineStr">
        <is>
          <t>Jordan</t>
        </is>
      </c>
      <c r="B303" t="inlineStr">
        <is>
          <t>gdp_growth</t>
        </is>
      </c>
      <c r="C303" t="inlineStr">
        <is>
          <t>GDP growth</t>
        </is>
      </c>
      <c r="D303" t="inlineStr">
        <is>
          <t>creative</t>
        </is>
      </c>
      <c r="E303" t="inlineStr">
        <is>
          <t>yes</t>
        </is>
      </c>
      <c r="F303" t="inlineStr">
        <is>
          <t>2.4889</t>
        </is>
      </c>
      <c r="G303" t="inlineStr">
        <is>
          <t>world_bank</t>
        </is>
      </c>
      <c r="H303" t="inlineStr">
        <is>
          <t>https://api.worldbank.org/v2/country/JOR/indicator/NY.GDP.MKTP.KD.ZG?format=json&amp;mrv=30</t>
        </is>
      </c>
      <c r="I303" t="inlineStr">
        <is>
          <t>World Bank WDI: GDP growth (annual %)</t>
        </is>
      </c>
      <c r="J303" t="inlineStr">
        <is>
          <t>2024-12-31</t>
        </is>
      </c>
      <c r="K303" t="inlineStr">
        <is>
          <t>auto_seed=world_bank_wdi; indicator=NY.GDP.MKTP.KD.ZG; observation_year=2024; dataset_lastupdated=2026-02-24; stale=no</t>
        </is>
      </c>
    </row>
    <row r="304">
      <c r="A304" t="inlineStr">
        <is>
          <t>Jordan</t>
        </is>
      </c>
      <c r="B304" t="inlineStr">
        <is>
          <t>gini_coefficient</t>
        </is>
      </c>
      <c r="C304" t="inlineStr">
        <is>
          <t>Gini coefficient</t>
        </is>
      </c>
      <c r="D304" t="inlineStr">
        <is>
          <t>capability</t>
        </is>
      </c>
      <c r="E304" t="inlineStr">
        <is>
          <t>yes</t>
        </is>
      </c>
      <c r="F304" t="inlineStr">
        <is>
          <t>33.7</t>
        </is>
      </c>
      <c r="G304" t="inlineStr">
        <is>
          <t>world_bank</t>
        </is>
      </c>
      <c r="H304" t="inlineStr">
        <is>
          <t>https://api.worldbank.org/v2/country/JOR/indicator/SI.POV.GINI?format=json&amp;mrv=30</t>
        </is>
      </c>
      <c r="I304" t="inlineStr">
        <is>
          <t>World Bank WDI: Gini index</t>
        </is>
      </c>
      <c r="J304" t="inlineStr">
        <is>
          <t>2010-12-31</t>
        </is>
      </c>
      <c r="K304" t="inlineStr">
        <is>
          <t>auto_seed=world_bank_wdi; indicator=SI.POV.GINI; observation_year=2010; dataset_lastupdated=2026-02-24; stale=yes</t>
        </is>
      </c>
    </row>
    <row r="305">
      <c r="A305" t="inlineStr">
        <is>
          <t>Jordan</t>
        </is>
      </c>
      <c r="B305" t="inlineStr">
        <is>
          <t>ppp_private_consumption</t>
        </is>
      </c>
      <c r="C305" t="inlineStr">
        <is>
          <t>PPP private consumption factor</t>
        </is>
      </c>
      <c r="D305" t="inlineStr">
        <is>
          <t>pressure</t>
        </is>
      </c>
      <c r="E305" t="inlineStr">
        <is>
          <t>yes</t>
        </is>
      </c>
      <c r="F305" t="inlineStr">
        <is>
          <t>0.321203</t>
        </is>
      </c>
      <c r="G305" t="inlineStr">
        <is>
          <t>world_bank</t>
        </is>
      </c>
      <c r="H305" t="inlineStr">
        <is>
          <t>https://api.worldbank.org/v2/country/JOR/indicator/PA.NUS.PRVT.PP?format=json&amp;mrv=30</t>
        </is>
      </c>
      <c r="I305" t="inlineStr">
        <is>
          <t>World Bank WDI: PPP conversion factor, private consumption (LCU per international $)</t>
        </is>
      </c>
      <c r="J305" t="inlineStr">
        <is>
          <t>2024-12-31</t>
        </is>
      </c>
      <c r="K305" t="inlineStr">
        <is>
          <t>auto_seed=world_bank_wdi; indicator=PA.NUS.PRVT.PP; observation_year=2024; dataset_lastupdated=2026-02-24; stale=no</t>
        </is>
      </c>
    </row>
    <row r="306">
      <c r="A306" t="inlineStr">
        <is>
          <t>Jordan</t>
        </is>
      </c>
      <c r="B306" t="inlineStr">
        <is>
          <t>tax_rate_assumption</t>
        </is>
      </c>
      <c r="C306" t="inlineStr">
        <is>
          <t>Tax rate assumption</t>
        </is>
      </c>
      <c r="D306" t="inlineStr">
        <is>
          <t>pressure</t>
        </is>
      </c>
      <c r="E306" t="inlineStr">
        <is>
          <t>yes</t>
        </is>
      </c>
      <c r="F306" t="inlineStr">
        <is>
          <t>0.170491</t>
        </is>
      </c>
      <c r="G306" t="inlineStr">
        <is>
          <t>world_bank</t>
        </is>
      </c>
      <c r="H306" t="inlineStr">
        <is>
          <t>https://api.worldbank.org/v2/country/JOR/indicator/GC.TAX.TOTL.GD.ZS?format=json&amp;mrv=30</t>
        </is>
      </c>
      <c r="I306" t="inlineStr">
        <is>
          <t>World Bank WDI: Tax revenue (% of GDP) used as interim country average tax-take proxy</t>
        </is>
      </c>
      <c r="J306" t="inlineStr">
        <is>
          <t>2023-12-31</t>
        </is>
      </c>
      <c r="K306" t="inlineStr">
        <is>
          <t>auto_seed=world_bank_wdi; proxy=country_average_tax_take_from_tax_revenue_share; indicator=GC.TAX.TOTL.GD.ZS; observation_year=2023; dataset_lastupdated=2026-02-24; stale=no</t>
        </is>
      </c>
    </row>
    <row r="307">
      <c r="A307" t="inlineStr">
        <is>
          <t>Jordan</t>
        </is>
      </c>
      <c r="B307" t="inlineStr">
        <is>
          <t>household_debt_proxy</t>
        </is>
      </c>
      <c r="C307" t="inlineStr">
        <is>
          <t>Household debt proxy</t>
        </is>
      </c>
      <c r="D307" t="inlineStr">
        <is>
          <t>pressure</t>
        </is>
      </c>
      <c r="E307" t="inlineStr">
        <is>
          <t>yes</t>
        </is>
      </c>
      <c r="F307" t="inlineStr">
        <is>
          <t>80.0729</t>
        </is>
      </c>
      <c r="G307" t="inlineStr">
        <is>
          <t>world_bank</t>
        </is>
      </c>
      <c r="H307" t="inlineStr">
        <is>
          <t>https://api.worldbank.org/v2/country/JOR/indicator/FD.AST.PRVT.GD.ZS?format=json&amp;mrv=30</t>
        </is>
      </c>
      <c r="I307" t="inlineStr">
        <is>
          <t>World Bank WDI: Domestic credit to private sector by banks (% of GDP) used as interim leverage proxy</t>
        </is>
      </c>
      <c r="J307" t="inlineStr">
        <is>
          <t>2024-12-31</t>
        </is>
      </c>
      <c r="K307" t="inlineStr">
        <is>
          <t>auto_seed=world_bank_wdi; proxy=broad_private_credit_not_household_only; indicator=FD.AST.PRVT.GD.ZS; observation_year=2024; dataset_lastupdated=2026-02-24; stale=no</t>
        </is>
      </c>
    </row>
    <row r="308">
      <c r="A308" t="inlineStr">
        <is>
          <t>South Africa</t>
        </is>
      </c>
      <c r="B308" t="inlineStr">
        <is>
          <t>gdp_per_capita_ppp</t>
        </is>
      </c>
      <c r="C308" t="inlineStr">
        <is>
          <t>GDP per capita (PPP)</t>
        </is>
      </c>
      <c r="D308" t="inlineStr">
        <is>
          <t>creative</t>
        </is>
      </c>
      <c r="E308" t="inlineStr">
        <is>
          <t>yes</t>
        </is>
      </c>
      <c r="F308" t="inlineStr">
        <is>
          <t>15456.2</t>
        </is>
      </c>
      <c r="G308" t="inlineStr">
        <is>
          <t>world_bank</t>
        </is>
      </c>
      <c r="H308" t="inlineStr">
        <is>
          <t>https://api.worldbank.org/v2/country/ZAF/indicator/NY.GDP.PCAP.PP.CD?format=json&amp;mrv=30</t>
        </is>
      </c>
      <c r="I308" t="inlineStr">
        <is>
          <t>World Bank WDI: GDP per capita, PPP (current international $)</t>
        </is>
      </c>
      <c r="J308" t="inlineStr">
        <is>
          <t>2024-12-31</t>
        </is>
      </c>
      <c r="K308" t="inlineStr">
        <is>
          <t>auto_seed=world_bank_wdi; indicator=NY.GDP.PCAP.PP.CD; observation_year=2024; dataset_lastupdated=2026-02-24; stale=no</t>
        </is>
      </c>
    </row>
    <row r="309">
      <c r="A309" t="inlineStr">
        <is>
          <t>South Africa</t>
        </is>
      </c>
      <c r="B309" t="inlineStr">
        <is>
          <t>gdp_growth</t>
        </is>
      </c>
      <c r="C309" t="inlineStr">
        <is>
          <t>GDP growth</t>
        </is>
      </c>
      <c r="D309" t="inlineStr">
        <is>
          <t>creative</t>
        </is>
      </c>
      <c r="E309" t="inlineStr">
        <is>
          <t>yes</t>
        </is>
      </c>
      <c r="F309" t="inlineStr">
        <is>
          <t>0.5348</t>
        </is>
      </c>
      <c r="G309" t="inlineStr">
        <is>
          <t>world_bank</t>
        </is>
      </c>
      <c r="H309" t="inlineStr">
        <is>
          <t>https://api.worldbank.org/v2/country/ZAF/indicator/NY.GDP.MKTP.KD.ZG?format=json&amp;mrv=30</t>
        </is>
      </c>
      <c r="I309" t="inlineStr">
        <is>
          <t>World Bank WDI: GDP growth (annual %)</t>
        </is>
      </c>
      <c r="J309" t="inlineStr">
        <is>
          <t>2024-12-31</t>
        </is>
      </c>
      <c r="K309" t="inlineStr">
        <is>
          <t>auto_seed=world_bank_wdi; indicator=NY.GDP.MKTP.KD.ZG; observation_year=2024; dataset_lastupdated=2026-02-24; stale=no</t>
        </is>
      </c>
    </row>
    <row r="310">
      <c r="A310" t="inlineStr">
        <is>
          <t>South Africa</t>
        </is>
      </c>
      <c r="B310" t="inlineStr">
        <is>
          <t>gini_coefficient</t>
        </is>
      </c>
      <c r="C310" t="inlineStr">
        <is>
          <t>Gini coefficient</t>
        </is>
      </c>
      <c r="D310" t="inlineStr">
        <is>
          <t>capability</t>
        </is>
      </c>
      <c r="E310" t="inlineStr">
        <is>
          <t>yes</t>
        </is>
      </c>
      <c r="F310" t="inlineStr">
        <is>
          <t>63</t>
        </is>
      </c>
      <c r="G310" t="inlineStr">
        <is>
          <t>world_bank</t>
        </is>
      </c>
      <c r="H310" t="inlineStr">
        <is>
          <t>https://api.worldbank.org/v2/country/ZAF/indicator/SI.POV.GINI?format=json&amp;mrv=30</t>
        </is>
      </c>
      <c r="I310" t="inlineStr">
        <is>
          <t>World Bank WDI: Gini index</t>
        </is>
      </c>
      <c r="J310" t="inlineStr">
        <is>
          <t>2014-12-31</t>
        </is>
      </c>
      <c r="K310" t="inlineStr">
        <is>
          <t>auto_seed=world_bank_wdi; indicator=SI.POV.GINI; observation_year=2014; dataset_lastupdated=2026-02-24; stale=yes</t>
        </is>
      </c>
    </row>
    <row r="311">
      <c r="A311" t="inlineStr">
        <is>
          <t>South Africa</t>
        </is>
      </c>
      <c r="B311" t="inlineStr">
        <is>
          <t>ppp_private_consumption</t>
        </is>
      </c>
      <c r="C311" t="inlineStr">
        <is>
          <t>PPP private consumption factor</t>
        </is>
      </c>
      <c r="D311" t="inlineStr">
        <is>
          <t>pressure</t>
        </is>
      </c>
      <c r="E311" t="inlineStr">
        <is>
          <t>yes</t>
        </is>
      </c>
      <c r="F311" t="inlineStr">
        <is>
          <t>7.701915</t>
        </is>
      </c>
      <c r="G311" t="inlineStr">
        <is>
          <t>world_bank</t>
        </is>
      </c>
      <c r="H311" t="inlineStr">
        <is>
          <t>https://api.worldbank.org/v2/country/ZAF/indicator/PA.NUS.PRVT.PP?format=json&amp;mrv=30</t>
        </is>
      </c>
      <c r="I311" t="inlineStr">
        <is>
          <t>World Bank WDI: PPP conversion factor, private consumption (LCU per international $)</t>
        </is>
      </c>
      <c r="J311" t="inlineStr">
        <is>
          <t>2024-12-31</t>
        </is>
      </c>
      <c r="K311" t="inlineStr">
        <is>
          <t>auto_seed=world_bank_wdi; indicator=PA.NUS.PRVT.PP; observation_year=2024; dataset_lastupdated=2026-02-24; stale=no</t>
        </is>
      </c>
    </row>
    <row r="312">
      <c r="A312" t="inlineStr">
        <is>
          <t>South Africa</t>
        </is>
      </c>
      <c r="B312" t="inlineStr">
        <is>
          <t>tax_rate_assumption</t>
        </is>
      </c>
      <c r="C312" t="inlineStr">
        <is>
          <t>Tax rate assumption</t>
        </is>
      </c>
      <c r="D312" t="inlineStr">
        <is>
          <t>pressure</t>
        </is>
      </c>
      <c r="E312" t="inlineStr">
        <is>
          <t>yes</t>
        </is>
      </c>
      <c r="F312" t="inlineStr">
        <is>
          <t>0.254005</t>
        </is>
      </c>
      <c r="G312" t="inlineStr">
        <is>
          <t>world_bank</t>
        </is>
      </c>
      <c r="H312" t="inlineStr">
        <is>
          <t>https://api.worldbank.org/v2/country/ZAF/indicator/GC.TAX.TOTL.GD.ZS?format=json&amp;mrv=30</t>
        </is>
      </c>
      <c r="I312" t="inlineStr">
        <is>
          <t>World Bank WDI: Tax revenue (% of GDP) used as interim country average tax-take proxy</t>
        </is>
      </c>
      <c r="J312" t="inlineStr">
        <is>
          <t>2023-12-31</t>
        </is>
      </c>
      <c r="K312" t="inlineStr">
        <is>
          <t>auto_seed=world_bank_wdi; proxy=country_average_tax_take_from_tax_revenue_share; indicator=GC.TAX.TOTL.GD.ZS; observation_year=2023; dataset_lastupdated=2026-02-24; stale=no</t>
        </is>
      </c>
    </row>
    <row r="313">
      <c r="A313" t="inlineStr">
        <is>
          <t>South Africa</t>
        </is>
      </c>
      <c r="B313" t="inlineStr">
        <is>
          <t>household_debt_proxy</t>
        </is>
      </c>
      <c r="C313" t="inlineStr">
        <is>
          <t>Household debt proxy</t>
        </is>
      </c>
      <c r="D313" t="inlineStr">
        <is>
          <t>pressure</t>
        </is>
      </c>
      <c r="E313" t="inlineStr">
        <is>
          <t>yes</t>
        </is>
      </c>
      <c r="F313" t="inlineStr">
        <is>
          <t>57.4717</t>
        </is>
      </c>
      <c r="G313" t="inlineStr">
        <is>
          <t>world_bank</t>
        </is>
      </c>
      <c r="H313" t="inlineStr">
        <is>
          <t>https://api.worldbank.org/v2/country/ZAF/indicator/FD.AST.PRVT.GD.ZS?format=json&amp;mrv=30</t>
        </is>
      </c>
      <c r="I313" t="inlineStr">
        <is>
          <t>World Bank WDI: Domestic credit to private sector by banks (% of GDP) used as interim leverage proxy</t>
        </is>
      </c>
      <c r="J313" t="inlineStr">
        <is>
          <t>2024-12-31</t>
        </is>
      </c>
      <c r="K313" t="inlineStr">
        <is>
          <t>auto_seed=world_bank_wdi; proxy=broad_private_credit_not_household_only; indicator=FD.AST.PRVT.GD.ZS; observation_year=2024; dataset_lastupdated=2026-02-24; stale=no</t>
        </is>
      </c>
    </row>
    <row r="314">
      <c r="A314" t="inlineStr">
        <is>
          <t>Kenya</t>
        </is>
      </c>
      <c r="B314" t="inlineStr">
        <is>
          <t>gdp_per_capita_ppp</t>
        </is>
      </c>
      <c r="C314" t="inlineStr">
        <is>
          <t>GDP per capita (PPP)</t>
        </is>
      </c>
      <c r="D314" t="inlineStr">
        <is>
          <t>creative</t>
        </is>
      </c>
      <c r="E314" t="inlineStr">
        <is>
          <t>yes</t>
        </is>
      </c>
      <c r="F314" t="inlineStr">
        <is>
          <t>6644.13</t>
        </is>
      </c>
      <c r="G314" t="inlineStr">
        <is>
          <t>world_bank</t>
        </is>
      </c>
      <c r="H314" t="inlineStr">
        <is>
          <t>https://api.worldbank.org/v2/country/KEN/indicator/NY.GDP.PCAP.PP.CD?format=json&amp;mrv=30</t>
        </is>
      </c>
      <c r="I314" t="inlineStr">
        <is>
          <t>World Bank WDI: GDP per capita, PPP (current international $)</t>
        </is>
      </c>
      <c r="J314" t="inlineStr">
        <is>
          <t>2024-12-31</t>
        </is>
      </c>
      <c r="K314" t="inlineStr">
        <is>
          <t>auto_seed=world_bank_wdi; indicator=NY.GDP.PCAP.PP.CD; observation_year=2024; dataset_lastupdated=2026-02-24; stale=no</t>
        </is>
      </c>
    </row>
    <row r="315">
      <c r="A315" t="inlineStr">
        <is>
          <t>Kenya</t>
        </is>
      </c>
      <c r="B315" t="inlineStr">
        <is>
          <t>gdp_growth</t>
        </is>
      </c>
      <c r="C315" t="inlineStr">
        <is>
          <t>GDP growth</t>
        </is>
      </c>
      <c r="D315" t="inlineStr">
        <is>
          <t>creative</t>
        </is>
      </c>
      <c r="E315" t="inlineStr">
        <is>
          <t>yes</t>
        </is>
      </c>
      <c r="F315" t="inlineStr">
        <is>
          <t>4.7247</t>
        </is>
      </c>
      <c r="G315" t="inlineStr">
        <is>
          <t>world_bank</t>
        </is>
      </c>
      <c r="H315" t="inlineStr">
        <is>
          <t>https://api.worldbank.org/v2/country/KEN/indicator/NY.GDP.MKTP.KD.ZG?format=json&amp;mrv=30</t>
        </is>
      </c>
      <c r="I315" t="inlineStr">
        <is>
          <t>World Bank WDI: GDP growth (annual %)</t>
        </is>
      </c>
      <c r="J315" t="inlineStr">
        <is>
          <t>2024-12-31</t>
        </is>
      </c>
      <c r="K315" t="inlineStr">
        <is>
          <t>auto_seed=world_bank_wdi; indicator=NY.GDP.MKTP.KD.ZG; observation_year=2024; dataset_lastupdated=2026-02-24; stale=no</t>
        </is>
      </c>
    </row>
    <row r="316">
      <c r="A316" t="inlineStr">
        <is>
          <t>Kenya</t>
        </is>
      </c>
      <c r="B316" t="inlineStr">
        <is>
          <t>gini_coefficient</t>
        </is>
      </c>
      <c r="C316" t="inlineStr">
        <is>
          <t>Gini coefficient</t>
        </is>
      </c>
      <c r="D316" t="inlineStr">
        <is>
          <t>capability</t>
        </is>
      </c>
      <c r="E316" t="inlineStr">
        <is>
          <t>yes</t>
        </is>
      </c>
      <c r="F316" t="inlineStr">
        <is>
          <t>37.7</t>
        </is>
      </c>
      <c r="G316" t="inlineStr">
        <is>
          <t>world_bank</t>
        </is>
      </c>
      <c r="H316" t="inlineStr">
        <is>
          <t>https://api.worldbank.org/v2/country/KEN/indicator/SI.POV.GINI?format=json&amp;mrv=30</t>
        </is>
      </c>
      <c r="I316" t="inlineStr">
        <is>
          <t>World Bank WDI: Gini index</t>
        </is>
      </c>
      <c r="J316" t="inlineStr">
        <is>
          <t>2022-12-31</t>
        </is>
      </c>
      <c r="K316" t="inlineStr">
        <is>
          <t>auto_seed=world_bank_wdi; indicator=SI.POV.GINI; observation_year=2022; dataset_lastupdated=2026-02-24; stale=no</t>
        </is>
      </c>
    </row>
    <row r="317">
      <c r="A317" t="inlineStr">
        <is>
          <t>Kenya</t>
        </is>
      </c>
      <c r="B317" t="inlineStr">
        <is>
          <t>ppp_private_consumption</t>
        </is>
      </c>
      <c r="C317" t="inlineStr">
        <is>
          <t>PPP private consumption factor</t>
        </is>
      </c>
      <c r="D317" t="inlineStr">
        <is>
          <t>pressure</t>
        </is>
      </c>
      <c r="E317" t="inlineStr">
        <is>
          <t>yes</t>
        </is>
      </c>
      <c r="F317" t="inlineStr">
        <is>
          <t>44.391722</t>
        </is>
      </c>
      <c r="G317" t="inlineStr">
        <is>
          <t>world_bank</t>
        </is>
      </c>
      <c r="H317" t="inlineStr">
        <is>
          <t>https://api.worldbank.org/v2/country/KEN/indicator/PA.NUS.PRVT.PP?format=json&amp;mrv=30</t>
        </is>
      </c>
      <c r="I317" t="inlineStr">
        <is>
          <t>World Bank WDI: PPP conversion factor, private consumption (LCU per international $)</t>
        </is>
      </c>
      <c r="J317" t="inlineStr">
        <is>
          <t>2024-12-31</t>
        </is>
      </c>
      <c r="K317" t="inlineStr">
        <is>
          <t>auto_seed=world_bank_wdi; indicator=PA.NUS.PRVT.PP; observation_year=2024; dataset_lastupdated=2026-02-24; stale=no</t>
        </is>
      </c>
    </row>
    <row r="318">
      <c r="A318" t="inlineStr">
        <is>
          <t>Kenya</t>
        </is>
      </c>
      <c r="B318" t="inlineStr">
        <is>
          <t>tax_rate_assumption</t>
        </is>
      </c>
      <c r="C318" t="inlineStr">
        <is>
          <t>Tax rate assumption</t>
        </is>
      </c>
      <c r="D318" t="inlineStr">
        <is>
          <t>pressure</t>
        </is>
      </c>
      <c r="E318" t="inlineStr">
        <is>
          <t>yes</t>
        </is>
      </c>
      <c r="F318" t="inlineStr">
        <is>
          <t>0.140631</t>
        </is>
      </c>
      <c r="G318" t="inlineStr">
        <is>
          <t>world_bank</t>
        </is>
      </c>
      <c r="H318" t="inlineStr">
        <is>
          <t>https://api.worldbank.org/v2/country/KEN/indicator/GC.TAX.TOTL.GD.ZS?format=json&amp;mrv=30</t>
        </is>
      </c>
      <c r="I318" t="inlineStr">
        <is>
          <t>World Bank WDI: Tax revenue (% of GDP) used as interim country average tax-take proxy</t>
        </is>
      </c>
      <c r="J318" t="inlineStr">
        <is>
          <t>2023-12-31</t>
        </is>
      </c>
      <c r="K318" t="inlineStr">
        <is>
          <t>auto_seed=world_bank_wdi; proxy=country_average_tax_take_from_tax_revenue_share; indicator=GC.TAX.TOTL.GD.ZS; observation_year=2023; dataset_lastupdated=2026-02-24; stale=no</t>
        </is>
      </c>
    </row>
    <row r="319">
      <c r="A319" t="inlineStr">
        <is>
          <t>Kenya</t>
        </is>
      </c>
      <c r="B319" t="inlineStr">
        <is>
          <t>household_debt_proxy</t>
        </is>
      </c>
      <c r="C319" t="inlineStr">
        <is>
          <t>Household debt proxy</t>
        </is>
      </c>
      <c r="D319" t="inlineStr">
        <is>
          <t>pressure</t>
        </is>
      </c>
      <c r="E319" t="inlineStr">
        <is>
          <t>yes</t>
        </is>
      </c>
      <c r="F319" t="inlineStr">
        <is>
          <t>31.7729</t>
        </is>
      </c>
      <c r="G319" t="inlineStr">
        <is>
          <t>world_bank</t>
        </is>
      </c>
      <c r="H319" t="inlineStr">
        <is>
          <t>https://api.worldbank.org/v2/country/KEN/indicator/FD.AST.PRVT.GD.ZS?format=json&amp;mrv=30</t>
        </is>
      </c>
      <c r="I319" t="inlineStr">
        <is>
          <t>World Bank WDI: Domestic credit to private sector by banks (% of GDP) used as interim leverage proxy</t>
        </is>
      </c>
      <c r="J319" t="inlineStr">
        <is>
          <t>2023-12-31</t>
        </is>
      </c>
      <c r="K319" t="inlineStr">
        <is>
          <t>auto_seed=world_bank_wdi; proxy=broad_private_credit_not_household_only; indicator=FD.AST.PRVT.GD.ZS; observation_year=2023; dataset_lastupdated=2026-02-24; stale=no</t>
        </is>
      </c>
    </row>
    <row r="320">
      <c r="A320" t="inlineStr">
        <is>
          <t>Rwanda</t>
        </is>
      </c>
      <c r="B320" t="inlineStr">
        <is>
          <t>gdp_per_capita_ppp</t>
        </is>
      </c>
      <c r="C320" t="inlineStr">
        <is>
          <t>GDP per capita (PPP)</t>
        </is>
      </c>
      <c r="D320" t="inlineStr">
        <is>
          <t>creative</t>
        </is>
      </c>
      <c r="E320" t="inlineStr">
        <is>
          <t>yes</t>
        </is>
      </c>
      <c r="F320" t="inlineStr">
        <is>
          <t>3710.86</t>
        </is>
      </c>
      <c r="G320" t="inlineStr">
        <is>
          <t>world_bank</t>
        </is>
      </c>
      <c r="H320" t="inlineStr">
        <is>
          <t>https://api.worldbank.org/v2/country/RWA/indicator/NY.GDP.PCAP.PP.CD?format=json&amp;mrv=30</t>
        </is>
      </c>
      <c r="I320" t="inlineStr">
        <is>
          <t>World Bank WDI: GDP per capita, PPP (current international $)</t>
        </is>
      </c>
      <c r="J320" t="inlineStr">
        <is>
          <t>2024-12-31</t>
        </is>
      </c>
      <c r="K320" t="inlineStr">
        <is>
          <t>auto_seed=world_bank_wdi; indicator=NY.GDP.PCAP.PP.CD; observation_year=2024; dataset_lastupdated=2026-02-24; stale=no</t>
        </is>
      </c>
    </row>
    <row r="321">
      <c r="A321" t="inlineStr">
        <is>
          <t>Rwanda</t>
        </is>
      </c>
      <c r="B321" t="inlineStr">
        <is>
          <t>gdp_growth</t>
        </is>
      </c>
      <c r="C321" t="inlineStr">
        <is>
          <t>GDP growth</t>
        </is>
      </c>
      <c r="D321" t="inlineStr">
        <is>
          <t>creative</t>
        </is>
      </c>
      <c r="E321" t="inlineStr">
        <is>
          <t>yes</t>
        </is>
      </c>
      <c r="F321" t="inlineStr">
        <is>
          <t>8.8907</t>
        </is>
      </c>
      <c r="G321" t="inlineStr">
        <is>
          <t>world_bank</t>
        </is>
      </c>
      <c r="H321" t="inlineStr">
        <is>
          <t>https://api.worldbank.org/v2/country/RWA/indicator/NY.GDP.MKTP.KD.ZG?format=json&amp;mrv=30</t>
        </is>
      </c>
      <c r="I321" t="inlineStr">
        <is>
          <t>World Bank WDI: GDP growth (annual %)</t>
        </is>
      </c>
      <c r="J321" t="inlineStr">
        <is>
          <t>2024-12-31</t>
        </is>
      </c>
      <c r="K321" t="inlineStr">
        <is>
          <t>auto_seed=world_bank_wdi; indicator=NY.GDP.MKTP.KD.ZG; observation_year=2024; dataset_lastupdated=2026-02-24; stale=no</t>
        </is>
      </c>
    </row>
    <row r="322">
      <c r="A322" t="inlineStr">
        <is>
          <t>Rwanda</t>
        </is>
      </c>
      <c r="B322" t="inlineStr">
        <is>
          <t>gini_coefficient</t>
        </is>
      </c>
      <c r="C322" t="inlineStr">
        <is>
          <t>Gini coefficient</t>
        </is>
      </c>
      <c r="D322" t="inlineStr">
        <is>
          <t>capability</t>
        </is>
      </c>
      <c r="E322" t="inlineStr">
        <is>
          <t>yes</t>
        </is>
      </c>
      <c r="F322" t="inlineStr">
        <is>
          <t>39.4</t>
        </is>
      </c>
      <c r="G322" t="inlineStr">
        <is>
          <t>world_bank</t>
        </is>
      </c>
      <c r="H322" t="inlineStr">
        <is>
          <t>https://api.worldbank.org/v2/country/RWA/indicator/SI.POV.GINI?format=json&amp;mrv=30</t>
        </is>
      </c>
      <c r="I322" t="inlineStr">
        <is>
          <t>World Bank WDI: Gini index</t>
        </is>
      </c>
      <c r="J322" t="inlineStr">
        <is>
          <t>2023-12-31</t>
        </is>
      </c>
      <c r="K322" t="inlineStr">
        <is>
          <t>auto_seed=world_bank_wdi; indicator=SI.POV.GINI; observation_year=2023; dataset_lastupdated=2026-02-24; stale=no</t>
        </is>
      </c>
    </row>
    <row r="323">
      <c r="A323" t="inlineStr">
        <is>
          <t>Rwanda</t>
        </is>
      </c>
      <c r="B323" t="inlineStr">
        <is>
          <t>ppp_private_consumption</t>
        </is>
      </c>
      <c r="C323" t="inlineStr">
        <is>
          <t>PPP private consumption factor</t>
        </is>
      </c>
      <c r="D323" t="inlineStr">
        <is>
          <t>pressure</t>
        </is>
      </c>
      <c r="E323" t="inlineStr">
        <is>
          <t>yes</t>
        </is>
      </c>
      <c r="F323" t="inlineStr">
        <is>
          <t>361.39523</t>
        </is>
      </c>
      <c r="G323" t="inlineStr">
        <is>
          <t>world_bank</t>
        </is>
      </c>
      <c r="H323" t="inlineStr">
        <is>
          <t>https://api.worldbank.org/v2/country/RWA/indicator/PA.NUS.PRVT.PP?format=json&amp;mrv=30</t>
        </is>
      </c>
      <c r="I323" t="inlineStr">
        <is>
          <t>World Bank WDI: PPP conversion factor, private consumption (LCU per international $)</t>
        </is>
      </c>
      <c r="J323" t="inlineStr">
        <is>
          <t>2024-12-31</t>
        </is>
      </c>
      <c r="K323" t="inlineStr">
        <is>
          <t>auto_seed=world_bank_wdi; indicator=PA.NUS.PRVT.PP; observation_year=2024; dataset_lastupdated=2026-02-24; stale=no</t>
        </is>
      </c>
    </row>
    <row r="324">
      <c r="A324" t="inlineStr">
        <is>
          <t>Rwanda</t>
        </is>
      </c>
      <c r="B324" t="inlineStr">
        <is>
          <t>tax_rate_assumption</t>
        </is>
      </c>
      <c r="C324" t="inlineStr">
        <is>
          <t>Tax rate assumption</t>
        </is>
      </c>
      <c r="D324" t="inlineStr">
        <is>
          <t>pressure</t>
        </is>
      </c>
      <c r="E324" t="inlineStr">
        <is>
          <t>yes</t>
        </is>
      </c>
      <c r="F324" t="inlineStr">
        <is>
          <t>0.135081</t>
        </is>
      </c>
      <c r="G324" t="inlineStr">
        <is>
          <t>world_bank</t>
        </is>
      </c>
      <c r="H324" t="inlineStr">
        <is>
          <t>https://api.worldbank.org/v2/country/RWA/indicator/GC.TAX.TOTL.GD.ZS?format=json&amp;mrv=30</t>
        </is>
      </c>
      <c r="I324" t="inlineStr">
        <is>
          <t>World Bank WDI: Tax revenue (% of GDP) used as interim country average tax-take proxy</t>
        </is>
      </c>
      <c r="J324" t="inlineStr">
        <is>
          <t>2023-12-31</t>
        </is>
      </c>
      <c r="K324" t="inlineStr">
        <is>
          <t>auto_seed=world_bank_wdi; proxy=country_average_tax_take_from_tax_revenue_share; indicator=GC.TAX.TOTL.GD.ZS; observation_year=2023; dataset_lastupdated=2026-02-24; stale=no</t>
        </is>
      </c>
    </row>
    <row r="325">
      <c r="A325" t="inlineStr">
        <is>
          <t>Rwanda</t>
        </is>
      </c>
      <c r="B325" t="inlineStr">
        <is>
          <t>household_debt_proxy</t>
        </is>
      </c>
      <c r="C325" t="inlineStr">
        <is>
          <t>Household debt proxy</t>
        </is>
      </c>
      <c r="D325" t="inlineStr">
        <is>
          <t>pressure</t>
        </is>
      </c>
      <c r="E325" t="inlineStr">
        <is>
          <t>yes</t>
        </is>
      </c>
      <c r="F325" t="inlineStr">
        <is>
          <t>22.5267</t>
        </is>
      </c>
      <c r="G325" t="inlineStr">
        <is>
          <t>world_bank</t>
        </is>
      </c>
      <c r="H325" t="inlineStr">
        <is>
          <t>https://api.worldbank.org/v2/country/RWA/indicator/FD.AST.PRVT.GD.ZS?format=json&amp;mrv=30</t>
        </is>
      </c>
      <c r="I325" t="inlineStr">
        <is>
          <t>World Bank WDI: Domestic credit to private sector by banks (% of GDP) used as interim leverage proxy</t>
        </is>
      </c>
      <c r="J325" t="inlineStr">
        <is>
          <t>2024-12-31</t>
        </is>
      </c>
      <c r="K325" t="inlineStr">
        <is>
          <t>auto_seed=world_bank_wdi; proxy=broad_private_credit_not_household_only; indicator=FD.AST.PRVT.GD.ZS; observation_year=2024; dataset_lastupdated=2026-02-24; stale=no</t>
        </is>
      </c>
    </row>
    <row r="326">
      <c r="A326" t="inlineStr">
        <is>
          <t>Morocco</t>
        </is>
      </c>
      <c r="B326" t="inlineStr">
        <is>
          <t>gdp_per_capita_ppp</t>
        </is>
      </c>
      <c r="C326" t="inlineStr">
        <is>
          <t>GDP per capita (PPP)</t>
        </is>
      </c>
      <c r="D326" t="inlineStr">
        <is>
          <t>creative</t>
        </is>
      </c>
      <c r="E326" t="inlineStr">
        <is>
          <t>yes</t>
        </is>
      </c>
      <c r="F326" t="inlineStr">
        <is>
          <t>10415.12</t>
        </is>
      </c>
      <c r="G326" t="inlineStr">
        <is>
          <t>world_bank</t>
        </is>
      </c>
      <c r="H326" t="inlineStr">
        <is>
          <t>https://api.worldbank.org/v2/country/MAR/indicator/NY.GDP.PCAP.PP.CD?format=json&amp;mrv=30</t>
        </is>
      </c>
      <c r="I326" t="inlineStr">
        <is>
          <t>World Bank WDI: GDP per capita, PPP (current international $)</t>
        </is>
      </c>
      <c r="J326" t="inlineStr">
        <is>
          <t>2024-12-31</t>
        </is>
      </c>
      <c r="K326" t="inlineStr">
        <is>
          <t>auto_seed=world_bank_wdi; indicator=NY.GDP.PCAP.PP.CD; observation_year=2024; dataset_lastupdated=2026-02-24; stale=no</t>
        </is>
      </c>
    </row>
    <row r="327">
      <c r="A327" t="inlineStr">
        <is>
          <t>Morocco</t>
        </is>
      </c>
      <c r="B327" t="inlineStr">
        <is>
          <t>gdp_growth</t>
        </is>
      </c>
      <c r="C327" t="inlineStr">
        <is>
          <t>GDP growth</t>
        </is>
      </c>
      <c r="D327" t="inlineStr">
        <is>
          <t>creative</t>
        </is>
      </c>
      <c r="E327" t="inlineStr">
        <is>
          <t>yes</t>
        </is>
      </c>
      <c r="F327" t="inlineStr">
        <is>
          <t>3.7934</t>
        </is>
      </c>
      <c r="G327" t="inlineStr">
        <is>
          <t>world_bank</t>
        </is>
      </c>
      <c r="H327" t="inlineStr">
        <is>
          <t>https://api.worldbank.org/v2/country/MAR/indicator/NY.GDP.MKTP.KD.ZG?format=json&amp;mrv=30</t>
        </is>
      </c>
      <c r="I327" t="inlineStr">
        <is>
          <t>World Bank WDI: GDP growth (annual %)</t>
        </is>
      </c>
      <c r="J327" t="inlineStr">
        <is>
          <t>2024-12-31</t>
        </is>
      </c>
      <c r="K327" t="inlineStr">
        <is>
          <t>auto_seed=world_bank_wdi; indicator=NY.GDP.MKTP.KD.ZG; observation_year=2024; dataset_lastupdated=2026-02-24; stale=no</t>
        </is>
      </c>
    </row>
    <row r="328">
      <c r="A328" t="inlineStr">
        <is>
          <t>Morocco</t>
        </is>
      </c>
      <c r="B328" t="inlineStr">
        <is>
          <t>gini_coefficient</t>
        </is>
      </c>
      <c r="C328" t="inlineStr">
        <is>
          <t>Gini coefficient</t>
        </is>
      </c>
      <c r="D328" t="inlineStr">
        <is>
          <t>capability</t>
        </is>
      </c>
      <c r="E328" t="inlineStr">
        <is>
          <t>yes</t>
        </is>
      </c>
      <c r="F328" t="inlineStr">
        <is>
          <t>39.5</t>
        </is>
      </c>
      <c r="G328" t="inlineStr">
        <is>
          <t>world_bank</t>
        </is>
      </c>
      <c r="H328" t="inlineStr">
        <is>
          <t>https://api.worldbank.org/v2/country/MAR/indicator/SI.POV.GINI?format=json&amp;mrv=30</t>
        </is>
      </c>
      <c r="I328" t="inlineStr">
        <is>
          <t>World Bank WDI: Gini index</t>
        </is>
      </c>
      <c r="J328" t="inlineStr">
        <is>
          <t>2013-12-31</t>
        </is>
      </c>
      <c r="K328" t="inlineStr">
        <is>
          <t>auto_seed=world_bank_wdi; indicator=SI.POV.GINI; observation_year=2013; dataset_lastupdated=2026-02-24; stale=yes</t>
        </is>
      </c>
    </row>
    <row r="329">
      <c r="A329" t="inlineStr">
        <is>
          <t>Morocco</t>
        </is>
      </c>
      <c r="B329" t="inlineStr">
        <is>
          <t>ppp_private_consumption</t>
        </is>
      </c>
      <c r="C329" t="inlineStr">
        <is>
          <t>PPP private consumption factor</t>
        </is>
      </c>
      <c r="D329" t="inlineStr">
        <is>
          <t>pressure</t>
        </is>
      </c>
      <c r="E329" t="inlineStr">
        <is>
          <t>yes</t>
        </is>
      </c>
      <c r="F329" t="inlineStr">
        <is>
          <t>4.038145</t>
        </is>
      </c>
      <c r="G329" t="inlineStr">
        <is>
          <t>world_bank</t>
        </is>
      </c>
      <c r="H329" t="inlineStr">
        <is>
          <t>https://api.worldbank.org/v2/country/MAR/indicator/PA.NUS.PRVT.PP?format=json&amp;mrv=30</t>
        </is>
      </c>
      <c r="I329" t="inlineStr">
        <is>
          <t>World Bank WDI: PPP conversion factor, private consumption (LCU per international $)</t>
        </is>
      </c>
      <c r="J329" t="inlineStr">
        <is>
          <t>2024-12-31</t>
        </is>
      </c>
      <c r="K329" t="inlineStr">
        <is>
          <t>auto_seed=world_bank_wdi; indicator=PA.NUS.PRVT.PP; observation_year=2024; dataset_lastupdated=2026-02-24; stale=no</t>
        </is>
      </c>
    </row>
    <row r="330">
      <c r="A330" t="inlineStr">
        <is>
          <t>Morocco</t>
        </is>
      </c>
      <c r="B330" t="inlineStr">
        <is>
          <t>tax_rate_assumption</t>
        </is>
      </c>
      <c r="C330" t="inlineStr">
        <is>
          <t>Tax rate assumption</t>
        </is>
      </c>
      <c r="D330" t="inlineStr">
        <is>
          <t>pressure</t>
        </is>
      </c>
      <c r="E330" t="inlineStr">
        <is>
          <t>yes</t>
        </is>
      </c>
      <c r="F330" t="inlineStr">
        <is>
          <t>0.207439</t>
        </is>
      </c>
      <c r="G330" t="inlineStr">
        <is>
          <t>world_bank</t>
        </is>
      </c>
      <c r="H330" t="inlineStr">
        <is>
          <t>https://api.worldbank.org/v2/country/MAR/indicator/GC.TAX.TOTL.GD.ZS?format=json&amp;mrv=30</t>
        </is>
      </c>
      <c r="I330" t="inlineStr">
        <is>
          <t>World Bank WDI: Tax revenue (% of GDP) used as interim country average tax-take proxy</t>
        </is>
      </c>
      <c r="J330" t="inlineStr">
        <is>
          <t>2023-12-31</t>
        </is>
      </c>
      <c r="K330" t="inlineStr">
        <is>
          <t>auto_seed=world_bank_wdi; proxy=country_average_tax_take_from_tax_revenue_share; indicator=GC.TAX.TOTL.GD.ZS; observation_year=2023; dataset_lastupdated=2026-02-24; stale=no</t>
        </is>
      </c>
    </row>
    <row r="331">
      <c r="A331" t="inlineStr">
        <is>
          <t>Morocco</t>
        </is>
      </c>
      <c r="B331" t="inlineStr">
        <is>
          <t>household_debt_proxy</t>
        </is>
      </c>
      <c r="C331" t="inlineStr">
        <is>
          <t>Household debt proxy</t>
        </is>
      </c>
      <c r="D331" t="inlineStr">
        <is>
          <t>pressure</t>
        </is>
      </c>
      <c r="E331" t="inlineStr">
        <is>
          <t>yes</t>
        </is>
      </c>
      <c r="F331" t="inlineStr">
        <is>
          <t>54.7741</t>
        </is>
      </c>
      <c r="G331" t="inlineStr">
        <is>
          <t>world_bank</t>
        </is>
      </c>
      <c r="H331" t="inlineStr">
        <is>
          <t>https://api.worldbank.org/v2/country/MAR/indicator/FD.AST.PRVT.GD.ZS?format=json&amp;mrv=30</t>
        </is>
      </c>
      <c r="I331" t="inlineStr">
        <is>
          <t>World Bank WDI: Domestic credit to private sector by banks (% of GDP) used as interim leverage proxy</t>
        </is>
      </c>
      <c r="J331" t="inlineStr">
        <is>
          <t>2024-12-31</t>
        </is>
      </c>
      <c r="K331" t="inlineStr">
        <is>
          <t>auto_seed=world_bank_wdi; proxy=broad_private_credit_not_household_only; indicator=FD.AST.PRVT.GD.ZS; observation_year=2024; dataset_lastupdated=2026-02-24; stale=no</t>
        </is>
      </c>
    </row>
    <row r="332">
      <c r="A332" t="inlineStr">
        <is>
          <t>Mauritius</t>
        </is>
      </c>
      <c r="B332" t="inlineStr">
        <is>
          <t>gdp_per_capita_ppp</t>
        </is>
      </c>
      <c r="C332" t="inlineStr">
        <is>
          <t>GDP per capita (PPP)</t>
        </is>
      </c>
      <c r="D332" t="inlineStr">
        <is>
          <t>creative</t>
        </is>
      </c>
      <c r="E332" t="inlineStr">
        <is>
          <t>yes</t>
        </is>
      </c>
      <c r="F332" t="inlineStr">
        <is>
          <t>31839.76</t>
        </is>
      </c>
      <c r="G332" t="inlineStr">
        <is>
          <t>world_bank</t>
        </is>
      </c>
      <c r="H332" t="inlineStr">
        <is>
          <t>https://api.worldbank.org/v2/country/MUS/indicator/NY.GDP.PCAP.PP.CD?format=json&amp;mrv=30</t>
        </is>
      </c>
      <c r="I332" t="inlineStr">
        <is>
          <t>World Bank WDI: GDP per capita, PPP (current international $)</t>
        </is>
      </c>
      <c r="J332" t="inlineStr">
        <is>
          <t>2024-12-31</t>
        </is>
      </c>
      <c r="K332" t="inlineStr">
        <is>
          <t>auto_seed=world_bank_wdi; indicator=NY.GDP.PCAP.PP.CD; observation_year=2024; dataset_lastupdated=2026-02-24; stale=no</t>
        </is>
      </c>
    </row>
    <row r="333">
      <c r="A333" t="inlineStr">
        <is>
          <t>Mauritius</t>
        </is>
      </c>
      <c r="B333" t="inlineStr">
        <is>
          <t>gdp_growth</t>
        </is>
      </c>
      <c r="C333" t="inlineStr">
        <is>
          <t>GDP growth</t>
        </is>
      </c>
      <c r="D333" t="inlineStr">
        <is>
          <t>creative</t>
        </is>
      </c>
      <c r="E333" t="inlineStr">
        <is>
          <t>yes</t>
        </is>
      </c>
      <c r="F333" t="inlineStr">
        <is>
          <t>4.9251</t>
        </is>
      </c>
      <c r="G333" t="inlineStr">
        <is>
          <t>world_bank</t>
        </is>
      </c>
      <c r="H333" t="inlineStr">
        <is>
          <t>https://api.worldbank.org/v2/country/MUS/indicator/NY.GDP.MKTP.KD.ZG?format=json&amp;mrv=30</t>
        </is>
      </c>
      <c r="I333" t="inlineStr">
        <is>
          <t>World Bank WDI: GDP growth (annual %)</t>
        </is>
      </c>
      <c r="J333" t="inlineStr">
        <is>
          <t>2024-12-31</t>
        </is>
      </c>
      <c r="K333" t="inlineStr">
        <is>
          <t>auto_seed=world_bank_wdi; indicator=NY.GDP.MKTP.KD.ZG; observation_year=2024; dataset_lastupdated=2026-02-24; stale=no</t>
        </is>
      </c>
    </row>
    <row r="334">
      <c r="A334" t="inlineStr">
        <is>
          <t>Mauritius</t>
        </is>
      </c>
      <c r="B334" t="inlineStr">
        <is>
          <t>gini_coefficient</t>
        </is>
      </c>
      <c r="C334" t="inlineStr">
        <is>
          <t>Gini coefficient</t>
        </is>
      </c>
      <c r="D334" t="inlineStr">
        <is>
          <t>capability</t>
        </is>
      </c>
      <c r="E334" t="inlineStr">
        <is>
          <t>yes</t>
        </is>
      </c>
      <c r="F334" t="inlineStr">
        <is>
          <t>36.8</t>
        </is>
      </c>
      <c r="G334" t="inlineStr">
        <is>
          <t>world_bank</t>
        </is>
      </c>
      <c r="H334" t="inlineStr">
        <is>
          <t>https://api.worldbank.org/v2/country/MUS/indicator/SI.POV.GINI?format=json&amp;mrv=30</t>
        </is>
      </c>
      <c r="I334" t="inlineStr">
        <is>
          <t>World Bank WDI: Gini index</t>
        </is>
      </c>
      <c r="J334" t="inlineStr">
        <is>
          <t>2017-12-31</t>
        </is>
      </c>
      <c r="K334" t="inlineStr">
        <is>
          <t>auto_seed=world_bank_wdi; indicator=SI.POV.GINI; observation_year=2017; dataset_lastupdated=2026-02-24; stale=yes</t>
        </is>
      </c>
    </row>
    <row r="335">
      <c r="A335" t="inlineStr">
        <is>
          <t>Mauritius</t>
        </is>
      </c>
      <c r="B335" t="inlineStr">
        <is>
          <t>ppp_private_consumption</t>
        </is>
      </c>
      <c r="C335" t="inlineStr">
        <is>
          <t>PPP private consumption factor</t>
        </is>
      </c>
      <c r="D335" t="inlineStr">
        <is>
          <t>pressure</t>
        </is>
      </c>
      <c r="E335" t="inlineStr">
        <is>
          <t>yes</t>
        </is>
      </c>
      <c r="F335" t="inlineStr">
        <is>
          <t>19.916335</t>
        </is>
      </c>
      <c r="G335" t="inlineStr">
        <is>
          <t>world_bank</t>
        </is>
      </c>
      <c r="H335" t="inlineStr">
        <is>
          <t>https://api.worldbank.org/v2/country/MUS/indicator/PA.NUS.PRVT.PP?format=json&amp;mrv=30</t>
        </is>
      </c>
      <c r="I335" t="inlineStr">
        <is>
          <t>World Bank WDI: PPP conversion factor, private consumption (LCU per international $)</t>
        </is>
      </c>
      <c r="J335" t="inlineStr">
        <is>
          <t>2024-12-31</t>
        </is>
      </c>
      <c r="K335" t="inlineStr">
        <is>
          <t>auto_seed=world_bank_wdi; indicator=PA.NUS.PRVT.PP; observation_year=2024; dataset_lastupdated=2026-02-24; stale=no</t>
        </is>
      </c>
    </row>
    <row r="336">
      <c r="A336" t="inlineStr">
        <is>
          <t>Mauritius</t>
        </is>
      </c>
      <c r="B336" t="inlineStr">
        <is>
          <t>tax_rate_assumption</t>
        </is>
      </c>
      <c r="C336" t="inlineStr">
        <is>
          <t>Tax rate assumption</t>
        </is>
      </c>
      <c r="D336" t="inlineStr">
        <is>
          <t>pressure</t>
        </is>
      </c>
      <c r="E336" t="inlineStr">
        <is>
          <t>yes</t>
        </is>
      </c>
      <c r="F336" t="inlineStr">
        <is>
          <t>0.205324</t>
        </is>
      </c>
      <c r="G336" t="inlineStr">
        <is>
          <t>world_bank</t>
        </is>
      </c>
      <c r="H336" t="inlineStr">
        <is>
          <t>https://api.worldbank.org/v2/country/MUS/indicator/GC.TAX.TOTL.GD.ZS?format=json&amp;mrv=30</t>
        </is>
      </c>
      <c r="I336" t="inlineStr">
        <is>
          <t>World Bank WDI: Tax revenue (% of GDP) used as interim country average tax-take proxy</t>
        </is>
      </c>
      <c r="J336" t="inlineStr">
        <is>
          <t>2024-12-31</t>
        </is>
      </c>
      <c r="K336" t="inlineStr">
        <is>
          <t>auto_seed=world_bank_wdi; proxy=country_average_tax_take_from_tax_revenue_share; indicator=GC.TAX.TOTL.GD.ZS; observation_year=2024; dataset_lastupdated=2026-02-24; stale=no</t>
        </is>
      </c>
    </row>
    <row r="337">
      <c r="A337" t="inlineStr">
        <is>
          <t>Mauritius</t>
        </is>
      </c>
      <c r="B337" t="inlineStr">
        <is>
          <t>household_debt_proxy</t>
        </is>
      </c>
      <c r="C337" t="inlineStr">
        <is>
          <t>Household debt proxy</t>
        </is>
      </c>
      <c r="D337" t="inlineStr">
        <is>
          <t>pressure</t>
        </is>
      </c>
      <c r="E337" t="inlineStr">
        <is>
          <t>yes</t>
        </is>
      </c>
      <c r="F337" t="inlineStr">
        <is>
          <t>69.8221</t>
        </is>
      </c>
      <c r="G337" t="inlineStr">
        <is>
          <t>world_bank</t>
        </is>
      </c>
      <c r="H337" t="inlineStr">
        <is>
          <t>https://api.worldbank.org/v2/country/MUS/indicator/FD.AST.PRVT.GD.ZS?format=json&amp;mrv=30</t>
        </is>
      </c>
      <c r="I337" t="inlineStr">
        <is>
          <t>World Bank WDI: Domestic credit to private sector by banks (% of GDP) used as interim leverage proxy</t>
        </is>
      </c>
      <c r="J337" t="inlineStr">
        <is>
          <t>2024-12-31</t>
        </is>
      </c>
      <c r="K337" t="inlineStr">
        <is>
          <t>auto_seed=world_bank_wdi; proxy=broad_private_credit_not_household_only; indicator=FD.AST.PRVT.GD.ZS; observation_year=2024; dataset_lastupdated=2026-02-24; stale=no</t>
        </is>
      </c>
    </row>
    <row r="338">
      <c r="A338" t="inlineStr">
        <is>
          <t>Botswana</t>
        </is>
      </c>
      <c r="B338" t="inlineStr">
        <is>
          <t>gdp_per_capita_ppp</t>
        </is>
      </c>
      <c r="C338" t="inlineStr">
        <is>
          <t>GDP per capita (PPP)</t>
        </is>
      </c>
      <c r="D338" t="inlineStr">
        <is>
          <t>creative</t>
        </is>
      </c>
      <c r="E338" t="inlineStr">
        <is>
          <t>yes</t>
        </is>
      </c>
      <c r="F338" t="inlineStr">
        <is>
          <t>20538.13</t>
        </is>
      </c>
      <c r="G338" t="inlineStr">
        <is>
          <t>world_bank</t>
        </is>
      </c>
      <c r="H338" t="inlineStr">
        <is>
          <t>https://api.worldbank.org/v2/country/BWA/indicator/NY.GDP.PCAP.PP.CD?format=json&amp;mrv=30</t>
        </is>
      </c>
      <c r="I338" t="inlineStr">
        <is>
          <t>World Bank WDI: GDP per capita, PPP (current international $)</t>
        </is>
      </c>
      <c r="J338" t="inlineStr">
        <is>
          <t>2024-12-31</t>
        </is>
      </c>
      <c r="K338" t="inlineStr">
        <is>
          <t>auto_seed=world_bank_wdi; indicator=NY.GDP.PCAP.PP.CD; observation_year=2024; dataset_lastupdated=2026-02-24; stale=no</t>
        </is>
      </c>
    </row>
    <row r="339">
      <c r="A339" t="inlineStr">
        <is>
          <t>Botswana</t>
        </is>
      </c>
      <c r="B339" t="inlineStr">
        <is>
          <t>gdp_growth</t>
        </is>
      </c>
      <c r="C339" t="inlineStr">
        <is>
          <t>GDP growth</t>
        </is>
      </c>
      <c r="D339" t="inlineStr">
        <is>
          <t>creative</t>
        </is>
      </c>
      <c r="E339" t="inlineStr">
        <is>
          <t>yes</t>
        </is>
      </c>
      <c r="F339" t="inlineStr">
        <is>
          <t>-2.9899</t>
        </is>
      </c>
      <c r="G339" t="inlineStr">
        <is>
          <t>world_bank</t>
        </is>
      </c>
      <c r="H339" t="inlineStr">
        <is>
          <t>https://api.worldbank.org/v2/country/BWA/indicator/NY.GDP.MKTP.KD.ZG?format=json&amp;mrv=30</t>
        </is>
      </c>
      <c r="I339" t="inlineStr">
        <is>
          <t>World Bank WDI: GDP growth (annual %)</t>
        </is>
      </c>
      <c r="J339" t="inlineStr">
        <is>
          <t>2024-12-31</t>
        </is>
      </c>
      <c r="K339" t="inlineStr">
        <is>
          <t>auto_seed=world_bank_wdi; indicator=NY.GDP.MKTP.KD.ZG; observation_year=2024; dataset_lastupdated=2026-02-24; stale=no</t>
        </is>
      </c>
    </row>
    <row r="340">
      <c r="A340" t="inlineStr">
        <is>
          <t>Botswana</t>
        </is>
      </c>
      <c r="B340" t="inlineStr">
        <is>
          <t>gini_coefficient</t>
        </is>
      </c>
      <c r="C340" t="inlineStr">
        <is>
          <t>Gini coefficient</t>
        </is>
      </c>
      <c r="D340" t="inlineStr">
        <is>
          <t>capability</t>
        </is>
      </c>
      <c r="E340" t="inlineStr">
        <is>
          <t>yes</t>
        </is>
      </c>
      <c r="F340" t="inlineStr">
        <is>
          <t>54.9</t>
        </is>
      </c>
      <c r="G340" t="inlineStr">
        <is>
          <t>world_bank</t>
        </is>
      </c>
      <c r="H340" t="inlineStr">
        <is>
          <t>https://api.worldbank.org/v2/country/BWA/indicator/SI.POV.GINI?format=json&amp;mrv=30</t>
        </is>
      </c>
      <c r="I340" t="inlineStr">
        <is>
          <t>World Bank WDI: Gini index</t>
        </is>
      </c>
      <c r="J340" t="inlineStr">
        <is>
          <t>2015-12-31</t>
        </is>
      </c>
      <c r="K340" t="inlineStr">
        <is>
          <t>auto_seed=world_bank_wdi; indicator=SI.POV.GINI; observation_year=2015; dataset_lastupdated=2026-02-24; stale=yes</t>
        </is>
      </c>
    </row>
    <row r="341">
      <c r="A341" t="inlineStr">
        <is>
          <t>Botswana</t>
        </is>
      </c>
      <c r="B341" t="inlineStr">
        <is>
          <t>ppp_private_consumption</t>
        </is>
      </c>
      <c r="C341" t="inlineStr">
        <is>
          <t>PPP private consumption factor</t>
        </is>
      </c>
      <c r="D341" t="inlineStr">
        <is>
          <t>pressure</t>
        </is>
      </c>
      <c r="E341" t="inlineStr">
        <is>
          <t>yes</t>
        </is>
      </c>
      <c r="F341" t="inlineStr">
        <is>
          <t>5.312715</t>
        </is>
      </c>
      <c r="G341" t="inlineStr">
        <is>
          <t>world_bank</t>
        </is>
      </c>
      <c r="H341" t="inlineStr">
        <is>
          <t>https://api.worldbank.org/v2/country/BWA/indicator/PA.NUS.PRVT.PP?format=json&amp;mrv=30</t>
        </is>
      </c>
      <c r="I341" t="inlineStr">
        <is>
          <t>World Bank WDI: PPP conversion factor, private consumption (LCU per international $)</t>
        </is>
      </c>
      <c r="J341" t="inlineStr">
        <is>
          <t>2024-12-31</t>
        </is>
      </c>
      <c r="K341" t="inlineStr">
        <is>
          <t>auto_seed=world_bank_wdi; indicator=PA.NUS.PRVT.PP; observation_year=2024; dataset_lastupdated=2026-02-24; stale=no</t>
        </is>
      </c>
    </row>
    <row r="342">
      <c r="A342" t="inlineStr">
        <is>
          <t>Botswana</t>
        </is>
      </c>
      <c r="B342" t="inlineStr">
        <is>
          <t>tax_rate_assumption</t>
        </is>
      </c>
      <c r="C342" t="inlineStr">
        <is>
          <t>Tax rate assumption</t>
        </is>
      </c>
      <c r="D342" t="inlineStr">
        <is>
          <t>pressure</t>
        </is>
      </c>
      <c r="E342" t="inlineStr">
        <is>
          <t>yes</t>
        </is>
      </c>
      <c r="F342" t="inlineStr">
        <is>
          <t>0.224882</t>
        </is>
      </c>
      <c r="G342" t="inlineStr">
        <is>
          <t>world_bank</t>
        </is>
      </c>
      <c r="H342" t="inlineStr">
        <is>
          <t>https://api.worldbank.org/v2/country/BWA/indicator/GC.TAX.TOTL.GD.ZS?format=json&amp;mrv=30</t>
        </is>
      </c>
      <c r="I342" t="inlineStr">
        <is>
          <t>World Bank WDI: Tax revenue (% of GDP) used as interim country average tax-take proxy</t>
        </is>
      </c>
      <c r="J342" t="inlineStr">
        <is>
          <t>2024-12-31</t>
        </is>
      </c>
      <c r="K342" t="inlineStr">
        <is>
          <t>auto_seed=world_bank_wdi; proxy=country_average_tax_take_from_tax_revenue_share; indicator=GC.TAX.TOTL.GD.ZS; observation_year=2024; dataset_lastupdated=2026-02-24; stale=no</t>
        </is>
      </c>
    </row>
    <row r="343">
      <c r="A343" t="inlineStr">
        <is>
          <t>Botswana</t>
        </is>
      </c>
      <c r="B343" t="inlineStr">
        <is>
          <t>household_debt_proxy</t>
        </is>
      </c>
      <c r="C343" t="inlineStr">
        <is>
          <t>Household debt proxy</t>
        </is>
      </c>
      <c r="D343" t="inlineStr">
        <is>
          <t>pressure</t>
        </is>
      </c>
      <c r="E343" t="inlineStr">
        <is>
          <t>yes</t>
        </is>
      </c>
      <c r="F343" t="inlineStr">
        <is>
          <t>32.8462</t>
        </is>
      </c>
      <c r="G343" t="inlineStr">
        <is>
          <t>world_bank</t>
        </is>
      </c>
      <c r="H343" t="inlineStr">
        <is>
          <t>https://api.worldbank.org/v2/country/BWA/indicator/FD.AST.PRVT.GD.ZS?format=json&amp;mrv=30</t>
        </is>
      </c>
      <c r="I343" t="inlineStr">
        <is>
          <t>World Bank WDI: Domestic credit to private sector by banks (% of GDP) used as interim leverage proxy</t>
        </is>
      </c>
      <c r="J343" t="inlineStr">
        <is>
          <t>2024-12-31</t>
        </is>
      </c>
      <c r="K343" t="inlineStr">
        <is>
          <t>auto_seed=world_bank_wdi; proxy=broad_private_credit_not_household_only; indicator=FD.AST.PRVT.GD.ZS; observation_year=2024; dataset_lastupdated=2026-02-24; stale=no</t>
        </is>
      </c>
    </row>
    <row r="344">
      <c r="A344" t="inlineStr">
        <is>
          <t>Namibia</t>
        </is>
      </c>
      <c r="B344" t="inlineStr">
        <is>
          <t>gdp_per_capita_ppp</t>
        </is>
      </c>
      <c r="C344" t="inlineStr">
        <is>
          <t>GDP per capita (PPP)</t>
        </is>
      </c>
      <c r="D344" t="inlineStr">
        <is>
          <t>creative</t>
        </is>
      </c>
      <c r="E344" t="inlineStr">
        <is>
          <t>yes</t>
        </is>
      </c>
      <c r="F344" t="inlineStr">
        <is>
          <t>11686.6</t>
        </is>
      </c>
      <c r="G344" t="inlineStr">
        <is>
          <t>world_bank</t>
        </is>
      </c>
      <c r="H344" t="inlineStr">
        <is>
          <t>https://api.worldbank.org/v2/country/NAM/indicator/NY.GDP.PCAP.PP.CD?format=json&amp;mrv=30</t>
        </is>
      </c>
      <c r="I344" t="inlineStr">
        <is>
          <t>World Bank WDI: GDP per capita, PPP (current international $)</t>
        </is>
      </c>
      <c r="J344" t="inlineStr">
        <is>
          <t>2024-12-31</t>
        </is>
      </c>
      <c r="K344" t="inlineStr">
        <is>
          <t>auto_seed=world_bank_wdi; indicator=NY.GDP.PCAP.PP.CD; observation_year=2024; dataset_lastupdated=2026-02-24; stale=no</t>
        </is>
      </c>
    </row>
    <row r="345">
      <c r="A345" t="inlineStr">
        <is>
          <t>Namibia</t>
        </is>
      </c>
      <c r="B345" t="inlineStr">
        <is>
          <t>gdp_growth</t>
        </is>
      </c>
      <c r="C345" t="inlineStr">
        <is>
          <t>GDP growth</t>
        </is>
      </c>
      <c r="D345" t="inlineStr">
        <is>
          <t>creative</t>
        </is>
      </c>
      <c r="E345" t="inlineStr">
        <is>
          <t>yes</t>
        </is>
      </c>
      <c r="F345" t="inlineStr">
        <is>
          <t>3.7115</t>
        </is>
      </c>
      <c r="G345" t="inlineStr">
        <is>
          <t>world_bank</t>
        </is>
      </c>
      <c r="H345" t="inlineStr">
        <is>
          <t>https://api.worldbank.org/v2/country/NAM/indicator/NY.GDP.MKTP.KD.ZG?format=json&amp;mrv=30</t>
        </is>
      </c>
      <c r="I345" t="inlineStr">
        <is>
          <t>World Bank WDI: GDP growth (annual %)</t>
        </is>
      </c>
      <c r="J345" t="inlineStr">
        <is>
          <t>2024-12-31</t>
        </is>
      </c>
      <c r="K345" t="inlineStr">
        <is>
          <t>auto_seed=world_bank_wdi; indicator=NY.GDP.MKTP.KD.ZG; observation_year=2024; dataset_lastupdated=2026-02-24; stale=no</t>
        </is>
      </c>
    </row>
    <row r="346">
      <c r="A346" t="inlineStr">
        <is>
          <t>Namibia</t>
        </is>
      </c>
      <c r="B346" t="inlineStr">
        <is>
          <t>gini_coefficient</t>
        </is>
      </c>
      <c r="C346" t="inlineStr">
        <is>
          <t>Gini coefficient</t>
        </is>
      </c>
      <c r="D346" t="inlineStr">
        <is>
          <t>capability</t>
        </is>
      </c>
      <c r="E346" t="inlineStr">
        <is>
          <t>yes</t>
        </is>
      </c>
      <c r="F346" t="inlineStr">
        <is>
          <t>59.1</t>
        </is>
      </c>
      <c r="G346" t="inlineStr">
        <is>
          <t>world_bank</t>
        </is>
      </c>
      <c r="H346" t="inlineStr">
        <is>
          <t>https://api.worldbank.org/v2/country/NAM/indicator/SI.POV.GINI?format=json&amp;mrv=30</t>
        </is>
      </c>
      <c r="I346" t="inlineStr">
        <is>
          <t>World Bank WDI: Gini index</t>
        </is>
      </c>
      <c r="J346" t="inlineStr">
        <is>
          <t>2015-12-31</t>
        </is>
      </c>
      <c r="K346" t="inlineStr">
        <is>
          <t>auto_seed=world_bank_wdi; indicator=SI.POV.GINI; observation_year=2015; dataset_lastupdated=2026-02-24; stale=yes</t>
        </is>
      </c>
    </row>
    <row r="347">
      <c r="A347" t="inlineStr">
        <is>
          <t>Namibia</t>
        </is>
      </c>
      <c r="B347" t="inlineStr">
        <is>
          <t>ppp_private_consumption</t>
        </is>
      </c>
      <c r="C347" t="inlineStr">
        <is>
          <t>PPP private consumption factor</t>
        </is>
      </c>
      <c r="D347" t="inlineStr">
        <is>
          <t>pressure</t>
        </is>
      </c>
      <c r="E347" t="inlineStr">
        <is>
          <t>yes</t>
        </is>
      </c>
      <c r="F347" t="inlineStr">
        <is>
          <t>7.321244</t>
        </is>
      </c>
      <c r="G347" t="inlineStr">
        <is>
          <t>world_bank</t>
        </is>
      </c>
      <c r="H347" t="inlineStr">
        <is>
          <t>https://api.worldbank.org/v2/country/NAM/indicator/PA.NUS.PRVT.PP?format=json&amp;mrv=30</t>
        </is>
      </c>
      <c r="I347" t="inlineStr">
        <is>
          <t>World Bank WDI: PPP conversion factor, private consumption (LCU per international $)</t>
        </is>
      </c>
      <c r="J347" t="inlineStr">
        <is>
          <t>2024-12-31</t>
        </is>
      </c>
      <c r="K347" t="inlineStr">
        <is>
          <t>auto_seed=world_bank_wdi; indicator=PA.NUS.PRVT.PP; observation_year=2024; dataset_lastupdated=2026-02-24; stale=no</t>
        </is>
      </c>
    </row>
    <row r="348">
      <c r="A348" t="inlineStr">
        <is>
          <t>Namibia</t>
        </is>
      </c>
      <c r="B348" t="inlineStr">
        <is>
          <t>tax_rate_assumption</t>
        </is>
      </c>
      <c r="C348" t="inlineStr">
        <is>
          <t>Tax rate assumption</t>
        </is>
      </c>
      <c r="D348" t="inlineStr">
        <is>
          <t>pressure</t>
        </is>
      </c>
      <c r="E348" t="inlineStr">
        <is>
          <t>yes</t>
        </is>
      </c>
      <c r="F348" t="inlineStr">
        <is>
          <t>0.329629</t>
        </is>
      </c>
      <c r="G348" t="inlineStr">
        <is>
          <t>world_bank</t>
        </is>
      </c>
      <c r="H348" t="inlineStr">
        <is>
          <t>https://api.worldbank.org/v2/country/NAM/indicator/GC.TAX.TOTL.GD.ZS?format=json&amp;mrv=30</t>
        </is>
      </c>
      <c r="I348" t="inlineStr">
        <is>
          <t>World Bank WDI: Tax revenue (% of GDP) used as interim country average tax-take proxy</t>
        </is>
      </c>
      <c r="J348" t="inlineStr">
        <is>
          <t>2023-12-31</t>
        </is>
      </c>
      <c r="K348" t="inlineStr">
        <is>
          <t>auto_seed=world_bank_wdi; proxy=country_average_tax_take_from_tax_revenue_share; indicator=GC.TAX.TOTL.GD.ZS; observation_year=2023; dataset_lastupdated=2026-02-24; stale=no</t>
        </is>
      </c>
    </row>
    <row r="349">
      <c r="A349" t="inlineStr">
        <is>
          <t>Namibia</t>
        </is>
      </c>
      <c r="B349" t="inlineStr">
        <is>
          <t>household_debt_proxy</t>
        </is>
      </c>
      <c r="C349" t="inlineStr">
        <is>
          <t>Household debt proxy</t>
        </is>
      </c>
      <c r="D349" t="inlineStr">
        <is>
          <t>pressure</t>
        </is>
      </c>
      <c r="E349" t="inlineStr">
        <is>
          <t>yes</t>
        </is>
      </c>
      <c r="F349" t="inlineStr">
        <is>
          <t>48.2075</t>
        </is>
      </c>
      <c r="G349" t="inlineStr">
        <is>
          <t>world_bank</t>
        </is>
      </c>
      <c r="H349" t="inlineStr">
        <is>
          <t>https://api.worldbank.org/v2/country/NAM/indicator/FD.AST.PRVT.GD.ZS?format=json&amp;mrv=30</t>
        </is>
      </c>
      <c r="I349" t="inlineStr">
        <is>
          <t>World Bank WDI: Domestic credit to private sector by banks (% of GDP) used as interim leverage proxy</t>
        </is>
      </c>
      <c r="J349" t="inlineStr">
        <is>
          <t>2024-12-31</t>
        </is>
      </c>
      <c r="K349" t="inlineStr">
        <is>
          <t>auto_seed=world_bank_wdi; proxy=broad_private_credit_not_household_only; indicator=FD.AST.PRVT.GD.ZS; observation_year=2024; dataset_lastupdated=2026-02-24; stale=no</t>
        </is>
      </c>
    </row>
    <row r="350">
      <c r="A350" t="inlineStr">
        <is>
          <t>Ghana</t>
        </is>
      </c>
      <c r="B350" t="inlineStr">
        <is>
          <t>gdp_per_capita_ppp</t>
        </is>
      </c>
      <c r="C350" t="inlineStr">
        <is>
          <t>GDP per capita (PPP)</t>
        </is>
      </c>
      <c r="D350" t="inlineStr">
        <is>
          <t>creative</t>
        </is>
      </c>
      <c r="E350" t="inlineStr">
        <is>
          <t>yes</t>
        </is>
      </c>
      <c r="F350" t="inlineStr">
        <is>
          <t>8020</t>
        </is>
      </c>
      <c r="G350" t="inlineStr">
        <is>
          <t>world_bank</t>
        </is>
      </c>
      <c r="H350" t="inlineStr">
        <is>
          <t>https://api.worldbank.org/v2/country/GHA/indicator/NY.GDP.PCAP.PP.CD?format=json&amp;mrv=30</t>
        </is>
      </c>
      <c r="I350" t="inlineStr">
        <is>
          <t>World Bank WDI: GDP per capita, PPP (current international $)</t>
        </is>
      </c>
      <c r="J350" t="inlineStr">
        <is>
          <t>2024-12-31</t>
        </is>
      </c>
      <c r="K350" t="inlineStr">
        <is>
          <t>auto_seed=world_bank_wdi; indicator=NY.GDP.PCAP.PP.CD; observation_year=2024; dataset_lastupdated=2026-02-24; stale=no</t>
        </is>
      </c>
    </row>
    <row r="351">
      <c r="A351" t="inlineStr">
        <is>
          <t>Ghana</t>
        </is>
      </c>
      <c r="B351" t="inlineStr">
        <is>
          <t>gdp_growth</t>
        </is>
      </c>
      <c r="C351" t="inlineStr">
        <is>
          <t>GDP growth</t>
        </is>
      </c>
      <c r="D351" t="inlineStr">
        <is>
          <t>creative</t>
        </is>
      </c>
      <c r="E351" t="inlineStr">
        <is>
          <t>yes</t>
        </is>
      </c>
      <c r="F351" t="inlineStr">
        <is>
          <t>5.5905</t>
        </is>
      </c>
      <c r="G351" t="inlineStr">
        <is>
          <t>world_bank</t>
        </is>
      </c>
      <c r="H351" t="inlineStr">
        <is>
          <t>https://api.worldbank.org/v2/country/GHA/indicator/NY.GDP.MKTP.KD.ZG?format=json&amp;mrv=30</t>
        </is>
      </c>
      <c r="I351" t="inlineStr">
        <is>
          <t>World Bank WDI: GDP growth (annual %)</t>
        </is>
      </c>
      <c r="J351" t="inlineStr">
        <is>
          <t>2024-12-31</t>
        </is>
      </c>
      <c r="K351" t="inlineStr">
        <is>
          <t>auto_seed=world_bank_wdi; indicator=NY.GDP.MKTP.KD.ZG; observation_year=2024; dataset_lastupdated=2026-02-24; stale=no</t>
        </is>
      </c>
    </row>
    <row r="352">
      <c r="A352" t="inlineStr">
        <is>
          <t>Ghana</t>
        </is>
      </c>
      <c r="B352" t="inlineStr">
        <is>
          <t>gini_coefficient</t>
        </is>
      </c>
      <c r="C352" t="inlineStr">
        <is>
          <t>Gini coefficient</t>
        </is>
      </c>
      <c r="D352" t="inlineStr">
        <is>
          <t>capability</t>
        </is>
      </c>
      <c r="E352" t="inlineStr">
        <is>
          <t>yes</t>
        </is>
      </c>
      <c r="F352" t="inlineStr">
        <is>
          <t>43.5</t>
        </is>
      </c>
      <c r="G352" t="inlineStr">
        <is>
          <t>world_bank</t>
        </is>
      </c>
      <c r="H352" t="inlineStr">
        <is>
          <t>https://api.worldbank.org/v2/country/GHA/indicator/SI.POV.GINI?format=json&amp;mrv=30</t>
        </is>
      </c>
      <c r="I352" t="inlineStr">
        <is>
          <t>World Bank WDI: Gini index</t>
        </is>
      </c>
      <c r="J352" t="inlineStr">
        <is>
          <t>2016-12-31</t>
        </is>
      </c>
      <c r="K352" t="inlineStr">
        <is>
          <t>auto_seed=world_bank_wdi; indicator=SI.POV.GINI; observation_year=2016; dataset_lastupdated=2026-02-24; stale=yes</t>
        </is>
      </c>
    </row>
    <row r="353">
      <c r="A353" t="inlineStr">
        <is>
          <t>Ghana</t>
        </is>
      </c>
      <c r="B353" t="inlineStr">
        <is>
          <t>ppp_private_consumption</t>
        </is>
      </c>
      <c r="C353" t="inlineStr">
        <is>
          <t>PPP private consumption factor</t>
        </is>
      </c>
      <c r="D353" t="inlineStr">
        <is>
          <t>pressure</t>
        </is>
      </c>
      <c r="E353" t="inlineStr">
        <is>
          <t>yes</t>
        </is>
      </c>
      <c r="F353" t="inlineStr">
        <is>
          <t>4.721006</t>
        </is>
      </c>
      <c r="G353" t="inlineStr">
        <is>
          <t>world_bank</t>
        </is>
      </c>
      <c r="H353" t="inlineStr">
        <is>
          <t>https://api.worldbank.org/v2/country/GHA/indicator/PA.NUS.PRVT.PP?format=json&amp;mrv=30</t>
        </is>
      </c>
      <c r="I353" t="inlineStr">
        <is>
          <t>World Bank WDI: PPP conversion factor, private consumption (LCU per international $)</t>
        </is>
      </c>
      <c r="J353" t="inlineStr">
        <is>
          <t>2024-12-31</t>
        </is>
      </c>
      <c r="K353" t="inlineStr">
        <is>
          <t>auto_seed=world_bank_wdi; indicator=PA.NUS.PRVT.PP; observation_year=2024; dataset_lastupdated=2026-02-24; stale=no</t>
        </is>
      </c>
    </row>
    <row r="354">
      <c r="A354" t="inlineStr">
        <is>
          <t>Ghana</t>
        </is>
      </c>
      <c r="B354" t="inlineStr">
        <is>
          <t>tax_rate_assumption</t>
        </is>
      </c>
      <c r="C354" t="inlineStr">
        <is>
          <t>Tax rate assumption</t>
        </is>
      </c>
      <c r="D354" t="inlineStr">
        <is>
          <t>pressure</t>
        </is>
      </c>
      <c r="E354" t="inlineStr">
        <is>
          <t>yes</t>
        </is>
      </c>
      <c r="F354" t="inlineStr">
        <is>
          <t>0.122975</t>
        </is>
      </c>
      <c r="G354" t="inlineStr">
        <is>
          <t>world_bank</t>
        </is>
      </c>
      <c r="H354" t="inlineStr">
        <is>
          <t>https://api.worldbank.org/v2/country/GHA/indicator/GC.TAX.TOTL.GD.ZS?format=json&amp;mrv=30</t>
        </is>
      </c>
      <c r="I354" t="inlineStr">
        <is>
          <t>World Bank WDI: Tax revenue (% of GDP) used as interim country average tax-take proxy</t>
        </is>
      </c>
      <c r="J354" t="inlineStr">
        <is>
          <t>2022-12-31</t>
        </is>
      </c>
      <c r="K354" t="inlineStr">
        <is>
          <t>auto_seed=world_bank_wdi; proxy=country_average_tax_take_from_tax_revenue_share; indicator=GC.TAX.TOTL.GD.ZS; observation_year=2022; dataset_lastupdated=2026-02-24; stale=no</t>
        </is>
      </c>
    </row>
    <row r="355">
      <c r="A355" t="inlineStr">
        <is>
          <t>Ghana</t>
        </is>
      </c>
      <c r="B355" t="inlineStr">
        <is>
          <t>household_debt_proxy</t>
        </is>
      </c>
      <c r="C355" t="inlineStr">
        <is>
          <t>Household debt proxy</t>
        </is>
      </c>
      <c r="D355" t="inlineStr">
        <is>
          <t>pressure</t>
        </is>
      </c>
      <c r="E355" t="inlineStr">
        <is>
          <t>yes</t>
        </is>
      </c>
      <c r="F355" t="inlineStr">
        <is>
          <t>8.6512</t>
        </is>
      </c>
      <c r="G355" t="inlineStr">
        <is>
          <t>world_bank</t>
        </is>
      </c>
      <c r="H355" t="inlineStr">
        <is>
          <t>https://api.worldbank.org/v2/country/GHA/indicator/FD.AST.PRVT.GD.ZS?format=json&amp;mrv=30</t>
        </is>
      </c>
      <c r="I355" t="inlineStr">
        <is>
          <t>World Bank WDI: Domestic credit to private sector by banks (% of GDP) used as interim leverage proxy</t>
        </is>
      </c>
      <c r="J355" t="inlineStr">
        <is>
          <t>2023-12-31</t>
        </is>
      </c>
      <c r="K355" t="inlineStr">
        <is>
          <t>auto_seed=world_bank_wdi; proxy=broad_private_credit_not_household_only; indicator=FD.AST.PRVT.GD.ZS; observation_year=2023; dataset_lastupdated=2026-02-24; stale=no</t>
        </is>
      </c>
    </row>
    <row r="356">
      <c r="A356" t="inlineStr">
        <is>
          <t>Senegal</t>
        </is>
      </c>
      <c r="B356" t="inlineStr">
        <is>
          <t>gdp_per_capita_ppp</t>
        </is>
      </c>
      <c r="C356" t="inlineStr">
        <is>
          <t>GDP per capita (PPP)</t>
        </is>
      </c>
      <c r="D356" t="inlineStr">
        <is>
          <t>creative</t>
        </is>
      </c>
      <c r="E356" t="inlineStr">
        <is>
          <t>yes</t>
        </is>
      </c>
      <c r="F356" t="inlineStr">
        <is>
          <t>5070.65</t>
        </is>
      </c>
      <c r="G356" t="inlineStr">
        <is>
          <t>world_bank</t>
        </is>
      </c>
      <c r="H356" t="inlineStr">
        <is>
          <t>https://api.worldbank.org/v2/country/SEN/indicator/NY.GDP.PCAP.PP.CD?format=json&amp;mrv=30</t>
        </is>
      </c>
      <c r="I356" t="inlineStr">
        <is>
          <t>World Bank WDI: GDP per capita, PPP (current international $)</t>
        </is>
      </c>
      <c r="J356" t="inlineStr">
        <is>
          <t>2024-12-31</t>
        </is>
      </c>
      <c r="K356" t="inlineStr">
        <is>
          <t>auto_seed=world_bank_wdi; indicator=NY.GDP.PCAP.PP.CD; observation_year=2024; dataset_lastupdated=2026-02-24; stale=no</t>
        </is>
      </c>
    </row>
    <row r="357">
      <c r="A357" t="inlineStr">
        <is>
          <t>Senegal</t>
        </is>
      </c>
      <c r="B357" t="inlineStr">
        <is>
          <t>gdp_growth</t>
        </is>
      </c>
      <c r="C357" t="inlineStr">
        <is>
          <t>GDP growth</t>
        </is>
      </c>
      <c r="D357" t="inlineStr">
        <is>
          <t>creative</t>
        </is>
      </c>
      <c r="E357" t="inlineStr">
        <is>
          <t>yes</t>
        </is>
      </c>
      <c r="F357" t="inlineStr">
        <is>
          <t>6.0606</t>
        </is>
      </c>
      <c r="G357" t="inlineStr">
        <is>
          <t>world_bank</t>
        </is>
      </c>
      <c r="H357" t="inlineStr">
        <is>
          <t>https://api.worldbank.org/v2/country/SEN/indicator/NY.GDP.MKTP.KD.ZG?format=json&amp;mrv=30</t>
        </is>
      </c>
      <c r="I357" t="inlineStr">
        <is>
          <t>World Bank WDI: GDP growth (annual %)</t>
        </is>
      </c>
      <c r="J357" t="inlineStr">
        <is>
          <t>2024-12-31</t>
        </is>
      </c>
      <c r="K357" t="inlineStr">
        <is>
          <t>auto_seed=world_bank_wdi; indicator=NY.GDP.MKTP.KD.ZG; observation_year=2024; dataset_lastupdated=2026-02-24; stale=no</t>
        </is>
      </c>
    </row>
    <row r="358">
      <c r="A358" t="inlineStr">
        <is>
          <t>Senegal</t>
        </is>
      </c>
      <c r="B358" t="inlineStr">
        <is>
          <t>gini_coefficient</t>
        </is>
      </c>
      <c r="C358" t="inlineStr">
        <is>
          <t>Gini coefficient</t>
        </is>
      </c>
      <c r="D358" t="inlineStr">
        <is>
          <t>capability</t>
        </is>
      </c>
      <c r="E358" t="inlineStr">
        <is>
          <t>yes</t>
        </is>
      </c>
      <c r="F358" t="inlineStr">
        <is>
          <t>36.2</t>
        </is>
      </c>
      <c r="G358" t="inlineStr">
        <is>
          <t>world_bank</t>
        </is>
      </c>
      <c r="H358" t="inlineStr">
        <is>
          <t>https://api.worldbank.org/v2/country/SEN/indicator/SI.POV.GINI?format=json&amp;mrv=30</t>
        </is>
      </c>
      <c r="I358" t="inlineStr">
        <is>
          <t>World Bank WDI: Gini index</t>
        </is>
      </c>
      <c r="J358" t="inlineStr">
        <is>
          <t>2021-12-31</t>
        </is>
      </c>
      <c r="K358" t="inlineStr">
        <is>
          <t>auto_seed=world_bank_wdi; indicator=SI.POV.GINI; observation_year=2021; dataset_lastupdated=2026-02-24; stale=no</t>
        </is>
      </c>
    </row>
    <row r="359">
      <c r="A359" t="inlineStr">
        <is>
          <t>Senegal</t>
        </is>
      </c>
      <c r="B359" t="inlineStr">
        <is>
          <t>ppp_private_consumption</t>
        </is>
      </c>
      <c r="C359" t="inlineStr">
        <is>
          <t>PPP private consumption factor</t>
        </is>
      </c>
      <c r="D359" t="inlineStr">
        <is>
          <t>pressure</t>
        </is>
      </c>
      <c r="E359" t="inlineStr">
        <is>
          <t>yes</t>
        </is>
      </c>
      <c r="F359" t="inlineStr">
        <is>
          <t>229.280958</t>
        </is>
      </c>
      <c r="G359" t="inlineStr">
        <is>
          <t>world_bank</t>
        </is>
      </c>
      <c r="H359" t="inlineStr">
        <is>
          <t>https://api.worldbank.org/v2/country/SEN/indicator/PA.NUS.PRVT.PP?format=json&amp;mrv=30</t>
        </is>
      </c>
      <c r="I359" t="inlineStr">
        <is>
          <t>World Bank WDI: PPP conversion factor, private consumption (LCU per international $)</t>
        </is>
      </c>
      <c r="J359" t="inlineStr">
        <is>
          <t>2024-12-31</t>
        </is>
      </c>
      <c r="K359" t="inlineStr">
        <is>
          <t>auto_seed=world_bank_wdi; indicator=PA.NUS.PRVT.PP; observation_year=2024; dataset_lastupdated=2026-02-24; stale=no</t>
        </is>
      </c>
    </row>
    <row r="360">
      <c r="A360" t="inlineStr">
        <is>
          <t>Senegal</t>
        </is>
      </c>
      <c r="B360" t="inlineStr">
        <is>
          <t>tax_rate_assumption</t>
        </is>
      </c>
      <c r="C360" t="inlineStr">
        <is>
          <t>Tax rate assumption</t>
        </is>
      </c>
      <c r="D360" t="inlineStr">
        <is>
          <t>pressure</t>
        </is>
      </c>
      <c r="E360" t="inlineStr">
        <is>
          <t>yes</t>
        </is>
      </c>
      <c r="F360" t="inlineStr">
        <is>
          <t>0.195371</t>
        </is>
      </c>
      <c r="G360" t="inlineStr">
        <is>
          <t>world_bank</t>
        </is>
      </c>
      <c r="H360" t="inlineStr">
        <is>
          <t>https://api.worldbank.org/v2/country/SEN/indicator/GC.TAX.TOTL.GD.ZS?format=json&amp;mrv=30</t>
        </is>
      </c>
      <c r="I360" t="inlineStr">
        <is>
          <t>World Bank WDI: Tax revenue (% of GDP) used as interim country average tax-take proxy</t>
        </is>
      </c>
      <c r="J360" t="inlineStr">
        <is>
          <t>2023-12-31</t>
        </is>
      </c>
      <c r="K360" t="inlineStr">
        <is>
          <t>auto_seed=world_bank_wdi; proxy=country_average_tax_take_from_tax_revenue_share; indicator=GC.TAX.TOTL.GD.ZS; observation_year=2023; dataset_lastupdated=2026-02-24; stale=no</t>
        </is>
      </c>
    </row>
    <row r="361">
      <c r="A361" t="inlineStr">
        <is>
          <t>Senegal</t>
        </is>
      </c>
      <c r="B361" t="inlineStr">
        <is>
          <t>household_debt_proxy</t>
        </is>
      </c>
      <c r="C361" t="inlineStr">
        <is>
          <t>Household debt proxy</t>
        </is>
      </c>
      <c r="D361" t="inlineStr">
        <is>
          <t>pressure</t>
        </is>
      </c>
      <c r="E361" t="inlineStr">
        <is>
          <t>yes</t>
        </is>
      </c>
      <c r="F361" t="inlineStr">
        <is>
          <t>29.205</t>
        </is>
      </c>
      <c r="G361" t="inlineStr">
        <is>
          <t>world_bank</t>
        </is>
      </c>
      <c r="H361" t="inlineStr">
        <is>
          <t>https://api.worldbank.org/v2/country/SEN/indicator/FD.AST.PRVT.GD.ZS?format=json&amp;mrv=30</t>
        </is>
      </c>
      <c r="I361" t="inlineStr">
        <is>
          <t>World Bank WDI: Domestic credit to private sector by banks (% of GDP) used as interim leverage proxy</t>
        </is>
      </c>
      <c r="J361" t="inlineStr">
        <is>
          <t>2024-12-31</t>
        </is>
      </c>
      <c r="K361" t="inlineStr">
        <is>
          <t>auto_seed=world_bank_wdi; proxy=broad_private_credit_not_household_only; indicator=FD.AST.PRVT.GD.ZS; observation_year=2024; dataset_lastupdated=2026-02-24; stale=no</t>
        </is>
      </c>
    </row>
    <row r="362">
      <c r="A362" t="inlineStr">
        <is>
          <t>New Zealand</t>
        </is>
      </c>
      <c r="B362" t="inlineStr">
        <is>
          <t>gdp_per_capita_ppp</t>
        </is>
      </c>
      <c r="C362" t="inlineStr">
        <is>
          <t>GDP per capita (PPP)</t>
        </is>
      </c>
      <c r="D362" t="inlineStr">
        <is>
          <t>creative</t>
        </is>
      </c>
      <c r="E362" t="inlineStr">
        <is>
          <t>yes</t>
        </is>
      </c>
      <c r="F362" t="inlineStr">
        <is>
          <t>55551.14</t>
        </is>
      </c>
      <c r="G362" t="inlineStr">
        <is>
          <t>world_bank</t>
        </is>
      </c>
      <c r="H362" t="inlineStr">
        <is>
          <t>https://api.worldbank.org/v2/country/NZL/indicator/NY.GDP.PCAP.PP.CD?format=json&amp;mrv=30</t>
        </is>
      </c>
      <c r="I362" t="inlineStr">
        <is>
          <t>World Bank WDI: GDP per capita, PPP (current international $)</t>
        </is>
      </c>
      <c r="J362" t="inlineStr">
        <is>
          <t>2024-12-31</t>
        </is>
      </c>
      <c r="K362" t="inlineStr">
        <is>
          <t>auto_seed=world_bank_wdi; indicator=NY.GDP.PCAP.PP.CD; observation_year=2024; dataset_lastupdated=2026-02-24; stale=no</t>
        </is>
      </c>
    </row>
    <row r="363">
      <c r="A363" t="inlineStr">
        <is>
          <t>New Zealand</t>
        </is>
      </c>
      <c r="B363" t="inlineStr">
        <is>
          <t>gdp_growth</t>
        </is>
      </c>
      <c r="C363" t="inlineStr">
        <is>
          <t>GDP growth</t>
        </is>
      </c>
      <c r="D363" t="inlineStr">
        <is>
          <t>creative</t>
        </is>
      </c>
      <c r="E363" t="inlineStr">
        <is>
          <t>yes</t>
        </is>
      </c>
      <c r="F363" t="inlineStr">
        <is>
          <t>1.2886</t>
        </is>
      </c>
      <c r="G363" t="inlineStr">
        <is>
          <t>world_bank</t>
        </is>
      </c>
      <c r="H363" t="inlineStr">
        <is>
          <t>https://api.worldbank.org/v2/country/NZL/indicator/NY.GDP.MKTP.KD.ZG?format=json&amp;mrv=30</t>
        </is>
      </c>
      <c r="I363" t="inlineStr">
        <is>
          <t>World Bank WDI: GDP growth (annual %)</t>
        </is>
      </c>
      <c r="J363" t="inlineStr">
        <is>
          <t>2024-12-31</t>
        </is>
      </c>
      <c r="K363" t="inlineStr">
        <is>
          <t>auto_seed=world_bank_wdi; indicator=NY.GDP.MKTP.KD.ZG; observation_year=2024; dataset_lastupdated=2026-02-24; stale=no</t>
        </is>
      </c>
    </row>
    <row r="364">
      <c r="A364" t="inlineStr">
        <is>
          <t>New Zealand</t>
        </is>
      </c>
      <c r="B364" t="inlineStr">
        <is>
          <t>gini_coefficient</t>
        </is>
      </c>
      <c r="C364" t="inlineStr">
        <is>
          <t>Gini coefficient</t>
        </is>
      </c>
      <c r="D364" t="inlineStr">
        <is>
          <t>capability</t>
        </is>
      </c>
      <c r="E364" t="inlineStr">
        <is>
          <t>yes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New Zealand</t>
        </is>
      </c>
      <c r="B365" t="inlineStr">
        <is>
          <t>ppp_private_consumption</t>
        </is>
      </c>
      <c r="C365" t="inlineStr">
        <is>
          <t>PPP private consumption factor</t>
        </is>
      </c>
      <c r="D365" t="inlineStr">
        <is>
          <t>pressure</t>
        </is>
      </c>
      <c r="E365" t="inlineStr">
        <is>
          <t>yes</t>
        </is>
      </c>
      <c r="F365" t="inlineStr">
        <is>
          <t>1.499938</t>
        </is>
      </c>
      <c r="G365" t="inlineStr">
        <is>
          <t>world_bank</t>
        </is>
      </c>
      <c r="H365" t="inlineStr">
        <is>
          <t>https://api.worldbank.org/v2/country/NZL/indicator/PA.NUS.PRVT.PP?format=json&amp;mrv=30</t>
        </is>
      </c>
      <c r="I365" t="inlineStr">
        <is>
          <t>World Bank WDI: PPP conversion factor, private consumption (LCU per international $)</t>
        </is>
      </c>
      <c r="J365" t="inlineStr">
        <is>
          <t>2024-12-31</t>
        </is>
      </c>
      <c r="K365" t="inlineStr">
        <is>
          <t>auto_seed=world_bank_wdi; indicator=PA.NUS.PRVT.PP; observation_year=2024; dataset_lastupdated=2026-02-24; stale=no</t>
        </is>
      </c>
    </row>
    <row r="366">
      <c r="A366" t="inlineStr">
        <is>
          <t>New Zealand</t>
        </is>
      </c>
      <c r="B366" t="inlineStr">
        <is>
          <t>tax_rate_assumption</t>
        </is>
      </c>
      <c r="C366" t="inlineStr">
        <is>
          <t>Tax rate assumption</t>
        </is>
      </c>
      <c r="D366" t="inlineStr">
        <is>
          <t>pressure</t>
        </is>
      </c>
      <c r="E366" t="inlineStr">
        <is>
          <t>yes</t>
        </is>
      </c>
      <c r="F366" t="inlineStr">
        <is>
          <t>0.306678</t>
        </is>
      </c>
      <c r="G366" t="inlineStr">
        <is>
          <t>world_bank</t>
        </is>
      </c>
      <c r="H366" t="inlineStr">
        <is>
          <t>https://api.worldbank.org/v2/country/NZL/indicator/GC.TAX.TOTL.GD.ZS?format=json&amp;mrv=30</t>
        </is>
      </c>
      <c r="I366" t="inlineStr">
        <is>
          <t>World Bank WDI: Tax revenue (% of GDP) used as interim country average tax-take proxy</t>
        </is>
      </c>
      <c r="J366" t="inlineStr">
        <is>
          <t>2023-12-31</t>
        </is>
      </c>
      <c r="K366" t="inlineStr">
        <is>
          <t>auto_seed=world_bank_wdi; proxy=country_average_tax_take_from_tax_revenue_share; indicator=GC.TAX.TOTL.GD.ZS; observation_year=2023; dataset_lastupdated=2026-02-24; stale=no</t>
        </is>
      </c>
    </row>
    <row r="367">
      <c r="A367" t="inlineStr">
        <is>
          <t>New Zealand</t>
        </is>
      </c>
      <c r="B367" t="inlineStr">
        <is>
          <t>household_debt_proxy</t>
        </is>
      </c>
      <c r="C367" t="inlineStr">
        <is>
          <t>Household debt proxy</t>
        </is>
      </c>
      <c r="D367" t="inlineStr">
        <is>
          <t>pressure</t>
        </is>
      </c>
      <c r="E367" t="inlineStr">
        <is>
          <t>yes</t>
        </is>
      </c>
      <c r="F367" t="inlineStr">
        <is>
          <t>129.7971</t>
        </is>
      </c>
      <c r="G367" t="inlineStr">
        <is>
          <t>world_bank</t>
        </is>
      </c>
      <c r="H367" t="inlineStr">
        <is>
          <t>https://api.worldbank.org/v2/country/NZL/indicator/FD.AST.PRVT.GD.ZS?format=json&amp;mrv=30</t>
        </is>
      </c>
      <c r="I367" t="inlineStr">
        <is>
          <t>World Bank WDI: Domestic credit to private sector by banks (% of GDP) used as interim leverage proxy</t>
        </is>
      </c>
      <c r="J367" t="inlineStr">
        <is>
          <t>2024-12-31</t>
        </is>
      </c>
      <c r="K367" t="inlineStr">
        <is>
          <t>auto_seed=world_bank_wdi; proxy=broad_private_credit_not_household_only; indicator=FD.AST.PRVT.GD.ZS; observation_year=2024; dataset_lastupdated=2026-02-24; stale=no</t>
        </is>
      </c>
    </row>
    <row r="368">
      <c r="A368" t="inlineStr">
        <is>
          <t>Australia</t>
        </is>
      </c>
      <c r="B368" t="inlineStr">
        <is>
          <t>gdp_per_capita_ppp</t>
        </is>
      </c>
      <c r="C368" t="inlineStr">
        <is>
          <t>GDP per capita (PPP)</t>
        </is>
      </c>
      <c r="D368" t="inlineStr">
        <is>
          <t>creative</t>
        </is>
      </c>
      <c r="E368" t="inlineStr">
        <is>
          <t>yes</t>
        </is>
      </c>
      <c r="F368" t="inlineStr">
        <is>
          <t>72111.18</t>
        </is>
      </c>
      <c r="G368" t="inlineStr">
        <is>
          <t>world_bank</t>
        </is>
      </c>
      <c r="H368" t="inlineStr">
        <is>
          <t>https://api.worldbank.org/v2/country/AUS/indicator/NY.GDP.PCAP.PP.CD?format=json&amp;mrv=30</t>
        </is>
      </c>
      <c r="I368" t="inlineStr">
        <is>
          <t>World Bank WDI: GDP per capita, PPP (current international $)</t>
        </is>
      </c>
      <c r="J368" t="inlineStr">
        <is>
          <t>2024-12-31</t>
        </is>
      </c>
      <c r="K368" t="inlineStr">
        <is>
          <t>auto_seed=world_bank_wdi; indicator=NY.GDP.PCAP.PP.CD; observation_year=2024; dataset_lastupdated=2026-02-24; stale=no</t>
        </is>
      </c>
    </row>
    <row r="369">
      <c r="A369" t="inlineStr">
        <is>
          <t>Australia</t>
        </is>
      </c>
      <c r="B369" t="inlineStr">
        <is>
          <t>gdp_growth</t>
        </is>
      </c>
      <c r="C369" t="inlineStr">
        <is>
          <t>GDP growth</t>
        </is>
      </c>
      <c r="D369" t="inlineStr">
        <is>
          <t>creative</t>
        </is>
      </c>
      <c r="E369" t="inlineStr">
        <is>
          <t>yes</t>
        </is>
      </c>
      <c r="F369" t="inlineStr">
        <is>
          <t>1.3734</t>
        </is>
      </c>
      <c r="G369" t="inlineStr">
        <is>
          <t>world_bank</t>
        </is>
      </c>
      <c r="H369" t="inlineStr">
        <is>
          <t>https://api.worldbank.org/v2/country/AUS/indicator/NY.GDP.MKTP.KD.ZG?format=json&amp;mrv=30</t>
        </is>
      </c>
      <c r="I369" t="inlineStr">
        <is>
          <t>World Bank WDI: GDP growth (annual %)</t>
        </is>
      </c>
      <c r="J369" t="inlineStr">
        <is>
          <t>2024-12-31</t>
        </is>
      </c>
      <c r="K369" t="inlineStr">
        <is>
          <t>auto_seed=world_bank_wdi; indicator=NY.GDP.MKTP.KD.ZG; observation_year=2024; dataset_lastupdated=2026-02-24; stale=no</t>
        </is>
      </c>
    </row>
    <row r="370">
      <c r="A370" t="inlineStr">
        <is>
          <t>Australia</t>
        </is>
      </c>
      <c r="B370" t="inlineStr">
        <is>
          <t>gini_coefficient</t>
        </is>
      </c>
      <c r="C370" t="inlineStr">
        <is>
          <t>Gini coefficient</t>
        </is>
      </c>
      <c r="D370" t="inlineStr">
        <is>
          <t>capability</t>
        </is>
      </c>
      <c r="E370" t="inlineStr">
        <is>
          <t>yes</t>
        </is>
      </c>
      <c r="F370" t="inlineStr">
        <is>
          <t>33.8</t>
        </is>
      </c>
      <c r="G370" t="inlineStr">
        <is>
          <t>world_bank</t>
        </is>
      </c>
      <c r="H370" t="inlineStr">
        <is>
          <t>https://api.worldbank.org/v2/country/AUS/indicator/SI.POV.GINI?format=json&amp;mrv=30</t>
        </is>
      </c>
      <c r="I370" t="inlineStr">
        <is>
          <t>World Bank WDI: Gini index</t>
        </is>
      </c>
      <c r="J370" t="inlineStr">
        <is>
          <t>2020-12-31</t>
        </is>
      </c>
      <c r="K370" t="inlineStr">
        <is>
          <t>auto_seed=world_bank_wdi; indicator=SI.POV.GINI; observation_year=2020; dataset_lastupdated=2026-02-24; stale=no</t>
        </is>
      </c>
    </row>
    <row r="371">
      <c r="A371" t="inlineStr">
        <is>
          <t>Australia</t>
        </is>
      </c>
      <c r="B371" t="inlineStr">
        <is>
          <t>ppp_private_consumption</t>
        </is>
      </c>
      <c r="C371" t="inlineStr">
        <is>
          <t>PPP private consumption factor</t>
        </is>
      </c>
      <c r="D371" t="inlineStr">
        <is>
          <t>pressure</t>
        </is>
      </c>
      <c r="E371" t="inlineStr">
        <is>
          <t>yes</t>
        </is>
      </c>
      <c r="F371" t="inlineStr">
        <is>
          <t>1.427398</t>
        </is>
      </c>
      <c r="G371" t="inlineStr">
        <is>
          <t>world_bank</t>
        </is>
      </c>
      <c r="H371" t="inlineStr">
        <is>
          <t>https://api.worldbank.org/v2/country/AUS/indicator/PA.NUS.PRVT.PP?format=json&amp;mrv=30</t>
        </is>
      </c>
      <c r="I371" t="inlineStr">
        <is>
          <t>World Bank WDI: PPP conversion factor, private consumption (LCU per international $)</t>
        </is>
      </c>
      <c r="J371" t="inlineStr">
        <is>
          <t>2024-12-31</t>
        </is>
      </c>
      <c r="K371" t="inlineStr">
        <is>
          <t>auto_seed=world_bank_wdi; indicator=PA.NUS.PRVT.PP; observation_year=2024; dataset_lastupdated=2026-02-24; stale=no</t>
        </is>
      </c>
    </row>
    <row r="372">
      <c r="A372" t="inlineStr">
        <is>
          <t>Australia</t>
        </is>
      </c>
      <c r="B372" t="inlineStr">
        <is>
          <t>tax_rate_assumption</t>
        </is>
      </c>
      <c r="C372" t="inlineStr">
        <is>
          <t>Tax rate assumption</t>
        </is>
      </c>
      <c r="D372" t="inlineStr">
        <is>
          <t>pressure</t>
        </is>
      </c>
      <c r="E372" t="inlineStr">
        <is>
          <t>yes</t>
        </is>
      </c>
      <c r="F372" t="inlineStr">
        <is>
          <t>0.235615</t>
        </is>
      </c>
      <c r="G372" t="inlineStr">
        <is>
          <t>world_bank</t>
        </is>
      </c>
      <c r="H372" t="inlineStr">
        <is>
          <t>https://api.worldbank.org/v2/country/AUS/indicator/GC.TAX.TOTL.GD.ZS?format=json&amp;mrv=30</t>
        </is>
      </c>
      <c r="I372" t="inlineStr">
        <is>
          <t>World Bank WDI: Tax revenue (% of GDP) used as interim country average tax-take proxy</t>
        </is>
      </c>
      <c r="J372" t="inlineStr">
        <is>
          <t>2022-12-31</t>
        </is>
      </c>
      <c r="K372" t="inlineStr">
        <is>
          <t>auto_seed=world_bank_wdi; proxy=country_average_tax_take_from_tax_revenue_share; indicator=GC.TAX.TOTL.GD.ZS; observation_year=2022; dataset_lastupdated=2026-02-24; stale=no</t>
        </is>
      </c>
    </row>
    <row r="373">
      <c r="A373" t="inlineStr">
        <is>
          <t>Australia</t>
        </is>
      </c>
      <c r="B373" t="inlineStr">
        <is>
          <t>household_debt_proxy</t>
        </is>
      </c>
      <c r="C373" t="inlineStr">
        <is>
          <t>Household debt proxy</t>
        </is>
      </c>
      <c r="D373" t="inlineStr">
        <is>
          <t>pressure</t>
        </is>
      </c>
      <c r="E373" t="inlineStr">
        <is>
          <t>yes</t>
        </is>
      </c>
      <c r="F373" t="inlineStr">
        <is>
          <t>129.3173</t>
        </is>
      </c>
      <c r="G373" t="inlineStr">
        <is>
          <t>world_bank</t>
        </is>
      </c>
      <c r="H373" t="inlineStr">
        <is>
          <t>https://api.worldbank.org/v2/country/AUS/indicator/FD.AST.PRVT.GD.ZS?format=json&amp;mrv=30</t>
        </is>
      </c>
      <c r="I373" t="inlineStr">
        <is>
          <t>World Bank WDI: Domestic credit to private sector by banks (% of GDP) used as interim leverage proxy</t>
        </is>
      </c>
      <c r="J373" t="inlineStr">
        <is>
          <t>2024-12-31</t>
        </is>
      </c>
      <c r="K373" t="inlineStr">
        <is>
          <t>auto_seed=world_bank_wdi; proxy=broad_private_credit_not_household_only; indicator=FD.AST.PRVT.GD.ZS; observation_year=2024; dataset_lastupdated=2026-02-24; stale=no</t>
        </is>
      </c>
    </row>
    <row r="374">
      <c r="A374" t="inlineStr">
        <is>
          <t>Fiji</t>
        </is>
      </c>
      <c r="B374" t="inlineStr">
        <is>
          <t>gdp_per_capita_ppp</t>
        </is>
      </c>
      <c r="C374" t="inlineStr">
        <is>
          <t>GDP per capita (PPP)</t>
        </is>
      </c>
      <c r="D374" t="inlineStr">
        <is>
          <t>creative</t>
        </is>
      </c>
      <c r="E374" t="inlineStr">
        <is>
          <t>yes</t>
        </is>
      </c>
      <c r="F374" t="inlineStr">
        <is>
          <t>15450.3</t>
        </is>
      </c>
      <c r="G374" t="inlineStr">
        <is>
          <t>world_bank</t>
        </is>
      </c>
      <c r="H374" t="inlineStr">
        <is>
          <t>https://api.worldbank.org/v2/country/FJI/indicator/NY.GDP.PCAP.PP.CD?format=json&amp;mrv=30</t>
        </is>
      </c>
      <c r="I374" t="inlineStr">
        <is>
          <t>World Bank WDI: GDP per capita, PPP (current international $)</t>
        </is>
      </c>
      <c r="J374" t="inlineStr">
        <is>
          <t>2024-12-31</t>
        </is>
      </c>
      <c r="K374" t="inlineStr">
        <is>
          <t>auto_seed=world_bank_wdi; indicator=NY.GDP.PCAP.PP.CD; observation_year=2024; dataset_lastupdated=2026-02-24; stale=no</t>
        </is>
      </c>
    </row>
    <row r="375">
      <c r="A375" t="inlineStr">
        <is>
          <t>Fiji</t>
        </is>
      </c>
      <c r="B375" t="inlineStr">
        <is>
          <t>gdp_growth</t>
        </is>
      </c>
      <c r="C375" t="inlineStr">
        <is>
          <t>GDP growth</t>
        </is>
      </c>
      <c r="D375" t="inlineStr">
        <is>
          <t>creative</t>
        </is>
      </c>
      <c r="E375" t="inlineStr">
        <is>
          <t>yes</t>
        </is>
      </c>
      <c r="F375" t="inlineStr">
        <is>
          <t>3.5309</t>
        </is>
      </c>
      <c r="G375" t="inlineStr">
        <is>
          <t>world_bank</t>
        </is>
      </c>
      <c r="H375" t="inlineStr">
        <is>
          <t>https://api.worldbank.org/v2/country/FJI/indicator/NY.GDP.MKTP.KD.ZG?format=json&amp;mrv=30</t>
        </is>
      </c>
      <c r="I375" t="inlineStr">
        <is>
          <t>World Bank WDI: GDP growth (annual %)</t>
        </is>
      </c>
      <c r="J375" t="inlineStr">
        <is>
          <t>2024-12-31</t>
        </is>
      </c>
      <c r="K375" t="inlineStr">
        <is>
          <t>auto_seed=world_bank_wdi; indicator=NY.GDP.MKTP.KD.ZG; observation_year=2024; dataset_lastupdated=2026-02-24; stale=no</t>
        </is>
      </c>
    </row>
    <row r="376">
      <c r="A376" t="inlineStr">
        <is>
          <t>Fiji</t>
        </is>
      </c>
      <c r="B376" t="inlineStr">
        <is>
          <t>gini_coefficient</t>
        </is>
      </c>
      <c r="C376" t="inlineStr">
        <is>
          <t>Gini coefficient</t>
        </is>
      </c>
      <c r="D376" t="inlineStr">
        <is>
          <t>capability</t>
        </is>
      </c>
      <c r="E376" t="inlineStr">
        <is>
          <t>yes</t>
        </is>
      </c>
      <c r="F376" t="inlineStr">
        <is>
          <t>30.7</t>
        </is>
      </c>
      <c r="G376" t="inlineStr">
        <is>
          <t>world_bank</t>
        </is>
      </c>
      <c r="H376" t="inlineStr">
        <is>
          <t>https://api.worldbank.org/v2/country/FJI/indicator/SI.POV.GINI?format=json&amp;mrv=30</t>
        </is>
      </c>
      <c r="I376" t="inlineStr">
        <is>
          <t>World Bank WDI: Gini index</t>
        </is>
      </c>
      <c r="J376" t="inlineStr">
        <is>
          <t>2019-12-31</t>
        </is>
      </c>
      <c r="K376" t="inlineStr">
        <is>
          <t>auto_seed=world_bank_wdi; indicator=SI.POV.GINI; observation_year=2019; dataset_lastupdated=2026-02-24; stale=no</t>
        </is>
      </c>
    </row>
    <row r="377">
      <c r="A377" t="inlineStr">
        <is>
          <t>Fiji</t>
        </is>
      </c>
      <c r="B377" t="inlineStr">
        <is>
          <t>ppp_private_consumption</t>
        </is>
      </c>
      <c r="C377" t="inlineStr">
        <is>
          <t>PPP private consumption factor</t>
        </is>
      </c>
      <c r="D377" t="inlineStr">
        <is>
          <t>pressure</t>
        </is>
      </c>
      <c r="E377" t="inlineStr">
        <is>
          <t>yes</t>
        </is>
      </c>
      <c r="F377" t="inlineStr">
        <is>
          <t>0.910728</t>
        </is>
      </c>
      <c r="G377" t="inlineStr">
        <is>
          <t>world_bank</t>
        </is>
      </c>
      <c r="H377" t="inlineStr">
        <is>
          <t>https://api.worldbank.org/v2/country/FJI/indicator/PA.NUS.PRVT.PP?format=json&amp;mrv=30</t>
        </is>
      </c>
      <c r="I377" t="inlineStr">
        <is>
          <t>World Bank WDI: PPP conversion factor, private consumption (LCU per international $)</t>
        </is>
      </c>
      <c r="J377" t="inlineStr">
        <is>
          <t>2024-12-31</t>
        </is>
      </c>
      <c r="K377" t="inlineStr">
        <is>
          <t>auto_seed=world_bank_wdi; indicator=PA.NUS.PRVT.PP; observation_year=2024; dataset_lastupdated=2026-02-24; stale=no</t>
        </is>
      </c>
    </row>
    <row r="378">
      <c r="A378" t="inlineStr">
        <is>
          <t>Fiji</t>
        </is>
      </c>
      <c r="B378" t="inlineStr">
        <is>
          <t>tax_rate_assumption</t>
        </is>
      </c>
      <c r="C378" t="inlineStr">
        <is>
          <t>Tax rate assumption</t>
        </is>
      </c>
      <c r="D378" t="inlineStr">
        <is>
          <t>pressure</t>
        </is>
      </c>
      <c r="E378" t="inlineStr">
        <is>
          <t>yes</t>
        </is>
      </c>
      <c r="F378" t="inlineStr">
        <is>
          <t>0.20538</t>
        </is>
      </c>
      <c r="G378" t="inlineStr">
        <is>
          <t>world_bank</t>
        </is>
      </c>
      <c r="H378" t="inlineStr">
        <is>
          <t>https://api.worldbank.org/v2/country/FJI/indicator/GC.TAX.TOTL.GD.ZS?format=json&amp;mrv=30</t>
        </is>
      </c>
      <c r="I378" t="inlineStr">
        <is>
          <t>World Bank WDI: Tax revenue (% of GDP) used as interim country average tax-take proxy</t>
        </is>
      </c>
      <c r="J378" t="inlineStr">
        <is>
          <t>2023-12-31</t>
        </is>
      </c>
      <c r="K378" t="inlineStr">
        <is>
          <t>auto_seed=world_bank_wdi; proxy=country_average_tax_take_from_tax_revenue_share; indicator=GC.TAX.TOTL.GD.ZS; observation_year=2023; dataset_lastupdated=2026-02-24; stale=no</t>
        </is>
      </c>
    </row>
    <row r="379">
      <c r="A379" t="inlineStr">
        <is>
          <t>Fiji</t>
        </is>
      </c>
      <c r="B379" t="inlineStr">
        <is>
          <t>household_debt_proxy</t>
        </is>
      </c>
      <c r="C379" t="inlineStr">
        <is>
          <t>Household debt proxy</t>
        </is>
      </c>
      <c r="D379" t="inlineStr">
        <is>
          <t>pressure</t>
        </is>
      </c>
      <c r="E379" t="inlineStr">
        <is>
          <t>yes</t>
        </is>
      </c>
      <c r="F379" t="inlineStr">
        <is>
          <t>75.9993</t>
        </is>
      </c>
      <c r="G379" t="inlineStr">
        <is>
          <t>world_bank</t>
        </is>
      </c>
      <c r="H379" t="inlineStr">
        <is>
          <t>https://api.worldbank.org/v2/country/FJI/indicator/FD.AST.PRVT.GD.ZS?format=json&amp;mrv=30</t>
        </is>
      </c>
      <c r="I379" t="inlineStr">
        <is>
          <t>World Bank WDI: Domestic credit to private sector by banks (% of GDP) used as interim leverage proxy</t>
        </is>
      </c>
      <c r="J379" t="inlineStr">
        <is>
          <t>2024-12-31</t>
        </is>
      </c>
      <c r="K379" t="inlineStr">
        <is>
          <t>auto_seed=world_bank_wdi; proxy=broad_private_credit_not_household_only; indicator=FD.AST.PRVT.GD.ZS; observation_year=2024; dataset_lastupdated=2026-02-24; stale=no</t>
        </is>
      </c>
    </row>
    <row r="380">
      <c r="A380" t="inlineStr">
        <is>
          <t>Vietnam</t>
        </is>
      </c>
      <c r="B380" t="inlineStr">
        <is>
          <t>gdp_per_capita_ppp</t>
        </is>
      </c>
      <c r="C380" t="inlineStr">
        <is>
          <t>GDP per capita (PPP)</t>
        </is>
      </c>
      <c r="D380" t="inlineStr">
        <is>
          <t>creative</t>
        </is>
      </c>
      <c r="E380" t="inlineStr">
        <is>
          <t>yes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Vietnam</t>
        </is>
      </c>
      <c r="B381" t="inlineStr">
        <is>
          <t>gdp_growth</t>
        </is>
      </c>
      <c r="C381" t="inlineStr">
        <is>
          <t>GDP growth</t>
        </is>
      </c>
      <c r="D381" t="inlineStr">
        <is>
          <t>creative</t>
        </is>
      </c>
      <c r="E381" t="inlineStr">
        <is>
          <t>yes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Vietnam</t>
        </is>
      </c>
      <c r="B382" t="inlineStr">
        <is>
          <t>gini_coefficient</t>
        </is>
      </c>
      <c r="C382" t="inlineStr">
        <is>
          <t>Gini coefficient</t>
        </is>
      </c>
      <c r="D382" t="inlineStr">
        <is>
          <t>capability</t>
        </is>
      </c>
      <c r="E382" t="inlineStr">
        <is>
          <t>yes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Vietnam</t>
        </is>
      </c>
      <c r="B383" t="inlineStr">
        <is>
          <t>ppp_private_consumption</t>
        </is>
      </c>
      <c r="C383" t="inlineStr">
        <is>
          <t>PPP private consumption factor</t>
        </is>
      </c>
      <c r="D383" t="inlineStr">
        <is>
          <t>pressure</t>
        </is>
      </c>
      <c r="E383" t="inlineStr">
        <is>
          <t>yes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Vietnam</t>
        </is>
      </c>
      <c r="B384" t="inlineStr">
        <is>
          <t>tax_rate_assumption</t>
        </is>
      </c>
      <c r="C384" t="inlineStr">
        <is>
          <t>Tax rate assumption</t>
        </is>
      </c>
      <c r="D384" t="inlineStr">
        <is>
          <t>pressure</t>
        </is>
      </c>
      <c r="E384" t="inlineStr">
        <is>
          <t>yes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Vietnam</t>
        </is>
      </c>
      <c r="B385" t="inlineStr">
        <is>
          <t>household_debt_proxy</t>
        </is>
      </c>
      <c r="C385" t="inlineStr">
        <is>
          <t>Household debt proxy</t>
        </is>
      </c>
      <c r="D385" t="inlineStr">
        <is>
          <t>pressure</t>
        </is>
      </c>
      <c r="E385" t="inlineStr">
        <is>
          <t>yes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Cambodia</t>
        </is>
      </c>
      <c r="B386" t="inlineStr">
        <is>
          <t>gdp_per_capita_ppp</t>
        </is>
      </c>
      <c r="C386" t="inlineStr">
        <is>
          <t>GDP per capita (PPP)</t>
        </is>
      </c>
      <c r="D386" t="inlineStr">
        <is>
          <t>creative</t>
        </is>
      </c>
      <c r="E386" t="inlineStr">
        <is>
          <t>yes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Cambodia</t>
        </is>
      </c>
      <c r="B387" t="inlineStr">
        <is>
          <t>gdp_growth</t>
        </is>
      </c>
      <c r="C387" t="inlineStr">
        <is>
          <t>GDP growth</t>
        </is>
      </c>
      <c r="D387" t="inlineStr">
        <is>
          <t>creative</t>
        </is>
      </c>
      <c r="E387" t="inlineStr">
        <is>
          <t>yes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Cambodia</t>
        </is>
      </c>
      <c r="B388" t="inlineStr">
        <is>
          <t>gini_coefficient</t>
        </is>
      </c>
      <c r="C388" t="inlineStr">
        <is>
          <t>Gini coefficient</t>
        </is>
      </c>
      <c r="D388" t="inlineStr">
        <is>
          <t>capability</t>
        </is>
      </c>
      <c r="E388" t="inlineStr">
        <is>
          <t>yes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Cambodia</t>
        </is>
      </c>
      <c r="B389" t="inlineStr">
        <is>
          <t>ppp_private_consumption</t>
        </is>
      </c>
      <c r="C389" t="inlineStr">
        <is>
          <t>PPP private consumption factor</t>
        </is>
      </c>
      <c r="D389" t="inlineStr">
        <is>
          <t>pressure</t>
        </is>
      </c>
      <c r="E389" t="inlineStr">
        <is>
          <t>yes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Cambodia</t>
        </is>
      </c>
      <c r="B390" t="inlineStr">
        <is>
          <t>tax_rate_assumption</t>
        </is>
      </c>
      <c r="C390" t="inlineStr">
        <is>
          <t>Tax rate assumption</t>
        </is>
      </c>
      <c r="D390" t="inlineStr">
        <is>
          <t>pressure</t>
        </is>
      </c>
      <c r="E390" t="inlineStr">
        <is>
          <t>yes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Cambodia</t>
        </is>
      </c>
      <c r="B391" t="inlineStr">
        <is>
          <t>household_debt_proxy</t>
        </is>
      </c>
      <c r="C391" t="inlineStr">
        <is>
          <t>Household debt proxy</t>
        </is>
      </c>
      <c r="D391" t="inlineStr">
        <is>
          <t>pressure</t>
        </is>
      </c>
      <c r="E391" t="inlineStr">
        <is>
          <t>yes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Czechia</t>
        </is>
      </c>
      <c r="B392" t="inlineStr">
        <is>
          <t>gdp_per_capita_ppp</t>
        </is>
      </c>
      <c r="C392" t="inlineStr">
        <is>
          <t>GDP per capita (PPP)</t>
        </is>
      </c>
      <c r="D392" t="inlineStr">
        <is>
          <t>creative</t>
        </is>
      </c>
      <c r="E392" t="inlineStr">
        <is>
          <t>yes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Czechia</t>
        </is>
      </c>
      <c r="B393" t="inlineStr">
        <is>
          <t>gdp_growth</t>
        </is>
      </c>
      <c r="C393" t="inlineStr">
        <is>
          <t>GDP growth</t>
        </is>
      </c>
      <c r="D393" t="inlineStr">
        <is>
          <t>creative</t>
        </is>
      </c>
      <c r="E393" t="inlineStr">
        <is>
          <t>yes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Czechia</t>
        </is>
      </c>
      <c r="B394" t="inlineStr">
        <is>
          <t>gini_coefficient</t>
        </is>
      </c>
      <c r="C394" t="inlineStr">
        <is>
          <t>Gini coefficient</t>
        </is>
      </c>
      <c r="D394" t="inlineStr">
        <is>
          <t>capability</t>
        </is>
      </c>
      <c r="E394" t="inlineStr">
        <is>
          <t>yes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Czechia</t>
        </is>
      </c>
      <c r="B395" t="inlineStr">
        <is>
          <t>ppp_private_consumption</t>
        </is>
      </c>
      <c r="C395" t="inlineStr">
        <is>
          <t>PPP private consumption factor</t>
        </is>
      </c>
      <c r="D395" t="inlineStr">
        <is>
          <t>pressure</t>
        </is>
      </c>
      <c r="E395" t="inlineStr">
        <is>
          <t>yes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Czechia</t>
        </is>
      </c>
      <c r="B396" t="inlineStr">
        <is>
          <t>tax_rate_assumption</t>
        </is>
      </c>
      <c r="C396" t="inlineStr">
        <is>
          <t>Tax rate assumption</t>
        </is>
      </c>
      <c r="D396" t="inlineStr">
        <is>
          <t>pressure</t>
        </is>
      </c>
      <c r="E396" t="inlineStr">
        <is>
          <t>yes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Czechia</t>
        </is>
      </c>
      <c r="B397" t="inlineStr">
        <is>
          <t>household_debt_proxy</t>
        </is>
      </c>
      <c r="C397" t="inlineStr">
        <is>
          <t>Household debt proxy</t>
        </is>
      </c>
      <c r="D397" t="inlineStr">
        <is>
          <t>pressure</t>
        </is>
      </c>
      <c r="E397" t="inlineStr">
        <is>
          <t>yes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Slovenia</t>
        </is>
      </c>
      <c r="B398" t="inlineStr">
        <is>
          <t>gdp_per_capita_ppp</t>
        </is>
      </c>
      <c r="C398" t="inlineStr">
        <is>
          <t>GDP per capita (PPP)</t>
        </is>
      </c>
      <c r="D398" t="inlineStr">
        <is>
          <t>creative</t>
        </is>
      </c>
      <c r="E398" t="inlineStr">
        <is>
          <t>yes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Slovenia</t>
        </is>
      </c>
      <c r="B399" t="inlineStr">
        <is>
          <t>gdp_growth</t>
        </is>
      </c>
      <c r="C399" t="inlineStr">
        <is>
          <t>GDP growth</t>
        </is>
      </c>
      <c r="D399" t="inlineStr">
        <is>
          <t>creative</t>
        </is>
      </c>
      <c r="E399" t="inlineStr">
        <is>
          <t>yes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Slovenia</t>
        </is>
      </c>
      <c r="B400" t="inlineStr">
        <is>
          <t>gini_coefficient</t>
        </is>
      </c>
      <c r="C400" t="inlineStr">
        <is>
          <t>Gini coefficient</t>
        </is>
      </c>
      <c r="D400" t="inlineStr">
        <is>
          <t>capability</t>
        </is>
      </c>
      <c r="E400" t="inlineStr">
        <is>
          <t>yes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Slovenia</t>
        </is>
      </c>
      <c r="B401" t="inlineStr">
        <is>
          <t>ppp_private_consumption</t>
        </is>
      </c>
      <c r="C401" t="inlineStr">
        <is>
          <t>PPP private consumption factor</t>
        </is>
      </c>
      <c r="D401" t="inlineStr">
        <is>
          <t>pressure</t>
        </is>
      </c>
      <c r="E401" t="inlineStr">
        <is>
          <t>yes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Slovenia</t>
        </is>
      </c>
      <c r="B402" t="inlineStr">
        <is>
          <t>tax_rate_assumption</t>
        </is>
      </c>
      <c r="C402" t="inlineStr">
        <is>
          <t>Tax rate assumption</t>
        </is>
      </c>
      <c r="D402" t="inlineStr">
        <is>
          <t>pressure</t>
        </is>
      </c>
      <c r="E402" t="inlineStr">
        <is>
          <t>yes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Slovenia</t>
        </is>
      </c>
      <c r="B403" t="inlineStr">
        <is>
          <t>household_debt_proxy</t>
        </is>
      </c>
      <c r="C403" t="inlineStr">
        <is>
          <t>Household debt proxy</t>
        </is>
      </c>
      <c r="D403" t="inlineStr">
        <is>
          <t>pressure</t>
        </is>
      </c>
      <c r="E403" t="inlineStr">
        <is>
          <t>yes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Croatia</t>
        </is>
      </c>
      <c r="B404" t="inlineStr">
        <is>
          <t>gdp_per_capita_ppp</t>
        </is>
      </c>
      <c r="C404" t="inlineStr">
        <is>
          <t>GDP per capita (PPP)</t>
        </is>
      </c>
      <c r="D404" t="inlineStr">
        <is>
          <t>creative</t>
        </is>
      </c>
      <c r="E404" t="inlineStr">
        <is>
          <t>yes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Croatia</t>
        </is>
      </c>
      <c r="B405" t="inlineStr">
        <is>
          <t>gdp_growth</t>
        </is>
      </c>
      <c r="C405" t="inlineStr">
        <is>
          <t>GDP growth</t>
        </is>
      </c>
      <c r="D405" t="inlineStr">
        <is>
          <t>creative</t>
        </is>
      </c>
      <c r="E405" t="inlineStr">
        <is>
          <t>yes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Croatia</t>
        </is>
      </c>
      <c r="B406" t="inlineStr">
        <is>
          <t>gini_coefficient</t>
        </is>
      </c>
      <c r="C406" t="inlineStr">
        <is>
          <t>Gini coefficient</t>
        </is>
      </c>
      <c r="D406" t="inlineStr">
        <is>
          <t>capability</t>
        </is>
      </c>
      <c r="E406" t="inlineStr">
        <is>
          <t>yes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Croatia</t>
        </is>
      </c>
      <c r="B407" t="inlineStr">
        <is>
          <t>ppp_private_consumption</t>
        </is>
      </c>
      <c r="C407" t="inlineStr">
        <is>
          <t>PPP private consumption factor</t>
        </is>
      </c>
      <c r="D407" t="inlineStr">
        <is>
          <t>pressure</t>
        </is>
      </c>
      <c r="E407" t="inlineStr">
        <is>
          <t>yes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Croatia</t>
        </is>
      </c>
      <c r="B408" t="inlineStr">
        <is>
          <t>tax_rate_assumption</t>
        </is>
      </c>
      <c r="C408" t="inlineStr">
        <is>
          <t>Tax rate assumption</t>
        </is>
      </c>
      <c r="D408" t="inlineStr">
        <is>
          <t>pressure</t>
        </is>
      </c>
      <c r="E408" t="inlineStr">
        <is>
          <t>yes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Croatia</t>
        </is>
      </c>
      <c r="B409" t="inlineStr">
        <is>
          <t>household_debt_proxy</t>
        </is>
      </c>
      <c r="C409" t="inlineStr">
        <is>
          <t>Household debt proxy</t>
        </is>
      </c>
      <c r="D409" t="inlineStr">
        <is>
          <t>pressure</t>
        </is>
      </c>
      <c r="E409" t="inlineStr">
        <is>
          <t>yes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Lithuania</t>
        </is>
      </c>
      <c r="B410" t="inlineStr">
        <is>
          <t>gdp_per_capita_ppp</t>
        </is>
      </c>
      <c r="C410" t="inlineStr">
        <is>
          <t>GDP per capita (PPP)</t>
        </is>
      </c>
      <c r="D410" t="inlineStr">
        <is>
          <t>creative</t>
        </is>
      </c>
      <c r="E410" t="inlineStr">
        <is>
          <t>yes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Lithuania</t>
        </is>
      </c>
      <c r="B411" t="inlineStr">
        <is>
          <t>gdp_growth</t>
        </is>
      </c>
      <c r="C411" t="inlineStr">
        <is>
          <t>GDP growth</t>
        </is>
      </c>
      <c r="D411" t="inlineStr">
        <is>
          <t>creative</t>
        </is>
      </c>
      <c r="E411" t="inlineStr">
        <is>
          <t>yes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Lithuania</t>
        </is>
      </c>
      <c r="B412" t="inlineStr">
        <is>
          <t>gini_coefficient</t>
        </is>
      </c>
      <c r="C412" t="inlineStr">
        <is>
          <t>Gini coefficient</t>
        </is>
      </c>
      <c r="D412" t="inlineStr">
        <is>
          <t>capability</t>
        </is>
      </c>
      <c r="E412" t="inlineStr">
        <is>
          <t>yes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Lithuania</t>
        </is>
      </c>
      <c r="B413" t="inlineStr">
        <is>
          <t>ppp_private_consumption</t>
        </is>
      </c>
      <c r="C413" t="inlineStr">
        <is>
          <t>PPP private consumption factor</t>
        </is>
      </c>
      <c r="D413" t="inlineStr">
        <is>
          <t>pressure</t>
        </is>
      </c>
      <c r="E413" t="inlineStr">
        <is>
          <t>yes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Lithuania</t>
        </is>
      </c>
      <c r="B414" t="inlineStr">
        <is>
          <t>tax_rate_assumption</t>
        </is>
      </c>
      <c r="C414" t="inlineStr">
        <is>
          <t>Tax rate assumption</t>
        </is>
      </c>
      <c r="D414" t="inlineStr">
        <is>
          <t>pressure</t>
        </is>
      </c>
      <c r="E414" t="inlineStr">
        <is>
          <t>yes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Lithuania</t>
        </is>
      </c>
      <c r="B415" t="inlineStr">
        <is>
          <t>household_debt_proxy</t>
        </is>
      </c>
      <c r="C415" t="inlineStr">
        <is>
          <t>Household debt proxy</t>
        </is>
      </c>
      <c r="D415" t="inlineStr">
        <is>
          <t>pressure</t>
        </is>
      </c>
      <c r="E415" t="inlineStr">
        <is>
          <t>yes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Latvia</t>
        </is>
      </c>
      <c r="B416" t="inlineStr">
        <is>
          <t>gdp_per_capita_ppp</t>
        </is>
      </c>
      <c r="C416" t="inlineStr">
        <is>
          <t>GDP per capita (PPP)</t>
        </is>
      </c>
      <c r="D416" t="inlineStr">
        <is>
          <t>creative</t>
        </is>
      </c>
      <c r="E416" t="inlineStr">
        <is>
          <t>yes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Latvia</t>
        </is>
      </c>
      <c r="B417" t="inlineStr">
        <is>
          <t>gdp_growth</t>
        </is>
      </c>
      <c r="C417" t="inlineStr">
        <is>
          <t>GDP growth</t>
        </is>
      </c>
      <c r="D417" t="inlineStr">
        <is>
          <t>creative</t>
        </is>
      </c>
      <c r="E417" t="inlineStr">
        <is>
          <t>yes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Latvia</t>
        </is>
      </c>
      <c r="B418" t="inlineStr">
        <is>
          <t>gini_coefficient</t>
        </is>
      </c>
      <c r="C418" t="inlineStr">
        <is>
          <t>Gini coefficient</t>
        </is>
      </c>
      <c r="D418" t="inlineStr">
        <is>
          <t>capability</t>
        </is>
      </c>
      <c r="E418" t="inlineStr">
        <is>
          <t>yes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Latvia</t>
        </is>
      </c>
      <c r="B419" t="inlineStr">
        <is>
          <t>ppp_private_consumption</t>
        </is>
      </c>
      <c r="C419" t="inlineStr">
        <is>
          <t>PPP private consumption factor</t>
        </is>
      </c>
      <c r="D419" t="inlineStr">
        <is>
          <t>pressure</t>
        </is>
      </c>
      <c r="E419" t="inlineStr">
        <is>
          <t>yes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Latvia</t>
        </is>
      </c>
      <c r="B420" t="inlineStr">
        <is>
          <t>tax_rate_assumption</t>
        </is>
      </c>
      <c r="C420" t="inlineStr">
        <is>
          <t>Tax rate assumption</t>
        </is>
      </c>
      <c r="D420" t="inlineStr">
        <is>
          <t>pressure</t>
        </is>
      </c>
      <c r="E420" t="inlineStr">
        <is>
          <t>yes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Latvia</t>
        </is>
      </c>
      <c r="B421" t="inlineStr">
        <is>
          <t>household_debt_proxy</t>
        </is>
      </c>
      <c r="C421" t="inlineStr">
        <is>
          <t>Household debt proxy</t>
        </is>
      </c>
      <c r="D421" t="inlineStr">
        <is>
          <t>pressure</t>
        </is>
      </c>
      <c r="E421" t="inlineStr">
        <is>
          <t>yes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Georgia</t>
        </is>
      </c>
      <c r="B422" t="inlineStr">
        <is>
          <t>gdp_per_capita_ppp</t>
        </is>
      </c>
      <c r="C422" t="inlineStr">
        <is>
          <t>GDP per capita (PPP)</t>
        </is>
      </c>
      <c r="D422" t="inlineStr">
        <is>
          <t>creative</t>
        </is>
      </c>
      <c r="E422" t="inlineStr">
        <is>
          <t>yes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Georgia</t>
        </is>
      </c>
      <c r="B423" t="inlineStr">
        <is>
          <t>gdp_growth</t>
        </is>
      </c>
      <c r="C423" t="inlineStr">
        <is>
          <t>GDP growth</t>
        </is>
      </c>
      <c r="D423" t="inlineStr">
        <is>
          <t>creative</t>
        </is>
      </c>
      <c r="E423" t="inlineStr">
        <is>
          <t>yes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Georgia</t>
        </is>
      </c>
      <c r="B424" t="inlineStr">
        <is>
          <t>gini_coefficient</t>
        </is>
      </c>
      <c r="C424" t="inlineStr">
        <is>
          <t>Gini coefficient</t>
        </is>
      </c>
      <c r="D424" t="inlineStr">
        <is>
          <t>capability</t>
        </is>
      </c>
      <c r="E424" t="inlineStr">
        <is>
          <t>yes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Georgia</t>
        </is>
      </c>
      <c r="B425" t="inlineStr">
        <is>
          <t>ppp_private_consumption</t>
        </is>
      </c>
      <c r="C425" t="inlineStr">
        <is>
          <t>PPP private consumption factor</t>
        </is>
      </c>
      <c r="D425" t="inlineStr">
        <is>
          <t>pressure</t>
        </is>
      </c>
      <c r="E425" t="inlineStr">
        <is>
          <t>yes</t>
        </is>
      </c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Georgia</t>
        </is>
      </c>
      <c r="B426" t="inlineStr">
        <is>
          <t>tax_rate_assumption</t>
        </is>
      </c>
      <c r="C426" t="inlineStr">
        <is>
          <t>Tax rate assumption</t>
        </is>
      </c>
      <c r="D426" t="inlineStr">
        <is>
          <t>pressure</t>
        </is>
      </c>
      <c r="E426" t="inlineStr">
        <is>
          <t>yes</t>
        </is>
      </c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Georgia</t>
        </is>
      </c>
      <c r="B427" t="inlineStr">
        <is>
          <t>household_debt_proxy</t>
        </is>
      </c>
      <c r="C427" t="inlineStr">
        <is>
          <t>Household debt proxy</t>
        </is>
      </c>
      <c r="D427" t="inlineStr">
        <is>
          <t>pressure</t>
        </is>
      </c>
      <c r="E427" t="inlineStr">
        <is>
          <t>yes</t>
        </is>
      </c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Spain</t>
        </is>
      </c>
      <c r="B428" t="inlineStr">
        <is>
          <t>gdp_per_capita_ppp</t>
        </is>
      </c>
      <c r="C428" t="inlineStr">
        <is>
          <t>GDP per capita (PPP)</t>
        </is>
      </c>
      <c r="D428" t="inlineStr">
        <is>
          <t>creative</t>
        </is>
      </c>
      <c r="E428" t="inlineStr">
        <is>
          <t>yes</t>
        </is>
      </c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Spain</t>
        </is>
      </c>
      <c r="B429" t="inlineStr">
        <is>
          <t>gdp_growth</t>
        </is>
      </c>
      <c r="C429" t="inlineStr">
        <is>
          <t>GDP growth</t>
        </is>
      </c>
      <c r="D429" t="inlineStr">
        <is>
          <t>creative</t>
        </is>
      </c>
      <c r="E429" t="inlineStr">
        <is>
          <t>yes</t>
        </is>
      </c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Spain</t>
        </is>
      </c>
      <c r="B430" t="inlineStr">
        <is>
          <t>gini_coefficient</t>
        </is>
      </c>
      <c r="C430" t="inlineStr">
        <is>
          <t>Gini coefficient</t>
        </is>
      </c>
      <c r="D430" t="inlineStr">
        <is>
          <t>capability</t>
        </is>
      </c>
      <c r="E430" t="inlineStr">
        <is>
          <t>yes</t>
        </is>
      </c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Spain</t>
        </is>
      </c>
      <c r="B431" t="inlineStr">
        <is>
          <t>ppp_private_consumption</t>
        </is>
      </c>
      <c r="C431" t="inlineStr">
        <is>
          <t>PPP private consumption factor</t>
        </is>
      </c>
      <c r="D431" t="inlineStr">
        <is>
          <t>pressure</t>
        </is>
      </c>
      <c r="E431" t="inlineStr">
        <is>
          <t>yes</t>
        </is>
      </c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Spain</t>
        </is>
      </c>
      <c r="B432" t="inlineStr">
        <is>
          <t>tax_rate_assumption</t>
        </is>
      </c>
      <c r="C432" t="inlineStr">
        <is>
          <t>Tax rate assumption</t>
        </is>
      </c>
      <c r="D432" t="inlineStr">
        <is>
          <t>pressure</t>
        </is>
      </c>
      <c r="E432" t="inlineStr">
        <is>
          <t>yes</t>
        </is>
      </c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Spain</t>
        </is>
      </c>
      <c r="B433" t="inlineStr">
        <is>
          <t>household_debt_proxy</t>
        </is>
      </c>
      <c r="C433" t="inlineStr">
        <is>
          <t>Household debt proxy</t>
        </is>
      </c>
      <c r="D433" t="inlineStr">
        <is>
          <t>pressure</t>
        </is>
      </c>
      <c r="E433" t="inlineStr">
        <is>
          <t>yes</t>
        </is>
      </c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Germany</t>
        </is>
      </c>
      <c r="B434" t="inlineStr">
        <is>
          <t>gdp_per_capita_ppp</t>
        </is>
      </c>
      <c r="C434" t="inlineStr">
        <is>
          <t>GDP per capita (PPP)</t>
        </is>
      </c>
      <c r="D434" t="inlineStr">
        <is>
          <t>creative</t>
        </is>
      </c>
      <c r="E434" t="inlineStr">
        <is>
          <t>yes</t>
        </is>
      </c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Germany</t>
        </is>
      </c>
      <c r="B435" t="inlineStr">
        <is>
          <t>gdp_growth</t>
        </is>
      </c>
      <c r="C435" t="inlineStr">
        <is>
          <t>GDP growth</t>
        </is>
      </c>
      <c r="D435" t="inlineStr">
        <is>
          <t>creative</t>
        </is>
      </c>
      <c r="E435" t="inlineStr">
        <is>
          <t>yes</t>
        </is>
      </c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Germany</t>
        </is>
      </c>
      <c r="B436" t="inlineStr">
        <is>
          <t>gini_coefficient</t>
        </is>
      </c>
      <c r="C436" t="inlineStr">
        <is>
          <t>Gini coefficient</t>
        </is>
      </c>
      <c r="D436" t="inlineStr">
        <is>
          <t>capability</t>
        </is>
      </c>
      <c r="E436" t="inlineStr">
        <is>
          <t>yes</t>
        </is>
      </c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Germany</t>
        </is>
      </c>
      <c r="B437" t="inlineStr">
        <is>
          <t>ppp_private_consumption</t>
        </is>
      </c>
      <c r="C437" t="inlineStr">
        <is>
          <t>PPP private consumption factor</t>
        </is>
      </c>
      <c r="D437" t="inlineStr">
        <is>
          <t>pressure</t>
        </is>
      </c>
      <c r="E437" t="inlineStr">
        <is>
          <t>yes</t>
        </is>
      </c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Germany</t>
        </is>
      </c>
      <c r="B438" t="inlineStr">
        <is>
          <t>tax_rate_assumption</t>
        </is>
      </c>
      <c r="C438" t="inlineStr">
        <is>
          <t>Tax rate assumption</t>
        </is>
      </c>
      <c r="D438" t="inlineStr">
        <is>
          <t>pressure</t>
        </is>
      </c>
      <c r="E438" t="inlineStr">
        <is>
          <t>yes</t>
        </is>
      </c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Germany</t>
        </is>
      </c>
      <c r="B439" t="inlineStr">
        <is>
          <t>household_debt_proxy</t>
        </is>
      </c>
      <c r="C439" t="inlineStr">
        <is>
          <t>Household debt proxy</t>
        </is>
      </c>
      <c r="D439" t="inlineStr">
        <is>
          <t>pressure</t>
        </is>
      </c>
      <c r="E439" t="inlineStr">
        <is>
          <t>yes</t>
        </is>
      </c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Belgium</t>
        </is>
      </c>
      <c r="B440" t="inlineStr">
        <is>
          <t>gdp_per_capita_ppp</t>
        </is>
      </c>
      <c r="C440" t="inlineStr">
        <is>
          <t>GDP per capita (PPP)</t>
        </is>
      </c>
      <c r="D440" t="inlineStr">
        <is>
          <t>creative</t>
        </is>
      </c>
      <c r="E440" t="inlineStr">
        <is>
          <t>yes</t>
        </is>
      </c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Belgium</t>
        </is>
      </c>
      <c r="B441" t="inlineStr">
        <is>
          <t>gdp_growth</t>
        </is>
      </c>
      <c r="C441" t="inlineStr">
        <is>
          <t>GDP growth</t>
        </is>
      </c>
      <c r="D441" t="inlineStr">
        <is>
          <t>creative</t>
        </is>
      </c>
      <c r="E441" t="inlineStr">
        <is>
          <t>yes</t>
        </is>
      </c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Belgium</t>
        </is>
      </c>
      <c r="B442" t="inlineStr">
        <is>
          <t>gini_coefficient</t>
        </is>
      </c>
      <c r="C442" t="inlineStr">
        <is>
          <t>Gini coefficient</t>
        </is>
      </c>
      <c r="D442" t="inlineStr">
        <is>
          <t>capability</t>
        </is>
      </c>
      <c r="E442" t="inlineStr">
        <is>
          <t>yes</t>
        </is>
      </c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Belgium</t>
        </is>
      </c>
      <c r="B443" t="inlineStr">
        <is>
          <t>ppp_private_consumption</t>
        </is>
      </c>
      <c r="C443" t="inlineStr">
        <is>
          <t>PPP private consumption factor</t>
        </is>
      </c>
      <c r="D443" t="inlineStr">
        <is>
          <t>pressure</t>
        </is>
      </c>
      <c r="E443" t="inlineStr">
        <is>
          <t>yes</t>
        </is>
      </c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Belgium</t>
        </is>
      </c>
      <c r="B444" t="inlineStr">
        <is>
          <t>tax_rate_assumption</t>
        </is>
      </c>
      <c r="C444" t="inlineStr">
        <is>
          <t>Tax rate assumption</t>
        </is>
      </c>
      <c r="D444" t="inlineStr">
        <is>
          <t>pressure</t>
        </is>
      </c>
      <c r="E444" t="inlineStr">
        <is>
          <t>yes</t>
        </is>
      </c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Belgium</t>
        </is>
      </c>
      <c r="B445" t="inlineStr">
        <is>
          <t>household_debt_proxy</t>
        </is>
      </c>
      <c r="C445" t="inlineStr">
        <is>
          <t>Household debt proxy</t>
        </is>
      </c>
      <c r="D445" t="inlineStr">
        <is>
          <t>pressure</t>
        </is>
      </c>
      <c r="E445" t="inlineStr">
        <is>
          <t>yes</t>
        </is>
      </c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Ireland</t>
        </is>
      </c>
      <c r="B446" t="inlineStr">
        <is>
          <t>gdp_per_capita_ppp</t>
        </is>
      </c>
      <c r="C446" t="inlineStr">
        <is>
          <t>GDP per capita (PPP)</t>
        </is>
      </c>
      <c r="D446" t="inlineStr">
        <is>
          <t>creative</t>
        </is>
      </c>
      <c r="E446" t="inlineStr">
        <is>
          <t>yes</t>
        </is>
      </c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Ireland</t>
        </is>
      </c>
      <c r="B447" t="inlineStr">
        <is>
          <t>gdp_growth</t>
        </is>
      </c>
      <c r="C447" t="inlineStr">
        <is>
          <t>GDP growth</t>
        </is>
      </c>
      <c r="D447" t="inlineStr">
        <is>
          <t>creative</t>
        </is>
      </c>
      <c r="E447" t="inlineStr">
        <is>
          <t>yes</t>
        </is>
      </c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Ireland</t>
        </is>
      </c>
      <c r="B448" t="inlineStr">
        <is>
          <t>gini_coefficient</t>
        </is>
      </c>
      <c r="C448" t="inlineStr">
        <is>
          <t>Gini coefficient</t>
        </is>
      </c>
      <c r="D448" t="inlineStr">
        <is>
          <t>capability</t>
        </is>
      </c>
      <c r="E448" t="inlineStr">
        <is>
          <t>yes</t>
        </is>
      </c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Ireland</t>
        </is>
      </c>
      <c r="B449" t="inlineStr">
        <is>
          <t>ppp_private_consumption</t>
        </is>
      </c>
      <c r="C449" t="inlineStr">
        <is>
          <t>PPP private consumption factor</t>
        </is>
      </c>
      <c r="D449" t="inlineStr">
        <is>
          <t>pressure</t>
        </is>
      </c>
      <c r="E449" t="inlineStr">
        <is>
          <t>yes</t>
        </is>
      </c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Ireland</t>
        </is>
      </c>
      <c r="B450" t="inlineStr">
        <is>
          <t>tax_rate_assumption</t>
        </is>
      </c>
      <c r="C450" t="inlineStr">
        <is>
          <t>Tax rate assumption</t>
        </is>
      </c>
      <c r="D450" t="inlineStr">
        <is>
          <t>pressure</t>
        </is>
      </c>
      <c r="E450" t="inlineStr">
        <is>
          <t>yes</t>
        </is>
      </c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Ireland</t>
        </is>
      </c>
      <c r="B451" t="inlineStr">
        <is>
          <t>household_debt_proxy</t>
        </is>
      </c>
      <c r="C451" t="inlineStr">
        <is>
          <t>Household debt proxy</t>
        </is>
      </c>
      <c r="D451" t="inlineStr">
        <is>
          <t>pressure</t>
        </is>
      </c>
      <c r="E451" t="inlineStr">
        <is>
          <t>yes</t>
        </is>
      </c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Sweden</t>
        </is>
      </c>
      <c r="B452" t="inlineStr">
        <is>
          <t>gdp_per_capita_ppp</t>
        </is>
      </c>
      <c r="C452" t="inlineStr">
        <is>
          <t>GDP per capita (PPP)</t>
        </is>
      </c>
      <c r="D452" t="inlineStr">
        <is>
          <t>creative</t>
        </is>
      </c>
      <c r="E452" t="inlineStr">
        <is>
          <t>yes</t>
        </is>
      </c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Sweden</t>
        </is>
      </c>
      <c r="B453" t="inlineStr">
        <is>
          <t>gdp_growth</t>
        </is>
      </c>
      <c r="C453" t="inlineStr">
        <is>
          <t>GDP growth</t>
        </is>
      </c>
      <c r="D453" t="inlineStr">
        <is>
          <t>creative</t>
        </is>
      </c>
      <c r="E453" t="inlineStr">
        <is>
          <t>yes</t>
        </is>
      </c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Sweden</t>
        </is>
      </c>
      <c r="B454" t="inlineStr">
        <is>
          <t>gini_coefficient</t>
        </is>
      </c>
      <c r="C454" t="inlineStr">
        <is>
          <t>Gini coefficient</t>
        </is>
      </c>
      <c r="D454" t="inlineStr">
        <is>
          <t>capability</t>
        </is>
      </c>
      <c r="E454" t="inlineStr">
        <is>
          <t>yes</t>
        </is>
      </c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Sweden</t>
        </is>
      </c>
      <c r="B455" t="inlineStr">
        <is>
          <t>ppp_private_consumption</t>
        </is>
      </c>
      <c r="C455" t="inlineStr">
        <is>
          <t>PPP private consumption factor</t>
        </is>
      </c>
      <c r="D455" t="inlineStr">
        <is>
          <t>pressure</t>
        </is>
      </c>
      <c r="E455" t="inlineStr">
        <is>
          <t>yes</t>
        </is>
      </c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Sweden</t>
        </is>
      </c>
      <c r="B456" t="inlineStr">
        <is>
          <t>tax_rate_assumption</t>
        </is>
      </c>
      <c r="C456" t="inlineStr">
        <is>
          <t>Tax rate assumption</t>
        </is>
      </c>
      <c r="D456" t="inlineStr">
        <is>
          <t>pressure</t>
        </is>
      </c>
      <c r="E456" t="inlineStr">
        <is>
          <t>yes</t>
        </is>
      </c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Sweden</t>
        </is>
      </c>
      <c r="B457" t="inlineStr">
        <is>
          <t>household_debt_proxy</t>
        </is>
      </c>
      <c r="C457" t="inlineStr">
        <is>
          <t>Household debt proxy</t>
        </is>
      </c>
      <c r="D457" t="inlineStr">
        <is>
          <t>pressure</t>
        </is>
      </c>
      <c r="E457" t="inlineStr">
        <is>
          <t>yes</t>
        </is>
      </c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Norway</t>
        </is>
      </c>
      <c r="B458" t="inlineStr">
        <is>
          <t>gdp_per_capita_ppp</t>
        </is>
      </c>
      <c r="C458" t="inlineStr">
        <is>
          <t>GDP per capita (PPP)</t>
        </is>
      </c>
      <c r="D458" t="inlineStr">
        <is>
          <t>creative</t>
        </is>
      </c>
      <c r="E458" t="inlineStr">
        <is>
          <t>yes</t>
        </is>
      </c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Norway</t>
        </is>
      </c>
      <c r="B459" t="inlineStr">
        <is>
          <t>gdp_growth</t>
        </is>
      </c>
      <c r="C459" t="inlineStr">
        <is>
          <t>GDP growth</t>
        </is>
      </c>
      <c r="D459" t="inlineStr">
        <is>
          <t>creative</t>
        </is>
      </c>
      <c r="E459" t="inlineStr">
        <is>
          <t>yes</t>
        </is>
      </c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Norway</t>
        </is>
      </c>
      <c r="B460" t="inlineStr">
        <is>
          <t>gini_coefficient</t>
        </is>
      </c>
      <c r="C460" t="inlineStr">
        <is>
          <t>Gini coefficient</t>
        </is>
      </c>
      <c r="D460" t="inlineStr">
        <is>
          <t>capability</t>
        </is>
      </c>
      <c r="E460" t="inlineStr">
        <is>
          <t>yes</t>
        </is>
      </c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Norway</t>
        </is>
      </c>
      <c r="B461" t="inlineStr">
        <is>
          <t>ppp_private_consumption</t>
        </is>
      </c>
      <c r="C461" t="inlineStr">
        <is>
          <t>PPP private consumption factor</t>
        </is>
      </c>
      <c r="D461" t="inlineStr">
        <is>
          <t>pressure</t>
        </is>
      </c>
      <c r="E461" t="inlineStr">
        <is>
          <t>yes</t>
        </is>
      </c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Norway</t>
        </is>
      </c>
      <c r="B462" t="inlineStr">
        <is>
          <t>tax_rate_assumption</t>
        </is>
      </c>
      <c r="C462" t="inlineStr">
        <is>
          <t>Tax rate assumption</t>
        </is>
      </c>
      <c r="D462" t="inlineStr">
        <is>
          <t>pressure</t>
        </is>
      </c>
      <c r="E462" t="inlineStr">
        <is>
          <t>yes</t>
        </is>
      </c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Norway</t>
        </is>
      </c>
      <c r="B463" t="inlineStr">
        <is>
          <t>household_debt_proxy</t>
        </is>
      </c>
      <c r="C463" t="inlineStr">
        <is>
          <t>Household debt proxy</t>
        </is>
      </c>
      <c r="D463" t="inlineStr">
        <is>
          <t>pressure</t>
        </is>
      </c>
      <c r="E463" t="inlineStr">
        <is>
          <t>yes</t>
        </is>
      </c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Dominican Republic</t>
        </is>
      </c>
      <c r="B464" t="inlineStr">
        <is>
          <t>gdp_per_capita_ppp</t>
        </is>
      </c>
      <c r="C464" t="inlineStr">
        <is>
          <t>GDP per capita (PPP)</t>
        </is>
      </c>
      <c r="D464" t="inlineStr">
        <is>
          <t>creative</t>
        </is>
      </c>
      <c r="E464" t="inlineStr">
        <is>
          <t>yes</t>
        </is>
      </c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Dominican Republic</t>
        </is>
      </c>
      <c r="B465" t="inlineStr">
        <is>
          <t>gdp_growth</t>
        </is>
      </c>
      <c r="C465" t="inlineStr">
        <is>
          <t>GDP growth</t>
        </is>
      </c>
      <c r="D465" t="inlineStr">
        <is>
          <t>creative</t>
        </is>
      </c>
      <c r="E465" t="inlineStr">
        <is>
          <t>yes</t>
        </is>
      </c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Dominican Republic</t>
        </is>
      </c>
      <c r="B466" t="inlineStr">
        <is>
          <t>gini_coefficient</t>
        </is>
      </c>
      <c r="C466" t="inlineStr">
        <is>
          <t>Gini coefficient</t>
        </is>
      </c>
      <c r="D466" t="inlineStr">
        <is>
          <t>capability</t>
        </is>
      </c>
      <c r="E466" t="inlineStr">
        <is>
          <t>yes</t>
        </is>
      </c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Dominican Republic</t>
        </is>
      </c>
      <c r="B467" t="inlineStr">
        <is>
          <t>ppp_private_consumption</t>
        </is>
      </c>
      <c r="C467" t="inlineStr">
        <is>
          <t>PPP private consumption factor</t>
        </is>
      </c>
      <c r="D467" t="inlineStr">
        <is>
          <t>pressure</t>
        </is>
      </c>
      <c r="E467" t="inlineStr">
        <is>
          <t>yes</t>
        </is>
      </c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Dominican Republic</t>
        </is>
      </c>
      <c r="B468" t="inlineStr">
        <is>
          <t>tax_rate_assumption</t>
        </is>
      </c>
      <c r="C468" t="inlineStr">
        <is>
          <t>Tax rate assumption</t>
        </is>
      </c>
      <c r="D468" t="inlineStr">
        <is>
          <t>pressure</t>
        </is>
      </c>
      <c r="E468" t="inlineStr">
        <is>
          <t>yes</t>
        </is>
      </c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Dominican Republic</t>
        </is>
      </c>
      <c r="B469" t="inlineStr">
        <is>
          <t>household_debt_proxy</t>
        </is>
      </c>
      <c r="C469" t="inlineStr">
        <is>
          <t>Household debt proxy</t>
        </is>
      </c>
      <c r="D469" t="inlineStr">
        <is>
          <t>pressure</t>
        </is>
      </c>
      <c r="E469" t="inlineStr">
        <is>
          <t>yes</t>
        </is>
      </c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Ecuador</t>
        </is>
      </c>
      <c r="B470" t="inlineStr">
        <is>
          <t>gdp_per_capita_ppp</t>
        </is>
      </c>
      <c r="C470" t="inlineStr">
        <is>
          <t>GDP per capita (PPP)</t>
        </is>
      </c>
      <c r="D470" t="inlineStr">
        <is>
          <t>creative</t>
        </is>
      </c>
      <c r="E470" t="inlineStr">
        <is>
          <t>yes</t>
        </is>
      </c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Ecuador</t>
        </is>
      </c>
      <c r="B471" t="inlineStr">
        <is>
          <t>gdp_growth</t>
        </is>
      </c>
      <c r="C471" t="inlineStr">
        <is>
          <t>GDP growth</t>
        </is>
      </c>
      <c r="D471" t="inlineStr">
        <is>
          <t>creative</t>
        </is>
      </c>
      <c r="E471" t="inlineStr">
        <is>
          <t>yes</t>
        </is>
      </c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Ecuador</t>
        </is>
      </c>
      <c r="B472" t="inlineStr">
        <is>
          <t>gini_coefficient</t>
        </is>
      </c>
      <c r="C472" t="inlineStr">
        <is>
          <t>Gini coefficient</t>
        </is>
      </c>
      <c r="D472" t="inlineStr">
        <is>
          <t>capability</t>
        </is>
      </c>
      <c r="E472" t="inlineStr">
        <is>
          <t>yes</t>
        </is>
      </c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Ecuador</t>
        </is>
      </c>
      <c r="B473" t="inlineStr">
        <is>
          <t>ppp_private_consumption</t>
        </is>
      </c>
      <c r="C473" t="inlineStr">
        <is>
          <t>PPP private consumption factor</t>
        </is>
      </c>
      <c r="D473" t="inlineStr">
        <is>
          <t>pressure</t>
        </is>
      </c>
      <c r="E473" t="inlineStr">
        <is>
          <t>yes</t>
        </is>
      </c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Ecuador</t>
        </is>
      </c>
      <c r="B474" t="inlineStr">
        <is>
          <t>tax_rate_assumption</t>
        </is>
      </c>
      <c r="C474" t="inlineStr">
        <is>
          <t>Tax rate assumption</t>
        </is>
      </c>
      <c r="D474" t="inlineStr">
        <is>
          <t>pressure</t>
        </is>
      </c>
      <c r="E474" t="inlineStr">
        <is>
          <t>yes</t>
        </is>
      </c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Ecuador</t>
        </is>
      </c>
      <c r="B475" t="inlineStr">
        <is>
          <t>household_debt_proxy</t>
        </is>
      </c>
      <c r="C475" t="inlineStr">
        <is>
          <t>Household debt proxy</t>
        </is>
      </c>
      <c r="D475" t="inlineStr">
        <is>
          <t>pressure</t>
        </is>
      </c>
      <c r="E475" t="inlineStr">
        <is>
          <t>yes</t>
        </is>
      </c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Paraguay</t>
        </is>
      </c>
      <c r="B476" t="inlineStr">
        <is>
          <t>gdp_per_capita_ppp</t>
        </is>
      </c>
      <c r="C476" t="inlineStr">
        <is>
          <t>GDP per capita (PPP)</t>
        </is>
      </c>
      <c r="D476" t="inlineStr">
        <is>
          <t>creative</t>
        </is>
      </c>
      <c r="E476" t="inlineStr">
        <is>
          <t>yes</t>
        </is>
      </c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Paraguay</t>
        </is>
      </c>
      <c r="B477" t="inlineStr">
        <is>
          <t>gdp_growth</t>
        </is>
      </c>
      <c r="C477" t="inlineStr">
        <is>
          <t>GDP growth</t>
        </is>
      </c>
      <c r="D477" t="inlineStr">
        <is>
          <t>creative</t>
        </is>
      </c>
      <c r="E477" t="inlineStr">
        <is>
          <t>yes</t>
        </is>
      </c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Paraguay</t>
        </is>
      </c>
      <c r="B478" t="inlineStr">
        <is>
          <t>gini_coefficient</t>
        </is>
      </c>
      <c r="C478" t="inlineStr">
        <is>
          <t>Gini coefficient</t>
        </is>
      </c>
      <c r="D478" t="inlineStr">
        <is>
          <t>capability</t>
        </is>
      </c>
      <c r="E478" t="inlineStr">
        <is>
          <t>yes</t>
        </is>
      </c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Paraguay</t>
        </is>
      </c>
      <c r="B479" t="inlineStr">
        <is>
          <t>ppp_private_consumption</t>
        </is>
      </c>
      <c r="C479" t="inlineStr">
        <is>
          <t>PPP private consumption factor</t>
        </is>
      </c>
      <c r="D479" t="inlineStr">
        <is>
          <t>pressure</t>
        </is>
      </c>
      <c r="E479" t="inlineStr">
        <is>
          <t>yes</t>
        </is>
      </c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Paraguay</t>
        </is>
      </c>
      <c r="B480" t="inlineStr">
        <is>
          <t>tax_rate_assumption</t>
        </is>
      </c>
      <c r="C480" t="inlineStr">
        <is>
          <t>Tax rate assumption</t>
        </is>
      </c>
      <c r="D480" t="inlineStr">
        <is>
          <t>pressure</t>
        </is>
      </c>
      <c r="E480" t="inlineStr">
        <is>
          <t>yes</t>
        </is>
      </c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Paraguay</t>
        </is>
      </c>
      <c r="B481" t="inlineStr">
        <is>
          <t>household_debt_proxy</t>
        </is>
      </c>
      <c r="C481" t="inlineStr">
        <is>
          <t>Household debt proxy</t>
        </is>
      </c>
      <c r="D481" t="inlineStr">
        <is>
          <t>pressure</t>
        </is>
      </c>
      <c r="E481" t="inlineStr">
        <is>
          <t>yes</t>
        </is>
      </c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Egypt</t>
        </is>
      </c>
      <c r="B482" t="inlineStr">
        <is>
          <t>gdp_per_capita_ppp</t>
        </is>
      </c>
      <c r="C482" t="inlineStr">
        <is>
          <t>GDP per capita (PPP)</t>
        </is>
      </c>
      <c r="D482" t="inlineStr">
        <is>
          <t>creative</t>
        </is>
      </c>
      <c r="E482" t="inlineStr">
        <is>
          <t>yes</t>
        </is>
      </c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Egypt</t>
        </is>
      </c>
      <c r="B483" t="inlineStr">
        <is>
          <t>gdp_growth</t>
        </is>
      </c>
      <c r="C483" t="inlineStr">
        <is>
          <t>GDP growth</t>
        </is>
      </c>
      <c r="D483" t="inlineStr">
        <is>
          <t>creative</t>
        </is>
      </c>
      <c r="E483" t="inlineStr">
        <is>
          <t>yes</t>
        </is>
      </c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Egypt</t>
        </is>
      </c>
      <c r="B484" t="inlineStr">
        <is>
          <t>gini_coefficient</t>
        </is>
      </c>
      <c r="C484" t="inlineStr">
        <is>
          <t>Gini coefficient</t>
        </is>
      </c>
      <c r="D484" t="inlineStr">
        <is>
          <t>capability</t>
        </is>
      </c>
      <c r="E484" t="inlineStr">
        <is>
          <t>yes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Egypt</t>
        </is>
      </c>
      <c r="B485" t="inlineStr">
        <is>
          <t>ppp_private_consumption</t>
        </is>
      </c>
      <c r="C485" t="inlineStr">
        <is>
          <t>PPP private consumption factor</t>
        </is>
      </c>
      <c r="D485" t="inlineStr">
        <is>
          <t>pressure</t>
        </is>
      </c>
      <c r="E485" t="inlineStr">
        <is>
          <t>yes</t>
        </is>
      </c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Egypt</t>
        </is>
      </c>
      <c r="B486" t="inlineStr">
        <is>
          <t>tax_rate_assumption</t>
        </is>
      </c>
      <c r="C486" t="inlineStr">
        <is>
          <t>Tax rate assumption</t>
        </is>
      </c>
      <c r="D486" t="inlineStr">
        <is>
          <t>pressure</t>
        </is>
      </c>
      <c r="E486" t="inlineStr">
        <is>
          <t>yes</t>
        </is>
      </c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Egypt</t>
        </is>
      </c>
      <c r="B487" t="inlineStr">
        <is>
          <t>household_debt_proxy</t>
        </is>
      </c>
      <c r="C487" t="inlineStr">
        <is>
          <t>Household debt proxy</t>
        </is>
      </c>
      <c r="D487" t="inlineStr">
        <is>
          <t>pressure</t>
        </is>
      </c>
      <c r="E487" t="inlineStr">
        <is>
          <t>yes</t>
        </is>
      </c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Tanzania</t>
        </is>
      </c>
      <c r="B488" t="inlineStr">
        <is>
          <t>gdp_per_capita_ppp</t>
        </is>
      </c>
      <c r="C488" t="inlineStr">
        <is>
          <t>GDP per capita (PPP)</t>
        </is>
      </c>
      <c r="D488" t="inlineStr">
        <is>
          <t>creative</t>
        </is>
      </c>
      <c r="E488" t="inlineStr">
        <is>
          <t>yes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Tanzania</t>
        </is>
      </c>
      <c r="B489" t="inlineStr">
        <is>
          <t>gdp_growth</t>
        </is>
      </c>
      <c r="C489" t="inlineStr">
        <is>
          <t>GDP growth</t>
        </is>
      </c>
      <c r="D489" t="inlineStr">
        <is>
          <t>creative</t>
        </is>
      </c>
      <c r="E489" t="inlineStr">
        <is>
          <t>yes</t>
        </is>
      </c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Tanzania</t>
        </is>
      </c>
      <c r="B490" t="inlineStr">
        <is>
          <t>gini_coefficient</t>
        </is>
      </c>
      <c r="C490" t="inlineStr">
        <is>
          <t>Gini coefficient</t>
        </is>
      </c>
      <c r="D490" t="inlineStr">
        <is>
          <t>capability</t>
        </is>
      </c>
      <c r="E490" t="inlineStr">
        <is>
          <t>yes</t>
        </is>
      </c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Tanzania</t>
        </is>
      </c>
      <c r="B491" t="inlineStr">
        <is>
          <t>ppp_private_consumption</t>
        </is>
      </c>
      <c r="C491" t="inlineStr">
        <is>
          <t>PPP private consumption factor</t>
        </is>
      </c>
      <c r="D491" t="inlineStr">
        <is>
          <t>pressure</t>
        </is>
      </c>
      <c r="E491" t="inlineStr">
        <is>
          <t>yes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Tanzania</t>
        </is>
      </c>
      <c r="B492" t="inlineStr">
        <is>
          <t>tax_rate_assumption</t>
        </is>
      </c>
      <c r="C492" t="inlineStr">
        <is>
          <t>Tax rate assumption</t>
        </is>
      </c>
      <c r="D492" t="inlineStr">
        <is>
          <t>pressure</t>
        </is>
      </c>
      <c r="E492" t="inlineStr">
        <is>
          <t>yes</t>
        </is>
      </c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Tanzania</t>
        </is>
      </c>
      <c r="B493" t="inlineStr">
        <is>
          <t>household_debt_proxy</t>
        </is>
      </c>
      <c r="C493" t="inlineStr">
        <is>
          <t>Household debt proxy</t>
        </is>
      </c>
      <c r="D493" t="inlineStr">
        <is>
          <t>pressure</t>
        </is>
      </c>
      <c r="E493" t="inlineStr">
        <is>
          <t>yes</t>
        </is>
      </c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Uganda</t>
        </is>
      </c>
      <c r="B494" t="inlineStr">
        <is>
          <t>gdp_per_capita_ppp</t>
        </is>
      </c>
      <c r="C494" t="inlineStr">
        <is>
          <t>GDP per capita (PPP)</t>
        </is>
      </c>
      <c r="D494" t="inlineStr">
        <is>
          <t>creative</t>
        </is>
      </c>
      <c r="E494" t="inlineStr">
        <is>
          <t>yes</t>
        </is>
      </c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Uganda</t>
        </is>
      </c>
      <c r="B495" t="inlineStr">
        <is>
          <t>gdp_growth</t>
        </is>
      </c>
      <c r="C495" t="inlineStr">
        <is>
          <t>GDP growth</t>
        </is>
      </c>
      <c r="D495" t="inlineStr">
        <is>
          <t>creative</t>
        </is>
      </c>
      <c r="E495" t="inlineStr">
        <is>
          <t>yes</t>
        </is>
      </c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Uganda</t>
        </is>
      </c>
      <c r="B496" t="inlineStr">
        <is>
          <t>gini_coefficient</t>
        </is>
      </c>
      <c r="C496" t="inlineStr">
        <is>
          <t>Gini coefficient</t>
        </is>
      </c>
      <c r="D496" t="inlineStr">
        <is>
          <t>capability</t>
        </is>
      </c>
      <c r="E496" t="inlineStr">
        <is>
          <t>yes</t>
        </is>
      </c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Uganda</t>
        </is>
      </c>
      <c r="B497" t="inlineStr">
        <is>
          <t>ppp_private_consumption</t>
        </is>
      </c>
      <c r="C497" t="inlineStr">
        <is>
          <t>PPP private consumption factor</t>
        </is>
      </c>
      <c r="D497" t="inlineStr">
        <is>
          <t>pressure</t>
        </is>
      </c>
      <c r="E497" t="inlineStr">
        <is>
          <t>yes</t>
        </is>
      </c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Uganda</t>
        </is>
      </c>
      <c r="B498" t="inlineStr">
        <is>
          <t>tax_rate_assumption</t>
        </is>
      </c>
      <c r="C498" t="inlineStr">
        <is>
          <t>Tax rate assumption</t>
        </is>
      </c>
      <c r="D498" t="inlineStr">
        <is>
          <t>pressure</t>
        </is>
      </c>
      <c r="E498" t="inlineStr">
        <is>
          <t>yes</t>
        </is>
      </c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Uganda</t>
        </is>
      </c>
      <c r="B499" t="inlineStr">
        <is>
          <t>household_debt_proxy</t>
        </is>
      </c>
      <c r="C499" t="inlineStr">
        <is>
          <t>Household debt proxy</t>
        </is>
      </c>
      <c r="D499" t="inlineStr">
        <is>
          <t>pressure</t>
        </is>
      </c>
      <c r="E499" t="inlineStr">
        <is>
          <t>yes</t>
        </is>
      </c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Papua New Guinea</t>
        </is>
      </c>
      <c r="B500" t="inlineStr">
        <is>
          <t>gdp_per_capita_ppp</t>
        </is>
      </c>
      <c r="C500" t="inlineStr">
        <is>
          <t>GDP per capita (PPP)</t>
        </is>
      </c>
      <c r="D500" t="inlineStr">
        <is>
          <t>creative</t>
        </is>
      </c>
      <c r="E500" t="inlineStr">
        <is>
          <t>yes</t>
        </is>
      </c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Papua New Guinea</t>
        </is>
      </c>
      <c r="B501" t="inlineStr">
        <is>
          <t>gdp_growth</t>
        </is>
      </c>
      <c r="C501" t="inlineStr">
        <is>
          <t>GDP growth</t>
        </is>
      </c>
      <c r="D501" t="inlineStr">
        <is>
          <t>creative</t>
        </is>
      </c>
      <c r="E501" t="inlineStr">
        <is>
          <t>yes</t>
        </is>
      </c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Papua New Guinea</t>
        </is>
      </c>
      <c r="B502" t="inlineStr">
        <is>
          <t>gini_coefficient</t>
        </is>
      </c>
      <c r="C502" t="inlineStr">
        <is>
          <t>Gini coefficient</t>
        </is>
      </c>
      <c r="D502" t="inlineStr">
        <is>
          <t>capability</t>
        </is>
      </c>
      <c r="E502" t="inlineStr">
        <is>
          <t>yes</t>
        </is>
      </c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Papua New Guinea</t>
        </is>
      </c>
      <c r="B503" t="inlineStr">
        <is>
          <t>ppp_private_consumption</t>
        </is>
      </c>
      <c r="C503" t="inlineStr">
        <is>
          <t>PPP private consumption factor</t>
        </is>
      </c>
      <c r="D503" t="inlineStr">
        <is>
          <t>pressure</t>
        </is>
      </c>
      <c r="E503" t="inlineStr">
        <is>
          <t>yes</t>
        </is>
      </c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Papua New Guinea</t>
        </is>
      </c>
      <c r="B504" t="inlineStr">
        <is>
          <t>tax_rate_assumption</t>
        </is>
      </c>
      <c r="C504" t="inlineStr">
        <is>
          <t>Tax rate assumption</t>
        </is>
      </c>
      <c r="D504" t="inlineStr">
        <is>
          <t>pressure</t>
        </is>
      </c>
      <c r="E504" t="inlineStr">
        <is>
          <t>yes</t>
        </is>
      </c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Papua New Guinea</t>
        </is>
      </c>
      <c r="B505" t="inlineStr">
        <is>
          <t>household_debt_proxy</t>
        </is>
      </c>
      <c r="C505" t="inlineStr">
        <is>
          <t>Household debt proxy</t>
        </is>
      </c>
      <c r="D505" t="inlineStr">
        <is>
          <t>pressure</t>
        </is>
      </c>
      <c r="E505" t="inlineStr">
        <is>
          <t>yes</t>
        </is>
      </c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Samoa</t>
        </is>
      </c>
      <c r="B506" t="inlineStr">
        <is>
          <t>gdp_per_capita_ppp</t>
        </is>
      </c>
      <c r="C506" t="inlineStr">
        <is>
          <t>GDP per capita (PPP)</t>
        </is>
      </c>
      <c r="D506" t="inlineStr">
        <is>
          <t>creative</t>
        </is>
      </c>
      <c r="E506" t="inlineStr">
        <is>
          <t>yes</t>
        </is>
      </c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Samoa</t>
        </is>
      </c>
      <c r="B507" t="inlineStr">
        <is>
          <t>gdp_growth</t>
        </is>
      </c>
      <c r="C507" t="inlineStr">
        <is>
          <t>GDP growth</t>
        </is>
      </c>
      <c r="D507" t="inlineStr">
        <is>
          <t>creative</t>
        </is>
      </c>
      <c r="E507" t="inlineStr">
        <is>
          <t>yes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Samoa</t>
        </is>
      </c>
      <c r="B508" t="inlineStr">
        <is>
          <t>gini_coefficient</t>
        </is>
      </c>
      <c r="C508" t="inlineStr">
        <is>
          <t>Gini coefficient</t>
        </is>
      </c>
      <c r="D508" t="inlineStr">
        <is>
          <t>capability</t>
        </is>
      </c>
      <c r="E508" t="inlineStr">
        <is>
          <t>yes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Samoa</t>
        </is>
      </c>
      <c r="B509" t="inlineStr">
        <is>
          <t>ppp_private_consumption</t>
        </is>
      </c>
      <c r="C509" t="inlineStr">
        <is>
          <t>PPP private consumption factor</t>
        </is>
      </c>
      <c r="D509" t="inlineStr">
        <is>
          <t>pressure</t>
        </is>
      </c>
      <c r="E509" t="inlineStr">
        <is>
          <t>yes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Samoa</t>
        </is>
      </c>
      <c r="B510" t="inlineStr">
        <is>
          <t>tax_rate_assumption</t>
        </is>
      </c>
      <c r="C510" t="inlineStr">
        <is>
          <t>Tax rate assumption</t>
        </is>
      </c>
      <c r="D510" t="inlineStr">
        <is>
          <t>pressure</t>
        </is>
      </c>
      <c r="E510" t="inlineStr">
        <is>
          <t>yes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Samoa</t>
        </is>
      </c>
      <c r="B511" t="inlineStr">
        <is>
          <t>household_debt_proxy</t>
        </is>
      </c>
      <c r="C511" t="inlineStr">
        <is>
          <t>Household debt proxy</t>
        </is>
      </c>
      <c r="D511" t="inlineStr">
        <is>
          <t>pressure</t>
        </is>
      </c>
      <c r="E511" t="inlineStr">
        <is>
          <t>yes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Vanuatu</t>
        </is>
      </c>
      <c r="B512" t="inlineStr">
        <is>
          <t>gdp_per_capita_ppp</t>
        </is>
      </c>
      <c r="C512" t="inlineStr">
        <is>
          <t>GDP per capita (PPP)</t>
        </is>
      </c>
      <c r="D512" t="inlineStr">
        <is>
          <t>creative</t>
        </is>
      </c>
      <c r="E512" t="inlineStr">
        <is>
          <t>yes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Vanuatu</t>
        </is>
      </c>
      <c r="B513" t="inlineStr">
        <is>
          <t>gdp_growth</t>
        </is>
      </c>
      <c r="C513" t="inlineStr">
        <is>
          <t>GDP growth</t>
        </is>
      </c>
      <c r="D513" t="inlineStr">
        <is>
          <t>creative</t>
        </is>
      </c>
      <c r="E513" t="inlineStr">
        <is>
          <t>yes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Vanuatu</t>
        </is>
      </c>
      <c r="B514" t="inlineStr">
        <is>
          <t>gini_coefficient</t>
        </is>
      </c>
      <c r="C514" t="inlineStr">
        <is>
          <t>Gini coefficient</t>
        </is>
      </c>
      <c r="D514" t="inlineStr">
        <is>
          <t>capability</t>
        </is>
      </c>
      <c r="E514" t="inlineStr">
        <is>
          <t>yes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Vanuatu</t>
        </is>
      </c>
      <c r="B515" t="inlineStr">
        <is>
          <t>ppp_private_consumption</t>
        </is>
      </c>
      <c r="C515" t="inlineStr">
        <is>
          <t>PPP private consumption factor</t>
        </is>
      </c>
      <c r="D515" t="inlineStr">
        <is>
          <t>pressure</t>
        </is>
      </c>
      <c r="E515" t="inlineStr">
        <is>
          <t>yes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Vanuatu</t>
        </is>
      </c>
      <c r="B516" t="inlineStr">
        <is>
          <t>tax_rate_assumption</t>
        </is>
      </c>
      <c r="C516" t="inlineStr">
        <is>
          <t>Tax rate assumption</t>
        </is>
      </c>
      <c r="D516" t="inlineStr">
        <is>
          <t>pressure</t>
        </is>
      </c>
      <c r="E516" t="inlineStr">
        <is>
          <t>yes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Vanuatu</t>
        </is>
      </c>
      <c r="B517" t="inlineStr">
        <is>
          <t>household_debt_proxy</t>
        </is>
      </c>
      <c r="C517" t="inlineStr">
        <is>
          <t>Household debt proxy</t>
        </is>
      </c>
      <c r="D517" t="inlineStr">
        <is>
          <t>pressure</t>
        </is>
      </c>
      <c r="E517" t="inlineStr">
        <is>
          <t>yes</t>
        </is>
      </c>
      <c r="F517" t="inlineStr"/>
      <c r="G517" t="inlineStr"/>
      <c r="H517" t="inlineStr"/>
      <c r="I517" t="inlineStr"/>
      <c r="J517" t="inlineStr"/>
      <c r="K517" t="inlineStr"/>
    </row>
  </sheetData>
  <autoFilter ref="A1:K5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45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6" customWidth="1" min="4" max="4"/>
    <col width="40" customWidth="1" min="5" max="5"/>
    <col width="40" customWidth="1" min="6" max="6"/>
    <col width="12" customWidth="1" min="7" max="7"/>
    <col width="22" customWidth="1" min="8" max="8"/>
    <col width="12" customWidth="1" min="9" max="9"/>
    <col width="25" customWidth="1" min="10" max="10"/>
    <col width="40" customWidth="1" min="11" max="11"/>
    <col width="40" customWidth="1" min="12" max="12"/>
    <col width="13" customWidth="1" min="13" max="13"/>
    <col width="40" customWidth="1" min="14" max="14"/>
  </cols>
  <sheetData>
    <row r="1">
      <c r="A1" s="19" t="inlineStr">
        <is>
          <t>city_id</t>
        </is>
      </c>
      <c r="B1" s="19" t="inlineStr">
        <is>
          <t>display_name</t>
        </is>
      </c>
      <c r="C1" s="19" t="inlineStr">
        <is>
          <t>country</t>
        </is>
      </c>
      <c r="D1" s="19" t="inlineStr">
        <is>
          <t>cohort</t>
        </is>
      </c>
      <c r="E1" s="19" t="inlineStr">
        <is>
          <t>field</t>
        </is>
      </c>
      <c r="F1" s="19" t="inlineStr">
        <is>
          <t>label</t>
        </is>
      </c>
      <c r="G1" s="19" t="inlineStr">
        <is>
          <t>pillar</t>
        </is>
      </c>
      <c r="H1" s="19" t="inlineStr">
        <is>
          <t>required_for_ranking</t>
        </is>
      </c>
      <c r="I1" s="19" t="inlineStr">
        <is>
          <t>value</t>
        </is>
      </c>
      <c r="J1" s="19" t="inlineStr">
        <is>
          <t>provider_id</t>
        </is>
      </c>
      <c r="K1" s="19" t="inlineStr">
        <is>
          <t>source_url</t>
        </is>
      </c>
      <c r="L1" s="19" t="inlineStr">
        <is>
          <t>source_title</t>
        </is>
      </c>
      <c r="M1" s="19" t="inlineStr">
        <is>
          <t>source_date</t>
        </is>
      </c>
      <c r="N1" s="19" t="inlineStr">
        <is>
          <t>notes</t>
        </is>
      </c>
    </row>
    <row r="2">
      <c r="A2" t="inlineStr">
        <is>
          <t>th-bangkok</t>
        </is>
      </c>
      <c r="B2" t="inlineStr">
        <is>
          <t>Bangkok</t>
        </is>
      </c>
      <c r="C2" t="inlineStr">
        <is>
          <t>Thailand</t>
        </is>
      </c>
      <c r="D2" t="inlineStr">
        <is>
          <t>Southeast Asia</t>
        </is>
      </c>
      <c r="E2" t="inlineStr">
        <is>
          <t>gross_income</t>
        </is>
      </c>
      <c r="F2" t="inlineStr">
        <is>
          <t>Gross income</t>
        </is>
      </c>
      <c r="G2" t="inlineStr">
        <is>
          <t>pressure</t>
        </is>
      </c>
      <c r="H2" t="inlineStr">
        <is>
          <t>yes</t>
        </is>
      </c>
      <c r="I2" t="inlineStr">
        <is>
          <t>1996.67</t>
        </is>
      </c>
      <c r="J2" t="inlineStr">
        <is>
          <t>world_bank_col_estimate</t>
        </is>
      </c>
      <c r="K2" t="inlineStr">
        <is>
          <t>https://api.worldbank.org/v2/country/THA/indicator/NY.GNP.PCAP.PP.CD?format=json&amp;mrv=10</t>
        </is>
      </c>
      <c r="L2" t="inlineStr">
        <is>
          <t>World Bank WDI: GNI per capita PPP (monthly USD)</t>
        </is>
      </c>
      <c r="M2" t="inlineStr">
        <is>
          <t>2024-12-31</t>
        </is>
      </c>
      <c r="N2" t="inlineStr">
        <is>
          <t>auto_ingest=world_bank_col_estimate; gni_annual=23960.0; year=2024; country_proxy=Thailand; cohort=Southeast Asia</t>
        </is>
      </c>
    </row>
    <row r="3">
      <c r="A3" t="inlineStr">
        <is>
          <t>th-bangkok</t>
        </is>
      </c>
      <c r="B3" t="inlineStr">
        <is>
          <t>Bangkok</t>
        </is>
      </c>
      <c r="C3" t="inlineStr">
        <is>
          <t>Thailand</t>
        </is>
      </c>
      <c r="D3" t="inlineStr">
        <is>
          <t>Southeast Asia</t>
        </is>
      </c>
      <c r="E3" t="inlineStr">
        <is>
          <t>di_ppp_raw</t>
        </is>
      </c>
      <c r="F3" t="inlineStr">
        <is>
          <t>Disposable income PPP (Raw)</t>
        </is>
      </c>
      <c r="G3" t="inlineStr">
        <is>
          <t>pressure</t>
        </is>
      </c>
      <c r="H3" t="inlineStr">
        <is>
          <t>yes</t>
        </is>
      </c>
      <c r="I3" t="inlineStr"/>
      <c r="J3" t="inlineStr"/>
      <c r="K3" t="inlineStr"/>
      <c r="L3" t="inlineStr"/>
      <c r="M3" t="inlineStr"/>
      <c r="N3" t="inlineStr"/>
    </row>
    <row r="4">
      <c r="A4" t="inlineStr">
        <is>
          <t>th-bangkok</t>
        </is>
      </c>
      <c r="B4" t="inlineStr">
        <is>
          <t>Bangkok</t>
        </is>
      </c>
      <c r="C4" t="inlineStr">
        <is>
          <t>Thailand</t>
        </is>
      </c>
      <c r="D4" t="inlineStr">
        <is>
          <t>Southeast Asia</t>
        </is>
      </c>
      <c r="E4" t="inlineStr">
        <is>
          <t>rent</t>
        </is>
      </c>
      <c r="F4" t="inlineStr">
        <is>
          <t>Rent</t>
        </is>
      </c>
      <c r="G4" t="inlineStr">
        <is>
          <t>pressure</t>
        </is>
      </c>
      <c r="H4" t="inlineStr">
        <is>
          <t>yes</t>
        </is>
      </c>
      <c r="I4" t="inlineStr">
        <is>
          <t>399.33</t>
        </is>
      </c>
      <c r="J4" t="inlineStr">
        <is>
          <t>world_bank_col_estimate</t>
        </is>
      </c>
      <c r="K4" t="inlineStr">
        <is>
          <t>https://api.worldbank.org/v2/country/THA/indicator/NY.GNP.PCAP.PP.CD?format=json&amp;mrv=10</t>
        </is>
      </c>
      <c r="L4" t="inlineStr">
        <is>
          <t>World Bank GNI + regional expenditure ratio estimate</t>
        </is>
      </c>
      <c r="M4" t="inlineStr">
        <is>
          <t>2024-12-31</t>
        </is>
      </c>
      <c r="N4" t="inlineStr">
        <is>
          <t>auto_ingest=world_bank_col_estimate; gni_annual=23960.0; year=2024; country_proxy=Thailand; cohort=Southeast Asia</t>
        </is>
      </c>
    </row>
    <row r="5">
      <c r="A5" t="inlineStr">
        <is>
          <t>th-bangkok</t>
        </is>
      </c>
      <c r="B5" t="inlineStr">
        <is>
          <t>Bangkok</t>
        </is>
      </c>
      <c r="C5" t="inlineStr">
        <is>
          <t>Thailand</t>
        </is>
      </c>
      <c r="D5" t="inlineStr">
        <is>
          <t>Southeast Asia</t>
        </is>
      </c>
      <c r="E5" t="inlineStr">
        <is>
          <t>utilities</t>
        </is>
      </c>
      <c r="F5" t="inlineStr">
        <is>
          <t>Utilities</t>
        </is>
      </c>
      <c r="G5" t="inlineStr">
        <is>
          <t>pressure</t>
        </is>
      </c>
      <c r="H5" t="inlineStr">
        <is>
          <t>yes</t>
        </is>
      </c>
      <c r="I5" t="inlineStr">
        <is>
          <t>99.83</t>
        </is>
      </c>
      <c r="J5" t="inlineStr">
        <is>
          <t>world_bank_col_estimate</t>
        </is>
      </c>
      <c r="K5" t="inlineStr">
        <is>
          <t>https://api.worldbank.org/v2/country/THA/indicator/NY.GNP.PCAP.PP.CD?format=json&amp;mrv=10</t>
        </is>
      </c>
      <c r="L5" t="inlineStr">
        <is>
          <t>World Bank GNI + regional expenditure ratio estimate</t>
        </is>
      </c>
      <c r="M5" t="inlineStr">
        <is>
          <t>2024-12-31</t>
        </is>
      </c>
      <c r="N5" t="inlineStr">
        <is>
          <t>auto_ingest=world_bank_col_estimate; gni_annual=23960.0; year=2024; country_proxy=Thailand; cohort=Southeast Asia</t>
        </is>
      </c>
    </row>
    <row r="6">
      <c r="A6" t="inlineStr">
        <is>
          <t>th-bangkok</t>
        </is>
      </c>
      <c r="B6" t="inlineStr">
        <is>
          <t>Bangkok</t>
        </is>
      </c>
      <c r="C6" t="inlineStr">
        <is>
          <t>Thailand</t>
        </is>
      </c>
      <c r="D6" t="inlineStr">
        <is>
          <t>Southeast Asia</t>
        </is>
      </c>
      <c r="E6" t="inlineStr">
        <is>
          <t>transit_cost</t>
        </is>
      </c>
      <c r="F6" t="inlineStr">
        <is>
          <t>Transit cost</t>
        </is>
      </c>
      <c r="G6" t="inlineStr">
        <is>
          <t>pressure</t>
        </is>
      </c>
      <c r="H6" t="inlineStr">
        <is>
          <t>yes</t>
        </is>
      </c>
      <c r="I6" t="inlineStr">
        <is>
          <t>79.87</t>
        </is>
      </c>
      <c r="J6" t="inlineStr">
        <is>
          <t>world_bank_col_estimate</t>
        </is>
      </c>
      <c r="K6" t="inlineStr">
        <is>
          <t>https://api.worldbank.org/v2/country/THA/indicator/NY.GNP.PCAP.PP.CD?format=json&amp;mrv=10</t>
        </is>
      </c>
      <c r="L6" t="inlineStr">
        <is>
          <t>World Bank GNI + regional expenditure ratio estimate</t>
        </is>
      </c>
      <c r="M6" t="inlineStr">
        <is>
          <t>2024-12-31</t>
        </is>
      </c>
      <c r="N6" t="inlineStr">
        <is>
          <t>auto_ingest=world_bank_col_estimate; gni_annual=23960.0; year=2024; country_proxy=Thailand; cohort=Southeast Asia</t>
        </is>
      </c>
    </row>
    <row r="7">
      <c r="A7" t="inlineStr">
        <is>
          <t>th-bangkok</t>
        </is>
      </c>
      <c r="B7" t="inlineStr">
        <is>
          <t>Bangkok</t>
        </is>
      </c>
      <c r="C7" t="inlineStr">
        <is>
          <t>Thailand</t>
        </is>
      </c>
      <c r="D7" t="inlineStr">
        <is>
          <t>Southeast Asia</t>
        </is>
      </c>
      <c r="E7" t="inlineStr">
        <is>
          <t>internet_cost</t>
        </is>
      </c>
      <c r="F7" t="inlineStr">
        <is>
          <t>Internet cost</t>
        </is>
      </c>
      <c r="G7" t="inlineStr">
        <is>
          <t>pressure</t>
        </is>
      </c>
      <c r="H7" t="inlineStr">
        <is>
          <t>yes</t>
        </is>
      </c>
      <c r="I7" t="inlineStr">
        <is>
          <t>29.95</t>
        </is>
      </c>
      <c r="J7" t="inlineStr">
        <is>
          <t>world_bank_col_estimate</t>
        </is>
      </c>
      <c r="K7" t="inlineStr">
        <is>
          <t>https://api.worldbank.org/v2/country/THA/indicator/NY.GNP.PCAP.PP.CD?format=json&amp;mrv=10</t>
        </is>
      </c>
      <c r="L7" t="inlineStr">
        <is>
          <t>World Bank GNI + regional expenditure ratio estimate</t>
        </is>
      </c>
      <c r="M7" t="inlineStr">
        <is>
          <t>2024-12-31</t>
        </is>
      </c>
      <c r="N7" t="inlineStr">
        <is>
          <t>auto_ingest=world_bank_col_estimate; gni_annual=23960.0; year=2024; country_proxy=Thailand; cohort=Southeast Asia</t>
        </is>
      </c>
    </row>
    <row r="8">
      <c r="A8" t="inlineStr">
        <is>
          <t>th-bangkok</t>
        </is>
      </c>
      <c r="B8" t="inlineStr">
        <is>
          <t>Bangkok</t>
        </is>
      </c>
      <c r="C8" t="inlineStr">
        <is>
          <t>Thailand</t>
        </is>
      </c>
      <c r="D8" t="inlineStr">
        <is>
          <t>Southeast Asia</t>
        </is>
      </c>
      <c r="E8" t="inlineStr">
        <is>
          <t>food_cost</t>
        </is>
      </c>
      <c r="F8" t="inlineStr">
        <is>
          <t>Food cost</t>
        </is>
      </c>
      <c r="G8" t="inlineStr">
        <is>
          <t>pressure</t>
        </is>
      </c>
      <c r="H8" t="inlineStr">
        <is>
          <t>yes</t>
        </is>
      </c>
      <c r="I8" t="inlineStr">
        <is>
          <t>439.27</t>
        </is>
      </c>
      <c r="J8" t="inlineStr">
        <is>
          <t>world_bank_col_estimate</t>
        </is>
      </c>
      <c r="K8" t="inlineStr">
        <is>
          <t>https://api.worldbank.org/v2/country/THA/indicator/NY.GNP.PCAP.PP.CD?format=json&amp;mrv=10</t>
        </is>
      </c>
      <c r="L8" t="inlineStr">
        <is>
          <t>World Bank GNI + regional expenditure ratio estimate</t>
        </is>
      </c>
      <c r="M8" t="inlineStr">
        <is>
          <t>2024-12-31</t>
        </is>
      </c>
      <c r="N8" t="inlineStr">
        <is>
          <t>auto_ingest=world_bank_col_estimate; gni_annual=23960.0; year=2024; country_proxy=Thailand; cohort=Southeast Asia</t>
        </is>
      </c>
    </row>
    <row r="9">
      <c r="A9" t="inlineStr">
        <is>
          <t>th-bangkok</t>
        </is>
      </c>
      <c r="B9" t="inlineStr">
        <is>
          <t>Bangkok</t>
        </is>
      </c>
      <c r="C9" t="inlineStr">
        <is>
          <t>Thailand</t>
        </is>
      </c>
      <c r="D9" t="inlineStr">
        <is>
          <t>Southeast Asia</t>
        </is>
      </c>
      <c r="E9" t="inlineStr">
        <is>
          <t>housing_burden_raw</t>
        </is>
      </c>
      <c r="F9" t="inlineStr">
        <is>
          <t>Housing burden raw</t>
        </is>
      </c>
      <c r="G9" t="inlineStr">
        <is>
          <t>pressure</t>
        </is>
      </c>
      <c r="H9" t="inlineStr">
        <is>
          <t>yes</t>
        </is>
      </c>
      <c r="I9" t="inlineStr">
        <is>
          <t>19.9998</t>
        </is>
      </c>
      <c r="J9" t="inlineStr">
        <is>
          <t>derived</t>
        </is>
      </c>
      <c r="K9" t="inlineStr">
        <is>
          <t>https://data.worldbank.org/indicator/NY.GNP.PCAP.PP.CD</t>
        </is>
      </c>
      <c r="L9" t="inlineStr">
        <is>
          <t>Computed from city_inputs + country_context</t>
        </is>
      </c>
      <c r="M9" t="inlineStr">
        <is>
          <t>2024-01-01</t>
        </is>
      </c>
      <c r="N9" t="inlineStr">
        <is>
          <t>derived=rent/gross_income*100</t>
        </is>
      </c>
    </row>
    <row r="10">
      <c r="A10" t="inlineStr">
        <is>
          <t>th-bangkok</t>
        </is>
      </c>
      <c r="B10" t="inlineStr">
        <is>
          <t>Bangkok</t>
        </is>
      </c>
      <c r="C10" t="inlineStr">
        <is>
          <t>Thailand</t>
        </is>
      </c>
      <c r="D10" t="inlineStr">
        <is>
          <t>Southeast Asia</t>
        </is>
      </c>
      <c r="E10" t="inlineStr">
        <is>
          <t>household_debt_burden_raw</t>
        </is>
      </c>
      <c r="F10" t="inlineStr">
        <is>
          <t>Household debt burden raw</t>
        </is>
      </c>
      <c r="G10" t="inlineStr">
        <is>
          <t>pressure</t>
        </is>
      </c>
      <c r="H10" t="inlineStr">
        <is>
          <t>yes</t>
        </is>
      </c>
      <c r="I10" t="inlineStr">
        <is>
          <t>115.1054</t>
        </is>
      </c>
      <c r="J10" t="inlineStr">
        <is>
          <t>derived</t>
        </is>
      </c>
      <c r="K10" t="inlineStr">
        <is>
          <t>https://data.worldbank.org/indicator/NY.GNP.PCAP.PP.CD</t>
        </is>
      </c>
      <c r="L10" t="inlineStr">
        <is>
          <t>Computed from city_inputs + country_context</t>
        </is>
      </c>
      <c r="M10" t="inlineStr">
        <is>
          <t>2024-01-01</t>
        </is>
      </c>
      <c r="N10" t="inlineStr">
        <is>
          <t>derived=country_context.household_debt_proxy; country=Thailand</t>
        </is>
      </c>
    </row>
    <row r="11">
      <c r="A11" t="inlineStr">
        <is>
          <t>th-bangkok</t>
        </is>
      </c>
      <c r="B11" t="inlineStr">
        <is>
          <t>Bangkok</t>
        </is>
      </c>
      <c r="C11" t="inlineStr">
        <is>
          <t>Thailand</t>
        </is>
      </c>
      <c r="D11" t="inlineStr">
        <is>
          <t>Southeast Asia</t>
        </is>
      </c>
      <c r="E11" t="inlineStr">
        <is>
          <t>working_time_pressure_raw</t>
        </is>
      </c>
      <c r="F11" t="inlineStr">
        <is>
          <t>Working time pressure raw</t>
        </is>
      </c>
      <c r="G11" t="inlineStr">
        <is>
          <t>pressure</t>
        </is>
      </c>
      <c r="H11" t="inlineStr">
        <is>
          <t>yes</t>
        </is>
      </c>
      <c r="I11" t="inlineStr">
        <is>
          <t>42.53</t>
        </is>
      </c>
      <c r="J11" t="inlineStr">
        <is>
          <t>ilo_ilostat</t>
        </is>
      </c>
      <c r="K11" t="inlineStr">
        <is>
          <t>https://ilostat.ilo.org/data/indicator/?id=HOW_TEMP_SEX_ECO_NB_A&amp;ref_area=THA</t>
        </is>
      </c>
      <c r="L11" t="inlineStr">
        <is>
          <t>ILO ILOSTAT: Mean weekly hours actually worked per employed person</t>
        </is>
      </c>
      <c r="M11" t="inlineStr">
        <is>
          <t>2024-12-31</t>
        </is>
      </c>
      <c r="N11" t="inlineStr">
        <is>
          <t>auto_ingest=ilo_working_hours; indicator=HOW_TEMP_SEX_ECO_NB_A; year=2024; hours=42.53; country_proxy=Thailand</t>
        </is>
      </c>
    </row>
    <row r="12">
      <c r="A12" t="inlineStr">
        <is>
          <t>th-bangkok</t>
        </is>
      </c>
      <c r="B12" t="inlineStr">
        <is>
          <t>Bangkok</t>
        </is>
      </c>
      <c r="C12" t="inlineStr">
        <is>
          <t>Thailand</t>
        </is>
      </c>
      <c r="D12" t="inlineStr">
        <is>
          <t>Southeast Asia</t>
        </is>
      </c>
      <c r="E12" t="inlineStr">
        <is>
          <t>suicide_mental_strain_raw</t>
        </is>
      </c>
      <c r="F12" t="inlineStr">
        <is>
          <t>Suicide or mental strain raw</t>
        </is>
      </c>
      <c r="G12" t="inlineStr">
        <is>
          <t>pressure</t>
        </is>
      </c>
      <c r="H12" t="inlineStr">
        <is>
          <t>yes</t>
        </is>
      </c>
      <c r="I12" t="inlineStr">
        <is>
          <t>16.59</t>
        </is>
      </c>
      <c r="J12" t="inlineStr">
        <is>
          <t>who_gho</t>
        </is>
      </c>
      <c r="K12" t="inlineStr">
        <is>
          <t>https://www.who.int/data/gho/data/indicators/indicator-details/GHO/SDGSUICIDE</t>
        </is>
      </c>
      <c r="L12" t="inlineStr">
        <is>
          <t>WHO GHO: Age-standardized suicide rate (per 100,000 population)</t>
        </is>
      </c>
      <c r="M12" t="inlineStr">
        <is>
          <t>2021-12-31</t>
        </is>
      </c>
      <c r="N12" t="inlineStr">
        <is>
          <t>auto_ingest=who_gho; indicator=SDGSUICIDE; year=2021; country_proxy=Thailand</t>
        </is>
      </c>
    </row>
    <row r="13">
      <c r="A13" t="inlineStr">
        <is>
          <t>th-bangkok</t>
        </is>
      </c>
      <c r="B13" t="inlineStr">
        <is>
          <t>Bangkok</t>
        </is>
      </c>
      <c r="C13" t="inlineStr">
        <is>
          <t>Thailand</t>
        </is>
      </c>
      <c r="D13" t="inlineStr">
        <is>
          <t>Southeast Asia</t>
        </is>
      </c>
      <c r="E13" t="inlineStr">
        <is>
          <t>personal_safety_raw</t>
        </is>
      </c>
      <c r="F13" t="inlineStr">
        <is>
          <t>Personal safety raw</t>
        </is>
      </c>
      <c r="G13" t="inlineStr">
        <is>
          <t>viability</t>
        </is>
      </c>
      <c r="H13" t="inlineStr">
        <is>
          <t>yes</t>
        </is>
      </c>
      <c r="I13" t="inlineStr">
        <is>
          <t>2.2</t>
        </is>
      </c>
      <c r="J13" t="inlineStr">
        <is>
          <t>world_bank</t>
        </is>
      </c>
      <c r="K13" t="inlineStr">
        <is>
          <t>https://api.worldbank.org/v2/country/THA/indicator/VC.IHR.PSRC.P5?format=json&amp;mrv=10</t>
        </is>
      </c>
      <c r="L13" t="inlineStr">
        <is>
          <t>UNODC via World Bank WDI: Intentional homicides (per 100,000 people)</t>
        </is>
      </c>
      <c r="M13" t="inlineStr">
        <is>
          <t>2023-12-31</t>
        </is>
      </c>
      <c r="N13" t="inlineStr">
        <is>
          <t>manual_seed=unodc_who; indicator=VC.IHR.PSRC.P5; year=2023; country_proxy=Thailand</t>
        </is>
      </c>
    </row>
    <row r="14">
      <c r="A14" t="inlineStr">
        <is>
          <t>th-bangkok</t>
        </is>
      </c>
      <c r="B14" t="inlineStr">
        <is>
          <t>Bangkok</t>
        </is>
      </c>
      <c r="C14" t="inlineStr">
        <is>
          <t>Thailand</t>
        </is>
      </c>
      <c r="D14" t="inlineStr">
        <is>
          <t>Southeast Asia</t>
        </is>
      </c>
      <c r="E14" t="inlineStr">
        <is>
          <t>transit_access_commute_raw</t>
        </is>
      </c>
      <c r="F14" t="inlineStr">
        <is>
          <t>Transit access and commute raw</t>
        </is>
      </c>
      <c r="G14" t="inlineStr">
        <is>
          <t>viability</t>
        </is>
      </c>
      <c r="H14" t="inlineStr">
        <is>
          <t>yes</t>
        </is>
      </c>
      <c r="I14" t="inlineStr"/>
      <c r="J14" t="inlineStr"/>
      <c r="K14" t="inlineStr"/>
      <c r="L14" t="inlineStr"/>
      <c r="M14" t="inlineStr"/>
      <c r="N14" t="inlineStr"/>
    </row>
    <row r="15">
      <c r="A15" t="inlineStr">
        <is>
          <t>th-bangkok</t>
        </is>
      </c>
      <c r="B15" t="inlineStr">
        <is>
          <t>Bangkok</t>
        </is>
      </c>
      <c r="C15" t="inlineStr">
        <is>
          <t>Thailand</t>
        </is>
      </c>
      <c r="D15" t="inlineStr">
        <is>
          <t>Southeast Asia</t>
        </is>
      </c>
      <c r="E15" t="inlineStr">
        <is>
          <t>clean_air_raw</t>
        </is>
      </c>
      <c r="F15" t="inlineStr">
        <is>
          <t>Clean air raw</t>
        </is>
      </c>
      <c r="G15" t="inlineStr">
        <is>
          <t>viability</t>
        </is>
      </c>
      <c r="H15" t="inlineStr">
        <is>
          <t>yes</t>
        </is>
      </c>
      <c r="I15" t="inlineStr">
        <is>
          <t>25.0</t>
        </is>
      </c>
      <c r="J15" t="inlineStr">
        <is>
          <t>thai_gov_pcd_rsc</t>
        </is>
      </c>
      <c r="K15" t="inlineStr">
        <is>
          <t>https://www.pcd.go.th/</t>
        </is>
      </c>
      <c r="L15" t="inlineStr">
        <is>
          <t>Thailand PCD Annual Air Quality Report — Bangkok PM2.5 annual mean</t>
        </is>
      </c>
      <c r="M15" t="inlineStr">
        <is>
          <t>2024-12-31</t>
        </is>
      </c>
      <c r="N15" t="inlineStr">
        <is>
          <t>auto_ingest=thai_city_indicators; metric=pm25_annual_mean; value=25.0 ug/m3; source=PCD+IQAir</t>
        </is>
      </c>
    </row>
    <row r="16">
      <c r="A16" t="inlineStr">
        <is>
          <t>th-bangkok</t>
        </is>
      </c>
      <c r="B16" t="inlineStr">
        <is>
          <t>Bangkok</t>
        </is>
      </c>
      <c r="C16" t="inlineStr">
        <is>
          <t>Thailand</t>
        </is>
      </c>
      <c r="D16" t="inlineStr">
        <is>
          <t>Southeast Asia</t>
        </is>
      </c>
      <c r="E16" t="inlineStr">
        <is>
          <t>water_sanitation_utility_raw</t>
        </is>
      </c>
      <c r="F16" t="inlineStr">
        <is>
          <t>Water, sanitation, and utility raw</t>
        </is>
      </c>
      <c r="G16" t="inlineStr">
        <is>
          <t>viability</t>
        </is>
      </c>
      <c r="H16" t="inlineStr">
        <is>
          <t>yes</t>
        </is>
      </c>
      <c r="I16" t="inlineStr">
        <is>
          <t>93.0</t>
        </is>
      </c>
      <c r="J16" t="inlineStr">
        <is>
          <t>who_unicef_jmp</t>
        </is>
      </c>
      <c r="K16" t="inlineStr">
        <is>
          <t>https://washdata.org</t>
        </is>
      </c>
      <c r="L16" t="inlineStr">
        <is>
          <t>UNICEF/WHO JMP: People using safely managed drinking water services (% of population)</t>
        </is>
      </c>
      <c r="M16" t="inlineStr">
        <is>
          <t>2023-12-31</t>
        </is>
      </c>
      <c r="N16" t="inlineStr">
        <is>
          <t>manual_seed=jmp_washdata; indicator=safely_managed_water; year=2023; country_proxy=Thailand</t>
        </is>
      </c>
    </row>
    <row r="17">
      <c r="A17" t="inlineStr">
        <is>
          <t>th-bangkok</t>
        </is>
      </c>
      <c r="B17" t="inlineStr">
        <is>
          <t>Bangkok</t>
        </is>
      </c>
      <c r="C17" t="inlineStr">
        <is>
          <t>Thailand</t>
        </is>
      </c>
      <c r="D17" t="inlineStr">
        <is>
          <t>Southeast Asia</t>
        </is>
      </c>
      <c r="E17" t="inlineStr">
        <is>
          <t>digital_infrastructure_raw</t>
        </is>
      </c>
      <c r="F17" t="inlineStr">
        <is>
          <t>Digital infrastructure raw</t>
        </is>
      </c>
      <c r="G17" t="inlineStr">
        <is>
          <t>viability</t>
        </is>
      </c>
      <c r="H17" t="inlineStr">
        <is>
          <t>yes</t>
        </is>
      </c>
      <c r="I17" t="inlineStr">
        <is>
          <t>15.75</t>
        </is>
      </c>
      <c r="J17" t="inlineStr">
        <is>
          <t>world_bank</t>
        </is>
      </c>
      <c r="K17" t="inlineStr">
        <is>
          <t>https://api.worldbank.org/v2/country/THA/indicator/IT.NET.BBND.P2?format=json&amp;mrv=10</t>
        </is>
      </c>
      <c r="L17" t="inlineStr">
        <is>
          <t>World Bank WDI: Fixed broadband subscriptions (per 100 people)</t>
        </is>
      </c>
      <c r="M17" t="inlineStr">
        <is>
          <t>2023-12-31</t>
        </is>
      </c>
      <c r="N17" t="inlineStr">
        <is>
          <t>auto_ingest=world_bank_proxy; indicator=IT.NET.BBND.P2; year=2023; country_proxy=Thailand</t>
        </is>
      </c>
    </row>
    <row r="18">
      <c r="A18" t="inlineStr">
        <is>
          <t>th-bangkok</t>
        </is>
      </c>
      <c r="B18" t="inlineStr">
        <is>
          <t>Bangkok</t>
        </is>
      </c>
      <c r="C18" t="inlineStr">
        <is>
          <t>Thailand</t>
        </is>
      </c>
      <c r="D18" t="inlineStr">
        <is>
          <t>Southeast Asia</t>
        </is>
      </c>
      <c r="E18" t="inlineStr">
        <is>
          <t>climate_sunlight_livability_raw</t>
        </is>
      </c>
      <c r="F18" t="inlineStr">
        <is>
          <t>Climate and sunlight livability raw</t>
        </is>
      </c>
      <c r="G18" t="inlineStr">
        <is>
          <t>viability</t>
        </is>
      </c>
      <c r="H18" t="inlineStr">
        <is>
          <t>yes</t>
        </is>
      </c>
      <c r="I18" t="inlineStr">
        <is>
          <t>72</t>
        </is>
      </c>
      <c r="J18" t="inlineStr">
        <is>
          <t>world_bank</t>
        </is>
      </c>
      <c r="K18" t="inlineStr">
        <is>
          <t>https://api.worldbank.org/v2/country/THA</t>
        </is>
      </c>
      <c r="L18" t="inlineStr">
        <is>
          <t>Climate composite: tropical, 2500+ annual sun hours, warm year-round</t>
        </is>
      </c>
      <c r="M18" t="inlineStr">
        <is>
          <t>2024-12-31</t>
        </is>
      </c>
      <c r="N18" t="inlineStr">
        <is>
          <t>Tropical climate with abundant sunlight. Monsoon season slightly reduces score.</t>
        </is>
      </c>
    </row>
    <row r="19">
      <c r="A19" t="inlineStr">
        <is>
          <t>th-bangkok</t>
        </is>
      </c>
      <c r="B19" t="inlineStr">
        <is>
          <t>Bangkok</t>
        </is>
      </c>
      <c r="C19" t="inlineStr">
        <is>
          <t>Thailand</t>
        </is>
      </c>
      <c r="D19" t="inlineStr">
        <is>
          <t>Southeast Asia</t>
        </is>
      </c>
      <c r="E19" t="inlineStr">
        <is>
          <t>healthcare_quality_raw</t>
        </is>
      </c>
      <c r="F19" t="inlineStr">
        <is>
          <t>Healthcare quality raw</t>
        </is>
      </c>
      <c r="G19" t="inlineStr">
        <is>
          <t>capability</t>
        </is>
      </c>
      <c r="H19" t="inlineStr">
        <is>
          <t>yes</t>
        </is>
      </c>
      <c r="I19" t="inlineStr">
        <is>
          <t>82.0</t>
        </is>
      </c>
      <c r="J19" t="inlineStr">
        <is>
          <t>who_gho</t>
        </is>
      </c>
      <c r="K19" t="inlineStr">
        <is>
          <t>https://www.who.int/data/gho/data/indicators/indicator-details/GHO/UHC_INDEX_REPORTED</t>
        </is>
      </c>
      <c r="L19" t="inlineStr">
        <is>
          <t>WHO GHO: UHC Service Coverage Index</t>
        </is>
      </c>
      <c r="M19" t="inlineStr">
        <is>
          <t>2023-12-31</t>
        </is>
      </c>
      <c r="N19" t="inlineStr">
        <is>
          <t>auto_ingest=who_gho; indicator=UHC_INDEX_REPORTED; year=2023; country_proxy=Thailand</t>
        </is>
      </c>
    </row>
    <row r="20">
      <c r="A20" t="inlineStr">
        <is>
          <t>th-bangkok</t>
        </is>
      </c>
      <c r="B20" t="inlineStr">
        <is>
          <t>Bangkok</t>
        </is>
      </c>
      <c r="C20" t="inlineStr">
        <is>
          <t>Thailand</t>
        </is>
      </c>
      <c r="D20" t="inlineStr">
        <is>
          <t>Southeast Asia</t>
        </is>
      </c>
      <c r="E20" t="inlineStr">
        <is>
          <t>education_quality_raw</t>
        </is>
      </c>
      <c r="F20" t="inlineStr">
        <is>
          <t>Education quality raw</t>
        </is>
      </c>
      <c r="G20" t="inlineStr">
        <is>
          <t>capability</t>
        </is>
      </c>
      <c r="H20" t="inlineStr">
        <is>
          <t>yes</t>
        </is>
      </c>
      <c r="I20" t="inlineStr">
        <is>
          <t>49.08</t>
        </is>
      </c>
      <c r="J20" t="inlineStr">
        <is>
          <t>world_bank</t>
        </is>
      </c>
      <c r="K20" t="inlineStr">
        <is>
          <t>https://api.worldbank.org/v2/country/THA/indicator/SE.TER.ENRR?format=json&amp;mrv=10</t>
        </is>
      </c>
      <c r="L20" t="inlineStr">
        <is>
          <t>World Bank WDI: School enrollment, tertiary (% gross)</t>
        </is>
      </c>
      <c r="M20" t="inlineStr">
        <is>
          <t>2025-12-31</t>
        </is>
      </c>
      <c r="N20" t="inlineStr">
        <is>
          <t>auto_ingest=world_bank_proxy; indicator=SE.TER.ENRR; year=2025; country_proxy=Thailand</t>
        </is>
      </c>
    </row>
    <row r="21">
      <c r="A21" t="inlineStr">
        <is>
          <t>th-bangkok</t>
        </is>
      </c>
      <c r="B21" t="inlineStr">
        <is>
          <t>Bangkok</t>
        </is>
      </c>
      <c r="C21" t="inlineStr">
        <is>
          <t>Thailand</t>
        </is>
      </c>
      <c r="D21" t="inlineStr">
        <is>
          <t>Southeast Asia</t>
        </is>
      </c>
      <c r="E21" t="inlineStr">
        <is>
          <t>equal_opportunity_raw</t>
        </is>
      </c>
      <c r="F21" t="inlineStr">
        <is>
          <t>Equal opportunity raw</t>
        </is>
      </c>
      <c r="G21" t="inlineStr">
        <is>
          <t>capability</t>
        </is>
      </c>
      <c r="H21" t="inlineStr">
        <is>
          <t>yes</t>
        </is>
      </c>
      <c r="I21" t="inlineStr">
        <is>
          <t>33.5</t>
        </is>
      </c>
      <c r="J21" t="inlineStr">
        <is>
          <t>world_bank</t>
        </is>
      </c>
      <c r="K21" t="inlineStr">
        <is>
          <t>https://api.worldbank.org/v2/country/THA/indicator/SI.POV.GINI?format=json&amp;mrv=10</t>
        </is>
      </c>
      <c r="L21" t="inlineStr">
        <is>
          <t>World Bank WDI: Gini index</t>
        </is>
      </c>
      <c r="M21" t="inlineStr">
        <is>
          <t>2023-12-31</t>
        </is>
      </c>
      <c r="N21" t="inlineStr">
        <is>
          <t>auto_ingest=world_bank_capability; indicator=SI.POV.GINI; year=2023; country_proxy=Thailand</t>
        </is>
      </c>
    </row>
    <row r="22">
      <c r="A22" t="inlineStr">
        <is>
          <t>th-bangkok</t>
        </is>
      </c>
      <c r="B22" t="inlineStr">
        <is>
          <t>Bangkok</t>
        </is>
      </c>
      <c r="C22" t="inlineStr">
        <is>
          <t>Thailand</t>
        </is>
      </c>
      <c r="D22" t="inlineStr">
        <is>
          <t>Southeast Asia</t>
        </is>
      </c>
      <c r="E22" t="inlineStr">
        <is>
          <t>hospitality_belonging_raw</t>
        </is>
      </c>
      <c r="F22" t="inlineStr">
        <is>
          <t>Hospitality and belonging raw</t>
        </is>
      </c>
      <c r="G22" t="inlineStr">
        <is>
          <t>community</t>
        </is>
      </c>
      <c r="H22" t="inlineStr">
        <is>
          <t>yes</t>
        </is>
      </c>
      <c r="I22" t="inlineStr">
        <is>
          <t>50.38</t>
        </is>
      </c>
      <c r="J22" t="inlineStr">
        <is>
          <t>world_bank</t>
        </is>
      </c>
      <c r="K22" t="inlineStr">
        <is>
          <t>https://api.worldbank.org/v2/country/THA/indicator/SM.POP.NETM?format=json&amp;mrv=10</t>
        </is>
      </c>
      <c r="L22" t="inlineStr">
        <is>
          <t>World Bank WDI: Net migration (proxy for hospitality/belonging — positive = welcoming)</t>
        </is>
      </c>
      <c r="M22" t="inlineStr">
        <is>
          <t>2025-12-31</t>
        </is>
      </c>
      <c r="N22" t="inlineStr">
        <is>
          <t>auto_ingest=world_bank_proxy; proxy=net_migration_hospitality; indicator=SM.POP.NETM; year=2025; country_proxy=Thailand</t>
        </is>
      </c>
    </row>
    <row r="23">
      <c r="A23" t="inlineStr">
        <is>
          <t>th-bangkok</t>
        </is>
      </c>
      <c r="B23" t="inlineStr">
        <is>
          <t>Bangkok</t>
        </is>
      </c>
      <c r="C23" t="inlineStr">
        <is>
          <t>Thailand</t>
        </is>
      </c>
      <c r="D23" t="inlineStr">
        <is>
          <t>Southeast Asia</t>
        </is>
      </c>
      <c r="E23" t="inlineStr">
        <is>
          <t>tolerance_pluralism_raw</t>
        </is>
      </c>
      <c r="F23" t="inlineStr">
        <is>
          <t>Tolerance and pluralism raw</t>
        </is>
      </c>
      <c r="G23" t="inlineStr">
        <is>
          <t>community</t>
        </is>
      </c>
      <c r="H23" t="inlineStr">
        <is>
          <t>yes</t>
        </is>
      </c>
      <c r="I23" t="inlineStr">
        <is>
          <t>42.0</t>
        </is>
      </c>
      <c r="J23" t="inlineStr">
        <is>
          <t>world_bank</t>
        </is>
      </c>
      <c r="K23" t="inlineStr">
        <is>
          <t>https://api.worldbank.org/v2/country/THA/indicator/SG.GEN.PARL.ZS?format=json</t>
        </is>
      </c>
      <c r="L23" t="inlineStr">
        <is>
          <t>SLIC composite: social tolerance index (gender parity + LGBTQ acceptance + religious diversity + ethnic inclusion), anchored to World Bank gender parity baseline</t>
        </is>
      </c>
      <c r="M23" t="inlineStr">
        <is>
          <t>2024-12-31</t>
        </is>
      </c>
      <c r="N23" t="inlineStr">
        <is>
          <t>Composite tolerance score replacing raw gender_parity_parliament. Thailand ranks among most tolerant societies globally.</t>
        </is>
      </c>
    </row>
    <row r="24">
      <c r="A24" t="inlineStr">
        <is>
          <t>th-bangkok</t>
        </is>
      </c>
      <c r="B24" t="inlineStr">
        <is>
          <t>Bangkok</t>
        </is>
      </c>
      <c r="C24" t="inlineStr">
        <is>
          <t>Thailand</t>
        </is>
      </c>
      <c r="D24" t="inlineStr">
        <is>
          <t>Southeast Asia</t>
        </is>
      </c>
      <c r="E24" t="inlineStr">
        <is>
          <t>cultural_public_life_raw</t>
        </is>
      </c>
      <c r="F24" t="inlineStr">
        <is>
          <t>Cultural public life raw</t>
        </is>
      </c>
      <c r="G24" t="inlineStr">
        <is>
          <t>community</t>
        </is>
      </c>
      <c r="H24" t="inlineStr">
        <is>
          <t>yes</t>
        </is>
      </c>
      <c r="I24" t="inlineStr">
        <is>
          <t>556.96</t>
        </is>
      </c>
      <c r="J24" t="inlineStr">
        <is>
          <t>world_bank</t>
        </is>
      </c>
      <c r="K24" t="inlineStr">
        <is>
          <t>https://api.worldbank.org/v2/country/THA/indicator/ST.INT.ARVL?format=json&amp;mrv=10</t>
        </is>
      </c>
      <c r="L24" t="inlineStr">
        <is>
          <t>World Bank WDI: International tourism arrivals per 1 000 population</t>
        </is>
      </c>
      <c r="M24" t="inlineStr">
        <is>
          <t>2019-12-31</t>
        </is>
      </c>
      <c r="N24" t="inlineStr">
        <is>
          <t>auto_ingest=cultural_life_proxy; indicator=ST.INT.ARVL; norm=per_1000_pop; year=2019; country_proxy=Thailand</t>
        </is>
      </c>
    </row>
    <row r="25">
      <c r="A25" t="inlineStr">
        <is>
          <t>th-bangkok</t>
        </is>
      </c>
      <c r="B25" t="inlineStr">
        <is>
          <t>Bangkok</t>
        </is>
      </c>
      <c r="C25" t="inlineStr">
        <is>
          <t>Thailand</t>
        </is>
      </c>
      <c r="D25" t="inlineStr">
        <is>
          <t>Southeast Asia</t>
        </is>
      </c>
      <c r="E25" t="inlineStr">
        <is>
          <t>birth_rate_optimism_raw</t>
        </is>
      </c>
      <c r="F25" t="inlineStr">
        <is>
          <t>Birth rate and societal optimism raw</t>
        </is>
      </c>
      <c r="G25" t="inlineStr">
        <is>
          <t>community</t>
        </is>
      </c>
      <c r="H25" t="inlineStr">
        <is>
          <t>yes</t>
        </is>
      </c>
      <c r="I25" t="inlineStr">
        <is>
          <t>1.08</t>
        </is>
      </c>
      <c r="J25" t="inlineStr">
        <is>
          <t>world_bank</t>
        </is>
      </c>
      <c r="K25" t="inlineStr">
        <is>
          <t>https://data.worldbank.org/indicator/SP.DYN.TFRT.IN</t>
        </is>
      </c>
      <c r="L25" t="inlineStr">
        <is>
          <t>World Bank Total Fertility Rate 2023</t>
        </is>
      </c>
      <c r="M25" t="inlineStr">
        <is>
          <t>2024-01-01</t>
        </is>
      </c>
      <c r="N25" t="inlineStr"/>
    </row>
    <row r="26">
      <c r="A26" t="inlineStr">
        <is>
          <t>th-bangkok</t>
        </is>
      </c>
      <c r="B26" t="inlineStr">
        <is>
          <t>Bangkok</t>
        </is>
      </c>
      <c r="C26" t="inlineStr">
        <is>
          <t>Thailand</t>
        </is>
      </c>
      <c r="D26" t="inlineStr">
        <is>
          <t>Southeast Asia</t>
        </is>
      </c>
      <c r="E26" t="inlineStr">
        <is>
          <t>entrepreneurial_dynamism_raw</t>
        </is>
      </c>
      <c r="F26" t="inlineStr">
        <is>
          <t>Entrepreneurial dynamism raw</t>
        </is>
      </c>
      <c r="G26" t="inlineStr">
        <is>
          <t>creative</t>
        </is>
      </c>
      <c r="H26" t="inlineStr">
        <is>
          <t>yes</t>
        </is>
      </c>
      <c r="I26" t="inlineStr">
        <is>
          <t>1.54</t>
        </is>
      </c>
      <c r="J26" t="inlineStr">
        <is>
          <t>world_bank</t>
        </is>
      </c>
      <c r="K26" t="inlineStr">
        <is>
          <t>https://api.worldbank.org/v2/country/THA/indicator/IC.BUS.NDNS.ZS?format=json&amp;mrv=10</t>
        </is>
      </c>
      <c r="L26" t="inlineStr">
        <is>
          <t>World Bank WDI: New business density (new registrations per 1,000 people ages 15-64)</t>
        </is>
      </c>
      <c r="M26" t="inlineStr">
        <is>
          <t>2022-12-31</t>
        </is>
      </c>
      <c r="N26" t="inlineStr">
        <is>
          <t>auto_ingest=world_bank_creative_extended; indicator=IC.BUS.NDNS.ZS; year=2022; country_proxy=Thailand</t>
        </is>
      </c>
    </row>
    <row r="27">
      <c r="A27" t="inlineStr">
        <is>
          <t>th-bangkok</t>
        </is>
      </c>
      <c r="B27" t="inlineStr">
        <is>
          <t>Bangkok</t>
        </is>
      </c>
      <c r="C27" t="inlineStr">
        <is>
          <t>Thailand</t>
        </is>
      </c>
      <c r="D27" t="inlineStr">
        <is>
          <t>Southeast Asia</t>
        </is>
      </c>
      <c r="E27" t="inlineStr">
        <is>
          <t>innovation_research_intensity_raw</t>
        </is>
      </c>
      <c r="F27" t="inlineStr">
        <is>
          <t>Innovation and research raw</t>
        </is>
      </c>
      <c r="G27" t="inlineStr">
        <is>
          <t>creative</t>
        </is>
      </c>
      <c r="H27" t="inlineStr">
        <is>
          <t>yes</t>
        </is>
      </c>
      <c r="I27" t="inlineStr">
        <is>
          <t>1.16</t>
        </is>
      </c>
      <c r="J27" t="inlineStr">
        <is>
          <t>world_bank</t>
        </is>
      </c>
      <c r="K27" t="inlineStr">
        <is>
          <t>https://api.worldbank.org/v2/country/THA/indicator/GB.XPD.RSDV.GD.ZS?format=json&amp;mrv=10</t>
        </is>
      </c>
      <c r="L27" t="inlineStr">
        <is>
          <t>World Bank WDI: Research and development expenditure (% of GDP)</t>
        </is>
      </c>
      <c r="M27" t="inlineStr">
        <is>
          <t>2022-12-31</t>
        </is>
      </c>
      <c r="N27" t="inlineStr">
        <is>
          <t>auto_ingest=world_bank_creative_extended; indicator=GB.XPD.RSDV.GD.ZS; year=2022; country_proxy=Thailand</t>
        </is>
      </c>
    </row>
    <row r="28">
      <c r="A28" t="inlineStr">
        <is>
          <t>th-bangkok</t>
        </is>
      </c>
      <c r="B28" t="inlineStr">
        <is>
          <t>Bangkok</t>
        </is>
      </c>
      <c r="C28" t="inlineStr">
        <is>
          <t>Thailand</t>
        </is>
      </c>
      <c r="D28" t="inlineStr">
        <is>
          <t>Southeast Asia</t>
        </is>
      </c>
      <c r="E28" t="inlineStr">
        <is>
          <t>investment_signal_raw</t>
        </is>
      </c>
      <c r="F28" t="inlineStr">
        <is>
          <t>Investment signal raw</t>
        </is>
      </c>
      <c r="G28" t="inlineStr">
        <is>
          <t>creative</t>
        </is>
      </c>
      <c r="H28" t="inlineStr">
        <is>
          <t>yes</t>
        </is>
      </c>
      <c r="I28" t="inlineStr">
        <is>
          <t>2.72</t>
        </is>
      </c>
      <c r="J28" t="inlineStr">
        <is>
          <t>world_bank</t>
        </is>
      </c>
      <c r="K28" t="inlineStr">
        <is>
          <t>https://api.worldbank.org/v2/country/THA/indicator/BX.KLT.DINV.WD.GD.ZS?format=json&amp;mrv=10</t>
        </is>
      </c>
      <c r="L28" t="inlineStr">
        <is>
          <t>World Bank WDI: Foreign direct investment, net inflows (% of GDP)</t>
        </is>
      </c>
      <c r="M28" t="inlineStr">
        <is>
          <t>2024-12-31</t>
        </is>
      </c>
      <c r="N28" t="inlineStr">
        <is>
          <t>auto_ingest=world_bank_creative_extended; indicator=BX.KLT.DINV.WD.GD.ZS; year=2024; country_proxy=Thailand</t>
        </is>
      </c>
    </row>
    <row r="29">
      <c r="A29" t="inlineStr">
        <is>
          <t>th-bangkok</t>
        </is>
      </c>
      <c r="B29" t="inlineStr">
        <is>
          <t>Bangkok</t>
        </is>
      </c>
      <c r="C29" t="inlineStr">
        <is>
          <t>Thailand</t>
        </is>
      </c>
      <c r="D29" t="inlineStr">
        <is>
          <t>Southeast Asia</t>
        </is>
      </c>
      <c r="E29" t="inlineStr">
        <is>
          <t>administrative_investment_friction_raw</t>
        </is>
      </c>
      <c r="F29" t="inlineStr">
        <is>
          <t>Administrative investment friction raw</t>
        </is>
      </c>
      <c r="G29" t="inlineStr">
        <is>
          <t>creative</t>
        </is>
      </c>
      <c r="H29" t="inlineStr">
        <is>
          <t>yes</t>
        </is>
      </c>
      <c r="I29" t="inlineStr">
        <is>
          <t>2.34</t>
        </is>
      </c>
      <c r="J29" t="inlineStr">
        <is>
          <t>world_bank</t>
        </is>
      </c>
      <c r="K29" t="inlineStr">
        <is>
          <t>https://api.worldbank.org/v2/country/THA/indicator/RQ.EST?format=json&amp;mrv=10</t>
        </is>
      </c>
      <c r="L29" t="inlineStr">
        <is>
          <t>World Bank WGI: Regulatory Quality (inverted as friction proxy)</t>
        </is>
      </c>
      <c r="M29" t="inlineStr">
        <is>
          <t>2023-12-31</t>
        </is>
      </c>
      <c r="N29" t="inlineStr">
        <is>
          <t>auto_ingest=world_bank_business_friction; indicator=RQ.EST; raw_rq=0.158257782459259; friction=2.34; year=2023; country_proxy=Thailand</t>
        </is>
      </c>
    </row>
    <row r="30">
      <c r="A30" t="inlineStr">
        <is>
          <t>th-bangkok</t>
        </is>
      </c>
      <c r="B30" t="inlineStr">
        <is>
          <t>Bangkok</t>
        </is>
      </c>
      <c r="C30" t="inlineStr">
        <is>
          <t>Thailand</t>
        </is>
      </c>
      <c r="D30" t="inlineStr">
        <is>
          <t>Southeast Asia</t>
        </is>
      </c>
      <c r="E30" t="inlineStr">
        <is>
          <t>visitor_flow_context_raw</t>
        </is>
      </c>
      <c r="F30" t="inlineStr">
        <is>
          <t>Visitor flow context raw</t>
        </is>
      </c>
      <c r="G30" t="inlineStr">
        <is>
          <t>creative</t>
        </is>
      </c>
      <c r="H30" t="inlineStr">
        <is>
          <t>no</t>
        </is>
      </c>
      <c r="I30" t="inlineStr"/>
      <c r="J30" t="inlineStr"/>
      <c r="K30" t="inlineStr"/>
      <c r="L30" t="inlineStr"/>
      <c r="M30" t="inlineStr"/>
      <c r="N30" t="inlineStr"/>
    </row>
    <row r="31">
      <c r="A31" t="inlineStr">
        <is>
          <t>sg-singapore</t>
        </is>
      </c>
      <c r="B31" t="inlineStr">
        <is>
          <t>Singapore</t>
        </is>
      </c>
      <c r="C31" t="inlineStr">
        <is>
          <t>Singapore</t>
        </is>
      </c>
      <c r="D31" t="inlineStr">
        <is>
          <t>Southeast Asia</t>
        </is>
      </c>
      <c r="E31" t="inlineStr">
        <is>
          <t>gross_income</t>
        </is>
      </c>
      <c r="F31" t="inlineStr">
        <is>
          <t>Gross income</t>
        </is>
      </c>
      <c r="G31" t="inlineStr">
        <is>
          <t>pressure</t>
        </is>
      </c>
      <c r="H31" t="inlineStr">
        <is>
          <t>yes</t>
        </is>
      </c>
      <c r="I31" t="inlineStr">
        <is>
          <t>10515.83</t>
        </is>
      </c>
      <c r="J31" t="inlineStr">
        <is>
          <t>world_bank_col_estimate</t>
        </is>
      </c>
      <c r="K31" t="inlineStr">
        <is>
          <t>https://api.worldbank.org/v2/country/SGP/indicator/NY.GNP.PCAP.PP.CD?format=json&amp;mrv=10</t>
        </is>
      </c>
      <c r="L31" t="inlineStr">
        <is>
          <t>World Bank WDI: GNI per capita PPP (monthly USD)</t>
        </is>
      </c>
      <c r="M31" t="inlineStr">
        <is>
          <t>2024-12-31</t>
        </is>
      </c>
      <c r="N31" t="inlineStr">
        <is>
          <t>auto_ingest=world_bank_col_estimate; gni_annual=126190.0; year=2024; country_proxy=Singapore; cohort=Southeast Asia</t>
        </is>
      </c>
    </row>
    <row r="32">
      <c r="A32" t="inlineStr">
        <is>
          <t>sg-singapore</t>
        </is>
      </c>
      <c r="B32" t="inlineStr">
        <is>
          <t>Singapore</t>
        </is>
      </c>
      <c r="C32" t="inlineStr">
        <is>
          <t>Singapore</t>
        </is>
      </c>
      <c r="D32" t="inlineStr">
        <is>
          <t>Southeast Asia</t>
        </is>
      </c>
      <c r="E32" t="inlineStr">
        <is>
          <t>di_ppp_raw</t>
        </is>
      </c>
      <c r="F32" t="inlineStr">
        <is>
          <t>Disposable income PPP (Raw)</t>
        </is>
      </c>
      <c r="G32" t="inlineStr">
        <is>
          <t>pressure</t>
        </is>
      </c>
      <c r="H32" t="inlineStr">
        <is>
          <t>yes</t>
        </is>
      </c>
      <c r="I32" t="inlineStr"/>
      <c r="J32" t="inlineStr"/>
      <c r="K32" t="inlineStr"/>
      <c r="L32" t="inlineStr"/>
      <c r="M32" t="inlineStr"/>
      <c r="N32" t="inlineStr"/>
    </row>
    <row r="33">
      <c r="A33" t="inlineStr">
        <is>
          <t>sg-singapore</t>
        </is>
      </c>
      <c r="B33" t="inlineStr">
        <is>
          <t>Singapore</t>
        </is>
      </c>
      <c r="C33" t="inlineStr">
        <is>
          <t>Singapore</t>
        </is>
      </c>
      <c r="D33" t="inlineStr">
        <is>
          <t>Southeast Asia</t>
        </is>
      </c>
      <c r="E33" t="inlineStr">
        <is>
          <t>rent</t>
        </is>
      </c>
      <c r="F33" t="inlineStr">
        <is>
          <t>Rent</t>
        </is>
      </c>
      <c r="G33" t="inlineStr">
        <is>
          <t>pressure</t>
        </is>
      </c>
      <c r="H33" t="inlineStr">
        <is>
          <t>yes</t>
        </is>
      </c>
      <c r="I33" t="inlineStr">
        <is>
          <t>2839.27</t>
        </is>
      </c>
      <c r="J33" t="inlineStr">
        <is>
          <t>world_bank_col_estimate</t>
        </is>
      </c>
      <c r="K33" t="inlineStr">
        <is>
          <t>https://api.worldbank.org/v2/country/SGP/indicator/NY.GNP.PCAP.PP.CD?format=json&amp;mrv=10</t>
        </is>
      </c>
      <c r="L33" t="inlineStr">
        <is>
          <t>World Bank GNI + regional expenditure ratio estimate</t>
        </is>
      </c>
      <c r="M33" t="inlineStr">
        <is>
          <t>2024-12-31</t>
        </is>
      </c>
      <c r="N33" t="inlineStr">
        <is>
          <t>auto_ingest=world_bank_col_estimate; gni_annual=126190.0; year=2024; country_proxy=Singapore; cohort=Southeast Asia; city_cost_mult=1.35</t>
        </is>
      </c>
    </row>
    <row r="34">
      <c r="A34" t="inlineStr">
        <is>
          <t>sg-singapore</t>
        </is>
      </c>
      <c r="B34" t="inlineStr">
        <is>
          <t>Singapore</t>
        </is>
      </c>
      <c r="C34" t="inlineStr">
        <is>
          <t>Singapore</t>
        </is>
      </c>
      <c r="D34" t="inlineStr">
        <is>
          <t>Southeast Asia</t>
        </is>
      </c>
      <c r="E34" t="inlineStr">
        <is>
          <t>utilities</t>
        </is>
      </c>
      <c r="F34" t="inlineStr">
        <is>
          <t>Utilities</t>
        </is>
      </c>
      <c r="G34" t="inlineStr">
        <is>
          <t>pressure</t>
        </is>
      </c>
      <c r="H34" t="inlineStr">
        <is>
          <t>yes</t>
        </is>
      </c>
      <c r="I34" t="inlineStr">
        <is>
          <t>709.82</t>
        </is>
      </c>
      <c r="J34" t="inlineStr">
        <is>
          <t>world_bank_col_estimate</t>
        </is>
      </c>
      <c r="K34" t="inlineStr">
        <is>
          <t>https://api.worldbank.org/v2/country/SGP/indicator/NY.GNP.PCAP.PP.CD?format=json&amp;mrv=10</t>
        </is>
      </c>
      <c r="L34" t="inlineStr">
        <is>
          <t>World Bank GNI + regional expenditure ratio estimate</t>
        </is>
      </c>
      <c r="M34" t="inlineStr">
        <is>
          <t>2024-12-31</t>
        </is>
      </c>
      <c r="N34" t="inlineStr">
        <is>
          <t>auto_ingest=world_bank_col_estimate; gni_annual=126190.0; year=2024; country_proxy=Singapore; cohort=Southeast Asia; city_cost_mult=1.35</t>
        </is>
      </c>
    </row>
    <row r="35">
      <c r="A35" t="inlineStr">
        <is>
          <t>sg-singapore</t>
        </is>
      </c>
      <c r="B35" t="inlineStr">
        <is>
          <t>Singapore</t>
        </is>
      </c>
      <c r="C35" t="inlineStr">
        <is>
          <t>Singapore</t>
        </is>
      </c>
      <c r="D35" t="inlineStr">
        <is>
          <t>Southeast Asia</t>
        </is>
      </c>
      <c r="E35" t="inlineStr">
        <is>
          <t>transit_cost</t>
        </is>
      </c>
      <c r="F35" t="inlineStr">
        <is>
          <t>Transit cost</t>
        </is>
      </c>
      <c r="G35" t="inlineStr">
        <is>
          <t>pressure</t>
        </is>
      </c>
      <c r="H35" t="inlineStr">
        <is>
          <t>yes</t>
        </is>
      </c>
      <c r="I35" t="inlineStr">
        <is>
          <t>567.85</t>
        </is>
      </c>
      <c r="J35" t="inlineStr">
        <is>
          <t>world_bank_col_estimate</t>
        </is>
      </c>
      <c r="K35" t="inlineStr">
        <is>
          <t>https://api.worldbank.org/v2/country/SGP/indicator/NY.GNP.PCAP.PP.CD?format=json&amp;mrv=10</t>
        </is>
      </c>
      <c r="L35" t="inlineStr">
        <is>
          <t>World Bank GNI + regional expenditure ratio estimate</t>
        </is>
      </c>
      <c r="M35" t="inlineStr">
        <is>
          <t>2024-12-31</t>
        </is>
      </c>
      <c r="N35" t="inlineStr">
        <is>
          <t>auto_ingest=world_bank_col_estimate; gni_annual=126190.0; year=2024; country_proxy=Singapore; cohort=Southeast Asia; city_cost_mult=1.35</t>
        </is>
      </c>
    </row>
    <row r="36">
      <c r="A36" t="inlineStr">
        <is>
          <t>sg-singapore</t>
        </is>
      </c>
      <c r="B36" t="inlineStr">
        <is>
          <t>Singapore</t>
        </is>
      </c>
      <c r="C36" t="inlineStr">
        <is>
          <t>Singapore</t>
        </is>
      </c>
      <c r="D36" t="inlineStr">
        <is>
          <t>Southeast Asia</t>
        </is>
      </c>
      <c r="E36" t="inlineStr">
        <is>
          <t>internet_cost</t>
        </is>
      </c>
      <c r="F36" t="inlineStr">
        <is>
          <t>Internet cost</t>
        </is>
      </c>
      <c r="G36" t="inlineStr">
        <is>
          <t>pressure</t>
        </is>
      </c>
      <c r="H36" t="inlineStr">
        <is>
          <t>yes</t>
        </is>
      </c>
      <c r="I36" t="inlineStr">
        <is>
          <t>212.95</t>
        </is>
      </c>
      <c r="J36" t="inlineStr">
        <is>
          <t>world_bank_col_estimate</t>
        </is>
      </c>
      <c r="K36" t="inlineStr">
        <is>
          <t>https://api.worldbank.org/v2/country/SGP/indicator/NY.GNP.PCAP.PP.CD?format=json&amp;mrv=10</t>
        </is>
      </c>
      <c r="L36" t="inlineStr">
        <is>
          <t>World Bank GNI + regional expenditure ratio estimate</t>
        </is>
      </c>
      <c r="M36" t="inlineStr">
        <is>
          <t>2024-12-31</t>
        </is>
      </c>
      <c r="N36" t="inlineStr">
        <is>
          <t>auto_ingest=world_bank_col_estimate; gni_annual=126190.0; year=2024; country_proxy=Singapore; cohort=Southeast Asia; city_cost_mult=1.35</t>
        </is>
      </c>
    </row>
    <row r="37">
      <c r="A37" t="inlineStr">
        <is>
          <t>sg-singapore</t>
        </is>
      </c>
      <c r="B37" t="inlineStr">
        <is>
          <t>Singapore</t>
        </is>
      </c>
      <c r="C37" t="inlineStr">
        <is>
          <t>Singapore</t>
        </is>
      </c>
      <c r="D37" t="inlineStr">
        <is>
          <t>Southeast Asia</t>
        </is>
      </c>
      <c r="E37" t="inlineStr">
        <is>
          <t>food_cost</t>
        </is>
      </c>
      <c r="F37" t="inlineStr">
        <is>
          <t>Food cost</t>
        </is>
      </c>
      <c r="G37" t="inlineStr">
        <is>
          <t>pressure</t>
        </is>
      </c>
      <c r="H37" t="inlineStr">
        <is>
          <t>yes</t>
        </is>
      </c>
      <c r="I37" t="inlineStr">
        <is>
          <t>3123.2</t>
        </is>
      </c>
      <c r="J37" t="inlineStr">
        <is>
          <t>world_bank_col_estimate</t>
        </is>
      </c>
      <c r="K37" t="inlineStr">
        <is>
          <t>https://api.worldbank.org/v2/country/SGP/indicator/NY.GNP.PCAP.PP.CD?format=json&amp;mrv=10</t>
        </is>
      </c>
      <c r="L37" t="inlineStr">
        <is>
          <t>World Bank GNI + regional expenditure ratio estimate</t>
        </is>
      </c>
      <c r="M37" t="inlineStr">
        <is>
          <t>2024-12-31</t>
        </is>
      </c>
      <c r="N37" t="inlineStr">
        <is>
          <t>auto_ingest=world_bank_col_estimate; gni_annual=126190.0; year=2024; country_proxy=Singapore; cohort=Southeast Asia; city_cost_mult=1.35</t>
        </is>
      </c>
    </row>
    <row r="38">
      <c r="A38" t="inlineStr">
        <is>
          <t>sg-singapore</t>
        </is>
      </c>
      <c r="B38" t="inlineStr">
        <is>
          <t>Singapore</t>
        </is>
      </c>
      <c r="C38" t="inlineStr">
        <is>
          <t>Singapore</t>
        </is>
      </c>
      <c r="D38" t="inlineStr">
        <is>
          <t>Southeast Asia</t>
        </is>
      </c>
      <c r="E38" t="inlineStr">
        <is>
          <t>housing_burden_raw</t>
        </is>
      </c>
      <c r="F38" t="inlineStr">
        <is>
          <t>Housing burden raw</t>
        </is>
      </c>
      <c r="G38" t="inlineStr">
        <is>
          <t>pressure</t>
        </is>
      </c>
      <c r="H38" t="inlineStr">
        <is>
          <t>yes</t>
        </is>
      </c>
      <c r="I38" t="inlineStr">
        <is>
          <t>27.0</t>
        </is>
      </c>
      <c r="J38" t="inlineStr">
        <is>
          <t>derived</t>
        </is>
      </c>
      <c r="K38" t="inlineStr">
        <is>
          <t>https://data.worldbank.org/indicator/NY.GNP.PCAP.PP.CD</t>
        </is>
      </c>
      <c r="L38" t="inlineStr">
        <is>
          <t>Computed from city_inputs + country_context</t>
        </is>
      </c>
      <c r="M38" t="inlineStr">
        <is>
          <t>2024-01-01</t>
        </is>
      </c>
      <c r="N38" t="inlineStr">
        <is>
          <t>derived=rent/gross_income*100</t>
        </is>
      </c>
    </row>
    <row r="39">
      <c r="A39" t="inlineStr">
        <is>
          <t>sg-singapore</t>
        </is>
      </c>
      <c r="B39" t="inlineStr">
        <is>
          <t>Singapore</t>
        </is>
      </c>
      <c r="C39" t="inlineStr">
        <is>
          <t>Singapore</t>
        </is>
      </c>
      <c r="D39" t="inlineStr">
        <is>
          <t>Southeast Asia</t>
        </is>
      </c>
      <c r="E39" t="inlineStr">
        <is>
          <t>household_debt_burden_raw</t>
        </is>
      </c>
      <c r="F39" t="inlineStr">
        <is>
          <t>Household debt burden raw</t>
        </is>
      </c>
      <c r="G39" t="inlineStr">
        <is>
          <t>pressure</t>
        </is>
      </c>
      <c r="H39" t="inlineStr">
        <is>
          <t>yes</t>
        </is>
      </c>
      <c r="I39" t="inlineStr">
        <is>
          <t>129.1908</t>
        </is>
      </c>
      <c r="J39" t="inlineStr">
        <is>
          <t>derived</t>
        </is>
      </c>
      <c r="K39" t="inlineStr">
        <is>
          <t>https://data.worldbank.org/indicator/NY.GNP.PCAP.PP.CD</t>
        </is>
      </c>
      <c r="L39" t="inlineStr">
        <is>
          <t>Computed from city_inputs + country_context</t>
        </is>
      </c>
      <c r="M39" t="inlineStr">
        <is>
          <t>2024-01-01</t>
        </is>
      </c>
      <c r="N39" t="inlineStr">
        <is>
          <t>derived=country_context.household_debt_proxy; country=Singapore</t>
        </is>
      </c>
    </row>
    <row r="40">
      <c r="A40" t="inlineStr">
        <is>
          <t>sg-singapore</t>
        </is>
      </c>
      <c r="B40" t="inlineStr">
        <is>
          <t>Singapore</t>
        </is>
      </c>
      <c r="C40" t="inlineStr">
        <is>
          <t>Singapore</t>
        </is>
      </c>
      <c r="D40" t="inlineStr">
        <is>
          <t>Southeast Asia</t>
        </is>
      </c>
      <c r="E40" t="inlineStr">
        <is>
          <t>working_time_pressure_raw</t>
        </is>
      </c>
      <c r="F40" t="inlineStr">
        <is>
          <t>Working time pressure raw</t>
        </is>
      </c>
      <c r="G40" t="inlineStr">
        <is>
          <t>pressure</t>
        </is>
      </c>
      <c r="H40" t="inlineStr">
        <is>
          <t>yes</t>
        </is>
      </c>
      <c r="I40" t="inlineStr">
        <is>
          <t>42.6</t>
        </is>
      </c>
      <c r="J40" t="inlineStr">
        <is>
          <t>ilo_ilostat</t>
        </is>
      </c>
      <c r="K40" t="inlineStr">
        <is>
          <t>https://ilostat.ilo.org/data/indicator/?id=HOW_TEMP_SEX_ECO_NB_A&amp;ref_area=SGP</t>
        </is>
      </c>
      <c r="L40" t="inlineStr">
        <is>
          <t>ILO ILOSTAT: Mean weekly hours actually worked per employed person</t>
        </is>
      </c>
      <c r="M40" t="inlineStr">
        <is>
          <t>2020-12-31</t>
        </is>
      </c>
      <c r="N40" t="inlineStr">
        <is>
          <t>auto_ingest=ilo_working_hours; indicator=HOW_TEMP_SEX_ECO_NB_A; year=2020; hours=42.6; country_proxy=Singapore</t>
        </is>
      </c>
    </row>
    <row r="41">
      <c r="A41" t="inlineStr">
        <is>
          <t>sg-singapore</t>
        </is>
      </c>
      <c r="B41" t="inlineStr">
        <is>
          <t>Singapore</t>
        </is>
      </c>
      <c r="C41" t="inlineStr">
        <is>
          <t>Singapore</t>
        </is>
      </c>
      <c r="D41" t="inlineStr">
        <is>
          <t>Southeast Asia</t>
        </is>
      </c>
      <c r="E41" t="inlineStr">
        <is>
          <t>suicide_mental_strain_raw</t>
        </is>
      </c>
      <c r="F41" t="inlineStr">
        <is>
          <t>Suicide or mental strain raw</t>
        </is>
      </c>
      <c r="G41" t="inlineStr">
        <is>
          <t>pressure</t>
        </is>
      </c>
      <c r="H41" t="inlineStr">
        <is>
          <t>yes</t>
        </is>
      </c>
      <c r="I41" t="inlineStr">
        <is>
          <t>8.1</t>
        </is>
      </c>
      <c r="J41" t="inlineStr">
        <is>
          <t>who_gho</t>
        </is>
      </c>
      <c r="K41" t="inlineStr">
        <is>
          <t>https://www.who.int/data/gho/data/indicators/indicator-details/GHO/SDGSUICIDE</t>
        </is>
      </c>
      <c r="L41" t="inlineStr">
        <is>
          <t>WHO GHO: Age-standardized suicide rate (per 100,000 population)</t>
        </is>
      </c>
      <c r="M41" t="inlineStr">
        <is>
          <t>2021-12-31</t>
        </is>
      </c>
      <c r="N41" t="inlineStr">
        <is>
          <t>auto_ingest=who_gho; indicator=SDGSUICIDE; year=2021; country_proxy=Singapore</t>
        </is>
      </c>
    </row>
    <row r="42">
      <c r="A42" t="inlineStr">
        <is>
          <t>sg-singapore</t>
        </is>
      </c>
      <c r="B42" t="inlineStr">
        <is>
          <t>Singapore</t>
        </is>
      </c>
      <c r="C42" t="inlineStr">
        <is>
          <t>Singapore</t>
        </is>
      </c>
      <c r="D42" t="inlineStr">
        <is>
          <t>Southeast Asia</t>
        </is>
      </c>
      <c r="E42" t="inlineStr">
        <is>
          <t>personal_safety_raw</t>
        </is>
      </c>
      <c r="F42" t="inlineStr">
        <is>
          <t>Personal safety raw</t>
        </is>
      </c>
      <c r="G42" t="inlineStr">
        <is>
          <t>viability</t>
        </is>
      </c>
      <c r="H42" t="inlineStr">
        <is>
          <t>yes</t>
        </is>
      </c>
      <c r="I42" t="inlineStr">
        <is>
          <t>0.07</t>
        </is>
      </c>
      <c r="J42" t="inlineStr">
        <is>
          <t>world_bank</t>
        </is>
      </c>
      <c r="K42" t="inlineStr">
        <is>
          <t>https://api.worldbank.org/v2/country/SGP/indicator/VC.IHR.PSRC.P5?format=json&amp;mrv=10</t>
        </is>
      </c>
      <c r="L42" t="inlineStr">
        <is>
          <t>UNODC via World Bank WDI: Intentional homicides (per 100,000 people)</t>
        </is>
      </c>
      <c r="M42" t="inlineStr">
        <is>
          <t>2023-12-31</t>
        </is>
      </c>
      <c r="N42" t="inlineStr">
        <is>
          <t>auto_ingest=unodc_safety; indicator=VC.IHR.PSRC.P5; year=2023; country_proxy=Singapore</t>
        </is>
      </c>
    </row>
    <row r="43">
      <c r="A43" t="inlineStr">
        <is>
          <t>sg-singapore</t>
        </is>
      </c>
      <c r="B43" t="inlineStr">
        <is>
          <t>Singapore</t>
        </is>
      </c>
      <c r="C43" t="inlineStr">
        <is>
          <t>Singapore</t>
        </is>
      </c>
      <c r="D43" t="inlineStr">
        <is>
          <t>Southeast Asia</t>
        </is>
      </c>
      <c r="E43" t="inlineStr">
        <is>
          <t>transit_access_commute_raw</t>
        </is>
      </c>
      <c r="F43" t="inlineStr">
        <is>
          <t>Transit access and commute raw</t>
        </is>
      </c>
      <c r="G43" t="inlineStr">
        <is>
          <t>viability</t>
        </is>
      </c>
      <c r="H43" t="inlineStr">
        <is>
          <t>yes</t>
        </is>
      </c>
      <c r="I43" t="inlineStr"/>
      <c r="J43" t="inlineStr"/>
      <c r="K43" t="inlineStr"/>
      <c r="L43" t="inlineStr"/>
      <c r="M43" t="inlineStr"/>
      <c r="N43" t="inlineStr"/>
    </row>
    <row r="44">
      <c r="A44" t="inlineStr">
        <is>
          <t>sg-singapore</t>
        </is>
      </c>
      <c r="B44" t="inlineStr">
        <is>
          <t>Singapore</t>
        </is>
      </c>
      <c r="C44" t="inlineStr">
        <is>
          <t>Singapore</t>
        </is>
      </c>
      <c r="D44" t="inlineStr">
        <is>
          <t>Southeast Asia</t>
        </is>
      </c>
      <c r="E44" t="inlineStr">
        <is>
          <t>clean_air_raw</t>
        </is>
      </c>
      <c r="F44" t="inlineStr">
        <is>
          <t>Clean air raw</t>
        </is>
      </c>
      <c r="G44" t="inlineStr">
        <is>
          <t>viability</t>
        </is>
      </c>
      <c r="H44" t="inlineStr">
        <is>
          <t>yes</t>
        </is>
      </c>
      <c r="I44" t="inlineStr"/>
      <c r="J44" t="inlineStr"/>
      <c r="K44" t="inlineStr"/>
      <c r="L44" t="inlineStr"/>
      <c r="M44" t="inlineStr"/>
      <c r="N44" t="inlineStr"/>
    </row>
    <row r="45">
      <c r="A45" t="inlineStr">
        <is>
          <t>sg-singapore</t>
        </is>
      </c>
      <c r="B45" t="inlineStr">
        <is>
          <t>Singapore</t>
        </is>
      </c>
      <c r="C45" t="inlineStr">
        <is>
          <t>Singapore</t>
        </is>
      </c>
      <c r="D45" t="inlineStr">
        <is>
          <t>Southeast Asia</t>
        </is>
      </c>
      <c r="E45" t="inlineStr">
        <is>
          <t>water_sanitation_utility_raw</t>
        </is>
      </c>
      <c r="F45" t="inlineStr">
        <is>
          <t>Water, sanitation, and utility raw</t>
        </is>
      </c>
      <c r="G45" t="inlineStr">
        <is>
          <t>viability</t>
        </is>
      </c>
      <c r="H45" t="inlineStr">
        <is>
          <t>yes</t>
        </is>
      </c>
      <c r="I45" t="inlineStr">
        <is>
          <t>100.0</t>
        </is>
      </c>
      <c r="J45" t="inlineStr">
        <is>
          <t>world_bank</t>
        </is>
      </c>
      <c r="K45" t="inlineStr">
        <is>
          <t>https://api.worldbank.org/v2/country/SGP/indicator/SH.H2O.SMDW.ZS?format=json&amp;mrv=10</t>
        </is>
      </c>
      <c r="L45" t="inlineStr">
        <is>
          <t>World Bank WDI: People using safely managed drinking water services (% of population)</t>
        </is>
      </c>
      <c r="M45" t="inlineStr">
        <is>
          <t>2024-12-31</t>
        </is>
      </c>
      <c r="N45" t="inlineStr">
        <is>
          <t>auto_ingest=world_bank_proxy; indicator=SH.H2O.SMDW.ZS; year=2024; country_proxy=Singapore</t>
        </is>
      </c>
    </row>
    <row r="46">
      <c r="A46" t="inlineStr">
        <is>
          <t>sg-singapore</t>
        </is>
      </c>
      <c r="B46" t="inlineStr">
        <is>
          <t>Singapore</t>
        </is>
      </c>
      <c r="C46" t="inlineStr">
        <is>
          <t>Singapore</t>
        </is>
      </c>
      <c r="D46" t="inlineStr">
        <is>
          <t>Southeast Asia</t>
        </is>
      </c>
      <c r="E46" t="inlineStr">
        <is>
          <t>digital_infrastructure_raw</t>
        </is>
      </c>
      <c r="F46" t="inlineStr">
        <is>
          <t>Digital infrastructure raw</t>
        </is>
      </c>
      <c r="G46" t="inlineStr">
        <is>
          <t>viability</t>
        </is>
      </c>
      <c r="H46" t="inlineStr">
        <is>
          <t>yes</t>
        </is>
      </c>
      <c r="I46" t="inlineStr">
        <is>
          <t>27.43</t>
        </is>
      </c>
      <c r="J46" t="inlineStr">
        <is>
          <t>world_bank</t>
        </is>
      </c>
      <c r="K46" t="inlineStr">
        <is>
          <t>https://api.worldbank.org/v2/country/SGP/indicator/IT.NET.BBND.P2?format=json&amp;mrv=10</t>
        </is>
      </c>
      <c r="L46" t="inlineStr">
        <is>
          <t>World Bank WDI: Fixed broadband subscriptions (per 100 people)</t>
        </is>
      </c>
      <c r="M46" t="inlineStr">
        <is>
          <t>2023-12-31</t>
        </is>
      </c>
      <c r="N46" t="inlineStr">
        <is>
          <t>auto_ingest=world_bank_proxy; indicator=IT.NET.BBND.P2; year=2023; country_proxy=Singapore</t>
        </is>
      </c>
    </row>
    <row r="47">
      <c r="A47" t="inlineStr">
        <is>
          <t>sg-singapore</t>
        </is>
      </c>
      <c r="B47" t="inlineStr">
        <is>
          <t>Singapore</t>
        </is>
      </c>
      <c r="C47" t="inlineStr">
        <is>
          <t>Singapore</t>
        </is>
      </c>
      <c r="D47" t="inlineStr">
        <is>
          <t>Southeast Asia</t>
        </is>
      </c>
      <c r="E47" t="inlineStr">
        <is>
          <t>climate_sunlight_livability_raw</t>
        </is>
      </c>
      <c r="F47" t="inlineStr">
        <is>
          <t>Climate and sunlight livability raw</t>
        </is>
      </c>
      <c r="G47" t="inlineStr">
        <is>
          <t>viability</t>
        </is>
      </c>
      <c r="H47" t="inlineStr">
        <is>
          <t>yes</t>
        </is>
      </c>
      <c r="I47" t="inlineStr">
        <is>
          <t>62</t>
        </is>
      </c>
      <c r="J47" t="inlineStr">
        <is>
          <t>wmo_natl_met</t>
        </is>
      </c>
      <c r="K47" t="inlineStr">
        <is>
          <t>https://worldweather.wmo.int</t>
        </is>
      </c>
      <c r="L47" t="inlineStr">
        <is>
          <t>WMO/National Met: Climate livability composite</t>
        </is>
      </c>
      <c r="M47" t="inlineStr">
        <is>
          <t>2024-12-31</t>
        </is>
      </c>
      <c r="N47" t="inlineStr">
        <is>
          <t>auto_seed=climate_composite; 1960 sun hrs, 27C mean, high humidity penalty</t>
        </is>
      </c>
    </row>
    <row r="48">
      <c r="A48" t="inlineStr">
        <is>
          <t>sg-singapore</t>
        </is>
      </c>
      <c r="B48" t="inlineStr">
        <is>
          <t>Singapore</t>
        </is>
      </c>
      <c r="C48" t="inlineStr">
        <is>
          <t>Singapore</t>
        </is>
      </c>
      <c r="D48" t="inlineStr">
        <is>
          <t>Southeast Asia</t>
        </is>
      </c>
      <c r="E48" t="inlineStr">
        <is>
          <t>healthcare_quality_raw</t>
        </is>
      </c>
      <c r="F48" t="inlineStr">
        <is>
          <t>Healthcare quality raw</t>
        </is>
      </c>
      <c r="G48" t="inlineStr">
        <is>
          <t>capability</t>
        </is>
      </c>
      <c r="H48" t="inlineStr">
        <is>
          <t>yes</t>
        </is>
      </c>
      <c r="I48" t="inlineStr">
        <is>
          <t>88.0</t>
        </is>
      </c>
      <c r="J48" t="inlineStr">
        <is>
          <t>who_gho</t>
        </is>
      </c>
      <c r="K48" t="inlineStr">
        <is>
          <t>https://www.who.int/data/gho/data/indicators/indicator-details/GHO/UHC_INDEX_REPORTED</t>
        </is>
      </c>
      <c r="L48" t="inlineStr">
        <is>
          <t>WHO GHO: UHC Service Coverage Index</t>
        </is>
      </c>
      <c r="M48" t="inlineStr">
        <is>
          <t>2023-12-31</t>
        </is>
      </c>
      <c r="N48" t="inlineStr">
        <is>
          <t>auto_ingest=who_gho; indicator=UHC_INDEX_REPORTED; year=2023; country_proxy=Singapore</t>
        </is>
      </c>
    </row>
    <row r="49">
      <c r="A49" t="inlineStr">
        <is>
          <t>sg-singapore</t>
        </is>
      </c>
      <c r="B49" t="inlineStr">
        <is>
          <t>Singapore</t>
        </is>
      </c>
      <c r="C49" t="inlineStr">
        <is>
          <t>Singapore</t>
        </is>
      </c>
      <c r="D49" t="inlineStr">
        <is>
          <t>Southeast Asia</t>
        </is>
      </c>
      <c r="E49" t="inlineStr">
        <is>
          <t>education_quality_raw</t>
        </is>
      </c>
      <c r="F49" t="inlineStr">
        <is>
          <t>Education quality raw</t>
        </is>
      </c>
      <c r="G49" t="inlineStr">
        <is>
          <t>capability</t>
        </is>
      </c>
      <c r="H49" t="inlineStr">
        <is>
          <t>yes</t>
        </is>
      </c>
      <c r="I49" t="inlineStr">
        <is>
          <t>97.29</t>
        </is>
      </c>
      <c r="J49" t="inlineStr">
        <is>
          <t>world_bank</t>
        </is>
      </c>
      <c r="K49" t="inlineStr">
        <is>
          <t>https://api.worldbank.org/v2/country/SGP/indicator/SE.TER.ENRR?format=json&amp;mrv=10</t>
        </is>
      </c>
      <c r="L49" t="inlineStr">
        <is>
          <t>World Bank WDI: School enrollment, tertiary (% gross)</t>
        </is>
      </c>
      <c r="M49" t="inlineStr">
        <is>
          <t>2023-12-31</t>
        </is>
      </c>
      <c r="N49" t="inlineStr">
        <is>
          <t>auto_ingest=world_bank_proxy; indicator=SE.TER.ENRR; year=2023; country_proxy=Singapore</t>
        </is>
      </c>
    </row>
    <row r="50">
      <c r="A50" t="inlineStr">
        <is>
          <t>sg-singapore</t>
        </is>
      </c>
      <c r="B50" t="inlineStr">
        <is>
          <t>Singapore</t>
        </is>
      </c>
      <c r="C50" t="inlineStr">
        <is>
          <t>Singapore</t>
        </is>
      </c>
      <c r="D50" t="inlineStr">
        <is>
          <t>Southeast Asia</t>
        </is>
      </c>
      <c r="E50" t="inlineStr">
        <is>
          <t>equal_opportunity_raw</t>
        </is>
      </c>
      <c r="F50" t="inlineStr">
        <is>
          <t>Equal opportunity raw</t>
        </is>
      </c>
      <c r="G50" t="inlineStr">
        <is>
          <t>capability</t>
        </is>
      </c>
      <c r="H50" t="inlineStr">
        <is>
          <t>yes</t>
        </is>
      </c>
      <c r="I50" t="inlineStr"/>
      <c r="J50" t="inlineStr"/>
      <c r="K50" t="inlineStr"/>
      <c r="L50" t="inlineStr"/>
      <c r="M50" t="inlineStr"/>
      <c r="N50" t="inlineStr"/>
    </row>
    <row r="51">
      <c r="A51" t="inlineStr">
        <is>
          <t>sg-singapore</t>
        </is>
      </c>
      <c r="B51" t="inlineStr">
        <is>
          <t>Singapore</t>
        </is>
      </c>
      <c r="C51" t="inlineStr">
        <is>
          <t>Singapore</t>
        </is>
      </c>
      <c r="D51" t="inlineStr">
        <is>
          <t>Southeast Asia</t>
        </is>
      </c>
      <c r="E51" t="inlineStr">
        <is>
          <t>hospitality_belonging_raw</t>
        </is>
      </c>
      <c r="F51" t="inlineStr">
        <is>
          <t>Hospitality and belonging raw</t>
        </is>
      </c>
      <c r="G51" t="inlineStr">
        <is>
          <t>community</t>
        </is>
      </c>
      <c r="H51" t="inlineStr">
        <is>
          <t>yes</t>
        </is>
      </c>
      <c r="I51" t="inlineStr">
        <is>
          <t>52.8</t>
        </is>
      </c>
      <c r="J51" t="inlineStr">
        <is>
          <t>world_bank</t>
        </is>
      </c>
      <c r="K51" t="inlineStr">
        <is>
          <t>https://api.worldbank.org/v2/country/SGP/indicator/SM.POP.NETM?format=json&amp;mrv=10</t>
        </is>
      </c>
      <c r="L51" t="inlineStr">
        <is>
          <t>World Bank WDI: Net migration (proxy for hospitality/belonging — positive = welcoming)</t>
        </is>
      </c>
      <c r="M51" t="inlineStr">
        <is>
          <t>2025-12-31</t>
        </is>
      </c>
      <c r="N51" t="inlineStr">
        <is>
          <t>auto_ingest=world_bank_proxy; proxy=net_migration_hospitality; indicator=SM.POP.NETM; year=2025; country_proxy=Singapore</t>
        </is>
      </c>
    </row>
    <row r="52">
      <c r="A52" t="inlineStr">
        <is>
          <t>sg-singapore</t>
        </is>
      </c>
      <c r="B52" t="inlineStr">
        <is>
          <t>Singapore</t>
        </is>
      </c>
      <c r="C52" t="inlineStr">
        <is>
          <t>Singapore</t>
        </is>
      </c>
      <c r="D52" t="inlineStr">
        <is>
          <t>Southeast Asia</t>
        </is>
      </c>
      <c r="E52" t="inlineStr">
        <is>
          <t>tolerance_pluralism_raw</t>
        </is>
      </c>
      <c r="F52" t="inlineStr">
        <is>
          <t>Tolerance and pluralism raw</t>
        </is>
      </c>
      <c r="G52" t="inlineStr">
        <is>
          <t>community</t>
        </is>
      </c>
      <c r="H52" t="inlineStr">
        <is>
          <t>yes</t>
        </is>
      </c>
      <c r="I52" t="inlineStr">
        <is>
          <t>29.29</t>
        </is>
      </c>
      <c r="J52" t="inlineStr">
        <is>
          <t>world_bank</t>
        </is>
      </c>
      <c r="K52" t="inlineStr">
        <is>
          <t>https://api.worldbank.org/v2/country/SGP/indicator/SG.GEN.PARL.ZS?format=json&amp;mrv=10</t>
        </is>
      </c>
      <c r="L52" t="inlineStr">
        <is>
          <t>World Bank WDI: Proportion of seats held by women in national parliaments (%)</t>
        </is>
      </c>
      <c r="M52" t="inlineStr">
        <is>
          <t>2024-12-31</t>
        </is>
      </c>
      <c r="N52" t="inlineStr">
        <is>
          <t>auto_ingest=world_bank_proxy; proxy=gender_parity_parliament; indicator=SG.GEN.PARL.ZS; year=2024; country_proxy=Singapore</t>
        </is>
      </c>
    </row>
    <row r="53">
      <c r="A53" t="inlineStr">
        <is>
          <t>sg-singapore</t>
        </is>
      </c>
      <c r="B53" t="inlineStr">
        <is>
          <t>Singapore</t>
        </is>
      </c>
      <c r="C53" t="inlineStr">
        <is>
          <t>Singapore</t>
        </is>
      </c>
      <c r="D53" t="inlineStr">
        <is>
          <t>Southeast Asia</t>
        </is>
      </c>
      <c r="E53" t="inlineStr">
        <is>
          <t>cultural_public_life_raw</t>
        </is>
      </c>
      <c r="F53" t="inlineStr">
        <is>
          <t>Cultural public life raw</t>
        </is>
      </c>
      <c r="G53" t="inlineStr">
        <is>
          <t>community</t>
        </is>
      </c>
      <c r="H53" t="inlineStr">
        <is>
          <t>yes</t>
        </is>
      </c>
      <c r="I53" t="inlineStr">
        <is>
          <t>454.21</t>
        </is>
      </c>
      <c r="J53" t="inlineStr">
        <is>
          <t>world_bank</t>
        </is>
      </c>
      <c r="K53" t="inlineStr">
        <is>
          <t>https://api.worldbank.org/v2/country/SGP/indicator/ST.INT.ARVL?format=json&amp;mrv=10</t>
        </is>
      </c>
      <c r="L53" t="inlineStr">
        <is>
          <t>World Bank WDI: International tourism arrivals per 1 000 population</t>
        </is>
      </c>
      <c r="M53" t="inlineStr">
        <is>
          <t>2020-12-31</t>
        </is>
      </c>
      <c r="N53" t="inlineStr">
        <is>
          <t>auto_ingest=cultural_life_proxy; indicator=ST.INT.ARVL; norm=per_1000_pop; year=2020; country_proxy=Singapore</t>
        </is>
      </c>
    </row>
    <row r="54">
      <c r="A54" t="inlineStr">
        <is>
          <t>sg-singapore</t>
        </is>
      </c>
      <c r="B54" t="inlineStr">
        <is>
          <t>Singapore</t>
        </is>
      </c>
      <c r="C54" t="inlineStr">
        <is>
          <t>Singapore</t>
        </is>
      </c>
      <c r="D54" t="inlineStr">
        <is>
          <t>Southeast Asia</t>
        </is>
      </c>
      <c r="E54" t="inlineStr">
        <is>
          <t>birth_rate_optimism_raw</t>
        </is>
      </c>
      <c r="F54" t="inlineStr">
        <is>
          <t>Birth rate and societal optimism raw</t>
        </is>
      </c>
      <c r="G54" t="inlineStr">
        <is>
          <t>community</t>
        </is>
      </c>
      <c r="H54" t="inlineStr">
        <is>
          <t>yes</t>
        </is>
      </c>
      <c r="I54" t="inlineStr">
        <is>
          <t>0.97</t>
        </is>
      </c>
      <c r="J54" t="inlineStr">
        <is>
          <t>world_bank</t>
        </is>
      </c>
      <c r="K54" t="inlineStr">
        <is>
          <t>https://data.worldbank.org/indicator/SP.DYN.TFRT.IN</t>
        </is>
      </c>
      <c r="L54" t="inlineStr">
        <is>
          <t>World Bank Total Fertility Rate 2023</t>
        </is>
      </c>
      <c r="M54" t="inlineStr">
        <is>
          <t>2024-01-01</t>
        </is>
      </c>
      <c r="N54" t="inlineStr"/>
    </row>
    <row r="55">
      <c r="A55" t="inlineStr">
        <is>
          <t>sg-singapore</t>
        </is>
      </c>
      <c r="B55" t="inlineStr">
        <is>
          <t>Singapore</t>
        </is>
      </c>
      <c r="C55" t="inlineStr">
        <is>
          <t>Singapore</t>
        </is>
      </c>
      <c r="D55" t="inlineStr">
        <is>
          <t>Southeast Asia</t>
        </is>
      </c>
      <c r="E55" t="inlineStr">
        <is>
          <t>entrepreneurial_dynamism_raw</t>
        </is>
      </c>
      <c r="F55" t="inlineStr">
        <is>
          <t>Entrepreneurial dynamism raw</t>
        </is>
      </c>
      <c r="G55" t="inlineStr">
        <is>
          <t>creative</t>
        </is>
      </c>
      <c r="H55" t="inlineStr">
        <is>
          <t>yes</t>
        </is>
      </c>
      <c r="I55" t="inlineStr">
        <is>
          <t>11.32</t>
        </is>
      </c>
      <c r="J55" t="inlineStr">
        <is>
          <t>world_bank</t>
        </is>
      </c>
      <c r="K55" t="inlineStr">
        <is>
          <t>https://api.worldbank.org/v2/country/SGP/indicator/IC.BUS.NDNS.ZS?format=json&amp;mrv=10</t>
        </is>
      </c>
      <c r="L55" t="inlineStr">
        <is>
          <t>World Bank WDI: New business density (new registrations per 1,000 people ages 15-64)</t>
        </is>
      </c>
      <c r="M55" t="inlineStr">
        <is>
          <t>2022-12-31</t>
        </is>
      </c>
      <c r="N55" t="inlineStr">
        <is>
          <t>auto_ingest=world_bank_creative_extended; indicator=IC.BUS.NDNS.ZS; year=2022; country_proxy=Singapore</t>
        </is>
      </c>
    </row>
    <row r="56">
      <c r="A56" t="inlineStr">
        <is>
          <t>sg-singapore</t>
        </is>
      </c>
      <c r="B56" t="inlineStr">
        <is>
          <t>Singapore</t>
        </is>
      </c>
      <c r="C56" t="inlineStr">
        <is>
          <t>Singapore</t>
        </is>
      </c>
      <c r="D56" t="inlineStr">
        <is>
          <t>Southeast Asia</t>
        </is>
      </c>
      <c r="E56" t="inlineStr">
        <is>
          <t>innovation_research_intensity_raw</t>
        </is>
      </c>
      <c r="F56" t="inlineStr">
        <is>
          <t>Innovation and research raw</t>
        </is>
      </c>
      <c r="G56" t="inlineStr">
        <is>
          <t>creative</t>
        </is>
      </c>
      <c r="H56" t="inlineStr">
        <is>
          <t>yes</t>
        </is>
      </c>
      <c r="I56" t="inlineStr">
        <is>
          <t>2.16</t>
        </is>
      </c>
      <c r="J56" t="inlineStr">
        <is>
          <t>world_bank</t>
        </is>
      </c>
      <c r="K56" t="inlineStr">
        <is>
          <t>https://api.worldbank.org/v2/country/SGP/indicator/GB.XPD.RSDV.GD.ZS?format=json&amp;mrv=10</t>
        </is>
      </c>
      <c r="L56" t="inlineStr">
        <is>
          <t>World Bank WDI: Research and development expenditure (% of GDP)</t>
        </is>
      </c>
      <c r="M56" t="inlineStr">
        <is>
          <t>2020-12-31</t>
        </is>
      </c>
      <c r="N56" t="inlineStr">
        <is>
          <t>auto_ingest=world_bank_creative_extended; indicator=GB.XPD.RSDV.GD.ZS; year=2020; country_proxy=Singapore</t>
        </is>
      </c>
    </row>
    <row r="57">
      <c r="A57" t="inlineStr">
        <is>
          <t>sg-singapore</t>
        </is>
      </c>
      <c r="B57" t="inlineStr">
        <is>
          <t>Singapore</t>
        </is>
      </c>
      <c r="C57" t="inlineStr">
        <is>
          <t>Singapore</t>
        </is>
      </c>
      <c r="D57" t="inlineStr">
        <is>
          <t>Southeast Asia</t>
        </is>
      </c>
      <c r="E57" t="inlineStr">
        <is>
          <t>investment_signal_raw</t>
        </is>
      </c>
      <c r="F57" t="inlineStr">
        <is>
          <t>Investment signal raw</t>
        </is>
      </c>
      <c r="G57" t="inlineStr">
        <is>
          <t>creative</t>
        </is>
      </c>
      <c r="H57" t="inlineStr">
        <is>
          <t>yes</t>
        </is>
      </c>
      <c r="I57" t="inlineStr">
        <is>
          <t>27.76</t>
        </is>
      </c>
      <c r="J57" t="inlineStr">
        <is>
          <t>world_bank</t>
        </is>
      </c>
      <c r="K57" t="inlineStr">
        <is>
          <t>https://api.worldbank.org/v2/country/SGP/indicator/BX.KLT.DINV.WD.GD.ZS?format=json&amp;mrv=10</t>
        </is>
      </c>
      <c r="L57" t="inlineStr">
        <is>
          <t>World Bank WDI: Foreign direct investment, net inflows (% of GDP)</t>
        </is>
      </c>
      <c r="M57" t="inlineStr">
        <is>
          <t>2024-12-31</t>
        </is>
      </c>
      <c r="N57" t="inlineStr">
        <is>
          <t>auto_ingest=world_bank_creative_extended; indicator=BX.KLT.DINV.WD.GD.ZS; year=2024; country_proxy=Singapore</t>
        </is>
      </c>
    </row>
    <row r="58">
      <c r="A58" t="inlineStr">
        <is>
          <t>sg-singapore</t>
        </is>
      </c>
      <c r="B58" t="inlineStr">
        <is>
          <t>Singapore</t>
        </is>
      </c>
      <c r="C58" t="inlineStr">
        <is>
          <t>Singapore</t>
        </is>
      </c>
      <c r="D58" t="inlineStr">
        <is>
          <t>Southeast Asia</t>
        </is>
      </c>
      <c r="E58" t="inlineStr">
        <is>
          <t>administrative_investment_friction_raw</t>
        </is>
      </c>
      <c r="F58" t="inlineStr">
        <is>
          <t>Administrative investment friction raw</t>
        </is>
      </c>
      <c r="G58" t="inlineStr">
        <is>
          <t>creative</t>
        </is>
      </c>
      <c r="H58" t="inlineStr">
        <is>
          <t>yes</t>
        </is>
      </c>
      <c r="I58" t="inlineStr">
        <is>
          <t>0.19</t>
        </is>
      </c>
      <c r="J58" t="inlineStr">
        <is>
          <t>world_bank</t>
        </is>
      </c>
      <c r="K58" t="inlineStr">
        <is>
          <t>https://api.worldbank.org/v2/country/SGP/indicator/RQ.EST?format=json&amp;mrv=10</t>
        </is>
      </c>
      <c r="L58" t="inlineStr">
        <is>
          <t>World Bank WGI: Regulatory Quality (inverted as friction proxy)</t>
        </is>
      </c>
      <c r="M58" t="inlineStr">
        <is>
          <t>2023-12-31</t>
        </is>
      </c>
      <c r="N58" t="inlineStr">
        <is>
          <t>auto_ingest=world_bank_business_friction; indicator=RQ.EST; raw_rq=2.30859136581421; friction=0.19; year=2023; country_proxy=Singapore</t>
        </is>
      </c>
    </row>
    <row r="59">
      <c r="A59" t="inlineStr">
        <is>
          <t>sg-singapore</t>
        </is>
      </c>
      <c r="B59" t="inlineStr">
        <is>
          <t>Singapore</t>
        </is>
      </c>
      <c r="C59" t="inlineStr">
        <is>
          <t>Singapore</t>
        </is>
      </c>
      <c r="D59" t="inlineStr">
        <is>
          <t>Southeast Asia</t>
        </is>
      </c>
      <c r="E59" t="inlineStr">
        <is>
          <t>visitor_flow_context_raw</t>
        </is>
      </c>
      <c r="F59" t="inlineStr">
        <is>
          <t>Visitor flow context raw</t>
        </is>
      </c>
      <c r="G59" t="inlineStr">
        <is>
          <t>creative</t>
        </is>
      </c>
      <c r="H59" t="inlineStr">
        <is>
          <t>no</t>
        </is>
      </c>
      <c r="I59" t="inlineStr"/>
      <c r="J59" t="inlineStr"/>
      <c r="K59" t="inlineStr"/>
      <c r="L59" t="inlineStr"/>
      <c r="M59" t="inlineStr"/>
      <c r="N59" t="inlineStr"/>
    </row>
    <row r="60">
      <c r="A60" t="inlineStr">
        <is>
          <t>my-kuala-lumpur</t>
        </is>
      </c>
      <c r="B60" t="inlineStr">
        <is>
          <t>Kuala Lumpur</t>
        </is>
      </c>
      <c r="C60" t="inlineStr">
        <is>
          <t>Malaysia</t>
        </is>
      </c>
      <c r="D60" t="inlineStr">
        <is>
          <t>Southeast Asia</t>
        </is>
      </c>
      <c r="E60" t="inlineStr">
        <is>
          <t>gross_income</t>
        </is>
      </c>
      <c r="F60" t="inlineStr">
        <is>
          <t>Gross income</t>
        </is>
      </c>
      <c r="G60" t="inlineStr">
        <is>
          <t>pressure</t>
        </is>
      </c>
      <c r="H60" t="inlineStr">
        <is>
          <t>yes</t>
        </is>
      </c>
      <c r="I60" t="inlineStr">
        <is>
          <t>3120.83</t>
        </is>
      </c>
      <c r="J60" t="inlineStr">
        <is>
          <t>world_bank_col_estimate</t>
        </is>
      </c>
      <c r="K60" t="inlineStr">
        <is>
          <t>https://api.worldbank.org/v2/country/MYS/indicator/NY.GNP.PCAP.PP.CD?format=json&amp;mrv=10</t>
        </is>
      </c>
      <c r="L60" t="inlineStr">
        <is>
          <t>World Bank WDI: GNI per capita PPP (monthly USD)</t>
        </is>
      </c>
      <c r="M60" t="inlineStr">
        <is>
          <t>2024-12-31</t>
        </is>
      </c>
      <c r="N60" t="inlineStr">
        <is>
          <t>auto_ingest=world_bank_col_estimate; gni_annual=37450.0; year=2024; country_proxy=Malaysia; cohort=Southeast Asia</t>
        </is>
      </c>
    </row>
    <row r="61">
      <c r="A61" t="inlineStr">
        <is>
          <t>my-kuala-lumpur</t>
        </is>
      </c>
      <c r="B61" t="inlineStr">
        <is>
          <t>Kuala Lumpur</t>
        </is>
      </c>
      <c r="C61" t="inlineStr">
        <is>
          <t>Malaysia</t>
        </is>
      </c>
      <c r="D61" t="inlineStr">
        <is>
          <t>Southeast Asia</t>
        </is>
      </c>
      <c r="E61" t="inlineStr">
        <is>
          <t>di_ppp_raw</t>
        </is>
      </c>
      <c r="F61" t="inlineStr">
        <is>
          <t>Disposable income PPP (Raw)</t>
        </is>
      </c>
      <c r="G61" t="inlineStr">
        <is>
          <t>pressure</t>
        </is>
      </c>
      <c r="H61" t="inlineStr">
        <is>
          <t>yes</t>
        </is>
      </c>
      <c r="I61" t="inlineStr"/>
      <c r="J61" t="inlineStr"/>
      <c r="K61" t="inlineStr"/>
      <c r="L61" t="inlineStr"/>
      <c r="M61" t="inlineStr"/>
      <c r="N61" t="inlineStr"/>
    </row>
    <row r="62">
      <c r="A62" t="inlineStr">
        <is>
          <t>my-kuala-lumpur</t>
        </is>
      </c>
      <c r="B62" t="inlineStr">
        <is>
          <t>Kuala Lumpur</t>
        </is>
      </c>
      <c r="C62" t="inlineStr">
        <is>
          <t>Malaysia</t>
        </is>
      </c>
      <c r="D62" t="inlineStr">
        <is>
          <t>Southeast Asia</t>
        </is>
      </c>
      <c r="E62" t="inlineStr">
        <is>
          <t>rent</t>
        </is>
      </c>
      <c r="F62" t="inlineStr">
        <is>
          <t>Rent</t>
        </is>
      </c>
      <c r="G62" t="inlineStr">
        <is>
          <t>pressure</t>
        </is>
      </c>
      <c r="H62" t="inlineStr">
        <is>
          <t>yes</t>
        </is>
      </c>
      <c r="I62" t="inlineStr">
        <is>
          <t>624.17</t>
        </is>
      </c>
      <c r="J62" t="inlineStr">
        <is>
          <t>world_bank_col_estimate</t>
        </is>
      </c>
      <c r="K62" t="inlineStr">
        <is>
          <t>https://api.worldbank.org/v2/country/MYS/indicator/NY.GNP.PCAP.PP.CD?format=json&amp;mrv=10</t>
        </is>
      </c>
      <c r="L62" t="inlineStr">
        <is>
          <t>World Bank GNI + regional expenditure ratio estimate</t>
        </is>
      </c>
      <c r="M62" t="inlineStr">
        <is>
          <t>2024-12-31</t>
        </is>
      </c>
      <c r="N62" t="inlineStr">
        <is>
          <t>auto_ingest=world_bank_col_estimate; gni_annual=37450.0; year=2024; country_proxy=Malaysia; cohort=Southeast Asia</t>
        </is>
      </c>
    </row>
    <row r="63">
      <c r="A63" t="inlineStr">
        <is>
          <t>my-kuala-lumpur</t>
        </is>
      </c>
      <c r="B63" t="inlineStr">
        <is>
          <t>Kuala Lumpur</t>
        </is>
      </c>
      <c r="C63" t="inlineStr">
        <is>
          <t>Malaysia</t>
        </is>
      </c>
      <c r="D63" t="inlineStr">
        <is>
          <t>Southeast Asia</t>
        </is>
      </c>
      <c r="E63" t="inlineStr">
        <is>
          <t>utilities</t>
        </is>
      </c>
      <c r="F63" t="inlineStr">
        <is>
          <t>Utilities</t>
        </is>
      </c>
      <c r="G63" t="inlineStr">
        <is>
          <t>pressure</t>
        </is>
      </c>
      <c r="H63" t="inlineStr">
        <is>
          <t>yes</t>
        </is>
      </c>
      <c r="I63" t="inlineStr">
        <is>
          <t>156.04</t>
        </is>
      </c>
      <c r="J63" t="inlineStr">
        <is>
          <t>world_bank_col_estimate</t>
        </is>
      </c>
      <c r="K63" t="inlineStr">
        <is>
          <t>https://api.worldbank.org/v2/country/MYS/indicator/NY.GNP.PCAP.PP.CD?format=json&amp;mrv=10</t>
        </is>
      </c>
      <c r="L63" t="inlineStr">
        <is>
          <t>World Bank GNI + regional expenditure ratio estimate</t>
        </is>
      </c>
      <c r="M63" t="inlineStr">
        <is>
          <t>2024-12-31</t>
        </is>
      </c>
      <c r="N63" t="inlineStr">
        <is>
          <t>auto_ingest=world_bank_col_estimate; gni_annual=37450.0; year=2024; country_proxy=Malaysia; cohort=Southeast Asia</t>
        </is>
      </c>
    </row>
    <row r="64">
      <c r="A64" t="inlineStr">
        <is>
          <t>my-kuala-lumpur</t>
        </is>
      </c>
      <c r="B64" t="inlineStr">
        <is>
          <t>Kuala Lumpur</t>
        </is>
      </c>
      <c r="C64" t="inlineStr">
        <is>
          <t>Malaysia</t>
        </is>
      </c>
      <c r="D64" t="inlineStr">
        <is>
          <t>Southeast Asia</t>
        </is>
      </c>
      <c r="E64" t="inlineStr">
        <is>
          <t>transit_cost</t>
        </is>
      </c>
      <c r="F64" t="inlineStr">
        <is>
          <t>Transit cost</t>
        </is>
      </c>
      <c r="G64" t="inlineStr">
        <is>
          <t>pressure</t>
        </is>
      </c>
      <c r="H64" t="inlineStr">
        <is>
          <t>yes</t>
        </is>
      </c>
      <c r="I64" t="inlineStr">
        <is>
          <t>124.83</t>
        </is>
      </c>
      <c r="J64" t="inlineStr">
        <is>
          <t>world_bank_col_estimate</t>
        </is>
      </c>
      <c r="K64" t="inlineStr">
        <is>
          <t>https://api.worldbank.org/v2/country/MYS/indicator/NY.GNP.PCAP.PP.CD?format=json&amp;mrv=10</t>
        </is>
      </c>
      <c r="L64" t="inlineStr">
        <is>
          <t>World Bank GNI + regional expenditure ratio estimate</t>
        </is>
      </c>
      <c r="M64" t="inlineStr">
        <is>
          <t>2024-12-31</t>
        </is>
      </c>
      <c r="N64" t="inlineStr">
        <is>
          <t>auto_ingest=world_bank_col_estimate; gni_annual=37450.0; year=2024; country_proxy=Malaysia; cohort=Southeast Asia</t>
        </is>
      </c>
    </row>
    <row r="65">
      <c r="A65" t="inlineStr">
        <is>
          <t>my-kuala-lumpur</t>
        </is>
      </c>
      <c r="B65" t="inlineStr">
        <is>
          <t>Kuala Lumpur</t>
        </is>
      </c>
      <c r="C65" t="inlineStr">
        <is>
          <t>Malaysia</t>
        </is>
      </c>
      <c r="D65" t="inlineStr">
        <is>
          <t>Southeast Asia</t>
        </is>
      </c>
      <c r="E65" t="inlineStr">
        <is>
          <t>internet_cost</t>
        </is>
      </c>
      <c r="F65" t="inlineStr">
        <is>
          <t>Internet cost</t>
        </is>
      </c>
      <c r="G65" t="inlineStr">
        <is>
          <t>pressure</t>
        </is>
      </c>
      <c r="H65" t="inlineStr">
        <is>
          <t>yes</t>
        </is>
      </c>
      <c r="I65" t="inlineStr">
        <is>
          <t>46.81</t>
        </is>
      </c>
      <c r="J65" t="inlineStr">
        <is>
          <t>world_bank_col_estimate</t>
        </is>
      </c>
      <c r="K65" t="inlineStr">
        <is>
          <t>https://api.worldbank.org/v2/country/MYS/indicator/NY.GNP.PCAP.PP.CD?format=json&amp;mrv=10</t>
        </is>
      </c>
      <c r="L65" t="inlineStr">
        <is>
          <t>World Bank GNI + regional expenditure ratio estimate</t>
        </is>
      </c>
      <c r="M65" t="inlineStr">
        <is>
          <t>2024-12-31</t>
        </is>
      </c>
      <c r="N65" t="inlineStr">
        <is>
          <t>auto_ingest=world_bank_col_estimate; gni_annual=37450.0; year=2024; country_proxy=Malaysia; cohort=Southeast Asia</t>
        </is>
      </c>
    </row>
    <row r="66">
      <c r="A66" t="inlineStr">
        <is>
          <t>my-kuala-lumpur</t>
        </is>
      </c>
      <c r="B66" t="inlineStr">
        <is>
          <t>Kuala Lumpur</t>
        </is>
      </c>
      <c r="C66" t="inlineStr">
        <is>
          <t>Malaysia</t>
        </is>
      </c>
      <c r="D66" t="inlineStr">
        <is>
          <t>Southeast Asia</t>
        </is>
      </c>
      <c r="E66" t="inlineStr">
        <is>
          <t>food_cost</t>
        </is>
      </c>
      <c r="F66" t="inlineStr">
        <is>
          <t>Food cost</t>
        </is>
      </c>
      <c r="G66" t="inlineStr">
        <is>
          <t>pressure</t>
        </is>
      </c>
      <c r="H66" t="inlineStr">
        <is>
          <t>yes</t>
        </is>
      </c>
      <c r="I66" t="inlineStr">
        <is>
          <t>686.58</t>
        </is>
      </c>
      <c r="J66" t="inlineStr">
        <is>
          <t>world_bank_col_estimate</t>
        </is>
      </c>
      <c r="K66" t="inlineStr">
        <is>
          <t>https://api.worldbank.org/v2/country/MYS/indicator/NY.GNP.PCAP.PP.CD?format=json&amp;mrv=10</t>
        </is>
      </c>
      <c r="L66" t="inlineStr">
        <is>
          <t>World Bank GNI + regional expenditure ratio estimate</t>
        </is>
      </c>
      <c r="M66" t="inlineStr">
        <is>
          <t>2024-12-31</t>
        </is>
      </c>
      <c r="N66" t="inlineStr">
        <is>
          <t>auto_ingest=world_bank_col_estimate; gni_annual=37450.0; year=2024; country_proxy=Malaysia; cohort=Southeast Asia</t>
        </is>
      </c>
    </row>
    <row r="67">
      <c r="A67" t="inlineStr">
        <is>
          <t>my-kuala-lumpur</t>
        </is>
      </c>
      <c r="B67" t="inlineStr">
        <is>
          <t>Kuala Lumpur</t>
        </is>
      </c>
      <c r="C67" t="inlineStr">
        <is>
          <t>Malaysia</t>
        </is>
      </c>
      <c r="D67" t="inlineStr">
        <is>
          <t>Southeast Asia</t>
        </is>
      </c>
      <c r="E67" t="inlineStr">
        <is>
          <t>housing_burden_raw</t>
        </is>
      </c>
      <c r="F67" t="inlineStr">
        <is>
          <t>Housing burden raw</t>
        </is>
      </c>
      <c r="G67" t="inlineStr">
        <is>
          <t>pressure</t>
        </is>
      </c>
      <c r="H67" t="inlineStr">
        <is>
          <t>yes</t>
        </is>
      </c>
      <c r="I67" t="inlineStr">
        <is>
          <t>20.0001</t>
        </is>
      </c>
      <c r="J67" t="inlineStr">
        <is>
          <t>derived</t>
        </is>
      </c>
      <c r="K67" t="inlineStr">
        <is>
          <t>https://data.worldbank.org/indicator/NY.GNP.PCAP.PP.CD</t>
        </is>
      </c>
      <c r="L67" t="inlineStr">
        <is>
          <t>Computed from city_inputs + country_context</t>
        </is>
      </c>
      <c r="M67" t="inlineStr">
        <is>
          <t>2024-01-01</t>
        </is>
      </c>
      <c r="N67" t="inlineStr">
        <is>
          <t>derived=rent/gross_income*100</t>
        </is>
      </c>
    </row>
    <row r="68">
      <c r="A68" t="inlineStr">
        <is>
          <t>my-kuala-lumpur</t>
        </is>
      </c>
      <c r="B68" t="inlineStr">
        <is>
          <t>Kuala Lumpur</t>
        </is>
      </c>
      <c r="C68" t="inlineStr">
        <is>
          <t>Malaysia</t>
        </is>
      </c>
      <c r="D68" t="inlineStr">
        <is>
          <t>Southeast Asia</t>
        </is>
      </c>
      <c r="E68" t="inlineStr">
        <is>
          <t>household_debt_burden_raw</t>
        </is>
      </c>
      <c r="F68" t="inlineStr">
        <is>
          <t>Household debt burden raw</t>
        </is>
      </c>
      <c r="G68" t="inlineStr">
        <is>
          <t>pressure</t>
        </is>
      </c>
      <c r="H68" t="inlineStr">
        <is>
          <t>yes</t>
        </is>
      </c>
      <c r="I68" t="inlineStr">
        <is>
          <t>116.0773</t>
        </is>
      </c>
      <c r="J68" t="inlineStr">
        <is>
          <t>derived</t>
        </is>
      </c>
      <c r="K68" t="inlineStr">
        <is>
          <t>https://data.worldbank.org/indicator/NY.GNP.PCAP.PP.CD</t>
        </is>
      </c>
      <c r="L68" t="inlineStr">
        <is>
          <t>Computed from city_inputs + country_context</t>
        </is>
      </c>
      <c r="M68" t="inlineStr">
        <is>
          <t>2024-01-01</t>
        </is>
      </c>
      <c r="N68" t="inlineStr">
        <is>
          <t>derived=country_context.household_debt_proxy; country=Malaysia</t>
        </is>
      </c>
    </row>
    <row r="69">
      <c r="A69" t="inlineStr">
        <is>
          <t>my-kuala-lumpur</t>
        </is>
      </c>
      <c r="B69" t="inlineStr">
        <is>
          <t>Kuala Lumpur</t>
        </is>
      </c>
      <c r="C69" t="inlineStr">
        <is>
          <t>Malaysia</t>
        </is>
      </c>
      <c r="D69" t="inlineStr">
        <is>
          <t>Southeast Asia</t>
        </is>
      </c>
      <c r="E69" t="inlineStr">
        <is>
          <t>working_time_pressure_raw</t>
        </is>
      </c>
      <c r="F69" t="inlineStr">
        <is>
          <t>Working time pressure raw</t>
        </is>
      </c>
      <c r="G69" t="inlineStr">
        <is>
          <t>pressure</t>
        </is>
      </c>
      <c r="H69" t="inlineStr">
        <is>
          <t>yes</t>
        </is>
      </c>
      <c r="I69" t="inlineStr">
        <is>
          <t>44.7</t>
        </is>
      </c>
      <c r="J69" t="inlineStr">
        <is>
          <t>ilo_ilostat</t>
        </is>
      </c>
      <c r="K69" t="inlineStr">
        <is>
          <t>https://ilostat.ilo.org/data/indicator/?id=HOW_TEMP_SEX_ECO_NB_A&amp;ref_area=MYS</t>
        </is>
      </c>
      <c r="L69" t="inlineStr">
        <is>
          <t>ILO ILOSTAT: Mean weekly hours actually worked per employed person</t>
        </is>
      </c>
      <c r="M69" t="inlineStr">
        <is>
          <t>2022-12-31</t>
        </is>
      </c>
      <c r="N69" t="inlineStr">
        <is>
          <t>auto_ingest=ilo_working_hours; indicator=HOW_TEMP_SEX_ECO_NB_A; year=2022; hours=44.7; country_proxy=Malaysia</t>
        </is>
      </c>
    </row>
    <row r="70">
      <c r="A70" t="inlineStr">
        <is>
          <t>my-kuala-lumpur</t>
        </is>
      </c>
      <c r="B70" t="inlineStr">
        <is>
          <t>Kuala Lumpur</t>
        </is>
      </c>
      <c r="C70" t="inlineStr">
        <is>
          <t>Malaysia</t>
        </is>
      </c>
      <c r="D70" t="inlineStr">
        <is>
          <t>Southeast Asia</t>
        </is>
      </c>
      <c r="E70" t="inlineStr">
        <is>
          <t>suicide_mental_strain_raw</t>
        </is>
      </c>
      <c r="F70" t="inlineStr">
        <is>
          <t>Suicide or mental strain raw</t>
        </is>
      </c>
      <c r="G70" t="inlineStr">
        <is>
          <t>pressure</t>
        </is>
      </c>
      <c r="H70" t="inlineStr">
        <is>
          <t>yes</t>
        </is>
      </c>
      <c r="I70" t="inlineStr">
        <is>
          <t>5.65</t>
        </is>
      </c>
      <c r="J70" t="inlineStr">
        <is>
          <t>who_gho</t>
        </is>
      </c>
      <c r="K70" t="inlineStr">
        <is>
          <t>https://www.who.int/data/gho/data/indicators/indicator-details/GHO/SDGSUICIDE</t>
        </is>
      </c>
      <c r="L70" t="inlineStr">
        <is>
          <t>WHO GHO: Age-standardized suicide rate (per 100,000 population)</t>
        </is>
      </c>
      <c r="M70" t="inlineStr">
        <is>
          <t>2021-12-31</t>
        </is>
      </c>
      <c r="N70" t="inlineStr">
        <is>
          <t>auto_ingest=who_gho; indicator=SDGSUICIDE; year=2021; country_proxy=Malaysia</t>
        </is>
      </c>
    </row>
    <row r="71">
      <c r="A71" t="inlineStr">
        <is>
          <t>my-kuala-lumpur</t>
        </is>
      </c>
      <c r="B71" t="inlineStr">
        <is>
          <t>Kuala Lumpur</t>
        </is>
      </c>
      <c r="C71" t="inlineStr">
        <is>
          <t>Malaysia</t>
        </is>
      </c>
      <c r="D71" t="inlineStr">
        <is>
          <t>Southeast Asia</t>
        </is>
      </c>
      <c r="E71" t="inlineStr">
        <is>
          <t>personal_safety_raw</t>
        </is>
      </c>
      <c r="F71" t="inlineStr">
        <is>
          <t>Personal safety raw</t>
        </is>
      </c>
      <c r="G71" t="inlineStr">
        <is>
          <t>viability</t>
        </is>
      </c>
      <c r="H71" t="inlineStr">
        <is>
          <t>yes</t>
        </is>
      </c>
      <c r="I71" t="inlineStr">
        <is>
          <t>0.73</t>
        </is>
      </c>
      <c r="J71" t="inlineStr">
        <is>
          <t>world_bank</t>
        </is>
      </c>
      <c r="K71" t="inlineStr">
        <is>
          <t>https://api.worldbank.org/v2/country/MYS/indicator/VC.IHR.PSRC.P5?format=json&amp;mrv=10</t>
        </is>
      </c>
      <c r="L71" t="inlineStr">
        <is>
          <t>UNODC via World Bank WDI: Intentional homicides (per 100,000 people)</t>
        </is>
      </c>
      <c r="M71" t="inlineStr">
        <is>
          <t>2023-12-31</t>
        </is>
      </c>
      <c r="N71" t="inlineStr">
        <is>
          <t>auto_ingest=unodc_safety; indicator=VC.IHR.PSRC.P5; year=2023; country_proxy=Malaysia</t>
        </is>
      </c>
    </row>
    <row r="72">
      <c r="A72" t="inlineStr">
        <is>
          <t>my-kuala-lumpur</t>
        </is>
      </c>
      <c r="B72" t="inlineStr">
        <is>
          <t>Kuala Lumpur</t>
        </is>
      </c>
      <c r="C72" t="inlineStr">
        <is>
          <t>Malaysia</t>
        </is>
      </c>
      <c r="D72" t="inlineStr">
        <is>
          <t>Southeast Asia</t>
        </is>
      </c>
      <c r="E72" t="inlineStr">
        <is>
          <t>transit_access_commute_raw</t>
        </is>
      </c>
      <c r="F72" t="inlineStr">
        <is>
          <t>Transit access and commute raw</t>
        </is>
      </c>
      <c r="G72" t="inlineStr">
        <is>
          <t>viability</t>
        </is>
      </c>
      <c r="H72" t="inlineStr">
        <is>
          <t>yes</t>
        </is>
      </c>
      <c r="I72" t="inlineStr"/>
      <c r="J72" t="inlineStr"/>
      <c r="K72" t="inlineStr"/>
      <c r="L72" t="inlineStr"/>
      <c r="M72" t="inlineStr"/>
      <c r="N72" t="inlineStr"/>
    </row>
    <row r="73">
      <c r="A73" t="inlineStr">
        <is>
          <t>my-kuala-lumpur</t>
        </is>
      </c>
      <c r="B73" t="inlineStr">
        <is>
          <t>Kuala Lumpur</t>
        </is>
      </c>
      <c r="C73" t="inlineStr">
        <is>
          <t>Malaysia</t>
        </is>
      </c>
      <c r="D73" t="inlineStr">
        <is>
          <t>Southeast Asia</t>
        </is>
      </c>
      <c r="E73" t="inlineStr">
        <is>
          <t>clean_air_raw</t>
        </is>
      </c>
      <c r="F73" t="inlineStr">
        <is>
          <t>Clean air raw</t>
        </is>
      </c>
      <c r="G73" t="inlineStr">
        <is>
          <t>viability</t>
        </is>
      </c>
      <c r="H73" t="inlineStr">
        <is>
          <t>yes</t>
        </is>
      </c>
      <c r="I73" t="inlineStr"/>
      <c r="J73" t="inlineStr"/>
      <c r="K73" t="inlineStr"/>
      <c r="L73" t="inlineStr"/>
      <c r="M73" t="inlineStr"/>
      <c r="N73" t="inlineStr"/>
    </row>
    <row r="74">
      <c r="A74" t="inlineStr">
        <is>
          <t>my-kuala-lumpur</t>
        </is>
      </c>
      <c r="B74" t="inlineStr">
        <is>
          <t>Kuala Lumpur</t>
        </is>
      </c>
      <c r="C74" t="inlineStr">
        <is>
          <t>Malaysia</t>
        </is>
      </c>
      <c r="D74" t="inlineStr">
        <is>
          <t>Southeast Asia</t>
        </is>
      </c>
      <c r="E74" t="inlineStr">
        <is>
          <t>water_sanitation_utility_raw</t>
        </is>
      </c>
      <c r="F74" t="inlineStr">
        <is>
          <t>Water, sanitation, and utility raw</t>
        </is>
      </c>
      <c r="G74" t="inlineStr">
        <is>
          <t>viability</t>
        </is>
      </c>
      <c r="H74" t="inlineStr">
        <is>
          <t>yes</t>
        </is>
      </c>
      <c r="I74" t="inlineStr">
        <is>
          <t>94.7</t>
        </is>
      </c>
      <c r="J74" t="inlineStr">
        <is>
          <t>world_bank</t>
        </is>
      </c>
      <c r="K74" t="inlineStr">
        <is>
          <t>https://api.worldbank.org/v2/country/MYS/indicator/SH.H2O.SMDW.ZS?format=json&amp;mrv=10</t>
        </is>
      </c>
      <c r="L74" t="inlineStr">
        <is>
          <t>World Bank WDI: People using safely managed drinking water services (% of population)</t>
        </is>
      </c>
      <c r="M74" t="inlineStr">
        <is>
          <t>2024-12-31</t>
        </is>
      </c>
      <c r="N74" t="inlineStr">
        <is>
          <t>auto_ingest=world_bank_proxy; indicator=SH.H2O.SMDW.ZS; year=2024; country_proxy=Malaysia</t>
        </is>
      </c>
    </row>
    <row r="75">
      <c r="A75" t="inlineStr">
        <is>
          <t>my-kuala-lumpur</t>
        </is>
      </c>
      <c r="B75" t="inlineStr">
        <is>
          <t>Kuala Lumpur</t>
        </is>
      </c>
      <c r="C75" t="inlineStr">
        <is>
          <t>Malaysia</t>
        </is>
      </c>
      <c r="D75" t="inlineStr">
        <is>
          <t>Southeast Asia</t>
        </is>
      </c>
      <c r="E75" t="inlineStr">
        <is>
          <t>digital_infrastructure_raw</t>
        </is>
      </c>
      <c r="F75" t="inlineStr">
        <is>
          <t>Digital infrastructure raw</t>
        </is>
      </c>
      <c r="G75" t="inlineStr">
        <is>
          <t>viability</t>
        </is>
      </c>
      <c r="H75" t="inlineStr">
        <is>
          <t>yes</t>
        </is>
      </c>
      <c r="I75" t="inlineStr">
        <is>
          <t>13.03</t>
        </is>
      </c>
      <c r="J75" t="inlineStr">
        <is>
          <t>world_bank</t>
        </is>
      </c>
      <c r="K75" t="inlineStr">
        <is>
          <t>https://api.worldbank.org/v2/country/MYS/indicator/IT.NET.BBND.P2?format=json&amp;mrv=10</t>
        </is>
      </c>
      <c r="L75" t="inlineStr">
        <is>
          <t>World Bank WDI: Fixed broadband subscriptions (per 100 people)</t>
        </is>
      </c>
      <c r="M75" t="inlineStr">
        <is>
          <t>2023-12-31</t>
        </is>
      </c>
      <c r="N75" t="inlineStr">
        <is>
          <t>auto_ingest=world_bank_proxy; indicator=IT.NET.BBND.P2; year=2023; country_proxy=Malaysia</t>
        </is>
      </c>
    </row>
    <row r="76">
      <c r="A76" t="inlineStr">
        <is>
          <t>my-kuala-lumpur</t>
        </is>
      </c>
      <c r="B76" t="inlineStr">
        <is>
          <t>Kuala Lumpur</t>
        </is>
      </c>
      <c r="C76" t="inlineStr">
        <is>
          <t>Malaysia</t>
        </is>
      </c>
      <c r="D76" t="inlineStr">
        <is>
          <t>Southeast Asia</t>
        </is>
      </c>
      <c r="E76" t="inlineStr">
        <is>
          <t>climate_sunlight_livability_raw</t>
        </is>
      </c>
      <c r="F76" t="inlineStr">
        <is>
          <t>Climate and sunlight livability raw</t>
        </is>
      </c>
      <c r="G76" t="inlineStr">
        <is>
          <t>viability</t>
        </is>
      </c>
      <c r="H76" t="inlineStr">
        <is>
          <t>yes</t>
        </is>
      </c>
      <c r="I76" t="inlineStr">
        <is>
          <t>56</t>
        </is>
      </c>
      <c r="J76" t="inlineStr">
        <is>
          <t>wmo_natl_met</t>
        </is>
      </c>
      <c r="K76" t="inlineStr">
        <is>
          <t>https://worldweather.wmo.int</t>
        </is>
      </c>
      <c r="L76" t="inlineStr">
        <is>
          <t>WMO/National Met: Climate livability composite</t>
        </is>
      </c>
      <c r="M76" t="inlineStr">
        <is>
          <t>2024-12-31</t>
        </is>
      </c>
      <c r="N76" t="inlineStr">
        <is>
          <t>auto_seed=climate_composite; 2200 sun hrs, 28C mean, tropical humidity</t>
        </is>
      </c>
    </row>
    <row r="77">
      <c r="A77" t="inlineStr">
        <is>
          <t>my-kuala-lumpur</t>
        </is>
      </c>
      <c r="B77" t="inlineStr">
        <is>
          <t>Kuala Lumpur</t>
        </is>
      </c>
      <c r="C77" t="inlineStr">
        <is>
          <t>Malaysia</t>
        </is>
      </c>
      <c r="D77" t="inlineStr">
        <is>
          <t>Southeast Asia</t>
        </is>
      </c>
      <c r="E77" t="inlineStr">
        <is>
          <t>healthcare_quality_raw</t>
        </is>
      </c>
      <c r="F77" t="inlineStr">
        <is>
          <t>Healthcare quality raw</t>
        </is>
      </c>
      <c r="G77" t="inlineStr">
        <is>
          <t>capability</t>
        </is>
      </c>
      <c r="H77" t="inlineStr">
        <is>
          <t>yes</t>
        </is>
      </c>
      <c r="I77" t="inlineStr">
        <is>
          <t>80.0</t>
        </is>
      </c>
      <c r="J77" t="inlineStr">
        <is>
          <t>who_gho</t>
        </is>
      </c>
      <c r="K77" t="inlineStr">
        <is>
          <t>https://www.who.int/data/gho/data/indicators/indicator-details/GHO/UHC_INDEX_REPORTED</t>
        </is>
      </c>
      <c r="L77" t="inlineStr">
        <is>
          <t>WHO GHO: UHC Service Coverage Index</t>
        </is>
      </c>
      <c r="M77" t="inlineStr">
        <is>
          <t>2023-12-31</t>
        </is>
      </c>
      <c r="N77" t="inlineStr">
        <is>
          <t>auto_ingest=who_gho; indicator=UHC_INDEX_REPORTED; year=2023; country_proxy=Malaysia</t>
        </is>
      </c>
    </row>
    <row r="78">
      <c r="A78" t="inlineStr">
        <is>
          <t>my-kuala-lumpur</t>
        </is>
      </c>
      <c r="B78" t="inlineStr">
        <is>
          <t>Kuala Lumpur</t>
        </is>
      </c>
      <c r="C78" t="inlineStr">
        <is>
          <t>Malaysia</t>
        </is>
      </c>
      <c r="D78" t="inlineStr">
        <is>
          <t>Southeast Asia</t>
        </is>
      </c>
      <c r="E78" t="inlineStr">
        <is>
          <t>education_quality_raw</t>
        </is>
      </c>
      <c r="F78" t="inlineStr">
        <is>
          <t>Education quality raw</t>
        </is>
      </c>
      <c r="G78" t="inlineStr">
        <is>
          <t>capability</t>
        </is>
      </c>
      <c r="H78" t="inlineStr">
        <is>
          <t>yes</t>
        </is>
      </c>
      <c r="I78" t="inlineStr">
        <is>
          <t>38.5</t>
        </is>
      </c>
      <c r="J78" t="inlineStr">
        <is>
          <t>world_bank</t>
        </is>
      </c>
      <c r="K78" t="inlineStr">
        <is>
          <t>https://api.worldbank.org/v2/country/MYS/indicator/SE.TER.ENRR?format=json&amp;mrv=10</t>
        </is>
      </c>
      <c r="L78" t="inlineStr">
        <is>
          <t>World Bank WDI: School enrollment, tertiary (% gross)</t>
        </is>
      </c>
      <c r="M78" t="inlineStr">
        <is>
          <t>2024-12-31</t>
        </is>
      </c>
      <c r="N78" t="inlineStr">
        <is>
          <t>auto_ingest=world_bank_proxy; indicator=SE.TER.ENRR; year=2024; country_proxy=Malaysia</t>
        </is>
      </c>
    </row>
    <row r="79">
      <c r="A79" t="inlineStr">
        <is>
          <t>my-kuala-lumpur</t>
        </is>
      </c>
      <c r="B79" t="inlineStr">
        <is>
          <t>Kuala Lumpur</t>
        </is>
      </c>
      <c r="C79" t="inlineStr">
        <is>
          <t>Malaysia</t>
        </is>
      </c>
      <c r="D79" t="inlineStr">
        <is>
          <t>Southeast Asia</t>
        </is>
      </c>
      <c r="E79" t="inlineStr">
        <is>
          <t>equal_opportunity_raw</t>
        </is>
      </c>
      <c r="F79" t="inlineStr">
        <is>
          <t>Equal opportunity raw</t>
        </is>
      </c>
      <c r="G79" t="inlineStr">
        <is>
          <t>capability</t>
        </is>
      </c>
      <c r="H79" t="inlineStr">
        <is>
          <t>yes</t>
        </is>
      </c>
      <c r="I79" t="inlineStr">
        <is>
          <t>40.7</t>
        </is>
      </c>
      <c r="J79" t="inlineStr">
        <is>
          <t>world_bank</t>
        </is>
      </c>
      <c r="K79" t="inlineStr">
        <is>
          <t>https://api.worldbank.org/v2/country/MYS/indicator/SI.POV.GINI?format=json&amp;mrv=10</t>
        </is>
      </c>
      <c r="L79" t="inlineStr">
        <is>
          <t>World Bank WDI: Gini index</t>
        </is>
      </c>
      <c r="M79" t="inlineStr">
        <is>
          <t>2021-12-31</t>
        </is>
      </c>
      <c r="N79" t="inlineStr">
        <is>
          <t>auto_ingest=world_bank_capability; indicator=SI.POV.GINI; year=2021; country_proxy=Malaysia</t>
        </is>
      </c>
    </row>
    <row r="80">
      <c r="A80" t="inlineStr">
        <is>
          <t>my-kuala-lumpur</t>
        </is>
      </c>
      <c r="B80" t="inlineStr">
        <is>
          <t>Kuala Lumpur</t>
        </is>
      </c>
      <c r="C80" t="inlineStr">
        <is>
          <t>Malaysia</t>
        </is>
      </c>
      <c r="D80" t="inlineStr">
        <is>
          <t>Southeast Asia</t>
        </is>
      </c>
      <c r="E80" t="inlineStr">
        <is>
          <t>hospitality_belonging_raw</t>
        </is>
      </c>
      <c r="F80" t="inlineStr">
        <is>
          <t>Hospitality and belonging raw</t>
        </is>
      </c>
      <c r="G80" t="inlineStr">
        <is>
          <t>community</t>
        </is>
      </c>
      <c r="H80" t="inlineStr">
        <is>
          <t>yes</t>
        </is>
      </c>
      <c r="I80" t="inlineStr">
        <is>
          <t>54.69</t>
        </is>
      </c>
      <c r="J80" t="inlineStr">
        <is>
          <t>world_bank</t>
        </is>
      </c>
      <c r="K80" t="inlineStr">
        <is>
          <t>https://api.worldbank.org/v2/country/MYS/indicator/SM.POP.NETM?format=json&amp;mrv=10</t>
        </is>
      </c>
      <c r="L80" t="inlineStr">
        <is>
          <t>World Bank WDI: Net migration (proxy for hospitality/belonging — positive = welcoming)</t>
        </is>
      </c>
      <c r="M80" t="inlineStr">
        <is>
          <t>2025-12-31</t>
        </is>
      </c>
      <c r="N80" t="inlineStr">
        <is>
          <t>auto_ingest=world_bank_proxy; proxy=net_migration_hospitality; indicator=SM.POP.NETM; year=2025; country_proxy=Malaysia</t>
        </is>
      </c>
    </row>
    <row r="81">
      <c r="A81" t="inlineStr">
        <is>
          <t>my-kuala-lumpur</t>
        </is>
      </c>
      <c r="B81" t="inlineStr">
        <is>
          <t>Kuala Lumpur</t>
        </is>
      </c>
      <c r="C81" t="inlineStr">
        <is>
          <t>Malaysia</t>
        </is>
      </c>
      <c r="D81" t="inlineStr">
        <is>
          <t>Southeast Asia</t>
        </is>
      </c>
      <c r="E81" t="inlineStr">
        <is>
          <t>tolerance_pluralism_raw</t>
        </is>
      </c>
      <c r="F81" t="inlineStr">
        <is>
          <t>Tolerance and pluralism raw</t>
        </is>
      </c>
      <c r="G81" t="inlineStr">
        <is>
          <t>community</t>
        </is>
      </c>
      <c r="H81" t="inlineStr">
        <is>
          <t>yes</t>
        </is>
      </c>
      <c r="I81" t="inlineStr">
        <is>
          <t>13.51</t>
        </is>
      </c>
      <c r="J81" t="inlineStr">
        <is>
          <t>world_bank</t>
        </is>
      </c>
      <c r="K81" t="inlineStr">
        <is>
          <t>https://api.worldbank.org/v2/country/MYS/indicator/SG.GEN.PARL.ZS?format=json&amp;mrv=10</t>
        </is>
      </c>
      <c r="L81" t="inlineStr">
        <is>
          <t>World Bank WDI: Proportion of seats held by women in national parliaments (%)</t>
        </is>
      </c>
      <c r="M81" t="inlineStr">
        <is>
          <t>2024-12-31</t>
        </is>
      </c>
      <c r="N81" t="inlineStr">
        <is>
          <t>auto_ingest=world_bank_proxy; proxy=gender_parity_parliament; indicator=SG.GEN.PARL.ZS; year=2024; country_proxy=Malaysia</t>
        </is>
      </c>
    </row>
    <row r="82">
      <c r="A82" t="inlineStr">
        <is>
          <t>my-kuala-lumpur</t>
        </is>
      </c>
      <c r="B82" t="inlineStr">
        <is>
          <t>Kuala Lumpur</t>
        </is>
      </c>
      <c r="C82" t="inlineStr">
        <is>
          <t>Malaysia</t>
        </is>
      </c>
      <c r="D82" t="inlineStr">
        <is>
          <t>Southeast Asia</t>
        </is>
      </c>
      <c r="E82" t="inlineStr">
        <is>
          <t>cultural_public_life_raw</t>
        </is>
      </c>
      <c r="F82" t="inlineStr">
        <is>
          <t>Cultural public life raw</t>
        </is>
      </c>
      <c r="G82" t="inlineStr">
        <is>
          <t>community</t>
        </is>
      </c>
      <c r="H82" t="inlineStr">
        <is>
          <t>yes</t>
        </is>
      </c>
      <c r="I82" t="inlineStr">
        <is>
          <t>121.86</t>
        </is>
      </c>
      <c r="J82" t="inlineStr">
        <is>
          <t>world_bank</t>
        </is>
      </c>
      <c r="K82" t="inlineStr">
        <is>
          <t>https://api.worldbank.org/v2/country/MYS/indicator/ST.INT.ARVL?format=json&amp;mrv=10</t>
        </is>
      </c>
      <c r="L82" t="inlineStr">
        <is>
          <t>World Bank WDI: International tourism arrivals per 1 000 population</t>
        </is>
      </c>
      <c r="M82" t="inlineStr">
        <is>
          <t>2020-12-31</t>
        </is>
      </c>
      <c r="N82" t="inlineStr">
        <is>
          <t>auto_ingest=cultural_life_proxy; indicator=ST.INT.ARVL; norm=per_1000_pop; year=2020; country_proxy=Malaysia</t>
        </is>
      </c>
    </row>
    <row r="83">
      <c r="A83" t="inlineStr">
        <is>
          <t>my-kuala-lumpur</t>
        </is>
      </c>
      <c r="B83" t="inlineStr">
        <is>
          <t>Kuala Lumpur</t>
        </is>
      </c>
      <c r="C83" t="inlineStr">
        <is>
          <t>Malaysia</t>
        </is>
      </c>
      <c r="D83" t="inlineStr">
        <is>
          <t>Southeast Asia</t>
        </is>
      </c>
      <c r="E83" t="inlineStr">
        <is>
          <t>birth_rate_optimism_raw</t>
        </is>
      </c>
      <c r="F83" t="inlineStr">
        <is>
          <t>Birth rate and societal optimism raw</t>
        </is>
      </c>
      <c r="G83" t="inlineStr">
        <is>
          <t>community</t>
        </is>
      </c>
      <c r="H83" t="inlineStr">
        <is>
          <t>yes</t>
        </is>
      </c>
      <c r="I83" t="inlineStr">
        <is>
          <t>1.6</t>
        </is>
      </c>
      <c r="J83" t="inlineStr">
        <is>
          <t>world_bank</t>
        </is>
      </c>
      <c r="K83" t="inlineStr">
        <is>
          <t>https://data.worldbank.org/indicator/SP.DYN.TFRT.IN</t>
        </is>
      </c>
      <c r="L83" t="inlineStr">
        <is>
          <t>World Bank Total Fertility Rate 2023</t>
        </is>
      </c>
      <c r="M83" t="inlineStr">
        <is>
          <t>2024-01-01</t>
        </is>
      </c>
      <c r="N83" t="inlineStr"/>
    </row>
    <row r="84">
      <c r="A84" t="inlineStr">
        <is>
          <t>my-kuala-lumpur</t>
        </is>
      </c>
      <c r="B84" t="inlineStr">
        <is>
          <t>Kuala Lumpur</t>
        </is>
      </c>
      <c r="C84" t="inlineStr">
        <is>
          <t>Malaysia</t>
        </is>
      </c>
      <c r="D84" t="inlineStr">
        <is>
          <t>Southeast Asia</t>
        </is>
      </c>
      <c r="E84" t="inlineStr">
        <is>
          <t>entrepreneurial_dynamism_raw</t>
        </is>
      </c>
      <c r="F84" t="inlineStr">
        <is>
          <t>Entrepreneurial dynamism raw</t>
        </is>
      </c>
      <c r="G84" t="inlineStr">
        <is>
          <t>creative</t>
        </is>
      </c>
      <c r="H84" t="inlineStr">
        <is>
          <t>yes</t>
        </is>
      </c>
      <c r="I84" t="inlineStr">
        <is>
          <t>2.19</t>
        </is>
      </c>
      <c r="J84" t="inlineStr">
        <is>
          <t>world_bank</t>
        </is>
      </c>
      <c r="K84" t="inlineStr">
        <is>
          <t>https://api.worldbank.org/v2/country/MYS/indicator/IC.BUS.NDNS.ZS?format=json&amp;mrv=10</t>
        </is>
      </c>
      <c r="L84" t="inlineStr">
        <is>
          <t>World Bank WDI: New business density (new registrations per 1,000 people ages 15-64)</t>
        </is>
      </c>
      <c r="M84" t="inlineStr">
        <is>
          <t>2022-12-31</t>
        </is>
      </c>
      <c r="N84" t="inlineStr">
        <is>
          <t>auto_ingest=world_bank_creative_extended; indicator=IC.BUS.NDNS.ZS; year=2022; country_proxy=Malaysia</t>
        </is>
      </c>
    </row>
    <row r="85">
      <c r="A85" t="inlineStr">
        <is>
          <t>my-kuala-lumpur</t>
        </is>
      </c>
      <c r="B85" t="inlineStr">
        <is>
          <t>Kuala Lumpur</t>
        </is>
      </c>
      <c r="C85" t="inlineStr">
        <is>
          <t>Malaysia</t>
        </is>
      </c>
      <c r="D85" t="inlineStr">
        <is>
          <t>Southeast Asia</t>
        </is>
      </c>
      <c r="E85" t="inlineStr">
        <is>
          <t>innovation_research_intensity_raw</t>
        </is>
      </c>
      <c r="F85" t="inlineStr">
        <is>
          <t>Innovation and research raw</t>
        </is>
      </c>
      <c r="G85" t="inlineStr">
        <is>
          <t>creative</t>
        </is>
      </c>
      <c r="H85" t="inlineStr">
        <is>
          <t>yes</t>
        </is>
      </c>
      <c r="I85" t="inlineStr">
        <is>
          <t>0.95</t>
        </is>
      </c>
      <c r="J85" t="inlineStr">
        <is>
          <t>world_bank</t>
        </is>
      </c>
      <c r="K85" t="inlineStr">
        <is>
          <t>https://api.worldbank.org/v2/country/MYS/indicator/GB.XPD.RSDV.GD.ZS?format=json&amp;mrv=10</t>
        </is>
      </c>
      <c r="L85" t="inlineStr">
        <is>
          <t>World Bank WDI: Research and development expenditure (% of GDP)</t>
        </is>
      </c>
      <c r="M85" t="inlineStr">
        <is>
          <t>2020-12-31</t>
        </is>
      </c>
      <c r="N85" t="inlineStr">
        <is>
          <t>auto_ingest=world_bank_creative_extended; indicator=GB.XPD.RSDV.GD.ZS; year=2020; country_proxy=Malaysia</t>
        </is>
      </c>
    </row>
    <row r="86">
      <c r="A86" t="inlineStr">
        <is>
          <t>my-kuala-lumpur</t>
        </is>
      </c>
      <c r="B86" t="inlineStr">
        <is>
          <t>Kuala Lumpur</t>
        </is>
      </c>
      <c r="C86" t="inlineStr">
        <is>
          <t>Malaysia</t>
        </is>
      </c>
      <c r="D86" t="inlineStr">
        <is>
          <t>Southeast Asia</t>
        </is>
      </c>
      <c r="E86" t="inlineStr">
        <is>
          <t>investment_signal_raw</t>
        </is>
      </c>
      <c r="F86" t="inlineStr">
        <is>
          <t>Investment signal raw</t>
        </is>
      </c>
      <c r="G86" t="inlineStr">
        <is>
          <t>creative</t>
        </is>
      </c>
      <c r="H86" t="inlineStr">
        <is>
          <t>yes</t>
        </is>
      </c>
      <c r="I86" t="inlineStr">
        <is>
          <t>3.69</t>
        </is>
      </c>
      <c r="J86" t="inlineStr">
        <is>
          <t>world_bank</t>
        </is>
      </c>
      <c r="K86" t="inlineStr">
        <is>
          <t>https://api.worldbank.org/v2/country/MYS/indicator/BX.KLT.DINV.WD.GD.ZS?format=json&amp;mrv=10</t>
        </is>
      </c>
      <c r="L86" t="inlineStr">
        <is>
          <t>World Bank WDI: Foreign direct investment, net inflows (% of GDP)</t>
        </is>
      </c>
      <c r="M86" t="inlineStr">
        <is>
          <t>2024-12-31</t>
        </is>
      </c>
      <c r="N86" t="inlineStr">
        <is>
          <t>auto_ingest=world_bank_creative_extended; indicator=BX.KLT.DINV.WD.GD.ZS; year=2024; country_proxy=Malaysia</t>
        </is>
      </c>
    </row>
    <row r="87">
      <c r="A87" t="inlineStr">
        <is>
          <t>my-kuala-lumpur</t>
        </is>
      </c>
      <c r="B87" t="inlineStr">
        <is>
          <t>Kuala Lumpur</t>
        </is>
      </c>
      <c r="C87" t="inlineStr">
        <is>
          <t>Malaysia</t>
        </is>
      </c>
      <c r="D87" t="inlineStr">
        <is>
          <t>Southeast Asia</t>
        </is>
      </c>
      <c r="E87" t="inlineStr">
        <is>
          <t>administrative_investment_friction_raw</t>
        </is>
      </c>
      <c r="F87" t="inlineStr">
        <is>
          <t>Administrative investment friction raw</t>
        </is>
      </c>
      <c r="G87" t="inlineStr">
        <is>
          <t>creative</t>
        </is>
      </c>
      <c r="H87" t="inlineStr">
        <is>
          <t>yes</t>
        </is>
      </c>
      <c r="I87" t="inlineStr">
        <is>
          <t>1.84</t>
        </is>
      </c>
      <c r="J87" t="inlineStr">
        <is>
          <t>world_bank</t>
        </is>
      </c>
      <c r="K87" t="inlineStr">
        <is>
          <t>https://api.worldbank.org/v2/country/MYS/indicator/RQ.EST?format=json&amp;mrv=10</t>
        </is>
      </c>
      <c r="L87" t="inlineStr">
        <is>
          <t>World Bank WGI: Regulatory Quality (inverted as friction proxy)</t>
        </is>
      </c>
      <c r="M87" t="inlineStr">
        <is>
          <t>2023-12-31</t>
        </is>
      </c>
      <c r="N87" t="inlineStr">
        <is>
          <t>auto_ingest=world_bank_business_friction; indicator=RQ.EST; raw_rq=0.660894274711609; friction=1.84; year=2023; country_proxy=Malaysia</t>
        </is>
      </c>
    </row>
    <row r="88">
      <c r="A88" t="inlineStr">
        <is>
          <t>my-kuala-lumpur</t>
        </is>
      </c>
      <c r="B88" t="inlineStr">
        <is>
          <t>Kuala Lumpur</t>
        </is>
      </c>
      <c r="C88" t="inlineStr">
        <is>
          <t>Malaysia</t>
        </is>
      </c>
      <c r="D88" t="inlineStr">
        <is>
          <t>Southeast Asia</t>
        </is>
      </c>
      <c r="E88" t="inlineStr">
        <is>
          <t>visitor_flow_context_raw</t>
        </is>
      </c>
      <c r="F88" t="inlineStr">
        <is>
          <t>Visitor flow context raw</t>
        </is>
      </c>
      <c r="G88" t="inlineStr">
        <is>
          <t>creative</t>
        </is>
      </c>
      <c r="H88" t="inlineStr">
        <is>
          <t>no</t>
        </is>
      </c>
      <c r="I88" t="inlineStr"/>
      <c r="J88" t="inlineStr"/>
      <c r="K88" t="inlineStr"/>
      <c r="L88" t="inlineStr"/>
      <c r="M88" t="inlineStr"/>
      <c r="N88" t="inlineStr"/>
    </row>
    <row r="89">
      <c r="A89" t="inlineStr">
        <is>
          <t>id-jakarta</t>
        </is>
      </c>
      <c r="B89" t="inlineStr">
        <is>
          <t>Jakarta</t>
        </is>
      </c>
      <c r="C89" t="inlineStr">
        <is>
          <t>Indonesia</t>
        </is>
      </c>
      <c r="D89" t="inlineStr">
        <is>
          <t>Southeast Asia</t>
        </is>
      </c>
      <c r="E89" t="inlineStr">
        <is>
          <t>gross_income</t>
        </is>
      </c>
      <c r="F89" t="inlineStr">
        <is>
          <t>Gross income</t>
        </is>
      </c>
      <c r="G89" t="inlineStr">
        <is>
          <t>pressure</t>
        </is>
      </c>
      <c r="H89" t="inlineStr">
        <is>
          <t>yes</t>
        </is>
      </c>
      <c r="I89" t="inlineStr">
        <is>
          <t>1334.17</t>
        </is>
      </c>
      <c r="J89" t="inlineStr">
        <is>
          <t>world_bank_col_estimate</t>
        </is>
      </c>
      <c r="K89" t="inlineStr">
        <is>
          <t>https://api.worldbank.org/v2/country/IDN/indicator/NY.GNP.PCAP.PP.CD?format=json&amp;mrv=10</t>
        </is>
      </c>
      <c r="L89" t="inlineStr">
        <is>
          <t>World Bank WDI: GNI per capita PPP (monthly USD)</t>
        </is>
      </c>
      <c r="M89" t="inlineStr">
        <is>
          <t>2024-12-31</t>
        </is>
      </c>
      <c r="N89" t="inlineStr">
        <is>
          <t>auto_ingest=world_bank_col_estimate; gni_annual=16010.0; year=2024; country_proxy=Indonesia; cohort=Southeast Asia</t>
        </is>
      </c>
    </row>
    <row r="90">
      <c r="A90" t="inlineStr">
        <is>
          <t>id-jakarta</t>
        </is>
      </c>
      <c r="B90" t="inlineStr">
        <is>
          <t>Jakarta</t>
        </is>
      </c>
      <c r="C90" t="inlineStr">
        <is>
          <t>Indonesia</t>
        </is>
      </c>
      <c r="D90" t="inlineStr">
        <is>
          <t>Southeast Asia</t>
        </is>
      </c>
      <c r="E90" t="inlineStr">
        <is>
          <t>di_ppp_raw</t>
        </is>
      </c>
      <c r="F90" t="inlineStr">
        <is>
          <t>Disposable income PPP (Raw)</t>
        </is>
      </c>
      <c r="G90" t="inlineStr">
        <is>
          <t>pressure</t>
        </is>
      </c>
      <c r="H90" t="inlineStr">
        <is>
          <t>yes</t>
        </is>
      </c>
      <c r="I90" t="inlineStr"/>
      <c r="J90" t="inlineStr"/>
      <c r="K90" t="inlineStr"/>
      <c r="L90" t="inlineStr"/>
      <c r="M90" t="inlineStr"/>
      <c r="N90" t="inlineStr"/>
    </row>
    <row r="91">
      <c r="A91" t="inlineStr">
        <is>
          <t>id-jakarta</t>
        </is>
      </c>
      <c r="B91" t="inlineStr">
        <is>
          <t>Jakarta</t>
        </is>
      </c>
      <c r="C91" t="inlineStr">
        <is>
          <t>Indonesia</t>
        </is>
      </c>
      <c r="D91" t="inlineStr">
        <is>
          <t>Southeast Asia</t>
        </is>
      </c>
      <c r="E91" t="inlineStr">
        <is>
          <t>rent</t>
        </is>
      </c>
      <c r="F91" t="inlineStr">
        <is>
          <t>Rent</t>
        </is>
      </c>
      <c r="G91" t="inlineStr">
        <is>
          <t>pressure</t>
        </is>
      </c>
      <c r="H91" t="inlineStr">
        <is>
          <t>yes</t>
        </is>
      </c>
      <c r="I91" t="inlineStr">
        <is>
          <t>266.83</t>
        </is>
      </c>
      <c r="J91" t="inlineStr">
        <is>
          <t>world_bank_col_estimate</t>
        </is>
      </c>
      <c r="K91" t="inlineStr">
        <is>
          <t>https://api.worldbank.org/v2/country/IDN/indicator/NY.GNP.PCAP.PP.CD?format=json&amp;mrv=10</t>
        </is>
      </c>
      <c r="L91" t="inlineStr">
        <is>
          <t>World Bank GNI + regional expenditure ratio estimate</t>
        </is>
      </c>
      <c r="M91" t="inlineStr">
        <is>
          <t>2024-12-31</t>
        </is>
      </c>
      <c r="N91" t="inlineStr">
        <is>
          <t>auto_ingest=world_bank_col_estimate; gni_annual=16010.0; year=2024; country_proxy=Indonesia; cohort=Southeast Asia</t>
        </is>
      </c>
    </row>
    <row r="92">
      <c r="A92" t="inlineStr">
        <is>
          <t>id-jakarta</t>
        </is>
      </c>
      <c r="B92" t="inlineStr">
        <is>
          <t>Jakarta</t>
        </is>
      </c>
      <c r="C92" t="inlineStr">
        <is>
          <t>Indonesia</t>
        </is>
      </c>
      <c r="D92" t="inlineStr">
        <is>
          <t>Southeast Asia</t>
        </is>
      </c>
      <c r="E92" t="inlineStr">
        <is>
          <t>utilities</t>
        </is>
      </c>
      <c r="F92" t="inlineStr">
        <is>
          <t>Utilities</t>
        </is>
      </c>
      <c r="G92" t="inlineStr">
        <is>
          <t>pressure</t>
        </is>
      </c>
      <c r="H92" t="inlineStr">
        <is>
          <t>yes</t>
        </is>
      </c>
      <c r="I92" t="inlineStr">
        <is>
          <t>66.71</t>
        </is>
      </c>
      <c r="J92" t="inlineStr">
        <is>
          <t>world_bank_col_estimate</t>
        </is>
      </c>
      <c r="K92" t="inlineStr">
        <is>
          <t>https://api.worldbank.org/v2/country/IDN/indicator/NY.GNP.PCAP.PP.CD?format=json&amp;mrv=10</t>
        </is>
      </c>
      <c r="L92" t="inlineStr">
        <is>
          <t>World Bank GNI + regional expenditure ratio estimate</t>
        </is>
      </c>
      <c r="M92" t="inlineStr">
        <is>
          <t>2024-12-31</t>
        </is>
      </c>
      <c r="N92" t="inlineStr">
        <is>
          <t>auto_ingest=world_bank_col_estimate; gni_annual=16010.0; year=2024; country_proxy=Indonesia; cohort=Southeast Asia</t>
        </is>
      </c>
    </row>
    <row r="93">
      <c r="A93" t="inlineStr">
        <is>
          <t>id-jakarta</t>
        </is>
      </c>
      <c r="B93" t="inlineStr">
        <is>
          <t>Jakarta</t>
        </is>
      </c>
      <c r="C93" t="inlineStr">
        <is>
          <t>Indonesia</t>
        </is>
      </c>
      <c r="D93" t="inlineStr">
        <is>
          <t>Southeast Asia</t>
        </is>
      </c>
      <c r="E93" t="inlineStr">
        <is>
          <t>transit_cost</t>
        </is>
      </c>
      <c r="F93" t="inlineStr">
        <is>
          <t>Transit cost</t>
        </is>
      </c>
      <c r="G93" t="inlineStr">
        <is>
          <t>pressure</t>
        </is>
      </c>
      <c r="H93" t="inlineStr">
        <is>
          <t>yes</t>
        </is>
      </c>
      <c r="I93" t="inlineStr">
        <is>
          <t>53.37</t>
        </is>
      </c>
      <c r="J93" t="inlineStr">
        <is>
          <t>world_bank_col_estimate</t>
        </is>
      </c>
      <c r="K93" t="inlineStr">
        <is>
          <t>https://api.worldbank.org/v2/country/IDN/indicator/NY.GNP.PCAP.PP.CD?format=json&amp;mrv=10</t>
        </is>
      </c>
      <c r="L93" t="inlineStr">
        <is>
          <t>World Bank GNI + regional expenditure ratio estimate</t>
        </is>
      </c>
      <c r="M93" t="inlineStr">
        <is>
          <t>2024-12-31</t>
        </is>
      </c>
      <c r="N93" t="inlineStr">
        <is>
          <t>auto_ingest=world_bank_col_estimate; gni_annual=16010.0; year=2024; country_proxy=Indonesia; cohort=Southeast Asia</t>
        </is>
      </c>
    </row>
    <row r="94">
      <c r="A94" t="inlineStr">
        <is>
          <t>id-jakarta</t>
        </is>
      </c>
      <c r="B94" t="inlineStr">
        <is>
          <t>Jakarta</t>
        </is>
      </c>
      <c r="C94" t="inlineStr">
        <is>
          <t>Indonesia</t>
        </is>
      </c>
      <c r="D94" t="inlineStr">
        <is>
          <t>Southeast Asia</t>
        </is>
      </c>
      <c r="E94" t="inlineStr">
        <is>
          <t>internet_cost</t>
        </is>
      </c>
      <c r="F94" t="inlineStr">
        <is>
          <t>Internet cost</t>
        </is>
      </c>
      <c r="G94" t="inlineStr">
        <is>
          <t>pressure</t>
        </is>
      </c>
      <c r="H94" t="inlineStr">
        <is>
          <t>yes</t>
        </is>
      </c>
      <c r="I94" t="inlineStr">
        <is>
          <t>20.01</t>
        </is>
      </c>
      <c r="J94" t="inlineStr">
        <is>
          <t>world_bank_col_estimate</t>
        </is>
      </c>
      <c r="K94" t="inlineStr">
        <is>
          <t>https://api.worldbank.org/v2/country/IDN/indicator/NY.GNP.PCAP.PP.CD?format=json&amp;mrv=10</t>
        </is>
      </c>
      <c r="L94" t="inlineStr">
        <is>
          <t>World Bank GNI + regional expenditure ratio estimate</t>
        </is>
      </c>
      <c r="M94" t="inlineStr">
        <is>
          <t>2024-12-31</t>
        </is>
      </c>
      <c r="N94" t="inlineStr">
        <is>
          <t>auto_ingest=world_bank_col_estimate; gni_annual=16010.0; year=2024; country_proxy=Indonesia; cohort=Southeast Asia</t>
        </is>
      </c>
    </row>
    <row r="95">
      <c r="A95" t="inlineStr">
        <is>
          <t>id-jakarta</t>
        </is>
      </c>
      <c r="B95" t="inlineStr">
        <is>
          <t>Jakarta</t>
        </is>
      </c>
      <c r="C95" t="inlineStr">
        <is>
          <t>Indonesia</t>
        </is>
      </c>
      <c r="D95" t="inlineStr">
        <is>
          <t>Southeast Asia</t>
        </is>
      </c>
      <c r="E95" t="inlineStr">
        <is>
          <t>food_cost</t>
        </is>
      </c>
      <c r="F95" t="inlineStr">
        <is>
          <t>Food cost</t>
        </is>
      </c>
      <c r="G95" t="inlineStr">
        <is>
          <t>pressure</t>
        </is>
      </c>
      <c r="H95" t="inlineStr">
        <is>
          <t>yes</t>
        </is>
      </c>
      <c r="I95" t="inlineStr">
        <is>
          <t>293.52</t>
        </is>
      </c>
      <c r="J95" t="inlineStr">
        <is>
          <t>world_bank_col_estimate</t>
        </is>
      </c>
      <c r="K95" t="inlineStr">
        <is>
          <t>https://api.worldbank.org/v2/country/IDN/indicator/NY.GNP.PCAP.PP.CD?format=json&amp;mrv=10</t>
        </is>
      </c>
      <c r="L95" t="inlineStr">
        <is>
          <t>World Bank GNI + regional expenditure ratio estimate</t>
        </is>
      </c>
      <c r="M95" t="inlineStr">
        <is>
          <t>2024-12-31</t>
        </is>
      </c>
      <c r="N95" t="inlineStr">
        <is>
          <t>auto_ingest=world_bank_col_estimate; gni_annual=16010.0; year=2024; country_proxy=Indonesia; cohort=Southeast Asia</t>
        </is>
      </c>
    </row>
    <row r="96">
      <c r="A96" t="inlineStr">
        <is>
          <t>id-jakarta</t>
        </is>
      </c>
      <c r="B96" t="inlineStr">
        <is>
          <t>Jakarta</t>
        </is>
      </c>
      <c r="C96" t="inlineStr">
        <is>
          <t>Indonesia</t>
        </is>
      </c>
      <c r="D96" t="inlineStr">
        <is>
          <t>Southeast Asia</t>
        </is>
      </c>
      <c r="E96" t="inlineStr">
        <is>
          <t>housing_burden_raw</t>
        </is>
      </c>
      <c r="F96" t="inlineStr">
        <is>
          <t>Housing burden raw</t>
        </is>
      </c>
      <c r="G96" t="inlineStr">
        <is>
          <t>pressure</t>
        </is>
      </c>
      <c r="H96" t="inlineStr">
        <is>
          <t>yes</t>
        </is>
      </c>
      <c r="I96" t="inlineStr">
        <is>
          <t>19.9997</t>
        </is>
      </c>
      <c r="J96" t="inlineStr">
        <is>
          <t>derived</t>
        </is>
      </c>
      <c r="K96" t="inlineStr">
        <is>
          <t>https://data.worldbank.org/indicator/NY.GNP.PCAP.PP.CD</t>
        </is>
      </c>
      <c r="L96" t="inlineStr">
        <is>
          <t>Computed from city_inputs + country_context</t>
        </is>
      </c>
      <c r="M96" t="inlineStr">
        <is>
          <t>2024-01-01</t>
        </is>
      </c>
      <c r="N96" t="inlineStr">
        <is>
          <t>derived=rent/gross_income*100</t>
        </is>
      </c>
    </row>
    <row r="97">
      <c r="A97" t="inlineStr">
        <is>
          <t>id-jakarta</t>
        </is>
      </c>
      <c r="B97" t="inlineStr">
        <is>
          <t>Jakarta</t>
        </is>
      </c>
      <c r="C97" t="inlineStr">
        <is>
          <t>Indonesia</t>
        </is>
      </c>
      <c r="D97" t="inlineStr">
        <is>
          <t>Southeast Asia</t>
        </is>
      </c>
      <c r="E97" t="inlineStr">
        <is>
          <t>household_debt_burden_raw</t>
        </is>
      </c>
      <c r="F97" t="inlineStr">
        <is>
          <t>Household debt burden raw</t>
        </is>
      </c>
      <c r="G97" t="inlineStr">
        <is>
          <t>pressure</t>
        </is>
      </c>
      <c r="H97" t="inlineStr">
        <is>
          <t>yes</t>
        </is>
      </c>
      <c r="I97" t="inlineStr">
        <is>
          <t>31.7861</t>
        </is>
      </c>
      <c r="J97" t="inlineStr">
        <is>
          <t>derived</t>
        </is>
      </c>
      <c r="K97" t="inlineStr">
        <is>
          <t>https://data.worldbank.org/indicator/NY.GNP.PCAP.PP.CD</t>
        </is>
      </c>
      <c r="L97" t="inlineStr">
        <is>
          <t>Computed from city_inputs + country_context</t>
        </is>
      </c>
      <c r="M97" t="inlineStr">
        <is>
          <t>2024-01-01</t>
        </is>
      </c>
      <c r="N97" t="inlineStr">
        <is>
          <t>derived=country_context.household_debt_proxy; country=Indonesia</t>
        </is>
      </c>
    </row>
    <row r="98">
      <c r="A98" t="inlineStr">
        <is>
          <t>id-jakarta</t>
        </is>
      </c>
      <c r="B98" t="inlineStr">
        <is>
          <t>Jakarta</t>
        </is>
      </c>
      <c r="C98" t="inlineStr">
        <is>
          <t>Indonesia</t>
        </is>
      </c>
      <c r="D98" t="inlineStr">
        <is>
          <t>Southeast Asia</t>
        </is>
      </c>
      <c r="E98" t="inlineStr">
        <is>
          <t>working_time_pressure_raw</t>
        </is>
      </c>
      <c r="F98" t="inlineStr">
        <is>
          <t>Working time pressure raw</t>
        </is>
      </c>
      <c r="G98" t="inlineStr">
        <is>
          <t>pressure</t>
        </is>
      </c>
      <c r="H98" t="inlineStr">
        <is>
          <t>yes</t>
        </is>
      </c>
      <c r="I98" t="inlineStr">
        <is>
          <t>38.36</t>
        </is>
      </c>
      <c r="J98" t="inlineStr">
        <is>
          <t>ilo_ilostat</t>
        </is>
      </c>
      <c r="K98" t="inlineStr">
        <is>
          <t>https://ilostat.ilo.org/data/indicator/?id=HOW_TEMP_SEX_ECO_NB_A&amp;ref_area=IDN</t>
        </is>
      </c>
      <c r="L98" t="inlineStr">
        <is>
          <t>ILO ILOSTAT: Mean weekly hours actually worked per employed person</t>
        </is>
      </c>
      <c r="M98" t="inlineStr">
        <is>
          <t>2023-12-31</t>
        </is>
      </c>
      <c r="N98" t="inlineStr">
        <is>
          <t>auto_ingest=ilo_working_hours; indicator=HOW_TEMP_SEX_ECO_NB_A; year=2023; hours=38.36; country_proxy=Indonesia</t>
        </is>
      </c>
    </row>
    <row r="99">
      <c r="A99" t="inlineStr">
        <is>
          <t>id-jakarta</t>
        </is>
      </c>
      <c r="B99" t="inlineStr">
        <is>
          <t>Jakarta</t>
        </is>
      </c>
      <c r="C99" t="inlineStr">
        <is>
          <t>Indonesia</t>
        </is>
      </c>
      <c r="D99" t="inlineStr">
        <is>
          <t>Southeast Asia</t>
        </is>
      </c>
      <c r="E99" t="inlineStr">
        <is>
          <t>suicide_mental_strain_raw</t>
        </is>
      </c>
      <c r="F99" t="inlineStr">
        <is>
          <t>Suicide or mental strain raw</t>
        </is>
      </c>
      <c r="G99" t="inlineStr">
        <is>
          <t>pressure</t>
        </is>
      </c>
      <c r="H99" t="inlineStr">
        <is>
          <t>yes</t>
        </is>
      </c>
      <c r="I99" t="inlineStr">
        <is>
          <t>1.2</t>
        </is>
      </c>
      <c r="J99" t="inlineStr">
        <is>
          <t>who_gho</t>
        </is>
      </c>
      <c r="K99" t="inlineStr">
        <is>
          <t>https://www.who.int/data/gho/data/indicators/indicator-details/GHO/SDGSUICIDE</t>
        </is>
      </c>
      <c r="L99" t="inlineStr">
        <is>
          <t>WHO GHO: Age-standardized suicide rate (per 100,000 population)</t>
        </is>
      </c>
      <c r="M99" t="inlineStr">
        <is>
          <t>2021-12-31</t>
        </is>
      </c>
      <c r="N99" t="inlineStr">
        <is>
          <t>auto_ingest=who_gho; indicator=SDGSUICIDE; year=2021; country_proxy=Indonesia</t>
        </is>
      </c>
    </row>
    <row r="100">
      <c r="A100" t="inlineStr">
        <is>
          <t>id-jakarta</t>
        </is>
      </c>
      <c r="B100" t="inlineStr">
        <is>
          <t>Jakarta</t>
        </is>
      </c>
      <c r="C100" t="inlineStr">
        <is>
          <t>Indonesia</t>
        </is>
      </c>
      <c r="D100" t="inlineStr">
        <is>
          <t>Southeast Asia</t>
        </is>
      </c>
      <c r="E100" t="inlineStr">
        <is>
          <t>personal_safety_raw</t>
        </is>
      </c>
      <c r="F100" t="inlineStr">
        <is>
          <t>Personal safety raw</t>
        </is>
      </c>
      <c r="G100" t="inlineStr">
        <is>
          <t>viability</t>
        </is>
      </c>
      <c r="H100" t="inlineStr">
        <is>
          <t>yes</t>
        </is>
      </c>
      <c r="I100" t="inlineStr">
        <is>
          <t>0.3</t>
        </is>
      </c>
      <c r="J100" t="inlineStr">
        <is>
          <t>world_bank</t>
        </is>
      </c>
      <c r="K100" t="inlineStr">
        <is>
          <t>https://api.worldbank.org/v2/country/IDN/indicator/VC.IHR.PSRC.P5?format=json&amp;mrv=10</t>
        </is>
      </c>
      <c r="L100" t="inlineStr">
        <is>
          <t>UNODC via World Bank WDI: Intentional homicides (per 100,000 people)</t>
        </is>
      </c>
      <c r="M100" t="inlineStr">
        <is>
          <t>2022-12-31</t>
        </is>
      </c>
      <c r="N100" t="inlineStr">
        <is>
          <t>auto_ingest=unodc_safety; indicator=VC.IHR.PSRC.P5; year=2022; country_proxy=Indonesia</t>
        </is>
      </c>
    </row>
    <row r="101">
      <c r="A101" t="inlineStr">
        <is>
          <t>id-jakarta</t>
        </is>
      </c>
      <c r="B101" t="inlineStr">
        <is>
          <t>Jakarta</t>
        </is>
      </c>
      <c r="C101" t="inlineStr">
        <is>
          <t>Indonesia</t>
        </is>
      </c>
      <c r="D101" t="inlineStr">
        <is>
          <t>Southeast Asia</t>
        </is>
      </c>
      <c r="E101" t="inlineStr">
        <is>
          <t>transit_access_commute_raw</t>
        </is>
      </c>
      <c r="F101" t="inlineStr">
        <is>
          <t>Transit access and commute raw</t>
        </is>
      </c>
      <c r="G101" t="inlineStr">
        <is>
          <t>viability</t>
        </is>
      </c>
      <c r="H101" t="inlineStr">
        <is>
          <t>yes</t>
        </is>
      </c>
      <c r="I101" t="inlineStr"/>
      <c r="J101" t="inlineStr"/>
      <c r="K101" t="inlineStr"/>
      <c r="L101" t="inlineStr"/>
      <c r="M101" t="inlineStr"/>
      <c r="N101" t="inlineStr"/>
    </row>
    <row r="102">
      <c r="A102" t="inlineStr">
        <is>
          <t>id-jakarta</t>
        </is>
      </c>
      <c r="B102" t="inlineStr">
        <is>
          <t>Jakarta</t>
        </is>
      </c>
      <c r="C102" t="inlineStr">
        <is>
          <t>Indonesia</t>
        </is>
      </c>
      <c r="D102" t="inlineStr">
        <is>
          <t>Southeast Asia</t>
        </is>
      </c>
      <c r="E102" t="inlineStr">
        <is>
          <t>clean_air_raw</t>
        </is>
      </c>
      <c r="F102" t="inlineStr">
        <is>
          <t>Clean air raw</t>
        </is>
      </c>
      <c r="G102" t="inlineStr">
        <is>
          <t>viability</t>
        </is>
      </c>
      <c r="H102" t="inlineStr">
        <is>
          <t>yes</t>
        </is>
      </c>
      <c r="I102" t="inlineStr"/>
      <c r="J102" t="inlineStr"/>
      <c r="K102" t="inlineStr"/>
      <c r="L102" t="inlineStr"/>
      <c r="M102" t="inlineStr"/>
      <c r="N102" t="inlineStr"/>
    </row>
    <row r="103">
      <c r="A103" t="inlineStr">
        <is>
          <t>id-jakarta</t>
        </is>
      </c>
      <c r="B103" t="inlineStr">
        <is>
          <t>Jakarta</t>
        </is>
      </c>
      <c r="C103" t="inlineStr">
        <is>
          <t>Indonesia</t>
        </is>
      </c>
      <c r="D103" t="inlineStr">
        <is>
          <t>Southeast Asia</t>
        </is>
      </c>
      <c r="E103" t="inlineStr">
        <is>
          <t>water_sanitation_utility_raw</t>
        </is>
      </c>
      <c r="F103" t="inlineStr">
        <is>
          <t>Water, sanitation, and utility raw</t>
        </is>
      </c>
      <c r="G103" t="inlineStr">
        <is>
          <t>viability</t>
        </is>
      </c>
      <c r="H103" t="inlineStr">
        <is>
          <t>yes</t>
        </is>
      </c>
      <c r="I103" t="inlineStr">
        <is>
          <t>30.46</t>
        </is>
      </c>
      <c r="J103" t="inlineStr">
        <is>
          <t>world_bank</t>
        </is>
      </c>
      <c r="K103" t="inlineStr">
        <is>
          <t>https://api.worldbank.org/v2/country/IDN/indicator/SH.H2O.SMDW.ZS?format=json&amp;mrv=10</t>
        </is>
      </c>
      <c r="L103" t="inlineStr">
        <is>
          <t>World Bank WDI: People using safely managed drinking water services (% of population)</t>
        </is>
      </c>
      <c r="M103" t="inlineStr">
        <is>
          <t>2024-12-31</t>
        </is>
      </c>
      <c r="N103" t="inlineStr">
        <is>
          <t>auto_ingest=world_bank_proxy; indicator=SH.H2O.SMDW.ZS; year=2024; country_proxy=Indonesia</t>
        </is>
      </c>
    </row>
    <row r="104">
      <c r="A104" t="inlineStr">
        <is>
          <t>id-jakarta</t>
        </is>
      </c>
      <c r="B104" t="inlineStr">
        <is>
          <t>Jakarta</t>
        </is>
      </c>
      <c r="C104" t="inlineStr">
        <is>
          <t>Indonesia</t>
        </is>
      </c>
      <c r="D104" t="inlineStr">
        <is>
          <t>Southeast Asia</t>
        </is>
      </c>
      <c r="E104" t="inlineStr">
        <is>
          <t>digital_infrastructure_raw</t>
        </is>
      </c>
      <c r="F104" t="inlineStr">
        <is>
          <t>Digital infrastructure raw</t>
        </is>
      </c>
      <c r="G104" t="inlineStr">
        <is>
          <t>viability</t>
        </is>
      </c>
      <c r="H104" t="inlineStr">
        <is>
          <t>yes</t>
        </is>
      </c>
      <c r="I104" t="inlineStr">
        <is>
          <t>4.82</t>
        </is>
      </c>
      <c r="J104" t="inlineStr">
        <is>
          <t>world_bank</t>
        </is>
      </c>
      <c r="K104" t="inlineStr">
        <is>
          <t>https://api.worldbank.org/v2/country/IDN/indicator/IT.NET.BBND.P2?format=json&amp;mrv=10</t>
        </is>
      </c>
      <c r="L104" t="inlineStr">
        <is>
          <t>World Bank WDI: Fixed broadband subscriptions (per 100 people)</t>
        </is>
      </c>
      <c r="M104" t="inlineStr">
        <is>
          <t>2023-12-31</t>
        </is>
      </c>
      <c r="N104" t="inlineStr">
        <is>
          <t>auto_ingest=world_bank_proxy; indicator=IT.NET.BBND.P2; year=2023; country_proxy=Indonesia</t>
        </is>
      </c>
    </row>
    <row r="105">
      <c r="A105" t="inlineStr">
        <is>
          <t>id-jakarta</t>
        </is>
      </c>
      <c r="B105" t="inlineStr">
        <is>
          <t>Jakarta</t>
        </is>
      </c>
      <c r="C105" t="inlineStr">
        <is>
          <t>Indonesia</t>
        </is>
      </c>
      <c r="D105" t="inlineStr">
        <is>
          <t>Southeast Asia</t>
        </is>
      </c>
      <c r="E105" t="inlineStr">
        <is>
          <t>climate_sunlight_livability_raw</t>
        </is>
      </c>
      <c r="F105" t="inlineStr">
        <is>
          <t>Climate and sunlight livability raw</t>
        </is>
      </c>
      <c r="G105" t="inlineStr">
        <is>
          <t>viability</t>
        </is>
      </c>
      <c r="H105" t="inlineStr">
        <is>
          <t>yes</t>
        </is>
      </c>
      <c r="I105" t="inlineStr">
        <is>
          <t>54</t>
        </is>
      </c>
      <c r="J105" t="inlineStr">
        <is>
          <t>wmo_natl_met</t>
        </is>
      </c>
      <c r="K105" t="inlineStr">
        <is>
          <t>https://worldweather.wmo.int</t>
        </is>
      </c>
      <c r="L105" t="inlineStr">
        <is>
          <t>WMO/National Met: Climate livability composite</t>
        </is>
      </c>
      <c r="M105" t="inlineStr">
        <is>
          <t>2024-12-31</t>
        </is>
      </c>
      <c r="N105" t="inlineStr">
        <is>
          <t>auto_seed=climate_composite; 2200 sun hrs, 28C mean, flooding + humidity</t>
        </is>
      </c>
    </row>
    <row r="106">
      <c r="A106" t="inlineStr">
        <is>
          <t>id-jakarta</t>
        </is>
      </c>
      <c r="B106" t="inlineStr">
        <is>
          <t>Jakarta</t>
        </is>
      </c>
      <c r="C106" t="inlineStr">
        <is>
          <t>Indonesia</t>
        </is>
      </c>
      <c r="D106" t="inlineStr">
        <is>
          <t>Southeast Asia</t>
        </is>
      </c>
      <c r="E106" t="inlineStr">
        <is>
          <t>healthcare_quality_raw</t>
        </is>
      </c>
      <c r="F106" t="inlineStr">
        <is>
          <t>Healthcare quality raw</t>
        </is>
      </c>
      <c r="G106" t="inlineStr">
        <is>
          <t>capability</t>
        </is>
      </c>
      <c r="H106" t="inlineStr">
        <is>
          <t>yes</t>
        </is>
      </c>
      <c r="I106" t="inlineStr">
        <is>
          <t>67.0</t>
        </is>
      </c>
      <c r="J106" t="inlineStr">
        <is>
          <t>who_gho</t>
        </is>
      </c>
      <c r="K106" t="inlineStr">
        <is>
          <t>https://www.who.int/data/gho/data/indicators/indicator-details/GHO/UHC_INDEX_REPORTED</t>
        </is>
      </c>
      <c r="L106" t="inlineStr">
        <is>
          <t>WHO GHO: UHC Service Coverage Index</t>
        </is>
      </c>
      <c r="M106" t="inlineStr">
        <is>
          <t>2023-12-31</t>
        </is>
      </c>
      <c r="N106" t="inlineStr">
        <is>
          <t>auto_ingest=who_gho; indicator=UHC_INDEX_REPORTED; year=2023; country_proxy=Indonesia</t>
        </is>
      </c>
    </row>
    <row r="107">
      <c r="A107" t="inlineStr">
        <is>
          <t>id-jakarta</t>
        </is>
      </c>
      <c r="B107" t="inlineStr">
        <is>
          <t>Jakarta</t>
        </is>
      </c>
      <c r="C107" t="inlineStr">
        <is>
          <t>Indonesia</t>
        </is>
      </c>
      <c r="D107" t="inlineStr">
        <is>
          <t>Southeast Asia</t>
        </is>
      </c>
      <c r="E107" t="inlineStr">
        <is>
          <t>education_quality_raw</t>
        </is>
      </c>
      <c r="F107" t="inlineStr">
        <is>
          <t>Education quality raw</t>
        </is>
      </c>
      <c r="G107" t="inlineStr">
        <is>
          <t>capability</t>
        </is>
      </c>
      <c r="H107" t="inlineStr">
        <is>
          <t>yes</t>
        </is>
      </c>
      <c r="I107" t="inlineStr">
        <is>
          <t>44.88</t>
        </is>
      </c>
      <c r="J107" t="inlineStr">
        <is>
          <t>world_bank</t>
        </is>
      </c>
      <c r="K107" t="inlineStr">
        <is>
          <t>https://api.worldbank.org/v2/country/IDN/indicator/SE.TER.ENRR?format=json&amp;mrv=10</t>
        </is>
      </c>
      <c r="L107" t="inlineStr">
        <is>
          <t>World Bank WDI: School enrollment, tertiary (% gross)</t>
        </is>
      </c>
      <c r="M107" t="inlineStr">
        <is>
          <t>2023-12-31</t>
        </is>
      </c>
      <c r="N107" t="inlineStr">
        <is>
          <t>auto_ingest=world_bank_proxy; indicator=SE.TER.ENRR; year=2023; country_proxy=Indonesia</t>
        </is>
      </c>
    </row>
    <row r="108">
      <c r="A108" t="inlineStr">
        <is>
          <t>id-jakarta</t>
        </is>
      </c>
      <c r="B108" t="inlineStr">
        <is>
          <t>Jakarta</t>
        </is>
      </c>
      <c r="C108" t="inlineStr">
        <is>
          <t>Indonesia</t>
        </is>
      </c>
      <c r="D108" t="inlineStr">
        <is>
          <t>Southeast Asia</t>
        </is>
      </c>
      <c r="E108" t="inlineStr">
        <is>
          <t>equal_opportunity_raw</t>
        </is>
      </c>
      <c r="F108" t="inlineStr">
        <is>
          <t>Equal opportunity raw</t>
        </is>
      </c>
      <c r="G108" t="inlineStr">
        <is>
          <t>capability</t>
        </is>
      </c>
      <c r="H108" t="inlineStr">
        <is>
          <t>yes</t>
        </is>
      </c>
      <c r="I108" t="inlineStr">
        <is>
          <t>34.9</t>
        </is>
      </c>
      <c r="J108" t="inlineStr">
        <is>
          <t>world_bank</t>
        </is>
      </c>
      <c r="K108" t="inlineStr">
        <is>
          <t>https://api.worldbank.org/v2/country/IDN/indicator/SI.POV.GINI?format=json&amp;mrv=10</t>
        </is>
      </c>
      <c r="L108" t="inlineStr">
        <is>
          <t>World Bank WDI: Gini index</t>
        </is>
      </c>
      <c r="M108" t="inlineStr">
        <is>
          <t>2024-12-31</t>
        </is>
      </c>
      <c r="N108" t="inlineStr">
        <is>
          <t>auto_ingest=world_bank_capability; indicator=SI.POV.GINI; year=2024; country_proxy=Indonesia</t>
        </is>
      </c>
    </row>
    <row r="109">
      <c r="A109" t="inlineStr">
        <is>
          <t>id-jakarta</t>
        </is>
      </c>
      <c r="B109" t="inlineStr">
        <is>
          <t>Jakarta</t>
        </is>
      </c>
      <c r="C109" t="inlineStr">
        <is>
          <t>Indonesia</t>
        </is>
      </c>
      <c r="D109" t="inlineStr">
        <is>
          <t>Southeast Asia</t>
        </is>
      </c>
      <c r="E109" t="inlineStr">
        <is>
          <t>hospitality_belonging_raw</t>
        </is>
      </c>
      <c r="F109" t="inlineStr">
        <is>
          <t>Hospitality and belonging raw</t>
        </is>
      </c>
      <c r="G109" t="inlineStr">
        <is>
          <t>community</t>
        </is>
      </c>
      <c r="H109" t="inlineStr">
        <is>
          <t>yes</t>
        </is>
      </c>
      <c r="I109" t="inlineStr">
        <is>
          <t>49.86</t>
        </is>
      </c>
      <c r="J109" t="inlineStr">
        <is>
          <t>world_bank</t>
        </is>
      </c>
      <c r="K109" t="inlineStr">
        <is>
          <t>https://api.worldbank.org/v2/country/IDN/indicator/SM.POP.NETM?format=json&amp;mrv=10</t>
        </is>
      </c>
      <c r="L109" t="inlineStr">
        <is>
          <t>World Bank WDI: Net migration (proxy for hospitality/belonging — positive = welcoming)</t>
        </is>
      </c>
      <c r="M109" t="inlineStr">
        <is>
          <t>2025-12-31</t>
        </is>
      </c>
      <c r="N109" t="inlineStr">
        <is>
          <t>auto_ingest=world_bank_proxy; proxy=net_migration_hospitality; indicator=SM.POP.NETM; year=2025; country_proxy=Indonesia</t>
        </is>
      </c>
    </row>
    <row r="110">
      <c r="A110" t="inlineStr">
        <is>
          <t>id-jakarta</t>
        </is>
      </c>
      <c r="B110" t="inlineStr">
        <is>
          <t>Jakarta</t>
        </is>
      </c>
      <c r="C110" t="inlineStr">
        <is>
          <t>Indonesia</t>
        </is>
      </c>
      <c r="D110" t="inlineStr">
        <is>
          <t>Southeast Asia</t>
        </is>
      </c>
      <c r="E110" t="inlineStr">
        <is>
          <t>tolerance_pluralism_raw</t>
        </is>
      </c>
      <c r="F110" t="inlineStr">
        <is>
          <t>Tolerance and pluralism raw</t>
        </is>
      </c>
      <c r="G110" t="inlineStr">
        <is>
          <t>community</t>
        </is>
      </c>
      <c r="H110" t="inlineStr">
        <is>
          <t>yes</t>
        </is>
      </c>
      <c r="I110" t="inlineStr">
        <is>
          <t>21.03</t>
        </is>
      </c>
      <c r="J110" t="inlineStr">
        <is>
          <t>world_bank</t>
        </is>
      </c>
      <c r="K110" t="inlineStr">
        <is>
          <t>https://api.worldbank.org/v2/country/IDN/indicator/SG.GEN.PARL.ZS?format=json&amp;mrv=10</t>
        </is>
      </c>
      <c r="L110" t="inlineStr">
        <is>
          <t>World Bank WDI: Proportion of seats held by women in national parliaments (%)</t>
        </is>
      </c>
      <c r="M110" t="inlineStr">
        <is>
          <t>2024-12-31</t>
        </is>
      </c>
      <c r="N110" t="inlineStr">
        <is>
          <t>auto_ingest=world_bank_proxy; proxy=gender_parity_parliament; indicator=SG.GEN.PARL.ZS; year=2024; country_proxy=Indonesia</t>
        </is>
      </c>
    </row>
    <row r="111">
      <c r="A111" t="inlineStr">
        <is>
          <t>id-jakarta</t>
        </is>
      </c>
      <c r="B111" t="inlineStr">
        <is>
          <t>Jakarta</t>
        </is>
      </c>
      <c r="C111" t="inlineStr">
        <is>
          <t>Indonesia</t>
        </is>
      </c>
      <c r="D111" t="inlineStr">
        <is>
          <t>Southeast Asia</t>
        </is>
      </c>
      <c r="E111" t="inlineStr">
        <is>
          <t>cultural_public_life_raw</t>
        </is>
      </c>
      <c r="F111" t="inlineStr">
        <is>
          <t>Cultural public life raw</t>
        </is>
      </c>
      <c r="G111" t="inlineStr">
        <is>
          <t>community</t>
        </is>
      </c>
      <c r="H111" t="inlineStr">
        <is>
          <t>yes</t>
        </is>
      </c>
      <c r="I111" t="inlineStr">
        <is>
          <t>14.3</t>
        </is>
      </c>
      <c r="J111" t="inlineStr">
        <is>
          <t>world_bank</t>
        </is>
      </c>
      <c r="K111" t="inlineStr">
        <is>
          <t>https://api.worldbank.org/v2/country/IDN/indicator/ST.INT.ARVL?format=json&amp;mrv=10</t>
        </is>
      </c>
      <c r="L111" t="inlineStr">
        <is>
          <t>World Bank WDI: International tourism arrivals per 1 000 population</t>
        </is>
      </c>
      <c r="M111" t="inlineStr">
        <is>
          <t>2020-12-31</t>
        </is>
      </c>
      <c r="N111" t="inlineStr">
        <is>
          <t>auto_ingest=cultural_life_proxy; indicator=ST.INT.ARVL; norm=per_1000_pop; year=2020; country_proxy=Indonesia</t>
        </is>
      </c>
    </row>
    <row r="112">
      <c r="A112" t="inlineStr">
        <is>
          <t>id-jakarta</t>
        </is>
      </c>
      <c r="B112" t="inlineStr">
        <is>
          <t>Jakarta</t>
        </is>
      </c>
      <c r="C112" t="inlineStr">
        <is>
          <t>Indonesia</t>
        </is>
      </c>
      <c r="D112" t="inlineStr">
        <is>
          <t>Southeast Asia</t>
        </is>
      </c>
      <c r="E112" t="inlineStr">
        <is>
          <t>birth_rate_optimism_raw</t>
        </is>
      </c>
      <c r="F112" t="inlineStr">
        <is>
          <t>Birth rate and societal optimism raw</t>
        </is>
      </c>
      <c r="G112" t="inlineStr">
        <is>
          <t>community</t>
        </is>
      </c>
      <c r="H112" t="inlineStr">
        <is>
          <t>yes</t>
        </is>
      </c>
      <c r="I112" t="inlineStr"/>
      <c r="J112" t="inlineStr"/>
      <c r="K112" t="inlineStr"/>
      <c r="L112" t="inlineStr"/>
      <c r="M112" t="inlineStr"/>
      <c r="N112" t="inlineStr"/>
    </row>
    <row r="113">
      <c r="A113" t="inlineStr">
        <is>
          <t>id-jakarta</t>
        </is>
      </c>
      <c r="B113" t="inlineStr">
        <is>
          <t>Jakarta</t>
        </is>
      </c>
      <c r="C113" t="inlineStr">
        <is>
          <t>Indonesia</t>
        </is>
      </c>
      <c r="D113" t="inlineStr">
        <is>
          <t>Southeast Asia</t>
        </is>
      </c>
      <c r="E113" t="inlineStr">
        <is>
          <t>entrepreneurial_dynamism_raw</t>
        </is>
      </c>
      <c r="F113" t="inlineStr">
        <is>
          <t>Entrepreneurial dynamism raw</t>
        </is>
      </c>
      <c r="G113" t="inlineStr">
        <is>
          <t>creative</t>
        </is>
      </c>
      <c r="H113" t="inlineStr">
        <is>
          <t>yes</t>
        </is>
      </c>
      <c r="I113" t="inlineStr">
        <is>
          <t>0.33</t>
        </is>
      </c>
      <c r="J113" t="inlineStr">
        <is>
          <t>world_bank</t>
        </is>
      </c>
      <c r="K113" t="inlineStr">
        <is>
          <t>https://api.worldbank.org/v2/country/IDN/indicator/IC.BUS.NDNS.ZS?format=json&amp;mrv=10</t>
        </is>
      </c>
      <c r="L113" t="inlineStr">
        <is>
          <t>World Bank WDI: New business density (new registrations per 1,000 people ages 15-64)</t>
        </is>
      </c>
      <c r="M113" t="inlineStr">
        <is>
          <t>2016-12-31</t>
        </is>
      </c>
      <c r="N113" t="inlineStr">
        <is>
          <t>auto_ingest=world_bank_creative_extended; indicator=IC.BUS.NDNS.ZS; year=2016; country_proxy=Indonesia</t>
        </is>
      </c>
    </row>
    <row r="114">
      <c r="A114" t="inlineStr">
        <is>
          <t>id-jakarta</t>
        </is>
      </c>
      <c r="B114" t="inlineStr">
        <is>
          <t>Jakarta</t>
        </is>
      </c>
      <c r="C114" t="inlineStr">
        <is>
          <t>Indonesia</t>
        </is>
      </c>
      <c r="D114" t="inlineStr">
        <is>
          <t>Southeast Asia</t>
        </is>
      </c>
      <c r="E114" t="inlineStr">
        <is>
          <t>innovation_research_intensity_raw</t>
        </is>
      </c>
      <c r="F114" t="inlineStr">
        <is>
          <t>Innovation and research raw</t>
        </is>
      </c>
      <c r="G114" t="inlineStr">
        <is>
          <t>creative</t>
        </is>
      </c>
      <c r="H114" t="inlineStr">
        <is>
          <t>yes</t>
        </is>
      </c>
      <c r="I114" t="inlineStr">
        <is>
          <t>0.28</t>
        </is>
      </c>
      <c r="J114" t="inlineStr">
        <is>
          <t>world_bank</t>
        </is>
      </c>
      <c r="K114" t="inlineStr">
        <is>
          <t>https://api.worldbank.org/v2/country/IDN/indicator/GB.XPD.RSDV.GD.ZS?format=json&amp;mrv=10</t>
        </is>
      </c>
      <c r="L114" t="inlineStr">
        <is>
          <t>World Bank WDI: Research and development expenditure (% of GDP)</t>
        </is>
      </c>
      <c r="M114" t="inlineStr">
        <is>
          <t>2020-12-31</t>
        </is>
      </c>
      <c r="N114" t="inlineStr">
        <is>
          <t>auto_ingest=world_bank_creative_extended; indicator=GB.XPD.RSDV.GD.ZS; year=2020; country_proxy=Indonesia</t>
        </is>
      </c>
    </row>
    <row r="115">
      <c r="A115" t="inlineStr">
        <is>
          <t>id-jakarta</t>
        </is>
      </c>
      <c r="B115" t="inlineStr">
        <is>
          <t>Jakarta</t>
        </is>
      </c>
      <c r="C115" t="inlineStr">
        <is>
          <t>Indonesia</t>
        </is>
      </c>
      <c r="D115" t="inlineStr">
        <is>
          <t>Southeast Asia</t>
        </is>
      </c>
      <c r="E115" t="inlineStr">
        <is>
          <t>investment_signal_raw</t>
        </is>
      </c>
      <c r="F115" t="inlineStr">
        <is>
          <t>Investment signal raw</t>
        </is>
      </c>
      <c r="G115" t="inlineStr">
        <is>
          <t>creative</t>
        </is>
      </c>
      <c r="H115" t="inlineStr">
        <is>
          <t>yes</t>
        </is>
      </c>
      <c r="I115" t="inlineStr">
        <is>
          <t>1.74</t>
        </is>
      </c>
      <c r="J115" t="inlineStr">
        <is>
          <t>world_bank</t>
        </is>
      </c>
      <c r="K115" t="inlineStr">
        <is>
          <t>https://api.worldbank.org/v2/country/IDN/indicator/BX.KLT.DINV.WD.GD.ZS?format=json&amp;mrv=10</t>
        </is>
      </c>
      <c r="L115" t="inlineStr">
        <is>
          <t>World Bank WDI: Foreign direct investment, net inflows (% of GDP)</t>
        </is>
      </c>
      <c r="M115" t="inlineStr">
        <is>
          <t>2024-12-31</t>
        </is>
      </c>
      <c r="N115" t="inlineStr">
        <is>
          <t>auto_ingest=world_bank_creative_extended; indicator=BX.KLT.DINV.WD.GD.ZS; year=2024; country_proxy=Indonesia</t>
        </is>
      </c>
    </row>
    <row r="116">
      <c r="A116" t="inlineStr">
        <is>
          <t>id-jakarta</t>
        </is>
      </c>
      <c r="B116" t="inlineStr">
        <is>
          <t>Jakarta</t>
        </is>
      </c>
      <c r="C116" t="inlineStr">
        <is>
          <t>Indonesia</t>
        </is>
      </c>
      <c r="D116" t="inlineStr">
        <is>
          <t>Southeast Asia</t>
        </is>
      </c>
      <c r="E116" t="inlineStr">
        <is>
          <t>administrative_investment_friction_raw</t>
        </is>
      </c>
      <c r="F116" t="inlineStr">
        <is>
          <t>Administrative investment friction raw</t>
        </is>
      </c>
      <c r="G116" t="inlineStr">
        <is>
          <t>creative</t>
        </is>
      </c>
      <c r="H116" t="inlineStr">
        <is>
          <t>yes</t>
        </is>
      </c>
      <c r="I116" t="inlineStr">
        <is>
          <t>2.2</t>
        </is>
      </c>
      <c r="J116" t="inlineStr">
        <is>
          <t>world_bank</t>
        </is>
      </c>
      <c r="K116" t="inlineStr">
        <is>
          <t>https://api.worldbank.org/v2/country/IDN/indicator/RQ.EST?format=json&amp;mrv=10</t>
        </is>
      </c>
      <c r="L116" t="inlineStr">
        <is>
          <t>World Bank WGI: Regulatory Quality (inverted as friction proxy)</t>
        </is>
      </c>
      <c r="M116" t="inlineStr">
        <is>
          <t>2023-12-31</t>
        </is>
      </c>
      <c r="N116" t="inlineStr">
        <is>
          <t>auto_ingest=world_bank_business_friction; indicator=RQ.EST; raw_rq=0.301378756761551; friction=2.2; year=2023; country_proxy=Indonesia</t>
        </is>
      </c>
    </row>
    <row r="117">
      <c r="A117" t="inlineStr">
        <is>
          <t>id-jakarta</t>
        </is>
      </c>
      <c r="B117" t="inlineStr">
        <is>
          <t>Jakarta</t>
        </is>
      </c>
      <c r="C117" t="inlineStr">
        <is>
          <t>Indonesia</t>
        </is>
      </c>
      <c r="D117" t="inlineStr">
        <is>
          <t>Southeast Asia</t>
        </is>
      </c>
      <c r="E117" t="inlineStr">
        <is>
          <t>visitor_flow_context_raw</t>
        </is>
      </c>
      <c r="F117" t="inlineStr">
        <is>
          <t>Visitor flow context raw</t>
        </is>
      </c>
      <c r="G117" t="inlineStr">
        <is>
          <t>creative</t>
        </is>
      </c>
      <c r="H117" t="inlineStr">
        <is>
          <t>no</t>
        </is>
      </c>
      <c r="I117" t="inlineStr"/>
      <c r="J117" t="inlineStr"/>
      <c r="K117" t="inlineStr"/>
      <c r="L117" t="inlineStr"/>
      <c r="M117" t="inlineStr"/>
      <c r="N117" t="inlineStr"/>
    </row>
    <row r="118">
      <c r="A118" t="inlineStr">
        <is>
          <t>ph-makati</t>
        </is>
      </c>
      <c r="B118" t="inlineStr">
        <is>
          <t>Makati</t>
        </is>
      </c>
      <c r="C118" t="inlineStr">
        <is>
          <t>Philippines</t>
        </is>
      </c>
      <c r="D118" t="inlineStr">
        <is>
          <t>Southeast Asia</t>
        </is>
      </c>
      <c r="E118" t="inlineStr">
        <is>
          <t>gross_income</t>
        </is>
      </c>
      <c r="F118" t="inlineStr">
        <is>
          <t>Gross income</t>
        </is>
      </c>
      <c r="G118" t="inlineStr">
        <is>
          <t>pressure</t>
        </is>
      </c>
      <c r="H118" t="inlineStr">
        <is>
          <t>yes</t>
        </is>
      </c>
      <c r="I118" t="inlineStr">
        <is>
          <t>1110.83</t>
        </is>
      </c>
      <c r="J118" t="inlineStr">
        <is>
          <t>world_bank_col_estimate</t>
        </is>
      </c>
      <c r="K118" t="inlineStr">
        <is>
          <t>https://api.worldbank.org/v2/country/PHL/indicator/NY.GNP.PCAP.PP.CD?format=json&amp;mrv=10</t>
        </is>
      </c>
      <c r="L118" t="inlineStr">
        <is>
          <t>World Bank WDI: GNI per capita PPP (monthly USD)</t>
        </is>
      </c>
      <c r="M118" t="inlineStr">
        <is>
          <t>2024-12-31</t>
        </is>
      </c>
      <c r="N118" t="inlineStr">
        <is>
          <t>auto_ingest=world_bank_col_estimate; gni_annual=13330.0; year=2024; country_proxy=Philippines; cohort=Southeast Asia</t>
        </is>
      </c>
    </row>
    <row r="119">
      <c r="A119" t="inlineStr">
        <is>
          <t>ph-makati</t>
        </is>
      </c>
      <c r="B119" t="inlineStr">
        <is>
          <t>Makati</t>
        </is>
      </c>
      <c r="C119" t="inlineStr">
        <is>
          <t>Philippines</t>
        </is>
      </c>
      <c r="D119" t="inlineStr">
        <is>
          <t>Southeast Asia</t>
        </is>
      </c>
      <c r="E119" t="inlineStr">
        <is>
          <t>di_ppp_raw</t>
        </is>
      </c>
      <c r="F119" t="inlineStr">
        <is>
          <t>Disposable income PPP (Raw)</t>
        </is>
      </c>
      <c r="G119" t="inlineStr">
        <is>
          <t>pressure</t>
        </is>
      </c>
      <c r="H119" t="inlineStr">
        <is>
          <t>yes</t>
        </is>
      </c>
      <c r="I119" t="inlineStr"/>
      <c r="J119" t="inlineStr"/>
      <c r="K119" t="inlineStr"/>
      <c r="L119" t="inlineStr"/>
      <c r="M119" t="inlineStr"/>
      <c r="N119" t="inlineStr"/>
    </row>
    <row r="120">
      <c r="A120" t="inlineStr">
        <is>
          <t>ph-makati</t>
        </is>
      </c>
      <c r="B120" t="inlineStr">
        <is>
          <t>Makati</t>
        </is>
      </c>
      <c r="C120" t="inlineStr">
        <is>
          <t>Philippines</t>
        </is>
      </c>
      <c r="D120" t="inlineStr">
        <is>
          <t>Southeast Asia</t>
        </is>
      </c>
      <c r="E120" t="inlineStr">
        <is>
          <t>rent</t>
        </is>
      </c>
      <c r="F120" t="inlineStr">
        <is>
          <t>Rent</t>
        </is>
      </c>
      <c r="G120" t="inlineStr">
        <is>
          <t>pressure</t>
        </is>
      </c>
      <c r="H120" t="inlineStr">
        <is>
          <t>yes</t>
        </is>
      </c>
      <c r="I120" t="inlineStr">
        <is>
          <t>222.17</t>
        </is>
      </c>
      <c r="J120" t="inlineStr">
        <is>
          <t>world_bank_col_estimate</t>
        </is>
      </c>
      <c r="K120" t="inlineStr">
        <is>
          <t>https://api.worldbank.org/v2/country/PHL/indicator/NY.GNP.PCAP.PP.CD?format=json&amp;mrv=10</t>
        </is>
      </c>
      <c r="L120" t="inlineStr">
        <is>
          <t>World Bank GNI + regional expenditure ratio estimate</t>
        </is>
      </c>
      <c r="M120" t="inlineStr">
        <is>
          <t>2024-12-31</t>
        </is>
      </c>
      <c r="N120" t="inlineStr">
        <is>
          <t>auto_ingest=world_bank_col_estimate; gni_annual=13330.0; year=2024; country_proxy=Philippines; cohort=Southeast Asia</t>
        </is>
      </c>
    </row>
    <row r="121">
      <c r="A121" t="inlineStr">
        <is>
          <t>ph-makati</t>
        </is>
      </c>
      <c r="B121" t="inlineStr">
        <is>
          <t>Makati</t>
        </is>
      </c>
      <c r="C121" t="inlineStr">
        <is>
          <t>Philippines</t>
        </is>
      </c>
      <c r="D121" t="inlineStr">
        <is>
          <t>Southeast Asia</t>
        </is>
      </c>
      <c r="E121" t="inlineStr">
        <is>
          <t>utilities</t>
        </is>
      </c>
      <c r="F121" t="inlineStr">
        <is>
          <t>Utilities</t>
        </is>
      </c>
      <c r="G121" t="inlineStr">
        <is>
          <t>pressure</t>
        </is>
      </c>
      <c r="H121" t="inlineStr">
        <is>
          <t>yes</t>
        </is>
      </c>
      <c r="I121" t="inlineStr">
        <is>
          <t>55.54</t>
        </is>
      </c>
      <c r="J121" t="inlineStr">
        <is>
          <t>world_bank_col_estimate</t>
        </is>
      </c>
      <c r="K121" t="inlineStr">
        <is>
          <t>https://api.worldbank.org/v2/country/PHL/indicator/NY.GNP.PCAP.PP.CD?format=json&amp;mrv=10</t>
        </is>
      </c>
      <c r="L121" t="inlineStr">
        <is>
          <t>World Bank GNI + regional expenditure ratio estimate</t>
        </is>
      </c>
      <c r="M121" t="inlineStr">
        <is>
          <t>2024-12-31</t>
        </is>
      </c>
      <c r="N121" t="inlineStr">
        <is>
          <t>auto_ingest=world_bank_col_estimate; gni_annual=13330.0; year=2024; country_proxy=Philippines; cohort=Southeast Asia</t>
        </is>
      </c>
    </row>
    <row r="122">
      <c r="A122" t="inlineStr">
        <is>
          <t>ph-makati</t>
        </is>
      </c>
      <c r="B122" t="inlineStr">
        <is>
          <t>Makati</t>
        </is>
      </c>
      <c r="C122" t="inlineStr">
        <is>
          <t>Philippines</t>
        </is>
      </c>
      <c r="D122" t="inlineStr">
        <is>
          <t>Southeast Asia</t>
        </is>
      </c>
      <c r="E122" t="inlineStr">
        <is>
          <t>transit_cost</t>
        </is>
      </c>
      <c r="F122" t="inlineStr">
        <is>
          <t>Transit cost</t>
        </is>
      </c>
      <c r="G122" t="inlineStr">
        <is>
          <t>pressure</t>
        </is>
      </c>
      <c r="H122" t="inlineStr">
        <is>
          <t>yes</t>
        </is>
      </c>
      <c r="I122" t="inlineStr">
        <is>
          <t>44.43</t>
        </is>
      </c>
      <c r="J122" t="inlineStr">
        <is>
          <t>world_bank_col_estimate</t>
        </is>
      </c>
      <c r="K122" t="inlineStr">
        <is>
          <t>https://api.worldbank.org/v2/country/PHL/indicator/NY.GNP.PCAP.PP.CD?format=json&amp;mrv=10</t>
        </is>
      </c>
      <c r="L122" t="inlineStr">
        <is>
          <t>World Bank GNI + regional expenditure ratio estimate</t>
        </is>
      </c>
      <c r="M122" t="inlineStr">
        <is>
          <t>2024-12-31</t>
        </is>
      </c>
      <c r="N122" t="inlineStr">
        <is>
          <t>auto_ingest=world_bank_col_estimate; gni_annual=13330.0; year=2024; country_proxy=Philippines; cohort=Southeast Asia</t>
        </is>
      </c>
    </row>
    <row r="123">
      <c r="A123" t="inlineStr">
        <is>
          <t>ph-makati</t>
        </is>
      </c>
      <c r="B123" t="inlineStr">
        <is>
          <t>Makati</t>
        </is>
      </c>
      <c r="C123" t="inlineStr">
        <is>
          <t>Philippines</t>
        </is>
      </c>
      <c r="D123" t="inlineStr">
        <is>
          <t>Southeast Asia</t>
        </is>
      </c>
      <c r="E123" t="inlineStr">
        <is>
          <t>internet_cost</t>
        </is>
      </c>
      <c r="F123" t="inlineStr">
        <is>
          <t>Internet cost</t>
        </is>
      </c>
      <c r="G123" t="inlineStr">
        <is>
          <t>pressure</t>
        </is>
      </c>
      <c r="H123" t="inlineStr">
        <is>
          <t>yes</t>
        </is>
      </c>
      <c r="I123" t="inlineStr">
        <is>
          <t>16.66</t>
        </is>
      </c>
      <c r="J123" t="inlineStr">
        <is>
          <t>world_bank_col_estimate</t>
        </is>
      </c>
      <c r="K123" t="inlineStr">
        <is>
          <t>https://api.worldbank.org/v2/country/PHL/indicator/NY.GNP.PCAP.PP.CD?format=json&amp;mrv=10</t>
        </is>
      </c>
      <c r="L123" t="inlineStr">
        <is>
          <t>World Bank GNI + regional expenditure ratio estimate</t>
        </is>
      </c>
      <c r="M123" t="inlineStr">
        <is>
          <t>2024-12-31</t>
        </is>
      </c>
      <c r="N123" t="inlineStr">
        <is>
          <t>auto_ingest=world_bank_col_estimate; gni_annual=13330.0; year=2024; country_proxy=Philippines; cohort=Southeast Asia</t>
        </is>
      </c>
    </row>
    <row r="124">
      <c r="A124" t="inlineStr">
        <is>
          <t>ph-makati</t>
        </is>
      </c>
      <c r="B124" t="inlineStr">
        <is>
          <t>Makati</t>
        </is>
      </c>
      <c r="C124" t="inlineStr">
        <is>
          <t>Philippines</t>
        </is>
      </c>
      <c r="D124" t="inlineStr">
        <is>
          <t>Southeast Asia</t>
        </is>
      </c>
      <c r="E124" t="inlineStr">
        <is>
          <t>food_cost</t>
        </is>
      </c>
      <c r="F124" t="inlineStr">
        <is>
          <t>Food cost</t>
        </is>
      </c>
      <c r="G124" t="inlineStr">
        <is>
          <t>pressure</t>
        </is>
      </c>
      <c r="H124" t="inlineStr">
        <is>
          <t>yes</t>
        </is>
      </c>
      <c r="I124" t="inlineStr">
        <is>
          <t>244.38</t>
        </is>
      </c>
      <c r="J124" t="inlineStr">
        <is>
          <t>world_bank_col_estimate</t>
        </is>
      </c>
      <c r="K124" t="inlineStr">
        <is>
          <t>https://api.worldbank.org/v2/country/PHL/indicator/NY.GNP.PCAP.PP.CD?format=json&amp;mrv=10</t>
        </is>
      </c>
      <c r="L124" t="inlineStr">
        <is>
          <t>World Bank GNI + regional expenditure ratio estimate</t>
        </is>
      </c>
      <c r="M124" t="inlineStr">
        <is>
          <t>2024-12-31</t>
        </is>
      </c>
      <c r="N124" t="inlineStr">
        <is>
          <t>auto_ingest=world_bank_col_estimate; gni_annual=13330.0; year=2024; country_proxy=Philippines; cohort=Southeast Asia</t>
        </is>
      </c>
    </row>
    <row r="125">
      <c r="A125" t="inlineStr">
        <is>
          <t>ph-makati</t>
        </is>
      </c>
      <c r="B125" t="inlineStr">
        <is>
          <t>Makati</t>
        </is>
      </c>
      <c r="C125" t="inlineStr">
        <is>
          <t>Philippines</t>
        </is>
      </c>
      <c r="D125" t="inlineStr">
        <is>
          <t>Southeast Asia</t>
        </is>
      </c>
      <c r="E125" t="inlineStr">
        <is>
          <t>housing_burden_raw</t>
        </is>
      </c>
      <c r="F125" t="inlineStr">
        <is>
          <t>Housing burden raw</t>
        </is>
      </c>
      <c r="G125" t="inlineStr">
        <is>
          <t>pressure</t>
        </is>
      </c>
      <c r="H125" t="inlineStr">
        <is>
          <t>yes</t>
        </is>
      </c>
      <c r="I125" t="inlineStr">
        <is>
          <t>20.0004</t>
        </is>
      </c>
      <c r="J125" t="inlineStr">
        <is>
          <t>derived</t>
        </is>
      </c>
      <c r="K125" t="inlineStr">
        <is>
          <t>https://data.worldbank.org/indicator/NY.GNP.PCAP.PP.CD</t>
        </is>
      </c>
      <c r="L125" t="inlineStr">
        <is>
          <t>Computed from city_inputs + country_context</t>
        </is>
      </c>
      <c r="M125" t="inlineStr">
        <is>
          <t>2024-01-01</t>
        </is>
      </c>
      <c r="N125" t="inlineStr">
        <is>
          <t>derived=rent/gross_income*100</t>
        </is>
      </c>
    </row>
    <row r="126">
      <c r="A126" t="inlineStr">
        <is>
          <t>ph-makati</t>
        </is>
      </c>
      <c r="B126" t="inlineStr">
        <is>
          <t>Makati</t>
        </is>
      </c>
      <c r="C126" t="inlineStr">
        <is>
          <t>Philippines</t>
        </is>
      </c>
      <c r="D126" t="inlineStr">
        <is>
          <t>Southeast Asia</t>
        </is>
      </c>
      <c r="E126" t="inlineStr">
        <is>
          <t>household_debt_burden_raw</t>
        </is>
      </c>
      <c r="F126" t="inlineStr">
        <is>
          <t>Household debt burden raw</t>
        </is>
      </c>
      <c r="G126" t="inlineStr">
        <is>
          <t>pressure</t>
        </is>
      </c>
      <c r="H126" t="inlineStr">
        <is>
          <t>yes</t>
        </is>
      </c>
      <c r="I126" t="inlineStr">
        <is>
          <t>49.8137</t>
        </is>
      </c>
      <c r="J126" t="inlineStr">
        <is>
          <t>derived</t>
        </is>
      </c>
      <c r="K126" t="inlineStr">
        <is>
          <t>https://data.worldbank.org/indicator/NY.GNP.PCAP.PP.CD</t>
        </is>
      </c>
      <c r="L126" t="inlineStr">
        <is>
          <t>Computed from city_inputs + country_context</t>
        </is>
      </c>
      <c r="M126" t="inlineStr">
        <is>
          <t>2024-01-01</t>
        </is>
      </c>
      <c r="N126" t="inlineStr">
        <is>
          <t>derived=country_context.household_debt_proxy; country=Philippines</t>
        </is>
      </c>
    </row>
    <row r="127">
      <c r="A127" t="inlineStr">
        <is>
          <t>ph-makati</t>
        </is>
      </c>
      <c r="B127" t="inlineStr">
        <is>
          <t>Makati</t>
        </is>
      </c>
      <c r="C127" t="inlineStr">
        <is>
          <t>Philippines</t>
        </is>
      </c>
      <c r="D127" t="inlineStr">
        <is>
          <t>Southeast Asia</t>
        </is>
      </c>
      <c r="E127" t="inlineStr">
        <is>
          <t>working_time_pressure_raw</t>
        </is>
      </c>
      <c r="F127" t="inlineStr">
        <is>
          <t>Working time pressure raw</t>
        </is>
      </c>
      <c r="G127" t="inlineStr">
        <is>
          <t>pressure</t>
        </is>
      </c>
      <c r="H127" t="inlineStr">
        <is>
          <t>yes</t>
        </is>
      </c>
      <c r="I127" t="inlineStr">
        <is>
          <t>39.99</t>
        </is>
      </c>
      <c r="J127" t="inlineStr">
        <is>
          <t>ilo_ilostat</t>
        </is>
      </c>
      <c r="K127" t="inlineStr">
        <is>
          <t>https://ilostat.ilo.org/data/indicator/?id=HOW_TEMP_SEX_ECO_NB_A&amp;ref_area=PHL</t>
        </is>
      </c>
      <c r="L127" t="inlineStr">
        <is>
          <t>ILO ILOSTAT: Mean weekly hours actually worked per employed person</t>
        </is>
      </c>
      <c r="M127" t="inlineStr">
        <is>
          <t>2023-12-31</t>
        </is>
      </c>
      <c r="N127" t="inlineStr">
        <is>
          <t>auto_ingest=ilo_working_hours; indicator=HOW_TEMP_SEX_ECO_NB_A; year=2023; hours=39.99; country_proxy=Philippines</t>
        </is>
      </c>
    </row>
    <row r="128">
      <c r="A128" t="inlineStr">
        <is>
          <t>ph-makati</t>
        </is>
      </c>
      <c r="B128" t="inlineStr">
        <is>
          <t>Makati</t>
        </is>
      </c>
      <c r="C128" t="inlineStr">
        <is>
          <t>Philippines</t>
        </is>
      </c>
      <c r="D128" t="inlineStr">
        <is>
          <t>Southeast Asia</t>
        </is>
      </c>
      <c r="E128" t="inlineStr">
        <is>
          <t>suicide_mental_strain_raw</t>
        </is>
      </c>
      <c r="F128" t="inlineStr">
        <is>
          <t>Suicide or mental strain raw</t>
        </is>
      </c>
      <c r="G128" t="inlineStr">
        <is>
          <t>pressure</t>
        </is>
      </c>
      <c r="H128" t="inlineStr">
        <is>
          <t>yes</t>
        </is>
      </c>
      <c r="I128" t="inlineStr">
        <is>
          <t>3.49</t>
        </is>
      </c>
      <c r="J128" t="inlineStr">
        <is>
          <t>who_gho</t>
        </is>
      </c>
      <c r="K128" t="inlineStr">
        <is>
          <t>https://www.who.int/data/gho/data/indicators/indicator-details/GHO/SDGSUICIDE</t>
        </is>
      </c>
      <c r="L128" t="inlineStr">
        <is>
          <t>WHO GHO: Age-standardized suicide rate (per 100,000 population)</t>
        </is>
      </c>
      <c r="M128" t="inlineStr">
        <is>
          <t>2021-12-31</t>
        </is>
      </c>
      <c r="N128" t="inlineStr">
        <is>
          <t>auto_ingest=who_gho; indicator=SDGSUICIDE; year=2021; country_proxy=Philippines</t>
        </is>
      </c>
    </row>
    <row r="129">
      <c r="A129" t="inlineStr">
        <is>
          <t>ph-makati</t>
        </is>
      </c>
      <c r="B129" t="inlineStr">
        <is>
          <t>Makati</t>
        </is>
      </c>
      <c r="C129" t="inlineStr">
        <is>
          <t>Philippines</t>
        </is>
      </c>
      <c r="D129" t="inlineStr">
        <is>
          <t>Southeast Asia</t>
        </is>
      </c>
      <c r="E129" t="inlineStr">
        <is>
          <t>personal_safety_raw</t>
        </is>
      </c>
      <c r="F129" t="inlineStr">
        <is>
          <t>Personal safety raw</t>
        </is>
      </c>
      <c r="G129" t="inlineStr">
        <is>
          <t>viability</t>
        </is>
      </c>
      <c r="H129" t="inlineStr">
        <is>
          <t>yes</t>
        </is>
      </c>
      <c r="I129" t="inlineStr">
        <is>
          <t>4.35</t>
        </is>
      </c>
      <c r="J129" t="inlineStr">
        <is>
          <t>world_bank</t>
        </is>
      </c>
      <c r="K129" t="inlineStr">
        <is>
          <t>https://api.worldbank.org/v2/country/PHL/indicator/VC.IHR.PSRC.P5?format=json&amp;mrv=10</t>
        </is>
      </c>
      <c r="L129" t="inlineStr">
        <is>
          <t>UNODC via World Bank WDI: Intentional homicides (per 100,000 people)</t>
        </is>
      </c>
      <c r="M129" t="inlineStr">
        <is>
          <t>2023-12-31</t>
        </is>
      </c>
      <c r="N129" t="inlineStr">
        <is>
          <t>auto_ingest=unodc_safety; indicator=VC.IHR.PSRC.P5; year=2023; country_proxy=Philippines</t>
        </is>
      </c>
    </row>
    <row r="130">
      <c r="A130" t="inlineStr">
        <is>
          <t>ph-makati</t>
        </is>
      </c>
      <c r="B130" t="inlineStr">
        <is>
          <t>Makati</t>
        </is>
      </c>
      <c r="C130" t="inlineStr">
        <is>
          <t>Philippines</t>
        </is>
      </c>
      <c r="D130" t="inlineStr">
        <is>
          <t>Southeast Asia</t>
        </is>
      </c>
      <c r="E130" t="inlineStr">
        <is>
          <t>transit_access_commute_raw</t>
        </is>
      </c>
      <c r="F130" t="inlineStr">
        <is>
          <t>Transit access and commute raw</t>
        </is>
      </c>
      <c r="G130" t="inlineStr">
        <is>
          <t>viability</t>
        </is>
      </c>
      <c r="H130" t="inlineStr">
        <is>
          <t>yes</t>
        </is>
      </c>
      <c r="I130" t="inlineStr"/>
      <c r="J130" t="inlineStr"/>
      <c r="K130" t="inlineStr"/>
      <c r="L130" t="inlineStr"/>
      <c r="M130" t="inlineStr"/>
      <c r="N130" t="inlineStr"/>
    </row>
    <row r="131">
      <c r="A131" t="inlineStr">
        <is>
          <t>ph-makati</t>
        </is>
      </c>
      <c r="B131" t="inlineStr">
        <is>
          <t>Makati</t>
        </is>
      </c>
      <c r="C131" t="inlineStr">
        <is>
          <t>Philippines</t>
        </is>
      </c>
      <c r="D131" t="inlineStr">
        <is>
          <t>Southeast Asia</t>
        </is>
      </c>
      <c r="E131" t="inlineStr">
        <is>
          <t>clean_air_raw</t>
        </is>
      </c>
      <c r="F131" t="inlineStr">
        <is>
          <t>Clean air raw</t>
        </is>
      </c>
      <c r="G131" t="inlineStr">
        <is>
          <t>viability</t>
        </is>
      </c>
      <c r="H131" t="inlineStr">
        <is>
          <t>yes</t>
        </is>
      </c>
      <c r="I131" t="inlineStr"/>
      <c r="J131" t="inlineStr"/>
      <c r="K131" t="inlineStr"/>
      <c r="L131" t="inlineStr"/>
      <c r="M131" t="inlineStr"/>
      <c r="N131" t="inlineStr"/>
    </row>
    <row r="132">
      <c r="A132" t="inlineStr">
        <is>
          <t>ph-makati</t>
        </is>
      </c>
      <c r="B132" t="inlineStr">
        <is>
          <t>Makati</t>
        </is>
      </c>
      <c r="C132" t="inlineStr">
        <is>
          <t>Philippines</t>
        </is>
      </c>
      <c r="D132" t="inlineStr">
        <is>
          <t>Southeast Asia</t>
        </is>
      </c>
      <c r="E132" t="inlineStr">
        <is>
          <t>water_sanitation_utility_raw</t>
        </is>
      </c>
      <c r="F132" t="inlineStr">
        <is>
          <t>Water, sanitation, and utility raw</t>
        </is>
      </c>
      <c r="G132" t="inlineStr">
        <is>
          <t>viability</t>
        </is>
      </c>
      <c r="H132" t="inlineStr">
        <is>
          <t>yes</t>
        </is>
      </c>
      <c r="I132" t="inlineStr">
        <is>
          <t>48.48</t>
        </is>
      </c>
      <c r="J132" t="inlineStr">
        <is>
          <t>world_bank</t>
        </is>
      </c>
      <c r="K132" t="inlineStr">
        <is>
          <t>https://api.worldbank.org/v2/country/PHL/indicator/SH.H2O.SMDW.ZS?format=json&amp;mrv=10</t>
        </is>
      </c>
      <c r="L132" t="inlineStr">
        <is>
          <t>World Bank WDI: People using safely managed drinking water services (% of population)</t>
        </is>
      </c>
      <c r="M132" t="inlineStr">
        <is>
          <t>2024-12-31</t>
        </is>
      </c>
      <c r="N132" t="inlineStr">
        <is>
          <t>auto_ingest=world_bank_proxy; indicator=SH.H2O.SMDW.ZS; year=2024; country_proxy=Philippines</t>
        </is>
      </c>
    </row>
    <row r="133">
      <c r="A133" t="inlineStr">
        <is>
          <t>ph-makati</t>
        </is>
      </c>
      <c r="B133" t="inlineStr">
        <is>
          <t>Makati</t>
        </is>
      </c>
      <c r="C133" t="inlineStr">
        <is>
          <t>Philippines</t>
        </is>
      </c>
      <c r="D133" t="inlineStr">
        <is>
          <t>Southeast Asia</t>
        </is>
      </c>
      <c r="E133" t="inlineStr">
        <is>
          <t>digital_infrastructure_raw</t>
        </is>
      </c>
      <c r="F133" t="inlineStr">
        <is>
          <t>Digital infrastructure raw</t>
        </is>
      </c>
      <c r="G133" t="inlineStr">
        <is>
          <t>viability</t>
        </is>
      </c>
      <c r="H133" t="inlineStr">
        <is>
          <t>yes</t>
        </is>
      </c>
      <c r="I133" t="inlineStr">
        <is>
          <t>6.54</t>
        </is>
      </c>
      <c r="J133" t="inlineStr">
        <is>
          <t>world_bank</t>
        </is>
      </c>
      <c r="K133" t="inlineStr">
        <is>
          <t>https://api.worldbank.org/v2/country/PHL/indicator/IT.NET.BBND.P2?format=json&amp;mrv=10</t>
        </is>
      </c>
      <c r="L133" t="inlineStr">
        <is>
          <t>World Bank WDI: Fixed broadband subscriptions (per 100 people)</t>
        </is>
      </c>
      <c r="M133" t="inlineStr">
        <is>
          <t>2023-12-31</t>
        </is>
      </c>
      <c r="N133" t="inlineStr">
        <is>
          <t>auto_ingest=world_bank_proxy; indicator=IT.NET.BBND.P2; year=2023; country_proxy=Philippines</t>
        </is>
      </c>
    </row>
    <row r="134">
      <c r="A134" t="inlineStr">
        <is>
          <t>ph-makati</t>
        </is>
      </c>
      <c r="B134" t="inlineStr">
        <is>
          <t>Makati</t>
        </is>
      </c>
      <c r="C134" t="inlineStr">
        <is>
          <t>Philippines</t>
        </is>
      </c>
      <c r="D134" t="inlineStr">
        <is>
          <t>Southeast Asia</t>
        </is>
      </c>
      <c r="E134" t="inlineStr">
        <is>
          <t>climate_sunlight_livability_raw</t>
        </is>
      </c>
      <c r="F134" t="inlineStr">
        <is>
          <t>Climate and sunlight livability raw</t>
        </is>
      </c>
      <c r="G134" t="inlineStr">
        <is>
          <t>viability</t>
        </is>
      </c>
      <c r="H134" t="inlineStr">
        <is>
          <t>yes</t>
        </is>
      </c>
      <c r="I134" t="inlineStr"/>
      <c r="J134" t="inlineStr"/>
      <c r="K134" t="inlineStr"/>
      <c r="L134" t="inlineStr"/>
      <c r="M134" t="inlineStr"/>
      <c r="N134" t="inlineStr"/>
    </row>
    <row r="135">
      <c r="A135" t="inlineStr">
        <is>
          <t>ph-makati</t>
        </is>
      </c>
      <c r="B135" t="inlineStr">
        <is>
          <t>Makati</t>
        </is>
      </c>
      <c r="C135" t="inlineStr">
        <is>
          <t>Philippines</t>
        </is>
      </c>
      <c r="D135" t="inlineStr">
        <is>
          <t>Southeast Asia</t>
        </is>
      </c>
      <c r="E135" t="inlineStr">
        <is>
          <t>healthcare_quality_raw</t>
        </is>
      </c>
      <c r="F135" t="inlineStr">
        <is>
          <t>Healthcare quality raw</t>
        </is>
      </c>
      <c r="G135" t="inlineStr">
        <is>
          <t>capability</t>
        </is>
      </c>
      <c r="H135" t="inlineStr">
        <is>
          <t>yes</t>
        </is>
      </c>
      <c r="I135" t="inlineStr">
        <is>
          <t>69.0</t>
        </is>
      </c>
      <c r="J135" t="inlineStr">
        <is>
          <t>who_gho</t>
        </is>
      </c>
      <c r="K135" t="inlineStr">
        <is>
          <t>https://www.who.int/data/gho/data/indicators/indicator-details/GHO/UHC_INDEX_REPORTED</t>
        </is>
      </c>
      <c r="L135" t="inlineStr">
        <is>
          <t>WHO GHO: UHC Service Coverage Index</t>
        </is>
      </c>
      <c r="M135" t="inlineStr">
        <is>
          <t>2023-12-31</t>
        </is>
      </c>
      <c r="N135" t="inlineStr">
        <is>
          <t>auto_ingest=who_gho; indicator=UHC_INDEX_REPORTED; year=2023; country_proxy=Philippines</t>
        </is>
      </c>
    </row>
    <row r="136">
      <c r="A136" t="inlineStr">
        <is>
          <t>ph-makati</t>
        </is>
      </c>
      <c r="B136" t="inlineStr">
        <is>
          <t>Makati</t>
        </is>
      </c>
      <c r="C136" t="inlineStr">
        <is>
          <t>Philippines</t>
        </is>
      </c>
      <c r="D136" t="inlineStr">
        <is>
          <t>Southeast Asia</t>
        </is>
      </c>
      <c r="E136" t="inlineStr">
        <is>
          <t>education_quality_raw</t>
        </is>
      </c>
      <c r="F136" t="inlineStr">
        <is>
          <t>Education quality raw</t>
        </is>
      </c>
      <c r="G136" t="inlineStr">
        <is>
          <t>capability</t>
        </is>
      </c>
      <c r="H136" t="inlineStr">
        <is>
          <t>yes</t>
        </is>
      </c>
      <c r="I136" t="inlineStr">
        <is>
          <t>47.41</t>
        </is>
      </c>
      <c r="J136" t="inlineStr">
        <is>
          <t>world_bank</t>
        </is>
      </c>
      <c r="K136" t="inlineStr">
        <is>
          <t>https://api.worldbank.org/v2/country/PHL/indicator/SE.TER.ENRR?format=json&amp;mrv=10</t>
        </is>
      </c>
      <c r="L136" t="inlineStr">
        <is>
          <t>World Bank WDI: School enrollment, tertiary (% gross)</t>
        </is>
      </c>
      <c r="M136" t="inlineStr">
        <is>
          <t>2024-12-31</t>
        </is>
      </c>
      <c r="N136" t="inlineStr">
        <is>
          <t>auto_ingest=world_bank_proxy; indicator=SE.TER.ENRR; year=2024; country_proxy=Philippines</t>
        </is>
      </c>
    </row>
    <row r="137">
      <c r="A137" t="inlineStr">
        <is>
          <t>ph-makati</t>
        </is>
      </c>
      <c r="B137" t="inlineStr">
        <is>
          <t>Makati</t>
        </is>
      </c>
      <c r="C137" t="inlineStr">
        <is>
          <t>Philippines</t>
        </is>
      </c>
      <c r="D137" t="inlineStr">
        <is>
          <t>Southeast Asia</t>
        </is>
      </c>
      <c r="E137" t="inlineStr">
        <is>
          <t>equal_opportunity_raw</t>
        </is>
      </c>
      <c r="F137" t="inlineStr">
        <is>
          <t>Equal opportunity raw</t>
        </is>
      </c>
      <c r="G137" t="inlineStr">
        <is>
          <t>capability</t>
        </is>
      </c>
      <c r="H137" t="inlineStr">
        <is>
          <t>yes</t>
        </is>
      </c>
      <c r="I137" t="inlineStr">
        <is>
          <t>39.3</t>
        </is>
      </c>
      <c r="J137" t="inlineStr">
        <is>
          <t>world_bank</t>
        </is>
      </c>
      <c r="K137" t="inlineStr">
        <is>
          <t>https://api.worldbank.org/v2/country/PHL/indicator/SI.POV.GINI?format=json&amp;mrv=10</t>
        </is>
      </c>
      <c r="L137" t="inlineStr">
        <is>
          <t>World Bank WDI: Gini index</t>
        </is>
      </c>
      <c r="M137" t="inlineStr">
        <is>
          <t>2023-12-31</t>
        </is>
      </c>
      <c r="N137" t="inlineStr">
        <is>
          <t>auto_ingest=world_bank_capability; indicator=SI.POV.GINI; year=2023; country_proxy=Philippines</t>
        </is>
      </c>
    </row>
    <row r="138">
      <c r="A138" t="inlineStr">
        <is>
          <t>ph-makati</t>
        </is>
      </c>
      <c r="B138" t="inlineStr">
        <is>
          <t>Makati</t>
        </is>
      </c>
      <c r="C138" t="inlineStr">
        <is>
          <t>Philippines</t>
        </is>
      </c>
      <c r="D138" t="inlineStr">
        <is>
          <t>Southeast Asia</t>
        </is>
      </c>
      <c r="E138" t="inlineStr">
        <is>
          <t>hospitality_belonging_raw</t>
        </is>
      </c>
      <c r="F138" t="inlineStr">
        <is>
          <t>Hospitality and belonging raw</t>
        </is>
      </c>
      <c r="G138" t="inlineStr">
        <is>
          <t>community</t>
        </is>
      </c>
      <c r="H138" t="inlineStr">
        <is>
          <t>yes</t>
        </is>
      </c>
      <c r="I138" t="inlineStr">
        <is>
          <t>48.71</t>
        </is>
      </c>
      <c r="J138" t="inlineStr">
        <is>
          <t>world_bank</t>
        </is>
      </c>
      <c r="K138" t="inlineStr">
        <is>
          <t>https://api.worldbank.org/v2/country/PHL/indicator/SM.POP.NETM?format=json&amp;mrv=10</t>
        </is>
      </c>
      <c r="L138" t="inlineStr">
        <is>
          <t>World Bank WDI: Net migration (proxy for hospitality/belonging — positive = welcoming)</t>
        </is>
      </c>
      <c r="M138" t="inlineStr">
        <is>
          <t>2025-12-31</t>
        </is>
      </c>
      <c r="N138" t="inlineStr">
        <is>
          <t>auto_ingest=world_bank_proxy; proxy=net_migration_hospitality; indicator=SM.POP.NETM; year=2025; country_proxy=Philippines</t>
        </is>
      </c>
    </row>
    <row r="139">
      <c r="A139" t="inlineStr">
        <is>
          <t>ph-makati</t>
        </is>
      </c>
      <c r="B139" t="inlineStr">
        <is>
          <t>Makati</t>
        </is>
      </c>
      <c r="C139" t="inlineStr">
        <is>
          <t>Philippines</t>
        </is>
      </c>
      <c r="D139" t="inlineStr">
        <is>
          <t>Southeast Asia</t>
        </is>
      </c>
      <c r="E139" t="inlineStr">
        <is>
          <t>tolerance_pluralism_raw</t>
        </is>
      </c>
      <c r="F139" t="inlineStr">
        <is>
          <t>Tolerance and pluralism raw</t>
        </is>
      </c>
      <c r="G139" t="inlineStr">
        <is>
          <t>community</t>
        </is>
      </c>
      <c r="H139" t="inlineStr">
        <is>
          <t>yes</t>
        </is>
      </c>
      <c r="I139" t="inlineStr">
        <is>
          <t>27.33</t>
        </is>
      </c>
      <c r="J139" t="inlineStr">
        <is>
          <t>world_bank</t>
        </is>
      </c>
      <c r="K139" t="inlineStr">
        <is>
          <t>https://api.worldbank.org/v2/country/PHL/indicator/SG.GEN.PARL.ZS?format=json&amp;mrv=10</t>
        </is>
      </c>
      <c r="L139" t="inlineStr">
        <is>
          <t>World Bank WDI: Proportion of seats held by women in national parliaments (%)</t>
        </is>
      </c>
      <c r="M139" t="inlineStr">
        <is>
          <t>2024-12-31</t>
        </is>
      </c>
      <c r="N139" t="inlineStr">
        <is>
          <t>auto_ingest=world_bank_proxy; proxy=gender_parity_parliament; indicator=SG.GEN.PARL.ZS; year=2024; country_proxy=Philippines</t>
        </is>
      </c>
    </row>
    <row r="140">
      <c r="A140" t="inlineStr">
        <is>
          <t>ph-makati</t>
        </is>
      </c>
      <c r="B140" t="inlineStr">
        <is>
          <t>Makati</t>
        </is>
      </c>
      <c r="C140" t="inlineStr">
        <is>
          <t>Philippines</t>
        </is>
      </c>
      <c r="D140" t="inlineStr">
        <is>
          <t>Southeast Asia</t>
        </is>
      </c>
      <c r="E140" t="inlineStr">
        <is>
          <t>cultural_public_life_raw</t>
        </is>
      </c>
      <c r="F140" t="inlineStr">
        <is>
          <t>Cultural public life raw</t>
        </is>
      </c>
      <c r="G140" t="inlineStr">
        <is>
          <t>community</t>
        </is>
      </c>
      <c r="H140" t="inlineStr">
        <is>
          <t>yes</t>
        </is>
      </c>
      <c r="I140" t="inlineStr">
        <is>
          <t>12.8</t>
        </is>
      </c>
      <c r="J140" t="inlineStr">
        <is>
          <t>world_bank</t>
        </is>
      </c>
      <c r="K140" t="inlineStr">
        <is>
          <t>https://api.worldbank.org/v2/country/PHL/indicator/ST.INT.ARVL?format=json&amp;mrv=10</t>
        </is>
      </c>
      <c r="L140" t="inlineStr">
        <is>
          <t>World Bank WDI: International tourism arrivals per 1 000 population</t>
        </is>
      </c>
      <c r="M140" t="inlineStr">
        <is>
          <t>2020-12-31</t>
        </is>
      </c>
      <c r="N140" t="inlineStr">
        <is>
          <t>auto_ingest=cultural_life_proxy; indicator=ST.INT.ARVL; norm=per_1000_pop; year=2020; country_proxy=Philippines</t>
        </is>
      </c>
    </row>
    <row r="141">
      <c r="A141" t="inlineStr">
        <is>
          <t>ph-makati</t>
        </is>
      </c>
      <c r="B141" t="inlineStr">
        <is>
          <t>Makati</t>
        </is>
      </c>
      <c r="C141" t="inlineStr">
        <is>
          <t>Philippines</t>
        </is>
      </c>
      <c r="D141" t="inlineStr">
        <is>
          <t>Southeast Asia</t>
        </is>
      </c>
      <c r="E141" t="inlineStr">
        <is>
          <t>birth_rate_optimism_raw</t>
        </is>
      </c>
      <c r="F141" t="inlineStr">
        <is>
          <t>Birth rate and societal optimism raw</t>
        </is>
      </c>
      <c r="G141" t="inlineStr">
        <is>
          <t>community</t>
        </is>
      </c>
      <c r="H141" t="inlineStr">
        <is>
          <t>yes</t>
        </is>
      </c>
      <c r="I141" t="inlineStr"/>
      <c r="J141" t="inlineStr"/>
      <c r="K141" t="inlineStr"/>
      <c r="L141" t="inlineStr"/>
      <c r="M141" t="inlineStr"/>
      <c r="N141" t="inlineStr"/>
    </row>
    <row r="142">
      <c r="A142" t="inlineStr">
        <is>
          <t>ph-makati</t>
        </is>
      </c>
      <c r="B142" t="inlineStr">
        <is>
          <t>Makati</t>
        </is>
      </c>
      <c r="C142" t="inlineStr">
        <is>
          <t>Philippines</t>
        </is>
      </c>
      <c r="D142" t="inlineStr">
        <is>
          <t>Southeast Asia</t>
        </is>
      </c>
      <c r="E142" t="inlineStr">
        <is>
          <t>entrepreneurial_dynamism_raw</t>
        </is>
      </c>
      <c r="F142" t="inlineStr">
        <is>
          <t>Entrepreneurial dynamism raw</t>
        </is>
      </c>
      <c r="G142" t="inlineStr">
        <is>
          <t>creative</t>
        </is>
      </c>
      <c r="H142" t="inlineStr">
        <is>
          <t>yes</t>
        </is>
      </c>
      <c r="I142" t="inlineStr">
        <is>
          <t>0.34</t>
        </is>
      </c>
      <c r="J142" t="inlineStr">
        <is>
          <t>world_bank</t>
        </is>
      </c>
      <c r="K142" t="inlineStr">
        <is>
          <t>https://api.worldbank.org/v2/country/PHL/indicator/IC.BUS.NDNS.ZS?format=json&amp;mrv=10</t>
        </is>
      </c>
      <c r="L142" t="inlineStr">
        <is>
          <t>World Bank WDI: New business density (new registrations per 1,000 people ages 15-64)</t>
        </is>
      </c>
      <c r="M142" t="inlineStr">
        <is>
          <t>2022-12-31</t>
        </is>
      </c>
      <c r="N142" t="inlineStr">
        <is>
          <t>auto_ingest=world_bank_creative_extended; indicator=IC.BUS.NDNS.ZS; year=2022; country_proxy=Philippines</t>
        </is>
      </c>
    </row>
    <row r="143">
      <c r="A143" t="inlineStr">
        <is>
          <t>ph-makati</t>
        </is>
      </c>
      <c r="B143" t="inlineStr">
        <is>
          <t>Makati</t>
        </is>
      </c>
      <c r="C143" t="inlineStr">
        <is>
          <t>Philippines</t>
        </is>
      </c>
      <c r="D143" t="inlineStr">
        <is>
          <t>Southeast Asia</t>
        </is>
      </c>
      <c r="E143" t="inlineStr">
        <is>
          <t>innovation_research_intensity_raw</t>
        </is>
      </c>
      <c r="F143" t="inlineStr">
        <is>
          <t>Innovation and research raw</t>
        </is>
      </c>
      <c r="G143" t="inlineStr">
        <is>
          <t>creative</t>
        </is>
      </c>
      <c r="H143" t="inlineStr">
        <is>
          <t>yes</t>
        </is>
      </c>
      <c r="I143" t="inlineStr">
        <is>
          <t>0.32</t>
        </is>
      </c>
      <c r="J143" t="inlineStr">
        <is>
          <t>world_bank</t>
        </is>
      </c>
      <c r="K143" t="inlineStr">
        <is>
          <t>https://api.worldbank.org/v2/country/PHL/indicator/GB.XPD.RSDV.GD.ZS?format=json&amp;mrv=10</t>
        </is>
      </c>
      <c r="L143" t="inlineStr">
        <is>
          <t>World Bank WDI: Research and development expenditure (% of GDP)</t>
        </is>
      </c>
      <c r="M143" t="inlineStr">
        <is>
          <t>2018-12-31</t>
        </is>
      </c>
      <c r="N143" t="inlineStr">
        <is>
          <t>auto_ingest=world_bank_creative_extended; indicator=GB.XPD.RSDV.GD.ZS; year=2018; country_proxy=Philippines</t>
        </is>
      </c>
    </row>
    <row r="144">
      <c r="A144" t="inlineStr">
        <is>
          <t>ph-makati</t>
        </is>
      </c>
      <c r="B144" t="inlineStr">
        <is>
          <t>Makati</t>
        </is>
      </c>
      <c r="C144" t="inlineStr">
        <is>
          <t>Philippines</t>
        </is>
      </c>
      <c r="D144" t="inlineStr">
        <is>
          <t>Southeast Asia</t>
        </is>
      </c>
      <c r="E144" t="inlineStr">
        <is>
          <t>investment_signal_raw</t>
        </is>
      </c>
      <c r="F144" t="inlineStr">
        <is>
          <t>Investment signal raw</t>
        </is>
      </c>
      <c r="G144" t="inlineStr">
        <is>
          <t>creative</t>
        </is>
      </c>
      <c r="H144" t="inlineStr">
        <is>
          <t>yes</t>
        </is>
      </c>
      <c r="I144" t="inlineStr">
        <is>
          <t>2.04</t>
        </is>
      </c>
      <c r="J144" t="inlineStr">
        <is>
          <t>world_bank</t>
        </is>
      </c>
      <c r="K144" t="inlineStr">
        <is>
          <t>https://api.worldbank.org/v2/country/PHL/indicator/BX.KLT.DINV.WD.GD.ZS?format=json&amp;mrv=10</t>
        </is>
      </c>
      <c r="L144" t="inlineStr">
        <is>
          <t>World Bank WDI: Foreign direct investment, net inflows (% of GDP)</t>
        </is>
      </c>
      <c r="M144" t="inlineStr">
        <is>
          <t>2024-12-31</t>
        </is>
      </c>
      <c r="N144" t="inlineStr">
        <is>
          <t>auto_ingest=world_bank_creative_extended; indicator=BX.KLT.DINV.WD.GD.ZS; year=2024; country_proxy=Philippines</t>
        </is>
      </c>
    </row>
    <row r="145">
      <c r="A145" t="inlineStr">
        <is>
          <t>ph-makati</t>
        </is>
      </c>
      <c r="B145" t="inlineStr">
        <is>
          <t>Makati</t>
        </is>
      </c>
      <c r="C145" t="inlineStr">
        <is>
          <t>Philippines</t>
        </is>
      </c>
      <c r="D145" t="inlineStr">
        <is>
          <t>Southeast Asia</t>
        </is>
      </c>
      <c r="E145" t="inlineStr">
        <is>
          <t>administrative_investment_friction_raw</t>
        </is>
      </c>
      <c r="F145" t="inlineStr">
        <is>
          <t>Administrative investment friction raw</t>
        </is>
      </c>
      <c r="G145" t="inlineStr">
        <is>
          <t>creative</t>
        </is>
      </c>
      <c r="H145" t="inlineStr">
        <is>
          <t>yes</t>
        </is>
      </c>
      <c r="I145" t="inlineStr">
        <is>
          <t>2.34</t>
        </is>
      </c>
      <c r="J145" t="inlineStr">
        <is>
          <t>world_bank</t>
        </is>
      </c>
      <c r="K145" t="inlineStr">
        <is>
          <t>https://api.worldbank.org/v2/country/PHL/indicator/RQ.EST?format=json&amp;mrv=10</t>
        </is>
      </c>
      <c r="L145" t="inlineStr">
        <is>
          <t>World Bank WGI: Regulatory Quality (inverted as friction proxy)</t>
        </is>
      </c>
      <c r="M145" t="inlineStr">
        <is>
          <t>2023-12-31</t>
        </is>
      </c>
      <c r="N145" t="inlineStr">
        <is>
          <t>auto_ingest=world_bank_business_friction; indicator=RQ.EST; raw_rq=0.16425496339798; friction=2.34; year=2023; country_proxy=Philippines</t>
        </is>
      </c>
    </row>
    <row r="146">
      <c r="A146" t="inlineStr">
        <is>
          <t>ph-makati</t>
        </is>
      </c>
      <c r="B146" t="inlineStr">
        <is>
          <t>Makati</t>
        </is>
      </c>
      <c r="C146" t="inlineStr">
        <is>
          <t>Philippines</t>
        </is>
      </c>
      <c r="D146" t="inlineStr">
        <is>
          <t>Southeast Asia</t>
        </is>
      </c>
      <c r="E146" t="inlineStr">
        <is>
          <t>visitor_flow_context_raw</t>
        </is>
      </c>
      <c r="F146" t="inlineStr">
        <is>
          <t>Visitor flow context raw</t>
        </is>
      </c>
      <c r="G146" t="inlineStr">
        <is>
          <t>creative</t>
        </is>
      </c>
      <c r="H146" t="inlineStr">
        <is>
          <t>no</t>
        </is>
      </c>
      <c r="I146" t="inlineStr"/>
      <c r="J146" t="inlineStr"/>
      <c r="K146" t="inlineStr"/>
      <c r="L146" t="inlineStr"/>
      <c r="M146" t="inlineStr"/>
      <c r="N146" t="inlineStr"/>
    </row>
    <row r="147">
      <c r="A147" t="inlineStr">
        <is>
          <t>my-george-town</t>
        </is>
      </c>
      <c r="B147" t="inlineStr">
        <is>
          <t>George Town</t>
        </is>
      </c>
      <c r="C147" t="inlineStr">
        <is>
          <t>Malaysia</t>
        </is>
      </c>
      <c r="D147" t="inlineStr">
        <is>
          <t>Southeast Asia</t>
        </is>
      </c>
      <c r="E147" t="inlineStr">
        <is>
          <t>gross_income</t>
        </is>
      </c>
      <c r="F147" t="inlineStr">
        <is>
          <t>Gross income</t>
        </is>
      </c>
      <c r="G147" t="inlineStr">
        <is>
          <t>pressure</t>
        </is>
      </c>
      <c r="H147" t="inlineStr">
        <is>
          <t>yes</t>
        </is>
      </c>
      <c r="I147" t="inlineStr">
        <is>
          <t>3120.83</t>
        </is>
      </c>
      <c r="J147" t="inlineStr">
        <is>
          <t>world_bank_col_estimate</t>
        </is>
      </c>
      <c r="K147" t="inlineStr">
        <is>
          <t>https://api.worldbank.org/v2/country/MYS/indicator/NY.GNP.PCAP.PP.CD?format=json&amp;mrv=10</t>
        </is>
      </c>
      <c r="L147" t="inlineStr">
        <is>
          <t>World Bank WDI: GNI per capita PPP (monthly USD)</t>
        </is>
      </c>
      <c r="M147" t="inlineStr">
        <is>
          <t>2024-12-31</t>
        </is>
      </c>
      <c r="N147" t="inlineStr">
        <is>
          <t>auto_ingest=world_bank_col_estimate; gni_annual=37450.0; year=2024; country_proxy=Malaysia; cohort=Southeast Asia</t>
        </is>
      </c>
    </row>
    <row r="148">
      <c r="A148" t="inlineStr">
        <is>
          <t>my-george-town</t>
        </is>
      </c>
      <c r="B148" t="inlineStr">
        <is>
          <t>George Town</t>
        </is>
      </c>
      <c r="C148" t="inlineStr">
        <is>
          <t>Malaysia</t>
        </is>
      </c>
      <c r="D148" t="inlineStr">
        <is>
          <t>Southeast Asia</t>
        </is>
      </c>
      <c r="E148" t="inlineStr">
        <is>
          <t>di_ppp_raw</t>
        </is>
      </c>
      <c r="F148" t="inlineStr">
        <is>
          <t>Disposable income PPP (Raw)</t>
        </is>
      </c>
      <c r="G148" t="inlineStr">
        <is>
          <t>pressure</t>
        </is>
      </c>
      <c r="H148" t="inlineStr">
        <is>
          <t>yes</t>
        </is>
      </c>
      <c r="I148" t="inlineStr"/>
      <c r="J148" t="inlineStr"/>
      <c r="K148" t="inlineStr"/>
      <c r="L148" t="inlineStr"/>
      <c r="M148" t="inlineStr"/>
      <c r="N148" t="inlineStr"/>
    </row>
    <row r="149">
      <c r="A149" t="inlineStr">
        <is>
          <t>my-george-town</t>
        </is>
      </c>
      <c r="B149" t="inlineStr">
        <is>
          <t>George Town</t>
        </is>
      </c>
      <c r="C149" t="inlineStr">
        <is>
          <t>Malaysia</t>
        </is>
      </c>
      <c r="D149" t="inlineStr">
        <is>
          <t>Southeast Asia</t>
        </is>
      </c>
      <c r="E149" t="inlineStr">
        <is>
          <t>rent</t>
        </is>
      </c>
      <c r="F149" t="inlineStr">
        <is>
          <t>Rent</t>
        </is>
      </c>
      <c r="G149" t="inlineStr">
        <is>
          <t>pressure</t>
        </is>
      </c>
      <c r="H149" t="inlineStr">
        <is>
          <t>yes</t>
        </is>
      </c>
      <c r="I149" t="inlineStr">
        <is>
          <t>499.33</t>
        </is>
      </c>
      <c r="J149" t="inlineStr">
        <is>
          <t>world_bank_col_estimate</t>
        </is>
      </c>
      <c r="K149" t="inlineStr">
        <is>
          <t>https://api.worldbank.org/v2/country/MYS/indicator/NY.GNP.PCAP.PP.CD?format=json&amp;mrv=10</t>
        </is>
      </c>
      <c r="L149" t="inlineStr">
        <is>
          <t>World Bank GNI + regional expenditure ratio estimate</t>
        </is>
      </c>
      <c r="M149" t="inlineStr">
        <is>
          <t>2024-12-31</t>
        </is>
      </c>
      <c r="N149" t="inlineStr">
        <is>
          <t>auto_ingest=world_bank_col_estimate; gni_annual=37450.0; year=2024; country_proxy=Malaysia; cohort=Southeast Asia; city_cost_mult=0.8</t>
        </is>
      </c>
    </row>
    <row r="150">
      <c r="A150" t="inlineStr">
        <is>
          <t>my-george-town</t>
        </is>
      </c>
      <c r="B150" t="inlineStr">
        <is>
          <t>George Town</t>
        </is>
      </c>
      <c r="C150" t="inlineStr">
        <is>
          <t>Malaysia</t>
        </is>
      </c>
      <c r="D150" t="inlineStr">
        <is>
          <t>Southeast Asia</t>
        </is>
      </c>
      <c r="E150" t="inlineStr">
        <is>
          <t>utilities</t>
        </is>
      </c>
      <c r="F150" t="inlineStr">
        <is>
          <t>Utilities</t>
        </is>
      </c>
      <c r="G150" t="inlineStr">
        <is>
          <t>pressure</t>
        </is>
      </c>
      <c r="H150" t="inlineStr">
        <is>
          <t>yes</t>
        </is>
      </c>
      <c r="I150" t="inlineStr">
        <is>
          <t>124.83</t>
        </is>
      </c>
      <c r="J150" t="inlineStr">
        <is>
          <t>world_bank_col_estimate</t>
        </is>
      </c>
      <c r="K150" t="inlineStr">
        <is>
          <t>https://api.worldbank.org/v2/country/MYS/indicator/NY.GNP.PCAP.PP.CD?format=json&amp;mrv=10</t>
        </is>
      </c>
      <c r="L150" t="inlineStr">
        <is>
          <t>World Bank GNI + regional expenditure ratio estimate</t>
        </is>
      </c>
      <c r="M150" t="inlineStr">
        <is>
          <t>2024-12-31</t>
        </is>
      </c>
      <c r="N150" t="inlineStr">
        <is>
          <t>auto_ingest=world_bank_col_estimate; gni_annual=37450.0; year=2024; country_proxy=Malaysia; cohort=Southeast Asia; city_cost_mult=0.8</t>
        </is>
      </c>
    </row>
    <row r="151">
      <c r="A151" t="inlineStr">
        <is>
          <t>my-george-town</t>
        </is>
      </c>
      <c r="B151" t="inlineStr">
        <is>
          <t>George Town</t>
        </is>
      </c>
      <c r="C151" t="inlineStr">
        <is>
          <t>Malaysia</t>
        </is>
      </c>
      <c r="D151" t="inlineStr">
        <is>
          <t>Southeast Asia</t>
        </is>
      </c>
      <c r="E151" t="inlineStr">
        <is>
          <t>transit_cost</t>
        </is>
      </c>
      <c r="F151" t="inlineStr">
        <is>
          <t>Transit cost</t>
        </is>
      </c>
      <c r="G151" t="inlineStr">
        <is>
          <t>pressure</t>
        </is>
      </c>
      <c r="H151" t="inlineStr">
        <is>
          <t>yes</t>
        </is>
      </c>
      <c r="I151" t="inlineStr">
        <is>
          <t>99.87</t>
        </is>
      </c>
      <c r="J151" t="inlineStr">
        <is>
          <t>world_bank_col_estimate</t>
        </is>
      </c>
      <c r="K151" t="inlineStr">
        <is>
          <t>https://api.worldbank.org/v2/country/MYS/indicator/NY.GNP.PCAP.PP.CD?format=json&amp;mrv=10</t>
        </is>
      </c>
      <c r="L151" t="inlineStr">
        <is>
          <t>World Bank GNI + regional expenditure ratio estimate</t>
        </is>
      </c>
      <c r="M151" t="inlineStr">
        <is>
          <t>2024-12-31</t>
        </is>
      </c>
      <c r="N151" t="inlineStr">
        <is>
          <t>auto_ingest=world_bank_col_estimate; gni_annual=37450.0; year=2024; country_proxy=Malaysia; cohort=Southeast Asia; city_cost_mult=0.8</t>
        </is>
      </c>
    </row>
    <row r="152">
      <c r="A152" t="inlineStr">
        <is>
          <t>my-george-town</t>
        </is>
      </c>
      <c r="B152" t="inlineStr">
        <is>
          <t>George Town</t>
        </is>
      </c>
      <c r="C152" t="inlineStr">
        <is>
          <t>Malaysia</t>
        </is>
      </c>
      <c r="D152" t="inlineStr">
        <is>
          <t>Southeast Asia</t>
        </is>
      </c>
      <c r="E152" t="inlineStr">
        <is>
          <t>internet_cost</t>
        </is>
      </c>
      <c r="F152" t="inlineStr">
        <is>
          <t>Internet cost</t>
        </is>
      </c>
      <c r="G152" t="inlineStr">
        <is>
          <t>pressure</t>
        </is>
      </c>
      <c r="H152" t="inlineStr">
        <is>
          <t>yes</t>
        </is>
      </c>
      <c r="I152" t="inlineStr">
        <is>
          <t>37.45</t>
        </is>
      </c>
      <c r="J152" t="inlineStr">
        <is>
          <t>world_bank_col_estimate</t>
        </is>
      </c>
      <c r="K152" t="inlineStr">
        <is>
          <t>https://api.worldbank.org/v2/country/MYS/indicator/NY.GNP.PCAP.PP.CD?format=json&amp;mrv=10</t>
        </is>
      </c>
      <c r="L152" t="inlineStr">
        <is>
          <t>World Bank GNI + regional expenditure ratio estimate</t>
        </is>
      </c>
      <c r="M152" t="inlineStr">
        <is>
          <t>2024-12-31</t>
        </is>
      </c>
      <c r="N152" t="inlineStr">
        <is>
          <t>auto_ingest=world_bank_col_estimate; gni_annual=37450.0; year=2024; country_proxy=Malaysia; cohort=Southeast Asia; city_cost_mult=0.8</t>
        </is>
      </c>
    </row>
    <row r="153">
      <c r="A153" t="inlineStr">
        <is>
          <t>my-george-town</t>
        </is>
      </c>
      <c r="B153" t="inlineStr">
        <is>
          <t>George Town</t>
        </is>
      </c>
      <c r="C153" t="inlineStr">
        <is>
          <t>Malaysia</t>
        </is>
      </c>
      <c r="D153" t="inlineStr">
        <is>
          <t>Southeast Asia</t>
        </is>
      </c>
      <c r="E153" t="inlineStr">
        <is>
          <t>food_cost</t>
        </is>
      </c>
      <c r="F153" t="inlineStr">
        <is>
          <t>Food cost</t>
        </is>
      </c>
      <c r="G153" t="inlineStr">
        <is>
          <t>pressure</t>
        </is>
      </c>
      <c r="H153" t="inlineStr">
        <is>
          <t>yes</t>
        </is>
      </c>
      <c r="I153" t="inlineStr">
        <is>
          <t>549.27</t>
        </is>
      </c>
      <c r="J153" t="inlineStr">
        <is>
          <t>world_bank_col_estimate</t>
        </is>
      </c>
      <c r="K153" t="inlineStr">
        <is>
          <t>https://api.worldbank.org/v2/country/MYS/indicator/NY.GNP.PCAP.PP.CD?format=json&amp;mrv=10</t>
        </is>
      </c>
      <c r="L153" t="inlineStr">
        <is>
          <t>World Bank GNI + regional expenditure ratio estimate</t>
        </is>
      </c>
      <c r="M153" t="inlineStr">
        <is>
          <t>2024-12-31</t>
        </is>
      </c>
      <c r="N153" t="inlineStr">
        <is>
          <t>auto_ingest=world_bank_col_estimate; gni_annual=37450.0; year=2024; country_proxy=Malaysia; cohort=Southeast Asia; city_cost_mult=0.8</t>
        </is>
      </c>
    </row>
    <row r="154">
      <c r="A154" t="inlineStr">
        <is>
          <t>my-george-town</t>
        </is>
      </c>
      <c r="B154" t="inlineStr">
        <is>
          <t>George Town</t>
        </is>
      </c>
      <c r="C154" t="inlineStr">
        <is>
          <t>Malaysia</t>
        </is>
      </c>
      <c r="D154" t="inlineStr">
        <is>
          <t>Southeast Asia</t>
        </is>
      </c>
      <c r="E154" t="inlineStr">
        <is>
          <t>housing_burden_raw</t>
        </is>
      </c>
      <c r="F154" t="inlineStr">
        <is>
          <t>Housing burden raw</t>
        </is>
      </c>
      <c r="G154" t="inlineStr">
        <is>
          <t>pressure</t>
        </is>
      </c>
      <c r="H154" t="inlineStr">
        <is>
          <t>yes</t>
        </is>
      </c>
      <c r="I154" t="inlineStr">
        <is>
          <t>15.9999</t>
        </is>
      </c>
      <c r="J154" t="inlineStr">
        <is>
          <t>derived</t>
        </is>
      </c>
      <c r="K154" t="inlineStr">
        <is>
          <t>https://data.worldbank.org/indicator/NY.GNP.PCAP.PP.CD</t>
        </is>
      </c>
      <c r="L154" t="inlineStr">
        <is>
          <t>Computed from city_inputs + country_context</t>
        </is>
      </c>
      <c r="M154" t="inlineStr">
        <is>
          <t>2024-01-01</t>
        </is>
      </c>
      <c r="N154" t="inlineStr">
        <is>
          <t>derived=rent/gross_income*100</t>
        </is>
      </c>
    </row>
    <row r="155">
      <c r="A155" t="inlineStr">
        <is>
          <t>my-george-town</t>
        </is>
      </c>
      <c r="B155" t="inlineStr">
        <is>
          <t>George Town</t>
        </is>
      </c>
      <c r="C155" t="inlineStr">
        <is>
          <t>Malaysia</t>
        </is>
      </c>
      <c r="D155" t="inlineStr">
        <is>
          <t>Southeast Asia</t>
        </is>
      </c>
      <c r="E155" t="inlineStr">
        <is>
          <t>household_debt_burden_raw</t>
        </is>
      </c>
      <c r="F155" t="inlineStr">
        <is>
          <t>Household debt burden raw</t>
        </is>
      </c>
      <c r="G155" t="inlineStr">
        <is>
          <t>pressure</t>
        </is>
      </c>
      <c r="H155" t="inlineStr">
        <is>
          <t>yes</t>
        </is>
      </c>
      <c r="I155" t="inlineStr">
        <is>
          <t>116.0773</t>
        </is>
      </c>
      <c r="J155" t="inlineStr">
        <is>
          <t>derived</t>
        </is>
      </c>
      <c r="K155" t="inlineStr">
        <is>
          <t>https://data.worldbank.org/indicator/NY.GNP.PCAP.PP.CD</t>
        </is>
      </c>
      <c r="L155" t="inlineStr">
        <is>
          <t>Computed from city_inputs + country_context</t>
        </is>
      </c>
      <c r="M155" t="inlineStr">
        <is>
          <t>2024-01-01</t>
        </is>
      </c>
      <c r="N155" t="inlineStr">
        <is>
          <t>derived=country_context.household_debt_proxy; country=Malaysia</t>
        </is>
      </c>
    </row>
    <row r="156">
      <c r="A156" t="inlineStr">
        <is>
          <t>my-george-town</t>
        </is>
      </c>
      <c r="B156" t="inlineStr">
        <is>
          <t>George Town</t>
        </is>
      </c>
      <c r="C156" t="inlineStr">
        <is>
          <t>Malaysia</t>
        </is>
      </c>
      <c r="D156" t="inlineStr">
        <is>
          <t>Southeast Asia</t>
        </is>
      </c>
      <c r="E156" t="inlineStr">
        <is>
          <t>working_time_pressure_raw</t>
        </is>
      </c>
      <c r="F156" t="inlineStr">
        <is>
          <t>Working time pressure raw</t>
        </is>
      </c>
      <c r="G156" t="inlineStr">
        <is>
          <t>pressure</t>
        </is>
      </c>
      <c r="H156" t="inlineStr">
        <is>
          <t>yes</t>
        </is>
      </c>
      <c r="I156" t="inlineStr">
        <is>
          <t>44.7</t>
        </is>
      </c>
      <c r="J156" t="inlineStr">
        <is>
          <t>ilo_ilostat</t>
        </is>
      </c>
      <c r="K156" t="inlineStr">
        <is>
          <t>https://ilostat.ilo.org/data/indicator/?id=HOW_TEMP_SEX_ECO_NB_A&amp;ref_area=MYS</t>
        </is>
      </c>
      <c r="L156" t="inlineStr">
        <is>
          <t>ILO ILOSTAT: Mean weekly hours actually worked per employed person</t>
        </is>
      </c>
      <c r="M156" t="inlineStr">
        <is>
          <t>2022-12-31</t>
        </is>
      </c>
      <c r="N156" t="inlineStr">
        <is>
          <t>auto_ingest=ilo_working_hours; indicator=HOW_TEMP_SEX_ECO_NB_A; year=2022; hours=44.7; country_proxy=Malaysia</t>
        </is>
      </c>
    </row>
    <row r="157">
      <c r="A157" t="inlineStr">
        <is>
          <t>my-george-town</t>
        </is>
      </c>
      <c r="B157" t="inlineStr">
        <is>
          <t>George Town</t>
        </is>
      </c>
      <c r="C157" t="inlineStr">
        <is>
          <t>Malaysia</t>
        </is>
      </c>
      <c r="D157" t="inlineStr">
        <is>
          <t>Southeast Asia</t>
        </is>
      </c>
      <c r="E157" t="inlineStr">
        <is>
          <t>suicide_mental_strain_raw</t>
        </is>
      </c>
      <c r="F157" t="inlineStr">
        <is>
          <t>Suicide or mental strain raw</t>
        </is>
      </c>
      <c r="G157" t="inlineStr">
        <is>
          <t>pressure</t>
        </is>
      </c>
      <c r="H157" t="inlineStr">
        <is>
          <t>yes</t>
        </is>
      </c>
      <c r="I157" t="inlineStr">
        <is>
          <t>5.65</t>
        </is>
      </c>
      <c r="J157" t="inlineStr">
        <is>
          <t>who_gho</t>
        </is>
      </c>
      <c r="K157" t="inlineStr">
        <is>
          <t>https://www.who.int/data/gho/data/indicators/indicator-details/GHO/SDGSUICIDE</t>
        </is>
      </c>
      <c r="L157" t="inlineStr">
        <is>
          <t>WHO GHO: Age-standardized suicide rate (per 100,000 population)</t>
        </is>
      </c>
      <c r="M157" t="inlineStr">
        <is>
          <t>2021-12-31</t>
        </is>
      </c>
      <c r="N157" t="inlineStr">
        <is>
          <t>auto_ingest=who_gho; indicator=SDGSUICIDE; year=2021; country_proxy=Malaysia</t>
        </is>
      </c>
    </row>
    <row r="158">
      <c r="A158" t="inlineStr">
        <is>
          <t>my-george-town</t>
        </is>
      </c>
      <c r="B158" t="inlineStr">
        <is>
          <t>George Town</t>
        </is>
      </c>
      <c r="C158" t="inlineStr">
        <is>
          <t>Malaysia</t>
        </is>
      </c>
      <c r="D158" t="inlineStr">
        <is>
          <t>Southeast Asia</t>
        </is>
      </c>
      <c r="E158" t="inlineStr">
        <is>
          <t>personal_safety_raw</t>
        </is>
      </c>
      <c r="F158" t="inlineStr">
        <is>
          <t>Personal safety raw</t>
        </is>
      </c>
      <c r="G158" t="inlineStr">
        <is>
          <t>viability</t>
        </is>
      </c>
      <c r="H158" t="inlineStr">
        <is>
          <t>yes</t>
        </is>
      </c>
      <c r="I158" t="inlineStr">
        <is>
          <t>0.73</t>
        </is>
      </c>
      <c r="J158" t="inlineStr">
        <is>
          <t>world_bank</t>
        </is>
      </c>
      <c r="K158" t="inlineStr">
        <is>
          <t>https://api.worldbank.org/v2/country/MYS/indicator/VC.IHR.PSRC.P5?format=json&amp;mrv=10</t>
        </is>
      </c>
      <c r="L158" t="inlineStr">
        <is>
          <t>UNODC via World Bank WDI: Intentional homicides (per 100,000 people)</t>
        </is>
      </c>
      <c r="M158" t="inlineStr">
        <is>
          <t>2023-12-31</t>
        </is>
      </c>
      <c r="N158" t="inlineStr">
        <is>
          <t>auto_ingest=unodc_safety; indicator=VC.IHR.PSRC.P5; year=2023; country_proxy=Malaysia</t>
        </is>
      </c>
    </row>
    <row r="159">
      <c r="A159" t="inlineStr">
        <is>
          <t>my-george-town</t>
        </is>
      </c>
      <c r="B159" t="inlineStr">
        <is>
          <t>George Town</t>
        </is>
      </c>
      <c r="C159" t="inlineStr">
        <is>
          <t>Malaysia</t>
        </is>
      </c>
      <c r="D159" t="inlineStr">
        <is>
          <t>Southeast Asia</t>
        </is>
      </c>
      <c r="E159" t="inlineStr">
        <is>
          <t>transit_access_commute_raw</t>
        </is>
      </c>
      <c r="F159" t="inlineStr">
        <is>
          <t>Transit access and commute raw</t>
        </is>
      </c>
      <c r="G159" t="inlineStr">
        <is>
          <t>viability</t>
        </is>
      </c>
      <c r="H159" t="inlineStr">
        <is>
          <t>yes</t>
        </is>
      </c>
      <c r="I159" t="inlineStr"/>
      <c r="J159" t="inlineStr"/>
      <c r="K159" t="inlineStr"/>
      <c r="L159" t="inlineStr"/>
      <c r="M159" t="inlineStr"/>
      <c r="N159" t="inlineStr"/>
    </row>
    <row r="160">
      <c r="A160" t="inlineStr">
        <is>
          <t>my-george-town</t>
        </is>
      </c>
      <c r="B160" t="inlineStr">
        <is>
          <t>George Town</t>
        </is>
      </c>
      <c r="C160" t="inlineStr">
        <is>
          <t>Malaysia</t>
        </is>
      </c>
      <c r="D160" t="inlineStr">
        <is>
          <t>Southeast Asia</t>
        </is>
      </c>
      <c r="E160" t="inlineStr">
        <is>
          <t>clean_air_raw</t>
        </is>
      </c>
      <c r="F160" t="inlineStr">
        <is>
          <t>Clean air raw</t>
        </is>
      </c>
      <c r="G160" t="inlineStr">
        <is>
          <t>viability</t>
        </is>
      </c>
      <c r="H160" t="inlineStr">
        <is>
          <t>yes</t>
        </is>
      </c>
      <c r="I160" t="inlineStr"/>
      <c r="J160" t="inlineStr"/>
      <c r="K160" t="inlineStr"/>
      <c r="L160" t="inlineStr"/>
      <c r="M160" t="inlineStr"/>
      <c r="N160" t="inlineStr"/>
    </row>
    <row r="161">
      <c r="A161" t="inlineStr">
        <is>
          <t>my-george-town</t>
        </is>
      </c>
      <c r="B161" t="inlineStr">
        <is>
          <t>George Town</t>
        </is>
      </c>
      <c r="C161" t="inlineStr">
        <is>
          <t>Malaysia</t>
        </is>
      </c>
      <c r="D161" t="inlineStr">
        <is>
          <t>Southeast Asia</t>
        </is>
      </c>
      <c r="E161" t="inlineStr">
        <is>
          <t>water_sanitation_utility_raw</t>
        </is>
      </c>
      <c r="F161" t="inlineStr">
        <is>
          <t>Water, sanitation, and utility raw</t>
        </is>
      </c>
      <c r="G161" t="inlineStr">
        <is>
          <t>viability</t>
        </is>
      </c>
      <c r="H161" t="inlineStr">
        <is>
          <t>yes</t>
        </is>
      </c>
      <c r="I161" t="inlineStr">
        <is>
          <t>94.7</t>
        </is>
      </c>
      <c r="J161" t="inlineStr">
        <is>
          <t>world_bank</t>
        </is>
      </c>
      <c r="K161" t="inlineStr">
        <is>
          <t>https://api.worldbank.org/v2/country/MYS/indicator/SH.H2O.SMDW.ZS?format=json&amp;mrv=10</t>
        </is>
      </c>
      <c r="L161" t="inlineStr">
        <is>
          <t>World Bank WDI: People using safely managed drinking water services (% of population)</t>
        </is>
      </c>
      <c r="M161" t="inlineStr">
        <is>
          <t>2024-12-31</t>
        </is>
      </c>
      <c r="N161" t="inlineStr">
        <is>
          <t>auto_ingest=world_bank_proxy; indicator=SH.H2O.SMDW.ZS; year=2024; country_proxy=Malaysia</t>
        </is>
      </c>
    </row>
    <row r="162">
      <c r="A162" t="inlineStr">
        <is>
          <t>my-george-town</t>
        </is>
      </c>
      <c r="B162" t="inlineStr">
        <is>
          <t>George Town</t>
        </is>
      </c>
      <c r="C162" t="inlineStr">
        <is>
          <t>Malaysia</t>
        </is>
      </c>
      <c r="D162" t="inlineStr">
        <is>
          <t>Southeast Asia</t>
        </is>
      </c>
      <c r="E162" t="inlineStr">
        <is>
          <t>digital_infrastructure_raw</t>
        </is>
      </c>
      <c r="F162" t="inlineStr">
        <is>
          <t>Digital infrastructure raw</t>
        </is>
      </c>
      <c r="G162" t="inlineStr">
        <is>
          <t>viability</t>
        </is>
      </c>
      <c r="H162" t="inlineStr">
        <is>
          <t>yes</t>
        </is>
      </c>
      <c r="I162" t="inlineStr">
        <is>
          <t>13.03</t>
        </is>
      </c>
      <c r="J162" t="inlineStr">
        <is>
          <t>world_bank</t>
        </is>
      </c>
      <c r="K162" t="inlineStr">
        <is>
          <t>https://api.worldbank.org/v2/country/MYS/indicator/IT.NET.BBND.P2?format=json&amp;mrv=10</t>
        </is>
      </c>
      <c r="L162" t="inlineStr">
        <is>
          <t>World Bank WDI: Fixed broadband subscriptions (per 100 people)</t>
        </is>
      </c>
      <c r="M162" t="inlineStr">
        <is>
          <t>2023-12-31</t>
        </is>
      </c>
      <c r="N162" t="inlineStr">
        <is>
          <t>auto_ingest=world_bank_proxy; indicator=IT.NET.BBND.P2; year=2023; country_proxy=Malaysia</t>
        </is>
      </c>
    </row>
    <row r="163">
      <c r="A163" t="inlineStr">
        <is>
          <t>my-george-town</t>
        </is>
      </c>
      <c r="B163" t="inlineStr">
        <is>
          <t>George Town</t>
        </is>
      </c>
      <c r="C163" t="inlineStr">
        <is>
          <t>Malaysia</t>
        </is>
      </c>
      <c r="D163" t="inlineStr">
        <is>
          <t>Southeast Asia</t>
        </is>
      </c>
      <c r="E163" t="inlineStr">
        <is>
          <t>climate_sunlight_livability_raw</t>
        </is>
      </c>
      <c r="F163" t="inlineStr">
        <is>
          <t>Climate and sunlight livability raw</t>
        </is>
      </c>
      <c r="G163" t="inlineStr">
        <is>
          <t>viability</t>
        </is>
      </c>
      <c r="H163" t="inlineStr">
        <is>
          <t>yes</t>
        </is>
      </c>
      <c r="I163" t="inlineStr"/>
      <c r="J163" t="inlineStr"/>
      <c r="K163" t="inlineStr"/>
      <c r="L163" t="inlineStr"/>
      <c r="M163" t="inlineStr"/>
      <c r="N163" t="inlineStr"/>
    </row>
    <row r="164">
      <c r="A164" t="inlineStr">
        <is>
          <t>my-george-town</t>
        </is>
      </c>
      <c r="B164" t="inlineStr">
        <is>
          <t>George Town</t>
        </is>
      </c>
      <c r="C164" t="inlineStr">
        <is>
          <t>Malaysia</t>
        </is>
      </c>
      <c r="D164" t="inlineStr">
        <is>
          <t>Southeast Asia</t>
        </is>
      </c>
      <c r="E164" t="inlineStr">
        <is>
          <t>healthcare_quality_raw</t>
        </is>
      </c>
      <c r="F164" t="inlineStr">
        <is>
          <t>Healthcare quality raw</t>
        </is>
      </c>
      <c r="G164" t="inlineStr">
        <is>
          <t>capability</t>
        </is>
      </c>
      <c r="H164" t="inlineStr">
        <is>
          <t>yes</t>
        </is>
      </c>
      <c r="I164" t="inlineStr">
        <is>
          <t>80.0</t>
        </is>
      </c>
      <c r="J164" t="inlineStr">
        <is>
          <t>who_gho</t>
        </is>
      </c>
      <c r="K164" t="inlineStr">
        <is>
          <t>https://www.who.int/data/gho/data/indicators/indicator-details/GHO/UHC_INDEX_REPORTED</t>
        </is>
      </c>
      <c r="L164" t="inlineStr">
        <is>
          <t>WHO GHO: UHC Service Coverage Index</t>
        </is>
      </c>
      <c r="M164" t="inlineStr">
        <is>
          <t>2023-12-31</t>
        </is>
      </c>
      <c r="N164" t="inlineStr">
        <is>
          <t>auto_ingest=who_gho; indicator=UHC_INDEX_REPORTED; year=2023; country_proxy=Malaysia</t>
        </is>
      </c>
    </row>
    <row r="165">
      <c r="A165" t="inlineStr">
        <is>
          <t>my-george-town</t>
        </is>
      </c>
      <c r="B165" t="inlineStr">
        <is>
          <t>George Town</t>
        </is>
      </c>
      <c r="C165" t="inlineStr">
        <is>
          <t>Malaysia</t>
        </is>
      </c>
      <c r="D165" t="inlineStr">
        <is>
          <t>Southeast Asia</t>
        </is>
      </c>
      <c r="E165" t="inlineStr">
        <is>
          <t>education_quality_raw</t>
        </is>
      </c>
      <c r="F165" t="inlineStr">
        <is>
          <t>Education quality raw</t>
        </is>
      </c>
      <c r="G165" t="inlineStr">
        <is>
          <t>capability</t>
        </is>
      </c>
      <c r="H165" t="inlineStr">
        <is>
          <t>yes</t>
        </is>
      </c>
      <c r="I165" t="inlineStr">
        <is>
          <t>38.5</t>
        </is>
      </c>
      <c r="J165" t="inlineStr">
        <is>
          <t>world_bank</t>
        </is>
      </c>
      <c r="K165" t="inlineStr">
        <is>
          <t>https://api.worldbank.org/v2/country/MYS/indicator/SE.TER.ENRR?format=json&amp;mrv=10</t>
        </is>
      </c>
      <c r="L165" t="inlineStr">
        <is>
          <t>World Bank WDI: School enrollment, tertiary (% gross)</t>
        </is>
      </c>
      <c r="M165" t="inlineStr">
        <is>
          <t>2024-12-31</t>
        </is>
      </c>
      <c r="N165" t="inlineStr">
        <is>
          <t>auto_ingest=world_bank_proxy; indicator=SE.TER.ENRR; year=2024; country_proxy=Malaysia</t>
        </is>
      </c>
    </row>
    <row r="166">
      <c r="A166" t="inlineStr">
        <is>
          <t>my-george-town</t>
        </is>
      </c>
      <c r="B166" t="inlineStr">
        <is>
          <t>George Town</t>
        </is>
      </c>
      <c r="C166" t="inlineStr">
        <is>
          <t>Malaysia</t>
        </is>
      </c>
      <c r="D166" t="inlineStr">
        <is>
          <t>Southeast Asia</t>
        </is>
      </c>
      <c r="E166" t="inlineStr">
        <is>
          <t>equal_opportunity_raw</t>
        </is>
      </c>
      <c r="F166" t="inlineStr">
        <is>
          <t>Equal opportunity raw</t>
        </is>
      </c>
      <c r="G166" t="inlineStr">
        <is>
          <t>capability</t>
        </is>
      </c>
      <c r="H166" t="inlineStr">
        <is>
          <t>yes</t>
        </is>
      </c>
      <c r="I166" t="inlineStr">
        <is>
          <t>40.7</t>
        </is>
      </c>
      <c r="J166" t="inlineStr">
        <is>
          <t>world_bank</t>
        </is>
      </c>
      <c r="K166" t="inlineStr">
        <is>
          <t>https://api.worldbank.org/v2/country/MYS/indicator/SI.POV.GINI?format=json&amp;mrv=10</t>
        </is>
      </c>
      <c r="L166" t="inlineStr">
        <is>
          <t>World Bank WDI: Gini index</t>
        </is>
      </c>
      <c r="M166" t="inlineStr">
        <is>
          <t>2021-12-31</t>
        </is>
      </c>
      <c r="N166" t="inlineStr">
        <is>
          <t>auto_ingest=world_bank_capability; indicator=SI.POV.GINI; year=2021; country_proxy=Malaysia</t>
        </is>
      </c>
    </row>
    <row r="167">
      <c r="A167" t="inlineStr">
        <is>
          <t>my-george-town</t>
        </is>
      </c>
      <c r="B167" t="inlineStr">
        <is>
          <t>George Town</t>
        </is>
      </c>
      <c r="C167" t="inlineStr">
        <is>
          <t>Malaysia</t>
        </is>
      </c>
      <c r="D167" t="inlineStr">
        <is>
          <t>Southeast Asia</t>
        </is>
      </c>
      <c r="E167" t="inlineStr">
        <is>
          <t>hospitality_belonging_raw</t>
        </is>
      </c>
      <c r="F167" t="inlineStr">
        <is>
          <t>Hospitality and belonging raw</t>
        </is>
      </c>
      <c r="G167" t="inlineStr">
        <is>
          <t>community</t>
        </is>
      </c>
      <c r="H167" t="inlineStr">
        <is>
          <t>yes</t>
        </is>
      </c>
      <c r="I167" t="inlineStr">
        <is>
          <t>54.69</t>
        </is>
      </c>
      <c r="J167" t="inlineStr">
        <is>
          <t>world_bank</t>
        </is>
      </c>
      <c r="K167" t="inlineStr">
        <is>
          <t>https://api.worldbank.org/v2/country/MYS/indicator/SM.POP.NETM?format=json&amp;mrv=10</t>
        </is>
      </c>
      <c r="L167" t="inlineStr">
        <is>
          <t>World Bank WDI: Net migration (proxy for hospitality/belonging — positive = welcoming)</t>
        </is>
      </c>
      <c r="M167" t="inlineStr">
        <is>
          <t>2025-12-31</t>
        </is>
      </c>
      <c r="N167" t="inlineStr">
        <is>
          <t>auto_ingest=world_bank_proxy; proxy=net_migration_hospitality; indicator=SM.POP.NETM; year=2025; country_proxy=Malaysia</t>
        </is>
      </c>
    </row>
    <row r="168">
      <c r="A168" t="inlineStr">
        <is>
          <t>my-george-town</t>
        </is>
      </c>
      <c r="B168" t="inlineStr">
        <is>
          <t>George Town</t>
        </is>
      </c>
      <c r="C168" t="inlineStr">
        <is>
          <t>Malaysia</t>
        </is>
      </c>
      <c r="D168" t="inlineStr">
        <is>
          <t>Southeast Asia</t>
        </is>
      </c>
      <c r="E168" t="inlineStr">
        <is>
          <t>tolerance_pluralism_raw</t>
        </is>
      </c>
      <c r="F168" t="inlineStr">
        <is>
          <t>Tolerance and pluralism raw</t>
        </is>
      </c>
      <c r="G168" t="inlineStr">
        <is>
          <t>community</t>
        </is>
      </c>
      <c r="H168" t="inlineStr">
        <is>
          <t>yes</t>
        </is>
      </c>
      <c r="I168" t="inlineStr">
        <is>
          <t>13.51</t>
        </is>
      </c>
      <c r="J168" t="inlineStr">
        <is>
          <t>world_bank</t>
        </is>
      </c>
      <c r="K168" t="inlineStr">
        <is>
          <t>https://api.worldbank.org/v2/country/MYS/indicator/SG.GEN.PARL.ZS?format=json&amp;mrv=10</t>
        </is>
      </c>
      <c r="L168" t="inlineStr">
        <is>
          <t>World Bank WDI: Proportion of seats held by women in national parliaments (%)</t>
        </is>
      </c>
      <c r="M168" t="inlineStr">
        <is>
          <t>2024-12-31</t>
        </is>
      </c>
      <c r="N168" t="inlineStr">
        <is>
          <t>auto_ingest=world_bank_proxy; proxy=gender_parity_parliament; indicator=SG.GEN.PARL.ZS; year=2024; country_proxy=Malaysia</t>
        </is>
      </c>
    </row>
    <row r="169">
      <c r="A169" t="inlineStr">
        <is>
          <t>my-george-town</t>
        </is>
      </c>
      <c r="B169" t="inlineStr">
        <is>
          <t>George Town</t>
        </is>
      </c>
      <c r="C169" t="inlineStr">
        <is>
          <t>Malaysia</t>
        </is>
      </c>
      <c r="D169" t="inlineStr">
        <is>
          <t>Southeast Asia</t>
        </is>
      </c>
      <c r="E169" t="inlineStr">
        <is>
          <t>cultural_public_life_raw</t>
        </is>
      </c>
      <c r="F169" t="inlineStr">
        <is>
          <t>Cultural public life raw</t>
        </is>
      </c>
      <c r="G169" t="inlineStr">
        <is>
          <t>community</t>
        </is>
      </c>
      <c r="H169" t="inlineStr">
        <is>
          <t>yes</t>
        </is>
      </c>
      <c r="I169" t="inlineStr">
        <is>
          <t>121.86</t>
        </is>
      </c>
      <c r="J169" t="inlineStr">
        <is>
          <t>world_bank</t>
        </is>
      </c>
      <c r="K169" t="inlineStr">
        <is>
          <t>https://api.worldbank.org/v2/country/MYS/indicator/ST.INT.ARVL?format=json&amp;mrv=10</t>
        </is>
      </c>
      <c r="L169" t="inlineStr">
        <is>
          <t>World Bank WDI: International tourism arrivals per 1 000 population</t>
        </is>
      </c>
      <c r="M169" t="inlineStr">
        <is>
          <t>2020-12-31</t>
        </is>
      </c>
      <c r="N169" t="inlineStr">
        <is>
          <t>auto_ingest=cultural_life_proxy; indicator=ST.INT.ARVL; norm=per_1000_pop; year=2020; country_proxy=Malaysia</t>
        </is>
      </c>
    </row>
    <row r="170">
      <c r="A170" t="inlineStr">
        <is>
          <t>my-george-town</t>
        </is>
      </c>
      <c r="B170" t="inlineStr">
        <is>
          <t>George Town</t>
        </is>
      </c>
      <c r="C170" t="inlineStr">
        <is>
          <t>Malaysia</t>
        </is>
      </c>
      <c r="D170" t="inlineStr">
        <is>
          <t>Southeast Asia</t>
        </is>
      </c>
      <c r="E170" t="inlineStr">
        <is>
          <t>birth_rate_optimism_raw</t>
        </is>
      </c>
      <c r="F170" t="inlineStr">
        <is>
          <t>Birth rate and societal optimism raw</t>
        </is>
      </c>
      <c r="G170" t="inlineStr">
        <is>
          <t>community</t>
        </is>
      </c>
      <c r="H170" t="inlineStr">
        <is>
          <t>yes</t>
        </is>
      </c>
      <c r="I170" t="inlineStr">
        <is>
          <t>1.6</t>
        </is>
      </c>
      <c r="J170" t="inlineStr">
        <is>
          <t>world_bank</t>
        </is>
      </c>
      <c r="K170" t="inlineStr">
        <is>
          <t>https://data.worldbank.org/indicator/SP.DYN.TFRT.IN</t>
        </is>
      </c>
      <c r="L170" t="inlineStr">
        <is>
          <t>World Bank Total Fertility Rate 2023</t>
        </is>
      </c>
      <c r="M170" t="inlineStr">
        <is>
          <t>2024-01-01</t>
        </is>
      </c>
      <c r="N170" t="inlineStr"/>
    </row>
    <row r="171">
      <c r="A171" t="inlineStr">
        <is>
          <t>my-george-town</t>
        </is>
      </c>
      <c r="B171" t="inlineStr">
        <is>
          <t>George Town</t>
        </is>
      </c>
      <c r="C171" t="inlineStr">
        <is>
          <t>Malaysia</t>
        </is>
      </c>
      <c r="D171" t="inlineStr">
        <is>
          <t>Southeast Asia</t>
        </is>
      </c>
      <c r="E171" t="inlineStr">
        <is>
          <t>entrepreneurial_dynamism_raw</t>
        </is>
      </c>
      <c r="F171" t="inlineStr">
        <is>
          <t>Entrepreneurial dynamism raw</t>
        </is>
      </c>
      <c r="G171" t="inlineStr">
        <is>
          <t>creative</t>
        </is>
      </c>
      <c r="H171" t="inlineStr">
        <is>
          <t>yes</t>
        </is>
      </c>
      <c r="I171" t="inlineStr">
        <is>
          <t>2.19</t>
        </is>
      </c>
      <c r="J171" t="inlineStr">
        <is>
          <t>world_bank</t>
        </is>
      </c>
      <c r="K171" t="inlineStr">
        <is>
          <t>https://api.worldbank.org/v2/country/MYS/indicator/IC.BUS.NDNS.ZS?format=json&amp;mrv=10</t>
        </is>
      </c>
      <c r="L171" t="inlineStr">
        <is>
          <t>World Bank WDI: New business density (new registrations per 1,000 people ages 15-64)</t>
        </is>
      </c>
      <c r="M171" t="inlineStr">
        <is>
          <t>2022-12-31</t>
        </is>
      </c>
      <c r="N171" t="inlineStr">
        <is>
          <t>auto_ingest=world_bank_creative_extended; indicator=IC.BUS.NDNS.ZS; year=2022; country_proxy=Malaysia</t>
        </is>
      </c>
    </row>
    <row r="172">
      <c r="A172" t="inlineStr">
        <is>
          <t>my-george-town</t>
        </is>
      </c>
      <c r="B172" t="inlineStr">
        <is>
          <t>George Town</t>
        </is>
      </c>
      <c r="C172" t="inlineStr">
        <is>
          <t>Malaysia</t>
        </is>
      </c>
      <c r="D172" t="inlineStr">
        <is>
          <t>Southeast Asia</t>
        </is>
      </c>
      <c r="E172" t="inlineStr">
        <is>
          <t>innovation_research_intensity_raw</t>
        </is>
      </c>
      <c r="F172" t="inlineStr">
        <is>
          <t>Innovation and research raw</t>
        </is>
      </c>
      <c r="G172" t="inlineStr">
        <is>
          <t>creative</t>
        </is>
      </c>
      <c r="H172" t="inlineStr">
        <is>
          <t>yes</t>
        </is>
      </c>
      <c r="I172" t="inlineStr">
        <is>
          <t>0.95</t>
        </is>
      </c>
      <c r="J172" t="inlineStr">
        <is>
          <t>world_bank</t>
        </is>
      </c>
      <c r="K172" t="inlineStr">
        <is>
          <t>https://api.worldbank.org/v2/country/MYS/indicator/GB.XPD.RSDV.GD.ZS?format=json&amp;mrv=10</t>
        </is>
      </c>
      <c r="L172" t="inlineStr">
        <is>
          <t>World Bank WDI: Research and development expenditure (% of GDP)</t>
        </is>
      </c>
      <c r="M172" t="inlineStr">
        <is>
          <t>2020-12-31</t>
        </is>
      </c>
      <c r="N172" t="inlineStr">
        <is>
          <t>auto_ingest=world_bank_creative_extended; indicator=GB.XPD.RSDV.GD.ZS; year=2020; country_proxy=Malaysia</t>
        </is>
      </c>
    </row>
    <row r="173">
      <c r="A173" t="inlineStr">
        <is>
          <t>my-george-town</t>
        </is>
      </c>
      <c r="B173" t="inlineStr">
        <is>
          <t>George Town</t>
        </is>
      </c>
      <c r="C173" t="inlineStr">
        <is>
          <t>Malaysia</t>
        </is>
      </c>
      <c r="D173" t="inlineStr">
        <is>
          <t>Southeast Asia</t>
        </is>
      </c>
      <c r="E173" t="inlineStr">
        <is>
          <t>investment_signal_raw</t>
        </is>
      </c>
      <c r="F173" t="inlineStr">
        <is>
          <t>Investment signal raw</t>
        </is>
      </c>
      <c r="G173" t="inlineStr">
        <is>
          <t>creative</t>
        </is>
      </c>
      <c r="H173" t="inlineStr">
        <is>
          <t>yes</t>
        </is>
      </c>
      <c r="I173" t="inlineStr">
        <is>
          <t>3.69</t>
        </is>
      </c>
      <c r="J173" t="inlineStr">
        <is>
          <t>world_bank</t>
        </is>
      </c>
      <c r="K173" t="inlineStr">
        <is>
          <t>https://api.worldbank.org/v2/country/MYS/indicator/BX.KLT.DINV.WD.GD.ZS?format=json&amp;mrv=10</t>
        </is>
      </c>
      <c r="L173" t="inlineStr">
        <is>
          <t>World Bank WDI: Foreign direct investment, net inflows (% of GDP)</t>
        </is>
      </c>
      <c r="M173" t="inlineStr">
        <is>
          <t>2024-12-31</t>
        </is>
      </c>
      <c r="N173" t="inlineStr">
        <is>
          <t>auto_ingest=world_bank_creative_extended; indicator=BX.KLT.DINV.WD.GD.ZS; year=2024; country_proxy=Malaysia</t>
        </is>
      </c>
    </row>
    <row r="174">
      <c r="A174" t="inlineStr">
        <is>
          <t>my-george-town</t>
        </is>
      </c>
      <c r="B174" t="inlineStr">
        <is>
          <t>George Town</t>
        </is>
      </c>
      <c r="C174" t="inlineStr">
        <is>
          <t>Malaysia</t>
        </is>
      </c>
      <c r="D174" t="inlineStr">
        <is>
          <t>Southeast Asia</t>
        </is>
      </c>
      <c r="E174" t="inlineStr">
        <is>
          <t>administrative_investment_friction_raw</t>
        </is>
      </c>
      <c r="F174" t="inlineStr">
        <is>
          <t>Administrative investment friction raw</t>
        </is>
      </c>
      <c r="G174" t="inlineStr">
        <is>
          <t>creative</t>
        </is>
      </c>
      <c r="H174" t="inlineStr">
        <is>
          <t>yes</t>
        </is>
      </c>
      <c r="I174" t="inlineStr">
        <is>
          <t>1.84</t>
        </is>
      </c>
      <c r="J174" t="inlineStr">
        <is>
          <t>world_bank</t>
        </is>
      </c>
      <c r="K174" t="inlineStr">
        <is>
          <t>https://api.worldbank.org/v2/country/MYS/indicator/RQ.EST?format=json&amp;mrv=10</t>
        </is>
      </c>
      <c r="L174" t="inlineStr">
        <is>
          <t>World Bank WGI: Regulatory Quality (inverted as friction proxy)</t>
        </is>
      </c>
      <c r="M174" t="inlineStr">
        <is>
          <t>2023-12-31</t>
        </is>
      </c>
      <c r="N174" t="inlineStr">
        <is>
          <t>auto_ingest=world_bank_business_friction; indicator=RQ.EST; raw_rq=0.660894274711609; friction=1.84; year=2023; country_proxy=Malaysia</t>
        </is>
      </c>
    </row>
    <row r="175">
      <c r="A175" t="inlineStr">
        <is>
          <t>my-george-town</t>
        </is>
      </c>
      <c r="B175" t="inlineStr">
        <is>
          <t>George Town</t>
        </is>
      </c>
      <c r="C175" t="inlineStr">
        <is>
          <t>Malaysia</t>
        </is>
      </c>
      <c r="D175" t="inlineStr">
        <is>
          <t>Southeast Asia</t>
        </is>
      </c>
      <c r="E175" t="inlineStr">
        <is>
          <t>visitor_flow_context_raw</t>
        </is>
      </c>
      <c r="F175" t="inlineStr">
        <is>
          <t>Visitor flow context raw</t>
        </is>
      </c>
      <c r="G175" t="inlineStr">
        <is>
          <t>creative</t>
        </is>
      </c>
      <c r="H175" t="inlineStr">
        <is>
          <t>no</t>
        </is>
      </c>
      <c r="I175" t="inlineStr"/>
      <c r="J175" t="inlineStr"/>
      <c r="K175" t="inlineStr"/>
      <c r="L175" t="inlineStr"/>
      <c r="M175" t="inlineStr"/>
      <c r="N175" t="inlineStr"/>
    </row>
    <row r="176">
      <c r="A176" t="inlineStr">
        <is>
          <t>th-phuket</t>
        </is>
      </c>
      <c r="B176" t="inlineStr">
        <is>
          <t>Phuket</t>
        </is>
      </c>
      <c r="C176" t="inlineStr">
        <is>
          <t>Thailand</t>
        </is>
      </c>
      <c r="D176" t="inlineStr">
        <is>
          <t>Southeast Asia</t>
        </is>
      </c>
      <c r="E176" t="inlineStr">
        <is>
          <t>gross_income</t>
        </is>
      </c>
      <c r="F176" t="inlineStr">
        <is>
          <t>Gross income</t>
        </is>
      </c>
      <c r="G176" t="inlineStr">
        <is>
          <t>pressure</t>
        </is>
      </c>
      <c r="H176" t="inlineStr">
        <is>
          <t>yes</t>
        </is>
      </c>
      <c r="I176" t="inlineStr">
        <is>
          <t>1996.67</t>
        </is>
      </c>
      <c r="J176" t="inlineStr">
        <is>
          <t>world_bank_col_estimate</t>
        </is>
      </c>
      <c r="K176" t="inlineStr">
        <is>
          <t>https://api.worldbank.org/v2/country/THA/indicator/NY.GNP.PCAP.PP.CD?format=json&amp;mrv=10</t>
        </is>
      </c>
      <c r="L176" t="inlineStr">
        <is>
          <t>World Bank WDI: GNI per capita PPP (monthly USD)</t>
        </is>
      </c>
      <c r="M176" t="inlineStr">
        <is>
          <t>2024-12-31</t>
        </is>
      </c>
      <c r="N176" t="inlineStr">
        <is>
          <t>auto_ingest=world_bank_col_estimate; gni_annual=23960.0; year=2024; country_proxy=Thailand; cohort=Southeast Asia</t>
        </is>
      </c>
    </row>
    <row r="177">
      <c r="A177" t="inlineStr">
        <is>
          <t>th-phuket</t>
        </is>
      </c>
      <c r="B177" t="inlineStr">
        <is>
          <t>Phuket</t>
        </is>
      </c>
      <c r="C177" t="inlineStr">
        <is>
          <t>Thailand</t>
        </is>
      </c>
      <c r="D177" t="inlineStr">
        <is>
          <t>Southeast Asia</t>
        </is>
      </c>
      <c r="E177" t="inlineStr">
        <is>
          <t>di_ppp_raw</t>
        </is>
      </c>
      <c r="F177" t="inlineStr">
        <is>
          <t>Disposable income PPP (Raw)</t>
        </is>
      </c>
      <c r="G177" t="inlineStr">
        <is>
          <t>pressure</t>
        </is>
      </c>
      <c r="H177" t="inlineStr">
        <is>
          <t>yes</t>
        </is>
      </c>
      <c r="I177" t="inlineStr"/>
      <c r="J177" t="inlineStr"/>
      <c r="K177" t="inlineStr"/>
      <c r="L177" t="inlineStr"/>
      <c r="M177" t="inlineStr"/>
      <c r="N177" t="inlineStr"/>
    </row>
    <row r="178">
      <c r="A178" t="inlineStr">
        <is>
          <t>th-phuket</t>
        </is>
      </c>
      <c r="B178" t="inlineStr">
        <is>
          <t>Phuket</t>
        </is>
      </c>
      <c r="C178" t="inlineStr">
        <is>
          <t>Thailand</t>
        </is>
      </c>
      <c r="D178" t="inlineStr">
        <is>
          <t>Southeast Asia</t>
        </is>
      </c>
      <c r="E178" t="inlineStr">
        <is>
          <t>rent</t>
        </is>
      </c>
      <c r="F178" t="inlineStr">
        <is>
          <t>Rent</t>
        </is>
      </c>
      <c r="G178" t="inlineStr">
        <is>
          <t>pressure</t>
        </is>
      </c>
      <c r="H178" t="inlineStr">
        <is>
          <t>yes</t>
        </is>
      </c>
      <c r="I178" t="inlineStr">
        <is>
          <t>359.4</t>
        </is>
      </c>
      <c r="J178" t="inlineStr">
        <is>
          <t>world_bank_col_estimate</t>
        </is>
      </c>
      <c r="K178" t="inlineStr">
        <is>
          <t>https://api.worldbank.org/v2/country/THA/indicator/NY.GNP.PCAP.PP.CD?format=json&amp;mrv=10</t>
        </is>
      </c>
      <c r="L178" t="inlineStr">
        <is>
          <t>World Bank GNI + regional expenditure ratio estimate</t>
        </is>
      </c>
      <c r="M178" t="inlineStr">
        <is>
          <t>2024-12-31</t>
        </is>
      </c>
      <c r="N178" t="inlineStr">
        <is>
          <t>auto_ingest=world_bank_col_estimate; gni_annual=23960.0; year=2024; country_proxy=Thailand; cohort=Southeast Asia; city_cost_mult=0.9</t>
        </is>
      </c>
    </row>
    <row r="179">
      <c r="A179" t="inlineStr">
        <is>
          <t>th-phuket</t>
        </is>
      </c>
      <c r="B179" t="inlineStr">
        <is>
          <t>Phuket</t>
        </is>
      </c>
      <c r="C179" t="inlineStr">
        <is>
          <t>Thailand</t>
        </is>
      </c>
      <c r="D179" t="inlineStr">
        <is>
          <t>Southeast Asia</t>
        </is>
      </c>
      <c r="E179" t="inlineStr">
        <is>
          <t>utilities</t>
        </is>
      </c>
      <c r="F179" t="inlineStr">
        <is>
          <t>Utilities</t>
        </is>
      </c>
      <c r="G179" t="inlineStr">
        <is>
          <t>pressure</t>
        </is>
      </c>
      <c r="H179" t="inlineStr">
        <is>
          <t>yes</t>
        </is>
      </c>
      <c r="I179" t="inlineStr">
        <is>
          <t>89.85</t>
        </is>
      </c>
      <c r="J179" t="inlineStr">
        <is>
          <t>world_bank_col_estimate</t>
        </is>
      </c>
      <c r="K179" t="inlineStr">
        <is>
          <t>https://api.worldbank.org/v2/country/THA/indicator/NY.GNP.PCAP.PP.CD?format=json&amp;mrv=10</t>
        </is>
      </c>
      <c r="L179" t="inlineStr">
        <is>
          <t>World Bank GNI + regional expenditure ratio estimate</t>
        </is>
      </c>
      <c r="M179" t="inlineStr">
        <is>
          <t>2024-12-31</t>
        </is>
      </c>
      <c r="N179" t="inlineStr">
        <is>
          <t>auto_ingest=world_bank_col_estimate; gni_annual=23960.0; year=2024; country_proxy=Thailand; cohort=Southeast Asia; city_cost_mult=0.9</t>
        </is>
      </c>
    </row>
    <row r="180">
      <c r="A180" t="inlineStr">
        <is>
          <t>th-phuket</t>
        </is>
      </c>
      <c r="B180" t="inlineStr">
        <is>
          <t>Phuket</t>
        </is>
      </c>
      <c r="C180" t="inlineStr">
        <is>
          <t>Thailand</t>
        </is>
      </c>
      <c r="D180" t="inlineStr">
        <is>
          <t>Southeast Asia</t>
        </is>
      </c>
      <c r="E180" t="inlineStr">
        <is>
          <t>transit_cost</t>
        </is>
      </c>
      <c r="F180" t="inlineStr">
        <is>
          <t>Transit cost</t>
        </is>
      </c>
      <c r="G180" t="inlineStr">
        <is>
          <t>pressure</t>
        </is>
      </c>
      <c r="H180" t="inlineStr">
        <is>
          <t>yes</t>
        </is>
      </c>
      <c r="I180" t="inlineStr">
        <is>
          <t>71.88</t>
        </is>
      </c>
      <c r="J180" t="inlineStr">
        <is>
          <t>world_bank_col_estimate</t>
        </is>
      </c>
      <c r="K180" t="inlineStr">
        <is>
          <t>https://api.worldbank.org/v2/country/THA/indicator/NY.GNP.PCAP.PP.CD?format=json&amp;mrv=10</t>
        </is>
      </c>
      <c r="L180" t="inlineStr">
        <is>
          <t>World Bank GNI + regional expenditure ratio estimate</t>
        </is>
      </c>
      <c r="M180" t="inlineStr">
        <is>
          <t>2024-12-31</t>
        </is>
      </c>
      <c r="N180" t="inlineStr">
        <is>
          <t>auto_ingest=world_bank_col_estimate; gni_annual=23960.0; year=2024; country_proxy=Thailand; cohort=Southeast Asia; city_cost_mult=0.9</t>
        </is>
      </c>
    </row>
    <row r="181">
      <c r="A181" t="inlineStr">
        <is>
          <t>th-phuket</t>
        </is>
      </c>
      <c r="B181" t="inlineStr">
        <is>
          <t>Phuket</t>
        </is>
      </c>
      <c r="C181" t="inlineStr">
        <is>
          <t>Thailand</t>
        </is>
      </c>
      <c r="D181" t="inlineStr">
        <is>
          <t>Southeast Asia</t>
        </is>
      </c>
      <c r="E181" t="inlineStr">
        <is>
          <t>internet_cost</t>
        </is>
      </c>
      <c r="F181" t="inlineStr">
        <is>
          <t>Internet cost</t>
        </is>
      </c>
      <c r="G181" t="inlineStr">
        <is>
          <t>pressure</t>
        </is>
      </c>
      <c r="H181" t="inlineStr">
        <is>
          <t>yes</t>
        </is>
      </c>
      <c r="I181" t="inlineStr">
        <is>
          <t>26.96</t>
        </is>
      </c>
      <c r="J181" t="inlineStr">
        <is>
          <t>world_bank_col_estimate</t>
        </is>
      </c>
      <c r="K181" t="inlineStr">
        <is>
          <t>https://api.worldbank.org/v2/country/THA/indicator/NY.GNP.PCAP.PP.CD?format=json&amp;mrv=10</t>
        </is>
      </c>
      <c r="L181" t="inlineStr">
        <is>
          <t>World Bank GNI + regional expenditure ratio estimate</t>
        </is>
      </c>
      <c r="M181" t="inlineStr">
        <is>
          <t>2024-12-31</t>
        </is>
      </c>
      <c r="N181" t="inlineStr">
        <is>
          <t>auto_ingest=world_bank_col_estimate; gni_annual=23960.0; year=2024; country_proxy=Thailand; cohort=Southeast Asia; city_cost_mult=0.9</t>
        </is>
      </c>
    </row>
    <row r="182">
      <c r="A182" t="inlineStr">
        <is>
          <t>th-phuket</t>
        </is>
      </c>
      <c r="B182" t="inlineStr">
        <is>
          <t>Phuket</t>
        </is>
      </c>
      <c r="C182" t="inlineStr">
        <is>
          <t>Thailand</t>
        </is>
      </c>
      <c r="D182" t="inlineStr">
        <is>
          <t>Southeast Asia</t>
        </is>
      </c>
      <c r="E182" t="inlineStr">
        <is>
          <t>food_cost</t>
        </is>
      </c>
      <c r="F182" t="inlineStr">
        <is>
          <t>Food cost</t>
        </is>
      </c>
      <c r="G182" t="inlineStr">
        <is>
          <t>pressure</t>
        </is>
      </c>
      <c r="H182" t="inlineStr">
        <is>
          <t>yes</t>
        </is>
      </c>
      <c r="I182" t="inlineStr">
        <is>
          <t>395.34</t>
        </is>
      </c>
      <c r="J182" t="inlineStr">
        <is>
          <t>world_bank_col_estimate</t>
        </is>
      </c>
      <c r="K182" t="inlineStr">
        <is>
          <t>https://api.worldbank.org/v2/country/THA/indicator/NY.GNP.PCAP.PP.CD?format=json&amp;mrv=10</t>
        </is>
      </c>
      <c r="L182" t="inlineStr">
        <is>
          <t>World Bank GNI + regional expenditure ratio estimate</t>
        </is>
      </c>
      <c r="M182" t="inlineStr">
        <is>
          <t>2024-12-31</t>
        </is>
      </c>
      <c r="N182" t="inlineStr">
        <is>
          <t>auto_ingest=world_bank_col_estimate; gni_annual=23960.0; year=2024; country_proxy=Thailand; cohort=Southeast Asia; city_cost_mult=0.9</t>
        </is>
      </c>
    </row>
    <row r="183">
      <c r="A183" t="inlineStr">
        <is>
          <t>th-phuket</t>
        </is>
      </c>
      <c r="B183" t="inlineStr">
        <is>
          <t>Phuket</t>
        </is>
      </c>
      <c r="C183" t="inlineStr">
        <is>
          <t>Thailand</t>
        </is>
      </c>
      <c r="D183" t="inlineStr">
        <is>
          <t>Southeast Asia</t>
        </is>
      </c>
      <c r="E183" t="inlineStr">
        <is>
          <t>housing_burden_raw</t>
        </is>
      </c>
      <c r="F183" t="inlineStr">
        <is>
          <t>Housing burden raw</t>
        </is>
      </c>
      <c r="G183" t="inlineStr">
        <is>
          <t>pressure</t>
        </is>
      </c>
      <c r="H183" t="inlineStr">
        <is>
          <t>yes</t>
        </is>
      </c>
      <c r="I183" t="inlineStr">
        <is>
          <t>18.0</t>
        </is>
      </c>
      <c r="J183" t="inlineStr">
        <is>
          <t>derived</t>
        </is>
      </c>
      <c r="K183" t="inlineStr">
        <is>
          <t>https://data.worldbank.org/indicator/NY.GNP.PCAP.PP.CD</t>
        </is>
      </c>
      <c r="L183" t="inlineStr">
        <is>
          <t>Computed from city_inputs + country_context</t>
        </is>
      </c>
      <c r="M183" t="inlineStr">
        <is>
          <t>2024-01-01</t>
        </is>
      </c>
      <c r="N183" t="inlineStr">
        <is>
          <t>derived=rent/gross_income*100</t>
        </is>
      </c>
    </row>
    <row r="184">
      <c r="A184" t="inlineStr">
        <is>
          <t>th-phuket</t>
        </is>
      </c>
      <c r="B184" t="inlineStr">
        <is>
          <t>Phuket</t>
        </is>
      </c>
      <c r="C184" t="inlineStr">
        <is>
          <t>Thailand</t>
        </is>
      </c>
      <c r="D184" t="inlineStr">
        <is>
          <t>Southeast Asia</t>
        </is>
      </c>
      <c r="E184" t="inlineStr">
        <is>
          <t>household_debt_burden_raw</t>
        </is>
      </c>
      <c r="F184" t="inlineStr">
        <is>
          <t>Household debt burden raw</t>
        </is>
      </c>
      <c r="G184" t="inlineStr">
        <is>
          <t>pressure</t>
        </is>
      </c>
      <c r="H184" t="inlineStr">
        <is>
          <t>yes</t>
        </is>
      </c>
      <c r="I184" t="inlineStr">
        <is>
          <t>115.1054</t>
        </is>
      </c>
      <c r="J184" t="inlineStr">
        <is>
          <t>derived</t>
        </is>
      </c>
      <c r="K184" t="inlineStr">
        <is>
          <t>https://data.worldbank.org/indicator/NY.GNP.PCAP.PP.CD</t>
        </is>
      </c>
      <c r="L184" t="inlineStr">
        <is>
          <t>Computed from city_inputs + country_context</t>
        </is>
      </c>
      <c r="M184" t="inlineStr">
        <is>
          <t>2024-01-01</t>
        </is>
      </c>
      <c r="N184" t="inlineStr">
        <is>
          <t>derived=country_context.household_debt_proxy; country=Thailand</t>
        </is>
      </c>
    </row>
    <row r="185">
      <c r="A185" t="inlineStr">
        <is>
          <t>th-phuket</t>
        </is>
      </c>
      <c r="B185" t="inlineStr">
        <is>
          <t>Phuket</t>
        </is>
      </c>
      <c r="C185" t="inlineStr">
        <is>
          <t>Thailand</t>
        </is>
      </c>
      <c r="D185" t="inlineStr">
        <is>
          <t>Southeast Asia</t>
        </is>
      </c>
      <c r="E185" t="inlineStr">
        <is>
          <t>working_time_pressure_raw</t>
        </is>
      </c>
      <c r="F185" t="inlineStr">
        <is>
          <t>Working time pressure raw</t>
        </is>
      </c>
      <c r="G185" t="inlineStr">
        <is>
          <t>pressure</t>
        </is>
      </c>
      <c r="H185" t="inlineStr">
        <is>
          <t>yes</t>
        </is>
      </c>
      <c r="I185" t="inlineStr">
        <is>
          <t>42.53</t>
        </is>
      </c>
      <c r="J185" t="inlineStr">
        <is>
          <t>ilo_ilostat</t>
        </is>
      </c>
      <c r="K185" t="inlineStr">
        <is>
          <t>https://ilostat.ilo.org/data/indicator/?id=HOW_TEMP_SEX_ECO_NB_A&amp;ref_area=THA</t>
        </is>
      </c>
      <c r="L185" t="inlineStr">
        <is>
          <t>ILO ILOSTAT: Mean weekly hours actually worked per employed person</t>
        </is>
      </c>
      <c r="M185" t="inlineStr">
        <is>
          <t>2024-12-31</t>
        </is>
      </c>
      <c r="N185" t="inlineStr">
        <is>
          <t>auto_ingest=ilo_working_hours; indicator=HOW_TEMP_SEX_ECO_NB_A; year=2024; hours=42.53; country_proxy=Thailand</t>
        </is>
      </c>
    </row>
    <row r="186">
      <c r="A186" t="inlineStr">
        <is>
          <t>th-phuket</t>
        </is>
      </c>
      <c r="B186" t="inlineStr">
        <is>
          <t>Phuket</t>
        </is>
      </c>
      <c r="C186" t="inlineStr">
        <is>
          <t>Thailand</t>
        </is>
      </c>
      <c r="D186" t="inlineStr">
        <is>
          <t>Southeast Asia</t>
        </is>
      </c>
      <c r="E186" t="inlineStr">
        <is>
          <t>suicide_mental_strain_raw</t>
        </is>
      </c>
      <c r="F186" t="inlineStr">
        <is>
          <t>Suicide or mental strain raw</t>
        </is>
      </c>
      <c r="G186" t="inlineStr">
        <is>
          <t>pressure</t>
        </is>
      </c>
      <c r="H186" t="inlineStr">
        <is>
          <t>yes</t>
        </is>
      </c>
      <c r="I186" t="inlineStr">
        <is>
          <t>16.59</t>
        </is>
      </c>
      <c r="J186" t="inlineStr">
        <is>
          <t>who_gho</t>
        </is>
      </c>
      <c r="K186" t="inlineStr">
        <is>
          <t>https://www.who.int/data/gho/data/indicators/indicator-details/GHO/SDGSUICIDE</t>
        </is>
      </c>
      <c r="L186" t="inlineStr">
        <is>
          <t>WHO GHO: Age-standardized suicide rate (per 100,000 population)</t>
        </is>
      </c>
      <c r="M186" t="inlineStr">
        <is>
          <t>2021-12-31</t>
        </is>
      </c>
      <c r="N186" t="inlineStr">
        <is>
          <t>auto_ingest=who_gho; indicator=SDGSUICIDE; year=2021; country_proxy=Thailand</t>
        </is>
      </c>
    </row>
    <row r="187">
      <c r="A187" t="inlineStr">
        <is>
          <t>th-phuket</t>
        </is>
      </c>
      <c r="B187" t="inlineStr">
        <is>
          <t>Phuket</t>
        </is>
      </c>
      <c r="C187" t="inlineStr">
        <is>
          <t>Thailand</t>
        </is>
      </c>
      <c r="D187" t="inlineStr">
        <is>
          <t>Southeast Asia</t>
        </is>
      </c>
      <c r="E187" t="inlineStr">
        <is>
          <t>personal_safety_raw</t>
        </is>
      </c>
      <c r="F187" t="inlineStr">
        <is>
          <t>Personal safety raw</t>
        </is>
      </c>
      <c r="G187" t="inlineStr">
        <is>
          <t>viability</t>
        </is>
      </c>
      <c r="H187" t="inlineStr">
        <is>
          <t>yes</t>
        </is>
      </c>
      <c r="I187" t="inlineStr"/>
      <c r="J187" t="inlineStr"/>
      <c r="K187" t="inlineStr"/>
      <c r="L187" t="inlineStr"/>
      <c r="M187" t="inlineStr"/>
      <c r="N187" t="inlineStr"/>
    </row>
    <row r="188">
      <c r="A188" t="inlineStr">
        <is>
          <t>th-phuket</t>
        </is>
      </c>
      <c r="B188" t="inlineStr">
        <is>
          <t>Phuket</t>
        </is>
      </c>
      <c r="C188" t="inlineStr">
        <is>
          <t>Thailand</t>
        </is>
      </c>
      <c r="D188" t="inlineStr">
        <is>
          <t>Southeast Asia</t>
        </is>
      </c>
      <c r="E188" t="inlineStr">
        <is>
          <t>transit_access_commute_raw</t>
        </is>
      </c>
      <c r="F188" t="inlineStr">
        <is>
          <t>Transit access and commute raw</t>
        </is>
      </c>
      <c r="G188" t="inlineStr">
        <is>
          <t>viability</t>
        </is>
      </c>
      <c r="H188" t="inlineStr">
        <is>
          <t>yes</t>
        </is>
      </c>
      <c r="I188" t="inlineStr"/>
      <c r="J188" t="inlineStr"/>
      <c r="K188" t="inlineStr"/>
      <c r="L188" t="inlineStr"/>
      <c r="M188" t="inlineStr"/>
      <c r="N188" t="inlineStr"/>
    </row>
    <row r="189">
      <c r="A189" t="inlineStr">
        <is>
          <t>th-phuket</t>
        </is>
      </c>
      <c r="B189" t="inlineStr">
        <is>
          <t>Phuket</t>
        </is>
      </c>
      <c r="C189" t="inlineStr">
        <is>
          <t>Thailand</t>
        </is>
      </c>
      <c r="D189" t="inlineStr">
        <is>
          <t>Southeast Asia</t>
        </is>
      </c>
      <c r="E189" t="inlineStr">
        <is>
          <t>clean_air_raw</t>
        </is>
      </c>
      <c r="F189" t="inlineStr">
        <is>
          <t>Clean air raw</t>
        </is>
      </c>
      <c r="G189" t="inlineStr">
        <is>
          <t>viability</t>
        </is>
      </c>
      <c r="H189" t="inlineStr">
        <is>
          <t>yes</t>
        </is>
      </c>
      <c r="I189" t="inlineStr">
        <is>
          <t>18.0</t>
        </is>
      </c>
      <c r="J189" t="inlineStr">
        <is>
          <t>thai_gov_pcd_rsc</t>
        </is>
      </c>
      <c r="K189" t="inlineStr">
        <is>
          <t>https://www.pcd.go.th/</t>
        </is>
      </c>
      <c r="L189" t="inlineStr">
        <is>
          <t>Thailand PCD Annual Air Quality Report — Phuket PM2.5 annual mean</t>
        </is>
      </c>
      <c r="M189" t="inlineStr">
        <is>
          <t>2024-12-31</t>
        </is>
      </c>
      <c r="N189" t="inlineStr">
        <is>
          <t>auto_ingest=thai_city_indicators; metric=pm25_annual_mean; value=18.0 ug/m3; source=PCD+IQAir</t>
        </is>
      </c>
    </row>
    <row r="190">
      <c r="A190" t="inlineStr">
        <is>
          <t>th-phuket</t>
        </is>
      </c>
      <c r="B190" t="inlineStr">
        <is>
          <t>Phuket</t>
        </is>
      </c>
      <c r="C190" t="inlineStr">
        <is>
          <t>Thailand</t>
        </is>
      </c>
      <c r="D190" t="inlineStr">
        <is>
          <t>Southeast Asia</t>
        </is>
      </c>
      <c r="E190" t="inlineStr">
        <is>
          <t>water_sanitation_utility_raw</t>
        </is>
      </c>
      <c r="F190" t="inlineStr">
        <is>
          <t>Water, sanitation, and utility raw</t>
        </is>
      </c>
      <c r="G190" t="inlineStr">
        <is>
          <t>viability</t>
        </is>
      </c>
      <c r="H190" t="inlineStr">
        <is>
          <t>yes</t>
        </is>
      </c>
      <c r="I190" t="inlineStr">
        <is>
          <t>90.0</t>
        </is>
      </c>
      <c r="J190" t="inlineStr">
        <is>
          <t>thai_gov_pcd_rsc</t>
        </is>
      </c>
      <c r="K190" t="inlineStr">
        <is>
          <t>https://www.pwa.co.th/</t>
        </is>
      </c>
      <c r="L190" t="inlineStr">
        <is>
          <t>Provincial Waterworks Authority — Phuket urban water coverage</t>
        </is>
      </c>
      <c r="M190" t="inlineStr">
        <is>
          <t>2024-12-31</t>
        </is>
      </c>
      <c r="N190" t="inlineStr">
        <is>
          <t>auto_ingest=thai_city_indicators; metric=urban_water_coverage_pct; value=90%; source=PWA</t>
        </is>
      </c>
    </row>
    <row r="191">
      <c r="A191" t="inlineStr">
        <is>
          <t>th-phuket</t>
        </is>
      </c>
      <c r="B191" t="inlineStr">
        <is>
          <t>Phuket</t>
        </is>
      </c>
      <c r="C191" t="inlineStr">
        <is>
          <t>Thailand</t>
        </is>
      </c>
      <c r="D191" t="inlineStr">
        <is>
          <t>Southeast Asia</t>
        </is>
      </c>
      <c r="E191" t="inlineStr">
        <is>
          <t>digital_infrastructure_raw</t>
        </is>
      </c>
      <c r="F191" t="inlineStr">
        <is>
          <t>Digital infrastructure raw</t>
        </is>
      </c>
      <c r="G191" t="inlineStr">
        <is>
          <t>viability</t>
        </is>
      </c>
      <c r="H191" t="inlineStr">
        <is>
          <t>yes</t>
        </is>
      </c>
      <c r="I191" t="inlineStr">
        <is>
          <t>15.75</t>
        </is>
      </c>
      <c r="J191" t="inlineStr">
        <is>
          <t>world_bank</t>
        </is>
      </c>
      <c r="K191" t="inlineStr">
        <is>
          <t>https://api.worldbank.org/v2/country/THA/indicator/IT.NET.BBND.P2?format=json&amp;mrv=10</t>
        </is>
      </c>
      <c r="L191" t="inlineStr">
        <is>
          <t>World Bank WDI: Fixed broadband subscriptions (per 100 people)</t>
        </is>
      </c>
      <c r="M191" t="inlineStr">
        <is>
          <t>2023-12-31</t>
        </is>
      </c>
      <c r="N191" t="inlineStr">
        <is>
          <t>auto_ingest=world_bank_proxy; indicator=IT.NET.BBND.P2; year=2023; country_proxy=Thailand</t>
        </is>
      </c>
    </row>
    <row r="192">
      <c r="A192" t="inlineStr">
        <is>
          <t>th-phuket</t>
        </is>
      </c>
      <c r="B192" t="inlineStr">
        <is>
          <t>Phuket</t>
        </is>
      </c>
      <c r="C192" t="inlineStr">
        <is>
          <t>Thailand</t>
        </is>
      </c>
      <c r="D192" t="inlineStr">
        <is>
          <t>Southeast Asia</t>
        </is>
      </c>
      <c r="E192" t="inlineStr">
        <is>
          <t>climate_sunlight_livability_raw</t>
        </is>
      </c>
      <c r="F192" t="inlineStr">
        <is>
          <t>Climate and sunlight livability raw</t>
        </is>
      </c>
      <c r="G192" t="inlineStr">
        <is>
          <t>viability</t>
        </is>
      </c>
      <c r="H192" t="inlineStr">
        <is>
          <t>yes</t>
        </is>
      </c>
      <c r="I192" t="inlineStr">
        <is>
          <t>60</t>
        </is>
      </c>
      <c r="J192" t="inlineStr">
        <is>
          <t>wmo_natl_met</t>
        </is>
      </c>
      <c r="K192" t="inlineStr">
        <is>
          <t>https://worldweather.wmo.int</t>
        </is>
      </c>
      <c r="L192" t="inlineStr">
        <is>
          <t>WMO/National Met: Climate livability composite</t>
        </is>
      </c>
      <c r="M192" t="inlineStr">
        <is>
          <t>2024-12-31</t>
        </is>
      </c>
      <c r="N192" t="inlineStr">
        <is>
          <t>auto_seed=climate_composite; 2200 sun hrs, 28C mean, ocean breeze but monsoon</t>
        </is>
      </c>
    </row>
    <row r="193">
      <c r="A193" t="inlineStr">
        <is>
          <t>th-phuket</t>
        </is>
      </c>
      <c r="B193" t="inlineStr">
        <is>
          <t>Phuket</t>
        </is>
      </c>
      <c r="C193" t="inlineStr">
        <is>
          <t>Thailand</t>
        </is>
      </c>
      <c r="D193" t="inlineStr">
        <is>
          <t>Southeast Asia</t>
        </is>
      </c>
      <c r="E193" t="inlineStr">
        <is>
          <t>healthcare_quality_raw</t>
        </is>
      </c>
      <c r="F193" t="inlineStr">
        <is>
          <t>Healthcare quality raw</t>
        </is>
      </c>
      <c r="G193" t="inlineStr">
        <is>
          <t>capability</t>
        </is>
      </c>
      <c r="H193" t="inlineStr">
        <is>
          <t>yes</t>
        </is>
      </c>
      <c r="I193" t="inlineStr">
        <is>
          <t>82.0</t>
        </is>
      </c>
      <c r="J193" t="inlineStr">
        <is>
          <t>who_gho</t>
        </is>
      </c>
      <c r="K193" t="inlineStr">
        <is>
          <t>https://www.who.int/data/gho/data/indicators/indicator-details/GHO/UHC_INDEX_REPORTED</t>
        </is>
      </c>
      <c r="L193" t="inlineStr">
        <is>
          <t>WHO GHO: UHC Service Coverage Index</t>
        </is>
      </c>
      <c r="M193" t="inlineStr">
        <is>
          <t>2023-12-31</t>
        </is>
      </c>
      <c r="N193" t="inlineStr">
        <is>
          <t>auto_ingest=who_gho; indicator=UHC_INDEX_REPORTED; year=2023; country_proxy=Thailand</t>
        </is>
      </c>
    </row>
    <row r="194">
      <c r="A194" t="inlineStr">
        <is>
          <t>th-phuket</t>
        </is>
      </c>
      <c r="B194" t="inlineStr">
        <is>
          <t>Phuket</t>
        </is>
      </c>
      <c r="C194" t="inlineStr">
        <is>
          <t>Thailand</t>
        </is>
      </c>
      <c r="D194" t="inlineStr">
        <is>
          <t>Southeast Asia</t>
        </is>
      </c>
      <c r="E194" t="inlineStr">
        <is>
          <t>education_quality_raw</t>
        </is>
      </c>
      <c r="F194" t="inlineStr">
        <is>
          <t>Education quality raw</t>
        </is>
      </c>
      <c r="G194" t="inlineStr">
        <is>
          <t>capability</t>
        </is>
      </c>
      <c r="H194" t="inlineStr">
        <is>
          <t>yes</t>
        </is>
      </c>
      <c r="I194" t="inlineStr">
        <is>
          <t>49.08</t>
        </is>
      </c>
      <c r="J194" t="inlineStr">
        <is>
          <t>world_bank</t>
        </is>
      </c>
      <c r="K194" t="inlineStr">
        <is>
          <t>https://api.worldbank.org/v2/country/THA/indicator/SE.TER.ENRR?format=json&amp;mrv=10</t>
        </is>
      </c>
      <c r="L194" t="inlineStr">
        <is>
          <t>World Bank WDI: School enrollment, tertiary (% gross)</t>
        </is>
      </c>
      <c r="M194" t="inlineStr">
        <is>
          <t>2025-12-31</t>
        </is>
      </c>
      <c r="N194" t="inlineStr">
        <is>
          <t>auto_ingest=world_bank_proxy; indicator=SE.TER.ENRR; year=2025; country_proxy=Thailand</t>
        </is>
      </c>
    </row>
    <row r="195">
      <c r="A195" t="inlineStr">
        <is>
          <t>th-phuket</t>
        </is>
      </c>
      <c r="B195" t="inlineStr">
        <is>
          <t>Phuket</t>
        </is>
      </c>
      <c r="C195" t="inlineStr">
        <is>
          <t>Thailand</t>
        </is>
      </c>
      <c r="D195" t="inlineStr">
        <is>
          <t>Southeast Asia</t>
        </is>
      </c>
      <c r="E195" t="inlineStr">
        <is>
          <t>equal_opportunity_raw</t>
        </is>
      </c>
      <c r="F195" t="inlineStr">
        <is>
          <t>Equal opportunity raw</t>
        </is>
      </c>
      <c r="G195" t="inlineStr">
        <is>
          <t>capability</t>
        </is>
      </c>
      <c r="H195" t="inlineStr">
        <is>
          <t>yes</t>
        </is>
      </c>
      <c r="I195" t="inlineStr">
        <is>
          <t>33.5</t>
        </is>
      </c>
      <c r="J195" t="inlineStr">
        <is>
          <t>world_bank</t>
        </is>
      </c>
      <c r="K195" t="inlineStr">
        <is>
          <t>https://api.worldbank.org/v2/country/THA/indicator/SI.POV.GINI?format=json&amp;mrv=10</t>
        </is>
      </c>
      <c r="L195" t="inlineStr">
        <is>
          <t>World Bank WDI: Gini index</t>
        </is>
      </c>
      <c r="M195" t="inlineStr">
        <is>
          <t>2023-12-31</t>
        </is>
      </c>
      <c r="N195" t="inlineStr">
        <is>
          <t>auto_ingest=world_bank_capability; indicator=SI.POV.GINI; year=2023; country_proxy=Thailand</t>
        </is>
      </c>
    </row>
    <row r="196">
      <c r="A196" t="inlineStr">
        <is>
          <t>th-phuket</t>
        </is>
      </c>
      <c r="B196" t="inlineStr">
        <is>
          <t>Phuket</t>
        </is>
      </c>
      <c r="C196" t="inlineStr">
        <is>
          <t>Thailand</t>
        </is>
      </c>
      <c r="D196" t="inlineStr">
        <is>
          <t>Southeast Asia</t>
        </is>
      </c>
      <c r="E196" t="inlineStr">
        <is>
          <t>hospitality_belonging_raw</t>
        </is>
      </c>
      <c r="F196" t="inlineStr">
        <is>
          <t>Hospitality and belonging raw</t>
        </is>
      </c>
      <c r="G196" t="inlineStr">
        <is>
          <t>community</t>
        </is>
      </c>
      <c r="H196" t="inlineStr">
        <is>
          <t>yes</t>
        </is>
      </c>
      <c r="I196" t="inlineStr">
        <is>
          <t>50.38</t>
        </is>
      </c>
      <c r="J196" t="inlineStr">
        <is>
          <t>world_bank</t>
        </is>
      </c>
      <c r="K196" t="inlineStr">
        <is>
          <t>https://api.worldbank.org/v2/country/THA/indicator/SM.POP.NETM?format=json&amp;mrv=10</t>
        </is>
      </c>
      <c r="L196" t="inlineStr">
        <is>
          <t>World Bank WDI: Net migration (proxy for hospitality/belonging — positive = welcoming)</t>
        </is>
      </c>
      <c r="M196" t="inlineStr">
        <is>
          <t>2025-12-31</t>
        </is>
      </c>
      <c r="N196" t="inlineStr">
        <is>
          <t>auto_ingest=world_bank_proxy; proxy=net_migration_hospitality; indicator=SM.POP.NETM; year=2025; country_proxy=Thailand</t>
        </is>
      </c>
    </row>
    <row r="197">
      <c r="A197" t="inlineStr">
        <is>
          <t>th-phuket</t>
        </is>
      </c>
      <c r="B197" t="inlineStr">
        <is>
          <t>Phuket</t>
        </is>
      </c>
      <c r="C197" t="inlineStr">
        <is>
          <t>Thailand</t>
        </is>
      </c>
      <c r="D197" t="inlineStr">
        <is>
          <t>Southeast Asia</t>
        </is>
      </c>
      <c r="E197" t="inlineStr">
        <is>
          <t>tolerance_pluralism_raw</t>
        </is>
      </c>
      <c r="F197" t="inlineStr">
        <is>
          <t>Tolerance and pluralism raw</t>
        </is>
      </c>
      <c r="G197" t="inlineStr">
        <is>
          <t>community</t>
        </is>
      </c>
      <c r="H197" t="inlineStr">
        <is>
          <t>yes</t>
        </is>
      </c>
      <c r="I197" t="inlineStr">
        <is>
          <t>19.4</t>
        </is>
      </c>
      <c r="J197" t="inlineStr">
        <is>
          <t>world_bank</t>
        </is>
      </c>
      <c r="K197" t="inlineStr">
        <is>
          <t>https://api.worldbank.org/v2/country/THA/indicator/SG.GEN.PARL.ZS?format=json&amp;mrv=10</t>
        </is>
      </c>
      <c r="L197" t="inlineStr">
        <is>
          <t>World Bank WDI: Proportion of seats held by women in national parliaments (%)</t>
        </is>
      </c>
      <c r="M197" t="inlineStr">
        <is>
          <t>2024-12-31</t>
        </is>
      </c>
      <c r="N197" t="inlineStr">
        <is>
          <t>auto_ingest=world_bank_proxy; proxy=gender_parity_parliament; indicator=SG.GEN.PARL.ZS; year=2024; country_proxy=Thailand</t>
        </is>
      </c>
    </row>
    <row r="198">
      <c r="A198" t="inlineStr">
        <is>
          <t>th-phuket</t>
        </is>
      </c>
      <c r="B198" t="inlineStr">
        <is>
          <t>Phuket</t>
        </is>
      </c>
      <c r="C198" t="inlineStr">
        <is>
          <t>Thailand</t>
        </is>
      </c>
      <c r="D198" t="inlineStr">
        <is>
          <t>Southeast Asia</t>
        </is>
      </c>
      <c r="E198" t="inlineStr">
        <is>
          <t>cultural_public_life_raw</t>
        </is>
      </c>
      <c r="F198" t="inlineStr">
        <is>
          <t>Cultural public life raw</t>
        </is>
      </c>
      <c r="G198" t="inlineStr">
        <is>
          <t>community</t>
        </is>
      </c>
      <c r="H198" t="inlineStr">
        <is>
          <t>yes</t>
        </is>
      </c>
      <c r="I198" t="inlineStr">
        <is>
          <t>556.96</t>
        </is>
      </c>
      <c r="J198" t="inlineStr">
        <is>
          <t>world_bank</t>
        </is>
      </c>
      <c r="K198" t="inlineStr">
        <is>
          <t>https://api.worldbank.org/v2/country/THA/indicator/ST.INT.ARVL?format=json&amp;mrv=10</t>
        </is>
      </c>
      <c r="L198" t="inlineStr">
        <is>
          <t>World Bank WDI: International tourism arrivals per 1 000 population</t>
        </is>
      </c>
      <c r="M198" t="inlineStr">
        <is>
          <t>2019-12-31</t>
        </is>
      </c>
      <c r="N198" t="inlineStr">
        <is>
          <t>auto_ingest=cultural_life_proxy; indicator=ST.INT.ARVL; norm=per_1000_pop; year=2019; country_proxy=Thailand</t>
        </is>
      </c>
    </row>
    <row r="199">
      <c r="A199" t="inlineStr">
        <is>
          <t>th-phuket</t>
        </is>
      </c>
      <c r="B199" t="inlineStr">
        <is>
          <t>Phuket</t>
        </is>
      </c>
      <c r="C199" t="inlineStr">
        <is>
          <t>Thailand</t>
        </is>
      </c>
      <c r="D199" t="inlineStr">
        <is>
          <t>Southeast Asia</t>
        </is>
      </c>
      <c r="E199" t="inlineStr">
        <is>
          <t>birth_rate_optimism_raw</t>
        </is>
      </c>
      <c r="F199" t="inlineStr">
        <is>
          <t>Birth rate and societal optimism raw</t>
        </is>
      </c>
      <c r="G199" t="inlineStr">
        <is>
          <t>community</t>
        </is>
      </c>
      <c r="H199" t="inlineStr">
        <is>
          <t>yes</t>
        </is>
      </c>
      <c r="I199" t="inlineStr">
        <is>
          <t>1.08</t>
        </is>
      </c>
      <c r="J199" t="inlineStr">
        <is>
          <t>world_bank</t>
        </is>
      </c>
      <c r="K199" t="inlineStr">
        <is>
          <t>https://data.worldbank.org/indicator/SP.DYN.TFRT.IN</t>
        </is>
      </c>
      <c r="L199" t="inlineStr">
        <is>
          <t>World Bank Total Fertility Rate 2023</t>
        </is>
      </c>
      <c r="M199" t="inlineStr">
        <is>
          <t>2024-01-01</t>
        </is>
      </c>
      <c r="N199" t="inlineStr"/>
    </row>
    <row r="200">
      <c r="A200" t="inlineStr">
        <is>
          <t>th-phuket</t>
        </is>
      </c>
      <c r="B200" t="inlineStr">
        <is>
          <t>Phuket</t>
        </is>
      </c>
      <c r="C200" t="inlineStr">
        <is>
          <t>Thailand</t>
        </is>
      </c>
      <c r="D200" t="inlineStr">
        <is>
          <t>Southeast Asia</t>
        </is>
      </c>
      <c r="E200" t="inlineStr">
        <is>
          <t>entrepreneurial_dynamism_raw</t>
        </is>
      </c>
      <c r="F200" t="inlineStr">
        <is>
          <t>Entrepreneurial dynamism raw</t>
        </is>
      </c>
      <c r="G200" t="inlineStr">
        <is>
          <t>creative</t>
        </is>
      </c>
      <c r="H200" t="inlineStr">
        <is>
          <t>yes</t>
        </is>
      </c>
      <c r="I200" t="inlineStr">
        <is>
          <t>1.54</t>
        </is>
      </c>
      <c r="J200" t="inlineStr">
        <is>
          <t>world_bank</t>
        </is>
      </c>
      <c r="K200" t="inlineStr">
        <is>
          <t>https://api.worldbank.org/v2/country/THA/indicator/IC.BUS.NDNS.ZS?format=json&amp;mrv=10</t>
        </is>
      </c>
      <c r="L200" t="inlineStr">
        <is>
          <t>World Bank WDI: New business density (new registrations per 1,000 people ages 15-64)</t>
        </is>
      </c>
      <c r="M200" t="inlineStr">
        <is>
          <t>2022-12-31</t>
        </is>
      </c>
      <c r="N200" t="inlineStr">
        <is>
          <t>auto_ingest=world_bank_creative_extended; indicator=IC.BUS.NDNS.ZS; year=2022; country_proxy=Thailand</t>
        </is>
      </c>
    </row>
    <row r="201">
      <c r="A201" t="inlineStr">
        <is>
          <t>th-phuket</t>
        </is>
      </c>
      <c r="B201" t="inlineStr">
        <is>
          <t>Phuket</t>
        </is>
      </c>
      <c r="C201" t="inlineStr">
        <is>
          <t>Thailand</t>
        </is>
      </c>
      <c r="D201" t="inlineStr">
        <is>
          <t>Southeast Asia</t>
        </is>
      </c>
      <c r="E201" t="inlineStr">
        <is>
          <t>innovation_research_intensity_raw</t>
        </is>
      </c>
      <c r="F201" t="inlineStr">
        <is>
          <t>Innovation and research raw</t>
        </is>
      </c>
      <c r="G201" t="inlineStr">
        <is>
          <t>creative</t>
        </is>
      </c>
      <c r="H201" t="inlineStr">
        <is>
          <t>yes</t>
        </is>
      </c>
      <c r="I201" t="inlineStr">
        <is>
          <t>1.16</t>
        </is>
      </c>
      <c r="J201" t="inlineStr">
        <is>
          <t>world_bank</t>
        </is>
      </c>
      <c r="K201" t="inlineStr">
        <is>
          <t>https://api.worldbank.org/v2/country/THA/indicator/GB.XPD.RSDV.GD.ZS?format=json&amp;mrv=10</t>
        </is>
      </c>
      <c r="L201" t="inlineStr">
        <is>
          <t>World Bank WDI: Research and development expenditure (% of GDP)</t>
        </is>
      </c>
      <c r="M201" t="inlineStr">
        <is>
          <t>2022-12-31</t>
        </is>
      </c>
      <c r="N201" t="inlineStr">
        <is>
          <t>auto_ingest=world_bank_creative_extended; indicator=GB.XPD.RSDV.GD.ZS; year=2022; country_proxy=Thailand</t>
        </is>
      </c>
    </row>
    <row r="202">
      <c r="A202" t="inlineStr">
        <is>
          <t>th-phuket</t>
        </is>
      </c>
      <c r="B202" t="inlineStr">
        <is>
          <t>Phuket</t>
        </is>
      </c>
      <c r="C202" t="inlineStr">
        <is>
          <t>Thailand</t>
        </is>
      </c>
      <c r="D202" t="inlineStr">
        <is>
          <t>Southeast Asia</t>
        </is>
      </c>
      <c r="E202" t="inlineStr">
        <is>
          <t>investment_signal_raw</t>
        </is>
      </c>
      <c r="F202" t="inlineStr">
        <is>
          <t>Investment signal raw</t>
        </is>
      </c>
      <c r="G202" t="inlineStr">
        <is>
          <t>creative</t>
        </is>
      </c>
      <c r="H202" t="inlineStr">
        <is>
          <t>yes</t>
        </is>
      </c>
      <c r="I202" t="inlineStr">
        <is>
          <t>2.72</t>
        </is>
      </c>
      <c r="J202" t="inlineStr">
        <is>
          <t>world_bank</t>
        </is>
      </c>
      <c r="K202" t="inlineStr">
        <is>
          <t>https://api.worldbank.org/v2/country/THA/indicator/BX.KLT.DINV.WD.GD.ZS?format=json&amp;mrv=10</t>
        </is>
      </c>
      <c r="L202" t="inlineStr">
        <is>
          <t>World Bank WDI: Foreign direct investment, net inflows (% of GDP)</t>
        </is>
      </c>
      <c r="M202" t="inlineStr">
        <is>
          <t>2024-12-31</t>
        </is>
      </c>
      <c r="N202" t="inlineStr">
        <is>
          <t>auto_ingest=world_bank_creative_extended; indicator=BX.KLT.DINV.WD.GD.ZS; year=2024; country_proxy=Thailand</t>
        </is>
      </c>
    </row>
    <row r="203">
      <c r="A203" t="inlineStr">
        <is>
          <t>th-phuket</t>
        </is>
      </c>
      <c r="B203" t="inlineStr">
        <is>
          <t>Phuket</t>
        </is>
      </c>
      <c r="C203" t="inlineStr">
        <is>
          <t>Thailand</t>
        </is>
      </c>
      <c r="D203" t="inlineStr">
        <is>
          <t>Southeast Asia</t>
        </is>
      </c>
      <c r="E203" t="inlineStr">
        <is>
          <t>administrative_investment_friction_raw</t>
        </is>
      </c>
      <c r="F203" t="inlineStr">
        <is>
          <t>Administrative investment friction raw</t>
        </is>
      </c>
      <c r="G203" t="inlineStr">
        <is>
          <t>creative</t>
        </is>
      </c>
      <c r="H203" t="inlineStr">
        <is>
          <t>yes</t>
        </is>
      </c>
      <c r="I203" t="inlineStr">
        <is>
          <t>2.34</t>
        </is>
      </c>
      <c r="J203" t="inlineStr">
        <is>
          <t>world_bank</t>
        </is>
      </c>
      <c r="K203" t="inlineStr">
        <is>
          <t>https://api.worldbank.org/v2/country/THA/indicator/RQ.EST?format=json&amp;mrv=10</t>
        </is>
      </c>
      <c r="L203" t="inlineStr">
        <is>
          <t>World Bank WGI: Regulatory Quality (inverted as friction proxy)</t>
        </is>
      </c>
      <c r="M203" t="inlineStr">
        <is>
          <t>2023-12-31</t>
        </is>
      </c>
      <c r="N203" t="inlineStr">
        <is>
          <t>auto_ingest=world_bank_business_friction; indicator=RQ.EST; raw_rq=0.158257782459259; friction=2.34; year=2023; country_proxy=Thailand</t>
        </is>
      </c>
    </row>
    <row r="204">
      <c r="A204" t="inlineStr">
        <is>
          <t>th-phuket</t>
        </is>
      </c>
      <c r="B204" t="inlineStr">
        <is>
          <t>Phuket</t>
        </is>
      </c>
      <c r="C204" t="inlineStr">
        <is>
          <t>Thailand</t>
        </is>
      </c>
      <c r="D204" t="inlineStr">
        <is>
          <t>Southeast Asia</t>
        </is>
      </c>
      <c r="E204" t="inlineStr">
        <is>
          <t>visitor_flow_context_raw</t>
        </is>
      </c>
      <c r="F204" t="inlineStr">
        <is>
          <t>Visitor flow context raw</t>
        </is>
      </c>
      <c r="G204" t="inlineStr">
        <is>
          <t>creative</t>
        </is>
      </c>
      <c r="H204" t="inlineStr">
        <is>
          <t>no</t>
        </is>
      </c>
      <c r="I204" t="inlineStr"/>
      <c r="J204" t="inlineStr"/>
      <c r="K204" t="inlineStr"/>
      <c r="L204" t="inlineStr"/>
      <c r="M204" t="inlineStr"/>
      <c r="N204" t="inlineStr"/>
    </row>
    <row r="205">
      <c r="A205" t="inlineStr">
        <is>
          <t>th-chiang-mai</t>
        </is>
      </c>
      <c r="B205" t="inlineStr">
        <is>
          <t>Chiang Mai</t>
        </is>
      </c>
      <c r="C205" t="inlineStr">
        <is>
          <t>Thailand</t>
        </is>
      </c>
      <c r="D205" t="inlineStr">
        <is>
          <t>Southeast Asia</t>
        </is>
      </c>
      <c r="E205" t="inlineStr">
        <is>
          <t>gross_income</t>
        </is>
      </c>
      <c r="F205" t="inlineStr">
        <is>
          <t>Gross income</t>
        </is>
      </c>
      <c r="G205" t="inlineStr">
        <is>
          <t>pressure</t>
        </is>
      </c>
      <c r="H205" t="inlineStr">
        <is>
          <t>yes</t>
        </is>
      </c>
      <c r="I205" t="inlineStr">
        <is>
          <t>1996.67</t>
        </is>
      </c>
      <c r="J205" t="inlineStr">
        <is>
          <t>world_bank_col_estimate</t>
        </is>
      </c>
      <c r="K205" t="inlineStr">
        <is>
          <t>https://api.worldbank.org/v2/country/THA/indicator/NY.GNP.PCAP.PP.CD?format=json&amp;mrv=10</t>
        </is>
      </c>
      <c r="L205" t="inlineStr">
        <is>
          <t>World Bank WDI: GNI per capita PPP (monthly USD)</t>
        </is>
      </c>
      <c r="M205" t="inlineStr">
        <is>
          <t>2024-12-31</t>
        </is>
      </c>
      <c r="N205" t="inlineStr">
        <is>
          <t>auto_ingest=world_bank_col_estimate; gni_annual=23960.0; year=2024; country_proxy=Thailand; cohort=Southeast Asia</t>
        </is>
      </c>
    </row>
    <row r="206">
      <c r="A206" t="inlineStr">
        <is>
          <t>th-chiang-mai</t>
        </is>
      </c>
      <c r="B206" t="inlineStr">
        <is>
          <t>Chiang Mai</t>
        </is>
      </c>
      <c r="C206" t="inlineStr">
        <is>
          <t>Thailand</t>
        </is>
      </c>
      <c r="D206" t="inlineStr">
        <is>
          <t>Southeast Asia</t>
        </is>
      </c>
      <c r="E206" t="inlineStr">
        <is>
          <t>di_ppp_raw</t>
        </is>
      </c>
      <c r="F206" t="inlineStr">
        <is>
          <t>Disposable income PPP (Raw)</t>
        </is>
      </c>
      <c r="G206" t="inlineStr">
        <is>
          <t>pressure</t>
        </is>
      </c>
      <c r="H206" t="inlineStr">
        <is>
          <t>yes</t>
        </is>
      </c>
      <c r="I206" t="inlineStr"/>
      <c r="J206" t="inlineStr"/>
      <c r="K206" t="inlineStr"/>
      <c r="L206" t="inlineStr"/>
      <c r="M206" t="inlineStr"/>
      <c r="N206" t="inlineStr"/>
    </row>
    <row r="207">
      <c r="A207" t="inlineStr">
        <is>
          <t>th-chiang-mai</t>
        </is>
      </c>
      <c r="B207" t="inlineStr">
        <is>
          <t>Chiang Mai</t>
        </is>
      </c>
      <c r="C207" t="inlineStr">
        <is>
          <t>Thailand</t>
        </is>
      </c>
      <c r="D207" t="inlineStr">
        <is>
          <t>Southeast Asia</t>
        </is>
      </c>
      <c r="E207" t="inlineStr">
        <is>
          <t>rent</t>
        </is>
      </c>
      <c r="F207" t="inlineStr">
        <is>
          <t>Rent</t>
        </is>
      </c>
      <c r="G207" t="inlineStr">
        <is>
          <t>pressure</t>
        </is>
      </c>
      <c r="H207" t="inlineStr">
        <is>
          <t>yes</t>
        </is>
      </c>
      <c r="I207" t="inlineStr">
        <is>
          <t>259.57</t>
        </is>
      </c>
      <c r="J207" t="inlineStr">
        <is>
          <t>world_bank_col_estimate</t>
        </is>
      </c>
      <c r="K207" t="inlineStr">
        <is>
          <t>https://api.worldbank.org/v2/country/THA/indicator/NY.GNP.PCAP.PP.CD?format=json&amp;mrv=10</t>
        </is>
      </c>
      <c r="L207" t="inlineStr">
        <is>
          <t>World Bank GNI + regional expenditure ratio estimate</t>
        </is>
      </c>
      <c r="M207" t="inlineStr">
        <is>
          <t>2024-12-31</t>
        </is>
      </c>
      <c r="N207" t="inlineStr">
        <is>
          <t>auto_ingest=world_bank_col_estimate; gni_annual=23960.0; year=2024; country_proxy=Thailand; cohort=Southeast Asia; city_cost_mult=0.65</t>
        </is>
      </c>
    </row>
    <row r="208">
      <c r="A208" t="inlineStr">
        <is>
          <t>th-chiang-mai</t>
        </is>
      </c>
      <c r="B208" t="inlineStr">
        <is>
          <t>Chiang Mai</t>
        </is>
      </c>
      <c r="C208" t="inlineStr">
        <is>
          <t>Thailand</t>
        </is>
      </c>
      <c r="D208" t="inlineStr">
        <is>
          <t>Southeast Asia</t>
        </is>
      </c>
      <c r="E208" t="inlineStr">
        <is>
          <t>utilities</t>
        </is>
      </c>
      <c r="F208" t="inlineStr">
        <is>
          <t>Utilities</t>
        </is>
      </c>
      <c r="G208" t="inlineStr">
        <is>
          <t>pressure</t>
        </is>
      </c>
      <c r="H208" t="inlineStr">
        <is>
          <t>yes</t>
        </is>
      </c>
      <c r="I208" t="inlineStr">
        <is>
          <t>64.89</t>
        </is>
      </c>
      <c r="J208" t="inlineStr">
        <is>
          <t>world_bank_col_estimate</t>
        </is>
      </c>
      <c r="K208" t="inlineStr">
        <is>
          <t>https://api.worldbank.org/v2/country/THA/indicator/NY.GNP.PCAP.PP.CD?format=json&amp;mrv=10</t>
        </is>
      </c>
      <c r="L208" t="inlineStr">
        <is>
          <t>World Bank GNI + regional expenditure ratio estimate</t>
        </is>
      </c>
      <c r="M208" t="inlineStr">
        <is>
          <t>2024-12-31</t>
        </is>
      </c>
      <c r="N208" t="inlineStr">
        <is>
          <t>auto_ingest=world_bank_col_estimate; gni_annual=23960.0; year=2024; country_proxy=Thailand; cohort=Southeast Asia; city_cost_mult=0.65</t>
        </is>
      </c>
    </row>
    <row r="209">
      <c r="A209" t="inlineStr">
        <is>
          <t>th-chiang-mai</t>
        </is>
      </c>
      <c r="B209" t="inlineStr">
        <is>
          <t>Chiang Mai</t>
        </is>
      </c>
      <c r="C209" t="inlineStr">
        <is>
          <t>Thailand</t>
        </is>
      </c>
      <c r="D209" t="inlineStr">
        <is>
          <t>Southeast Asia</t>
        </is>
      </c>
      <c r="E209" t="inlineStr">
        <is>
          <t>transit_cost</t>
        </is>
      </c>
      <c r="F209" t="inlineStr">
        <is>
          <t>Transit cost</t>
        </is>
      </c>
      <c r="G209" t="inlineStr">
        <is>
          <t>pressure</t>
        </is>
      </c>
      <c r="H209" t="inlineStr">
        <is>
          <t>yes</t>
        </is>
      </c>
      <c r="I209" t="inlineStr">
        <is>
          <t>51.91</t>
        </is>
      </c>
      <c r="J209" t="inlineStr">
        <is>
          <t>world_bank_col_estimate</t>
        </is>
      </c>
      <c r="K209" t="inlineStr">
        <is>
          <t>https://api.worldbank.org/v2/country/THA/indicator/NY.GNP.PCAP.PP.CD?format=json&amp;mrv=10</t>
        </is>
      </c>
      <c r="L209" t="inlineStr">
        <is>
          <t>World Bank GNI + regional expenditure ratio estimate</t>
        </is>
      </c>
      <c r="M209" t="inlineStr">
        <is>
          <t>2024-12-31</t>
        </is>
      </c>
      <c r="N209" t="inlineStr">
        <is>
          <t>auto_ingest=world_bank_col_estimate; gni_annual=23960.0; year=2024; country_proxy=Thailand; cohort=Southeast Asia; city_cost_mult=0.65</t>
        </is>
      </c>
    </row>
    <row r="210">
      <c r="A210" t="inlineStr">
        <is>
          <t>th-chiang-mai</t>
        </is>
      </c>
      <c r="B210" t="inlineStr">
        <is>
          <t>Chiang Mai</t>
        </is>
      </c>
      <c r="C210" t="inlineStr">
        <is>
          <t>Thailand</t>
        </is>
      </c>
      <c r="D210" t="inlineStr">
        <is>
          <t>Southeast Asia</t>
        </is>
      </c>
      <c r="E210" t="inlineStr">
        <is>
          <t>internet_cost</t>
        </is>
      </c>
      <c r="F210" t="inlineStr">
        <is>
          <t>Internet cost</t>
        </is>
      </c>
      <c r="G210" t="inlineStr">
        <is>
          <t>pressure</t>
        </is>
      </c>
      <c r="H210" t="inlineStr">
        <is>
          <t>yes</t>
        </is>
      </c>
      <c r="I210" t="inlineStr">
        <is>
          <t>19.47</t>
        </is>
      </c>
      <c r="J210" t="inlineStr">
        <is>
          <t>world_bank_col_estimate</t>
        </is>
      </c>
      <c r="K210" t="inlineStr">
        <is>
          <t>https://api.worldbank.org/v2/country/THA/indicator/NY.GNP.PCAP.PP.CD?format=json&amp;mrv=10</t>
        </is>
      </c>
      <c r="L210" t="inlineStr">
        <is>
          <t>World Bank GNI + regional expenditure ratio estimate</t>
        </is>
      </c>
      <c r="M210" t="inlineStr">
        <is>
          <t>2024-12-31</t>
        </is>
      </c>
      <c r="N210" t="inlineStr">
        <is>
          <t>auto_ingest=world_bank_col_estimate; gni_annual=23960.0; year=2024; country_proxy=Thailand; cohort=Southeast Asia; city_cost_mult=0.65</t>
        </is>
      </c>
    </row>
    <row r="211">
      <c r="A211" t="inlineStr">
        <is>
          <t>th-chiang-mai</t>
        </is>
      </c>
      <c r="B211" t="inlineStr">
        <is>
          <t>Chiang Mai</t>
        </is>
      </c>
      <c r="C211" t="inlineStr">
        <is>
          <t>Thailand</t>
        </is>
      </c>
      <c r="D211" t="inlineStr">
        <is>
          <t>Southeast Asia</t>
        </is>
      </c>
      <c r="E211" t="inlineStr">
        <is>
          <t>food_cost</t>
        </is>
      </c>
      <c r="F211" t="inlineStr">
        <is>
          <t>Food cost</t>
        </is>
      </c>
      <c r="G211" t="inlineStr">
        <is>
          <t>pressure</t>
        </is>
      </c>
      <c r="H211" t="inlineStr">
        <is>
          <t>yes</t>
        </is>
      </c>
      <c r="I211" t="inlineStr">
        <is>
          <t>285.52</t>
        </is>
      </c>
      <c r="J211" t="inlineStr">
        <is>
          <t>world_bank_col_estimate</t>
        </is>
      </c>
      <c r="K211" t="inlineStr">
        <is>
          <t>https://api.worldbank.org/v2/country/THA/indicator/NY.GNP.PCAP.PP.CD?format=json&amp;mrv=10</t>
        </is>
      </c>
      <c r="L211" t="inlineStr">
        <is>
          <t>World Bank GNI + regional expenditure ratio estimate</t>
        </is>
      </c>
      <c r="M211" t="inlineStr">
        <is>
          <t>2024-12-31</t>
        </is>
      </c>
      <c r="N211" t="inlineStr">
        <is>
          <t>auto_ingest=world_bank_col_estimate; gni_annual=23960.0; year=2024; country_proxy=Thailand; cohort=Southeast Asia; city_cost_mult=0.65</t>
        </is>
      </c>
    </row>
    <row r="212">
      <c r="A212" t="inlineStr">
        <is>
          <t>th-chiang-mai</t>
        </is>
      </c>
      <c r="B212" t="inlineStr">
        <is>
          <t>Chiang Mai</t>
        </is>
      </c>
      <c r="C212" t="inlineStr">
        <is>
          <t>Thailand</t>
        </is>
      </c>
      <c r="D212" t="inlineStr">
        <is>
          <t>Southeast Asia</t>
        </is>
      </c>
      <c r="E212" t="inlineStr">
        <is>
          <t>housing_burden_raw</t>
        </is>
      </c>
      <c r="F212" t="inlineStr">
        <is>
          <t>Housing burden raw</t>
        </is>
      </c>
      <c r="G212" t="inlineStr">
        <is>
          <t>pressure</t>
        </is>
      </c>
      <c r="H212" t="inlineStr">
        <is>
          <t>yes</t>
        </is>
      </c>
      <c r="I212" t="inlineStr">
        <is>
          <t>13.0001</t>
        </is>
      </c>
      <c r="J212" t="inlineStr">
        <is>
          <t>derived</t>
        </is>
      </c>
      <c r="K212" t="inlineStr">
        <is>
          <t>https://data.worldbank.org/indicator/NY.GNP.PCAP.PP.CD</t>
        </is>
      </c>
      <c r="L212" t="inlineStr">
        <is>
          <t>Computed from city_inputs + country_context</t>
        </is>
      </c>
      <c r="M212" t="inlineStr">
        <is>
          <t>2024-01-01</t>
        </is>
      </c>
      <c r="N212" t="inlineStr">
        <is>
          <t>derived=rent/gross_income*100</t>
        </is>
      </c>
    </row>
    <row r="213">
      <c r="A213" t="inlineStr">
        <is>
          <t>th-chiang-mai</t>
        </is>
      </c>
      <c r="B213" t="inlineStr">
        <is>
          <t>Chiang Mai</t>
        </is>
      </c>
      <c r="C213" t="inlineStr">
        <is>
          <t>Thailand</t>
        </is>
      </c>
      <c r="D213" t="inlineStr">
        <is>
          <t>Southeast Asia</t>
        </is>
      </c>
      <c r="E213" t="inlineStr">
        <is>
          <t>household_debt_burden_raw</t>
        </is>
      </c>
      <c r="F213" t="inlineStr">
        <is>
          <t>Household debt burden raw</t>
        </is>
      </c>
      <c r="G213" t="inlineStr">
        <is>
          <t>pressure</t>
        </is>
      </c>
      <c r="H213" t="inlineStr">
        <is>
          <t>yes</t>
        </is>
      </c>
      <c r="I213" t="inlineStr">
        <is>
          <t>115.1054</t>
        </is>
      </c>
      <c r="J213" t="inlineStr">
        <is>
          <t>derived</t>
        </is>
      </c>
      <c r="K213" t="inlineStr">
        <is>
          <t>https://data.worldbank.org/indicator/NY.GNP.PCAP.PP.CD</t>
        </is>
      </c>
      <c r="L213" t="inlineStr">
        <is>
          <t>Computed from city_inputs + country_context</t>
        </is>
      </c>
      <c r="M213" t="inlineStr">
        <is>
          <t>2024-01-01</t>
        </is>
      </c>
      <c r="N213" t="inlineStr">
        <is>
          <t>derived=country_context.household_debt_proxy; country=Thailand</t>
        </is>
      </c>
    </row>
    <row r="214">
      <c r="A214" t="inlineStr">
        <is>
          <t>th-chiang-mai</t>
        </is>
      </c>
      <c r="B214" t="inlineStr">
        <is>
          <t>Chiang Mai</t>
        </is>
      </c>
      <c r="C214" t="inlineStr">
        <is>
          <t>Thailand</t>
        </is>
      </c>
      <c r="D214" t="inlineStr">
        <is>
          <t>Southeast Asia</t>
        </is>
      </c>
      <c r="E214" t="inlineStr">
        <is>
          <t>working_time_pressure_raw</t>
        </is>
      </c>
      <c r="F214" t="inlineStr">
        <is>
          <t>Working time pressure raw</t>
        </is>
      </c>
      <c r="G214" t="inlineStr">
        <is>
          <t>pressure</t>
        </is>
      </c>
      <c r="H214" t="inlineStr">
        <is>
          <t>yes</t>
        </is>
      </c>
      <c r="I214" t="inlineStr">
        <is>
          <t>42.53</t>
        </is>
      </c>
      <c r="J214" t="inlineStr">
        <is>
          <t>ilo_ilostat</t>
        </is>
      </c>
      <c r="K214" t="inlineStr">
        <is>
          <t>https://ilostat.ilo.org/data/indicator/?id=HOW_TEMP_SEX_ECO_NB_A&amp;ref_area=THA</t>
        </is>
      </c>
      <c r="L214" t="inlineStr">
        <is>
          <t>ILO ILOSTAT: Mean weekly hours actually worked per employed person</t>
        </is>
      </c>
      <c r="M214" t="inlineStr">
        <is>
          <t>2024-12-31</t>
        </is>
      </c>
      <c r="N214" t="inlineStr">
        <is>
          <t>auto_ingest=ilo_working_hours; indicator=HOW_TEMP_SEX_ECO_NB_A; year=2024; hours=42.53; country_proxy=Thailand</t>
        </is>
      </c>
    </row>
    <row r="215">
      <c r="A215" t="inlineStr">
        <is>
          <t>th-chiang-mai</t>
        </is>
      </c>
      <c r="B215" t="inlineStr">
        <is>
          <t>Chiang Mai</t>
        </is>
      </c>
      <c r="C215" t="inlineStr">
        <is>
          <t>Thailand</t>
        </is>
      </c>
      <c r="D215" t="inlineStr">
        <is>
          <t>Southeast Asia</t>
        </is>
      </c>
      <c r="E215" t="inlineStr">
        <is>
          <t>suicide_mental_strain_raw</t>
        </is>
      </c>
      <c r="F215" t="inlineStr">
        <is>
          <t>Suicide or mental strain raw</t>
        </is>
      </c>
      <c r="G215" t="inlineStr">
        <is>
          <t>pressure</t>
        </is>
      </c>
      <c r="H215" t="inlineStr">
        <is>
          <t>yes</t>
        </is>
      </c>
      <c r="I215" t="inlineStr">
        <is>
          <t>16.59</t>
        </is>
      </c>
      <c r="J215" t="inlineStr">
        <is>
          <t>who_gho</t>
        </is>
      </c>
      <c r="K215" t="inlineStr">
        <is>
          <t>https://www.who.int/data/gho/data/indicators/indicator-details/GHO/SDGSUICIDE</t>
        </is>
      </c>
      <c r="L215" t="inlineStr">
        <is>
          <t>WHO GHO: Age-standardized suicide rate (per 100,000 population)</t>
        </is>
      </c>
      <c r="M215" t="inlineStr">
        <is>
          <t>2021-12-31</t>
        </is>
      </c>
      <c r="N215" t="inlineStr">
        <is>
          <t>auto_ingest=who_gho; indicator=SDGSUICIDE; year=2021; country_proxy=Thailand</t>
        </is>
      </c>
    </row>
    <row r="216">
      <c r="A216" t="inlineStr">
        <is>
          <t>th-chiang-mai</t>
        </is>
      </c>
      <c r="B216" t="inlineStr">
        <is>
          <t>Chiang Mai</t>
        </is>
      </c>
      <c r="C216" t="inlineStr">
        <is>
          <t>Thailand</t>
        </is>
      </c>
      <c r="D216" t="inlineStr">
        <is>
          <t>Southeast Asia</t>
        </is>
      </c>
      <c r="E216" t="inlineStr">
        <is>
          <t>personal_safety_raw</t>
        </is>
      </c>
      <c r="F216" t="inlineStr">
        <is>
          <t>Personal safety raw</t>
        </is>
      </c>
      <c r="G216" t="inlineStr">
        <is>
          <t>viability</t>
        </is>
      </c>
      <c r="H216" t="inlineStr">
        <is>
          <t>yes</t>
        </is>
      </c>
      <c r="I216" t="inlineStr"/>
      <c r="J216" t="inlineStr"/>
      <c r="K216" t="inlineStr"/>
      <c r="L216" t="inlineStr"/>
      <c r="M216" t="inlineStr"/>
      <c r="N216" t="inlineStr"/>
    </row>
    <row r="217">
      <c r="A217" t="inlineStr">
        <is>
          <t>th-chiang-mai</t>
        </is>
      </c>
      <c r="B217" t="inlineStr">
        <is>
          <t>Chiang Mai</t>
        </is>
      </c>
      <c r="C217" t="inlineStr">
        <is>
          <t>Thailand</t>
        </is>
      </c>
      <c r="D217" t="inlineStr">
        <is>
          <t>Southeast Asia</t>
        </is>
      </c>
      <c r="E217" t="inlineStr">
        <is>
          <t>transit_access_commute_raw</t>
        </is>
      </c>
      <c r="F217" t="inlineStr">
        <is>
          <t>Transit access and commute raw</t>
        </is>
      </c>
      <c r="G217" t="inlineStr">
        <is>
          <t>viability</t>
        </is>
      </c>
      <c r="H217" t="inlineStr">
        <is>
          <t>yes</t>
        </is>
      </c>
      <c r="I217" t="inlineStr"/>
      <c r="J217" t="inlineStr"/>
      <c r="K217" t="inlineStr"/>
      <c r="L217" t="inlineStr"/>
      <c r="M217" t="inlineStr"/>
      <c r="N217" t="inlineStr"/>
    </row>
    <row r="218">
      <c r="A218" t="inlineStr">
        <is>
          <t>th-chiang-mai</t>
        </is>
      </c>
      <c r="B218" t="inlineStr">
        <is>
          <t>Chiang Mai</t>
        </is>
      </c>
      <c r="C218" t="inlineStr">
        <is>
          <t>Thailand</t>
        </is>
      </c>
      <c r="D218" t="inlineStr">
        <is>
          <t>Southeast Asia</t>
        </is>
      </c>
      <c r="E218" t="inlineStr">
        <is>
          <t>clean_air_raw</t>
        </is>
      </c>
      <c r="F218" t="inlineStr">
        <is>
          <t>Clean air raw</t>
        </is>
      </c>
      <c r="G218" t="inlineStr">
        <is>
          <t>viability</t>
        </is>
      </c>
      <c r="H218" t="inlineStr">
        <is>
          <t>yes</t>
        </is>
      </c>
      <c r="I218" t="inlineStr">
        <is>
          <t>35.0</t>
        </is>
      </c>
      <c r="J218" t="inlineStr">
        <is>
          <t>thai_gov_pcd_rsc</t>
        </is>
      </c>
      <c r="K218" t="inlineStr">
        <is>
          <t>https://www.pcd.go.th/</t>
        </is>
      </c>
      <c r="L218" t="inlineStr">
        <is>
          <t>Thailand PCD Annual Air Quality Report — Chiang Mai PM2.5 annual mean</t>
        </is>
      </c>
      <c r="M218" t="inlineStr">
        <is>
          <t>2024-12-31</t>
        </is>
      </c>
      <c r="N218" t="inlineStr">
        <is>
          <t>auto_ingest=thai_city_indicators; metric=pm25_annual_mean; value=35.0 ug/m3; note=burning_season_average_higher; source=PCD+IQAir</t>
        </is>
      </c>
    </row>
    <row r="219">
      <c r="A219" t="inlineStr">
        <is>
          <t>th-chiang-mai</t>
        </is>
      </c>
      <c r="B219" t="inlineStr">
        <is>
          <t>Chiang Mai</t>
        </is>
      </c>
      <c r="C219" t="inlineStr">
        <is>
          <t>Thailand</t>
        </is>
      </c>
      <c r="D219" t="inlineStr">
        <is>
          <t>Southeast Asia</t>
        </is>
      </c>
      <c r="E219" t="inlineStr">
        <is>
          <t>water_sanitation_utility_raw</t>
        </is>
      </c>
      <c r="F219" t="inlineStr">
        <is>
          <t>Water, sanitation, and utility raw</t>
        </is>
      </c>
      <c r="G219" t="inlineStr">
        <is>
          <t>viability</t>
        </is>
      </c>
      <c r="H219" t="inlineStr">
        <is>
          <t>yes</t>
        </is>
      </c>
      <c r="I219" t="inlineStr">
        <is>
          <t>95.0</t>
        </is>
      </c>
      <c r="J219" t="inlineStr">
        <is>
          <t>thai_gov_pcd_rsc</t>
        </is>
      </c>
      <c r="K219" t="inlineStr">
        <is>
          <t>https://www.pwa.co.th/</t>
        </is>
      </c>
      <c r="L219" t="inlineStr">
        <is>
          <t>Provincial Waterworks Authority — Chiang Mai urban water coverage</t>
        </is>
      </c>
      <c r="M219" t="inlineStr">
        <is>
          <t>2024-12-31</t>
        </is>
      </c>
      <c r="N219" t="inlineStr">
        <is>
          <t>auto_ingest=thai_city_indicators; metric=urban_water_coverage_pct; value=95%; source=PWA</t>
        </is>
      </c>
    </row>
    <row r="220">
      <c r="A220" t="inlineStr">
        <is>
          <t>th-chiang-mai</t>
        </is>
      </c>
      <c r="B220" t="inlineStr">
        <is>
          <t>Chiang Mai</t>
        </is>
      </c>
      <c r="C220" t="inlineStr">
        <is>
          <t>Thailand</t>
        </is>
      </c>
      <c r="D220" t="inlineStr">
        <is>
          <t>Southeast Asia</t>
        </is>
      </c>
      <c r="E220" t="inlineStr">
        <is>
          <t>digital_infrastructure_raw</t>
        </is>
      </c>
      <c r="F220" t="inlineStr">
        <is>
          <t>Digital infrastructure raw</t>
        </is>
      </c>
      <c r="G220" t="inlineStr">
        <is>
          <t>viability</t>
        </is>
      </c>
      <c r="H220" t="inlineStr">
        <is>
          <t>yes</t>
        </is>
      </c>
      <c r="I220" t="inlineStr">
        <is>
          <t>15.75</t>
        </is>
      </c>
      <c r="J220" t="inlineStr">
        <is>
          <t>world_bank</t>
        </is>
      </c>
      <c r="K220" t="inlineStr">
        <is>
          <t>https://api.worldbank.org/v2/country/THA/indicator/IT.NET.BBND.P2?format=json&amp;mrv=10</t>
        </is>
      </c>
      <c r="L220" t="inlineStr">
        <is>
          <t>World Bank WDI: Fixed broadband subscriptions (per 100 people)</t>
        </is>
      </c>
      <c r="M220" t="inlineStr">
        <is>
          <t>2023-12-31</t>
        </is>
      </c>
      <c r="N220" t="inlineStr">
        <is>
          <t>auto_ingest=world_bank_proxy; indicator=IT.NET.BBND.P2; year=2023; country_proxy=Thailand</t>
        </is>
      </c>
    </row>
    <row r="221">
      <c r="A221" t="inlineStr">
        <is>
          <t>th-chiang-mai</t>
        </is>
      </c>
      <c r="B221" t="inlineStr">
        <is>
          <t>Chiang Mai</t>
        </is>
      </c>
      <c r="C221" t="inlineStr">
        <is>
          <t>Thailand</t>
        </is>
      </c>
      <c r="D221" t="inlineStr">
        <is>
          <t>Southeast Asia</t>
        </is>
      </c>
      <c r="E221" t="inlineStr">
        <is>
          <t>climate_sunlight_livability_raw</t>
        </is>
      </c>
      <c r="F221" t="inlineStr">
        <is>
          <t>Climate and sunlight livability raw</t>
        </is>
      </c>
      <c r="G221" t="inlineStr">
        <is>
          <t>viability</t>
        </is>
      </c>
      <c r="H221" t="inlineStr">
        <is>
          <t>yes</t>
        </is>
      </c>
      <c r="I221" t="inlineStr">
        <is>
          <t>64</t>
        </is>
      </c>
      <c r="J221" t="inlineStr">
        <is>
          <t>wmo_natl_met</t>
        </is>
      </c>
      <c r="K221" t="inlineStr">
        <is>
          <t>https://worldweather.wmo.int</t>
        </is>
      </c>
      <c r="L221" t="inlineStr">
        <is>
          <t>WMO/National Met: Climate livability composite</t>
        </is>
      </c>
      <c r="M221" t="inlineStr">
        <is>
          <t>2024-12-31</t>
        </is>
      </c>
      <c r="N221" t="inlineStr">
        <is>
          <t>auto_seed=climate_composite; 2300 sun hrs, 26C mean, cooler than Bangkok, less humidity</t>
        </is>
      </c>
    </row>
    <row r="222">
      <c r="A222" t="inlineStr">
        <is>
          <t>th-chiang-mai</t>
        </is>
      </c>
      <c r="B222" t="inlineStr">
        <is>
          <t>Chiang Mai</t>
        </is>
      </c>
      <c r="C222" t="inlineStr">
        <is>
          <t>Thailand</t>
        </is>
      </c>
      <c r="D222" t="inlineStr">
        <is>
          <t>Southeast Asia</t>
        </is>
      </c>
      <c r="E222" t="inlineStr">
        <is>
          <t>healthcare_quality_raw</t>
        </is>
      </c>
      <c r="F222" t="inlineStr">
        <is>
          <t>Healthcare quality raw</t>
        </is>
      </c>
      <c r="G222" t="inlineStr">
        <is>
          <t>capability</t>
        </is>
      </c>
      <c r="H222" t="inlineStr">
        <is>
          <t>yes</t>
        </is>
      </c>
      <c r="I222" t="inlineStr">
        <is>
          <t>82.0</t>
        </is>
      </c>
      <c r="J222" t="inlineStr">
        <is>
          <t>who_gho</t>
        </is>
      </c>
      <c r="K222" t="inlineStr">
        <is>
          <t>https://www.who.int/data/gho/data/indicators/indicator-details/GHO/UHC_INDEX_REPORTED</t>
        </is>
      </c>
      <c r="L222" t="inlineStr">
        <is>
          <t>WHO GHO: UHC Service Coverage Index</t>
        </is>
      </c>
      <c r="M222" t="inlineStr">
        <is>
          <t>2023-12-31</t>
        </is>
      </c>
      <c r="N222" t="inlineStr">
        <is>
          <t>auto_ingest=who_gho; indicator=UHC_INDEX_REPORTED; year=2023; country_proxy=Thailand</t>
        </is>
      </c>
    </row>
    <row r="223">
      <c r="A223" t="inlineStr">
        <is>
          <t>th-chiang-mai</t>
        </is>
      </c>
      <c r="B223" t="inlineStr">
        <is>
          <t>Chiang Mai</t>
        </is>
      </c>
      <c r="C223" t="inlineStr">
        <is>
          <t>Thailand</t>
        </is>
      </c>
      <c r="D223" t="inlineStr">
        <is>
          <t>Southeast Asia</t>
        </is>
      </c>
      <c r="E223" t="inlineStr">
        <is>
          <t>education_quality_raw</t>
        </is>
      </c>
      <c r="F223" t="inlineStr">
        <is>
          <t>Education quality raw</t>
        </is>
      </c>
      <c r="G223" t="inlineStr">
        <is>
          <t>capability</t>
        </is>
      </c>
      <c r="H223" t="inlineStr">
        <is>
          <t>yes</t>
        </is>
      </c>
      <c r="I223" t="inlineStr">
        <is>
          <t>49.08</t>
        </is>
      </c>
      <c r="J223" t="inlineStr">
        <is>
          <t>world_bank</t>
        </is>
      </c>
      <c r="K223" t="inlineStr">
        <is>
          <t>https://api.worldbank.org/v2/country/THA/indicator/SE.TER.ENRR?format=json&amp;mrv=10</t>
        </is>
      </c>
      <c r="L223" t="inlineStr">
        <is>
          <t>World Bank WDI: School enrollment, tertiary (% gross)</t>
        </is>
      </c>
      <c r="M223" t="inlineStr">
        <is>
          <t>2025-12-31</t>
        </is>
      </c>
      <c r="N223" t="inlineStr">
        <is>
          <t>auto_ingest=world_bank_proxy; indicator=SE.TER.ENRR; year=2025; country_proxy=Thailand</t>
        </is>
      </c>
    </row>
    <row r="224">
      <c r="A224" t="inlineStr">
        <is>
          <t>th-chiang-mai</t>
        </is>
      </c>
      <c r="B224" t="inlineStr">
        <is>
          <t>Chiang Mai</t>
        </is>
      </c>
      <c r="C224" t="inlineStr">
        <is>
          <t>Thailand</t>
        </is>
      </c>
      <c r="D224" t="inlineStr">
        <is>
          <t>Southeast Asia</t>
        </is>
      </c>
      <c r="E224" t="inlineStr">
        <is>
          <t>equal_opportunity_raw</t>
        </is>
      </c>
      <c r="F224" t="inlineStr">
        <is>
          <t>Equal opportunity raw</t>
        </is>
      </c>
      <c r="G224" t="inlineStr">
        <is>
          <t>capability</t>
        </is>
      </c>
      <c r="H224" t="inlineStr">
        <is>
          <t>yes</t>
        </is>
      </c>
      <c r="I224" t="inlineStr">
        <is>
          <t>33.5</t>
        </is>
      </c>
      <c r="J224" t="inlineStr">
        <is>
          <t>world_bank</t>
        </is>
      </c>
      <c r="K224" t="inlineStr">
        <is>
          <t>https://api.worldbank.org/v2/country/THA/indicator/SI.POV.GINI?format=json&amp;mrv=10</t>
        </is>
      </c>
      <c r="L224" t="inlineStr">
        <is>
          <t>World Bank WDI: Gini index</t>
        </is>
      </c>
      <c r="M224" t="inlineStr">
        <is>
          <t>2023-12-31</t>
        </is>
      </c>
      <c r="N224" t="inlineStr">
        <is>
          <t>auto_ingest=world_bank_capability; indicator=SI.POV.GINI; year=2023; country_proxy=Thailand</t>
        </is>
      </c>
    </row>
    <row r="225">
      <c r="A225" t="inlineStr">
        <is>
          <t>th-chiang-mai</t>
        </is>
      </c>
      <c r="B225" t="inlineStr">
        <is>
          <t>Chiang Mai</t>
        </is>
      </c>
      <c r="C225" t="inlineStr">
        <is>
          <t>Thailand</t>
        </is>
      </c>
      <c r="D225" t="inlineStr">
        <is>
          <t>Southeast Asia</t>
        </is>
      </c>
      <c r="E225" t="inlineStr">
        <is>
          <t>hospitality_belonging_raw</t>
        </is>
      </c>
      <c r="F225" t="inlineStr">
        <is>
          <t>Hospitality and belonging raw</t>
        </is>
      </c>
      <c r="G225" t="inlineStr">
        <is>
          <t>community</t>
        </is>
      </c>
      <c r="H225" t="inlineStr">
        <is>
          <t>yes</t>
        </is>
      </c>
      <c r="I225" t="inlineStr">
        <is>
          <t>50.38</t>
        </is>
      </c>
      <c r="J225" t="inlineStr">
        <is>
          <t>world_bank</t>
        </is>
      </c>
      <c r="K225" t="inlineStr">
        <is>
          <t>https://api.worldbank.org/v2/country/THA/indicator/SM.POP.NETM?format=json&amp;mrv=10</t>
        </is>
      </c>
      <c r="L225" t="inlineStr">
        <is>
          <t>World Bank WDI: Net migration (proxy for hospitality/belonging — positive = welcoming)</t>
        </is>
      </c>
      <c r="M225" t="inlineStr">
        <is>
          <t>2025-12-31</t>
        </is>
      </c>
      <c r="N225" t="inlineStr">
        <is>
          <t>auto_ingest=world_bank_proxy; proxy=net_migration_hospitality; indicator=SM.POP.NETM; year=2025; country_proxy=Thailand</t>
        </is>
      </c>
    </row>
    <row r="226">
      <c r="A226" t="inlineStr">
        <is>
          <t>th-chiang-mai</t>
        </is>
      </c>
      <c r="B226" t="inlineStr">
        <is>
          <t>Chiang Mai</t>
        </is>
      </c>
      <c r="C226" t="inlineStr">
        <is>
          <t>Thailand</t>
        </is>
      </c>
      <c r="D226" t="inlineStr">
        <is>
          <t>Southeast Asia</t>
        </is>
      </c>
      <c r="E226" t="inlineStr">
        <is>
          <t>tolerance_pluralism_raw</t>
        </is>
      </c>
      <c r="F226" t="inlineStr">
        <is>
          <t>Tolerance and pluralism raw</t>
        </is>
      </c>
      <c r="G226" t="inlineStr">
        <is>
          <t>community</t>
        </is>
      </c>
      <c r="H226" t="inlineStr">
        <is>
          <t>yes</t>
        </is>
      </c>
      <c r="I226" t="inlineStr">
        <is>
          <t>19.4</t>
        </is>
      </c>
      <c r="J226" t="inlineStr">
        <is>
          <t>world_bank</t>
        </is>
      </c>
      <c r="K226" t="inlineStr">
        <is>
          <t>https://api.worldbank.org/v2/country/THA/indicator/SG.GEN.PARL.ZS?format=json&amp;mrv=10</t>
        </is>
      </c>
      <c r="L226" t="inlineStr">
        <is>
          <t>World Bank WDI: Proportion of seats held by women in national parliaments (%)</t>
        </is>
      </c>
      <c r="M226" t="inlineStr">
        <is>
          <t>2024-12-31</t>
        </is>
      </c>
      <c r="N226" t="inlineStr">
        <is>
          <t>auto_ingest=world_bank_proxy; proxy=gender_parity_parliament; indicator=SG.GEN.PARL.ZS; year=2024; country_proxy=Thailand</t>
        </is>
      </c>
    </row>
    <row r="227">
      <c r="A227" t="inlineStr">
        <is>
          <t>th-chiang-mai</t>
        </is>
      </c>
      <c r="B227" t="inlineStr">
        <is>
          <t>Chiang Mai</t>
        </is>
      </c>
      <c r="C227" t="inlineStr">
        <is>
          <t>Thailand</t>
        </is>
      </c>
      <c r="D227" t="inlineStr">
        <is>
          <t>Southeast Asia</t>
        </is>
      </c>
      <c r="E227" t="inlineStr">
        <is>
          <t>cultural_public_life_raw</t>
        </is>
      </c>
      <c r="F227" t="inlineStr">
        <is>
          <t>Cultural public life raw</t>
        </is>
      </c>
      <c r="G227" t="inlineStr">
        <is>
          <t>community</t>
        </is>
      </c>
      <c r="H227" t="inlineStr">
        <is>
          <t>yes</t>
        </is>
      </c>
      <c r="I227" t="inlineStr">
        <is>
          <t>556.96</t>
        </is>
      </c>
      <c r="J227" t="inlineStr">
        <is>
          <t>world_bank</t>
        </is>
      </c>
      <c r="K227" t="inlineStr">
        <is>
          <t>https://api.worldbank.org/v2/country/THA/indicator/ST.INT.ARVL?format=json&amp;mrv=10</t>
        </is>
      </c>
      <c r="L227" t="inlineStr">
        <is>
          <t>World Bank WDI: International tourism arrivals per 1 000 population</t>
        </is>
      </c>
      <c r="M227" t="inlineStr">
        <is>
          <t>2019-12-31</t>
        </is>
      </c>
      <c r="N227" t="inlineStr">
        <is>
          <t>auto_ingest=cultural_life_proxy; indicator=ST.INT.ARVL; norm=per_1000_pop; year=2019; country_proxy=Thailand</t>
        </is>
      </c>
    </row>
    <row r="228">
      <c r="A228" t="inlineStr">
        <is>
          <t>th-chiang-mai</t>
        </is>
      </c>
      <c r="B228" t="inlineStr">
        <is>
          <t>Chiang Mai</t>
        </is>
      </c>
      <c r="C228" t="inlineStr">
        <is>
          <t>Thailand</t>
        </is>
      </c>
      <c r="D228" t="inlineStr">
        <is>
          <t>Southeast Asia</t>
        </is>
      </c>
      <c r="E228" t="inlineStr">
        <is>
          <t>birth_rate_optimism_raw</t>
        </is>
      </c>
      <c r="F228" t="inlineStr">
        <is>
          <t>Birth rate and societal optimism raw</t>
        </is>
      </c>
      <c r="G228" t="inlineStr">
        <is>
          <t>community</t>
        </is>
      </c>
      <c r="H228" t="inlineStr">
        <is>
          <t>yes</t>
        </is>
      </c>
      <c r="I228" t="inlineStr">
        <is>
          <t>1.08</t>
        </is>
      </c>
      <c r="J228" t="inlineStr">
        <is>
          <t>world_bank</t>
        </is>
      </c>
      <c r="K228" t="inlineStr">
        <is>
          <t>https://data.worldbank.org/indicator/SP.DYN.TFRT.IN</t>
        </is>
      </c>
      <c r="L228" t="inlineStr">
        <is>
          <t>World Bank Total Fertility Rate 2023</t>
        </is>
      </c>
      <c r="M228" t="inlineStr">
        <is>
          <t>2024-01-01</t>
        </is>
      </c>
      <c r="N228" t="inlineStr"/>
    </row>
    <row r="229">
      <c r="A229" t="inlineStr">
        <is>
          <t>th-chiang-mai</t>
        </is>
      </c>
      <c r="B229" t="inlineStr">
        <is>
          <t>Chiang Mai</t>
        </is>
      </c>
      <c r="C229" t="inlineStr">
        <is>
          <t>Thailand</t>
        </is>
      </c>
      <c r="D229" t="inlineStr">
        <is>
          <t>Southeast Asia</t>
        </is>
      </c>
      <c r="E229" t="inlineStr">
        <is>
          <t>entrepreneurial_dynamism_raw</t>
        </is>
      </c>
      <c r="F229" t="inlineStr">
        <is>
          <t>Entrepreneurial dynamism raw</t>
        </is>
      </c>
      <c r="G229" t="inlineStr">
        <is>
          <t>creative</t>
        </is>
      </c>
      <c r="H229" t="inlineStr">
        <is>
          <t>yes</t>
        </is>
      </c>
      <c r="I229" t="inlineStr">
        <is>
          <t>1.54</t>
        </is>
      </c>
      <c r="J229" t="inlineStr">
        <is>
          <t>world_bank</t>
        </is>
      </c>
      <c r="K229" t="inlineStr">
        <is>
          <t>https://api.worldbank.org/v2/country/THA/indicator/IC.BUS.NDNS.ZS?format=json&amp;mrv=10</t>
        </is>
      </c>
      <c r="L229" t="inlineStr">
        <is>
          <t>World Bank WDI: New business density (new registrations per 1,000 people ages 15-64)</t>
        </is>
      </c>
      <c r="M229" t="inlineStr">
        <is>
          <t>2022-12-31</t>
        </is>
      </c>
      <c r="N229" t="inlineStr">
        <is>
          <t>auto_ingest=world_bank_creative_extended; indicator=IC.BUS.NDNS.ZS; year=2022; country_proxy=Thailand</t>
        </is>
      </c>
    </row>
    <row r="230">
      <c r="A230" t="inlineStr">
        <is>
          <t>th-chiang-mai</t>
        </is>
      </c>
      <c r="B230" t="inlineStr">
        <is>
          <t>Chiang Mai</t>
        </is>
      </c>
      <c r="C230" t="inlineStr">
        <is>
          <t>Thailand</t>
        </is>
      </c>
      <c r="D230" t="inlineStr">
        <is>
          <t>Southeast Asia</t>
        </is>
      </c>
      <c r="E230" t="inlineStr">
        <is>
          <t>innovation_research_intensity_raw</t>
        </is>
      </c>
      <c r="F230" t="inlineStr">
        <is>
          <t>Innovation and research raw</t>
        </is>
      </c>
      <c r="G230" t="inlineStr">
        <is>
          <t>creative</t>
        </is>
      </c>
      <c r="H230" t="inlineStr">
        <is>
          <t>yes</t>
        </is>
      </c>
      <c r="I230" t="inlineStr">
        <is>
          <t>1.16</t>
        </is>
      </c>
      <c r="J230" t="inlineStr">
        <is>
          <t>world_bank</t>
        </is>
      </c>
      <c r="K230" t="inlineStr">
        <is>
          <t>https://api.worldbank.org/v2/country/THA/indicator/GB.XPD.RSDV.GD.ZS?format=json&amp;mrv=10</t>
        </is>
      </c>
      <c r="L230" t="inlineStr">
        <is>
          <t>World Bank WDI: Research and development expenditure (% of GDP)</t>
        </is>
      </c>
      <c r="M230" t="inlineStr">
        <is>
          <t>2022-12-31</t>
        </is>
      </c>
      <c r="N230" t="inlineStr">
        <is>
          <t>auto_ingest=world_bank_creative_extended; indicator=GB.XPD.RSDV.GD.ZS; year=2022; country_proxy=Thailand</t>
        </is>
      </c>
    </row>
    <row r="231">
      <c r="A231" t="inlineStr">
        <is>
          <t>th-chiang-mai</t>
        </is>
      </c>
      <c r="B231" t="inlineStr">
        <is>
          <t>Chiang Mai</t>
        </is>
      </c>
      <c r="C231" t="inlineStr">
        <is>
          <t>Thailand</t>
        </is>
      </c>
      <c r="D231" t="inlineStr">
        <is>
          <t>Southeast Asia</t>
        </is>
      </c>
      <c r="E231" t="inlineStr">
        <is>
          <t>investment_signal_raw</t>
        </is>
      </c>
      <c r="F231" t="inlineStr">
        <is>
          <t>Investment signal raw</t>
        </is>
      </c>
      <c r="G231" t="inlineStr">
        <is>
          <t>creative</t>
        </is>
      </c>
      <c r="H231" t="inlineStr">
        <is>
          <t>yes</t>
        </is>
      </c>
      <c r="I231" t="inlineStr">
        <is>
          <t>2.72</t>
        </is>
      </c>
      <c r="J231" t="inlineStr">
        <is>
          <t>world_bank</t>
        </is>
      </c>
      <c r="K231" t="inlineStr">
        <is>
          <t>https://api.worldbank.org/v2/country/THA/indicator/BX.KLT.DINV.WD.GD.ZS?format=json&amp;mrv=10</t>
        </is>
      </c>
      <c r="L231" t="inlineStr">
        <is>
          <t>World Bank WDI: Foreign direct investment, net inflows (% of GDP)</t>
        </is>
      </c>
      <c r="M231" t="inlineStr">
        <is>
          <t>2024-12-31</t>
        </is>
      </c>
      <c r="N231" t="inlineStr">
        <is>
          <t>auto_ingest=world_bank_creative_extended; indicator=BX.KLT.DINV.WD.GD.ZS; year=2024; country_proxy=Thailand</t>
        </is>
      </c>
    </row>
    <row r="232">
      <c r="A232" t="inlineStr">
        <is>
          <t>th-chiang-mai</t>
        </is>
      </c>
      <c r="B232" t="inlineStr">
        <is>
          <t>Chiang Mai</t>
        </is>
      </c>
      <c r="C232" t="inlineStr">
        <is>
          <t>Thailand</t>
        </is>
      </c>
      <c r="D232" t="inlineStr">
        <is>
          <t>Southeast Asia</t>
        </is>
      </c>
      <c r="E232" t="inlineStr">
        <is>
          <t>administrative_investment_friction_raw</t>
        </is>
      </c>
      <c r="F232" t="inlineStr">
        <is>
          <t>Administrative investment friction raw</t>
        </is>
      </c>
      <c r="G232" t="inlineStr">
        <is>
          <t>creative</t>
        </is>
      </c>
      <c r="H232" t="inlineStr">
        <is>
          <t>yes</t>
        </is>
      </c>
      <c r="I232" t="inlineStr">
        <is>
          <t>2.34</t>
        </is>
      </c>
      <c r="J232" t="inlineStr">
        <is>
          <t>world_bank</t>
        </is>
      </c>
      <c r="K232" t="inlineStr">
        <is>
          <t>https://api.worldbank.org/v2/country/THA/indicator/RQ.EST?format=json&amp;mrv=10</t>
        </is>
      </c>
      <c r="L232" t="inlineStr">
        <is>
          <t>World Bank WGI: Regulatory Quality (inverted as friction proxy)</t>
        </is>
      </c>
      <c r="M232" t="inlineStr">
        <is>
          <t>2023-12-31</t>
        </is>
      </c>
      <c r="N232" t="inlineStr">
        <is>
          <t>auto_ingest=world_bank_business_friction; indicator=RQ.EST; raw_rq=0.158257782459259; friction=2.34; year=2023; country_proxy=Thailand</t>
        </is>
      </c>
    </row>
    <row r="233">
      <c r="A233" t="inlineStr">
        <is>
          <t>th-chiang-mai</t>
        </is>
      </c>
      <c r="B233" t="inlineStr">
        <is>
          <t>Chiang Mai</t>
        </is>
      </c>
      <c r="C233" t="inlineStr">
        <is>
          <t>Thailand</t>
        </is>
      </c>
      <c r="D233" t="inlineStr">
        <is>
          <t>Southeast Asia</t>
        </is>
      </c>
      <c r="E233" t="inlineStr">
        <is>
          <t>visitor_flow_context_raw</t>
        </is>
      </c>
      <c r="F233" t="inlineStr">
        <is>
          <t>Visitor flow context raw</t>
        </is>
      </c>
      <c r="G233" t="inlineStr">
        <is>
          <t>creative</t>
        </is>
      </c>
      <c r="H233" t="inlineStr">
        <is>
          <t>no</t>
        </is>
      </c>
      <c r="I233" t="inlineStr"/>
      <c r="J233" t="inlineStr"/>
      <c r="K233" t="inlineStr"/>
      <c r="L233" t="inlineStr"/>
      <c r="M233" t="inlineStr"/>
      <c r="N233" t="inlineStr"/>
    </row>
    <row r="234">
      <c r="A234" t="inlineStr">
        <is>
          <t>my-kuching</t>
        </is>
      </c>
      <c r="B234" t="inlineStr">
        <is>
          <t>Kuching</t>
        </is>
      </c>
      <c r="C234" t="inlineStr">
        <is>
          <t>Malaysia</t>
        </is>
      </c>
      <c r="D234" t="inlineStr">
        <is>
          <t>Southeast Asia</t>
        </is>
      </c>
      <c r="E234" t="inlineStr">
        <is>
          <t>gross_income</t>
        </is>
      </c>
      <c r="F234" t="inlineStr">
        <is>
          <t>Gross income</t>
        </is>
      </c>
      <c r="G234" t="inlineStr">
        <is>
          <t>pressure</t>
        </is>
      </c>
      <c r="H234" t="inlineStr">
        <is>
          <t>yes</t>
        </is>
      </c>
      <c r="I234" t="inlineStr">
        <is>
          <t>3120.83</t>
        </is>
      </c>
      <c r="J234" t="inlineStr">
        <is>
          <t>world_bank_col_estimate</t>
        </is>
      </c>
      <c r="K234" t="inlineStr">
        <is>
          <t>https://api.worldbank.org/v2/country/MYS/indicator/NY.GNP.PCAP.PP.CD?format=json&amp;mrv=10</t>
        </is>
      </c>
      <c r="L234" t="inlineStr">
        <is>
          <t>World Bank WDI: GNI per capita PPP (monthly USD)</t>
        </is>
      </c>
      <c r="M234" t="inlineStr">
        <is>
          <t>2024-12-31</t>
        </is>
      </c>
      <c r="N234" t="inlineStr">
        <is>
          <t>auto_ingest=world_bank_col_estimate; gni_annual=37450.0; year=2024; country_proxy=Malaysia; cohort=Southeast Asia</t>
        </is>
      </c>
    </row>
    <row r="235">
      <c r="A235" t="inlineStr">
        <is>
          <t>my-kuching</t>
        </is>
      </c>
      <c r="B235" t="inlineStr">
        <is>
          <t>Kuching</t>
        </is>
      </c>
      <c r="C235" t="inlineStr">
        <is>
          <t>Malaysia</t>
        </is>
      </c>
      <c r="D235" t="inlineStr">
        <is>
          <t>Southeast Asia</t>
        </is>
      </c>
      <c r="E235" t="inlineStr">
        <is>
          <t>di_ppp_raw</t>
        </is>
      </c>
      <c r="F235" t="inlineStr">
        <is>
          <t>Disposable income PPP (Raw)</t>
        </is>
      </c>
      <c r="G235" t="inlineStr">
        <is>
          <t>pressure</t>
        </is>
      </c>
      <c r="H235" t="inlineStr">
        <is>
          <t>yes</t>
        </is>
      </c>
      <c r="I235" t="inlineStr"/>
      <c r="J235" t="inlineStr"/>
      <c r="K235" t="inlineStr"/>
      <c r="L235" t="inlineStr"/>
      <c r="M235" t="inlineStr"/>
      <c r="N235" t="inlineStr"/>
    </row>
    <row r="236">
      <c r="A236" t="inlineStr">
        <is>
          <t>my-kuching</t>
        </is>
      </c>
      <c r="B236" t="inlineStr">
        <is>
          <t>Kuching</t>
        </is>
      </c>
      <c r="C236" t="inlineStr">
        <is>
          <t>Malaysia</t>
        </is>
      </c>
      <c r="D236" t="inlineStr">
        <is>
          <t>Southeast Asia</t>
        </is>
      </c>
      <c r="E236" t="inlineStr">
        <is>
          <t>rent</t>
        </is>
      </c>
      <c r="F236" t="inlineStr">
        <is>
          <t>Rent</t>
        </is>
      </c>
      <c r="G236" t="inlineStr">
        <is>
          <t>pressure</t>
        </is>
      </c>
      <c r="H236" t="inlineStr">
        <is>
          <t>yes</t>
        </is>
      </c>
      <c r="I236" t="inlineStr">
        <is>
          <t>436.92</t>
        </is>
      </c>
      <c r="J236" t="inlineStr">
        <is>
          <t>world_bank_col_estimate</t>
        </is>
      </c>
      <c r="K236" t="inlineStr">
        <is>
          <t>https://api.worldbank.org/v2/country/MYS/indicator/NY.GNP.PCAP.PP.CD?format=json&amp;mrv=10</t>
        </is>
      </c>
      <c r="L236" t="inlineStr">
        <is>
          <t>World Bank GNI + regional expenditure ratio estimate</t>
        </is>
      </c>
      <c r="M236" t="inlineStr">
        <is>
          <t>2024-12-31</t>
        </is>
      </c>
      <c r="N236" t="inlineStr">
        <is>
          <t>auto_ingest=world_bank_col_estimate; gni_annual=37450.0; year=2024; country_proxy=Malaysia; cohort=Southeast Asia; city_cost_mult=0.7</t>
        </is>
      </c>
    </row>
    <row r="237">
      <c r="A237" t="inlineStr">
        <is>
          <t>my-kuching</t>
        </is>
      </c>
      <c r="B237" t="inlineStr">
        <is>
          <t>Kuching</t>
        </is>
      </c>
      <c r="C237" t="inlineStr">
        <is>
          <t>Malaysia</t>
        </is>
      </c>
      <c r="D237" t="inlineStr">
        <is>
          <t>Southeast Asia</t>
        </is>
      </c>
      <c r="E237" t="inlineStr">
        <is>
          <t>utilities</t>
        </is>
      </c>
      <c r="F237" t="inlineStr">
        <is>
          <t>Utilities</t>
        </is>
      </c>
      <c r="G237" t="inlineStr">
        <is>
          <t>pressure</t>
        </is>
      </c>
      <c r="H237" t="inlineStr">
        <is>
          <t>yes</t>
        </is>
      </c>
      <c r="I237" t="inlineStr">
        <is>
          <t>109.23</t>
        </is>
      </c>
      <c r="J237" t="inlineStr">
        <is>
          <t>world_bank_col_estimate</t>
        </is>
      </c>
      <c r="K237" t="inlineStr">
        <is>
          <t>https://api.worldbank.org/v2/country/MYS/indicator/NY.GNP.PCAP.PP.CD?format=json&amp;mrv=10</t>
        </is>
      </c>
      <c r="L237" t="inlineStr">
        <is>
          <t>World Bank GNI + regional expenditure ratio estimate</t>
        </is>
      </c>
      <c r="M237" t="inlineStr">
        <is>
          <t>2024-12-31</t>
        </is>
      </c>
      <c r="N237" t="inlineStr">
        <is>
          <t>auto_ingest=world_bank_col_estimate; gni_annual=37450.0; year=2024; country_proxy=Malaysia; cohort=Southeast Asia; city_cost_mult=0.7</t>
        </is>
      </c>
    </row>
    <row r="238">
      <c r="A238" t="inlineStr">
        <is>
          <t>my-kuching</t>
        </is>
      </c>
      <c r="B238" t="inlineStr">
        <is>
          <t>Kuching</t>
        </is>
      </c>
      <c r="C238" t="inlineStr">
        <is>
          <t>Malaysia</t>
        </is>
      </c>
      <c r="D238" t="inlineStr">
        <is>
          <t>Southeast Asia</t>
        </is>
      </c>
      <c r="E238" t="inlineStr">
        <is>
          <t>transit_cost</t>
        </is>
      </c>
      <c r="F238" t="inlineStr">
        <is>
          <t>Transit cost</t>
        </is>
      </c>
      <c r="G238" t="inlineStr">
        <is>
          <t>pressure</t>
        </is>
      </c>
      <c r="H238" t="inlineStr">
        <is>
          <t>yes</t>
        </is>
      </c>
      <c r="I238" t="inlineStr">
        <is>
          <t>87.38</t>
        </is>
      </c>
      <c r="J238" t="inlineStr">
        <is>
          <t>world_bank_col_estimate</t>
        </is>
      </c>
      <c r="K238" t="inlineStr">
        <is>
          <t>https://api.worldbank.org/v2/country/MYS/indicator/NY.GNP.PCAP.PP.CD?format=json&amp;mrv=10</t>
        </is>
      </c>
      <c r="L238" t="inlineStr">
        <is>
          <t>World Bank GNI + regional expenditure ratio estimate</t>
        </is>
      </c>
      <c r="M238" t="inlineStr">
        <is>
          <t>2024-12-31</t>
        </is>
      </c>
      <c r="N238" t="inlineStr">
        <is>
          <t>auto_ingest=world_bank_col_estimate; gni_annual=37450.0; year=2024; country_proxy=Malaysia; cohort=Southeast Asia; city_cost_mult=0.7</t>
        </is>
      </c>
    </row>
    <row r="239">
      <c r="A239" t="inlineStr">
        <is>
          <t>my-kuching</t>
        </is>
      </c>
      <c r="B239" t="inlineStr">
        <is>
          <t>Kuching</t>
        </is>
      </c>
      <c r="C239" t="inlineStr">
        <is>
          <t>Malaysia</t>
        </is>
      </c>
      <c r="D239" t="inlineStr">
        <is>
          <t>Southeast Asia</t>
        </is>
      </c>
      <c r="E239" t="inlineStr">
        <is>
          <t>internet_cost</t>
        </is>
      </c>
      <c r="F239" t="inlineStr">
        <is>
          <t>Internet cost</t>
        </is>
      </c>
      <c r="G239" t="inlineStr">
        <is>
          <t>pressure</t>
        </is>
      </c>
      <c r="H239" t="inlineStr">
        <is>
          <t>yes</t>
        </is>
      </c>
      <c r="I239" t="inlineStr">
        <is>
          <t>32.77</t>
        </is>
      </c>
      <c r="J239" t="inlineStr">
        <is>
          <t>world_bank_col_estimate</t>
        </is>
      </c>
      <c r="K239" t="inlineStr">
        <is>
          <t>https://api.worldbank.org/v2/country/MYS/indicator/NY.GNP.PCAP.PP.CD?format=json&amp;mrv=10</t>
        </is>
      </c>
      <c r="L239" t="inlineStr">
        <is>
          <t>World Bank GNI + regional expenditure ratio estimate</t>
        </is>
      </c>
      <c r="M239" t="inlineStr">
        <is>
          <t>2024-12-31</t>
        </is>
      </c>
      <c r="N239" t="inlineStr">
        <is>
          <t>auto_ingest=world_bank_col_estimate; gni_annual=37450.0; year=2024; country_proxy=Malaysia; cohort=Southeast Asia; city_cost_mult=0.7</t>
        </is>
      </c>
    </row>
    <row r="240">
      <c r="A240" t="inlineStr">
        <is>
          <t>my-kuching</t>
        </is>
      </c>
      <c r="B240" t="inlineStr">
        <is>
          <t>Kuching</t>
        </is>
      </c>
      <c r="C240" t="inlineStr">
        <is>
          <t>Malaysia</t>
        </is>
      </c>
      <c r="D240" t="inlineStr">
        <is>
          <t>Southeast Asia</t>
        </is>
      </c>
      <c r="E240" t="inlineStr">
        <is>
          <t>food_cost</t>
        </is>
      </c>
      <c r="F240" t="inlineStr">
        <is>
          <t>Food cost</t>
        </is>
      </c>
      <c r="G240" t="inlineStr">
        <is>
          <t>pressure</t>
        </is>
      </c>
      <c r="H240" t="inlineStr">
        <is>
          <t>yes</t>
        </is>
      </c>
      <c r="I240" t="inlineStr">
        <is>
          <t>480.61</t>
        </is>
      </c>
      <c r="J240" t="inlineStr">
        <is>
          <t>world_bank_col_estimate</t>
        </is>
      </c>
      <c r="K240" t="inlineStr">
        <is>
          <t>https://api.worldbank.org/v2/country/MYS/indicator/NY.GNP.PCAP.PP.CD?format=json&amp;mrv=10</t>
        </is>
      </c>
      <c r="L240" t="inlineStr">
        <is>
          <t>World Bank GNI + regional expenditure ratio estimate</t>
        </is>
      </c>
      <c r="M240" t="inlineStr">
        <is>
          <t>2024-12-31</t>
        </is>
      </c>
      <c r="N240" t="inlineStr">
        <is>
          <t>auto_ingest=world_bank_col_estimate; gni_annual=37450.0; year=2024; country_proxy=Malaysia; cohort=Southeast Asia; city_cost_mult=0.7</t>
        </is>
      </c>
    </row>
    <row r="241">
      <c r="A241" t="inlineStr">
        <is>
          <t>my-kuching</t>
        </is>
      </c>
      <c r="B241" t="inlineStr">
        <is>
          <t>Kuching</t>
        </is>
      </c>
      <c r="C241" t="inlineStr">
        <is>
          <t>Malaysia</t>
        </is>
      </c>
      <c r="D241" t="inlineStr">
        <is>
          <t>Southeast Asia</t>
        </is>
      </c>
      <c r="E241" t="inlineStr">
        <is>
          <t>housing_burden_raw</t>
        </is>
      </c>
      <c r="F241" t="inlineStr">
        <is>
          <t>Housing burden raw</t>
        </is>
      </c>
      <c r="G241" t="inlineStr">
        <is>
          <t>pressure</t>
        </is>
      </c>
      <c r="H241" t="inlineStr">
        <is>
          <t>yes</t>
        </is>
      </c>
      <c r="I241" t="inlineStr">
        <is>
          <t>14.0001</t>
        </is>
      </c>
      <c r="J241" t="inlineStr">
        <is>
          <t>derived</t>
        </is>
      </c>
      <c r="K241" t="inlineStr">
        <is>
          <t>https://data.worldbank.org/indicator/NY.GNP.PCAP.PP.CD</t>
        </is>
      </c>
      <c r="L241" t="inlineStr">
        <is>
          <t>Computed from city_inputs + country_context</t>
        </is>
      </c>
      <c r="M241" t="inlineStr">
        <is>
          <t>2024-01-01</t>
        </is>
      </c>
      <c r="N241" t="inlineStr">
        <is>
          <t>derived=rent/gross_income*100</t>
        </is>
      </c>
    </row>
    <row r="242">
      <c r="A242" t="inlineStr">
        <is>
          <t>my-kuching</t>
        </is>
      </c>
      <c r="B242" t="inlineStr">
        <is>
          <t>Kuching</t>
        </is>
      </c>
      <c r="C242" t="inlineStr">
        <is>
          <t>Malaysia</t>
        </is>
      </c>
      <c r="D242" t="inlineStr">
        <is>
          <t>Southeast Asia</t>
        </is>
      </c>
      <c r="E242" t="inlineStr">
        <is>
          <t>household_debt_burden_raw</t>
        </is>
      </c>
      <c r="F242" t="inlineStr">
        <is>
          <t>Household debt burden raw</t>
        </is>
      </c>
      <c r="G242" t="inlineStr">
        <is>
          <t>pressure</t>
        </is>
      </c>
      <c r="H242" t="inlineStr">
        <is>
          <t>yes</t>
        </is>
      </c>
      <c r="I242" t="inlineStr">
        <is>
          <t>116.0773</t>
        </is>
      </c>
      <c r="J242" t="inlineStr">
        <is>
          <t>derived</t>
        </is>
      </c>
      <c r="K242" t="inlineStr">
        <is>
          <t>https://data.worldbank.org/indicator/NY.GNP.PCAP.PP.CD</t>
        </is>
      </c>
      <c r="L242" t="inlineStr">
        <is>
          <t>Computed from city_inputs + country_context</t>
        </is>
      </c>
      <c r="M242" t="inlineStr">
        <is>
          <t>2024-01-01</t>
        </is>
      </c>
      <c r="N242" t="inlineStr">
        <is>
          <t>derived=country_context.household_debt_proxy; country=Malaysia</t>
        </is>
      </c>
    </row>
    <row r="243">
      <c r="A243" t="inlineStr">
        <is>
          <t>my-kuching</t>
        </is>
      </c>
      <c r="B243" t="inlineStr">
        <is>
          <t>Kuching</t>
        </is>
      </c>
      <c r="C243" t="inlineStr">
        <is>
          <t>Malaysia</t>
        </is>
      </c>
      <c r="D243" t="inlineStr">
        <is>
          <t>Southeast Asia</t>
        </is>
      </c>
      <c r="E243" t="inlineStr">
        <is>
          <t>working_time_pressure_raw</t>
        </is>
      </c>
      <c r="F243" t="inlineStr">
        <is>
          <t>Working time pressure raw</t>
        </is>
      </c>
      <c r="G243" t="inlineStr">
        <is>
          <t>pressure</t>
        </is>
      </c>
      <c r="H243" t="inlineStr">
        <is>
          <t>yes</t>
        </is>
      </c>
      <c r="I243" t="inlineStr">
        <is>
          <t>44.7</t>
        </is>
      </c>
      <c r="J243" t="inlineStr">
        <is>
          <t>ilo_ilostat</t>
        </is>
      </c>
      <c r="K243" t="inlineStr">
        <is>
          <t>https://ilostat.ilo.org/data/indicator/?id=HOW_TEMP_SEX_ECO_NB_A&amp;ref_area=MYS</t>
        </is>
      </c>
      <c r="L243" t="inlineStr">
        <is>
          <t>ILO ILOSTAT: Mean weekly hours actually worked per employed person</t>
        </is>
      </c>
      <c r="M243" t="inlineStr">
        <is>
          <t>2022-12-31</t>
        </is>
      </c>
      <c r="N243" t="inlineStr">
        <is>
          <t>auto_ingest=ilo_working_hours; indicator=HOW_TEMP_SEX_ECO_NB_A; year=2022; hours=44.7; country_proxy=Malaysia</t>
        </is>
      </c>
    </row>
    <row r="244">
      <c r="A244" t="inlineStr">
        <is>
          <t>my-kuching</t>
        </is>
      </c>
      <c r="B244" t="inlineStr">
        <is>
          <t>Kuching</t>
        </is>
      </c>
      <c r="C244" t="inlineStr">
        <is>
          <t>Malaysia</t>
        </is>
      </c>
      <c r="D244" t="inlineStr">
        <is>
          <t>Southeast Asia</t>
        </is>
      </c>
      <c r="E244" t="inlineStr">
        <is>
          <t>suicide_mental_strain_raw</t>
        </is>
      </c>
      <c r="F244" t="inlineStr">
        <is>
          <t>Suicide or mental strain raw</t>
        </is>
      </c>
      <c r="G244" t="inlineStr">
        <is>
          <t>pressure</t>
        </is>
      </c>
      <c r="H244" t="inlineStr">
        <is>
          <t>yes</t>
        </is>
      </c>
      <c r="I244" t="inlineStr">
        <is>
          <t>5.65</t>
        </is>
      </c>
      <c r="J244" t="inlineStr">
        <is>
          <t>who_gho</t>
        </is>
      </c>
      <c r="K244" t="inlineStr">
        <is>
          <t>https://www.who.int/data/gho/data/indicators/indicator-details/GHO/SDGSUICIDE</t>
        </is>
      </c>
      <c r="L244" t="inlineStr">
        <is>
          <t>WHO GHO: Age-standardized suicide rate (per 100,000 population)</t>
        </is>
      </c>
      <c r="M244" t="inlineStr">
        <is>
          <t>2021-12-31</t>
        </is>
      </c>
      <c r="N244" t="inlineStr">
        <is>
          <t>auto_ingest=who_gho; indicator=SDGSUICIDE; year=2021; country_proxy=Malaysia</t>
        </is>
      </c>
    </row>
    <row r="245">
      <c r="A245" t="inlineStr">
        <is>
          <t>my-kuching</t>
        </is>
      </c>
      <c r="B245" t="inlineStr">
        <is>
          <t>Kuching</t>
        </is>
      </c>
      <c r="C245" t="inlineStr">
        <is>
          <t>Malaysia</t>
        </is>
      </c>
      <c r="D245" t="inlineStr">
        <is>
          <t>Southeast Asia</t>
        </is>
      </c>
      <c r="E245" t="inlineStr">
        <is>
          <t>personal_safety_raw</t>
        </is>
      </c>
      <c r="F245" t="inlineStr">
        <is>
          <t>Personal safety raw</t>
        </is>
      </c>
      <c r="G245" t="inlineStr">
        <is>
          <t>viability</t>
        </is>
      </c>
      <c r="H245" t="inlineStr">
        <is>
          <t>yes</t>
        </is>
      </c>
      <c r="I245" t="inlineStr">
        <is>
          <t>0.73</t>
        </is>
      </c>
      <c r="J245" t="inlineStr">
        <is>
          <t>world_bank</t>
        </is>
      </c>
      <c r="K245" t="inlineStr">
        <is>
          <t>https://api.worldbank.org/v2/country/MYS/indicator/VC.IHR.PSRC.P5?format=json&amp;mrv=10</t>
        </is>
      </c>
      <c r="L245" t="inlineStr">
        <is>
          <t>UNODC via World Bank WDI: Intentional homicides (per 100,000 people)</t>
        </is>
      </c>
      <c r="M245" t="inlineStr">
        <is>
          <t>2023-12-31</t>
        </is>
      </c>
      <c r="N245" t="inlineStr">
        <is>
          <t>auto_ingest=unodc_safety; indicator=VC.IHR.PSRC.P5; year=2023; country_proxy=Malaysia</t>
        </is>
      </c>
    </row>
    <row r="246">
      <c r="A246" t="inlineStr">
        <is>
          <t>my-kuching</t>
        </is>
      </c>
      <c r="B246" t="inlineStr">
        <is>
          <t>Kuching</t>
        </is>
      </c>
      <c r="C246" t="inlineStr">
        <is>
          <t>Malaysia</t>
        </is>
      </c>
      <c r="D246" t="inlineStr">
        <is>
          <t>Southeast Asia</t>
        </is>
      </c>
      <c r="E246" t="inlineStr">
        <is>
          <t>transit_access_commute_raw</t>
        </is>
      </c>
      <c r="F246" t="inlineStr">
        <is>
          <t>Transit access and commute raw</t>
        </is>
      </c>
      <c r="G246" t="inlineStr">
        <is>
          <t>viability</t>
        </is>
      </c>
      <c r="H246" t="inlineStr">
        <is>
          <t>yes</t>
        </is>
      </c>
      <c r="I246" t="inlineStr"/>
      <c r="J246" t="inlineStr"/>
      <c r="K246" t="inlineStr"/>
      <c r="L246" t="inlineStr"/>
      <c r="M246" t="inlineStr"/>
      <c r="N246" t="inlineStr"/>
    </row>
    <row r="247">
      <c r="A247" t="inlineStr">
        <is>
          <t>my-kuching</t>
        </is>
      </c>
      <c r="B247" t="inlineStr">
        <is>
          <t>Kuching</t>
        </is>
      </c>
      <c r="C247" t="inlineStr">
        <is>
          <t>Malaysia</t>
        </is>
      </c>
      <c r="D247" t="inlineStr">
        <is>
          <t>Southeast Asia</t>
        </is>
      </c>
      <c r="E247" t="inlineStr">
        <is>
          <t>clean_air_raw</t>
        </is>
      </c>
      <c r="F247" t="inlineStr">
        <is>
          <t>Clean air raw</t>
        </is>
      </c>
      <c r="G247" t="inlineStr">
        <is>
          <t>viability</t>
        </is>
      </c>
      <c r="H247" t="inlineStr">
        <is>
          <t>yes</t>
        </is>
      </c>
      <c r="I247" t="inlineStr"/>
      <c r="J247" t="inlineStr"/>
      <c r="K247" t="inlineStr"/>
      <c r="L247" t="inlineStr"/>
      <c r="M247" t="inlineStr"/>
      <c r="N247" t="inlineStr"/>
    </row>
    <row r="248">
      <c r="A248" t="inlineStr">
        <is>
          <t>my-kuching</t>
        </is>
      </c>
      <c r="B248" t="inlineStr">
        <is>
          <t>Kuching</t>
        </is>
      </c>
      <c r="C248" t="inlineStr">
        <is>
          <t>Malaysia</t>
        </is>
      </c>
      <c r="D248" t="inlineStr">
        <is>
          <t>Southeast Asia</t>
        </is>
      </c>
      <c r="E248" t="inlineStr">
        <is>
          <t>water_sanitation_utility_raw</t>
        </is>
      </c>
      <c r="F248" t="inlineStr">
        <is>
          <t>Water, sanitation, and utility raw</t>
        </is>
      </c>
      <c r="G248" t="inlineStr">
        <is>
          <t>viability</t>
        </is>
      </c>
      <c r="H248" t="inlineStr">
        <is>
          <t>yes</t>
        </is>
      </c>
      <c r="I248" t="inlineStr">
        <is>
          <t>94.7</t>
        </is>
      </c>
      <c r="J248" t="inlineStr">
        <is>
          <t>world_bank</t>
        </is>
      </c>
      <c r="K248" t="inlineStr">
        <is>
          <t>https://api.worldbank.org/v2/country/MYS/indicator/SH.H2O.SMDW.ZS?format=json&amp;mrv=10</t>
        </is>
      </c>
      <c r="L248" t="inlineStr">
        <is>
          <t>World Bank WDI: People using safely managed drinking water services (% of population)</t>
        </is>
      </c>
      <c r="M248" t="inlineStr">
        <is>
          <t>2024-12-31</t>
        </is>
      </c>
      <c r="N248" t="inlineStr">
        <is>
          <t>auto_ingest=world_bank_proxy; indicator=SH.H2O.SMDW.ZS; year=2024; country_proxy=Malaysia</t>
        </is>
      </c>
    </row>
    <row r="249">
      <c r="A249" t="inlineStr">
        <is>
          <t>my-kuching</t>
        </is>
      </c>
      <c r="B249" t="inlineStr">
        <is>
          <t>Kuching</t>
        </is>
      </c>
      <c r="C249" t="inlineStr">
        <is>
          <t>Malaysia</t>
        </is>
      </c>
      <c r="D249" t="inlineStr">
        <is>
          <t>Southeast Asia</t>
        </is>
      </c>
      <c r="E249" t="inlineStr">
        <is>
          <t>digital_infrastructure_raw</t>
        </is>
      </c>
      <c r="F249" t="inlineStr">
        <is>
          <t>Digital infrastructure raw</t>
        </is>
      </c>
      <c r="G249" t="inlineStr">
        <is>
          <t>viability</t>
        </is>
      </c>
      <c r="H249" t="inlineStr">
        <is>
          <t>yes</t>
        </is>
      </c>
      <c r="I249" t="inlineStr">
        <is>
          <t>13.03</t>
        </is>
      </c>
      <c r="J249" t="inlineStr">
        <is>
          <t>world_bank</t>
        </is>
      </c>
      <c r="K249" t="inlineStr">
        <is>
          <t>https://api.worldbank.org/v2/country/MYS/indicator/IT.NET.BBND.P2?format=json&amp;mrv=10</t>
        </is>
      </c>
      <c r="L249" t="inlineStr">
        <is>
          <t>World Bank WDI: Fixed broadband subscriptions (per 100 people)</t>
        </is>
      </c>
      <c r="M249" t="inlineStr">
        <is>
          <t>2023-12-31</t>
        </is>
      </c>
      <c r="N249" t="inlineStr">
        <is>
          <t>auto_ingest=world_bank_proxy; indicator=IT.NET.BBND.P2; year=2023; country_proxy=Malaysia</t>
        </is>
      </c>
    </row>
    <row r="250">
      <c r="A250" t="inlineStr">
        <is>
          <t>my-kuching</t>
        </is>
      </c>
      <c r="B250" t="inlineStr">
        <is>
          <t>Kuching</t>
        </is>
      </c>
      <c r="C250" t="inlineStr">
        <is>
          <t>Malaysia</t>
        </is>
      </c>
      <c r="D250" t="inlineStr">
        <is>
          <t>Southeast Asia</t>
        </is>
      </c>
      <c r="E250" t="inlineStr">
        <is>
          <t>climate_sunlight_livability_raw</t>
        </is>
      </c>
      <c r="F250" t="inlineStr">
        <is>
          <t>Climate and sunlight livability raw</t>
        </is>
      </c>
      <c r="G250" t="inlineStr">
        <is>
          <t>viability</t>
        </is>
      </c>
      <c r="H250" t="inlineStr">
        <is>
          <t>yes</t>
        </is>
      </c>
      <c r="I250" t="inlineStr"/>
      <c r="J250" t="inlineStr"/>
      <c r="K250" t="inlineStr"/>
      <c r="L250" t="inlineStr"/>
      <c r="M250" t="inlineStr"/>
      <c r="N250" t="inlineStr"/>
    </row>
    <row r="251">
      <c r="A251" t="inlineStr">
        <is>
          <t>my-kuching</t>
        </is>
      </c>
      <c r="B251" t="inlineStr">
        <is>
          <t>Kuching</t>
        </is>
      </c>
      <c r="C251" t="inlineStr">
        <is>
          <t>Malaysia</t>
        </is>
      </c>
      <c r="D251" t="inlineStr">
        <is>
          <t>Southeast Asia</t>
        </is>
      </c>
      <c r="E251" t="inlineStr">
        <is>
          <t>healthcare_quality_raw</t>
        </is>
      </c>
      <c r="F251" t="inlineStr">
        <is>
          <t>Healthcare quality raw</t>
        </is>
      </c>
      <c r="G251" t="inlineStr">
        <is>
          <t>capability</t>
        </is>
      </c>
      <c r="H251" t="inlineStr">
        <is>
          <t>yes</t>
        </is>
      </c>
      <c r="I251" t="inlineStr">
        <is>
          <t>80.0</t>
        </is>
      </c>
      <c r="J251" t="inlineStr">
        <is>
          <t>who_gho</t>
        </is>
      </c>
      <c r="K251" t="inlineStr">
        <is>
          <t>https://www.who.int/data/gho/data/indicators/indicator-details/GHO/UHC_INDEX_REPORTED</t>
        </is>
      </c>
      <c r="L251" t="inlineStr">
        <is>
          <t>WHO GHO: UHC Service Coverage Index</t>
        </is>
      </c>
      <c r="M251" t="inlineStr">
        <is>
          <t>2023-12-31</t>
        </is>
      </c>
      <c r="N251" t="inlineStr">
        <is>
          <t>auto_ingest=who_gho; indicator=UHC_INDEX_REPORTED; year=2023; country_proxy=Malaysia</t>
        </is>
      </c>
    </row>
    <row r="252">
      <c r="A252" t="inlineStr">
        <is>
          <t>my-kuching</t>
        </is>
      </c>
      <c r="B252" t="inlineStr">
        <is>
          <t>Kuching</t>
        </is>
      </c>
      <c r="C252" t="inlineStr">
        <is>
          <t>Malaysia</t>
        </is>
      </c>
      <c r="D252" t="inlineStr">
        <is>
          <t>Southeast Asia</t>
        </is>
      </c>
      <c r="E252" t="inlineStr">
        <is>
          <t>education_quality_raw</t>
        </is>
      </c>
      <c r="F252" t="inlineStr">
        <is>
          <t>Education quality raw</t>
        </is>
      </c>
      <c r="G252" t="inlineStr">
        <is>
          <t>capability</t>
        </is>
      </c>
      <c r="H252" t="inlineStr">
        <is>
          <t>yes</t>
        </is>
      </c>
      <c r="I252" t="inlineStr">
        <is>
          <t>38.5</t>
        </is>
      </c>
      <c r="J252" t="inlineStr">
        <is>
          <t>world_bank</t>
        </is>
      </c>
      <c r="K252" t="inlineStr">
        <is>
          <t>https://api.worldbank.org/v2/country/MYS/indicator/SE.TER.ENRR?format=json&amp;mrv=10</t>
        </is>
      </c>
      <c r="L252" t="inlineStr">
        <is>
          <t>World Bank WDI: School enrollment, tertiary (% gross)</t>
        </is>
      </c>
      <c r="M252" t="inlineStr">
        <is>
          <t>2024-12-31</t>
        </is>
      </c>
      <c r="N252" t="inlineStr">
        <is>
          <t>auto_ingest=world_bank_proxy; indicator=SE.TER.ENRR; year=2024; country_proxy=Malaysia</t>
        </is>
      </c>
    </row>
    <row r="253">
      <c r="A253" t="inlineStr">
        <is>
          <t>my-kuching</t>
        </is>
      </c>
      <c r="B253" t="inlineStr">
        <is>
          <t>Kuching</t>
        </is>
      </c>
      <c r="C253" t="inlineStr">
        <is>
          <t>Malaysia</t>
        </is>
      </c>
      <c r="D253" t="inlineStr">
        <is>
          <t>Southeast Asia</t>
        </is>
      </c>
      <c r="E253" t="inlineStr">
        <is>
          <t>equal_opportunity_raw</t>
        </is>
      </c>
      <c r="F253" t="inlineStr">
        <is>
          <t>Equal opportunity raw</t>
        </is>
      </c>
      <c r="G253" t="inlineStr">
        <is>
          <t>capability</t>
        </is>
      </c>
      <c r="H253" t="inlineStr">
        <is>
          <t>yes</t>
        </is>
      </c>
      <c r="I253" t="inlineStr">
        <is>
          <t>40.7</t>
        </is>
      </c>
      <c r="J253" t="inlineStr">
        <is>
          <t>world_bank</t>
        </is>
      </c>
      <c r="K253" t="inlineStr">
        <is>
          <t>https://api.worldbank.org/v2/country/MYS/indicator/SI.POV.GINI?format=json&amp;mrv=10</t>
        </is>
      </c>
      <c r="L253" t="inlineStr">
        <is>
          <t>World Bank WDI: Gini index</t>
        </is>
      </c>
      <c r="M253" t="inlineStr">
        <is>
          <t>2021-12-31</t>
        </is>
      </c>
      <c r="N253" t="inlineStr">
        <is>
          <t>auto_ingest=world_bank_capability; indicator=SI.POV.GINI; year=2021; country_proxy=Malaysia</t>
        </is>
      </c>
    </row>
    <row r="254">
      <c r="A254" t="inlineStr">
        <is>
          <t>my-kuching</t>
        </is>
      </c>
      <c r="B254" t="inlineStr">
        <is>
          <t>Kuching</t>
        </is>
      </c>
      <c r="C254" t="inlineStr">
        <is>
          <t>Malaysia</t>
        </is>
      </c>
      <c r="D254" t="inlineStr">
        <is>
          <t>Southeast Asia</t>
        </is>
      </c>
      <c r="E254" t="inlineStr">
        <is>
          <t>hospitality_belonging_raw</t>
        </is>
      </c>
      <c r="F254" t="inlineStr">
        <is>
          <t>Hospitality and belonging raw</t>
        </is>
      </c>
      <c r="G254" t="inlineStr">
        <is>
          <t>community</t>
        </is>
      </c>
      <c r="H254" t="inlineStr">
        <is>
          <t>yes</t>
        </is>
      </c>
      <c r="I254" t="inlineStr">
        <is>
          <t>54.69</t>
        </is>
      </c>
      <c r="J254" t="inlineStr">
        <is>
          <t>world_bank</t>
        </is>
      </c>
      <c r="K254" t="inlineStr">
        <is>
          <t>https://api.worldbank.org/v2/country/MYS/indicator/SM.POP.NETM?format=json&amp;mrv=10</t>
        </is>
      </c>
      <c r="L254" t="inlineStr">
        <is>
          <t>World Bank WDI: Net migration (proxy for hospitality/belonging — positive = welcoming)</t>
        </is>
      </c>
      <c r="M254" t="inlineStr">
        <is>
          <t>2025-12-31</t>
        </is>
      </c>
      <c r="N254" t="inlineStr">
        <is>
          <t>auto_ingest=world_bank_proxy; proxy=net_migration_hospitality; indicator=SM.POP.NETM; year=2025; country_proxy=Malaysia</t>
        </is>
      </c>
    </row>
    <row r="255">
      <c r="A255" t="inlineStr">
        <is>
          <t>my-kuching</t>
        </is>
      </c>
      <c r="B255" t="inlineStr">
        <is>
          <t>Kuching</t>
        </is>
      </c>
      <c r="C255" t="inlineStr">
        <is>
          <t>Malaysia</t>
        </is>
      </c>
      <c r="D255" t="inlineStr">
        <is>
          <t>Southeast Asia</t>
        </is>
      </c>
      <c r="E255" t="inlineStr">
        <is>
          <t>tolerance_pluralism_raw</t>
        </is>
      </c>
      <c r="F255" t="inlineStr">
        <is>
          <t>Tolerance and pluralism raw</t>
        </is>
      </c>
      <c r="G255" t="inlineStr">
        <is>
          <t>community</t>
        </is>
      </c>
      <c r="H255" t="inlineStr">
        <is>
          <t>yes</t>
        </is>
      </c>
      <c r="I255" t="inlineStr">
        <is>
          <t>13.51</t>
        </is>
      </c>
      <c r="J255" t="inlineStr">
        <is>
          <t>world_bank</t>
        </is>
      </c>
      <c r="K255" t="inlineStr">
        <is>
          <t>https://api.worldbank.org/v2/country/MYS/indicator/SG.GEN.PARL.ZS?format=json&amp;mrv=10</t>
        </is>
      </c>
      <c r="L255" t="inlineStr">
        <is>
          <t>World Bank WDI: Proportion of seats held by women in national parliaments (%)</t>
        </is>
      </c>
      <c r="M255" t="inlineStr">
        <is>
          <t>2024-12-31</t>
        </is>
      </c>
      <c r="N255" t="inlineStr">
        <is>
          <t>auto_ingest=world_bank_proxy; proxy=gender_parity_parliament; indicator=SG.GEN.PARL.ZS; year=2024; country_proxy=Malaysia</t>
        </is>
      </c>
    </row>
    <row r="256">
      <c r="A256" t="inlineStr">
        <is>
          <t>my-kuching</t>
        </is>
      </c>
      <c r="B256" t="inlineStr">
        <is>
          <t>Kuching</t>
        </is>
      </c>
      <c r="C256" t="inlineStr">
        <is>
          <t>Malaysia</t>
        </is>
      </c>
      <c r="D256" t="inlineStr">
        <is>
          <t>Southeast Asia</t>
        </is>
      </c>
      <c r="E256" t="inlineStr">
        <is>
          <t>cultural_public_life_raw</t>
        </is>
      </c>
      <c r="F256" t="inlineStr">
        <is>
          <t>Cultural public life raw</t>
        </is>
      </c>
      <c r="G256" t="inlineStr">
        <is>
          <t>community</t>
        </is>
      </c>
      <c r="H256" t="inlineStr">
        <is>
          <t>yes</t>
        </is>
      </c>
      <c r="I256" t="inlineStr">
        <is>
          <t>121.86</t>
        </is>
      </c>
      <c r="J256" t="inlineStr">
        <is>
          <t>world_bank</t>
        </is>
      </c>
      <c r="K256" t="inlineStr">
        <is>
          <t>https://api.worldbank.org/v2/country/MYS/indicator/ST.INT.ARVL?format=json&amp;mrv=10</t>
        </is>
      </c>
      <c r="L256" t="inlineStr">
        <is>
          <t>World Bank WDI: International tourism arrivals per 1 000 population</t>
        </is>
      </c>
      <c r="M256" t="inlineStr">
        <is>
          <t>2020-12-31</t>
        </is>
      </c>
      <c r="N256" t="inlineStr">
        <is>
          <t>auto_ingest=cultural_life_proxy; indicator=ST.INT.ARVL; norm=per_1000_pop; year=2020; country_proxy=Malaysia</t>
        </is>
      </c>
    </row>
    <row r="257">
      <c r="A257" t="inlineStr">
        <is>
          <t>my-kuching</t>
        </is>
      </c>
      <c r="B257" t="inlineStr">
        <is>
          <t>Kuching</t>
        </is>
      </c>
      <c r="C257" t="inlineStr">
        <is>
          <t>Malaysia</t>
        </is>
      </c>
      <c r="D257" t="inlineStr">
        <is>
          <t>Southeast Asia</t>
        </is>
      </c>
      <c r="E257" t="inlineStr">
        <is>
          <t>birth_rate_optimism_raw</t>
        </is>
      </c>
      <c r="F257" t="inlineStr">
        <is>
          <t>Birth rate and societal optimism raw</t>
        </is>
      </c>
      <c r="G257" t="inlineStr">
        <is>
          <t>community</t>
        </is>
      </c>
      <c r="H257" t="inlineStr">
        <is>
          <t>yes</t>
        </is>
      </c>
      <c r="I257" t="inlineStr">
        <is>
          <t>1.6</t>
        </is>
      </c>
      <c r="J257" t="inlineStr">
        <is>
          <t>world_bank</t>
        </is>
      </c>
      <c r="K257" t="inlineStr">
        <is>
          <t>https://data.worldbank.org/indicator/SP.DYN.TFRT.IN</t>
        </is>
      </c>
      <c r="L257" t="inlineStr">
        <is>
          <t>World Bank Total Fertility Rate 2023</t>
        </is>
      </c>
      <c r="M257" t="inlineStr">
        <is>
          <t>2024-01-01</t>
        </is>
      </c>
      <c r="N257" t="inlineStr"/>
    </row>
    <row r="258">
      <c r="A258" t="inlineStr">
        <is>
          <t>my-kuching</t>
        </is>
      </c>
      <c r="B258" t="inlineStr">
        <is>
          <t>Kuching</t>
        </is>
      </c>
      <c r="C258" t="inlineStr">
        <is>
          <t>Malaysia</t>
        </is>
      </c>
      <c r="D258" t="inlineStr">
        <is>
          <t>Southeast Asia</t>
        </is>
      </c>
      <c r="E258" t="inlineStr">
        <is>
          <t>entrepreneurial_dynamism_raw</t>
        </is>
      </c>
      <c r="F258" t="inlineStr">
        <is>
          <t>Entrepreneurial dynamism raw</t>
        </is>
      </c>
      <c r="G258" t="inlineStr">
        <is>
          <t>creative</t>
        </is>
      </c>
      <c r="H258" t="inlineStr">
        <is>
          <t>yes</t>
        </is>
      </c>
      <c r="I258" t="inlineStr">
        <is>
          <t>2.19</t>
        </is>
      </c>
      <c r="J258" t="inlineStr">
        <is>
          <t>world_bank</t>
        </is>
      </c>
      <c r="K258" t="inlineStr">
        <is>
          <t>https://api.worldbank.org/v2/country/MYS/indicator/IC.BUS.NDNS.ZS?format=json&amp;mrv=10</t>
        </is>
      </c>
      <c r="L258" t="inlineStr">
        <is>
          <t>World Bank WDI: New business density (new registrations per 1,000 people ages 15-64)</t>
        </is>
      </c>
      <c r="M258" t="inlineStr">
        <is>
          <t>2022-12-31</t>
        </is>
      </c>
      <c r="N258" t="inlineStr">
        <is>
          <t>auto_ingest=world_bank_creative_extended; indicator=IC.BUS.NDNS.ZS; year=2022; country_proxy=Malaysia</t>
        </is>
      </c>
    </row>
    <row r="259">
      <c r="A259" t="inlineStr">
        <is>
          <t>my-kuching</t>
        </is>
      </c>
      <c r="B259" t="inlineStr">
        <is>
          <t>Kuching</t>
        </is>
      </c>
      <c r="C259" t="inlineStr">
        <is>
          <t>Malaysia</t>
        </is>
      </c>
      <c r="D259" t="inlineStr">
        <is>
          <t>Southeast Asia</t>
        </is>
      </c>
      <c r="E259" t="inlineStr">
        <is>
          <t>innovation_research_intensity_raw</t>
        </is>
      </c>
      <c r="F259" t="inlineStr">
        <is>
          <t>Innovation and research raw</t>
        </is>
      </c>
      <c r="G259" t="inlineStr">
        <is>
          <t>creative</t>
        </is>
      </c>
      <c r="H259" t="inlineStr">
        <is>
          <t>yes</t>
        </is>
      </c>
      <c r="I259" t="inlineStr">
        <is>
          <t>0.95</t>
        </is>
      </c>
      <c r="J259" t="inlineStr">
        <is>
          <t>world_bank</t>
        </is>
      </c>
      <c r="K259" t="inlineStr">
        <is>
          <t>https://api.worldbank.org/v2/country/MYS/indicator/GB.XPD.RSDV.GD.ZS?format=json&amp;mrv=10</t>
        </is>
      </c>
      <c r="L259" t="inlineStr">
        <is>
          <t>World Bank WDI: Research and development expenditure (% of GDP)</t>
        </is>
      </c>
      <c r="M259" t="inlineStr">
        <is>
          <t>2020-12-31</t>
        </is>
      </c>
      <c r="N259" t="inlineStr">
        <is>
          <t>auto_ingest=world_bank_creative_extended; indicator=GB.XPD.RSDV.GD.ZS; year=2020; country_proxy=Malaysia</t>
        </is>
      </c>
    </row>
    <row r="260">
      <c r="A260" t="inlineStr">
        <is>
          <t>my-kuching</t>
        </is>
      </c>
      <c r="B260" t="inlineStr">
        <is>
          <t>Kuching</t>
        </is>
      </c>
      <c r="C260" t="inlineStr">
        <is>
          <t>Malaysia</t>
        </is>
      </c>
      <c r="D260" t="inlineStr">
        <is>
          <t>Southeast Asia</t>
        </is>
      </c>
      <c r="E260" t="inlineStr">
        <is>
          <t>investment_signal_raw</t>
        </is>
      </c>
      <c r="F260" t="inlineStr">
        <is>
          <t>Investment signal raw</t>
        </is>
      </c>
      <c r="G260" t="inlineStr">
        <is>
          <t>creative</t>
        </is>
      </c>
      <c r="H260" t="inlineStr">
        <is>
          <t>yes</t>
        </is>
      </c>
      <c r="I260" t="inlineStr">
        <is>
          <t>3.69</t>
        </is>
      </c>
      <c r="J260" t="inlineStr">
        <is>
          <t>world_bank</t>
        </is>
      </c>
      <c r="K260" t="inlineStr">
        <is>
          <t>https://api.worldbank.org/v2/country/MYS/indicator/BX.KLT.DINV.WD.GD.ZS?format=json&amp;mrv=10</t>
        </is>
      </c>
      <c r="L260" t="inlineStr">
        <is>
          <t>World Bank WDI: Foreign direct investment, net inflows (% of GDP)</t>
        </is>
      </c>
      <c r="M260" t="inlineStr">
        <is>
          <t>2024-12-31</t>
        </is>
      </c>
      <c r="N260" t="inlineStr">
        <is>
          <t>auto_ingest=world_bank_creative_extended; indicator=BX.KLT.DINV.WD.GD.ZS; year=2024; country_proxy=Malaysia</t>
        </is>
      </c>
    </row>
    <row r="261">
      <c r="A261" t="inlineStr">
        <is>
          <t>my-kuching</t>
        </is>
      </c>
      <c r="B261" t="inlineStr">
        <is>
          <t>Kuching</t>
        </is>
      </c>
      <c r="C261" t="inlineStr">
        <is>
          <t>Malaysia</t>
        </is>
      </c>
      <c r="D261" t="inlineStr">
        <is>
          <t>Southeast Asia</t>
        </is>
      </c>
      <c r="E261" t="inlineStr">
        <is>
          <t>administrative_investment_friction_raw</t>
        </is>
      </c>
      <c r="F261" t="inlineStr">
        <is>
          <t>Administrative investment friction raw</t>
        </is>
      </c>
      <c r="G261" t="inlineStr">
        <is>
          <t>creative</t>
        </is>
      </c>
      <c r="H261" t="inlineStr">
        <is>
          <t>yes</t>
        </is>
      </c>
      <c r="I261" t="inlineStr">
        <is>
          <t>1.84</t>
        </is>
      </c>
      <c r="J261" t="inlineStr">
        <is>
          <t>world_bank</t>
        </is>
      </c>
      <c r="K261" t="inlineStr">
        <is>
          <t>https://api.worldbank.org/v2/country/MYS/indicator/RQ.EST?format=json&amp;mrv=10</t>
        </is>
      </c>
      <c r="L261" t="inlineStr">
        <is>
          <t>World Bank WGI: Regulatory Quality (inverted as friction proxy)</t>
        </is>
      </c>
      <c r="M261" t="inlineStr">
        <is>
          <t>2023-12-31</t>
        </is>
      </c>
      <c r="N261" t="inlineStr">
        <is>
          <t>auto_ingest=world_bank_business_friction; indicator=RQ.EST; raw_rq=0.660894274711609; friction=1.84; year=2023; country_proxy=Malaysia</t>
        </is>
      </c>
    </row>
    <row r="262">
      <c r="A262" t="inlineStr">
        <is>
          <t>my-kuching</t>
        </is>
      </c>
      <c r="B262" t="inlineStr">
        <is>
          <t>Kuching</t>
        </is>
      </c>
      <c r="C262" t="inlineStr">
        <is>
          <t>Malaysia</t>
        </is>
      </c>
      <c r="D262" t="inlineStr">
        <is>
          <t>Southeast Asia</t>
        </is>
      </c>
      <c r="E262" t="inlineStr">
        <is>
          <t>visitor_flow_context_raw</t>
        </is>
      </c>
      <c r="F262" t="inlineStr">
        <is>
          <t>Visitor flow context raw</t>
        </is>
      </c>
      <c r="G262" t="inlineStr">
        <is>
          <t>creative</t>
        </is>
      </c>
      <c r="H262" t="inlineStr">
        <is>
          <t>no</t>
        </is>
      </c>
      <c r="I262" t="inlineStr"/>
      <c r="J262" t="inlineStr"/>
      <c r="K262" t="inlineStr"/>
      <c r="L262" t="inlineStr"/>
      <c r="M262" t="inlineStr"/>
      <c r="N262" t="inlineStr"/>
    </row>
    <row r="263">
      <c r="A263" t="inlineStr">
        <is>
          <t>my-kota-kinabalu</t>
        </is>
      </c>
      <c r="B263" t="inlineStr">
        <is>
          <t>Kota Kinabalu</t>
        </is>
      </c>
      <c r="C263" t="inlineStr">
        <is>
          <t>Malaysia</t>
        </is>
      </c>
      <c r="D263" t="inlineStr">
        <is>
          <t>Southeast Asia</t>
        </is>
      </c>
      <c r="E263" t="inlineStr">
        <is>
          <t>gross_income</t>
        </is>
      </c>
      <c r="F263" t="inlineStr">
        <is>
          <t>Gross income</t>
        </is>
      </c>
      <c r="G263" t="inlineStr">
        <is>
          <t>pressure</t>
        </is>
      </c>
      <c r="H263" t="inlineStr">
        <is>
          <t>yes</t>
        </is>
      </c>
      <c r="I263" t="inlineStr">
        <is>
          <t>3120.83</t>
        </is>
      </c>
      <c r="J263" t="inlineStr">
        <is>
          <t>world_bank_col_estimate</t>
        </is>
      </c>
      <c r="K263" t="inlineStr">
        <is>
          <t>https://api.worldbank.org/v2/country/MYS/indicator/NY.GNP.PCAP.PP.CD?format=json&amp;mrv=10</t>
        </is>
      </c>
      <c r="L263" t="inlineStr">
        <is>
          <t>World Bank WDI: GNI per capita PPP (monthly USD)</t>
        </is>
      </c>
      <c r="M263" t="inlineStr">
        <is>
          <t>2024-12-31</t>
        </is>
      </c>
      <c r="N263" t="inlineStr">
        <is>
          <t>auto_ingest=world_bank_col_estimate; gni_annual=37450.0; year=2024; country_proxy=Malaysia; cohort=Southeast Asia</t>
        </is>
      </c>
    </row>
    <row r="264">
      <c r="A264" t="inlineStr">
        <is>
          <t>my-kota-kinabalu</t>
        </is>
      </c>
      <c r="B264" t="inlineStr">
        <is>
          <t>Kota Kinabalu</t>
        </is>
      </c>
      <c r="C264" t="inlineStr">
        <is>
          <t>Malaysia</t>
        </is>
      </c>
      <c r="D264" t="inlineStr">
        <is>
          <t>Southeast Asia</t>
        </is>
      </c>
      <c r="E264" t="inlineStr">
        <is>
          <t>di_ppp_raw</t>
        </is>
      </c>
      <c r="F264" t="inlineStr">
        <is>
          <t>Disposable income PPP (Raw)</t>
        </is>
      </c>
      <c r="G264" t="inlineStr">
        <is>
          <t>pressure</t>
        </is>
      </c>
      <c r="H264" t="inlineStr">
        <is>
          <t>yes</t>
        </is>
      </c>
      <c r="I264" t="inlineStr"/>
      <c r="J264" t="inlineStr"/>
      <c r="K264" t="inlineStr"/>
      <c r="L264" t="inlineStr"/>
      <c r="M264" t="inlineStr"/>
      <c r="N264" t="inlineStr"/>
    </row>
    <row r="265">
      <c r="A265" t="inlineStr">
        <is>
          <t>my-kota-kinabalu</t>
        </is>
      </c>
      <c r="B265" t="inlineStr">
        <is>
          <t>Kota Kinabalu</t>
        </is>
      </c>
      <c r="C265" t="inlineStr">
        <is>
          <t>Malaysia</t>
        </is>
      </c>
      <c r="D265" t="inlineStr">
        <is>
          <t>Southeast Asia</t>
        </is>
      </c>
      <c r="E265" t="inlineStr">
        <is>
          <t>rent</t>
        </is>
      </c>
      <c r="F265" t="inlineStr">
        <is>
          <t>Rent</t>
        </is>
      </c>
      <c r="G265" t="inlineStr">
        <is>
          <t>pressure</t>
        </is>
      </c>
      <c r="H265" t="inlineStr">
        <is>
          <t>yes</t>
        </is>
      </c>
      <c r="I265" t="inlineStr">
        <is>
          <t>436.92</t>
        </is>
      </c>
      <c r="J265" t="inlineStr">
        <is>
          <t>world_bank_col_estimate</t>
        </is>
      </c>
      <c r="K265" t="inlineStr">
        <is>
          <t>https://api.worldbank.org/v2/country/MYS/indicator/NY.GNP.PCAP.PP.CD?format=json&amp;mrv=10</t>
        </is>
      </c>
      <c r="L265" t="inlineStr">
        <is>
          <t>World Bank GNI + regional expenditure ratio estimate</t>
        </is>
      </c>
      <c r="M265" t="inlineStr">
        <is>
          <t>2024-12-31</t>
        </is>
      </c>
      <c r="N265" t="inlineStr">
        <is>
          <t>auto_ingest=world_bank_col_estimate; gni_annual=37450.0; year=2024; country_proxy=Malaysia; cohort=Southeast Asia; city_cost_mult=0.7</t>
        </is>
      </c>
    </row>
    <row r="266">
      <c r="A266" t="inlineStr">
        <is>
          <t>my-kota-kinabalu</t>
        </is>
      </c>
      <c r="B266" t="inlineStr">
        <is>
          <t>Kota Kinabalu</t>
        </is>
      </c>
      <c r="C266" t="inlineStr">
        <is>
          <t>Malaysia</t>
        </is>
      </c>
      <c r="D266" t="inlineStr">
        <is>
          <t>Southeast Asia</t>
        </is>
      </c>
      <c r="E266" t="inlineStr">
        <is>
          <t>utilities</t>
        </is>
      </c>
      <c r="F266" t="inlineStr">
        <is>
          <t>Utilities</t>
        </is>
      </c>
      <c r="G266" t="inlineStr">
        <is>
          <t>pressure</t>
        </is>
      </c>
      <c r="H266" t="inlineStr">
        <is>
          <t>yes</t>
        </is>
      </c>
      <c r="I266" t="inlineStr">
        <is>
          <t>109.23</t>
        </is>
      </c>
      <c r="J266" t="inlineStr">
        <is>
          <t>world_bank_col_estimate</t>
        </is>
      </c>
      <c r="K266" t="inlineStr">
        <is>
          <t>https://api.worldbank.org/v2/country/MYS/indicator/NY.GNP.PCAP.PP.CD?format=json&amp;mrv=10</t>
        </is>
      </c>
      <c r="L266" t="inlineStr">
        <is>
          <t>World Bank GNI + regional expenditure ratio estimate</t>
        </is>
      </c>
      <c r="M266" t="inlineStr">
        <is>
          <t>2024-12-31</t>
        </is>
      </c>
      <c r="N266" t="inlineStr">
        <is>
          <t>auto_ingest=world_bank_col_estimate; gni_annual=37450.0; year=2024; country_proxy=Malaysia; cohort=Southeast Asia; city_cost_mult=0.7</t>
        </is>
      </c>
    </row>
    <row r="267">
      <c r="A267" t="inlineStr">
        <is>
          <t>my-kota-kinabalu</t>
        </is>
      </c>
      <c r="B267" t="inlineStr">
        <is>
          <t>Kota Kinabalu</t>
        </is>
      </c>
      <c r="C267" t="inlineStr">
        <is>
          <t>Malaysia</t>
        </is>
      </c>
      <c r="D267" t="inlineStr">
        <is>
          <t>Southeast Asia</t>
        </is>
      </c>
      <c r="E267" t="inlineStr">
        <is>
          <t>transit_cost</t>
        </is>
      </c>
      <c r="F267" t="inlineStr">
        <is>
          <t>Transit cost</t>
        </is>
      </c>
      <c r="G267" t="inlineStr">
        <is>
          <t>pressure</t>
        </is>
      </c>
      <c r="H267" t="inlineStr">
        <is>
          <t>yes</t>
        </is>
      </c>
      <c r="I267" t="inlineStr">
        <is>
          <t>87.38</t>
        </is>
      </c>
      <c r="J267" t="inlineStr">
        <is>
          <t>world_bank_col_estimate</t>
        </is>
      </c>
      <c r="K267" t="inlineStr">
        <is>
          <t>https://api.worldbank.org/v2/country/MYS/indicator/NY.GNP.PCAP.PP.CD?format=json&amp;mrv=10</t>
        </is>
      </c>
      <c r="L267" t="inlineStr">
        <is>
          <t>World Bank GNI + regional expenditure ratio estimate</t>
        </is>
      </c>
      <c r="M267" t="inlineStr">
        <is>
          <t>2024-12-31</t>
        </is>
      </c>
      <c r="N267" t="inlineStr">
        <is>
          <t>auto_ingest=world_bank_col_estimate; gni_annual=37450.0; year=2024; country_proxy=Malaysia; cohort=Southeast Asia; city_cost_mult=0.7</t>
        </is>
      </c>
    </row>
    <row r="268">
      <c r="A268" t="inlineStr">
        <is>
          <t>my-kota-kinabalu</t>
        </is>
      </c>
      <c r="B268" t="inlineStr">
        <is>
          <t>Kota Kinabalu</t>
        </is>
      </c>
      <c r="C268" t="inlineStr">
        <is>
          <t>Malaysia</t>
        </is>
      </c>
      <c r="D268" t="inlineStr">
        <is>
          <t>Southeast Asia</t>
        </is>
      </c>
      <c r="E268" t="inlineStr">
        <is>
          <t>internet_cost</t>
        </is>
      </c>
      <c r="F268" t="inlineStr">
        <is>
          <t>Internet cost</t>
        </is>
      </c>
      <c r="G268" t="inlineStr">
        <is>
          <t>pressure</t>
        </is>
      </c>
      <c r="H268" t="inlineStr">
        <is>
          <t>yes</t>
        </is>
      </c>
      <c r="I268" t="inlineStr">
        <is>
          <t>32.77</t>
        </is>
      </c>
      <c r="J268" t="inlineStr">
        <is>
          <t>world_bank_col_estimate</t>
        </is>
      </c>
      <c r="K268" t="inlineStr">
        <is>
          <t>https://api.worldbank.org/v2/country/MYS/indicator/NY.GNP.PCAP.PP.CD?format=json&amp;mrv=10</t>
        </is>
      </c>
      <c r="L268" t="inlineStr">
        <is>
          <t>World Bank GNI + regional expenditure ratio estimate</t>
        </is>
      </c>
      <c r="M268" t="inlineStr">
        <is>
          <t>2024-12-31</t>
        </is>
      </c>
      <c r="N268" t="inlineStr">
        <is>
          <t>auto_ingest=world_bank_col_estimate; gni_annual=37450.0; year=2024; country_proxy=Malaysia; cohort=Southeast Asia; city_cost_mult=0.7</t>
        </is>
      </c>
    </row>
    <row r="269">
      <c r="A269" t="inlineStr">
        <is>
          <t>my-kota-kinabalu</t>
        </is>
      </c>
      <c r="B269" t="inlineStr">
        <is>
          <t>Kota Kinabalu</t>
        </is>
      </c>
      <c r="C269" t="inlineStr">
        <is>
          <t>Malaysia</t>
        </is>
      </c>
      <c r="D269" t="inlineStr">
        <is>
          <t>Southeast Asia</t>
        </is>
      </c>
      <c r="E269" t="inlineStr">
        <is>
          <t>food_cost</t>
        </is>
      </c>
      <c r="F269" t="inlineStr">
        <is>
          <t>Food cost</t>
        </is>
      </c>
      <c r="G269" t="inlineStr">
        <is>
          <t>pressure</t>
        </is>
      </c>
      <c r="H269" t="inlineStr">
        <is>
          <t>yes</t>
        </is>
      </c>
      <c r="I269" t="inlineStr">
        <is>
          <t>480.61</t>
        </is>
      </c>
      <c r="J269" t="inlineStr">
        <is>
          <t>world_bank_col_estimate</t>
        </is>
      </c>
      <c r="K269" t="inlineStr">
        <is>
          <t>https://api.worldbank.org/v2/country/MYS/indicator/NY.GNP.PCAP.PP.CD?format=json&amp;mrv=10</t>
        </is>
      </c>
      <c r="L269" t="inlineStr">
        <is>
          <t>World Bank GNI + regional expenditure ratio estimate</t>
        </is>
      </c>
      <c r="M269" t="inlineStr">
        <is>
          <t>2024-12-31</t>
        </is>
      </c>
      <c r="N269" t="inlineStr">
        <is>
          <t>auto_ingest=world_bank_col_estimate; gni_annual=37450.0; year=2024; country_proxy=Malaysia; cohort=Southeast Asia; city_cost_mult=0.7</t>
        </is>
      </c>
    </row>
    <row r="270">
      <c r="A270" t="inlineStr">
        <is>
          <t>my-kota-kinabalu</t>
        </is>
      </c>
      <c r="B270" t="inlineStr">
        <is>
          <t>Kota Kinabalu</t>
        </is>
      </c>
      <c r="C270" t="inlineStr">
        <is>
          <t>Malaysia</t>
        </is>
      </c>
      <c r="D270" t="inlineStr">
        <is>
          <t>Southeast Asia</t>
        </is>
      </c>
      <c r="E270" t="inlineStr">
        <is>
          <t>housing_burden_raw</t>
        </is>
      </c>
      <c r="F270" t="inlineStr">
        <is>
          <t>Housing burden raw</t>
        </is>
      </c>
      <c r="G270" t="inlineStr">
        <is>
          <t>pressure</t>
        </is>
      </c>
      <c r="H270" t="inlineStr">
        <is>
          <t>yes</t>
        </is>
      </c>
      <c r="I270" t="inlineStr">
        <is>
          <t>14.0001</t>
        </is>
      </c>
      <c r="J270" t="inlineStr">
        <is>
          <t>derived</t>
        </is>
      </c>
      <c r="K270" t="inlineStr">
        <is>
          <t>https://data.worldbank.org/indicator/NY.GNP.PCAP.PP.CD</t>
        </is>
      </c>
      <c r="L270" t="inlineStr">
        <is>
          <t>Computed from city_inputs + country_context</t>
        </is>
      </c>
      <c r="M270" t="inlineStr">
        <is>
          <t>2024-01-01</t>
        </is>
      </c>
      <c r="N270" t="inlineStr">
        <is>
          <t>derived=rent/gross_income*100</t>
        </is>
      </c>
    </row>
    <row r="271">
      <c r="A271" t="inlineStr">
        <is>
          <t>my-kota-kinabalu</t>
        </is>
      </c>
      <c r="B271" t="inlineStr">
        <is>
          <t>Kota Kinabalu</t>
        </is>
      </c>
      <c r="C271" t="inlineStr">
        <is>
          <t>Malaysia</t>
        </is>
      </c>
      <c r="D271" t="inlineStr">
        <is>
          <t>Southeast Asia</t>
        </is>
      </c>
      <c r="E271" t="inlineStr">
        <is>
          <t>household_debt_burden_raw</t>
        </is>
      </c>
      <c r="F271" t="inlineStr">
        <is>
          <t>Household debt burden raw</t>
        </is>
      </c>
      <c r="G271" t="inlineStr">
        <is>
          <t>pressure</t>
        </is>
      </c>
      <c r="H271" t="inlineStr">
        <is>
          <t>yes</t>
        </is>
      </c>
      <c r="I271" t="inlineStr">
        <is>
          <t>116.0773</t>
        </is>
      </c>
      <c r="J271" t="inlineStr">
        <is>
          <t>derived</t>
        </is>
      </c>
      <c r="K271" t="inlineStr">
        <is>
          <t>https://data.worldbank.org/indicator/NY.GNP.PCAP.PP.CD</t>
        </is>
      </c>
      <c r="L271" t="inlineStr">
        <is>
          <t>Computed from city_inputs + country_context</t>
        </is>
      </c>
      <c r="M271" t="inlineStr">
        <is>
          <t>2024-01-01</t>
        </is>
      </c>
      <c r="N271" t="inlineStr">
        <is>
          <t>derived=country_context.household_debt_proxy; country=Malaysia</t>
        </is>
      </c>
    </row>
    <row r="272">
      <c r="A272" t="inlineStr">
        <is>
          <t>my-kota-kinabalu</t>
        </is>
      </c>
      <c r="B272" t="inlineStr">
        <is>
          <t>Kota Kinabalu</t>
        </is>
      </c>
      <c r="C272" t="inlineStr">
        <is>
          <t>Malaysia</t>
        </is>
      </c>
      <c r="D272" t="inlineStr">
        <is>
          <t>Southeast Asia</t>
        </is>
      </c>
      <c r="E272" t="inlineStr">
        <is>
          <t>working_time_pressure_raw</t>
        </is>
      </c>
      <c r="F272" t="inlineStr">
        <is>
          <t>Working time pressure raw</t>
        </is>
      </c>
      <c r="G272" t="inlineStr">
        <is>
          <t>pressure</t>
        </is>
      </c>
      <c r="H272" t="inlineStr">
        <is>
          <t>yes</t>
        </is>
      </c>
      <c r="I272" t="inlineStr">
        <is>
          <t>44.7</t>
        </is>
      </c>
      <c r="J272" t="inlineStr">
        <is>
          <t>ilo_ilostat</t>
        </is>
      </c>
      <c r="K272" t="inlineStr">
        <is>
          <t>https://ilostat.ilo.org/data/indicator/?id=HOW_TEMP_SEX_ECO_NB_A&amp;ref_area=MYS</t>
        </is>
      </c>
      <c r="L272" t="inlineStr">
        <is>
          <t>ILO ILOSTAT: Mean weekly hours actually worked per employed person</t>
        </is>
      </c>
      <c r="M272" t="inlineStr">
        <is>
          <t>2022-12-31</t>
        </is>
      </c>
      <c r="N272" t="inlineStr">
        <is>
          <t>auto_ingest=ilo_working_hours; indicator=HOW_TEMP_SEX_ECO_NB_A; year=2022; hours=44.7; country_proxy=Malaysia</t>
        </is>
      </c>
    </row>
    <row r="273">
      <c r="A273" t="inlineStr">
        <is>
          <t>my-kota-kinabalu</t>
        </is>
      </c>
      <c r="B273" t="inlineStr">
        <is>
          <t>Kota Kinabalu</t>
        </is>
      </c>
      <c r="C273" t="inlineStr">
        <is>
          <t>Malaysia</t>
        </is>
      </c>
      <c r="D273" t="inlineStr">
        <is>
          <t>Southeast Asia</t>
        </is>
      </c>
      <c r="E273" t="inlineStr">
        <is>
          <t>suicide_mental_strain_raw</t>
        </is>
      </c>
      <c r="F273" t="inlineStr">
        <is>
          <t>Suicide or mental strain raw</t>
        </is>
      </c>
      <c r="G273" t="inlineStr">
        <is>
          <t>pressure</t>
        </is>
      </c>
      <c r="H273" t="inlineStr">
        <is>
          <t>yes</t>
        </is>
      </c>
      <c r="I273" t="inlineStr">
        <is>
          <t>5.65</t>
        </is>
      </c>
      <c r="J273" t="inlineStr">
        <is>
          <t>who_gho</t>
        </is>
      </c>
      <c r="K273" t="inlineStr">
        <is>
          <t>https://www.who.int/data/gho/data/indicators/indicator-details/GHO/SDGSUICIDE</t>
        </is>
      </c>
      <c r="L273" t="inlineStr">
        <is>
          <t>WHO GHO: Age-standardized suicide rate (per 100,000 population)</t>
        </is>
      </c>
      <c r="M273" t="inlineStr">
        <is>
          <t>2021-12-31</t>
        </is>
      </c>
      <c r="N273" t="inlineStr">
        <is>
          <t>auto_ingest=who_gho; indicator=SDGSUICIDE; year=2021; country_proxy=Malaysia</t>
        </is>
      </c>
    </row>
    <row r="274">
      <c r="A274" t="inlineStr">
        <is>
          <t>my-kota-kinabalu</t>
        </is>
      </c>
      <c r="B274" t="inlineStr">
        <is>
          <t>Kota Kinabalu</t>
        </is>
      </c>
      <c r="C274" t="inlineStr">
        <is>
          <t>Malaysia</t>
        </is>
      </c>
      <c r="D274" t="inlineStr">
        <is>
          <t>Southeast Asia</t>
        </is>
      </c>
      <c r="E274" t="inlineStr">
        <is>
          <t>personal_safety_raw</t>
        </is>
      </c>
      <c r="F274" t="inlineStr">
        <is>
          <t>Personal safety raw</t>
        </is>
      </c>
      <c r="G274" t="inlineStr">
        <is>
          <t>viability</t>
        </is>
      </c>
      <c r="H274" t="inlineStr">
        <is>
          <t>yes</t>
        </is>
      </c>
      <c r="I274" t="inlineStr">
        <is>
          <t>0.73</t>
        </is>
      </c>
      <c r="J274" t="inlineStr">
        <is>
          <t>world_bank</t>
        </is>
      </c>
      <c r="K274" t="inlineStr">
        <is>
          <t>https://api.worldbank.org/v2/country/MYS/indicator/VC.IHR.PSRC.P5?format=json&amp;mrv=10</t>
        </is>
      </c>
      <c r="L274" t="inlineStr">
        <is>
          <t>UNODC via World Bank WDI: Intentional homicides (per 100,000 people)</t>
        </is>
      </c>
      <c r="M274" t="inlineStr">
        <is>
          <t>2023-12-31</t>
        </is>
      </c>
      <c r="N274" t="inlineStr">
        <is>
          <t>auto_ingest=unodc_safety; indicator=VC.IHR.PSRC.P5; year=2023; country_proxy=Malaysia</t>
        </is>
      </c>
    </row>
    <row r="275">
      <c r="A275" t="inlineStr">
        <is>
          <t>my-kota-kinabalu</t>
        </is>
      </c>
      <c r="B275" t="inlineStr">
        <is>
          <t>Kota Kinabalu</t>
        </is>
      </c>
      <c r="C275" t="inlineStr">
        <is>
          <t>Malaysia</t>
        </is>
      </c>
      <c r="D275" t="inlineStr">
        <is>
          <t>Southeast Asia</t>
        </is>
      </c>
      <c r="E275" t="inlineStr">
        <is>
          <t>transit_access_commute_raw</t>
        </is>
      </c>
      <c r="F275" t="inlineStr">
        <is>
          <t>Transit access and commute raw</t>
        </is>
      </c>
      <c r="G275" t="inlineStr">
        <is>
          <t>viability</t>
        </is>
      </c>
      <c r="H275" t="inlineStr">
        <is>
          <t>yes</t>
        </is>
      </c>
      <c r="I275" t="inlineStr"/>
      <c r="J275" t="inlineStr"/>
      <c r="K275" t="inlineStr"/>
      <c r="L275" t="inlineStr"/>
      <c r="M275" t="inlineStr"/>
      <c r="N275" t="inlineStr"/>
    </row>
    <row r="276">
      <c r="A276" t="inlineStr">
        <is>
          <t>my-kota-kinabalu</t>
        </is>
      </c>
      <c r="B276" t="inlineStr">
        <is>
          <t>Kota Kinabalu</t>
        </is>
      </c>
      <c r="C276" t="inlineStr">
        <is>
          <t>Malaysia</t>
        </is>
      </c>
      <c r="D276" t="inlineStr">
        <is>
          <t>Southeast Asia</t>
        </is>
      </c>
      <c r="E276" t="inlineStr">
        <is>
          <t>clean_air_raw</t>
        </is>
      </c>
      <c r="F276" t="inlineStr">
        <is>
          <t>Clean air raw</t>
        </is>
      </c>
      <c r="G276" t="inlineStr">
        <is>
          <t>viability</t>
        </is>
      </c>
      <c r="H276" t="inlineStr">
        <is>
          <t>yes</t>
        </is>
      </c>
      <c r="I276" t="inlineStr">
        <is>
          <t>15.0</t>
        </is>
      </c>
      <c r="J276" t="inlineStr">
        <is>
          <t>wmo_natl_met</t>
        </is>
      </c>
      <c r="K276" t="inlineStr">
        <is>
          <t>https://worldweather.wmo.int</t>
        </is>
      </c>
      <c r="L276" t="inlineStr">
        <is>
          <t>Kota Kinabalu PM2.5 — very clean, ocean air</t>
        </is>
      </c>
      <c r="M276" t="inlineStr">
        <is>
          <t>2024-12-31</t>
        </is>
      </c>
      <c r="N276" t="inlineStr">
        <is>
          <t>city_level</t>
        </is>
      </c>
    </row>
    <row r="277">
      <c r="A277" t="inlineStr">
        <is>
          <t>my-kota-kinabalu</t>
        </is>
      </c>
      <c r="B277" t="inlineStr">
        <is>
          <t>Kota Kinabalu</t>
        </is>
      </c>
      <c r="C277" t="inlineStr">
        <is>
          <t>Malaysia</t>
        </is>
      </c>
      <c r="D277" t="inlineStr">
        <is>
          <t>Southeast Asia</t>
        </is>
      </c>
      <c r="E277" t="inlineStr">
        <is>
          <t>water_sanitation_utility_raw</t>
        </is>
      </c>
      <c r="F277" t="inlineStr">
        <is>
          <t>Water, sanitation, and utility raw</t>
        </is>
      </c>
      <c r="G277" t="inlineStr">
        <is>
          <t>viability</t>
        </is>
      </c>
      <c r="H277" t="inlineStr">
        <is>
          <t>yes</t>
        </is>
      </c>
      <c r="I277" t="inlineStr">
        <is>
          <t>90.0</t>
        </is>
      </c>
      <c r="J277" t="inlineStr">
        <is>
          <t>who_unicef_jmp</t>
        </is>
      </c>
      <c r="K277" t="inlineStr">
        <is>
          <t>https://washdata.org</t>
        </is>
      </c>
      <c r="L277" t="inlineStr">
        <is>
          <t>JMP: Malaysia safely managed water</t>
        </is>
      </c>
      <c r="M277" t="inlineStr">
        <is>
          <t>2023-12-31</t>
        </is>
      </c>
      <c r="N277" t="inlineStr">
        <is>
          <t>country_proxy=Malaysia</t>
        </is>
      </c>
    </row>
    <row r="278">
      <c r="A278" t="inlineStr">
        <is>
          <t>my-kota-kinabalu</t>
        </is>
      </c>
      <c r="B278" t="inlineStr">
        <is>
          <t>Kota Kinabalu</t>
        </is>
      </c>
      <c r="C278" t="inlineStr">
        <is>
          <t>Malaysia</t>
        </is>
      </c>
      <c r="D278" t="inlineStr">
        <is>
          <t>Southeast Asia</t>
        </is>
      </c>
      <c r="E278" t="inlineStr">
        <is>
          <t>digital_infrastructure_raw</t>
        </is>
      </c>
      <c r="F278" t="inlineStr">
        <is>
          <t>Digital infrastructure raw</t>
        </is>
      </c>
      <c r="G278" t="inlineStr">
        <is>
          <t>viability</t>
        </is>
      </c>
      <c r="H278" t="inlineStr">
        <is>
          <t>yes</t>
        </is>
      </c>
      <c r="I278" t="inlineStr">
        <is>
          <t>13.03</t>
        </is>
      </c>
      <c r="J278" t="inlineStr">
        <is>
          <t>world_bank</t>
        </is>
      </c>
      <c r="K278" t="inlineStr">
        <is>
          <t>https://api.worldbank.org/v2/country/MYS/indicator/IT.NET.BBND.P2?format=json&amp;mrv=10</t>
        </is>
      </c>
      <c r="L278" t="inlineStr">
        <is>
          <t>World Bank WDI: Fixed broadband subscriptions (per 100 people)</t>
        </is>
      </c>
      <c r="M278" t="inlineStr">
        <is>
          <t>2023-12-31</t>
        </is>
      </c>
      <c r="N278" t="inlineStr">
        <is>
          <t>auto_ingest=world_bank_proxy; indicator=IT.NET.BBND.P2; year=2023; country_proxy=Malaysia</t>
        </is>
      </c>
    </row>
    <row r="279">
      <c r="A279" t="inlineStr">
        <is>
          <t>my-kota-kinabalu</t>
        </is>
      </c>
      <c r="B279" t="inlineStr">
        <is>
          <t>Kota Kinabalu</t>
        </is>
      </c>
      <c r="C279" t="inlineStr">
        <is>
          <t>Malaysia</t>
        </is>
      </c>
      <c r="D279" t="inlineStr">
        <is>
          <t>Southeast Asia</t>
        </is>
      </c>
      <c r="E279" t="inlineStr">
        <is>
          <t>climate_sunlight_livability_raw</t>
        </is>
      </c>
      <c r="F279" t="inlineStr">
        <is>
          <t>Climate and sunlight livability raw</t>
        </is>
      </c>
      <c r="G279" t="inlineStr">
        <is>
          <t>viability</t>
        </is>
      </c>
      <c r="H279" t="inlineStr">
        <is>
          <t>yes</t>
        </is>
      </c>
      <c r="I279" t="inlineStr">
        <is>
          <t>60.0</t>
        </is>
      </c>
      <c r="J279" t="inlineStr">
        <is>
          <t>wmo_natl_met</t>
        </is>
      </c>
      <c r="K279" t="inlineStr">
        <is>
          <t>https://worldweather.wmo.int</t>
        </is>
      </c>
      <c r="L279" t="inlineStr">
        <is>
          <t>WMO: 2300 sun hrs, 27C mean, tropical but ocean breeze, Mt Kinabalu proximity</t>
        </is>
      </c>
      <c r="M279" t="inlineStr">
        <is>
          <t>2024-12-31</t>
        </is>
      </c>
      <c r="N279" t="inlineStr">
        <is>
          <t>city_level</t>
        </is>
      </c>
    </row>
    <row r="280">
      <c r="A280" t="inlineStr">
        <is>
          <t>my-kota-kinabalu</t>
        </is>
      </c>
      <c r="B280" t="inlineStr">
        <is>
          <t>Kota Kinabalu</t>
        </is>
      </c>
      <c r="C280" t="inlineStr">
        <is>
          <t>Malaysia</t>
        </is>
      </c>
      <c r="D280" t="inlineStr">
        <is>
          <t>Southeast Asia</t>
        </is>
      </c>
      <c r="E280" t="inlineStr">
        <is>
          <t>healthcare_quality_raw</t>
        </is>
      </c>
      <c r="F280" t="inlineStr">
        <is>
          <t>Healthcare quality raw</t>
        </is>
      </c>
      <c r="G280" t="inlineStr">
        <is>
          <t>capability</t>
        </is>
      </c>
      <c r="H280" t="inlineStr">
        <is>
          <t>yes</t>
        </is>
      </c>
      <c r="I280" t="inlineStr">
        <is>
          <t>80.0</t>
        </is>
      </c>
      <c r="J280" t="inlineStr">
        <is>
          <t>who_gho</t>
        </is>
      </c>
      <c r="K280" t="inlineStr">
        <is>
          <t>https://www.who.int/data/gho/data/indicators/indicator-details/GHO/UHC_INDEX_REPORTED</t>
        </is>
      </c>
      <c r="L280" t="inlineStr">
        <is>
          <t>WHO GHO: UHC Service Coverage Index</t>
        </is>
      </c>
      <c r="M280" t="inlineStr">
        <is>
          <t>2023-12-31</t>
        </is>
      </c>
      <c r="N280" t="inlineStr">
        <is>
          <t>auto_ingest=who_gho; indicator=UHC_INDEX_REPORTED; year=2023; country_proxy=Malaysia</t>
        </is>
      </c>
    </row>
    <row r="281">
      <c r="A281" t="inlineStr">
        <is>
          <t>my-kota-kinabalu</t>
        </is>
      </c>
      <c r="B281" t="inlineStr">
        <is>
          <t>Kota Kinabalu</t>
        </is>
      </c>
      <c r="C281" t="inlineStr">
        <is>
          <t>Malaysia</t>
        </is>
      </c>
      <c r="D281" t="inlineStr">
        <is>
          <t>Southeast Asia</t>
        </is>
      </c>
      <c r="E281" t="inlineStr">
        <is>
          <t>education_quality_raw</t>
        </is>
      </c>
      <c r="F281" t="inlineStr">
        <is>
          <t>Education quality raw</t>
        </is>
      </c>
      <c r="G281" t="inlineStr">
        <is>
          <t>capability</t>
        </is>
      </c>
      <c r="H281" t="inlineStr">
        <is>
          <t>yes</t>
        </is>
      </c>
      <c r="I281" t="inlineStr">
        <is>
          <t>38.5</t>
        </is>
      </c>
      <c r="J281" t="inlineStr">
        <is>
          <t>world_bank</t>
        </is>
      </c>
      <c r="K281" t="inlineStr">
        <is>
          <t>https://api.worldbank.org/v2/country/MYS/indicator/SE.TER.ENRR?format=json&amp;mrv=10</t>
        </is>
      </c>
      <c r="L281" t="inlineStr">
        <is>
          <t>World Bank WDI: School enrollment, tertiary (% gross)</t>
        </is>
      </c>
      <c r="M281" t="inlineStr">
        <is>
          <t>2024-12-31</t>
        </is>
      </c>
      <c r="N281" t="inlineStr">
        <is>
          <t>auto_ingest=world_bank_proxy; indicator=SE.TER.ENRR; year=2024; country_proxy=Malaysia</t>
        </is>
      </c>
    </row>
    <row r="282">
      <c r="A282" t="inlineStr">
        <is>
          <t>my-kota-kinabalu</t>
        </is>
      </c>
      <c r="B282" t="inlineStr">
        <is>
          <t>Kota Kinabalu</t>
        </is>
      </c>
      <c r="C282" t="inlineStr">
        <is>
          <t>Malaysia</t>
        </is>
      </c>
      <c r="D282" t="inlineStr">
        <is>
          <t>Southeast Asia</t>
        </is>
      </c>
      <c r="E282" t="inlineStr">
        <is>
          <t>equal_opportunity_raw</t>
        </is>
      </c>
      <c r="F282" t="inlineStr">
        <is>
          <t>Equal opportunity raw</t>
        </is>
      </c>
      <c r="G282" t="inlineStr">
        <is>
          <t>capability</t>
        </is>
      </c>
      <c r="H282" t="inlineStr">
        <is>
          <t>yes</t>
        </is>
      </c>
      <c r="I282" t="inlineStr">
        <is>
          <t>40.7</t>
        </is>
      </c>
      <c r="J282" t="inlineStr">
        <is>
          <t>world_bank</t>
        </is>
      </c>
      <c r="K282" t="inlineStr">
        <is>
          <t>https://api.worldbank.org/v2/country/MYS/indicator/SI.POV.GINI?format=json&amp;mrv=10</t>
        </is>
      </c>
      <c r="L282" t="inlineStr">
        <is>
          <t>World Bank WDI: Gini index</t>
        </is>
      </c>
      <c r="M282" t="inlineStr">
        <is>
          <t>2021-12-31</t>
        </is>
      </c>
      <c r="N282" t="inlineStr">
        <is>
          <t>auto_ingest=world_bank_capability; indicator=SI.POV.GINI; year=2021; country_proxy=Malaysia</t>
        </is>
      </c>
    </row>
    <row r="283">
      <c r="A283" t="inlineStr">
        <is>
          <t>my-kota-kinabalu</t>
        </is>
      </c>
      <c r="B283" t="inlineStr">
        <is>
          <t>Kota Kinabalu</t>
        </is>
      </c>
      <c r="C283" t="inlineStr">
        <is>
          <t>Malaysia</t>
        </is>
      </c>
      <c r="D283" t="inlineStr">
        <is>
          <t>Southeast Asia</t>
        </is>
      </c>
      <c r="E283" t="inlineStr">
        <is>
          <t>hospitality_belonging_raw</t>
        </is>
      </c>
      <c r="F283" t="inlineStr">
        <is>
          <t>Hospitality and belonging raw</t>
        </is>
      </c>
      <c r="G283" t="inlineStr">
        <is>
          <t>community</t>
        </is>
      </c>
      <c r="H283" t="inlineStr">
        <is>
          <t>yes</t>
        </is>
      </c>
      <c r="I283" t="inlineStr">
        <is>
          <t>54.69</t>
        </is>
      </c>
      <c r="J283" t="inlineStr">
        <is>
          <t>world_bank</t>
        </is>
      </c>
      <c r="K283" t="inlineStr">
        <is>
          <t>https://api.worldbank.org/v2/country/MYS/indicator/SM.POP.NETM?format=json&amp;mrv=10</t>
        </is>
      </c>
      <c r="L283" t="inlineStr">
        <is>
          <t>World Bank WDI: Net migration (proxy for hospitality/belonging — positive = welcoming)</t>
        </is>
      </c>
      <c r="M283" t="inlineStr">
        <is>
          <t>2025-12-31</t>
        </is>
      </c>
      <c r="N283" t="inlineStr">
        <is>
          <t>auto_ingest=world_bank_proxy; proxy=net_migration_hospitality; indicator=SM.POP.NETM; year=2025; country_proxy=Malaysia</t>
        </is>
      </c>
    </row>
    <row r="284">
      <c r="A284" t="inlineStr">
        <is>
          <t>my-kota-kinabalu</t>
        </is>
      </c>
      <c r="B284" t="inlineStr">
        <is>
          <t>Kota Kinabalu</t>
        </is>
      </c>
      <c r="C284" t="inlineStr">
        <is>
          <t>Malaysia</t>
        </is>
      </c>
      <c r="D284" t="inlineStr">
        <is>
          <t>Southeast Asia</t>
        </is>
      </c>
      <c r="E284" t="inlineStr">
        <is>
          <t>tolerance_pluralism_raw</t>
        </is>
      </c>
      <c r="F284" t="inlineStr">
        <is>
          <t>Tolerance and pluralism raw</t>
        </is>
      </c>
      <c r="G284" t="inlineStr">
        <is>
          <t>community</t>
        </is>
      </c>
      <c r="H284" t="inlineStr">
        <is>
          <t>yes</t>
        </is>
      </c>
      <c r="I284" t="inlineStr">
        <is>
          <t>13.51</t>
        </is>
      </c>
      <c r="J284" t="inlineStr">
        <is>
          <t>world_bank</t>
        </is>
      </c>
      <c r="K284" t="inlineStr">
        <is>
          <t>https://api.worldbank.org/v2/country/MYS/indicator/SG.GEN.PARL.ZS?format=json&amp;mrv=10</t>
        </is>
      </c>
      <c r="L284" t="inlineStr">
        <is>
          <t>World Bank WDI: Proportion of seats held by women in national parliaments (%)</t>
        </is>
      </c>
      <c r="M284" t="inlineStr">
        <is>
          <t>2024-12-31</t>
        </is>
      </c>
      <c r="N284" t="inlineStr">
        <is>
          <t>auto_ingest=world_bank_proxy; proxy=gender_parity_parliament; indicator=SG.GEN.PARL.ZS; year=2024; country_proxy=Malaysia</t>
        </is>
      </c>
    </row>
    <row r="285">
      <c r="A285" t="inlineStr">
        <is>
          <t>my-kota-kinabalu</t>
        </is>
      </c>
      <c r="B285" t="inlineStr">
        <is>
          <t>Kota Kinabalu</t>
        </is>
      </c>
      <c r="C285" t="inlineStr">
        <is>
          <t>Malaysia</t>
        </is>
      </c>
      <c r="D285" t="inlineStr">
        <is>
          <t>Southeast Asia</t>
        </is>
      </c>
      <c r="E285" t="inlineStr">
        <is>
          <t>cultural_public_life_raw</t>
        </is>
      </c>
      <c r="F285" t="inlineStr">
        <is>
          <t>Cultural public life raw</t>
        </is>
      </c>
      <c r="G285" t="inlineStr">
        <is>
          <t>community</t>
        </is>
      </c>
      <c r="H285" t="inlineStr">
        <is>
          <t>yes</t>
        </is>
      </c>
      <c r="I285" t="inlineStr">
        <is>
          <t>55.0</t>
        </is>
      </c>
      <c r="J285" t="inlineStr">
        <is>
          <t>wmo_natl_met</t>
        </is>
      </c>
      <c r="K285" t="inlineStr">
        <is>
          <t>https://worldweather.wmo.int</t>
        </is>
      </c>
      <c r="L285" t="inlineStr">
        <is>
          <t>Nature tourism hub, Mt Kinabalu, islands, indigenous culture</t>
        </is>
      </c>
      <c r="M285" t="inlineStr">
        <is>
          <t>2024-12-31</t>
        </is>
      </c>
      <c r="N285" t="inlineStr">
        <is>
          <t>manual_assessment</t>
        </is>
      </c>
    </row>
    <row r="286">
      <c r="A286" t="inlineStr">
        <is>
          <t>my-kota-kinabalu</t>
        </is>
      </c>
      <c r="B286" t="inlineStr">
        <is>
          <t>Kota Kinabalu</t>
        </is>
      </c>
      <c r="C286" t="inlineStr">
        <is>
          <t>Malaysia</t>
        </is>
      </c>
      <c r="D286" t="inlineStr">
        <is>
          <t>Southeast Asia</t>
        </is>
      </c>
      <c r="E286" t="inlineStr">
        <is>
          <t>birth_rate_optimism_raw</t>
        </is>
      </c>
      <c r="F286" t="inlineStr">
        <is>
          <t>Birth rate and societal optimism raw</t>
        </is>
      </c>
      <c r="G286" t="inlineStr">
        <is>
          <t>community</t>
        </is>
      </c>
      <c r="H286" t="inlineStr">
        <is>
          <t>yes</t>
        </is>
      </c>
      <c r="I286" t="inlineStr">
        <is>
          <t>1.6</t>
        </is>
      </c>
      <c r="J286" t="inlineStr">
        <is>
          <t>world_bank</t>
        </is>
      </c>
      <c r="K286" t="inlineStr">
        <is>
          <t>https://data.worldbank.org/indicator/SP.DYN.TFRT.IN</t>
        </is>
      </c>
      <c r="L286" t="inlineStr">
        <is>
          <t>World Bank Total Fertility Rate 2023</t>
        </is>
      </c>
      <c r="M286" t="inlineStr">
        <is>
          <t>2024-01-01</t>
        </is>
      </c>
      <c r="N286" t="inlineStr"/>
    </row>
    <row r="287">
      <c r="A287" t="inlineStr">
        <is>
          <t>my-kota-kinabalu</t>
        </is>
      </c>
      <c r="B287" t="inlineStr">
        <is>
          <t>Kota Kinabalu</t>
        </is>
      </c>
      <c r="C287" t="inlineStr">
        <is>
          <t>Malaysia</t>
        </is>
      </c>
      <c r="D287" t="inlineStr">
        <is>
          <t>Southeast Asia</t>
        </is>
      </c>
      <c r="E287" t="inlineStr">
        <is>
          <t>entrepreneurial_dynamism_raw</t>
        </is>
      </c>
      <c r="F287" t="inlineStr">
        <is>
          <t>Entrepreneurial dynamism raw</t>
        </is>
      </c>
      <c r="G287" t="inlineStr">
        <is>
          <t>creative</t>
        </is>
      </c>
      <c r="H287" t="inlineStr">
        <is>
          <t>yes</t>
        </is>
      </c>
      <c r="I287" t="inlineStr">
        <is>
          <t>2.19</t>
        </is>
      </c>
      <c r="J287" t="inlineStr">
        <is>
          <t>world_bank</t>
        </is>
      </c>
      <c r="K287" t="inlineStr">
        <is>
          <t>https://api.worldbank.org/v2/country/MYS/indicator/IC.BUS.NDNS.ZS?format=json&amp;mrv=10</t>
        </is>
      </c>
      <c r="L287" t="inlineStr">
        <is>
          <t>World Bank WDI: New business density (new registrations per 1,000 people ages 15-64)</t>
        </is>
      </c>
      <c r="M287" t="inlineStr">
        <is>
          <t>2022-12-31</t>
        </is>
      </c>
      <c r="N287" t="inlineStr">
        <is>
          <t>auto_ingest=world_bank_creative_extended; indicator=IC.BUS.NDNS.ZS; year=2022; country_proxy=Malaysia</t>
        </is>
      </c>
    </row>
    <row r="288">
      <c r="A288" t="inlineStr">
        <is>
          <t>my-kota-kinabalu</t>
        </is>
      </c>
      <c r="B288" t="inlineStr">
        <is>
          <t>Kota Kinabalu</t>
        </is>
      </c>
      <c r="C288" t="inlineStr">
        <is>
          <t>Malaysia</t>
        </is>
      </c>
      <c r="D288" t="inlineStr">
        <is>
          <t>Southeast Asia</t>
        </is>
      </c>
      <c r="E288" t="inlineStr">
        <is>
          <t>innovation_research_intensity_raw</t>
        </is>
      </c>
      <c r="F288" t="inlineStr">
        <is>
          <t>Innovation and research raw</t>
        </is>
      </c>
      <c r="G288" t="inlineStr">
        <is>
          <t>creative</t>
        </is>
      </c>
      <c r="H288" t="inlineStr">
        <is>
          <t>yes</t>
        </is>
      </c>
      <c r="I288" t="inlineStr">
        <is>
          <t>0.95</t>
        </is>
      </c>
      <c r="J288" t="inlineStr">
        <is>
          <t>world_bank</t>
        </is>
      </c>
      <c r="K288" t="inlineStr">
        <is>
          <t>https://api.worldbank.org/v2/country/MYS/indicator/GB.XPD.RSDV.GD.ZS?format=json&amp;mrv=10</t>
        </is>
      </c>
      <c r="L288" t="inlineStr">
        <is>
          <t>World Bank WDI: Research and development expenditure (% of GDP)</t>
        </is>
      </c>
      <c r="M288" t="inlineStr">
        <is>
          <t>2020-12-31</t>
        </is>
      </c>
      <c r="N288" t="inlineStr">
        <is>
          <t>auto_ingest=world_bank_creative_extended; indicator=GB.XPD.RSDV.GD.ZS; year=2020; country_proxy=Malaysia</t>
        </is>
      </c>
    </row>
    <row r="289">
      <c r="A289" t="inlineStr">
        <is>
          <t>my-kota-kinabalu</t>
        </is>
      </c>
      <c r="B289" t="inlineStr">
        <is>
          <t>Kota Kinabalu</t>
        </is>
      </c>
      <c r="C289" t="inlineStr">
        <is>
          <t>Malaysia</t>
        </is>
      </c>
      <c r="D289" t="inlineStr">
        <is>
          <t>Southeast Asia</t>
        </is>
      </c>
      <c r="E289" t="inlineStr">
        <is>
          <t>investment_signal_raw</t>
        </is>
      </c>
      <c r="F289" t="inlineStr">
        <is>
          <t>Investment signal raw</t>
        </is>
      </c>
      <c r="G289" t="inlineStr">
        <is>
          <t>creative</t>
        </is>
      </c>
      <c r="H289" t="inlineStr">
        <is>
          <t>yes</t>
        </is>
      </c>
      <c r="I289" t="inlineStr">
        <is>
          <t>3.69</t>
        </is>
      </c>
      <c r="J289" t="inlineStr">
        <is>
          <t>world_bank</t>
        </is>
      </c>
      <c r="K289" t="inlineStr">
        <is>
          <t>https://api.worldbank.org/v2/country/MYS/indicator/BX.KLT.DINV.WD.GD.ZS?format=json&amp;mrv=10</t>
        </is>
      </c>
      <c r="L289" t="inlineStr">
        <is>
          <t>World Bank WDI: Foreign direct investment, net inflows (% of GDP)</t>
        </is>
      </c>
      <c r="M289" t="inlineStr">
        <is>
          <t>2024-12-31</t>
        </is>
      </c>
      <c r="N289" t="inlineStr">
        <is>
          <t>auto_ingest=world_bank_creative_extended; indicator=BX.KLT.DINV.WD.GD.ZS; year=2024; country_proxy=Malaysia</t>
        </is>
      </c>
    </row>
    <row r="290">
      <c r="A290" t="inlineStr">
        <is>
          <t>my-kota-kinabalu</t>
        </is>
      </c>
      <c r="B290" t="inlineStr">
        <is>
          <t>Kota Kinabalu</t>
        </is>
      </c>
      <c r="C290" t="inlineStr">
        <is>
          <t>Malaysia</t>
        </is>
      </c>
      <c r="D290" t="inlineStr">
        <is>
          <t>Southeast Asia</t>
        </is>
      </c>
      <c r="E290" t="inlineStr">
        <is>
          <t>administrative_investment_friction_raw</t>
        </is>
      </c>
      <c r="F290" t="inlineStr">
        <is>
          <t>Administrative investment friction raw</t>
        </is>
      </c>
      <c r="G290" t="inlineStr">
        <is>
          <t>creative</t>
        </is>
      </c>
      <c r="H290" t="inlineStr">
        <is>
          <t>yes</t>
        </is>
      </c>
      <c r="I290" t="inlineStr">
        <is>
          <t>1.84</t>
        </is>
      </c>
      <c r="J290" t="inlineStr">
        <is>
          <t>world_bank</t>
        </is>
      </c>
      <c r="K290" t="inlineStr">
        <is>
          <t>https://api.worldbank.org/v2/country/MYS/indicator/RQ.EST?format=json&amp;mrv=10</t>
        </is>
      </c>
      <c r="L290" t="inlineStr">
        <is>
          <t>World Bank WGI: Regulatory Quality (inverted as friction proxy)</t>
        </is>
      </c>
      <c r="M290" t="inlineStr">
        <is>
          <t>2023-12-31</t>
        </is>
      </c>
      <c r="N290" t="inlineStr">
        <is>
          <t>auto_ingest=world_bank_business_friction; indicator=RQ.EST; raw_rq=0.660894274711609; friction=1.84; year=2023; country_proxy=Malaysia</t>
        </is>
      </c>
    </row>
    <row r="291">
      <c r="A291" t="inlineStr">
        <is>
          <t>my-kota-kinabalu</t>
        </is>
      </c>
      <c r="B291" t="inlineStr">
        <is>
          <t>Kota Kinabalu</t>
        </is>
      </c>
      <c r="C291" t="inlineStr">
        <is>
          <t>Malaysia</t>
        </is>
      </c>
      <c r="D291" t="inlineStr">
        <is>
          <t>Southeast Asia</t>
        </is>
      </c>
      <c r="E291" t="inlineStr">
        <is>
          <t>visitor_flow_context_raw</t>
        </is>
      </c>
      <c r="F291" t="inlineStr">
        <is>
          <t>Visitor flow context raw</t>
        </is>
      </c>
      <c r="G291" t="inlineStr">
        <is>
          <t>creative</t>
        </is>
      </c>
      <c r="H291" t="inlineStr">
        <is>
          <t>no</t>
        </is>
      </c>
      <c r="I291" t="inlineStr"/>
      <c r="J291" t="inlineStr"/>
      <c r="K291" t="inlineStr"/>
      <c r="L291" t="inlineStr"/>
      <c r="M291" t="inlineStr"/>
      <c r="N291" t="inlineStr"/>
    </row>
    <row r="292">
      <c r="A292" t="inlineStr">
        <is>
          <t>my-melaka</t>
        </is>
      </c>
      <c r="B292" t="inlineStr">
        <is>
          <t>Melaka</t>
        </is>
      </c>
      <c r="C292" t="inlineStr">
        <is>
          <t>Malaysia</t>
        </is>
      </c>
      <c r="D292" t="inlineStr">
        <is>
          <t>Southeast Asia</t>
        </is>
      </c>
      <c r="E292" t="inlineStr">
        <is>
          <t>gross_income</t>
        </is>
      </c>
      <c r="F292" t="inlineStr">
        <is>
          <t>Gross income</t>
        </is>
      </c>
      <c r="G292" t="inlineStr">
        <is>
          <t>pressure</t>
        </is>
      </c>
      <c r="H292" t="inlineStr">
        <is>
          <t>yes</t>
        </is>
      </c>
      <c r="I292" t="inlineStr">
        <is>
          <t>3120.83</t>
        </is>
      </c>
      <c r="J292" t="inlineStr">
        <is>
          <t>world_bank_col_estimate</t>
        </is>
      </c>
      <c r="K292" t="inlineStr">
        <is>
          <t>https://api.worldbank.org/v2/country/MYS/indicator/NY.GNP.PCAP.PP.CD?format=json&amp;mrv=10</t>
        </is>
      </c>
      <c r="L292" t="inlineStr">
        <is>
          <t>World Bank WDI: GNI per capita PPP (monthly USD)</t>
        </is>
      </c>
      <c r="M292" t="inlineStr">
        <is>
          <t>2024-12-31</t>
        </is>
      </c>
      <c r="N292" t="inlineStr">
        <is>
          <t>auto_ingest=world_bank_col_estimate; gni_annual=37450.0; year=2024; country_proxy=Malaysia; cohort=Southeast Asia</t>
        </is>
      </c>
    </row>
    <row r="293">
      <c r="A293" t="inlineStr">
        <is>
          <t>my-melaka</t>
        </is>
      </c>
      <c r="B293" t="inlineStr">
        <is>
          <t>Melaka</t>
        </is>
      </c>
      <c r="C293" t="inlineStr">
        <is>
          <t>Malaysia</t>
        </is>
      </c>
      <c r="D293" t="inlineStr">
        <is>
          <t>Southeast Asia</t>
        </is>
      </c>
      <c r="E293" t="inlineStr">
        <is>
          <t>di_ppp_raw</t>
        </is>
      </c>
      <c r="F293" t="inlineStr">
        <is>
          <t>Disposable income PPP (Raw)</t>
        </is>
      </c>
      <c r="G293" t="inlineStr">
        <is>
          <t>pressure</t>
        </is>
      </c>
      <c r="H293" t="inlineStr">
        <is>
          <t>yes</t>
        </is>
      </c>
      <c r="I293" t="inlineStr"/>
      <c r="J293" t="inlineStr"/>
      <c r="K293" t="inlineStr"/>
      <c r="L293" t="inlineStr"/>
      <c r="M293" t="inlineStr"/>
      <c r="N293" t="inlineStr"/>
    </row>
    <row r="294">
      <c r="A294" t="inlineStr">
        <is>
          <t>my-melaka</t>
        </is>
      </c>
      <c r="B294" t="inlineStr">
        <is>
          <t>Melaka</t>
        </is>
      </c>
      <c r="C294" t="inlineStr">
        <is>
          <t>Malaysia</t>
        </is>
      </c>
      <c r="D294" t="inlineStr">
        <is>
          <t>Southeast Asia</t>
        </is>
      </c>
      <c r="E294" t="inlineStr">
        <is>
          <t>rent</t>
        </is>
      </c>
      <c r="F294" t="inlineStr">
        <is>
          <t>Rent</t>
        </is>
      </c>
      <c r="G294" t="inlineStr">
        <is>
          <t>pressure</t>
        </is>
      </c>
      <c r="H294" t="inlineStr">
        <is>
          <t>yes</t>
        </is>
      </c>
      <c r="I294" t="inlineStr">
        <is>
          <t>405.71</t>
        </is>
      </c>
      <c r="J294" t="inlineStr">
        <is>
          <t>world_bank_col_estimate</t>
        </is>
      </c>
      <c r="K294" t="inlineStr">
        <is>
          <t>https://api.worldbank.org/v2/country/MYS/indicator/NY.GNP.PCAP.PP.CD?format=json&amp;mrv=10</t>
        </is>
      </c>
      <c r="L294" t="inlineStr">
        <is>
          <t>World Bank GNI + regional expenditure ratio estimate</t>
        </is>
      </c>
      <c r="M294" t="inlineStr">
        <is>
          <t>2024-12-31</t>
        </is>
      </c>
      <c r="N294" t="inlineStr">
        <is>
          <t>auto_ingest=world_bank_col_estimate; gni_annual=37450.0; year=2024; country_proxy=Malaysia; cohort=Southeast Asia; city_cost_mult=0.65</t>
        </is>
      </c>
    </row>
    <row r="295">
      <c r="A295" t="inlineStr">
        <is>
          <t>my-melaka</t>
        </is>
      </c>
      <c r="B295" t="inlineStr">
        <is>
          <t>Melaka</t>
        </is>
      </c>
      <c r="C295" t="inlineStr">
        <is>
          <t>Malaysia</t>
        </is>
      </c>
      <c r="D295" t="inlineStr">
        <is>
          <t>Southeast Asia</t>
        </is>
      </c>
      <c r="E295" t="inlineStr">
        <is>
          <t>utilities</t>
        </is>
      </c>
      <c r="F295" t="inlineStr">
        <is>
          <t>Utilities</t>
        </is>
      </c>
      <c r="G295" t="inlineStr">
        <is>
          <t>pressure</t>
        </is>
      </c>
      <c r="H295" t="inlineStr">
        <is>
          <t>yes</t>
        </is>
      </c>
      <c r="I295" t="inlineStr">
        <is>
          <t>101.43</t>
        </is>
      </c>
      <c r="J295" t="inlineStr">
        <is>
          <t>world_bank_col_estimate</t>
        </is>
      </c>
      <c r="K295" t="inlineStr">
        <is>
          <t>https://api.worldbank.org/v2/country/MYS/indicator/NY.GNP.PCAP.PP.CD?format=json&amp;mrv=10</t>
        </is>
      </c>
      <c r="L295" t="inlineStr">
        <is>
          <t>World Bank GNI + regional expenditure ratio estimate</t>
        </is>
      </c>
      <c r="M295" t="inlineStr">
        <is>
          <t>2024-12-31</t>
        </is>
      </c>
      <c r="N295" t="inlineStr">
        <is>
          <t>auto_ingest=world_bank_col_estimate; gni_annual=37450.0; year=2024; country_proxy=Malaysia; cohort=Southeast Asia; city_cost_mult=0.65</t>
        </is>
      </c>
    </row>
    <row r="296">
      <c r="A296" t="inlineStr">
        <is>
          <t>my-melaka</t>
        </is>
      </c>
      <c r="B296" t="inlineStr">
        <is>
          <t>Melaka</t>
        </is>
      </c>
      <c r="C296" t="inlineStr">
        <is>
          <t>Malaysia</t>
        </is>
      </c>
      <c r="D296" t="inlineStr">
        <is>
          <t>Southeast Asia</t>
        </is>
      </c>
      <c r="E296" t="inlineStr">
        <is>
          <t>transit_cost</t>
        </is>
      </c>
      <c r="F296" t="inlineStr">
        <is>
          <t>Transit cost</t>
        </is>
      </c>
      <c r="G296" t="inlineStr">
        <is>
          <t>pressure</t>
        </is>
      </c>
      <c r="H296" t="inlineStr">
        <is>
          <t>yes</t>
        </is>
      </c>
      <c r="I296" t="inlineStr">
        <is>
          <t>81.14</t>
        </is>
      </c>
      <c r="J296" t="inlineStr">
        <is>
          <t>world_bank_col_estimate</t>
        </is>
      </c>
      <c r="K296" t="inlineStr">
        <is>
          <t>https://api.worldbank.org/v2/country/MYS/indicator/NY.GNP.PCAP.PP.CD?format=json&amp;mrv=10</t>
        </is>
      </c>
      <c r="L296" t="inlineStr">
        <is>
          <t>World Bank GNI + regional expenditure ratio estimate</t>
        </is>
      </c>
      <c r="M296" t="inlineStr">
        <is>
          <t>2024-12-31</t>
        </is>
      </c>
      <c r="N296" t="inlineStr">
        <is>
          <t>auto_ingest=world_bank_col_estimate; gni_annual=37450.0; year=2024; country_proxy=Malaysia; cohort=Southeast Asia; city_cost_mult=0.65</t>
        </is>
      </c>
    </row>
    <row r="297">
      <c r="A297" t="inlineStr">
        <is>
          <t>my-melaka</t>
        </is>
      </c>
      <c r="B297" t="inlineStr">
        <is>
          <t>Melaka</t>
        </is>
      </c>
      <c r="C297" t="inlineStr">
        <is>
          <t>Malaysia</t>
        </is>
      </c>
      <c r="D297" t="inlineStr">
        <is>
          <t>Southeast Asia</t>
        </is>
      </c>
      <c r="E297" t="inlineStr">
        <is>
          <t>internet_cost</t>
        </is>
      </c>
      <c r="F297" t="inlineStr">
        <is>
          <t>Internet cost</t>
        </is>
      </c>
      <c r="G297" t="inlineStr">
        <is>
          <t>pressure</t>
        </is>
      </c>
      <c r="H297" t="inlineStr">
        <is>
          <t>yes</t>
        </is>
      </c>
      <c r="I297" t="inlineStr">
        <is>
          <t>30.43</t>
        </is>
      </c>
      <c r="J297" t="inlineStr">
        <is>
          <t>world_bank_col_estimate</t>
        </is>
      </c>
      <c r="K297" t="inlineStr">
        <is>
          <t>https://api.worldbank.org/v2/country/MYS/indicator/NY.GNP.PCAP.PP.CD?format=json&amp;mrv=10</t>
        </is>
      </c>
      <c r="L297" t="inlineStr">
        <is>
          <t>World Bank GNI + regional expenditure ratio estimate</t>
        </is>
      </c>
      <c r="M297" t="inlineStr">
        <is>
          <t>2024-12-31</t>
        </is>
      </c>
      <c r="N297" t="inlineStr">
        <is>
          <t>auto_ingest=world_bank_col_estimate; gni_annual=37450.0; year=2024; country_proxy=Malaysia; cohort=Southeast Asia; city_cost_mult=0.65</t>
        </is>
      </c>
    </row>
    <row r="298">
      <c r="A298" t="inlineStr">
        <is>
          <t>my-melaka</t>
        </is>
      </c>
      <c r="B298" t="inlineStr">
        <is>
          <t>Melaka</t>
        </is>
      </c>
      <c r="C298" t="inlineStr">
        <is>
          <t>Malaysia</t>
        </is>
      </c>
      <c r="D298" t="inlineStr">
        <is>
          <t>Southeast Asia</t>
        </is>
      </c>
      <c r="E298" t="inlineStr">
        <is>
          <t>food_cost</t>
        </is>
      </c>
      <c r="F298" t="inlineStr">
        <is>
          <t>Food cost</t>
        </is>
      </c>
      <c r="G298" t="inlineStr">
        <is>
          <t>pressure</t>
        </is>
      </c>
      <c r="H298" t="inlineStr">
        <is>
          <t>yes</t>
        </is>
      </c>
      <c r="I298" t="inlineStr">
        <is>
          <t>446.28</t>
        </is>
      </c>
      <c r="J298" t="inlineStr">
        <is>
          <t>world_bank_col_estimate</t>
        </is>
      </c>
      <c r="K298" t="inlineStr">
        <is>
          <t>https://api.worldbank.org/v2/country/MYS/indicator/NY.GNP.PCAP.PP.CD?format=json&amp;mrv=10</t>
        </is>
      </c>
      <c r="L298" t="inlineStr">
        <is>
          <t>World Bank GNI + regional expenditure ratio estimate</t>
        </is>
      </c>
      <c r="M298" t="inlineStr">
        <is>
          <t>2024-12-31</t>
        </is>
      </c>
      <c r="N298" t="inlineStr">
        <is>
          <t>auto_ingest=world_bank_col_estimate; gni_annual=37450.0; year=2024; country_proxy=Malaysia; cohort=Southeast Asia; city_cost_mult=0.65</t>
        </is>
      </c>
    </row>
    <row r="299">
      <c r="A299" t="inlineStr">
        <is>
          <t>my-melaka</t>
        </is>
      </c>
      <c r="B299" t="inlineStr">
        <is>
          <t>Melaka</t>
        </is>
      </c>
      <c r="C299" t="inlineStr">
        <is>
          <t>Malaysia</t>
        </is>
      </c>
      <c r="D299" t="inlineStr">
        <is>
          <t>Southeast Asia</t>
        </is>
      </c>
      <c r="E299" t="inlineStr">
        <is>
          <t>housing_burden_raw</t>
        </is>
      </c>
      <c r="F299" t="inlineStr">
        <is>
          <t>Housing burden raw</t>
        </is>
      </c>
      <c r="G299" t="inlineStr">
        <is>
          <t>pressure</t>
        </is>
      </c>
      <c r="H299" t="inlineStr">
        <is>
          <t>yes</t>
        </is>
      </c>
      <c r="I299" t="inlineStr">
        <is>
          <t>13.0001</t>
        </is>
      </c>
      <c r="J299" t="inlineStr">
        <is>
          <t>derived</t>
        </is>
      </c>
      <c r="K299" t="inlineStr">
        <is>
          <t>https://data.worldbank.org/indicator/NY.GNP.PCAP.PP.CD</t>
        </is>
      </c>
      <c r="L299" t="inlineStr">
        <is>
          <t>Computed from city_inputs + country_context</t>
        </is>
      </c>
      <c r="M299" t="inlineStr">
        <is>
          <t>2024-01-01</t>
        </is>
      </c>
      <c r="N299" t="inlineStr">
        <is>
          <t>derived=rent/gross_income*100</t>
        </is>
      </c>
    </row>
    <row r="300">
      <c r="A300" t="inlineStr">
        <is>
          <t>my-melaka</t>
        </is>
      </c>
      <c r="B300" t="inlineStr">
        <is>
          <t>Melaka</t>
        </is>
      </c>
      <c r="C300" t="inlineStr">
        <is>
          <t>Malaysia</t>
        </is>
      </c>
      <c r="D300" t="inlineStr">
        <is>
          <t>Southeast Asia</t>
        </is>
      </c>
      <c r="E300" t="inlineStr">
        <is>
          <t>household_debt_burden_raw</t>
        </is>
      </c>
      <c r="F300" t="inlineStr">
        <is>
          <t>Household debt burden raw</t>
        </is>
      </c>
      <c r="G300" t="inlineStr">
        <is>
          <t>pressure</t>
        </is>
      </c>
      <c r="H300" t="inlineStr">
        <is>
          <t>yes</t>
        </is>
      </c>
      <c r="I300" t="inlineStr">
        <is>
          <t>116.0773</t>
        </is>
      </c>
      <c r="J300" t="inlineStr">
        <is>
          <t>derived</t>
        </is>
      </c>
      <c r="K300" t="inlineStr">
        <is>
          <t>https://data.worldbank.org/indicator/NY.GNP.PCAP.PP.CD</t>
        </is>
      </c>
      <c r="L300" t="inlineStr">
        <is>
          <t>Computed from city_inputs + country_context</t>
        </is>
      </c>
      <c r="M300" t="inlineStr">
        <is>
          <t>2024-01-01</t>
        </is>
      </c>
      <c r="N300" t="inlineStr">
        <is>
          <t>derived=country_context.household_debt_proxy; country=Malaysia</t>
        </is>
      </c>
    </row>
    <row r="301">
      <c r="A301" t="inlineStr">
        <is>
          <t>my-melaka</t>
        </is>
      </c>
      <c r="B301" t="inlineStr">
        <is>
          <t>Melaka</t>
        </is>
      </c>
      <c r="C301" t="inlineStr">
        <is>
          <t>Malaysia</t>
        </is>
      </c>
      <c r="D301" t="inlineStr">
        <is>
          <t>Southeast Asia</t>
        </is>
      </c>
      <c r="E301" t="inlineStr">
        <is>
          <t>working_time_pressure_raw</t>
        </is>
      </c>
      <c r="F301" t="inlineStr">
        <is>
          <t>Working time pressure raw</t>
        </is>
      </c>
      <c r="G301" t="inlineStr">
        <is>
          <t>pressure</t>
        </is>
      </c>
      <c r="H301" t="inlineStr">
        <is>
          <t>yes</t>
        </is>
      </c>
      <c r="I301" t="inlineStr">
        <is>
          <t>44.7</t>
        </is>
      </c>
      <c r="J301" t="inlineStr">
        <is>
          <t>ilo_ilostat</t>
        </is>
      </c>
      <c r="K301" t="inlineStr">
        <is>
          <t>https://ilostat.ilo.org/data/indicator/?id=HOW_TEMP_SEX_ECO_NB_A&amp;ref_area=MYS</t>
        </is>
      </c>
      <c r="L301" t="inlineStr">
        <is>
          <t>ILO ILOSTAT: Mean weekly hours actually worked per employed person</t>
        </is>
      </c>
      <c r="M301" t="inlineStr">
        <is>
          <t>2022-12-31</t>
        </is>
      </c>
      <c r="N301" t="inlineStr">
        <is>
          <t>auto_ingest=ilo_working_hours; indicator=HOW_TEMP_SEX_ECO_NB_A; year=2022; hours=44.7; country_proxy=Malaysia</t>
        </is>
      </c>
    </row>
    <row r="302">
      <c r="A302" t="inlineStr">
        <is>
          <t>my-melaka</t>
        </is>
      </c>
      <c r="B302" t="inlineStr">
        <is>
          <t>Melaka</t>
        </is>
      </c>
      <c r="C302" t="inlineStr">
        <is>
          <t>Malaysia</t>
        </is>
      </c>
      <c r="D302" t="inlineStr">
        <is>
          <t>Southeast Asia</t>
        </is>
      </c>
      <c r="E302" t="inlineStr">
        <is>
          <t>suicide_mental_strain_raw</t>
        </is>
      </c>
      <c r="F302" t="inlineStr">
        <is>
          <t>Suicide or mental strain raw</t>
        </is>
      </c>
      <c r="G302" t="inlineStr">
        <is>
          <t>pressure</t>
        </is>
      </c>
      <c r="H302" t="inlineStr">
        <is>
          <t>yes</t>
        </is>
      </c>
      <c r="I302" t="inlineStr">
        <is>
          <t>5.65</t>
        </is>
      </c>
      <c r="J302" t="inlineStr">
        <is>
          <t>who_gho</t>
        </is>
      </c>
      <c r="K302" t="inlineStr">
        <is>
          <t>https://www.who.int/data/gho/data/indicators/indicator-details/GHO/SDGSUICIDE</t>
        </is>
      </c>
      <c r="L302" t="inlineStr">
        <is>
          <t>WHO GHO: Age-standardized suicide rate (per 100,000 population)</t>
        </is>
      </c>
      <c r="M302" t="inlineStr">
        <is>
          <t>2021-12-31</t>
        </is>
      </c>
      <c r="N302" t="inlineStr">
        <is>
          <t>auto_ingest=who_gho; indicator=SDGSUICIDE; year=2021; country_proxy=Malaysia</t>
        </is>
      </c>
    </row>
    <row r="303">
      <c r="A303" t="inlineStr">
        <is>
          <t>my-melaka</t>
        </is>
      </c>
      <c r="B303" t="inlineStr">
        <is>
          <t>Melaka</t>
        </is>
      </c>
      <c r="C303" t="inlineStr">
        <is>
          <t>Malaysia</t>
        </is>
      </c>
      <c r="D303" t="inlineStr">
        <is>
          <t>Southeast Asia</t>
        </is>
      </c>
      <c r="E303" t="inlineStr">
        <is>
          <t>personal_safety_raw</t>
        </is>
      </c>
      <c r="F303" t="inlineStr">
        <is>
          <t>Personal safety raw</t>
        </is>
      </c>
      <c r="G303" t="inlineStr">
        <is>
          <t>viability</t>
        </is>
      </c>
      <c r="H303" t="inlineStr">
        <is>
          <t>yes</t>
        </is>
      </c>
      <c r="I303" t="inlineStr">
        <is>
          <t>0.73</t>
        </is>
      </c>
      <c r="J303" t="inlineStr">
        <is>
          <t>world_bank</t>
        </is>
      </c>
      <c r="K303" t="inlineStr">
        <is>
          <t>https://api.worldbank.org/v2/country/MYS/indicator/VC.IHR.PSRC.P5?format=json&amp;mrv=10</t>
        </is>
      </c>
      <c r="L303" t="inlineStr">
        <is>
          <t>UNODC via World Bank WDI: Intentional homicides (per 100,000 people)</t>
        </is>
      </c>
      <c r="M303" t="inlineStr">
        <is>
          <t>2023-12-31</t>
        </is>
      </c>
      <c r="N303" t="inlineStr">
        <is>
          <t>auto_ingest=unodc_safety; indicator=VC.IHR.PSRC.P5; year=2023; country_proxy=Malaysia</t>
        </is>
      </c>
    </row>
    <row r="304">
      <c r="A304" t="inlineStr">
        <is>
          <t>my-melaka</t>
        </is>
      </c>
      <c r="B304" t="inlineStr">
        <is>
          <t>Melaka</t>
        </is>
      </c>
      <c r="C304" t="inlineStr">
        <is>
          <t>Malaysia</t>
        </is>
      </c>
      <c r="D304" t="inlineStr">
        <is>
          <t>Southeast Asia</t>
        </is>
      </c>
      <c r="E304" t="inlineStr">
        <is>
          <t>transit_access_commute_raw</t>
        </is>
      </c>
      <c r="F304" t="inlineStr">
        <is>
          <t>Transit access and commute raw</t>
        </is>
      </c>
      <c r="G304" t="inlineStr">
        <is>
          <t>viability</t>
        </is>
      </c>
      <c r="H304" t="inlineStr">
        <is>
          <t>yes</t>
        </is>
      </c>
      <c r="I304" t="inlineStr"/>
      <c r="J304" t="inlineStr"/>
      <c r="K304" t="inlineStr"/>
      <c r="L304" t="inlineStr"/>
      <c r="M304" t="inlineStr"/>
      <c r="N304" t="inlineStr"/>
    </row>
    <row r="305">
      <c r="A305" t="inlineStr">
        <is>
          <t>my-melaka</t>
        </is>
      </c>
      <c r="B305" t="inlineStr">
        <is>
          <t>Melaka</t>
        </is>
      </c>
      <c r="C305" t="inlineStr">
        <is>
          <t>Malaysia</t>
        </is>
      </c>
      <c r="D305" t="inlineStr">
        <is>
          <t>Southeast Asia</t>
        </is>
      </c>
      <c r="E305" t="inlineStr">
        <is>
          <t>clean_air_raw</t>
        </is>
      </c>
      <c r="F305" t="inlineStr">
        <is>
          <t>Clean air raw</t>
        </is>
      </c>
      <c r="G305" t="inlineStr">
        <is>
          <t>viability</t>
        </is>
      </c>
      <c r="H305" t="inlineStr">
        <is>
          <t>yes</t>
        </is>
      </c>
      <c r="I305" t="inlineStr">
        <is>
          <t>18.0</t>
        </is>
      </c>
      <c r="J305" t="inlineStr">
        <is>
          <t>wmo_natl_met</t>
        </is>
      </c>
      <c r="K305" t="inlineStr">
        <is>
          <t>https://worldweather.wmo.int</t>
        </is>
      </c>
      <c r="L305" t="inlineStr">
        <is>
          <t>Melaka PM2.5 — coastal, cleaner than KL</t>
        </is>
      </c>
      <c r="M305" t="inlineStr">
        <is>
          <t>2024-12-31</t>
        </is>
      </c>
      <c r="N305" t="inlineStr">
        <is>
          <t>city_level</t>
        </is>
      </c>
    </row>
    <row r="306">
      <c r="A306" t="inlineStr">
        <is>
          <t>my-melaka</t>
        </is>
      </c>
      <c r="B306" t="inlineStr">
        <is>
          <t>Melaka</t>
        </is>
      </c>
      <c r="C306" t="inlineStr">
        <is>
          <t>Malaysia</t>
        </is>
      </c>
      <c r="D306" t="inlineStr">
        <is>
          <t>Southeast Asia</t>
        </is>
      </c>
      <c r="E306" t="inlineStr">
        <is>
          <t>water_sanitation_utility_raw</t>
        </is>
      </c>
      <c r="F306" t="inlineStr">
        <is>
          <t>Water, sanitation, and utility raw</t>
        </is>
      </c>
      <c r="G306" t="inlineStr">
        <is>
          <t>viability</t>
        </is>
      </c>
      <c r="H306" t="inlineStr">
        <is>
          <t>yes</t>
        </is>
      </c>
      <c r="I306" t="inlineStr">
        <is>
          <t>90.0</t>
        </is>
      </c>
      <c r="J306" t="inlineStr">
        <is>
          <t>who_unicef_jmp</t>
        </is>
      </c>
      <c r="K306" t="inlineStr">
        <is>
          <t>https://washdata.org</t>
        </is>
      </c>
      <c r="L306" t="inlineStr">
        <is>
          <t>JMP: Malaysia safely managed water</t>
        </is>
      </c>
      <c r="M306" t="inlineStr">
        <is>
          <t>2023-12-31</t>
        </is>
      </c>
      <c r="N306" t="inlineStr">
        <is>
          <t>country_proxy=Malaysia</t>
        </is>
      </c>
    </row>
    <row r="307">
      <c r="A307" t="inlineStr">
        <is>
          <t>my-melaka</t>
        </is>
      </c>
      <c r="B307" t="inlineStr">
        <is>
          <t>Melaka</t>
        </is>
      </c>
      <c r="C307" t="inlineStr">
        <is>
          <t>Malaysia</t>
        </is>
      </c>
      <c r="D307" t="inlineStr">
        <is>
          <t>Southeast Asia</t>
        </is>
      </c>
      <c r="E307" t="inlineStr">
        <is>
          <t>digital_infrastructure_raw</t>
        </is>
      </c>
      <c r="F307" t="inlineStr">
        <is>
          <t>Digital infrastructure raw</t>
        </is>
      </c>
      <c r="G307" t="inlineStr">
        <is>
          <t>viability</t>
        </is>
      </c>
      <c r="H307" t="inlineStr">
        <is>
          <t>yes</t>
        </is>
      </c>
      <c r="I307" t="inlineStr">
        <is>
          <t>13.03</t>
        </is>
      </c>
      <c r="J307" t="inlineStr">
        <is>
          <t>world_bank</t>
        </is>
      </c>
      <c r="K307" t="inlineStr">
        <is>
          <t>https://api.worldbank.org/v2/country/MYS/indicator/IT.NET.BBND.P2?format=json&amp;mrv=10</t>
        </is>
      </c>
      <c r="L307" t="inlineStr">
        <is>
          <t>World Bank WDI: Fixed broadband subscriptions (per 100 people)</t>
        </is>
      </c>
      <c r="M307" t="inlineStr">
        <is>
          <t>2023-12-31</t>
        </is>
      </c>
      <c r="N307" t="inlineStr">
        <is>
          <t>auto_ingest=world_bank_proxy; indicator=IT.NET.BBND.P2; year=2023; country_proxy=Malaysia</t>
        </is>
      </c>
    </row>
    <row r="308">
      <c r="A308" t="inlineStr">
        <is>
          <t>my-melaka</t>
        </is>
      </c>
      <c r="B308" t="inlineStr">
        <is>
          <t>Melaka</t>
        </is>
      </c>
      <c r="C308" t="inlineStr">
        <is>
          <t>Malaysia</t>
        </is>
      </c>
      <c r="D308" t="inlineStr">
        <is>
          <t>Southeast Asia</t>
        </is>
      </c>
      <c r="E308" t="inlineStr">
        <is>
          <t>climate_sunlight_livability_raw</t>
        </is>
      </c>
      <c r="F308" t="inlineStr">
        <is>
          <t>Climate and sunlight livability raw</t>
        </is>
      </c>
      <c r="G308" t="inlineStr">
        <is>
          <t>viability</t>
        </is>
      </c>
      <c r="H308" t="inlineStr">
        <is>
          <t>yes</t>
        </is>
      </c>
      <c r="I308" t="inlineStr">
        <is>
          <t>56.0</t>
        </is>
      </c>
      <c r="J308" t="inlineStr">
        <is>
          <t>wmo_natl_met</t>
        </is>
      </c>
      <c r="K308" t="inlineStr">
        <is>
          <t>https://worldweather.wmo.int</t>
        </is>
      </c>
      <c r="L308" t="inlineStr">
        <is>
          <t>WMO: 2200 sun hrs, 28C mean, tropical coastal</t>
        </is>
      </c>
      <c r="M308" t="inlineStr">
        <is>
          <t>2024-12-31</t>
        </is>
      </c>
      <c r="N308" t="inlineStr">
        <is>
          <t>city_level</t>
        </is>
      </c>
    </row>
    <row r="309">
      <c r="A309" t="inlineStr">
        <is>
          <t>my-melaka</t>
        </is>
      </c>
      <c r="B309" t="inlineStr">
        <is>
          <t>Melaka</t>
        </is>
      </c>
      <c r="C309" t="inlineStr">
        <is>
          <t>Malaysia</t>
        </is>
      </c>
      <c r="D309" t="inlineStr">
        <is>
          <t>Southeast Asia</t>
        </is>
      </c>
      <c r="E309" t="inlineStr">
        <is>
          <t>healthcare_quality_raw</t>
        </is>
      </c>
      <c r="F309" t="inlineStr">
        <is>
          <t>Healthcare quality raw</t>
        </is>
      </c>
      <c r="G309" t="inlineStr">
        <is>
          <t>capability</t>
        </is>
      </c>
      <c r="H309" t="inlineStr">
        <is>
          <t>yes</t>
        </is>
      </c>
      <c r="I309" t="inlineStr">
        <is>
          <t>80.0</t>
        </is>
      </c>
      <c r="J309" t="inlineStr">
        <is>
          <t>who_gho</t>
        </is>
      </c>
      <c r="K309" t="inlineStr">
        <is>
          <t>https://www.who.int/data/gho/data/indicators/indicator-details/GHO/UHC_INDEX_REPORTED</t>
        </is>
      </c>
      <c r="L309" t="inlineStr">
        <is>
          <t>WHO GHO: UHC Service Coverage Index</t>
        </is>
      </c>
      <c r="M309" t="inlineStr">
        <is>
          <t>2023-12-31</t>
        </is>
      </c>
      <c r="N309" t="inlineStr">
        <is>
          <t>auto_ingest=who_gho; indicator=UHC_INDEX_REPORTED; year=2023; country_proxy=Malaysia</t>
        </is>
      </c>
    </row>
    <row r="310">
      <c r="A310" t="inlineStr">
        <is>
          <t>my-melaka</t>
        </is>
      </c>
      <c r="B310" t="inlineStr">
        <is>
          <t>Melaka</t>
        </is>
      </c>
      <c r="C310" t="inlineStr">
        <is>
          <t>Malaysia</t>
        </is>
      </c>
      <c r="D310" t="inlineStr">
        <is>
          <t>Southeast Asia</t>
        </is>
      </c>
      <c r="E310" t="inlineStr">
        <is>
          <t>education_quality_raw</t>
        </is>
      </c>
      <c r="F310" t="inlineStr">
        <is>
          <t>Education quality raw</t>
        </is>
      </c>
      <c r="G310" t="inlineStr">
        <is>
          <t>capability</t>
        </is>
      </c>
      <c r="H310" t="inlineStr">
        <is>
          <t>yes</t>
        </is>
      </c>
      <c r="I310" t="inlineStr">
        <is>
          <t>38.5</t>
        </is>
      </c>
      <c r="J310" t="inlineStr">
        <is>
          <t>world_bank</t>
        </is>
      </c>
      <c r="K310" t="inlineStr">
        <is>
          <t>https://api.worldbank.org/v2/country/MYS/indicator/SE.TER.ENRR?format=json&amp;mrv=10</t>
        </is>
      </c>
      <c r="L310" t="inlineStr">
        <is>
          <t>World Bank WDI: School enrollment, tertiary (% gross)</t>
        </is>
      </c>
      <c r="M310" t="inlineStr">
        <is>
          <t>2024-12-31</t>
        </is>
      </c>
      <c r="N310" t="inlineStr">
        <is>
          <t>auto_ingest=world_bank_proxy; indicator=SE.TER.ENRR; year=2024; country_proxy=Malaysia</t>
        </is>
      </c>
    </row>
    <row r="311">
      <c r="A311" t="inlineStr">
        <is>
          <t>my-melaka</t>
        </is>
      </c>
      <c r="B311" t="inlineStr">
        <is>
          <t>Melaka</t>
        </is>
      </c>
      <c r="C311" t="inlineStr">
        <is>
          <t>Malaysia</t>
        </is>
      </c>
      <c r="D311" t="inlineStr">
        <is>
          <t>Southeast Asia</t>
        </is>
      </c>
      <c r="E311" t="inlineStr">
        <is>
          <t>equal_opportunity_raw</t>
        </is>
      </c>
      <c r="F311" t="inlineStr">
        <is>
          <t>Equal opportunity raw</t>
        </is>
      </c>
      <c r="G311" t="inlineStr">
        <is>
          <t>capability</t>
        </is>
      </c>
      <c r="H311" t="inlineStr">
        <is>
          <t>yes</t>
        </is>
      </c>
      <c r="I311" t="inlineStr">
        <is>
          <t>40.7</t>
        </is>
      </c>
      <c r="J311" t="inlineStr">
        <is>
          <t>world_bank</t>
        </is>
      </c>
      <c r="K311" t="inlineStr">
        <is>
          <t>https://api.worldbank.org/v2/country/MYS/indicator/SI.POV.GINI?format=json&amp;mrv=10</t>
        </is>
      </c>
      <c r="L311" t="inlineStr">
        <is>
          <t>World Bank WDI: Gini index</t>
        </is>
      </c>
      <c r="M311" t="inlineStr">
        <is>
          <t>2021-12-31</t>
        </is>
      </c>
      <c r="N311" t="inlineStr">
        <is>
          <t>auto_ingest=world_bank_capability; indicator=SI.POV.GINI; year=2021; country_proxy=Malaysia</t>
        </is>
      </c>
    </row>
    <row r="312">
      <c r="A312" t="inlineStr">
        <is>
          <t>my-melaka</t>
        </is>
      </c>
      <c r="B312" t="inlineStr">
        <is>
          <t>Melaka</t>
        </is>
      </c>
      <c r="C312" t="inlineStr">
        <is>
          <t>Malaysia</t>
        </is>
      </c>
      <c r="D312" t="inlineStr">
        <is>
          <t>Southeast Asia</t>
        </is>
      </c>
      <c r="E312" t="inlineStr">
        <is>
          <t>hospitality_belonging_raw</t>
        </is>
      </c>
      <c r="F312" t="inlineStr">
        <is>
          <t>Hospitality and belonging raw</t>
        </is>
      </c>
      <c r="G312" t="inlineStr">
        <is>
          <t>community</t>
        </is>
      </c>
      <c r="H312" t="inlineStr">
        <is>
          <t>yes</t>
        </is>
      </c>
      <c r="I312" t="inlineStr">
        <is>
          <t>54.69</t>
        </is>
      </c>
      <c r="J312" t="inlineStr">
        <is>
          <t>world_bank</t>
        </is>
      </c>
      <c r="K312" t="inlineStr">
        <is>
          <t>https://api.worldbank.org/v2/country/MYS/indicator/SM.POP.NETM?format=json&amp;mrv=10</t>
        </is>
      </c>
      <c r="L312" t="inlineStr">
        <is>
          <t>World Bank WDI: Net migration (proxy for hospitality/belonging — positive = welcoming)</t>
        </is>
      </c>
      <c r="M312" t="inlineStr">
        <is>
          <t>2025-12-31</t>
        </is>
      </c>
      <c r="N312" t="inlineStr">
        <is>
          <t>auto_ingest=world_bank_proxy; proxy=net_migration_hospitality; indicator=SM.POP.NETM; year=2025; country_proxy=Malaysia</t>
        </is>
      </c>
    </row>
    <row r="313">
      <c r="A313" t="inlineStr">
        <is>
          <t>my-melaka</t>
        </is>
      </c>
      <c r="B313" t="inlineStr">
        <is>
          <t>Melaka</t>
        </is>
      </c>
      <c r="C313" t="inlineStr">
        <is>
          <t>Malaysia</t>
        </is>
      </c>
      <c r="D313" t="inlineStr">
        <is>
          <t>Southeast Asia</t>
        </is>
      </c>
      <c r="E313" t="inlineStr">
        <is>
          <t>tolerance_pluralism_raw</t>
        </is>
      </c>
      <c r="F313" t="inlineStr">
        <is>
          <t>Tolerance and pluralism raw</t>
        </is>
      </c>
      <c r="G313" t="inlineStr">
        <is>
          <t>community</t>
        </is>
      </c>
      <c r="H313" t="inlineStr">
        <is>
          <t>yes</t>
        </is>
      </c>
      <c r="I313" t="inlineStr">
        <is>
          <t>13.51</t>
        </is>
      </c>
      <c r="J313" t="inlineStr">
        <is>
          <t>world_bank</t>
        </is>
      </c>
      <c r="K313" t="inlineStr">
        <is>
          <t>https://api.worldbank.org/v2/country/MYS/indicator/SG.GEN.PARL.ZS?format=json&amp;mrv=10</t>
        </is>
      </c>
      <c r="L313" t="inlineStr">
        <is>
          <t>World Bank WDI: Proportion of seats held by women in national parliaments (%)</t>
        </is>
      </c>
      <c r="M313" t="inlineStr">
        <is>
          <t>2024-12-31</t>
        </is>
      </c>
      <c r="N313" t="inlineStr">
        <is>
          <t>auto_ingest=world_bank_proxy; proxy=gender_parity_parliament; indicator=SG.GEN.PARL.ZS; year=2024; country_proxy=Malaysia</t>
        </is>
      </c>
    </row>
    <row r="314">
      <c r="A314" t="inlineStr">
        <is>
          <t>my-melaka</t>
        </is>
      </c>
      <c r="B314" t="inlineStr">
        <is>
          <t>Melaka</t>
        </is>
      </c>
      <c r="C314" t="inlineStr">
        <is>
          <t>Malaysia</t>
        </is>
      </c>
      <c r="D314" t="inlineStr">
        <is>
          <t>Southeast Asia</t>
        </is>
      </c>
      <c r="E314" t="inlineStr">
        <is>
          <t>cultural_public_life_raw</t>
        </is>
      </c>
      <c r="F314" t="inlineStr">
        <is>
          <t>Cultural public life raw</t>
        </is>
      </c>
      <c r="G314" t="inlineStr">
        <is>
          <t>community</t>
        </is>
      </c>
      <c r="H314" t="inlineStr">
        <is>
          <t>yes</t>
        </is>
      </c>
      <c r="I314" t="inlineStr">
        <is>
          <t>75.0</t>
        </is>
      </c>
      <c r="J314" t="inlineStr">
        <is>
          <t>wmo_natl_met</t>
        </is>
      </c>
      <c r="K314" t="inlineStr">
        <is>
          <t>https://worldweather.wmo.int</t>
        </is>
      </c>
      <c r="L314" t="inlineStr">
        <is>
          <t>UNESCO World Heritage, Peranakan culture, Portuguese/Dutch/Chinese/Malay layers, Jonker Street</t>
        </is>
      </c>
      <c r="M314" t="inlineStr">
        <is>
          <t>2024-12-31</t>
        </is>
      </c>
      <c r="N314" t="inlineStr">
        <is>
          <t>manual_assessment; one of SE Asia's richest cultural cities</t>
        </is>
      </c>
    </row>
    <row r="315">
      <c r="A315" t="inlineStr">
        <is>
          <t>my-melaka</t>
        </is>
      </c>
      <c r="B315" t="inlineStr">
        <is>
          <t>Melaka</t>
        </is>
      </c>
      <c r="C315" t="inlineStr">
        <is>
          <t>Malaysia</t>
        </is>
      </c>
      <c r="D315" t="inlineStr">
        <is>
          <t>Southeast Asia</t>
        </is>
      </c>
      <c r="E315" t="inlineStr">
        <is>
          <t>birth_rate_optimism_raw</t>
        </is>
      </c>
      <c r="F315" t="inlineStr">
        <is>
          <t>Birth rate and societal optimism raw</t>
        </is>
      </c>
      <c r="G315" t="inlineStr">
        <is>
          <t>community</t>
        </is>
      </c>
      <c r="H315" t="inlineStr">
        <is>
          <t>yes</t>
        </is>
      </c>
      <c r="I315" t="inlineStr">
        <is>
          <t>1.6</t>
        </is>
      </c>
      <c r="J315" t="inlineStr">
        <is>
          <t>world_bank</t>
        </is>
      </c>
      <c r="K315" t="inlineStr">
        <is>
          <t>https://data.worldbank.org/indicator/SP.DYN.TFRT.IN</t>
        </is>
      </c>
      <c r="L315" t="inlineStr">
        <is>
          <t>World Bank Total Fertility Rate 2023</t>
        </is>
      </c>
      <c r="M315" t="inlineStr">
        <is>
          <t>2024-01-01</t>
        </is>
      </c>
      <c r="N315" t="inlineStr"/>
    </row>
    <row r="316">
      <c r="A316" t="inlineStr">
        <is>
          <t>my-melaka</t>
        </is>
      </c>
      <c r="B316" t="inlineStr">
        <is>
          <t>Melaka</t>
        </is>
      </c>
      <c r="C316" t="inlineStr">
        <is>
          <t>Malaysia</t>
        </is>
      </c>
      <c r="D316" t="inlineStr">
        <is>
          <t>Southeast Asia</t>
        </is>
      </c>
      <c r="E316" t="inlineStr">
        <is>
          <t>entrepreneurial_dynamism_raw</t>
        </is>
      </c>
      <c r="F316" t="inlineStr">
        <is>
          <t>Entrepreneurial dynamism raw</t>
        </is>
      </c>
      <c r="G316" t="inlineStr">
        <is>
          <t>creative</t>
        </is>
      </c>
      <c r="H316" t="inlineStr">
        <is>
          <t>yes</t>
        </is>
      </c>
      <c r="I316" t="inlineStr">
        <is>
          <t>2.19</t>
        </is>
      </c>
      <c r="J316" t="inlineStr">
        <is>
          <t>world_bank</t>
        </is>
      </c>
      <c r="K316" t="inlineStr">
        <is>
          <t>https://api.worldbank.org/v2/country/MYS/indicator/IC.BUS.NDNS.ZS?format=json&amp;mrv=10</t>
        </is>
      </c>
      <c r="L316" t="inlineStr">
        <is>
          <t>World Bank WDI: New business density (new registrations per 1,000 people ages 15-64)</t>
        </is>
      </c>
      <c r="M316" t="inlineStr">
        <is>
          <t>2022-12-31</t>
        </is>
      </c>
      <c r="N316" t="inlineStr">
        <is>
          <t>auto_ingest=world_bank_creative_extended; indicator=IC.BUS.NDNS.ZS; year=2022; country_proxy=Malaysia</t>
        </is>
      </c>
    </row>
    <row r="317">
      <c r="A317" t="inlineStr">
        <is>
          <t>my-melaka</t>
        </is>
      </c>
      <c r="B317" t="inlineStr">
        <is>
          <t>Melaka</t>
        </is>
      </c>
      <c r="C317" t="inlineStr">
        <is>
          <t>Malaysia</t>
        </is>
      </c>
      <c r="D317" t="inlineStr">
        <is>
          <t>Southeast Asia</t>
        </is>
      </c>
      <c r="E317" t="inlineStr">
        <is>
          <t>innovation_research_intensity_raw</t>
        </is>
      </c>
      <c r="F317" t="inlineStr">
        <is>
          <t>Innovation and research raw</t>
        </is>
      </c>
      <c r="G317" t="inlineStr">
        <is>
          <t>creative</t>
        </is>
      </c>
      <c r="H317" t="inlineStr">
        <is>
          <t>yes</t>
        </is>
      </c>
      <c r="I317" t="inlineStr">
        <is>
          <t>0.95</t>
        </is>
      </c>
      <c r="J317" t="inlineStr">
        <is>
          <t>world_bank</t>
        </is>
      </c>
      <c r="K317" t="inlineStr">
        <is>
          <t>https://api.worldbank.org/v2/country/MYS/indicator/GB.XPD.RSDV.GD.ZS?format=json&amp;mrv=10</t>
        </is>
      </c>
      <c r="L317" t="inlineStr">
        <is>
          <t>World Bank WDI: Research and development expenditure (% of GDP)</t>
        </is>
      </c>
      <c r="M317" t="inlineStr">
        <is>
          <t>2020-12-31</t>
        </is>
      </c>
      <c r="N317" t="inlineStr">
        <is>
          <t>auto_ingest=world_bank_creative_extended; indicator=GB.XPD.RSDV.GD.ZS; year=2020; country_proxy=Malaysia</t>
        </is>
      </c>
    </row>
    <row r="318">
      <c r="A318" t="inlineStr">
        <is>
          <t>my-melaka</t>
        </is>
      </c>
      <c r="B318" t="inlineStr">
        <is>
          <t>Melaka</t>
        </is>
      </c>
      <c r="C318" t="inlineStr">
        <is>
          <t>Malaysia</t>
        </is>
      </c>
      <c r="D318" t="inlineStr">
        <is>
          <t>Southeast Asia</t>
        </is>
      </c>
      <c r="E318" t="inlineStr">
        <is>
          <t>investment_signal_raw</t>
        </is>
      </c>
      <c r="F318" t="inlineStr">
        <is>
          <t>Investment signal raw</t>
        </is>
      </c>
      <c r="G318" t="inlineStr">
        <is>
          <t>creative</t>
        </is>
      </c>
      <c r="H318" t="inlineStr">
        <is>
          <t>yes</t>
        </is>
      </c>
      <c r="I318" t="inlineStr">
        <is>
          <t>3.69</t>
        </is>
      </c>
      <c r="J318" t="inlineStr">
        <is>
          <t>world_bank</t>
        </is>
      </c>
      <c r="K318" t="inlineStr">
        <is>
          <t>https://api.worldbank.org/v2/country/MYS/indicator/BX.KLT.DINV.WD.GD.ZS?format=json&amp;mrv=10</t>
        </is>
      </c>
      <c r="L318" t="inlineStr">
        <is>
          <t>World Bank WDI: Foreign direct investment, net inflows (% of GDP)</t>
        </is>
      </c>
      <c r="M318" t="inlineStr">
        <is>
          <t>2024-12-31</t>
        </is>
      </c>
      <c r="N318" t="inlineStr">
        <is>
          <t>auto_ingest=world_bank_creative_extended; indicator=BX.KLT.DINV.WD.GD.ZS; year=2024; country_proxy=Malaysia</t>
        </is>
      </c>
    </row>
    <row r="319">
      <c r="A319" t="inlineStr">
        <is>
          <t>my-melaka</t>
        </is>
      </c>
      <c r="B319" t="inlineStr">
        <is>
          <t>Melaka</t>
        </is>
      </c>
      <c r="C319" t="inlineStr">
        <is>
          <t>Malaysia</t>
        </is>
      </c>
      <c r="D319" t="inlineStr">
        <is>
          <t>Southeast Asia</t>
        </is>
      </c>
      <c r="E319" t="inlineStr">
        <is>
          <t>administrative_investment_friction_raw</t>
        </is>
      </c>
      <c r="F319" t="inlineStr">
        <is>
          <t>Administrative investment friction raw</t>
        </is>
      </c>
      <c r="G319" t="inlineStr">
        <is>
          <t>creative</t>
        </is>
      </c>
      <c r="H319" t="inlineStr">
        <is>
          <t>yes</t>
        </is>
      </c>
      <c r="I319" t="inlineStr">
        <is>
          <t>1.84</t>
        </is>
      </c>
      <c r="J319" t="inlineStr">
        <is>
          <t>world_bank</t>
        </is>
      </c>
      <c r="K319" t="inlineStr">
        <is>
          <t>https://api.worldbank.org/v2/country/MYS/indicator/RQ.EST?format=json&amp;mrv=10</t>
        </is>
      </c>
      <c r="L319" t="inlineStr">
        <is>
          <t>World Bank WGI: Regulatory Quality (inverted as friction proxy)</t>
        </is>
      </c>
      <c r="M319" t="inlineStr">
        <is>
          <t>2023-12-31</t>
        </is>
      </c>
      <c r="N319" t="inlineStr">
        <is>
          <t>auto_ingest=world_bank_business_friction; indicator=RQ.EST; raw_rq=0.660894274711609; friction=1.84; year=2023; country_proxy=Malaysia</t>
        </is>
      </c>
    </row>
    <row r="320">
      <c r="A320" t="inlineStr">
        <is>
          <t>my-melaka</t>
        </is>
      </c>
      <c r="B320" t="inlineStr">
        <is>
          <t>Melaka</t>
        </is>
      </c>
      <c r="C320" t="inlineStr">
        <is>
          <t>Malaysia</t>
        </is>
      </c>
      <c r="D320" t="inlineStr">
        <is>
          <t>Southeast Asia</t>
        </is>
      </c>
      <c r="E320" t="inlineStr">
        <is>
          <t>visitor_flow_context_raw</t>
        </is>
      </c>
      <c r="F320" t="inlineStr">
        <is>
          <t>Visitor flow context raw</t>
        </is>
      </c>
      <c r="G320" t="inlineStr">
        <is>
          <t>creative</t>
        </is>
      </c>
      <c r="H320" t="inlineStr">
        <is>
          <t>no</t>
        </is>
      </c>
      <c r="I320" t="inlineStr"/>
      <c r="J320" t="inlineStr"/>
      <c r="K320" t="inlineStr"/>
      <c r="L320" t="inlineStr"/>
      <c r="M320" t="inlineStr"/>
      <c r="N320" t="inlineStr"/>
    </row>
    <row r="321">
      <c r="A321" t="inlineStr">
        <is>
          <t>th-hat-yai</t>
        </is>
      </c>
      <c r="B321" t="inlineStr">
        <is>
          <t>Hat Yai</t>
        </is>
      </c>
      <c r="C321" t="inlineStr">
        <is>
          <t>Thailand</t>
        </is>
      </c>
      <c r="D321" t="inlineStr">
        <is>
          <t>Southeast Asia</t>
        </is>
      </c>
      <c r="E321" t="inlineStr">
        <is>
          <t>gross_income</t>
        </is>
      </c>
      <c r="F321" t="inlineStr">
        <is>
          <t>Gross income</t>
        </is>
      </c>
      <c r="G321" t="inlineStr">
        <is>
          <t>pressure</t>
        </is>
      </c>
      <c r="H321" t="inlineStr">
        <is>
          <t>yes</t>
        </is>
      </c>
      <c r="I321" t="inlineStr">
        <is>
          <t>1996.67</t>
        </is>
      </c>
      <c r="J321" t="inlineStr">
        <is>
          <t>world_bank_col_estimate</t>
        </is>
      </c>
      <c r="K321" t="inlineStr">
        <is>
          <t>https://api.worldbank.org/v2/country/THA/indicator/NY.GNP.PCAP.PP.CD?format=json&amp;mrv=10</t>
        </is>
      </c>
      <c r="L321" t="inlineStr">
        <is>
          <t>World Bank WDI: GNI per capita PPP (monthly USD)</t>
        </is>
      </c>
      <c r="M321" t="inlineStr">
        <is>
          <t>2024-12-31</t>
        </is>
      </c>
      <c r="N321" t="inlineStr">
        <is>
          <t>auto_ingest=world_bank_col_estimate; gni_annual=23960.0; year=2024; country_proxy=Thailand; cohort=Southeast Asia</t>
        </is>
      </c>
    </row>
    <row r="322">
      <c r="A322" t="inlineStr">
        <is>
          <t>th-hat-yai</t>
        </is>
      </c>
      <c r="B322" t="inlineStr">
        <is>
          <t>Hat Yai</t>
        </is>
      </c>
      <c r="C322" t="inlineStr">
        <is>
          <t>Thailand</t>
        </is>
      </c>
      <c r="D322" t="inlineStr">
        <is>
          <t>Southeast Asia</t>
        </is>
      </c>
      <c r="E322" t="inlineStr">
        <is>
          <t>di_ppp_raw</t>
        </is>
      </c>
      <c r="F322" t="inlineStr">
        <is>
          <t>Disposable income PPP (Raw)</t>
        </is>
      </c>
      <c r="G322" t="inlineStr">
        <is>
          <t>pressure</t>
        </is>
      </c>
      <c r="H322" t="inlineStr">
        <is>
          <t>yes</t>
        </is>
      </c>
      <c r="I322" t="inlineStr"/>
      <c r="J322" t="inlineStr"/>
      <c r="K322" t="inlineStr"/>
      <c r="L322" t="inlineStr"/>
      <c r="M322" t="inlineStr"/>
      <c r="N322" t="inlineStr"/>
    </row>
    <row r="323">
      <c r="A323" t="inlineStr">
        <is>
          <t>th-hat-yai</t>
        </is>
      </c>
      <c r="B323" t="inlineStr">
        <is>
          <t>Hat Yai</t>
        </is>
      </c>
      <c r="C323" t="inlineStr">
        <is>
          <t>Thailand</t>
        </is>
      </c>
      <c r="D323" t="inlineStr">
        <is>
          <t>Southeast Asia</t>
        </is>
      </c>
      <c r="E323" t="inlineStr">
        <is>
          <t>rent</t>
        </is>
      </c>
      <c r="F323" t="inlineStr">
        <is>
          <t>Rent</t>
        </is>
      </c>
      <c r="G323" t="inlineStr">
        <is>
          <t>pressure</t>
        </is>
      </c>
      <c r="H323" t="inlineStr">
        <is>
          <t>yes</t>
        </is>
      </c>
      <c r="I323" t="inlineStr">
        <is>
          <t>239.6</t>
        </is>
      </c>
      <c r="J323" t="inlineStr">
        <is>
          <t>world_bank_col_estimate</t>
        </is>
      </c>
      <c r="K323" t="inlineStr">
        <is>
          <t>https://api.worldbank.org/v2/country/THA/indicator/NY.GNP.PCAP.PP.CD?format=json&amp;mrv=10</t>
        </is>
      </c>
      <c r="L323" t="inlineStr">
        <is>
          <t>World Bank GNI + regional expenditure ratio estimate</t>
        </is>
      </c>
      <c r="M323" t="inlineStr">
        <is>
          <t>2024-12-31</t>
        </is>
      </c>
      <c r="N323" t="inlineStr">
        <is>
          <t>auto_ingest=world_bank_col_estimate; gni_annual=23960.0; year=2024; country_proxy=Thailand; cohort=Southeast Asia; city_cost_mult=0.6</t>
        </is>
      </c>
    </row>
    <row r="324">
      <c r="A324" t="inlineStr">
        <is>
          <t>th-hat-yai</t>
        </is>
      </c>
      <c r="B324" t="inlineStr">
        <is>
          <t>Hat Yai</t>
        </is>
      </c>
      <c r="C324" t="inlineStr">
        <is>
          <t>Thailand</t>
        </is>
      </c>
      <c r="D324" t="inlineStr">
        <is>
          <t>Southeast Asia</t>
        </is>
      </c>
      <c r="E324" t="inlineStr">
        <is>
          <t>utilities</t>
        </is>
      </c>
      <c r="F324" t="inlineStr">
        <is>
          <t>Utilities</t>
        </is>
      </c>
      <c r="G324" t="inlineStr">
        <is>
          <t>pressure</t>
        </is>
      </c>
      <c r="H324" t="inlineStr">
        <is>
          <t>yes</t>
        </is>
      </c>
      <c r="I324" t="inlineStr">
        <is>
          <t>59.9</t>
        </is>
      </c>
      <c r="J324" t="inlineStr">
        <is>
          <t>world_bank_col_estimate</t>
        </is>
      </c>
      <c r="K324" t="inlineStr">
        <is>
          <t>https://api.worldbank.org/v2/country/THA/indicator/NY.GNP.PCAP.PP.CD?format=json&amp;mrv=10</t>
        </is>
      </c>
      <c r="L324" t="inlineStr">
        <is>
          <t>World Bank GNI + regional expenditure ratio estimate</t>
        </is>
      </c>
      <c r="M324" t="inlineStr">
        <is>
          <t>2024-12-31</t>
        </is>
      </c>
      <c r="N324" t="inlineStr">
        <is>
          <t>auto_ingest=world_bank_col_estimate; gni_annual=23960.0; year=2024; country_proxy=Thailand; cohort=Southeast Asia; city_cost_mult=0.6</t>
        </is>
      </c>
    </row>
    <row r="325">
      <c r="A325" t="inlineStr">
        <is>
          <t>th-hat-yai</t>
        </is>
      </c>
      <c r="B325" t="inlineStr">
        <is>
          <t>Hat Yai</t>
        </is>
      </c>
      <c r="C325" t="inlineStr">
        <is>
          <t>Thailand</t>
        </is>
      </c>
      <c r="D325" t="inlineStr">
        <is>
          <t>Southeast Asia</t>
        </is>
      </c>
      <c r="E325" t="inlineStr">
        <is>
          <t>transit_cost</t>
        </is>
      </c>
      <c r="F325" t="inlineStr">
        <is>
          <t>Transit cost</t>
        </is>
      </c>
      <c r="G325" t="inlineStr">
        <is>
          <t>pressure</t>
        </is>
      </c>
      <c r="H325" t="inlineStr">
        <is>
          <t>yes</t>
        </is>
      </c>
      <c r="I325" t="inlineStr">
        <is>
          <t>47.92</t>
        </is>
      </c>
      <c r="J325" t="inlineStr">
        <is>
          <t>world_bank_col_estimate</t>
        </is>
      </c>
      <c r="K325" t="inlineStr">
        <is>
          <t>https://api.worldbank.org/v2/country/THA/indicator/NY.GNP.PCAP.PP.CD?format=json&amp;mrv=10</t>
        </is>
      </c>
      <c r="L325" t="inlineStr">
        <is>
          <t>World Bank GNI + regional expenditure ratio estimate</t>
        </is>
      </c>
      <c r="M325" t="inlineStr">
        <is>
          <t>2024-12-31</t>
        </is>
      </c>
      <c r="N325" t="inlineStr">
        <is>
          <t>auto_ingest=world_bank_col_estimate; gni_annual=23960.0; year=2024; country_proxy=Thailand; cohort=Southeast Asia; city_cost_mult=0.6</t>
        </is>
      </c>
    </row>
    <row r="326">
      <c r="A326" t="inlineStr">
        <is>
          <t>th-hat-yai</t>
        </is>
      </c>
      <c r="B326" t="inlineStr">
        <is>
          <t>Hat Yai</t>
        </is>
      </c>
      <c r="C326" t="inlineStr">
        <is>
          <t>Thailand</t>
        </is>
      </c>
      <c r="D326" t="inlineStr">
        <is>
          <t>Southeast Asia</t>
        </is>
      </c>
      <c r="E326" t="inlineStr">
        <is>
          <t>internet_cost</t>
        </is>
      </c>
      <c r="F326" t="inlineStr">
        <is>
          <t>Internet cost</t>
        </is>
      </c>
      <c r="G326" t="inlineStr">
        <is>
          <t>pressure</t>
        </is>
      </c>
      <c r="H326" t="inlineStr">
        <is>
          <t>yes</t>
        </is>
      </c>
      <c r="I326" t="inlineStr">
        <is>
          <t>17.97</t>
        </is>
      </c>
      <c r="J326" t="inlineStr">
        <is>
          <t>world_bank_col_estimate</t>
        </is>
      </c>
      <c r="K326" t="inlineStr">
        <is>
          <t>https://api.worldbank.org/v2/country/THA/indicator/NY.GNP.PCAP.PP.CD?format=json&amp;mrv=10</t>
        </is>
      </c>
      <c r="L326" t="inlineStr">
        <is>
          <t>World Bank GNI + regional expenditure ratio estimate</t>
        </is>
      </c>
      <c r="M326" t="inlineStr">
        <is>
          <t>2024-12-31</t>
        </is>
      </c>
      <c r="N326" t="inlineStr">
        <is>
          <t>auto_ingest=world_bank_col_estimate; gni_annual=23960.0; year=2024; country_proxy=Thailand; cohort=Southeast Asia; city_cost_mult=0.6</t>
        </is>
      </c>
    </row>
    <row r="327">
      <c r="A327" t="inlineStr">
        <is>
          <t>th-hat-yai</t>
        </is>
      </c>
      <c r="B327" t="inlineStr">
        <is>
          <t>Hat Yai</t>
        </is>
      </c>
      <c r="C327" t="inlineStr">
        <is>
          <t>Thailand</t>
        </is>
      </c>
      <c r="D327" t="inlineStr">
        <is>
          <t>Southeast Asia</t>
        </is>
      </c>
      <c r="E327" t="inlineStr">
        <is>
          <t>food_cost</t>
        </is>
      </c>
      <c r="F327" t="inlineStr">
        <is>
          <t>Food cost</t>
        </is>
      </c>
      <c r="G327" t="inlineStr">
        <is>
          <t>pressure</t>
        </is>
      </c>
      <c r="H327" t="inlineStr">
        <is>
          <t>yes</t>
        </is>
      </c>
      <c r="I327" t="inlineStr">
        <is>
          <t>263.56</t>
        </is>
      </c>
      <c r="J327" t="inlineStr">
        <is>
          <t>world_bank_col_estimate</t>
        </is>
      </c>
      <c r="K327" t="inlineStr">
        <is>
          <t>https://api.worldbank.org/v2/country/THA/indicator/NY.GNP.PCAP.PP.CD?format=json&amp;mrv=10</t>
        </is>
      </c>
      <c r="L327" t="inlineStr">
        <is>
          <t>World Bank GNI + regional expenditure ratio estimate</t>
        </is>
      </c>
      <c r="M327" t="inlineStr">
        <is>
          <t>2024-12-31</t>
        </is>
      </c>
      <c r="N327" t="inlineStr">
        <is>
          <t>auto_ingest=world_bank_col_estimate; gni_annual=23960.0; year=2024; country_proxy=Thailand; cohort=Southeast Asia; city_cost_mult=0.6</t>
        </is>
      </c>
    </row>
    <row r="328">
      <c r="A328" t="inlineStr">
        <is>
          <t>th-hat-yai</t>
        </is>
      </c>
      <c r="B328" t="inlineStr">
        <is>
          <t>Hat Yai</t>
        </is>
      </c>
      <c r="C328" t="inlineStr">
        <is>
          <t>Thailand</t>
        </is>
      </c>
      <c r="D328" t="inlineStr">
        <is>
          <t>Southeast Asia</t>
        </is>
      </c>
      <c r="E328" t="inlineStr">
        <is>
          <t>housing_burden_raw</t>
        </is>
      </c>
      <c r="F328" t="inlineStr">
        <is>
          <t>Housing burden raw</t>
        </is>
      </c>
      <c r="G328" t="inlineStr">
        <is>
          <t>pressure</t>
        </is>
      </c>
      <c r="H328" t="inlineStr">
        <is>
          <t>yes</t>
        </is>
      </c>
      <c r="I328" t="inlineStr">
        <is>
          <t>12.0</t>
        </is>
      </c>
      <c r="J328" t="inlineStr">
        <is>
          <t>derived</t>
        </is>
      </c>
      <c r="K328" t="inlineStr">
        <is>
          <t>https://data.worldbank.org/indicator/NY.GNP.PCAP.PP.CD</t>
        </is>
      </c>
      <c r="L328" t="inlineStr">
        <is>
          <t>Computed from city_inputs + country_context</t>
        </is>
      </c>
      <c r="M328" t="inlineStr">
        <is>
          <t>2024-01-01</t>
        </is>
      </c>
      <c r="N328" t="inlineStr">
        <is>
          <t>derived=rent/gross_income*100</t>
        </is>
      </c>
    </row>
    <row r="329">
      <c r="A329" t="inlineStr">
        <is>
          <t>th-hat-yai</t>
        </is>
      </c>
      <c r="B329" t="inlineStr">
        <is>
          <t>Hat Yai</t>
        </is>
      </c>
      <c r="C329" t="inlineStr">
        <is>
          <t>Thailand</t>
        </is>
      </c>
      <c r="D329" t="inlineStr">
        <is>
          <t>Southeast Asia</t>
        </is>
      </c>
      <c r="E329" t="inlineStr">
        <is>
          <t>household_debt_burden_raw</t>
        </is>
      </c>
      <c r="F329" t="inlineStr">
        <is>
          <t>Household debt burden raw</t>
        </is>
      </c>
      <c r="G329" t="inlineStr">
        <is>
          <t>pressure</t>
        </is>
      </c>
      <c r="H329" t="inlineStr">
        <is>
          <t>yes</t>
        </is>
      </c>
      <c r="I329" t="inlineStr">
        <is>
          <t>115.1054</t>
        </is>
      </c>
      <c r="J329" t="inlineStr">
        <is>
          <t>derived</t>
        </is>
      </c>
      <c r="K329" t="inlineStr">
        <is>
          <t>https://data.worldbank.org/indicator/NY.GNP.PCAP.PP.CD</t>
        </is>
      </c>
      <c r="L329" t="inlineStr">
        <is>
          <t>Computed from city_inputs + country_context</t>
        </is>
      </c>
      <c r="M329" t="inlineStr">
        <is>
          <t>2024-01-01</t>
        </is>
      </c>
      <c r="N329" t="inlineStr">
        <is>
          <t>derived=country_context.household_debt_proxy; country=Thailand</t>
        </is>
      </c>
    </row>
    <row r="330">
      <c r="A330" t="inlineStr">
        <is>
          <t>th-hat-yai</t>
        </is>
      </c>
      <c r="B330" t="inlineStr">
        <is>
          <t>Hat Yai</t>
        </is>
      </c>
      <c r="C330" t="inlineStr">
        <is>
          <t>Thailand</t>
        </is>
      </c>
      <c r="D330" t="inlineStr">
        <is>
          <t>Southeast Asia</t>
        </is>
      </c>
      <c r="E330" t="inlineStr">
        <is>
          <t>working_time_pressure_raw</t>
        </is>
      </c>
      <c r="F330" t="inlineStr">
        <is>
          <t>Working time pressure raw</t>
        </is>
      </c>
      <c r="G330" t="inlineStr">
        <is>
          <t>pressure</t>
        </is>
      </c>
      <c r="H330" t="inlineStr">
        <is>
          <t>yes</t>
        </is>
      </c>
      <c r="I330" t="inlineStr">
        <is>
          <t>42.53</t>
        </is>
      </c>
      <c r="J330" t="inlineStr">
        <is>
          <t>ilo_ilostat</t>
        </is>
      </c>
      <c r="K330" t="inlineStr">
        <is>
          <t>https://ilostat.ilo.org/data/indicator/?id=HOW_TEMP_SEX_ECO_NB_A&amp;ref_area=THA</t>
        </is>
      </c>
      <c r="L330" t="inlineStr">
        <is>
          <t>ILO ILOSTAT: Mean weekly hours actually worked per employed person</t>
        </is>
      </c>
      <c r="M330" t="inlineStr">
        <is>
          <t>2024-12-31</t>
        </is>
      </c>
      <c r="N330" t="inlineStr">
        <is>
          <t>auto_ingest=ilo_working_hours; indicator=HOW_TEMP_SEX_ECO_NB_A; year=2024; hours=42.53; country_proxy=Thailand</t>
        </is>
      </c>
    </row>
    <row r="331">
      <c r="A331" t="inlineStr">
        <is>
          <t>th-hat-yai</t>
        </is>
      </c>
      <c r="B331" t="inlineStr">
        <is>
          <t>Hat Yai</t>
        </is>
      </c>
      <c r="C331" t="inlineStr">
        <is>
          <t>Thailand</t>
        </is>
      </c>
      <c r="D331" t="inlineStr">
        <is>
          <t>Southeast Asia</t>
        </is>
      </c>
      <c r="E331" t="inlineStr">
        <is>
          <t>suicide_mental_strain_raw</t>
        </is>
      </c>
      <c r="F331" t="inlineStr">
        <is>
          <t>Suicide or mental strain raw</t>
        </is>
      </c>
      <c r="G331" t="inlineStr">
        <is>
          <t>pressure</t>
        </is>
      </c>
      <c r="H331" t="inlineStr">
        <is>
          <t>yes</t>
        </is>
      </c>
      <c r="I331" t="inlineStr">
        <is>
          <t>16.59</t>
        </is>
      </c>
      <c r="J331" t="inlineStr">
        <is>
          <t>who_gho</t>
        </is>
      </c>
      <c r="K331" t="inlineStr">
        <is>
          <t>https://www.who.int/data/gho/data/indicators/indicator-details/GHO/SDGSUICIDE</t>
        </is>
      </c>
      <c r="L331" t="inlineStr">
        <is>
          <t>WHO GHO: Age-standardized suicide rate (per 100,000 population)</t>
        </is>
      </c>
      <c r="M331" t="inlineStr">
        <is>
          <t>2021-12-31</t>
        </is>
      </c>
      <c r="N331" t="inlineStr">
        <is>
          <t>auto_ingest=who_gho; indicator=SDGSUICIDE; year=2021; country_proxy=Thailand</t>
        </is>
      </c>
    </row>
    <row r="332">
      <c r="A332" t="inlineStr">
        <is>
          <t>th-hat-yai</t>
        </is>
      </c>
      <c r="B332" t="inlineStr">
        <is>
          <t>Hat Yai</t>
        </is>
      </c>
      <c r="C332" t="inlineStr">
        <is>
          <t>Thailand</t>
        </is>
      </c>
      <c r="D332" t="inlineStr">
        <is>
          <t>Southeast Asia</t>
        </is>
      </c>
      <c r="E332" t="inlineStr">
        <is>
          <t>personal_safety_raw</t>
        </is>
      </c>
      <c r="F332" t="inlineStr">
        <is>
          <t>Personal safety raw</t>
        </is>
      </c>
      <c r="G332" t="inlineStr">
        <is>
          <t>viability</t>
        </is>
      </c>
      <c r="H332" t="inlineStr">
        <is>
          <t>yes</t>
        </is>
      </c>
      <c r="I332" t="inlineStr"/>
      <c r="J332" t="inlineStr"/>
      <c r="K332" t="inlineStr"/>
      <c r="L332" t="inlineStr"/>
      <c r="M332" t="inlineStr"/>
      <c r="N332" t="inlineStr"/>
    </row>
    <row r="333">
      <c r="A333" t="inlineStr">
        <is>
          <t>th-hat-yai</t>
        </is>
      </c>
      <c r="B333" t="inlineStr">
        <is>
          <t>Hat Yai</t>
        </is>
      </c>
      <c r="C333" t="inlineStr">
        <is>
          <t>Thailand</t>
        </is>
      </c>
      <c r="D333" t="inlineStr">
        <is>
          <t>Southeast Asia</t>
        </is>
      </c>
      <c r="E333" t="inlineStr">
        <is>
          <t>transit_access_commute_raw</t>
        </is>
      </c>
      <c r="F333" t="inlineStr">
        <is>
          <t>Transit access and commute raw</t>
        </is>
      </c>
      <c r="G333" t="inlineStr">
        <is>
          <t>viability</t>
        </is>
      </c>
      <c r="H333" t="inlineStr">
        <is>
          <t>yes</t>
        </is>
      </c>
      <c r="I333" t="inlineStr"/>
      <c r="J333" t="inlineStr"/>
      <c r="K333" t="inlineStr"/>
      <c r="L333" t="inlineStr"/>
      <c r="M333" t="inlineStr"/>
      <c r="N333" t="inlineStr"/>
    </row>
    <row r="334">
      <c r="A334" t="inlineStr">
        <is>
          <t>th-hat-yai</t>
        </is>
      </c>
      <c r="B334" t="inlineStr">
        <is>
          <t>Hat Yai</t>
        </is>
      </c>
      <c r="C334" t="inlineStr">
        <is>
          <t>Thailand</t>
        </is>
      </c>
      <c r="D334" t="inlineStr">
        <is>
          <t>Southeast Asia</t>
        </is>
      </c>
      <c r="E334" t="inlineStr">
        <is>
          <t>clean_air_raw</t>
        </is>
      </c>
      <c r="F334" t="inlineStr">
        <is>
          <t>Clean air raw</t>
        </is>
      </c>
      <c r="G334" t="inlineStr">
        <is>
          <t>viability</t>
        </is>
      </c>
      <c r="H334" t="inlineStr">
        <is>
          <t>yes</t>
        </is>
      </c>
      <c r="I334" t="inlineStr">
        <is>
          <t>20.0</t>
        </is>
      </c>
      <c r="J334" t="inlineStr">
        <is>
          <t>thai_gov_pcd_rsc</t>
        </is>
      </c>
      <c r="K334" t="inlineStr">
        <is>
          <t>https://www.pcd.go.th/</t>
        </is>
      </c>
      <c r="L334" t="inlineStr">
        <is>
          <t>Thailand PCD Annual Air Quality Report — Hat Yai / Songkhla PM2.5 annual mean</t>
        </is>
      </c>
      <c r="M334" t="inlineStr">
        <is>
          <t>2024-12-31</t>
        </is>
      </c>
      <c r="N334" t="inlineStr">
        <is>
          <t>auto_ingest=thai_city_indicators; metric=pm25_annual_mean; value=20.0 ug/m3; source=PCD+IQAir</t>
        </is>
      </c>
    </row>
    <row r="335">
      <c r="A335" t="inlineStr">
        <is>
          <t>th-hat-yai</t>
        </is>
      </c>
      <c r="B335" t="inlineStr">
        <is>
          <t>Hat Yai</t>
        </is>
      </c>
      <c r="C335" t="inlineStr">
        <is>
          <t>Thailand</t>
        </is>
      </c>
      <c r="D335" t="inlineStr">
        <is>
          <t>Southeast Asia</t>
        </is>
      </c>
      <c r="E335" t="inlineStr">
        <is>
          <t>water_sanitation_utility_raw</t>
        </is>
      </c>
      <c r="F335" t="inlineStr">
        <is>
          <t>Water, sanitation, and utility raw</t>
        </is>
      </c>
      <c r="G335" t="inlineStr">
        <is>
          <t>viability</t>
        </is>
      </c>
      <c r="H335" t="inlineStr">
        <is>
          <t>yes</t>
        </is>
      </c>
      <c r="I335" t="inlineStr">
        <is>
          <t>92.0</t>
        </is>
      </c>
      <c r="J335" t="inlineStr">
        <is>
          <t>thai_gov_pcd_rsc</t>
        </is>
      </c>
      <c r="K335" t="inlineStr">
        <is>
          <t>https://www.pwa.co.th/</t>
        </is>
      </c>
      <c r="L335" t="inlineStr">
        <is>
          <t>Provincial Waterworks Authority — Hat Yai / Songkhla urban water coverage</t>
        </is>
      </c>
      <c r="M335" t="inlineStr">
        <is>
          <t>2024-12-31</t>
        </is>
      </c>
      <c r="N335" t="inlineStr">
        <is>
          <t>auto_ingest=thai_city_indicators; metric=urban_water_coverage_pct; value=92%; source=PWA</t>
        </is>
      </c>
    </row>
    <row r="336">
      <c r="A336" t="inlineStr">
        <is>
          <t>th-hat-yai</t>
        </is>
      </c>
      <c r="B336" t="inlineStr">
        <is>
          <t>Hat Yai</t>
        </is>
      </c>
      <c r="C336" t="inlineStr">
        <is>
          <t>Thailand</t>
        </is>
      </c>
      <c r="D336" t="inlineStr">
        <is>
          <t>Southeast Asia</t>
        </is>
      </c>
      <c r="E336" t="inlineStr">
        <is>
          <t>digital_infrastructure_raw</t>
        </is>
      </c>
      <c r="F336" t="inlineStr">
        <is>
          <t>Digital infrastructure raw</t>
        </is>
      </c>
      <c r="G336" t="inlineStr">
        <is>
          <t>viability</t>
        </is>
      </c>
      <c r="H336" t="inlineStr">
        <is>
          <t>yes</t>
        </is>
      </c>
      <c r="I336" t="inlineStr">
        <is>
          <t>15.75</t>
        </is>
      </c>
      <c r="J336" t="inlineStr">
        <is>
          <t>world_bank</t>
        </is>
      </c>
      <c r="K336" t="inlineStr">
        <is>
          <t>https://api.worldbank.org/v2/country/THA/indicator/IT.NET.BBND.P2?format=json&amp;mrv=10</t>
        </is>
      </c>
      <c r="L336" t="inlineStr">
        <is>
          <t>World Bank WDI: Fixed broadband subscriptions (per 100 people)</t>
        </is>
      </c>
      <c r="M336" t="inlineStr">
        <is>
          <t>2023-12-31</t>
        </is>
      </c>
      <c r="N336" t="inlineStr">
        <is>
          <t>auto_ingest=world_bank_proxy; indicator=IT.NET.BBND.P2; year=2023; country_proxy=Thailand</t>
        </is>
      </c>
    </row>
    <row r="337">
      <c r="A337" t="inlineStr">
        <is>
          <t>th-hat-yai</t>
        </is>
      </c>
      <c r="B337" t="inlineStr">
        <is>
          <t>Hat Yai</t>
        </is>
      </c>
      <c r="C337" t="inlineStr">
        <is>
          <t>Thailand</t>
        </is>
      </c>
      <c r="D337" t="inlineStr">
        <is>
          <t>Southeast Asia</t>
        </is>
      </c>
      <c r="E337" t="inlineStr">
        <is>
          <t>climate_sunlight_livability_raw</t>
        </is>
      </c>
      <c r="F337" t="inlineStr">
        <is>
          <t>Climate and sunlight livability raw</t>
        </is>
      </c>
      <c r="G337" t="inlineStr">
        <is>
          <t>viability</t>
        </is>
      </c>
      <c r="H337" t="inlineStr">
        <is>
          <t>yes</t>
        </is>
      </c>
      <c r="I337" t="inlineStr">
        <is>
          <t>55</t>
        </is>
      </c>
      <c r="J337" t="inlineStr">
        <is>
          <t>wmo_natl_met</t>
        </is>
      </c>
      <c r="K337" t="inlineStr">
        <is>
          <t>https://worldweather.wmo.int</t>
        </is>
      </c>
      <c r="L337" t="inlineStr">
        <is>
          <t>WMO/National Met: Climate livability composite</t>
        </is>
      </c>
      <c r="M337" t="inlineStr">
        <is>
          <t>2024-12-31</t>
        </is>
      </c>
      <c r="N337" t="inlineStr">
        <is>
          <t>auto_seed=climate_composite; 2000 sun hrs, 28C mean, high rainfall</t>
        </is>
      </c>
    </row>
    <row r="338">
      <c r="A338" t="inlineStr">
        <is>
          <t>th-hat-yai</t>
        </is>
      </c>
      <c r="B338" t="inlineStr">
        <is>
          <t>Hat Yai</t>
        </is>
      </c>
      <c r="C338" t="inlineStr">
        <is>
          <t>Thailand</t>
        </is>
      </c>
      <c r="D338" t="inlineStr">
        <is>
          <t>Southeast Asia</t>
        </is>
      </c>
      <c r="E338" t="inlineStr">
        <is>
          <t>healthcare_quality_raw</t>
        </is>
      </c>
      <c r="F338" t="inlineStr">
        <is>
          <t>Healthcare quality raw</t>
        </is>
      </c>
      <c r="G338" t="inlineStr">
        <is>
          <t>capability</t>
        </is>
      </c>
      <c r="H338" t="inlineStr">
        <is>
          <t>yes</t>
        </is>
      </c>
      <c r="I338" t="inlineStr">
        <is>
          <t>82.0</t>
        </is>
      </c>
      <c r="J338" t="inlineStr">
        <is>
          <t>who_gho</t>
        </is>
      </c>
      <c r="K338" t="inlineStr">
        <is>
          <t>https://www.who.int/data/gho/data/indicators/indicator-details/GHO/UHC_INDEX_REPORTED</t>
        </is>
      </c>
      <c r="L338" t="inlineStr">
        <is>
          <t>WHO GHO: UHC Service Coverage Index</t>
        </is>
      </c>
      <c r="M338" t="inlineStr">
        <is>
          <t>2023-12-31</t>
        </is>
      </c>
      <c r="N338" t="inlineStr">
        <is>
          <t>auto_ingest=who_gho; indicator=UHC_INDEX_REPORTED; year=2023; country_proxy=Thailand</t>
        </is>
      </c>
    </row>
    <row r="339">
      <c r="A339" t="inlineStr">
        <is>
          <t>th-hat-yai</t>
        </is>
      </c>
      <c r="B339" t="inlineStr">
        <is>
          <t>Hat Yai</t>
        </is>
      </c>
      <c r="C339" t="inlineStr">
        <is>
          <t>Thailand</t>
        </is>
      </c>
      <c r="D339" t="inlineStr">
        <is>
          <t>Southeast Asia</t>
        </is>
      </c>
      <c r="E339" t="inlineStr">
        <is>
          <t>education_quality_raw</t>
        </is>
      </c>
      <c r="F339" t="inlineStr">
        <is>
          <t>Education quality raw</t>
        </is>
      </c>
      <c r="G339" t="inlineStr">
        <is>
          <t>capability</t>
        </is>
      </c>
      <c r="H339" t="inlineStr">
        <is>
          <t>yes</t>
        </is>
      </c>
      <c r="I339" t="inlineStr">
        <is>
          <t>49.08</t>
        </is>
      </c>
      <c r="J339" t="inlineStr">
        <is>
          <t>world_bank</t>
        </is>
      </c>
      <c r="K339" t="inlineStr">
        <is>
          <t>https://api.worldbank.org/v2/country/THA/indicator/SE.TER.ENRR?format=json&amp;mrv=10</t>
        </is>
      </c>
      <c r="L339" t="inlineStr">
        <is>
          <t>World Bank WDI: School enrollment, tertiary (% gross)</t>
        </is>
      </c>
      <c r="M339" t="inlineStr">
        <is>
          <t>2025-12-31</t>
        </is>
      </c>
      <c r="N339" t="inlineStr">
        <is>
          <t>auto_ingest=world_bank_proxy; indicator=SE.TER.ENRR; year=2025; country_proxy=Thailand</t>
        </is>
      </c>
    </row>
    <row r="340">
      <c r="A340" t="inlineStr">
        <is>
          <t>th-hat-yai</t>
        </is>
      </c>
      <c r="B340" t="inlineStr">
        <is>
          <t>Hat Yai</t>
        </is>
      </c>
      <c r="C340" t="inlineStr">
        <is>
          <t>Thailand</t>
        </is>
      </c>
      <c r="D340" t="inlineStr">
        <is>
          <t>Southeast Asia</t>
        </is>
      </c>
      <c r="E340" t="inlineStr">
        <is>
          <t>equal_opportunity_raw</t>
        </is>
      </c>
      <c r="F340" t="inlineStr">
        <is>
          <t>Equal opportunity raw</t>
        </is>
      </c>
      <c r="G340" t="inlineStr">
        <is>
          <t>capability</t>
        </is>
      </c>
      <c r="H340" t="inlineStr">
        <is>
          <t>yes</t>
        </is>
      </c>
      <c r="I340" t="inlineStr">
        <is>
          <t>33.5</t>
        </is>
      </c>
      <c r="J340" t="inlineStr">
        <is>
          <t>world_bank</t>
        </is>
      </c>
      <c r="K340" t="inlineStr">
        <is>
          <t>https://api.worldbank.org/v2/country/THA/indicator/SI.POV.GINI?format=json&amp;mrv=10</t>
        </is>
      </c>
      <c r="L340" t="inlineStr">
        <is>
          <t>World Bank WDI: Gini index</t>
        </is>
      </c>
      <c r="M340" t="inlineStr">
        <is>
          <t>2023-12-31</t>
        </is>
      </c>
      <c r="N340" t="inlineStr">
        <is>
          <t>auto_ingest=world_bank_capability; indicator=SI.POV.GINI; year=2023; country_proxy=Thailand</t>
        </is>
      </c>
    </row>
    <row r="341">
      <c r="A341" t="inlineStr">
        <is>
          <t>th-hat-yai</t>
        </is>
      </c>
      <c r="B341" t="inlineStr">
        <is>
          <t>Hat Yai</t>
        </is>
      </c>
      <c r="C341" t="inlineStr">
        <is>
          <t>Thailand</t>
        </is>
      </c>
      <c r="D341" t="inlineStr">
        <is>
          <t>Southeast Asia</t>
        </is>
      </c>
      <c r="E341" t="inlineStr">
        <is>
          <t>hospitality_belonging_raw</t>
        </is>
      </c>
      <c r="F341" t="inlineStr">
        <is>
          <t>Hospitality and belonging raw</t>
        </is>
      </c>
      <c r="G341" t="inlineStr">
        <is>
          <t>community</t>
        </is>
      </c>
      <c r="H341" t="inlineStr">
        <is>
          <t>yes</t>
        </is>
      </c>
      <c r="I341" t="inlineStr">
        <is>
          <t>50.38</t>
        </is>
      </c>
      <c r="J341" t="inlineStr">
        <is>
          <t>world_bank</t>
        </is>
      </c>
      <c r="K341" t="inlineStr">
        <is>
          <t>https://api.worldbank.org/v2/country/THA/indicator/SM.POP.NETM?format=json&amp;mrv=10</t>
        </is>
      </c>
      <c r="L341" t="inlineStr">
        <is>
          <t>World Bank WDI: Net migration (proxy for hospitality/belonging — positive = welcoming)</t>
        </is>
      </c>
      <c r="M341" t="inlineStr">
        <is>
          <t>2025-12-31</t>
        </is>
      </c>
      <c r="N341" t="inlineStr">
        <is>
          <t>auto_ingest=world_bank_proxy; proxy=net_migration_hospitality; indicator=SM.POP.NETM; year=2025; country_proxy=Thailand</t>
        </is>
      </c>
    </row>
    <row r="342">
      <c r="A342" t="inlineStr">
        <is>
          <t>th-hat-yai</t>
        </is>
      </c>
      <c r="B342" t="inlineStr">
        <is>
          <t>Hat Yai</t>
        </is>
      </c>
      <c r="C342" t="inlineStr">
        <is>
          <t>Thailand</t>
        </is>
      </c>
      <c r="D342" t="inlineStr">
        <is>
          <t>Southeast Asia</t>
        </is>
      </c>
      <c r="E342" t="inlineStr">
        <is>
          <t>tolerance_pluralism_raw</t>
        </is>
      </c>
      <c r="F342" t="inlineStr">
        <is>
          <t>Tolerance and pluralism raw</t>
        </is>
      </c>
      <c r="G342" t="inlineStr">
        <is>
          <t>community</t>
        </is>
      </c>
      <c r="H342" t="inlineStr">
        <is>
          <t>yes</t>
        </is>
      </c>
      <c r="I342" t="inlineStr">
        <is>
          <t>19.4</t>
        </is>
      </c>
      <c r="J342" t="inlineStr">
        <is>
          <t>world_bank</t>
        </is>
      </c>
      <c r="K342" t="inlineStr">
        <is>
          <t>https://api.worldbank.org/v2/country/THA/indicator/SG.GEN.PARL.ZS?format=json&amp;mrv=10</t>
        </is>
      </c>
      <c r="L342" t="inlineStr">
        <is>
          <t>World Bank WDI: Proportion of seats held by women in national parliaments (%)</t>
        </is>
      </c>
      <c r="M342" t="inlineStr">
        <is>
          <t>2024-12-31</t>
        </is>
      </c>
      <c r="N342" t="inlineStr">
        <is>
          <t>auto_ingest=world_bank_proxy; proxy=gender_parity_parliament; indicator=SG.GEN.PARL.ZS; year=2024; country_proxy=Thailand</t>
        </is>
      </c>
    </row>
    <row r="343">
      <c r="A343" t="inlineStr">
        <is>
          <t>th-hat-yai</t>
        </is>
      </c>
      <c r="B343" t="inlineStr">
        <is>
          <t>Hat Yai</t>
        </is>
      </c>
      <c r="C343" t="inlineStr">
        <is>
          <t>Thailand</t>
        </is>
      </c>
      <c r="D343" t="inlineStr">
        <is>
          <t>Southeast Asia</t>
        </is>
      </c>
      <c r="E343" t="inlineStr">
        <is>
          <t>cultural_public_life_raw</t>
        </is>
      </c>
      <c r="F343" t="inlineStr">
        <is>
          <t>Cultural public life raw</t>
        </is>
      </c>
      <c r="G343" t="inlineStr">
        <is>
          <t>community</t>
        </is>
      </c>
      <c r="H343" t="inlineStr">
        <is>
          <t>yes</t>
        </is>
      </c>
      <c r="I343" t="inlineStr">
        <is>
          <t>556.96</t>
        </is>
      </c>
      <c r="J343" t="inlineStr">
        <is>
          <t>world_bank</t>
        </is>
      </c>
      <c r="K343" t="inlineStr">
        <is>
          <t>https://api.worldbank.org/v2/country/THA/indicator/ST.INT.ARVL?format=json&amp;mrv=10</t>
        </is>
      </c>
      <c r="L343" t="inlineStr">
        <is>
          <t>World Bank WDI: International tourism arrivals per 1 000 population</t>
        </is>
      </c>
      <c r="M343" t="inlineStr">
        <is>
          <t>2019-12-31</t>
        </is>
      </c>
      <c r="N343" t="inlineStr">
        <is>
          <t>auto_ingest=cultural_life_proxy; indicator=ST.INT.ARVL; norm=per_1000_pop; year=2019; country_proxy=Thailand</t>
        </is>
      </c>
    </row>
    <row r="344">
      <c r="A344" t="inlineStr">
        <is>
          <t>th-hat-yai</t>
        </is>
      </c>
      <c r="B344" t="inlineStr">
        <is>
          <t>Hat Yai</t>
        </is>
      </c>
      <c r="C344" t="inlineStr">
        <is>
          <t>Thailand</t>
        </is>
      </c>
      <c r="D344" t="inlineStr">
        <is>
          <t>Southeast Asia</t>
        </is>
      </c>
      <c r="E344" t="inlineStr">
        <is>
          <t>birth_rate_optimism_raw</t>
        </is>
      </c>
      <c r="F344" t="inlineStr">
        <is>
          <t>Birth rate and societal optimism raw</t>
        </is>
      </c>
      <c r="G344" t="inlineStr">
        <is>
          <t>community</t>
        </is>
      </c>
      <c r="H344" t="inlineStr">
        <is>
          <t>yes</t>
        </is>
      </c>
      <c r="I344" t="inlineStr">
        <is>
          <t>1.08</t>
        </is>
      </c>
      <c r="J344" t="inlineStr">
        <is>
          <t>world_bank</t>
        </is>
      </c>
      <c r="K344" t="inlineStr">
        <is>
          <t>https://data.worldbank.org/indicator/SP.DYN.TFRT.IN</t>
        </is>
      </c>
      <c r="L344" t="inlineStr">
        <is>
          <t>World Bank Total Fertility Rate 2023</t>
        </is>
      </c>
      <c r="M344" t="inlineStr">
        <is>
          <t>2024-01-01</t>
        </is>
      </c>
      <c r="N344" t="inlineStr"/>
    </row>
    <row r="345">
      <c r="A345" t="inlineStr">
        <is>
          <t>th-hat-yai</t>
        </is>
      </c>
      <c r="B345" t="inlineStr">
        <is>
          <t>Hat Yai</t>
        </is>
      </c>
      <c r="C345" t="inlineStr">
        <is>
          <t>Thailand</t>
        </is>
      </c>
      <c r="D345" t="inlineStr">
        <is>
          <t>Southeast Asia</t>
        </is>
      </c>
      <c r="E345" t="inlineStr">
        <is>
          <t>entrepreneurial_dynamism_raw</t>
        </is>
      </c>
      <c r="F345" t="inlineStr">
        <is>
          <t>Entrepreneurial dynamism raw</t>
        </is>
      </c>
      <c r="G345" t="inlineStr">
        <is>
          <t>creative</t>
        </is>
      </c>
      <c r="H345" t="inlineStr">
        <is>
          <t>yes</t>
        </is>
      </c>
      <c r="I345" t="inlineStr">
        <is>
          <t>1.54</t>
        </is>
      </c>
      <c r="J345" t="inlineStr">
        <is>
          <t>world_bank</t>
        </is>
      </c>
      <c r="K345" t="inlineStr">
        <is>
          <t>https://api.worldbank.org/v2/country/THA/indicator/IC.BUS.NDNS.ZS?format=json&amp;mrv=10</t>
        </is>
      </c>
      <c r="L345" t="inlineStr">
        <is>
          <t>World Bank WDI: New business density (new registrations per 1,000 people ages 15-64)</t>
        </is>
      </c>
      <c r="M345" t="inlineStr">
        <is>
          <t>2022-12-31</t>
        </is>
      </c>
      <c r="N345" t="inlineStr">
        <is>
          <t>auto_ingest=world_bank_creative_extended; indicator=IC.BUS.NDNS.ZS; year=2022; country_proxy=Thailand</t>
        </is>
      </c>
    </row>
    <row r="346">
      <c r="A346" t="inlineStr">
        <is>
          <t>th-hat-yai</t>
        </is>
      </c>
      <c r="B346" t="inlineStr">
        <is>
          <t>Hat Yai</t>
        </is>
      </c>
      <c r="C346" t="inlineStr">
        <is>
          <t>Thailand</t>
        </is>
      </c>
      <c r="D346" t="inlineStr">
        <is>
          <t>Southeast Asia</t>
        </is>
      </c>
      <c r="E346" t="inlineStr">
        <is>
          <t>innovation_research_intensity_raw</t>
        </is>
      </c>
      <c r="F346" t="inlineStr">
        <is>
          <t>Innovation and research raw</t>
        </is>
      </c>
      <c r="G346" t="inlineStr">
        <is>
          <t>creative</t>
        </is>
      </c>
      <c r="H346" t="inlineStr">
        <is>
          <t>yes</t>
        </is>
      </c>
      <c r="I346" t="inlineStr">
        <is>
          <t>1.16</t>
        </is>
      </c>
      <c r="J346" t="inlineStr">
        <is>
          <t>world_bank</t>
        </is>
      </c>
      <c r="K346" t="inlineStr">
        <is>
          <t>https://api.worldbank.org/v2/country/THA/indicator/GB.XPD.RSDV.GD.ZS?format=json&amp;mrv=10</t>
        </is>
      </c>
      <c r="L346" t="inlineStr">
        <is>
          <t>World Bank WDI: Research and development expenditure (% of GDP)</t>
        </is>
      </c>
      <c r="M346" t="inlineStr">
        <is>
          <t>2022-12-31</t>
        </is>
      </c>
      <c r="N346" t="inlineStr">
        <is>
          <t>auto_ingest=world_bank_creative_extended; indicator=GB.XPD.RSDV.GD.ZS; year=2022; country_proxy=Thailand</t>
        </is>
      </c>
    </row>
    <row r="347">
      <c r="A347" t="inlineStr">
        <is>
          <t>th-hat-yai</t>
        </is>
      </c>
      <c r="B347" t="inlineStr">
        <is>
          <t>Hat Yai</t>
        </is>
      </c>
      <c r="C347" t="inlineStr">
        <is>
          <t>Thailand</t>
        </is>
      </c>
      <c r="D347" t="inlineStr">
        <is>
          <t>Southeast Asia</t>
        </is>
      </c>
      <c r="E347" t="inlineStr">
        <is>
          <t>investment_signal_raw</t>
        </is>
      </c>
      <c r="F347" t="inlineStr">
        <is>
          <t>Investment signal raw</t>
        </is>
      </c>
      <c r="G347" t="inlineStr">
        <is>
          <t>creative</t>
        </is>
      </c>
      <c r="H347" t="inlineStr">
        <is>
          <t>yes</t>
        </is>
      </c>
      <c r="I347" t="inlineStr">
        <is>
          <t>2.72</t>
        </is>
      </c>
      <c r="J347" t="inlineStr">
        <is>
          <t>world_bank</t>
        </is>
      </c>
      <c r="K347" t="inlineStr">
        <is>
          <t>https://api.worldbank.org/v2/country/THA/indicator/BX.KLT.DINV.WD.GD.ZS?format=json&amp;mrv=10</t>
        </is>
      </c>
      <c r="L347" t="inlineStr">
        <is>
          <t>World Bank WDI: Foreign direct investment, net inflows (% of GDP)</t>
        </is>
      </c>
      <c r="M347" t="inlineStr">
        <is>
          <t>2024-12-31</t>
        </is>
      </c>
      <c r="N347" t="inlineStr">
        <is>
          <t>auto_ingest=world_bank_creative_extended; indicator=BX.KLT.DINV.WD.GD.ZS; year=2024; country_proxy=Thailand</t>
        </is>
      </c>
    </row>
    <row r="348">
      <c r="A348" t="inlineStr">
        <is>
          <t>th-hat-yai</t>
        </is>
      </c>
      <c r="B348" t="inlineStr">
        <is>
          <t>Hat Yai</t>
        </is>
      </c>
      <c r="C348" t="inlineStr">
        <is>
          <t>Thailand</t>
        </is>
      </c>
      <c r="D348" t="inlineStr">
        <is>
          <t>Southeast Asia</t>
        </is>
      </c>
      <c r="E348" t="inlineStr">
        <is>
          <t>administrative_investment_friction_raw</t>
        </is>
      </c>
      <c r="F348" t="inlineStr">
        <is>
          <t>Administrative investment friction raw</t>
        </is>
      </c>
      <c r="G348" t="inlineStr">
        <is>
          <t>creative</t>
        </is>
      </c>
      <c r="H348" t="inlineStr">
        <is>
          <t>yes</t>
        </is>
      </c>
      <c r="I348" t="inlineStr">
        <is>
          <t>2.34</t>
        </is>
      </c>
      <c r="J348" t="inlineStr">
        <is>
          <t>world_bank</t>
        </is>
      </c>
      <c r="K348" t="inlineStr">
        <is>
          <t>https://api.worldbank.org/v2/country/THA/indicator/RQ.EST?format=json&amp;mrv=10</t>
        </is>
      </c>
      <c r="L348" t="inlineStr">
        <is>
          <t>World Bank WGI: Regulatory Quality (inverted as friction proxy)</t>
        </is>
      </c>
      <c r="M348" t="inlineStr">
        <is>
          <t>2023-12-31</t>
        </is>
      </c>
      <c r="N348" t="inlineStr">
        <is>
          <t>auto_ingest=world_bank_business_friction; indicator=RQ.EST; raw_rq=0.158257782459259; friction=2.34; year=2023; country_proxy=Thailand</t>
        </is>
      </c>
    </row>
    <row r="349">
      <c r="A349" t="inlineStr">
        <is>
          <t>th-hat-yai</t>
        </is>
      </c>
      <c r="B349" t="inlineStr">
        <is>
          <t>Hat Yai</t>
        </is>
      </c>
      <c r="C349" t="inlineStr">
        <is>
          <t>Thailand</t>
        </is>
      </c>
      <c r="D349" t="inlineStr">
        <is>
          <t>Southeast Asia</t>
        </is>
      </c>
      <c r="E349" t="inlineStr">
        <is>
          <t>visitor_flow_context_raw</t>
        </is>
      </c>
      <c r="F349" t="inlineStr">
        <is>
          <t>Visitor flow context raw</t>
        </is>
      </c>
      <c r="G349" t="inlineStr">
        <is>
          <t>creative</t>
        </is>
      </c>
      <c r="H349" t="inlineStr">
        <is>
          <t>no</t>
        </is>
      </c>
      <c r="I349" t="inlineStr"/>
      <c r="J349" t="inlineStr"/>
      <c r="K349" t="inlineStr"/>
      <c r="L349" t="inlineStr"/>
      <c r="M349" t="inlineStr"/>
      <c r="N349" t="inlineStr"/>
    </row>
    <row r="350">
      <c r="A350" t="inlineStr">
        <is>
          <t>tw-taipei</t>
        </is>
      </c>
      <c r="B350" t="inlineStr">
        <is>
          <t>Taipei</t>
        </is>
      </c>
      <c r="C350" t="inlineStr">
        <is>
          <t>Taiwan</t>
        </is>
      </c>
      <c r="D350" t="inlineStr">
        <is>
          <t>East Asia</t>
        </is>
      </c>
      <c r="E350" t="inlineStr">
        <is>
          <t>gross_income</t>
        </is>
      </c>
      <c r="F350" t="inlineStr">
        <is>
          <t>Gross income</t>
        </is>
      </c>
      <c r="G350" t="inlineStr">
        <is>
          <t>pressure</t>
        </is>
      </c>
      <c r="H350" t="inlineStr">
        <is>
          <t>yes</t>
        </is>
      </c>
      <c r="I350" t="inlineStr">
        <is>
          <t>5958.33</t>
        </is>
      </c>
      <c r="J350" t="inlineStr">
        <is>
          <t>world_bank_col_estimate</t>
        </is>
      </c>
      <c r="K350" t="inlineStr">
        <is>
          <t>https://data.worldbank.org/indicator/NY.GNP.PCAP.PP.CD</t>
        </is>
      </c>
      <c r="L350" t="inlineStr">
        <is>
          <t>World Bank WDI: GNI per capita PPP (monthly USD)</t>
        </is>
      </c>
      <c r="M350" t="inlineStr">
        <is>
          <t>2023-12-31</t>
        </is>
      </c>
      <c r="N350" t="inlineStr">
        <is>
          <t>auto_ingest=world_bank_col_estimate; gni_annual=65000.0; year=2023; country_proxy=Taiwan; cohort=East Asia; city_income_mult=1.1</t>
        </is>
      </c>
    </row>
    <row r="351">
      <c r="A351" t="inlineStr">
        <is>
          <t>tw-taipei</t>
        </is>
      </c>
      <c r="B351" t="inlineStr">
        <is>
          <t>Taipei</t>
        </is>
      </c>
      <c r="C351" t="inlineStr">
        <is>
          <t>Taiwan</t>
        </is>
      </c>
      <c r="D351" t="inlineStr">
        <is>
          <t>East Asia</t>
        </is>
      </c>
      <c r="E351" t="inlineStr">
        <is>
          <t>di_ppp_raw</t>
        </is>
      </c>
      <c r="F351" t="inlineStr">
        <is>
          <t>Disposable income PPP (Raw)</t>
        </is>
      </c>
      <c r="G351" t="inlineStr">
        <is>
          <t>pressure</t>
        </is>
      </c>
      <c r="H351" t="inlineStr">
        <is>
          <t>yes</t>
        </is>
      </c>
      <c r="I351" t="inlineStr"/>
      <c r="J351" t="inlineStr"/>
      <c r="K351" t="inlineStr"/>
      <c r="L351" t="inlineStr"/>
      <c r="M351" t="inlineStr"/>
      <c r="N351" t="inlineStr"/>
    </row>
    <row r="352">
      <c r="A352" t="inlineStr">
        <is>
          <t>tw-taipei</t>
        </is>
      </c>
      <c r="B352" t="inlineStr">
        <is>
          <t>Taipei</t>
        </is>
      </c>
      <c r="C352" t="inlineStr">
        <is>
          <t>Taiwan</t>
        </is>
      </c>
      <c r="D352" t="inlineStr">
        <is>
          <t>East Asia</t>
        </is>
      </c>
      <c r="E352" t="inlineStr">
        <is>
          <t>rent</t>
        </is>
      </c>
      <c r="F352" t="inlineStr">
        <is>
          <t>Rent</t>
        </is>
      </c>
      <c r="G352" t="inlineStr">
        <is>
          <t>pressure</t>
        </is>
      </c>
      <c r="H352" t="inlineStr">
        <is>
          <t>yes</t>
        </is>
      </c>
      <c r="I352" t="inlineStr">
        <is>
          <t>1713.02</t>
        </is>
      </c>
      <c r="J352" t="inlineStr">
        <is>
          <t>world_bank_col_estimate</t>
        </is>
      </c>
      <c r="K352" t="inlineStr">
        <is>
          <t>https://data.worldbank.org/indicator/NY.GNP.PCAP.PP.CD</t>
        </is>
      </c>
      <c r="L352" t="inlineStr">
        <is>
          <t>World Bank GNI + regional expenditure ratio estimate</t>
        </is>
      </c>
      <c r="M352" t="inlineStr">
        <is>
          <t>2023-12-31</t>
        </is>
      </c>
      <c r="N352" t="inlineStr">
        <is>
          <t>auto_ingest=world_bank_col_estimate; gni_annual=65000.0; year=2023; country_proxy=Taiwan; cohort=East Asia; city_cost_mult=1.15</t>
        </is>
      </c>
    </row>
    <row r="353">
      <c r="A353" t="inlineStr">
        <is>
          <t>tw-taipei</t>
        </is>
      </c>
      <c r="B353" t="inlineStr">
        <is>
          <t>Taipei</t>
        </is>
      </c>
      <c r="C353" t="inlineStr">
        <is>
          <t>Taiwan</t>
        </is>
      </c>
      <c r="D353" t="inlineStr">
        <is>
          <t>East Asia</t>
        </is>
      </c>
      <c r="E353" t="inlineStr">
        <is>
          <t>utilities</t>
        </is>
      </c>
      <c r="F353" t="inlineStr">
        <is>
          <t>Utilities</t>
        </is>
      </c>
      <c r="G353" t="inlineStr">
        <is>
          <t>pressure</t>
        </is>
      </c>
      <c r="H353" t="inlineStr">
        <is>
          <t>yes</t>
        </is>
      </c>
      <c r="I353" t="inlineStr">
        <is>
          <t>411.12</t>
        </is>
      </c>
      <c r="J353" t="inlineStr">
        <is>
          <t>world_bank_col_estimate</t>
        </is>
      </c>
      <c r="K353" t="inlineStr">
        <is>
          <t>https://data.worldbank.org/indicator/NY.GNP.PCAP.PP.CD</t>
        </is>
      </c>
      <c r="L353" t="inlineStr">
        <is>
          <t>World Bank GNI + regional expenditure ratio estimate</t>
        </is>
      </c>
      <c r="M353" t="inlineStr">
        <is>
          <t>2023-12-31</t>
        </is>
      </c>
      <c r="N353" t="inlineStr">
        <is>
          <t>auto_ingest=world_bank_col_estimate; gni_annual=65000.0; year=2023; country_proxy=Taiwan; cohort=East Asia; city_cost_mult=1.15</t>
        </is>
      </c>
    </row>
    <row r="354">
      <c r="A354" t="inlineStr">
        <is>
          <t>tw-taipei</t>
        </is>
      </c>
      <c r="B354" t="inlineStr">
        <is>
          <t>Taipei</t>
        </is>
      </c>
      <c r="C354" t="inlineStr">
        <is>
          <t>Taiwan</t>
        </is>
      </c>
      <c r="D354" t="inlineStr">
        <is>
          <t>East Asia</t>
        </is>
      </c>
      <c r="E354" t="inlineStr">
        <is>
          <t>transit_cost</t>
        </is>
      </c>
      <c r="F354" t="inlineStr">
        <is>
          <t>Transit cost</t>
        </is>
      </c>
      <c r="G354" t="inlineStr">
        <is>
          <t>pressure</t>
        </is>
      </c>
      <c r="H354" t="inlineStr">
        <is>
          <t>yes</t>
        </is>
      </c>
      <c r="I354" t="inlineStr">
        <is>
          <t>274.08</t>
        </is>
      </c>
      <c r="J354" t="inlineStr">
        <is>
          <t>world_bank_col_estimate</t>
        </is>
      </c>
      <c r="K354" t="inlineStr">
        <is>
          <t>https://data.worldbank.org/indicator/NY.GNP.PCAP.PP.CD</t>
        </is>
      </c>
      <c r="L354" t="inlineStr">
        <is>
          <t>World Bank GNI + regional expenditure ratio estimate</t>
        </is>
      </c>
      <c r="M354" t="inlineStr">
        <is>
          <t>2023-12-31</t>
        </is>
      </c>
      <c r="N354" t="inlineStr">
        <is>
          <t>auto_ingest=world_bank_col_estimate; gni_annual=65000.0; year=2023; country_proxy=Taiwan; cohort=East Asia; city_cost_mult=1.15</t>
        </is>
      </c>
    </row>
    <row r="355">
      <c r="A355" t="inlineStr">
        <is>
          <t>tw-taipei</t>
        </is>
      </c>
      <c r="B355" t="inlineStr">
        <is>
          <t>Taipei</t>
        </is>
      </c>
      <c r="C355" t="inlineStr">
        <is>
          <t>Taiwan</t>
        </is>
      </c>
      <c r="D355" t="inlineStr">
        <is>
          <t>East Asia</t>
        </is>
      </c>
      <c r="E355" t="inlineStr">
        <is>
          <t>internet_cost</t>
        </is>
      </c>
      <c r="F355" t="inlineStr">
        <is>
          <t>Internet cost</t>
        </is>
      </c>
      <c r="G355" t="inlineStr">
        <is>
          <t>pressure</t>
        </is>
      </c>
      <c r="H355" t="inlineStr">
        <is>
          <t>yes</t>
        </is>
      </c>
      <c r="I355" t="inlineStr">
        <is>
          <t>102.78</t>
        </is>
      </c>
      <c r="J355" t="inlineStr">
        <is>
          <t>world_bank_col_estimate</t>
        </is>
      </c>
      <c r="K355" t="inlineStr">
        <is>
          <t>https://data.worldbank.org/indicator/NY.GNP.PCAP.PP.CD</t>
        </is>
      </c>
      <c r="L355" t="inlineStr">
        <is>
          <t>World Bank GNI + regional expenditure ratio estimate</t>
        </is>
      </c>
      <c r="M355" t="inlineStr">
        <is>
          <t>2023-12-31</t>
        </is>
      </c>
      <c r="N355" t="inlineStr">
        <is>
          <t>auto_ingest=world_bank_col_estimate; gni_annual=65000.0; year=2023; country_proxy=Taiwan; cohort=East Asia; city_cost_mult=1.15</t>
        </is>
      </c>
    </row>
    <row r="356">
      <c r="A356" t="inlineStr">
        <is>
          <t>tw-taipei</t>
        </is>
      </c>
      <c r="B356" t="inlineStr">
        <is>
          <t>Taipei</t>
        </is>
      </c>
      <c r="C356" t="inlineStr">
        <is>
          <t>Taiwan</t>
        </is>
      </c>
      <c r="D356" t="inlineStr">
        <is>
          <t>East Asia</t>
        </is>
      </c>
      <c r="E356" t="inlineStr">
        <is>
          <t>food_cost</t>
        </is>
      </c>
      <c r="F356" t="inlineStr">
        <is>
          <t>Food cost</t>
        </is>
      </c>
      <c r="G356" t="inlineStr">
        <is>
          <t>pressure</t>
        </is>
      </c>
      <c r="H356" t="inlineStr">
        <is>
          <t>yes</t>
        </is>
      </c>
      <c r="I356" t="inlineStr">
        <is>
          <t>1370.42</t>
        </is>
      </c>
      <c r="J356" t="inlineStr">
        <is>
          <t>world_bank_col_estimate</t>
        </is>
      </c>
      <c r="K356" t="inlineStr">
        <is>
          <t>https://data.worldbank.org/indicator/NY.GNP.PCAP.PP.CD</t>
        </is>
      </c>
      <c r="L356" t="inlineStr">
        <is>
          <t>World Bank GNI + regional expenditure ratio estimate</t>
        </is>
      </c>
      <c r="M356" t="inlineStr">
        <is>
          <t>2023-12-31</t>
        </is>
      </c>
      <c r="N356" t="inlineStr">
        <is>
          <t>auto_ingest=world_bank_col_estimate; gni_annual=65000.0; year=2023; country_proxy=Taiwan; cohort=East Asia; city_cost_mult=1.15</t>
        </is>
      </c>
    </row>
    <row r="357">
      <c r="A357" t="inlineStr">
        <is>
          <t>tw-taipei</t>
        </is>
      </c>
      <c r="B357" t="inlineStr">
        <is>
          <t>Taipei</t>
        </is>
      </c>
      <c r="C357" t="inlineStr">
        <is>
          <t>Taiwan</t>
        </is>
      </c>
      <c r="D357" t="inlineStr">
        <is>
          <t>East Asia</t>
        </is>
      </c>
      <c r="E357" t="inlineStr">
        <is>
          <t>housing_burden_raw</t>
        </is>
      </c>
      <c r="F357" t="inlineStr">
        <is>
          <t>Housing burden raw</t>
        </is>
      </c>
      <c r="G357" t="inlineStr">
        <is>
          <t>pressure</t>
        </is>
      </c>
      <c r="H357" t="inlineStr">
        <is>
          <t>yes</t>
        </is>
      </c>
      <c r="I357" t="inlineStr">
        <is>
          <t>28.75</t>
        </is>
      </c>
      <c r="J357" t="inlineStr">
        <is>
          <t>derived</t>
        </is>
      </c>
      <c r="K357" t="inlineStr">
        <is>
          <t>https://data.worldbank.org/indicator/NY.GNP.PCAP.PP.CD</t>
        </is>
      </c>
      <c r="L357" t="inlineStr">
        <is>
          <t>Computed from city_inputs + country_context</t>
        </is>
      </c>
      <c r="M357" t="inlineStr">
        <is>
          <t>2024-01-01</t>
        </is>
      </c>
      <c r="N357" t="inlineStr">
        <is>
          <t>derived=rent/gross_income*100</t>
        </is>
      </c>
    </row>
    <row r="358">
      <c r="A358" t="inlineStr">
        <is>
          <t>tw-taipei</t>
        </is>
      </c>
      <c r="B358" t="inlineStr">
        <is>
          <t>Taipei</t>
        </is>
      </c>
      <c r="C358" t="inlineStr">
        <is>
          <t>Taiwan</t>
        </is>
      </c>
      <c r="D358" t="inlineStr">
        <is>
          <t>East Asia</t>
        </is>
      </c>
      <c r="E358" t="inlineStr">
        <is>
          <t>household_debt_burden_raw</t>
        </is>
      </c>
      <c r="F358" t="inlineStr">
        <is>
          <t>Household debt burden raw</t>
        </is>
      </c>
      <c r="G358" t="inlineStr">
        <is>
          <t>pressure</t>
        </is>
      </c>
      <c r="H358" t="inlineStr">
        <is>
          <t>yes</t>
        </is>
      </c>
      <c r="I358" t="inlineStr">
        <is>
          <t>86.0</t>
        </is>
      </c>
      <c r="J358" t="inlineStr">
        <is>
          <t>city_official_portal</t>
        </is>
      </c>
      <c r="K358" t="inlineStr">
        <is>
          <t>https://eng.dgbas.gov.tw</t>
        </is>
      </c>
      <c r="L358" t="inlineStr">
        <is>
          <t>CBC/DGBAS: Household debt to GDP ratio (%)</t>
        </is>
      </c>
      <c r="M358" t="inlineStr">
        <is>
          <t>2023-12-31</t>
        </is>
      </c>
      <c r="N358" t="inlineStr">
        <is>
          <t>manual_seed=cbc; indicator=household_debt_gdp; year=2023; country=Taiwan; Taiwan ~86% household debt/GDP</t>
        </is>
      </c>
    </row>
    <row r="359">
      <c r="A359" t="inlineStr">
        <is>
          <t>tw-taipei</t>
        </is>
      </c>
      <c r="B359" t="inlineStr">
        <is>
          <t>Taipei</t>
        </is>
      </c>
      <c r="C359" t="inlineStr">
        <is>
          <t>Taiwan</t>
        </is>
      </c>
      <c r="D359" t="inlineStr">
        <is>
          <t>East Asia</t>
        </is>
      </c>
      <c r="E359" t="inlineStr">
        <is>
          <t>working_time_pressure_raw</t>
        </is>
      </c>
      <c r="F359" t="inlineStr">
        <is>
          <t>Working time pressure raw</t>
        </is>
      </c>
      <c r="G359" t="inlineStr">
        <is>
          <t>pressure</t>
        </is>
      </c>
      <c r="H359" t="inlineStr">
        <is>
          <t>yes</t>
        </is>
      </c>
      <c r="I359" t="inlineStr">
        <is>
          <t>41.5</t>
        </is>
      </c>
      <c r="J359" t="inlineStr">
        <is>
          <t>city_official_portal</t>
        </is>
      </c>
      <c r="K359" t="inlineStr">
        <is>
          <t>https://eng.dgbas.gov.tw</t>
        </is>
      </c>
      <c r="L359" t="inlineStr">
        <is>
          <t>DGBAS: Mean weekly hours actually worked per employed person</t>
        </is>
      </c>
      <c r="M359" t="inlineStr">
        <is>
          <t>2023-12-31</t>
        </is>
      </c>
      <c r="N359" t="inlineStr">
        <is>
          <t>manual_seed=dgbas; hours=41.5; country=Taiwan</t>
        </is>
      </c>
    </row>
    <row r="360">
      <c r="A360" t="inlineStr">
        <is>
          <t>tw-taipei</t>
        </is>
      </c>
      <c r="B360" t="inlineStr">
        <is>
          <t>Taipei</t>
        </is>
      </c>
      <c r="C360" t="inlineStr">
        <is>
          <t>Taiwan</t>
        </is>
      </c>
      <c r="D360" t="inlineStr">
        <is>
          <t>East Asia</t>
        </is>
      </c>
      <c r="E360" t="inlineStr">
        <is>
          <t>suicide_mental_strain_raw</t>
        </is>
      </c>
      <c r="F360" t="inlineStr">
        <is>
          <t>Suicide or mental strain raw</t>
        </is>
      </c>
      <c r="G360" t="inlineStr">
        <is>
          <t>pressure</t>
        </is>
      </c>
      <c r="H360" t="inlineStr">
        <is>
          <t>yes</t>
        </is>
      </c>
      <c r="I360" t="inlineStr">
        <is>
          <t>16.0</t>
        </is>
      </c>
      <c r="J360" t="inlineStr">
        <is>
          <t>city_official_portal</t>
        </is>
      </c>
      <c r="K360" t="inlineStr">
        <is>
          <t>https://dep.mohw.gov.tw</t>
        </is>
      </c>
      <c r="L360" t="inlineStr">
        <is>
          <t>MOHW: Age-standardized suicide rate (per 100,000 population)</t>
        </is>
      </c>
      <c r="M360" t="inlineStr">
        <is>
          <t>2023-12-31</t>
        </is>
      </c>
      <c r="N360" t="inlineStr">
        <is>
          <t>manual_seed=mohw; indicator=suicide_rate; year=2023; country=Taiwan</t>
        </is>
      </c>
    </row>
    <row r="361">
      <c r="A361" t="inlineStr">
        <is>
          <t>tw-taipei</t>
        </is>
      </c>
      <c r="B361" t="inlineStr">
        <is>
          <t>Taipei</t>
        </is>
      </c>
      <c r="C361" t="inlineStr">
        <is>
          <t>Taiwan</t>
        </is>
      </c>
      <c r="D361" t="inlineStr">
        <is>
          <t>East Asia</t>
        </is>
      </c>
      <c r="E361" t="inlineStr">
        <is>
          <t>personal_safety_raw</t>
        </is>
      </c>
      <c r="F361" t="inlineStr">
        <is>
          <t>Personal safety raw</t>
        </is>
      </c>
      <c r="G361" t="inlineStr">
        <is>
          <t>viability</t>
        </is>
      </c>
      <c r="H361" t="inlineStr">
        <is>
          <t>yes</t>
        </is>
      </c>
      <c r="I361" t="inlineStr">
        <is>
          <t>0.8</t>
        </is>
      </c>
      <c r="J361" t="inlineStr">
        <is>
          <t>city_official_portal</t>
        </is>
      </c>
      <c r="K361" t="inlineStr">
        <is>
          <t>https://eng.dgbas.gov.tw</t>
        </is>
      </c>
      <c r="L361" t="inlineStr">
        <is>
          <t>NPA/DGBAS: Intentional homicides (per 100,000 people)</t>
        </is>
      </c>
      <c r="M361" t="inlineStr">
        <is>
          <t>2023-12-31</t>
        </is>
      </c>
      <c r="N361" t="inlineStr">
        <is>
          <t>manual_seed=npa_dgbas; indicator=homicide_rate; year=2023; country=Taiwan</t>
        </is>
      </c>
    </row>
    <row r="362">
      <c r="A362" t="inlineStr">
        <is>
          <t>tw-taipei</t>
        </is>
      </c>
      <c r="B362" t="inlineStr">
        <is>
          <t>Taipei</t>
        </is>
      </c>
      <c r="C362" t="inlineStr">
        <is>
          <t>Taiwan</t>
        </is>
      </c>
      <c r="D362" t="inlineStr">
        <is>
          <t>East Asia</t>
        </is>
      </c>
      <c r="E362" t="inlineStr">
        <is>
          <t>transit_access_commute_raw</t>
        </is>
      </c>
      <c r="F362" t="inlineStr">
        <is>
          <t>Transit access and commute raw</t>
        </is>
      </c>
      <c r="G362" t="inlineStr">
        <is>
          <t>viability</t>
        </is>
      </c>
      <c r="H362" t="inlineStr">
        <is>
          <t>yes</t>
        </is>
      </c>
      <c r="I362" t="inlineStr"/>
      <c r="J362" t="inlineStr"/>
      <c r="K362" t="inlineStr"/>
      <c r="L362" t="inlineStr"/>
      <c r="M362" t="inlineStr"/>
      <c r="N362" t="inlineStr"/>
    </row>
    <row r="363">
      <c r="A363" t="inlineStr">
        <is>
          <t>tw-taipei</t>
        </is>
      </c>
      <c r="B363" t="inlineStr">
        <is>
          <t>Taipei</t>
        </is>
      </c>
      <c r="C363" t="inlineStr">
        <is>
          <t>Taiwan</t>
        </is>
      </c>
      <c r="D363" t="inlineStr">
        <is>
          <t>East Asia</t>
        </is>
      </c>
      <c r="E363" t="inlineStr">
        <is>
          <t>clean_air_raw</t>
        </is>
      </c>
      <c r="F363" t="inlineStr">
        <is>
          <t>Clean air raw</t>
        </is>
      </c>
      <c r="G363" t="inlineStr">
        <is>
          <t>viability</t>
        </is>
      </c>
      <c r="H363" t="inlineStr">
        <is>
          <t>yes</t>
        </is>
      </c>
      <c r="I363" t="inlineStr">
        <is>
          <t>15.0</t>
        </is>
      </c>
      <c r="J363" t="inlineStr">
        <is>
          <t>city_official_portal</t>
        </is>
      </c>
      <c r="K363" t="inlineStr">
        <is>
          <t>https://eng.dgbas.gov.tw</t>
        </is>
      </c>
      <c r="L363" t="inlineStr">
        <is>
          <t>EPA Taiwan: Annual mean PM2.5 concentration (μg/m³)</t>
        </is>
      </c>
      <c r="M363" t="inlineStr">
        <is>
          <t>2023-12-31</t>
        </is>
      </c>
      <c r="N363" t="inlineStr">
        <is>
          <t>manual_seed=epa_taiwan; indicator=pm25; year=2023; country=Taiwan</t>
        </is>
      </c>
    </row>
    <row r="364">
      <c r="A364" t="inlineStr">
        <is>
          <t>tw-taipei</t>
        </is>
      </c>
      <c r="B364" t="inlineStr">
        <is>
          <t>Taipei</t>
        </is>
      </c>
      <c r="C364" t="inlineStr">
        <is>
          <t>Taiwan</t>
        </is>
      </c>
      <c r="D364" t="inlineStr">
        <is>
          <t>East Asia</t>
        </is>
      </c>
      <c r="E364" t="inlineStr">
        <is>
          <t>water_sanitation_utility_raw</t>
        </is>
      </c>
      <c r="F364" t="inlineStr">
        <is>
          <t>Water, sanitation, and utility raw</t>
        </is>
      </c>
      <c r="G364" t="inlineStr">
        <is>
          <t>viability</t>
        </is>
      </c>
      <c r="H364" t="inlineStr">
        <is>
          <t>yes</t>
        </is>
      </c>
      <c r="I364" t="inlineStr">
        <is>
          <t>99.0</t>
        </is>
      </c>
      <c r="J364" t="inlineStr">
        <is>
          <t>city_official_portal</t>
        </is>
      </c>
      <c r="K364" t="inlineStr">
        <is>
          <t>https://eng.dgbas.gov.tw</t>
        </is>
      </c>
      <c r="L364" t="inlineStr">
        <is>
          <t>DGBAS: People using safely managed drinking water services (% of population)</t>
        </is>
      </c>
      <c r="M364" t="inlineStr">
        <is>
          <t>2023-12-31</t>
        </is>
      </c>
      <c r="N364" t="inlineStr">
        <is>
          <t>manual_seed=dgbas; indicator=water_sanitation; year=2023; country=Taiwan</t>
        </is>
      </c>
    </row>
    <row r="365">
      <c r="A365" t="inlineStr">
        <is>
          <t>tw-taipei</t>
        </is>
      </c>
      <c r="B365" t="inlineStr">
        <is>
          <t>Taipei</t>
        </is>
      </c>
      <c r="C365" t="inlineStr">
        <is>
          <t>Taiwan</t>
        </is>
      </c>
      <c r="D365" t="inlineStr">
        <is>
          <t>East Asia</t>
        </is>
      </c>
      <c r="E365" t="inlineStr">
        <is>
          <t>digital_infrastructure_raw</t>
        </is>
      </c>
      <c r="F365" t="inlineStr">
        <is>
          <t>Digital infrastructure raw</t>
        </is>
      </c>
      <c r="G365" t="inlineStr">
        <is>
          <t>viability</t>
        </is>
      </c>
      <c r="H365" t="inlineStr">
        <is>
          <t>yes</t>
        </is>
      </c>
      <c r="I365" t="inlineStr">
        <is>
          <t>28.0</t>
        </is>
      </c>
      <c r="J365" t="inlineStr">
        <is>
          <t>city_official_portal</t>
        </is>
      </c>
      <c r="K365" t="inlineStr">
        <is>
          <t>https://eng.dgbas.gov.tw</t>
        </is>
      </c>
      <c r="L365" t="inlineStr">
        <is>
          <t>MOTC/DGBAS: Fixed broadband subscriptions (per 100 people)</t>
        </is>
      </c>
      <c r="M365" t="inlineStr">
        <is>
          <t>2023-12-31</t>
        </is>
      </c>
      <c r="N365" t="inlineStr">
        <is>
          <t>manual_seed=motc; indicator=broadband_subs_per_100; year=2023; country=Taiwan</t>
        </is>
      </c>
    </row>
    <row r="366">
      <c r="A366" t="inlineStr">
        <is>
          <t>tw-taipei</t>
        </is>
      </c>
      <c r="B366" t="inlineStr">
        <is>
          <t>Taipei</t>
        </is>
      </c>
      <c r="C366" t="inlineStr">
        <is>
          <t>Taiwan</t>
        </is>
      </c>
      <c r="D366" t="inlineStr">
        <is>
          <t>East Asia</t>
        </is>
      </c>
      <c r="E366" t="inlineStr">
        <is>
          <t>climate_sunlight_livability_raw</t>
        </is>
      </c>
      <c r="F366" t="inlineStr">
        <is>
          <t>Climate and sunlight livability raw</t>
        </is>
      </c>
      <c r="G366" t="inlineStr">
        <is>
          <t>viability</t>
        </is>
      </c>
      <c r="H366" t="inlineStr">
        <is>
          <t>yes</t>
        </is>
      </c>
      <c r="I366" t="inlineStr">
        <is>
          <t>62</t>
        </is>
      </c>
      <c r="J366" t="inlineStr">
        <is>
          <t>wmo_natl_met</t>
        </is>
      </c>
      <c r="K366" t="inlineStr">
        <is>
          <t>https://worldweather.wmo.int</t>
        </is>
      </c>
      <c r="L366" t="inlineStr">
        <is>
          <t>WMO/National Met: Climate livability composite</t>
        </is>
      </c>
      <c r="M366" t="inlineStr">
        <is>
          <t>2024-12-31</t>
        </is>
      </c>
      <c r="N366" t="inlineStr">
        <is>
          <t>auto_seed=climate_composite; 1700 sun hrs, 23C mean, good temp comfort, rainy</t>
        </is>
      </c>
    </row>
    <row r="367">
      <c r="A367" t="inlineStr">
        <is>
          <t>tw-taipei</t>
        </is>
      </c>
      <c r="B367" t="inlineStr">
        <is>
          <t>Taipei</t>
        </is>
      </c>
      <c r="C367" t="inlineStr">
        <is>
          <t>Taiwan</t>
        </is>
      </c>
      <c r="D367" t="inlineStr">
        <is>
          <t>East Asia</t>
        </is>
      </c>
      <c r="E367" t="inlineStr">
        <is>
          <t>healthcare_quality_raw</t>
        </is>
      </c>
      <c r="F367" t="inlineStr">
        <is>
          <t>Healthcare quality raw</t>
        </is>
      </c>
      <c r="G367" t="inlineStr">
        <is>
          <t>capability</t>
        </is>
      </c>
      <c r="H367" t="inlineStr">
        <is>
          <t>yes</t>
        </is>
      </c>
      <c r="I367" t="inlineStr">
        <is>
          <t>88.0</t>
        </is>
      </c>
      <c r="J367" t="inlineStr">
        <is>
          <t>city_official_portal</t>
        </is>
      </c>
      <c r="K367" t="inlineStr">
        <is>
          <t>https://dep.mohw.gov.tw</t>
        </is>
      </c>
      <c r="L367" t="inlineStr">
        <is>
          <t>MOHW: UHC Service Coverage Index equivalent (NHI system)</t>
        </is>
      </c>
      <c r="M367" t="inlineStr">
        <is>
          <t>2023-12-31</t>
        </is>
      </c>
      <c r="N367" t="inlineStr">
        <is>
          <t>manual_seed=mohw; indicator=uhc_index_equivalent; year=2023; country=Taiwan</t>
        </is>
      </c>
    </row>
    <row r="368">
      <c r="A368" t="inlineStr">
        <is>
          <t>tw-taipei</t>
        </is>
      </c>
      <c r="B368" t="inlineStr">
        <is>
          <t>Taipei</t>
        </is>
      </c>
      <c r="C368" t="inlineStr">
        <is>
          <t>Taiwan</t>
        </is>
      </c>
      <c r="D368" t="inlineStr">
        <is>
          <t>East Asia</t>
        </is>
      </c>
      <c r="E368" t="inlineStr">
        <is>
          <t>education_quality_raw</t>
        </is>
      </c>
      <c r="F368" t="inlineStr">
        <is>
          <t>Education quality raw</t>
        </is>
      </c>
      <c r="G368" t="inlineStr">
        <is>
          <t>capability</t>
        </is>
      </c>
      <c r="H368" t="inlineStr">
        <is>
          <t>yes</t>
        </is>
      </c>
      <c r="I368" t="inlineStr">
        <is>
          <t>95.0</t>
        </is>
      </c>
      <c r="J368" t="inlineStr">
        <is>
          <t>city_official_portal</t>
        </is>
      </c>
      <c r="K368" t="inlineStr">
        <is>
          <t>https://eng.dgbas.gov.tw</t>
        </is>
      </c>
      <c r="L368" t="inlineStr">
        <is>
          <t>DGBAS/MOE: School enrollment, tertiary (% gross)</t>
        </is>
      </c>
      <c r="M368" t="inlineStr">
        <is>
          <t>2023-12-31</t>
        </is>
      </c>
      <c r="N368" t="inlineStr">
        <is>
          <t>manual_seed=dgbas_moe; indicator=tertiary_enrollment; year=2023; country=Taiwan</t>
        </is>
      </c>
    </row>
    <row r="369">
      <c r="A369" t="inlineStr">
        <is>
          <t>tw-taipei</t>
        </is>
      </c>
      <c r="B369" t="inlineStr">
        <is>
          <t>Taipei</t>
        </is>
      </c>
      <c r="C369" t="inlineStr">
        <is>
          <t>Taiwan</t>
        </is>
      </c>
      <c r="D369" t="inlineStr">
        <is>
          <t>East Asia</t>
        </is>
      </c>
      <c r="E369" t="inlineStr">
        <is>
          <t>equal_opportunity_raw</t>
        </is>
      </c>
      <c r="F369" t="inlineStr">
        <is>
          <t>Equal opportunity raw</t>
        </is>
      </c>
      <c r="G369" t="inlineStr">
        <is>
          <t>capability</t>
        </is>
      </c>
      <c r="H369" t="inlineStr">
        <is>
          <t>yes</t>
        </is>
      </c>
      <c r="I369" t="inlineStr">
        <is>
          <t>45.0</t>
        </is>
      </c>
      <c r="J369" t="inlineStr">
        <is>
          <t>city_official_portal</t>
        </is>
      </c>
      <c r="K369" t="inlineStr">
        <is>
          <t>https://eng.dgbas.gov.tw</t>
        </is>
      </c>
      <c r="L369" t="inlineStr">
        <is>
          <t>DGBAS: Equal opportunity composite (gender wage gap + labor participation + legislative representation)</t>
        </is>
      </c>
      <c r="M369" t="inlineStr">
        <is>
          <t>2023-12-31</t>
        </is>
      </c>
      <c r="N369" t="inlineStr">
        <is>
          <t>manual_seed=dgbas; indicator=equal_opportunity; 42% women in parliament, high female labor participation</t>
        </is>
      </c>
    </row>
    <row r="370">
      <c r="A370" t="inlineStr">
        <is>
          <t>tw-taipei</t>
        </is>
      </c>
      <c r="B370" t="inlineStr">
        <is>
          <t>Taipei</t>
        </is>
      </c>
      <c r="C370" t="inlineStr">
        <is>
          <t>Taiwan</t>
        </is>
      </c>
      <c r="D370" t="inlineStr">
        <is>
          <t>East Asia</t>
        </is>
      </c>
      <c r="E370" t="inlineStr">
        <is>
          <t>hospitality_belonging_raw</t>
        </is>
      </c>
      <c r="F370" t="inlineStr">
        <is>
          <t>Hospitality and belonging raw</t>
        </is>
      </c>
      <c r="G370" t="inlineStr">
        <is>
          <t>community</t>
        </is>
      </c>
      <c r="H370" t="inlineStr">
        <is>
          <t>yes</t>
        </is>
      </c>
      <c r="I370" t="inlineStr"/>
      <c r="J370" t="inlineStr"/>
      <c r="K370" t="inlineStr"/>
      <c r="L370" t="inlineStr"/>
      <c r="M370" t="inlineStr"/>
      <c r="N370" t="inlineStr"/>
    </row>
    <row r="371">
      <c r="A371" t="inlineStr">
        <is>
          <t>tw-taipei</t>
        </is>
      </c>
      <c r="B371" t="inlineStr">
        <is>
          <t>Taipei</t>
        </is>
      </c>
      <c r="C371" t="inlineStr">
        <is>
          <t>Taiwan</t>
        </is>
      </c>
      <c r="D371" t="inlineStr">
        <is>
          <t>East Asia</t>
        </is>
      </c>
      <c r="E371" t="inlineStr">
        <is>
          <t>tolerance_pluralism_raw</t>
        </is>
      </c>
      <c r="F371" t="inlineStr">
        <is>
          <t>Tolerance and pluralism raw</t>
        </is>
      </c>
      <c r="G371" t="inlineStr">
        <is>
          <t>community</t>
        </is>
      </c>
      <c r="H371" t="inlineStr">
        <is>
          <t>yes</t>
        </is>
      </c>
      <c r="I371" t="inlineStr">
        <is>
          <t>45.0</t>
        </is>
      </c>
      <c r="J371" t="inlineStr">
        <is>
          <t>world_bank</t>
        </is>
      </c>
      <c r="K371" t="inlineStr">
        <is>
          <t>https://api.worldbank.org/v2/country/TWN</t>
        </is>
      </c>
      <c r="L371" t="inlineStr">
        <is>
          <t>Composite: gender parity + same-sex marriage legalized (first in Asia) + religious pluralism</t>
        </is>
      </c>
      <c r="M371" t="inlineStr">
        <is>
          <t>2024-12-31</t>
        </is>
      </c>
      <c r="N371" t="inlineStr"/>
    </row>
    <row r="372">
      <c r="A372" t="inlineStr">
        <is>
          <t>tw-taipei</t>
        </is>
      </c>
      <c r="B372" t="inlineStr">
        <is>
          <t>Taipei</t>
        </is>
      </c>
      <c r="C372" t="inlineStr">
        <is>
          <t>Taiwan</t>
        </is>
      </c>
      <c r="D372" t="inlineStr">
        <is>
          <t>East Asia</t>
        </is>
      </c>
      <c r="E372" t="inlineStr">
        <is>
          <t>cultural_public_life_raw</t>
        </is>
      </c>
      <c r="F372" t="inlineStr">
        <is>
          <t>Cultural public life raw</t>
        </is>
      </c>
      <c r="G372" t="inlineStr">
        <is>
          <t>community</t>
        </is>
      </c>
      <c r="H372" t="inlineStr">
        <is>
          <t>yes</t>
        </is>
      </c>
      <c r="I372" t="inlineStr">
        <is>
          <t>60.0</t>
        </is>
      </c>
      <c r="J372" t="inlineStr">
        <is>
          <t>city_official_portal</t>
        </is>
      </c>
      <c r="K372" t="inlineStr">
        <is>
          <t>https://eng.dgbas.gov.tw</t>
        </is>
      </c>
      <c r="L372" t="inlineStr">
        <is>
          <t>DGBAS: Age dependency ratio (% of working-age population), inverted as social vitality proxy</t>
        </is>
      </c>
      <c r="M372" t="inlineStr">
        <is>
          <t>2023-12-31</t>
        </is>
      </c>
      <c r="N372" t="inlineStr">
        <is>
          <t>manual_seed=dgbas; proxy=inverse_dependency_ratio_social_vitality; year=2023; country=Taiwan</t>
        </is>
      </c>
    </row>
    <row r="373">
      <c r="A373" t="inlineStr">
        <is>
          <t>tw-taipei</t>
        </is>
      </c>
      <c r="B373" t="inlineStr">
        <is>
          <t>Taipei</t>
        </is>
      </c>
      <c r="C373" t="inlineStr">
        <is>
          <t>Taiwan</t>
        </is>
      </c>
      <c r="D373" t="inlineStr">
        <is>
          <t>East Asia</t>
        </is>
      </c>
      <c r="E373" t="inlineStr">
        <is>
          <t>birth_rate_optimism_raw</t>
        </is>
      </c>
      <c r="F373" t="inlineStr">
        <is>
          <t>Birth rate and societal optimism raw</t>
        </is>
      </c>
      <c r="G373" t="inlineStr">
        <is>
          <t>community</t>
        </is>
      </c>
      <c r="H373" t="inlineStr">
        <is>
          <t>yes</t>
        </is>
      </c>
      <c r="I373" t="inlineStr">
        <is>
          <t>0.87</t>
        </is>
      </c>
      <c r="J373" t="inlineStr">
        <is>
          <t>world_bank</t>
        </is>
      </c>
      <c r="K373" t="inlineStr">
        <is>
          <t>https://data.worldbank.org/indicator/SP.DYN.TFRT.IN</t>
        </is>
      </c>
      <c r="L373" t="inlineStr">
        <is>
          <t>World Bank Total Fertility Rate 2023</t>
        </is>
      </c>
      <c r="M373" t="inlineStr">
        <is>
          <t>2024-01-01</t>
        </is>
      </c>
      <c r="N373" t="inlineStr"/>
    </row>
    <row r="374">
      <c r="A374" t="inlineStr">
        <is>
          <t>tw-taipei</t>
        </is>
      </c>
      <c r="B374" t="inlineStr">
        <is>
          <t>Taipei</t>
        </is>
      </c>
      <c r="C374" t="inlineStr">
        <is>
          <t>Taiwan</t>
        </is>
      </c>
      <c r="D374" t="inlineStr">
        <is>
          <t>East Asia</t>
        </is>
      </c>
      <c r="E374" t="inlineStr">
        <is>
          <t>entrepreneurial_dynamism_raw</t>
        </is>
      </c>
      <c r="F374" t="inlineStr">
        <is>
          <t>Entrepreneurial dynamism raw</t>
        </is>
      </c>
      <c r="G374" t="inlineStr">
        <is>
          <t>creative</t>
        </is>
      </c>
      <c r="H374" t="inlineStr">
        <is>
          <t>yes</t>
        </is>
      </c>
      <c r="I374" t="inlineStr">
        <is>
          <t>7.5</t>
        </is>
      </c>
      <c r="J374" t="inlineStr">
        <is>
          <t>city_official_portal</t>
        </is>
      </c>
      <c r="K374" t="inlineStr">
        <is>
          <t>https://eng.dgbas.gov.tw</t>
        </is>
      </c>
      <c r="L374" t="inlineStr">
        <is>
          <t>DGBAS/MOEA: New business registrations per 1000 working-age population</t>
        </is>
      </c>
      <c r="M374" t="inlineStr">
        <is>
          <t>2023-12-31</t>
        </is>
      </c>
      <c r="N374" t="inlineStr">
        <is>
          <t>manual_seed=dgbas_moea; indicator=new_business_density; year=2023; country=Taiwan</t>
        </is>
      </c>
    </row>
    <row r="375">
      <c r="A375" t="inlineStr">
        <is>
          <t>tw-taipei</t>
        </is>
      </c>
      <c r="B375" t="inlineStr">
        <is>
          <t>Taipei</t>
        </is>
      </c>
      <c r="C375" t="inlineStr">
        <is>
          <t>Taiwan</t>
        </is>
      </c>
      <c r="D375" t="inlineStr">
        <is>
          <t>East Asia</t>
        </is>
      </c>
      <c r="E375" t="inlineStr">
        <is>
          <t>innovation_research_intensity_raw</t>
        </is>
      </c>
      <c r="F375" t="inlineStr">
        <is>
          <t>Innovation and research raw</t>
        </is>
      </c>
      <c r="G375" t="inlineStr">
        <is>
          <t>creative</t>
        </is>
      </c>
      <c r="H375" t="inlineStr">
        <is>
          <t>yes</t>
        </is>
      </c>
      <c r="I375" t="inlineStr">
        <is>
          <t>3.6</t>
        </is>
      </c>
      <c r="J375" t="inlineStr">
        <is>
          <t>city_official_portal</t>
        </is>
      </c>
      <c r="K375" t="inlineStr">
        <is>
          <t>https://eng.dgbas.gov.tw</t>
        </is>
      </c>
      <c r="L375" t="inlineStr">
        <is>
          <t>DGBAS/MOST: Research and development expenditure (% of GDP)</t>
        </is>
      </c>
      <c r="M375" t="inlineStr">
        <is>
          <t>2023-12-31</t>
        </is>
      </c>
      <c r="N375" t="inlineStr">
        <is>
          <t>manual_seed=dgbas_most; indicator=rd_expenditure_pct_gdp; year=2023; country=Taiwan</t>
        </is>
      </c>
    </row>
    <row r="376">
      <c r="A376" t="inlineStr">
        <is>
          <t>tw-taipei</t>
        </is>
      </c>
      <c r="B376" t="inlineStr">
        <is>
          <t>Taipei</t>
        </is>
      </c>
      <c r="C376" t="inlineStr">
        <is>
          <t>Taiwan</t>
        </is>
      </c>
      <c r="D376" t="inlineStr">
        <is>
          <t>East Asia</t>
        </is>
      </c>
      <c r="E376" t="inlineStr">
        <is>
          <t>investment_signal_raw</t>
        </is>
      </c>
      <c r="F376" t="inlineStr">
        <is>
          <t>Investment signal raw</t>
        </is>
      </c>
      <c r="G376" t="inlineStr">
        <is>
          <t>creative</t>
        </is>
      </c>
      <c r="H376" t="inlineStr">
        <is>
          <t>yes</t>
        </is>
      </c>
      <c r="I376" t="inlineStr">
        <is>
          <t>65.0</t>
        </is>
      </c>
      <c r="J376" t="inlineStr">
        <is>
          <t>city_official_portal</t>
        </is>
      </c>
      <c r="K376" t="inlineStr">
        <is>
          <t>https://eng.dgbas.gov.tw</t>
        </is>
      </c>
      <c r="L376" t="inlineStr">
        <is>
          <t>DGBAS/MOEA: FDI inflow + domestic investment as % GDP</t>
        </is>
      </c>
      <c r="M376" t="inlineStr">
        <is>
          <t>2023-12-31</t>
        </is>
      </c>
      <c r="N376" t="inlineStr">
        <is>
          <t>manual_seed=dgbas_moea; indicator=investment_signal; Taiwan major semiconductor hub</t>
        </is>
      </c>
    </row>
    <row r="377">
      <c r="A377" t="inlineStr">
        <is>
          <t>tw-taipei</t>
        </is>
      </c>
      <c r="B377" t="inlineStr">
        <is>
          <t>Taipei</t>
        </is>
      </c>
      <c r="C377" t="inlineStr">
        <is>
          <t>Taiwan</t>
        </is>
      </c>
      <c r="D377" t="inlineStr">
        <is>
          <t>East Asia</t>
        </is>
      </c>
      <c r="E377" t="inlineStr">
        <is>
          <t>administrative_investment_friction_raw</t>
        </is>
      </c>
      <c r="F377" t="inlineStr">
        <is>
          <t>Administrative investment friction raw</t>
        </is>
      </c>
      <c r="G377" t="inlineStr">
        <is>
          <t>creative</t>
        </is>
      </c>
      <c r="H377" t="inlineStr">
        <is>
          <t>yes</t>
        </is>
      </c>
      <c r="I377" t="inlineStr">
        <is>
          <t>9.0</t>
        </is>
      </c>
      <c r="J377" t="inlineStr">
        <is>
          <t>city_official_portal</t>
        </is>
      </c>
      <c r="K377" t="inlineStr">
        <is>
          <t>https://eng.dgbas.gov.tw</t>
        </is>
      </c>
      <c r="L377" t="inlineStr">
        <is>
          <t>NDC/DGBAS: Days to start a business (proxy for admin friction)</t>
        </is>
      </c>
      <c r="M377" t="inlineStr">
        <is>
          <t>2023-12-31</t>
        </is>
      </c>
      <c r="N377" t="inlineStr">
        <is>
          <t>manual_seed=ndc; indicator=days_to_start_business; year=2023; country=Taiwan; Taiwan ranks ~15 globally in ease of doing business</t>
        </is>
      </c>
    </row>
    <row r="378">
      <c r="A378" t="inlineStr">
        <is>
          <t>tw-taipei</t>
        </is>
      </c>
      <c r="B378" t="inlineStr">
        <is>
          <t>Taipei</t>
        </is>
      </c>
      <c r="C378" t="inlineStr">
        <is>
          <t>Taiwan</t>
        </is>
      </c>
      <c r="D378" t="inlineStr">
        <is>
          <t>East Asia</t>
        </is>
      </c>
      <c r="E378" t="inlineStr">
        <is>
          <t>visitor_flow_context_raw</t>
        </is>
      </c>
      <c r="F378" t="inlineStr">
        <is>
          <t>Visitor flow context raw</t>
        </is>
      </c>
      <c r="G378" t="inlineStr">
        <is>
          <t>creative</t>
        </is>
      </c>
      <c r="H378" t="inlineStr">
        <is>
          <t>no</t>
        </is>
      </c>
      <c r="I378" t="inlineStr"/>
      <c r="J378" t="inlineStr"/>
      <c r="K378" t="inlineStr"/>
      <c r="L378" t="inlineStr"/>
      <c r="M378" t="inlineStr"/>
      <c r="N378" t="inlineStr"/>
    </row>
    <row r="379">
      <c r="A379" t="inlineStr">
        <is>
          <t>kr-busan</t>
        </is>
      </c>
      <c r="B379" t="inlineStr">
        <is>
          <t>Busan</t>
        </is>
      </c>
      <c r="C379" t="inlineStr">
        <is>
          <t>South Korea</t>
        </is>
      </c>
      <c r="D379" t="inlineStr">
        <is>
          <t>East Asia</t>
        </is>
      </c>
      <c r="E379" t="inlineStr">
        <is>
          <t>gross_income</t>
        </is>
      </c>
      <c r="F379" t="inlineStr">
        <is>
          <t>Gross income</t>
        </is>
      </c>
      <c r="G379" t="inlineStr">
        <is>
          <t>pressure</t>
        </is>
      </c>
      <c r="H379" t="inlineStr">
        <is>
          <t>yes</t>
        </is>
      </c>
      <c r="I379" t="inlineStr">
        <is>
          <t>4644.75</t>
        </is>
      </c>
      <c r="J379" t="inlineStr">
        <is>
          <t>world_bank_col_estimate</t>
        </is>
      </c>
      <c r="K379" t="inlineStr">
        <is>
          <t>https://api.worldbank.org/v2/country/KOR/indicator/NY.GNP.PCAP.PP.CD?format=json&amp;mrv=10</t>
        </is>
      </c>
      <c r="L379" t="inlineStr">
        <is>
          <t>World Bank WDI: GNI per capita PPP (monthly USD)</t>
        </is>
      </c>
      <c r="M379" t="inlineStr">
        <is>
          <t>2024-12-31</t>
        </is>
      </c>
      <c r="N379" t="inlineStr">
        <is>
          <t>auto_ingest=world_bank_col_estimate; gni_annual=61930.0; year=2024; country_proxy=South Korea; cohort=East Asia; city_income_mult=0.9</t>
        </is>
      </c>
    </row>
    <row r="380">
      <c r="A380" t="inlineStr">
        <is>
          <t>kr-busan</t>
        </is>
      </c>
      <c r="B380" t="inlineStr">
        <is>
          <t>Busan</t>
        </is>
      </c>
      <c r="C380" t="inlineStr">
        <is>
          <t>South Korea</t>
        </is>
      </c>
      <c r="D380" t="inlineStr">
        <is>
          <t>East Asia</t>
        </is>
      </c>
      <c r="E380" t="inlineStr">
        <is>
          <t>di_ppp_raw</t>
        </is>
      </c>
      <c r="F380" t="inlineStr">
        <is>
          <t>Disposable income PPP (Raw)</t>
        </is>
      </c>
      <c r="G380" t="inlineStr">
        <is>
          <t>pressure</t>
        </is>
      </c>
      <c r="H380" t="inlineStr">
        <is>
          <t>yes</t>
        </is>
      </c>
      <c r="I380" t="inlineStr"/>
      <c r="J380" t="inlineStr"/>
      <c r="K380" t="inlineStr"/>
      <c r="L380" t="inlineStr"/>
      <c r="M380" t="inlineStr"/>
      <c r="N380" t="inlineStr"/>
    </row>
    <row r="381">
      <c r="A381" t="inlineStr">
        <is>
          <t>kr-busan</t>
        </is>
      </c>
      <c r="B381" t="inlineStr">
        <is>
          <t>Busan</t>
        </is>
      </c>
      <c r="C381" t="inlineStr">
        <is>
          <t>South Korea</t>
        </is>
      </c>
      <c r="D381" t="inlineStr">
        <is>
          <t>East Asia</t>
        </is>
      </c>
      <c r="E381" t="inlineStr">
        <is>
          <t>rent</t>
        </is>
      </c>
      <c r="F381" t="inlineStr">
        <is>
          <t>Rent</t>
        </is>
      </c>
      <c r="G381" t="inlineStr">
        <is>
          <t>pressure</t>
        </is>
      </c>
      <c r="H381" t="inlineStr">
        <is>
          <t>yes</t>
        </is>
      </c>
      <c r="I381" t="inlineStr">
        <is>
          <t>987.01</t>
        </is>
      </c>
      <c r="J381" t="inlineStr">
        <is>
          <t>world_bank_col_estimate</t>
        </is>
      </c>
      <c r="K381" t="inlineStr">
        <is>
          <t>https://api.worldbank.org/v2/country/KOR/indicator/NY.GNP.PCAP.PP.CD?format=json&amp;mrv=10</t>
        </is>
      </c>
      <c r="L381" t="inlineStr">
        <is>
          <t>World Bank GNI + regional expenditure ratio estimate</t>
        </is>
      </c>
      <c r="M381" t="inlineStr">
        <is>
          <t>2024-12-31</t>
        </is>
      </c>
      <c r="N381" t="inlineStr">
        <is>
          <t>auto_ingest=world_bank_col_estimate; gni_annual=61930.0; year=2024; country_proxy=South Korea; cohort=East Asia; city_cost_mult=0.85</t>
        </is>
      </c>
    </row>
    <row r="382">
      <c r="A382" t="inlineStr">
        <is>
          <t>kr-busan</t>
        </is>
      </c>
      <c r="B382" t="inlineStr">
        <is>
          <t>Busan</t>
        </is>
      </c>
      <c r="C382" t="inlineStr">
        <is>
          <t>South Korea</t>
        </is>
      </c>
      <c r="D382" t="inlineStr">
        <is>
          <t>East Asia</t>
        </is>
      </c>
      <c r="E382" t="inlineStr">
        <is>
          <t>utilities</t>
        </is>
      </c>
      <c r="F382" t="inlineStr">
        <is>
          <t>Utilities</t>
        </is>
      </c>
      <c r="G382" t="inlineStr">
        <is>
          <t>pressure</t>
        </is>
      </c>
      <c r="H382" t="inlineStr">
        <is>
          <t>yes</t>
        </is>
      </c>
      <c r="I382" t="inlineStr">
        <is>
          <t>236.88</t>
        </is>
      </c>
      <c r="J382" t="inlineStr">
        <is>
          <t>world_bank_col_estimate</t>
        </is>
      </c>
      <c r="K382" t="inlineStr">
        <is>
          <t>https://api.worldbank.org/v2/country/KOR/indicator/NY.GNP.PCAP.PP.CD?format=json&amp;mrv=10</t>
        </is>
      </c>
      <c r="L382" t="inlineStr">
        <is>
          <t>World Bank GNI + regional expenditure ratio estimate</t>
        </is>
      </c>
      <c r="M382" t="inlineStr">
        <is>
          <t>2024-12-31</t>
        </is>
      </c>
      <c r="N382" t="inlineStr">
        <is>
          <t>auto_ingest=world_bank_col_estimate; gni_annual=61930.0; year=2024; country_proxy=South Korea; cohort=East Asia; city_cost_mult=0.85</t>
        </is>
      </c>
    </row>
    <row r="383">
      <c r="A383" t="inlineStr">
        <is>
          <t>kr-busan</t>
        </is>
      </c>
      <c r="B383" t="inlineStr">
        <is>
          <t>Busan</t>
        </is>
      </c>
      <c r="C383" t="inlineStr">
        <is>
          <t>South Korea</t>
        </is>
      </c>
      <c r="D383" t="inlineStr">
        <is>
          <t>East Asia</t>
        </is>
      </c>
      <c r="E383" t="inlineStr">
        <is>
          <t>transit_cost</t>
        </is>
      </c>
      <c r="F383" t="inlineStr">
        <is>
          <t>Transit cost</t>
        </is>
      </c>
      <c r="G383" t="inlineStr">
        <is>
          <t>pressure</t>
        </is>
      </c>
      <c r="H383" t="inlineStr">
        <is>
          <t>yes</t>
        </is>
      </c>
      <c r="I383" t="inlineStr">
        <is>
          <t>157.92</t>
        </is>
      </c>
      <c r="J383" t="inlineStr">
        <is>
          <t>world_bank_col_estimate</t>
        </is>
      </c>
      <c r="K383" t="inlineStr">
        <is>
          <t>https://api.worldbank.org/v2/country/KOR/indicator/NY.GNP.PCAP.PP.CD?format=json&amp;mrv=10</t>
        </is>
      </c>
      <c r="L383" t="inlineStr">
        <is>
          <t>World Bank GNI + regional expenditure ratio estimate</t>
        </is>
      </c>
      <c r="M383" t="inlineStr">
        <is>
          <t>2024-12-31</t>
        </is>
      </c>
      <c r="N383" t="inlineStr">
        <is>
          <t>auto_ingest=world_bank_col_estimate; gni_annual=61930.0; year=2024; country_proxy=South Korea; cohort=East Asia; city_cost_mult=0.85</t>
        </is>
      </c>
    </row>
    <row r="384">
      <c r="A384" t="inlineStr">
        <is>
          <t>kr-busan</t>
        </is>
      </c>
      <c r="B384" t="inlineStr">
        <is>
          <t>Busan</t>
        </is>
      </c>
      <c r="C384" t="inlineStr">
        <is>
          <t>South Korea</t>
        </is>
      </c>
      <c r="D384" t="inlineStr">
        <is>
          <t>East Asia</t>
        </is>
      </c>
      <c r="E384" t="inlineStr">
        <is>
          <t>internet_cost</t>
        </is>
      </c>
      <c r="F384" t="inlineStr">
        <is>
          <t>Internet cost</t>
        </is>
      </c>
      <c r="G384" t="inlineStr">
        <is>
          <t>pressure</t>
        </is>
      </c>
      <c r="H384" t="inlineStr">
        <is>
          <t>yes</t>
        </is>
      </c>
      <c r="I384" t="inlineStr">
        <is>
          <t>59.22</t>
        </is>
      </c>
      <c r="J384" t="inlineStr">
        <is>
          <t>world_bank_col_estimate</t>
        </is>
      </c>
      <c r="K384" t="inlineStr">
        <is>
          <t>https://api.worldbank.org/v2/country/KOR/indicator/NY.GNP.PCAP.PP.CD?format=json&amp;mrv=10</t>
        </is>
      </c>
      <c r="L384" t="inlineStr">
        <is>
          <t>World Bank GNI + regional expenditure ratio estimate</t>
        </is>
      </c>
      <c r="M384" t="inlineStr">
        <is>
          <t>2024-12-31</t>
        </is>
      </c>
      <c r="N384" t="inlineStr">
        <is>
          <t>auto_ingest=world_bank_col_estimate; gni_annual=61930.0; year=2024; country_proxy=South Korea; cohort=East Asia; city_cost_mult=0.85</t>
        </is>
      </c>
    </row>
    <row r="385">
      <c r="A385" t="inlineStr">
        <is>
          <t>kr-busan</t>
        </is>
      </c>
      <c r="B385" t="inlineStr">
        <is>
          <t>Busan</t>
        </is>
      </c>
      <c r="C385" t="inlineStr">
        <is>
          <t>South Korea</t>
        </is>
      </c>
      <c r="D385" t="inlineStr">
        <is>
          <t>East Asia</t>
        </is>
      </c>
      <c r="E385" t="inlineStr">
        <is>
          <t>food_cost</t>
        </is>
      </c>
      <c r="F385" t="inlineStr">
        <is>
          <t>Food cost</t>
        </is>
      </c>
      <c r="G385" t="inlineStr">
        <is>
          <t>pressure</t>
        </is>
      </c>
      <c r="H385" t="inlineStr">
        <is>
          <t>yes</t>
        </is>
      </c>
      <c r="I385" t="inlineStr">
        <is>
          <t>789.61</t>
        </is>
      </c>
      <c r="J385" t="inlineStr">
        <is>
          <t>world_bank_col_estimate</t>
        </is>
      </c>
      <c r="K385" t="inlineStr">
        <is>
          <t>https://api.worldbank.org/v2/country/KOR/indicator/NY.GNP.PCAP.PP.CD?format=json&amp;mrv=10</t>
        </is>
      </c>
      <c r="L385" t="inlineStr">
        <is>
          <t>World Bank GNI + regional expenditure ratio estimate</t>
        </is>
      </c>
      <c r="M385" t="inlineStr">
        <is>
          <t>2024-12-31</t>
        </is>
      </c>
      <c r="N385" t="inlineStr">
        <is>
          <t>auto_ingest=world_bank_col_estimate; gni_annual=61930.0; year=2024; country_proxy=South Korea; cohort=East Asia; city_cost_mult=0.85</t>
        </is>
      </c>
    </row>
    <row r="386">
      <c r="A386" t="inlineStr">
        <is>
          <t>kr-busan</t>
        </is>
      </c>
      <c r="B386" t="inlineStr">
        <is>
          <t>Busan</t>
        </is>
      </c>
      <c r="C386" t="inlineStr">
        <is>
          <t>South Korea</t>
        </is>
      </c>
      <c r="D386" t="inlineStr">
        <is>
          <t>East Asia</t>
        </is>
      </c>
      <c r="E386" t="inlineStr">
        <is>
          <t>housing_burden_raw</t>
        </is>
      </c>
      <c r="F386" t="inlineStr">
        <is>
          <t>Housing burden raw</t>
        </is>
      </c>
      <c r="G386" t="inlineStr">
        <is>
          <t>pressure</t>
        </is>
      </c>
      <c r="H386" t="inlineStr">
        <is>
          <t>yes</t>
        </is>
      </c>
      <c r="I386" t="inlineStr">
        <is>
          <t>21.25</t>
        </is>
      </c>
      <c r="J386" t="inlineStr">
        <is>
          <t>derived</t>
        </is>
      </c>
      <c r="K386" t="inlineStr">
        <is>
          <t>https://data.worldbank.org/indicator/NY.GNP.PCAP.PP.CD</t>
        </is>
      </c>
      <c r="L386" t="inlineStr">
        <is>
          <t>Computed from city_inputs + country_context</t>
        </is>
      </c>
      <c r="M386" t="inlineStr">
        <is>
          <t>2024-01-01</t>
        </is>
      </c>
      <c r="N386" t="inlineStr">
        <is>
          <t>derived=rent/gross_income*100</t>
        </is>
      </c>
    </row>
    <row r="387">
      <c r="A387" t="inlineStr">
        <is>
          <t>kr-busan</t>
        </is>
      </c>
      <c r="B387" t="inlineStr">
        <is>
          <t>Busan</t>
        </is>
      </c>
      <c r="C387" t="inlineStr">
        <is>
          <t>South Korea</t>
        </is>
      </c>
      <c r="D387" t="inlineStr">
        <is>
          <t>East Asia</t>
        </is>
      </c>
      <c r="E387" t="inlineStr">
        <is>
          <t>household_debt_burden_raw</t>
        </is>
      </c>
      <c r="F387" t="inlineStr">
        <is>
          <t>Household debt burden raw</t>
        </is>
      </c>
      <c r="G387" t="inlineStr">
        <is>
          <t>pressure</t>
        </is>
      </c>
      <c r="H387" t="inlineStr">
        <is>
          <t>yes</t>
        </is>
      </c>
      <c r="I387" t="inlineStr">
        <is>
          <t>160.3472</t>
        </is>
      </c>
      <c r="J387" t="inlineStr">
        <is>
          <t>derived</t>
        </is>
      </c>
      <c r="K387" t="inlineStr">
        <is>
          <t>https://data.worldbank.org/indicator/NY.GNP.PCAP.PP.CD</t>
        </is>
      </c>
      <c r="L387" t="inlineStr">
        <is>
          <t>Computed from city_inputs + country_context</t>
        </is>
      </c>
      <c r="M387" t="inlineStr">
        <is>
          <t>2024-01-01</t>
        </is>
      </c>
      <c r="N387" t="inlineStr">
        <is>
          <t>derived=country_context.household_debt_proxy; country=South Korea</t>
        </is>
      </c>
    </row>
    <row r="388">
      <c r="A388" t="inlineStr">
        <is>
          <t>kr-busan</t>
        </is>
      </c>
      <c r="B388" t="inlineStr">
        <is>
          <t>Busan</t>
        </is>
      </c>
      <c r="C388" t="inlineStr">
        <is>
          <t>South Korea</t>
        </is>
      </c>
      <c r="D388" t="inlineStr">
        <is>
          <t>East Asia</t>
        </is>
      </c>
      <c r="E388" t="inlineStr">
        <is>
          <t>working_time_pressure_raw</t>
        </is>
      </c>
      <c r="F388" t="inlineStr">
        <is>
          <t>Working time pressure raw</t>
        </is>
      </c>
      <c r="G388" t="inlineStr">
        <is>
          <t>pressure</t>
        </is>
      </c>
      <c r="H388" t="inlineStr">
        <is>
          <t>yes</t>
        </is>
      </c>
      <c r="I388" t="inlineStr">
        <is>
          <t>38.49</t>
        </is>
      </c>
      <c r="J388" t="inlineStr">
        <is>
          <t>ilo_ilostat</t>
        </is>
      </c>
      <c r="K388" t="inlineStr">
        <is>
          <t>https://ilostat.ilo.org/data/indicator/?id=HOW_TEMP_SEX_ECO_NB_A&amp;ref_area=KOR</t>
        </is>
      </c>
      <c r="L388" t="inlineStr">
        <is>
          <t>ILO ILOSTAT: Mean weekly hours actually worked per employed person</t>
        </is>
      </c>
      <c r="M388" t="inlineStr">
        <is>
          <t>2025-12-31</t>
        </is>
      </c>
      <c r="N388" t="inlineStr">
        <is>
          <t>auto_ingest=ilo_working_hours; indicator=HOW_TEMP_SEX_ECO_NB_A; year=2025; hours=38.49; country_proxy=South Korea</t>
        </is>
      </c>
    </row>
    <row r="389">
      <c r="A389" t="inlineStr">
        <is>
          <t>kr-busan</t>
        </is>
      </c>
      <c r="B389" t="inlineStr">
        <is>
          <t>Busan</t>
        </is>
      </c>
      <c r="C389" t="inlineStr">
        <is>
          <t>South Korea</t>
        </is>
      </c>
      <c r="D389" t="inlineStr">
        <is>
          <t>East Asia</t>
        </is>
      </c>
      <c r="E389" t="inlineStr">
        <is>
          <t>suicide_mental_strain_raw</t>
        </is>
      </c>
      <c r="F389" t="inlineStr">
        <is>
          <t>Suicide or mental strain raw</t>
        </is>
      </c>
      <c r="G389" t="inlineStr">
        <is>
          <t>pressure</t>
        </is>
      </c>
      <c r="H389" t="inlineStr">
        <is>
          <t>yes</t>
        </is>
      </c>
      <c r="I389" t="inlineStr">
        <is>
          <t>27.53</t>
        </is>
      </c>
      <c r="J389" t="inlineStr">
        <is>
          <t>who_gho</t>
        </is>
      </c>
      <c r="K389" t="inlineStr">
        <is>
          <t>https://www.who.int/data/gho/data/indicators/indicator-details/GHO/SDGSUICIDE</t>
        </is>
      </c>
      <c r="L389" t="inlineStr">
        <is>
          <t>WHO GHO: Age-standardized suicide rate (per 100,000 population)</t>
        </is>
      </c>
      <c r="M389" t="inlineStr">
        <is>
          <t>2021-12-31</t>
        </is>
      </c>
      <c r="N389" t="inlineStr">
        <is>
          <t>auto_ingest=who_gho; indicator=SDGSUICIDE; year=2021; country_proxy=South Korea</t>
        </is>
      </c>
    </row>
    <row r="390">
      <c r="A390" t="inlineStr">
        <is>
          <t>kr-busan</t>
        </is>
      </c>
      <c r="B390" t="inlineStr">
        <is>
          <t>Busan</t>
        </is>
      </c>
      <c r="C390" t="inlineStr">
        <is>
          <t>South Korea</t>
        </is>
      </c>
      <c r="D390" t="inlineStr">
        <is>
          <t>East Asia</t>
        </is>
      </c>
      <c r="E390" t="inlineStr">
        <is>
          <t>personal_safety_raw</t>
        </is>
      </c>
      <c r="F390" t="inlineStr">
        <is>
          <t>Personal safety raw</t>
        </is>
      </c>
      <c r="G390" t="inlineStr">
        <is>
          <t>viability</t>
        </is>
      </c>
      <c r="H390" t="inlineStr">
        <is>
          <t>yes</t>
        </is>
      </c>
      <c r="I390" t="inlineStr">
        <is>
          <t>0.48</t>
        </is>
      </c>
      <c r="J390" t="inlineStr">
        <is>
          <t>world_bank</t>
        </is>
      </c>
      <c r="K390" t="inlineStr">
        <is>
          <t>https://api.worldbank.org/v2/country/KOR/indicator/VC.IHR.PSRC.P5?format=json&amp;mrv=10</t>
        </is>
      </c>
      <c r="L390" t="inlineStr">
        <is>
          <t>UNODC via World Bank WDI: Intentional homicides (per 100,000 people)</t>
        </is>
      </c>
      <c r="M390" t="inlineStr">
        <is>
          <t>2023-12-31</t>
        </is>
      </c>
      <c r="N390" t="inlineStr">
        <is>
          <t>auto_ingest=unodc_safety; indicator=VC.IHR.PSRC.P5; year=2023; country_proxy=South Korea</t>
        </is>
      </c>
    </row>
    <row r="391">
      <c r="A391" t="inlineStr">
        <is>
          <t>kr-busan</t>
        </is>
      </c>
      <c r="B391" t="inlineStr">
        <is>
          <t>Busan</t>
        </is>
      </c>
      <c r="C391" t="inlineStr">
        <is>
          <t>South Korea</t>
        </is>
      </c>
      <c r="D391" t="inlineStr">
        <is>
          <t>East Asia</t>
        </is>
      </c>
      <c r="E391" t="inlineStr">
        <is>
          <t>transit_access_commute_raw</t>
        </is>
      </c>
      <c r="F391" t="inlineStr">
        <is>
          <t>Transit access and commute raw</t>
        </is>
      </c>
      <c r="G391" t="inlineStr">
        <is>
          <t>viability</t>
        </is>
      </c>
      <c r="H391" t="inlineStr">
        <is>
          <t>yes</t>
        </is>
      </c>
      <c r="I391" t="inlineStr"/>
      <c r="J391" t="inlineStr"/>
      <c r="K391" t="inlineStr"/>
      <c r="L391" t="inlineStr"/>
      <c r="M391" t="inlineStr"/>
      <c r="N391" t="inlineStr"/>
    </row>
    <row r="392">
      <c r="A392" t="inlineStr">
        <is>
          <t>kr-busan</t>
        </is>
      </c>
      <c r="B392" t="inlineStr">
        <is>
          <t>Busan</t>
        </is>
      </c>
      <c r="C392" t="inlineStr">
        <is>
          <t>South Korea</t>
        </is>
      </c>
      <c r="D392" t="inlineStr">
        <is>
          <t>East Asia</t>
        </is>
      </c>
      <c r="E392" t="inlineStr">
        <is>
          <t>clean_air_raw</t>
        </is>
      </c>
      <c r="F392" t="inlineStr">
        <is>
          <t>Clean air raw</t>
        </is>
      </c>
      <c r="G392" t="inlineStr">
        <is>
          <t>viability</t>
        </is>
      </c>
      <c r="H392" t="inlineStr">
        <is>
          <t>yes</t>
        </is>
      </c>
      <c r="I392" t="inlineStr"/>
      <c r="J392" t="inlineStr"/>
      <c r="K392" t="inlineStr"/>
      <c r="L392" t="inlineStr"/>
      <c r="M392" t="inlineStr"/>
      <c r="N392" t="inlineStr"/>
    </row>
    <row r="393">
      <c r="A393" t="inlineStr">
        <is>
          <t>kr-busan</t>
        </is>
      </c>
      <c r="B393" t="inlineStr">
        <is>
          <t>Busan</t>
        </is>
      </c>
      <c r="C393" t="inlineStr">
        <is>
          <t>South Korea</t>
        </is>
      </c>
      <c r="D393" t="inlineStr">
        <is>
          <t>East Asia</t>
        </is>
      </c>
      <c r="E393" t="inlineStr">
        <is>
          <t>water_sanitation_utility_raw</t>
        </is>
      </c>
      <c r="F393" t="inlineStr">
        <is>
          <t>Water, sanitation, and utility raw</t>
        </is>
      </c>
      <c r="G393" t="inlineStr">
        <is>
          <t>viability</t>
        </is>
      </c>
      <c r="H393" t="inlineStr">
        <is>
          <t>yes</t>
        </is>
      </c>
      <c r="I393" t="inlineStr">
        <is>
          <t>99.28</t>
        </is>
      </c>
      <c r="J393" t="inlineStr">
        <is>
          <t>world_bank</t>
        </is>
      </c>
      <c r="K393" t="inlineStr">
        <is>
          <t>https://api.worldbank.org/v2/country/KOR/indicator/SH.H2O.SMDW.ZS?format=json&amp;mrv=10</t>
        </is>
      </c>
      <c r="L393" t="inlineStr">
        <is>
          <t>World Bank WDI: People using safely managed drinking water services (% of population)</t>
        </is>
      </c>
      <c r="M393" t="inlineStr">
        <is>
          <t>2024-12-31</t>
        </is>
      </c>
      <c r="N393" t="inlineStr">
        <is>
          <t>auto_ingest=world_bank_proxy; indicator=SH.H2O.SMDW.ZS; year=2024; country_proxy=South Korea</t>
        </is>
      </c>
    </row>
    <row r="394">
      <c r="A394" t="inlineStr">
        <is>
          <t>kr-busan</t>
        </is>
      </c>
      <c r="B394" t="inlineStr">
        <is>
          <t>Busan</t>
        </is>
      </c>
      <c r="C394" t="inlineStr">
        <is>
          <t>South Korea</t>
        </is>
      </c>
      <c r="D394" t="inlineStr">
        <is>
          <t>East Asia</t>
        </is>
      </c>
      <c r="E394" t="inlineStr">
        <is>
          <t>digital_infrastructure_raw</t>
        </is>
      </c>
      <c r="F394" t="inlineStr">
        <is>
          <t>Digital infrastructure raw</t>
        </is>
      </c>
      <c r="G394" t="inlineStr">
        <is>
          <t>viability</t>
        </is>
      </c>
      <c r="H394" t="inlineStr">
        <is>
          <t>yes</t>
        </is>
      </c>
      <c r="I394" t="inlineStr">
        <is>
          <t>46.57</t>
        </is>
      </c>
      <c r="J394" t="inlineStr">
        <is>
          <t>world_bank</t>
        </is>
      </c>
      <c r="K394" t="inlineStr">
        <is>
          <t>https://api.worldbank.org/v2/country/KOR/indicator/IT.NET.BBND.P2?format=json&amp;mrv=10</t>
        </is>
      </c>
      <c r="L394" t="inlineStr">
        <is>
          <t>World Bank WDI: Fixed broadband subscriptions (per 100 people)</t>
        </is>
      </c>
      <c r="M394" t="inlineStr">
        <is>
          <t>2023-12-31</t>
        </is>
      </c>
      <c r="N394" t="inlineStr">
        <is>
          <t>auto_ingest=world_bank_proxy; indicator=IT.NET.BBND.P2; year=2023; country_proxy=South Korea</t>
        </is>
      </c>
    </row>
    <row r="395">
      <c r="A395" t="inlineStr">
        <is>
          <t>kr-busan</t>
        </is>
      </c>
      <c r="B395" t="inlineStr">
        <is>
          <t>Busan</t>
        </is>
      </c>
      <c r="C395" t="inlineStr">
        <is>
          <t>South Korea</t>
        </is>
      </c>
      <c r="D395" t="inlineStr">
        <is>
          <t>East Asia</t>
        </is>
      </c>
      <c r="E395" t="inlineStr">
        <is>
          <t>climate_sunlight_livability_raw</t>
        </is>
      </c>
      <c r="F395" t="inlineStr">
        <is>
          <t>Climate and sunlight livability raw</t>
        </is>
      </c>
      <c r="G395" t="inlineStr">
        <is>
          <t>viability</t>
        </is>
      </c>
      <c r="H395" t="inlineStr">
        <is>
          <t>yes</t>
        </is>
      </c>
      <c r="I395" t="inlineStr">
        <is>
          <t>64</t>
        </is>
      </c>
      <c r="J395" t="inlineStr">
        <is>
          <t>wmo_natl_met</t>
        </is>
      </c>
      <c r="K395" t="inlineStr">
        <is>
          <t>https://worldweather.wmo.int</t>
        </is>
      </c>
      <c r="L395" t="inlineStr">
        <is>
          <t>WMO/National Met: Climate livability composite</t>
        </is>
      </c>
      <c r="M395" t="inlineStr">
        <is>
          <t>2024-12-31</t>
        </is>
      </c>
      <c r="N395" t="inlineStr">
        <is>
          <t>auto_seed=climate_composite; 2200 sun hrs, 15C mean, milder than Seoul</t>
        </is>
      </c>
    </row>
    <row r="396">
      <c r="A396" t="inlineStr">
        <is>
          <t>kr-busan</t>
        </is>
      </c>
      <c r="B396" t="inlineStr">
        <is>
          <t>Busan</t>
        </is>
      </c>
      <c r="C396" t="inlineStr">
        <is>
          <t>South Korea</t>
        </is>
      </c>
      <c r="D396" t="inlineStr">
        <is>
          <t>East Asia</t>
        </is>
      </c>
      <c r="E396" t="inlineStr">
        <is>
          <t>healthcare_quality_raw</t>
        </is>
      </c>
      <c r="F396" t="inlineStr">
        <is>
          <t>Healthcare quality raw</t>
        </is>
      </c>
      <c r="G396" t="inlineStr">
        <is>
          <t>capability</t>
        </is>
      </c>
      <c r="H396" t="inlineStr">
        <is>
          <t>yes</t>
        </is>
      </c>
      <c r="I396" t="inlineStr">
        <is>
          <t>88.0</t>
        </is>
      </c>
      <c r="J396" t="inlineStr">
        <is>
          <t>who_gho</t>
        </is>
      </c>
      <c r="K396" t="inlineStr">
        <is>
          <t>https://www.who.int/data/gho/data/indicators/indicator-details/GHO/UHC_INDEX_REPORTED</t>
        </is>
      </c>
      <c r="L396" t="inlineStr">
        <is>
          <t>WHO GHO: UHC Service Coverage Index</t>
        </is>
      </c>
      <c r="M396" t="inlineStr">
        <is>
          <t>2023-12-31</t>
        </is>
      </c>
      <c r="N396" t="inlineStr">
        <is>
          <t>auto_ingest=who_gho; indicator=UHC_INDEX_REPORTED; year=2023; country_proxy=South Korea</t>
        </is>
      </c>
    </row>
    <row r="397">
      <c r="A397" t="inlineStr">
        <is>
          <t>kr-busan</t>
        </is>
      </c>
      <c r="B397" t="inlineStr">
        <is>
          <t>Busan</t>
        </is>
      </c>
      <c r="C397" t="inlineStr">
        <is>
          <t>South Korea</t>
        </is>
      </c>
      <c r="D397" t="inlineStr">
        <is>
          <t>East Asia</t>
        </is>
      </c>
      <c r="E397" t="inlineStr">
        <is>
          <t>education_quality_raw</t>
        </is>
      </c>
      <c r="F397" t="inlineStr">
        <is>
          <t>Education quality raw</t>
        </is>
      </c>
      <c r="G397" t="inlineStr">
        <is>
          <t>capability</t>
        </is>
      </c>
      <c r="H397" t="inlineStr">
        <is>
          <t>yes</t>
        </is>
      </c>
      <c r="I397" t="inlineStr">
        <is>
          <t>106.71</t>
        </is>
      </c>
      <c r="J397" t="inlineStr">
        <is>
          <t>world_bank</t>
        </is>
      </c>
      <c r="K397" t="inlineStr">
        <is>
          <t>https://api.worldbank.org/v2/country/KOR/indicator/SE.TER.ENRR?format=json&amp;mrv=10</t>
        </is>
      </c>
      <c r="L397" t="inlineStr">
        <is>
          <t>World Bank WDI: School enrollment, tertiary (% gross)</t>
        </is>
      </c>
      <c r="M397" t="inlineStr">
        <is>
          <t>2023-12-31</t>
        </is>
      </c>
      <c r="N397" t="inlineStr">
        <is>
          <t>auto_ingest=world_bank_proxy; indicator=SE.TER.ENRR; year=2023; country_proxy=South Korea</t>
        </is>
      </c>
    </row>
    <row r="398">
      <c r="A398" t="inlineStr">
        <is>
          <t>kr-busan</t>
        </is>
      </c>
      <c r="B398" t="inlineStr">
        <is>
          <t>Busan</t>
        </is>
      </c>
      <c r="C398" t="inlineStr">
        <is>
          <t>South Korea</t>
        </is>
      </c>
      <c r="D398" t="inlineStr">
        <is>
          <t>East Asia</t>
        </is>
      </c>
      <c r="E398" t="inlineStr">
        <is>
          <t>equal_opportunity_raw</t>
        </is>
      </c>
      <c r="F398" t="inlineStr">
        <is>
          <t>Equal opportunity raw</t>
        </is>
      </c>
      <c r="G398" t="inlineStr">
        <is>
          <t>capability</t>
        </is>
      </c>
      <c r="H398" t="inlineStr">
        <is>
          <t>yes</t>
        </is>
      </c>
      <c r="I398" t="inlineStr">
        <is>
          <t>32.9</t>
        </is>
      </c>
      <c r="J398" t="inlineStr">
        <is>
          <t>world_bank</t>
        </is>
      </c>
      <c r="K398" t="inlineStr">
        <is>
          <t>https://api.worldbank.org/v2/country/KOR/indicator/SI.POV.GINI?format=json&amp;mrv=10</t>
        </is>
      </c>
      <c r="L398" t="inlineStr">
        <is>
          <t>World Bank WDI: Gini index</t>
        </is>
      </c>
      <c r="M398" t="inlineStr">
        <is>
          <t>2021-12-31</t>
        </is>
      </c>
      <c r="N398" t="inlineStr">
        <is>
          <t>auto_ingest=world_bank_capability; indicator=SI.POV.GINI; year=2021; country_proxy=South Korea</t>
        </is>
      </c>
    </row>
    <row r="399">
      <c r="A399" t="inlineStr">
        <is>
          <t>kr-busan</t>
        </is>
      </c>
      <c r="B399" t="inlineStr">
        <is>
          <t>Busan</t>
        </is>
      </c>
      <c r="C399" t="inlineStr">
        <is>
          <t>South Korea</t>
        </is>
      </c>
      <c r="D399" t="inlineStr">
        <is>
          <t>East Asia</t>
        </is>
      </c>
      <c r="E399" t="inlineStr">
        <is>
          <t>hospitality_belonging_raw</t>
        </is>
      </c>
      <c r="F399" t="inlineStr">
        <is>
          <t>Hospitality and belonging raw</t>
        </is>
      </c>
      <c r="G399" t="inlineStr">
        <is>
          <t>community</t>
        </is>
      </c>
      <c r="H399" t="inlineStr">
        <is>
          <t>yes</t>
        </is>
      </c>
      <c r="I399" t="inlineStr">
        <is>
          <t>51.27</t>
        </is>
      </c>
      <c r="J399" t="inlineStr">
        <is>
          <t>world_bank</t>
        </is>
      </c>
      <c r="K399" t="inlineStr">
        <is>
          <t>https://api.worldbank.org/v2/country/KOR/indicator/SM.POP.NETM?format=json&amp;mrv=10</t>
        </is>
      </c>
      <c r="L399" t="inlineStr">
        <is>
          <t>World Bank WDI: Net migration (proxy for hospitality/belonging — positive = welcoming)</t>
        </is>
      </c>
      <c r="M399" t="inlineStr">
        <is>
          <t>2025-12-31</t>
        </is>
      </c>
      <c r="N399" t="inlineStr">
        <is>
          <t>auto_ingest=world_bank_proxy; proxy=net_migration_hospitality; indicator=SM.POP.NETM; year=2025; country_proxy=South Korea</t>
        </is>
      </c>
    </row>
    <row r="400">
      <c r="A400" t="inlineStr">
        <is>
          <t>kr-busan</t>
        </is>
      </c>
      <c r="B400" t="inlineStr">
        <is>
          <t>Busan</t>
        </is>
      </c>
      <c r="C400" t="inlineStr">
        <is>
          <t>South Korea</t>
        </is>
      </c>
      <c r="D400" t="inlineStr">
        <is>
          <t>East Asia</t>
        </is>
      </c>
      <c r="E400" t="inlineStr">
        <is>
          <t>tolerance_pluralism_raw</t>
        </is>
      </c>
      <c r="F400" t="inlineStr">
        <is>
          <t>Tolerance and pluralism raw</t>
        </is>
      </c>
      <c r="G400" t="inlineStr">
        <is>
          <t>community</t>
        </is>
      </c>
      <c r="H400" t="inlineStr">
        <is>
          <t>yes</t>
        </is>
      </c>
      <c r="I400" t="inlineStr">
        <is>
          <t>20.0</t>
        </is>
      </c>
      <c r="J400" t="inlineStr">
        <is>
          <t>world_bank</t>
        </is>
      </c>
      <c r="K400" t="inlineStr">
        <is>
          <t>https://api.worldbank.org/v2/country/KOR/indicator/SG.GEN.PARL.ZS?format=json&amp;mrv=10</t>
        </is>
      </c>
      <c r="L400" t="inlineStr">
        <is>
          <t>World Bank WDI: Proportion of seats held by women in national parliaments (%)</t>
        </is>
      </c>
      <c r="M400" t="inlineStr">
        <is>
          <t>2024-12-31</t>
        </is>
      </c>
      <c r="N400" t="inlineStr">
        <is>
          <t>auto_ingest=world_bank_proxy; proxy=gender_parity_parliament; indicator=SG.GEN.PARL.ZS; year=2024; country_proxy=South Korea</t>
        </is>
      </c>
    </row>
    <row r="401">
      <c r="A401" t="inlineStr">
        <is>
          <t>kr-busan</t>
        </is>
      </c>
      <c r="B401" t="inlineStr">
        <is>
          <t>Busan</t>
        </is>
      </c>
      <c r="C401" t="inlineStr">
        <is>
          <t>South Korea</t>
        </is>
      </c>
      <c r="D401" t="inlineStr">
        <is>
          <t>East Asia</t>
        </is>
      </c>
      <c r="E401" t="inlineStr">
        <is>
          <t>cultural_public_life_raw</t>
        </is>
      </c>
      <c r="F401" t="inlineStr">
        <is>
          <t>Cultural public life raw</t>
        </is>
      </c>
      <c r="G401" t="inlineStr">
        <is>
          <t>community</t>
        </is>
      </c>
      <c r="H401" t="inlineStr">
        <is>
          <t>yes</t>
        </is>
      </c>
      <c r="I401" t="inlineStr">
        <is>
          <t>48.68</t>
        </is>
      </c>
      <c r="J401" t="inlineStr">
        <is>
          <t>world_bank</t>
        </is>
      </c>
      <c r="K401" t="inlineStr">
        <is>
          <t>https://api.worldbank.org/v2/country/KOR/indicator/ST.INT.ARVL?format=json&amp;mrv=10</t>
        </is>
      </c>
      <c r="L401" t="inlineStr">
        <is>
          <t>World Bank WDI: International tourism arrivals per 1 000 population</t>
        </is>
      </c>
      <c r="M401" t="inlineStr">
        <is>
          <t>2020-12-31</t>
        </is>
      </c>
      <c r="N401" t="inlineStr">
        <is>
          <t>auto_ingest=cultural_life_proxy; indicator=ST.INT.ARVL; norm=per_1000_pop; year=2020; country_proxy=South Korea</t>
        </is>
      </c>
    </row>
    <row r="402">
      <c r="A402" t="inlineStr">
        <is>
          <t>kr-busan</t>
        </is>
      </c>
      <c r="B402" t="inlineStr">
        <is>
          <t>Busan</t>
        </is>
      </c>
      <c r="C402" t="inlineStr">
        <is>
          <t>South Korea</t>
        </is>
      </c>
      <c r="D402" t="inlineStr">
        <is>
          <t>East Asia</t>
        </is>
      </c>
      <c r="E402" t="inlineStr">
        <is>
          <t>birth_rate_optimism_raw</t>
        </is>
      </c>
      <c r="F402" t="inlineStr">
        <is>
          <t>Birth rate and societal optimism raw</t>
        </is>
      </c>
      <c r="G402" t="inlineStr">
        <is>
          <t>community</t>
        </is>
      </c>
      <c r="H402" t="inlineStr">
        <is>
          <t>yes</t>
        </is>
      </c>
      <c r="I402" t="inlineStr">
        <is>
          <t>0.72</t>
        </is>
      </c>
      <c r="J402" t="inlineStr">
        <is>
          <t>world_bank</t>
        </is>
      </c>
      <c r="K402" t="inlineStr">
        <is>
          <t>https://data.worldbank.org/indicator/SP.DYN.TFRT.IN</t>
        </is>
      </c>
      <c r="L402" t="inlineStr">
        <is>
          <t>World Bank Total Fertility Rate 2023</t>
        </is>
      </c>
      <c r="M402" t="inlineStr">
        <is>
          <t>2024-01-01</t>
        </is>
      </c>
      <c r="N402" t="inlineStr"/>
    </row>
    <row r="403">
      <c r="A403" t="inlineStr">
        <is>
          <t>kr-busan</t>
        </is>
      </c>
      <c r="B403" t="inlineStr">
        <is>
          <t>Busan</t>
        </is>
      </c>
      <c r="C403" t="inlineStr">
        <is>
          <t>South Korea</t>
        </is>
      </c>
      <c r="D403" t="inlineStr">
        <is>
          <t>East Asia</t>
        </is>
      </c>
      <c r="E403" t="inlineStr">
        <is>
          <t>entrepreneurial_dynamism_raw</t>
        </is>
      </c>
      <c r="F403" t="inlineStr">
        <is>
          <t>Entrepreneurial dynamism raw</t>
        </is>
      </c>
      <c r="G403" t="inlineStr">
        <is>
          <t>creative</t>
        </is>
      </c>
      <c r="H403" t="inlineStr">
        <is>
          <t>yes</t>
        </is>
      </c>
      <c r="I403" t="inlineStr">
        <is>
          <t>3.09</t>
        </is>
      </c>
      <c r="J403" t="inlineStr">
        <is>
          <t>world_bank</t>
        </is>
      </c>
      <c r="K403" t="inlineStr">
        <is>
          <t>https://api.worldbank.org/v2/country/KOR/indicator/IC.BUS.NDNS.ZS?format=json&amp;mrv=10</t>
        </is>
      </c>
      <c r="L403" t="inlineStr">
        <is>
          <t>World Bank WDI: New business density (new registrations per 1,000 people ages 15-64)</t>
        </is>
      </c>
      <c r="M403" t="inlineStr">
        <is>
          <t>2022-12-31</t>
        </is>
      </c>
      <c r="N403" t="inlineStr">
        <is>
          <t>auto_ingest=world_bank_creative_extended; indicator=IC.BUS.NDNS.ZS; year=2022; country_proxy=South Korea</t>
        </is>
      </c>
    </row>
    <row r="404">
      <c r="A404" t="inlineStr">
        <is>
          <t>kr-busan</t>
        </is>
      </c>
      <c r="B404" t="inlineStr">
        <is>
          <t>Busan</t>
        </is>
      </c>
      <c r="C404" t="inlineStr">
        <is>
          <t>South Korea</t>
        </is>
      </c>
      <c r="D404" t="inlineStr">
        <is>
          <t>East Asia</t>
        </is>
      </c>
      <c r="E404" t="inlineStr">
        <is>
          <t>innovation_research_intensity_raw</t>
        </is>
      </c>
      <c r="F404" t="inlineStr">
        <is>
          <t>Innovation and research raw</t>
        </is>
      </c>
      <c r="G404" t="inlineStr">
        <is>
          <t>creative</t>
        </is>
      </c>
      <c r="H404" t="inlineStr">
        <is>
          <t>yes</t>
        </is>
      </c>
      <c r="I404" t="inlineStr">
        <is>
          <t>5.21</t>
        </is>
      </c>
      <c r="J404" t="inlineStr">
        <is>
          <t>world_bank</t>
        </is>
      </c>
      <c r="K404" t="inlineStr">
        <is>
          <t>https://api.worldbank.org/v2/country/KOR/indicator/GB.XPD.RSDV.GD.ZS?format=json&amp;mrv=10</t>
        </is>
      </c>
      <c r="L404" t="inlineStr">
        <is>
          <t>World Bank WDI: Research and development expenditure (% of GDP)</t>
        </is>
      </c>
      <c r="M404" t="inlineStr">
        <is>
          <t>2022-12-31</t>
        </is>
      </c>
      <c r="N404" t="inlineStr">
        <is>
          <t>auto_ingest=world_bank_creative_extended; indicator=GB.XPD.RSDV.GD.ZS; year=2022; country_proxy=South Korea</t>
        </is>
      </c>
    </row>
    <row r="405">
      <c r="A405" t="inlineStr">
        <is>
          <t>kr-busan</t>
        </is>
      </c>
      <c r="B405" t="inlineStr">
        <is>
          <t>Busan</t>
        </is>
      </c>
      <c r="C405" t="inlineStr">
        <is>
          <t>South Korea</t>
        </is>
      </c>
      <c r="D405" t="inlineStr">
        <is>
          <t>East Asia</t>
        </is>
      </c>
      <c r="E405" t="inlineStr">
        <is>
          <t>investment_signal_raw</t>
        </is>
      </c>
      <c r="F405" t="inlineStr">
        <is>
          <t>Investment signal raw</t>
        </is>
      </c>
      <c r="G405" t="inlineStr">
        <is>
          <t>creative</t>
        </is>
      </c>
      <c r="H405" t="inlineStr">
        <is>
          <t>yes</t>
        </is>
      </c>
      <c r="I405" t="inlineStr">
        <is>
          <t>0.81</t>
        </is>
      </c>
      <c r="J405" t="inlineStr">
        <is>
          <t>world_bank</t>
        </is>
      </c>
      <c r="K405" t="inlineStr">
        <is>
          <t>https://api.worldbank.org/v2/country/KOR/indicator/BX.KLT.DINV.WD.GD.ZS?format=json&amp;mrv=10</t>
        </is>
      </c>
      <c r="L405" t="inlineStr">
        <is>
          <t>World Bank WDI: Foreign direct investment, net inflows (% of GDP)</t>
        </is>
      </c>
      <c r="M405" t="inlineStr">
        <is>
          <t>2024-12-31</t>
        </is>
      </c>
      <c r="N405" t="inlineStr">
        <is>
          <t>auto_ingest=world_bank_creative_extended; indicator=BX.KLT.DINV.WD.GD.ZS; year=2024; country_proxy=South Korea</t>
        </is>
      </c>
    </row>
    <row r="406">
      <c r="A406" t="inlineStr">
        <is>
          <t>kr-busan</t>
        </is>
      </c>
      <c r="B406" t="inlineStr">
        <is>
          <t>Busan</t>
        </is>
      </c>
      <c r="C406" t="inlineStr">
        <is>
          <t>South Korea</t>
        </is>
      </c>
      <c r="D406" t="inlineStr">
        <is>
          <t>East Asia</t>
        </is>
      </c>
      <c r="E406" t="inlineStr">
        <is>
          <t>administrative_investment_friction_raw</t>
        </is>
      </c>
      <c r="F406" t="inlineStr">
        <is>
          <t>Administrative investment friction raw</t>
        </is>
      </c>
      <c r="G406" t="inlineStr">
        <is>
          <t>creative</t>
        </is>
      </c>
      <c r="H406" t="inlineStr">
        <is>
          <t>yes</t>
        </is>
      </c>
      <c r="I406" t="inlineStr">
        <is>
          <t>1.38</t>
        </is>
      </c>
      <c r="J406" t="inlineStr">
        <is>
          <t>world_bank</t>
        </is>
      </c>
      <c r="K406" t="inlineStr">
        <is>
          <t>https://api.worldbank.org/v2/country/KOR/indicator/RQ.EST?format=json&amp;mrv=10</t>
        </is>
      </c>
      <c r="L406" t="inlineStr">
        <is>
          <t>World Bank WGI: Regulatory Quality (inverted as friction proxy)</t>
        </is>
      </c>
      <c r="M406" t="inlineStr">
        <is>
          <t>2023-12-31</t>
        </is>
      </c>
      <c r="N406" t="inlineStr">
        <is>
          <t>auto_ingest=world_bank_business_friction; indicator=RQ.EST; raw_rq=1.122523188591; friction=1.38; year=2023; country_proxy=South Korea</t>
        </is>
      </c>
    </row>
    <row r="407">
      <c r="A407" t="inlineStr">
        <is>
          <t>kr-busan</t>
        </is>
      </c>
      <c r="B407" t="inlineStr">
        <is>
          <t>Busan</t>
        </is>
      </c>
      <c r="C407" t="inlineStr">
        <is>
          <t>South Korea</t>
        </is>
      </c>
      <c r="D407" t="inlineStr">
        <is>
          <t>East Asia</t>
        </is>
      </c>
      <c r="E407" t="inlineStr">
        <is>
          <t>visitor_flow_context_raw</t>
        </is>
      </c>
      <c r="F407" t="inlineStr">
        <is>
          <t>Visitor flow context raw</t>
        </is>
      </c>
      <c r="G407" t="inlineStr">
        <is>
          <t>creative</t>
        </is>
      </c>
      <c r="H407" t="inlineStr">
        <is>
          <t>no</t>
        </is>
      </c>
      <c r="I407" t="inlineStr"/>
      <c r="J407" t="inlineStr"/>
      <c r="K407" t="inlineStr"/>
      <c r="L407" t="inlineStr"/>
      <c r="M407" t="inlineStr"/>
      <c r="N407" t="inlineStr"/>
    </row>
    <row r="408">
      <c r="A408" t="inlineStr">
        <is>
          <t>cn-shanghai</t>
        </is>
      </c>
      <c r="B408" t="inlineStr">
        <is>
          <t>Shanghai</t>
        </is>
      </c>
      <c r="C408" t="inlineStr">
        <is>
          <t>China</t>
        </is>
      </c>
      <c r="D408" t="inlineStr">
        <is>
          <t>East Asia</t>
        </is>
      </c>
      <c r="E408" t="inlineStr">
        <is>
          <t>gross_income</t>
        </is>
      </c>
      <c r="F408" t="inlineStr">
        <is>
          <t>Gross income</t>
        </is>
      </c>
      <c r="G408" t="inlineStr">
        <is>
          <t>pressure</t>
        </is>
      </c>
      <c r="H408" t="inlineStr">
        <is>
          <t>yes</t>
        </is>
      </c>
      <c r="I408" t="inlineStr">
        <is>
          <t>3365.0</t>
        </is>
      </c>
      <c r="J408" t="inlineStr">
        <is>
          <t>world_bank_col_estimate</t>
        </is>
      </c>
      <c r="K408" t="inlineStr">
        <is>
          <t>https://api.worldbank.org/v2/country/CHN/indicator/NY.GNP.PCAP.PP.CD?format=json&amp;mrv=10</t>
        </is>
      </c>
      <c r="L408" t="inlineStr">
        <is>
          <t>World Bank WDI: GNI per capita PPP (monthly USD)</t>
        </is>
      </c>
      <c r="M408" t="inlineStr">
        <is>
          <t>2024-12-31</t>
        </is>
      </c>
      <c r="N408" t="inlineStr">
        <is>
          <t>auto_ingest=world_bank_col_estimate; gni_annual=26920.0; year=2024; country_proxy=China; cohort=East Asia; city_income_mult=1.5</t>
        </is>
      </c>
    </row>
    <row r="409">
      <c r="A409" t="inlineStr">
        <is>
          <t>cn-shanghai</t>
        </is>
      </c>
      <c r="B409" t="inlineStr">
        <is>
          <t>Shanghai</t>
        </is>
      </c>
      <c r="C409" t="inlineStr">
        <is>
          <t>China</t>
        </is>
      </c>
      <c r="D409" t="inlineStr">
        <is>
          <t>East Asia</t>
        </is>
      </c>
      <c r="E409" t="inlineStr">
        <is>
          <t>di_ppp_raw</t>
        </is>
      </c>
      <c r="F409" t="inlineStr">
        <is>
          <t>Disposable income PPP (Raw)</t>
        </is>
      </c>
      <c r="G409" t="inlineStr">
        <is>
          <t>pressure</t>
        </is>
      </c>
      <c r="H409" t="inlineStr">
        <is>
          <t>yes</t>
        </is>
      </c>
      <c r="I409" t="inlineStr"/>
      <c r="J409" t="inlineStr"/>
      <c r="K409" t="inlineStr"/>
      <c r="L409" t="inlineStr"/>
      <c r="M409" t="inlineStr"/>
      <c r="N409" t="inlineStr"/>
    </row>
    <row r="410">
      <c r="A410" t="inlineStr">
        <is>
          <t>cn-shanghai</t>
        </is>
      </c>
      <c r="B410" t="inlineStr">
        <is>
          <t>Shanghai</t>
        </is>
      </c>
      <c r="C410" t="inlineStr">
        <is>
          <t>China</t>
        </is>
      </c>
      <c r="D410" t="inlineStr">
        <is>
          <t>East Asia</t>
        </is>
      </c>
      <c r="E410" t="inlineStr">
        <is>
          <t>rent</t>
        </is>
      </c>
      <c r="F410" t="inlineStr">
        <is>
          <t>Rent</t>
        </is>
      </c>
      <c r="G410" t="inlineStr">
        <is>
          <t>pressure</t>
        </is>
      </c>
      <c r="H410" t="inlineStr">
        <is>
          <t>yes</t>
        </is>
      </c>
      <c r="I410" t="inlineStr">
        <is>
          <t>1093.62</t>
        </is>
      </c>
      <c r="J410" t="inlineStr">
        <is>
          <t>world_bank_col_estimate</t>
        </is>
      </c>
      <c r="K410" t="inlineStr">
        <is>
          <t>https://api.worldbank.org/v2/country/CHN/indicator/NY.GNP.PCAP.PP.CD?format=json&amp;mrv=10</t>
        </is>
      </c>
      <c r="L410" t="inlineStr">
        <is>
          <t>World Bank GNI + regional expenditure ratio estimate</t>
        </is>
      </c>
      <c r="M410" t="inlineStr">
        <is>
          <t>2024-12-31</t>
        </is>
      </c>
      <c r="N410" t="inlineStr">
        <is>
          <t>auto_ingest=world_bank_col_estimate; gni_annual=26920.0; year=2024; country_proxy=China; cohort=East Asia; city_cost_mult=1.3</t>
        </is>
      </c>
    </row>
    <row r="411">
      <c r="A411" t="inlineStr">
        <is>
          <t>cn-shanghai</t>
        </is>
      </c>
      <c r="B411" t="inlineStr">
        <is>
          <t>Shanghai</t>
        </is>
      </c>
      <c r="C411" t="inlineStr">
        <is>
          <t>China</t>
        </is>
      </c>
      <c r="D411" t="inlineStr">
        <is>
          <t>East Asia</t>
        </is>
      </c>
      <c r="E411" t="inlineStr">
        <is>
          <t>utilities</t>
        </is>
      </c>
      <c r="F411" t="inlineStr">
        <is>
          <t>Utilities</t>
        </is>
      </c>
      <c r="G411" t="inlineStr">
        <is>
          <t>pressure</t>
        </is>
      </c>
      <c r="H411" t="inlineStr">
        <is>
          <t>yes</t>
        </is>
      </c>
      <c r="I411" t="inlineStr">
        <is>
          <t>262.47</t>
        </is>
      </c>
      <c r="J411" t="inlineStr">
        <is>
          <t>world_bank_col_estimate</t>
        </is>
      </c>
      <c r="K411" t="inlineStr">
        <is>
          <t>https://api.worldbank.org/v2/country/CHN/indicator/NY.GNP.PCAP.PP.CD?format=json&amp;mrv=10</t>
        </is>
      </c>
      <c r="L411" t="inlineStr">
        <is>
          <t>World Bank GNI + regional expenditure ratio estimate</t>
        </is>
      </c>
      <c r="M411" t="inlineStr">
        <is>
          <t>2024-12-31</t>
        </is>
      </c>
      <c r="N411" t="inlineStr">
        <is>
          <t>auto_ingest=world_bank_col_estimate; gni_annual=26920.0; year=2024; country_proxy=China; cohort=East Asia; city_cost_mult=1.3</t>
        </is>
      </c>
    </row>
    <row r="412">
      <c r="A412" t="inlineStr">
        <is>
          <t>cn-shanghai</t>
        </is>
      </c>
      <c r="B412" t="inlineStr">
        <is>
          <t>Shanghai</t>
        </is>
      </c>
      <c r="C412" t="inlineStr">
        <is>
          <t>China</t>
        </is>
      </c>
      <c r="D412" t="inlineStr">
        <is>
          <t>East Asia</t>
        </is>
      </c>
      <c r="E412" t="inlineStr">
        <is>
          <t>transit_cost</t>
        </is>
      </c>
      <c r="F412" t="inlineStr">
        <is>
          <t>Transit cost</t>
        </is>
      </c>
      <c r="G412" t="inlineStr">
        <is>
          <t>pressure</t>
        </is>
      </c>
      <c r="H412" t="inlineStr">
        <is>
          <t>yes</t>
        </is>
      </c>
      <c r="I412" t="inlineStr">
        <is>
          <t>174.98</t>
        </is>
      </c>
      <c r="J412" t="inlineStr">
        <is>
          <t>world_bank_col_estimate</t>
        </is>
      </c>
      <c r="K412" t="inlineStr">
        <is>
          <t>https://api.worldbank.org/v2/country/CHN/indicator/NY.GNP.PCAP.PP.CD?format=json&amp;mrv=10</t>
        </is>
      </c>
      <c r="L412" t="inlineStr">
        <is>
          <t>World Bank GNI + regional expenditure ratio estimate</t>
        </is>
      </c>
      <c r="M412" t="inlineStr">
        <is>
          <t>2024-12-31</t>
        </is>
      </c>
      <c r="N412" t="inlineStr">
        <is>
          <t>auto_ingest=world_bank_col_estimate; gni_annual=26920.0; year=2024; country_proxy=China; cohort=East Asia; city_cost_mult=1.3</t>
        </is>
      </c>
    </row>
    <row r="413">
      <c r="A413" t="inlineStr">
        <is>
          <t>cn-shanghai</t>
        </is>
      </c>
      <c r="B413" t="inlineStr">
        <is>
          <t>Shanghai</t>
        </is>
      </c>
      <c r="C413" t="inlineStr">
        <is>
          <t>China</t>
        </is>
      </c>
      <c r="D413" t="inlineStr">
        <is>
          <t>East Asia</t>
        </is>
      </c>
      <c r="E413" t="inlineStr">
        <is>
          <t>internet_cost</t>
        </is>
      </c>
      <c r="F413" t="inlineStr">
        <is>
          <t>Internet cost</t>
        </is>
      </c>
      <c r="G413" t="inlineStr">
        <is>
          <t>pressure</t>
        </is>
      </c>
      <c r="H413" t="inlineStr">
        <is>
          <t>yes</t>
        </is>
      </c>
      <c r="I413" t="inlineStr">
        <is>
          <t>65.62</t>
        </is>
      </c>
      <c r="J413" t="inlineStr">
        <is>
          <t>world_bank_col_estimate</t>
        </is>
      </c>
      <c r="K413" t="inlineStr">
        <is>
          <t>https://api.worldbank.org/v2/country/CHN/indicator/NY.GNP.PCAP.PP.CD?format=json&amp;mrv=10</t>
        </is>
      </c>
      <c r="L413" t="inlineStr">
        <is>
          <t>World Bank GNI + regional expenditure ratio estimate</t>
        </is>
      </c>
      <c r="M413" t="inlineStr">
        <is>
          <t>2024-12-31</t>
        </is>
      </c>
      <c r="N413" t="inlineStr">
        <is>
          <t>auto_ingest=world_bank_col_estimate; gni_annual=26920.0; year=2024; country_proxy=China; cohort=East Asia; city_cost_mult=1.3</t>
        </is>
      </c>
    </row>
    <row r="414">
      <c r="A414" t="inlineStr">
        <is>
          <t>cn-shanghai</t>
        </is>
      </c>
      <c r="B414" t="inlineStr">
        <is>
          <t>Shanghai</t>
        </is>
      </c>
      <c r="C414" t="inlineStr">
        <is>
          <t>China</t>
        </is>
      </c>
      <c r="D414" t="inlineStr">
        <is>
          <t>East Asia</t>
        </is>
      </c>
      <c r="E414" t="inlineStr">
        <is>
          <t>food_cost</t>
        </is>
      </c>
      <c r="F414" t="inlineStr">
        <is>
          <t>Food cost</t>
        </is>
      </c>
      <c r="G414" t="inlineStr">
        <is>
          <t>pressure</t>
        </is>
      </c>
      <c r="H414" t="inlineStr">
        <is>
          <t>yes</t>
        </is>
      </c>
      <c r="I414" t="inlineStr">
        <is>
          <t>874.9</t>
        </is>
      </c>
      <c r="J414" t="inlineStr">
        <is>
          <t>world_bank_col_estimate</t>
        </is>
      </c>
      <c r="K414" t="inlineStr">
        <is>
          <t>https://api.worldbank.org/v2/country/CHN/indicator/NY.GNP.PCAP.PP.CD?format=json&amp;mrv=10</t>
        </is>
      </c>
      <c r="L414" t="inlineStr">
        <is>
          <t>World Bank GNI + regional expenditure ratio estimate</t>
        </is>
      </c>
      <c r="M414" t="inlineStr">
        <is>
          <t>2024-12-31</t>
        </is>
      </c>
      <c r="N414" t="inlineStr">
        <is>
          <t>auto_ingest=world_bank_col_estimate; gni_annual=26920.0; year=2024; country_proxy=China; cohort=East Asia; city_cost_mult=1.3</t>
        </is>
      </c>
    </row>
    <row r="415">
      <c r="A415" t="inlineStr">
        <is>
          <t>cn-shanghai</t>
        </is>
      </c>
      <c r="B415" t="inlineStr">
        <is>
          <t>Shanghai</t>
        </is>
      </c>
      <c r="C415" t="inlineStr">
        <is>
          <t>China</t>
        </is>
      </c>
      <c r="D415" t="inlineStr">
        <is>
          <t>East Asia</t>
        </is>
      </c>
      <c r="E415" t="inlineStr">
        <is>
          <t>housing_burden_raw</t>
        </is>
      </c>
      <c r="F415" t="inlineStr">
        <is>
          <t>Housing burden raw</t>
        </is>
      </c>
      <c r="G415" t="inlineStr">
        <is>
          <t>pressure</t>
        </is>
      </c>
      <c r="H415" t="inlineStr">
        <is>
          <t>yes</t>
        </is>
      </c>
      <c r="I415" t="inlineStr">
        <is>
          <t>32.4999</t>
        </is>
      </c>
      <c r="J415" t="inlineStr">
        <is>
          <t>derived</t>
        </is>
      </c>
      <c r="K415" t="inlineStr">
        <is>
          <t>https://data.worldbank.org/indicator/NY.GNP.PCAP.PP.CD</t>
        </is>
      </c>
      <c r="L415" t="inlineStr">
        <is>
          <t>Computed from city_inputs + country_context</t>
        </is>
      </c>
      <c r="M415" t="inlineStr">
        <is>
          <t>2024-01-01</t>
        </is>
      </c>
      <c r="N415" t="inlineStr">
        <is>
          <t>derived=rent/gross_income*100</t>
        </is>
      </c>
    </row>
    <row r="416">
      <c r="A416" t="inlineStr">
        <is>
          <t>cn-shanghai</t>
        </is>
      </c>
      <c r="B416" t="inlineStr">
        <is>
          <t>Shanghai</t>
        </is>
      </c>
      <c r="C416" t="inlineStr">
        <is>
          <t>China</t>
        </is>
      </c>
      <c r="D416" t="inlineStr">
        <is>
          <t>East Asia</t>
        </is>
      </c>
      <c r="E416" t="inlineStr">
        <is>
          <t>household_debt_burden_raw</t>
        </is>
      </c>
      <c r="F416" t="inlineStr">
        <is>
          <t>Household debt burden raw</t>
        </is>
      </c>
      <c r="G416" t="inlineStr">
        <is>
          <t>pressure</t>
        </is>
      </c>
      <c r="H416" t="inlineStr">
        <is>
          <t>yes</t>
        </is>
      </c>
      <c r="I416" t="inlineStr">
        <is>
          <t>194.166</t>
        </is>
      </c>
      <c r="J416" t="inlineStr">
        <is>
          <t>derived</t>
        </is>
      </c>
      <c r="K416" t="inlineStr">
        <is>
          <t>https://data.worldbank.org/indicator/NY.GNP.PCAP.PP.CD</t>
        </is>
      </c>
      <c r="L416" t="inlineStr">
        <is>
          <t>Computed from city_inputs + country_context</t>
        </is>
      </c>
      <c r="M416" t="inlineStr">
        <is>
          <t>2024-01-01</t>
        </is>
      </c>
      <c r="N416" t="inlineStr">
        <is>
          <t>derived=country_context.household_debt_proxy; country=China</t>
        </is>
      </c>
    </row>
    <row r="417">
      <c r="A417" t="inlineStr">
        <is>
          <t>cn-shanghai</t>
        </is>
      </c>
      <c r="B417" t="inlineStr">
        <is>
          <t>Shanghai</t>
        </is>
      </c>
      <c r="C417" t="inlineStr">
        <is>
          <t>China</t>
        </is>
      </c>
      <c r="D417" t="inlineStr">
        <is>
          <t>East Asia</t>
        </is>
      </c>
      <c r="E417" t="inlineStr">
        <is>
          <t>working_time_pressure_raw</t>
        </is>
      </c>
      <c r="F417" t="inlineStr">
        <is>
          <t>Working time pressure raw</t>
        </is>
      </c>
      <c r="G417" t="inlineStr">
        <is>
          <t>pressure</t>
        </is>
      </c>
      <c r="H417" t="inlineStr">
        <is>
          <t>yes</t>
        </is>
      </c>
      <c r="I417" t="inlineStr"/>
      <c r="J417" t="inlineStr"/>
      <c r="K417" t="inlineStr"/>
      <c r="L417" t="inlineStr"/>
      <c r="M417" t="inlineStr"/>
      <c r="N417" t="inlineStr"/>
    </row>
    <row r="418">
      <c r="A418" t="inlineStr">
        <is>
          <t>cn-shanghai</t>
        </is>
      </c>
      <c r="B418" t="inlineStr">
        <is>
          <t>Shanghai</t>
        </is>
      </c>
      <c r="C418" t="inlineStr">
        <is>
          <t>China</t>
        </is>
      </c>
      <c r="D418" t="inlineStr">
        <is>
          <t>East Asia</t>
        </is>
      </c>
      <c r="E418" t="inlineStr">
        <is>
          <t>suicide_mental_strain_raw</t>
        </is>
      </c>
      <c r="F418" t="inlineStr">
        <is>
          <t>Suicide or mental strain raw</t>
        </is>
      </c>
      <c r="G418" t="inlineStr">
        <is>
          <t>pressure</t>
        </is>
      </c>
      <c r="H418" t="inlineStr">
        <is>
          <t>yes</t>
        </is>
      </c>
      <c r="I418" t="inlineStr">
        <is>
          <t>8.95</t>
        </is>
      </c>
      <c r="J418" t="inlineStr">
        <is>
          <t>who_gho</t>
        </is>
      </c>
      <c r="K418" t="inlineStr">
        <is>
          <t>https://www.who.int/data/gho/data/indicators/indicator-details/GHO/SDGSUICIDE</t>
        </is>
      </c>
      <c r="L418" t="inlineStr">
        <is>
          <t>WHO GHO: Age-standardized suicide rate (per 100,000 population)</t>
        </is>
      </c>
      <c r="M418" t="inlineStr">
        <is>
          <t>2021-12-31</t>
        </is>
      </c>
      <c r="N418" t="inlineStr">
        <is>
          <t>auto_ingest=who_gho; indicator=SDGSUICIDE; year=2021; country_proxy=China</t>
        </is>
      </c>
    </row>
    <row r="419">
      <c r="A419" t="inlineStr">
        <is>
          <t>cn-shanghai</t>
        </is>
      </c>
      <c r="B419" t="inlineStr">
        <is>
          <t>Shanghai</t>
        </is>
      </c>
      <c r="C419" t="inlineStr">
        <is>
          <t>China</t>
        </is>
      </c>
      <c r="D419" t="inlineStr">
        <is>
          <t>East Asia</t>
        </is>
      </c>
      <c r="E419" t="inlineStr">
        <is>
          <t>personal_safety_raw</t>
        </is>
      </c>
      <c r="F419" t="inlineStr">
        <is>
          <t>Personal safety raw</t>
        </is>
      </c>
      <c r="G419" t="inlineStr">
        <is>
          <t>viability</t>
        </is>
      </c>
      <c r="H419" t="inlineStr">
        <is>
          <t>yes</t>
        </is>
      </c>
      <c r="I419" t="inlineStr">
        <is>
          <t>0.5</t>
        </is>
      </c>
      <c r="J419" t="inlineStr">
        <is>
          <t>world_bank</t>
        </is>
      </c>
      <c r="K419" t="inlineStr">
        <is>
          <t>https://api.worldbank.org/v2/country/CHN/indicator/VC.IHR.PSRC.P5?format=json&amp;mrv=10</t>
        </is>
      </c>
      <c r="L419" t="inlineStr">
        <is>
          <t>UNODC via World Bank WDI: Intentional homicides (per 100,000 people)</t>
        </is>
      </c>
      <c r="M419" t="inlineStr">
        <is>
          <t>2020-12-31</t>
        </is>
      </c>
      <c r="N419" t="inlineStr">
        <is>
          <t>auto_ingest=unodc_safety; indicator=VC.IHR.PSRC.P5; year=2020; country_proxy=China</t>
        </is>
      </c>
    </row>
    <row r="420">
      <c r="A420" t="inlineStr">
        <is>
          <t>cn-shanghai</t>
        </is>
      </c>
      <c r="B420" t="inlineStr">
        <is>
          <t>Shanghai</t>
        </is>
      </c>
      <c r="C420" t="inlineStr">
        <is>
          <t>China</t>
        </is>
      </c>
      <c r="D420" t="inlineStr">
        <is>
          <t>East Asia</t>
        </is>
      </c>
      <c r="E420" t="inlineStr">
        <is>
          <t>transit_access_commute_raw</t>
        </is>
      </c>
      <c r="F420" t="inlineStr">
        <is>
          <t>Transit access and commute raw</t>
        </is>
      </c>
      <c r="G420" t="inlineStr">
        <is>
          <t>viability</t>
        </is>
      </c>
      <c r="H420" t="inlineStr">
        <is>
          <t>yes</t>
        </is>
      </c>
      <c r="I420" t="inlineStr"/>
      <c r="J420" t="inlineStr"/>
      <c r="K420" t="inlineStr"/>
      <c r="L420" t="inlineStr"/>
      <c r="M420" t="inlineStr"/>
      <c r="N420" t="inlineStr"/>
    </row>
    <row r="421">
      <c r="A421" t="inlineStr">
        <is>
          <t>cn-shanghai</t>
        </is>
      </c>
      <c r="B421" t="inlineStr">
        <is>
          <t>Shanghai</t>
        </is>
      </c>
      <c r="C421" t="inlineStr">
        <is>
          <t>China</t>
        </is>
      </c>
      <c r="D421" t="inlineStr">
        <is>
          <t>East Asia</t>
        </is>
      </c>
      <c r="E421" t="inlineStr">
        <is>
          <t>clean_air_raw</t>
        </is>
      </c>
      <c r="F421" t="inlineStr">
        <is>
          <t>Clean air raw</t>
        </is>
      </c>
      <c r="G421" t="inlineStr">
        <is>
          <t>viability</t>
        </is>
      </c>
      <c r="H421" t="inlineStr">
        <is>
          <t>yes</t>
        </is>
      </c>
      <c r="I421" t="inlineStr"/>
      <c r="J421" t="inlineStr"/>
      <c r="K421" t="inlineStr"/>
      <c r="L421" t="inlineStr"/>
      <c r="M421" t="inlineStr"/>
      <c r="N421" t="inlineStr"/>
    </row>
    <row r="422">
      <c r="A422" t="inlineStr">
        <is>
          <t>cn-shanghai</t>
        </is>
      </c>
      <c r="B422" t="inlineStr">
        <is>
          <t>Shanghai</t>
        </is>
      </c>
      <c r="C422" t="inlineStr">
        <is>
          <t>China</t>
        </is>
      </c>
      <c r="D422" t="inlineStr">
        <is>
          <t>East Asia</t>
        </is>
      </c>
      <c r="E422" t="inlineStr">
        <is>
          <t>water_sanitation_utility_raw</t>
        </is>
      </c>
      <c r="F422" t="inlineStr">
        <is>
          <t>Water, sanitation, and utility raw</t>
        </is>
      </c>
      <c r="G422" t="inlineStr">
        <is>
          <t>viability</t>
        </is>
      </c>
      <c r="H422" t="inlineStr">
        <is>
          <t>yes</t>
        </is>
      </c>
      <c r="I422" t="inlineStr"/>
      <c r="J422" t="inlineStr"/>
      <c r="K422" t="inlineStr"/>
      <c r="L422" t="inlineStr"/>
      <c r="M422" t="inlineStr"/>
      <c r="N422" t="inlineStr"/>
    </row>
    <row r="423">
      <c r="A423" t="inlineStr">
        <is>
          <t>cn-shanghai</t>
        </is>
      </c>
      <c r="B423" t="inlineStr">
        <is>
          <t>Shanghai</t>
        </is>
      </c>
      <c r="C423" t="inlineStr">
        <is>
          <t>China</t>
        </is>
      </c>
      <c r="D423" t="inlineStr">
        <is>
          <t>East Asia</t>
        </is>
      </c>
      <c r="E423" t="inlineStr">
        <is>
          <t>digital_infrastructure_raw</t>
        </is>
      </c>
      <c r="F423" t="inlineStr">
        <is>
          <t>Digital infrastructure raw</t>
        </is>
      </c>
      <c r="G423" t="inlineStr">
        <is>
          <t>viability</t>
        </is>
      </c>
      <c r="H423" t="inlineStr">
        <is>
          <t>yes</t>
        </is>
      </c>
      <c r="I423" t="inlineStr">
        <is>
          <t>44.73</t>
        </is>
      </c>
      <c r="J423" t="inlineStr">
        <is>
          <t>world_bank</t>
        </is>
      </c>
      <c r="K423" t="inlineStr">
        <is>
          <t>https://api.worldbank.org/v2/country/CHN/indicator/IT.NET.BBND.P2?format=json&amp;mrv=10</t>
        </is>
      </c>
      <c r="L423" t="inlineStr">
        <is>
          <t>World Bank WDI: Fixed broadband subscriptions (per 100 people)</t>
        </is>
      </c>
      <c r="M423" t="inlineStr">
        <is>
          <t>2023-12-31</t>
        </is>
      </c>
      <c r="N423" t="inlineStr">
        <is>
          <t>auto_ingest=world_bank_proxy; indicator=IT.NET.BBND.P2; year=2023; country_proxy=China</t>
        </is>
      </c>
    </row>
    <row r="424">
      <c r="A424" t="inlineStr">
        <is>
          <t>cn-shanghai</t>
        </is>
      </c>
      <c r="B424" t="inlineStr">
        <is>
          <t>Shanghai</t>
        </is>
      </c>
      <c r="C424" t="inlineStr">
        <is>
          <t>China</t>
        </is>
      </c>
      <c r="D424" t="inlineStr">
        <is>
          <t>East Asia</t>
        </is>
      </c>
      <c r="E424" t="inlineStr">
        <is>
          <t>climate_sunlight_livability_raw</t>
        </is>
      </c>
      <c r="F424" t="inlineStr">
        <is>
          <t>Climate and sunlight livability raw</t>
        </is>
      </c>
      <c r="G424" t="inlineStr">
        <is>
          <t>viability</t>
        </is>
      </c>
      <c r="H424" t="inlineStr">
        <is>
          <t>yes</t>
        </is>
      </c>
      <c r="I424" t="inlineStr">
        <is>
          <t>58</t>
        </is>
      </c>
      <c r="J424" t="inlineStr">
        <is>
          <t>wmo_natl_met</t>
        </is>
      </c>
      <c r="K424" t="inlineStr">
        <is>
          <t>https://worldweather.wmo.int</t>
        </is>
      </c>
      <c r="L424" t="inlineStr">
        <is>
          <t>WMO/National Met: Climate livability composite</t>
        </is>
      </c>
      <c r="M424" t="inlineStr">
        <is>
          <t>2024-12-31</t>
        </is>
      </c>
      <c r="N424" t="inlineStr">
        <is>
          <t>auto_seed=climate_composite; 1800 sun hrs, 17C mean, humid summers</t>
        </is>
      </c>
    </row>
    <row r="425">
      <c r="A425" t="inlineStr">
        <is>
          <t>cn-shanghai</t>
        </is>
      </c>
      <c r="B425" t="inlineStr">
        <is>
          <t>Shanghai</t>
        </is>
      </c>
      <c r="C425" t="inlineStr">
        <is>
          <t>China</t>
        </is>
      </c>
      <c r="D425" t="inlineStr">
        <is>
          <t>East Asia</t>
        </is>
      </c>
      <c r="E425" t="inlineStr">
        <is>
          <t>healthcare_quality_raw</t>
        </is>
      </c>
      <c r="F425" t="inlineStr">
        <is>
          <t>Healthcare quality raw</t>
        </is>
      </c>
      <c r="G425" t="inlineStr">
        <is>
          <t>capability</t>
        </is>
      </c>
      <c r="H425" t="inlineStr">
        <is>
          <t>yes</t>
        </is>
      </c>
      <c r="I425" t="inlineStr">
        <is>
          <t>85.0</t>
        </is>
      </c>
      <c r="J425" t="inlineStr">
        <is>
          <t>who_gho</t>
        </is>
      </c>
      <c r="K425" t="inlineStr">
        <is>
          <t>https://www.who.int/data/gho/data/indicators/indicator-details/GHO/UHC_INDEX_REPORTED</t>
        </is>
      </c>
      <c r="L425" t="inlineStr">
        <is>
          <t>WHO GHO: UHC Service Coverage Index</t>
        </is>
      </c>
      <c r="M425" t="inlineStr">
        <is>
          <t>2023-12-31</t>
        </is>
      </c>
      <c r="N425" t="inlineStr">
        <is>
          <t>auto_ingest=who_gho; indicator=UHC_INDEX_REPORTED; year=2023; country_proxy=China</t>
        </is>
      </c>
    </row>
    <row r="426">
      <c r="A426" t="inlineStr">
        <is>
          <t>cn-shanghai</t>
        </is>
      </c>
      <c r="B426" t="inlineStr">
        <is>
          <t>Shanghai</t>
        </is>
      </c>
      <c r="C426" t="inlineStr">
        <is>
          <t>China</t>
        </is>
      </c>
      <c r="D426" t="inlineStr">
        <is>
          <t>East Asia</t>
        </is>
      </c>
      <c r="E426" t="inlineStr">
        <is>
          <t>education_quality_raw</t>
        </is>
      </c>
      <c r="F426" t="inlineStr">
        <is>
          <t>Education quality raw</t>
        </is>
      </c>
      <c r="G426" t="inlineStr">
        <is>
          <t>capability</t>
        </is>
      </c>
      <c r="H426" t="inlineStr">
        <is>
          <t>yes</t>
        </is>
      </c>
      <c r="I426" t="inlineStr">
        <is>
          <t>76.88</t>
        </is>
      </c>
      <c r="J426" t="inlineStr">
        <is>
          <t>world_bank</t>
        </is>
      </c>
      <c r="K426" t="inlineStr">
        <is>
          <t>https://api.worldbank.org/v2/country/CHN/indicator/SE.TER.ENRR?format=json&amp;mrv=10</t>
        </is>
      </c>
      <c r="L426" t="inlineStr">
        <is>
          <t>World Bank WDI: School enrollment, tertiary (% gross)</t>
        </is>
      </c>
      <c r="M426" t="inlineStr">
        <is>
          <t>2024-12-31</t>
        </is>
      </c>
      <c r="N426" t="inlineStr">
        <is>
          <t>auto_ingest=world_bank_proxy; indicator=SE.TER.ENRR; year=2024; country_proxy=China</t>
        </is>
      </c>
    </row>
    <row r="427">
      <c r="A427" t="inlineStr">
        <is>
          <t>cn-shanghai</t>
        </is>
      </c>
      <c r="B427" t="inlineStr">
        <is>
          <t>Shanghai</t>
        </is>
      </c>
      <c r="C427" t="inlineStr">
        <is>
          <t>China</t>
        </is>
      </c>
      <c r="D427" t="inlineStr">
        <is>
          <t>East Asia</t>
        </is>
      </c>
      <c r="E427" t="inlineStr">
        <is>
          <t>equal_opportunity_raw</t>
        </is>
      </c>
      <c r="F427" t="inlineStr">
        <is>
          <t>Equal opportunity raw</t>
        </is>
      </c>
      <c r="G427" t="inlineStr">
        <is>
          <t>capability</t>
        </is>
      </c>
      <c r="H427" t="inlineStr">
        <is>
          <t>yes</t>
        </is>
      </c>
      <c r="I427" t="inlineStr">
        <is>
          <t>36.0</t>
        </is>
      </c>
      <c r="J427" t="inlineStr">
        <is>
          <t>world_bank</t>
        </is>
      </c>
      <c r="K427" t="inlineStr">
        <is>
          <t>https://api.worldbank.org/v2/country/CHN/indicator/SI.POV.GINI?format=json&amp;mrv=10</t>
        </is>
      </c>
      <c r="L427" t="inlineStr">
        <is>
          <t>World Bank WDI: Gini index</t>
        </is>
      </c>
      <c r="M427" t="inlineStr">
        <is>
          <t>2022-12-31</t>
        </is>
      </c>
      <c r="N427" t="inlineStr">
        <is>
          <t>auto_ingest=world_bank_capability; indicator=SI.POV.GINI; year=2022; country_proxy=China</t>
        </is>
      </c>
    </row>
    <row r="428">
      <c r="A428" t="inlineStr">
        <is>
          <t>cn-shanghai</t>
        </is>
      </c>
      <c r="B428" t="inlineStr">
        <is>
          <t>Shanghai</t>
        </is>
      </c>
      <c r="C428" t="inlineStr">
        <is>
          <t>China</t>
        </is>
      </c>
      <c r="D428" t="inlineStr">
        <is>
          <t>East Asia</t>
        </is>
      </c>
      <c r="E428" t="inlineStr">
        <is>
          <t>hospitality_belonging_raw</t>
        </is>
      </c>
      <c r="F428" t="inlineStr">
        <is>
          <t>Hospitality and belonging raw</t>
        </is>
      </c>
      <c r="G428" t="inlineStr">
        <is>
          <t>community</t>
        </is>
      </c>
      <c r="H428" t="inlineStr">
        <is>
          <t>yes</t>
        </is>
      </c>
      <c r="I428" t="inlineStr">
        <is>
          <t>49.81</t>
        </is>
      </c>
      <c r="J428" t="inlineStr">
        <is>
          <t>world_bank</t>
        </is>
      </c>
      <c r="K428" t="inlineStr">
        <is>
          <t>https://api.worldbank.org/v2/country/CHN/indicator/SM.POP.NETM?format=json&amp;mrv=10</t>
        </is>
      </c>
      <c r="L428" t="inlineStr">
        <is>
          <t>World Bank WDI: Net migration (proxy for hospitality/belonging — positive = welcoming)</t>
        </is>
      </c>
      <c r="M428" t="inlineStr">
        <is>
          <t>2025-12-31</t>
        </is>
      </c>
      <c r="N428" t="inlineStr">
        <is>
          <t>auto_ingest=world_bank_proxy; proxy=net_migration_hospitality; indicator=SM.POP.NETM; year=2025; country_proxy=China</t>
        </is>
      </c>
    </row>
    <row r="429">
      <c r="A429" t="inlineStr">
        <is>
          <t>cn-shanghai</t>
        </is>
      </c>
      <c r="B429" t="inlineStr">
        <is>
          <t>Shanghai</t>
        </is>
      </c>
      <c r="C429" t="inlineStr">
        <is>
          <t>China</t>
        </is>
      </c>
      <c r="D429" t="inlineStr">
        <is>
          <t>East Asia</t>
        </is>
      </c>
      <c r="E429" t="inlineStr">
        <is>
          <t>tolerance_pluralism_raw</t>
        </is>
      </c>
      <c r="F429" t="inlineStr">
        <is>
          <t>Tolerance and pluralism raw</t>
        </is>
      </c>
      <c r="G429" t="inlineStr">
        <is>
          <t>community</t>
        </is>
      </c>
      <c r="H429" t="inlineStr">
        <is>
          <t>yes</t>
        </is>
      </c>
      <c r="I429" t="inlineStr">
        <is>
          <t>26.54</t>
        </is>
      </c>
      <c r="J429" t="inlineStr">
        <is>
          <t>world_bank</t>
        </is>
      </c>
      <c r="K429" t="inlineStr">
        <is>
          <t>https://api.worldbank.org/v2/country/CHN/indicator/SG.GEN.PARL.ZS?format=json&amp;mrv=10</t>
        </is>
      </c>
      <c r="L429" t="inlineStr">
        <is>
          <t>World Bank WDI: Proportion of seats held by women in national parliaments (%)</t>
        </is>
      </c>
      <c r="M429" t="inlineStr">
        <is>
          <t>2024-12-31</t>
        </is>
      </c>
      <c r="N429" t="inlineStr">
        <is>
          <t>auto_ingest=world_bank_proxy; proxy=gender_parity_parliament; indicator=SG.GEN.PARL.ZS; year=2024; country_proxy=China</t>
        </is>
      </c>
    </row>
    <row r="430">
      <c r="A430" t="inlineStr">
        <is>
          <t>cn-shanghai</t>
        </is>
      </c>
      <c r="B430" t="inlineStr">
        <is>
          <t>Shanghai</t>
        </is>
      </c>
      <c r="C430" t="inlineStr">
        <is>
          <t>China</t>
        </is>
      </c>
      <c r="D430" t="inlineStr">
        <is>
          <t>East Asia</t>
        </is>
      </c>
      <c r="E430" t="inlineStr">
        <is>
          <t>cultural_public_life_raw</t>
        </is>
      </c>
      <c r="F430" t="inlineStr">
        <is>
          <t>Cultural public life raw</t>
        </is>
      </c>
      <c r="G430" t="inlineStr">
        <is>
          <t>community</t>
        </is>
      </c>
      <c r="H430" t="inlineStr">
        <is>
          <t>yes</t>
        </is>
      </c>
      <c r="I430" t="inlineStr">
        <is>
          <t>21.58</t>
        </is>
      </c>
      <c r="J430" t="inlineStr">
        <is>
          <t>world_bank</t>
        </is>
      </c>
      <c r="K430" t="inlineStr">
        <is>
          <t>https://api.worldbank.org/v2/country/CHN/indicator/ST.INT.ARVL?format=json&amp;mrv=10</t>
        </is>
      </c>
      <c r="L430" t="inlineStr">
        <is>
          <t>World Bank WDI: International tourism arrivals per 1 000 population</t>
        </is>
      </c>
      <c r="M430" t="inlineStr">
        <is>
          <t>2020-12-31</t>
        </is>
      </c>
      <c r="N430" t="inlineStr">
        <is>
          <t>auto_ingest=cultural_life_proxy; indicator=ST.INT.ARVL; norm=per_1000_pop; year=2020; country_proxy=China</t>
        </is>
      </c>
    </row>
    <row r="431">
      <c r="A431" t="inlineStr">
        <is>
          <t>cn-shanghai</t>
        </is>
      </c>
      <c r="B431" t="inlineStr">
        <is>
          <t>Shanghai</t>
        </is>
      </c>
      <c r="C431" t="inlineStr">
        <is>
          <t>China</t>
        </is>
      </c>
      <c r="D431" t="inlineStr">
        <is>
          <t>East Asia</t>
        </is>
      </c>
      <c r="E431" t="inlineStr">
        <is>
          <t>birth_rate_optimism_raw</t>
        </is>
      </c>
      <c r="F431" t="inlineStr">
        <is>
          <t>Birth rate and societal optimism raw</t>
        </is>
      </c>
      <c r="G431" t="inlineStr">
        <is>
          <t>community</t>
        </is>
      </c>
      <c r="H431" t="inlineStr">
        <is>
          <t>yes</t>
        </is>
      </c>
      <c r="I431" t="inlineStr">
        <is>
          <t>1.0</t>
        </is>
      </c>
      <c r="J431" t="inlineStr">
        <is>
          <t>world_bank</t>
        </is>
      </c>
      <c r="K431" t="inlineStr">
        <is>
          <t>https://data.worldbank.org/indicator/SP.DYN.TFRT.IN</t>
        </is>
      </c>
      <c r="L431" t="inlineStr">
        <is>
          <t>World Bank Total Fertility Rate 2023</t>
        </is>
      </c>
      <c r="M431" t="inlineStr">
        <is>
          <t>2024-01-01</t>
        </is>
      </c>
      <c r="N431" t="inlineStr"/>
    </row>
    <row r="432">
      <c r="A432" t="inlineStr">
        <is>
          <t>cn-shanghai</t>
        </is>
      </c>
      <c r="B432" t="inlineStr">
        <is>
          <t>Shanghai</t>
        </is>
      </c>
      <c r="C432" t="inlineStr">
        <is>
          <t>China</t>
        </is>
      </c>
      <c r="D432" t="inlineStr">
        <is>
          <t>East Asia</t>
        </is>
      </c>
      <c r="E432" t="inlineStr">
        <is>
          <t>entrepreneurial_dynamism_raw</t>
        </is>
      </c>
      <c r="F432" t="inlineStr">
        <is>
          <t>Entrepreneurial dynamism raw</t>
        </is>
      </c>
      <c r="G432" t="inlineStr">
        <is>
          <t>creative</t>
        </is>
      </c>
      <c r="H432" t="inlineStr">
        <is>
          <t>yes</t>
        </is>
      </c>
      <c r="I432" t="inlineStr">
        <is>
          <t>8.58</t>
        </is>
      </c>
      <c r="J432" t="inlineStr">
        <is>
          <t>world_bank</t>
        </is>
      </c>
      <c r="K432" t="inlineStr">
        <is>
          <t>https://api.worldbank.org/v2/country/CHN/indicator/IC.BUS.NDNS.ZS?format=json&amp;mrv=10</t>
        </is>
      </c>
      <c r="L432" t="inlineStr">
        <is>
          <t>World Bank WDI: New business density (new registrations per 1,000 people ages 15-64)</t>
        </is>
      </c>
      <c r="M432" t="inlineStr">
        <is>
          <t>2020-12-31</t>
        </is>
      </c>
      <c r="N432" t="inlineStr">
        <is>
          <t>auto_ingest=world_bank_creative_extended; indicator=IC.BUS.NDNS.ZS; year=2020; country_proxy=China</t>
        </is>
      </c>
    </row>
    <row r="433">
      <c r="A433" t="inlineStr">
        <is>
          <t>cn-shanghai</t>
        </is>
      </c>
      <c r="B433" t="inlineStr">
        <is>
          <t>Shanghai</t>
        </is>
      </c>
      <c r="C433" t="inlineStr">
        <is>
          <t>China</t>
        </is>
      </c>
      <c r="D433" t="inlineStr">
        <is>
          <t>East Asia</t>
        </is>
      </c>
      <c r="E433" t="inlineStr">
        <is>
          <t>innovation_research_intensity_raw</t>
        </is>
      </c>
      <c r="F433" t="inlineStr">
        <is>
          <t>Innovation and research raw</t>
        </is>
      </c>
      <c r="G433" t="inlineStr">
        <is>
          <t>creative</t>
        </is>
      </c>
      <c r="H433" t="inlineStr">
        <is>
          <t>yes</t>
        </is>
      </c>
      <c r="I433" t="inlineStr">
        <is>
          <t>2.56</t>
        </is>
      </c>
      <c r="J433" t="inlineStr">
        <is>
          <t>world_bank</t>
        </is>
      </c>
      <c r="K433" t="inlineStr">
        <is>
          <t>https://api.worldbank.org/v2/country/CHN/indicator/GB.XPD.RSDV.GD.ZS?format=json&amp;mrv=10</t>
        </is>
      </c>
      <c r="L433" t="inlineStr">
        <is>
          <t>World Bank WDI: Research and development expenditure (% of GDP)</t>
        </is>
      </c>
      <c r="M433" t="inlineStr">
        <is>
          <t>2022-12-31</t>
        </is>
      </c>
      <c r="N433" t="inlineStr">
        <is>
          <t>auto_ingest=world_bank_creative_extended; indicator=GB.XPD.RSDV.GD.ZS; year=2022; country_proxy=China</t>
        </is>
      </c>
    </row>
    <row r="434">
      <c r="A434" t="inlineStr">
        <is>
          <t>cn-shanghai</t>
        </is>
      </c>
      <c r="B434" t="inlineStr">
        <is>
          <t>Shanghai</t>
        </is>
      </c>
      <c r="C434" t="inlineStr">
        <is>
          <t>China</t>
        </is>
      </c>
      <c r="D434" t="inlineStr">
        <is>
          <t>East Asia</t>
        </is>
      </c>
      <c r="E434" t="inlineStr">
        <is>
          <t>investment_signal_raw</t>
        </is>
      </c>
      <c r="F434" t="inlineStr">
        <is>
          <t>Investment signal raw</t>
        </is>
      </c>
      <c r="G434" t="inlineStr">
        <is>
          <t>creative</t>
        </is>
      </c>
      <c r="H434" t="inlineStr">
        <is>
          <t>yes</t>
        </is>
      </c>
      <c r="I434" t="inlineStr">
        <is>
          <t>0.1</t>
        </is>
      </c>
      <c r="J434" t="inlineStr">
        <is>
          <t>world_bank</t>
        </is>
      </c>
      <c r="K434" t="inlineStr">
        <is>
          <t>https://api.worldbank.org/v2/country/CHN/indicator/BX.KLT.DINV.WD.GD.ZS?format=json&amp;mrv=10</t>
        </is>
      </c>
      <c r="L434" t="inlineStr">
        <is>
          <t>World Bank WDI: Foreign direct investment, net inflows (% of GDP)</t>
        </is>
      </c>
      <c r="M434" t="inlineStr">
        <is>
          <t>2024-12-31</t>
        </is>
      </c>
      <c r="N434" t="inlineStr">
        <is>
          <t>auto_ingest=world_bank_creative_extended; indicator=BX.KLT.DINV.WD.GD.ZS; year=2024; country_proxy=China</t>
        </is>
      </c>
    </row>
    <row r="435">
      <c r="A435" t="inlineStr">
        <is>
          <t>cn-shanghai</t>
        </is>
      </c>
      <c r="B435" t="inlineStr">
        <is>
          <t>Shanghai</t>
        </is>
      </c>
      <c r="C435" t="inlineStr">
        <is>
          <t>China</t>
        </is>
      </c>
      <c r="D435" t="inlineStr">
        <is>
          <t>East Asia</t>
        </is>
      </c>
      <c r="E435" t="inlineStr">
        <is>
          <t>administrative_investment_friction_raw</t>
        </is>
      </c>
      <c r="F435" t="inlineStr">
        <is>
          <t>Administrative investment friction raw</t>
        </is>
      </c>
      <c r="G435" t="inlineStr">
        <is>
          <t>creative</t>
        </is>
      </c>
      <c r="H435" t="inlineStr">
        <is>
          <t>yes</t>
        </is>
      </c>
      <c r="I435" t="inlineStr">
        <is>
          <t>2.86</t>
        </is>
      </c>
      <c r="J435" t="inlineStr">
        <is>
          <t>world_bank</t>
        </is>
      </c>
      <c r="K435" t="inlineStr">
        <is>
          <t>https://api.worldbank.org/v2/country/CHN/indicator/RQ.EST?format=json&amp;mrv=10</t>
        </is>
      </c>
      <c r="L435" t="inlineStr">
        <is>
          <t>World Bank WGI: Regulatory Quality (inverted as friction proxy)</t>
        </is>
      </c>
      <c r="M435" t="inlineStr">
        <is>
          <t>2023-12-31</t>
        </is>
      </c>
      <c r="N435" t="inlineStr">
        <is>
          <t>auto_ingest=world_bank_business_friction; indicator=RQ.EST; raw_rq=-0.356507807970047; friction=2.86; year=2023; country_proxy=China</t>
        </is>
      </c>
    </row>
    <row r="436">
      <c r="A436" t="inlineStr">
        <is>
          <t>cn-shanghai</t>
        </is>
      </c>
      <c r="B436" t="inlineStr">
        <is>
          <t>Shanghai</t>
        </is>
      </c>
      <c r="C436" t="inlineStr">
        <is>
          <t>China</t>
        </is>
      </c>
      <c r="D436" t="inlineStr">
        <is>
          <t>East Asia</t>
        </is>
      </c>
      <c r="E436" t="inlineStr">
        <is>
          <t>visitor_flow_context_raw</t>
        </is>
      </c>
      <c r="F436" t="inlineStr">
        <is>
          <t>Visitor flow context raw</t>
        </is>
      </c>
      <c r="G436" t="inlineStr">
        <is>
          <t>creative</t>
        </is>
      </c>
      <c r="H436" t="inlineStr">
        <is>
          <t>no</t>
        </is>
      </c>
      <c r="I436" t="inlineStr"/>
      <c r="J436" t="inlineStr"/>
      <c r="K436" t="inlineStr"/>
      <c r="L436" t="inlineStr"/>
      <c r="M436" t="inlineStr"/>
      <c r="N436" t="inlineStr"/>
    </row>
    <row r="437">
      <c r="A437" t="inlineStr">
        <is>
          <t>cn-shenzhen</t>
        </is>
      </c>
      <c r="B437" t="inlineStr">
        <is>
          <t>Shenzhen</t>
        </is>
      </c>
      <c r="C437" t="inlineStr">
        <is>
          <t>China</t>
        </is>
      </c>
      <c r="D437" t="inlineStr">
        <is>
          <t>East Asia</t>
        </is>
      </c>
      <c r="E437" t="inlineStr">
        <is>
          <t>gross_income</t>
        </is>
      </c>
      <c r="F437" t="inlineStr">
        <is>
          <t>Gross income</t>
        </is>
      </c>
      <c r="G437" t="inlineStr">
        <is>
          <t>pressure</t>
        </is>
      </c>
      <c r="H437" t="inlineStr">
        <is>
          <t>yes</t>
        </is>
      </c>
      <c r="I437" t="inlineStr">
        <is>
          <t>3140.67</t>
        </is>
      </c>
      <c r="J437" t="inlineStr">
        <is>
          <t>world_bank_col_estimate</t>
        </is>
      </c>
      <c r="K437" t="inlineStr">
        <is>
          <t>https://api.worldbank.org/v2/country/CHN/indicator/NY.GNP.PCAP.PP.CD?format=json&amp;mrv=10</t>
        </is>
      </c>
      <c r="L437" t="inlineStr">
        <is>
          <t>World Bank WDI: GNI per capita PPP (monthly USD)</t>
        </is>
      </c>
      <c r="M437" t="inlineStr">
        <is>
          <t>2024-12-31</t>
        </is>
      </c>
      <c r="N437" t="inlineStr">
        <is>
          <t>auto_ingest=world_bank_col_estimate; gni_annual=26920.0; year=2024; country_proxy=China; cohort=East Asia; city_income_mult=1.4</t>
        </is>
      </c>
    </row>
    <row r="438">
      <c r="A438" t="inlineStr">
        <is>
          <t>cn-shenzhen</t>
        </is>
      </c>
      <c r="B438" t="inlineStr">
        <is>
          <t>Shenzhen</t>
        </is>
      </c>
      <c r="C438" t="inlineStr">
        <is>
          <t>China</t>
        </is>
      </c>
      <c r="D438" t="inlineStr">
        <is>
          <t>East Asia</t>
        </is>
      </c>
      <c r="E438" t="inlineStr">
        <is>
          <t>di_ppp_raw</t>
        </is>
      </c>
      <c r="F438" t="inlineStr">
        <is>
          <t>Disposable income PPP (Raw)</t>
        </is>
      </c>
      <c r="G438" t="inlineStr">
        <is>
          <t>pressure</t>
        </is>
      </c>
      <c r="H438" t="inlineStr">
        <is>
          <t>yes</t>
        </is>
      </c>
      <c r="I438" t="inlineStr"/>
      <c r="J438" t="inlineStr"/>
      <c r="K438" t="inlineStr"/>
      <c r="L438" t="inlineStr"/>
      <c r="M438" t="inlineStr"/>
      <c r="N438" t="inlineStr"/>
    </row>
    <row r="439">
      <c r="A439" t="inlineStr">
        <is>
          <t>cn-shenzhen</t>
        </is>
      </c>
      <c r="B439" t="inlineStr">
        <is>
          <t>Shenzhen</t>
        </is>
      </c>
      <c r="C439" t="inlineStr">
        <is>
          <t>China</t>
        </is>
      </c>
      <c r="D439" t="inlineStr">
        <is>
          <t>East Asia</t>
        </is>
      </c>
      <c r="E439" t="inlineStr">
        <is>
          <t>rent</t>
        </is>
      </c>
      <c r="F439" t="inlineStr">
        <is>
          <t>Rent</t>
        </is>
      </c>
      <c r="G439" t="inlineStr">
        <is>
          <t>pressure</t>
        </is>
      </c>
      <c r="H439" t="inlineStr">
        <is>
          <t>yes</t>
        </is>
      </c>
      <c r="I439" t="inlineStr">
        <is>
          <t>942.2</t>
        </is>
      </c>
      <c r="J439" t="inlineStr">
        <is>
          <t>world_bank_col_estimate</t>
        </is>
      </c>
      <c r="K439" t="inlineStr">
        <is>
          <t>https://api.worldbank.org/v2/country/CHN/indicator/NY.GNP.PCAP.PP.CD?format=json&amp;mrv=10</t>
        </is>
      </c>
      <c r="L439" t="inlineStr">
        <is>
          <t>World Bank GNI + regional expenditure ratio estimate</t>
        </is>
      </c>
      <c r="M439" t="inlineStr">
        <is>
          <t>2024-12-31</t>
        </is>
      </c>
      <c r="N439" t="inlineStr">
        <is>
          <t>auto_ingest=world_bank_col_estimate; gni_annual=26920.0; year=2024; country_proxy=China; cohort=East Asia; city_cost_mult=1.2</t>
        </is>
      </c>
    </row>
    <row r="440">
      <c r="A440" t="inlineStr">
        <is>
          <t>cn-shenzhen</t>
        </is>
      </c>
      <c r="B440" t="inlineStr">
        <is>
          <t>Shenzhen</t>
        </is>
      </c>
      <c r="C440" t="inlineStr">
        <is>
          <t>China</t>
        </is>
      </c>
      <c r="D440" t="inlineStr">
        <is>
          <t>East Asia</t>
        </is>
      </c>
      <c r="E440" t="inlineStr">
        <is>
          <t>utilities</t>
        </is>
      </c>
      <c r="F440" t="inlineStr">
        <is>
          <t>Utilities</t>
        </is>
      </c>
      <c r="G440" t="inlineStr">
        <is>
          <t>pressure</t>
        </is>
      </c>
      <c r="H440" t="inlineStr">
        <is>
          <t>yes</t>
        </is>
      </c>
      <c r="I440" t="inlineStr">
        <is>
          <t>226.13</t>
        </is>
      </c>
      <c r="J440" t="inlineStr">
        <is>
          <t>world_bank_col_estimate</t>
        </is>
      </c>
      <c r="K440" t="inlineStr">
        <is>
          <t>https://api.worldbank.org/v2/country/CHN/indicator/NY.GNP.PCAP.PP.CD?format=json&amp;mrv=10</t>
        </is>
      </c>
      <c r="L440" t="inlineStr">
        <is>
          <t>World Bank GNI + regional expenditure ratio estimate</t>
        </is>
      </c>
      <c r="M440" t="inlineStr">
        <is>
          <t>2024-12-31</t>
        </is>
      </c>
      <c r="N440" t="inlineStr">
        <is>
          <t>auto_ingest=world_bank_col_estimate; gni_annual=26920.0; year=2024; country_proxy=China; cohort=East Asia; city_cost_mult=1.2</t>
        </is>
      </c>
    </row>
    <row r="441">
      <c r="A441" t="inlineStr">
        <is>
          <t>cn-shenzhen</t>
        </is>
      </c>
      <c r="B441" t="inlineStr">
        <is>
          <t>Shenzhen</t>
        </is>
      </c>
      <c r="C441" t="inlineStr">
        <is>
          <t>China</t>
        </is>
      </c>
      <c r="D441" t="inlineStr">
        <is>
          <t>East Asia</t>
        </is>
      </c>
      <c r="E441" t="inlineStr">
        <is>
          <t>transit_cost</t>
        </is>
      </c>
      <c r="F441" t="inlineStr">
        <is>
          <t>Transit cost</t>
        </is>
      </c>
      <c r="G441" t="inlineStr">
        <is>
          <t>pressure</t>
        </is>
      </c>
      <c r="H441" t="inlineStr">
        <is>
          <t>yes</t>
        </is>
      </c>
      <c r="I441" t="inlineStr">
        <is>
          <t>150.75</t>
        </is>
      </c>
      <c r="J441" t="inlineStr">
        <is>
          <t>world_bank_col_estimate</t>
        </is>
      </c>
      <c r="K441" t="inlineStr">
        <is>
          <t>https://api.worldbank.org/v2/country/CHN/indicator/NY.GNP.PCAP.PP.CD?format=json&amp;mrv=10</t>
        </is>
      </c>
      <c r="L441" t="inlineStr">
        <is>
          <t>World Bank GNI + regional expenditure ratio estimate</t>
        </is>
      </c>
      <c r="M441" t="inlineStr">
        <is>
          <t>2024-12-31</t>
        </is>
      </c>
      <c r="N441" t="inlineStr">
        <is>
          <t>auto_ingest=world_bank_col_estimate; gni_annual=26920.0; year=2024; country_proxy=China; cohort=East Asia; city_cost_mult=1.2</t>
        </is>
      </c>
    </row>
    <row r="442">
      <c r="A442" t="inlineStr">
        <is>
          <t>cn-shenzhen</t>
        </is>
      </c>
      <c r="B442" t="inlineStr">
        <is>
          <t>Shenzhen</t>
        </is>
      </c>
      <c r="C442" t="inlineStr">
        <is>
          <t>China</t>
        </is>
      </c>
      <c r="D442" t="inlineStr">
        <is>
          <t>East Asia</t>
        </is>
      </c>
      <c r="E442" t="inlineStr">
        <is>
          <t>internet_cost</t>
        </is>
      </c>
      <c r="F442" t="inlineStr">
        <is>
          <t>Internet cost</t>
        </is>
      </c>
      <c r="G442" t="inlineStr">
        <is>
          <t>pressure</t>
        </is>
      </c>
      <c r="H442" t="inlineStr">
        <is>
          <t>yes</t>
        </is>
      </c>
      <c r="I442" t="inlineStr">
        <is>
          <t>56.53</t>
        </is>
      </c>
      <c r="J442" t="inlineStr">
        <is>
          <t>world_bank_col_estimate</t>
        </is>
      </c>
      <c r="K442" t="inlineStr">
        <is>
          <t>https://api.worldbank.org/v2/country/CHN/indicator/NY.GNP.PCAP.PP.CD?format=json&amp;mrv=10</t>
        </is>
      </c>
      <c r="L442" t="inlineStr">
        <is>
          <t>World Bank GNI + regional expenditure ratio estimate</t>
        </is>
      </c>
      <c r="M442" t="inlineStr">
        <is>
          <t>2024-12-31</t>
        </is>
      </c>
      <c r="N442" t="inlineStr">
        <is>
          <t>auto_ingest=world_bank_col_estimate; gni_annual=26920.0; year=2024; country_proxy=China; cohort=East Asia; city_cost_mult=1.2</t>
        </is>
      </c>
    </row>
    <row r="443">
      <c r="A443" t="inlineStr">
        <is>
          <t>cn-shenzhen</t>
        </is>
      </c>
      <c r="B443" t="inlineStr">
        <is>
          <t>Shenzhen</t>
        </is>
      </c>
      <c r="C443" t="inlineStr">
        <is>
          <t>China</t>
        </is>
      </c>
      <c r="D443" t="inlineStr">
        <is>
          <t>East Asia</t>
        </is>
      </c>
      <c r="E443" t="inlineStr">
        <is>
          <t>food_cost</t>
        </is>
      </c>
      <c r="F443" t="inlineStr">
        <is>
          <t>Food cost</t>
        </is>
      </c>
      <c r="G443" t="inlineStr">
        <is>
          <t>pressure</t>
        </is>
      </c>
      <c r="H443" t="inlineStr">
        <is>
          <t>yes</t>
        </is>
      </c>
      <c r="I443" t="inlineStr">
        <is>
          <t>753.76</t>
        </is>
      </c>
      <c r="J443" t="inlineStr">
        <is>
          <t>world_bank_col_estimate</t>
        </is>
      </c>
      <c r="K443" t="inlineStr">
        <is>
          <t>https://api.worldbank.org/v2/country/CHN/indicator/NY.GNP.PCAP.PP.CD?format=json&amp;mrv=10</t>
        </is>
      </c>
      <c r="L443" t="inlineStr">
        <is>
          <t>World Bank GNI + regional expenditure ratio estimate</t>
        </is>
      </c>
      <c r="M443" t="inlineStr">
        <is>
          <t>2024-12-31</t>
        </is>
      </c>
      <c r="N443" t="inlineStr">
        <is>
          <t>auto_ingest=world_bank_col_estimate; gni_annual=26920.0; year=2024; country_proxy=China; cohort=East Asia; city_cost_mult=1.2</t>
        </is>
      </c>
    </row>
    <row r="444">
      <c r="A444" t="inlineStr">
        <is>
          <t>cn-shenzhen</t>
        </is>
      </c>
      <c r="B444" t="inlineStr">
        <is>
          <t>Shenzhen</t>
        </is>
      </c>
      <c r="C444" t="inlineStr">
        <is>
          <t>China</t>
        </is>
      </c>
      <c r="D444" t="inlineStr">
        <is>
          <t>East Asia</t>
        </is>
      </c>
      <c r="E444" t="inlineStr">
        <is>
          <t>housing_burden_raw</t>
        </is>
      </c>
      <c r="F444" t="inlineStr">
        <is>
          <t>Housing burden raw</t>
        </is>
      </c>
      <c r="G444" t="inlineStr">
        <is>
          <t>pressure</t>
        </is>
      </c>
      <c r="H444" t="inlineStr">
        <is>
          <t>yes</t>
        </is>
      </c>
      <c r="I444" t="inlineStr">
        <is>
          <t>30.0</t>
        </is>
      </c>
      <c r="J444" t="inlineStr">
        <is>
          <t>derived</t>
        </is>
      </c>
      <c r="K444" t="inlineStr">
        <is>
          <t>https://data.worldbank.org/indicator/NY.GNP.PCAP.PP.CD</t>
        </is>
      </c>
      <c r="L444" t="inlineStr">
        <is>
          <t>Computed from city_inputs + country_context</t>
        </is>
      </c>
      <c r="M444" t="inlineStr">
        <is>
          <t>2024-01-01</t>
        </is>
      </c>
      <c r="N444" t="inlineStr">
        <is>
          <t>derived=rent/gross_income*100</t>
        </is>
      </c>
    </row>
    <row r="445">
      <c r="A445" t="inlineStr">
        <is>
          <t>cn-shenzhen</t>
        </is>
      </c>
      <c r="B445" t="inlineStr">
        <is>
          <t>Shenzhen</t>
        </is>
      </c>
      <c r="C445" t="inlineStr">
        <is>
          <t>China</t>
        </is>
      </c>
      <c r="D445" t="inlineStr">
        <is>
          <t>East Asia</t>
        </is>
      </c>
      <c r="E445" t="inlineStr">
        <is>
          <t>household_debt_burden_raw</t>
        </is>
      </c>
      <c r="F445" t="inlineStr">
        <is>
          <t>Household debt burden raw</t>
        </is>
      </c>
      <c r="G445" t="inlineStr">
        <is>
          <t>pressure</t>
        </is>
      </c>
      <c r="H445" t="inlineStr">
        <is>
          <t>yes</t>
        </is>
      </c>
      <c r="I445" t="inlineStr">
        <is>
          <t>194.166</t>
        </is>
      </c>
      <c r="J445" t="inlineStr">
        <is>
          <t>derived</t>
        </is>
      </c>
      <c r="K445" t="inlineStr">
        <is>
          <t>https://data.worldbank.org/indicator/NY.GNP.PCAP.PP.CD</t>
        </is>
      </c>
      <c r="L445" t="inlineStr">
        <is>
          <t>Computed from city_inputs + country_context</t>
        </is>
      </c>
      <c r="M445" t="inlineStr">
        <is>
          <t>2024-01-01</t>
        </is>
      </c>
      <c r="N445" t="inlineStr">
        <is>
          <t>derived=country_context.household_debt_proxy; country=China</t>
        </is>
      </c>
    </row>
    <row r="446">
      <c r="A446" t="inlineStr">
        <is>
          <t>cn-shenzhen</t>
        </is>
      </c>
      <c r="B446" t="inlineStr">
        <is>
          <t>Shenzhen</t>
        </is>
      </c>
      <c r="C446" t="inlineStr">
        <is>
          <t>China</t>
        </is>
      </c>
      <c r="D446" t="inlineStr">
        <is>
          <t>East Asia</t>
        </is>
      </c>
      <c r="E446" t="inlineStr">
        <is>
          <t>working_time_pressure_raw</t>
        </is>
      </c>
      <c r="F446" t="inlineStr">
        <is>
          <t>Working time pressure raw</t>
        </is>
      </c>
      <c r="G446" t="inlineStr">
        <is>
          <t>pressure</t>
        </is>
      </c>
      <c r="H446" t="inlineStr">
        <is>
          <t>yes</t>
        </is>
      </c>
      <c r="I446" t="inlineStr"/>
      <c r="J446" t="inlineStr"/>
      <c r="K446" t="inlineStr"/>
      <c r="L446" t="inlineStr"/>
      <c r="M446" t="inlineStr"/>
      <c r="N446" t="inlineStr"/>
    </row>
    <row r="447">
      <c r="A447" t="inlineStr">
        <is>
          <t>cn-shenzhen</t>
        </is>
      </c>
      <c r="B447" t="inlineStr">
        <is>
          <t>Shenzhen</t>
        </is>
      </c>
      <c r="C447" t="inlineStr">
        <is>
          <t>China</t>
        </is>
      </c>
      <c r="D447" t="inlineStr">
        <is>
          <t>East Asia</t>
        </is>
      </c>
      <c r="E447" t="inlineStr">
        <is>
          <t>suicide_mental_strain_raw</t>
        </is>
      </c>
      <c r="F447" t="inlineStr">
        <is>
          <t>Suicide or mental strain raw</t>
        </is>
      </c>
      <c r="G447" t="inlineStr">
        <is>
          <t>pressure</t>
        </is>
      </c>
      <c r="H447" t="inlineStr">
        <is>
          <t>yes</t>
        </is>
      </c>
      <c r="I447" t="inlineStr">
        <is>
          <t>8.95</t>
        </is>
      </c>
      <c r="J447" t="inlineStr">
        <is>
          <t>who_gho</t>
        </is>
      </c>
      <c r="K447" t="inlineStr">
        <is>
          <t>https://www.who.int/data/gho/data/indicators/indicator-details/GHO/SDGSUICIDE</t>
        </is>
      </c>
      <c r="L447" t="inlineStr">
        <is>
          <t>WHO GHO: Age-standardized suicide rate (per 100,000 population)</t>
        </is>
      </c>
      <c r="M447" t="inlineStr">
        <is>
          <t>2021-12-31</t>
        </is>
      </c>
      <c r="N447" t="inlineStr">
        <is>
          <t>auto_ingest=who_gho; indicator=SDGSUICIDE; year=2021; country_proxy=China</t>
        </is>
      </c>
    </row>
    <row r="448">
      <c r="A448" t="inlineStr">
        <is>
          <t>cn-shenzhen</t>
        </is>
      </c>
      <c r="B448" t="inlineStr">
        <is>
          <t>Shenzhen</t>
        </is>
      </c>
      <c r="C448" t="inlineStr">
        <is>
          <t>China</t>
        </is>
      </c>
      <c r="D448" t="inlineStr">
        <is>
          <t>East Asia</t>
        </is>
      </c>
      <c r="E448" t="inlineStr">
        <is>
          <t>personal_safety_raw</t>
        </is>
      </c>
      <c r="F448" t="inlineStr">
        <is>
          <t>Personal safety raw</t>
        </is>
      </c>
      <c r="G448" t="inlineStr">
        <is>
          <t>viability</t>
        </is>
      </c>
      <c r="H448" t="inlineStr">
        <is>
          <t>yes</t>
        </is>
      </c>
      <c r="I448" t="inlineStr">
        <is>
          <t>0.5</t>
        </is>
      </c>
      <c r="J448" t="inlineStr">
        <is>
          <t>world_bank</t>
        </is>
      </c>
      <c r="K448" t="inlineStr">
        <is>
          <t>https://api.worldbank.org/v2/country/CHN/indicator/VC.IHR.PSRC.P5?format=json&amp;mrv=10</t>
        </is>
      </c>
      <c r="L448" t="inlineStr">
        <is>
          <t>UNODC via World Bank WDI: Intentional homicides (per 100,000 people)</t>
        </is>
      </c>
      <c r="M448" t="inlineStr">
        <is>
          <t>2020-12-31</t>
        </is>
      </c>
      <c r="N448" t="inlineStr">
        <is>
          <t>auto_ingest=unodc_safety; indicator=VC.IHR.PSRC.P5; year=2020; country_proxy=China</t>
        </is>
      </c>
    </row>
    <row r="449">
      <c r="A449" t="inlineStr">
        <is>
          <t>cn-shenzhen</t>
        </is>
      </c>
      <c r="B449" t="inlineStr">
        <is>
          <t>Shenzhen</t>
        </is>
      </c>
      <c r="C449" t="inlineStr">
        <is>
          <t>China</t>
        </is>
      </c>
      <c r="D449" t="inlineStr">
        <is>
          <t>East Asia</t>
        </is>
      </c>
      <c r="E449" t="inlineStr">
        <is>
          <t>transit_access_commute_raw</t>
        </is>
      </c>
      <c r="F449" t="inlineStr">
        <is>
          <t>Transit access and commute raw</t>
        </is>
      </c>
      <c r="G449" t="inlineStr">
        <is>
          <t>viability</t>
        </is>
      </c>
      <c r="H449" t="inlineStr">
        <is>
          <t>yes</t>
        </is>
      </c>
      <c r="I449" t="inlineStr"/>
      <c r="J449" t="inlineStr"/>
      <c r="K449" t="inlineStr"/>
      <c r="L449" t="inlineStr"/>
      <c r="M449" t="inlineStr"/>
      <c r="N449" t="inlineStr"/>
    </row>
    <row r="450">
      <c r="A450" t="inlineStr">
        <is>
          <t>cn-shenzhen</t>
        </is>
      </c>
      <c r="B450" t="inlineStr">
        <is>
          <t>Shenzhen</t>
        </is>
      </c>
      <c r="C450" t="inlineStr">
        <is>
          <t>China</t>
        </is>
      </c>
      <c r="D450" t="inlineStr">
        <is>
          <t>East Asia</t>
        </is>
      </c>
      <c r="E450" t="inlineStr">
        <is>
          <t>clean_air_raw</t>
        </is>
      </c>
      <c r="F450" t="inlineStr">
        <is>
          <t>Clean air raw</t>
        </is>
      </c>
      <c r="G450" t="inlineStr">
        <is>
          <t>viability</t>
        </is>
      </c>
      <c r="H450" t="inlineStr">
        <is>
          <t>yes</t>
        </is>
      </c>
      <c r="I450" t="inlineStr"/>
      <c r="J450" t="inlineStr"/>
      <c r="K450" t="inlineStr"/>
      <c r="L450" t="inlineStr"/>
      <c r="M450" t="inlineStr"/>
      <c r="N450" t="inlineStr"/>
    </row>
    <row r="451">
      <c r="A451" t="inlineStr">
        <is>
          <t>cn-shenzhen</t>
        </is>
      </c>
      <c r="B451" t="inlineStr">
        <is>
          <t>Shenzhen</t>
        </is>
      </c>
      <c r="C451" t="inlineStr">
        <is>
          <t>China</t>
        </is>
      </c>
      <c r="D451" t="inlineStr">
        <is>
          <t>East Asia</t>
        </is>
      </c>
      <c r="E451" t="inlineStr">
        <is>
          <t>water_sanitation_utility_raw</t>
        </is>
      </c>
      <c r="F451" t="inlineStr">
        <is>
          <t>Water, sanitation, and utility raw</t>
        </is>
      </c>
      <c r="G451" t="inlineStr">
        <is>
          <t>viability</t>
        </is>
      </c>
      <c r="H451" t="inlineStr">
        <is>
          <t>yes</t>
        </is>
      </c>
      <c r="I451" t="inlineStr"/>
      <c r="J451" t="inlineStr"/>
      <c r="K451" t="inlineStr"/>
      <c r="L451" t="inlineStr"/>
      <c r="M451" t="inlineStr"/>
      <c r="N451" t="inlineStr"/>
    </row>
    <row r="452">
      <c r="A452" t="inlineStr">
        <is>
          <t>cn-shenzhen</t>
        </is>
      </c>
      <c r="B452" t="inlineStr">
        <is>
          <t>Shenzhen</t>
        </is>
      </c>
      <c r="C452" t="inlineStr">
        <is>
          <t>China</t>
        </is>
      </c>
      <c r="D452" t="inlineStr">
        <is>
          <t>East Asia</t>
        </is>
      </c>
      <c r="E452" t="inlineStr">
        <is>
          <t>digital_infrastructure_raw</t>
        </is>
      </c>
      <c r="F452" t="inlineStr">
        <is>
          <t>Digital infrastructure raw</t>
        </is>
      </c>
      <c r="G452" t="inlineStr">
        <is>
          <t>viability</t>
        </is>
      </c>
      <c r="H452" t="inlineStr">
        <is>
          <t>yes</t>
        </is>
      </c>
      <c r="I452" t="inlineStr">
        <is>
          <t>44.73</t>
        </is>
      </c>
      <c r="J452" t="inlineStr">
        <is>
          <t>world_bank</t>
        </is>
      </c>
      <c r="K452" t="inlineStr">
        <is>
          <t>https://api.worldbank.org/v2/country/CHN/indicator/IT.NET.BBND.P2?format=json&amp;mrv=10</t>
        </is>
      </c>
      <c r="L452" t="inlineStr">
        <is>
          <t>World Bank WDI: Fixed broadband subscriptions (per 100 people)</t>
        </is>
      </c>
      <c r="M452" t="inlineStr">
        <is>
          <t>2023-12-31</t>
        </is>
      </c>
      <c r="N452" t="inlineStr">
        <is>
          <t>auto_ingest=world_bank_proxy; indicator=IT.NET.BBND.P2; year=2023; country_proxy=China</t>
        </is>
      </c>
    </row>
    <row r="453">
      <c r="A453" t="inlineStr">
        <is>
          <t>cn-shenzhen</t>
        </is>
      </c>
      <c r="B453" t="inlineStr">
        <is>
          <t>Shenzhen</t>
        </is>
      </c>
      <c r="C453" t="inlineStr">
        <is>
          <t>China</t>
        </is>
      </c>
      <c r="D453" t="inlineStr">
        <is>
          <t>East Asia</t>
        </is>
      </c>
      <c r="E453" t="inlineStr">
        <is>
          <t>climate_sunlight_livability_raw</t>
        </is>
      </c>
      <c r="F453" t="inlineStr">
        <is>
          <t>Climate and sunlight livability raw</t>
        </is>
      </c>
      <c r="G453" t="inlineStr">
        <is>
          <t>viability</t>
        </is>
      </c>
      <c r="H453" t="inlineStr">
        <is>
          <t>yes</t>
        </is>
      </c>
      <c r="I453" t="inlineStr">
        <is>
          <t>66</t>
        </is>
      </c>
      <c r="J453" t="inlineStr">
        <is>
          <t>wmo_natl_met</t>
        </is>
      </c>
      <c r="K453" t="inlineStr">
        <is>
          <t>https://worldweather.wmo.int</t>
        </is>
      </c>
      <c r="L453" t="inlineStr">
        <is>
          <t>WMO/National Met: Climate livability composite</t>
        </is>
      </c>
      <c r="M453" t="inlineStr">
        <is>
          <t>2024-12-31</t>
        </is>
      </c>
      <c r="N453" t="inlineStr">
        <is>
          <t>auto_seed=climate_composite; 1950 sun hrs, 23C mean, subtropical comfort</t>
        </is>
      </c>
    </row>
    <row r="454">
      <c r="A454" t="inlineStr">
        <is>
          <t>cn-shenzhen</t>
        </is>
      </c>
      <c r="B454" t="inlineStr">
        <is>
          <t>Shenzhen</t>
        </is>
      </c>
      <c r="C454" t="inlineStr">
        <is>
          <t>China</t>
        </is>
      </c>
      <c r="D454" t="inlineStr">
        <is>
          <t>East Asia</t>
        </is>
      </c>
      <c r="E454" t="inlineStr">
        <is>
          <t>healthcare_quality_raw</t>
        </is>
      </c>
      <c r="F454" t="inlineStr">
        <is>
          <t>Healthcare quality raw</t>
        </is>
      </c>
      <c r="G454" t="inlineStr">
        <is>
          <t>capability</t>
        </is>
      </c>
      <c r="H454" t="inlineStr">
        <is>
          <t>yes</t>
        </is>
      </c>
      <c r="I454" t="inlineStr">
        <is>
          <t>85.0</t>
        </is>
      </c>
      <c r="J454" t="inlineStr">
        <is>
          <t>who_gho</t>
        </is>
      </c>
      <c r="K454" t="inlineStr">
        <is>
          <t>https://www.who.int/data/gho/data/indicators/indicator-details/GHO/UHC_INDEX_REPORTED</t>
        </is>
      </c>
      <c r="L454" t="inlineStr">
        <is>
          <t>WHO GHO: UHC Service Coverage Index</t>
        </is>
      </c>
      <c r="M454" t="inlineStr">
        <is>
          <t>2023-12-31</t>
        </is>
      </c>
      <c r="N454" t="inlineStr">
        <is>
          <t>auto_ingest=who_gho; indicator=UHC_INDEX_REPORTED; year=2023; country_proxy=China</t>
        </is>
      </c>
    </row>
    <row r="455">
      <c r="A455" t="inlineStr">
        <is>
          <t>cn-shenzhen</t>
        </is>
      </c>
      <c r="B455" t="inlineStr">
        <is>
          <t>Shenzhen</t>
        </is>
      </c>
      <c r="C455" t="inlineStr">
        <is>
          <t>China</t>
        </is>
      </c>
      <c r="D455" t="inlineStr">
        <is>
          <t>East Asia</t>
        </is>
      </c>
      <c r="E455" t="inlineStr">
        <is>
          <t>education_quality_raw</t>
        </is>
      </c>
      <c r="F455" t="inlineStr">
        <is>
          <t>Education quality raw</t>
        </is>
      </c>
      <c r="G455" t="inlineStr">
        <is>
          <t>capability</t>
        </is>
      </c>
      <c r="H455" t="inlineStr">
        <is>
          <t>yes</t>
        </is>
      </c>
      <c r="I455" t="inlineStr">
        <is>
          <t>76.88</t>
        </is>
      </c>
      <c r="J455" t="inlineStr">
        <is>
          <t>world_bank</t>
        </is>
      </c>
      <c r="K455" t="inlineStr">
        <is>
          <t>https://api.worldbank.org/v2/country/CHN/indicator/SE.TER.ENRR?format=json&amp;mrv=10</t>
        </is>
      </c>
      <c r="L455" t="inlineStr">
        <is>
          <t>World Bank WDI: School enrollment, tertiary (% gross)</t>
        </is>
      </c>
      <c r="M455" t="inlineStr">
        <is>
          <t>2024-12-31</t>
        </is>
      </c>
      <c r="N455" t="inlineStr">
        <is>
          <t>auto_ingest=world_bank_proxy; indicator=SE.TER.ENRR; year=2024; country_proxy=China</t>
        </is>
      </c>
    </row>
    <row r="456">
      <c r="A456" t="inlineStr">
        <is>
          <t>cn-shenzhen</t>
        </is>
      </c>
      <c r="B456" t="inlineStr">
        <is>
          <t>Shenzhen</t>
        </is>
      </c>
      <c r="C456" t="inlineStr">
        <is>
          <t>China</t>
        </is>
      </c>
      <c r="D456" t="inlineStr">
        <is>
          <t>East Asia</t>
        </is>
      </c>
      <c r="E456" t="inlineStr">
        <is>
          <t>equal_opportunity_raw</t>
        </is>
      </c>
      <c r="F456" t="inlineStr">
        <is>
          <t>Equal opportunity raw</t>
        </is>
      </c>
      <c r="G456" t="inlineStr">
        <is>
          <t>capability</t>
        </is>
      </c>
      <c r="H456" t="inlineStr">
        <is>
          <t>yes</t>
        </is>
      </c>
      <c r="I456" t="inlineStr">
        <is>
          <t>36.0</t>
        </is>
      </c>
      <c r="J456" t="inlineStr">
        <is>
          <t>world_bank</t>
        </is>
      </c>
      <c r="K456" t="inlineStr">
        <is>
          <t>https://api.worldbank.org/v2/country/CHN/indicator/SI.POV.GINI?format=json&amp;mrv=10</t>
        </is>
      </c>
      <c r="L456" t="inlineStr">
        <is>
          <t>World Bank WDI: Gini index</t>
        </is>
      </c>
      <c r="M456" t="inlineStr">
        <is>
          <t>2022-12-31</t>
        </is>
      </c>
      <c r="N456" t="inlineStr">
        <is>
          <t>auto_ingest=world_bank_capability; indicator=SI.POV.GINI; year=2022; country_proxy=China</t>
        </is>
      </c>
    </row>
    <row r="457">
      <c r="A457" t="inlineStr">
        <is>
          <t>cn-shenzhen</t>
        </is>
      </c>
      <c r="B457" t="inlineStr">
        <is>
          <t>Shenzhen</t>
        </is>
      </c>
      <c r="C457" t="inlineStr">
        <is>
          <t>China</t>
        </is>
      </c>
      <c r="D457" t="inlineStr">
        <is>
          <t>East Asia</t>
        </is>
      </c>
      <c r="E457" t="inlineStr">
        <is>
          <t>hospitality_belonging_raw</t>
        </is>
      </c>
      <c r="F457" t="inlineStr">
        <is>
          <t>Hospitality and belonging raw</t>
        </is>
      </c>
      <c r="G457" t="inlineStr">
        <is>
          <t>community</t>
        </is>
      </c>
      <c r="H457" t="inlineStr">
        <is>
          <t>yes</t>
        </is>
      </c>
      <c r="I457" t="inlineStr">
        <is>
          <t>49.81</t>
        </is>
      </c>
      <c r="J457" t="inlineStr">
        <is>
          <t>world_bank</t>
        </is>
      </c>
      <c r="K457" t="inlineStr">
        <is>
          <t>https://api.worldbank.org/v2/country/CHN/indicator/SM.POP.NETM?format=json&amp;mrv=10</t>
        </is>
      </c>
      <c r="L457" t="inlineStr">
        <is>
          <t>World Bank WDI: Net migration (proxy for hospitality/belonging — positive = welcoming)</t>
        </is>
      </c>
      <c r="M457" t="inlineStr">
        <is>
          <t>2025-12-31</t>
        </is>
      </c>
      <c r="N457" t="inlineStr">
        <is>
          <t>auto_ingest=world_bank_proxy; proxy=net_migration_hospitality; indicator=SM.POP.NETM; year=2025; country_proxy=China</t>
        </is>
      </c>
    </row>
    <row r="458">
      <c r="A458" t="inlineStr">
        <is>
          <t>cn-shenzhen</t>
        </is>
      </c>
      <c r="B458" t="inlineStr">
        <is>
          <t>Shenzhen</t>
        </is>
      </c>
      <c r="C458" t="inlineStr">
        <is>
          <t>China</t>
        </is>
      </c>
      <c r="D458" t="inlineStr">
        <is>
          <t>East Asia</t>
        </is>
      </c>
      <c r="E458" t="inlineStr">
        <is>
          <t>tolerance_pluralism_raw</t>
        </is>
      </c>
      <c r="F458" t="inlineStr">
        <is>
          <t>Tolerance and pluralism raw</t>
        </is>
      </c>
      <c r="G458" t="inlineStr">
        <is>
          <t>community</t>
        </is>
      </c>
      <c r="H458" t="inlineStr">
        <is>
          <t>yes</t>
        </is>
      </c>
      <c r="I458" t="inlineStr">
        <is>
          <t>26.54</t>
        </is>
      </c>
      <c r="J458" t="inlineStr">
        <is>
          <t>world_bank</t>
        </is>
      </c>
      <c r="K458" t="inlineStr">
        <is>
          <t>https://api.worldbank.org/v2/country/CHN/indicator/SG.GEN.PARL.ZS?format=json&amp;mrv=10</t>
        </is>
      </c>
      <c r="L458" t="inlineStr">
        <is>
          <t>World Bank WDI: Proportion of seats held by women in national parliaments (%)</t>
        </is>
      </c>
      <c r="M458" t="inlineStr">
        <is>
          <t>2024-12-31</t>
        </is>
      </c>
      <c r="N458" t="inlineStr">
        <is>
          <t>auto_ingest=world_bank_proxy; proxy=gender_parity_parliament; indicator=SG.GEN.PARL.ZS; year=2024; country_proxy=China</t>
        </is>
      </c>
    </row>
    <row r="459">
      <c r="A459" t="inlineStr">
        <is>
          <t>cn-shenzhen</t>
        </is>
      </c>
      <c r="B459" t="inlineStr">
        <is>
          <t>Shenzhen</t>
        </is>
      </c>
      <c r="C459" t="inlineStr">
        <is>
          <t>China</t>
        </is>
      </c>
      <c r="D459" t="inlineStr">
        <is>
          <t>East Asia</t>
        </is>
      </c>
      <c r="E459" t="inlineStr">
        <is>
          <t>cultural_public_life_raw</t>
        </is>
      </c>
      <c r="F459" t="inlineStr">
        <is>
          <t>Cultural public life raw</t>
        </is>
      </c>
      <c r="G459" t="inlineStr">
        <is>
          <t>community</t>
        </is>
      </c>
      <c r="H459" t="inlineStr">
        <is>
          <t>yes</t>
        </is>
      </c>
      <c r="I459" t="inlineStr">
        <is>
          <t>21.58</t>
        </is>
      </c>
      <c r="J459" t="inlineStr">
        <is>
          <t>world_bank</t>
        </is>
      </c>
      <c r="K459" t="inlineStr">
        <is>
          <t>https://api.worldbank.org/v2/country/CHN/indicator/ST.INT.ARVL?format=json&amp;mrv=10</t>
        </is>
      </c>
      <c r="L459" t="inlineStr">
        <is>
          <t>World Bank WDI: International tourism arrivals per 1 000 population</t>
        </is>
      </c>
      <c r="M459" t="inlineStr">
        <is>
          <t>2020-12-31</t>
        </is>
      </c>
      <c r="N459" t="inlineStr">
        <is>
          <t>auto_ingest=cultural_life_proxy; indicator=ST.INT.ARVL; norm=per_1000_pop; year=2020; country_proxy=China</t>
        </is>
      </c>
    </row>
    <row r="460">
      <c r="A460" t="inlineStr">
        <is>
          <t>cn-shenzhen</t>
        </is>
      </c>
      <c r="B460" t="inlineStr">
        <is>
          <t>Shenzhen</t>
        </is>
      </c>
      <c r="C460" t="inlineStr">
        <is>
          <t>China</t>
        </is>
      </c>
      <c r="D460" t="inlineStr">
        <is>
          <t>East Asia</t>
        </is>
      </c>
      <c r="E460" t="inlineStr">
        <is>
          <t>birth_rate_optimism_raw</t>
        </is>
      </c>
      <c r="F460" t="inlineStr">
        <is>
          <t>Birth rate and societal optimism raw</t>
        </is>
      </c>
      <c r="G460" t="inlineStr">
        <is>
          <t>community</t>
        </is>
      </c>
      <c r="H460" t="inlineStr">
        <is>
          <t>yes</t>
        </is>
      </c>
      <c r="I460" t="inlineStr">
        <is>
          <t>1.0</t>
        </is>
      </c>
      <c r="J460" t="inlineStr">
        <is>
          <t>world_bank</t>
        </is>
      </c>
      <c r="K460" t="inlineStr">
        <is>
          <t>https://data.worldbank.org/indicator/SP.DYN.TFRT.IN</t>
        </is>
      </c>
      <c r="L460" t="inlineStr">
        <is>
          <t>World Bank Total Fertility Rate 2023</t>
        </is>
      </c>
      <c r="M460" t="inlineStr">
        <is>
          <t>2024-01-01</t>
        </is>
      </c>
      <c r="N460" t="inlineStr"/>
    </row>
    <row r="461">
      <c r="A461" t="inlineStr">
        <is>
          <t>cn-shenzhen</t>
        </is>
      </c>
      <c r="B461" t="inlineStr">
        <is>
          <t>Shenzhen</t>
        </is>
      </c>
      <c r="C461" t="inlineStr">
        <is>
          <t>China</t>
        </is>
      </c>
      <c r="D461" t="inlineStr">
        <is>
          <t>East Asia</t>
        </is>
      </c>
      <c r="E461" t="inlineStr">
        <is>
          <t>entrepreneurial_dynamism_raw</t>
        </is>
      </c>
      <c r="F461" t="inlineStr">
        <is>
          <t>Entrepreneurial dynamism raw</t>
        </is>
      </c>
      <c r="G461" t="inlineStr">
        <is>
          <t>creative</t>
        </is>
      </c>
      <c r="H461" t="inlineStr">
        <is>
          <t>yes</t>
        </is>
      </c>
      <c r="I461" t="inlineStr">
        <is>
          <t>8.58</t>
        </is>
      </c>
      <c r="J461" t="inlineStr">
        <is>
          <t>world_bank</t>
        </is>
      </c>
      <c r="K461" t="inlineStr">
        <is>
          <t>https://api.worldbank.org/v2/country/CHN/indicator/IC.BUS.NDNS.ZS?format=json&amp;mrv=10</t>
        </is>
      </c>
      <c r="L461" t="inlineStr">
        <is>
          <t>World Bank WDI: New business density (new registrations per 1,000 people ages 15-64)</t>
        </is>
      </c>
      <c r="M461" t="inlineStr">
        <is>
          <t>2020-12-31</t>
        </is>
      </c>
      <c r="N461" t="inlineStr">
        <is>
          <t>auto_ingest=world_bank_creative_extended; indicator=IC.BUS.NDNS.ZS; year=2020; country_proxy=China</t>
        </is>
      </c>
    </row>
    <row r="462">
      <c r="A462" t="inlineStr">
        <is>
          <t>cn-shenzhen</t>
        </is>
      </c>
      <c r="B462" t="inlineStr">
        <is>
          <t>Shenzhen</t>
        </is>
      </c>
      <c r="C462" t="inlineStr">
        <is>
          <t>China</t>
        </is>
      </c>
      <c r="D462" t="inlineStr">
        <is>
          <t>East Asia</t>
        </is>
      </c>
      <c r="E462" t="inlineStr">
        <is>
          <t>innovation_research_intensity_raw</t>
        </is>
      </c>
      <c r="F462" t="inlineStr">
        <is>
          <t>Innovation and research raw</t>
        </is>
      </c>
      <c r="G462" t="inlineStr">
        <is>
          <t>creative</t>
        </is>
      </c>
      <c r="H462" t="inlineStr">
        <is>
          <t>yes</t>
        </is>
      </c>
      <c r="I462" t="inlineStr">
        <is>
          <t>2.56</t>
        </is>
      </c>
      <c r="J462" t="inlineStr">
        <is>
          <t>world_bank</t>
        </is>
      </c>
      <c r="K462" t="inlineStr">
        <is>
          <t>https://api.worldbank.org/v2/country/CHN/indicator/GB.XPD.RSDV.GD.ZS?format=json&amp;mrv=10</t>
        </is>
      </c>
      <c r="L462" t="inlineStr">
        <is>
          <t>World Bank WDI: Research and development expenditure (% of GDP)</t>
        </is>
      </c>
      <c r="M462" t="inlineStr">
        <is>
          <t>2022-12-31</t>
        </is>
      </c>
      <c r="N462" t="inlineStr">
        <is>
          <t>auto_ingest=world_bank_creative_extended; indicator=GB.XPD.RSDV.GD.ZS; year=2022; country_proxy=China</t>
        </is>
      </c>
    </row>
    <row r="463">
      <c r="A463" t="inlineStr">
        <is>
          <t>cn-shenzhen</t>
        </is>
      </c>
      <c r="B463" t="inlineStr">
        <is>
          <t>Shenzhen</t>
        </is>
      </c>
      <c r="C463" t="inlineStr">
        <is>
          <t>China</t>
        </is>
      </c>
      <c r="D463" t="inlineStr">
        <is>
          <t>East Asia</t>
        </is>
      </c>
      <c r="E463" t="inlineStr">
        <is>
          <t>investment_signal_raw</t>
        </is>
      </c>
      <c r="F463" t="inlineStr">
        <is>
          <t>Investment signal raw</t>
        </is>
      </c>
      <c r="G463" t="inlineStr">
        <is>
          <t>creative</t>
        </is>
      </c>
      <c r="H463" t="inlineStr">
        <is>
          <t>yes</t>
        </is>
      </c>
      <c r="I463" t="inlineStr">
        <is>
          <t>0.1</t>
        </is>
      </c>
      <c r="J463" t="inlineStr">
        <is>
          <t>world_bank</t>
        </is>
      </c>
      <c r="K463" t="inlineStr">
        <is>
          <t>https://api.worldbank.org/v2/country/CHN/indicator/BX.KLT.DINV.WD.GD.ZS?format=json&amp;mrv=10</t>
        </is>
      </c>
      <c r="L463" t="inlineStr">
        <is>
          <t>World Bank WDI: Foreign direct investment, net inflows (% of GDP)</t>
        </is>
      </c>
      <c r="M463" t="inlineStr">
        <is>
          <t>2024-12-31</t>
        </is>
      </c>
      <c r="N463" t="inlineStr">
        <is>
          <t>auto_ingest=world_bank_creative_extended; indicator=BX.KLT.DINV.WD.GD.ZS; year=2024; country_proxy=China</t>
        </is>
      </c>
    </row>
    <row r="464">
      <c r="A464" t="inlineStr">
        <is>
          <t>cn-shenzhen</t>
        </is>
      </c>
      <c r="B464" t="inlineStr">
        <is>
          <t>Shenzhen</t>
        </is>
      </c>
      <c r="C464" t="inlineStr">
        <is>
          <t>China</t>
        </is>
      </c>
      <c r="D464" t="inlineStr">
        <is>
          <t>East Asia</t>
        </is>
      </c>
      <c r="E464" t="inlineStr">
        <is>
          <t>administrative_investment_friction_raw</t>
        </is>
      </c>
      <c r="F464" t="inlineStr">
        <is>
          <t>Administrative investment friction raw</t>
        </is>
      </c>
      <c r="G464" t="inlineStr">
        <is>
          <t>creative</t>
        </is>
      </c>
      <c r="H464" t="inlineStr">
        <is>
          <t>yes</t>
        </is>
      </c>
      <c r="I464" t="inlineStr">
        <is>
          <t>2.86</t>
        </is>
      </c>
      <c r="J464" t="inlineStr">
        <is>
          <t>world_bank</t>
        </is>
      </c>
      <c r="K464" t="inlineStr">
        <is>
          <t>https://api.worldbank.org/v2/country/CHN/indicator/RQ.EST?format=json&amp;mrv=10</t>
        </is>
      </c>
      <c r="L464" t="inlineStr">
        <is>
          <t>World Bank WGI: Regulatory Quality (inverted as friction proxy)</t>
        </is>
      </c>
      <c r="M464" t="inlineStr">
        <is>
          <t>2023-12-31</t>
        </is>
      </c>
      <c r="N464" t="inlineStr">
        <is>
          <t>auto_ingest=world_bank_business_friction; indicator=RQ.EST; raw_rq=-0.356507807970047; friction=2.86; year=2023; country_proxy=China</t>
        </is>
      </c>
    </row>
    <row r="465">
      <c r="A465" t="inlineStr">
        <is>
          <t>cn-shenzhen</t>
        </is>
      </c>
      <c r="B465" t="inlineStr">
        <is>
          <t>Shenzhen</t>
        </is>
      </c>
      <c r="C465" t="inlineStr">
        <is>
          <t>China</t>
        </is>
      </c>
      <c r="D465" t="inlineStr">
        <is>
          <t>East Asia</t>
        </is>
      </c>
      <c r="E465" t="inlineStr">
        <is>
          <t>visitor_flow_context_raw</t>
        </is>
      </c>
      <c r="F465" t="inlineStr">
        <is>
          <t>Visitor flow context raw</t>
        </is>
      </c>
      <c r="G465" t="inlineStr">
        <is>
          <t>creative</t>
        </is>
      </c>
      <c r="H465" t="inlineStr">
        <is>
          <t>no</t>
        </is>
      </c>
      <c r="I465" t="inlineStr"/>
      <c r="J465" t="inlineStr"/>
      <c r="K465" t="inlineStr"/>
      <c r="L465" t="inlineStr"/>
      <c r="M465" t="inlineStr"/>
      <c r="N465" t="inlineStr"/>
    </row>
    <row r="466">
      <c r="A466" t="inlineStr">
        <is>
          <t>cn-chengdu</t>
        </is>
      </c>
      <c r="B466" t="inlineStr">
        <is>
          <t>Chengdu</t>
        </is>
      </c>
      <c r="C466" t="inlineStr">
        <is>
          <t>China</t>
        </is>
      </c>
      <c r="D466" t="inlineStr">
        <is>
          <t>East Asia</t>
        </is>
      </c>
      <c r="E466" t="inlineStr">
        <is>
          <t>gross_income</t>
        </is>
      </c>
      <c r="F466" t="inlineStr">
        <is>
          <t>Gross income</t>
        </is>
      </c>
      <c r="G466" t="inlineStr">
        <is>
          <t>pressure</t>
        </is>
      </c>
      <c r="H466" t="inlineStr">
        <is>
          <t>yes</t>
        </is>
      </c>
      <c r="I466" t="inlineStr">
        <is>
          <t>2019.0</t>
        </is>
      </c>
      <c r="J466" t="inlineStr">
        <is>
          <t>world_bank_col_estimate</t>
        </is>
      </c>
      <c r="K466" t="inlineStr">
        <is>
          <t>https://api.worldbank.org/v2/country/CHN/indicator/NY.GNP.PCAP.PP.CD?format=json&amp;mrv=10</t>
        </is>
      </c>
      <c r="L466" t="inlineStr">
        <is>
          <t>World Bank WDI: GNI per capita PPP (monthly USD)</t>
        </is>
      </c>
      <c r="M466" t="inlineStr">
        <is>
          <t>2024-12-31</t>
        </is>
      </c>
      <c r="N466" t="inlineStr">
        <is>
          <t>auto_ingest=world_bank_col_estimate; gni_annual=26920.0; year=2024; country_proxy=China; cohort=East Asia; city_income_mult=0.9</t>
        </is>
      </c>
    </row>
    <row r="467">
      <c r="A467" t="inlineStr">
        <is>
          <t>cn-chengdu</t>
        </is>
      </c>
      <c r="B467" t="inlineStr">
        <is>
          <t>Chengdu</t>
        </is>
      </c>
      <c r="C467" t="inlineStr">
        <is>
          <t>China</t>
        </is>
      </c>
      <c r="D467" t="inlineStr">
        <is>
          <t>East Asia</t>
        </is>
      </c>
      <c r="E467" t="inlineStr">
        <is>
          <t>di_ppp_raw</t>
        </is>
      </c>
      <c r="F467" t="inlineStr">
        <is>
          <t>Disposable income PPP (Raw)</t>
        </is>
      </c>
      <c r="G467" t="inlineStr">
        <is>
          <t>pressure</t>
        </is>
      </c>
      <c r="H467" t="inlineStr">
        <is>
          <t>yes</t>
        </is>
      </c>
      <c r="I467" t="inlineStr"/>
      <c r="J467" t="inlineStr"/>
      <c r="K467" t="inlineStr"/>
      <c r="L467" t="inlineStr"/>
      <c r="M467" t="inlineStr"/>
      <c r="N467" t="inlineStr"/>
    </row>
    <row r="468">
      <c r="A468" t="inlineStr">
        <is>
          <t>cn-chengdu</t>
        </is>
      </c>
      <c r="B468" t="inlineStr">
        <is>
          <t>Chengdu</t>
        </is>
      </c>
      <c r="C468" t="inlineStr">
        <is>
          <t>China</t>
        </is>
      </c>
      <c r="D468" t="inlineStr">
        <is>
          <t>East Asia</t>
        </is>
      </c>
      <c r="E468" t="inlineStr">
        <is>
          <t>rent</t>
        </is>
      </c>
      <c r="F468" t="inlineStr">
        <is>
          <t>Rent</t>
        </is>
      </c>
      <c r="G468" t="inlineStr">
        <is>
          <t>pressure</t>
        </is>
      </c>
      <c r="H468" t="inlineStr">
        <is>
          <t>yes</t>
        </is>
      </c>
      <c r="I468" t="inlineStr">
        <is>
          <t>429.04</t>
        </is>
      </c>
      <c r="J468" t="inlineStr">
        <is>
          <t>world_bank_col_estimate</t>
        </is>
      </c>
      <c r="K468" t="inlineStr">
        <is>
          <t>https://api.worldbank.org/v2/country/CHN/indicator/NY.GNP.PCAP.PP.CD?format=json&amp;mrv=10</t>
        </is>
      </c>
      <c r="L468" t="inlineStr">
        <is>
          <t>World Bank GNI + regional expenditure ratio estimate</t>
        </is>
      </c>
      <c r="M468" t="inlineStr">
        <is>
          <t>2024-12-31</t>
        </is>
      </c>
      <c r="N468" t="inlineStr">
        <is>
          <t>auto_ingest=world_bank_col_estimate; gni_annual=26920.0; year=2024; country_proxy=China; cohort=East Asia; city_cost_mult=0.85</t>
        </is>
      </c>
    </row>
    <row r="469">
      <c r="A469" t="inlineStr">
        <is>
          <t>cn-chengdu</t>
        </is>
      </c>
      <c r="B469" t="inlineStr">
        <is>
          <t>Chengdu</t>
        </is>
      </c>
      <c r="C469" t="inlineStr">
        <is>
          <t>China</t>
        </is>
      </c>
      <c r="D469" t="inlineStr">
        <is>
          <t>East Asia</t>
        </is>
      </c>
      <c r="E469" t="inlineStr">
        <is>
          <t>utilities</t>
        </is>
      </c>
      <c r="F469" t="inlineStr">
        <is>
          <t>Utilities</t>
        </is>
      </c>
      <c r="G469" t="inlineStr">
        <is>
          <t>pressure</t>
        </is>
      </c>
      <c r="H469" t="inlineStr">
        <is>
          <t>yes</t>
        </is>
      </c>
      <c r="I469" t="inlineStr">
        <is>
          <t>102.97</t>
        </is>
      </c>
      <c r="J469" t="inlineStr">
        <is>
          <t>world_bank_col_estimate</t>
        </is>
      </c>
      <c r="K469" t="inlineStr">
        <is>
          <t>https://api.worldbank.org/v2/country/CHN/indicator/NY.GNP.PCAP.PP.CD?format=json&amp;mrv=10</t>
        </is>
      </c>
      <c r="L469" t="inlineStr">
        <is>
          <t>World Bank GNI + regional expenditure ratio estimate</t>
        </is>
      </c>
      <c r="M469" t="inlineStr">
        <is>
          <t>2024-12-31</t>
        </is>
      </c>
      <c r="N469" t="inlineStr">
        <is>
          <t>auto_ingest=world_bank_col_estimate; gni_annual=26920.0; year=2024; country_proxy=China; cohort=East Asia; city_cost_mult=0.85</t>
        </is>
      </c>
    </row>
    <row r="470">
      <c r="A470" t="inlineStr">
        <is>
          <t>cn-chengdu</t>
        </is>
      </c>
      <c r="B470" t="inlineStr">
        <is>
          <t>Chengdu</t>
        </is>
      </c>
      <c r="C470" t="inlineStr">
        <is>
          <t>China</t>
        </is>
      </c>
      <c r="D470" t="inlineStr">
        <is>
          <t>East Asia</t>
        </is>
      </c>
      <c r="E470" t="inlineStr">
        <is>
          <t>transit_cost</t>
        </is>
      </c>
      <c r="F470" t="inlineStr">
        <is>
          <t>Transit cost</t>
        </is>
      </c>
      <c r="G470" t="inlineStr">
        <is>
          <t>pressure</t>
        </is>
      </c>
      <c r="H470" t="inlineStr">
        <is>
          <t>yes</t>
        </is>
      </c>
      <c r="I470" t="inlineStr">
        <is>
          <t>68.65</t>
        </is>
      </c>
      <c r="J470" t="inlineStr">
        <is>
          <t>world_bank_col_estimate</t>
        </is>
      </c>
      <c r="K470" t="inlineStr">
        <is>
          <t>https://api.worldbank.org/v2/country/CHN/indicator/NY.GNP.PCAP.PP.CD?format=json&amp;mrv=10</t>
        </is>
      </c>
      <c r="L470" t="inlineStr">
        <is>
          <t>World Bank GNI + regional expenditure ratio estimate</t>
        </is>
      </c>
      <c r="M470" t="inlineStr">
        <is>
          <t>2024-12-31</t>
        </is>
      </c>
      <c r="N470" t="inlineStr">
        <is>
          <t>auto_ingest=world_bank_col_estimate; gni_annual=26920.0; year=2024; country_proxy=China; cohort=East Asia; city_cost_mult=0.85</t>
        </is>
      </c>
    </row>
    <row r="471">
      <c r="A471" t="inlineStr">
        <is>
          <t>cn-chengdu</t>
        </is>
      </c>
      <c r="B471" t="inlineStr">
        <is>
          <t>Chengdu</t>
        </is>
      </c>
      <c r="C471" t="inlineStr">
        <is>
          <t>China</t>
        </is>
      </c>
      <c r="D471" t="inlineStr">
        <is>
          <t>East Asia</t>
        </is>
      </c>
      <c r="E471" t="inlineStr">
        <is>
          <t>internet_cost</t>
        </is>
      </c>
      <c r="F471" t="inlineStr">
        <is>
          <t>Internet cost</t>
        </is>
      </c>
      <c r="G471" t="inlineStr">
        <is>
          <t>pressure</t>
        </is>
      </c>
      <c r="H471" t="inlineStr">
        <is>
          <t>yes</t>
        </is>
      </c>
      <c r="I471" t="inlineStr">
        <is>
          <t>25.74</t>
        </is>
      </c>
      <c r="J471" t="inlineStr">
        <is>
          <t>world_bank_col_estimate</t>
        </is>
      </c>
      <c r="K471" t="inlineStr">
        <is>
          <t>https://api.worldbank.org/v2/country/CHN/indicator/NY.GNP.PCAP.PP.CD?format=json&amp;mrv=10</t>
        </is>
      </c>
      <c r="L471" t="inlineStr">
        <is>
          <t>World Bank GNI + regional expenditure ratio estimate</t>
        </is>
      </c>
      <c r="M471" t="inlineStr">
        <is>
          <t>2024-12-31</t>
        </is>
      </c>
      <c r="N471" t="inlineStr">
        <is>
          <t>auto_ingest=world_bank_col_estimate; gni_annual=26920.0; year=2024; country_proxy=China; cohort=East Asia; city_cost_mult=0.85</t>
        </is>
      </c>
    </row>
    <row r="472">
      <c r="A472" t="inlineStr">
        <is>
          <t>cn-chengdu</t>
        </is>
      </c>
      <c r="B472" t="inlineStr">
        <is>
          <t>Chengdu</t>
        </is>
      </c>
      <c r="C472" t="inlineStr">
        <is>
          <t>China</t>
        </is>
      </c>
      <c r="D472" t="inlineStr">
        <is>
          <t>East Asia</t>
        </is>
      </c>
      <c r="E472" t="inlineStr">
        <is>
          <t>food_cost</t>
        </is>
      </c>
      <c r="F472" t="inlineStr">
        <is>
          <t>Food cost</t>
        </is>
      </c>
      <c r="G472" t="inlineStr">
        <is>
          <t>pressure</t>
        </is>
      </c>
      <c r="H472" t="inlineStr">
        <is>
          <t>yes</t>
        </is>
      </c>
      <c r="I472" t="inlineStr">
        <is>
          <t>343.23</t>
        </is>
      </c>
      <c r="J472" t="inlineStr">
        <is>
          <t>world_bank_col_estimate</t>
        </is>
      </c>
      <c r="K472" t="inlineStr">
        <is>
          <t>https://api.worldbank.org/v2/country/CHN/indicator/NY.GNP.PCAP.PP.CD?format=json&amp;mrv=10</t>
        </is>
      </c>
      <c r="L472" t="inlineStr">
        <is>
          <t>World Bank GNI + regional expenditure ratio estimate</t>
        </is>
      </c>
      <c r="M472" t="inlineStr">
        <is>
          <t>2024-12-31</t>
        </is>
      </c>
      <c r="N472" t="inlineStr">
        <is>
          <t>auto_ingest=world_bank_col_estimate; gni_annual=26920.0; year=2024; country_proxy=China; cohort=East Asia; city_cost_mult=0.85</t>
        </is>
      </c>
    </row>
    <row r="473">
      <c r="A473" t="inlineStr">
        <is>
          <t>cn-chengdu</t>
        </is>
      </c>
      <c r="B473" t="inlineStr">
        <is>
          <t>Chengdu</t>
        </is>
      </c>
      <c r="C473" t="inlineStr">
        <is>
          <t>China</t>
        </is>
      </c>
      <c r="D473" t="inlineStr">
        <is>
          <t>East Asia</t>
        </is>
      </c>
      <c r="E473" t="inlineStr">
        <is>
          <t>housing_burden_raw</t>
        </is>
      </c>
      <c r="F473" t="inlineStr">
        <is>
          <t>Housing burden raw</t>
        </is>
      </c>
      <c r="G473" t="inlineStr">
        <is>
          <t>pressure</t>
        </is>
      </c>
      <c r="H473" t="inlineStr">
        <is>
          <t>yes</t>
        </is>
      </c>
      <c r="I473" t="inlineStr">
        <is>
          <t>21.2501</t>
        </is>
      </c>
      <c r="J473" t="inlineStr">
        <is>
          <t>derived</t>
        </is>
      </c>
      <c r="K473" t="inlineStr">
        <is>
          <t>https://data.worldbank.org/indicator/NY.GNP.PCAP.PP.CD</t>
        </is>
      </c>
      <c r="L473" t="inlineStr">
        <is>
          <t>Computed from city_inputs + country_context</t>
        </is>
      </c>
      <c r="M473" t="inlineStr">
        <is>
          <t>2024-01-01</t>
        </is>
      </c>
      <c r="N473" t="inlineStr">
        <is>
          <t>derived=rent/gross_income*100</t>
        </is>
      </c>
    </row>
    <row r="474">
      <c r="A474" t="inlineStr">
        <is>
          <t>cn-chengdu</t>
        </is>
      </c>
      <c r="B474" t="inlineStr">
        <is>
          <t>Chengdu</t>
        </is>
      </c>
      <c r="C474" t="inlineStr">
        <is>
          <t>China</t>
        </is>
      </c>
      <c r="D474" t="inlineStr">
        <is>
          <t>East Asia</t>
        </is>
      </c>
      <c r="E474" t="inlineStr">
        <is>
          <t>household_debt_burden_raw</t>
        </is>
      </c>
      <c r="F474" t="inlineStr">
        <is>
          <t>Household debt burden raw</t>
        </is>
      </c>
      <c r="G474" t="inlineStr">
        <is>
          <t>pressure</t>
        </is>
      </c>
      <c r="H474" t="inlineStr">
        <is>
          <t>yes</t>
        </is>
      </c>
      <c r="I474" t="inlineStr">
        <is>
          <t>194.166</t>
        </is>
      </c>
      <c r="J474" t="inlineStr">
        <is>
          <t>derived</t>
        </is>
      </c>
      <c r="K474" t="inlineStr">
        <is>
          <t>https://data.worldbank.org/indicator/NY.GNP.PCAP.PP.CD</t>
        </is>
      </c>
      <c r="L474" t="inlineStr">
        <is>
          <t>Computed from city_inputs + country_context</t>
        </is>
      </c>
      <c r="M474" t="inlineStr">
        <is>
          <t>2024-01-01</t>
        </is>
      </c>
      <c r="N474" t="inlineStr">
        <is>
          <t>derived=country_context.household_debt_proxy; country=China</t>
        </is>
      </c>
    </row>
    <row r="475">
      <c r="A475" t="inlineStr">
        <is>
          <t>cn-chengdu</t>
        </is>
      </c>
      <c r="B475" t="inlineStr">
        <is>
          <t>Chengdu</t>
        </is>
      </c>
      <c r="C475" t="inlineStr">
        <is>
          <t>China</t>
        </is>
      </c>
      <c r="D475" t="inlineStr">
        <is>
          <t>East Asia</t>
        </is>
      </c>
      <c r="E475" t="inlineStr">
        <is>
          <t>working_time_pressure_raw</t>
        </is>
      </c>
      <c r="F475" t="inlineStr">
        <is>
          <t>Working time pressure raw</t>
        </is>
      </c>
      <c r="G475" t="inlineStr">
        <is>
          <t>pressure</t>
        </is>
      </c>
      <c r="H475" t="inlineStr">
        <is>
          <t>yes</t>
        </is>
      </c>
      <c r="I475" t="inlineStr">
        <is>
          <t>46.0</t>
        </is>
      </c>
      <c r="J475" t="inlineStr">
        <is>
          <t>ilo_ilostat</t>
        </is>
      </c>
      <c r="K475" t="inlineStr">
        <is>
          <t>https://ilostat.ilo.org</t>
        </is>
      </c>
      <c r="L475" t="inlineStr">
        <is>
          <t>ILO: Mean weekly hours China</t>
        </is>
      </c>
      <c r="M475" t="inlineStr">
        <is>
          <t>2024-12-31</t>
        </is>
      </c>
      <c r="N475" t="inlineStr">
        <is>
          <t>country_proxy=China</t>
        </is>
      </c>
    </row>
    <row r="476">
      <c r="A476" t="inlineStr">
        <is>
          <t>cn-chengdu</t>
        </is>
      </c>
      <c r="B476" t="inlineStr">
        <is>
          <t>Chengdu</t>
        </is>
      </c>
      <c r="C476" t="inlineStr">
        <is>
          <t>China</t>
        </is>
      </c>
      <c r="D476" t="inlineStr">
        <is>
          <t>East Asia</t>
        </is>
      </c>
      <c r="E476" t="inlineStr">
        <is>
          <t>suicide_mental_strain_raw</t>
        </is>
      </c>
      <c r="F476" t="inlineStr">
        <is>
          <t>Suicide or mental strain raw</t>
        </is>
      </c>
      <c r="G476" t="inlineStr">
        <is>
          <t>pressure</t>
        </is>
      </c>
      <c r="H476" t="inlineStr">
        <is>
          <t>yes</t>
        </is>
      </c>
      <c r="I476" t="inlineStr">
        <is>
          <t>8.95</t>
        </is>
      </c>
      <c r="J476" t="inlineStr">
        <is>
          <t>who_gho</t>
        </is>
      </c>
      <c r="K476" t="inlineStr">
        <is>
          <t>https://www.who.int/data/gho/data/indicators/indicator-details/GHO/SDGSUICIDE</t>
        </is>
      </c>
      <c r="L476" t="inlineStr">
        <is>
          <t>WHO GHO: Age-standardized suicide rate (per 100,000 population)</t>
        </is>
      </c>
      <c r="M476" t="inlineStr">
        <is>
          <t>2021-12-31</t>
        </is>
      </c>
      <c r="N476" t="inlineStr">
        <is>
          <t>auto_ingest=who_gho; indicator=SDGSUICIDE; year=2021; country_proxy=China</t>
        </is>
      </c>
    </row>
    <row r="477">
      <c r="A477" t="inlineStr">
        <is>
          <t>cn-chengdu</t>
        </is>
      </c>
      <c r="B477" t="inlineStr">
        <is>
          <t>Chengdu</t>
        </is>
      </c>
      <c r="C477" t="inlineStr">
        <is>
          <t>China</t>
        </is>
      </c>
      <c r="D477" t="inlineStr">
        <is>
          <t>East Asia</t>
        </is>
      </c>
      <c r="E477" t="inlineStr">
        <is>
          <t>personal_safety_raw</t>
        </is>
      </c>
      <c r="F477" t="inlineStr">
        <is>
          <t>Personal safety raw</t>
        </is>
      </c>
      <c r="G477" t="inlineStr">
        <is>
          <t>viability</t>
        </is>
      </c>
      <c r="H477" t="inlineStr">
        <is>
          <t>yes</t>
        </is>
      </c>
      <c r="I477" t="inlineStr">
        <is>
          <t>0.5</t>
        </is>
      </c>
      <c r="J477" t="inlineStr">
        <is>
          <t>world_bank</t>
        </is>
      </c>
      <c r="K477" t="inlineStr">
        <is>
          <t>https://api.worldbank.org/v2/country/CHN/indicator/VC.IHR.PSRC.P5?format=json&amp;mrv=10</t>
        </is>
      </c>
      <c r="L477" t="inlineStr">
        <is>
          <t>UNODC via World Bank WDI: Intentional homicides (per 100,000 people)</t>
        </is>
      </c>
      <c r="M477" t="inlineStr">
        <is>
          <t>2020-12-31</t>
        </is>
      </c>
      <c r="N477" t="inlineStr">
        <is>
          <t>auto_ingest=unodc_safety; indicator=VC.IHR.PSRC.P5; year=2020; country_proxy=China</t>
        </is>
      </c>
    </row>
    <row r="478">
      <c r="A478" t="inlineStr">
        <is>
          <t>cn-chengdu</t>
        </is>
      </c>
      <c r="B478" t="inlineStr">
        <is>
          <t>Chengdu</t>
        </is>
      </c>
      <c r="C478" t="inlineStr">
        <is>
          <t>China</t>
        </is>
      </c>
      <c r="D478" t="inlineStr">
        <is>
          <t>East Asia</t>
        </is>
      </c>
      <c r="E478" t="inlineStr">
        <is>
          <t>transit_access_commute_raw</t>
        </is>
      </c>
      <c r="F478" t="inlineStr">
        <is>
          <t>Transit access and commute raw</t>
        </is>
      </c>
      <c r="G478" t="inlineStr">
        <is>
          <t>viability</t>
        </is>
      </c>
      <c r="H478" t="inlineStr">
        <is>
          <t>yes</t>
        </is>
      </c>
      <c r="I478" t="inlineStr"/>
      <c r="J478" t="inlineStr"/>
      <c r="K478" t="inlineStr"/>
      <c r="L478" t="inlineStr"/>
      <c r="M478" t="inlineStr"/>
      <c r="N478" t="inlineStr"/>
    </row>
    <row r="479">
      <c r="A479" t="inlineStr">
        <is>
          <t>cn-chengdu</t>
        </is>
      </c>
      <c r="B479" t="inlineStr">
        <is>
          <t>Chengdu</t>
        </is>
      </c>
      <c r="C479" t="inlineStr">
        <is>
          <t>China</t>
        </is>
      </c>
      <c r="D479" t="inlineStr">
        <is>
          <t>East Asia</t>
        </is>
      </c>
      <c r="E479" t="inlineStr">
        <is>
          <t>clean_air_raw</t>
        </is>
      </c>
      <c r="F479" t="inlineStr">
        <is>
          <t>Clean air raw</t>
        </is>
      </c>
      <c r="G479" t="inlineStr">
        <is>
          <t>viability</t>
        </is>
      </c>
      <c r="H479" t="inlineStr">
        <is>
          <t>yes</t>
        </is>
      </c>
      <c r="I479" t="inlineStr">
        <is>
          <t>38.0</t>
        </is>
      </c>
      <c r="J479" t="inlineStr">
        <is>
          <t>wmo_natl_met</t>
        </is>
      </c>
      <c r="K479" t="inlineStr">
        <is>
          <t>https://worldweather.wmo.int</t>
        </is>
      </c>
      <c r="L479" t="inlineStr">
        <is>
          <t>Chengdu PM2.5 annual mean</t>
        </is>
      </c>
      <c r="M479" t="inlineStr">
        <is>
          <t>2024-12-31</t>
        </is>
      </c>
      <c r="N479" t="inlineStr">
        <is>
          <t>city_level</t>
        </is>
      </c>
    </row>
    <row r="480">
      <c r="A480" t="inlineStr">
        <is>
          <t>cn-chengdu</t>
        </is>
      </c>
      <c r="B480" t="inlineStr">
        <is>
          <t>Chengdu</t>
        </is>
      </c>
      <c r="C480" t="inlineStr">
        <is>
          <t>China</t>
        </is>
      </c>
      <c r="D480" t="inlineStr">
        <is>
          <t>East Asia</t>
        </is>
      </c>
      <c r="E480" t="inlineStr">
        <is>
          <t>water_sanitation_utility_raw</t>
        </is>
      </c>
      <c r="F480" t="inlineStr">
        <is>
          <t>Water, sanitation, and utility raw</t>
        </is>
      </c>
      <c r="G480" t="inlineStr">
        <is>
          <t>viability</t>
        </is>
      </c>
      <c r="H480" t="inlineStr">
        <is>
          <t>yes</t>
        </is>
      </c>
      <c r="I480" t="inlineStr">
        <is>
          <t>95.0</t>
        </is>
      </c>
      <c r="J480" t="inlineStr">
        <is>
          <t>who_unicef_jmp</t>
        </is>
      </c>
      <c r="K480" t="inlineStr">
        <is>
          <t>https://washdata.org</t>
        </is>
      </c>
      <c r="L480" t="inlineStr">
        <is>
          <t>JMP: China safely managed water</t>
        </is>
      </c>
      <c r="M480" t="inlineStr">
        <is>
          <t>2023-12-31</t>
        </is>
      </c>
      <c r="N480" t="inlineStr">
        <is>
          <t>country_proxy=China</t>
        </is>
      </c>
    </row>
    <row r="481">
      <c r="A481" t="inlineStr">
        <is>
          <t>cn-chengdu</t>
        </is>
      </c>
      <c r="B481" t="inlineStr">
        <is>
          <t>Chengdu</t>
        </is>
      </c>
      <c r="C481" t="inlineStr">
        <is>
          <t>China</t>
        </is>
      </c>
      <c r="D481" t="inlineStr">
        <is>
          <t>East Asia</t>
        </is>
      </c>
      <c r="E481" t="inlineStr">
        <is>
          <t>digital_infrastructure_raw</t>
        </is>
      </c>
      <c r="F481" t="inlineStr">
        <is>
          <t>Digital infrastructure raw</t>
        </is>
      </c>
      <c r="G481" t="inlineStr">
        <is>
          <t>viability</t>
        </is>
      </c>
      <c r="H481" t="inlineStr">
        <is>
          <t>yes</t>
        </is>
      </c>
      <c r="I481" t="inlineStr">
        <is>
          <t>44.73</t>
        </is>
      </c>
      <c r="J481" t="inlineStr">
        <is>
          <t>world_bank</t>
        </is>
      </c>
      <c r="K481" t="inlineStr">
        <is>
          <t>https://api.worldbank.org/v2/country/CHN/indicator/IT.NET.BBND.P2?format=json&amp;mrv=10</t>
        </is>
      </c>
      <c r="L481" t="inlineStr">
        <is>
          <t>World Bank WDI: Fixed broadband subscriptions (per 100 people)</t>
        </is>
      </c>
      <c r="M481" t="inlineStr">
        <is>
          <t>2023-12-31</t>
        </is>
      </c>
      <c r="N481" t="inlineStr">
        <is>
          <t>auto_ingest=world_bank_proxy; indicator=IT.NET.BBND.P2; year=2023; country_proxy=China</t>
        </is>
      </c>
    </row>
    <row r="482">
      <c r="A482" t="inlineStr">
        <is>
          <t>cn-chengdu</t>
        </is>
      </c>
      <c r="B482" t="inlineStr">
        <is>
          <t>Chengdu</t>
        </is>
      </c>
      <c r="C482" t="inlineStr">
        <is>
          <t>China</t>
        </is>
      </c>
      <c r="D482" t="inlineStr">
        <is>
          <t>East Asia</t>
        </is>
      </c>
      <c r="E482" t="inlineStr">
        <is>
          <t>climate_sunlight_livability_raw</t>
        </is>
      </c>
      <c r="F482" t="inlineStr">
        <is>
          <t>Climate and sunlight livability raw</t>
        </is>
      </c>
      <c r="G482" t="inlineStr">
        <is>
          <t>viability</t>
        </is>
      </c>
      <c r="H482" t="inlineStr">
        <is>
          <t>yes</t>
        </is>
      </c>
      <c r="I482" t="inlineStr">
        <is>
          <t>42.0</t>
        </is>
      </c>
      <c r="J482" t="inlineStr">
        <is>
          <t>wmo_natl_met</t>
        </is>
      </c>
      <c r="K482" t="inlineStr">
        <is>
          <t>https://worldweather.wmo.int</t>
        </is>
      </c>
      <c r="L482" t="inlineStr">
        <is>
          <t>WMO: 900 sun hrs, 17C mean, chronically overcast basin</t>
        </is>
      </c>
      <c r="M482" t="inlineStr">
        <is>
          <t>2024-12-31</t>
        </is>
      </c>
      <c r="N482" t="inlineStr">
        <is>
          <t>city_level</t>
        </is>
      </c>
    </row>
    <row r="483">
      <c r="A483" t="inlineStr">
        <is>
          <t>cn-chengdu</t>
        </is>
      </c>
      <c r="B483" t="inlineStr">
        <is>
          <t>Chengdu</t>
        </is>
      </c>
      <c r="C483" t="inlineStr">
        <is>
          <t>China</t>
        </is>
      </c>
      <c r="D483" t="inlineStr">
        <is>
          <t>East Asia</t>
        </is>
      </c>
      <c r="E483" t="inlineStr">
        <is>
          <t>healthcare_quality_raw</t>
        </is>
      </c>
      <c r="F483" t="inlineStr">
        <is>
          <t>Healthcare quality raw</t>
        </is>
      </c>
      <c r="G483" t="inlineStr">
        <is>
          <t>capability</t>
        </is>
      </c>
      <c r="H483" t="inlineStr">
        <is>
          <t>yes</t>
        </is>
      </c>
      <c r="I483" t="inlineStr">
        <is>
          <t>85.0</t>
        </is>
      </c>
      <c r="J483" t="inlineStr">
        <is>
          <t>who_gho</t>
        </is>
      </c>
      <c r="K483" t="inlineStr">
        <is>
          <t>https://www.who.int/data/gho/data/indicators/indicator-details/GHO/UHC_INDEX_REPORTED</t>
        </is>
      </c>
      <c r="L483" t="inlineStr">
        <is>
          <t>WHO GHO: UHC Service Coverage Index</t>
        </is>
      </c>
      <c r="M483" t="inlineStr">
        <is>
          <t>2023-12-31</t>
        </is>
      </c>
      <c r="N483" t="inlineStr">
        <is>
          <t>auto_ingest=who_gho; indicator=UHC_INDEX_REPORTED; year=2023; country_proxy=China</t>
        </is>
      </c>
    </row>
    <row r="484">
      <c r="A484" t="inlineStr">
        <is>
          <t>cn-chengdu</t>
        </is>
      </c>
      <c r="B484" t="inlineStr">
        <is>
          <t>Chengdu</t>
        </is>
      </c>
      <c r="C484" t="inlineStr">
        <is>
          <t>China</t>
        </is>
      </c>
      <c r="D484" t="inlineStr">
        <is>
          <t>East Asia</t>
        </is>
      </c>
      <c r="E484" t="inlineStr">
        <is>
          <t>education_quality_raw</t>
        </is>
      </c>
      <c r="F484" t="inlineStr">
        <is>
          <t>Education quality raw</t>
        </is>
      </c>
      <c r="G484" t="inlineStr">
        <is>
          <t>capability</t>
        </is>
      </c>
      <c r="H484" t="inlineStr">
        <is>
          <t>yes</t>
        </is>
      </c>
      <c r="I484" t="inlineStr">
        <is>
          <t>76.88</t>
        </is>
      </c>
      <c r="J484" t="inlineStr">
        <is>
          <t>world_bank</t>
        </is>
      </c>
      <c r="K484" t="inlineStr">
        <is>
          <t>https://api.worldbank.org/v2/country/CHN/indicator/SE.TER.ENRR?format=json&amp;mrv=10</t>
        </is>
      </c>
      <c r="L484" t="inlineStr">
        <is>
          <t>World Bank WDI: School enrollment, tertiary (% gross)</t>
        </is>
      </c>
      <c r="M484" t="inlineStr">
        <is>
          <t>2024-12-31</t>
        </is>
      </c>
      <c r="N484" t="inlineStr">
        <is>
          <t>auto_ingest=world_bank_proxy; indicator=SE.TER.ENRR; year=2024; country_proxy=China</t>
        </is>
      </c>
    </row>
    <row r="485">
      <c r="A485" t="inlineStr">
        <is>
          <t>cn-chengdu</t>
        </is>
      </c>
      <c r="B485" t="inlineStr">
        <is>
          <t>Chengdu</t>
        </is>
      </c>
      <c r="C485" t="inlineStr">
        <is>
          <t>China</t>
        </is>
      </c>
      <c r="D485" t="inlineStr">
        <is>
          <t>East Asia</t>
        </is>
      </c>
      <c r="E485" t="inlineStr">
        <is>
          <t>equal_opportunity_raw</t>
        </is>
      </c>
      <c r="F485" t="inlineStr">
        <is>
          <t>Equal opportunity raw</t>
        </is>
      </c>
      <c r="G485" t="inlineStr">
        <is>
          <t>capability</t>
        </is>
      </c>
      <c r="H485" t="inlineStr">
        <is>
          <t>yes</t>
        </is>
      </c>
      <c r="I485" t="inlineStr">
        <is>
          <t>36.0</t>
        </is>
      </c>
      <c r="J485" t="inlineStr">
        <is>
          <t>world_bank</t>
        </is>
      </c>
      <c r="K485" t="inlineStr">
        <is>
          <t>https://api.worldbank.org/v2/country/CHN/indicator/SI.POV.GINI?format=json&amp;mrv=10</t>
        </is>
      </c>
      <c r="L485" t="inlineStr">
        <is>
          <t>World Bank WDI: Gini index</t>
        </is>
      </c>
      <c r="M485" t="inlineStr">
        <is>
          <t>2022-12-31</t>
        </is>
      </c>
      <c r="N485" t="inlineStr">
        <is>
          <t>auto_ingest=world_bank_capability; indicator=SI.POV.GINI; year=2022; country_proxy=China</t>
        </is>
      </c>
    </row>
    <row r="486">
      <c r="A486" t="inlineStr">
        <is>
          <t>cn-chengdu</t>
        </is>
      </c>
      <c r="B486" t="inlineStr">
        <is>
          <t>Chengdu</t>
        </is>
      </c>
      <c r="C486" t="inlineStr">
        <is>
          <t>China</t>
        </is>
      </c>
      <c r="D486" t="inlineStr">
        <is>
          <t>East Asia</t>
        </is>
      </c>
      <c r="E486" t="inlineStr">
        <is>
          <t>hospitality_belonging_raw</t>
        </is>
      </c>
      <c r="F486" t="inlineStr">
        <is>
          <t>Hospitality and belonging raw</t>
        </is>
      </c>
      <c r="G486" t="inlineStr">
        <is>
          <t>community</t>
        </is>
      </c>
      <c r="H486" t="inlineStr">
        <is>
          <t>yes</t>
        </is>
      </c>
      <c r="I486" t="inlineStr">
        <is>
          <t>49.81</t>
        </is>
      </c>
      <c r="J486" t="inlineStr">
        <is>
          <t>world_bank</t>
        </is>
      </c>
      <c r="K486" t="inlineStr">
        <is>
          <t>https://api.worldbank.org/v2/country/CHN/indicator/SM.POP.NETM?format=json&amp;mrv=10</t>
        </is>
      </c>
      <c r="L486" t="inlineStr">
        <is>
          <t>World Bank WDI: Net migration (proxy for hospitality/belonging — positive = welcoming)</t>
        </is>
      </c>
      <c r="M486" t="inlineStr">
        <is>
          <t>2025-12-31</t>
        </is>
      </c>
      <c r="N486" t="inlineStr">
        <is>
          <t>auto_ingest=world_bank_proxy; proxy=net_migration_hospitality; indicator=SM.POP.NETM; year=2025; country_proxy=China</t>
        </is>
      </c>
    </row>
    <row r="487">
      <c r="A487" t="inlineStr">
        <is>
          <t>cn-chengdu</t>
        </is>
      </c>
      <c r="B487" t="inlineStr">
        <is>
          <t>Chengdu</t>
        </is>
      </c>
      <c r="C487" t="inlineStr">
        <is>
          <t>China</t>
        </is>
      </c>
      <c r="D487" t="inlineStr">
        <is>
          <t>East Asia</t>
        </is>
      </c>
      <c r="E487" t="inlineStr">
        <is>
          <t>tolerance_pluralism_raw</t>
        </is>
      </c>
      <c r="F487" t="inlineStr">
        <is>
          <t>Tolerance and pluralism raw</t>
        </is>
      </c>
      <c r="G487" t="inlineStr">
        <is>
          <t>community</t>
        </is>
      </c>
      <c r="H487" t="inlineStr">
        <is>
          <t>yes</t>
        </is>
      </c>
      <c r="I487" t="inlineStr">
        <is>
          <t>26.54</t>
        </is>
      </c>
      <c r="J487" t="inlineStr">
        <is>
          <t>world_bank</t>
        </is>
      </c>
      <c r="K487" t="inlineStr">
        <is>
          <t>https://api.worldbank.org/v2/country/CHN/indicator/SG.GEN.PARL.ZS?format=json&amp;mrv=10</t>
        </is>
      </c>
      <c r="L487" t="inlineStr">
        <is>
          <t>World Bank WDI: Proportion of seats held by women in national parliaments (%)</t>
        </is>
      </c>
      <c r="M487" t="inlineStr">
        <is>
          <t>2024-12-31</t>
        </is>
      </c>
      <c r="N487" t="inlineStr">
        <is>
          <t>auto_ingest=world_bank_proxy; proxy=gender_parity_parliament; indicator=SG.GEN.PARL.ZS; year=2024; country_proxy=China</t>
        </is>
      </c>
    </row>
    <row r="488">
      <c r="A488" t="inlineStr">
        <is>
          <t>cn-chengdu</t>
        </is>
      </c>
      <c r="B488" t="inlineStr">
        <is>
          <t>Chengdu</t>
        </is>
      </c>
      <c r="C488" t="inlineStr">
        <is>
          <t>China</t>
        </is>
      </c>
      <c r="D488" t="inlineStr">
        <is>
          <t>East Asia</t>
        </is>
      </c>
      <c r="E488" t="inlineStr">
        <is>
          <t>cultural_public_life_raw</t>
        </is>
      </c>
      <c r="F488" t="inlineStr">
        <is>
          <t>Cultural public life raw</t>
        </is>
      </c>
      <c r="G488" t="inlineStr">
        <is>
          <t>community</t>
        </is>
      </c>
      <c r="H488" t="inlineStr">
        <is>
          <t>yes</t>
        </is>
      </c>
      <c r="I488" t="inlineStr">
        <is>
          <t>68.0</t>
        </is>
      </c>
      <c r="J488" t="inlineStr">
        <is>
          <t>wmo_natl_met</t>
        </is>
      </c>
      <c r="K488" t="inlineStr">
        <is>
          <t>https://worldweather.wmo.int</t>
        </is>
      </c>
      <c r="L488" t="inlineStr">
        <is>
          <t>Rich tea-house culture, Sichuan cuisine, panda capital, temples</t>
        </is>
      </c>
      <c r="M488" t="inlineStr">
        <is>
          <t>2024-12-31</t>
        </is>
      </c>
      <c r="N488" t="inlineStr">
        <is>
          <t>manual_assessment</t>
        </is>
      </c>
    </row>
    <row r="489">
      <c r="A489" t="inlineStr">
        <is>
          <t>cn-chengdu</t>
        </is>
      </c>
      <c r="B489" t="inlineStr">
        <is>
          <t>Chengdu</t>
        </is>
      </c>
      <c r="C489" t="inlineStr">
        <is>
          <t>China</t>
        </is>
      </c>
      <c r="D489" t="inlineStr">
        <is>
          <t>East Asia</t>
        </is>
      </c>
      <c r="E489" t="inlineStr">
        <is>
          <t>birth_rate_optimism_raw</t>
        </is>
      </c>
      <c r="F489" t="inlineStr">
        <is>
          <t>Birth rate and societal optimism raw</t>
        </is>
      </c>
      <c r="G489" t="inlineStr">
        <is>
          <t>community</t>
        </is>
      </c>
      <c r="H489" t="inlineStr">
        <is>
          <t>yes</t>
        </is>
      </c>
      <c r="I489" t="inlineStr">
        <is>
          <t>1.0</t>
        </is>
      </c>
      <c r="J489" t="inlineStr">
        <is>
          <t>world_bank</t>
        </is>
      </c>
      <c r="K489" t="inlineStr">
        <is>
          <t>https://data.worldbank.org/indicator/SP.DYN.TFRT.IN</t>
        </is>
      </c>
      <c r="L489" t="inlineStr">
        <is>
          <t>World Bank Total Fertility Rate 2023</t>
        </is>
      </c>
      <c r="M489" t="inlineStr">
        <is>
          <t>2024-01-01</t>
        </is>
      </c>
      <c r="N489" t="inlineStr"/>
    </row>
    <row r="490">
      <c r="A490" t="inlineStr">
        <is>
          <t>cn-chengdu</t>
        </is>
      </c>
      <c r="B490" t="inlineStr">
        <is>
          <t>Chengdu</t>
        </is>
      </c>
      <c r="C490" t="inlineStr">
        <is>
          <t>China</t>
        </is>
      </c>
      <c r="D490" t="inlineStr">
        <is>
          <t>East Asia</t>
        </is>
      </c>
      <c r="E490" t="inlineStr">
        <is>
          <t>entrepreneurial_dynamism_raw</t>
        </is>
      </c>
      <c r="F490" t="inlineStr">
        <is>
          <t>Entrepreneurial dynamism raw</t>
        </is>
      </c>
      <c r="G490" t="inlineStr">
        <is>
          <t>creative</t>
        </is>
      </c>
      <c r="H490" t="inlineStr">
        <is>
          <t>yes</t>
        </is>
      </c>
      <c r="I490" t="inlineStr">
        <is>
          <t>8.58</t>
        </is>
      </c>
      <c r="J490" t="inlineStr">
        <is>
          <t>world_bank</t>
        </is>
      </c>
      <c r="K490" t="inlineStr">
        <is>
          <t>https://api.worldbank.org/v2/country/CHN/indicator/IC.BUS.NDNS.ZS?format=json&amp;mrv=10</t>
        </is>
      </c>
      <c r="L490" t="inlineStr">
        <is>
          <t>World Bank WDI: New business density (new registrations per 1,000 people ages 15-64)</t>
        </is>
      </c>
      <c r="M490" t="inlineStr">
        <is>
          <t>2020-12-31</t>
        </is>
      </c>
      <c r="N490" t="inlineStr">
        <is>
          <t>auto_ingest=world_bank_creative_extended; indicator=IC.BUS.NDNS.ZS; year=2020; country_proxy=China</t>
        </is>
      </c>
    </row>
    <row r="491">
      <c r="A491" t="inlineStr">
        <is>
          <t>cn-chengdu</t>
        </is>
      </c>
      <c r="B491" t="inlineStr">
        <is>
          <t>Chengdu</t>
        </is>
      </c>
      <c r="C491" t="inlineStr">
        <is>
          <t>China</t>
        </is>
      </c>
      <c r="D491" t="inlineStr">
        <is>
          <t>East Asia</t>
        </is>
      </c>
      <c r="E491" t="inlineStr">
        <is>
          <t>innovation_research_intensity_raw</t>
        </is>
      </c>
      <c r="F491" t="inlineStr">
        <is>
          <t>Innovation and research raw</t>
        </is>
      </c>
      <c r="G491" t="inlineStr">
        <is>
          <t>creative</t>
        </is>
      </c>
      <c r="H491" t="inlineStr">
        <is>
          <t>yes</t>
        </is>
      </c>
      <c r="I491" t="inlineStr">
        <is>
          <t>2.56</t>
        </is>
      </c>
      <c r="J491" t="inlineStr">
        <is>
          <t>world_bank</t>
        </is>
      </c>
      <c r="K491" t="inlineStr">
        <is>
          <t>https://api.worldbank.org/v2/country/CHN/indicator/GB.XPD.RSDV.GD.ZS?format=json&amp;mrv=10</t>
        </is>
      </c>
      <c r="L491" t="inlineStr">
        <is>
          <t>World Bank WDI: Research and development expenditure (% of GDP)</t>
        </is>
      </c>
      <c r="M491" t="inlineStr">
        <is>
          <t>2022-12-31</t>
        </is>
      </c>
      <c r="N491" t="inlineStr">
        <is>
          <t>auto_ingest=world_bank_creative_extended; indicator=GB.XPD.RSDV.GD.ZS; year=2022; country_proxy=China</t>
        </is>
      </c>
    </row>
    <row r="492">
      <c r="A492" t="inlineStr">
        <is>
          <t>cn-chengdu</t>
        </is>
      </c>
      <c r="B492" t="inlineStr">
        <is>
          <t>Chengdu</t>
        </is>
      </c>
      <c r="C492" t="inlineStr">
        <is>
          <t>China</t>
        </is>
      </c>
      <c r="D492" t="inlineStr">
        <is>
          <t>East Asia</t>
        </is>
      </c>
      <c r="E492" t="inlineStr">
        <is>
          <t>investment_signal_raw</t>
        </is>
      </c>
      <c r="F492" t="inlineStr">
        <is>
          <t>Investment signal raw</t>
        </is>
      </c>
      <c r="G492" t="inlineStr">
        <is>
          <t>creative</t>
        </is>
      </c>
      <c r="H492" t="inlineStr">
        <is>
          <t>yes</t>
        </is>
      </c>
      <c r="I492" t="inlineStr">
        <is>
          <t>0.1</t>
        </is>
      </c>
      <c r="J492" t="inlineStr">
        <is>
          <t>world_bank</t>
        </is>
      </c>
      <c r="K492" t="inlineStr">
        <is>
          <t>https://api.worldbank.org/v2/country/CHN/indicator/BX.KLT.DINV.WD.GD.ZS?format=json&amp;mrv=10</t>
        </is>
      </c>
      <c r="L492" t="inlineStr">
        <is>
          <t>World Bank WDI: Foreign direct investment, net inflows (% of GDP)</t>
        </is>
      </c>
      <c r="M492" t="inlineStr">
        <is>
          <t>2024-12-31</t>
        </is>
      </c>
      <c r="N492" t="inlineStr">
        <is>
          <t>auto_ingest=world_bank_creative_extended; indicator=BX.KLT.DINV.WD.GD.ZS; year=2024; country_proxy=China</t>
        </is>
      </c>
    </row>
    <row r="493">
      <c r="A493" t="inlineStr">
        <is>
          <t>cn-chengdu</t>
        </is>
      </c>
      <c r="B493" t="inlineStr">
        <is>
          <t>Chengdu</t>
        </is>
      </c>
      <c r="C493" t="inlineStr">
        <is>
          <t>China</t>
        </is>
      </c>
      <c r="D493" t="inlineStr">
        <is>
          <t>East Asia</t>
        </is>
      </c>
      <c r="E493" t="inlineStr">
        <is>
          <t>administrative_investment_friction_raw</t>
        </is>
      </c>
      <c r="F493" t="inlineStr">
        <is>
          <t>Administrative investment friction raw</t>
        </is>
      </c>
      <c r="G493" t="inlineStr">
        <is>
          <t>creative</t>
        </is>
      </c>
      <c r="H493" t="inlineStr">
        <is>
          <t>yes</t>
        </is>
      </c>
      <c r="I493" t="inlineStr">
        <is>
          <t>2.86</t>
        </is>
      </c>
      <c r="J493" t="inlineStr">
        <is>
          <t>world_bank</t>
        </is>
      </c>
      <c r="K493" t="inlineStr">
        <is>
          <t>https://api.worldbank.org/v2/country/CHN/indicator/RQ.EST?format=json&amp;mrv=10</t>
        </is>
      </c>
      <c r="L493" t="inlineStr">
        <is>
          <t>World Bank WGI: Regulatory Quality (inverted as friction proxy)</t>
        </is>
      </c>
      <c r="M493" t="inlineStr">
        <is>
          <t>2023-12-31</t>
        </is>
      </c>
      <c r="N493" t="inlineStr">
        <is>
          <t>auto_ingest=world_bank_business_friction; indicator=RQ.EST; raw_rq=-0.356507807970047; friction=2.86; year=2023; country_proxy=China</t>
        </is>
      </c>
    </row>
    <row r="494">
      <c r="A494" t="inlineStr">
        <is>
          <t>cn-chengdu</t>
        </is>
      </c>
      <c r="B494" t="inlineStr">
        <is>
          <t>Chengdu</t>
        </is>
      </c>
      <c r="C494" t="inlineStr">
        <is>
          <t>China</t>
        </is>
      </c>
      <c r="D494" t="inlineStr">
        <is>
          <t>East Asia</t>
        </is>
      </c>
      <c r="E494" t="inlineStr">
        <is>
          <t>visitor_flow_context_raw</t>
        </is>
      </c>
      <c r="F494" t="inlineStr">
        <is>
          <t>Visitor flow context raw</t>
        </is>
      </c>
      <c r="G494" t="inlineStr">
        <is>
          <t>creative</t>
        </is>
      </c>
      <c r="H494" t="inlineStr">
        <is>
          <t>no</t>
        </is>
      </c>
      <c r="I494" t="inlineStr"/>
      <c r="J494" t="inlineStr"/>
      <c r="K494" t="inlineStr"/>
      <c r="L494" t="inlineStr"/>
      <c r="M494" t="inlineStr"/>
      <c r="N494" t="inlineStr"/>
    </row>
    <row r="495">
      <c r="A495" t="inlineStr">
        <is>
          <t>cn-chongqing</t>
        </is>
      </c>
      <c r="B495" t="inlineStr">
        <is>
          <t>Chongqing</t>
        </is>
      </c>
      <c r="C495" t="inlineStr">
        <is>
          <t>China</t>
        </is>
      </c>
      <c r="D495" t="inlineStr">
        <is>
          <t>East Asia</t>
        </is>
      </c>
      <c r="E495" t="inlineStr">
        <is>
          <t>gross_income</t>
        </is>
      </c>
      <c r="F495" t="inlineStr">
        <is>
          <t>Gross income</t>
        </is>
      </c>
      <c r="G495" t="inlineStr">
        <is>
          <t>pressure</t>
        </is>
      </c>
      <c r="H495" t="inlineStr">
        <is>
          <t>yes</t>
        </is>
      </c>
      <c r="I495" t="inlineStr">
        <is>
          <t>1906.83</t>
        </is>
      </c>
      <c r="J495" t="inlineStr">
        <is>
          <t>world_bank_col_estimate</t>
        </is>
      </c>
      <c r="K495" t="inlineStr">
        <is>
          <t>https://api.worldbank.org/v2/country/CHN/indicator/NY.GNP.PCAP.PP.CD?format=json&amp;mrv=10</t>
        </is>
      </c>
      <c r="L495" t="inlineStr">
        <is>
          <t>World Bank WDI: GNI per capita PPP (monthly USD)</t>
        </is>
      </c>
      <c r="M495" t="inlineStr">
        <is>
          <t>2024-12-31</t>
        </is>
      </c>
      <c r="N495" t="inlineStr">
        <is>
          <t>auto_ingest=world_bank_col_estimate; gni_annual=26920.0; year=2024; country_proxy=China; cohort=East Asia; city_income_mult=0.85</t>
        </is>
      </c>
    </row>
    <row r="496">
      <c r="A496" t="inlineStr">
        <is>
          <t>cn-chongqing</t>
        </is>
      </c>
      <c r="B496" t="inlineStr">
        <is>
          <t>Chongqing</t>
        </is>
      </c>
      <c r="C496" t="inlineStr">
        <is>
          <t>China</t>
        </is>
      </c>
      <c r="D496" t="inlineStr">
        <is>
          <t>East Asia</t>
        </is>
      </c>
      <c r="E496" t="inlineStr">
        <is>
          <t>di_ppp_raw</t>
        </is>
      </c>
      <c r="F496" t="inlineStr">
        <is>
          <t>Disposable income PPP (Raw)</t>
        </is>
      </c>
      <c r="G496" t="inlineStr">
        <is>
          <t>pressure</t>
        </is>
      </c>
      <c r="H496" t="inlineStr">
        <is>
          <t>yes</t>
        </is>
      </c>
      <c r="I496" t="inlineStr"/>
      <c r="J496" t="inlineStr"/>
      <c r="K496" t="inlineStr"/>
      <c r="L496" t="inlineStr"/>
      <c r="M496" t="inlineStr"/>
      <c r="N496" t="inlineStr"/>
    </row>
    <row r="497">
      <c r="A497" t="inlineStr">
        <is>
          <t>cn-chongqing</t>
        </is>
      </c>
      <c r="B497" t="inlineStr">
        <is>
          <t>Chongqing</t>
        </is>
      </c>
      <c r="C497" t="inlineStr">
        <is>
          <t>China</t>
        </is>
      </c>
      <c r="D497" t="inlineStr">
        <is>
          <t>East Asia</t>
        </is>
      </c>
      <c r="E497" t="inlineStr">
        <is>
          <t>rent</t>
        </is>
      </c>
      <c r="F497" t="inlineStr">
        <is>
          <t>Rent</t>
        </is>
      </c>
      <c r="G497" t="inlineStr">
        <is>
          <t>pressure</t>
        </is>
      </c>
      <c r="H497" t="inlineStr">
        <is>
          <t>yes</t>
        </is>
      </c>
      <c r="I497" t="inlineStr">
        <is>
          <t>381.37</t>
        </is>
      </c>
      <c r="J497" t="inlineStr">
        <is>
          <t>world_bank_col_estimate</t>
        </is>
      </c>
      <c r="K497" t="inlineStr">
        <is>
          <t>https://api.worldbank.org/v2/country/CHN/indicator/NY.GNP.PCAP.PP.CD?format=json&amp;mrv=10</t>
        </is>
      </c>
      <c r="L497" t="inlineStr">
        <is>
          <t>World Bank GNI + regional expenditure ratio estimate</t>
        </is>
      </c>
      <c r="M497" t="inlineStr">
        <is>
          <t>2024-12-31</t>
        </is>
      </c>
      <c r="N497" t="inlineStr">
        <is>
          <t>auto_ingest=world_bank_col_estimate; gni_annual=26920.0; year=2024; country_proxy=China; cohort=East Asia; city_cost_mult=0.8</t>
        </is>
      </c>
    </row>
    <row r="498">
      <c r="A498" t="inlineStr">
        <is>
          <t>cn-chongqing</t>
        </is>
      </c>
      <c r="B498" t="inlineStr">
        <is>
          <t>Chongqing</t>
        </is>
      </c>
      <c r="C498" t="inlineStr">
        <is>
          <t>China</t>
        </is>
      </c>
      <c r="D498" t="inlineStr">
        <is>
          <t>East Asia</t>
        </is>
      </c>
      <c r="E498" t="inlineStr">
        <is>
          <t>utilities</t>
        </is>
      </c>
      <c r="F498" t="inlineStr">
        <is>
          <t>Utilities</t>
        </is>
      </c>
      <c r="G498" t="inlineStr">
        <is>
          <t>pressure</t>
        </is>
      </c>
      <c r="H498" t="inlineStr">
        <is>
          <t>yes</t>
        </is>
      </c>
      <c r="I498" t="inlineStr">
        <is>
          <t>91.53</t>
        </is>
      </c>
      <c r="J498" t="inlineStr">
        <is>
          <t>world_bank_col_estimate</t>
        </is>
      </c>
      <c r="K498" t="inlineStr">
        <is>
          <t>https://api.worldbank.org/v2/country/CHN/indicator/NY.GNP.PCAP.PP.CD?format=json&amp;mrv=10</t>
        </is>
      </c>
      <c r="L498" t="inlineStr">
        <is>
          <t>World Bank GNI + regional expenditure ratio estimate</t>
        </is>
      </c>
      <c r="M498" t="inlineStr">
        <is>
          <t>2024-12-31</t>
        </is>
      </c>
      <c r="N498" t="inlineStr">
        <is>
          <t>auto_ingest=world_bank_col_estimate; gni_annual=26920.0; year=2024; country_proxy=China; cohort=East Asia; city_cost_mult=0.8</t>
        </is>
      </c>
    </row>
    <row r="499">
      <c r="A499" t="inlineStr">
        <is>
          <t>cn-chongqing</t>
        </is>
      </c>
      <c r="B499" t="inlineStr">
        <is>
          <t>Chongqing</t>
        </is>
      </c>
      <c r="C499" t="inlineStr">
        <is>
          <t>China</t>
        </is>
      </c>
      <c r="D499" t="inlineStr">
        <is>
          <t>East Asia</t>
        </is>
      </c>
      <c r="E499" t="inlineStr">
        <is>
          <t>transit_cost</t>
        </is>
      </c>
      <c r="F499" t="inlineStr">
        <is>
          <t>Transit cost</t>
        </is>
      </c>
      <c r="G499" t="inlineStr">
        <is>
          <t>pressure</t>
        </is>
      </c>
      <c r="H499" t="inlineStr">
        <is>
          <t>yes</t>
        </is>
      </c>
      <c r="I499" t="inlineStr">
        <is>
          <t>61.02</t>
        </is>
      </c>
      <c r="J499" t="inlineStr">
        <is>
          <t>world_bank_col_estimate</t>
        </is>
      </c>
      <c r="K499" t="inlineStr">
        <is>
          <t>https://api.worldbank.org/v2/country/CHN/indicator/NY.GNP.PCAP.PP.CD?format=json&amp;mrv=10</t>
        </is>
      </c>
      <c r="L499" t="inlineStr">
        <is>
          <t>World Bank GNI + regional expenditure ratio estimate</t>
        </is>
      </c>
      <c r="M499" t="inlineStr">
        <is>
          <t>2024-12-31</t>
        </is>
      </c>
      <c r="N499" t="inlineStr">
        <is>
          <t>auto_ingest=world_bank_col_estimate; gni_annual=26920.0; year=2024; country_proxy=China; cohort=East Asia; city_cost_mult=0.8</t>
        </is>
      </c>
    </row>
    <row r="500">
      <c r="A500" t="inlineStr">
        <is>
          <t>cn-chongqing</t>
        </is>
      </c>
      <c r="B500" t="inlineStr">
        <is>
          <t>Chongqing</t>
        </is>
      </c>
      <c r="C500" t="inlineStr">
        <is>
          <t>China</t>
        </is>
      </c>
      <c r="D500" t="inlineStr">
        <is>
          <t>East Asia</t>
        </is>
      </c>
      <c r="E500" t="inlineStr">
        <is>
          <t>internet_cost</t>
        </is>
      </c>
      <c r="F500" t="inlineStr">
        <is>
          <t>Internet cost</t>
        </is>
      </c>
      <c r="G500" t="inlineStr">
        <is>
          <t>pressure</t>
        </is>
      </c>
      <c r="H500" t="inlineStr">
        <is>
          <t>yes</t>
        </is>
      </c>
      <c r="I500" t="inlineStr">
        <is>
          <t>22.88</t>
        </is>
      </c>
      <c r="J500" t="inlineStr">
        <is>
          <t>world_bank_col_estimate</t>
        </is>
      </c>
      <c r="K500" t="inlineStr">
        <is>
          <t>https://api.worldbank.org/v2/country/CHN/indicator/NY.GNP.PCAP.PP.CD?format=json&amp;mrv=10</t>
        </is>
      </c>
      <c r="L500" t="inlineStr">
        <is>
          <t>World Bank GNI + regional expenditure ratio estimate</t>
        </is>
      </c>
      <c r="M500" t="inlineStr">
        <is>
          <t>2024-12-31</t>
        </is>
      </c>
      <c r="N500" t="inlineStr">
        <is>
          <t>auto_ingest=world_bank_col_estimate; gni_annual=26920.0; year=2024; country_proxy=China; cohort=East Asia; city_cost_mult=0.8</t>
        </is>
      </c>
    </row>
    <row r="501">
      <c r="A501" t="inlineStr">
        <is>
          <t>cn-chongqing</t>
        </is>
      </c>
      <c r="B501" t="inlineStr">
        <is>
          <t>Chongqing</t>
        </is>
      </c>
      <c r="C501" t="inlineStr">
        <is>
          <t>China</t>
        </is>
      </c>
      <c r="D501" t="inlineStr">
        <is>
          <t>East Asia</t>
        </is>
      </c>
      <c r="E501" t="inlineStr">
        <is>
          <t>food_cost</t>
        </is>
      </c>
      <c r="F501" t="inlineStr">
        <is>
          <t>Food cost</t>
        </is>
      </c>
      <c r="G501" t="inlineStr">
        <is>
          <t>pressure</t>
        </is>
      </c>
      <c r="H501" t="inlineStr">
        <is>
          <t>yes</t>
        </is>
      </c>
      <c r="I501" t="inlineStr">
        <is>
          <t>305.09</t>
        </is>
      </c>
      <c r="J501" t="inlineStr">
        <is>
          <t>world_bank_col_estimate</t>
        </is>
      </c>
      <c r="K501" t="inlineStr">
        <is>
          <t>https://api.worldbank.org/v2/country/CHN/indicator/NY.GNP.PCAP.PP.CD?format=json&amp;mrv=10</t>
        </is>
      </c>
      <c r="L501" t="inlineStr">
        <is>
          <t>World Bank GNI + regional expenditure ratio estimate</t>
        </is>
      </c>
      <c r="M501" t="inlineStr">
        <is>
          <t>2024-12-31</t>
        </is>
      </c>
      <c r="N501" t="inlineStr">
        <is>
          <t>auto_ingest=world_bank_col_estimate; gni_annual=26920.0; year=2024; country_proxy=China; cohort=East Asia; city_cost_mult=0.8</t>
        </is>
      </c>
    </row>
    <row r="502">
      <c r="A502" t="inlineStr">
        <is>
          <t>cn-chongqing</t>
        </is>
      </c>
      <c r="B502" t="inlineStr">
        <is>
          <t>Chongqing</t>
        </is>
      </c>
      <c r="C502" t="inlineStr">
        <is>
          <t>China</t>
        </is>
      </c>
      <c r="D502" t="inlineStr">
        <is>
          <t>East Asia</t>
        </is>
      </c>
      <c r="E502" t="inlineStr">
        <is>
          <t>housing_burden_raw</t>
        </is>
      </c>
      <c r="F502" t="inlineStr">
        <is>
          <t>Housing burden raw</t>
        </is>
      </c>
      <c r="G502" t="inlineStr">
        <is>
          <t>pressure</t>
        </is>
      </c>
      <c r="H502" t="inlineStr">
        <is>
          <t>yes</t>
        </is>
      </c>
      <c r="I502" t="inlineStr">
        <is>
          <t>20.0002</t>
        </is>
      </c>
      <c r="J502" t="inlineStr">
        <is>
          <t>derived</t>
        </is>
      </c>
      <c r="K502" t="inlineStr">
        <is>
          <t>https://data.worldbank.org/indicator/NY.GNP.PCAP.PP.CD</t>
        </is>
      </c>
      <c r="L502" t="inlineStr">
        <is>
          <t>Computed from city_inputs + country_context</t>
        </is>
      </c>
      <c r="M502" t="inlineStr">
        <is>
          <t>2024-01-01</t>
        </is>
      </c>
      <c r="N502" t="inlineStr">
        <is>
          <t>derived=rent/gross_income*100</t>
        </is>
      </c>
    </row>
    <row r="503">
      <c r="A503" t="inlineStr">
        <is>
          <t>cn-chongqing</t>
        </is>
      </c>
      <c r="B503" t="inlineStr">
        <is>
          <t>Chongqing</t>
        </is>
      </c>
      <c r="C503" t="inlineStr">
        <is>
          <t>China</t>
        </is>
      </c>
      <c r="D503" t="inlineStr">
        <is>
          <t>East Asia</t>
        </is>
      </c>
      <c r="E503" t="inlineStr">
        <is>
          <t>household_debt_burden_raw</t>
        </is>
      </c>
      <c r="F503" t="inlineStr">
        <is>
          <t>Household debt burden raw</t>
        </is>
      </c>
      <c r="G503" t="inlineStr">
        <is>
          <t>pressure</t>
        </is>
      </c>
      <c r="H503" t="inlineStr">
        <is>
          <t>yes</t>
        </is>
      </c>
      <c r="I503" t="inlineStr">
        <is>
          <t>194.166</t>
        </is>
      </c>
      <c r="J503" t="inlineStr">
        <is>
          <t>derived</t>
        </is>
      </c>
      <c r="K503" t="inlineStr">
        <is>
          <t>https://data.worldbank.org/indicator/NY.GNP.PCAP.PP.CD</t>
        </is>
      </c>
      <c r="L503" t="inlineStr">
        <is>
          <t>Computed from city_inputs + country_context</t>
        </is>
      </c>
      <c r="M503" t="inlineStr">
        <is>
          <t>2024-01-01</t>
        </is>
      </c>
      <c r="N503" t="inlineStr">
        <is>
          <t>derived=country_context.household_debt_proxy; country=China</t>
        </is>
      </c>
    </row>
    <row r="504">
      <c r="A504" t="inlineStr">
        <is>
          <t>cn-chongqing</t>
        </is>
      </c>
      <c r="B504" t="inlineStr">
        <is>
          <t>Chongqing</t>
        </is>
      </c>
      <c r="C504" t="inlineStr">
        <is>
          <t>China</t>
        </is>
      </c>
      <c r="D504" t="inlineStr">
        <is>
          <t>East Asia</t>
        </is>
      </c>
      <c r="E504" t="inlineStr">
        <is>
          <t>working_time_pressure_raw</t>
        </is>
      </c>
      <c r="F504" t="inlineStr">
        <is>
          <t>Working time pressure raw</t>
        </is>
      </c>
      <c r="G504" t="inlineStr">
        <is>
          <t>pressure</t>
        </is>
      </c>
      <c r="H504" t="inlineStr">
        <is>
          <t>yes</t>
        </is>
      </c>
      <c r="I504" t="inlineStr">
        <is>
          <t>46.0</t>
        </is>
      </c>
      <c r="J504" t="inlineStr">
        <is>
          <t>ilo_ilostat</t>
        </is>
      </c>
      <c r="K504" t="inlineStr">
        <is>
          <t>https://ilostat.ilo.org</t>
        </is>
      </c>
      <c r="L504" t="inlineStr">
        <is>
          <t>ILO: Mean weekly hours China</t>
        </is>
      </c>
      <c r="M504" t="inlineStr">
        <is>
          <t>2024-12-31</t>
        </is>
      </c>
      <c r="N504" t="inlineStr">
        <is>
          <t>country_proxy=China</t>
        </is>
      </c>
    </row>
    <row r="505">
      <c r="A505" t="inlineStr">
        <is>
          <t>cn-chongqing</t>
        </is>
      </c>
      <c r="B505" t="inlineStr">
        <is>
          <t>Chongqing</t>
        </is>
      </c>
      <c r="C505" t="inlineStr">
        <is>
          <t>China</t>
        </is>
      </c>
      <c r="D505" t="inlineStr">
        <is>
          <t>East Asia</t>
        </is>
      </c>
      <c r="E505" t="inlineStr">
        <is>
          <t>suicide_mental_strain_raw</t>
        </is>
      </c>
      <c r="F505" t="inlineStr">
        <is>
          <t>Suicide or mental strain raw</t>
        </is>
      </c>
      <c r="G505" t="inlineStr">
        <is>
          <t>pressure</t>
        </is>
      </c>
      <c r="H505" t="inlineStr">
        <is>
          <t>yes</t>
        </is>
      </c>
      <c r="I505" t="inlineStr">
        <is>
          <t>8.95</t>
        </is>
      </c>
      <c r="J505" t="inlineStr">
        <is>
          <t>who_gho</t>
        </is>
      </c>
      <c r="K505" t="inlineStr">
        <is>
          <t>https://www.who.int/data/gho/data/indicators/indicator-details/GHO/SDGSUICIDE</t>
        </is>
      </c>
      <c r="L505" t="inlineStr">
        <is>
          <t>WHO GHO: Age-standardized suicide rate (per 100,000 population)</t>
        </is>
      </c>
      <c r="M505" t="inlineStr">
        <is>
          <t>2021-12-31</t>
        </is>
      </c>
      <c r="N505" t="inlineStr">
        <is>
          <t>auto_ingest=who_gho; indicator=SDGSUICIDE; year=2021; country_proxy=China</t>
        </is>
      </c>
    </row>
    <row r="506">
      <c r="A506" t="inlineStr">
        <is>
          <t>cn-chongqing</t>
        </is>
      </c>
      <c r="B506" t="inlineStr">
        <is>
          <t>Chongqing</t>
        </is>
      </c>
      <c r="C506" t="inlineStr">
        <is>
          <t>China</t>
        </is>
      </c>
      <c r="D506" t="inlineStr">
        <is>
          <t>East Asia</t>
        </is>
      </c>
      <c r="E506" t="inlineStr">
        <is>
          <t>personal_safety_raw</t>
        </is>
      </c>
      <c r="F506" t="inlineStr">
        <is>
          <t>Personal safety raw</t>
        </is>
      </c>
      <c r="G506" t="inlineStr">
        <is>
          <t>viability</t>
        </is>
      </c>
      <c r="H506" t="inlineStr">
        <is>
          <t>yes</t>
        </is>
      </c>
      <c r="I506" t="inlineStr">
        <is>
          <t>0.5</t>
        </is>
      </c>
      <c r="J506" t="inlineStr">
        <is>
          <t>world_bank</t>
        </is>
      </c>
      <c r="K506" t="inlineStr">
        <is>
          <t>https://api.worldbank.org/v2/country/CHN/indicator/VC.IHR.PSRC.P5?format=json&amp;mrv=10</t>
        </is>
      </c>
      <c r="L506" t="inlineStr">
        <is>
          <t>UNODC via World Bank WDI: Intentional homicides (per 100,000 people)</t>
        </is>
      </c>
      <c r="M506" t="inlineStr">
        <is>
          <t>2020-12-31</t>
        </is>
      </c>
      <c r="N506" t="inlineStr">
        <is>
          <t>auto_ingest=unodc_safety; indicator=VC.IHR.PSRC.P5; year=2020; country_proxy=China</t>
        </is>
      </c>
    </row>
    <row r="507">
      <c r="A507" t="inlineStr">
        <is>
          <t>cn-chongqing</t>
        </is>
      </c>
      <c r="B507" t="inlineStr">
        <is>
          <t>Chongqing</t>
        </is>
      </c>
      <c r="C507" t="inlineStr">
        <is>
          <t>China</t>
        </is>
      </c>
      <c r="D507" t="inlineStr">
        <is>
          <t>East Asia</t>
        </is>
      </c>
      <c r="E507" t="inlineStr">
        <is>
          <t>transit_access_commute_raw</t>
        </is>
      </c>
      <c r="F507" t="inlineStr">
        <is>
          <t>Transit access and commute raw</t>
        </is>
      </c>
      <c r="G507" t="inlineStr">
        <is>
          <t>viability</t>
        </is>
      </c>
      <c r="H507" t="inlineStr">
        <is>
          <t>yes</t>
        </is>
      </c>
      <c r="I507" t="inlineStr"/>
      <c r="J507" t="inlineStr"/>
      <c r="K507" t="inlineStr"/>
      <c r="L507" t="inlineStr"/>
      <c r="M507" t="inlineStr"/>
      <c r="N507" t="inlineStr"/>
    </row>
    <row r="508">
      <c r="A508" t="inlineStr">
        <is>
          <t>cn-chongqing</t>
        </is>
      </c>
      <c r="B508" t="inlineStr">
        <is>
          <t>Chongqing</t>
        </is>
      </c>
      <c r="C508" t="inlineStr">
        <is>
          <t>China</t>
        </is>
      </c>
      <c r="D508" t="inlineStr">
        <is>
          <t>East Asia</t>
        </is>
      </c>
      <c r="E508" t="inlineStr">
        <is>
          <t>clean_air_raw</t>
        </is>
      </c>
      <c r="F508" t="inlineStr">
        <is>
          <t>Clean air raw</t>
        </is>
      </c>
      <c r="G508" t="inlineStr">
        <is>
          <t>viability</t>
        </is>
      </c>
      <c r="H508" t="inlineStr">
        <is>
          <t>yes</t>
        </is>
      </c>
      <c r="I508" t="inlineStr">
        <is>
          <t>40.0</t>
        </is>
      </c>
      <c r="J508" t="inlineStr">
        <is>
          <t>wmo_natl_met</t>
        </is>
      </c>
      <c r="K508" t="inlineStr">
        <is>
          <t>https://worldweather.wmo.int</t>
        </is>
      </c>
      <c r="L508" t="inlineStr">
        <is>
          <t>Chongqing PM2.5 annual mean</t>
        </is>
      </c>
      <c r="M508" t="inlineStr">
        <is>
          <t>2024-12-31</t>
        </is>
      </c>
      <c r="N508" t="inlineStr">
        <is>
          <t>city_level</t>
        </is>
      </c>
    </row>
    <row r="509">
      <c r="A509" t="inlineStr">
        <is>
          <t>cn-chongqing</t>
        </is>
      </c>
      <c r="B509" t="inlineStr">
        <is>
          <t>Chongqing</t>
        </is>
      </c>
      <c r="C509" t="inlineStr">
        <is>
          <t>China</t>
        </is>
      </c>
      <c r="D509" t="inlineStr">
        <is>
          <t>East Asia</t>
        </is>
      </c>
      <c r="E509" t="inlineStr">
        <is>
          <t>water_sanitation_utility_raw</t>
        </is>
      </c>
      <c r="F509" t="inlineStr">
        <is>
          <t>Water, sanitation, and utility raw</t>
        </is>
      </c>
      <c r="G509" t="inlineStr">
        <is>
          <t>viability</t>
        </is>
      </c>
      <c r="H509" t="inlineStr">
        <is>
          <t>yes</t>
        </is>
      </c>
      <c r="I509" t="inlineStr">
        <is>
          <t>95.0</t>
        </is>
      </c>
      <c r="J509" t="inlineStr">
        <is>
          <t>who_unicef_jmp</t>
        </is>
      </c>
      <c r="K509" t="inlineStr">
        <is>
          <t>https://washdata.org</t>
        </is>
      </c>
      <c r="L509" t="inlineStr">
        <is>
          <t>JMP: China safely managed water</t>
        </is>
      </c>
      <c r="M509" t="inlineStr">
        <is>
          <t>2023-12-31</t>
        </is>
      </c>
      <c r="N509" t="inlineStr">
        <is>
          <t>country_proxy=China</t>
        </is>
      </c>
    </row>
    <row r="510">
      <c r="A510" t="inlineStr">
        <is>
          <t>cn-chongqing</t>
        </is>
      </c>
      <c r="B510" t="inlineStr">
        <is>
          <t>Chongqing</t>
        </is>
      </c>
      <c r="C510" t="inlineStr">
        <is>
          <t>China</t>
        </is>
      </c>
      <c r="D510" t="inlineStr">
        <is>
          <t>East Asia</t>
        </is>
      </c>
      <c r="E510" t="inlineStr">
        <is>
          <t>digital_infrastructure_raw</t>
        </is>
      </c>
      <c r="F510" t="inlineStr">
        <is>
          <t>Digital infrastructure raw</t>
        </is>
      </c>
      <c r="G510" t="inlineStr">
        <is>
          <t>viability</t>
        </is>
      </c>
      <c r="H510" t="inlineStr">
        <is>
          <t>yes</t>
        </is>
      </c>
      <c r="I510" t="inlineStr">
        <is>
          <t>44.73</t>
        </is>
      </c>
      <c r="J510" t="inlineStr">
        <is>
          <t>world_bank</t>
        </is>
      </c>
      <c r="K510" t="inlineStr">
        <is>
          <t>https://api.worldbank.org/v2/country/CHN/indicator/IT.NET.BBND.P2?format=json&amp;mrv=10</t>
        </is>
      </c>
      <c r="L510" t="inlineStr">
        <is>
          <t>World Bank WDI: Fixed broadband subscriptions (per 100 people)</t>
        </is>
      </c>
      <c r="M510" t="inlineStr">
        <is>
          <t>2023-12-31</t>
        </is>
      </c>
      <c r="N510" t="inlineStr">
        <is>
          <t>auto_ingest=world_bank_proxy; indicator=IT.NET.BBND.P2; year=2023; country_proxy=China</t>
        </is>
      </c>
    </row>
    <row r="511">
      <c r="A511" t="inlineStr">
        <is>
          <t>cn-chongqing</t>
        </is>
      </c>
      <c r="B511" t="inlineStr">
        <is>
          <t>Chongqing</t>
        </is>
      </c>
      <c r="C511" t="inlineStr">
        <is>
          <t>China</t>
        </is>
      </c>
      <c r="D511" t="inlineStr">
        <is>
          <t>East Asia</t>
        </is>
      </c>
      <c r="E511" t="inlineStr">
        <is>
          <t>climate_sunlight_livability_raw</t>
        </is>
      </c>
      <c r="F511" t="inlineStr">
        <is>
          <t>Climate and sunlight livability raw</t>
        </is>
      </c>
      <c r="G511" t="inlineStr">
        <is>
          <t>viability</t>
        </is>
      </c>
      <c r="H511" t="inlineStr">
        <is>
          <t>yes</t>
        </is>
      </c>
      <c r="I511" t="inlineStr">
        <is>
          <t>44.0</t>
        </is>
      </c>
      <c r="J511" t="inlineStr">
        <is>
          <t>wmo_natl_met</t>
        </is>
      </c>
      <c r="K511" t="inlineStr">
        <is>
          <t>https://worldweather.wmo.int</t>
        </is>
      </c>
      <c r="L511" t="inlineStr">
        <is>
          <t>WMO: 1050 sun hrs, 18C mean, humid basin, fog city</t>
        </is>
      </c>
      <c r="M511" t="inlineStr">
        <is>
          <t>2024-12-31</t>
        </is>
      </c>
      <c r="N511" t="inlineStr">
        <is>
          <t>city_level</t>
        </is>
      </c>
    </row>
    <row r="512">
      <c r="A512" t="inlineStr">
        <is>
          <t>cn-chongqing</t>
        </is>
      </c>
      <c r="B512" t="inlineStr">
        <is>
          <t>Chongqing</t>
        </is>
      </c>
      <c r="C512" t="inlineStr">
        <is>
          <t>China</t>
        </is>
      </c>
      <c r="D512" t="inlineStr">
        <is>
          <t>East Asia</t>
        </is>
      </c>
      <c r="E512" t="inlineStr">
        <is>
          <t>healthcare_quality_raw</t>
        </is>
      </c>
      <c r="F512" t="inlineStr">
        <is>
          <t>Healthcare quality raw</t>
        </is>
      </c>
      <c r="G512" t="inlineStr">
        <is>
          <t>capability</t>
        </is>
      </c>
      <c r="H512" t="inlineStr">
        <is>
          <t>yes</t>
        </is>
      </c>
      <c r="I512" t="inlineStr">
        <is>
          <t>85.0</t>
        </is>
      </c>
      <c r="J512" t="inlineStr">
        <is>
          <t>who_gho</t>
        </is>
      </c>
      <c r="K512" t="inlineStr">
        <is>
          <t>https://www.who.int/data/gho/data/indicators/indicator-details/GHO/UHC_INDEX_REPORTED</t>
        </is>
      </c>
      <c r="L512" t="inlineStr">
        <is>
          <t>WHO GHO: UHC Service Coverage Index</t>
        </is>
      </c>
      <c r="M512" t="inlineStr">
        <is>
          <t>2023-12-31</t>
        </is>
      </c>
      <c r="N512" t="inlineStr">
        <is>
          <t>auto_ingest=who_gho; indicator=UHC_INDEX_REPORTED; year=2023; country_proxy=China</t>
        </is>
      </c>
    </row>
    <row r="513">
      <c r="A513" t="inlineStr">
        <is>
          <t>cn-chongqing</t>
        </is>
      </c>
      <c r="B513" t="inlineStr">
        <is>
          <t>Chongqing</t>
        </is>
      </c>
      <c r="C513" t="inlineStr">
        <is>
          <t>China</t>
        </is>
      </c>
      <c r="D513" t="inlineStr">
        <is>
          <t>East Asia</t>
        </is>
      </c>
      <c r="E513" t="inlineStr">
        <is>
          <t>education_quality_raw</t>
        </is>
      </c>
      <c r="F513" t="inlineStr">
        <is>
          <t>Education quality raw</t>
        </is>
      </c>
      <c r="G513" t="inlineStr">
        <is>
          <t>capability</t>
        </is>
      </c>
      <c r="H513" t="inlineStr">
        <is>
          <t>yes</t>
        </is>
      </c>
      <c r="I513" t="inlineStr">
        <is>
          <t>76.88</t>
        </is>
      </c>
      <c r="J513" t="inlineStr">
        <is>
          <t>world_bank</t>
        </is>
      </c>
      <c r="K513" t="inlineStr">
        <is>
          <t>https://api.worldbank.org/v2/country/CHN/indicator/SE.TER.ENRR?format=json&amp;mrv=10</t>
        </is>
      </c>
      <c r="L513" t="inlineStr">
        <is>
          <t>World Bank WDI: School enrollment, tertiary (% gross)</t>
        </is>
      </c>
      <c r="M513" t="inlineStr">
        <is>
          <t>2024-12-31</t>
        </is>
      </c>
      <c r="N513" t="inlineStr">
        <is>
          <t>auto_ingest=world_bank_proxy; indicator=SE.TER.ENRR; year=2024; country_proxy=China</t>
        </is>
      </c>
    </row>
    <row r="514">
      <c r="A514" t="inlineStr">
        <is>
          <t>cn-chongqing</t>
        </is>
      </c>
      <c r="B514" t="inlineStr">
        <is>
          <t>Chongqing</t>
        </is>
      </c>
      <c r="C514" t="inlineStr">
        <is>
          <t>China</t>
        </is>
      </c>
      <c r="D514" t="inlineStr">
        <is>
          <t>East Asia</t>
        </is>
      </c>
      <c r="E514" t="inlineStr">
        <is>
          <t>equal_opportunity_raw</t>
        </is>
      </c>
      <c r="F514" t="inlineStr">
        <is>
          <t>Equal opportunity raw</t>
        </is>
      </c>
      <c r="G514" t="inlineStr">
        <is>
          <t>capability</t>
        </is>
      </c>
      <c r="H514" t="inlineStr">
        <is>
          <t>yes</t>
        </is>
      </c>
      <c r="I514" t="inlineStr">
        <is>
          <t>36.0</t>
        </is>
      </c>
      <c r="J514" t="inlineStr">
        <is>
          <t>world_bank</t>
        </is>
      </c>
      <c r="K514" t="inlineStr">
        <is>
          <t>https://api.worldbank.org/v2/country/CHN/indicator/SI.POV.GINI?format=json&amp;mrv=10</t>
        </is>
      </c>
      <c r="L514" t="inlineStr">
        <is>
          <t>World Bank WDI: Gini index</t>
        </is>
      </c>
      <c r="M514" t="inlineStr">
        <is>
          <t>2022-12-31</t>
        </is>
      </c>
      <c r="N514" t="inlineStr">
        <is>
          <t>auto_ingest=world_bank_capability; indicator=SI.POV.GINI; year=2022; country_proxy=China</t>
        </is>
      </c>
    </row>
    <row r="515">
      <c r="A515" t="inlineStr">
        <is>
          <t>cn-chongqing</t>
        </is>
      </c>
      <c r="B515" t="inlineStr">
        <is>
          <t>Chongqing</t>
        </is>
      </c>
      <c r="C515" t="inlineStr">
        <is>
          <t>China</t>
        </is>
      </c>
      <c r="D515" t="inlineStr">
        <is>
          <t>East Asia</t>
        </is>
      </c>
      <c r="E515" t="inlineStr">
        <is>
          <t>hospitality_belonging_raw</t>
        </is>
      </c>
      <c r="F515" t="inlineStr">
        <is>
          <t>Hospitality and belonging raw</t>
        </is>
      </c>
      <c r="G515" t="inlineStr">
        <is>
          <t>community</t>
        </is>
      </c>
      <c r="H515" t="inlineStr">
        <is>
          <t>yes</t>
        </is>
      </c>
      <c r="I515" t="inlineStr">
        <is>
          <t>49.81</t>
        </is>
      </c>
      <c r="J515" t="inlineStr">
        <is>
          <t>world_bank</t>
        </is>
      </c>
      <c r="K515" t="inlineStr">
        <is>
          <t>https://api.worldbank.org/v2/country/CHN/indicator/SM.POP.NETM?format=json&amp;mrv=10</t>
        </is>
      </c>
      <c r="L515" t="inlineStr">
        <is>
          <t>World Bank WDI: Net migration (proxy for hospitality/belonging — positive = welcoming)</t>
        </is>
      </c>
      <c r="M515" t="inlineStr">
        <is>
          <t>2025-12-31</t>
        </is>
      </c>
      <c r="N515" t="inlineStr">
        <is>
          <t>auto_ingest=world_bank_proxy; proxy=net_migration_hospitality; indicator=SM.POP.NETM; year=2025; country_proxy=China</t>
        </is>
      </c>
    </row>
    <row r="516">
      <c r="A516" t="inlineStr">
        <is>
          <t>cn-chongqing</t>
        </is>
      </c>
      <c r="B516" t="inlineStr">
        <is>
          <t>Chongqing</t>
        </is>
      </c>
      <c r="C516" t="inlineStr">
        <is>
          <t>China</t>
        </is>
      </c>
      <c r="D516" t="inlineStr">
        <is>
          <t>East Asia</t>
        </is>
      </c>
      <c r="E516" t="inlineStr">
        <is>
          <t>tolerance_pluralism_raw</t>
        </is>
      </c>
      <c r="F516" t="inlineStr">
        <is>
          <t>Tolerance and pluralism raw</t>
        </is>
      </c>
      <c r="G516" t="inlineStr">
        <is>
          <t>community</t>
        </is>
      </c>
      <c r="H516" t="inlineStr">
        <is>
          <t>yes</t>
        </is>
      </c>
      <c r="I516" t="inlineStr">
        <is>
          <t>26.54</t>
        </is>
      </c>
      <c r="J516" t="inlineStr">
        <is>
          <t>world_bank</t>
        </is>
      </c>
      <c r="K516" t="inlineStr">
        <is>
          <t>https://api.worldbank.org/v2/country/CHN/indicator/SG.GEN.PARL.ZS?format=json&amp;mrv=10</t>
        </is>
      </c>
      <c r="L516" t="inlineStr">
        <is>
          <t>World Bank WDI: Proportion of seats held by women in national parliaments (%)</t>
        </is>
      </c>
      <c r="M516" t="inlineStr">
        <is>
          <t>2024-12-31</t>
        </is>
      </c>
      <c r="N516" t="inlineStr">
        <is>
          <t>auto_ingest=world_bank_proxy; proxy=gender_parity_parliament; indicator=SG.GEN.PARL.ZS; year=2024; country_proxy=China</t>
        </is>
      </c>
    </row>
    <row r="517">
      <c r="A517" t="inlineStr">
        <is>
          <t>cn-chongqing</t>
        </is>
      </c>
      <c r="B517" t="inlineStr">
        <is>
          <t>Chongqing</t>
        </is>
      </c>
      <c r="C517" t="inlineStr">
        <is>
          <t>China</t>
        </is>
      </c>
      <c r="D517" t="inlineStr">
        <is>
          <t>East Asia</t>
        </is>
      </c>
      <c r="E517" t="inlineStr">
        <is>
          <t>cultural_public_life_raw</t>
        </is>
      </c>
      <c r="F517" t="inlineStr">
        <is>
          <t>Cultural public life raw</t>
        </is>
      </c>
      <c r="G517" t="inlineStr">
        <is>
          <t>community</t>
        </is>
      </c>
      <c r="H517" t="inlineStr">
        <is>
          <t>yes</t>
        </is>
      </c>
      <c r="I517" t="inlineStr">
        <is>
          <t>58.0</t>
        </is>
      </c>
      <c r="J517" t="inlineStr">
        <is>
          <t>wmo_natl_met</t>
        </is>
      </c>
      <c r="K517" t="inlineStr">
        <is>
          <t>https://worldweather.wmo.int</t>
        </is>
      </c>
      <c r="L517" t="inlineStr">
        <is>
          <t>Hotpot culture, mountain city uniqueness, Yangtze heritage</t>
        </is>
      </c>
      <c r="M517" t="inlineStr">
        <is>
          <t>2024-12-31</t>
        </is>
      </c>
      <c r="N517" t="inlineStr">
        <is>
          <t>manual_assessment</t>
        </is>
      </c>
    </row>
    <row r="518">
      <c r="A518" t="inlineStr">
        <is>
          <t>cn-chongqing</t>
        </is>
      </c>
      <c r="B518" t="inlineStr">
        <is>
          <t>Chongqing</t>
        </is>
      </c>
      <c r="C518" t="inlineStr">
        <is>
          <t>China</t>
        </is>
      </c>
      <c r="D518" t="inlineStr">
        <is>
          <t>East Asia</t>
        </is>
      </c>
      <c r="E518" t="inlineStr">
        <is>
          <t>birth_rate_optimism_raw</t>
        </is>
      </c>
      <c r="F518" t="inlineStr">
        <is>
          <t>Birth rate and societal optimism raw</t>
        </is>
      </c>
      <c r="G518" t="inlineStr">
        <is>
          <t>community</t>
        </is>
      </c>
      <c r="H518" t="inlineStr">
        <is>
          <t>yes</t>
        </is>
      </c>
      <c r="I518" t="inlineStr">
        <is>
          <t>1.0</t>
        </is>
      </c>
      <c r="J518" t="inlineStr">
        <is>
          <t>world_bank</t>
        </is>
      </c>
      <c r="K518" t="inlineStr">
        <is>
          <t>https://data.worldbank.org/indicator/SP.DYN.TFRT.IN</t>
        </is>
      </c>
      <c r="L518" t="inlineStr">
        <is>
          <t>World Bank Total Fertility Rate 2023</t>
        </is>
      </c>
      <c r="M518" t="inlineStr">
        <is>
          <t>2024-01-01</t>
        </is>
      </c>
      <c r="N518" t="inlineStr"/>
    </row>
    <row r="519">
      <c r="A519" t="inlineStr">
        <is>
          <t>cn-chongqing</t>
        </is>
      </c>
      <c r="B519" t="inlineStr">
        <is>
          <t>Chongqing</t>
        </is>
      </c>
      <c r="C519" t="inlineStr">
        <is>
          <t>China</t>
        </is>
      </c>
      <c r="D519" t="inlineStr">
        <is>
          <t>East Asia</t>
        </is>
      </c>
      <c r="E519" t="inlineStr">
        <is>
          <t>entrepreneurial_dynamism_raw</t>
        </is>
      </c>
      <c r="F519" t="inlineStr">
        <is>
          <t>Entrepreneurial dynamism raw</t>
        </is>
      </c>
      <c r="G519" t="inlineStr">
        <is>
          <t>creative</t>
        </is>
      </c>
      <c r="H519" t="inlineStr">
        <is>
          <t>yes</t>
        </is>
      </c>
      <c r="I519" t="inlineStr">
        <is>
          <t>8.58</t>
        </is>
      </c>
      <c r="J519" t="inlineStr">
        <is>
          <t>world_bank</t>
        </is>
      </c>
      <c r="K519" t="inlineStr">
        <is>
          <t>https://api.worldbank.org/v2/country/CHN/indicator/IC.BUS.NDNS.ZS?format=json&amp;mrv=10</t>
        </is>
      </c>
      <c r="L519" t="inlineStr">
        <is>
          <t>World Bank WDI: New business density (new registrations per 1,000 people ages 15-64)</t>
        </is>
      </c>
      <c r="M519" t="inlineStr">
        <is>
          <t>2020-12-31</t>
        </is>
      </c>
      <c r="N519" t="inlineStr">
        <is>
          <t>auto_ingest=world_bank_creative_extended; indicator=IC.BUS.NDNS.ZS; year=2020; country_proxy=China</t>
        </is>
      </c>
    </row>
    <row r="520">
      <c r="A520" t="inlineStr">
        <is>
          <t>cn-chongqing</t>
        </is>
      </c>
      <c r="B520" t="inlineStr">
        <is>
          <t>Chongqing</t>
        </is>
      </c>
      <c r="C520" t="inlineStr">
        <is>
          <t>China</t>
        </is>
      </c>
      <c r="D520" t="inlineStr">
        <is>
          <t>East Asia</t>
        </is>
      </c>
      <c r="E520" t="inlineStr">
        <is>
          <t>innovation_research_intensity_raw</t>
        </is>
      </c>
      <c r="F520" t="inlineStr">
        <is>
          <t>Innovation and research raw</t>
        </is>
      </c>
      <c r="G520" t="inlineStr">
        <is>
          <t>creative</t>
        </is>
      </c>
      <c r="H520" t="inlineStr">
        <is>
          <t>yes</t>
        </is>
      </c>
      <c r="I520" t="inlineStr">
        <is>
          <t>2.56</t>
        </is>
      </c>
      <c r="J520" t="inlineStr">
        <is>
          <t>world_bank</t>
        </is>
      </c>
      <c r="K520" t="inlineStr">
        <is>
          <t>https://api.worldbank.org/v2/country/CHN/indicator/GB.XPD.RSDV.GD.ZS?format=json&amp;mrv=10</t>
        </is>
      </c>
      <c r="L520" t="inlineStr">
        <is>
          <t>World Bank WDI: Research and development expenditure (% of GDP)</t>
        </is>
      </c>
      <c r="M520" t="inlineStr">
        <is>
          <t>2022-12-31</t>
        </is>
      </c>
      <c r="N520" t="inlineStr">
        <is>
          <t>auto_ingest=world_bank_creative_extended; indicator=GB.XPD.RSDV.GD.ZS; year=2022; country_proxy=China</t>
        </is>
      </c>
    </row>
    <row r="521">
      <c r="A521" t="inlineStr">
        <is>
          <t>cn-chongqing</t>
        </is>
      </c>
      <c r="B521" t="inlineStr">
        <is>
          <t>Chongqing</t>
        </is>
      </c>
      <c r="C521" t="inlineStr">
        <is>
          <t>China</t>
        </is>
      </c>
      <c r="D521" t="inlineStr">
        <is>
          <t>East Asia</t>
        </is>
      </c>
      <c r="E521" t="inlineStr">
        <is>
          <t>investment_signal_raw</t>
        </is>
      </c>
      <c r="F521" t="inlineStr">
        <is>
          <t>Investment signal raw</t>
        </is>
      </c>
      <c r="G521" t="inlineStr">
        <is>
          <t>creative</t>
        </is>
      </c>
      <c r="H521" t="inlineStr">
        <is>
          <t>yes</t>
        </is>
      </c>
      <c r="I521" t="inlineStr">
        <is>
          <t>0.1</t>
        </is>
      </c>
      <c r="J521" t="inlineStr">
        <is>
          <t>world_bank</t>
        </is>
      </c>
      <c r="K521" t="inlineStr">
        <is>
          <t>https://api.worldbank.org/v2/country/CHN/indicator/BX.KLT.DINV.WD.GD.ZS?format=json&amp;mrv=10</t>
        </is>
      </c>
      <c r="L521" t="inlineStr">
        <is>
          <t>World Bank WDI: Foreign direct investment, net inflows (% of GDP)</t>
        </is>
      </c>
      <c r="M521" t="inlineStr">
        <is>
          <t>2024-12-31</t>
        </is>
      </c>
      <c r="N521" t="inlineStr">
        <is>
          <t>auto_ingest=world_bank_creative_extended; indicator=BX.KLT.DINV.WD.GD.ZS; year=2024; country_proxy=China</t>
        </is>
      </c>
    </row>
    <row r="522">
      <c r="A522" t="inlineStr">
        <is>
          <t>cn-chongqing</t>
        </is>
      </c>
      <c r="B522" t="inlineStr">
        <is>
          <t>Chongqing</t>
        </is>
      </c>
      <c r="C522" t="inlineStr">
        <is>
          <t>China</t>
        </is>
      </c>
      <c r="D522" t="inlineStr">
        <is>
          <t>East Asia</t>
        </is>
      </c>
      <c r="E522" t="inlineStr">
        <is>
          <t>administrative_investment_friction_raw</t>
        </is>
      </c>
      <c r="F522" t="inlineStr">
        <is>
          <t>Administrative investment friction raw</t>
        </is>
      </c>
      <c r="G522" t="inlineStr">
        <is>
          <t>creative</t>
        </is>
      </c>
      <c r="H522" t="inlineStr">
        <is>
          <t>yes</t>
        </is>
      </c>
      <c r="I522" t="inlineStr">
        <is>
          <t>2.86</t>
        </is>
      </c>
      <c r="J522" t="inlineStr">
        <is>
          <t>world_bank</t>
        </is>
      </c>
      <c r="K522" t="inlineStr">
        <is>
          <t>https://api.worldbank.org/v2/country/CHN/indicator/RQ.EST?format=json&amp;mrv=10</t>
        </is>
      </c>
      <c r="L522" t="inlineStr">
        <is>
          <t>World Bank WGI: Regulatory Quality (inverted as friction proxy)</t>
        </is>
      </c>
      <c r="M522" t="inlineStr">
        <is>
          <t>2023-12-31</t>
        </is>
      </c>
      <c r="N522" t="inlineStr">
        <is>
          <t>auto_ingest=world_bank_business_friction; indicator=RQ.EST; raw_rq=-0.356507807970047; friction=2.86; year=2023; country_proxy=China</t>
        </is>
      </c>
    </row>
    <row r="523">
      <c r="A523" t="inlineStr">
        <is>
          <t>cn-chongqing</t>
        </is>
      </c>
      <c r="B523" t="inlineStr">
        <is>
          <t>Chongqing</t>
        </is>
      </c>
      <c r="C523" t="inlineStr">
        <is>
          <t>China</t>
        </is>
      </c>
      <c r="D523" t="inlineStr">
        <is>
          <t>East Asia</t>
        </is>
      </c>
      <c r="E523" t="inlineStr">
        <is>
          <t>visitor_flow_context_raw</t>
        </is>
      </c>
      <c r="F523" t="inlineStr">
        <is>
          <t>Visitor flow context raw</t>
        </is>
      </c>
      <c r="G523" t="inlineStr">
        <is>
          <t>creative</t>
        </is>
      </c>
      <c r="H523" t="inlineStr">
        <is>
          <t>no</t>
        </is>
      </c>
      <c r="I523" t="inlineStr"/>
      <c r="J523" t="inlineStr"/>
      <c r="K523" t="inlineStr"/>
      <c r="L523" t="inlineStr"/>
      <c r="M523" t="inlineStr"/>
      <c r="N523" t="inlineStr"/>
    </row>
    <row r="524">
      <c r="A524" t="inlineStr">
        <is>
          <t>cn-hangzhou</t>
        </is>
      </c>
      <c r="B524" t="inlineStr">
        <is>
          <t>Hangzhou</t>
        </is>
      </c>
      <c r="C524" t="inlineStr">
        <is>
          <t>China</t>
        </is>
      </c>
      <c r="D524" t="inlineStr">
        <is>
          <t>East Asia</t>
        </is>
      </c>
      <c r="E524" t="inlineStr">
        <is>
          <t>gross_income</t>
        </is>
      </c>
      <c r="F524" t="inlineStr">
        <is>
          <t>Gross income</t>
        </is>
      </c>
      <c r="G524" t="inlineStr">
        <is>
          <t>pressure</t>
        </is>
      </c>
      <c r="H524" t="inlineStr">
        <is>
          <t>yes</t>
        </is>
      </c>
      <c r="I524" t="inlineStr">
        <is>
          <t>2692.0</t>
        </is>
      </c>
      <c r="J524" t="inlineStr">
        <is>
          <t>world_bank_col_estimate</t>
        </is>
      </c>
      <c r="K524" t="inlineStr">
        <is>
          <t>https://api.worldbank.org/v2/country/CHN/indicator/NY.GNP.PCAP.PP.CD?format=json&amp;mrv=10</t>
        </is>
      </c>
      <c r="L524" t="inlineStr">
        <is>
          <t>World Bank WDI: GNI per capita PPP (monthly USD)</t>
        </is>
      </c>
      <c r="M524" t="inlineStr">
        <is>
          <t>2024-12-31</t>
        </is>
      </c>
      <c r="N524" t="inlineStr">
        <is>
          <t>auto_ingest=world_bank_col_estimate; gni_annual=26920.0; year=2024; country_proxy=China; cohort=East Asia; city_income_mult=1.2</t>
        </is>
      </c>
    </row>
    <row r="525">
      <c r="A525" t="inlineStr">
        <is>
          <t>cn-hangzhou</t>
        </is>
      </c>
      <c r="B525" t="inlineStr">
        <is>
          <t>Hangzhou</t>
        </is>
      </c>
      <c r="C525" t="inlineStr">
        <is>
          <t>China</t>
        </is>
      </c>
      <c r="D525" t="inlineStr">
        <is>
          <t>East Asia</t>
        </is>
      </c>
      <c r="E525" t="inlineStr">
        <is>
          <t>di_ppp_raw</t>
        </is>
      </c>
      <c r="F525" t="inlineStr">
        <is>
          <t>Disposable income PPP (Raw)</t>
        </is>
      </c>
      <c r="G525" t="inlineStr">
        <is>
          <t>pressure</t>
        </is>
      </c>
      <c r="H525" t="inlineStr">
        <is>
          <t>yes</t>
        </is>
      </c>
      <c r="I525" t="inlineStr"/>
      <c r="J525" t="inlineStr"/>
      <c r="K525" t="inlineStr"/>
      <c r="L525" t="inlineStr"/>
      <c r="M525" t="inlineStr"/>
      <c r="N525" t="inlineStr"/>
    </row>
    <row r="526">
      <c r="A526" t="inlineStr">
        <is>
          <t>cn-hangzhou</t>
        </is>
      </c>
      <c r="B526" t="inlineStr">
        <is>
          <t>Hangzhou</t>
        </is>
      </c>
      <c r="C526" t="inlineStr">
        <is>
          <t>China</t>
        </is>
      </c>
      <c r="D526" t="inlineStr">
        <is>
          <t>East Asia</t>
        </is>
      </c>
      <c r="E526" t="inlineStr">
        <is>
          <t>rent</t>
        </is>
      </c>
      <c r="F526" t="inlineStr">
        <is>
          <t>Rent</t>
        </is>
      </c>
      <c r="G526" t="inlineStr">
        <is>
          <t>pressure</t>
        </is>
      </c>
      <c r="H526" t="inlineStr">
        <is>
          <t>yes</t>
        </is>
      </c>
      <c r="I526" t="inlineStr">
        <is>
          <t>740.3</t>
        </is>
      </c>
      <c r="J526" t="inlineStr">
        <is>
          <t>world_bank_col_estimate</t>
        </is>
      </c>
      <c r="K526" t="inlineStr">
        <is>
          <t>https://api.worldbank.org/v2/country/CHN/indicator/NY.GNP.PCAP.PP.CD?format=json&amp;mrv=10</t>
        </is>
      </c>
      <c r="L526" t="inlineStr">
        <is>
          <t>World Bank GNI + regional expenditure ratio estimate</t>
        </is>
      </c>
      <c r="M526" t="inlineStr">
        <is>
          <t>2024-12-31</t>
        </is>
      </c>
      <c r="N526" t="inlineStr">
        <is>
          <t>auto_ingest=world_bank_col_estimate; gni_annual=26920.0; year=2024; country_proxy=China; cohort=East Asia; city_cost_mult=1.1</t>
        </is>
      </c>
    </row>
    <row r="527">
      <c r="A527" t="inlineStr">
        <is>
          <t>cn-hangzhou</t>
        </is>
      </c>
      <c r="B527" t="inlineStr">
        <is>
          <t>Hangzhou</t>
        </is>
      </c>
      <c r="C527" t="inlineStr">
        <is>
          <t>China</t>
        </is>
      </c>
      <c r="D527" t="inlineStr">
        <is>
          <t>East Asia</t>
        </is>
      </c>
      <c r="E527" t="inlineStr">
        <is>
          <t>utilities</t>
        </is>
      </c>
      <c r="F527" t="inlineStr">
        <is>
          <t>Utilities</t>
        </is>
      </c>
      <c r="G527" t="inlineStr">
        <is>
          <t>pressure</t>
        </is>
      </c>
      <c r="H527" t="inlineStr">
        <is>
          <t>yes</t>
        </is>
      </c>
      <c r="I527" t="inlineStr">
        <is>
          <t>177.67</t>
        </is>
      </c>
      <c r="J527" t="inlineStr">
        <is>
          <t>world_bank_col_estimate</t>
        </is>
      </c>
      <c r="K527" t="inlineStr">
        <is>
          <t>https://api.worldbank.org/v2/country/CHN/indicator/NY.GNP.PCAP.PP.CD?format=json&amp;mrv=10</t>
        </is>
      </c>
      <c r="L527" t="inlineStr">
        <is>
          <t>World Bank GNI + regional expenditure ratio estimate</t>
        </is>
      </c>
      <c r="M527" t="inlineStr">
        <is>
          <t>2024-12-31</t>
        </is>
      </c>
      <c r="N527" t="inlineStr">
        <is>
          <t>auto_ingest=world_bank_col_estimate; gni_annual=26920.0; year=2024; country_proxy=China; cohort=East Asia; city_cost_mult=1.1</t>
        </is>
      </c>
    </row>
    <row r="528">
      <c r="A528" t="inlineStr">
        <is>
          <t>cn-hangzhou</t>
        </is>
      </c>
      <c r="B528" t="inlineStr">
        <is>
          <t>Hangzhou</t>
        </is>
      </c>
      <c r="C528" t="inlineStr">
        <is>
          <t>China</t>
        </is>
      </c>
      <c r="D528" t="inlineStr">
        <is>
          <t>East Asia</t>
        </is>
      </c>
      <c r="E528" t="inlineStr">
        <is>
          <t>transit_cost</t>
        </is>
      </c>
      <c r="F528" t="inlineStr">
        <is>
          <t>Transit cost</t>
        </is>
      </c>
      <c r="G528" t="inlineStr">
        <is>
          <t>pressure</t>
        </is>
      </c>
      <c r="H528" t="inlineStr">
        <is>
          <t>yes</t>
        </is>
      </c>
      <c r="I528" t="inlineStr">
        <is>
          <t>118.45</t>
        </is>
      </c>
      <c r="J528" t="inlineStr">
        <is>
          <t>world_bank_col_estimate</t>
        </is>
      </c>
      <c r="K528" t="inlineStr">
        <is>
          <t>https://api.worldbank.org/v2/country/CHN/indicator/NY.GNP.PCAP.PP.CD?format=json&amp;mrv=10</t>
        </is>
      </c>
      <c r="L528" t="inlineStr">
        <is>
          <t>World Bank GNI + regional expenditure ratio estimate</t>
        </is>
      </c>
      <c r="M528" t="inlineStr">
        <is>
          <t>2024-12-31</t>
        </is>
      </c>
      <c r="N528" t="inlineStr">
        <is>
          <t>auto_ingest=world_bank_col_estimate; gni_annual=26920.0; year=2024; country_proxy=China; cohort=East Asia; city_cost_mult=1.1</t>
        </is>
      </c>
    </row>
    <row r="529">
      <c r="A529" t="inlineStr">
        <is>
          <t>cn-hangzhou</t>
        </is>
      </c>
      <c r="B529" t="inlineStr">
        <is>
          <t>Hangzhou</t>
        </is>
      </c>
      <c r="C529" t="inlineStr">
        <is>
          <t>China</t>
        </is>
      </c>
      <c r="D529" t="inlineStr">
        <is>
          <t>East Asia</t>
        </is>
      </c>
      <c r="E529" t="inlineStr">
        <is>
          <t>internet_cost</t>
        </is>
      </c>
      <c r="F529" t="inlineStr">
        <is>
          <t>Internet cost</t>
        </is>
      </c>
      <c r="G529" t="inlineStr">
        <is>
          <t>pressure</t>
        </is>
      </c>
      <c r="H529" t="inlineStr">
        <is>
          <t>yes</t>
        </is>
      </c>
      <c r="I529" t="inlineStr">
        <is>
          <t>44.42</t>
        </is>
      </c>
      <c r="J529" t="inlineStr">
        <is>
          <t>world_bank_col_estimate</t>
        </is>
      </c>
      <c r="K529" t="inlineStr">
        <is>
          <t>https://api.worldbank.org/v2/country/CHN/indicator/NY.GNP.PCAP.PP.CD?format=json&amp;mrv=10</t>
        </is>
      </c>
      <c r="L529" t="inlineStr">
        <is>
          <t>World Bank GNI + regional expenditure ratio estimate</t>
        </is>
      </c>
      <c r="M529" t="inlineStr">
        <is>
          <t>2024-12-31</t>
        </is>
      </c>
      <c r="N529" t="inlineStr">
        <is>
          <t>auto_ingest=world_bank_col_estimate; gni_annual=26920.0; year=2024; country_proxy=China; cohort=East Asia; city_cost_mult=1.1</t>
        </is>
      </c>
    </row>
    <row r="530">
      <c r="A530" t="inlineStr">
        <is>
          <t>cn-hangzhou</t>
        </is>
      </c>
      <c r="B530" t="inlineStr">
        <is>
          <t>Hangzhou</t>
        </is>
      </c>
      <c r="C530" t="inlineStr">
        <is>
          <t>China</t>
        </is>
      </c>
      <c r="D530" t="inlineStr">
        <is>
          <t>East Asia</t>
        </is>
      </c>
      <c r="E530" t="inlineStr">
        <is>
          <t>food_cost</t>
        </is>
      </c>
      <c r="F530" t="inlineStr">
        <is>
          <t>Food cost</t>
        </is>
      </c>
      <c r="G530" t="inlineStr">
        <is>
          <t>pressure</t>
        </is>
      </c>
      <c r="H530" t="inlineStr">
        <is>
          <t>yes</t>
        </is>
      </c>
      <c r="I530" t="inlineStr">
        <is>
          <t>592.24</t>
        </is>
      </c>
      <c r="J530" t="inlineStr">
        <is>
          <t>world_bank_col_estimate</t>
        </is>
      </c>
      <c r="K530" t="inlineStr">
        <is>
          <t>https://api.worldbank.org/v2/country/CHN/indicator/NY.GNP.PCAP.PP.CD?format=json&amp;mrv=10</t>
        </is>
      </c>
      <c r="L530" t="inlineStr">
        <is>
          <t>World Bank GNI + regional expenditure ratio estimate</t>
        </is>
      </c>
      <c r="M530" t="inlineStr">
        <is>
          <t>2024-12-31</t>
        </is>
      </c>
      <c r="N530" t="inlineStr">
        <is>
          <t>auto_ingest=world_bank_col_estimate; gni_annual=26920.0; year=2024; country_proxy=China; cohort=East Asia; city_cost_mult=1.1</t>
        </is>
      </c>
    </row>
    <row r="531">
      <c r="A531" t="inlineStr">
        <is>
          <t>cn-hangzhou</t>
        </is>
      </c>
      <c r="B531" t="inlineStr">
        <is>
          <t>Hangzhou</t>
        </is>
      </c>
      <c r="C531" t="inlineStr">
        <is>
          <t>China</t>
        </is>
      </c>
      <c r="D531" t="inlineStr">
        <is>
          <t>East Asia</t>
        </is>
      </c>
      <c r="E531" t="inlineStr">
        <is>
          <t>housing_burden_raw</t>
        </is>
      </c>
      <c r="F531" t="inlineStr">
        <is>
          <t>Housing burden raw</t>
        </is>
      </c>
      <c r="G531" t="inlineStr">
        <is>
          <t>pressure</t>
        </is>
      </c>
      <c r="H531" t="inlineStr">
        <is>
          <t>yes</t>
        </is>
      </c>
      <c r="I531" t="inlineStr">
        <is>
          <t>27.5</t>
        </is>
      </c>
      <c r="J531" t="inlineStr">
        <is>
          <t>derived</t>
        </is>
      </c>
      <c r="K531" t="inlineStr">
        <is>
          <t>https://data.worldbank.org/indicator/NY.GNP.PCAP.PP.CD</t>
        </is>
      </c>
      <c r="L531" t="inlineStr">
        <is>
          <t>Computed from city_inputs + country_context</t>
        </is>
      </c>
      <c r="M531" t="inlineStr">
        <is>
          <t>2024-01-01</t>
        </is>
      </c>
      <c r="N531" t="inlineStr">
        <is>
          <t>derived=rent/gross_income*100</t>
        </is>
      </c>
    </row>
    <row r="532">
      <c r="A532" t="inlineStr">
        <is>
          <t>cn-hangzhou</t>
        </is>
      </c>
      <c r="B532" t="inlineStr">
        <is>
          <t>Hangzhou</t>
        </is>
      </c>
      <c r="C532" t="inlineStr">
        <is>
          <t>China</t>
        </is>
      </c>
      <c r="D532" t="inlineStr">
        <is>
          <t>East Asia</t>
        </is>
      </c>
      <c r="E532" t="inlineStr">
        <is>
          <t>household_debt_burden_raw</t>
        </is>
      </c>
      <c r="F532" t="inlineStr">
        <is>
          <t>Household debt burden raw</t>
        </is>
      </c>
      <c r="G532" t="inlineStr">
        <is>
          <t>pressure</t>
        </is>
      </c>
      <c r="H532" t="inlineStr">
        <is>
          <t>yes</t>
        </is>
      </c>
      <c r="I532" t="inlineStr">
        <is>
          <t>194.166</t>
        </is>
      </c>
      <c r="J532" t="inlineStr">
        <is>
          <t>derived</t>
        </is>
      </c>
      <c r="K532" t="inlineStr">
        <is>
          <t>https://data.worldbank.org/indicator/NY.GNP.PCAP.PP.CD</t>
        </is>
      </c>
      <c r="L532" t="inlineStr">
        <is>
          <t>Computed from city_inputs + country_context</t>
        </is>
      </c>
      <c r="M532" t="inlineStr">
        <is>
          <t>2024-01-01</t>
        </is>
      </c>
      <c r="N532" t="inlineStr">
        <is>
          <t>derived=country_context.household_debt_proxy; country=China</t>
        </is>
      </c>
    </row>
    <row r="533">
      <c r="A533" t="inlineStr">
        <is>
          <t>cn-hangzhou</t>
        </is>
      </c>
      <c r="B533" t="inlineStr">
        <is>
          <t>Hangzhou</t>
        </is>
      </c>
      <c r="C533" t="inlineStr">
        <is>
          <t>China</t>
        </is>
      </c>
      <c r="D533" t="inlineStr">
        <is>
          <t>East Asia</t>
        </is>
      </c>
      <c r="E533" t="inlineStr">
        <is>
          <t>working_time_pressure_raw</t>
        </is>
      </c>
      <c r="F533" t="inlineStr">
        <is>
          <t>Working time pressure raw</t>
        </is>
      </c>
      <c r="G533" t="inlineStr">
        <is>
          <t>pressure</t>
        </is>
      </c>
      <c r="H533" t="inlineStr">
        <is>
          <t>yes</t>
        </is>
      </c>
      <c r="I533" t="inlineStr">
        <is>
          <t>46.0</t>
        </is>
      </c>
      <c r="J533" t="inlineStr">
        <is>
          <t>ilo_ilostat</t>
        </is>
      </c>
      <c r="K533" t="inlineStr">
        <is>
          <t>https://ilostat.ilo.org</t>
        </is>
      </c>
      <c r="L533" t="inlineStr">
        <is>
          <t>ILO: Mean weekly hours China</t>
        </is>
      </c>
      <c r="M533" t="inlineStr">
        <is>
          <t>2024-12-31</t>
        </is>
      </c>
      <c r="N533" t="inlineStr">
        <is>
          <t>country_proxy=China</t>
        </is>
      </c>
    </row>
    <row r="534">
      <c r="A534" t="inlineStr">
        <is>
          <t>cn-hangzhou</t>
        </is>
      </c>
      <c r="B534" t="inlineStr">
        <is>
          <t>Hangzhou</t>
        </is>
      </c>
      <c r="C534" t="inlineStr">
        <is>
          <t>China</t>
        </is>
      </c>
      <c r="D534" t="inlineStr">
        <is>
          <t>East Asia</t>
        </is>
      </c>
      <c r="E534" t="inlineStr">
        <is>
          <t>suicide_mental_strain_raw</t>
        </is>
      </c>
      <c r="F534" t="inlineStr">
        <is>
          <t>Suicide or mental strain raw</t>
        </is>
      </c>
      <c r="G534" t="inlineStr">
        <is>
          <t>pressure</t>
        </is>
      </c>
      <c r="H534" t="inlineStr">
        <is>
          <t>yes</t>
        </is>
      </c>
      <c r="I534" t="inlineStr">
        <is>
          <t>8.95</t>
        </is>
      </c>
      <c r="J534" t="inlineStr">
        <is>
          <t>who_gho</t>
        </is>
      </c>
      <c r="K534" t="inlineStr">
        <is>
          <t>https://www.who.int/data/gho/data/indicators/indicator-details/GHO/SDGSUICIDE</t>
        </is>
      </c>
      <c r="L534" t="inlineStr">
        <is>
          <t>WHO GHO: Age-standardized suicide rate (per 100,000 population)</t>
        </is>
      </c>
      <c r="M534" t="inlineStr">
        <is>
          <t>2021-12-31</t>
        </is>
      </c>
      <c r="N534" t="inlineStr">
        <is>
          <t>auto_ingest=who_gho; indicator=SDGSUICIDE; year=2021; country_proxy=China</t>
        </is>
      </c>
    </row>
    <row r="535">
      <c r="A535" t="inlineStr">
        <is>
          <t>cn-hangzhou</t>
        </is>
      </c>
      <c r="B535" t="inlineStr">
        <is>
          <t>Hangzhou</t>
        </is>
      </c>
      <c r="C535" t="inlineStr">
        <is>
          <t>China</t>
        </is>
      </c>
      <c r="D535" t="inlineStr">
        <is>
          <t>East Asia</t>
        </is>
      </c>
      <c r="E535" t="inlineStr">
        <is>
          <t>personal_safety_raw</t>
        </is>
      </c>
      <c r="F535" t="inlineStr">
        <is>
          <t>Personal safety raw</t>
        </is>
      </c>
      <c r="G535" t="inlineStr">
        <is>
          <t>viability</t>
        </is>
      </c>
      <c r="H535" t="inlineStr">
        <is>
          <t>yes</t>
        </is>
      </c>
      <c r="I535" t="inlineStr">
        <is>
          <t>0.5</t>
        </is>
      </c>
      <c r="J535" t="inlineStr">
        <is>
          <t>world_bank</t>
        </is>
      </c>
      <c r="K535" t="inlineStr">
        <is>
          <t>https://api.worldbank.org/v2/country/CHN/indicator/VC.IHR.PSRC.P5?format=json&amp;mrv=10</t>
        </is>
      </c>
      <c r="L535" t="inlineStr">
        <is>
          <t>UNODC via World Bank WDI: Intentional homicides (per 100,000 people)</t>
        </is>
      </c>
      <c r="M535" t="inlineStr">
        <is>
          <t>2020-12-31</t>
        </is>
      </c>
      <c r="N535" t="inlineStr">
        <is>
          <t>auto_ingest=unodc_safety; indicator=VC.IHR.PSRC.P5; year=2020; country_proxy=China</t>
        </is>
      </c>
    </row>
    <row r="536">
      <c r="A536" t="inlineStr">
        <is>
          <t>cn-hangzhou</t>
        </is>
      </c>
      <c r="B536" t="inlineStr">
        <is>
          <t>Hangzhou</t>
        </is>
      </c>
      <c r="C536" t="inlineStr">
        <is>
          <t>China</t>
        </is>
      </c>
      <c r="D536" t="inlineStr">
        <is>
          <t>East Asia</t>
        </is>
      </c>
      <c r="E536" t="inlineStr">
        <is>
          <t>transit_access_commute_raw</t>
        </is>
      </c>
      <c r="F536" t="inlineStr">
        <is>
          <t>Transit access and commute raw</t>
        </is>
      </c>
      <c r="G536" t="inlineStr">
        <is>
          <t>viability</t>
        </is>
      </c>
      <c r="H536" t="inlineStr">
        <is>
          <t>yes</t>
        </is>
      </c>
      <c r="I536" t="inlineStr"/>
      <c r="J536" t="inlineStr"/>
      <c r="K536" t="inlineStr"/>
      <c r="L536" t="inlineStr"/>
      <c r="M536" t="inlineStr"/>
      <c r="N536" t="inlineStr"/>
    </row>
    <row r="537">
      <c r="A537" t="inlineStr">
        <is>
          <t>cn-hangzhou</t>
        </is>
      </c>
      <c r="B537" t="inlineStr">
        <is>
          <t>Hangzhou</t>
        </is>
      </c>
      <c r="C537" t="inlineStr">
        <is>
          <t>China</t>
        </is>
      </c>
      <c r="D537" t="inlineStr">
        <is>
          <t>East Asia</t>
        </is>
      </c>
      <c r="E537" t="inlineStr">
        <is>
          <t>clean_air_raw</t>
        </is>
      </c>
      <c r="F537" t="inlineStr">
        <is>
          <t>Clean air raw</t>
        </is>
      </c>
      <c r="G537" t="inlineStr">
        <is>
          <t>viability</t>
        </is>
      </c>
      <c r="H537" t="inlineStr">
        <is>
          <t>yes</t>
        </is>
      </c>
      <c r="I537" t="inlineStr">
        <is>
          <t>30.0</t>
        </is>
      </c>
      <c r="J537" t="inlineStr">
        <is>
          <t>wmo_natl_met</t>
        </is>
      </c>
      <c r="K537" t="inlineStr">
        <is>
          <t>https://worldweather.wmo.int</t>
        </is>
      </c>
      <c r="L537" t="inlineStr">
        <is>
          <t>Hangzhou PM2.5 annual mean</t>
        </is>
      </c>
      <c r="M537" t="inlineStr">
        <is>
          <t>2024-12-31</t>
        </is>
      </c>
      <c r="N537" t="inlineStr">
        <is>
          <t>city_level</t>
        </is>
      </c>
    </row>
    <row r="538">
      <c r="A538" t="inlineStr">
        <is>
          <t>cn-hangzhou</t>
        </is>
      </c>
      <c r="B538" t="inlineStr">
        <is>
          <t>Hangzhou</t>
        </is>
      </c>
      <c r="C538" t="inlineStr">
        <is>
          <t>China</t>
        </is>
      </c>
      <c r="D538" t="inlineStr">
        <is>
          <t>East Asia</t>
        </is>
      </c>
      <c r="E538" t="inlineStr">
        <is>
          <t>water_sanitation_utility_raw</t>
        </is>
      </c>
      <c r="F538" t="inlineStr">
        <is>
          <t>Water, sanitation, and utility raw</t>
        </is>
      </c>
      <c r="G538" t="inlineStr">
        <is>
          <t>viability</t>
        </is>
      </c>
      <c r="H538" t="inlineStr">
        <is>
          <t>yes</t>
        </is>
      </c>
      <c r="I538" t="inlineStr">
        <is>
          <t>95.0</t>
        </is>
      </c>
      <c r="J538" t="inlineStr">
        <is>
          <t>who_unicef_jmp</t>
        </is>
      </c>
      <c r="K538" t="inlineStr">
        <is>
          <t>https://washdata.org</t>
        </is>
      </c>
      <c r="L538" t="inlineStr">
        <is>
          <t>JMP: China safely managed water</t>
        </is>
      </c>
      <c r="M538" t="inlineStr">
        <is>
          <t>2023-12-31</t>
        </is>
      </c>
      <c r="N538" t="inlineStr">
        <is>
          <t>country_proxy=China</t>
        </is>
      </c>
    </row>
    <row r="539">
      <c r="A539" t="inlineStr">
        <is>
          <t>cn-hangzhou</t>
        </is>
      </c>
      <c r="B539" t="inlineStr">
        <is>
          <t>Hangzhou</t>
        </is>
      </c>
      <c r="C539" t="inlineStr">
        <is>
          <t>China</t>
        </is>
      </c>
      <c r="D539" t="inlineStr">
        <is>
          <t>East Asia</t>
        </is>
      </c>
      <c r="E539" t="inlineStr">
        <is>
          <t>digital_infrastructure_raw</t>
        </is>
      </c>
      <c r="F539" t="inlineStr">
        <is>
          <t>Digital infrastructure raw</t>
        </is>
      </c>
      <c r="G539" t="inlineStr">
        <is>
          <t>viability</t>
        </is>
      </c>
      <c r="H539" t="inlineStr">
        <is>
          <t>yes</t>
        </is>
      </c>
      <c r="I539" t="inlineStr">
        <is>
          <t>44.73</t>
        </is>
      </c>
      <c r="J539" t="inlineStr">
        <is>
          <t>world_bank</t>
        </is>
      </c>
      <c r="K539" t="inlineStr">
        <is>
          <t>https://api.worldbank.org/v2/country/CHN/indicator/IT.NET.BBND.P2?format=json&amp;mrv=10</t>
        </is>
      </c>
      <c r="L539" t="inlineStr">
        <is>
          <t>World Bank WDI: Fixed broadband subscriptions (per 100 people)</t>
        </is>
      </c>
      <c r="M539" t="inlineStr">
        <is>
          <t>2023-12-31</t>
        </is>
      </c>
      <c r="N539" t="inlineStr">
        <is>
          <t>auto_ingest=world_bank_proxy; indicator=IT.NET.BBND.P2; year=2023; country_proxy=China</t>
        </is>
      </c>
    </row>
    <row r="540">
      <c r="A540" t="inlineStr">
        <is>
          <t>cn-hangzhou</t>
        </is>
      </c>
      <c r="B540" t="inlineStr">
        <is>
          <t>Hangzhou</t>
        </is>
      </c>
      <c r="C540" t="inlineStr">
        <is>
          <t>China</t>
        </is>
      </c>
      <c r="D540" t="inlineStr">
        <is>
          <t>East Asia</t>
        </is>
      </c>
      <c r="E540" t="inlineStr">
        <is>
          <t>climate_sunlight_livability_raw</t>
        </is>
      </c>
      <c r="F540" t="inlineStr">
        <is>
          <t>Climate and sunlight livability raw</t>
        </is>
      </c>
      <c r="G540" t="inlineStr">
        <is>
          <t>viability</t>
        </is>
      </c>
      <c r="H540" t="inlineStr">
        <is>
          <t>yes</t>
        </is>
      </c>
      <c r="I540" t="inlineStr">
        <is>
          <t>56.0</t>
        </is>
      </c>
      <c r="J540" t="inlineStr">
        <is>
          <t>wmo_natl_met</t>
        </is>
      </c>
      <c r="K540" t="inlineStr">
        <is>
          <t>https://worldweather.wmo.int</t>
        </is>
      </c>
      <c r="L540" t="inlineStr">
        <is>
          <t>WMO: 1700 sun hrs, 17C mean, humid but pleasant</t>
        </is>
      </c>
      <c r="M540" t="inlineStr">
        <is>
          <t>2024-12-31</t>
        </is>
      </c>
      <c r="N540" t="inlineStr">
        <is>
          <t>city_level</t>
        </is>
      </c>
    </row>
    <row r="541">
      <c r="A541" t="inlineStr">
        <is>
          <t>cn-hangzhou</t>
        </is>
      </c>
      <c r="B541" t="inlineStr">
        <is>
          <t>Hangzhou</t>
        </is>
      </c>
      <c r="C541" t="inlineStr">
        <is>
          <t>China</t>
        </is>
      </c>
      <c r="D541" t="inlineStr">
        <is>
          <t>East Asia</t>
        </is>
      </c>
      <c r="E541" t="inlineStr">
        <is>
          <t>healthcare_quality_raw</t>
        </is>
      </c>
      <c r="F541" t="inlineStr">
        <is>
          <t>Healthcare quality raw</t>
        </is>
      </c>
      <c r="G541" t="inlineStr">
        <is>
          <t>capability</t>
        </is>
      </c>
      <c r="H541" t="inlineStr">
        <is>
          <t>yes</t>
        </is>
      </c>
      <c r="I541" t="inlineStr">
        <is>
          <t>85.0</t>
        </is>
      </c>
      <c r="J541" t="inlineStr">
        <is>
          <t>who_gho</t>
        </is>
      </c>
      <c r="K541" t="inlineStr">
        <is>
          <t>https://www.who.int/data/gho/data/indicators/indicator-details/GHO/UHC_INDEX_REPORTED</t>
        </is>
      </c>
      <c r="L541" t="inlineStr">
        <is>
          <t>WHO GHO: UHC Service Coverage Index</t>
        </is>
      </c>
      <c r="M541" t="inlineStr">
        <is>
          <t>2023-12-31</t>
        </is>
      </c>
      <c r="N541" t="inlineStr">
        <is>
          <t>auto_ingest=who_gho; indicator=UHC_INDEX_REPORTED; year=2023; country_proxy=China</t>
        </is>
      </c>
    </row>
    <row r="542">
      <c r="A542" t="inlineStr">
        <is>
          <t>cn-hangzhou</t>
        </is>
      </c>
      <c r="B542" t="inlineStr">
        <is>
          <t>Hangzhou</t>
        </is>
      </c>
      <c r="C542" t="inlineStr">
        <is>
          <t>China</t>
        </is>
      </c>
      <c r="D542" t="inlineStr">
        <is>
          <t>East Asia</t>
        </is>
      </c>
      <c r="E542" t="inlineStr">
        <is>
          <t>education_quality_raw</t>
        </is>
      </c>
      <c r="F542" t="inlineStr">
        <is>
          <t>Education quality raw</t>
        </is>
      </c>
      <c r="G542" t="inlineStr">
        <is>
          <t>capability</t>
        </is>
      </c>
      <c r="H542" t="inlineStr">
        <is>
          <t>yes</t>
        </is>
      </c>
      <c r="I542" t="inlineStr">
        <is>
          <t>76.88</t>
        </is>
      </c>
      <c r="J542" t="inlineStr">
        <is>
          <t>world_bank</t>
        </is>
      </c>
      <c r="K542" t="inlineStr">
        <is>
          <t>https://api.worldbank.org/v2/country/CHN/indicator/SE.TER.ENRR?format=json&amp;mrv=10</t>
        </is>
      </c>
      <c r="L542" t="inlineStr">
        <is>
          <t>World Bank WDI: School enrollment, tertiary (% gross)</t>
        </is>
      </c>
      <c r="M542" t="inlineStr">
        <is>
          <t>2024-12-31</t>
        </is>
      </c>
      <c r="N542" t="inlineStr">
        <is>
          <t>auto_ingest=world_bank_proxy; indicator=SE.TER.ENRR; year=2024; country_proxy=China</t>
        </is>
      </c>
    </row>
    <row r="543">
      <c r="A543" t="inlineStr">
        <is>
          <t>cn-hangzhou</t>
        </is>
      </c>
      <c r="B543" t="inlineStr">
        <is>
          <t>Hangzhou</t>
        </is>
      </c>
      <c r="C543" t="inlineStr">
        <is>
          <t>China</t>
        </is>
      </c>
      <c r="D543" t="inlineStr">
        <is>
          <t>East Asia</t>
        </is>
      </c>
      <c r="E543" t="inlineStr">
        <is>
          <t>equal_opportunity_raw</t>
        </is>
      </c>
      <c r="F543" t="inlineStr">
        <is>
          <t>Equal opportunity raw</t>
        </is>
      </c>
      <c r="G543" t="inlineStr">
        <is>
          <t>capability</t>
        </is>
      </c>
      <c r="H543" t="inlineStr">
        <is>
          <t>yes</t>
        </is>
      </c>
      <c r="I543" t="inlineStr">
        <is>
          <t>36.0</t>
        </is>
      </c>
      <c r="J543" t="inlineStr">
        <is>
          <t>world_bank</t>
        </is>
      </c>
      <c r="K543" t="inlineStr">
        <is>
          <t>https://api.worldbank.org/v2/country/CHN/indicator/SI.POV.GINI?format=json&amp;mrv=10</t>
        </is>
      </c>
      <c r="L543" t="inlineStr">
        <is>
          <t>World Bank WDI: Gini index</t>
        </is>
      </c>
      <c r="M543" t="inlineStr">
        <is>
          <t>2022-12-31</t>
        </is>
      </c>
      <c r="N543" t="inlineStr">
        <is>
          <t>auto_ingest=world_bank_capability; indicator=SI.POV.GINI; year=2022; country_proxy=China</t>
        </is>
      </c>
    </row>
    <row r="544">
      <c r="A544" t="inlineStr">
        <is>
          <t>cn-hangzhou</t>
        </is>
      </c>
      <c r="B544" t="inlineStr">
        <is>
          <t>Hangzhou</t>
        </is>
      </c>
      <c r="C544" t="inlineStr">
        <is>
          <t>China</t>
        </is>
      </c>
      <c r="D544" t="inlineStr">
        <is>
          <t>East Asia</t>
        </is>
      </c>
      <c r="E544" t="inlineStr">
        <is>
          <t>hospitality_belonging_raw</t>
        </is>
      </c>
      <c r="F544" t="inlineStr">
        <is>
          <t>Hospitality and belonging raw</t>
        </is>
      </c>
      <c r="G544" t="inlineStr">
        <is>
          <t>community</t>
        </is>
      </c>
      <c r="H544" t="inlineStr">
        <is>
          <t>yes</t>
        </is>
      </c>
      <c r="I544" t="inlineStr">
        <is>
          <t>49.81</t>
        </is>
      </c>
      <c r="J544" t="inlineStr">
        <is>
          <t>world_bank</t>
        </is>
      </c>
      <c r="K544" t="inlineStr">
        <is>
          <t>https://api.worldbank.org/v2/country/CHN/indicator/SM.POP.NETM?format=json&amp;mrv=10</t>
        </is>
      </c>
      <c r="L544" t="inlineStr">
        <is>
          <t>World Bank WDI: Net migration (proxy for hospitality/belonging — positive = welcoming)</t>
        </is>
      </c>
      <c r="M544" t="inlineStr">
        <is>
          <t>2025-12-31</t>
        </is>
      </c>
      <c r="N544" t="inlineStr">
        <is>
          <t>auto_ingest=world_bank_proxy; proxy=net_migration_hospitality; indicator=SM.POP.NETM; year=2025; country_proxy=China</t>
        </is>
      </c>
    </row>
    <row r="545">
      <c r="A545" t="inlineStr">
        <is>
          <t>cn-hangzhou</t>
        </is>
      </c>
      <c r="B545" t="inlineStr">
        <is>
          <t>Hangzhou</t>
        </is>
      </c>
      <c r="C545" t="inlineStr">
        <is>
          <t>China</t>
        </is>
      </c>
      <c r="D545" t="inlineStr">
        <is>
          <t>East Asia</t>
        </is>
      </c>
      <c r="E545" t="inlineStr">
        <is>
          <t>tolerance_pluralism_raw</t>
        </is>
      </c>
      <c r="F545" t="inlineStr">
        <is>
          <t>Tolerance and pluralism raw</t>
        </is>
      </c>
      <c r="G545" t="inlineStr">
        <is>
          <t>community</t>
        </is>
      </c>
      <c r="H545" t="inlineStr">
        <is>
          <t>yes</t>
        </is>
      </c>
      <c r="I545" t="inlineStr">
        <is>
          <t>26.54</t>
        </is>
      </c>
      <c r="J545" t="inlineStr">
        <is>
          <t>world_bank</t>
        </is>
      </c>
      <c r="K545" t="inlineStr">
        <is>
          <t>https://api.worldbank.org/v2/country/CHN/indicator/SG.GEN.PARL.ZS?format=json&amp;mrv=10</t>
        </is>
      </c>
      <c r="L545" t="inlineStr">
        <is>
          <t>World Bank WDI: Proportion of seats held by women in national parliaments (%)</t>
        </is>
      </c>
      <c r="M545" t="inlineStr">
        <is>
          <t>2024-12-31</t>
        </is>
      </c>
      <c r="N545" t="inlineStr">
        <is>
          <t>auto_ingest=world_bank_proxy; proxy=gender_parity_parliament; indicator=SG.GEN.PARL.ZS; year=2024; country_proxy=China</t>
        </is>
      </c>
    </row>
    <row r="546">
      <c r="A546" t="inlineStr">
        <is>
          <t>cn-hangzhou</t>
        </is>
      </c>
      <c r="B546" t="inlineStr">
        <is>
          <t>Hangzhou</t>
        </is>
      </c>
      <c r="C546" t="inlineStr">
        <is>
          <t>China</t>
        </is>
      </c>
      <c r="D546" t="inlineStr">
        <is>
          <t>East Asia</t>
        </is>
      </c>
      <c r="E546" t="inlineStr">
        <is>
          <t>cultural_public_life_raw</t>
        </is>
      </c>
      <c r="F546" t="inlineStr">
        <is>
          <t>Cultural public life raw</t>
        </is>
      </c>
      <c r="G546" t="inlineStr">
        <is>
          <t>community</t>
        </is>
      </c>
      <c r="H546" t="inlineStr">
        <is>
          <t>yes</t>
        </is>
      </c>
      <c r="I546" t="inlineStr">
        <is>
          <t>72.0</t>
        </is>
      </c>
      <c r="J546" t="inlineStr">
        <is>
          <t>wmo_natl_met</t>
        </is>
      </c>
      <c r="K546" t="inlineStr">
        <is>
          <t>https://worldweather.wmo.int</t>
        </is>
      </c>
      <c r="L546" t="inlineStr">
        <is>
          <t>West Lake UNESCO heritage, ancient canal culture, Alibaba tech scene</t>
        </is>
      </c>
      <c r="M546" t="inlineStr">
        <is>
          <t>2024-12-31</t>
        </is>
      </c>
      <c r="N546" t="inlineStr">
        <is>
          <t>manual_assessment</t>
        </is>
      </c>
    </row>
    <row r="547">
      <c r="A547" t="inlineStr">
        <is>
          <t>cn-hangzhou</t>
        </is>
      </c>
      <c r="B547" t="inlineStr">
        <is>
          <t>Hangzhou</t>
        </is>
      </c>
      <c r="C547" t="inlineStr">
        <is>
          <t>China</t>
        </is>
      </c>
      <c r="D547" t="inlineStr">
        <is>
          <t>East Asia</t>
        </is>
      </c>
      <c r="E547" t="inlineStr">
        <is>
          <t>birth_rate_optimism_raw</t>
        </is>
      </c>
      <c r="F547" t="inlineStr">
        <is>
          <t>Birth rate and societal optimism raw</t>
        </is>
      </c>
      <c r="G547" t="inlineStr">
        <is>
          <t>community</t>
        </is>
      </c>
      <c r="H547" t="inlineStr">
        <is>
          <t>yes</t>
        </is>
      </c>
      <c r="I547" t="inlineStr">
        <is>
          <t>1.0</t>
        </is>
      </c>
      <c r="J547" t="inlineStr">
        <is>
          <t>world_bank</t>
        </is>
      </c>
      <c r="K547" t="inlineStr">
        <is>
          <t>https://data.worldbank.org/indicator/SP.DYN.TFRT.IN</t>
        </is>
      </c>
      <c r="L547" t="inlineStr">
        <is>
          <t>World Bank Total Fertility Rate 2023</t>
        </is>
      </c>
      <c r="M547" t="inlineStr">
        <is>
          <t>2024-01-01</t>
        </is>
      </c>
      <c r="N547" t="inlineStr"/>
    </row>
    <row r="548">
      <c r="A548" t="inlineStr">
        <is>
          <t>cn-hangzhou</t>
        </is>
      </c>
      <c r="B548" t="inlineStr">
        <is>
          <t>Hangzhou</t>
        </is>
      </c>
      <c r="C548" t="inlineStr">
        <is>
          <t>China</t>
        </is>
      </c>
      <c r="D548" t="inlineStr">
        <is>
          <t>East Asia</t>
        </is>
      </c>
      <c r="E548" t="inlineStr">
        <is>
          <t>entrepreneurial_dynamism_raw</t>
        </is>
      </c>
      <c r="F548" t="inlineStr">
        <is>
          <t>Entrepreneurial dynamism raw</t>
        </is>
      </c>
      <c r="G548" t="inlineStr">
        <is>
          <t>creative</t>
        </is>
      </c>
      <c r="H548" t="inlineStr">
        <is>
          <t>yes</t>
        </is>
      </c>
      <c r="I548" t="inlineStr">
        <is>
          <t>8.58</t>
        </is>
      </c>
      <c r="J548" t="inlineStr">
        <is>
          <t>world_bank</t>
        </is>
      </c>
      <c r="K548" t="inlineStr">
        <is>
          <t>https://api.worldbank.org/v2/country/CHN/indicator/IC.BUS.NDNS.ZS?format=json&amp;mrv=10</t>
        </is>
      </c>
      <c r="L548" t="inlineStr">
        <is>
          <t>World Bank WDI: New business density (new registrations per 1,000 people ages 15-64)</t>
        </is>
      </c>
      <c r="M548" t="inlineStr">
        <is>
          <t>2020-12-31</t>
        </is>
      </c>
      <c r="N548" t="inlineStr">
        <is>
          <t>auto_ingest=world_bank_creative_extended; indicator=IC.BUS.NDNS.ZS; year=2020; country_proxy=China</t>
        </is>
      </c>
    </row>
    <row r="549">
      <c r="A549" t="inlineStr">
        <is>
          <t>cn-hangzhou</t>
        </is>
      </c>
      <c r="B549" t="inlineStr">
        <is>
          <t>Hangzhou</t>
        </is>
      </c>
      <c r="C549" t="inlineStr">
        <is>
          <t>China</t>
        </is>
      </c>
      <c r="D549" t="inlineStr">
        <is>
          <t>East Asia</t>
        </is>
      </c>
      <c r="E549" t="inlineStr">
        <is>
          <t>innovation_research_intensity_raw</t>
        </is>
      </c>
      <c r="F549" t="inlineStr">
        <is>
          <t>Innovation and research raw</t>
        </is>
      </c>
      <c r="G549" t="inlineStr">
        <is>
          <t>creative</t>
        </is>
      </c>
      <c r="H549" t="inlineStr">
        <is>
          <t>yes</t>
        </is>
      </c>
      <c r="I549" t="inlineStr">
        <is>
          <t>2.56</t>
        </is>
      </c>
      <c r="J549" t="inlineStr">
        <is>
          <t>world_bank</t>
        </is>
      </c>
      <c r="K549" t="inlineStr">
        <is>
          <t>https://api.worldbank.org/v2/country/CHN/indicator/GB.XPD.RSDV.GD.ZS?format=json&amp;mrv=10</t>
        </is>
      </c>
      <c r="L549" t="inlineStr">
        <is>
          <t>World Bank WDI: Research and development expenditure (% of GDP)</t>
        </is>
      </c>
      <c r="M549" t="inlineStr">
        <is>
          <t>2022-12-31</t>
        </is>
      </c>
      <c r="N549" t="inlineStr">
        <is>
          <t>auto_ingest=world_bank_creative_extended; indicator=GB.XPD.RSDV.GD.ZS; year=2022; country_proxy=China</t>
        </is>
      </c>
    </row>
    <row r="550">
      <c r="A550" t="inlineStr">
        <is>
          <t>cn-hangzhou</t>
        </is>
      </c>
      <c r="B550" t="inlineStr">
        <is>
          <t>Hangzhou</t>
        </is>
      </c>
      <c r="C550" t="inlineStr">
        <is>
          <t>China</t>
        </is>
      </c>
      <c r="D550" t="inlineStr">
        <is>
          <t>East Asia</t>
        </is>
      </c>
      <c r="E550" t="inlineStr">
        <is>
          <t>investment_signal_raw</t>
        </is>
      </c>
      <c r="F550" t="inlineStr">
        <is>
          <t>Investment signal raw</t>
        </is>
      </c>
      <c r="G550" t="inlineStr">
        <is>
          <t>creative</t>
        </is>
      </c>
      <c r="H550" t="inlineStr">
        <is>
          <t>yes</t>
        </is>
      </c>
      <c r="I550" t="inlineStr">
        <is>
          <t>0.1</t>
        </is>
      </c>
      <c r="J550" t="inlineStr">
        <is>
          <t>world_bank</t>
        </is>
      </c>
      <c r="K550" t="inlineStr">
        <is>
          <t>https://api.worldbank.org/v2/country/CHN/indicator/BX.KLT.DINV.WD.GD.ZS?format=json&amp;mrv=10</t>
        </is>
      </c>
      <c r="L550" t="inlineStr">
        <is>
          <t>World Bank WDI: Foreign direct investment, net inflows (% of GDP)</t>
        </is>
      </c>
      <c r="M550" t="inlineStr">
        <is>
          <t>2024-12-31</t>
        </is>
      </c>
      <c r="N550" t="inlineStr">
        <is>
          <t>auto_ingest=world_bank_creative_extended; indicator=BX.KLT.DINV.WD.GD.ZS; year=2024; country_proxy=China</t>
        </is>
      </c>
    </row>
    <row r="551">
      <c r="A551" t="inlineStr">
        <is>
          <t>cn-hangzhou</t>
        </is>
      </c>
      <c r="B551" t="inlineStr">
        <is>
          <t>Hangzhou</t>
        </is>
      </c>
      <c r="C551" t="inlineStr">
        <is>
          <t>China</t>
        </is>
      </c>
      <c r="D551" t="inlineStr">
        <is>
          <t>East Asia</t>
        </is>
      </c>
      <c r="E551" t="inlineStr">
        <is>
          <t>administrative_investment_friction_raw</t>
        </is>
      </c>
      <c r="F551" t="inlineStr">
        <is>
          <t>Administrative investment friction raw</t>
        </is>
      </c>
      <c r="G551" t="inlineStr">
        <is>
          <t>creative</t>
        </is>
      </c>
      <c r="H551" t="inlineStr">
        <is>
          <t>yes</t>
        </is>
      </c>
      <c r="I551" t="inlineStr">
        <is>
          <t>2.86</t>
        </is>
      </c>
      <c r="J551" t="inlineStr">
        <is>
          <t>world_bank</t>
        </is>
      </c>
      <c r="K551" t="inlineStr">
        <is>
          <t>https://api.worldbank.org/v2/country/CHN/indicator/RQ.EST?format=json&amp;mrv=10</t>
        </is>
      </c>
      <c r="L551" t="inlineStr">
        <is>
          <t>World Bank WGI: Regulatory Quality (inverted as friction proxy)</t>
        </is>
      </c>
      <c r="M551" t="inlineStr">
        <is>
          <t>2023-12-31</t>
        </is>
      </c>
      <c r="N551" t="inlineStr">
        <is>
          <t>auto_ingest=world_bank_business_friction; indicator=RQ.EST; raw_rq=-0.356507807970047; friction=2.86; year=2023; country_proxy=China</t>
        </is>
      </c>
    </row>
    <row r="552">
      <c r="A552" t="inlineStr">
        <is>
          <t>cn-hangzhou</t>
        </is>
      </c>
      <c r="B552" t="inlineStr">
        <is>
          <t>Hangzhou</t>
        </is>
      </c>
      <c r="C552" t="inlineStr">
        <is>
          <t>China</t>
        </is>
      </c>
      <c r="D552" t="inlineStr">
        <is>
          <t>East Asia</t>
        </is>
      </c>
      <c r="E552" t="inlineStr">
        <is>
          <t>visitor_flow_context_raw</t>
        </is>
      </c>
      <c r="F552" t="inlineStr">
        <is>
          <t>Visitor flow context raw</t>
        </is>
      </c>
      <c r="G552" t="inlineStr">
        <is>
          <t>creative</t>
        </is>
      </c>
      <c r="H552" t="inlineStr">
        <is>
          <t>no</t>
        </is>
      </c>
      <c r="I552" t="inlineStr"/>
      <c r="J552" t="inlineStr"/>
      <c r="K552" t="inlineStr"/>
      <c r="L552" t="inlineStr"/>
      <c r="M552" t="inlineStr"/>
      <c r="N552" t="inlineStr"/>
    </row>
    <row r="553">
      <c r="A553" t="inlineStr">
        <is>
          <t>jp-hiroshima</t>
        </is>
      </c>
      <c r="B553" t="inlineStr">
        <is>
          <t>Hiroshima</t>
        </is>
      </c>
      <c r="C553" t="inlineStr">
        <is>
          <t>Japan</t>
        </is>
      </c>
      <c r="D553" t="inlineStr">
        <is>
          <t>East Asia</t>
        </is>
      </c>
      <c r="E553" t="inlineStr">
        <is>
          <t>gross_income</t>
        </is>
      </c>
      <c r="F553" t="inlineStr">
        <is>
          <t>Gross income</t>
        </is>
      </c>
      <c r="G553" t="inlineStr">
        <is>
          <t>pressure</t>
        </is>
      </c>
      <c r="H553" t="inlineStr">
        <is>
          <t>yes</t>
        </is>
      </c>
      <c r="I553" t="inlineStr">
        <is>
          <t>3930.54</t>
        </is>
      </c>
      <c r="J553" t="inlineStr">
        <is>
          <t>world_bank_col_estimate</t>
        </is>
      </c>
      <c r="K553" t="inlineStr">
        <is>
          <t>https://api.worldbank.org/v2/country/JPN/indicator/NY.GNP.PCAP.PP.CD?format=json&amp;mrv=10</t>
        </is>
      </c>
      <c r="L553" t="inlineStr">
        <is>
          <t>World Bank WDI: GNI per capita PPP (monthly USD)</t>
        </is>
      </c>
      <c r="M553" t="inlineStr">
        <is>
          <t>2024-12-31</t>
        </is>
      </c>
      <c r="N553" t="inlineStr">
        <is>
          <t>auto_ingest=world_bank_col_estimate; gni_annual=55490.0; year=2024; country_proxy=Japan; cohort=East Asia; city_income_mult=0.85</t>
        </is>
      </c>
    </row>
    <row r="554">
      <c r="A554" t="inlineStr">
        <is>
          <t>jp-hiroshima</t>
        </is>
      </c>
      <c r="B554" t="inlineStr">
        <is>
          <t>Hiroshima</t>
        </is>
      </c>
      <c r="C554" t="inlineStr">
        <is>
          <t>Japan</t>
        </is>
      </c>
      <c r="D554" t="inlineStr">
        <is>
          <t>East Asia</t>
        </is>
      </c>
      <c r="E554" t="inlineStr">
        <is>
          <t>di_ppp_raw</t>
        </is>
      </c>
      <c r="F554" t="inlineStr">
        <is>
          <t>Disposable income PPP (Raw)</t>
        </is>
      </c>
      <c r="G554" t="inlineStr">
        <is>
          <t>pressure</t>
        </is>
      </c>
      <c r="H554" t="inlineStr">
        <is>
          <t>yes</t>
        </is>
      </c>
      <c r="I554" t="inlineStr"/>
      <c r="J554" t="inlineStr"/>
      <c r="K554" t="inlineStr"/>
      <c r="L554" t="inlineStr"/>
      <c r="M554" t="inlineStr"/>
      <c r="N554" t="inlineStr"/>
    </row>
    <row r="555">
      <c r="A555" t="inlineStr">
        <is>
          <t>jp-hiroshima</t>
        </is>
      </c>
      <c r="B555" t="inlineStr">
        <is>
          <t>Hiroshima</t>
        </is>
      </c>
      <c r="C555" t="inlineStr">
        <is>
          <t>Japan</t>
        </is>
      </c>
      <c r="D555" t="inlineStr">
        <is>
          <t>East Asia</t>
        </is>
      </c>
      <c r="E555" t="inlineStr">
        <is>
          <t>rent</t>
        </is>
      </c>
      <c r="F555" t="inlineStr">
        <is>
          <t>Rent</t>
        </is>
      </c>
      <c r="G555" t="inlineStr">
        <is>
          <t>pressure</t>
        </is>
      </c>
      <c r="H555" t="inlineStr">
        <is>
          <t>yes</t>
        </is>
      </c>
      <c r="I555" t="inlineStr">
        <is>
          <t>786.11</t>
        </is>
      </c>
      <c r="J555" t="inlineStr">
        <is>
          <t>world_bank_col_estimate</t>
        </is>
      </c>
      <c r="K555" t="inlineStr">
        <is>
          <t>https://api.worldbank.org/v2/country/JPN/indicator/NY.GNP.PCAP.PP.CD?format=json&amp;mrv=10</t>
        </is>
      </c>
      <c r="L555" t="inlineStr">
        <is>
          <t>World Bank GNI + regional expenditure ratio estimate</t>
        </is>
      </c>
      <c r="M555" t="inlineStr">
        <is>
          <t>2024-12-31</t>
        </is>
      </c>
      <c r="N555" t="inlineStr">
        <is>
          <t>auto_ingest=world_bank_col_estimate; gni_annual=55490.0; year=2024; country_proxy=Japan; cohort=East Asia; city_cost_mult=0.8</t>
        </is>
      </c>
    </row>
    <row r="556">
      <c r="A556" t="inlineStr">
        <is>
          <t>jp-hiroshima</t>
        </is>
      </c>
      <c r="B556" t="inlineStr">
        <is>
          <t>Hiroshima</t>
        </is>
      </c>
      <c r="C556" t="inlineStr">
        <is>
          <t>Japan</t>
        </is>
      </c>
      <c r="D556" t="inlineStr">
        <is>
          <t>East Asia</t>
        </is>
      </c>
      <c r="E556" t="inlineStr">
        <is>
          <t>utilities</t>
        </is>
      </c>
      <c r="F556" t="inlineStr">
        <is>
          <t>Utilities</t>
        </is>
      </c>
      <c r="G556" t="inlineStr">
        <is>
          <t>pressure</t>
        </is>
      </c>
      <c r="H556" t="inlineStr">
        <is>
          <t>yes</t>
        </is>
      </c>
      <c r="I556" t="inlineStr">
        <is>
          <t>188.67</t>
        </is>
      </c>
      <c r="J556" t="inlineStr">
        <is>
          <t>world_bank_col_estimate</t>
        </is>
      </c>
      <c r="K556" t="inlineStr">
        <is>
          <t>https://api.worldbank.org/v2/country/JPN/indicator/NY.GNP.PCAP.PP.CD?format=json&amp;mrv=10</t>
        </is>
      </c>
      <c r="L556" t="inlineStr">
        <is>
          <t>World Bank GNI + regional expenditure ratio estimate</t>
        </is>
      </c>
      <c r="M556" t="inlineStr">
        <is>
          <t>2024-12-31</t>
        </is>
      </c>
      <c r="N556" t="inlineStr">
        <is>
          <t>auto_ingest=world_bank_col_estimate; gni_annual=55490.0; year=2024; country_proxy=Japan; cohort=East Asia; city_cost_mult=0.8</t>
        </is>
      </c>
    </row>
    <row r="557">
      <c r="A557" t="inlineStr">
        <is>
          <t>jp-hiroshima</t>
        </is>
      </c>
      <c r="B557" t="inlineStr">
        <is>
          <t>Hiroshima</t>
        </is>
      </c>
      <c r="C557" t="inlineStr">
        <is>
          <t>Japan</t>
        </is>
      </c>
      <c r="D557" t="inlineStr">
        <is>
          <t>East Asia</t>
        </is>
      </c>
      <c r="E557" t="inlineStr">
        <is>
          <t>transit_cost</t>
        </is>
      </c>
      <c r="F557" t="inlineStr">
        <is>
          <t>Transit cost</t>
        </is>
      </c>
      <c r="G557" t="inlineStr">
        <is>
          <t>pressure</t>
        </is>
      </c>
      <c r="H557" t="inlineStr">
        <is>
          <t>yes</t>
        </is>
      </c>
      <c r="I557" t="inlineStr">
        <is>
          <t>125.78</t>
        </is>
      </c>
      <c r="J557" t="inlineStr">
        <is>
          <t>world_bank_col_estimate</t>
        </is>
      </c>
      <c r="K557" t="inlineStr">
        <is>
          <t>https://api.worldbank.org/v2/country/JPN/indicator/NY.GNP.PCAP.PP.CD?format=json&amp;mrv=10</t>
        </is>
      </c>
      <c r="L557" t="inlineStr">
        <is>
          <t>World Bank GNI + regional expenditure ratio estimate</t>
        </is>
      </c>
      <c r="M557" t="inlineStr">
        <is>
          <t>2024-12-31</t>
        </is>
      </c>
      <c r="N557" t="inlineStr">
        <is>
          <t>auto_ingest=world_bank_col_estimate; gni_annual=55490.0; year=2024; country_proxy=Japan; cohort=East Asia; city_cost_mult=0.8</t>
        </is>
      </c>
    </row>
    <row r="558">
      <c r="A558" t="inlineStr">
        <is>
          <t>jp-hiroshima</t>
        </is>
      </c>
      <c r="B558" t="inlineStr">
        <is>
          <t>Hiroshima</t>
        </is>
      </c>
      <c r="C558" t="inlineStr">
        <is>
          <t>Japan</t>
        </is>
      </c>
      <c r="D558" t="inlineStr">
        <is>
          <t>East Asia</t>
        </is>
      </c>
      <c r="E558" t="inlineStr">
        <is>
          <t>internet_cost</t>
        </is>
      </c>
      <c r="F558" t="inlineStr">
        <is>
          <t>Internet cost</t>
        </is>
      </c>
      <c r="G558" t="inlineStr">
        <is>
          <t>pressure</t>
        </is>
      </c>
      <c r="H558" t="inlineStr">
        <is>
          <t>yes</t>
        </is>
      </c>
      <c r="I558" t="inlineStr">
        <is>
          <t>47.17</t>
        </is>
      </c>
      <c r="J558" t="inlineStr">
        <is>
          <t>world_bank_col_estimate</t>
        </is>
      </c>
      <c r="K558" t="inlineStr">
        <is>
          <t>https://api.worldbank.org/v2/country/JPN/indicator/NY.GNP.PCAP.PP.CD?format=json&amp;mrv=10</t>
        </is>
      </c>
      <c r="L558" t="inlineStr">
        <is>
          <t>World Bank GNI + regional expenditure ratio estimate</t>
        </is>
      </c>
      <c r="M558" t="inlineStr">
        <is>
          <t>2024-12-31</t>
        </is>
      </c>
      <c r="N558" t="inlineStr">
        <is>
          <t>auto_ingest=world_bank_col_estimate; gni_annual=55490.0; year=2024; country_proxy=Japan; cohort=East Asia; city_cost_mult=0.8</t>
        </is>
      </c>
    </row>
    <row r="559">
      <c r="A559" t="inlineStr">
        <is>
          <t>jp-hiroshima</t>
        </is>
      </c>
      <c r="B559" t="inlineStr">
        <is>
          <t>Hiroshima</t>
        </is>
      </c>
      <c r="C559" t="inlineStr">
        <is>
          <t>Japan</t>
        </is>
      </c>
      <c r="D559" t="inlineStr">
        <is>
          <t>East Asia</t>
        </is>
      </c>
      <c r="E559" t="inlineStr">
        <is>
          <t>food_cost</t>
        </is>
      </c>
      <c r="F559" t="inlineStr">
        <is>
          <t>Food cost</t>
        </is>
      </c>
      <c r="G559" t="inlineStr">
        <is>
          <t>pressure</t>
        </is>
      </c>
      <c r="H559" t="inlineStr">
        <is>
          <t>yes</t>
        </is>
      </c>
      <c r="I559" t="inlineStr">
        <is>
          <t>628.89</t>
        </is>
      </c>
      <c r="J559" t="inlineStr">
        <is>
          <t>world_bank_col_estimate</t>
        </is>
      </c>
      <c r="K559" t="inlineStr">
        <is>
          <t>https://api.worldbank.org/v2/country/JPN/indicator/NY.GNP.PCAP.PP.CD?format=json&amp;mrv=10</t>
        </is>
      </c>
      <c r="L559" t="inlineStr">
        <is>
          <t>World Bank GNI + regional expenditure ratio estimate</t>
        </is>
      </c>
      <c r="M559" t="inlineStr">
        <is>
          <t>2024-12-31</t>
        </is>
      </c>
      <c r="N559" t="inlineStr">
        <is>
          <t>auto_ingest=world_bank_col_estimate; gni_annual=55490.0; year=2024; country_proxy=Japan; cohort=East Asia; city_cost_mult=0.8</t>
        </is>
      </c>
    </row>
    <row r="560">
      <c r="A560" t="inlineStr">
        <is>
          <t>jp-hiroshima</t>
        </is>
      </c>
      <c r="B560" t="inlineStr">
        <is>
          <t>Hiroshima</t>
        </is>
      </c>
      <c r="C560" t="inlineStr">
        <is>
          <t>Japan</t>
        </is>
      </c>
      <c r="D560" t="inlineStr">
        <is>
          <t>East Asia</t>
        </is>
      </c>
      <c r="E560" t="inlineStr">
        <is>
          <t>housing_burden_raw</t>
        </is>
      </c>
      <c r="F560" t="inlineStr">
        <is>
          <t>Housing burden raw</t>
        </is>
      </c>
      <c r="G560" t="inlineStr">
        <is>
          <t>pressure</t>
        </is>
      </c>
      <c r="H560" t="inlineStr">
        <is>
          <t>yes</t>
        </is>
      </c>
      <c r="I560" t="inlineStr">
        <is>
          <t>20.0001</t>
        </is>
      </c>
      <c r="J560" t="inlineStr">
        <is>
          <t>derived</t>
        </is>
      </c>
      <c r="K560" t="inlineStr">
        <is>
          <t>https://data.worldbank.org/indicator/NY.GNP.PCAP.PP.CD</t>
        </is>
      </c>
      <c r="L560" t="inlineStr">
        <is>
          <t>Computed from city_inputs + country_context</t>
        </is>
      </c>
      <c r="M560" t="inlineStr">
        <is>
          <t>2024-01-01</t>
        </is>
      </c>
      <c r="N560" t="inlineStr">
        <is>
          <t>derived=rent/gross_income*100</t>
        </is>
      </c>
    </row>
    <row r="561">
      <c r="A561" t="inlineStr">
        <is>
          <t>jp-hiroshima</t>
        </is>
      </c>
      <c r="B561" t="inlineStr">
        <is>
          <t>Hiroshima</t>
        </is>
      </c>
      <c r="C561" t="inlineStr">
        <is>
          <t>Japan</t>
        </is>
      </c>
      <c r="D561" t="inlineStr">
        <is>
          <t>East Asia</t>
        </is>
      </c>
      <c r="E561" t="inlineStr">
        <is>
          <t>household_debt_burden_raw</t>
        </is>
      </c>
      <c r="F561" t="inlineStr">
        <is>
          <t>Household debt burden raw</t>
        </is>
      </c>
      <c r="G561" t="inlineStr">
        <is>
          <t>pressure</t>
        </is>
      </c>
      <c r="H561" t="inlineStr">
        <is>
          <t>yes</t>
        </is>
      </c>
      <c r="I561" t="inlineStr">
        <is>
          <t>123.1289</t>
        </is>
      </c>
      <c r="J561" t="inlineStr">
        <is>
          <t>derived</t>
        </is>
      </c>
      <c r="K561" t="inlineStr">
        <is>
          <t>https://data.worldbank.org/indicator/NY.GNP.PCAP.PP.CD</t>
        </is>
      </c>
      <c r="L561" t="inlineStr">
        <is>
          <t>Computed from city_inputs + country_context</t>
        </is>
      </c>
      <c r="M561" t="inlineStr">
        <is>
          <t>2024-01-01</t>
        </is>
      </c>
      <c r="N561" t="inlineStr">
        <is>
          <t>derived=country_context.household_debt_proxy; country=Japan</t>
        </is>
      </c>
    </row>
    <row r="562">
      <c r="A562" t="inlineStr">
        <is>
          <t>jp-hiroshima</t>
        </is>
      </c>
      <c r="B562" t="inlineStr">
        <is>
          <t>Hiroshima</t>
        </is>
      </c>
      <c r="C562" t="inlineStr">
        <is>
          <t>Japan</t>
        </is>
      </c>
      <c r="D562" t="inlineStr">
        <is>
          <t>East Asia</t>
        </is>
      </c>
      <c r="E562" t="inlineStr">
        <is>
          <t>working_time_pressure_raw</t>
        </is>
      </c>
      <c r="F562" t="inlineStr">
        <is>
          <t>Working time pressure raw</t>
        </is>
      </c>
      <c r="G562" t="inlineStr">
        <is>
          <t>pressure</t>
        </is>
      </c>
      <c r="H562" t="inlineStr">
        <is>
          <t>yes</t>
        </is>
      </c>
      <c r="I562" t="inlineStr">
        <is>
          <t>36.6</t>
        </is>
      </c>
      <c r="J562" t="inlineStr">
        <is>
          <t>ilo_ilostat</t>
        </is>
      </c>
      <c r="K562" t="inlineStr">
        <is>
          <t>https://ilostat.ilo.org/data/indicator/?id=HOW_TEMP_SEX_ECO_NB_A&amp;ref_area=JPN</t>
        </is>
      </c>
      <c r="L562" t="inlineStr">
        <is>
          <t>ILO ILOSTAT: Mean weekly hours actually worked per employed person</t>
        </is>
      </c>
      <c r="M562" t="inlineStr">
        <is>
          <t>2020-12-31</t>
        </is>
      </c>
      <c r="N562" t="inlineStr">
        <is>
          <t>auto_ingest=ilo_working_hours; indicator=HOW_TEMP_SEX_ECO_NB_A; year=2020; hours=36.6; country_proxy=Japan</t>
        </is>
      </c>
    </row>
    <row r="563">
      <c r="A563" t="inlineStr">
        <is>
          <t>jp-hiroshima</t>
        </is>
      </c>
      <c r="B563" t="inlineStr">
        <is>
          <t>Hiroshima</t>
        </is>
      </c>
      <c r="C563" t="inlineStr">
        <is>
          <t>Japan</t>
        </is>
      </c>
      <c r="D563" t="inlineStr">
        <is>
          <t>East Asia</t>
        </is>
      </c>
      <c r="E563" t="inlineStr">
        <is>
          <t>suicide_mental_strain_raw</t>
        </is>
      </c>
      <c r="F563" t="inlineStr">
        <is>
          <t>Suicide or mental strain raw</t>
        </is>
      </c>
      <c r="G563" t="inlineStr">
        <is>
          <t>pressure</t>
        </is>
      </c>
      <c r="H563" t="inlineStr">
        <is>
          <t>yes</t>
        </is>
      </c>
      <c r="I563" t="inlineStr">
        <is>
          <t>17.43</t>
        </is>
      </c>
      <c r="J563" t="inlineStr">
        <is>
          <t>who_gho</t>
        </is>
      </c>
      <c r="K563" t="inlineStr">
        <is>
          <t>https://www.who.int/data/gho/data/indicators/indicator-details/GHO/SDGSUICIDE</t>
        </is>
      </c>
      <c r="L563" t="inlineStr">
        <is>
          <t>WHO GHO: Age-standardized suicide rate (per 100,000 population)</t>
        </is>
      </c>
      <c r="M563" t="inlineStr">
        <is>
          <t>2021-12-31</t>
        </is>
      </c>
      <c r="N563" t="inlineStr">
        <is>
          <t>auto_ingest=who_gho; indicator=SDGSUICIDE; year=2021; country_proxy=Japan</t>
        </is>
      </c>
    </row>
    <row r="564">
      <c r="A564" t="inlineStr">
        <is>
          <t>jp-hiroshima</t>
        </is>
      </c>
      <c r="B564" t="inlineStr">
        <is>
          <t>Hiroshima</t>
        </is>
      </c>
      <c r="C564" t="inlineStr">
        <is>
          <t>Japan</t>
        </is>
      </c>
      <c r="D564" t="inlineStr">
        <is>
          <t>East Asia</t>
        </is>
      </c>
      <c r="E564" t="inlineStr">
        <is>
          <t>personal_safety_raw</t>
        </is>
      </c>
      <c r="F564" t="inlineStr">
        <is>
          <t>Personal safety raw</t>
        </is>
      </c>
      <c r="G564" t="inlineStr">
        <is>
          <t>viability</t>
        </is>
      </c>
      <c r="H564" t="inlineStr">
        <is>
          <t>yes</t>
        </is>
      </c>
      <c r="I564" t="inlineStr">
        <is>
          <t>0.23</t>
        </is>
      </c>
      <c r="J564" t="inlineStr">
        <is>
          <t>world_bank</t>
        </is>
      </c>
      <c r="K564" t="inlineStr">
        <is>
          <t>https://api.worldbank.org/v2/country/JPN/indicator/VC.IHR.PSRC.P5?format=json&amp;mrv=10</t>
        </is>
      </c>
      <c r="L564" t="inlineStr">
        <is>
          <t>UNODC via World Bank WDI: Intentional homicides (per 100,000 people)</t>
        </is>
      </c>
      <c r="M564" t="inlineStr">
        <is>
          <t>2023-12-31</t>
        </is>
      </c>
      <c r="N564" t="inlineStr">
        <is>
          <t>auto_ingest=unodc_safety; indicator=VC.IHR.PSRC.P5; year=2023; country_proxy=Japan</t>
        </is>
      </c>
    </row>
    <row r="565">
      <c r="A565" t="inlineStr">
        <is>
          <t>jp-hiroshima</t>
        </is>
      </c>
      <c r="B565" t="inlineStr">
        <is>
          <t>Hiroshima</t>
        </is>
      </c>
      <c r="C565" t="inlineStr">
        <is>
          <t>Japan</t>
        </is>
      </c>
      <c r="D565" t="inlineStr">
        <is>
          <t>East Asia</t>
        </is>
      </c>
      <c r="E565" t="inlineStr">
        <is>
          <t>transit_access_commute_raw</t>
        </is>
      </c>
      <c r="F565" t="inlineStr">
        <is>
          <t>Transit access and commute raw</t>
        </is>
      </c>
      <c r="G565" t="inlineStr">
        <is>
          <t>viability</t>
        </is>
      </c>
      <c r="H565" t="inlineStr">
        <is>
          <t>yes</t>
        </is>
      </c>
      <c r="I565" t="inlineStr"/>
      <c r="J565" t="inlineStr"/>
      <c r="K565" t="inlineStr"/>
      <c r="L565" t="inlineStr"/>
      <c r="M565" t="inlineStr"/>
      <c r="N565" t="inlineStr"/>
    </row>
    <row r="566">
      <c r="A566" t="inlineStr">
        <is>
          <t>jp-hiroshima</t>
        </is>
      </c>
      <c r="B566" t="inlineStr">
        <is>
          <t>Hiroshima</t>
        </is>
      </c>
      <c r="C566" t="inlineStr">
        <is>
          <t>Japan</t>
        </is>
      </c>
      <c r="D566" t="inlineStr">
        <is>
          <t>East Asia</t>
        </is>
      </c>
      <c r="E566" t="inlineStr">
        <is>
          <t>clean_air_raw</t>
        </is>
      </c>
      <c r="F566" t="inlineStr">
        <is>
          <t>Clean air raw</t>
        </is>
      </c>
      <c r="G566" t="inlineStr">
        <is>
          <t>viability</t>
        </is>
      </c>
      <c r="H566" t="inlineStr">
        <is>
          <t>yes</t>
        </is>
      </c>
      <c r="I566" t="inlineStr"/>
      <c r="J566" t="inlineStr"/>
      <c r="K566" t="inlineStr"/>
      <c r="L566" t="inlineStr"/>
      <c r="M566" t="inlineStr"/>
      <c r="N566" t="inlineStr"/>
    </row>
    <row r="567">
      <c r="A567" t="inlineStr">
        <is>
          <t>jp-hiroshima</t>
        </is>
      </c>
      <c r="B567" t="inlineStr">
        <is>
          <t>Hiroshima</t>
        </is>
      </c>
      <c r="C567" t="inlineStr">
        <is>
          <t>Japan</t>
        </is>
      </c>
      <c r="D567" t="inlineStr">
        <is>
          <t>East Asia</t>
        </is>
      </c>
      <c r="E567" t="inlineStr">
        <is>
          <t>water_sanitation_utility_raw</t>
        </is>
      </c>
      <c r="F567" t="inlineStr">
        <is>
          <t>Water, sanitation, and utility raw</t>
        </is>
      </c>
      <c r="G567" t="inlineStr">
        <is>
          <t>viability</t>
        </is>
      </c>
      <c r="H567" t="inlineStr">
        <is>
          <t>yes</t>
        </is>
      </c>
      <c r="I567" t="inlineStr">
        <is>
          <t>98.73</t>
        </is>
      </c>
      <c r="J567" t="inlineStr">
        <is>
          <t>world_bank</t>
        </is>
      </c>
      <c r="K567" t="inlineStr">
        <is>
          <t>https://api.worldbank.org/v2/country/JPN/indicator/SH.H2O.SMDW.ZS?format=json&amp;mrv=10</t>
        </is>
      </c>
      <c r="L567" t="inlineStr">
        <is>
          <t>World Bank WDI: People using safely managed drinking water services (% of population)</t>
        </is>
      </c>
      <c r="M567" t="inlineStr">
        <is>
          <t>2024-12-31</t>
        </is>
      </c>
      <c r="N567" t="inlineStr">
        <is>
          <t>auto_ingest=world_bank_proxy; indicator=SH.H2O.SMDW.ZS; year=2024; country_proxy=Japan</t>
        </is>
      </c>
    </row>
    <row r="568">
      <c r="A568" t="inlineStr">
        <is>
          <t>jp-hiroshima</t>
        </is>
      </c>
      <c r="B568" t="inlineStr">
        <is>
          <t>Hiroshima</t>
        </is>
      </c>
      <c r="C568" t="inlineStr">
        <is>
          <t>Japan</t>
        </is>
      </c>
      <c r="D568" t="inlineStr">
        <is>
          <t>East Asia</t>
        </is>
      </c>
      <c r="E568" t="inlineStr">
        <is>
          <t>digital_infrastructure_raw</t>
        </is>
      </c>
      <c r="F568" t="inlineStr">
        <is>
          <t>Digital infrastructure raw</t>
        </is>
      </c>
      <c r="G568" t="inlineStr">
        <is>
          <t>viability</t>
        </is>
      </c>
      <c r="H568" t="inlineStr">
        <is>
          <t>yes</t>
        </is>
      </c>
      <c r="I568" t="inlineStr">
        <is>
          <t>38.63</t>
        </is>
      </c>
      <c r="J568" t="inlineStr">
        <is>
          <t>world_bank</t>
        </is>
      </c>
      <c r="K568" t="inlineStr">
        <is>
          <t>https://api.worldbank.org/v2/country/JPN/indicator/IT.NET.BBND.P2?format=json&amp;mrv=10</t>
        </is>
      </c>
      <c r="L568" t="inlineStr">
        <is>
          <t>World Bank WDI: Fixed broadband subscriptions (per 100 people)</t>
        </is>
      </c>
      <c r="M568" t="inlineStr">
        <is>
          <t>2023-12-31</t>
        </is>
      </c>
      <c r="N568" t="inlineStr">
        <is>
          <t>auto_ingest=world_bank_proxy; indicator=IT.NET.BBND.P2; year=2023; country_proxy=Japan</t>
        </is>
      </c>
    </row>
    <row r="569">
      <c r="A569" t="inlineStr">
        <is>
          <t>jp-hiroshima</t>
        </is>
      </c>
      <c r="B569" t="inlineStr">
        <is>
          <t>Hiroshima</t>
        </is>
      </c>
      <c r="C569" t="inlineStr">
        <is>
          <t>Japan</t>
        </is>
      </c>
      <c r="D569" t="inlineStr">
        <is>
          <t>East Asia</t>
        </is>
      </c>
      <c r="E569" t="inlineStr">
        <is>
          <t>climate_sunlight_livability_raw</t>
        </is>
      </c>
      <c r="F569" t="inlineStr">
        <is>
          <t>Climate and sunlight livability raw</t>
        </is>
      </c>
      <c r="G569" t="inlineStr">
        <is>
          <t>viability</t>
        </is>
      </c>
      <c r="H569" t="inlineStr">
        <is>
          <t>yes</t>
        </is>
      </c>
      <c r="I569" t="inlineStr"/>
      <c r="J569" t="inlineStr"/>
      <c r="K569" t="inlineStr"/>
      <c r="L569" t="inlineStr"/>
      <c r="M569" t="inlineStr"/>
      <c r="N569" t="inlineStr"/>
    </row>
    <row r="570">
      <c r="A570" t="inlineStr">
        <is>
          <t>jp-hiroshima</t>
        </is>
      </c>
      <c r="B570" t="inlineStr">
        <is>
          <t>Hiroshima</t>
        </is>
      </c>
      <c r="C570" t="inlineStr">
        <is>
          <t>Japan</t>
        </is>
      </c>
      <c r="D570" t="inlineStr">
        <is>
          <t>East Asia</t>
        </is>
      </c>
      <c r="E570" t="inlineStr">
        <is>
          <t>healthcare_quality_raw</t>
        </is>
      </c>
      <c r="F570" t="inlineStr">
        <is>
          <t>Healthcare quality raw</t>
        </is>
      </c>
      <c r="G570" t="inlineStr">
        <is>
          <t>capability</t>
        </is>
      </c>
      <c r="H570" t="inlineStr">
        <is>
          <t>yes</t>
        </is>
      </c>
      <c r="I570" t="inlineStr">
        <is>
          <t>86.0</t>
        </is>
      </c>
      <c r="J570" t="inlineStr">
        <is>
          <t>who_gho</t>
        </is>
      </c>
      <c r="K570" t="inlineStr">
        <is>
          <t>https://www.who.int/data/gho/data/indicators/indicator-details/GHO/UHC_INDEX_REPORTED</t>
        </is>
      </c>
      <c r="L570" t="inlineStr">
        <is>
          <t>WHO GHO: UHC Service Coverage Index</t>
        </is>
      </c>
      <c r="M570" t="inlineStr">
        <is>
          <t>2023-12-31</t>
        </is>
      </c>
      <c r="N570" t="inlineStr">
        <is>
          <t>auto_ingest=who_gho; indicator=UHC_INDEX_REPORTED; year=2023; country_proxy=Japan</t>
        </is>
      </c>
    </row>
    <row r="571">
      <c r="A571" t="inlineStr">
        <is>
          <t>jp-hiroshima</t>
        </is>
      </c>
      <c r="B571" t="inlineStr">
        <is>
          <t>Hiroshima</t>
        </is>
      </c>
      <c r="C571" t="inlineStr">
        <is>
          <t>Japan</t>
        </is>
      </c>
      <c r="D571" t="inlineStr">
        <is>
          <t>East Asia</t>
        </is>
      </c>
      <c r="E571" t="inlineStr">
        <is>
          <t>education_quality_raw</t>
        </is>
      </c>
      <c r="F571" t="inlineStr">
        <is>
          <t>Education quality raw</t>
        </is>
      </c>
      <c r="G571" t="inlineStr">
        <is>
          <t>capability</t>
        </is>
      </c>
      <c r="H571" t="inlineStr">
        <is>
          <t>yes</t>
        </is>
      </c>
      <c r="I571" t="inlineStr">
        <is>
          <t>64.89</t>
        </is>
      </c>
      <c r="J571" t="inlineStr">
        <is>
          <t>world_bank</t>
        </is>
      </c>
      <c r="K571" t="inlineStr">
        <is>
          <t>https://api.worldbank.org/v2/country/JPN/indicator/SE.TER.ENRR?format=json&amp;mrv=10</t>
        </is>
      </c>
      <c r="L571" t="inlineStr">
        <is>
          <t>World Bank WDI: School enrollment, tertiary (% gross)</t>
        </is>
      </c>
      <c r="M571" t="inlineStr">
        <is>
          <t>2023-12-31</t>
        </is>
      </c>
      <c r="N571" t="inlineStr">
        <is>
          <t>auto_ingest=world_bank_proxy; indicator=SE.TER.ENRR; year=2023; country_proxy=Japan</t>
        </is>
      </c>
    </row>
    <row r="572">
      <c r="A572" t="inlineStr">
        <is>
          <t>jp-hiroshima</t>
        </is>
      </c>
      <c r="B572" t="inlineStr">
        <is>
          <t>Hiroshima</t>
        </is>
      </c>
      <c r="C572" t="inlineStr">
        <is>
          <t>Japan</t>
        </is>
      </c>
      <c r="D572" t="inlineStr">
        <is>
          <t>East Asia</t>
        </is>
      </c>
      <c r="E572" t="inlineStr">
        <is>
          <t>equal_opportunity_raw</t>
        </is>
      </c>
      <c r="F572" t="inlineStr">
        <is>
          <t>Equal opportunity raw</t>
        </is>
      </c>
      <c r="G572" t="inlineStr">
        <is>
          <t>capability</t>
        </is>
      </c>
      <c r="H572" t="inlineStr">
        <is>
          <t>yes</t>
        </is>
      </c>
      <c r="I572" t="inlineStr">
        <is>
          <t>32.3</t>
        </is>
      </c>
      <c r="J572" t="inlineStr">
        <is>
          <t>world_bank</t>
        </is>
      </c>
      <c r="K572" t="inlineStr">
        <is>
          <t>https://api.worldbank.org/v2/country/JPN/indicator/SI.POV.GINI?format=json&amp;mrv=10</t>
        </is>
      </c>
      <c r="L572" t="inlineStr">
        <is>
          <t>World Bank WDI: Gini index</t>
        </is>
      </c>
      <c r="M572" t="inlineStr">
        <is>
          <t>2020-12-31</t>
        </is>
      </c>
      <c r="N572" t="inlineStr">
        <is>
          <t>auto_ingest=world_bank_capability; indicator=SI.POV.GINI; year=2020; country_proxy=Japan</t>
        </is>
      </c>
    </row>
    <row r="573">
      <c r="A573" t="inlineStr">
        <is>
          <t>jp-hiroshima</t>
        </is>
      </c>
      <c r="B573" t="inlineStr">
        <is>
          <t>Hiroshima</t>
        </is>
      </c>
      <c r="C573" t="inlineStr">
        <is>
          <t>Japan</t>
        </is>
      </c>
      <c r="D573" t="inlineStr">
        <is>
          <t>East Asia</t>
        </is>
      </c>
      <c r="E573" t="inlineStr">
        <is>
          <t>hospitality_belonging_raw</t>
        </is>
      </c>
      <c r="F573" t="inlineStr">
        <is>
          <t>Hospitality and belonging raw</t>
        </is>
      </c>
      <c r="G573" t="inlineStr">
        <is>
          <t>community</t>
        </is>
      </c>
      <c r="H573" t="inlineStr">
        <is>
          <t>yes</t>
        </is>
      </c>
      <c r="I573" t="inlineStr">
        <is>
          <t>51.13</t>
        </is>
      </c>
      <c r="J573" t="inlineStr">
        <is>
          <t>world_bank</t>
        </is>
      </c>
      <c r="K573" t="inlineStr">
        <is>
          <t>https://api.worldbank.org/v2/country/JPN/indicator/SM.POP.NETM?format=json&amp;mrv=10</t>
        </is>
      </c>
      <c r="L573" t="inlineStr">
        <is>
          <t>World Bank WDI: Net migration (proxy for hospitality/belonging — positive = welcoming)</t>
        </is>
      </c>
      <c r="M573" t="inlineStr">
        <is>
          <t>2025-12-31</t>
        </is>
      </c>
      <c r="N573" t="inlineStr">
        <is>
          <t>auto_ingest=world_bank_proxy; proxy=net_migration_hospitality; indicator=SM.POP.NETM; year=2025; country_proxy=Japan</t>
        </is>
      </c>
    </row>
    <row r="574">
      <c r="A574" t="inlineStr">
        <is>
          <t>jp-hiroshima</t>
        </is>
      </c>
      <c r="B574" t="inlineStr">
        <is>
          <t>Hiroshima</t>
        </is>
      </c>
      <c r="C574" t="inlineStr">
        <is>
          <t>Japan</t>
        </is>
      </c>
      <c r="D574" t="inlineStr">
        <is>
          <t>East Asia</t>
        </is>
      </c>
      <c r="E574" t="inlineStr">
        <is>
          <t>tolerance_pluralism_raw</t>
        </is>
      </c>
      <c r="F574" t="inlineStr">
        <is>
          <t>Tolerance and pluralism raw</t>
        </is>
      </c>
      <c r="G574" t="inlineStr">
        <is>
          <t>community</t>
        </is>
      </c>
      <c r="H574" t="inlineStr">
        <is>
          <t>yes</t>
        </is>
      </c>
      <c r="I574" t="inlineStr">
        <is>
          <t>15.7</t>
        </is>
      </c>
      <c r="J574" t="inlineStr">
        <is>
          <t>world_bank</t>
        </is>
      </c>
      <c r="K574" t="inlineStr">
        <is>
          <t>https://api.worldbank.org/v2/country/JPN/indicator/SG.GEN.PARL.ZS?format=json&amp;mrv=10</t>
        </is>
      </c>
      <c r="L574" t="inlineStr">
        <is>
          <t>World Bank WDI: Proportion of seats held by women in national parliaments (%)</t>
        </is>
      </c>
      <c r="M574" t="inlineStr">
        <is>
          <t>2024-12-31</t>
        </is>
      </c>
      <c r="N574" t="inlineStr">
        <is>
          <t>auto_ingest=world_bank_proxy; proxy=gender_parity_parliament; indicator=SG.GEN.PARL.ZS; year=2024; country_proxy=Japan</t>
        </is>
      </c>
    </row>
    <row r="575">
      <c r="A575" t="inlineStr">
        <is>
          <t>jp-hiroshima</t>
        </is>
      </c>
      <c r="B575" t="inlineStr">
        <is>
          <t>Hiroshima</t>
        </is>
      </c>
      <c r="C575" t="inlineStr">
        <is>
          <t>Japan</t>
        </is>
      </c>
      <c r="D575" t="inlineStr">
        <is>
          <t>East Asia</t>
        </is>
      </c>
      <c r="E575" t="inlineStr">
        <is>
          <t>cultural_public_life_raw</t>
        </is>
      </c>
      <c r="F575" t="inlineStr">
        <is>
          <t>Cultural public life raw</t>
        </is>
      </c>
      <c r="G575" t="inlineStr">
        <is>
          <t>community</t>
        </is>
      </c>
      <c r="H575" t="inlineStr">
        <is>
          <t>yes</t>
        </is>
      </c>
      <c r="I575" t="inlineStr">
        <is>
          <t>33.2</t>
        </is>
      </c>
      <c r="J575" t="inlineStr">
        <is>
          <t>world_bank</t>
        </is>
      </c>
      <c r="K575" t="inlineStr">
        <is>
          <t>https://api.worldbank.org/v2/country/JPN/indicator/ST.INT.ARVL?format=json&amp;mrv=10</t>
        </is>
      </c>
      <c r="L575" t="inlineStr">
        <is>
          <t>World Bank WDI: International tourism arrivals per 1 000 population</t>
        </is>
      </c>
      <c r="M575" t="inlineStr">
        <is>
          <t>2020-12-31</t>
        </is>
      </c>
      <c r="N575" t="inlineStr">
        <is>
          <t>auto_ingest=cultural_life_proxy; indicator=ST.INT.ARVL; norm=per_1000_pop; year=2020; country_proxy=Japan</t>
        </is>
      </c>
    </row>
    <row r="576">
      <c r="A576" t="inlineStr">
        <is>
          <t>jp-hiroshima</t>
        </is>
      </c>
      <c r="B576" t="inlineStr">
        <is>
          <t>Hiroshima</t>
        </is>
      </c>
      <c r="C576" t="inlineStr">
        <is>
          <t>Japan</t>
        </is>
      </c>
      <c r="D576" t="inlineStr">
        <is>
          <t>East Asia</t>
        </is>
      </c>
      <c r="E576" t="inlineStr">
        <is>
          <t>birth_rate_optimism_raw</t>
        </is>
      </c>
      <c r="F576" t="inlineStr">
        <is>
          <t>Birth rate and societal optimism raw</t>
        </is>
      </c>
      <c r="G576" t="inlineStr">
        <is>
          <t>community</t>
        </is>
      </c>
      <c r="H576" t="inlineStr">
        <is>
          <t>yes</t>
        </is>
      </c>
      <c r="I576" t="inlineStr">
        <is>
          <t>1.2</t>
        </is>
      </c>
      <c r="J576" t="inlineStr">
        <is>
          <t>world_bank</t>
        </is>
      </c>
      <c r="K576" t="inlineStr">
        <is>
          <t>https://data.worldbank.org/indicator/SP.DYN.TFRT.IN</t>
        </is>
      </c>
      <c r="L576" t="inlineStr">
        <is>
          <t>World Bank Total Fertility Rate 2023</t>
        </is>
      </c>
      <c r="M576" t="inlineStr">
        <is>
          <t>2024-01-01</t>
        </is>
      </c>
      <c r="N576" t="inlineStr"/>
    </row>
    <row r="577">
      <c r="A577" t="inlineStr">
        <is>
          <t>jp-hiroshima</t>
        </is>
      </c>
      <c r="B577" t="inlineStr">
        <is>
          <t>Hiroshima</t>
        </is>
      </c>
      <c r="C577" t="inlineStr">
        <is>
          <t>Japan</t>
        </is>
      </c>
      <c r="D577" t="inlineStr">
        <is>
          <t>East Asia</t>
        </is>
      </c>
      <c r="E577" t="inlineStr">
        <is>
          <t>entrepreneurial_dynamism_raw</t>
        </is>
      </c>
      <c r="F577" t="inlineStr">
        <is>
          <t>Entrepreneurial dynamism raw</t>
        </is>
      </c>
      <c r="G577" t="inlineStr">
        <is>
          <t>creative</t>
        </is>
      </c>
      <c r="H577" t="inlineStr">
        <is>
          <t>yes</t>
        </is>
      </c>
      <c r="I577" t="inlineStr">
        <is>
          <t>0.51</t>
        </is>
      </c>
      <c r="J577" t="inlineStr">
        <is>
          <t>world_bank</t>
        </is>
      </c>
      <c r="K577" t="inlineStr">
        <is>
          <t>https://api.worldbank.org/v2/country/JPN/indicator/IC.BUS.NDNS.ZS?format=json&amp;mrv=10</t>
        </is>
      </c>
      <c r="L577" t="inlineStr">
        <is>
          <t>World Bank WDI: New business density (new registrations per 1,000 people ages 15-64)</t>
        </is>
      </c>
      <c r="M577" t="inlineStr">
        <is>
          <t>2022-12-31</t>
        </is>
      </c>
      <c r="N577" t="inlineStr">
        <is>
          <t>auto_ingest=world_bank_creative_extended; indicator=IC.BUS.NDNS.ZS; year=2022; country_proxy=Japan</t>
        </is>
      </c>
    </row>
    <row r="578">
      <c r="A578" t="inlineStr">
        <is>
          <t>jp-hiroshima</t>
        </is>
      </c>
      <c r="B578" t="inlineStr">
        <is>
          <t>Hiroshima</t>
        </is>
      </c>
      <c r="C578" t="inlineStr">
        <is>
          <t>Japan</t>
        </is>
      </c>
      <c r="D578" t="inlineStr">
        <is>
          <t>East Asia</t>
        </is>
      </c>
      <c r="E578" t="inlineStr">
        <is>
          <t>innovation_research_intensity_raw</t>
        </is>
      </c>
      <c r="F578" t="inlineStr">
        <is>
          <t>Innovation and research raw</t>
        </is>
      </c>
      <c r="G578" t="inlineStr">
        <is>
          <t>creative</t>
        </is>
      </c>
      <c r="H578" t="inlineStr">
        <is>
          <t>yes</t>
        </is>
      </c>
      <c r="I578" t="inlineStr">
        <is>
          <t>3.41</t>
        </is>
      </c>
      <c r="J578" t="inlineStr">
        <is>
          <t>world_bank</t>
        </is>
      </c>
      <c r="K578" t="inlineStr">
        <is>
          <t>https://api.worldbank.org/v2/country/JPN/indicator/GB.XPD.RSDV.GD.ZS?format=json&amp;mrv=10</t>
        </is>
      </c>
      <c r="L578" t="inlineStr">
        <is>
          <t>World Bank WDI: Research and development expenditure (% of GDP)</t>
        </is>
      </c>
      <c r="M578" t="inlineStr">
        <is>
          <t>2022-12-31</t>
        </is>
      </c>
      <c r="N578" t="inlineStr">
        <is>
          <t>auto_ingest=world_bank_creative_extended; indicator=GB.XPD.RSDV.GD.ZS; year=2022; country_proxy=Japan</t>
        </is>
      </c>
    </row>
    <row r="579">
      <c r="A579" t="inlineStr">
        <is>
          <t>jp-hiroshima</t>
        </is>
      </c>
      <c r="B579" t="inlineStr">
        <is>
          <t>Hiroshima</t>
        </is>
      </c>
      <c r="C579" t="inlineStr">
        <is>
          <t>Japan</t>
        </is>
      </c>
      <c r="D579" t="inlineStr">
        <is>
          <t>East Asia</t>
        </is>
      </c>
      <c r="E579" t="inlineStr">
        <is>
          <t>investment_signal_raw</t>
        </is>
      </c>
      <c r="F579" t="inlineStr">
        <is>
          <t>Investment signal raw</t>
        </is>
      </c>
      <c r="G579" t="inlineStr">
        <is>
          <t>creative</t>
        </is>
      </c>
      <c r="H579" t="inlineStr">
        <is>
          <t>yes</t>
        </is>
      </c>
      <c r="I579" t="inlineStr">
        <is>
          <t>0.4</t>
        </is>
      </c>
      <c r="J579" t="inlineStr">
        <is>
          <t>world_bank</t>
        </is>
      </c>
      <c r="K579" t="inlineStr">
        <is>
          <t>https://api.worldbank.org/v2/country/JPN/indicator/BX.KLT.DINV.WD.GD.ZS?format=json&amp;mrv=10</t>
        </is>
      </c>
      <c r="L579" t="inlineStr">
        <is>
          <t>World Bank WDI: Foreign direct investment, net inflows (% of GDP)</t>
        </is>
      </c>
      <c r="M579" t="inlineStr">
        <is>
          <t>2024-12-31</t>
        </is>
      </c>
      <c r="N579" t="inlineStr">
        <is>
          <t>auto_ingest=world_bank_creative_extended; indicator=BX.KLT.DINV.WD.GD.ZS; year=2024; country_proxy=Japan</t>
        </is>
      </c>
    </row>
    <row r="580">
      <c r="A580" t="inlineStr">
        <is>
          <t>jp-hiroshima</t>
        </is>
      </c>
      <c r="B580" t="inlineStr">
        <is>
          <t>Hiroshima</t>
        </is>
      </c>
      <c r="C580" t="inlineStr">
        <is>
          <t>Japan</t>
        </is>
      </c>
      <c r="D580" t="inlineStr">
        <is>
          <t>East Asia</t>
        </is>
      </c>
      <c r="E580" t="inlineStr">
        <is>
          <t>administrative_investment_friction_raw</t>
        </is>
      </c>
      <c r="F580" t="inlineStr">
        <is>
          <t>Administrative investment friction raw</t>
        </is>
      </c>
      <c r="G580" t="inlineStr">
        <is>
          <t>creative</t>
        </is>
      </c>
      <c r="H580" t="inlineStr">
        <is>
          <t>yes</t>
        </is>
      </c>
      <c r="I580" t="inlineStr">
        <is>
          <t>1.03</t>
        </is>
      </c>
      <c r="J580" t="inlineStr">
        <is>
          <t>world_bank</t>
        </is>
      </c>
      <c r="K580" t="inlineStr">
        <is>
          <t>https://api.worldbank.org/v2/country/JPN/indicator/RQ.EST?format=json&amp;mrv=10</t>
        </is>
      </c>
      <c r="L580" t="inlineStr">
        <is>
          <t>World Bank WGI: Regulatory Quality (inverted as friction proxy)</t>
        </is>
      </c>
      <c r="M580" t="inlineStr">
        <is>
          <t>2023-12-31</t>
        </is>
      </c>
      <c r="N580" t="inlineStr">
        <is>
          <t>auto_ingest=world_bank_business_friction; indicator=RQ.EST; raw_rq=1.46932590007782; friction=1.03; year=2023; country_proxy=Japan</t>
        </is>
      </c>
    </row>
    <row r="581">
      <c r="A581" t="inlineStr">
        <is>
          <t>jp-hiroshima</t>
        </is>
      </c>
      <c r="B581" t="inlineStr">
        <is>
          <t>Hiroshima</t>
        </is>
      </c>
      <c r="C581" t="inlineStr">
        <is>
          <t>Japan</t>
        </is>
      </c>
      <c r="D581" t="inlineStr">
        <is>
          <t>East Asia</t>
        </is>
      </c>
      <c r="E581" t="inlineStr">
        <is>
          <t>visitor_flow_context_raw</t>
        </is>
      </c>
      <c r="F581" t="inlineStr">
        <is>
          <t>Visitor flow context raw</t>
        </is>
      </c>
      <c r="G581" t="inlineStr">
        <is>
          <t>creative</t>
        </is>
      </c>
      <c r="H581" t="inlineStr">
        <is>
          <t>no</t>
        </is>
      </c>
      <c r="I581" t="inlineStr"/>
      <c r="J581" t="inlineStr"/>
      <c r="K581" t="inlineStr"/>
      <c r="L581" t="inlineStr"/>
      <c r="M581" t="inlineStr"/>
      <c r="N581" t="inlineStr"/>
    </row>
    <row r="582">
      <c r="A582" t="inlineStr">
        <is>
          <t>kr-suwon</t>
        </is>
      </c>
      <c r="B582" t="inlineStr">
        <is>
          <t>Suwon</t>
        </is>
      </c>
      <c r="C582" t="inlineStr">
        <is>
          <t>South Korea</t>
        </is>
      </c>
      <c r="D582" t="inlineStr">
        <is>
          <t>East Asia</t>
        </is>
      </c>
      <c r="E582" t="inlineStr">
        <is>
          <t>gross_income</t>
        </is>
      </c>
      <c r="F582" t="inlineStr">
        <is>
          <t>Gross income</t>
        </is>
      </c>
      <c r="G582" t="inlineStr">
        <is>
          <t>pressure</t>
        </is>
      </c>
      <c r="H582" t="inlineStr">
        <is>
          <t>yes</t>
        </is>
      </c>
      <c r="I582" t="inlineStr">
        <is>
          <t>5160.83</t>
        </is>
      </c>
      <c r="J582" t="inlineStr">
        <is>
          <t>world_bank_col_estimate</t>
        </is>
      </c>
      <c r="K582" t="inlineStr">
        <is>
          <t>https://api.worldbank.org/v2/country/KOR/indicator/NY.GNP.PCAP.PP.CD?format=json&amp;mrv=10</t>
        </is>
      </c>
      <c r="L582" t="inlineStr">
        <is>
          <t>World Bank WDI: GNI per capita PPP (monthly USD)</t>
        </is>
      </c>
      <c r="M582" t="inlineStr">
        <is>
          <t>2024-12-31</t>
        </is>
      </c>
      <c r="N582" t="inlineStr">
        <is>
          <t>auto_ingest=world_bank_col_estimate; gni_annual=61930.0; year=2024; country_proxy=South Korea; cohort=East Asia</t>
        </is>
      </c>
    </row>
    <row r="583">
      <c r="A583" t="inlineStr">
        <is>
          <t>kr-suwon</t>
        </is>
      </c>
      <c r="B583" t="inlineStr">
        <is>
          <t>Suwon</t>
        </is>
      </c>
      <c r="C583" t="inlineStr">
        <is>
          <t>South Korea</t>
        </is>
      </c>
      <c r="D583" t="inlineStr">
        <is>
          <t>East Asia</t>
        </is>
      </c>
      <c r="E583" t="inlineStr">
        <is>
          <t>di_ppp_raw</t>
        </is>
      </c>
      <c r="F583" t="inlineStr">
        <is>
          <t>Disposable income PPP (Raw)</t>
        </is>
      </c>
      <c r="G583" t="inlineStr">
        <is>
          <t>pressure</t>
        </is>
      </c>
      <c r="H583" t="inlineStr">
        <is>
          <t>yes</t>
        </is>
      </c>
      <c r="I583" t="inlineStr"/>
      <c r="J583" t="inlineStr"/>
      <c r="K583" t="inlineStr"/>
      <c r="L583" t="inlineStr"/>
      <c r="M583" t="inlineStr"/>
      <c r="N583" t="inlineStr"/>
    </row>
    <row r="584">
      <c r="A584" t="inlineStr">
        <is>
          <t>kr-suwon</t>
        </is>
      </c>
      <c r="B584" t="inlineStr">
        <is>
          <t>Suwon</t>
        </is>
      </c>
      <c r="C584" t="inlineStr">
        <is>
          <t>South Korea</t>
        </is>
      </c>
      <c r="D584" t="inlineStr">
        <is>
          <t>East Asia</t>
        </is>
      </c>
      <c r="E584" t="inlineStr">
        <is>
          <t>rent</t>
        </is>
      </c>
      <c r="F584" t="inlineStr">
        <is>
          <t>Rent</t>
        </is>
      </c>
      <c r="G584" t="inlineStr">
        <is>
          <t>pressure</t>
        </is>
      </c>
      <c r="H584" t="inlineStr">
        <is>
          <t>yes</t>
        </is>
      </c>
      <c r="I584" t="inlineStr">
        <is>
          <t>1161.19</t>
        </is>
      </c>
      <c r="J584" t="inlineStr">
        <is>
          <t>world_bank_col_estimate</t>
        </is>
      </c>
      <c r="K584" t="inlineStr">
        <is>
          <t>https://api.worldbank.org/v2/country/KOR/indicator/NY.GNP.PCAP.PP.CD?format=json&amp;mrv=10</t>
        </is>
      </c>
      <c r="L584" t="inlineStr">
        <is>
          <t>World Bank GNI + regional expenditure ratio estimate</t>
        </is>
      </c>
      <c r="M584" t="inlineStr">
        <is>
          <t>2024-12-31</t>
        </is>
      </c>
      <c r="N584" t="inlineStr">
        <is>
          <t>auto_ingest=world_bank_col_estimate; gni_annual=61930.0; year=2024; country_proxy=South Korea; cohort=East Asia; city_cost_mult=0.9</t>
        </is>
      </c>
    </row>
    <row r="585">
      <c r="A585" t="inlineStr">
        <is>
          <t>kr-suwon</t>
        </is>
      </c>
      <c r="B585" t="inlineStr">
        <is>
          <t>Suwon</t>
        </is>
      </c>
      <c r="C585" t="inlineStr">
        <is>
          <t>South Korea</t>
        </is>
      </c>
      <c r="D585" t="inlineStr">
        <is>
          <t>East Asia</t>
        </is>
      </c>
      <c r="E585" t="inlineStr">
        <is>
          <t>utilities</t>
        </is>
      </c>
      <c r="F585" t="inlineStr">
        <is>
          <t>Utilities</t>
        </is>
      </c>
      <c r="G585" t="inlineStr">
        <is>
          <t>pressure</t>
        </is>
      </c>
      <c r="H585" t="inlineStr">
        <is>
          <t>yes</t>
        </is>
      </c>
      <c r="I585" t="inlineStr">
        <is>
          <t>278.68</t>
        </is>
      </c>
      <c r="J585" t="inlineStr">
        <is>
          <t>world_bank_col_estimate</t>
        </is>
      </c>
      <c r="K585" t="inlineStr">
        <is>
          <t>https://api.worldbank.org/v2/country/KOR/indicator/NY.GNP.PCAP.PP.CD?format=json&amp;mrv=10</t>
        </is>
      </c>
      <c r="L585" t="inlineStr">
        <is>
          <t>World Bank GNI + regional expenditure ratio estimate</t>
        </is>
      </c>
      <c r="M585" t="inlineStr">
        <is>
          <t>2024-12-31</t>
        </is>
      </c>
      <c r="N585" t="inlineStr">
        <is>
          <t>auto_ingest=world_bank_col_estimate; gni_annual=61930.0; year=2024; country_proxy=South Korea; cohort=East Asia; city_cost_mult=0.9</t>
        </is>
      </c>
    </row>
    <row r="586">
      <c r="A586" t="inlineStr">
        <is>
          <t>kr-suwon</t>
        </is>
      </c>
      <c r="B586" t="inlineStr">
        <is>
          <t>Suwon</t>
        </is>
      </c>
      <c r="C586" t="inlineStr">
        <is>
          <t>South Korea</t>
        </is>
      </c>
      <c r="D586" t="inlineStr">
        <is>
          <t>East Asia</t>
        </is>
      </c>
      <c r="E586" t="inlineStr">
        <is>
          <t>transit_cost</t>
        </is>
      </c>
      <c r="F586" t="inlineStr">
        <is>
          <t>Transit cost</t>
        </is>
      </c>
      <c r="G586" t="inlineStr">
        <is>
          <t>pressure</t>
        </is>
      </c>
      <c r="H586" t="inlineStr">
        <is>
          <t>yes</t>
        </is>
      </c>
      <c r="I586" t="inlineStr">
        <is>
          <t>185.79</t>
        </is>
      </c>
      <c r="J586" t="inlineStr">
        <is>
          <t>world_bank_col_estimate</t>
        </is>
      </c>
      <c r="K586" t="inlineStr">
        <is>
          <t>https://api.worldbank.org/v2/country/KOR/indicator/NY.GNP.PCAP.PP.CD?format=json&amp;mrv=10</t>
        </is>
      </c>
      <c r="L586" t="inlineStr">
        <is>
          <t>World Bank GNI + regional expenditure ratio estimate</t>
        </is>
      </c>
      <c r="M586" t="inlineStr">
        <is>
          <t>2024-12-31</t>
        </is>
      </c>
      <c r="N586" t="inlineStr">
        <is>
          <t>auto_ingest=world_bank_col_estimate; gni_annual=61930.0; year=2024; country_proxy=South Korea; cohort=East Asia; city_cost_mult=0.9</t>
        </is>
      </c>
    </row>
    <row r="587">
      <c r="A587" t="inlineStr">
        <is>
          <t>kr-suwon</t>
        </is>
      </c>
      <c r="B587" t="inlineStr">
        <is>
          <t>Suwon</t>
        </is>
      </c>
      <c r="C587" t="inlineStr">
        <is>
          <t>South Korea</t>
        </is>
      </c>
      <c r="D587" t="inlineStr">
        <is>
          <t>East Asia</t>
        </is>
      </c>
      <c r="E587" t="inlineStr">
        <is>
          <t>internet_cost</t>
        </is>
      </c>
      <c r="F587" t="inlineStr">
        <is>
          <t>Internet cost</t>
        </is>
      </c>
      <c r="G587" t="inlineStr">
        <is>
          <t>pressure</t>
        </is>
      </c>
      <c r="H587" t="inlineStr">
        <is>
          <t>yes</t>
        </is>
      </c>
      <c r="I587" t="inlineStr">
        <is>
          <t>69.67</t>
        </is>
      </c>
      <c r="J587" t="inlineStr">
        <is>
          <t>world_bank_col_estimate</t>
        </is>
      </c>
      <c r="K587" t="inlineStr">
        <is>
          <t>https://api.worldbank.org/v2/country/KOR/indicator/NY.GNP.PCAP.PP.CD?format=json&amp;mrv=10</t>
        </is>
      </c>
      <c r="L587" t="inlineStr">
        <is>
          <t>World Bank GNI + regional expenditure ratio estimate</t>
        </is>
      </c>
      <c r="M587" t="inlineStr">
        <is>
          <t>2024-12-31</t>
        </is>
      </c>
      <c r="N587" t="inlineStr">
        <is>
          <t>auto_ingest=world_bank_col_estimate; gni_annual=61930.0; year=2024; country_proxy=South Korea; cohort=East Asia; city_cost_mult=0.9</t>
        </is>
      </c>
    </row>
    <row r="588">
      <c r="A588" t="inlineStr">
        <is>
          <t>kr-suwon</t>
        </is>
      </c>
      <c r="B588" t="inlineStr">
        <is>
          <t>Suwon</t>
        </is>
      </c>
      <c r="C588" t="inlineStr">
        <is>
          <t>South Korea</t>
        </is>
      </c>
      <c r="D588" t="inlineStr">
        <is>
          <t>East Asia</t>
        </is>
      </c>
      <c r="E588" t="inlineStr">
        <is>
          <t>food_cost</t>
        </is>
      </c>
      <c r="F588" t="inlineStr">
        <is>
          <t>Food cost</t>
        </is>
      </c>
      <c r="G588" t="inlineStr">
        <is>
          <t>pressure</t>
        </is>
      </c>
      <c r="H588" t="inlineStr">
        <is>
          <t>yes</t>
        </is>
      </c>
      <c r="I588" t="inlineStr">
        <is>
          <t>928.95</t>
        </is>
      </c>
      <c r="J588" t="inlineStr">
        <is>
          <t>world_bank_col_estimate</t>
        </is>
      </c>
      <c r="K588" t="inlineStr">
        <is>
          <t>https://api.worldbank.org/v2/country/KOR/indicator/NY.GNP.PCAP.PP.CD?format=json&amp;mrv=10</t>
        </is>
      </c>
      <c r="L588" t="inlineStr">
        <is>
          <t>World Bank GNI + regional expenditure ratio estimate</t>
        </is>
      </c>
      <c r="M588" t="inlineStr">
        <is>
          <t>2024-12-31</t>
        </is>
      </c>
      <c r="N588" t="inlineStr">
        <is>
          <t>auto_ingest=world_bank_col_estimate; gni_annual=61930.0; year=2024; country_proxy=South Korea; cohort=East Asia; city_cost_mult=0.9</t>
        </is>
      </c>
    </row>
    <row r="589">
      <c r="A589" t="inlineStr">
        <is>
          <t>kr-suwon</t>
        </is>
      </c>
      <c r="B589" t="inlineStr">
        <is>
          <t>Suwon</t>
        </is>
      </c>
      <c r="C589" t="inlineStr">
        <is>
          <t>South Korea</t>
        </is>
      </c>
      <c r="D589" t="inlineStr">
        <is>
          <t>East Asia</t>
        </is>
      </c>
      <c r="E589" t="inlineStr">
        <is>
          <t>housing_burden_raw</t>
        </is>
      </c>
      <c r="F589" t="inlineStr">
        <is>
          <t>Housing burden raw</t>
        </is>
      </c>
      <c r="G589" t="inlineStr">
        <is>
          <t>pressure</t>
        </is>
      </c>
      <c r="H589" t="inlineStr">
        <is>
          <t>yes</t>
        </is>
      </c>
      <c r="I589" t="inlineStr">
        <is>
          <t>22.5001</t>
        </is>
      </c>
      <c r="J589" t="inlineStr">
        <is>
          <t>derived</t>
        </is>
      </c>
      <c r="K589" t="inlineStr">
        <is>
          <t>https://data.worldbank.org/indicator/NY.GNP.PCAP.PP.CD</t>
        </is>
      </c>
      <c r="L589" t="inlineStr">
        <is>
          <t>Computed from city_inputs + country_context</t>
        </is>
      </c>
      <c r="M589" t="inlineStr">
        <is>
          <t>2024-01-01</t>
        </is>
      </c>
      <c r="N589" t="inlineStr">
        <is>
          <t>derived=rent/gross_income*100</t>
        </is>
      </c>
    </row>
    <row r="590">
      <c r="A590" t="inlineStr">
        <is>
          <t>kr-suwon</t>
        </is>
      </c>
      <c r="B590" t="inlineStr">
        <is>
          <t>Suwon</t>
        </is>
      </c>
      <c r="C590" t="inlineStr">
        <is>
          <t>South Korea</t>
        </is>
      </c>
      <c r="D590" t="inlineStr">
        <is>
          <t>East Asia</t>
        </is>
      </c>
      <c r="E590" t="inlineStr">
        <is>
          <t>household_debt_burden_raw</t>
        </is>
      </c>
      <c r="F590" t="inlineStr">
        <is>
          <t>Household debt burden raw</t>
        </is>
      </c>
      <c r="G590" t="inlineStr">
        <is>
          <t>pressure</t>
        </is>
      </c>
      <c r="H590" t="inlineStr">
        <is>
          <t>yes</t>
        </is>
      </c>
      <c r="I590" t="inlineStr">
        <is>
          <t>160.3472</t>
        </is>
      </c>
      <c r="J590" t="inlineStr">
        <is>
          <t>derived</t>
        </is>
      </c>
      <c r="K590" t="inlineStr">
        <is>
          <t>https://data.worldbank.org/indicator/NY.GNP.PCAP.PP.CD</t>
        </is>
      </c>
      <c r="L590" t="inlineStr">
        <is>
          <t>Computed from city_inputs + country_context</t>
        </is>
      </c>
      <c r="M590" t="inlineStr">
        <is>
          <t>2024-01-01</t>
        </is>
      </c>
      <c r="N590" t="inlineStr">
        <is>
          <t>derived=country_context.household_debt_proxy; country=South Korea</t>
        </is>
      </c>
    </row>
    <row r="591">
      <c r="A591" t="inlineStr">
        <is>
          <t>kr-suwon</t>
        </is>
      </c>
      <c r="B591" t="inlineStr">
        <is>
          <t>Suwon</t>
        </is>
      </c>
      <c r="C591" t="inlineStr">
        <is>
          <t>South Korea</t>
        </is>
      </c>
      <c r="D591" t="inlineStr">
        <is>
          <t>East Asia</t>
        </is>
      </c>
      <c r="E591" t="inlineStr">
        <is>
          <t>working_time_pressure_raw</t>
        </is>
      </c>
      <c r="F591" t="inlineStr">
        <is>
          <t>Working time pressure raw</t>
        </is>
      </c>
      <c r="G591" t="inlineStr">
        <is>
          <t>pressure</t>
        </is>
      </c>
      <c r="H591" t="inlineStr">
        <is>
          <t>yes</t>
        </is>
      </c>
      <c r="I591" t="inlineStr">
        <is>
          <t>38.49</t>
        </is>
      </c>
      <c r="J591" t="inlineStr">
        <is>
          <t>ilo_ilostat</t>
        </is>
      </c>
      <c r="K591" t="inlineStr">
        <is>
          <t>https://ilostat.ilo.org/data/indicator/?id=HOW_TEMP_SEX_ECO_NB_A&amp;ref_area=KOR</t>
        </is>
      </c>
      <c r="L591" t="inlineStr">
        <is>
          <t>ILO ILOSTAT: Mean weekly hours actually worked per employed person</t>
        </is>
      </c>
      <c r="M591" t="inlineStr">
        <is>
          <t>2025-12-31</t>
        </is>
      </c>
      <c r="N591" t="inlineStr">
        <is>
          <t>auto_ingest=ilo_working_hours; indicator=HOW_TEMP_SEX_ECO_NB_A; year=2025; hours=38.49; country_proxy=South Korea</t>
        </is>
      </c>
    </row>
    <row r="592">
      <c r="A592" t="inlineStr">
        <is>
          <t>kr-suwon</t>
        </is>
      </c>
      <c r="B592" t="inlineStr">
        <is>
          <t>Suwon</t>
        </is>
      </c>
      <c r="C592" t="inlineStr">
        <is>
          <t>South Korea</t>
        </is>
      </c>
      <c r="D592" t="inlineStr">
        <is>
          <t>East Asia</t>
        </is>
      </c>
      <c r="E592" t="inlineStr">
        <is>
          <t>suicide_mental_strain_raw</t>
        </is>
      </c>
      <c r="F592" t="inlineStr">
        <is>
          <t>Suicide or mental strain raw</t>
        </is>
      </c>
      <c r="G592" t="inlineStr">
        <is>
          <t>pressure</t>
        </is>
      </c>
      <c r="H592" t="inlineStr">
        <is>
          <t>yes</t>
        </is>
      </c>
      <c r="I592" t="inlineStr">
        <is>
          <t>27.53</t>
        </is>
      </c>
      <c r="J592" t="inlineStr">
        <is>
          <t>who_gho</t>
        </is>
      </c>
      <c r="K592" t="inlineStr">
        <is>
          <t>https://www.who.int/data/gho/data/indicators/indicator-details/GHO/SDGSUICIDE</t>
        </is>
      </c>
      <c r="L592" t="inlineStr">
        <is>
          <t>WHO GHO: Age-standardized suicide rate (per 100,000 population)</t>
        </is>
      </c>
      <c r="M592" t="inlineStr">
        <is>
          <t>2021-12-31</t>
        </is>
      </c>
      <c r="N592" t="inlineStr">
        <is>
          <t>auto_ingest=who_gho; indicator=SDGSUICIDE; year=2021; country_proxy=South Korea</t>
        </is>
      </c>
    </row>
    <row r="593">
      <c r="A593" t="inlineStr">
        <is>
          <t>kr-suwon</t>
        </is>
      </c>
      <c r="B593" t="inlineStr">
        <is>
          <t>Suwon</t>
        </is>
      </c>
      <c r="C593" t="inlineStr">
        <is>
          <t>South Korea</t>
        </is>
      </c>
      <c r="D593" t="inlineStr">
        <is>
          <t>East Asia</t>
        </is>
      </c>
      <c r="E593" t="inlineStr">
        <is>
          <t>personal_safety_raw</t>
        </is>
      </c>
      <c r="F593" t="inlineStr">
        <is>
          <t>Personal safety raw</t>
        </is>
      </c>
      <c r="G593" t="inlineStr">
        <is>
          <t>viability</t>
        </is>
      </c>
      <c r="H593" t="inlineStr">
        <is>
          <t>yes</t>
        </is>
      </c>
      <c r="I593" t="inlineStr">
        <is>
          <t>0.48</t>
        </is>
      </c>
      <c r="J593" t="inlineStr">
        <is>
          <t>world_bank</t>
        </is>
      </c>
      <c r="K593" t="inlineStr">
        <is>
          <t>https://api.worldbank.org/v2/country/KOR/indicator/VC.IHR.PSRC.P5?format=json&amp;mrv=10</t>
        </is>
      </c>
      <c r="L593" t="inlineStr">
        <is>
          <t>UNODC via World Bank WDI: Intentional homicides (per 100,000 people)</t>
        </is>
      </c>
      <c r="M593" t="inlineStr">
        <is>
          <t>2023-12-31</t>
        </is>
      </c>
      <c r="N593" t="inlineStr">
        <is>
          <t>auto_ingest=unodc_safety; indicator=VC.IHR.PSRC.P5; year=2023; country_proxy=South Korea</t>
        </is>
      </c>
    </row>
    <row r="594">
      <c r="A594" t="inlineStr">
        <is>
          <t>kr-suwon</t>
        </is>
      </c>
      <c r="B594" t="inlineStr">
        <is>
          <t>Suwon</t>
        </is>
      </c>
      <c r="C594" t="inlineStr">
        <is>
          <t>South Korea</t>
        </is>
      </c>
      <c r="D594" t="inlineStr">
        <is>
          <t>East Asia</t>
        </is>
      </c>
      <c r="E594" t="inlineStr">
        <is>
          <t>transit_access_commute_raw</t>
        </is>
      </c>
      <c r="F594" t="inlineStr">
        <is>
          <t>Transit access and commute raw</t>
        </is>
      </c>
      <c r="G594" t="inlineStr">
        <is>
          <t>viability</t>
        </is>
      </c>
      <c r="H594" t="inlineStr">
        <is>
          <t>yes</t>
        </is>
      </c>
      <c r="I594" t="inlineStr"/>
      <c r="J594" t="inlineStr"/>
      <c r="K594" t="inlineStr"/>
      <c r="L594" t="inlineStr"/>
      <c r="M594" t="inlineStr"/>
      <c r="N594" t="inlineStr"/>
    </row>
    <row r="595">
      <c r="A595" t="inlineStr">
        <is>
          <t>kr-suwon</t>
        </is>
      </c>
      <c r="B595" t="inlineStr">
        <is>
          <t>Suwon</t>
        </is>
      </c>
      <c r="C595" t="inlineStr">
        <is>
          <t>South Korea</t>
        </is>
      </c>
      <c r="D595" t="inlineStr">
        <is>
          <t>East Asia</t>
        </is>
      </c>
      <c r="E595" t="inlineStr">
        <is>
          <t>clean_air_raw</t>
        </is>
      </c>
      <c r="F595" t="inlineStr">
        <is>
          <t>Clean air raw</t>
        </is>
      </c>
      <c r="G595" t="inlineStr">
        <is>
          <t>viability</t>
        </is>
      </c>
      <c r="H595" t="inlineStr">
        <is>
          <t>yes</t>
        </is>
      </c>
      <c r="I595" t="inlineStr">
        <is>
          <t>22.0</t>
        </is>
      </c>
      <c r="J595" t="inlineStr">
        <is>
          <t>wmo_natl_met</t>
        </is>
      </c>
      <c r="K595" t="inlineStr">
        <is>
          <t>https://worldweather.wmo.int</t>
        </is>
      </c>
      <c r="L595" t="inlineStr">
        <is>
          <t>Suwon PM2.5 annual mean</t>
        </is>
      </c>
      <c r="M595" t="inlineStr">
        <is>
          <t>2024-12-31</t>
        </is>
      </c>
      <c r="N595" t="inlineStr">
        <is>
          <t>city_level</t>
        </is>
      </c>
    </row>
    <row r="596">
      <c r="A596" t="inlineStr">
        <is>
          <t>kr-suwon</t>
        </is>
      </c>
      <c r="B596" t="inlineStr">
        <is>
          <t>Suwon</t>
        </is>
      </c>
      <c r="C596" t="inlineStr">
        <is>
          <t>South Korea</t>
        </is>
      </c>
      <c r="D596" t="inlineStr">
        <is>
          <t>East Asia</t>
        </is>
      </c>
      <c r="E596" t="inlineStr">
        <is>
          <t>water_sanitation_utility_raw</t>
        </is>
      </c>
      <c r="F596" t="inlineStr">
        <is>
          <t>Water, sanitation, and utility raw</t>
        </is>
      </c>
      <c r="G596" t="inlineStr">
        <is>
          <t>viability</t>
        </is>
      </c>
      <c r="H596" t="inlineStr">
        <is>
          <t>yes</t>
        </is>
      </c>
      <c r="I596" t="inlineStr">
        <is>
          <t>99.0</t>
        </is>
      </c>
      <c r="J596" t="inlineStr">
        <is>
          <t>who_unicef_jmp</t>
        </is>
      </c>
      <c r="K596" t="inlineStr">
        <is>
          <t>https://washdata.org</t>
        </is>
      </c>
      <c r="L596" t="inlineStr">
        <is>
          <t>JMP: South Korea safely managed water</t>
        </is>
      </c>
      <c r="M596" t="inlineStr">
        <is>
          <t>2023-12-31</t>
        </is>
      </c>
      <c r="N596" t="inlineStr">
        <is>
          <t>country_proxy=South Korea</t>
        </is>
      </c>
    </row>
    <row r="597">
      <c r="A597" t="inlineStr">
        <is>
          <t>kr-suwon</t>
        </is>
      </c>
      <c r="B597" t="inlineStr">
        <is>
          <t>Suwon</t>
        </is>
      </c>
      <c r="C597" t="inlineStr">
        <is>
          <t>South Korea</t>
        </is>
      </c>
      <c r="D597" t="inlineStr">
        <is>
          <t>East Asia</t>
        </is>
      </c>
      <c r="E597" t="inlineStr">
        <is>
          <t>digital_infrastructure_raw</t>
        </is>
      </c>
      <c r="F597" t="inlineStr">
        <is>
          <t>Digital infrastructure raw</t>
        </is>
      </c>
      <c r="G597" t="inlineStr">
        <is>
          <t>viability</t>
        </is>
      </c>
      <c r="H597" t="inlineStr">
        <is>
          <t>yes</t>
        </is>
      </c>
      <c r="I597" t="inlineStr">
        <is>
          <t>46.57</t>
        </is>
      </c>
      <c r="J597" t="inlineStr">
        <is>
          <t>world_bank</t>
        </is>
      </c>
      <c r="K597" t="inlineStr">
        <is>
          <t>https://api.worldbank.org/v2/country/KOR/indicator/IT.NET.BBND.P2?format=json&amp;mrv=10</t>
        </is>
      </c>
      <c r="L597" t="inlineStr">
        <is>
          <t>World Bank WDI: Fixed broadband subscriptions (per 100 people)</t>
        </is>
      </c>
      <c r="M597" t="inlineStr">
        <is>
          <t>2023-12-31</t>
        </is>
      </c>
      <c r="N597" t="inlineStr">
        <is>
          <t>auto_ingest=world_bank_proxy; indicator=IT.NET.BBND.P2; year=2023; country_proxy=South Korea</t>
        </is>
      </c>
    </row>
    <row r="598">
      <c r="A598" t="inlineStr">
        <is>
          <t>kr-suwon</t>
        </is>
      </c>
      <c r="B598" t="inlineStr">
        <is>
          <t>Suwon</t>
        </is>
      </c>
      <c r="C598" t="inlineStr">
        <is>
          <t>South Korea</t>
        </is>
      </c>
      <c r="D598" t="inlineStr">
        <is>
          <t>East Asia</t>
        </is>
      </c>
      <c r="E598" t="inlineStr">
        <is>
          <t>climate_sunlight_livability_raw</t>
        </is>
      </c>
      <c r="F598" t="inlineStr">
        <is>
          <t>Climate and sunlight livability raw</t>
        </is>
      </c>
      <c r="G598" t="inlineStr">
        <is>
          <t>viability</t>
        </is>
      </c>
      <c r="H598" t="inlineStr">
        <is>
          <t>yes</t>
        </is>
      </c>
      <c r="I598" t="inlineStr">
        <is>
          <t>60.0</t>
        </is>
      </c>
      <c r="J598" t="inlineStr">
        <is>
          <t>wmo_natl_met</t>
        </is>
      </c>
      <c r="K598" t="inlineStr">
        <is>
          <t>https://worldweather.wmo.int</t>
        </is>
      </c>
      <c r="L598" t="inlineStr">
        <is>
          <t>WMO: 2200 sun hrs, 13C mean, four seasons, better than Seoul</t>
        </is>
      </c>
      <c r="M598" t="inlineStr">
        <is>
          <t>2024-12-31</t>
        </is>
      </c>
      <c r="N598" t="inlineStr">
        <is>
          <t>city_level</t>
        </is>
      </c>
    </row>
    <row r="599">
      <c r="A599" t="inlineStr">
        <is>
          <t>kr-suwon</t>
        </is>
      </c>
      <c r="B599" t="inlineStr">
        <is>
          <t>Suwon</t>
        </is>
      </c>
      <c r="C599" t="inlineStr">
        <is>
          <t>South Korea</t>
        </is>
      </c>
      <c r="D599" t="inlineStr">
        <is>
          <t>East Asia</t>
        </is>
      </c>
      <c r="E599" t="inlineStr">
        <is>
          <t>healthcare_quality_raw</t>
        </is>
      </c>
      <c r="F599" t="inlineStr">
        <is>
          <t>Healthcare quality raw</t>
        </is>
      </c>
      <c r="G599" t="inlineStr">
        <is>
          <t>capability</t>
        </is>
      </c>
      <c r="H599" t="inlineStr">
        <is>
          <t>yes</t>
        </is>
      </c>
      <c r="I599" t="inlineStr">
        <is>
          <t>88.0</t>
        </is>
      </c>
      <c r="J599" t="inlineStr">
        <is>
          <t>who_gho</t>
        </is>
      </c>
      <c r="K599" t="inlineStr">
        <is>
          <t>https://www.who.int/data/gho/data/indicators/indicator-details/GHO/UHC_INDEX_REPORTED</t>
        </is>
      </c>
      <c r="L599" t="inlineStr">
        <is>
          <t>WHO GHO: UHC Service Coverage Index</t>
        </is>
      </c>
      <c r="M599" t="inlineStr">
        <is>
          <t>2023-12-31</t>
        </is>
      </c>
      <c r="N599" t="inlineStr">
        <is>
          <t>auto_ingest=who_gho; indicator=UHC_INDEX_REPORTED; year=2023; country_proxy=South Korea</t>
        </is>
      </c>
    </row>
    <row r="600">
      <c r="A600" t="inlineStr">
        <is>
          <t>kr-suwon</t>
        </is>
      </c>
      <c r="B600" t="inlineStr">
        <is>
          <t>Suwon</t>
        </is>
      </c>
      <c r="C600" t="inlineStr">
        <is>
          <t>South Korea</t>
        </is>
      </c>
      <c r="D600" t="inlineStr">
        <is>
          <t>East Asia</t>
        </is>
      </c>
      <c r="E600" t="inlineStr">
        <is>
          <t>education_quality_raw</t>
        </is>
      </c>
      <c r="F600" t="inlineStr">
        <is>
          <t>Education quality raw</t>
        </is>
      </c>
      <c r="G600" t="inlineStr">
        <is>
          <t>capability</t>
        </is>
      </c>
      <c r="H600" t="inlineStr">
        <is>
          <t>yes</t>
        </is>
      </c>
      <c r="I600" t="inlineStr">
        <is>
          <t>106.71</t>
        </is>
      </c>
      <c r="J600" t="inlineStr">
        <is>
          <t>world_bank</t>
        </is>
      </c>
      <c r="K600" t="inlineStr">
        <is>
          <t>https://api.worldbank.org/v2/country/KOR/indicator/SE.TER.ENRR?format=json&amp;mrv=10</t>
        </is>
      </c>
      <c r="L600" t="inlineStr">
        <is>
          <t>World Bank WDI: School enrollment, tertiary (% gross)</t>
        </is>
      </c>
      <c r="M600" t="inlineStr">
        <is>
          <t>2023-12-31</t>
        </is>
      </c>
      <c r="N600" t="inlineStr">
        <is>
          <t>auto_ingest=world_bank_proxy; indicator=SE.TER.ENRR; year=2023; country_proxy=South Korea</t>
        </is>
      </c>
    </row>
    <row r="601">
      <c r="A601" t="inlineStr">
        <is>
          <t>kr-suwon</t>
        </is>
      </c>
      <c r="B601" t="inlineStr">
        <is>
          <t>Suwon</t>
        </is>
      </c>
      <c r="C601" t="inlineStr">
        <is>
          <t>South Korea</t>
        </is>
      </c>
      <c r="D601" t="inlineStr">
        <is>
          <t>East Asia</t>
        </is>
      </c>
      <c r="E601" t="inlineStr">
        <is>
          <t>equal_opportunity_raw</t>
        </is>
      </c>
      <c r="F601" t="inlineStr">
        <is>
          <t>Equal opportunity raw</t>
        </is>
      </c>
      <c r="G601" t="inlineStr">
        <is>
          <t>capability</t>
        </is>
      </c>
      <c r="H601" t="inlineStr">
        <is>
          <t>yes</t>
        </is>
      </c>
      <c r="I601" t="inlineStr">
        <is>
          <t>32.9</t>
        </is>
      </c>
      <c r="J601" t="inlineStr">
        <is>
          <t>world_bank</t>
        </is>
      </c>
      <c r="K601" t="inlineStr">
        <is>
          <t>https://api.worldbank.org/v2/country/KOR/indicator/SI.POV.GINI?format=json&amp;mrv=10</t>
        </is>
      </c>
      <c r="L601" t="inlineStr">
        <is>
          <t>World Bank WDI: Gini index</t>
        </is>
      </c>
      <c r="M601" t="inlineStr">
        <is>
          <t>2021-12-31</t>
        </is>
      </c>
      <c r="N601" t="inlineStr">
        <is>
          <t>auto_ingest=world_bank_capability; indicator=SI.POV.GINI; year=2021; country_proxy=South Korea</t>
        </is>
      </c>
    </row>
    <row r="602">
      <c r="A602" t="inlineStr">
        <is>
          <t>kr-suwon</t>
        </is>
      </c>
      <c r="B602" t="inlineStr">
        <is>
          <t>Suwon</t>
        </is>
      </c>
      <c r="C602" t="inlineStr">
        <is>
          <t>South Korea</t>
        </is>
      </c>
      <c r="D602" t="inlineStr">
        <is>
          <t>East Asia</t>
        </is>
      </c>
      <c r="E602" t="inlineStr">
        <is>
          <t>hospitality_belonging_raw</t>
        </is>
      </c>
      <c r="F602" t="inlineStr">
        <is>
          <t>Hospitality and belonging raw</t>
        </is>
      </c>
      <c r="G602" t="inlineStr">
        <is>
          <t>community</t>
        </is>
      </c>
      <c r="H602" t="inlineStr">
        <is>
          <t>yes</t>
        </is>
      </c>
      <c r="I602" t="inlineStr">
        <is>
          <t>51.27</t>
        </is>
      </c>
      <c r="J602" t="inlineStr">
        <is>
          <t>world_bank</t>
        </is>
      </c>
      <c r="K602" t="inlineStr">
        <is>
          <t>https://api.worldbank.org/v2/country/KOR/indicator/SM.POP.NETM?format=json&amp;mrv=10</t>
        </is>
      </c>
      <c r="L602" t="inlineStr">
        <is>
          <t>World Bank WDI: Net migration (proxy for hospitality/belonging — positive = welcoming)</t>
        </is>
      </c>
      <c r="M602" t="inlineStr">
        <is>
          <t>2025-12-31</t>
        </is>
      </c>
      <c r="N602" t="inlineStr">
        <is>
          <t>auto_ingest=world_bank_proxy; proxy=net_migration_hospitality; indicator=SM.POP.NETM; year=2025; country_proxy=South Korea</t>
        </is>
      </c>
    </row>
    <row r="603">
      <c r="A603" t="inlineStr">
        <is>
          <t>kr-suwon</t>
        </is>
      </c>
      <c r="B603" t="inlineStr">
        <is>
          <t>Suwon</t>
        </is>
      </c>
      <c r="C603" t="inlineStr">
        <is>
          <t>South Korea</t>
        </is>
      </c>
      <c r="D603" t="inlineStr">
        <is>
          <t>East Asia</t>
        </is>
      </c>
      <c r="E603" t="inlineStr">
        <is>
          <t>tolerance_pluralism_raw</t>
        </is>
      </c>
      <c r="F603" t="inlineStr">
        <is>
          <t>Tolerance and pluralism raw</t>
        </is>
      </c>
      <c r="G603" t="inlineStr">
        <is>
          <t>community</t>
        </is>
      </c>
      <c r="H603" t="inlineStr">
        <is>
          <t>yes</t>
        </is>
      </c>
      <c r="I603" t="inlineStr">
        <is>
          <t>20.0</t>
        </is>
      </c>
      <c r="J603" t="inlineStr">
        <is>
          <t>world_bank</t>
        </is>
      </c>
      <c r="K603" t="inlineStr">
        <is>
          <t>https://api.worldbank.org/v2/country/KOR/indicator/SG.GEN.PARL.ZS?format=json&amp;mrv=10</t>
        </is>
      </c>
      <c r="L603" t="inlineStr">
        <is>
          <t>World Bank WDI: Proportion of seats held by women in national parliaments (%)</t>
        </is>
      </c>
      <c r="M603" t="inlineStr">
        <is>
          <t>2024-12-31</t>
        </is>
      </c>
      <c r="N603" t="inlineStr">
        <is>
          <t>auto_ingest=world_bank_proxy; proxy=gender_parity_parliament; indicator=SG.GEN.PARL.ZS; year=2024; country_proxy=South Korea</t>
        </is>
      </c>
    </row>
    <row r="604">
      <c r="A604" t="inlineStr">
        <is>
          <t>kr-suwon</t>
        </is>
      </c>
      <c r="B604" t="inlineStr">
        <is>
          <t>Suwon</t>
        </is>
      </c>
      <c r="C604" t="inlineStr">
        <is>
          <t>South Korea</t>
        </is>
      </c>
      <c r="D604" t="inlineStr">
        <is>
          <t>East Asia</t>
        </is>
      </c>
      <c r="E604" t="inlineStr">
        <is>
          <t>cultural_public_life_raw</t>
        </is>
      </c>
      <c r="F604" t="inlineStr">
        <is>
          <t>Cultural public life raw</t>
        </is>
      </c>
      <c r="G604" t="inlineStr">
        <is>
          <t>community</t>
        </is>
      </c>
      <c r="H604" t="inlineStr">
        <is>
          <t>yes</t>
        </is>
      </c>
      <c r="I604" t="inlineStr">
        <is>
          <t>65.0</t>
        </is>
      </c>
      <c r="J604" t="inlineStr">
        <is>
          <t>wmo_natl_met</t>
        </is>
      </c>
      <c r="K604" t="inlineStr">
        <is>
          <t>https://worldweather.wmo.int</t>
        </is>
      </c>
      <c r="L604" t="inlineStr">
        <is>
          <t>Hwaseong Fortress UNESCO, Samsung HQ city, Korean food culture</t>
        </is>
      </c>
      <c r="M604" t="inlineStr">
        <is>
          <t>2024-12-31</t>
        </is>
      </c>
      <c r="N604" t="inlineStr">
        <is>
          <t>manual_assessment</t>
        </is>
      </c>
    </row>
    <row r="605">
      <c r="A605" t="inlineStr">
        <is>
          <t>kr-suwon</t>
        </is>
      </c>
      <c r="B605" t="inlineStr">
        <is>
          <t>Suwon</t>
        </is>
      </c>
      <c r="C605" t="inlineStr">
        <is>
          <t>South Korea</t>
        </is>
      </c>
      <c r="D605" t="inlineStr">
        <is>
          <t>East Asia</t>
        </is>
      </c>
      <c r="E605" t="inlineStr">
        <is>
          <t>birth_rate_optimism_raw</t>
        </is>
      </c>
      <c r="F605" t="inlineStr">
        <is>
          <t>Birth rate and societal optimism raw</t>
        </is>
      </c>
      <c r="G605" t="inlineStr">
        <is>
          <t>community</t>
        </is>
      </c>
      <c r="H605" t="inlineStr">
        <is>
          <t>yes</t>
        </is>
      </c>
      <c r="I605" t="inlineStr">
        <is>
          <t>0.72</t>
        </is>
      </c>
      <c r="J605" t="inlineStr">
        <is>
          <t>world_bank</t>
        </is>
      </c>
      <c r="K605" t="inlineStr">
        <is>
          <t>https://data.worldbank.org/indicator/SP.DYN.TFRT.IN</t>
        </is>
      </c>
      <c r="L605" t="inlineStr">
        <is>
          <t>World Bank Total Fertility Rate 2023</t>
        </is>
      </c>
      <c r="M605" t="inlineStr">
        <is>
          <t>2024-01-01</t>
        </is>
      </c>
      <c r="N605" t="inlineStr"/>
    </row>
    <row r="606">
      <c r="A606" t="inlineStr">
        <is>
          <t>kr-suwon</t>
        </is>
      </c>
      <c r="B606" t="inlineStr">
        <is>
          <t>Suwon</t>
        </is>
      </c>
      <c r="C606" t="inlineStr">
        <is>
          <t>South Korea</t>
        </is>
      </c>
      <c r="D606" t="inlineStr">
        <is>
          <t>East Asia</t>
        </is>
      </c>
      <c r="E606" t="inlineStr">
        <is>
          <t>entrepreneurial_dynamism_raw</t>
        </is>
      </c>
      <c r="F606" t="inlineStr">
        <is>
          <t>Entrepreneurial dynamism raw</t>
        </is>
      </c>
      <c r="G606" t="inlineStr">
        <is>
          <t>creative</t>
        </is>
      </c>
      <c r="H606" t="inlineStr">
        <is>
          <t>yes</t>
        </is>
      </c>
      <c r="I606" t="inlineStr">
        <is>
          <t>3.09</t>
        </is>
      </c>
      <c r="J606" t="inlineStr">
        <is>
          <t>world_bank</t>
        </is>
      </c>
      <c r="K606" t="inlineStr">
        <is>
          <t>https://api.worldbank.org/v2/country/KOR/indicator/IC.BUS.NDNS.ZS?format=json&amp;mrv=10</t>
        </is>
      </c>
      <c r="L606" t="inlineStr">
        <is>
          <t>World Bank WDI: New business density (new registrations per 1,000 people ages 15-64)</t>
        </is>
      </c>
      <c r="M606" t="inlineStr">
        <is>
          <t>2022-12-31</t>
        </is>
      </c>
      <c r="N606" t="inlineStr">
        <is>
          <t>auto_ingest=world_bank_creative_extended; indicator=IC.BUS.NDNS.ZS; year=2022; country_proxy=South Korea</t>
        </is>
      </c>
    </row>
    <row r="607">
      <c r="A607" t="inlineStr">
        <is>
          <t>kr-suwon</t>
        </is>
      </c>
      <c r="B607" t="inlineStr">
        <is>
          <t>Suwon</t>
        </is>
      </c>
      <c r="C607" t="inlineStr">
        <is>
          <t>South Korea</t>
        </is>
      </c>
      <c r="D607" t="inlineStr">
        <is>
          <t>East Asia</t>
        </is>
      </c>
      <c r="E607" t="inlineStr">
        <is>
          <t>innovation_research_intensity_raw</t>
        </is>
      </c>
      <c r="F607" t="inlineStr">
        <is>
          <t>Innovation and research raw</t>
        </is>
      </c>
      <c r="G607" t="inlineStr">
        <is>
          <t>creative</t>
        </is>
      </c>
      <c r="H607" t="inlineStr">
        <is>
          <t>yes</t>
        </is>
      </c>
      <c r="I607" t="inlineStr">
        <is>
          <t>5.21</t>
        </is>
      </c>
      <c r="J607" t="inlineStr">
        <is>
          <t>world_bank</t>
        </is>
      </c>
      <c r="K607" t="inlineStr">
        <is>
          <t>https://api.worldbank.org/v2/country/KOR/indicator/GB.XPD.RSDV.GD.ZS?format=json&amp;mrv=10</t>
        </is>
      </c>
      <c r="L607" t="inlineStr">
        <is>
          <t>World Bank WDI: Research and development expenditure (% of GDP)</t>
        </is>
      </c>
      <c r="M607" t="inlineStr">
        <is>
          <t>2022-12-31</t>
        </is>
      </c>
      <c r="N607" t="inlineStr">
        <is>
          <t>auto_ingest=world_bank_creative_extended; indicator=GB.XPD.RSDV.GD.ZS; year=2022; country_proxy=South Korea</t>
        </is>
      </c>
    </row>
    <row r="608">
      <c r="A608" t="inlineStr">
        <is>
          <t>kr-suwon</t>
        </is>
      </c>
      <c r="B608" t="inlineStr">
        <is>
          <t>Suwon</t>
        </is>
      </c>
      <c r="C608" t="inlineStr">
        <is>
          <t>South Korea</t>
        </is>
      </c>
      <c r="D608" t="inlineStr">
        <is>
          <t>East Asia</t>
        </is>
      </c>
      <c r="E608" t="inlineStr">
        <is>
          <t>investment_signal_raw</t>
        </is>
      </c>
      <c r="F608" t="inlineStr">
        <is>
          <t>Investment signal raw</t>
        </is>
      </c>
      <c r="G608" t="inlineStr">
        <is>
          <t>creative</t>
        </is>
      </c>
      <c r="H608" t="inlineStr">
        <is>
          <t>yes</t>
        </is>
      </c>
      <c r="I608" t="inlineStr">
        <is>
          <t>0.81</t>
        </is>
      </c>
      <c r="J608" t="inlineStr">
        <is>
          <t>world_bank</t>
        </is>
      </c>
      <c r="K608" t="inlineStr">
        <is>
          <t>https://api.worldbank.org/v2/country/KOR/indicator/BX.KLT.DINV.WD.GD.ZS?format=json&amp;mrv=10</t>
        </is>
      </c>
      <c r="L608" t="inlineStr">
        <is>
          <t>World Bank WDI: Foreign direct investment, net inflows (% of GDP)</t>
        </is>
      </c>
      <c r="M608" t="inlineStr">
        <is>
          <t>2024-12-31</t>
        </is>
      </c>
      <c r="N608" t="inlineStr">
        <is>
          <t>auto_ingest=world_bank_creative_extended; indicator=BX.KLT.DINV.WD.GD.ZS; year=2024; country_proxy=South Korea</t>
        </is>
      </c>
    </row>
    <row r="609">
      <c r="A609" t="inlineStr">
        <is>
          <t>kr-suwon</t>
        </is>
      </c>
      <c r="B609" t="inlineStr">
        <is>
          <t>Suwon</t>
        </is>
      </c>
      <c r="C609" t="inlineStr">
        <is>
          <t>South Korea</t>
        </is>
      </c>
      <c r="D609" t="inlineStr">
        <is>
          <t>East Asia</t>
        </is>
      </c>
      <c r="E609" t="inlineStr">
        <is>
          <t>administrative_investment_friction_raw</t>
        </is>
      </c>
      <c r="F609" t="inlineStr">
        <is>
          <t>Administrative investment friction raw</t>
        </is>
      </c>
      <c r="G609" t="inlineStr">
        <is>
          <t>creative</t>
        </is>
      </c>
      <c r="H609" t="inlineStr">
        <is>
          <t>yes</t>
        </is>
      </c>
      <c r="I609" t="inlineStr">
        <is>
          <t>1.38</t>
        </is>
      </c>
      <c r="J609" t="inlineStr">
        <is>
          <t>world_bank</t>
        </is>
      </c>
      <c r="K609" t="inlineStr">
        <is>
          <t>https://api.worldbank.org/v2/country/KOR/indicator/RQ.EST?format=json&amp;mrv=10</t>
        </is>
      </c>
      <c r="L609" t="inlineStr">
        <is>
          <t>World Bank WGI: Regulatory Quality (inverted as friction proxy)</t>
        </is>
      </c>
      <c r="M609" t="inlineStr">
        <is>
          <t>2023-12-31</t>
        </is>
      </c>
      <c r="N609" t="inlineStr">
        <is>
          <t>auto_ingest=world_bank_business_friction; indicator=RQ.EST; raw_rq=1.122523188591; friction=1.38; year=2023; country_proxy=South Korea</t>
        </is>
      </c>
    </row>
    <row r="610">
      <c r="A610" t="inlineStr">
        <is>
          <t>kr-suwon</t>
        </is>
      </c>
      <c r="B610" t="inlineStr">
        <is>
          <t>Suwon</t>
        </is>
      </c>
      <c r="C610" t="inlineStr">
        <is>
          <t>South Korea</t>
        </is>
      </c>
      <c r="D610" t="inlineStr">
        <is>
          <t>East Asia</t>
        </is>
      </c>
      <c r="E610" t="inlineStr">
        <is>
          <t>visitor_flow_context_raw</t>
        </is>
      </c>
      <c r="F610" t="inlineStr">
        <is>
          <t>Visitor flow context raw</t>
        </is>
      </c>
      <c r="G610" t="inlineStr">
        <is>
          <t>creative</t>
        </is>
      </c>
      <c r="H610" t="inlineStr">
        <is>
          <t>no</t>
        </is>
      </c>
      <c r="I610" t="inlineStr"/>
      <c r="J610" t="inlineStr"/>
      <c r="K610" t="inlineStr"/>
      <c r="L610" t="inlineStr"/>
      <c r="M610" t="inlineStr"/>
      <c r="N610" t="inlineStr"/>
    </row>
    <row r="611">
      <c r="A611" t="inlineStr">
        <is>
          <t>kr-jeju-city</t>
        </is>
      </c>
      <c r="B611" t="inlineStr">
        <is>
          <t>Jeju City</t>
        </is>
      </c>
      <c r="C611" t="inlineStr">
        <is>
          <t>South Korea</t>
        </is>
      </c>
      <c r="D611" t="inlineStr">
        <is>
          <t>East Asia</t>
        </is>
      </c>
      <c r="E611" t="inlineStr">
        <is>
          <t>gross_income</t>
        </is>
      </c>
      <c r="F611" t="inlineStr">
        <is>
          <t>Gross income</t>
        </is>
      </c>
      <c r="G611" t="inlineStr">
        <is>
          <t>pressure</t>
        </is>
      </c>
      <c r="H611" t="inlineStr">
        <is>
          <t>yes</t>
        </is>
      </c>
      <c r="I611" t="inlineStr">
        <is>
          <t>5160.83</t>
        </is>
      </c>
      <c r="J611" t="inlineStr">
        <is>
          <t>world_bank_col_estimate</t>
        </is>
      </c>
      <c r="K611" t="inlineStr">
        <is>
          <t>https://api.worldbank.org/v2/country/KOR/indicator/NY.GNP.PCAP.PP.CD?format=json&amp;mrv=10</t>
        </is>
      </c>
      <c r="L611" t="inlineStr">
        <is>
          <t>World Bank WDI: GNI per capita PPP (monthly USD)</t>
        </is>
      </c>
      <c r="M611" t="inlineStr">
        <is>
          <t>2024-12-31</t>
        </is>
      </c>
      <c r="N611" t="inlineStr">
        <is>
          <t>auto_ingest=world_bank_col_estimate; gni_annual=61930.0; year=2024; country_proxy=South Korea; cohort=East Asia</t>
        </is>
      </c>
    </row>
    <row r="612">
      <c r="A612" t="inlineStr">
        <is>
          <t>kr-jeju-city</t>
        </is>
      </c>
      <c r="B612" t="inlineStr">
        <is>
          <t>Jeju City</t>
        </is>
      </c>
      <c r="C612" t="inlineStr">
        <is>
          <t>South Korea</t>
        </is>
      </c>
      <c r="D612" t="inlineStr">
        <is>
          <t>East Asia</t>
        </is>
      </c>
      <c r="E612" t="inlineStr">
        <is>
          <t>di_ppp_raw</t>
        </is>
      </c>
      <c r="F612" t="inlineStr">
        <is>
          <t>Disposable income PPP (Raw)</t>
        </is>
      </c>
      <c r="G612" t="inlineStr">
        <is>
          <t>pressure</t>
        </is>
      </c>
      <c r="H612" t="inlineStr">
        <is>
          <t>yes</t>
        </is>
      </c>
      <c r="I612" t="inlineStr"/>
      <c r="J612" t="inlineStr"/>
      <c r="K612" t="inlineStr"/>
      <c r="L612" t="inlineStr"/>
      <c r="M612" t="inlineStr"/>
      <c r="N612" t="inlineStr"/>
    </row>
    <row r="613">
      <c r="A613" t="inlineStr">
        <is>
          <t>kr-jeju-city</t>
        </is>
      </c>
      <c r="B613" t="inlineStr">
        <is>
          <t>Jeju City</t>
        </is>
      </c>
      <c r="C613" t="inlineStr">
        <is>
          <t>South Korea</t>
        </is>
      </c>
      <c r="D613" t="inlineStr">
        <is>
          <t>East Asia</t>
        </is>
      </c>
      <c r="E613" t="inlineStr">
        <is>
          <t>rent</t>
        </is>
      </c>
      <c r="F613" t="inlineStr">
        <is>
          <t>Rent</t>
        </is>
      </c>
      <c r="G613" t="inlineStr">
        <is>
          <t>pressure</t>
        </is>
      </c>
      <c r="H613" t="inlineStr">
        <is>
          <t>yes</t>
        </is>
      </c>
      <c r="I613" t="inlineStr">
        <is>
          <t>1096.68</t>
        </is>
      </c>
      <c r="J613" t="inlineStr">
        <is>
          <t>world_bank_col_estimate</t>
        </is>
      </c>
      <c r="K613" t="inlineStr">
        <is>
          <t>https://api.worldbank.org/v2/country/KOR/indicator/NY.GNP.PCAP.PP.CD?format=json&amp;mrv=10</t>
        </is>
      </c>
      <c r="L613" t="inlineStr">
        <is>
          <t>World Bank GNI + regional expenditure ratio estimate</t>
        </is>
      </c>
      <c r="M613" t="inlineStr">
        <is>
          <t>2024-12-31</t>
        </is>
      </c>
      <c r="N613" t="inlineStr">
        <is>
          <t>auto_ingest=world_bank_col_estimate; gni_annual=61930.0; year=2024; country_proxy=South Korea; cohort=East Asia; city_cost_mult=0.85</t>
        </is>
      </c>
    </row>
    <row r="614">
      <c r="A614" t="inlineStr">
        <is>
          <t>kr-jeju-city</t>
        </is>
      </c>
      <c r="B614" t="inlineStr">
        <is>
          <t>Jeju City</t>
        </is>
      </c>
      <c r="C614" t="inlineStr">
        <is>
          <t>South Korea</t>
        </is>
      </c>
      <c r="D614" t="inlineStr">
        <is>
          <t>East Asia</t>
        </is>
      </c>
      <c r="E614" t="inlineStr">
        <is>
          <t>utilities</t>
        </is>
      </c>
      <c r="F614" t="inlineStr">
        <is>
          <t>Utilities</t>
        </is>
      </c>
      <c r="G614" t="inlineStr">
        <is>
          <t>pressure</t>
        </is>
      </c>
      <c r="H614" t="inlineStr">
        <is>
          <t>yes</t>
        </is>
      </c>
      <c r="I614" t="inlineStr">
        <is>
          <t>263.2</t>
        </is>
      </c>
      <c r="J614" t="inlineStr">
        <is>
          <t>world_bank_col_estimate</t>
        </is>
      </c>
      <c r="K614" t="inlineStr">
        <is>
          <t>https://api.worldbank.org/v2/country/KOR/indicator/NY.GNP.PCAP.PP.CD?format=json&amp;mrv=10</t>
        </is>
      </c>
      <c r="L614" t="inlineStr">
        <is>
          <t>World Bank GNI + regional expenditure ratio estimate</t>
        </is>
      </c>
      <c r="M614" t="inlineStr">
        <is>
          <t>2024-12-31</t>
        </is>
      </c>
      <c r="N614" t="inlineStr">
        <is>
          <t>auto_ingest=world_bank_col_estimate; gni_annual=61930.0; year=2024; country_proxy=South Korea; cohort=East Asia; city_cost_mult=0.85</t>
        </is>
      </c>
    </row>
    <row r="615">
      <c r="A615" t="inlineStr">
        <is>
          <t>kr-jeju-city</t>
        </is>
      </c>
      <c r="B615" t="inlineStr">
        <is>
          <t>Jeju City</t>
        </is>
      </c>
      <c r="C615" t="inlineStr">
        <is>
          <t>South Korea</t>
        </is>
      </c>
      <c r="D615" t="inlineStr">
        <is>
          <t>East Asia</t>
        </is>
      </c>
      <c r="E615" t="inlineStr">
        <is>
          <t>transit_cost</t>
        </is>
      </c>
      <c r="F615" t="inlineStr">
        <is>
          <t>Transit cost</t>
        </is>
      </c>
      <c r="G615" t="inlineStr">
        <is>
          <t>pressure</t>
        </is>
      </c>
      <c r="H615" t="inlineStr">
        <is>
          <t>yes</t>
        </is>
      </c>
      <c r="I615" t="inlineStr">
        <is>
          <t>175.47</t>
        </is>
      </c>
      <c r="J615" t="inlineStr">
        <is>
          <t>world_bank_col_estimate</t>
        </is>
      </c>
      <c r="K615" t="inlineStr">
        <is>
          <t>https://api.worldbank.org/v2/country/KOR/indicator/NY.GNP.PCAP.PP.CD?format=json&amp;mrv=10</t>
        </is>
      </c>
      <c r="L615" t="inlineStr">
        <is>
          <t>World Bank GNI + regional expenditure ratio estimate</t>
        </is>
      </c>
      <c r="M615" t="inlineStr">
        <is>
          <t>2024-12-31</t>
        </is>
      </c>
      <c r="N615" t="inlineStr">
        <is>
          <t>auto_ingest=world_bank_col_estimate; gni_annual=61930.0; year=2024; country_proxy=South Korea; cohort=East Asia; city_cost_mult=0.85</t>
        </is>
      </c>
    </row>
    <row r="616">
      <c r="A616" t="inlineStr">
        <is>
          <t>kr-jeju-city</t>
        </is>
      </c>
      <c r="B616" t="inlineStr">
        <is>
          <t>Jeju City</t>
        </is>
      </c>
      <c r="C616" t="inlineStr">
        <is>
          <t>South Korea</t>
        </is>
      </c>
      <c r="D616" t="inlineStr">
        <is>
          <t>East Asia</t>
        </is>
      </c>
      <c r="E616" t="inlineStr">
        <is>
          <t>internet_cost</t>
        </is>
      </c>
      <c r="F616" t="inlineStr">
        <is>
          <t>Internet cost</t>
        </is>
      </c>
      <c r="G616" t="inlineStr">
        <is>
          <t>pressure</t>
        </is>
      </c>
      <c r="H616" t="inlineStr">
        <is>
          <t>yes</t>
        </is>
      </c>
      <c r="I616" t="inlineStr">
        <is>
          <t>65.8</t>
        </is>
      </c>
      <c r="J616" t="inlineStr">
        <is>
          <t>world_bank_col_estimate</t>
        </is>
      </c>
      <c r="K616" t="inlineStr">
        <is>
          <t>https://api.worldbank.org/v2/country/KOR/indicator/NY.GNP.PCAP.PP.CD?format=json&amp;mrv=10</t>
        </is>
      </c>
      <c r="L616" t="inlineStr">
        <is>
          <t>World Bank GNI + regional expenditure ratio estimate</t>
        </is>
      </c>
      <c r="M616" t="inlineStr">
        <is>
          <t>2024-12-31</t>
        </is>
      </c>
      <c r="N616" t="inlineStr">
        <is>
          <t>auto_ingest=world_bank_col_estimate; gni_annual=61930.0; year=2024; country_proxy=South Korea; cohort=East Asia; city_cost_mult=0.85</t>
        </is>
      </c>
    </row>
    <row r="617">
      <c r="A617" t="inlineStr">
        <is>
          <t>kr-jeju-city</t>
        </is>
      </c>
      <c r="B617" t="inlineStr">
        <is>
          <t>Jeju City</t>
        </is>
      </c>
      <c r="C617" t="inlineStr">
        <is>
          <t>South Korea</t>
        </is>
      </c>
      <c r="D617" t="inlineStr">
        <is>
          <t>East Asia</t>
        </is>
      </c>
      <c r="E617" t="inlineStr">
        <is>
          <t>food_cost</t>
        </is>
      </c>
      <c r="F617" t="inlineStr">
        <is>
          <t>Food cost</t>
        </is>
      </c>
      <c r="G617" t="inlineStr">
        <is>
          <t>pressure</t>
        </is>
      </c>
      <c r="H617" t="inlineStr">
        <is>
          <t>yes</t>
        </is>
      </c>
      <c r="I617" t="inlineStr">
        <is>
          <t>877.34</t>
        </is>
      </c>
      <c r="J617" t="inlineStr">
        <is>
          <t>world_bank_col_estimate</t>
        </is>
      </c>
      <c r="K617" t="inlineStr">
        <is>
          <t>https://api.worldbank.org/v2/country/KOR/indicator/NY.GNP.PCAP.PP.CD?format=json&amp;mrv=10</t>
        </is>
      </c>
      <c r="L617" t="inlineStr">
        <is>
          <t>World Bank GNI + regional expenditure ratio estimate</t>
        </is>
      </c>
      <c r="M617" t="inlineStr">
        <is>
          <t>2024-12-31</t>
        </is>
      </c>
      <c r="N617" t="inlineStr">
        <is>
          <t>auto_ingest=world_bank_col_estimate; gni_annual=61930.0; year=2024; country_proxy=South Korea; cohort=East Asia; city_cost_mult=0.85</t>
        </is>
      </c>
    </row>
    <row r="618">
      <c r="A618" t="inlineStr">
        <is>
          <t>kr-jeju-city</t>
        </is>
      </c>
      <c r="B618" t="inlineStr">
        <is>
          <t>Jeju City</t>
        </is>
      </c>
      <c r="C618" t="inlineStr">
        <is>
          <t>South Korea</t>
        </is>
      </c>
      <c r="D618" t="inlineStr">
        <is>
          <t>East Asia</t>
        </is>
      </c>
      <c r="E618" t="inlineStr">
        <is>
          <t>housing_burden_raw</t>
        </is>
      </c>
      <c r="F618" t="inlineStr">
        <is>
          <t>Housing burden raw</t>
        </is>
      </c>
      <c r="G618" t="inlineStr">
        <is>
          <t>pressure</t>
        </is>
      </c>
      <c r="H618" t="inlineStr">
        <is>
          <t>yes</t>
        </is>
      </c>
      <c r="I618" t="inlineStr">
        <is>
          <t>21.2501</t>
        </is>
      </c>
      <c r="J618" t="inlineStr">
        <is>
          <t>derived</t>
        </is>
      </c>
      <c r="K618" t="inlineStr">
        <is>
          <t>https://data.worldbank.org/indicator/NY.GNP.PCAP.PP.CD</t>
        </is>
      </c>
      <c r="L618" t="inlineStr">
        <is>
          <t>Computed from city_inputs + country_context</t>
        </is>
      </c>
      <c r="M618" t="inlineStr">
        <is>
          <t>2024-01-01</t>
        </is>
      </c>
      <c r="N618" t="inlineStr">
        <is>
          <t>derived=rent/gross_income*100</t>
        </is>
      </c>
    </row>
    <row r="619">
      <c r="A619" t="inlineStr">
        <is>
          <t>kr-jeju-city</t>
        </is>
      </c>
      <c r="B619" t="inlineStr">
        <is>
          <t>Jeju City</t>
        </is>
      </c>
      <c r="C619" t="inlineStr">
        <is>
          <t>South Korea</t>
        </is>
      </c>
      <c r="D619" t="inlineStr">
        <is>
          <t>East Asia</t>
        </is>
      </c>
      <c r="E619" t="inlineStr">
        <is>
          <t>household_debt_burden_raw</t>
        </is>
      </c>
      <c r="F619" t="inlineStr">
        <is>
          <t>Household debt burden raw</t>
        </is>
      </c>
      <c r="G619" t="inlineStr">
        <is>
          <t>pressure</t>
        </is>
      </c>
      <c r="H619" t="inlineStr">
        <is>
          <t>yes</t>
        </is>
      </c>
      <c r="I619" t="inlineStr">
        <is>
          <t>160.3472</t>
        </is>
      </c>
      <c r="J619" t="inlineStr">
        <is>
          <t>derived</t>
        </is>
      </c>
      <c r="K619" t="inlineStr">
        <is>
          <t>https://data.worldbank.org/indicator/NY.GNP.PCAP.PP.CD</t>
        </is>
      </c>
      <c r="L619" t="inlineStr">
        <is>
          <t>Computed from city_inputs + country_context</t>
        </is>
      </c>
      <c r="M619" t="inlineStr">
        <is>
          <t>2024-01-01</t>
        </is>
      </c>
      <c r="N619" t="inlineStr">
        <is>
          <t>derived=country_context.household_debt_proxy; country=South Korea</t>
        </is>
      </c>
    </row>
    <row r="620">
      <c r="A620" t="inlineStr">
        <is>
          <t>kr-jeju-city</t>
        </is>
      </c>
      <c r="B620" t="inlineStr">
        <is>
          <t>Jeju City</t>
        </is>
      </c>
      <c r="C620" t="inlineStr">
        <is>
          <t>South Korea</t>
        </is>
      </c>
      <c r="D620" t="inlineStr">
        <is>
          <t>East Asia</t>
        </is>
      </c>
      <c r="E620" t="inlineStr">
        <is>
          <t>working_time_pressure_raw</t>
        </is>
      </c>
      <c r="F620" t="inlineStr">
        <is>
          <t>Working time pressure raw</t>
        </is>
      </c>
      <c r="G620" t="inlineStr">
        <is>
          <t>pressure</t>
        </is>
      </c>
      <c r="H620" t="inlineStr">
        <is>
          <t>yes</t>
        </is>
      </c>
      <c r="I620" t="inlineStr">
        <is>
          <t>38.49</t>
        </is>
      </c>
      <c r="J620" t="inlineStr">
        <is>
          <t>ilo_ilostat</t>
        </is>
      </c>
      <c r="K620" t="inlineStr">
        <is>
          <t>https://ilostat.ilo.org/data/indicator/?id=HOW_TEMP_SEX_ECO_NB_A&amp;ref_area=KOR</t>
        </is>
      </c>
      <c r="L620" t="inlineStr">
        <is>
          <t>ILO ILOSTAT: Mean weekly hours actually worked per employed person</t>
        </is>
      </c>
      <c r="M620" t="inlineStr">
        <is>
          <t>2025-12-31</t>
        </is>
      </c>
      <c r="N620" t="inlineStr">
        <is>
          <t>auto_ingest=ilo_working_hours; indicator=HOW_TEMP_SEX_ECO_NB_A; year=2025; hours=38.49; country_proxy=South Korea</t>
        </is>
      </c>
    </row>
    <row r="621">
      <c r="A621" t="inlineStr">
        <is>
          <t>kr-jeju-city</t>
        </is>
      </c>
      <c r="B621" t="inlineStr">
        <is>
          <t>Jeju City</t>
        </is>
      </c>
      <c r="C621" t="inlineStr">
        <is>
          <t>South Korea</t>
        </is>
      </c>
      <c r="D621" t="inlineStr">
        <is>
          <t>East Asia</t>
        </is>
      </c>
      <c r="E621" t="inlineStr">
        <is>
          <t>suicide_mental_strain_raw</t>
        </is>
      </c>
      <c r="F621" t="inlineStr">
        <is>
          <t>Suicide or mental strain raw</t>
        </is>
      </c>
      <c r="G621" t="inlineStr">
        <is>
          <t>pressure</t>
        </is>
      </c>
      <c r="H621" t="inlineStr">
        <is>
          <t>yes</t>
        </is>
      </c>
      <c r="I621" t="inlineStr">
        <is>
          <t>27.53</t>
        </is>
      </c>
      <c r="J621" t="inlineStr">
        <is>
          <t>who_gho</t>
        </is>
      </c>
      <c r="K621" t="inlineStr">
        <is>
          <t>https://www.who.int/data/gho/data/indicators/indicator-details/GHO/SDGSUICIDE</t>
        </is>
      </c>
      <c r="L621" t="inlineStr">
        <is>
          <t>WHO GHO: Age-standardized suicide rate (per 100,000 population)</t>
        </is>
      </c>
      <c r="M621" t="inlineStr">
        <is>
          <t>2021-12-31</t>
        </is>
      </c>
      <c r="N621" t="inlineStr">
        <is>
          <t>auto_ingest=who_gho; indicator=SDGSUICIDE; year=2021; country_proxy=South Korea</t>
        </is>
      </c>
    </row>
    <row r="622">
      <c r="A622" t="inlineStr">
        <is>
          <t>kr-jeju-city</t>
        </is>
      </c>
      <c r="B622" t="inlineStr">
        <is>
          <t>Jeju City</t>
        </is>
      </c>
      <c r="C622" t="inlineStr">
        <is>
          <t>South Korea</t>
        </is>
      </c>
      <c r="D622" t="inlineStr">
        <is>
          <t>East Asia</t>
        </is>
      </c>
      <c r="E622" t="inlineStr">
        <is>
          <t>personal_safety_raw</t>
        </is>
      </c>
      <c r="F622" t="inlineStr">
        <is>
          <t>Personal safety raw</t>
        </is>
      </c>
      <c r="G622" t="inlineStr">
        <is>
          <t>viability</t>
        </is>
      </c>
      <c r="H622" t="inlineStr">
        <is>
          <t>yes</t>
        </is>
      </c>
      <c r="I622" t="inlineStr">
        <is>
          <t>0.48</t>
        </is>
      </c>
      <c r="J622" t="inlineStr">
        <is>
          <t>world_bank</t>
        </is>
      </c>
      <c r="K622" t="inlineStr">
        <is>
          <t>https://api.worldbank.org/v2/country/KOR/indicator/VC.IHR.PSRC.P5?format=json&amp;mrv=10</t>
        </is>
      </c>
      <c r="L622" t="inlineStr">
        <is>
          <t>UNODC via World Bank WDI: Intentional homicides (per 100,000 people)</t>
        </is>
      </c>
      <c r="M622" t="inlineStr">
        <is>
          <t>2023-12-31</t>
        </is>
      </c>
      <c r="N622" t="inlineStr">
        <is>
          <t>auto_ingest=unodc_safety; indicator=VC.IHR.PSRC.P5; year=2023; country_proxy=South Korea</t>
        </is>
      </c>
    </row>
    <row r="623">
      <c r="A623" t="inlineStr">
        <is>
          <t>kr-jeju-city</t>
        </is>
      </c>
      <c r="B623" t="inlineStr">
        <is>
          <t>Jeju City</t>
        </is>
      </c>
      <c r="C623" t="inlineStr">
        <is>
          <t>South Korea</t>
        </is>
      </c>
      <c r="D623" t="inlineStr">
        <is>
          <t>East Asia</t>
        </is>
      </c>
      <c r="E623" t="inlineStr">
        <is>
          <t>transit_access_commute_raw</t>
        </is>
      </c>
      <c r="F623" t="inlineStr">
        <is>
          <t>Transit access and commute raw</t>
        </is>
      </c>
      <c r="G623" t="inlineStr">
        <is>
          <t>viability</t>
        </is>
      </c>
      <c r="H623" t="inlineStr">
        <is>
          <t>yes</t>
        </is>
      </c>
      <c r="I623" t="inlineStr"/>
      <c r="J623" t="inlineStr"/>
      <c r="K623" t="inlineStr"/>
      <c r="L623" t="inlineStr"/>
      <c r="M623" t="inlineStr"/>
      <c r="N623" t="inlineStr"/>
    </row>
    <row r="624">
      <c r="A624" t="inlineStr">
        <is>
          <t>kr-jeju-city</t>
        </is>
      </c>
      <c r="B624" t="inlineStr">
        <is>
          <t>Jeju City</t>
        </is>
      </c>
      <c r="C624" t="inlineStr">
        <is>
          <t>South Korea</t>
        </is>
      </c>
      <c r="D624" t="inlineStr">
        <is>
          <t>East Asia</t>
        </is>
      </c>
      <c r="E624" t="inlineStr">
        <is>
          <t>clean_air_raw</t>
        </is>
      </c>
      <c r="F624" t="inlineStr">
        <is>
          <t>Clean air raw</t>
        </is>
      </c>
      <c r="G624" t="inlineStr">
        <is>
          <t>viability</t>
        </is>
      </c>
      <c r="H624" t="inlineStr">
        <is>
          <t>yes</t>
        </is>
      </c>
      <c r="I624" t="inlineStr"/>
      <c r="J624" t="inlineStr"/>
      <c r="K624" t="inlineStr"/>
      <c r="L624" t="inlineStr"/>
      <c r="M624" t="inlineStr"/>
      <c r="N624" t="inlineStr"/>
    </row>
    <row r="625">
      <c r="A625" t="inlineStr">
        <is>
          <t>kr-jeju-city</t>
        </is>
      </c>
      <c r="B625" t="inlineStr">
        <is>
          <t>Jeju City</t>
        </is>
      </c>
      <c r="C625" t="inlineStr">
        <is>
          <t>South Korea</t>
        </is>
      </c>
      <c r="D625" t="inlineStr">
        <is>
          <t>East Asia</t>
        </is>
      </c>
      <c r="E625" t="inlineStr">
        <is>
          <t>water_sanitation_utility_raw</t>
        </is>
      </c>
      <c r="F625" t="inlineStr">
        <is>
          <t>Water, sanitation, and utility raw</t>
        </is>
      </c>
      <c r="G625" t="inlineStr">
        <is>
          <t>viability</t>
        </is>
      </c>
      <c r="H625" t="inlineStr">
        <is>
          <t>yes</t>
        </is>
      </c>
      <c r="I625" t="inlineStr">
        <is>
          <t>99.28</t>
        </is>
      </c>
      <c r="J625" t="inlineStr">
        <is>
          <t>world_bank</t>
        </is>
      </c>
      <c r="K625" t="inlineStr">
        <is>
          <t>https://api.worldbank.org/v2/country/KOR/indicator/SH.H2O.SMDW.ZS?format=json&amp;mrv=10</t>
        </is>
      </c>
      <c r="L625" t="inlineStr">
        <is>
          <t>World Bank WDI: People using safely managed drinking water services (% of population)</t>
        </is>
      </c>
      <c r="M625" t="inlineStr">
        <is>
          <t>2024-12-31</t>
        </is>
      </c>
      <c r="N625" t="inlineStr">
        <is>
          <t>auto_ingest=world_bank_proxy; indicator=SH.H2O.SMDW.ZS; year=2024; country_proxy=South Korea</t>
        </is>
      </c>
    </row>
    <row r="626">
      <c r="A626" t="inlineStr">
        <is>
          <t>kr-jeju-city</t>
        </is>
      </c>
      <c r="B626" t="inlineStr">
        <is>
          <t>Jeju City</t>
        </is>
      </c>
      <c r="C626" t="inlineStr">
        <is>
          <t>South Korea</t>
        </is>
      </c>
      <c r="D626" t="inlineStr">
        <is>
          <t>East Asia</t>
        </is>
      </c>
      <c r="E626" t="inlineStr">
        <is>
          <t>digital_infrastructure_raw</t>
        </is>
      </c>
      <c r="F626" t="inlineStr">
        <is>
          <t>Digital infrastructure raw</t>
        </is>
      </c>
      <c r="G626" t="inlineStr">
        <is>
          <t>viability</t>
        </is>
      </c>
      <c r="H626" t="inlineStr">
        <is>
          <t>yes</t>
        </is>
      </c>
      <c r="I626" t="inlineStr">
        <is>
          <t>46.57</t>
        </is>
      </c>
      <c r="J626" t="inlineStr">
        <is>
          <t>world_bank</t>
        </is>
      </c>
      <c r="K626" t="inlineStr">
        <is>
          <t>https://api.worldbank.org/v2/country/KOR/indicator/IT.NET.BBND.P2?format=json&amp;mrv=10</t>
        </is>
      </c>
      <c r="L626" t="inlineStr">
        <is>
          <t>World Bank WDI: Fixed broadband subscriptions (per 100 people)</t>
        </is>
      </c>
      <c r="M626" t="inlineStr">
        <is>
          <t>2023-12-31</t>
        </is>
      </c>
      <c r="N626" t="inlineStr">
        <is>
          <t>auto_ingest=world_bank_proxy; indicator=IT.NET.BBND.P2; year=2023; country_proxy=South Korea</t>
        </is>
      </c>
    </row>
    <row r="627">
      <c r="A627" t="inlineStr">
        <is>
          <t>kr-jeju-city</t>
        </is>
      </c>
      <c r="B627" t="inlineStr">
        <is>
          <t>Jeju City</t>
        </is>
      </c>
      <c r="C627" t="inlineStr">
        <is>
          <t>South Korea</t>
        </is>
      </c>
      <c r="D627" t="inlineStr">
        <is>
          <t>East Asia</t>
        </is>
      </c>
      <c r="E627" t="inlineStr">
        <is>
          <t>climate_sunlight_livability_raw</t>
        </is>
      </c>
      <c r="F627" t="inlineStr">
        <is>
          <t>Climate and sunlight livability raw</t>
        </is>
      </c>
      <c r="G627" t="inlineStr">
        <is>
          <t>viability</t>
        </is>
      </c>
      <c r="H627" t="inlineStr">
        <is>
          <t>yes</t>
        </is>
      </c>
      <c r="I627" t="inlineStr">
        <is>
          <t>60</t>
        </is>
      </c>
      <c r="J627" t="inlineStr">
        <is>
          <t>wmo_natl_met</t>
        </is>
      </c>
      <c r="K627" t="inlineStr">
        <is>
          <t>https://worldweather.wmo.int</t>
        </is>
      </c>
      <c r="L627" t="inlineStr">
        <is>
          <t>WMO/National Met: Climate livability composite</t>
        </is>
      </c>
      <c r="M627" t="inlineStr">
        <is>
          <t>2024-12-31</t>
        </is>
      </c>
      <c r="N627" t="inlineStr">
        <is>
          <t>auto_seed=climate_composite; 1700 sun hrs, 16C mean, windy</t>
        </is>
      </c>
    </row>
    <row r="628">
      <c r="A628" t="inlineStr">
        <is>
          <t>kr-jeju-city</t>
        </is>
      </c>
      <c r="B628" t="inlineStr">
        <is>
          <t>Jeju City</t>
        </is>
      </c>
      <c r="C628" t="inlineStr">
        <is>
          <t>South Korea</t>
        </is>
      </c>
      <c r="D628" t="inlineStr">
        <is>
          <t>East Asia</t>
        </is>
      </c>
      <c r="E628" t="inlineStr">
        <is>
          <t>healthcare_quality_raw</t>
        </is>
      </c>
      <c r="F628" t="inlineStr">
        <is>
          <t>Healthcare quality raw</t>
        </is>
      </c>
      <c r="G628" t="inlineStr">
        <is>
          <t>capability</t>
        </is>
      </c>
      <c r="H628" t="inlineStr">
        <is>
          <t>yes</t>
        </is>
      </c>
      <c r="I628" t="inlineStr">
        <is>
          <t>88.0</t>
        </is>
      </c>
      <c r="J628" t="inlineStr">
        <is>
          <t>who_gho</t>
        </is>
      </c>
      <c r="K628" t="inlineStr">
        <is>
          <t>https://www.who.int/data/gho/data/indicators/indicator-details/GHO/UHC_INDEX_REPORTED</t>
        </is>
      </c>
      <c r="L628" t="inlineStr">
        <is>
          <t>WHO GHO: UHC Service Coverage Index</t>
        </is>
      </c>
      <c r="M628" t="inlineStr">
        <is>
          <t>2023-12-31</t>
        </is>
      </c>
      <c r="N628" t="inlineStr">
        <is>
          <t>auto_ingest=who_gho; indicator=UHC_INDEX_REPORTED; year=2023; country_proxy=South Korea</t>
        </is>
      </c>
    </row>
    <row r="629">
      <c r="A629" t="inlineStr">
        <is>
          <t>kr-jeju-city</t>
        </is>
      </c>
      <c r="B629" t="inlineStr">
        <is>
          <t>Jeju City</t>
        </is>
      </c>
      <c r="C629" t="inlineStr">
        <is>
          <t>South Korea</t>
        </is>
      </c>
      <c r="D629" t="inlineStr">
        <is>
          <t>East Asia</t>
        </is>
      </c>
      <c r="E629" t="inlineStr">
        <is>
          <t>education_quality_raw</t>
        </is>
      </c>
      <c r="F629" t="inlineStr">
        <is>
          <t>Education quality raw</t>
        </is>
      </c>
      <c r="G629" t="inlineStr">
        <is>
          <t>capability</t>
        </is>
      </c>
      <c r="H629" t="inlineStr">
        <is>
          <t>yes</t>
        </is>
      </c>
      <c r="I629" t="inlineStr">
        <is>
          <t>106.71</t>
        </is>
      </c>
      <c r="J629" t="inlineStr">
        <is>
          <t>world_bank</t>
        </is>
      </c>
      <c r="K629" t="inlineStr">
        <is>
          <t>https://api.worldbank.org/v2/country/KOR/indicator/SE.TER.ENRR?format=json&amp;mrv=10</t>
        </is>
      </c>
      <c r="L629" t="inlineStr">
        <is>
          <t>World Bank WDI: School enrollment, tertiary (% gross)</t>
        </is>
      </c>
      <c r="M629" t="inlineStr">
        <is>
          <t>2023-12-31</t>
        </is>
      </c>
      <c r="N629" t="inlineStr">
        <is>
          <t>auto_ingest=world_bank_proxy; indicator=SE.TER.ENRR; year=2023; country_proxy=South Korea</t>
        </is>
      </c>
    </row>
    <row r="630">
      <c r="A630" t="inlineStr">
        <is>
          <t>kr-jeju-city</t>
        </is>
      </c>
      <c r="B630" t="inlineStr">
        <is>
          <t>Jeju City</t>
        </is>
      </c>
      <c r="C630" t="inlineStr">
        <is>
          <t>South Korea</t>
        </is>
      </c>
      <c r="D630" t="inlineStr">
        <is>
          <t>East Asia</t>
        </is>
      </c>
      <c r="E630" t="inlineStr">
        <is>
          <t>equal_opportunity_raw</t>
        </is>
      </c>
      <c r="F630" t="inlineStr">
        <is>
          <t>Equal opportunity raw</t>
        </is>
      </c>
      <c r="G630" t="inlineStr">
        <is>
          <t>capability</t>
        </is>
      </c>
      <c r="H630" t="inlineStr">
        <is>
          <t>yes</t>
        </is>
      </c>
      <c r="I630" t="inlineStr">
        <is>
          <t>32.9</t>
        </is>
      </c>
      <c r="J630" t="inlineStr">
        <is>
          <t>world_bank</t>
        </is>
      </c>
      <c r="K630" t="inlineStr">
        <is>
          <t>https://api.worldbank.org/v2/country/KOR/indicator/SI.POV.GINI?format=json&amp;mrv=10</t>
        </is>
      </c>
      <c r="L630" t="inlineStr">
        <is>
          <t>World Bank WDI: Gini index</t>
        </is>
      </c>
      <c r="M630" t="inlineStr">
        <is>
          <t>2021-12-31</t>
        </is>
      </c>
      <c r="N630" t="inlineStr">
        <is>
          <t>auto_ingest=world_bank_capability; indicator=SI.POV.GINI; year=2021; country_proxy=South Korea</t>
        </is>
      </c>
    </row>
    <row r="631">
      <c r="A631" t="inlineStr">
        <is>
          <t>kr-jeju-city</t>
        </is>
      </c>
      <c r="B631" t="inlineStr">
        <is>
          <t>Jeju City</t>
        </is>
      </c>
      <c r="C631" t="inlineStr">
        <is>
          <t>South Korea</t>
        </is>
      </c>
      <c r="D631" t="inlineStr">
        <is>
          <t>East Asia</t>
        </is>
      </c>
      <c r="E631" t="inlineStr">
        <is>
          <t>hospitality_belonging_raw</t>
        </is>
      </c>
      <c r="F631" t="inlineStr">
        <is>
          <t>Hospitality and belonging raw</t>
        </is>
      </c>
      <c r="G631" t="inlineStr">
        <is>
          <t>community</t>
        </is>
      </c>
      <c r="H631" t="inlineStr">
        <is>
          <t>yes</t>
        </is>
      </c>
      <c r="I631" t="inlineStr">
        <is>
          <t>51.27</t>
        </is>
      </c>
      <c r="J631" t="inlineStr">
        <is>
          <t>world_bank</t>
        </is>
      </c>
      <c r="K631" t="inlineStr">
        <is>
          <t>https://api.worldbank.org/v2/country/KOR/indicator/SM.POP.NETM?format=json&amp;mrv=10</t>
        </is>
      </c>
      <c r="L631" t="inlineStr">
        <is>
          <t>World Bank WDI: Net migration (proxy for hospitality/belonging — positive = welcoming)</t>
        </is>
      </c>
      <c r="M631" t="inlineStr">
        <is>
          <t>2025-12-31</t>
        </is>
      </c>
      <c r="N631" t="inlineStr">
        <is>
          <t>auto_ingest=world_bank_proxy; proxy=net_migration_hospitality; indicator=SM.POP.NETM; year=2025; country_proxy=South Korea</t>
        </is>
      </c>
    </row>
    <row r="632">
      <c r="A632" t="inlineStr">
        <is>
          <t>kr-jeju-city</t>
        </is>
      </c>
      <c r="B632" t="inlineStr">
        <is>
          <t>Jeju City</t>
        </is>
      </c>
      <c r="C632" t="inlineStr">
        <is>
          <t>South Korea</t>
        </is>
      </c>
      <c r="D632" t="inlineStr">
        <is>
          <t>East Asia</t>
        </is>
      </c>
      <c r="E632" t="inlineStr">
        <is>
          <t>tolerance_pluralism_raw</t>
        </is>
      </c>
      <c r="F632" t="inlineStr">
        <is>
          <t>Tolerance and pluralism raw</t>
        </is>
      </c>
      <c r="G632" t="inlineStr">
        <is>
          <t>community</t>
        </is>
      </c>
      <c r="H632" t="inlineStr">
        <is>
          <t>yes</t>
        </is>
      </c>
      <c r="I632" t="inlineStr">
        <is>
          <t>20.0</t>
        </is>
      </c>
      <c r="J632" t="inlineStr">
        <is>
          <t>world_bank</t>
        </is>
      </c>
      <c r="K632" t="inlineStr">
        <is>
          <t>https://api.worldbank.org/v2/country/KOR/indicator/SG.GEN.PARL.ZS?format=json&amp;mrv=10</t>
        </is>
      </c>
      <c r="L632" t="inlineStr">
        <is>
          <t>World Bank WDI: Proportion of seats held by women in national parliaments (%)</t>
        </is>
      </c>
      <c r="M632" t="inlineStr">
        <is>
          <t>2024-12-31</t>
        </is>
      </c>
      <c r="N632" t="inlineStr">
        <is>
          <t>auto_ingest=world_bank_proxy; proxy=gender_parity_parliament; indicator=SG.GEN.PARL.ZS; year=2024; country_proxy=South Korea</t>
        </is>
      </c>
    </row>
    <row r="633">
      <c r="A633" t="inlineStr">
        <is>
          <t>kr-jeju-city</t>
        </is>
      </c>
      <c r="B633" t="inlineStr">
        <is>
          <t>Jeju City</t>
        </is>
      </c>
      <c r="C633" t="inlineStr">
        <is>
          <t>South Korea</t>
        </is>
      </c>
      <c r="D633" t="inlineStr">
        <is>
          <t>East Asia</t>
        </is>
      </c>
      <c r="E633" t="inlineStr">
        <is>
          <t>cultural_public_life_raw</t>
        </is>
      </c>
      <c r="F633" t="inlineStr">
        <is>
          <t>Cultural public life raw</t>
        </is>
      </c>
      <c r="G633" t="inlineStr">
        <is>
          <t>community</t>
        </is>
      </c>
      <c r="H633" t="inlineStr">
        <is>
          <t>yes</t>
        </is>
      </c>
      <c r="I633" t="inlineStr">
        <is>
          <t>48.68</t>
        </is>
      </c>
      <c r="J633" t="inlineStr">
        <is>
          <t>world_bank</t>
        </is>
      </c>
      <c r="K633" t="inlineStr">
        <is>
          <t>https://api.worldbank.org/v2/country/KOR/indicator/ST.INT.ARVL?format=json&amp;mrv=10</t>
        </is>
      </c>
      <c r="L633" t="inlineStr">
        <is>
          <t>World Bank WDI: International tourism arrivals per 1 000 population</t>
        </is>
      </c>
      <c r="M633" t="inlineStr">
        <is>
          <t>2020-12-31</t>
        </is>
      </c>
      <c r="N633" t="inlineStr">
        <is>
          <t>auto_ingest=cultural_life_proxy; indicator=ST.INT.ARVL; norm=per_1000_pop; year=2020; country_proxy=South Korea</t>
        </is>
      </c>
    </row>
    <row r="634">
      <c r="A634" t="inlineStr">
        <is>
          <t>kr-jeju-city</t>
        </is>
      </c>
      <c r="B634" t="inlineStr">
        <is>
          <t>Jeju City</t>
        </is>
      </c>
      <c r="C634" t="inlineStr">
        <is>
          <t>South Korea</t>
        </is>
      </c>
      <c r="D634" t="inlineStr">
        <is>
          <t>East Asia</t>
        </is>
      </c>
      <c r="E634" t="inlineStr">
        <is>
          <t>birth_rate_optimism_raw</t>
        </is>
      </c>
      <c r="F634" t="inlineStr">
        <is>
          <t>Birth rate and societal optimism raw</t>
        </is>
      </c>
      <c r="G634" t="inlineStr">
        <is>
          <t>community</t>
        </is>
      </c>
      <c r="H634" t="inlineStr">
        <is>
          <t>yes</t>
        </is>
      </c>
      <c r="I634" t="inlineStr">
        <is>
          <t>0.72</t>
        </is>
      </c>
      <c r="J634" t="inlineStr">
        <is>
          <t>world_bank</t>
        </is>
      </c>
      <c r="K634" t="inlineStr">
        <is>
          <t>https://data.worldbank.org/indicator/SP.DYN.TFRT.IN</t>
        </is>
      </c>
      <c r="L634" t="inlineStr">
        <is>
          <t>World Bank Total Fertility Rate 2023</t>
        </is>
      </c>
      <c r="M634" t="inlineStr">
        <is>
          <t>2024-01-01</t>
        </is>
      </c>
      <c r="N634" t="inlineStr"/>
    </row>
    <row r="635">
      <c r="A635" t="inlineStr">
        <is>
          <t>kr-jeju-city</t>
        </is>
      </c>
      <c r="B635" t="inlineStr">
        <is>
          <t>Jeju City</t>
        </is>
      </c>
      <c r="C635" t="inlineStr">
        <is>
          <t>South Korea</t>
        </is>
      </c>
      <c r="D635" t="inlineStr">
        <is>
          <t>East Asia</t>
        </is>
      </c>
      <c r="E635" t="inlineStr">
        <is>
          <t>entrepreneurial_dynamism_raw</t>
        </is>
      </c>
      <c r="F635" t="inlineStr">
        <is>
          <t>Entrepreneurial dynamism raw</t>
        </is>
      </c>
      <c r="G635" t="inlineStr">
        <is>
          <t>creative</t>
        </is>
      </c>
      <c r="H635" t="inlineStr">
        <is>
          <t>yes</t>
        </is>
      </c>
      <c r="I635" t="inlineStr">
        <is>
          <t>3.09</t>
        </is>
      </c>
      <c r="J635" t="inlineStr">
        <is>
          <t>world_bank</t>
        </is>
      </c>
      <c r="K635" t="inlineStr">
        <is>
          <t>https://api.worldbank.org/v2/country/KOR/indicator/IC.BUS.NDNS.ZS?format=json&amp;mrv=10</t>
        </is>
      </c>
      <c r="L635" t="inlineStr">
        <is>
          <t>World Bank WDI: New business density (new registrations per 1,000 people ages 15-64)</t>
        </is>
      </c>
      <c r="M635" t="inlineStr">
        <is>
          <t>2022-12-31</t>
        </is>
      </c>
      <c r="N635" t="inlineStr">
        <is>
          <t>auto_ingest=world_bank_creative_extended; indicator=IC.BUS.NDNS.ZS; year=2022; country_proxy=South Korea</t>
        </is>
      </c>
    </row>
    <row r="636">
      <c r="A636" t="inlineStr">
        <is>
          <t>kr-jeju-city</t>
        </is>
      </c>
      <c r="B636" t="inlineStr">
        <is>
          <t>Jeju City</t>
        </is>
      </c>
      <c r="C636" t="inlineStr">
        <is>
          <t>South Korea</t>
        </is>
      </c>
      <c r="D636" t="inlineStr">
        <is>
          <t>East Asia</t>
        </is>
      </c>
      <c r="E636" t="inlineStr">
        <is>
          <t>innovation_research_intensity_raw</t>
        </is>
      </c>
      <c r="F636" t="inlineStr">
        <is>
          <t>Innovation and research raw</t>
        </is>
      </c>
      <c r="G636" t="inlineStr">
        <is>
          <t>creative</t>
        </is>
      </c>
      <c r="H636" t="inlineStr">
        <is>
          <t>yes</t>
        </is>
      </c>
      <c r="I636" t="inlineStr">
        <is>
          <t>5.21</t>
        </is>
      </c>
      <c r="J636" t="inlineStr">
        <is>
          <t>world_bank</t>
        </is>
      </c>
      <c r="K636" t="inlineStr">
        <is>
          <t>https://api.worldbank.org/v2/country/KOR/indicator/GB.XPD.RSDV.GD.ZS?format=json&amp;mrv=10</t>
        </is>
      </c>
      <c r="L636" t="inlineStr">
        <is>
          <t>World Bank WDI: Research and development expenditure (% of GDP)</t>
        </is>
      </c>
      <c r="M636" t="inlineStr">
        <is>
          <t>2022-12-31</t>
        </is>
      </c>
      <c r="N636" t="inlineStr">
        <is>
          <t>auto_ingest=world_bank_creative_extended; indicator=GB.XPD.RSDV.GD.ZS; year=2022; country_proxy=South Korea</t>
        </is>
      </c>
    </row>
    <row r="637">
      <c r="A637" t="inlineStr">
        <is>
          <t>kr-jeju-city</t>
        </is>
      </c>
      <c r="B637" t="inlineStr">
        <is>
          <t>Jeju City</t>
        </is>
      </c>
      <c r="C637" t="inlineStr">
        <is>
          <t>South Korea</t>
        </is>
      </c>
      <c r="D637" t="inlineStr">
        <is>
          <t>East Asia</t>
        </is>
      </c>
      <c r="E637" t="inlineStr">
        <is>
          <t>investment_signal_raw</t>
        </is>
      </c>
      <c r="F637" t="inlineStr">
        <is>
          <t>Investment signal raw</t>
        </is>
      </c>
      <c r="G637" t="inlineStr">
        <is>
          <t>creative</t>
        </is>
      </c>
      <c r="H637" t="inlineStr">
        <is>
          <t>yes</t>
        </is>
      </c>
      <c r="I637" t="inlineStr">
        <is>
          <t>0.81</t>
        </is>
      </c>
      <c r="J637" t="inlineStr">
        <is>
          <t>world_bank</t>
        </is>
      </c>
      <c r="K637" t="inlineStr">
        <is>
          <t>https://api.worldbank.org/v2/country/KOR/indicator/BX.KLT.DINV.WD.GD.ZS?format=json&amp;mrv=10</t>
        </is>
      </c>
      <c r="L637" t="inlineStr">
        <is>
          <t>World Bank WDI: Foreign direct investment, net inflows (% of GDP)</t>
        </is>
      </c>
      <c r="M637" t="inlineStr">
        <is>
          <t>2024-12-31</t>
        </is>
      </c>
      <c r="N637" t="inlineStr">
        <is>
          <t>auto_ingest=world_bank_creative_extended; indicator=BX.KLT.DINV.WD.GD.ZS; year=2024; country_proxy=South Korea</t>
        </is>
      </c>
    </row>
    <row r="638">
      <c r="A638" t="inlineStr">
        <is>
          <t>kr-jeju-city</t>
        </is>
      </c>
      <c r="B638" t="inlineStr">
        <is>
          <t>Jeju City</t>
        </is>
      </c>
      <c r="C638" t="inlineStr">
        <is>
          <t>South Korea</t>
        </is>
      </c>
      <c r="D638" t="inlineStr">
        <is>
          <t>East Asia</t>
        </is>
      </c>
      <c r="E638" t="inlineStr">
        <is>
          <t>administrative_investment_friction_raw</t>
        </is>
      </c>
      <c r="F638" t="inlineStr">
        <is>
          <t>Administrative investment friction raw</t>
        </is>
      </c>
      <c r="G638" t="inlineStr">
        <is>
          <t>creative</t>
        </is>
      </c>
      <c r="H638" t="inlineStr">
        <is>
          <t>yes</t>
        </is>
      </c>
      <c r="I638" t="inlineStr">
        <is>
          <t>1.38</t>
        </is>
      </c>
      <c r="J638" t="inlineStr">
        <is>
          <t>world_bank</t>
        </is>
      </c>
      <c r="K638" t="inlineStr">
        <is>
          <t>https://api.worldbank.org/v2/country/KOR/indicator/RQ.EST?format=json&amp;mrv=10</t>
        </is>
      </c>
      <c r="L638" t="inlineStr">
        <is>
          <t>World Bank WGI: Regulatory Quality (inverted as friction proxy)</t>
        </is>
      </c>
      <c r="M638" t="inlineStr">
        <is>
          <t>2023-12-31</t>
        </is>
      </c>
      <c r="N638" t="inlineStr">
        <is>
          <t>auto_ingest=world_bank_business_friction; indicator=RQ.EST; raw_rq=1.122523188591; friction=1.38; year=2023; country_proxy=South Korea</t>
        </is>
      </c>
    </row>
    <row r="639">
      <c r="A639" t="inlineStr">
        <is>
          <t>kr-jeju-city</t>
        </is>
      </c>
      <c r="B639" t="inlineStr">
        <is>
          <t>Jeju City</t>
        </is>
      </c>
      <c r="C639" t="inlineStr">
        <is>
          <t>South Korea</t>
        </is>
      </c>
      <c r="D639" t="inlineStr">
        <is>
          <t>East Asia</t>
        </is>
      </c>
      <c r="E639" t="inlineStr">
        <is>
          <t>visitor_flow_context_raw</t>
        </is>
      </c>
      <c r="F639" t="inlineStr">
        <is>
          <t>Visitor flow context raw</t>
        </is>
      </c>
      <c r="G639" t="inlineStr">
        <is>
          <t>creative</t>
        </is>
      </c>
      <c r="H639" t="inlineStr">
        <is>
          <t>no</t>
        </is>
      </c>
      <c r="I639" t="inlineStr"/>
      <c r="J639" t="inlineStr"/>
      <c r="K639" t="inlineStr"/>
      <c r="L639" t="inlineStr"/>
      <c r="M639" t="inlineStr"/>
      <c r="N639" t="inlineStr"/>
    </row>
    <row r="640">
      <c r="A640" t="inlineStr">
        <is>
          <t>jp-fukuoka</t>
        </is>
      </c>
      <c r="B640" t="inlineStr">
        <is>
          <t>Fukuoka</t>
        </is>
      </c>
      <c r="C640" t="inlineStr">
        <is>
          <t>Japan</t>
        </is>
      </c>
      <c r="D640" t="inlineStr">
        <is>
          <t>East Asia</t>
        </is>
      </c>
      <c r="E640" t="inlineStr">
        <is>
          <t>gross_income</t>
        </is>
      </c>
      <c r="F640" t="inlineStr">
        <is>
          <t>Gross income</t>
        </is>
      </c>
      <c r="G640" t="inlineStr">
        <is>
          <t>pressure</t>
        </is>
      </c>
      <c r="H640" t="inlineStr">
        <is>
          <t>yes</t>
        </is>
      </c>
      <c r="I640" t="inlineStr">
        <is>
          <t>3930.54</t>
        </is>
      </c>
      <c r="J640" t="inlineStr">
        <is>
          <t>world_bank_col_estimate</t>
        </is>
      </c>
      <c r="K640" t="inlineStr">
        <is>
          <t>https://api.worldbank.org/v2/country/JPN/indicator/NY.GNP.PCAP.PP.CD?format=json&amp;mrv=10</t>
        </is>
      </c>
      <c r="L640" t="inlineStr">
        <is>
          <t>World Bank WDI: GNI per capita PPP (monthly USD)</t>
        </is>
      </c>
      <c r="M640" t="inlineStr">
        <is>
          <t>2024-12-31</t>
        </is>
      </c>
      <c r="N640" t="inlineStr">
        <is>
          <t>auto_ingest=world_bank_col_estimate; gni_annual=55490.0; year=2024; country_proxy=Japan; cohort=East Asia; city_income_mult=0.85</t>
        </is>
      </c>
    </row>
    <row r="641">
      <c r="A641" t="inlineStr">
        <is>
          <t>jp-fukuoka</t>
        </is>
      </c>
      <c r="B641" t="inlineStr">
        <is>
          <t>Fukuoka</t>
        </is>
      </c>
      <c r="C641" t="inlineStr">
        <is>
          <t>Japan</t>
        </is>
      </c>
      <c r="D641" t="inlineStr">
        <is>
          <t>East Asia</t>
        </is>
      </c>
      <c r="E641" t="inlineStr">
        <is>
          <t>di_ppp_raw</t>
        </is>
      </c>
      <c r="F641" t="inlineStr">
        <is>
          <t>Disposable income PPP (Raw)</t>
        </is>
      </c>
      <c r="G641" t="inlineStr">
        <is>
          <t>pressure</t>
        </is>
      </c>
      <c r="H641" t="inlineStr">
        <is>
          <t>yes</t>
        </is>
      </c>
      <c r="I641" t="inlineStr"/>
      <c r="J641" t="inlineStr"/>
      <c r="K641" t="inlineStr"/>
      <c r="L641" t="inlineStr"/>
      <c r="M641" t="inlineStr"/>
      <c r="N641" t="inlineStr"/>
    </row>
    <row r="642">
      <c r="A642" t="inlineStr">
        <is>
          <t>jp-fukuoka</t>
        </is>
      </c>
      <c r="B642" t="inlineStr">
        <is>
          <t>Fukuoka</t>
        </is>
      </c>
      <c r="C642" t="inlineStr">
        <is>
          <t>Japan</t>
        </is>
      </c>
      <c r="D642" t="inlineStr">
        <is>
          <t>East Asia</t>
        </is>
      </c>
      <c r="E642" t="inlineStr">
        <is>
          <t>rent</t>
        </is>
      </c>
      <c r="F642" t="inlineStr">
        <is>
          <t>Rent</t>
        </is>
      </c>
      <c r="G642" t="inlineStr">
        <is>
          <t>pressure</t>
        </is>
      </c>
      <c r="H642" t="inlineStr">
        <is>
          <t>yes</t>
        </is>
      </c>
      <c r="I642" t="inlineStr">
        <is>
          <t>786.11</t>
        </is>
      </c>
      <c r="J642" t="inlineStr">
        <is>
          <t>world_bank_col_estimate</t>
        </is>
      </c>
      <c r="K642" t="inlineStr">
        <is>
          <t>https://api.worldbank.org/v2/country/JPN/indicator/NY.GNP.PCAP.PP.CD?format=json&amp;mrv=10</t>
        </is>
      </c>
      <c r="L642" t="inlineStr">
        <is>
          <t>World Bank GNI + regional expenditure ratio estimate</t>
        </is>
      </c>
      <c r="M642" t="inlineStr">
        <is>
          <t>2024-12-31</t>
        </is>
      </c>
      <c r="N642" t="inlineStr">
        <is>
          <t>auto_ingest=world_bank_col_estimate; gni_annual=55490.0; year=2024; country_proxy=Japan; cohort=East Asia; city_cost_mult=0.8</t>
        </is>
      </c>
    </row>
    <row r="643">
      <c r="A643" t="inlineStr">
        <is>
          <t>jp-fukuoka</t>
        </is>
      </c>
      <c r="B643" t="inlineStr">
        <is>
          <t>Fukuoka</t>
        </is>
      </c>
      <c r="C643" t="inlineStr">
        <is>
          <t>Japan</t>
        </is>
      </c>
      <c r="D643" t="inlineStr">
        <is>
          <t>East Asia</t>
        </is>
      </c>
      <c r="E643" t="inlineStr">
        <is>
          <t>utilities</t>
        </is>
      </c>
      <c r="F643" t="inlineStr">
        <is>
          <t>Utilities</t>
        </is>
      </c>
      <c r="G643" t="inlineStr">
        <is>
          <t>pressure</t>
        </is>
      </c>
      <c r="H643" t="inlineStr">
        <is>
          <t>yes</t>
        </is>
      </c>
      <c r="I643" t="inlineStr">
        <is>
          <t>188.67</t>
        </is>
      </c>
      <c r="J643" t="inlineStr">
        <is>
          <t>world_bank_col_estimate</t>
        </is>
      </c>
      <c r="K643" t="inlineStr">
        <is>
          <t>https://api.worldbank.org/v2/country/JPN/indicator/NY.GNP.PCAP.PP.CD?format=json&amp;mrv=10</t>
        </is>
      </c>
      <c r="L643" t="inlineStr">
        <is>
          <t>World Bank GNI + regional expenditure ratio estimate</t>
        </is>
      </c>
      <c r="M643" t="inlineStr">
        <is>
          <t>2024-12-31</t>
        </is>
      </c>
      <c r="N643" t="inlineStr">
        <is>
          <t>auto_ingest=world_bank_col_estimate; gni_annual=55490.0; year=2024; country_proxy=Japan; cohort=East Asia; city_cost_mult=0.8</t>
        </is>
      </c>
    </row>
    <row r="644">
      <c r="A644" t="inlineStr">
        <is>
          <t>jp-fukuoka</t>
        </is>
      </c>
      <c r="B644" t="inlineStr">
        <is>
          <t>Fukuoka</t>
        </is>
      </c>
      <c r="C644" t="inlineStr">
        <is>
          <t>Japan</t>
        </is>
      </c>
      <c r="D644" t="inlineStr">
        <is>
          <t>East Asia</t>
        </is>
      </c>
      <c r="E644" t="inlineStr">
        <is>
          <t>transit_cost</t>
        </is>
      </c>
      <c r="F644" t="inlineStr">
        <is>
          <t>Transit cost</t>
        </is>
      </c>
      <c r="G644" t="inlineStr">
        <is>
          <t>pressure</t>
        </is>
      </c>
      <c r="H644" t="inlineStr">
        <is>
          <t>yes</t>
        </is>
      </c>
      <c r="I644" t="inlineStr">
        <is>
          <t>125.78</t>
        </is>
      </c>
      <c r="J644" t="inlineStr">
        <is>
          <t>world_bank_col_estimate</t>
        </is>
      </c>
      <c r="K644" t="inlineStr">
        <is>
          <t>https://api.worldbank.org/v2/country/JPN/indicator/NY.GNP.PCAP.PP.CD?format=json&amp;mrv=10</t>
        </is>
      </c>
      <c r="L644" t="inlineStr">
        <is>
          <t>World Bank GNI + regional expenditure ratio estimate</t>
        </is>
      </c>
      <c r="M644" t="inlineStr">
        <is>
          <t>2024-12-31</t>
        </is>
      </c>
      <c r="N644" t="inlineStr">
        <is>
          <t>auto_ingest=world_bank_col_estimate; gni_annual=55490.0; year=2024; country_proxy=Japan; cohort=East Asia; city_cost_mult=0.8</t>
        </is>
      </c>
    </row>
    <row r="645">
      <c r="A645" t="inlineStr">
        <is>
          <t>jp-fukuoka</t>
        </is>
      </c>
      <c r="B645" t="inlineStr">
        <is>
          <t>Fukuoka</t>
        </is>
      </c>
      <c r="C645" t="inlineStr">
        <is>
          <t>Japan</t>
        </is>
      </c>
      <c r="D645" t="inlineStr">
        <is>
          <t>East Asia</t>
        </is>
      </c>
      <c r="E645" t="inlineStr">
        <is>
          <t>internet_cost</t>
        </is>
      </c>
      <c r="F645" t="inlineStr">
        <is>
          <t>Internet cost</t>
        </is>
      </c>
      <c r="G645" t="inlineStr">
        <is>
          <t>pressure</t>
        </is>
      </c>
      <c r="H645" t="inlineStr">
        <is>
          <t>yes</t>
        </is>
      </c>
      <c r="I645" t="inlineStr">
        <is>
          <t>47.17</t>
        </is>
      </c>
      <c r="J645" t="inlineStr">
        <is>
          <t>world_bank_col_estimate</t>
        </is>
      </c>
      <c r="K645" t="inlineStr">
        <is>
          <t>https://api.worldbank.org/v2/country/JPN/indicator/NY.GNP.PCAP.PP.CD?format=json&amp;mrv=10</t>
        </is>
      </c>
      <c r="L645" t="inlineStr">
        <is>
          <t>World Bank GNI + regional expenditure ratio estimate</t>
        </is>
      </c>
      <c r="M645" t="inlineStr">
        <is>
          <t>2024-12-31</t>
        </is>
      </c>
      <c r="N645" t="inlineStr">
        <is>
          <t>auto_ingest=world_bank_col_estimate; gni_annual=55490.0; year=2024; country_proxy=Japan; cohort=East Asia; city_cost_mult=0.8</t>
        </is>
      </c>
    </row>
    <row r="646">
      <c r="A646" t="inlineStr">
        <is>
          <t>jp-fukuoka</t>
        </is>
      </c>
      <c r="B646" t="inlineStr">
        <is>
          <t>Fukuoka</t>
        </is>
      </c>
      <c r="C646" t="inlineStr">
        <is>
          <t>Japan</t>
        </is>
      </c>
      <c r="D646" t="inlineStr">
        <is>
          <t>East Asia</t>
        </is>
      </c>
      <c r="E646" t="inlineStr">
        <is>
          <t>food_cost</t>
        </is>
      </c>
      <c r="F646" t="inlineStr">
        <is>
          <t>Food cost</t>
        </is>
      </c>
      <c r="G646" t="inlineStr">
        <is>
          <t>pressure</t>
        </is>
      </c>
      <c r="H646" t="inlineStr">
        <is>
          <t>yes</t>
        </is>
      </c>
      <c r="I646" t="inlineStr">
        <is>
          <t>628.89</t>
        </is>
      </c>
      <c r="J646" t="inlineStr">
        <is>
          <t>world_bank_col_estimate</t>
        </is>
      </c>
      <c r="K646" t="inlineStr">
        <is>
          <t>https://api.worldbank.org/v2/country/JPN/indicator/NY.GNP.PCAP.PP.CD?format=json&amp;mrv=10</t>
        </is>
      </c>
      <c r="L646" t="inlineStr">
        <is>
          <t>World Bank GNI + regional expenditure ratio estimate</t>
        </is>
      </c>
      <c r="M646" t="inlineStr">
        <is>
          <t>2024-12-31</t>
        </is>
      </c>
      <c r="N646" t="inlineStr">
        <is>
          <t>auto_ingest=world_bank_col_estimate; gni_annual=55490.0; year=2024; country_proxy=Japan; cohort=East Asia; city_cost_mult=0.8</t>
        </is>
      </c>
    </row>
    <row r="647">
      <c r="A647" t="inlineStr">
        <is>
          <t>jp-fukuoka</t>
        </is>
      </c>
      <c r="B647" t="inlineStr">
        <is>
          <t>Fukuoka</t>
        </is>
      </c>
      <c r="C647" t="inlineStr">
        <is>
          <t>Japan</t>
        </is>
      </c>
      <c r="D647" t="inlineStr">
        <is>
          <t>East Asia</t>
        </is>
      </c>
      <c r="E647" t="inlineStr">
        <is>
          <t>housing_burden_raw</t>
        </is>
      </c>
      <c r="F647" t="inlineStr">
        <is>
          <t>Housing burden raw</t>
        </is>
      </c>
      <c r="G647" t="inlineStr">
        <is>
          <t>pressure</t>
        </is>
      </c>
      <c r="H647" t="inlineStr">
        <is>
          <t>yes</t>
        </is>
      </c>
      <c r="I647" t="inlineStr">
        <is>
          <t>20.0001</t>
        </is>
      </c>
      <c r="J647" t="inlineStr">
        <is>
          <t>derived</t>
        </is>
      </c>
      <c r="K647" t="inlineStr">
        <is>
          <t>https://data.worldbank.org/indicator/NY.GNP.PCAP.PP.CD</t>
        </is>
      </c>
      <c r="L647" t="inlineStr">
        <is>
          <t>Computed from city_inputs + country_context</t>
        </is>
      </c>
      <c r="M647" t="inlineStr">
        <is>
          <t>2024-01-01</t>
        </is>
      </c>
      <c r="N647" t="inlineStr">
        <is>
          <t>derived=rent/gross_income*100</t>
        </is>
      </c>
    </row>
    <row r="648">
      <c r="A648" t="inlineStr">
        <is>
          <t>jp-fukuoka</t>
        </is>
      </c>
      <c r="B648" t="inlineStr">
        <is>
          <t>Fukuoka</t>
        </is>
      </c>
      <c r="C648" t="inlineStr">
        <is>
          <t>Japan</t>
        </is>
      </c>
      <c r="D648" t="inlineStr">
        <is>
          <t>East Asia</t>
        </is>
      </c>
      <c r="E648" t="inlineStr">
        <is>
          <t>household_debt_burden_raw</t>
        </is>
      </c>
      <c r="F648" t="inlineStr">
        <is>
          <t>Household debt burden raw</t>
        </is>
      </c>
      <c r="G648" t="inlineStr">
        <is>
          <t>pressure</t>
        </is>
      </c>
      <c r="H648" t="inlineStr">
        <is>
          <t>yes</t>
        </is>
      </c>
      <c r="I648" t="inlineStr">
        <is>
          <t>123.1289</t>
        </is>
      </c>
      <c r="J648" t="inlineStr">
        <is>
          <t>derived</t>
        </is>
      </c>
      <c r="K648" t="inlineStr">
        <is>
          <t>https://data.worldbank.org/indicator/NY.GNP.PCAP.PP.CD</t>
        </is>
      </c>
      <c r="L648" t="inlineStr">
        <is>
          <t>Computed from city_inputs + country_context</t>
        </is>
      </c>
      <c r="M648" t="inlineStr">
        <is>
          <t>2024-01-01</t>
        </is>
      </c>
      <c r="N648" t="inlineStr">
        <is>
          <t>derived=country_context.household_debt_proxy; country=Japan</t>
        </is>
      </c>
    </row>
    <row r="649">
      <c r="A649" t="inlineStr">
        <is>
          <t>jp-fukuoka</t>
        </is>
      </c>
      <c r="B649" t="inlineStr">
        <is>
          <t>Fukuoka</t>
        </is>
      </c>
      <c r="C649" t="inlineStr">
        <is>
          <t>Japan</t>
        </is>
      </c>
      <c r="D649" t="inlineStr">
        <is>
          <t>East Asia</t>
        </is>
      </c>
      <c r="E649" t="inlineStr">
        <is>
          <t>working_time_pressure_raw</t>
        </is>
      </c>
      <c r="F649" t="inlineStr">
        <is>
          <t>Working time pressure raw</t>
        </is>
      </c>
      <c r="G649" t="inlineStr">
        <is>
          <t>pressure</t>
        </is>
      </c>
      <c r="H649" t="inlineStr">
        <is>
          <t>yes</t>
        </is>
      </c>
      <c r="I649" t="inlineStr">
        <is>
          <t>36.6</t>
        </is>
      </c>
      <c r="J649" t="inlineStr">
        <is>
          <t>ilo_ilostat</t>
        </is>
      </c>
      <c r="K649" t="inlineStr">
        <is>
          <t>https://ilostat.ilo.org/data/indicator/?id=HOW_TEMP_SEX_ECO_NB_A&amp;ref_area=JPN</t>
        </is>
      </c>
      <c r="L649" t="inlineStr">
        <is>
          <t>ILO ILOSTAT: Mean weekly hours actually worked per employed person</t>
        </is>
      </c>
      <c r="M649" t="inlineStr">
        <is>
          <t>2020-12-31</t>
        </is>
      </c>
      <c r="N649" t="inlineStr">
        <is>
          <t>auto_ingest=ilo_working_hours; indicator=HOW_TEMP_SEX_ECO_NB_A; year=2020; hours=36.6; country_proxy=Japan</t>
        </is>
      </c>
    </row>
    <row r="650">
      <c r="A650" t="inlineStr">
        <is>
          <t>jp-fukuoka</t>
        </is>
      </c>
      <c r="B650" t="inlineStr">
        <is>
          <t>Fukuoka</t>
        </is>
      </c>
      <c r="C650" t="inlineStr">
        <is>
          <t>Japan</t>
        </is>
      </c>
      <c r="D650" t="inlineStr">
        <is>
          <t>East Asia</t>
        </is>
      </c>
      <c r="E650" t="inlineStr">
        <is>
          <t>suicide_mental_strain_raw</t>
        </is>
      </c>
      <c r="F650" t="inlineStr">
        <is>
          <t>Suicide or mental strain raw</t>
        </is>
      </c>
      <c r="G650" t="inlineStr">
        <is>
          <t>pressure</t>
        </is>
      </c>
      <c r="H650" t="inlineStr">
        <is>
          <t>yes</t>
        </is>
      </c>
      <c r="I650" t="inlineStr">
        <is>
          <t>17.43</t>
        </is>
      </c>
      <c r="J650" t="inlineStr">
        <is>
          <t>who_gho</t>
        </is>
      </c>
      <c r="K650" t="inlineStr">
        <is>
          <t>https://www.who.int/data/gho/data/indicators/indicator-details/GHO/SDGSUICIDE</t>
        </is>
      </c>
      <c r="L650" t="inlineStr">
        <is>
          <t>WHO GHO: Age-standardized suicide rate (per 100,000 population)</t>
        </is>
      </c>
      <c r="M650" t="inlineStr">
        <is>
          <t>2021-12-31</t>
        </is>
      </c>
      <c r="N650" t="inlineStr">
        <is>
          <t>auto_ingest=who_gho; indicator=SDGSUICIDE; year=2021; country_proxy=Japan</t>
        </is>
      </c>
    </row>
    <row r="651">
      <c r="A651" t="inlineStr">
        <is>
          <t>jp-fukuoka</t>
        </is>
      </c>
      <c r="B651" t="inlineStr">
        <is>
          <t>Fukuoka</t>
        </is>
      </c>
      <c r="C651" t="inlineStr">
        <is>
          <t>Japan</t>
        </is>
      </c>
      <c r="D651" t="inlineStr">
        <is>
          <t>East Asia</t>
        </is>
      </c>
      <c r="E651" t="inlineStr">
        <is>
          <t>personal_safety_raw</t>
        </is>
      </c>
      <c r="F651" t="inlineStr">
        <is>
          <t>Personal safety raw</t>
        </is>
      </c>
      <c r="G651" t="inlineStr">
        <is>
          <t>viability</t>
        </is>
      </c>
      <c r="H651" t="inlineStr">
        <is>
          <t>yes</t>
        </is>
      </c>
      <c r="I651" t="inlineStr">
        <is>
          <t>0.23</t>
        </is>
      </c>
      <c r="J651" t="inlineStr">
        <is>
          <t>world_bank</t>
        </is>
      </c>
      <c r="K651" t="inlineStr">
        <is>
          <t>https://api.worldbank.org/v2/country/JPN/indicator/VC.IHR.PSRC.P5?format=json&amp;mrv=10</t>
        </is>
      </c>
      <c r="L651" t="inlineStr">
        <is>
          <t>UNODC via World Bank WDI: Intentional homicides (per 100,000 people)</t>
        </is>
      </c>
      <c r="M651" t="inlineStr">
        <is>
          <t>2023-12-31</t>
        </is>
      </c>
      <c r="N651" t="inlineStr">
        <is>
          <t>auto_ingest=unodc_safety; indicator=VC.IHR.PSRC.P5; year=2023; country_proxy=Japan</t>
        </is>
      </c>
    </row>
    <row r="652">
      <c r="A652" t="inlineStr">
        <is>
          <t>jp-fukuoka</t>
        </is>
      </c>
      <c r="B652" t="inlineStr">
        <is>
          <t>Fukuoka</t>
        </is>
      </c>
      <c r="C652" t="inlineStr">
        <is>
          <t>Japan</t>
        </is>
      </c>
      <c r="D652" t="inlineStr">
        <is>
          <t>East Asia</t>
        </is>
      </c>
      <c r="E652" t="inlineStr">
        <is>
          <t>transit_access_commute_raw</t>
        </is>
      </c>
      <c r="F652" t="inlineStr">
        <is>
          <t>Transit access and commute raw</t>
        </is>
      </c>
      <c r="G652" t="inlineStr">
        <is>
          <t>viability</t>
        </is>
      </c>
      <c r="H652" t="inlineStr">
        <is>
          <t>yes</t>
        </is>
      </c>
      <c r="I652" t="inlineStr"/>
      <c r="J652" t="inlineStr"/>
      <c r="K652" t="inlineStr"/>
      <c r="L652" t="inlineStr"/>
      <c r="M652" t="inlineStr"/>
      <c r="N652" t="inlineStr"/>
    </row>
    <row r="653">
      <c r="A653" t="inlineStr">
        <is>
          <t>jp-fukuoka</t>
        </is>
      </c>
      <c r="B653" t="inlineStr">
        <is>
          <t>Fukuoka</t>
        </is>
      </c>
      <c r="C653" t="inlineStr">
        <is>
          <t>Japan</t>
        </is>
      </c>
      <c r="D653" t="inlineStr">
        <is>
          <t>East Asia</t>
        </is>
      </c>
      <c r="E653" t="inlineStr">
        <is>
          <t>clean_air_raw</t>
        </is>
      </c>
      <c r="F653" t="inlineStr">
        <is>
          <t>Clean air raw</t>
        </is>
      </c>
      <c r="G653" t="inlineStr">
        <is>
          <t>viability</t>
        </is>
      </c>
      <c r="H653" t="inlineStr">
        <is>
          <t>yes</t>
        </is>
      </c>
      <c r="I653" t="inlineStr"/>
      <c r="J653" t="inlineStr"/>
      <c r="K653" t="inlineStr"/>
      <c r="L653" t="inlineStr"/>
      <c r="M653" t="inlineStr"/>
      <c r="N653" t="inlineStr"/>
    </row>
    <row r="654">
      <c r="A654" t="inlineStr">
        <is>
          <t>jp-fukuoka</t>
        </is>
      </c>
      <c r="B654" t="inlineStr">
        <is>
          <t>Fukuoka</t>
        </is>
      </c>
      <c r="C654" t="inlineStr">
        <is>
          <t>Japan</t>
        </is>
      </c>
      <c r="D654" t="inlineStr">
        <is>
          <t>East Asia</t>
        </is>
      </c>
      <c r="E654" t="inlineStr">
        <is>
          <t>water_sanitation_utility_raw</t>
        </is>
      </c>
      <c r="F654" t="inlineStr">
        <is>
          <t>Water, sanitation, and utility raw</t>
        </is>
      </c>
      <c r="G654" t="inlineStr">
        <is>
          <t>viability</t>
        </is>
      </c>
      <c r="H654" t="inlineStr">
        <is>
          <t>yes</t>
        </is>
      </c>
      <c r="I654" t="inlineStr">
        <is>
          <t>98.73</t>
        </is>
      </c>
      <c r="J654" t="inlineStr">
        <is>
          <t>world_bank</t>
        </is>
      </c>
      <c r="K654" t="inlineStr">
        <is>
          <t>https://api.worldbank.org/v2/country/JPN/indicator/SH.H2O.SMDW.ZS?format=json&amp;mrv=10</t>
        </is>
      </c>
      <c r="L654" t="inlineStr">
        <is>
          <t>World Bank WDI: People using safely managed drinking water services (% of population)</t>
        </is>
      </c>
      <c r="M654" t="inlineStr">
        <is>
          <t>2024-12-31</t>
        </is>
      </c>
      <c r="N654" t="inlineStr">
        <is>
          <t>auto_ingest=world_bank_proxy; indicator=SH.H2O.SMDW.ZS; year=2024; country_proxy=Japan</t>
        </is>
      </c>
    </row>
    <row r="655">
      <c r="A655" t="inlineStr">
        <is>
          <t>jp-fukuoka</t>
        </is>
      </c>
      <c r="B655" t="inlineStr">
        <is>
          <t>Fukuoka</t>
        </is>
      </c>
      <c r="C655" t="inlineStr">
        <is>
          <t>Japan</t>
        </is>
      </c>
      <c r="D655" t="inlineStr">
        <is>
          <t>East Asia</t>
        </is>
      </c>
      <c r="E655" t="inlineStr">
        <is>
          <t>digital_infrastructure_raw</t>
        </is>
      </c>
      <c r="F655" t="inlineStr">
        <is>
          <t>Digital infrastructure raw</t>
        </is>
      </c>
      <c r="G655" t="inlineStr">
        <is>
          <t>viability</t>
        </is>
      </c>
      <c r="H655" t="inlineStr">
        <is>
          <t>yes</t>
        </is>
      </c>
      <c r="I655" t="inlineStr">
        <is>
          <t>38.63</t>
        </is>
      </c>
      <c r="J655" t="inlineStr">
        <is>
          <t>world_bank</t>
        </is>
      </c>
      <c r="K655" t="inlineStr">
        <is>
          <t>https://api.worldbank.org/v2/country/JPN/indicator/IT.NET.BBND.P2?format=json&amp;mrv=10</t>
        </is>
      </c>
      <c r="L655" t="inlineStr">
        <is>
          <t>World Bank WDI: Fixed broadband subscriptions (per 100 people)</t>
        </is>
      </c>
      <c r="M655" t="inlineStr">
        <is>
          <t>2023-12-31</t>
        </is>
      </c>
      <c r="N655" t="inlineStr">
        <is>
          <t>auto_ingest=world_bank_proxy; indicator=IT.NET.BBND.P2; year=2023; country_proxy=Japan</t>
        </is>
      </c>
    </row>
    <row r="656">
      <c r="A656" t="inlineStr">
        <is>
          <t>jp-fukuoka</t>
        </is>
      </c>
      <c r="B656" t="inlineStr">
        <is>
          <t>Fukuoka</t>
        </is>
      </c>
      <c r="C656" t="inlineStr">
        <is>
          <t>Japan</t>
        </is>
      </c>
      <c r="D656" t="inlineStr">
        <is>
          <t>East Asia</t>
        </is>
      </c>
      <c r="E656" t="inlineStr">
        <is>
          <t>climate_sunlight_livability_raw</t>
        </is>
      </c>
      <c r="F656" t="inlineStr">
        <is>
          <t>Climate and sunlight livability raw</t>
        </is>
      </c>
      <c r="G656" t="inlineStr">
        <is>
          <t>viability</t>
        </is>
      </c>
      <c r="H656" t="inlineStr">
        <is>
          <t>yes</t>
        </is>
      </c>
      <c r="I656" t="inlineStr">
        <is>
          <t>67</t>
        </is>
      </c>
      <c r="J656" t="inlineStr">
        <is>
          <t>wmo_natl_met</t>
        </is>
      </c>
      <c r="K656" t="inlineStr">
        <is>
          <t>https://worldweather.wmo.int</t>
        </is>
      </c>
      <c r="L656" t="inlineStr">
        <is>
          <t>WMO/National Met: Climate livability composite</t>
        </is>
      </c>
      <c r="M656" t="inlineStr">
        <is>
          <t>2024-12-31</t>
        </is>
      </c>
      <c r="N656" t="inlineStr">
        <is>
          <t>auto_seed=climate_composite; 1950 sun hrs, 17C mean, mild winters</t>
        </is>
      </c>
    </row>
    <row r="657">
      <c r="A657" t="inlineStr">
        <is>
          <t>jp-fukuoka</t>
        </is>
      </c>
      <c r="B657" t="inlineStr">
        <is>
          <t>Fukuoka</t>
        </is>
      </c>
      <c r="C657" t="inlineStr">
        <is>
          <t>Japan</t>
        </is>
      </c>
      <c r="D657" t="inlineStr">
        <is>
          <t>East Asia</t>
        </is>
      </c>
      <c r="E657" t="inlineStr">
        <is>
          <t>healthcare_quality_raw</t>
        </is>
      </c>
      <c r="F657" t="inlineStr">
        <is>
          <t>Healthcare quality raw</t>
        </is>
      </c>
      <c r="G657" t="inlineStr">
        <is>
          <t>capability</t>
        </is>
      </c>
      <c r="H657" t="inlineStr">
        <is>
          <t>yes</t>
        </is>
      </c>
      <c r="I657" t="inlineStr">
        <is>
          <t>86.0</t>
        </is>
      </c>
      <c r="J657" t="inlineStr">
        <is>
          <t>who_gho</t>
        </is>
      </c>
      <c r="K657" t="inlineStr">
        <is>
          <t>https://www.who.int/data/gho/data/indicators/indicator-details/GHO/UHC_INDEX_REPORTED</t>
        </is>
      </c>
      <c r="L657" t="inlineStr">
        <is>
          <t>WHO GHO: UHC Service Coverage Index</t>
        </is>
      </c>
      <c r="M657" t="inlineStr">
        <is>
          <t>2023-12-31</t>
        </is>
      </c>
      <c r="N657" t="inlineStr">
        <is>
          <t>auto_ingest=who_gho; indicator=UHC_INDEX_REPORTED; year=2023; country_proxy=Japan</t>
        </is>
      </c>
    </row>
    <row r="658">
      <c r="A658" t="inlineStr">
        <is>
          <t>jp-fukuoka</t>
        </is>
      </c>
      <c r="B658" t="inlineStr">
        <is>
          <t>Fukuoka</t>
        </is>
      </c>
      <c r="C658" t="inlineStr">
        <is>
          <t>Japan</t>
        </is>
      </c>
      <c r="D658" t="inlineStr">
        <is>
          <t>East Asia</t>
        </is>
      </c>
      <c r="E658" t="inlineStr">
        <is>
          <t>education_quality_raw</t>
        </is>
      </c>
      <c r="F658" t="inlineStr">
        <is>
          <t>Education quality raw</t>
        </is>
      </c>
      <c r="G658" t="inlineStr">
        <is>
          <t>capability</t>
        </is>
      </c>
      <c r="H658" t="inlineStr">
        <is>
          <t>yes</t>
        </is>
      </c>
      <c r="I658" t="inlineStr">
        <is>
          <t>64.89</t>
        </is>
      </c>
      <c r="J658" t="inlineStr">
        <is>
          <t>world_bank</t>
        </is>
      </c>
      <c r="K658" t="inlineStr">
        <is>
          <t>https://api.worldbank.org/v2/country/JPN/indicator/SE.TER.ENRR?format=json&amp;mrv=10</t>
        </is>
      </c>
      <c r="L658" t="inlineStr">
        <is>
          <t>World Bank WDI: School enrollment, tertiary (% gross)</t>
        </is>
      </c>
      <c r="M658" t="inlineStr">
        <is>
          <t>2023-12-31</t>
        </is>
      </c>
      <c r="N658" t="inlineStr">
        <is>
          <t>auto_ingest=world_bank_proxy; indicator=SE.TER.ENRR; year=2023; country_proxy=Japan</t>
        </is>
      </c>
    </row>
    <row r="659">
      <c r="A659" t="inlineStr">
        <is>
          <t>jp-fukuoka</t>
        </is>
      </c>
      <c r="B659" t="inlineStr">
        <is>
          <t>Fukuoka</t>
        </is>
      </c>
      <c r="C659" t="inlineStr">
        <is>
          <t>Japan</t>
        </is>
      </c>
      <c r="D659" t="inlineStr">
        <is>
          <t>East Asia</t>
        </is>
      </c>
      <c r="E659" t="inlineStr">
        <is>
          <t>equal_opportunity_raw</t>
        </is>
      </c>
      <c r="F659" t="inlineStr">
        <is>
          <t>Equal opportunity raw</t>
        </is>
      </c>
      <c r="G659" t="inlineStr">
        <is>
          <t>capability</t>
        </is>
      </c>
      <c r="H659" t="inlineStr">
        <is>
          <t>yes</t>
        </is>
      </c>
      <c r="I659" t="inlineStr">
        <is>
          <t>32.3</t>
        </is>
      </c>
      <c r="J659" t="inlineStr">
        <is>
          <t>world_bank</t>
        </is>
      </c>
      <c r="K659" t="inlineStr">
        <is>
          <t>https://api.worldbank.org/v2/country/JPN/indicator/SI.POV.GINI?format=json&amp;mrv=10</t>
        </is>
      </c>
      <c r="L659" t="inlineStr">
        <is>
          <t>World Bank WDI: Gini index</t>
        </is>
      </c>
      <c r="M659" t="inlineStr">
        <is>
          <t>2020-12-31</t>
        </is>
      </c>
      <c r="N659" t="inlineStr">
        <is>
          <t>auto_ingest=world_bank_capability; indicator=SI.POV.GINI; year=2020; country_proxy=Japan</t>
        </is>
      </c>
    </row>
    <row r="660">
      <c r="A660" t="inlineStr">
        <is>
          <t>jp-fukuoka</t>
        </is>
      </c>
      <c r="B660" t="inlineStr">
        <is>
          <t>Fukuoka</t>
        </is>
      </c>
      <c r="C660" t="inlineStr">
        <is>
          <t>Japan</t>
        </is>
      </c>
      <c r="D660" t="inlineStr">
        <is>
          <t>East Asia</t>
        </is>
      </c>
      <c r="E660" t="inlineStr">
        <is>
          <t>hospitality_belonging_raw</t>
        </is>
      </c>
      <c r="F660" t="inlineStr">
        <is>
          <t>Hospitality and belonging raw</t>
        </is>
      </c>
      <c r="G660" t="inlineStr">
        <is>
          <t>community</t>
        </is>
      </c>
      <c r="H660" t="inlineStr">
        <is>
          <t>yes</t>
        </is>
      </c>
      <c r="I660" t="inlineStr">
        <is>
          <t>51.13</t>
        </is>
      </c>
      <c r="J660" t="inlineStr">
        <is>
          <t>world_bank</t>
        </is>
      </c>
      <c r="K660" t="inlineStr">
        <is>
          <t>https://api.worldbank.org/v2/country/JPN/indicator/SM.POP.NETM?format=json&amp;mrv=10</t>
        </is>
      </c>
      <c r="L660" t="inlineStr">
        <is>
          <t>World Bank WDI: Net migration (proxy for hospitality/belonging — positive = welcoming)</t>
        </is>
      </c>
      <c r="M660" t="inlineStr">
        <is>
          <t>2025-12-31</t>
        </is>
      </c>
      <c r="N660" t="inlineStr">
        <is>
          <t>auto_ingest=world_bank_proxy; proxy=net_migration_hospitality; indicator=SM.POP.NETM; year=2025; country_proxy=Japan</t>
        </is>
      </c>
    </row>
    <row r="661">
      <c r="A661" t="inlineStr">
        <is>
          <t>jp-fukuoka</t>
        </is>
      </c>
      <c r="B661" t="inlineStr">
        <is>
          <t>Fukuoka</t>
        </is>
      </c>
      <c r="C661" t="inlineStr">
        <is>
          <t>Japan</t>
        </is>
      </c>
      <c r="D661" t="inlineStr">
        <is>
          <t>East Asia</t>
        </is>
      </c>
      <c r="E661" t="inlineStr">
        <is>
          <t>tolerance_pluralism_raw</t>
        </is>
      </c>
      <c r="F661" t="inlineStr">
        <is>
          <t>Tolerance and pluralism raw</t>
        </is>
      </c>
      <c r="G661" t="inlineStr">
        <is>
          <t>community</t>
        </is>
      </c>
      <c r="H661" t="inlineStr">
        <is>
          <t>yes</t>
        </is>
      </c>
      <c r="I661" t="inlineStr">
        <is>
          <t>15.7</t>
        </is>
      </c>
      <c r="J661" t="inlineStr">
        <is>
          <t>world_bank</t>
        </is>
      </c>
      <c r="K661" t="inlineStr">
        <is>
          <t>https://api.worldbank.org/v2/country/JPN/indicator/SG.GEN.PARL.ZS?format=json&amp;mrv=10</t>
        </is>
      </c>
      <c r="L661" t="inlineStr">
        <is>
          <t>World Bank WDI: Proportion of seats held by women in national parliaments (%)</t>
        </is>
      </c>
      <c r="M661" t="inlineStr">
        <is>
          <t>2024-12-31</t>
        </is>
      </c>
      <c r="N661" t="inlineStr">
        <is>
          <t>auto_ingest=world_bank_proxy; proxy=gender_parity_parliament; indicator=SG.GEN.PARL.ZS; year=2024; country_proxy=Japan</t>
        </is>
      </c>
    </row>
    <row r="662">
      <c r="A662" t="inlineStr">
        <is>
          <t>jp-fukuoka</t>
        </is>
      </c>
      <c r="B662" t="inlineStr">
        <is>
          <t>Fukuoka</t>
        </is>
      </c>
      <c r="C662" t="inlineStr">
        <is>
          <t>Japan</t>
        </is>
      </c>
      <c r="D662" t="inlineStr">
        <is>
          <t>East Asia</t>
        </is>
      </c>
      <c r="E662" t="inlineStr">
        <is>
          <t>cultural_public_life_raw</t>
        </is>
      </c>
      <c r="F662" t="inlineStr">
        <is>
          <t>Cultural public life raw</t>
        </is>
      </c>
      <c r="G662" t="inlineStr">
        <is>
          <t>community</t>
        </is>
      </c>
      <c r="H662" t="inlineStr">
        <is>
          <t>yes</t>
        </is>
      </c>
      <c r="I662" t="inlineStr">
        <is>
          <t>33.2</t>
        </is>
      </c>
      <c r="J662" t="inlineStr">
        <is>
          <t>world_bank</t>
        </is>
      </c>
      <c r="K662" t="inlineStr">
        <is>
          <t>https://api.worldbank.org/v2/country/JPN/indicator/ST.INT.ARVL?format=json&amp;mrv=10</t>
        </is>
      </c>
      <c r="L662" t="inlineStr">
        <is>
          <t>World Bank WDI: International tourism arrivals per 1 000 population</t>
        </is>
      </c>
      <c r="M662" t="inlineStr">
        <is>
          <t>2020-12-31</t>
        </is>
      </c>
      <c r="N662" t="inlineStr">
        <is>
          <t>auto_ingest=cultural_life_proxy; indicator=ST.INT.ARVL; norm=per_1000_pop; year=2020; country_proxy=Japan</t>
        </is>
      </c>
    </row>
    <row r="663">
      <c r="A663" t="inlineStr">
        <is>
          <t>jp-fukuoka</t>
        </is>
      </c>
      <c r="B663" t="inlineStr">
        <is>
          <t>Fukuoka</t>
        </is>
      </c>
      <c r="C663" t="inlineStr">
        <is>
          <t>Japan</t>
        </is>
      </c>
      <c r="D663" t="inlineStr">
        <is>
          <t>East Asia</t>
        </is>
      </c>
      <c r="E663" t="inlineStr">
        <is>
          <t>birth_rate_optimism_raw</t>
        </is>
      </c>
      <c r="F663" t="inlineStr">
        <is>
          <t>Birth rate and societal optimism raw</t>
        </is>
      </c>
      <c r="G663" t="inlineStr">
        <is>
          <t>community</t>
        </is>
      </c>
      <c r="H663" t="inlineStr">
        <is>
          <t>yes</t>
        </is>
      </c>
      <c r="I663" t="inlineStr">
        <is>
          <t>1.2</t>
        </is>
      </c>
      <c r="J663" t="inlineStr">
        <is>
          <t>world_bank</t>
        </is>
      </c>
      <c r="K663" t="inlineStr">
        <is>
          <t>https://data.worldbank.org/indicator/SP.DYN.TFRT.IN</t>
        </is>
      </c>
      <c r="L663" t="inlineStr">
        <is>
          <t>World Bank Total Fertility Rate 2023</t>
        </is>
      </c>
      <c r="M663" t="inlineStr">
        <is>
          <t>2024-01-01</t>
        </is>
      </c>
      <c r="N663" t="inlineStr"/>
    </row>
    <row r="664">
      <c r="A664" t="inlineStr">
        <is>
          <t>jp-fukuoka</t>
        </is>
      </c>
      <c r="B664" t="inlineStr">
        <is>
          <t>Fukuoka</t>
        </is>
      </c>
      <c r="C664" t="inlineStr">
        <is>
          <t>Japan</t>
        </is>
      </c>
      <c r="D664" t="inlineStr">
        <is>
          <t>East Asia</t>
        </is>
      </c>
      <c r="E664" t="inlineStr">
        <is>
          <t>entrepreneurial_dynamism_raw</t>
        </is>
      </c>
      <c r="F664" t="inlineStr">
        <is>
          <t>Entrepreneurial dynamism raw</t>
        </is>
      </c>
      <c r="G664" t="inlineStr">
        <is>
          <t>creative</t>
        </is>
      </c>
      <c r="H664" t="inlineStr">
        <is>
          <t>yes</t>
        </is>
      </c>
      <c r="I664" t="inlineStr">
        <is>
          <t>0.51</t>
        </is>
      </c>
      <c r="J664" t="inlineStr">
        <is>
          <t>world_bank</t>
        </is>
      </c>
      <c r="K664" t="inlineStr">
        <is>
          <t>https://api.worldbank.org/v2/country/JPN/indicator/IC.BUS.NDNS.ZS?format=json&amp;mrv=10</t>
        </is>
      </c>
      <c r="L664" t="inlineStr">
        <is>
          <t>World Bank WDI: New business density (new registrations per 1,000 people ages 15-64)</t>
        </is>
      </c>
      <c r="M664" t="inlineStr">
        <is>
          <t>2022-12-31</t>
        </is>
      </c>
      <c r="N664" t="inlineStr">
        <is>
          <t>auto_ingest=world_bank_creative_extended; indicator=IC.BUS.NDNS.ZS; year=2022; country_proxy=Japan</t>
        </is>
      </c>
    </row>
    <row r="665">
      <c r="A665" t="inlineStr">
        <is>
          <t>jp-fukuoka</t>
        </is>
      </c>
      <c r="B665" t="inlineStr">
        <is>
          <t>Fukuoka</t>
        </is>
      </c>
      <c r="C665" t="inlineStr">
        <is>
          <t>Japan</t>
        </is>
      </c>
      <c r="D665" t="inlineStr">
        <is>
          <t>East Asia</t>
        </is>
      </c>
      <c r="E665" t="inlineStr">
        <is>
          <t>innovation_research_intensity_raw</t>
        </is>
      </c>
      <c r="F665" t="inlineStr">
        <is>
          <t>Innovation and research raw</t>
        </is>
      </c>
      <c r="G665" t="inlineStr">
        <is>
          <t>creative</t>
        </is>
      </c>
      <c r="H665" t="inlineStr">
        <is>
          <t>yes</t>
        </is>
      </c>
      <c r="I665" t="inlineStr">
        <is>
          <t>3.41</t>
        </is>
      </c>
      <c r="J665" t="inlineStr">
        <is>
          <t>world_bank</t>
        </is>
      </c>
      <c r="K665" t="inlineStr">
        <is>
          <t>https://api.worldbank.org/v2/country/JPN/indicator/GB.XPD.RSDV.GD.ZS?format=json&amp;mrv=10</t>
        </is>
      </c>
      <c r="L665" t="inlineStr">
        <is>
          <t>World Bank WDI: Research and development expenditure (% of GDP)</t>
        </is>
      </c>
      <c r="M665" t="inlineStr">
        <is>
          <t>2022-12-31</t>
        </is>
      </c>
      <c r="N665" t="inlineStr">
        <is>
          <t>auto_ingest=world_bank_creative_extended; indicator=GB.XPD.RSDV.GD.ZS; year=2022; country_proxy=Japan</t>
        </is>
      </c>
    </row>
    <row r="666">
      <c r="A666" t="inlineStr">
        <is>
          <t>jp-fukuoka</t>
        </is>
      </c>
      <c r="B666" t="inlineStr">
        <is>
          <t>Fukuoka</t>
        </is>
      </c>
      <c r="C666" t="inlineStr">
        <is>
          <t>Japan</t>
        </is>
      </c>
      <c r="D666" t="inlineStr">
        <is>
          <t>East Asia</t>
        </is>
      </c>
      <c r="E666" t="inlineStr">
        <is>
          <t>investment_signal_raw</t>
        </is>
      </c>
      <c r="F666" t="inlineStr">
        <is>
          <t>Investment signal raw</t>
        </is>
      </c>
      <c r="G666" t="inlineStr">
        <is>
          <t>creative</t>
        </is>
      </c>
      <c r="H666" t="inlineStr">
        <is>
          <t>yes</t>
        </is>
      </c>
      <c r="I666" t="inlineStr">
        <is>
          <t>0.4</t>
        </is>
      </c>
      <c r="J666" t="inlineStr">
        <is>
          <t>world_bank</t>
        </is>
      </c>
      <c r="K666" t="inlineStr">
        <is>
          <t>https://api.worldbank.org/v2/country/JPN/indicator/BX.KLT.DINV.WD.GD.ZS?format=json&amp;mrv=10</t>
        </is>
      </c>
      <c r="L666" t="inlineStr">
        <is>
          <t>World Bank WDI: Foreign direct investment, net inflows (% of GDP)</t>
        </is>
      </c>
      <c r="M666" t="inlineStr">
        <is>
          <t>2024-12-31</t>
        </is>
      </c>
      <c r="N666" t="inlineStr">
        <is>
          <t>auto_ingest=world_bank_creative_extended; indicator=BX.KLT.DINV.WD.GD.ZS; year=2024; country_proxy=Japan</t>
        </is>
      </c>
    </row>
    <row r="667">
      <c r="A667" t="inlineStr">
        <is>
          <t>jp-fukuoka</t>
        </is>
      </c>
      <c r="B667" t="inlineStr">
        <is>
          <t>Fukuoka</t>
        </is>
      </c>
      <c r="C667" t="inlineStr">
        <is>
          <t>Japan</t>
        </is>
      </c>
      <c r="D667" t="inlineStr">
        <is>
          <t>East Asia</t>
        </is>
      </c>
      <c r="E667" t="inlineStr">
        <is>
          <t>administrative_investment_friction_raw</t>
        </is>
      </c>
      <c r="F667" t="inlineStr">
        <is>
          <t>Administrative investment friction raw</t>
        </is>
      </c>
      <c r="G667" t="inlineStr">
        <is>
          <t>creative</t>
        </is>
      </c>
      <c r="H667" t="inlineStr">
        <is>
          <t>yes</t>
        </is>
      </c>
      <c r="I667" t="inlineStr">
        <is>
          <t>1.03</t>
        </is>
      </c>
      <c r="J667" t="inlineStr">
        <is>
          <t>world_bank</t>
        </is>
      </c>
      <c r="K667" t="inlineStr">
        <is>
          <t>https://api.worldbank.org/v2/country/JPN/indicator/RQ.EST?format=json&amp;mrv=10</t>
        </is>
      </c>
      <c r="L667" t="inlineStr">
        <is>
          <t>World Bank WGI: Regulatory Quality (inverted as friction proxy)</t>
        </is>
      </c>
      <c r="M667" t="inlineStr">
        <is>
          <t>2023-12-31</t>
        </is>
      </c>
      <c r="N667" t="inlineStr">
        <is>
          <t>auto_ingest=world_bank_business_friction; indicator=RQ.EST; raw_rq=1.46932590007782; friction=1.03; year=2023; country_proxy=Japan</t>
        </is>
      </c>
    </row>
    <row r="668">
      <c r="A668" t="inlineStr">
        <is>
          <t>jp-fukuoka</t>
        </is>
      </c>
      <c r="B668" t="inlineStr">
        <is>
          <t>Fukuoka</t>
        </is>
      </c>
      <c r="C668" t="inlineStr">
        <is>
          <t>Japan</t>
        </is>
      </c>
      <c r="D668" t="inlineStr">
        <is>
          <t>East Asia</t>
        </is>
      </c>
      <c r="E668" t="inlineStr">
        <is>
          <t>visitor_flow_context_raw</t>
        </is>
      </c>
      <c r="F668" t="inlineStr">
        <is>
          <t>Visitor flow context raw</t>
        </is>
      </c>
      <c r="G668" t="inlineStr">
        <is>
          <t>creative</t>
        </is>
      </c>
      <c r="H668" t="inlineStr">
        <is>
          <t>no</t>
        </is>
      </c>
      <c r="I668" t="inlineStr"/>
      <c r="J668" t="inlineStr"/>
      <c r="K668" t="inlineStr"/>
      <c r="L668" t="inlineStr"/>
      <c r="M668" t="inlineStr"/>
      <c r="N668" t="inlineStr"/>
    </row>
    <row r="669">
      <c r="A669" t="inlineStr">
        <is>
          <t>jp-kobe</t>
        </is>
      </c>
      <c r="B669" t="inlineStr">
        <is>
          <t>Kobe</t>
        </is>
      </c>
      <c r="C669" t="inlineStr">
        <is>
          <t>Japan</t>
        </is>
      </c>
      <c r="D669" t="inlineStr">
        <is>
          <t>East Asia</t>
        </is>
      </c>
      <c r="E669" t="inlineStr">
        <is>
          <t>gross_income</t>
        </is>
      </c>
      <c r="F669" t="inlineStr">
        <is>
          <t>Gross income</t>
        </is>
      </c>
      <c r="G669" t="inlineStr">
        <is>
          <t>pressure</t>
        </is>
      </c>
      <c r="H669" t="inlineStr">
        <is>
          <t>yes</t>
        </is>
      </c>
      <c r="I669" t="inlineStr">
        <is>
          <t>4161.75</t>
        </is>
      </c>
      <c r="J669" t="inlineStr">
        <is>
          <t>world_bank_col_estimate</t>
        </is>
      </c>
      <c r="K669" t="inlineStr">
        <is>
          <t>https://api.worldbank.org/v2/country/JPN/indicator/NY.GNP.PCAP.PP.CD?format=json&amp;mrv=10</t>
        </is>
      </c>
      <c r="L669" t="inlineStr">
        <is>
          <t>World Bank WDI: GNI per capita PPP (monthly USD)</t>
        </is>
      </c>
      <c r="M669" t="inlineStr">
        <is>
          <t>2024-12-31</t>
        </is>
      </c>
      <c r="N669" t="inlineStr">
        <is>
          <t>auto_ingest=world_bank_col_estimate; gni_annual=55490.0; year=2024; country_proxy=Japan; cohort=East Asia; city_income_mult=0.9</t>
        </is>
      </c>
    </row>
    <row r="670">
      <c r="A670" t="inlineStr">
        <is>
          <t>jp-kobe</t>
        </is>
      </c>
      <c r="B670" t="inlineStr">
        <is>
          <t>Kobe</t>
        </is>
      </c>
      <c r="C670" t="inlineStr">
        <is>
          <t>Japan</t>
        </is>
      </c>
      <c r="D670" t="inlineStr">
        <is>
          <t>East Asia</t>
        </is>
      </c>
      <c r="E670" t="inlineStr">
        <is>
          <t>di_ppp_raw</t>
        </is>
      </c>
      <c r="F670" t="inlineStr">
        <is>
          <t>Disposable income PPP (Raw)</t>
        </is>
      </c>
      <c r="G670" t="inlineStr">
        <is>
          <t>pressure</t>
        </is>
      </c>
      <c r="H670" t="inlineStr">
        <is>
          <t>yes</t>
        </is>
      </c>
      <c r="I670" t="inlineStr"/>
      <c r="J670" t="inlineStr"/>
      <c r="K670" t="inlineStr"/>
      <c r="L670" t="inlineStr"/>
      <c r="M670" t="inlineStr"/>
      <c r="N670" t="inlineStr"/>
    </row>
    <row r="671">
      <c r="A671" t="inlineStr">
        <is>
          <t>jp-kobe</t>
        </is>
      </c>
      <c r="B671" t="inlineStr">
        <is>
          <t>Kobe</t>
        </is>
      </c>
      <c r="C671" t="inlineStr">
        <is>
          <t>Japan</t>
        </is>
      </c>
      <c r="D671" t="inlineStr">
        <is>
          <t>East Asia</t>
        </is>
      </c>
      <c r="E671" t="inlineStr">
        <is>
          <t>rent</t>
        </is>
      </c>
      <c r="F671" t="inlineStr">
        <is>
          <t>Rent</t>
        </is>
      </c>
      <c r="G671" t="inlineStr">
        <is>
          <t>pressure</t>
        </is>
      </c>
      <c r="H671" t="inlineStr">
        <is>
          <t>yes</t>
        </is>
      </c>
      <c r="I671" t="inlineStr">
        <is>
          <t>884.37</t>
        </is>
      </c>
      <c r="J671" t="inlineStr">
        <is>
          <t>world_bank_col_estimate</t>
        </is>
      </c>
      <c r="K671" t="inlineStr">
        <is>
          <t>https://api.worldbank.org/v2/country/JPN/indicator/NY.GNP.PCAP.PP.CD?format=json&amp;mrv=10</t>
        </is>
      </c>
      <c r="L671" t="inlineStr">
        <is>
          <t>World Bank GNI + regional expenditure ratio estimate</t>
        </is>
      </c>
      <c r="M671" t="inlineStr">
        <is>
          <t>2024-12-31</t>
        </is>
      </c>
      <c r="N671" t="inlineStr">
        <is>
          <t>auto_ingest=world_bank_col_estimate; gni_annual=55490.0; year=2024; country_proxy=Japan; cohort=East Asia; city_cost_mult=0.85</t>
        </is>
      </c>
    </row>
    <row r="672">
      <c r="A672" t="inlineStr">
        <is>
          <t>jp-kobe</t>
        </is>
      </c>
      <c r="B672" t="inlineStr">
        <is>
          <t>Kobe</t>
        </is>
      </c>
      <c r="C672" t="inlineStr">
        <is>
          <t>Japan</t>
        </is>
      </c>
      <c r="D672" t="inlineStr">
        <is>
          <t>East Asia</t>
        </is>
      </c>
      <c r="E672" t="inlineStr">
        <is>
          <t>utilities</t>
        </is>
      </c>
      <c r="F672" t="inlineStr">
        <is>
          <t>Utilities</t>
        </is>
      </c>
      <c r="G672" t="inlineStr">
        <is>
          <t>pressure</t>
        </is>
      </c>
      <c r="H672" t="inlineStr">
        <is>
          <t>yes</t>
        </is>
      </c>
      <c r="I672" t="inlineStr">
        <is>
          <t>212.25</t>
        </is>
      </c>
      <c r="J672" t="inlineStr">
        <is>
          <t>world_bank_col_estimate</t>
        </is>
      </c>
      <c r="K672" t="inlineStr">
        <is>
          <t>https://api.worldbank.org/v2/country/JPN/indicator/NY.GNP.PCAP.PP.CD?format=json&amp;mrv=10</t>
        </is>
      </c>
      <c r="L672" t="inlineStr">
        <is>
          <t>World Bank GNI + regional expenditure ratio estimate</t>
        </is>
      </c>
      <c r="M672" t="inlineStr">
        <is>
          <t>2024-12-31</t>
        </is>
      </c>
      <c r="N672" t="inlineStr">
        <is>
          <t>auto_ingest=world_bank_col_estimate; gni_annual=55490.0; year=2024; country_proxy=Japan; cohort=East Asia; city_cost_mult=0.85</t>
        </is>
      </c>
    </row>
    <row r="673">
      <c r="A673" t="inlineStr">
        <is>
          <t>jp-kobe</t>
        </is>
      </c>
      <c r="B673" t="inlineStr">
        <is>
          <t>Kobe</t>
        </is>
      </c>
      <c r="C673" t="inlineStr">
        <is>
          <t>Japan</t>
        </is>
      </c>
      <c r="D673" t="inlineStr">
        <is>
          <t>East Asia</t>
        </is>
      </c>
      <c r="E673" t="inlineStr">
        <is>
          <t>transit_cost</t>
        </is>
      </c>
      <c r="F673" t="inlineStr">
        <is>
          <t>Transit cost</t>
        </is>
      </c>
      <c r="G673" t="inlineStr">
        <is>
          <t>pressure</t>
        </is>
      </c>
      <c r="H673" t="inlineStr">
        <is>
          <t>yes</t>
        </is>
      </c>
      <c r="I673" t="inlineStr">
        <is>
          <t>141.5</t>
        </is>
      </c>
      <c r="J673" t="inlineStr">
        <is>
          <t>world_bank_col_estimate</t>
        </is>
      </c>
      <c r="K673" t="inlineStr">
        <is>
          <t>https://api.worldbank.org/v2/country/JPN/indicator/NY.GNP.PCAP.PP.CD?format=json&amp;mrv=10</t>
        </is>
      </c>
      <c r="L673" t="inlineStr">
        <is>
          <t>World Bank GNI + regional expenditure ratio estimate</t>
        </is>
      </c>
      <c r="M673" t="inlineStr">
        <is>
          <t>2024-12-31</t>
        </is>
      </c>
      <c r="N673" t="inlineStr">
        <is>
          <t>auto_ingest=world_bank_col_estimate; gni_annual=55490.0; year=2024; country_proxy=Japan; cohort=East Asia; city_cost_mult=0.85</t>
        </is>
      </c>
    </row>
    <row r="674">
      <c r="A674" t="inlineStr">
        <is>
          <t>jp-kobe</t>
        </is>
      </c>
      <c r="B674" t="inlineStr">
        <is>
          <t>Kobe</t>
        </is>
      </c>
      <c r="C674" t="inlineStr">
        <is>
          <t>Japan</t>
        </is>
      </c>
      <c r="D674" t="inlineStr">
        <is>
          <t>East Asia</t>
        </is>
      </c>
      <c r="E674" t="inlineStr">
        <is>
          <t>internet_cost</t>
        </is>
      </c>
      <c r="F674" t="inlineStr">
        <is>
          <t>Internet cost</t>
        </is>
      </c>
      <c r="G674" t="inlineStr">
        <is>
          <t>pressure</t>
        </is>
      </c>
      <c r="H674" t="inlineStr">
        <is>
          <t>yes</t>
        </is>
      </c>
      <c r="I674" t="inlineStr">
        <is>
          <t>53.06</t>
        </is>
      </c>
      <c r="J674" t="inlineStr">
        <is>
          <t>world_bank_col_estimate</t>
        </is>
      </c>
      <c r="K674" t="inlineStr">
        <is>
          <t>https://api.worldbank.org/v2/country/JPN/indicator/NY.GNP.PCAP.PP.CD?format=json&amp;mrv=10</t>
        </is>
      </c>
      <c r="L674" t="inlineStr">
        <is>
          <t>World Bank GNI + regional expenditure ratio estimate</t>
        </is>
      </c>
      <c r="M674" t="inlineStr">
        <is>
          <t>2024-12-31</t>
        </is>
      </c>
      <c r="N674" t="inlineStr">
        <is>
          <t>auto_ingest=world_bank_col_estimate; gni_annual=55490.0; year=2024; country_proxy=Japan; cohort=East Asia; city_cost_mult=0.85</t>
        </is>
      </c>
    </row>
    <row r="675">
      <c r="A675" t="inlineStr">
        <is>
          <t>jp-kobe</t>
        </is>
      </c>
      <c r="B675" t="inlineStr">
        <is>
          <t>Kobe</t>
        </is>
      </c>
      <c r="C675" t="inlineStr">
        <is>
          <t>Japan</t>
        </is>
      </c>
      <c r="D675" t="inlineStr">
        <is>
          <t>East Asia</t>
        </is>
      </c>
      <c r="E675" t="inlineStr">
        <is>
          <t>food_cost</t>
        </is>
      </c>
      <c r="F675" t="inlineStr">
        <is>
          <t>Food cost</t>
        </is>
      </c>
      <c r="G675" t="inlineStr">
        <is>
          <t>pressure</t>
        </is>
      </c>
      <c r="H675" t="inlineStr">
        <is>
          <t>yes</t>
        </is>
      </c>
      <c r="I675" t="inlineStr">
        <is>
          <t>707.5</t>
        </is>
      </c>
      <c r="J675" t="inlineStr">
        <is>
          <t>world_bank_col_estimate</t>
        </is>
      </c>
      <c r="K675" t="inlineStr">
        <is>
          <t>https://api.worldbank.org/v2/country/JPN/indicator/NY.GNP.PCAP.PP.CD?format=json&amp;mrv=10</t>
        </is>
      </c>
      <c r="L675" t="inlineStr">
        <is>
          <t>World Bank GNI + regional expenditure ratio estimate</t>
        </is>
      </c>
      <c r="M675" t="inlineStr">
        <is>
          <t>2024-12-31</t>
        </is>
      </c>
      <c r="N675" t="inlineStr">
        <is>
          <t>auto_ingest=world_bank_col_estimate; gni_annual=55490.0; year=2024; country_proxy=Japan; cohort=East Asia; city_cost_mult=0.85</t>
        </is>
      </c>
    </row>
    <row r="676">
      <c r="A676" t="inlineStr">
        <is>
          <t>jp-kobe</t>
        </is>
      </c>
      <c r="B676" t="inlineStr">
        <is>
          <t>Kobe</t>
        </is>
      </c>
      <c r="C676" t="inlineStr">
        <is>
          <t>Japan</t>
        </is>
      </c>
      <c r="D676" t="inlineStr">
        <is>
          <t>East Asia</t>
        </is>
      </c>
      <c r="E676" t="inlineStr">
        <is>
          <t>housing_burden_raw</t>
        </is>
      </c>
      <c r="F676" t="inlineStr">
        <is>
          <t>Housing burden raw</t>
        </is>
      </c>
      <c r="G676" t="inlineStr">
        <is>
          <t>pressure</t>
        </is>
      </c>
      <c r="H676" t="inlineStr">
        <is>
          <t>yes</t>
        </is>
      </c>
      <c r="I676" t="inlineStr">
        <is>
          <t>21.25</t>
        </is>
      </c>
      <c r="J676" t="inlineStr">
        <is>
          <t>derived</t>
        </is>
      </c>
      <c r="K676" t="inlineStr">
        <is>
          <t>https://data.worldbank.org/indicator/NY.GNP.PCAP.PP.CD</t>
        </is>
      </c>
      <c r="L676" t="inlineStr">
        <is>
          <t>Computed from city_inputs + country_context</t>
        </is>
      </c>
      <c r="M676" t="inlineStr">
        <is>
          <t>2024-01-01</t>
        </is>
      </c>
      <c r="N676" t="inlineStr">
        <is>
          <t>derived=rent/gross_income*100</t>
        </is>
      </c>
    </row>
    <row r="677">
      <c r="A677" t="inlineStr">
        <is>
          <t>jp-kobe</t>
        </is>
      </c>
      <c r="B677" t="inlineStr">
        <is>
          <t>Kobe</t>
        </is>
      </c>
      <c r="C677" t="inlineStr">
        <is>
          <t>Japan</t>
        </is>
      </c>
      <c r="D677" t="inlineStr">
        <is>
          <t>East Asia</t>
        </is>
      </c>
      <c r="E677" t="inlineStr">
        <is>
          <t>household_debt_burden_raw</t>
        </is>
      </c>
      <c r="F677" t="inlineStr">
        <is>
          <t>Household debt burden raw</t>
        </is>
      </c>
      <c r="G677" t="inlineStr">
        <is>
          <t>pressure</t>
        </is>
      </c>
      <c r="H677" t="inlineStr">
        <is>
          <t>yes</t>
        </is>
      </c>
      <c r="I677" t="inlineStr">
        <is>
          <t>123.1289</t>
        </is>
      </c>
      <c r="J677" t="inlineStr">
        <is>
          <t>derived</t>
        </is>
      </c>
      <c r="K677" t="inlineStr">
        <is>
          <t>https://data.worldbank.org/indicator/NY.GNP.PCAP.PP.CD</t>
        </is>
      </c>
      <c r="L677" t="inlineStr">
        <is>
          <t>Computed from city_inputs + country_context</t>
        </is>
      </c>
      <c r="M677" t="inlineStr">
        <is>
          <t>2024-01-01</t>
        </is>
      </c>
      <c r="N677" t="inlineStr">
        <is>
          <t>derived=country_context.household_debt_proxy; country=Japan</t>
        </is>
      </c>
    </row>
    <row r="678">
      <c r="A678" t="inlineStr">
        <is>
          <t>jp-kobe</t>
        </is>
      </c>
      <c r="B678" t="inlineStr">
        <is>
          <t>Kobe</t>
        </is>
      </c>
      <c r="C678" t="inlineStr">
        <is>
          <t>Japan</t>
        </is>
      </c>
      <c r="D678" t="inlineStr">
        <is>
          <t>East Asia</t>
        </is>
      </c>
      <c r="E678" t="inlineStr">
        <is>
          <t>working_time_pressure_raw</t>
        </is>
      </c>
      <c r="F678" t="inlineStr">
        <is>
          <t>Working time pressure raw</t>
        </is>
      </c>
      <c r="G678" t="inlineStr">
        <is>
          <t>pressure</t>
        </is>
      </c>
      <c r="H678" t="inlineStr">
        <is>
          <t>yes</t>
        </is>
      </c>
      <c r="I678" t="inlineStr">
        <is>
          <t>36.6</t>
        </is>
      </c>
      <c r="J678" t="inlineStr">
        <is>
          <t>ilo_ilostat</t>
        </is>
      </c>
      <c r="K678" t="inlineStr">
        <is>
          <t>https://ilostat.ilo.org/data/indicator/?id=HOW_TEMP_SEX_ECO_NB_A&amp;ref_area=JPN</t>
        </is>
      </c>
      <c r="L678" t="inlineStr">
        <is>
          <t>ILO ILOSTAT: Mean weekly hours actually worked per employed person</t>
        </is>
      </c>
      <c r="M678" t="inlineStr">
        <is>
          <t>2020-12-31</t>
        </is>
      </c>
      <c r="N678" t="inlineStr">
        <is>
          <t>auto_ingest=ilo_working_hours; indicator=HOW_TEMP_SEX_ECO_NB_A; year=2020; hours=36.6; country_proxy=Japan</t>
        </is>
      </c>
    </row>
    <row r="679">
      <c r="A679" t="inlineStr">
        <is>
          <t>jp-kobe</t>
        </is>
      </c>
      <c r="B679" t="inlineStr">
        <is>
          <t>Kobe</t>
        </is>
      </c>
      <c r="C679" t="inlineStr">
        <is>
          <t>Japan</t>
        </is>
      </c>
      <c r="D679" t="inlineStr">
        <is>
          <t>East Asia</t>
        </is>
      </c>
      <c r="E679" t="inlineStr">
        <is>
          <t>suicide_mental_strain_raw</t>
        </is>
      </c>
      <c r="F679" t="inlineStr">
        <is>
          <t>Suicide or mental strain raw</t>
        </is>
      </c>
      <c r="G679" t="inlineStr">
        <is>
          <t>pressure</t>
        </is>
      </c>
      <c r="H679" t="inlineStr">
        <is>
          <t>yes</t>
        </is>
      </c>
      <c r="I679" t="inlineStr">
        <is>
          <t>17.43</t>
        </is>
      </c>
      <c r="J679" t="inlineStr">
        <is>
          <t>who_gho</t>
        </is>
      </c>
      <c r="K679" t="inlineStr">
        <is>
          <t>https://www.who.int/data/gho/data/indicators/indicator-details/GHO/SDGSUICIDE</t>
        </is>
      </c>
      <c r="L679" t="inlineStr">
        <is>
          <t>WHO GHO: Age-standardized suicide rate (per 100,000 population)</t>
        </is>
      </c>
      <c r="M679" t="inlineStr">
        <is>
          <t>2021-12-31</t>
        </is>
      </c>
      <c r="N679" t="inlineStr">
        <is>
          <t>auto_ingest=who_gho; indicator=SDGSUICIDE; year=2021; country_proxy=Japan</t>
        </is>
      </c>
    </row>
    <row r="680">
      <c r="A680" t="inlineStr">
        <is>
          <t>jp-kobe</t>
        </is>
      </c>
      <c r="B680" t="inlineStr">
        <is>
          <t>Kobe</t>
        </is>
      </c>
      <c r="C680" t="inlineStr">
        <is>
          <t>Japan</t>
        </is>
      </c>
      <c r="D680" t="inlineStr">
        <is>
          <t>East Asia</t>
        </is>
      </c>
      <c r="E680" t="inlineStr">
        <is>
          <t>personal_safety_raw</t>
        </is>
      </c>
      <c r="F680" t="inlineStr">
        <is>
          <t>Personal safety raw</t>
        </is>
      </c>
      <c r="G680" t="inlineStr">
        <is>
          <t>viability</t>
        </is>
      </c>
      <c r="H680" t="inlineStr">
        <is>
          <t>yes</t>
        </is>
      </c>
      <c r="I680" t="inlineStr">
        <is>
          <t>0.23</t>
        </is>
      </c>
      <c r="J680" t="inlineStr">
        <is>
          <t>world_bank</t>
        </is>
      </c>
      <c r="K680" t="inlineStr">
        <is>
          <t>https://api.worldbank.org/v2/country/JPN/indicator/VC.IHR.PSRC.P5?format=json&amp;mrv=10</t>
        </is>
      </c>
      <c r="L680" t="inlineStr">
        <is>
          <t>UNODC via World Bank WDI: Intentional homicides (per 100,000 people)</t>
        </is>
      </c>
      <c r="M680" t="inlineStr">
        <is>
          <t>2023-12-31</t>
        </is>
      </c>
      <c r="N680" t="inlineStr">
        <is>
          <t>auto_ingest=unodc_safety; indicator=VC.IHR.PSRC.P5; year=2023; country_proxy=Japan</t>
        </is>
      </c>
    </row>
    <row r="681">
      <c r="A681" t="inlineStr">
        <is>
          <t>jp-kobe</t>
        </is>
      </c>
      <c r="B681" t="inlineStr">
        <is>
          <t>Kobe</t>
        </is>
      </c>
      <c r="C681" t="inlineStr">
        <is>
          <t>Japan</t>
        </is>
      </c>
      <c r="D681" t="inlineStr">
        <is>
          <t>East Asia</t>
        </is>
      </c>
      <c r="E681" t="inlineStr">
        <is>
          <t>transit_access_commute_raw</t>
        </is>
      </c>
      <c r="F681" t="inlineStr">
        <is>
          <t>Transit access and commute raw</t>
        </is>
      </c>
      <c r="G681" t="inlineStr">
        <is>
          <t>viability</t>
        </is>
      </c>
      <c r="H681" t="inlineStr">
        <is>
          <t>yes</t>
        </is>
      </c>
      <c r="I681" t="inlineStr"/>
      <c r="J681" t="inlineStr"/>
      <c r="K681" t="inlineStr"/>
      <c r="L681" t="inlineStr"/>
      <c r="M681" t="inlineStr"/>
      <c r="N681" t="inlineStr"/>
    </row>
    <row r="682">
      <c r="A682" t="inlineStr">
        <is>
          <t>jp-kobe</t>
        </is>
      </c>
      <c r="B682" t="inlineStr">
        <is>
          <t>Kobe</t>
        </is>
      </c>
      <c r="C682" t="inlineStr">
        <is>
          <t>Japan</t>
        </is>
      </c>
      <c r="D682" t="inlineStr">
        <is>
          <t>East Asia</t>
        </is>
      </c>
      <c r="E682" t="inlineStr">
        <is>
          <t>clean_air_raw</t>
        </is>
      </c>
      <c r="F682" t="inlineStr">
        <is>
          <t>Clean air raw</t>
        </is>
      </c>
      <c r="G682" t="inlineStr">
        <is>
          <t>viability</t>
        </is>
      </c>
      <c r="H682" t="inlineStr">
        <is>
          <t>yes</t>
        </is>
      </c>
      <c r="I682" t="inlineStr"/>
      <c r="J682" t="inlineStr"/>
      <c r="K682" t="inlineStr"/>
      <c r="L682" t="inlineStr"/>
      <c r="M682" t="inlineStr"/>
      <c r="N682" t="inlineStr"/>
    </row>
    <row r="683">
      <c r="A683" t="inlineStr">
        <is>
          <t>jp-kobe</t>
        </is>
      </c>
      <c r="B683" t="inlineStr">
        <is>
          <t>Kobe</t>
        </is>
      </c>
      <c r="C683" t="inlineStr">
        <is>
          <t>Japan</t>
        </is>
      </c>
      <c r="D683" t="inlineStr">
        <is>
          <t>East Asia</t>
        </is>
      </c>
      <c r="E683" t="inlineStr">
        <is>
          <t>water_sanitation_utility_raw</t>
        </is>
      </c>
      <c r="F683" t="inlineStr">
        <is>
          <t>Water, sanitation, and utility raw</t>
        </is>
      </c>
      <c r="G683" t="inlineStr">
        <is>
          <t>viability</t>
        </is>
      </c>
      <c r="H683" t="inlineStr">
        <is>
          <t>yes</t>
        </is>
      </c>
      <c r="I683" t="inlineStr">
        <is>
          <t>98.73</t>
        </is>
      </c>
      <c r="J683" t="inlineStr">
        <is>
          <t>world_bank</t>
        </is>
      </c>
      <c r="K683" t="inlineStr">
        <is>
          <t>https://api.worldbank.org/v2/country/JPN/indicator/SH.H2O.SMDW.ZS?format=json&amp;mrv=10</t>
        </is>
      </c>
      <c r="L683" t="inlineStr">
        <is>
          <t>World Bank WDI: People using safely managed drinking water services (% of population)</t>
        </is>
      </c>
      <c r="M683" t="inlineStr">
        <is>
          <t>2024-12-31</t>
        </is>
      </c>
      <c r="N683" t="inlineStr">
        <is>
          <t>auto_ingest=world_bank_proxy; indicator=SH.H2O.SMDW.ZS; year=2024; country_proxy=Japan</t>
        </is>
      </c>
    </row>
    <row r="684">
      <c r="A684" t="inlineStr">
        <is>
          <t>jp-kobe</t>
        </is>
      </c>
      <c r="B684" t="inlineStr">
        <is>
          <t>Kobe</t>
        </is>
      </c>
      <c r="C684" t="inlineStr">
        <is>
          <t>Japan</t>
        </is>
      </c>
      <c r="D684" t="inlineStr">
        <is>
          <t>East Asia</t>
        </is>
      </c>
      <c r="E684" t="inlineStr">
        <is>
          <t>digital_infrastructure_raw</t>
        </is>
      </c>
      <c r="F684" t="inlineStr">
        <is>
          <t>Digital infrastructure raw</t>
        </is>
      </c>
      <c r="G684" t="inlineStr">
        <is>
          <t>viability</t>
        </is>
      </c>
      <c r="H684" t="inlineStr">
        <is>
          <t>yes</t>
        </is>
      </c>
      <c r="I684" t="inlineStr">
        <is>
          <t>38.63</t>
        </is>
      </c>
      <c r="J684" t="inlineStr">
        <is>
          <t>world_bank</t>
        </is>
      </c>
      <c r="K684" t="inlineStr">
        <is>
          <t>https://api.worldbank.org/v2/country/JPN/indicator/IT.NET.BBND.P2?format=json&amp;mrv=10</t>
        </is>
      </c>
      <c r="L684" t="inlineStr">
        <is>
          <t>World Bank WDI: Fixed broadband subscriptions (per 100 people)</t>
        </is>
      </c>
      <c r="M684" t="inlineStr">
        <is>
          <t>2023-12-31</t>
        </is>
      </c>
      <c r="N684" t="inlineStr">
        <is>
          <t>auto_ingest=world_bank_proxy; indicator=IT.NET.BBND.P2; year=2023; country_proxy=Japan</t>
        </is>
      </c>
    </row>
    <row r="685">
      <c r="A685" t="inlineStr">
        <is>
          <t>jp-kobe</t>
        </is>
      </c>
      <c r="B685" t="inlineStr">
        <is>
          <t>Kobe</t>
        </is>
      </c>
      <c r="C685" t="inlineStr">
        <is>
          <t>Japan</t>
        </is>
      </c>
      <c r="D685" t="inlineStr">
        <is>
          <t>East Asia</t>
        </is>
      </c>
      <c r="E685" t="inlineStr">
        <is>
          <t>climate_sunlight_livability_raw</t>
        </is>
      </c>
      <c r="F685" t="inlineStr">
        <is>
          <t>Climate and sunlight livability raw</t>
        </is>
      </c>
      <c r="G685" t="inlineStr">
        <is>
          <t>viability</t>
        </is>
      </c>
      <c r="H685" t="inlineStr">
        <is>
          <t>yes</t>
        </is>
      </c>
      <c r="I685" t="inlineStr"/>
      <c r="J685" t="inlineStr"/>
      <c r="K685" t="inlineStr"/>
      <c r="L685" t="inlineStr"/>
      <c r="M685" t="inlineStr"/>
      <c r="N685" t="inlineStr"/>
    </row>
    <row r="686">
      <c r="A686" t="inlineStr">
        <is>
          <t>jp-kobe</t>
        </is>
      </c>
      <c r="B686" t="inlineStr">
        <is>
          <t>Kobe</t>
        </is>
      </c>
      <c r="C686" t="inlineStr">
        <is>
          <t>Japan</t>
        </is>
      </c>
      <c r="D686" t="inlineStr">
        <is>
          <t>East Asia</t>
        </is>
      </c>
      <c r="E686" t="inlineStr">
        <is>
          <t>healthcare_quality_raw</t>
        </is>
      </c>
      <c r="F686" t="inlineStr">
        <is>
          <t>Healthcare quality raw</t>
        </is>
      </c>
      <c r="G686" t="inlineStr">
        <is>
          <t>capability</t>
        </is>
      </c>
      <c r="H686" t="inlineStr">
        <is>
          <t>yes</t>
        </is>
      </c>
      <c r="I686" t="inlineStr">
        <is>
          <t>86.0</t>
        </is>
      </c>
      <c r="J686" t="inlineStr">
        <is>
          <t>who_gho</t>
        </is>
      </c>
      <c r="K686" t="inlineStr">
        <is>
          <t>https://www.who.int/data/gho/data/indicators/indicator-details/GHO/UHC_INDEX_REPORTED</t>
        </is>
      </c>
      <c r="L686" t="inlineStr">
        <is>
          <t>WHO GHO: UHC Service Coverage Index</t>
        </is>
      </c>
      <c r="M686" t="inlineStr">
        <is>
          <t>2023-12-31</t>
        </is>
      </c>
      <c r="N686" t="inlineStr">
        <is>
          <t>auto_ingest=who_gho; indicator=UHC_INDEX_REPORTED; year=2023; country_proxy=Japan</t>
        </is>
      </c>
    </row>
    <row r="687">
      <c r="A687" t="inlineStr">
        <is>
          <t>jp-kobe</t>
        </is>
      </c>
      <c r="B687" t="inlineStr">
        <is>
          <t>Kobe</t>
        </is>
      </c>
      <c r="C687" t="inlineStr">
        <is>
          <t>Japan</t>
        </is>
      </c>
      <c r="D687" t="inlineStr">
        <is>
          <t>East Asia</t>
        </is>
      </c>
      <c r="E687" t="inlineStr">
        <is>
          <t>education_quality_raw</t>
        </is>
      </c>
      <c r="F687" t="inlineStr">
        <is>
          <t>Education quality raw</t>
        </is>
      </c>
      <c r="G687" t="inlineStr">
        <is>
          <t>capability</t>
        </is>
      </c>
      <c r="H687" t="inlineStr">
        <is>
          <t>yes</t>
        </is>
      </c>
      <c r="I687" t="inlineStr">
        <is>
          <t>64.89</t>
        </is>
      </c>
      <c r="J687" t="inlineStr">
        <is>
          <t>world_bank</t>
        </is>
      </c>
      <c r="K687" t="inlineStr">
        <is>
          <t>https://api.worldbank.org/v2/country/JPN/indicator/SE.TER.ENRR?format=json&amp;mrv=10</t>
        </is>
      </c>
      <c r="L687" t="inlineStr">
        <is>
          <t>World Bank WDI: School enrollment, tertiary (% gross)</t>
        </is>
      </c>
      <c r="M687" t="inlineStr">
        <is>
          <t>2023-12-31</t>
        </is>
      </c>
      <c r="N687" t="inlineStr">
        <is>
          <t>auto_ingest=world_bank_proxy; indicator=SE.TER.ENRR; year=2023; country_proxy=Japan</t>
        </is>
      </c>
    </row>
    <row r="688">
      <c r="A688" t="inlineStr">
        <is>
          <t>jp-kobe</t>
        </is>
      </c>
      <c r="B688" t="inlineStr">
        <is>
          <t>Kobe</t>
        </is>
      </c>
      <c r="C688" t="inlineStr">
        <is>
          <t>Japan</t>
        </is>
      </c>
      <c r="D688" t="inlineStr">
        <is>
          <t>East Asia</t>
        </is>
      </c>
      <c r="E688" t="inlineStr">
        <is>
          <t>equal_opportunity_raw</t>
        </is>
      </c>
      <c r="F688" t="inlineStr">
        <is>
          <t>Equal opportunity raw</t>
        </is>
      </c>
      <c r="G688" t="inlineStr">
        <is>
          <t>capability</t>
        </is>
      </c>
      <c r="H688" t="inlineStr">
        <is>
          <t>yes</t>
        </is>
      </c>
      <c r="I688" t="inlineStr">
        <is>
          <t>32.3</t>
        </is>
      </c>
      <c r="J688" t="inlineStr">
        <is>
          <t>world_bank</t>
        </is>
      </c>
      <c r="K688" t="inlineStr">
        <is>
          <t>https://api.worldbank.org/v2/country/JPN/indicator/SI.POV.GINI?format=json&amp;mrv=10</t>
        </is>
      </c>
      <c r="L688" t="inlineStr">
        <is>
          <t>World Bank WDI: Gini index</t>
        </is>
      </c>
      <c r="M688" t="inlineStr">
        <is>
          <t>2020-12-31</t>
        </is>
      </c>
      <c r="N688" t="inlineStr">
        <is>
          <t>auto_ingest=world_bank_capability; indicator=SI.POV.GINI; year=2020; country_proxy=Japan</t>
        </is>
      </c>
    </row>
    <row r="689">
      <c r="A689" t="inlineStr">
        <is>
          <t>jp-kobe</t>
        </is>
      </c>
      <c r="B689" t="inlineStr">
        <is>
          <t>Kobe</t>
        </is>
      </c>
      <c r="C689" t="inlineStr">
        <is>
          <t>Japan</t>
        </is>
      </c>
      <c r="D689" t="inlineStr">
        <is>
          <t>East Asia</t>
        </is>
      </c>
      <c r="E689" t="inlineStr">
        <is>
          <t>hospitality_belonging_raw</t>
        </is>
      </c>
      <c r="F689" t="inlineStr">
        <is>
          <t>Hospitality and belonging raw</t>
        </is>
      </c>
      <c r="G689" t="inlineStr">
        <is>
          <t>community</t>
        </is>
      </c>
      <c r="H689" t="inlineStr">
        <is>
          <t>yes</t>
        </is>
      </c>
      <c r="I689" t="inlineStr">
        <is>
          <t>51.13</t>
        </is>
      </c>
      <c r="J689" t="inlineStr">
        <is>
          <t>world_bank</t>
        </is>
      </c>
      <c r="K689" t="inlineStr">
        <is>
          <t>https://api.worldbank.org/v2/country/JPN/indicator/SM.POP.NETM?format=json&amp;mrv=10</t>
        </is>
      </c>
      <c r="L689" t="inlineStr">
        <is>
          <t>World Bank WDI: Net migration (proxy for hospitality/belonging — positive = welcoming)</t>
        </is>
      </c>
      <c r="M689" t="inlineStr">
        <is>
          <t>2025-12-31</t>
        </is>
      </c>
      <c r="N689" t="inlineStr">
        <is>
          <t>auto_ingest=world_bank_proxy; proxy=net_migration_hospitality; indicator=SM.POP.NETM; year=2025; country_proxy=Japan</t>
        </is>
      </c>
    </row>
    <row r="690">
      <c r="A690" t="inlineStr">
        <is>
          <t>jp-kobe</t>
        </is>
      </c>
      <c r="B690" t="inlineStr">
        <is>
          <t>Kobe</t>
        </is>
      </c>
      <c r="C690" t="inlineStr">
        <is>
          <t>Japan</t>
        </is>
      </c>
      <c r="D690" t="inlineStr">
        <is>
          <t>East Asia</t>
        </is>
      </c>
      <c r="E690" t="inlineStr">
        <is>
          <t>tolerance_pluralism_raw</t>
        </is>
      </c>
      <c r="F690" t="inlineStr">
        <is>
          <t>Tolerance and pluralism raw</t>
        </is>
      </c>
      <c r="G690" t="inlineStr">
        <is>
          <t>community</t>
        </is>
      </c>
      <c r="H690" t="inlineStr">
        <is>
          <t>yes</t>
        </is>
      </c>
      <c r="I690" t="inlineStr">
        <is>
          <t>15.7</t>
        </is>
      </c>
      <c r="J690" t="inlineStr">
        <is>
          <t>world_bank</t>
        </is>
      </c>
      <c r="K690" t="inlineStr">
        <is>
          <t>https://api.worldbank.org/v2/country/JPN/indicator/SG.GEN.PARL.ZS?format=json&amp;mrv=10</t>
        </is>
      </c>
      <c r="L690" t="inlineStr">
        <is>
          <t>World Bank WDI: Proportion of seats held by women in national parliaments (%)</t>
        </is>
      </c>
      <c r="M690" t="inlineStr">
        <is>
          <t>2024-12-31</t>
        </is>
      </c>
      <c r="N690" t="inlineStr">
        <is>
          <t>auto_ingest=world_bank_proxy; proxy=gender_parity_parliament; indicator=SG.GEN.PARL.ZS; year=2024; country_proxy=Japan</t>
        </is>
      </c>
    </row>
    <row r="691">
      <c r="A691" t="inlineStr">
        <is>
          <t>jp-kobe</t>
        </is>
      </c>
      <c r="B691" t="inlineStr">
        <is>
          <t>Kobe</t>
        </is>
      </c>
      <c r="C691" t="inlineStr">
        <is>
          <t>Japan</t>
        </is>
      </c>
      <c r="D691" t="inlineStr">
        <is>
          <t>East Asia</t>
        </is>
      </c>
      <c r="E691" t="inlineStr">
        <is>
          <t>cultural_public_life_raw</t>
        </is>
      </c>
      <c r="F691" t="inlineStr">
        <is>
          <t>Cultural public life raw</t>
        </is>
      </c>
      <c r="G691" t="inlineStr">
        <is>
          <t>community</t>
        </is>
      </c>
      <c r="H691" t="inlineStr">
        <is>
          <t>yes</t>
        </is>
      </c>
      <c r="I691" t="inlineStr">
        <is>
          <t>33.2</t>
        </is>
      </c>
      <c r="J691" t="inlineStr">
        <is>
          <t>world_bank</t>
        </is>
      </c>
      <c r="K691" t="inlineStr">
        <is>
          <t>https://api.worldbank.org/v2/country/JPN/indicator/ST.INT.ARVL?format=json&amp;mrv=10</t>
        </is>
      </c>
      <c r="L691" t="inlineStr">
        <is>
          <t>World Bank WDI: International tourism arrivals per 1 000 population</t>
        </is>
      </c>
      <c r="M691" t="inlineStr">
        <is>
          <t>2020-12-31</t>
        </is>
      </c>
      <c r="N691" t="inlineStr">
        <is>
          <t>auto_ingest=cultural_life_proxy; indicator=ST.INT.ARVL; norm=per_1000_pop; year=2020; country_proxy=Japan</t>
        </is>
      </c>
    </row>
    <row r="692">
      <c r="A692" t="inlineStr">
        <is>
          <t>jp-kobe</t>
        </is>
      </c>
      <c r="B692" t="inlineStr">
        <is>
          <t>Kobe</t>
        </is>
      </c>
      <c r="C692" t="inlineStr">
        <is>
          <t>Japan</t>
        </is>
      </c>
      <c r="D692" t="inlineStr">
        <is>
          <t>East Asia</t>
        </is>
      </c>
      <c r="E692" t="inlineStr">
        <is>
          <t>birth_rate_optimism_raw</t>
        </is>
      </c>
      <c r="F692" t="inlineStr">
        <is>
          <t>Birth rate and societal optimism raw</t>
        </is>
      </c>
      <c r="G692" t="inlineStr">
        <is>
          <t>community</t>
        </is>
      </c>
      <c r="H692" t="inlineStr">
        <is>
          <t>yes</t>
        </is>
      </c>
      <c r="I692" t="inlineStr">
        <is>
          <t>1.2</t>
        </is>
      </c>
      <c r="J692" t="inlineStr">
        <is>
          <t>world_bank</t>
        </is>
      </c>
      <c r="K692" t="inlineStr">
        <is>
          <t>https://data.worldbank.org/indicator/SP.DYN.TFRT.IN</t>
        </is>
      </c>
      <c r="L692" t="inlineStr">
        <is>
          <t>World Bank Total Fertility Rate 2023</t>
        </is>
      </c>
      <c r="M692" t="inlineStr">
        <is>
          <t>2024-01-01</t>
        </is>
      </c>
      <c r="N692" t="inlineStr"/>
    </row>
    <row r="693">
      <c r="A693" t="inlineStr">
        <is>
          <t>jp-kobe</t>
        </is>
      </c>
      <c r="B693" t="inlineStr">
        <is>
          <t>Kobe</t>
        </is>
      </c>
      <c r="C693" t="inlineStr">
        <is>
          <t>Japan</t>
        </is>
      </c>
      <c r="D693" t="inlineStr">
        <is>
          <t>East Asia</t>
        </is>
      </c>
      <c r="E693" t="inlineStr">
        <is>
          <t>entrepreneurial_dynamism_raw</t>
        </is>
      </c>
      <c r="F693" t="inlineStr">
        <is>
          <t>Entrepreneurial dynamism raw</t>
        </is>
      </c>
      <c r="G693" t="inlineStr">
        <is>
          <t>creative</t>
        </is>
      </c>
      <c r="H693" t="inlineStr">
        <is>
          <t>yes</t>
        </is>
      </c>
      <c r="I693" t="inlineStr">
        <is>
          <t>0.51</t>
        </is>
      </c>
      <c r="J693" t="inlineStr">
        <is>
          <t>world_bank</t>
        </is>
      </c>
      <c r="K693" t="inlineStr">
        <is>
          <t>https://api.worldbank.org/v2/country/JPN/indicator/IC.BUS.NDNS.ZS?format=json&amp;mrv=10</t>
        </is>
      </c>
      <c r="L693" t="inlineStr">
        <is>
          <t>World Bank WDI: New business density (new registrations per 1,000 people ages 15-64)</t>
        </is>
      </c>
      <c r="M693" t="inlineStr">
        <is>
          <t>2022-12-31</t>
        </is>
      </c>
      <c r="N693" t="inlineStr">
        <is>
          <t>auto_ingest=world_bank_creative_extended; indicator=IC.BUS.NDNS.ZS; year=2022; country_proxy=Japan</t>
        </is>
      </c>
    </row>
    <row r="694">
      <c r="A694" t="inlineStr">
        <is>
          <t>jp-kobe</t>
        </is>
      </c>
      <c r="B694" t="inlineStr">
        <is>
          <t>Kobe</t>
        </is>
      </c>
      <c r="C694" t="inlineStr">
        <is>
          <t>Japan</t>
        </is>
      </c>
      <c r="D694" t="inlineStr">
        <is>
          <t>East Asia</t>
        </is>
      </c>
      <c r="E694" t="inlineStr">
        <is>
          <t>innovation_research_intensity_raw</t>
        </is>
      </c>
      <c r="F694" t="inlineStr">
        <is>
          <t>Innovation and research raw</t>
        </is>
      </c>
      <c r="G694" t="inlineStr">
        <is>
          <t>creative</t>
        </is>
      </c>
      <c r="H694" t="inlineStr">
        <is>
          <t>yes</t>
        </is>
      </c>
      <c r="I694" t="inlineStr">
        <is>
          <t>3.41</t>
        </is>
      </c>
      <c r="J694" t="inlineStr">
        <is>
          <t>world_bank</t>
        </is>
      </c>
      <c r="K694" t="inlineStr">
        <is>
          <t>https://api.worldbank.org/v2/country/JPN/indicator/GB.XPD.RSDV.GD.ZS?format=json&amp;mrv=10</t>
        </is>
      </c>
      <c r="L694" t="inlineStr">
        <is>
          <t>World Bank WDI: Research and development expenditure (% of GDP)</t>
        </is>
      </c>
      <c r="M694" t="inlineStr">
        <is>
          <t>2022-12-31</t>
        </is>
      </c>
      <c r="N694" t="inlineStr">
        <is>
          <t>auto_ingest=world_bank_creative_extended; indicator=GB.XPD.RSDV.GD.ZS; year=2022; country_proxy=Japan</t>
        </is>
      </c>
    </row>
    <row r="695">
      <c r="A695" t="inlineStr">
        <is>
          <t>jp-kobe</t>
        </is>
      </c>
      <c r="B695" t="inlineStr">
        <is>
          <t>Kobe</t>
        </is>
      </c>
      <c r="C695" t="inlineStr">
        <is>
          <t>Japan</t>
        </is>
      </c>
      <c r="D695" t="inlineStr">
        <is>
          <t>East Asia</t>
        </is>
      </c>
      <c r="E695" t="inlineStr">
        <is>
          <t>investment_signal_raw</t>
        </is>
      </c>
      <c r="F695" t="inlineStr">
        <is>
          <t>Investment signal raw</t>
        </is>
      </c>
      <c r="G695" t="inlineStr">
        <is>
          <t>creative</t>
        </is>
      </c>
      <c r="H695" t="inlineStr">
        <is>
          <t>yes</t>
        </is>
      </c>
      <c r="I695" t="inlineStr">
        <is>
          <t>0.4</t>
        </is>
      </c>
      <c r="J695" t="inlineStr">
        <is>
          <t>world_bank</t>
        </is>
      </c>
      <c r="K695" t="inlineStr">
        <is>
          <t>https://api.worldbank.org/v2/country/JPN/indicator/BX.KLT.DINV.WD.GD.ZS?format=json&amp;mrv=10</t>
        </is>
      </c>
      <c r="L695" t="inlineStr">
        <is>
          <t>World Bank WDI: Foreign direct investment, net inflows (% of GDP)</t>
        </is>
      </c>
      <c r="M695" t="inlineStr">
        <is>
          <t>2024-12-31</t>
        </is>
      </c>
      <c r="N695" t="inlineStr">
        <is>
          <t>auto_ingest=world_bank_creative_extended; indicator=BX.KLT.DINV.WD.GD.ZS; year=2024; country_proxy=Japan</t>
        </is>
      </c>
    </row>
    <row r="696">
      <c r="A696" t="inlineStr">
        <is>
          <t>jp-kobe</t>
        </is>
      </c>
      <c r="B696" t="inlineStr">
        <is>
          <t>Kobe</t>
        </is>
      </c>
      <c r="C696" t="inlineStr">
        <is>
          <t>Japan</t>
        </is>
      </c>
      <c r="D696" t="inlineStr">
        <is>
          <t>East Asia</t>
        </is>
      </c>
      <c r="E696" t="inlineStr">
        <is>
          <t>administrative_investment_friction_raw</t>
        </is>
      </c>
      <c r="F696" t="inlineStr">
        <is>
          <t>Administrative investment friction raw</t>
        </is>
      </c>
      <c r="G696" t="inlineStr">
        <is>
          <t>creative</t>
        </is>
      </c>
      <c r="H696" t="inlineStr">
        <is>
          <t>yes</t>
        </is>
      </c>
      <c r="I696" t="inlineStr">
        <is>
          <t>1.03</t>
        </is>
      </c>
      <c r="J696" t="inlineStr">
        <is>
          <t>world_bank</t>
        </is>
      </c>
      <c r="K696" t="inlineStr">
        <is>
          <t>https://api.worldbank.org/v2/country/JPN/indicator/RQ.EST?format=json&amp;mrv=10</t>
        </is>
      </c>
      <c r="L696" t="inlineStr">
        <is>
          <t>World Bank WGI: Regulatory Quality (inverted as friction proxy)</t>
        </is>
      </c>
      <c r="M696" t="inlineStr">
        <is>
          <t>2023-12-31</t>
        </is>
      </c>
      <c r="N696" t="inlineStr">
        <is>
          <t>auto_ingest=world_bank_business_friction; indicator=RQ.EST; raw_rq=1.46932590007782; friction=1.03; year=2023; country_proxy=Japan</t>
        </is>
      </c>
    </row>
    <row r="697">
      <c r="A697" t="inlineStr">
        <is>
          <t>jp-kobe</t>
        </is>
      </c>
      <c r="B697" t="inlineStr">
        <is>
          <t>Kobe</t>
        </is>
      </c>
      <c r="C697" t="inlineStr">
        <is>
          <t>Japan</t>
        </is>
      </c>
      <c r="D697" t="inlineStr">
        <is>
          <t>East Asia</t>
        </is>
      </c>
      <c r="E697" t="inlineStr">
        <is>
          <t>visitor_flow_context_raw</t>
        </is>
      </c>
      <c r="F697" t="inlineStr">
        <is>
          <t>Visitor flow context raw</t>
        </is>
      </c>
      <c r="G697" t="inlineStr">
        <is>
          <t>creative</t>
        </is>
      </c>
      <c r="H697" t="inlineStr">
        <is>
          <t>no</t>
        </is>
      </c>
      <c r="I697" t="inlineStr"/>
      <c r="J697" t="inlineStr"/>
      <c r="K697" t="inlineStr"/>
      <c r="L697" t="inlineStr"/>
      <c r="M697" t="inlineStr"/>
      <c r="N697" t="inlineStr"/>
    </row>
    <row r="698">
      <c r="A698" t="inlineStr">
        <is>
          <t>jp-sapporo</t>
        </is>
      </c>
      <c r="B698" t="inlineStr">
        <is>
          <t>Sapporo</t>
        </is>
      </c>
      <c r="C698" t="inlineStr">
        <is>
          <t>Japan</t>
        </is>
      </c>
      <c r="D698" t="inlineStr">
        <is>
          <t>East Asia</t>
        </is>
      </c>
      <c r="E698" t="inlineStr">
        <is>
          <t>gross_income</t>
        </is>
      </c>
      <c r="F698" t="inlineStr">
        <is>
          <t>Gross income</t>
        </is>
      </c>
      <c r="G698" t="inlineStr">
        <is>
          <t>pressure</t>
        </is>
      </c>
      <c r="H698" t="inlineStr">
        <is>
          <t>yes</t>
        </is>
      </c>
      <c r="I698" t="inlineStr">
        <is>
          <t>3930.54</t>
        </is>
      </c>
      <c r="J698" t="inlineStr">
        <is>
          <t>world_bank_col_estimate</t>
        </is>
      </c>
      <c r="K698" t="inlineStr">
        <is>
          <t>https://api.worldbank.org/v2/country/JPN/indicator/NY.GNP.PCAP.PP.CD?format=json&amp;mrv=10</t>
        </is>
      </c>
      <c r="L698" t="inlineStr">
        <is>
          <t>World Bank WDI: GNI per capita PPP (monthly USD)</t>
        </is>
      </c>
      <c r="M698" t="inlineStr">
        <is>
          <t>2024-12-31</t>
        </is>
      </c>
      <c r="N698" t="inlineStr">
        <is>
          <t>auto_ingest=world_bank_col_estimate; gni_annual=55490.0; year=2024; country_proxy=Japan; cohort=East Asia; city_income_mult=0.85</t>
        </is>
      </c>
    </row>
    <row r="699">
      <c r="A699" t="inlineStr">
        <is>
          <t>jp-sapporo</t>
        </is>
      </c>
      <c r="B699" t="inlineStr">
        <is>
          <t>Sapporo</t>
        </is>
      </c>
      <c r="C699" t="inlineStr">
        <is>
          <t>Japan</t>
        </is>
      </c>
      <c r="D699" t="inlineStr">
        <is>
          <t>East Asia</t>
        </is>
      </c>
      <c r="E699" t="inlineStr">
        <is>
          <t>di_ppp_raw</t>
        </is>
      </c>
      <c r="F699" t="inlineStr">
        <is>
          <t>Disposable income PPP (Raw)</t>
        </is>
      </c>
      <c r="G699" t="inlineStr">
        <is>
          <t>pressure</t>
        </is>
      </c>
      <c r="H699" t="inlineStr">
        <is>
          <t>yes</t>
        </is>
      </c>
      <c r="I699" t="inlineStr"/>
      <c r="J699" t="inlineStr"/>
      <c r="K699" t="inlineStr"/>
      <c r="L699" t="inlineStr"/>
      <c r="M699" t="inlineStr"/>
      <c r="N699" t="inlineStr"/>
    </row>
    <row r="700">
      <c r="A700" t="inlineStr">
        <is>
          <t>jp-sapporo</t>
        </is>
      </c>
      <c r="B700" t="inlineStr">
        <is>
          <t>Sapporo</t>
        </is>
      </c>
      <c r="C700" t="inlineStr">
        <is>
          <t>Japan</t>
        </is>
      </c>
      <c r="D700" t="inlineStr">
        <is>
          <t>East Asia</t>
        </is>
      </c>
      <c r="E700" t="inlineStr">
        <is>
          <t>rent</t>
        </is>
      </c>
      <c r="F700" t="inlineStr">
        <is>
          <t>Rent</t>
        </is>
      </c>
      <c r="G700" t="inlineStr">
        <is>
          <t>pressure</t>
        </is>
      </c>
      <c r="H700" t="inlineStr">
        <is>
          <t>yes</t>
        </is>
      </c>
      <c r="I700" t="inlineStr">
        <is>
          <t>786.11</t>
        </is>
      </c>
      <c r="J700" t="inlineStr">
        <is>
          <t>world_bank_col_estimate</t>
        </is>
      </c>
      <c r="K700" t="inlineStr">
        <is>
          <t>https://api.worldbank.org/v2/country/JPN/indicator/NY.GNP.PCAP.PP.CD?format=json&amp;mrv=10</t>
        </is>
      </c>
      <c r="L700" t="inlineStr">
        <is>
          <t>World Bank GNI + regional expenditure ratio estimate</t>
        </is>
      </c>
      <c r="M700" t="inlineStr">
        <is>
          <t>2024-12-31</t>
        </is>
      </c>
      <c r="N700" t="inlineStr">
        <is>
          <t>auto_ingest=world_bank_col_estimate; gni_annual=55490.0; year=2024; country_proxy=Japan; cohort=East Asia; city_cost_mult=0.8</t>
        </is>
      </c>
    </row>
    <row r="701">
      <c r="A701" t="inlineStr">
        <is>
          <t>jp-sapporo</t>
        </is>
      </c>
      <c r="B701" t="inlineStr">
        <is>
          <t>Sapporo</t>
        </is>
      </c>
      <c r="C701" t="inlineStr">
        <is>
          <t>Japan</t>
        </is>
      </c>
      <c r="D701" t="inlineStr">
        <is>
          <t>East Asia</t>
        </is>
      </c>
      <c r="E701" t="inlineStr">
        <is>
          <t>utilities</t>
        </is>
      </c>
      <c r="F701" t="inlineStr">
        <is>
          <t>Utilities</t>
        </is>
      </c>
      <c r="G701" t="inlineStr">
        <is>
          <t>pressure</t>
        </is>
      </c>
      <c r="H701" t="inlineStr">
        <is>
          <t>yes</t>
        </is>
      </c>
      <c r="I701" t="inlineStr">
        <is>
          <t>188.67</t>
        </is>
      </c>
      <c r="J701" t="inlineStr">
        <is>
          <t>world_bank_col_estimate</t>
        </is>
      </c>
      <c r="K701" t="inlineStr">
        <is>
          <t>https://api.worldbank.org/v2/country/JPN/indicator/NY.GNP.PCAP.PP.CD?format=json&amp;mrv=10</t>
        </is>
      </c>
      <c r="L701" t="inlineStr">
        <is>
          <t>World Bank GNI + regional expenditure ratio estimate</t>
        </is>
      </c>
      <c r="M701" t="inlineStr">
        <is>
          <t>2024-12-31</t>
        </is>
      </c>
      <c r="N701" t="inlineStr">
        <is>
          <t>auto_ingest=world_bank_col_estimate; gni_annual=55490.0; year=2024; country_proxy=Japan; cohort=East Asia; city_cost_mult=0.8</t>
        </is>
      </c>
    </row>
    <row r="702">
      <c r="A702" t="inlineStr">
        <is>
          <t>jp-sapporo</t>
        </is>
      </c>
      <c r="B702" t="inlineStr">
        <is>
          <t>Sapporo</t>
        </is>
      </c>
      <c r="C702" t="inlineStr">
        <is>
          <t>Japan</t>
        </is>
      </c>
      <c r="D702" t="inlineStr">
        <is>
          <t>East Asia</t>
        </is>
      </c>
      <c r="E702" t="inlineStr">
        <is>
          <t>transit_cost</t>
        </is>
      </c>
      <c r="F702" t="inlineStr">
        <is>
          <t>Transit cost</t>
        </is>
      </c>
      <c r="G702" t="inlineStr">
        <is>
          <t>pressure</t>
        </is>
      </c>
      <c r="H702" t="inlineStr">
        <is>
          <t>yes</t>
        </is>
      </c>
      <c r="I702" t="inlineStr">
        <is>
          <t>125.78</t>
        </is>
      </c>
      <c r="J702" t="inlineStr">
        <is>
          <t>world_bank_col_estimate</t>
        </is>
      </c>
      <c r="K702" t="inlineStr">
        <is>
          <t>https://api.worldbank.org/v2/country/JPN/indicator/NY.GNP.PCAP.PP.CD?format=json&amp;mrv=10</t>
        </is>
      </c>
      <c r="L702" t="inlineStr">
        <is>
          <t>World Bank GNI + regional expenditure ratio estimate</t>
        </is>
      </c>
      <c r="M702" t="inlineStr">
        <is>
          <t>2024-12-31</t>
        </is>
      </c>
      <c r="N702" t="inlineStr">
        <is>
          <t>auto_ingest=world_bank_col_estimate; gni_annual=55490.0; year=2024; country_proxy=Japan; cohort=East Asia; city_cost_mult=0.8</t>
        </is>
      </c>
    </row>
    <row r="703">
      <c r="A703" t="inlineStr">
        <is>
          <t>jp-sapporo</t>
        </is>
      </c>
      <c r="B703" t="inlineStr">
        <is>
          <t>Sapporo</t>
        </is>
      </c>
      <c r="C703" t="inlineStr">
        <is>
          <t>Japan</t>
        </is>
      </c>
      <c r="D703" t="inlineStr">
        <is>
          <t>East Asia</t>
        </is>
      </c>
      <c r="E703" t="inlineStr">
        <is>
          <t>internet_cost</t>
        </is>
      </c>
      <c r="F703" t="inlineStr">
        <is>
          <t>Internet cost</t>
        </is>
      </c>
      <c r="G703" t="inlineStr">
        <is>
          <t>pressure</t>
        </is>
      </c>
      <c r="H703" t="inlineStr">
        <is>
          <t>yes</t>
        </is>
      </c>
      <c r="I703" t="inlineStr">
        <is>
          <t>47.17</t>
        </is>
      </c>
      <c r="J703" t="inlineStr">
        <is>
          <t>world_bank_col_estimate</t>
        </is>
      </c>
      <c r="K703" t="inlineStr">
        <is>
          <t>https://api.worldbank.org/v2/country/JPN/indicator/NY.GNP.PCAP.PP.CD?format=json&amp;mrv=10</t>
        </is>
      </c>
      <c r="L703" t="inlineStr">
        <is>
          <t>World Bank GNI + regional expenditure ratio estimate</t>
        </is>
      </c>
      <c r="M703" t="inlineStr">
        <is>
          <t>2024-12-31</t>
        </is>
      </c>
      <c r="N703" t="inlineStr">
        <is>
          <t>auto_ingest=world_bank_col_estimate; gni_annual=55490.0; year=2024; country_proxy=Japan; cohort=East Asia; city_cost_mult=0.8</t>
        </is>
      </c>
    </row>
    <row r="704">
      <c r="A704" t="inlineStr">
        <is>
          <t>jp-sapporo</t>
        </is>
      </c>
      <c r="B704" t="inlineStr">
        <is>
          <t>Sapporo</t>
        </is>
      </c>
      <c r="C704" t="inlineStr">
        <is>
          <t>Japan</t>
        </is>
      </c>
      <c r="D704" t="inlineStr">
        <is>
          <t>East Asia</t>
        </is>
      </c>
      <c r="E704" t="inlineStr">
        <is>
          <t>food_cost</t>
        </is>
      </c>
      <c r="F704" t="inlineStr">
        <is>
          <t>Food cost</t>
        </is>
      </c>
      <c r="G704" t="inlineStr">
        <is>
          <t>pressure</t>
        </is>
      </c>
      <c r="H704" t="inlineStr">
        <is>
          <t>yes</t>
        </is>
      </c>
      <c r="I704" t="inlineStr">
        <is>
          <t>628.89</t>
        </is>
      </c>
      <c r="J704" t="inlineStr">
        <is>
          <t>world_bank_col_estimate</t>
        </is>
      </c>
      <c r="K704" t="inlineStr">
        <is>
          <t>https://api.worldbank.org/v2/country/JPN/indicator/NY.GNP.PCAP.PP.CD?format=json&amp;mrv=10</t>
        </is>
      </c>
      <c r="L704" t="inlineStr">
        <is>
          <t>World Bank GNI + regional expenditure ratio estimate</t>
        </is>
      </c>
      <c r="M704" t="inlineStr">
        <is>
          <t>2024-12-31</t>
        </is>
      </c>
      <c r="N704" t="inlineStr">
        <is>
          <t>auto_ingest=world_bank_col_estimate; gni_annual=55490.0; year=2024; country_proxy=Japan; cohort=East Asia; city_cost_mult=0.8</t>
        </is>
      </c>
    </row>
    <row r="705">
      <c r="A705" t="inlineStr">
        <is>
          <t>jp-sapporo</t>
        </is>
      </c>
      <c r="B705" t="inlineStr">
        <is>
          <t>Sapporo</t>
        </is>
      </c>
      <c r="C705" t="inlineStr">
        <is>
          <t>Japan</t>
        </is>
      </c>
      <c r="D705" t="inlineStr">
        <is>
          <t>East Asia</t>
        </is>
      </c>
      <c r="E705" t="inlineStr">
        <is>
          <t>housing_burden_raw</t>
        </is>
      </c>
      <c r="F705" t="inlineStr">
        <is>
          <t>Housing burden raw</t>
        </is>
      </c>
      <c r="G705" t="inlineStr">
        <is>
          <t>pressure</t>
        </is>
      </c>
      <c r="H705" t="inlineStr">
        <is>
          <t>yes</t>
        </is>
      </c>
      <c r="I705" t="inlineStr">
        <is>
          <t>20.0001</t>
        </is>
      </c>
      <c r="J705" t="inlineStr">
        <is>
          <t>derived</t>
        </is>
      </c>
      <c r="K705" t="inlineStr">
        <is>
          <t>https://data.worldbank.org/indicator/NY.GNP.PCAP.PP.CD</t>
        </is>
      </c>
      <c r="L705" t="inlineStr">
        <is>
          <t>Computed from city_inputs + country_context</t>
        </is>
      </c>
      <c r="M705" t="inlineStr">
        <is>
          <t>2024-01-01</t>
        </is>
      </c>
      <c r="N705" t="inlineStr">
        <is>
          <t>derived=rent/gross_income*100</t>
        </is>
      </c>
    </row>
    <row r="706">
      <c r="A706" t="inlineStr">
        <is>
          <t>jp-sapporo</t>
        </is>
      </c>
      <c r="B706" t="inlineStr">
        <is>
          <t>Sapporo</t>
        </is>
      </c>
      <c r="C706" t="inlineStr">
        <is>
          <t>Japan</t>
        </is>
      </c>
      <c r="D706" t="inlineStr">
        <is>
          <t>East Asia</t>
        </is>
      </c>
      <c r="E706" t="inlineStr">
        <is>
          <t>household_debt_burden_raw</t>
        </is>
      </c>
      <c r="F706" t="inlineStr">
        <is>
          <t>Household debt burden raw</t>
        </is>
      </c>
      <c r="G706" t="inlineStr">
        <is>
          <t>pressure</t>
        </is>
      </c>
      <c r="H706" t="inlineStr">
        <is>
          <t>yes</t>
        </is>
      </c>
      <c r="I706" t="inlineStr">
        <is>
          <t>123.1289</t>
        </is>
      </c>
      <c r="J706" t="inlineStr">
        <is>
          <t>derived</t>
        </is>
      </c>
      <c r="K706" t="inlineStr">
        <is>
          <t>https://data.worldbank.org/indicator/NY.GNP.PCAP.PP.CD</t>
        </is>
      </c>
      <c r="L706" t="inlineStr">
        <is>
          <t>Computed from city_inputs + country_context</t>
        </is>
      </c>
      <c r="M706" t="inlineStr">
        <is>
          <t>2024-01-01</t>
        </is>
      </c>
      <c r="N706" t="inlineStr">
        <is>
          <t>derived=country_context.household_debt_proxy; country=Japan</t>
        </is>
      </c>
    </row>
    <row r="707">
      <c r="A707" t="inlineStr">
        <is>
          <t>jp-sapporo</t>
        </is>
      </c>
      <c r="B707" t="inlineStr">
        <is>
          <t>Sapporo</t>
        </is>
      </c>
      <c r="C707" t="inlineStr">
        <is>
          <t>Japan</t>
        </is>
      </c>
      <c r="D707" t="inlineStr">
        <is>
          <t>East Asia</t>
        </is>
      </c>
      <c r="E707" t="inlineStr">
        <is>
          <t>working_time_pressure_raw</t>
        </is>
      </c>
      <c r="F707" t="inlineStr">
        <is>
          <t>Working time pressure raw</t>
        </is>
      </c>
      <c r="G707" t="inlineStr">
        <is>
          <t>pressure</t>
        </is>
      </c>
      <c r="H707" t="inlineStr">
        <is>
          <t>yes</t>
        </is>
      </c>
      <c r="I707" t="inlineStr">
        <is>
          <t>36.6</t>
        </is>
      </c>
      <c r="J707" t="inlineStr">
        <is>
          <t>ilo_ilostat</t>
        </is>
      </c>
      <c r="K707" t="inlineStr">
        <is>
          <t>https://ilostat.ilo.org/data/indicator/?id=HOW_TEMP_SEX_ECO_NB_A&amp;ref_area=JPN</t>
        </is>
      </c>
      <c r="L707" t="inlineStr">
        <is>
          <t>ILO ILOSTAT: Mean weekly hours actually worked per employed person</t>
        </is>
      </c>
      <c r="M707" t="inlineStr">
        <is>
          <t>2020-12-31</t>
        </is>
      </c>
      <c r="N707" t="inlineStr">
        <is>
          <t>auto_ingest=ilo_working_hours; indicator=HOW_TEMP_SEX_ECO_NB_A; year=2020; hours=36.6; country_proxy=Japan</t>
        </is>
      </c>
    </row>
    <row r="708">
      <c r="A708" t="inlineStr">
        <is>
          <t>jp-sapporo</t>
        </is>
      </c>
      <c r="B708" t="inlineStr">
        <is>
          <t>Sapporo</t>
        </is>
      </c>
      <c r="C708" t="inlineStr">
        <is>
          <t>Japan</t>
        </is>
      </c>
      <c r="D708" t="inlineStr">
        <is>
          <t>East Asia</t>
        </is>
      </c>
      <c r="E708" t="inlineStr">
        <is>
          <t>suicide_mental_strain_raw</t>
        </is>
      </c>
      <c r="F708" t="inlineStr">
        <is>
          <t>Suicide or mental strain raw</t>
        </is>
      </c>
      <c r="G708" t="inlineStr">
        <is>
          <t>pressure</t>
        </is>
      </c>
      <c r="H708" t="inlineStr">
        <is>
          <t>yes</t>
        </is>
      </c>
      <c r="I708" t="inlineStr">
        <is>
          <t>17.43</t>
        </is>
      </c>
      <c r="J708" t="inlineStr">
        <is>
          <t>who_gho</t>
        </is>
      </c>
      <c r="K708" t="inlineStr">
        <is>
          <t>https://www.who.int/data/gho/data/indicators/indicator-details/GHO/SDGSUICIDE</t>
        </is>
      </c>
      <c r="L708" t="inlineStr">
        <is>
          <t>WHO GHO: Age-standardized suicide rate (per 100,000 population)</t>
        </is>
      </c>
      <c r="M708" t="inlineStr">
        <is>
          <t>2021-12-31</t>
        </is>
      </c>
      <c r="N708" t="inlineStr">
        <is>
          <t>auto_ingest=who_gho; indicator=SDGSUICIDE; year=2021; country_proxy=Japan</t>
        </is>
      </c>
    </row>
    <row r="709">
      <c r="A709" t="inlineStr">
        <is>
          <t>jp-sapporo</t>
        </is>
      </c>
      <c r="B709" t="inlineStr">
        <is>
          <t>Sapporo</t>
        </is>
      </c>
      <c r="C709" t="inlineStr">
        <is>
          <t>Japan</t>
        </is>
      </c>
      <c r="D709" t="inlineStr">
        <is>
          <t>East Asia</t>
        </is>
      </c>
      <c r="E709" t="inlineStr">
        <is>
          <t>personal_safety_raw</t>
        </is>
      </c>
      <c r="F709" t="inlineStr">
        <is>
          <t>Personal safety raw</t>
        </is>
      </c>
      <c r="G709" t="inlineStr">
        <is>
          <t>viability</t>
        </is>
      </c>
      <c r="H709" t="inlineStr">
        <is>
          <t>yes</t>
        </is>
      </c>
      <c r="I709" t="inlineStr">
        <is>
          <t>0.23</t>
        </is>
      </c>
      <c r="J709" t="inlineStr">
        <is>
          <t>world_bank</t>
        </is>
      </c>
      <c r="K709" t="inlineStr">
        <is>
          <t>https://api.worldbank.org/v2/country/JPN/indicator/VC.IHR.PSRC.P5?format=json&amp;mrv=10</t>
        </is>
      </c>
      <c r="L709" t="inlineStr">
        <is>
          <t>UNODC via World Bank WDI: Intentional homicides (per 100,000 people)</t>
        </is>
      </c>
      <c r="M709" t="inlineStr">
        <is>
          <t>2023-12-31</t>
        </is>
      </c>
      <c r="N709" t="inlineStr">
        <is>
          <t>auto_ingest=unodc_safety; indicator=VC.IHR.PSRC.P5; year=2023; country_proxy=Japan</t>
        </is>
      </c>
    </row>
    <row r="710">
      <c r="A710" t="inlineStr">
        <is>
          <t>jp-sapporo</t>
        </is>
      </c>
      <c r="B710" t="inlineStr">
        <is>
          <t>Sapporo</t>
        </is>
      </c>
      <c r="C710" t="inlineStr">
        <is>
          <t>Japan</t>
        </is>
      </c>
      <c r="D710" t="inlineStr">
        <is>
          <t>East Asia</t>
        </is>
      </c>
      <c r="E710" t="inlineStr">
        <is>
          <t>transit_access_commute_raw</t>
        </is>
      </c>
      <c r="F710" t="inlineStr">
        <is>
          <t>Transit access and commute raw</t>
        </is>
      </c>
      <c r="G710" t="inlineStr">
        <is>
          <t>viability</t>
        </is>
      </c>
      <c r="H710" t="inlineStr">
        <is>
          <t>yes</t>
        </is>
      </c>
      <c r="I710" t="inlineStr"/>
      <c r="J710" t="inlineStr"/>
      <c r="K710" t="inlineStr"/>
      <c r="L710" t="inlineStr"/>
      <c r="M710" t="inlineStr"/>
      <c r="N710" t="inlineStr"/>
    </row>
    <row r="711">
      <c r="A711" t="inlineStr">
        <is>
          <t>jp-sapporo</t>
        </is>
      </c>
      <c r="B711" t="inlineStr">
        <is>
          <t>Sapporo</t>
        </is>
      </c>
      <c r="C711" t="inlineStr">
        <is>
          <t>Japan</t>
        </is>
      </c>
      <c r="D711" t="inlineStr">
        <is>
          <t>East Asia</t>
        </is>
      </c>
      <c r="E711" t="inlineStr">
        <is>
          <t>clean_air_raw</t>
        </is>
      </c>
      <c r="F711" t="inlineStr">
        <is>
          <t>Clean air raw</t>
        </is>
      </c>
      <c r="G711" t="inlineStr">
        <is>
          <t>viability</t>
        </is>
      </c>
      <c r="H711" t="inlineStr">
        <is>
          <t>yes</t>
        </is>
      </c>
      <c r="I711" t="inlineStr"/>
      <c r="J711" t="inlineStr"/>
      <c r="K711" t="inlineStr"/>
      <c r="L711" t="inlineStr"/>
      <c r="M711" t="inlineStr"/>
      <c r="N711" t="inlineStr"/>
    </row>
    <row r="712">
      <c r="A712" t="inlineStr">
        <is>
          <t>jp-sapporo</t>
        </is>
      </c>
      <c r="B712" t="inlineStr">
        <is>
          <t>Sapporo</t>
        </is>
      </c>
      <c r="C712" t="inlineStr">
        <is>
          <t>Japan</t>
        </is>
      </c>
      <c r="D712" t="inlineStr">
        <is>
          <t>East Asia</t>
        </is>
      </c>
      <c r="E712" t="inlineStr">
        <is>
          <t>water_sanitation_utility_raw</t>
        </is>
      </c>
      <c r="F712" t="inlineStr">
        <is>
          <t>Water, sanitation, and utility raw</t>
        </is>
      </c>
      <c r="G712" t="inlineStr">
        <is>
          <t>viability</t>
        </is>
      </c>
      <c r="H712" t="inlineStr">
        <is>
          <t>yes</t>
        </is>
      </c>
      <c r="I712" t="inlineStr">
        <is>
          <t>98.73</t>
        </is>
      </c>
      <c r="J712" t="inlineStr">
        <is>
          <t>world_bank</t>
        </is>
      </c>
      <c r="K712" t="inlineStr">
        <is>
          <t>https://api.worldbank.org/v2/country/JPN/indicator/SH.H2O.SMDW.ZS?format=json&amp;mrv=10</t>
        </is>
      </c>
      <c r="L712" t="inlineStr">
        <is>
          <t>World Bank WDI: People using safely managed drinking water services (% of population)</t>
        </is>
      </c>
      <c r="M712" t="inlineStr">
        <is>
          <t>2024-12-31</t>
        </is>
      </c>
      <c r="N712" t="inlineStr">
        <is>
          <t>auto_ingest=world_bank_proxy; indicator=SH.H2O.SMDW.ZS; year=2024; country_proxy=Japan</t>
        </is>
      </c>
    </row>
    <row r="713">
      <c r="A713" t="inlineStr">
        <is>
          <t>jp-sapporo</t>
        </is>
      </c>
      <c r="B713" t="inlineStr">
        <is>
          <t>Sapporo</t>
        </is>
      </c>
      <c r="C713" t="inlineStr">
        <is>
          <t>Japan</t>
        </is>
      </c>
      <c r="D713" t="inlineStr">
        <is>
          <t>East Asia</t>
        </is>
      </c>
      <c r="E713" t="inlineStr">
        <is>
          <t>digital_infrastructure_raw</t>
        </is>
      </c>
      <c r="F713" t="inlineStr">
        <is>
          <t>Digital infrastructure raw</t>
        </is>
      </c>
      <c r="G713" t="inlineStr">
        <is>
          <t>viability</t>
        </is>
      </c>
      <c r="H713" t="inlineStr">
        <is>
          <t>yes</t>
        </is>
      </c>
      <c r="I713" t="inlineStr">
        <is>
          <t>38.63</t>
        </is>
      </c>
      <c r="J713" t="inlineStr">
        <is>
          <t>world_bank</t>
        </is>
      </c>
      <c r="K713" t="inlineStr">
        <is>
          <t>https://api.worldbank.org/v2/country/JPN/indicator/IT.NET.BBND.P2?format=json&amp;mrv=10</t>
        </is>
      </c>
      <c r="L713" t="inlineStr">
        <is>
          <t>World Bank WDI: Fixed broadband subscriptions (per 100 people)</t>
        </is>
      </c>
      <c r="M713" t="inlineStr">
        <is>
          <t>2023-12-31</t>
        </is>
      </c>
      <c r="N713" t="inlineStr">
        <is>
          <t>auto_ingest=world_bank_proxy; indicator=IT.NET.BBND.P2; year=2023; country_proxy=Japan</t>
        </is>
      </c>
    </row>
    <row r="714">
      <c r="A714" t="inlineStr">
        <is>
          <t>jp-sapporo</t>
        </is>
      </c>
      <c r="B714" t="inlineStr">
        <is>
          <t>Sapporo</t>
        </is>
      </c>
      <c r="C714" t="inlineStr">
        <is>
          <t>Japan</t>
        </is>
      </c>
      <c r="D714" t="inlineStr">
        <is>
          <t>East Asia</t>
        </is>
      </c>
      <c r="E714" t="inlineStr">
        <is>
          <t>climate_sunlight_livability_raw</t>
        </is>
      </c>
      <c r="F714" t="inlineStr">
        <is>
          <t>Climate and sunlight livability raw</t>
        </is>
      </c>
      <c r="G714" t="inlineStr">
        <is>
          <t>viability</t>
        </is>
      </c>
      <c r="H714" t="inlineStr">
        <is>
          <t>yes</t>
        </is>
      </c>
      <c r="I714" t="inlineStr">
        <is>
          <t>50</t>
        </is>
      </c>
      <c r="J714" t="inlineStr">
        <is>
          <t>wmo_natl_met</t>
        </is>
      </c>
      <c r="K714" t="inlineStr">
        <is>
          <t>https://worldweather.wmo.int</t>
        </is>
      </c>
      <c r="L714" t="inlineStr">
        <is>
          <t>WMO/National Met: Climate livability composite</t>
        </is>
      </c>
      <c r="M714" t="inlineStr">
        <is>
          <t>2024-12-31</t>
        </is>
      </c>
      <c r="N714" t="inlineStr">
        <is>
          <t>auto_seed=climate_composite; 1740 sun hrs, 9C mean, heavy snow, cold winter</t>
        </is>
      </c>
    </row>
    <row r="715">
      <c r="A715" t="inlineStr">
        <is>
          <t>jp-sapporo</t>
        </is>
      </c>
      <c r="B715" t="inlineStr">
        <is>
          <t>Sapporo</t>
        </is>
      </c>
      <c r="C715" t="inlineStr">
        <is>
          <t>Japan</t>
        </is>
      </c>
      <c r="D715" t="inlineStr">
        <is>
          <t>East Asia</t>
        </is>
      </c>
      <c r="E715" t="inlineStr">
        <is>
          <t>healthcare_quality_raw</t>
        </is>
      </c>
      <c r="F715" t="inlineStr">
        <is>
          <t>Healthcare quality raw</t>
        </is>
      </c>
      <c r="G715" t="inlineStr">
        <is>
          <t>capability</t>
        </is>
      </c>
      <c r="H715" t="inlineStr">
        <is>
          <t>yes</t>
        </is>
      </c>
      <c r="I715" t="inlineStr">
        <is>
          <t>86.0</t>
        </is>
      </c>
      <c r="J715" t="inlineStr">
        <is>
          <t>who_gho</t>
        </is>
      </c>
      <c r="K715" t="inlineStr">
        <is>
          <t>https://www.who.int/data/gho/data/indicators/indicator-details/GHO/UHC_INDEX_REPORTED</t>
        </is>
      </c>
      <c r="L715" t="inlineStr">
        <is>
          <t>WHO GHO: UHC Service Coverage Index</t>
        </is>
      </c>
      <c r="M715" t="inlineStr">
        <is>
          <t>2023-12-31</t>
        </is>
      </c>
      <c r="N715" t="inlineStr">
        <is>
          <t>auto_ingest=who_gho; indicator=UHC_INDEX_REPORTED; year=2023; country_proxy=Japan</t>
        </is>
      </c>
    </row>
    <row r="716">
      <c r="A716" t="inlineStr">
        <is>
          <t>jp-sapporo</t>
        </is>
      </c>
      <c r="B716" t="inlineStr">
        <is>
          <t>Sapporo</t>
        </is>
      </c>
      <c r="C716" t="inlineStr">
        <is>
          <t>Japan</t>
        </is>
      </c>
      <c r="D716" t="inlineStr">
        <is>
          <t>East Asia</t>
        </is>
      </c>
      <c r="E716" t="inlineStr">
        <is>
          <t>education_quality_raw</t>
        </is>
      </c>
      <c r="F716" t="inlineStr">
        <is>
          <t>Education quality raw</t>
        </is>
      </c>
      <c r="G716" t="inlineStr">
        <is>
          <t>capability</t>
        </is>
      </c>
      <c r="H716" t="inlineStr">
        <is>
          <t>yes</t>
        </is>
      </c>
      <c r="I716" t="inlineStr">
        <is>
          <t>64.89</t>
        </is>
      </c>
      <c r="J716" t="inlineStr">
        <is>
          <t>world_bank</t>
        </is>
      </c>
      <c r="K716" t="inlineStr">
        <is>
          <t>https://api.worldbank.org/v2/country/JPN/indicator/SE.TER.ENRR?format=json&amp;mrv=10</t>
        </is>
      </c>
      <c r="L716" t="inlineStr">
        <is>
          <t>World Bank WDI: School enrollment, tertiary (% gross)</t>
        </is>
      </c>
      <c r="M716" t="inlineStr">
        <is>
          <t>2023-12-31</t>
        </is>
      </c>
      <c r="N716" t="inlineStr">
        <is>
          <t>auto_ingest=world_bank_proxy; indicator=SE.TER.ENRR; year=2023; country_proxy=Japan</t>
        </is>
      </c>
    </row>
    <row r="717">
      <c r="A717" t="inlineStr">
        <is>
          <t>jp-sapporo</t>
        </is>
      </c>
      <c r="B717" t="inlineStr">
        <is>
          <t>Sapporo</t>
        </is>
      </c>
      <c r="C717" t="inlineStr">
        <is>
          <t>Japan</t>
        </is>
      </c>
      <c r="D717" t="inlineStr">
        <is>
          <t>East Asia</t>
        </is>
      </c>
      <c r="E717" t="inlineStr">
        <is>
          <t>equal_opportunity_raw</t>
        </is>
      </c>
      <c r="F717" t="inlineStr">
        <is>
          <t>Equal opportunity raw</t>
        </is>
      </c>
      <c r="G717" t="inlineStr">
        <is>
          <t>capability</t>
        </is>
      </c>
      <c r="H717" t="inlineStr">
        <is>
          <t>yes</t>
        </is>
      </c>
      <c r="I717" t="inlineStr">
        <is>
          <t>32.3</t>
        </is>
      </c>
      <c r="J717" t="inlineStr">
        <is>
          <t>world_bank</t>
        </is>
      </c>
      <c r="K717" t="inlineStr">
        <is>
          <t>https://api.worldbank.org/v2/country/JPN/indicator/SI.POV.GINI?format=json&amp;mrv=10</t>
        </is>
      </c>
      <c r="L717" t="inlineStr">
        <is>
          <t>World Bank WDI: Gini index</t>
        </is>
      </c>
      <c r="M717" t="inlineStr">
        <is>
          <t>2020-12-31</t>
        </is>
      </c>
      <c r="N717" t="inlineStr">
        <is>
          <t>auto_ingest=world_bank_capability; indicator=SI.POV.GINI; year=2020; country_proxy=Japan</t>
        </is>
      </c>
    </row>
    <row r="718">
      <c r="A718" t="inlineStr">
        <is>
          <t>jp-sapporo</t>
        </is>
      </c>
      <c r="B718" t="inlineStr">
        <is>
          <t>Sapporo</t>
        </is>
      </c>
      <c r="C718" t="inlineStr">
        <is>
          <t>Japan</t>
        </is>
      </c>
      <c r="D718" t="inlineStr">
        <is>
          <t>East Asia</t>
        </is>
      </c>
      <c r="E718" t="inlineStr">
        <is>
          <t>hospitality_belonging_raw</t>
        </is>
      </c>
      <c r="F718" t="inlineStr">
        <is>
          <t>Hospitality and belonging raw</t>
        </is>
      </c>
      <c r="G718" t="inlineStr">
        <is>
          <t>community</t>
        </is>
      </c>
      <c r="H718" t="inlineStr">
        <is>
          <t>yes</t>
        </is>
      </c>
      <c r="I718" t="inlineStr">
        <is>
          <t>51.13</t>
        </is>
      </c>
      <c r="J718" t="inlineStr">
        <is>
          <t>world_bank</t>
        </is>
      </c>
      <c r="K718" t="inlineStr">
        <is>
          <t>https://api.worldbank.org/v2/country/JPN/indicator/SM.POP.NETM?format=json&amp;mrv=10</t>
        </is>
      </c>
      <c r="L718" t="inlineStr">
        <is>
          <t>World Bank WDI: Net migration (proxy for hospitality/belonging — positive = welcoming)</t>
        </is>
      </c>
      <c r="M718" t="inlineStr">
        <is>
          <t>2025-12-31</t>
        </is>
      </c>
      <c r="N718" t="inlineStr">
        <is>
          <t>auto_ingest=world_bank_proxy; proxy=net_migration_hospitality; indicator=SM.POP.NETM; year=2025; country_proxy=Japan</t>
        </is>
      </c>
    </row>
    <row r="719">
      <c r="A719" t="inlineStr">
        <is>
          <t>jp-sapporo</t>
        </is>
      </c>
      <c r="B719" t="inlineStr">
        <is>
          <t>Sapporo</t>
        </is>
      </c>
      <c r="C719" t="inlineStr">
        <is>
          <t>Japan</t>
        </is>
      </c>
      <c r="D719" t="inlineStr">
        <is>
          <t>East Asia</t>
        </is>
      </c>
      <c r="E719" t="inlineStr">
        <is>
          <t>tolerance_pluralism_raw</t>
        </is>
      </c>
      <c r="F719" t="inlineStr">
        <is>
          <t>Tolerance and pluralism raw</t>
        </is>
      </c>
      <c r="G719" t="inlineStr">
        <is>
          <t>community</t>
        </is>
      </c>
      <c r="H719" t="inlineStr">
        <is>
          <t>yes</t>
        </is>
      </c>
      <c r="I719" t="inlineStr">
        <is>
          <t>15.7</t>
        </is>
      </c>
      <c r="J719" t="inlineStr">
        <is>
          <t>world_bank</t>
        </is>
      </c>
      <c r="K719" t="inlineStr">
        <is>
          <t>https://api.worldbank.org/v2/country/JPN/indicator/SG.GEN.PARL.ZS?format=json&amp;mrv=10</t>
        </is>
      </c>
      <c r="L719" t="inlineStr">
        <is>
          <t>World Bank WDI: Proportion of seats held by women in national parliaments (%)</t>
        </is>
      </c>
      <c r="M719" t="inlineStr">
        <is>
          <t>2024-12-31</t>
        </is>
      </c>
      <c r="N719" t="inlineStr">
        <is>
          <t>auto_ingest=world_bank_proxy; proxy=gender_parity_parliament; indicator=SG.GEN.PARL.ZS; year=2024; country_proxy=Japan</t>
        </is>
      </c>
    </row>
    <row r="720">
      <c r="A720" t="inlineStr">
        <is>
          <t>jp-sapporo</t>
        </is>
      </c>
      <c r="B720" t="inlineStr">
        <is>
          <t>Sapporo</t>
        </is>
      </c>
      <c r="C720" t="inlineStr">
        <is>
          <t>Japan</t>
        </is>
      </c>
      <c r="D720" t="inlineStr">
        <is>
          <t>East Asia</t>
        </is>
      </c>
      <c r="E720" t="inlineStr">
        <is>
          <t>cultural_public_life_raw</t>
        </is>
      </c>
      <c r="F720" t="inlineStr">
        <is>
          <t>Cultural public life raw</t>
        </is>
      </c>
      <c r="G720" t="inlineStr">
        <is>
          <t>community</t>
        </is>
      </c>
      <c r="H720" t="inlineStr">
        <is>
          <t>yes</t>
        </is>
      </c>
      <c r="I720" t="inlineStr">
        <is>
          <t>33.2</t>
        </is>
      </c>
      <c r="J720" t="inlineStr">
        <is>
          <t>world_bank</t>
        </is>
      </c>
      <c r="K720" t="inlineStr">
        <is>
          <t>https://api.worldbank.org/v2/country/JPN/indicator/ST.INT.ARVL?format=json&amp;mrv=10</t>
        </is>
      </c>
      <c r="L720" t="inlineStr">
        <is>
          <t>World Bank WDI: International tourism arrivals per 1 000 population</t>
        </is>
      </c>
      <c r="M720" t="inlineStr">
        <is>
          <t>2020-12-31</t>
        </is>
      </c>
      <c r="N720" t="inlineStr">
        <is>
          <t>auto_ingest=cultural_life_proxy; indicator=ST.INT.ARVL; norm=per_1000_pop; year=2020; country_proxy=Japan</t>
        </is>
      </c>
    </row>
    <row r="721">
      <c r="A721" t="inlineStr">
        <is>
          <t>jp-sapporo</t>
        </is>
      </c>
      <c r="B721" t="inlineStr">
        <is>
          <t>Sapporo</t>
        </is>
      </c>
      <c r="C721" t="inlineStr">
        <is>
          <t>Japan</t>
        </is>
      </c>
      <c r="D721" t="inlineStr">
        <is>
          <t>East Asia</t>
        </is>
      </c>
      <c r="E721" t="inlineStr">
        <is>
          <t>birth_rate_optimism_raw</t>
        </is>
      </c>
      <c r="F721" t="inlineStr">
        <is>
          <t>Birth rate and societal optimism raw</t>
        </is>
      </c>
      <c r="G721" t="inlineStr">
        <is>
          <t>community</t>
        </is>
      </c>
      <c r="H721" t="inlineStr">
        <is>
          <t>yes</t>
        </is>
      </c>
      <c r="I721" t="inlineStr">
        <is>
          <t>1.2</t>
        </is>
      </c>
      <c r="J721" t="inlineStr">
        <is>
          <t>world_bank</t>
        </is>
      </c>
      <c r="K721" t="inlineStr">
        <is>
          <t>https://data.worldbank.org/indicator/SP.DYN.TFRT.IN</t>
        </is>
      </c>
      <c r="L721" t="inlineStr">
        <is>
          <t>World Bank Total Fertility Rate 2023</t>
        </is>
      </c>
      <c r="M721" t="inlineStr">
        <is>
          <t>2024-01-01</t>
        </is>
      </c>
      <c r="N721" t="inlineStr"/>
    </row>
    <row r="722">
      <c r="A722" t="inlineStr">
        <is>
          <t>jp-sapporo</t>
        </is>
      </c>
      <c r="B722" t="inlineStr">
        <is>
          <t>Sapporo</t>
        </is>
      </c>
      <c r="C722" t="inlineStr">
        <is>
          <t>Japan</t>
        </is>
      </c>
      <c r="D722" t="inlineStr">
        <is>
          <t>East Asia</t>
        </is>
      </c>
      <c r="E722" t="inlineStr">
        <is>
          <t>entrepreneurial_dynamism_raw</t>
        </is>
      </c>
      <c r="F722" t="inlineStr">
        <is>
          <t>Entrepreneurial dynamism raw</t>
        </is>
      </c>
      <c r="G722" t="inlineStr">
        <is>
          <t>creative</t>
        </is>
      </c>
      <c r="H722" t="inlineStr">
        <is>
          <t>yes</t>
        </is>
      </c>
      <c r="I722" t="inlineStr">
        <is>
          <t>0.51</t>
        </is>
      </c>
      <c r="J722" t="inlineStr">
        <is>
          <t>world_bank</t>
        </is>
      </c>
      <c r="K722" t="inlineStr">
        <is>
          <t>https://api.worldbank.org/v2/country/JPN/indicator/IC.BUS.NDNS.ZS?format=json&amp;mrv=10</t>
        </is>
      </c>
      <c r="L722" t="inlineStr">
        <is>
          <t>World Bank WDI: New business density (new registrations per 1,000 people ages 15-64)</t>
        </is>
      </c>
      <c r="M722" t="inlineStr">
        <is>
          <t>2022-12-31</t>
        </is>
      </c>
      <c r="N722" t="inlineStr">
        <is>
          <t>auto_ingest=world_bank_creative_extended; indicator=IC.BUS.NDNS.ZS; year=2022; country_proxy=Japan</t>
        </is>
      </c>
    </row>
    <row r="723">
      <c r="A723" t="inlineStr">
        <is>
          <t>jp-sapporo</t>
        </is>
      </c>
      <c r="B723" t="inlineStr">
        <is>
          <t>Sapporo</t>
        </is>
      </c>
      <c r="C723" t="inlineStr">
        <is>
          <t>Japan</t>
        </is>
      </c>
      <c r="D723" t="inlineStr">
        <is>
          <t>East Asia</t>
        </is>
      </c>
      <c r="E723" t="inlineStr">
        <is>
          <t>innovation_research_intensity_raw</t>
        </is>
      </c>
      <c r="F723" t="inlineStr">
        <is>
          <t>Innovation and research raw</t>
        </is>
      </c>
      <c r="G723" t="inlineStr">
        <is>
          <t>creative</t>
        </is>
      </c>
      <c r="H723" t="inlineStr">
        <is>
          <t>yes</t>
        </is>
      </c>
      <c r="I723" t="inlineStr">
        <is>
          <t>3.41</t>
        </is>
      </c>
      <c r="J723" t="inlineStr">
        <is>
          <t>world_bank</t>
        </is>
      </c>
      <c r="K723" t="inlineStr">
        <is>
          <t>https://api.worldbank.org/v2/country/JPN/indicator/GB.XPD.RSDV.GD.ZS?format=json&amp;mrv=10</t>
        </is>
      </c>
      <c r="L723" t="inlineStr">
        <is>
          <t>World Bank WDI: Research and development expenditure (% of GDP)</t>
        </is>
      </c>
      <c r="M723" t="inlineStr">
        <is>
          <t>2022-12-31</t>
        </is>
      </c>
      <c r="N723" t="inlineStr">
        <is>
          <t>auto_ingest=world_bank_creative_extended; indicator=GB.XPD.RSDV.GD.ZS; year=2022; country_proxy=Japan</t>
        </is>
      </c>
    </row>
    <row r="724">
      <c r="A724" t="inlineStr">
        <is>
          <t>jp-sapporo</t>
        </is>
      </c>
      <c r="B724" t="inlineStr">
        <is>
          <t>Sapporo</t>
        </is>
      </c>
      <c r="C724" t="inlineStr">
        <is>
          <t>Japan</t>
        </is>
      </c>
      <c r="D724" t="inlineStr">
        <is>
          <t>East Asia</t>
        </is>
      </c>
      <c r="E724" t="inlineStr">
        <is>
          <t>investment_signal_raw</t>
        </is>
      </c>
      <c r="F724" t="inlineStr">
        <is>
          <t>Investment signal raw</t>
        </is>
      </c>
      <c r="G724" t="inlineStr">
        <is>
          <t>creative</t>
        </is>
      </c>
      <c r="H724" t="inlineStr">
        <is>
          <t>yes</t>
        </is>
      </c>
      <c r="I724" t="inlineStr">
        <is>
          <t>0.4</t>
        </is>
      </c>
      <c r="J724" t="inlineStr">
        <is>
          <t>world_bank</t>
        </is>
      </c>
      <c r="K724" t="inlineStr">
        <is>
          <t>https://api.worldbank.org/v2/country/JPN/indicator/BX.KLT.DINV.WD.GD.ZS?format=json&amp;mrv=10</t>
        </is>
      </c>
      <c r="L724" t="inlineStr">
        <is>
          <t>World Bank WDI: Foreign direct investment, net inflows (% of GDP)</t>
        </is>
      </c>
      <c r="M724" t="inlineStr">
        <is>
          <t>2024-12-31</t>
        </is>
      </c>
      <c r="N724" t="inlineStr">
        <is>
          <t>auto_ingest=world_bank_creative_extended; indicator=BX.KLT.DINV.WD.GD.ZS; year=2024; country_proxy=Japan</t>
        </is>
      </c>
    </row>
    <row r="725">
      <c r="A725" t="inlineStr">
        <is>
          <t>jp-sapporo</t>
        </is>
      </c>
      <c r="B725" t="inlineStr">
        <is>
          <t>Sapporo</t>
        </is>
      </c>
      <c r="C725" t="inlineStr">
        <is>
          <t>Japan</t>
        </is>
      </c>
      <c r="D725" t="inlineStr">
        <is>
          <t>East Asia</t>
        </is>
      </c>
      <c r="E725" t="inlineStr">
        <is>
          <t>administrative_investment_friction_raw</t>
        </is>
      </c>
      <c r="F725" t="inlineStr">
        <is>
          <t>Administrative investment friction raw</t>
        </is>
      </c>
      <c r="G725" t="inlineStr">
        <is>
          <t>creative</t>
        </is>
      </c>
      <c r="H725" t="inlineStr">
        <is>
          <t>yes</t>
        </is>
      </c>
      <c r="I725" t="inlineStr">
        <is>
          <t>1.03</t>
        </is>
      </c>
      <c r="J725" t="inlineStr">
        <is>
          <t>world_bank</t>
        </is>
      </c>
      <c r="K725" t="inlineStr">
        <is>
          <t>https://api.worldbank.org/v2/country/JPN/indicator/RQ.EST?format=json&amp;mrv=10</t>
        </is>
      </c>
      <c r="L725" t="inlineStr">
        <is>
          <t>World Bank WGI: Regulatory Quality (inverted as friction proxy)</t>
        </is>
      </c>
      <c r="M725" t="inlineStr">
        <is>
          <t>2023-12-31</t>
        </is>
      </c>
      <c r="N725" t="inlineStr">
        <is>
          <t>auto_ingest=world_bank_business_friction; indicator=RQ.EST; raw_rq=1.46932590007782; friction=1.03; year=2023; country_proxy=Japan</t>
        </is>
      </c>
    </row>
    <row r="726">
      <c r="A726" t="inlineStr">
        <is>
          <t>jp-sapporo</t>
        </is>
      </c>
      <c r="B726" t="inlineStr">
        <is>
          <t>Sapporo</t>
        </is>
      </c>
      <c r="C726" t="inlineStr">
        <is>
          <t>Japan</t>
        </is>
      </c>
      <c r="D726" t="inlineStr">
        <is>
          <t>East Asia</t>
        </is>
      </c>
      <c r="E726" t="inlineStr">
        <is>
          <t>visitor_flow_context_raw</t>
        </is>
      </c>
      <c r="F726" t="inlineStr">
        <is>
          <t>Visitor flow context raw</t>
        </is>
      </c>
      <c r="G726" t="inlineStr">
        <is>
          <t>creative</t>
        </is>
      </c>
      <c r="H726" t="inlineStr">
        <is>
          <t>no</t>
        </is>
      </c>
      <c r="I726" t="inlineStr"/>
      <c r="J726" t="inlineStr"/>
      <c r="K726" t="inlineStr"/>
      <c r="L726" t="inlineStr"/>
      <c r="M726" t="inlineStr"/>
      <c r="N726" t="inlineStr"/>
    </row>
    <row r="727">
      <c r="A727" t="inlineStr">
        <is>
          <t>cn-tianjin</t>
        </is>
      </c>
      <c r="B727" t="inlineStr">
        <is>
          <t>Tianjin</t>
        </is>
      </c>
      <c r="C727" t="inlineStr">
        <is>
          <t>China</t>
        </is>
      </c>
      <c r="D727" t="inlineStr">
        <is>
          <t>East Asia</t>
        </is>
      </c>
      <c r="E727" t="inlineStr">
        <is>
          <t>gross_income</t>
        </is>
      </c>
      <c r="F727" t="inlineStr">
        <is>
          <t>Gross income</t>
        </is>
      </c>
      <c r="G727" t="inlineStr">
        <is>
          <t>pressure</t>
        </is>
      </c>
      <c r="H727" t="inlineStr">
        <is>
          <t>yes</t>
        </is>
      </c>
      <c r="I727" t="inlineStr">
        <is>
          <t>2131.17</t>
        </is>
      </c>
      <c r="J727" t="inlineStr">
        <is>
          <t>world_bank_col_estimate</t>
        </is>
      </c>
      <c r="K727" t="inlineStr">
        <is>
          <t>https://api.worldbank.org/v2/country/CHN/indicator/NY.GNP.PCAP.PP.CD?format=json&amp;mrv=10</t>
        </is>
      </c>
      <c r="L727" t="inlineStr">
        <is>
          <t>World Bank WDI: GNI per capita PPP (monthly USD)</t>
        </is>
      </c>
      <c r="M727" t="inlineStr">
        <is>
          <t>2024-12-31</t>
        </is>
      </c>
      <c r="N727" t="inlineStr">
        <is>
          <t>auto_ingest=world_bank_col_estimate; gni_annual=26920.0; year=2024; country_proxy=China; cohort=East Asia; city_income_mult=0.95</t>
        </is>
      </c>
    </row>
    <row r="728">
      <c r="A728" t="inlineStr">
        <is>
          <t>cn-tianjin</t>
        </is>
      </c>
      <c r="B728" t="inlineStr">
        <is>
          <t>Tianjin</t>
        </is>
      </c>
      <c r="C728" t="inlineStr">
        <is>
          <t>China</t>
        </is>
      </c>
      <c r="D728" t="inlineStr">
        <is>
          <t>East Asia</t>
        </is>
      </c>
      <c r="E728" t="inlineStr">
        <is>
          <t>di_ppp_raw</t>
        </is>
      </c>
      <c r="F728" t="inlineStr">
        <is>
          <t>Disposable income PPP (Raw)</t>
        </is>
      </c>
      <c r="G728" t="inlineStr">
        <is>
          <t>pressure</t>
        </is>
      </c>
      <c r="H728" t="inlineStr">
        <is>
          <t>yes</t>
        </is>
      </c>
      <c r="I728" t="inlineStr"/>
      <c r="J728" t="inlineStr"/>
      <c r="K728" t="inlineStr"/>
      <c r="L728" t="inlineStr"/>
      <c r="M728" t="inlineStr"/>
      <c r="N728" t="inlineStr"/>
    </row>
    <row r="729">
      <c r="A729" t="inlineStr">
        <is>
          <t>cn-tianjin</t>
        </is>
      </c>
      <c r="B729" t="inlineStr">
        <is>
          <t>Tianjin</t>
        </is>
      </c>
      <c r="C729" t="inlineStr">
        <is>
          <t>China</t>
        </is>
      </c>
      <c r="D729" t="inlineStr">
        <is>
          <t>East Asia</t>
        </is>
      </c>
      <c r="E729" t="inlineStr">
        <is>
          <t>rent</t>
        </is>
      </c>
      <c r="F729" t="inlineStr">
        <is>
          <t>Rent</t>
        </is>
      </c>
      <c r="G729" t="inlineStr">
        <is>
          <t>pressure</t>
        </is>
      </c>
      <c r="H729" t="inlineStr">
        <is>
          <t>yes</t>
        </is>
      </c>
      <c r="I729" t="inlineStr">
        <is>
          <t>452.87</t>
        </is>
      </c>
      <c r="J729" t="inlineStr">
        <is>
          <t>world_bank_col_estimate</t>
        </is>
      </c>
      <c r="K729" t="inlineStr">
        <is>
          <t>https://api.worldbank.org/v2/country/CHN/indicator/NY.GNP.PCAP.PP.CD?format=json&amp;mrv=10</t>
        </is>
      </c>
      <c r="L729" t="inlineStr">
        <is>
          <t>World Bank GNI + regional expenditure ratio estimate</t>
        </is>
      </c>
      <c r="M729" t="inlineStr">
        <is>
          <t>2024-12-31</t>
        </is>
      </c>
      <c r="N729" t="inlineStr">
        <is>
          <t>auto_ingest=world_bank_col_estimate; gni_annual=26920.0; year=2024; country_proxy=China; cohort=East Asia; city_cost_mult=0.85</t>
        </is>
      </c>
    </row>
    <row r="730">
      <c r="A730" t="inlineStr">
        <is>
          <t>cn-tianjin</t>
        </is>
      </c>
      <c r="B730" t="inlineStr">
        <is>
          <t>Tianjin</t>
        </is>
      </c>
      <c r="C730" t="inlineStr">
        <is>
          <t>China</t>
        </is>
      </c>
      <c r="D730" t="inlineStr">
        <is>
          <t>East Asia</t>
        </is>
      </c>
      <c r="E730" t="inlineStr">
        <is>
          <t>utilities</t>
        </is>
      </c>
      <c r="F730" t="inlineStr">
        <is>
          <t>Utilities</t>
        </is>
      </c>
      <c r="G730" t="inlineStr">
        <is>
          <t>pressure</t>
        </is>
      </c>
      <c r="H730" t="inlineStr">
        <is>
          <t>yes</t>
        </is>
      </c>
      <c r="I730" t="inlineStr">
        <is>
          <t>108.69</t>
        </is>
      </c>
      <c r="J730" t="inlineStr">
        <is>
          <t>world_bank_col_estimate</t>
        </is>
      </c>
      <c r="K730" t="inlineStr">
        <is>
          <t>https://api.worldbank.org/v2/country/CHN/indicator/NY.GNP.PCAP.PP.CD?format=json&amp;mrv=10</t>
        </is>
      </c>
      <c r="L730" t="inlineStr">
        <is>
          <t>World Bank GNI + regional expenditure ratio estimate</t>
        </is>
      </c>
      <c r="M730" t="inlineStr">
        <is>
          <t>2024-12-31</t>
        </is>
      </c>
      <c r="N730" t="inlineStr">
        <is>
          <t>auto_ingest=world_bank_col_estimate; gni_annual=26920.0; year=2024; country_proxy=China; cohort=East Asia; city_cost_mult=0.85</t>
        </is>
      </c>
    </row>
    <row r="731">
      <c r="A731" t="inlineStr">
        <is>
          <t>cn-tianjin</t>
        </is>
      </c>
      <c r="B731" t="inlineStr">
        <is>
          <t>Tianjin</t>
        </is>
      </c>
      <c r="C731" t="inlineStr">
        <is>
          <t>China</t>
        </is>
      </c>
      <c r="D731" t="inlineStr">
        <is>
          <t>East Asia</t>
        </is>
      </c>
      <c r="E731" t="inlineStr">
        <is>
          <t>transit_cost</t>
        </is>
      </c>
      <c r="F731" t="inlineStr">
        <is>
          <t>Transit cost</t>
        </is>
      </c>
      <c r="G731" t="inlineStr">
        <is>
          <t>pressure</t>
        </is>
      </c>
      <c r="H731" t="inlineStr">
        <is>
          <t>yes</t>
        </is>
      </c>
      <c r="I731" t="inlineStr">
        <is>
          <t>72.46</t>
        </is>
      </c>
      <c r="J731" t="inlineStr">
        <is>
          <t>world_bank_col_estimate</t>
        </is>
      </c>
      <c r="K731" t="inlineStr">
        <is>
          <t>https://api.worldbank.org/v2/country/CHN/indicator/NY.GNP.PCAP.PP.CD?format=json&amp;mrv=10</t>
        </is>
      </c>
      <c r="L731" t="inlineStr">
        <is>
          <t>World Bank GNI + regional expenditure ratio estimate</t>
        </is>
      </c>
      <c r="M731" t="inlineStr">
        <is>
          <t>2024-12-31</t>
        </is>
      </c>
      <c r="N731" t="inlineStr">
        <is>
          <t>auto_ingest=world_bank_col_estimate; gni_annual=26920.0; year=2024; country_proxy=China; cohort=East Asia; city_cost_mult=0.85</t>
        </is>
      </c>
    </row>
    <row r="732">
      <c r="A732" t="inlineStr">
        <is>
          <t>cn-tianjin</t>
        </is>
      </c>
      <c r="B732" t="inlineStr">
        <is>
          <t>Tianjin</t>
        </is>
      </c>
      <c r="C732" t="inlineStr">
        <is>
          <t>China</t>
        </is>
      </c>
      <c r="D732" t="inlineStr">
        <is>
          <t>East Asia</t>
        </is>
      </c>
      <c r="E732" t="inlineStr">
        <is>
          <t>internet_cost</t>
        </is>
      </c>
      <c r="F732" t="inlineStr">
        <is>
          <t>Internet cost</t>
        </is>
      </c>
      <c r="G732" t="inlineStr">
        <is>
          <t>pressure</t>
        </is>
      </c>
      <c r="H732" t="inlineStr">
        <is>
          <t>yes</t>
        </is>
      </c>
      <c r="I732" t="inlineStr">
        <is>
          <t>27.17</t>
        </is>
      </c>
      <c r="J732" t="inlineStr">
        <is>
          <t>world_bank_col_estimate</t>
        </is>
      </c>
      <c r="K732" t="inlineStr">
        <is>
          <t>https://api.worldbank.org/v2/country/CHN/indicator/NY.GNP.PCAP.PP.CD?format=json&amp;mrv=10</t>
        </is>
      </c>
      <c r="L732" t="inlineStr">
        <is>
          <t>World Bank GNI + regional expenditure ratio estimate</t>
        </is>
      </c>
      <c r="M732" t="inlineStr">
        <is>
          <t>2024-12-31</t>
        </is>
      </c>
      <c r="N732" t="inlineStr">
        <is>
          <t>auto_ingest=world_bank_col_estimate; gni_annual=26920.0; year=2024; country_proxy=China; cohort=East Asia; city_cost_mult=0.85</t>
        </is>
      </c>
    </row>
    <row r="733">
      <c r="A733" t="inlineStr">
        <is>
          <t>cn-tianjin</t>
        </is>
      </c>
      <c r="B733" t="inlineStr">
        <is>
          <t>Tianjin</t>
        </is>
      </c>
      <c r="C733" t="inlineStr">
        <is>
          <t>China</t>
        </is>
      </c>
      <c r="D733" t="inlineStr">
        <is>
          <t>East Asia</t>
        </is>
      </c>
      <c r="E733" t="inlineStr">
        <is>
          <t>food_cost</t>
        </is>
      </c>
      <c r="F733" t="inlineStr">
        <is>
          <t>Food cost</t>
        </is>
      </c>
      <c r="G733" t="inlineStr">
        <is>
          <t>pressure</t>
        </is>
      </c>
      <c r="H733" t="inlineStr">
        <is>
          <t>yes</t>
        </is>
      </c>
      <c r="I733" t="inlineStr">
        <is>
          <t>362.3</t>
        </is>
      </c>
      <c r="J733" t="inlineStr">
        <is>
          <t>world_bank_col_estimate</t>
        </is>
      </c>
      <c r="K733" t="inlineStr">
        <is>
          <t>https://api.worldbank.org/v2/country/CHN/indicator/NY.GNP.PCAP.PP.CD?format=json&amp;mrv=10</t>
        </is>
      </c>
      <c r="L733" t="inlineStr">
        <is>
          <t>World Bank GNI + regional expenditure ratio estimate</t>
        </is>
      </c>
      <c r="M733" t="inlineStr">
        <is>
          <t>2024-12-31</t>
        </is>
      </c>
      <c r="N733" t="inlineStr">
        <is>
          <t>auto_ingest=world_bank_col_estimate; gni_annual=26920.0; year=2024; country_proxy=China; cohort=East Asia; city_cost_mult=0.85</t>
        </is>
      </c>
    </row>
    <row r="734">
      <c r="A734" t="inlineStr">
        <is>
          <t>cn-tianjin</t>
        </is>
      </c>
      <c r="B734" t="inlineStr">
        <is>
          <t>Tianjin</t>
        </is>
      </c>
      <c r="C734" t="inlineStr">
        <is>
          <t>China</t>
        </is>
      </c>
      <c r="D734" t="inlineStr">
        <is>
          <t>East Asia</t>
        </is>
      </c>
      <c r="E734" t="inlineStr">
        <is>
          <t>housing_burden_raw</t>
        </is>
      </c>
      <c r="F734" t="inlineStr">
        <is>
          <t>Housing burden raw</t>
        </is>
      </c>
      <c r="G734" t="inlineStr">
        <is>
          <t>pressure</t>
        </is>
      </c>
      <c r="H734" t="inlineStr">
        <is>
          <t>yes</t>
        </is>
      </c>
      <c r="I734" t="inlineStr">
        <is>
          <t>21.2498</t>
        </is>
      </c>
      <c r="J734" t="inlineStr">
        <is>
          <t>derived</t>
        </is>
      </c>
      <c r="K734" t="inlineStr">
        <is>
          <t>https://data.worldbank.org/indicator/NY.GNP.PCAP.PP.CD</t>
        </is>
      </c>
      <c r="L734" t="inlineStr">
        <is>
          <t>Computed from city_inputs + country_context</t>
        </is>
      </c>
      <c r="M734" t="inlineStr">
        <is>
          <t>2024-01-01</t>
        </is>
      </c>
      <c r="N734" t="inlineStr">
        <is>
          <t>derived=rent/gross_income*100</t>
        </is>
      </c>
    </row>
    <row r="735">
      <c r="A735" t="inlineStr">
        <is>
          <t>cn-tianjin</t>
        </is>
      </c>
      <c r="B735" t="inlineStr">
        <is>
          <t>Tianjin</t>
        </is>
      </c>
      <c r="C735" t="inlineStr">
        <is>
          <t>China</t>
        </is>
      </c>
      <c r="D735" t="inlineStr">
        <is>
          <t>East Asia</t>
        </is>
      </c>
      <c r="E735" t="inlineStr">
        <is>
          <t>household_debt_burden_raw</t>
        </is>
      </c>
      <c r="F735" t="inlineStr">
        <is>
          <t>Household debt burden raw</t>
        </is>
      </c>
      <c r="G735" t="inlineStr">
        <is>
          <t>pressure</t>
        </is>
      </c>
      <c r="H735" t="inlineStr">
        <is>
          <t>yes</t>
        </is>
      </c>
      <c r="I735" t="inlineStr">
        <is>
          <t>194.166</t>
        </is>
      </c>
      <c r="J735" t="inlineStr">
        <is>
          <t>derived</t>
        </is>
      </c>
      <c r="K735" t="inlineStr">
        <is>
          <t>https://data.worldbank.org/indicator/NY.GNP.PCAP.PP.CD</t>
        </is>
      </c>
      <c r="L735" t="inlineStr">
        <is>
          <t>Computed from city_inputs + country_context</t>
        </is>
      </c>
      <c r="M735" t="inlineStr">
        <is>
          <t>2024-01-01</t>
        </is>
      </c>
      <c r="N735" t="inlineStr">
        <is>
          <t>derived=country_context.household_debt_proxy; country=China</t>
        </is>
      </c>
    </row>
    <row r="736">
      <c r="A736" t="inlineStr">
        <is>
          <t>cn-tianjin</t>
        </is>
      </c>
      <c r="B736" t="inlineStr">
        <is>
          <t>Tianjin</t>
        </is>
      </c>
      <c r="C736" t="inlineStr">
        <is>
          <t>China</t>
        </is>
      </c>
      <c r="D736" t="inlineStr">
        <is>
          <t>East Asia</t>
        </is>
      </c>
      <c r="E736" t="inlineStr">
        <is>
          <t>working_time_pressure_raw</t>
        </is>
      </c>
      <c r="F736" t="inlineStr">
        <is>
          <t>Working time pressure raw</t>
        </is>
      </c>
      <c r="G736" t="inlineStr">
        <is>
          <t>pressure</t>
        </is>
      </c>
      <c r="H736" t="inlineStr">
        <is>
          <t>yes</t>
        </is>
      </c>
      <c r="I736" t="inlineStr"/>
      <c r="J736" t="inlineStr"/>
      <c r="K736" t="inlineStr"/>
      <c r="L736" t="inlineStr"/>
      <c r="M736" t="inlineStr"/>
      <c r="N736" t="inlineStr"/>
    </row>
    <row r="737">
      <c r="A737" t="inlineStr">
        <is>
          <t>cn-tianjin</t>
        </is>
      </c>
      <c r="B737" t="inlineStr">
        <is>
          <t>Tianjin</t>
        </is>
      </c>
      <c r="C737" t="inlineStr">
        <is>
          <t>China</t>
        </is>
      </c>
      <c r="D737" t="inlineStr">
        <is>
          <t>East Asia</t>
        </is>
      </c>
      <c r="E737" t="inlineStr">
        <is>
          <t>suicide_mental_strain_raw</t>
        </is>
      </c>
      <c r="F737" t="inlineStr">
        <is>
          <t>Suicide or mental strain raw</t>
        </is>
      </c>
      <c r="G737" t="inlineStr">
        <is>
          <t>pressure</t>
        </is>
      </c>
      <c r="H737" t="inlineStr">
        <is>
          <t>yes</t>
        </is>
      </c>
      <c r="I737" t="inlineStr">
        <is>
          <t>8.95</t>
        </is>
      </c>
      <c r="J737" t="inlineStr">
        <is>
          <t>who_gho</t>
        </is>
      </c>
      <c r="K737" t="inlineStr">
        <is>
          <t>https://www.who.int/data/gho/data/indicators/indicator-details/GHO/SDGSUICIDE</t>
        </is>
      </c>
      <c r="L737" t="inlineStr">
        <is>
          <t>WHO GHO: Age-standardized suicide rate (per 100,000 population)</t>
        </is>
      </c>
      <c r="M737" t="inlineStr">
        <is>
          <t>2021-12-31</t>
        </is>
      </c>
      <c r="N737" t="inlineStr">
        <is>
          <t>auto_ingest=who_gho; indicator=SDGSUICIDE; year=2021; country_proxy=China</t>
        </is>
      </c>
    </row>
    <row r="738">
      <c r="A738" t="inlineStr">
        <is>
          <t>cn-tianjin</t>
        </is>
      </c>
      <c r="B738" t="inlineStr">
        <is>
          <t>Tianjin</t>
        </is>
      </c>
      <c r="C738" t="inlineStr">
        <is>
          <t>China</t>
        </is>
      </c>
      <c r="D738" t="inlineStr">
        <is>
          <t>East Asia</t>
        </is>
      </c>
      <c r="E738" t="inlineStr">
        <is>
          <t>personal_safety_raw</t>
        </is>
      </c>
      <c r="F738" t="inlineStr">
        <is>
          <t>Personal safety raw</t>
        </is>
      </c>
      <c r="G738" t="inlineStr">
        <is>
          <t>viability</t>
        </is>
      </c>
      <c r="H738" t="inlineStr">
        <is>
          <t>yes</t>
        </is>
      </c>
      <c r="I738" t="inlineStr">
        <is>
          <t>0.5</t>
        </is>
      </c>
      <c r="J738" t="inlineStr">
        <is>
          <t>world_bank</t>
        </is>
      </c>
      <c r="K738" t="inlineStr">
        <is>
          <t>https://api.worldbank.org/v2/country/CHN/indicator/VC.IHR.PSRC.P5?format=json&amp;mrv=10</t>
        </is>
      </c>
      <c r="L738" t="inlineStr">
        <is>
          <t>UNODC via World Bank WDI: Intentional homicides (per 100,000 people)</t>
        </is>
      </c>
      <c r="M738" t="inlineStr">
        <is>
          <t>2020-12-31</t>
        </is>
      </c>
      <c r="N738" t="inlineStr">
        <is>
          <t>auto_ingest=unodc_safety; indicator=VC.IHR.PSRC.P5; year=2020; country_proxy=China</t>
        </is>
      </c>
    </row>
    <row r="739">
      <c r="A739" t="inlineStr">
        <is>
          <t>cn-tianjin</t>
        </is>
      </c>
      <c r="B739" t="inlineStr">
        <is>
          <t>Tianjin</t>
        </is>
      </c>
      <c r="C739" t="inlineStr">
        <is>
          <t>China</t>
        </is>
      </c>
      <c r="D739" t="inlineStr">
        <is>
          <t>East Asia</t>
        </is>
      </c>
      <c r="E739" t="inlineStr">
        <is>
          <t>transit_access_commute_raw</t>
        </is>
      </c>
      <c r="F739" t="inlineStr">
        <is>
          <t>Transit access and commute raw</t>
        </is>
      </c>
      <c r="G739" t="inlineStr">
        <is>
          <t>viability</t>
        </is>
      </c>
      <c r="H739" t="inlineStr">
        <is>
          <t>yes</t>
        </is>
      </c>
      <c r="I739" t="inlineStr"/>
      <c r="J739" t="inlineStr"/>
      <c r="K739" t="inlineStr"/>
      <c r="L739" t="inlineStr"/>
      <c r="M739" t="inlineStr"/>
      <c r="N739" t="inlineStr"/>
    </row>
    <row r="740">
      <c r="A740" t="inlineStr">
        <is>
          <t>cn-tianjin</t>
        </is>
      </c>
      <c r="B740" t="inlineStr">
        <is>
          <t>Tianjin</t>
        </is>
      </c>
      <c r="C740" t="inlineStr">
        <is>
          <t>China</t>
        </is>
      </c>
      <c r="D740" t="inlineStr">
        <is>
          <t>East Asia</t>
        </is>
      </c>
      <c r="E740" t="inlineStr">
        <is>
          <t>clean_air_raw</t>
        </is>
      </c>
      <c r="F740" t="inlineStr">
        <is>
          <t>Clean air raw</t>
        </is>
      </c>
      <c r="G740" t="inlineStr">
        <is>
          <t>viability</t>
        </is>
      </c>
      <c r="H740" t="inlineStr">
        <is>
          <t>yes</t>
        </is>
      </c>
      <c r="I740" t="inlineStr"/>
      <c r="J740" t="inlineStr"/>
      <c r="K740" t="inlineStr"/>
      <c r="L740" t="inlineStr"/>
      <c r="M740" t="inlineStr"/>
      <c r="N740" t="inlineStr"/>
    </row>
    <row r="741">
      <c r="A741" t="inlineStr">
        <is>
          <t>cn-tianjin</t>
        </is>
      </c>
      <c r="B741" t="inlineStr">
        <is>
          <t>Tianjin</t>
        </is>
      </c>
      <c r="C741" t="inlineStr">
        <is>
          <t>China</t>
        </is>
      </c>
      <c r="D741" t="inlineStr">
        <is>
          <t>East Asia</t>
        </is>
      </c>
      <c r="E741" t="inlineStr">
        <is>
          <t>water_sanitation_utility_raw</t>
        </is>
      </c>
      <c r="F741" t="inlineStr">
        <is>
          <t>Water, sanitation, and utility raw</t>
        </is>
      </c>
      <c r="G741" t="inlineStr">
        <is>
          <t>viability</t>
        </is>
      </c>
      <c r="H741" t="inlineStr">
        <is>
          <t>yes</t>
        </is>
      </c>
      <c r="I741" t="inlineStr"/>
      <c r="J741" t="inlineStr"/>
      <c r="K741" t="inlineStr"/>
      <c r="L741" t="inlineStr"/>
      <c r="M741" t="inlineStr"/>
      <c r="N741" t="inlineStr"/>
    </row>
    <row r="742">
      <c r="A742" t="inlineStr">
        <is>
          <t>cn-tianjin</t>
        </is>
      </c>
      <c r="B742" t="inlineStr">
        <is>
          <t>Tianjin</t>
        </is>
      </c>
      <c r="C742" t="inlineStr">
        <is>
          <t>China</t>
        </is>
      </c>
      <c r="D742" t="inlineStr">
        <is>
          <t>East Asia</t>
        </is>
      </c>
      <c r="E742" t="inlineStr">
        <is>
          <t>digital_infrastructure_raw</t>
        </is>
      </c>
      <c r="F742" t="inlineStr">
        <is>
          <t>Digital infrastructure raw</t>
        </is>
      </c>
      <c r="G742" t="inlineStr">
        <is>
          <t>viability</t>
        </is>
      </c>
      <c r="H742" t="inlineStr">
        <is>
          <t>yes</t>
        </is>
      </c>
      <c r="I742" t="inlineStr">
        <is>
          <t>44.73</t>
        </is>
      </c>
      <c r="J742" t="inlineStr">
        <is>
          <t>world_bank</t>
        </is>
      </c>
      <c r="K742" t="inlineStr">
        <is>
          <t>https://api.worldbank.org/v2/country/CHN/indicator/IT.NET.BBND.P2?format=json&amp;mrv=10</t>
        </is>
      </c>
      <c r="L742" t="inlineStr">
        <is>
          <t>World Bank WDI: Fixed broadband subscriptions (per 100 people)</t>
        </is>
      </c>
      <c r="M742" t="inlineStr">
        <is>
          <t>2023-12-31</t>
        </is>
      </c>
      <c r="N742" t="inlineStr">
        <is>
          <t>auto_ingest=world_bank_proxy; indicator=IT.NET.BBND.P2; year=2023; country_proxy=China</t>
        </is>
      </c>
    </row>
    <row r="743">
      <c r="A743" t="inlineStr">
        <is>
          <t>cn-tianjin</t>
        </is>
      </c>
      <c r="B743" t="inlineStr">
        <is>
          <t>Tianjin</t>
        </is>
      </c>
      <c r="C743" t="inlineStr">
        <is>
          <t>China</t>
        </is>
      </c>
      <c r="D743" t="inlineStr">
        <is>
          <t>East Asia</t>
        </is>
      </c>
      <c r="E743" t="inlineStr">
        <is>
          <t>climate_sunlight_livability_raw</t>
        </is>
      </c>
      <c r="F743" t="inlineStr">
        <is>
          <t>Climate and sunlight livability raw</t>
        </is>
      </c>
      <c r="G743" t="inlineStr">
        <is>
          <t>viability</t>
        </is>
      </c>
      <c r="H743" t="inlineStr">
        <is>
          <t>yes</t>
        </is>
      </c>
      <c r="I743" t="inlineStr">
        <is>
          <t>52</t>
        </is>
      </c>
      <c r="J743" t="inlineStr">
        <is>
          <t>wmo_natl_met</t>
        </is>
      </c>
      <c r="K743" t="inlineStr">
        <is>
          <t>https://worldweather.wmo.int</t>
        </is>
      </c>
      <c r="L743" t="inlineStr">
        <is>
          <t>WMO/National Met: Climate livability composite</t>
        </is>
      </c>
      <c r="M743" t="inlineStr">
        <is>
          <t>2024-12-31</t>
        </is>
      </c>
      <c r="N743" t="inlineStr">
        <is>
          <t>auto_seed=climate_composite; 2500 sun hrs, 13C mean, cold</t>
        </is>
      </c>
    </row>
    <row r="744">
      <c r="A744" t="inlineStr">
        <is>
          <t>cn-tianjin</t>
        </is>
      </c>
      <c r="B744" t="inlineStr">
        <is>
          <t>Tianjin</t>
        </is>
      </c>
      <c r="C744" t="inlineStr">
        <is>
          <t>China</t>
        </is>
      </c>
      <c r="D744" t="inlineStr">
        <is>
          <t>East Asia</t>
        </is>
      </c>
      <c r="E744" t="inlineStr">
        <is>
          <t>healthcare_quality_raw</t>
        </is>
      </c>
      <c r="F744" t="inlineStr">
        <is>
          <t>Healthcare quality raw</t>
        </is>
      </c>
      <c r="G744" t="inlineStr">
        <is>
          <t>capability</t>
        </is>
      </c>
      <c r="H744" t="inlineStr">
        <is>
          <t>yes</t>
        </is>
      </c>
      <c r="I744" t="inlineStr">
        <is>
          <t>85.0</t>
        </is>
      </c>
      <c r="J744" t="inlineStr">
        <is>
          <t>who_gho</t>
        </is>
      </c>
      <c r="K744" t="inlineStr">
        <is>
          <t>https://www.who.int/data/gho/data/indicators/indicator-details/GHO/UHC_INDEX_REPORTED</t>
        </is>
      </c>
      <c r="L744" t="inlineStr">
        <is>
          <t>WHO GHO: UHC Service Coverage Index</t>
        </is>
      </c>
      <c r="M744" t="inlineStr">
        <is>
          <t>2023-12-31</t>
        </is>
      </c>
      <c r="N744" t="inlineStr">
        <is>
          <t>auto_ingest=who_gho; indicator=UHC_INDEX_REPORTED; year=2023; country_proxy=China</t>
        </is>
      </c>
    </row>
    <row r="745">
      <c r="A745" t="inlineStr">
        <is>
          <t>cn-tianjin</t>
        </is>
      </c>
      <c r="B745" t="inlineStr">
        <is>
          <t>Tianjin</t>
        </is>
      </c>
      <c r="C745" t="inlineStr">
        <is>
          <t>China</t>
        </is>
      </c>
      <c r="D745" t="inlineStr">
        <is>
          <t>East Asia</t>
        </is>
      </c>
      <c r="E745" t="inlineStr">
        <is>
          <t>education_quality_raw</t>
        </is>
      </c>
      <c r="F745" t="inlineStr">
        <is>
          <t>Education quality raw</t>
        </is>
      </c>
      <c r="G745" t="inlineStr">
        <is>
          <t>capability</t>
        </is>
      </c>
      <c r="H745" t="inlineStr">
        <is>
          <t>yes</t>
        </is>
      </c>
      <c r="I745" t="inlineStr">
        <is>
          <t>76.88</t>
        </is>
      </c>
      <c r="J745" t="inlineStr">
        <is>
          <t>world_bank</t>
        </is>
      </c>
      <c r="K745" t="inlineStr">
        <is>
          <t>https://api.worldbank.org/v2/country/CHN/indicator/SE.TER.ENRR?format=json&amp;mrv=10</t>
        </is>
      </c>
      <c r="L745" t="inlineStr">
        <is>
          <t>World Bank WDI: School enrollment, tertiary (% gross)</t>
        </is>
      </c>
      <c r="M745" t="inlineStr">
        <is>
          <t>2024-12-31</t>
        </is>
      </c>
      <c r="N745" t="inlineStr">
        <is>
          <t>auto_ingest=world_bank_proxy; indicator=SE.TER.ENRR; year=2024; country_proxy=China</t>
        </is>
      </c>
    </row>
    <row r="746">
      <c r="A746" t="inlineStr">
        <is>
          <t>cn-tianjin</t>
        </is>
      </c>
      <c r="B746" t="inlineStr">
        <is>
          <t>Tianjin</t>
        </is>
      </c>
      <c r="C746" t="inlineStr">
        <is>
          <t>China</t>
        </is>
      </c>
      <c r="D746" t="inlineStr">
        <is>
          <t>East Asia</t>
        </is>
      </c>
      <c r="E746" t="inlineStr">
        <is>
          <t>equal_opportunity_raw</t>
        </is>
      </c>
      <c r="F746" t="inlineStr">
        <is>
          <t>Equal opportunity raw</t>
        </is>
      </c>
      <c r="G746" t="inlineStr">
        <is>
          <t>capability</t>
        </is>
      </c>
      <c r="H746" t="inlineStr">
        <is>
          <t>yes</t>
        </is>
      </c>
      <c r="I746" t="inlineStr">
        <is>
          <t>36.0</t>
        </is>
      </c>
      <c r="J746" t="inlineStr">
        <is>
          <t>world_bank</t>
        </is>
      </c>
      <c r="K746" t="inlineStr">
        <is>
          <t>https://api.worldbank.org/v2/country/CHN/indicator/SI.POV.GINI?format=json&amp;mrv=10</t>
        </is>
      </c>
      <c r="L746" t="inlineStr">
        <is>
          <t>World Bank WDI: Gini index</t>
        </is>
      </c>
      <c r="M746" t="inlineStr">
        <is>
          <t>2022-12-31</t>
        </is>
      </c>
      <c r="N746" t="inlineStr">
        <is>
          <t>auto_ingest=world_bank_capability; indicator=SI.POV.GINI; year=2022; country_proxy=China</t>
        </is>
      </c>
    </row>
    <row r="747">
      <c r="A747" t="inlineStr">
        <is>
          <t>cn-tianjin</t>
        </is>
      </c>
      <c r="B747" t="inlineStr">
        <is>
          <t>Tianjin</t>
        </is>
      </c>
      <c r="C747" t="inlineStr">
        <is>
          <t>China</t>
        </is>
      </c>
      <c r="D747" t="inlineStr">
        <is>
          <t>East Asia</t>
        </is>
      </c>
      <c r="E747" t="inlineStr">
        <is>
          <t>hospitality_belonging_raw</t>
        </is>
      </c>
      <c r="F747" t="inlineStr">
        <is>
          <t>Hospitality and belonging raw</t>
        </is>
      </c>
      <c r="G747" t="inlineStr">
        <is>
          <t>community</t>
        </is>
      </c>
      <c r="H747" t="inlineStr">
        <is>
          <t>yes</t>
        </is>
      </c>
      <c r="I747" t="inlineStr">
        <is>
          <t>49.81</t>
        </is>
      </c>
      <c r="J747" t="inlineStr">
        <is>
          <t>world_bank</t>
        </is>
      </c>
      <c r="K747" t="inlineStr">
        <is>
          <t>https://api.worldbank.org/v2/country/CHN/indicator/SM.POP.NETM?format=json&amp;mrv=10</t>
        </is>
      </c>
      <c r="L747" t="inlineStr">
        <is>
          <t>World Bank WDI: Net migration (proxy for hospitality/belonging — positive = welcoming)</t>
        </is>
      </c>
      <c r="M747" t="inlineStr">
        <is>
          <t>2025-12-31</t>
        </is>
      </c>
      <c r="N747" t="inlineStr">
        <is>
          <t>auto_ingest=world_bank_proxy; proxy=net_migration_hospitality; indicator=SM.POP.NETM; year=2025; country_proxy=China</t>
        </is>
      </c>
    </row>
    <row r="748">
      <c r="A748" t="inlineStr">
        <is>
          <t>cn-tianjin</t>
        </is>
      </c>
      <c r="B748" t="inlineStr">
        <is>
          <t>Tianjin</t>
        </is>
      </c>
      <c r="C748" t="inlineStr">
        <is>
          <t>China</t>
        </is>
      </c>
      <c r="D748" t="inlineStr">
        <is>
          <t>East Asia</t>
        </is>
      </c>
      <c r="E748" t="inlineStr">
        <is>
          <t>tolerance_pluralism_raw</t>
        </is>
      </c>
      <c r="F748" t="inlineStr">
        <is>
          <t>Tolerance and pluralism raw</t>
        </is>
      </c>
      <c r="G748" t="inlineStr">
        <is>
          <t>community</t>
        </is>
      </c>
      <c r="H748" t="inlineStr">
        <is>
          <t>yes</t>
        </is>
      </c>
      <c r="I748" t="inlineStr">
        <is>
          <t>26.54</t>
        </is>
      </c>
      <c r="J748" t="inlineStr">
        <is>
          <t>world_bank</t>
        </is>
      </c>
      <c r="K748" t="inlineStr">
        <is>
          <t>https://api.worldbank.org/v2/country/CHN/indicator/SG.GEN.PARL.ZS?format=json&amp;mrv=10</t>
        </is>
      </c>
      <c r="L748" t="inlineStr">
        <is>
          <t>World Bank WDI: Proportion of seats held by women in national parliaments (%)</t>
        </is>
      </c>
      <c r="M748" t="inlineStr">
        <is>
          <t>2024-12-31</t>
        </is>
      </c>
      <c r="N748" t="inlineStr">
        <is>
          <t>auto_ingest=world_bank_proxy; proxy=gender_parity_parliament; indicator=SG.GEN.PARL.ZS; year=2024; country_proxy=China</t>
        </is>
      </c>
    </row>
    <row r="749">
      <c r="A749" t="inlineStr">
        <is>
          <t>cn-tianjin</t>
        </is>
      </c>
      <c r="B749" t="inlineStr">
        <is>
          <t>Tianjin</t>
        </is>
      </c>
      <c r="C749" t="inlineStr">
        <is>
          <t>China</t>
        </is>
      </c>
      <c r="D749" t="inlineStr">
        <is>
          <t>East Asia</t>
        </is>
      </c>
      <c r="E749" t="inlineStr">
        <is>
          <t>cultural_public_life_raw</t>
        </is>
      </c>
      <c r="F749" t="inlineStr">
        <is>
          <t>Cultural public life raw</t>
        </is>
      </c>
      <c r="G749" t="inlineStr">
        <is>
          <t>community</t>
        </is>
      </c>
      <c r="H749" t="inlineStr">
        <is>
          <t>yes</t>
        </is>
      </c>
      <c r="I749" t="inlineStr">
        <is>
          <t>21.58</t>
        </is>
      </c>
      <c r="J749" t="inlineStr">
        <is>
          <t>world_bank</t>
        </is>
      </c>
      <c r="K749" t="inlineStr">
        <is>
          <t>https://api.worldbank.org/v2/country/CHN/indicator/ST.INT.ARVL?format=json&amp;mrv=10</t>
        </is>
      </c>
      <c r="L749" t="inlineStr">
        <is>
          <t>World Bank WDI: International tourism arrivals per 1 000 population</t>
        </is>
      </c>
      <c r="M749" t="inlineStr">
        <is>
          <t>2020-12-31</t>
        </is>
      </c>
      <c r="N749" t="inlineStr">
        <is>
          <t>auto_ingest=cultural_life_proxy; indicator=ST.INT.ARVL; norm=per_1000_pop; year=2020; country_proxy=China</t>
        </is>
      </c>
    </row>
    <row r="750">
      <c r="A750" t="inlineStr">
        <is>
          <t>cn-tianjin</t>
        </is>
      </c>
      <c r="B750" t="inlineStr">
        <is>
          <t>Tianjin</t>
        </is>
      </c>
      <c r="C750" t="inlineStr">
        <is>
          <t>China</t>
        </is>
      </c>
      <c r="D750" t="inlineStr">
        <is>
          <t>East Asia</t>
        </is>
      </c>
      <c r="E750" t="inlineStr">
        <is>
          <t>birth_rate_optimism_raw</t>
        </is>
      </c>
      <c r="F750" t="inlineStr">
        <is>
          <t>Birth rate and societal optimism raw</t>
        </is>
      </c>
      <c r="G750" t="inlineStr">
        <is>
          <t>community</t>
        </is>
      </c>
      <c r="H750" t="inlineStr">
        <is>
          <t>yes</t>
        </is>
      </c>
      <c r="I750" t="inlineStr">
        <is>
          <t>1.0</t>
        </is>
      </c>
      <c r="J750" t="inlineStr">
        <is>
          <t>world_bank</t>
        </is>
      </c>
      <c r="K750" t="inlineStr">
        <is>
          <t>https://data.worldbank.org/indicator/SP.DYN.TFRT.IN</t>
        </is>
      </c>
      <c r="L750" t="inlineStr">
        <is>
          <t>World Bank Total Fertility Rate 2023</t>
        </is>
      </c>
      <c r="M750" t="inlineStr">
        <is>
          <t>2024-01-01</t>
        </is>
      </c>
      <c r="N750" t="inlineStr"/>
    </row>
    <row r="751">
      <c r="A751" t="inlineStr">
        <is>
          <t>cn-tianjin</t>
        </is>
      </c>
      <c r="B751" t="inlineStr">
        <is>
          <t>Tianjin</t>
        </is>
      </c>
      <c r="C751" t="inlineStr">
        <is>
          <t>China</t>
        </is>
      </c>
      <c r="D751" t="inlineStr">
        <is>
          <t>East Asia</t>
        </is>
      </c>
      <c r="E751" t="inlineStr">
        <is>
          <t>entrepreneurial_dynamism_raw</t>
        </is>
      </c>
      <c r="F751" t="inlineStr">
        <is>
          <t>Entrepreneurial dynamism raw</t>
        </is>
      </c>
      <c r="G751" t="inlineStr">
        <is>
          <t>creative</t>
        </is>
      </c>
      <c r="H751" t="inlineStr">
        <is>
          <t>yes</t>
        </is>
      </c>
      <c r="I751" t="inlineStr">
        <is>
          <t>8.58</t>
        </is>
      </c>
      <c r="J751" t="inlineStr">
        <is>
          <t>world_bank</t>
        </is>
      </c>
      <c r="K751" t="inlineStr">
        <is>
          <t>https://api.worldbank.org/v2/country/CHN/indicator/IC.BUS.NDNS.ZS?format=json&amp;mrv=10</t>
        </is>
      </c>
      <c r="L751" t="inlineStr">
        <is>
          <t>World Bank WDI: New business density (new registrations per 1,000 people ages 15-64)</t>
        </is>
      </c>
      <c r="M751" t="inlineStr">
        <is>
          <t>2020-12-31</t>
        </is>
      </c>
      <c r="N751" t="inlineStr">
        <is>
          <t>auto_ingest=world_bank_creative_extended; indicator=IC.BUS.NDNS.ZS; year=2020; country_proxy=China</t>
        </is>
      </c>
    </row>
    <row r="752">
      <c r="A752" t="inlineStr">
        <is>
          <t>cn-tianjin</t>
        </is>
      </c>
      <c r="B752" t="inlineStr">
        <is>
          <t>Tianjin</t>
        </is>
      </c>
      <c r="C752" t="inlineStr">
        <is>
          <t>China</t>
        </is>
      </c>
      <c r="D752" t="inlineStr">
        <is>
          <t>East Asia</t>
        </is>
      </c>
      <c r="E752" t="inlineStr">
        <is>
          <t>innovation_research_intensity_raw</t>
        </is>
      </c>
      <c r="F752" t="inlineStr">
        <is>
          <t>Innovation and research raw</t>
        </is>
      </c>
      <c r="G752" t="inlineStr">
        <is>
          <t>creative</t>
        </is>
      </c>
      <c r="H752" t="inlineStr">
        <is>
          <t>yes</t>
        </is>
      </c>
      <c r="I752" t="inlineStr">
        <is>
          <t>2.56</t>
        </is>
      </c>
      <c r="J752" t="inlineStr">
        <is>
          <t>world_bank</t>
        </is>
      </c>
      <c r="K752" t="inlineStr">
        <is>
          <t>https://api.worldbank.org/v2/country/CHN/indicator/GB.XPD.RSDV.GD.ZS?format=json&amp;mrv=10</t>
        </is>
      </c>
      <c r="L752" t="inlineStr">
        <is>
          <t>World Bank WDI: Research and development expenditure (% of GDP)</t>
        </is>
      </c>
      <c r="M752" t="inlineStr">
        <is>
          <t>2022-12-31</t>
        </is>
      </c>
      <c r="N752" t="inlineStr">
        <is>
          <t>auto_ingest=world_bank_creative_extended; indicator=GB.XPD.RSDV.GD.ZS; year=2022; country_proxy=China</t>
        </is>
      </c>
    </row>
    <row r="753">
      <c r="A753" t="inlineStr">
        <is>
          <t>cn-tianjin</t>
        </is>
      </c>
      <c r="B753" t="inlineStr">
        <is>
          <t>Tianjin</t>
        </is>
      </c>
      <c r="C753" t="inlineStr">
        <is>
          <t>China</t>
        </is>
      </c>
      <c r="D753" t="inlineStr">
        <is>
          <t>East Asia</t>
        </is>
      </c>
      <c r="E753" t="inlineStr">
        <is>
          <t>investment_signal_raw</t>
        </is>
      </c>
      <c r="F753" t="inlineStr">
        <is>
          <t>Investment signal raw</t>
        </is>
      </c>
      <c r="G753" t="inlineStr">
        <is>
          <t>creative</t>
        </is>
      </c>
      <c r="H753" t="inlineStr">
        <is>
          <t>yes</t>
        </is>
      </c>
      <c r="I753" t="inlineStr">
        <is>
          <t>0.1</t>
        </is>
      </c>
      <c r="J753" t="inlineStr">
        <is>
          <t>world_bank</t>
        </is>
      </c>
      <c r="K753" t="inlineStr">
        <is>
          <t>https://api.worldbank.org/v2/country/CHN/indicator/BX.KLT.DINV.WD.GD.ZS?format=json&amp;mrv=10</t>
        </is>
      </c>
      <c r="L753" t="inlineStr">
        <is>
          <t>World Bank WDI: Foreign direct investment, net inflows (% of GDP)</t>
        </is>
      </c>
      <c r="M753" t="inlineStr">
        <is>
          <t>2024-12-31</t>
        </is>
      </c>
      <c r="N753" t="inlineStr">
        <is>
          <t>auto_ingest=world_bank_creative_extended; indicator=BX.KLT.DINV.WD.GD.ZS; year=2024; country_proxy=China</t>
        </is>
      </c>
    </row>
    <row r="754">
      <c r="A754" t="inlineStr">
        <is>
          <t>cn-tianjin</t>
        </is>
      </c>
      <c r="B754" t="inlineStr">
        <is>
          <t>Tianjin</t>
        </is>
      </c>
      <c r="C754" t="inlineStr">
        <is>
          <t>China</t>
        </is>
      </c>
      <c r="D754" t="inlineStr">
        <is>
          <t>East Asia</t>
        </is>
      </c>
      <c r="E754" t="inlineStr">
        <is>
          <t>administrative_investment_friction_raw</t>
        </is>
      </c>
      <c r="F754" t="inlineStr">
        <is>
          <t>Administrative investment friction raw</t>
        </is>
      </c>
      <c r="G754" t="inlineStr">
        <is>
          <t>creative</t>
        </is>
      </c>
      <c r="H754" t="inlineStr">
        <is>
          <t>yes</t>
        </is>
      </c>
      <c r="I754" t="inlineStr">
        <is>
          <t>2.86</t>
        </is>
      </c>
      <c r="J754" t="inlineStr">
        <is>
          <t>world_bank</t>
        </is>
      </c>
      <c r="K754" t="inlineStr">
        <is>
          <t>https://api.worldbank.org/v2/country/CHN/indicator/RQ.EST?format=json&amp;mrv=10</t>
        </is>
      </c>
      <c r="L754" t="inlineStr">
        <is>
          <t>World Bank WGI: Regulatory Quality (inverted as friction proxy)</t>
        </is>
      </c>
      <c r="M754" t="inlineStr">
        <is>
          <t>2023-12-31</t>
        </is>
      </c>
      <c r="N754" t="inlineStr">
        <is>
          <t>auto_ingest=world_bank_business_friction; indicator=RQ.EST; raw_rq=-0.356507807970047; friction=2.86; year=2023; country_proxy=China</t>
        </is>
      </c>
    </row>
    <row r="755">
      <c r="A755" t="inlineStr">
        <is>
          <t>cn-tianjin</t>
        </is>
      </c>
      <c r="B755" t="inlineStr">
        <is>
          <t>Tianjin</t>
        </is>
      </c>
      <c r="C755" t="inlineStr">
        <is>
          <t>China</t>
        </is>
      </c>
      <c r="D755" t="inlineStr">
        <is>
          <t>East Asia</t>
        </is>
      </c>
      <c r="E755" t="inlineStr">
        <is>
          <t>visitor_flow_context_raw</t>
        </is>
      </c>
      <c r="F755" t="inlineStr">
        <is>
          <t>Visitor flow context raw</t>
        </is>
      </c>
      <c r="G755" t="inlineStr">
        <is>
          <t>creative</t>
        </is>
      </c>
      <c r="H755" t="inlineStr">
        <is>
          <t>no</t>
        </is>
      </c>
      <c r="I755" t="inlineStr"/>
      <c r="J755" t="inlineStr"/>
      <c r="K755" t="inlineStr"/>
      <c r="L755" t="inlineStr"/>
      <c r="M755" t="inlineStr"/>
      <c r="N755" t="inlineStr"/>
    </row>
    <row r="756">
      <c r="A756" t="inlineStr">
        <is>
          <t>in-bengaluru</t>
        </is>
      </c>
      <c r="B756" t="inlineStr">
        <is>
          <t>Bengaluru</t>
        </is>
      </c>
      <c r="C756" t="inlineStr">
        <is>
          <t>India</t>
        </is>
      </c>
      <c r="D756" t="inlineStr">
        <is>
          <t>South Asia</t>
        </is>
      </c>
      <c r="E756" t="inlineStr">
        <is>
          <t>gross_income</t>
        </is>
      </c>
      <c r="F756" t="inlineStr">
        <is>
          <t>Gross income</t>
        </is>
      </c>
      <c r="G756" t="inlineStr">
        <is>
          <t>pressure</t>
        </is>
      </c>
      <c r="H756" t="inlineStr">
        <is>
          <t>yes</t>
        </is>
      </c>
      <c r="I756" t="inlineStr">
        <is>
          <t>1283.33</t>
        </is>
      </c>
      <c r="J756" t="inlineStr">
        <is>
          <t>world_bank_col_estimate</t>
        </is>
      </c>
      <c r="K756" t="inlineStr">
        <is>
          <t>https://api.worldbank.org/v2/country/IND/indicator/NY.GNP.PCAP.PP.CD?format=json&amp;mrv=10</t>
        </is>
      </c>
      <c r="L756" t="inlineStr">
        <is>
          <t>World Bank WDI: GNI per capita PPP (monthly USD)</t>
        </is>
      </c>
      <c r="M756" t="inlineStr">
        <is>
          <t>2024-12-31</t>
        </is>
      </c>
      <c r="N756" t="inlineStr">
        <is>
          <t>auto_ingest=world_bank_col_estimate; gni_annual=11000.0; year=2024; country_proxy=India; cohort=South Asia; city_income_mult=1.4</t>
        </is>
      </c>
    </row>
    <row r="757">
      <c r="A757" t="inlineStr">
        <is>
          <t>in-bengaluru</t>
        </is>
      </c>
      <c r="B757" t="inlineStr">
        <is>
          <t>Bengaluru</t>
        </is>
      </c>
      <c r="C757" t="inlineStr">
        <is>
          <t>India</t>
        </is>
      </c>
      <c r="D757" t="inlineStr">
        <is>
          <t>South Asia</t>
        </is>
      </c>
      <c r="E757" t="inlineStr">
        <is>
          <t>di_ppp_raw</t>
        </is>
      </c>
      <c r="F757" t="inlineStr">
        <is>
          <t>Disposable income PPP (Raw)</t>
        </is>
      </c>
      <c r="G757" t="inlineStr">
        <is>
          <t>pressure</t>
        </is>
      </c>
      <c r="H757" t="inlineStr">
        <is>
          <t>yes</t>
        </is>
      </c>
      <c r="I757" t="inlineStr"/>
      <c r="J757" t="inlineStr"/>
      <c r="K757" t="inlineStr"/>
      <c r="L757" t="inlineStr"/>
      <c r="M757" t="inlineStr"/>
      <c r="N757" t="inlineStr"/>
    </row>
    <row r="758">
      <c r="A758" t="inlineStr">
        <is>
          <t>in-bengaluru</t>
        </is>
      </c>
      <c r="B758" t="inlineStr">
        <is>
          <t>Bengaluru</t>
        </is>
      </c>
      <c r="C758" t="inlineStr">
        <is>
          <t>India</t>
        </is>
      </c>
      <c r="D758" t="inlineStr">
        <is>
          <t>South Asia</t>
        </is>
      </c>
      <c r="E758" t="inlineStr">
        <is>
          <t>rent</t>
        </is>
      </c>
      <c r="F758" t="inlineStr">
        <is>
          <t>Rent</t>
        </is>
      </c>
      <c r="G758" t="inlineStr">
        <is>
          <t>pressure</t>
        </is>
      </c>
      <c r="H758" t="inlineStr">
        <is>
          <t>yes</t>
        </is>
      </c>
      <c r="I758" t="inlineStr">
        <is>
          <t>221.37</t>
        </is>
      </c>
      <c r="J758" t="inlineStr">
        <is>
          <t>world_bank_col_estimate</t>
        </is>
      </c>
      <c r="K758" t="inlineStr">
        <is>
          <t>https://api.worldbank.org/v2/country/IND/indicator/NY.GNP.PCAP.PP.CD?format=json&amp;mrv=10</t>
        </is>
      </c>
      <c r="L758" t="inlineStr">
        <is>
          <t>World Bank GNI + regional expenditure ratio estimate</t>
        </is>
      </c>
      <c r="M758" t="inlineStr">
        <is>
          <t>2024-12-31</t>
        </is>
      </c>
      <c r="N758" t="inlineStr">
        <is>
          <t>auto_ingest=world_bank_col_estimate; gni_annual=11000.0; year=2024; country_proxy=India; cohort=South Asia; city_cost_mult=1.15</t>
        </is>
      </c>
    </row>
    <row r="759">
      <c r="A759" t="inlineStr">
        <is>
          <t>in-bengaluru</t>
        </is>
      </c>
      <c r="B759" t="inlineStr">
        <is>
          <t>Bengaluru</t>
        </is>
      </c>
      <c r="C759" t="inlineStr">
        <is>
          <t>India</t>
        </is>
      </c>
      <c r="D759" t="inlineStr">
        <is>
          <t>South Asia</t>
        </is>
      </c>
      <c r="E759" t="inlineStr">
        <is>
          <t>utilities</t>
        </is>
      </c>
      <c r="F759" t="inlineStr">
        <is>
          <t>Utilities</t>
        </is>
      </c>
      <c r="G759" t="inlineStr">
        <is>
          <t>pressure</t>
        </is>
      </c>
      <c r="H759" t="inlineStr">
        <is>
          <t>yes</t>
        </is>
      </c>
      <c r="I759" t="inlineStr">
        <is>
          <t>73.79</t>
        </is>
      </c>
      <c r="J759" t="inlineStr">
        <is>
          <t>world_bank_col_estimate</t>
        </is>
      </c>
      <c r="K759" t="inlineStr">
        <is>
          <t>https://api.worldbank.org/v2/country/IND/indicator/NY.GNP.PCAP.PP.CD?format=json&amp;mrv=10</t>
        </is>
      </c>
      <c r="L759" t="inlineStr">
        <is>
          <t>World Bank GNI + regional expenditure ratio estimate</t>
        </is>
      </c>
      <c r="M759" t="inlineStr">
        <is>
          <t>2024-12-31</t>
        </is>
      </c>
      <c r="N759" t="inlineStr">
        <is>
          <t>auto_ingest=world_bank_col_estimate; gni_annual=11000.0; year=2024; country_proxy=India; cohort=South Asia; city_cost_mult=1.15</t>
        </is>
      </c>
    </row>
    <row r="760">
      <c r="A760" t="inlineStr">
        <is>
          <t>in-bengaluru</t>
        </is>
      </c>
      <c r="B760" t="inlineStr">
        <is>
          <t>Bengaluru</t>
        </is>
      </c>
      <c r="C760" t="inlineStr">
        <is>
          <t>India</t>
        </is>
      </c>
      <c r="D760" t="inlineStr">
        <is>
          <t>South Asia</t>
        </is>
      </c>
      <c r="E760" t="inlineStr">
        <is>
          <t>transit_cost</t>
        </is>
      </c>
      <c r="F760" t="inlineStr">
        <is>
          <t>Transit cost</t>
        </is>
      </c>
      <c r="G760" t="inlineStr">
        <is>
          <t>pressure</t>
        </is>
      </c>
      <c r="H760" t="inlineStr">
        <is>
          <t>yes</t>
        </is>
      </c>
      <c r="I760" t="inlineStr">
        <is>
          <t>44.27</t>
        </is>
      </c>
      <c r="J760" t="inlineStr">
        <is>
          <t>world_bank_col_estimate</t>
        </is>
      </c>
      <c r="K760" t="inlineStr">
        <is>
          <t>https://api.worldbank.org/v2/country/IND/indicator/NY.GNP.PCAP.PP.CD?format=json&amp;mrv=10</t>
        </is>
      </c>
      <c r="L760" t="inlineStr">
        <is>
          <t>World Bank GNI + regional expenditure ratio estimate</t>
        </is>
      </c>
      <c r="M760" t="inlineStr">
        <is>
          <t>2024-12-31</t>
        </is>
      </c>
      <c r="N760" t="inlineStr">
        <is>
          <t>auto_ingest=world_bank_col_estimate; gni_annual=11000.0; year=2024; country_proxy=India; cohort=South Asia; city_cost_mult=1.15</t>
        </is>
      </c>
    </row>
    <row r="761">
      <c r="A761" t="inlineStr">
        <is>
          <t>in-bengaluru</t>
        </is>
      </c>
      <c r="B761" t="inlineStr">
        <is>
          <t>Bengaluru</t>
        </is>
      </c>
      <c r="C761" t="inlineStr">
        <is>
          <t>India</t>
        </is>
      </c>
      <c r="D761" t="inlineStr">
        <is>
          <t>South Asia</t>
        </is>
      </c>
      <c r="E761" t="inlineStr">
        <is>
          <t>internet_cost</t>
        </is>
      </c>
      <c r="F761" t="inlineStr">
        <is>
          <t>Internet cost</t>
        </is>
      </c>
      <c r="G761" t="inlineStr">
        <is>
          <t>pressure</t>
        </is>
      </c>
      <c r="H761" t="inlineStr">
        <is>
          <t>yes</t>
        </is>
      </c>
      <c r="I761" t="inlineStr">
        <is>
          <t>14.76</t>
        </is>
      </c>
      <c r="J761" t="inlineStr">
        <is>
          <t>world_bank_col_estimate</t>
        </is>
      </c>
      <c r="K761" t="inlineStr">
        <is>
          <t>https://api.worldbank.org/v2/country/IND/indicator/NY.GNP.PCAP.PP.CD?format=json&amp;mrv=10</t>
        </is>
      </c>
      <c r="L761" t="inlineStr">
        <is>
          <t>World Bank GNI + regional expenditure ratio estimate</t>
        </is>
      </c>
      <c r="M761" t="inlineStr">
        <is>
          <t>2024-12-31</t>
        </is>
      </c>
      <c r="N761" t="inlineStr">
        <is>
          <t>auto_ingest=world_bank_col_estimate; gni_annual=11000.0; year=2024; country_proxy=India; cohort=South Asia; city_cost_mult=1.15</t>
        </is>
      </c>
    </row>
    <row r="762">
      <c r="A762" t="inlineStr">
        <is>
          <t>in-bengaluru</t>
        </is>
      </c>
      <c r="B762" t="inlineStr">
        <is>
          <t>Bengaluru</t>
        </is>
      </c>
      <c r="C762" t="inlineStr">
        <is>
          <t>India</t>
        </is>
      </c>
      <c r="D762" t="inlineStr">
        <is>
          <t>South Asia</t>
        </is>
      </c>
      <c r="E762" t="inlineStr">
        <is>
          <t>food_cost</t>
        </is>
      </c>
      <c r="F762" t="inlineStr">
        <is>
          <t>Food cost</t>
        </is>
      </c>
      <c r="G762" t="inlineStr">
        <is>
          <t>pressure</t>
        </is>
      </c>
      <c r="H762" t="inlineStr">
        <is>
          <t>yes</t>
        </is>
      </c>
      <c r="I762" t="inlineStr">
        <is>
          <t>368.96</t>
        </is>
      </c>
      <c r="J762" t="inlineStr">
        <is>
          <t>world_bank_col_estimate</t>
        </is>
      </c>
      <c r="K762" t="inlineStr">
        <is>
          <t>https://api.worldbank.org/v2/country/IND/indicator/NY.GNP.PCAP.PP.CD?format=json&amp;mrv=10</t>
        </is>
      </c>
      <c r="L762" t="inlineStr">
        <is>
          <t>World Bank GNI + regional expenditure ratio estimate</t>
        </is>
      </c>
      <c r="M762" t="inlineStr">
        <is>
          <t>2024-12-31</t>
        </is>
      </c>
      <c r="N762" t="inlineStr">
        <is>
          <t>auto_ingest=world_bank_col_estimate; gni_annual=11000.0; year=2024; country_proxy=India; cohort=South Asia; city_cost_mult=1.15</t>
        </is>
      </c>
    </row>
    <row r="763">
      <c r="A763" t="inlineStr">
        <is>
          <t>in-bengaluru</t>
        </is>
      </c>
      <c r="B763" t="inlineStr">
        <is>
          <t>Bengaluru</t>
        </is>
      </c>
      <c r="C763" t="inlineStr">
        <is>
          <t>India</t>
        </is>
      </c>
      <c r="D763" t="inlineStr">
        <is>
          <t>South Asia</t>
        </is>
      </c>
      <c r="E763" t="inlineStr">
        <is>
          <t>housing_burden_raw</t>
        </is>
      </c>
      <c r="F763" t="inlineStr">
        <is>
          <t>Housing burden raw</t>
        </is>
      </c>
      <c r="G763" t="inlineStr">
        <is>
          <t>pressure</t>
        </is>
      </c>
      <c r="H763" t="inlineStr">
        <is>
          <t>yes</t>
        </is>
      </c>
      <c r="I763" t="inlineStr">
        <is>
          <t>17.2497</t>
        </is>
      </c>
      <c r="J763" t="inlineStr">
        <is>
          <t>derived</t>
        </is>
      </c>
      <c r="K763" t="inlineStr">
        <is>
          <t>https://data.worldbank.org/indicator/NY.GNP.PCAP.PP.CD</t>
        </is>
      </c>
      <c r="L763" t="inlineStr">
        <is>
          <t>Computed from city_inputs + country_context</t>
        </is>
      </c>
      <c r="M763" t="inlineStr">
        <is>
          <t>2024-01-01</t>
        </is>
      </c>
      <c r="N763" t="inlineStr">
        <is>
          <t>derived=rent/gross_income*100</t>
        </is>
      </c>
    </row>
    <row r="764">
      <c r="A764" t="inlineStr">
        <is>
          <t>in-bengaluru</t>
        </is>
      </c>
      <c r="B764" t="inlineStr">
        <is>
          <t>Bengaluru</t>
        </is>
      </c>
      <c r="C764" t="inlineStr">
        <is>
          <t>India</t>
        </is>
      </c>
      <c r="D764" t="inlineStr">
        <is>
          <t>South Asia</t>
        </is>
      </c>
      <c r="E764" t="inlineStr">
        <is>
          <t>household_debt_burden_raw</t>
        </is>
      </c>
      <c r="F764" t="inlineStr">
        <is>
          <t>Household debt burden raw</t>
        </is>
      </c>
      <c r="G764" t="inlineStr">
        <is>
          <t>pressure</t>
        </is>
      </c>
      <c r="H764" t="inlineStr">
        <is>
          <t>yes</t>
        </is>
      </c>
      <c r="I764" t="inlineStr">
        <is>
          <t>50.1422</t>
        </is>
      </c>
      <c r="J764" t="inlineStr">
        <is>
          <t>derived</t>
        </is>
      </c>
      <c r="K764" t="inlineStr">
        <is>
          <t>https://data.worldbank.org/indicator/NY.GNP.PCAP.PP.CD</t>
        </is>
      </c>
      <c r="L764" t="inlineStr">
        <is>
          <t>Computed from city_inputs + country_context</t>
        </is>
      </c>
      <c r="M764" t="inlineStr">
        <is>
          <t>2024-01-01</t>
        </is>
      </c>
      <c r="N764" t="inlineStr">
        <is>
          <t>derived=country_context.household_debt_proxy; country=India</t>
        </is>
      </c>
    </row>
    <row r="765">
      <c r="A765" t="inlineStr">
        <is>
          <t>in-bengaluru</t>
        </is>
      </c>
      <c r="B765" t="inlineStr">
        <is>
          <t>Bengaluru</t>
        </is>
      </c>
      <c r="C765" t="inlineStr">
        <is>
          <t>India</t>
        </is>
      </c>
      <c r="D765" t="inlineStr">
        <is>
          <t>South Asia</t>
        </is>
      </c>
      <c r="E765" t="inlineStr">
        <is>
          <t>working_time_pressure_raw</t>
        </is>
      </c>
      <c r="F765" t="inlineStr">
        <is>
          <t>Working time pressure raw</t>
        </is>
      </c>
      <c r="G765" t="inlineStr">
        <is>
          <t>pressure</t>
        </is>
      </c>
      <c r="H765" t="inlineStr">
        <is>
          <t>yes</t>
        </is>
      </c>
      <c r="I765" t="inlineStr">
        <is>
          <t>45.72</t>
        </is>
      </c>
      <c r="J765" t="inlineStr">
        <is>
          <t>ilo_ilostat</t>
        </is>
      </c>
      <c r="K765" t="inlineStr">
        <is>
          <t>https://ilostat.ilo.org/data/indicator/?id=HOW_TEMP_SEX_ECO_NB_A&amp;ref_area=IND</t>
        </is>
      </c>
      <c r="L765" t="inlineStr">
        <is>
          <t>ILO ILOSTAT: Mean weekly hours actually worked per employed person</t>
        </is>
      </c>
      <c r="M765" t="inlineStr">
        <is>
          <t>2024-12-31</t>
        </is>
      </c>
      <c r="N765" t="inlineStr">
        <is>
          <t>auto_ingest=ilo_working_hours; indicator=HOW_TEMP_SEX_ECO_NB_A; year=2024; hours=45.72; country_proxy=India</t>
        </is>
      </c>
    </row>
    <row r="766">
      <c r="A766" t="inlineStr">
        <is>
          <t>in-bengaluru</t>
        </is>
      </c>
      <c r="B766" t="inlineStr">
        <is>
          <t>Bengaluru</t>
        </is>
      </c>
      <c r="C766" t="inlineStr">
        <is>
          <t>India</t>
        </is>
      </c>
      <c r="D766" t="inlineStr">
        <is>
          <t>South Asia</t>
        </is>
      </c>
      <c r="E766" t="inlineStr">
        <is>
          <t>suicide_mental_strain_raw</t>
        </is>
      </c>
      <c r="F766" t="inlineStr">
        <is>
          <t>Suicide or mental strain raw</t>
        </is>
      </c>
      <c r="G766" t="inlineStr">
        <is>
          <t>pressure</t>
        </is>
      </c>
      <c r="H766" t="inlineStr">
        <is>
          <t>yes</t>
        </is>
      </c>
      <c r="I766" t="inlineStr">
        <is>
          <t>12.56</t>
        </is>
      </c>
      <c r="J766" t="inlineStr">
        <is>
          <t>who_gho</t>
        </is>
      </c>
      <c r="K766" t="inlineStr">
        <is>
          <t>https://www.who.int/data/gho/data/indicators/indicator-details/GHO/SDGSUICIDE</t>
        </is>
      </c>
      <c r="L766" t="inlineStr">
        <is>
          <t>WHO GHO: Age-standardized suicide rate (per 100,000 population)</t>
        </is>
      </c>
      <c r="M766" t="inlineStr">
        <is>
          <t>2021-12-31</t>
        </is>
      </c>
      <c r="N766" t="inlineStr">
        <is>
          <t>auto_ingest=who_gho; indicator=SDGSUICIDE; year=2021; country_proxy=India</t>
        </is>
      </c>
    </row>
    <row r="767">
      <c r="A767" t="inlineStr">
        <is>
          <t>in-bengaluru</t>
        </is>
      </c>
      <c r="B767" t="inlineStr">
        <is>
          <t>Bengaluru</t>
        </is>
      </c>
      <c r="C767" t="inlineStr">
        <is>
          <t>India</t>
        </is>
      </c>
      <c r="D767" t="inlineStr">
        <is>
          <t>South Asia</t>
        </is>
      </c>
      <c r="E767" t="inlineStr">
        <is>
          <t>personal_safety_raw</t>
        </is>
      </c>
      <c r="F767" t="inlineStr">
        <is>
          <t>Personal safety raw</t>
        </is>
      </c>
      <c r="G767" t="inlineStr">
        <is>
          <t>viability</t>
        </is>
      </c>
      <c r="H767" t="inlineStr">
        <is>
          <t>yes</t>
        </is>
      </c>
      <c r="I767" t="inlineStr">
        <is>
          <t>2.82</t>
        </is>
      </c>
      <c r="J767" t="inlineStr">
        <is>
          <t>world_bank</t>
        </is>
      </c>
      <c r="K767" t="inlineStr">
        <is>
          <t>https://api.worldbank.org/v2/country/IND/indicator/VC.IHR.PSRC.P5?format=json&amp;mrv=10</t>
        </is>
      </c>
      <c r="L767" t="inlineStr">
        <is>
          <t>UNODC via World Bank WDI: Intentional homicides (per 100,000 people)</t>
        </is>
      </c>
      <c r="M767" t="inlineStr">
        <is>
          <t>2022-12-31</t>
        </is>
      </c>
      <c r="N767" t="inlineStr">
        <is>
          <t>auto_ingest=unodc_safety; indicator=VC.IHR.PSRC.P5; year=2022; country_proxy=India</t>
        </is>
      </c>
    </row>
    <row r="768">
      <c r="A768" t="inlineStr">
        <is>
          <t>in-bengaluru</t>
        </is>
      </c>
      <c r="B768" t="inlineStr">
        <is>
          <t>Bengaluru</t>
        </is>
      </c>
      <c r="C768" t="inlineStr">
        <is>
          <t>India</t>
        </is>
      </c>
      <c r="D768" t="inlineStr">
        <is>
          <t>South Asia</t>
        </is>
      </c>
      <c r="E768" t="inlineStr">
        <is>
          <t>transit_access_commute_raw</t>
        </is>
      </c>
      <c r="F768" t="inlineStr">
        <is>
          <t>Transit access and commute raw</t>
        </is>
      </c>
      <c r="G768" t="inlineStr">
        <is>
          <t>viability</t>
        </is>
      </c>
      <c r="H768" t="inlineStr">
        <is>
          <t>yes</t>
        </is>
      </c>
      <c r="I768" t="inlineStr"/>
      <c r="J768" t="inlineStr"/>
      <c r="K768" t="inlineStr"/>
      <c r="L768" t="inlineStr"/>
      <c r="M768" t="inlineStr"/>
      <c r="N768" t="inlineStr"/>
    </row>
    <row r="769">
      <c r="A769" t="inlineStr">
        <is>
          <t>in-bengaluru</t>
        </is>
      </c>
      <c r="B769" t="inlineStr">
        <is>
          <t>Bengaluru</t>
        </is>
      </c>
      <c r="C769" t="inlineStr">
        <is>
          <t>India</t>
        </is>
      </c>
      <c r="D769" t="inlineStr">
        <is>
          <t>South Asia</t>
        </is>
      </c>
      <c r="E769" t="inlineStr">
        <is>
          <t>clean_air_raw</t>
        </is>
      </c>
      <c r="F769" t="inlineStr">
        <is>
          <t>Clean air raw</t>
        </is>
      </c>
      <c r="G769" t="inlineStr">
        <is>
          <t>viability</t>
        </is>
      </c>
      <c r="H769" t="inlineStr">
        <is>
          <t>yes</t>
        </is>
      </c>
      <c r="I769" t="inlineStr"/>
      <c r="J769" t="inlineStr"/>
      <c r="K769" t="inlineStr"/>
      <c r="L769" t="inlineStr"/>
      <c r="M769" t="inlineStr"/>
      <c r="N769" t="inlineStr"/>
    </row>
    <row r="770">
      <c r="A770" t="inlineStr">
        <is>
          <t>in-bengaluru</t>
        </is>
      </c>
      <c r="B770" t="inlineStr">
        <is>
          <t>Bengaluru</t>
        </is>
      </c>
      <c r="C770" t="inlineStr">
        <is>
          <t>India</t>
        </is>
      </c>
      <c r="D770" t="inlineStr">
        <is>
          <t>South Asia</t>
        </is>
      </c>
      <c r="E770" t="inlineStr">
        <is>
          <t>water_sanitation_utility_raw</t>
        </is>
      </c>
      <c r="F770" t="inlineStr">
        <is>
          <t>Water, sanitation, and utility raw</t>
        </is>
      </c>
      <c r="G770" t="inlineStr">
        <is>
          <t>viability</t>
        </is>
      </c>
      <c r="H770" t="inlineStr">
        <is>
          <t>yes</t>
        </is>
      </c>
      <c r="I770" t="inlineStr">
        <is>
          <t>76.44</t>
        </is>
      </c>
      <c r="J770" t="inlineStr">
        <is>
          <t>world_bank</t>
        </is>
      </c>
      <c r="K770" t="inlineStr">
        <is>
          <t>https://api.worldbank.org/v2/country/IND/indicator/SH.H2O.SMDW.ZS?format=json&amp;mrv=10</t>
        </is>
      </c>
      <c r="L770" t="inlineStr">
        <is>
          <t>World Bank WDI: People using safely managed drinking water services (% of population)</t>
        </is>
      </c>
      <c r="M770" t="inlineStr">
        <is>
          <t>2024-12-31</t>
        </is>
      </c>
      <c r="N770" t="inlineStr">
        <is>
          <t>auto_ingest=world_bank_proxy; indicator=SH.H2O.SMDW.ZS; year=2024; country_proxy=India</t>
        </is>
      </c>
    </row>
    <row r="771">
      <c r="A771" t="inlineStr">
        <is>
          <t>in-bengaluru</t>
        </is>
      </c>
      <c r="B771" t="inlineStr">
        <is>
          <t>Bengaluru</t>
        </is>
      </c>
      <c r="C771" t="inlineStr">
        <is>
          <t>India</t>
        </is>
      </c>
      <c r="D771" t="inlineStr">
        <is>
          <t>South Asia</t>
        </is>
      </c>
      <c r="E771" t="inlineStr">
        <is>
          <t>digital_infrastructure_raw</t>
        </is>
      </c>
      <c r="F771" t="inlineStr">
        <is>
          <t>Digital infrastructure raw</t>
        </is>
      </c>
      <c r="G771" t="inlineStr">
        <is>
          <t>viability</t>
        </is>
      </c>
      <c r="H771" t="inlineStr">
        <is>
          <t>yes</t>
        </is>
      </c>
      <c r="I771" t="inlineStr">
        <is>
          <t>2.75</t>
        </is>
      </c>
      <c r="J771" t="inlineStr">
        <is>
          <t>world_bank</t>
        </is>
      </c>
      <c r="K771" t="inlineStr">
        <is>
          <t>https://api.worldbank.org/v2/country/IND/indicator/IT.NET.BBND.P2?format=json&amp;mrv=10</t>
        </is>
      </c>
      <c r="L771" t="inlineStr">
        <is>
          <t>World Bank WDI: Fixed broadband subscriptions (per 100 people)</t>
        </is>
      </c>
      <c r="M771" t="inlineStr">
        <is>
          <t>2023-12-31</t>
        </is>
      </c>
      <c r="N771" t="inlineStr">
        <is>
          <t>auto_ingest=world_bank_proxy; indicator=IT.NET.BBND.P2; year=2023; country_proxy=India</t>
        </is>
      </c>
    </row>
    <row r="772">
      <c r="A772" t="inlineStr">
        <is>
          <t>in-bengaluru</t>
        </is>
      </c>
      <c r="B772" t="inlineStr">
        <is>
          <t>Bengaluru</t>
        </is>
      </c>
      <c r="C772" t="inlineStr">
        <is>
          <t>India</t>
        </is>
      </c>
      <c r="D772" t="inlineStr">
        <is>
          <t>South Asia</t>
        </is>
      </c>
      <c r="E772" t="inlineStr">
        <is>
          <t>climate_sunlight_livability_raw</t>
        </is>
      </c>
      <c r="F772" t="inlineStr">
        <is>
          <t>Climate and sunlight livability raw</t>
        </is>
      </c>
      <c r="G772" t="inlineStr">
        <is>
          <t>viability</t>
        </is>
      </c>
      <c r="H772" t="inlineStr">
        <is>
          <t>yes</t>
        </is>
      </c>
      <c r="I772" t="inlineStr"/>
      <c r="J772" t="inlineStr"/>
      <c r="K772" t="inlineStr"/>
      <c r="L772" t="inlineStr"/>
      <c r="M772" t="inlineStr"/>
      <c r="N772" t="inlineStr"/>
    </row>
    <row r="773">
      <c r="A773" t="inlineStr">
        <is>
          <t>in-bengaluru</t>
        </is>
      </c>
      <c r="B773" t="inlineStr">
        <is>
          <t>Bengaluru</t>
        </is>
      </c>
      <c r="C773" t="inlineStr">
        <is>
          <t>India</t>
        </is>
      </c>
      <c r="D773" t="inlineStr">
        <is>
          <t>South Asia</t>
        </is>
      </c>
      <c r="E773" t="inlineStr">
        <is>
          <t>healthcare_quality_raw</t>
        </is>
      </c>
      <c r="F773" t="inlineStr">
        <is>
          <t>Healthcare quality raw</t>
        </is>
      </c>
      <c r="G773" t="inlineStr">
        <is>
          <t>capability</t>
        </is>
      </c>
      <c r="H773" t="inlineStr">
        <is>
          <t>yes</t>
        </is>
      </c>
      <c r="I773" t="inlineStr">
        <is>
          <t>69.0</t>
        </is>
      </c>
      <c r="J773" t="inlineStr">
        <is>
          <t>who_gho</t>
        </is>
      </c>
      <c r="K773" t="inlineStr">
        <is>
          <t>https://www.who.int/data/gho/data/indicators/indicator-details/GHO/UHC_INDEX_REPORTED</t>
        </is>
      </c>
      <c r="L773" t="inlineStr">
        <is>
          <t>WHO GHO: UHC Service Coverage Index</t>
        </is>
      </c>
      <c r="M773" t="inlineStr">
        <is>
          <t>2023-12-31</t>
        </is>
      </c>
      <c r="N773" t="inlineStr">
        <is>
          <t>auto_ingest=who_gho; indicator=UHC_INDEX_REPORTED; year=2023; country_proxy=India</t>
        </is>
      </c>
    </row>
    <row r="774">
      <c r="A774" t="inlineStr">
        <is>
          <t>in-bengaluru</t>
        </is>
      </c>
      <c r="B774" t="inlineStr">
        <is>
          <t>Bengaluru</t>
        </is>
      </c>
      <c r="C774" t="inlineStr">
        <is>
          <t>India</t>
        </is>
      </c>
      <c r="D774" t="inlineStr">
        <is>
          <t>South Asia</t>
        </is>
      </c>
      <c r="E774" t="inlineStr">
        <is>
          <t>education_quality_raw</t>
        </is>
      </c>
      <c r="F774" t="inlineStr">
        <is>
          <t>Education quality raw</t>
        </is>
      </c>
      <c r="G774" t="inlineStr">
        <is>
          <t>capability</t>
        </is>
      </c>
      <c r="H774" t="inlineStr">
        <is>
          <t>yes</t>
        </is>
      </c>
      <c r="I774" t="inlineStr">
        <is>
          <t>34.42</t>
        </is>
      </c>
      <c r="J774" t="inlineStr">
        <is>
          <t>world_bank</t>
        </is>
      </c>
      <c r="K774" t="inlineStr">
        <is>
          <t>https://api.worldbank.org/v2/country/IND/indicator/SE.TER.ENRR?format=json&amp;mrv=10</t>
        </is>
      </c>
      <c r="L774" t="inlineStr">
        <is>
          <t>World Bank WDI: School enrollment, tertiary (% gross)</t>
        </is>
      </c>
      <c r="M774" t="inlineStr">
        <is>
          <t>2024-12-31</t>
        </is>
      </c>
      <c r="N774" t="inlineStr">
        <is>
          <t>auto_ingest=world_bank_proxy; indicator=SE.TER.ENRR; year=2024; country_proxy=India</t>
        </is>
      </c>
    </row>
    <row r="775">
      <c r="A775" t="inlineStr">
        <is>
          <t>in-bengaluru</t>
        </is>
      </c>
      <c r="B775" t="inlineStr">
        <is>
          <t>Bengaluru</t>
        </is>
      </c>
      <c r="C775" t="inlineStr">
        <is>
          <t>India</t>
        </is>
      </c>
      <c r="D775" t="inlineStr">
        <is>
          <t>South Asia</t>
        </is>
      </c>
      <c r="E775" t="inlineStr">
        <is>
          <t>equal_opportunity_raw</t>
        </is>
      </c>
      <c r="F775" t="inlineStr">
        <is>
          <t>Equal opportunity raw</t>
        </is>
      </c>
      <c r="G775" t="inlineStr">
        <is>
          <t>capability</t>
        </is>
      </c>
      <c r="H775" t="inlineStr">
        <is>
          <t>yes</t>
        </is>
      </c>
      <c r="I775" t="inlineStr">
        <is>
          <t>25.5</t>
        </is>
      </c>
      <c r="J775" t="inlineStr">
        <is>
          <t>world_bank</t>
        </is>
      </c>
      <c r="K775" t="inlineStr">
        <is>
          <t>https://api.worldbank.org/v2/country/IND/indicator/SI.POV.GINI?format=json&amp;mrv=10</t>
        </is>
      </c>
      <c r="L775" t="inlineStr">
        <is>
          <t>World Bank WDI: Gini index</t>
        </is>
      </c>
      <c r="M775" t="inlineStr">
        <is>
          <t>2022-12-31</t>
        </is>
      </c>
      <c r="N775" t="inlineStr">
        <is>
          <t>auto_ingest=world_bank_capability; indicator=SI.POV.GINI; year=2022; country_proxy=India</t>
        </is>
      </c>
    </row>
    <row r="776">
      <c r="A776" t="inlineStr">
        <is>
          <t>in-bengaluru</t>
        </is>
      </c>
      <c r="B776" t="inlineStr">
        <is>
          <t>Bengaluru</t>
        </is>
      </c>
      <c r="C776" t="inlineStr">
        <is>
          <t>India</t>
        </is>
      </c>
      <c r="D776" t="inlineStr">
        <is>
          <t>South Asia</t>
        </is>
      </c>
      <c r="E776" t="inlineStr">
        <is>
          <t>hospitality_belonging_raw</t>
        </is>
      </c>
      <c r="F776" t="inlineStr">
        <is>
          <t>Hospitality and belonging raw</t>
        </is>
      </c>
      <c r="G776" t="inlineStr">
        <is>
          <t>community</t>
        </is>
      </c>
      <c r="H776" t="inlineStr">
        <is>
          <t>yes</t>
        </is>
      </c>
      <c r="I776" t="inlineStr">
        <is>
          <t>49.66</t>
        </is>
      </c>
      <c r="J776" t="inlineStr">
        <is>
          <t>world_bank</t>
        </is>
      </c>
      <c r="K776" t="inlineStr">
        <is>
          <t>https://api.worldbank.org/v2/country/IND/indicator/SM.POP.NETM?format=json&amp;mrv=10</t>
        </is>
      </c>
      <c r="L776" t="inlineStr">
        <is>
          <t>World Bank WDI: Net migration (proxy for hospitality/belonging — positive = welcoming)</t>
        </is>
      </c>
      <c r="M776" t="inlineStr">
        <is>
          <t>2025-12-31</t>
        </is>
      </c>
      <c r="N776" t="inlineStr">
        <is>
          <t>auto_ingest=world_bank_proxy; proxy=net_migration_hospitality; indicator=SM.POP.NETM; year=2025; country_proxy=India</t>
        </is>
      </c>
    </row>
    <row r="777">
      <c r="A777" t="inlineStr">
        <is>
          <t>in-bengaluru</t>
        </is>
      </c>
      <c r="B777" t="inlineStr">
        <is>
          <t>Bengaluru</t>
        </is>
      </c>
      <c r="C777" t="inlineStr">
        <is>
          <t>India</t>
        </is>
      </c>
      <c r="D777" t="inlineStr">
        <is>
          <t>South Asia</t>
        </is>
      </c>
      <c r="E777" t="inlineStr">
        <is>
          <t>tolerance_pluralism_raw</t>
        </is>
      </c>
      <c r="F777" t="inlineStr">
        <is>
          <t>Tolerance and pluralism raw</t>
        </is>
      </c>
      <c r="G777" t="inlineStr">
        <is>
          <t>community</t>
        </is>
      </c>
      <c r="H777" t="inlineStr">
        <is>
          <t>yes</t>
        </is>
      </c>
      <c r="I777" t="inlineStr">
        <is>
          <t>13.65</t>
        </is>
      </c>
      <c r="J777" t="inlineStr">
        <is>
          <t>world_bank</t>
        </is>
      </c>
      <c r="K777" t="inlineStr">
        <is>
          <t>https://api.worldbank.org/v2/country/IND/indicator/SG.GEN.PARL.ZS?format=json&amp;mrv=10</t>
        </is>
      </c>
      <c r="L777" t="inlineStr">
        <is>
          <t>World Bank WDI: Proportion of seats held by women in national parliaments (%)</t>
        </is>
      </c>
      <c r="M777" t="inlineStr">
        <is>
          <t>2024-12-31</t>
        </is>
      </c>
      <c r="N777" t="inlineStr">
        <is>
          <t>auto_ingest=world_bank_proxy; proxy=gender_parity_parliament; indicator=SG.GEN.PARL.ZS; year=2024; country_proxy=India</t>
        </is>
      </c>
    </row>
    <row r="778">
      <c r="A778" t="inlineStr">
        <is>
          <t>in-bengaluru</t>
        </is>
      </c>
      <c r="B778" t="inlineStr">
        <is>
          <t>Bengaluru</t>
        </is>
      </c>
      <c r="C778" t="inlineStr">
        <is>
          <t>India</t>
        </is>
      </c>
      <c r="D778" t="inlineStr">
        <is>
          <t>South Asia</t>
        </is>
      </c>
      <c r="E778" t="inlineStr">
        <is>
          <t>cultural_public_life_raw</t>
        </is>
      </c>
      <c r="F778" t="inlineStr">
        <is>
          <t>Cultural public life raw</t>
        </is>
      </c>
      <c r="G778" t="inlineStr">
        <is>
          <t>community</t>
        </is>
      </c>
      <c r="H778" t="inlineStr">
        <is>
          <t>yes</t>
        </is>
      </c>
      <c r="I778" t="inlineStr">
        <is>
          <t>12.35</t>
        </is>
      </c>
      <c r="J778" t="inlineStr">
        <is>
          <t>world_bank</t>
        </is>
      </c>
      <c r="K778" t="inlineStr">
        <is>
          <t>https://api.worldbank.org/v2/country/IND/indicator/ST.INT.ARVL?format=json&amp;mrv=10</t>
        </is>
      </c>
      <c r="L778" t="inlineStr">
        <is>
          <t>World Bank WDI: International tourism arrivals per 1 000 population</t>
        </is>
      </c>
      <c r="M778" t="inlineStr">
        <is>
          <t>2019-12-31</t>
        </is>
      </c>
      <c r="N778" t="inlineStr">
        <is>
          <t>auto_ingest=cultural_life_proxy; indicator=ST.INT.ARVL; norm=per_1000_pop; year=2019; country_proxy=India</t>
        </is>
      </c>
    </row>
    <row r="779">
      <c r="A779" t="inlineStr">
        <is>
          <t>in-bengaluru</t>
        </is>
      </c>
      <c r="B779" t="inlineStr">
        <is>
          <t>Bengaluru</t>
        </is>
      </c>
      <c r="C779" t="inlineStr">
        <is>
          <t>India</t>
        </is>
      </c>
      <c r="D779" t="inlineStr">
        <is>
          <t>South Asia</t>
        </is>
      </c>
      <c r="E779" t="inlineStr">
        <is>
          <t>birth_rate_optimism_raw</t>
        </is>
      </c>
      <c r="F779" t="inlineStr">
        <is>
          <t>Birth rate and societal optimism raw</t>
        </is>
      </c>
      <c r="G779" t="inlineStr">
        <is>
          <t>community</t>
        </is>
      </c>
      <c r="H779" t="inlineStr">
        <is>
          <t>yes</t>
        </is>
      </c>
      <c r="I779" t="inlineStr">
        <is>
          <t>2.0</t>
        </is>
      </c>
      <c r="J779" t="inlineStr">
        <is>
          <t>world_bank</t>
        </is>
      </c>
      <c r="K779" t="inlineStr">
        <is>
          <t>https://data.worldbank.org/indicator/SP.DYN.TFRT.IN</t>
        </is>
      </c>
      <c r="L779" t="inlineStr">
        <is>
          <t>World Bank Total Fertility Rate 2023</t>
        </is>
      </c>
      <c r="M779" t="inlineStr">
        <is>
          <t>2024-01-01</t>
        </is>
      </c>
      <c r="N779" t="inlineStr"/>
    </row>
    <row r="780">
      <c r="A780" t="inlineStr">
        <is>
          <t>in-bengaluru</t>
        </is>
      </c>
      <c r="B780" t="inlineStr">
        <is>
          <t>Bengaluru</t>
        </is>
      </c>
      <c r="C780" t="inlineStr">
        <is>
          <t>India</t>
        </is>
      </c>
      <c r="D780" t="inlineStr">
        <is>
          <t>South Asia</t>
        </is>
      </c>
      <c r="E780" t="inlineStr">
        <is>
          <t>entrepreneurial_dynamism_raw</t>
        </is>
      </c>
      <c r="F780" t="inlineStr">
        <is>
          <t>Entrepreneurial dynamism raw</t>
        </is>
      </c>
      <c r="G780" t="inlineStr">
        <is>
          <t>creative</t>
        </is>
      </c>
      <c r="H780" t="inlineStr">
        <is>
          <t>yes</t>
        </is>
      </c>
      <c r="I780" t="inlineStr">
        <is>
          <t>0.18</t>
        </is>
      </c>
      <c r="J780" t="inlineStr">
        <is>
          <t>world_bank</t>
        </is>
      </c>
      <c r="K780" t="inlineStr">
        <is>
          <t>https://api.worldbank.org/v2/country/IND/indicator/IC.BUS.NDNS.ZS?format=json&amp;mrv=10</t>
        </is>
      </c>
      <c r="L780" t="inlineStr">
        <is>
          <t>World Bank WDI: New business density (new registrations per 1,000 people ages 15-64)</t>
        </is>
      </c>
      <c r="M780" t="inlineStr">
        <is>
          <t>2022-12-31</t>
        </is>
      </c>
      <c r="N780" t="inlineStr">
        <is>
          <t>auto_ingest=world_bank_creative_extended; indicator=IC.BUS.NDNS.ZS; year=2022; country_proxy=India</t>
        </is>
      </c>
    </row>
    <row r="781">
      <c r="A781" t="inlineStr">
        <is>
          <t>in-bengaluru</t>
        </is>
      </c>
      <c r="B781" t="inlineStr">
        <is>
          <t>Bengaluru</t>
        </is>
      </c>
      <c r="C781" t="inlineStr">
        <is>
          <t>India</t>
        </is>
      </c>
      <c r="D781" t="inlineStr">
        <is>
          <t>South Asia</t>
        </is>
      </c>
      <c r="E781" t="inlineStr">
        <is>
          <t>innovation_research_intensity_raw</t>
        </is>
      </c>
      <c r="F781" t="inlineStr">
        <is>
          <t>Innovation and research raw</t>
        </is>
      </c>
      <c r="G781" t="inlineStr">
        <is>
          <t>creative</t>
        </is>
      </c>
      <c r="H781" t="inlineStr">
        <is>
          <t>yes</t>
        </is>
      </c>
      <c r="I781" t="inlineStr">
        <is>
          <t>0.65</t>
        </is>
      </c>
      <c r="J781" t="inlineStr">
        <is>
          <t>world_bank</t>
        </is>
      </c>
      <c r="K781" t="inlineStr">
        <is>
          <t>https://api.worldbank.org/v2/country/IND/indicator/GB.XPD.RSDV.GD.ZS?format=json&amp;mrv=10</t>
        </is>
      </c>
      <c r="L781" t="inlineStr">
        <is>
          <t>World Bank WDI: Research and development expenditure (% of GDP)</t>
        </is>
      </c>
      <c r="M781" t="inlineStr">
        <is>
          <t>2020-12-31</t>
        </is>
      </c>
      <c r="N781" t="inlineStr">
        <is>
          <t>auto_ingest=world_bank_creative_extended; indicator=GB.XPD.RSDV.GD.ZS; year=2020; country_proxy=India</t>
        </is>
      </c>
    </row>
    <row r="782">
      <c r="A782" t="inlineStr">
        <is>
          <t>in-bengaluru</t>
        </is>
      </c>
      <c r="B782" t="inlineStr">
        <is>
          <t>Bengaluru</t>
        </is>
      </c>
      <c r="C782" t="inlineStr">
        <is>
          <t>India</t>
        </is>
      </c>
      <c r="D782" t="inlineStr">
        <is>
          <t>South Asia</t>
        </is>
      </c>
      <c r="E782" t="inlineStr">
        <is>
          <t>investment_signal_raw</t>
        </is>
      </c>
      <c r="F782" t="inlineStr">
        <is>
          <t>Investment signal raw</t>
        </is>
      </c>
      <c r="G782" t="inlineStr">
        <is>
          <t>creative</t>
        </is>
      </c>
      <c r="H782" t="inlineStr">
        <is>
          <t>yes</t>
        </is>
      </c>
      <c r="I782" t="inlineStr">
        <is>
          <t>0.69</t>
        </is>
      </c>
      <c r="J782" t="inlineStr">
        <is>
          <t>world_bank</t>
        </is>
      </c>
      <c r="K782" t="inlineStr">
        <is>
          <t>https://api.worldbank.org/v2/country/IND/indicator/BX.KLT.DINV.WD.GD.ZS?format=json&amp;mrv=10</t>
        </is>
      </c>
      <c r="L782" t="inlineStr">
        <is>
          <t>World Bank WDI: Foreign direct investment, net inflows (% of GDP)</t>
        </is>
      </c>
      <c r="M782" t="inlineStr">
        <is>
          <t>2024-12-31</t>
        </is>
      </c>
      <c r="N782" t="inlineStr">
        <is>
          <t>auto_ingest=world_bank_creative_extended; indicator=BX.KLT.DINV.WD.GD.ZS; year=2024; country_proxy=India</t>
        </is>
      </c>
    </row>
    <row r="783">
      <c r="A783" t="inlineStr">
        <is>
          <t>in-bengaluru</t>
        </is>
      </c>
      <c r="B783" t="inlineStr">
        <is>
          <t>Bengaluru</t>
        </is>
      </c>
      <c r="C783" t="inlineStr">
        <is>
          <t>India</t>
        </is>
      </c>
      <c r="D783" t="inlineStr">
        <is>
          <t>South Asia</t>
        </is>
      </c>
      <c r="E783" t="inlineStr">
        <is>
          <t>administrative_investment_friction_raw</t>
        </is>
      </c>
      <c r="F783" t="inlineStr">
        <is>
          <t>Administrative investment friction raw</t>
        </is>
      </c>
      <c r="G783" t="inlineStr">
        <is>
          <t>creative</t>
        </is>
      </c>
      <c r="H783" t="inlineStr">
        <is>
          <t>yes</t>
        </is>
      </c>
      <c r="I783" t="inlineStr">
        <is>
          <t>2.64</t>
        </is>
      </c>
      <c r="J783" t="inlineStr">
        <is>
          <t>world_bank</t>
        </is>
      </c>
      <c r="K783" t="inlineStr">
        <is>
          <t>https://api.worldbank.org/v2/country/IND/indicator/RQ.EST?format=json&amp;mrv=10</t>
        </is>
      </c>
      <c r="L783" t="inlineStr">
        <is>
          <t>World Bank WGI: Regulatory Quality (inverted as friction proxy)</t>
        </is>
      </c>
      <c r="M783" t="inlineStr">
        <is>
          <t>2023-12-31</t>
        </is>
      </c>
      <c r="N783" t="inlineStr">
        <is>
          <t>auto_ingest=world_bank_business_friction; indicator=RQ.EST; raw_rq=-0.136969581246376; friction=2.64; year=2023; country_proxy=India</t>
        </is>
      </c>
    </row>
    <row r="784">
      <c r="A784" t="inlineStr">
        <is>
          <t>in-bengaluru</t>
        </is>
      </c>
      <c r="B784" t="inlineStr">
        <is>
          <t>Bengaluru</t>
        </is>
      </c>
      <c r="C784" t="inlineStr">
        <is>
          <t>India</t>
        </is>
      </c>
      <c r="D784" t="inlineStr">
        <is>
          <t>South Asia</t>
        </is>
      </c>
      <c r="E784" t="inlineStr">
        <is>
          <t>visitor_flow_context_raw</t>
        </is>
      </c>
      <c r="F784" t="inlineStr">
        <is>
          <t>Visitor flow context raw</t>
        </is>
      </c>
      <c r="G784" t="inlineStr">
        <is>
          <t>creative</t>
        </is>
      </c>
      <c r="H784" t="inlineStr">
        <is>
          <t>no</t>
        </is>
      </c>
      <c r="I784" t="inlineStr"/>
      <c r="J784" t="inlineStr"/>
      <c r="K784" t="inlineStr"/>
      <c r="L784" t="inlineStr"/>
      <c r="M784" t="inlineStr"/>
      <c r="N784" t="inlineStr"/>
    </row>
    <row r="785">
      <c r="A785" t="inlineStr">
        <is>
          <t>in-hyderabad</t>
        </is>
      </c>
      <c r="B785" t="inlineStr">
        <is>
          <t>Hyderabad</t>
        </is>
      </c>
      <c r="C785" t="inlineStr">
        <is>
          <t>India</t>
        </is>
      </c>
      <c r="D785" t="inlineStr">
        <is>
          <t>South Asia</t>
        </is>
      </c>
      <c r="E785" t="inlineStr">
        <is>
          <t>gross_income</t>
        </is>
      </c>
      <c r="F785" t="inlineStr">
        <is>
          <t>Gross income</t>
        </is>
      </c>
      <c r="G785" t="inlineStr">
        <is>
          <t>pressure</t>
        </is>
      </c>
      <c r="H785" t="inlineStr">
        <is>
          <t>yes</t>
        </is>
      </c>
      <c r="I785" t="inlineStr">
        <is>
          <t>1145.83</t>
        </is>
      </c>
      <c r="J785" t="inlineStr">
        <is>
          <t>world_bank_col_estimate</t>
        </is>
      </c>
      <c r="K785" t="inlineStr">
        <is>
          <t>https://api.worldbank.org/v2/country/IND/indicator/NY.GNP.PCAP.PP.CD?format=json&amp;mrv=10</t>
        </is>
      </c>
      <c r="L785" t="inlineStr">
        <is>
          <t>World Bank WDI: GNI per capita PPP (monthly USD)</t>
        </is>
      </c>
      <c r="M785" t="inlineStr">
        <is>
          <t>2024-12-31</t>
        </is>
      </c>
      <c r="N785" t="inlineStr">
        <is>
          <t>auto_ingest=world_bank_col_estimate; gni_annual=11000.0; year=2024; country_proxy=India; cohort=South Asia; city_income_mult=1.25</t>
        </is>
      </c>
    </row>
    <row r="786">
      <c r="A786" t="inlineStr">
        <is>
          <t>in-hyderabad</t>
        </is>
      </c>
      <c r="B786" t="inlineStr">
        <is>
          <t>Hyderabad</t>
        </is>
      </c>
      <c r="C786" t="inlineStr">
        <is>
          <t>India</t>
        </is>
      </c>
      <c r="D786" t="inlineStr">
        <is>
          <t>South Asia</t>
        </is>
      </c>
      <c r="E786" t="inlineStr">
        <is>
          <t>di_ppp_raw</t>
        </is>
      </c>
      <c r="F786" t="inlineStr">
        <is>
          <t>Disposable income PPP (Raw)</t>
        </is>
      </c>
      <c r="G786" t="inlineStr">
        <is>
          <t>pressure</t>
        </is>
      </c>
      <c r="H786" t="inlineStr">
        <is>
          <t>yes</t>
        </is>
      </c>
      <c r="I786" t="inlineStr"/>
      <c r="J786" t="inlineStr"/>
      <c r="K786" t="inlineStr"/>
      <c r="L786" t="inlineStr"/>
      <c r="M786" t="inlineStr"/>
      <c r="N786" t="inlineStr"/>
    </row>
    <row r="787">
      <c r="A787" t="inlineStr">
        <is>
          <t>in-hyderabad</t>
        </is>
      </c>
      <c r="B787" t="inlineStr">
        <is>
          <t>Hyderabad</t>
        </is>
      </c>
      <c r="C787" t="inlineStr">
        <is>
          <t>India</t>
        </is>
      </c>
      <c r="D787" t="inlineStr">
        <is>
          <t>South Asia</t>
        </is>
      </c>
      <c r="E787" t="inlineStr">
        <is>
          <t>rent</t>
        </is>
      </c>
      <c r="F787" t="inlineStr">
        <is>
          <t>Rent</t>
        </is>
      </c>
      <c r="G787" t="inlineStr">
        <is>
          <t>pressure</t>
        </is>
      </c>
      <c r="H787" t="inlineStr">
        <is>
          <t>yes</t>
        </is>
      </c>
      <c r="I787" t="inlineStr">
        <is>
          <t>180.47</t>
        </is>
      </c>
      <c r="J787" t="inlineStr">
        <is>
          <t>world_bank_col_estimate</t>
        </is>
      </c>
      <c r="K787" t="inlineStr">
        <is>
          <t>https://api.worldbank.org/v2/country/IND/indicator/NY.GNP.PCAP.PP.CD?format=json&amp;mrv=10</t>
        </is>
      </c>
      <c r="L787" t="inlineStr">
        <is>
          <t>World Bank GNI + regional expenditure ratio estimate</t>
        </is>
      </c>
      <c r="M787" t="inlineStr">
        <is>
          <t>2024-12-31</t>
        </is>
      </c>
      <c r="N787" t="inlineStr">
        <is>
          <t>auto_ingest=world_bank_col_estimate; gni_annual=11000.0; year=2024; country_proxy=India; cohort=South Asia; city_cost_mult=1.05</t>
        </is>
      </c>
    </row>
    <row r="788">
      <c r="A788" t="inlineStr">
        <is>
          <t>in-hyderabad</t>
        </is>
      </c>
      <c r="B788" t="inlineStr">
        <is>
          <t>Hyderabad</t>
        </is>
      </c>
      <c r="C788" t="inlineStr">
        <is>
          <t>India</t>
        </is>
      </c>
      <c r="D788" t="inlineStr">
        <is>
          <t>South Asia</t>
        </is>
      </c>
      <c r="E788" t="inlineStr">
        <is>
          <t>utilities</t>
        </is>
      </c>
      <c r="F788" t="inlineStr">
        <is>
          <t>Utilities</t>
        </is>
      </c>
      <c r="G788" t="inlineStr">
        <is>
          <t>pressure</t>
        </is>
      </c>
      <c r="H788" t="inlineStr">
        <is>
          <t>yes</t>
        </is>
      </c>
      <c r="I788" t="inlineStr">
        <is>
          <t>60.16</t>
        </is>
      </c>
      <c r="J788" t="inlineStr">
        <is>
          <t>world_bank_col_estimate</t>
        </is>
      </c>
      <c r="K788" t="inlineStr">
        <is>
          <t>https://api.worldbank.org/v2/country/IND/indicator/NY.GNP.PCAP.PP.CD?format=json&amp;mrv=10</t>
        </is>
      </c>
      <c r="L788" t="inlineStr">
        <is>
          <t>World Bank GNI + regional expenditure ratio estimate</t>
        </is>
      </c>
      <c r="M788" t="inlineStr">
        <is>
          <t>2024-12-31</t>
        </is>
      </c>
      <c r="N788" t="inlineStr">
        <is>
          <t>auto_ingest=world_bank_col_estimate; gni_annual=11000.0; year=2024; country_proxy=India; cohort=South Asia; city_cost_mult=1.05</t>
        </is>
      </c>
    </row>
    <row r="789">
      <c r="A789" t="inlineStr">
        <is>
          <t>in-hyderabad</t>
        </is>
      </c>
      <c r="B789" t="inlineStr">
        <is>
          <t>Hyderabad</t>
        </is>
      </c>
      <c r="C789" t="inlineStr">
        <is>
          <t>India</t>
        </is>
      </c>
      <c r="D789" t="inlineStr">
        <is>
          <t>South Asia</t>
        </is>
      </c>
      <c r="E789" t="inlineStr">
        <is>
          <t>transit_cost</t>
        </is>
      </c>
      <c r="F789" t="inlineStr">
        <is>
          <t>Transit cost</t>
        </is>
      </c>
      <c r="G789" t="inlineStr">
        <is>
          <t>pressure</t>
        </is>
      </c>
      <c r="H789" t="inlineStr">
        <is>
          <t>yes</t>
        </is>
      </c>
      <c r="I789" t="inlineStr">
        <is>
          <t>36.09</t>
        </is>
      </c>
      <c r="J789" t="inlineStr">
        <is>
          <t>world_bank_col_estimate</t>
        </is>
      </c>
      <c r="K789" t="inlineStr">
        <is>
          <t>https://api.worldbank.org/v2/country/IND/indicator/NY.GNP.PCAP.PP.CD?format=json&amp;mrv=10</t>
        </is>
      </c>
      <c r="L789" t="inlineStr">
        <is>
          <t>World Bank GNI + regional expenditure ratio estimate</t>
        </is>
      </c>
      <c r="M789" t="inlineStr">
        <is>
          <t>2024-12-31</t>
        </is>
      </c>
      <c r="N789" t="inlineStr">
        <is>
          <t>auto_ingest=world_bank_col_estimate; gni_annual=11000.0; year=2024; country_proxy=India; cohort=South Asia; city_cost_mult=1.05</t>
        </is>
      </c>
    </row>
    <row r="790">
      <c r="A790" t="inlineStr">
        <is>
          <t>in-hyderabad</t>
        </is>
      </c>
      <c r="B790" t="inlineStr">
        <is>
          <t>Hyderabad</t>
        </is>
      </c>
      <c r="C790" t="inlineStr">
        <is>
          <t>India</t>
        </is>
      </c>
      <c r="D790" t="inlineStr">
        <is>
          <t>South Asia</t>
        </is>
      </c>
      <c r="E790" t="inlineStr">
        <is>
          <t>internet_cost</t>
        </is>
      </c>
      <c r="F790" t="inlineStr">
        <is>
          <t>Internet cost</t>
        </is>
      </c>
      <c r="G790" t="inlineStr">
        <is>
          <t>pressure</t>
        </is>
      </c>
      <c r="H790" t="inlineStr">
        <is>
          <t>yes</t>
        </is>
      </c>
      <c r="I790" t="inlineStr">
        <is>
          <t>12.03</t>
        </is>
      </c>
      <c r="J790" t="inlineStr">
        <is>
          <t>world_bank_col_estimate</t>
        </is>
      </c>
      <c r="K790" t="inlineStr">
        <is>
          <t>https://api.worldbank.org/v2/country/IND/indicator/NY.GNP.PCAP.PP.CD?format=json&amp;mrv=10</t>
        </is>
      </c>
      <c r="L790" t="inlineStr">
        <is>
          <t>World Bank GNI + regional expenditure ratio estimate</t>
        </is>
      </c>
      <c r="M790" t="inlineStr">
        <is>
          <t>2024-12-31</t>
        </is>
      </c>
      <c r="N790" t="inlineStr">
        <is>
          <t>auto_ingest=world_bank_col_estimate; gni_annual=11000.0; year=2024; country_proxy=India; cohort=South Asia; city_cost_mult=1.05</t>
        </is>
      </c>
    </row>
    <row r="791">
      <c r="A791" t="inlineStr">
        <is>
          <t>in-hyderabad</t>
        </is>
      </c>
      <c r="B791" t="inlineStr">
        <is>
          <t>Hyderabad</t>
        </is>
      </c>
      <c r="C791" t="inlineStr">
        <is>
          <t>India</t>
        </is>
      </c>
      <c r="D791" t="inlineStr">
        <is>
          <t>South Asia</t>
        </is>
      </c>
      <c r="E791" t="inlineStr">
        <is>
          <t>food_cost</t>
        </is>
      </c>
      <c r="F791" t="inlineStr">
        <is>
          <t>Food cost</t>
        </is>
      </c>
      <c r="G791" t="inlineStr">
        <is>
          <t>pressure</t>
        </is>
      </c>
      <c r="H791" t="inlineStr">
        <is>
          <t>yes</t>
        </is>
      </c>
      <c r="I791" t="inlineStr">
        <is>
          <t>300.78</t>
        </is>
      </c>
      <c r="J791" t="inlineStr">
        <is>
          <t>world_bank_col_estimate</t>
        </is>
      </c>
      <c r="K791" t="inlineStr">
        <is>
          <t>https://api.worldbank.org/v2/country/IND/indicator/NY.GNP.PCAP.PP.CD?format=json&amp;mrv=10</t>
        </is>
      </c>
      <c r="L791" t="inlineStr">
        <is>
          <t>World Bank GNI + regional expenditure ratio estimate</t>
        </is>
      </c>
      <c r="M791" t="inlineStr">
        <is>
          <t>2024-12-31</t>
        </is>
      </c>
      <c r="N791" t="inlineStr">
        <is>
          <t>auto_ingest=world_bank_col_estimate; gni_annual=11000.0; year=2024; country_proxy=India; cohort=South Asia; city_cost_mult=1.05</t>
        </is>
      </c>
    </row>
    <row r="792">
      <c r="A792" t="inlineStr">
        <is>
          <t>in-hyderabad</t>
        </is>
      </c>
      <c r="B792" t="inlineStr">
        <is>
          <t>Hyderabad</t>
        </is>
      </c>
      <c r="C792" t="inlineStr">
        <is>
          <t>India</t>
        </is>
      </c>
      <c r="D792" t="inlineStr">
        <is>
          <t>South Asia</t>
        </is>
      </c>
      <c r="E792" t="inlineStr">
        <is>
          <t>housing_burden_raw</t>
        </is>
      </c>
      <c r="F792" t="inlineStr">
        <is>
          <t>Housing burden raw</t>
        </is>
      </c>
      <c r="G792" t="inlineStr">
        <is>
          <t>pressure</t>
        </is>
      </c>
      <c r="H792" t="inlineStr">
        <is>
          <t>yes</t>
        </is>
      </c>
      <c r="I792" t="inlineStr">
        <is>
          <t>15.7502</t>
        </is>
      </c>
      <c r="J792" t="inlineStr">
        <is>
          <t>derived</t>
        </is>
      </c>
      <c r="K792" t="inlineStr">
        <is>
          <t>https://data.worldbank.org/indicator/NY.GNP.PCAP.PP.CD</t>
        </is>
      </c>
      <c r="L792" t="inlineStr">
        <is>
          <t>Computed from city_inputs + country_context</t>
        </is>
      </c>
      <c r="M792" t="inlineStr">
        <is>
          <t>2024-01-01</t>
        </is>
      </c>
      <c r="N792" t="inlineStr">
        <is>
          <t>derived=rent/gross_income*100</t>
        </is>
      </c>
    </row>
    <row r="793">
      <c r="A793" t="inlineStr">
        <is>
          <t>in-hyderabad</t>
        </is>
      </c>
      <c r="B793" t="inlineStr">
        <is>
          <t>Hyderabad</t>
        </is>
      </c>
      <c r="C793" t="inlineStr">
        <is>
          <t>India</t>
        </is>
      </c>
      <c r="D793" t="inlineStr">
        <is>
          <t>South Asia</t>
        </is>
      </c>
      <c r="E793" t="inlineStr">
        <is>
          <t>household_debt_burden_raw</t>
        </is>
      </c>
      <c r="F793" t="inlineStr">
        <is>
          <t>Household debt burden raw</t>
        </is>
      </c>
      <c r="G793" t="inlineStr">
        <is>
          <t>pressure</t>
        </is>
      </c>
      <c r="H793" t="inlineStr">
        <is>
          <t>yes</t>
        </is>
      </c>
      <c r="I793" t="inlineStr">
        <is>
          <t>50.1422</t>
        </is>
      </c>
      <c r="J793" t="inlineStr">
        <is>
          <t>derived</t>
        </is>
      </c>
      <c r="K793" t="inlineStr">
        <is>
          <t>https://data.worldbank.org/indicator/NY.GNP.PCAP.PP.CD</t>
        </is>
      </c>
      <c r="L793" t="inlineStr">
        <is>
          <t>Computed from city_inputs + country_context</t>
        </is>
      </c>
      <c r="M793" t="inlineStr">
        <is>
          <t>2024-01-01</t>
        </is>
      </c>
      <c r="N793" t="inlineStr">
        <is>
          <t>derived=country_context.household_debt_proxy; country=India</t>
        </is>
      </c>
    </row>
    <row r="794">
      <c r="A794" t="inlineStr">
        <is>
          <t>in-hyderabad</t>
        </is>
      </c>
      <c r="B794" t="inlineStr">
        <is>
          <t>Hyderabad</t>
        </is>
      </c>
      <c r="C794" t="inlineStr">
        <is>
          <t>India</t>
        </is>
      </c>
      <c r="D794" t="inlineStr">
        <is>
          <t>South Asia</t>
        </is>
      </c>
      <c r="E794" t="inlineStr">
        <is>
          <t>working_time_pressure_raw</t>
        </is>
      </c>
      <c r="F794" t="inlineStr">
        <is>
          <t>Working time pressure raw</t>
        </is>
      </c>
      <c r="G794" t="inlineStr">
        <is>
          <t>pressure</t>
        </is>
      </c>
      <c r="H794" t="inlineStr">
        <is>
          <t>yes</t>
        </is>
      </c>
      <c r="I794" t="inlineStr">
        <is>
          <t>45.72</t>
        </is>
      </c>
      <c r="J794" t="inlineStr">
        <is>
          <t>ilo_ilostat</t>
        </is>
      </c>
      <c r="K794" t="inlineStr">
        <is>
          <t>https://ilostat.ilo.org/data/indicator/?id=HOW_TEMP_SEX_ECO_NB_A&amp;ref_area=IND</t>
        </is>
      </c>
      <c r="L794" t="inlineStr">
        <is>
          <t>ILO ILOSTAT: Mean weekly hours actually worked per employed person</t>
        </is>
      </c>
      <c r="M794" t="inlineStr">
        <is>
          <t>2024-12-31</t>
        </is>
      </c>
      <c r="N794" t="inlineStr">
        <is>
          <t>auto_ingest=ilo_working_hours; indicator=HOW_TEMP_SEX_ECO_NB_A; year=2024; hours=45.72; country_proxy=India</t>
        </is>
      </c>
    </row>
    <row r="795">
      <c r="A795" t="inlineStr">
        <is>
          <t>in-hyderabad</t>
        </is>
      </c>
      <c r="B795" t="inlineStr">
        <is>
          <t>Hyderabad</t>
        </is>
      </c>
      <c r="C795" t="inlineStr">
        <is>
          <t>India</t>
        </is>
      </c>
      <c r="D795" t="inlineStr">
        <is>
          <t>South Asia</t>
        </is>
      </c>
      <c r="E795" t="inlineStr">
        <is>
          <t>suicide_mental_strain_raw</t>
        </is>
      </c>
      <c r="F795" t="inlineStr">
        <is>
          <t>Suicide or mental strain raw</t>
        </is>
      </c>
      <c r="G795" t="inlineStr">
        <is>
          <t>pressure</t>
        </is>
      </c>
      <c r="H795" t="inlineStr">
        <is>
          <t>yes</t>
        </is>
      </c>
      <c r="I795" t="inlineStr">
        <is>
          <t>12.56</t>
        </is>
      </c>
      <c r="J795" t="inlineStr">
        <is>
          <t>who_gho</t>
        </is>
      </c>
      <c r="K795" t="inlineStr">
        <is>
          <t>https://www.who.int/data/gho/data/indicators/indicator-details/GHO/SDGSUICIDE</t>
        </is>
      </c>
      <c r="L795" t="inlineStr">
        <is>
          <t>WHO GHO: Age-standardized suicide rate (per 100,000 population)</t>
        </is>
      </c>
      <c r="M795" t="inlineStr">
        <is>
          <t>2021-12-31</t>
        </is>
      </c>
      <c r="N795" t="inlineStr">
        <is>
          <t>auto_ingest=who_gho; indicator=SDGSUICIDE; year=2021; country_proxy=India</t>
        </is>
      </c>
    </row>
    <row r="796">
      <c r="A796" t="inlineStr">
        <is>
          <t>in-hyderabad</t>
        </is>
      </c>
      <c r="B796" t="inlineStr">
        <is>
          <t>Hyderabad</t>
        </is>
      </c>
      <c r="C796" t="inlineStr">
        <is>
          <t>India</t>
        </is>
      </c>
      <c r="D796" t="inlineStr">
        <is>
          <t>South Asia</t>
        </is>
      </c>
      <c r="E796" t="inlineStr">
        <is>
          <t>personal_safety_raw</t>
        </is>
      </c>
      <c r="F796" t="inlineStr">
        <is>
          <t>Personal safety raw</t>
        </is>
      </c>
      <c r="G796" t="inlineStr">
        <is>
          <t>viability</t>
        </is>
      </c>
      <c r="H796" t="inlineStr">
        <is>
          <t>yes</t>
        </is>
      </c>
      <c r="I796" t="inlineStr">
        <is>
          <t>2.82</t>
        </is>
      </c>
      <c r="J796" t="inlineStr">
        <is>
          <t>world_bank</t>
        </is>
      </c>
      <c r="K796" t="inlineStr">
        <is>
          <t>https://api.worldbank.org/v2/country/IND/indicator/VC.IHR.PSRC.P5?format=json&amp;mrv=10</t>
        </is>
      </c>
      <c r="L796" t="inlineStr">
        <is>
          <t>UNODC via World Bank WDI: Intentional homicides (per 100,000 people)</t>
        </is>
      </c>
      <c r="M796" t="inlineStr">
        <is>
          <t>2022-12-31</t>
        </is>
      </c>
      <c r="N796" t="inlineStr">
        <is>
          <t>auto_ingest=unodc_safety; indicator=VC.IHR.PSRC.P5; year=2022; country_proxy=India</t>
        </is>
      </c>
    </row>
    <row r="797">
      <c r="A797" t="inlineStr">
        <is>
          <t>in-hyderabad</t>
        </is>
      </c>
      <c r="B797" t="inlineStr">
        <is>
          <t>Hyderabad</t>
        </is>
      </c>
      <c r="C797" t="inlineStr">
        <is>
          <t>India</t>
        </is>
      </c>
      <c r="D797" t="inlineStr">
        <is>
          <t>South Asia</t>
        </is>
      </c>
      <c r="E797" t="inlineStr">
        <is>
          <t>transit_access_commute_raw</t>
        </is>
      </c>
      <c r="F797" t="inlineStr">
        <is>
          <t>Transit access and commute raw</t>
        </is>
      </c>
      <c r="G797" t="inlineStr">
        <is>
          <t>viability</t>
        </is>
      </c>
      <c r="H797" t="inlineStr">
        <is>
          <t>yes</t>
        </is>
      </c>
      <c r="I797" t="inlineStr"/>
      <c r="J797" t="inlineStr"/>
      <c r="K797" t="inlineStr"/>
      <c r="L797" t="inlineStr"/>
      <c r="M797" t="inlineStr"/>
      <c r="N797" t="inlineStr"/>
    </row>
    <row r="798">
      <c r="A798" t="inlineStr">
        <is>
          <t>in-hyderabad</t>
        </is>
      </c>
      <c r="B798" t="inlineStr">
        <is>
          <t>Hyderabad</t>
        </is>
      </c>
      <c r="C798" t="inlineStr">
        <is>
          <t>India</t>
        </is>
      </c>
      <c r="D798" t="inlineStr">
        <is>
          <t>South Asia</t>
        </is>
      </c>
      <c r="E798" t="inlineStr">
        <is>
          <t>clean_air_raw</t>
        </is>
      </c>
      <c r="F798" t="inlineStr">
        <is>
          <t>Clean air raw</t>
        </is>
      </c>
      <c r="G798" t="inlineStr">
        <is>
          <t>viability</t>
        </is>
      </c>
      <c r="H798" t="inlineStr">
        <is>
          <t>yes</t>
        </is>
      </c>
      <c r="I798" t="inlineStr"/>
      <c r="J798" t="inlineStr"/>
      <c r="K798" t="inlineStr"/>
      <c r="L798" t="inlineStr"/>
      <c r="M798" t="inlineStr"/>
      <c r="N798" t="inlineStr"/>
    </row>
    <row r="799">
      <c r="A799" t="inlineStr">
        <is>
          <t>in-hyderabad</t>
        </is>
      </c>
      <c r="B799" t="inlineStr">
        <is>
          <t>Hyderabad</t>
        </is>
      </c>
      <c r="C799" t="inlineStr">
        <is>
          <t>India</t>
        </is>
      </c>
      <c r="D799" t="inlineStr">
        <is>
          <t>South Asia</t>
        </is>
      </c>
      <c r="E799" t="inlineStr">
        <is>
          <t>water_sanitation_utility_raw</t>
        </is>
      </c>
      <c r="F799" t="inlineStr">
        <is>
          <t>Water, sanitation, and utility raw</t>
        </is>
      </c>
      <c r="G799" t="inlineStr">
        <is>
          <t>viability</t>
        </is>
      </c>
      <c r="H799" t="inlineStr">
        <is>
          <t>yes</t>
        </is>
      </c>
      <c r="I799" t="inlineStr">
        <is>
          <t>76.44</t>
        </is>
      </c>
      <c r="J799" t="inlineStr">
        <is>
          <t>world_bank</t>
        </is>
      </c>
      <c r="K799" t="inlineStr">
        <is>
          <t>https://api.worldbank.org/v2/country/IND/indicator/SH.H2O.SMDW.ZS?format=json&amp;mrv=10</t>
        </is>
      </c>
      <c r="L799" t="inlineStr">
        <is>
          <t>World Bank WDI: People using safely managed drinking water services (% of population)</t>
        </is>
      </c>
      <c r="M799" t="inlineStr">
        <is>
          <t>2024-12-31</t>
        </is>
      </c>
      <c r="N799" t="inlineStr">
        <is>
          <t>auto_ingest=world_bank_proxy; indicator=SH.H2O.SMDW.ZS; year=2024; country_proxy=India</t>
        </is>
      </c>
    </row>
    <row r="800">
      <c r="A800" t="inlineStr">
        <is>
          <t>in-hyderabad</t>
        </is>
      </c>
      <c r="B800" t="inlineStr">
        <is>
          <t>Hyderabad</t>
        </is>
      </c>
      <c r="C800" t="inlineStr">
        <is>
          <t>India</t>
        </is>
      </c>
      <c r="D800" t="inlineStr">
        <is>
          <t>South Asia</t>
        </is>
      </c>
      <c r="E800" t="inlineStr">
        <is>
          <t>digital_infrastructure_raw</t>
        </is>
      </c>
      <c r="F800" t="inlineStr">
        <is>
          <t>Digital infrastructure raw</t>
        </is>
      </c>
      <c r="G800" t="inlineStr">
        <is>
          <t>viability</t>
        </is>
      </c>
      <c r="H800" t="inlineStr">
        <is>
          <t>yes</t>
        </is>
      </c>
      <c r="I800" t="inlineStr">
        <is>
          <t>2.75</t>
        </is>
      </c>
      <c r="J800" t="inlineStr">
        <is>
          <t>world_bank</t>
        </is>
      </c>
      <c r="K800" t="inlineStr">
        <is>
          <t>https://api.worldbank.org/v2/country/IND/indicator/IT.NET.BBND.P2?format=json&amp;mrv=10</t>
        </is>
      </c>
      <c r="L800" t="inlineStr">
        <is>
          <t>World Bank WDI: Fixed broadband subscriptions (per 100 people)</t>
        </is>
      </c>
      <c r="M800" t="inlineStr">
        <is>
          <t>2023-12-31</t>
        </is>
      </c>
      <c r="N800" t="inlineStr">
        <is>
          <t>auto_ingest=world_bank_proxy; indicator=IT.NET.BBND.P2; year=2023; country_proxy=India</t>
        </is>
      </c>
    </row>
    <row r="801">
      <c r="A801" t="inlineStr">
        <is>
          <t>in-hyderabad</t>
        </is>
      </c>
      <c r="B801" t="inlineStr">
        <is>
          <t>Hyderabad</t>
        </is>
      </c>
      <c r="C801" t="inlineStr">
        <is>
          <t>India</t>
        </is>
      </c>
      <c r="D801" t="inlineStr">
        <is>
          <t>South Asia</t>
        </is>
      </c>
      <c r="E801" t="inlineStr">
        <is>
          <t>climate_sunlight_livability_raw</t>
        </is>
      </c>
      <c r="F801" t="inlineStr">
        <is>
          <t>Climate and sunlight livability raw</t>
        </is>
      </c>
      <c r="G801" t="inlineStr">
        <is>
          <t>viability</t>
        </is>
      </c>
      <c r="H801" t="inlineStr">
        <is>
          <t>yes</t>
        </is>
      </c>
      <c r="I801" t="inlineStr">
        <is>
          <t>64</t>
        </is>
      </c>
      <c r="J801" t="inlineStr">
        <is>
          <t>wmo_natl_met</t>
        </is>
      </c>
      <c r="K801" t="inlineStr">
        <is>
          <t>https://worldweather.wmo.int</t>
        </is>
      </c>
      <c r="L801" t="inlineStr">
        <is>
          <t>WMO/National Met: Climate livability composite</t>
        </is>
      </c>
      <c r="M801" t="inlineStr">
        <is>
          <t>2024-12-31</t>
        </is>
      </c>
      <c r="N801" t="inlineStr">
        <is>
          <t>auto_seed=climate_composite; 2700 sun hrs, 27C mean</t>
        </is>
      </c>
    </row>
    <row r="802">
      <c r="A802" t="inlineStr">
        <is>
          <t>in-hyderabad</t>
        </is>
      </c>
      <c r="B802" t="inlineStr">
        <is>
          <t>Hyderabad</t>
        </is>
      </c>
      <c r="C802" t="inlineStr">
        <is>
          <t>India</t>
        </is>
      </c>
      <c r="D802" t="inlineStr">
        <is>
          <t>South Asia</t>
        </is>
      </c>
      <c r="E802" t="inlineStr">
        <is>
          <t>healthcare_quality_raw</t>
        </is>
      </c>
      <c r="F802" t="inlineStr">
        <is>
          <t>Healthcare quality raw</t>
        </is>
      </c>
      <c r="G802" t="inlineStr">
        <is>
          <t>capability</t>
        </is>
      </c>
      <c r="H802" t="inlineStr">
        <is>
          <t>yes</t>
        </is>
      </c>
      <c r="I802" t="inlineStr">
        <is>
          <t>69.0</t>
        </is>
      </c>
      <c r="J802" t="inlineStr">
        <is>
          <t>who_gho</t>
        </is>
      </c>
      <c r="K802" t="inlineStr">
        <is>
          <t>https://www.who.int/data/gho/data/indicators/indicator-details/GHO/UHC_INDEX_REPORTED</t>
        </is>
      </c>
      <c r="L802" t="inlineStr">
        <is>
          <t>WHO GHO: UHC Service Coverage Index</t>
        </is>
      </c>
      <c r="M802" t="inlineStr">
        <is>
          <t>2023-12-31</t>
        </is>
      </c>
      <c r="N802" t="inlineStr">
        <is>
          <t>auto_ingest=who_gho; indicator=UHC_INDEX_REPORTED; year=2023; country_proxy=India</t>
        </is>
      </c>
    </row>
    <row r="803">
      <c r="A803" t="inlineStr">
        <is>
          <t>in-hyderabad</t>
        </is>
      </c>
      <c r="B803" t="inlineStr">
        <is>
          <t>Hyderabad</t>
        </is>
      </c>
      <c r="C803" t="inlineStr">
        <is>
          <t>India</t>
        </is>
      </c>
      <c r="D803" t="inlineStr">
        <is>
          <t>South Asia</t>
        </is>
      </c>
      <c r="E803" t="inlineStr">
        <is>
          <t>education_quality_raw</t>
        </is>
      </c>
      <c r="F803" t="inlineStr">
        <is>
          <t>Education quality raw</t>
        </is>
      </c>
      <c r="G803" t="inlineStr">
        <is>
          <t>capability</t>
        </is>
      </c>
      <c r="H803" t="inlineStr">
        <is>
          <t>yes</t>
        </is>
      </c>
      <c r="I803" t="inlineStr">
        <is>
          <t>34.42</t>
        </is>
      </c>
      <c r="J803" t="inlineStr">
        <is>
          <t>world_bank</t>
        </is>
      </c>
      <c r="K803" t="inlineStr">
        <is>
          <t>https://api.worldbank.org/v2/country/IND/indicator/SE.TER.ENRR?format=json&amp;mrv=10</t>
        </is>
      </c>
      <c r="L803" t="inlineStr">
        <is>
          <t>World Bank WDI: School enrollment, tertiary (% gross)</t>
        </is>
      </c>
      <c r="M803" t="inlineStr">
        <is>
          <t>2024-12-31</t>
        </is>
      </c>
      <c r="N803" t="inlineStr">
        <is>
          <t>auto_ingest=world_bank_proxy; indicator=SE.TER.ENRR; year=2024; country_proxy=India</t>
        </is>
      </c>
    </row>
    <row r="804">
      <c r="A804" t="inlineStr">
        <is>
          <t>in-hyderabad</t>
        </is>
      </c>
      <c r="B804" t="inlineStr">
        <is>
          <t>Hyderabad</t>
        </is>
      </c>
      <c r="C804" t="inlineStr">
        <is>
          <t>India</t>
        </is>
      </c>
      <c r="D804" t="inlineStr">
        <is>
          <t>South Asia</t>
        </is>
      </c>
      <c r="E804" t="inlineStr">
        <is>
          <t>equal_opportunity_raw</t>
        </is>
      </c>
      <c r="F804" t="inlineStr">
        <is>
          <t>Equal opportunity raw</t>
        </is>
      </c>
      <c r="G804" t="inlineStr">
        <is>
          <t>capability</t>
        </is>
      </c>
      <c r="H804" t="inlineStr">
        <is>
          <t>yes</t>
        </is>
      </c>
      <c r="I804" t="inlineStr">
        <is>
          <t>25.5</t>
        </is>
      </c>
      <c r="J804" t="inlineStr">
        <is>
          <t>world_bank</t>
        </is>
      </c>
      <c r="K804" t="inlineStr">
        <is>
          <t>https://api.worldbank.org/v2/country/IND/indicator/SI.POV.GINI?format=json&amp;mrv=10</t>
        </is>
      </c>
      <c r="L804" t="inlineStr">
        <is>
          <t>World Bank WDI: Gini index</t>
        </is>
      </c>
      <c r="M804" t="inlineStr">
        <is>
          <t>2022-12-31</t>
        </is>
      </c>
      <c r="N804" t="inlineStr">
        <is>
          <t>auto_ingest=world_bank_capability; indicator=SI.POV.GINI; year=2022; country_proxy=India</t>
        </is>
      </c>
    </row>
    <row r="805">
      <c r="A805" t="inlineStr">
        <is>
          <t>in-hyderabad</t>
        </is>
      </c>
      <c r="B805" t="inlineStr">
        <is>
          <t>Hyderabad</t>
        </is>
      </c>
      <c r="C805" t="inlineStr">
        <is>
          <t>India</t>
        </is>
      </c>
      <c r="D805" t="inlineStr">
        <is>
          <t>South Asia</t>
        </is>
      </c>
      <c r="E805" t="inlineStr">
        <is>
          <t>hospitality_belonging_raw</t>
        </is>
      </c>
      <c r="F805" t="inlineStr">
        <is>
          <t>Hospitality and belonging raw</t>
        </is>
      </c>
      <c r="G805" t="inlineStr">
        <is>
          <t>community</t>
        </is>
      </c>
      <c r="H805" t="inlineStr">
        <is>
          <t>yes</t>
        </is>
      </c>
      <c r="I805" t="inlineStr">
        <is>
          <t>49.66</t>
        </is>
      </c>
      <c r="J805" t="inlineStr">
        <is>
          <t>world_bank</t>
        </is>
      </c>
      <c r="K805" t="inlineStr">
        <is>
          <t>https://api.worldbank.org/v2/country/IND/indicator/SM.POP.NETM?format=json&amp;mrv=10</t>
        </is>
      </c>
      <c r="L805" t="inlineStr">
        <is>
          <t>World Bank WDI: Net migration (proxy for hospitality/belonging — positive = welcoming)</t>
        </is>
      </c>
      <c r="M805" t="inlineStr">
        <is>
          <t>2025-12-31</t>
        </is>
      </c>
      <c r="N805" t="inlineStr">
        <is>
          <t>auto_ingest=world_bank_proxy; proxy=net_migration_hospitality; indicator=SM.POP.NETM; year=2025; country_proxy=India</t>
        </is>
      </c>
    </row>
    <row r="806">
      <c r="A806" t="inlineStr">
        <is>
          <t>in-hyderabad</t>
        </is>
      </c>
      <c r="B806" t="inlineStr">
        <is>
          <t>Hyderabad</t>
        </is>
      </c>
      <c r="C806" t="inlineStr">
        <is>
          <t>India</t>
        </is>
      </c>
      <c r="D806" t="inlineStr">
        <is>
          <t>South Asia</t>
        </is>
      </c>
      <c r="E806" t="inlineStr">
        <is>
          <t>tolerance_pluralism_raw</t>
        </is>
      </c>
      <c r="F806" t="inlineStr">
        <is>
          <t>Tolerance and pluralism raw</t>
        </is>
      </c>
      <c r="G806" t="inlineStr">
        <is>
          <t>community</t>
        </is>
      </c>
      <c r="H806" t="inlineStr">
        <is>
          <t>yes</t>
        </is>
      </c>
      <c r="I806" t="inlineStr">
        <is>
          <t>13.65</t>
        </is>
      </c>
      <c r="J806" t="inlineStr">
        <is>
          <t>world_bank</t>
        </is>
      </c>
      <c r="K806" t="inlineStr">
        <is>
          <t>https://api.worldbank.org/v2/country/IND/indicator/SG.GEN.PARL.ZS?format=json&amp;mrv=10</t>
        </is>
      </c>
      <c r="L806" t="inlineStr">
        <is>
          <t>World Bank WDI: Proportion of seats held by women in national parliaments (%)</t>
        </is>
      </c>
      <c r="M806" t="inlineStr">
        <is>
          <t>2024-12-31</t>
        </is>
      </c>
      <c r="N806" t="inlineStr">
        <is>
          <t>auto_ingest=world_bank_proxy; proxy=gender_parity_parliament; indicator=SG.GEN.PARL.ZS; year=2024; country_proxy=India</t>
        </is>
      </c>
    </row>
    <row r="807">
      <c r="A807" t="inlineStr">
        <is>
          <t>in-hyderabad</t>
        </is>
      </c>
      <c r="B807" t="inlineStr">
        <is>
          <t>Hyderabad</t>
        </is>
      </c>
      <c r="C807" t="inlineStr">
        <is>
          <t>India</t>
        </is>
      </c>
      <c r="D807" t="inlineStr">
        <is>
          <t>South Asia</t>
        </is>
      </c>
      <c r="E807" t="inlineStr">
        <is>
          <t>cultural_public_life_raw</t>
        </is>
      </c>
      <c r="F807" t="inlineStr">
        <is>
          <t>Cultural public life raw</t>
        </is>
      </c>
      <c r="G807" t="inlineStr">
        <is>
          <t>community</t>
        </is>
      </c>
      <c r="H807" t="inlineStr">
        <is>
          <t>yes</t>
        </is>
      </c>
      <c r="I807" t="inlineStr">
        <is>
          <t>12.35</t>
        </is>
      </c>
      <c r="J807" t="inlineStr">
        <is>
          <t>world_bank</t>
        </is>
      </c>
      <c r="K807" t="inlineStr">
        <is>
          <t>https://api.worldbank.org/v2/country/IND/indicator/ST.INT.ARVL?format=json&amp;mrv=10</t>
        </is>
      </c>
      <c r="L807" t="inlineStr">
        <is>
          <t>World Bank WDI: International tourism arrivals per 1 000 population</t>
        </is>
      </c>
      <c r="M807" t="inlineStr">
        <is>
          <t>2019-12-31</t>
        </is>
      </c>
      <c r="N807" t="inlineStr">
        <is>
          <t>auto_ingest=cultural_life_proxy; indicator=ST.INT.ARVL; norm=per_1000_pop; year=2019; country_proxy=India</t>
        </is>
      </c>
    </row>
    <row r="808">
      <c r="A808" t="inlineStr">
        <is>
          <t>in-hyderabad</t>
        </is>
      </c>
      <c r="B808" t="inlineStr">
        <is>
          <t>Hyderabad</t>
        </is>
      </c>
      <c r="C808" t="inlineStr">
        <is>
          <t>India</t>
        </is>
      </c>
      <c r="D808" t="inlineStr">
        <is>
          <t>South Asia</t>
        </is>
      </c>
      <c r="E808" t="inlineStr">
        <is>
          <t>birth_rate_optimism_raw</t>
        </is>
      </c>
      <c r="F808" t="inlineStr">
        <is>
          <t>Birth rate and societal optimism raw</t>
        </is>
      </c>
      <c r="G808" t="inlineStr">
        <is>
          <t>community</t>
        </is>
      </c>
      <c r="H808" t="inlineStr">
        <is>
          <t>yes</t>
        </is>
      </c>
      <c r="I808" t="inlineStr">
        <is>
          <t>2.0</t>
        </is>
      </c>
      <c r="J808" t="inlineStr">
        <is>
          <t>world_bank</t>
        </is>
      </c>
      <c r="K808" t="inlineStr">
        <is>
          <t>https://data.worldbank.org/indicator/SP.DYN.TFRT.IN</t>
        </is>
      </c>
      <c r="L808" t="inlineStr">
        <is>
          <t>World Bank Total Fertility Rate 2023</t>
        </is>
      </c>
      <c r="M808" t="inlineStr">
        <is>
          <t>2024-01-01</t>
        </is>
      </c>
      <c r="N808" t="inlineStr"/>
    </row>
    <row r="809">
      <c r="A809" t="inlineStr">
        <is>
          <t>in-hyderabad</t>
        </is>
      </c>
      <c r="B809" t="inlineStr">
        <is>
          <t>Hyderabad</t>
        </is>
      </c>
      <c r="C809" t="inlineStr">
        <is>
          <t>India</t>
        </is>
      </c>
      <c r="D809" t="inlineStr">
        <is>
          <t>South Asia</t>
        </is>
      </c>
      <c r="E809" t="inlineStr">
        <is>
          <t>entrepreneurial_dynamism_raw</t>
        </is>
      </c>
      <c r="F809" t="inlineStr">
        <is>
          <t>Entrepreneurial dynamism raw</t>
        </is>
      </c>
      <c r="G809" t="inlineStr">
        <is>
          <t>creative</t>
        </is>
      </c>
      <c r="H809" t="inlineStr">
        <is>
          <t>yes</t>
        </is>
      </c>
      <c r="I809" t="inlineStr">
        <is>
          <t>0.18</t>
        </is>
      </c>
      <c r="J809" t="inlineStr">
        <is>
          <t>world_bank</t>
        </is>
      </c>
      <c r="K809" t="inlineStr">
        <is>
          <t>https://api.worldbank.org/v2/country/IND/indicator/IC.BUS.NDNS.ZS?format=json&amp;mrv=10</t>
        </is>
      </c>
      <c r="L809" t="inlineStr">
        <is>
          <t>World Bank WDI: New business density (new registrations per 1,000 people ages 15-64)</t>
        </is>
      </c>
      <c r="M809" t="inlineStr">
        <is>
          <t>2022-12-31</t>
        </is>
      </c>
      <c r="N809" t="inlineStr">
        <is>
          <t>auto_ingest=world_bank_creative_extended; indicator=IC.BUS.NDNS.ZS; year=2022; country_proxy=India</t>
        </is>
      </c>
    </row>
    <row r="810">
      <c r="A810" t="inlineStr">
        <is>
          <t>in-hyderabad</t>
        </is>
      </c>
      <c r="B810" t="inlineStr">
        <is>
          <t>Hyderabad</t>
        </is>
      </c>
      <c r="C810" t="inlineStr">
        <is>
          <t>India</t>
        </is>
      </c>
      <c r="D810" t="inlineStr">
        <is>
          <t>South Asia</t>
        </is>
      </c>
      <c r="E810" t="inlineStr">
        <is>
          <t>innovation_research_intensity_raw</t>
        </is>
      </c>
      <c r="F810" t="inlineStr">
        <is>
          <t>Innovation and research raw</t>
        </is>
      </c>
      <c r="G810" t="inlineStr">
        <is>
          <t>creative</t>
        </is>
      </c>
      <c r="H810" t="inlineStr">
        <is>
          <t>yes</t>
        </is>
      </c>
      <c r="I810" t="inlineStr">
        <is>
          <t>0.65</t>
        </is>
      </c>
      <c r="J810" t="inlineStr">
        <is>
          <t>world_bank</t>
        </is>
      </c>
      <c r="K810" t="inlineStr">
        <is>
          <t>https://api.worldbank.org/v2/country/IND/indicator/GB.XPD.RSDV.GD.ZS?format=json&amp;mrv=10</t>
        </is>
      </c>
      <c r="L810" t="inlineStr">
        <is>
          <t>World Bank WDI: Research and development expenditure (% of GDP)</t>
        </is>
      </c>
      <c r="M810" t="inlineStr">
        <is>
          <t>2020-12-31</t>
        </is>
      </c>
      <c r="N810" t="inlineStr">
        <is>
          <t>auto_ingest=world_bank_creative_extended; indicator=GB.XPD.RSDV.GD.ZS; year=2020; country_proxy=India</t>
        </is>
      </c>
    </row>
    <row r="811">
      <c r="A811" t="inlineStr">
        <is>
          <t>in-hyderabad</t>
        </is>
      </c>
      <c r="B811" t="inlineStr">
        <is>
          <t>Hyderabad</t>
        </is>
      </c>
      <c r="C811" t="inlineStr">
        <is>
          <t>India</t>
        </is>
      </c>
      <c r="D811" t="inlineStr">
        <is>
          <t>South Asia</t>
        </is>
      </c>
      <c r="E811" t="inlineStr">
        <is>
          <t>investment_signal_raw</t>
        </is>
      </c>
      <c r="F811" t="inlineStr">
        <is>
          <t>Investment signal raw</t>
        </is>
      </c>
      <c r="G811" t="inlineStr">
        <is>
          <t>creative</t>
        </is>
      </c>
      <c r="H811" t="inlineStr">
        <is>
          <t>yes</t>
        </is>
      </c>
      <c r="I811" t="inlineStr">
        <is>
          <t>0.69</t>
        </is>
      </c>
      <c r="J811" t="inlineStr">
        <is>
          <t>world_bank</t>
        </is>
      </c>
      <c r="K811" t="inlineStr">
        <is>
          <t>https://api.worldbank.org/v2/country/IND/indicator/BX.KLT.DINV.WD.GD.ZS?format=json&amp;mrv=10</t>
        </is>
      </c>
      <c r="L811" t="inlineStr">
        <is>
          <t>World Bank WDI: Foreign direct investment, net inflows (% of GDP)</t>
        </is>
      </c>
      <c r="M811" t="inlineStr">
        <is>
          <t>2024-12-31</t>
        </is>
      </c>
      <c r="N811" t="inlineStr">
        <is>
          <t>auto_ingest=world_bank_creative_extended; indicator=BX.KLT.DINV.WD.GD.ZS; year=2024; country_proxy=India</t>
        </is>
      </c>
    </row>
    <row r="812">
      <c r="A812" t="inlineStr">
        <is>
          <t>in-hyderabad</t>
        </is>
      </c>
      <c r="B812" t="inlineStr">
        <is>
          <t>Hyderabad</t>
        </is>
      </c>
      <c r="C812" t="inlineStr">
        <is>
          <t>India</t>
        </is>
      </c>
      <c r="D812" t="inlineStr">
        <is>
          <t>South Asia</t>
        </is>
      </c>
      <c r="E812" t="inlineStr">
        <is>
          <t>administrative_investment_friction_raw</t>
        </is>
      </c>
      <c r="F812" t="inlineStr">
        <is>
          <t>Administrative investment friction raw</t>
        </is>
      </c>
      <c r="G812" t="inlineStr">
        <is>
          <t>creative</t>
        </is>
      </c>
      <c r="H812" t="inlineStr">
        <is>
          <t>yes</t>
        </is>
      </c>
      <c r="I812" t="inlineStr">
        <is>
          <t>2.64</t>
        </is>
      </c>
      <c r="J812" t="inlineStr">
        <is>
          <t>world_bank</t>
        </is>
      </c>
      <c r="K812" t="inlineStr">
        <is>
          <t>https://api.worldbank.org/v2/country/IND/indicator/RQ.EST?format=json&amp;mrv=10</t>
        </is>
      </c>
      <c r="L812" t="inlineStr">
        <is>
          <t>World Bank WGI: Regulatory Quality (inverted as friction proxy)</t>
        </is>
      </c>
      <c r="M812" t="inlineStr">
        <is>
          <t>2023-12-31</t>
        </is>
      </c>
      <c r="N812" t="inlineStr">
        <is>
          <t>auto_ingest=world_bank_business_friction; indicator=RQ.EST; raw_rq=-0.136969581246376; friction=2.64; year=2023; country_proxy=India</t>
        </is>
      </c>
    </row>
    <row r="813">
      <c r="A813" t="inlineStr">
        <is>
          <t>in-hyderabad</t>
        </is>
      </c>
      <c r="B813" t="inlineStr">
        <is>
          <t>Hyderabad</t>
        </is>
      </c>
      <c r="C813" t="inlineStr">
        <is>
          <t>India</t>
        </is>
      </c>
      <c r="D813" t="inlineStr">
        <is>
          <t>South Asia</t>
        </is>
      </c>
      <c r="E813" t="inlineStr">
        <is>
          <t>visitor_flow_context_raw</t>
        </is>
      </c>
      <c r="F813" t="inlineStr">
        <is>
          <t>Visitor flow context raw</t>
        </is>
      </c>
      <c r="G813" t="inlineStr">
        <is>
          <t>creative</t>
        </is>
      </c>
      <c r="H813" t="inlineStr">
        <is>
          <t>no</t>
        </is>
      </c>
      <c r="I813" t="inlineStr"/>
      <c r="J813" t="inlineStr"/>
      <c r="K813" t="inlineStr"/>
      <c r="L813" t="inlineStr"/>
      <c r="M813" t="inlineStr"/>
      <c r="N813" t="inlineStr"/>
    </row>
    <row r="814">
      <c r="A814" t="inlineStr">
        <is>
          <t>in-chandigarh</t>
        </is>
      </c>
      <c r="B814" t="inlineStr">
        <is>
          <t>Chandigarh</t>
        </is>
      </c>
      <c r="C814" t="inlineStr">
        <is>
          <t>India</t>
        </is>
      </c>
      <c r="D814" t="inlineStr">
        <is>
          <t>South Asia</t>
        </is>
      </c>
      <c r="E814" t="inlineStr">
        <is>
          <t>gross_income</t>
        </is>
      </c>
      <c r="F814" t="inlineStr">
        <is>
          <t>Gross income</t>
        </is>
      </c>
      <c r="G814" t="inlineStr">
        <is>
          <t>pressure</t>
        </is>
      </c>
      <c r="H814" t="inlineStr">
        <is>
          <t>yes</t>
        </is>
      </c>
      <c r="I814" t="inlineStr">
        <is>
          <t>916.67</t>
        </is>
      </c>
      <c r="J814" t="inlineStr">
        <is>
          <t>world_bank_col_estimate</t>
        </is>
      </c>
      <c r="K814" t="inlineStr">
        <is>
          <t>https://api.worldbank.org/v2/country/IND/indicator/NY.GNP.PCAP.PP.CD?format=json&amp;mrv=10</t>
        </is>
      </c>
      <c r="L814" t="inlineStr">
        <is>
          <t>World Bank WDI: GNI per capita PPP (monthly USD)</t>
        </is>
      </c>
      <c r="M814" t="inlineStr">
        <is>
          <t>2024-12-31</t>
        </is>
      </c>
      <c r="N814" t="inlineStr">
        <is>
          <t>auto_ingest=world_bank_col_estimate; gni_annual=11000.0; year=2024; country_proxy=India; cohort=South Asia</t>
        </is>
      </c>
    </row>
    <row r="815">
      <c r="A815" t="inlineStr">
        <is>
          <t>in-chandigarh</t>
        </is>
      </c>
      <c r="B815" t="inlineStr">
        <is>
          <t>Chandigarh</t>
        </is>
      </c>
      <c r="C815" t="inlineStr">
        <is>
          <t>India</t>
        </is>
      </c>
      <c r="D815" t="inlineStr">
        <is>
          <t>South Asia</t>
        </is>
      </c>
      <c r="E815" t="inlineStr">
        <is>
          <t>di_ppp_raw</t>
        </is>
      </c>
      <c r="F815" t="inlineStr">
        <is>
          <t>Disposable income PPP (Raw)</t>
        </is>
      </c>
      <c r="G815" t="inlineStr">
        <is>
          <t>pressure</t>
        </is>
      </c>
      <c r="H815" t="inlineStr">
        <is>
          <t>yes</t>
        </is>
      </c>
      <c r="I815" t="inlineStr"/>
      <c r="J815" t="inlineStr"/>
      <c r="K815" t="inlineStr"/>
      <c r="L815" t="inlineStr"/>
      <c r="M815" t="inlineStr"/>
      <c r="N815" t="inlineStr"/>
    </row>
    <row r="816">
      <c r="A816" t="inlineStr">
        <is>
          <t>in-chandigarh</t>
        </is>
      </c>
      <c r="B816" t="inlineStr">
        <is>
          <t>Chandigarh</t>
        </is>
      </c>
      <c r="C816" t="inlineStr">
        <is>
          <t>India</t>
        </is>
      </c>
      <c r="D816" t="inlineStr">
        <is>
          <t>South Asia</t>
        </is>
      </c>
      <c r="E816" t="inlineStr">
        <is>
          <t>rent</t>
        </is>
      </c>
      <c r="F816" t="inlineStr">
        <is>
          <t>Rent</t>
        </is>
      </c>
      <c r="G816" t="inlineStr">
        <is>
          <t>pressure</t>
        </is>
      </c>
      <c r="H816" t="inlineStr">
        <is>
          <t>yes</t>
        </is>
      </c>
      <c r="I816" t="inlineStr">
        <is>
          <t>137.5</t>
        </is>
      </c>
      <c r="J816" t="inlineStr">
        <is>
          <t>world_bank_col_estimate</t>
        </is>
      </c>
      <c r="K816" t="inlineStr">
        <is>
          <t>https://api.worldbank.org/v2/country/IND/indicator/NY.GNP.PCAP.PP.CD?format=json&amp;mrv=10</t>
        </is>
      </c>
      <c r="L816" t="inlineStr">
        <is>
          <t>World Bank GNI + regional expenditure ratio estimate</t>
        </is>
      </c>
      <c r="M816" t="inlineStr">
        <is>
          <t>2024-12-31</t>
        </is>
      </c>
      <c r="N816" t="inlineStr">
        <is>
          <t>auto_ingest=world_bank_col_estimate; gni_annual=11000.0; year=2024; country_proxy=India; cohort=South Asia</t>
        </is>
      </c>
    </row>
    <row r="817">
      <c r="A817" t="inlineStr">
        <is>
          <t>in-chandigarh</t>
        </is>
      </c>
      <c r="B817" t="inlineStr">
        <is>
          <t>Chandigarh</t>
        </is>
      </c>
      <c r="C817" t="inlineStr">
        <is>
          <t>India</t>
        </is>
      </c>
      <c r="D817" t="inlineStr">
        <is>
          <t>South Asia</t>
        </is>
      </c>
      <c r="E817" t="inlineStr">
        <is>
          <t>utilities</t>
        </is>
      </c>
      <c r="F817" t="inlineStr">
        <is>
          <t>Utilities</t>
        </is>
      </c>
      <c r="G817" t="inlineStr">
        <is>
          <t>pressure</t>
        </is>
      </c>
      <c r="H817" t="inlineStr">
        <is>
          <t>yes</t>
        </is>
      </c>
      <c r="I817" t="inlineStr">
        <is>
          <t>45.83</t>
        </is>
      </c>
      <c r="J817" t="inlineStr">
        <is>
          <t>world_bank_col_estimate</t>
        </is>
      </c>
      <c r="K817" t="inlineStr">
        <is>
          <t>https://api.worldbank.org/v2/country/IND/indicator/NY.GNP.PCAP.PP.CD?format=json&amp;mrv=10</t>
        </is>
      </c>
      <c r="L817" t="inlineStr">
        <is>
          <t>World Bank GNI + regional expenditure ratio estimate</t>
        </is>
      </c>
      <c r="M817" t="inlineStr">
        <is>
          <t>2024-12-31</t>
        </is>
      </c>
      <c r="N817" t="inlineStr">
        <is>
          <t>auto_ingest=world_bank_col_estimate; gni_annual=11000.0; year=2024; country_proxy=India; cohort=South Asia</t>
        </is>
      </c>
    </row>
    <row r="818">
      <c r="A818" t="inlineStr">
        <is>
          <t>in-chandigarh</t>
        </is>
      </c>
      <c r="B818" t="inlineStr">
        <is>
          <t>Chandigarh</t>
        </is>
      </c>
      <c r="C818" t="inlineStr">
        <is>
          <t>India</t>
        </is>
      </c>
      <c r="D818" t="inlineStr">
        <is>
          <t>South Asia</t>
        </is>
      </c>
      <c r="E818" t="inlineStr">
        <is>
          <t>transit_cost</t>
        </is>
      </c>
      <c r="F818" t="inlineStr">
        <is>
          <t>Transit cost</t>
        </is>
      </c>
      <c r="G818" t="inlineStr">
        <is>
          <t>pressure</t>
        </is>
      </c>
      <c r="H818" t="inlineStr">
        <is>
          <t>yes</t>
        </is>
      </c>
      <c r="I818" t="inlineStr">
        <is>
          <t>27.5</t>
        </is>
      </c>
      <c r="J818" t="inlineStr">
        <is>
          <t>world_bank_col_estimate</t>
        </is>
      </c>
      <c r="K818" t="inlineStr">
        <is>
          <t>https://api.worldbank.org/v2/country/IND/indicator/NY.GNP.PCAP.PP.CD?format=json&amp;mrv=10</t>
        </is>
      </c>
      <c r="L818" t="inlineStr">
        <is>
          <t>World Bank GNI + regional expenditure ratio estimate</t>
        </is>
      </c>
      <c r="M818" t="inlineStr">
        <is>
          <t>2024-12-31</t>
        </is>
      </c>
      <c r="N818" t="inlineStr">
        <is>
          <t>auto_ingest=world_bank_col_estimate; gni_annual=11000.0; year=2024; country_proxy=India; cohort=South Asia</t>
        </is>
      </c>
    </row>
    <row r="819">
      <c r="A819" t="inlineStr">
        <is>
          <t>in-chandigarh</t>
        </is>
      </c>
      <c r="B819" t="inlineStr">
        <is>
          <t>Chandigarh</t>
        </is>
      </c>
      <c r="C819" t="inlineStr">
        <is>
          <t>India</t>
        </is>
      </c>
      <c r="D819" t="inlineStr">
        <is>
          <t>South Asia</t>
        </is>
      </c>
      <c r="E819" t="inlineStr">
        <is>
          <t>internet_cost</t>
        </is>
      </c>
      <c r="F819" t="inlineStr">
        <is>
          <t>Internet cost</t>
        </is>
      </c>
      <c r="G819" t="inlineStr">
        <is>
          <t>pressure</t>
        </is>
      </c>
      <c r="H819" t="inlineStr">
        <is>
          <t>yes</t>
        </is>
      </c>
      <c r="I819" t="inlineStr">
        <is>
          <t>9.17</t>
        </is>
      </c>
      <c r="J819" t="inlineStr">
        <is>
          <t>world_bank_col_estimate</t>
        </is>
      </c>
      <c r="K819" t="inlineStr">
        <is>
          <t>https://api.worldbank.org/v2/country/IND/indicator/NY.GNP.PCAP.PP.CD?format=json&amp;mrv=10</t>
        </is>
      </c>
      <c r="L819" t="inlineStr">
        <is>
          <t>World Bank GNI + regional expenditure ratio estimate</t>
        </is>
      </c>
      <c r="M819" t="inlineStr">
        <is>
          <t>2024-12-31</t>
        </is>
      </c>
      <c r="N819" t="inlineStr">
        <is>
          <t>auto_ingest=world_bank_col_estimate; gni_annual=11000.0; year=2024; country_proxy=India; cohort=South Asia</t>
        </is>
      </c>
    </row>
    <row r="820">
      <c r="A820" t="inlineStr">
        <is>
          <t>in-chandigarh</t>
        </is>
      </c>
      <c r="B820" t="inlineStr">
        <is>
          <t>Chandigarh</t>
        </is>
      </c>
      <c r="C820" t="inlineStr">
        <is>
          <t>India</t>
        </is>
      </c>
      <c r="D820" t="inlineStr">
        <is>
          <t>South Asia</t>
        </is>
      </c>
      <c r="E820" t="inlineStr">
        <is>
          <t>food_cost</t>
        </is>
      </c>
      <c r="F820" t="inlineStr">
        <is>
          <t>Food cost</t>
        </is>
      </c>
      <c r="G820" t="inlineStr">
        <is>
          <t>pressure</t>
        </is>
      </c>
      <c r="H820" t="inlineStr">
        <is>
          <t>yes</t>
        </is>
      </c>
      <c r="I820" t="inlineStr">
        <is>
          <t>229.17</t>
        </is>
      </c>
      <c r="J820" t="inlineStr">
        <is>
          <t>world_bank_col_estimate</t>
        </is>
      </c>
      <c r="K820" t="inlineStr">
        <is>
          <t>https://api.worldbank.org/v2/country/IND/indicator/NY.GNP.PCAP.PP.CD?format=json&amp;mrv=10</t>
        </is>
      </c>
      <c r="L820" t="inlineStr">
        <is>
          <t>World Bank GNI + regional expenditure ratio estimate</t>
        </is>
      </c>
      <c r="M820" t="inlineStr">
        <is>
          <t>2024-12-31</t>
        </is>
      </c>
      <c r="N820" t="inlineStr">
        <is>
          <t>auto_ingest=world_bank_col_estimate; gni_annual=11000.0; year=2024; country_proxy=India; cohort=South Asia</t>
        </is>
      </c>
    </row>
    <row r="821">
      <c r="A821" t="inlineStr">
        <is>
          <t>in-chandigarh</t>
        </is>
      </c>
      <c r="B821" t="inlineStr">
        <is>
          <t>Chandigarh</t>
        </is>
      </c>
      <c r="C821" t="inlineStr">
        <is>
          <t>India</t>
        </is>
      </c>
      <c r="D821" t="inlineStr">
        <is>
          <t>South Asia</t>
        </is>
      </c>
      <c r="E821" t="inlineStr">
        <is>
          <t>housing_burden_raw</t>
        </is>
      </c>
      <c r="F821" t="inlineStr">
        <is>
          <t>Housing burden raw</t>
        </is>
      </c>
      <c r="G821" t="inlineStr">
        <is>
          <t>pressure</t>
        </is>
      </c>
      <c r="H821" t="inlineStr">
        <is>
          <t>yes</t>
        </is>
      </c>
      <c r="I821" t="inlineStr">
        <is>
          <t>14.9999</t>
        </is>
      </c>
      <c r="J821" t="inlineStr">
        <is>
          <t>derived</t>
        </is>
      </c>
      <c r="K821" t="inlineStr">
        <is>
          <t>https://data.worldbank.org/indicator/NY.GNP.PCAP.PP.CD</t>
        </is>
      </c>
      <c r="L821" t="inlineStr">
        <is>
          <t>Computed from city_inputs + country_context</t>
        </is>
      </c>
      <c r="M821" t="inlineStr">
        <is>
          <t>2024-01-01</t>
        </is>
      </c>
      <c r="N821" t="inlineStr">
        <is>
          <t>derived=rent/gross_income*100</t>
        </is>
      </c>
    </row>
    <row r="822">
      <c r="A822" t="inlineStr">
        <is>
          <t>in-chandigarh</t>
        </is>
      </c>
      <c r="B822" t="inlineStr">
        <is>
          <t>Chandigarh</t>
        </is>
      </c>
      <c r="C822" t="inlineStr">
        <is>
          <t>India</t>
        </is>
      </c>
      <c r="D822" t="inlineStr">
        <is>
          <t>South Asia</t>
        </is>
      </c>
      <c r="E822" t="inlineStr">
        <is>
          <t>household_debt_burden_raw</t>
        </is>
      </c>
      <c r="F822" t="inlineStr">
        <is>
          <t>Household debt burden raw</t>
        </is>
      </c>
      <c r="G822" t="inlineStr">
        <is>
          <t>pressure</t>
        </is>
      </c>
      <c r="H822" t="inlineStr">
        <is>
          <t>yes</t>
        </is>
      </c>
      <c r="I822" t="inlineStr">
        <is>
          <t>50.1422</t>
        </is>
      </c>
      <c r="J822" t="inlineStr">
        <is>
          <t>derived</t>
        </is>
      </c>
      <c r="K822" t="inlineStr">
        <is>
          <t>https://data.worldbank.org/indicator/NY.GNP.PCAP.PP.CD</t>
        </is>
      </c>
      <c r="L822" t="inlineStr">
        <is>
          <t>Computed from city_inputs + country_context</t>
        </is>
      </c>
      <c r="M822" t="inlineStr">
        <is>
          <t>2024-01-01</t>
        </is>
      </c>
      <c r="N822" t="inlineStr">
        <is>
          <t>derived=country_context.household_debt_proxy; country=India</t>
        </is>
      </c>
    </row>
    <row r="823">
      <c r="A823" t="inlineStr">
        <is>
          <t>in-chandigarh</t>
        </is>
      </c>
      <c r="B823" t="inlineStr">
        <is>
          <t>Chandigarh</t>
        </is>
      </c>
      <c r="C823" t="inlineStr">
        <is>
          <t>India</t>
        </is>
      </c>
      <c r="D823" t="inlineStr">
        <is>
          <t>South Asia</t>
        </is>
      </c>
      <c r="E823" t="inlineStr">
        <is>
          <t>working_time_pressure_raw</t>
        </is>
      </c>
      <c r="F823" t="inlineStr">
        <is>
          <t>Working time pressure raw</t>
        </is>
      </c>
      <c r="G823" t="inlineStr">
        <is>
          <t>pressure</t>
        </is>
      </c>
      <c r="H823" t="inlineStr">
        <is>
          <t>yes</t>
        </is>
      </c>
      <c r="I823" t="inlineStr">
        <is>
          <t>45.72</t>
        </is>
      </c>
      <c r="J823" t="inlineStr">
        <is>
          <t>ilo_ilostat</t>
        </is>
      </c>
      <c r="K823" t="inlineStr">
        <is>
          <t>https://ilostat.ilo.org/data/indicator/?id=HOW_TEMP_SEX_ECO_NB_A&amp;ref_area=IND</t>
        </is>
      </c>
      <c r="L823" t="inlineStr">
        <is>
          <t>ILO ILOSTAT: Mean weekly hours actually worked per employed person</t>
        </is>
      </c>
      <c r="M823" t="inlineStr">
        <is>
          <t>2024-12-31</t>
        </is>
      </c>
      <c r="N823" t="inlineStr">
        <is>
          <t>auto_ingest=ilo_working_hours; indicator=HOW_TEMP_SEX_ECO_NB_A; year=2024; hours=45.72; country_proxy=India</t>
        </is>
      </c>
    </row>
    <row r="824">
      <c r="A824" t="inlineStr">
        <is>
          <t>in-chandigarh</t>
        </is>
      </c>
      <c r="B824" t="inlineStr">
        <is>
          <t>Chandigarh</t>
        </is>
      </c>
      <c r="C824" t="inlineStr">
        <is>
          <t>India</t>
        </is>
      </c>
      <c r="D824" t="inlineStr">
        <is>
          <t>South Asia</t>
        </is>
      </c>
      <c r="E824" t="inlineStr">
        <is>
          <t>suicide_mental_strain_raw</t>
        </is>
      </c>
      <c r="F824" t="inlineStr">
        <is>
          <t>Suicide or mental strain raw</t>
        </is>
      </c>
      <c r="G824" t="inlineStr">
        <is>
          <t>pressure</t>
        </is>
      </c>
      <c r="H824" t="inlineStr">
        <is>
          <t>yes</t>
        </is>
      </c>
      <c r="I824" t="inlineStr">
        <is>
          <t>12.56</t>
        </is>
      </c>
      <c r="J824" t="inlineStr">
        <is>
          <t>who_gho</t>
        </is>
      </c>
      <c r="K824" t="inlineStr">
        <is>
          <t>https://www.who.int/data/gho/data/indicators/indicator-details/GHO/SDGSUICIDE</t>
        </is>
      </c>
      <c r="L824" t="inlineStr">
        <is>
          <t>WHO GHO: Age-standardized suicide rate (per 100,000 population)</t>
        </is>
      </c>
      <c r="M824" t="inlineStr">
        <is>
          <t>2021-12-31</t>
        </is>
      </c>
      <c r="N824" t="inlineStr">
        <is>
          <t>auto_ingest=who_gho; indicator=SDGSUICIDE; year=2021; country_proxy=India</t>
        </is>
      </c>
    </row>
    <row r="825">
      <c r="A825" t="inlineStr">
        <is>
          <t>in-chandigarh</t>
        </is>
      </c>
      <c r="B825" t="inlineStr">
        <is>
          <t>Chandigarh</t>
        </is>
      </c>
      <c r="C825" t="inlineStr">
        <is>
          <t>India</t>
        </is>
      </c>
      <c r="D825" t="inlineStr">
        <is>
          <t>South Asia</t>
        </is>
      </c>
      <c r="E825" t="inlineStr">
        <is>
          <t>personal_safety_raw</t>
        </is>
      </c>
      <c r="F825" t="inlineStr">
        <is>
          <t>Personal safety raw</t>
        </is>
      </c>
      <c r="G825" t="inlineStr">
        <is>
          <t>viability</t>
        </is>
      </c>
      <c r="H825" t="inlineStr">
        <is>
          <t>yes</t>
        </is>
      </c>
      <c r="I825" t="inlineStr">
        <is>
          <t>2.82</t>
        </is>
      </c>
      <c r="J825" t="inlineStr">
        <is>
          <t>world_bank</t>
        </is>
      </c>
      <c r="K825" t="inlineStr">
        <is>
          <t>https://api.worldbank.org/v2/country/IND/indicator/VC.IHR.PSRC.P5?format=json&amp;mrv=10</t>
        </is>
      </c>
      <c r="L825" t="inlineStr">
        <is>
          <t>UNODC via World Bank WDI: Intentional homicides (per 100,000 people)</t>
        </is>
      </c>
      <c r="M825" t="inlineStr">
        <is>
          <t>2022-12-31</t>
        </is>
      </c>
      <c r="N825" t="inlineStr">
        <is>
          <t>auto_ingest=unodc_safety; indicator=VC.IHR.PSRC.P5; year=2022; country_proxy=India</t>
        </is>
      </c>
    </row>
    <row r="826">
      <c r="A826" t="inlineStr">
        <is>
          <t>in-chandigarh</t>
        </is>
      </c>
      <c r="B826" t="inlineStr">
        <is>
          <t>Chandigarh</t>
        </is>
      </c>
      <c r="C826" t="inlineStr">
        <is>
          <t>India</t>
        </is>
      </c>
      <c r="D826" t="inlineStr">
        <is>
          <t>South Asia</t>
        </is>
      </c>
      <c r="E826" t="inlineStr">
        <is>
          <t>transit_access_commute_raw</t>
        </is>
      </c>
      <c r="F826" t="inlineStr">
        <is>
          <t>Transit access and commute raw</t>
        </is>
      </c>
      <c r="G826" t="inlineStr">
        <is>
          <t>viability</t>
        </is>
      </c>
      <c r="H826" t="inlineStr">
        <is>
          <t>yes</t>
        </is>
      </c>
      <c r="I826" t="inlineStr"/>
      <c r="J826" t="inlineStr"/>
      <c r="K826" t="inlineStr"/>
      <c r="L826" t="inlineStr"/>
      <c r="M826" t="inlineStr"/>
      <c r="N826" t="inlineStr"/>
    </row>
    <row r="827">
      <c r="A827" t="inlineStr">
        <is>
          <t>in-chandigarh</t>
        </is>
      </c>
      <c r="B827" t="inlineStr">
        <is>
          <t>Chandigarh</t>
        </is>
      </c>
      <c r="C827" t="inlineStr">
        <is>
          <t>India</t>
        </is>
      </c>
      <c r="D827" t="inlineStr">
        <is>
          <t>South Asia</t>
        </is>
      </c>
      <c r="E827" t="inlineStr">
        <is>
          <t>clean_air_raw</t>
        </is>
      </c>
      <c r="F827" t="inlineStr">
        <is>
          <t>Clean air raw</t>
        </is>
      </c>
      <c r="G827" t="inlineStr">
        <is>
          <t>viability</t>
        </is>
      </c>
      <c r="H827" t="inlineStr">
        <is>
          <t>yes</t>
        </is>
      </c>
      <c r="I827" t="inlineStr">
        <is>
          <t>45.0</t>
        </is>
      </c>
      <c r="J827" t="inlineStr">
        <is>
          <t>wmo_natl_met</t>
        </is>
      </c>
      <c r="K827" t="inlineStr">
        <is>
          <t>https://worldweather.wmo.int</t>
        </is>
      </c>
      <c r="L827" t="inlineStr">
        <is>
          <t>Chandigarh PM2.5 — cleaner than Delhi but still high</t>
        </is>
      </c>
      <c r="M827" t="inlineStr">
        <is>
          <t>2024-12-31</t>
        </is>
      </c>
      <c r="N827" t="inlineStr">
        <is>
          <t>city_level</t>
        </is>
      </c>
    </row>
    <row r="828">
      <c r="A828" t="inlineStr">
        <is>
          <t>in-chandigarh</t>
        </is>
      </c>
      <c r="B828" t="inlineStr">
        <is>
          <t>Chandigarh</t>
        </is>
      </c>
      <c r="C828" t="inlineStr">
        <is>
          <t>India</t>
        </is>
      </c>
      <c r="D828" t="inlineStr">
        <is>
          <t>South Asia</t>
        </is>
      </c>
      <c r="E828" t="inlineStr">
        <is>
          <t>water_sanitation_utility_raw</t>
        </is>
      </c>
      <c r="F828" t="inlineStr">
        <is>
          <t>Water, sanitation, and utility raw</t>
        </is>
      </c>
      <c r="G828" t="inlineStr">
        <is>
          <t>viability</t>
        </is>
      </c>
      <c r="H828" t="inlineStr">
        <is>
          <t>yes</t>
        </is>
      </c>
      <c r="I828" t="inlineStr">
        <is>
          <t>85.0</t>
        </is>
      </c>
      <c r="J828" t="inlineStr">
        <is>
          <t>who_unicef_jmp</t>
        </is>
      </c>
      <c r="K828" t="inlineStr">
        <is>
          <t>https://washdata.org</t>
        </is>
      </c>
      <c r="L828" t="inlineStr">
        <is>
          <t>JMP: Better than Indian average, planned city infrastructure</t>
        </is>
      </c>
      <c r="M828" t="inlineStr">
        <is>
          <t>2023-12-31</t>
        </is>
      </c>
      <c r="N828" t="inlineStr">
        <is>
          <t>city_level; above India avg</t>
        </is>
      </c>
    </row>
    <row r="829">
      <c r="A829" t="inlineStr">
        <is>
          <t>in-chandigarh</t>
        </is>
      </c>
      <c r="B829" t="inlineStr">
        <is>
          <t>Chandigarh</t>
        </is>
      </c>
      <c r="C829" t="inlineStr">
        <is>
          <t>India</t>
        </is>
      </c>
      <c r="D829" t="inlineStr">
        <is>
          <t>South Asia</t>
        </is>
      </c>
      <c r="E829" t="inlineStr">
        <is>
          <t>digital_infrastructure_raw</t>
        </is>
      </c>
      <c r="F829" t="inlineStr">
        <is>
          <t>Digital infrastructure raw</t>
        </is>
      </c>
      <c r="G829" t="inlineStr">
        <is>
          <t>viability</t>
        </is>
      </c>
      <c r="H829" t="inlineStr">
        <is>
          <t>yes</t>
        </is>
      </c>
      <c r="I829" t="inlineStr">
        <is>
          <t>2.75</t>
        </is>
      </c>
      <c r="J829" t="inlineStr">
        <is>
          <t>world_bank</t>
        </is>
      </c>
      <c r="K829" t="inlineStr">
        <is>
          <t>https://api.worldbank.org/v2/country/IND/indicator/IT.NET.BBND.P2?format=json&amp;mrv=10</t>
        </is>
      </c>
      <c r="L829" t="inlineStr">
        <is>
          <t>World Bank WDI: Fixed broadband subscriptions (per 100 people)</t>
        </is>
      </c>
      <c r="M829" t="inlineStr">
        <is>
          <t>2023-12-31</t>
        </is>
      </c>
      <c r="N829" t="inlineStr">
        <is>
          <t>auto_ingest=world_bank_proxy; indicator=IT.NET.BBND.P2; year=2023; country_proxy=India</t>
        </is>
      </c>
    </row>
    <row r="830">
      <c r="A830" t="inlineStr">
        <is>
          <t>in-chandigarh</t>
        </is>
      </c>
      <c r="B830" t="inlineStr">
        <is>
          <t>Chandigarh</t>
        </is>
      </c>
      <c r="C830" t="inlineStr">
        <is>
          <t>India</t>
        </is>
      </c>
      <c r="D830" t="inlineStr">
        <is>
          <t>South Asia</t>
        </is>
      </c>
      <c r="E830" t="inlineStr">
        <is>
          <t>climate_sunlight_livability_raw</t>
        </is>
      </c>
      <c r="F830" t="inlineStr">
        <is>
          <t>Climate and sunlight livability raw</t>
        </is>
      </c>
      <c r="G830" t="inlineStr">
        <is>
          <t>viability</t>
        </is>
      </c>
      <c r="H830" t="inlineStr">
        <is>
          <t>yes</t>
        </is>
      </c>
      <c r="I830" t="inlineStr">
        <is>
          <t>55.0</t>
        </is>
      </c>
      <c r="J830" t="inlineStr">
        <is>
          <t>wmo_natl_met</t>
        </is>
      </c>
      <c r="K830" t="inlineStr">
        <is>
          <t>https://worldweather.wmo.int</t>
        </is>
      </c>
      <c r="L830" t="inlineStr">
        <is>
          <t>WMO: 2700 sun hrs, 24C mean, extreme summer heat but good winter</t>
        </is>
      </c>
      <c r="M830" t="inlineStr">
        <is>
          <t>2024-12-31</t>
        </is>
      </c>
      <c r="N830" t="inlineStr">
        <is>
          <t>city_level</t>
        </is>
      </c>
    </row>
    <row r="831">
      <c r="A831" t="inlineStr">
        <is>
          <t>in-chandigarh</t>
        </is>
      </c>
      <c r="B831" t="inlineStr">
        <is>
          <t>Chandigarh</t>
        </is>
      </c>
      <c r="C831" t="inlineStr">
        <is>
          <t>India</t>
        </is>
      </c>
      <c r="D831" t="inlineStr">
        <is>
          <t>South Asia</t>
        </is>
      </c>
      <c r="E831" t="inlineStr">
        <is>
          <t>healthcare_quality_raw</t>
        </is>
      </c>
      <c r="F831" t="inlineStr">
        <is>
          <t>Healthcare quality raw</t>
        </is>
      </c>
      <c r="G831" t="inlineStr">
        <is>
          <t>capability</t>
        </is>
      </c>
      <c r="H831" t="inlineStr">
        <is>
          <t>yes</t>
        </is>
      </c>
      <c r="I831" t="inlineStr">
        <is>
          <t>69.0</t>
        </is>
      </c>
      <c r="J831" t="inlineStr">
        <is>
          <t>who_gho</t>
        </is>
      </c>
      <c r="K831" t="inlineStr">
        <is>
          <t>https://www.who.int/data/gho/data/indicators/indicator-details/GHO/UHC_INDEX_REPORTED</t>
        </is>
      </c>
      <c r="L831" t="inlineStr">
        <is>
          <t>WHO GHO: UHC Service Coverage Index</t>
        </is>
      </c>
      <c r="M831" t="inlineStr">
        <is>
          <t>2023-12-31</t>
        </is>
      </c>
      <c r="N831" t="inlineStr">
        <is>
          <t>auto_ingest=who_gho; indicator=UHC_INDEX_REPORTED; year=2023; country_proxy=India</t>
        </is>
      </c>
    </row>
    <row r="832">
      <c r="A832" t="inlineStr">
        <is>
          <t>in-chandigarh</t>
        </is>
      </c>
      <c r="B832" t="inlineStr">
        <is>
          <t>Chandigarh</t>
        </is>
      </c>
      <c r="C832" t="inlineStr">
        <is>
          <t>India</t>
        </is>
      </c>
      <c r="D832" t="inlineStr">
        <is>
          <t>South Asia</t>
        </is>
      </c>
      <c r="E832" t="inlineStr">
        <is>
          <t>education_quality_raw</t>
        </is>
      </c>
      <c r="F832" t="inlineStr">
        <is>
          <t>Education quality raw</t>
        </is>
      </c>
      <c r="G832" t="inlineStr">
        <is>
          <t>capability</t>
        </is>
      </c>
      <c r="H832" t="inlineStr">
        <is>
          <t>yes</t>
        </is>
      </c>
      <c r="I832" t="inlineStr">
        <is>
          <t>34.42</t>
        </is>
      </c>
      <c r="J832" t="inlineStr">
        <is>
          <t>world_bank</t>
        </is>
      </c>
      <c r="K832" t="inlineStr">
        <is>
          <t>https://api.worldbank.org/v2/country/IND/indicator/SE.TER.ENRR?format=json&amp;mrv=10</t>
        </is>
      </c>
      <c r="L832" t="inlineStr">
        <is>
          <t>World Bank WDI: School enrollment, tertiary (% gross)</t>
        </is>
      </c>
      <c r="M832" t="inlineStr">
        <is>
          <t>2024-12-31</t>
        </is>
      </c>
      <c r="N832" t="inlineStr">
        <is>
          <t>auto_ingest=world_bank_proxy; indicator=SE.TER.ENRR; year=2024; country_proxy=India</t>
        </is>
      </c>
    </row>
    <row r="833">
      <c r="A833" t="inlineStr">
        <is>
          <t>in-chandigarh</t>
        </is>
      </c>
      <c r="B833" t="inlineStr">
        <is>
          <t>Chandigarh</t>
        </is>
      </c>
      <c r="C833" t="inlineStr">
        <is>
          <t>India</t>
        </is>
      </c>
      <c r="D833" t="inlineStr">
        <is>
          <t>South Asia</t>
        </is>
      </c>
      <c r="E833" t="inlineStr">
        <is>
          <t>equal_opportunity_raw</t>
        </is>
      </c>
      <c r="F833" t="inlineStr">
        <is>
          <t>Equal opportunity raw</t>
        </is>
      </c>
      <c r="G833" t="inlineStr">
        <is>
          <t>capability</t>
        </is>
      </c>
      <c r="H833" t="inlineStr">
        <is>
          <t>yes</t>
        </is>
      </c>
      <c r="I833" t="inlineStr">
        <is>
          <t>25.5</t>
        </is>
      </c>
      <c r="J833" t="inlineStr">
        <is>
          <t>world_bank</t>
        </is>
      </c>
      <c r="K833" t="inlineStr">
        <is>
          <t>https://api.worldbank.org/v2/country/IND/indicator/SI.POV.GINI?format=json&amp;mrv=10</t>
        </is>
      </c>
      <c r="L833" t="inlineStr">
        <is>
          <t>World Bank WDI: Gini index</t>
        </is>
      </c>
      <c r="M833" t="inlineStr">
        <is>
          <t>2022-12-31</t>
        </is>
      </c>
      <c r="N833" t="inlineStr">
        <is>
          <t>auto_ingest=world_bank_capability; indicator=SI.POV.GINI; year=2022; country_proxy=India</t>
        </is>
      </c>
    </row>
    <row r="834">
      <c r="A834" t="inlineStr">
        <is>
          <t>in-chandigarh</t>
        </is>
      </c>
      <c r="B834" t="inlineStr">
        <is>
          <t>Chandigarh</t>
        </is>
      </c>
      <c r="C834" t="inlineStr">
        <is>
          <t>India</t>
        </is>
      </c>
      <c r="D834" t="inlineStr">
        <is>
          <t>South Asia</t>
        </is>
      </c>
      <c r="E834" t="inlineStr">
        <is>
          <t>hospitality_belonging_raw</t>
        </is>
      </c>
      <c r="F834" t="inlineStr">
        <is>
          <t>Hospitality and belonging raw</t>
        </is>
      </c>
      <c r="G834" t="inlineStr">
        <is>
          <t>community</t>
        </is>
      </c>
      <c r="H834" t="inlineStr">
        <is>
          <t>yes</t>
        </is>
      </c>
      <c r="I834" t="inlineStr">
        <is>
          <t>49.66</t>
        </is>
      </c>
      <c r="J834" t="inlineStr">
        <is>
          <t>world_bank</t>
        </is>
      </c>
      <c r="K834" t="inlineStr">
        <is>
          <t>https://api.worldbank.org/v2/country/IND/indicator/SM.POP.NETM?format=json&amp;mrv=10</t>
        </is>
      </c>
      <c r="L834" t="inlineStr">
        <is>
          <t>World Bank WDI: Net migration (proxy for hospitality/belonging — positive = welcoming)</t>
        </is>
      </c>
      <c r="M834" t="inlineStr">
        <is>
          <t>2025-12-31</t>
        </is>
      </c>
      <c r="N834" t="inlineStr">
        <is>
          <t>auto_ingest=world_bank_proxy; proxy=net_migration_hospitality; indicator=SM.POP.NETM; year=2025; country_proxy=India</t>
        </is>
      </c>
    </row>
    <row r="835">
      <c r="A835" t="inlineStr">
        <is>
          <t>in-chandigarh</t>
        </is>
      </c>
      <c r="B835" t="inlineStr">
        <is>
          <t>Chandigarh</t>
        </is>
      </c>
      <c r="C835" t="inlineStr">
        <is>
          <t>India</t>
        </is>
      </c>
      <c r="D835" t="inlineStr">
        <is>
          <t>South Asia</t>
        </is>
      </c>
      <c r="E835" t="inlineStr">
        <is>
          <t>tolerance_pluralism_raw</t>
        </is>
      </c>
      <c r="F835" t="inlineStr">
        <is>
          <t>Tolerance and pluralism raw</t>
        </is>
      </c>
      <c r="G835" t="inlineStr">
        <is>
          <t>community</t>
        </is>
      </c>
      <c r="H835" t="inlineStr">
        <is>
          <t>yes</t>
        </is>
      </c>
      <c r="I835" t="inlineStr">
        <is>
          <t>13.65</t>
        </is>
      </c>
      <c r="J835" t="inlineStr">
        <is>
          <t>world_bank</t>
        </is>
      </c>
      <c r="K835" t="inlineStr">
        <is>
          <t>https://api.worldbank.org/v2/country/IND/indicator/SG.GEN.PARL.ZS?format=json&amp;mrv=10</t>
        </is>
      </c>
      <c r="L835" t="inlineStr">
        <is>
          <t>World Bank WDI: Proportion of seats held by women in national parliaments (%)</t>
        </is>
      </c>
      <c r="M835" t="inlineStr">
        <is>
          <t>2024-12-31</t>
        </is>
      </c>
      <c r="N835" t="inlineStr">
        <is>
          <t>auto_ingest=world_bank_proxy; proxy=gender_parity_parliament; indicator=SG.GEN.PARL.ZS; year=2024; country_proxy=India</t>
        </is>
      </c>
    </row>
    <row r="836">
      <c r="A836" t="inlineStr">
        <is>
          <t>in-chandigarh</t>
        </is>
      </c>
      <c r="B836" t="inlineStr">
        <is>
          <t>Chandigarh</t>
        </is>
      </c>
      <c r="C836" t="inlineStr">
        <is>
          <t>India</t>
        </is>
      </c>
      <c r="D836" t="inlineStr">
        <is>
          <t>South Asia</t>
        </is>
      </c>
      <c r="E836" t="inlineStr">
        <is>
          <t>cultural_public_life_raw</t>
        </is>
      </c>
      <c r="F836" t="inlineStr">
        <is>
          <t>Cultural public life raw</t>
        </is>
      </c>
      <c r="G836" t="inlineStr">
        <is>
          <t>community</t>
        </is>
      </c>
      <c r="H836" t="inlineStr">
        <is>
          <t>yes</t>
        </is>
      </c>
      <c r="I836" t="inlineStr">
        <is>
          <t>50.0</t>
        </is>
      </c>
      <c r="J836" t="inlineStr">
        <is>
          <t>wmo_natl_met</t>
        </is>
      </c>
      <c r="K836" t="inlineStr">
        <is>
          <t>https://worldweather.wmo.int</t>
        </is>
      </c>
      <c r="L836" t="inlineStr">
        <is>
          <t>Le Corbusier architecture, Rock Garden, Sukhna Lake, organized grid</t>
        </is>
      </c>
      <c r="M836" t="inlineStr">
        <is>
          <t>2024-12-31</t>
        </is>
      </c>
      <c r="N836" t="inlineStr">
        <is>
          <t>manual_assessment; best-planned Indian city</t>
        </is>
      </c>
    </row>
    <row r="837">
      <c r="A837" t="inlineStr">
        <is>
          <t>in-chandigarh</t>
        </is>
      </c>
      <c r="B837" t="inlineStr">
        <is>
          <t>Chandigarh</t>
        </is>
      </c>
      <c r="C837" t="inlineStr">
        <is>
          <t>India</t>
        </is>
      </c>
      <c r="D837" t="inlineStr">
        <is>
          <t>South Asia</t>
        </is>
      </c>
      <c r="E837" t="inlineStr">
        <is>
          <t>birth_rate_optimism_raw</t>
        </is>
      </c>
      <c r="F837" t="inlineStr">
        <is>
          <t>Birth rate and societal optimism raw</t>
        </is>
      </c>
      <c r="G837" t="inlineStr">
        <is>
          <t>community</t>
        </is>
      </c>
      <c r="H837" t="inlineStr">
        <is>
          <t>yes</t>
        </is>
      </c>
      <c r="I837" t="inlineStr">
        <is>
          <t>2.0</t>
        </is>
      </c>
      <c r="J837" t="inlineStr">
        <is>
          <t>world_bank</t>
        </is>
      </c>
      <c r="K837" t="inlineStr">
        <is>
          <t>https://data.worldbank.org/indicator/SP.DYN.TFRT.IN</t>
        </is>
      </c>
      <c r="L837" t="inlineStr">
        <is>
          <t>World Bank Total Fertility Rate 2023</t>
        </is>
      </c>
      <c r="M837" t="inlineStr">
        <is>
          <t>2024-01-01</t>
        </is>
      </c>
      <c r="N837" t="inlineStr"/>
    </row>
    <row r="838">
      <c r="A838" t="inlineStr">
        <is>
          <t>in-chandigarh</t>
        </is>
      </c>
      <c r="B838" t="inlineStr">
        <is>
          <t>Chandigarh</t>
        </is>
      </c>
      <c r="C838" t="inlineStr">
        <is>
          <t>India</t>
        </is>
      </c>
      <c r="D838" t="inlineStr">
        <is>
          <t>South Asia</t>
        </is>
      </c>
      <c r="E838" t="inlineStr">
        <is>
          <t>entrepreneurial_dynamism_raw</t>
        </is>
      </c>
      <c r="F838" t="inlineStr">
        <is>
          <t>Entrepreneurial dynamism raw</t>
        </is>
      </c>
      <c r="G838" t="inlineStr">
        <is>
          <t>creative</t>
        </is>
      </c>
      <c r="H838" t="inlineStr">
        <is>
          <t>yes</t>
        </is>
      </c>
      <c r="I838" t="inlineStr">
        <is>
          <t>0.18</t>
        </is>
      </c>
      <c r="J838" t="inlineStr">
        <is>
          <t>world_bank</t>
        </is>
      </c>
      <c r="K838" t="inlineStr">
        <is>
          <t>https://api.worldbank.org/v2/country/IND/indicator/IC.BUS.NDNS.ZS?format=json&amp;mrv=10</t>
        </is>
      </c>
      <c r="L838" t="inlineStr">
        <is>
          <t>World Bank WDI: New business density (new registrations per 1,000 people ages 15-64)</t>
        </is>
      </c>
      <c r="M838" t="inlineStr">
        <is>
          <t>2022-12-31</t>
        </is>
      </c>
      <c r="N838" t="inlineStr">
        <is>
          <t>auto_ingest=world_bank_creative_extended; indicator=IC.BUS.NDNS.ZS; year=2022; country_proxy=India</t>
        </is>
      </c>
    </row>
    <row r="839">
      <c r="A839" t="inlineStr">
        <is>
          <t>in-chandigarh</t>
        </is>
      </c>
      <c r="B839" t="inlineStr">
        <is>
          <t>Chandigarh</t>
        </is>
      </c>
      <c r="C839" t="inlineStr">
        <is>
          <t>India</t>
        </is>
      </c>
      <c r="D839" t="inlineStr">
        <is>
          <t>South Asia</t>
        </is>
      </c>
      <c r="E839" t="inlineStr">
        <is>
          <t>innovation_research_intensity_raw</t>
        </is>
      </c>
      <c r="F839" t="inlineStr">
        <is>
          <t>Innovation and research raw</t>
        </is>
      </c>
      <c r="G839" t="inlineStr">
        <is>
          <t>creative</t>
        </is>
      </c>
      <c r="H839" t="inlineStr">
        <is>
          <t>yes</t>
        </is>
      </c>
      <c r="I839" t="inlineStr">
        <is>
          <t>0.65</t>
        </is>
      </c>
      <c r="J839" t="inlineStr">
        <is>
          <t>world_bank</t>
        </is>
      </c>
      <c r="K839" t="inlineStr">
        <is>
          <t>https://api.worldbank.org/v2/country/IND/indicator/GB.XPD.RSDV.GD.ZS?format=json&amp;mrv=10</t>
        </is>
      </c>
      <c r="L839" t="inlineStr">
        <is>
          <t>World Bank WDI: Research and development expenditure (% of GDP)</t>
        </is>
      </c>
      <c r="M839" t="inlineStr">
        <is>
          <t>2020-12-31</t>
        </is>
      </c>
      <c r="N839" t="inlineStr">
        <is>
          <t>auto_ingest=world_bank_creative_extended; indicator=GB.XPD.RSDV.GD.ZS; year=2020; country_proxy=India</t>
        </is>
      </c>
    </row>
    <row r="840">
      <c r="A840" t="inlineStr">
        <is>
          <t>in-chandigarh</t>
        </is>
      </c>
      <c r="B840" t="inlineStr">
        <is>
          <t>Chandigarh</t>
        </is>
      </c>
      <c r="C840" t="inlineStr">
        <is>
          <t>India</t>
        </is>
      </c>
      <c r="D840" t="inlineStr">
        <is>
          <t>South Asia</t>
        </is>
      </c>
      <c r="E840" t="inlineStr">
        <is>
          <t>investment_signal_raw</t>
        </is>
      </c>
      <c r="F840" t="inlineStr">
        <is>
          <t>Investment signal raw</t>
        </is>
      </c>
      <c r="G840" t="inlineStr">
        <is>
          <t>creative</t>
        </is>
      </c>
      <c r="H840" t="inlineStr">
        <is>
          <t>yes</t>
        </is>
      </c>
      <c r="I840" t="inlineStr">
        <is>
          <t>0.69</t>
        </is>
      </c>
      <c r="J840" t="inlineStr">
        <is>
          <t>world_bank</t>
        </is>
      </c>
      <c r="K840" t="inlineStr">
        <is>
          <t>https://api.worldbank.org/v2/country/IND/indicator/BX.KLT.DINV.WD.GD.ZS?format=json&amp;mrv=10</t>
        </is>
      </c>
      <c r="L840" t="inlineStr">
        <is>
          <t>World Bank WDI: Foreign direct investment, net inflows (% of GDP)</t>
        </is>
      </c>
      <c r="M840" t="inlineStr">
        <is>
          <t>2024-12-31</t>
        </is>
      </c>
      <c r="N840" t="inlineStr">
        <is>
          <t>auto_ingest=world_bank_creative_extended; indicator=BX.KLT.DINV.WD.GD.ZS; year=2024; country_proxy=India</t>
        </is>
      </c>
    </row>
    <row r="841">
      <c r="A841" t="inlineStr">
        <is>
          <t>in-chandigarh</t>
        </is>
      </c>
      <c r="B841" t="inlineStr">
        <is>
          <t>Chandigarh</t>
        </is>
      </c>
      <c r="C841" t="inlineStr">
        <is>
          <t>India</t>
        </is>
      </c>
      <c r="D841" t="inlineStr">
        <is>
          <t>South Asia</t>
        </is>
      </c>
      <c r="E841" t="inlineStr">
        <is>
          <t>administrative_investment_friction_raw</t>
        </is>
      </c>
      <c r="F841" t="inlineStr">
        <is>
          <t>Administrative investment friction raw</t>
        </is>
      </c>
      <c r="G841" t="inlineStr">
        <is>
          <t>creative</t>
        </is>
      </c>
      <c r="H841" t="inlineStr">
        <is>
          <t>yes</t>
        </is>
      </c>
      <c r="I841" t="inlineStr">
        <is>
          <t>2.64</t>
        </is>
      </c>
      <c r="J841" t="inlineStr">
        <is>
          <t>world_bank</t>
        </is>
      </c>
      <c r="K841" t="inlineStr">
        <is>
          <t>https://api.worldbank.org/v2/country/IND/indicator/RQ.EST?format=json&amp;mrv=10</t>
        </is>
      </c>
      <c r="L841" t="inlineStr">
        <is>
          <t>World Bank WGI: Regulatory Quality (inverted as friction proxy)</t>
        </is>
      </c>
      <c r="M841" t="inlineStr">
        <is>
          <t>2023-12-31</t>
        </is>
      </c>
      <c r="N841" t="inlineStr">
        <is>
          <t>auto_ingest=world_bank_business_friction; indicator=RQ.EST; raw_rq=-0.136969581246376; friction=2.64; year=2023; country_proxy=India</t>
        </is>
      </c>
    </row>
    <row r="842">
      <c r="A842" t="inlineStr">
        <is>
          <t>in-chandigarh</t>
        </is>
      </c>
      <c r="B842" t="inlineStr">
        <is>
          <t>Chandigarh</t>
        </is>
      </c>
      <c r="C842" t="inlineStr">
        <is>
          <t>India</t>
        </is>
      </c>
      <c r="D842" t="inlineStr">
        <is>
          <t>South Asia</t>
        </is>
      </c>
      <c r="E842" t="inlineStr">
        <is>
          <t>visitor_flow_context_raw</t>
        </is>
      </c>
      <c r="F842" t="inlineStr">
        <is>
          <t>Visitor flow context raw</t>
        </is>
      </c>
      <c r="G842" t="inlineStr">
        <is>
          <t>creative</t>
        </is>
      </c>
      <c r="H842" t="inlineStr">
        <is>
          <t>no</t>
        </is>
      </c>
      <c r="I842" t="inlineStr"/>
      <c r="J842" t="inlineStr"/>
      <c r="K842" t="inlineStr"/>
      <c r="L842" t="inlineStr"/>
      <c r="M842" t="inlineStr"/>
      <c r="N842" t="inlineStr"/>
    </row>
    <row r="843">
      <c r="A843" t="inlineStr">
        <is>
          <t>lk-colombo</t>
        </is>
      </c>
      <c r="B843" t="inlineStr">
        <is>
          <t>Colombo</t>
        </is>
      </c>
      <c r="C843" t="inlineStr">
        <is>
          <t>Sri Lanka</t>
        </is>
      </c>
      <c r="D843" t="inlineStr">
        <is>
          <t>South Asia</t>
        </is>
      </c>
      <c r="E843" t="inlineStr">
        <is>
          <t>gross_income</t>
        </is>
      </c>
      <c r="F843" t="inlineStr">
        <is>
          <t>Gross income</t>
        </is>
      </c>
      <c r="G843" t="inlineStr">
        <is>
          <t>pressure</t>
        </is>
      </c>
      <c r="H843" t="inlineStr">
        <is>
          <t>yes</t>
        </is>
      </c>
      <c r="I843" t="inlineStr">
        <is>
          <t>1270.0</t>
        </is>
      </c>
      <c r="J843" t="inlineStr">
        <is>
          <t>world_bank_col_estimate</t>
        </is>
      </c>
      <c r="K843" t="inlineStr">
        <is>
          <t>https://api.worldbank.org/v2/country/LKA/indicator/NY.GNP.PCAP.PP.CD?format=json&amp;mrv=10</t>
        </is>
      </c>
      <c r="L843" t="inlineStr">
        <is>
          <t>World Bank WDI: GNI per capita PPP (monthly USD)</t>
        </is>
      </c>
      <c r="M843" t="inlineStr">
        <is>
          <t>2024-12-31</t>
        </is>
      </c>
      <c r="N843" t="inlineStr">
        <is>
          <t>auto_ingest=world_bank_col_estimate; gni_annual=15240.0; year=2024; country_proxy=Sri Lanka; cohort=South Asia</t>
        </is>
      </c>
    </row>
    <row r="844">
      <c r="A844" t="inlineStr">
        <is>
          <t>lk-colombo</t>
        </is>
      </c>
      <c r="B844" t="inlineStr">
        <is>
          <t>Colombo</t>
        </is>
      </c>
      <c r="C844" t="inlineStr">
        <is>
          <t>Sri Lanka</t>
        </is>
      </c>
      <c r="D844" t="inlineStr">
        <is>
          <t>South Asia</t>
        </is>
      </c>
      <c r="E844" t="inlineStr">
        <is>
          <t>di_ppp_raw</t>
        </is>
      </c>
      <c r="F844" t="inlineStr">
        <is>
          <t>Disposable income PPP (Raw)</t>
        </is>
      </c>
      <c r="G844" t="inlineStr">
        <is>
          <t>pressure</t>
        </is>
      </c>
      <c r="H844" t="inlineStr">
        <is>
          <t>yes</t>
        </is>
      </c>
      <c r="I844" t="inlineStr"/>
      <c r="J844" t="inlineStr"/>
      <c r="K844" t="inlineStr"/>
      <c r="L844" t="inlineStr"/>
      <c r="M844" t="inlineStr"/>
      <c r="N844" t="inlineStr"/>
    </row>
    <row r="845">
      <c r="A845" t="inlineStr">
        <is>
          <t>lk-colombo</t>
        </is>
      </c>
      <c r="B845" t="inlineStr">
        <is>
          <t>Colombo</t>
        </is>
      </c>
      <c r="C845" t="inlineStr">
        <is>
          <t>Sri Lanka</t>
        </is>
      </c>
      <c r="D845" t="inlineStr">
        <is>
          <t>South Asia</t>
        </is>
      </c>
      <c r="E845" t="inlineStr">
        <is>
          <t>rent</t>
        </is>
      </c>
      <c r="F845" t="inlineStr">
        <is>
          <t>Rent</t>
        </is>
      </c>
      <c r="G845" t="inlineStr">
        <is>
          <t>pressure</t>
        </is>
      </c>
      <c r="H845" t="inlineStr">
        <is>
          <t>yes</t>
        </is>
      </c>
      <c r="I845" t="inlineStr">
        <is>
          <t>190.5</t>
        </is>
      </c>
      <c r="J845" t="inlineStr">
        <is>
          <t>world_bank_col_estimate</t>
        </is>
      </c>
      <c r="K845" t="inlineStr">
        <is>
          <t>https://api.worldbank.org/v2/country/LKA/indicator/NY.GNP.PCAP.PP.CD?format=json&amp;mrv=10</t>
        </is>
      </c>
      <c r="L845" t="inlineStr">
        <is>
          <t>World Bank GNI + regional expenditure ratio estimate</t>
        </is>
      </c>
      <c r="M845" t="inlineStr">
        <is>
          <t>2024-12-31</t>
        </is>
      </c>
      <c r="N845" t="inlineStr">
        <is>
          <t>auto_ingest=world_bank_col_estimate; gni_annual=15240.0; year=2024; country_proxy=Sri Lanka; cohort=South Asia</t>
        </is>
      </c>
    </row>
    <row r="846">
      <c r="A846" t="inlineStr">
        <is>
          <t>lk-colombo</t>
        </is>
      </c>
      <c r="B846" t="inlineStr">
        <is>
          <t>Colombo</t>
        </is>
      </c>
      <c r="C846" t="inlineStr">
        <is>
          <t>Sri Lanka</t>
        </is>
      </c>
      <c r="D846" t="inlineStr">
        <is>
          <t>South Asia</t>
        </is>
      </c>
      <c r="E846" t="inlineStr">
        <is>
          <t>utilities</t>
        </is>
      </c>
      <c r="F846" t="inlineStr">
        <is>
          <t>Utilities</t>
        </is>
      </c>
      <c r="G846" t="inlineStr">
        <is>
          <t>pressure</t>
        </is>
      </c>
      <c r="H846" t="inlineStr">
        <is>
          <t>yes</t>
        </is>
      </c>
      <c r="I846" t="inlineStr">
        <is>
          <t>63.5</t>
        </is>
      </c>
      <c r="J846" t="inlineStr">
        <is>
          <t>world_bank_col_estimate</t>
        </is>
      </c>
      <c r="K846" t="inlineStr">
        <is>
          <t>https://api.worldbank.org/v2/country/LKA/indicator/NY.GNP.PCAP.PP.CD?format=json&amp;mrv=10</t>
        </is>
      </c>
      <c r="L846" t="inlineStr">
        <is>
          <t>World Bank GNI + regional expenditure ratio estimate</t>
        </is>
      </c>
      <c r="M846" t="inlineStr">
        <is>
          <t>2024-12-31</t>
        </is>
      </c>
      <c r="N846" t="inlineStr">
        <is>
          <t>auto_ingest=world_bank_col_estimate; gni_annual=15240.0; year=2024; country_proxy=Sri Lanka; cohort=South Asia</t>
        </is>
      </c>
    </row>
    <row r="847">
      <c r="A847" t="inlineStr">
        <is>
          <t>lk-colombo</t>
        </is>
      </c>
      <c r="B847" t="inlineStr">
        <is>
          <t>Colombo</t>
        </is>
      </c>
      <c r="C847" t="inlineStr">
        <is>
          <t>Sri Lanka</t>
        </is>
      </c>
      <c r="D847" t="inlineStr">
        <is>
          <t>South Asia</t>
        </is>
      </c>
      <c r="E847" t="inlineStr">
        <is>
          <t>transit_cost</t>
        </is>
      </c>
      <c r="F847" t="inlineStr">
        <is>
          <t>Transit cost</t>
        </is>
      </c>
      <c r="G847" t="inlineStr">
        <is>
          <t>pressure</t>
        </is>
      </c>
      <c r="H847" t="inlineStr">
        <is>
          <t>yes</t>
        </is>
      </c>
      <c r="I847" t="inlineStr">
        <is>
          <t>38.1</t>
        </is>
      </c>
      <c r="J847" t="inlineStr">
        <is>
          <t>world_bank_col_estimate</t>
        </is>
      </c>
      <c r="K847" t="inlineStr">
        <is>
          <t>https://api.worldbank.org/v2/country/LKA/indicator/NY.GNP.PCAP.PP.CD?format=json&amp;mrv=10</t>
        </is>
      </c>
      <c r="L847" t="inlineStr">
        <is>
          <t>World Bank GNI + regional expenditure ratio estimate</t>
        </is>
      </c>
      <c r="M847" t="inlineStr">
        <is>
          <t>2024-12-31</t>
        </is>
      </c>
      <c r="N847" t="inlineStr">
        <is>
          <t>auto_ingest=world_bank_col_estimate; gni_annual=15240.0; year=2024; country_proxy=Sri Lanka; cohort=South Asia</t>
        </is>
      </c>
    </row>
    <row r="848">
      <c r="A848" t="inlineStr">
        <is>
          <t>lk-colombo</t>
        </is>
      </c>
      <c r="B848" t="inlineStr">
        <is>
          <t>Colombo</t>
        </is>
      </c>
      <c r="C848" t="inlineStr">
        <is>
          <t>Sri Lanka</t>
        </is>
      </c>
      <c r="D848" t="inlineStr">
        <is>
          <t>South Asia</t>
        </is>
      </c>
      <c r="E848" t="inlineStr">
        <is>
          <t>internet_cost</t>
        </is>
      </c>
      <c r="F848" t="inlineStr">
        <is>
          <t>Internet cost</t>
        </is>
      </c>
      <c r="G848" t="inlineStr">
        <is>
          <t>pressure</t>
        </is>
      </c>
      <c r="H848" t="inlineStr">
        <is>
          <t>yes</t>
        </is>
      </c>
      <c r="I848" t="inlineStr">
        <is>
          <t>12.7</t>
        </is>
      </c>
      <c r="J848" t="inlineStr">
        <is>
          <t>world_bank_col_estimate</t>
        </is>
      </c>
      <c r="K848" t="inlineStr">
        <is>
          <t>https://api.worldbank.org/v2/country/LKA/indicator/NY.GNP.PCAP.PP.CD?format=json&amp;mrv=10</t>
        </is>
      </c>
      <c r="L848" t="inlineStr">
        <is>
          <t>World Bank GNI + regional expenditure ratio estimate</t>
        </is>
      </c>
      <c r="M848" t="inlineStr">
        <is>
          <t>2024-12-31</t>
        </is>
      </c>
      <c r="N848" t="inlineStr">
        <is>
          <t>auto_ingest=world_bank_col_estimate; gni_annual=15240.0; year=2024; country_proxy=Sri Lanka; cohort=South Asia</t>
        </is>
      </c>
    </row>
    <row r="849">
      <c r="A849" t="inlineStr">
        <is>
          <t>lk-colombo</t>
        </is>
      </c>
      <c r="B849" t="inlineStr">
        <is>
          <t>Colombo</t>
        </is>
      </c>
      <c r="C849" t="inlineStr">
        <is>
          <t>Sri Lanka</t>
        </is>
      </c>
      <c r="D849" t="inlineStr">
        <is>
          <t>South Asia</t>
        </is>
      </c>
      <c r="E849" t="inlineStr">
        <is>
          <t>food_cost</t>
        </is>
      </c>
      <c r="F849" t="inlineStr">
        <is>
          <t>Food cost</t>
        </is>
      </c>
      <c r="G849" t="inlineStr">
        <is>
          <t>pressure</t>
        </is>
      </c>
      <c r="H849" t="inlineStr">
        <is>
          <t>yes</t>
        </is>
      </c>
      <c r="I849" t="inlineStr">
        <is>
          <t>317.5</t>
        </is>
      </c>
      <c r="J849" t="inlineStr">
        <is>
          <t>world_bank_col_estimate</t>
        </is>
      </c>
      <c r="K849" t="inlineStr">
        <is>
          <t>https://api.worldbank.org/v2/country/LKA/indicator/NY.GNP.PCAP.PP.CD?format=json&amp;mrv=10</t>
        </is>
      </c>
      <c r="L849" t="inlineStr">
        <is>
          <t>World Bank GNI + regional expenditure ratio estimate</t>
        </is>
      </c>
      <c r="M849" t="inlineStr">
        <is>
          <t>2024-12-31</t>
        </is>
      </c>
      <c r="N849" t="inlineStr">
        <is>
          <t>auto_ingest=world_bank_col_estimate; gni_annual=15240.0; year=2024; country_proxy=Sri Lanka; cohort=South Asia</t>
        </is>
      </c>
    </row>
    <row r="850">
      <c r="A850" t="inlineStr">
        <is>
          <t>lk-colombo</t>
        </is>
      </c>
      <c r="B850" t="inlineStr">
        <is>
          <t>Colombo</t>
        </is>
      </c>
      <c r="C850" t="inlineStr">
        <is>
          <t>Sri Lanka</t>
        </is>
      </c>
      <c r="D850" t="inlineStr">
        <is>
          <t>South Asia</t>
        </is>
      </c>
      <c r="E850" t="inlineStr">
        <is>
          <t>housing_burden_raw</t>
        </is>
      </c>
      <c r="F850" t="inlineStr">
        <is>
          <t>Housing burden raw</t>
        </is>
      </c>
      <c r="G850" t="inlineStr">
        <is>
          <t>pressure</t>
        </is>
      </c>
      <c r="H850" t="inlineStr">
        <is>
          <t>yes</t>
        </is>
      </c>
      <c r="I850" t="inlineStr">
        <is>
          <t>15.0</t>
        </is>
      </c>
      <c r="J850" t="inlineStr">
        <is>
          <t>derived</t>
        </is>
      </c>
      <c r="K850" t="inlineStr">
        <is>
          <t>https://data.worldbank.org/indicator/NY.GNP.PCAP.PP.CD</t>
        </is>
      </c>
      <c r="L850" t="inlineStr">
        <is>
          <t>Computed from city_inputs + country_context</t>
        </is>
      </c>
      <c r="M850" t="inlineStr">
        <is>
          <t>2024-01-01</t>
        </is>
      </c>
      <c r="N850" t="inlineStr">
        <is>
          <t>derived=rent/gross_income*100</t>
        </is>
      </c>
    </row>
    <row r="851">
      <c r="A851" t="inlineStr">
        <is>
          <t>lk-colombo</t>
        </is>
      </c>
      <c r="B851" t="inlineStr">
        <is>
          <t>Colombo</t>
        </is>
      </c>
      <c r="C851" t="inlineStr">
        <is>
          <t>Sri Lanka</t>
        </is>
      </c>
      <c r="D851" t="inlineStr">
        <is>
          <t>South Asia</t>
        </is>
      </c>
      <c r="E851" t="inlineStr">
        <is>
          <t>household_debt_burden_raw</t>
        </is>
      </c>
      <c r="F851" t="inlineStr">
        <is>
          <t>Household debt burden raw</t>
        </is>
      </c>
      <c r="G851" t="inlineStr">
        <is>
          <t>pressure</t>
        </is>
      </c>
      <c r="H851" t="inlineStr">
        <is>
          <t>yes</t>
        </is>
      </c>
      <c r="I851" t="inlineStr">
        <is>
          <t>46.8716</t>
        </is>
      </c>
      <c r="J851" t="inlineStr">
        <is>
          <t>derived</t>
        </is>
      </c>
      <c r="K851" t="inlineStr">
        <is>
          <t>https://data.worldbank.org/indicator/NY.GNP.PCAP.PP.CD</t>
        </is>
      </c>
      <c r="L851" t="inlineStr">
        <is>
          <t>Computed from city_inputs + country_context</t>
        </is>
      </c>
      <c r="M851" t="inlineStr">
        <is>
          <t>2024-01-01</t>
        </is>
      </c>
      <c r="N851" t="inlineStr">
        <is>
          <t>derived=country_context.household_debt_proxy; country=Sri Lanka</t>
        </is>
      </c>
    </row>
    <row r="852">
      <c r="A852" t="inlineStr">
        <is>
          <t>lk-colombo</t>
        </is>
      </c>
      <c r="B852" t="inlineStr">
        <is>
          <t>Colombo</t>
        </is>
      </c>
      <c r="C852" t="inlineStr">
        <is>
          <t>Sri Lanka</t>
        </is>
      </c>
      <c r="D852" t="inlineStr">
        <is>
          <t>South Asia</t>
        </is>
      </c>
      <c r="E852" t="inlineStr">
        <is>
          <t>working_time_pressure_raw</t>
        </is>
      </c>
      <c r="F852" t="inlineStr">
        <is>
          <t>Working time pressure raw</t>
        </is>
      </c>
      <c r="G852" t="inlineStr">
        <is>
          <t>pressure</t>
        </is>
      </c>
      <c r="H852" t="inlineStr">
        <is>
          <t>yes</t>
        </is>
      </c>
      <c r="I852" t="inlineStr">
        <is>
          <t>41.72</t>
        </is>
      </c>
      <c r="J852" t="inlineStr">
        <is>
          <t>ilo_ilostat</t>
        </is>
      </c>
      <c r="K852" t="inlineStr">
        <is>
          <t>https://ilostat.ilo.org/data/indicator/?id=HOW_TEMP_SEX_ECO_NB_A&amp;ref_area=LKA</t>
        </is>
      </c>
      <c r="L852" t="inlineStr">
        <is>
          <t>ILO ILOSTAT: Mean weekly hours actually worked per employed person</t>
        </is>
      </c>
      <c r="M852" t="inlineStr">
        <is>
          <t>2023-12-31</t>
        </is>
      </c>
      <c r="N852" t="inlineStr">
        <is>
          <t>auto_ingest=ilo_working_hours; indicator=HOW_TEMP_SEX_ECO_NB_A; year=2023; hours=41.72; country_proxy=Sri Lanka</t>
        </is>
      </c>
    </row>
    <row r="853">
      <c r="A853" t="inlineStr">
        <is>
          <t>lk-colombo</t>
        </is>
      </c>
      <c r="B853" t="inlineStr">
        <is>
          <t>Colombo</t>
        </is>
      </c>
      <c r="C853" t="inlineStr">
        <is>
          <t>Sri Lanka</t>
        </is>
      </c>
      <c r="D853" t="inlineStr">
        <is>
          <t>South Asia</t>
        </is>
      </c>
      <c r="E853" t="inlineStr">
        <is>
          <t>suicide_mental_strain_raw</t>
        </is>
      </c>
      <c r="F853" t="inlineStr">
        <is>
          <t>Suicide or mental strain raw</t>
        </is>
      </c>
      <c r="G853" t="inlineStr">
        <is>
          <t>pressure</t>
        </is>
      </c>
      <c r="H853" t="inlineStr">
        <is>
          <t>yes</t>
        </is>
      </c>
      <c r="I853" t="inlineStr">
        <is>
          <t>14.74</t>
        </is>
      </c>
      <c r="J853" t="inlineStr">
        <is>
          <t>who_gho</t>
        </is>
      </c>
      <c r="K853" t="inlineStr">
        <is>
          <t>https://www.who.int/data/gho/data/indicators/indicator-details/GHO/SDGSUICIDE</t>
        </is>
      </c>
      <c r="L853" t="inlineStr">
        <is>
          <t>WHO GHO: Age-standardized suicide rate (per 100,000 population)</t>
        </is>
      </c>
      <c r="M853" t="inlineStr">
        <is>
          <t>2021-12-31</t>
        </is>
      </c>
      <c r="N853" t="inlineStr">
        <is>
          <t>auto_ingest=who_gho; indicator=SDGSUICIDE; year=2021; country_proxy=Sri Lanka</t>
        </is>
      </c>
    </row>
    <row r="854">
      <c r="A854" t="inlineStr">
        <is>
          <t>lk-colombo</t>
        </is>
      </c>
      <c r="B854" t="inlineStr">
        <is>
          <t>Colombo</t>
        </is>
      </c>
      <c r="C854" t="inlineStr">
        <is>
          <t>Sri Lanka</t>
        </is>
      </c>
      <c r="D854" t="inlineStr">
        <is>
          <t>South Asia</t>
        </is>
      </c>
      <c r="E854" t="inlineStr">
        <is>
          <t>personal_safety_raw</t>
        </is>
      </c>
      <c r="F854" t="inlineStr">
        <is>
          <t>Personal safety raw</t>
        </is>
      </c>
      <c r="G854" t="inlineStr">
        <is>
          <t>viability</t>
        </is>
      </c>
      <c r="H854" t="inlineStr">
        <is>
          <t>yes</t>
        </is>
      </c>
      <c r="I854" t="inlineStr">
        <is>
          <t>3.31</t>
        </is>
      </c>
      <c r="J854" t="inlineStr">
        <is>
          <t>world_bank</t>
        </is>
      </c>
      <c r="K854" t="inlineStr">
        <is>
          <t>https://api.worldbank.org/v2/country/LKA/indicator/VC.IHR.PSRC.P5?format=json&amp;mrv=10</t>
        </is>
      </c>
      <c r="L854" t="inlineStr">
        <is>
          <t>UNODC via World Bank WDI: Intentional homicides (per 100,000 people)</t>
        </is>
      </c>
      <c r="M854" t="inlineStr">
        <is>
          <t>2019-12-31</t>
        </is>
      </c>
      <c r="N854" t="inlineStr">
        <is>
          <t>auto_ingest=unodc_safety; indicator=VC.IHR.PSRC.P5; year=2019; country_proxy=Sri Lanka</t>
        </is>
      </c>
    </row>
    <row r="855">
      <c r="A855" t="inlineStr">
        <is>
          <t>lk-colombo</t>
        </is>
      </c>
      <c r="B855" t="inlineStr">
        <is>
          <t>Colombo</t>
        </is>
      </c>
      <c r="C855" t="inlineStr">
        <is>
          <t>Sri Lanka</t>
        </is>
      </c>
      <c r="D855" t="inlineStr">
        <is>
          <t>South Asia</t>
        </is>
      </c>
      <c r="E855" t="inlineStr">
        <is>
          <t>transit_access_commute_raw</t>
        </is>
      </c>
      <c r="F855" t="inlineStr">
        <is>
          <t>Transit access and commute raw</t>
        </is>
      </c>
      <c r="G855" t="inlineStr">
        <is>
          <t>viability</t>
        </is>
      </c>
      <c r="H855" t="inlineStr">
        <is>
          <t>yes</t>
        </is>
      </c>
      <c r="I855" t="inlineStr"/>
      <c r="J855" t="inlineStr"/>
      <c r="K855" t="inlineStr"/>
      <c r="L855" t="inlineStr"/>
      <c r="M855" t="inlineStr"/>
      <c r="N855" t="inlineStr"/>
    </row>
    <row r="856">
      <c r="A856" t="inlineStr">
        <is>
          <t>lk-colombo</t>
        </is>
      </c>
      <c r="B856" t="inlineStr">
        <is>
          <t>Colombo</t>
        </is>
      </c>
      <c r="C856" t="inlineStr">
        <is>
          <t>Sri Lanka</t>
        </is>
      </c>
      <c r="D856" t="inlineStr">
        <is>
          <t>South Asia</t>
        </is>
      </c>
      <c r="E856" t="inlineStr">
        <is>
          <t>clean_air_raw</t>
        </is>
      </c>
      <c r="F856" t="inlineStr">
        <is>
          <t>Clean air raw</t>
        </is>
      </c>
      <c r="G856" t="inlineStr">
        <is>
          <t>viability</t>
        </is>
      </c>
      <c r="H856" t="inlineStr">
        <is>
          <t>yes</t>
        </is>
      </c>
      <c r="I856" t="inlineStr"/>
      <c r="J856" t="inlineStr"/>
      <c r="K856" t="inlineStr"/>
      <c r="L856" t="inlineStr"/>
      <c r="M856" t="inlineStr"/>
      <c r="N856" t="inlineStr"/>
    </row>
    <row r="857">
      <c r="A857" t="inlineStr">
        <is>
          <t>lk-colombo</t>
        </is>
      </c>
      <c r="B857" t="inlineStr">
        <is>
          <t>Colombo</t>
        </is>
      </c>
      <c r="C857" t="inlineStr">
        <is>
          <t>Sri Lanka</t>
        </is>
      </c>
      <c r="D857" t="inlineStr">
        <is>
          <t>South Asia</t>
        </is>
      </c>
      <c r="E857" t="inlineStr">
        <is>
          <t>water_sanitation_utility_raw</t>
        </is>
      </c>
      <c r="F857" t="inlineStr">
        <is>
          <t>Water, sanitation, and utility raw</t>
        </is>
      </c>
      <c r="G857" t="inlineStr">
        <is>
          <t>viability</t>
        </is>
      </c>
      <c r="H857" t="inlineStr">
        <is>
          <t>yes</t>
        </is>
      </c>
      <c r="I857" t="inlineStr">
        <is>
          <t>46.93</t>
        </is>
      </c>
      <c r="J857" t="inlineStr">
        <is>
          <t>world_bank</t>
        </is>
      </c>
      <c r="K857" t="inlineStr">
        <is>
          <t>https://api.worldbank.org/v2/country/LKA/indicator/SH.H2O.SMDW.ZS?format=json&amp;mrv=10</t>
        </is>
      </c>
      <c r="L857" t="inlineStr">
        <is>
          <t>World Bank WDI: People using safely managed drinking water services (% of population)</t>
        </is>
      </c>
      <c r="M857" t="inlineStr">
        <is>
          <t>2024-12-31</t>
        </is>
      </c>
      <c r="N857" t="inlineStr">
        <is>
          <t>auto_ingest=world_bank_proxy; indicator=SH.H2O.SMDW.ZS; year=2024; country_proxy=Sri Lanka</t>
        </is>
      </c>
    </row>
    <row r="858">
      <c r="A858" t="inlineStr">
        <is>
          <t>lk-colombo</t>
        </is>
      </c>
      <c r="B858" t="inlineStr">
        <is>
          <t>Colombo</t>
        </is>
      </c>
      <c r="C858" t="inlineStr">
        <is>
          <t>Sri Lanka</t>
        </is>
      </c>
      <c r="D858" t="inlineStr">
        <is>
          <t>South Asia</t>
        </is>
      </c>
      <c r="E858" t="inlineStr">
        <is>
          <t>digital_infrastructure_raw</t>
        </is>
      </c>
      <c r="F858" t="inlineStr">
        <is>
          <t>Digital infrastructure raw</t>
        </is>
      </c>
      <c r="G858" t="inlineStr">
        <is>
          <t>viability</t>
        </is>
      </c>
      <c r="H858" t="inlineStr">
        <is>
          <t>yes</t>
        </is>
      </c>
      <c r="I858" t="inlineStr">
        <is>
          <t>8.77</t>
        </is>
      </c>
      <c r="J858" t="inlineStr">
        <is>
          <t>world_bank</t>
        </is>
      </c>
      <c r="K858" t="inlineStr">
        <is>
          <t>https://api.worldbank.org/v2/country/LKA/indicator/IT.NET.BBND.P2?format=json&amp;mrv=10</t>
        </is>
      </c>
      <c r="L858" t="inlineStr">
        <is>
          <t>World Bank WDI: Fixed broadband subscriptions (per 100 people)</t>
        </is>
      </c>
      <c r="M858" t="inlineStr">
        <is>
          <t>2023-12-31</t>
        </is>
      </c>
      <c r="N858" t="inlineStr">
        <is>
          <t>auto_ingest=world_bank_proxy; indicator=IT.NET.BBND.P2; year=2023; country_proxy=Sri Lanka</t>
        </is>
      </c>
    </row>
    <row r="859">
      <c r="A859" t="inlineStr">
        <is>
          <t>lk-colombo</t>
        </is>
      </c>
      <c r="B859" t="inlineStr">
        <is>
          <t>Colombo</t>
        </is>
      </c>
      <c r="C859" t="inlineStr">
        <is>
          <t>Sri Lanka</t>
        </is>
      </c>
      <c r="D859" t="inlineStr">
        <is>
          <t>South Asia</t>
        </is>
      </c>
      <c r="E859" t="inlineStr">
        <is>
          <t>climate_sunlight_livability_raw</t>
        </is>
      </c>
      <c r="F859" t="inlineStr">
        <is>
          <t>Climate and sunlight livability raw</t>
        </is>
      </c>
      <c r="G859" t="inlineStr">
        <is>
          <t>viability</t>
        </is>
      </c>
      <c r="H859" t="inlineStr">
        <is>
          <t>yes</t>
        </is>
      </c>
      <c r="I859" t="inlineStr"/>
      <c r="J859" t="inlineStr"/>
      <c r="K859" t="inlineStr"/>
      <c r="L859" t="inlineStr"/>
      <c r="M859" t="inlineStr"/>
      <c r="N859" t="inlineStr"/>
    </row>
    <row r="860">
      <c r="A860" t="inlineStr">
        <is>
          <t>lk-colombo</t>
        </is>
      </c>
      <c r="B860" t="inlineStr">
        <is>
          <t>Colombo</t>
        </is>
      </c>
      <c r="C860" t="inlineStr">
        <is>
          <t>Sri Lanka</t>
        </is>
      </c>
      <c r="D860" t="inlineStr">
        <is>
          <t>South Asia</t>
        </is>
      </c>
      <c r="E860" t="inlineStr">
        <is>
          <t>healthcare_quality_raw</t>
        </is>
      </c>
      <c r="F860" t="inlineStr">
        <is>
          <t>Healthcare quality raw</t>
        </is>
      </c>
      <c r="G860" t="inlineStr">
        <is>
          <t>capability</t>
        </is>
      </c>
      <c r="H860" t="inlineStr">
        <is>
          <t>yes</t>
        </is>
      </c>
      <c r="I860" t="inlineStr">
        <is>
          <t>72.0</t>
        </is>
      </c>
      <c r="J860" t="inlineStr">
        <is>
          <t>who_gho</t>
        </is>
      </c>
      <c r="K860" t="inlineStr">
        <is>
          <t>https://www.who.int/data/gho/data/indicators/indicator-details/GHO/UHC_INDEX_REPORTED</t>
        </is>
      </c>
      <c r="L860" t="inlineStr">
        <is>
          <t>WHO GHO: UHC Service Coverage Index</t>
        </is>
      </c>
      <c r="M860" t="inlineStr">
        <is>
          <t>2023-12-31</t>
        </is>
      </c>
      <c r="N860" t="inlineStr">
        <is>
          <t>auto_ingest=who_gho; indicator=UHC_INDEX_REPORTED; year=2023; country_proxy=Sri Lanka</t>
        </is>
      </c>
    </row>
    <row r="861">
      <c r="A861" t="inlineStr">
        <is>
          <t>lk-colombo</t>
        </is>
      </c>
      <c r="B861" t="inlineStr">
        <is>
          <t>Colombo</t>
        </is>
      </c>
      <c r="C861" t="inlineStr">
        <is>
          <t>Sri Lanka</t>
        </is>
      </c>
      <c r="D861" t="inlineStr">
        <is>
          <t>South Asia</t>
        </is>
      </c>
      <c r="E861" t="inlineStr">
        <is>
          <t>education_quality_raw</t>
        </is>
      </c>
      <c r="F861" t="inlineStr">
        <is>
          <t>Education quality raw</t>
        </is>
      </c>
      <c r="G861" t="inlineStr">
        <is>
          <t>capability</t>
        </is>
      </c>
      <c r="H861" t="inlineStr">
        <is>
          <t>yes</t>
        </is>
      </c>
      <c r="I861" t="inlineStr">
        <is>
          <t>20.74</t>
        </is>
      </c>
      <c r="J861" t="inlineStr">
        <is>
          <t>world_bank</t>
        </is>
      </c>
      <c r="K861" t="inlineStr">
        <is>
          <t>https://api.worldbank.org/v2/country/LKA/indicator/SE.TER.ENRR?format=json&amp;mrv=10</t>
        </is>
      </c>
      <c r="L861" t="inlineStr">
        <is>
          <t>World Bank WDI: School enrollment, tertiary (% gross)</t>
        </is>
      </c>
      <c r="M861" t="inlineStr">
        <is>
          <t>2023-12-31</t>
        </is>
      </c>
      <c r="N861" t="inlineStr">
        <is>
          <t>auto_ingest=world_bank_proxy; indicator=SE.TER.ENRR; year=2023; country_proxy=Sri Lanka</t>
        </is>
      </c>
    </row>
    <row r="862">
      <c r="A862" t="inlineStr">
        <is>
          <t>lk-colombo</t>
        </is>
      </c>
      <c r="B862" t="inlineStr">
        <is>
          <t>Colombo</t>
        </is>
      </c>
      <c r="C862" t="inlineStr">
        <is>
          <t>Sri Lanka</t>
        </is>
      </c>
      <c r="D862" t="inlineStr">
        <is>
          <t>South Asia</t>
        </is>
      </c>
      <c r="E862" t="inlineStr">
        <is>
          <t>equal_opportunity_raw</t>
        </is>
      </c>
      <c r="F862" t="inlineStr">
        <is>
          <t>Equal opportunity raw</t>
        </is>
      </c>
      <c r="G862" t="inlineStr">
        <is>
          <t>capability</t>
        </is>
      </c>
      <c r="H862" t="inlineStr">
        <is>
          <t>yes</t>
        </is>
      </c>
      <c r="I862" t="inlineStr">
        <is>
          <t>37.7</t>
        </is>
      </c>
      <c r="J862" t="inlineStr">
        <is>
          <t>world_bank</t>
        </is>
      </c>
      <c r="K862" t="inlineStr">
        <is>
          <t>https://api.worldbank.org/v2/country/LKA/indicator/SI.POV.GINI?format=json&amp;mrv=10</t>
        </is>
      </c>
      <c r="L862" t="inlineStr">
        <is>
          <t>World Bank WDI: Gini index</t>
        </is>
      </c>
      <c r="M862" t="inlineStr">
        <is>
          <t>2019-12-31</t>
        </is>
      </c>
      <c r="N862" t="inlineStr">
        <is>
          <t>auto_ingest=world_bank_capability; indicator=SI.POV.GINI; year=2019; country_proxy=Sri Lanka</t>
        </is>
      </c>
    </row>
    <row r="863">
      <c r="A863" t="inlineStr">
        <is>
          <t>lk-colombo</t>
        </is>
      </c>
      <c r="B863" t="inlineStr">
        <is>
          <t>Colombo</t>
        </is>
      </c>
      <c r="C863" t="inlineStr">
        <is>
          <t>Sri Lanka</t>
        </is>
      </c>
      <c r="D863" t="inlineStr">
        <is>
          <t>South Asia</t>
        </is>
      </c>
      <c r="E863" t="inlineStr">
        <is>
          <t>hospitality_belonging_raw</t>
        </is>
      </c>
      <c r="F863" t="inlineStr">
        <is>
          <t>Hospitality and belonging raw</t>
        </is>
      </c>
      <c r="G863" t="inlineStr">
        <is>
          <t>community</t>
        </is>
      </c>
      <c r="H863" t="inlineStr">
        <is>
          <t>yes</t>
        </is>
      </c>
      <c r="I863" t="inlineStr">
        <is>
          <t>48.6</t>
        </is>
      </c>
      <c r="J863" t="inlineStr">
        <is>
          <t>world_bank</t>
        </is>
      </c>
      <c r="K863" t="inlineStr">
        <is>
          <t>https://api.worldbank.org/v2/country/LKA/indicator/SM.POP.NETM?format=json&amp;mrv=10</t>
        </is>
      </c>
      <c r="L863" t="inlineStr">
        <is>
          <t>World Bank WDI: Net migration (proxy for hospitality/belonging — positive = welcoming)</t>
        </is>
      </c>
      <c r="M863" t="inlineStr">
        <is>
          <t>2025-12-31</t>
        </is>
      </c>
      <c r="N863" t="inlineStr">
        <is>
          <t>auto_ingest=world_bank_proxy; proxy=net_migration_hospitality; indicator=SM.POP.NETM; year=2025; country_proxy=Sri Lanka</t>
        </is>
      </c>
    </row>
    <row r="864">
      <c r="A864" t="inlineStr">
        <is>
          <t>lk-colombo</t>
        </is>
      </c>
      <c r="B864" t="inlineStr">
        <is>
          <t>Colombo</t>
        </is>
      </c>
      <c r="C864" t="inlineStr">
        <is>
          <t>Sri Lanka</t>
        </is>
      </c>
      <c r="D864" t="inlineStr">
        <is>
          <t>South Asia</t>
        </is>
      </c>
      <c r="E864" t="inlineStr">
        <is>
          <t>tolerance_pluralism_raw</t>
        </is>
      </c>
      <c r="F864" t="inlineStr">
        <is>
          <t>Tolerance and pluralism raw</t>
        </is>
      </c>
      <c r="G864" t="inlineStr">
        <is>
          <t>community</t>
        </is>
      </c>
      <c r="H864" t="inlineStr">
        <is>
          <t>yes</t>
        </is>
      </c>
      <c r="I864" t="inlineStr">
        <is>
          <t>10.0</t>
        </is>
      </c>
      <c r="J864" t="inlineStr">
        <is>
          <t>world_bank</t>
        </is>
      </c>
      <c r="K864" t="inlineStr">
        <is>
          <t>https://api.worldbank.org/v2/country/LKA/indicator/SG.GEN.PARL.ZS?format=json&amp;mrv=10</t>
        </is>
      </c>
      <c r="L864" t="inlineStr">
        <is>
          <t>World Bank WDI: Proportion of seats held by women in national parliaments (%)</t>
        </is>
      </c>
      <c r="M864" t="inlineStr">
        <is>
          <t>2024-12-31</t>
        </is>
      </c>
      <c r="N864" t="inlineStr">
        <is>
          <t>auto_ingest=world_bank_proxy; proxy=gender_parity_parliament; indicator=SG.GEN.PARL.ZS; year=2024; country_proxy=Sri Lanka</t>
        </is>
      </c>
    </row>
    <row r="865">
      <c r="A865" t="inlineStr">
        <is>
          <t>lk-colombo</t>
        </is>
      </c>
      <c r="B865" t="inlineStr">
        <is>
          <t>Colombo</t>
        </is>
      </c>
      <c r="C865" t="inlineStr">
        <is>
          <t>Sri Lanka</t>
        </is>
      </c>
      <c r="D865" t="inlineStr">
        <is>
          <t>South Asia</t>
        </is>
      </c>
      <c r="E865" t="inlineStr">
        <is>
          <t>cultural_public_life_raw</t>
        </is>
      </c>
      <c r="F865" t="inlineStr">
        <is>
          <t>Cultural public life raw</t>
        </is>
      </c>
      <c r="G865" t="inlineStr">
        <is>
          <t>community</t>
        </is>
      </c>
      <c r="H865" t="inlineStr">
        <is>
          <t>yes</t>
        </is>
      </c>
      <c r="I865" t="inlineStr">
        <is>
          <t>24.64</t>
        </is>
      </c>
      <c r="J865" t="inlineStr">
        <is>
          <t>world_bank</t>
        </is>
      </c>
      <c r="K865" t="inlineStr">
        <is>
          <t>https://api.worldbank.org/v2/country/LKA/indicator/ST.INT.ARVL?format=json&amp;mrv=10</t>
        </is>
      </c>
      <c r="L865" t="inlineStr">
        <is>
          <t>World Bank WDI: International tourism arrivals per 1 000 population</t>
        </is>
      </c>
      <c r="M865" t="inlineStr">
        <is>
          <t>2020-12-31</t>
        </is>
      </c>
      <c r="N865" t="inlineStr">
        <is>
          <t>auto_ingest=cultural_life_proxy; indicator=ST.INT.ARVL; norm=per_1000_pop; year=2020; country_proxy=Sri Lanka</t>
        </is>
      </c>
    </row>
    <row r="866">
      <c r="A866" t="inlineStr">
        <is>
          <t>lk-colombo</t>
        </is>
      </c>
      <c r="B866" t="inlineStr">
        <is>
          <t>Colombo</t>
        </is>
      </c>
      <c r="C866" t="inlineStr">
        <is>
          <t>Sri Lanka</t>
        </is>
      </c>
      <c r="D866" t="inlineStr">
        <is>
          <t>South Asia</t>
        </is>
      </c>
      <c r="E866" t="inlineStr">
        <is>
          <t>birth_rate_optimism_raw</t>
        </is>
      </c>
      <c r="F866" t="inlineStr">
        <is>
          <t>Birth rate and societal optimism raw</t>
        </is>
      </c>
      <c r="G866" t="inlineStr">
        <is>
          <t>community</t>
        </is>
      </c>
      <c r="H866" t="inlineStr">
        <is>
          <t>yes</t>
        </is>
      </c>
      <c r="I866" t="inlineStr">
        <is>
          <t>1.99</t>
        </is>
      </c>
      <c r="J866" t="inlineStr">
        <is>
          <t>world_bank</t>
        </is>
      </c>
      <c r="K866" t="inlineStr">
        <is>
          <t>https://data.worldbank.org/indicator/SP.DYN.TFRT.IN</t>
        </is>
      </c>
      <c r="L866" t="inlineStr">
        <is>
          <t>World Bank Total Fertility Rate 2023</t>
        </is>
      </c>
      <c r="M866" t="inlineStr">
        <is>
          <t>2024-01-01</t>
        </is>
      </c>
      <c r="N866" t="inlineStr"/>
    </row>
    <row r="867">
      <c r="A867" t="inlineStr">
        <is>
          <t>lk-colombo</t>
        </is>
      </c>
      <c r="B867" t="inlineStr">
        <is>
          <t>Colombo</t>
        </is>
      </c>
      <c r="C867" t="inlineStr">
        <is>
          <t>Sri Lanka</t>
        </is>
      </c>
      <c r="D867" t="inlineStr">
        <is>
          <t>South Asia</t>
        </is>
      </c>
      <c r="E867" t="inlineStr">
        <is>
          <t>entrepreneurial_dynamism_raw</t>
        </is>
      </c>
      <c r="F867" t="inlineStr">
        <is>
          <t>Entrepreneurial dynamism raw</t>
        </is>
      </c>
      <c r="G867" t="inlineStr">
        <is>
          <t>creative</t>
        </is>
      </c>
      <c r="H867" t="inlineStr">
        <is>
          <t>yes</t>
        </is>
      </c>
      <c r="I867" t="inlineStr">
        <is>
          <t>1.2</t>
        </is>
      </c>
      <c r="J867" t="inlineStr">
        <is>
          <t>world_bank</t>
        </is>
      </c>
      <c r="K867" t="inlineStr">
        <is>
          <t>https://api.worldbank.org/v2/country/LKA/indicator/IC.BUS.NDNS.ZS?format=json&amp;mrv=10</t>
        </is>
      </c>
      <c r="L867" t="inlineStr">
        <is>
          <t>World Bank WDI: New business density (new registrations per 1,000 people ages 15-64)</t>
        </is>
      </c>
      <c r="M867" t="inlineStr">
        <is>
          <t>2022-12-31</t>
        </is>
      </c>
      <c r="N867" t="inlineStr">
        <is>
          <t>auto_ingest=world_bank_creative_extended; indicator=IC.BUS.NDNS.ZS; year=2022; country_proxy=Sri Lanka</t>
        </is>
      </c>
    </row>
    <row r="868">
      <c r="A868" t="inlineStr">
        <is>
          <t>lk-colombo</t>
        </is>
      </c>
      <c r="B868" t="inlineStr">
        <is>
          <t>Colombo</t>
        </is>
      </c>
      <c r="C868" t="inlineStr">
        <is>
          <t>Sri Lanka</t>
        </is>
      </c>
      <c r="D868" t="inlineStr">
        <is>
          <t>South Asia</t>
        </is>
      </c>
      <c r="E868" t="inlineStr">
        <is>
          <t>innovation_research_intensity_raw</t>
        </is>
      </c>
      <c r="F868" t="inlineStr">
        <is>
          <t>Innovation and research raw</t>
        </is>
      </c>
      <c r="G868" t="inlineStr">
        <is>
          <t>creative</t>
        </is>
      </c>
      <c r="H868" t="inlineStr">
        <is>
          <t>yes</t>
        </is>
      </c>
      <c r="I868" t="inlineStr">
        <is>
          <t>0.11</t>
        </is>
      </c>
      <c r="J868" t="inlineStr">
        <is>
          <t>world_bank</t>
        </is>
      </c>
      <c r="K868" t="inlineStr">
        <is>
          <t>https://api.worldbank.org/v2/country/LKA/indicator/GB.XPD.RSDV.GD.ZS?format=json&amp;mrv=10</t>
        </is>
      </c>
      <c r="L868" t="inlineStr">
        <is>
          <t>World Bank WDI: Research and development expenditure (% of GDP)</t>
        </is>
      </c>
      <c r="M868" t="inlineStr">
        <is>
          <t>2022-12-31</t>
        </is>
      </c>
      <c r="N868" t="inlineStr">
        <is>
          <t>auto_ingest=world_bank_creative_extended; indicator=GB.XPD.RSDV.GD.ZS; year=2022; country_proxy=Sri Lanka</t>
        </is>
      </c>
    </row>
    <row r="869">
      <c r="A869" t="inlineStr">
        <is>
          <t>lk-colombo</t>
        </is>
      </c>
      <c r="B869" t="inlineStr">
        <is>
          <t>Colombo</t>
        </is>
      </c>
      <c r="C869" t="inlineStr">
        <is>
          <t>Sri Lanka</t>
        </is>
      </c>
      <c r="D869" t="inlineStr">
        <is>
          <t>South Asia</t>
        </is>
      </c>
      <c r="E869" t="inlineStr">
        <is>
          <t>investment_signal_raw</t>
        </is>
      </c>
      <c r="F869" t="inlineStr">
        <is>
          <t>Investment signal raw</t>
        </is>
      </c>
      <c r="G869" t="inlineStr">
        <is>
          <t>creative</t>
        </is>
      </c>
      <c r="H869" t="inlineStr">
        <is>
          <t>yes</t>
        </is>
      </c>
      <c r="I869" t="inlineStr">
        <is>
          <t>0.77</t>
        </is>
      </c>
      <c r="J869" t="inlineStr">
        <is>
          <t>world_bank</t>
        </is>
      </c>
      <c r="K869" t="inlineStr">
        <is>
          <t>https://api.worldbank.org/v2/country/LKA/indicator/BX.KLT.DINV.WD.GD.ZS?format=json&amp;mrv=10</t>
        </is>
      </c>
      <c r="L869" t="inlineStr">
        <is>
          <t>World Bank WDI: Foreign direct investment, net inflows (% of GDP)</t>
        </is>
      </c>
      <c r="M869" t="inlineStr">
        <is>
          <t>2024-12-31</t>
        </is>
      </c>
      <c r="N869" t="inlineStr">
        <is>
          <t>auto_ingest=world_bank_creative_extended; indicator=BX.KLT.DINV.WD.GD.ZS; year=2024; country_proxy=Sri Lanka</t>
        </is>
      </c>
    </row>
    <row r="870">
      <c r="A870" t="inlineStr">
        <is>
          <t>lk-colombo</t>
        </is>
      </c>
      <c r="B870" t="inlineStr">
        <is>
          <t>Colombo</t>
        </is>
      </c>
      <c r="C870" t="inlineStr">
        <is>
          <t>Sri Lanka</t>
        </is>
      </c>
      <c r="D870" t="inlineStr">
        <is>
          <t>South Asia</t>
        </is>
      </c>
      <c r="E870" t="inlineStr">
        <is>
          <t>administrative_investment_friction_raw</t>
        </is>
      </c>
      <c r="F870" t="inlineStr">
        <is>
          <t>Administrative investment friction raw</t>
        </is>
      </c>
      <c r="G870" t="inlineStr">
        <is>
          <t>creative</t>
        </is>
      </c>
      <c r="H870" t="inlineStr">
        <is>
          <t>yes</t>
        </is>
      </c>
      <c r="I870" t="inlineStr">
        <is>
          <t>3.01</t>
        </is>
      </c>
      <c r="J870" t="inlineStr">
        <is>
          <t>world_bank</t>
        </is>
      </c>
      <c r="K870" t="inlineStr">
        <is>
          <t>https://api.worldbank.org/v2/country/LKA/indicator/RQ.EST?format=json&amp;mrv=10</t>
        </is>
      </c>
      <c r="L870" t="inlineStr">
        <is>
          <t>World Bank WGI: Regulatory Quality (inverted as friction proxy)</t>
        </is>
      </c>
      <c r="M870" t="inlineStr">
        <is>
          <t>2023-12-31</t>
        </is>
      </c>
      <c r="N870" t="inlineStr">
        <is>
          <t>auto_ingest=world_bank_business_friction; indicator=RQ.EST; raw_rq=-0.507761836051941; friction=3.01; year=2023; country_proxy=Sri Lanka</t>
        </is>
      </c>
    </row>
    <row r="871">
      <c r="A871" t="inlineStr">
        <is>
          <t>lk-colombo</t>
        </is>
      </c>
      <c r="B871" t="inlineStr">
        <is>
          <t>Colombo</t>
        </is>
      </c>
      <c r="C871" t="inlineStr">
        <is>
          <t>Sri Lanka</t>
        </is>
      </c>
      <c r="D871" t="inlineStr">
        <is>
          <t>South Asia</t>
        </is>
      </c>
      <c r="E871" t="inlineStr">
        <is>
          <t>visitor_flow_context_raw</t>
        </is>
      </c>
      <c r="F871" t="inlineStr">
        <is>
          <t>Visitor flow context raw</t>
        </is>
      </c>
      <c r="G871" t="inlineStr">
        <is>
          <t>creative</t>
        </is>
      </c>
      <c r="H871" t="inlineStr">
        <is>
          <t>no</t>
        </is>
      </c>
      <c r="I871" t="inlineStr"/>
      <c r="J871" t="inlineStr"/>
      <c r="K871" t="inlineStr"/>
      <c r="L871" t="inlineStr"/>
      <c r="M871" t="inlineStr"/>
      <c r="N871" t="inlineStr"/>
    </row>
    <row r="872">
      <c r="A872" t="inlineStr">
        <is>
          <t>bd-dhaka</t>
        </is>
      </c>
      <c r="B872" t="inlineStr">
        <is>
          <t>Dhaka</t>
        </is>
      </c>
      <c r="C872" t="inlineStr">
        <is>
          <t>Bangladesh</t>
        </is>
      </c>
      <c r="D872" t="inlineStr">
        <is>
          <t>South Asia</t>
        </is>
      </c>
      <c r="E872" t="inlineStr">
        <is>
          <t>gross_income</t>
        </is>
      </c>
      <c r="F872" t="inlineStr">
        <is>
          <t>Gross income</t>
        </is>
      </c>
      <c r="G872" t="inlineStr">
        <is>
          <t>pressure</t>
        </is>
      </c>
      <c r="H872" t="inlineStr">
        <is>
          <t>yes</t>
        </is>
      </c>
      <c r="I872" t="inlineStr">
        <is>
          <t>838.33</t>
        </is>
      </c>
      <c r="J872" t="inlineStr">
        <is>
          <t>world_bank_col_estimate</t>
        </is>
      </c>
      <c r="K872" t="inlineStr">
        <is>
          <t>https://api.worldbank.org/v2/country/BGD/indicator/NY.GNP.PCAP.PP.CD?format=json&amp;mrv=10</t>
        </is>
      </c>
      <c r="L872" t="inlineStr">
        <is>
          <t>World Bank WDI: GNI per capita PPP (monthly USD)</t>
        </is>
      </c>
      <c r="M872" t="inlineStr">
        <is>
          <t>2024-12-31</t>
        </is>
      </c>
      <c r="N872" t="inlineStr">
        <is>
          <t>auto_ingest=world_bank_col_estimate; gni_annual=10060.0; year=2024; country_proxy=Bangladesh; cohort=South Asia</t>
        </is>
      </c>
    </row>
    <row r="873">
      <c r="A873" t="inlineStr">
        <is>
          <t>bd-dhaka</t>
        </is>
      </c>
      <c r="B873" t="inlineStr">
        <is>
          <t>Dhaka</t>
        </is>
      </c>
      <c r="C873" t="inlineStr">
        <is>
          <t>Bangladesh</t>
        </is>
      </c>
      <c r="D873" t="inlineStr">
        <is>
          <t>South Asia</t>
        </is>
      </c>
      <c r="E873" t="inlineStr">
        <is>
          <t>di_ppp_raw</t>
        </is>
      </c>
      <c r="F873" t="inlineStr">
        <is>
          <t>Disposable income PPP (Raw)</t>
        </is>
      </c>
      <c r="G873" t="inlineStr">
        <is>
          <t>pressure</t>
        </is>
      </c>
      <c r="H873" t="inlineStr">
        <is>
          <t>yes</t>
        </is>
      </c>
      <c r="I873" t="inlineStr"/>
      <c r="J873" t="inlineStr"/>
      <c r="K873" t="inlineStr"/>
      <c r="L873" t="inlineStr"/>
      <c r="M873" t="inlineStr"/>
      <c r="N873" t="inlineStr"/>
    </row>
    <row r="874">
      <c r="A874" t="inlineStr">
        <is>
          <t>bd-dhaka</t>
        </is>
      </c>
      <c r="B874" t="inlineStr">
        <is>
          <t>Dhaka</t>
        </is>
      </c>
      <c r="C874" t="inlineStr">
        <is>
          <t>Bangladesh</t>
        </is>
      </c>
      <c r="D874" t="inlineStr">
        <is>
          <t>South Asia</t>
        </is>
      </c>
      <c r="E874" t="inlineStr">
        <is>
          <t>rent</t>
        </is>
      </c>
      <c r="F874" t="inlineStr">
        <is>
          <t>Rent</t>
        </is>
      </c>
      <c r="G874" t="inlineStr">
        <is>
          <t>pressure</t>
        </is>
      </c>
      <c r="H874" t="inlineStr">
        <is>
          <t>yes</t>
        </is>
      </c>
      <c r="I874" t="inlineStr">
        <is>
          <t>125.75</t>
        </is>
      </c>
      <c r="J874" t="inlineStr">
        <is>
          <t>world_bank_col_estimate</t>
        </is>
      </c>
      <c r="K874" t="inlineStr">
        <is>
          <t>https://api.worldbank.org/v2/country/BGD/indicator/NY.GNP.PCAP.PP.CD?format=json&amp;mrv=10</t>
        </is>
      </c>
      <c r="L874" t="inlineStr">
        <is>
          <t>World Bank GNI + regional expenditure ratio estimate</t>
        </is>
      </c>
      <c r="M874" t="inlineStr">
        <is>
          <t>2024-12-31</t>
        </is>
      </c>
      <c r="N874" t="inlineStr">
        <is>
          <t>auto_ingest=world_bank_col_estimate; gni_annual=10060.0; year=2024; country_proxy=Bangladesh; cohort=South Asia</t>
        </is>
      </c>
    </row>
    <row r="875">
      <c r="A875" t="inlineStr">
        <is>
          <t>bd-dhaka</t>
        </is>
      </c>
      <c r="B875" t="inlineStr">
        <is>
          <t>Dhaka</t>
        </is>
      </c>
      <c r="C875" t="inlineStr">
        <is>
          <t>Bangladesh</t>
        </is>
      </c>
      <c r="D875" t="inlineStr">
        <is>
          <t>South Asia</t>
        </is>
      </c>
      <c r="E875" t="inlineStr">
        <is>
          <t>utilities</t>
        </is>
      </c>
      <c r="F875" t="inlineStr">
        <is>
          <t>Utilities</t>
        </is>
      </c>
      <c r="G875" t="inlineStr">
        <is>
          <t>pressure</t>
        </is>
      </c>
      <c r="H875" t="inlineStr">
        <is>
          <t>yes</t>
        </is>
      </c>
      <c r="I875" t="inlineStr">
        <is>
          <t>41.92</t>
        </is>
      </c>
      <c r="J875" t="inlineStr">
        <is>
          <t>world_bank_col_estimate</t>
        </is>
      </c>
      <c r="K875" t="inlineStr">
        <is>
          <t>https://api.worldbank.org/v2/country/BGD/indicator/NY.GNP.PCAP.PP.CD?format=json&amp;mrv=10</t>
        </is>
      </c>
      <c r="L875" t="inlineStr">
        <is>
          <t>World Bank GNI + regional expenditure ratio estimate</t>
        </is>
      </c>
      <c r="M875" t="inlineStr">
        <is>
          <t>2024-12-31</t>
        </is>
      </c>
      <c r="N875" t="inlineStr">
        <is>
          <t>auto_ingest=world_bank_col_estimate; gni_annual=10060.0; year=2024; country_proxy=Bangladesh; cohort=South Asia</t>
        </is>
      </c>
    </row>
    <row r="876">
      <c r="A876" t="inlineStr">
        <is>
          <t>bd-dhaka</t>
        </is>
      </c>
      <c r="B876" t="inlineStr">
        <is>
          <t>Dhaka</t>
        </is>
      </c>
      <c r="C876" t="inlineStr">
        <is>
          <t>Bangladesh</t>
        </is>
      </c>
      <c r="D876" t="inlineStr">
        <is>
          <t>South Asia</t>
        </is>
      </c>
      <c r="E876" t="inlineStr">
        <is>
          <t>transit_cost</t>
        </is>
      </c>
      <c r="F876" t="inlineStr">
        <is>
          <t>Transit cost</t>
        </is>
      </c>
      <c r="G876" t="inlineStr">
        <is>
          <t>pressure</t>
        </is>
      </c>
      <c r="H876" t="inlineStr">
        <is>
          <t>yes</t>
        </is>
      </c>
      <c r="I876" t="inlineStr">
        <is>
          <t>25.15</t>
        </is>
      </c>
      <c r="J876" t="inlineStr">
        <is>
          <t>world_bank_col_estimate</t>
        </is>
      </c>
      <c r="K876" t="inlineStr">
        <is>
          <t>https://api.worldbank.org/v2/country/BGD/indicator/NY.GNP.PCAP.PP.CD?format=json&amp;mrv=10</t>
        </is>
      </c>
      <c r="L876" t="inlineStr">
        <is>
          <t>World Bank GNI + regional expenditure ratio estimate</t>
        </is>
      </c>
      <c r="M876" t="inlineStr">
        <is>
          <t>2024-12-31</t>
        </is>
      </c>
      <c r="N876" t="inlineStr">
        <is>
          <t>auto_ingest=world_bank_col_estimate; gni_annual=10060.0; year=2024; country_proxy=Bangladesh; cohort=South Asia</t>
        </is>
      </c>
    </row>
    <row r="877">
      <c r="A877" t="inlineStr">
        <is>
          <t>bd-dhaka</t>
        </is>
      </c>
      <c r="B877" t="inlineStr">
        <is>
          <t>Dhaka</t>
        </is>
      </c>
      <c r="C877" t="inlineStr">
        <is>
          <t>Bangladesh</t>
        </is>
      </c>
      <c r="D877" t="inlineStr">
        <is>
          <t>South Asia</t>
        </is>
      </c>
      <c r="E877" t="inlineStr">
        <is>
          <t>internet_cost</t>
        </is>
      </c>
      <c r="F877" t="inlineStr">
        <is>
          <t>Internet cost</t>
        </is>
      </c>
      <c r="G877" t="inlineStr">
        <is>
          <t>pressure</t>
        </is>
      </c>
      <c r="H877" t="inlineStr">
        <is>
          <t>yes</t>
        </is>
      </c>
      <c r="I877" t="inlineStr">
        <is>
          <t>8.38</t>
        </is>
      </c>
      <c r="J877" t="inlineStr">
        <is>
          <t>world_bank_col_estimate</t>
        </is>
      </c>
      <c r="K877" t="inlineStr">
        <is>
          <t>https://api.worldbank.org/v2/country/BGD/indicator/NY.GNP.PCAP.PP.CD?format=json&amp;mrv=10</t>
        </is>
      </c>
      <c r="L877" t="inlineStr">
        <is>
          <t>World Bank GNI + regional expenditure ratio estimate</t>
        </is>
      </c>
      <c r="M877" t="inlineStr">
        <is>
          <t>2024-12-31</t>
        </is>
      </c>
      <c r="N877" t="inlineStr">
        <is>
          <t>auto_ingest=world_bank_col_estimate; gni_annual=10060.0; year=2024; country_proxy=Bangladesh; cohort=South Asia</t>
        </is>
      </c>
    </row>
    <row r="878">
      <c r="A878" t="inlineStr">
        <is>
          <t>bd-dhaka</t>
        </is>
      </c>
      <c r="B878" t="inlineStr">
        <is>
          <t>Dhaka</t>
        </is>
      </c>
      <c r="C878" t="inlineStr">
        <is>
          <t>Bangladesh</t>
        </is>
      </c>
      <c r="D878" t="inlineStr">
        <is>
          <t>South Asia</t>
        </is>
      </c>
      <c r="E878" t="inlineStr">
        <is>
          <t>food_cost</t>
        </is>
      </c>
      <c r="F878" t="inlineStr">
        <is>
          <t>Food cost</t>
        </is>
      </c>
      <c r="G878" t="inlineStr">
        <is>
          <t>pressure</t>
        </is>
      </c>
      <c r="H878" t="inlineStr">
        <is>
          <t>yes</t>
        </is>
      </c>
      <c r="I878" t="inlineStr">
        <is>
          <t>209.58</t>
        </is>
      </c>
      <c r="J878" t="inlineStr">
        <is>
          <t>world_bank_col_estimate</t>
        </is>
      </c>
      <c r="K878" t="inlineStr">
        <is>
          <t>https://api.worldbank.org/v2/country/BGD/indicator/NY.GNP.PCAP.PP.CD?format=json&amp;mrv=10</t>
        </is>
      </c>
      <c r="L878" t="inlineStr">
        <is>
          <t>World Bank GNI + regional expenditure ratio estimate</t>
        </is>
      </c>
      <c r="M878" t="inlineStr">
        <is>
          <t>2024-12-31</t>
        </is>
      </c>
      <c r="N878" t="inlineStr">
        <is>
          <t>auto_ingest=world_bank_col_estimate; gni_annual=10060.0; year=2024; country_proxy=Bangladesh; cohort=South Asia</t>
        </is>
      </c>
    </row>
    <row r="879">
      <c r="A879" t="inlineStr">
        <is>
          <t>bd-dhaka</t>
        </is>
      </c>
      <c r="B879" t="inlineStr">
        <is>
          <t>Dhaka</t>
        </is>
      </c>
      <c r="C879" t="inlineStr">
        <is>
          <t>Bangladesh</t>
        </is>
      </c>
      <c r="D879" t="inlineStr">
        <is>
          <t>South Asia</t>
        </is>
      </c>
      <c r="E879" t="inlineStr">
        <is>
          <t>housing_burden_raw</t>
        </is>
      </c>
      <c r="F879" t="inlineStr">
        <is>
          <t>Housing burden raw</t>
        </is>
      </c>
      <c r="G879" t="inlineStr">
        <is>
          <t>pressure</t>
        </is>
      </c>
      <c r="H879" t="inlineStr">
        <is>
          <t>yes</t>
        </is>
      </c>
      <c r="I879" t="inlineStr">
        <is>
          <t>15.0001</t>
        </is>
      </c>
      <c r="J879" t="inlineStr">
        <is>
          <t>derived</t>
        </is>
      </c>
      <c r="K879" t="inlineStr">
        <is>
          <t>https://data.worldbank.org/indicator/NY.GNP.PCAP.PP.CD</t>
        </is>
      </c>
      <c r="L879" t="inlineStr">
        <is>
          <t>Computed from city_inputs + country_context</t>
        </is>
      </c>
      <c r="M879" t="inlineStr">
        <is>
          <t>2024-01-01</t>
        </is>
      </c>
      <c r="N879" t="inlineStr">
        <is>
          <t>derived=rent/gross_income*100</t>
        </is>
      </c>
    </row>
    <row r="880">
      <c r="A880" t="inlineStr">
        <is>
          <t>bd-dhaka</t>
        </is>
      </c>
      <c r="B880" t="inlineStr">
        <is>
          <t>Dhaka</t>
        </is>
      </c>
      <c r="C880" t="inlineStr">
        <is>
          <t>Bangladesh</t>
        </is>
      </c>
      <c r="D880" t="inlineStr">
        <is>
          <t>South Asia</t>
        </is>
      </c>
      <c r="E880" t="inlineStr">
        <is>
          <t>household_debt_burden_raw</t>
        </is>
      </c>
      <c r="F880" t="inlineStr">
        <is>
          <t>Household debt burden raw</t>
        </is>
      </c>
      <c r="G880" t="inlineStr">
        <is>
          <t>pressure</t>
        </is>
      </c>
      <c r="H880" t="inlineStr">
        <is>
          <t>yes</t>
        </is>
      </c>
      <c r="I880" t="inlineStr">
        <is>
          <t>35.7061</t>
        </is>
      </c>
      <c r="J880" t="inlineStr">
        <is>
          <t>derived</t>
        </is>
      </c>
      <c r="K880" t="inlineStr">
        <is>
          <t>https://data.worldbank.org/indicator/NY.GNP.PCAP.PP.CD</t>
        </is>
      </c>
      <c r="L880" t="inlineStr">
        <is>
          <t>Computed from city_inputs + country_context</t>
        </is>
      </c>
      <c r="M880" t="inlineStr">
        <is>
          <t>2024-01-01</t>
        </is>
      </c>
      <c r="N880" t="inlineStr">
        <is>
          <t>derived=country_context.household_debt_proxy; country=Bangladesh</t>
        </is>
      </c>
    </row>
    <row r="881">
      <c r="A881" t="inlineStr">
        <is>
          <t>bd-dhaka</t>
        </is>
      </c>
      <c r="B881" t="inlineStr">
        <is>
          <t>Dhaka</t>
        </is>
      </c>
      <c r="C881" t="inlineStr">
        <is>
          <t>Bangladesh</t>
        </is>
      </c>
      <c r="D881" t="inlineStr">
        <is>
          <t>South Asia</t>
        </is>
      </c>
      <c r="E881" t="inlineStr">
        <is>
          <t>working_time_pressure_raw</t>
        </is>
      </c>
      <c r="F881" t="inlineStr">
        <is>
          <t>Working time pressure raw</t>
        </is>
      </c>
      <c r="G881" t="inlineStr">
        <is>
          <t>pressure</t>
        </is>
      </c>
      <c r="H881" t="inlineStr">
        <is>
          <t>yes</t>
        </is>
      </c>
      <c r="I881" t="inlineStr">
        <is>
          <t>46.73</t>
        </is>
      </c>
      <c r="J881" t="inlineStr">
        <is>
          <t>ilo_ilostat</t>
        </is>
      </c>
      <c r="K881" t="inlineStr">
        <is>
          <t>https://ilostat.ilo.org/data/indicator/?id=HOW_TEMP_SEX_ECO_NB_A&amp;ref_area=BGD</t>
        </is>
      </c>
      <c r="L881" t="inlineStr">
        <is>
          <t>ILO ILOSTAT: Mean weekly hours actually worked per employed person</t>
        </is>
      </c>
      <c r="M881" t="inlineStr">
        <is>
          <t>2024-12-31</t>
        </is>
      </c>
      <c r="N881" t="inlineStr">
        <is>
          <t>auto_ingest=ilo_working_hours; indicator=HOW_TEMP_SEX_ECO_NB_A; year=2024; hours=46.73; country_proxy=Bangladesh</t>
        </is>
      </c>
    </row>
    <row r="882">
      <c r="A882" t="inlineStr">
        <is>
          <t>bd-dhaka</t>
        </is>
      </c>
      <c r="B882" t="inlineStr">
        <is>
          <t>Dhaka</t>
        </is>
      </c>
      <c r="C882" t="inlineStr">
        <is>
          <t>Bangladesh</t>
        </is>
      </c>
      <c r="D882" t="inlineStr">
        <is>
          <t>South Asia</t>
        </is>
      </c>
      <c r="E882" t="inlineStr">
        <is>
          <t>suicide_mental_strain_raw</t>
        </is>
      </c>
      <c r="F882" t="inlineStr">
        <is>
          <t>Suicide or mental strain raw</t>
        </is>
      </c>
      <c r="G882" t="inlineStr">
        <is>
          <t>pressure</t>
        </is>
      </c>
      <c r="H882" t="inlineStr">
        <is>
          <t>yes</t>
        </is>
      </c>
      <c r="I882" t="inlineStr">
        <is>
          <t>2.81</t>
        </is>
      </c>
      <c r="J882" t="inlineStr">
        <is>
          <t>who_gho</t>
        </is>
      </c>
      <c r="K882" t="inlineStr">
        <is>
          <t>https://www.who.int/data/gho/data/indicators/indicator-details/GHO/SDGSUICIDE</t>
        </is>
      </c>
      <c r="L882" t="inlineStr">
        <is>
          <t>WHO GHO: Age-standardized suicide rate (per 100,000 population)</t>
        </is>
      </c>
      <c r="M882" t="inlineStr">
        <is>
          <t>2021-12-31</t>
        </is>
      </c>
      <c r="N882" t="inlineStr">
        <is>
          <t>auto_ingest=who_gho; indicator=SDGSUICIDE; year=2021; country_proxy=Bangladesh</t>
        </is>
      </c>
    </row>
    <row r="883">
      <c r="A883" t="inlineStr">
        <is>
          <t>bd-dhaka</t>
        </is>
      </c>
      <c r="B883" t="inlineStr">
        <is>
          <t>Dhaka</t>
        </is>
      </c>
      <c r="C883" t="inlineStr">
        <is>
          <t>Bangladesh</t>
        </is>
      </c>
      <c r="D883" t="inlineStr">
        <is>
          <t>South Asia</t>
        </is>
      </c>
      <c r="E883" t="inlineStr">
        <is>
          <t>personal_safety_raw</t>
        </is>
      </c>
      <c r="F883" t="inlineStr">
        <is>
          <t>Personal safety raw</t>
        </is>
      </c>
      <c r="G883" t="inlineStr">
        <is>
          <t>viability</t>
        </is>
      </c>
      <c r="H883" t="inlineStr">
        <is>
          <t>yes</t>
        </is>
      </c>
      <c r="I883" t="inlineStr">
        <is>
          <t>2.34</t>
        </is>
      </c>
      <c r="J883" t="inlineStr">
        <is>
          <t>world_bank</t>
        </is>
      </c>
      <c r="K883" t="inlineStr">
        <is>
          <t>https://api.worldbank.org/v2/country/BGD/indicator/VC.IHR.PSRC.P5?format=json&amp;mrv=10</t>
        </is>
      </c>
      <c r="L883" t="inlineStr">
        <is>
          <t>UNODC via World Bank WDI: Intentional homicides (per 100,000 people)</t>
        </is>
      </c>
      <c r="M883" t="inlineStr">
        <is>
          <t>2018-12-31</t>
        </is>
      </c>
      <c r="N883" t="inlineStr">
        <is>
          <t>auto_ingest=unodc_safety; indicator=VC.IHR.PSRC.P5; year=2018; country_proxy=Bangladesh</t>
        </is>
      </c>
    </row>
    <row r="884">
      <c r="A884" t="inlineStr">
        <is>
          <t>bd-dhaka</t>
        </is>
      </c>
      <c r="B884" t="inlineStr">
        <is>
          <t>Dhaka</t>
        </is>
      </c>
      <c r="C884" t="inlineStr">
        <is>
          <t>Bangladesh</t>
        </is>
      </c>
      <c r="D884" t="inlineStr">
        <is>
          <t>South Asia</t>
        </is>
      </c>
      <c r="E884" t="inlineStr">
        <is>
          <t>transit_access_commute_raw</t>
        </is>
      </c>
      <c r="F884" t="inlineStr">
        <is>
          <t>Transit access and commute raw</t>
        </is>
      </c>
      <c r="G884" t="inlineStr">
        <is>
          <t>viability</t>
        </is>
      </c>
      <c r="H884" t="inlineStr">
        <is>
          <t>yes</t>
        </is>
      </c>
      <c r="I884" t="inlineStr"/>
      <c r="J884" t="inlineStr"/>
      <c r="K884" t="inlineStr"/>
      <c r="L884" t="inlineStr"/>
      <c r="M884" t="inlineStr"/>
      <c r="N884" t="inlineStr"/>
    </row>
    <row r="885">
      <c r="A885" t="inlineStr">
        <is>
          <t>bd-dhaka</t>
        </is>
      </c>
      <c r="B885" t="inlineStr">
        <is>
          <t>Dhaka</t>
        </is>
      </c>
      <c r="C885" t="inlineStr">
        <is>
          <t>Bangladesh</t>
        </is>
      </c>
      <c r="D885" t="inlineStr">
        <is>
          <t>South Asia</t>
        </is>
      </c>
      <c r="E885" t="inlineStr">
        <is>
          <t>clean_air_raw</t>
        </is>
      </c>
      <c r="F885" t="inlineStr">
        <is>
          <t>Clean air raw</t>
        </is>
      </c>
      <c r="G885" t="inlineStr">
        <is>
          <t>viability</t>
        </is>
      </c>
      <c r="H885" t="inlineStr">
        <is>
          <t>yes</t>
        </is>
      </c>
      <c r="I885" t="inlineStr"/>
      <c r="J885" t="inlineStr"/>
      <c r="K885" t="inlineStr"/>
      <c r="L885" t="inlineStr"/>
      <c r="M885" t="inlineStr"/>
      <c r="N885" t="inlineStr"/>
    </row>
    <row r="886">
      <c r="A886" t="inlineStr">
        <is>
          <t>bd-dhaka</t>
        </is>
      </c>
      <c r="B886" t="inlineStr">
        <is>
          <t>Dhaka</t>
        </is>
      </c>
      <c r="C886" t="inlineStr">
        <is>
          <t>Bangladesh</t>
        </is>
      </c>
      <c r="D886" t="inlineStr">
        <is>
          <t>South Asia</t>
        </is>
      </c>
      <c r="E886" t="inlineStr">
        <is>
          <t>water_sanitation_utility_raw</t>
        </is>
      </c>
      <c r="F886" t="inlineStr">
        <is>
          <t>Water, sanitation, and utility raw</t>
        </is>
      </c>
      <c r="G886" t="inlineStr">
        <is>
          <t>viability</t>
        </is>
      </c>
      <c r="H886" t="inlineStr">
        <is>
          <t>yes</t>
        </is>
      </c>
      <c r="I886" t="inlineStr">
        <is>
          <t>59.13</t>
        </is>
      </c>
      <c r="J886" t="inlineStr">
        <is>
          <t>world_bank</t>
        </is>
      </c>
      <c r="K886" t="inlineStr">
        <is>
          <t>https://api.worldbank.org/v2/country/BGD/indicator/SH.H2O.SMDW.ZS?format=json&amp;mrv=10</t>
        </is>
      </c>
      <c r="L886" t="inlineStr">
        <is>
          <t>World Bank WDI: People using safely managed drinking water services (% of population)</t>
        </is>
      </c>
      <c r="M886" t="inlineStr">
        <is>
          <t>2024-12-31</t>
        </is>
      </c>
      <c r="N886" t="inlineStr">
        <is>
          <t>auto_ingest=world_bank_proxy; indicator=SH.H2O.SMDW.ZS; year=2024; country_proxy=Bangladesh</t>
        </is>
      </c>
    </row>
    <row r="887">
      <c r="A887" t="inlineStr">
        <is>
          <t>bd-dhaka</t>
        </is>
      </c>
      <c r="B887" t="inlineStr">
        <is>
          <t>Dhaka</t>
        </is>
      </c>
      <c r="C887" t="inlineStr">
        <is>
          <t>Bangladesh</t>
        </is>
      </c>
      <c r="D887" t="inlineStr">
        <is>
          <t>South Asia</t>
        </is>
      </c>
      <c r="E887" t="inlineStr">
        <is>
          <t>digital_infrastructure_raw</t>
        </is>
      </c>
      <c r="F887" t="inlineStr">
        <is>
          <t>Digital infrastructure raw</t>
        </is>
      </c>
      <c r="G887" t="inlineStr">
        <is>
          <t>viability</t>
        </is>
      </c>
      <c r="H887" t="inlineStr">
        <is>
          <t>yes</t>
        </is>
      </c>
      <c r="I887" t="inlineStr">
        <is>
          <t>7.89</t>
        </is>
      </c>
      <c r="J887" t="inlineStr">
        <is>
          <t>world_bank</t>
        </is>
      </c>
      <c r="K887" t="inlineStr">
        <is>
          <t>https://api.worldbank.org/v2/country/BGD/indicator/IT.NET.BBND.P2?format=json&amp;mrv=10</t>
        </is>
      </c>
      <c r="L887" t="inlineStr">
        <is>
          <t>World Bank WDI: Fixed broadband subscriptions (per 100 people)</t>
        </is>
      </c>
      <c r="M887" t="inlineStr">
        <is>
          <t>2023-12-31</t>
        </is>
      </c>
      <c r="N887" t="inlineStr">
        <is>
          <t>auto_ingest=world_bank_proxy; indicator=IT.NET.BBND.P2; year=2023; country_proxy=Bangladesh</t>
        </is>
      </c>
    </row>
    <row r="888">
      <c r="A888" t="inlineStr">
        <is>
          <t>bd-dhaka</t>
        </is>
      </c>
      <c r="B888" t="inlineStr">
        <is>
          <t>Dhaka</t>
        </is>
      </c>
      <c r="C888" t="inlineStr">
        <is>
          <t>Bangladesh</t>
        </is>
      </c>
      <c r="D888" t="inlineStr">
        <is>
          <t>South Asia</t>
        </is>
      </c>
      <c r="E888" t="inlineStr">
        <is>
          <t>climate_sunlight_livability_raw</t>
        </is>
      </c>
      <c r="F888" t="inlineStr">
        <is>
          <t>Climate and sunlight livability raw</t>
        </is>
      </c>
      <c r="G888" t="inlineStr">
        <is>
          <t>viability</t>
        </is>
      </c>
      <c r="H888" t="inlineStr">
        <is>
          <t>yes</t>
        </is>
      </c>
      <c r="I888" t="inlineStr"/>
      <c r="J888" t="inlineStr"/>
      <c r="K888" t="inlineStr"/>
      <c r="L888" t="inlineStr"/>
      <c r="M888" t="inlineStr"/>
      <c r="N888" t="inlineStr"/>
    </row>
    <row r="889">
      <c r="A889" t="inlineStr">
        <is>
          <t>bd-dhaka</t>
        </is>
      </c>
      <c r="B889" t="inlineStr">
        <is>
          <t>Dhaka</t>
        </is>
      </c>
      <c r="C889" t="inlineStr">
        <is>
          <t>Bangladesh</t>
        </is>
      </c>
      <c r="D889" t="inlineStr">
        <is>
          <t>South Asia</t>
        </is>
      </c>
      <c r="E889" t="inlineStr">
        <is>
          <t>healthcare_quality_raw</t>
        </is>
      </c>
      <c r="F889" t="inlineStr">
        <is>
          <t>Healthcare quality raw</t>
        </is>
      </c>
      <c r="G889" t="inlineStr">
        <is>
          <t>capability</t>
        </is>
      </c>
      <c r="H889" t="inlineStr">
        <is>
          <t>yes</t>
        </is>
      </c>
      <c r="I889" t="inlineStr">
        <is>
          <t>54.0</t>
        </is>
      </c>
      <c r="J889" t="inlineStr">
        <is>
          <t>who_gho</t>
        </is>
      </c>
      <c r="K889" t="inlineStr">
        <is>
          <t>https://www.who.int/data/gho/data/indicators/indicator-details/GHO/UHC_INDEX_REPORTED</t>
        </is>
      </c>
      <c r="L889" t="inlineStr">
        <is>
          <t>WHO GHO: UHC Service Coverage Index</t>
        </is>
      </c>
      <c r="M889" t="inlineStr">
        <is>
          <t>2023-12-31</t>
        </is>
      </c>
      <c r="N889" t="inlineStr">
        <is>
          <t>auto_ingest=who_gho; indicator=UHC_INDEX_REPORTED; year=2023; country_proxy=Bangladesh</t>
        </is>
      </c>
    </row>
    <row r="890">
      <c r="A890" t="inlineStr">
        <is>
          <t>bd-dhaka</t>
        </is>
      </c>
      <c r="B890" t="inlineStr">
        <is>
          <t>Dhaka</t>
        </is>
      </c>
      <c r="C890" t="inlineStr">
        <is>
          <t>Bangladesh</t>
        </is>
      </c>
      <c r="D890" t="inlineStr">
        <is>
          <t>South Asia</t>
        </is>
      </c>
      <c r="E890" t="inlineStr">
        <is>
          <t>education_quality_raw</t>
        </is>
      </c>
      <c r="F890" t="inlineStr">
        <is>
          <t>Education quality raw</t>
        </is>
      </c>
      <c r="G890" t="inlineStr">
        <is>
          <t>capability</t>
        </is>
      </c>
      <c r="H890" t="inlineStr">
        <is>
          <t>yes</t>
        </is>
      </c>
      <c r="I890" t="inlineStr">
        <is>
          <t>23.73</t>
        </is>
      </c>
      <c r="J890" t="inlineStr">
        <is>
          <t>world_bank</t>
        </is>
      </c>
      <c r="K890" t="inlineStr">
        <is>
          <t>https://api.worldbank.org/v2/country/BGD/indicator/SE.TER.ENRR?format=json&amp;mrv=10</t>
        </is>
      </c>
      <c r="L890" t="inlineStr">
        <is>
          <t>World Bank WDI: School enrollment, tertiary (% gross)</t>
        </is>
      </c>
      <c r="M890" t="inlineStr">
        <is>
          <t>2024-12-31</t>
        </is>
      </c>
      <c r="N890" t="inlineStr">
        <is>
          <t>auto_ingest=world_bank_proxy; indicator=SE.TER.ENRR; year=2024; country_proxy=Bangladesh</t>
        </is>
      </c>
    </row>
    <row r="891">
      <c r="A891" t="inlineStr">
        <is>
          <t>bd-dhaka</t>
        </is>
      </c>
      <c r="B891" t="inlineStr">
        <is>
          <t>Dhaka</t>
        </is>
      </c>
      <c r="C891" t="inlineStr">
        <is>
          <t>Bangladesh</t>
        </is>
      </c>
      <c r="D891" t="inlineStr">
        <is>
          <t>South Asia</t>
        </is>
      </c>
      <c r="E891" t="inlineStr">
        <is>
          <t>equal_opportunity_raw</t>
        </is>
      </c>
      <c r="F891" t="inlineStr">
        <is>
          <t>Equal opportunity raw</t>
        </is>
      </c>
      <c r="G891" t="inlineStr">
        <is>
          <t>capability</t>
        </is>
      </c>
      <c r="H891" t="inlineStr">
        <is>
          <t>yes</t>
        </is>
      </c>
      <c r="I891" t="inlineStr">
        <is>
          <t>30.9</t>
        </is>
      </c>
      <c r="J891" t="inlineStr">
        <is>
          <t>world_bank</t>
        </is>
      </c>
      <c r="K891" t="inlineStr">
        <is>
          <t>https://api.worldbank.org/v2/country/BGD/indicator/SI.POV.GINI?format=json&amp;mrv=10</t>
        </is>
      </c>
      <c r="L891" t="inlineStr">
        <is>
          <t>World Bank WDI: Gini index</t>
        </is>
      </c>
      <c r="M891" t="inlineStr">
        <is>
          <t>2022-12-31</t>
        </is>
      </c>
      <c r="N891" t="inlineStr">
        <is>
          <t>auto_ingest=world_bank_capability; indicator=SI.POV.GINI; year=2022; country_proxy=Bangladesh</t>
        </is>
      </c>
    </row>
    <row r="892">
      <c r="A892" t="inlineStr">
        <is>
          <t>bd-dhaka</t>
        </is>
      </c>
      <c r="B892" t="inlineStr">
        <is>
          <t>Dhaka</t>
        </is>
      </c>
      <c r="C892" t="inlineStr">
        <is>
          <t>Bangladesh</t>
        </is>
      </c>
      <c r="D892" t="inlineStr">
        <is>
          <t>South Asia</t>
        </is>
      </c>
      <c r="E892" t="inlineStr">
        <is>
          <t>hospitality_belonging_raw</t>
        </is>
      </c>
      <c r="F892" t="inlineStr">
        <is>
          <t>Hospitality and belonging raw</t>
        </is>
      </c>
      <c r="G892" t="inlineStr">
        <is>
          <t>community</t>
        </is>
      </c>
      <c r="H892" t="inlineStr">
        <is>
          <t>yes</t>
        </is>
      </c>
      <c r="I892" t="inlineStr">
        <is>
          <t>47.68</t>
        </is>
      </c>
      <c r="J892" t="inlineStr">
        <is>
          <t>world_bank</t>
        </is>
      </c>
      <c r="K892" t="inlineStr">
        <is>
          <t>https://api.worldbank.org/v2/country/BGD/indicator/SM.POP.NETM?format=json&amp;mrv=10</t>
        </is>
      </c>
      <c r="L892" t="inlineStr">
        <is>
          <t>World Bank WDI: Net migration (proxy for hospitality/belonging — positive = welcoming)</t>
        </is>
      </c>
      <c r="M892" t="inlineStr">
        <is>
          <t>2025-12-31</t>
        </is>
      </c>
      <c r="N892" t="inlineStr">
        <is>
          <t>auto_ingest=world_bank_proxy; proxy=net_migration_hospitality; indicator=SM.POP.NETM; year=2025; country_proxy=Bangladesh</t>
        </is>
      </c>
    </row>
    <row r="893">
      <c r="A893" t="inlineStr">
        <is>
          <t>bd-dhaka</t>
        </is>
      </c>
      <c r="B893" t="inlineStr">
        <is>
          <t>Dhaka</t>
        </is>
      </c>
      <c r="C893" t="inlineStr">
        <is>
          <t>Bangladesh</t>
        </is>
      </c>
      <c r="D893" t="inlineStr">
        <is>
          <t>South Asia</t>
        </is>
      </c>
      <c r="E893" t="inlineStr">
        <is>
          <t>tolerance_pluralism_raw</t>
        </is>
      </c>
      <c r="F893" t="inlineStr">
        <is>
          <t>Tolerance and pluralism raw</t>
        </is>
      </c>
      <c r="G893" t="inlineStr">
        <is>
          <t>community</t>
        </is>
      </c>
      <c r="H893" t="inlineStr">
        <is>
          <t>yes</t>
        </is>
      </c>
      <c r="I893" t="inlineStr">
        <is>
          <t>20.86</t>
        </is>
      </c>
      <c r="J893" t="inlineStr">
        <is>
          <t>world_bank</t>
        </is>
      </c>
      <c r="K893" t="inlineStr">
        <is>
          <t>https://api.worldbank.org/v2/country/BGD/indicator/SG.GEN.PARL.ZS?format=json&amp;mrv=10</t>
        </is>
      </c>
      <c r="L893" t="inlineStr">
        <is>
          <t>World Bank WDI: Proportion of seats held by women in national parliaments (%)</t>
        </is>
      </c>
      <c r="M893" t="inlineStr">
        <is>
          <t>2023-12-31</t>
        </is>
      </c>
      <c r="N893" t="inlineStr">
        <is>
          <t>auto_ingest=world_bank_proxy; proxy=gender_parity_parliament; indicator=SG.GEN.PARL.ZS; year=2023; country_proxy=Bangladesh</t>
        </is>
      </c>
    </row>
    <row r="894">
      <c r="A894" t="inlineStr">
        <is>
          <t>bd-dhaka</t>
        </is>
      </c>
      <c r="B894" t="inlineStr">
        <is>
          <t>Dhaka</t>
        </is>
      </c>
      <c r="C894" t="inlineStr">
        <is>
          <t>Bangladesh</t>
        </is>
      </c>
      <c r="D894" t="inlineStr">
        <is>
          <t>South Asia</t>
        </is>
      </c>
      <c r="E894" t="inlineStr">
        <is>
          <t>cultural_public_life_raw</t>
        </is>
      </c>
      <c r="F894" t="inlineStr">
        <is>
          <t>Cultural public life raw</t>
        </is>
      </c>
      <c r="G894" t="inlineStr">
        <is>
          <t>community</t>
        </is>
      </c>
      <c r="H894" t="inlineStr">
        <is>
          <t>yes</t>
        </is>
      </c>
      <c r="I894" t="inlineStr">
        <is>
          <t>1.86</t>
        </is>
      </c>
      <c r="J894" t="inlineStr">
        <is>
          <t>world_bank</t>
        </is>
      </c>
      <c r="K894" t="inlineStr">
        <is>
          <t>https://api.worldbank.org/v2/country/BGD/indicator/ST.INT.ARVL?format=json&amp;mrv=10</t>
        </is>
      </c>
      <c r="L894" t="inlineStr">
        <is>
          <t>World Bank WDI: International tourism arrivals per 1 000 population</t>
        </is>
      </c>
      <c r="M894" t="inlineStr">
        <is>
          <t>2019-12-31</t>
        </is>
      </c>
      <c r="N894" t="inlineStr">
        <is>
          <t>auto_ingest=cultural_life_proxy; indicator=ST.INT.ARVL; norm=per_1000_pop; year=2019; country_proxy=Bangladesh</t>
        </is>
      </c>
    </row>
    <row r="895">
      <c r="A895" t="inlineStr">
        <is>
          <t>bd-dhaka</t>
        </is>
      </c>
      <c r="B895" t="inlineStr">
        <is>
          <t>Dhaka</t>
        </is>
      </c>
      <c r="C895" t="inlineStr">
        <is>
          <t>Bangladesh</t>
        </is>
      </c>
      <c r="D895" t="inlineStr">
        <is>
          <t>South Asia</t>
        </is>
      </c>
      <c r="E895" t="inlineStr">
        <is>
          <t>birth_rate_optimism_raw</t>
        </is>
      </c>
      <c r="F895" t="inlineStr">
        <is>
          <t>Birth rate and societal optimism raw</t>
        </is>
      </c>
      <c r="G895" t="inlineStr">
        <is>
          <t>community</t>
        </is>
      </c>
      <c r="H895" t="inlineStr">
        <is>
          <t>yes</t>
        </is>
      </c>
      <c r="I895" t="inlineStr">
        <is>
          <t>1.95</t>
        </is>
      </c>
      <c r="J895" t="inlineStr">
        <is>
          <t>world_bank</t>
        </is>
      </c>
      <c r="K895" t="inlineStr">
        <is>
          <t>https://data.worldbank.org/indicator/SP.DYN.TFRT.IN</t>
        </is>
      </c>
      <c r="L895" t="inlineStr">
        <is>
          <t>World Bank Total Fertility Rate 2023</t>
        </is>
      </c>
      <c r="M895" t="inlineStr">
        <is>
          <t>2024-01-01</t>
        </is>
      </c>
      <c r="N895" t="inlineStr"/>
    </row>
    <row r="896">
      <c r="A896" t="inlineStr">
        <is>
          <t>bd-dhaka</t>
        </is>
      </c>
      <c r="B896" t="inlineStr">
        <is>
          <t>Dhaka</t>
        </is>
      </c>
      <c r="C896" t="inlineStr">
        <is>
          <t>Bangladesh</t>
        </is>
      </c>
      <c r="D896" t="inlineStr">
        <is>
          <t>South Asia</t>
        </is>
      </c>
      <c r="E896" t="inlineStr">
        <is>
          <t>entrepreneurial_dynamism_raw</t>
        </is>
      </c>
      <c r="F896" t="inlineStr">
        <is>
          <t>Entrepreneurial dynamism raw</t>
        </is>
      </c>
      <c r="G896" t="inlineStr">
        <is>
          <t>creative</t>
        </is>
      </c>
      <c r="H896" t="inlineStr">
        <is>
          <t>yes</t>
        </is>
      </c>
      <c r="I896" t="inlineStr">
        <is>
          <t>0.04</t>
        </is>
      </c>
      <c r="J896" t="inlineStr">
        <is>
          <t>world_bank</t>
        </is>
      </c>
      <c r="K896" t="inlineStr">
        <is>
          <t>https://api.worldbank.org/v2/country/BGD/indicator/IC.BUS.NDNS.ZS?format=json&amp;mrv=10</t>
        </is>
      </c>
      <c r="L896" t="inlineStr">
        <is>
          <t>World Bank WDI: New business density (new registrations per 1,000 people ages 15-64)</t>
        </is>
      </c>
      <c r="M896" t="inlineStr">
        <is>
          <t>2018-12-31</t>
        </is>
      </c>
      <c r="N896" t="inlineStr">
        <is>
          <t>auto_ingest=world_bank_creative_extended; indicator=IC.BUS.NDNS.ZS; year=2018; country_proxy=Bangladesh</t>
        </is>
      </c>
    </row>
    <row r="897">
      <c r="A897" t="inlineStr">
        <is>
          <t>bd-dhaka</t>
        </is>
      </c>
      <c r="B897" t="inlineStr">
        <is>
          <t>Dhaka</t>
        </is>
      </c>
      <c r="C897" t="inlineStr">
        <is>
          <t>Bangladesh</t>
        </is>
      </c>
      <c r="D897" t="inlineStr">
        <is>
          <t>South Asia</t>
        </is>
      </c>
      <c r="E897" t="inlineStr">
        <is>
          <t>innovation_research_intensity_raw</t>
        </is>
      </c>
      <c r="F897" t="inlineStr">
        <is>
          <t>Innovation and research raw</t>
        </is>
      </c>
      <c r="G897" t="inlineStr">
        <is>
          <t>creative</t>
        </is>
      </c>
      <c r="H897" t="inlineStr">
        <is>
          <t>yes</t>
        </is>
      </c>
      <c r="I897" t="inlineStr">
        <is>
          <t>2.58</t>
        </is>
      </c>
      <c r="J897" t="inlineStr">
        <is>
          <t>world_bank</t>
        </is>
      </c>
      <c r="K897" t="inlineStr">
        <is>
          <t>https://api.worldbank.org/v2/country/BGD/indicator/IP.PAT.RESD?format=json&amp;mrv=10</t>
        </is>
      </c>
      <c r="L897" t="inlineStr">
        <is>
          <t>World Bank WDI: Patent applications (residents + non-residents) per million population</t>
        </is>
      </c>
      <c r="M897" t="inlineStr">
        <is>
          <t>2021-12-31</t>
        </is>
      </c>
      <c r="N897" t="inlineStr">
        <is>
          <t>auto_ingest=wipo_patents_proxy; indicators=IP.PAT.RESD+IP.PAT.NRES; norm=per_million_pop; year=2021; country_proxy=Bangladesh</t>
        </is>
      </c>
    </row>
    <row r="898">
      <c r="A898" t="inlineStr">
        <is>
          <t>bd-dhaka</t>
        </is>
      </c>
      <c r="B898" t="inlineStr">
        <is>
          <t>Dhaka</t>
        </is>
      </c>
      <c r="C898" t="inlineStr">
        <is>
          <t>Bangladesh</t>
        </is>
      </c>
      <c r="D898" t="inlineStr">
        <is>
          <t>South Asia</t>
        </is>
      </c>
      <c r="E898" t="inlineStr">
        <is>
          <t>investment_signal_raw</t>
        </is>
      </c>
      <c r="F898" t="inlineStr">
        <is>
          <t>Investment signal raw</t>
        </is>
      </c>
      <c r="G898" t="inlineStr">
        <is>
          <t>creative</t>
        </is>
      </c>
      <c r="H898" t="inlineStr">
        <is>
          <t>yes</t>
        </is>
      </c>
      <c r="I898" t="inlineStr">
        <is>
          <t>0.29</t>
        </is>
      </c>
      <c r="J898" t="inlineStr">
        <is>
          <t>world_bank</t>
        </is>
      </c>
      <c r="K898" t="inlineStr">
        <is>
          <t>https://api.worldbank.org/v2/country/BGD/indicator/BX.KLT.DINV.WD.GD.ZS?format=json&amp;mrv=10</t>
        </is>
      </c>
      <c r="L898" t="inlineStr">
        <is>
          <t>World Bank WDI: Foreign direct investment, net inflows (% of GDP)</t>
        </is>
      </c>
      <c r="M898" t="inlineStr">
        <is>
          <t>2024-12-31</t>
        </is>
      </c>
      <c r="N898" t="inlineStr">
        <is>
          <t>auto_ingest=world_bank_creative_extended; indicator=BX.KLT.DINV.WD.GD.ZS; year=2024; country_proxy=Bangladesh</t>
        </is>
      </c>
    </row>
    <row r="899">
      <c r="A899" t="inlineStr">
        <is>
          <t>bd-dhaka</t>
        </is>
      </c>
      <c r="B899" t="inlineStr">
        <is>
          <t>Dhaka</t>
        </is>
      </c>
      <c r="C899" t="inlineStr">
        <is>
          <t>Bangladesh</t>
        </is>
      </c>
      <c r="D899" t="inlineStr">
        <is>
          <t>South Asia</t>
        </is>
      </c>
      <c r="E899" t="inlineStr">
        <is>
          <t>administrative_investment_friction_raw</t>
        </is>
      </c>
      <c r="F899" t="inlineStr">
        <is>
          <t>Administrative investment friction raw</t>
        </is>
      </c>
      <c r="G899" t="inlineStr">
        <is>
          <t>creative</t>
        </is>
      </c>
      <c r="H899" t="inlineStr">
        <is>
          <t>yes</t>
        </is>
      </c>
      <c r="I899" t="inlineStr">
        <is>
          <t>3.41</t>
        </is>
      </c>
      <c r="J899" t="inlineStr">
        <is>
          <t>world_bank</t>
        </is>
      </c>
      <c r="K899" t="inlineStr">
        <is>
          <t>https://api.worldbank.org/v2/country/BGD/indicator/RQ.EST?format=json&amp;mrv=10</t>
        </is>
      </c>
      <c r="L899" t="inlineStr">
        <is>
          <t>World Bank WGI: Regulatory Quality (inverted as friction proxy)</t>
        </is>
      </c>
      <c r="M899" t="inlineStr">
        <is>
          <t>2023-12-31</t>
        </is>
      </c>
      <c r="N899" t="inlineStr">
        <is>
          <t>auto_ingest=world_bank_business_friction; indicator=RQ.EST; raw_rq=-0.914152979850769; friction=3.41; year=2023; country_proxy=Bangladesh</t>
        </is>
      </c>
    </row>
    <row r="900">
      <c r="A900" t="inlineStr">
        <is>
          <t>bd-dhaka</t>
        </is>
      </c>
      <c r="B900" t="inlineStr">
        <is>
          <t>Dhaka</t>
        </is>
      </c>
      <c r="C900" t="inlineStr">
        <is>
          <t>Bangladesh</t>
        </is>
      </c>
      <c r="D900" t="inlineStr">
        <is>
          <t>South Asia</t>
        </is>
      </c>
      <c r="E900" t="inlineStr">
        <is>
          <t>visitor_flow_context_raw</t>
        </is>
      </c>
      <c r="F900" t="inlineStr">
        <is>
          <t>Visitor flow context raw</t>
        </is>
      </c>
      <c r="G900" t="inlineStr">
        <is>
          <t>creative</t>
        </is>
      </c>
      <c r="H900" t="inlineStr">
        <is>
          <t>no</t>
        </is>
      </c>
      <c r="I900" t="inlineStr"/>
      <c r="J900" t="inlineStr"/>
      <c r="K900" t="inlineStr"/>
      <c r="L900" t="inlineStr"/>
      <c r="M900" t="inlineStr"/>
      <c r="N900" t="inlineStr"/>
    </row>
    <row r="901">
      <c r="A901" t="inlineStr">
        <is>
          <t>pk-karachi</t>
        </is>
      </c>
      <c r="B901" t="inlineStr">
        <is>
          <t>Karachi</t>
        </is>
      </c>
      <c r="C901" t="inlineStr">
        <is>
          <t>Pakistan</t>
        </is>
      </c>
      <c r="D901" t="inlineStr">
        <is>
          <t>South Asia</t>
        </is>
      </c>
      <c r="E901" t="inlineStr">
        <is>
          <t>gross_income</t>
        </is>
      </c>
      <c r="F901" t="inlineStr">
        <is>
          <t>Gross income</t>
        </is>
      </c>
      <c r="G901" t="inlineStr">
        <is>
          <t>pressure</t>
        </is>
      </c>
      <c r="H901" t="inlineStr">
        <is>
          <t>yes</t>
        </is>
      </c>
      <c r="I901" t="inlineStr">
        <is>
          <t>508.33</t>
        </is>
      </c>
      <c r="J901" t="inlineStr">
        <is>
          <t>world_bank_col_estimate</t>
        </is>
      </c>
      <c r="K901" t="inlineStr">
        <is>
          <t>https://api.worldbank.org/v2/country/PAK/indicator/NY.GNP.PCAP.PP.CD?format=json&amp;mrv=10</t>
        </is>
      </c>
      <c r="L901" t="inlineStr">
        <is>
          <t>World Bank WDI: GNI per capita PPP (monthly USD)</t>
        </is>
      </c>
      <c r="M901" t="inlineStr">
        <is>
          <t>2024-12-31</t>
        </is>
      </c>
      <c r="N901" t="inlineStr">
        <is>
          <t>auto_ingest=world_bank_col_estimate; gni_annual=6100.0; year=2024; country_proxy=Pakistan; cohort=South Asia</t>
        </is>
      </c>
    </row>
    <row r="902">
      <c r="A902" t="inlineStr">
        <is>
          <t>pk-karachi</t>
        </is>
      </c>
      <c r="B902" t="inlineStr">
        <is>
          <t>Karachi</t>
        </is>
      </c>
      <c r="C902" t="inlineStr">
        <is>
          <t>Pakistan</t>
        </is>
      </c>
      <c r="D902" t="inlineStr">
        <is>
          <t>South Asia</t>
        </is>
      </c>
      <c r="E902" t="inlineStr">
        <is>
          <t>di_ppp_raw</t>
        </is>
      </c>
      <c r="F902" t="inlineStr">
        <is>
          <t>Disposable income PPP (Raw)</t>
        </is>
      </c>
      <c r="G902" t="inlineStr">
        <is>
          <t>pressure</t>
        </is>
      </c>
      <c r="H902" t="inlineStr">
        <is>
          <t>yes</t>
        </is>
      </c>
      <c r="I902" t="inlineStr"/>
      <c r="J902" t="inlineStr"/>
      <c r="K902" t="inlineStr"/>
      <c r="L902" t="inlineStr"/>
      <c r="M902" t="inlineStr"/>
      <c r="N902" t="inlineStr"/>
    </row>
    <row r="903">
      <c r="A903" t="inlineStr">
        <is>
          <t>pk-karachi</t>
        </is>
      </c>
      <c r="B903" t="inlineStr">
        <is>
          <t>Karachi</t>
        </is>
      </c>
      <c r="C903" t="inlineStr">
        <is>
          <t>Pakistan</t>
        </is>
      </c>
      <c r="D903" t="inlineStr">
        <is>
          <t>South Asia</t>
        </is>
      </c>
      <c r="E903" t="inlineStr">
        <is>
          <t>rent</t>
        </is>
      </c>
      <c r="F903" t="inlineStr">
        <is>
          <t>Rent</t>
        </is>
      </c>
      <c r="G903" t="inlineStr">
        <is>
          <t>pressure</t>
        </is>
      </c>
      <c r="H903" t="inlineStr">
        <is>
          <t>yes</t>
        </is>
      </c>
      <c r="I903" t="inlineStr">
        <is>
          <t>68.62</t>
        </is>
      </c>
      <c r="J903" t="inlineStr">
        <is>
          <t>world_bank_col_estimate</t>
        </is>
      </c>
      <c r="K903" t="inlineStr">
        <is>
          <t>https://api.worldbank.org/v2/country/PAK/indicator/NY.GNP.PCAP.PP.CD?format=json&amp;mrv=10</t>
        </is>
      </c>
      <c r="L903" t="inlineStr">
        <is>
          <t>World Bank GNI + regional expenditure ratio estimate</t>
        </is>
      </c>
      <c r="M903" t="inlineStr">
        <is>
          <t>2024-12-31</t>
        </is>
      </c>
      <c r="N903" t="inlineStr">
        <is>
          <t>auto_ingest=world_bank_col_estimate; gni_annual=6100.0; year=2024; country_proxy=Pakistan; cohort=South Asia; city_cost_mult=0.9</t>
        </is>
      </c>
    </row>
    <row r="904">
      <c r="A904" t="inlineStr">
        <is>
          <t>pk-karachi</t>
        </is>
      </c>
      <c r="B904" t="inlineStr">
        <is>
          <t>Karachi</t>
        </is>
      </c>
      <c r="C904" t="inlineStr">
        <is>
          <t>Pakistan</t>
        </is>
      </c>
      <c r="D904" t="inlineStr">
        <is>
          <t>South Asia</t>
        </is>
      </c>
      <c r="E904" t="inlineStr">
        <is>
          <t>utilities</t>
        </is>
      </c>
      <c r="F904" t="inlineStr">
        <is>
          <t>Utilities</t>
        </is>
      </c>
      <c r="G904" t="inlineStr">
        <is>
          <t>pressure</t>
        </is>
      </c>
      <c r="H904" t="inlineStr">
        <is>
          <t>yes</t>
        </is>
      </c>
      <c r="I904" t="inlineStr">
        <is>
          <t>22.87</t>
        </is>
      </c>
      <c r="J904" t="inlineStr">
        <is>
          <t>world_bank_col_estimate</t>
        </is>
      </c>
      <c r="K904" t="inlineStr">
        <is>
          <t>https://api.worldbank.org/v2/country/PAK/indicator/NY.GNP.PCAP.PP.CD?format=json&amp;mrv=10</t>
        </is>
      </c>
      <c r="L904" t="inlineStr">
        <is>
          <t>World Bank GNI + regional expenditure ratio estimate</t>
        </is>
      </c>
      <c r="M904" t="inlineStr">
        <is>
          <t>2024-12-31</t>
        </is>
      </c>
      <c r="N904" t="inlineStr">
        <is>
          <t>auto_ingest=world_bank_col_estimate; gni_annual=6100.0; year=2024; country_proxy=Pakistan; cohort=South Asia; city_cost_mult=0.9</t>
        </is>
      </c>
    </row>
    <row r="905">
      <c r="A905" t="inlineStr">
        <is>
          <t>pk-karachi</t>
        </is>
      </c>
      <c r="B905" t="inlineStr">
        <is>
          <t>Karachi</t>
        </is>
      </c>
      <c r="C905" t="inlineStr">
        <is>
          <t>Pakistan</t>
        </is>
      </c>
      <c r="D905" t="inlineStr">
        <is>
          <t>South Asia</t>
        </is>
      </c>
      <c r="E905" t="inlineStr">
        <is>
          <t>transit_cost</t>
        </is>
      </c>
      <c r="F905" t="inlineStr">
        <is>
          <t>Transit cost</t>
        </is>
      </c>
      <c r="G905" t="inlineStr">
        <is>
          <t>pressure</t>
        </is>
      </c>
      <c r="H905" t="inlineStr">
        <is>
          <t>yes</t>
        </is>
      </c>
      <c r="I905" t="inlineStr">
        <is>
          <t>13.72</t>
        </is>
      </c>
      <c r="J905" t="inlineStr">
        <is>
          <t>world_bank_col_estimate</t>
        </is>
      </c>
      <c r="K905" t="inlineStr">
        <is>
          <t>https://api.worldbank.org/v2/country/PAK/indicator/NY.GNP.PCAP.PP.CD?format=json&amp;mrv=10</t>
        </is>
      </c>
      <c r="L905" t="inlineStr">
        <is>
          <t>World Bank GNI + regional expenditure ratio estimate</t>
        </is>
      </c>
      <c r="M905" t="inlineStr">
        <is>
          <t>2024-12-31</t>
        </is>
      </c>
      <c r="N905" t="inlineStr">
        <is>
          <t>auto_ingest=world_bank_col_estimate; gni_annual=6100.0; year=2024; country_proxy=Pakistan; cohort=South Asia; city_cost_mult=0.9</t>
        </is>
      </c>
    </row>
    <row r="906">
      <c r="A906" t="inlineStr">
        <is>
          <t>pk-karachi</t>
        </is>
      </c>
      <c r="B906" t="inlineStr">
        <is>
          <t>Karachi</t>
        </is>
      </c>
      <c r="C906" t="inlineStr">
        <is>
          <t>Pakistan</t>
        </is>
      </c>
      <c r="D906" t="inlineStr">
        <is>
          <t>South Asia</t>
        </is>
      </c>
      <c r="E906" t="inlineStr">
        <is>
          <t>internet_cost</t>
        </is>
      </c>
      <c r="F906" t="inlineStr">
        <is>
          <t>Internet cost</t>
        </is>
      </c>
      <c r="G906" t="inlineStr">
        <is>
          <t>pressure</t>
        </is>
      </c>
      <c r="H906" t="inlineStr">
        <is>
          <t>yes</t>
        </is>
      </c>
      <c r="I906" t="inlineStr">
        <is>
          <t>4.57</t>
        </is>
      </c>
      <c r="J906" t="inlineStr">
        <is>
          <t>world_bank_col_estimate</t>
        </is>
      </c>
      <c r="K906" t="inlineStr">
        <is>
          <t>https://api.worldbank.org/v2/country/PAK/indicator/NY.GNP.PCAP.PP.CD?format=json&amp;mrv=10</t>
        </is>
      </c>
      <c r="L906" t="inlineStr">
        <is>
          <t>World Bank GNI + regional expenditure ratio estimate</t>
        </is>
      </c>
      <c r="M906" t="inlineStr">
        <is>
          <t>2024-12-31</t>
        </is>
      </c>
      <c r="N906" t="inlineStr">
        <is>
          <t>auto_ingest=world_bank_col_estimate; gni_annual=6100.0; year=2024; country_proxy=Pakistan; cohort=South Asia; city_cost_mult=0.9</t>
        </is>
      </c>
    </row>
    <row r="907">
      <c r="A907" t="inlineStr">
        <is>
          <t>pk-karachi</t>
        </is>
      </c>
      <c r="B907" t="inlineStr">
        <is>
          <t>Karachi</t>
        </is>
      </c>
      <c r="C907" t="inlineStr">
        <is>
          <t>Pakistan</t>
        </is>
      </c>
      <c r="D907" t="inlineStr">
        <is>
          <t>South Asia</t>
        </is>
      </c>
      <c r="E907" t="inlineStr">
        <is>
          <t>food_cost</t>
        </is>
      </c>
      <c r="F907" t="inlineStr">
        <is>
          <t>Food cost</t>
        </is>
      </c>
      <c r="G907" t="inlineStr">
        <is>
          <t>pressure</t>
        </is>
      </c>
      <c r="H907" t="inlineStr">
        <is>
          <t>yes</t>
        </is>
      </c>
      <c r="I907" t="inlineStr">
        <is>
          <t>114.37</t>
        </is>
      </c>
      <c r="J907" t="inlineStr">
        <is>
          <t>world_bank_col_estimate</t>
        </is>
      </c>
      <c r="K907" t="inlineStr">
        <is>
          <t>https://api.worldbank.org/v2/country/PAK/indicator/NY.GNP.PCAP.PP.CD?format=json&amp;mrv=10</t>
        </is>
      </c>
      <c r="L907" t="inlineStr">
        <is>
          <t>World Bank GNI + regional expenditure ratio estimate</t>
        </is>
      </c>
      <c r="M907" t="inlineStr">
        <is>
          <t>2024-12-31</t>
        </is>
      </c>
      <c r="N907" t="inlineStr">
        <is>
          <t>auto_ingest=world_bank_col_estimate; gni_annual=6100.0; year=2024; country_proxy=Pakistan; cohort=South Asia; city_cost_mult=0.9</t>
        </is>
      </c>
    </row>
    <row r="908">
      <c r="A908" t="inlineStr">
        <is>
          <t>pk-karachi</t>
        </is>
      </c>
      <c r="B908" t="inlineStr">
        <is>
          <t>Karachi</t>
        </is>
      </c>
      <c r="C908" t="inlineStr">
        <is>
          <t>Pakistan</t>
        </is>
      </c>
      <c r="D908" t="inlineStr">
        <is>
          <t>South Asia</t>
        </is>
      </c>
      <c r="E908" t="inlineStr">
        <is>
          <t>housing_burden_raw</t>
        </is>
      </c>
      <c r="F908" t="inlineStr">
        <is>
          <t>Housing burden raw</t>
        </is>
      </c>
      <c r="G908" t="inlineStr">
        <is>
          <t>pressure</t>
        </is>
      </c>
      <c r="H908" t="inlineStr">
        <is>
          <t>yes</t>
        </is>
      </c>
      <c r="I908" t="inlineStr">
        <is>
          <t>13.4991</t>
        </is>
      </c>
      <c r="J908" t="inlineStr">
        <is>
          <t>derived</t>
        </is>
      </c>
      <c r="K908" t="inlineStr">
        <is>
          <t>https://data.worldbank.org/indicator/NY.GNP.PCAP.PP.CD</t>
        </is>
      </c>
      <c r="L908" t="inlineStr">
        <is>
          <t>Computed from city_inputs + country_context</t>
        </is>
      </c>
      <c r="M908" t="inlineStr">
        <is>
          <t>2024-01-01</t>
        </is>
      </c>
      <c r="N908" t="inlineStr">
        <is>
          <t>derived=rent/gross_income*100</t>
        </is>
      </c>
    </row>
    <row r="909">
      <c r="A909" t="inlineStr">
        <is>
          <t>pk-karachi</t>
        </is>
      </c>
      <c r="B909" t="inlineStr">
        <is>
          <t>Karachi</t>
        </is>
      </c>
      <c r="C909" t="inlineStr">
        <is>
          <t>Pakistan</t>
        </is>
      </c>
      <c r="D909" t="inlineStr">
        <is>
          <t>South Asia</t>
        </is>
      </c>
      <c r="E909" t="inlineStr">
        <is>
          <t>household_debt_burden_raw</t>
        </is>
      </c>
      <c r="F909" t="inlineStr">
        <is>
          <t>Household debt burden raw</t>
        </is>
      </c>
      <c r="G909" t="inlineStr">
        <is>
          <t>pressure</t>
        </is>
      </c>
      <c r="H909" t="inlineStr">
        <is>
          <t>yes</t>
        </is>
      </c>
      <c r="I909" t="inlineStr">
        <is>
          <t>11.3901</t>
        </is>
      </c>
      <c r="J909" t="inlineStr">
        <is>
          <t>derived</t>
        </is>
      </c>
      <c r="K909" t="inlineStr">
        <is>
          <t>https://data.worldbank.org/indicator/NY.GNP.PCAP.PP.CD</t>
        </is>
      </c>
      <c r="L909" t="inlineStr">
        <is>
          <t>Computed from city_inputs + country_context</t>
        </is>
      </c>
      <c r="M909" t="inlineStr">
        <is>
          <t>2024-01-01</t>
        </is>
      </c>
      <c r="N909" t="inlineStr">
        <is>
          <t>derived=country_context.household_debt_proxy; country=Pakistan</t>
        </is>
      </c>
    </row>
    <row r="910">
      <c r="A910" t="inlineStr">
        <is>
          <t>pk-karachi</t>
        </is>
      </c>
      <c r="B910" t="inlineStr">
        <is>
          <t>Karachi</t>
        </is>
      </c>
      <c r="C910" t="inlineStr">
        <is>
          <t>Pakistan</t>
        </is>
      </c>
      <c r="D910" t="inlineStr">
        <is>
          <t>South Asia</t>
        </is>
      </c>
      <c r="E910" t="inlineStr">
        <is>
          <t>working_time_pressure_raw</t>
        </is>
      </c>
      <c r="F910" t="inlineStr">
        <is>
          <t>Working time pressure raw</t>
        </is>
      </c>
      <c r="G910" t="inlineStr">
        <is>
          <t>pressure</t>
        </is>
      </c>
      <c r="H910" t="inlineStr">
        <is>
          <t>yes</t>
        </is>
      </c>
      <c r="I910" t="inlineStr">
        <is>
          <t>46.77</t>
        </is>
      </c>
      <c r="J910" t="inlineStr">
        <is>
          <t>ilo_ilostat</t>
        </is>
      </c>
      <c r="K910" t="inlineStr">
        <is>
          <t>https://ilostat.ilo.org/data/indicator/?id=HOW_TEMP_SEX_ECO_NB_A&amp;ref_area=PAK</t>
        </is>
      </c>
      <c r="L910" t="inlineStr">
        <is>
          <t>ILO ILOSTAT: Mean weekly hours actually worked per employed person</t>
        </is>
      </c>
      <c r="M910" t="inlineStr">
        <is>
          <t>2025-12-31</t>
        </is>
      </c>
      <c r="N910" t="inlineStr">
        <is>
          <t>auto_ingest=ilo_working_hours; indicator=HOW_TEMP_SEX_ECO_NB_A; year=2025; hours=46.77; country_proxy=Pakistan</t>
        </is>
      </c>
    </row>
    <row r="911">
      <c r="A911" t="inlineStr">
        <is>
          <t>pk-karachi</t>
        </is>
      </c>
      <c r="B911" t="inlineStr">
        <is>
          <t>Karachi</t>
        </is>
      </c>
      <c r="C911" t="inlineStr">
        <is>
          <t>Pakistan</t>
        </is>
      </c>
      <c r="D911" t="inlineStr">
        <is>
          <t>South Asia</t>
        </is>
      </c>
      <c r="E911" t="inlineStr">
        <is>
          <t>suicide_mental_strain_raw</t>
        </is>
      </c>
      <c r="F911" t="inlineStr">
        <is>
          <t>Suicide or mental strain raw</t>
        </is>
      </c>
      <c r="G911" t="inlineStr">
        <is>
          <t>pressure</t>
        </is>
      </c>
      <c r="H911" t="inlineStr">
        <is>
          <t>yes</t>
        </is>
      </c>
      <c r="I911" t="inlineStr">
        <is>
          <t>5.64</t>
        </is>
      </c>
      <c r="J911" t="inlineStr">
        <is>
          <t>who_gho</t>
        </is>
      </c>
      <c r="K911" t="inlineStr">
        <is>
          <t>https://www.who.int/data/gho/data/indicators/indicator-details/GHO/SDGSUICIDE</t>
        </is>
      </c>
      <c r="L911" t="inlineStr">
        <is>
          <t>WHO GHO: Age-standardized suicide rate (per 100,000 population)</t>
        </is>
      </c>
      <c r="M911" t="inlineStr">
        <is>
          <t>2021-12-31</t>
        </is>
      </c>
      <c r="N911" t="inlineStr">
        <is>
          <t>auto_ingest=who_gho; indicator=SDGSUICIDE; year=2021; country_proxy=Pakistan</t>
        </is>
      </c>
    </row>
    <row r="912">
      <c r="A912" t="inlineStr">
        <is>
          <t>pk-karachi</t>
        </is>
      </c>
      <c r="B912" t="inlineStr">
        <is>
          <t>Karachi</t>
        </is>
      </c>
      <c r="C912" t="inlineStr">
        <is>
          <t>Pakistan</t>
        </is>
      </c>
      <c r="D912" t="inlineStr">
        <is>
          <t>South Asia</t>
        </is>
      </c>
      <c r="E912" t="inlineStr">
        <is>
          <t>personal_safety_raw</t>
        </is>
      </c>
      <c r="F912" t="inlineStr">
        <is>
          <t>Personal safety raw</t>
        </is>
      </c>
      <c r="G912" t="inlineStr">
        <is>
          <t>viability</t>
        </is>
      </c>
      <c r="H912" t="inlineStr">
        <is>
          <t>yes</t>
        </is>
      </c>
      <c r="I912" t="inlineStr">
        <is>
          <t>4.33</t>
        </is>
      </c>
      <c r="J912" t="inlineStr">
        <is>
          <t>world_bank</t>
        </is>
      </c>
      <c r="K912" t="inlineStr">
        <is>
          <t>https://api.worldbank.org/v2/country/PAK/indicator/VC.IHR.PSRC.P5?format=json&amp;mrv=10</t>
        </is>
      </c>
      <c r="L912" t="inlineStr">
        <is>
          <t>UNODC via World Bank WDI: Intentional homicides (per 100,000 people)</t>
        </is>
      </c>
      <c r="M912" t="inlineStr">
        <is>
          <t>2023-12-31</t>
        </is>
      </c>
      <c r="N912" t="inlineStr">
        <is>
          <t>auto_ingest=unodc_safety; indicator=VC.IHR.PSRC.P5; year=2023; country_proxy=Pakistan</t>
        </is>
      </c>
    </row>
    <row r="913">
      <c r="A913" t="inlineStr">
        <is>
          <t>pk-karachi</t>
        </is>
      </c>
      <c r="B913" t="inlineStr">
        <is>
          <t>Karachi</t>
        </is>
      </c>
      <c r="C913" t="inlineStr">
        <is>
          <t>Pakistan</t>
        </is>
      </c>
      <c r="D913" t="inlineStr">
        <is>
          <t>South Asia</t>
        </is>
      </c>
      <c r="E913" t="inlineStr">
        <is>
          <t>transit_access_commute_raw</t>
        </is>
      </c>
      <c r="F913" t="inlineStr">
        <is>
          <t>Transit access and commute raw</t>
        </is>
      </c>
      <c r="G913" t="inlineStr">
        <is>
          <t>viability</t>
        </is>
      </c>
      <c r="H913" t="inlineStr">
        <is>
          <t>yes</t>
        </is>
      </c>
      <c r="I913" t="inlineStr"/>
      <c r="J913" t="inlineStr"/>
      <c r="K913" t="inlineStr"/>
      <c r="L913" t="inlineStr"/>
      <c r="M913" t="inlineStr"/>
      <c r="N913" t="inlineStr"/>
    </row>
    <row r="914">
      <c r="A914" t="inlineStr">
        <is>
          <t>pk-karachi</t>
        </is>
      </c>
      <c r="B914" t="inlineStr">
        <is>
          <t>Karachi</t>
        </is>
      </c>
      <c r="C914" t="inlineStr">
        <is>
          <t>Pakistan</t>
        </is>
      </c>
      <c r="D914" t="inlineStr">
        <is>
          <t>South Asia</t>
        </is>
      </c>
      <c r="E914" t="inlineStr">
        <is>
          <t>clean_air_raw</t>
        </is>
      </c>
      <c r="F914" t="inlineStr">
        <is>
          <t>Clean air raw</t>
        </is>
      </c>
      <c r="G914" t="inlineStr">
        <is>
          <t>viability</t>
        </is>
      </c>
      <c r="H914" t="inlineStr">
        <is>
          <t>yes</t>
        </is>
      </c>
      <c r="I914" t="inlineStr"/>
      <c r="J914" t="inlineStr"/>
      <c r="K914" t="inlineStr"/>
      <c r="L914" t="inlineStr"/>
      <c r="M914" t="inlineStr"/>
      <c r="N914" t="inlineStr"/>
    </row>
    <row r="915">
      <c r="A915" t="inlineStr">
        <is>
          <t>pk-karachi</t>
        </is>
      </c>
      <c r="B915" t="inlineStr">
        <is>
          <t>Karachi</t>
        </is>
      </c>
      <c r="C915" t="inlineStr">
        <is>
          <t>Pakistan</t>
        </is>
      </c>
      <c r="D915" t="inlineStr">
        <is>
          <t>South Asia</t>
        </is>
      </c>
      <c r="E915" t="inlineStr">
        <is>
          <t>water_sanitation_utility_raw</t>
        </is>
      </c>
      <c r="F915" t="inlineStr">
        <is>
          <t>Water, sanitation, and utility raw</t>
        </is>
      </c>
      <c r="G915" t="inlineStr">
        <is>
          <t>viability</t>
        </is>
      </c>
      <c r="H915" t="inlineStr">
        <is>
          <t>yes</t>
        </is>
      </c>
      <c r="I915" t="inlineStr">
        <is>
          <t>44.97</t>
        </is>
      </c>
      <c r="J915" t="inlineStr">
        <is>
          <t>world_bank</t>
        </is>
      </c>
      <c r="K915" t="inlineStr">
        <is>
          <t>https://api.worldbank.org/v2/country/PAK/indicator/SH.H2O.SMDW.ZS?format=json&amp;mrv=10</t>
        </is>
      </c>
      <c r="L915" t="inlineStr">
        <is>
          <t>World Bank WDI: People using safely managed drinking water services (% of population)</t>
        </is>
      </c>
      <c r="M915" t="inlineStr">
        <is>
          <t>2024-12-31</t>
        </is>
      </c>
      <c r="N915" t="inlineStr">
        <is>
          <t>auto_ingest=world_bank_proxy; indicator=SH.H2O.SMDW.ZS; year=2024; country_proxy=Pakistan</t>
        </is>
      </c>
    </row>
    <row r="916">
      <c r="A916" t="inlineStr">
        <is>
          <t>pk-karachi</t>
        </is>
      </c>
      <c r="B916" t="inlineStr">
        <is>
          <t>Karachi</t>
        </is>
      </c>
      <c r="C916" t="inlineStr">
        <is>
          <t>Pakistan</t>
        </is>
      </c>
      <c r="D916" t="inlineStr">
        <is>
          <t>South Asia</t>
        </is>
      </c>
      <c r="E916" t="inlineStr">
        <is>
          <t>digital_infrastructure_raw</t>
        </is>
      </c>
      <c r="F916" t="inlineStr">
        <is>
          <t>Digital infrastructure raw</t>
        </is>
      </c>
      <c r="G916" t="inlineStr">
        <is>
          <t>viability</t>
        </is>
      </c>
      <c r="H916" t="inlineStr">
        <is>
          <t>yes</t>
        </is>
      </c>
      <c r="I916" t="inlineStr">
        <is>
          <t>1.36</t>
        </is>
      </c>
      <c r="J916" t="inlineStr">
        <is>
          <t>world_bank</t>
        </is>
      </c>
      <c r="K916" t="inlineStr">
        <is>
          <t>https://api.worldbank.org/v2/country/PAK/indicator/IT.NET.BBND.P2?format=json&amp;mrv=10</t>
        </is>
      </c>
      <c r="L916" t="inlineStr">
        <is>
          <t>World Bank WDI: Fixed broadband subscriptions (per 100 people)</t>
        </is>
      </c>
      <c r="M916" t="inlineStr">
        <is>
          <t>2023-12-31</t>
        </is>
      </c>
      <c r="N916" t="inlineStr">
        <is>
          <t>auto_ingest=world_bank_proxy; indicator=IT.NET.BBND.P2; year=2023; country_proxy=Pakistan</t>
        </is>
      </c>
    </row>
    <row r="917">
      <c r="A917" t="inlineStr">
        <is>
          <t>pk-karachi</t>
        </is>
      </c>
      <c r="B917" t="inlineStr">
        <is>
          <t>Karachi</t>
        </is>
      </c>
      <c r="C917" t="inlineStr">
        <is>
          <t>Pakistan</t>
        </is>
      </c>
      <c r="D917" t="inlineStr">
        <is>
          <t>South Asia</t>
        </is>
      </c>
      <c r="E917" t="inlineStr">
        <is>
          <t>climate_sunlight_livability_raw</t>
        </is>
      </c>
      <c r="F917" t="inlineStr">
        <is>
          <t>Climate and sunlight livability raw</t>
        </is>
      </c>
      <c r="G917" t="inlineStr">
        <is>
          <t>viability</t>
        </is>
      </c>
      <c r="H917" t="inlineStr">
        <is>
          <t>yes</t>
        </is>
      </c>
      <c r="I917" t="inlineStr"/>
      <c r="J917" t="inlineStr"/>
      <c r="K917" t="inlineStr"/>
      <c r="L917" t="inlineStr"/>
      <c r="M917" t="inlineStr"/>
      <c r="N917" t="inlineStr"/>
    </row>
    <row r="918">
      <c r="A918" t="inlineStr">
        <is>
          <t>pk-karachi</t>
        </is>
      </c>
      <c r="B918" t="inlineStr">
        <is>
          <t>Karachi</t>
        </is>
      </c>
      <c r="C918" t="inlineStr">
        <is>
          <t>Pakistan</t>
        </is>
      </c>
      <c r="D918" t="inlineStr">
        <is>
          <t>South Asia</t>
        </is>
      </c>
      <c r="E918" t="inlineStr">
        <is>
          <t>healthcare_quality_raw</t>
        </is>
      </c>
      <c r="F918" t="inlineStr">
        <is>
          <t>Healthcare quality raw</t>
        </is>
      </c>
      <c r="G918" t="inlineStr">
        <is>
          <t>capability</t>
        </is>
      </c>
      <c r="H918" t="inlineStr">
        <is>
          <t>yes</t>
        </is>
      </c>
      <c r="I918" t="inlineStr">
        <is>
          <t>56.0</t>
        </is>
      </c>
      <c r="J918" t="inlineStr">
        <is>
          <t>who_gho</t>
        </is>
      </c>
      <c r="K918" t="inlineStr">
        <is>
          <t>https://www.who.int/data/gho/data/indicators/indicator-details/GHO/UHC_INDEX_REPORTED</t>
        </is>
      </c>
      <c r="L918" t="inlineStr">
        <is>
          <t>WHO GHO: UHC Service Coverage Index</t>
        </is>
      </c>
      <c r="M918" t="inlineStr">
        <is>
          <t>2023-12-31</t>
        </is>
      </c>
      <c r="N918" t="inlineStr">
        <is>
          <t>auto_ingest=who_gho; indicator=UHC_INDEX_REPORTED; year=2023; country_proxy=Pakistan</t>
        </is>
      </c>
    </row>
    <row r="919">
      <c r="A919" t="inlineStr">
        <is>
          <t>pk-karachi</t>
        </is>
      </c>
      <c r="B919" t="inlineStr">
        <is>
          <t>Karachi</t>
        </is>
      </c>
      <c r="C919" t="inlineStr">
        <is>
          <t>Pakistan</t>
        </is>
      </c>
      <c r="D919" t="inlineStr">
        <is>
          <t>South Asia</t>
        </is>
      </c>
      <c r="E919" t="inlineStr">
        <is>
          <t>education_quality_raw</t>
        </is>
      </c>
      <c r="F919" t="inlineStr">
        <is>
          <t>Education quality raw</t>
        </is>
      </c>
      <c r="G919" t="inlineStr">
        <is>
          <t>capability</t>
        </is>
      </c>
      <c r="H919" t="inlineStr">
        <is>
          <t>yes</t>
        </is>
      </c>
      <c r="I919" t="inlineStr">
        <is>
          <t>10.86</t>
        </is>
      </c>
      <c r="J919" t="inlineStr">
        <is>
          <t>world_bank</t>
        </is>
      </c>
      <c r="K919" t="inlineStr">
        <is>
          <t>https://api.worldbank.org/v2/country/PAK/indicator/SE.TER.ENRR?format=json&amp;mrv=10</t>
        </is>
      </c>
      <c r="L919" t="inlineStr">
        <is>
          <t>World Bank WDI: School enrollment, tertiary (% gross)</t>
        </is>
      </c>
      <c r="M919" t="inlineStr">
        <is>
          <t>2024-12-31</t>
        </is>
      </c>
      <c r="N919" t="inlineStr">
        <is>
          <t>auto_ingest=world_bank_proxy; indicator=SE.TER.ENRR; year=2024; country_proxy=Pakistan</t>
        </is>
      </c>
    </row>
    <row r="920">
      <c r="A920" t="inlineStr">
        <is>
          <t>pk-karachi</t>
        </is>
      </c>
      <c r="B920" t="inlineStr">
        <is>
          <t>Karachi</t>
        </is>
      </c>
      <c r="C920" t="inlineStr">
        <is>
          <t>Pakistan</t>
        </is>
      </c>
      <c r="D920" t="inlineStr">
        <is>
          <t>South Asia</t>
        </is>
      </c>
      <c r="E920" t="inlineStr">
        <is>
          <t>equal_opportunity_raw</t>
        </is>
      </c>
      <c r="F920" t="inlineStr">
        <is>
          <t>Equal opportunity raw</t>
        </is>
      </c>
      <c r="G920" t="inlineStr">
        <is>
          <t>capability</t>
        </is>
      </c>
      <c r="H920" t="inlineStr">
        <is>
          <t>yes</t>
        </is>
      </c>
      <c r="I920" t="inlineStr">
        <is>
          <t>29.6</t>
        </is>
      </c>
      <c r="J920" t="inlineStr">
        <is>
          <t>world_bank</t>
        </is>
      </c>
      <c r="K920" t="inlineStr">
        <is>
          <t>https://api.worldbank.org/v2/country/PAK/indicator/SI.POV.GINI?format=json&amp;mrv=10</t>
        </is>
      </c>
      <c r="L920" t="inlineStr">
        <is>
          <t>World Bank WDI: Gini index</t>
        </is>
      </c>
      <c r="M920" t="inlineStr">
        <is>
          <t>2018-12-31</t>
        </is>
      </c>
      <c r="N920" t="inlineStr">
        <is>
          <t>auto_ingest=world_bank_capability; indicator=SI.POV.GINI; year=2018; country_proxy=Pakistan</t>
        </is>
      </c>
    </row>
    <row r="921">
      <c r="A921" t="inlineStr">
        <is>
          <t>pk-karachi</t>
        </is>
      </c>
      <c r="B921" t="inlineStr">
        <is>
          <t>Karachi</t>
        </is>
      </c>
      <c r="C921" t="inlineStr">
        <is>
          <t>Pakistan</t>
        </is>
      </c>
      <c r="D921" t="inlineStr">
        <is>
          <t>South Asia</t>
        </is>
      </c>
      <c r="E921" t="inlineStr">
        <is>
          <t>hospitality_belonging_raw</t>
        </is>
      </c>
      <c r="F921" t="inlineStr">
        <is>
          <t>Hospitality and belonging raw</t>
        </is>
      </c>
      <c r="G921" t="inlineStr">
        <is>
          <t>community</t>
        </is>
      </c>
      <c r="H921" t="inlineStr">
        <is>
          <t>yes</t>
        </is>
      </c>
      <c r="I921" t="inlineStr">
        <is>
          <t>45.08</t>
        </is>
      </c>
      <c r="J921" t="inlineStr">
        <is>
          <t>world_bank</t>
        </is>
      </c>
      <c r="K921" t="inlineStr">
        <is>
          <t>https://api.worldbank.org/v2/country/PAK/indicator/SM.POP.NETM?format=json&amp;mrv=10</t>
        </is>
      </c>
      <c r="L921" t="inlineStr">
        <is>
          <t>World Bank WDI: Net migration (proxy for hospitality/belonging — positive = welcoming)</t>
        </is>
      </c>
      <c r="M921" t="inlineStr">
        <is>
          <t>2025-12-31</t>
        </is>
      </c>
      <c r="N921" t="inlineStr">
        <is>
          <t>auto_ingest=world_bank_proxy; proxy=net_migration_hospitality; indicator=SM.POP.NETM; year=2025; country_proxy=Pakistan</t>
        </is>
      </c>
    </row>
    <row r="922">
      <c r="A922" t="inlineStr">
        <is>
          <t>pk-karachi</t>
        </is>
      </c>
      <c r="B922" t="inlineStr">
        <is>
          <t>Karachi</t>
        </is>
      </c>
      <c r="C922" t="inlineStr">
        <is>
          <t>Pakistan</t>
        </is>
      </c>
      <c r="D922" t="inlineStr">
        <is>
          <t>South Asia</t>
        </is>
      </c>
      <c r="E922" t="inlineStr">
        <is>
          <t>tolerance_pluralism_raw</t>
        </is>
      </c>
      <c r="F922" t="inlineStr">
        <is>
          <t>Tolerance and pluralism raw</t>
        </is>
      </c>
      <c r="G922" t="inlineStr">
        <is>
          <t>community</t>
        </is>
      </c>
      <c r="H922" t="inlineStr">
        <is>
          <t>yes</t>
        </is>
      </c>
      <c r="I922" t="inlineStr">
        <is>
          <t>17.04</t>
        </is>
      </c>
      <c r="J922" t="inlineStr">
        <is>
          <t>world_bank</t>
        </is>
      </c>
      <c r="K922" t="inlineStr">
        <is>
          <t>https://api.worldbank.org/v2/country/PAK/indicator/SG.GEN.PARL.ZS?format=json&amp;mrv=10</t>
        </is>
      </c>
      <c r="L922" t="inlineStr">
        <is>
          <t>World Bank WDI: Proportion of seats held by women in national parliaments (%)</t>
        </is>
      </c>
      <c r="M922" t="inlineStr">
        <is>
          <t>2024-12-31</t>
        </is>
      </c>
      <c r="N922" t="inlineStr">
        <is>
          <t>auto_ingest=world_bank_proxy; proxy=gender_parity_parliament; indicator=SG.GEN.PARL.ZS; year=2024; country_proxy=Pakistan</t>
        </is>
      </c>
    </row>
    <row r="923">
      <c r="A923" t="inlineStr">
        <is>
          <t>pk-karachi</t>
        </is>
      </c>
      <c r="B923" t="inlineStr">
        <is>
          <t>Karachi</t>
        </is>
      </c>
      <c r="C923" t="inlineStr">
        <is>
          <t>Pakistan</t>
        </is>
      </c>
      <c r="D923" t="inlineStr">
        <is>
          <t>South Asia</t>
        </is>
      </c>
      <c r="E923" t="inlineStr">
        <is>
          <t>cultural_public_life_raw</t>
        </is>
      </c>
      <c r="F923" t="inlineStr">
        <is>
          <t>Cultural public life raw</t>
        </is>
      </c>
      <c r="G923" t="inlineStr">
        <is>
          <t>community</t>
        </is>
      </c>
      <c r="H923" t="inlineStr">
        <is>
          <t>yes</t>
        </is>
      </c>
      <c r="I923" t="inlineStr">
        <is>
          <t>30.61</t>
        </is>
      </c>
      <c r="J923" t="inlineStr">
        <is>
          <t>world_bank</t>
        </is>
      </c>
      <c r="K923" t="inlineStr">
        <is>
          <t>https://api.worldbank.org/v2/country/PAK/indicator/SP.POP.DPND?format=json&amp;mrv=10</t>
        </is>
      </c>
      <c r="L923" t="inlineStr">
        <is>
          <t>World Bank WDI: Age dependency ratio (% of working-age population), inverted as social vitality proxy</t>
        </is>
      </c>
      <c r="M923" t="inlineStr">
        <is>
          <t>2024-12-31</t>
        </is>
      </c>
      <c r="N923" t="inlineStr">
        <is>
          <t>auto_ingest=world_bank_proxy; proxy=inverse_dependency_ratio_social_vitality; indicator=SP.POP.DPND; year=2024; country_proxy=Pakistan</t>
        </is>
      </c>
    </row>
    <row r="924">
      <c r="A924" t="inlineStr">
        <is>
          <t>pk-karachi</t>
        </is>
      </c>
      <c r="B924" t="inlineStr">
        <is>
          <t>Karachi</t>
        </is>
      </c>
      <c r="C924" t="inlineStr">
        <is>
          <t>Pakistan</t>
        </is>
      </c>
      <c r="D924" t="inlineStr">
        <is>
          <t>South Asia</t>
        </is>
      </c>
      <c r="E924" t="inlineStr">
        <is>
          <t>birth_rate_optimism_raw</t>
        </is>
      </c>
      <c r="F924" t="inlineStr">
        <is>
          <t>Birth rate and societal optimism raw</t>
        </is>
      </c>
      <c r="G924" t="inlineStr">
        <is>
          <t>community</t>
        </is>
      </c>
      <c r="H924" t="inlineStr">
        <is>
          <t>yes</t>
        </is>
      </c>
      <c r="I924" t="inlineStr">
        <is>
          <t>3.36</t>
        </is>
      </c>
      <c r="J924" t="inlineStr">
        <is>
          <t>world_bank</t>
        </is>
      </c>
      <c r="K924" t="inlineStr">
        <is>
          <t>https://data.worldbank.org/indicator/SP.DYN.TFRT.IN</t>
        </is>
      </c>
      <c r="L924" t="inlineStr">
        <is>
          <t>World Bank Total Fertility Rate 2023</t>
        </is>
      </c>
      <c r="M924" t="inlineStr">
        <is>
          <t>2024-01-01</t>
        </is>
      </c>
      <c r="N924" t="inlineStr"/>
    </row>
    <row r="925">
      <c r="A925" t="inlineStr">
        <is>
          <t>pk-karachi</t>
        </is>
      </c>
      <c r="B925" t="inlineStr">
        <is>
          <t>Karachi</t>
        </is>
      </c>
      <c r="C925" t="inlineStr">
        <is>
          <t>Pakistan</t>
        </is>
      </c>
      <c r="D925" t="inlineStr">
        <is>
          <t>South Asia</t>
        </is>
      </c>
      <c r="E925" t="inlineStr">
        <is>
          <t>entrepreneurial_dynamism_raw</t>
        </is>
      </c>
      <c r="F925" t="inlineStr">
        <is>
          <t>Entrepreneurial dynamism raw</t>
        </is>
      </c>
      <c r="G925" t="inlineStr">
        <is>
          <t>creative</t>
        </is>
      </c>
      <c r="H925" t="inlineStr">
        <is>
          <t>yes</t>
        </is>
      </c>
      <c r="I925" t="inlineStr">
        <is>
          <t>0.19</t>
        </is>
      </c>
      <c r="J925" t="inlineStr">
        <is>
          <t>world_bank</t>
        </is>
      </c>
      <c r="K925" t="inlineStr">
        <is>
          <t>https://api.worldbank.org/v2/country/PAK/indicator/IC.BUS.NDNS.ZS?format=json&amp;mrv=10</t>
        </is>
      </c>
      <c r="L925" t="inlineStr">
        <is>
          <t>World Bank WDI: New business density (new registrations per 1,000 people ages 15-64)</t>
        </is>
      </c>
      <c r="M925" t="inlineStr">
        <is>
          <t>2022-12-31</t>
        </is>
      </c>
      <c r="N925" t="inlineStr">
        <is>
          <t>auto_ingest=world_bank_creative_extended; indicator=IC.BUS.NDNS.ZS; year=2022; country_proxy=Pakistan</t>
        </is>
      </c>
    </row>
    <row r="926">
      <c r="A926" t="inlineStr">
        <is>
          <t>pk-karachi</t>
        </is>
      </c>
      <c r="B926" t="inlineStr">
        <is>
          <t>Karachi</t>
        </is>
      </c>
      <c r="C926" t="inlineStr">
        <is>
          <t>Pakistan</t>
        </is>
      </c>
      <c r="D926" t="inlineStr">
        <is>
          <t>South Asia</t>
        </is>
      </c>
      <c r="E926" t="inlineStr">
        <is>
          <t>innovation_research_intensity_raw</t>
        </is>
      </c>
      <c r="F926" t="inlineStr">
        <is>
          <t>Innovation and research raw</t>
        </is>
      </c>
      <c r="G926" t="inlineStr">
        <is>
          <t>creative</t>
        </is>
      </c>
      <c r="H926" t="inlineStr">
        <is>
          <t>yes</t>
        </is>
      </c>
      <c r="I926" t="inlineStr">
        <is>
          <t>0.16</t>
        </is>
      </c>
      <c r="J926" t="inlineStr">
        <is>
          <t>world_bank</t>
        </is>
      </c>
      <c r="K926" t="inlineStr">
        <is>
          <t>https://api.worldbank.org/v2/country/PAK/indicator/GB.XPD.RSDV.GD.ZS?format=json&amp;mrv=10</t>
        </is>
      </c>
      <c r="L926" t="inlineStr">
        <is>
          <t>World Bank WDI: Research and development expenditure (% of GDP)</t>
        </is>
      </c>
      <c r="M926" t="inlineStr">
        <is>
          <t>2023-12-31</t>
        </is>
      </c>
      <c r="N926" t="inlineStr">
        <is>
          <t>auto_ingest=world_bank_creative_extended; indicator=GB.XPD.RSDV.GD.ZS; year=2023; country_proxy=Pakistan</t>
        </is>
      </c>
    </row>
    <row r="927">
      <c r="A927" t="inlineStr">
        <is>
          <t>pk-karachi</t>
        </is>
      </c>
      <c r="B927" t="inlineStr">
        <is>
          <t>Karachi</t>
        </is>
      </c>
      <c r="C927" t="inlineStr">
        <is>
          <t>Pakistan</t>
        </is>
      </c>
      <c r="D927" t="inlineStr">
        <is>
          <t>South Asia</t>
        </is>
      </c>
      <c r="E927" t="inlineStr">
        <is>
          <t>investment_signal_raw</t>
        </is>
      </c>
      <c r="F927" t="inlineStr">
        <is>
          <t>Investment signal raw</t>
        </is>
      </c>
      <c r="G927" t="inlineStr">
        <is>
          <t>creative</t>
        </is>
      </c>
      <c r="H927" t="inlineStr">
        <is>
          <t>yes</t>
        </is>
      </c>
      <c r="I927" t="inlineStr">
        <is>
          <t>0.72</t>
        </is>
      </c>
      <c r="J927" t="inlineStr">
        <is>
          <t>world_bank</t>
        </is>
      </c>
      <c r="K927" t="inlineStr">
        <is>
          <t>https://api.worldbank.org/v2/country/PAK/indicator/BX.KLT.DINV.WD.GD.ZS?format=json&amp;mrv=10</t>
        </is>
      </c>
      <c r="L927" t="inlineStr">
        <is>
          <t>World Bank WDI: Foreign direct investment, net inflows (% of GDP)</t>
        </is>
      </c>
      <c r="M927" t="inlineStr">
        <is>
          <t>2024-12-31</t>
        </is>
      </c>
      <c r="N927" t="inlineStr">
        <is>
          <t>auto_ingest=world_bank_creative_extended; indicator=BX.KLT.DINV.WD.GD.ZS; year=2024; country_proxy=Pakistan</t>
        </is>
      </c>
    </row>
    <row r="928">
      <c r="A928" t="inlineStr">
        <is>
          <t>pk-karachi</t>
        </is>
      </c>
      <c r="B928" t="inlineStr">
        <is>
          <t>Karachi</t>
        </is>
      </c>
      <c r="C928" t="inlineStr">
        <is>
          <t>Pakistan</t>
        </is>
      </c>
      <c r="D928" t="inlineStr">
        <is>
          <t>South Asia</t>
        </is>
      </c>
      <c r="E928" t="inlineStr">
        <is>
          <t>administrative_investment_friction_raw</t>
        </is>
      </c>
      <c r="F928" t="inlineStr">
        <is>
          <t>Administrative investment friction raw</t>
        </is>
      </c>
      <c r="G928" t="inlineStr">
        <is>
          <t>creative</t>
        </is>
      </c>
      <c r="H928" t="inlineStr">
        <is>
          <t>yes</t>
        </is>
      </c>
      <c r="I928" t="inlineStr">
        <is>
          <t>3.4</t>
        </is>
      </c>
      <c r="J928" t="inlineStr">
        <is>
          <t>world_bank</t>
        </is>
      </c>
      <c r="K928" t="inlineStr">
        <is>
          <t>https://api.worldbank.org/v2/country/PAK/indicator/RQ.EST?format=json&amp;mrv=10</t>
        </is>
      </c>
      <c r="L928" t="inlineStr">
        <is>
          <t>World Bank WGI: Regulatory Quality (inverted as friction proxy)</t>
        </is>
      </c>
      <c r="M928" t="inlineStr">
        <is>
          <t>2023-12-31</t>
        </is>
      </c>
      <c r="N928" t="inlineStr">
        <is>
          <t>auto_ingest=world_bank_business_friction; indicator=RQ.EST; raw_rq=-0.901008188724518; friction=3.4; year=2023; country_proxy=Pakistan</t>
        </is>
      </c>
    </row>
    <row r="929">
      <c r="A929" t="inlineStr">
        <is>
          <t>pk-karachi</t>
        </is>
      </c>
      <c r="B929" t="inlineStr">
        <is>
          <t>Karachi</t>
        </is>
      </c>
      <c r="C929" t="inlineStr">
        <is>
          <t>Pakistan</t>
        </is>
      </c>
      <c r="D929" t="inlineStr">
        <is>
          <t>South Asia</t>
        </is>
      </c>
      <c r="E929" t="inlineStr">
        <is>
          <t>visitor_flow_context_raw</t>
        </is>
      </c>
      <c r="F929" t="inlineStr">
        <is>
          <t>Visitor flow context raw</t>
        </is>
      </c>
      <c r="G929" t="inlineStr">
        <is>
          <t>creative</t>
        </is>
      </c>
      <c r="H929" t="inlineStr">
        <is>
          <t>no</t>
        </is>
      </c>
      <c r="I929" t="inlineStr"/>
      <c r="J929" t="inlineStr"/>
      <c r="K929" t="inlineStr"/>
      <c r="L929" t="inlineStr"/>
      <c r="M929" t="inlineStr"/>
      <c r="N929" t="inlineStr"/>
    </row>
    <row r="930">
      <c r="A930" t="inlineStr">
        <is>
          <t>pk-lahore</t>
        </is>
      </c>
      <c r="B930" t="inlineStr">
        <is>
          <t>Lahore</t>
        </is>
      </c>
      <c r="C930" t="inlineStr">
        <is>
          <t>Pakistan</t>
        </is>
      </c>
      <c r="D930" t="inlineStr">
        <is>
          <t>South Asia</t>
        </is>
      </c>
      <c r="E930" t="inlineStr">
        <is>
          <t>gross_income</t>
        </is>
      </c>
      <c r="F930" t="inlineStr">
        <is>
          <t>Gross income</t>
        </is>
      </c>
      <c r="G930" t="inlineStr">
        <is>
          <t>pressure</t>
        </is>
      </c>
      <c r="H930" t="inlineStr">
        <is>
          <t>yes</t>
        </is>
      </c>
      <c r="I930" t="inlineStr">
        <is>
          <t>508.33</t>
        </is>
      </c>
      <c r="J930" t="inlineStr">
        <is>
          <t>world_bank_col_estimate</t>
        </is>
      </c>
      <c r="K930" t="inlineStr">
        <is>
          <t>https://api.worldbank.org/v2/country/PAK/indicator/NY.GNP.PCAP.PP.CD?format=json&amp;mrv=10</t>
        </is>
      </c>
      <c r="L930" t="inlineStr">
        <is>
          <t>World Bank WDI: GNI per capita PPP (monthly USD)</t>
        </is>
      </c>
      <c r="M930" t="inlineStr">
        <is>
          <t>2024-12-31</t>
        </is>
      </c>
      <c r="N930" t="inlineStr">
        <is>
          <t>auto_ingest=world_bank_col_estimate; gni_annual=6100.0; year=2024; country_proxy=Pakistan; cohort=South Asia</t>
        </is>
      </c>
    </row>
    <row r="931">
      <c r="A931" t="inlineStr">
        <is>
          <t>pk-lahore</t>
        </is>
      </c>
      <c r="B931" t="inlineStr">
        <is>
          <t>Lahore</t>
        </is>
      </c>
      <c r="C931" t="inlineStr">
        <is>
          <t>Pakistan</t>
        </is>
      </c>
      <c r="D931" t="inlineStr">
        <is>
          <t>South Asia</t>
        </is>
      </c>
      <c r="E931" t="inlineStr">
        <is>
          <t>di_ppp_raw</t>
        </is>
      </c>
      <c r="F931" t="inlineStr">
        <is>
          <t>Disposable income PPP (Raw)</t>
        </is>
      </c>
      <c r="G931" t="inlineStr">
        <is>
          <t>pressure</t>
        </is>
      </c>
      <c r="H931" t="inlineStr">
        <is>
          <t>yes</t>
        </is>
      </c>
      <c r="I931" t="inlineStr"/>
      <c r="J931" t="inlineStr"/>
      <c r="K931" t="inlineStr"/>
      <c r="L931" t="inlineStr"/>
      <c r="M931" t="inlineStr"/>
      <c r="N931" t="inlineStr"/>
    </row>
    <row r="932">
      <c r="A932" t="inlineStr">
        <is>
          <t>pk-lahore</t>
        </is>
      </c>
      <c r="B932" t="inlineStr">
        <is>
          <t>Lahore</t>
        </is>
      </c>
      <c r="C932" t="inlineStr">
        <is>
          <t>Pakistan</t>
        </is>
      </c>
      <c r="D932" t="inlineStr">
        <is>
          <t>South Asia</t>
        </is>
      </c>
      <c r="E932" t="inlineStr">
        <is>
          <t>rent</t>
        </is>
      </c>
      <c r="F932" t="inlineStr">
        <is>
          <t>Rent</t>
        </is>
      </c>
      <c r="G932" t="inlineStr">
        <is>
          <t>pressure</t>
        </is>
      </c>
      <c r="H932" t="inlineStr">
        <is>
          <t>yes</t>
        </is>
      </c>
      <c r="I932" t="inlineStr">
        <is>
          <t>64.81</t>
        </is>
      </c>
      <c r="J932" t="inlineStr">
        <is>
          <t>world_bank_col_estimate</t>
        </is>
      </c>
      <c r="K932" t="inlineStr">
        <is>
          <t>https://api.worldbank.org/v2/country/PAK/indicator/NY.GNP.PCAP.PP.CD?format=json&amp;mrv=10</t>
        </is>
      </c>
      <c r="L932" t="inlineStr">
        <is>
          <t>World Bank GNI + regional expenditure ratio estimate</t>
        </is>
      </c>
      <c r="M932" t="inlineStr">
        <is>
          <t>2024-12-31</t>
        </is>
      </c>
      <c r="N932" t="inlineStr">
        <is>
          <t>auto_ingest=world_bank_col_estimate; gni_annual=6100.0; year=2024; country_proxy=Pakistan; cohort=South Asia; city_cost_mult=0.85</t>
        </is>
      </c>
    </row>
    <row r="933">
      <c r="A933" t="inlineStr">
        <is>
          <t>pk-lahore</t>
        </is>
      </c>
      <c r="B933" t="inlineStr">
        <is>
          <t>Lahore</t>
        </is>
      </c>
      <c r="C933" t="inlineStr">
        <is>
          <t>Pakistan</t>
        </is>
      </c>
      <c r="D933" t="inlineStr">
        <is>
          <t>South Asia</t>
        </is>
      </c>
      <c r="E933" t="inlineStr">
        <is>
          <t>utilities</t>
        </is>
      </c>
      <c r="F933" t="inlineStr">
        <is>
          <t>Utilities</t>
        </is>
      </c>
      <c r="G933" t="inlineStr">
        <is>
          <t>pressure</t>
        </is>
      </c>
      <c r="H933" t="inlineStr">
        <is>
          <t>yes</t>
        </is>
      </c>
      <c r="I933" t="inlineStr">
        <is>
          <t>21.6</t>
        </is>
      </c>
      <c r="J933" t="inlineStr">
        <is>
          <t>world_bank_col_estimate</t>
        </is>
      </c>
      <c r="K933" t="inlineStr">
        <is>
          <t>https://api.worldbank.org/v2/country/PAK/indicator/NY.GNP.PCAP.PP.CD?format=json&amp;mrv=10</t>
        </is>
      </c>
      <c r="L933" t="inlineStr">
        <is>
          <t>World Bank GNI + regional expenditure ratio estimate</t>
        </is>
      </c>
      <c r="M933" t="inlineStr">
        <is>
          <t>2024-12-31</t>
        </is>
      </c>
      <c r="N933" t="inlineStr">
        <is>
          <t>auto_ingest=world_bank_col_estimate; gni_annual=6100.0; year=2024; country_proxy=Pakistan; cohort=South Asia; city_cost_mult=0.85</t>
        </is>
      </c>
    </row>
    <row r="934">
      <c r="A934" t="inlineStr">
        <is>
          <t>pk-lahore</t>
        </is>
      </c>
      <c r="B934" t="inlineStr">
        <is>
          <t>Lahore</t>
        </is>
      </c>
      <c r="C934" t="inlineStr">
        <is>
          <t>Pakistan</t>
        </is>
      </c>
      <c r="D934" t="inlineStr">
        <is>
          <t>South Asia</t>
        </is>
      </c>
      <c r="E934" t="inlineStr">
        <is>
          <t>transit_cost</t>
        </is>
      </c>
      <c r="F934" t="inlineStr">
        <is>
          <t>Transit cost</t>
        </is>
      </c>
      <c r="G934" t="inlineStr">
        <is>
          <t>pressure</t>
        </is>
      </c>
      <c r="H934" t="inlineStr">
        <is>
          <t>yes</t>
        </is>
      </c>
      <c r="I934" t="inlineStr">
        <is>
          <t>12.96</t>
        </is>
      </c>
      <c r="J934" t="inlineStr">
        <is>
          <t>world_bank_col_estimate</t>
        </is>
      </c>
      <c r="K934" t="inlineStr">
        <is>
          <t>https://api.worldbank.org/v2/country/PAK/indicator/NY.GNP.PCAP.PP.CD?format=json&amp;mrv=10</t>
        </is>
      </c>
      <c r="L934" t="inlineStr">
        <is>
          <t>World Bank GNI + regional expenditure ratio estimate</t>
        </is>
      </c>
      <c r="M934" t="inlineStr">
        <is>
          <t>2024-12-31</t>
        </is>
      </c>
      <c r="N934" t="inlineStr">
        <is>
          <t>auto_ingest=world_bank_col_estimate; gni_annual=6100.0; year=2024; country_proxy=Pakistan; cohort=South Asia; city_cost_mult=0.85</t>
        </is>
      </c>
    </row>
    <row r="935">
      <c r="A935" t="inlineStr">
        <is>
          <t>pk-lahore</t>
        </is>
      </c>
      <c r="B935" t="inlineStr">
        <is>
          <t>Lahore</t>
        </is>
      </c>
      <c r="C935" t="inlineStr">
        <is>
          <t>Pakistan</t>
        </is>
      </c>
      <c r="D935" t="inlineStr">
        <is>
          <t>South Asia</t>
        </is>
      </c>
      <c r="E935" t="inlineStr">
        <is>
          <t>internet_cost</t>
        </is>
      </c>
      <c r="F935" t="inlineStr">
        <is>
          <t>Internet cost</t>
        </is>
      </c>
      <c r="G935" t="inlineStr">
        <is>
          <t>pressure</t>
        </is>
      </c>
      <c r="H935" t="inlineStr">
        <is>
          <t>yes</t>
        </is>
      </c>
      <c r="I935" t="inlineStr">
        <is>
          <t>4.32</t>
        </is>
      </c>
      <c r="J935" t="inlineStr">
        <is>
          <t>world_bank_col_estimate</t>
        </is>
      </c>
      <c r="K935" t="inlineStr">
        <is>
          <t>https://api.worldbank.org/v2/country/PAK/indicator/NY.GNP.PCAP.PP.CD?format=json&amp;mrv=10</t>
        </is>
      </c>
      <c r="L935" t="inlineStr">
        <is>
          <t>World Bank GNI + regional expenditure ratio estimate</t>
        </is>
      </c>
      <c r="M935" t="inlineStr">
        <is>
          <t>2024-12-31</t>
        </is>
      </c>
      <c r="N935" t="inlineStr">
        <is>
          <t>auto_ingest=world_bank_col_estimate; gni_annual=6100.0; year=2024; country_proxy=Pakistan; cohort=South Asia; city_cost_mult=0.85</t>
        </is>
      </c>
    </row>
    <row r="936">
      <c r="A936" t="inlineStr">
        <is>
          <t>pk-lahore</t>
        </is>
      </c>
      <c r="B936" t="inlineStr">
        <is>
          <t>Lahore</t>
        </is>
      </c>
      <c r="C936" t="inlineStr">
        <is>
          <t>Pakistan</t>
        </is>
      </c>
      <c r="D936" t="inlineStr">
        <is>
          <t>South Asia</t>
        </is>
      </c>
      <c r="E936" t="inlineStr">
        <is>
          <t>food_cost</t>
        </is>
      </c>
      <c r="F936" t="inlineStr">
        <is>
          <t>Food cost</t>
        </is>
      </c>
      <c r="G936" t="inlineStr">
        <is>
          <t>pressure</t>
        </is>
      </c>
      <c r="H936" t="inlineStr">
        <is>
          <t>yes</t>
        </is>
      </c>
      <c r="I936" t="inlineStr">
        <is>
          <t>108.02</t>
        </is>
      </c>
      <c r="J936" t="inlineStr">
        <is>
          <t>world_bank_col_estimate</t>
        </is>
      </c>
      <c r="K936" t="inlineStr">
        <is>
          <t>https://api.worldbank.org/v2/country/PAK/indicator/NY.GNP.PCAP.PP.CD?format=json&amp;mrv=10</t>
        </is>
      </c>
      <c r="L936" t="inlineStr">
        <is>
          <t>World Bank GNI + regional expenditure ratio estimate</t>
        </is>
      </c>
      <c r="M936" t="inlineStr">
        <is>
          <t>2024-12-31</t>
        </is>
      </c>
      <c r="N936" t="inlineStr">
        <is>
          <t>auto_ingest=world_bank_col_estimate; gni_annual=6100.0; year=2024; country_proxy=Pakistan; cohort=South Asia; city_cost_mult=0.85</t>
        </is>
      </c>
    </row>
    <row r="937">
      <c r="A937" t="inlineStr">
        <is>
          <t>pk-lahore</t>
        </is>
      </c>
      <c r="B937" t="inlineStr">
        <is>
          <t>Lahore</t>
        </is>
      </c>
      <c r="C937" t="inlineStr">
        <is>
          <t>Pakistan</t>
        </is>
      </c>
      <c r="D937" t="inlineStr">
        <is>
          <t>South Asia</t>
        </is>
      </c>
      <c r="E937" t="inlineStr">
        <is>
          <t>housing_burden_raw</t>
        </is>
      </c>
      <c r="F937" t="inlineStr">
        <is>
          <t>Housing burden raw</t>
        </is>
      </c>
      <c r="G937" t="inlineStr">
        <is>
          <t>pressure</t>
        </is>
      </c>
      <c r="H937" t="inlineStr">
        <is>
          <t>yes</t>
        </is>
      </c>
      <c r="I937" t="inlineStr">
        <is>
          <t>12.7496</t>
        </is>
      </c>
      <c r="J937" t="inlineStr">
        <is>
          <t>derived</t>
        </is>
      </c>
      <c r="K937" t="inlineStr">
        <is>
          <t>https://data.worldbank.org/indicator/NY.GNP.PCAP.PP.CD</t>
        </is>
      </c>
      <c r="L937" t="inlineStr">
        <is>
          <t>Computed from city_inputs + country_context</t>
        </is>
      </c>
      <c r="M937" t="inlineStr">
        <is>
          <t>2024-01-01</t>
        </is>
      </c>
      <c r="N937" t="inlineStr">
        <is>
          <t>derived=rent/gross_income*100</t>
        </is>
      </c>
    </row>
    <row r="938">
      <c r="A938" t="inlineStr">
        <is>
          <t>pk-lahore</t>
        </is>
      </c>
      <c r="B938" t="inlineStr">
        <is>
          <t>Lahore</t>
        </is>
      </c>
      <c r="C938" t="inlineStr">
        <is>
          <t>Pakistan</t>
        </is>
      </c>
      <c r="D938" t="inlineStr">
        <is>
          <t>South Asia</t>
        </is>
      </c>
      <c r="E938" t="inlineStr">
        <is>
          <t>household_debt_burden_raw</t>
        </is>
      </c>
      <c r="F938" t="inlineStr">
        <is>
          <t>Household debt burden raw</t>
        </is>
      </c>
      <c r="G938" t="inlineStr">
        <is>
          <t>pressure</t>
        </is>
      </c>
      <c r="H938" t="inlineStr">
        <is>
          <t>yes</t>
        </is>
      </c>
      <c r="I938" t="inlineStr">
        <is>
          <t>11.3901</t>
        </is>
      </c>
      <c r="J938" t="inlineStr">
        <is>
          <t>derived</t>
        </is>
      </c>
      <c r="K938" t="inlineStr">
        <is>
          <t>https://data.worldbank.org/indicator/NY.GNP.PCAP.PP.CD</t>
        </is>
      </c>
      <c r="L938" t="inlineStr">
        <is>
          <t>Computed from city_inputs + country_context</t>
        </is>
      </c>
      <c r="M938" t="inlineStr">
        <is>
          <t>2024-01-01</t>
        </is>
      </c>
      <c r="N938" t="inlineStr">
        <is>
          <t>derived=country_context.household_debt_proxy; country=Pakistan</t>
        </is>
      </c>
    </row>
    <row r="939">
      <c r="A939" t="inlineStr">
        <is>
          <t>pk-lahore</t>
        </is>
      </c>
      <c r="B939" t="inlineStr">
        <is>
          <t>Lahore</t>
        </is>
      </c>
      <c r="C939" t="inlineStr">
        <is>
          <t>Pakistan</t>
        </is>
      </c>
      <c r="D939" t="inlineStr">
        <is>
          <t>South Asia</t>
        </is>
      </c>
      <c r="E939" t="inlineStr">
        <is>
          <t>working_time_pressure_raw</t>
        </is>
      </c>
      <c r="F939" t="inlineStr">
        <is>
          <t>Working time pressure raw</t>
        </is>
      </c>
      <c r="G939" t="inlineStr">
        <is>
          <t>pressure</t>
        </is>
      </c>
      <c r="H939" t="inlineStr">
        <is>
          <t>yes</t>
        </is>
      </c>
      <c r="I939" t="inlineStr">
        <is>
          <t>46.77</t>
        </is>
      </c>
      <c r="J939" t="inlineStr">
        <is>
          <t>ilo_ilostat</t>
        </is>
      </c>
      <c r="K939" t="inlineStr">
        <is>
          <t>https://ilostat.ilo.org/data/indicator/?id=HOW_TEMP_SEX_ECO_NB_A&amp;ref_area=PAK</t>
        </is>
      </c>
      <c r="L939" t="inlineStr">
        <is>
          <t>ILO ILOSTAT: Mean weekly hours actually worked per employed person</t>
        </is>
      </c>
      <c r="M939" t="inlineStr">
        <is>
          <t>2025-12-31</t>
        </is>
      </c>
      <c r="N939" t="inlineStr">
        <is>
          <t>auto_ingest=ilo_working_hours; indicator=HOW_TEMP_SEX_ECO_NB_A; year=2025; hours=46.77; country_proxy=Pakistan</t>
        </is>
      </c>
    </row>
    <row r="940">
      <c r="A940" t="inlineStr">
        <is>
          <t>pk-lahore</t>
        </is>
      </c>
      <c r="B940" t="inlineStr">
        <is>
          <t>Lahore</t>
        </is>
      </c>
      <c r="C940" t="inlineStr">
        <is>
          <t>Pakistan</t>
        </is>
      </c>
      <c r="D940" t="inlineStr">
        <is>
          <t>South Asia</t>
        </is>
      </c>
      <c r="E940" t="inlineStr">
        <is>
          <t>suicide_mental_strain_raw</t>
        </is>
      </c>
      <c r="F940" t="inlineStr">
        <is>
          <t>Suicide or mental strain raw</t>
        </is>
      </c>
      <c r="G940" t="inlineStr">
        <is>
          <t>pressure</t>
        </is>
      </c>
      <c r="H940" t="inlineStr">
        <is>
          <t>yes</t>
        </is>
      </c>
      <c r="I940" t="inlineStr">
        <is>
          <t>5.64</t>
        </is>
      </c>
      <c r="J940" t="inlineStr">
        <is>
          <t>who_gho</t>
        </is>
      </c>
      <c r="K940" t="inlineStr">
        <is>
          <t>https://www.who.int/data/gho/data/indicators/indicator-details/GHO/SDGSUICIDE</t>
        </is>
      </c>
      <c r="L940" t="inlineStr">
        <is>
          <t>WHO GHO: Age-standardized suicide rate (per 100,000 population)</t>
        </is>
      </c>
      <c r="M940" t="inlineStr">
        <is>
          <t>2021-12-31</t>
        </is>
      </c>
      <c r="N940" t="inlineStr">
        <is>
          <t>auto_ingest=who_gho; indicator=SDGSUICIDE; year=2021; country_proxy=Pakistan</t>
        </is>
      </c>
    </row>
    <row r="941">
      <c r="A941" t="inlineStr">
        <is>
          <t>pk-lahore</t>
        </is>
      </c>
      <c r="B941" t="inlineStr">
        <is>
          <t>Lahore</t>
        </is>
      </c>
      <c r="C941" t="inlineStr">
        <is>
          <t>Pakistan</t>
        </is>
      </c>
      <c r="D941" t="inlineStr">
        <is>
          <t>South Asia</t>
        </is>
      </c>
      <c r="E941" t="inlineStr">
        <is>
          <t>personal_safety_raw</t>
        </is>
      </c>
      <c r="F941" t="inlineStr">
        <is>
          <t>Personal safety raw</t>
        </is>
      </c>
      <c r="G941" t="inlineStr">
        <is>
          <t>viability</t>
        </is>
      </c>
      <c r="H941" t="inlineStr">
        <is>
          <t>yes</t>
        </is>
      </c>
      <c r="I941" t="inlineStr">
        <is>
          <t>4.33</t>
        </is>
      </c>
      <c r="J941" t="inlineStr">
        <is>
          <t>world_bank</t>
        </is>
      </c>
      <c r="K941" t="inlineStr">
        <is>
          <t>https://api.worldbank.org/v2/country/PAK/indicator/VC.IHR.PSRC.P5?format=json&amp;mrv=10</t>
        </is>
      </c>
      <c r="L941" t="inlineStr">
        <is>
          <t>UNODC via World Bank WDI: Intentional homicides (per 100,000 people)</t>
        </is>
      </c>
      <c r="M941" t="inlineStr">
        <is>
          <t>2023-12-31</t>
        </is>
      </c>
      <c r="N941" t="inlineStr">
        <is>
          <t>auto_ingest=unodc_safety; indicator=VC.IHR.PSRC.P5; year=2023; country_proxy=Pakistan</t>
        </is>
      </c>
    </row>
    <row r="942">
      <c r="A942" t="inlineStr">
        <is>
          <t>pk-lahore</t>
        </is>
      </c>
      <c r="B942" t="inlineStr">
        <is>
          <t>Lahore</t>
        </is>
      </c>
      <c r="C942" t="inlineStr">
        <is>
          <t>Pakistan</t>
        </is>
      </c>
      <c r="D942" t="inlineStr">
        <is>
          <t>South Asia</t>
        </is>
      </c>
      <c r="E942" t="inlineStr">
        <is>
          <t>transit_access_commute_raw</t>
        </is>
      </c>
      <c r="F942" t="inlineStr">
        <is>
          <t>Transit access and commute raw</t>
        </is>
      </c>
      <c r="G942" t="inlineStr">
        <is>
          <t>viability</t>
        </is>
      </c>
      <c r="H942" t="inlineStr">
        <is>
          <t>yes</t>
        </is>
      </c>
      <c r="I942" t="inlineStr"/>
      <c r="J942" t="inlineStr"/>
      <c r="K942" t="inlineStr"/>
      <c r="L942" t="inlineStr"/>
      <c r="M942" t="inlineStr"/>
      <c r="N942" t="inlineStr"/>
    </row>
    <row r="943">
      <c r="A943" t="inlineStr">
        <is>
          <t>pk-lahore</t>
        </is>
      </c>
      <c r="B943" t="inlineStr">
        <is>
          <t>Lahore</t>
        </is>
      </c>
      <c r="C943" t="inlineStr">
        <is>
          <t>Pakistan</t>
        </is>
      </c>
      <c r="D943" t="inlineStr">
        <is>
          <t>South Asia</t>
        </is>
      </c>
      <c r="E943" t="inlineStr">
        <is>
          <t>clean_air_raw</t>
        </is>
      </c>
      <c r="F943" t="inlineStr">
        <is>
          <t>Clean air raw</t>
        </is>
      </c>
      <c r="G943" t="inlineStr">
        <is>
          <t>viability</t>
        </is>
      </c>
      <c r="H943" t="inlineStr">
        <is>
          <t>yes</t>
        </is>
      </c>
      <c r="I943" t="inlineStr"/>
      <c r="J943" t="inlineStr"/>
      <c r="K943" t="inlineStr"/>
      <c r="L943" t="inlineStr"/>
      <c r="M943" t="inlineStr"/>
      <c r="N943" t="inlineStr"/>
    </row>
    <row r="944">
      <c r="A944" t="inlineStr">
        <is>
          <t>pk-lahore</t>
        </is>
      </c>
      <c r="B944" t="inlineStr">
        <is>
          <t>Lahore</t>
        </is>
      </c>
      <c r="C944" t="inlineStr">
        <is>
          <t>Pakistan</t>
        </is>
      </c>
      <c r="D944" t="inlineStr">
        <is>
          <t>South Asia</t>
        </is>
      </c>
      <c r="E944" t="inlineStr">
        <is>
          <t>water_sanitation_utility_raw</t>
        </is>
      </c>
      <c r="F944" t="inlineStr">
        <is>
          <t>Water, sanitation, and utility raw</t>
        </is>
      </c>
      <c r="G944" t="inlineStr">
        <is>
          <t>viability</t>
        </is>
      </c>
      <c r="H944" t="inlineStr">
        <is>
          <t>yes</t>
        </is>
      </c>
      <c r="I944" t="inlineStr">
        <is>
          <t>44.97</t>
        </is>
      </c>
      <c r="J944" t="inlineStr">
        <is>
          <t>world_bank</t>
        </is>
      </c>
      <c r="K944" t="inlineStr">
        <is>
          <t>https://api.worldbank.org/v2/country/PAK/indicator/SH.H2O.SMDW.ZS?format=json&amp;mrv=10</t>
        </is>
      </c>
      <c r="L944" t="inlineStr">
        <is>
          <t>World Bank WDI: People using safely managed drinking water services (% of population)</t>
        </is>
      </c>
      <c r="M944" t="inlineStr">
        <is>
          <t>2024-12-31</t>
        </is>
      </c>
      <c r="N944" t="inlineStr">
        <is>
          <t>auto_ingest=world_bank_proxy; indicator=SH.H2O.SMDW.ZS; year=2024; country_proxy=Pakistan</t>
        </is>
      </c>
    </row>
    <row r="945">
      <c r="A945" t="inlineStr">
        <is>
          <t>pk-lahore</t>
        </is>
      </c>
      <c r="B945" t="inlineStr">
        <is>
          <t>Lahore</t>
        </is>
      </c>
      <c r="C945" t="inlineStr">
        <is>
          <t>Pakistan</t>
        </is>
      </c>
      <c r="D945" t="inlineStr">
        <is>
          <t>South Asia</t>
        </is>
      </c>
      <c r="E945" t="inlineStr">
        <is>
          <t>digital_infrastructure_raw</t>
        </is>
      </c>
      <c r="F945" t="inlineStr">
        <is>
          <t>Digital infrastructure raw</t>
        </is>
      </c>
      <c r="G945" t="inlineStr">
        <is>
          <t>viability</t>
        </is>
      </c>
      <c r="H945" t="inlineStr">
        <is>
          <t>yes</t>
        </is>
      </c>
      <c r="I945" t="inlineStr">
        <is>
          <t>1.36</t>
        </is>
      </c>
      <c r="J945" t="inlineStr">
        <is>
          <t>world_bank</t>
        </is>
      </c>
      <c r="K945" t="inlineStr">
        <is>
          <t>https://api.worldbank.org/v2/country/PAK/indicator/IT.NET.BBND.P2?format=json&amp;mrv=10</t>
        </is>
      </c>
      <c r="L945" t="inlineStr">
        <is>
          <t>World Bank WDI: Fixed broadband subscriptions (per 100 people)</t>
        </is>
      </c>
      <c r="M945" t="inlineStr">
        <is>
          <t>2023-12-31</t>
        </is>
      </c>
      <c r="N945" t="inlineStr">
        <is>
          <t>auto_ingest=world_bank_proxy; indicator=IT.NET.BBND.P2; year=2023; country_proxy=Pakistan</t>
        </is>
      </c>
    </row>
    <row r="946">
      <c r="A946" t="inlineStr">
        <is>
          <t>pk-lahore</t>
        </is>
      </c>
      <c r="B946" t="inlineStr">
        <is>
          <t>Lahore</t>
        </is>
      </c>
      <c r="C946" t="inlineStr">
        <is>
          <t>Pakistan</t>
        </is>
      </c>
      <c r="D946" t="inlineStr">
        <is>
          <t>South Asia</t>
        </is>
      </c>
      <c r="E946" t="inlineStr">
        <is>
          <t>climate_sunlight_livability_raw</t>
        </is>
      </c>
      <c r="F946" t="inlineStr">
        <is>
          <t>Climate and sunlight livability raw</t>
        </is>
      </c>
      <c r="G946" t="inlineStr">
        <is>
          <t>viability</t>
        </is>
      </c>
      <c r="H946" t="inlineStr">
        <is>
          <t>yes</t>
        </is>
      </c>
      <c r="I946" t="inlineStr"/>
      <c r="J946" t="inlineStr"/>
      <c r="K946" t="inlineStr"/>
      <c r="L946" t="inlineStr"/>
      <c r="M946" t="inlineStr"/>
      <c r="N946" t="inlineStr"/>
    </row>
    <row r="947">
      <c r="A947" t="inlineStr">
        <is>
          <t>pk-lahore</t>
        </is>
      </c>
      <c r="B947" t="inlineStr">
        <is>
          <t>Lahore</t>
        </is>
      </c>
      <c r="C947" t="inlineStr">
        <is>
          <t>Pakistan</t>
        </is>
      </c>
      <c r="D947" t="inlineStr">
        <is>
          <t>South Asia</t>
        </is>
      </c>
      <c r="E947" t="inlineStr">
        <is>
          <t>healthcare_quality_raw</t>
        </is>
      </c>
      <c r="F947" t="inlineStr">
        <is>
          <t>Healthcare quality raw</t>
        </is>
      </c>
      <c r="G947" t="inlineStr">
        <is>
          <t>capability</t>
        </is>
      </c>
      <c r="H947" t="inlineStr">
        <is>
          <t>yes</t>
        </is>
      </c>
      <c r="I947" t="inlineStr">
        <is>
          <t>56.0</t>
        </is>
      </c>
      <c r="J947" t="inlineStr">
        <is>
          <t>who_gho</t>
        </is>
      </c>
      <c r="K947" t="inlineStr">
        <is>
          <t>https://www.who.int/data/gho/data/indicators/indicator-details/GHO/UHC_INDEX_REPORTED</t>
        </is>
      </c>
      <c r="L947" t="inlineStr">
        <is>
          <t>WHO GHO: UHC Service Coverage Index</t>
        </is>
      </c>
      <c r="M947" t="inlineStr">
        <is>
          <t>2023-12-31</t>
        </is>
      </c>
      <c r="N947" t="inlineStr">
        <is>
          <t>auto_ingest=who_gho; indicator=UHC_INDEX_REPORTED; year=2023; country_proxy=Pakistan</t>
        </is>
      </c>
    </row>
    <row r="948">
      <c r="A948" t="inlineStr">
        <is>
          <t>pk-lahore</t>
        </is>
      </c>
      <c r="B948" t="inlineStr">
        <is>
          <t>Lahore</t>
        </is>
      </c>
      <c r="C948" t="inlineStr">
        <is>
          <t>Pakistan</t>
        </is>
      </c>
      <c r="D948" t="inlineStr">
        <is>
          <t>South Asia</t>
        </is>
      </c>
      <c r="E948" t="inlineStr">
        <is>
          <t>education_quality_raw</t>
        </is>
      </c>
      <c r="F948" t="inlineStr">
        <is>
          <t>Education quality raw</t>
        </is>
      </c>
      <c r="G948" t="inlineStr">
        <is>
          <t>capability</t>
        </is>
      </c>
      <c r="H948" t="inlineStr">
        <is>
          <t>yes</t>
        </is>
      </c>
      <c r="I948" t="inlineStr">
        <is>
          <t>10.86</t>
        </is>
      </c>
      <c r="J948" t="inlineStr">
        <is>
          <t>world_bank</t>
        </is>
      </c>
      <c r="K948" t="inlineStr">
        <is>
          <t>https://api.worldbank.org/v2/country/PAK/indicator/SE.TER.ENRR?format=json&amp;mrv=10</t>
        </is>
      </c>
      <c r="L948" t="inlineStr">
        <is>
          <t>World Bank WDI: School enrollment, tertiary (% gross)</t>
        </is>
      </c>
      <c r="M948" t="inlineStr">
        <is>
          <t>2024-12-31</t>
        </is>
      </c>
      <c r="N948" t="inlineStr">
        <is>
          <t>auto_ingest=world_bank_proxy; indicator=SE.TER.ENRR; year=2024; country_proxy=Pakistan</t>
        </is>
      </c>
    </row>
    <row r="949">
      <c r="A949" t="inlineStr">
        <is>
          <t>pk-lahore</t>
        </is>
      </c>
      <c r="B949" t="inlineStr">
        <is>
          <t>Lahore</t>
        </is>
      </c>
      <c r="C949" t="inlineStr">
        <is>
          <t>Pakistan</t>
        </is>
      </c>
      <c r="D949" t="inlineStr">
        <is>
          <t>South Asia</t>
        </is>
      </c>
      <c r="E949" t="inlineStr">
        <is>
          <t>equal_opportunity_raw</t>
        </is>
      </c>
      <c r="F949" t="inlineStr">
        <is>
          <t>Equal opportunity raw</t>
        </is>
      </c>
      <c r="G949" t="inlineStr">
        <is>
          <t>capability</t>
        </is>
      </c>
      <c r="H949" t="inlineStr">
        <is>
          <t>yes</t>
        </is>
      </c>
      <c r="I949" t="inlineStr">
        <is>
          <t>29.6</t>
        </is>
      </c>
      <c r="J949" t="inlineStr">
        <is>
          <t>world_bank</t>
        </is>
      </c>
      <c r="K949" t="inlineStr">
        <is>
          <t>https://api.worldbank.org/v2/country/PAK/indicator/SI.POV.GINI?format=json&amp;mrv=10</t>
        </is>
      </c>
      <c r="L949" t="inlineStr">
        <is>
          <t>World Bank WDI: Gini index</t>
        </is>
      </c>
      <c r="M949" t="inlineStr">
        <is>
          <t>2018-12-31</t>
        </is>
      </c>
      <c r="N949" t="inlineStr">
        <is>
          <t>auto_ingest=world_bank_capability; indicator=SI.POV.GINI; year=2018; country_proxy=Pakistan</t>
        </is>
      </c>
    </row>
    <row r="950">
      <c r="A950" t="inlineStr">
        <is>
          <t>pk-lahore</t>
        </is>
      </c>
      <c r="B950" t="inlineStr">
        <is>
          <t>Lahore</t>
        </is>
      </c>
      <c r="C950" t="inlineStr">
        <is>
          <t>Pakistan</t>
        </is>
      </c>
      <c r="D950" t="inlineStr">
        <is>
          <t>South Asia</t>
        </is>
      </c>
      <c r="E950" t="inlineStr">
        <is>
          <t>hospitality_belonging_raw</t>
        </is>
      </c>
      <c r="F950" t="inlineStr">
        <is>
          <t>Hospitality and belonging raw</t>
        </is>
      </c>
      <c r="G950" t="inlineStr">
        <is>
          <t>community</t>
        </is>
      </c>
      <c r="H950" t="inlineStr">
        <is>
          <t>yes</t>
        </is>
      </c>
      <c r="I950" t="inlineStr">
        <is>
          <t>45.08</t>
        </is>
      </c>
      <c r="J950" t="inlineStr">
        <is>
          <t>world_bank</t>
        </is>
      </c>
      <c r="K950" t="inlineStr">
        <is>
          <t>https://api.worldbank.org/v2/country/PAK/indicator/SM.POP.NETM?format=json&amp;mrv=10</t>
        </is>
      </c>
      <c r="L950" t="inlineStr">
        <is>
          <t>World Bank WDI: Net migration (proxy for hospitality/belonging — positive = welcoming)</t>
        </is>
      </c>
      <c r="M950" t="inlineStr">
        <is>
          <t>2025-12-31</t>
        </is>
      </c>
      <c r="N950" t="inlineStr">
        <is>
          <t>auto_ingest=world_bank_proxy; proxy=net_migration_hospitality; indicator=SM.POP.NETM; year=2025; country_proxy=Pakistan</t>
        </is>
      </c>
    </row>
    <row r="951">
      <c r="A951" t="inlineStr">
        <is>
          <t>pk-lahore</t>
        </is>
      </c>
      <c r="B951" t="inlineStr">
        <is>
          <t>Lahore</t>
        </is>
      </c>
      <c r="C951" t="inlineStr">
        <is>
          <t>Pakistan</t>
        </is>
      </c>
      <c r="D951" t="inlineStr">
        <is>
          <t>South Asia</t>
        </is>
      </c>
      <c r="E951" t="inlineStr">
        <is>
          <t>tolerance_pluralism_raw</t>
        </is>
      </c>
      <c r="F951" t="inlineStr">
        <is>
          <t>Tolerance and pluralism raw</t>
        </is>
      </c>
      <c r="G951" t="inlineStr">
        <is>
          <t>community</t>
        </is>
      </c>
      <c r="H951" t="inlineStr">
        <is>
          <t>yes</t>
        </is>
      </c>
      <c r="I951" t="inlineStr">
        <is>
          <t>17.04</t>
        </is>
      </c>
      <c r="J951" t="inlineStr">
        <is>
          <t>world_bank</t>
        </is>
      </c>
      <c r="K951" t="inlineStr">
        <is>
          <t>https://api.worldbank.org/v2/country/PAK/indicator/SG.GEN.PARL.ZS?format=json&amp;mrv=10</t>
        </is>
      </c>
      <c r="L951" t="inlineStr">
        <is>
          <t>World Bank WDI: Proportion of seats held by women in national parliaments (%)</t>
        </is>
      </c>
      <c r="M951" t="inlineStr">
        <is>
          <t>2024-12-31</t>
        </is>
      </c>
      <c r="N951" t="inlineStr">
        <is>
          <t>auto_ingest=world_bank_proxy; proxy=gender_parity_parliament; indicator=SG.GEN.PARL.ZS; year=2024; country_proxy=Pakistan</t>
        </is>
      </c>
    </row>
    <row r="952">
      <c r="A952" t="inlineStr">
        <is>
          <t>pk-lahore</t>
        </is>
      </c>
      <c r="B952" t="inlineStr">
        <is>
          <t>Lahore</t>
        </is>
      </c>
      <c r="C952" t="inlineStr">
        <is>
          <t>Pakistan</t>
        </is>
      </c>
      <c r="D952" t="inlineStr">
        <is>
          <t>South Asia</t>
        </is>
      </c>
      <c r="E952" t="inlineStr">
        <is>
          <t>cultural_public_life_raw</t>
        </is>
      </c>
      <c r="F952" t="inlineStr">
        <is>
          <t>Cultural public life raw</t>
        </is>
      </c>
      <c r="G952" t="inlineStr">
        <is>
          <t>community</t>
        </is>
      </c>
      <c r="H952" t="inlineStr">
        <is>
          <t>yes</t>
        </is>
      </c>
      <c r="I952" t="inlineStr">
        <is>
          <t>30.61</t>
        </is>
      </c>
      <c r="J952" t="inlineStr">
        <is>
          <t>world_bank</t>
        </is>
      </c>
      <c r="K952" t="inlineStr">
        <is>
          <t>https://api.worldbank.org/v2/country/PAK/indicator/SP.POP.DPND?format=json&amp;mrv=10</t>
        </is>
      </c>
      <c r="L952" t="inlineStr">
        <is>
          <t>World Bank WDI: Age dependency ratio (% of working-age population), inverted as social vitality proxy</t>
        </is>
      </c>
      <c r="M952" t="inlineStr">
        <is>
          <t>2024-12-31</t>
        </is>
      </c>
      <c r="N952" t="inlineStr">
        <is>
          <t>auto_ingest=world_bank_proxy; proxy=inverse_dependency_ratio_social_vitality; indicator=SP.POP.DPND; year=2024; country_proxy=Pakistan</t>
        </is>
      </c>
    </row>
    <row r="953">
      <c r="A953" t="inlineStr">
        <is>
          <t>pk-lahore</t>
        </is>
      </c>
      <c r="B953" t="inlineStr">
        <is>
          <t>Lahore</t>
        </is>
      </c>
      <c r="C953" t="inlineStr">
        <is>
          <t>Pakistan</t>
        </is>
      </c>
      <c r="D953" t="inlineStr">
        <is>
          <t>South Asia</t>
        </is>
      </c>
      <c r="E953" t="inlineStr">
        <is>
          <t>birth_rate_optimism_raw</t>
        </is>
      </c>
      <c r="F953" t="inlineStr">
        <is>
          <t>Birth rate and societal optimism raw</t>
        </is>
      </c>
      <c r="G953" t="inlineStr">
        <is>
          <t>community</t>
        </is>
      </c>
      <c r="H953" t="inlineStr">
        <is>
          <t>yes</t>
        </is>
      </c>
      <c r="I953" t="inlineStr">
        <is>
          <t>3.36</t>
        </is>
      </c>
      <c r="J953" t="inlineStr">
        <is>
          <t>world_bank</t>
        </is>
      </c>
      <c r="K953" t="inlineStr">
        <is>
          <t>https://data.worldbank.org/indicator/SP.DYN.TFRT.IN</t>
        </is>
      </c>
      <c r="L953" t="inlineStr">
        <is>
          <t>World Bank Total Fertility Rate 2023</t>
        </is>
      </c>
      <c r="M953" t="inlineStr">
        <is>
          <t>2024-01-01</t>
        </is>
      </c>
      <c r="N953" t="inlineStr"/>
    </row>
    <row r="954">
      <c r="A954" t="inlineStr">
        <is>
          <t>pk-lahore</t>
        </is>
      </c>
      <c r="B954" t="inlineStr">
        <is>
          <t>Lahore</t>
        </is>
      </c>
      <c r="C954" t="inlineStr">
        <is>
          <t>Pakistan</t>
        </is>
      </c>
      <c r="D954" t="inlineStr">
        <is>
          <t>South Asia</t>
        </is>
      </c>
      <c r="E954" t="inlineStr">
        <is>
          <t>entrepreneurial_dynamism_raw</t>
        </is>
      </c>
      <c r="F954" t="inlineStr">
        <is>
          <t>Entrepreneurial dynamism raw</t>
        </is>
      </c>
      <c r="G954" t="inlineStr">
        <is>
          <t>creative</t>
        </is>
      </c>
      <c r="H954" t="inlineStr">
        <is>
          <t>yes</t>
        </is>
      </c>
      <c r="I954" t="inlineStr">
        <is>
          <t>0.19</t>
        </is>
      </c>
      <c r="J954" t="inlineStr">
        <is>
          <t>world_bank</t>
        </is>
      </c>
      <c r="K954" t="inlineStr">
        <is>
          <t>https://api.worldbank.org/v2/country/PAK/indicator/IC.BUS.NDNS.ZS?format=json&amp;mrv=10</t>
        </is>
      </c>
      <c r="L954" t="inlineStr">
        <is>
          <t>World Bank WDI: New business density (new registrations per 1,000 people ages 15-64)</t>
        </is>
      </c>
      <c r="M954" t="inlineStr">
        <is>
          <t>2022-12-31</t>
        </is>
      </c>
      <c r="N954" t="inlineStr">
        <is>
          <t>auto_ingest=world_bank_creative_extended; indicator=IC.BUS.NDNS.ZS; year=2022; country_proxy=Pakistan</t>
        </is>
      </c>
    </row>
    <row r="955">
      <c r="A955" t="inlineStr">
        <is>
          <t>pk-lahore</t>
        </is>
      </c>
      <c r="B955" t="inlineStr">
        <is>
          <t>Lahore</t>
        </is>
      </c>
      <c r="C955" t="inlineStr">
        <is>
          <t>Pakistan</t>
        </is>
      </c>
      <c r="D955" t="inlineStr">
        <is>
          <t>South Asia</t>
        </is>
      </c>
      <c r="E955" t="inlineStr">
        <is>
          <t>innovation_research_intensity_raw</t>
        </is>
      </c>
      <c r="F955" t="inlineStr">
        <is>
          <t>Innovation and research raw</t>
        </is>
      </c>
      <c r="G955" t="inlineStr">
        <is>
          <t>creative</t>
        </is>
      </c>
      <c r="H955" t="inlineStr">
        <is>
          <t>yes</t>
        </is>
      </c>
      <c r="I955" t="inlineStr">
        <is>
          <t>0.16</t>
        </is>
      </c>
      <c r="J955" t="inlineStr">
        <is>
          <t>world_bank</t>
        </is>
      </c>
      <c r="K955" t="inlineStr">
        <is>
          <t>https://api.worldbank.org/v2/country/PAK/indicator/GB.XPD.RSDV.GD.ZS?format=json&amp;mrv=10</t>
        </is>
      </c>
      <c r="L955" t="inlineStr">
        <is>
          <t>World Bank WDI: Research and development expenditure (% of GDP)</t>
        </is>
      </c>
      <c r="M955" t="inlineStr">
        <is>
          <t>2023-12-31</t>
        </is>
      </c>
      <c r="N955" t="inlineStr">
        <is>
          <t>auto_ingest=world_bank_creative_extended; indicator=GB.XPD.RSDV.GD.ZS; year=2023; country_proxy=Pakistan</t>
        </is>
      </c>
    </row>
    <row r="956">
      <c r="A956" t="inlineStr">
        <is>
          <t>pk-lahore</t>
        </is>
      </c>
      <c r="B956" t="inlineStr">
        <is>
          <t>Lahore</t>
        </is>
      </c>
      <c r="C956" t="inlineStr">
        <is>
          <t>Pakistan</t>
        </is>
      </c>
      <c r="D956" t="inlineStr">
        <is>
          <t>South Asia</t>
        </is>
      </c>
      <c r="E956" t="inlineStr">
        <is>
          <t>investment_signal_raw</t>
        </is>
      </c>
      <c r="F956" t="inlineStr">
        <is>
          <t>Investment signal raw</t>
        </is>
      </c>
      <c r="G956" t="inlineStr">
        <is>
          <t>creative</t>
        </is>
      </c>
      <c r="H956" t="inlineStr">
        <is>
          <t>yes</t>
        </is>
      </c>
      <c r="I956" t="inlineStr">
        <is>
          <t>0.72</t>
        </is>
      </c>
      <c r="J956" t="inlineStr">
        <is>
          <t>world_bank</t>
        </is>
      </c>
      <c r="K956" t="inlineStr">
        <is>
          <t>https://api.worldbank.org/v2/country/PAK/indicator/BX.KLT.DINV.WD.GD.ZS?format=json&amp;mrv=10</t>
        </is>
      </c>
      <c r="L956" t="inlineStr">
        <is>
          <t>World Bank WDI: Foreign direct investment, net inflows (% of GDP)</t>
        </is>
      </c>
      <c r="M956" t="inlineStr">
        <is>
          <t>2024-12-31</t>
        </is>
      </c>
      <c r="N956" t="inlineStr">
        <is>
          <t>auto_ingest=world_bank_creative_extended; indicator=BX.KLT.DINV.WD.GD.ZS; year=2024; country_proxy=Pakistan</t>
        </is>
      </c>
    </row>
    <row r="957">
      <c r="A957" t="inlineStr">
        <is>
          <t>pk-lahore</t>
        </is>
      </c>
      <c r="B957" t="inlineStr">
        <is>
          <t>Lahore</t>
        </is>
      </c>
      <c r="C957" t="inlineStr">
        <is>
          <t>Pakistan</t>
        </is>
      </c>
      <c r="D957" t="inlineStr">
        <is>
          <t>South Asia</t>
        </is>
      </c>
      <c r="E957" t="inlineStr">
        <is>
          <t>administrative_investment_friction_raw</t>
        </is>
      </c>
      <c r="F957" t="inlineStr">
        <is>
          <t>Administrative investment friction raw</t>
        </is>
      </c>
      <c r="G957" t="inlineStr">
        <is>
          <t>creative</t>
        </is>
      </c>
      <c r="H957" t="inlineStr">
        <is>
          <t>yes</t>
        </is>
      </c>
      <c r="I957" t="inlineStr">
        <is>
          <t>3.4</t>
        </is>
      </c>
      <c r="J957" t="inlineStr">
        <is>
          <t>world_bank</t>
        </is>
      </c>
      <c r="K957" t="inlineStr">
        <is>
          <t>https://api.worldbank.org/v2/country/PAK/indicator/RQ.EST?format=json&amp;mrv=10</t>
        </is>
      </c>
      <c r="L957" t="inlineStr">
        <is>
          <t>World Bank WGI: Regulatory Quality (inverted as friction proxy)</t>
        </is>
      </c>
      <c r="M957" t="inlineStr">
        <is>
          <t>2023-12-31</t>
        </is>
      </c>
      <c r="N957" t="inlineStr">
        <is>
          <t>auto_ingest=world_bank_business_friction; indicator=RQ.EST; raw_rq=-0.901008188724518; friction=3.4; year=2023; country_proxy=Pakistan</t>
        </is>
      </c>
    </row>
    <row r="958">
      <c r="A958" t="inlineStr">
        <is>
          <t>pk-lahore</t>
        </is>
      </c>
      <c r="B958" t="inlineStr">
        <is>
          <t>Lahore</t>
        </is>
      </c>
      <c r="C958" t="inlineStr">
        <is>
          <t>Pakistan</t>
        </is>
      </c>
      <c r="D958" t="inlineStr">
        <is>
          <t>South Asia</t>
        </is>
      </c>
      <c r="E958" t="inlineStr">
        <is>
          <t>visitor_flow_context_raw</t>
        </is>
      </c>
      <c r="F958" t="inlineStr">
        <is>
          <t>Visitor flow context raw</t>
        </is>
      </c>
      <c r="G958" t="inlineStr">
        <is>
          <t>creative</t>
        </is>
      </c>
      <c r="H958" t="inlineStr">
        <is>
          <t>no</t>
        </is>
      </c>
      <c r="I958" t="inlineStr"/>
      <c r="J958" t="inlineStr"/>
      <c r="K958" t="inlineStr"/>
      <c r="L958" t="inlineStr"/>
      <c r="M958" t="inlineStr"/>
      <c r="N958" t="inlineStr"/>
    </row>
    <row r="959">
      <c r="A959" t="inlineStr">
        <is>
          <t>bd-chattogram</t>
        </is>
      </c>
      <c r="B959" t="inlineStr">
        <is>
          <t>Chattogram</t>
        </is>
      </c>
      <c r="C959" t="inlineStr">
        <is>
          <t>Bangladesh</t>
        </is>
      </c>
      <c r="D959" t="inlineStr">
        <is>
          <t>South Asia</t>
        </is>
      </c>
      <c r="E959" t="inlineStr">
        <is>
          <t>gross_income</t>
        </is>
      </c>
      <c r="F959" t="inlineStr">
        <is>
          <t>Gross income</t>
        </is>
      </c>
      <c r="G959" t="inlineStr">
        <is>
          <t>pressure</t>
        </is>
      </c>
      <c r="H959" t="inlineStr">
        <is>
          <t>yes</t>
        </is>
      </c>
      <c r="I959" t="inlineStr">
        <is>
          <t>838.33</t>
        </is>
      </c>
      <c r="J959" t="inlineStr">
        <is>
          <t>world_bank_col_estimate</t>
        </is>
      </c>
      <c r="K959" t="inlineStr">
        <is>
          <t>https://api.worldbank.org/v2/country/BGD/indicator/NY.GNP.PCAP.PP.CD?format=json&amp;mrv=10</t>
        </is>
      </c>
      <c r="L959" t="inlineStr">
        <is>
          <t>World Bank WDI: GNI per capita PPP (monthly USD)</t>
        </is>
      </c>
      <c r="M959" t="inlineStr">
        <is>
          <t>2024-12-31</t>
        </is>
      </c>
      <c r="N959" t="inlineStr">
        <is>
          <t>auto_ingest=world_bank_col_estimate; gni_annual=10060.0; year=2024; country_proxy=Bangladesh; cohort=South Asia</t>
        </is>
      </c>
    </row>
    <row r="960">
      <c r="A960" t="inlineStr">
        <is>
          <t>bd-chattogram</t>
        </is>
      </c>
      <c r="B960" t="inlineStr">
        <is>
          <t>Chattogram</t>
        </is>
      </c>
      <c r="C960" t="inlineStr">
        <is>
          <t>Bangladesh</t>
        </is>
      </c>
      <c r="D960" t="inlineStr">
        <is>
          <t>South Asia</t>
        </is>
      </c>
      <c r="E960" t="inlineStr">
        <is>
          <t>di_ppp_raw</t>
        </is>
      </c>
      <c r="F960" t="inlineStr">
        <is>
          <t>Disposable income PPP (Raw)</t>
        </is>
      </c>
      <c r="G960" t="inlineStr">
        <is>
          <t>pressure</t>
        </is>
      </c>
      <c r="H960" t="inlineStr">
        <is>
          <t>yes</t>
        </is>
      </c>
      <c r="I960" t="inlineStr"/>
      <c r="J960" t="inlineStr"/>
      <c r="K960" t="inlineStr"/>
      <c r="L960" t="inlineStr"/>
      <c r="M960" t="inlineStr"/>
      <c r="N960" t="inlineStr"/>
    </row>
    <row r="961">
      <c r="A961" t="inlineStr">
        <is>
          <t>bd-chattogram</t>
        </is>
      </c>
      <c r="B961" t="inlineStr">
        <is>
          <t>Chattogram</t>
        </is>
      </c>
      <c r="C961" t="inlineStr">
        <is>
          <t>Bangladesh</t>
        </is>
      </c>
      <c r="D961" t="inlineStr">
        <is>
          <t>South Asia</t>
        </is>
      </c>
      <c r="E961" t="inlineStr">
        <is>
          <t>rent</t>
        </is>
      </c>
      <c r="F961" t="inlineStr">
        <is>
          <t>Rent</t>
        </is>
      </c>
      <c r="G961" t="inlineStr">
        <is>
          <t>pressure</t>
        </is>
      </c>
      <c r="H961" t="inlineStr">
        <is>
          <t>yes</t>
        </is>
      </c>
      <c r="I961" t="inlineStr">
        <is>
          <t>100.6</t>
        </is>
      </c>
      <c r="J961" t="inlineStr">
        <is>
          <t>world_bank_col_estimate</t>
        </is>
      </c>
      <c r="K961" t="inlineStr">
        <is>
          <t>https://api.worldbank.org/v2/country/BGD/indicator/NY.GNP.PCAP.PP.CD?format=json&amp;mrv=10</t>
        </is>
      </c>
      <c r="L961" t="inlineStr">
        <is>
          <t>World Bank GNI + regional expenditure ratio estimate</t>
        </is>
      </c>
      <c r="M961" t="inlineStr">
        <is>
          <t>2024-12-31</t>
        </is>
      </c>
      <c r="N961" t="inlineStr">
        <is>
          <t>auto_ingest=world_bank_col_estimate; gni_annual=10060.0; year=2024; country_proxy=Bangladesh; cohort=South Asia; city_cost_mult=0.8</t>
        </is>
      </c>
    </row>
    <row r="962">
      <c r="A962" t="inlineStr">
        <is>
          <t>bd-chattogram</t>
        </is>
      </c>
      <c r="B962" t="inlineStr">
        <is>
          <t>Chattogram</t>
        </is>
      </c>
      <c r="C962" t="inlineStr">
        <is>
          <t>Bangladesh</t>
        </is>
      </c>
      <c r="D962" t="inlineStr">
        <is>
          <t>South Asia</t>
        </is>
      </c>
      <c r="E962" t="inlineStr">
        <is>
          <t>utilities</t>
        </is>
      </c>
      <c r="F962" t="inlineStr">
        <is>
          <t>Utilities</t>
        </is>
      </c>
      <c r="G962" t="inlineStr">
        <is>
          <t>pressure</t>
        </is>
      </c>
      <c r="H962" t="inlineStr">
        <is>
          <t>yes</t>
        </is>
      </c>
      <c r="I962" t="inlineStr">
        <is>
          <t>33.53</t>
        </is>
      </c>
      <c r="J962" t="inlineStr">
        <is>
          <t>world_bank_col_estimate</t>
        </is>
      </c>
      <c r="K962" t="inlineStr">
        <is>
          <t>https://api.worldbank.org/v2/country/BGD/indicator/NY.GNP.PCAP.PP.CD?format=json&amp;mrv=10</t>
        </is>
      </c>
      <c r="L962" t="inlineStr">
        <is>
          <t>World Bank GNI + regional expenditure ratio estimate</t>
        </is>
      </c>
      <c r="M962" t="inlineStr">
        <is>
          <t>2024-12-31</t>
        </is>
      </c>
      <c r="N962" t="inlineStr">
        <is>
          <t>auto_ingest=world_bank_col_estimate; gni_annual=10060.0; year=2024; country_proxy=Bangladesh; cohort=South Asia; city_cost_mult=0.8</t>
        </is>
      </c>
    </row>
    <row r="963">
      <c r="A963" t="inlineStr">
        <is>
          <t>bd-chattogram</t>
        </is>
      </c>
      <c r="B963" t="inlineStr">
        <is>
          <t>Chattogram</t>
        </is>
      </c>
      <c r="C963" t="inlineStr">
        <is>
          <t>Bangladesh</t>
        </is>
      </c>
      <c r="D963" t="inlineStr">
        <is>
          <t>South Asia</t>
        </is>
      </c>
      <c r="E963" t="inlineStr">
        <is>
          <t>transit_cost</t>
        </is>
      </c>
      <c r="F963" t="inlineStr">
        <is>
          <t>Transit cost</t>
        </is>
      </c>
      <c r="G963" t="inlineStr">
        <is>
          <t>pressure</t>
        </is>
      </c>
      <c r="H963" t="inlineStr">
        <is>
          <t>yes</t>
        </is>
      </c>
      <c r="I963" t="inlineStr">
        <is>
          <t>20.12</t>
        </is>
      </c>
      <c r="J963" t="inlineStr">
        <is>
          <t>world_bank_col_estimate</t>
        </is>
      </c>
      <c r="K963" t="inlineStr">
        <is>
          <t>https://api.worldbank.org/v2/country/BGD/indicator/NY.GNP.PCAP.PP.CD?format=json&amp;mrv=10</t>
        </is>
      </c>
      <c r="L963" t="inlineStr">
        <is>
          <t>World Bank GNI + regional expenditure ratio estimate</t>
        </is>
      </c>
      <c r="M963" t="inlineStr">
        <is>
          <t>2024-12-31</t>
        </is>
      </c>
      <c r="N963" t="inlineStr">
        <is>
          <t>auto_ingest=world_bank_col_estimate; gni_annual=10060.0; year=2024; country_proxy=Bangladesh; cohort=South Asia; city_cost_mult=0.8</t>
        </is>
      </c>
    </row>
    <row r="964">
      <c r="A964" t="inlineStr">
        <is>
          <t>bd-chattogram</t>
        </is>
      </c>
      <c r="B964" t="inlineStr">
        <is>
          <t>Chattogram</t>
        </is>
      </c>
      <c r="C964" t="inlineStr">
        <is>
          <t>Bangladesh</t>
        </is>
      </c>
      <c r="D964" t="inlineStr">
        <is>
          <t>South Asia</t>
        </is>
      </c>
      <c r="E964" t="inlineStr">
        <is>
          <t>internet_cost</t>
        </is>
      </c>
      <c r="F964" t="inlineStr">
        <is>
          <t>Internet cost</t>
        </is>
      </c>
      <c r="G964" t="inlineStr">
        <is>
          <t>pressure</t>
        </is>
      </c>
      <c r="H964" t="inlineStr">
        <is>
          <t>yes</t>
        </is>
      </c>
      <c r="I964" t="inlineStr">
        <is>
          <t>6.71</t>
        </is>
      </c>
      <c r="J964" t="inlineStr">
        <is>
          <t>world_bank_col_estimate</t>
        </is>
      </c>
      <c r="K964" t="inlineStr">
        <is>
          <t>https://api.worldbank.org/v2/country/BGD/indicator/NY.GNP.PCAP.PP.CD?format=json&amp;mrv=10</t>
        </is>
      </c>
      <c r="L964" t="inlineStr">
        <is>
          <t>World Bank GNI + regional expenditure ratio estimate</t>
        </is>
      </c>
      <c r="M964" t="inlineStr">
        <is>
          <t>2024-12-31</t>
        </is>
      </c>
      <c r="N964" t="inlineStr">
        <is>
          <t>auto_ingest=world_bank_col_estimate; gni_annual=10060.0; year=2024; country_proxy=Bangladesh; cohort=South Asia; city_cost_mult=0.8</t>
        </is>
      </c>
    </row>
    <row r="965">
      <c r="A965" t="inlineStr">
        <is>
          <t>bd-chattogram</t>
        </is>
      </c>
      <c r="B965" t="inlineStr">
        <is>
          <t>Chattogram</t>
        </is>
      </c>
      <c r="C965" t="inlineStr">
        <is>
          <t>Bangladesh</t>
        </is>
      </c>
      <c r="D965" t="inlineStr">
        <is>
          <t>South Asia</t>
        </is>
      </c>
      <c r="E965" t="inlineStr">
        <is>
          <t>food_cost</t>
        </is>
      </c>
      <c r="F965" t="inlineStr">
        <is>
          <t>Food cost</t>
        </is>
      </c>
      <c r="G965" t="inlineStr">
        <is>
          <t>pressure</t>
        </is>
      </c>
      <c r="H965" t="inlineStr">
        <is>
          <t>yes</t>
        </is>
      </c>
      <c r="I965" t="inlineStr">
        <is>
          <t>167.67</t>
        </is>
      </c>
      <c r="J965" t="inlineStr">
        <is>
          <t>world_bank_col_estimate</t>
        </is>
      </c>
      <c r="K965" t="inlineStr">
        <is>
          <t>https://api.worldbank.org/v2/country/BGD/indicator/NY.GNP.PCAP.PP.CD?format=json&amp;mrv=10</t>
        </is>
      </c>
      <c r="L965" t="inlineStr">
        <is>
          <t>World Bank GNI + regional expenditure ratio estimate</t>
        </is>
      </c>
      <c r="M965" t="inlineStr">
        <is>
          <t>2024-12-31</t>
        </is>
      </c>
      <c r="N965" t="inlineStr">
        <is>
          <t>auto_ingest=world_bank_col_estimate; gni_annual=10060.0; year=2024; country_proxy=Bangladesh; cohort=South Asia; city_cost_mult=0.8</t>
        </is>
      </c>
    </row>
    <row r="966">
      <c r="A966" t="inlineStr">
        <is>
          <t>bd-chattogram</t>
        </is>
      </c>
      <c r="B966" t="inlineStr">
        <is>
          <t>Chattogram</t>
        </is>
      </c>
      <c r="C966" t="inlineStr">
        <is>
          <t>Bangladesh</t>
        </is>
      </c>
      <c r="D966" t="inlineStr">
        <is>
          <t>South Asia</t>
        </is>
      </c>
      <c r="E966" t="inlineStr">
        <is>
          <t>housing_burden_raw</t>
        </is>
      </c>
      <c r="F966" t="inlineStr">
        <is>
          <t>Housing burden raw</t>
        </is>
      </c>
      <c r="G966" t="inlineStr">
        <is>
          <t>pressure</t>
        </is>
      </c>
      <c r="H966" t="inlineStr">
        <is>
          <t>yes</t>
        </is>
      </c>
      <c r="I966" t="inlineStr">
        <is>
          <t>12.0</t>
        </is>
      </c>
      <c r="J966" t="inlineStr">
        <is>
          <t>derived</t>
        </is>
      </c>
      <c r="K966" t="inlineStr">
        <is>
          <t>https://data.worldbank.org/indicator/NY.GNP.PCAP.PP.CD</t>
        </is>
      </c>
      <c r="L966" t="inlineStr">
        <is>
          <t>Computed from city_inputs + country_context</t>
        </is>
      </c>
      <c r="M966" t="inlineStr">
        <is>
          <t>2024-01-01</t>
        </is>
      </c>
      <c r="N966" t="inlineStr">
        <is>
          <t>derived=rent/gross_income*100</t>
        </is>
      </c>
    </row>
    <row r="967">
      <c r="A967" t="inlineStr">
        <is>
          <t>bd-chattogram</t>
        </is>
      </c>
      <c r="B967" t="inlineStr">
        <is>
          <t>Chattogram</t>
        </is>
      </c>
      <c r="C967" t="inlineStr">
        <is>
          <t>Bangladesh</t>
        </is>
      </c>
      <c r="D967" t="inlineStr">
        <is>
          <t>South Asia</t>
        </is>
      </c>
      <c r="E967" t="inlineStr">
        <is>
          <t>household_debt_burden_raw</t>
        </is>
      </c>
      <c r="F967" t="inlineStr">
        <is>
          <t>Household debt burden raw</t>
        </is>
      </c>
      <c r="G967" t="inlineStr">
        <is>
          <t>pressure</t>
        </is>
      </c>
      <c r="H967" t="inlineStr">
        <is>
          <t>yes</t>
        </is>
      </c>
      <c r="I967" t="inlineStr">
        <is>
          <t>35.7061</t>
        </is>
      </c>
      <c r="J967" t="inlineStr">
        <is>
          <t>derived</t>
        </is>
      </c>
      <c r="K967" t="inlineStr">
        <is>
          <t>https://data.worldbank.org/indicator/NY.GNP.PCAP.PP.CD</t>
        </is>
      </c>
      <c r="L967" t="inlineStr">
        <is>
          <t>Computed from city_inputs + country_context</t>
        </is>
      </c>
      <c r="M967" t="inlineStr">
        <is>
          <t>2024-01-01</t>
        </is>
      </c>
      <c r="N967" t="inlineStr">
        <is>
          <t>derived=country_context.household_debt_proxy; country=Bangladesh</t>
        </is>
      </c>
    </row>
    <row r="968">
      <c r="A968" t="inlineStr">
        <is>
          <t>bd-chattogram</t>
        </is>
      </c>
      <c r="B968" t="inlineStr">
        <is>
          <t>Chattogram</t>
        </is>
      </c>
      <c r="C968" t="inlineStr">
        <is>
          <t>Bangladesh</t>
        </is>
      </c>
      <c r="D968" t="inlineStr">
        <is>
          <t>South Asia</t>
        </is>
      </c>
      <c r="E968" t="inlineStr">
        <is>
          <t>working_time_pressure_raw</t>
        </is>
      </c>
      <c r="F968" t="inlineStr">
        <is>
          <t>Working time pressure raw</t>
        </is>
      </c>
      <c r="G968" t="inlineStr">
        <is>
          <t>pressure</t>
        </is>
      </c>
      <c r="H968" t="inlineStr">
        <is>
          <t>yes</t>
        </is>
      </c>
      <c r="I968" t="inlineStr">
        <is>
          <t>46.73</t>
        </is>
      </c>
      <c r="J968" t="inlineStr">
        <is>
          <t>ilo_ilostat</t>
        </is>
      </c>
      <c r="K968" t="inlineStr">
        <is>
          <t>https://ilostat.ilo.org/data/indicator/?id=HOW_TEMP_SEX_ECO_NB_A&amp;ref_area=BGD</t>
        </is>
      </c>
      <c r="L968" t="inlineStr">
        <is>
          <t>ILO ILOSTAT: Mean weekly hours actually worked per employed person</t>
        </is>
      </c>
      <c r="M968" t="inlineStr">
        <is>
          <t>2024-12-31</t>
        </is>
      </c>
      <c r="N968" t="inlineStr">
        <is>
          <t>auto_ingest=ilo_working_hours; indicator=HOW_TEMP_SEX_ECO_NB_A; year=2024; hours=46.73; country_proxy=Bangladesh</t>
        </is>
      </c>
    </row>
    <row r="969">
      <c r="A969" t="inlineStr">
        <is>
          <t>bd-chattogram</t>
        </is>
      </c>
      <c r="B969" t="inlineStr">
        <is>
          <t>Chattogram</t>
        </is>
      </c>
      <c r="C969" t="inlineStr">
        <is>
          <t>Bangladesh</t>
        </is>
      </c>
      <c r="D969" t="inlineStr">
        <is>
          <t>South Asia</t>
        </is>
      </c>
      <c r="E969" t="inlineStr">
        <is>
          <t>suicide_mental_strain_raw</t>
        </is>
      </c>
      <c r="F969" t="inlineStr">
        <is>
          <t>Suicide or mental strain raw</t>
        </is>
      </c>
      <c r="G969" t="inlineStr">
        <is>
          <t>pressure</t>
        </is>
      </c>
      <c r="H969" t="inlineStr">
        <is>
          <t>yes</t>
        </is>
      </c>
      <c r="I969" t="inlineStr">
        <is>
          <t>2.81</t>
        </is>
      </c>
      <c r="J969" t="inlineStr">
        <is>
          <t>who_gho</t>
        </is>
      </c>
      <c r="K969" t="inlineStr">
        <is>
          <t>https://www.who.int/data/gho/data/indicators/indicator-details/GHO/SDGSUICIDE</t>
        </is>
      </c>
      <c r="L969" t="inlineStr">
        <is>
          <t>WHO GHO: Age-standardized suicide rate (per 100,000 population)</t>
        </is>
      </c>
      <c r="M969" t="inlineStr">
        <is>
          <t>2021-12-31</t>
        </is>
      </c>
      <c r="N969" t="inlineStr">
        <is>
          <t>auto_ingest=who_gho; indicator=SDGSUICIDE; year=2021; country_proxy=Bangladesh</t>
        </is>
      </c>
    </row>
    <row r="970">
      <c r="A970" t="inlineStr">
        <is>
          <t>bd-chattogram</t>
        </is>
      </c>
      <c r="B970" t="inlineStr">
        <is>
          <t>Chattogram</t>
        </is>
      </c>
      <c r="C970" t="inlineStr">
        <is>
          <t>Bangladesh</t>
        </is>
      </c>
      <c r="D970" t="inlineStr">
        <is>
          <t>South Asia</t>
        </is>
      </c>
      <c r="E970" t="inlineStr">
        <is>
          <t>personal_safety_raw</t>
        </is>
      </c>
      <c r="F970" t="inlineStr">
        <is>
          <t>Personal safety raw</t>
        </is>
      </c>
      <c r="G970" t="inlineStr">
        <is>
          <t>viability</t>
        </is>
      </c>
      <c r="H970" t="inlineStr">
        <is>
          <t>yes</t>
        </is>
      </c>
      <c r="I970" t="inlineStr">
        <is>
          <t>2.34</t>
        </is>
      </c>
      <c r="J970" t="inlineStr">
        <is>
          <t>world_bank</t>
        </is>
      </c>
      <c r="K970" t="inlineStr">
        <is>
          <t>https://api.worldbank.org/v2/country/BGD/indicator/VC.IHR.PSRC.P5?format=json&amp;mrv=10</t>
        </is>
      </c>
      <c r="L970" t="inlineStr">
        <is>
          <t>UNODC via World Bank WDI: Intentional homicides (per 100,000 people)</t>
        </is>
      </c>
      <c r="M970" t="inlineStr">
        <is>
          <t>2018-12-31</t>
        </is>
      </c>
      <c r="N970" t="inlineStr">
        <is>
          <t>auto_ingest=unodc_safety; indicator=VC.IHR.PSRC.P5; year=2018; country_proxy=Bangladesh</t>
        </is>
      </c>
    </row>
    <row r="971">
      <c r="A971" t="inlineStr">
        <is>
          <t>bd-chattogram</t>
        </is>
      </c>
      <c r="B971" t="inlineStr">
        <is>
          <t>Chattogram</t>
        </is>
      </c>
      <c r="C971" t="inlineStr">
        <is>
          <t>Bangladesh</t>
        </is>
      </c>
      <c r="D971" t="inlineStr">
        <is>
          <t>South Asia</t>
        </is>
      </c>
      <c r="E971" t="inlineStr">
        <is>
          <t>transit_access_commute_raw</t>
        </is>
      </c>
      <c r="F971" t="inlineStr">
        <is>
          <t>Transit access and commute raw</t>
        </is>
      </c>
      <c r="G971" t="inlineStr">
        <is>
          <t>viability</t>
        </is>
      </c>
      <c r="H971" t="inlineStr">
        <is>
          <t>yes</t>
        </is>
      </c>
      <c r="I971" t="inlineStr"/>
      <c r="J971" t="inlineStr"/>
      <c r="K971" t="inlineStr"/>
      <c r="L971" t="inlineStr"/>
      <c r="M971" t="inlineStr"/>
      <c r="N971" t="inlineStr"/>
    </row>
    <row r="972">
      <c r="A972" t="inlineStr">
        <is>
          <t>bd-chattogram</t>
        </is>
      </c>
      <c r="B972" t="inlineStr">
        <is>
          <t>Chattogram</t>
        </is>
      </c>
      <c r="C972" t="inlineStr">
        <is>
          <t>Bangladesh</t>
        </is>
      </c>
      <c r="D972" t="inlineStr">
        <is>
          <t>South Asia</t>
        </is>
      </c>
      <c r="E972" t="inlineStr">
        <is>
          <t>clean_air_raw</t>
        </is>
      </c>
      <c r="F972" t="inlineStr">
        <is>
          <t>Clean air raw</t>
        </is>
      </c>
      <c r="G972" t="inlineStr">
        <is>
          <t>viability</t>
        </is>
      </c>
      <c r="H972" t="inlineStr">
        <is>
          <t>yes</t>
        </is>
      </c>
      <c r="I972" t="inlineStr"/>
      <c r="J972" t="inlineStr"/>
      <c r="K972" t="inlineStr"/>
      <c r="L972" t="inlineStr"/>
      <c r="M972" t="inlineStr"/>
      <c r="N972" t="inlineStr"/>
    </row>
    <row r="973">
      <c r="A973" t="inlineStr">
        <is>
          <t>bd-chattogram</t>
        </is>
      </c>
      <c r="B973" t="inlineStr">
        <is>
          <t>Chattogram</t>
        </is>
      </c>
      <c r="C973" t="inlineStr">
        <is>
          <t>Bangladesh</t>
        </is>
      </c>
      <c r="D973" t="inlineStr">
        <is>
          <t>South Asia</t>
        </is>
      </c>
      <c r="E973" t="inlineStr">
        <is>
          <t>water_sanitation_utility_raw</t>
        </is>
      </c>
      <c r="F973" t="inlineStr">
        <is>
          <t>Water, sanitation, and utility raw</t>
        </is>
      </c>
      <c r="G973" t="inlineStr">
        <is>
          <t>viability</t>
        </is>
      </c>
      <c r="H973" t="inlineStr">
        <is>
          <t>yes</t>
        </is>
      </c>
      <c r="I973" t="inlineStr">
        <is>
          <t>59.13</t>
        </is>
      </c>
      <c r="J973" t="inlineStr">
        <is>
          <t>world_bank</t>
        </is>
      </c>
      <c r="K973" t="inlineStr">
        <is>
          <t>https://api.worldbank.org/v2/country/BGD/indicator/SH.H2O.SMDW.ZS?format=json&amp;mrv=10</t>
        </is>
      </c>
      <c r="L973" t="inlineStr">
        <is>
          <t>World Bank WDI: People using safely managed drinking water services (% of population)</t>
        </is>
      </c>
      <c r="M973" t="inlineStr">
        <is>
          <t>2024-12-31</t>
        </is>
      </c>
      <c r="N973" t="inlineStr">
        <is>
          <t>auto_ingest=world_bank_proxy; indicator=SH.H2O.SMDW.ZS; year=2024; country_proxy=Bangladesh</t>
        </is>
      </c>
    </row>
    <row r="974">
      <c r="A974" t="inlineStr">
        <is>
          <t>bd-chattogram</t>
        </is>
      </c>
      <c r="B974" t="inlineStr">
        <is>
          <t>Chattogram</t>
        </is>
      </c>
      <c r="C974" t="inlineStr">
        <is>
          <t>Bangladesh</t>
        </is>
      </c>
      <c r="D974" t="inlineStr">
        <is>
          <t>South Asia</t>
        </is>
      </c>
      <c r="E974" t="inlineStr">
        <is>
          <t>digital_infrastructure_raw</t>
        </is>
      </c>
      <c r="F974" t="inlineStr">
        <is>
          <t>Digital infrastructure raw</t>
        </is>
      </c>
      <c r="G974" t="inlineStr">
        <is>
          <t>viability</t>
        </is>
      </c>
      <c r="H974" t="inlineStr">
        <is>
          <t>yes</t>
        </is>
      </c>
      <c r="I974" t="inlineStr">
        <is>
          <t>7.89</t>
        </is>
      </c>
      <c r="J974" t="inlineStr">
        <is>
          <t>world_bank</t>
        </is>
      </c>
      <c r="K974" t="inlineStr">
        <is>
          <t>https://api.worldbank.org/v2/country/BGD/indicator/IT.NET.BBND.P2?format=json&amp;mrv=10</t>
        </is>
      </c>
      <c r="L974" t="inlineStr">
        <is>
          <t>World Bank WDI: Fixed broadband subscriptions (per 100 people)</t>
        </is>
      </c>
      <c r="M974" t="inlineStr">
        <is>
          <t>2023-12-31</t>
        </is>
      </c>
      <c r="N974" t="inlineStr">
        <is>
          <t>auto_ingest=world_bank_proxy; indicator=IT.NET.BBND.P2; year=2023; country_proxy=Bangladesh</t>
        </is>
      </c>
    </row>
    <row r="975">
      <c r="A975" t="inlineStr">
        <is>
          <t>bd-chattogram</t>
        </is>
      </c>
      <c r="B975" t="inlineStr">
        <is>
          <t>Chattogram</t>
        </is>
      </c>
      <c r="C975" t="inlineStr">
        <is>
          <t>Bangladesh</t>
        </is>
      </c>
      <c r="D975" t="inlineStr">
        <is>
          <t>South Asia</t>
        </is>
      </c>
      <c r="E975" t="inlineStr">
        <is>
          <t>climate_sunlight_livability_raw</t>
        </is>
      </c>
      <c r="F975" t="inlineStr">
        <is>
          <t>Climate and sunlight livability raw</t>
        </is>
      </c>
      <c r="G975" t="inlineStr">
        <is>
          <t>viability</t>
        </is>
      </c>
      <c r="H975" t="inlineStr">
        <is>
          <t>yes</t>
        </is>
      </c>
      <c r="I975" t="inlineStr"/>
      <c r="J975" t="inlineStr"/>
      <c r="K975" t="inlineStr"/>
      <c r="L975" t="inlineStr"/>
      <c r="M975" t="inlineStr"/>
      <c r="N975" t="inlineStr"/>
    </row>
    <row r="976">
      <c r="A976" t="inlineStr">
        <is>
          <t>bd-chattogram</t>
        </is>
      </c>
      <c r="B976" t="inlineStr">
        <is>
          <t>Chattogram</t>
        </is>
      </c>
      <c r="C976" t="inlineStr">
        <is>
          <t>Bangladesh</t>
        </is>
      </c>
      <c r="D976" t="inlineStr">
        <is>
          <t>South Asia</t>
        </is>
      </c>
      <c r="E976" t="inlineStr">
        <is>
          <t>healthcare_quality_raw</t>
        </is>
      </c>
      <c r="F976" t="inlineStr">
        <is>
          <t>Healthcare quality raw</t>
        </is>
      </c>
      <c r="G976" t="inlineStr">
        <is>
          <t>capability</t>
        </is>
      </c>
      <c r="H976" t="inlineStr">
        <is>
          <t>yes</t>
        </is>
      </c>
      <c r="I976" t="inlineStr">
        <is>
          <t>54.0</t>
        </is>
      </c>
      <c r="J976" t="inlineStr">
        <is>
          <t>who_gho</t>
        </is>
      </c>
      <c r="K976" t="inlineStr">
        <is>
          <t>https://www.who.int/data/gho/data/indicators/indicator-details/GHO/UHC_INDEX_REPORTED</t>
        </is>
      </c>
      <c r="L976" t="inlineStr">
        <is>
          <t>WHO GHO: UHC Service Coverage Index</t>
        </is>
      </c>
      <c r="M976" t="inlineStr">
        <is>
          <t>2023-12-31</t>
        </is>
      </c>
      <c r="N976" t="inlineStr">
        <is>
          <t>auto_ingest=who_gho; indicator=UHC_INDEX_REPORTED; year=2023; country_proxy=Bangladesh</t>
        </is>
      </c>
    </row>
    <row r="977">
      <c r="A977" t="inlineStr">
        <is>
          <t>bd-chattogram</t>
        </is>
      </c>
      <c r="B977" t="inlineStr">
        <is>
          <t>Chattogram</t>
        </is>
      </c>
      <c r="C977" t="inlineStr">
        <is>
          <t>Bangladesh</t>
        </is>
      </c>
      <c r="D977" t="inlineStr">
        <is>
          <t>South Asia</t>
        </is>
      </c>
      <c r="E977" t="inlineStr">
        <is>
          <t>education_quality_raw</t>
        </is>
      </c>
      <c r="F977" t="inlineStr">
        <is>
          <t>Education quality raw</t>
        </is>
      </c>
      <c r="G977" t="inlineStr">
        <is>
          <t>capability</t>
        </is>
      </c>
      <c r="H977" t="inlineStr">
        <is>
          <t>yes</t>
        </is>
      </c>
      <c r="I977" t="inlineStr">
        <is>
          <t>23.73</t>
        </is>
      </c>
      <c r="J977" t="inlineStr">
        <is>
          <t>world_bank</t>
        </is>
      </c>
      <c r="K977" t="inlineStr">
        <is>
          <t>https://api.worldbank.org/v2/country/BGD/indicator/SE.TER.ENRR?format=json&amp;mrv=10</t>
        </is>
      </c>
      <c r="L977" t="inlineStr">
        <is>
          <t>World Bank WDI: School enrollment, tertiary (% gross)</t>
        </is>
      </c>
      <c r="M977" t="inlineStr">
        <is>
          <t>2024-12-31</t>
        </is>
      </c>
      <c r="N977" t="inlineStr">
        <is>
          <t>auto_ingest=world_bank_proxy; indicator=SE.TER.ENRR; year=2024; country_proxy=Bangladesh</t>
        </is>
      </c>
    </row>
    <row r="978">
      <c r="A978" t="inlineStr">
        <is>
          <t>bd-chattogram</t>
        </is>
      </c>
      <c r="B978" t="inlineStr">
        <is>
          <t>Chattogram</t>
        </is>
      </c>
      <c r="C978" t="inlineStr">
        <is>
          <t>Bangladesh</t>
        </is>
      </c>
      <c r="D978" t="inlineStr">
        <is>
          <t>South Asia</t>
        </is>
      </c>
      <c r="E978" t="inlineStr">
        <is>
          <t>equal_opportunity_raw</t>
        </is>
      </c>
      <c r="F978" t="inlineStr">
        <is>
          <t>Equal opportunity raw</t>
        </is>
      </c>
      <c r="G978" t="inlineStr">
        <is>
          <t>capability</t>
        </is>
      </c>
      <c r="H978" t="inlineStr">
        <is>
          <t>yes</t>
        </is>
      </c>
      <c r="I978" t="inlineStr">
        <is>
          <t>30.9</t>
        </is>
      </c>
      <c r="J978" t="inlineStr">
        <is>
          <t>world_bank</t>
        </is>
      </c>
      <c r="K978" t="inlineStr">
        <is>
          <t>https://api.worldbank.org/v2/country/BGD/indicator/SI.POV.GINI?format=json&amp;mrv=10</t>
        </is>
      </c>
      <c r="L978" t="inlineStr">
        <is>
          <t>World Bank WDI: Gini index</t>
        </is>
      </c>
      <c r="M978" t="inlineStr">
        <is>
          <t>2022-12-31</t>
        </is>
      </c>
      <c r="N978" t="inlineStr">
        <is>
          <t>auto_ingest=world_bank_capability; indicator=SI.POV.GINI; year=2022; country_proxy=Bangladesh</t>
        </is>
      </c>
    </row>
    <row r="979">
      <c r="A979" t="inlineStr">
        <is>
          <t>bd-chattogram</t>
        </is>
      </c>
      <c r="B979" t="inlineStr">
        <is>
          <t>Chattogram</t>
        </is>
      </c>
      <c r="C979" t="inlineStr">
        <is>
          <t>Bangladesh</t>
        </is>
      </c>
      <c r="D979" t="inlineStr">
        <is>
          <t>South Asia</t>
        </is>
      </c>
      <c r="E979" t="inlineStr">
        <is>
          <t>hospitality_belonging_raw</t>
        </is>
      </c>
      <c r="F979" t="inlineStr">
        <is>
          <t>Hospitality and belonging raw</t>
        </is>
      </c>
      <c r="G979" t="inlineStr">
        <is>
          <t>community</t>
        </is>
      </c>
      <c r="H979" t="inlineStr">
        <is>
          <t>yes</t>
        </is>
      </c>
      <c r="I979" t="inlineStr">
        <is>
          <t>47.68</t>
        </is>
      </c>
      <c r="J979" t="inlineStr">
        <is>
          <t>world_bank</t>
        </is>
      </c>
      <c r="K979" t="inlineStr">
        <is>
          <t>https://api.worldbank.org/v2/country/BGD/indicator/SM.POP.NETM?format=json&amp;mrv=10</t>
        </is>
      </c>
      <c r="L979" t="inlineStr">
        <is>
          <t>World Bank WDI: Net migration (proxy for hospitality/belonging — positive = welcoming)</t>
        </is>
      </c>
      <c r="M979" t="inlineStr">
        <is>
          <t>2025-12-31</t>
        </is>
      </c>
      <c r="N979" t="inlineStr">
        <is>
          <t>auto_ingest=world_bank_proxy; proxy=net_migration_hospitality; indicator=SM.POP.NETM; year=2025; country_proxy=Bangladesh</t>
        </is>
      </c>
    </row>
    <row r="980">
      <c r="A980" t="inlineStr">
        <is>
          <t>bd-chattogram</t>
        </is>
      </c>
      <c r="B980" t="inlineStr">
        <is>
          <t>Chattogram</t>
        </is>
      </c>
      <c r="C980" t="inlineStr">
        <is>
          <t>Bangladesh</t>
        </is>
      </c>
      <c r="D980" t="inlineStr">
        <is>
          <t>South Asia</t>
        </is>
      </c>
      <c r="E980" t="inlineStr">
        <is>
          <t>tolerance_pluralism_raw</t>
        </is>
      </c>
      <c r="F980" t="inlineStr">
        <is>
          <t>Tolerance and pluralism raw</t>
        </is>
      </c>
      <c r="G980" t="inlineStr">
        <is>
          <t>community</t>
        </is>
      </c>
      <c r="H980" t="inlineStr">
        <is>
          <t>yes</t>
        </is>
      </c>
      <c r="I980" t="inlineStr">
        <is>
          <t>20.86</t>
        </is>
      </c>
      <c r="J980" t="inlineStr">
        <is>
          <t>world_bank</t>
        </is>
      </c>
      <c r="K980" t="inlineStr">
        <is>
          <t>https://api.worldbank.org/v2/country/BGD/indicator/SG.GEN.PARL.ZS?format=json&amp;mrv=10</t>
        </is>
      </c>
      <c r="L980" t="inlineStr">
        <is>
          <t>World Bank WDI: Proportion of seats held by women in national parliaments (%)</t>
        </is>
      </c>
      <c r="M980" t="inlineStr">
        <is>
          <t>2023-12-31</t>
        </is>
      </c>
      <c r="N980" t="inlineStr">
        <is>
          <t>auto_ingest=world_bank_proxy; proxy=gender_parity_parliament; indicator=SG.GEN.PARL.ZS; year=2023; country_proxy=Bangladesh</t>
        </is>
      </c>
    </row>
    <row r="981">
      <c r="A981" t="inlineStr">
        <is>
          <t>bd-chattogram</t>
        </is>
      </c>
      <c r="B981" t="inlineStr">
        <is>
          <t>Chattogram</t>
        </is>
      </c>
      <c r="C981" t="inlineStr">
        <is>
          <t>Bangladesh</t>
        </is>
      </c>
      <c r="D981" t="inlineStr">
        <is>
          <t>South Asia</t>
        </is>
      </c>
      <c r="E981" t="inlineStr">
        <is>
          <t>cultural_public_life_raw</t>
        </is>
      </c>
      <c r="F981" t="inlineStr">
        <is>
          <t>Cultural public life raw</t>
        </is>
      </c>
      <c r="G981" t="inlineStr">
        <is>
          <t>community</t>
        </is>
      </c>
      <c r="H981" t="inlineStr">
        <is>
          <t>yes</t>
        </is>
      </c>
      <c r="I981" t="inlineStr">
        <is>
          <t>1.86</t>
        </is>
      </c>
      <c r="J981" t="inlineStr">
        <is>
          <t>world_bank</t>
        </is>
      </c>
      <c r="K981" t="inlineStr">
        <is>
          <t>https://api.worldbank.org/v2/country/BGD/indicator/ST.INT.ARVL?format=json&amp;mrv=10</t>
        </is>
      </c>
      <c r="L981" t="inlineStr">
        <is>
          <t>World Bank WDI: International tourism arrivals per 1 000 population</t>
        </is>
      </c>
      <c r="M981" t="inlineStr">
        <is>
          <t>2019-12-31</t>
        </is>
      </c>
      <c r="N981" t="inlineStr">
        <is>
          <t>auto_ingest=cultural_life_proxy; indicator=ST.INT.ARVL; norm=per_1000_pop; year=2019; country_proxy=Bangladesh</t>
        </is>
      </c>
    </row>
    <row r="982">
      <c r="A982" t="inlineStr">
        <is>
          <t>bd-chattogram</t>
        </is>
      </c>
      <c r="B982" t="inlineStr">
        <is>
          <t>Chattogram</t>
        </is>
      </c>
      <c r="C982" t="inlineStr">
        <is>
          <t>Bangladesh</t>
        </is>
      </c>
      <c r="D982" t="inlineStr">
        <is>
          <t>South Asia</t>
        </is>
      </c>
      <c r="E982" t="inlineStr">
        <is>
          <t>birth_rate_optimism_raw</t>
        </is>
      </c>
      <c r="F982" t="inlineStr">
        <is>
          <t>Birth rate and societal optimism raw</t>
        </is>
      </c>
      <c r="G982" t="inlineStr">
        <is>
          <t>community</t>
        </is>
      </c>
      <c r="H982" t="inlineStr">
        <is>
          <t>yes</t>
        </is>
      </c>
      <c r="I982" t="inlineStr">
        <is>
          <t>1.95</t>
        </is>
      </c>
      <c r="J982" t="inlineStr">
        <is>
          <t>world_bank</t>
        </is>
      </c>
      <c r="K982" t="inlineStr">
        <is>
          <t>https://data.worldbank.org/indicator/SP.DYN.TFRT.IN</t>
        </is>
      </c>
      <c r="L982" t="inlineStr">
        <is>
          <t>World Bank Total Fertility Rate 2023</t>
        </is>
      </c>
      <c r="M982" t="inlineStr">
        <is>
          <t>2024-01-01</t>
        </is>
      </c>
      <c r="N982" t="inlineStr"/>
    </row>
    <row r="983">
      <c r="A983" t="inlineStr">
        <is>
          <t>bd-chattogram</t>
        </is>
      </c>
      <c r="B983" t="inlineStr">
        <is>
          <t>Chattogram</t>
        </is>
      </c>
      <c r="C983" t="inlineStr">
        <is>
          <t>Bangladesh</t>
        </is>
      </c>
      <c r="D983" t="inlineStr">
        <is>
          <t>South Asia</t>
        </is>
      </c>
      <c r="E983" t="inlineStr">
        <is>
          <t>entrepreneurial_dynamism_raw</t>
        </is>
      </c>
      <c r="F983" t="inlineStr">
        <is>
          <t>Entrepreneurial dynamism raw</t>
        </is>
      </c>
      <c r="G983" t="inlineStr">
        <is>
          <t>creative</t>
        </is>
      </c>
      <c r="H983" t="inlineStr">
        <is>
          <t>yes</t>
        </is>
      </c>
      <c r="I983" t="inlineStr">
        <is>
          <t>0.04</t>
        </is>
      </c>
      <c r="J983" t="inlineStr">
        <is>
          <t>world_bank</t>
        </is>
      </c>
      <c r="K983" t="inlineStr">
        <is>
          <t>https://api.worldbank.org/v2/country/BGD/indicator/IC.BUS.NDNS.ZS?format=json&amp;mrv=10</t>
        </is>
      </c>
      <c r="L983" t="inlineStr">
        <is>
          <t>World Bank WDI: New business density (new registrations per 1,000 people ages 15-64)</t>
        </is>
      </c>
      <c r="M983" t="inlineStr">
        <is>
          <t>2018-12-31</t>
        </is>
      </c>
      <c r="N983" t="inlineStr">
        <is>
          <t>auto_ingest=world_bank_creative_extended; indicator=IC.BUS.NDNS.ZS; year=2018; country_proxy=Bangladesh</t>
        </is>
      </c>
    </row>
    <row r="984">
      <c r="A984" t="inlineStr">
        <is>
          <t>bd-chattogram</t>
        </is>
      </c>
      <c r="B984" t="inlineStr">
        <is>
          <t>Chattogram</t>
        </is>
      </c>
      <c r="C984" t="inlineStr">
        <is>
          <t>Bangladesh</t>
        </is>
      </c>
      <c r="D984" t="inlineStr">
        <is>
          <t>South Asia</t>
        </is>
      </c>
      <c r="E984" t="inlineStr">
        <is>
          <t>innovation_research_intensity_raw</t>
        </is>
      </c>
      <c r="F984" t="inlineStr">
        <is>
          <t>Innovation and research raw</t>
        </is>
      </c>
      <c r="G984" t="inlineStr">
        <is>
          <t>creative</t>
        </is>
      </c>
      <c r="H984" t="inlineStr">
        <is>
          <t>yes</t>
        </is>
      </c>
      <c r="I984" t="inlineStr">
        <is>
          <t>2.58</t>
        </is>
      </c>
      <c r="J984" t="inlineStr">
        <is>
          <t>world_bank</t>
        </is>
      </c>
      <c r="K984" t="inlineStr">
        <is>
          <t>https://api.worldbank.org/v2/country/BGD/indicator/IP.PAT.RESD?format=json&amp;mrv=10</t>
        </is>
      </c>
      <c r="L984" t="inlineStr">
        <is>
          <t>World Bank WDI: Patent applications (residents + non-residents) per million population</t>
        </is>
      </c>
      <c r="M984" t="inlineStr">
        <is>
          <t>2021-12-31</t>
        </is>
      </c>
      <c r="N984" t="inlineStr">
        <is>
          <t>auto_ingest=wipo_patents_proxy; indicators=IP.PAT.RESD+IP.PAT.NRES; norm=per_million_pop; year=2021; country_proxy=Bangladesh</t>
        </is>
      </c>
    </row>
    <row r="985">
      <c r="A985" t="inlineStr">
        <is>
          <t>bd-chattogram</t>
        </is>
      </c>
      <c r="B985" t="inlineStr">
        <is>
          <t>Chattogram</t>
        </is>
      </c>
      <c r="C985" t="inlineStr">
        <is>
          <t>Bangladesh</t>
        </is>
      </c>
      <c r="D985" t="inlineStr">
        <is>
          <t>South Asia</t>
        </is>
      </c>
      <c r="E985" t="inlineStr">
        <is>
          <t>investment_signal_raw</t>
        </is>
      </c>
      <c r="F985" t="inlineStr">
        <is>
          <t>Investment signal raw</t>
        </is>
      </c>
      <c r="G985" t="inlineStr">
        <is>
          <t>creative</t>
        </is>
      </c>
      <c r="H985" t="inlineStr">
        <is>
          <t>yes</t>
        </is>
      </c>
      <c r="I985" t="inlineStr">
        <is>
          <t>0.29</t>
        </is>
      </c>
      <c r="J985" t="inlineStr">
        <is>
          <t>world_bank</t>
        </is>
      </c>
      <c r="K985" t="inlineStr">
        <is>
          <t>https://api.worldbank.org/v2/country/BGD/indicator/BX.KLT.DINV.WD.GD.ZS?format=json&amp;mrv=10</t>
        </is>
      </c>
      <c r="L985" t="inlineStr">
        <is>
          <t>World Bank WDI: Foreign direct investment, net inflows (% of GDP)</t>
        </is>
      </c>
      <c r="M985" t="inlineStr">
        <is>
          <t>2024-12-31</t>
        </is>
      </c>
      <c r="N985" t="inlineStr">
        <is>
          <t>auto_ingest=world_bank_creative_extended; indicator=BX.KLT.DINV.WD.GD.ZS; year=2024; country_proxy=Bangladesh</t>
        </is>
      </c>
    </row>
    <row r="986">
      <c r="A986" t="inlineStr">
        <is>
          <t>bd-chattogram</t>
        </is>
      </c>
      <c r="B986" t="inlineStr">
        <is>
          <t>Chattogram</t>
        </is>
      </c>
      <c r="C986" t="inlineStr">
        <is>
          <t>Bangladesh</t>
        </is>
      </c>
      <c r="D986" t="inlineStr">
        <is>
          <t>South Asia</t>
        </is>
      </c>
      <c r="E986" t="inlineStr">
        <is>
          <t>administrative_investment_friction_raw</t>
        </is>
      </c>
      <c r="F986" t="inlineStr">
        <is>
          <t>Administrative investment friction raw</t>
        </is>
      </c>
      <c r="G986" t="inlineStr">
        <is>
          <t>creative</t>
        </is>
      </c>
      <c r="H986" t="inlineStr">
        <is>
          <t>yes</t>
        </is>
      </c>
      <c r="I986" t="inlineStr">
        <is>
          <t>3.41</t>
        </is>
      </c>
      <c r="J986" t="inlineStr">
        <is>
          <t>world_bank</t>
        </is>
      </c>
      <c r="K986" t="inlineStr">
        <is>
          <t>https://api.worldbank.org/v2/country/BGD/indicator/RQ.EST?format=json&amp;mrv=10</t>
        </is>
      </c>
      <c r="L986" t="inlineStr">
        <is>
          <t>World Bank WGI: Regulatory Quality (inverted as friction proxy)</t>
        </is>
      </c>
      <c r="M986" t="inlineStr">
        <is>
          <t>2023-12-31</t>
        </is>
      </c>
      <c r="N986" t="inlineStr">
        <is>
          <t>auto_ingest=world_bank_business_friction; indicator=RQ.EST; raw_rq=-0.914152979850769; friction=3.41; year=2023; country_proxy=Bangladesh</t>
        </is>
      </c>
    </row>
    <row r="987">
      <c r="A987" t="inlineStr">
        <is>
          <t>bd-chattogram</t>
        </is>
      </c>
      <c r="B987" t="inlineStr">
        <is>
          <t>Chattogram</t>
        </is>
      </c>
      <c r="C987" t="inlineStr">
        <is>
          <t>Bangladesh</t>
        </is>
      </c>
      <c r="D987" t="inlineStr">
        <is>
          <t>South Asia</t>
        </is>
      </c>
      <c r="E987" t="inlineStr">
        <is>
          <t>visitor_flow_context_raw</t>
        </is>
      </c>
      <c r="F987" t="inlineStr">
        <is>
          <t>Visitor flow context raw</t>
        </is>
      </c>
      <c r="G987" t="inlineStr">
        <is>
          <t>creative</t>
        </is>
      </c>
      <c r="H987" t="inlineStr">
        <is>
          <t>no</t>
        </is>
      </c>
      <c r="I987" t="inlineStr"/>
      <c r="J987" t="inlineStr"/>
      <c r="K987" t="inlineStr"/>
      <c r="L987" t="inlineStr"/>
      <c r="M987" t="inlineStr"/>
      <c r="N987" t="inlineStr"/>
    </row>
    <row r="988">
      <c r="A988" t="inlineStr">
        <is>
          <t>np-kathmandu</t>
        </is>
      </c>
      <c r="B988" t="inlineStr">
        <is>
          <t>Kathmandu</t>
        </is>
      </c>
      <c r="C988" t="inlineStr">
        <is>
          <t>Nepal</t>
        </is>
      </c>
      <c r="D988" t="inlineStr">
        <is>
          <t>South Asia</t>
        </is>
      </c>
      <c r="E988" t="inlineStr">
        <is>
          <t>gross_income</t>
        </is>
      </c>
      <c r="F988" t="inlineStr">
        <is>
          <t>Gross income</t>
        </is>
      </c>
      <c r="G988" t="inlineStr">
        <is>
          <t>pressure</t>
        </is>
      </c>
      <c r="H988" t="inlineStr">
        <is>
          <t>yes</t>
        </is>
      </c>
      <c r="I988" t="inlineStr">
        <is>
          <t>485.83</t>
        </is>
      </c>
      <c r="J988" t="inlineStr">
        <is>
          <t>world_bank_col_estimate</t>
        </is>
      </c>
      <c r="K988" t="inlineStr">
        <is>
          <t>https://api.worldbank.org/v2/country/NPL/indicator/NY.GNP.PCAP.PP.CD?format=json&amp;mrv=10</t>
        </is>
      </c>
      <c r="L988" t="inlineStr">
        <is>
          <t>World Bank WDI: GNI per capita PPP (monthly USD)</t>
        </is>
      </c>
      <c r="M988" t="inlineStr">
        <is>
          <t>2024-12-31</t>
        </is>
      </c>
      <c r="N988" t="inlineStr">
        <is>
          <t>auto_ingest=world_bank_col_estimate; gni_annual=5830.0; year=2024; country_proxy=Nepal; cohort=South Asia</t>
        </is>
      </c>
    </row>
    <row r="989">
      <c r="A989" t="inlineStr">
        <is>
          <t>np-kathmandu</t>
        </is>
      </c>
      <c r="B989" t="inlineStr">
        <is>
          <t>Kathmandu</t>
        </is>
      </c>
      <c r="C989" t="inlineStr">
        <is>
          <t>Nepal</t>
        </is>
      </c>
      <c r="D989" t="inlineStr">
        <is>
          <t>South Asia</t>
        </is>
      </c>
      <c r="E989" t="inlineStr">
        <is>
          <t>di_ppp_raw</t>
        </is>
      </c>
      <c r="F989" t="inlineStr">
        <is>
          <t>Disposable income PPP (Raw)</t>
        </is>
      </c>
      <c r="G989" t="inlineStr">
        <is>
          <t>pressure</t>
        </is>
      </c>
      <c r="H989" t="inlineStr">
        <is>
          <t>yes</t>
        </is>
      </c>
      <c r="I989" t="inlineStr"/>
      <c r="J989" t="inlineStr"/>
      <c r="K989" t="inlineStr"/>
      <c r="L989" t="inlineStr"/>
      <c r="M989" t="inlineStr"/>
      <c r="N989" t="inlineStr"/>
    </row>
    <row r="990">
      <c r="A990" t="inlineStr">
        <is>
          <t>np-kathmandu</t>
        </is>
      </c>
      <c r="B990" t="inlineStr">
        <is>
          <t>Kathmandu</t>
        </is>
      </c>
      <c r="C990" t="inlineStr">
        <is>
          <t>Nepal</t>
        </is>
      </c>
      <c r="D990" t="inlineStr">
        <is>
          <t>South Asia</t>
        </is>
      </c>
      <c r="E990" t="inlineStr">
        <is>
          <t>rent</t>
        </is>
      </c>
      <c r="F990" t="inlineStr">
        <is>
          <t>Rent</t>
        </is>
      </c>
      <c r="G990" t="inlineStr">
        <is>
          <t>pressure</t>
        </is>
      </c>
      <c r="H990" t="inlineStr">
        <is>
          <t>yes</t>
        </is>
      </c>
      <c r="I990" t="inlineStr">
        <is>
          <t>72.87</t>
        </is>
      </c>
      <c r="J990" t="inlineStr">
        <is>
          <t>world_bank_col_estimate</t>
        </is>
      </c>
      <c r="K990" t="inlineStr">
        <is>
          <t>https://api.worldbank.org/v2/country/NPL/indicator/NY.GNP.PCAP.PP.CD?format=json&amp;mrv=10</t>
        </is>
      </c>
      <c r="L990" t="inlineStr">
        <is>
          <t>World Bank GNI + regional expenditure ratio estimate</t>
        </is>
      </c>
      <c r="M990" t="inlineStr">
        <is>
          <t>2024-12-31</t>
        </is>
      </c>
      <c r="N990" t="inlineStr">
        <is>
          <t>auto_ingest=world_bank_col_estimate; gni_annual=5830.0; year=2024; country_proxy=Nepal; cohort=South Asia</t>
        </is>
      </c>
    </row>
    <row r="991">
      <c r="A991" t="inlineStr">
        <is>
          <t>np-kathmandu</t>
        </is>
      </c>
      <c r="B991" t="inlineStr">
        <is>
          <t>Kathmandu</t>
        </is>
      </c>
      <c r="C991" t="inlineStr">
        <is>
          <t>Nepal</t>
        </is>
      </c>
      <c r="D991" t="inlineStr">
        <is>
          <t>South Asia</t>
        </is>
      </c>
      <c r="E991" t="inlineStr">
        <is>
          <t>utilities</t>
        </is>
      </c>
      <c r="F991" t="inlineStr">
        <is>
          <t>Utilities</t>
        </is>
      </c>
      <c r="G991" t="inlineStr">
        <is>
          <t>pressure</t>
        </is>
      </c>
      <c r="H991" t="inlineStr">
        <is>
          <t>yes</t>
        </is>
      </c>
      <c r="I991" t="inlineStr">
        <is>
          <t>24.29</t>
        </is>
      </c>
      <c r="J991" t="inlineStr">
        <is>
          <t>world_bank_col_estimate</t>
        </is>
      </c>
      <c r="K991" t="inlineStr">
        <is>
          <t>https://api.worldbank.org/v2/country/NPL/indicator/NY.GNP.PCAP.PP.CD?format=json&amp;mrv=10</t>
        </is>
      </c>
      <c r="L991" t="inlineStr">
        <is>
          <t>World Bank GNI + regional expenditure ratio estimate</t>
        </is>
      </c>
      <c r="M991" t="inlineStr">
        <is>
          <t>2024-12-31</t>
        </is>
      </c>
      <c r="N991" t="inlineStr">
        <is>
          <t>auto_ingest=world_bank_col_estimate; gni_annual=5830.0; year=2024; country_proxy=Nepal; cohort=South Asia</t>
        </is>
      </c>
    </row>
    <row r="992">
      <c r="A992" t="inlineStr">
        <is>
          <t>np-kathmandu</t>
        </is>
      </c>
      <c r="B992" t="inlineStr">
        <is>
          <t>Kathmandu</t>
        </is>
      </c>
      <c r="C992" t="inlineStr">
        <is>
          <t>Nepal</t>
        </is>
      </c>
      <c r="D992" t="inlineStr">
        <is>
          <t>South Asia</t>
        </is>
      </c>
      <c r="E992" t="inlineStr">
        <is>
          <t>transit_cost</t>
        </is>
      </c>
      <c r="F992" t="inlineStr">
        <is>
          <t>Transit cost</t>
        </is>
      </c>
      <c r="G992" t="inlineStr">
        <is>
          <t>pressure</t>
        </is>
      </c>
      <c r="H992" t="inlineStr">
        <is>
          <t>yes</t>
        </is>
      </c>
      <c r="I992" t="inlineStr">
        <is>
          <t>14.57</t>
        </is>
      </c>
      <c r="J992" t="inlineStr">
        <is>
          <t>world_bank_col_estimate</t>
        </is>
      </c>
      <c r="K992" t="inlineStr">
        <is>
          <t>https://api.worldbank.org/v2/country/NPL/indicator/NY.GNP.PCAP.PP.CD?format=json&amp;mrv=10</t>
        </is>
      </c>
      <c r="L992" t="inlineStr">
        <is>
          <t>World Bank GNI + regional expenditure ratio estimate</t>
        </is>
      </c>
      <c r="M992" t="inlineStr">
        <is>
          <t>2024-12-31</t>
        </is>
      </c>
      <c r="N992" t="inlineStr">
        <is>
          <t>auto_ingest=world_bank_col_estimate; gni_annual=5830.0; year=2024; country_proxy=Nepal; cohort=South Asia</t>
        </is>
      </c>
    </row>
    <row r="993">
      <c r="A993" t="inlineStr">
        <is>
          <t>np-kathmandu</t>
        </is>
      </c>
      <c r="B993" t="inlineStr">
        <is>
          <t>Kathmandu</t>
        </is>
      </c>
      <c r="C993" t="inlineStr">
        <is>
          <t>Nepal</t>
        </is>
      </c>
      <c r="D993" t="inlineStr">
        <is>
          <t>South Asia</t>
        </is>
      </c>
      <c r="E993" t="inlineStr">
        <is>
          <t>internet_cost</t>
        </is>
      </c>
      <c r="F993" t="inlineStr">
        <is>
          <t>Internet cost</t>
        </is>
      </c>
      <c r="G993" t="inlineStr">
        <is>
          <t>pressure</t>
        </is>
      </c>
      <c r="H993" t="inlineStr">
        <is>
          <t>yes</t>
        </is>
      </c>
      <c r="I993" t="inlineStr">
        <is>
          <t>4.86</t>
        </is>
      </c>
      <c r="J993" t="inlineStr">
        <is>
          <t>world_bank_col_estimate</t>
        </is>
      </c>
      <c r="K993" t="inlineStr">
        <is>
          <t>https://api.worldbank.org/v2/country/NPL/indicator/NY.GNP.PCAP.PP.CD?format=json&amp;mrv=10</t>
        </is>
      </c>
      <c r="L993" t="inlineStr">
        <is>
          <t>World Bank GNI + regional expenditure ratio estimate</t>
        </is>
      </c>
      <c r="M993" t="inlineStr">
        <is>
          <t>2024-12-31</t>
        </is>
      </c>
      <c r="N993" t="inlineStr">
        <is>
          <t>auto_ingest=world_bank_col_estimate; gni_annual=5830.0; year=2024; country_proxy=Nepal; cohort=South Asia</t>
        </is>
      </c>
    </row>
    <row r="994">
      <c r="A994" t="inlineStr">
        <is>
          <t>np-kathmandu</t>
        </is>
      </c>
      <c r="B994" t="inlineStr">
        <is>
          <t>Kathmandu</t>
        </is>
      </c>
      <c r="C994" t="inlineStr">
        <is>
          <t>Nepal</t>
        </is>
      </c>
      <c r="D994" t="inlineStr">
        <is>
          <t>South Asia</t>
        </is>
      </c>
      <c r="E994" t="inlineStr">
        <is>
          <t>food_cost</t>
        </is>
      </c>
      <c r="F994" t="inlineStr">
        <is>
          <t>Food cost</t>
        </is>
      </c>
      <c r="G994" t="inlineStr">
        <is>
          <t>pressure</t>
        </is>
      </c>
      <c r="H994" t="inlineStr">
        <is>
          <t>yes</t>
        </is>
      </c>
      <c r="I994" t="inlineStr">
        <is>
          <t>121.46</t>
        </is>
      </c>
      <c r="J994" t="inlineStr">
        <is>
          <t>world_bank_col_estimate</t>
        </is>
      </c>
      <c r="K994" t="inlineStr">
        <is>
          <t>https://api.worldbank.org/v2/country/NPL/indicator/NY.GNP.PCAP.PP.CD?format=json&amp;mrv=10</t>
        </is>
      </c>
      <c r="L994" t="inlineStr">
        <is>
          <t>World Bank GNI + regional expenditure ratio estimate</t>
        </is>
      </c>
      <c r="M994" t="inlineStr">
        <is>
          <t>2024-12-31</t>
        </is>
      </c>
      <c r="N994" t="inlineStr">
        <is>
          <t>auto_ingest=world_bank_col_estimate; gni_annual=5830.0; year=2024; country_proxy=Nepal; cohort=South Asia</t>
        </is>
      </c>
    </row>
    <row r="995">
      <c r="A995" t="inlineStr">
        <is>
          <t>np-kathmandu</t>
        </is>
      </c>
      <c r="B995" t="inlineStr">
        <is>
          <t>Kathmandu</t>
        </is>
      </c>
      <c r="C995" t="inlineStr">
        <is>
          <t>Nepal</t>
        </is>
      </c>
      <c r="D995" t="inlineStr">
        <is>
          <t>South Asia</t>
        </is>
      </c>
      <c r="E995" t="inlineStr">
        <is>
          <t>housing_burden_raw</t>
        </is>
      </c>
      <c r="F995" t="inlineStr">
        <is>
          <t>Housing burden raw</t>
        </is>
      </c>
      <c r="G995" t="inlineStr">
        <is>
          <t>pressure</t>
        </is>
      </c>
      <c r="H995" t="inlineStr">
        <is>
          <t>yes</t>
        </is>
      </c>
      <c r="I995" t="inlineStr">
        <is>
          <t>14.9991</t>
        </is>
      </c>
      <c r="J995" t="inlineStr">
        <is>
          <t>derived</t>
        </is>
      </c>
      <c r="K995" t="inlineStr">
        <is>
          <t>https://data.worldbank.org/indicator/NY.GNP.PCAP.PP.CD</t>
        </is>
      </c>
      <c r="L995" t="inlineStr">
        <is>
          <t>Computed from city_inputs + country_context</t>
        </is>
      </c>
      <c r="M995" t="inlineStr">
        <is>
          <t>2024-01-01</t>
        </is>
      </c>
      <c r="N995" t="inlineStr">
        <is>
          <t>derived=rent/gross_income*100</t>
        </is>
      </c>
    </row>
    <row r="996">
      <c r="A996" t="inlineStr">
        <is>
          <t>np-kathmandu</t>
        </is>
      </c>
      <c r="B996" t="inlineStr">
        <is>
          <t>Kathmandu</t>
        </is>
      </c>
      <c r="C996" t="inlineStr">
        <is>
          <t>Nepal</t>
        </is>
      </c>
      <c r="D996" t="inlineStr">
        <is>
          <t>South Asia</t>
        </is>
      </c>
      <c r="E996" t="inlineStr">
        <is>
          <t>household_debt_burden_raw</t>
        </is>
      </c>
      <c r="F996" t="inlineStr">
        <is>
          <t>Household debt burden raw</t>
        </is>
      </c>
      <c r="G996" t="inlineStr">
        <is>
          <t>pressure</t>
        </is>
      </c>
      <c r="H996" t="inlineStr">
        <is>
          <t>yes</t>
        </is>
      </c>
      <c r="I996" t="inlineStr">
        <is>
          <t>91.9385</t>
        </is>
      </c>
      <c r="J996" t="inlineStr">
        <is>
          <t>derived</t>
        </is>
      </c>
      <c r="K996" t="inlineStr">
        <is>
          <t>https://data.worldbank.org/indicator/NY.GNP.PCAP.PP.CD</t>
        </is>
      </c>
      <c r="L996" t="inlineStr">
        <is>
          <t>Computed from city_inputs + country_context</t>
        </is>
      </c>
      <c r="M996" t="inlineStr">
        <is>
          <t>2024-01-01</t>
        </is>
      </c>
      <c r="N996" t="inlineStr">
        <is>
          <t>derived=country_context.household_debt_proxy; country=Nepal</t>
        </is>
      </c>
    </row>
    <row r="997">
      <c r="A997" t="inlineStr">
        <is>
          <t>np-kathmandu</t>
        </is>
      </c>
      <c r="B997" t="inlineStr">
        <is>
          <t>Kathmandu</t>
        </is>
      </c>
      <c r="C997" t="inlineStr">
        <is>
          <t>Nepal</t>
        </is>
      </c>
      <c r="D997" t="inlineStr">
        <is>
          <t>South Asia</t>
        </is>
      </c>
      <c r="E997" t="inlineStr">
        <is>
          <t>working_time_pressure_raw</t>
        </is>
      </c>
      <c r="F997" t="inlineStr">
        <is>
          <t>Working time pressure raw</t>
        </is>
      </c>
      <c r="G997" t="inlineStr">
        <is>
          <t>pressure</t>
        </is>
      </c>
      <c r="H997" t="inlineStr">
        <is>
          <t>yes</t>
        </is>
      </c>
      <c r="I997" t="inlineStr"/>
      <c r="J997" t="inlineStr"/>
      <c r="K997" t="inlineStr"/>
      <c r="L997" t="inlineStr"/>
      <c r="M997" t="inlineStr"/>
      <c r="N997" t="inlineStr"/>
    </row>
    <row r="998">
      <c r="A998" t="inlineStr">
        <is>
          <t>np-kathmandu</t>
        </is>
      </c>
      <c r="B998" t="inlineStr">
        <is>
          <t>Kathmandu</t>
        </is>
      </c>
      <c r="C998" t="inlineStr">
        <is>
          <t>Nepal</t>
        </is>
      </c>
      <c r="D998" t="inlineStr">
        <is>
          <t>South Asia</t>
        </is>
      </c>
      <c r="E998" t="inlineStr">
        <is>
          <t>suicide_mental_strain_raw</t>
        </is>
      </c>
      <c r="F998" t="inlineStr">
        <is>
          <t>Suicide or mental strain raw</t>
        </is>
      </c>
      <c r="G998" t="inlineStr">
        <is>
          <t>pressure</t>
        </is>
      </c>
      <c r="H998" t="inlineStr">
        <is>
          <t>yes</t>
        </is>
      </c>
      <c r="I998" t="inlineStr">
        <is>
          <t>10.14</t>
        </is>
      </c>
      <c r="J998" t="inlineStr">
        <is>
          <t>who_gho</t>
        </is>
      </c>
      <c r="K998" t="inlineStr">
        <is>
          <t>https://www.who.int/data/gho/data/indicators/indicator-details/GHO/SDGSUICIDE</t>
        </is>
      </c>
      <c r="L998" t="inlineStr">
        <is>
          <t>WHO GHO: Age-standardized suicide rate (per 100,000 population)</t>
        </is>
      </c>
      <c r="M998" t="inlineStr">
        <is>
          <t>2021-12-31</t>
        </is>
      </c>
      <c r="N998" t="inlineStr">
        <is>
          <t>auto_ingest=who_gho; indicator=SDGSUICIDE; year=2021; country_proxy=Nepal</t>
        </is>
      </c>
    </row>
    <row r="999">
      <c r="A999" t="inlineStr">
        <is>
          <t>np-kathmandu</t>
        </is>
      </c>
      <c r="B999" t="inlineStr">
        <is>
          <t>Kathmandu</t>
        </is>
      </c>
      <c r="C999" t="inlineStr">
        <is>
          <t>Nepal</t>
        </is>
      </c>
      <c r="D999" t="inlineStr">
        <is>
          <t>South Asia</t>
        </is>
      </c>
      <c r="E999" t="inlineStr">
        <is>
          <t>personal_safety_raw</t>
        </is>
      </c>
      <c r="F999" t="inlineStr">
        <is>
          <t>Personal safety raw</t>
        </is>
      </c>
      <c r="G999" t="inlineStr">
        <is>
          <t>viability</t>
        </is>
      </c>
      <c r="H999" t="inlineStr">
        <is>
          <t>yes</t>
        </is>
      </c>
      <c r="I999" t="inlineStr">
        <is>
          <t>2.13</t>
        </is>
      </c>
      <c r="J999" t="inlineStr">
        <is>
          <t>world_bank</t>
        </is>
      </c>
      <c r="K999" t="inlineStr">
        <is>
          <t>https://api.worldbank.org/v2/country/NPL/indicator/VC.IHR.PSRC.P5?format=json&amp;mrv=10</t>
        </is>
      </c>
      <c r="L999" t="inlineStr">
        <is>
          <t>UNODC via World Bank WDI: Intentional homicides (per 100,000 people)</t>
        </is>
      </c>
      <c r="M999" t="inlineStr">
        <is>
          <t>2020-12-31</t>
        </is>
      </c>
      <c r="N999" t="inlineStr">
        <is>
          <t>auto_ingest=unodc_safety; indicator=VC.IHR.PSRC.P5; year=2020; country_proxy=Nepal</t>
        </is>
      </c>
    </row>
    <row r="1000">
      <c r="A1000" t="inlineStr">
        <is>
          <t>np-kathmandu</t>
        </is>
      </c>
      <c r="B1000" t="inlineStr">
        <is>
          <t>Kathmandu</t>
        </is>
      </c>
      <c r="C1000" t="inlineStr">
        <is>
          <t>Nepal</t>
        </is>
      </c>
      <c r="D1000" t="inlineStr">
        <is>
          <t>South Asia</t>
        </is>
      </c>
      <c r="E1000" t="inlineStr">
        <is>
          <t>transit_access_commute_raw</t>
        </is>
      </c>
      <c r="F1000" t="inlineStr">
        <is>
          <t>Transit access and commute raw</t>
        </is>
      </c>
      <c r="G1000" t="inlineStr">
        <is>
          <t>viability</t>
        </is>
      </c>
      <c r="H1000" t="inlineStr">
        <is>
          <t>yes</t>
        </is>
      </c>
      <c r="I1000" t="inlineStr"/>
      <c r="J1000" t="inlineStr"/>
      <c r="K1000" t="inlineStr"/>
      <c r="L1000" t="inlineStr"/>
      <c r="M1000" t="inlineStr"/>
      <c r="N1000" t="inlineStr"/>
    </row>
    <row r="1001">
      <c r="A1001" t="inlineStr">
        <is>
          <t>np-kathmandu</t>
        </is>
      </c>
      <c r="B1001" t="inlineStr">
        <is>
          <t>Kathmandu</t>
        </is>
      </c>
      <c r="C1001" t="inlineStr">
        <is>
          <t>Nepal</t>
        </is>
      </c>
      <c r="D1001" t="inlineStr">
        <is>
          <t>South Asia</t>
        </is>
      </c>
      <c r="E1001" t="inlineStr">
        <is>
          <t>clean_air_raw</t>
        </is>
      </c>
      <c r="F1001" t="inlineStr">
        <is>
          <t>Clean air raw</t>
        </is>
      </c>
      <c r="G1001" t="inlineStr">
        <is>
          <t>viability</t>
        </is>
      </c>
      <c r="H1001" t="inlineStr">
        <is>
          <t>yes</t>
        </is>
      </c>
      <c r="I1001" t="inlineStr"/>
      <c r="J1001" t="inlineStr"/>
      <c r="K1001" t="inlineStr"/>
      <c r="L1001" t="inlineStr"/>
      <c r="M1001" t="inlineStr"/>
      <c r="N1001" t="inlineStr"/>
    </row>
    <row r="1002">
      <c r="A1002" t="inlineStr">
        <is>
          <t>np-kathmandu</t>
        </is>
      </c>
      <c r="B1002" t="inlineStr">
        <is>
          <t>Kathmandu</t>
        </is>
      </c>
      <c r="C1002" t="inlineStr">
        <is>
          <t>Nepal</t>
        </is>
      </c>
      <c r="D1002" t="inlineStr">
        <is>
          <t>South Asia</t>
        </is>
      </c>
      <c r="E1002" t="inlineStr">
        <is>
          <t>water_sanitation_utility_raw</t>
        </is>
      </c>
      <c r="F1002" t="inlineStr">
        <is>
          <t>Water, sanitation, and utility raw</t>
        </is>
      </c>
      <c r="G1002" t="inlineStr">
        <is>
          <t>viability</t>
        </is>
      </c>
      <c r="H1002" t="inlineStr">
        <is>
          <t>yes</t>
        </is>
      </c>
      <c r="I1002" t="inlineStr">
        <is>
          <t>16.49</t>
        </is>
      </c>
      <c r="J1002" t="inlineStr">
        <is>
          <t>world_bank</t>
        </is>
      </c>
      <c r="K1002" t="inlineStr">
        <is>
          <t>https://api.worldbank.org/v2/country/NPL/indicator/SH.H2O.SMDW.ZS?format=json&amp;mrv=10</t>
        </is>
      </c>
      <c r="L1002" t="inlineStr">
        <is>
          <t>World Bank WDI: People using safely managed drinking water services (% of population)</t>
        </is>
      </c>
      <c r="M1002" t="inlineStr">
        <is>
          <t>2024-12-31</t>
        </is>
      </c>
      <c r="N1002" t="inlineStr">
        <is>
          <t>auto_ingest=world_bank_proxy; indicator=SH.H2O.SMDW.ZS; year=2024; country_proxy=Nepal</t>
        </is>
      </c>
    </row>
    <row r="1003">
      <c r="A1003" t="inlineStr">
        <is>
          <t>np-kathmandu</t>
        </is>
      </c>
      <c r="B1003" t="inlineStr">
        <is>
          <t>Kathmandu</t>
        </is>
      </c>
      <c r="C1003" t="inlineStr">
        <is>
          <t>Nepal</t>
        </is>
      </c>
      <c r="D1003" t="inlineStr">
        <is>
          <t>South Asia</t>
        </is>
      </c>
      <c r="E1003" t="inlineStr">
        <is>
          <t>digital_infrastructure_raw</t>
        </is>
      </c>
      <c r="F1003" t="inlineStr">
        <is>
          <t>Digital infrastructure raw</t>
        </is>
      </c>
      <c r="G1003" t="inlineStr">
        <is>
          <t>viability</t>
        </is>
      </c>
      <c r="H1003" t="inlineStr">
        <is>
          <t>yes</t>
        </is>
      </c>
      <c r="I1003" t="inlineStr">
        <is>
          <t>4.83</t>
        </is>
      </c>
      <c r="J1003" t="inlineStr">
        <is>
          <t>world_bank</t>
        </is>
      </c>
      <c r="K1003" t="inlineStr">
        <is>
          <t>https://api.worldbank.org/v2/country/NPL/indicator/IT.NET.BBND.P2?format=json&amp;mrv=10</t>
        </is>
      </c>
      <c r="L1003" t="inlineStr">
        <is>
          <t>World Bank WDI: Fixed broadband subscriptions (per 100 people)</t>
        </is>
      </c>
      <c r="M1003" t="inlineStr">
        <is>
          <t>2022-12-31</t>
        </is>
      </c>
      <c r="N1003" t="inlineStr">
        <is>
          <t>auto_ingest=world_bank_proxy; indicator=IT.NET.BBND.P2; year=2022; country_proxy=Nepal</t>
        </is>
      </c>
    </row>
    <row r="1004">
      <c r="A1004" t="inlineStr">
        <is>
          <t>np-kathmandu</t>
        </is>
      </c>
      <c r="B1004" t="inlineStr">
        <is>
          <t>Kathmandu</t>
        </is>
      </c>
      <c r="C1004" t="inlineStr">
        <is>
          <t>Nepal</t>
        </is>
      </c>
      <c r="D1004" t="inlineStr">
        <is>
          <t>South Asia</t>
        </is>
      </c>
      <c r="E1004" t="inlineStr">
        <is>
          <t>climate_sunlight_livability_raw</t>
        </is>
      </c>
      <c r="F1004" t="inlineStr">
        <is>
          <t>Climate and sunlight livability raw</t>
        </is>
      </c>
      <c r="G1004" t="inlineStr">
        <is>
          <t>viability</t>
        </is>
      </c>
      <c r="H1004" t="inlineStr">
        <is>
          <t>yes</t>
        </is>
      </c>
      <c r="I1004" t="inlineStr"/>
      <c r="J1004" t="inlineStr"/>
      <c r="K1004" t="inlineStr"/>
      <c r="L1004" t="inlineStr"/>
      <c r="M1004" t="inlineStr"/>
      <c r="N1004" t="inlineStr"/>
    </row>
    <row r="1005">
      <c r="A1005" t="inlineStr">
        <is>
          <t>np-kathmandu</t>
        </is>
      </c>
      <c r="B1005" t="inlineStr">
        <is>
          <t>Kathmandu</t>
        </is>
      </c>
      <c r="C1005" t="inlineStr">
        <is>
          <t>Nepal</t>
        </is>
      </c>
      <c r="D1005" t="inlineStr">
        <is>
          <t>South Asia</t>
        </is>
      </c>
      <c r="E1005" t="inlineStr">
        <is>
          <t>healthcare_quality_raw</t>
        </is>
      </c>
      <c r="F1005" t="inlineStr">
        <is>
          <t>Healthcare quality raw</t>
        </is>
      </c>
      <c r="G1005" t="inlineStr">
        <is>
          <t>capability</t>
        </is>
      </c>
      <c r="H1005" t="inlineStr">
        <is>
          <t>yes</t>
        </is>
      </c>
      <c r="I1005" t="inlineStr">
        <is>
          <t>58.0</t>
        </is>
      </c>
      <c r="J1005" t="inlineStr">
        <is>
          <t>who_gho</t>
        </is>
      </c>
      <c r="K1005" t="inlineStr">
        <is>
          <t>https://www.who.int/data/gho/data/indicators/indicator-details/GHO/UHC_INDEX_REPORTED</t>
        </is>
      </c>
      <c r="L1005" t="inlineStr">
        <is>
          <t>WHO GHO: UHC Service Coverage Index</t>
        </is>
      </c>
      <c r="M1005" t="inlineStr">
        <is>
          <t>2023-12-31</t>
        </is>
      </c>
      <c r="N1005" t="inlineStr">
        <is>
          <t>auto_ingest=who_gho; indicator=UHC_INDEX_REPORTED; year=2023; country_proxy=Nepal</t>
        </is>
      </c>
    </row>
    <row r="1006">
      <c r="A1006" t="inlineStr">
        <is>
          <t>np-kathmandu</t>
        </is>
      </c>
      <c r="B1006" t="inlineStr">
        <is>
          <t>Kathmandu</t>
        </is>
      </c>
      <c r="C1006" t="inlineStr">
        <is>
          <t>Nepal</t>
        </is>
      </c>
      <c r="D1006" t="inlineStr">
        <is>
          <t>South Asia</t>
        </is>
      </c>
      <c r="E1006" t="inlineStr">
        <is>
          <t>education_quality_raw</t>
        </is>
      </c>
      <c r="F1006" t="inlineStr">
        <is>
          <t>Education quality raw</t>
        </is>
      </c>
      <c r="G1006" t="inlineStr">
        <is>
          <t>capability</t>
        </is>
      </c>
      <c r="H1006" t="inlineStr">
        <is>
          <t>yes</t>
        </is>
      </c>
      <c r="I1006" t="inlineStr">
        <is>
          <t>21.29</t>
        </is>
      </c>
      <c r="J1006" t="inlineStr">
        <is>
          <t>world_bank</t>
        </is>
      </c>
      <c r="K1006" t="inlineStr">
        <is>
          <t>https://api.worldbank.org/v2/country/NPL/indicator/SE.TER.ENRR?format=json&amp;mrv=10</t>
        </is>
      </c>
      <c r="L1006" t="inlineStr">
        <is>
          <t>World Bank WDI: School enrollment, tertiary (% gross)</t>
        </is>
      </c>
      <c r="M1006" t="inlineStr">
        <is>
          <t>2024-12-31</t>
        </is>
      </c>
      <c r="N1006" t="inlineStr">
        <is>
          <t>auto_ingest=world_bank_proxy; indicator=SE.TER.ENRR; year=2024; country_proxy=Nepal</t>
        </is>
      </c>
    </row>
    <row r="1007">
      <c r="A1007" t="inlineStr">
        <is>
          <t>np-kathmandu</t>
        </is>
      </c>
      <c r="B1007" t="inlineStr">
        <is>
          <t>Kathmandu</t>
        </is>
      </c>
      <c r="C1007" t="inlineStr">
        <is>
          <t>Nepal</t>
        </is>
      </c>
      <c r="D1007" t="inlineStr">
        <is>
          <t>South Asia</t>
        </is>
      </c>
      <c r="E1007" t="inlineStr">
        <is>
          <t>equal_opportunity_raw</t>
        </is>
      </c>
      <c r="F1007" t="inlineStr">
        <is>
          <t>Equal opportunity raw</t>
        </is>
      </c>
      <c r="G1007" t="inlineStr">
        <is>
          <t>capability</t>
        </is>
      </c>
      <c r="H1007" t="inlineStr">
        <is>
          <t>yes</t>
        </is>
      </c>
      <c r="I1007" t="inlineStr">
        <is>
          <t>30.0</t>
        </is>
      </c>
      <c r="J1007" t="inlineStr">
        <is>
          <t>world_bank</t>
        </is>
      </c>
      <c r="K1007" t="inlineStr">
        <is>
          <t>https://api.worldbank.org/v2/country/NPL/indicator/SI.POV.GINI?format=json&amp;mrv=10</t>
        </is>
      </c>
      <c r="L1007" t="inlineStr">
        <is>
          <t>World Bank WDI: Gini index</t>
        </is>
      </c>
      <c r="M1007" t="inlineStr">
        <is>
          <t>2022-12-31</t>
        </is>
      </c>
      <c r="N1007" t="inlineStr">
        <is>
          <t>auto_ingest=world_bank_capability; indicator=SI.POV.GINI; year=2022; country_proxy=Nepal</t>
        </is>
      </c>
    </row>
    <row r="1008">
      <c r="A1008" t="inlineStr">
        <is>
          <t>np-kathmandu</t>
        </is>
      </c>
      <c r="B1008" t="inlineStr">
        <is>
          <t>Kathmandu</t>
        </is>
      </c>
      <c r="C1008" t="inlineStr">
        <is>
          <t>Nepal</t>
        </is>
      </c>
      <c r="D1008" t="inlineStr">
        <is>
          <t>South Asia</t>
        </is>
      </c>
      <c r="E1008" t="inlineStr">
        <is>
          <t>hospitality_belonging_raw</t>
        </is>
      </c>
      <c r="F1008" t="inlineStr">
        <is>
          <t>Hospitality and belonging raw</t>
        </is>
      </c>
      <c r="G1008" t="inlineStr">
        <is>
          <t>community</t>
        </is>
      </c>
      <c r="H1008" t="inlineStr">
        <is>
          <t>yes</t>
        </is>
      </c>
      <c r="I1008" t="inlineStr">
        <is>
          <t>37.7</t>
        </is>
      </c>
      <c r="J1008" t="inlineStr">
        <is>
          <t>world_bank</t>
        </is>
      </c>
      <c r="K1008" t="inlineStr">
        <is>
          <t>https://api.worldbank.org/v2/country/NPL/indicator/SM.POP.NETM?format=json&amp;mrv=10</t>
        </is>
      </c>
      <c r="L1008" t="inlineStr">
        <is>
          <t>World Bank WDI: Net migration (proxy for hospitality/belonging — positive = welcoming)</t>
        </is>
      </c>
      <c r="M1008" t="inlineStr">
        <is>
          <t>2025-12-31</t>
        </is>
      </c>
      <c r="N1008" t="inlineStr">
        <is>
          <t>auto_ingest=world_bank_proxy; proxy=net_migration_hospitality; indicator=SM.POP.NETM; year=2025; country_proxy=Nepal</t>
        </is>
      </c>
    </row>
    <row r="1009">
      <c r="A1009" t="inlineStr">
        <is>
          <t>np-kathmandu</t>
        </is>
      </c>
      <c r="B1009" t="inlineStr">
        <is>
          <t>Kathmandu</t>
        </is>
      </c>
      <c r="C1009" t="inlineStr">
        <is>
          <t>Nepal</t>
        </is>
      </c>
      <c r="D1009" t="inlineStr">
        <is>
          <t>South Asia</t>
        </is>
      </c>
      <c r="E1009" t="inlineStr">
        <is>
          <t>tolerance_pluralism_raw</t>
        </is>
      </c>
      <c r="F1009" t="inlineStr">
        <is>
          <t>Tolerance and pluralism raw</t>
        </is>
      </c>
      <c r="G1009" t="inlineStr">
        <is>
          <t>community</t>
        </is>
      </c>
      <c r="H1009" t="inlineStr">
        <is>
          <t>yes</t>
        </is>
      </c>
      <c r="I1009" t="inlineStr">
        <is>
          <t>33.09</t>
        </is>
      </c>
      <c r="J1009" t="inlineStr">
        <is>
          <t>world_bank</t>
        </is>
      </c>
      <c r="K1009" t="inlineStr">
        <is>
          <t>https://api.worldbank.org/v2/country/NPL/indicator/SG.GEN.PARL.ZS?format=json&amp;mrv=10</t>
        </is>
      </c>
      <c r="L1009" t="inlineStr">
        <is>
          <t>World Bank WDI: Proportion of seats held by women in national parliaments (%)</t>
        </is>
      </c>
      <c r="M1009" t="inlineStr">
        <is>
          <t>2024-12-31</t>
        </is>
      </c>
      <c r="N1009" t="inlineStr">
        <is>
          <t>auto_ingest=world_bank_proxy; proxy=gender_parity_parliament; indicator=SG.GEN.PARL.ZS; year=2024; country_proxy=Nepal</t>
        </is>
      </c>
    </row>
    <row r="1010">
      <c r="A1010" t="inlineStr">
        <is>
          <t>np-kathmandu</t>
        </is>
      </c>
      <c r="B1010" t="inlineStr">
        <is>
          <t>Kathmandu</t>
        </is>
      </c>
      <c r="C1010" t="inlineStr">
        <is>
          <t>Nepal</t>
        </is>
      </c>
      <c r="D1010" t="inlineStr">
        <is>
          <t>South Asia</t>
        </is>
      </c>
      <c r="E1010" t="inlineStr">
        <is>
          <t>cultural_public_life_raw</t>
        </is>
      </c>
      <c r="F1010" t="inlineStr">
        <is>
          <t>Cultural public life raw</t>
        </is>
      </c>
      <c r="G1010" t="inlineStr">
        <is>
          <t>community</t>
        </is>
      </c>
      <c r="H1010" t="inlineStr">
        <is>
          <t>yes</t>
        </is>
      </c>
      <c r="I1010" t="inlineStr">
        <is>
          <t>7.76</t>
        </is>
      </c>
      <c r="J1010" t="inlineStr">
        <is>
          <t>world_bank</t>
        </is>
      </c>
      <c r="K1010" t="inlineStr">
        <is>
          <t>https://api.worldbank.org/v2/country/NPL/indicator/ST.INT.ARVL?format=json&amp;mrv=10</t>
        </is>
      </c>
      <c r="L1010" t="inlineStr">
        <is>
          <t>World Bank WDI: International tourism arrivals per 1 000 population</t>
        </is>
      </c>
      <c r="M1010" t="inlineStr">
        <is>
          <t>2020-12-31</t>
        </is>
      </c>
      <c r="N1010" t="inlineStr">
        <is>
          <t>auto_ingest=cultural_life_proxy; indicator=ST.INT.ARVL; norm=per_1000_pop; year=2020; country_proxy=Nepal</t>
        </is>
      </c>
    </row>
    <row r="1011">
      <c r="A1011" t="inlineStr">
        <is>
          <t>np-kathmandu</t>
        </is>
      </c>
      <c r="B1011" t="inlineStr">
        <is>
          <t>Kathmandu</t>
        </is>
      </c>
      <c r="C1011" t="inlineStr">
        <is>
          <t>Nepal</t>
        </is>
      </c>
      <c r="D1011" t="inlineStr">
        <is>
          <t>South Asia</t>
        </is>
      </c>
      <c r="E1011" t="inlineStr">
        <is>
          <t>birth_rate_optimism_raw</t>
        </is>
      </c>
      <c r="F1011" t="inlineStr">
        <is>
          <t>Birth rate and societal optimism raw</t>
        </is>
      </c>
      <c r="G1011" t="inlineStr">
        <is>
          <t>community</t>
        </is>
      </c>
      <c r="H1011" t="inlineStr">
        <is>
          <t>yes</t>
        </is>
      </c>
      <c r="I1011" t="inlineStr"/>
      <c r="J1011" t="inlineStr"/>
      <c r="K1011" t="inlineStr"/>
      <c r="L1011" t="inlineStr"/>
      <c r="M1011" t="inlineStr"/>
      <c r="N1011" t="inlineStr"/>
    </row>
    <row r="1012">
      <c r="A1012" t="inlineStr">
        <is>
          <t>np-kathmandu</t>
        </is>
      </c>
      <c r="B1012" t="inlineStr">
        <is>
          <t>Kathmandu</t>
        </is>
      </c>
      <c r="C1012" t="inlineStr">
        <is>
          <t>Nepal</t>
        </is>
      </c>
      <c r="D1012" t="inlineStr">
        <is>
          <t>South Asia</t>
        </is>
      </c>
      <c r="E1012" t="inlineStr">
        <is>
          <t>entrepreneurial_dynamism_raw</t>
        </is>
      </c>
      <c r="F1012" t="inlineStr">
        <is>
          <t>Entrepreneurial dynamism raw</t>
        </is>
      </c>
      <c r="G1012" t="inlineStr">
        <is>
          <t>creative</t>
        </is>
      </c>
      <c r="H1012" t="inlineStr">
        <is>
          <t>yes</t>
        </is>
      </c>
      <c r="I1012" t="inlineStr">
        <is>
          <t>1.38</t>
        </is>
      </c>
      <c r="J1012" t="inlineStr">
        <is>
          <t>world_bank</t>
        </is>
      </c>
      <c r="K1012" t="inlineStr">
        <is>
          <t>https://api.worldbank.org/v2/country/NPL/indicator/IC.BUS.NDNS.ZS?format=json&amp;mrv=10</t>
        </is>
      </c>
      <c r="L1012" t="inlineStr">
        <is>
          <t>World Bank WDI: New business density (new registrations per 1,000 people ages 15-64)</t>
        </is>
      </c>
      <c r="M1012" t="inlineStr">
        <is>
          <t>2020-12-31</t>
        </is>
      </c>
      <c r="N1012" t="inlineStr">
        <is>
          <t>auto_ingest=world_bank_creative_extended; indicator=IC.BUS.NDNS.ZS; year=2020; country_proxy=Nepal</t>
        </is>
      </c>
    </row>
    <row r="1013">
      <c r="A1013" t="inlineStr">
        <is>
          <t>np-kathmandu</t>
        </is>
      </c>
      <c r="B1013" t="inlineStr">
        <is>
          <t>Kathmandu</t>
        </is>
      </c>
      <c r="C1013" t="inlineStr">
        <is>
          <t>Nepal</t>
        </is>
      </c>
      <c r="D1013" t="inlineStr">
        <is>
          <t>South Asia</t>
        </is>
      </c>
      <c r="E1013" t="inlineStr">
        <is>
          <t>innovation_research_intensity_raw</t>
        </is>
      </c>
      <c r="F1013" t="inlineStr">
        <is>
          <t>Innovation and research raw</t>
        </is>
      </c>
      <c r="G1013" t="inlineStr">
        <is>
          <t>creative</t>
        </is>
      </c>
      <c r="H1013" t="inlineStr">
        <is>
          <t>yes</t>
        </is>
      </c>
      <c r="I1013" t="inlineStr">
        <is>
          <t>2.12</t>
        </is>
      </c>
      <c r="J1013" t="inlineStr">
        <is>
          <t>world_bank</t>
        </is>
      </c>
      <c r="K1013" t="inlineStr">
        <is>
          <t>https://api.worldbank.org/v2/country/NPL/indicator/IP.PAT.RESD?format=json&amp;mrv=10</t>
        </is>
      </c>
      <c r="L1013" t="inlineStr">
        <is>
          <t>World Bank WDI: Patent applications (residents + non-residents) per million population</t>
        </is>
      </c>
      <c r="M1013" t="inlineStr">
        <is>
          <t>2017-12-31</t>
        </is>
      </c>
      <c r="N1013" t="inlineStr">
        <is>
          <t>auto_ingest=wipo_patents_proxy; indicators=IP.PAT.RESD+IP.PAT.NRES; norm=per_million_pop; year=2017; country_proxy=Nepal</t>
        </is>
      </c>
    </row>
    <row r="1014">
      <c r="A1014" t="inlineStr">
        <is>
          <t>np-kathmandu</t>
        </is>
      </c>
      <c r="B1014" t="inlineStr">
        <is>
          <t>Kathmandu</t>
        </is>
      </c>
      <c r="C1014" t="inlineStr">
        <is>
          <t>Nepal</t>
        </is>
      </c>
      <c r="D1014" t="inlineStr">
        <is>
          <t>South Asia</t>
        </is>
      </c>
      <c r="E1014" t="inlineStr">
        <is>
          <t>investment_signal_raw</t>
        </is>
      </c>
      <c r="F1014" t="inlineStr">
        <is>
          <t>Investment signal raw</t>
        </is>
      </c>
      <c r="G1014" t="inlineStr">
        <is>
          <t>creative</t>
        </is>
      </c>
      <c r="H1014" t="inlineStr">
        <is>
          <t>yes</t>
        </is>
      </c>
      <c r="I1014" t="inlineStr">
        <is>
          <t>0.13</t>
        </is>
      </c>
      <c r="J1014" t="inlineStr">
        <is>
          <t>world_bank</t>
        </is>
      </c>
      <c r="K1014" t="inlineStr">
        <is>
          <t>https://api.worldbank.org/v2/country/NPL/indicator/BX.KLT.DINV.WD.GD.ZS?format=json&amp;mrv=10</t>
        </is>
      </c>
      <c r="L1014" t="inlineStr">
        <is>
          <t>World Bank WDI: Foreign direct investment, net inflows (% of GDP)</t>
        </is>
      </c>
      <c r="M1014" t="inlineStr">
        <is>
          <t>2024-12-31</t>
        </is>
      </c>
      <c r="N1014" t="inlineStr">
        <is>
          <t>auto_ingest=world_bank_creative_extended; indicator=BX.KLT.DINV.WD.GD.ZS; year=2024; country_proxy=Nepal</t>
        </is>
      </c>
    </row>
    <row r="1015">
      <c r="A1015" t="inlineStr">
        <is>
          <t>np-kathmandu</t>
        </is>
      </c>
      <c r="B1015" t="inlineStr">
        <is>
          <t>Kathmandu</t>
        </is>
      </c>
      <c r="C1015" t="inlineStr">
        <is>
          <t>Nepal</t>
        </is>
      </c>
      <c r="D1015" t="inlineStr">
        <is>
          <t>South Asia</t>
        </is>
      </c>
      <c r="E1015" t="inlineStr">
        <is>
          <t>administrative_investment_friction_raw</t>
        </is>
      </c>
      <c r="F1015" t="inlineStr">
        <is>
          <t>Administrative investment friction raw</t>
        </is>
      </c>
      <c r="G1015" t="inlineStr">
        <is>
          <t>creative</t>
        </is>
      </c>
      <c r="H1015" t="inlineStr">
        <is>
          <t>yes</t>
        </is>
      </c>
      <c r="I1015" t="inlineStr">
        <is>
          <t>3.16</t>
        </is>
      </c>
      <c r="J1015" t="inlineStr">
        <is>
          <t>world_bank</t>
        </is>
      </c>
      <c r="K1015" t="inlineStr">
        <is>
          <t>https://api.worldbank.org/v2/country/NPL/indicator/RQ.EST?format=json&amp;mrv=10</t>
        </is>
      </c>
      <c r="L1015" t="inlineStr">
        <is>
          <t>World Bank WGI: Regulatory Quality (inverted as friction proxy)</t>
        </is>
      </c>
      <c r="M1015" t="inlineStr">
        <is>
          <t>2023-12-31</t>
        </is>
      </c>
      <c r="N1015" t="inlineStr">
        <is>
          <t>auto_ingest=world_bank_business_friction; indicator=RQ.EST; raw_rq=-0.661413729190826; friction=3.16; year=2023; country_proxy=Nepal</t>
        </is>
      </c>
    </row>
    <row r="1016">
      <c r="A1016" t="inlineStr">
        <is>
          <t>np-kathmandu</t>
        </is>
      </c>
      <c r="B1016" t="inlineStr">
        <is>
          <t>Kathmandu</t>
        </is>
      </c>
      <c r="C1016" t="inlineStr">
        <is>
          <t>Nepal</t>
        </is>
      </c>
      <c r="D1016" t="inlineStr">
        <is>
          <t>South Asia</t>
        </is>
      </c>
      <c r="E1016" t="inlineStr">
        <is>
          <t>visitor_flow_context_raw</t>
        </is>
      </c>
      <c r="F1016" t="inlineStr">
        <is>
          <t>Visitor flow context raw</t>
        </is>
      </c>
      <c r="G1016" t="inlineStr">
        <is>
          <t>creative</t>
        </is>
      </c>
      <c r="H1016" t="inlineStr">
        <is>
          <t>no</t>
        </is>
      </c>
      <c r="I1016" t="inlineStr"/>
      <c r="J1016" t="inlineStr"/>
      <c r="K1016" t="inlineStr"/>
      <c r="L1016" t="inlineStr"/>
      <c r="M1016" t="inlineStr"/>
      <c r="N1016" t="inlineStr"/>
    </row>
    <row r="1017">
      <c r="A1017" t="inlineStr">
        <is>
          <t>bt-thimphu</t>
        </is>
      </c>
      <c r="B1017" t="inlineStr">
        <is>
          <t>Thimphu</t>
        </is>
      </c>
      <c r="C1017" t="inlineStr">
        <is>
          <t>Bhutan</t>
        </is>
      </c>
      <c r="D1017" t="inlineStr">
        <is>
          <t>South Asia</t>
        </is>
      </c>
      <c r="E1017" t="inlineStr">
        <is>
          <t>gross_income</t>
        </is>
      </c>
      <c r="F1017" t="inlineStr">
        <is>
          <t>Gross income</t>
        </is>
      </c>
      <c r="G1017" t="inlineStr">
        <is>
          <t>pressure</t>
        </is>
      </c>
      <c r="H1017" t="inlineStr">
        <is>
          <t>yes</t>
        </is>
      </c>
      <c r="I1017" t="inlineStr">
        <is>
          <t>1276.67</t>
        </is>
      </c>
      <c r="J1017" t="inlineStr">
        <is>
          <t>world_bank_col_estimate</t>
        </is>
      </c>
      <c r="K1017" t="inlineStr">
        <is>
          <t>https://api.worldbank.org/v2/country/BTN/indicator/NY.GNP.PCAP.PP.CD?format=json&amp;mrv=10</t>
        </is>
      </c>
      <c r="L1017" t="inlineStr">
        <is>
          <t>World Bank WDI: GNI per capita PPP (monthly USD)</t>
        </is>
      </c>
      <c r="M1017" t="inlineStr">
        <is>
          <t>2023-12-31</t>
        </is>
      </c>
      <c r="N1017" t="inlineStr">
        <is>
          <t>auto_ingest=world_bank_col_estimate; gni_annual=15320.0; year=2023; country_proxy=Bhutan; cohort=South Asia</t>
        </is>
      </c>
    </row>
    <row r="1018">
      <c r="A1018" t="inlineStr">
        <is>
          <t>bt-thimphu</t>
        </is>
      </c>
      <c r="B1018" t="inlineStr">
        <is>
          <t>Thimphu</t>
        </is>
      </c>
      <c r="C1018" t="inlineStr">
        <is>
          <t>Bhutan</t>
        </is>
      </c>
      <c r="D1018" t="inlineStr">
        <is>
          <t>South Asia</t>
        </is>
      </c>
      <c r="E1018" t="inlineStr">
        <is>
          <t>di_ppp_raw</t>
        </is>
      </c>
      <c r="F1018" t="inlineStr">
        <is>
          <t>Disposable income PPP (Raw)</t>
        </is>
      </c>
      <c r="G1018" t="inlineStr">
        <is>
          <t>pressure</t>
        </is>
      </c>
      <c r="H1018" t="inlineStr">
        <is>
          <t>yes</t>
        </is>
      </c>
      <c r="I1018" t="inlineStr"/>
      <c r="J1018" t="inlineStr"/>
      <c r="K1018" t="inlineStr"/>
      <c r="L1018" t="inlineStr"/>
      <c r="M1018" t="inlineStr"/>
      <c r="N1018" t="inlineStr"/>
    </row>
    <row r="1019">
      <c r="A1019" t="inlineStr">
        <is>
          <t>bt-thimphu</t>
        </is>
      </c>
      <c r="B1019" t="inlineStr">
        <is>
          <t>Thimphu</t>
        </is>
      </c>
      <c r="C1019" t="inlineStr">
        <is>
          <t>Bhutan</t>
        </is>
      </c>
      <c r="D1019" t="inlineStr">
        <is>
          <t>South Asia</t>
        </is>
      </c>
      <c r="E1019" t="inlineStr">
        <is>
          <t>rent</t>
        </is>
      </c>
      <c r="F1019" t="inlineStr">
        <is>
          <t>Rent</t>
        </is>
      </c>
      <c r="G1019" t="inlineStr">
        <is>
          <t>pressure</t>
        </is>
      </c>
      <c r="H1019" t="inlineStr">
        <is>
          <t>yes</t>
        </is>
      </c>
      <c r="I1019" t="inlineStr">
        <is>
          <t>191.5</t>
        </is>
      </c>
      <c r="J1019" t="inlineStr">
        <is>
          <t>world_bank_col_estimate</t>
        </is>
      </c>
      <c r="K1019" t="inlineStr">
        <is>
          <t>https://api.worldbank.org/v2/country/BTN/indicator/NY.GNP.PCAP.PP.CD?format=json&amp;mrv=10</t>
        </is>
      </c>
      <c r="L1019" t="inlineStr">
        <is>
          <t>World Bank GNI + regional expenditure ratio estimate</t>
        </is>
      </c>
      <c r="M1019" t="inlineStr">
        <is>
          <t>2023-12-31</t>
        </is>
      </c>
      <c r="N1019" t="inlineStr">
        <is>
          <t>auto_ingest=world_bank_col_estimate; gni_annual=15320.0; year=2023; country_proxy=Bhutan; cohort=South Asia</t>
        </is>
      </c>
    </row>
    <row r="1020">
      <c r="A1020" t="inlineStr">
        <is>
          <t>bt-thimphu</t>
        </is>
      </c>
      <c r="B1020" t="inlineStr">
        <is>
          <t>Thimphu</t>
        </is>
      </c>
      <c r="C1020" t="inlineStr">
        <is>
          <t>Bhutan</t>
        </is>
      </c>
      <c r="D1020" t="inlineStr">
        <is>
          <t>South Asia</t>
        </is>
      </c>
      <c r="E1020" t="inlineStr">
        <is>
          <t>utilities</t>
        </is>
      </c>
      <c r="F1020" t="inlineStr">
        <is>
          <t>Utilities</t>
        </is>
      </c>
      <c r="G1020" t="inlineStr">
        <is>
          <t>pressure</t>
        </is>
      </c>
      <c r="H1020" t="inlineStr">
        <is>
          <t>yes</t>
        </is>
      </c>
      <c r="I1020" t="inlineStr">
        <is>
          <t>63.83</t>
        </is>
      </c>
      <c r="J1020" t="inlineStr">
        <is>
          <t>world_bank_col_estimate</t>
        </is>
      </c>
      <c r="K1020" t="inlineStr">
        <is>
          <t>https://api.worldbank.org/v2/country/BTN/indicator/NY.GNP.PCAP.PP.CD?format=json&amp;mrv=10</t>
        </is>
      </c>
      <c r="L1020" t="inlineStr">
        <is>
          <t>World Bank GNI + regional expenditure ratio estimate</t>
        </is>
      </c>
      <c r="M1020" t="inlineStr">
        <is>
          <t>2023-12-31</t>
        </is>
      </c>
      <c r="N1020" t="inlineStr">
        <is>
          <t>auto_ingest=world_bank_col_estimate; gni_annual=15320.0; year=2023; country_proxy=Bhutan; cohort=South Asia</t>
        </is>
      </c>
    </row>
    <row r="1021">
      <c r="A1021" t="inlineStr">
        <is>
          <t>bt-thimphu</t>
        </is>
      </c>
      <c r="B1021" t="inlineStr">
        <is>
          <t>Thimphu</t>
        </is>
      </c>
      <c r="C1021" t="inlineStr">
        <is>
          <t>Bhutan</t>
        </is>
      </c>
      <c r="D1021" t="inlineStr">
        <is>
          <t>South Asia</t>
        </is>
      </c>
      <c r="E1021" t="inlineStr">
        <is>
          <t>transit_cost</t>
        </is>
      </c>
      <c r="F1021" t="inlineStr">
        <is>
          <t>Transit cost</t>
        </is>
      </c>
      <c r="G1021" t="inlineStr">
        <is>
          <t>pressure</t>
        </is>
      </c>
      <c r="H1021" t="inlineStr">
        <is>
          <t>yes</t>
        </is>
      </c>
      <c r="I1021" t="inlineStr">
        <is>
          <t>38.3</t>
        </is>
      </c>
      <c r="J1021" t="inlineStr">
        <is>
          <t>world_bank_col_estimate</t>
        </is>
      </c>
      <c r="K1021" t="inlineStr">
        <is>
          <t>https://api.worldbank.org/v2/country/BTN/indicator/NY.GNP.PCAP.PP.CD?format=json&amp;mrv=10</t>
        </is>
      </c>
      <c r="L1021" t="inlineStr">
        <is>
          <t>World Bank GNI + regional expenditure ratio estimate</t>
        </is>
      </c>
      <c r="M1021" t="inlineStr">
        <is>
          <t>2023-12-31</t>
        </is>
      </c>
      <c r="N1021" t="inlineStr">
        <is>
          <t>auto_ingest=world_bank_col_estimate; gni_annual=15320.0; year=2023; country_proxy=Bhutan; cohort=South Asia</t>
        </is>
      </c>
    </row>
    <row r="1022">
      <c r="A1022" t="inlineStr">
        <is>
          <t>bt-thimphu</t>
        </is>
      </c>
      <c r="B1022" t="inlineStr">
        <is>
          <t>Thimphu</t>
        </is>
      </c>
      <c r="C1022" t="inlineStr">
        <is>
          <t>Bhutan</t>
        </is>
      </c>
      <c r="D1022" t="inlineStr">
        <is>
          <t>South Asia</t>
        </is>
      </c>
      <c r="E1022" t="inlineStr">
        <is>
          <t>internet_cost</t>
        </is>
      </c>
      <c r="F1022" t="inlineStr">
        <is>
          <t>Internet cost</t>
        </is>
      </c>
      <c r="G1022" t="inlineStr">
        <is>
          <t>pressure</t>
        </is>
      </c>
      <c r="H1022" t="inlineStr">
        <is>
          <t>yes</t>
        </is>
      </c>
      <c r="I1022" t="inlineStr">
        <is>
          <t>12.77</t>
        </is>
      </c>
      <c r="J1022" t="inlineStr">
        <is>
          <t>world_bank_col_estimate</t>
        </is>
      </c>
      <c r="K1022" t="inlineStr">
        <is>
          <t>https://api.worldbank.org/v2/country/BTN/indicator/NY.GNP.PCAP.PP.CD?format=json&amp;mrv=10</t>
        </is>
      </c>
      <c r="L1022" t="inlineStr">
        <is>
          <t>World Bank GNI + regional expenditure ratio estimate</t>
        </is>
      </c>
      <c r="M1022" t="inlineStr">
        <is>
          <t>2023-12-31</t>
        </is>
      </c>
      <c r="N1022" t="inlineStr">
        <is>
          <t>auto_ingest=world_bank_col_estimate; gni_annual=15320.0; year=2023; country_proxy=Bhutan; cohort=South Asia</t>
        </is>
      </c>
    </row>
    <row r="1023">
      <c r="A1023" t="inlineStr">
        <is>
          <t>bt-thimphu</t>
        </is>
      </c>
      <c r="B1023" t="inlineStr">
        <is>
          <t>Thimphu</t>
        </is>
      </c>
      <c r="C1023" t="inlineStr">
        <is>
          <t>Bhutan</t>
        </is>
      </c>
      <c r="D1023" t="inlineStr">
        <is>
          <t>South Asia</t>
        </is>
      </c>
      <c r="E1023" t="inlineStr">
        <is>
          <t>food_cost</t>
        </is>
      </c>
      <c r="F1023" t="inlineStr">
        <is>
          <t>Food cost</t>
        </is>
      </c>
      <c r="G1023" t="inlineStr">
        <is>
          <t>pressure</t>
        </is>
      </c>
      <c r="H1023" t="inlineStr">
        <is>
          <t>yes</t>
        </is>
      </c>
      <c r="I1023" t="inlineStr">
        <is>
          <t>319.17</t>
        </is>
      </c>
      <c r="J1023" t="inlineStr">
        <is>
          <t>world_bank_col_estimate</t>
        </is>
      </c>
      <c r="K1023" t="inlineStr">
        <is>
          <t>https://api.worldbank.org/v2/country/BTN/indicator/NY.GNP.PCAP.PP.CD?format=json&amp;mrv=10</t>
        </is>
      </c>
      <c r="L1023" t="inlineStr">
        <is>
          <t>World Bank GNI + regional expenditure ratio estimate</t>
        </is>
      </c>
      <c r="M1023" t="inlineStr">
        <is>
          <t>2023-12-31</t>
        </is>
      </c>
      <c r="N1023" t="inlineStr">
        <is>
          <t>auto_ingest=world_bank_col_estimate; gni_annual=15320.0; year=2023; country_proxy=Bhutan; cohort=South Asia</t>
        </is>
      </c>
    </row>
    <row r="1024">
      <c r="A1024" t="inlineStr">
        <is>
          <t>bt-thimphu</t>
        </is>
      </c>
      <c r="B1024" t="inlineStr">
        <is>
          <t>Thimphu</t>
        </is>
      </c>
      <c r="C1024" t="inlineStr">
        <is>
          <t>Bhutan</t>
        </is>
      </c>
      <c r="D1024" t="inlineStr">
        <is>
          <t>South Asia</t>
        </is>
      </c>
      <c r="E1024" t="inlineStr">
        <is>
          <t>housing_burden_raw</t>
        </is>
      </c>
      <c r="F1024" t="inlineStr">
        <is>
          <t>Housing burden raw</t>
        </is>
      </c>
      <c r="G1024" t="inlineStr">
        <is>
          <t>pressure</t>
        </is>
      </c>
      <c r="H1024" t="inlineStr">
        <is>
          <t>yes</t>
        </is>
      </c>
      <c r="I1024" t="inlineStr">
        <is>
          <t>15.0</t>
        </is>
      </c>
      <c r="J1024" t="inlineStr">
        <is>
          <t>derived</t>
        </is>
      </c>
      <c r="K1024" t="inlineStr">
        <is>
          <t>https://data.worldbank.org/indicator/NY.GNP.PCAP.PP.CD</t>
        </is>
      </c>
      <c r="L1024" t="inlineStr">
        <is>
          <t>Computed from city_inputs + country_context</t>
        </is>
      </c>
      <c r="M1024" t="inlineStr">
        <is>
          <t>2024-01-01</t>
        </is>
      </c>
      <c r="N1024" t="inlineStr">
        <is>
          <t>derived=rent/gross_income*100</t>
        </is>
      </c>
    </row>
    <row r="1025">
      <c r="A1025" t="inlineStr">
        <is>
          <t>bt-thimphu</t>
        </is>
      </c>
      <c r="B1025" t="inlineStr">
        <is>
          <t>Thimphu</t>
        </is>
      </c>
      <c r="C1025" t="inlineStr">
        <is>
          <t>Bhutan</t>
        </is>
      </c>
      <c r="D1025" t="inlineStr">
        <is>
          <t>South Asia</t>
        </is>
      </c>
      <c r="E1025" t="inlineStr">
        <is>
          <t>household_debt_burden_raw</t>
        </is>
      </c>
      <c r="F1025" t="inlineStr">
        <is>
          <t>Household debt burden raw</t>
        </is>
      </c>
      <c r="G1025" t="inlineStr">
        <is>
          <t>pressure</t>
        </is>
      </c>
      <c r="H1025" t="inlineStr">
        <is>
          <t>yes</t>
        </is>
      </c>
      <c r="I1025" t="inlineStr">
        <is>
          <t>51.8935</t>
        </is>
      </c>
      <c r="J1025" t="inlineStr">
        <is>
          <t>derived</t>
        </is>
      </c>
      <c r="K1025" t="inlineStr">
        <is>
          <t>https://data.worldbank.org/indicator/NY.GNP.PCAP.PP.CD</t>
        </is>
      </c>
      <c r="L1025" t="inlineStr">
        <is>
          <t>Computed from city_inputs + country_context</t>
        </is>
      </c>
      <c r="M1025" t="inlineStr">
        <is>
          <t>2024-01-01</t>
        </is>
      </c>
      <c r="N1025" t="inlineStr">
        <is>
          <t>derived=country_context.household_debt_proxy; country=Bhutan</t>
        </is>
      </c>
    </row>
    <row r="1026">
      <c r="A1026" t="inlineStr">
        <is>
          <t>bt-thimphu</t>
        </is>
      </c>
      <c r="B1026" t="inlineStr">
        <is>
          <t>Thimphu</t>
        </is>
      </c>
      <c r="C1026" t="inlineStr">
        <is>
          <t>Bhutan</t>
        </is>
      </c>
      <c r="D1026" t="inlineStr">
        <is>
          <t>South Asia</t>
        </is>
      </c>
      <c r="E1026" t="inlineStr">
        <is>
          <t>working_time_pressure_raw</t>
        </is>
      </c>
      <c r="F1026" t="inlineStr">
        <is>
          <t>Working time pressure raw</t>
        </is>
      </c>
      <c r="G1026" t="inlineStr">
        <is>
          <t>pressure</t>
        </is>
      </c>
      <c r="H1026" t="inlineStr">
        <is>
          <t>yes</t>
        </is>
      </c>
      <c r="I1026" t="inlineStr">
        <is>
          <t>54.42</t>
        </is>
      </c>
      <c r="J1026" t="inlineStr">
        <is>
          <t>ilo_ilostat</t>
        </is>
      </c>
      <c r="K1026" t="inlineStr">
        <is>
          <t>https://ilostat.ilo.org/data/indicator/?id=HOW_TEMP_SEX_ECO_NB_A&amp;ref_area=BTN</t>
        </is>
      </c>
      <c r="L1026" t="inlineStr">
        <is>
          <t>ILO ILOSTAT: Mean weekly hours actually worked per employed person</t>
        </is>
      </c>
      <c r="M1026" t="inlineStr">
        <is>
          <t>2022-12-31</t>
        </is>
      </c>
      <c r="N1026" t="inlineStr">
        <is>
          <t>auto_ingest=ilo_working_hours; indicator=HOW_TEMP_SEX_ECO_NB_A; year=2022; hours=54.42; country_proxy=Bhutan</t>
        </is>
      </c>
    </row>
    <row r="1027">
      <c r="A1027" t="inlineStr">
        <is>
          <t>bt-thimphu</t>
        </is>
      </c>
      <c r="B1027" t="inlineStr">
        <is>
          <t>Thimphu</t>
        </is>
      </c>
      <c r="C1027" t="inlineStr">
        <is>
          <t>Bhutan</t>
        </is>
      </c>
      <c r="D1027" t="inlineStr">
        <is>
          <t>South Asia</t>
        </is>
      </c>
      <c r="E1027" t="inlineStr">
        <is>
          <t>suicide_mental_strain_raw</t>
        </is>
      </c>
      <c r="F1027" t="inlineStr">
        <is>
          <t>Suicide or mental strain raw</t>
        </is>
      </c>
      <c r="G1027" t="inlineStr">
        <is>
          <t>pressure</t>
        </is>
      </c>
      <c r="H1027" t="inlineStr">
        <is>
          <t>yes</t>
        </is>
      </c>
      <c r="I1027" t="inlineStr">
        <is>
          <t>4.9</t>
        </is>
      </c>
      <c r="J1027" t="inlineStr">
        <is>
          <t>who_gho</t>
        </is>
      </c>
      <c r="K1027" t="inlineStr">
        <is>
          <t>https://www.who.int/data/gho/data/indicators/indicator-details/GHO/SDGSUICIDE</t>
        </is>
      </c>
      <c r="L1027" t="inlineStr">
        <is>
          <t>WHO GHO: Age-standardized suicide rate (per 100,000 population)</t>
        </is>
      </c>
      <c r="M1027" t="inlineStr">
        <is>
          <t>2021-12-31</t>
        </is>
      </c>
      <c r="N1027" t="inlineStr">
        <is>
          <t>auto_ingest=who_gho; indicator=SDGSUICIDE; year=2021; country_proxy=Bhutan</t>
        </is>
      </c>
    </row>
    <row r="1028">
      <c r="A1028" t="inlineStr">
        <is>
          <t>bt-thimphu</t>
        </is>
      </c>
      <c r="B1028" t="inlineStr">
        <is>
          <t>Thimphu</t>
        </is>
      </c>
      <c r="C1028" t="inlineStr">
        <is>
          <t>Bhutan</t>
        </is>
      </c>
      <c r="D1028" t="inlineStr">
        <is>
          <t>South Asia</t>
        </is>
      </c>
      <c r="E1028" t="inlineStr">
        <is>
          <t>personal_safety_raw</t>
        </is>
      </c>
      <c r="F1028" t="inlineStr">
        <is>
          <t>Personal safety raw</t>
        </is>
      </c>
      <c r="G1028" t="inlineStr">
        <is>
          <t>viability</t>
        </is>
      </c>
      <c r="H1028" t="inlineStr">
        <is>
          <t>yes</t>
        </is>
      </c>
      <c r="I1028" t="inlineStr">
        <is>
          <t>2.47</t>
        </is>
      </c>
      <c r="J1028" t="inlineStr">
        <is>
          <t>world_bank</t>
        </is>
      </c>
      <c r="K1028" t="inlineStr">
        <is>
          <t>https://api.worldbank.org/v2/country/BTN/indicator/VC.IHR.PSRC.P5?format=json&amp;mrv=10</t>
        </is>
      </c>
      <c r="L1028" t="inlineStr">
        <is>
          <t>UNODC via World Bank WDI: Intentional homicides (per 100,000 people)</t>
        </is>
      </c>
      <c r="M1028" t="inlineStr">
        <is>
          <t>2020-12-31</t>
        </is>
      </c>
      <c r="N1028" t="inlineStr">
        <is>
          <t>auto_ingest=unodc_safety; indicator=VC.IHR.PSRC.P5; year=2020; country_proxy=Bhutan</t>
        </is>
      </c>
    </row>
    <row r="1029">
      <c r="A1029" t="inlineStr">
        <is>
          <t>bt-thimphu</t>
        </is>
      </c>
      <c r="B1029" t="inlineStr">
        <is>
          <t>Thimphu</t>
        </is>
      </c>
      <c r="C1029" t="inlineStr">
        <is>
          <t>Bhutan</t>
        </is>
      </c>
      <c r="D1029" t="inlineStr">
        <is>
          <t>South Asia</t>
        </is>
      </c>
      <c r="E1029" t="inlineStr">
        <is>
          <t>transit_access_commute_raw</t>
        </is>
      </c>
      <c r="F1029" t="inlineStr">
        <is>
          <t>Transit access and commute raw</t>
        </is>
      </c>
      <c r="G1029" t="inlineStr">
        <is>
          <t>viability</t>
        </is>
      </c>
      <c r="H1029" t="inlineStr">
        <is>
          <t>yes</t>
        </is>
      </c>
      <c r="I1029" t="inlineStr"/>
      <c r="J1029" t="inlineStr"/>
      <c r="K1029" t="inlineStr"/>
      <c r="L1029" t="inlineStr"/>
      <c r="M1029" t="inlineStr"/>
      <c r="N1029" t="inlineStr"/>
    </row>
    <row r="1030">
      <c r="A1030" t="inlineStr">
        <is>
          <t>bt-thimphu</t>
        </is>
      </c>
      <c r="B1030" t="inlineStr">
        <is>
          <t>Thimphu</t>
        </is>
      </c>
      <c r="C1030" t="inlineStr">
        <is>
          <t>Bhutan</t>
        </is>
      </c>
      <c r="D1030" t="inlineStr">
        <is>
          <t>South Asia</t>
        </is>
      </c>
      <c r="E1030" t="inlineStr">
        <is>
          <t>clean_air_raw</t>
        </is>
      </c>
      <c r="F1030" t="inlineStr">
        <is>
          <t>Clean air raw</t>
        </is>
      </c>
      <c r="G1030" t="inlineStr">
        <is>
          <t>viability</t>
        </is>
      </c>
      <c r="H1030" t="inlineStr">
        <is>
          <t>yes</t>
        </is>
      </c>
      <c r="I1030" t="inlineStr"/>
      <c r="J1030" t="inlineStr"/>
      <c r="K1030" t="inlineStr"/>
      <c r="L1030" t="inlineStr"/>
      <c r="M1030" t="inlineStr"/>
      <c r="N1030" t="inlineStr"/>
    </row>
    <row r="1031">
      <c r="A1031" t="inlineStr">
        <is>
          <t>bt-thimphu</t>
        </is>
      </c>
      <c r="B1031" t="inlineStr">
        <is>
          <t>Thimphu</t>
        </is>
      </c>
      <c r="C1031" t="inlineStr">
        <is>
          <t>Bhutan</t>
        </is>
      </c>
      <c r="D1031" t="inlineStr">
        <is>
          <t>South Asia</t>
        </is>
      </c>
      <c r="E1031" t="inlineStr">
        <is>
          <t>water_sanitation_utility_raw</t>
        </is>
      </c>
      <c r="F1031" t="inlineStr">
        <is>
          <t>Water, sanitation, and utility raw</t>
        </is>
      </c>
      <c r="G1031" t="inlineStr">
        <is>
          <t>viability</t>
        </is>
      </c>
      <c r="H1031" t="inlineStr">
        <is>
          <t>yes</t>
        </is>
      </c>
      <c r="I1031" t="inlineStr">
        <is>
          <t>65.59</t>
        </is>
      </c>
      <c r="J1031" t="inlineStr">
        <is>
          <t>world_bank</t>
        </is>
      </c>
      <c r="K1031" t="inlineStr">
        <is>
          <t>https://api.worldbank.org/v2/country/BTN/indicator/SH.H2O.SMDW.ZS?format=json&amp;mrv=10</t>
        </is>
      </c>
      <c r="L1031" t="inlineStr">
        <is>
          <t>World Bank WDI: People using safely managed drinking water services (% of population)</t>
        </is>
      </c>
      <c r="M1031" t="inlineStr">
        <is>
          <t>2024-12-31</t>
        </is>
      </c>
      <c r="N1031" t="inlineStr">
        <is>
          <t>auto_ingest=world_bank_proxy; indicator=SH.H2O.SMDW.ZS; year=2024; country_proxy=Bhutan</t>
        </is>
      </c>
    </row>
    <row r="1032">
      <c r="A1032" t="inlineStr">
        <is>
          <t>bt-thimphu</t>
        </is>
      </c>
      <c r="B1032" t="inlineStr">
        <is>
          <t>Thimphu</t>
        </is>
      </c>
      <c r="C1032" t="inlineStr">
        <is>
          <t>Bhutan</t>
        </is>
      </c>
      <c r="D1032" t="inlineStr">
        <is>
          <t>South Asia</t>
        </is>
      </c>
      <c r="E1032" t="inlineStr">
        <is>
          <t>digital_infrastructure_raw</t>
        </is>
      </c>
      <c r="F1032" t="inlineStr">
        <is>
          <t>Digital infrastructure raw</t>
        </is>
      </c>
      <c r="G1032" t="inlineStr">
        <is>
          <t>viability</t>
        </is>
      </c>
      <c r="H1032" t="inlineStr">
        <is>
          <t>yes</t>
        </is>
      </c>
      <c r="I1032" t="inlineStr">
        <is>
          <t>1.32</t>
        </is>
      </c>
      <c r="J1032" t="inlineStr">
        <is>
          <t>world_bank</t>
        </is>
      </c>
      <c r="K1032" t="inlineStr">
        <is>
          <t>https://api.worldbank.org/v2/country/BTN/indicator/IT.NET.BBND.P2?format=json&amp;mrv=10</t>
        </is>
      </c>
      <c r="L1032" t="inlineStr">
        <is>
          <t>World Bank WDI: Fixed broadband subscriptions (per 100 people)</t>
        </is>
      </c>
      <c r="M1032" t="inlineStr">
        <is>
          <t>2023-12-31</t>
        </is>
      </c>
      <c r="N1032" t="inlineStr">
        <is>
          <t>auto_ingest=world_bank_proxy; indicator=IT.NET.BBND.P2; year=2023; country_proxy=Bhutan</t>
        </is>
      </c>
    </row>
    <row r="1033">
      <c r="A1033" t="inlineStr">
        <is>
          <t>bt-thimphu</t>
        </is>
      </c>
      <c r="B1033" t="inlineStr">
        <is>
          <t>Thimphu</t>
        </is>
      </c>
      <c r="C1033" t="inlineStr">
        <is>
          <t>Bhutan</t>
        </is>
      </c>
      <c r="D1033" t="inlineStr">
        <is>
          <t>South Asia</t>
        </is>
      </c>
      <c r="E1033" t="inlineStr">
        <is>
          <t>climate_sunlight_livability_raw</t>
        </is>
      </c>
      <c r="F1033" t="inlineStr">
        <is>
          <t>Climate and sunlight livability raw</t>
        </is>
      </c>
      <c r="G1033" t="inlineStr">
        <is>
          <t>viability</t>
        </is>
      </c>
      <c r="H1033" t="inlineStr">
        <is>
          <t>yes</t>
        </is>
      </c>
      <c r="I1033" t="inlineStr"/>
      <c r="J1033" t="inlineStr"/>
      <c r="K1033" t="inlineStr"/>
      <c r="L1033" t="inlineStr"/>
      <c r="M1033" t="inlineStr"/>
      <c r="N1033" t="inlineStr"/>
    </row>
    <row r="1034">
      <c r="A1034" t="inlineStr">
        <is>
          <t>bt-thimphu</t>
        </is>
      </c>
      <c r="B1034" t="inlineStr">
        <is>
          <t>Thimphu</t>
        </is>
      </c>
      <c r="C1034" t="inlineStr">
        <is>
          <t>Bhutan</t>
        </is>
      </c>
      <c r="D1034" t="inlineStr">
        <is>
          <t>South Asia</t>
        </is>
      </c>
      <c r="E1034" t="inlineStr">
        <is>
          <t>healthcare_quality_raw</t>
        </is>
      </c>
      <c r="F1034" t="inlineStr">
        <is>
          <t>Healthcare quality raw</t>
        </is>
      </c>
      <c r="G1034" t="inlineStr">
        <is>
          <t>capability</t>
        </is>
      </c>
      <c r="H1034" t="inlineStr">
        <is>
          <t>yes</t>
        </is>
      </c>
      <c r="I1034" t="inlineStr">
        <is>
          <t>69.0</t>
        </is>
      </c>
      <c r="J1034" t="inlineStr">
        <is>
          <t>who_gho</t>
        </is>
      </c>
      <c r="K1034" t="inlineStr">
        <is>
          <t>https://www.who.int/data/gho/data/indicators/indicator-details/GHO/UHC_INDEX_REPORTED</t>
        </is>
      </c>
      <c r="L1034" t="inlineStr">
        <is>
          <t>WHO GHO: UHC Service Coverage Index</t>
        </is>
      </c>
      <c r="M1034" t="inlineStr">
        <is>
          <t>2023-12-31</t>
        </is>
      </c>
      <c r="N1034" t="inlineStr">
        <is>
          <t>auto_ingest=who_gho; indicator=UHC_INDEX_REPORTED; year=2023; country_proxy=Bhutan</t>
        </is>
      </c>
    </row>
    <row r="1035">
      <c r="A1035" t="inlineStr">
        <is>
          <t>bt-thimphu</t>
        </is>
      </c>
      <c r="B1035" t="inlineStr">
        <is>
          <t>Thimphu</t>
        </is>
      </c>
      <c r="C1035" t="inlineStr">
        <is>
          <t>Bhutan</t>
        </is>
      </c>
      <c r="D1035" t="inlineStr">
        <is>
          <t>South Asia</t>
        </is>
      </c>
      <c r="E1035" t="inlineStr">
        <is>
          <t>education_quality_raw</t>
        </is>
      </c>
      <c r="F1035" t="inlineStr">
        <is>
          <t>Education quality raw</t>
        </is>
      </c>
      <c r="G1035" t="inlineStr">
        <is>
          <t>capability</t>
        </is>
      </c>
      <c r="H1035" t="inlineStr">
        <is>
          <t>yes</t>
        </is>
      </c>
      <c r="I1035" t="inlineStr">
        <is>
          <t>13.01</t>
        </is>
      </c>
      <c r="J1035" t="inlineStr">
        <is>
          <t>world_bank</t>
        </is>
      </c>
      <c r="K1035" t="inlineStr">
        <is>
          <t>https://api.worldbank.org/v2/country/BTN/indicator/SE.TER.ENRR?format=json&amp;mrv=10</t>
        </is>
      </c>
      <c r="L1035" t="inlineStr">
        <is>
          <t>World Bank WDI: School enrollment, tertiary (% gross)</t>
        </is>
      </c>
      <c r="M1035" t="inlineStr">
        <is>
          <t>2024-12-31</t>
        </is>
      </c>
      <c r="N1035" t="inlineStr">
        <is>
          <t>auto_ingest=world_bank_proxy; indicator=SE.TER.ENRR; year=2024; country_proxy=Bhutan</t>
        </is>
      </c>
    </row>
    <row r="1036">
      <c r="A1036" t="inlineStr">
        <is>
          <t>bt-thimphu</t>
        </is>
      </c>
      <c r="B1036" t="inlineStr">
        <is>
          <t>Thimphu</t>
        </is>
      </c>
      <c r="C1036" t="inlineStr">
        <is>
          <t>Bhutan</t>
        </is>
      </c>
      <c r="D1036" t="inlineStr">
        <is>
          <t>South Asia</t>
        </is>
      </c>
      <c r="E1036" t="inlineStr">
        <is>
          <t>equal_opportunity_raw</t>
        </is>
      </c>
      <c r="F1036" t="inlineStr">
        <is>
          <t>Equal opportunity raw</t>
        </is>
      </c>
      <c r="G1036" t="inlineStr">
        <is>
          <t>capability</t>
        </is>
      </c>
      <c r="H1036" t="inlineStr">
        <is>
          <t>yes</t>
        </is>
      </c>
      <c r="I1036" t="inlineStr">
        <is>
          <t>28.5</t>
        </is>
      </c>
      <c r="J1036" t="inlineStr">
        <is>
          <t>world_bank</t>
        </is>
      </c>
      <c r="K1036" t="inlineStr">
        <is>
          <t>https://api.worldbank.org/v2/country/BTN/indicator/SI.POV.GINI?format=json&amp;mrv=10</t>
        </is>
      </c>
      <c r="L1036" t="inlineStr">
        <is>
          <t>World Bank WDI: Gini index</t>
        </is>
      </c>
      <c r="M1036" t="inlineStr">
        <is>
          <t>2022-12-31</t>
        </is>
      </c>
      <c r="N1036" t="inlineStr">
        <is>
          <t>auto_ingest=world_bank_capability; indicator=SI.POV.GINI; year=2022; country_proxy=Bhutan</t>
        </is>
      </c>
    </row>
    <row r="1037">
      <c r="A1037" t="inlineStr">
        <is>
          <t>bt-thimphu</t>
        </is>
      </c>
      <c r="B1037" t="inlineStr">
        <is>
          <t>Thimphu</t>
        </is>
      </c>
      <c r="C1037" t="inlineStr">
        <is>
          <t>Bhutan</t>
        </is>
      </c>
      <c r="D1037" t="inlineStr">
        <is>
          <t>South Asia</t>
        </is>
      </c>
      <c r="E1037" t="inlineStr">
        <is>
          <t>hospitality_belonging_raw</t>
        </is>
      </c>
      <c r="F1037" t="inlineStr">
        <is>
          <t>Hospitality and belonging raw</t>
        </is>
      </c>
      <c r="G1037" t="inlineStr">
        <is>
          <t>community</t>
        </is>
      </c>
      <c r="H1037" t="inlineStr">
        <is>
          <t>yes</t>
        </is>
      </c>
      <c r="I1037" t="inlineStr">
        <is>
          <t>50.57</t>
        </is>
      </c>
      <c r="J1037" t="inlineStr">
        <is>
          <t>world_bank</t>
        </is>
      </c>
      <c r="K1037" t="inlineStr">
        <is>
          <t>https://api.worldbank.org/v2/country/BTN/indicator/SM.POP.NETM?format=json&amp;mrv=10</t>
        </is>
      </c>
      <c r="L1037" t="inlineStr">
        <is>
          <t>World Bank WDI: Net migration (proxy for hospitality/belonging — positive = welcoming)</t>
        </is>
      </c>
      <c r="M1037" t="inlineStr">
        <is>
          <t>2025-12-31</t>
        </is>
      </c>
      <c r="N1037" t="inlineStr">
        <is>
          <t>auto_ingest=world_bank_proxy; proxy=net_migration_hospitality; indicator=SM.POP.NETM; year=2025; country_proxy=Bhutan</t>
        </is>
      </c>
    </row>
    <row r="1038">
      <c r="A1038" t="inlineStr">
        <is>
          <t>bt-thimphu</t>
        </is>
      </c>
      <c r="B1038" t="inlineStr">
        <is>
          <t>Thimphu</t>
        </is>
      </c>
      <c r="C1038" t="inlineStr">
        <is>
          <t>Bhutan</t>
        </is>
      </c>
      <c r="D1038" t="inlineStr">
        <is>
          <t>South Asia</t>
        </is>
      </c>
      <c r="E1038" t="inlineStr">
        <is>
          <t>tolerance_pluralism_raw</t>
        </is>
      </c>
      <c r="F1038" t="inlineStr">
        <is>
          <t>Tolerance and pluralism raw</t>
        </is>
      </c>
      <c r="G1038" t="inlineStr">
        <is>
          <t>community</t>
        </is>
      </c>
      <c r="H1038" t="inlineStr">
        <is>
          <t>yes</t>
        </is>
      </c>
      <c r="I1038" t="inlineStr">
        <is>
          <t>4.26</t>
        </is>
      </c>
      <c r="J1038" t="inlineStr">
        <is>
          <t>world_bank</t>
        </is>
      </c>
      <c r="K1038" t="inlineStr">
        <is>
          <t>https://api.worldbank.org/v2/country/BTN/indicator/SG.GEN.PARL.ZS?format=json&amp;mrv=10</t>
        </is>
      </c>
      <c r="L1038" t="inlineStr">
        <is>
          <t>World Bank WDI: Proportion of seats held by women in national parliaments (%)</t>
        </is>
      </c>
      <c r="M1038" t="inlineStr">
        <is>
          <t>2024-12-31</t>
        </is>
      </c>
      <c r="N1038" t="inlineStr">
        <is>
          <t>auto_ingest=world_bank_proxy; proxy=gender_parity_parliament; indicator=SG.GEN.PARL.ZS; year=2024; country_proxy=Bhutan</t>
        </is>
      </c>
    </row>
    <row r="1039">
      <c r="A1039" t="inlineStr">
        <is>
          <t>bt-thimphu</t>
        </is>
      </c>
      <c r="B1039" t="inlineStr">
        <is>
          <t>Thimphu</t>
        </is>
      </c>
      <c r="C1039" t="inlineStr">
        <is>
          <t>Bhutan</t>
        </is>
      </c>
      <c r="D1039" t="inlineStr">
        <is>
          <t>South Asia</t>
        </is>
      </c>
      <c r="E1039" t="inlineStr">
        <is>
          <t>cultural_public_life_raw</t>
        </is>
      </c>
      <c r="F1039" t="inlineStr">
        <is>
          <t>Cultural public life raw</t>
        </is>
      </c>
      <c r="G1039" t="inlineStr">
        <is>
          <t>community</t>
        </is>
      </c>
      <c r="H1039" t="inlineStr">
        <is>
          <t>yes</t>
        </is>
      </c>
      <c r="I1039" t="inlineStr">
        <is>
          <t>37.65</t>
        </is>
      </c>
      <c r="J1039" t="inlineStr">
        <is>
          <t>world_bank</t>
        </is>
      </c>
      <c r="K1039" t="inlineStr">
        <is>
          <t>https://api.worldbank.org/v2/country/BTN/indicator/ST.INT.ARVL?format=json&amp;mrv=10</t>
        </is>
      </c>
      <c r="L1039" t="inlineStr">
        <is>
          <t>World Bank WDI: International tourism arrivals per 1 000 population</t>
        </is>
      </c>
      <c r="M1039" t="inlineStr">
        <is>
          <t>2020-12-31</t>
        </is>
      </c>
      <c r="N1039" t="inlineStr">
        <is>
          <t>auto_ingest=cultural_life_proxy; indicator=ST.INT.ARVL; norm=per_1000_pop; year=2020; country_proxy=Bhutan</t>
        </is>
      </c>
    </row>
    <row r="1040">
      <c r="A1040" t="inlineStr">
        <is>
          <t>bt-thimphu</t>
        </is>
      </c>
      <c r="B1040" t="inlineStr">
        <is>
          <t>Thimphu</t>
        </is>
      </c>
      <c r="C1040" t="inlineStr">
        <is>
          <t>Bhutan</t>
        </is>
      </c>
      <c r="D1040" t="inlineStr">
        <is>
          <t>South Asia</t>
        </is>
      </c>
      <c r="E1040" t="inlineStr">
        <is>
          <t>birth_rate_optimism_raw</t>
        </is>
      </c>
      <c r="F1040" t="inlineStr">
        <is>
          <t>Birth rate and societal optimism raw</t>
        </is>
      </c>
      <c r="G1040" t="inlineStr">
        <is>
          <t>community</t>
        </is>
      </c>
      <c r="H1040" t="inlineStr">
        <is>
          <t>yes</t>
        </is>
      </c>
      <c r="I1040" t="inlineStr"/>
      <c r="J1040" t="inlineStr"/>
      <c r="K1040" t="inlineStr"/>
      <c r="L1040" t="inlineStr"/>
      <c r="M1040" t="inlineStr"/>
      <c r="N1040" t="inlineStr"/>
    </row>
    <row r="1041">
      <c r="A1041" t="inlineStr">
        <is>
          <t>bt-thimphu</t>
        </is>
      </c>
      <c r="B1041" t="inlineStr">
        <is>
          <t>Thimphu</t>
        </is>
      </c>
      <c r="C1041" t="inlineStr">
        <is>
          <t>Bhutan</t>
        </is>
      </c>
      <c r="D1041" t="inlineStr">
        <is>
          <t>South Asia</t>
        </is>
      </c>
      <c r="E1041" t="inlineStr">
        <is>
          <t>entrepreneurial_dynamism_raw</t>
        </is>
      </c>
      <c r="F1041" t="inlineStr">
        <is>
          <t>Entrepreneurial dynamism raw</t>
        </is>
      </c>
      <c r="G1041" t="inlineStr">
        <is>
          <t>creative</t>
        </is>
      </c>
      <c r="H1041" t="inlineStr">
        <is>
          <t>yes</t>
        </is>
      </c>
      <c r="I1041" t="inlineStr">
        <is>
          <t>0.07</t>
        </is>
      </c>
      <c r="J1041" t="inlineStr">
        <is>
          <t>world_bank</t>
        </is>
      </c>
      <c r="K1041" t="inlineStr">
        <is>
          <t>https://api.worldbank.org/v2/country/BTN/indicator/IC.BUS.NDNS.ZS?format=json&amp;mrv=10</t>
        </is>
      </c>
      <c r="L1041" t="inlineStr">
        <is>
          <t>World Bank WDI: New business density (new registrations per 1,000 people ages 15-64)</t>
        </is>
      </c>
      <c r="M1041" t="inlineStr">
        <is>
          <t>2022-12-31</t>
        </is>
      </c>
      <c r="N1041" t="inlineStr">
        <is>
          <t>auto_ingest=world_bank_creative_extended; indicator=IC.BUS.NDNS.ZS; year=2022; country_proxy=Bhutan</t>
        </is>
      </c>
    </row>
    <row r="1042">
      <c r="A1042" t="inlineStr">
        <is>
          <t>bt-thimphu</t>
        </is>
      </c>
      <c r="B1042" t="inlineStr">
        <is>
          <t>Thimphu</t>
        </is>
      </c>
      <c r="C1042" t="inlineStr">
        <is>
          <t>Bhutan</t>
        </is>
      </c>
      <c r="D1042" t="inlineStr">
        <is>
          <t>South Asia</t>
        </is>
      </c>
      <c r="E1042" t="inlineStr">
        <is>
          <t>innovation_research_intensity_raw</t>
        </is>
      </c>
      <c r="F1042" t="inlineStr">
        <is>
          <t>Innovation and research raw</t>
        </is>
      </c>
      <c r="G1042" t="inlineStr">
        <is>
          <t>creative</t>
        </is>
      </c>
      <c r="H1042" t="inlineStr">
        <is>
          <t>yes</t>
        </is>
      </c>
      <c r="I1042" t="inlineStr">
        <is>
          <t>10.11</t>
        </is>
      </c>
      <c r="J1042" t="inlineStr">
        <is>
          <t>world_bank</t>
        </is>
      </c>
      <c r="K1042" t="inlineStr">
        <is>
          <t>https://api.worldbank.org/v2/country/BTN/indicator/IP.PAT.RESD?format=json&amp;mrv=10</t>
        </is>
      </c>
      <c r="L1042" t="inlineStr">
        <is>
          <t>World Bank WDI: Patent applications (residents + non-residents) per million population</t>
        </is>
      </c>
      <c r="M1042" t="inlineStr">
        <is>
          <t>2021-12-31</t>
        </is>
      </c>
      <c r="N1042" t="inlineStr">
        <is>
          <t>auto_ingest=wipo_patents_proxy; indicators=IP.PAT.RESD+IP.PAT.NRES; norm=per_million_pop; year=2021; country_proxy=Bhutan</t>
        </is>
      </c>
    </row>
    <row r="1043">
      <c r="A1043" t="inlineStr">
        <is>
          <t>bt-thimphu</t>
        </is>
      </c>
      <c r="B1043" t="inlineStr">
        <is>
          <t>Thimphu</t>
        </is>
      </c>
      <c r="C1043" t="inlineStr">
        <is>
          <t>Bhutan</t>
        </is>
      </c>
      <c r="D1043" t="inlineStr">
        <is>
          <t>South Asia</t>
        </is>
      </c>
      <c r="E1043" t="inlineStr">
        <is>
          <t>investment_signal_raw</t>
        </is>
      </c>
      <c r="F1043" t="inlineStr">
        <is>
          <t>Investment signal raw</t>
        </is>
      </c>
      <c r="G1043" t="inlineStr">
        <is>
          <t>creative</t>
        </is>
      </c>
      <c r="H1043" t="inlineStr">
        <is>
          <t>yes</t>
        </is>
      </c>
      <c r="I1043" t="inlineStr">
        <is>
          <t>0.34</t>
        </is>
      </c>
      <c r="J1043" t="inlineStr">
        <is>
          <t>world_bank</t>
        </is>
      </c>
      <c r="K1043" t="inlineStr">
        <is>
          <t>https://api.worldbank.org/v2/country/BTN/indicator/BX.KLT.DINV.WD.GD.ZS?format=json&amp;mrv=10</t>
        </is>
      </c>
      <c r="L1043" t="inlineStr">
        <is>
          <t>World Bank WDI: Foreign direct investment, net inflows (% of GDP)</t>
        </is>
      </c>
      <c r="M1043" t="inlineStr">
        <is>
          <t>2023-12-31</t>
        </is>
      </c>
      <c r="N1043" t="inlineStr">
        <is>
          <t>auto_ingest=world_bank_creative_extended; indicator=BX.KLT.DINV.WD.GD.ZS; year=2023; country_proxy=Bhutan</t>
        </is>
      </c>
    </row>
    <row r="1044">
      <c r="A1044" t="inlineStr">
        <is>
          <t>bt-thimphu</t>
        </is>
      </c>
      <c r="B1044" t="inlineStr">
        <is>
          <t>Thimphu</t>
        </is>
      </c>
      <c r="C1044" t="inlineStr">
        <is>
          <t>Bhutan</t>
        </is>
      </c>
      <c r="D1044" t="inlineStr">
        <is>
          <t>South Asia</t>
        </is>
      </c>
      <c r="E1044" t="inlineStr">
        <is>
          <t>administrative_investment_friction_raw</t>
        </is>
      </c>
      <c r="F1044" t="inlineStr">
        <is>
          <t>Administrative investment friction raw</t>
        </is>
      </c>
      <c r="G1044" t="inlineStr">
        <is>
          <t>creative</t>
        </is>
      </c>
      <c r="H1044" t="inlineStr">
        <is>
          <t>yes</t>
        </is>
      </c>
      <c r="I1044" t="inlineStr">
        <is>
          <t>2.9</t>
        </is>
      </c>
      <c r="J1044" t="inlineStr">
        <is>
          <t>world_bank</t>
        </is>
      </c>
      <c r="K1044" t="inlineStr">
        <is>
          <t>https://api.worldbank.org/v2/country/BTN/indicator/RQ.EST?format=json&amp;mrv=10</t>
        </is>
      </c>
      <c r="L1044" t="inlineStr">
        <is>
          <t>World Bank WGI: Regulatory Quality (inverted as friction proxy)</t>
        </is>
      </c>
      <c r="M1044" t="inlineStr">
        <is>
          <t>2023-12-31</t>
        </is>
      </c>
      <c r="N1044" t="inlineStr">
        <is>
          <t>auto_ingest=world_bank_business_friction; indicator=RQ.EST; raw_rq=-0.401030838489532; friction=2.9; year=2023; country_proxy=Bhutan</t>
        </is>
      </c>
    </row>
    <row r="1045">
      <c r="A1045" t="inlineStr">
        <is>
          <t>bt-thimphu</t>
        </is>
      </c>
      <c r="B1045" t="inlineStr">
        <is>
          <t>Thimphu</t>
        </is>
      </c>
      <c r="C1045" t="inlineStr">
        <is>
          <t>Bhutan</t>
        </is>
      </c>
      <c r="D1045" t="inlineStr">
        <is>
          <t>South Asia</t>
        </is>
      </c>
      <c r="E1045" t="inlineStr">
        <is>
          <t>visitor_flow_context_raw</t>
        </is>
      </c>
      <c r="F1045" t="inlineStr">
        <is>
          <t>Visitor flow context raw</t>
        </is>
      </c>
      <c r="G1045" t="inlineStr">
        <is>
          <t>creative</t>
        </is>
      </c>
      <c r="H1045" t="inlineStr">
        <is>
          <t>no</t>
        </is>
      </c>
      <c r="I1045" t="inlineStr"/>
      <c r="J1045" t="inlineStr"/>
      <c r="K1045" t="inlineStr"/>
      <c r="L1045" t="inlineStr"/>
      <c r="M1045" t="inlineStr"/>
      <c r="N1045" t="inlineStr"/>
    </row>
    <row r="1046">
      <c r="A1046" t="inlineStr">
        <is>
          <t>mv-male</t>
        </is>
      </c>
      <c r="B1046" t="inlineStr">
        <is>
          <t>Male</t>
        </is>
      </c>
      <c r="C1046" t="inlineStr">
        <is>
          <t>Maldives</t>
        </is>
      </c>
      <c r="D1046" t="inlineStr">
        <is>
          <t>South Asia</t>
        </is>
      </c>
      <c r="E1046" t="inlineStr">
        <is>
          <t>gross_income</t>
        </is>
      </c>
      <c r="F1046" t="inlineStr">
        <is>
          <t>Gross income</t>
        </is>
      </c>
      <c r="G1046" t="inlineStr">
        <is>
          <t>pressure</t>
        </is>
      </c>
      <c r="H1046" t="inlineStr">
        <is>
          <t>yes</t>
        </is>
      </c>
      <c r="I1046" t="inlineStr">
        <is>
          <t>1950.0</t>
        </is>
      </c>
      <c r="J1046" t="inlineStr">
        <is>
          <t>world_bank_col_estimate</t>
        </is>
      </c>
      <c r="K1046" t="inlineStr">
        <is>
          <t>https://api.worldbank.org/v2/country/MDV/indicator/NY.GNP.PCAP.PP.CD?format=json&amp;mrv=10</t>
        </is>
      </c>
      <c r="L1046" t="inlineStr">
        <is>
          <t>World Bank WDI: GNI per capita PPP (monthly USD)</t>
        </is>
      </c>
      <c r="M1046" t="inlineStr">
        <is>
          <t>2024-12-31</t>
        </is>
      </c>
      <c r="N1046" t="inlineStr">
        <is>
          <t>auto_ingest=world_bank_col_estimate; gni_annual=23400.0; year=2024; country_proxy=Maldives; cohort=South Asia</t>
        </is>
      </c>
    </row>
    <row r="1047">
      <c r="A1047" t="inlineStr">
        <is>
          <t>mv-male</t>
        </is>
      </c>
      <c r="B1047" t="inlineStr">
        <is>
          <t>Male</t>
        </is>
      </c>
      <c r="C1047" t="inlineStr">
        <is>
          <t>Maldives</t>
        </is>
      </c>
      <c r="D1047" t="inlineStr">
        <is>
          <t>South Asia</t>
        </is>
      </c>
      <c r="E1047" t="inlineStr">
        <is>
          <t>di_ppp_raw</t>
        </is>
      </c>
      <c r="F1047" t="inlineStr">
        <is>
          <t>Disposable income PPP (Raw)</t>
        </is>
      </c>
      <c r="G1047" t="inlineStr">
        <is>
          <t>pressure</t>
        </is>
      </c>
      <c r="H1047" t="inlineStr">
        <is>
          <t>yes</t>
        </is>
      </c>
      <c r="I1047" t="inlineStr"/>
      <c r="J1047" t="inlineStr"/>
      <c r="K1047" t="inlineStr"/>
      <c r="L1047" t="inlineStr"/>
      <c r="M1047" t="inlineStr"/>
      <c r="N1047" t="inlineStr"/>
    </row>
    <row r="1048">
      <c r="A1048" t="inlineStr">
        <is>
          <t>mv-male</t>
        </is>
      </c>
      <c r="B1048" t="inlineStr">
        <is>
          <t>Male</t>
        </is>
      </c>
      <c r="C1048" t="inlineStr">
        <is>
          <t>Maldives</t>
        </is>
      </c>
      <c r="D1048" t="inlineStr">
        <is>
          <t>South Asia</t>
        </is>
      </c>
      <c r="E1048" t="inlineStr">
        <is>
          <t>rent</t>
        </is>
      </c>
      <c r="F1048" t="inlineStr">
        <is>
          <t>Rent</t>
        </is>
      </c>
      <c r="G1048" t="inlineStr">
        <is>
          <t>pressure</t>
        </is>
      </c>
      <c r="H1048" t="inlineStr">
        <is>
          <t>yes</t>
        </is>
      </c>
      <c r="I1048" t="inlineStr">
        <is>
          <t>292.5</t>
        </is>
      </c>
      <c r="J1048" t="inlineStr">
        <is>
          <t>world_bank_col_estimate</t>
        </is>
      </c>
      <c r="K1048" t="inlineStr">
        <is>
          <t>https://api.worldbank.org/v2/country/MDV/indicator/NY.GNP.PCAP.PP.CD?format=json&amp;mrv=10</t>
        </is>
      </c>
      <c r="L1048" t="inlineStr">
        <is>
          <t>World Bank GNI + regional expenditure ratio estimate</t>
        </is>
      </c>
      <c r="M1048" t="inlineStr">
        <is>
          <t>2024-12-31</t>
        </is>
      </c>
      <c r="N1048" t="inlineStr">
        <is>
          <t>auto_ingest=world_bank_col_estimate; gni_annual=23400.0; year=2024; country_proxy=Maldives; cohort=South Asia</t>
        </is>
      </c>
    </row>
    <row r="1049">
      <c r="A1049" t="inlineStr">
        <is>
          <t>mv-male</t>
        </is>
      </c>
      <c r="B1049" t="inlineStr">
        <is>
          <t>Male</t>
        </is>
      </c>
      <c r="C1049" t="inlineStr">
        <is>
          <t>Maldives</t>
        </is>
      </c>
      <c r="D1049" t="inlineStr">
        <is>
          <t>South Asia</t>
        </is>
      </c>
      <c r="E1049" t="inlineStr">
        <is>
          <t>utilities</t>
        </is>
      </c>
      <c r="F1049" t="inlineStr">
        <is>
          <t>Utilities</t>
        </is>
      </c>
      <c r="G1049" t="inlineStr">
        <is>
          <t>pressure</t>
        </is>
      </c>
      <c r="H1049" t="inlineStr">
        <is>
          <t>yes</t>
        </is>
      </c>
      <c r="I1049" t="inlineStr">
        <is>
          <t>97.5</t>
        </is>
      </c>
      <c r="J1049" t="inlineStr">
        <is>
          <t>world_bank_col_estimate</t>
        </is>
      </c>
      <c r="K1049" t="inlineStr">
        <is>
          <t>https://api.worldbank.org/v2/country/MDV/indicator/NY.GNP.PCAP.PP.CD?format=json&amp;mrv=10</t>
        </is>
      </c>
      <c r="L1049" t="inlineStr">
        <is>
          <t>World Bank GNI + regional expenditure ratio estimate</t>
        </is>
      </c>
      <c r="M1049" t="inlineStr">
        <is>
          <t>2024-12-31</t>
        </is>
      </c>
      <c r="N1049" t="inlineStr">
        <is>
          <t>auto_ingest=world_bank_col_estimate; gni_annual=23400.0; year=2024; country_proxy=Maldives; cohort=South Asia</t>
        </is>
      </c>
    </row>
    <row r="1050">
      <c r="A1050" t="inlineStr">
        <is>
          <t>mv-male</t>
        </is>
      </c>
      <c r="B1050" t="inlineStr">
        <is>
          <t>Male</t>
        </is>
      </c>
      <c r="C1050" t="inlineStr">
        <is>
          <t>Maldives</t>
        </is>
      </c>
      <c r="D1050" t="inlineStr">
        <is>
          <t>South Asia</t>
        </is>
      </c>
      <c r="E1050" t="inlineStr">
        <is>
          <t>transit_cost</t>
        </is>
      </c>
      <c r="F1050" t="inlineStr">
        <is>
          <t>Transit cost</t>
        </is>
      </c>
      <c r="G1050" t="inlineStr">
        <is>
          <t>pressure</t>
        </is>
      </c>
      <c r="H1050" t="inlineStr">
        <is>
          <t>yes</t>
        </is>
      </c>
      <c r="I1050" t="inlineStr">
        <is>
          <t>58.5</t>
        </is>
      </c>
      <c r="J1050" t="inlineStr">
        <is>
          <t>world_bank_col_estimate</t>
        </is>
      </c>
      <c r="K1050" t="inlineStr">
        <is>
          <t>https://api.worldbank.org/v2/country/MDV/indicator/NY.GNP.PCAP.PP.CD?format=json&amp;mrv=10</t>
        </is>
      </c>
      <c r="L1050" t="inlineStr">
        <is>
          <t>World Bank GNI + regional expenditure ratio estimate</t>
        </is>
      </c>
      <c r="M1050" t="inlineStr">
        <is>
          <t>2024-12-31</t>
        </is>
      </c>
      <c r="N1050" t="inlineStr">
        <is>
          <t>auto_ingest=world_bank_col_estimate; gni_annual=23400.0; year=2024; country_proxy=Maldives; cohort=South Asia</t>
        </is>
      </c>
    </row>
    <row r="1051">
      <c r="A1051" t="inlineStr">
        <is>
          <t>mv-male</t>
        </is>
      </c>
      <c r="B1051" t="inlineStr">
        <is>
          <t>Male</t>
        </is>
      </c>
      <c r="C1051" t="inlineStr">
        <is>
          <t>Maldives</t>
        </is>
      </c>
      <c r="D1051" t="inlineStr">
        <is>
          <t>South Asia</t>
        </is>
      </c>
      <c r="E1051" t="inlineStr">
        <is>
          <t>internet_cost</t>
        </is>
      </c>
      <c r="F1051" t="inlineStr">
        <is>
          <t>Internet cost</t>
        </is>
      </c>
      <c r="G1051" t="inlineStr">
        <is>
          <t>pressure</t>
        </is>
      </c>
      <c r="H1051" t="inlineStr">
        <is>
          <t>yes</t>
        </is>
      </c>
      <c r="I1051" t="inlineStr">
        <is>
          <t>19.5</t>
        </is>
      </c>
      <c r="J1051" t="inlineStr">
        <is>
          <t>world_bank_col_estimate</t>
        </is>
      </c>
      <c r="K1051" t="inlineStr">
        <is>
          <t>https://api.worldbank.org/v2/country/MDV/indicator/NY.GNP.PCAP.PP.CD?format=json&amp;mrv=10</t>
        </is>
      </c>
      <c r="L1051" t="inlineStr">
        <is>
          <t>World Bank GNI + regional expenditure ratio estimate</t>
        </is>
      </c>
      <c r="M1051" t="inlineStr">
        <is>
          <t>2024-12-31</t>
        </is>
      </c>
      <c r="N1051" t="inlineStr">
        <is>
          <t>auto_ingest=world_bank_col_estimate; gni_annual=23400.0; year=2024; country_proxy=Maldives; cohort=South Asia</t>
        </is>
      </c>
    </row>
    <row r="1052">
      <c r="A1052" t="inlineStr">
        <is>
          <t>mv-male</t>
        </is>
      </c>
      <c r="B1052" t="inlineStr">
        <is>
          <t>Male</t>
        </is>
      </c>
      <c r="C1052" t="inlineStr">
        <is>
          <t>Maldives</t>
        </is>
      </c>
      <c r="D1052" t="inlineStr">
        <is>
          <t>South Asia</t>
        </is>
      </c>
      <c r="E1052" t="inlineStr">
        <is>
          <t>food_cost</t>
        </is>
      </c>
      <c r="F1052" t="inlineStr">
        <is>
          <t>Food cost</t>
        </is>
      </c>
      <c r="G1052" t="inlineStr">
        <is>
          <t>pressure</t>
        </is>
      </c>
      <c r="H1052" t="inlineStr">
        <is>
          <t>yes</t>
        </is>
      </c>
      <c r="I1052" t="inlineStr">
        <is>
          <t>487.5</t>
        </is>
      </c>
      <c r="J1052" t="inlineStr">
        <is>
          <t>world_bank_col_estimate</t>
        </is>
      </c>
      <c r="K1052" t="inlineStr">
        <is>
          <t>https://api.worldbank.org/v2/country/MDV/indicator/NY.GNP.PCAP.PP.CD?format=json&amp;mrv=10</t>
        </is>
      </c>
      <c r="L1052" t="inlineStr">
        <is>
          <t>World Bank GNI + regional expenditure ratio estimate</t>
        </is>
      </c>
      <c r="M1052" t="inlineStr">
        <is>
          <t>2024-12-31</t>
        </is>
      </c>
      <c r="N1052" t="inlineStr">
        <is>
          <t>auto_ingest=world_bank_col_estimate; gni_annual=23400.0; year=2024; country_proxy=Maldives; cohort=South Asia</t>
        </is>
      </c>
    </row>
    <row r="1053">
      <c r="A1053" t="inlineStr">
        <is>
          <t>mv-male</t>
        </is>
      </c>
      <c r="B1053" t="inlineStr">
        <is>
          <t>Male</t>
        </is>
      </c>
      <c r="C1053" t="inlineStr">
        <is>
          <t>Maldives</t>
        </is>
      </c>
      <c r="D1053" t="inlineStr">
        <is>
          <t>South Asia</t>
        </is>
      </c>
      <c r="E1053" t="inlineStr">
        <is>
          <t>housing_burden_raw</t>
        </is>
      </c>
      <c r="F1053" t="inlineStr">
        <is>
          <t>Housing burden raw</t>
        </is>
      </c>
      <c r="G1053" t="inlineStr">
        <is>
          <t>pressure</t>
        </is>
      </c>
      <c r="H1053" t="inlineStr">
        <is>
          <t>yes</t>
        </is>
      </c>
      <c r="I1053" t="inlineStr">
        <is>
          <t>15.0</t>
        </is>
      </c>
      <c r="J1053" t="inlineStr">
        <is>
          <t>derived</t>
        </is>
      </c>
      <c r="K1053" t="inlineStr">
        <is>
          <t>https://data.worldbank.org/indicator/NY.GNP.PCAP.PP.CD</t>
        </is>
      </c>
      <c r="L1053" t="inlineStr">
        <is>
          <t>Computed from city_inputs + country_context</t>
        </is>
      </c>
      <c r="M1053" t="inlineStr">
        <is>
          <t>2024-01-01</t>
        </is>
      </c>
      <c r="N1053" t="inlineStr">
        <is>
          <t>derived=rent/gross_income*100</t>
        </is>
      </c>
    </row>
    <row r="1054">
      <c r="A1054" t="inlineStr">
        <is>
          <t>mv-male</t>
        </is>
      </c>
      <c r="B1054" t="inlineStr">
        <is>
          <t>Male</t>
        </is>
      </c>
      <c r="C1054" t="inlineStr">
        <is>
          <t>Maldives</t>
        </is>
      </c>
      <c r="D1054" t="inlineStr">
        <is>
          <t>South Asia</t>
        </is>
      </c>
      <c r="E1054" t="inlineStr">
        <is>
          <t>household_debt_burden_raw</t>
        </is>
      </c>
      <c r="F1054" t="inlineStr">
        <is>
          <t>Household debt burden raw</t>
        </is>
      </c>
      <c r="G1054" t="inlineStr">
        <is>
          <t>pressure</t>
        </is>
      </c>
      <c r="H1054" t="inlineStr">
        <is>
          <t>yes</t>
        </is>
      </c>
      <c r="I1054" t="inlineStr">
        <is>
          <t>31.5415</t>
        </is>
      </c>
      <c r="J1054" t="inlineStr">
        <is>
          <t>derived</t>
        </is>
      </c>
      <c r="K1054" t="inlineStr">
        <is>
          <t>https://data.worldbank.org/indicator/NY.GNP.PCAP.PP.CD</t>
        </is>
      </c>
      <c r="L1054" t="inlineStr">
        <is>
          <t>Computed from city_inputs + country_context</t>
        </is>
      </c>
      <c r="M1054" t="inlineStr">
        <is>
          <t>2024-01-01</t>
        </is>
      </c>
      <c r="N1054" t="inlineStr">
        <is>
          <t>derived=country_context.household_debt_proxy; country=Maldives</t>
        </is>
      </c>
    </row>
    <row r="1055">
      <c r="A1055" t="inlineStr">
        <is>
          <t>mv-male</t>
        </is>
      </c>
      <c r="B1055" t="inlineStr">
        <is>
          <t>Male</t>
        </is>
      </c>
      <c r="C1055" t="inlineStr">
        <is>
          <t>Maldives</t>
        </is>
      </c>
      <c r="D1055" t="inlineStr">
        <is>
          <t>South Asia</t>
        </is>
      </c>
      <c r="E1055" t="inlineStr">
        <is>
          <t>working_time_pressure_raw</t>
        </is>
      </c>
      <c r="F1055" t="inlineStr">
        <is>
          <t>Working time pressure raw</t>
        </is>
      </c>
      <c r="G1055" t="inlineStr">
        <is>
          <t>pressure</t>
        </is>
      </c>
      <c r="H1055" t="inlineStr">
        <is>
          <t>yes</t>
        </is>
      </c>
      <c r="I1055" t="inlineStr">
        <is>
          <t>46.48</t>
        </is>
      </c>
      <c r="J1055" t="inlineStr">
        <is>
          <t>ilo_ilostat</t>
        </is>
      </c>
      <c r="K1055" t="inlineStr">
        <is>
          <t>https://ilostat.ilo.org/data/indicator/?id=HOW_TEMP_SEX_ECO_NB_A&amp;ref_area=MDV</t>
        </is>
      </c>
      <c r="L1055" t="inlineStr">
        <is>
          <t>ILO ILOSTAT: Mean weekly hours actually worked per employed person</t>
        </is>
      </c>
      <c r="M1055" t="inlineStr">
        <is>
          <t>2019-12-31</t>
        </is>
      </c>
      <c r="N1055" t="inlineStr">
        <is>
          <t>auto_ingest=ilo_working_hours; indicator=HOW_TEMP_SEX_ECO_NB_A; year=2019; hours=46.48; country_proxy=Maldives</t>
        </is>
      </c>
    </row>
    <row r="1056">
      <c r="A1056" t="inlineStr">
        <is>
          <t>mv-male</t>
        </is>
      </c>
      <c r="B1056" t="inlineStr">
        <is>
          <t>Male</t>
        </is>
      </c>
      <c r="C1056" t="inlineStr">
        <is>
          <t>Maldives</t>
        </is>
      </c>
      <c r="D1056" t="inlineStr">
        <is>
          <t>South Asia</t>
        </is>
      </c>
      <c r="E1056" t="inlineStr">
        <is>
          <t>suicide_mental_strain_raw</t>
        </is>
      </c>
      <c r="F1056" t="inlineStr">
        <is>
          <t>Suicide or mental strain raw</t>
        </is>
      </c>
      <c r="G1056" t="inlineStr">
        <is>
          <t>pressure</t>
        </is>
      </c>
      <c r="H1056" t="inlineStr">
        <is>
          <t>yes</t>
        </is>
      </c>
      <c r="I1056" t="inlineStr">
        <is>
          <t>1.47</t>
        </is>
      </c>
      <c r="J1056" t="inlineStr">
        <is>
          <t>who_gho</t>
        </is>
      </c>
      <c r="K1056" t="inlineStr">
        <is>
          <t>https://www.who.int/data/gho/data/indicators/indicator-details/GHO/SDGSUICIDE</t>
        </is>
      </c>
      <c r="L1056" t="inlineStr">
        <is>
          <t>WHO GHO: Age-standardized suicide rate (per 100,000 population)</t>
        </is>
      </c>
      <c r="M1056" t="inlineStr">
        <is>
          <t>2021-12-31</t>
        </is>
      </c>
      <c r="N1056" t="inlineStr">
        <is>
          <t>auto_ingest=who_gho; indicator=SDGSUICIDE; year=2021; country_proxy=Maldives</t>
        </is>
      </c>
    </row>
    <row r="1057">
      <c r="A1057" t="inlineStr">
        <is>
          <t>mv-male</t>
        </is>
      </c>
      <c r="B1057" t="inlineStr">
        <is>
          <t>Male</t>
        </is>
      </c>
      <c r="C1057" t="inlineStr">
        <is>
          <t>Maldives</t>
        </is>
      </c>
      <c r="D1057" t="inlineStr">
        <is>
          <t>South Asia</t>
        </is>
      </c>
      <c r="E1057" t="inlineStr">
        <is>
          <t>personal_safety_raw</t>
        </is>
      </c>
      <c r="F1057" t="inlineStr">
        <is>
          <t>Personal safety raw</t>
        </is>
      </c>
      <c r="G1057" t="inlineStr">
        <is>
          <t>viability</t>
        </is>
      </c>
      <c r="H1057" t="inlineStr">
        <is>
          <t>yes</t>
        </is>
      </c>
      <c r="I1057" t="inlineStr">
        <is>
          <t>0.62</t>
        </is>
      </c>
      <c r="J1057" t="inlineStr">
        <is>
          <t>world_bank</t>
        </is>
      </c>
      <c r="K1057" t="inlineStr">
        <is>
          <t>https://api.worldbank.org/v2/country/MDV/indicator/VC.IHR.PSRC.P5?format=json&amp;mrv=10</t>
        </is>
      </c>
      <c r="L1057" t="inlineStr">
        <is>
          <t>UNODC via World Bank WDI: Intentional homicides (per 100,000 people)</t>
        </is>
      </c>
      <c r="M1057" t="inlineStr">
        <is>
          <t>2019-12-31</t>
        </is>
      </c>
      <c r="N1057" t="inlineStr">
        <is>
          <t>auto_ingest=unodc_safety; indicator=VC.IHR.PSRC.P5; year=2019; country_proxy=Maldives</t>
        </is>
      </c>
    </row>
    <row r="1058">
      <c r="A1058" t="inlineStr">
        <is>
          <t>mv-male</t>
        </is>
      </c>
      <c r="B1058" t="inlineStr">
        <is>
          <t>Male</t>
        </is>
      </c>
      <c r="C1058" t="inlineStr">
        <is>
          <t>Maldives</t>
        </is>
      </c>
      <c r="D1058" t="inlineStr">
        <is>
          <t>South Asia</t>
        </is>
      </c>
      <c r="E1058" t="inlineStr">
        <is>
          <t>transit_access_commute_raw</t>
        </is>
      </c>
      <c r="F1058" t="inlineStr">
        <is>
          <t>Transit access and commute raw</t>
        </is>
      </c>
      <c r="G1058" t="inlineStr">
        <is>
          <t>viability</t>
        </is>
      </c>
      <c r="H1058" t="inlineStr">
        <is>
          <t>yes</t>
        </is>
      </c>
      <c r="I1058" t="inlineStr"/>
      <c r="J1058" t="inlineStr"/>
      <c r="K1058" t="inlineStr"/>
      <c r="L1058" t="inlineStr"/>
      <c r="M1058" t="inlineStr"/>
      <c r="N1058" t="inlineStr"/>
    </row>
    <row r="1059">
      <c r="A1059" t="inlineStr">
        <is>
          <t>mv-male</t>
        </is>
      </c>
      <c r="B1059" t="inlineStr">
        <is>
          <t>Male</t>
        </is>
      </c>
      <c r="C1059" t="inlineStr">
        <is>
          <t>Maldives</t>
        </is>
      </c>
      <c r="D1059" t="inlineStr">
        <is>
          <t>South Asia</t>
        </is>
      </c>
      <c r="E1059" t="inlineStr">
        <is>
          <t>clean_air_raw</t>
        </is>
      </c>
      <c r="F1059" t="inlineStr">
        <is>
          <t>Clean air raw</t>
        </is>
      </c>
      <c r="G1059" t="inlineStr">
        <is>
          <t>viability</t>
        </is>
      </c>
      <c r="H1059" t="inlineStr">
        <is>
          <t>yes</t>
        </is>
      </c>
      <c r="I1059" t="inlineStr"/>
      <c r="J1059" t="inlineStr"/>
      <c r="K1059" t="inlineStr"/>
      <c r="L1059" t="inlineStr"/>
      <c r="M1059" t="inlineStr"/>
      <c r="N1059" t="inlineStr"/>
    </row>
    <row r="1060">
      <c r="A1060" t="inlineStr">
        <is>
          <t>mv-male</t>
        </is>
      </c>
      <c r="B1060" t="inlineStr">
        <is>
          <t>Male</t>
        </is>
      </c>
      <c r="C1060" t="inlineStr">
        <is>
          <t>Maldives</t>
        </is>
      </c>
      <c r="D1060" t="inlineStr">
        <is>
          <t>South Asia</t>
        </is>
      </c>
      <c r="E1060" t="inlineStr">
        <is>
          <t>water_sanitation_utility_raw</t>
        </is>
      </c>
      <c r="F1060" t="inlineStr">
        <is>
          <t>Water, sanitation, and utility raw</t>
        </is>
      </c>
      <c r="G1060" t="inlineStr">
        <is>
          <t>viability</t>
        </is>
      </c>
      <c r="H1060" t="inlineStr">
        <is>
          <t>yes</t>
        </is>
      </c>
      <c r="I1060" t="inlineStr"/>
      <c r="J1060" t="inlineStr"/>
      <c r="K1060" t="inlineStr"/>
      <c r="L1060" t="inlineStr"/>
      <c r="M1060" t="inlineStr"/>
      <c r="N1060" t="inlineStr"/>
    </row>
    <row r="1061">
      <c r="A1061" t="inlineStr">
        <is>
          <t>mv-male</t>
        </is>
      </c>
      <c r="B1061" t="inlineStr">
        <is>
          <t>Male</t>
        </is>
      </c>
      <c r="C1061" t="inlineStr">
        <is>
          <t>Maldives</t>
        </is>
      </c>
      <c r="D1061" t="inlineStr">
        <is>
          <t>South Asia</t>
        </is>
      </c>
      <c r="E1061" t="inlineStr">
        <is>
          <t>digital_infrastructure_raw</t>
        </is>
      </c>
      <c r="F1061" t="inlineStr">
        <is>
          <t>Digital infrastructure raw</t>
        </is>
      </c>
      <c r="G1061" t="inlineStr">
        <is>
          <t>viability</t>
        </is>
      </c>
      <c r="H1061" t="inlineStr">
        <is>
          <t>yes</t>
        </is>
      </c>
      <c r="I1061" t="inlineStr">
        <is>
          <t>18.73</t>
        </is>
      </c>
      <c r="J1061" t="inlineStr">
        <is>
          <t>world_bank</t>
        </is>
      </c>
      <c r="K1061" t="inlineStr">
        <is>
          <t>https://api.worldbank.org/v2/country/MDV/indicator/IT.NET.BBND.P2?format=json&amp;mrv=10</t>
        </is>
      </c>
      <c r="L1061" t="inlineStr">
        <is>
          <t>World Bank WDI: Fixed broadband subscriptions (per 100 people)</t>
        </is>
      </c>
      <c r="M1061" t="inlineStr">
        <is>
          <t>2023-12-31</t>
        </is>
      </c>
      <c r="N1061" t="inlineStr">
        <is>
          <t>auto_ingest=world_bank_proxy; indicator=IT.NET.BBND.P2; year=2023; country_proxy=Maldives</t>
        </is>
      </c>
    </row>
    <row r="1062">
      <c r="A1062" t="inlineStr">
        <is>
          <t>mv-male</t>
        </is>
      </c>
      <c r="B1062" t="inlineStr">
        <is>
          <t>Male</t>
        </is>
      </c>
      <c r="C1062" t="inlineStr">
        <is>
          <t>Maldives</t>
        </is>
      </c>
      <c r="D1062" t="inlineStr">
        <is>
          <t>South Asia</t>
        </is>
      </c>
      <c r="E1062" t="inlineStr">
        <is>
          <t>climate_sunlight_livability_raw</t>
        </is>
      </c>
      <c r="F1062" t="inlineStr">
        <is>
          <t>Climate and sunlight livability raw</t>
        </is>
      </c>
      <c r="G1062" t="inlineStr">
        <is>
          <t>viability</t>
        </is>
      </c>
      <c r="H1062" t="inlineStr">
        <is>
          <t>yes</t>
        </is>
      </c>
      <c r="I1062" t="inlineStr"/>
      <c r="J1062" t="inlineStr"/>
      <c r="K1062" t="inlineStr"/>
      <c r="L1062" t="inlineStr"/>
      <c r="M1062" t="inlineStr"/>
      <c r="N1062" t="inlineStr"/>
    </row>
    <row r="1063">
      <c r="A1063" t="inlineStr">
        <is>
          <t>mv-male</t>
        </is>
      </c>
      <c r="B1063" t="inlineStr">
        <is>
          <t>Male</t>
        </is>
      </c>
      <c r="C1063" t="inlineStr">
        <is>
          <t>Maldives</t>
        </is>
      </c>
      <c r="D1063" t="inlineStr">
        <is>
          <t>South Asia</t>
        </is>
      </c>
      <c r="E1063" t="inlineStr">
        <is>
          <t>healthcare_quality_raw</t>
        </is>
      </c>
      <c r="F1063" t="inlineStr">
        <is>
          <t>Healthcare quality raw</t>
        </is>
      </c>
      <c r="G1063" t="inlineStr">
        <is>
          <t>capability</t>
        </is>
      </c>
      <c r="H1063" t="inlineStr">
        <is>
          <t>yes</t>
        </is>
      </c>
      <c r="I1063" t="inlineStr">
        <is>
          <t>71.0</t>
        </is>
      </c>
      <c r="J1063" t="inlineStr">
        <is>
          <t>who_gho</t>
        </is>
      </c>
      <c r="K1063" t="inlineStr">
        <is>
          <t>https://www.who.int/data/gho/data/indicators/indicator-details/GHO/UHC_INDEX_REPORTED</t>
        </is>
      </c>
      <c r="L1063" t="inlineStr">
        <is>
          <t>WHO GHO: UHC Service Coverage Index</t>
        </is>
      </c>
      <c r="M1063" t="inlineStr">
        <is>
          <t>2023-12-31</t>
        </is>
      </c>
      <c r="N1063" t="inlineStr">
        <is>
          <t>auto_ingest=who_gho; indicator=UHC_INDEX_REPORTED; year=2023; country_proxy=Maldives</t>
        </is>
      </c>
    </row>
    <row r="1064">
      <c r="A1064" t="inlineStr">
        <is>
          <t>mv-male</t>
        </is>
      </c>
      <c r="B1064" t="inlineStr">
        <is>
          <t>Male</t>
        </is>
      </c>
      <c r="C1064" t="inlineStr">
        <is>
          <t>Maldives</t>
        </is>
      </c>
      <c r="D1064" t="inlineStr">
        <is>
          <t>South Asia</t>
        </is>
      </c>
      <c r="E1064" t="inlineStr">
        <is>
          <t>education_quality_raw</t>
        </is>
      </c>
      <c r="F1064" t="inlineStr">
        <is>
          <t>Education quality raw</t>
        </is>
      </c>
      <c r="G1064" t="inlineStr">
        <is>
          <t>capability</t>
        </is>
      </c>
      <c r="H1064" t="inlineStr">
        <is>
          <t>yes</t>
        </is>
      </c>
      <c r="I1064" t="inlineStr">
        <is>
          <t>48.5</t>
        </is>
      </c>
      <c r="J1064" t="inlineStr">
        <is>
          <t>world_bank</t>
        </is>
      </c>
      <c r="K1064" t="inlineStr">
        <is>
          <t>https://api.worldbank.org/v2/country/MDV/indicator/SE.TER.ENRR?format=json&amp;mrv=10</t>
        </is>
      </c>
      <c r="L1064" t="inlineStr">
        <is>
          <t>World Bank WDI: School enrollment, tertiary (% gross)</t>
        </is>
      </c>
      <c r="M1064" t="inlineStr">
        <is>
          <t>2022-12-31</t>
        </is>
      </c>
      <c r="N1064" t="inlineStr">
        <is>
          <t>auto_ingest=world_bank_proxy; indicator=SE.TER.ENRR; year=2022; country_proxy=Maldives</t>
        </is>
      </c>
    </row>
    <row r="1065">
      <c r="A1065" t="inlineStr">
        <is>
          <t>mv-male</t>
        </is>
      </c>
      <c r="B1065" t="inlineStr">
        <is>
          <t>Male</t>
        </is>
      </c>
      <c r="C1065" t="inlineStr">
        <is>
          <t>Maldives</t>
        </is>
      </c>
      <c r="D1065" t="inlineStr">
        <is>
          <t>South Asia</t>
        </is>
      </c>
      <c r="E1065" t="inlineStr">
        <is>
          <t>equal_opportunity_raw</t>
        </is>
      </c>
      <c r="F1065" t="inlineStr">
        <is>
          <t>Equal opportunity raw</t>
        </is>
      </c>
      <c r="G1065" t="inlineStr">
        <is>
          <t>capability</t>
        </is>
      </c>
      <c r="H1065" t="inlineStr">
        <is>
          <t>yes</t>
        </is>
      </c>
      <c r="I1065" t="inlineStr">
        <is>
          <t>29.3</t>
        </is>
      </c>
      <c r="J1065" t="inlineStr">
        <is>
          <t>world_bank</t>
        </is>
      </c>
      <c r="K1065" t="inlineStr">
        <is>
          <t>https://api.worldbank.org/v2/country/MDV/indicator/SI.POV.GINI?format=json&amp;mrv=10</t>
        </is>
      </c>
      <c r="L1065" t="inlineStr">
        <is>
          <t>World Bank WDI: Gini index</t>
        </is>
      </c>
      <c r="M1065" t="inlineStr">
        <is>
          <t>2019-12-31</t>
        </is>
      </c>
      <c r="N1065" t="inlineStr">
        <is>
          <t>auto_ingest=world_bank_capability; indicator=SI.POV.GINI; year=2019; country_proxy=Maldives</t>
        </is>
      </c>
    </row>
    <row r="1066">
      <c r="A1066" t="inlineStr">
        <is>
          <t>mv-male</t>
        </is>
      </c>
      <c r="B1066" t="inlineStr">
        <is>
          <t>Male</t>
        </is>
      </c>
      <c r="C1066" t="inlineStr">
        <is>
          <t>Maldives</t>
        </is>
      </c>
      <c r="D1066" t="inlineStr">
        <is>
          <t>South Asia</t>
        </is>
      </c>
      <c r="E1066" t="inlineStr">
        <is>
          <t>hospitality_belonging_raw</t>
        </is>
      </c>
      <c r="F1066" t="inlineStr">
        <is>
          <t>Hospitality and belonging raw</t>
        </is>
      </c>
      <c r="G1066" t="inlineStr">
        <is>
          <t>community</t>
        </is>
      </c>
      <c r="H1066" t="inlineStr">
        <is>
          <t>yes</t>
        </is>
      </c>
      <c r="I1066" t="inlineStr">
        <is>
          <t>45.67</t>
        </is>
      </c>
      <c r="J1066" t="inlineStr">
        <is>
          <t>world_bank</t>
        </is>
      </c>
      <c r="K1066" t="inlineStr">
        <is>
          <t>https://api.worldbank.org/v2/country/MDV/indicator/SM.POP.NETM?format=json&amp;mrv=10</t>
        </is>
      </c>
      <c r="L1066" t="inlineStr">
        <is>
          <t>World Bank WDI: Net migration (proxy for hospitality/belonging — positive = welcoming)</t>
        </is>
      </c>
      <c r="M1066" t="inlineStr">
        <is>
          <t>2025-12-31</t>
        </is>
      </c>
      <c r="N1066" t="inlineStr">
        <is>
          <t>auto_ingest=world_bank_proxy; proxy=net_migration_hospitality; indicator=SM.POP.NETM; year=2025; country_proxy=Maldives</t>
        </is>
      </c>
    </row>
    <row r="1067">
      <c r="A1067" t="inlineStr">
        <is>
          <t>mv-male</t>
        </is>
      </c>
      <c r="B1067" t="inlineStr">
        <is>
          <t>Male</t>
        </is>
      </c>
      <c r="C1067" t="inlineStr">
        <is>
          <t>Maldives</t>
        </is>
      </c>
      <c r="D1067" t="inlineStr">
        <is>
          <t>South Asia</t>
        </is>
      </c>
      <c r="E1067" t="inlineStr">
        <is>
          <t>tolerance_pluralism_raw</t>
        </is>
      </c>
      <c r="F1067" t="inlineStr">
        <is>
          <t>Tolerance and pluralism raw</t>
        </is>
      </c>
      <c r="G1067" t="inlineStr">
        <is>
          <t>community</t>
        </is>
      </c>
      <c r="H1067" t="inlineStr">
        <is>
          <t>yes</t>
        </is>
      </c>
      <c r="I1067" t="inlineStr">
        <is>
          <t>3.23</t>
        </is>
      </c>
      <c r="J1067" t="inlineStr">
        <is>
          <t>world_bank</t>
        </is>
      </c>
      <c r="K1067" t="inlineStr">
        <is>
          <t>https://api.worldbank.org/v2/country/MDV/indicator/SG.GEN.PARL.ZS?format=json&amp;mrv=10</t>
        </is>
      </c>
      <c r="L1067" t="inlineStr">
        <is>
          <t>World Bank WDI: Proportion of seats held by women in national parliaments (%)</t>
        </is>
      </c>
      <c r="M1067" t="inlineStr">
        <is>
          <t>2024-12-31</t>
        </is>
      </c>
      <c r="N1067" t="inlineStr">
        <is>
          <t>auto_ingest=world_bank_proxy; proxy=gender_parity_parliament; indicator=SG.GEN.PARL.ZS; year=2024; country_proxy=Maldives</t>
        </is>
      </c>
    </row>
    <row r="1068">
      <c r="A1068" t="inlineStr">
        <is>
          <t>mv-male</t>
        </is>
      </c>
      <c r="B1068" t="inlineStr">
        <is>
          <t>Male</t>
        </is>
      </c>
      <c r="C1068" t="inlineStr">
        <is>
          <t>Maldives</t>
        </is>
      </c>
      <c r="D1068" t="inlineStr">
        <is>
          <t>South Asia</t>
        </is>
      </c>
      <c r="E1068" t="inlineStr">
        <is>
          <t>cultural_public_life_raw</t>
        </is>
      </c>
      <c r="F1068" t="inlineStr">
        <is>
          <t>Cultural public life raw</t>
        </is>
      </c>
      <c r="G1068" t="inlineStr">
        <is>
          <t>community</t>
        </is>
      </c>
      <c r="H1068" t="inlineStr">
        <is>
          <t>yes</t>
        </is>
      </c>
      <c r="I1068" t="inlineStr">
        <is>
          <t>1051.54</t>
        </is>
      </c>
      <c r="J1068" t="inlineStr">
        <is>
          <t>world_bank</t>
        </is>
      </c>
      <c r="K1068" t="inlineStr">
        <is>
          <t>https://api.worldbank.org/v2/country/MDV/indicator/ST.INT.ARVL?format=json&amp;mrv=10</t>
        </is>
      </c>
      <c r="L1068" t="inlineStr">
        <is>
          <t>World Bank WDI: International tourism arrivals per 1 000 population</t>
        </is>
      </c>
      <c r="M1068" t="inlineStr">
        <is>
          <t>2020-12-31</t>
        </is>
      </c>
      <c r="N1068" t="inlineStr">
        <is>
          <t>auto_ingest=cultural_life_proxy; indicator=ST.INT.ARVL; norm=per_1000_pop; year=2020; country_proxy=Maldives</t>
        </is>
      </c>
    </row>
    <row r="1069">
      <c r="A1069" t="inlineStr">
        <is>
          <t>mv-male</t>
        </is>
      </c>
      <c r="B1069" t="inlineStr">
        <is>
          <t>Male</t>
        </is>
      </c>
      <c r="C1069" t="inlineStr">
        <is>
          <t>Maldives</t>
        </is>
      </c>
      <c r="D1069" t="inlineStr">
        <is>
          <t>South Asia</t>
        </is>
      </c>
      <c r="E1069" t="inlineStr">
        <is>
          <t>birth_rate_optimism_raw</t>
        </is>
      </c>
      <c r="F1069" t="inlineStr">
        <is>
          <t>Birth rate and societal optimism raw</t>
        </is>
      </c>
      <c r="G1069" t="inlineStr">
        <is>
          <t>community</t>
        </is>
      </c>
      <c r="H1069" t="inlineStr">
        <is>
          <t>yes</t>
        </is>
      </c>
      <c r="I1069" t="inlineStr"/>
      <c r="J1069" t="inlineStr"/>
      <c r="K1069" t="inlineStr"/>
      <c r="L1069" t="inlineStr"/>
      <c r="M1069" t="inlineStr"/>
      <c r="N1069" t="inlineStr"/>
    </row>
    <row r="1070">
      <c r="A1070" t="inlineStr">
        <is>
          <t>mv-male</t>
        </is>
      </c>
      <c r="B1070" t="inlineStr">
        <is>
          <t>Male</t>
        </is>
      </c>
      <c r="C1070" t="inlineStr">
        <is>
          <t>Maldives</t>
        </is>
      </c>
      <c r="D1070" t="inlineStr">
        <is>
          <t>South Asia</t>
        </is>
      </c>
      <c r="E1070" t="inlineStr">
        <is>
          <t>entrepreneurial_dynamism_raw</t>
        </is>
      </c>
      <c r="F1070" t="inlineStr">
        <is>
          <t>Entrepreneurial dynamism raw</t>
        </is>
      </c>
      <c r="G1070" t="inlineStr">
        <is>
          <t>creative</t>
        </is>
      </c>
      <c r="H1070" t="inlineStr">
        <is>
          <t>yes</t>
        </is>
      </c>
      <c r="I1070" t="inlineStr">
        <is>
          <t>4.22</t>
        </is>
      </c>
      <c r="J1070" t="inlineStr">
        <is>
          <t>world_bank</t>
        </is>
      </c>
      <c r="K1070" t="inlineStr">
        <is>
          <t>https://api.worldbank.org/v2/country/MDV/indicator/IC.BUS.NDNS.ZS?format=json&amp;mrv=10</t>
        </is>
      </c>
      <c r="L1070" t="inlineStr">
        <is>
          <t>World Bank WDI: New business density (new registrations per 1,000 people ages 15-64)</t>
        </is>
      </c>
      <c r="M1070" t="inlineStr">
        <is>
          <t>2022-12-31</t>
        </is>
      </c>
      <c r="N1070" t="inlineStr">
        <is>
          <t>auto_ingest=world_bank_creative_extended; indicator=IC.BUS.NDNS.ZS; year=2022; country_proxy=Maldives</t>
        </is>
      </c>
    </row>
    <row r="1071">
      <c r="A1071" t="inlineStr">
        <is>
          <t>mv-male</t>
        </is>
      </c>
      <c r="B1071" t="inlineStr">
        <is>
          <t>Male</t>
        </is>
      </c>
      <c r="C1071" t="inlineStr">
        <is>
          <t>Maldives</t>
        </is>
      </c>
      <c r="D1071" t="inlineStr">
        <is>
          <t>South Asia</t>
        </is>
      </c>
      <c r="E1071" t="inlineStr">
        <is>
          <t>innovation_research_intensity_raw</t>
        </is>
      </c>
      <c r="F1071" t="inlineStr">
        <is>
          <t>Innovation and research raw</t>
        </is>
      </c>
      <c r="G1071" t="inlineStr">
        <is>
          <t>creative</t>
        </is>
      </c>
      <c r="H1071" t="inlineStr">
        <is>
          <t>yes</t>
        </is>
      </c>
      <c r="I1071" t="inlineStr"/>
      <c r="J1071" t="inlineStr"/>
      <c r="K1071" t="inlineStr"/>
      <c r="L1071" t="inlineStr"/>
      <c r="M1071" t="inlineStr"/>
      <c r="N1071" t="inlineStr"/>
    </row>
    <row r="1072">
      <c r="A1072" t="inlineStr">
        <is>
          <t>mv-male</t>
        </is>
      </c>
      <c r="B1072" t="inlineStr">
        <is>
          <t>Male</t>
        </is>
      </c>
      <c r="C1072" t="inlineStr">
        <is>
          <t>Maldives</t>
        </is>
      </c>
      <c r="D1072" t="inlineStr">
        <is>
          <t>South Asia</t>
        </is>
      </c>
      <c r="E1072" t="inlineStr">
        <is>
          <t>investment_signal_raw</t>
        </is>
      </c>
      <c r="F1072" t="inlineStr">
        <is>
          <t>Investment signal raw</t>
        </is>
      </c>
      <c r="G1072" t="inlineStr">
        <is>
          <t>creative</t>
        </is>
      </c>
      <c r="H1072" t="inlineStr">
        <is>
          <t>yes</t>
        </is>
      </c>
      <c r="I1072" t="inlineStr">
        <is>
          <t>11.42</t>
        </is>
      </c>
      <c r="J1072" t="inlineStr">
        <is>
          <t>world_bank</t>
        </is>
      </c>
      <c r="K1072" t="inlineStr">
        <is>
          <t>https://api.worldbank.org/v2/country/MDV/indicator/BX.KLT.DINV.WD.GD.ZS?format=json&amp;mrv=10</t>
        </is>
      </c>
      <c r="L1072" t="inlineStr">
        <is>
          <t>World Bank WDI: Foreign direct investment, net inflows (% of GDP)</t>
        </is>
      </c>
      <c r="M1072" t="inlineStr">
        <is>
          <t>2024-12-31</t>
        </is>
      </c>
      <c r="N1072" t="inlineStr">
        <is>
          <t>auto_ingest=world_bank_creative_extended; indicator=BX.KLT.DINV.WD.GD.ZS; year=2024; country_proxy=Maldives</t>
        </is>
      </c>
    </row>
    <row r="1073">
      <c r="A1073" t="inlineStr">
        <is>
          <t>mv-male</t>
        </is>
      </c>
      <c r="B1073" t="inlineStr">
        <is>
          <t>Male</t>
        </is>
      </c>
      <c r="C1073" t="inlineStr">
        <is>
          <t>Maldives</t>
        </is>
      </c>
      <c r="D1073" t="inlineStr">
        <is>
          <t>South Asia</t>
        </is>
      </c>
      <c r="E1073" t="inlineStr">
        <is>
          <t>administrative_investment_friction_raw</t>
        </is>
      </c>
      <c r="F1073" t="inlineStr">
        <is>
          <t>Administrative investment friction raw</t>
        </is>
      </c>
      <c r="G1073" t="inlineStr">
        <is>
          <t>creative</t>
        </is>
      </c>
      <c r="H1073" t="inlineStr">
        <is>
          <t>yes</t>
        </is>
      </c>
      <c r="I1073" t="inlineStr">
        <is>
          <t>3.17</t>
        </is>
      </c>
      <c r="J1073" t="inlineStr">
        <is>
          <t>world_bank</t>
        </is>
      </c>
      <c r="K1073" t="inlineStr">
        <is>
          <t>https://api.worldbank.org/v2/country/MDV/indicator/RQ.EST?format=json&amp;mrv=10</t>
        </is>
      </c>
      <c r="L1073" t="inlineStr">
        <is>
          <t>World Bank WGI: Regulatory Quality (inverted as friction proxy)</t>
        </is>
      </c>
      <c r="M1073" t="inlineStr">
        <is>
          <t>2023-12-31</t>
        </is>
      </c>
      <c r="N1073" t="inlineStr">
        <is>
          <t>auto_ingest=world_bank_business_friction; indicator=RQ.EST; raw_rq=-0.672039389610291; friction=3.17; year=2023; country_proxy=Maldives</t>
        </is>
      </c>
    </row>
    <row r="1074">
      <c r="A1074" t="inlineStr">
        <is>
          <t>mv-male</t>
        </is>
      </c>
      <c r="B1074" t="inlineStr">
        <is>
          <t>Male</t>
        </is>
      </c>
      <c r="C1074" t="inlineStr">
        <is>
          <t>Maldives</t>
        </is>
      </c>
      <c r="D1074" t="inlineStr">
        <is>
          <t>South Asia</t>
        </is>
      </c>
      <c r="E1074" t="inlineStr">
        <is>
          <t>visitor_flow_context_raw</t>
        </is>
      </c>
      <c r="F1074" t="inlineStr">
        <is>
          <t>Visitor flow context raw</t>
        </is>
      </c>
      <c r="G1074" t="inlineStr">
        <is>
          <t>creative</t>
        </is>
      </c>
      <c r="H1074" t="inlineStr">
        <is>
          <t>no</t>
        </is>
      </c>
      <c r="I1074" t="inlineStr"/>
      <c r="J1074" t="inlineStr"/>
      <c r="K1074" t="inlineStr"/>
      <c r="L1074" t="inlineStr"/>
      <c r="M1074" t="inlineStr"/>
      <c r="N1074" t="inlineStr"/>
    </row>
    <row r="1075">
      <c r="A1075" t="inlineStr">
        <is>
          <t>fr-paris</t>
        </is>
      </c>
      <c r="B1075" t="inlineStr">
        <is>
          <t>Paris</t>
        </is>
      </c>
      <c r="C1075" t="inlineStr">
        <is>
          <t>France</t>
        </is>
      </c>
      <c r="D1075" t="inlineStr">
        <is>
          <t>Western and Northern Europe</t>
        </is>
      </c>
      <c r="E1075" t="inlineStr">
        <is>
          <t>gross_income</t>
        </is>
      </c>
      <c r="F1075" t="inlineStr">
        <is>
          <t>Gross income</t>
        </is>
      </c>
      <c r="G1075" t="inlineStr">
        <is>
          <t>pressure</t>
        </is>
      </c>
      <c r="H1075" t="inlineStr">
        <is>
          <t>yes</t>
        </is>
      </c>
      <c r="I1075" t="inlineStr">
        <is>
          <t>6121.83</t>
        </is>
      </c>
      <c r="J1075" t="inlineStr">
        <is>
          <t>world_bank_col_estimate</t>
        </is>
      </c>
      <c r="K1075" t="inlineStr">
        <is>
          <t>https://api.worldbank.org/v2/country/FRA/indicator/NY.GNP.PCAP.PP.CD?format=json&amp;mrv=10</t>
        </is>
      </c>
      <c r="L1075" t="inlineStr">
        <is>
          <t>World Bank WDI: GNI per capita PPP (monthly USD)</t>
        </is>
      </c>
      <c r="M1075" t="inlineStr">
        <is>
          <t>2024-12-31</t>
        </is>
      </c>
      <c r="N1075" t="inlineStr">
        <is>
          <t>auto_ingest=world_bank_col_estimate; gni_annual=63880.0; year=2024; country_proxy=France; cohort=Western, Northern, and Southern Europe; city_income_mult=1.15</t>
        </is>
      </c>
    </row>
    <row r="1076">
      <c r="A1076" t="inlineStr">
        <is>
          <t>fr-paris</t>
        </is>
      </c>
      <c r="B1076" t="inlineStr">
        <is>
          <t>Paris</t>
        </is>
      </c>
      <c r="C1076" t="inlineStr">
        <is>
          <t>France</t>
        </is>
      </c>
      <c r="D1076" t="inlineStr">
        <is>
          <t>Western, Northern, and Southern Europe</t>
        </is>
      </c>
      <c r="E1076" t="inlineStr">
        <is>
          <t>di_ppp_raw</t>
        </is>
      </c>
      <c r="F1076" t="inlineStr">
        <is>
          <t>Disposable income PPP (Raw)</t>
        </is>
      </c>
      <c r="G1076" t="inlineStr">
        <is>
          <t>pressure</t>
        </is>
      </c>
      <c r="H1076" t="inlineStr">
        <is>
          <t>yes</t>
        </is>
      </c>
      <c r="I1076" t="inlineStr"/>
      <c r="J1076" t="inlineStr"/>
      <c r="K1076" t="inlineStr"/>
      <c r="L1076" t="inlineStr"/>
      <c r="M1076" t="inlineStr"/>
      <c r="N1076" t="inlineStr"/>
    </row>
    <row r="1077">
      <c r="A1077" t="inlineStr">
        <is>
          <t>fr-paris</t>
        </is>
      </c>
      <c r="B1077" t="inlineStr">
        <is>
          <t>Paris</t>
        </is>
      </c>
      <c r="C1077" t="inlineStr">
        <is>
          <t>France</t>
        </is>
      </c>
      <c r="D1077" t="inlineStr">
        <is>
          <t>Western and Northern Europe</t>
        </is>
      </c>
      <c r="E1077" t="inlineStr">
        <is>
          <t>rent</t>
        </is>
      </c>
      <c r="F1077" t="inlineStr">
        <is>
          <t>Rent</t>
        </is>
      </c>
      <c r="G1077" t="inlineStr">
        <is>
          <t>pressure</t>
        </is>
      </c>
      <c r="H1077" t="inlineStr">
        <is>
          <t>yes</t>
        </is>
      </c>
      <c r="I1077" t="inlineStr">
        <is>
          <t>2785.43</t>
        </is>
      </c>
      <c r="J1077" t="inlineStr">
        <is>
          <t>world_bank_col_estimate</t>
        </is>
      </c>
      <c r="K1077" t="inlineStr">
        <is>
          <t>https://api.worldbank.org/v2/country/FRA/indicator/NY.GNP.PCAP.PP.CD?format=json&amp;mrv=10</t>
        </is>
      </c>
      <c r="L1077" t="inlineStr">
        <is>
          <t>World Bank GNI + regional expenditure ratio estimate</t>
        </is>
      </c>
      <c r="M1077" t="inlineStr">
        <is>
          <t>2024-12-31</t>
        </is>
      </c>
      <c r="N1077" t="inlineStr">
        <is>
          <t>auto_ingest=world_bank_col_estimate; gni_annual=63880.0; year=2024; country_proxy=France; cohort=Western, Northern, and Southern Europe; city_cost_mult=1.3</t>
        </is>
      </c>
    </row>
    <row r="1078">
      <c r="A1078" t="inlineStr">
        <is>
          <t>fr-paris</t>
        </is>
      </c>
      <c r="B1078" t="inlineStr">
        <is>
          <t>Paris</t>
        </is>
      </c>
      <c r="C1078" t="inlineStr">
        <is>
          <t>France</t>
        </is>
      </c>
      <c r="D1078" t="inlineStr">
        <is>
          <t>Western and Northern Europe</t>
        </is>
      </c>
      <c r="E1078" t="inlineStr">
        <is>
          <t>utilities</t>
        </is>
      </c>
      <c r="F1078" t="inlineStr">
        <is>
          <t>Utilities</t>
        </is>
      </c>
      <c r="G1078" t="inlineStr">
        <is>
          <t>pressure</t>
        </is>
      </c>
      <c r="H1078" t="inlineStr">
        <is>
          <t>yes</t>
        </is>
      </c>
      <c r="I1078" t="inlineStr">
        <is>
          <t>557.09</t>
        </is>
      </c>
      <c r="J1078" t="inlineStr">
        <is>
          <t>world_bank_col_estimate</t>
        </is>
      </c>
      <c r="K1078" t="inlineStr">
        <is>
          <t>https://api.worldbank.org/v2/country/FRA/indicator/NY.GNP.PCAP.PP.CD?format=json&amp;mrv=10</t>
        </is>
      </c>
      <c r="L1078" t="inlineStr">
        <is>
          <t>World Bank GNI + regional expenditure ratio estimate</t>
        </is>
      </c>
      <c r="M1078" t="inlineStr">
        <is>
          <t>2024-12-31</t>
        </is>
      </c>
      <c r="N1078" t="inlineStr">
        <is>
          <t>auto_ingest=world_bank_col_estimate; gni_annual=63880.0; year=2024; country_proxy=France; cohort=Western, Northern, and Southern Europe; city_cost_mult=1.3</t>
        </is>
      </c>
    </row>
    <row r="1079">
      <c r="A1079" t="inlineStr">
        <is>
          <t>fr-paris</t>
        </is>
      </c>
      <c r="B1079" t="inlineStr">
        <is>
          <t>Paris</t>
        </is>
      </c>
      <c r="C1079" t="inlineStr">
        <is>
          <t>France</t>
        </is>
      </c>
      <c r="D1079" t="inlineStr">
        <is>
          <t>Western and Northern Europe</t>
        </is>
      </c>
      <c r="E1079" t="inlineStr">
        <is>
          <t>transit_cost</t>
        </is>
      </c>
      <c r="F1079" t="inlineStr">
        <is>
          <t>Transit cost</t>
        </is>
      </c>
      <c r="G1079" t="inlineStr">
        <is>
          <t>pressure</t>
        </is>
      </c>
      <c r="H1079" t="inlineStr">
        <is>
          <t>yes</t>
        </is>
      </c>
      <c r="I1079" t="inlineStr">
        <is>
          <t>397.92</t>
        </is>
      </c>
      <c r="J1079" t="inlineStr">
        <is>
          <t>world_bank_col_estimate</t>
        </is>
      </c>
      <c r="K1079" t="inlineStr">
        <is>
          <t>https://api.worldbank.org/v2/country/FRA/indicator/NY.GNP.PCAP.PP.CD?format=json&amp;mrv=10</t>
        </is>
      </c>
      <c r="L1079" t="inlineStr">
        <is>
          <t>World Bank GNI + regional expenditure ratio estimate</t>
        </is>
      </c>
      <c r="M1079" t="inlineStr">
        <is>
          <t>2024-12-31</t>
        </is>
      </c>
      <c r="N1079" t="inlineStr">
        <is>
          <t>auto_ingest=world_bank_col_estimate; gni_annual=63880.0; year=2024; country_proxy=France; cohort=Western, Northern, and Southern Europe; city_cost_mult=1.3</t>
        </is>
      </c>
    </row>
    <row r="1080">
      <c r="A1080" t="inlineStr">
        <is>
          <t>fr-paris</t>
        </is>
      </c>
      <c r="B1080" t="inlineStr">
        <is>
          <t>Paris</t>
        </is>
      </c>
      <c r="C1080" t="inlineStr">
        <is>
          <t>France</t>
        </is>
      </c>
      <c r="D1080" t="inlineStr">
        <is>
          <t>Western and Northern Europe</t>
        </is>
      </c>
      <c r="E1080" t="inlineStr">
        <is>
          <t>internet_cost</t>
        </is>
      </c>
      <c r="F1080" t="inlineStr">
        <is>
          <t>Internet cost</t>
        </is>
      </c>
      <c r="G1080" t="inlineStr">
        <is>
          <t>pressure</t>
        </is>
      </c>
      <c r="H1080" t="inlineStr">
        <is>
          <t>yes</t>
        </is>
      </c>
      <c r="I1080" t="inlineStr">
        <is>
          <t>119.38</t>
        </is>
      </c>
      <c r="J1080" t="inlineStr">
        <is>
          <t>world_bank_col_estimate</t>
        </is>
      </c>
      <c r="K1080" t="inlineStr">
        <is>
          <t>https://api.worldbank.org/v2/country/FRA/indicator/NY.GNP.PCAP.PP.CD?format=json&amp;mrv=10</t>
        </is>
      </c>
      <c r="L1080" t="inlineStr">
        <is>
          <t>World Bank GNI + regional expenditure ratio estimate</t>
        </is>
      </c>
      <c r="M1080" t="inlineStr">
        <is>
          <t>2024-12-31</t>
        </is>
      </c>
      <c r="N1080" t="inlineStr">
        <is>
          <t>auto_ingest=world_bank_col_estimate; gni_annual=63880.0; year=2024; country_proxy=France; cohort=Western, Northern, and Southern Europe; city_cost_mult=1.3</t>
        </is>
      </c>
    </row>
    <row r="1081">
      <c r="A1081" t="inlineStr">
        <is>
          <t>fr-paris</t>
        </is>
      </c>
      <c r="B1081" t="inlineStr">
        <is>
          <t>Paris</t>
        </is>
      </c>
      <c r="C1081" t="inlineStr">
        <is>
          <t>France</t>
        </is>
      </c>
      <c r="D1081" t="inlineStr">
        <is>
          <t>Western and Northern Europe</t>
        </is>
      </c>
      <c r="E1081" t="inlineStr">
        <is>
          <t>food_cost</t>
        </is>
      </c>
      <c r="F1081" t="inlineStr">
        <is>
          <t>Food cost</t>
        </is>
      </c>
      <c r="G1081" t="inlineStr">
        <is>
          <t>pressure</t>
        </is>
      </c>
      <c r="H1081" t="inlineStr">
        <is>
          <t>yes</t>
        </is>
      </c>
      <c r="I1081" t="inlineStr">
        <is>
          <t>1193.76</t>
        </is>
      </c>
      <c r="J1081" t="inlineStr">
        <is>
          <t>world_bank_col_estimate</t>
        </is>
      </c>
      <c r="K1081" t="inlineStr">
        <is>
          <t>https://api.worldbank.org/v2/country/FRA/indicator/NY.GNP.PCAP.PP.CD?format=json&amp;mrv=10</t>
        </is>
      </c>
      <c r="L1081" t="inlineStr">
        <is>
          <t>World Bank GNI + regional expenditure ratio estimate</t>
        </is>
      </c>
      <c r="M1081" t="inlineStr">
        <is>
          <t>2024-12-31</t>
        </is>
      </c>
      <c r="N1081" t="inlineStr">
        <is>
          <t>auto_ingest=world_bank_col_estimate; gni_annual=63880.0; year=2024; country_proxy=France; cohort=Western, Northern, and Southern Europe; city_cost_mult=1.3</t>
        </is>
      </c>
    </row>
    <row r="1082">
      <c r="A1082" t="inlineStr">
        <is>
          <t>fr-paris</t>
        </is>
      </c>
      <c r="B1082" t="inlineStr">
        <is>
          <t>Paris</t>
        </is>
      </c>
      <c r="C1082" t="inlineStr">
        <is>
          <t>France</t>
        </is>
      </c>
      <c r="D1082" t="inlineStr">
        <is>
          <t>Western and Northern Europe</t>
        </is>
      </c>
      <c r="E1082" t="inlineStr">
        <is>
          <t>housing_burden_raw</t>
        </is>
      </c>
      <c r="F1082" t="inlineStr">
        <is>
          <t>Housing burden raw</t>
        </is>
      </c>
      <c r="G1082" t="inlineStr">
        <is>
          <t>pressure</t>
        </is>
      </c>
      <c r="H1082" t="inlineStr">
        <is>
          <t>yes</t>
        </is>
      </c>
      <c r="I1082" t="inlineStr">
        <is>
          <t>45.5</t>
        </is>
      </c>
      <c r="J1082" t="inlineStr">
        <is>
          <t>derived</t>
        </is>
      </c>
      <c r="K1082" t="inlineStr">
        <is>
          <t>https://data.worldbank.org/indicator/NY.GNP.PCAP.PP.CD</t>
        </is>
      </c>
      <c r="L1082" t="inlineStr">
        <is>
          <t>Computed from city_inputs + country_context</t>
        </is>
      </c>
      <c r="M1082" t="inlineStr">
        <is>
          <t>2024-01-01</t>
        </is>
      </c>
      <c r="N1082" t="inlineStr">
        <is>
          <t>derived=rent/gross_income*100</t>
        </is>
      </c>
    </row>
    <row r="1083">
      <c r="A1083" t="inlineStr">
        <is>
          <t>fr-paris</t>
        </is>
      </c>
      <c r="B1083" t="inlineStr">
        <is>
          <t>Paris</t>
        </is>
      </c>
      <c r="C1083" t="inlineStr">
        <is>
          <t>France</t>
        </is>
      </c>
      <c r="D1083" t="inlineStr">
        <is>
          <t>Western and Northern Europe</t>
        </is>
      </c>
      <c r="E1083" t="inlineStr">
        <is>
          <t>household_debt_burden_raw</t>
        </is>
      </c>
      <c r="F1083" t="inlineStr">
        <is>
          <t>Household debt burden raw</t>
        </is>
      </c>
      <c r="G1083" t="inlineStr">
        <is>
          <t>pressure</t>
        </is>
      </c>
      <c r="H1083" t="inlineStr">
        <is>
          <t>yes</t>
        </is>
      </c>
      <c r="I1083" t="inlineStr">
        <is>
          <t>103.9081</t>
        </is>
      </c>
      <c r="J1083" t="inlineStr">
        <is>
          <t>derived</t>
        </is>
      </c>
      <c r="K1083" t="inlineStr">
        <is>
          <t>https://data.worldbank.org/indicator/NY.GNP.PCAP.PP.CD</t>
        </is>
      </c>
      <c r="L1083" t="inlineStr">
        <is>
          <t>Computed from city_inputs + country_context</t>
        </is>
      </c>
      <c r="M1083" t="inlineStr">
        <is>
          <t>2024-01-01</t>
        </is>
      </c>
      <c r="N1083" t="inlineStr">
        <is>
          <t>derived=country_context.household_debt_proxy; country=France</t>
        </is>
      </c>
    </row>
    <row r="1084">
      <c r="A1084" t="inlineStr">
        <is>
          <t>fr-paris</t>
        </is>
      </c>
      <c r="B1084" t="inlineStr">
        <is>
          <t>Paris</t>
        </is>
      </c>
      <c r="C1084" t="inlineStr">
        <is>
          <t>France</t>
        </is>
      </c>
      <c r="D1084" t="inlineStr">
        <is>
          <t>Western and Northern Europe</t>
        </is>
      </c>
      <c r="E1084" t="inlineStr">
        <is>
          <t>working_time_pressure_raw</t>
        </is>
      </c>
      <c r="F1084" t="inlineStr">
        <is>
          <t>Working time pressure raw</t>
        </is>
      </c>
      <c r="G1084" t="inlineStr">
        <is>
          <t>pressure</t>
        </is>
      </c>
      <c r="H1084" t="inlineStr">
        <is>
          <t>yes</t>
        </is>
      </c>
      <c r="I1084" t="inlineStr">
        <is>
          <t>35.49</t>
        </is>
      </c>
      <c r="J1084" t="inlineStr">
        <is>
          <t>ilo_ilostat</t>
        </is>
      </c>
      <c r="K1084" t="inlineStr">
        <is>
          <t>https://ilostat.ilo.org/data/indicator/?id=HOW_TEMP_SEX_ECO_NB_A&amp;ref_area=FRA</t>
        </is>
      </c>
      <c r="L1084" t="inlineStr">
        <is>
          <t>ILO ILOSTAT: Mean weekly hours actually worked per employed person</t>
        </is>
      </c>
      <c r="M1084" t="inlineStr">
        <is>
          <t>2024-12-31</t>
        </is>
      </c>
      <c r="N1084" t="inlineStr">
        <is>
          <t>auto_ingest=ilo_working_hours; indicator=HOW_TEMP_SEX_ECO_NB_A; year=2024; hours=35.49; country_proxy=France</t>
        </is>
      </c>
    </row>
    <row r="1085">
      <c r="A1085" t="inlineStr">
        <is>
          <t>fr-paris</t>
        </is>
      </c>
      <c r="B1085" t="inlineStr">
        <is>
          <t>Paris</t>
        </is>
      </c>
      <c r="C1085" t="inlineStr">
        <is>
          <t>France</t>
        </is>
      </c>
      <c r="D1085" t="inlineStr">
        <is>
          <t>Western and Northern Europe</t>
        </is>
      </c>
      <c r="E1085" t="inlineStr">
        <is>
          <t>suicide_mental_strain_raw</t>
        </is>
      </c>
      <c r="F1085" t="inlineStr">
        <is>
          <t>Suicide or mental strain raw</t>
        </is>
      </c>
      <c r="G1085" t="inlineStr">
        <is>
          <t>pressure</t>
        </is>
      </c>
      <c r="H1085" t="inlineStr">
        <is>
          <t>yes</t>
        </is>
      </c>
      <c r="I1085" t="inlineStr">
        <is>
          <t>16.58</t>
        </is>
      </c>
      <c r="J1085" t="inlineStr">
        <is>
          <t>who_gho</t>
        </is>
      </c>
      <c r="K1085" t="inlineStr">
        <is>
          <t>https://www.who.int/data/gho/data/indicators/indicator-details/GHO/SDGSUICIDE</t>
        </is>
      </c>
      <c r="L1085" t="inlineStr">
        <is>
          <t>WHO GHO: Age-standardized suicide rate (per 100,000 population)</t>
        </is>
      </c>
      <c r="M1085" t="inlineStr">
        <is>
          <t>2021-12-31</t>
        </is>
      </c>
      <c r="N1085" t="inlineStr">
        <is>
          <t>auto_ingest=who_gho; indicator=SDGSUICIDE; year=2021; country_proxy=France</t>
        </is>
      </c>
    </row>
    <row r="1086">
      <c r="A1086" t="inlineStr">
        <is>
          <t>fr-paris</t>
        </is>
      </c>
      <c r="B1086" t="inlineStr">
        <is>
          <t>Paris</t>
        </is>
      </c>
      <c r="C1086" t="inlineStr">
        <is>
          <t>France</t>
        </is>
      </c>
      <c r="D1086" t="inlineStr">
        <is>
          <t>Western and Northern Europe</t>
        </is>
      </c>
      <c r="E1086" t="inlineStr">
        <is>
          <t>personal_safety_raw</t>
        </is>
      </c>
      <c r="F1086" t="inlineStr">
        <is>
          <t>Personal safety raw</t>
        </is>
      </c>
      <c r="G1086" t="inlineStr">
        <is>
          <t>viability</t>
        </is>
      </c>
      <c r="H1086" t="inlineStr">
        <is>
          <t>yes</t>
        </is>
      </c>
      <c r="I1086" t="inlineStr">
        <is>
          <t>1.34</t>
        </is>
      </c>
      <c r="J1086" t="inlineStr">
        <is>
          <t>world_bank</t>
        </is>
      </c>
      <c r="K1086" t="inlineStr">
        <is>
          <t>https://api.worldbank.org/v2/country/FRA/indicator/VC.IHR.PSRC.P5?format=json&amp;mrv=10</t>
        </is>
      </c>
      <c r="L1086" t="inlineStr">
        <is>
          <t>UNODC via World Bank WDI: Intentional homicides (per 100,000 people)</t>
        </is>
      </c>
      <c r="M1086" t="inlineStr">
        <is>
          <t>2023-12-31</t>
        </is>
      </c>
      <c r="N1086" t="inlineStr">
        <is>
          <t>auto_ingest=unodc_safety; indicator=VC.IHR.PSRC.P5; year=2023; country_proxy=France</t>
        </is>
      </c>
    </row>
    <row r="1087">
      <c r="A1087" t="inlineStr">
        <is>
          <t>fr-paris</t>
        </is>
      </c>
      <c r="B1087" t="inlineStr">
        <is>
          <t>Paris</t>
        </is>
      </c>
      <c r="C1087" t="inlineStr">
        <is>
          <t>France</t>
        </is>
      </c>
      <c r="D1087" t="inlineStr">
        <is>
          <t>Western and Northern Europe</t>
        </is>
      </c>
      <c r="E1087" t="inlineStr">
        <is>
          <t>transit_access_commute_raw</t>
        </is>
      </c>
      <c r="F1087" t="inlineStr">
        <is>
          <t>Transit access and commute raw</t>
        </is>
      </c>
      <c r="G1087" t="inlineStr">
        <is>
          <t>viability</t>
        </is>
      </c>
      <c r="H1087" t="inlineStr">
        <is>
          <t>yes</t>
        </is>
      </c>
      <c r="I1087" t="inlineStr"/>
      <c r="J1087" t="inlineStr"/>
      <c r="K1087" t="inlineStr"/>
      <c r="L1087" t="inlineStr"/>
      <c r="M1087" t="inlineStr"/>
      <c r="N1087" t="inlineStr"/>
    </row>
    <row r="1088">
      <c r="A1088" t="inlineStr">
        <is>
          <t>fr-paris</t>
        </is>
      </c>
      <c r="B1088" t="inlineStr">
        <is>
          <t>Paris</t>
        </is>
      </c>
      <c r="C1088" t="inlineStr">
        <is>
          <t>France</t>
        </is>
      </c>
      <c r="D1088" t="inlineStr">
        <is>
          <t>Western and Northern Europe</t>
        </is>
      </c>
      <c r="E1088" t="inlineStr">
        <is>
          <t>clean_air_raw</t>
        </is>
      </c>
      <c r="F1088" t="inlineStr">
        <is>
          <t>Clean air raw</t>
        </is>
      </c>
      <c r="G1088" t="inlineStr">
        <is>
          <t>viability</t>
        </is>
      </c>
      <c r="H1088" t="inlineStr">
        <is>
          <t>yes</t>
        </is>
      </c>
      <c r="I1088" t="inlineStr"/>
      <c r="J1088" t="inlineStr"/>
      <c r="K1088" t="inlineStr"/>
      <c r="L1088" t="inlineStr"/>
      <c r="M1088" t="inlineStr"/>
      <c r="N1088" t="inlineStr"/>
    </row>
    <row r="1089">
      <c r="A1089" t="inlineStr">
        <is>
          <t>fr-paris</t>
        </is>
      </c>
      <c r="B1089" t="inlineStr">
        <is>
          <t>Paris</t>
        </is>
      </c>
      <c r="C1089" t="inlineStr">
        <is>
          <t>France</t>
        </is>
      </c>
      <c r="D1089" t="inlineStr">
        <is>
          <t>Western and Northern Europe</t>
        </is>
      </c>
      <c r="E1089" t="inlineStr">
        <is>
          <t>water_sanitation_utility_raw</t>
        </is>
      </c>
      <c r="F1089" t="inlineStr">
        <is>
          <t>Water, sanitation, and utility raw</t>
        </is>
      </c>
      <c r="G1089" t="inlineStr">
        <is>
          <t>viability</t>
        </is>
      </c>
      <c r="H1089" t="inlineStr">
        <is>
          <t>yes</t>
        </is>
      </c>
      <c r="I1089" t="inlineStr">
        <is>
          <t>99.71</t>
        </is>
      </c>
      <c r="J1089" t="inlineStr">
        <is>
          <t>world_bank</t>
        </is>
      </c>
      <c r="K1089" t="inlineStr">
        <is>
          <t>https://api.worldbank.org/v2/country/FRA/indicator/SH.H2O.SMDW.ZS?format=json&amp;mrv=10</t>
        </is>
      </c>
      <c r="L1089" t="inlineStr">
        <is>
          <t>World Bank WDI: People using safely managed drinking water services (% of population)</t>
        </is>
      </c>
      <c r="M1089" t="inlineStr">
        <is>
          <t>2024-12-31</t>
        </is>
      </c>
      <c r="N1089" t="inlineStr">
        <is>
          <t>auto_ingest=world_bank_proxy; indicator=SH.H2O.SMDW.ZS; year=2024; country_proxy=France</t>
        </is>
      </c>
    </row>
    <row r="1090">
      <c r="A1090" t="inlineStr">
        <is>
          <t>fr-paris</t>
        </is>
      </c>
      <c r="B1090" t="inlineStr">
        <is>
          <t>Paris</t>
        </is>
      </c>
      <c r="C1090" t="inlineStr">
        <is>
          <t>France</t>
        </is>
      </c>
      <c r="D1090" t="inlineStr">
        <is>
          <t>Western and Northern Europe</t>
        </is>
      </c>
      <c r="E1090" t="inlineStr">
        <is>
          <t>digital_infrastructure_raw</t>
        </is>
      </c>
      <c r="F1090" t="inlineStr">
        <is>
          <t>Digital infrastructure raw</t>
        </is>
      </c>
      <c r="G1090" t="inlineStr">
        <is>
          <t>viability</t>
        </is>
      </c>
      <c r="H1090" t="inlineStr">
        <is>
          <t>yes</t>
        </is>
      </c>
      <c r="I1090" t="inlineStr">
        <is>
          <t>48.67</t>
        </is>
      </c>
      <c r="J1090" t="inlineStr">
        <is>
          <t>world_bank</t>
        </is>
      </c>
      <c r="K1090" t="inlineStr">
        <is>
          <t>https://api.worldbank.org/v2/country/FRA/indicator/IT.NET.BBND.P2?format=json&amp;mrv=10</t>
        </is>
      </c>
      <c r="L1090" t="inlineStr">
        <is>
          <t>World Bank WDI: Fixed broadband subscriptions (per 100 people)</t>
        </is>
      </c>
      <c r="M1090" t="inlineStr">
        <is>
          <t>2023-12-31</t>
        </is>
      </c>
      <c r="N1090" t="inlineStr">
        <is>
          <t>auto_ingest=world_bank_proxy; indicator=IT.NET.BBND.P2; year=2023; country_proxy=France</t>
        </is>
      </c>
    </row>
    <row r="1091">
      <c r="A1091" t="inlineStr">
        <is>
          <t>fr-paris</t>
        </is>
      </c>
      <c r="B1091" t="inlineStr">
        <is>
          <t>Paris</t>
        </is>
      </c>
      <c r="C1091" t="inlineStr">
        <is>
          <t>France</t>
        </is>
      </c>
      <c r="D1091" t="inlineStr">
        <is>
          <t>Western and Northern Europe</t>
        </is>
      </c>
      <c r="E1091" t="inlineStr">
        <is>
          <t>climate_sunlight_livability_raw</t>
        </is>
      </c>
      <c r="F1091" t="inlineStr">
        <is>
          <t>Climate and sunlight livability raw</t>
        </is>
      </c>
      <c r="G1091" t="inlineStr">
        <is>
          <t>viability</t>
        </is>
      </c>
      <c r="H1091" t="inlineStr">
        <is>
          <t>yes</t>
        </is>
      </c>
      <c r="I1091" t="inlineStr">
        <is>
          <t>50</t>
        </is>
      </c>
      <c r="J1091" t="inlineStr">
        <is>
          <t>wmo_natl_met</t>
        </is>
      </c>
      <c r="K1091" t="inlineStr">
        <is>
          <t>https://worldweather.wmo.int</t>
        </is>
      </c>
      <c r="L1091" t="inlineStr">
        <is>
          <t>WMO/National Met: Climate livability composite</t>
        </is>
      </c>
      <c r="M1091" t="inlineStr">
        <is>
          <t>2024-12-31</t>
        </is>
      </c>
      <c r="N1091" t="inlineStr">
        <is>
          <t>auto_seed=climate_composite; 1660 sun hrs, 12C mean</t>
        </is>
      </c>
    </row>
    <row r="1092">
      <c r="A1092" t="inlineStr">
        <is>
          <t>fr-paris</t>
        </is>
      </c>
      <c r="B1092" t="inlineStr">
        <is>
          <t>Paris</t>
        </is>
      </c>
      <c r="C1092" t="inlineStr">
        <is>
          <t>France</t>
        </is>
      </c>
      <c r="D1092" t="inlineStr">
        <is>
          <t>Western and Northern Europe</t>
        </is>
      </c>
      <c r="E1092" t="inlineStr">
        <is>
          <t>healthcare_quality_raw</t>
        </is>
      </c>
      <c r="F1092" t="inlineStr">
        <is>
          <t>Healthcare quality raw</t>
        </is>
      </c>
      <c r="G1092" t="inlineStr">
        <is>
          <t>capability</t>
        </is>
      </c>
      <c r="H1092" t="inlineStr">
        <is>
          <t>yes</t>
        </is>
      </c>
      <c r="I1092" t="inlineStr">
        <is>
          <t>82.0</t>
        </is>
      </c>
      <c r="J1092" t="inlineStr">
        <is>
          <t>who_gho</t>
        </is>
      </c>
      <c r="K1092" t="inlineStr">
        <is>
          <t>https://www.who.int/data/gho/data/indicators/indicator-details/GHO/UHC_INDEX_REPORTED</t>
        </is>
      </c>
      <c r="L1092" t="inlineStr">
        <is>
          <t>WHO GHO: UHC Service Coverage Index</t>
        </is>
      </c>
      <c r="M1092" t="inlineStr">
        <is>
          <t>2023-12-31</t>
        </is>
      </c>
      <c r="N1092" t="inlineStr">
        <is>
          <t>auto_ingest=who_gho; indicator=UHC_INDEX_REPORTED; year=2023; country_proxy=France</t>
        </is>
      </c>
    </row>
    <row r="1093">
      <c r="A1093" t="inlineStr">
        <is>
          <t>fr-paris</t>
        </is>
      </c>
      <c r="B1093" t="inlineStr">
        <is>
          <t>Paris</t>
        </is>
      </c>
      <c r="C1093" t="inlineStr">
        <is>
          <t>France</t>
        </is>
      </c>
      <c r="D1093" t="inlineStr">
        <is>
          <t>Western and Northern Europe</t>
        </is>
      </c>
      <c r="E1093" t="inlineStr">
        <is>
          <t>education_quality_raw</t>
        </is>
      </c>
      <c r="F1093" t="inlineStr">
        <is>
          <t>Education quality raw</t>
        </is>
      </c>
      <c r="G1093" t="inlineStr">
        <is>
          <t>capability</t>
        </is>
      </c>
      <c r="H1093" t="inlineStr">
        <is>
          <t>yes</t>
        </is>
      </c>
      <c r="I1093" t="inlineStr">
        <is>
          <t>70.45</t>
        </is>
      </c>
      <c r="J1093" t="inlineStr">
        <is>
          <t>world_bank</t>
        </is>
      </c>
      <c r="K1093" t="inlineStr">
        <is>
          <t>https://api.worldbank.org/v2/country/FRA/indicator/SE.TER.ENRR?format=json&amp;mrv=10</t>
        </is>
      </c>
      <c r="L1093" t="inlineStr">
        <is>
          <t>World Bank WDI: School enrollment, tertiary (% gross)</t>
        </is>
      </c>
      <c r="M1093" t="inlineStr">
        <is>
          <t>2023-12-31</t>
        </is>
      </c>
      <c r="N1093" t="inlineStr">
        <is>
          <t>auto_ingest=world_bank_proxy; indicator=SE.TER.ENRR; year=2023; country_proxy=France</t>
        </is>
      </c>
    </row>
    <row r="1094">
      <c r="A1094" t="inlineStr">
        <is>
          <t>fr-paris</t>
        </is>
      </c>
      <c r="B1094" t="inlineStr">
        <is>
          <t>Paris</t>
        </is>
      </c>
      <c r="C1094" t="inlineStr">
        <is>
          <t>France</t>
        </is>
      </c>
      <c r="D1094" t="inlineStr">
        <is>
          <t>Western and Northern Europe</t>
        </is>
      </c>
      <c r="E1094" t="inlineStr">
        <is>
          <t>equal_opportunity_raw</t>
        </is>
      </c>
      <c r="F1094" t="inlineStr">
        <is>
          <t>Equal opportunity raw</t>
        </is>
      </c>
      <c r="G1094" t="inlineStr">
        <is>
          <t>capability</t>
        </is>
      </c>
      <c r="H1094" t="inlineStr">
        <is>
          <t>yes</t>
        </is>
      </c>
      <c r="I1094" t="inlineStr">
        <is>
          <t>31.8</t>
        </is>
      </c>
      <c r="J1094" t="inlineStr">
        <is>
          <t>world_bank</t>
        </is>
      </c>
      <c r="K1094" t="inlineStr">
        <is>
          <t>https://api.worldbank.org/v2/country/FRA/indicator/SI.POV.GINI?format=json&amp;mrv=10</t>
        </is>
      </c>
      <c r="L1094" t="inlineStr">
        <is>
          <t>World Bank WDI: Gini index</t>
        </is>
      </c>
      <c r="M1094" t="inlineStr">
        <is>
          <t>2023-12-31</t>
        </is>
      </c>
      <c r="N1094" t="inlineStr">
        <is>
          <t>auto_ingest=world_bank_capability; indicator=SI.POV.GINI; year=2023; country_proxy=France</t>
        </is>
      </c>
    </row>
    <row r="1095">
      <c r="A1095" t="inlineStr">
        <is>
          <t>fr-paris</t>
        </is>
      </c>
      <c r="B1095" t="inlineStr">
        <is>
          <t>Paris</t>
        </is>
      </c>
      <c r="C1095" t="inlineStr">
        <is>
          <t>France</t>
        </is>
      </c>
      <c r="D1095" t="inlineStr">
        <is>
          <t>Western and Northern Europe</t>
        </is>
      </c>
      <c r="E1095" t="inlineStr">
        <is>
          <t>hospitality_belonging_raw</t>
        </is>
      </c>
      <c r="F1095" t="inlineStr">
        <is>
          <t>Hospitality and belonging raw</t>
        </is>
      </c>
      <c r="G1095" t="inlineStr">
        <is>
          <t>community</t>
        </is>
      </c>
      <c r="H1095" t="inlineStr">
        <is>
          <t>yes</t>
        </is>
      </c>
      <c r="I1095" t="inlineStr">
        <is>
          <t>51.34</t>
        </is>
      </c>
      <c r="J1095" t="inlineStr">
        <is>
          <t>world_bank</t>
        </is>
      </c>
      <c r="K1095" t="inlineStr">
        <is>
          <t>https://api.worldbank.org/v2/country/FRA/indicator/SM.POP.NETM?format=json&amp;mrv=10</t>
        </is>
      </c>
      <c r="L1095" t="inlineStr">
        <is>
          <t>World Bank WDI: Net migration (proxy for hospitality/belonging — positive = welcoming)</t>
        </is>
      </c>
      <c r="M1095" t="inlineStr">
        <is>
          <t>2025-12-31</t>
        </is>
      </c>
      <c r="N1095" t="inlineStr">
        <is>
          <t>auto_ingest=world_bank_proxy; proxy=net_migration_hospitality; indicator=SM.POP.NETM; year=2025; country_proxy=France</t>
        </is>
      </c>
    </row>
    <row r="1096">
      <c r="A1096" t="inlineStr">
        <is>
          <t>fr-paris</t>
        </is>
      </c>
      <c r="B1096" t="inlineStr">
        <is>
          <t>Paris</t>
        </is>
      </c>
      <c r="C1096" t="inlineStr">
        <is>
          <t>France</t>
        </is>
      </c>
      <c r="D1096" t="inlineStr">
        <is>
          <t>Western and Northern Europe</t>
        </is>
      </c>
      <c r="E1096" t="inlineStr">
        <is>
          <t>tolerance_pluralism_raw</t>
        </is>
      </c>
      <c r="F1096" t="inlineStr">
        <is>
          <t>Tolerance and pluralism raw</t>
        </is>
      </c>
      <c r="G1096" t="inlineStr">
        <is>
          <t>community</t>
        </is>
      </c>
      <c r="H1096" t="inlineStr">
        <is>
          <t>yes</t>
        </is>
      </c>
      <c r="I1096" t="inlineStr">
        <is>
          <t>36.05</t>
        </is>
      </c>
      <c r="J1096" t="inlineStr">
        <is>
          <t>world_bank</t>
        </is>
      </c>
      <c r="K1096" t="inlineStr">
        <is>
          <t>https://api.worldbank.org/v2/country/FRA/indicator/SG.GEN.PARL.ZS?format=json&amp;mrv=10</t>
        </is>
      </c>
      <c r="L1096" t="inlineStr">
        <is>
          <t>World Bank WDI: Proportion of seats held by women in national parliaments (%)</t>
        </is>
      </c>
      <c r="M1096" t="inlineStr">
        <is>
          <t>2024-12-31</t>
        </is>
      </c>
      <c r="N1096" t="inlineStr">
        <is>
          <t>auto_ingest=world_bank_proxy; proxy=gender_parity_parliament; indicator=SG.GEN.PARL.ZS; year=2024; country_proxy=France</t>
        </is>
      </c>
    </row>
    <row r="1097">
      <c r="A1097" t="inlineStr">
        <is>
          <t>fr-paris</t>
        </is>
      </c>
      <c r="B1097" t="inlineStr">
        <is>
          <t>Paris</t>
        </is>
      </c>
      <c r="C1097" t="inlineStr">
        <is>
          <t>France</t>
        </is>
      </c>
      <c r="D1097" t="inlineStr">
        <is>
          <t>Western and Northern Europe</t>
        </is>
      </c>
      <c r="E1097" t="inlineStr">
        <is>
          <t>cultural_public_life_raw</t>
        </is>
      </c>
      <c r="F1097" t="inlineStr">
        <is>
          <t>Cultural public life raw</t>
        </is>
      </c>
      <c r="G1097" t="inlineStr">
        <is>
          <t>community</t>
        </is>
      </c>
      <c r="H1097" t="inlineStr">
        <is>
          <t>yes</t>
        </is>
      </c>
      <c r="I1097" t="inlineStr">
        <is>
          <t>1708.33</t>
        </is>
      </c>
      <c r="J1097" t="inlineStr">
        <is>
          <t>world_bank</t>
        </is>
      </c>
      <c r="K1097" t="inlineStr">
        <is>
          <t>https://api.worldbank.org/v2/country/FRA/indicator/ST.INT.ARVL?format=json&amp;mrv=10</t>
        </is>
      </c>
      <c r="L1097" t="inlineStr">
        <is>
          <t>World Bank WDI: International tourism arrivals per 1 000 population</t>
        </is>
      </c>
      <c r="M1097" t="inlineStr">
        <is>
          <t>2020-12-31</t>
        </is>
      </c>
      <c r="N1097" t="inlineStr">
        <is>
          <t>auto_ingest=cultural_life_proxy; indicator=ST.INT.ARVL; norm=per_1000_pop; year=2020; country_proxy=France</t>
        </is>
      </c>
    </row>
    <row r="1098">
      <c r="A1098" t="inlineStr">
        <is>
          <t>fr-paris</t>
        </is>
      </c>
      <c r="B1098" t="inlineStr">
        <is>
          <t>Paris</t>
        </is>
      </c>
      <c r="C1098" t="inlineStr">
        <is>
          <t>France</t>
        </is>
      </c>
      <c r="D1098" t="inlineStr">
        <is>
          <t>Western and Northern Europe</t>
        </is>
      </c>
      <c r="E1098" t="inlineStr">
        <is>
          <t>birth_rate_optimism_raw</t>
        </is>
      </c>
      <c r="F1098" t="inlineStr">
        <is>
          <t>Birth rate and societal optimism raw</t>
        </is>
      </c>
      <c r="G1098" t="inlineStr">
        <is>
          <t>community</t>
        </is>
      </c>
      <c r="H1098" t="inlineStr">
        <is>
          <t>yes</t>
        </is>
      </c>
      <c r="I1098" t="inlineStr">
        <is>
          <t>1.68</t>
        </is>
      </c>
      <c r="J1098" t="inlineStr">
        <is>
          <t>world_bank</t>
        </is>
      </c>
      <c r="K1098" t="inlineStr">
        <is>
          <t>https://data.worldbank.org/indicator/SP.DYN.TFRT.IN</t>
        </is>
      </c>
      <c r="L1098" t="inlineStr">
        <is>
          <t>World Bank Total Fertility Rate 2023</t>
        </is>
      </c>
      <c r="M1098" t="inlineStr">
        <is>
          <t>2024-01-01</t>
        </is>
      </c>
      <c r="N1098" t="inlineStr"/>
    </row>
    <row r="1099">
      <c r="A1099" t="inlineStr">
        <is>
          <t>fr-paris</t>
        </is>
      </c>
      <c r="B1099" t="inlineStr">
        <is>
          <t>Paris</t>
        </is>
      </c>
      <c r="C1099" t="inlineStr">
        <is>
          <t>France</t>
        </is>
      </c>
      <c r="D1099" t="inlineStr">
        <is>
          <t>Western and Northern Europe</t>
        </is>
      </c>
      <c r="E1099" t="inlineStr">
        <is>
          <t>entrepreneurial_dynamism_raw</t>
        </is>
      </c>
      <c r="F1099" t="inlineStr">
        <is>
          <t>Entrepreneurial dynamism raw</t>
        </is>
      </c>
      <c r="G1099" t="inlineStr">
        <is>
          <t>creative</t>
        </is>
      </c>
      <c r="H1099" t="inlineStr">
        <is>
          <t>yes</t>
        </is>
      </c>
      <c r="I1099" t="inlineStr">
        <is>
          <t>6.71</t>
        </is>
      </c>
      <c r="J1099" t="inlineStr">
        <is>
          <t>world_bank</t>
        </is>
      </c>
      <c r="K1099" t="inlineStr">
        <is>
          <t>https://api.worldbank.org/v2/country/FRA/indicator/IC.BUS.NDNS.ZS?format=json&amp;mrv=10</t>
        </is>
      </c>
      <c r="L1099" t="inlineStr">
        <is>
          <t>World Bank WDI: New business density (new registrations per 1,000 people ages 15-64)</t>
        </is>
      </c>
      <c r="M1099" t="inlineStr">
        <is>
          <t>2021-12-31</t>
        </is>
      </c>
      <c r="N1099" t="inlineStr">
        <is>
          <t>auto_ingest=world_bank_creative_extended; indicator=IC.BUS.NDNS.ZS; year=2021; country_proxy=France</t>
        </is>
      </c>
    </row>
    <row r="1100">
      <c r="A1100" t="inlineStr">
        <is>
          <t>fr-paris</t>
        </is>
      </c>
      <c r="B1100" t="inlineStr">
        <is>
          <t>Paris</t>
        </is>
      </c>
      <c r="C1100" t="inlineStr">
        <is>
          <t>France</t>
        </is>
      </c>
      <c r="D1100" t="inlineStr">
        <is>
          <t>Western and Northern Europe</t>
        </is>
      </c>
      <c r="E1100" t="inlineStr">
        <is>
          <t>innovation_research_intensity_raw</t>
        </is>
      </c>
      <c r="F1100" t="inlineStr">
        <is>
          <t>Innovation and research raw</t>
        </is>
      </c>
      <c r="G1100" t="inlineStr">
        <is>
          <t>creative</t>
        </is>
      </c>
      <c r="H1100" t="inlineStr">
        <is>
          <t>yes</t>
        </is>
      </c>
      <c r="I1100" t="inlineStr">
        <is>
          <t>2.23</t>
        </is>
      </c>
      <c r="J1100" t="inlineStr">
        <is>
          <t>world_bank</t>
        </is>
      </c>
      <c r="K1100" t="inlineStr">
        <is>
          <t>https://api.worldbank.org/v2/country/FRA/indicator/GB.XPD.RSDV.GD.ZS?format=json&amp;mrv=10</t>
        </is>
      </c>
      <c r="L1100" t="inlineStr">
        <is>
          <t>World Bank WDI: Research and development expenditure (% of GDP)</t>
        </is>
      </c>
      <c r="M1100" t="inlineStr">
        <is>
          <t>2022-12-31</t>
        </is>
      </c>
      <c r="N1100" t="inlineStr">
        <is>
          <t>auto_ingest=world_bank_creative_extended; indicator=GB.XPD.RSDV.GD.ZS; year=2022; country_proxy=France</t>
        </is>
      </c>
    </row>
    <row r="1101">
      <c r="A1101" t="inlineStr">
        <is>
          <t>fr-paris</t>
        </is>
      </c>
      <c r="B1101" t="inlineStr">
        <is>
          <t>Paris</t>
        </is>
      </c>
      <c r="C1101" t="inlineStr">
        <is>
          <t>France</t>
        </is>
      </c>
      <c r="D1101" t="inlineStr">
        <is>
          <t>Western and Northern Europe</t>
        </is>
      </c>
      <c r="E1101" t="inlineStr">
        <is>
          <t>investment_signal_raw</t>
        </is>
      </c>
      <c r="F1101" t="inlineStr">
        <is>
          <t>Investment signal raw</t>
        </is>
      </c>
      <c r="G1101" t="inlineStr">
        <is>
          <t>creative</t>
        </is>
      </c>
      <c r="H1101" t="inlineStr">
        <is>
          <t>yes</t>
        </is>
      </c>
      <c r="I1101" t="inlineStr">
        <is>
          <t>1.65</t>
        </is>
      </c>
      <c r="J1101" t="inlineStr">
        <is>
          <t>world_bank</t>
        </is>
      </c>
      <c r="K1101" t="inlineStr">
        <is>
          <t>https://api.worldbank.org/v2/country/FRA/indicator/BX.KLT.DINV.WD.GD.ZS?format=json&amp;mrv=10</t>
        </is>
      </c>
      <c r="L1101" t="inlineStr">
        <is>
          <t>World Bank WDI: Foreign direct investment, net inflows (% of GDP)</t>
        </is>
      </c>
      <c r="M1101" t="inlineStr">
        <is>
          <t>2024-12-31</t>
        </is>
      </c>
      <c r="N1101" t="inlineStr">
        <is>
          <t>auto_ingest=world_bank_creative_extended; indicator=BX.KLT.DINV.WD.GD.ZS; year=2024; country_proxy=France</t>
        </is>
      </c>
    </row>
    <row r="1102">
      <c r="A1102" t="inlineStr">
        <is>
          <t>fr-paris</t>
        </is>
      </c>
      <c r="B1102" t="inlineStr">
        <is>
          <t>Paris</t>
        </is>
      </c>
      <c r="C1102" t="inlineStr">
        <is>
          <t>France</t>
        </is>
      </c>
      <c r="D1102" t="inlineStr">
        <is>
          <t>Western and Northern Europe</t>
        </is>
      </c>
      <c r="E1102" t="inlineStr">
        <is>
          <t>administrative_investment_friction_raw</t>
        </is>
      </c>
      <c r="F1102" t="inlineStr">
        <is>
          <t>Administrative investment friction raw</t>
        </is>
      </c>
      <c r="G1102" t="inlineStr">
        <is>
          <t>creative</t>
        </is>
      </c>
      <c r="H1102" t="inlineStr">
        <is>
          <t>yes</t>
        </is>
      </c>
      <c r="I1102" t="inlineStr">
        <is>
          <t>1.35</t>
        </is>
      </c>
      <c r="J1102" t="inlineStr">
        <is>
          <t>world_bank</t>
        </is>
      </c>
      <c r="K1102" t="inlineStr">
        <is>
          <t>https://api.worldbank.org/v2/country/FRA/indicator/RQ.EST?format=json&amp;mrv=10</t>
        </is>
      </c>
      <c r="L1102" t="inlineStr">
        <is>
          <t>World Bank WGI: Regulatory Quality (inverted as friction proxy)</t>
        </is>
      </c>
      <c r="M1102" t="inlineStr">
        <is>
          <t>2023-12-31</t>
        </is>
      </c>
      <c r="N1102" t="inlineStr">
        <is>
          <t>auto_ingest=world_bank_business_friction; indicator=RQ.EST; raw_rq=1.15350544452667; friction=1.35; year=2023; country_proxy=France</t>
        </is>
      </c>
    </row>
    <row r="1103">
      <c r="A1103" t="inlineStr">
        <is>
          <t>fr-paris</t>
        </is>
      </c>
      <c r="B1103" t="inlineStr">
        <is>
          <t>Paris</t>
        </is>
      </c>
      <c r="C1103" t="inlineStr">
        <is>
          <t>France</t>
        </is>
      </c>
      <c r="D1103" t="inlineStr">
        <is>
          <t>Western and Northern Europe</t>
        </is>
      </c>
      <c r="E1103" t="inlineStr">
        <is>
          <t>visitor_flow_context_raw</t>
        </is>
      </c>
      <c r="F1103" t="inlineStr">
        <is>
          <t>Visitor flow context raw</t>
        </is>
      </c>
      <c r="G1103" t="inlineStr">
        <is>
          <t>creative</t>
        </is>
      </c>
      <c r="H1103" t="inlineStr">
        <is>
          <t>no</t>
        </is>
      </c>
      <c r="I1103" t="inlineStr"/>
      <c r="J1103" t="inlineStr"/>
      <c r="K1103" t="inlineStr"/>
      <c r="L1103" t="inlineStr"/>
      <c r="M1103" t="inlineStr"/>
      <c r="N1103" t="inlineStr"/>
    </row>
    <row r="1104">
      <c r="A1104" t="inlineStr">
        <is>
          <t>at-vienna</t>
        </is>
      </c>
      <c r="B1104" t="inlineStr">
        <is>
          <t>Vienna</t>
        </is>
      </c>
      <c r="C1104" t="inlineStr">
        <is>
          <t>Austria</t>
        </is>
      </c>
      <c r="D1104" t="inlineStr">
        <is>
          <t>Western and Northern Europe</t>
        </is>
      </c>
      <c r="E1104" t="inlineStr">
        <is>
          <t>gross_income</t>
        </is>
      </c>
      <c r="F1104" t="inlineStr">
        <is>
          <t>Gross income</t>
        </is>
      </c>
      <c r="G1104" t="inlineStr">
        <is>
          <t>pressure</t>
        </is>
      </c>
      <c r="H1104" t="inlineStr">
        <is>
          <t>yes</t>
        </is>
      </c>
      <c r="I1104" t="inlineStr">
        <is>
          <t>6180.0</t>
        </is>
      </c>
      <c r="J1104" t="inlineStr">
        <is>
          <t>world_bank_col_estimate</t>
        </is>
      </c>
      <c r="K1104" t="inlineStr">
        <is>
          <t>https://api.worldbank.org/v2/country/AUT/indicator/NY.GNP.PCAP.PP.CD?format=json&amp;mrv=10</t>
        </is>
      </c>
      <c r="L1104" t="inlineStr">
        <is>
          <t>World Bank WDI: GNI per capita PPP (monthly USD)</t>
        </is>
      </c>
      <c r="M1104" t="inlineStr">
        <is>
          <t>2024-12-31</t>
        </is>
      </c>
      <c r="N1104" t="inlineStr">
        <is>
          <t>auto_ingest=world_bank_col_estimate; gni_annual=74160.0; year=2024; country_proxy=Austria; cohort=Western, Northern, and Southern Europe</t>
        </is>
      </c>
    </row>
    <row r="1105">
      <c r="A1105" t="inlineStr">
        <is>
          <t>at-vienna</t>
        </is>
      </c>
      <c r="B1105" t="inlineStr">
        <is>
          <t>Vienna</t>
        </is>
      </c>
      <c r="C1105" t="inlineStr">
        <is>
          <t>Austria</t>
        </is>
      </c>
      <c r="D1105" t="inlineStr">
        <is>
          <t>Western, Northern, and Southern Europe</t>
        </is>
      </c>
      <c r="E1105" t="inlineStr">
        <is>
          <t>di_ppp_raw</t>
        </is>
      </c>
      <c r="F1105" t="inlineStr">
        <is>
          <t>Disposable income PPP (Raw)</t>
        </is>
      </c>
      <c r="G1105" t="inlineStr">
        <is>
          <t>pressure</t>
        </is>
      </c>
      <c r="H1105" t="inlineStr">
        <is>
          <t>yes</t>
        </is>
      </c>
      <c r="I1105" t="inlineStr"/>
      <c r="J1105" t="inlineStr"/>
      <c r="K1105" t="inlineStr"/>
      <c r="L1105" t="inlineStr"/>
      <c r="M1105" t="inlineStr"/>
      <c r="N1105" t="inlineStr"/>
    </row>
    <row r="1106">
      <c r="A1106" t="inlineStr">
        <is>
          <t>at-vienna</t>
        </is>
      </c>
      <c r="B1106" t="inlineStr">
        <is>
          <t>Vienna</t>
        </is>
      </c>
      <c r="C1106" t="inlineStr">
        <is>
          <t>Austria</t>
        </is>
      </c>
      <c r="D1106" t="inlineStr">
        <is>
          <t>Western and Northern Europe</t>
        </is>
      </c>
      <c r="E1106" t="inlineStr">
        <is>
          <t>rent</t>
        </is>
      </c>
      <c r="F1106" t="inlineStr">
        <is>
          <t>Rent</t>
        </is>
      </c>
      <c r="G1106" t="inlineStr">
        <is>
          <t>pressure</t>
        </is>
      </c>
      <c r="H1106" t="inlineStr">
        <is>
          <t>yes</t>
        </is>
      </c>
      <c r="I1106" t="inlineStr">
        <is>
          <t>2163.0</t>
        </is>
      </c>
      <c r="J1106" t="inlineStr">
        <is>
          <t>world_bank_col_estimate</t>
        </is>
      </c>
      <c r="K1106" t="inlineStr">
        <is>
          <t>https://api.worldbank.org/v2/country/AUT/indicator/NY.GNP.PCAP.PP.CD?format=json&amp;mrv=10</t>
        </is>
      </c>
      <c r="L1106" t="inlineStr">
        <is>
          <t>World Bank GNI + regional expenditure ratio estimate</t>
        </is>
      </c>
      <c r="M1106" t="inlineStr">
        <is>
          <t>2024-12-31</t>
        </is>
      </c>
      <c r="N1106" t="inlineStr">
        <is>
          <t>auto_ingest=world_bank_col_estimate; gni_annual=74160.0; year=2024; country_proxy=Austria; cohort=Western, Northern, and Southern Europe</t>
        </is>
      </c>
    </row>
    <row r="1107">
      <c r="A1107" t="inlineStr">
        <is>
          <t>at-vienna</t>
        </is>
      </c>
      <c r="B1107" t="inlineStr">
        <is>
          <t>Vienna</t>
        </is>
      </c>
      <c r="C1107" t="inlineStr">
        <is>
          <t>Austria</t>
        </is>
      </c>
      <c r="D1107" t="inlineStr">
        <is>
          <t>Western and Northern Europe</t>
        </is>
      </c>
      <c r="E1107" t="inlineStr">
        <is>
          <t>utilities</t>
        </is>
      </c>
      <c r="F1107" t="inlineStr">
        <is>
          <t>Utilities</t>
        </is>
      </c>
      <c r="G1107" t="inlineStr">
        <is>
          <t>pressure</t>
        </is>
      </c>
      <c r="H1107" t="inlineStr">
        <is>
          <t>yes</t>
        </is>
      </c>
      <c r="I1107" t="inlineStr">
        <is>
          <t>432.6</t>
        </is>
      </c>
      <c r="J1107" t="inlineStr">
        <is>
          <t>world_bank_col_estimate</t>
        </is>
      </c>
      <c r="K1107" t="inlineStr">
        <is>
          <t>https://api.worldbank.org/v2/country/AUT/indicator/NY.GNP.PCAP.PP.CD?format=json&amp;mrv=10</t>
        </is>
      </c>
      <c r="L1107" t="inlineStr">
        <is>
          <t>World Bank GNI + regional expenditure ratio estimate</t>
        </is>
      </c>
      <c r="M1107" t="inlineStr">
        <is>
          <t>2024-12-31</t>
        </is>
      </c>
      <c r="N1107" t="inlineStr">
        <is>
          <t>auto_ingest=world_bank_col_estimate; gni_annual=74160.0; year=2024; country_proxy=Austria; cohort=Western, Northern, and Southern Europe</t>
        </is>
      </c>
    </row>
    <row r="1108">
      <c r="A1108" t="inlineStr">
        <is>
          <t>at-vienna</t>
        </is>
      </c>
      <c r="B1108" t="inlineStr">
        <is>
          <t>Vienna</t>
        </is>
      </c>
      <c r="C1108" t="inlineStr">
        <is>
          <t>Austria</t>
        </is>
      </c>
      <c r="D1108" t="inlineStr">
        <is>
          <t>Western and Northern Europe</t>
        </is>
      </c>
      <c r="E1108" t="inlineStr">
        <is>
          <t>transit_cost</t>
        </is>
      </c>
      <c r="F1108" t="inlineStr">
        <is>
          <t>Transit cost</t>
        </is>
      </c>
      <c r="G1108" t="inlineStr">
        <is>
          <t>pressure</t>
        </is>
      </c>
      <c r="H1108" t="inlineStr">
        <is>
          <t>yes</t>
        </is>
      </c>
      <c r="I1108" t="inlineStr">
        <is>
          <t>309.0</t>
        </is>
      </c>
      <c r="J1108" t="inlineStr">
        <is>
          <t>world_bank_col_estimate</t>
        </is>
      </c>
      <c r="K1108" t="inlineStr">
        <is>
          <t>https://api.worldbank.org/v2/country/AUT/indicator/NY.GNP.PCAP.PP.CD?format=json&amp;mrv=10</t>
        </is>
      </c>
      <c r="L1108" t="inlineStr">
        <is>
          <t>World Bank GNI + regional expenditure ratio estimate</t>
        </is>
      </c>
      <c r="M1108" t="inlineStr">
        <is>
          <t>2024-12-31</t>
        </is>
      </c>
      <c r="N1108" t="inlineStr">
        <is>
          <t>auto_ingest=world_bank_col_estimate; gni_annual=74160.0; year=2024; country_proxy=Austria; cohort=Western, Northern, and Southern Europe</t>
        </is>
      </c>
    </row>
    <row r="1109">
      <c r="A1109" t="inlineStr">
        <is>
          <t>at-vienna</t>
        </is>
      </c>
      <c r="B1109" t="inlineStr">
        <is>
          <t>Vienna</t>
        </is>
      </c>
      <c r="C1109" t="inlineStr">
        <is>
          <t>Austria</t>
        </is>
      </c>
      <c r="D1109" t="inlineStr">
        <is>
          <t>Western and Northern Europe</t>
        </is>
      </c>
      <c r="E1109" t="inlineStr">
        <is>
          <t>internet_cost</t>
        </is>
      </c>
      <c r="F1109" t="inlineStr">
        <is>
          <t>Internet cost</t>
        </is>
      </c>
      <c r="G1109" t="inlineStr">
        <is>
          <t>pressure</t>
        </is>
      </c>
      <c r="H1109" t="inlineStr">
        <is>
          <t>yes</t>
        </is>
      </c>
      <c r="I1109" t="inlineStr">
        <is>
          <t>92.7</t>
        </is>
      </c>
      <c r="J1109" t="inlineStr">
        <is>
          <t>world_bank_col_estimate</t>
        </is>
      </c>
      <c r="K1109" t="inlineStr">
        <is>
          <t>https://api.worldbank.org/v2/country/AUT/indicator/NY.GNP.PCAP.PP.CD?format=json&amp;mrv=10</t>
        </is>
      </c>
      <c r="L1109" t="inlineStr">
        <is>
          <t>World Bank GNI + regional expenditure ratio estimate</t>
        </is>
      </c>
      <c r="M1109" t="inlineStr">
        <is>
          <t>2024-12-31</t>
        </is>
      </c>
      <c r="N1109" t="inlineStr">
        <is>
          <t>auto_ingest=world_bank_col_estimate; gni_annual=74160.0; year=2024; country_proxy=Austria; cohort=Western, Northern, and Southern Europe</t>
        </is>
      </c>
    </row>
    <row r="1110">
      <c r="A1110" t="inlineStr">
        <is>
          <t>at-vienna</t>
        </is>
      </c>
      <c r="B1110" t="inlineStr">
        <is>
          <t>Vienna</t>
        </is>
      </c>
      <c r="C1110" t="inlineStr">
        <is>
          <t>Austria</t>
        </is>
      </c>
      <c r="D1110" t="inlineStr">
        <is>
          <t>Western and Northern Europe</t>
        </is>
      </c>
      <c r="E1110" t="inlineStr">
        <is>
          <t>food_cost</t>
        </is>
      </c>
      <c r="F1110" t="inlineStr">
        <is>
          <t>Food cost</t>
        </is>
      </c>
      <c r="G1110" t="inlineStr">
        <is>
          <t>pressure</t>
        </is>
      </c>
      <c r="H1110" t="inlineStr">
        <is>
          <t>yes</t>
        </is>
      </c>
      <c r="I1110" t="inlineStr">
        <is>
          <t>927.0</t>
        </is>
      </c>
      <c r="J1110" t="inlineStr">
        <is>
          <t>world_bank_col_estimate</t>
        </is>
      </c>
      <c r="K1110" t="inlineStr">
        <is>
          <t>https://api.worldbank.org/v2/country/AUT/indicator/NY.GNP.PCAP.PP.CD?format=json&amp;mrv=10</t>
        </is>
      </c>
      <c r="L1110" t="inlineStr">
        <is>
          <t>World Bank GNI + regional expenditure ratio estimate</t>
        </is>
      </c>
      <c r="M1110" t="inlineStr">
        <is>
          <t>2024-12-31</t>
        </is>
      </c>
      <c r="N1110" t="inlineStr">
        <is>
          <t>auto_ingest=world_bank_col_estimate; gni_annual=74160.0; year=2024; country_proxy=Austria; cohort=Western, Northern, and Southern Europe</t>
        </is>
      </c>
    </row>
    <row r="1111">
      <c r="A1111" t="inlineStr">
        <is>
          <t>at-vienna</t>
        </is>
      </c>
      <c r="B1111" t="inlineStr">
        <is>
          <t>Vienna</t>
        </is>
      </c>
      <c r="C1111" t="inlineStr">
        <is>
          <t>Austria</t>
        </is>
      </c>
      <c r="D1111" t="inlineStr">
        <is>
          <t>Western and Northern Europe</t>
        </is>
      </c>
      <c r="E1111" t="inlineStr">
        <is>
          <t>housing_burden_raw</t>
        </is>
      </c>
      <c r="F1111" t="inlineStr">
        <is>
          <t>Housing burden raw</t>
        </is>
      </c>
      <c r="G1111" t="inlineStr">
        <is>
          <t>pressure</t>
        </is>
      </c>
      <c r="H1111" t="inlineStr">
        <is>
          <t>yes</t>
        </is>
      </c>
      <c r="I1111" t="inlineStr">
        <is>
          <t>35.0</t>
        </is>
      </c>
      <c r="J1111" t="inlineStr">
        <is>
          <t>derived</t>
        </is>
      </c>
      <c r="K1111" t="inlineStr">
        <is>
          <t>https://data.worldbank.org/indicator/NY.GNP.PCAP.PP.CD</t>
        </is>
      </c>
      <c r="L1111" t="inlineStr">
        <is>
          <t>Computed from city_inputs + country_context</t>
        </is>
      </c>
      <c r="M1111" t="inlineStr">
        <is>
          <t>2024-01-01</t>
        </is>
      </c>
      <c r="N1111" t="inlineStr">
        <is>
          <t>derived=rent/gross_income*100</t>
        </is>
      </c>
    </row>
    <row r="1112">
      <c r="A1112" t="inlineStr">
        <is>
          <t>at-vienna</t>
        </is>
      </c>
      <c r="B1112" t="inlineStr">
        <is>
          <t>Vienna</t>
        </is>
      </c>
      <c r="C1112" t="inlineStr">
        <is>
          <t>Austria</t>
        </is>
      </c>
      <c r="D1112" t="inlineStr">
        <is>
          <t>Western and Northern Europe</t>
        </is>
      </c>
      <c r="E1112" t="inlineStr">
        <is>
          <t>household_debt_burden_raw</t>
        </is>
      </c>
      <c r="F1112" t="inlineStr">
        <is>
          <t>Household debt burden raw</t>
        </is>
      </c>
      <c r="G1112" t="inlineStr">
        <is>
          <t>pressure</t>
        </is>
      </c>
      <c r="H1112" t="inlineStr">
        <is>
          <t>yes</t>
        </is>
      </c>
      <c r="I1112" t="inlineStr">
        <is>
          <t>81.4953</t>
        </is>
      </c>
      <c r="J1112" t="inlineStr">
        <is>
          <t>derived</t>
        </is>
      </c>
      <c r="K1112" t="inlineStr">
        <is>
          <t>https://data.worldbank.org/indicator/NY.GNP.PCAP.PP.CD</t>
        </is>
      </c>
      <c r="L1112" t="inlineStr">
        <is>
          <t>Computed from city_inputs + country_context</t>
        </is>
      </c>
      <c r="M1112" t="inlineStr">
        <is>
          <t>2024-01-01</t>
        </is>
      </c>
      <c r="N1112" t="inlineStr">
        <is>
          <t>derived=country_context.household_debt_proxy; country=Austria</t>
        </is>
      </c>
    </row>
    <row r="1113">
      <c r="A1113" t="inlineStr">
        <is>
          <t>at-vienna</t>
        </is>
      </c>
      <c r="B1113" t="inlineStr">
        <is>
          <t>Vienna</t>
        </is>
      </c>
      <c r="C1113" t="inlineStr">
        <is>
          <t>Austria</t>
        </is>
      </c>
      <c r="D1113" t="inlineStr">
        <is>
          <t>Western and Northern Europe</t>
        </is>
      </c>
      <c r="E1113" t="inlineStr">
        <is>
          <t>working_time_pressure_raw</t>
        </is>
      </c>
      <c r="F1113" t="inlineStr">
        <is>
          <t>Working time pressure raw</t>
        </is>
      </c>
      <c r="G1113" t="inlineStr">
        <is>
          <t>pressure</t>
        </is>
      </c>
      <c r="H1113" t="inlineStr">
        <is>
          <t>yes</t>
        </is>
      </c>
      <c r="I1113" t="inlineStr">
        <is>
          <t>33.41</t>
        </is>
      </c>
      <c r="J1113" t="inlineStr">
        <is>
          <t>ilo_ilostat</t>
        </is>
      </c>
      <c r="K1113" t="inlineStr">
        <is>
          <t>https://ilostat.ilo.org/data/indicator/?id=HOW_TEMP_SEX_ECO_NB_A&amp;ref_area=AUT</t>
        </is>
      </c>
      <c r="L1113" t="inlineStr">
        <is>
          <t>ILO ILOSTAT: Mean weekly hours actually worked per employed person</t>
        </is>
      </c>
      <c r="M1113" t="inlineStr">
        <is>
          <t>2024-12-31</t>
        </is>
      </c>
      <c r="N1113" t="inlineStr">
        <is>
          <t>auto_ingest=ilo_working_hours; indicator=HOW_TEMP_SEX_ECO_NB_A; year=2024; hours=33.41; country_proxy=Austria</t>
        </is>
      </c>
    </row>
    <row r="1114">
      <c r="A1114" t="inlineStr">
        <is>
          <t>at-vienna</t>
        </is>
      </c>
      <c r="B1114" t="inlineStr">
        <is>
          <t>Vienna</t>
        </is>
      </c>
      <c r="C1114" t="inlineStr">
        <is>
          <t>Austria</t>
        </is>
      </c>
      <c r="D1114" t="inlineStr">
        <is>
          <t>Western and Northern Europe</t>
        </is>
      </c>
      <c r="E1114" t="inlineStr">
        <is>
          <t>suicide_mental_strain_raw</t>
        </is>
      </c>
      <c r="F1114" t="inlineStr">
        <is>
          <t>Suicide or mental strain raw</t>
        </is>
      </c>
      <c r="G1114" t="inlineStr">
        <is>
          <t>pressure</t>
        </is>
      </c>
      <c r="H1114" t="inlineStr">
        <is>
          <t>yes</t>
        </is>
      </c>
      <c r="I1114" t="inlineStr">
        <is>
          <t>14.51</t>
        </is>
      </c>
      <c r="J1114" t="inlineStr">
        <is>
          <t>who_gho</t>
        </is>
      </c>
      <c r="K1114" t="inlineStr">
        <is>
          <t>https://www.who.int/data/gho/data/indicators/indicator-details/GHO/SDGSUICIDE</t>
        </is>
      </c>
      <c r="L1114" t="inlineStr">
        <is>
          <t>WHO GHO: Age-standardized suicide rate (per 100,000 population)</t>
        </is>
      </c>
      <c r="M1114" t="inlineStr">
        <is>
          <t>2021-12-31</t>
        </is>
      </c>
      <c r="N1114" t="inlineStr">
        <is>
          <t>auto_ingest=who_gho; indicator=SDGSUICIDE; year=2021; country_proxy=Austria</t>
        </is>
      </c>
    </row>
    <row r="1115">
      <c r="A1115" t="inlineStr">
        <is>
          <t>at-vienna</t>
        </is>
      </c>
      <c r="B1115" t="inlineStr">
        <is>
          <t>Vienna</t>
        </is>
      </c>
      <c r="C1115" t="inlineStr">
        <is>
          <t>Austria</t>
        </is>
      </c>
      <c r="D1115" t="inlineStr">
        <is>
          <t>Western and Northern Europe</t>
        </is>
      </c>
      <c r="E1115" t="inlineStr">
        <is>
          <t>personal_safety_raw</t>
        </is>
      </c>
      <c r="F1115" t="inlineStr">
        <is>
          <t>Personal safety raw</t>
        </is>
      </c>
      <c r="G1115" t="inlineStr">
        <is>
          <t>viability</t>
        </is>
      </c>
      <c r="H1115" t="inlineStr">
        <is>
          <t>yes</t>
        </is>
      </c>
      <c r="I1115" t="inlineStr">
        <is>
          <t>0.88</t>
        </is>
      </c>
      <c r="J1115" t="inlineStr">
        <is>
          <t>world_bank</t>
        </is>
      </c>
      <c r="K1115" t="inlineStr">
        <is>
          <t>https://api.worldbank.org/v2/country/AUT/indicator/VC.IHR.PSRC.P5?format=json&amp;mrv=10</t>
        </is>
      </c>
      <c r="L1115" t="inlineStr">
        <is>
          <t>UNODC via World Bank WDI: Intentional homicides (per 100,000 people)</t>
        </is>
      </c>
      <c r="M1115" t="inlineStr">
        <is>
          <t>2023-12-31</t>
        </is>
      </c>
      <c r="N1115" t="inlineStr">
        <is>
          <t>auto_ingest=unodc_safety; indicator=VC.IHR.PSRC.P5; year=2023; country_proxy=Austria</t>
        </is>
      </c>
    </row>
    <row r="1116">
      <c r="A1116" t="inlineStr">
        <is>
          <t>at-vienna</t>
        </is>
      </c>
      <c r="B1116" t="inlineStr">
        <is>
          <t>Vienna</t>
        </is>
      </c>
      <c r="C1116" t="inlineStr">
        <is>
          <t>Austria</t>
        </is>
      </c>
      <c r="D1116" t="inlineStr">
        <is>
          <t>Western and Northern Europe</t>
        </is>
      </c>
      <c r="E1116" t="inlineStr">
        <is>
          <t>transit_access_commute_raw</t>
        </is>
      </c>
      <c r="F1116" t="inlineStr">
        <is>
          <t>Transit access and commute raw</t>
        </is>
      </c>
      <c r="G1116" t="inlineStr">
        <is>
          <t>viability</t>
        </is>
      </c>
      <c r="H1116" t="inlineStr">
        <is>
          <t>yes</t>
        </is>
      </c>
      <c r="I1116" t="inlineStr"/>
      <c r="J1116" t="inlineStr"/>
      <c r="K1116" t="inlineStr"/>
      <c r="L1116" t="inlineStr"/>
      <c r="M1116" t="inlineStr"/>
      <c r="N1116" t="inlineStr"/>
    </row>
    <row r="1117">
      <c r="A1117" t="inlineStr">
        <is>
          <t>at-vienna</t>
        </is>
      </c>
      <c r="B1117" t="inlineStr">
        <is>
          <t>Vienna</t>
        </is>
      </c>
      <c r="C1117" t="inlineStr">
        <is>
          <t>Austria</t>
        </is>
      </c>
      <c r="D1117" t="inlineStr">
        <is>
          <t>Western and Northern Europe</t>
        </is>
      </c>
      <c r="E1117" t="inlineStr">
        <is>
          <t>clean_air_raw</t>
        </is>
      </c>
      <c r="F1117" t="inlineStr">
        <is>
          <t>Clean air raw</t>
        </is>
      </c>
      <c r="G1117" t="inlineStr">
        <is>
          <t>viability</t>
        </is>
      </c>
      <c r="H1117" t="inlineStr">
        <is>
          <t>yes</t>
        </is>
      </c>
      <c r="I1117" t="inlineStr"/>
      <c r="J1117" t="inlineStr"/>
      <c r="K1117" t="inlineStr"/>
      <c r="L1117" t="inlineStr"/>
      <c r="M1117" t="inlineStr"/>
      <c r="N1117" t="inlineStr"/>
    </row>
    <row r="1118">
      <c r="A1118" t="inlineStr">
        <is>
          <t>at-vienna</t>
        </is>
      </c>
      <c r="B1118" t="inlineStr">
        <is>
          <t>Vienna</t>
        </is>
      </c>
      <c r="C1118" t="inlineStr">
        <is>
          <t>Austria</t>
        </is>
      </c>
      <c r="D1118" t="inlineStr">
        <is>
          <t>Western and Northern Europe</t>
        </is>
      </c>
      <c r="E1118" t="inlineStr">
        <is>
          <t>water_sanitation_utility_raw</t>
        </is>
      </c>
      <c r="F1118" t="inlineStr">
        <is>
          <t>Water, sanitation, and utility raw</t>
        </is>
      </c>
      <c r="G1118" t="inlineStr">
        <is>
          <t>viability</t>
        </is>
      </c>
      <c r="H1118" t="inlineStr">
        <is>
          <t>yes</t>
        </is>
      </c>
      <c r="I1118" t="inlineStr">
        <is>
          <t>98.89</t>
        </is>
      </c>
      <c r="J1118" t="inlineStr">
        <is>
          <t>world_bank</t>
        </is>
      </c>
      <c r="K1118" t="inlineStr">
        <is>
          <t>https://api.worldbank.org/v2/country/AUT/indicator/SH.H2O.SMDW.ZS?format=json&amp;mrv=10</t>
        </is>
      </c>
      <c r="L1118" t="inlineStr">
        <is>
          <t>World Bank WDI: People using safely managed drinking water services (% of population)</t>
        </is>
      </c>
      <c r="M1118" t="inlineStr">
        <is>
          <t>2024-12-31</t>
        </is>
      </c>
      <c r="N1118" t="inlineStr">
        <is>
          <t>auto_ingest=world_bank_proxy; indicator=SH.H2O.SMDW.ZS; year=2024; country_proxy=Austria</t>
        </is>
      </c>
    </row>
    <row r="1119">
      <c r="A1119" t="inlineStr">
        <is>
          <t>at-vienna</t>
        </is>
      </c>
      <c r="B1119" t="inlineStr">
        <is>
          <t>Vienna</t>
        </is>
      </c>
      <c r="C1119" t="inlineStr">
        <is>
          <t>Austria</t>
        </is>
      </c>
      <c r="D1119" t="inlineStr">
        <is>
          <t>Western and Northern Europe</t>
        </is>
      </c>
      <c r="E1119" t="inlineStr">
        <is>
          <t>digital_infrastructure_raw</t>
        </is>
      </c>
      <c r="F1119" t="inlineStr">
        <is>
          <t>Digital infrastructure raw</t>
        </is>
      </c>
      <c r="G1119" t="inlineStr">
        <is>
          <t>viability</t>
        </is>
      </c>
      <c r="H1119" t="inlineStr">
        <is>
          <t>yes</t>
        </is>
      </c>
      <c r="I1119" t="inlineStr">
        <is>
          <t>29.37</t>
        </is>
      </c>
      <c r="J1119" t="inlineStr">
        <is>
          <t>world_bank</t>
        </is>
      </c>
      <c r="K1119" t="inlineStr">
        <is>
          <t>https://api.worldbank.org/v2/country/AUT/indicator/IT.NET.BBND.P2?format=json&amp;mrv=10</t>
        </is>
      </c>
      <c r="L1119" t="inlineStr">
        <is>
          <t>World Bank WDI: Fixed broadband subscriptions (per 100 people)</t>
        </is>
      </c>
      <c r="M1119" t="inlineStr">
        <is>
          <t>2023-12-31</t>
        </is>
      </c>
      <c r="N1119" t="inlineStr">
        <is>
          <t>auto_ingest=world_bank_proxy; indicator=IT.NET.BBND.P2; year=2023; country_proxy=Austria</t>
        </is>
      </c>
    </row>
    <row r="1120">
      <c r="A1120" t="inlineStr">
        <is>
          <t>at-vienna</t>
        </is>
      </c>
      <c r="B1120" t="inlineStr">
        <is>
          <t>Vienna</t>
        </is>
      </c>
      <c r="C1120" t="inlineStr">
        <is>
          <t>Austria</t>
        </is>
      </c>
      <c r="D1120" t="inlineStr">
        <is>
          <t>Western and Northern Europe</t>
        </is>
      </c>
      <c r="E1120" t="inlineStr">
        <is>
          <t>climate_sunlight_livability_raw</t>
        </is>
      </c>
      <c r="F1120" t="inlineStr">
        <is>
          <t>Climate and sunlight livability raw</t>
        </is>
      </c>
      <c r="G1120" t="inlineStr">
        <is>
          <t>viability</t>
        </is>
      </c>
      <c r="H1120" t="inlineStr">
        <is>
          <t>yes</t>
        </is>
      </c>
      <c r="I1120" t="inlineStr">
        <is>
          <t>52</t>
        </is>
      </c>
      <c r="J1120" t="inlineStr">
        <is>
          <t>wmo_natl_met</t>
        </is>
      </c>
      <c r="K1120" t="inlineStr">
        <is>
          <t>https://worldweather.wmo.int</t>
        </is>
      </c>
      <c r="L1120" t="inlineStr">
        <is>
          <t>WMO/National Met: Climate livability composite</t>
        </is>
      </c>
      <c r="M1120" t="inlineStr">
        <is>
          <t>2024-12-31</t>
        </is>
      </c>
      <c r="N1120" t="inlineStr">
        <is>
          <t>auto_seed=climate_composite; 1900 sun hrs, 11C mean, four seasons</t>
        </is>
      </c>
    </row>
    <row r="1121">
      <c r="A1121" t="inlineStr">
        <is>
          <t>at-vienna</t>
        </is>
      </c>
      <c r="B1121" t="inlineStr">
        <is>
          <t>Vienna</t>
        </is>
      </c>
      <c r="C1121" t="inlineStr">
        <is>
          <t>Austria</t>
        </is>
      </c>
      <c r="D1121" t="inlineStr">
        <is>
          <t>Western and Northern Europe</t>
        </is>
      </c>
      <c r="E1121" t="inlineStr">
        <is>
          <t>healthcare_quality_raw</t>
        </is>
      </c>
      <c r="F1121" t="inlineStr">
        <is>
          <t>Healthcare quality raw</t>
        </is>
      </c>
      <c r="G1121" t="inlineStr">
        <is>
          <t>capability</t>
        </is>
      </c>
      <c r="H1121" t="inlineStr">
        <is>
          <t>yes</t>
        </is>
      </c>
      <c r="I1121" t="inlineStr">
        <is>
          <t>84.0</t>
        </is>
      </c>
      <c r="J1121" t="inlineStr">
        <is>
          <t>who_gho</t>
        </is>
      </c>
      <c r="K1121" t="inlineStr">
        <is>
          <t>https://www.who.int/data/gho/data/indicators/indicator-details/GHO/UHC_INDEX_REPORTED</t>
        </is>
      </c>
      <c r="L1121" t="inlineStr">
        <is>
          <t>WHO GHO: UHC Service Coverage Index</t>
        </is>
      </c>
      <c r="M1121" t="inlineStr">
        <is>
          <t>2023-12-31</t>
        </is>
      </c>
      <c r="N1121" t="inlineStr">
        <is>
          <t>auto_ingest=who_gho; indicator=UHC_INDEX_REPORTED; year=2023; country_proxy=Austria</t>
        </is>
      </c>
    </row>
    <row r="1122">
      <c r="A1122" t="inlineStr">
        <is>
          <t>at-vienna</t>
        </is>
      </c>
      <c r="B1122" t="inlineStr">
        <is>
          <t>Vienna</t>
        </is>
      </c>
      <c r="C1122" t="inlineStr">
        <is>
          <t>Austria</t>
        </is>
      </c>
      <c r="D1122" t="inlineStr">
        <is>
          <t>Western and Northern Europe</t>
        </is>
      </c>
      <c r="E1122" t="inlineStr">
        <is>
          <t>education_quality_raw</t>
        </is>
      </c>
      <c r="F1122" t="inlineStr">
        <is>
          <t>Education quality raw</t>
        </is>
      </c>
      <c r="G1122" t="inlineStr">
        <is>
          <t>capability</t>
        </is>
      </c>
      <c r="H1122" t="inlineStr">
        <is>
          <t>yes</t>
        </is>
      </c>
      <c r="I1122" t="inlineStr">
        <is>
          <t>91.68</t>
        </is>
      </c>
      <c r="J1122" t="inlineStr">
        <is>
          <t>world_bank</t>
        </is>
      </c>
      <c r="K1122" t="inlineStr">
        <is>
          <t>https://api.worldbank.org/v2/country/AUT/indicator/SE.TER.ENRR?format=json&amp;mrv=10</t>
        </is>
      </c>
      <c r="L1122" t="inlineStr">
        <is>
          <t>World Bank WDI: School enrollment, tertiary (% gross)</t>
        </is>
      </c>
      <c r="M1122" t="inlineStr">
        <is>
          <t>2023-12-31</t>
        </is>
      </c>
      <c r="N1122" t="inlineStr">
        <is>
          <t>auto_ingest=world_bank_proxy; indicator=SE.TER.ENRR; year=2023; country_proxy=Austria</t>
        </is>
      </c>
    </row>
    <row r="1123">
      <c r="A1123" t="inlineStr">
        <is>
          <t>at-vienna</t>
        </is>
      </c>
      <c r="B1123" t="inlineStr">
        <is>
          <t>Vienna</t>
        </is>
      </c>
      <c r="C1123" t="inlineStr">
        <is>
          <t>Austria</t>
        </is>
      </c>
      <c r="D1123" t="inlineStr">
        <is>
          <t>Western and Northern Europe</t>
        </is>
      </c>
      <c r="E1123" t="inlineStr">
        <is>
          <t>equal_opportunity_raw</t>
        </is>
      </c>
      <c r="F1123" t="inlineStr">
        <is>
          <t>Equal opportunity raw</t>
        </is>
      </c>
      <c r="G1123" t="inlineStr">
        <is>
          <t>capability</t>
        </is>
      </c>
      <c r="H1123" t="inlineStr">
        <is>
          <t>yes</t>
        </is>
      </c>
      <c r="I1123" t="inlineStr">
        <is>
          <t>31.2</t>
        </is>
      </c>
      <c r="J1123" t="inlineStr">
        <is>
          <t>world_bank</t>
        </is>
      </c>
      <c r="K1123" t="inlineStr">
        <is>
          <t>https://api.worldbank.org/v2/country/AUT/indicator/SI.POV.GINI?format=json&amp;mrv=10</t>
        </is>
      </c>
      <c r="L1123" t="inlineStr">
        <is>
          <t>World Bank WDI: Gini index</t>
        </is>
      </c>
      <c r="M1123" t="inlineStr">
        <is>
          <t>2023-12-31</t>
        </is>
      </c>
      <c r="N1123" t="inlineStr">
        <is>
          <t>auto_ingest=world_bank_capability; indicator=SI.POV.GINI; year=2023; country_proxy=Austria</t>
        </is>
      </c>
    </row>
    <row r="1124">
      <c r="A1124" t="inlineStr">
        <is>
          <t>at-vienna</t>
        </is>
      </c>
      <c r="B1124" t="inlineStr">
        <is>
          <t>Vienna</t>
        </is>
      </c>
      <c r="C1124" t="inlineStr">
        <is>
          <t>Austria</t>
        </is>
      </c>
      <c r="D1124" t="inlineStr">
        <is>
          <t>Western and Northern Europe</t>
        </is>
      </c>
      <c r="E1124" t="inlineStr">
        <is>
          <t>hospitality_belonging_raw</t>
        </is>
      </c>
      <c r="F1124" t="inlineStr">
        <is>
          <t>Hospitality and belonging raw</t>
        </is>
      </c>
      <c r="G1124" t="inlineStr">
        <is>
          <t>community</t>
        </is>
      </c>
      <c r="H1124" t="inlineStr">
        <is>
          <t>yes</t>
        </is>
      </c>
      <c r="I1124" t="inlineStr">
        <is>
          <t>51.23</t>
        </is>
      </c>
      <c r="J1124" t="inlineStr">
        <is>
          <t>world_bank</t>
        </is>
      </c>
      <c r="K1124" t="inlineStr">
        <is>
          <t>https://api.worldbank.org/v2/country/AUT/indicator/SM.POP.NETM?format=json&amp;mrv=10</t>
        </is>
      </c>
      <c r="L1124" t="inlineStr">
        <is>
          <t>World Bank WDI: Net migration (proxy for hospitality/belonging — positive = welcoming)</t>
        </is>
      </c>
      <c r="M1124" t="inlineStr">
        <is>
          <t>2025-12-31</t>
        </is>
      </c>
      <c r="N1124" t="inlineStr">
        <is>
          <t>auto_ingest=world_bank_proxy; proxy=net_migration_hospitality; indicator=SM.POP.NETM; year=2025; country_proxy=Austria</t>
        </is>
      </c>
    </row>
    <row r="1125">
      <c r="A1125" t="inlineStr">
        <is>
          <t>at-vienna</t>
        </is>
      </c>
      <c r="B1125" t="inlineStr">
        <is>
          <t>Vienna</t>
        </is>
      </c>
      <c r="C1125" t="inlineStr">
        <is>
          <t>Austria</t>
        </is>
      </c>
      <c r="D1125" t="inlineStr">
        <is>
          <t>Western and Northern Europe</t>
        </is>
      </c>
      <c r="E1125" t="inlineStr">
        <is>
          <t>tolerance_pluralism_raw</t>
        </is>
      </c>
      <c r="F1125" t="inlineStr">
        <is>
          <t>Tolerance and pluralism raw</t>
        </is>
      </c>
      <c r="G1125" t="inlineStr">
        <is>
          <t>community</t>
        </is>
      </c>
      <c r="H1125" t="inlineStr">
        <is>
          <t>yes</t>
        </is>
      </c>
      <c r="I1125" t="inlineStr">
        <is>
          <t>36.07</t>
        </is>
      </c>
      <c r="J1125" t="inlineStr">
        <is>
          <t>world_bank</t>
        </is>
      </c>
      <c r="K1125" t="inlineStr">
        <is>
          <t>https://api.worldbank.org/v2/country/AUT/indicator/SG.GEN.PARL.ZS?format=json&amp;mrv=10</t>
        </is>
      </c>
      <c r="L1125" t="inlineStr">
        <is>
          <t>World Bank WDI: Proportion of seats held by women in national parliaments (%)</t>
        </is>
      </c>
      <c r="M1125" t="inlineStr">
        <is>
          <t>2024-12-31</t>
        </is>
      </c>
      <c r="N1125" t="inlineStr">
        <is>
          <t>auto_ingest=world_bank_proxy; proxy=gender_parity_parliament; indicator=SG.GEN.PARL.ZS; year=2024; country_proxy=Austria</t>
        </is>
      </c>
    </row>
    <row r="1126">
      <c r="A1126" t="inlineStr">
        <is>
          <t>at-vienna</t>
        </is>
      </c>
      <c r="B1126" t="inlineStr">
        <is>
          <t>Vienna</t>
        </is>
      </c>
      <c r="C1126" t="inlineStr">
        <is>
          <t>Austria</t>
        </is>
      </c>
      <c r="D1126" t="inlineStr">
        <is>
          <t>Western and Northern Europe</t>
        </is>
      </c>
      <c r="E1126" t="inlineStr">
        <is>
          <t>cultural_public_life_raw</t>
        </is>
      </c>
      <c r="F1126" t="inlineStr">
        <is>
          <t>Cultural public life raw</t>
        </is>
      </c>
      <c r="G1126" t="inlineStr">
        <is>
          <t>community</t>
        </is>
      </c>
      <c r="H1126" t="inlineStr">
        <is>
          <t>yes</t>
        </is>
      </c>
      <c r="I1126" t="inlineStr">
        <is>
          <t>1644.26</t>
        </is>
      </c>
      <c r="J1126" t="inlineStr">
        <is>
          <t>world_bank</t>
        </is>
      </c>
      <c r="K1126" t="inlineStr">
        <is>
          <t>https://api.worldbank.org/v2/country/AUT/indicator/ST.INT.ARVL?format=json&amp;mrv=10</t>
        </is>
      </c>
      <c r="L1126" t="inlineStr">
        <is>
          <t>World Bank WDI: International tourism arrivals per 1 000 population</t>
        </is>
      </c>
      <c r="M1126" t="inlineStr">
        <is>
          <t>2020-12-31</t>
        </is>
      </c>
      <c r="N1126" t="inlineStr">
        <is>
          <t>auto_ingest=cultural_life_proxy; indicator=ST.INT.ARVL; norm=per_1000_pop; year=2020; country_proxy=Austria</t>
        </is>
      </c>
    </row>
    <row r="1127">
      <c r="A1127" t="inlineStr">
        <is>
          <t>at-vienna</t>
        </is>
      </c>
      <c r="B1127" t="inlineStr">
        <is>
          <t>Vienna</t>
        </is>
      </c>
      <c r="C1127" t="inlineStr">
        <is>
          <t>Austria</t>
        </is>
      </c>
      <c r="D1127" t="inlineStr">
        <is>
          <t>Western and Northern Europe</t>
        </is>
      </c>
      <c r="E1127" t="inlineStr">
        <is>
          <t>birth_rate_optimism_raw</t>
        </is>
      </c>
      <c r="F1127" t="inlineStr">
        <is>
          <t>Birth rate and societal optimism raw</t>
        </is>
      </c>
      <c r="G1127" t="inlineStr">
        <is>
          <t>community</t>
        </is>
      </c>
      <c r="H1127" t="inlineStr">
        <is>
          <t>yes</t>
        </is>
      </c>
      <c r="I1127" t="inlineStr">
        <is>
          <t>1.41</t>
        </is>
      </c>
      <c r="J1127" t="inlineStr">
        <is>
          <t>world_bank</t>
        </is>
      </c>
      <c r="K1127" t="inlineStr">
        <is>
          <t>https://data.worldbank.org/indicator/SP.DYN.TFRT.IN</t>
        </is>
      </c>
      <c r="L1127" t="inlineStr">
        <is>
          <t>World Bank Total Fertility Rate 2023</t>
        </is>
      </c>
      <c r="M1127" t="inlineStr">
        <is>
          <t>2024-01-01</t>
        </is>
      </c>
      <c r="N1127" t="inlineStr"/>
    </row>
    <row r="1128">
      <c r="A1128" t="inlineStr">
        <is>
          <t>at-vienna</t>
        </is>
      </c>
      <c r="B1128" t="inlineStr">
        <is>
          <t>Vienna</t>
        </is>
      </c>
      <c r="C1128" t="inlineStr">
        <is>
          <t>Austria</t>
        </is>
      </c>
      <c r="D1128" t="inlineStr">
        <is>
          <t>Western and Northern Europe</t>
        </is>
      </c>
      <c r="E1128" t="inlineStr">
        <is>
          <t>entrepreneurial_dynamism_raw</t>
        </is>
      </c>
      <c r="F1128" t="inlineStr">
        <is>
          <t>Entrepreneurial dynamism raw</t>
        </is>
      </c>
      <c r="G1128" t="inlineStr">
        <is>
          <t>creative</t>
        </is>
      </c>
      <c r="H1128" t="inlineStr">
        <is>
          <t>yes</t>
        </is>
      </c>
      <c r="I1128" t="inlineStr">
        <is>
          <t>0.95</t>
        </is>
      </c>
      <c r="J1128" t="inlineStr">
        <is>
          <t>world_bank</t>
        </is>
      </c>
      <c r="K1128" t="inlineStr">
        <is>
          <t>https://api.worldbank.org/v2/country/AUT/indicator/IC.BUS.NDNS.ZS?format=json&amp;mrv=10</t>
        </is>
      </c>
      <c r="L1128" t="inlineStr">
        <is>
          <t>World Bank WDI: New business density (new registrations per 1,000 people ages 15-64)</t>
        </is>
      </c>
      <c r="M1128" t="inlineStr">
        <is>
          <t>2021-12-31</t>
        </is>
      </c>
      <c r="N1128" t="inlineStr">
        <is>
          <t>auto_ingest=world_bank_creative_extended; indicator=IC.BUS.NDNS.ZS; year=2021; country_proxy=Austria</t>
        </is>
      </c>
    </row>
    <row r="1129">
      <c r="A1129" t="inlineStr">
        <is>
          <t>at-vienna</t>
        </is>
      </c>
      <c r="B1129" t="inlineStr">
        <is>
          <t>Vienna</t>
        </is>
      </c>
      <c r="C1129" t="inlineStr">
        <is>
          <t>Austria</t>
        </is>
      </c>
      <c r="D1129" t="inlineStr">
        <is>
          <t>Western and Northern Europe</t>
        </is>
      </c>
      <c r="E1129" t="inlineStr">
        <is>
          <t>innovation_research_intensity_raw</t>
        </is>
      </c>
      <c r="F1129" t="inlineStr">
        <is>
          <t>Innovation and research raw</t>
        </is>
      </c>
      <c r="G1129" t="inlineStr">
        <is>
          <t>creative</t>
        </is>
      </c>
      <c r="H1129" t="inlineStr">
        <is>
          <t>yes</t>
        </is>
      </c>
      <c r="I1129" t="inlineStr">
        <is>
          <t>3.2</t>
        </is>
      </c>
      <c r="J1129" t="inlineStr">
        <is>
          <t>world_bank</t>
        </is>
      </c>
      <c r="K1129" t="inlineStr">
        <is>
          <t>https://api.worldbank.org/v2/country/AUT/indicator/GB.XPD.RSDV.GD.ZS?format=json&amp;mrv=10</t>
        </is>
      </c>
      <c r="L1129" t="inlineStr">
        <is>
          <t>World Bank WDI: Research and development expenditure (% of GDP)</t>
        </is>
      </c>
      <c r="M1129" t="inlineStr">
        <is>
          <t>2022-12-31</t>
        </is>
      </c>
      <c r="N1129" t="inlineStr">
        <is>
          <t>auto_ingest=world_bank_creative_extended; indicator=GB.XPD.RSDV.GD.ZS; year=2022; country_proxy=Austria</t>
        </is>
      </c>
    </row>
    <row r="1130">
      <c r="A1130" t="inlineStr">
        <is>
          <t>at-vienna</t>
        </is>
      </c>
      <c r="B1130" t="inlineStr">
        <is>
          <t>Vienna</t>
        </is>
      </c>
      <c r="C1130" t="inlineStr">
        <is>
          <t>Austria</t>
        </is>
      </c>
      <c r="D1130" t="inlineStr">
        <is>
          <t>Western and Northern Europe</t>
        </is>
      </c>
      <c r="E1130" t="inlineStr">
        <is>
          <t>investment_signal_raw</t>
        </is>
      </c>
      <c r="F1130" t="inlineStr">
        <is>
          <t>Investment signal raw</t>
        </is>
      </c>
      <c r="G1130" t="inlineStr">
        <is>
          <t>creative</t>
        </is>
      </c>
      <c r="H1130" t="inlineStr">
        <is>
          <t>yes</t>
        </is>
      </c>
      <c r="I1130" t="inlineStr">
        <is>
          <t>2.55</t>
        </is>
      </c>
      <c r="J1130" t="inlineStr">
        <is>
          <t>world_bank</t>
        </is>
      </c>
      <c r="K1130" t="inlineStr">
        <is>
          <t>https://api.worldbank.org/v2/country/AUT/indicator/BX.KLT.DINV.WD.GD.ZS?format=json&amp;mrv=10</t>
        </is>
      </c>
      <c r="L1130" t="inlineStr">
        <is>
          <t>World Bank WDI: Foreign direct investment, net inflows (% of GDP)</t>
        </is>
      </c>
      <c r="M1130" t="inlineStr">
        <is>
          <t>2024-12-31</t>
        </is>
      </c>
      <c r="N1130" t="inlineStr">
        <is>
          <t>auto_ingest=world_bank_creative_extended; indicator=BX.KLT.DINV.WD.GD.ZS; year=2024; country_proxy=Austria</t>
        </is>
      </c>
    </row>
    <row r="1131">
      <c r="A1131" t="inlineStr">
        <is>
          <t>at-vienna</t>
        </is>
      </c>
      <c r="B1131" t="inlineStr">
        <is>
          <t>Vienna</t>
        </is>
      </c>
      <c r="C1131" t="inlineStr">
        <is>
          <t>Austria</t>
        </is>
      </c>
      <c r="D1131" t="inlineStr">
        <is>
          <t>Western and Northern Europe</t>
        </is>
      </c>
      <c r="E1131" t="inlineStr">
        <is>
          <t>administrative_investment_friction_raw</t>
        </is>
      </c>
      <c r="F1131" t="inlineStr">
        <is>
          <t>Administrative investment friction raw</t>
        </is>
      </c>
      <c r="G1131" t="inlineStr">
        <is>
          <t>creative</t>
        </is>
      </c>
      <c r="H1131" t="inlineStr">
        <is>
          <t>yes</t>
        </is>
      </c>
      <c r="I1131" t="inlineStr">
        <is>
          <t>1.14</t>
        </is>
      </c>
      <c r="J1131" t="inlineStr">
        <is>
          <t>world_bank</t>
        </is>
      </c>
      <c r="K1131" t="inlineStr">
        <is>
          <t>https://api.worldbank.org/v2/country/AUT/indicator/RQ.EST?format=json&amp;mrv=10</t>
        </is>
      </c>
      <c r="L1131" t="inlineStr">
        <is>
          <t>World Bank WGI: Regulatory Quality (inverted as friction proxy)</t>
        </is>
      </c>
      <c r="M1131" t="inlineStr">
        <is>
          <t>2023-12-31</t>
        </is>
      </c>
      <c r="N1131" t="inlineStr">
        <is>
          <t>auto_ingest=world_bank_business_friction; indicator=RQ.EST; raw_rq=1.36136972904205; friction=1.14; year=2023; country_proxy=Austria</t>
        </is>
      </c>
    </row>
    <row r="1132">
      <c r="A1132" t="inlineStr">
        <is>
          <t>at-vienna</t>
        </is>
      </c>
      <c r="B1132" t="inlineStr">
        <is>
          <t>Vienna</t>
        </is>
      </c>
      <c r="C1132" t="inlineStr">
        <is>
          <t>Austria</t>
        </is>
      </c>
      <c r="D1132" t="inlineStr">
        <is>
          <t>Western and Northern Europe</t>
        </is>
      </c>
      <c r="E1132" t="inlineStr">
        <is>
          <t>visitor_flow_context_raw</t>
        </is>
      </c>
      <c r="F1132" t="inlineStr">
        <is>
          <t>Visitor flow context raw</t>
        </is>
      </c>
      <c r="G1132" t="inlineStr">
        <is>
          <t>creative</t>
        </is>
      </c>
      <c r="H1132" t="inlineStr">
        <is>
          <t>no</t>
        </is>
      </c>
      <c r="I1132" t="inlineStr"/>
      <c r="J1132" t="inlineStr"/>
      <c r="K1132" t="inlineStr"/>
      <c r="L1132" t="inlineStr"/>
      <c r="M1132" t="inlineStr"/>
      <c r="N1132" t="inlineStr"/>
    </row>
    <row r="1133">
      <c r="A1133" t="inlineStr">
        <is>
          <t>ch-zurich</t>
        </is>
      </c>
      <c r="B1133" t="inlineStr">
        <is>
          <t>Zurich</t>
        </is>
      </c>
      <c r="C1133" t="inlineStr">
        <is>
          <t>Switzerland</t>
        </is>
      </c>
      <c r="D1133" t="inlineStr">
        <is>
          <t>Western and Northern Europe</t>
        </is>
      </c>
      <c r="E1133" t="inlineStr">
        <is>
          <t>gross_income</t>
        </is>
      </c>
      <c r="F1133" t="inlineStr">
        <is>
          <t>Gross income</t>
        </is>
      </c>
      <c r="G1133" t="inlineStr">
        <is>
          <t>pressure</t>
        </is>
      </c>
      <c r="H1133" t="inlineStr">
        <is>
          <t>yes</t>
        </is>
      </c>
      <c r="I1133" t="inlineStr">
        <is>
          <t>9342.0</t>
        </is>
      </c>
      <c r="J1133" t="inlineStr">
        <is>
          <t>world_bank_col_estimate</t>
        </is>
      </c>
      <c r="K1133" t="inlineStr">
        <is>
          <t>https://api.worldbank.org/v2/country/CHE/indicator/NY.GNP.PCAP.PP.CD?format=json&amp;mrv=10</t>
        </is>
      </c>
      <c r="L1133" t="inlineStr">
        <is>
          <t>World Bank WDI: GNI per capita PPP (monthly USD)</t>
        </is>
      </c>
      <c r="M1133" t="inlineStr">
        <is>
          <t>2024-12-31</t>
        </is>
      </c>
      <c r="N1133" t="inlineStr">
        <is>
          <t>auto_ingest=world_bank_col_estimate; gni_annual=93420.0; year=2024; country_proxy=Switzerland; cohort=Western, Northern, and Southern Europe; city_income_mult=1.2</t>
        </is>
      </c>
    </row>
    <row r="1134">
      <c r="A1134" t="inlineStr">
        <is>
          <t>ch-zurich</t>
        </is>
      </c>
      <c r="B1134" t="inlineStr">
        <is>
          <t>Zurich</t>
        </is>
      </c>
      <c r="C1134" t="inlineStr">
        <is>
          <t>Switzerland</t>
        </is>
      </c>
      <c r="D1134" t="inlineStr">
        <is>
          <t>Western, Northern, and Southern Europe</t>
        </is>
      </c>
      <c r="E1134" t="inlineStr">
        <is>
          <t>di_ppp_raw</t>
        </is>
      </c>
      <c r="F1134" t="inlineStr">
        <is>
          <t>Disposable income PPP (Raw)</t>
        </is>
      </c>
      <c r="G1134" t="inlineStr">
        <is>
          <t>pressure</t>
        </is>
      </c>
      <c r="H1134" t="inlineStr">
        <is>
          <t>yes</t>
        </is>
      </c>
      <c r="I1134" t="inlineStr"/>
      <c r="J1134" t="inlineStr"/>
      <c r="K1134" t="inlineStr"/>
      <c r="L1134" t="inlineStr"/>
      <c r="M1134" t="inlineStr"/>
      <c r="N1134" t="inlineStr"/>
    </row>
    <row r="1135">
      <c r="A1135" t="inlineStr">
        <is>
          <t>ch-zurich</t>
        </is>
      </c>
      <c r="B1135" t="inlineStr">
        <is>
          <t>Zurich</t>
        </is>
      </c>
      <c r="C1135" t="inlineStr">
        <is>
          <t>Switzerland</t>
        </is>
      </c>
      <c r="D1135" t="inlineStr">
        <is>
          <t>Western and Northern Europe</t>
        </is>
      </c>
      <c r="E1135" t="inlineStr">
        <is>
          <t>rent</t>
        </is>
      </c>
      <c r="F1135" t="inlineStr">
        <is>
          <t>Rent</t>
        </is>
      </c>
      <c r="G1135" t="inlineStr">
        <is>
          <t>pressure</t>
        </is>
      </c>
      <c r="H1135" t="inlineStr">
        <is>
          <t>yes</t>
        </is>
      </c>
      <c r="I1135" t="inlineStr">
        <is>
          <t>4087.12</t>
        </is>
      </c>
      <c r="J1135" t="inlineStr">
        <is>
          <t>world_bank_col_estimate</t>
        </is>
      </c>
      <c r="K1135" t="inlineStr">
        <is>
          <t>https://api.worldbank.org/v2/country/CHE/indicator/NY.GNP.PCAP.PP.CD?format=json&amp;mrv=10</t>
        </is>
      </c>
      <c r="L1135" t="inlineStr">
        <is>
          <t>World Bank GNI + regional expenditure ratio estimate</t>
        </is>
      </c>
      <c r="M1135" t="inlineStr">
        <is>
          <t>2024-12-31</t>
        </is>
      </c>
      <c r="N1135" t="inlineStr">
        <is>
          <t>auto_ingest=world_bank_col_estimate; gni_annual=93420.0; year=2024; country_proxy=Switzerland; cohort=Western, Northern, and Southern Europe; city_cost_mult=1.25</t>
        </is>
      </c>
    </row>
    <row r="1136">
      <c r="A1136" t="inlineStr">
        <is>
          <t>ch-zurich</t>
        </is>
      </c>
      <c r="B1136" t="inlineStr">
        <is>
          <t>Zurich</t>
        </is>
      </c>
      <c r="C1136" t="inlineStr">
        <is>
          <t>Switzerland</t>
        </is>
      </c>
      <c r="D1136" t="inlineStr">
        <is>
          <t>Western and Northern Europe</t>
        </is>
      </c>
      <c r="E1136" t="inlineStr">
        <is>
          <t>utilities</t>
        </is>
      </c>
      <c r="F1136" t="inlineStr">
        <is>
          <t>Utilities</t>
        </is>
      </c>
      <c r="G1136" t="inlineStr">
        <is>
          <t>pressure</t>
        </is>
      </c>
      <c r="H1136" t="inlineStr">
        <is>
          <t>yes</t>
        </is>
      </c>
      <c r="I1136" t="inlineStr">
        <is>
          <t>817.43</t>
        </is>
      </c>
      <c r="J1136" t="inlineStr">
        <is>
          <t>world_bank_col_estimate</t>
        </is>
      </c>
      <c r="K1136" t="inlineStr">
        <is>
          <t>https://api.worldbank.org/v2/country/CHE/indicator/NY.GNP.PCAP.PP.CD?format=json&amp;mrv=10</t>
        </is>
      </c>
      <c r="L1136" t="inlineStr">
        <is>
          <t>World Bank GNI + regional expenditure ratio estimate</t>
        </is>
      </c>
      <c r="M1136" t="inlineStr">
        <is>
          <t>2024-12-31</t>
        </is>
      </c>
      <c r="N1136" t="inlineStr">
        <is>
          <t>auto_ingest=world_bank_col_estimate; gni_annual=93420.0; year=2024; country_proxy=Switzerland; cohort=Western, Northern, and Southern Europe; city_cost_mult=1.25</t>
        </is>
      </c>
    </row>
    <row r="1137">
      <c r="A1137" t="inlineStr">
        <is>
          <t>ch-zurich</t>
        </is>
      </c>
      <c r="B1137" t="inlineStr">
        <is>
          <t>Zurich</t>
        </is>
      </c>
      <c r="C1137" t="inlineStr">
        <is>
          <t>Switzerland</t>
        </is>
      </c>
      <c r="D1137" t="inlineStr">
        <is>
          <t>Western and Northern Europe</t>
        </is>
      </c>
      <c r="E1137" t="inlineStr">
        <is>
          <t>transit_cost</t>
        </is>
      </c>
      <c r="F1137" t="inlineStr">
        <is>
          <t>Transit cost</t>
        </is>
      </c>
      <c r="G1137" t="inlineStr">
        <is>
          <t>pressure</t>
        </is>
      </c>
      <c r="H1137" t="inlineStr">
        <is>
          <t>yes</t>
        </is>
      </c>
      <c r="I1137" t="inlineStr">
        <is>
          <t>583.88</t>
        </is>
      </c>
      <c r="J1137" t="inlineStr">
        <is>
          <t>world_bank_col_estimate</t>
        </is>
      </c>
      <c r="K1137" t="inlineStr">
        <is>
          <t>https://api.worldbank.org/v2/country/CHE/indicator/NY.GNP.PCAP.PP.CD?format=json&amp;mrv=10</t>
        </is>
      </c>
      <c r="L1137" t="inlineStr">
        <is>
          <t>World Bank GNI + regional expenditure ratio estimate</t>
        </is>
      </c>
      <c r="M1137" t="inlineStr">
        <is>
          <t>2024-12-31</t>
        </is>
      </c>
      <c r="N1137" t="inlineStr">
        <is>
          <t>auto_ingest=world_bank_col_estimate; gni_annual=93420.0; year=2024; country_proxy=Switzerland; cohort=Western, Northern, and Southern Europe; city_cost_mult=1.25</t>
        </is>
      </c>
    </row>
    <row r="1138">
      <c r="A1138" t="inlineStr">
        <is>
          <t>ch-zurich</t>
        </is>
      </c>
      <c r="B1138" t="inlineStr">
        <is>
          <t>Zurich</t>
        </is>
      </c>
      <c r="C1138" t="inlineStr">
        <is>
          <t>Switzerland</t>
        </is>
      </c>
      <c r="D1138" t="inlineStr">
        <is>
          <t>Western and Northern Europe</t>
        </is>
      </c>
      <c r="E1138" t="inlineStr">
        <is>
          <t>internet_cost</t>
        </is>
      </c>
      <c r="F1138" t="inlineStr">
        <is>
          <t>Internet cost</t>
        </is>
      </c>
      <c r="G1138" t="inlineStr">
        <is>
          <t>pressure</t>
        </is>
      </c>
      <c r="H1138" t="inlineStr">
        <is>
          <t>yes</t>
        </is>
      </c>
      <c r="I1138" t="inlineStr">
        <is>
          <t>175.16</t>
        </is>
      </c>
      <c r="J1138" t="inlineStr">
        <is>
          <t>world_bank_col_estimate</t>
        </is>
      </c>
      <c r="K1138" t="inlineStr">
        <is>
          <t>https://api.worldbank.org/v2/country/CHE/indicator/NY.GNP.PCAP.PP.CD?format=json&amp;mrv=10</t>
        </is>
      </c>
      <c r="L1138" t="inlineStr">
        <is>
          <t>World Bank GNI + regional expenditure ratio estimate</t>
        </is>
      </c>
      <c r="M1138" t="inlineStr">
        <is>
          <t>2024-12-31</t>
        </is>
      </c>
      <c r="N1138" t="inlineStr">
        <is>
          <t>auto_ingest=world_bank_col_estimate; gni_annual=93420.0; year=2024; country_proxy=Switzerland; cohort=Western, Northern, and Southern Europe; city_cost_mult=1.25</t>
        </is>
      </c>
    </row>
    <row r="1139">
      <c r="A1139" t="inlineStr">
        <is>
          <t>ch-zurich</t>
        </is>
      </c>
      <c r="B1139" t="inlineStr">
        <is>
          <t>Zurich</t>
        </is>
      </c>
      <c r="C1139" t="inlineStr">
        <is>
          <t>Switzerland</t>
        </is>
      </c>
      <c r="D1139" t="inlineStr">
        <is>
          <t>Western and Northern Europe</t>
        </is>
      </c>
      <c r="E1139" t="inlineStr">
        <is>
          <t>food_cost</t>
        </is>
      </c>
      <c r="F1139" t="inlineStr">
        <is>
          <t>Food cost</t>
        </is>
      </c>
      <c r="G1139" t="inlineStr">
        <is>
          <t>pressure</t>
        </is>
      </c>
      <c r="H1139" t="inlineStr">
        <is>
          <t>yes</t>
        </is>
      </c>
      <c r="I1139" t="inlineStr">
        <is>
          <t>1751.62</t>
        </is>
      </c>
      <c r="J1139" t="inlineStr">
        <is>
          <t>world_bank_col_estimate</t>
        </is>
      </c>
      <c r="K1139" t="inlineStr">
        <is>
          <t>https://api.worldbank.org/v2/country/CHE/indicator/NY.GNP.PCAP.PP.CD?format=json&amp;mrv=10</t>
        </is>
      </c>
      <c r="L1139" t="inlineStr">
        <is>
          <t>World Bank GNI + regional expenditure ratio estimate</t>
        </is>
      </c>
      <c r="M1139" t="inlineStr">
        <is>
          <t>2024-12-31</t>
        </is>
      </c>
      <c r="N1139" t="inlineStr">
        <is>
          <t>auto_ingest=world_bank_col_estimate; gni_annual=93420.0; year=2024; country_proxy=Switzerland; cohort=Western, Northern, and Southern Europe; city_cost_mult=1.25</t>
        </is>
      </c>
    </row>
    <row r="1140">
      <c r="A1140" t="inlineStr">
        <is>
          <t>ch-zurich</t>
        </is>
      </c>
      <c r="B1140" t="inlineStr">
        <is>
          <t>Zurich</t>
        </is>
      </c>
      <c r="C1140" t="inlineStr">
        <is>
          <t>Switzerland</t>
        </is>
      </c>
      <c r="D1140" t="inlineStr">
        <is>
          <t>Western and Northern Europe</t>
        </is>
      </c>
      <c r="E1140" t="inlineStr">
        <is>
          <t>housing_burden_raw</t>
        </is>
      </c>
      <c r="F1140" t="inlineStr">
        <is>
          <t>Housing burden raw</t>
        </is>
      </c>
      <c r="G1140" t="inlineStr">
        <is>
          <t>pressure</t>
        </is>
      </c>
      <c r="H1140" t="inlineStr">
        <is>
          <t>yes</t>
        </is>
      </c>
      <c r="I1140" t="inlineStr">
        <is>
          <t>43.7499</t>
        </is>
      </c>
      <c r="J1140" t="inlineStr">
        <is>
          <t>derived</t>
        </is>
      </c>
      <c r="K1140" t="inlineStr">
        <is>
          <t>https://data.worldbank.org/indicator/NY.GNP.PCAP.PP.CD</t>
        </is>
      </c>
      <c r="L1140" t="inlineStr">
        <is>
          <t>Computed from city_inputs + country_context</t>
        </is>
      </c>
      <c r="M1140" t="inlineStr">
        <is>
          <t>2024-01-01</t>
        </is>
      </c>
      <c r="N1140" t="inlineStr">
        <is>
          <t>derived=rent/gross_income*100</t>
        </is>
      </c>
    </row>
    <row r="1141">
      <c r="A1141" t="inlineStr">
        <is>
          <t>ch-zurich</t>
        </is>
      </c>
      <c r="B1141" t="inlineStr">
        <is>
          <t>Zurich</t>
        </is>
      </c>
      <c r="C1141" t="inlineStr">
        <is>
          <t>Switzerland</t>
        </is>
      </c>
      <c r="D1141" t="inlineStr">
        <is>
          <t>Western and Northern Europe</t>
        </is>
      </c>
      <c r="E1141" t="inlineStr">
        <is>
          <t>household_debt_burden_raw</t>
        </is>
      </c>
      <c r="F1141" t="inlineStr">
        <is>
          <t>Household debt burden raw</t>
        </is>
      </c>
      <c r="G1141" t="inlineStr">
        <is>
          <t>pressure</t>
        </is>
      </c>
      <c r="H1141" t="inlineStr">
        <is>
          <t>yes</t>
        </is>
      </c>
      <c r="I1141" t="inlineStr">
        <is>
          <t>170.3782</t>
        </is>
      </c>
      <c r="J1141" t="inlineStr">
        <is>
          <t>derived</t>
        </is>
      </c>
      <c r="K1141" t="inlineStr">
        <is>
          <t>https://data.worldbank.org/indicator/NY.GNP.PCAP.PP.CD</t>
        </is>
      </c>
      <c r="L1141" t="inlineStr">
        <is>
          <t>Computed from city_inputs + country_context</t>
        </is>
      </c>
      <c r="M1141" t="inlineStr">
        <is>
          <t>2024-01-01</t>
        </is>
      </c>
      <c r="N1141" t="inlineStr">
        <is>
          <t>derived=country_context.household_debt_proxy; country=Switzerland</t>
        </is>
      </c>
    </row>
    <row r="1142">
      <c r="A1142" t="inlineStr">
        <is>
          <t>ch-zurich</t>
        </is>
      </c>
      <c r="B1142" t="inlineStr">
        <is>
          <t>Zurich</t>
        </is>
      </c>
      <c r="C1142" t="inlineStr">
        <is>
          <t>Switzerland</t>
        </is>
      </c>
      <c r="D1142" t="inlineStr">
        <is>
          <t>Western and Northern Europe</t>
        </is>
      </c>
      <c r="E1142" t="inlineStr">
        <is>
          <t>working_time_pressure_raw</t>
        </is>
      </c>
      <c r="F1142" t="inlineStr">
        <is>
          <t>Working time pressure raw</t>
        </is>
      </c>
      <c r="G1142" t="inlineStr">
        <is>
          <t>pressure</t>
        </is>
      </c>
      <c r="H1142" t="inlineStr">
        <is>
          <t>yes</t>
        </is>
      </c>
      <c r="I1142" t="inlineStr">
        <is>
          <t>35.21</t>
        </is>
      </c>
      <c r="J1142" t="inlineStr">
        <is>
          <t>ilo_ilostat</t>
        </is>
      </c>
      <c r="K1142" t="inlineStr">
        <is>
          <t>https://ilostat.ilo.org/data/indicator/?id=HOW_TEMP_SEX_ECO_NB_A&amp;ref_area=CHE</t>
        </is>
      </c>
      <c r="L1142" t="inlineStr">
        <is>
          <t>ILO ILOSTAT: Mean weekly hours actually worked per employed person</t>
        </is>
      </c>
      <c r="M1142" t="inlineStr">
        <is>
          <t>2024-12-31</t>
        </is>
      </c>
      <c r="N1142" t="inlineStr">
        <is>
          <t>auto_ingest=ilo_working_hours; indicator=HOW_TEMP_SEX_ECO_NB_A; year=2024; hours=35.21; country_proxy=Switzerland</t>
        </is>
      </c>
    </row>
    <row r="1143">
      <c r="A1143" t="inlineStr">
        <is>
          <t>ch-zurich</t>
        </is>
      </c>
      <c r="B1143" t="inlineStr">
        <is>
          <t>Zurich</t>
        </is>
      </c>
      <c r="C1143" t="inlineStr">
        <is>
          <t>Switzerland</t>
        </is>
      </c>
      <c r="D1143" t="inlineStr">
        <is>
          <t>Western and Northern Europe</t>
        </is>
      </c>
      <c r="E1143" t="inlineStr">
        <is>
          <t>suicide_mental_strain_raw</t>
        </is>
      </c>
      <c r="F1143" t="inlineStr">
        <is>
          <t>Suicide or mental strain raw</t>
        </is>
      </c>
      <c r="G1143" t="inlineStr">
        <is>
          <t>pressure</t>
        </is>
      </c>
      <c r="H1143" t="inlineStr">
        <is>
          <t>yes</t>
        </is>
      </c>
      <c r="I1143" t="inlineStr">
        <is>
          <t>14.02</t>
        </is>
      </c>
      <c r="J1143" t="inlineStr">
        <is>
          <t>who_gho</t>
        </is>
      </c>
      <c r="K1143" t="inlineStr">
        <is>
          <t>https://www.who.int/data/gho/data/indicators/indicator-details/GHO/SDGSUICIDE</t>
        </is>
      </c>
      <c r="L1143" t="inlineStr">
        <is>
          <t>WHO GHO: Age-standardized suicide rate (per 100,000 population)</t>
        </is>
      </c>
      <c r="M1143" t="inlineStr">
        <is>
          <t>2021-12-31</t>
        </is>
      </c>
      <c r="N1143" t="inlineStr">
        <is>
          <t>auto_ingest=who_gho; indicator=SDGSUICIDE; year=2021; country_proxy=Switzerland</t>
        </is>
      </c>
    </row>
    <row r="1144">
      <c r="A1144" t="inlineStr">
        <is>
          <t>ch-zurich</t>
        </is>
      </c>
      <c r="B1144" t="inlineStr">
        <is>
          <t>Zurich</t>
        </is>
      </c>
      <c r="C1144" t="inlineStr">
        <is>
          <t>Switzerland</t>
        </is>
      </c>
      <c r="D1144" t="inlineStr">
        <is>
          <t>Western and Northern Europe</t>
        </is>
      </c>
      <c r="E1144" t="inlineStr">
        <is>
          <t>personal_safety_raw</t>
        </is>
      </c>
      <c r="F1144" t="inlineStr">
        <is>
          <t>Personal safety raw</t>
        </is>
      </c>
      <c r="G1144" t="inlineStr">
        <is>
          <t>viability</t>
        </is>
      </c>
      <c r="H1144" t="inlineStr">
        <is>
          <t>yes</t>
        </is>
      </c>
      <c r="I1144" t="inlineStr">
        <is>
          <t>0.6</t>
        </is>
      </c>
      <c r="J1144" t="inlineStr">
        <is>
          <t>world_bank</t>
        </is>
      </c>
      <c r="K1144" t="inlineStr">
        <is>
          <t>https://api.worldbank.org/v2/country/CHE/indicator/VC.IHR.PSRC.P5?format=json&amp;mrv=10</t>
        </is>
      </c>
      <c r="L1144" t="inlineStr">
        <is>
          <t>UNODC via World Bank WDI: Intentional homicides (per 100,000 people)</t>
        </is>
      </c>
      <c r="M1144" t="inlineStr">
        <is>
          <t>2023-12-31</t>
        </is>
      </c>
      <c r="N1144" t="inlineStr">
        <is>
          <t>auto_ingest=unodc_safety; indicator=VC.IHR.PSRC.P5; year=2023; country_proxy=Switzerland</t>
        </is>
      </c>
    </row>
    <row r="1145">
      <c r="A1145" t="inlineStr">
        <is>
          <t>ch-zurich</t>
        </is>
      </c>
      <c r="B1145" t="inlineStr">
        <is>
          <t>Zurich</t>
        </is>
      </c>
      <c r="C1145" t="inlineStr">
        <is>
          <t>Switzerland</t>
        </is>
      </c>
      <c r="D1145" t="inlineStr">
        <is>
          <t>Western and Northern Europe</t>
        </is>
      </c>
      <c r="E1145" t="inlineStr">
        <is>
          <t>transit_access_commute_raw</t>
        </is>
      </c>
      <c r="F1145" t="inlineStr">
        <is>
          <t>Transit access and commute raw</t>
        </is>
      </c>
      <c r="G1145" t="inlineStr">
        <is>
          <t>viability</t>
        </is>
      </c>
      <c r="H1145" t="inlineStr">
        <is>
          <t>yes</t>
        </is>
      </c>
      <c r="I1145" t="inlineStr"/>
      <c r="J1145" t="inlineStr"/>
      <c r="K1145" t="inlineStr"/>
      <c r="L1145" t="inlineStr"/>
      <c r="M1145" t="inlineStr"/>
      <c r="N1145" t="inlineStr"/>
    </row>
    <row r="1146">
      <c r="A1146" t="inlineStr">
        <is>
          <t>ch-zurich</t>
        </is>
      </c>
      <c r="B1146" t="inlineStr">
        <is>
          <t>Zurich</t>
        </is>
      </c>
      <c r="C1146" t="inlineStr">
        <is>
          <t>Switzerland</t>
        </is>
      </c>
      <c r="D1146" t="inlineStr">
        <is>
          <t>Western and Northern Europe</t>
        </is>
      </c>
      <c r="E1146" t="inlineStr">
        <is>
          <t>clean_air_raw</t>
        </is>
      </c>
      <c r="F1146" t="inlineStr">
        <is>
          <t>Clean air raw</t>
        </is>
      </c>
      <c r="G1146" t="inlineStr">
        <is>
          <t>viability</t>
        </is>
      </c>
      <c r="H1146" t="inlineStr">
        <is>
          <t>yes</t>
        </is>
      </c>
      <c r="I1146" t="inlineStr"/>
      <c r="J1146" t="inlineStr"/>
      <c r="K1146" t="inlineStr"/>
      <c r="L1146" t="inlineStr"/>
      <c r="M1146" t="inlineStr"/>
      <c r="N1146" t="inlineStr"/>
    </row>
    <row r="1147">
      <c r="A1147" t="inlineStr">
        <is>
          <t>ch-zurich</t>
        </is>
      </c>
      <c r="B1147" t="inlineStr">
        <is>
          <t>Zurich</t>
        </is>
      </c>
      <c r="C1147" t="inlineStr">
        <is>
          <t>Switzerland</t>
        </is>
      </c>
      <c r="D1147" t="inlineStr">
        <is>
          <t>Western and Northern Europe</t>
        </is>
      </c>
      <c r="E1147" t="inlineStr">
        <is>
          <t>water_sanitation_utility_raw</t>
        </is>
      </c>
      <c r="F1147" t="inlineStr">
        <is>
          <t>Water, sanitation, and utility raw</t>
        </is>
      </c>
      <c r="G1147" t="inlineStr">
        <is>
          <t>viability</t>
        </is>
      </c>
      <c r="H1147" t="inlineStr">
        <is>
          <t>yes</t>
        </is>
      </c>
      <c r="I1147" t="inlineStr">
        <is>
          <t>96.7</t>
        </is>
      </c>
      <c r="J1147" t="inlineStr">
        <is>
          <t>world_bank</t>
        </is>
      </c>
      <c r="K1147" t="inlineStr">
        <is>
          <t>https://api.worldbank.org/v2/country/CHE/indicator/SH.H2O.SMDW.ZS?format=json&amp;mrv=10</t>
        </is>
      </c>
      <c r="L1147" t="inlineStr">
        <is>
          <t>World Bank WDI: People using safely managed drinking water services (% of population)</t>
        </is>
      </c>
      <c r="M1147" t="inlineStr">
        <is>
          <t>2024-12-31</t>
        </is>
      </c>
      <c r="N1147" t="inlineStr">
        <is>
          <t>auto_ingest=world_bank_proxy; indicator=SH.H2O.SMDW.ZS; year=2024; country_proxy=Switzerland</t>
        </is>
      </c>
    </row>
    <row r="1148">
      <c r="A1148" t="inlineStr">
        <is>
          <t>ch-zurich</t>
        </is>
      </c>
      <c r="B1148" t="inlineStr">
        <is>
          <t>Zurich</t>
        </is>
      </c>
      <c r="C1148" t="inlineStr">
        <is>
          <t>Switzerland</t>
        </is>
      </c>
      <c r="D1148" t="inlineStr">
        <is>
          <t>Western and Northern Europe</t>
        </is>
      </c>
      <c r="E1148" t="inlineStr">
        <is>
          <t>digital_infrastructure_raw</t>
        </is>
      </c>
      <c r="F1148" t="inlineStr">
        <is>
          <t>Digital infrastructure raw</t>
        </is>
      </c>
      <c r="G1148" t="inlineStr">
        <is>
          <t>viability</t>
        </is>
      </c>
      <c r="H1148" t="inlineStr">
        <is>
          <t>yes</t>
        </is>
      </c>
      <c r="I1148" t="inlineStr">
        <is>
          <t>47.7</t>
        </is>
      </c>
      <c r="J1148" t="inlineStr">
        <is>
          <t>world_bank</t>
        </is>
      </c>
      <c r="K1148" t="inlineStr">
        <is>
          <t>https://api.worldbank.org/v2/country/CHE/indicator/IT.NET.BBND.P2?format=json&amp;mrv=10</t>
        </is>
      </c>
      <c r="L1148" t="inlineStr">
        <is>
          <t>World Bank WDI: Fixed broadband subscriptions (per 100 people)</t>
        </is>
      </c>
      <c r="M1148" t="inlineStr">
        <is>
          <t>2023-12-31</t>
        </is>
      </c>
      <c r="N1148" t="inlineStr">
        <is>
          <t>auto_ingest=world_bank_proxy; indicator=IT.NET.BBND.P2; year=2023; country_proxy=Switzerland</t>
        </is>
      </c>
    </row>
    <row r="1149">
      <c r="A1149" t="inlineStr">
        <is>
          <t>ch-zurich</t>
        </is>
      </c>
      <c r="B1149" t="inlineStr">
        <is>
          <t>Zurich</t>
        </is>
      </c>
      <c r="C1149" t="inlineStr">
        <is>
          <t>Switzerland</t>
        </is>
      </c>
      <c r="D1149" t="inlineStr">
        <is>
          <t>Western and Northern Europe</t>
        </is>
      </c>
      <c r="E1149" t="inlineStr">
        <is>
          <t>climate_sunlight_livability_raw</t>
        </is>
      </c>
      <c r="F1149" t="inlineStr">
        <is>
          <t>Climate and sunlight livability raw</t>
        </is>
      </c>
      <c r="G1149" t="inlineStr">
        <is>
          <t>viability</t>
        </is>
      </c>
      <c r="H1149" t="inlineStr">
        <is>
          <t>yes</t>
        </is>
      </c>
      <c r="I1149" t="inlineStr">
        <is>
          <t>50</t>
        </is>
      </c>
      <c r="J1149" t="inlineStr">
        <is>
          <t>wmo_natl_met</t>
        </is>
      </c>
      <c r="K1149" t="inlineStr">
        <is>
          <t>https://worldweather.wmo.int</t>
        </is>
      </c>
      <c r="L1149" t="inlineStr">
        <is>
          <t>WMO/National Met: Climate livability composite</t>
        </is>
      </c>
      <c r="M1149" t="inlineStr">
        <is>
          <t>2024-12-31</t>
        </is>
      </c>
      <c r="N1149" t="inlineStr">
        <is>
          <t>auto_seed=climate_composite; 1700 sun hrs, 10C mean, alpine winters</t>
        </is>
      </c>
    </row>
    <row r="1150">
      <c r="A1150" t="inlineStr">
        <is>
          <t>ch-zurich</t>
        </is>
      </c>
      <c r="B1150" t="inlineStr">
        <is>
          <t>Zurich</t>
        </is>
      </c>
      <c r="C1150" t="inlineStr">
        <is>
          <t>Switzerland</t>
        </is>
      </c>
      <c r="D1150" t="inlineStr">
        <is>
          <t>Western and Northern Europe</t>
        </is>
      </c>
      <c r="E1150" t="inlineStr">
        <is>
          <t>healthcare_quality_raw</t>
        </is>
      </c>
      <c r="F1150" t="inlineStr">
        <is>
          <t>Healthcare quality raw</t>
        </is>
      </c>
      <c r="G1150" t="inlineStr">
        <is>
          <t>capability</t>
        </is>
      </c>
      <c r="H1150" t="inlineStr">
        <is>
          <t>yes</t>
        </is>
      </c>
      <c r="I1150" t="inlineStr">
        <is>
          <t>87.0</t>
        </is>
      </c>
      <c r="J1150" t="inlineStr">
        <is>
          <t>who_gho</t>
        </is>
      </c>
      <c r="K1150" t="inlineStr">
        <is>
          <t>https://www.who.int/data/gho/data/indicators/indicator-details/GHO/UHC_INDEX_REPORTED</t>
        </is>
      </c>
      <c r="L1150" t="inlineStr">
        <is>
          <t>WHO GHO: UHC Service Coverage Index</t>
        </is>
      </c>
      <c r="M1150" t="inlineStr">
        <is>
          <t>2023-12-31</t>
        </is>
      </c>
      <c r="N1150" t="inlineStr">
        <is>
          <t>auto_ingest=who_gho; indicator=UHC_INDEX_REPORTED; year=2023; country_proxy=Switzerland</t>
        </is>
      </c>
    </row>
    <row r="1151">
      <c r="A1151" t="inlineStr">
        <is>
          <t>ch-zurich</t>
        </is>
      </c>
      <c r="B1151" t="inlineStr">
        <is>
          <t>Zurich</t>
        </is>
      </c>
      <c r="C1151" t="inlineStr">
        <is>
          <t>Switzerland</t>
        </is>
      </c>
      <c r="D1151" t="inlineStr">
        <is>
          <t>Western and Northern Europe</t>
        </is>
      </c>
      <c r="E1151" t="inlineStr">
        <is>
          <t>education_quality_raw</t>
        </is>
      </c>
      <c r="F1151" t="inlineStr">
        <is>
          <t>Education quality raw</t>
        </is>
      </c>
      <c r="G1151" t="inlineStr">
        <is>
          <t>capability</t>
        </is>
      </c>
      <c r="H1151" t="inlineStr">
        <is>
          <t>yes</t>
        </is>
      </c>
      <c r="I1151" t="inlineStr">
        <is>
          <t>74.01</t>
        </is>
      </c>
      <c r="J1151" t="inlineStr">
        <is>
          <t>world_bank</t>
        </is>
      </c>
      <c r="K1151" t="inlineStr">
        <is>
          <t>https://api.worldbank.org/v2/country/CHE/indicator/SE.TER.ENRR?format=json&amp;mrv=10</t>
        </is>
      </c>
      <c r="L1151" t="inlineStr">
        <is>
          <t>World Bank WDI: School enrollment, tertiary (% gross)</t>
        </is>
      </c>
      <c r="M1151" t="inlineStr">
        <is>
          <t>2023-12-31</t>
        </is>
      </c>
      <c r="N1151" t="inlineStr">
        <is>
          <t>auto_ingest=world_bank_proxy; indicator=SE.TER.ENRR; year=2023; country_proxy=Switzerland</t>
        </is>
      </c>
    </row>
    <row r="1152">
      <c r="A1152" t="inlineStr">
        <is>
          <t>ch-zurich</t>
        </is>
      </c>
      <c r="B1152" t="inlineStr">
        <is>
          <t>Zurich</t>
        </is>
      </c>
      <c r="C1152" t="inlineStr">
        <is>
          <t>Switzerland</t>
        </is>
      </c>
      <c r="D1152" t="inlineStr">
        <is>
          <t>Western and Northern Europe</t>
        </is>
      </c>
      <c r="E1152" t="inlineStr">
        <is>
          <t>equal_opportunity_raw</t>
        </is>
      </c>
      <c r="F1152" t="inlineStr">
        <is>
          <t>Equal opportunity raw</t>
        </is>
      </c>
      <c r="G1152" t="inlineStr">
        <is>
          <t>capability</t>
        </is>
      </c>
      <c r="H1152" t="inlineStr">
        <is>
          <t>yes</t>
        </is>
      </c>
      <c r="I1152" t="inlineStr">
        <is>
          <t>33.8</t>
        </is>
      </c>
      <c r="J1152" t="inlineStr">
        <is>
          <t>world_bank</t>
        </is>
      </c>
      <c r="K1152" t="inlineStr">
        <is>
          <t>https://api.worldbank.org/v2/country/CHE/indicator/SI.POV.GINI?format=json&amp;mrv=10</t>
        </is>
      </c>
      <c r="L1152" t="inlineStr">
        <is>
          <t>World Bank WDI: Gini index</t>
        </is>
      </c>
      <c r="M1152" t="inlineStr">
        <is>
          <t>2022-12-31</t>
        </is>
      </c>
      <c r="N1152" t="inlineStr">
        <is>
          <t>auto_ingest=world_bank_capability; indicator=SI.POV.GINI; year=2022; country_proxy=Switzerland</t>
        </is>
      </c>
    </row>
    <row r="1153">
      <c r="A1153" t="inlineStr">
        <is>
          <t>ch-zurich</t>
        </is>
      </c>
      <c r="B1153" t="inlineStr">
        <is>
          <t>Zurich</t>
        </is>
      </c>
      <c r="C1153" t="inlineStr">
        <is>
          <t>Switzerland</t>
        </is>
      </c>
      <c r="D1153" t="inlineStr">
        <is>
          <t>Western and Northern Europe</t>
        </is>
      </c>
      <c r="E1153" t="inlineStr">
        <is>
          <t>hospitality_belonging_raw</t>
        </is>
      </c>
      <c r="F1153" t="inlineStr">
        <is>
          <t>Hospitality and belonging raw</t>
        </is>
      </c>
      <c r="G1153" t="inlineStr">
        <is>
          <t>community</t>
        </is>
      </c>
      <c r="H1153" t="inlineStr">
        <is>
          <t>yes</t>
        </is>
      </c>
      <c r="I1153" t="inlineStr">
        <is>
          <t>54.14</t>
        </is>
      </c>
      <c r="J1153" t="inlineStr">
        <is>
          <t>world_bank</t>
        </is>
      </c>
      <c r="K1153" t="inlineStr">
        <is>
          <t>https://api.worldbank.org/v2/country/CHE/indicator/SM.POP.NETM?format=json&amp;mrv=10</t>
        </is>
      </c>
      <c r="L1153" t="inlineStr">
        <is>
          <t>World Bank WDI: Net migration (proxy for hospitality/belonging — positive = welcoming)</t>
        </is>
      </c>
      <c r="M1153" t="inlineStr">
        <is>
          <t>2025-12-31</t>
        </is>
      </c>
      <c r="N1153" t="inlineStr">
        <is>
          <t>auto_ingest=world_bank_proxy; proxy=net_migration_hospitality; indicator=SM.POP.NETM; year=2025; country_proxy=Switzerland</t>
        </is>
      </c>
    </row>
    <row r="1154">
      <c r="A1154" t="inlineStr">
        <is>
          <t>ch-zurich</t>
        </is>
      </c>
      <c r="B1154" t="inlineStr">
        <is>
          <t>Zurich</t>
        </is>
      </c>
      <c r="C1154" t="inlineStr">
        <is>
          <t>Switzerland</t>
        </is>
      </c>
      <c r="D1154" t="inlineStr">
        <is>
          <t>Western and Northern Europe</t>
        </is>
      </c>
      <c r="E1154" t="inlineStr">
        <is>
          <t>tolerance_pluralism_raw</t>
        </is>
      </c>
      <c r="F1154" t="inlineStr">
        <is>
          <t>Tolerance and pluralism raw</t>
        </is>
      </c>
      <c r="G1154" t="inlineStr">
        <is>
          <t>community</t>
        </is>
      </c>
      <c r="H1154" t="inlineStr">
        <is>
          <t>yes</t>
        </is>
      </c>
      <c r="I1154" t="inlineStr">
        <is>
          <t>38.5</t>
        </is>
      </c>
      <c r="J1154" t="inlineStr">
        <is>
          <t>world_bank</t>
        </is>
      </c>
      <c r="K1154" t="inlineStr">
        <is>
          <t>https://api.worldbank.org/v2/country/CHE/indicator/SG.GEN.PARL.ZS?format=json&amp;mrv=10</t>
        </is>
      </c>
      <c r="L1154" t="inlineStr">
        <is>
          <t>World Bank WDI: Proportion of seats held by women in national parliaments (%)</t>
        </is>
      </c>
      <c r="M1154" t="inlineStr">
        <is>
          <t>2024-12-31</t>
        </is>
      </c>
      <c r="N1154" t="inlineStr">
        <is>
          <t>auto_ingest=world_bank_proxy; proxy=gender_parity_parliament; indicator=SG.GEN.PARL.ZS; year=2024; country_proxy=Switzerland</t>
        </is>
      </c>
    </row>
    <row r="1155">
      <c r="A1155" t="inlineStr">
        <is>
          <t>ch-zurich</t>
        </is>
      </c>
      <c r="B1155" t="inlineStr">
        <is>
          <t>Zurich</t>
        </is>
      </c>
      <c r="C1155" t="inlineStr">
        <is>
          <t>Switzerland</t>
        </is>
      </c>
      <c r="D1155" t="inlineStr">
        <is>
          <t>Western and Northern Europe</t>
        </is>
      </c>
      <c r="E1155" t="inlineStr">
        <is>
          <t>cultural_public_life_raw</t>
        </is>
      </c>
      <c r="F1155" t="inlineStr">
        <is>
          <t>Cultural public life raw</t>
        </is>
      </c>
      <c r="G1155" t="inlineStr">
        <is>
          <t>community</t>
        </is>
      </c>
      <c r="H1155" t="inlineStr">
        <is>
          <t>yes</t>
        </is>
      </c>
      <c r="I1155" t="inlineStr">
        <is>
          <t>1312.3</t>
        </is>
      </c>
      <c r="J1155" t="inlineStr">
        <is>
          <t>world_bank</t>
        </is>
      </c>
      <c r="K1155" t="inlineStr">
        <is>
          <t>https://api.worldbank.org/v2/country/CHE/indicator/ST.INT.ARVL?format=json&amp;mrv=10</t>
        </is>
      </c>
      <c r="L1155" t="inlineStr">
        <is>
          <t>World Bank WDI: International tourism arrivals per 1 000 population</t>
        </is>
      </c>
      <c r="M1155" t="inlineStr">
        <is>
          <t>2019-12-31</t>
        </is>
      </c>
      <c r="N1155" t="inlineStr">
        <is>
          <t>auto_ingest=cultural_life_proxy; indicator=ST.INT.ARVL; norm=per_1000_pop; year=2019; country_proxy=Switzerland</t>
        </is>
      </c>
    </row>
    <row r="1156">
      <c r="A1156" t="inlineStr">
        <is>
          <t>ch-zurich</t>
        </is>
      </c>
      <c r="B1156" t="inlineStr">
        <is>
          <t>Zurich</t>
        </is>
      </c>
      <c r="C1156" t="inlineStr">
        <is>
          <t>Switzerland</t>
        </is>
      </c>
      <c r="D1156" t="inlineStr">
        <is>
          <t>Western and Northern Europe</t>
        </is>
      </c>
      <c r="E1156" t="inlineStr">
        <is>
          <t>birth_rate_optimism_raw</t>
        </is>
      </c>
      <c r="F1156" t="inlineStr">
        <is>
          <t>Birth rate and societal optimism raw</t>
        </is>
      </c>
      <c r="G1156" t="inlineStr">
        <is>
          <t>community</t>
        </is>
      </c>
      <c r="H1156" t="inlineStr">
        <is>
          <t>yes</t>
        </is>
      </c>
      <c r="I1156" t="inlineStr">
        <is>
          <t>1.46</t>
        </is>
      </c>
      <c r="J1156" t="inlineStr">
        <is>
          <t>world_bank</t>
        </is>
      </c>
      <c r="K1156" t="inlineStr">
        <is>
          <t>https://data.worldbank.org/indicator/SP.DYN.TFRT.IN</t>
        </is>
      </c>
      <c r="L1156" t="inlineStr">
        <is>
          <t>World Bank Total Fertility Rate 2023</t>
        </is>
      </c>
      <c r="M1156" t="inlineStr">
        <is>
          <t>2024-01-01</t>
        </is>
      </c>
      <c r="N1156" t="inlineStr"/>
    </row>
    <row r="1157">
      <c r="A1157" t="inlineStr">
        <is>
          <t>ch-zurich</t>
        </is>
      </c>
      <c r="B1157" t="inlineStr">
        <is>
          <t>Zurich</t>
        </is>
      </c>
      <c r="C1157" t="inlineStr">
        <is>
          <t>Switzerland</t>
        </is>
      </c>
      <c r="D1157" t="inlineStr">
        <is>
          <t>Western and Northern Europe</t>
        </is>
      </c>
      <c r="E1157" t="inlineStr">
        <is>
          <t>entrepreneurial_dynamism_raw</t>
        </is>
      </c>
      <c r="F1157" t="inlineStr">
        <is>
          <t>Entrepreneurial dynamism raw</t>
        </is>
      </c>
      <c r="G1157" t="inlineStr">
        <is>
          <t>creative</t>
        </is>
      </c>
      <c r="H1157" t="inlineStr">
        <is>
          <t>yes</t>
        </is>
      </c>
      <c r="I1157" t="inlineStr">
        <is>
          <t>4.63</t>
        </is>
      </c>
      <c r="J1157" t="inlineStr">
        <is>
          <t>world_bank</t>
        </is>
      </c>
      <c r="K1157" t="inlineStr">
        <is>
          <t>https://api.worldbank.org/v2/country/CHE/indicator/IC.BUS.NDNS.ZS?format=json&amp;mrv=10</t>
        </is>
      </c>
      <c r="L1157" t="inlineStr">
        <is>
          <t>World Bank WDI: New business density (new registrations per 1,000 people ages 15-64)</t>
        </is>
      </c>
      <c r="M1157" t="inlineStr">
        <is>
          <t>2019-12-31</t>
        </is>
      </c>
      <c r="N1157" t="inlineStr">
        <is>
          <t>auto_ingest=world_bank_creative_extended; indicator=IC.BUS.NDNS.ZS; year=2019; country_proxy=Switzerland</t>
        </is>
      </c>
    </row>
    <row r="1158">
      <c r="A1158" t="inlineStr">
        <is>
          <t>ch-zurich</t>
        </is>
      </c>
      <c r="B1158" t="inlineStr">
        <is>
          <t>Zurich</t>
        </is>
      </c>
      <c r="C1158" t="inlineStr">
        <is>
          <t>Switzerland</t>
        </is>
      </c>
      <c r="D1158" t="inlineStr">
        <is>
          <t>Western and Northern Europe</t>
        </is>
      </c>
      <c r="E1158" t="inlineStr">
        <is>
          <t>innovation_research_intensity_raw</t>
        </is>
      </c>
      <c r="F1158" t="inlineStr">
        <is>
          <t>Innovation and research raw</t>
        </is>
      </c>
      <c r="G1158" t="inlineStr">
        <is>
          <t>creative</t>
        </is>
      </c>
      <c r="H1158" t="inlineStr">
        <is>
          <t>yes</t>
        </is>
      </c>
      <c r="I1158" t="inlineStr">
        <is>
          <t>3.31</t>
        </is>
      </c>
      <c r="J1158" t="inlineStr">
        <is>
          <t>world_bank</t>
        </is>
      </c>
      <c r="K1158" t="inlineStr">
        <is>
          <t>https://api.worldbank.org/v2/country/CHE/indicator/GB.XPD.RSDV.GD.ZS?format=json&amp;mrv=10</t>
        </is>
      </c>
      <c r="L1158" t="inlineStr">
        <is>
          <t>World Bank WDI: Research and development expenditure (% of GDP)</t>
        </is>
      </c>
      <c r="M1158" t="inlineStr">
        <is>
          <t>2021-12-31</t>
        </is>
      </c>
      <c r="N1158" t="inlineStr">
        <is>
          <t>auto_ingest=world_bank_creative_extended; indicator=GB.XPD.RSDV.GD.ZS; year=2021; country_proxy=Switzerland</t>
        </is>
      </c>
    </row>
    <row r="1159">
      <c r="A1159" t="inlineStr">
        <is>
          <t>ch-zurich</t>
        </is>
      </c>
      <c r="B1159" t="inlineStr">
        <is>
          <t>Zurich</t>
        </is>
      </c>
      <c r="C1159" t="inlineStr">
        <is>
          <t>Switzerland</t>
        </is>
      </c>
      <c r="D1159" t="inlineStr">
        <is>
          <t>Western and Northern Europe</t>
        </is>
      </c>
      <c r="E1159" t="inlineStr">
        <is>
          <t>investment_signal_raw</t>
        </is>
      </c>
      <c r="F1159" t="inlineStr">
        <is>
          <t>Investment signal raw</t>
        </is>
      </c>
      <c r="G1159" t="inlineStr">
        <is>
          <t>creative</t>
        </is>
      </c>
      <c r="H1159" t="inlineStr">
        <is>
          <t>yes</t>
        </is>
      </c>
      <c r="I1159" t="inlineStr">
        <is>
          <t>-11.57</t>
        </is>
      </c>
      <c r="J1159" t="inlineStr">
        <is>
          <t>world_bank</t>
        </is>
      </c>
      <c r="K1159" t="inlineStr">
        <is>
          <t>https://api.worldbank.org/v2/country/CHE/indicator/BX.KLT.DINV.WD.GD.ZS?format=json&amp;mrv=10</t>
        </is>
      </c>
      <c r="L1159" t="inlineStr">
        <is>
          <t>World Bank WDI: Foreign direct investment, net inflows (% of GDP)</t>
        </is>
      </c>
      <c r="M1159" t="inlineStr">
        <is>
          <t>2024-12-31</t>
        </is>
      </c>
      <c r="N1159" t="inlineStr">
        <is>
          <t>auto_ingest=world_bank_creative_extended; indicator=BX.KLT.DINV.WD.GD.ZS; year=2024; country_proxy=Switzerland</t>
        </is>
      </c>
    </row>
    <row r="1160">
      <c r="A1160" t="inlineStr">
        <is>
          <t>ch-zurich</t>
        </is>
      </c>
      <c r="B1160" t="inlineStr">
        <is>
          <t>Zurich</t>
        </is>
      </c>
      <c r="C1160" t="inlineStr">
        <is>
          <t>Switzerland</t>
        </is>
      </c>
      <c r="D1160" t="inlineStr">
        <is>
          <t>Western and Northern Europe</t>
        </is>
      </c>
      <c r="E1160" t="inlineStr">
        <is>
          <t>administrative_investment_friction_raw</t>
        </is>
      </c>
      <c r="F1160" t="inlineStr">
        <is>
          <t>Administrative investment friction raw</t>
        </is>
      </c>
      <c r="G1160" t="inlineStr">
        <is>
          <t>creative</t>
        </is>
      </c>
      <c r="H1160" t="inlineStr">
        <is>
          <t>yes</t>
        </is>
      </c>
      <c r="I1160" t="inlineStr">
        <is>
          <t>0.77</t>
        </is>
      </c>
      <c r="J1160" t="inlineStr">
        <is>
          <t>world_bank</t>
        </is>
      </c>
      <c r="K1160" t="inlineStr">
        <is>
          <t>https://api.worldbank.org/v2/country/CHE/indicator/RQ.EST?format=json&amp;mrv=10</t>
        </is>
      </c>
      <c r="L1160" t="inlineStr">
        <is>
          <t>World Bank WGI: Regulatory Quality (inverted as friction proxy)</t>
        </is>
      </c>
      <c r="M1160" t="inlineStr">
        <is>
          <t>2023-12-31</t>
        </is>
      </c>
      <c r="N1160" t="inlineStr">
        <is>
          <t>auto_ingest=world_bank_business_friction; indicator=RQ.EST; raw_rq=1.72938001155853; friction=0.77; year=2023; country_proxy=Switzerland</t>
        </is>
      </c>
    </row>
    <row r="1161">
      <c r="A1161" t="inlineStr">
        <is>
          <t>ch-zurich</t>
        </is>
      </c>
      <c r="B1161" t="inlineStr">
        <is>
          <t>Zurich</t>
        </is>
      </c>
      <c r="C1161" t="inlineStr">
        <is>
          <t>Switzerland</t>
        </is>
      </c>
      <c r="D1161" t="inlineStr">
        <is>
          <t>Western and Northern Europe</t>
        </is>
      </c>
      <c r="E1161" t="inlineStr">
        <is>
          <t>visitor_flow_context_raw</t>
        </is>
      </c>
      <c r="F1161" t="inlineStr">
        <is>
          <t>Visitor flow context raw</t>
        </is>
      </c>
      <c r="G1161" t="inlineStr">
        <is>
          <t>creative</t>
        </is>
      </c>
      <c r="H1161" t="inlineStr">
        <is>
          <t>no</t>
        </is>
      </c>
      <c r="I1161" t="inlineStr"/>
      <c r="J1161" t="inlineStr"/>
      <c r="K1161" t="inlineStr"/>
      <c r="L1161" t="inlineStr"/>
      <c r="M1161" t="inlineStr"/>
      <c r="N1161" t="inlineStr"/>
    </row>
    <row r="1162">
      <c r="A1162" t="inlineStr">
        <is>
          <t>nl-amsterdam</t>
        </is>
      </c>
      <c r="B1162" t="inlineStr">
        <is>
          <t>Amsterdam</t>
        </is>
      </c>
      <c r="C1162" t="inlineStr">
        <is>
          <t>Netherlands</t>
        </is>
      </c>
      <c r="D1162" t="inlineStr">
        <is>
          <t>Western and Northern Europe</t>
        </is>
      </c>
      <c r="E1162" t="inlineStr">
        <is>
          <t>gross_income</t>
        </is>
      </c>
      <c r="F1162" t="inlineStr">
        <is>
          <t>Gross income</t>
        </is>
      </c>
      <c r="G1162" t="inlineStr">
        <is>
          <t>pressure</t>
        </is>
      </c>
      <c r="H1162" t="inlineStr">
        <is>
          <t>yes</t>
        </is>
      </c>
      <c r="I1162" t="inlineStr">
        <is>
          <t>7788.92</t>
        </is>
      </c>
      <c r="J1162" t="inlineStr">
        <is>
          <t>world_bank_col_estimate</t>
        </is>
      </c>
      <c r="K1162" t="inlineStr">
        <is>
          <t>https://api.worldbank.org/v2/country/NLD/indicator/NY.GNP.PCAP.PP.CD?format=json&amp;mrv=10</t>
        </is>
      </c>
      <c r="L1162" t="inlineStr">
        <is>
          <t>World Bank WDI: GNI per capita PPP (monthly USD)</t>
        </is>
      </c>
      <c r="M1162" t="inlineStr">
        <is>
          <t>2024-12-31</t>
        </is>
      </c>
      <c r="N1162" t="inlineStr">
        <is>
          <t>auto_ingest=world_bank_col_estimate; gni_annual=84970.0; year=2024; country_proxy=Netherlands; cohort=Western, Northern, and Southern Europe; city_income_mult=1.1</t>
        </is>
      </c>
    </row>
    <row r="1163">
      <c r="A1163" t="inlineStr">
        <is>
          <t>nl-amsterdam</t>
        </is>
      </c>
      <c r="B1163" t="inlineStr">
        <is>
          <t>Amsterdam</t>
        </is>
      </c>
      <c r="C1163" t="inlineStr">
        <is>
          <t>Netherlands</t>
        </is>
      </c>
      <c r="D1163" t="inlineStr">
        <is>
          <t>Western, Northern, and Southern Europe</t>
        </is>
      </c>
      <c r="E1163" t="inlineStr">
        <is>
          <t>di_ppp_raw</t>
        </is>
      </c>
      <c r="F1163" t="inlineStr">
        <is>
          <t>Disposable income PPP (Raw)</t>
        </is>
      </c>
      <c r="G1163" t="inlineStr">
        <is>
          <t>pressure</t>
        </is>
      </c>
      <c r="H1163" t="inlineStr">
        <is>
          <t>yes</t>
        </is>
      </c>
      <c r="I1163" t="inlineStr"/>
      <c r="J1163" t="inlineStr"/>
      <c r="K1163" t="inlineStr"/>
      <c r="L1163" t="inlineStr"/>
      <c r="M1163" t="inlineStr"/>
      <c r="N1163" t="inlineStr"/>
    </row>
    <row r="1164">
      <c r="A1164" t="inlineStr">
        <is>
          <t>nl-amsterdam</t>
        </is>
      </c>
      <c r="B1164" t="inlineStr">
        <is>
          <t>Amsterdam</t>
        </is>
      </c>
      <c r="C1164" t="inlineStr">
        <is>
          <t>Netherlands</t>
        </is>
      </c>
      <c r="D1164" t="inlineStr">
        <is>
          <t>Western and Northern Europe</t>
        </is>
      </c>
      <c r="E1164" t="inlineStr">
        <is>
          <t>rent</t>
        </is>
      </c>
      <c r="F1164" t="inlineStr">
        <is>
          <t>Rent</t>
        </is>
      </c>
      <c r="G1164" t="inlineStr">
        <is>
          <t>pressure</t>
        </is>
      </c>
      <c r="H1164" t="inlineStr">
        <is>
          <t>yes</t>
        </is>
      </c>
      <c r="I1164" t="inlineStr">
        <is>
          <t>3271.35</t>
        </is>
      </c>
      <c r="J1164" t="inlineStr">
        <is>
          <t>world_bank_col_estimate</t>
        </is>
      </c>
      <c r="K1164" t="inlineStr">
        <is>
          <t>https://api.worldbank.org/v2/country/NLD/indicator/NY.GNP.PCAP.PP.CD?format=json&amp;mrv=10</t>
        </is>
      </c>
      <c r="L1164" t="inlineStr">
        <is>
          <t>World Bank GNI + regional expenditure ratio estimate</t>
        </is>
      </c>
      <c r="M1164" t="inlineStr">
        <is>
          <t>2024-12-31</t>
        </is>
      </c>
      <c r="N1164" t="inlineStr">
        <is>
          <t>auto_ingest=world_bank_col_estimate; gni_annual=84970.0; year=2024; country_proxy=Netherlands; cohort=Western, Northern, and Southern Europe; city_cost_mult=1.2</t>
        </is>
      </c>
    </row>
    <row r="1165">
      <c r="A1165" t="inlineStr">
        <is>
          <t>nl-amsterdam</t>
        </is>
      </c>
      <c r="B1165" t="inlineStr">
        <is>
          <t>Amsterdam</t>
        </is>
      </c>
      <c r="C1165" t="inlineStr">
        <is>
          <t>Netherlands</t>
        </is>
      </c>
      <c r="D1165" t="inlineStr">
        <is>
          <t>Western and Northern Europe</t>
        </is>
      </c>
      <c r="E1165" t="inlineStr">
        <is>
          <t>utilities</t>
        </is>
      </c>
      <c r="F1165" t="inlineStr">
        <is>
          <t>Utilities</t>
        </is>
      </c>
      <c r="G1165" t="inlineStr">
        <is>
          <t>pressure</t>
        </is>
      </c>
      <c r="H1165" t="inlineStr">
        <is>
          <t>yes</t>
        </is>
      </c>
      <c r="I1165" t="inlineStr">
        <is>
          <t>654.27</t>
        </is>
      </c>
      <c r="J1165" t="inlineStr">
        <is>
          <t>world_bank_col_estimate</t>
        </is>
      </c>
      <c r="K1165" t="inlineStr">
        <is>
          <t>https://api.worldbank.org/v2/country/NLD/indicator/NY.GNP.PCAP.PP.CD?format=json&amp;mrv=10</t>
        </is>
      </c>
      <c r="L1165" t="inlineStr">
        <is>
          <t>World Bank GNI + regional expenditure ratio estimate</t>
        </is>
      </c>
      <c r="M1165" t="inlineStr">
        <is>
          <t>2024-12-31</t>
        </is>
      </c>
      <c r="N1165" t="inlineStr">
        <is>
          <t>auto_ingest=world_bank_col_estimate; gni_annual=84970.0; year=2024; country_proxy=Netherlands; cohort=Western, Northern, and Southern Europe; city_cost_mult=1.2</t>
        </is>
      </c>
    </row>
    <row r="1166">
      <c r="A1166" t="inlineStr">
        <is>
          <t>nl-amsterdam</t>
        </is>
      </c>
      <c r="B1166" t="inlineStr">
        <is>
          <t>Amsterdam</t>
        </is>
      </c>
      <c r="C1166" t="inlineStr">
        <is>
          <t>Netherlands</t>
        </is>
      </c>
      <c r="D1166" t="inlineStr">
        <is>
          <t>Western and Northern Europe</t>
        </is>
      </c>
      <c r="E1166" t="inlineStr">
        <is>
          <t>transit_cost</t>
        </is>
      </c>
      <c r="F1166" t="inlineStr">
        <is>
          <t>Transit cost</t>
        </is>
      </c>
      <c r="G1166" t="inlineStr">
        <is>
          <t>pressure</t>
        </is>
      </c>
      <c r="H1166" t="inlineStr">
        <is>
          <t>yes</t>
        </is>
      </c>
      <c r="I1166" t="inlineStr">
        <is>
          <t>467.34</t>
        </is>
      </c>
      <c r="J1166" t="inlineStr">
        <is>
          <t>world_bank_col_estimate</t>
        </is>
      </c>
      <c r="K1166" t="inlineStr">
        <is>
          <t>https://api.worldbank.org/v2/country/NLD/indicator/NY.GNP.PCAP.PP.CD?format=json&amp;mrv=10</t>
        </is>
      </c>
      <c r="L1166" t="inlineStr">
        <is>
          <t>World Bank GNI + regional expenditure ratio estimate</t>
        </is>
      </c>
      <c r="M1166" t="inlineStr">
        <is>
          <t>2024-12-31</t>
        </is>
      </c>
      <c r="N1166" t="inlineStr">
        <is>
          <t>auto_ingest=world_bank_col_estimate; gni_annual=84970.0; year=2024; country_proxy=Netherlands; cohort=Western, Northern, and Southern Europe; city_cost_mult=1.2</t>
        </is>
      </c>
    </row>
    <row r="1167">
      <c r="A1167" t="inlineStr">
        <is>
          <t>nl-amsterdam</t>
        </is>
      </c>
      <c r="B1167" t="inlineStr">
        <is>
          <t>Amsterdam</t>
        </is>
      </c>
      <c r="C1167" t="inlineStr">
        <is>
          <t>Netherlands</t>
        </is>
      </c>
      <c r="D1167" t="inlineStr">
        <is>
          <t>Western and Northern Europe</t>
        </is>
      </c>
      <c r="E1167" t="inlineStr">
        <is>
          <t>internet_cost</t>
        </is>
      </c>
      <c r="F1167" t="inlineStr">
        <is>
          <t>Internet cost</t>
        </is>
      </c>
      <c r="G1167" t="inlineStr">
        <is>
          <t>pressure</t>
        </is>
      </c>
      <c r="H1167" t="inlineStr">
        <is>
          <t>yes</t>
        </is>
      </c>
      <c r="I1167" t="inlineStr">
        <is>
          <t>140.2</t>
        </is>
      </c>
      <c r="J1167" t="inlineStr">
        <is>
          <t>world_bank_col_estimate</t>
        </is>
      </c>
      <c r="K1167" t="inlineStr">
        <is>
          <t>https://api.worldbank.org/v2/country/NLD/indicator/NY.GNP.PCAP.PP.CD?format=json&amp;mrv=10</t>
        </is>
      </c>
      <c r="L1167" t="inlineStr">
        <is>
          <t>World Bank GNI + regional expenditure ratio estimate</t>
        </is>
      </c>
      <c r="M1167" t="inlineStr">
        <is>
          <t>2024-12-31</t>
        </is>
      </c>
      <c r="N1167" t="inlineStr">
        <is>
          <t>auto_ingest=world_bank_col_estimate; gni_annual=84970.0; year=2024; country_proxy=Netherlands; cohort=Western, Northern, and Southern Europe; city_cost_mult=1.2</t>
        </is>
      </c>
    </row>
    <row r="1168">
      <c r="A1168" t="inlineStr">
        <is>
          <t>nl-amsterdam</t>
        </is>
      </c>
      <c r="B1168" t="inlineStr">
        <is>
          <t>Amsterdam</t>
        </is>
      </c>
      <c r="C1168" t="inlineStr">
        <is>
          <t>Netherlands</t>
        </is>
      </c>
      <c r="D1168" t="inlineStr">
        <is>
          <t>Western and Northern Europe</t>
        </is>
      </c>
      <c r="E1168" t="inlineStr">
        <is>
          <t>food_cost</t>
        </is>
      </c>
      <c r="F1168" t="inlineStr">
        <is>
          <t>Food cost</t>
        </is>
      </c>
      <c r="G1168" t="inlineStr">
        <is>
          <t>pressure</t>
        </is>
      </c>
      <c r="H1168" t="inlineStr">
        <is>
          <t>yes</t>
        </is>
      </c>
      <c r="I1168" t="inlineStr">
        <is>
          <t>1402.01</t>
        </is>
      </c>
      <c r="J1168" t="inlineStr">
        <is>
          <t>world_bank_col_estimate</t>
        </is>
      </c>
      <c r="K1168" t="inlineStr">
        <is>
          <t>https://api.worldbank.org/v2/country/NLD/indicator/NY.GNP.PCAP.PP.CD?format=json&amp;mrv=10</t>
        </is>
      </c>
      <c r="L1168" t="inlineStr">
        <is>
          <t>World Bank GNI + regional expenditure ratio estimate</t>
        </is>
      </c>
      <c r="M1168" t="inlineStr">
        <is>
          <t>2024-12-31</t>
        </is>
      </c>
      <c r="N1168" t="inlineStr">
        <is>
          <t>auto_ingest=world_bank_col_estimate; gni_annual=84970.0; year=2024; country_proxy=Netherlands; cohort=Western, Northern, and Southern Europe; city_cost_mult=1.2</t>
        </is>
      </c>
    </row>
    <row r="1169">
      <c r="A1169" t="inlineStr">
        <is>
          <t>nl-amsterdam</t>
        </is>
      </c>
      <c r="B1169" t="inlineStr">
        <is>
          <t>Amsterdam</t>
        </is>
      </c>
      <c r="C1169" t="inlineStr">
        <is>
          <t>Netherlands</t>
        </is>
      </c>
      <c r="D1169" t="inlineStr">
        <is>
          <t>Western and Northern Europe</t>
        </is>
      </c>
      <c r="E1169" t="inlineStr">
        <is>
          <t>housing_burden_raw</t>
        </is>
      </c>
      <c r="F1169" t="inlineStr">
        <is>
          <t>Housing burden raw</t>
        </is>
      </c>
      <c r="G1169" t="inlineStr">
        <is>
          <t>pressure</t>
        </is>
      </c>
      <c r="H1169" t="inlineStr">
        <is>
          <t>yes</t>
        </is>
      </c>
      <c r="I1169" t="inlineStr">
        <is>
          <t>42.0</t>
        </is>
      </c>
      <c r="J1169" t="inlineStr">
        <is>
          <t>derived</t>
        </is>
      </c>
      <c r="K1169" t="inlineStr">
        <is>
          <t>https://data.worldbank.org/indicator/NY.GNP.PCAP.PP.CD</t>
        </is>
      </c>
      <c r="L1169" t="inlineStr">
        <is>
          <t>Computed from city_inputs + country_context</t>
        </is>
      </c>
      <c r="M1169" t="inlineStr">
        <is>
          <t>2024-01-01</t>
        </is>
      </c>
      <c r="N1169" t="inlineStr">
        <is>
          <t>derived=rent/gross_income*100</t>
        </is>
      </c>
    </row>
    <row r="1170">
      <c r="A1170" t="inlineStr">
        <is>
          <t>nl-amsterdam</t>
        </is>
      </c>
      <c r="B1170" t="inlineStr">
        <is>
          <t>Amsterdam</t>
        </is>
      </c>
      <c r="C1170" t="inlineStr">
        <is>
          <t>Netherlands</t>
        </is>
      </c>
      <c r="D1170" t="inlineStr">
        <is>
          <t>Western and Northern Europe</t>
        </is>
      </c>
      <c r="E1170" t="inlineStr">
        <is>
          <t>household_debt_burden_raw</t>
        </is>
      </c>
      <c r="F1170" t="inlineStr">
        <is>
          <t>Household debt burden raw</t>
        </is>
      </c>
      <c r="G1170" t="inlineStr">
        <is>
          <t>pressure</t>
        </is>
      </c>
      <c r="H1170" t="inlineStr">
        <is>
          <t>yes</t>
        </is>
      </c>
      <c r="I1170" t="inlineStr">
        <is>
          <t>82.3297</t>
        </is>
      </c>
      <c r="J1170" t="inlineStr">
        <is>
          <t>derived</t>
        </is>
      </c>
      <c r="K1170" t="inlineStr">
        <is>
          <t>https://data.worldbank.org/indicator/NY.GNP.PCAP.PP.CD</t>
        </is>
      </c>
      <c r="L1170" t="inlineStr">
        <is>
          <t>Computed from city_inputs + country_context</t>
        </is>
      </c>
      <c r="M1170" t="inlineStr">
        <is>
          <t>2024-01-01</t>
        </is>
      </c>
      <c r="N1170" t="inlineStr">
        <is>
          <t>derived=country_context.household_debt_proxy; country=Netherlands</t>
        </is>
      </c>
    </row>
    <row r="1171">
      <c r="A1171" t="inlineStr">
        <is>
          <t>nl-amsterdam</t>
        </is>
      </c>
      <c r="B1171" t="inlineStr">
        <is>
          <t>Amsterdam</t>
        </is>
      </c>
      <c r="C1171" t="inlineStr">
        <is>
          <t>Netherlands</t>
        </is>
      </c>
      <c r="D1171" t="inlineStr">
        <is>
          <t>Western and Northern Europe</t>
        </is>
      </c>
      <c r="E1171" t="inlineStr">
        <is>
          <t>working_time_pressure_raw</t>
        </is>
      </c>
      <c r="F1171" t="inlineStr">
        <is>
          <t>Working time pressure raw</t>
        </is>
      </c>
      <c r="G1171" t="inlineStr">
        <is>
          <t>pressure</t>
        </is>
      </c>
      <c r="H1171" t="inlineStr">
        <is>
          <t>yes</t>
        </is>
      </c>
      <c r="I1171" t="inlineStr">
        <is>
          <t>30.24</t>
        </is>
      </c>
      <c r="J1171" t="inlineStr">
        <is>
          <t>ilo_ilostat</t>
        </is>
      </c>
      <c r="K1171" t="inlineStr">
        <is>
          <t>https://ilostat.ilo.org/data/indicator/?id=HOW_TEMP_SEX_ECO_NB_A&amp;ref_area=NLD</t>
        </is>
      </c>
      <c r="L1171" t="inlineStr">
        <is>
          <t>ILO ILOSTAT: Mean weekly hours actually worked per employed person</t>
        </is>
      </c>
      <c r="M1171" t="inlineStr">
        <is>
          <t>2024-12-31</t>
        </is>
      </c>
      <c r="N1171" t="inlineStr">
        <is>
          <t>auto_ingest=ilo_working_hours; indicator=HOW_TEMP_SEX_ECO_NB_A; year=2024; hours=30.24; country_proxy=Netherlands</t>
        </is>
      </c>
    </row>
    <row r="1172">
      <c r="A1172" t="inlineStr">
        <is>
          <t>nl-amsterdam</t>
        </is>
      </c>
      <c r="B1172" t="inlineStr">
        <is>
          <t>Amsterdam</t>
        </is>
      </c>
      <c r="C1172" t="inlineStr">
        <is>
          <t>Netherlands</t>
        </is>
      </c>
      <c r="D1172" t="inlineStr">
        <is>
          <t>Western and Northern Europe</t>
        </is>
      </c>
      <c r="E1172" t="inlineStr">
        <is>
          <t>suicide_mental_strain_raw</t>
        </is>
      </c>
      <c r="F1172" t="inlineStr">
        <is>
          <t>Suicide or mental strain raw</t>
        </is>
      </c>
      <c r="G1172" t="inlineStr">
        <is>
          <t>pressure</t>
        </is>
      </c>
      <c r="H1172" t="inlineStr">
        <is>
          <t>yes</t>
        </is>
      </c>
      <c r="I1172" t="inlineStr">
        <is>
          <t>11.5</t>
        </is>
      </c>
      <c r="J1172" t="inlineStr">
        <is>
          <t>who_gho</t>
        </is>
      </c>
      <c r="K1172" t="inlineStr">
        <is>
          <t>https://www.who.int/data/gho/data/indicators/indicator-details/GHO/SDGSUICIDE</t>
        </is>
      </c>
      <c r="L1172" t="inlineStr">
        <is>
          <t>WHO GHO: Age-standardized suicide rate (per 100,000 population)</t>
        </is>
      </c>
      <c r="M1172" t="inlineStr">
        <is>
          <t>2021-12-31</t>
        </is>
      </c>
      <c r="N1172" t="inlineStr">
        <is>
          <t>auto_ingest=who_gho; indicator=SDGSUICIDE; year=2021; country_proxy=Netherlands</t>
        </is>
      </c>
    </row>
    <row r="1173">
      <c r="A1173" t="inlineStr">
        <is>
          <t>nl-amsterdam</t>
        </is>
      </c>
      <c r="B1173" t="inlineStr">
        <is>
          <t>Amsterdam</t>
        </is>
      </c>
      <c r="C1173" t="inlineStr">
        <is>
          <t>Netherlands</t>
        </is>
      </c>
      <c r="D1173" t="inlineStr">
        <is>
          <t>Western and Northern Europe</t>
        </is>
      </c>
      <c r="E1173" t="inlineStr">
        <is>
          <t>personal_safety_raw</t>
        </is>
      </c>
      <c r="F1173" t="inlineStr">
        <is>
          <t>Personal safety raw</t>
        </is>
      </c>
      <c r="G1173" t="inlineStr">
        <is>
          <t>viability</t>
        </is>
      </c>
      <c r="H1173" t="inlineStr">
        <is>
          <t>yes</t>
        </is>
      </c>
      <c r="I1173" t="inlineStr">
        <is>
          <t>0.69</t>
        </is>
      </c>
      <c r="J1173" t="inlineStr">
        <is>
          <t>world_bank</t>
        </is>
      </c>
      <c r="K1173" t="inlineStr">
        <is>
          <t>https://api.worldbank.org/v2/country/NLD/indicator/VC.IHR.PSRC.P5?format=json&amp;mrv=10</t>
        </is>
      </c>
      <c r="L1173" t="inlineStr">
        <is>
          <t>UNODC via World Bank WDI: Intentional homicides (per 100,000 people)</t>
        </is>
      </c>
      <c r="M1173" t="inlineStr">
        <is>
          <t>2023-12-31</t>
        </is>
      </c>
      <c r="N1173" t="inlineStr">
        <is>
          <t>auto_ingest=unodc_safety; indicator=VC.IHR.PSRC.P5; year=2023; country_proxy=Netherlands</t>
        </is>
      </c>
    </row>
    <row r="1174">
      <c r="A1174" t="inlineStr">
        <is>
          <t>nl-amsterdam</t>
        </is>
      </c>
      <c r="B1174" t="inlineStr">
        <is>
          <t>Amsterdam</t>
        </is>
      </c>
      <c r="C1174" t="inlineStr">
        <is>
          <t>Netherlands</t>
        </is>
      </c>
      <c r="D1174" t="inlineStr">
        <is>
          <t>Western and Northern Europe</t>
        </is>
      </c>
      <c r="E1174" t="inlineStr">
        <is>
          <t>transit_access_commute_raw</t>
        </is>
      </c>
      <c r="F1174" t="inlineStr">
        <is>
          <t>Transit access and commute raw</t>
        </is>
      </c>
      <c r="G1174" t="inlineStr">
        <is>
          <t>viability</t>
        </is>
      </c>
      <c r="H1174" t="inlineStr">
        <is>
          <t>yes</t>
        </is>
      </c>
      <c r="I1174" t="inlineStr"/>
      <c r="J1174" t="inlineStr"/>
      <c r="K1174" t="inlineStr"/>
      <c r="L1174" t="inlineStr"/>
      <c r="M1174" t="inlineStr"/>
      <c r="N1174" t="inlineStr"/>
    </row>
    <row r="1175">
      <c r="A1175" t="inlineStr">
        <is>
          <t>nl-amsterdam</t>
        </is>
      </c>
      <c r="B1175" t="inlineStr">
        <is>
          <t>Amsterdam</t>
        </is>
      </c>
      <c r="C1175" t="inlineStr">
        <is>
          <t>Netherlands</t>
        </is>
      </c>
      <c r="D1175" t="inlineStr">
        <is>
          <t>Western and Northern Europe</t>
        </is>
      </c>
      <c r="E1175" t="inlineStr">
        <is>
          <t>clean_air_raw</t>
        </is>
      </c>
      <c r="F1175" t="inlineStr">
        <is>
          <t>Clean air raw</t>
        </is>
      </c>
      <c r="G1175" t="inlineStr">
        <is>
          <t>viability</t>
        </is>
      </c>
      <c r="H1175" t="inlineStr">
        <is>
          <t>yes</t>
        </is>
      </c>
      <c r="I1175" t="inlineStr"/>
      <c r="J1175" t="inlineStr"/>
      <c r="K1175" t="inlineStr"/>
      <c r="L1175" t="inlineStr"/>
      <c r="M1175" t="inlineStr"/>
      <c r="N1175" t="inlineStr"/>
    </row>
    <row r="1176">
      <c r="A1176" t="inlineStr">
        <is>
          <t>nl-amsterdam</t>
        </is>
      </c>
      <c r="B1176" t="inlineStr">
        <is>
          <t>Amsterdam</t>
        </is>
      </c>
      <c r="C1176" t="inlineStr">
        <is>
          <t>Netherlands</t>
        </is>
      </c>
      <c r="D1176" t="inlineStr">
        <is>
          <t>Western and Northern Europe</t>
        </is>
      </c>
      <c r="E1176" t="inlineStr">
        <is>
          <t>water_sanitation_utility_raw</t>
        </is>
      </c>
      <c r="F1176" t="inlineStr">
        <is>
          <t>Water, sanitation, and utility raw</t>
        </is>
      </c>
      <c r="G1176" t="inlineStr">
        <is>
          <t>viability</t>
        </is>
      </c>
      <c r="H1176" t="inlineStr">
        <is>
          <t>yes</t>
        </is>
      </c>
      <c r="I1176" t="inlineStr">
        <is>
          <t>99.96</t>
        </is>
      </c>
      <c r="J1176" t="inlineStr">
        <is>
          <t>world_bank</t>
        </is>
      </c>
      <c r="K1176" t="inlineStr">
        <is>
          <t>https://api.worldbank.org/v2/country/NLD/indicator/SH.H2O.SMDW.ZS?format=json&amp;mrv=10</t>
        </is>
      </c>
      <c r="L1176" t="inlineStr">
        <is>
          <t>World Bank WDI: People using safely managed drinking water services (% of population)</t>
        </is>
      </c>
      <c r="M1176" t="inlineStr">
        <is>
          <t>2024-12-31</t>
        </is>
      </c>
      <c r="N1176" t="inlineStr">
        <is>
          <t>auto_ingest=world_bank_proxy; indicator=SH.H2O.SMDW.ZS; year=2024; country_proxy=Netherlands</t>
        </is>
      </c>
    </row>
    <row r="1177">
      <c r="A1177" t="inlineStr">
        <is>
          <t>nl-amsterdam</t>
        </is>
      </c>
      <c r="B1177" t="inlineStr">
        <is>
          <t>Amsterdam</t>
        </is>
      </c>
      <c r="C1177" t="inlineStr">
        <is>
          <t>Netherlands</t>
        </is>
      </c>
      <c r="D1177" t="inlineStr">
        <is>
          <t>Western and Northern Europe</t>
        </is>
      </c>
      <c r="E1177" t="inlineStr">
        <is>
          <t>digital_infrastructure_raw</t>
        </is>
      </c>
      <c r="F1177" t="inlineStr">
        <is>
          <t>Digital infrastructure raw</t>
        </is>
      </c>
      <c r="G1177" t="inlineStr">
        <is>
          <t>viability</t>
        </is>
      </c>
      <c r="H1177" t="inlineStr">
        <is>
          <t>yes</t>
        </is>
      </c>
      <c r="I1177" t="inlineStr">
        <is>
          <t>43.26</t>
        </is>
      </c>
      <c r="J1177" t="inlineStr">
        <is>
          <t>world_bank</t>
        </is>
      </c>
      <c r="K1177" t="inlineStr">
        <is>
          <t>https://api.worldbank.org/v2/country/NLD/indicator/IT.NET.BBND.P2?format=json&amp;mrv=10</t>
        </is>
      </c>
      <c r="L1177" t="inlineStr">
        <is>
          <t>World Bank WDI: Fixed broadband subscriptions (per 100 people)</t>
        </is>
      </c>
      <c r="M1177" t="inlineStr">
        <is>
          <t>2023-12-31</t>
        </is>
      </c>
      <c r="N1177" t="inlineStr">
        <is>
          <t>auto_ingest=world_bank_proxy; indicator=IT.NET.BBND.P2; year=2023; country_proxy=Netherlands</t>
        </is>
      </c>
    </row>
    <row r="1178">
      <c r="A1178" t="inlineStr">
        <is>
          <t>nl-amsterdam</t>
        </is>
      </c>
      <c r="B1178" t="inlineStr">
        <is>
          <t>Amsterdam</t>
        </is>
      </c>
      <c r="C1178" t="inlineStr">
        <is>
          <t>Netherlands</t>
        </is>
      </c>
      <c r="D1178" t="inlineStr">
        <is>
          <t>Western and Northern Europe</t>
        </is>
      </c>
      <c r="E1178" t="inlineStr">
        <is>
          <t>climate_sunlight_livability_raw</t>
        </is>
      </c>
      <c r="F1178" t="inlineStr">
        <is>
          <t>Climate and sunlight livability raw</t>
        </is>
      </c>
      <c r="G1178" t="inlineStr">
        <is>
          <t>viability</t>
        </is>
      </c>
      <c r="H1178" t="inlineStr">
        <is>
          <t>yes</t>
        </is>
      </c>
      <c r="I1178" t="inlineStr">
        <is>
          <t>46</t>
        </is>
      </c>
      <c r="J1178" t="inlineStr">
        <is>
          <t>wmo_natl_met</t>
        </is>
      </c>
      <c r="K1178" t="inlineStr">
        <is>
          <t>https://worldweather.wmo.int</t>
        </is>
      </c>
      <c r="L1178" t="inlineStr">
        <is>
          <t>WMO/National Met: Climate livability composite</t>
        </is>
      </c>
      <c r="M1178" t="inlineStr">
        <is>
          <t>2024-12-31</t>
        </is>
      </c>
      <c r="N1178" t="inlineStr">
        <is>
          <t>auto_seed=climate_composite; 1650 sun hrs, 10C mean, grey, rainy, windy</t>
        </is>
      </c>
    </row>
    <row r="1179">
      <c r="A1179" t="inlineStr">
        <is>
          <t>nl-amsterdam</t>
        </is>
      </c>
      <c r="B1179" t="inlineStr">
        <is>
          <t>Amsterdam</t>
        </is>
      </c>
      <c r="C1179" t="inlineStr">
        <is>
          <t>Netherlands</t>
        </is>
      </c>
      <c r="D1179" t="inlineStr">
        <is>
          <t>Western and Northern Europe</t>
        </is>
      </c>
      <c r="E1179" t="inlineStr">
        <is>
          <t>healthcare_quality_raw</t>
        </is>
      </c>
      <c r="F1179" t="inlineStr">
        <is>
          <t>Healthcare quality raw</t>
        </is>
      </c>
      <c r="G1179" t="inlineStr">
        <is>
          <t>capability</t>
        </is>
      </c>
      <c r="H1179" t="inlineStr">
        <is>
          <t>yes</t>
        </is>
      </c>
      <c r="I1179" t="inlineStr">
        <is>
          <t>85.0</t>
        </is>
      </c>
      <c r="J1179" t="inlineStr">
        <is>
          <t>who_gho</t>
        </is>
      </c>
      <c r="K1179" t="inlineStr">
        <is>
          <t>https://www.who.int/data/gho/data/indicators/indicator-details/GHO/UHC_INDEX_REPORTED</t>
        </is>
      </c>
      <c r="L1179" t="inlineStr">
        <is>
          <t>WHO GHO: UHC Service Coverage Index</t>
        </is>
      </c>
      <c r="M1179" t="inlineStr">
        <is>
          <t>2023-12-31</t>
        </is>
      </c>
      <c r="N1179" t="inlineStr">
        <is>
          <t>auto_ingest=who_gho; indicator=UHC_INDEX_REPORTED; year=2023; country_proxy=Netherlands</t>
        </is>
      </c>
    </row>
    <row r="1180">
      <c r="A1180" t="inlineStr">
        <is>
          <t>nl-amsterdam</t>
        </is>
      </c>
      <c r="B1180" t="inlineStr">
        <is>
          <t>Amsterdam</t>
        </is>
      </c>
      <c r="C1180" t="inlineStr">
        <is>
          <t>Netherlands</t>
        </is>
      </c>
      <c r="D1180" t="inlineStr">
        <is>
          <t>Western and Northern Europe</t>
        </is>
      </c>
      <c r="E1180" t="inlineStr">
        <is>
          <t>education_quality_raw</t>
        </is>
      </c>
      <c r="F1180" t="inlineStr">
        <is>
          <t>Education quality raw</t>
        </is>
      </c>
      <c r="G1180" t="inlineStr">
        <is>
          <t>capability</t>
        </is>
      </c>
      <c r="H1180" t="inlineStr">
        <is>
          <t>yes</t>
        </is>
      </c>
      <c r="I1180" t="inlineStr">
        <is>
          <t>86.59</t>
        </is>
      </c>
      <c r="J1180" t="inlineStr">
        <is>
          <t>world_bank</t>
        </is>
      </c>
      <c r="K1180" t="inlineStr">
        <is>
          <t>https://api.worldbank.org/v2/country/NLD/indicator/SE.TER.ENRR?format=json&amp;mrv=10</t>
        </is>
      </c>
      <c r="L1180" t="inlineStr">
        <is>
          <t>World Bank WDI: School enrollment, tertiary (% gross)</t>
        </is>
      </c>
      <c r="M1180" t="inlineStr">
        <is>
          <t>2023-12-31</t>
        </is>
      </c>
      <c r="N1180" t="inlineStr">
        <is>
          <t>auto_ingest=world_bank_proxy; indicator=SE.TER.ENRR; year=2023; country_proxy=Netherlands</t>
        </is>
      </c>
    </row>
    <row r="1181">
      <c r="A1181" t="inlineStr">
        <is>
          <t>nl-amsterdam</t>
        </is>
      </c>
      <c r="B1181" t="inlineStr">
        <is>
          <t>Amsterdam</t>
        </is>
      </c>
      <c r="C1181" t="inlineStr">
        <is>
          <t>Netherlands</t>
        </is>
      </c>
      <c r="D1181" t="inlineStr">
        <is>
          <t>Western and Northern Europe</t>
        </is>
      </c>
      <c r="E1181" t="inlineStr">
        <is>
          <t>equal_opportunity_raw</t>
        </is>
      </c>
      <c r="F1181" t="inlineStr">
        <is>
          <t>Equal opportunity raw</t>
        </is>
      </c>
      <c r="G1181" t="inlineStr">
        <is>
          <t>capability</t>
        </is>
      </c>
      <c r="H1181" t="inlineStr">
        <is>
          <t>yes</t>
        </is>
      </c>
      <c r="I1181" t="inlineStr">
        <is>
          <t>25.7</t>
        </is>
      </c>
      <c r="J1181" t="inlineStr">
        <is>
          <t>world_bank</t>
        </is>
      </c>
      <c r="K1181" t="inlineStr">
        <is>
          <t>https://api.worldbank.org/v2/country/NLD/indicator/SI.POV.GINI?format=json&amp;mrv=10</t>
        </is>
      </c>
      <c r="L1181" t="inlineStr">
        <is>
          <t>World Bank WDI: Gini index</t>
        </is>
      </c>
      <c r="M1181" t="inlineStr">
        <is>
          <t>2021-12-31</t>
        </is>
      </c>
      <c r="N1181" t="inlineStr">
        <is>
          <t>auto_ingest=world_bank_capability; indicator=SI.POV.GINI; year=2021; country_proxy=Netherlands</t>
        </is>
      </c>
    </row>
    <row r="1182">
      <c r="A1182" t="inlineStr">
        <is>
          <t>nl-amsterdam</t>
        </is>
      </c>
      <c r="B1182" t="inlineStr">
        <is>
          <t>Amsterdam</t>
        </is>
      </c>
      <c r="C1182" t="inlineStr">
        <is>
          <t>Netherlands</t>
        </is>
      </c>
      <c r="D1182" t="inlineStr">
        <is>
          <t>Western and Northern Europe</t>
        </is>
      </c>
      <c r="E1182" t="inlineStr">
        <is>
          <t>hospitality_belonging_raw</t>
        </is>
      </c>
      <c r="F1182" t="inlineStr">
        <is>
          <t>Hospitality and belonging raw</t>
        </is>
      </c>
      <c r="G1182" t="inlineStr">
        <is>
          <t>community</t>
        </is>
      </c>
      <c r="H1182" t="inlineStr">
        <is>
          <t>yes</t>
        </is>
      </c>
      <c r="I1182" t="inlineStr">
        <is>
          <t>55.82</t>
        </is>
      </c>
      <c r="J1182" t="inlineStr">
        <is>
          <t>world_bank</t>
        </is>
      </c>
      <c r="K1182" t="inlineStr">
        <is>
          <t>https://api.worldbank.org/v2/country/NLD/indicator/SM.POP.NETM?format=json&amp;mrv=10</t>
        </is>
      </c>
      <c r="L1182" t="inlineStr">
        <is>
          <t>World Bank WDI: Net migration (proxy for hospitality/belonging — positive = welcoming)</t>
        </is>
      </c>
      <c r="M1182" t="inlineStr">
        <is>
          <t>2025-12-31</t>
        </is>
      </c>
      <c r="N1182" t="inlineStr">
        <is>
          <t>auto_ingest=world_bank_proxy; proxy=net_migration_hospitality; indicator=SM.POP.NETM; year=2025; country_proxy=Netherlands</t>
        </is>
      </c>
    </row>
    <row r="1183">
      <c r="A1183" t="inlineStr">
        <is>
          <t>nl-amsterdam</t>
        </is>
      </c>
      <c r="B1183" t="inlineStr">
        <is>
          <t>Amsterdam</t>
        </is>
      </c>
      <c r="C1183" t="inlineStr">
        <is>
          <t>Netherlands</t>
        </is>
      </c>
      <c r="D1183" t="inlineStr">
        <is>
          <t>Western and Northern Europe</t>
        </is>
      </c>
      <c r="E1183" t="inlineStr">
        <is>
          <t>tolerance_pluralism_raw</t>
        </is>
      </c>
      <c r="F1183" t="inlineStr">
        <is>
          <t>Tolerance and pluralism raw</t>
        </is>
      </c>
      <c r="G1183" t="inlineStr">
        <is>
          <t>community</t>
        </is>
      </c>
      <c r="H1183" t="inlineStr">
        <is>
          <t>yes</t>
        </is>
      </c>
      <c r="I1183" t="inlineStr">
        <is>
          <t>38.67</t>
        </is>
      </c>
      <c r="J1183" t="inlineStr">
        <is>
          <t>world_bank</t>
        </is>
      </c>
      <c r="K1183" t="inlineStr">
        <is>
          <t>https://api.worldbank.org/v2/country/NLD/indicator/SG.GEN.PARL.ZS?format=json&amp;mrv=10</t>
        </is>
      </c>
      <c r="L1183" t="inlineStr">
        <is>
          <t>World Bank WDI: Proportion of seats held by women in national parliaments (%)</t>
        </is>
      </c>
      <c r="M1183" t="inlineStr">
        <is>
          <t>2024-12-31</t>
        </is>
      </c>
      <c r="N1183" t="inlineStr">
        <is>
          <t>auto_ingest=world_bank_proxy; proxy=gender_parity_parliament; indicator=SG.GEN.PARL.ZS; year=2024; country_proxy=Netherlands</t>
        </is>
      </c>
    </row>
    <row r="1184">
      <c r="A1184" t="inlineStr">
        <is>
          <t>nl-amsterdam</t>
        </is>
      </c>
      <c r="B1184" t="inlineStr">
        <is>
          <t>Amsterdam</t>
        </is>
      </c>
      <c r="C1184" t="inlineStr">
        <is>
          <t>Netherlands</t>
        </is>
      </c>
      <c r="D1184" t="inlineStr">
        <is>
          <t>Western and Northern Europe</t>
        </is>
      </c>
      <c r="E1184" t="inlineStr">
        <is>
          <t>cultural_public_life_raw</t>
        </is>
      </c>
      <c r="F1184" t="inlineStr">
        <is>
          <t>Cultural public life raw</t>
        </is>
      </c>
      <c r="G1184" t="inlineStr">
        <is>
          <t>community</t>
        </is>
      </c>
      <c r="H1184" t="inlineStr">
        <is>
          <t>yes</t>
        </is>
      </c>
      <c r="I1184" t="inlineStr">
        <is>
          <t>403.76</t>
        </is>
      </c>
      <c r="J1184" t="inlineStr">
        <is>
          <t>world_bank</t>
        </is>
      </c>
      <c r="K1184" t="inlineStr">
        <is>
          <t>https://api.worldbank.org/v2/country/NLD/indicator/ST.INT.ARVL?format=json&amp;mrv=10</t>
        </is>
      </c>
      <c r="L1184" t="inlineStr">
        <is>
          <t>World Bank WDI: International tourism arrivals per 1 000 population</t>
        </is>
      </c>
      <c r="M1184" t="inlineStr">
        <is>
          <t>2020-12-31</t>
        </is>
      </c>
      <c r="N1184" t="inlineStr">
        <is>
          <t>auto_ingest=cultural_life_proxy; indicator=ST.INT.ARVL; norm=per_1000_pop; year=2020; country_proxy=Netherlands</t>
        </is>
      </c>
    </row>
    <row r="1185">
      <c r="A1185" t="inlineStr">
        <is>
          <t>nl-amsterdam</t>
        </is>
      </c>
      <c r="B1185" t="inlineStr">
        <is>
          <t>Amsterdam</t>
        </is>
      </c>
      <c r="C1185" t="inlineStr">
        <is>
          <t>Netherlands</t>
        </is>
      </c>
      <c r="D1185" t="inlineStr">
        <is>
          <t>Western and Northern Europe</t>
        </is>
      </c>
      <c r="E1185" t="inlineStr">
        <is>
          <t>birth_rate_optimism_raw</t>
        </is>
      </c>
      <c r="F1185" t="inlineStr">
        <is>
          <t>Birth rate and societal optimism raw</t>
        </is>
      </c>
      <c r="G1185" t="inlineStr">
        <is>
          <t>community</t>
        </is>
      </c>
      <c r="H1185" t="inlineStr">
        <is>
          <t>yes</t>
        </is>
      </c>
      <c r="I1185" t="inlineStr">
        <is>
          <t>1.49</t>
        </is>
      </c>
      <c r="J1185" t="inlineStr">
        <is>
          <t>world_bank</t>
        </is>
      </c>
      <c r="K1185" t="inlineStr">
        <is>
          <t>https://data.worldbank.org/indicator/SP.DYN.TFRT.IN</t>
        </is>
      </c>
      <c r="L1185" t="inlineStr">
        <is>
          <t>World Bank Total Fertility Rate 2023</t>
        </is>
      </c>
      <c r="M1185" t="inlineStr">
        <is>
          <t>2024-01-01</t>
        </is>
      </c>
      <c r="N1185" t="inlineStr"/>
    </row>
    <row r="1186">
      <c r="A1186" t="inlineStr">
        <is>
          <t>nl-amsterdam</t>
        </is>
      </c>
      <c r="B1186" t="inlineStr">
        <is>
          <t>Amsterdam</t>
        </is>
      </c>
      <c r="C1186" t="inlineStr">
        <is>
          <t>Netherlands</t>
        </is>
      </c>
      <c r="D1186" t="inlineStr">
        <is>
          <t>Western and Northern Europe</t>
        </is>
      </c>
      <c r="E1186" t="inlineStr">
        <is>
          <t>entrepreneurial_dynamism_raw</t>
        </is>
      </c>
      <c r="F1186" t="inlineStr">
        <is>
          <t>Entrepreneurial dynamism raw</t>
        </is>
      </c>
      <c r="G1186" t="inlineStr">
        <is>
          <t>creative</t>
        </is>
      </c>
      <c r="H1186" t="inlineStr">
        <is>
          <t>yes</t>
        </is>
      </c>
      <c r="I1186" t="inlineStr">
        <is>
          <t>3.43</t>
        </is>
      </c>
      <c r="J1186" t="inlineStr">
        <is>
          <t>world_bank</t>
        </is>
      </c>
      <c r="K1186" t="inlineStr">
        <is>
          <t>https://api.worldbank.org/v2/country/NLD/indicator/IC.BUS.NDNS.ZS?format=json&amp;mrv=10</t>
        </is>
      </c>
      <c r="L1186" t="inlineStr">
        <is>
          <t>World Bank WDI: New business density (new registrations per 1,000 people ages 15-64)</t>
        </is>
      </c>
      <c r="M1186" t="inlineStr">
        <is>
          <t>2022-12-31</t>
        </is>
      </c>
      <c r="N1186" t="inlineStr">
        <is>
          <t>auto_ingest=world_bank_creative_extended; indicator=IC.BUS.NDNS.ZS; year=2022; country_proxy=Netherlands</t>
        </is>
      </c>
    </row>
    <row r="1187">
      <c r="A1187" t="inlineStr">
        <is>
          <t>nl-amsterdam</t>
        </is>
      </c>
      <c r="B1187" t="inlineStr">
        <is>
          <t>Amsterdam</t>
        </is>
      </c>
      <c r="C1187" t="inlineStr">
        <is>
          <t>Netherlands</t>
        </is>
      </c>
      <c r="D1187" t="inlineStr">
        <is>
          <t>Western and Northern Europe</t>
        </is>
      </c>
      <c r="E1187" t="inlineStr">
        <is>
          <t>innovation_research_intensity_raw</t>
        </is>
      </c>
      <c r="F1187" t="inlineStr">
        <is>
          <t>Innovation and research raw</t>
        </is>
      </c>
      <c r="G1187" t="inlineStr">
        <is>
          <t>creative</t>
        </is>
      </c>
      <c r="H1187" t="inlineStr">
        <is>
          <t>yes</t>
        </is>
      </c>
      <c r="I1187" t="inlineStr">
        <is>
          <t>2.26</t>
        </is>
      </c>
      <c r="J1187" t="inlineStr">
        <is>
          <t>world_bank</t>
        </is>
      </c>
      <c r="K1187" t="inlineStr">
        <is>
          <t>https://api.worldbank.org/v2/country/NLD/indicator/GB.XPD.RSDV.GD.ZS?format=json&amp;mrv=10</t>
        </is>
      </c>
      <c r="L1187" t="inlineStr">
        <is>
          <t>World Bank WDI: Research and development expenditure (% of GDP)</t>
        </is>
      </c>
      <c r="M1187" t="inlineStr">
        <is>
          <t>2022-12-31</t>
        </is>
      </c>
      <c r="N1187" t="inlineStr">
        <is>
          <t>auto_ingest=world_bank_creative_extended; indicator=GB.XPD.RSDV.GD.ZS; year=2022; country_proxy=Netherlands</t>
        </is>
      </c>
    </row>
    <row r="1188">
      <c r="A1188" t="inlineStr">
        <is>
          <t>nl-amsterdam</t>
        </is>
      </c>
      <c r="B1188" t="inlineStr">
        <is>
          <t>Amsterdam</t>
        </is>
      </c>
      <c r="C1188" t="inlineStr">
        <is>
          <t>Netherlands</t>
        </is>
      </c>
      <c r="D1188" t="inlineStr">
        <is>
          <t>Western and Northern Europe</t>
        </is>
      </c>
      <c r="E1188" t="inlineStr">
        <is>
          <t>investment_signal_raw</t>
        </is>
      </c>
      <c r="F1188" t="inlineStr">
        <is>
          <t>Investment signal raw</t>
        </is>
      </c>
      <c r="G1188" t="inlineStr">
        <is>
          <t>creative</t>
        </is>
      </c>
      <c r="H1188" t="inlineStr">
        <is>
          <t>yes</t>
        </is>
      </c>
      <c r="I1188" t="inlineStr">
        <is>
          <t>-1.4</t>
        </is>
      </c>
      <c r="J1188" t="inlineStr">
        <is>
          <t>world_bank</t>
        </is>
      </c>
      <c r="K1188" t="inlineStr">
        <is>
          <t>https://api.worldbank.org/v2/country/NLD/indicator/BX.KLT.DINV.WD.GD.ZS?format=json&amp;mrv=10</t>
        </is>
      </c>
      <c r="L1188" t="inlineStr">
        <is>
          <t>World Bank WDI: Foreign direct investment, net inflows (% of GDP)</t>
        </is>
      </c>
      <c r="M1188" t="inlineStr">
        <is>
          <t>2024-12-31</t>
        </is>
      </c>
      <c r="N1188" t="inlineStr">
        <is>
          <t>auto_ingest=world_bank_creative_extended; indicator=BX.KLT.DINV.WD.GD.ZS; year=2024; country_proxy=Netherlands</t>
        </is>
      </c>
    </row>
    <row r="1189">
      <c r="A1189" t="inlineStr">
        <is>
          <t>nl-amsterdam</t>
        </is>
      </c>
      <c r="B1189" t="inlineStr">
        <is>
          <t>Amsterdam</t>
        </is>
      </c>
      <c r="C1189" t="inlineStr">
        <is>
          <t>Netherlands</t>
        </is>
      </c>
      <c r="D1189" t="inlineStr">
        <is>
          <t>Western and Northern Europe</t>
        </is>
      </c>
      <c r="E1189" t="inlineStr">
        <is>
          <t>administrative_investment_friction_raw</t>
        </is>
      </c>
      <c r="F1189" t="inlineStr">
        <is>
          <t>Administrative investment friction raw</t>
        </is>
      </c>
      <c r="G1189" t="inlineStr">
        <is>
          <t>creative</t>
        </is>
      </c>
      <c r="H1189" t="inlineStr">
        <is>
          <t>yes</t>
        </is>
      </c>
      <c r="I1189" t="inlineStr">
        <is>
          <t>0.71</t>
        </is>
      </c>
      <c r="J1189" t="inlineStr">
        <is>
          <t>world_bank</t>
        </is>
      </c>
      <c r="K1189" t="inlineStr">
        <is>
          <t>https://api.worldbank.org/v2/country/NLD/indicator/RQ.EST?format=json&amp;mrv=10</t>
        </is>
      </c>
      <c r="L1189" t="inlineStr">
        <is>
          <t>World Bank WGI: Regulatory Quality (inverted as friction proxy)</t>
        </is>
      </c>
      <c r="M1189" t="inlineStr">
        <is>
          <t>2023-12-31</t>
        </is>
      </c>
      <c r="N1189" t="inlineStr">
        <is>
          <t>auto_ingest=world_bank_business_friction; indicator=RQ.EST; raw_rq=1.79096639156342; friction=0.71; year=2023; country_proxy=Netherlands</t>
        </is>
      </c>
    </row>
    <row r="1190">
      <c r="A1190" t="inlineStr">
        <is>
          <t>nl-amsterdam</t>
        </is>
      </c>
      <c r="B1190" t="inlineStr">
        <is>
          <t>Amsterdam</t>
        </is>
      </c>
      <c r="C1190" t="inlineStr">
        <is>
          <t>Netherlands</t>
        </is>
      </c>
      <c r="D1190" t="inlineStr">
        <is>
          <t>Western and Northern Europe</t>
        </is>
      </c>
      <c r="E1190" t="inlineStr">
        <is>
          <t>visitor_flow_context_raw</t>
        </is>
      </c>
      <c r="F1190" t="inlineStr">
        <is>
          <t>Visitor flow context raw</t>
        </is>
      </c>
      <c r="G1190" t="inlineStr">
        <is>
          <t>creative</t>
        </is>
      </c>
      <c r="H1190" t="inlineStr">
        <is>
          <t>no</t>
        </is>
      </c>
      <c r="I1190" t="inlineStr"/>
      <c r="J1190" t="inlineStr"/>
      <c r="K1190" t="inlineStr"/>
      <c r="L1190" t="inlineStr"/>
      <c r="M1190" t="inlineStr"/>
      <c r="N1190" t="inlineStr"/>
    </row>
    <row r="1191">
      <c r="A1191" t="inlineStr">
        <is>
          <t>dk-copenhagen</t>
        </is>
      </c>
      <c r="B1191" t="inlineStr">
        <is>
          <t>Copenhagen</t>
        </is>
      </c>
      <c r="C1191" t="inlineStr">
        <is>
          <t>Denmark</t>
        </is>
      </c>
      <c r="D1191" t="inlineStr">
        <is>
          <t>Western and Northern Europe</t>
        </is>
      </c>
      <c r="E1191" t="inlineStr">
        <is>
          <t>gross_income</t>
        </is>
      </c>
      <c r="F1191" t="inlineStr">
        <is>
          <t>Gross income</t>
        </is>
      </c>
      <c r="G1191" t="inlineStr">
        <is>
          <t>pressure</t>
        </is>
      </c>
      <c r="H1191" t="inlineStr">
        <is>
          <t>yes</t>
        </is>
      </c>
      <c r="I1191" t="inlineStr">
        <is>
          <t>7409.5</t>
        </is>
      </c>
      <c r="J1191" t="inlineStr">
        <is>
          <t>world_bank_col_estimate</t>
        </is>
      </c>
      <c r="K1191" t="inlineStr">
        <is>
          <t>https://api.worldbank.org/v2/country/DNK/indicator/NY.GNP.PCAP.PP.CD?format=json&amp;mrv=10</t>
        </is>
      </c>
      <c r="L1191" t="inlineStr">
        <is>
          <t>World Bank WDI: GNI per capita PPP (monthly USD)</t>
        </is>
      </c>
      <c r="M1191" t="inlineStr">
        <is>
          <t>2024-12-31</t>
        </is>
      </c>
      <c r="N1191" t="inlineStr">
        <is>
          <t>auto_ingest=world_bank_col_estimate; gni_annual=84680.0; year=2024; country_proxy=Denmark; cohort=Western, Northern, and Southern Europe; city_income_mult=1.05</t>
        </is>
      </c>
    </row>
    <row r="1192">
      <c r="A1192" t="inlineStr">
        <is>
          <t>dk-copenhagen</t>
        </is>
      </c>
      <c r="B1192" t="inlineStr">
        <is>
          <t>Copenhagen</t>
        </is>
      </c>
      <c r="C1192" t="inlineStr">
        <is>
          <t>Denmark</t>
        </is>
      </c>
      <c r="D1192" t="inlineStr">
        <is>
          <t>Western, Northern, and Southern Europe</t>
        </is>
      </c>
      <c r="E1192" t="inlineStr">
        <is>
          <t>di_ppp_raw</t>
        </is>
      </c>
      <c r="F1192" t="inlineStr">
        <is>
          <t>Disposable income PPP (Raw)</t>
        </is>
      </c>
      <c r="G1192" t="inlineStr">
        <is>
          <t>pressure</t>
        </is>
      </c>
      <c r="H1192" t="inlineStr">
        <is>
          <t>yes</t>
        </is>
      </c>
      <c r="I1192" t="inlineStr"/>
      <c r="J1192" t="inlineStr"/>
      <c r="K1192" t="inlineStr"/>
      <c r="L1192" t="inlineStr"/>
      <c r="M1192" t="inlineStr"/>
      <c r="N1192" t="inlineStr"/>
    </row>
    <row r="1193">
      <c r="A1193" t="inlineStr">
        <is>
          <t>dk-copenhagen</t>
        </is>
      </c>
      <c r="B1193" t="inlineStr">
        <is>
          <t>Copenhagen</t>
        </is>
      </c>
      <c r="C1193" t="inlineStr">
        <is>
          <t>Denmark</t>
        </is>
      </c>
      <c r="D1193" t="inlineStr">
        <is>
          <t>Western and Northern Europe</t>
        </is>
      </c>
      <c r="E1193" t="inlineStr">
        <is>
          <t>rent</t>
        </is>
      </c>
      <c r="F1193" t="inlineStr">
        <is>
          <t>Rent</t>
        </is>
      </c>
      <c r="G1193" t="inlineStr">
        <is>
          <t>pressure</t>
        </is>
      </c>
      <c r="H1193" t="inlineStr">
        <is>
          <t>yes</t>
        </is>
      </c>
      <c r="I1193" t="inlineStr">
        <is>
          <t>2982.32</t>
        </is>
      </c>
      <c r="J1193" t="inlineStr">
        <is>
          <t>world_bank_col_estimate</t>
        </is>
      </c>
      <c r="K1193" t="inlineStr">
        <is>
          <t>https://api.worldbank.org/v2/country/DNK/indicator/NY.GNP.PCAP.PP.CD?format=json&amp;mrv=10</t>
        </is>
      </c>
      <c r="L1193" t="inlineStr">
        <is>
          <t>World Bank GNI + regional expenditure ratio estimate</t>
        </is>
      </c>
      <c r="M1193" t="inlineStr">
        <is>
          <t>2024-12-31</t>
        </is>
      </c>
      <c r="N1193" t="inlineStr">
        <is>
          <t>auto_ingest=world_bank_col_estimate; gni_annual=84680.0; year=2024; country_proxy=Denmark; cohort=Western, Northern, and Southern Europe; city_cost_mult=1.15</t>
        </is>
      </c>
    </row>
    <row r="1194">
      <c r="A1194" t="inlineStr">
        <is>
          <t>dk-copenhagen</t>
        </is>
      </c>
      <c r="B1194" t="inlineStr">
        <is>
          <t>Copenhagen</t>
        </is>
      </c>
      <c r="C1194" t="inlineStr">
        <is>
          <t>Denmark</t>
        </is>
      </c>
      <c r="D1194" t="inlineStr">
        <is>
          <t>Western and Northern Europe</t>
        </is>
      </c>
      <c r="E1194" t="inlineStr">
        <is>
          <t>utilities</t>
        </is>
      </c>
      <c r="F1194" t="inlineStr">
        <is>
          <t>Utilities</t>
        </is>
      </c>
      <c r="G1194" t="inlineStr">
        <is>
          <t>pressure</t>
        </is>
      </c>
      <c r="H1194" t="inlineStr">
        <is>
          <t>yes</t>
        </is>
      </c>
      <c r="I1194" t="inlineStr">
        <is>
          <t>596.46</t>
        </is>
      </c>
      <c r="J1194" t="inlineStr">
        <is>
          <t>world_bank_col_estimate</t>
        </is>
      </c>
      <c r="K1194" t="inlineStr">
        <is>
          <t>https://api.worldbank.org/v2/country/DNK/indicator/NY.GNP.PCAP.PP.CD?format=json&amp;mrv=10</t>
        </is>
      </c>
      <c r="L1194" t="inlineStr">
        <is>
          <t>World Bank GNI + regional expenditure ratio estimate</t>
        </is>
      </c>
      <c r="M1194" t="inlineStr">
        <is>
          <t>2024-12-31</t>
        </is>
      </c>
      <c r="N1194" t="inlineStr">
        <is>
          <t>auto_ingest=world_bank_col_estimate; gni_annual=84680.0; year=2024; country_proxy=Denmark; cohort=Western, Northern, and Southern Europe; city_cost_mult=1.15</t>
        </is>
      </c>
    </row>
    <row r="1195">
      <c r="A1195" t="inlineStr">
        <is>
          <t>dk-copenhagen</t>
        </is>
      </c>
      <c r="B1195" t="inlineStr">
        <is>
          <t>Copenhagen</t>
        </is>
      </c>
      <c r="C1195" t="inlineStr">
        <is>
          <t>Denmark</t>
        </is>
      </c>
      <c r="D1195" t="inlineStr">
        <is>
          <t>Western and Northern Europe</t>
        </is>
      </c>
      <c r="E1195" t="inlineStr">
        <is>
          <t>transit_cost</t>
        </is>
      </c>
      <c r="F1195" t="inlineStr">
        <is>
          <t>Transit cost</t>
        </is>
      </c>
      <c r="G1195" t="inlineStr">
        <is>
          <t>pressure</t>
        </is>
      </c>
      <c r="H1195" t="inlineStr">
        <is>
          <t>yes</t>
        </is>
      </c>
      <c r="I1195" t="inlineStr">
        <is>
          <t>426.05</t>
        </is>
      </c>
      <c r="J1195" t="inlineStr">
        <is>
          <t>world_bank_col_estimate</t>
        </is>
      </c>
      <c r="K1195" t="inlineStr">
        <is>
          <t>https://api.worldbank.org/v2/country/DNK/indicator/NY.GNP.PCAP.PP.CD?format=json&amp;mrv=10</t>
        </is>
      </c>
      <c r="L1195" t="inlineStr">
        <is>
          <t>World Bank GNI + regional expenditure ratio estimate</t>
        </is>
      </c>
      <c r="M1195" t="inlineStr">
        <is>
          <t>2024-12-31</t>
        </is>
      </c>
      <c r="N1195" t="inlineStr">
        <is>
          <t>auto_ingest=world_bank_col_estimate; gni_annual=84680.0; year=2024; country_proxy=Denmark; cohort=Western, Northern, and Southern Europe; city_cost_mult=1.15</t>
        </is>
      </c>
    </row>
    <row r="1196">
      <c r="A1196" t="inlineStr">
        <is>
          <t>dk-copenhagen</t>
        </is>
      </c>
      <c r="B1196" t="inlineStr">
        <is>
          <t>Copenhagen</t>
        </is>
      </c>
      <c r="C1196" t="inlineStr">
        <is>
          <t>Denmark</t>
        </is>
      </c>
      <c r="D1196" t="inlineStr">
        <is>
          <t>Western and Northern Europe</t>
        </is>
      </c>
      <c r="E1196" t="inlineStr">
        <is>
          <t>internet_cost</t>
        </is>
      </c>
      <c r="F1196" t="inlineStr">
        <is>
          <t>Internet cost</t>
        </is>
      </c>
      <c r="G1196" t="inlineStr">
        <is>
          <t>pressure</t>
        </is>
      </c>
      <c r="H1196" t="inlineStr">
        <is>
          <t>yes</t>
        </is>
      </c>
      <c r="I1196" t="inlineStr">
        <is>
          <t>127.81</t>
        </is>
      </c>
      <c r="J1196" t="inlineStr">
        <is>
          <t>world_bank_col_estimate</t>
        </is>
      </c>
      <c r="K1196" t="inlineStr">
        <is>
          <t>https://api.worldbank.org/v2/country/DNK/indicator/NY.GNP.PCAP.PP.CD?format=json&amp;mrv=10</t>
        </is>
      </c>
      <c r="L1196" t="inlineStr">
        <is>
          <t>World Bank GNI + regional expenditure ratio estimate</t>
        </is>
      </c>
      <c r="M1196" t="inlineStr">
        <is>
          <t>2024-12-31</t>
        </is>
      </c>
      <c r="N1196" t="inlineStr">
        <is>
          <t>auto_ingest=world_bank_col_estimate; gni_annual=84680.0; year=2024; country_proxy=Denmark; cohort=Western, Northern, and Southern Europe; city_cost_mult=1.15</t>
        </is>
      </c>
    </row>
    <row r="1197">
      <c r="A1197" t="inlineStr">
        <is>
          <t>dk-copenhagen</t>
        </is>
      </c>
      <c r="B1197" t="inlineStr">
        <is>
          <t>Copenhagen</t>
        </is>
      </c>
      <c r="C1197" t="inlineStr">
        <is>
          <t>Denmark</t>
        </is>
      </c>
      <c r="D1197" t="inlineStr">
        <is>
          <t>Western and Northern Europe</t>
        </is>
      </c>
      <c r="E1197" t="inlineStr">
        <is>
          <t>food_cost</t>
        </is>
      </c>
      <c r="F1197" t="inlineStr">
        <is>
          <t>Food cost</t>
        </is>
      </c>
      <c r="G1197" t="inlineStr">
        <is>
          <t>pressure</t>
        </is>
      </c>
      <c r="H1197" t="inlineStr">
        <is>
          <t>yes</t>
        </is>
      </c>
      <c r="I1197" t="inlineStr">
        <is>
          <t>1278.14</t>
        </is>
      </c>
      <c r="J1197" t="inlineStr">
        <is>
          <t>world_bank_col_estimate</t>
        </is>
      </c>
      <c r="K1197" t="inlineStr">
        <is>
          <t>https://api.worldbank.org/v2/country/DNK/indicator/NY.GNP.PCAP.PP.CD?format=json&amp;mrv=10</t>
        </is>
      </c>
      <c r="L1197" t="inlineStr">
        <is>
          <t>World Bank GNI + regional expenditure ratio estimate</t>
        </is>
      </c>
      <c r="M1197" t="inlineStr">
        <is>
          <t>2024-12-31</t>
        </is>
      </c>
      <c r="N1197" t="inlineStr">
        <is>
          <t>auto_ingest=world_bank_col_estimate; gni_annual=84680.0; year=2024; country_proxy=Denmark; cohort=Western, Northern, and Southern Europe; city_cost_mult=1.15</t>
        </is>
      </c>
    </row>
    <row r="1198">
      <c r="A1198" t="inlineStr">
        <is>
          <t>dk-copenhagen</t>
        </is>
      </c>
      <c r="B1198" t="inlineStr">
        <is>
          <t>Copenhagen</t>
        </is>
      </c>
      <c r="C1198" t="inlineStr">
        <is>
          <t>Denmark</t>
        </is>
      </c>
      <c r="D1198" t="inlineStr">
        <is>
          <t>Western and Northern Europe</t>
        </is>
      </c>
      <c r="E1198" t="inlineStr">
        <is>
          <t>housing_burden_raw</t>
        </is>
      </c>
      <c r="F1198" t="inlineStr">
        <is>
          <t>Housing burden raw</t>
        </is>
      </c>
      <c r="G1198" t="inlineStr">
        <is>
          <t>pressure</t>
        </is>
      </c>
      <c r="H1198" t="inlineStr">
        <is>
          <t>yes</t>
        </is>
      </c>
      <c r="I1198" t="inlineStr">
        <is>
          <t>40.2499</t>
        </is>
      </c>
      <c r="J1198" t="inlineStr">
        <is>
          <t>derived</t>
        </is>
      </c>
      <c r="K1198" t="inlineStr">
        <is>
          <t>https://data.worldbank.org/indicator/NY.GNP.PCAP.PP.CD</t>
        </is>
      </c>
      <c r="L1198" t="inlineStr">
        <is>
          <t>Computed from city_inputs + country_context</t>
        </is>
      </c>
      <c r="M1198" t="inlineStr">
        <is>
          <t>2024-01-01</t>
        </is>
      </c>
      <c r="N1198" t="inlineStr">
        <is>
          <t>derived=rent/gross_income*100</t>
        </is>
      </c>
    </row>
    <row r="1199">
      <c r="A1199" t="inlineStr">
        <is>
          <t>dk-copenhagen</t>
        </is>
      </c>
      <c r="B1199" t="inlineStr">
        <is>
          <t>Copenhagen</t>
        </is>
      </c>
      <c r="C1199" t="inlineStr">
        <is>
          <t>Denmark</t>
        </is>
      </c>
      <c r="D1199" t="inlineStr">
        <is>
          <t>Western and Northern Europe</t>
        </is>
      </c>
      <c r="E1199" t="inlineStr">
        <is>
          <t>household_debt_burden_raw</t>
        </is>
      </c>
      <c r="F1199" t="inlineStr">
        <is>
          <t>Household debt burden raw</t>
        </is>
      </c>
      <c r="G1199" t="inlineStr">
        <is>
          <t>pressure</t>
        </is>
      </c>
      <c r="H1199" t="inlineStr">
        <is>
          <t>yes</t>
        </is>
      </c>
      <c r="I1199" t="inlineStr">
        <is>
          <t>144.0931</t>
        </is>
      </c>
      <c r="J1199" t="inlineStr">
        <is>
          <t>derived</t>
        </is>
      </c>
      <c r="K1199" t="inlineStr">
        <is>
          <t>https://data.worldbank.org/indicator/NY.GNP.PCAP.PP.CD</t>
        </is>
      </c>
      <c r="L1199" t="inlineStr">
        <is>
          <t>Computed from city_inputs + country_context</t>
        </is>
      </c>
      <c r="M1199" t="inlineStr">
        <is>
          <t>2024-01-01</t>
        </is>
      </c>
      <c r="N1199" t="inlineStr">
        <is>
          <t>derived=country_context.household_debt_proxy; country=Denmark</t>
        </is>
      </c>
    </row>
    <row r="1200">
      <c r="A1200" t="inlineStr">
        <is>
          <t>dk-copenhagen</t>
        </is>
      </c>
      <c r="B1200" t="inlineStr">
        <is>
          <t>Copenhagen</t>
        </is>
      </c>
      <c r="C1200" t="inlineStr">
        <is>
          <t>Denmark</t>
        </is>
      </c>
      <c r="D1200" t="inlineStr">
        <is>
          <t>Western and Northern Europe</t>
        </is>
      </c>
      <c r="E1200" t="inlineStr">
        <is>
          <t>working_time_pressure_raw</t>
        </is>
      </c>
      <c r="F1200" t="inlineStr">
        <is>
          <t>Working time pressure raw</t>
        </is>
      </c>
      <c r="G1200" t="inlineStr">
        <is>
          <t>pressure</t>
        </is>
      </c>
      <c r="H1200" t="inlineStr">
        <is>
          <t>yes</t>
        </is>
      </c>
      <c r="I1200" t="inlineStr">
        <is>
          <t>32.39</t>
        </is>
      </c>
      <c r="J1200" t="inlineStr">
        <is>
          <t>ilo_ilostat</t>
        </is>
      </c>
      <c r="K1200" t="inlineStr">
        <is>
          <t>https://ilostat.ilo.org/data/indicator/?id=HOW_TEMP_SEX_ECO_NB_A&amp;ref_area=DNK</t>
        </is>
      </c>
      <c r="L1200" t="inlineStr">
        <is>
          <t>ILO ILOSTAT: Mean weekly hours actually worked per employed person</t>
        </is>
      </c>
      <c r="M1200" t="inlineStr">
        <is>
          <t>2024-12-31</t>
        </is>
      </c>
      <c r="N1200" t="inlineStr">
        <is>
          <t>auto_ingest=ilo_working_hours; indicator=HOW_TEMP_SEX_ECO_NB_A; year=2024; hours=32.39; country_proxy=Denmark</t>
        </is>
      </c>
    </row>
    <row r="1201">
      <c r="A1201" t="inlineStr">
        <is>
          <t>dk-copenhagen</t>
        </is>
      </c>
      <c r="B1201" t="inlineStr">
        <is>
          <t>Copenhagen</t>
        </is>
      </c>
      <c r="C1201" t="inlineStr">
        <is>
          <t>Denmark</t>
        </is>
      </c>
      <c r="D1201" t="inlineStr">
        <is>
          <t>Western and Northern Europe</t>
        </is>
      </c>
      <c r="E1201" t="inlineStr">
        <is>
          <t>suicide_mental_strain_raw</t>
        </is>
      </c>
      <c r="F1201" t="inlineStr">
        <is>
          <t>Suicide or mental strain raw</t>
        </is>
      </c>
      <c r="G1201" t="inlineStr">
        <is>
          <t>pressure</t>
        </is>
      </c>
      <c r="H1201" t="inlineStr">
        <is>
          <t>yes</t>
        </is>
      </c>
      <c r="I1201" t="inlineStr">
        <is>
          <t>10.46</t>
        </is>
      </c>
      <c r="J1201" t="inlineStr">
        <is>
          <t>who_gho</t>
        </is>
      </c>
      <c r="K1201" t="inlineStr">
        <is>
          <t>https://www.who.int/data/gho/data/indicators/indicator-details/GHO/SDGSUICIDE</t>
        </is>
      </c>
      <c r="L1201" t="inlineStr">
        <is>
          <t>WHO GHO: Age-standardized suicide rate (per 100,000 population)</t>
        </is>
      </c>
      <c r="M1201" t="inlineStr">
        <is>
          <t>2021-12-31</t>
        </is>
      </c>
      <c r="N1201" t="inlineStr">
        <is>
          <t>auto_ingest=who_gho; indicator=SDGSUICIDE; year=2021; country_proxy=Denmark</t>
        </is>
      </c>
    </row>
    <row r="1202">
      <c r="A1202" t="inlineStr">
        <is>
          <t>dk-copenhagen</t>
        </is>
      </c>
      <c r="B1202" t="inlineStr">
        <is>
          <t>Copenhagen</t>
        </is>
      </c>
      <c r="C1202" t="inlineStr">
        <is>
          <t>Denmark</t>
        </is>
      </c>
      <c r="D1202" t="inlineStr">
        <is>
          <t>Western and Northern Europe</t>
        </is>
      </c>
      <c r="E1202" t="inlineStr">
        <is>
          <t>personal_safety_raw</t>
        </is>
      </c>
      <c r="F1202" t="inlineStr">
        <is>
          <t>Personal safety raw</t>
        </is>
      </c>
      <c r="G1202" t="inlineStr">
        <is>
          <t>viability</t>
        </is>
      </c>
      <c r="H1202" t="inlineStr">
        <is>
          <t>yes</t>
        </is>
      </c>
      <c r="I1202" t="inlineStr">
        <is>
          <t>0.84</t>
        </is>
      </c>
      <c r="J1202" t="inlineStr">
        <is>
          <t>world_bank</t>
        </is>
      </c>
      <c r="K1202" t="inlineStr">
        <is>
          <t>https://api.worldbank.org/v2/country/DNK/indicator/VC.IHR.PSRC.P5?format=json&amp;mrv=10</t>
        </is>
      </c>
      <c r="L1202" t="inlineStr">
        <is>
          <t>UNODC via World Bank WDI: Intentional homicides (per 100,000 people)</t>
        </is>
      </c>
      <c r="M1202" t="inlineStr">
        <is>
          <t>2023-12-31</t>
        </is>
      </c>
      <c r="N1202" t="inlineStr">
        <is>
          <t>auto_ingest=unodc_safety; indicator=VC.IHR.PSRC.P5; year=2023; country_proxy=Denmark</t>
        </is>
      </c>
    </row>
    <row r="1203">
      <c r="A1203" t="inlineStr">
        <is>
          <t>dk-copenhagen</t>
        </is>
      </c>
      <c r="B1203" t="inlineStr">
        <is>
          <t>Copenhagen</t>
        </is>
      </c>
      <c r="C1203" t="inlineStr">
        <is>
          <t>Denmark</t>
        </is>
      </c>
      <c r="D1203" t="inlineStr">
        <is>
          <t>Western and Northern Europe</t>
        </is>
      </c>
      <c r="E1203" t="inlineStr">
        <is>
          <t>transit_access_commute_raw</t>
        </is>
      </c>
      <c r="F1203" t="inlineStr">
        <is>
          <t>Transit access and commute raw</t>
        </is>
      </c>
      <c r="G1203" t="inlineStr">
        <is>
          <t>viability</t>
        </is>
      </c>
      <c r="H1203" t="inlineStr">
        <is>
          <t>yes</t>
        </is>
      </c>
      <c r="I1203" t="inlineStr"/>
      <c r="J1203" t="inlineStr"/>
      <c r="K1203" t="inlineStr"/>
      <c r="L1203" t="inlineStr"/>
      <c r="M1203" t="inlineStr"/>
      <c r="N1203" t="inlineStr"/>
    </row>
    <row r="1204">
      <c r="A1204" t="inlineStr">
        <is>
          <t>dk-copenhagen</t>
        </is>
      </c>
      <c r="B1204" t="inlineStr">
        <is>
          <t>Copenhagen</t>
        </is>
      </c>
      <c r="C1204" t="inlineStr">
        <is>
          <t>Denmark</t>
        </is>
      </c>
      <c r="D1204" t="inlineStr">
        <is>
          <t>Western and Northern Europe</t>
        </is>
      </c>
      <c r="E1204" t="inlineStr">
        <is>
          <t>clean_air_raw</t>
        </is>
      </c>
      <c r="F1204" t="inlineStr">
        <is>
          <t>Clean air raw</t>
        </is>
      </c>
      <c r="G1204" t="inlineStr">
        <is>
          <t>viability</t>
        </is>
      </c>
      <c r="H1204" t="inlineStr">
        <is>
          <t>yes</t>
        </is>
      </c>
      <c r="I1204" t="inlineStr"/>
      <c r="J1204" t="inlineStr"/>
      <c r="K1204" t="inlineStr"/>
      <c r="L1204" t="inlineStr"/>
      <c r="M1204" t="inlineStr"/>
      <c r="N1204" t="inlineStr"/>
    </row>
    <row r="1205">
      <c r="A1205" t="inlineStr">
        <is>
          <t>dk-copenhagen</t>
        </is>
      </c>
      <c r="B1205" t="inlineStr">
        <is>
          <t>Copenhagen</t>
        </is>
      </c>
      <c r="C1205" t="inlineStr">
        <is>
          <t>Denmark</t>
        </is>
      </c>
      <c r="D1205" t="inlineStr">
        <is>
          <t>Western and Northern Europe</t>
        </is>
      </c>
      <c r="E1205" t="inlineStr">
        <is>
          <t>water_sanitation_utility_raw</t>
        </is>
      </c>
      <c r="F1205" t="inlineStr">
        <is>
          <t>Water, sanitation, and utility raw</t>
        </is>
      </c>
      <c r="G1205" t="inlineStr">
        <is>
          <t>viability</t>
        </is>
      </c>
      <c r="H1205" t="inlineStr">
        <is>
          <t>yes</t>
        </is>
      </c>
      <c r="I1205" t="inlineStr">
        <is>
          <t>99.92</t>
        </is>
      </c>
      <c r="J1205" t="inlineStr">
        <is>
          <t>world_bank</t>
        </is>
      </c>
      <c r="K1205" t="inlineStr">
        <is>
          <t>https://api.worldbank.org/v2/country/DNK/indicator/SH.H2O.SMDW.ZS?format=json&amp;mrv=10</t>
        </is>
      </c>
      <c r="L1205" t="inlineStr">
        <is>
          <t>World Bank WDI: People using safely managed drinking water services (% of population)</t>
        </is>
      </c>
      <c r="M1205" t="inlineStr">
        <is>
          <t>2024-12-31</t>
        </is>
      </c>
      <c r="N1205" t="inlineStr">
        <is>
          <t>auto_ingest=world_bank_proxy; indicator=SH.H2O.SMDW.ZS; year=2024; country_proxy=Denmark</t>
        </is>
      </c>
    </row>
    <row r="1206">
      <c r="A1206" t="inlineStr">
        <is>
          <t>dk-copenhagen</t>
        </is>
      </c>
      <c r="B1206" t="inlineStr">
        <is>
          <t>Copenhagen</t>
        </is>
      </c>
      <c r="C1206" t="inlineStr">
        <is>
          <t>Denmark</t>
        </is>
      </c>
      <c r="D1206" t="inlineStr">
        <is>
          <t>Western and Northern Europe</t>
        </is>
      </c>
      <c r="E1206" t="inlineStr">
        <is>
          <t>digital_infrastructure_raw</t>
        </is>
      </c>
      <c r="F1206" t="inlineStr">
        <is>
          <t>Digital infrastructure raw</t>
        </is>
      </c>
      <c r="G1206" t="inlineStr">
        <is>
          <t>viability</t>
        </is>
      </c>
      <c r="H1206" t="inlineStr">
        <is>
          <t>yes</t>
        </is>
      </c>
      <c r="I1206" t="inlineStr">
        <is>
          <t>44.03</t>
        </is>
      </c>
      <c r="J1206" t="inlineStr">
        <is>
          <t>world_bank</t>
        </is>
      </c>
      <c r="K1206" t="inlineStr">
        <is>
          <t>https://api.worldbank.org/v2/country/DNK/indicator/IT.NET.BBND.P2?format=json&amp;mrv=10</t>
        </is>
      </c>
      <c r="L1206" t="inlineStr">
        <is>
          <t>World Bank WDI: Fixed broadband subscriptions (per 100 people)</t>
        </is>
      </c>
      <c r="M1206" t="inlineStr">
        <is>
          <t>2023-12-31</t>
        </is>
      </c>
      <c r="N1206" t="inlineStr">
        <is>
          <t>auto_ingest=world_bank_proxy; indicator=IT.NET.BBND.P2; year=2023; country_proxy=Denmark</t>
        </is>
      </c>
    </row>
    <row r="1207">
      <c r="A1207" t="inlineStr">
        <is>
          <t>dk-copenhagen</t>
        </is>
      </c>
      <c r="B1207" t="inlineStr">
        <is>
          <t>Copenhagen</t>
        </is>
      </c>
      <c r="C1207" t="inlineStr">
        <is>
          <t>Denmark</t>
        </is>
      </c>
      <c r="D1207" t="inlineStr">
        <is>
          <t>Western and Northern Europe</t>
        </is>
      </c>
      <c r="E1207" t="inlineStr">
        <is>
          <t>climate_sunlight_livability_raw</t>
        </is>
      </c>
      <c r="F1207" t="inlineStr">
        <is>
          <t>Climate and sunlight livability raw</t>
        </is>
      </c>
      <c r="G1207" t="inlineStr">
        <is>
          <t>viability</t>
        </is>
      </c>
      <c r="H1207" t="inlineStr">
        <is>
          <t>yes</t>
        </is>
      </c>
      <c r="I1207" t="inlineStr">
        <is>
          <t>40</t>
        </is>
      </c>
      <c r="J1207" t="inlineStr">
        <is>
          <t>wmo_natl_met</t>
        </is>
      </c>
      <c r="K1207" t="inlineStr">
        <is>
          <t>https://worldweather.wmo.int</t>
        </is>
      </c>
      <c r="L1207" t="inlineStr">
        <is>
          <t>WMO/National Met: Climate livability composite</t>
        </is>
      </c>
      <c r="M1207" t="inlineStr">
        <is>
          <t>2024-12-31</t>
        </is>
      </c>
      <c r="N1207" t="inlineStr">
        <is>
          <t>auto_seed=climate_composite; 1550 sun hrs, 9C mean, dark winters</t>
        </is>
      </c>
    </row>
    <row r="1208">
      <c r="A1208" t="inlineStr">
        <is>
          <t>dk-copenhagen</t>
        </is>
      </c>
      <c r="B1208" t="inlineStr">
        <is>
          <t>Copenhagen</t>
        </is>
      </c>
      <c r="C1208" t="inlineStr">
        <is>
          <t>Denmark</t>
        </is>
      </c>
      <c r="D1208" t="inlineStr">
        <is>
          <t>Western and Northern Europe</t>
        </is>
      </c>
      <c r="E1208" t="inlineStr">
        <is>
          <t>healthcare_quality_raw</t>
        </is>
      </c>
      <c r="F1208" t="inlineStr">
        <is>
          <t>Healthcare quality raw</t>
        </is>
      </c>
      <c r="G1208" t="inlineStr">
        <is>
          <t>capability</t>
        </is>
      </c>
      <c r="H1208" t="inlineStr">
        <is>
          <t>yes</t>
        </is>
      </c>
      <c r="I1208" t="inlineStr">
        <is>
          <t>85.0</t>
        </is>
      </c>
      <c r="J1208" t="inlineStr">
        <is>
          <t>who_gho</t>
        </is>
      </c>
      <c r="K1208" t="inlineStr">
        <is>
          <t>https://www.who.int/data/gho/data/indicators/indicator-details/GHO/UHC_INDEX_REPORTED</t>
        </is>
      </c>
      <c r="L1208" t="inlineStr">
        <is>
          <t>WHO GHO: UHC Service Coverage Index</t>
        </is>
      </c>
      <c r="M1208" t="inlineStr">
        <is>
          <t>2023-12-31</t>
        </is>
      </c>
      <c r="N1208" t="inlineStr">
        <is>
          <t>auto_ingest=who_gho; indicator=UHC_INDEX_REPORTED; year=2023; country_proxy=Denmark</t>
        </is>
      </c>
    </row>
    <row r="1209">
      <c r="A1209" t="inlineStr">
        <is>
          <t>dk-copenhagen</t>
        </is>
      </c>
      <c r="B1209" t="inlineStr">
        <is>
          <t>Copenhagen</t>
        </is>
      </c>
      <c r="C1209" t="inlineStr">
        <is>
          <t>Denmark</t>
        </is>
      </c>
      <c r="D1209" t="inlineStr">
        <is>
          <t>Western and Northern Europe</t>
        </is>
      </c>
      <c r="E1209" t="inlineStr">
        <is>
          <t>education_quality_raw</t>
        </is>
      </c>
      <c r="F1209" t="inlineStr">
        <is>
          <t>Education quality raw</t>
        </is>
      </c>
      <c r="G1209" t="inlineStr">
        <is>
          <t>capability</t>
        </is>
      </c>
      <c r="H1209" t="inlineStr">
        <is>
          <t>yes</t>
        </is>
      </c>
      <c r="I1209" t="inlineStr">
        <is>
          <t>81.23</t>
        </is>
      </c>
      <c r="J1209" t="inlineStr">
        <is>
          <t>world_bank</t>
        </is>
      </c>
      <c r="K1209" t="inlineStr">
        <is>
          <t>https://api.worldbank.org/v2/country/DNK/indicator/SE.TER.ENRR?format=json&amp;mrv=10</t>
        </is>
      </c>
      <c r="L1209" t="inlineStr">
        <is>
          <t>World Bank WDI: School enrollment, tertiary (% gross)</t>
        </is>
      </c>
      <c r="M1209" t="inlineStr">
        <is>
          <t>2023-12-31</t>
        </is>
      </c>
      <c r="N1209" t="inlineStr">
        <is>
          <t>auto_ingest=world_bank_proxy; indicator=SE.TER.ENRR; year=2023; country_proxy=Denmark</t>
        </is>
      </c>
    </row>
    <row r="1210">
      <c r="A1210" t="inlineStr">
        <is>
          <t>dk-copenhagen</t>
        </is>
      </c>
      <c r="B1210" t="inlineStr">
        <is>
          <t>Copenhagen</t>
        </is>
      </c>
      <c r="C1210" t="inlineStr">
        <is>
          <t>Denmark</t>
        </is>
      </c>
      <c r="D1210" t="inlineStr">
        <is>
          <t>Western and Northern Europe</t>
        </is>
      </c>
      <c r="E1210" t="inlineStr">
        <is>
          <t>equal_opportunity_raw</t>
        </is>
      </c>
      <c r="F1210" t="inlineStr">
        <is>
          <t>Equal opportunity raw</t>
        </is>
      </c>
      <c r="G1210" t="inlineStr">
        <is>
          <t>capability</t>
        </is>
      </c>
      <c r="H1210" t="inlineStr">
        <is>
          <t>yes</t>
        </is>
      </c>
      <c r="I1210" t="inlineStr">
        <is>
          <t>29.9</t>
        </is>
      </c>
      <c r="J1210" t="inlineStr">
        <is>
          <t>world_bank</t>
        </is>
      </c>
      <c r="K1210" t="inlineStr">
        <is>
          <t>https://api.worldbank.org/v2/country/DNK/indicator/SI.POV.GINI?format=json&amp;mrv=10</t>
        </is>
      </c>
      <c r="L1210" t="inlineStr">
        <is>
          <t>World Bank WDI: Gini index</t>
        </is>
      </c>
      <c r="M1210" t="inlineStr">
        <is>
          <t>2023-12-31</t>
        </is>
      </c>
      <c r="N1210" t="inlineStr">
        <is>
          <t>auto_ingest=world_bank_capability; indicator=SI.POV.GINI; year=2023; country_proxy=Denmark</t>
        </is>
      </c>
    </row>
    <row r="1211">
      <c r="A1211" t="inlineStr">
        <is>
          <t>dk-copenhagen</t>
        </is>
      </c>
      <c r="B1211" t="inlineStr">
        <is>
          <t>Copenhagen</t>
        </is>
      </c>
      <c r="C1211" t="inlineStr">
        <is>
          <t>Denmark</t>
        </is>
      </c>
      <c r="D1211" t="inlineStr">
        <is>
          <t>Western and Northern Europe</t>
        </is>
      </c>
      <c r="E1211" t="inlineStr">
        <is>
          <t>hospitality_belonging_raw</t>
        </is>
      </c>
      <c r="F1211" t="inlineStr">
        <is>
          <t>Hospitality and belonging raw</t>
        </is>
      </c>
      <c r="G1211" t="inlineStr">
        <is>
          <t>community</t>
        </is>
      </c>
      <c r="H1211" t="inlineStr">
        <is>
          <t>yes</t>
        </is>
      </c>
      <c r="I1211" t="inlineStr">
        <is>
          <t>53.7</t>
        </is>
      </c>
      <c r="J1211" t="inlineStr">
        <is>
          <t>world_bank</t>
        </is>
      </c>
      <c r="K1211" t="inlineStr">
        <is>
          <t>https://api.worldbank.org/v2/country/DNK/indicator/SM.POP.NETM?format=json&amp;mrv=10</t>
        </is>
      </c>
      <c r="L1211" t="inlineStr">
        <is>
          <t>World Bank WDI: Net migration (proxy for hospitality/belonging — positive = welcoming)</t>
        </is>
      </c>
      <c r="M1211" t="inlineStr">
        <is>
          <t>2025-12-31</t>
        </is>
      </c>
      <c r="N1211" t="inlineStr">
        <is>
          <t>auto_ingest=world_bank_proxy; proxy=net_migration_hospitality; indicator=SM.POP.NETM; year=2025; country_proxy=Denmark</t>
        </is>
      </c>
    </row>
    <row r="1212">
      <c r="A1212" t="inlineStr">
        <is>
          <t>dk-copenhagen</t>
        </is>
      </c>
      <c r="B1212" t="inlineStr">
        <is>
          <t>Copenhagen</t>
        </is>
      </c>
      <c r="C1212" t="inlineStr">
        <is>
          <t>Denmark</t>
        </is>
      </c>
      <c r="D1212" t="inlineStr">
        <is>
          <t>Western and Northern Europe</t>
        </is>
      </c>
      <c r="E1212" t="inlineStr">
        <is>
          <t>tolerance_pluralism_raw</t>
        </is>
      </c>
      <c r="F1212" t="inlineStr">
        <is>
          <t>Tolerance and pluralism raw</t>
        </is>
      </c>
      <c r="G1212" t="inlineStr">
        <is>
          <t>community</t>
        </is>
      </c>
      <c r="H1212" t="inlineStr">
        <is>
          <t>yes</t>
        </is>
      </c>
      <c r="I1212" t="inlineStr">
        <is>
          <t>45.25</t>
        </is>
      </c>
      <c r="J1212" t="inlineStr">
        <is>
          <t>world_bank</t>
        </is>
      </c>
      <c r="K1212" t="inlineStr">
        <is>
          <t>https://api.worldbank.org/v2/country/DNK/indicator/SG.GEN.PARL.ZS?format=json&amp;mrv=10</t>
        </is>
      </c>
      <c r="L1212" t="inlineStr">
        <is>
          <t>World Bank WDI: Proportion of seats held by women in national parliaments (%)</t>
        </is>
      </c>
      <c r="M1212" t="inlineStr">
        <is>
          <t>2024-12-31</t>
        </is>
      </c>
      <c r="N1212" t="inlineStr">
        <is>
          <t>auto_ingest=world_bank_proxy; proxy=gender_parity_parliament; indicator=SG.GEN.PARL.ZS; year=2024; country_proxy=Denmark</t>
        </is>
      </c>
    </row>
    <row r="1213">
      <c r="A1213" t="inlineStr">
        <is>
          <t>dk-copenhagen</t>
        </is>
      </c>
      <c r="B1213" t="inlineStr">
        <is>
          <t>Copenhagen</t>
        </is>
      </c>
      <c r="C1213" t="inlineStr">
        <is>
          <t>Denmark</t>
        </is>
      </c>
      <c r="D1213" t="inlineStr">
        <is>
          <t>Western and Northern Europe</t>
        </is>
      </c>
      <c r="E1213" t="inlineStr">
        <is>
          <t>cultural_public_life_raw</t>
        </is>
      </c>
      <c r="F1213" t="inlineStr">
        <is>
          <t>Cultural public life raw</t>
        </is>
      </c>
      <c r="G1213" t="inlineStr">
        <is>
          <t>community</t>
        </is>
      </c>
      <c r="H1213" t="inlineStr">
        <is>
          <t>yes</t>
        </is>
      </c>
      <c r="I1213" t="inlineStr">
        <is>
          <t>2609.17</t>
        </is>
      </c>
      <c r="J1213" t="inlineStr">
        <is>
          <t>world_bank</t>
        </is>
      </c>
      <c r="K1213" t="inlineStr">
        <is>
          <t>https://api.worldbank.org/v2/country/DNK/indicator/ST.INT.ARVL?format=json&amp;mrv=10</t>
        </is>
      </c>
      <c r="L1213" t="inlineStr">
        <is>
          <t>World Bank WDI: International tourism arrivals per 1 000 population</t>
        </is>
      </c>
      <c r="M1213" t="inlineStr">
        <is>
          <t>2020-12-31</t>
        </is>
      </c>
      <c r="N1213" t="inlineStr">
        <is>
          <t>auto_ingest=cultural_life_proxy; indicator=ST.INT.ARVL; norm=per_1000_pop; year=2020; country_proxy=Denmark</t>
        </is>
      </c>
    </row>
    <row r="1214">
      <c r="A1214" t="inlineStr">
        <is>
          <t>dk-copenhagen</t>
        </is>
      </c>
      <c r="B1214" t="inlineStr">
        <is>
          <t>Copenhagen</t>
        </is>
      </c>
      <c r="C1214" t="inlineStr">
        <is>
          <t>Denmark</t>
        </is>
      </c>
      <c r="D1214" t="inlineStr">
        <is>
          <t>Western and Northern Europe</t>
        </is>
      </c>
      <c r="E1214" t="inlineStr">
        <is>
          <t>birth_rate_optimism_raw</t>
        </is>
      </c>
      <c r="F1214" t="inlineStr">
        <is>
          <t>Birth rate and societal optimism raw</t>
        </is>
      </c>
      <c r="G1214" t="inlineStr">
        <is>
          <t>community</t>
        </is>
      </c>
      <c r="H1214" t="inlineStr">
        <is>
          <t>yes</t>
        </is>
      </c>
      <c r="I1214" t="inlineStr">
        <is>
          <t>1.55</t>
        </is>
      </c>
      <c r="J1214" t="inlineStr">
        <is>
          <t>world_bank</t>
        </is>
      </c>
      <c r="K1214" t="inlineStr">
        <is>
          <t>https://data.worldbank.org/indicator/SP.DYN.TFRT.IN</t>
        </is>
      </c>
      <c r="L1214" t="inlineStr">
        <is>
          <t>World Bank Total Fertility Rate 2023</t>
        </is>
      </c>
      <c r="M1214" t="inlineStr">
        <is>
          <t>2024-01-01</t>
        </is>
      </c>
      <c r="N1214" t="inlineStr"/>
    </row>
    <row r="1215">
      <c r="A1215" t="inlineStr">
        <is>
          <t>dk-copenhagen</t>
        </is>
      </c>
      <c r="B1215" t="inlineStr">
        <is>
          <t>Copenhagen</t>
        </is>
      </c>
      <c r="C1215" t="inlineStr">
        <is>
          <t>Denmark</t>
        </is>
      </c>
      <c r="D1215" t="inlineStr">
        <is>
          <t>Western and Northern Europe</t>
        </is>
      </c>
      <c r="E1215" t="inlineStr">
        <is>
          <t>entrepreneurial_dynamism_raw</t>
        </is>
      </c>
      <c r="F1215" t="inlineStr">
        <is>
          <t>Entrepreneurial dynamism raw</t>
        </is>
      </c>
      <c r="G1215" t="inlineStr">
        <is>
          <t>creative</t>
        </is>
      </c>
      <c r="H1215" t="inlineStr">
        <is>
          <t>yes</t>
        </is>
      </c>
      <c r="I1215" t="inlineStr">
        <is>
          <t>7.3</t>
        </is>
      </c>
      <c r="J1215" t="inlineStr">
        <is>
          <t>world_bank</t>
        </is>
      </c>
      <c r="K1215" t="inlineStr">
        <is>
          <t>https://api.worldbank.org/v2/country/DNK/indicator/IC.BUS.NDNS.ZS?format=json&amp;mrv=10</t>
        </is>
      </c>
      <c r="L1215" t="inlineStr">
        <is>
          <t>World Bank WDI: New business density (new registrations per 1,000 people ages 15-64)</t>
        </is>
      </c>
      <c r="M1215" t="inlineStr">
        <is>
          <t>2022-12-31</t>
        </is>
      </c>
      <c r="N1215" t="inlineStr">
        <is>
          <t>auto_ingest=world_bank_creative_extended; indicator=IC.BUS.NDNS.ZS; year=2022; country_proxy=Denmark</t>
        </is>
      </c>
    </row>
    <row r="1216">
      <c r="A1216" t="inlineStr">
        <is>
          <t>dk-copenhagen</t>
        </is>
      </c>
      <c r="B1216" t="inlineStr">
        <is>
          <t>Copenhagen</t>
        </is>
      </c>
      <c r="C1216" t="inlineStr">
        <is>
          <t>Denmark</t>
        </is>
      </c>
      <c r="D1216" t="inlineStr">
        <is>
          <t>Western and Northern Europe</t>
        </is>
      </c>
      <c r="E1216" t="inlineStr">
        <is>
          <t>innovation_research_intensity_raw</t>
        </is>
      </c>
      <c r="F1216" t="inlineStr">
        <is>
          <t>Innovation and research raw</t>
        </is>
      </c>
      <c r="G1216" t="inlineStr">
        <is>
          <t>creative</t>
        </is>
      </c>
      <c r="H1216" t="inlineStr">
        <is>
          <t>yes</t>
        </is>
      </c>
      <c r="I1216" t="inlineStr">
        <is>
          <t>2.89</t>
        </is>
      </c>
      <c r="J1216" t="inlineStr">
        <is>
          <t>world_bank</t>
        </is>
      </c>
      <c r="K1216" t="inlineStr">
        <is>
          <t>https://api.worldbank.org/v2/country/DNK/indicator/GB.XPD.RSDV.GD.ZS?format=json&amp;mrv=10</t>
        </is>
      </c>
      <c r="L1216" t="inlineStr">
        <is>
          <t>World Bank WDI: Research and development expenditure (% of GDP)</t>
        </is>
      </c>
      <c r="M1216" t="inlineStr">
        <is>
          <t>2022-12-31</t>
        </is>
      </c>
      <c r="N1216" t="inlineStr">
        <is>
          <t>auto_ingest=world_bank_creative_extended; indicator=GB.XPD.RSDV.GD.ZS; year=2022; country_proxy=Denmark</t>
        </is>
      </c>
    </row>
    <row r="1217">
      <c r="A1217" t="inlineStr">
        <is>
          <t>dk-copenhagen</t>
        </is>
      </c>
      <c r="B1217" t="inlineStr">
        <is>
          <t>Copenhagen</t>
        </is>
      </c>
      <c r="C1217" t="inlineStr">
        <is>
          <t>Denmark</t>
        </is>
      </c>
      <c r="D1217" t="inlineStr">
        <is>
          <t>Western and Northern Europe</t>
        </is>
      </c>
      <c r="E1217" t="inlineStr">
        <is>
          <t>investment_signal_raw</t>
        </is>
      </c>
      <c r="F1217" t="inlineStr">
        <is>
          <t>Investment signal raw</t>
        </is>
      </c>
      <c r="G1217" t="inlineStr">
        <is>
          <t>creative</t>
        </is>
      </c>
      <c r="H1217" t="inlineStr">
        <is>
          <t>yes</t>
        </is>
      </c>
      <c r="I1217" t="inlineStr">
        <is>
          <t>4.37</t>
        </is>
      </c>
      <c r="J1217" t="inlineStr">
        <is>
          <t>world_bank</t>
        </is>
      </c>
      <c r="K1217" t="inlineStr">
        <is>
          <t>https://api.worldbank.org/v2/country/DNK/indicator/BX.KLT.DINV.WD.GD.ZS?format=json&amp;mrv=10</t>
        </is>
      </c>
      <c r="L1217" t="inlineStr">
        <is>
          <t>World Bank WDI: Foreign direct investment, net inflows (% of GDP)</t>
        </is>
      </c>
      <c r="M1217" t="inlineStr">
        <is>
          <t>2024-12-31</t>
        </is>
      </c>
      <c r="N1217" t="inlineStr">
        <is>
          <t>auto_ingest=world_bank_creative_extended; indicator=BX.KLT.DINV.WD.GD.ZS; year=2024; country_proxy=Denmark</t>
        </is>
      </c>
    </row>
    <row r="1218">
      <c r="A1218" t="inlineStr">
        <is>
          <t>dk-copenhagen</t>
        </is>
      </c>
      <c r="B1218" t="inlineStr">
        <is>
          <t>Copenhagen</t>
        </is>
      </c>
      <c r="C1218" t="inlineStr">
        <is>
          <t>Denmark</t>
        </is>
      </c>
      <c r="D1218" t="inlineStr">
        <is>
          <t>Western and Northern Europe</t>
        </is>
      </c>
      <c r="E1218" t="inlineStr">
        <is>
          <t>administrative_investment_friction_raw</t>
        </is>
      </c>
      <c r="F1218" t="inlineStr">
        <is>
          <t>Administrative investment friction raw</t>
        </is>
      </c>
      <c r="G1218" t="inlineStr">
        <is>
          <t>creative</t>
        </is>
      </c>
      <c r="H1218" t="inlineStr">
        <is>
          <t>yes</t>
        </is>
      </c>
      <c r="I1218" t="inlineStr">
        <is>
          <t>0.66</t>
        </is>
      </c>
      <c r="J1218" t="inlineStr">
        <is>
          <t>world_bank</t>
        </is>
      </c>
      <c r="K1218" t="inlineStr">
        <is>
          <t>https://api.worldbank.org/v2/country/DNK/indicator/RQ.EST?format=json&amp;mrv=10</t>
        </is>
      </c>
      <c r="L1218" t="inlineStr">
        <is>
          <t>World Bank WGI: Regulatory Quality (inverted as friction proxy)</t>
        </is>
      </c>
      <c r="M1218" t="inlineStr">
        <is>
          <t>2023-12-31</t>
        </is>
      </c>
      <c r="N1218" t="inlineStr">
        <is>
          <t>auto_ingest=world_bank_business_friction; indicator=RQ.EST; raw_rq=1.83951985836029; friction=0.66; year=2023; country_proxy=Denmark</t>
        </is>
      </c>
    </row>
    <row r="1219">
      <c r="A1219" t="inlineStr">
        <is>
          <t>dk-copenhagen</t>
        </is>
      </c>
      <c r="B1219" t="inlineStr">
        <is>
          <t>Copenhagen</t>
        </is>
      </c>
      <c r="C1219" t="inlineStr">
        <is>
          <t>Denmark</t>
        </is>
      </c>
      <c r="D1219" t="inlineStr">
        <is>
          <t>Western and Northern Europe</t>
        </is>
      </c>
      <c r="E1219" t="inlineStr">
        <is>
          <t>visitor_flow_context_raw</t>
        </is>
      </c>
      <c r="F1219" t="inlineStr">
        <is>
          <t>Visitor flow context raw</t>
        </is>
      </c>
      <c r="G1219" t="inlineStr">
        <is>
          <t>creative</t>
        </is>
      </c>
      <c r="H1219" t="inlineStr">
        <is>
          <t>no</t>
        </is>
      </c>
      <c r="I1219" t="inlineStr"/>
      <c r="J1219" t="inlineStr"/>
      <c r="K1219" t="inlineStr"/>
      <c r="L1219" t="inlineStr"/>
      <c r="M1219" t="inlineStr"/>
      <c r="N1219" t="inlineStr"/>
    </row>
    <row r="1220">
      <c r="A1220" t="inlineStr">
        <is>
          <t>it-milan</t>
        </is>
      </c>
      <c r="B1220" t="inlineStr">
        <is>
          <t>Milan</t>
        </is>
      </c>
      <c r="C1220" t="inlineStr">
        <is>
          <t>Italy</t>
        </is>
      </c>
      <c r="D1220" t="inlineStr">
        <is>
          <t>Western, Northern, and Southern Europe</t>
        </is>
      </c>
      <c r="E1220" t="inlineStr">
        <is>
          <t>gross_income</t>
        </is>
      </c>
      <c r="F1220" t="inlineStr">
        <is>
          <t>Gross income</t>
        </is>
      </c>
      <c r="G1220" t="inlineStr">
        <is>
          <t>pressure</t>
        </is>
      </c>
      <c r="H1220" t="inlineStr">
        <is>
          <t>yes</t>
        </is>
      </c>
      <c r="I1220" t="inlineStr">
        <is>
          <t>39023.18</t>
        </is>
      </c>
      <c r="J1220" t="inlineStr">
        <is>
          <t>comune_milano_open_data</t>
        </is>
      </c>
      <c r="K1220" t="inlineStr">
        <is>
          <t>https://dati.comune.milano.it/dataset/edfe847d-05f1-4d25-ba44-283d22b1ec73/resource/76b54f5a-24a6-4f7f-a3a9-a6152d8da601/download/redditi_e_principali_variabili_irpef_su_base_comunale_csv_2023.csv</t>
        </is>
      </c>
      <c r="L1220" t="inlineStr">
        <is>
          <t>Comune di Milano Open Data | Redditi e variabili Irpef su base comunale: 2024 a.i. 2023</t>
        </is>
      </c>
      <c r="M1220" t="inlineStr">
        <is>
          <t>2026-03-12</t>
        </is>
      </c>
      <c r="N1220" t="inlineStr">
        <is>
          <t>Computed as total gross income across official 2023 IRPEF income brackets divided by the number of contributors.</t>
        </is>
      </c>
    </row>
    <row r="1221">
      <c r="A1221" t="inlineStr">
        <is>
          <t>it-milan</t>
        </is>
      </c>
      <c r="B1221" t="inlineStr">
        <is>
          <t>Milan</t>
        </is>
      </c>
      <c r="C1221" t="inlineStr">
        <is>
          <t>Italy</t>
        </is>
      </c>
      <c r="D1221" t="inlineStr">
        <is>
          <t>Western, Northern, and Southern Europe</t>
        </is>
      </c>
      <c r="E1221" t="inlineStr">
        <is>
          <t>di_ppp_raw</t>
        </is>
      </c>
      <c r="F1221" t="inlineStr">
        <is>
          <t>Disposable income PPP (Raw)</t>
        </is>
      </c>
      <c r="G1221" t="inlineStr">
        <is>
          <t>pressure</t>
        </is>
      </c>
      <c r="H1221" t="inlineStr">
        <is>
          <t>yes</t>
        </is>
      </c>
      <c r="I1221" t="inlineStr"/>
      <c r="J1221" t="inlineStr"/>
      <c r="K1221" t="inlineStr"/>
      <c r="L1221" t="inlineStr"/>
      <c r="M1221" t="inlineStr"/>
      <c r="N1221" t="inlineStr"/>
    </row>
    <row r="1222">
      <c r="A1222" t="inlineStr">
        <is>
          <t>it-milan</t>
        </is>
      </c>
      <c r="B1222" t="inlineStr">
        <is>
          <t>Milan</t>
        </is>
      </c>
      <c r="C1222" t="inlineStr">
        <is>
          <t>Italy</t>
        </is>
      </c>
      <c r="D1222" t="inlineStr">
        <is>
          <t>Western, Northern, and Southern Europe</t>
        </is>
      </c>
      <c r="E1222" t="inlineStr">
        <is>
          <t>rent</t>
        </is>
      </c>
      <c r="F1222" t="inlineStr">
        <is>
          <t>Rent</t>
        </is>
      </c>
      <c r="G1222" t="inlineStr">
        <is>
          <t>pressure</t>
        </is>
      </c>
      <c r="H1222" t="inlineStr">
        <is>
          <t>yes</t>
        </is>
      </c>
      <c r="I1222" t="inlineStr">
        <is>
          <t>2480.2</t>
        </is>
      </c>
      <c r="J1222" t="inlineStr">
        <is>
          <t>world_bank_col_estimate</t>
        </is>
      </c>
      <c r="K1222" t="inlineStr">
        <is>
          <t>https://api.worldbank.org/v2/country/ITA/indicator/NY.GNP.PCAP.PP.CD?format=json&amp;mrv=10</t>
        </is>
      </c>
      <c r="L1222" t="inlineStr">
        <is>
          <t>World Bank GNI + regional expenditure ratio estimate</t>
        </is>
      </c>
      <c r="M1222" t="inlineStr">
        <is>
          <t>2024-12-31</t>
        </is>
      </c>
      <c r="N1222" t="inlineStr">
        <is>
          <t>auto_ingest=world_bank_col_estimate; gni_annual=61620.0; year=2024; country_proxy=Italy; cohort=Western, Northern, and Southern Europe; city_cost_mult=1.2</t>
        </is>
      </c>
    </row>
    <row r="1223">
      <c r="A1223" t="inlineStr">
        <is>
          <t>it-milan</t>
        </is>
      </c>
      <c r="B1223" t="inlineStr">
        <is>
          <t>Milan</t>
        </is>
      </c>
      <c r="C1223" t="inlineStr">
        <is>
          <t>Italy</t>
        </is>
      </c>
      <c r="D1223" t="inlineStr">
        <is>
          <t>Western, Northern, and Southern Europe</t>
        </is>
      </c>
      <c r="E1223" t="inlineStr">
        <is>
          <t>utilities</t>
        </is>
      </c>
      <c r="F1223" t="inlineStr">
        <is>
          <t>Utilities</t>
        </is>
      </c>
      <c r="G1223" t="inlineStr">
        <is>
          <t>pressure</t>
        </is>
      </c>
      <c r="H1223" t="inlineStr">
        <is>
          <t>yes</t>
        </is>
      </c>
      <c r="I1223" t="inlineStr">
        <is>
          <t>496.04</t>
        </is>
      </c>
      <c r="J1223" t="inlineStr">
        <is>
          <t>world_bank_col_estimate</t>
        </is>
      </c>
      <c r="K1223" t="inlineStr">
        <is>
          <t>https://api.worldbank.org/v2/country/ITA/indicator/NY.GNP.PCAP.PP.CD?format=json&amp;mrv=10</t>
        </is>
      </c>
      <c r="L1223" t="inlineStr">
        <is>
          <t>World Bank GNI + regional expenditure ratio estimate</t>
        </is>
      </c>
      <c r="M1223" t="inlineStr">
        <is>
          <t>2024-12-31</t>
        </is>
      </c>
      <c r="N1223" t="inlineStr">
        <is>
          <t>auto_ingest=world_bank_col_estimate; gni_annual=61620.0; year=2024; country_proxy=Italy; cohort=Western, Northern, and Southern Europe; city_cost_mult=1.2</t>
        </is>
      </c>
    </row>
    <row r="1224">
      <c r="A1224" t="inlineStr">
        <is>
          <t>it-milan</t>
        </is>
      </c>
      <c r="B1224" t="inlineStr">
        <is>
          <t>Milan</t>
        </is>
      </c>
      <c r="C1224" t="inlineStr">
        <is>
          <t>Italy</t>
        </is>
      </c>
      <c r="D1224" t="inlineStr">
        <is>
          <t>Western, Northern, and Southern Europe</t>
        </is>
      </c>
      <c r="E1224" t="inlineStr">
        <is>
          <t>transit_cost</t>
        </is>
      </c>
      <c r="F1224" t="inlineStr">
        <is>
          <t>Transit cost</t>
        </is>
      </c>
      <c r="G1224" t="inlineStr">
        <is>
          <t>pressure</t>
        </is>
      </c>
      <c r="H1224" t="inlineStr">
        <is>
          <t>yes</t>
        </is>
      </c>
      <c r="I1224" t="inlineStr">
        <is>
          <t>330</t>
        </is>
      </c>
      <c r="J1224" t="inlineStr">
        <is>
          <t>atm_milano</t>
        </is>
      </c>
      <c r="K1224" t="inlineStr">
        <is>
          <t>https://www.atm.it/en/ViaggiaConNoi/Abbonamenti/Pages/Tipologie.aspx</t>
        </is>
      </c>
      <c r="L1224" t="inlineStr">
        <is>
          <t>ATM Milano | Travel pass subscriptions</t>
        </is>
      </c>
      <c r="M1224" t="inlineStr">
        <is>
          <t>2026-03-12</t>
        </is>
      </c>
      <c r="N1224" t="inlineStr">
        <is>
          <t>Annual urban travel pass valid within Milan municipality; annualized fare used per SLIC essential-cost method.</t>
        </is>
      </c>
    </row>
    <row r="1225">
      <c r="A1225" t="inlineStr">
        <is>
          <t>it-milan</t>
        </is>
      </c>
      <c r="B1225" t="inlineStr">
        <is>
          <t>Milan</t>
        </is>
      </c>
      <c r="C1225" t="inlineStr">
        <is>
          <t>Italy</t>
        </is>
      </c>
      <c r="D1225" t="inlineStr">
        <is>
          <t>Western, Northern, and Southern Europe</t>
        </is>
      </c>
      <c r="E1225" t="inlineStr">
        <is>
          <t>internet_cost</t>
        </is>
      </c>
      <c r="F1225" t="inlineStr">
        <is>
          <t>Internet cost</t>
        </is>
      </c>
      <c r="G1225" t="inlineStr">
        <is>
          <t>pressure</t>
        </is>
      </c>
      <c r="H1225" t="inlineStr">
        <is>
          <t>yes</t>
        </is>
      </c>
      <c r="I1225" t="inlineStr">
        <is>
          <t>106.29</t>
        </is>
      </c>
      <c r="J1225" t="inlineStr">
        <is>
          <t>world_bank_col_estimate</t>
        </is>
      </c>
      <c r="K1225" t="inlineStr">
        <is>
          <t>https://api.worldbank.org/v2/country/ITA/indicator/NY.GNP.PCAP.PP.CD?format=json&amp;mrv=10</t>
        </is>
      </c>
      <c r="L1225" t="inlineStr">
        <is>
          <t>World Bank GNI + regional expenditure ratio estimate</t>
        </is>
      </c>
      <c r="M1225" t="inlineStr">
        <is>
          <t>2024-12-31</t>
        </is>
      </c>
      <c r="N1225" t="inlineStr">
        <is>
          <t>auto_ingest=world_bank_col_estimate; gni_annual=61620.0; year=2024; country_proxy=Italy; cohort=Western, Northern, and Southern Europe; city_cost_mult=1.2</t>
        </is>
      </c>
    </row>
    <row r="1226">
      <c r="A1226" t="inlineStr">
        <is>
          <t>it-milan</t>
        </is>
      </c>
      <c r="B1226" t="inlineStr">
        <is>
          <t>Milan</t>
        </is>
      </c>
      <c r="C1226" t="inlineStr">
        <is>
          <t>Italy</t>
        </is>
      </c>
      <c r="D1226" t="inlineStr">
        <is>
          <t>Western, Northern, and Southern Europe</t>
        </is>
      </c>
      <c r="E1226" t="inlineStr">
        <is>
          <t>food_cost</t>
        </is>
      </c>
      <c r="F1226" t="inlineStr">
        <is>
          <t>Food cost</t>
        </is>
      </c>
      <c r="G1226" t="inlineStr">
        <is>
          <t>pressure</t>
        </is>
      </c>
      <c r="H1226" t="inlineStr">
        <is>
          <t>yes</t>
        </is>
      </c>
      <c r="I1226" t="inlineStr">
        <is>
          <t>1062.94</t>
        </is>
      </c>
      <c r="J1226" t="inlineStr">
        <is>
          <t>world_bank_col_estimate</t>
        </is>
      </c>
      <c r="K1226" t="inlineStr">
        <is>
          <t>https://api.worldbank.org/v2/country/ITA/indicator/NY.GNP.PCAP.PP.CD?format=json&amp;mrv=10</t>
        </is>
      </c>
      <c r="L1226" t="inlineStr">
        <is>
          <t>World Bank GNI + regional expenditure ratio estimate</t>
        </is>
      </c>
      <c r="M1226" t="inlineStr">
        <is>
          <t>2024-12-31</t>
        </is>
      </c>
      <c r="N1226" t="inlineStr">
        <is>
          <t>auto_ingest=world_bank_col_estimate; gni_annual=61620.0; year=2024; country_proxy=Italy; cohort=Western, Northern, and Southern Europe; city_cost_mult=1.2</t>
        </is>
      </c>
    </row>
    <row r="1227">
      <c r="A1227" t="inlineStr">
        <is>
          <t>it-milan</t>
        </is>
      </c>
      <c r="B1227" t="inlineStr">
        <is>
          <t>Milan</t>
        </is>
      </c>
      <c r="C1227" t="inlineStr">
        <is>
          <t>Italy</t>
        </is>
      </c>
      <c r="D1227" t="inlineStr">
        <is>
          <t>Western, Northern, and Southern Europe</t>
        </is>
      </c>
      <c r="E1227" t="inlineStr">
        <is>
          <t>housing_burden_raw</t>
        </is>
      </c>
      <c r="F1227" t="inlineStr">
        <is>
          <t>Housing burden raw</t>
        </is>
      </c>
      <c r="G1227" t="inlineStr">
        <is>
          <t>pressure</t>
        </is>
      </c>
      <c r="H1227" t="inlineStr">
        <is>
          <t>yes</t>
        </is>
      </c>
      <c r="I1227" t="inlineStr">
        <is>
          <t>6.3557</t>
        </is>
      </c>
      <c r="J1227" t="inlineStr">
        <is>
          <t>derived</t>
        </is>
      </c>
      <c r="K1227" t="inlineStr">
        <is>
          <t>https://data.worldbank.org/indicator/NY.GNP.PCAP.PP.CD</t>
        </is>
      </c>
      <c r="L1227" t="inlineStr">
        <is>
          <t>Computed from city_inputs + country_context</t>
        </is>
      </c>
      <c r="M1227" t="inlineStr">
        <is>
          <t>2024-01-01</t>
        </is>
      </c>
      <c r="N1227" t="inlineStr">
        <is>
          <t>derived=rent/gross_income*100</t>
        </is>
      </c>
    </row>
    <row r="1228">
      <c r="A1228" t="inlineStr">
        <is>
          <t>it-milan</t>
        </is>
      </c>
      <c r="B1228" t="inlineStr">
        <is>
          <t>Milan</t>
        </is>
      </c>
      <c r="C1228" t="inlineStr">
        <is>
          <t>Italy</t>
        </is>
      </c>
      <c r="D1228" t="inlineStr">
        <is>
          <t>Western, Northern, and Southern Europe</t>
        </is>
      </c>
      <c r="E1228" t="inlineStr">
        <is>
          <t>household_debt_burden_raw</t>
        </is>
      </c>
      <c r="F1228" t="inlineStr">
        <is>
          <t>Household debt burden raw</t>
        </is>
      </c>
      <c r="G1228" t="inlineStr">
        <is>
          <t>pressure</t>
        </is>
      </c>
      <c r="H1228" t="inlineStr">
        <is>
          <t>yes</t>
        </is>
      </c>
      <c r="I1228" t="inlineStr">
        <is>
          <t>59.3116</t>
        </is>
      </c>
      <c r="J1228" t="inlineStr">
        <is>
          <t>derived</t>
        </is>
      </c>
      <c r="K1228" t="inlineStr">
        <is>
          <t>https://data.worldbank.org/indicator/NY.GNP.PCAP.PP.CD</t>
        </is>
      </c>
      <c r="L1228" t="inlineStr">
        <is>
          <t>Computed from city_inputs + country_context</t>
        </is>
      </c>
      <c r="M1228" t="inlineStr">
        <is>
          <t>2024-01-01</t>
        </is>
      </c>
      <c r="N1228" t="inlineStr">
        <is>
          <t>derived=country_context.household_debt_proxy; country=Italy</t>
        </is>
      </c>
    </row>
    <row r="1229">
      <c r="A1229" t="inlineStr">
        <is>
          <t>it-milan</t>
        </is>
      </c>
      <c r="B1229" t="inlineStr">
        <is>
          <t>Milan</t>
        </is>
      </c>
      <c r="C1229" t="inlineStr">
        <is>
          <t>Italy</t>
        </is>
      </c>
      <c r="D1229" t="inlineStr">
        <is>
          <t>Western, Northern, and Southern Europe</t>
        </is>
      </c>
      <c r="E1229" t="inlineStr">
        <is>
          <t>working_time_pressure_raw</t>
        </is>
      </c>
      <c r="F1229" t="inlineStr">
        <is>
          <t>Working time pressure raw</t>
        </is>
      </c>
      <c r="G1229" t="inlineStr">
        <is>
          <t>pressure</t>
        </is>
      </c>
      <c r="H1229" t="inlineStr">
        <is>
          <t>yes</t>
        </is>
      </c>
      <c r="I1229" t="inlineStr">
        <is>
          <t>35.96</t>
        </is>
      </c>
      <c r="J1229" t="inlineStr">
        <is>
          <t>ilo_ilostat</t>
        </is>
      </c>
      <c r="K1229" t="inlineStr">
        <is>
          <t>https://ilostat.ilo.org/data/indicator/?id=HOW_TEMP_SEX_ECO_NB_A&amp;ref_area=ITA</t>
        </is>
      </c>
      <c r="L1229" t="inlineStr">
        <is>
          <t>ILO ILOSTAT: Mean weekly hours actually worked per employed person</t>
        </is>
      </c>
      <c r="M1229" t="inlineStr">
        <is>
          <t>2024-12-31</t>
        </is>
      </c>
      <c r="N1229" t="inlineStr">
        <is>
          <t>auto_ingest=ilo_working_hours; indicator=HOW_TEMP_SEX_ECO_NB_A; year=2024; hours=35.96; country_proxy=Italy</t>
        </is>
      </c>
    </row>
    <row r="1230">
      <c r="A1230" t="inlineStr">
        <is>
          <t>it-milan</t>
        </is>
      </c>
      <c r="B1230" t="inlineStr">
        <is>
          <t>Milan</t>
        </is>
      </c>
      <c r="C1230" t="inlineStr">
        <is>
          <t>Italy</t>
        </is>
      </c>
      <c r="D1230" t="inlineStr">
        <is>
          <t>Western, Northern, and Southern Europe</t>
        </is>
      </c>
      <c r="E1230" t="inlineStr">
        <is>
          <t>suicide_mental_strain_raw</t>
        </is>
      </c>
      <c r="F1230" t="inlineStr">
        <is>
          <t>Suicide or mental strain raw</t>
        </is>
      </c>
      <c r="G1230" t="inlineStr">
        <is>
          <t>pressure</t>
        </is>
      </c>
      <c r="H1230" t="inlineStr">
        <is>
          <t>yes</t>
        </is>
      </c>
      <c r="I1230" t="inlineStr">
        <is>
          <t>6.99</t>
        </is>
      </c>
      <c r="J1230" t="inlineStr">
        <is>
          <t>who_gho</t>
        </is>
      </c>
      <c r="K1230" t="inlineStr">
        <is>
          <t>https://www.who.int/data/gho/data/indicators/indicator-details/GHO/SDGSUICIDE</t>
        </is>
      </c>
      <c r="L1230" t="inlineStr">
        <is>
          <t>WHO GHO: Age-standardized suicide rate (per 100,000 population)</t>
        </is>
      </c>
      <c r="M1230" t="inlineStr">
        <is>
          <t>2021-12-31</t>
        </is>
      </c>
      <c r="N1230" t="inlineStr">
        <is>
          <t>auto_ingest=who_gho; indicator=SDGSUICIDE; year=2021; country_proxy=Italy</t>
        </is>
      </c>
    </row>
    <row r="1231">
      <c r="A1231" t="inlineStr">
        <is>
          <t>it-milan</t>
        </is>
      </c>
      <c r="B1231" t="inlineStr">
        <is>
          <t>Milan</t>
        </is>
      </c>
      <c r="C1231" t="inlineStr">
        <is>
          <t>Italy</t>
        </is>
      </c>
      <c r="D1231" t="inlineStr">
        <is>
          <t>Western, Northern, and Southern Europe</t>
        </is>
      </c>
      <c r="E1231" t="inlineStr">
        <is>
          <t>personal_safety_raw</t>
        </is>
      </c>
      <c r="F1231" t="inlineStr">
        <is>
          <t>Personal safety raw</t>
        </is>
      </c>
      <c r="G1231" t="inlineStr">
        <is>
          <t>viability</t>
        </is>
      </c>
      <c r="H1231" t="inlineStr">
        <is>
          <t>yes</t>
        </is>
      </c>
      <c r="I1231" t="inlineStr">
        <is>
          <t>0.5</t>
        </is>
      </c>
      <c r="J1231" t="inlineStr">
        <is>
          <t>comune_milano_open_data</t>
        </is>
      </c>
      <c r="K1231" t="inlineStr">
        <is>
          <t>https://dati.comune.milano.it/dataset/34e2d2af-5c3b-4768-918b-ab7e5c0d15da/resource/8b03b9f2-f2d7-4408-b439-bc6efc093cff/download/ds564_reati_denunciati_2004_2023.csv</t>
        </is>
      </c>
      <c r="L1231" t="inlineStr">
        <is>
          <t>Corrected: was total reported crimes/1k (102.95), now homicide rate per 100k. Italy ~0.5.</t>
        </is>
      </c>
      <c r="M1231" t="inlineStr">
        <is>
          <t>2026-03-12</t>
        </is>
      </c>
      <c r="N1231" t="inlineStr">
        <is>
          <t>Computed as total reported crimes in 2023 per 1,000 residents using the official crime series and the official 2024 resident count.</t>
        </is>
      </c>
    </row>
    <row r="1232">
      <c r="A1232" t="inlineStr">
        <is>
          <t>it-milan</t>
        </is>
      </c>
      <c r="B1232" t="inlineStr">
        <is>
          <t>Milan</t>
        </is>
      </c>
      <c r="C1232" t="inlineStr">
        <is>
          <t>Italy</t>
        </is>
      </c>
      <c r="D1232" t="inlineStr">
        <is>
          <t>Western, Northern, and Southern Europe</t>
        </is>
      </c>
      <c r="E1232" t="inlineStr">
        <is>
          <t>transit_access_commute_raw</t>
        </is>
      </c>
      <c r="F1232" t="inlineStr">
        <is>
          <t>Transit access and commute raw</t>
        </is>
      </c>
      <c r="G1232" t="inlineStr">
        <is>
          <t>viability</t>
        </is>
      </c>
      <c r="H1232" t="inlineStr">
        <is>
          <t>yes</t>
        </is>
      </c>
      <c r="I1232" t="inlineStr">
        <is>
          <t>75.43</t>
        </is>
      </c>
      <c r="J1232" t="inlineStr">
        <is>
          <t>comune_milano_open_data</t>
        </is>
      </c>
      <c r="K1232" t="inlineStr">
        <is>
          <t>https://dati.comune.milano.it/dataset/0ac0f655-1858-410a-9873-70fd057ef65d/resource/39d6ef17-8882-49b6-b2de-dd4a8486d923/download/ds393_popolazione_pendolari_movimenti_interni_mezzo_tempo_orario_uscita_genere__2011c.csv</t>
        </is>
      </c>
      <c r="L1232" t="inlineStr">
        <is>
          <t>Comune di Milano Open Data | Censimento 2011: movimenti pendolari interni per mezzo, tempo impiegato, orario di uscita e genere</t>
        </is>
      </c>
      <c r="M1232" t="inlineStr">
        <is>
          <t>2026-03-12</t>
        </is>
      </c>
      <c r="N1232" t="inlineStr">
        <is>
          <t>Computed as the share of internal commuters whose travel time is 30 minutes or less from the official commuting dataset.</t>
        </is>
      </c>
    </row>
    <row r="1233">
      <c r="A1233" t="inlineStr">
        <is>
          <t>it-milan</t>
        </is>
      </c>
      <c r="B1233" t="inlineStr">
        <is>
          <t>Milan</t>
        </is>
      </c>
      <c r="C1233" t="inlineStr">
        <is>
          <t>Italy</t>
        </is>
      </c>
      <c r="D1233" t="inlineStr">
        <is>
          <t>Western, Northern, and Southern Europe</t>
        </is>
      </c>
      <c r="E1233" t="inlineStr">
        <is>
          <t>clean_air_raw</t>
        </is>
      </c>
      <c r="F1233" t="inlineStr">
        <is>
          <t>Clean air raw</t>
        </is>
      </c>
      <c r="G1233" t="inlineStr">
        <is>
          <t>viability</t>
        </is>
      </c>
      <c r="H1233" t="inlineStr">
        <is>
          <t>yes</t>
        </is>
      </c>
      <c r="I1233" t="inlineStr">
        <is>
          <t>21</t>
        </is>
      </c>
      <c r="J1233" t="inlineStr">
        <is>
          <t>arpa_lombardia</t>
        </is>
      </c>
      <c r="K1233" t="inlineStr">
        <is>
          <t>https://www.arpalombardia.it/agenda/notizie/2026/qualita-dell-aria-prosegue-il-miglioramento-anche-nell-anno-2025/</t>
        </is>
      </c>
      <c r="L1233" t="inlineStr">
        <is>
          <t>ARPA Lombardia | Qualita dell'aria, prosegue il miglioramento anche nell'anno 2025</t>
        </is>
      </c>
      <c r="M1233" t="inlineStr">
        <is>
          <t>2026-03-12</t>
        </is>
      </c>
      <c r="N1233" t="inlineStr">
        <is>
          <t>Official PM2.5 annual mean for Milan in 2025 from the ARPA Lombardia annual air-quality summary.</t>
        </is>
      </c>
    </row>
    <row r="1234">
      <c r="A1234" t="inlineStr">
        <is>
          <t>it-milan</t>
        </is>
      </c>
      <c r="B1234" t="inlineStr">
        <is>
          <t>Milan</t>
        </is>
      </c>
      <c r="C1234" t="inlineStr">
        <is>
          <t>Italy</t>
        </is>
      </c>
      <c r="D1234" t="inlineStr">
        <is>
          <t>Western, Northern, and Southern Europe</t>
        </is>
      </c>
      <c r="E1234" t="inlineStr">
        <is>
          <t>water_sanitation_utility_raw</t>
        </is>
      </c>
      <c r="F1234" t="inlineStr">
        <is>
          <t>Water, sanitation, and utility raw</t>
        </is>
      </c>
      <c r="G1234" t="inlineStr">
        <is>
          <t>viability</t>
        </is>
      </c>
      <c r="H1234" t="inlineStr">
        <is>
          <t>yes</t>
        </is>
      </c>
      <c r="I1234" t="inlineStr">
        <is>
          <t>96.76</t>
        </is>
      </c>
      <c r="J1234" t="inlineStr">
        <is>
          <t>world_bank</t>
        </is>
      </c>
      <c r="K1234" t="inlineStr">
        <is>
          <t>https://api.worldbank.org/v2/country/ITA/indicator/SH.H2O.SMDW.ZS?format=json&amp;mrv=10</t>
        </is>
      </c>
      <c r="L1234" t="inlineStr">
        <is>
          <t>World Bank WDI: People using safely managed drinking water services (% of population)</t>
        </is>
      </c>
      <c r="M1234" t="inlineStr">
        <is>
          <t>2024-12-31</t>
        </is>
      </c>
      <c r="N1234" t="inlineStr">
        <is>
          <t>auto_ingest=world_bank_proxy; indicator=SH.H2O.SMDW.ZS; year=2024; country_proxy=Italy</t>
        </is>
      </c>
    </row>
    <row r="1235">
      <c r="A1235" t="inlineStr">
        <is>
          <t>it-milan</t>
        </is>
      </c>
      <c r="B1235" t="inlineStr">
        <is>
          <t>Milan</t>
        </is>
      </c>
      <c r="C1235" t="inlineStr">
        <is>
          <t>Italy</t>
        </is>
      </c>
      <c r="D1235" t="inlineStr">
        <is>
          <t>Western, Northern, and Southern Europe</t>
        </is>
      </c>
      <c r="E1235" t="inlineStr">
        <is>
          <t>digital_infrastructure_raw</t>
        </is>
      </c>
      <c r="F1235" t="inlineStr">
        <is>
          <t>Digital infrastructure raw</t>
        </is>
      </c>
      <c r="G1235" t="inlineStr">
        <is>
          <t>viability</t>
        </is>
      </c>
      <c r="H1235" t="inlineStr">
        <is>
          <t>yes</t>
        </is>
      </c>
      <c r="I1235" t="inlineStr">
        <is>
          <t>31.84</t>
        </is>
      </c>
      <c r="J1235" t="inlineStr">
        <is>
          <t>world_bank</t>
        </is>
      </c>
      <c r="K1235" t="inlineStr">
        <is>
          <t>https://api.worldbank.org/v2/country/ITA/indicator/IT.NET.BBND.P2?format=json&amp;mrv=10</t>
        </is>
      </c>
      <c r="L1235" t="inlineStr">
        <is>
          <t>World Bank WDI: Fixed broadband subscriptions (per 100 people)</t>
        </is>
      </c>
      <c r="M1235" t="inlineStr">
        <is>
          <t>2023-12-31</t>
        </is>
      </c>
      <c r="N1235" t="inlineStr">
        <is>
          <t>auto_ingest=world_bank_proxy; indicator=IT.NET.BBND.P2; year=2023; country_proxy=Italy</t>
        </is>
      </c>
    </row>
    <row r="1236">
      <c r="A1236" t="inlineStr">
        <is>
          <t>it-milan</t>
        </is>
      </c>
      <c r="B1236" t="inlineStr">
        <is>
          <t>Milan</t>
        </is>
      </c>
      <c r="C1236" t="inlineStr">
        <is>
          <t>Italy</t>
        </is>
      </c>
      <c r="D1236" t="inlineStr">
        <is>
          <t>Western, Northern, and Southern Europe</t>
        </is>
      </c>
      <c r="E1236" t="inlineStr">
        <is>
          <t>climate_sunlight_livability_raw</t>
        </is>
      </c>
      <c r="F1236" t="inlineStr">
        <is>
          <t>Climate and sunlight livability raw</t>
        </is>
      </c>
      <c r="G1236" t="inlineStr">
        <is>
          <t>viability</t>
        </is>
      </c>
      <c r="H1236" t="inlineStr">
        <is>
          <t>yes</t>
        </is>
      </c>
      <c r="I1236" t="inlineStr">
        <is>
          <t>54</t>
        </is>
      </c>
      <c r="J1236" t="inlineStr">
        <is>
          <t>wmo_natl_met</t>
        </is>
      </c>
      <c r="K1236" t="inlineStr">
        <is>
          <t>https://worldweather.wmo.int</t>
        </is>
      </c>
      <c r="L1236" t="inlineStr">
        <is>
          <t>WMO/National Met: Climate livability composite</t>
        </is>
      </c>
      <c r="M1236" t="inlineStr">
        <is>
          <t>2024-12-31</t>
        </is>
      </c>
      <c r="N1236" t="inlineStr">
        <is>
          <t>auto_seed=climate_composite; 1900 sun hrs, 14C mean, foggy winters, humid summers</t>
        </is>
      </c>
    </row>
    <row r="1237">
      <c r="A1237" t="inlineStr">
        <is>
          <t>it-milan</t>
        </is>
      </c>
      <c r="B1237" t="inlineStr">
        <is>
          <t>Milan</t>
        </is>
      </c>
      <c r="C1237" t="inlineStr">
        <is>
          <t>Italy</t>
        </is>
      </c>
      <c r="D1237" t="inlineStr">
        <is>
          <t>Western, Northern, and Southern Europe</t>
        </is>
      </c>
      <c r="E1237" t="inlineStr">
        <is>
          <t>healthcare_quality_raw</t>
        </is>
      </c>
      <c r="F1237" t="inlineStr">
        <is>
          <t>Healthcare quality raw</t>
        </is>
      </c>
      <c r="G1237" t="inlineStr">
        <is>
          <t>capability</t>
        </is>
      </c>
      <c r="H1237" t="inlineStr">
        <is>
          <t>yes</t>
        </is>
      </c>
      <c r="I1237" t="inlineStr">
        <is>
          <t>82.0</t>
        </is>
      </c>
      <c r="J1237" t="inlineStr">
        <is>
          <t>who_gho</t>
        </is>
      </c>
      <c r="K1237" t="inlineStr">
        <is>
          <t>https://www.who.int/data/gho/data/indicators/indicator-details/GHO/UHC_INDEX_REPORTED</t>
        </is>
      </c>
      <c r="L1237" t="inlineStr">
        <is>
          <t>WHO GHO: UHC Service Coverage Index</t>
        </is>
      </c>
      <c r="M1237" t="inlineStr">
        <is>
          <t>2023-12-31</t>
        </is>
      </c>
      <c r="N1237" t="inlineStr">
        <is>
          <t>auto_ingest=who_gho; indicator=UHC_INDEX_REPORTED; year=2023; country_proxy=Italy</t>
        </is>
      </c>
    </row>
    <row r="1238">
      <c r="A1238" t="inlineStr">
        <is>
          <t>it-milan</t>
        </is>
      </c>
      <c r="B1238" t="inlineStr">
        <is>
          <t>Milan</t>
        </is>
      </c>
      <c r="C1238" t="inlineStr">
        <is>
          <t>Italy</t>
        </is>
      </c>
      <c r="D1238" t="inlineStr">
        <is>
          <t>Western, Northern, and Southern Europe</t>
        </is>
      </c>
      <c r="E1238" t="inlineStr">
        <is>
          <t>education_quality_raw</t>
        </is>
      </c>
      <c r="F1238" t="inlineStr">
        <is>
          <t>Education quality raw</t>
        </is>
      </c>
      <c r="G1238" t="inlineStr">
        <is>
          <t>capability</t>
        </is>
      </c>
      <c r="H1238" t="inlineStr">
        <is>
          <t>yes</t>
        </is>
      </c>
      <c r="I1238" t="inlineStr">
        <is>
          <t>75.95</t>
        </is>
      </c>
      <c r="J1238" t="inlineStr">
        <is>
          <t>world_bank</t>
        </is>
      </c>
      <c r="K1238" t="inlineStr">
        <is>
          <t>https://api.worldbank.org/v2/country/ITA/indicator/SE.TER.ENRR?format=json&amp;mrv=10</t>
        </is>
      </c>
      <c r="L1238" t="inlineStr">
        <is>
          <t>World Bank WDI: School enrollment, tertiary (% gross)</t>
        </is>
      </c>
      <c r="M1238" t="inlineStr">
        <is>
          <t>2023-12-31</t>
        </is>
      </c>
      <c r="N1238" t="inlineStr">
        <is>
          <t>auto_ingest=world_bank_proxy; indicator=SE.TER.ENRR; year=2023; country_proxy=Italy</t>
        </is>
      </c>
    </row>
    <row r="1239">
      <c r="A1239" t="inlineStr">
        <is>
          <t>it-milan</t>
        </is>
      </c>
      <c r="B1239" t="inlineStr">
        <is>
          <t>Milan</t>
        </is>
      </c>
      <c r="C1239" t="inlineStr">
        <is>
          <t>Italy</t>
        </is>
      </c>
      <c r="D1239" t="inlineStr">
        <is>
          <t>Western, Northern, and Southern Europe</t>
        </is>
      </c>
      <c r="E1239" t="inlineStr">
        <is>
          <t>equal_opportunity_raw</t>
        </is>
      </c>
      <c r="F1239" t="inlineStr">
        <is>
          <t>Equal opportunity raw</t>
        </is>
      </c>
      <c r="G1239" t="inlineStr">
        <is>
          <t>capability</t>
        </is>
      </c>
      <c r="H1239" t="inlineStr">
        <is>
          <t>yes</t>
        </is>
      </c>
      <c r="I1239" t="inlineStr">
        <is>
          <t>34.3</t>
        </is>
      </c>
      <c r="J1239" t="inlineStr">
        <is>
          <t>world_bank</t>
        </is>
      </c>
      <c r="K1239" t="inlineStr">
        <is>
          <t>https://api.worldbank.org/v2/country/ITA/indicator/SI.POV.GINI?format=json&amp;mrv=10</t>
        </is>
      </c>
      <c r="L1239" t="inlineStr">
        <is>
          <t>World Bank WDI: Gini index</t>
        </is>
      </c>
      <c r="M1239" t="inlineStr">
        <is>
          <t>2023-12-31</t>
        </is>
      </c>
      <c r="N1239" t="inlineStr">
        <is>
          <t>auto_ingest=world_bank_capability; indicator=SI.POV.GINI; year=2023; country_proxy=Italy</t>
        </is>
      </c>
    </row>
    <row r="1240">
      <c r="A1240" t="inlineStr">
        <is>
          <t>it-milan</t>
        </is>
      </c>
      <c r="B1240" t="inlineStr">
        <is>
          <t>Milan</t>
        </is>
      </c>
      <c r="C1240" t="inlineStr">
        <is>
          <t>Italy</t>
        </is>
      </c>
      <c r="D1240" t="inlineStr">
        <is>
          <t>Western, Northern, and Southern Europe</t>
        </is>
      </c>
      <c r="E1240" t="inlineStr">
        <is>
          <t>hospitality_belonging_raw</t>
        </is>
      </c>
      <c r="F1240" t="inlineStr">
        <is>
          <t>Hospitality and belonging raw</t>
        </is>
      </c>
      <c r="G1240" t="inlineStr">
        <is>
          <t>community</t>
        </is>
      </c>
      <c r="H1240" t="inlineStr">
        <is>
          <t>yes</t>
        </is>
      </c>
      <c r="I1240" t="inlineStr">
        <is>
          <t>51.28</t>
        </is>
      </c>
      <c r="J1240" t="inlineStr">
        <is>
          <t>world_bank</t>
        </is>
      </c>
      <c r="K1240" t="inlineStr">
        <is>
          <t>https://api.worldbank.org/v2/country/ITA/indicator/SM.POP.NETM?format=json&amp;mrv=10</t>
        </is>
      </c>
      <c r="L1240" t="inlineStr">
        <is>
          <t>World Bank WDI: Net migration (proxy for hospitality/belonging — positive = welcoming)</t>
        </is>
      </c>
      <c r="M1240" t="inlineStr">
        <is>
          <t>2025-12-31</t>
        </is>
      </c>
      <c r="N1240" t="inlineStr">
        <is>
          <t>auto_ingest=world_bank_proxy; proxy=net_migration_hospitality; indicator=SM.POP.NETM; year=2025; country_proxy=Italy</t>
        </is>
      </c>
    </row>
    <row r="1241">
      <c r="A1241" t="inlineStr">
        <is>
          <t>it-milan</t>
        </is>
      </c>
      <c r="B1241" t="inlineStr">
        <is>
          <t>Milan</t>
        </is>
      </c>
      <c r="C1241" t="inlineStr">
        <is>
          <t>Italy</t>
        </is>
      </c>
      <c r="D1241" t="inlineStr">
        <is>
          <t>Western, Northern, and Southern Europe</t>
        </is>
      </c>
      <c r="E1241" t="inlineStr">
        <is>
          <t>tolerance_pluralism_raw</t>
        </is>
      </c>
      <c r="F1241" t="inlineStr">
        <is>
          <t>Tolerance and pluralism raw</t>
        </is>
      </c>
      <c r="G1241" t="inlineStr">
        <is>
          <t>community</t>
        </is>
      </c>
      <c r="H1241" t="inlineStr">
        <is>
          <t>yes</t>
        </is>
      </c>
      <c r="I1241" t="inlineStr">
        <is>
          <t>32.25</t>
        </is>
      </c>
      <c r="J1241" t="inlineStr">
        <is>
          <t>world_bank</t>
        </is>
      </c>
      <c r="K1241" t="inlineStr">
        <is>
          <t>https://api.worldbank.org/v2/country/ITA/indicator/SG.GEN.PARL.ZS?format=json&amp;mrv=10</t>
        </is>
      </c>
      <c r="L1241" t="inlineStr">
        <is>
          <t>World Bank WDI: Proportion of seats held by women in national parliaments (%)</t>
        </is>
      </c>
      <c r="M1241" t="inlineStr">
        <is>
          <t>2024-12-31</t>
        </is>
      </c>
      <c r="N1241" t="inlineStr">
        <is>
          <t>auto_ingest=world_bank_proxy; proxy=gender_parity_parliament; indicator=SG.GEN.PARL.ZS; year=2024; country_proxy=Italy</t>
        </is>
      </c>
    </row>
    <row r="1242">
      <c r="A1242" t="inlineStr">
        <is>
          <t>it-milan</t>
        </is>
      </c>
      <c r="B1242" t="inlineStr">
        <is>
          <t>Milan</t>
        </is>
      </c>
      <c r="C1242" t="inlineStr">
        <is>
          <t>Italy</t>
        </is>
      </c>
      <c r="D1242" t="inlineStr">
        <is>
          <t>Western, Northern, and Southern Europe</t>
        </is>
      </c>
      <c r="E1242" t="inlineStr">
        <is>
          <t>cultural_public_life_raw</t>
        </is>
      </c>
      <c r="F1242" t="inlineStr">
        <is>
          <t>Cultural public life raw</t>
        </is>
      </c>
      <c r="G1242" t="inlineStr">
        <is>
          <t>community</t>
        </is>
      </c>
      <c r="H1242" t="inlineStr">
        <is>
          <t>yes</t>
        </is>
      </c>
      <c r="I1242" t="inlineStr">
        <is>
          <t>651.69</t>
        </is>
      </c>
      <c r="J1242" t="inlineStr">
        <is>
          <t>world_bank</t>
        </is>
      </c>
      <c r="K1242" t="inlineStr">
        <is>
          <t>https://api.worldbank.org/v2/country/ITA/indicator/ST.INT.ARVL?format=json&amp;mrv=10</t>
        </is>
      </c>
      <c r="L1242" t="inlineStr">
        <is>
          <t>World Bank WDI: International tourism arrivals per 1 000 population</t>
        </is>
      </c>
      <c r="M1242" t="inlineStr">
        <is>
          <t>2020-12-31</t>
        </is>
      </c>
      <c r="N1242" t="inlineStr">
        <is>
          <t>auto_ingest=cultural_life_proxy; indicator=ST.INT.ARVL; norm=per_1000_pop; year=2020; country_proxy=Italy</t>
        </is>
      </c>
    </row>
    <row r="1243">
      <c r="A1243" t="inlineStr">
        <is>
          <t>it-milan</t>
        </is>
      </c>
      <c r="B1243" t="inlineStr">
        <is>
          <t>Milan</t>
        </is>
      </c>
      <c r="C1243" t="inlineStr">
        <is>
          <t>Italy</t>
        </is>
      </c>
      <c r="D1243" t="inlineStr">
        <is>
          <t>Western, Northern, and Southern Europe</t>
        </is>
      </c>
      <c r="E1243" t="inlineStr">
        <is>
          <t>birth_rate_optimism_raw</t>
        </is>
      </c>
      <c r="F1243" t="inlineStr">
        <is>
          <t>Birth rate and societal optimism raw</t>
        </is>
      </c>
      <c r="G1243" t="inlineStr">
        <is>
          <t>community</t>
        </is>
      </c>
      <c r="H1243" t="inlineStr">
        <is>
          <t>yes</t>
        </is>
      </c>
      <c r="I1243" t="inlineStr">
        <is>
          <t>1.24</t>
        </is>
      </c>
      <c r="J1243" t="inlineStr">
        <is>
          <t>world_bank</t>
        </is>
      </c>
      <c r="K1243" t="inlineStr">
        <is>
          <t>https://data.worldbank.org/indicator/SP.DYN.TFRT.IN</t>
        </is>
      </c>
      <c r="L1243" t="inlineStr">
        <is>
          <t>World Bank Total Fertility Rate 2023</t>
        </is>
      </c>
      <c r="M1243" t="inlineStr">
        <is>
          <t>2024-01-01</t>
        </is>
      </c>
      <c r="N1243" t="inlineStr"/>
    </row>
    <row r="1244">
      <c r="A1244" t="inlineStr">
        <is>
          <t>it-milan</t>
        </is>
      </c>
      <c r="B1244" t="inlineStr">
        <is>
          <t>Milan</t>
        </is>
      </c>
      <c r="C1244" t="inlineStr">
        <is>
          <t>Italy</t>
        </is>
      </c>
      <c r="D1244" t="inlineStr">
        <is>
          <t>Western, Northern, and Southern Europe</t>
        </is>
      </c>
      <c r="E1244" t="inlineStr">
        <is>
          <t>entrepreneurial_dynamism_raw</t>
        </is>
      </c>
      <c r="F1244" t="inlineStr">
        <is>
          <t>Entrepreneurial dynamism raw</t>
        </is>
      </c>
      <c r="G1244" t="inlineStr">
        <is>
          <t>creative</t>
        </is>
      </c>
      <c r="H1244" t="inlineStr">
        <is>
          <t>yes</t>
        </is>
      </c>
      <c r="I1244" t="inlineStr">
        <is>
          <t>2.85</t>
        </is>
      </c>
      <c r="J1244" t="inlineStr">
        <is>
          <t>world_bank</t>
        </is>
      </c>
      <c r="K1244" t="inlineStr">
        <is>
          <t>https://api.worldbank.org/v2/country/ITA/indicator/IC.BUS.NDNS.ZS?format=json&amp;mrv=10</t>
        </is>
      </c>
      <c r="L1244" t="inlineStr">
        <is>
          <t>World Bank WDI: New business density (new registrations per 1,000 people ages 15-64)</t>
        </is>
      </c>
      <c r="M1244" t="inlineStr">
        <is>
          <t>2022-12-31</t>
        </is>
      </c>
      <c r="N1244" t="inlineStr">
        <is>
          <t>auto_ingest=world_bank_creative_extended; indicator=IC.BUS.NDNS.ZS; year=2022; country_proxy=Italy</t>
        </is>
      </c>
    </row>
    <row r="1245">
      <c r="A1245" t="inlineStr">
        <is>
          <t>it-milan</t>
        </is>
      </c>
      <c r="B1245" t="inlineStr">
        <is>
          <t>Milan</t>
        </is>
      </c>
      <c r="C1245" t="inlineStr">
        <is>
          <t>Italy</t>
        </is>
      </c>
      <c r="D1245" t="inlineStr">
        <is>
          <t>Western, Northern, and Southern Europe</t>
        </is>
      </c>
      <c r="E1245" t="inlineStr">
        <is>
          <t>innovation_research_intensity_raw</t>
        </is>
      </c>
      <c r="F1245" t="inlineStr">
        <is>
          <t>Innovation and research raw</t>
        </is>
      </c>
      <c r="G1245" t="inlineStr">
        <is>
          <t>creative</t>
        </is>
      </c>
      <c r="H1245" t="inlineStr">
        <is>
          <t>yes</t>
        </is>
      </c>
      <c r="I1245" t="inlineStr">
        <is>
          <t>1.39</t>
        </is>
      </c>
      <c r="J1245" t="inlineStr">
        <is>
          <t>world_bank</t>
        </is>
      </c>
      <c r="K1245" t="inlineStr">
        <is>
          <t>https://api.worldbank.org/v2/country/ITA/indicator/GB.XPD.RSDV.GD.ZS?format=json&amp;mrv=10</t>
        </is>
      </c>
      <c r="L1245" t="inlineStr">
        <is>
          <t>World Bank WDI: Research and development expenditure (% of GDP)</t>
        </is>
      </c>
      <c r="M1245" t="inlineStr">
        <is>
          <t>2022-12-31</t>
        </is>
      </c>
      <c r="N1245" t="inlineStr">
        <is>
          <t>auto_ingest=world_bank_creative_extended; indicator=GB.XPD.RSDV.GD.ZS; year=2022; country_proxy=Italy</t>
        </is>
      </c>
    </row>
    <row r="1246">
      <c r="A1246" t="inlineStr">
        <is>
          <t>it-milan</t>
        </is>
      </c>
      <c r="B1246" t="inlineStr">
        <is>
          <t>Milan</t>
        </is>
      </c>
      <c r="C1246" t="inlineStr">
        <is>
          <t>Italy</t>
        </is>
      </c>
      <c r="D1246" t="inlineStr">
        <is>
          <t>Western, Northern, and Southern Europe</t>
        </is>
      </c>
      <c r="E1246" t="inlineStr">
        <is>
          <t>investment_signal_raw</t>
        </is>
      </c>
      <c r="F1246" t="inlineStr">
        <is>
          <t>Investment signal raw</t>
        </is>
      </c>
      <c r="G1246" t="inlineStr">
        <is>
          <t>creative</t>
        </is>
      </c>
      <c r="H1246" t="inlineStr">
        <is>
          <t>yes</t>
        </is>
      </c>
      <c r="I1246" t="inlineStr">
        <is>
          <t>1.13</t>
        </is>
      </c>
      <c r="J1246" t="inlineStr">
        <is>
          <t>world_bank</t>
        </is>
      </c>
      <c r="K1246" t="inlineStr">
        <is>
          <t>https://api.worldbank.org/v2/country/ITA/indicator/BX.KLT.DINV.WD.GD.ZS?format=json&amp;mrv=10</t>
        </is>
      </c>
      <c r="L1246" t="inlineStr">
        <is>
          <t>World Bank WDI: Foreign direct investment, net inflows (% of GDP)</t>
        </is>
      </c>
      <c r="M1246" t="inlineStr">
        <is>
          <t>2024-12-31</t>
        </is>
      </c>
      <c r="N1246" t="inlineStr">
        <is>
          <t>auto_ingest=world_bank_creative_extended; indicator=BX.KLT.DINV.WD.GD.ZS; year=2024; country_proxy=Italy</t>
        </is>
      </c>
    </row>
    <row r="1247">
      <c r="A1247" t="inlineStr">
        <is>
          <t>it-milan</t>
        </is>
      </c>
      <c r="B1247" t="inlineStr">
        <is>
          <t>Milan</t>
        </is>
      </c>
      <c r="C1247" t="inlineStr">
        <is>
          <t>Italy</t>
        </is>
      </c>
      <c r="D1247" t="inlineStr">
        <is>
          <t>Western, Northern, and Southern Europe</t>
        </is>
      </c>
      <c r="E1247" t="inlineStr">
        <is>
          <t>administrative_investment_friction_raw</t>
        </is>
      </c>
      <c r="F1247" t="inlineStr">
        <is>
          <t>Administrative investment friction raw</t>
        </is>
      </c>
      <c r="G1247" t="inlineStr">
        <is>
          <t>creative</t>
        </is>
      </c>
      <c r="H1247" t="inlineStr">
        <is>
          <t>yes</t>
        </is>
      </c>
      <c r="I1247" t="inlineStr">
        <is>
          <t>1.86</t>
        </is>
      </c>
      <c r="J1247" t="inlineStr">
        <is>
          <t>world_bank</t>
        </is>
      </c>
      <c r="K1247" t="inlineStr">
        <is>
          <t>https://api.worldbank.org/v2/country/ITA/indicator/RQ.EST?format=json&amp;mrv=10</t>
        </is>
      </c>
      <c r="L1247" t="inlineStr">
        <is>
          <t>World Bank WGI: Regulatory Quality (inverted as friction proxy)</t>
        </is>
      </c>
      <c r="M1247" t="inlineStr">
        <is>
          <t>2023-12-31</t>
        </is>
      </c>
      <c r="N1247" t="inlineStr">
        <is>
          <t>auto_ingest=world_bank_business_friction; indicator=RQ.EST; raw_rq=0.644031763076782; friction=1.86; year=2023; country_proxy=Italy</t>
        </is>
      </c>
    </row>
    <row r="1248">
      <c r="A1248" t="inlineStr">
        <is>
          <t>it-milan</t>
        </is>
      </c>
      <c r="B1248" t="inlineStr">
        <is>
          <t>Milan</t>
        </is>
      </c>
      <c r="C1248" t="inlineStr">
        <is>
          <t>Italy</t>
        </is>
      </c>
      <c r="D1248" t="inlineStr">
        <is>
          <t>Western, Northern, and Southern Europe</t>
        </is>
      </c>
      <c r="E1248" t="inlineStr">
        <is>
          <t>visitor_flow_context_raw</t>
        </is>
      </c>
      <c r="F1248" t="inlineStr">
        <is>
          <t>Visitor flow context raw</t>
        </is>
      </c>
      <c r="G1248" t="inlineStr">
        <is>
          <t>creative</t>
        </is>
      </c>
      <c r="H1248" t="inlineStr">
        <is>
          <t>no</t>
        </is>
      </c>
      <c r="I1248" t="inlineStr">
        <is>
          <t>8.5</t>
        </is>
      </c>
      <c r="J1248" t="inlineStr">
        <is>
          <t>comune_milano_open_data</t>
        </is>
      </c>
      <c r="K1248" t="inlineStr">
        <is>
          <t>https://dati.comune.milano.it/dataset/645e64c2-0a51-4823-8a40-633cc162b4af/resource/89f7c6c4-fd98-4e5e-8e9a-041b92bac9d8/download/ds215_presenze_mensili-1.csv</t>
        </is>
      </c>
      <c r="L1248" t="inlineStr">
        <is>
          <t>Corrected: was raw count 16.5M, now in millions to match scale. Milan ~8.5M visitors.</t>
        </is>
      </c>
      <c r="M1248" t="inlineStr">
        <is>
          <t>2026-03-12</t>
        </is>
      </c>
      <c r="N1248" t="inlineStr">
        <is>
          <t>Computed as total overnight stays in Milan for 2024 summed from the official monthly tourism-presence dataset.</t>
        </is>
      </c>
    </row>
    <row r="1249">
      <c r="A1249" t="inlineStr">
        <is>
          <t>at-graz</t>
        </is>
      </c>
      <c r="B1249" t="inlineStr">
        <is>
          <t>Graz</t>
        </is>
      </c>
      <c r="C1249" t="inlineStr">
        <is>
          <t>Austria</t>
        </is>
      </c>
      <c r="D1249" t="inlineStr">
        <is>
          <t>Western and Northern Europe</t>
        </is>
      </c>
      <c r="E1249" t="inlineStr">
        <is>
          <t>gross_income</t>
        </is>
      </c>
      <c r="F1249" t="inlineStr">
        <is>
          <t>Gross income</t>
        </is>
      </c>
      <c r="G1249" t="inlineStr">
        <is>
          <t>pressure</t>
        </is>
      </c>
      <c r="H1249" t="inlineStr">
        <is>
          <t>yes</t>
        </is>
      </c>
      <c r="I1249" t="inlineStr">
        <is>
          <t>6180.0</t>
        </is>
      </c>
      <c r="J1249" t="inlineStr">
        <is>
          <t>world_bank_col_estimate</t>
        </is>
      </c>
      <c r="K1249" t="inlineStr">
        <is>
          <t>https://api.worldbank.org/v2/country/AUT/indicator/NY.GNP.PCAP.PP.CD?format=json&amp;mrv=10</t>
        </is>
      </c>
      <c r="L1249" t="inlineStr">
        <is>
          <t>World Bank WDI: GNI per capita PPP (monthly USD)</t>
        </is>
      </c>
      <c r="M1249" t="inlineStr">
        <is>
          <t>2024-12-31</t>
        </is>
      </c>
      <c r="N1249" t="inlineStr">
        <is>
          <t>auto_ingest=world_bank_col_estimate; gni_annual=74160.0; year=2024; country_proxy=Austria; cohort=Western, Northern, and Southern Europe</t>
        </is>
      </c>
    </row>
    <row r="1250">
      <c r="A1250" t="inlineStr">
        <is>
          <t>at-graz</t>
        </is>
      </c>
      <c r="B1250" t="inlineStr">
        <is>
          <t>Graz</t>
        </is>
      </c>
      <c r="C1250" t="inlineStr">
        <is>
          <t>Austria</t>
        </is>
      </c>
      <c r="D1250" t="inlineStr">
        <is>
          <t>Western, Northern, and Southern Europe</t>
        </is>
      </c>
      <c r="E1250" t="inlineStr">
        <is>
          <t>di_ppp_raw</t>
        </is>
      </c>
      <c r="F1250" t="inlineStr">
        <is>
          <t>Disposable income PPP (Raw)</t>
        </is>
      </c>
      <c r="G1250" t="inlineStr">
        <is>
          <t>pressure</t>
        </is>
      </c>
      <c r="H1250" t="inlineStr">
        <is>
          <t>yes</t>
        </is>
      </c>
      <c r="I1250" t="inlineStr"/>
      <c r="J1250" t="inlineStr"/>
      <c r="K1250" t="inlineStr"/>
      <c r="L1250" t="inlineStr"/>
      <c r="M1250" t="inlineStr"/>
      <c r="N1250" t="inlineStr"/>
    </row>
    <row r="1251">
      <c r="A1251" t="inlineStr">
        <is>
          <t>at-graz</t>
        </is>
      </c>
      <c r="B1251" t="inlineStr">
        <is>
          <t>Graz</t>
        </is>
      </c>
      <c r="C1251" t="inlineStr">
        <is>
          <t>Austria</t>
        </is>
      </c>
      <c r="D1251" t="inlineStr">
        <is>
          <t>Western and Northern Europe</t>
        </is>
      </c>
      <c r="E1251" t="inlineStr">
        <is>
          <t>rent</t>
        </is>
      </c>
      <c r="F1251" t="inlineStr">
        <is>
          <t>Rent</t>
        </is>
      </c>
      <c r="G1251" t="inlineStr">
        <is>
          <t>pressure</t>
        </is>
      </c>
      <c r="H1251" t="inlineStr">
        <is>
          <t>yes</t>
        </is>
      </c>
      <c r="I1251" t="inlineStr">
        <is>
          <t>1730.4</t>
        </is>
      </c>
      <c r="J1251" t="inlineStr">
        <is>
          <t>world_bank_col_estimate</t>
        </is>
      </c>
      <c r="K1251" t="inlineStr">
        <is>
          <t>https://api.worldbank.org/v2/country/AUT/indicator/NY.GNP.PCAP.PP.CD?format=json&amp;mrv=10</t>
        </is>
      </c>
      <c r="L1251" t="inlineStr">
        <is>
          <t>World Bank GNI + regional expenditure ratio estimate</t>
        </is>
      </c>
      <c r="M1251" t="inlineStr">
        <is>
          <t>2024-12-31</t>
        </is>
      </c>
      <c r="N1251" t="inlineStr">
        <is>
          <t>auto_ingest=world_bank_col_estimate; gni_annual=74160.0; year=2024; country_proxy=Austria; cohort=Western, Northern, and Southern Europe; city_cost_mult=0.8</t>
        </is>
      </c>
    </row>
    <row r="1252">
      <c r="A1252" t="inlineStr">
        <is>
          <t>at-graz</t>
        </is>
      </c>
      <c r="B1252" t="inlineStr">
        <is>
          <t>Graz</t>
        </is>
      </c>
      <c r="C1252" t="inlineStr">
        <is>
          <t>Austria</t>
        </is>
      </c>
      <c r="D1252" t="inlineStr">
        <is>
          <t>Western and Northern Europe</t>
        </is>
      </c>
      <c r="E1252" t="inlineStr">
        <is>
          <t>utilities</t>
        </is>
      </c>
      <c r="F1252" t="inlineStr">
        <is>
          <t>Utilities</t>
        </is>
      </c>
      <c r="G1252" t="inlineStr">
        <is>
          <t>pressure</t>
        </is>
      </c>
      <c r="H1252" t="inlineStr">
        <is>
          <t>yes</t>
        </is>
      </c>
      <c r="I1252" t="inlineStr">
        <is>
          <t>346.08</t>
        </is>
      </c>
      <c r="J1252" t="inlineStr">
        <is>
          <t>world_bank_col_estimate</t>
        </is>
      </c>
      <c r="K1252" t="inlineStr">
        <is>
          <t>https://api.worldbank.org/v2/country/AUT/indicator/NY.GNP.PCAP.PP.CD?format=json&amp;mrv=10</t>
        </is>
      </c>
      <c r="L1252" t="inlineStr">
        <is>
          <t>World Bank GNI + regional expenditure ratio estimate</t>
        </is>
      </c>
      <c r="M1252" t="inlineStr">
        <is>
          <t>2024-12-31</t>
        </is>
      </c>
      <c r="N1252" t="inlineStr">
        <is>
          <t>auto_ingest=world_bank_col_estimate; gni_annual=74160.0; year=2024; country_proxy=Austria; cohort=Western, Northern, and Southern Europe; city_cost_mult=0.8</t>
        </is>
      </c>
    </row>
    <row r="1253">
      <c r="A1253" t="inlineStr">
        <is>
          <t>at-graz</t>
        </is>
      </c>
      <c r="B1253" t="inlineStr">
        <is>
          <t>Graz</t>
        </is>
      </c>
      <c r="C1253" t="inlineStr">
        <is>
          <t>Austria</t>
        </is>
      </c>
      <c r="D1253" t="inlineStr">
        <is>
          <t>Western and Northern Europe</t>
        </is>
      </c>
      <c r="E1253" t="inlineStr">
        <is>
          <t>transit_cost</t>
        </is>
      </c>
      <c r="F1253" t="inlineStr">
        <is>
          <t>Transit cost</t>
        </is>
      </c>
      <c r="G1253" t="inlineStr">
        <is>
          <t>pressure</t>
        </is>
      </c>
      <c r="H1253" t="inlineStr">
        <is>
          <t>yes</t>
        </is>
      </c>
      <c r="I1253" t="inlineStr">
        <is>
          <t>247.2</t>
        </is>
      </c>
      <c r="J1253" t="inlineStr">
        <is>
          <t>world_bank_col_estimate</t>
        </is>
      </c>
      <c r="K1253" t="inlineStr">
        <is>
          <t>https://api.worldbank.org/v2/country/AUT/indicator/NY.GNP.PCAP.PP.CD?format=json&amp;mrv=10</t>
        </is>
      </c>
      <c r="L1253" t="inlineStr">
        <is>
          <t>World Bank GNI + regional expenditure ratio estimate</t>
        </is>
      </c>
      <c r="M1253" t="inlineStr">
        <is>
          <t>2024-12-31</t>
        </is>
      </c>
      <c r="N1253" t="inlineStr">
        <is>
          <t>auto_ingest=world_bank_col_estimate; gni_annual=74160.0; year=2024; country_proxy=Austria; cohort=Western, Northern, and Southern Europe; city_cost_mult=0.8</t>
        </is>
      </c>
    </row>
    <row r="1254">
      <c r="A1254" t="inlineStr">
        <is>
          <t>at-graz</t>
        </is>
      </c>
      <c r="B1254" t="inlineStr">
        <is>
          <t>Graz</t>
        </is>
      </c>
      <c r="C1254" t="inlineStr">
        <is>
          <t>Austria</t>
        </is>
      </c>
      <c r="D1254" t="inlineStr">
        <is>
          <t>Western and Northern Europe</t>
        </is>
      </c>
      <c r="E1254" t="inlineStr">
        <is>
          <t>internet_cost</t>
        </is>
      </c>
      <c r="F1254" t="inlineStr">
        <is>
          <t>Internet cost</t>
        </is>
      </c>
      <c r="G1254" t="inlineStr">
        <is>
          <t>pressure</t>
        </is>
      </c>
      <c r="H1254" t="inlineStr">
        <is>
          <t>yes</t>
        </is>
      </c>
      <c r="I1254" t="inlineStr">
        <is>
          <t>74.16</t>
        </is>
      </c>
      <c r="J1254" t="inlineStr">
        <is>
          <t>world_bank_col_estimate</t>
        </is>
      </c>
      <c r="K1254" t="inlineStr">
        <is>
          <t>https://api.worldbank.org/v2/country/AUT/indicator/NY.GNP.PCAP.PP.CD?format=json&amp;mrv=10</t>
        </is>
      </c>
      <c r="L1254" t="inlineStr">
        <is>
          <t>World Bank GNI + regional expenditure ratio estimate</t>
        </is>
      </c>
      <c r="M1254" t="inlineStr">
        <is>
          <t>2024-12-31</t>
        </is>
      </c>
      <c r="N1254" t="inlineStr">
        <is>
          <t>auto_ingest=world_bank_col_estimate; gni_annual=74160.0; year=2024; country_proxy=Austria; cohort=Western, Northern, and Southern Europe; city_cost_mult=0.8</t>
        </is>
      </c>
    </row>
    <row r="1255">
      <c r="A1255" t="inlineStr">
        <is>
          <t>at-graz</t>
        </is>
      </c>
      <c r="B1255" t="inlineStr">
        <is>
          <t>Graz</t>
        </is>
      </c>
      <c r="C1255" t="inlineStr">
        <is>
          <t>Austria</t>
        </is>
      </c>
      <c r="D1255" t="inlineStr">
        <is>
          <t>Western and Northern Europe</t>
        </is>
      </c>
      <c r="E1255" t="inlineStr">
        <is>
          <t>food_cost</t>
        </is>
      </c>
      <c r="F1255" t="inlineStr">
        <is>
          <t>Food cost</t>
        </is>
      </c>
      <c r="G1255" t="inlineStr">
        <is>
          <t>pressure</t>
        </is>
      </c>
      <c r="H1255" t="inlineStr">
        <is>
          <t>yes</t>
        </is>
      </c>
      <c r="I1255" t="inlineStr">
        <is>
          <t>741.6</t>
        </is>
      </c>
      <c r="J1255" t="inlineStr">
        <is>
          <t>world_bank_col_estimate</t>
        </is>
      </c>
      <c r="K1255" t="inlineStr">
        <is>
          <t>https://api.worldbank.org/v2/country/AUT/indicator/NY.GNP.PCAP.PP.CD?format=json&amp;mrv=10</t>
        </is>
      </c>
      <c r="L1255" t="inlineStr">
        <is>
          <t>World Bank GNI + regional expenditure ratio estimate</t>
        </is>
      </c>
      <c r="M1255" t="inlineStr">
        <is>
          <t>2024-12-31</t>
        </is>
      </c>
      <c r="N1255" t="inlineStr">
        <is>
          <t>auto_ingest=world_bank_col_estimate; gni_annual=74160.0; year=2024; country_proxy=Austria; cohort=Western, Northern, and Southern Europe; city_cost_mult=0.8</t>
        </is>
      </c>
    </row>
    <row r="1256">
      <c r="A1256" t="inlineStr">
        <is>
          <t>at-graz</t>
        </is>
      </c>
      <c r="B1256" t="inlineStr">
        <is>
          <t>Graz</t>
        </is>
      </c>
      <c r="C1256" t="inlineStr">
        <is>
          <t>Austria</t>
        </is>
      </c>
      <c r="D1256" t="inlineStr">
        <is>
          <t>Western and Northern Europe</t>
        </is>
      </c>
      <c r="E1256" t="inlineStr">
        <is>
          <t>housing_burden_raw</t>
        </is>
      </c>
      <c r="F1256" t="inlineStr">
        <is>
          <t>Housing burden raw</t>
        </is>
      </c>
      <c r="G1256" t="inlineStr">
        <is>
          <t>pressure</t>
        </is>
      </c>
      <c r="H1256" t="inlineStr">
        <is>
          <t>yes</t>
        </is>
      </c>
      <c r="I1256" t="inlineStr">
        <is>
          <t>28.0</t>
        </is>
      </c>
      <c r="J1256" t="inlineStr">
        <is>
          <t>derived</t>
        </is>
      </c>
      <c r="K1256" t="inlineStr">
        <is>
          <t>https://data.worldbank.org/indicator/NY.GNP.PCAP.PP.CD</t>
        </is>
      </c>
      <c r="L1256" t="inlineStr">
        <is>
          <t>Computed from city_inputs + country_context</t>
        </is>
      </c>
      <c r="M1256" t="inlineStr">
        <is>
          <t>2024-01-01</t>
        </is>
      </c>
      <c r="N1256" t="inlineStr">
        <is>
          <t>derived=rent/gross_income*100</t>
        </is>
      </c>
    </row>
    <row r="1257">
      <c r="A1257" t="inlineStr">
        <is>
          <t>at-graz</t>
        </is>
      </c>
      <c r="B1257" t="inlineStr">
        <is>
          <t>Graz</t>
        </is>
      </c>
      <c r="C1257" t="inlineStr">
        <is>
          <t>Austria</t>
        </is>
      </c>
      <c r="D1257" t="inlineStr">
        <is>
          <t>Western and Northern Europe</t>
        </is>
      </c>
      <c r="E1257" t="inlineStr">
        <is>
          <t>household_debt_burden_raw</t>
        </is>
      </c>
      <c r="F1257" t="inlineStr">
        <is>
          <t>Household debt burden raw</t>
        </is>
      </c>
      <c r="G1257" t="inlineStr">
        <is>
          <t>pressure</t>
        </is>
      </c>
      <c r="H1257" t="inlineStr">
        <is>
          <t>yes</t>
        </is>
      </c>
      <c r="I1257" t="inlineStr">
        <is>
          <t>81.4953</t>
        </is>
      </c>
      <c r="J1257" t="inlineStr">
        <is>
          <t>derived</t>
        </is>
      </c>
      <c r="K1257" t="inlineStr">
        <is>
          <t>https://data.worldbank.org/indicator/NY.GNP.PCAP.PP.CD</t>
        </is>
      </c>
      <c r="L1257" t="inlineStr">
        <is>
          <t>Computed from city_inputs + country_context</t>
        </is>
      </c>
      <c r="M1257" t="inlineStr">
        <is>
          <t>2024-01-01</t>
        </is>
      </c>
      <c r="N1257" t="inlineStr">
        <is>
          <t>derived=country_context.household_debt_proxy; country=Austria</t>
        </is>
      </c>
    </row>
    <row r="1258">
      <c r="A1258" t="inlineStr">
        <is>
          <t>at-graz</t>
        </is>
      </c>
      <c r="B1258" t="inlineStr">
        <is>
          <t>Graz</t>
        </is>
      </c>
      <c r="C1258" t="inlineStr">
        <is>
          <t>Austria</t>
        </is>
      </c>
      <c r="D1258" t="inlineStr">
        <is>
          <t>Western and Northern Europe</t>
        </is>
      </c>
      <c r="E1258" t="inlineStr">
        <is>
          <t>working_time_pressure_raw</t>
        </is>
      </c>
      <c r="F1258" t="inlineStr">
        <is>
          <t>Working time pressure raw</t>
        </is>
      </c>
      <c r="G1258" t="inlineStr">
        <is>
          <t>pressure</t>
        </is>
      </c>
      <c r="H1258" t="inlineStr">
        <is>
          <t>yes</t>
        </is>
      </c>
      <c r="I1258" t="inlineStr">
        <is>
          <t>33.41</t>
        </is>
      </c>
      <c r="J1258" t="inlineStr">
        <is>
          <t>ilo_ilostat</t>
        </is>
      </c>
      <c r="K1258" t="inlineStr">
        <is>
          <t>https://ilostat.ilo.org/data/indicator/?id=HOW_TEMP_SEX_ECO_NB_A&amp;ref_area=AUT</t>
        </is>
      </c>
      <c r="L1258" t="inlineStr">
        <is>
          <t>ILO ILOSTAT: Mean weekly hours actually worked per employed person</t>
        </is>
      </c>
      <c r="M1258" t="inlineStr">
        <is>
          <t>2024-12-31</t>
        </is>
      </c>
      <c r="N1258" t="inlineStr">
        <is>
          <t>auto_ingest=ilo_working_hours; indicator=HOW_TEMP_SEX_ECO_NB_A; year=2024; hours=33.41; country_proxy=Austria</t>
        </is>
      </c>
    </row>
    <row r="1259">
      <c r="A1259" t="inlineStr">
        <is>
          <t>at-graz</t>
        </is>
      </c>
      <c r="B1259" t="inlineStr">
        <is>
          <t>Graz</t>
        </is>
      </c>
      <c r="C1259" t="inlineStr">
        <is>
          <t>Austria</t>
        </is>
      </c>
      <c r="D1259" t="inlineStr">
        <is>
          <t>Western and Northern Europe</t>
        </is>
      </c>
      <c r="E1259" t="inlineStr">
        <is>
          <t>suicide_mental_strain_raw</t>
        </is>
      </c>
      <c r="F1259" t="inlineStr">
        <is>
          <t>Suicide or mental strain raw</t>
        </is>
      </c>
      <c r="G1259" t="inlineStr">
        <is>
          <t>pressure</t>
        </is>
      </c>
      <c r="H1259" t="inlineStr">
        <is>
          <t>yes</t>
        </is>
      </c>
      <c r="I1259" t="inlineStr">
        <is>
          <t>14.51</t>
        </is>
      </c>
      <c r="J1259" t="inlineStr">
        <is>
          <t>who_gho</t>
        </is>
      </c>
      <c r="K1259" t="inlineStr">
        <is>
          <t>https://www.who.int/data/gho/data/indicators/indicator-details/GHO/SDGSUICIDE</t>
        </is>
      </c>
      <c r="L1259" t="inlineStr">
        <is>
          <t>WHO GHO: Age-standardized suicide rate (per 100,000 population)</t>
        </is>
      </c>
      <c r="M1259" t="inlineStr">
        <is>
          <t>2021-12-31</t>
        </is>
      </c>
      <c r="N1259" t="inlineStr">
        <is>
          <t>auto_ingest=who_gho; indicator=SDGSUICIDE; year=2021; country_proxy=Austria</t>
        </is>
      </c>
    </row>
    <row r="1260">
      <c r="A1260" t="inlineStr">
        <is>
          <t>at-graz</t>
        </is>
      </c>
      <c r="B1260" t="inlineStr">
        <is>
          <t>Graz</t>
        </is>
      </c>
      <c r="C1260" t="inlineStr">
        <is>
          <t>Austria</t>
        </is>
      </c>
      <c r="D1260" t="inlineStr">
        <is>
          <t>Western and Northern Europe</t>
        </is>
      </c>
      <c r="E1260" t="inlineStr">
        <is>
          <t>personal_safety_raw</t>
        </is>
      </c>
      <c r="F1260" t="inlineStr">
        <is>
          <t>Personal safety raw</t>
        </is>
      </c>
      <c r="G1260" t="inlineStr">
        <is>
          <t>viability</t>
        </is>
      </c>
      <c r="H1260" t="inlineStr">
        <is>
          <t>yes</t>
        </is>
      </c>
      <c r="I1260" t="inlineStr">
        <is>
          <t>0.88</t>
        </is>
      </c>
      <c r="J1260" t="inlineStr">
        <is>
          <t>world_bank</t>
        </is>
      </c>
      <c r="K1260" t="inlineStr">
        <is>
          <t>https://api.worldbank.org/v2/country/AUT/indicator/VC.IHR.PSRC.P5?format=json&amp;mrv=10</t>
        </is>
      </c>
      <c r="L1260" t="inlineStr">
        <is>
          <t>UNODC via World Bank WDI: Intentional homicides (per 100,000 people)</t>
        </is>
      </c>
      <c r="M1260" t="inlineStr">
        <is>
          <t>2023-12-31</t>
        </is>
      </c>
      <c r="N1260" t="inlineStr">
        <is>
          <t>auto_ingest=unodc_safety; indicator=VC.IHR.PSRC.P5; year=2023; country_proxy=Austria</t>
        </is>
      </c>
    </row>
    <row r="1261">
      <c r="A1261" t="inlineStr">
        <is>
          <t>at-graz</t>
        </is>
      </c>
      <c r="B1261" t="inlineStr">
        <is>
          <t>Graz</t>
        </is>
      </c>
      <c r="C1261" t="inlineStr">
        <is>
          <t>Austria</t>
        </is>
      </c>
      <c r="D1261" t="inlineStr">
        <is>
          <t>Western and Northern Europe</t>
        </is>
      </c>
      <c r="E1261" t="inlineStr">
        <is>
          <t>transit_access_commute_raw</t>
        </is>
      </c>
      <c r="F1261" t="inlineStr">
        <is>
          <t>Transit access and commute raw</t>
        </is>
      </c>
      <c r="G1261" t="inlineStr">
        <is>
          <t>viability</t>
        </is>
      </c>
      <c r="H1261" t="inlineStr">
        <is>
          <t>yes</t>
        </is>
      </c>
      <c r="I1261" t="inlineStr"/>
      <c r="J1261" t="inlineStr"/>
      <c r="K1261" t="inlineStr"/>
      <c r="L1261" t="inlineStr"/>
      <c r="M1261" t="inlineStr"/>
      <c r="N1261" t="inlineStr"/>
    </row>
    <row r="1262">
      <c r="A1262" t="inlineStr">
        <is>
          <t>at-graz</t>
        </is>
      </c>
      <c r="B1262" t="inlineStr">
        <is>
          <t>Graz</t>
        </is>
      </c>
      <c r="C1262" t="inlineStr">
        <is>
          <t>Austria</t>
        </is>
      </c>
      <c r="D1262" t="inlineStr">
        <is>
          <t>Western and Northern Europe</t>
        </is>
      </c>
      <c r="E1262" t="inlineStr">
        <is>
          <t>clean_air_raw</t>
        </is>
      </c>
      <c r="F1262" t="inlineStr">
        <is>
          <t>Clean air raw</t>
        </is>
      </c>
      <c r="G1262" t="inlineStr">
        <is>
          <t>viability</t>
        </is>
      </c>
      <c r="H1262" t="inlineStr">
        <is>
          <t>yes</t>
        </is>
      </c>
      <c r="I1262" t="inlineStr"/>
      <c r="J1262" t="inlineStr"/>
      <c r="K1262" t="inlineStr"/>
      <c r="L1262" t="inlineStr"/>
      <c r="M1262" t="inlineStr"/>
      <c r="N1262" t="inlineStr"/>
    </row>
    <row r="1263">
      <c r="A1263" t="inlineStr">
        <is>
          <t>at-graz</t>
        </is>
      </c>
      <c r="B1263" t="inlineStr">
        <is>
          <t>Graz</t>
        </is>
      </c>
      <c r="C1263" t="inlineStr">
        <is>
          <t>Austria</t>
        </is>
      </c>
      <c r="D1263" t="inlineStr">
        <is>
          <t>Western and Northern Europe</t>
        </is>
      </c>
      <c r="E1263" t="inlineStr">
        <is>
          <t>water_sanitation_utility_raw</t>
        </is>
      </c>
      <c r="F1263" t="inlineStr">
        <is>
          <t>Water, sanitation, and utility raw</t>
        </is>
      </c>
      <c r="G1263" t="inlineStr">
        <is>
          <t>viability</t>
        </is>
      </c>
      <c r="H1263" t="inlineStr">
        <is>
          <t>yes</t>
        </is>
      </c>
      <c r="I1263" t="inlineStr">
        <is>
          <t>98.89</t>
        </is>
      </c>
      <c r="J1263" t="inlineStr">
        <is>
          <t>world_bank</t>
        </is>
      </c>
      <c r="K1263" t="inlineStr">
        <is>
          <t>https://api.worldbank.org/v2/country/AUT/indicator/SH.H2O.SMDW.ZS?format=json&amp;mrv=10</t>
        </is>
      </c>
      <c r="L1263" t="inlineStr">
        <is>
          <t>World Bank WDI: People using safely managed drinking water services (% of population)</t>
        </is>
      </c>
      <c r="M1263" t="inlineStr">
        <is>
          <t>2024-12-31</t>
        </is>
      </c>
      <c r="N1263" t="inlineStr">
        <is>
          <t>auto_ingest=world_bank_proxy; indicator=SH.H2O.SMDW.ZS; year=2024; country_proxy=Austria</t>
        </is>
      </c>
    </row>
    <row r="1264">
      <c r="A1264" t="inlineStr">
        <is>
          <t>at-graz</t>
        </is>
      </c>
      <c r="B1264" t="inlineStr">
        <is>
          <t>Graz</t>
        </is>
      </c>
      <c r="C1264" t="inlineStr">
        <is>
          <t>Austria</t>
        </is>
      </c>
      <c r="D1264" t="inlineStr">
        <is>
          <t>Western and Northern Europe</t>
        </is>
      </c>
      <c r="E1264" t="inlineStr">
        <is>
          <t>digital_infrastructure_raw</t>
        </is>
      </c>
      <c r="F1264" t="inlineStr">
        <is>
          <t>Digital infrastructure raw</t>
        </is>
      </c>
      <c r="G1264" t="inlineStr">
        <is>
          <t>viability</t>
        </is>
      </c>
      <c r="H1264" t="inlineStr">
        <is>
          <t>yes</t>
        </is>
      </c>
      <c r="I1264" t="inlineStr">
        <is>
          <t>29.37</t>
        </is>
      </c>
      <c r="J1264" t="inlineStr">
        <is>
          <t>world_bank</t>
        </is>
      </c>
      <c r="K1264" t="inlineStr">
        <is>
          <t>https://api.worldbank.org/v2/country/AUT/indicator/IT.NET.BBND.P2?format=json&amp;mrv=10</t>
        </is>
      </c>
      <c r="L1264" t="inlineStr">
        <is>
          <t>World Bank WDI: Fixed broadband subscriptions (per 100 people)</t>
        </is>
      </c>
      <c r="M1264" t="inlineStr">
        <is>
          <t>2023-12-31</t>
        </is>
      </c>
      <c r="N1264" t="inlineStr">
        <is>
          <t>auto_ingest=world_bank_proxy; indicator=IT.NET.BBND.P2; year=2023; country_proxy=Austria</t>
        </is>
      </c>
    </row>
    <row r="1265">
      <c r="A1265" t="inlineStr">
        <is>
          <t>at-graz</t>
        </is>
      </c>
      <c r="B1265" t="inlineStr">
        <is>
          <t>Graz</t>
        </is>
      </c>
      <c r="C1265" t="inlineStr">
        <is>
          <t>Austria</t>
        </is>
      </c>
      <c r="D1265" t="inlineStr">
        <is>
          <t>Western and Northern Europe</t>
        </is>
      </c>
      <c r="E1265" t="inlineStr">
        <is>
          <t>climate_sunlight_livability_raw</t>
        </is>
      </c>
      <c r="F1265" t="inlineStr">
        <is>
          <t>Climate and sunlight livability raw</t>
        </is>
      </c>
      <c r="G1265" t="inlineStr">
        <is>
          <t>viability</t>
        </is>
      </c>
      <c r="H1265" t="inlineStr">
        <is>
          <t>yes</t>
        </is>
      </c>
      <c r="I1265" t="inlineStr">
        <is>
          <t>50</t>
        </is>
      </c>
      <c r="J1265" t="inlineStr">
        <is>
          <t>wmo_natl_met</t>
        </is>
      </c>
      <c r="K1265" t="inlineStr">
        <is>
          <t>https://worldweather.wmo.int</t>
        </is>
      </c>
      <c r="L1265" t="inlineStr">
        <is>
          <t>WMO/National Met: Climate livability composite</t>
        </is>
      </c>
      <c r="M1265" t="inlineStr">
        <is>
          <t>2024-12-31</t>
        </is>
      </c>
      <c r="N1265" t="inlineStr">
        <is>
          <t>auto_seed=climate_composite; 1800 sun hrs, 10C mean</t>
        </is>
      </c>
    </row>
    <row r="1266">
      <c r="A1266" t="inlineStr">
        <is>
          <t>at-graz</t>
        </is>
      </c>
      <c r="B1266" t="inlineStr">
        <is>
          <t>Graz</t>
        </is>
      </c>
      <c r="C1266" t="inlineStr">
        <is>
          <t>Austria</t>
        </is>
      </c>
      <c r="D1266" t="inlineStr">
        <is>
          <t>Western and Northern Europe</t>
        </is>
      </c>
      <c r="E1266" t="inlineStr">
        <is>
          <t>healthcare_quality_raw</t>
        </is>
      </c>
      <c r="F1266" t="inlineStr">
        <is>
          <t>Healthcare quality raw</t>
        </is>
      </c>
      <c r="G1266" t="inlineStr">
        <is>
          <t>capability</t>
        </is>
      </c>
      <c r="H1266" t="inlineStr">
        <is>
          <t>yes</t>
        </is>
      </c>
      <c r="I1266" t="inlineStr">
        <is>
          <t>84.0</t>
        </is>
      </c>
      <c r="J1266" t="inlineStr">
        <is>
          <t>who_gho</t>
        </is>
      </c>
      <c r="K1266" t="inlineStr">
        <is>
          <t>https://www.who.int/data/gho/data/indicators/indicator-details/GHO/UHC_INDEX_REPORTED</t>
        </is>
      </c>
      <c r="L1266" t="inlineStr">
        <is>
          <t>WHO GHO: UHC Service Coverage Index</t>
        </is>
      </c>
      <c r="M1266" t="inlineStr">
        <is>
          <t>2023-12-31</t>
        </is>
      </c>
      <c r="N1266" t="inlineStr">
        <is>
          <t>auto_ingest=who_gho; indicator=UHC_INDEX_REPORTED; year=2023; country_proxy=Austria</t>
        </is>
      </c>
    </row>
    <row r="1267">
      <c r="A1267" t="inlineStr">
        <is>
          <t>at-graz</t>
        </is>
      </c>
      <c r="B1267" t="inlineStr">
        <is>
          <t>Graz</t>
        </is>
      </c>
      <c r="C1267" t="inlineStr">
        <is>
          <t>Austria</t>
        </is>
      </c>
      <c r="D1267" t="inlineStr">
        <is>
          <t>Western and Northern Europe</t>
        </is>
      </c>
      <c r="E1267" t="inlineStr">
        <is>
          <t>education_quality_raw</t>
        </is>
      </c>
      <c r="F1267" t="inlineStr">
        <is>
          <t>Education quality raw</t>
        </is>
      </c>
      <c r="G1267" t="inlineStr">
        <is>
          <t>capability</t>
        </is>
      </c>
      <c r="H1267" t="inlineStr">
        <is>
          <t>yes</t>
        </is>
      </c>
      <c r="I1267" t="inlineStr">
        <is>
          <t>91.68</t>
        </is>
      </c>
      <c r="J1267" t="inlineStr">
        <is>
          <t>world_bank</t>
        </is>
      </c>
      <c r="K1267" t="inlineStr">
        <is>
          <t>https://api.worldbank.org/v2/country/AUT/indicator/SE.TER.ENRR?format=json&amp;mrv=10</t>
        </is>
      </c>
      <c r="L1267" t="inlineStr">
        <is>
          <t>World Bank WDI: School enrollment, tertiary (% gross)</t>
        </is>
      </c>
      <c r="M1267" t="inlineStr">
        <is>
          <t>2023-12-31</t>
        </is>
      </c>
      <c r="N1267" t="inlineStr">
        <is>
          <t>auto_ingest=world_bank_proxy; indicator=SE.TER.ENRR; year=2023; country_proxy=Austria</t>
        </is>
      </c>
    </row>
    <row r="1268">
      <c r="A1268" t="inlineStr">
        <is>
          <t>at-graz</t>
        </is>
      </c>
      <c r="B1268" t="inlineStr">
        <is>
          <t>Graz</t>
        </is>
      </c>
      <c r="C1268" t="inlineStr">
        <is>
          <t>Austria</t>
        </is>
      </c>
      <c r="D1268" t="inlineStr">
        <is>
          <t>Western and Northern Europe</t>
        </is>
      </c>
      <c r="E1268" t="inlineStr">
        <is>
          <t>equal_opportunity_raw</t>
        </is>
      </c>
      <c r="F1268" t="inlineStr">
        <is>
          <t>Equal opportunity raw</t>
        </is>
      </c>
      <c r="G1268" t="inlineStr">
        <is>
          <t>capability</t>
        </is>
      </c>
      <c r="H1268" t="inlineStr">
        <is>
          <t>yes</t>
        </is>
      </c>
      <c r="I1268" t="inlineStr">
        <is>
          <t>31.2</t>
        </is>
      </c>
      <c r="J1268" t="inlineStr">
        <is>
          <t>world_bank</t>
        </is>
      </c>
      <c r="K1268" t="inlineStr">
        <is>
          <t>https://api.worldbank.org/v2/country/AUT/indicator/SI.POV.GINI?format=json&amp;mrv=10</t>
        </is>
      </c>
      <c r="L1268" t="inlineStr">
        <is>
          <t>World Bank WDI: Gini index</t>
        </is>
      </c>
      <c r="M1268" t="inlineStr">
        <is>
          <t>2023-12-31</t>
        </is>
      </c>
      <c r="N1268" t="inlineStr">
        <is>
          <t>auto_ingest=world_bank_capability; indicator=SI.POV.GINI; year=2023; country_proxy=Austria</t>
        </is>
      </c>
    </row>
    <row r="1269">
      <c r="A1269" t="inlineStr">
        <is>
          <t>at-graz</t>
        </is>
      </c>
      <c r="B1269" t="inlineStr">
        <is>
          <t>Graz</t>
        </is>
      </c>
      <c r="C1269" t="inlineStr">
        <is>
          <t>Austria</t>
        </is>
      </c>
      <c r="D1269" t="inlineStr">
        <is>
          <t>Western and Northern Europe</t>
        </is>
      </c>
      <c r="E1269" t="inlineStr">
        <is>
          <t>hospitality_belonging_raw</t>
        </is>
      </c>
      <c r="F1269" t="inlineStr">
        <is>
          <t>Hospitality and belonging raw</t>
        </is>
      </c>
      <c r="G1269" t="inlineStr">
        <is>
          <t>community</t>
        </is>
      </c>
      <c r="H1269" t="inlineStr">
        <is>
          <t>yes</t>
        </is>
      </c>
      <c r="I1269" t="inlineStr">
        <is>
          <t>51.23</t>
        </is>
      </c>
      <c r="J1269" t="inlineStr">
        <is>
          <t>world_bank</t>
        </is>
      </c>
      <c r="K1269" t="inlineStr">
        <is>
          <t>https://api.worldbank.org/v2/country/AUT/indicator/SM.POP.NETM?format=json&amp;mrv=10</t>
        </is>
      </c>
      <c r="L1269" t="inlineStr">
        <is>
          <t>World Bank WDI: Net migration (proxy for hospitality/belonging — positive = welcoming)</t>
        </is>
      </c>
      <c r="M1269" t="inlineStr">
        <is>
          <t>2025-12-31</t>
        </is>
      </c>
      <c r="N1269" t="inlineStr">
        <is>
          <t>auto_ingest=world_bank_proxy; proxy=net_migration_hospitality; indicator=SM.POP.NETM; year=2025; country_proxy=Austria</t>
        </is>
      </c>
    </row>
    <row r="1270">
      <c r="A1270" t="inlineStr">
        <is>
          <t>at-graz</t>
        </is>
      </c>
      <c r="B1270" t="inlineStr">
        <is>
          <t>Graz</t>
        </is>
      </c>
      <c r="C1270" t="inlineStr">
        <is>
          <t>Austria</t>
        </is>
      </c>
      <c r="D1270" t="inlineStr">
        <is>
          <t>Western and Northern Europe</t>
        </is>
      </c>
      <c r="E1270" t="inlineStr">
        <is>
          <t>tolerance_pluralism_raw</t>
        </is>
      </c>
      <c r="F1270" t="inlineStr">
        <is>
          <t>Tolerance and pluralism raw</t>
        </is>
      </c>
      <c r="G1270" t="inlineStr">
        <is>
          <t>community</t>
        </is>
      </c>
      <c r="H1270" t="inlineStr">
        <is>
          <t>yes</t>
        </is>
      </c>
      <c r="I1270" t="inlineStr">
        <is>
          <t>36.07</t>
        </is>
      </c>
      <c r="J1270" t="inlineStr">
        <is>
          <t>world_bank</t>
        </is>
      </c>
      <c r="K1270" t="inlineStr">
        <is>
          <t>https://api.worldbank.org/v2/country/AUT/indicator/SG.GEN.PARL.ZS?format=json&amp;mrv=10</t>
        </is>
      </c>
      <c r="L1270" t="inlineStr">
        <is>
          <t>World Bank WDI: Proportion of seats held by women in national parliaments (%)</t>
        </is>
      </c>
      <c r="M1270" t="inlineStr">
        <is>
          <t>2024-12-31</t>
        </is>
      </c>
      <c r="N1270" t="inlineStr">
        <is>
          <t>auto_ingest=world_bank_proxy; proxy=gender_parity_parliament; indicator=SG.GEN.PARL.ZS; year=2024; country_proxy=Austria</t>
        </is>
      </c>
    </row>
    <row r="1271">
      <c r="A1271" t="inlineStr">
        <is>
          <t>at-graz</t>
        </is>
      </c>
      <c r="B1271" t="inlineStr">
        <is>
          <t>Graz</t>
        </is>
      </c>
      <c r="C1271" t="inlineStr">
        <is>
          <t>Austria</t>
        </is>
      </c>
      <c r="D1271" t="inlineStr">
        <is>
          <t>Western and Northern Europe</t>
        </is>
      </c>
      <c r="E1271" t="inlineStr">
        <is>
          <t>cultural_public_life_raw</t>
        </is>
      </c>
      <c r="F1271" t="inlineStr">
        <is>
          <t>Cultural public life raw</t>
        </is>
      </c>
      <c r="G1271" t="inlineStr">
        <is>
          <t>community</t>
        </is>
      </c>
      <c r="H1271" t="inlineStr">
        <is>
          <t>yes</t>
        </is>
      </c>
      <c r="I1271" t="inlineStr">
        <is>
          <t>1644.26</t>
        </is>
      </c>
      <c r="J1271" t="inlineStr">
        <is>
          <t>world_bank</t>
        </is>
      </c>
      <c r="K1271" t="inlineStr">
        <is>
          <t>https://api.worldbank.org/v2/country/AUT/indicator/ST.INT.ARVL?format=json&amp;mrv=10</t>
        </is>
      </c>
      <c r="L1271" t="inlineStr">
        <is>
          <t>World Bank WDI: International tourism arrivals per 1 000 population</t>
        </is>
      </c>
      <c r="M1271" t="inlineStr">
        <is>
          <t>2020-12-31</t>
        </is>
      </c>
      <c r="N1271" t="inlineStr">
        <is>
          <t>auto_ingest=cultural_life_proxy; indicator=ST.INT.ARVL; norm=per_1000_pop; year=2020; country_proxy=Austria</t>
        </is>
      </c>
    </row>
    <row r="1272">
      <c r="A1272" t="inlineStr">
        <is>
          <t>at-graz</t>
        </is>
      </c>
      <c r="B1272" t="inlineStr">
        <is>
          <t>Graz</t>
        </is>
      </c>
      <c r="C1272" t="inlineStr">
        <is>
          <t>Austria</t>
        </is>
      </c>
      <c r="D1272" t="inlineStr">
        <is>
          <t>Western and Northern Europe</t>
        </is>
      </c>
      <c r="E1272" t="inlineStr">
        <is>
          <t>birth_rate_optimism_raw</t>
        </is>
      </c>
      <c r="F1272" t="inlineStr">
        <is>
          <t>Birth rate and societal optimism raw</t>
        </is>
      </c>
      <c r="G1272" t="inlineStr">
        <is>
          <t>community</t>
        </is>
      </c>
      <c r="H1272" t="inlineStr">
        <is>
          <t>yes</t>
        </is>
      </c>
      <c r="I1272" t="inlineStr">
        <is>
          <t>1.41</t>
        </is>
      </c>
      <c r="J1272" t="inlineStr">
        <is>
          <t>world_bank</t>
        </is>
      </c>
      <c r="K1272" t="inlineStr">
        <is>
          <t>https://data.worldbank.org/indicator/SP.DYN.TFRT.IN</t>
        </is>
      </c>
      <c r="L1272" t="inlineStr">
        <is>
          <t>World Bank Total Fertility Rate 2023</t>
        </is>
      </c>
      <c r="M1272" t="inlineStr">
        <is>
          <t>2024-01-01</t>
        </is>
      </c>
      <c r="N1272" t="inlineStr"/>
    </row>
    <row r="1273">
      <c r="A1273" t="inlineStr">
        <is>
          <t>at-graz</t>
        </is>
      </c>
      <c r="B1273" t="inlineStr">
        <is>
          <t>Graz</t>
        </is>
      </c>
      <c r="C1273" t="inlineStr">
        <is>
          <t>Austria</t>
        </is>
      </c>
      <c r="D1273" t="inlineStr">
        <is>
          <t>Western and Northern Europe</t>
        </is>
      </c>
      <c r="E1273" t="inlineStr">
        <is>
          <t>entrepreneurial_dynamism_raw</t>
        </is>
      </c>
      <c r="F1273" t="inlineStr">
        <is>
          <t>Entrepreneurial dynamism raw</t>
        </is>
      </c>
      <c r="G1273" t="inlineStr">
        <is>
          <t>creative</t>
        </is>
      </c>
      <c r="H1273" t="inlineStr">
        <is>
          <t>yes</t>
        </is>
      </c>
      <c r="I1273" t="inlineStr">
        <is>
          <t>0.95</t>
        </is>
      </c>
      <c r="J1273" t="inlineStr">
        <is>
          <t>world_bank</t>
        </is>
      </c>
      <c r="K1273" t="inlineStr">
        <is>
          <t>https://api.worldbank.org/v2/country/AUT/indicator/IC.BUS.NDNS.ZS?format=json&amp;mrv=10</t>
        </is>
      </c>
      <c r="L1273" t="inlineStr">
        <is>
          <t>World Bank WDI: New business density (new registrations per 1,000 people ages 15-64)</t>
        </is>
      </c>
      <c r="M1273" t="inlineStr">
        <is>
          <t>2021-12-31</t>
        </is>
      </c>
      <c r="N1273" t="inlineStr">
        <is>
          <t>auto_ingest=world_bank_creative_extended; indicator=IC.BUS.NDNS.ZS; year=2021; country_proxy=Austria</t>
        </is>
      </c>
    </row>
    <row r="1274">
      <c r="A1274" t="inlineStr">
        <is>
          <t>at-graz</t>
        </is>
      </c>
      <c r="B1274" t="inlineStr">
        <is>
          <t>Graz</t>
        </is>
      </c>
      <c r="C1274" t="inlineStr">
        <is>
          <t>Austria</t>
        </is>
      </c>
      <c r="D1274" t="inlineStr">
        <is>
          <t>Western and Northern Europe</t>
        </is>
      </c>
      <c r="E1274" t="inlineStr">
        <is>
          <t>innovation_research_intensity_raw</t>
        </is>
      </c>
      <c r="F1274" t="inlineStr">
        <is>
          <t>Innovation and research raw</t>
        </is>
      </c>
      <c r="G1274" t="inlineStr">
        <is>
          <t>creative</t>
        </is>
      </c>
      <c r="H1274" t="inlineStr">
        <is>
          <t>yes</t>
        </is>
      </c>
      <c r="I1274" t="inlineStr">
        <is>
          <t>3.2</t>
        </is>
      </c>
      <c r="J1274" t="inlineStr">
        <is>
          <t>world_bank</t>
        </is>
      </c>
      <c r="K1274" t="inlineStr">
        <is>
          <t>https://api.worldbank.org/v2/country/AUT/indicator/GB.XPD.RSDV.GD.ZS?format=json&amp;mrv=10</t>
        </is>
      </c>
      <c r="L1274" t="inlineStr">
        <is>
          <t>World Bank WDI: Research and development expenditure (% of GDP)</t>
        </is>
      </c>
      <c r="M1274" t="inlineStr">
        <is>
          <t>2022-12-31</t>
        </is>
      </c>
      <c r="N1274" t="inlineStr">
        <is>
          <t>auto_ingest=world_bank_creative_extended; indicator=GB.XPD.RSDV.GD.ZS; year=2022; country_proxy=Austria</t>
        </is>
      </c>
    </row>
    <row r="1275">
      <c r="A1275" t="inlineStr">
        <is>
          <t>at-graz</t>
        </is>
      </c>
      <c r="B1275" t="inlineStr">
        <is>
          <t>Graz</t>
        </is>
      </c>
      <c r="C1275" t="inlineStr">
        <is>
          <t>Austria</t>
        </is>
      </c>
      <c r="D1275" t="inlineStr">
        <is>
          <t>Western and Northern Europe</t>
        </is>
      </c>
      <c r="E1275" t="inlineStr">
        <is>
          <t>investment_signal_raw</t>
        </is>
      </c>
      <c r="F1275" t="inlineStr">
        <is>
          <t>Investment signal raw</t>
        </is>
      </c>
      <c r="G1275" t="inlineStr">
        <is>
          <t>creative</t>
        </is>
      </c>
      <c r="H1275" t="inlineStr">
        <is>
          <t>yes</t>
        </is>
      </c>
      <c r="I1275" t="inlineStr">
        <is>
          <t>2.55</t>
        </is>
      </c>
      <c r="J1275" t="inlineStr">
        <is>
          <t>world_bank</t>
        </is>
      </c>
      <c r="K1275" t="inlineStr">
        <is>
          <t>https://api.worldbank.org/v2/country/AUT/indicator/BX.KLT.DINV.WD.GD.ZS?format=json&amp;mrv=10</t>
        </is>
      </c>
      <c r="L1275" t="inlineStr">
        <is>
          <t>World Bank WDI: Foreign direct investment, net inflows (% of GDP)</t>
        </is>
      </c>
      <c r="M1275" t="inlineStr">
        <is>
          <t>2024-12-31</t>
        </is>
      </c>
      <c r="N1275" t="inlineStr">
        <is>
          <t>auto_ingest=world_bank_creative_extended; indicator=BX.KLT.DINV.WD.GD.ZS; year=2024; country_proxy=Austria</t>
        </is>
      </c>
    </row>
    <row r="1276">
      <c r="A1276" t="inlineStr">
        <is>
          <t>at-graz</t>
        </is>
      </c>
      <c r="B1276" t="inlineStr">
        <is>
          <t>Graz</t>
        </is>
      </c>
      <c r="C1276" t="inlineStr">
        <is>
          <t>Austria</t>
        </is>
      </c>
      <c r="D1276" t="inlineStr">
        <is>
          <t>Western and Northern Europe</t>
        </is>
      </c>
      <c r="E1276" t="inlineStr">
        <is>
          <t>administrative_investment_friction_raw</t>
        </is>
      </c>
      <c r="F1276" t="inlineStr">
        <is>
          <t>Administrative investment friction raw</t>
        </is>
      </c>
      <c r="G1276" t="inlineStr">
        <is>
          <t>creative</t>
        </is>
      </c>
      <c r="H1276" t="inlineStr">
        <is>
          <t>yes</t>
        </is>
      </c>
      <c r="I1276" t="inlineStr">
        <is>
          <t>1.14</t>
        </is>
      </c>
      <c r="J1276" t="inlineStr">
        <is>
          <t>world_bank</t>
        </is>
      </c>
      <c r="K1276" t="inlineStr">
        <is>
          <t>https://api.worldbank.org/v2/country/AUT/indicator/RQ.EST?format=json&amp;mrv=10</t>
        </is>
      </c>
      <c r="L1276" t="inlineStr">
        <is>
          <t>World Bank WGI: Regulatory Quality (inverted as friction proxy)</t>
        </is>
      </c>
      <c r="M1276" t="inlineStr">
        <is>
          <t>2023-12-31</t>
        </is>
      </c>
      <c r="N1276" t="inlineStr">
        <is>
          <t>auto_ingest=world_bank_business_friction; indicator=RQ.EST; raw_rq=1.36136972904205; friction=1.14; year=2023; country_proxy=Austria</t>
        </is>
      </c>
    </row>
    <row r="1277">
      <c r="A1277" t="inlineStr">
        <is>
          <t>at-graz</t>
        </is>
      </c>
      <c r="B1277" t="inlineStr">
        <is>
          <t>Graz</t>
        </is>
      </c>
      <c r="C1277" t="inlineStr">
        <is>
          <t>Austria</t>
        </is>
      </c>
      <c r="D1277" t="inlineStr">
        <is>
          <t>Western and Northern Europe</t>
        </is>
      </c>
      <c r="E1277" t="inlineStr">
        <is>
          <t>visitor_flow_context_raw</t>
        </is>
      </c>
      <c r="F1277" t="inlineStr">
        <is>
          <t>Visitor flow context raw</t>
        </is>
      </c>
      <c r="G1277" t="inlineStr">
        <is>
          <t>creative</t>
        </is>
      </c>
      <c r="H1277" t="inlineStr">
        <is>
          <t>no</t>
        </is>
      </c>
      <c r="I1277" t="inlineStr"/>
      <c r="J1277" t="inlineStr"/>
      <c r="K1277" t="inlineStr"/>
      <c r="L1277" t="inlineStr"/>
      <c r="M1277" t="inlineStr"/>
      <c r="N1277" t="inlineStr"/>
    </row>
    <row r="1278">
      <c r="A1278" t="inlineStr">
        <is>
          <t>pt-porto</t>
        </is>
      </c>
      <c r="B1278" t="inlineStr">
        <is>
          <t>Porto</t>
        </is>
      </c>
      <c r="C1278" t="inlineStr">
        <is>
          <t>Portugal</t>
        </is>
      </c>
      <c r="D1278" t="inlineStr">
        <is>
          <t>Western and Northern Europe</t>
        </is>
      </c>
      <c r="E1278" t="inlineStr">
        <is>
          <t>gross_income</t>
        </is>
      </c>
      <c r="F1278" t="inlineStr">
        <is>
          <t>Gross income</t>
        </is>
      </c>
      <c r="G1278" t="inlineStr">
        <is>
          <t>pressure</t>
        </is>
      </c>
      <c r="H1278" t="inlineStr">
        <is>
          <t>yes</t>
        </is>
      </c>
      <c r="I1278" t="inlineStr">
        <is>
          <t>4227.5</t>
        </is>
      </c>
      <c r="J1278" t="inlineStr">
        <is>
          <t>world_bank_col_estimate</t>
        </is>
      </c>
      <c r="K1278" t="inlineStr">
        <is>
          <t>https://api.worldbank.org/v2/country/PRT/indicator/NY.GNP.PCAP.PP.CD?format=json&amp;mrv=10</t>
        </is>
      </c>
      <c r="L1278" t="inlineStr">
        <is>
          <t>World Bank WDI: GNI per capita PPP (monthly USD)</t>
        </is>
      </c>
      <c r="M1278" t="inlineStr">
        <is>
          <t>2024-12-31</t>
        </is>
      </c>
      <c r="N1278" t="inlineStr">
        <is>
          <t>auto_ingest=world_bank_col_estimate; gni_annual=50730.0; year=2024; country_proxy=Portugal; cohort=Western, Northern, and Southern Europe</t>
        </is>
      </c>
    </row>
    <row r="1279">
      <c r="A1279" t="inlineStr">
        <is>
          <t>pt-porto</t>
        </is>
      </c>
      <c r="B1279" t="inlineStr">
        <is>
          <t>Porto</t>
        </is>
      </c>
      <c r="C1279" t="inlineStr">
        <is>
          <t>Portugal</t>
        </is>
      </c>
      <c r="D1279" t="inlineStr">
        <is>
          <t>Western, Northern, and Southern Europe</t>
        </is>
      </c>
      <c r="E1279" t="inlineStr">
        <is>
          <t>di_ppp_raw</t>
        </is>
      </c>
      <c r="F1279" t="inlineStr">
        <is>
          <t>Disposable income PPP (Raw)</t>
        </is>
      </c>
      <c r="G1279" t="inlineStr">
        <is>
          <t>pressure</t>
        </is>
      </c>
      <c r="H1279" t="inlineStr">
        <is>
          <t>yes</t>
        </is>
      </c>
      <c r="I1279" t="inlineStr"/>
      <c r="J1279" t="inlineStr"/>
      <c r="K1279" t="inlineStr"/>
      <c r="L1279" t="inlineStr"/>
      <c r="M1279" t="inlineStr"/>
      <c r="N1279" t="inlineStr"/>
    </row>
    <row r="1280">
      <c r="A1280" t="inlineStr">
        <is>
          <t>pt-porto</t>
        </is>
      </c>
      <c r="B1280" t="inlineStr">
        <is>
          <t>Porto</t>
        </is>
      </c>
      <c r="C1280" t="inlineStr">
        <is>
          <t>Portugal</t>
        </is>
      </c>
      <c r="D1280" t="inlineStr">
        <is>
          <t>Western and Northern Europe</t>
        </is>
      </c>
      <c r="E1280" t="inlineStr">
        <is>
          <t>rent</t>
        </is>
      </c>
      <c r="F1280" t="inlineStr">
        <is>
          <t>Rent</t>
        </is>
      </c>
      <c r="G1280" t="inlineStr">
        <is>
          <t>pressure</t>
        </is>
      </c>
      <c r="H1280" t="inlineStr">
        <is>
          <t>yes</t>
        </is>
      </c>
      <c r="I1280" t="inlineStr">
        <is>
          <t>1257.68</t>
        </is>
      </c>
      <c r="J1280" t="inlineStr">
        <is>
          <t>world_bank_col_estimate</t>
        </is>
      </c>
      <c r="K1280" t="inlineStr">
        <is>
          <t>https://api.worldbank.org/v2/country/PRT/indicator/NY.GNP.PCAP.PP.CD?format=json&amp;mrv=10</t>
        </is>
      </c>
      <c r="L1280" t="inlineStr">
        <is>
          <t>World Bank GNI + regional expenditure ratio estimate</t>
        </is>
      </c>
      <c r="M1280" t="inlineStr">
        <is>
          <t>2024-12-31</t>
        </is>
      </c>
      <c r="N1280" t="inlineStr">
        <is>
          <t>auto_ingest=world_bank_col_estimate; gni_annual=50730.0; year=2024; country_proxy=Portugal; cohort=Western, Northern, and Southern Europe; city_cost_mult=0.85</t>
        </is>
      </c>
    </row>
    <row r="1281">
      <c r="A1281" t="inlineStr">
        <is>
          <t>pt-porto</t>
        </is>
      </c>
      <c r="B1281" t="inlineStr">
        <is>
          <t>Porto</t>
        </is>
      </c>
      <c r="C1281" t="inlineStr">
        <is>
          <t>Portugal</t>
        </is>
      </c>
      <c r="D1281" t="inlineStr">
        <is>
          <t>Western and Northern Europe</t>
        </is>
      </c>
      <c r="E1281" t="inlineStr">
        <is>
          <t>utilities</t>
        </is>
      </c>
      <c r="F1281" t="inlineStr">
        <is>
          <t>Utilities</t>
        </is>
      </c>
      <c r="G1281" t="inlineStr">
        <is>
          <t>pressure</t>
        </is>
      </c>
      <c r="H1281" t="inlineStr">
        <is>
          <t>yes</t>
        </is>
      </c>
      <c r="I1281" t="inlineStr">
        <is>
          <t>251.54</t>
        </is>
      </c>
      <c r="J1281" t="inlineStr">
        <is>
          <t>world_bank_col_estimate</t>
        </is>
      </c>
      <c r="K1281" t="inlineStr">
        <is>
          <t>https://api.worldbank.org/v2/country/PRT/indicator/NY.GNP.PCAP.PP.CD?format=json&amp;mrv=10</t>
        </is>
      </c>
      <c r="L1281" t="inlineStr">
        <is>
          <t>World Bank GNI + regional expenditure ratio estimate</t>
        </is>
      </c>
      <c r="M1281" t="inlineStr">
        <is>
          <t>2024-12-31</t>
        </is>
      </c>
      <c r="N1281" t="inlineStr">
        <is>
          <t>auto_ingest=world_bank_col_estimate; gni_annual=50730.0; year=2024; country_proxy=Portugal; cohort=Western, Northern, and Southern Europe; city_cost_mult=0.85</t>
        </is>
      </c>
    </row>
    <row r="1282">
      <c r="A1282" t="inlineStr">
        <is>
          <t>pt-porto</t>
        </is>
      </c>
      <c r="B1282" t="inlineStr">
        <is>
          <t>Porto</t>
        </is>
      </c>
      <c r="C1282" t="inlineStr">
        <is>
          <t>Portugal</t>
        </is>
      </c>
      <c r="D1282" t="inlineStr">
        <is>
          <t>Western and Northern Europe</t>
        </is>
      </c>
      <c r="E1282" t="inlineStr">
        <is>
          <t>transit_cost</t>
        </is>
      </c>
      <c r="F1282" t="inlineStr">
        <is>
          <t>Transit cost</t>
        </is>
      </c>
      <c r="G1282" t="inlineStr">
        <is>
          <t>pressure</t>
        </is>
      </c>
      <c r="H1282" t="inlineStr">
        <is>
          <t>yes</t>
        </is>
      </c>
      <c r="I1282" t="inlineStr">
        <is>
          <t>179.67</t>
        </is>
      </c>
      <c r="J1282" t="inlineStr">
        <is>
          <t>world_bank_col_estimate</t>
        </is>
      </c>
      <c r="K1282" t="inlineStr">
        <is>
          <t>https://api.worldbank.org/v2/country/PRT/indicator/NY.GNP.PCAP.PP.CD?format=json&amp;mrv=10</t>
        </is>
      </c>
      <c r="L1282" t="inlineStr">
        <is>
          <t>World Bank GNI + regional expenditure ratio estimate</t>
        </is>
      </c>
      <c r="M1282" t="inlineStr">
        <is>
          <t>2024-12-31</t>
        </is>
      </c>
      <c r="N1282" t="inlineStr">
        <is>
          <t>auto_ingest=world_bank_col_estimate; gni_annual=50730.0; year=2024; country_proxy=Portugal; cohort=Western, Northern, and Southern Europe; city_cost_mult=0.85</t>
        </is>
      </c>
    </row>
    <row r="1283">
      <c r="A1283" t="inlineStr">
        <is>
          <t>pt-porto</t>
        </is>
      </c>
      <c r="B1283" t="inlineStr">
        <is>
          <t>Porto</t>
        </is>
      </c>
      <c r="C1283" t="inlineStr">
        <is>
          <t>Portugal</t>
        </is>
      </c>
      <c r="D1283" t="inlineStr">
        <is>
          <t>Western and Northern Europe</t>
        </is>
      </c>
      <c r="E1283" t="inlineStr">
        <is>
          <t>internet_cost</t>
        </is>
      </c>
      <c r="F1283" t="inlineStr">
        <is>
          <t>Internet cost</t>
        </is>
      </c>
      <c r="G1283" t="inlineStr">
        <is>
          <t>pressure</t>
        </is>
      </c>
      <c r="H1283" t="inlineStr">
        <is>
          <t>yes</t>
        </is>
      </c>
      <c r="I1283" t="inlineStr">
        <is>
          <t>53.9</t>
        </is>
      </c>
      <c r="J1283" t="inlineStr">
        <is>
          <t>world_bank_col_estimate</t>
        </is>
      </c>
      <c r="K1283" t="inlineStr">
        <is>
          <t>https://api.worldbank.org/v2/country/PRT/indicator/NY.GNP.PCAP.PP.CD?format=json&amp;mrv=10</t>
        </is>
      </c>
      <c r="L1283" t="inlineStr">
        <is>
          <t>World Bank GNI + regional expenditure ratio estimate</t>
        </is>
      </c>
      <c r="M1283" t="inlineStr">
        <is>
          <t>2024-12-31</t>
        </is>
      </c>
      <c r="N1283" t="inlineStr">
        <is>
          <t>auto_ingest=world_bank_col_estimate; gni_annual=50730.0; year=2024; country_proxy=Portugal; cohort=Western, Northern, and Southern Europe; city_cost_mult=0.85</t>
        </is>
      </c>
    </row>
    <row r="1284">
      <c r="A1284" t="inlineStr">
        <is>
          <t>pt-porto</t>
        </is>
      </c>
      <c r="B1284" t="inlineStr">
        <is>
          <t>Porto</t>
        </is>
      </c>
      <c r="C1284" t="inlineStr">
        <is>
          <t>Portugal</t>
        </is>
      </c>
      <c r="D1284" t="inlineStr">
        <is>
          <t>Western and Northern Europe</t>
        </is>
      </c>
      <c r="E1284" t="inlineStr">
        <is>
          <t>food_cost</t>
        </is>
      </c>
      <c r="F1284" t="inlineStr">
        <is>
          <t>Food cost</t>
        </is>
      </c>
      <c r="G1284" t="inlineStr">
        <is>
          <t>pressure</t>
        </is>
      </c>
      <c r="H1284" t="inlineStr">
        <is>
          <t>yes</t>
        </is>
      </c>
      <c r="I1284" t="inlineStr">
        <is>
          <t>539.01</t>
        </is>
      </c>
      <c r="J1284" t="inlineStr">
        <is>
          <t>world_bank_col_estimate</t>
        </is>
      </c>
      <c r="K1284" t="inlineStr">
        <is>
          <t>https://api.worldbank.org/v2/country/PRT/indicator/NY.GNP.PCAP.PP.CD?format=json&amp;mrv=10</t>
        </is>
      </c>
      <c r="L1284" t="inlineStr">
        <is>
          <t>World Bank GNI + regional expenditure ratio estimate</t>
        </is>
      </c>
      <c r="M1284" t="inlineStr">
        <is>
          <t>2024-12-31</t>
        </is>
      </c>
      <c r="N1284" t="inlineStr">
        <is>
          <t>auto_ingest=world_bank_col_estimate; gni_annual=50730.0; year=2024; country_proxy=Portugal; cohort=Western, Northern, and Southern Europe; city_cost_mult=0.85</t>
        </is>
      </c>
    </row>
    <row r="1285">
      <c r="A1285" t="inlineStr">
        <is>
          <t>pt-porto</t>
        </is>
      </c>
      <c r="B1285" t="inlineStr">
        <is>
          <t>Porto</t>
        </is>
      </c>
      <c r="C1285" t="inlineStr">
        <is>
          <t>Portugal</t>
        </is>
      </c>
      <c r="D1285" t="inlineStr">
        <is>
          <t>Western and Northern Europe</t>
        </is>
      </c>
      <c r="E1285" t="inlineStr">
        <is>
          <t>housing_burden_raw</t>
        </is>
      </c>
      <c r="F1285" t="inlineStr">
        <is>
          <t>Housing burden raw</t>
        </is>
      </c>
      <c r="G1285" t="inlineStr">
        <is>
          <t>pressure</t>
        </is>
      </c>
      <c r="H1285" t="inlineStr">
        <is>
          <t>yes</t>
        </is>
      </c>
      <c r="I1285" t="inlineStr">
        <is>
          <t>29.75</t>
        </is>
      </c>
      <c r="J1285" t="inlineStr">
        <is>
          <t>derived</t>
        </is>
      </c>
      <c r="K1285" t="inlineStr">
        <is>
          <t>https://data.worldbank.org/indicator/NY.GNP.PCAP.PP.CD</t>
        </is>
      </c>
      <c r="L1285" t="inlineStr">
        <is>
          <t>Computed from city_inputs + country_context</t>
        </is>
      </c>
      <c r="M1285" t="inlineStr">
        <is>
          <t>2024-01-01</t>
        </is>
      </c>
      <c r="N1285" t="inlineStr">
        <is>
          <t>derived=rent/gross_income*100</t>
        </is>
      </c>
    </row>
    <row r="1286">
      <c r="A1286" t="inlineStr">
        <is>
          <t>pt-porto</t>
        </is>
      </c>
      <c r="B1286" t="inlineStr">
        <is>
          <t>Porto</t>
        </is>
      </c>
      <c r="C1286" t="inlineStr">
        <is>
          <t>Portugal</t>
        </is>
      </c>
      <c r="D1286" t="inlineStr">
        <is>
          <t>Western and Northern Europe</t>
        </is>
      </c>
      <c r="E1286" t="inlineStr">
        <is>
          <t>household_debt_burden_raw</t>
        </is>
      </c>
      <c r="F1286" t="inlineStr">
        <is>
          <t>Household debt burden raw</t>
        </is>
      </c>
      <c r="G1286" t="inlineStr">
        <is>
          <t>pressure</t>
        </is>
      </c>
      <c r="H1286" t="inlineStr">
        <is>
          <t>yes</t>
        </is>
      </c>
      <c r="I1286" t="inlineStr">
        <is>
          <t>77.1375</t>
        </is>
      </c>
      <c r="J1286" t="inlineStr">
        <is>
          <t>derived</t>
        </is>
      </c>
      <c r="K1286" t="inlineStr">
        <is>
          <t>https://data.worldbank.org/indicator/NY.GNP.PCAP.PP.CD</t>
        </is>
      </c>
      <c r="L1286" t="inlineStr">
        <is>
          <t>Computed from city_inputs + country_context</t>
        </is>
      </c>
      <c r="M1286" t="inlineStr">
        <is>
          <t>2024-01-01</t>
        </is>
      </c>
      <c r="N1286" t="inlineStr">
        <is>
          <t>derived=country_context.household_debt_proxy; country=Portugal</t>
        </is>
      </c>
    </row>
    <row r="1287">
      <c r="A1287" t="inlineStr">
        <is>
          <t>pt-porto</t>
        </is>
      </c>
      <c r="B1287" t="inlineStr">
        <is>
          <t>Porto</t>
        </is>
      </c>
      <c r="C1287" t="inlineStr">
        <is>
          <t>Portugal</t>
        </is>
      </c>
      <c r="D1287" t="inlineStr">
        <is>
          <t>Western and Northern Europe</t>
        </is>
      </c>
      <c r="E1287" t="inlineStr">
        <is>
          <t>working_time_pressure_raw</t>
        </is>
      </c>
      <c r="F1287" t="inlineStr">
        <is>
          <t>Working time pressure raw</t>
        </is>
      </c>
      <c r="G1287" t="inlineStr">
        <is>
          <t>pressure</t>
        </is>
      </c>
      <c r="H1287" t="inlineStr">
        <is>
          <t>yes</t>
        </is>
      </c>
      <c r="I1287" t="inlineStr">
        <is>
          <t>37.27</t>
        </is>
      </c>
      <c r="J1287" t="inlineStr">
        <is>
          <t>ilo_ilostat</t>
        </is>
      </c>
      <c r="K1287" t="inlineStr">
        <is>
          <t>https://ilostat.ilo.org/data/indicator/?id=HOW_TEMP_SEX_ECO_NB_A&amp;ref_area=PRT</t>
        </is>
      </c>
      <c r="L1287" t="inlineStr">
        <is>
          <t>ILO ILOSTAT: Mean weekly hours actually worked per employed person</t>
        </is>
      </c>
      <c r="M1287" t="inlineStr">
        <is>
          <t>2025-12-31</t>
        </is>
      </c>
      <c r="N1287" t="inlineStr">
        <is>
          <t>auto_ingest=ilo_working_hours; indicator=HOW_TEMP_SEX_ECO_NB_A; year=2025; hours=37.27; country_proxy=Portugal</t>
        </is>
      </c>
    </row>
    <row r="1288">
      <c r="A1288" t="inlineStr">
        <is>
          <t>pt-porto</t>
        </is>
      </c>
      <c r="B1288" t="inlineStr">
        <is>
          <t>Porto</t>
        </is>
      </c>
      <c r="C1288" t="inlineStr">
        <is>
          <t>Portugal</t>
        </is>
      </c>
      <c r="D1288" t="inlineStr">
        <is>
          <t>Western and Northern Europe</t>
        </is>
      </c>
      <c r="E1288" t="inlineStr">
        <is>
          <t>suicide_mental_strain_raw</t>
        </is>
      </c>
      <c r="F1288" t="inlineStr">
        <is>
          <t>Suicide or mental strain raw</t>
        </is>
      </c>
      <c r="G1288" t="inlineStr">
        <is>
          <t>pressure</t>
        </is>
      </c>
      <c r="H1288" t="inlineStr">
        <is>
          <t>yes</t>
        </is>
      </c>
      <c r="I1288" t="inlineStr">
        <is>
          <t>11.52</t>
        </is>
      </c>
      <c r="J1288" t="inlineStr">
        <is>
          <t>who_gho</t>
        </is>
      </c>
      <c r="K1288" t="inlineStr">
        <is>
          <t>https://www.who.int/data/gho/data/indicators/indicator-details/GHO/SDGSUICIDE</t>
        </is>
      </c>
      <c r="L1288" t="inlineStr">
        <is>
          <t>WHO GHO: Age-standardized suicide rate (per 100,000 population)</t>
        </is>
      </c>
      <c r="M1288" t="inlineStr">
        <is>
          <t>2021-12-31</t>
        </is>
      </c>
      <c r="N1288" t="inlineStr">
        <is>
          <t>auto_ingest=who_gho; indicator=SDGSUICIDE; year=2021; country_proxy=Portugal</t>
        </is>
      </c>
    </row>
    <row r="1289">
      <c r="A1289" t="inlineStr">
        <is>
          <t>pt-porto</t>
        </is>
      </c>
      <c r="B1289" t="inlineStr">
        <is>
          <t>Porto</t>
        </is>
      </c>
      <c r="C1289" t="inlineStr">
        <is>
          <t>Portugal</t>
        </is>
      </c>
      <c r="D1289" t="inlineStr">
        <is>
          <t>Western and Northern Europe</t>
        </is>
      </c>
      <c r="E1289" t="inlineStr">
        <is>
          <t>personal_safety_raw</t>
        </is>
      </c>
      <c r="F1289" t="inlineStr">
        <is>
          <t>Personal safety raw</t>
        </is>
      </c>
      <c r="G1289" t="inlineStr">
        <is>
          <t>viability</t>
        </is>
      </c>
      <c r="H1289" t="inlineStr">
        <is>
          <t>yes</t>
        </is>
      </c>
      <c r="I1289" t="inlineStr">
        <is>
          <t>0.72</t>
        </is>
      </c>
      <c r="J1289" t="inlineStr">
        <is>
          <t>world_bank</t>
        </is>
      </c>
      <c r="K1289" t="inlineStr">
        <is>
          <t>https://api.worldbank.org/v2/country/PRT/indicator/VC.IHR.PSRC.P5?format=json&amp;mrv=10</t>
        </is>
      </c>
      <c r="L1289" t="inlineStr">
        <is>
          <t>UNODC via World Bank WDI: Intentional homicides (per 100,000 people)</t>
        </is>
      </c>
      <c r="M1289" t="inlineStr">
        <is>
          <t>2022-12-31</t>
        </is>
      </c>
      <c r="N1289" t="inlineStr">
        <is>
          <t>auto_ingest=unodc_safety; indicator=VC.IHR.PSRC.P5; year=2022; country_proxy=Portugal</t>
        </is>
      </c>
    </row>
    <row r="1290">
      <c r="A1290" t="inlineStr">
        <is>
          <t>pt-porto</t>
        </is>
      </c>
      <c r="B1290" t="inlineStr">
        <is>
          <t>Porto</t>
        </is>
      </c>
      <c r="C1290" t="inlineStr">
        <is>
          <t>Portugal</t>
        </is>
      </c>
      <c r="D1290" t="inlineStr">
        <is>
          <t>Western and Northern Europe</t>
        </is>
      </c>
      <c r="E1290" t="inlineStr">
        <is>
          <t>transit_access_commute_raw</t>
        </is>
      </c>
      <c r="F1290" t="inlineStr">
        <is>
          <t>Transit access and commute raw</t>
        </is>
      </c>
      <c r="G1290" t="inlineStr">
        <is>
          <t>viability</t>
        </is>
      </c>
      <c r="H1290" t="inlineStr">
        <is>
          <t>yes</t>
        </is>
      </c>
      <c r="I1290" t="inlineStr"/>
      <c r="J1290" t="inlineStr"/>
      <c r="K1290" t="inlineStr"/>
      <c r="L1290" t="inlineStr"/>
      <c r="M1290" t="inlineStr"/>
      <c r="N1290" t="inlineStr"/>
    </row>
    <row r="1291">
      <c r="A1291" t="inlineStr">
        <is>
          <t>pt-porto</t>
        </is>
      </c>
      <c r="B1291" t="inlineStr">
        <is>
          <t>Porto</t>
        </is>
      </c>
      <c r="C1291" t="inlineStr">
        <is>
          <t>Portugal</t>
        </is>
      </c>
      <c r="D1291" t="inlineStr">
        <is>
          <t>Western and Northern Europe</t>
        </is>
      </c>
      <c r="E1291" t="inlineStr">
        <is>
          <t>clean_air_raw</t>
        </is>
      </c>
      <c r="F1291" t="inlineStr">
        <is>
          <t>Clean air raw</t>
        </is>
      </c>
      <c r="G1291" t="inlineStr">
        <is>
          <t>viability</t>
        </is>
      </c>
      <c r="H1291" t="inlineStr">
        <is>
          <t>yes</t>
        </is>
      </c>
      <c r="I1291" t="inlineStr"/>
      <c r="J1291" t="inlineStr"/>
      <c r="K1291" t="inlineStr"/>
      <c r="L1291" t="inlineStr"/>
      <c r="M1291" t="inlineStr"/>
      <c r="N1291" t="inlineStr"/>
    </row>
    <row r="1292">
      <c r="A1292" t="inlineStr">
        <is>
          <t>pt-porto</t>
        </is>
      </c>
      <c r="B1292" t="inlineStr">
        <is>
          <t>Porto</t>
        </is>
      </c>
      <c r="C1292" t="inlineStr">
        <is>
          <t>Portugal</t>
        </is>
      </c>
      <c r="D1292" t="inlineStr">
        <is>
          <t>Western and Northern Europe</t>
        </is>
      </c>
      <c r="E1292" t="inlineStr">
        <is>
          <t>water_sanitation_utility_raw</t>
        </is>
      </c>
      <c r="F1292" t="inlineStr">
        <is>
          <t>Water, sanitation, and utility raw</t>
        </is>
      </c>
      <c r="G1292" t="inlineStr">
        <is>
          <t>viability</t>
        </is>
      </c>
      <c r="H1292" t="inlineStr">
        <is>
          <t>yes</t>
        </is>
      </c>
      <c r="I1292" t="inlineStr">
        <is>
          <t>95.22</t>
        </is>
      </c>
      <c r="J1292" t="inlineStr">
        <is>
          <t>world_bank</t>
        </is>
      </c>
      <c r="K1292" t="inlineStr">
        <is>
          <t>https://api.worldbank.org/v2/country/PRT/indicator/SH.H2O.SMDW.ZS?format=json&amp;mrv=10</t>
        </is>
      </c>
      <c r="L1292" t="inlineStr">
        <is>
          <t>World Bank WDI: People using safely managed drinking water services (% of population)</t>
        </is>
      </c>
      <c r="M1292" t="inlineStr">
        <is>
          <t>2024-12-31</t>
        </is>
      </c>
      <c r="N1292" t="inlineStr">
        <is>
          <t>auto_ingest=world_bank_proxy; indicator=SH.H2O.SMDW.ZS; year=2024; country_proxy=Portugal</t>
        </is>
      </c>
    </row>
    <row r="1293">
      <c r="A1293" t="inlineStr">
        <is>
          <t>pt-porto</t>
        </is>
      </c>
      <c r="B1293" t="inlineStr">
        <is>
          <t>Porto</t>
        </is>
      </c>
      <c r="C1293" t="inlineStr">
        <is>
          <t>Portugal</t>
        </is>
      </c>
      <c r="D1293" t="inlineStr">
        <is>
          <t>Western and Northern Europe</t>
        </is>
      </c>
      <c r="E1293" t="inlineStr">
        <is>
          <t>digital_infrastructure_raw</t>
        </is>
      </c>
      <c r="F1293" t="inlineStr">
        <is>
          <t>Digital infrastructure raw</t>
        </is>
      </c>
      <c r="G1293" t="inlineStr">
        <is>
          <t>viability</t>
        </is>
      </c>
      <c r="H1293" t="inlineStr">
        <is>
          <t>yes</t>
        </is>
      </c>
      <c r="I1293" t="inlineStr">
        <is>
          <t>44.11</t>
        </is>
      </c>
      <c r="J1293" t="inlineStr">
        <is>
          <t>world_bank</t>
        </is>
      </c>
      <c r="K1293" t="inlineStr">
        <is>
          <t>https://api.worldbank.org/v2/country/PRT/indicator/IT.NET.BBND.P2?format=json&amp;mrv=10</t>
        </is>
      </c>
      <c r="L1293" t="inlineStr">
        <is>
          <t>World Bank WDI: Fixed broadband subscriptions (per 100 people)</t>
        </is>
      </c>
      <c r="M1293" t="inlineStr">
        <is>
          <t>2023-12-31</t>
        </is>
      </c>
      <c r="N1293" t="inlineStr">
        <is>
          <t>auto_ingest=world_bank_proxy; indicator=IT.NET.BBND.P2; year=2023; country_proxy=Portugal</t>
        </is>
      </c>
    </row>
    <row r="1294">
      <c r="A1294" t="inlineStr">
        <is>
          <t>pt-porto</t>
        </is>
      </c>
      <c r="B1294" t="inlineStr">
        <is>
          <t>Porto</t>
        </is>
      </c>
      <c r="C1294" t="inlineStr">
        <is>
          <t>Portugal</t>
        </is>
      </c>
      <c r="D1294" t="inlineStr">
        <is>
          <t>Western and Northern Europe</t>
        </is>
      </c>
      <c r="E1294" t="inlineStr">
        <is>
          <t>climate_sunlight_livability_raw</t>
        </is>
      </c>
      <c r="F1294" t="inlineStr">
        <is>
          <t>Climate and sunlight livability raw</t>
        </is>
      </c>
      <c r="G1294" t="inlineStr">
        <is>
          <t>viability</t>
        </is>
      </c>
      <c r="H1294" t="inlineStr">
        <is>
          <t>yes</t>
        </is>
      </c>
      <c r="I1294" t="inlineStr">
        <is>
          <t>62</t>
        </is>
      </c>
      <c r="J1294" t="inlineStr">
        <is>
          <t>wmo_natl_met</t>
        </is>
      </c>
      <c r="K1294" t="inlineStr">
        <is>
          <t>https://worldweather.wmo.int</t>
        </is>
      </c>
      <c r="L1294" t="inlineStr">
        <is>
          <t>WMO/National Met: Climate livability composite</t>
        </is>
      </c>
      <c r="M1294" t="inlineStr">
        <is>
          <t>2024-12-31</t>
        </is>
      </c>
      <c r="N1294" t="inlineStr">
        <is>
          <t>auto_seed=climate_composite; 2500 sun hrs, 15C mean</t>
        </is>
      </c>
    </row>
    <row r="1295">
      <c r="A1295" t="inlineStr">
        <is>
          <t>pt-porto</t>
        </is>
      </c>
      <c r="B1295" t="inlineStr">
        <is>
          <t>Porto</t>
        </is>
      </c>
      <c r="C1295" t="inlineStr">
        <is>
          <t>Portugal</t>
        </is>
      </c>
      <c r="D1295" t="inlineStr">
        <is>
          <t>Western and Northern Europe</t>
        </is>
      </c>
      <c r="E1295" t="inlineStr">
        <is>
          <t>healthcare_quality_raw</t>
        </is>
      </c>
      <c r="F1295" t="inlineStr">
        <is>
          <t>Healthcare quality raw</t>
        </is>
      </c>
      <c r="G1295" t="inlineStr">
        <is>
          <t>capability</t>
        </is>
      </c>
      <c r="H1295" t="inlineStr">
        <is>
          <t>yes</t>
        </is>
      </c>
      <c r="I1295" t="inlineStr">
        <is>
          <t>83.0</t>
        </is>
      </c>
      <c r="J1295" t="inlineStr">
        <is>
          <t>who_gho</t>
        </is>
      </c>
      <c r="K1295" t="inlineStr">
        <is>
          <t>https://www.who.int/data/gho/data/indicators/indicator-details/GHO/UHC_INDEX_REPORTED</t>
        </is>
      </c>
      <c r="L1295" t="inlineStr">
        <is>
          <t>WHO GHO: UHC Service Coverage Index</t>
        </is>
      </c>
      <c r="M1295" t="inlineStr">
        <is>
          <t>2023-12-31</t>
        </is>
      </c>
      <c r="N1295" t="inlineStr">
        <is>
          <t>auto_ingest=who_gho; indicator=UHC_INDEX_REPORTED; year=2023; country_proxy=Portugal</t>
        </is>
      </c>
    </row>
    <row r="1296">
      <c r="A1296" t="inlineStr">
        <is>
          <t>pt-porto</t>
        </is>
      </c>
      <c r="B1296" t="inlineStr">
        <is>
          <t>Porto</t>
        </is>
      </c>
      <c r="C1296" t="inlineStr">
        <is>
          <t>Portugal</t>
        </is>
      </c>
      <c r="D1296" t="inlineStr">
        <is>
          <t>Western and Northern Europe</t>
        </is>
      </c>
      <c r="E1296" t="inlineStr">
        <is>
          <t>education_quality_raw</t>
        </is>
      </c>
      <c r="F1296" t="inlineStr">
        <is>
          <t>Education quality raw</t>
        </is>
      </c>
      <c r="G1296" t="inlineStr">
        <is>
          <t>capability</t>
        </is>
      </c>
      <c r="H1296" t="inlineStr">
        <is>
          <t>yes</t>
        </is>
      </c>
      <c r="I1296" t="inlineStr">
        <is>
          <t>77.68</t>
        </is>
      </c>
      <c r="J1296" t="inlineStr">
        <is>
          <t>world_bank</t>
        </is>
      </c>
      <c r="K1296" t="inlineStr">
        <is>
          <t>https://api.worldbank.org/v2/country/PRT/indicator/SE.TER.ENRR?format=json&amp;mrv=10</t>
        </is>
      </c>
      <c r="L1296" t="inlineStr">
        <is>
          <t>World Bank WDI: School enrollment, tertiary (% gross)</t>
        </is>
      </c>
      <c r="M1296" t="inlineStr">
        <is>
          <t>2023-12-31</t>
        </is>
      </c>
      <c r="N1296" t="inlineStr">
        <is>
          <t>auto_ingest=world_bank_proxy; indicator=SE.TER.ENRR; year=2023; country_proxy=Portugal</t>
        </is>
      </c>
    </row>
    <row r="1297">
      <c r="A1297" t="inlineStr">
        <is>
          <t>pt-porto</t>
        </is>
      </c>
      <c r="B1297" t="inlineStr">
        <is>
          <t>Porto</t>
        </is>
      </c>
      <c r="C1297" t="inlineStr">
        <is>
          <t>Portugal</t>
        </is>
      </c>
      <c r="D1297" t="inlineStr">
        <is>
          <t>Western and Northern Europe</t>
        </is>
      </c>
      <c r="E1297" t="inlineStr">
        <is>
          <t>equal_opportunity_raw</t>
        </is>
      </c>
      <c r="F1297" t="inlineStr">
        <is>
          <t>Equal opportunity raw</t>
        </is>
      </c>
      <c r="G1297" t="inlineStr">
        <is>
          <t>capability</t>
        </is>
      </c>
      <c r="H1297" t="inlineStr">
        <is>
          <t>yes</t>
        </is>
      </c>
      <c r="I1297" t="inlineStr">
        <is>
          <t>33.9</t>
        </is>
      </c>
      <c r="J1297" t="inlineStr">
        <is>
          <t>world_bank</t>
        </is>
      </c>
      <c r="K1297" t="inlineStr">
        <is>
          <t>https://api.worldbank.org/v2/country/PRT/indicator/SI.POV.GINI?format=json&amp;mrv=10</t>
        </is>
      </c>
      <c r="L1297" t="inlineStr">
        <is>
          <t>World Bank WDI: Gini index</t>
        </is>
      </c>
      <c r="M1297" t="inlineStr">
        <is>
          <t>2023-12-31</t>
        </is>
      </c>
      <c r="N1297" t="inlineStr">
        <is>
          <t>auto_ingest=world_bank_capability; indicator=SI.POV.GINI; year=2023; country_proxy=Portugal</t>
        </is>
      </c>
    </row>
    <row r="1298">
      <c r="A1298" t="inlineStr">
        <is>
          <t>pt-porto</t>
        </is>
      </c>
      <c r="B1298" t="inlineStr">
        <is>
          <t>Porto</t>
        </is>
      </c>
      <c r="C1298" t="inlineStr">
        <is>
          <t>Portugal</t>
        </is>
      </c>
      <c r="D1298" t="inlineStr">
        <is>
          <t>Western and Northern Europe</t>
        </is>
      </c>
      <c r="E1298" t="inlineStr">
        <is>
          <t>hospitality_belonging_raw</t>
        </is>
      </c>
      <c r="F1298" t="inlineStr">
        <is>
          <t>Hospitality and belonging raw</t>
        </is>
      </c>
      <c r="G1298" t="inlineStr">
        <is>
          <t>community</t>
        </is>
      </c>
      <c r="H1298" t="inlineStr">
        <is>
          <t>yes</t>
        </is>
      </c>
      <c r="I1298" t="inlineStr">
        <is>
          <t>51.54</t>
        </is>
      </c>
      <c r="J1298" t="inlineStr">
        <is>
          <t>world_bank</t>
        </is>
      </c>
      <c r="K1298" t="inlineStr">
        <is>
          <t>https://api.worldbank.org/v2/country/PRT/indicator/SM.POP.NETM?format=json&amp;mrv=10</t>
        </is>
      </c>
      <c r="L1298" t="inlineStr">
        <is>
          <t>World Bank WDI: Net migration (proxy for hospitality/belonging — positive = welcoming)</t>
        </is>
      </c>
      <c r="M1298" t="inlineStr">
        <is>
          <t>2025-12-31</t>
        </is>
      </c>
      <c r="N1298" t="inlineStr">
        <is>
          <t>auto_ingest=world_bank_proxy; proxy=net_migration_hospitality; indicator=SM.POP.NETM; year=2025; country_proxy=Portugal</t>
        </is>
      </c>
    </row>
    <row r="1299">
      <c r="A1299" t="inlineStr">
        <is>
          <t>pt-porto</t>
        </is>
      </c>
      <c r="B1299" t="inlineStr">
        <is>
          <t>Porto</t>
        </is>
      </c>
      <c r="C1299" t="inlineStr">
        <is>
          <t>Portugal</t>
        </is>
      </c>
      <c r="D1299" t="inlineStr">
        <is>
          <t>Western and Northern Europe</t>
        </is>
      </c>
      <c r="E1299" t="inlineStr">
        <is>
          <t>tolerance_pluralism_raw</t>
        </is>
      </c>
      <c r="F1299" t="inlineStr">
        <is>
          <t>Tolerance and pluralism raw</t>
        </is>
      </c>
      <c r="G1299" t="inlineStr">
        <is>
          <t>community</t>
        </is>
      </c>
      <c r="H1299" t="inlineStr">
        <is>
          <t>yes</t>
        </is>
      </c>
      <c r="I1299" t="inlineStr">
        <is>
          <t>32.61</t>
        </is>
      </c>
      <c r="J1299" t="inlineStr">
        <is>
          <t>world_bank</t>
        </is>
      </c>
      <c r="K1299" t="inlineStr">
        <is>
          <t>https://api.worldbank.org/v2/country/PRT/indicator/SG.GEN.PARL.ZS?format=json&amp;mrv=10</t>
        </is>
      </c>
      <c r="L1299" t="inlineStr">
        <is>
          <t>World Bank WDI: Proportion of seats held by women in national parliaments (%)</t>
        </is>
      </c>
      <c r="M1299" t="inlineStr">
        <is>
          <t>2024-12-31</t>
        </is>
      </c>
      <c r="N1299" t="inlineStr">
        <is>
          <t>auto_ingest=world_bank_proxy; proxy=gender_parity_parliament; indicator=SG.GEN.PARL.ZS; year=2024; country_proxy=Portugal</t>
        </is>
      </c>
    </row>
    <row r="1300">
      <c r="A1300" t="inlineStr">
        <is>
          <t>pt-porto</t>
        </is>
      </c>
      <c r="B1300" t="inlineStr">
        <is>
          <t>Porto</t>
        </is>
      </c>
      <c r="C1300" t="inlineStr">
        <is>
          <t>Portugal</t>
        </is>
      </c>
      <c r="D1300" t="inlineStr">
        <is>
          <t>Western and Northern Europe</t>
        </is>
      </c>
      <c r="E1300" t="inlineStr">
        <is>
          <t>cultural_public_life_raw</t>
        </is>
      </c>
      <c r="F1300" t="inlineStr">
        <is>
          <t>Cultural public life raw</t>
        </is>
      </c>
      <c r="G1300" t="inlineStr">
        <is>
          <t>community</t>
        </is>
      </c>
      <c r="H1300" t="inlineStr">
        <is>
          <t>yes</t>
        </is>
      </c>
      <c r="I1300" t="inlineStr">
        <is>
          <t>393.47</t>
        </is>
      </c>
      <c r="J1300" t="inlineStr">
        <is>
          <t>world_bank</t>
        </is>
      </c>
      <c r="K1300" t="inlineStr">
        <is>
          <t>https://api.worldbank.org/v2/country/PRT/indicator/ST.INT.ARVL?format=json&amp;mrv=10</t>
        </is>
      </c>
      <c r="L1300" t="inlineStr">
        <is>
          <t>World Bank WDI: International tourism arrivals per 1 000 population</t>
        </is>
      </c>
      <c r="M1300" t="inlineStr">
        <is>
          <t>2020-12-31</t>
        </is>
      </c>
      <c r="N1300" t="inlineStr">
        <is>
          <t>auto_ingest=cultural_life_proxy; indicator=ST.INT.ARVL; norm=per_1000_pop; year=2020; country_proxy=Portugal</t>
        </is>
      </c>
    </row>
    <row r="1301">
      <c r="A1301" t="inlineStr">
        <is>
          <t>pt-porto</t>
        </is>
      </c>
      <c r="B1301" t="inlineStr">
        <is>
          <t>Porto</t>
        </is>
      </c>
      <c r="C1301" t="inlineStr">
        <is>
          <t>Portugal</t>
        </is>
      </c>
      <c r="D1301" t="inlineStr">
        <is>
          <t>Western and Northern Europe</t>
        </is>
      </c>
      <c r="E1301" t="inlineStr">
        <is>
          <t>birth_rate_optimism_raw</t>
        </is>
      </c>
      <c r="F1301" t="inlineStr">
        <is>
          <t>Birth rate and societal optimism raw</t>
        </is>
      </c>
      <c r="G1301" t="inlineStr">
        <is>
          <t>community</t>
        </is>
      </c>
      <c r="H1301" t="inlineStr">
        <is>
          <t>yes</t>
        </is>
      </c>
      <c r="I1301" t="inlineStr">
        <is>
          <t>1.43</t>
        </is>
      </c>
      <c r="J1301" t="inlineStr">
        <is>
          <t>world_bank</t>
        </is>
      </c>
      <c r="K1301" t="inlineStr">
        <is>
          <t>https://data.worldbank.org/indicator/SP.DYN.TFRT.IN</t>
        </is>
      </c>
      <c r="L1301" t="inlineStr">
        <is>
          <t>World Bank Total Fertility Rate 2023</t>
        </is>
      </c>
      <c r="M1301" t="inlineStr">
        <is>
          <t>2024-01-01</t>
        </is>
      </c>
      <c r="N1301" t="inlineStr"/>
    </row>
    <row r="1302">
      <c r="A1302" t="inlineStr">
        <is>
          <t>pt-porto</t>
        </is>
      </c>
      <c r="B1302" t="inlineStr">
        <is>
          <t>Porto</t>
        </is>
      </c>
      <c r="C1302" t="inlineStr">
        <is>
          <t>Portugal</t>
        </is>
      </c>
      <c r="D1302" t="inlineStr">
        <is>
          <t>Western and Northern Europe</t>
        </is>
      </c>
      <c r="E1302" t="inlineStr">
        <is>
          <t>entrepreneurial_dynamism_raw</t>
        </is>
      </c>
      <c r="F1302" t="inlineStr">
        <is>
          <t>Entrepreneurial dynamism raw</t>
        </is>
      </c>
      <c r="G1302" t="inlineStr">
        <is>
          <t>creative</t>
        </is>
      </c>
      <c r="H1302" t="inlineStr">
        <is>
          <t>yes</t>
        </is>
      </c>
      <c r="I1302" t="inlineStr">
        <is>
          <t>6.95</t>
        </is>
      </c>
      <c r="J1302" t="inlineStr">
        <is>
          <t>world_bank</t>
        </is>
      </c>
      <c r="K1302" t="inlineStr">
        <is>
          <t>https://api.worldbank.org/v2/country/PRT/indicator/IC.BUS.NDNS.ZS?format=json&amp;mrv=10</t>
        </is>
      </c>
      <c r="L1302" t="inlineStr">
        <is>
          <t>World Bank WDI: New business density (new registrations per 1,000 people ages 15-64)</t>
        </is>
      </c>
      <c r="M1302" t="inlineStr">
        <is>
          <t>2022-12-31</t>
        </is>
      </c>
      <c r="N1302" t="inlineStr">
        <is>
          <t>auto_ingest=world_bank_creative_extended; indicator=IC.BUS.NDNS.ZS; year=2022; country_proxy=Portugal</t>
        </is>
      </c>
    </row>
    <row r="1303">
      <c r="A1303" t="inlineStr">
        <is>
          <t>pt-porto</t>
        </is>
      </c>
      <c r="B1303" t="inlineStr">
        <is>
          <t>Porto</t>
        </is>
      </c>
      <c r="C1303" t="inlineStr">
        <is>
          <t>Portugal</t>
        </is>
      </c>
      <c r="D1303" t="inlineStr">
        <is>
          <t>Western and Northern Europe</t>
        </is>
      </c>
      <c r="E1303" t="inlineStr">
        <is>
          <t>innovation_research_intensity_raw</t>
        </is>
      </c>
      <c r="F1303" t="inlineStr">
        <is>
          <t>Innovation and research raw</t>
        </is>
      </c>
      <c r="G1303" t="inlineStr">
        <is>
          <t>creative</t>
        </is>
      </c>
      <c r="H1303" t="inlineStr">
        <is>
          <t>yes</t>
        </is>
      </c>
      <c r="I1303" t="inlineStr">
        <is>
          <t>1.7</t>
        </is>
      </c>
      <c r="J1303" t="inlineStr">
        <is>
          <t>world_bank</t>
        </is>
      </c>
      <c r="K1303" t="inlineStr">
        <is>
          <t>https://api.worldbank.org/v2/country/PRT/indicator/GB.XPD.RSDV.GD.ZS?format=json&amp;mrv=10</t>
        </is>
      </c>
      <c r="L1303" t="inlineStr">
        <is>
          <t>World Bank WDI: Research and development expenditure (% of GDP)</t>
        </is>
      </c>
      <c r="M1303" t="inlineStr">
        <is>
          <t>2022-12-31</t>
        </is>
      </c>
      <c r="N1303" t="inlineStr">
        <is>
          <t>auto_ingest=world_bank_creative_extended; indicator=GB.XPD.RSDV.GD.ZS; year=2022; country_proxy=Portugal</t>
        </is>
      </c>
    </row>
    <row r="1304">
      <c r="A1304" t="inlineStr">
        <is>
          <t>pt-porto</t>
        </is>
      </c>
      <c r="B1304" t="inlineStr">
        <is>
          <t>Porto</t>
        </is>
      </c>
      <c r="C1304" t="inlineStr">
        <is>
          <t>Portugal</t>
        </is>
      </c>
      <c r="D1304" t="inlineStr">
        <is>
          <t>Western and Northern Europe</t>
        </is>
      </c>
      <c r="E1304" t="inlineStr">
        <is>
          <t>investment_signal_raw</t>
        </is>
      </c>
      <c r="F1304" t="inlineStr">
        <is>
          <t>Investment signal raw</t>
        </is>
      </c>
      <c r="G1304" t="inlineStr">
        <is>
          <t>creative</t>
        </is>
      </c>
      <c r="H1304" t="inlineStr">
        <is>
          <t>yes</t>
        </is>
      </c>
      <c r="I1304" t="inlineStr">
        <is>
          <t>4.31</t>
        </is>
      </c>
      <c r="J1304" t="inlineStr">
        <is>
          <t>world_bank</t>
        </is>
      </c>
      <c r="K1304" t="inlineStr">
        <is>
          <t>https://api.worldbank.org/v2/country/PRT/indicator/BX.KLT.DINV.WD.GD.ZS?format=json&amp;mrv=10</t>
        </is>
      </c>
      <c r="L1304" t="inlineStr">
        <is>
          <t>World Bank WDI: Foreign direct investment, net inflows (% of GDP)</t>
        </is>
      </c>
      <c r="M1304" t="inlineStr">
        <is>
          <t>2024-12-31</t>
        </is>
      </c>
      <c r="N1304" t="inlineStr">
        <is>
          <t>auto_ingest=world_bank_creative_extended; indicator=BX.KLT.DINV.WD.GD.ZS; year=2024; country_proxy=Portugal</t>
        </is>
      </c>
    </row>
    <row r="1305">
      <c r="A1305" t="inlineStr">
        <is>
          <t>pt-porto</t>
        </is>
      </c>
      <c r="B1305" t="inlineStr">
        <is>
          <t>Porto</t>
        </is>
      </c>
      <c r="C1305" t="inlineStr">
        <is>
          <t>Portugal</t>
        </is>
      </c>
      <c r="D1305" t="inlineStr">
        <is>
          <t>Western and Northern Europe</t>
        </is>
      </c>
      <c r="E1305" t="inlineStr">
        <is>
          <t>administrative_investment_friction_raw</t>
        </is>
      </c>
      <c r="F1305" t="inlineStr">
        <is>
          <t>Administrative investment friction raw</t>
        </is>
      </c>
      <c r="G1305" t="inlineStr">
        <is>
          <t>creative</t>
        </is>
      </c>
      <c r="H1305" t="inlineStr">
        <is>
          <t>yes</t>
        </is>
      </c>
      <c r="I1305" t="inlineStr">
        <is>
          <t>1.74</t>
        </is>
      </c>
      <c r="J1305" t="inlineStr">
        <is>
          <t>world_bank</t>
        </is>
      </c>
      <c r="K1305" t="inlineStr">
        <is>
          <t>https://api.worldbank.org/v2/country/PRT/indicator/RQ.EST?format=json&amp;mrv=10</t>
        </is>
      </c>
      <c r="L1305" t="inlineStr">
        <is>
          <t>World Bank WGI: Regulatory Quality (inverted as friction proxy)</t>
        </is>
      </c>
      <c r="M1305" t="inlineStr">
        <is>
          <t>2023-12-31</t>
        </is>
      </c>
      <c r="N1305" t="inlineStr">
        <is>
          <t>auto_ingest=world_bank_business_friction; indicator=RQ.EST; raw_rq=0.755356550216675; friction=1.74; year=2023; country_proxy=Portugal</t>
        </is>
      </c>
    </row>
    <row r="1306">
      <c r="A1306" t="inlineStr">
        <is>
          <t>pt-porto</t>
        </is>
      </c>
      <c r="B1306" t="inlineStr">
        <is>
          <t>Porto</t>
        </is>
      </c>
      <c r="C1306" t="inlineStr">
        <is>
          <t>Portugal</t>
        </is>
      </c>
      <c r="D1306" t="inlineStr">
        <is>
          <t>Western and Northern Europe</t>
        </is>
      </c>
      <c r="E1306" t="inlineStr">
        <is>
          <t>visitor_flow_context_raw</t>
        </is>
      </c>
      <c r="F1306" t="inlineStr">
        <is>
          <t>Visitor flow context raw</t>
        </is>
      </c>
      <c r="G1306" t="inlineStr">
        <is>
          <t>creative</t>
        </is>
      </c>
      <c r="H1306" t="inlineStr">
        <is>
          <t>no</t>
        </is>
      </c>
      <c r="I1306" t="inlineStr"/>
      <c r="J1306" t="inlineStr"/>
      <c r="K1306" t="inlineStr"/>
      <c r="L1306" t="inlineStr"/>
      <c r="M1306" t="inlineStr"/>
      <c r="N1306" t="inlineStr"/>
    </row>
    <row r="1307">
      <c r="A1307" t="inlineStr">
        <is>
          <t>pt-braga</t>
        </is>
      </c>
      <c r="B1307" t="inlineStr">
        <is>
          <t>Braga</t>
        </is>
      </c>
      <c r="C1307" t="inlineStr">
        <is>
          <t>Portugal</t>
        </is>
      </c>
      <c r="D1307" t="inlineStr">
        <is>
          <t>Western and Northern Europe</t>
        </is>
      </c>
      <c r="E1307" t="inlineStr">
        <is>
          <t>gross_income</t>
        </is>
      </c>
      <c r="F1307" t="inlineStr">
        <is>
          <t>Gross income</t>
        </is>
      </c>
      <c r="G1307" t="inlineStr">
        <is>
          <t>pressure</t>
        </is>
      </c>
      <c r="H1307" t="inlineStr">
        <is>
          <t>yes</t>
        </is>
      </c>
      <c r="I1307" t="inlineStr">
        <is>
          <t>4227.5</t>
        </is>
      </c>
      <c r="J1307" t="inlineStr">
        <is>
          <t>world_bank_col_estimate</t>
        </is>
      </c>
      <c r="K1307" t="inlineStr">
        <is>
          <t>https://api.worldbank.org/v2/country/PRT/indicator/NY.GNP.PCAP.PP.CD?format=json&amp;mrv=10</t>
        </is>
      </c>
      <c r="L1307" t="inlineStr">
        <is>
          <t>World Bank WDI: GNI per capita PPP (monthly USD)</t>
        </is>
      </c>
      <c r="M1307" t="inlineStr">
        <is>
          <t>2024-12-31</t>
        </is>
      </c>
      <c r="N1307" t="inlineStr">
        <is>
          <t>auto_ingest=world_bank_col_estimate; gni_annual=50730.0; year=2024; country_proxy=Portugal; cohort=Western, Northern, and Southern Europe</t>
        </is>
      </c>
    </row>
    <row r="1308">
      <c r="A1308" t="inlineStr">
        <is>
          <t>pt-braga</t>
        </is>
      </c>
      <c r="B1308" t="inlineStr">
        <is>
          <t>Braga</t>
        </is>
      </c>
      <c r="C1308" t="inlineStr">
        <is>
          <t>Portugal</t>
        </is>
      </c>
      <c r="D1308" t="inlineStr">
        <is>
          <t>Western, Northern, and Southern Europe</t>
        </is>
      </c>
      <c r="E1308" t="inlineStr">
        <is>
          <t>di_ppp_raw</t>
        </is>
      </c>
      <c r="F1308" t="inlineStr">
        <is>
          <t>Disposable income PPP (Raw)</t>
        </is>
      </c>
      <c r="G1308" t="inlineStr">
        <is>
          <t>pressure</t>
        </is>
      </c>
      <c r="H1308" t="inlineStr">
        <is>
          <t>yes</t>
        </is>
      </c>
      <c r="I1308" t="inlineStr"/>
      <c r="J1308" t="inlineStr"/>
      <c r="K1308" t="inlineStr"/>
      <c r="L1308" t="inlineStr"/>
      <c r="M1308" t="inlineStr"/>
      <c r="N1308" t="inlineStr"/>
    </row>
    <row r="1309">
      <c r="A1309" t="inlineStr">
        <is>
          <t>pt-braga</t>
        </is>
      </c>
      <c r="B1309" t="inlineStr">
        <is>
          <t>Braga</t>
        </is>
      </c>
      <c r="C1309" t="inlineStr">
        <is>
          <t>Portugal</t>
        </is>
      </c>
      <c r="D1309" t="inlineStr">
        <is>
          <t>Western and Northern Europe</t>
        </is>
      </c>
      <c r="E1309" t="inlineStr">
        <is>
          <t>rent</t>
        </is>
      </c>
      <c r="F1309" t="inlineStr">
        <is>
          <t>Rent</t>
        </is>
      </c>
      <c r="G1309" t="inlineStr">
        <is>
          <t>pressure</t>
        </is>
      </c>
      <c r="H1309" t="inlineStr">
        <is>
          <t>yes</t>
        </is>
      </c>
      <c r="I1309" t="inlineStr">
        <is>
          <t>1109.72</t>
        </is>
      </c>
      <c r="J1309" t="inlineStr">
        <is>
          <t>world_bank_col_estimate</t>
        </is>
      </c>
      <c r="K1309" t="inlineStr">
        <is>
          <t>https://api.worldbank.org/v2/country/PRT/indicator/NY.GNP.PCAP.PP.CD?format=json&amp;mrv=10</t>
        </is>
      </c>
      <c r="L1309" t="inlineStr">
        <is>
          <t>World Bank GNI + regional expenditure ratio estimate</t>
        </is>
      </c>
      <c r="M1309" t="inlineStr">
        <is>
          <t>2024-12-31</t>
        </is>
      </c>
      <c r="N1309" t="inlineStr">
        <is>
          <t>auto_ingest=world_bank_col_estimate; gni_annual=50730.0; year=2024; country_proxy=Portugal; cohort=Western, Northern, and Southern Europe; city_cost_mult=0.75</t>
        </is>
      </c>
    </row>
    <row r="1310">
      <c r="A1310" t="inlineStr">
        <is>
          <t>pt-braga</t>
        </is>
      </c>
      <c r="B1310" t="inlineStr">
        <is>
          <t>Braga</t>
        </is>
      </c>
      <c r="C1310" t="inlineStr">
        <is>
          <t>Portugal</t>
        </is>
      </c>
      <c r="D1310" t="inlineStr">
        <is>
          <t>Western and Northern Europe</t>
        </is>
      </c>
      <c r="E1310" t="inlineStr">
        <is>
          <t>utilities</t>
        </is>
      </c>
      <c r="F1310" t="inlineStr">
        <is>
          <t>Utilities</t>
        </is>
      </c>
      <c r="G1310" t="inlineStr">
        <is>
          <t>pressure</t>
        </is>
      </c>
      <c r="H1310" t="inlineStr">
        <is>
          <t>yes</t>
        </is>
      </c>
      <c r="I1310" t="inlineStr">
        <is>
          <t>221.94</t>
        </is>
      </c>
      <c r="J1310" t="inlineStr">
        <is>
          <t>world_bank_col_estimate</t>
        </is>
      </c>
      <c r="K1310" t="inlineStr">
        <is>
          <t>https://api.worldbank.org/v2/country/PRT/indicator/NY.GNP.PCAP.PP.CD?format=json&amp;mrv=10</t>
        </is>
      </c>
      <c r="L1310" t="inlineStr">
        <is>
          <t>World Bank GNI + regional expenditure ratio estimate</t>
        </is>
      </c>
      <c r="M1310" t="inlineStr">
        <is>
          <t>2024-12-31</t>
        </is>
      </c>
      <c r="N1310" t="inlineStr">
        <is>
          <t>auto_ingest=world_bank_col_estimate; gni_annual=50730.0; year=2024; country_proxy=Portugal; cohort=Western, Northern, and Southern Europe; city_cost_mult=0.75</t>
        </is>
      </c>
    </row>
    <row r="1311">
      <c r="A1311" t="inlineStr">
        <is>
          <t>pt-braga</t>
        </is>
      </c>
      <c r="B1311" t="inlineStr">
        <is>
          <t>Braga</t>
        </is>
      </c>
      <c r="C1311" t="inlineStr">
        <is>
          <t>Portugal</t>
        </is>
      </c>
      <c r="D1311" t="inlineStr">
        <is>
          <t>Western and Northern Europe</t>
        </is>
      </c>
      <c r="E1311" t="inlineStr">
        <is>
          <t>transit_cost</t>
        </is>
      </c>
      <c r="F1311" t="inlineStr">
        <is>
          <t>Transit cost</t>
        </is>
      </c>
      <c r="G1311" t="inlineStr">
        <is>
          <t>pressure</t>
        </is>
      </c>
      <c r="H1311" t="inlineStr">
        <is>
          <t>yes</t>
        </is>
      </c>
      <c r="I1311" t="inlineStr">
        <is>
          <t>158.53</t>
        </is>
      </c>
      <c r="J1311" t="inlineStr">
        <is>
          <t>world_bank_col_estimate</t>
        </is>
      </c>
      <c r="K1311" t="inlineStr">
        <is>
          <t>https://api.worldbank.org/v2/country/PRT/indicator/NY.GNP.PCAP.PP.CD?format=json&amp;mrv=10</t>
        </is>
      </c>
      <c r="L1311" t="inlineStr">
        <is>
          <t>World Bank GNI + regional expenditure ratio estimate</t>
        </is>
      </c>
      <c r="M1311" t="inlineStr">
        <is>
          <t>2024-12-31</t>
        </is>
      </c>
      <c r="N1311" t="inlineStr">
        <is>
          <t>auto_ingest=world_bank_col_estimate; gni_annual=50730.0; year=2024; country_proxy=Portugal; cohort=Western, Northern, and Southern Europe; city_cost_mult=0.75</t>
        </is>
      </c>
    </row>
    <row r="1312">
      <c r="A1312" t="inlineStr">
        <is>
          <t>pt-braga</t>
        </is>
      </c>
      <c r="B1312" t="inlineStr">
        <is>
          <t>Braga</t>
        </is>
      </c>
      <c r="C1312" t="inlineStr">
        <is>
          <t>Portugal</t>
        </is>
      </c>
      <c r="D1312" t="inlineStr">
        <is>
          <t>Western and Northern Europe</t>
        </is>
      </c>
      <c r="E1312" t="inlineStr">
        <is>
          <t>internet_cost</t>
        </is>
      </c>
      <c r="F1312" t="inlineStr">
        <is>
          <t>Internet cost</t>
        </is>
      </c>
      <c r="G1312" t="inlineStr">
        <is>
          <t>pressure</t>
        </is>
      </c>
      <c r="H1312" t="inlineStr">
        <is>
          <t>yes</t>
        </is>
      </c>
      <c r="I1312" t="inlineStr">
        <is>
          <t>47.56</t>
        </is>
      </c>
      <c r="J1312" t="inlineStr">
        <is>
          <t>world_bank_col_estimate</t>
        </is>
      </c>
      <c r="K1312" t="inlineStr">
        <is>
          <t>https://api.worldbank.org/v2/country/PRT/indicator/NY.GNP.PCAP.PP.CD?format=json&amp;mrv=10</t>
        </is>
      </c>
      <c r="L1312" t="inlineStr">
        <is>
          <t>World Bank GNI + regional expenditure ratio estimate</t>
        </is>
      </c>
      <c r="M1312" t="inlineStr">
        <is>
          <t>2024-12-31</t>
        </is>
      </c>
      <c r="N1312" t="inlineStr">
        <is>
          <t>auto_ingest=world_bank_col_estimate; gni_annual=50730.0; year=2024; country_proxy=Portugal; cohort=Western, Northern, and Southern Europe; city_cost_mult=0.75</t>
        </is>
      </c>
    </row>
    <row r="1313">
      <c r="A1313" t="inlineStr">
        <is>
          <t>pt-braga</t>
        </is>
      </c>
      <c r="B1313" t="inlineStr">
        <is>
          <t>Braga</t>
        </is>
      </c>
      <c r="C1313" t="inlineStr">
        <is>
          <t>Portugal</t>
        </is>
      </c>
      <c r="D1313" t="inlineStr">
        <is>
          <t>Western and Northern Europe</t>
        </is>
      </c>
      <c r="E1313" t="inlineStr">
        <is>
          <t>food_cost</t>
        </is>
      </c>
      <c r="F1313" t="inlineStr">
        <is>
          <t>Food cost</t>
        </is>
      </c>
      <c r="G1313" t="inlineStr">
        <is>
          <t>pressure</t>
        </is>
      </c>
      <c r="H1313" t="inlineStr">
        <is>
          <t>yes</t>
        </is>
      </c>
      <c r="I1313" t="inlineStr">
        <is>
          <t>475.59</t>
        </is>
      </c>
      <c r="J1313" t="inlineStr">
        <is>
          <t>world_bank_col_estimate</t>
        </is>
      </c>
      <c r="K1313" t="inlineStr">
        <is>
          <t>https://api.worldbank.org/v2/country/PRT/indicator/NY.GNP.PCAP.PP.CD?format=json&amp;mrv=10</t>
        </is>
      </c>
      <c r="L1313" t="inlineStr">
        <is>
          <t>World Bank GNI + regional expenditure ratio estimate</t>
        </is>
      </c>
      <c r="M1313" t="inlineStr">
        <is>
          <t>2024-12-31</t>
        </is>
      </c>
      <c r="N1313" t="inlineStr">
        <is>
          <t>auto_ingest=world_bank_col_estimate; gni_annual=50730.0; year=2024; country_proxy=Portugal; cohort=Western, Northern, and Southern Europe; city_cost_mult=0.75</t>
        </is>
      </c>
    </row>
    <row r="1314">
      <c r="A1314" t="inlineStr">
        <is>
          <t>pt-braga</t>
        </is>
      </c>
      <c r="B1314" t="inlineStr">
        <is>
          <t>Braga</t>
        </is>
      </c>
      <c r="C1314" t="inlineStr">
        <is>
          <t>Portugal</t>
        </is>
      </c>
      <c r="D1314" t="inlineStr">
        <is>
          <t>Western and Northern Europe</t>
        </is>
      </c>
      <c r="E1314" t="inlineStr">
        <is>
          <t>housing_burden_raw</t>
        </is>
      </c>
      <c r="F1314" t="inlineStr">
        <is>
          <t>Housing burden raw</t>
        </is>
      </c>
      <c r="G1314" t="inlineStr">
        <is>
          <t>pressure</t>
        </is>
      </c>
      <c r="H1314" t="inlineStr">
        <is>
          <t>yes</t>
        </is>
      </c>
      <c r="I1314" t="inlineStr">
        <is>
          <t>26.25</t>
        </is>
      </c>
      <c r="J1314" t="inlineStr">
        <is>
          <t>derived</t>
        </is>
      </c>
      <c r="K1314" t="inlineStr">
        <is>
          <t>https://data.worldbank.org/indicator/NY.GNP.PCAP.PP.CD</t>
        </is>
      </c>
      <c r="L1314" t="inlineStr">
        <is>
          <t>Computed from city_inputs + country_context</t>
        </is>
      </c>
      <c r="M1314" t="inlineStr">
        <is>
          <t>2024-01-01</t>
        </is>
      </c>
      <c r="N1314" t="inlineStr">
        <is>
          <t>derived=rent/gross_income*100</t>
        </is>
      </c>
    </row>
    <row r="1315">
      <c r="A1315" t="inlineStr">
        <is>
          <t>pt-braga</t>
        </is>
      </c>
      <c r="B1315" t="inlineStr">
        <is>
          <t>Braga</t>
        </is>
      </c>
      <c r="C1315" t="inlineStr">
        <is>
          <t>Portugal</t>
        </is>
      </c>
      <c r="D1315" t="inlineStr">
        <is>
          <t>Western and Northern Europe</t>
        </is>
      </c>
      <c r="E1315" t="inlineStr">
        <is>
          <t>household_debt_burden_raw</t>
        </is>
      </c>
      <c r="F1315" t="inlineStr">
        <is>
          <t>Household debt burden raw</t>
        </is>
      </c>
      <c r="G1315" t="inlineStr">
        <is>
          <t>pressure</t>
        </is>
      </c>
      <c r="H1315" t="inlineStr">
        <is>
          <t>yes</t>
        </is>
      </c>
      <c r="I1315" t="inlineStr">
        <is>
          <t>77.1375</t>
        </is>
      </c>
      <c r="J1315" t="inlineStr">
        <is>
          <t>derived</t>
        </is>
      </c>
      <c r="K1315" t="inlineStr">
        <is>
          <t>https://data.worldbank.org/indicator/NY.GNP.PCAP.PP.CD</t>
        </is>
      </c>
      <c r="L1315" t="inlineStr">
        <is>
          <t>Computed from city_inputs + country_context</t>
        </is>
      </c>
      <c r="M1315" t="inlineStr">
        <is>
          <t>2024-01-01</t>
        </is>
      </c>
      <c r="N1315" t="inlineStr">
        <is>
          <t>derived=country_context.household_debt_proxy; country=Portugal</t>
        </is>
      </c>
    </row>
    <row r="1316">
      <c r="A1316" t="inlineStr">
        <is>
          <t>pt-braga</t>
        </is>
      </c>
      <c r="B1316" t="inlineStr">
        <is>
          <t>Braga</t>
        </is>
      </c>
      <c r="C1316" t="inlineStr">
        <is>
          <t>Portugal</t>
        </is>
      </c>
      <c r="D1316" t="inlineStr">
        <is>
          <t>Western and Northern Europe</t>
        </is>
      </c>
      <c r="E1316" t="inlineStr">
        <is>
          <t>working_time_pressure_raw</t>
        </is>
      </c>
      <c r="F1316" t="inlineStr">
        <is>
          <t>Working time pressure raw</t>
        </is>
      </c>
      <c r="G1316" t="inlineStr">
        <is>
          <t>pressure</t>
        </is>
      </c>
      <c r="H1316" t="inlineStr">
        <is>
          <t>yes</t>
        </is>
      </c>
      <c r="I1316" t="inlineStr">
        <is>
          <t>37.27</t>
        </is>
      </c>
      <c r="J1316" t="inlineStr">
        <is>
          <t>ilo_ilostat</t>
        </is>
      </c>
      <c r="K1316" t="inlineStr">
        <is>
          <t>https://ilostat.ilo.org/data/indicator/?id=HOW_TEMP_SEX_ECO_NB_A&amp;ref_area=PRT</t>
        </is>
      </c>
      <c r="L1316" t="inlineStr">
        <is>
          <t>ILO ILOSTAT: Mean weekly hours actually worked per employed person</t>
        </is>
      </c>
      <c r="M1316" t="inlineStr">
        <is>
          <t>2025-12-31</t>
        </is>
      </c>
      <c r="N1316" t="inlineStr">
        <is>
          <t>auto_ingest=ilo_working_hours; indicator=HOW_TEMP_SEX_ECO_NB_A; year=2025; hours=37.27; country_proxy=Portugal</t>
        </is>
      </c>
    </row>
    <row r="1317">
      <c r="A1317" t="inlineStr">
        <is>
          <t>pt-braga</t>
        </is>
      </c>
      <c r="B1317" t="inlineStr">
        <is>
          <t>Braga</t>
        </is>
      </c>
      <c r="C1317" t="inlineStr">
        <is>
          <t>Portugal</t>
        </is>
      </c>
      <c r="D1317" t="inlineStr">
        <is>
          <t>Western and Northern Europe</t>
        </is>
      </c>
      <c r="E1317" t="inlineStr">
        <is>
          <t>suicide_mental_strain_raw</t>
        </is>
      </c>
      <c r="F1317" t="inlineStr">
        <is>
          <t>Suicide or mental strain raw</t>
        </is>
      </c>
      <c r="G1317" t="inlineStr">
        <is>
          <t>pressure</t>
        </is>
      </c>
      <c r="H1317" t="inlineStr">
        <is>
          <t>yes</t>
        </is>
      </c>
      <c r="I1317" t="inlineStr">
        <is>
          <t>11.52</t>
        </is>
      </c>
      <c r="J1317" t="inlineStr">
        <is>
          <t>who_gho</t>
        </is>
      </c>
      <c r="K1317" t="inlineStr">
        <is>
          <t>https://www.who.int/data/gho/data/indicators/indicator-details/GHO/SDGSUICIDE</t>
        </is>
      </c>
      <c r="L1317" t="inlineStr">
        <is>
          <t>WHO GHO: Age-standardized suicide rate (per 100,000 population)</t>
        </is>
      </c>
      <c r="M1317" t="inlineStr">
        <is>
          <t>2021-12-31</t>
        </is>
      </c>
      <c r="N1317" t="inlineStr">
        <is>
          <t>auto_ingest=who_gho; indicator=SDGSUICIDE; year=2021; country_proxy=Portugal</t>
        </is>
      </c>
    </row>
    <row r="1318">
      <c r="A1318" t="inlineStr">
        <is>
          <t>pt-braga</t>
        </is>
      </c>
      <c r="B1318" t="inlineStr">
        <is>
          <t>Braga</t>
        </is>
      </c>
      <c r="C1318" t="inlineStr">
        <is>
          <t>Portugal</t>
        </is>
      </c>
      <c r="D1318" t="inlineStr">
        <is>
          <t>Western and Northern Europe</t>
        </is>
      </c>
      <c r="E1318" t="inlineStr">
        <is>
          <t>personal_safety_raw</t>
        </is>
      </c>
      <c r="F1318" t="inlineStr">
        <is>
          <t>Personal safety raw</t>
        </is>
      </c>
      <c r="G1318" t="inlineStr">
        <is>
          <t>viability</t>
        </is>
      </c>
      <c r="H1318" t="inlineStr">
        <is>
          <t>yes</t>
        </is>
      </c>
      <c r="I1318" t="inlineStr">
        <is>
          <t>0.72</t>
        </is>
      </c>
      <c r="J1318" t="inlineStr">
        <is>
          <t>world_bank</t>
        </is>
      </c>
      <c r="K1318" t="inlineStr">
        <is>
          <t>https://api.worldbank.org/v2/country/PRT/indicator/VC.IHR.PSRC.P5?format=json&amp;mrv=10</t>
        </is>
      </c>
      <c r="L1318" t="inlineStr">
        <is>
          <t>UNODC via World Bank WDI: Intentional homicides (per 100,000 people)</t>
        </is>
      </c>
      <c r="M1318" t="inlineStr">
        <is>
          <t>2022-12-31</t>
        </is>
      </c>
      <c r="N1318" t="inlineStr">
        <is>
          <t>auto_ingest=unodc_safety; indicator=VC.IHR.PSRC.P5; year=2022; country_proxy=Portugal</t>
        </is>
      </c>
    </row>
    <row r="1319">
      <c r="A1319" t="inlineStr">
        <is>
          <t>pt-braga</t>
        </is>
      </c>
      <c r="B1319" t="inlineStr">
        <is>
          <t>Braga</t>
        </is>
      </c>
      <c r="C1319" t="inlineStr">
        <is>
          <t>Portugal</t>
        </is>
      </c>
      <c r="D1319" t="inlineStr">
        <is>
          <t>Western and Northern Europe</t>
        </is>
      </c>
      <c r="E1319" t="inlineStr">
        <is>
          <t>transit_access_commute_raw</t>
        </is>
      </c>
      <c r="F1319" t="inlineStr">
        <is>
          <t>Transit access and commute raw</t>
        </is>
      </c>
      <c r="G1319" t="inlineStr">
        <is>
          <t>viability</t>
        </is>
      </c>
      <c r="H1319" t="inlineStr">
        <is>
          <t>yes</t>
        </is>
      </c>
      <c r="I1319" t="inlineStr"/>
      <c r="J1319" t="inlineStr"/>
      <c r="K1319" t="inlineStr"/>
      <c r="L1319" t="inlineStr"/>
      <c r="M1319" t="inlineStr"/>
      <c r="N1319" t="inlineStr"/>
    </row>
    <row r="1320">
      <c r="A1320" t="inlineStr">
        <is>
          <t>pt-braga</t>
        </is>
      </c>
      <c r="B1320" t="inlineStr">
        <is>
          <t>Braga</t>
        </is>
      </c>
      <c r="C1320" t="inlineStr">
        <is>
          <t>Portugal</t>
        </is>
      </c>
      <c r="D1320" t="inlineStr">
        <is>
          <t>Western and Northern Europe</t>
        </is>
      </c>
      <c r="E1320" t="inlineStr">
        <is>
          <t>clean_air_raw</t>
        </is>
      </c>
      <c r="F1320" t="inlineStr">
        <is>
          <t>Clean air raw</t>
        </is>
      </c>
      <c r="G1320" t="inlineStr">
        <is>
          <t>viability</t>
        </is>
      </c>
      <c r="H1320" t="inlineStr">
        <is>
          <t>yes</t>
        </is>
      </c>
      <c r="I1320" t="inlineStr"/>
      <c r="J1320" t="inlineStr"/>
      <c r="K1320" t="inlineStr"/>
      <c r="L1320" t="inlineStr"/>
      <c r="M1320" t="inlineStr"/>
      <c r="N1320" t="inlineStr"/>
    </row>
    <row r="1321">
      <c r="A1321" t="inlineStr">
        <is>
          <t>pt-braga</t>
        </is>
      </c>
      <c r="B1321" t="inlineStr">
        <is>
          <t>Braga</t>
        </is>
      </c>
      <c r="C1321" t="inlineStr">
        <is>
          <t>Portugal</t>
        </is>
      </c>
      <c r="D1321" t="inlineStr">
        <is>
          <t>Western and Northern Europe</t>
        </is>
      </c>
      <c r="E1321" t="inlineStr">
        <is>
          <t>water_sanitation_utility_raw</t>
        </is>
      </c>
      <c r="F1321" t="inlineStr">
        <is>
          <t>Water, sanitation, and utility raw</t>
        </is>
      </c>
      <c r="G1321" t="inlineStr">
        <is>
          <t>viability</t>
        </is>
      </c>
      <c r="H1321" t="inlineStr">
        <is>
          <t>yes</t>
        </is>
      </c>
      <c r="I1321" t="inlineStr">
        <is>
          <t>95.22</t>
        </is>
      </c>
      <c r="J1321" t="inlineStr">
        <is>
          <t>world_bank</t>
        </is>
      </c>
      <c r="K1321" t="inlineStr">
        <is>
          <t>https://api.worldbank.org/v2/country/PRT/indicator/SH.H2O.SMDW.ZS?format=json&amp;mrv=10</t>
        </is>
      </c>
      <c r="L1321" t="inlineStr">
        <is>
          <t>World Bank WDI: People using safely managed drinking water services (% of population)</t>
        </is>
      </c>
      <c r="M1321" t="inlineStr">
        <is>
          <t>2024-12-31</t>
        </is>
      </c>
      <c r="N1321" t="inlineStr">
        <is>
          <t>auto_ingest=world_bank_proxy; indicator=SH.H2O.SMDW.ZS; year=2024; country_proxy=Portugal</t>
        </is>
      </c>
    </row>
    <row r="1322">
      <c r="A1322" t="inlineStr">
        <is>
          <t>pt-braga</t>
        </is>
      </c>
      <c r="B1322" t="inlineStr">
        <is>
          <t>Braga</t>
        </is>
      </c>
      <c r="C1322" t="inlineStr">
        <is>
          <t>Portugal</t>
        </is>
      </c>
      <c r="D1322" t="inlineStr">
        <is>
          <t>Western and Northern Europe</t>
        </is>
      </c>
      <c r="E1322" t="inlineStr">
        <is>
          <t>digital_infrastructure_raw</t>
        </is>
      </c>
      <c r="F1322" t="inlineStr">
        <is>
          <t>Digital infrastructure raw</t>
        </is>
      </c>
      <c r="G1322" t="inlineStr">
        <is>
          <t>viability</t>
        </is>
      </c>
      <c r="H1322" t="inlineStr">
        <is>
          <t>yes</t>
        </is>
      </c>
      <c r="I1322" t="inlineStr">
        <is>
          <t>44.11</t>
        </is>
      </c>
      <c r="J1322" t="inlineStr">
        <is>
          <t>world_bank</t>
        </is>
      </c>
      <c r="K1322" t="inlineStr">
        <is>
          <t>https://api.worldbank.org/v2/country/PRT/indicator/IT.NET.BBND.P2?format=json&amp;mrv=10</t>
        </is>
      </c>
      <c r="L1322" t="inlineStr">
        <is>
          <t>World Bank WDI: Fixed broadband subscriptions (per 100 people)</t>
        </is>
      </c>
      <c r="M1322" t="inlineStr">
        <is>
          <t>2023-12-31</t>
        </is>
      </c>
      <c r="N1322" t="inlineStr">
        <is>
          <t>auto_ingest=world_bank_proxy; indicator=IT.NET.BBND.P2; year=2023; country_proxy=Portugal</t>
        </is>
      </c>
    </row>
    <row r="1323">
      <c r="A1323" t="inlineStr">
        <is>
          <t>pt-braga</t>
        </is>
      </c>
      <c r="B1323" t="inlineStr">
        <is>
          <t>Braga</t>
        </is>
      </c>
      <c r="C1323" t="inlineStr">
        <is>
          <t>Portugal</t>
        </is>
      </c>
      <c r="D1323" t="inlineStr">
        <is>
          <t>Western and Northern Europe</t>
        </is>
      </c>
      <c r="E1323" t="inlineStr">
        <is>
          <t>climate_sunlight_livability_raw</t>
        </is>
      </c>
      <c r="F1323" t="inlineStr">
        <is>
          <t>Climate and sunlight livability raw</t>
        </is>
      </c>
      <c r="G1323" t="inlineStr">
        <is>
          <t>viability</t>
        </is>
      </c>
      <c r="H1323" t="inlineStr">
        <is>
          <t>yes</t>
        </is>
      </c>
      <c r="I1323" t="inlineStr">
        <is>
          <t>58</t>
        </is>
      </c>
      <c r="J1323" t="inlineStr">
        <is>
          <t>wmo_natl_met</t>
        </is>
      </c>
      <c r="K1323" t="inlineStr">
        <is>
          <t>https://worldweather.wmo.int</t>
        </is>
      </c>
      <c r="L1323" t="inlineStr">
        <is>
          <t>WMO/National Met: Climate livability composite</t>
        </is>
      </c>
      <c r="M1323" t="inlineStr">
        <is>
          <t>2024-12-31</t>
        </is>
      </c>
      <c r="N1323" t="inlineStr">
        <is>
          <t>auto_seed=climate_composite; 2200 sun hrs, 14C mean, rainy</t>
        </is>
      </c>
    </row>
    <row r="1324">
      <c r="A1324" t="inlineStr">
        <is>
          <t>pt-braga</t>
        </is>
      </c>
      <c r="B1324" t="inlineStr">
        <is>
          <t>Braga</t>
        </is>
      </c>
      <c r="C1324" t="inlineStr">
        <is>
          <t>Portugal</t>
        </is>
      </c>
      <c r="D1324" t="inlineStr">
        <is>
          <t>Western and Northern Europe</t>
        </is>
      </c>
      <c r="E1324" t="inlineStr">
        <is>
          <t>healthcare_quality_raw</t>
        </is>
      </c>
      <c r="F1324" t="inlineStr">
        <is>
          <t>Healthcare quality raw</t>
        </is>
      </c>
      <c r="G1324" t="inlineStr">
        <is>
          <t>capability</t>
        </is>
      </c>
      <c r="H1324" t="inlineStr">
        <is>
          <t>yes</t>
        </is>
      </c>
      <c r="I1324" t="inlineStr">
        <is>
          <t>83.0</t>
        </is>
      </c>
      <c r="J1324" t="inlineStr">
        <is>
          <t>who_gho</t>
        </is>
      </c>
      <c r="K1324" t="inlineStr">
        <is>
          <t>https://www.who.int/data/gho/data/indicators/indicator-details/GHO/UHC_INDEX_REPORTED</t>
        </is>
      </c>
      <c r="L1324" t="inlineStr">
        <is>
          <t>WHO GHO: UHC Service Coverage Index</t>
        </is>
      </c>
      <c r="M1324" t="inlineStr">
        <is>
          <t>2023-12-31</t>
        </is>
      </c>
      <c r="N1324" t="inlineStr">
        <is>
          <t>auto_ingest=who_gho; indicator=UHC_INDEX_REPORTED; year=2023; country_proxy=Portugal</t>
        </is>
      </c>
    </row>
    <row r="1325">
      <c r="A1325" t="inlineStr">
        <is>
          <t>pt-braga</t>
        </is>
      </c>
      <c r="B1325" t="inlineStr">
        <is>
          <t>Braga</t>
        </is>
      </c>
      <c r="C1325" t="inlineStr">
        <is>
          <t>Portugal</t>
        </is>
      </c>
      <c r="D1325" t="inlineStr">
        <is>
          <t>Western and Northern Europe</t>
        </is>
      </c>
      <c r="E1325" t="inlineStr">
        <is>
          <t>education_quality_raw</t>
        </is>
      </c>
      <c r="F1325" t="inlineStr">
        <is>
          <t>Education quality raw</t>
        </is>
      </c>
      <c r="G1325" t="inlineStr">
        <is>
          <t>capability</t>
        </is>
      </c>
      <c r="H1325" t="inlineStr">
        <is>
          <t>yes</t>
        </is>
      </c>
      <c r="I1325" t="inlineStr">
        <is>
          <t>77.68</t>
        </is>
      </c>
      <c r="J1325" t="inlineStr">
        <is>
          <t>world_bank</t>
        </is>
      </c>
      <c r="K1325" t="inlineStr">
        <is>
          <t>https://api.worldbank.org/v2/country/PRT/indicator/SE.TER.ENRR?format=json&amp;mrv=10</t>
        </is>
      </c>
      <c r="L1325" t="inlineStr">
        <is>
          <t>World Bank WDI: School enrollment, tertiary (% gross)</t>
        </is>
      </c>
      <c r="M1325" t="inlineStr">
        <is>
          <t>2023-12-31</t>
        </is>
      </c>
      <c r="N1325" t="inlineStr">
        <is>
          <t>auto_ingest=world_bank_proxy; indicator=SE.TER.ENRR; year=2023; country_proxy=Portugal</t>
        </is>
      </c>
    </row>
    <row r="1326">
      <c r="A1326" t="inlineStr">
        <is>
          <t>pt-braga</t>
        </is>
      </c>
      <c r="B1326" t="inlineStr">
        <is>
          <t>Braga</t>
        </is>
      </c>
      <c r="C1326" t="inlineStr">
        <is>
          <t>Portugal</t>
        </is>
      </c>
      <c r="D1326" t="inlineStr">
        <is>
          <t>Western and Northern Europe</t>
        </is>
      </c>
      <c r="E1326" t="inlineStr">
        <is>
          <t>equal_opportunity_raw</t>
        </is>
      </c>
      <c r="F1326" t="inlineStr">
        <is>
          <t>Equal opportunity raw</t>
        </is>
      </c>
      <c r="G1326" t="inlineStr">
        <is>
          <t>capability</t>
        </is>
      </c>
      <c r="H1326" t="inlineStr">
        <is>
          <t>yes</t>
        </is>
      </c>
      <c r="I1326" t="inlineStr">
        <is>
          <t>33.9</t>
        </is>
      </c>
      <c r="J1326" t="inlineStr">
        <is>
          <t>world_bank</t>
        </is>
      </c>
      <c r="K1326" t="inlineStr">
        <is>
          <t>https://api.worldbank.org/v2/country/PRT/indicator/SI.POV.GINI?format=json&amp;mrv=10</t>
        </is>
      </c>
      <c r="L1326" t="inlineStr">
        <is>
          <t>World Bank WDI: Gini index</t>
        </is>
      </c>
      <c r="M1326" t="inlineStr">
        <is>
          <t>2023-12-31</t>
        </is>
      </c>
      <c r="N1326" t="inlineStr">
        <is>
          <t>auto_ingest=world_bank_capability; indicator=SI.POV.GINI; year=2023; country_proxy=Portugal</t>
        </is>
      </c>
    </row>
    <row r="1327">
      <c r="A1327" t="inlineStr">
        <is>
          <t>pt-braga</t>
        </is>
      </c>
      <c r="B1327" t="inlineStr">
        <is>
          <t>Braga</t>
        </is>
      </c>
      <c r="C1327" t="inlineStr">
        <is>
          <t>Portugal</t>
        </is>
      </c>
      <c r="D1327" t="inlineStr">
        <is>
          <t>Western and Northern Europe</t>
        </is>
      </c>
      <c r="E1327" t="inlineStr">
        <is>
          <t>hospitality_belonging_raw</t>
        </is>
      </c>
      <c r="F1327" t="inlineStr">
        <is>
          <t>Hospitality and belonging raw</t>
        </is>
      </c>
      <c r="G1327" t="inlineStr">
        <is>
          <t>community</t>
        </is>
      </c>
      <c r="H1327" t="inlineStr">
        <is>
          <t>yes</t>
        </is>
      </c>
      <c r="I1327" t="inlineStr">
        <is>
          <t>51.54</t>
        </is>
      </c>
      <c r="J1327" t="inlineStr">
        <is>
          <t>world_bank</t>
        </is>
      </c>
      <c r="K1327" t="inlineStr">
        <is>
          <t>https://api.worldbank.org/v2/country/PRT/indicator/SM.POP.NETM?format=json&amp;mrv=10</t>
        </is>
      </c>
      <c r="L1327" t="inlineStr">
        <is>
          <t>World Bank WDI: Net migration (proxy for hospitality/belonging — positive = welcoming)</t>
        </is>
      </c>
      <c r="M1327" t="inlineStr">
        <is>
          <t>2025-12-31</t>
        </is>
      </c>
      <c r="N1327" t="inlineStr">
        <is>
          <t>auto_ingest=world_bank_proxy; proxy=net_migration_hospitality; indicator=SM.POP.NETM; year=2025; country_proxy=Portugal</t>
        </is>
      </c>
    </row>
    <row r="1328">
      <c r="A1328" t="inlineStr">
        <is>
          <t>pt-braga</t>
        </is>
      </c>
      <c r="B1328" t="inlineStr">
        <is>
          <t>Braga</t>
        </is>
      </c>
      <c r="C1328" t="inlineStr">
        <is>
          <t>Portugal</t>
        </is>
      </c>
      <c r="D1328" t="inlineStr">
        <is>
          <t>Western and Northern Europe</t>
        </is>
      </c>
      <c r="E1328" t="inlineStr">
        <is>
          <t>tolerance_pluralism_raw</t>
        </is>
      </c>
      <c r="F1328" t="inlineStr">
        <is>
          <t>Tolerance and pluralism raw</t>
        </is>
      </c>
      <c r="G1328" t="inlineStr">
        <is>
          <t>community</t>
        </is>
      </c>
      <c r="H1328" t="inlineStr">
        <is>
          <t>yes</t>
        </is>
      </c>
      <c r="I1328" t="inlineStr">
        <is>
          <t>32.61</t>
        </is>
      </c>
      <c r="J1328" t="inlineStr">
        <is>
          <t>world_bank</t>
        </is>
      </c>
      <c r="K1328" t="inlineStr">
        <is>
          <t>https://api.worldbank.org/v2/country/PRT/indicator/SG.GEN.PARL.ZS?format=json&amp;mrv=10</t>
        </is>
      </c>
      <c r="L1328" t="inlineStr">
        <is>
          <t>World Bank WDI: Proportion of seats held by women in national parliaments (%)</t>
        </is>
      </c>
      <c r="M1328" t="inlineStr">
        <is>
          <t>2024-12-31</t>
        </is>
      </c>
      <c r="N1328" t="inlineStr">
        <is>
          <t>auto_ingest=world_bank_proxy; proxy=gender_parity_parliament; indicator=SG.GEN.PARL.ZS; year=2024; country_proxy=Portugal</t>
        </is>
      </c>
    </row>
    <row r="1329">
      <c r="A1329" t="inlineStr">
        <is>
          <t>pt-braga</t>
        </is>
      </c>
      <c r="B1329" t="inlineStr">
        <is>
          <t>Braga</t>
        </is>
      </c>
      <c r="C1329" t="inlineStr">
        <is>
          <t>Portugal</t>
        </is>
      </c>
      <c r="D1329" t="inlineStr">
        <is>
          <t>Western and Northern Europe</t>
        </is>
      </c>
      <c r="E1329" t="inlineStr">
        <is>
          <t>cultural_public_life_raw</t>
        </is>
      </c>
      <c r="F1329" t="inlineStr">
        <is>
          <t>Cultural public life raw</t>
        </is>
      </c>
      <c r="G1329" t="inlineStr">
        <is>
          <t>community</t>
        </is>
      </c>
      <c r="H1329" t="inlineStr">
        <is>
          <t>yes</t>
        </is>
      </c>
      <c r="I1329" t="inlineStr">
        <is>
          <t>393.47</t>
        </is>
      </c>
      <c r="J1329" t="inlineStr">
        <is>
          <t>world_bank</t>
        </is>
      </c>
      <c r="K1329" t="inlineStr">
        <is>
          <t>https://api.worldbank.org/v2/country/PRT/indicator/ST.INT.ARVL?format=json&amp;mrv=10</t>
        </is>
      </c>
      <c r="L1329" t="inlineStr">
        <is>
          <t>World Bank WDI: International tourism arrivals per 1 000 population</t>
        </is>
      </c>
      <c r="M1329" t="inlineStr">
        <is>
          <t>2020-12-31</t>
        </is>
      </c>
      <c r="N1329" t="inlineStr">
        <is>
          <t>auto_ingest=cultural_life_proxy; indicator=ST.INT.ARVL; norm=per_1000_pop; year=2020; country_proxy=Portugal</t>
        </is>
      </c>
    </row>
    <row r="1330">
      <c r="A1330" t="inlineStr">
        <is>
          <t>pt-braga</t>
        </is>
      </c>
      <c r="B1330" t="inlineStr">
        <is>
          <t>Braga</t>
        </is>
      </c>
      <c r="C1330" t="inlineStr">
        <is>
          <t>Portugal</t>
        </is>
      </c>
      <c r="D1330" t="inlineStr">
        <is>
          <t>Western and Northern Europe</t>
        </is>
      </c>
      <c r="E1330" t="inlineStr">
        <is>
          <t>birth_rate_optimism_raw</t>
        </is>
      </c>
      <c r="F1330" t="inlineStr">
        <is>
          <t>Birth rate and societal optimism raw</t>
        </is>
      </c>
      <c r="G1330" t="inlineStr">
        <is>
          <t>community</t>
        </is>
      </c>
      <c r="H1330" t="inlineStr">
        <is>
          <t>yes</t>
        </is>
      </c>
      <c r="I1330" t="inlineStr">
        <is>
          <t>1.43</t>
        </is>
      </c>
      <c r="J1330" t="inlineStr">
        <is>
          <t>world_bank</t>
        </is>
      </c>
      <c r="K1330" t="inlineStr">
        <is>
          <t>https://data.worldbank.org/indicator/SP.DYN.TFRT.IN</t>
        </is>
      </c>
      <c r="L1330" t="inlineStr">
        <is>
          <t>World Bank Total Fertility Rate 2023</t>
        </is>
      </c>
      <c r="M1330" t="inlineStr">
        <is>
          <t>2024-01-01</t>
        </is>
      </c>
      <c r="N1330" t="inlineStr"/>
    </row>
    <row r="1331">
      <c r="A1331" t="inlineStr">
        <is>
          <t>pt-braga</t>
        </is>
      </c>
      <c r="B1331" t="inlineStr">
        <is>
          <t>Braga</t>
        </is>
      </c>
      <c r="C1331" t="inlineStr">
        <is>
          <t>Portugal</t>
        </is>
      </c>
      <c r="D1331" t="inlineStr">
        <is>
          <t>Western and Northern Europe</t>
        </is>
      </c>
      <c r="E1331" t="inlineStr">
        <is>
          <t>entrepreneurial_dynamism_raw</t>
        </is>
      </c>
      <c r="F1331" t="inlineStr">
        <is>
          <t>Entrepreneurial dynamism raw</t>
        </is>
      </c>
      <c r="G1331" t="inlineStr">
        <is>
          <t>creative</t>
        </is>
      </c>
      <c r="H1331" t="inlineStr">
        <is>
          <t>yes</t>
        </is>
      </c>
      <c r="I1331" t="inlineStr">
        <is>
          <t>6.95</t>
        </is>
      </c>
      <c r="J1331" t="inlineStr">
        <is>
          <t>world_bank</t>
        </is>
      </c>
      <c r="K1331" t="inlineStr">
        <is>
          <t>https://api.worldbank.org/v2/country/PRT/indicator/IC.BUS.NDNS.ZS?format=json&amp;mrv=10</t>
        </is>
      </c>
      <c r="L1331" t="inlineStr">
        <is>
          <t>World Bank WDI: New business density (new registrations per 1,000 people ages 15-64)</t>
        </is>
      </c>
      <c r="M1331" t="inlineStr">
        <is>
          <t>2022-12-31</t>
        </is>
      </c>
      <c r="N1331" t="inlineStr">
        <is>
          <t>auto_ingest=world_bank_creative_extended; indicator=IC.BUS.NDNS.ZS; year=2022; country_proxy=Portugal</t>
        </is>
      </c>
    </row>
    <row r="1332">
      <c r="A1332" t="inlineStr">
        <is>
          <t>pt-braga</t>
        </is>
      </c>
      <c r="B1332" t="inlineStr">
        <is>
          <t>Braga</t>
        </is>
      </c>
      <c r="C1332" t="inlineStr">
        <is>
          <t>Portugal</t>
        </is>
      </c>
      <c r="D1332" t="inlineStr">
        <is>
          <t>Western and Northern Europe</t>
        </is>
      </c>
      <c r="E1332" t="inlineStr">
        <is>
          <t>innovation_research_intensity_raw</t>
        </is>
      </c>
      <c r="F1332" t="inlineStr">
        <is>
          <t>Innovation and research raw</t>
        </is>
      </c>
      <c r="G1332" t="inlineStr">
        <is>
          <t>creative</t>
        </is>
      </c>
      <c r="H1332" t="inlineStr">
        <is>
          <t>yes</t>
        </is>
      </c>
      <c r="I1332" t="inlineStr">
        <is>
          <t>1.7</t>
        </is>
      </c>
      <c r="J1332" t="inlineStr">
        <is>
          <t>world_bank</t>
        </is>
      </c>
      <c r="K1332" t="inlineStr">
        <is>
          <t>https://api.worldbank.org/v2/country/PRT/indicator/GB.XPD.RSDV.GD.ZS?format=json&amp;mrv=10</t>
        </is>
      </c>
      <c r="L1332" t="inlineStr">
        <is>
          <t>World Bank WDI: Research and development expenditure (% of GDP)</t>
        </is>
      </c>
      <c r="M1332" t="inlineStr">
        <is>
          <t>2022-12-31</t>
        </is>
      </c>
      <c r="N1332" t="inlineStr">
        <is>
          <t>auto_ingest=world_bank_creative_extended; indicator=GB.XPD.RSDV.GD.ZS; year=2022; country_proxy=Portugal</t>
        </is>
      </c>
    </row>
    <row r="1333">
      <c r="A1333" t="inlineStr">
        <is>
          <t>pt-braga</t>
        </is>
      </c>
      <c r="B1333" t="inlineStr">
        <is>
          <t>Braga</t>
        </is>
      </c>
      <c r="C1333" t="inlineStr">
        <is>
          <t>Portugal</t>
        </is>
      </c>
      <c r="D1333" t="inlineStr">
        <is>
          <t>Western and Northern Europe</t>
        </is>
      </c>
      <c r="E1333" t="inlineStr">
        <is>
          <t>investment_signal_raw</t>
        </is>
      </c>
      <c r="F1333" t="inlineStr">
        <is>
          <t>Investment signal raw</t>
        </is>
      </c>
      <c r="G1333" t="inlineStr">
        <is>
          <t>creative</t>
        </is>
      </c>
      <c r="H1333" t="inlineStr">
        <is>
          <t>yes</t>
        </is>
      </c>
      <c r="I1333" t="inlineStr">
        <is>
          <t>4.31</t>
        </is>
      </c>
      <c r="J1333" t="inlineStr">
        <is>
          <t>world_bank</t>
        </is>
      </c>
      <c r="K1333" t="inlineStr">
        <is>
          <t>https://api.worldbank.org/v2/country/PRT/indicator/BX.KLT.DINV.WD.GD.ZS?format=json&amp;mrv=10</t>
        </is>
      </c>
      <c r="L1333" t="inlineStr">
        <is>
          <t>World Bank WDI: Foreign direct investment, net inflows (% of GDP)</t>
        </is>
      </c>
      <c r="M1333" t="inlineStr">
        <is>
          <t>2024-12-31</t>
        </is>
      </c>
      <c r="N1333" t="inlineStr">
        <is>
          <t>auto_ingest=world_bank_creative_extended; indicator=BX.KLT.DINV.WD.GD.ZS; year=2024; country_proxy=Portugal</t>
        </is>
      </c>
    </row>
    <row r="1334">
      <c r="A1334" t="inlineStr">
        <is>
          <t>pt-braga</t>
        </is>
      </c>
      <c r="B1334" t="inlineStr">
        <is>
          <t>Braga</t>
        </is>
      </c>
      <c r="C1334" t="inlineStr">
        <is>
          <t>Portugal</t>
        </is>
      </c>
      <c r="D1334" t="inlineStr">
        <is>
          <t>Western and Northern Europe</t>
        </is>
      </c>
      <c r="E1334" t="inlineStr">
        <is>
          <t>administrative_investment_friction_raw</t>
        </is>
      </c>
      <c r="F1334" t="inlineStr">
        <is>
          <t>Administrative investment friction raw</t>
        </is>
      </c>
      <c r="G1334" t="inlineStr">
        <is>
          <t>creative</t>
        </is>
      </c>
      <c r="H1334" t="inlineStr">
        <is>
          <t>yes</t>
        </is>
      </c>
      <c r="I1334" t="inlineStr">
        <is>
          <t>1.74</t>
        </is>
      </c>
      <c r="J1334" t="inlineStr">
        <is>
          <t>world_bank</t>
        </is>
      </c>
      <c r="K1334" t="inlineStr">
        <is>
          <t>https://api.worldbank.org/v2/country/PRT/indicator/RQ.EST?format=json&amp;mrv=10</t>
        </is>
      </c>
      <c r="L1334" t="inlineStr">
        <is>
          <t>World Bank WGI: Regulatory Quality (inverted as friction proxy)</t>
        </is>
      </c>
      <c r="M1334" t="inlineStr">
        <is>
          <t>2023-12-31</t>
        </is>
      </c>
      <c r="N1334" t="inlineStr">
        <is>
          <t>auto_ingest=world_bank_business_friction; indicator=RQ.EST; raw_rq=0.755356550216675; friction=1.74; year=2023; country_proxy=Portugal</t>
        </is>
      </c>
    </row>
    <row r="1335">
      <c r="A1335" t="inlineStr">
        <is>
          <t>pt-braga</t>
        </is>
      </c>
      <c r="B1335" t="inlineStr">
        <is>
          <t>Braga</t>
        </is>
      </c>
      <c r="C1335" t="inlineStr">
        <is>
          <t>Portugal</t>
        </is>
      </c>
      <c r="D1335" t="inlineStr">
        <is>
          <t>Western and Northern Europe</t>
        </is>
      </c>
      <c r="E1335" t="inlineStr">
        <is>
          <t>visitor_flow_context_raw</t>
        </is>
      </c>
      <c r="F1335" t="inlineStr">
        <is>
          <t>Visitor flow context raw</t>
        </is>
      </c>
      <c r="G1335" t="inlineStr">
        <is>
          <t>creative</t>
        </is>
      </c>
      <c r="H1335" t="inlineStr">
        <is>
          <t>no</t>
        </is>
      </c>
      <c r="I1335" t="inlineStr"/>
      <c r="J1335" t="inlineStr"/>
      <c r="K1335" t="inlineStr"/>
      <c r="L1335" t="inlineStr"/>
      <c r="M1335" t="inlineStr"/>
      <c r="N1335" t="inlineStr"/>
    </row>
    <row r="1336">
      <c r="A1336" t="inlineStr">
        <is>
          <t>ee-tallinn</t>
        </is>
      </c>
      <c r="B1336" t="inlineStr">
        <is>
          <t>Tallinn</t>
        </is>
      </c>
      <c r="C1336" t="inlineStr">
        <is>
          <t>Estonia</t>
        </is>
      </c>
      <c r="D1336" t="inlineStr">
        <is>
          <t>Western and Northern Europe</t>
        </is>
      </c>
      <c r="E1336" t="inlineStr">
        <is>
          <t>gross_income</t>
        </is>
      </c>
      <c r="F1336" t="inlineStr">
        <is>
          <t>Gross income</t>
        </is>
      </c>
      <c r="G1336" t="inlineStr">
        <is>
          <t>pressure</t>
        </is>
      </c>
      <c r="H1336" t="inlineStr">
        <is>
          <t>yes</t>
        </is>
      </c>
      <c r="I1336" t="inlineStr">
        <is>
          <t>4073.33</t>
        </is>
      </c>
      <c r="J1336" t="inlineStr">
        <is>
          <t>world_bank_col_estimate</t>
        </is>
      </c>
      <c r="K1336" t="inlineStr">
        <is>
          <t>https://api.worldbank.org/v2/country/EST/indicator/NY.GNP.PCAP.PP.CD?format=json&amp;mrv=10</t>
        </is>
      </c>
      <c r="L1336" t="inlineStr">
        <is>
          <t>World Bank WDI: GNI per capita PPP (monthly USD)</t>
        </is>
      </c>
      <c r="M1336" t="inlineStr">
        <is>
          <t>2024-12-31</t>
        </is>
      </c>
      <c r="N1336" t="inlineStr">
        <is>
          <t>auto_ingest=world_bank_col_estimate; gni_annual=48880.0; year=2024; country_proxy=Estonia; cohort=Western, Northern, and Southern Europe</t>
        </is>
      </c>
    </row>
    <row r="1337">
      <c r="A1337" t="inlineStr">
        <is>
          <t>ee-tallinn</t>
        </is>
      </c>
      <c r="B1337" t="inlineStr">
        <is>
          <t>Tallinn</t>
        </is>
      </c>
      <c r="C1337" t="inlineStr">
        <is>
          <t>Estonia</t>
        </is>
      </c>
      <c r="D1337" t="inlineStr">
        <is>
          <t>Western, Northern, and Southern Europe</t>
        </is>
      </c>
      <c r="E1337" t="inlineStr">
        <is>
          <t>di_ppp_raw</t>
        </is>
      </c>
      <c r="F1337" t="inlineStr">
        <is>
          <t>Disposable income PPP (Raw)</t>
        </is>
      </c>
      <c r="G1337" t="inlineStr">
        <is>
          <t>pressure</t>
        </is>
      </c>
      <c r="H1337" t="inlineStr">
        <is>
          <t>yes</t>
        </is>
      </c>
      <c r="I1337" t="inlineStr"/>
      <c r="J1337" t="inlineStr"/>
      <c r="K1337" t="inlineStr"/>
      <c r="L1337" t="inlineStr"/>
      <c r="M1337" t="inlineStr"/>
      <c r="N1337" t="inlineStr"/>
    </row>
    <row r="1338">
      <c r="A1338" t="inlineStr">
        <is>
          <t>ee-tallinn</t>
        </is>
      </c>
      <c r="B1338" t="inlineStr">
        <is>
          <t>Tallinn</t>
        </is>
      </c>
      <c r="C1338" t="inlineStr">
        <is>
          <t>Estonia</t>
        </is>
      </c>
      <c r="D1338" t="inlineStr">
        <is>
          <t>Western and Northern Europe</t>
        </is>
      </c>
      <c r="E1338" t="inlineStr">
        <is>
          <t>rent</t>
        </is>
      </c>
      <c r="F1338" t="inlineStr">
        <is>
          <t>Rent</t>
        </is>
      </c>
      <c r="G1338" t="inlineStr">
        <is>
          <t>pressure</t>
        </is>
      </c>
      <c r="H1338" t="inlineStr">
        <is>
          <t>yes</t>
        </is>
      </c>
      <c r="I1338" t="inlineStr">
        <is>
          <t>1283.1</t>
        </is>
      </c>
      <c r="J1338" t="inlineStr">
        <is>
          <t>world_bank_col_estimate</t>
        </is>
      </c>
      <c r="K1338" t="inlineStr">
        <is>
          <t>https://api.worldbank.org/v2/country/EST/indicator/NY.GNP.PCAP.PP.CD?format=json&amp;mrv=10</t>
        </is>
      </c>
      <c r="L1338" t="inlineStr">
        <is>
          <t>World Bank GNI + regional expenditure ratio estimate</t>
        </is>
      </c>
      <c r="M1338" t="inlineStr">
        <is>
          <t>2024-12-31</t>
        </is>
      </c>
      <c r="N1338" t="inlineStr">
        <is>
          <t>auto_ingest=world_bank_col_estimate; gni_annual=48880.0; year=2024; country_proxy=Estonia; cohort=Western, Northern, and Southern Europe; city_cost_mult=0.9</t>
        </is>
      </c>
    </row>
    <row r="1339">
      <c r="A1339" t="inlineStr">
        <is>
          <t>ee-tallinn</t>
        </is>
      </c>
      <c r="B1339" t="inlineStr">
        <is>
          <t>Tallinn</t>
        </is>
      </c>
      <c r="C1339" t="inlineStr">
        <is>
          <t>Estonia</t>
        </is>
      </c>
      <c r="D1339" t="inlineStr">
        <is>
          <t>Western and Northern Europe</t>
        </is>
      </c>
      <c r="E1339" t="inlineStr">
        <is>
          <t>utilities</t>
        </is>
      </c>
      <c r="F1339" t="inlineStr">
        <is>
          <t>Utilities</t>
        </is>
      </c>
      <c r="G1339" t="inlineStr">
        <is>
          <t>pressure</t>
        </is>
      </c>
      <c r="H1339" t="inlineStr">
        <is>
          <t>yes</t>
        </is>
      </c>
      <c r="I1339" t="inlineStr">
        <is>
          <t>256.62</t>
        </is>
      </c>
      <c r="J1339" t="inlineStr">
        <is>
          <t>world_bank_col_estimate</t>
        </is>
      </c>
      <c r="K1339" t="inlineStr">
        <is>
          <t>https://api.worldbank.org/v2/country/EST/indicator/NY.GNP.PCAP.PP.CD?format=json&amp;mrv=10</t>
        </is>
      </c>
      <c r="L1339" t="inlineStr">
        <is>
          <t>World Bank GNI + regional expenditure ratio estimate</t>
        </is>
      </c>
      <c r="M1339" t="inlineStr">
        <is>
          <t>2024-12-31</t>
        </is>
      </c>
      <c r="N1339" t="inlineStr">
        <is>
          <t>auto_ingest=world_bank_col_estimate; gni_annual=48880.0; year=2024; country_proxy=Estonia; cohort=Western, Northern, and Southern Europe; city_cost_mult=0.9</t>
        </is>
      </c>
    </row>
    <row r="1340">
      <c r="A1340" t="inlineStr">
        <is>
          <t>ee-tallinn</t>
        </is>
      </c>
      <c r="B1340" t="inlineStr">
        <is>
          <t>Tallinn</t>
        </is>
      </c>
      <c r="C1340" t="inlineStr">
        <is>
          <t>Estonia</t>
        </is>
      </c>
      <c r="D1340" t="inlineStr">
        <is>
          <t>Western and Northern Europe</t>
        </is>
      </c>
      <c r="E1340" t="inlineStr">
        <is>
          <t>transit_cost</t>
        </is>
      </c>
      <c r="F1340" t="inlineStr">
        <is>
          <t>Transit cost</t>
        </is>
      </c>
      <c r="G1340" t="inlineStr">
        <is>
          <t>pressure</t>
        </is>
      </c>
      <c r="H1340" t="inlineStr">
        <is>
          <t>yes</t>
        </is>
      </c>
      <c r="I1340" t="inlineStr">
        <is>
          <t>183.3</t>
        </is>
      </c>
      <c r="J1340" t="inlineStr">
        <is>
          <t>world_bank_col_estimate</t>
        </is>
      </c>
      <c r="K1340" t="inlineStr">
        <is>
          <t>https://api.worldbank.org/v2/country/EST/indicator/NY.GNP.PCAP.PP.CD?format=json&amp;mrv=10</t>
        </is>
      </c>
      <c r="L1340" t="inlineStr">
        <is>
          <t>World Bank GNI + regional expenditure ratio estimate</t>
        </is>
      </c>
      <c r="M1340" t="inlineStr">
        <is>
          <t>2024-12-31</t>
        </is>
      </c>
      <c r="N1340" t="inlineStr">
        <is>
          <t>auto_ingest=world_bank_col_estimate; gni_annual=48880.0; year=2024; country_proxy=Estonia; cohort=Western, Northern, and Southern Europe; city_cost_mult=0.9</t>
        </is>
      </c>
    </row>
    <row r="1341">
      <c r="A1341" t="inlineStr">
        <is>
          <t>ee-tallinn</t>
        </is>
      </c>
      <c r="B1341" t="inlineStr">
        <is>
          <t>Tallinn</t>
        </is>
      </c>
      <c r="C1341" t="inlineStr">
        <is>
          <t>Estonia</t>
        </is>
      </c>
      <c r="D1341" t="inlineStr">
        <is>
          <t>Western and Northern Europe</t>
        </is>
      </c>
      <c r="E1341" t="inlineStr">
        <is>
          <t>internet_cost</t>
        </is>
      </c>
      <c r="F1341" t="inlineStr">
        <is>
          <t>Internet cost</t>
        </is>
      </c>
      <c r="G1341" t="inlineStr">
        <is>
          <t>pressure</t>
        </is>
      </c>
      <c r="H1341" t="inlineStr">
        <is>
          <t>yes</t>
        </is>
      </c>
      <c r="I1341" t="inlineStr">
        <is>
          <t>54.99</t>
        </is>
      </c>
      <c r="J1341" t="inlineStr">
        <is>
          <t>world_bank_col_estimate</t>
        </is>
      </c>
      <c r="K1341" t="inlineStr">
        <is>
          <t>https://api.worldbank.org/v2/country/EST/indicator/NY.GNP.PCAP.PP.CD?format=json&amp;mrv=10</t>
        </is>
      </c>
      <c r="L1341" t="inlineStr">
        <is>
          <t>World Bank GNI + regional expenditure ratio estimate</t>
        </is>
      </c>
      <c r="M1341" t="inlineStr">
        <is>
          <t>2024-12-31</t>
        </is>
      </c>
      <c r="N1341" t="inlineStr">
        <is>
          <t>auto_ingest=world_bank_col_estimate; gni_annual=48880.0; year=2024; country_proxy=Estonia; cohort=Western, Northern, and Southern Europe; city_cost_mult=0.9</t>
        </is>
      </c>
    </row>
    <row r="1342">
      <c r="A1342" t="inlineStr">
        <is>
          <t>ee-tallinn</t>
        </is>
      </c>
      <c r="B1342" t="inlineStr">
        <is>
          <t>Tallinn</t>
        </is>
      </c>
      <c r="C1342" t="inlineStr">
        <is>
          <t>Estonia</t>
        </is>
      </c>
      <c r="D1342" t="inlineStr">
        <is>
          <t>Western and Northern Europe</t>
        </is>
      </c>
      <c r="E1342" t="inlineStr">
        <is>
          <t>food_cost</t>
        </is>
      </c>
      <c r="F1342" t="inlineStr">
        <is>
          <t>Food cost</t>
        </is>
      </c>
      <c r="G1342" t="inlineStr">
        <is>
          <t>pressure</t>
        </is>
      </c>
      <c r="H1342" t="inlineStr">
        <is>
          <t>yes</t>
        </is>
      </c>
      <c r="I1342" t="inlineStr">
        <is>
          <t>549.9</t>
        </is>
      </c>
      <c r="J1342" t="inlineStr">
        <is>
          <t>world_bank_col_estimate</t>
        </is>
      </c>
      <c r="K1342" t="inlineStr">
        <is>
          <t>https://api.worldbank.org/v2/country/EST/indicator/NY.GNP.PCAP.PP.CD?format=json&amp;mrv=10</t>
        </is>
      </c>
      <c r="L1342" t="inlineStr">
        <is>
          <t>World Bank GNI + regional expenditure ratio estimate</t>
        </is>
      </c>
      <c r="M1342" t="inlineStr">
        <is>
          <t>2024-12-31</t>
        </is>
      </c>
      <c r="N1342" t="inlineStr">
        <is>
          <t>auto_ingest=world_bank_col_estimate; gni_annual=48880.0; year=2024; country_proxy=Estonia; cohort=Western, Northern, and Southern Europe; city_cost_mult=0.9</t>
        </is>
      </c>
    </row>
    <row r="1343">
      <c r="A1343" t="inlineStr">
        <is>
          <t>ee-tallinn</t>
        </is>
      </c>
      <c r="B1343" t="inlineStr">
        <is>
          <t>Tallinn</t>
        </is>
      </c>
      <c r="C1343" t="inlineStr">
        <is>
          <t>Estonia</t>
        </is>
      </c>
      <c r="D1343" t="inlineStr">
        <is>
          <t>Western and Northern Europe</t>
        </is>
      </c>
      <c r="E1343" t="inlineStr">
        <is>
          <t>housing_burden_raw</t>
        </is>
      </c>
      <c r="F1343" t="inlineStr">
        <is>
          <t>Housing burden raw</t>
        </is>
      </c>
      <c r="G1343" t="inlineStr">
        <is>
          <t>pressure</t>
        </is>
      </c>
      <c r="H1343" t="inlineStr">
        <is>
          <t>yes</t>
        </is>
      </c>
      <c r="I1343" t="inlineStr">
        <is>
          <t>31.5</t>
        </is>
      </c>
      <c r="J1343" t="inlineStr">
        <is>
          <t>derived</t>
        </is>
      </c>
      <c r="K1343" t="inlineStr">
        <is>
          <t>https://data.worldbank.org/indicator/NY.GNP.PCAP.PP.CD</t>
        </is>
      </c>
      <c r="L1343" t="inlineStr">
        <is>
          <t>Computed from city_inputs + country_context</t>
        </is>
      </c>
      <c r="M1343" t="inlineStr">
        <is>
          <t>2024-01-01</t>
        </is>
      </c>
      <c r="N1343" t="inlineStr">
        <is>
          <t>derived=rent/gross_income*100</t>
        </is>
      </c>
    </row>
    <row r="1344">
      <c r="A1344" t="inlineStr">
        <is>
          <t>ee-tallinn</t>
        </is>
      </c>
      <c r="B1344" t="inlineStr">
        <is>
          <t>Tallinn</t>
        </is>
      </c>
      <c r="C1344" t="inlineStr">
        <is>
          <t>Estonia</t>
        </is>
      </c>
      <c r="D1344" t="inlineStr">
        <is>
          <t>Western and Northern Europe</t>
        </is>
      </c>
      <c r="E1344" t="inlineStr">
        <is>
          <t>household_debt_burden_raw</t>
        </is>
      </c>
      <c r="F1344" t="inlineStr">
        <is>
          <t>Household debt burden raw</t>
        </is>
      </c>
      <c r="G1344" t="inlineStr">
        <is>
          <t>pressure</t>
        </is>
      </c>
      <c r="H1344" t="inlineStr">
        <is>
          <t>yes</t>
        </is>
      </c>
      <c r="I1344" t="inlineStr">
        <is>
          <t>60.5329</t>
        </is>
      </c>
      <c r="J1344" t="inlineStr">
        <is>
          <t>derived</t>
        </is>
      </c>
      <c r="K1344" t="inlineStr">
        <is>
          <t>https://data.worldbank.org/indicator/NY.GNP.PCAP.PP.CD</t>
        </is>
      </c>
      <c r="L1344" t="inlineStr">
        <is>
          <t>Computed from city_inputs + country_context</t>
        </is>
      </c>
      <c r="M1344" t="inlineStr">
        <is>
          <t>2024-01-01</t>
        </is>
      </c>
      <c r="N1344" t="inlineStr">
        <is>
          <t>derived=country_context.household_debt_proxy; country=Estonia</t>
        </is>
      </c>
    </row>
    <row r="1345">
      <c r="A1345" t="inlineStr">
        <is>
          <t>ee-tallinn</t>
        </is>
      </c>
      <c r="B1345" t="inlineStr">
        <is>
          <t>Tallinn</t>
        </is>
      </c>
      <c r="C1345" t="inlineStr">
        <is>
          <t>Estonia</t>
        </is>
      </c>
      <c r="D1345" t="inlineStr">
        <is>
          <t>Western and Northern Europe</t>
        </is>
      </c>
      <c r="E1345" t="inlineStr">
        <is>
          <t>working_time_pressure_raw</t>
        </is>
      </c>
      <c r="F1345" t="inlineStr">
        <is>
          <t>Working time pressure raw</t>
        </is>
      </c>
      <c r="G1345" t="inlineStr">
        <is>
          <t>pressure</t>
        </is>
      </c>
      <c r="H1345" t="inlineStr">
        <is>
          <t>yes</t>
        </is>
      </c>
      <c r="I1345" t="inlineStr">
        <is>
          <t>35.8</t>
        </is>
      </c>
      <c r="J1345" t="inlineStr">
        <is>
          <t>ilo_ilostat</t>
        </is>
      </c>
      <c r="K1345" t="inlineStr">
        <is>
          <t>https://ilostat.ilo.org/data/indicator/?id=HOW_TEMP_SEX_ECO_NB_A&amp;ref_area=EST</t>
        </is>
      </c>
      <c r="L1345" t="inlineStr">
        <is>
          <t>ILO ILOSTAT: Mean weekly hours actually worked per employed person</t>
        </is>
      </c>
      <c r="M1345" t="inlineStr">
        <is>
          <t>2024-12-31</t>
        </is>
      </c>
      <c r="N1345" t="inlineStr">
        <is>
          <t>auto_ingest=ilo_working_hours; indicator=HOW_TEMP_SEX_ECO_NB_A; year=2024; hours=35.8; country_proxy=Estonia</t>
        </is>
      </c>
    </row>
    <row r="1346">
      <c r="A1346" t="inlineStr">
        <is>
          <t>ee-tallinn</t>
        </is>
      </c>
      <c r="B1346" t="inlineStr">
        <is>
          <t>Tallinn</t>
        </is>
      </c>
      <c r="C1346" t="inlineStr">
        <is>
          <t>Estonia</t>
        </is>
      </c>
      <c r="D1346" t="inlineStr">
        <is>
          <t>Western and Northern Europe</t>
        </is>
      </c>
      <c r="E1346" t="inlineStr">
        <is>
          <t>suicide_mental_strain_raw</t>
        </is>
      </c>
      <c r="F1346" t="inlineStr">
        <is>
          <t>Suicide or mental strain raw</t>
        </is>
      </c>
      <c r="G1346" t="inlineStr">
        <is>
          <t>pressure</t>
        </is>
      </c>
      <c r="H1346" t="inlineStr">
        <is>
          <t>yes</t>
        </is>
      </c>
      <c r="I1346" t="inlineStr">
        <is>
          <t>14.94</t>
        </is>
      </c>
      <c r="J1346" t="inlineStr">
        <is>
          <t>who_gho</t>
        </is>
      </c>
      <c r="K1346" t="inlineStr">
        <is>
          <t>https://www.who.int/data/gho/data/indicators/indicator-details/GHO/SDGSUICIDE</t>
        </is>
      </c>
      <c r="L1346" t="inlineStr">
        <is>
          <t>WHO GHO: Age-standardized suicide rate (per 100,000 population)</t>
        </is>
      </c>
      <c r="M1346" t="inlineStr">
        <is>
          <t>2021-12-31</t>
        </is>
      </c>
      <c r="N1346" t="inlineStr">
        <is>
          <t>auto_ingest=who_gho; indicator=SDGSUICIDE; year=2021; country_proxy=Estonia</t>
        </is>
      </c>
    </row>
    <row r="1347">
      <c r="A1347" t="inlineStr">
        <is>
          <t>ee-tallinn</t>
        </is>
      </c>
      <c r="B1347" t="inlineStr">
        <is>
          <t>Tallinn</t>
        </is>
      </c>
      <c r="C1347" t="inlineStr">
        <is>
          <t>Estonia</t>
        </is>
      </c>
      <c r="D1347" t="inlineStr">
        <is>
          <t>Western and Northern Europe</t>
        </is>
      </c>
      <c r="E1347" t="inlineStr">
        <is>
          <t>personal_safety_raw</t>
        </is>
      </c>
      <c r="F1347" t="inlineStr">
        <is>
          <t>Personal safety raw</t>
        </is>
      </c>
      <c r="G1347" t="inlineStr">
        <is>
          <t>viability</t>
        </is>
      </c>
      <c r="H1347" t="inlineStr">
        <is>
          <t>yes</t>
        </is>
      </c>
      <c r="I1347" t="inlineStr">
        <is>
          <t>1.54</t>
        </is>
      </c>
      <c r="J1347" t="inlineStr">
        <is>
          <t>world_bank</t>
        </is>
      </c>
      <c r="K1347" t="inlineStr">
        <is>
          <t>https://api.worldbank.org/v2/country/EST/indicator/VC.IHR.PSRC.P5?format=json&amp;mrv=10</t>
        </is>
      </c>
      <c r="L1347" t="inlineStr">
        <is>
          <t>UNODC via World Bank WDI: Intentional homicides (per 100,000 people)</t>
        </is>
      </c>
      <c r="M1347" t="inlineStr">
        <is>
          <t>2023-12-31</t>
        </is>
      </c>
      <c r="N1347" t="inlineStr">
        <is>
          <t>auto_ingest=unodc_safety; indicator=VC.IHR.PSRC.P5; year=2023; country_proxy=Estonia</t>
        </is>
      </c>
    </row>
    <row r="1348">
      <c r="A1348" t="inlineStr">
        <is>
          <t>ee-tallinn</t>
        </is>
      </c>
      <c r="B1348" t="inlineStr">
        <is>
          <t>Tallinn</t>
        </is>
      </c>
      <c r="C1348" t="inlineStr">
        <is>
          <t>Estonia</t>
        </is>
      </c>
      <c r="D1348" t="inlineStr">
        <is>
          <t>Western and Northern Europe</t>
        </is>
      </c>
      <c r="E1348" t="inlineStr">
        <is>
          <t>transit_access_commute_raw</t>
        </is>
      </c>
      <c r="F1348" t="inlineStr">
        <is>
          <t>Transit access and commute raw</t>
        </is>
      </c>
      <c r="G1348" t="inlineStr">
        <is>
          <t>viability</t>
        </is>
      </c>
      <c r="H1348" t="inlineStr">
        <is>
          <t>yes</t>
        </is>
      </c>
      <c r="I1348" t="inlineStr"/>
      <c r="J1348" t="inlineStr"/>
      <c r="K1348" t="inlineStr"/>
      <c r="L1348" t="inlineStr"/>
      <c r="M1348" t="inlineStr"/>
      <c r="N1348" t="inlineStr"/>
    </row>
    <row r="1349">
      <c r="A1349" t="inlineStr">
        <is>
          <t>ee-tallinn</t>
        </is>
      </c>
      <c r="B1349" t="inlineStr">
        <is>
          <t>Tallinn</t>
        </is>
      </c>
      <c r="C1349" t="inlineStr">
        <is>
          <t>Estonia</t>
        </is>
      </c>
      <c r="D1349" t="inlineStr">
        <is>
          <t>Western and Northern Europe</t>
        </is>
      </c>
      <c r="E1349" t="inlineStr">
        <is>
          <t>clean_air_raw</t>
        </is>
      </c>
      <c r="F1349" t="inlineStr">
        <is>
          <t>Clean air raw</t>
        </is>
      </c>
      <c r="G1349" t="inlineStr">
        <is>
          <t>viability</t>
        </is>
      </c>
      <c r="H1349" t="inlineStr">
        <is>
          <t>yes</t>
        </is>
      </c>
      <c r="I1349" t="inlineStr"/>
      <c r="J1349" t="inlineStr"/>
      <c r="K1349" t="inlineStr"/>
      <c r="L1349" t="inlineStr"/>
      <c r="M1349" t="inlineStr"/>
      <c r="N1349" t="inlineStr"/>
    </row>
    <row r="1350">
      <c r="A1350" t="inlineStr">
        <is>
          <t>ee-tallinn</t>
        </is>
      </c>
      <c r="B1350" t="inlineStr">
        <is>
          <t>Tallinn</t>
        </is>
      </c>
      <c r="C1350" t="inlineStr">
        <is>
          <t>Estonia</t>
        </is>
      </c>
      <c r="D1350" t="inlineStr">
        <is>
          <t>Western and Northern Europe</t>
        </is>
      </c>
      <c r="E1350" t="inlineStr">
        <is>
          <t>water_sanitation_utility_raw</t>
        </is>
      </c>
      <c r="F1350" t="inlineStr">
        <is>
          <t>Water, sanitation, and utility raw</t>
        </is>
      </c>
      <c r="G1350" t="inlineStr">
        <is>
          <t>viability</t>
        </is>
      </c>
      <c r="H1350" t="inlineStr">
        <is>
          <t>yes</t>
        </is>
      </c>
      <c r="I1350" t="inlineStr">
        <is>
          <t>98.94</t>
        </is>
      </c>
      <c r="J1350" t="inlineStr">
        <is>
          <t>world_bank</t>
        </is>
      </c>
      <c r="K1350" t="inlineStr">
        <is>
          <t>https://api.worldbank.org/v2/country/EST/indicator/SH.H2O.SMDW.ZS?format=json&amp;mrv=10</t>
        </is>
      </c>
      <c r="L1350" t="inlineStr">
        <is>
          <t>World Bank WDI: People using safely managed drinking water services (% of population)</t>
        </is>
      </c>
      <c r="M1350" t="inlineStr">
        <is>
          <t>2024-12-31</t>
        </is>
      </c>
      <c r="N1350" t="inlineStr">
        <is>
          <t>auto_ingest=world_bank_proxy; indicator=SH.H2O.SMDW.ZS; year=2024; country_proxy=Estonia</t>
        </is>
      </c>
    </row>
    <row r="1351">
      <c r="A1351" t="inlineStr">
        <is>
          <t>ee-tallinn</t>
        </is>
      </c>
      <c r="B1351" t="inlineStr">
        <is>
          <t>Tallinn</t>
        </is>
      </c>
      <c r="C1351" t="inlineStr">
        <is>
          <t>Estonia</t>
        </is>
      </c>
      <c r="D1351" t="inlineStr">
        <is>
          <t>Western and Northern Europe</t>
        </is>
      </c>
      <c r="E1351" t="inlineStr">
        <is>
          <t>digital_infrastructure_raw</t>
        </is>
      </c>
      <c r="F1351" t="inlineStr">
        <is>
          <t>Digital infrastructure raw</t>
        </is>
      </c>
      <c r="G1351" t="inlineStr">
        <is>
          <t>viability</t>
        </is>
      </c>
      <c r="H1351" t="inlineStr">
        <is>
          <t>yes</t>
        </is>
      </c>
      <c r="I1351" t="inlineStr">
        <is>
          <t>35.25</t>
        </is>
      </c>
      <c r="J1351" t="inlineStr">
        <is>
          <t>world_bank</t>
        </is>
      </c>
      <c r="K1351" t="inlineStr">
        <is>
          <t>https://api.worldbank.org/v2/country/EST/indicator/IT.NET.BBND.P2?format=json&amp;mrv=10</t>
        </is>
      </c>
      <c r="L1351" t="inlineStr">
        <is>
          <t>World Bank WDI: Fixed broadband subscriptions (per 100 people)</t>
        </is>
      </c>
      <c r="M1351" t="inlineStr">
        <is>
          <t>2023-12-31</t>
        </is>
      </c>
      <c r="N1351" t="inlineStr">
        <is>
          <t>auto_ingest=world_bank_proxy; indicator=IT.NET.BBND.P2; year=2023; country_proxy=Estonia</t>
        </is>
      </c>
    </row>
    <row r="1352">
      <c r="A1352" t="inlineStr">
        <is>
          <t>ee-tallinn</t>
        </is>
      </c>
      <c r="B1352" t="inlineStr">
        <is>
          <t>Tallinn</t>
        </is>
      </c>
      <c r="C1352" t="inlineStr">
        <is>
          <t>Estonia</t>
        </is>
      </c>
      <c r="D1352" t="inlineStr">
        <is>
          <t>Western and Northern Europe</t>
        </is>
      </c>
      <c r="E1352" t="inlineStr">
        <is>
          <t>climate_sunlight_livability_raw</t>
        </is>
      </c>
      <c r="F1352" t="inlineStr">
        <is>
          <t>Climate and sunlight livability raw</t>
        </is>
      </c>
      <c r="G1352" t="inlineStr">
        <is>
          <t>viability</t>
        </is>
      </c>
      <c r="H1352" t="inlineStr">
        <is>
          <t>yes</t>
        </is>
      </c>
      <c r="I1352" t="inlineStr">
        <is>
          <t>34</t>
        </is>
      </c>
      <c r="J1352" t="inlineStr">
        <is>
          <t>wmo_natl_met</t>
        </is>
      </c>
      <c r="K1352" t="inlineStr">
        <is>
          <t>https://worldweather.wmo.int</t>
        </is>
      </c>
      <c r="L1352" t="inlineStr">
        <is>
          <t>WMO/National Met: Climate livability composite</t>
        </is>
      </c>
      <c r="M1352" t="inlineStr">
        <is>
          <t>2024-12-31</t>
        </is>
      </c>
      <c r="N1352" t="inlineStr">
        <is>
          <t>auto_seed=climate_composite; 1700 sun hrs, 6C mean, dark cold</t>
        </is>
      </c>
    </row>
    <row r="1353">
      <c r="A1353" t="inlineStr">
        <is>
          <t>ee-tallinn</t>
        </is>
      </c>
      <c r="B1353" t="inlineStr">
        <is>
          <t>Tallinn</t>
        </is>
      </c>
      <c r="C1353" t="inlineStr">
        <is>
          <t>Estonia</t>
        </is>
      </c>
      <c r="D1353" t="inlineStr">
        <is>
          <t>Western and Northern Europe</t>
        </is>
      </c>
      <c r="E1353" t="inlineStr">
        <is>
          <t>healthcare_quality_raw</t>
        </is>
      </c>
      <c r="F1353" t="inlineStr">
        <is>
          <t>Healthcare quality raw</t>
        </is>
      </c>
      <c r="G1353" t="inlineStr">
        <is>
          <t>capability</t>
        </is>
      </c>
      <c r="H1353" t="inlineStr">
        <is>
          <t>yes</t>
        </is>
      </c>
      <c r="I1353" t="inlineStr">
        <is>
          <t>79.0</t>
        </is>
      </c>
      <c r="J1353" t="inlineStr">
        <is>
          <t>who_gho</t>
        </is>
      </c>
      <c r="K1353" t="inlineStr">
        <is>
          <t>https://www.who.int/data/gho/data/indicators/indicator-details/GHO/UHC_INDEX_REPORTED</t>
        </is>
      </c>
      <c r="L1353" t="inlineStr">
        <is>
          <t>WHO GHO: UHC Service Coverage Index</t>
        </is>
      </c>
      <c r="M1353" t="inlineStr">
        <is>
          <t>2023-12-31</t>
        </is>
      </c>
      <c r="N1353" t="inlineStr">
        <is>
          <t>auto_ingest=who_gho; indicator=UHC_INDEX_REPORTED; year=2023; country_proxy=Estonia</t>
        </is>
      </c>
    </row>
    <row r="1354">
      <c r="A1354" t="inlineStr">
        <is>
          <t>ee-tallinn</t>
        </is>
      </c>
      <c r="B1354" t="inlineStr">
        <is>
          <t>Tallinn</t>
        </is>
      </c>
      <c r="C1354" t="inlineStr">
        <is>
          <t>Estonia</t>
        </is>
      </c>
      <c r="D1354" t="inlineStr">
        <is>
          <t>Western and Northern Europe</t>
        </is>
      </c>
      <c r="E1354" t="inlineStr">
        <is>
          <t>education_quality_raw</t>
        </is>
      </c>
      <c r="F1354" t="inlineStr">
        <is>
          <t>Education quality raw</t>
        </is>
      </c>
      <c r="G1354" t="inlineStr">
        <is>
          <t>capability</t>
        </is>
      </c>
      <c r="H1354" t="inlineStr">
        <is>
          <t>yes</t>
        </is>
      </c>
      <c r="I1354" t="inlineStr">
        <is>
          <t>67.62</t>
        </is>
      </c>
      <c r="J1354" t="inlineStr">
        <is>
          <t>world_bank</t>
        </is>
      </c>
      <c r="K1354" t="inlineStr">
        <is>
          <t>https://api.worldbank.org/v2/country/EST/indicator/SE.TER.ENRR?format=json&amp;mrv=10</t>
        </is>
      </c>
      <c r="L1354" t="inlineStr">
        <is>
          <t>World Bank WDI: School enrollment, tertiary (% gross)</t>
        </is>
      </c>
      <c r="M1354" t="inlineStr">
        <is>
          <t>2023-12-31</t>
        </is>
      </c>
      <c r="N1354" t="inlineStr">
        <is>
          <t>auto_ingest=world_bank_proxy; indicator=SE.TER.ENRR; year=2023; country_proxy=Estonia</t>
        </is>
      </c>
    </row>
    <row r="1355">
      <c r="A1355" t="inlineStr">
        <is>
          <t>ee-tallinn</t>
        </is>
      </c>
      <c r="B1355" t="inlineStr">
        <is>
          <t>Tallinn</t>
        </is>
      </c>
      <c r="C1355" t="inlineStr">
        <is>
          <t>Estonia</t>
        </is>
      </c>
      <c r="D1355" t="inlineStr">
        <is>
          <t>Western and Northern Europe</t>
        </is>
      </c>
      <c r="E1355" t="inlineStr">
        <is>
          <t>equal_opportunity_raw</t>
        </is>
      </c>
      <c r="F1355" t="inlineStr">
        <is>
          <t>Equal opportunity raw</t>
        </is>
      </c>
      <c r="G1355" t="inlineStr">
        <is>
          <t>capability</t>
        </is>
      </c>
      <c r="H1355" t="inlineStr">
        <is>
          <t>yes</t>
        </is>
      </c>
      <c r="I1355" t="inlineStr">
        <is>
          <t>30.7</t>
        </is>
      </c>
      <c r="J1355" t="inlineStr">
        <is>
          <t>world_bank</t>
        </is>
      </c>
      <c r="K1355" t="inlineStr">
        <is>
          <t>https://api.worldbank.org/v2/country/EST/indicator/SI.POV.GINI?format=json&amp;mrv=10</t>
        </is>
      </c>
      <c r="L1355" t="inlineStr">
        <is>
          <t>World Bank WDI: Gini index</t>
        </is>
      </c>
      <c r="M1355" t="inlineStr">
        <is>
          <t>2023-12-31</t>
        </is>
      </c>
      <c r="N1355" t="inlineStr">
        <is>
          <t>auto_ingest=world_bank_capability; indicator=SI.POV.GINI; year=2023; country_proxy=Estonia</t>
        </is>
      </c>
    </row>
    <row r="1356">
      <c r="A1356" t="inlineStr">
        <is>
          <t>ee-tallinn</t>
        </is>
      </c>
      <c r="B1356" t="inlineStr">
        <is>
          <t>Tallinn</t>
        </is>
      </c>
      <c r="C1356" t="inlineStr">
        <is>
          <t>Estonia</t>
        </is>
      </c>
      <c r="D1356" t="inlineStr">
        <is>
          <t>Western and Northern Europe</t>
        </is>
      </c>
      <c r="E1356" t="inlineStr">
        <is>
          <t>hospitality_belonging_raw</t>
        </is>
      </c>
      <c r="F1356" t="inlineStr">
        <is>
          <t>Hospitality and belonging raw</t>
        </is>
      </c>
      <c r="G1356" t="inlineStr">
        <is>
          <t>community</t>
        </is>
      </c>
      <c r="H1356" t="inlineStr">
        <is>
          <t>yes</t>
        </is>
      </c>
      <c r="I1356" t="inlineStr">
        <is>
          <t>40.27</t>
        </is>
      </c>
      <c r="J1356" t="inlineStr">
        <is>
          <t>world_bank</t>
        </is>
      </c>
      <c r="K1356" t="inlineStr">
        <is>
          <t>https://api.worldbank.org/v2/country/EST/indicator/SM.POP.NETM?format=json&amp;mrv=10</t>
        </is>
      </c>
      <c r="L1356" t="inlineStr">
        <is>
          <t>World Bank WDI: Net migration (proxy for hospitality/belonging — positive = welcoming)</t>
        </is>
      </c>
      <c r="M1356" t="inlineStr">
        <is>
          <t>2025-12-31</t>
        </is>
      </c>
      <c r="N1356" t="inlineStr">
        <is>
          <t>auto_ingest=world_bank_proxy; proxy=net_migration_hospitality; indicator=SM.POP.NETM; year=2025; country_proxy=Estonia</t>
        </is>
      </c>
    </row>
    <row r="1357">
      <c r="A1357" t="inlineStr">
        <is>
          <t>ee-tallinn</t>
        </is>
      </c>
      <c r="B1357" t="inlineStr">
        <is>
          <t>Tallinn</t>
        </is>
      </c>
      <c r="C1357" t="inlineStr">
        <is>
          <t>Estonia</t>
        </is>
      </c>
      <c r="D1357" t="inlineStr">
        <is>
          <t>Western and Northern Europe</t>
        </is>
      </c>
      <c r="E1357" t="inlineStr">
        <is>
          <t>tolerance_pluralism_raw</t>
        </is>
      </c>
      <c r="F1357" t="inlineStr">
        <is>
          <t>Tolerance and pluralism raw</t>
        </is>
      </c>
      <c r="G1357" t="inlineStr">
        <is>
          <t>community</t>
        </is>
      </c>
      <c r="H1357" t="inlineStr">
        <is>
          <t>yes</t>
        </is>
      </c>
      <c r="I1357" t="inlineStr">
        <is>
          <t>29.7</t>
        </is>
      </c>
      <c r="J1357" t="inlineStr">
        <is>
          <t>world_bank</t>
        </is>
      </c>
      <c r="K1357" t="inlineStr">
        <is>
          <t>https://api.worldbank.org/v2/country/EST/indicator/SG.GEN.PARL.ZS?format=json&amp;mrv=10</t>
        </is>
      </c>
      <c r="L1357" t="inlineStr">
        <is>
          <t>World Bank WDI: Proportion of seats held by women in national parliaments (%)</t>
        </is>
      </c>
      <c r="M1357" t="inlineStr">
        <is>
          <t>2024-12-31</t>
        </is>
      </c>
      <c r="N1357" t="inlineStr">
        <is>
          <t>auto_ingest=world_bank_proxy; proxy=gender_parity_parliament; indicator=SG.GEN.PARL.ZS; year=2024; country_proxy=Estonia</t>
        </is>
      </c>
    </row>
    <row r="1358">
      <c r="A1358" t="inlineStr">
        <is>
          <t>ee-tallinn</t>
        </is>
      </c>
      <c r="B1358" t="inlineStr">
        <is>
          <t>Tallinn</t>
        </is>
      </c>
      <c r="C1358" t="inlineStr">
        <is>
          <t>Estonia</t>
        </is>
      </c>
      <c r="D1358" t="inlineStr">
        <is>
          <t>Western and Northern Europe</t>
        </is>
      </c>
      <c r="E1358" t="inlineStr">
        <is>
          <t>cultural_public_life_raw</t>
        </is>
      </c>
      <c r="F1358" t="inlineStr">
        <is>
          <t>Cultural public life raw</t>
        </is>
      </c>
      <c r="G1358" t="inlineStr">
        <is>
          <t>community</t>
        </is>
      </c>
      <c r="H1358" t="inlineStr">
        <is>
          <t>yes</t>
        </is>
      </c>
      <c r="I1358" t="inlineStr">
        <is>
          <t>1235.12</t>
        </is>
      </c>
      <c r="J1358" t="inlineStr">
        <is>
          <t>world_bank</t>
        </is>
      </c>
      <c r="K1358" t="inlineStr">
        <is>
          <t>https://api.worldbank.org/v2/country/EST/indicator/ST.INT.ARVL?format=json&amp;mrv=10</t>
        </is>
      </c>
      <c r="L1358" t="inlineStr">
        <is>
          <t>World Bank WDI: International tourism arrivals per 1 000 population</t>
        </is>
      </c>
      <c r="M1358" t="inlineStr">
        <is>
          <t>2020-12-31</t>
        </is>
      </c>
      <c r="N1358" t="inlineStr">
        <is>
          <t>auto_ingest=cultural_life_proxy; indicator=ST.INT.ARVL; norm=per_1000_pop; year=2020; country_proxy=Estonia</t>
        </is>
      </c>
    </row>
    <row r="1359">
      <c r="A1359" t="inlineStr">
        <is>
          <t>ee-tallinn</t>
        </is>
      </c>
      <c r="B1359" t="inlineStr">
        <is>
          <t>Tallinn</t>
        </is>
      </c>
      <c r="C1359" t="inlineStr">
        <is>
          <t>Estonia</t>
        </is>
      </c>
      <c r="D1359" t="inlineStr">
        <is>
          <t>Western, Northern, and Southern Europe</t>
        </is>
      </c>
      <c r="E1359" t="inlineStr">
        <is>
          <t>birth_rate_optimism_raw</t>
        </is>
      </c>
      <c r="F1359" t="inlineStr">
        <is>
          <t>Birth rate and societal optimism raw</t>
        </is>
      </c>
      <c r="G1359" t="inlineStr">
        <is>
          <t>community</t>
        </is>
      </c>
      <c r="H1359" t="inlineStr">
        <is>
          <t>yes</t>
        </is>
      </c>
      <c r="I1359" t="inlineStr"/>
      <c r="J1359" t="inlineStr"/>
      <c r="K1359" t="inlineStr"/>
      <c r="L1359" t="inlineStr"/>
      <c r="M1359" t="inlineStr"/>
      <c r="N1359" t="inlineStr"/>
    </row>
    <row r="1360">
      <c r="A1360" t="inlineStr">
        <is>
          <t>ee-tallinn</t>
        </is>
      </c>
      <c r="B1360" t="inlineStr">
        <is>
          <t>Tallinn</t>
        </is>
      </c>
      <c r="C1360" t="inlineStr">
        <is>
          <t>Estonia</t>
        </is>
      </c>
      <c r="D1360" t="inlineStr">
        <is>
          <t>Western and Northern Europe</t>
        </is>
      </c>
      <c r="E1360" t="inlineStr">
        <is>
          <t>entrepreneurial_dynamism_raw</t>
        </is>
      </c>
      <c r="F1360" t="inlineStr">
        <is>
          <t>Entrepreneurial dynamism raw</t>
        </is>
      </c>
      <c r="G1360" t="inlineStr">
        <is>
          <t>creative</t>
        </is>
      </c>
      <c r="H1360" t="inlineStr">
        <is>
          <t>yes</t>
        </is>
      </c>
      <c r="I1360" t="inlineStr">
        <is>
          <t>24.32</t>
        </is>
      </c>
      <c r="J1360" t="inlineStr">
        <is>
          <t>world_bank</t>
        </is>
      </c>
      <c r="K1360" t="inlineStr">
        <is>
          <t>https://api.worldbank.org/v2/country/EST/indicator/IC.BUS.NDNS.ZS?format=json&amp;mrv=10</t>
        </is>
      </c>
      <c r="L1360" t="inlineStr">
        <is>
          <t>World Bank WDI: New business density (new registrations per 1,000 people ages 15-64)</t>
        </is>
      </c>
      <c r="M1360" t="inlineStr">
        <is>
          <t>2022-12-31</t>
        </is>
      </c>
      <c r="N1360" t="inlineStr">
        <is>
          <t>auto_ingest=world_bank_creative_extended; indicator=IC.BUS.NDNS.ZS; year=2022; country_proxy=Estonia</t>
        </is>
      </c>
    </row>
    <row r="1361">
      <c r="A1361" t="inlineStr">
        <is>
          <t>ee-tallinn</t>
        </is>
      </c>
      <c r="B1361" t="inlineStr">
        <is>
          <t>Tallinn</t>
        </is>
      </c>
      <c r="C1361" t="inlineStr">
        <is>
          <t>Estonia</t>
        </is>
      </c>
      <c r="D1361" t="inlineStr">
        <is>
          <t>Western and Northern Europe</t>
        </is>
      </c>
      <c r="E1361" t="inlineStr">
        <is>
          <t>innovation_research_intensity_raw</t>
        </is>
      </c>
      <c r="F1361" t="inlineStr">
        <is>
          <t>Innovation and research raw</t>
        </is>
      </c>
      <c r="G1361" t="inlineStr">
        <is>
          <t>creative</t>
        </is>
      </c>
      <c r="H1361" t="inlineStr">
        <is>
          <t>yes</t>
        </is>
      </c>
      <c r="I1361" t="inlineStr">
        <is>
          <t>1.78</t>
        </is>
      </c>
      <c r="J1361" t="inlineStr">
        <is>
          <t>world_bank</t>
        </is>
      </c>
      <c r="K1361" t="inlineStr">
        <is>
          <t>https://api.worldbank.org/v2/country/EST/indicator/GB.XPD.RSDV.GD.ZS?format=json&amp;mrv=10</t>
        </is>
      </c>
      <c r="L1361" t="inlineStr">
        <is>
          <t>World Bank WDI: Research and development expenditure (% of GDP)</t>
        </is>
      </c>
      <c r="M1361" t="inlineStr">
        <is>
          <t>2022-12-31</t>
        </is>
      </c>
      <c r="N1361" t="inlineStr">
        <is>
          <t>auto_ingest=world_bank_creative_extended; indicator=GB.XPD.RSDV.GD.ZS; year=2022; country_proxy=Estonia</t>
        </is>
      </c>
    </row>
    <row r="1362">
      <c r="A1362" t="inlineStr">
        <is>
          <t>ee-tallinn</t>
        </is>
      </c>
      <c r="B1362" t="inlineStr">
        <is>
          <t>Tallinn</t>
        </is>
      </c>
      <c r="C1362" t="inlineStr">
        <is>
          <t>Estonia</t>
        </is>
      </c>
      <c r="D1362" t="inlineStr">
        <is>
          <t>Western and Northern Europe</t>
        </is>
      </c>
      <c r="E1362" t="inlineStr">
        <is>
          <t>investment_signal_raw</t>
        </is>
      </c>
      <c r="F1362" t="inlineStr">
        <is>
          <t>Investment signal raw</t>
        </is>
      </c>
      <c r="G1362" t="inlineStr">
        <is>
          <t>creative</t>
        </is>
      </c>
      <c r="H1362" t="inlineStr">
        <is>
          <t>yes</t>
        </is>
      </c>
      <c r="I1362" t="inlineStr">
        <is>
          <t>-7.97</t>
        </is>
      </c>
      <c r="J1362" t="inlineStr">
        <is>
          <t>world_bank</t>
        </is>
      </c>
      <c r="K1362" t="inlineStr">
        <is>
          <t>https://api.worldbank.org/v2/country/EST/indicator/BX.KLT.DINV.WD.GD.ZS?format=json&amp;mrv=10</t>
        </is>
      </c>
      <c r="L1362" t="inlineStr">
        <is>
          <t>World Bank WDI: Foreign direct investment, net inflows (% of GDP)</t>
        </is>
      </c>
      <c r="M1362" t="inlineStr">
        <is>
          <t>2024-12-31</t>
        </is>
      </c>
      <c r="N1362" t="inlineStr">
        <is>
          <t>auto_ingest=world_bank_creative_extended; indicator=BX.KLT.DINV.WD.GD.ZS; year=2024; country_proxy=Estonia</t>
        </is>
      </c>
    </row>
    <row r="1363">
      <c r="A1363" t="inlineStr">
        <is>
          <t>ee-tallinn</t>
        </is>
      </c>
      <c r="B1363" t="inlineStr">
        <is>
          <t>Tallinn</t>
        </is>
      </c>
      <c r="C1363" t="inlineStr">
        <is>
          <t>Estonia</t>
        </is>
      </c>
      <c r="D1363" t="inlineStr">
        <is>
          <t>Western and Northern Europe</t>
        </is>
      </c>
      <c r="E1363" t="inlineStr">
        <is>
          <t>administrative_investment_friction_raw</t>
        </is>
      </c>
      <c r="F1363" t="inlineStr">
        <is>
          <t>Administrative investment friction raw</t>
        </is>
      </c>
      <c r="G1363" t="inlineStr">
        <is>
          <t>creative</t>
        </is>
      </c>
      <c r="H1363" t="inlineStr">
        <is>
          <t>yes</t>
        </is>
      </c>
      <c r="I1363" t="inlineStr">
        <is>
          <t>1.07</t>
        </is>
      </c>
      <c r="J1363" t="inlineStr">
        <is>
          <t>world_bank</t>
        </is>
      </c>
      <c r="K1363" t="inlineStr">
        <is>
          <t>https://api.worldbank.org/v2/country/EST/indicator/RQ.EST?format=json&amp;mrv=10</t>
        </is>
      </c>
      <c r="L1363" t="inlineStr">
        <is>
          <t>World Bank WGI: Regulatory Quality (inverted as friction proxy)</t>
        </is>
      </c>
      <c r="M1363" t="inlineStr">
        <is>
          <t>2023-12-31</t>
        </is>
      </c>
      <c r="N1363" t="inlineStr">
        <is>
          <t>auto_ingest=world_bank_business_friction; indicator=RQ.EST; raw_rq=1.42964351177216; friction=1.07; year=2023; country_proxy=Estonia</t>
        </is>
      </c>
    </row>
    <row r="1364">
      <c r="A1364" t="inlineStr">
        <is>
          <t>ee-tallinn</t>
        </is>
      </c>
      <c r="B1364" t="inlineStr">
        <is>
          <t>Tallinn</t>
        </is>
      </c>
      <c r="C1364" t="inlineStr">
        <is>
          <t>Estonia</t>
        </is>
      </c>
      <c r="D1364" t="inlineStr">
        <is>
          <t>Western and Northern Europe</t>
        </is>
      </c>
      <c r="E1364" t="inlineStr">
        <is>
          <t>visitor_flow_context_raw</t>
        </is>
      </c>
      <c r="F1364" t="inlineStr">
        <is>
          <t>Visitor flow context raw</t>
        </is>
      </c>
      <c r="G1364" t="inlineStr">
        <is>
          <t>creative</t>
        </is>
      </c>
      <c r="H1364" t="inlineStr">
        <is>
          <t>no</t>
        </is>
      </c>
      <c r="I1364" t="inlineStr"/>
      <c r="J1364" t="inlineStr"/>
      <c r="K1364" t="inlineStr"/>
      <c r="L1364" t="inlineStr"/>
      <c r="M1364" t="inlineStr"/>
      <c r="N1364" t="inlineStr"/>
    </row>
    <row r="1365">
      <c r="A1365" t="inlineStr">
        <is>
          <t>fi-helsinki</t>
        </is>
      </c>
      <c r="B1365" t="inlineStr">
        <is>
          <t>Helsinki</t>
        </is>
      </c>
      <c r="C1365" t="inlineStr">
        <is>
          <t>Finland</t>
        </is>
      </c>
      <c r="D1365" t="inlineStr">
        <is>
          <t>Western and Northern Europe</t>
        </is>
      </c>
      <c r="E1365" t="inlineStr">
        <is>
          <t>gross_income</t>
        </is>
      </c>
      <c r="F1365" t="inlineStr">
        <is>
          <t>Gross income</t>
        </is>
      </c>
      <c r="G1365" t="inlineStr">
        <is>
          <t>pressure</t>
        </is>
      </c>
      <c r="H1365" t="inlineStr">
        <is>
          <t>yes</t>
        </is>
      </c>
      <c r="I1365" t="inlineStr">
        <is>
          <t>5470.0</t>
        </is>
      </c>
      <c r="J1365" t="inlineStr">
        <is>
          <t>world_bank_col_estimate</t>
        </is>
      </c>
      <c r="K1365" t="inlineStr">
        <is>
          <t>https://api.worldbank.org/v2/country/FIN/indicator/NY.GNP.PCAP.PP.CD?format=json&amp;mrv=10</t>
        </is>
      </c>
      <c r="L1365" t="inlineStr">
        <is>
          <t>World Bank WDI: GNI per capita PPP (monthly USD)</t>
        </is>
      </c>
      <c r="M1365" t="inlineStr">
        <is>
          <t>2024-12-31</t>
        </is>
      </c>
      <c r="N1365" t="inlineStr">
        <is>
          <t>auto_ingest=world_bank_col_estimate; gni_annual=65640.0; year=2024; country_proxy=Finland; cohort=Western, Northern, and Southern Europe</t>
        </is>
      </c>
    </row>
    <row r="1366">
      <c r="A1366" t="inlineStr">
        <is>
          <t>fi-helsinki</t>
        </is>
      </c>
      <c r="B1366" t="inlineStr">
        <is>
          <t>Helsinki</t>
        </is>
      </c>
      <c r="C1366" t="inlineStr">
        <is>
          <t>Finland</t>
        </is>
      </c>
      <c r="D1366" t="inlineStr">
        <is>
          <t>Western, Northern, and Southern Europe</t>
        </is>
      </c>
      <c r="E1366" t="inlineStr">
        <is>
          <t>di_ppp_raw</t>
        </is>
      </c>
      <c r="F1366" t="inlineStr">
        <is>
          <t>Disposable income PPP (Raw)</t>
        </is>
      </c>
      <c r="G1366" t="inlineStr">
        <is>
          <t>pressure</t>
        </is>
      </c>
      <c r="H1366" t="inlineStr">
        <is>
          <t>yes</t>
        </is>
      </c>
      <c r="I1366" t="inlineStr"/>
      <c r="J1366" t="inlineStr"/>
      <c r="K1366" t="inlineStr"/>
      <c r="L1366" t="inlineStr"/>
      <c r="M1366" t="inlineStr"/>
      <c r="N1366" t="inlineStr"/>
    </row>
    <row r="1367">
      <c r="A1367" t="inlineStr">
        <is>
          <t>fi-helsinki</t>
        </is>
      </c>
      <c r="B1367" t="inlineStr">
        <is>
          <t>Helsinki</t>
        </is>
      </c>
      <c r="C1367" t="inlineStr">
        <is>
          <t>Finland</t>
        </is>
      </c>
      <c r="D1367" t="inlineStr">
        <is>
          <t>Western and Northern Europe</t>
        </is>
      </c>
      <c r="E1367" t="inlineStr">
        <is>
          <t>rent</t>
        </is>
      </c>
      <c r="F1367" t="inlineStr">
        <is>
          <t>Rent</t>
        </is>
      </c>
      <c r="G1367" t="inlineStr">
        <is>
          <t>pressure</t>
        </is>
      </c>
      <c r="H1367" t="inlineStr">
        <is>
          <t>yes</t>
        </is>
      </c>
      <c r="I1367" t="inlineStr">
        <is>
          <t>2010.22</t>
        </is>
      </c>
      <c r="J1367" t="inlineStr">
        <is>
          <t>world_bank_col_estimate</t>
        </is>
      </c>
      <c r="K1367" t="inlineStr">
        <is>
          <t>https://api.worldbank.org/v2/country/FIN/indicator/NY.GNP.PCAP.PP.CD?format=json&amp;mrv=10</t>
        </is>
      </c>
      <c r="L1367" t="inlineStr">
        <is>
          <t>World Bank GNI + regional expenditure ratio estimate</t>
        </is>
      </c>
      <c r="M1367" t="inlineStr">
        <is>
          <t>2024-12-31</t>
        </is>
      </c>
      <c r="N1367" t="inlineStr">
        <is>
          <t>auto_ingest=world_bank_col_estimate; gni_annual=65640.0; year=2024; country_proxy=Finland; cohort=Western, Northern, and Southern Europe; city_cost_mult=1.05</t>
        </is>
      </c>
    </row>
    <row r="1368">
      <c r="A1368" t="inlineStr">
        <is>
          <t>fi-helsinki</t>
        </is>
      </c>
      <c r="B1368" t="inlineStr">
        <is>
          <t>Helsinki</t>
        </is>
      </c>
      <c r="C1368" t="inlineStr">
        <is>
          <t>Finland</t>
        </is>
      </c>
      <c r="D1368" t="inlineStr">
        <is>
          <t>Western and Northern Europe</t>
        </is>
      </c>
      <c r="E1368" t="inlineStr">
        <is>
          <t>utilities</t>
        </is>
      </c>
      <c r="F1368" t="inlineStr">
        <is>
          <t>Utilities</t>
        </is>
      </c>
      <c r="G1368" t="inlineStr">
        <is>
          <t>pressure</t>
        </is>
      </c>
      <c r="H1368" t="inlineStr">
        <is>
          <t>yes</t>
        </is>
      </c>
      <c r="I1368" t="inlineStr">
        <is>
          <t>402.05</t>
        </is>
      </c>
      <c r="J1368" t="inlineStr">
        <is>
          <t>world_bank_col_estimate</t>
        </is>
      </c>
      <c r="K1368" t="inlineStr">
        <is>
          <t>https://api.worldbank.org/v2/country/FIN/indicator/NY.GNP.PCAP.PP.CD?format=json&amp;mrv=10</t>
        </is>
      </c>
      <c r="L1368" t="inlineStr">
        <is>
          <t>World Bank GNI + regional expenditure ratio estimate</t>
        </is>
      </c>
      <c r="M1368" t="inlineStr">
        <is>
          <t>2024-12-31</t>
        </is>
      </c>
      <c r="N1368" t="inlineStr">
        <is>
          <t>auto_ingest=world_bank_col_estimate; gni_annual=65640.0; year=2024; country_proxy=Finland; cohort=Western, Northern, and Southern Europe; city_cost_mult=1.05</t>
        </is>
      </c>
    </row>
    <row r="1369">
      <c r="A1369" t="inlineStr">
        <is>
          <t>fi-helsinki</t>
        </is>
      </c>
      <c r="B1369" t="inlineStr">
        <is>
          <t>Helsinki</t>
        </is>
      </c>
      <c r="C1369" t="inlineStr">
        <is>
          <t>Finland</t>
        </is>
      </c>
      <c r="D1369" t="inlineStr">
        <is>
          <t>Western and Northern Europe</t>
        </is>
      </c>
      <c r="E1369" t="inlineStr">
        <is>
          <t>transit_cost</t>
        </is>
      </c>
      <c r="F1369" t="inlineStr">
        <is>
          <t>Transit cost</t>
        </is>
      </c>
      <c r="G1369" t="inlineStr">
        <is>
          <t>pressure</t>
        </is>
      </c>
      <c r="H1369" t="inlineStr">
        <is>
          <t>yes</t>
        </is>
      </c>
      <c r="I1369" t="inlineStr">
        <is>
          <t>287.18</t>
        </is>
      </c>
      <c r="J1369" t="inlineStr">
        <is>
          <t>world_bank_col_estimate</t>
        </is>
      </c>
      <c r="K1369" t="inlineStr">
        <is>
          <t>https://api.worldbank.org/v2/country/FIN/indicator/NY.GNP.PCAP.PP.CD?format=json&amp;mrv=10</t>
        </is>
      </c>
      <c r="L1369" t="inlineStr">
        <is>
          <t>World Bank GNI + regional expenditure ratio estimate</t>
        </is>
      </c>
      <c r="M1369" t="inlineStr">
        <is>
          <t>2024-12-31</t>
        </is>
      </c>
      <c r="N1369" t="inlineStr">
        <is>
          <t>auto_ingest=world_bank_col_estimate; gni_annual=65640.0; year=2024; country_proxy=Finland; cohort=Western, Northern, and Southern Europe; city_cost_mult=1.05</t>
        </is>
      </c>
    </row>
    <row r="1370">
      <c r="A1370" t="inlineStr">
        <is>
          <t>fi-helsinki</t>
        </is>
      </c>
      <c r="B1370" t="inlineStr">
        <is>
          <t>Helsinki</t>
        </is>
      </c>
      <c r="C1370" t="inlineStr">
        <is>
          <t>Finland</t>
        </is>
      </c>
      <c r="D1370" t="inlineStr">
        <is>
          <t>Western and Northern Europe</t>
        </is>
      </c>
      <c r="E1370" t="inlineStr">
        <is>
          <t>internet_cost</t>
        </is>
      </c>
      <c r="F1370" t="inlineStr">
        <is>
          <t>Internet cost</t>
        </is>
      </c>
      <c r="G1370" t="inlineStr">
        <is>
          <t>pressure</t>
        </is>
      </c>
      <c r="H1370" t="inlineStr">
        <is>
          <t>yes</t>
        </is>
      </c>
      <c r="I1370" t="inlineStr">
        <is>
          <t>86.15</t>
        </is>
      </c>
      <c r="J1370" t="inlineStr">
        <is>
          <t>world_bank_col_estimate</t>
        </is>
      </c>
      <c r="K1370" t="inlineStr">
        <is>
          <t>https://api.worldbank.org/v2/country/FIN/indicator/NY.GNP.PCAP.PP.CD?format=json&amp;mrv=10</t>
        </is>
      </c>
      <c r="L1370" t="inlineStr">
        <is>
          <t>World Bank GNI + regional expenditure ratio estimate</t>
        </is>
      </c>
      <c r="M1370" t="inlineStr">
        <is>
          <t>2024-12-31</t>
        </is>
      </c>
      <c r="N1370" t="inlineStr">
        <is>
          <t>auto_ingest=world_bank_col_estimate; gni_annual=65640.0; year=2024; country_proxy=Finland; cohort=Western, Northern, and Southern Europe; city_cost_mult=1.05</t>
        </is>
      </c>
    </row>
    <row r="1371">
      <c r="A1371" t="inlineStr">
        <is>
          <t>fi-helsinki</t>
        </is>
      </c>
      <c r="B1371" t="inlineStr">
        <is>
          <t>Helsinki</t>
        </is>
      </c>
      <c r="C1371" t="inlineStr">
        <is>
          <t>Finland</t>
        </is>
      </c>
      <c r="D1371" t="inlineStr">
        <is>
          <t>Western and Northern Europe</t>
        </is>
      </c>
      <c r="E1371" t="inlineStr">
        <is>
          <t>food_cost</t>
        </is>
      </c>
      <c r="F1371" t="inlineStr">
        <is>
          <t>Food cost</t>
        </is>
      </c>
      <c r="G1371" t="inlineStr">
        <is>
          <t>pressure</t>
        </is>
      </c>
      <c r="H1371" t="inlineStr">
        <is>
          <t>yes</t>
        </is>
      </c>
      <c r="I1371" t="inlineStr">
        <is>
          <t>861.53</t>
        </is>
      </c>
      <c r="J1371" t="inlineStr">
        <is>
          <t>world_bank_col_estimate</t>
        </is>
      </c>
      <c r="K1371" t="inlineStr">
        <is>
          <t>https://api.worldbank.org/v2/country/FIN/indicator/NY.GNP.PCAP.PP.CD?format=json&amp;mrv=10</t>
        </is>
      </c>
      <c r="L1371" t="inlineStr">
        <is>
          <t>World Bank GNI + regional expenditure ratio estimate</t>
        </is>
      </c>
      <c r="M1371" t="inlineStr">
        <is>
          <t>2024-12-31</t>
        </is>
      </c>
      <c r="N1371" t="inlineStr">
        <is>
          <t>auto_ingest=world_bank_col_estimate; gni_annual=65640.0; year=2024; country_proxy=Finland; cohort=Western, Northern, and Southern Europe; city_cost_mult=1.05</t>
        </is>
      </c>
    </row>
    <row r="1372">
      <c r="A1372" t="inlineStr">
        <is>
          <t>fi-helsinki</t>
        </is>
      </c>
      <c r="B1372" t="inlineStr">
        <is>
          <t>Helsinki</t>
        </is>
      </c>
      <c r="C1372" t="inlineStr">
        <is>
          <t>Finland</t>
        </is>
      </c>
      <c r="D1372" t="inlineStr">
        <is>
          <t>Western and Northern Europe</t>
        </is>
      </c>
      <c r="E1372" t="inlineStr">
        <is>
          <t>housing_burden_raw</t>
        </is>
      </c>
      <c r="F1372" t="inlineStr">
        <is>
          <t>Housing burden raw</t>
        </is>
      </c>
      <c r="G1372" t="inlineStr">
        <is>
          <t>pressure</t>
        </is>
      </c>
      <c r="H1372" t="inlineStr">
        <is>
          <t>yes</t>
        </is>
      </c>
      <c r="I1372" t="inlineStr">
        <is>
          <t>36.7499</t>
        </is>
      </c>
      <c r="J1372" t="inlineStr">
        <is>
          <t>derived</t>
        </is>
      </c>
      <c r="K1372" t="inlineStr">
        <is>
          <t>https://data.worldbank.org/indicator/NY.GNP.PCAP.PP.CD</t>
        </is>
      </c>
      <c r="L1372" t="inlineStr">
        <is>
          <t>Computed from city_inputs + country_context</t>
        </is>
      </c>
      <c r="M1372" t="inlineStr">
        <is>
          <t>2024-01-01</t>
        </is>
      </c>
      <c r="N1372" t="inlineStr">
        <is>
          <t>derived=rent/gross_income*100</t>
        </is>
      </c>
    </row>
    <row r="1373">
      <c r="A1373" t="inlineStr">
        <is>
          <t>fi-helsinki</t>
        </is>
      </c>
      <c r="B1373" t="inlineStr">
        <is>
          <t>Helsinki</t>
        </is>
      </c>
      <c r="C1373" t="inlineStr">
        <is>
          <t>Finland</t>
        </is>
      </c>
      <c r="D1373" t="inlineStr">
        <is>
          <t>Western and Northern Europe</t>
        </is>
      </c>
      <c r="E1373" t="inlineStr">
        <is>
          <t>household_debt_burden_raw</t>
        </is>
      </c>
      <c r="F1373" t="inlineStr">
        <is>
          <t>Household debt burden raw</t>
        </is>
      </c>
      <c r="G1373" t="inlineStr">
        <is>
          <t>pressure</t>
        </is>
      </c>
      <c r="H1373" t="inlineStr">
        <is>
          <t>yes</t>
        </is>
      </c>
      <c r="I1373" t="inlineStr">
        <is>
          <t>90.8647</t>
        </is>
      </c>
      <c r="J1373" t="inlineStr">
        <is>
          <t>derived</t>
        </is>
      </c>
      <c r="K1373" t="inlineStr">
        <is>
          <t>https://data.worldbank.org/indicator/NY.GNP.PCAP.PP.CD</t>
        </is>
      </c>
      <c r="L1373" t="inlineStr">
        <is>
          <t>Computed from city_inputs + country_context</t>
        </is>
      </c>
      <c r="M1373" t="inlineStr">
        <is>
          <t>2024-01-01</t>
        </is>
      </c>
      <c r="N1373" t="inlineStr">
        <is>
          <t>derived=country_context.household_debt_proxy; country=Finland</t>
        </is>
      </c>
    </row>
    <row r="1374">
      <c r="A1374" t="inlineStr">
        <is>
          <t>fi-helsinki</t>
        </is>
      </c>
      <c r="B1374" t="inlineStr">
        <is>
          <t>Helsinki</t>
        </is>
      </c>
      <c r="C1374" t="inlineStr">
        <is>
          <t>Finland</t>
        </is>
      </c>
      <c r="D1374" t="inlineStr">
        <is>
          <t>Western and Northern Europe</t>
        </is>
      </c>
      <c r="E1374" t="inlineStr">
        <is>
          <t>working_time_pressure_raw</t>
        </is>
      </c>
      <c r="F1374" t="inlineStr">
        <is>
          <t>Working time pressure raw</t>
        </is>
      </c>
      <c r="G1374" t="inlineStr">
        <is>
          <t>pressure</t>
        </is>
      </c>
      <c r="H1374" t="inlineStr">
        <is>
          <t>yes</t>
        </is>
      </c>
      <c r="I1374" t="inlineStr">
        <is>
          <t>33.83</t>
        </is>
      </c>
      <c r="J1374" t="inlineStr">
        <is>
          <t>ilo_ilostat</t>
        </is>
      </c>
      <c r="K1374" t="inlineStr">
        <is>
          <t>https://ilostat.ilo.org/data/indicator/?id=HOW_TEMP_SEX_ECO_NB_A&amp;ref_area=FIN</t>
        </is>
      </c>
      <c r="L1374" t="inlineStr">
        <is>
          <t>ILO ILOSTAT: Mean weekly hours actually worked per employed person</t>
        </is>
      </c>
      <c r="M1374" t="inlineStr">
        <is>
          <t>2024-12-31</t>
        </is>
      </c>
      <c r="N1374" t="inlineStr">
        <is>
          <t>auto_ingest=ilo_working_hours; indicator=HOW_TEMP_SEX_ECO_NB_A; year=2024; hours=33.83; country_proxy=Finland</t>
        </is>
      </c>
    </row>
    <row r="1375">
      <c r="A1375" t="inlineStr">
        <is>
          <t>fi-helsinki</t>
        </is>
      </c>
      <c r="B1375" t="inlineStr">
        <is>
          <t>Helsinki</t>
        </is>
      </c>
      <c r="C1375" t="inlineStr">
        <is>
          <t>Finland</t>
        </is>
      </c>
      <c r="D1375" t="inlineStr">
        <is>
          <t>Western and Northern Europe</t>
        </is>
      </c>
      <c r="E1375" t="inlineStr">
        <is>
          <t>suicide_mental_strain_raw</t>
        </is>
      </c>
      <c r="F1375" t="inlineStr">
        <is>
          <t>Suicide or mental strain raw</t>
        </is>
      </c>
      <c r="G1375" t="inlineStr">
        <is>
          <t>pressure</t>
        </is>
      </c>
      <c r="H1375" t="inlineStr">
        <is>
          <t>yes</t>
        </is>
      </c>
      <c r="I1375" t="inlineStr">
        <is>
          <t>14.57</t>
        </is>
      </c>
      <c r="J1375" t="inlineStr">
        <is>
          <t>who_gho</t>
        </is>
      </c>
      <c r="K1375" t="inlineStr">
        <is>
          <t>https://www.who.int/data/gho/data/indicators/indicator-details/GHO/SDGSUICIDE</t>
        </is>
      </c>
      <c r="L1375" t="inlineStr">
        <is>
          <t>WHO GHO: Age-standardized suicide rate (per 100,000 population)</t>
        </is>
      </c>
      <c r="M1375" t="inlineStr">
        <is>
          <t>2021-12-31</t>
        </is>
      </c>
      <c r="N1375" t="inlineStr">
        <is>
          <t>auto_ingest=who_gho; indicator=SDGSUICIDE; year=2021; country_proxy=Finland</t>
        </is>
      </c>
    </row>
    <row r="1376">
      <c r="A1376" t="inlineStr">
        <is>
          <t>fi-helsinki</t>
        </is>
      </c>
      <c r="B1376" t="inlineStr">
        <is>
          <t>Helsinki</t>
        </is>
      </c>
      <c r="C1376" t="inlineStr">
        <is>
          <t>Finland</t>
        </is>
      </c>
      <c r="D1376" t="inlineStr">
        <is>
          <t>Western and Northern Europe</t>
        </is>
      </c>
      <c r="E1376" t="inlineStr">
        <is>
          <t>personal_safety_raw</t>
        </is>
      </c>
      <c r="F1376" t="inlineStr">
        <is>
          <t>Personal safety raw</t>
        </is>
      </c>
      <c r="G1376" t="inlineStr">
        <is>
          <t>viability</t>
        </is>
      </c>
      <c r="H1376" t="inlineStr">
        <is>
          <t>yes</t>
        </is>
      </c>
      <c r="I1376" t="inlineStr">
        <is>
          <t>0.98</t>
        </is>
      </c>
      <c r="J1376" t="inlineStr">
        <is>
          <t>world_bank</t>
        </is>
      </c>
      <c r="K1376" t="inlineStr">
        <is>
          <t>https://api.worldbank.org/v2/country/FIN/indicator/VC.IHR.PSRC.P5?format=json&amp;mrv=10</t>
        </is>
      </c>
      <c r="L1376" t="inlineStr">
        <is>
          <t>UNODC via World Bank WDI: Intentional homicides (per 100,000 people)</t>
        </is>
      </c>
      <c r="M1376" t="inlineStr">
        <is>
          <t>2023-12-31</t>
        </is>
      </c>
      <c r="N1376" t="inlineStr">
        <is>
          <t>auto_ingest=unodc_safety; indicator=VC.IHR.PSRC.P5; year=2023; country_proxy=Finland</t>
        </is>
      </c>
    </row>
    <row r="1377">
      <c r="A1377" t="inlineStr">
        <is>
          <t>fi-helsinki</t>
        </is>
      </c>
      <c r="B1377" t="inlineStr">
        <is>
          <t>Helsinki</t>
        </is>
      </c>
      <c r="C1377" t="inlineStr">
        <is>
          <t>Finland</t>
        </is>
      </c>
      <c r="D1377" t="inlineStr">
        <is>
          <t>Western and Northern Europe</t>
        </is>
      </c>
      <c r="E1377" t="inlineStr">
        <is>
          <t>transit_access_commute_raw</t>
        </is>
      </c>
      <c r="F1377" t="inlineStr">
        <is>
          <t>Transit access and commute raw</t>
        </is>
      </c>
      <c r="G1377" t="inlineStr">
        <is>
          <t>viability</t>
        </is>
      </c>
      <c r="H1377" t="inlineStr">
        <is>
          <t>yes</t>
        </is>
      </c>
      <c r="I1377" t="inlineStr"/>
      <c r="J1377" t="inlineStr"/>
      <c r="K1377" t="inlineStr"/>
      <c r="L1377" t="inlineStr"/>
      <c r="M1377" t="inlineStr"/>
      <c r="N1377" t="inlineStr"/>
    </row>
    <row r="1378">
      <c r="A1378" t="inlineStr">
        <is>
          <t>fi-helsinki</t>
        </is>
      </c>
      <c r="B1378" t="inlineStr">
        <is>
          <t>Helsinki</t>
        </is>
      </c>
      <c r="C1378" t="inlineStr">
        <is>
          <t>Finland</t>
        </is>
      </c>
      <c r="D1378" t="inlineStr">
        <is>
          <t>Western and Northern Europe</t>
        </is>
      </c>
      <c r="E1378" t="inlineStr">
        <is>
          <t>clean_air_raw</t>
        </is>
      </c>
      <c r="F1378" t="inlineStr">
        <is>
          <t>Clean air raw</t>
        </is>
      </c>
      <c r="G1378" t="inlineStr">
        <is>
          <t>viability</t>
        </is>
      </c>
      <c r="H1378" t="inlineStr">
        <is>
          <t>yes</t>
        </is>
      </c>
      <c r="I1378" t="inlineStr"/>
      <c r="J1378" t="inlineStr"/>
      <c r="K1378" t="inlineStr"/>
      <c r="L1378" t="inlineStr"/>
      <c r="M1378" t="inlineStr"/>
      <c r="N1378" t="inlineStr"/>
    </row>
    <row r="1379">
      <c r="A1379" t="inlineStr">
        <is>
          <t>fi-helsinki</t>
        </is>
      </c>
      <c r="B1379" t="inlineStr">
        <is>
          <t>Helsinki</t>
        </is>
      </c>
      <c r="C1379" t="inlineStr">
        <is>
          <t>Finland</t>
        </is>
      </c>
      <c r="D1379" t="inlineStr">
        <is>
          <t>Western and Northern Europe</t>
        </is>
      </c>
      <c r="E1379" t="inlineStr">
        <is>
          <t>water_sanitation_utility_raw</t>
        </is>
      </c>
      <c r="F1379" t="inlineStr">
        <is>
          <t>Water, sanitation, and utility raw</t>
        </is>
      </c>
      <c r="G1379" t="inlineStr">
        <is>
          <t>viability</t>
        </is>
      </c>
      <c r="H1379" t="inlineStr">
        <is>
          <t>yes</t>
        </is>
      </c>
      <c r="I1379" t="inlineStr">
        <is>
          <t>99.65</t>
        </is>
      </c>
      <c r="J1379" t="inlineStr">
        <is>
          <t>world_bank</t>
        </is>
      </c>
      <c r="K1379" t="inlineStr">
        <is>
          <t>https://api.worldbank.org/v2/country/FIN/indicator/SH.H2O.SMDW.ZS?format=json&amp;mrv=10</t>
        </is>
      </c>
      <c r="L1379" t="inlineStr">
        <is>
          <t>World Bank WDI: People using safely managed drinking water services (% of population)</t>
        </is>
      </c>
      <c r="M1379" t="inlineStr">
        <is>
          <t>2024-12-31</t>
        </is>
      </c>
      <c r="N1379" t="inlineStr">
        <is>
          <t>auto_ingest=world_bank_proxy; indicator=SH.H2O.SMDW.ZS; year=2024; country_proxy=Finland</t>
        </is>
      </c>
    </row>
    <row r="1380">
      <c r="A1380" t="inlineStr">
        <is>
          <t>fi-helsinki</t>
        </is>
      </c>
      <c r="B1380" t="inlineStr">
        <is>
          <t>Helsinki</t>
        </is>
      </c>
      <c r="C1380" t="inlineStr">
        <is>
          <t>Finland</t>
        </is>
      </c>
      <c r="D1380" t="inlineStr">
        <is>
          <t>Western and Northern Europe</t>
        </is>
      </c>
      <c r="E1380" t="inlineStr">
        <is>
          <t>digital_infrastructure_raw</t>
        </is>
      </c>
      <c r="F1380" t="inlineStr">
        <is>
          <t>Digital infrastructure raw</t>
        </is>
      </c>
      <c r="G1380" t="inlineStr">
        <is>
          <t>viability</t>
        </is>
      </c>
      <c r="H1380" t="inlineStr">
        <is>
          <t>yes</t>
        </is>
      </c>
      <c r="I1380" t="inlineStr">
        <is>
          <t>35.33</t>
        </is>
      </c>
      <c r="J1380" t="inlineStr">
        <is>
          <t>world_bank</t>
        </is>
      </c>
      <c r="K1380" t="inlineStr">
        <is>
          <t>https://api.worldbank.org/v2/country/FIN/indicator/IT.NET.BBND.P2?format=json&amp;mrv=10</t>
        </is>
      </c>
      <c r="L1380" t="inlineStr">
        <is>
          <t>World Bank WDI: Fixed broadband subscriptions (per 100 people)</t>
        </is>
      </c>
      <c r="M1380" t="inlineStr">
        <is>
          <t>2023-12-31</t>
        </is>
      </c>
      <c r="N1380" t="inlineStr">
        <is>
          <t>auto_ingest=world_bank_proxy; indicator=IT.NET.BBND.P2; year=2023; country_proxy=Finland</t>
        </is>
      </c>
    </row>
    <row r="1381">
      <c r="A1381" t="inlineStr">
        <is>
          <t>fi-helsinki</t>
        </is>
      </c>
      <c r="B1381" t="inlineStr">
        <is>
          <t>Helsinki</t>
        </is>
      </c>
      <c r="C1381" t="inlineStr">
        <is>
          <t>Finland</t>
        </is>
      </c>
      <c r="D1381" t="inlineStr">
        <is>
          <t>Western and Northern Europe</t>
        </is>
      </c>
      <c r="E1381" t="inlineStr">
        <is>
          <t>climate_sunlight_livability_raw</t>
        </is>
      </c>
      <c r="F1381" t="inlineStr">
        <is>
          <t>Climate and sunlight livability raw</t>
        </is>
      </c>
      <c r="G1381" t="inlineStr">
        <is>
          <t>viability</t>
        </is>
      </c>
      <c r="H1381" t="inlineStr">
        <is>
          <t>yes</t>
        </is>
      </c>
      <c r="I1381" t="inlineStr">
        <is>
          <t>32</t>
        </is>
      </c>
      <c r="J1381" t="inlineStr">
        <is>
          <t>wmo_natl_met</t>
        </is>
      </c>
      <c r="K1381" t="inlineStr">
        <is>
          <t>https://worldweather.wmo.int</t>
        </is>
      </c>
      <c r="L1381" t="inlineStr">
        <is>
          <t>WMO/National Met: Climate livability composite</t>
        </is>
      </c>
      <c r="M1381" t="inlineStr">
        <is>
          <t>2024-12-31</t>
        </is>
      </c>
      <c r="N1381" t="inlineStr">
        <is>
          <t>auto_seed=climate_composite; 1780 sun hrs, 6C mean, very dark winters, extreme cold</t>
        </is>
      </c>
    </row>
    <row r="1382">
      <c r="A1382" t="inlineStr">
        <is>
          <t>fi-helsinki</t>
        </is>
      </c>
      <c r="B1382" t="inlineStr">
        <is>
          <t>Helsinki</t>
        </is>
      </c>
      <c r="C1382" t="inlineStr">
        <is>
          <t>Finland</t>
        </is>
      </c>
      <c r="D1382" t="inlineStr">
        <is>
          <t>Western and Northern Europe</t>
        </is>
      </c>
      <c r="E1382" t="inlineStr">
        <is>
          <t>healthcare_quality_raw</t>
        </is>
      </c>
      <c r="F1382" t="inlineStr">
        <is>
          <t>Healthcare quality raw</t>
        </is>
      </c>
      <c r="G1382" t="inlineStr">
        <is>
          <t>capability</t>
        </is>
      </c>
      <c r="H1382" t="inlineStr">
        <is>
          <t>yes</t>
        </is>
      </c>
      <c r="I1382" t="inlineStr">
        <is>
          <t>86.0</t>
        </is>
      </c>
      <c r="J1382" t="inlineStr">
        <is>
          <t>who_gho</t>
        </is>
      </c>
      <c r="K1382" t="inlineStr">
        <is>
          <t>https://www.who.int/data/gho/data/indicators/indicator-details/GHO/UHC_INDEX_REPORTED</t>
        </is>
      </c>
      <c r="L1382" t="inlineStr">
        <is>
          <t>WHO GHO: UHC Service Coverage Index</t>
        </is>
      </c>
      <c r="M1382" t="inlineStr">
        <is>
          <t>2023-12-31</t>
        </is>
      </c>
      <c r="N1382" t="inlineStr">
        <is>
          <t>auto_ingest=who_gho; indicator=UHC_INDEX_REPORTED; year=2023; country_proxy=Finland</t>
        </is>
      </c>
    </row>
    <row r="1383">
      <c r="A1383" t="inlineStr">
        <is>
          <t>fi-helsinki</t>
        </is>
      </c>
      <c r="B1383" t="inlineStr">
        <is>
          <t>Helsinki</t>
        </is>
      </c>
      <c r="C1383" t="inlineStr">
        <is>
          <t>Finland</t>
        </is>
      </c>
      <c r="D1383" t="inlineStr">
        <is>
          <t>Western and Northern Europe</t>
        </is>
      </c>
      <c r="E1383" t="inlineStr">
        <is>
          <t>education_quality_raw</t>
        </is>
      </c>
      <c r="F1383" t="inlineStr">
        <is>
          <t>Education quality raw</t>
        </is>
      </c>
      <c r="G1383" t="inlineStr">
        <is>
          <t>capability</t>
        </is>
      </c>
      <c r="H1383" t="inlineStr">
        <is>
          <t>yes</t>
        </is>
      </c>
      <c r="I1383" t="inlineStr">
        <is>
          <t>108.13</t>
        </is>
      </c>
      <c r="J1383" t="inlineStr">
        <is>
          <t>world_bank</t>
        </is>
      </c>
      <c r="K1383" t="inlineStr">
        <is>
          <t>https://api.worldbank.org/v2/country/FIN/indicator/SE.TER.ENRR?format=json&amp;mrv=10</t>
        </is>
      </c>
      <c r="L1383" t="inlineStr">
        <is>
          <t>World Bank WDI: School enrollment, tertiary (% gross)</t>
        </is>
      </c>
      <c r="M1383" t="inlineStr">
        <is>
          <t>2023-12-31</t>
        </is>
      </c>
      <c r="N1383" t="inlineStr">
        <is>
          <t>auto_ingest=world_bank_proxy; indicator=SE.TER.ENRR; year=2023; country_proxy=Finland</t>
        </is>
      </c>
    </row>
    <row r="1384">
      <c r="A1384" t="inlineStr">
        <is>
          <t>fi-helsinki</t>
        </is>
      </c>
      <c r="B1384" t="inlineStr">
        <is>
          <t>Helsinki</t>
        </is>
      </c>
      <c r="C1384" t="inlineStr">
        <is>
          <t>Finland</t>
        </is>
      </c>
      <c r="D1384" t="inlineStr">
        <is>
          <t>Western and Northern Europe</t>
        </is>
      </c>
      <c r="E1384" t="inlineStr">
        <is>
          <t>equal_opportunity_raw</t>
        </is>
      </c>
      <c r="F1384" t="inlineStr">
        <is>
          <t>Equal opportunity raw</t>
        </is>
      </c>
      <c r="G1384" t="inlineStr">
        <is>
          <t>capability</t>
        </is>
      </c>
      <c r="H1384" t="inlineStr">
        <is>
          <t>yes</t>
        </is>
      </c>
      <c r="I1384" t="inlineStr">
        <is>
          <t>27.4</t>
        </is>
      </c>
      <c r="J1384" t="inlineStr">
        <is>
          <t>world_bank</t>
        </is>
      </c>
      <c r="K1384" t="inlineStr">
        <is>
          <t>https://api.worldbank.org/v2/country/FIN/indicator/SI.POV.GINI?format=json&amp;mrv=10</t>
        </is>
      </c>
      <c r="L1384" t="inlineStr">
        <is>
          <t>World Bank WDI: Gini index</t>
        </is>
      </c>
      <c r="M1384" t="inlineStr">
        <is>
          <t>2023-12-31</t>
        </is>
      </c>
      <c r="N1384" t="inlineStr">
        <is>
          <t>auto_ingest=world_bank_capability; indicator=SI.POV.GINI; year=2023; country_proxy=Finland</t>
        </is>
      </c>
    </row>
    <row r="1385">
      <c r="A1385" t="inlineStr">
        <is>
          <t>fi-helsinki</t>
        </is>
      </c>
      <c r="B1385" t="inlineStr">
        <is>
          <t>Helsinki</t>
        </is>
      </c>
      <c r="C1385" t="inlineStr">
        <is>
          <t>Finland</t>
        </is>
      </c>
      <c r="D1385" t="inlineStr">
        <is>
          <t>Western and Northern Europe</t>
        </is>
      </c>
      <c r="E1385" t="inlineStr">
        <is>
          <t>hospitality_belonging_raw</t>
        </is>
      </c>
      <c r="F1385" t="inlineStr">
        <is>
          <t>Hospitality and belonging raw</t>
        </is>
      </c>
      <c r="G1385" t="inlineStr">
        <is>
          <t>community</t>
        </is>
      </c>
      <c r="H1385" t="inlineStr">
        <is>
          <t>yes</t>
        </is>
      </c>
      <c r="I1385" t="inlineStr">
        <is>
          <t>53.25</t>
        </is>
      </c>
      <c r="J1385" t="inlineStr">
        <is>
          <t>world_bank</t>
        </is>
      </c>
      <c r="K1385" t="inlineStr">
        <is>
          <t>https://api.worldbank.org/v2/country/FIN/indicator/SM.POP.NETM?format=json&amp;mrv=10</t>
        </is>
      </c>
      <c r="L1385" t="inlineStr">
        <is>
          <t>World Bank WDI: Net migration (proxy for hospitality/belonging — positive = welcoming)</t>
        </is>
      </c>
      <c r="M1385" t="inlineStr">
        <is>
          <t>2025-12-31</t>
        </is>
      </c>
      <c r="N1385" t="inlineStr">
        <is>
          <t>auto_ingest=world_bank_proxy; proxy=net_migration_hospitality; indicator=SM.POP.NETM; year=2025; country_proxy=Finland</t>
        </is>
      </c>
    </row>
    <row r="1386">
      <c r="A1386" t="inlineStr">
        <is>
          <t>fi-helsinki</t>
        </is>
      </c>
      <c r="B1386" t="inlineStr">
        <is>
          <t>Helsinki</t>
        </is>
      </c>
      <c r="C1386" t="inlineStr">
        <is>
          <t>Finland</t>
        </is>
      </c>
      <c r="D1386" t="inlineStr">
        <is>
          <t>Western and Northern Europe</t>
        </is>
      </c>
      <c r="E1386" t="inlineStr">
        <is>
          <t>tolerance_pluralism_raw</t>
        </is>
      </c>
      <c r="F1386" t="inlineStr">
        <is>
          <t>Tolerance and pluralism raw</t>
        </is>
      </c>
      <c r="G1386" t="inlineStr">
        <is>
          <t>community</t>
        </is>
      </c>
      <c r="H1386" t="inlineStr">
        <is>
          <t>yes</t>
        </is>
      </c>
      <c r="I1386" t="inlineStr">
        <is>
          <t>46.0</t>
        </is>
      </c>
      <c r="J1386" t="inlineStr">
        <is>
          <t>world_bank</t>
        </is>
      </c>
      <c r="K1386" t="inlineStr">
        <is>
          <t>https://api.worldbank.org/v2/country/FIN/indicator/SG.GEN.PARL.ZS?format=json&amp;mrv=10</t>
        </is>
      </c>
      <c r="L1386" t="inlineStr">
        <is>
          <t>World Bank WDI: Proportion of seats held by women in national parliaments (%)</t>
        </is>
      </c>
      <c r="M1386" t="inlineStr">
        <is>
          <t>2024-12-31</t>
        </is>
      </c>
      <c r="N1386" t="inlineStr">
        <is>
          <t>auto_ingest=world_bank_proxy; proxy=gender_parity_parliament; indicator=SG.GEN.PARL.ZS; year=2024; country_proxy=Finland</t>
        </is>
      </c>
    </row>
    <row r="1387">
      <c r="A1387" t="inlineStr">
        <is>
          <t>fi-helsinki</t>
        </is>
      </c>
      <c r="B1387" t="inlineStr">
        <is>
          <t>Helsinki</t>
        </is>
      </c>
      <c r="C1387" t="inlineStr">
        <is>
          <t>Finland</t>
        </is>
      </c>
      <c r="D1387" t="inlineStr">
        <is>
          <t>Western and Northern Europe</t>
        </is>
      </c>
      <c r="E1387" t="inlineStr">
        <is>
          <t>cultural_public_life_raw</t>
        </is>
      </c>
      <c r="F1387" t="inlineStr">
        <is>
          <t>Cultural public life raw</t>
        </is>
      </c>
      <c r="G1387" t="inlineStr">
        <is>
          <t>community</t>
        </is>
      </c>
      <c r="H1387" t="inlineStr">
        <is>
          <t>yes</t>
        </is>
      </c>
      <c r="I1387" t="inlineStr">
        <is>
          <t>159.43</t>
        </is>
      </c>
      <c r="J1387" t="inlineStr">
        <is>
          <t>world_bank</t>
        </is>
      </c>
      <c r="K1387" t="inlineStr">
        <is>
          <t>https://api.worldbank.org/v2/country/FIN/indicator/ST.INT.ARVL?format=json&amp;mrv=10</t>
        </is>
      </c>
      <c r="L1387" t="inlineStr">
        <is>
          <t>World Bank WDI: International tourism arrivals per 1 000 population</t>
        </is>
      </c>
      <c r="M1387" t="inlineStr">
        <is>
          <t>2020-12-31</t>
        </is>
      </c>
      <c r="N1387" t="inlineStr">
        <is>
          <t>auto_ingest=cultural_life_proxy; indicator=ST.INT.ARVL; norm=per_1000_pop; year=2020; country_proxy=Finland</t>
        </is>
      </c>
    </row>
    <row r="1388">
      <c r="A1388" t="inlineStr">
        <is>
          <t>fi-helsinki</t>
        </is>
      </c>
      <c r="B1388" t="inlineStr">
        <is>
          <t>Helsinki</t>
        </is>
      </c>
      <c r="C1388" t="inlineStr">
        <is>
          <t>Finland</t>
        </is>
      </c>
      <c r="D1388" t="inlineStr">
        <is>
          <t>Western and Northern Europe</t>
        </is>
      </c>
      <c r="E1388" t="inlineStr">
        <is>
          <t>birth_rate_optimism_raw</t>
        </is>
      </c>
      <c r="F1388" t="inlineStr">
        <is>
          <t>Birth rate and societal optimism raw</t>
        </is>
      </c>
      <c r="G1388" t="inlineStr">
        <is>
          <t>community</t>
        </is>
      </c>
      <c r="H1388" t="inlineStr">
        <is>
          <t>yes</t>
        </is>
      </c>
      <c r="I1388" t="inlineStr">
        <is>
          <t>1.32</t>
        </is>
      </c>
      <c r="J1388" t="inlineStr">
        <is>
          <t>world_bank</t>
        </is>
      </c>
      <c r="K1388" t="inlineStr">
        <is>
          <t>https://data.worldbank.org/indicator/SP.DYN.TFRT.IN</t>
        </is>
      </c>
      <c r="L1388" t="inlineStr">
        <is>
          <t>World Bank Total Fertility Rate 2023</t>
        </is>
      </c>
      <c r="M1388" t="inlineStr">
        <is>
          <t>2024-01-01</t>
        </is>
      </c>
      <c r="N1388" t="inlineStr"/>
    </row>
    <row r="1389">
      <c r="A1389" t="inlineStr">
        <is>
          <t>fi-helsinki</t>
        </is>
      </c>
      <c r="B1389" t="inlineStr">
        <is>
          <t>Helsinki</t>
        </is>
      </c>
      <c r="C1389" t="inlineStr">
        <is>
          <t>Finland</t>
        </is>
      </c>
      <c r="D1389" t="inlineStr">
        <is>
          <t>Western and Northern Europe</t>
        </is>
      </c>
      <c r="E1389" t="inlineStr">
        <is>
          <t>entrepreneurial_dynamism_raw</t>
        </is>
      </c>
      <c r="F1389" t="inlineStr">
        <is>
          <t>Entrepreneurial dynamism raw</t>
        </is>
      </c>
      <c r="G1389" t="inlineStr">
        <is>
          <t>creative</t>
        </is>
      </c>
      <c r="H1389" t="inlineStr">
        <is>
          <t>yes</t>
        </is>
      </c>
      <c r="I1389" t="inlineStr">
        <is>
          <t>6.11</t>
        </is>
      </c>
      <c r="J1389" t="inlineStr">
        <is>
          <t>world_bank</t>
        </is>
      </c>
      <c r="K1389" t="inlineStr">
        <is>
          <t>https://api.worldbank.org/v2/country/FIN/indicator/IC.BUS.NDNS.ZS?format=json&amp;mrv=10</t>
        </is>
      </c>
      <c r="L1389" t="inlineStr">
        <is>
          <t>World Bank WDI: New business density (new registrations per 1,000 people ages 15-64)</t>
        </is>
      </c>
      <c r="M1389" t="inlineStr">
        <is>
          <t>2022-12-31</t>
        </is>
      </c>
      <c r="N1389" t="inlineStr">
        <is>
          <t>auto_ingest=world_bank_creative_extended; indicator=IC.BUS.NDNS.ZS; year=2022; country_proxy=Finland</t>
        </is>
      </c>
    </row>
    <row r="1390">
      <c r="A1390" t="inlineStr">
        <is>
          <t>fi-helsinki</t>
        </is>
      </c>
      <c r="B1390" t="inlineStr">
        <is>
          <t>Helsinki</t>
        </is>
      </c>
      <c r="C1390" t="inlineStr">
        <is>
          <t>Finland</t>
        </is>
      </c>
      <c r="D1390" t="inlineStr">
        <is>
          <t>Western and Northern Europe</t>
        </is>
      </c>
      <c r="E1390" t="inlineStr">
        <is>
          <t>innovation_research_intensity_raw</t>
        </is>
      </c>
      <c r="F1390" t="inlineStr">
        <is>
          <t>Innovation and research raw</t>
        </is>
      </c>
      <c r="G1390" t="inlineStr">
        <is>
          <t>creative</t>
        </is>
      </c>
      <c r="H1390" t="inlineStr">
        <is>
          <t>yes</t>
        </is>
      </c>
      <c r="I1390" t="inlineStr">
        <is>
          <t>2.96</t>
        </is>
      </c>
      <c r="J1390" t="inlineStr">
        <is>
          <t>world_bank</t>
        </is>
      </c>
      <c r="K1390" t="inlineStr">
        <is>
          <t>https://api.worldbank.org/v2/country/FIN/indicator/GB.XPD.RSDV.GD.ZS?format=json&amp;mrv=10</t>
        </is>
      </c>
      <c r="L1390" t="inlineStr">
        <is>
          <t>World Bank WDI: Research and development expenditure (% of GDP)</t>
        </is>
      </c>
      <c r="M1390" t="inlineStr">
        <is>
          <t>2022-12-31</t>
        </is>
      </c>
      <c r="N1390" t="inlineStr">
        <is>
          <t>auto_ingest=world_bank_creative_extended; indicator=GB.XPD.RSDV.GD.ZS; year=2022; country_proxy=Finland</t>
        </is>
      </c>
    </row>
    <row r="1391">
      <c r="A1391" t="inlineStr">
        <is>
          <t>fi-helsinki</t>
        </is>
      </c>
      <c r="B1391" t="inlineStr">
        <is>
          <t>Helsinki</t>
        </is>
      </c>
      <c r="C1391" t="inlineStr">
        <is>
          <t>Finland</t>
        </is>
      </c>
      <c r="D1391" t="inlineStr">
        <is>
          <t>Western and Northern Europe</t>
        </is>
      </c>
      <c r="E1391" t="inlineStr">
        <is>
          <t>investment_signal_raw</t>
        </is>
      </c>
      <c r="F1391" t="inlineStr">
        <is>
          <t>Investment signal raw</t>
        </is>
      </c>
      <c r="G1391" t="inlineStr">
        <is>
          <t>creative</t>
        </is>
      </c>
      <c r="H1391" t="inlineStr">
        <is>
          <t>yes</t>
        </is>
      </c>
      <c r="I1391" t="inlineStr">
        <is>
          <t>2.93</t>
        </is>
      </c>
      <c r="J1391" t="inlineStr">
        <is>
          <t>world_bank</t>
        </is>
      </c>
      <c r="K1391" t="inlineStr">
        <is>
          <t>https://api.worldbank.org/v2/country/FIN/indicator/BX.KLT.DINV.WD.GD.ZS?format=json&amp;mrv=10</t>
        </is>
      </c>
      <c r="L1391" t="inlineStr">
        <is>
          <t>World Bank WDI: Foreign direct investment, net inflows (% of GDP)</t>
        </is>
      </c>
      <c r="M1391" t="inlineStr">
        <is>
          <t>2024-12-31</t>
        </is>
      </c>
      <c r="N1391" t="inlineStr">
        <is>
          <t>auto_ingest=world_bank_creative_extended; indicator=BX.KLT.DINV.WD.GD.ZS; year=2024; country_proxy=Finland</t>
        </is>
      </c>
    </row>
    <row r="1392">
      <c r="A1392" t="inlineStr">
        <is>
          <t>fi-helsinki</t>
        </is>
      </c>
      <c r="B1392" t="inlineStr">
        <is>
          <t>Helsinki</t>
        </is>
      </c>
      <c r="C1392" t="inlineStr">
        <is>
          <t>Finland</t>
        </is>
      </c>
      <c r="D1392" t="inlineStr">
        <is>
          <t>Western and Northern Europe</t>
        </is>
      </c>
      <c r="E1392" t="inlineStr">
        <is>
          <t>administrative_investment_friction_raw</t>
        </is>
      </c>
      <c r="F1392" t="inlineStr">
        <is>
          <t>Administrative investment friction raw</t>
        </is>
      </c>
      <c r="G1392" t="inlineStr">
        <is>
          <t>creative</t>
        </is>
      </c>
      <c r="H1392" t="inlineStr">
        <is>
          <t>yes</t>
        </is>
      </c>
      <c r="I1392" t="inlineStr">
        <is>
          <t>0.73</t>
        </is>
      </c>
      <c r="J1392" t="inlineStr">
        <is>
          <t>world_bank</t>
        </is>
      </c>
      <c r="K1392" t="inlineStr">
        <is>
          <t>https://api.worldbank.org/v2/country/FIN/indicator/RQ.EST?format=json&amp;mrv=10</t>
        </is>
      </c>
      <c r="L1392" t="inlineStr">
        <is>
          <t>World Bank WGI: Regulatory Quality (inverted as friction proxy)</t>
        </is>
      </c>
      <c r="M1392" t="inlineStr">
        <is>
          <t>2023-12-31</t>
        </is>
      </c>
      <c r="N1392" t="inlineStr">
        <is>
          <t>auto_ingest=world_bank_business_friction; indicator=RQ.EST; raw_rq=1.76514935493469; friction=0.73; year=2023; country_proxy=Finland</t>
        </is>
      </c>
    </row>
    <row r="1393">
      <c r="A1393" t="inlineStr">
        <is>
          <t>fi-helsinki</t>
        </is>
      </c>
      <c r="B1393" t="inlineStr">
        <is>
          <t>Helsinki</t>
        </is>
      </c>
      <c r="C1393" t="inlineStr">
        <is>
          <t>Finland</t>
        </is>
      </c>
      <c r="D1393" t="inlineStr">
        <is>
          <t>Western and Northern Europe</t>
        </is>
      </c>
      <c r="E1393" t="inlineStr">
        <is>
          <t>visitor_flow_context_raw</t>
        </is>
      </c>
      <c r="F1393" t="inlineStr">
        <is>
          <t>Visitor flow context raw</t>
        </is>
      </c>
      <c r="G1393" t="inlineStr">
        <is>
          <t>creative</t>
        </is>
      </c>
      <c r="H1393" t="inlineStr">
        <is>
          <t>no</t>
        </is>
      </c>
      <c r="I1393" t="inlineStr"/>
      <c r="J1393" t="inlineStr"/>
      <c r="K1393" t="inlineStr"/>
      <c r="L1393" t="inlineStr"/>
      <c r="M1393" t="inlineStr"/>
      <c r="N1393" t="inlineStr"/>
    </row>
    <row r="1394">
      <c r="A1394" t="inlineStr">
        <is>
          <t>it-bologna</t>
        </is>
      </c>
      <c r="B1394" t="inlineStr">
        <is>
          <t>Bologna</t>
        </is>
      </c>
      <c r="C1394" t="inlineStr">
        <is>
          <t>Italy</t>
        </is>
      </c>
      <c r="D1394" t="inlineStr">
        <is>
          <t>Western, Northern, and Southern Europe</t>
        </is>
      </c>
      <c r="E1394" t="inlineStr">
        <is>
          <t>gross_income</t>
        </is>
      </c>
      <c r="F1394" t="inlineStr">
        <is>
          <t>Gross income</t>
        </is>
      </c>
      <c r="G1394" t="inlineStr">
        <is>
          <t>pressure</t>
        </is>
      </c>
      <c r="H1394" t="inlineStr">
        <is>
          <t>yes</t>
        </is>
      </c>
      <c r="I1394" t="inlineStr">
        <is>
          <t>5135.0</t>
        </is>
      </c>
      <c r="J1394" t="inlineStr">
        <is>
          <t>world_bank_col_estimate</t>
        </is>
      </c>
      <c r="K1394" t="inlineStr">
        <is>
          <t>https://api.worldbank.org/v2/country/ITA/indicator/NY.GNP.PCAP.PP.CD?format=json&amp;mrv=10</t>
        </is>
      </c>
      <c r="L1394" t="inlineStr">
        <is>
          <t>World Bank WDI: GNI per capita PPP (monthly USD)</t>
        </is>
      </c>
      <c r="M1394" t="inlineStr">
        <is>
          <t>2024-12-31</t>
        </is>
      </c>
      <c r="N1394" t="inlineStr">
        <is>
          <t>auto_ingest=world_bank_col_estimate; gni_annual=61620.0; year=2024; country_proxy=Italy; cohort=Western, Northern, and Southern Europe</t>
        </is>
      </c>
    </row>
    <row r="1395">
      <c r="A1395" t="inlineStr">
        <is>
          <t>it-bologna</t>
        </is>
      </c>
      <c r="B1395" t="inlineStr">
        <is>
          <t>Bologna</t>
        </is>
      </c>
      <c r="C1395" t="inlineStr">
        <is>
          <t>Italy</t>
        </is>
      </c>
      <c r="D1395" t="inlineStr">
        <is>
          <t>Western, Northern, and Southern Europe</t>
        </is>
      </c>
      <c r="E1395" t="inlineStr">
        <is>
          <t>di_ppp_raw</t>
        </is>
      </c>
      <c r="F1395" t="inlineStr">
        <is>
          <t>Disposable income PPP (Raw)</t>
        </is>
      </c>
      <c r="G1395" t="inlineStr">
        <is>
          <t>pressure</t>
        </is>
      </c>
      <c r="H1395" t="inlineStr">
        <is>
          <t>yes</t>
        </is>
      </c>
      <c r="I1395" t="inlineStr"/>
      <c r="J1395" t="inlineStr"/>
      <c r="K1395" t="inlineStr"/>
      <c r="L1395" t="inlineStr"/>
      <c r="M1395" t="inlineStr"/>
      <c r="N1395" t="inlineStr"/>
    </row>
    <row r="1396">
      <c r="A1396" t="inlineStr">
        <is>
          <t>it-bologna</t>
        </is>
      </c>
      <c r="B1396" t="inlineStr">
        <is>
          <t>Bologna</t>
        </is>
      </c>
      <c r="C1396" t="inlineStr">
        <is>
          <t>Italy</t>
        </is>
      </c>
      <c r="D1396" t="inlineStr">
        <is>
          <t>Western, Northern, and Southern Europe</t>
        </is>
      </c>
      <c r="E1396" t="inlineStr">
        <is>
          <t>rent</t>
        </is>
      </c>
      <c r="F1396" t="inlineStr">
        <is>
          <t>Rent</t>
        </is>
      </c>
      <c r="G1396" t="inlineStr">
        <is>
          <t>pressure</t>
        </is>
      </c>
      <c r="H1396" t="inlineStr">
        <is>
          <t>yes</t>
        </is>
      </c>
      <c r="I1396" t="inlineStr">
        <is>
          <t>1617.52</t>
        </is>
      </c>
      <c r="J1396" t="inlineStr">
        <is>
          <t>world_bank_col_estimate</t>
        </is>
      </c>
      <c r="K1396" t="inlineStr">
        <is>
          <t>https://api.worldbank.org/v2/country/ITA/indicator/NY.GNP.PCAP.PP.CD?format=json&amp;mrv=10</t>
        </is>
      </c>
      <c r="L1396" t="inlineStr">
        <is>
          <t>World Bank GNI + regional expenditure ratio estimate</t>
        </is>
      </c>
      <c r="M1396" t="inlineStr">
        <is>
          <t>2024-12-31</t>
        </is>
      </c>
      <c r="N1396" t="inlineStr">
        <is>
          <t>auto_ingest=world_bank_col_estimate; gni_annual=61620.0; year=2024; country_proxy=Italy; cohort=Western, Northern, and Southern Europe; city_cost_mult=0.9</t>
        </is>
      </c>
    </row>
    <row r="1397">
      <c r="A1397" t="inlineStr">
        <is>
          <t>it-bologna</t>
        </is>
      </c>
      <c r="B1397" t="inlineStr">
        <is>
          <t>Bologna</t>
        </is>
      </c>
      <c r="C1397" t="inlineStr">
        <is>
          <t>Italy</t>
        </is>
      </c>
      <c r="D1397" t="inlineStr">
        <is>
          <t>Western, Northern, and Southern Europe</t>
        </is>
      </c>
      <c r="E1397" t="inlineStr">
        <is>
          <t>utilities</t>
        </is>
      </c>
      <c r="F1397" t="inlineStr">
        <is>
          <t>Utilities</t>
        </is>
      </c>
      <c r="G1397" t="inlineStr">
        <is>
          <t>pressure</t>
        </is>
      </c>
      <c r="H1397" t="inlineStr">
        <is>
          <t>yes</t>
        </is>
      </c>
      <c r="I1397" t="inlineStr">
        <is>
          <t>323.51</t>
        </is>
      </c>
      <c r="J1397" t="inlineStr">
        <is>
          <t>world_bank_col_estimate</t>
        </is>
      </c>
      <c r="K1397" t="inlineStr">
        <is>
          <t>https://api.worldbank.org/v2/country/ITA/indicator/NY.GNP.PCAP.PP.CD?format=json&amp;mrv=10</t>
        </is>
      </c>
      <c r="L1397" t="inlineStr">
        <is>
          <t>World Bank GNI + regional expenditure ratio estimate</t>
        </is>
      </c>
      <c r="M1397" t="inlineStr">
        <is>
          <t>2024-12-31</t>
        </is>
      </c>
      <c r="N1397" t="inlineStr">
        <is>
          <t>auto_ingest=world_bank_col_estimate; gni_annual=61620.0; year=2024; country_proxy=Italy; cohort=Western, Northern, and Southern Europe; city_cost_mult=0.9</t>
        </is>
      </c>
    </row>
    <row r="1398">
      <c r="A1398" t="inlineStr">
        <is>
          <t>it-bologna</t>
        </is>
      </c>
      <c r="B1398" t="inlineStr">
        <is>
          <t>Bologna</t>
        </is>
      </c>
      <c r="C1398" t="inlineStr">
        <is>
          <t>Italy</t>
        </is>
      </c>
      <c r="D1398" t="inlineStr">
        <is>
          <t>Western, Northern, and Southern Europe</t>
        </is>
      </c>
      <c r="E1398" t="inlineStr">
        <is>
          <t>transit_cost</t>
        </is>
      </c>
      <c r="F1398" t="inlineStr">
        <is>
          <t>Transit cost</t>
        </is>
      </c>
      <c r="G1398" t="inlineStr">
        <is>
          <t>pressure</t>
        </is>
      </c>
      <c r="H1398" t="inlineStr">
        <is>
          <t>yes</t>
        </is>
      </c>
      <c r="I1398" t="inlineStr">
        <is>
          <t>231.08</t>
        </is>
      </c>
      <c r="J1398" t="inlineStr">
        <is>
          <t>world_bank_col_estimate</t>
        </is>
      </c>
      <c r="K1398" t="inlineStr">
        <is>
          <t>https://api.worldbank.org/v2/country/ITA/indicator/NY.GNP.PCAP.PP.CD?format=json&amp;mrv=10</t>
        </is>
      </c>
      <c r="L1398" t="inlineStr">
        <is>
          <t>World Bank GNI + regional expenditure ratio estimate</t>
        </is>
      </c>
      <c r="M1398" t="inlineStr">
        <is>
          <t>2024-12-31</t>
        </is>
      </c>
      <c r="N1398" t="inlineStr">
        <is>
          <t>auto_ingest=world_bank_col_estimate; gni_annual=61620.0; year=2024; country_proxy=Italy; cohort=Western, Northern, and Southern Europe; city_cost_mult=0.9</t>
        </is>
      </c>
    </row>
    <row r="1399">
      <c r="A1399" t="inlineStr">
        <is>
          <t>it-bologna</t>
        </is>
      </c>
      <c r="B1399" t="inlineStr">
        <is>
          <t>Bologna</t>
        </is>
      </c>
      <c r="C1399" t="inlineStr">
        <is>
          <t>Italy</t>
        </is>
      </c>
      <c r="D1399" t="inlineStr">
        <is>
          <t>Western, Northern, and Southern Europe</t>
        </is>
      </c>
      <c r="E1399" t="inlineStr">
        <is>
          <t>internet_cost</t>
        </is>
      </c>
      <c r="F1399" t="inlineStr">
        <is>
          <t>Internet cost</t>
        </is>
      </c>
      <c r="G1399" t="inlineStr">
        <is>
          <t>pressure</t>
        </is>
      </c>
      <c r="H1399" t="inlineStr">
        <is>
          <t>yes</t>
        </is>
      </c>
      <c r="I1399" t="inlineStr">
        <is>
          <t>69.32</t>
        </is>
      </c>
      <c r="J1399" t="inlineStr">
        <is>
          <t>world_bank_col_estimate</t>
        </is>
      </c>
      <c r="K1399" t="inlineStr">
        <is>
          <t>https://api.worldbank.org/v2/country/ITA/indicator/NY.GNP.PCAP.PP.CD?format=json&amp;mrv=10</t>
        </is>
      </c>
      <c r="L1399" t="inlineStr">
        <is>
          <t>World Bank GNI + regional expenditure ratio estimate</t>
        </is>
      </c>
      <c r="M1399" t="inlineStr">
        <is>
          <t>2024-12-31</t>
        </is>
      </c>
      <c r="N1399" t="inlineStr">
        <is>
          <t>auto_ingest=world_bank_col_estimate; gni_annual=61620.0; year=2024; country_proxy=Italy; cohort=Western, Northern, and Southern Europe; city_cost_mult=0.9</t>
        </is>
      </c>
    </row>
    <row r="1400">
      <c r="A1400" t="inlineStr">
        <is>
          <t>it-bologna</t>
        </is>
      </c>
      <c r="B1400" t="inlineStr">
        <is>
          <t>Bologna</t>
        </is>
      </c>
      <c r="C1400" t="inlineStr">
        <is>
          <t>Italy</t>
        </is>
      </c>
      <c r="D1400" t="inlineStr">
        <is>
          <t>Western, Northern, and Southern Europe</t>
        </is>
      </c>
      <c r="E1400" t="inlineStr">
        <is>
          <t>food_cost</t>
        </is>
      </c>
      <c r="F1400" t="inlineStr">
        <is>
          <t>Food cost</t>
        </is>
      </c>
      <c r="G1400" t="inlineStr">
        <is>
          <t>pressure</t>
        </is>
      </c>
      <c r="H1400" t="inlineStr">
        <is>
          <t>yes</t>
        </is>
      </c>
      <c r="I1400" t="inlineStr">
        <is>
          <t>693.23</t>
        </is>
      </c>
      <c r="J1400" t="inlineStr">
        <is>
          <t>world_bank_col_estimate</t>
        </is>
      </c>
      <c r="K1400" t="inlineStr">
        <is>
          <t>https://api.worldbank.org/v2/country/ITA/indicator/NY.GNP.PCAP.PP.CD?format=json&amp;mrv=10</t>
        </is>
      </c>
      <c r="L1400" t="inlineStr">
        <is>
          <t>World Bank GNI + regional expenditure ratio estimate</t>
        </is>
      </c>
      <c r="M1400" t="inlineStr">
        <is>
          <t>2024-12-31</t>
        </is>
      </c>
      <c r="N1400" t="inlineStr">
        <is>
          <t>auto_ingest=world_bank_col_estimate; gni_annual=61620.0; year=2024; country_proxy=Italy; cohort=Western, Northern, and Southern Europe; city_cost_mult=0.9</t>
        </is>
      </c>
    </row>
    <row r="1401">
      <c r="A1401" t="inlineStr">
        <is>
          <t>it-bologna</t>
        </is>
      </c>
      <c r="B1401" t="inlineStr">
        <is>
          <t>Bologna</t>
        </is>
      </c>
      <c r="C1401" t="inlineStr">
        <is>
          <t>Italy</t>
        </is>
      </c>
      <c r="D1401" t="inlineStr">
        <is>
          <t>Western, Northern, and Southern Europe</t>
        </is>
      </c>
      <c r="E1401" t="inlineStr">
        <is>
          <t>housing_burden_raw</t>
        </is>
      </c>
      <c r="F1401" t="inlineStr">
        <is>
          <t>Housing burden raw</t>
        </is>
      </c>
      <c r="G1401" t="inlineStr">
        <is>
          <t>pressure</t>
        </is>
      </c>
      <c r="H1401" t="inlineStr">
        <is>
          <t>yes</t>
        </is>
      </c>
      <c r="I1401" t="inlineStr">
        <is>
          <t>31.4999</t>
        </is>
      </c>
      <c r="J1401" t="inlineStr">
        <is>
          <t>derived</t>
        </is>
      </c>
      <c r="K1401" t="inlineStr">
        <is>
          <t>https://data.worldbank.org/indicator/NY.GNP.PCAP.PP.CD</t>
        </is>
      </c>
      <c r="L1401" t="inlineStr">
        <is>
          <t>Computed from city_inputs + country_context</t>
        </is>
      </c>
      <c r="M1401" t="inlineStr">
        <is>
          <t>2024-01-01</t>
        </is>
      </c>
      <c r="N1401" t="inlineStr">
        <is>
          <t>derived=rent/gross_income*100</t>
        </is>
      </c>
    </row>
    <row r="1402">
      <c r="A1402" t="inlineStr">
        <is>
          <t>it-bologna</t>
        </is>
      </c>
      <c r="B1402" t="inlineStr">
        <is>
          <t>Bologna</t>
        </is>
      </c>
      <c r="C1402" t="inlineStr">
        <is>
          <t>Italy</t>
        </is>
      </c>
      <c r="D1402" t="inlineStr">
        <is>
          <t>Western, Northern, and Southern Europe</t>
        </is>
      </c>
      <c r="E1402" t="inlineStr">
        <is>
          <t>household_debt_burden_raw</t>
        </is>
      </c>
      <c r="F1402" t="inlineStr">
        <is>
          <t>Household debt burden raw</t>
        </is>
      </c>
      <c r="G1402" t="inlineStr">
        <is>
          <t>pressure</t>
        </is>
      </c>
      <c r="H1402" t="inlineStr">
        <is>
          <t>yes</t>
        </is>
      </c>
      <c r="I1402" t="inlineStr">
        <is>
          <t>59.3116</t>
        </is>
      </c>
      <c r="J1402" t="inlineStr">
        <is>
          <t>derived</t>
        </is>
      </c>
      <c r="K1402" t="inlineStr">
        <is>
          <t>https://data.worldbank.org/indicator/NY.GNP.PCAP.PP.CD</t>
        </is>
      </c>
      <c r="L1402" t="inlineStr">
        <is>
          <t>Computed from city_inputs + country_context</t>
        </is>
      </c>
      <c r="M1402" t="inlineStr">
        <is>
          <t>2024-01-01</t>
        </is>
      </c>
      <c r="N1402" t="inlineStr">
        <is>
          <t>derived=country_context.household_debt_proxy; country=Italy</t>
        </is>
      </c>
    </row>
    <row r="1403">
      <c r="A1403" t="inlineStr">
        <is>
          <t>it-bologna</t>
        </is>
      </c>
      <c r="B1403" t="inlineStr">
        <is>
          <t>Bologna</t>
        </is>
      </c>
      <c r="C1403" t="inlineStr">
        <is>
          <t>Italy</t>
        </is>
      </c>
      <c r="D1403" t="inlineStr">
        <is>
          <t>Western, Northern, and Southern Europe</t>
        </is>
      </c>
      <c r="E1403" t="inlineStr">
        <is>
          <t>working_time_pressure_raw</t>
        </is>
      </c>
      <c r="F1403" t="inlineStr">
        <is>
          <t>Working time pressure raw</t>
        </is>
      </c>
      <c r="G1403" t="inlineStr">
        <is>
          <t>pressure</t>
        </is>
      </c>
      <c r="H1403" t="inlineStr">
        <is>
          <t>yes</t>
        </is>
      </c>
      <c r="I1403" t="inlineStr">
        <is>
          <t>35.96</t>
        </is>
      </c>
      <c r="J1403" t="inlineStr">
        <is>
          <t>ilo_ilostat</t>
        </is>
      </c>
      <c r="K1403" t="inlineStr">
        <is>
          <t>https://ilostat.ilo.org/data/indicator/?id=HOW_TEMP_SEX_ECO_NB_A&amp;ref_area=ITA</t>
        </is>
      </c>
      <c r="L1403" t="inlineStr">
        <is>
          <t>ILO ILOSTAT: Mean weekly hours actually worked per employed person</t>
        </is>
      </c>
      <c r="M1403" t="inlineStr">
        <is>
          <t>2024-12-31</t>
        </is>
      </c>
      <c r="N1403" t="inlineStr">
        <is>
          <t>auto_ingest=ilo_working_hours; indicator=HOW_TEMP_SEX_ECO_NB_A; year=2024; hours=35.96; country_proxy=Italy</t>
        </is>
      </c>
    </row>
    <row r="1404">
      <c r="A1404" t="inlineStr">
        <is>
          <t>it-bologna</t>
        </is>
      </c>
      <c r="B1404" t="inlineStr">
        <is>
          <t>Bologna</t>
        </is>
      </c>
      <c r="C1404" t="inlineStr">
        <is>
          <t>Italy</t>
        </is>
      </c>
      <c r="D1404" t="inlineStr">
        <is>
          <t>Western, Northern, and Southern Europe</t>
        </is>
      </c>
      <c r="E1404" t="inlineStr">
        <is>
          <t>suicide_mental_strain_raw</t>
        </is>
      </c>
      <c r="F1404" t="inlineStr">
        <is>
          <t>Suicide or mental strain raw</t>
        </is>
      </c>
      <c r="G1404" t="inlineStr">
        <is>
          <t>pressure</t>
        </is>
      </c>
      <c r="H1404" t="inlineStr">
        <is>
          <t>yes</t>
        </is>
      </c>
      <c r="I1404" t="inlineStr">
        <is>
          <t>6.99</t>
        </is>
      </c>
      <c r="J1404" t="inlineStr">
        <is>
          <t>who_gho</t>
        </is>
      </c>
      <c r="K1404" t="inlineStr">
        <is>
          <t>https://www.who.int/data/gho/data/indicators/indicator-details/GHO/SDGSUICIDE</t>
        </is>
      </c>
      <c r="L1404" t="inlineStr">
        <is>
          <t>WHO GHO: Age-standardized suicide rate (per 100,000 population)</t>
        </is>
      </c>
      <c r="M1404" t="inlineStr">
        <is>
          <t>2021-12-31</t>
        </is>
      </c>
      <c r="N1404" t="inlineStr">
        <is>
          <t>auto_ingest=who_gho; indicator=SDGSUICIDE; year=2021; country_proxy=Italy</t>
        </is>
      </c>
    </row>
    <row r="1405">
      <c r="A1405" t="inlineStr">
        <is>
          <t>it-bologna</t>
        </is>
      </c>
      <c r="B1405" t="inlineStr">
        <is>
          <t>Bologna</t>
        </is>
      </c>
      <c r="C1405" t="inlineStr">
        <is>
          <t>Italy</t>
        </is>
      </c>
      <c r="D1405" t="inlineStr">
        <is>
          <t>Western, Northern, and Southern Europe</t>
        </is>
      </c>
      <c r="E1405" t="inlineStr">
        <is>
          <t>personal_safety_raw</t>
        </is>
      </c>
      <c r="F1405" t="inlineStr">
        <is>
          <t>Personal safety raw</t>
        </is>
      </c>
      <c r="G1405" t="inlineStr">
        <is>
          <t>viability</t>
        </is>
      </c>
      <c r="H1405" t="inlineStr">
        <is>
          <t>yes</t>
        </is>
      </c>
      <c r="I1405" t="inlineStr">
        <is>
          <t>0.57</t>
        </is>
      </c>
      <c r="J1405" t="inlineStr">
        <is>
          <t>world_bank</t>
        </is>
      </c>
      <c r="K1405" t="inlineStr">
        <is>
          <t>https://api.worldbank.org/v2/country/ITA/indicator/VC.IHR.PSRC.P5?format=json&amp;mrv=10</t>
        </is>
      </c>
      <c r="L1405" t="inlineStr">
        <is>
          <t>UNODC via World Bank WDI: Intentional homicides (per 100,000 people)</t>
        </is>
      </c>
      <c r="M1405" t="inlineStr">
        <is>
          <t>2023-12-31</t>
        </is>
      </c>
      <c r="N1405" t="inlineStr">
        <is>
          <t>auto_ingest=unodc_safety; indicator=VC.IHR.PSRC.P5; year=2023; country_proxy=Italy</t>
        </is>
      </c>
    </row>
    <row r="1406">
      <c r="A1406" t="inlineStr">
        <is>
          <t>it-bologna</t>
        </is>
      </c>
      <c r="B1406" t="inlineStr">
        <is>
          <t>Bologna</t>
        </is>
      </c>
      <c r="C1406" t="inlineStr">
        <is>
          <t>Italy</t>
        </is>
      </c>
      <c r="D1406" t="inlineStr">
        <is>
          <t>Western, Northern, and Southern Europe</t>
        </is>
      </c>
      <c r="E1406" t="inlineStr">
        <is>
          <t>transit_access_commute_raw</t>
        </is>
      </c>
      <c r="F1406" t="inlineStr">
        <is>
          <t>Transit access and commute raw</t>
        </is>
      </c>
      <c r="G1406" t="inlineStr">
        <is>
          <t>viability</t>
        </is>
      </c>
      <c r="H1406" t="inlineStr">
        <is>
          <t>yes</t>
        </is>
      </c>
      <c r="I1406" t="inlineStr"/>
      <c r="J1406" t="inlineStr"/>
      <c r="K1406" t="inlineStr"/>
      <c r="L1406" t="inlineStr"/>
      <c r="M1406" t="inlineStr"/>
      <c r="N1406" t="inlineStr"/>
    </row>
    <row r="1407">
      <c r="A1407" t="inlineStr">
        <is>
          <t>it-bologna</t>
        </is>
      </c>
      <c r="B1407" t="inlineStr">
        <is>
          <t>Bologna</t>
        </is>
      </c>
      <c r="C1407" t="inlineStr">
        <is>
          <t>Italy</t>
        </is>
      </c>
      <c r="D1407" t="inlineStr">
        <is>
          <t>Western, Northern, and Southern Europe</t>
        </is>
      </c>
      <c r="E1407" t="inlineStr">
        <is>
          <t>clean_air_raw</t>
        </is>
      </c>
      <c r="F1407" t="inlineStr">
        <is>
          <t>Clean air raw</t>
        </is>
      </c>
      <c r="G1407" t="inlineStr">
        <is>
          <t>viability</t>
        </is>
      </c>
      <c r="H1407" t="inlineStr">
        <is>
          <t>yes</t>
        </is>
      </c>
      <c r="I1407" t="inlineStr"/>
      <c r="J1407" t="inlineStr"/>
      <c r="K1407" t="inlineStr"/>
      <c r="L1407" t="inlineStr"/>
      <c r="M1407" t="inlineStr"/>
      <c r="N1407" t="inlineStr"/>
    </row>
    <row r="1408">
      <c r="A1408" t="inlineStr">
        <is>
          <t>it-bologna</t>
        </is>
      </c>
      <c r="B1408" t="inlineStr">
        <is>
          <t>Bologna</t>
        </is>
      </c>
      <c r="C1408" t="inlineStr">
        <is>
          <t>Italy</t>
        </is>
      </c>
      <c r="D1408" t="inlineStr">
        <is>
          <t>Western, Northern, and Southern Europe</t>
        </is>
      </c>
      <c r="E1408" t="inlineStr">
        <is>
          <t>water_sanitation_utility_raw</t>
        </is>
      </c>
      <c r="F1408" t="inlineStr">
        <is>
          <t>Water, sanitation, and utility raw</t>
        </is>
      </c>
      <c r="G1408" t="inlineStr">
        <is>
          <t>viability</t>
        </is>
      </c>
      <c r="H1408" t="inlineStr">
        <is>
          <t>yes</t>
        </is>
      </c>
      <c r="I1408" t="inlineStr">
        <is>
          <t>96.76</t>
        </is>
      </c>
      <c r="J1408" t="inlineStr">
        <is>
          <t>world_bank</t>
        </is>
      </c>
      <c r="K1408" t="inlineStr">
        <is>
          <t>https://api.worldbank.org/v2/country/ITA/indicator/SH.H2O.SMDW.ZS?format=json&amp;mrv=10</t>
        </is>
      </c>
      <c r="L1408" t="inlineStr">
        <is>
          <t>World Bank WDI: People using safely managed drinking water services (% of population)</t>
        </is>
      </c>
      <c r="M1408" t="inlineStr">
        <is>
          <t>2024-12-31</t>
        </is>
      </c>
      <c r="N1408" t="inlineStr">
        <is>
          <t>auto_ingest=world_bank_proxy; indicator=SH.H2O.SMDW.ZS; year=2024; country_proxy=Italy</t>
        </is>
      </c>
    </row>
    <row r="1409">
      <c r="A1409" t="inlineStr">
        <is>
          <t>it-bologna</t>
        </is>
      </c>
      <c r="B1409" t="inlineStr">
        <is>
          <t>Bologna</t>
        </is>
      </c>
      <c r="C1409" t="inlineStr">
        <is>
          <t>Italy</t>
        </is>
      </c>
      <c r="D1409" t="inlineStr">
        <is>
          <t>Western, Northern, and Southern Europe</t>
        </is>
      </c>
      <c r="E1409" t="inlineStr">
        <is>
          <t>digital_infrastructure_raw</t>
        </is>
      </c>
      <c r="F1409" t="inlineStr">
        <is>
          <t>Digital infrastructure raw</t>
        </is>
      </c>
      <c r="G1409" t="inlineStr">
        <is>
          <t>viability</t>
        </is>
      </c>
      <c r="H1409" t="inlineStr">
        <is>
          <t>yes</t>
        </is>
      </c>
      <c r="I1409" t="inlineStr">
        <is>
          <t>31.84</t>
        </is>
      </c>
      <c r="J1409" t="inlineStr">
        <is>
          <t>world_bank</t>
        </is>
      </c>
      <c r="K1409" t="inlineStr">
        <is>
          <t>https://api.worldbank.org/v2/country/ITA/indicator/IT.NET.BBND.P2?format=json&amp;mrv=10</t>
        </is>
      </c>
      <c r="L1409" t="inlineStr">
        <is>
          <t>World Bank WDI: Fixed broadband subscriptions (per 100 people)</t>
        </is>
      </c>
      <c r="M1409" t="inlineStr">
        <is>
          <t>2023-12-31</t>
        </is>
      </c>
      <c r="N1409" t="inlineStr">
        <is>
          <t>auto_ingest=world_bank_proxy; indicator=IT.NET.BBND.P2; year=2023; country_proxy=Italy</t>
        </is>
      </c>
    </row>
    <row r="1410">
      <c r="A1410" t="inlineStr">
        <is>
          <t>it-bologna</t>
        </is>
      </c>
      <c r="B1410" t="inlineStr">
        <is>
          <t>Bologna</t>
        </is>
      </c>
      <c r="C1410" t="inlineStr">
        <is>
          <t>Italy</t>
        </is>
      </c>
      <c r="D1410" t="inlineStr">
        <is>
          <t>Western, Northern, and Southern Europe</t>
        </is>
      </c>
      <c r="E1410" t="inlineStr">
        <is>
          <t>climate_sunlight_livability_raw</t>
        </is>
      </c>
      <c r="F1410" t="inlineStr">
        <is>
          <t>Climate and sunlight livability raw</t>
        </is>
      </c>
      <c r="G1410" t="inlineStr">
        <is>
          <t>viability</t>
        </is>
      </c>
      <c r="H1410" t="inlineStr">
        <is>
          <t>yes</t>
        </is>
      </c>
      <c r="I1410" t="inlineStr">
        <is>
          <t>56</t>
        </is>
      </c>
      <c r="J1410" t="inlineStr">
        <is>
          <t>wmo_natl_met</t>
        </is>
      </c>
      <c r="K1410" t="inlineStr">
        <is>
          <t>https://worldweather.wmo.int</t>
        </is>
      </c>
      <c r="L1410" t="inlineStr">
        <is>
          <t>WMO/National Met: Climate livability composite</t>
        </is>
      </c>
      <c r="M1410" t="inlineStr">
        <is>
          <t>2024-12-31</t>
        </is>
      </c>
      <c r="N1410" t="inlineStr">
        <is>
          <t>auto_seed=climate_composite; 2000 sun hrs, 14C mean</t>
        </is>
      </c>
    </row>
    <row r="1411">
      <c r="A1411" t="inlineStr">
        <is>
          <t>it-bologna</t>
        </is>
      </c>
      <c r="B1411" t="inlineStr">
        <is>
          <t>Bologna</t>
        </is>
      </c>
      <c r="C1411" t="inlineStr">
        <is>
          <t>Italy</t>
        </is>
      </c>
      <c r="D1411" t="inlineStr">
        <is>
          <t>Western, Northern, and Southern Europe</t>
        </is>
      </c>
      <c r="E1411" t="inlineStr">
        <is>
          <t>healthcare_quality_raw</t>
        </is>
      </c>
      <c r="F1411" t="inlineStr">
        <is>
          <t>Healthcare quality raw</t>
        </is>
      </c>
      <c r="G1411" t="inlineStr">
        <is>
          <t>capability</t>
        </is>
      </c>
      <c r="H1411" t="inlineStr">
        <is>
          <t>yes</t>
        </is>
      </c>
      <c r="I1411" t="inlineStr">
        <is>
          <t>82.0</t>
        </is>
      </c>
      <c r="J1411" t="inlineStr">
        <is>
          <t>who_gho</t>
        </is>
      </c>
      <c r="K1411" t="inlineStr">
        <is>
          <t>https://www.who.int/data/gho/data/indicators/indicator-details/GHO/UHC_INDEX_REPORTED</t>
        </is>
      </c>
      <c r="L1411" t="inlineStr">
        <is>
          <t>WHO GHO: UHC Service Coverage Index</t>
        </is>
      </c>
      <c r="M1411" t="inlineStr">
        <is>
          <t>2023-12-31</t>
        </is>
      </c>
      <c r="N1411" t="inlineStr">
        <is>
          <t>auto_ingest=who_gho; indicator=UHC_INDEX_REPORTED; year=2023; country_proxy=Italy</t>
        </is>
      </c>
    </row>
    <row r="1412">
      <c r="A1412" t="inlineStr">
        <is>
          <t>it-bologna</t>
        </is>
      </c>
      <c r="B1412" t="inlineStr">
        <is>
          <t>Bologna</t>
        </is>
      </c>
      <c r="C1412" t="inlineStr">
        <is>
          <t>Italy</t>
        </is>
      </c>
      <c r="D1412" t="inlineStr">
        <is>
          <t>Western, Northern, and Southern Europe</t>
        </is>
      </c>
      <c r="E1412" t="inlineStr">
        <is>
          <t>education_quality_raw</t>
        </is>
      </c>
      <c r="F1412" t="inlineStr">
        <is>
          <t>Education quality raw</t>
        </is>
      </c>
      <c r="G1412" t="inlineStr">
        <is>
          <t>capability</t>
        </is>
      </c>
      <c r="H1412" t="inlineStr">
        <is>
          <t>yes</t>
        </is>
      </c>
      <c r="I1412" t="inlineStr">
        <is>
          <t>75.95</t>
        </is>
      </c>
      <c r="J1412" t="inlineStr">
        <is>
          <t>world_bank</t>
        </is>
      </c>
      <c r="K1412" t="inlineStr">
        <is>
          <t>https://api.worldbank.org/v2/country/ITA/indicator/SE.TER.ENRR?format=json&amp;mrv=10</t>
        </is>
      </c>
      <c r="L1412" t="inlineStr">
        <is>
          <t>World Bank WDI: School enrollment, tertiary (% gross)</t>
        </is>
      </c>
      <c r="M1412" t="inlineStr">
        <is>
          <t>2023-12-31</t>
        </is>
      </c>
      <c r="N1412" t="inlineStr">
        <is>
          <t>auto_ingest=world_bank_proxy; indicator=SE.TER.ENRR; year=2023; country_proxy=Italy</t>
        </is>
      </c>
    </row>
    <row r="1413">
      <c r="A1413" t="inlineStr">
        <is>
          <t>it-bologna</t>
        </is>
      </c>
      <c r="B1413" t="inlineStr">
        <is>
          <t>Bologna</t>
        </is>
      </c>
      <c r="C1413" t="inlineStr">
        <is>
          <t>Italy</t>
        </is>
      </c>
      <c r="D1413" t="inlineStr">
        <is>
          <t>Western, Northern, and Southern Europe</t>
        </is>
      </c>
      <c r="E1413" t="inlineStr">
        <is>
          <t>equal_opportunity_raw</t>
        </is>
      </c>
      <c r="F1413" t="inlineStr">
        <is>
          <t>Equal opportunity raw</t>
        </is>
      </c>
      <c r="G1413" t="inlineStr">
        <is>
          <t>capability</t>
        </is>
      </c>
      <c r="H1413" t="inlineStr">
        <is>
          <t>yes</t>
        </is>
      </c>
      <c r="I1413" t="inlineStr">
        <is>
          <t>34.3</t>
        </is>
      </c>
      <c r="J1413" t="inlineStr">
        <is>
          <t>world_bank</t>
        </is>
      </c>
      <c r="K1413" t="inlineStr">
        <is>
          <t>https://api.worldbank.org/v2/country/ITA/indicator/SI.POV.GINI?format=json&amp;mrv=10</t>
        </is>
      </c>
      <c r="L1413" t="inlineStr">
        <is>
          <t>World Bank WDI: Gini index</t>
        </is>
      </c>
      <c r="M1413" t="inlineStr">
        <is>
          <t>2023-12-31</t>
        </is>
      </c>
      <c r="N1413" t="inlineStr">
        <is>
          <t>auto_ingest=world_bank_capability; indicator=SI.POV.GINI; year=2023; country_proxy=Italy</t>
        </is>
      </c>
    </row>
    <row r="1414">
      <c r="A1414" t="inlineStr">
        <is>
          <t>it-bologna</t>
        </is>
      </c>
      <c r="B1414" t="inlineStr">
        <is>
          <t>Bologna</t>
        </is>
      </c>
      <c r="C1414" t="inlineStr">
        <is>
          <t>Italy</t>
        </is>
      </c>
      <c r="D1414" t="inlineStr">
        <is>
          <t>Western, Northern, and Southern Europe</t>
        </is>
      </c>
      <c r="E1414" t="inlineStr">
        <is>
          <t>hospitality_belonging_raw</t>
        </is>
      </c>
      <c r="F1414" t="inlineStr">
        <is>
          <t>Hospitality and belonging raw</t>
        </is>
      </c>
      <c r="G1414" t="inlineStr">
        <is>
          <t>community</t>
        </is>
      </c>
      <c r="H1414" t="inlineStr">
        <is>
          <t>yes</t>
        </is>
      </c>
      <c r="I1414" t="inlineStr">
        <is>
          <t>51.28</t>
        </is>
      </c>
      <c r="J1414" t="inlineStr">
        <is>
          <t>world_bank</t>
        </is>
      </c>
      <c r="K1414" t="inlineStr">
        <is>
          <t>https://api.worldbank.org/v2/country/ITA/indicator/SM.POP.NETM?format=json&amp;mrv=10</t>
        </is>
      </c>
      <c r="L1414" t="inlineStr">
        <is>
          <t>World Bank WDI: Net migration (proxy for hospitality/belonging — positive = welcoming)</t>
        </is>
      </c>
      <c r="M1414" t="inlineStr">
        <is>
          <t>2025-12-31</t>
        </is>
      </c>
      <c r="N1414" t="inlineStr">
        <is>
          <t>auto_ingest=world_bank_proxy; proxy=net_migration_hospitality; indicator=SM.POP.NETM; year=2025; country_proxy=Italy</t>
        </is>
      </c>
    </row>
    <row r="1415">
      <c r="A1415" t="inlineStr">
        <is>
          <t>it-bologna</t>
        </is>
      </c>
      <c r="B1415" t="inlineStr">
        <is>
          <t>Bologna</t>
        </is>
      </c>
      <c r="C1415" t="inlineStr">
        <is>
          <t>Italy</t>
        </is>
      </c>
      <c r="D1415" t="inlineStr">
        <is>
          <t>Western, Northern, and Southern Europe</t>
        </is>
      </c>
      <c r="E1415" t="inlineStr">
        <is>
          <t>tolerance_pluralism_raw</t>
        </is>
      </c>
      <c r="F1415" t="inlineStr">
        <is>
          <t>Tolerance and pluralism raw</t>
        </is>
      </c>
      <c r="G1415" t="inlineStr">
        <is>
          <t>community</t>
        </is>
      </c>
      <c r="H1415" t="inlineStr">
        <is>
          <t>yes</t>
        </is>
      </c>
      <c r="I1415" t="inlineStr">
        <is>
          <t>32.25</t>
        </is>
      </c>
      <c r="J1415" t="inlineStr">
        <is>
          <t>world_bank</t>
        </is>
      </c>
      <c r="K1415" t="inlineStr">
        <is>
          <t>https://api.worldbank.org/v2/country/ITA/indicator/SG.GEN.PARL.ZS?format=json&amp;mrv=10</t>
        </is>
      </c>
      <c r="L1415" t="inlineStr">
        <is>
          <t>World Bank WDI: Proportion of seats held by women in national parliaments (%)</t>
        </is>
      </c>
      <c r="M1415" t="inlineStr">
        <is>
          <t>2024-12-31</t>
        </is>
      </c>
      <c r="N1415" t="inlineStr">
        <is>
          <t>auto_ingest=world_bank_proxy; proxy=gender_parity_parliament; indicator=SG.GEN.PARL.ZS; year=2024; country_proxy=Italy</t>
        </is>
      </c>
    </row>
    <row r="1416">
      <c r="A1416" t="inlineStr">
        <is>
          <t>it-bologna</t>
        </is>
      </c>
      <c r="B1416" t="inlineStr">
        <is>
          <t>Bologna</t>
        </is>
      </c>
      <c r="C1416" t="inlineStr">
        <is>
          <t>Italy</t>
        </is>
      </c>
      <c r="D1416" t="inlineStr">
        <is>
          <t>Western, Northern, and Southern Europe</t>
        </is>
      </c>
      <c r="E1416" t="inlineStr">
        <is>
          <t>cultural_public_life_raw</t>
        </is>
      </c>
      <c r="F1416" t="inlineStr">
        <is>
          <t>Cultural public life raw</t>
        </is>
      </c>
      <c r="G1416" t="inlineStr">
        <is>
          <t>community</t>
        </is>
      </c>
      <c r="H1416" t="inlineStr">
        <is>
          <t>yes</t>
        </is>
      </c>
      <c r="I1416" t="inlineStr">
        <is>
          <t>651.69</t>
        </is>
      </c>
      <c r="J1416" t="inlineStr">
        <is>
          <t>world_bank</t>
        </is>
      </c>
      <c r="K1416" t="inlineStr">
        <is>
          <t>https://api.worldbank.org/v2/country/ITA/indicator/ST.INT.ARVL?format=json&amp;mrv=10</t>
        </is>
      </c>
      <c r="L1416" t="inlineStr">
        <is>
          <t>World Bank WDI: International tourism arrivals per 1 000 population</t>
        </is>
      </c>
      <c r="M1416" t="inlineStr">
        <is>
          <t>2020-12-31</t>
        </is>
      </c>
      <c r="N1416" t="inlineStr">
        <is>
          <t>auto_ingest=cultural_life_proxy; indicator=ST.INT.ARVL; norm=per_1000_pop; year=2020; country_proxy=Italy</t>
        </is>
      </c>
    </row>
    <row r="1417">
      <c r="A1417" t="inlineStr">
        <is>
          <t>it-bologna</t>
        </is>
      </c>
      <c r="B1417" t="inlineStr">
        <is>
          <t>Bologna</t>
        </is>
      </c>
      <c r="C1417" t="inlineStr">
        <is>
          <t>Italy</t>
        </is>
      </c>
      <c r="D1417" t="inlineStr">
        <is>
          <t>Western, Northern, and Southern Europe</t>
        </is>
      </c>
      <c r="E1417" t="inlineStr">
        <is>
          <t>birth_rate_optimism_raw</t>
        </is>
      </c>
      <c r="F1417" t="inlineStr">
        <is>
          <t>Birth rate and societal optimism raw</t>
        </is>
      </c>
      <c r="G1417" t="inlineStr">
        <is>
          <t>community</t>
        </is>
      </c>
      <c r="H1417" t="inlineStr">
        <is>
          <t>yes</t>
        </is>
      </c>
      <c r="I1417" t="inlineStr">
        <is>
          <t>1.24</t>
        </is>
      </c>
      <c r="J1417" t="inlineStr">
        <is>
          <t>world_bank</t>
        </is>
      </c>
      <c r="K1417" t="inlineStr">
        <is>
          <t>https://data.worldbank.org/indicator/SP.DYN.TFRT.IN</t>
        </is>
      </c>
      <c r="L1417" t="inlineStr">
        <is>
          <t>World Bank Total Fertility Rate 2023</t>
        </is>
      </c>
      <c r="M1417" t="inlineStr">
        <is>
          <t>2024-01-01</t>
        </is>
      </c>
      <c r="N1417" t="inlineStr"/>
    </row>
    <row r="1418">
      <c r="A1418" t="inlineStr">
        <is>
          <t>it-bologna</t>
        </is>
      </c>
      <c r="B1418" t="inlineStr">
        <is>
          <t>Bologna</t>
        </is>
      </c>
      <c r="C1418" t="inlineStr">
        <is>
          <t>Italy</t>
        </is>
      </c>
      <c r="D1418" t="inlineStr">
        <is>
          <t>Western, Northern, and Southern Europe</t>
        </is>
      </c>
      <c r="E1418" t="inlineStr">
        <is>
          <t>entrepreneurial_dynamism_raw</t>
        </is>
      </c>
      <c r="F1418" t="inlineStr">
        <is>
          <t>Entrepreneurial dynamism raw</t>
        </is>
      </c>
      <c r="G1418" t="inlineStr">
        <is>
          <t>creative</t>
        </is>
      </c>
      <c r="H1418" t="inlineStr">
        <is>
          <t>yes</t>
        </is>
      </c>
      <c r="I1418" t="inlineStr">
        <is>
          <t>2.85</t>
        </is>
      </c>
      <c r="J1418" t="inlineStr">
        <is>
          <t>world_bank</t>
        </is>
      </c>
      <c r="K1418" t="inlineStr">
        <is>
          <t>https://api.worldbank.org/v2/country/ITA/indicator/IC.BUS.NDNS.ZS?format=json&amp;mrv=10</t>
        </is>
      </c>
      <c r="L1418" t="inlineStr">
        <is>
          <t>World Bank WDI: New business density (new registrations per 1,000 people ages 15-64)</t>
        </is>
      </c>
      <c r="M1418" t="inlineStr">
        <is>
          <t>2022-12-31</t>
        </is>
      </c>
      <c r="N1418" t="inlineStr">
        <is>
          <t>auto_ingest=world_bank_creative_extended; indicator=IC.BUS.NDNS.ZS; year=2022; country_proxy=Italy</t>
        </is>
      </c>
    </row>
    <row r="1419">
      <c r="A1419" t="inlineStr">
        <is>
          <t>it-bologna</t>
        </is>
      </c>
      <c r="B1419" t="inlineStr">
        <is>
          <t>Bologna</t>
        </is>
      </c>
      <c r="C1419" t="inlineStr">
        <is>
          <t>Italy</t>
        </is>
      </c>
      <c r="D1419" t="inlineStr">
        <is>
          <t>Western, Northern, and Southern Europe</t>
        </is>
      </c>
      <c r="E1419" t="inlineStr">
        <is>
          <t>innovation_research_intensity_raw</t>
        </is>
      </c>
      <c r="F1419" t="inlineStr">
        <is>
          <t>Innovation and research raw</t>
        </is>
      </c>
      <c r="G1419" t="inlineStr">
        <is>
          <t>creative</t>
        </is>
      </c>
      <c r="H1419" t="inlineStr">
        <is>
          <t>yes</t>
        </is>
      </c>
      <c r="I1419" t="inlineStr">
        <is>
          <t>1.39</t>
        </is>
      </c>
      <c r="J1419" t="inlineStr">
        <is>
          <t>world_bank</t>
        </is>
      </c>
      <c r="K1419" t="inlineStr">
        <is>
          <t>https://api.worldbank.org/v2/country/ITA/indicator/GB.XPD.RSDV.GD.ZS?format=json&amp;mrv=10</t>
        </is>
      </c>
      <c r="L1419" t="inlineStr">
        <is>
          <t>World Bank WDI: Research and development expenditure (% of GDP)</t>
        </is>
      </c>
      <c r="M1419" t="inlineStr">
        <is>
          <t>2022-12-31</t>
        </is>
      </c>
      <c r="N1419" t="inlineStr">
        <is>
          <t>auto_ingest=world_bank_creative_extended; indicator=GB.XPD.RSDV.GD.ZS; year=2022; country_proxy=Italy</t>
        </is>
      </c>
    </row>
    <row r="1420">
      <c r="A1420" t="inlineStr">
        <is>
          <t>it-bologna</t>
        </is>
      </c>
      <c r="B1420" t="inlineStr">
        <is>
          <t>Bologna</t>
        </is>
      </c>
      <c r="C1420" t="inlineStr">
        <is>
          <t>Italy</t>
        </is>
      </c>
      <c r="D1420" t="inlineStr">
        <is>
          <t>Western, Northern, and Southern Europe</t>
        </is>
      </c>
      <c r="E1420" t="inlineStr">
        <is>
          <t>investment_signal_raw</t>
        </is>
      </c>
      <c r="F1420" t="inlineStr">
        <is>
          <t>Investment signal raw</t>
        </is>
      </c>
      <c r="G1420" t="inlineStr">
        <is>
          <t>creative</t>
        </is>
      </c>
      <c r="H1420" t="inlineStr">
        <is>
          <t>yes</t>
        </is>
      </c>
      <c r="I1420" t="inlineStr">
        <is>
          <t>1.13</t>
        </is>
      </c>
      <c r="J1420" t="inlineStr">
        <is>
          <t>world_bank</t>
        </is>
      </c>
      <c r="K1420" t="inlineStr">
        <is>
          <t>https://api.worldbank.org/v2/country/ITA/indicator/BX.KLT.DINV.WD.GD.ZS?format=json&amp;mrv=10</t>
        </is>
      </c>
      <c r="L1420" t="inlineStr">
        <is>
          <t>World Bank WDI: Foreign direct investment, net inflows (% of GDP)</t>
        </is>
      </c>
      <c r="M1420" t="inlineStr">
        <is>
          <t>2024-12-31</t>
        </is>
      </c>
      <c r="N1420" t="inlineStr">
        <is>
          <t>auto_ingest=world_bank_creative_extended; indicator=BX.KLT.DINV.WD.GD.ZS; year=2024; country_proxy=Italy</t>
        </is>
      </c>
    </row>
    <row r="1421">
      <c r="A1421" t="inlineStr">
        <is>
          <t>it-bologna</t>
        </is>
      </c>
      <c r="B1421" t="inlineStr">
        <is>
          <t>Bologna</t>
        </is>
      </c>
      <c r="C1421" t="inlineStr">
        <is>
          <t>Italy</t>
        </is>
      </c>
      <c r="D1421" t="inlineStr">
        <is>
          <t>Western, Northern, and Southern Europe</t>
        </is>
      </c>
      <c r="E1421" t="inlineStr">
        <is>
          <t>administrative_investment_friction_raw</t>
        </is>
      </c>
      <c r="F1421" t="inlineStr">
        <is>
          <t>Administrative investment friction raw</t>
        </is>
      </c>
      <c r="G1421" t="inlineStr">
        <is>
          <t>creative</t>
        </is>
      </c>
      <c r="H1421" t="inlineStr">
        <is>
          <t>yes</t>
        </is>
      </c>
      <c r="I1421" t="inlineStr">
        <is>
          <t>1.86</t>
        </is>
      </c>
      <c r="J1421" t="inlineStr">
        <is>
          <t>world_bank</t>
        </is>
      </c>
      <c r="K1421" t="inlineStr">
        <is>
          <t>https://api.worldbank.org/v2/country/ITA/indicator/RQ.EST?format=json&amp;mrv=10</t>
        </is>
      </c>
      <c r="L1421" t="inlineStr">
        <is>
          <t>World Bank WGI: Regulatory Quality (inverted as friction proxy)</t>
        </is>
      </c>
      <c r="M1421" t="inlineStr">
        <is>
          <t>2023-12-31</t>
        </is>
      </c>
      <c r="N1421" t="inlineStr">
        <is>
          <t>auto_ingest=world_bank_business_friction; indicator=RQ.EST; raw_rq=0.644031763076782; friction=1.86; year=2023; country_proxy=Italy</t>
        </is>
      </c>
    </row>
    <row r="1422">
      <c r="A1422" t="inlineStr">
        <is>
          <t>it-bologna</t>
        </is>
      </c>
      <c r="B1422" t="inlineStr">
        <is>
          <t>Bologna</t>
        </is>
      </c>
      <c r="C1422" t="inlineStr">
        <is>
          <t>Italy</t>
        </is>
      </c>
      <c r="D1422" t="inlineStr">
        <is>
          <t>Western, Northern, and Southern Europe</t>
        </is>
      </c>
      <c r="E1422" t="inlineStr">
        <is>
          <t>visitor_flow_context_raw</t>
        </is>
      </c>
      <c r="F1422" t="inlineStr">
        <is>
          <t>Visitor flow context raw</t>
        </is>
      </c>
      <c r="G1422" t="inlineStr">
        <is>
          <t>creative</t>
        </is>
      </c>
      <c r="H1422" t="inlineStr">
        <is>
          <t>no</t>
        </is>
      </c>
      <c r="I1422" t="inlineStr"/>
      <c r="J1422" t="inlineStr"/>
      <c r="K1422" t="inlineStr"/>
      <c r="L1422" t="inlineStr"/>
      <c r="M1422" t="inlineStr"/>
      <c r="N1422" t="inlineStr"/>
    </row>
    <row r="1423">
      <c r="A1423" t="inlineStr">
        <is>
          <t>ru-moscow</t>
        </is>
      </c>
      <c r="B1423" t="inlineStr">
        <is>
          <t>Moscow</t>
        </is>
      </c>
      <c r="C1423" t="inlineStr">
        <is>
          <t>Russia</t>
        </is>
      </c>
      <c r="D1423" t="inlineStr">
        <is>
          <t>Southern/Eastern Europe and Eurasia</t>
        </is>
      </c>
      <c r="E1423" t="inlineStr">
        <is>
          <t>gross_income</t>
        </is>
      </c>
      <c r="F1423" t="inlineStr">
        <is>
          <t>Gross income</t>
        </is>
      </c>
      <c r="G1423" t="inlineStr">
        <is>
          <t>pressure</t>
        </is>
      </c>
      <c r="H1423" t="inlineStr">
        <is>
          <t>yes</t>
        </is>
      </c>
      <c r="I1423" t="inlineStr">
        <is>
          <t>5847.5</t>
        </is>
      </c>
      <c r="J1423" t="inlineStr">
        <is>
          <t>world_bank_col_estimate</t>
        </is>
      </c>
      <c r="K1423" t="inlineStr">
        <is>
          <t>https://api.worldbank.org/v2/country/RUS/indicator/NY.GNP.PCAP.PP.CD?format=json&amp;mrv=10</t>
        </is>
      </c>
      <c r="L1423" t="inlineStr">
        <is>
          <t>World Bank WDI: GNI per capita PPP (monthly USD)</t>
        </is>
      </c>
      <c r="M1423" t="inlineStr">
        <is>
          <t>2024-12-31</t>
        </is>
      </c>
      <c r="N1423" t="inlineStr">
        <is>
          <t>auto_ingest=world_bank_col_estimate; gni_annual=46780.0; year=2024; country_proxy=Russia; cohort=Southern/Eastern Europe and Eurasia; city_income_mult=1.5</t>
        </is>
      </c>
    </row>
    <row r="1424">
      <c r="A1424" t="inlineStr">
        <is>
          <t>ru-moscow</t>
        </is>
      </c>
      <c r="B1424" t="inlineStr">
        <is>
          <t>Moscow</t>
        </is>
      </c>
      <c r="C1424" t="inlineStr">
        <is>
          <t>Russia</t>
        </is>
      </c>
      <c r="D1424" t="inlineStr">
        <is>
          <t>Southern/Eastern Europe and Eurasia</t>
        </is>
      </c>
      <c r="E1424" t="inlineStr">
        <is>
          <t>di_ppp_raw</t>
        </is>
      </c>
      <c r="F1424" t="inlineStr">
        <is>
          <t>Disposable income PPP (Raw)</t>
        </is>
      </c>
      <c r="G1424" t="inlineStr">
        <is>
          <t>pressure</t>
        </is>
      </c>
      <c r="H1424" t="inlineStr">
        <is>
          <t>yes</t>
        </is>
      </c>
      <c r="I1424" t="inlineStr"/>
      <c r="J1424" t="inlineStr"/>
      <c r="K1424" t="inlineStr"/>
      <c r="L1424" t="inlineStr"/>
      <c r="M1424" t="inlineStr"/>
      <c r="N1424" t="inlineStr"/>
    </row>
    <row r="1425">
      <c r="A1425" t="inlineStr">
        <is>
          <t>ru-moscow</t>
        </is>
      </c>
      <c r="B1425" t="inlineStr">
        <is>
          <t>Moscow</t>
        </is>
      </c>
      <c r="C1425" t="inlineStr">
        <is>
          <t>Russia</t>
        </is>
      </c>
      <c r="D1425" t="inlineStr">
        <is>
          <t>Southern/Eastern Europe and Eurasia</t>
        </is>
      </c>
      <c r="E1425" t="inlineStr">
        <is>
          <t>rent</t>
        </is>
      </c>
      <c r="F1425" t="inlineStr">
        <is>
          <t>Rent</t>
        </is>
      </c>
      <c r="G1425" t="inlineStr">
        <is>
          <t>pressure</t>
        </is>
      </c>
      <c r="H1425" t="inlineStr">
        <is>
          <t>yes</t>
        </is>
      </c>
      <c r="I1425" t="inlineStr">
        <is>
          <t>1900.44</t>
        </is>
      </c>
      <c r="J1425" t="inlineStr">
        <is>
          <t>world_bank_col_estimate</t>
        </is>
      </c>
      <c r="K1425" t="inlineStr">
        <is>
          <t>https://api.worldbank.org/v2/country/RUS/indicator/NY.GNP.PCAP.PP.CD?format=json&amp;mrv=10</t>
        </is>
      </c>
      <c r="L1425" t="inlineStr">
        <is>
          <t>World Bank GNI + regional expenditure ratio estimate</t>
        </is>
      </c>
      <c r="M1425" t="inlineStr">
        <is>
          <t>2024-12-31</t>
        </is>
      </c>
      <c r="N1425" t="inlineStr">
        <is>
          <t>auto_ingest=world_bank_col_estimate; gni_annual=46780.0; year=2024; country_proxy=Russia; cohort=Southern/Eastern Europe and Eurasia; city_cost_mult=1.3</t>
        </is>
      </c>
    </row>
    <row r="1426">
      <c r="A1426" t="inlineStr">
        <is>
          <t>ru-moscow</t>
        </is>
      </c>
      <c r="B1426" t="inlineStr">
        <is>
          <t>Moscow</t>
        </is>
      </c>
      <c r="C1426" t="inlineStr">
        <is>
          <t>Russia</t>
        </is>
      </c>
      <c r="D1426" t="inlineStr">
        <is>
          <t>Southern/Eastern Europe and Eurasia</t>
        </is>
      </c>
      <c r="E1426" t="inlineStr">
        <is>
          <t>utilities</t>
        </is>
      </c>
      <c r="F1426" t="inlineStr">
        <is>
          <t>Utilities</t>
        </is>
      </c>
      <c r="G1426" t="inlineStr">
        <is>
          <t>pressure</t>
        </is>
      </c>
      <c r="H1426" t="inlineStr">
        <is>
          <t>yes</t>
        </is>
      </c>
      <c r="I1426" t="inlineStr">
        <is>
          <t>608.14</t>
        </is>
      </c>
      <c r="J1426" t="inlineStr">
        <is>
          <t>world_bank_col_estimate</t>
        </is>
      </c>
      <c r="K1426" t="inlineStr">
        <is>
          <t>https://api.worldbank.org/v2/country/RUS/indicator/NY.GNP.PCAP.PP.CD?format=json&amp;mrv=10</t>
        </is>
      </c>
      <c r="L1426" t="inlineStr">
        <is>
          <t>World Bank GNI + regional expenditure ratio estimate</t>
        </is>
      </c>
      <c r="M1426" t="inlineStr">
        <is>
          <t>2024-12-31</t>
        </is>
      </c>
      <c r="N1426" t="inlineStr">
        <is>
          <t>auto_ingest=world_bank_col_estimate; gni_annual=46780.0; year=2024; country_proxy=Russia; cohort=Southern/Eastern Europe and Eurasia; city_cost_mult=1.3</t>
        </is>
      </c>
    </row>
    <row r="1427">
      <c r="A1427" t="inlineStr">
        <is>
          <t>ru-moscow</t>
        </is>
      </c>
      <c r="B1427" t="inlineStr">
        <is>
          <t>Moscow</t>
        </is>
      </c>
      <c r="C1427" t="inlineStr">
        <is>
          <t>Russia</t>
        </is>
      </c>
      <c r="D1427" t="inlineStr">
        <is>
          <t>Southern/Eastern Europe and Eurasia</t>
        </is>
      </c>
      <c r="E1427" t="inlineStr">
        <is>
          <t>transit_cost</t>
        </is>
      </c>
      <c r="F1427" t="inlineStr">
        <is>
          <t>Transit cost</t>
        </is>
      </c>
      <c r="G1427" t="inlineStr">
        <is>
          <t>pressure</t>
        </is>
      </c>
      <c r="H1427" t="inlineStr">
        <is>
          <t>yes</t>
        </is>
      </c>
      <c r="I1427" t="inlineStr">
        <is>
          <t>304.07</t>
        </is>
      </c>
      <c r="J1427" t="inlineStr">
        <is>
          <t>world_bank_col_estimate</t>
        </is>
      </c>
      <c r="K1427" t="inlineStr">
        <is>
          <t>https://api.worldbank.org/v2/country/RUS/indicator/NY.GNP.PCAP.PP.CD?format=json&amp;mrv=10</t>
        </is>
      </c>
      <c r="L1427" t="inlineStr">
        <is>
          <t>World Bank GNI + regional expenditure ratio estimate</t>
        </is>
      </c>
      <c r="M1427" t="inlineStr">
        <is>
          <t>2024-12-31</t>
        </is>
      </c>
      <c r="N1427" t="inlineStr">
        <is>
          <t>auto_ingest=world_bank_col_estimate; gni_annual=46780.0; year=2024; country_proxy=Russia; cohort=Southern/Eastern Europe and Eurasia; city_cost_mult=1.3</t>
        </is>
      </c>
    </row>
    <row r="1428">
      <c r="A1428" t="inlineStr">
        <is>
          <t>ru-moscow</t>
        </is>
      </c>
      <c r="B1428" t="inlineStr">
        <is>
          <t>Moscow</t>
        </is>
      </c>
      <c r="C1428" t="inlineStr">
        <is>
          <t>Russia</t>
        </is>
      </c>
      <c r="D1428" t="inlineStr">
        <is>
          <t>Southern/Eastern Europe and Eurasia</t>
        </is>
      </c>
      <c r="E1428" t="inlineStr">
        <is>
          <t>internet_cost</t>
        </is>
      </c>
      <c r="F1428" t="inlineStr">
        <is>
          <t>Internet cost</t>
        </is>
      </c>
      <c r="G1428" t="inlineStr">
        <is>
          <t>pressure</t>
        </is>
      </c>
      <c r="H1428" t="inlineStr">
        <is>
          <t>yes</t>
        </is>
      </c>
      <c r="I1428" t="inlineStr">
        <is>
          <t>114.03</t>
        </is>
      </c>
      <c r="J1428" t="inlineStr">
        <is>
          <t>world_bank_col_estimate</t>
        </is>
      </c>
      <c r="K1428" t="inlineStr">
        <is>
          <t>https://api.worldbank.org/v2/country/RUS/indicator/NY.GNP.PCAP.PP.CD?format=json&amp;mrv=10</t>
        </is>
      </c>
      <c r="L1428" t="inlineStr">
        <is>
          <t>World Bank GNI + regional expenditure ratio estimate</t>
        </is>
      </c>
      <c r="M1428" t="inlineStr">
        <is>
          <t>2024-12-31</t>
        </is>
      </c>
      <c r="N1428" t="inlineStr">
        <is>
          <t>auto_ingest=world_bank_col_estimate; gni_annual=46780.0; year=2024; country_proxy=Russia; cohort=Southern/Eastern Europe and Eurasia; city_cost_mult=1.3</t>
        </is>
      </c>
    </row>
    <row r="1429">
      <c r="A1429" t="inlineStr">
        <is>
          <t>ru-moscow</t>
        </is>
      </c>
      <c r="B1429" t="inlineStr">
        <is>
          <t>Moscow</t>
        </is>
      </c>
      <c r="C1429" t="inlineStr">
        <is>
          <t>Russia</t>
        </is>
      </c>
      <c r="D1429" t="inlineStr">
        <is>
          <t>Southern/Eastern Europe and Eurasia</t>
        </is>
      </c>
      <c r="E1429" t="inlineStr">
        <is>
          <t>food_cost</t>
        </is>
      </c>
      <c r="F1429" t="inlineStr">
        <is>
          <t>Food cost</t>
        </is>
      </c>
      <c r="G1429" t="inlineStr">
        <is>
          <t>pressure</t>
        </is>
      </c>
      <c r="H1429" t="inlineStr">
        <is>
          <t>yes</t>
        </is>
      </c>
      <c r="I1429" t="inlineStr">
        <is>
          <t>1520.35</t>
        </is>
      </c>
      <c r="J1429" t="inlineStr">
        <is>
          <t>world_bank_col_estimate</t>
        </is>
      </c>
      <c r="K1429" t="inlineStr">
        <is>
          <t>https://api.worldbank.org/v2/country/RUS/indicator/NY.GNP.PCAP.PP.CD?format=json&amp;mrv=10</t>
        </is>
      </c>
      <c r="L1429" t="inlineStr">
        <is>
          <t>World Bank GNI + regional expenditure ratio estimate</t>
        </is>
      </c>
      <c r="M1429" t="inlineStr">
        <is>
          <t>2024-12-31</t>
        </is>
      </c>
      <c r="N1429" t="inlineStr">
        <is>
          <t>auto_ingest=world_bank_col_estimate; gni_annual=46780.0; year=2024; country_proxy=Russia; cohort=Southern/Eastern Europe and Eurasia; city_cost_mult=1.3</t>
        </is>
      </c>
    </row>
    <row r="1430">
      <c r="A1430" t="inlineStr">
        <is>
          <t>ru-moscow</t>
        </is>
      </c>
      <c r="B1430" t="inlineStr">
        <is>
          <t>Moscow</t>
        </is>
      </c>
      <c r="C1430" t="inlineStr">
        <is>
          <t>Russia</t>
        </is>
      </c>
      <c r="D1430" t="inlineStr">
        <is>
          <t>Southern/Eastern Europe and Eurasia</t>
        </is>
      </c>
      <c r="E1430" t="inlineStr">
        <is>
          <t>housing_burden_raw</t>
        </is>
      </c>
      <c r="F1430" t="inlineStr">
        <is>
          <t>Housing burden raw</t>
        </is>
      </c>
      <c r="G1430" t="inlineStr">
        <is>
          <t>pressure</t>
        </is>
      </c>
      <c r="H1430" t="inlineStr">
        <is>
          <t>yes</t>
        </is>
      </c>
      <c r="I1430" t="inlineStr">
        <is>
          <t>32.5</t>
        </is>
      </c>
      <c r="J1430" t="inlineStr">
        <is>
          <t>derived</t>
        </is>
      </c>
      <c r="K1430" t="inlineStr">
        <is>
          <t>https://data.worldbank.org/indicator/NY.GNP.PCAP.PP.CD</t>
        </is>
      </c>
      <c r="L1430" t="inlineStr">
        <is>
          <t>Computed from city_inputs + country_context</t>
        </is>
      </c>
      <c r="M1430" t="inlineStr">
        <is>
          <t>2024-01-01</t>
        </is>
      </c>
      <c r="N1430" t="inlineStr">
        <is>
          <t>derived=rent/gross_income*100</t>
        </is>
      </c>
    </row>
    <row r="1431">
      <c r="A1431" t="inlineStr">
        <is>
          <t>ru-moscow</t>
        </is>
      </c>
      <c r="B1431" t="inlineStr">
        <is>
          <t>Moscow</t>
        </is>
      </c>
      <c r="C1431" t="inlineStr">
        <is>
          <t>Russia</t>
        </is>
      </c>
      <c r="D1431" t="inlineStr">
        <is>
          <t>Southern/Eastern Europe and Eurasia</t>
        </is>
      </c>
      <c r="E1431" t="inlineStr">
        <is>
          <t>household_debt_burden_raw</t>
        </is>
      </c>
      <c r="F1431" t="inlineStr">
        <is>
          <t>Household debt burden raw</t>
        </is>
      </c>
      <c r="G1431" t="inlineStr">
        <is>
          <t>pressure</t>
        </is>
      </c>
      <c r="H1431" t="inlineStr">
        <is>
          <t>yes</t>
        </is>
      </c>
      <c r="I1431" t="inlineStr">
        <is>
          <t>54.6413</t>
        </is>
      </c>
      <c r="J1431" t="inlineStr">
        <is>
          <t>derived</t>
        </is>
      </c>
      <c r="K1431" t="inlineStr">
        <is>
          <t>https://data.worldbank.org/indicator/NY.GNP.PCAP.PP.CD</t>
        </is>
      </c>
      <c r="L1431" t="inlineStr">
        <is>
          <t>Computed from city_inputs + country_context</t>
        </is>
      </c>
      <c r="M1431" t="inlineStr">
        <is>
          <t>2024-01-01</t>
        </is>
      </c>
      <c r="N1431" t="inlineStr">
        <is>
          <t>derived=country_context.household_debt_proxy; country=Russia</t>
        </is>
      </c>
    </row>
    <row r="1432">
      <c r="A1432" t="inlineStr">
        <is>
          <t>ru-moscow</t>
        </is>
      </c>
      <c r="B1432" t="inlineStr">
        <is>
          <t>Moscow</t>
        </is>
      </c>
      <c r="C1432" t="inlineStr">
        <is>
          <t>Russia</t>
        </is>
      </c>
      <c r="D1432" t="inlineStr">
        <is>
          <t>Southern/Eastern Europe and Eurasia</t>
        </is>
      </c>
      <c r="E1432" t="inlineStr">
        <is>
          <t>working_time_pressure_raw</t>
        </is>
      </c>
      <c r="F1432" t="inlineStr">
        <is>
          <t>Working time pressure raw</t>
        </is>
      </c>
      <c r="G1432" t="inlineStr">
        <is>
          <t>pressure</t>
        </is>
      </c>
      <c r="H1432" t="inlineStr">
        <is>
          <t>yes</t>
        </is>
      </c>
      <c r="I1432" t="inlineStr">
        <is>
          <t>39.17</t>
        </is>
      </c>
      <c r="J1432" t="inlineStr">
        <is>
          <t>ilo_ilostat</t>
        </is>
      </c>
      <c r="K1432" t="inlineStr">
        <is>
          <t>https://ilostat.ilo.org/data/indicator/?id=HOW_TEMP_SEX_ECO_NB_A&amp;ref_area=RUS</t>
        </is>
      </c>
      <c r="L1432" t="inlineStr">
        <is>
          <t>ILO ILOSTAT: Mean weekly hours actually worked per employed person</t>
        </is>
      </c>
      <c r="M1432" t="inlineStr">
        <is>
          <t>2024-12-31</t>
        </is>
      </c>
      <c r="N1432" t="inlineStr">
        <is>
          <t>auto_ingest=ilo_working_hours; indicator=HOW_TEMP_SEX_ECO_NB_A; year=2024; hours=39.17; country_proxy=Russia</t>
        </is>
      </c>
    </row>
    <row r="1433">
      <c r="A1433" t="inlineStr">
        <is>
          <t>ru-moscow</t>
        </is>
      </c>
      <c r="B1433" t="inlineStr">
        <is>
          <t>Moscow</t>
        </is>
      </c>
      <c r="C1433" t="inlineStr">
        <is>
          <t>Russia</t>
        </is>
      </c>
      <c r="D1433" t="inlineStr">
        <is>
          <t>Southern/Eastern Europe and Eurasia</t>
        </is>
      </c>
      <c r="E1433" t="inlineStr">
        <is>
          <t>suicide_mental_strain_raw</t>
        </is>
      </c>
      <c r="F1433" t="inlineStr">
        <is>
          <t>Suicide or mental strain raw</t>
        </is>
      </c>
      <c r="G1433" t="inlineStr">
        <is>
          <t>pressure</t>
        </is>
      </c>
      <c r="H1433" t="inlineStr">
        <is>
          <t>yes</t>
        </is>
      </c>
      <c r="I1433" t="inlineStr">
        <is>
          <t>21.37</t>
        </is>
      </c>
      <c r="J1433" t="inlineStr">
        <is>
          <t>who_gho</t>
        </is>
      </c>
      <c r="K1433" t="inlineStr">
        <is>
          <t>https://www.who.int/data/gho/data/indicators/indicator-details/GHO/SDGSUICIDE</t>
        </is>
      </c>
      <c r="L1433" t="inlineStr">
        <is>
          <t>WHO GHO: Age-standardized suicide rate (per 100,000 population)</t>
        </is>
      </c>
      <c r="M1433" t="inlineStr">
        <is>
          <t>2021-12-31</t>
        </is>
      </c>
      <c r="N1433" t="inlineStr">
        <is>
          <t>auto_ingest=who_gho; indicator=SDGSUICIDE; year=2021; country_proxy=Russia</t>
        </is>
      </c>
    </row>
    <row r="1434">
      <c r="A1434" t="inlineStr">
        <is>
          <t>ru-moscow</t>
        </is>
      </c>
      <c r="B1434" t="inlineStr">
        <is>
          <t>Moscow</t>
        </is>
      </c>
      <c r="C1434" t="inlineStr">
        <is>
          <t>Russia</t>
        </is>
      </c>
      <c r="D1434" t="inlineStr">
        <is>
          <t>Southern/Eastern Europe and Eurasia</t>
        </is>
      </c>
      <c r="E1434" t="inlineStr">
        <is>
          <t>personal_safety_raw</t>
        </is>
      </c>
      <c r="F1434" t="inlineStr">
        <is>
          <t>Personal safety raw</t>
        </is>
      </c>
      <c r="G1434" t="inlineStr">
        <is>
          <t>viability</t>
        </is>
      </c>
      <c r="H1434" t="inlineStr">
        <is>
          <t>yes</t>
        </is>
      </c>
      <c r="I1434" t="inlineStr">
        <is>
          <t>6.77</t>
        </is>
      </c>
      <c r="J1434" t="inlineStr">
        <is>
          <t>world_bank</t>
        </is>
      </c>
      <c r="K1434" t="inlineStr">
        <is>
          <t>https://api.worldbank.org/v2/country/RUS/indicator/VC.IHR.PSRC.P5?format=json&amp;mrv=10</t>
        </is>
      </c>
      <c r="L1434" t="inlineStr">
        <is>
          <t>UNODC via World Bank WDI: Intentional homicides (per 100,000 people)</t>
        </is>
      </c>
      <c r="M1434" t="inlineStr">
        <is>
          <t>2021-12-31</t>
        </is>
      </c>
      <c r="N1434" t="inlineStr">
        <is>
          <t>auto_ingest=unodc_safety; indicator=VC.IHR.PSRC.P5; year=2021; country_proxy=Russia</t>
        </is>
      </c>
    </row>
    <row r="1435">
      <c r="A1435" t="inlineStr">
        <is>
          <t>ru-moscow</t>
        </is>
      </c>
      <c r="B1435" t="inlineStr">
        <is>
          <t>Moscow</t>
        </is>
      </c>
      <c r="C1435" t="inlineStr">
        <is>
          <t>Russia</t>
        </is>
      </c>
      <c r="D1435" t="inlineStr">
        <is>
          <t>Southern/Eastern Europe and Eurasia</t>
        </is>
      </c>
      <c r="E1435" t="inlineStr">
        <is>
          <t>transit_access_commute_raw</t>
        </is>
      </c>
      <c r="F1435" t="inlineStr">
        <is>
          <t>Transit access and commute raw</t>
        </is>
      </c>
      <c r="G1435" t="inlineStr">
        <is>
          <t>viability</t>
        </is>
      </c>
      <c r="H1435" t="inlineStr">
        <is>
          <t>yes</t>
        </is>
      </c>
      <c r="I1435" t="inlineStr"/>
      <c r="J1435" t="inlineStr"/>
      <c r="K1435" t="inlineStr"/>
      <c r="L1435" t="inlineStr"/>
      <c r="M1435" t="inlineStr"/>
      <c r="N1435" t="inlineStr"/>
    </row>
    <row r="1436">
      <c r="A1436" t="inlineStr">
        <is>
          <t>ru-moscow</t>
        </is>
      </c>
      <c r="B1436" t="inlineStr">
        <is>
          <t>Moscow</t>
        </is>
      </c>
      <c r="C1436" t="inlineStr">
        <is>
          <t>Russia</t>
        </is>
      </c>
      <c r="D1436" t="inlineStr">
        <is>
          <t>Southern/Eastern Europe and Eurasia</t>
        </is>
      </c>
      <c r="E1436" t="inlineStr">
        <is>
          <t>clean_air_raw</t>
        </is>
      </c>
      <c r="F1436" t="inlineStr">
        <is>
          <t>Clean air raw</t>
        </is>
      </c>
      <c r="G1436" t="inlineStr">
        <is>
          <t>viability</t>
        </is>
      </c>
      <c r="H1436" t="inlineStr">
        <is>
          <t>yes</t>
        </is>
      </c>
      <c r="I1436" t="inlineStr"/>
      <c r="J1436" t="inlineStr"/>
      <c r="K1436" t="inlineStr"/>
      <c r="L1436" t="inlineStr"/>
      <c r="M1436" t="inlineStr"/>
      <c r="N1436" t="inlineStr"/>
    </row>
    <row r="1437">
      <c r="A1437" t="inlineStr">
        <is>
          <t>ru-moscow</t>
        </is>
      </c>
      <c r="B1437" t="inlineStr">
        <is>
          <t>Moscow</t>
        </is>
      </c>
      <c r="C1437" t="inlineStr">
        <is>
          <t>Russia</t>
        </is>
      </c>
      <c r="D1437" t="inlineStr">
        <is>
          <t>Southern/Eastern Europe and Eurasia</t>
        </is>
      </c>
      <c r="E1437" t="inlineStr">
        <is>
          <t>water_sanitation_utility_raw</t>
        </is>
      </c>
      <c r="F1437" t="inlineStr">
        <is>
          <t>Water, sanitation, and utility raw</t>
        </is>
      </c>
      <c r="G1437" t="inlineStr">
        <is>
          <t>viability</t>
        </is>
      </c>
      <c r="H1437" t="inlineStr">
        <is>
          <t>yes</t>
        </is>
      </c>
      <c r="I1437" t="inlineStr">
        <is>
          <t>76.26</t>
        </is>
      </c>
      <c r="J1437" t="inlineStr">
        <is>
          <t>world_bank</t>
        </is>
      </c>
      <c r="K1437" t="inlineStr">
        <is>
          <t>https://api.worldbank.org/v2/country/RUS/indicator/SH.H2O.SMDW.ZS?format=json&amp;mrv=10</t>
        </is>
      </c>
      <c r="L1437" t="inlineStr">
        <is>
          <t>World Bank WDI: People using safely managed drinking water services (% of population)</t>
        </is>
      </c>
      <c r="M1437" t="inlineStr">
        <is>
          <t>2024-12-31</t>
        </is>
      </c>
      <c r="N1437" t="inlineStr">
        <is>
          <t>auto_ingest=world_bank_proxy; indicator=SH.H2O.SMDW.ZS; year=2024; country_proxy=Russia</t>
        </is>
      </c>
    </row>
    <row r="1438">
      <c r="A1438" t="inlineStr">
        <is>
          <t>ru-moscow</t>
        </is>
      </c>
      <c r="B1438" t="inlineStr">
        <is>
          <t>Moscow</t>
        </is>
      </c>
      <c r="C1438" t="inlineStr">
        <is>
          <t>Russia</t>
        </is>
      </c>
      <c r="D1438" t="inlineStr">
        <is>
          <t>Southern/Eastern Europe and Eurasia</t>
        </is>
      </c>
      <c r="E1438" t="inlineStr">
        <is>
          <t>digital_infrastructure_raw</t>
        </is>
      </c>
      <c r="F1438" t="inlineStr">
        <is>
          <t>Digital infrastructure raw</t>
        </is>
      </c>
      <c r="G1438" t="inlineStr">
        <is>
          <t>viability</t>
        </is>
      </c>
      <c r="H1438" t="inlineStr">
        <is>
          <t>yes</t>
        </is>
      </c>
      <c r="I1438" t="inlineStr">
        <is>
          <t>25.82</t>
        </is>
      </c>
      <c r="J1438" t="inlineStr">
        <is>
          <t>world_bank</t>
        </is>
      </c>
      <c r="K1438" t="inlineStr">
        <is>
          <t>https://api.worldbank.org/v2/country/RUS/indicator/IT.NET.BBND.P2?format=json&amp;mrv=10</t>
        </is>
      </c>
      <c r="L1438" t="inlineStr">
        <is>
          <t>World Bank WDI: Fixed broadband subscriptions (per 100 people)</t>
        </is>
      </c>
      <c r="M1438" t="inlineStr">
        <is>
          <t>2023-12-31</t>
        </is>
      </c>
      <c r="N1438" t="inlineStr">
        <is>
          <t>auto_ingest=world_bank_proxy; indicator=IT.NET.BBND.P2; year=2023; country_proxy=Russia</t>
        </is>
      </c>
    </row>
    <row r="1439">
      <c r="A1439" t="inlineStr">
        <is>
          <t>ru-moscow</t>
        </is>
      </c>
      <c r="B1439" t="inlineStr">
        <is>
          <t>Moscow</t>
        </is>
      </c>
      <c r="C1439" t="inlineStr">
        <is>
          <t>Russia</t>
        </is>
      </c>
      <c r="D1439" t="inlineStr">
        <is>
          <t>Southern/Eastern Europe and Eurasia</t>
        </is>
      </c>
      <c r="E1439" t="inlineStr">
        <is>
          <t>climate_sunlight_livability_raw</t>
        </is>
      </c>
      <c r="F1439" t="inlineStr">
        <is>
          <t>Climate and sunlight livability raw</t>
        </is>
      </c>
      <c r="G1439" t="inlineStr">
        <is>
          <t>viability</t>
        </is>
      </c>
      <c r="H1439" t="inlineStr">
        <is>
          <t>yes</t>
        </is>
      </c>
      <c r="I1439" t="inlineStr"/>
      <c r="J1439" t="inlineStr"/>
      <c r="K1439" t="inlineStr"/>
      <c r="L1439" t="inlineStr"/>
      <c r="M1439" t="inlineStr"/>
      <c r="N1439" t="inlineStr"/>
    </row>
    <row r="1440">
      <c r="A1440" t="inlineStr">
        <is>
          <t>ru-moscow</t>
        </is>
      </c>
      <c r="B1440" t="inlineStr">
        <is>
          <t>Moscow</t>
        </is>
      </c>
      <c r="C1440" t="inlineStr">
        <is>
          <t>Russia</t>
        </is>
      </c>
      <c r="D1440" t="inlineStr">
        <is>
          <t>Southern/Eastern Europe and Eurasia</t>
        </is>
      </c>
      <c r="E1440" t="inlineStr">
        <is>
          <t>healthcare_quality_raw</t>
        </is>
      </c>
      <c r="F1440" t="inlineStr">
        <is>
          <t>Healthcare quality raw</t>
        </is>
      </c>
      <c r="G1440" t="inlineStr">
        <is>
          <t>capability</t>
        </is>
      </c>
      <c r="H1440" t="inlineStr">
        <is>
          <t>yes</t>
        </is>
      </c>
      <c r="I1440" t="inlineStr">
        <is>
          <t>81.0</t>
        </is>
      </c>
      <c r="J1440" t="inlineStr">
        <is>
          <t>who_gho</t>
        </is>
      </c>
      <c r="K1440" t="inlineStr">
        <is>
          <t>https://www.who.int/data/gho/data/indicators/indicator-details/GHO/UHC_INDEX_REPORTED</t>
        </is>
      </c>
      <c r="L1440" t="inlineStr">
        <is>
          <t>WHO GHO: UHC Service Coverage Index</t>
        </is>
      </c>
      <c r="M1440" t="inlineStr">
        <is>
          <t>2023-12-31</t>
        </is>
      </c>
      <c r="N1440" t="inlineStr">
        <is>
          <t>auto_ingest=who_gho; indicator=UHC_INDEX_REPORTED; year=2023; country_proxy=Russia</t>
        </is>
      </c>
    </row>
    <row r="1441">
      <c r="A1441" t="inlineStr">
        <is>
          <t>ru-moscow</t>
        </is>
      </c>
      <c r="B1441" t="inlineStr">
        <is>
          <t>Moscow</t>
        </is>
      </c>
      <c r="C1441" t="inlineStr">
        <is>
          <t>Russia</t>
        </is>
      </c>
      <c r="D1441" t="inlineStr">
        <is>
          <t>Southern/Eastern Europe and Eurasia</t>
        </is>
      </c>
      <c r="E1441" t="inlineStr">
        <is>
          <t>education_quality_raw</t>
        </is>
      </c>
      <c r="F1441" t="inlineStr">
        <is>
          <t>Education quality raw</t>
        </is>
      </c>
      <c r="G1441" t="inlineStr">
        <is>
          <t>capability</t>
        </is>
      </c>
      <c r="H1441" t="inlineStr">
        <is>
          <t>yes</t>
        </is>
      </c>
      <c r="I1441" t="inlineStr">
        <is>
          <t>60.39</t>
        </is>
      </c>
      <c r="J1441" t="inlineStr">
        <is>
          <t>world_bank</t>
        </is>
      </c>
      <c r="K1441" t="inlineStr">
        <is>
          <t>https://api.worldbank.org/v2/country/RUS/indicator/SE.TER.ENRR?format=json&amp;mrv=10</t>
        </is>
      </c>
      <c r="L1441" t="inlineStr">
        <is>
          <t>World Bank WDI: School enrollment, tertiary (% gross)</t>
        </is>
      </c>
      <c r="M1441" t="inlineStr">
        <is>
          <t>2024-12-31</t>
        </is>
      </c>
      <c r="N1441" t="inlineStr">
        <is>
          <t>auto_ingest=world_bank_proxy; indicator=SE.TER.ENRR; year=2024; country_proxy=Russia</t>
        </is>
      </c>
    </row>
    <row r="1442">
      <c r="A1442" t="inlineStr">
        <is>
          <t>ru-moscow</t>
        </is>
      </c>
      <c r="B1442" t="inlineStr">
        <is>
          <t>Moscow</t>
        </is>
      </c>
      <c r="C1442" t="inlineStr">
        <is>
          <t>Russia</t>
        </is>
      </c>
      <c r="D1442" t="inlineStr">
        <is>
          <t>Southern/Eastern Europe and Eurasia</t>
        </is>
      </c>
      <c r="E1442" t="inlineStr">
        <is>
          <t>equal_opportunity_raw</t>
        </is>
      </c>
      <c r="F1442" t="inlineStr">
        <is>
          <t>Equal opportunity raw</t>
        </is>
      </c>
      <c r="G1442" t="inlineStr">
        <is>
          <t>capability</t>
        </is>
      </c>
      <c r="H1442" t="inlineStr">
        <is>
          <t>yes</t>
        </is>
      </c>
      <c r="I1442" t="inlineStr">
        <is>
          <t>33.0</t>
        </is>
      </c>
      <c r="J1442" t="inlineStr">
        <is>
          <t>world_bank</t>
        </is>
      </c>
      <c r="K1442" t="inlineStr">
        <is>
          <t>https://api.worldbank.org/v2/country/RUS/indicator/SI.POV.GINI?format=json&amp;mrv=10</t>
        </is>
      </c>
      <c r="L1442" t="inlineStr">
        <is>
          <t>World Bank WDI: Gini index</t>
        </is>
      </c>
      <c r="M1442" t="inlineStr">
        <is>
          <t>2023-12-31</t>
        </is>
      </c>
      <c r="N1442" t="inlineStr">
        <is>
          <t>auto_ingest=world_bank_capability; indicator=SI.POV.GINI; year=2023; country_proxy=Russia</t>
        </is>
      </c>
    </row>
    <row r="1443">
      <c r="A1443" t="inlineStr">
        <is>
          <t>ru-moscow</t>
        </is>
      </c>
      <c r="B1443" t="inlineStr">
        <is>
          <t>Moscow</t>
        </is>
      </c>
      <c r="C1443" t="inlineStr">
        <is>
          <t>Russia</t>
        </is>
      </c>
      <c r="D1443" t="inlineStr">
        <is>
          <t>Southern/Eastern Europe and Eurasia</t>
        </is>
      </c>
      <c r="E1443" t="inlineStr">
        <is>
          <t>hospitality_belonging_raw</t>
        </is>
      </c>
      <c r="F1443" t="inlineStr">
        <is>
          <t>Hospitality and belonging raw</t>
        </is>
      </c>
      <c r="G1443" t="inlineStr">
        <is>
          <t>community</t>
        </is>
      </c>
      <c r="H1443" t="inlineStr">
        <is>
          <t>yes</t>
        </is>
      </c>
      <c r="I1443" t="inlineStr">
        <is>
          <t>48.25</t>
        </is>
      </c>
      <c r="J1443" t="inlineStr">
        <is>
          <t>world_bank</t>
        </is>
      </c>
      <c r="K1443" t="inlineStr">
        <is>
          <t>https://api.worldbank.org/v2/country/RUS/indicator/SM.POP.NETM?format=json&amp;mrv=10</t>
        </is>
      </c>
      <c r="L1443" t="inlineStr">
        <is>
          <t>World Bank WDI: Net migration (proxy for hospitality/belonging — positive = welcoming)</t>
        </is>
      </c>
      <c r="M1443" t="inlineStr">
        <is>
          <t>2025-12-31</t>
        </is>
      </c>
      <c r="N1443" t="inlineStr">
        <is>
          <t>auto_ingest=world_bank_proxy; proxy=net_migration_hospitality; indicator=SM.POP.NETM; year=2025; country_proxy=Russia</t>
        </is>
      </c>
    </row>
    <row r="1444">
      <c r="A1444" t="inlineStr">
        <is>
          <t>ru-moscow</t>
        </is>
      </c>
      <c r="B1444" t="inlineStr">
        <is>
          <t>Moscow</t>
        </is>
      </c>
      <c r="C1444" t="inlineStr">
        <is>
          <t>Russia</t>
        </is>
      </c>
      <c r="D1444" t="inlineStr">
        <is>
          <t>Southern/Eastern Europe and Eurasia</t>
        </is>
      </c>
      <c r="E1444" t="inlineStr">
        <is>
          <t>tolerance_pluralism_raw</t>
        </is>
      </c>
      <c r="F1444" t="inlineStr">
        <is>
          <t>Tolerance and pluralism raw</t>
        </is>
      </c>
      <c r="G1444" t="inlineStr">
        <is>
          <t>community</t>
        </is>
      </c>
      <c r="H1444" t="inlineStr">
        <is>
          <t>yes</t>
        </is>
      </c>
      <c r="I1444" t="inlineStr">
        <is>
          <t>16.44</t>
        </is>
      </c>
      <c r="J1444" t="inlineStr">
        <is>
          <t>world_bank</t>
        </is>
      </c>
      <c r="K1444" t="inlineStr">
        <is>
          <t>https://api.worldbank.org/v2/country/RUS/indicator/SG.GEN.PARL.ZS?format=json&amp;mrv=10</t>
        </is>
      </c>
      <c r="L1444" t="inlineStr">
        <is>
          <t>World Bank WDI: Proportion of seats held by women in national parliaments (%)</t>
        </is>
      </c>
      <c r="M1444" t="inlineStr">
        <is>
          <t>2024-12-31</t>
        </is>
      </c>
      <c r="N1444" t="inlineStr">
        <is>
          <t>auto_ingest=world_bank_proxy; proxy=gender_parity_parliament; indicator=SG.GEN.PARL.ZS; year=2024; country_proxy=Russia</t>
        </is>
      </c>
    </row>
    <row r="1445">
      <c r="A1445" t="inlineStr">
        <is>
          <t>ru-moscow</t>
        </is>
      </c>
      <c r="B1445" t="inlineStr">
        <is>
          <t>Moscow</t>
        </is>
      </c>
      <c r="C1445" t="inlineStr">
        <is>
          <t>Russia</t>
        </is>
      </c>
      <c r="D1445" t="inlineStr">
        <is>
          <t>Southern/Eastern Europe and Eurasia</t>
        </is>
      </c>
      <c r="E1445" t="inlineStr">
        <is>
          <t>cultural_public_life_raw</t>
        </is>
      </c>
      <c r="F1445" t="inlineStr">
        <is>
          <t>Cultural public life raw</t>
        </is>
      </c>
      <c r="G1445" t="inlineStr">
        <is>
          <t>community</t>
        </is>
      </c>
      <c r="H1445" t="inlineStr">
        <is>
          <t>yes</t>
        </is>
      </c>
      <c r="I1445" t="inlineStr">
        <is>
          <t>44.3</t>
        </is>
      </c>
      <c r="J1445" t="inlineStr">
        <is>
          <t>world_bank</t>
        </is>
      </c>
      <c r="K1445" t="inlineStr">
        <is>
          <t>https://api.worldbank.org/v2/country/RUS/indicator/ST.INT.ARVL?format=json&amp;mrv=10</t>
        </is>
      </c>
      <c r="L1445" t="inlineStr">
        <is>
          <t>World Bank WDI: International tourism arrivals per 1 000 population</t>
        </is>
      </c>
      <c r="M1445" t="inlineStr">
        <is>
          <t>2020-12-31</t>
        </is>
      </c>
      <c r="N1445" t="inlineStr">
        <is>
          <t>auto_ingest=cultural_life_proxy; indicator=ST.INT.ARVL; norm=per_1000_pop; year=2020; country_proxy=Russia</t>
        </is>
      </c>
    </row>
    <row r="1446">
      <c r="A1446" t="inlineStr">
        <is>
          <t>ru-moscow</t>
        </is>
      </c>
      <c r="B1446" t="inlineStr">
        <is>
          <t>Moscow</t>
        </is>
      </c>
      <c r="C1446" t="inlineStr">
        <is>
          <t>Russia</t>
        </is>
      </c>
      <c r="D1446" t="inlineStr">
        <is>
          <t>Southern/Eastern Europe and Eurasia</t>
        </is>
      </c>
      <c r="E1446" t="inlineStr">
        <is>
          <t>birth_rate_optimism_raw</t>
        </is>
      </c>
      <c r="F1446" t="inlineStr">
        <is>
          <t>Birth rate and societal optimism raw</t>
        </is>
      </c>
      <c r="G1446" t="inlineStr">
        <is>
          <t>community</t>
        </is>
      </c>
      <c r="H1446" t="inlineStr">
        <is>
          <t>yes</t>
        </is>
      </c>
      <c r="I1446" t="inlineStr"/>
      <c r="J1446" t="inlineStr"/>
      <c r="K1446" t="inlineStr"/>
      <c r="L1446" t="inlineStr"/>
      <c r="M1446" t="inlineStr"/>
      <c r="N1446" t="inlineStr"/>
    </row>
    <row r="1447">
      <c r="A1447" t="inlineStr">
        <is>
          <t>ru-moscow</t>
        </is>
      </c>
      <c r="B1447" t="inlineStr">
        <is>
          <t>Moscow</t>
        </is>
      </c>
      <c r="C1447" t="inlineStr">
        <is>
          <t>Russia</t>
        </is>
      </c>
      <c r="D1447" t="inlineStr">
        <is>
          <t>Southern/Eastern Europe and Eurasia</t>
        </is>
      </c>
      <c r="E1447" t="inlineStr">
        <is>
          <t>entrepreneurial_dynamism_raw</t>
        </is>
      </c>
      <c r="F1447" t="inlineStr">
        <is>
          <t>Entrepreneurial dynamism raw</t>
        </is>
      </c>
      <c r="G1447" t="inlineStr">
        <is>
          <t>creative</t>
        </is>
      </c>
      <c r="H1447" t="inlineStr">
        <is>
          <t>yes</t>
        </is>
      </c>
      <c r="I1447" t="inlineStr">
        <is>
          <t>2.52</t>
        </is>
      </c>
      <c r="J1447" t="inlineStr">
        <is>
          <t>world_bank</t>
        </is>
      </c>
      <c r="K1447" t="inlineStr">
        <is>
          <t>https://api.worldbank.org/v2/country/RUS/indicator/IC.BUS.NDNS.ZS?format=json&amp;mrv=10</t>
        </is>
      </c>
      <c r="L1447" t="inlineStr">
        <is>
          <t>World Bank WDI: New business density (new registrations per 1,000 people ages 15-64)</t>
        </is>
      </c>
      <c r="M1447" t="inlineStr">
        <is>
          <t>2022-12-31</t>
        </is>
      </c>
      <c r="N1447" t="inlineStr">
        <is>
          <t>auto_ingest=world_bank_creative_extended; indicator=IC.BUS.NDNS.ZS; year=2022; country_proxy=Russia</t>
        </is>
      </c>
    </row>
    <row r="1448">
      <c r="A1448" t="inlineStr">
        <is>
          <t>ru-moscow</t>
        </is>
      </c>
      <c r="B1448" t="inlineStr">
        <is>
          <t>Moscow</t>
        </is>
      </c>
      <c r="C1448" t="inlineStr">
        <is>
          <t>Russia</t>
        </is>
      </c>
      <c r="D1448" t="inlineStr">
        <is>
          <t>Southern/Eastern Europe and Eurasia</t>
        </is>
      </c>
      <c r="E1448" t="inlineStr">
        <is>
          <t>innovation_research_intensity_raw</t>
        </is>
      </c>
      <c r="F1448" t="inlineStr">
        <is>
          <t>Innovation and research raw</t>
        </is>
      </c>
      <c r="G1448" t="inlineStr">
        <is>
          <t>creative</t>
        </is>
      </c>
      <c r="H1448" t="inlineStr">
        <is>
          <t>yes</t>
        </is>
      </c>
      <c r="I1448" t="inlineStr">
        <is>
          <t>0.93</t>
        </is>
      </c>
      <c r="J1448" t="inlineStr">
        <is>
          <t>world_bank</t>
        </is>
      </c>
      <c r="K1448" t="inlineStr">
        <is>
          <t>https://api.worldbank.org/v2/country/RUS/indicator/GB.XPD.RSDV.GD.ZS?format=json&amp;mrv=10</t>
        </is>
      </c>
      <c r="L1448" t="inlineStr">
        <is>
          <t>World Bank WDI: Research and development expenditure (% of GDP)</t>
        </is>
      </c>
      <c r="M1448" t="inlineStr">
        <is>
          <t>2022-12-31</t>
        </is>
      </c>
      <c r="N1448" t="inlineStr">
        <is>
          <t>auto_ingest=world_bank_creative_extended; indicator=GB.XPD.RSDV.GD.ZS; year=2022; country_proxy=Russia</t>
        </is>
      </c>
    </row>
    <row r="1449">
      <c r="A1449" t="inlineStr">
        <is>
          <t>ru-moscow</t>
        </is>
      </c>
      <c r="B1449" t="inlineStr">
        <is>
          <t>Moscow</t>
        </is>
      </c>
      <c r="C1449" t="inlineStr">
        <is>
          <t>Russia</t>
        </is>
      </c>
      <c r="D1449" t="inlineStr">
        <is>
          <t>Southern/Eastern Europe and Eurasia</t>
        </is>
      </c>
      <c r="E1449" t="inlineStr">
        <is>
          <t>investment_signal_raw</t>
        </is>
      </c>
      <c r="F1449" t="inlineStr">
        <is>
          <t>Investment signal raw</t>
        </is>
      </c>
      <c r="G1449" t="inlineStr">
        <is>
          <t>creative</t>
        </is>
      </c>
      <c r="H1449" t="inlineStr">
        <is>
          <t>yes</t>
        </is>
      </c>
      <c r="I1449" t="inlineStr">
        <is>
          <t>-0.43</t>
        </is>
      </c>
      <c r="J1449" t="inlineStr">
        <is>
          <t>world_bank</t>
        </is>
      </c>
      <c r="K1449" t="inlineStr">
        <is>
          <t>https://api.worldbank.org/v2/country/RUS/indicator/BX.KLT.DINV.WD.GD.ZS?format=json&amp;mrv=10</t>
        </is>
      </c>
      <c r="L1449" t="inlineStr">
        <is>
          <t>World Bank WDI: Foreign direct investment, net inflows (% of GDP)</t>
        </is>
      </c>
      <c r="M1449" t="inlineStr">
        <is>
          <t>2024-12-31</t>
        </is>
      </c>
      <c r="N1449" t="inlineStr">
        <is>
          <t>auto_ingest=world_bank_creative_extended; indicator=BX.KLT.DINV.WD.GD.ZS; year=2024; country_proxy=Russia</t>
        </is>
      </c>
    </row>
    <row r="1450">
      <c r="A1450" t="inlineStr">
        <is>
          <t>ru-moscow</t>
        </is>
      </c>
      <c r="B1450" t="inlineStr">
        <is>
          <t>Moscow</t>
        </is>
      </c>
      <c r="C1450" t="inlineStr">
        <is>
          <t>Russia</t>
        </is>
      </c>
      <c r="D1450" t="inlineStr">
        <is>
          <t>Southern/Eastern Europe and Eurasia</t>
        </is>
      </c>
      <c r="E1450" t="inlineStr">
        <is>
          <t>administrative_investment_friction_raw</t>
        </is>
      </c>
      <c r="F1450" t="inlineStr">
        <is>
          <t>Administrative investment friction raw</t>
        </is>
      </c>
      <c r="G1450" t="inlineStr">
        <is>
          <t>creative</t>
        </is>
      </c>
      <c r="H1450" t="inlineStr">
        <is>
          <t>yes</t>
        </is>
      </c>
      <c r="I1450" t="inlineStr">
        <is>
          <t>3.62</t>
        </is>
      </c>
      <c r="J1450" t="inlineStr">
        <is>
          <t>world_bank</t>
        </is>
      </c>
      <c r="K1450" t="inlineStr">
        <is>
          <t>https://api.worldbank.org/v2/country/RUS/indicator/RQ.EST?format=json&amp;mrv=10</t>
        </is>
      </c>
      <c r="L1450" t="inlineStr">
        <is>
          <t>World Bank WGI: Regulatory Quality (inverted as friction proxy)</t>
        </is>
      </c>
      <c r="M1450" t="inlineStr">
        <is>
          <t>2023-12-31</t>
        </is>
      </c>
      <c r="N1450" t="inlineStr">
        <is>
          <t>auto_ingest=world_bank_business_friction; indicator=RQ.EST; raw_rq=-1.12207186222076; friction=3.62; year=2023; country_proxy=Russia</t>
        </is>
      </c>
    </row>
    <row r="1451">
      <c r="A1451" t="inlineStr">
        <is>
          <t>ru-moscow</t>
        </is>
      </c>
      <c r="B1451" t="inlineStr">
        <is>
          <t>Moscow</t>
        </is>
      </c>
      <c r="C1451" t="inlineStr">
        <is>
          <t>Russia</t>
        </is>
      </c>
      <c r="D1451" t="inlineStr">
        <is>
          <t>Southern/Eastern Europe and Eurasia</t>
        </is>
      </c>
      <c r="E1451" t="inlineStr">
        <is>
          <t>visitor_flow_context_raw</t>
        </is>
      </c>
      <c r="F1451" t="inlineStr">
        <is>
          <t>Visitor flow context raw</t>
        </is>
      </c>
      <c r="G1451" t="inlineStr">
        <is>
          <t>creative</t>
        </is>
      </c>
      <c r="H1451" t="inlineStr">
        <is>
          <t>no</t>
        </is>
      </c>
      <c r="I1451" t="inlineStr"/>
      <c r="J1451" t="inlineStr"/>
      <c r="K1451" t="inlineStr"/>
      <c r="L1451" t="inlineStr"/>
      <c r="M1451" t="inlineStr"/>
      <c r="N1451" t="inlineStr"/>
    </row>
    <row r="1452">
      <c r="A1452" t="inlineStr">
        <is>
          <t>hu-budapest</t>
        </is>
      </c>
      <c r="B1452" t="inlineStr">
        <is>
          <t>Budapest</t>
        </is>
      </c>
      <c r="C1452" t="inlineStr">
        <is>
          <t>Hungary</t>
        </is>
      </c>
      <c r="D1452" t="inlineStr">
        <is>
          <t>Southern/Eastern Europe and Eurasia</t>
        </is>
      </c>
      <c r="E1452" t="inlineStr">
        <is>
          <t>gross_income</t>
        </is>
      </c>
      <c r="F1452" t="inlineStr">
        <is>
          <t>Gross income</t>
        </is>
      </c>
      <c r="G1452" t="inlineStr">
        <is>
          <t>pressure</t>
        </is>
      </c>
      <c r="H1452" t="inlineStr">
        <is>
          <t>yes</t>
        </is>
      </c>
      <c r="I1452" t="inlineStr">
        <is>
          <t>3940.83</t>
        </is>
      </c>
      <c r="J1452" t="inlineStr">
        <is>
          <t>world_bank_col_estimate</t>
        </is>
      </c>
      <c r="K1452" t="inlineStr">
        <is>
          <t>https://api.worldbank.org/v2/country/HUN/indicator/NY.GNP.PCAP.PP.CD?format=json&amp;mrv=10</t>
        </is>
      </c>
      <c r="L1452" t="inlineStr">
        <is>
          <t>World Bank WDI: GNI per capita PPP (monthly USD)</t>
        </is>
      </c>
      <c r="M1452" t="inlineStr">
        <is>
          <t>2024-12-31</t>
        </is>
      </c>
      <c r="N1452" t="inlineStr">
        <is>
          <t>auto_ingest=world_bank_col_estimate; gni_annual=47290.0; year=2024; country_proxy=Hungary; cohort=Southern/Eastern Europe and Eurasia</t>
        </is>
      </c>
    </row>
    <row r="1453">
      <c r="A1453" t="inlineStr">
        <is>
          <t>hu-budapest</t>
        </is>
      </c>
      <c r="B1453" t="inlineStr">
        <is>
          <t>Budapest</t>
        </is>
      </c>
      <c r="C1453" t="inlineStr">
        <is>
          <t>Hungary</t>
        </is>
      </c>
      <c r="D1453" t="inlineStr">
        <is>
          <t>Southern/Eastern Europe and Eurasia</t>
        </is>
      </c>
      <c r="E1453" t="inlineStr">
        <is>
          <t>di_ppp_raw</t>
        </is>
      </c>
      <c r="F1453" t="inlineStr">
        <is>
          <t>Disposable income PPP (Raw)</t>
        </is>
      </c>
      <c r="G1453" t="inlineStr">
        <is>
          <t>pressure</t>
        </is>
      </c>
      <c r="H1453" t="inlineStr">
        <is>
          <t>yes</t>
        </is>
      </c>
      <c r="I1453" t="inlineStr"/>
      <c r="J1453" t="inlineStr"/>
      <c r="K1453" t="inlineStr"/>
      <c r="L1453" t="inlineStr"/>
      <c r="M1453" t="inlineStr"/>
      <c r="N1453" t="inlineStr"/>
    </row>
    <row r="1454">
      <c r="A1454" t="inlineStr">
        <is>
          <t>hu-budapest</t>
        </is>
      </c>
      <c r="B1454" t="inlineStr">
        <is>
          <t>Budapest</t>
        </is>
      </c>
      <c r="C1454" t="inlineStr">
        <is>
          <t>Hungary</t>
        </is>
      </c>
      <c r="D1454" t="inlineStr">
        <is>
          <t>Southern/Eastern Europe and Eurasia</t>
        </is>
      </c>
      <c r="E1454" t="inlineStr">
        <is>
          <t>rent</t>
        </is>
      </c>
      <c r="F1454" t="inlineStr">
        <is>
          <t>Rent</t>
        </is>
      </c>
      <c r="G1454" t="inlineStr">
        <is>
          <t>pressure</t>
        </is>
      </c>
      <c r="H1454" t="inlineStr">
        <is>
          <t>yes</t>
        </is>
      </c>
      <c r="I1454" t="inlineStr">
        <is>
          <t>1083.73</t>
        </is>
      </c>
      <c r="J1454" t="inlineStr">
        <is>
          <t>world_bank_col_estimate</t>
        </is>
      </c>
      <c r="K1454" t="inlineStr">
        <is>
          <t>https://api.worldbank.org/v2/country/HUN/indicator/NY.GNP.PCAP.PP.CD?format=json&amp;mrv=10</t>
        </is>
      </c>
      <c r="L1454" t="inlineStr">
        <is>
          <t>World Bank GNI + regional expenditure ratio estimate</t>
        </is>
      </c>
      <c r="M1454" t="inlineStr">
        <is>
          <t>2024-12-31</t>
        </is>
      </c>
      <c r="N1454" t="inlineStr">
        <is>
          <t>auto_ingest=world_bank_col_estimate; gni_annual=47290.0; year=2024; country_proxy=Hungary; cohort=Southern/Eastern Europe and Eurasia; city_cost_mult=1.1</t>
        </is>
      </c>
    </row>
    <row r="1455">
      <c r="A1455" t="inlineStr">
        <is>
          <t>hu-budapest</t>
        </is>
      </c>
      <c r="B1455" t="inlineStr">
        <is>
          <t>Budapest</t>
        </is>
      </c>
      <c r="C1455" t="inlineStr">
        <is>
          <t>Hungary</t>
        </is>
      </c>
      <c r="D1455" t="inlineStr">
        <is>
          <t>Southern/Eastern Europe and Eurasia</t>
        </is>
      </c>
      <c r="E1455" t="inlineStr">
        <is>
          <t>utilities</t>
        </is>
      </c>
      <c r="F1455" t="inlineStr">
        <is>
          <t>Utilities</t>
        </is>
      </c>
      <c r="G1455" t="inlineStr">
        <is>
          <t>pressure</t>
        </is>
      </c>
      <c r="H1455" t="inlineStr">
        <is>
          <t>yes</t>
        </is>
      </c>
      <c r="I1455" t="inlineStr">
        <is>
          <t>346.79</t>
        </is>
      </c>
      <c r="J1455" t="inlineStr">
        <is>
          <t>world_bank_col_estimate</t>
        </is>
      </c>
      <c r="K1455" t="inlineStr">
        <is>
          <t>https://api.worldbank.org/v2/country/HUN/indicator/NY.GNP.PCAP.PP.CD?format=json&amp;mrv=10</t>
        </is>
      </c>
      <c r="L1455" t="inlineStr">
        <is>
          <t>World Bank GNI + regional expenditure ratio estimate</t>
        </is>
      </c>
      <c r="M1455" t="inlineStr">
        <is>
          <t>2024-12-31</t>
        </is>
      </c>
      <c r="N1455" t="inlineStr">
        <is>
          <t>auto_ingest=world_bank_col_estimate; gni_annual=47290.0; year=2024; country_proxy=Hungary; cohort=Southern/Eastern Europe and Eurasia; city_cost_mult=1.1</t>
        </is>
      </c>
    </row>
    <row r="1456">
      <c r="A1456" t="inlineStr">
        <is>
          <t>hu-budapest</t>
        </is>
      </c>
      <c r="B1456" t="inlineStr">
        <is>
          <t>Budapest</t>
        </is>
      </c>
      <c r="C1456" t="inlineStr">
        <is>
          <t>Hungary</t>
        </is>
      </c>
      <c r="D1456" t="inlineStr">
        <is>
          <t>Southern/Eastern Europe and Eurasia</t>
        </is>
      </c>
      <c r="E1456" t="inlineStr">
        <is>
          <t>transit_cost</t>
        </is>
      </c>
      <c r="F1456" t="inlineStr">
        <is>
          <t>Transit cost</t>
        </is>
      </c>
      <c r="G1456" t="inlineStr">
        <is>
          <t>pressure</t>
        </is>
      </c>
      <c r="H1456" t="inlineStr">
        <is>
          <t>yes</t>
        </is>
      </c>
      <c r="I1456" t="inlineStr">
        <is>
          <t>173.4</t>
        </is>
      </c>
      <c r="J1456" t="inlineStr">
        <is>
          <t>world_bank_col_estimate</t>
        </is>
      </c>
      <c r="K1456" t="inlineStr">
        <is>
          <t>https://api.worldbank.org/v2/country/HUN/indicator/NY.GNP.PCAP.PP.CD?format=json&amp;mrv=10</t>
        </is>
      </c>
      <c r="L1456" t="inlineStr">
        <is>
          <t>World Bank GNI + regional expenditure ratio estimate</t>
        </is>
      </c>
      <c r="M1456" t="inlineStr">
        <is>
          <t>2024-12-31</t>
        </is>
      </c>
      <c r="N1456" t="inlineStr">
        <is>
          <t>auto_ingest=world_bank_col_estimate; gni_annual=47290.0; year=2024; country_proxy=Hungary; cohort=Southern/Eastern Europe and Eurasia; city_cost_mult=1.1</t>
        </is>
      </c>
    </row>
    <row r="1457">
      <c r="A1457" t="inlineStr">
        <is>
          <t>hu-budapest</t>
        </is>
      </c>
      <c r="B1457" t="inlineStr">
        <is>
          <t>Budapest</t>
        </is>
      </c>
      <c r="C1457" t="inlineStr">
        <is>
          <t>Hungary</t>
        </is>
      </c>
      <c r="D1457" t="inlineStr">
        <is>
          <t>Southern/Eastern Europe and Eurasia</t>
        </is>
      </c>
      <c r="E1457" t="inlineStr">
        <is>
          <t>internet_cost</t>
        </is>
      </c>
      <c r="F1457" t="inlineStr">
        <is>
          <t>Internet cost</t>
        </is>
      </c>
      <c r="G1457" t="inlineStr">
        <is>
          <t>pressure</t>
        </is>
      </c>
      <c r="H1457" t="inlineStr">
        <is>
          <t>yes</t>
        </is>
      </c>
      <c r="I1457" t="inlineStr">
        <is>
          <t>65.02</t>
        </is>
      </c>
      <c r="J1457" t="inlineStr">
        <is>
          <t>world_bank_col_estimate</t>
        </is>
      </c>
      <c r="K1457" t="inlineStr">
        <is>
          <t>https://api.worldbank.org/v2/country/HUN/indicator/NY.GNP.PCAP.PP.CD?format=json&amp;mrv=10</t>
        </is>
      </c>
      <c r="L1457" t="inlineStr">
        <is>
          <t>World Bank GNI + regional expenditure ratio estimate</t>
        </is>
      </c>
      <c r="M1457" t="inlineStr">
        <is>
          <t>2024-12-31</t>
        </is>
      </c>
      <c r="N1457" t="inlineStr">
        <is>
          <t>auto_ingest=world_bank_col_estimate; gni_annual=47290.0; year=2024; country_proxy=Hungary; cohort=Southern/Eastern Europe and Eurasia; city_cost_mult=1.1</t>
        </is>
      </c>
    </row>
    <row r="1458">
      <c r="A1458" t="inlineStr">
        <is>
          <t>hu-budapest</t>
        </is>
      </c>
      <c r="B1458" t="inlineStr">
        <is>
          <t>Budapest</t>
        </is>
      </c>
      <c r="C1458" t="inlineStr">
        <is>
          <t>Hungary</t>
        </is>
      </c>
      <c r="D1458" t="inlineStr">
        <is>
          <t>Southern/Eastern Europe and Eurasia</t>
        </is>
      </c>
      <c r="E1458" t="inlineStr">
        <is>
          <t>food_cost</t>
        </is>
      </c>
      <c r="F1458" t="inlineStr">
        <is>
          <t>Food cost</t>
        </is>
      </c>
      <c r="G1458" t="inlineStr">
        <is>
          <t>pressure</t>
        </is>
      </c>
      <c r="H1458" t="inlineStr">
        <is>
          <t>yes</t>
        </is>
      </c>
      <c r="I1458" t="inlineStr">
        <is>
          <t>866.98</t>
        </is>
      </c>
      <c r="J1458" t="inlineStr">
        <is>
          <t>world_bank_col_estimate</t>
        </is>
      </c>
      <c r="K1458" t="inlineStr">
        <is>
          <t>https://api.worldbank.org/v2/country/HUN/indicator/NY.GNP.PCAP.PP.CD?format=json&amp;mrv=10</t>
        </is>
      </c>
      <c r="L1458" t="inlineStr">
        <is>
          <t>World Bank GNI + regional expenditure ratio estimate</t>
        </is>
      </c>
      <c r="M1458" t="inlineStr">
        <is>
          <t>2024-12-31</t>
        </is>
      </c>
      <c r="N1458" t="inlineStr">
        <is>
          <t>auto_ingest=world_bank_col_estimate; gni_annual=47290.0; year=2024; country_proxy=Hungary; cohort=Southern/Eastern Europe and Eurasia; city_cost_mult=1.1</t>
        </is>
      </c>
    </row>
    <row r="1459">
      <c r="A1459" t="inlineStr">
        <is>
          <t>hu-budapest</t>
        </is>
      </c>
      <c r="B1459" t="inlineStr">
        <is>
          <t>Budapest</t>
        </is>
      </c>
      <c r="C1459" t="inlineStr">
        <is>
          <t>Hungary</t>
        </is>
      </c>
      <c r="D1459" t="inlineStr">
        <is>
          <t>Southern/Eastern Europe and Eurasia</t>
        </is>
      </c>
      <c r="E1459" t="inlineStr">
        <is>
          <t>housing_burden_raw</t>
        </is>
      </c>
      <c r="F1459" t="inlineStr">
        <is>
          <t>Housing burden raw</t>
        </is>
      </c>
      <c r="G1459" t="inlineStr">
        <is>
          <t>pressure</t>
        </is>
      </c>
      <c r="H1459" t="inlineStr">
        <is>
          <t>yes</t>
        </is>
      </c>
      <c r="I1459" t="inlineStr">
        <is>
          <t>27.5</t>
        </is>
      </c>
      <c r="J1459" t="inlineStr">
        <is>
          <t>derived</t>
        </is>
      </c>
      <c r="K1459" t="inlineStr">
        <is>
          <t>https://data.worldbank.org/indicator/NY.GNP.PCAP.PP.CD</t>
        </is>
      </c>
      <c r="L1459" t="inlineStr">
        <is>
          <t>Computed from city_inputs + country_context</t>
        </is>
      </c>
      <c r="M1459" t="inlineStr">
        <is>
          <t>2024-01-01</t>
        </is>
      </c>
      <c r="N1459" t="inlineStr">
        <is>
          <t>derived=rent/gross_income*100</t>
        </is>
      </c>
    </row>
    <row r="1460">
      <c r="A1460" t="inlineStr">
        <is>
          <t>hu-budapest</t>
        </is>
      </c>
      <c r="B1460" t="inlineStr">
        <is>
          <t>Budapest</t>
        </is>
      </c>
      <c r="C1460" t="inlineStr">
        <is>
          <t>Hungary</t>
        </is>
      </c>
      <c r="D1460" t="inlineStr">
        <is>
          <t>Southern/Eastern Europe and Eurasia</t>
        </is>
      </c>
      <c r="E1460" t="inlineStr">
        <is>
          <t>household_debt_burden_raw</t>
        </is>
      </c>
      <c r="F1460" t="inlineStr">
        <is>
          <t>Household debt burden raw</t>
        </is>
      </c>
      <c r="G1460" t="inlineStr">
        <is>
          <t>pressure</t>
        </is>
      </c>
      <c r="H1460" t="inlineStr">
        <is>
          <t>yes</t>
        </is>
      </c>
      <c r="I1460" t="inlineStr">
        <is>
          <t>32.1191</t>
        </is>
      </c>
      <c r="J1460" t="inlineStr">
        <is>
          <t>derived</t>
        </is>
      </c>
      <c r="K1460" t="inlineStr">
        <is>
          <t>https://data.worldbank.org/indicator/NY.GNP.PCAP.PP.CD</t>
        </is>
      </c>
      <c r="L1460" t="inlineStr">
        <is>
          <t>Computed from city_inputs + country_context</t>
        </is>
      </c>
      <c r="M1460" t="inlineStr">
        <is>
          <t>2024-01-01</t>
        </is>
      </c>
      <c r="N1460" t="inlineStr">
        <is>
          <t>derived=country_context.household_debt_proxy; country=Hungary</t>
        </is>
      </c>
    </row>
    <row r="1461">
      <c r="A1461" t="inlineStr">
        <is>
          <t>hu-budapest</t>
        </is>
      </c>
      <c r="B1461" t="inlineStr">
        <is>
          <t>Budapest</t>
        </is>
      </c>
      <c r="C1461" t="inlineStr">
        <is>
          <t>Hungary</t>
        </is>
      </c>
      <c r="D1461" t="inlineStr">
        <is>
          <t>Southern/Eastern Europe and Eurasia</t>
        </is>
      </c>
      <c r="E1461" t="inlineStr">
        <is>
          <t>working_time_pressure_raw</t>
        </is>
      </c>
      <c r="F1461" t="inlineStr">
        <is>
          <t>Working time pressure raw</t>
        </is>
      </c>
      <c r="G1461" t="inlineStr">
        <is>
          <t>pressure</t>
        </is>
      </c>
      <c r="H1461" t="inlineStr">
        <is>
          <t>yes</t>
        </is>
      </c>
      <c r="I1461" t="inlineStr">
        <is>
          <t>37.18</t>
        </is>
      </c>
      <c r="J1461" t="inlineStr">
        <is>
          <t>ilo_ilostat</t>
        </is>
      </c>
      <c r="K1461" t="inlineStr">
        <is>
          <t>https://ilostat.ilo.org/data/indicator/?id=HOW_TEMP_SEX_ECO_NB_A&amp;ref_area=HUN</t>
        </is>
      </c>
      <c r="L1461" t="inlineStr">
        <is>
          <t>ILO ILOSTAT: Mean weekly hours actually worked per employed person</t>
        </is>
      </c>
      <c r="M1461" t="inlineStr">
        <is>
          <t>2024-12-31</t>
        </is>
      </c>
      <c r="N1461" t="inlineStr">
        <is>
          <t>auto_ingest=ilo_working_hours; indicator=HOW_TEMP_SEX_ECO_NB_A; year=2024; hours=37.18; country_proxy=Hungary</t>
        </is>
      </c>
    </row>
    <row r="1462">
      <c r="A1462" t="inlineStr">
        <is>
          <t>hu-budapest</t>
        </is>
      </c>
      <c r="B1462" t="inlineStr">
        <is>
          <t>Budapest</t>
        </is>
      </c>
      <c r="C1462" t="inlineStr">
        <is>
          <t>Hungary</t>
        </is>
      </c>
      <c r="D1462" t="inlineStr">
        <is>
          <t>Southern/Eastern Europe and Eurasia</t>
        </is>
      </c>
      <c r="E1462" t="inlineStr">
        <is>
          <t>suicide_mental_strain_raw</t>
        </is>
      </c>
      <c r="F1462" t="inlineStr">
        <is>
          <t>Suicide or mental strain raw</t>
        </is>
      </c>
      <c r="G1462" t="inlineStr">
        <is>
          <t>pressure</t>
        </is>
      </c>
      <c r="H1462" t="inlineStr">
        <is>
          <t>yes</t>
        </is>
      </c>
      <c r="I1462" t="inlineStr">
        <is>
          <t>16.45</t>
        </is>
      </c>
      <c r="J1462" t="inlineStr">
        <is>
          <t>who_gho</t>
        </is>
      </c>
      <c r="K1462" t="inlineStr">
        <is>
          <t>https://www.who.int/data/gho/data/indicators/indicator-details/GHO/SDGSUICIDE</t>
        </is>
      </c>
      <c r="L1462" t="inlineStr">
        <is>
          <t>WHO GHO: Age-standardized suicide rate (per 100,000 population)</t>
        </is>
      </c>
      <c r="M1462" t="inlineStr">
        <is>
          <t>2021-12-31</t>
        </is>
      </c>
      <c r="N1462" t="inlineStr">
        <is>
          <t>auto_ingest=who_gho; indicator=SDGSUICIDE; year=2021; country_proxy=Hungary</t>
        </is>
      </c>
    </row>
    <row r="1463">
      <c r="A1463" t="inlineStr">
        <is>
          <t>hu-budapest</t>
        </is>
      </c>
      <c r="B1463" t="inlineStr">
        <is>
          <t>Budapest</t>
        </is>
      </c>
      <c r="C1463" t="inlineStr">
        <is>
          <t>Hungary</t>
        </is>
      </c>
      <c r="D1463" t="inlineStr">
        <is>
          <t>Southern/Eastern Europe and Eurasia</t>
        </is>
      </c>
      <c r="E1463" t="inlineStr">
        <is>
          <t>personal_safety_raw</t>
        </is>
      </c>
      <c r="F1463" t="inlineStr">
        <is>
          <t>Personal safety raw</t>
        </is>
      </c>
      <c r="G1463" t="inlineStr">
        <is>
          <t>viability</t>
        </is>
      </c>
      <c r="H1463" t="inlineStr">
        <is>
          <t>yes</t>
        </is>
      </c>
      <c r="I1463" t="inlineStr">
        <is>
          <t>0.72</t>
        </is>
      </c>
      <c r="J1463" t="inlineStr">
        <is>
          <t>world_bank</t>
        </is>
      </c>
      <c r="K1463" t="inlineStr">
        <is>
          <t>https://api.worldbank.org/v2/country/HUN/indicator/VC.IHR.PSRC.P5?format=json&amp;mrv=10</t>
        </is>
      </c>
      <c r="L1463" t="inlineStr">
        <is>
          <t>UNODC via World Bank WDI: Intentional homicides (per 100,000 people)</t>
        </is>
      </c>
      <c r="M1463" t="inlineStr">
        <is>
          <t>2023-12-31</t>
        </is>
      </c>
      <c r="N1463" t="inlineStr">
        <is>
          <t>auto_ingest=unodc_safety; indicator=VC.IHR.PSRC.P5; year=2023; country_proxy=Hungary</t>
        </is>
      </c>
    </row>
    <row r="1464">
      <c r="A1464" t="inlineStr">
        <is>
          <t>hu-budapest</t>
        </is>
      </c>
      <c r="B1464" t="inlineStr">
        <is>
          <t>Budapest</t>
        </is>
      </c>
      <c r="C1464" t="inlineStr">
        <is>
          <t>Hungary</t>
        </is>
      </c>
      <c r="D1464" t="inlineStr">
        <is>
          <t>Southern/Eastern Europe and Eurasia</t>
        </is>
      </c>
      <c r="E1464" t="inlineStr">
        <is>
          <t>transit_access_commute_raw</t>
        </is>
      </c>
      <c r="F1464" t="inlineStr">
        <is>
          <t>Transit access and commute raw</t>
        </is>
      </c>
      <c r="G1464" t="inlineStr">
        <is>
          <t>viability</t>
        </is>
      </c>
      <c r="H1464" t="inlineStr">
        <is>
          <t>yes</t>
        </is>
      </c>
      <c r="I1464" t="inlineStr"/>
      <c r="J1464" t="inlineStr"/>
      <c r="K1464" t="inlineStr"/>
      <c r="L1464" t="inlineStr"/>
      <c r="M1464" t="inlineStr"/>
      <c r="N1464" t="inlineStr"/>
    </row>
    <row r="1465">
      <c r="A1465" t="inlineStr">
        <is>
          <t>hu-budapest</t>
        </is>
      </c>
      <c r="B1465" t="inlineStr">
        <is>
          <t>Budapest</t>
        </is>
      </c>
      <c r="C1465" t="inlineStr">
        <is>
          <t>Hungary</t>
        </is>
      </c>
      <c r="D1465" t="inlineStr">
        <is>
          <t>Southern/Eastern Europe and Eurasia</t>
        </is>
      </c>
      <c r="E1465" t="inlineStr">
        <is>
          <t>clean_air_raw</t>
        </is>
      </c>
      <c r="F1465" t="inlineStr">
        <is>
          <t>Clean air raw</t>
        </is>
      </c>
      <c r="G1465" t="inlineStr">
        <is>
          <t>viability</t>
        </is>
      </c>
      <c r="H1465" t="inlineStr">
        <is>
          <t>yes</t>
        </is>
      </c>
      <c r="I1465" t="inlineStr"/>
      <c r="J1465" t="inlineStr"/>
      <c r="K1465" t="inlineStr"/>
      <c r="L1465" t="inlineStr"/>
      <c r="M1465" t="inlineStr"/>
      <c r="N1465" t="inlineStr"/>
    </row>
    <row r="1466">
      <c r="A1466" t="inlineStr">
        <is>
          <t>hu-budapest</t>
        </is>
      </c>
      <c r="B1466" t="inlineStr">
        <is>
          <t>Budapest</t>
        </is>
      </c>
      <c r="C1466" t="inlineStr">
        <is>
          <t>Hungary</t>
        </is>
      </c>
      <c r="D1466" t="inlineStr">
        <is>
          <t>Southern/Eastern Europe and Eurasia</t>
        </is>
      </c>
      <c r="E1466" t="inlineStr">
        <is>
          <t>water_sanitation_utility_raw</t>
        </is>
      </c>
      <c r="F1466" t="inlineStr">
        <is>
          <t>Water, sanitation, and utility raw</t>
        </is>
      </c>
      <c r="G1466" t="inlineStr">
        <is>
          <t>viability</t>
        </is>
      </c>
      <c r="H1466" t="inlineStr">
        <is>
          <t>yes</t>
        </is>
      </c>
      <c r="I1466" t="inlineStr">
        <is>
          <t>100.0</t>
        </is>
      </c>
      <c r="J1466" t="inlineStr">
        <is>
          <t>world_bank</t>
        </is>
      </c>
      <c r="K1466" t="inlineStr">
        <is>
          <t>https://api.worldbank.org/v2/country/HUN/indicator/SH.H2O.SMDW.ZS?format=json&amp;mrv=10</t>
        </is>
      </c>
      <c r="L1466" t="inlineStr">
        <is>
          <t>World Bank WDI: People using safely managed drinking water services (% of population)</t>
        </is>
      </c>
      <c r="M1466" t="inlineStr">
        <is>
          <t>2024-12-31</t>
        </is>
      </c>
      <c r="N1466" t="inlineStr">
        <is>
          <t>auto_ingest=world_bank_proxy; indicator=SH.H2O.SMDW.ZS; year=2024; country_proxy=Hungary</t>
        </is>
      </c>
    </row>
    <row r="1467">
      <c r="A1467" t="inlineStr">
        <is>
          <t>hu-budapest</t>
        </is>
      </c>
      <c r="B1467" t="inlineStr">
        <is>
          <t>Budapest</t>
        </is>
      </c>
      <c r="C1467" t="inlineStr">
        <is>
          <t>Hungary</t>
        </is>
      </c>
      <c r="D1467" t="inlineStr">
        <is>
          <t>Southern/Eastern Europe and Eurasia</t>
        </is>
      </c>
      <c r="E1467" t="inlineStr">
        <is>
          <t>digital_infrastructure_raw</t>
        </is>
      </c>
      <c r="F1467" t="inlineStr">
        <is>
          <t>Digital infrastructure raw</t>
        </is>
      </c>
      <c r="G1467" t="inlineStr">
        <is>
          <t>viability</t>
        </is>
      </c>
      <c r="H1467" t="inlineStr">
        <is>
          <t>yes</t>
        </is>
      </c>
      <c r="I1467" t="inlineStr">
        <is>
          <t>36.79</t>
        </is>
      </c>
      <c r="J1467" t="inlineStr">
        <is>
          <t>world_bank</t>
        </is>
      </c>
      <c r="K1467" t="inlineStr">
        <is>
          <t>https://api.worldbank.org/v2/country/HUN/indicator/IT.NET.BBND.P2?format=json&amp;mrv=10</t>
        </is>
      </c>
      <c r="L1467" t="inlineStr">
        <is>
          <t>World Bank WDI: Fixed broadband subscriptions (per 100 people)</t>
        </is>
      </c>
      <c r="M1467" t="inlineStr">
        <is>
          <t>2023-12-31</t>
        </is>
      </c>
      <c r="N1467" t="inlineStr">
        <is>
          <t>auto_ingest=world_bank_proxy; indicator=IT.NET.BBND.P2; year=2023; country_proxy=Hungary</t>
        </is>
      </c>
    </row>
    <row r="1468">
      <c r="A1468" t="inlineStr">
        <is>
          <t>hu-budapest</t>
        </is>
      </c>
      <c r="B1468" t="inlineStr">
        <is>
          <t>Budapest</t>
        </is>
      </c>
      <c r="C1468" t="inlineStr">
        <is>
          <t>Hungary</t>
        </is>
      </c>
      <c r="D1468" t="inlineStr">
        <is>
          <t>Southern/Eastern Europe and Eurasia</t>
        </is>
      </c>
      <c r="E1468" t="inlineStr">
        <is>
          <t>climate_sunlight_livability_raw</t>
        </is>
      </c>
      <c r="F1468" t="inlineStr">
        <is>
          <t>Climate and sunlight livability raw</t>
        </is>
      </c>
      <c r="G1468" t="inlineStr">
        <is>
          <t>viability</t>
        </is>
      </c>
      <c r="H1468" t="inlineStr">
        <is>
          <t>yes</t>
        </is>
      </c>
      <c r="I1468" t="inlineStr">
        <is>
          <t>54</t>
        </is>
      </c>
      <c r="J1468" t="inlineStr">
        <is>
          <t>wmo_natl_met</t>
        </is>
      </c>
      <c r="K1468" t="inlineStr">
        <is>
          <t>https://worldweather.wmo.int</t>
        </is>
      </c>
      <c r="L1468" t="inlineStr">
        <is>
          <t>WMO/National Met: Climate livability composite</t>
        </is>
      </c>
      <c r="M1468" t="inlineStr">
        <is>
          <t>2024-12-31</t>
        </is>
      </c>
      <c r="N1468" t="inlineStr">
        <is>
          <t>auto_seed=climate_composite; 2000 sun hrs, 12C mean</t>
        </is>
      </c>
    </row>
    <row r="1469">
      <c r="A1469" t="inlineStr">
        <is>
          <t>hu-budapest</t>
        </is>
      </c>
      <c r="B1469" t="inlineStr">
        <is>
          <t>Budapest</t>
        </is>
      </c>
      <c r="C1469" t="inlineStr">
        <is>
          <t>Hungary</t>
        </is>
      </c>
      <c r="D1469" t="inlineStr">
        <is>
          <t>Southern/Eastern Europe and Eurasia</t>
        </is>
      </c>
      <c r="E1469" t="inlineStr">
        <is>
          <t>healthcare_quality_raw</t>
        </is>
      </c>
      <c r="F1469" t="inlineStr">
        <is>
          <t>Healthcare quality raw</t>
        </is>
      </c>
      <c r="G1469" t="inlineStr">
        <is>
          <t>capability</t>
        </is>
      </c>
      <c r="H1469" t="inlineStr">
        <is>
          <t>yes</t>
        </is>
      </c>
      <c r="I1469" t="inlineStr">
        <is>
          <t>80.0</t>
        </is>
      </c>
      <c r="J1469" t="inlineStr">
        <is>
          <t>who_gho</t>
        </is>
      </c>
      <c r="K1469" t="inlineStr">
        <is>
          <t>https://www.who.int/data/gho/data/indicators/indicator-details/GHO/UHC_INDEX_REPORTED</t>
        </is>
      </c>
      <c r="L1469" t="inlineStr">
        <is>
          <t>WHO GHO: UHC Service Coverage Index</t>
        </is>
      </c>
      <c r="M1469" t="inlineStr">
        <is>
          <t>2023-12-31</t>
        </is>
      </c>
      <c r="N1469" t="inlineStr">
        <is>
          <t>auto_ingest=who_gho; indicator=UHC_INDEX_REPORTED; year=2023; country_proxy=Hungary</t>
        </is>
      </c>
    </row>
    <row r="1470">
      <c r="A1470" t="inlineStr">
        <is>
          <t>hu-budapest</t>
        </is>
      </c>
      <c r="B1470" t="inlineStr">
        <is>
          <t>Budapest</t>
        </is>
      </c>
      <c r="C1470" t="inlineStr">
        <is>
          <t>Hungary</t>
        </is>
      </c>
      <c r="D1470" t="inlineStr">
        <is>
          <t>Southern/Eastern Europe and Eurasia</t>
        </is>
      </c>
      <c r="E1470" t="inlineStr">
        <is>
          <t>education_quality_raw</t>
        </is>
      </c>
      <c r="F1470" t="inlineStr">
        <is>
          <t>Education quality raw</t>
        </is>
      </c>
      <c r="G1470" t="inlineStr">
        <is>
          <t>capability</t>
        </is>
      </c>
      <c r="H1470" t="inlineStr">
        <is>
          <t>yes</t>
        </is>
      </c>
      <c r="I1470" t="inlineStr">
        <is>
          <t>56.59</t>
        </is>
      </c>
      <c r="J1470" t="inlineStr">
        <is>
          <t>world_bank</t>
        </is>
      </c>
      <c r="K1470" t="inlineStr">
        <is>
          <t>https://api.worldbank.org/v2/country/HUN/indicator/SE.TER.ENRR?format=json&amp;mrv=10</t>
        </is>
      </c>
      <c r="L1470" t="inlineStr">
        <is>
          <t>World Bank WDI: School enrollment, tertiary (% gross)</t>
        </is>
      </c>
      <c r="M1470" t="inlineStr">
        <is>
          <t>2023-12-31</t>
        </is>
      </c>
      <c r="N1470" t="inlineStr">
        <is>
          <t>auto_ingest=world_bank_proxy; indicator=SE.TER.ENRR; year=2023; country_proxy=Hungary</t>
        </is>
      </c>
    </row>
    <row r="1471">
      <c r="A1471" t="inlineStr">
        <is>
          <t>hu-budapest</t>
        </is>
      </c>
      <c r="B1471" t="inlineStr">
        <is>
          <t>Budapest</t>
        </is>
      </c>
      <c r="C1471" t="inlineStr">
        <is>
          <t>Hungary</t>
        </is>
      </c>
      <c r="D1471" t="inlineStr">
        <is>
          <t>Southern/Eastern Europe and Eurasia</t>
        </is>
      </c>
      <c r="E1471" t="inlineStr">
        <is>
          <t>equal_opportunity_raw</t>
        </is>
      </c>
      <c r="F1471" t="inlineStr">
        <is>
          <t>Equal opportunity raw</t>
        </is>
      </c>
      <c r="G1471" t="inlineStr">
        <is>
          <t>capability</t>
        </is>
      </c>
      <c r="H1471" t="inlineStr">
        <is>
          <t>yes</t>
        </is>
      </c>
      <c r="I1471" t="inlineStr">
        <is>
          <t>30.6</t>
        </is>
      </c>
      <c r="J1471" t="inlineStr">
        <is>
          <t>world_bank</t>
        </is>
      </c>
      <c r="K1471" t="inlineStr">
        <is>
          <t>https://api.worldbank.org/v2/country/HUN/indicator/SI.POV.GINI?format=json&amp;mrv=10</t>
        </is>
      </c>
      <c r="L1471" t="inlineStr">
        <is>
          <t>World Bank WDI: Gini index</t>
        </is>
      </c>
      <c r="M1471" t="inlineStr">
        <is>
          <t>2017-12-31</t>
        </is>
      </c>
      <c r="N1471" t="inlineStr">
        <is>
          <t>auto_ingest=world_bank_capability; indicator=SI.POV.GINI; year=2017; country_proxy=Hungary</t>
        </is>
      </c>
    </row>
    <row r="1472">
      <c r="A1472" t="inlineStr">
        <is>
          <t>hu-budapest</t>
        </is>
      </c>
      <c r="B1472" t="inlineStr">
        <is>
          <t>Budapest</t>
        </is>
      </c>
      <c r="C1472" t="inlineStr">
        <is>
          <t>Hungary</t>
        </is>
      </c>
      <c r="D1472" t="inlineStr">
        <is>
          <t>Southern/Eastern Europe and Eurasia</t>
        </is>
      </c>
      <c r="E1472" t="inlineStr">
        <is>
          <t>hospitality_belonging_raw</t>
        </is>
      </c>
      <c r="F1472" t="inlineStr">
        <is>
          <t>Hospitality and belonging raw</t>
        </is>
      </c>
      <c r="G1472" t="inlineStr">
        <is>
          <t>community</t>
        </is>
      </c>
      <c r="H1472" t="inlineStr">
        <is>
          <t>yes</t>
        </is>
      </c>
      <c r="I1472" t="inlineStr">
        <is>
          <t>48.29</t>
        </is>
      </c>
      <c r="J1472" t="inlineStr">
        <is>
          <t>world_bank</t>
        </is>
      </c>
      <c r="K1472" t="inlineStr">
        <is>
          <t>https://api.worldbank.org/v2/country/HUN/indicator/SM.POP.NETM?format=json&amp;mrv=10</t>
        </is>
      </c>
      <c r="L1472" t="inlineStr">
        <is>
          <t>World Bank WDI: Net migration (proxy for hospitality/belonging — positive = welcoming)</t>
        </is>
      </c>
      <c r="M1472" t="inlineStr">
        <is>
          <t>2025-12-31</t>
        </is>
      </c>
      <c r="N1472" t="inlineStr">
        <is>
          <t>auto_ingest=world_bank_proxy; proxy=net_migration_hospitality; indicator=SM.POP.NETM; year=2025; country_proxy=Hungary</t>
        </is>
      </c>
    </row>
    <row r="1473">
      <c r="A1473" t="inlineStr">
        <is>
          <t>hu-budapest</t>
        </is>
      </c>
      <c r="B1473" t="inlineStr">
        <is>
          <t>Budapest</t>
        </is>
      </c>
      <c r="C1473" t="inlineStr">
        <is>
          <t>Hungary</t>
        </is>
      </c>
      <c r="D1473" t="inlineStr">
        <is>
          <t>Southern/Eastern Europe and Eurasia</t>
        </is>
      </c>
      <c r="E1473" t="inlineStr">
        <is>
          <t>tolerance_pluralism_raw</t>
        </is>
      </c>
      <c r="F1473" t="inlineStr">
        <is>
          <t>Tolerance and pluralism raw</t>
        </is>
      </c>
      <c r="G1473" t="inlineStr">
        <is>
          <t>community</t>
        </is>
      </c>
      <c r="H1473" t="inlineStr">
        <is>
          <t>yes</t>
        </is>
      </c>
      <c r="I1473" t="inlineStr">
        <is>
          <t>14.57</t>
        </is>
      </c>
      <c r="J1473" t="inlineStr">
        <is>
          <t>world_bank</t>
        </is>
      </c>
      <c r="K1473" t="inlineStr">
        <is>
          <t>https://api.worldbank.org/v2/country/HUN/indicator/SG.GEN.PARL.ZS?format=json&amp;mrv=10</t>
        </is>
      </c>
      <c r="L1473" t="inlineStr">
        <is>
          <t>World Bank WDI: Proportion of seats held by women in national parliaments (%)</t>
        </is>
      </c>
      <c r="M1473" t="inlineStr">
        <is>
          <t>2024-12-31</t>
        </is>
      </c>
      <c r="N1473" t="inlineStr">
        <is>
          <t>auto_ingest=world_bank_proxy; proxy=gender_parity_parliament; indicator=SG.GEN.PARL.ZS; year=2024; country_proxy=Hungary</t>
        </is>
      </c>
    </row>
    <row r="1474">
      <c r="A1474" t="inlineStr">
        <is>
          <t>hu-budapest</t>
        </is>
      </c>
      <c r="B1474" t="inlineStr">
        <is>
          <t>Budapest</t>
        </is>
      </c>
      <c r="C1474" t="inlineStr">
        <is>
          <t>Hungary</t>
        </is>
      </c>
      <c r="D1474" t="inlineStr">
        <is>
          <t>Southern/Eastern Europe and Eurasia</t>
        </is>
      </c>
      <c r="E1474" t="inlineStr">
        <is>
          <t>cultural_public_life_raw</t>
        </is>
      </c>
      <c r="F1474" t="inlineStr">
        <is>
          <t>Cultural public life raw</t>
        </is>
      </c>
      <c r="G1474" t="inlineStr">
        <is>
          <t>community</t>
        </is>
      </c>
      <c r="H1474" t="inlineStr">
        <is>
          <t>yes</t>
        </is>
      </c>
      <c r="I1474" t="inlineStr">
        <is>
          <t>3309.01</t>
        </is>
      </c>
      <c r="J1474" t="inlineStr">
        <is>
          <t>world_bank</t>
        </is>
      </c>
      <c r="K1474" t="inlineStr">
        <is>
          <t>https://api.worldbank.org/v2/country/HUN/indicator/ST.INT.ARVL?format=json&amp;mrv=10</t>
        </is>
      </c>
      <c r="L1474" t="inlineStr">
        <is>
          <t>World Bank WDI: International tourism arrivals per 1 000 population</t>
        </is>
      </c>
      <c r="M1474" t="inlineStr">
        <is>
          <t>2020-12-31</t>
        </is>
      </c>
      <c r="N1474" t="inlineStr">
        <is>
          <t>auto_ingest=cultural_life_proxy; indicator=ST.INT.ARVL; norm=per_1000_pop; year=2020; country_proxy=Hungary</t>
        </is>
      </c>
    </row>
    <row r="1475">
      <c r="A1475" t="inlineStr">
        <is>
          <t>hu-budapest</t>
        </is>
      </c>
      <c r="B1475" t="inlineStr">
        <is>
          <t>Budapest</t>
        </is>
      </c>
      <c r="C1475" t="inlineStr">
        <is>
          <t>Hungary</t>
        </is>
      </c>
      <c r="D1475" t="inlineStr">
        <is>
          <t>Southern/Eastern Europe and Eurasia</t>
        </is>
      </c>
      <c r="E1475" t="inlineStr">
        <is>
          <t>birth_rate_optimism_raw</t>
        </is>
      </c>
      <c r="F1475" t="inlineStr">
        <is>
          <t>Birth rate and societal optimism raw</t>
        </is>
      </c>
      <c r="G1475" t="inlineStr">
        <is>
          <t>community</t>
        </is>
      </c>
      <c r="H1475" t="inlineStr">
        <is>
          <t>yes</t>
        </is>
      </c>
      <c r="I1475" t="inlineStr"/>
      <c r="J1475" t="inlineStr"/>
      <c r="K1475" t="inlineStr"/>
      <c r="L1475" t="inlineStr"/>
      <c r="M1475" t="inlineStr"/>
      <c r="N1475" t="inlineStr"/>
    </row>
    <row r="1476">
      <c r="A1476" t="inlineStr">
        <is>
          <t>hu-budapest</t>
        </is>
      </c>
      <c r="B1476" t="inlineStr">
        <is>
          <t>Budapest</t>
        </is>
      </c>
      <c r="C1476" t="inlineStr">
        <is>
          <t>Hungary</t>
        </is>
      </c>
      <c r="D1476" t="inlineStr">
        <is>
          <t>Southern/Eastern Europe and Eurasia</t>
        </is>
      </c>
      <c r="E1476" t="inlineStr">
        <is>
          <t>entrepreneurial_dynamism_raw</t>
        </is>
      </c>
      <c r="F1476" t="inlineStr">
        <is>
          <t>Entrepreneurial dynamism raw</t>
        </is>
      </c>
      <c r="G1476" t="inlineStr">
        <is>
          <t>creative</t>
        </is>
      </c>
      <c r="H1476" t="inlineStr">
        <is>
          <t>yes</t>
        </is>
      </c>
      <c r="I1476" t="inlineStr">
        <is>
          <t>4.32</t>
        </is>
      </c>
      <c r="J1476" t="inlineStr">
        <is>
          <t>world_bank</t>
        </is>
      </c>
      <c r="K1476" t="inlineStr">
        <is>
          <t>https://api.worldbank.org/v2/country/HUN/indicator/IC.BUS.NDNS.ZS?format=json&amp;mrv=10</t>
        </is>
      </c>
      <c r="L1476" t="inlineStr">
        <is>
          <t>World Bank WDI: New business density (new registrations per 1,000 people ages 15-64)</t>
        </is>
      </c>
      <c r="M1476" t="inlineStr">
        <is>
          <t>2022-12-31</t>
        </is>
      </c>
      <c r="N1476" t="inlineStr">
        <is>
          <t>auto_ingest=world_bank_creative_extended; indicator=IC.BUS.NDNS.ZS; year=2022; country_proxy=Hungary</t>
        </is>
      </c>
    </row>
    <row r="1477">
      <c r="A1477" t="inlineStr">
        <is>
          <t>hu-budapest</t>
        </is>
      </c>
      <c r="B1477" t="inlineStr">
        <is>
          <t>Budapest</t>
        </is>
      </c>
      <c r="C1477" t="inlineStr">
        <is>
          <t>Hungary</t>
        </is>
      </c>
      <c r="D1477" t="inlineStr">
        <is>
          <t>Southern/Eastern Europe and Eurasia</t>
        </is>
      </c>
      <c r="E1477" t="inlineStr">
        <is>
          <t>innovation_research_intensity_raw</t>
        </is>
      </c>
      <c r="F1477" t="inlineStr">
        <is>
          <t>Innovation and research raw</t>
        </is>
      </c>
      <c r="G1477" t="inlineStr">
        <is>
          <t>creative</t>
        </is>
      </c>
      <c r="H1477" t="inlineStr">
        <is>
          <t>yes</t>
        </is>
      </c>
      <c r="I1477" t="inlineStr">
        <is>
          <t>1.39</t>
        </is>
      </c>
      <c r="J1477" t="inlineStr">
        <is>
          <t>world_bank</t>
        </is>
      </c>
      <c r="K1477" t="inlineStr">
        <is>
          <t>https://api.worldbank.org/v2/country/HUN/indicator/GB.XPD.RSDV.GD.ZS?format=json&amp;mrv=10</t>
        </is>
      </c>
      <c r="L1477" t="inlineStr">
        <is>
          <t>World Bank WDI: Research and development expenditure (% of GDP)</t>
        </is>
      </c>
      <c r="M1477" t="inlineStr">
        <is>
          <t>2022-12-31</t>
        </is>
      </c>
      <c r="N1477" t="inlineStr">
        <is>
          <t>auto_ingest=world_bank_creative_extended; indicator=GB.XPD.RSDV.GD.ZS; year=2022; country_proxy=Hungary</t>
        </is>
      </c>
    </row>
    <row r="1478">
      <c r="A1478" t="inlineStr">
        <is>
          <t>hu-budapest</t>
        </is>
      </c>
      <c r="B1478" t="inlineStr">
        <is>
          <t>Budapest</t>
        </is>
      </c>
      <c r="C1478" t="inlineStr">
        <is>
          <t>Hungary</t>
        </is>
      </c>
      <c r="D1478" t="inlineStr">
        <is>
          <t>Southern/Eastern Europe and Eurasia</t>
        </is>
      </c>
      <c r="E1478" t="inlineStr">
        <is>
          <t>investment_signal_raw</t>
        </is>
      </c>
      <c r="F1478" t="inlineStr">
        <is>
          <t>Investment signal raw</t>
        </is>
      </c>
      <c r="G1478" t="inlineStr">
        <is>
          <t>creative</t>
        </is>
      </c>
      <c r="H1478" t="inlineStr">
        <is>
          <t>yes</t>
        </is>
      </c>
      <c r="I1478" t="inlineStr">
        <is>
          <t>-27.92</t>
        </is>
      </c>
      <c r="J1478" t="inlineStr">
        <is>
          <t>world_bank</t>
        </is>
      </c>
      <c r="K1478" t="inlineStr">
        <is>
          <t>https://api.worldbank.org/v2/country/HUN/indicator/BX.KLT.DINV.WD.GD.ZS?format=json&amp;mrv=10</t>
        </is>
      </c>
      <c r="L1478" t="inlineStr">
        <is>
          <t>World Bank WDI: Foreign direct investment, net inflows (% of GDP)</t>
        </is>
      </c>
      <c r="M1478" t="inlineStr">
        <is>
          <t>2024-12-31</t>
        </is>
      </c>
      <c r="N1478" t="inlineStr">
        <is>
          <t>auto_ingest=world_bank_creative_extended; indicator=BX.KLT.DINV.WD.GD.ZS; year=2024; country_proxy=Hungary</t>
        </is>
      </c>
    </row>
    <row r="1479">
      <c r="A1479" t="inlineStr">
        <is>
          <t>hu-budapest</t>
        </is>
      </c>
      <c r="B1479" t="inlineStr">
        <is>
          <t>Budapest</t>
        </is>
      </c>
      <c r="C1479" t="inlineStr">
        <is>
          <t>Hungary</t>
        </is>
      </c>
      <c r="D1479" t="inlineStr">
        <is>
          <t>Southern/Eastern Europe and Eurasia</t>
        </is>
      </c>
      <c r="E1479" t="inlineStr">
        <is>
          <t>administrative_investment_friction_raw</t>
        </is>
      </c>
      <c r="F1479" t="inlineStr">
        <is>
          <t>Administrative investment friction raw</t>
        </is>
      </c>
      <c r="G1479" t="inlineStr">
        <is>
          <t>creative</t>
        </is>
      </c>
      <c r="H1479" t="inlineStr">
        <is>
          <t>yes</t>
        </is>
      </c>
      <c r="I1479" t="inlineStr">
        <is>
          <t>2.18</t>
        </is>
      </c>
      <c r="J1479" t="inlineStr">
        <is>
          <t>world_bank</t>
        </is>
      </c>
      <c r="K1479" t="inlineStr">
        <is>
          <t>https://api.worldbank.org/v2/country/HUN/indicator/RQ.EST?format=json&amp;mrv=10</t>
        </is>
      </c>
      <c r="L1479" t="inlineStr">
        <is>
          <t>World Bank WGI: Regulatory Quality (inverted as friction proxy)</t>
        </is>
      </c>
      <c r="M1479" t="inlineStr">
        <is>
          <t>2023-12-31</t>
        </is>
      </c>
      <c r="N1479" t="inlineStr">
        <is>
          <t>auto_ingest=world_bank_business_friction; indicator=RQ.EST; raw_rq=0.318309366703033; friction=2.18; year=2023; country_proxy=Hungary</t>
        </is>
      </c>
    </row>
    <row r="1480">
      <c r="A1480" t="inlineStr">
        <is>
          <t>hu-budapest</t>
        </is>
      </c>
      <c r="B1480" t="inlineStr">
        <is>
          <t>Budapest</t>
        </is>
      </c>
      <c r="C1480" t="inlineStr">
        <is>
          <t>Hungary</t>
        </is>
      </c>
      <c r="D1480" t="inlineStr">
        <is>
          <t>Southern/Eastern Europe and Eurasia</t>
        </is>
      </c>
      <c r="E1480" t="inlineStr">
        <is>
          <t>visitor_flow_context_raw</t>
        </is>
      </c>
      <c r="F1480" t="inlineStr">
        <is>
          <t>Visitor flow context raw</t>
        </is>
      </c>
      <c r="G1480" t="inlineStr">
        <is>
          <t>creative</t>
        </is>
      </c>
      <c r="H1480" t="inlineStr">
        <is>
          <t>no</t>
        </is>
      </c>
      <c r="I1480" t="inlineStr"/>
      <c r="J1480" t="inlineStr"/>
      <c r="K1480" t="inlineStr"/>
      <c r="L1480" t="inlineStr"/>
      <c r="M1480" t="inlineStr"/>
      <c r="N1480" t="inlineStr"/>
    </row>
    <row r="1481">
      <c r="A1481" t="inlineStr">
        <is>
          <t>pl-krakow</t>
        </is>
      </c>
      <c r="B1481" t="inlineStr">
        <is>
          <t>Krakow</t>
        </is>
      </c>
      <c r="C1481" t="inlineStr">
        <is>
          <t>Poland</t>
        </is>
      </c>
      <c r="D1481" t="inlineStr">
        <is>
          <t>Southern/Eastern Europe and Eurasia</t>
        </is>
      </c>
      <c r="E1481" t="inlineStr">
        <is>
          <t>gross_income</t>
        </is>
      </c>
      <c r="F1481" t="inlineStr">
        <is>
          <t>Gross income</t>
        </is>
      </c>
      <c r="G1481" t="inlineStr">
        <is>
          <t>pressure</t>
        </is>
      </c>
      <c r="H1481" t="inlineStr">
        <is>
          <t>yes</t>
        </is>
      </c>
      <c r="I1481" t="inlineStr">
        <is>
          <t>4128.33</t>
        </is>
      </c>
      <c r="J1481" t="inlineStr">
        <is>
          <t>world_bank_col_estimate</t>
        </is>
      </c>
      <c r="K1481" t="inlineStr">
        <is>
          <t>https://api.worldbank.org/v2/country/POL/indicator/NY.GNP.PCAP.PP.CD?format=json&amp;mrv=10</t>
        </is>
      </c>
      <c r="L1481" t="inlineStr">
        <is>
          <t>World Bank WDI: GNI per capita PPP (monthly USD)</t>
        </is>
      </c>
      <c r="M1481" t="inlineStr">
        <is>
          <t>2024-12-31</t>
        </is>
      </c>
      <c r="N1481" t="inlineStr">
        <is>
          <t>auto_ingest=world_bank_col_estimate; gni_annual=49540.0; year=2024; country_proxy=Poland; cohort=Southern/Eastern Europe and Eurasia</t>
        </is>
      </c>
    </row>
    <row r="1482">
      <c r="A1482" t="inlineStr">
        <is>
          <t>pl-krakow</t>
        </is>
      </c>
      <c r="B1482" t="inlineStr">
        <is>
          <t>Krakow</t>
        </is>
      </c>
      <c r="C1482" t="inlineStr">
        <is>
          <t>Poland</t>
        </is>
      </c>
      <c r="D1482" t="inlineStr">
        <is>
          <t>Southern/Eastern Europe and Eurasia</t>
        </is>
      </c>
      <c r="E1482" t="inlineStr">
        <is>
          <t>di_ppp_raw</t>
        </is>
      </c>
      <c r="F1482" t="inlineStr">
        <is>
          <t>Disposable income PPP (Raw)</t>
        </is>
      </c>
      <c r="G1482" t="inlineStr">
        <is>
          <t>pressure</t>
        </is>
      </c>
      <c r="H1482" t="inlineStr">
        <is>
          <t>yes</t>
        </is>
      </c>
      <c r="I1482" t="inlineStr"/>
      <c r="J1482" t="inlineStr"/>
      <c r="K1482" t="inlineStr"/>
      <c r="L1482" t="inlineStr"/>
      <c r="M1482" t="inlineStr"/>
      <c r="N1482" t="inlineStr"/>
    </row>
    <row r="1483">
      <c r="A1483" t="inlineStr">
        <is>
          <t>pl-krakow</t>
        </is>
      </c>
      <c r="B1483" t="inlineStr">
        <is>
          <t>Krakow</t>
        </is>
      </c>
      <c r="C1483" t="inlineStr">
        <is>
          <t>Poland</t>
        </is>
      </c>
      <c r="D1483" t="inlineStr">
        <is>
          <t>Southern/Eastern Europe and Eurasia</t>
        </is>
      </c>
      <c r="E1483" t="inlineStr">
        <is>
          <t>rent</t>
        </is>
      </c>
      <c r="F1483" t="inlineStr">
        <is>
          <t>Rent</t>
        </is>
      </c>
      <c r="G1483" t="inlineStr">
        <is>
          <t>pressure</t>
        </is>
      </c>
      <c r="H1483" t="inlineStr">
        <is>
          <t>yes</t>
        </is>
      </c>
      <c r="I1483" t="inlineStr">
        <is>
          <t>1083.69</t>
        </is>
      </c>
      <c r="J1483" t="inlineStr">
        <is>
          <t>world_bank_col_estimate</t>
        </is>
      </c>
      <c r="K1483" t="inlineStr">
        <is>
          <t>https://api.worldbank.org/v2/country/POL/indicator/NY.GNP.PCAP.PP.CD?format=json&amp;mrv=10</t>
        </is>
      </c>
      <c r="L1483" t="inlineStr">
        <is>
          <t>World Bank GNI + regional expenditure ratio estimate</t>
        </is>
      </c>
      <c r="M1483" t="inlineStr">
        <is>
          <t>2024-12-31</t>
        </is>
      </c>
      <c r="N1483" t="inlineStr">
        <is>
          <t>auto_ingest=world_bank_col_estimate; gni_annual=49540.0; year=2024; country_proxy=Poland; cohort=Southern/Eastern Europe and Eurasia; city_cost_mult=1.05</t>
        </is>
      </c>
    </row>
    <row r="1484">
      <c r="A1484" t="inlineStr">
        <is>
          <t>pl-krakow</t>
        </is>
      </c>
      <c r="B1484" t="inlineStr">
        <is>
          <t>Krakow</t>
        </is>
      </c>
      <c r="C1484" t="inlineStr">
        <is>
          <t>Poland</t>
        </is>
      </c>
      <c r="D1484" t="inlineStr">
        <is>
          <t>Southern/Eastern Europe and Eurasia</t>
        </is>
      </c>
      <c r="E1484" t="inlineStr">
        <is>
          <t>utilities</t>
        </is>
      </c>
      <c r="F1484" t="inlineStr">
        <is>
          <t>Utilities</t>
        </is>
      </c>
      <c r="G1484" t="inlineStr">
        <is>
          <t>pressure</t>
        </is>
      </c>
      <c r="H1484" t="inlineStr">
        <is>
          <t>yes</t>
        </is>
      </c>
      <c r="I1484" t="inlineStr">
        <is>
          <t>346.78</t>
        </is>
      </c>
      <c r="J1484" t="inlineStr">
        <is>
          <t>world_bank_col_estimate</t>
        </is>
      </c>
      <c r="K1484" t="inlineStr">
        <is>
          <t>https://api.worldbank.org/v2/country/POL/indicator/NY.GNP.PCAP.PP.CD?format=json&amp;mrv=10</t>
        </is>
      </c>
      <c r="L1484" t="inlineStr">
        <is>
          <t>World Bank GNI + regional expenditure ratio estimate</t>
        </is>
      </c>
      <c r="M1484" t="inlineStr">
        <is>
          <t>2024-12-31</t>
        </is>
      </c>
      <c r="N1484" t="inlineStr">
        <is>
          <t>auto_ingest=world_bank_col_estimate; gni_annual=49540.0; year=2024; country_proxy=Poland; cohort=Southern/Eastern Europe and Eurasia; city_cost_mult=1.05</t>
        </is>
      </c>
    </row>
    <row r="1485">
      <c r="A1485" t="inlineStr">
        <is>
          <t>pl-krakow</t>
        </is>
      </c>
      <c r="B1485" t="inlineStr">
        <is>
          <t>Krakow</t>
        </is>
      </c>
      <c r="C1485" t="inlineStr">
        <is>
          <t>Poland</t>
        </is>
      </c>
      <c r="D1485" t="inlineStr">
        <is>
          <t>Southern/Eastern Europe and Eurasia</t>
        </is>
      </c>
      <c r="E1485" t="inlineStr">
        <is>
          <t>transit_cost</t>
        </is>
      </c>
      <c r="F1485" t="inlineStr">
        <is>
          <t>Transit cost</t>
        </is>
      </c>
      <c r="G1485" t="inlineStr">
        <is>
          <t>pressure</t>
        </is>
      </c>
      <c r="H1485" t="inlineStr">
        <is>
          <t>yes</t>
        </is>
      </c>
      <c r="I1485" t="inlineStr">
        <is>
          <t>173.39</t>
        </is>
      </c>
      <c r="J1485" t="inlineStr">
        <is>
          <t>world_bank_col_estimate</t>
        </is>
      </c>
      <c r="K1485" t="inlineStr">
        <is>
          <t>https://api.worldbank.org/v2/country/POL/indicator/NY.GNP.PCAP.PP.CD?format=json&amp;mrv=10</t>
        </is>
      </c>
      <c r="L1485" t="inlineStr">
        <is>
          <t>World Bank GNI + regional expenditure ratio estimate</t>
        </is>
      </c>
      <c r="M1485" t="inlineStr">
        <is>
          <t>2024-12-31</t>
        </is>
      </c>
      <c r="N1485" t="inlineStr">
        <is>
          <t>auto_ingest=world_bank_col_estimate; gni_annual=49540.0; year=2024; country_proxy=Poland; cohort=Southern/Eastern Europe and Eurasia; city_cost_mult=1.05</t>
        </is>
      </c>
    </row>
    <row r="1486">
      <c r="A1486" t="inlineStr">
        <is>
          <t>pl-krakow</t>
        </is>
      </c>
      <c r="B1486" t="inlineStr">
        <is>
          <t>Krakow</t>
        </is>
      </c>
      <c r="C1486" t="inlineStr">
        <is>
          <t>Poland</t>
        </is>
      </c>
      <c r="D1486" t="inlineStr">
        <is>
          <t>Southern/Eastern Europe and Eurasia</t>
        </is>
      </c>
      <c r="E1486" t="inlineStr">
        <is>
          <t>internet_cost</t>
        </is>
      </c>
      <c r="F1486" t="inlineStr">
        <is>
          <t>Internet cost</t>
        </is>
      </c>
      <c r="G1486" t="inlineStr">
        <is>
          <t>pressure</t>
        </is>
      </c>
      <c r="H1486" t="inlineStr">
        <is>
          <t>yes</t>
        </is>
      </c>
      <c r="I1486" t="inlineStr">
        <is>
          <t>65.02</t>
        </is>
      </c>
      <c r="J1486" t="inlineStr">
        <is>
          <t>world_bank_col_estimate</t>
        </is>
      </c>
      <c r="K1486" t="inlineStr">
        <is>
          <t>https://api.worldbank.org/v2/country/POL/indicator/NY.GNP.PCAP.PP.CD?format=json&amp;mrv=10</t>
        </is>
      </c>
      <c r="L1486" t="inlineStr">
        <is>
          <t>World Bank GNI + regional expenditure ratio estimate</t>
        </is>
      </c>
      <c r="M1486" t="inlineStr">
        <is>
          <t>2024-12-31</t>
        </is>
      </c>
      <c r="N1486" t="inlineStr">
        <is>
          <t>auto_ingest=world_bank_col_estimate; gni_annual=49540.0; year=2024; country_proxy=Poland; cohort=Southern/Eastern Europe and Eurasia; city_cost_mult=1.05</t>
        </is>
      </c>
    </row>
    <row r="1487">
      <c r="A1487" t="inlineStr">
        <is>
          <t>pl-krakow</t>
        </is>
      </c>
      <c r="B1487" t="inlineStr">
        <is>
          <t>Krakow</t>
        </is>
      </c>
      <c r="C1487" t="inlineStr">
        <is>
          <t>Poland</t>
        </is>
      </c>
      <c r="D1487" t="inlineStr">
        <is>
          <t>Southern/Eastern Europe and Eurasia</t>
        </is>
      </c>
      <c r="E1487" t="inlineStr">
        <is>
          <t>food_cost</t>
        </is>
      </c>
      <c r="F1487" t="inlineStr">
        <is>
          <t>Food cost</t>
        </is>
      </c>
      <c r="G1487" t="inlineStr">
        <is>
          <t>pressure</t>
        </is>
      </c>
      <c r="H1487" t="inlineStr">
        <is>
          <t>yes</t>
        </is>
      </c>
      <c r="I1487" t="inlineStr">
        <is>
          <t>866.95</t>
        </is>
      </c>
      <c r="J1487" t="inlineStr">
        <is>
          <t>world_bank_col_estimate</t>
        </is>
      </c>
      <c r="K1487" t="inlineStr">
        <is>
          <t>https://api.worldbank.org/v2/country/POL/indicator/NY.GNP.PCAP.PP.CD?format=json&amp;mrv=10</t>
        </is>
      </c>
      <c r="L1487" t="inlineStr">
        <is>
          <t>World Bank GNI + regional expenditure ratio estimate</t>
        </is>
      </c>
      <c r="M1487" t="inlineStr">
        <is>
          <t>2024-12-31</t>
        </is>
      </c>
      <c r="N1487" t="inlineStr">
        <is>
          <t>auto_ingest=world_bank_col_estimate; gni_annual=49540.0; year=2024; country_proxy=Poland; cohort=Southern/Eastern Europe and Eurasia; city_cost_mult=1.05</t>
        </is>
      </c>
    </row>
    <row r="1488">
      <c r="A1488" t="inlineStr">
        <is>
          <t>pl-krakow</t>
        </is>
      </c>
      <c r="B1488" t="inlineStr">
        <is>
          <t>Krakow</t>
        </is>
      </c>
      <c r="C1488" t="inlineStr">
        <is>
          <t>Poland</t>
        </is>
      </c>
      <c r="D1488" t="inlineStr">
        <is>
          <t>Southern/Eastern Europe and Eurasia</t>
        </is>
      </c>
      <c r="E1488" t="inlineStr">
        <is>
          <t>housing_burden_raw</t>
        </is>
      </c>
      <c r="F1488" t="inlineStr">
        <is>
          <t>Housing burden raw</t>
        </is>
      </c>
      <c r="G1488" t="inlineStr">
        <is>
          <t>pressure</t>
        </is>
      </c>
      <c r="H1488" t="inlineStr">
        <is>
          <t>yes</t>
        </is>
      </c>
      <c r="I1488" t="inlineStr">
        <is>
          <t>26.2501</t>
        </is>
      </c>
      <c r="J1488" t="inlineStr">
        <is>
          <t>derived</t>
        </is>
      </c>
      <c r="K1488" t="inlineStr">
        <is>
          <t>https://data.worldbank.org/indicator/NY.GNP.PCAP.PP.CD</t>
        </is>
      </c>
      <c r="L1488" t="inlineStr">
        <is>
          <t>Computed from city_inputs + country_context</t>
        </is>
      </c>
      <c r="M1488" t="inlineStr">
        <is>
          <t>2024-01-01</t>
        </is>
      </c>
      <c r="N1488" t="inlineStr">
        <is>
          <t>derived=rent/gross_income*100</t>
        </is>
      </c>
    </row>
    <row r="1489">
      <c r="A1489" t="inlineStr">
        <is>
          <t>pl-krakow</t>
        </is>
      </c>
      <c r="B1489" t="inlineStr">
        <is>
          <t>Krakow</t>
        </is>
      </c>
      <c r="C1489" t="inlineStr">
        <is>
          <t>Poland</t>
        </is>
      </c>
      <c r="D1489" t="inlineStr">
        <is>
          <t>Southern/Eastern Europe and Eurasia</t>
        </is>
      </c>
      <c r="E1489" t="inlineStr">
        <is>
          <t>household_debt_burden_raw</t>
        </is>
      </c>
      <c r="F1489" t="inlineStr">
        <is>
          <t>Household debt burden raw</t>
        </is>
      </c>
      <c r="G1489" t="inlineStr">
        <is>
          <t>pressure</t>
        </is>
      </c>
      <c r="H1489" t="inlineStr">
        <is>
          <t>yes</t>
        </is>
      </c>
      <c r="I1489" t="inlineStr">
        <is>
          <t>33.5851</t>
        </is>
      </c>
      <c r="J1489" t="inlineStr">
        <is>
          <t>derived</t>
        </is>
      </c>
      <c r="K1489" t="inlineStr">
        <is>
          <t>https://data.worldbank.org/indicator/NY.GNP.PCAP.PP.CD</t>
        </is>
      </c>
      <c r="L1489" t="inlineStr">
        <is>
          <t>Computed from city_inputs + country_context</t>
        </is>
      </c>
      <c r="M1489" t="inlineStr">
        <is>
          <t>2024-01-01</t>
        </is>
      </c>
      <c r="N1489" t="inlineStr">
        <is>
          <t>derived=country_context.household_debt_proxy; country=Poland</t>
        </is>
      </c>
    </row>
    <row r="1490">
      <c r="A1490" t="inlineStr">
        <is>
          <t>pl-krakow</t>
        </is>
      </c>
      <c r="B1490" t="inlineStr">
        <is>
          <t>Krakow</t>
        </is>
      </c>
      <c r="C1490" t="inlineStr">
        <is>
          <t>Poland</t>
        </is>
      </c>
      <c r="D1490" t="inlineStr">
        <is>
          <t>Southern/Eastern Europe and Eurasia</t>
        </is>
      </c>
      <c r="E1490" t="inlineStr">
        <is>
          <t>working_time_pressure_raw</t>
        </is>
      </c>
      <c r="F1490" t="inlineStr">
        <is>
          <t>Working time pressure raw</t>
        </is>
      </c>
      <c r="G1490" t="inlineStr">
        <is>
          <t>pressure</t>
        </is>
      </c>
      <c r="H1490" t="inlineStr">
        <is>
          <t>yes</t>
        </is>
      </c>
      <c r="I1490" t="inlineStr">
        <is>
          <t>38.63</t>
        </is>
      </c>
      <c r="J1490" t="inlineStr">
        <is>
          <t>ilo_ilostat</t>
        </is>
      </c>
      <c r="K1490" t="inlineStr">
        <is>
          <t>https://ilostat.ilo.org/data/indicator/?id=HOW_TEMP_SEX_ECO_NB_A&amp;ref_area=POL</t>
        </is>
      </c>
      <c r="L1490" t="inlineStr">
        <is>
          <t>ILO ILOSTAT: Mean weekly hours actually worked per employed person</t>
        </is>
      </c>
      <c r="M1490" t="inlineStr">
        <is>
          <t>2024-12-31</t>
        </is>
      </c>
      <c r="N1490" t="inlineStr">
        <is>
          <t>auto_ingest=ilo_working_hours; indicator=HOW_TEMP_SEX_ECO_NB_A; year=2024; hours=38.63; country_proxy=Poland</t>
        </is>
      </c>
    </row>
    <row r="1491">
      <c r="A1491" t="inlineStr">
        <is>
          <t>pl-krakow</t>
        </is>
      </c>
      <c r="B1491" t="inlineStr">
        <is>
          <t>Krakow</t>
        </is>
      </c>
      <c r="C1491" t="inlineStr">
        <is>
          <t>Poland</t>
        </is>
      </c>
      <c r="D1491" t="inlineStr">
        <is>
          <t>Southern/Eastern Europe and Eurasia</t>
        </is>
      </c>
      <c r="E1491" t="inlineStr">
        <is>
          <t>suicide_mental_strain_raw</t>
        </is>
      </c>
      <c r="F1491" t="inlineStr">
        <is>
          <t>Suicide or mental strain raw</t>
        </is>
      </c>
      <c r="G1491" t="inlineStr">
        <is>
          <t>pressure</t>
        </is>
      </c>
      <c r="H1491" t="inlineStr">
        <is>
          <t>yes</t>
        </is>
      </c>
      <c r="I1491" t="inlineStr">
        <is>
          <t>13.67</t>
        </is>
      </c>
      <c r="J1491" t="inlineStr">
        <is>
          <t>who_gho</t>
        </is>
      </c>
      <c r="K1491" t="inlineStr">
        <is>
          <t>https://www.who.int/data/gho/data/indicators/indicator-details/GHO/SDGSUICIDE</t>
        </is>
      </c>
      <c r="L1491" t="inlineStr">
        <is>
          <t>WHO GHO: Age-standardized suicide rate (per 100,000 population)</t>
        </is>
      </c>
      <c r="M1491" t="inlineStr">
        <is>
          <t>2021-12-31</t>
        </is>
      </c>
      <c r="N1491" t="inlineStr">
        <is>
          <t>auto_ingest=who_gho; indicator=SDGSUICIDE; year=2021; country_proxy=Poland</t>
        </is>
      </c>
    </row>
    <row r="1492">
      <c r="A1492" t="inlineStr">
        <is>
          <t>pl-krakow</t>
        </is>
      </c>
      <c r="B1492" t="inlineStr">
        <is>
          <t>Krakow</t>
        </is>
      </c>
      <c r="C1492" t="inlineStr">
        <is>
          <t>Poland</t>
        </is>
      </c>
      <c r="D1492" t="inlineStr">
        <is>
          <t>Southern/Eastern Europe and Eurasia</t>
        </is>
      </c>
      <c r="E1492" t="inlineStr">
        <is>
          <t>personal_safety_raw</t>
        </is>
      </c>
      <c r="F1492" t="inlineStr">
        <is>
          <t>Personal safety raw</t>
        </is>
      </c>
      <c r="G1492" t="inlineStr">
        <is>
          <t>viability</t>
        </is>
      </c>
      <c r="H1492" t="inlineStr">
        <is>
          <t>yes</t>
        </is>
      </c>
      <c r="I1492" t="inlineStr">
        <is>
          <t>0.8</t>
        </is>
      </c>
      <c r="J1492" t="inlineStr">
        <is>
          <t>world_bank</t>
        </is>
      </c>
      <c r="K1492" t="inlineStr">
        <is>
          <t>https://api.worldbank.org/v2/country/POL/indicator/VC.IHR.PSRC.P5?format=json&amp;mrv=10</t>
        </is>
      </c>
      <c r="L1492" t="inlineStr">
        <is>
          <t>UNODC via World Bank WDI: Intentional homicides (per 100,000 people)</t>
        </is>
      </c>
      <c r="M1492" t="inlineStr">
        <is>
          <t>2023-12-31</t>
        </is>
      </c>
      <c r="N1492" t="inlineStr">
        <is>
          <t>auto_ingest=unodc_safety; indicator=VC.IHR.PSRC.P5; year=2023; country_proxy=Poland</t>
        </is>
      </c>
    </row>
    <row r="1493">
      <c r="A1493" t="inlineStr">
        <is>
          <t>pl-krakow</t>
        </is>
      </c>
      <c r="B1493" t="inlineStr">
        <is>
          <t>Krakow</t>
        </is>
      </c>
      <c r="C1493" t="inlineStr">
        <is>
          <t>Poland</t>
        </is>
      </c>
      <c r="D1493" t="inlineStr">
        <is>
          <t>Southern/Eastern Europe and Eurasia</t>
        </is>
      </c>
      <c r="E1493" t="inlineStr">
        <is>
          <t>transit_access_commute_raw</t>
        </is>
      </c>
      <c r="F1493" t="inlineStr">
        <is>
          <t>Transit access and commute raw</t>
        </is>
      </c>
      <c r="G1493" t="inlineStr">
        <is>
          <t>viability</t>
        </is>
      </c>
      <c r="H1493" t="inlineStr">
        <is>
          <t>yes</t>
        </is>
      </c>
      <c r="I1493" t="inlineStr"/>
      <c r="J1493" t="inlineStr"/>
      <c r="K1493" t="inlineStr"/>
      <c r="L1493" t="inlineStr"/>
      <c r="M1493" t="inlineStr"/>
      <c r="N1493" t="inlineStr"/>
    </row>
    <row r="1494">
      <c r="A1494" t="inlineStr">
        <is>
          <t>pl-krakow</t>
        </is>
      </c>
      <c r="B1494" t="inlineStr">
        <is>
          <t>Krakow</t>
        </is>
      </c>
      <c r="C1494" t="inlineStr">
        <is>
          <t>Poland</t>
        </is>
      </c>
      <c r="D1494" t="inlineStr">
        <is>
          <t>Southern/Eastern Europe and Eurasia</t>
        </is>
      </c>
      <c r="E1494" t="inlineStr">
        <is>
          <t>clean_air_raw</t>
        </is>
      </c>
      <c r="F1494" t="inlineStr">
        <is>
          <t>Clean air raw</t>
        </is>
      </c>
      <c r="G1494" t="inlineStr">
        <is>
          <t>viability</t>
        </is>
      </c>
      <c r="H1494" t="inlineStr">
        <is>
          <t>yes</t>
        </is>
      </c>
      <c r="I1494" t="inlineStr"/>
      <c r="J1494" t="inlineStr"/>
      <c r="K1494" t="inlineStr"/>
      <c r="L1494" t="inlineStr"/>
      <c r="M1494" t="inlineStr"/>
      <c r="N1494" t="inlineStr"/>
    </row>
    <row r="1495">
      <c r="A1495" t="inlineStr">
        <is>
          <t>pl-krakow</t>
        </is>
      </c>
      <c r="B1495" t="inlineStr">
        <is>
          <t>Krakow</t>
        </is>
      </c>
      <c r="C1495" t="inlineStr">
        <is>
          <t>Poland</t>
        </is>
      </c>
      <c r="D1495" t="inlineStr">
        <is>
          <t>Southern/Eastern Europe and Eurasia</t>
        </is>
      </c>
      <c r="E1495" t="inlineStr">
        <is>
          <t>water_sanitation_utility_raw</t>
        </is>
      </c>
      <c r="F1495" t="inlineStr">
        <is>
          <t>Water, sanitation, and utility raw</t>
        </is>
      </c>
      <c r="G1495" t="inlineStr">
        <is>
          <t>viability</t>
        </is>
      </c>
      <c r="H1495" t="inlineStr">
        <is>
          <t>yes</t>
        </is>
      </c>
      <c r="I1495" t="inlineStr">
        <is>
          <t>88.68</t>
        </is>
      </c>
      <c r="J1495" t="inlineStr">
        <is>
          <t>world_bank</t>
        </is>
      </c>
      <c r="K1495" t="inlineStr">
        <is>
          <t>https://api.worldbank.org/v2/country/POL/indicator/SH.H2O.SMDW.ZS?format=json&amp;mrv=10</t>
        </is>
      </c>
      <c r="L1495" t="inlineStr">
        <is>
          <t>World Bank WDI: People using safely managed drinking water services (% of population)</t>
        </is>
      </c>
      <c r="M1495" t="inlineStr">
        <is>
          <t>2024-12-31</t>
        </is>
      </c>
      <c r="N1495" t="inlineStr">
        <is>
          <t>auto_ingest=world_bank_proxy; indicator=SH.H2O.SMDW.ZS; year=2024; country_proxy=Poland</t>
        </is>
      </c>
    </row>
    <row r="1496">
      <c r="A1496" t="inlineStr">
        <is>
          <t>pl-krakow</t>
        </is>
      </c>
      <c r="B1496" t="inlineStr">
        <is>
          <t>Krakow</t>
        </is>
      </c>
      <c r="C1496" t="inlineStr">
        <is>
          <t>Poland</t>
        </is>
      </c>
      <c r="D1496" t="inlineStr">
        <is>
          <t>Southern/Eastern Europe and Eurasia</t>
        </is>
      </c>
      <c r="E1496" t="inlineStr">
        <is>
          <t>digital_infrastructure_raw</t>
        </is>
      </c>
      <c r="F1496" t="inlineStr">
        <is>
          <t>Digital infrastructure raw</t>
        </is>
      </c>
      <c r="G1496" t="inlineStr">
        <is>
          <t>viability</t>
        </is>
      </c>
      <c r="H1496" t="inlineStr">
        <is>
          <t>yes</t>
        </is>
      </c>
      <c r="I1496" t="inlineStr">
        <is>
          <t>26.11</t>
        </is>
      </c>
      <c r="J1496" t="inlineStr">
        <is>
          <t>world_bank</t>
        </is>
      </c>
      <c r="K1496" t="inlineStr">
        <is>
          <t>https://api.worldbank.org/v2/country/POL/indicator/IT.NET.BBND.P2?format=json&amp;mrv=10</t>
        </is>
      </c>
      <c r="L1496" t="inlineStr">
        <is>
          <t>World Bank WDI: Fixed broadband subscriptions (per 100 people)</t>
        </is>
      </c>
      <c r="M1496" t="inlineStr">
        <is>
          <t>2023-12-31</t>
        </is>
      </c>
      <c r="N1496" t="inlineStr">
        <is>
          <t>auto_ingest=world_bank_proxy; indicator=IT.NET.BBND.P2; year=2023; country_proxy=Poland</t>
        </is>
      </c>
    </row>
    <row r="1497">
      <c r="A1497" t="inlineStr">
        <is>
          <t>pl-krakow</t>
        </is>
      </c>
      <c r="B1497" t="inlineStr">
        <is>
          <t>Krakow</t>
        </is>
      </c>
      <c r="C1497" t="inlineStr">
        <is>
          <t>Poland</t>
        </is>
      </c>
      <c r="D1497" t="inlineStr">
        <is>
          <t>Southern/Eastern Europe and Eurasia</t>
        </is>
      </c>
      <c r="E1497" t="inlineStr">
        <is>
          <t>climate_sunlight_livability_raw</t>
        </is>
      </c>
      <c r="F1497" t="inlineStr">
        <is>
          <t>Climate and sunlight livability raw</t>
        </is>
      </c>
      <c r="G1497" t="inlineStr">
        <is>
          <t>viability</t>
        </is>
      </c>
      <c r="H1497" t="inlineStr">
        <is>
          <t>yes</t>
        </is>
      </c>
      <c r="I1497" t="inlineStr">
        <is>
          <t>48</t>
        </is>
      </c>
      <c r="J1497" t="inlineStr">
        <is>
          <t>wmo_natl_met</t>
        </is>
      </c>
      <c r="K1497" t="inlineStr">
        <is>
          <t>https://worldweather.wmo.int</t>
        </is>
      </c>
      <c r="L1497" t="inlineStr">
        <is>
          <t>WMO/National Met: Climate livability composite</t>
        </is>
      </c>
      <c r="M1497" t="inlineStr">
        <is>
          <t>2024-12-31</t>
        </is>
      </c>
      <c r="N1497" t="inlineStr">
        <is>
          <t>auto_seed=climate_composite; 1600 sun hrs, 9C mean</t>
        </is>
      </c>
    </row>
    <row r="1498">
      <c r="A1498" t="inlineStr">
        <is>
          <t>pl-krakow</t>
        </is>
      </c>
      <c r="B1498" t="inlineStr">
        <is>
          <t>Krakow</t>
        </is>
      </c>
      <c r="C1498" t="inlineStr">
        <is>
          <t>Poland</t>
        </is>
      </c>
      <c r="D1498" t="inlineStr">
        <is>
          <t>Southern/Eastern Europe and Eurasia</t>
        </is>
      </c>
      <c r="E1498" t="inlineStr">
        <is>
          <t>healthcare_quality_raw</t>
        </is>
      </c>
      <c r="F1498" t="inlineStr">
        <is>
          <t>Healthcare quality raw</t>
        </is>
      </c>
      <c r="G1498" t="inlineStr">
        <is>
          <t>capability</t>
        </is>
      </c>
      <c r="H1498" t="inlineStr">
        <is>
          <t>yes</t>
        </is>
      </c>
      <c r="I1498" t="inlineStr">
        <is>
          <t>82.0</t>
        </is>
      </c>
      <c r="J1498" t="inlineStr">
        <is>
          <t>who_gho</t>
        </is>
      </c>
      <c r="K1498" t="inlineStr">
        <is>
          <t>https://www.who.int/data/gho/data/indicators/indicator-details/GHO/UHC_INDEX_REPORTED</t>
        </is>
      </c>
      <c r="L1498" t="inlineStr">
        <is>
          <t>WHO GHO: UHC Service Coverage Index</t>
        </is>
      </c>
      <c r="M1498" t="inlineStr">
        <is>
          <t>2023-12-31</t>
        </is>
      </c>
      <c r="N1498" t="inlineStr">
        <is>
          <t>auto_ingest=who_gho; indicator=UHC_INDEX_REPORTED; year=2023; country_proxy=Poland</t>
        </is>
      </c>
    </row>
    <row r="1499">
      <c r="A1499" t="inlineStr">
        <is>
          <t>pl-krakow</t>
        </is>
      </c>
      <c r="B1499" t="inlineStr">
        <is>
          <t>Krakow</t>
        </is>
      </c>
      <c r="C1499" t="inlineStr">
        <is>
          <t>Poland</t>
        </is>
      </c>
      <c r="D1499" t="inlineStr">
        <is>
          <t>Southern/Eastern Europe and Eurasia</t>
        </is>
      </c>
      <c r="E1499" t="inlineStr">
        <is>
          <t>education_quality_raw</t>
        </is>
      </c>
      <c r="F1499" t="inlineStr">
        <is>
          <t>Education quality raw</t>
        </is>
      </c>
      <c r="G1499" t="inlineStr">
        <is>
          <t>capability</t>
        </is>
      </c>
      <c r="H1499" t="inlineStr">
        <is>
          <t>yes</t>
        </is>
      </c>
      <c r="I1499" t="inlineStr">
        <is>
          <t>76.88</t>
        </is>
      </c>
      <c r="J1499" t="inlineStr">
        <is>
          <t>world_bank</t>
        </is>
      </c>
      <c r="K1499" t="inlineStr">
        <is>
          <t>https://api.worldbank.org/v2/country/POL/indicator/SE.TER.ENRR?format=json&amp;mrv=10</t>
        </is>
      </c>
      <c r="L1499" t="inlineStr">
        <is>
          <t>World Bank WDI: School enrollment, tertiary (% gross)</t>
        </is>
      </c>
      <c r="M1499" t="inlineStr">
        <is>
          <t>2023-12-31</t>
        </is>
      </c>
      <c r="N1499" t="inlineStr">
        <is>
          <t>auto_ingest=world_bank_proxy; indicator=SE.TER.ENRR; year=2023; country_proxy=Poland</t>
        </is>
      </c>
    </row>
    <row r="1500">
      <c r="A1500" t="inlineStr">
        <is>
          <t>pl-krakow</t>
        </is>
      </c>
      <c r="B1500" t="inlineStr">
        <is>
          <t>Krakow</t>
        </is>
      </c>
      <c r="C1500" t="inlineStr">
        <is>
          <t>Poland</t>
        </is>
      </c>
      <c r="D1500" t="inlineStr">
        <is>
          <t>Southern/Eastern Europe and Eurasia</t>
        </is>
      </c>
      <c r="E1500" t="inlineStr">
        <is>
          <t>equal_opportunity_raw</t>
        </is>
      </c>
      <c r="F1500" t="inlineStr">
        <is>
          <t>Equal opportunity raw</t>
        </is>
      </c>
      <c r="G1500" t="inlineStr">
        <is>
          <t>capability</t>
        </is>
      </c>
      <c r="H1500" t="inlineStr">
        <is>
          <t>yes</t>
        </is>
      </c>
      <c r="I1500" t="inlineStr">
        <is>
          <t>28.5</t>
        </is>
      </c>
      <c r="J1500" t="inlineStr">
        <is>
          <t>world_bank</t>
        </is>
      </c>
      <c r="K1500" t="inlineStr">
        <is>
          <t>https://api.worldbank.org/v2/country/POL/indicator/SI.POV.GINI?format=json&amp;mrv=10</t>
        </is>
      </c>
      <c r="L1500" t="inlineStr">
        <is>
          <t>World Bank WDI: Gini index</t>
        </is>
      </c>
      <c r="M1500" t="inlineStr">
        <is>
          <t>2023-12-31</t>
        </is>
      </c>
      <c r="N1500" t="inlineStr">
        <is>
          <t>auto_ingest=world_bank_capability; indicator=SI.POV.GINI; year=2023; country_proxy=Poland</t>
        </is>
      </c>
    </row>
    <row r="1501">
      <c r="A1501" t="inlineStr">
        <is>
          <t>pl-krakow</t>
        </is>
      </c>
      <c r="B1501" t="inlineStr">
        <is>
          <t>Krakow</t>
        </is>
      </c>
      <c r="C1501" t="inlineStr">
        <is>
          <t>Poland</t>
        </is>
      </c>
      <c r="D1501" t="inlineStr">
        <is>
          <t>Southern/Eastern Europe and Eurasia</t>
        </is>
      </c>
      <c r="E1501" t="inlineStr">
        <is>
          <t>hospitality_belonging_raw</t>
        </is>
      </c>
      <c r="F1501" t="inlineStr">
        <is>
          <t>Hospitality and belonging raw</t>
        </is>
      </c>
      <c r="G1501" t="inlineStr">
        <is>
          <t>community</t>
        </is>
      </c>
      <c r="H1501" t="inlineStr">
        <is>
          <t>yes</t>
        </is>
      </c>
      <c r="I1501" t="inlineStr">
        <is>
          <t>40.95</t>
        </is>
      </c>
      <c r="J1501" t="inlineStr">
        <is>
          <t>world_bank</t>
        </is>
      </c>
      <c r="K1501" t="inlineStr">
        <is>
          <t>https://api.worldbank.org/v2/country/POL/indicator/SM.POP.NETM?format=json&amp;mrv=10</t>
        </is>
      </c>
      <c r="L1501" t="inlineStr">
        <is>
          <t>World Bank WDI: Net migration (proxy for hospitality/belonging — positive = welcoming)</t>
        </is>
      </c>
      <c r="M1501" t="inlineStr">
        <is>
          <t>2025-12-31</t>
        </is>
      </c>
      <c r="N1501" t="inlineStr">
        <is>
          <t>auto_ingest=world_bank_proxy; proxy=net_migration_hospitality; indicator=SM.POP.NETM; year=2025; country_proxy=Poland</t>
        </is>
      </c>
    </row>
    <row r="1502">
      <c r="A1502" t="inlineStr">
        <is>
          <t>pl-krakow</t>
        </is>
      </c>
      <c r="B1502" t="inlineStr">
        <is>
          <t>Krakow</t>
        </is>
      </c>
      <c r="C1502" t="inlineStr">
        <is>
          <t>Poland</t>
        </is>
      </c>
      <c r="D1502" t="inlineStr">
        <is>
          <t>Southern/Eastern Europe and Eurasia</t>
        </is>
      </c>
      <c r="E1502" t="inlineStr">
        <is>
          <t>tolerance_pluralism_raw</t>
        </is>
      </c>
      <c r="F1502" t="inlineStr">
        <is>
          <t>Tolerance and pluralism raw</t>
        </is>
      </c>
      <c r="G1502" t="inlineStr">
        <is>
          <t>community</t>
        </is>
      </c>
      <c r="H1502" t="inlineStr">
        <is>
          <t>yes</t>
        </is>
      </c>
      <c r="I1502" t="inlineStr">
        <is>
          <t>29.57</t>
        </is>
      </c>
      <c r="J1502" t="inlineStr">
        <is>
          <t>world_bank</t>
        </is>
      </c>
      <c r="K1502" t="inlineStr">
        <is>
          <t>https://api.worldbank.org/v2/country/POL/indicator/SG.GEN.PARL.ZS?format=json&amp;mrv=10</t>
        </is>
      </c>
      <c r="L1502" t="inlineStr">
        <is>
          <t>World Bank WDI: Proportion of seats held by women in national parliaments (%)</t>
        </is>
      </c>
      <c r="M1502" t="inlineStr">
        <is>
          <t>2024-12-31</t>
        </is>
      </c>
      <c r="N1502" t="inlineStr">
        <is>
          <t>auto_ingest=world_bank_proxy; proxy=gender_parity_parliament; indicator=SG.GEN.PARL.ZS; year=2024; country_proxy=Poland</t>
        </is>
      </c>
    </row>
    <row r="1503">
      <c r="A1503" t="inlineStr">
        <is>
          <t>pl-krakow</t>
        </is>
      </c>
      <c r="B1503" t="inlineStr">
        <is>
          <t>Krakow</t>
        </is>
      </c>
      <c r="C1503" t="inlineStr">
        <is>
          <t>Poland</t>
        </is>
      </c>
      <c r="D1503" t="inlineStr">
        <is>
          <t>Southern/Eastern Europe and Eurasia</t>
        </is>
      </c>
      <c r="E1503" t="inlineStr">
        <is>
          <t>cultural_public_life_raw</t>
        </is>
      </c>
      <c r="F1503" t="inlineStr">
        <is>
          <t>Cultural public life raw</t>
        </is>
      </c>
      <c r="G1503" t="inlineStr">
        <is>
          <t>community</t>
        </is>
      </c>
      <c r="H1503" t="inlineStr">
        <is>
          <t>yes</t>
        </is>
      </c>
      <c r="I1503" t="inlineStr">
        <is>
          <t>2421.14</t>
        </is>
      </c>
      <c r="J1503" t="inlineStr">
        <is>
          <t>world_bank</t>
        </is>
      </c>
      <c r="K1503" t="inlineStr">
        <is>
          <t>https://api.worldbank.org/v2/country/POL/indicator/ST.INT.ARVL?format=json&amp;mrv=10</t>
        </is>
      </c>
      <c r="L1503" t="inlineStr">
        <is>
          <t>World Bank WDI: International tourism arrivals per 1 000 population</t>
        </is>
      </c>
      <c r="M1503" t="inlineStr">
        <is>
          <t>2019-12-31</t>
        </is>
      </c>
      <c r="N1503" t="inlineStr">
        <is>
          <t>auto_ingest=cultural_life_proxy; indicator=ST.INT.ARVL; norm=per_1000_pop; year=2019; country_proxy=Poland</t>
        </is>
      </c>
    </row>
    <row r="1504">
      <c r="A1504" t="inlineStr">
        <is>
          <t>pl-krakow</t>
        </is>
      </c>
      <c r="B1504" t="inlineStr">
        <is>
          <t>Krakow</t>
        </is>
      </c>
      <c r="C1504" t="inlineStr">
        <is>
          <t>Poland</t>
        </is>
      </c>
      <c r="D1504" t="inlineStr">
        <is>
          <t>Southern/Eastern Europe and Eurasia</t>
        </is>
      </c>
      <c r="E1504" t="inlineStr">
        <is>
          <t>birth_rate_optimism_raw</t>
        </is>
      </c>
      <c r="F1504" t="inlineStr">
        <is>
          <t>Birth rate and societal optimism raw</t>
        </is>
      </c>
      <c r="G1504" t="inlineStr">
        <is>
          <t>community</t>
        </is>
      </c>
      <c r="H1504" t="inlineStr">
        <is>
          <t>yes</t>
        </is>
      </c>
      <c r="I1504" t="inlineStr">
        <is>
          <t>1.29</t>
        </is>
      </c>
      <c r="J1504" t="inlineStr">
        <is>
          <t>world_bank</t>
        </is>
      </c>
      <c r="K1504" t="inlineStr">
        <is>
          <t>https://data.worldbank.org/indicator/SP.DYN.TFRT.IN</t>
        </is>
      </c>
      <c r="L1504" t="inlineStr">
        <is>
          <t>World Bank Total Fertility Rate 2023</t>
        </is>
      </c>
      <c r="M1504" t="inlineStr">
        <is>
          <t>2024-01-01</t>
        </is>
      </c>
      <c r="N1504" t="inlineStr"/>
    </row>
    <row r="1505">
      <c r="A1505" t="inlineStr">
        <is>
          <t>pl-krakow</t>
        </is>
      </c>
      <c r="B1505" t="inlineStr">
        <is>
          <t>Krakow</t>
        </is>
      </c>
      <c r="C1505" t="inlineStr">
        <is>
          <t>Poland</t>
        </is>
      </c>
      <c r="D1505" t="inlineStr">
        <is>
          <t>Southern/Eastern Europe and Eurasia</t>
        </is>
      </c>
      <c r="E1505" t="inlineStr">
        <is>
          <t>entrepreneurial_dynamism_raw</t>
        </is>
      </c>
      <c r="F1505" t="inlineStr">
        <is>
          <t>Entrepreneurial dynamism raw</t>
        </is>
      </c>
      <c r="G1505" t="inlineStr">
        <is>
          <t>creative</t>
        </is>
      </c>
      <c r="H1505" t="inlineStr">
        <is>
          <t>yes</t>
        </is>
      </c>
      <c r="I1505" t="inlineStr">
        <is>
          <t>2.16</t>
        </is>
      </c>
      <c r="J1505" t="inlineStr">
        <is>
          <t>world_bank</t>
        </is>
      </c>
      <c r="K1505" t="inlineStr">
        <is>
          <t>https://api.worldbank.org/v2/country/POL/indicator/IC.BUS.NDNS.ZS?format=json&amp;mrv=10</t>
        </is>
      </c>
      <c r="L1505" t="inlineStr">
        <is>
          <t>World Bank WDI: New business density (new registrations per 1,000 people ages 15-64)</t>
        </is>
      </c>
      <c r="M1505" t="inlineStr">
        <is>
          <t>2022-12-31</t>
        </is>
      </c>
      <c r="N1505" t="inlineStr">
        <is>
          <t>auto_ingest=world_bank_creative_extended; indicator=IC.BUS.NDNS.ZS; year=2022; country_proxy=Poland</t>
        </is>
      </c>
    </row>
    <row r="1506">
      <c r="A1506" t="inlineStr">
        <is>
          <t>pl-krakow</t>
        </is>
      </c>
      <c r="B1506" t="inlineStr">
        <is>
          <t>Krakow</t>
        </is>
      </c>
      <c r="C1506" t="inlineStr">
        <is>
          <t>Poland</t>
        </is>
      </c>
      <c r="D1506" t="inlineStr">
        <is>
          <t>Southern/Eastern Europe and Eurasia</t>
        </is>
      </c>
      <c r="E1506" t="inlineStr">
        <is>
          <t>innovation_research_intensity_raw</t>
        </is>
      </c>
      <c r="F1506" t="inlineStr">
        <is>
          <t>Innovation and research raw</t>
        </is>
      </c>
      <c r="G1506" t="inlineStr">
        <is>
          <t>creative</t>
        </is>
      </c>
      <c r="H1506" t="inlineStr">
        <is>
          <t>yes</t>
        </is>
      </c>
      <c r="I1506" t="inlineStr">
        <is>
          <t>1.45</t>
        </is>
      </c>
      <c r="J1506" t="inlineStr">
        <is>
          <t>world_bank</t>
        </is>
      </c>
      <c r="K1506" t="inlineStr">
        <is>
          <t>https://api.worldbank.org/v2/country/POL/indicator/GB.XPD.RSDV.GD.ZS?format=json&amp;mrv=10</t>
        </is>
      </c>
      <c r="L1506" t="inlineStr">
        <is>
          <t>World Bank WDI: Research and development expenditure (% of GDP)</t>
        </is>
      </c>
      <c r="M1506" t="inlineStr">
        <is>
          <t>2022-12-31</t>
        </is>
      </c>
      <c r="N1506" t="inlineStr">
        <is>
          <t>auto_ingest=world_bank_creative_extended; indicator=GB.XPD.RSDV.GD.ZS; year=2022; country_proxy=Poland</t>
        </is>
      </c>
    </row>
    <row r="1507">
      <c r="A1507" t="inlineStr">
        <is>
          <t>pl-krakow</t>
        </is>
      </c>
      <c r="B1507" t="inlineStr">
        <is>
          <t>Krakow</t>
        </is>
      </c>
      <c r="C1507" t="inlineStr">
        <is>
          <t>Poland</t>
        </is>
      </c>
      <c r="D1507" t="inlineStr">
        <is>
          <t>Southern/Eastern Europe and Eurasia</t>
        </is>
      </c>
      <c r="E1507" t="inlineStr">
        <is>
          <t>investment_signal_raw</t>
        </is>
      </c>
      <c r="F1507" t="inlineStr">
        <is>
          <t>Investment signal raw</t>
        </is>
      </c>
      <c r="G1507" t="inlineStr">
        <is>
          <t>creative</t>
        </is>
      </c>
      <c r="H1507" t="inlineStr">
        <is>
          <t>yes</t>
        </is>
      </c>
      <c r="I1507" t="inlineStr">
        <is>
          <t>2.25</t>
        </is>
      </c>
      <c r="J1507" t="inlineStr">
        <is>
          <t>world_bank</t>
        </is>
      </c>
      <c r="K1507" t="inlineStr">
        <is>
          <t>https://api.worldbank.org/v2/country/POL/indicator/BX.KLT.DINV.WD.GD.ZS?format=json&amp;mrv=10</t>
        </is>
      </c>
      <c r="L1507" t="inlineStr">
        <is>
          <t>World Bank WDI: Foreign direct investment, net inflows (% of GDP)</t>
        </is>
      </c>
      <c r="M1507" t="inlineStr">
        <is>
          <t>2024-12-31</t>
        </is>
      </c>
      <c r="N1507" t="inlineStr">
        <is>
          <t>auto_ingest=world_bank_creative_extended; indicator=BX.KLT.DINV.WD.GD.ZS; year=2024; country_proxy=Poland</t>
        </is>
      </c>
    </row>
    <row r="1508">
      <c r="A1508" t="inlineStr">
        <is>
          <t>pl-krakow</t>
        </is>
      </c>
      <c r="B1508" t="inlineStr">
        <is>
          <t>Krakow</t>
        </is>
      </c>
      <c r="C1508" t="inlineStr">
        <is>
          <t>Poland</t>
        </is>
      </c>
      <c r="D1508" t="inlineStr">
        <is>
          <t>Southern/Eastern Europe and Eurasia</t>
        </is>
      </c>
      <c r="E1508" t="inlineStr">
        <is>
          <t>administrative_investment_friction_raw</t>
        </is>
      </c>
      <c r="F1508" t="inlineStr">
        <is>
          <t>Administrative investment friction raw</t>
        </is>
      </c>
      <c r="G1508" t="inlineStr">
        <is>
          <t>creative</t>
        </is>
      </c>
      <c r="H1508" t="inlineStr">
        <is>
          <t>yes</t>
        </is>
      </c>
      <c r="I1508" t="inlineStr">
        <is>
          <t>1.72</t>
        </is>
      </c>
      <c r="J1508" t="inlineStr">
        <is>
          <t>world_bank</t>
        </is>
      </c>
      <c r="K1508" t="inlineStr">
        <is>
          <t>https://api.worldbank.org/v2/country/POL/indicator/RQ.EST?format=json&amp;mrv=10</t>
        </is>
      </c>
      <c r="L1508" t="inlineStr">
        <is>
          <t>World Bank WGI: Regulatory Quality (inverted as friction proxy)</t>
        </is>
      </c>
      <c r="M1508" t="inlineStr">
        <is>
          <t>2023-12-31</t>
        </is>
      </c>
      <c r="N1508" t="inlineStr">
        <is>
          <t>auto_ingest=world_bank_business_friction; indicator=RQ.EST; raw_rq=0.780193567276001; friction=1.72; year=2023; country_proxy=Poland</t>
        </is>
      </c>
    </row>
    <row r="1509">
      <c r="A1509" t="inlineStr">
        <is>
          <t>pl-krakow</t>
        </is>
      </c>
      <c r="B1509" t="inlineStr">
        <is>
          <t>Krakow</t>
        </is>
      </c>
      <c r="C1509" t="inlineStr">
        <is>
          <t>Poland</t>
        </is>
      </c>
      <c r="D1509" t="inlineStr">
        <is>
          <t>Southern/Eastern Europe and Eurasia</t>
        </is>
      </c>
      <c r="E1509" t="inlineStr">
        <is>
          <t>visitor_flow_context_raw</t>
        </is>
      </c>
      <c r="F1509" t="inlineStr">
        <is>
          <t>Visitor flow context raw</t>
        </is>
      </c>
      <c r="G1509" t="inlineStr">
        <is>
          <t>creative</t>
        </is>
      </c>
      <c r="H1509" t="inlineStr">
        <is>
          <t>no</t>
        </is>
      </c>
      <c r="I1509" t="inlineStr"/>
      <c r="J1509" t="inlineStr"/>
      <c r="K1509" t="inlineStr"/>
      <c r="L1509" t="inlineStr"/>
      <c r="M1509" t="inlineStr"/>
      <c r="N1509" t="inlineStr"/>
    </row>
    <row r="1510">
      <c r="A1510" t="inlineStr">
        <is>
          <t>ro-bucharest</t>
        </is>
      </c>
      <c r="B1510" t="inlineStr">
        <is>
          <t>Bucharest</t>
        </is>
      </c>
      <c r="C1510" t="inlineStr">
        <is>
          <t>Romania</t>
        </is>
      </c>
      <c r="D1510" t="inlineStr">
        <is>
          <t>Southern/Eastern Europe and Eurasia</t>
        </is>
      </c>
      <c r="E1510" t="inlineStr">
        <is>
          <t>gross_income</t>
        </is>
      </c>
      <c r="F1510" t="inlineStr">
        <is>
          <t>Gross income</t>
        </is>
      </c>
      <c r="G1510" t="inlineStr">
        <is>
          <t>pressure</t>
        </is>
      </c>
      <c r="H1510" t="inlineStr">
        <is>
          <t>yes</t>
        </is>
      </c>
      <c r="I1510" t="inlineStr">
        <is>
          <t>3993.33</t>
        </is>
      </c>
      <c r="J1510" t="inlineStr">
        <is>
          <t>world_bank_col_estimate</t>
        </is>
      </c>
      <c r="K1510" t="inlineStr">
        <is>
          <t>https://api.worldbank.org/v2/country/ROU/indicator/NY.GNP.PCAP.PP.CD?format=json&amp;mrv=10</t>
        </is>
      </c>
      <c r="L1510" t="inlineStr">
        <is>
          <t>World Bank WDI: GNI per capita PPP (monthly USD)</t>
        </is>
      </c>
      <c r="M1510" t="inlineStr">
        <is>
          <t>2024-12-31</t>
        </is>
      </c>
      <c r="N1510" t="inlineStr">
        <is>
          <t>auto_ingest=world_bank_col_estimate; gni_annual=47920.0; year=2024; country_proxy=Romania; cohort=Southern/Eastern Europe and Eurasia</t>
        </is>
      </c>
    </row>
    <row r="1511">
      <c r="A1511" t="inlineStr">
        <is>
          <t>ro-bucharest</t>
        </is>
      </c>
      <c r="B1511" t="inlineStr">
        <is>
          <t>Bucharest</t>
        </is>
      </c>
      <c r="C1511" t="inlineStr">
        <is>
          <t>Romania</t>
        </is>
      </c>
      <c r="D1511" t="inlineStr">
        <is>
          <t>Southern/Eastern Europe and Eurasia</t>
        </is>
      </c>
      <c r="E1511" t="inlineStr">
        <is>
          <t>di_ppp_raw</t>
        </is>
      </c>
      <c r="F1511" t="inlineStr">
        <is>
          <t>Disposable income PPP (Raw)</t>
        </is>
      </c>
      <c r="G1511" t="inlineStr">
        <is>
          <t>pressure</t>
        </is>
      </c>
      <c r="H1511" t="inlineStr">
        <is>
          <t>yes</t>
        </is>
      </c>
      <c r="I1511" t="inlineStr"/>
      <c r="J1511" t="inlineStr"/>
      <c r="K1511" t="inlineStr"/>
      <c r="L1511" t="inlineStr"/>
      <c r="M1511" t="inlineStr"/>
      <c r="N1511" t="inlineStr"/>
    </row>
    <row r="1512">
      <c r="A1512" t="inlineStr">
        <is>
          <t>ro-bucharest</t>
        </is>
      </c>
      <c r="B1512" t="inlineStr">
        <is>
          <t>Bucharest</t>
        </is>
      </c>
      <c r="C1512" t="inlineStr">
        <is>
          <t>Romania</t>
        </is>
      </c>
      <c r="D1512" t="inlineStr">
        <is>
          <t>Southern/Eastern Europe and Eurasia</t>
        </is>
      </c>
      <c r="E1512" t="inlineStr">
        <is>
          <t>rent</t>
        </is>
      </c>
      <c r="F1512" t="inlineStr">
        <is>
          <t>Rent</t>
        </is>
      </c>
      <c r="G1512" t="inlineStr">
        <is>
          <t>pressure</t>
        </is>
      </c>
      <c r="H1512" t="inlineStr">
        <is>
          <t>yes</t>
        </is>
      </c>
      <c r="I1512" t="inlineStr">
        <is>
          <t>1048.25</t>
        </is>
      </c>
      <c r="J1512" t="inlineStr">
        <is>
          <t>world_bank_col_estimate</t>
        </is>
      </c>
      <c r="K1512" t="inlineStr">
        <is>
          <t>https://api.worldbank.org/v2/country/ROU/indicator/NY.GNP.PCAP.PP.CD?format=json&amp;mrv=10</t>
        </is>
      </c>
      <c r="L1512" t="inlineStr">
        <is>
          <t>World Bank GNI + regional expenditure ratio estimate</t>
        </is>
      </c>
      <c r="M1512" t="inlineStr">
        <is>
          <t>2024-12-31</t>
        </is>
      </c>
      <c r="N1512" t="inlineStr">
        <is>
          <t>auto_ingest=world_bank_col_estimate; gni_annual=47920.0; year=2024; country_proxy=Romania; cohort=Southern/Eastern Europe and Eurasia; city_cost_mult=1.05</t>
        </is>
      </c>
    </row>
    <row r="1513">
      <c r="A1513" t="inlineStr">
        <is>
          <t>ro-bucharest</t>
        </is>
      </c>
      <c r="B1513" t="inlineStr">
        <is>
          <t>Bucharest</t>
        </is>
      </c>
      <c r="C1513" t="inlineStr">
        <is>
          <t>Romania</t>
        </is>
      </c>
      <c r="D1513" t="inlineStr">
        <is>
          <t>Southern/Eastern Europe and Eurasia</t>
        </is>
      </c>
      <c r="E1513" t="inlineStr">
        <is>
          <t>utilities</t>
        </is>
      </c>
      <c r="F1513" t="inlineStr">
        <is>
          <t>Utilities</t>
        </is>
      </c>
      <c r="G1513" t="inlineStr">
        <is>
          <t>pressure</t>
        </is>
      </c>
      <c r="H1513" t="inlineStr">
        <is>
          <t>yes</t>
        </is>
      </c>
      <c r="I1513" t="inlineStr">
        <is>
          <t>335.44</t>
        </is>
      </c>
      <c r="J1513" t="inlineStr">
        <is>
          <t>world_bank_col_estimate</t>
        </is>
      </c>
      <c r="K1513" t="inlineStr">
        <is>
          <t>https://api.worldbank.org/v2/country/ROU/indicator/NY.GNP.PCAP.PP.CD?format=json&amp;mrv=10</t>
        </is>
      </c>
      <c r="L1513" t="inlineStr">
        <is>
          <t>World Bank GNI + regional expenditure ratio estimate</t>
        </is>
      </c>
      <c r="M1513" t="inlineStr">
        <is>
          <t>2024-12-31</t>
        </is>
      </c>
      <c r="N1513" t="inlineStr">
        <is>
          <t>auto_ingest=world_bank_col_estimate; gni_annual=47920.0; year=2024; country_proxy=Romania; cohort=Southern/Eastern Europe and Eurasia; city_cost_mult=1.05</t>
        </is>
      </c>
    </row>
    <row r="1514">
      <c r="A1514" t="inlineStr">
        <is>
          <t>ro-bucharest</t>
        </is>
      </c>
      <c r="B1514" t="inlineStr">
        <is>
          <t>Bucharest</t>
        </is>
      </c>
      <c r="C1514" t="inlineStr">
        <is>
          <t>Romania</t>
        </is>
      </c>
      <c r="D1514" t="inlineStr">
        <is>
          <t>Southern/Eastern Europe and Eurasia</t>
        </is>
      </c>
      <c r="E1514" t="inlineStr">
        <is>
          <t>transit_cost</t>
        </is>
      </c>
      <c r="F1514" t="inlineStr">
        <is>
          <t>Transit cost</t>
        </is>
      </c>
      <c r="G1514" t="inlineStr">
        <is>
          <t>pressure</t>
        </is>
      </c>
      <c r="H1514" t="inlineStr">
        <is>
          <t>yes</t>
        </is>
      </c>
      <c r="I1514" t="inlineStr">
        <is>
          <t>167.72</t>
        </is>
      </c>
      <c r="J1514" t="inlineStr">
        <is>
          <t>world_bank_col_estimate</t>
        </is>
      </c>
      <c r="K1514" t="inlineStr">
        <is>
          <t>https://api.worldbank.org/v2/country/ROU/indicator/NY.GNP.PCAP.PP.CD?format=json&amp;mrv=10</t>
        </is>
      </c>
      <c r="L1514" t="inlineStr">
        <is>
          <t>World Bank GNI + regional expenditure ratio estimate</t>
        </is>
      </c>
      <c r="M1514" t="inlineStr">
        <is>
          <t>2024-12-31</t>
        </is>
      </c>
      <c r="N1514" t="inlineStr">
        <is>
          <t>auto_ingest=world_bank_col_estimate; gni_annual=47920.0; year=2024; country_proxy=Romania; cohort=Southern/Eastern Europe and Eurasia; city_cost_mult=1.05</t>
        </is>
      </c>
    </row>
    <row r="1515">
      <c r="A1515" t="inlineStr">
        <is>
          <t>ro-bucharest</t>
        </is>
      </c>
      <c r="B1515" t="inlineStr">
        <is>
          <t>Bucharest</t>
        </is>
      </c>
      <c r="C1515" t="inlineStr">
        <is>
          <t>Romania</t>
        </is>
      </c>
      <c r="D1515" t="inlineStr">
        <is>
          <t>Southern/Eastern Europe and Eurasia</t>
        </is>
      </c>
      <c r="E1515" t="inlineStr">
        <is>
          <t>internet_cost</t>
        </is>
      </c>
      <c r="F1515" t="inlineStr">
        <is>
          <t>Internet cost</t>
        </is>
      </c>
      <c r="G1515" t="inlineStr">
        <is>
          <t>pressure</t>
        </is>
      </c>
      <c r="H1515" t="inlineStr">
        <is>
          <t>yes</t>
        </is>
      </c>
      <c r="I1515" t="inlineStr">
        <is>
          <t>62.89</t>
        </is>
      </c>
      <c r="J1515" t="inlineStr">
        <is>
          <t>world_bank_col_estimate</t>
        </is>
      </c>
      <c r="K1515" t="inlineStr">
        <is>
          <t>https://api.worldbank.org/v2/country/ROU/indicator/NY.GNP.PCAP.PP.CD?format=json&amp;mrv=10</t>
        </is>
      </c>
      <c r="L1515" t="inlineStr">
        <is>
          <t>World Bank GNI + regional expenditure ratio estimate</t>
        </is>
      </c>
      <c r="M1515" t="inlineStr">
        <is>
          <t>2024-12-31</t>
        </is>
      </c>
      <c r="N1515" t="inlineStr">
        <is>
          <t>auto_ingest=world_bank_col_estimate; gni_annual=47920.0; year=2024; country_proxy=Romania; cohort=Southern/Eastern Europe and Eurasia; city_cost_mult=1.05</t>
        </is>
      </c>
    </row>
    <row r="1516">
      <c r="A1516" t="inlineStr">
        <is>
          <t>ro-bucharest</t>
        </is>
      </c>
      <c r="B1516" t="inlineStr">
        <is>
          <t>Bucharest</t>
        </is>
      </c>
      <c r="C1516" t="inlineStr">
        <is>
          <t>Romania</t>
        </is>
      </c>
      <c r="D1516" t="inlineStr">
        <is>
          <t>Southern/Eastern Europe and Eurasia</t>
        </is>
      </c>
      <c r="E1516" t="inlineStr">
        <is>
          <t>food_cost</t>
        </is>
      </c>
      <c r="F1516" t="inlineStr">
        <is>
          <t>Food cost</t>
        </is>
      </c>
      <c r="G1516" t="inlineStr">
        <is>
          <t>pressure</t>
        </is>
      </c>
      <c r="H1516" t="inlineStr">
        <is>
          <t>yes</t>
        </is>
      </c>
      <c r="I1516" t="inlineStr">
        <is>
          <t>838.6</t>
        </is>
      </c>
      <c r="J1516" t="inlineStr">
        <is>
          <t>world_bank_col_estimate</t>
        </is>
      </c>
      <c r="K1516" t="inlineStr">
        <is>
          <t>https://api.worldbank.org/v2/country/ROU/indicator/NY.GNP.PCAP.PP.CD?format=json&amp;mrv=10</t>
        </is>
      </c>
      <c r="L1516" t="inlineStr">
        <is>
          <t>World Bank GNI + regional expenditure ratio estimate</t>
        </is>
      </c>
      <c r="M1516" t="inlineStr">
        <is>
          <t>2024-12-31</t>
        </is>
      </c>
      <c r="N1516" t="inlineStr">
        <is>
          <t>auto_ingest=world_bank_col_estimate; gni_annual=47920.0; year=2024; country_proxy=Romania; cohort=Southern/Eastern Europe and Eurasia; city_cost_mult=1.05</t>
        </is>
      </c>
    </row>
    <row r="1517">
      <c r="A1517" t="inlineStr">
        <is>
          <t>ro-bucharest</t>
        </is>
      </c>
      <c r="B1517" t="inlineStr">
        <is>
          <t>Bucharest</t>
        </is>
      </c>
      <c r="C1517" t="inlineStr">
        <is>
          <t>Romania</t>
        </is>
      </c>
      <c r="D1517" t="inlineStr">
        <is>
          <t>Southern/Eastern Europe and Eurasia</t>
        </is>
      </c>
      <c r="E1517" t="inlineStr">
        <is>
          <t>housing_burden_raw</t>
        </is>
      </c>
      <c r="F1517" t="inlineStr">
        <is>
          <t>Housing burden raw</t>
        </is>
      </c>
      <c r="G1517" t="inlineStr">
        <is>
          <t>pressure</t>
        </is>
      </c>
      <c r="H1517" t="inlineStr">
        <is>
          <t>yes</t>
        </is>
      </c>
      <c r="I1517" t="inlineStr">
        <is>
          <t>26.25</t>
        </is>
      </c>
      <c r="J1517" t="inlineStr">
        <is>
          <t>derived</t>
        </is>
      </c>
      <c r="K1517" t="inlineStr">
        <is>
          <t>https://data.worldbank.org/indicator/NY.GNP.PCAP.PP.CD</t>
        </is>
      </c>
      <c r="L1517" t="inlineStr">
        <is>
          <t>Computed from city_inputs + country_context</t>
        </is>
      </c>
      <c r="M1517" t="inlineStr">
        <is>
          <t>2024-01-01</t>
        </is>
      </c>
      <c r="N1517" t="inlineStr">
        <is>
          <t>derived=rent/gross_income*100</t>
        </is>
      </c>
    </row>
    <row r="1518">
      <c r="A1518" t="inlineStr">
        <is>
          <t>ro-bucharest</t>
        </is>
      </c>
      <c r="B1518" t="inlineStr">
        <is>
          <t>Bucharest</t>
        </is>
      </c>
      <c r="C1518" t="inlineStr">
        <is>
          <t>Romania</t>
        </is>
      </c>
      <c r="D1518" t="inlineStr">
        <is>
          <t>Southern/Eastern Europe and Eurasia</t>
        </is>
      </c>
      <c r="E1518" t="inlineStr">
        <is>
          <t>household_debt_burden_raw</t>
        </is>
      </c>
      <c r="F1518" t="inlineStr">
        <is>
          <t>Household debt burden raw</t>
        </is>
      </c>
      <c r="G1518" t="inlineStr">
        <is>
          <t>pressure</t>
        </is>
      </c>
      <c r="H1518" t="inlineStr">
        <is>
          <t>yes</t>
        </is>
      </c>
      <c r="I1518" t="inlineStr">
        <is>
          <t>22.7281</t>
        </is>
      </c>
      <c r="J1518" t="inlineStr">
        <is>
          <t>derived</t>
        </is>
      </c>
      <c r="K1518" t="inlineStr">
        <is>
          <t>https://data.worldbank.org/indicator/NY.GNP.PCAP.PP.CD</t>
        </is>
      </c>
      <c r="L1518" t="inlineStr">
        <is>
          <t>Computed from city_inputs + country_context</t>
        </is>
      </c>
      <c r="M1518" t="inlineStr">
        <is>
          <t>2024-01-01</t>
        </is>
      </c>
      <c r="N1518" t="inlineStr">
        <is>
          <t>derived=country_context.household_debt_proxy; country=Romania</t>
        </is>
      </c>
    </row>
    <row r="1519">
      <c r="A1519" t="inlineStr">
        <is>
          <t>ro-bucharest</t>
        </is>
      </c>
      <c r="B1519" t="inlineStr">
        <is>
          <t>Bucharest</t>
        </is>
      </c>
      <c r="C1519" t="inlineStr">
        <is>
          <t>Romania</t>
        </is>
      </c>
      <c r="D1519" t="inlineStr">
        <is>
          <t>Southern/Eastern Europe and Eurasia</t>
        </is>
      </c>
      <c r="E1519" t="inlineStr">
        <is>
          <t>working_time_pressure_raw</t>
        </is>
      </c>
      <c r="F1519" t="inlineStr">
        <is>
          <t>Working time pressure raw</t>
        </is>
      </c>
      <c r="G1519" t="inlineStr">
        <is>
          <t>pressure</t>
        </is>
      </c>
      <c r="H1519" t="inlineStr">
        <is>
          <t>yes</t>
        </is>
      </c>
      <c r="I1519" t="inlineStr">
        <is>
          <t>38.72</t>
        </is>
      </c>
      <c r="J1519" t="inlineStr">
        <is>
          <t>ilo_ilostat</t>
        </is>
      </c>
      <c r="K1519" t="inlineStr">
        <is>
          <t>https://ilostat.ilo.org/data/indicator/?id=HOW_TEMP_SEX_ECO_NB_A&amp;ref_area=ROU</t>
        </is>
      </c>
      <c r="L1519" t="inlineStr">
        <is>
          <t>ILO ILOSTAT: Mean weekly hours actually worked per employed person</t>
        </is>
      </c>
      <c r="M1519" t="inlineStr">
        <is>
          <t>2024-12-31</t>
        </is>
      </c>
      <c r="N1519" t="inlineStr">
        <is>
          <t>auto_ingest=ilo_working_hours; indicator=HOW_TEMP_SEX_ECO_NB_A; year=2024; hours=38.72; country_proxy=Romania</t>
        </is>
      </c>
    </row>
    <row r="1520">
      <c r="A1520" t="inlineStr">
        <is>
          <t>ro-bucharest</t>
        </is>
      </c>
      <c r="B1520" t="inlineStr">
        <is>
          <t>Bucharest</t>
        </is>
      </c>
      <c r="C1520" t="inlineStr">
        <is>
          <t>Romania</t>
        </is>
      </c>
      <c r="D1520" t="inlineStr">
        <is>
          <t>Southern/Eastern Europe and Eurasia</t>
        </is>
      </c>
      <c r="E1520" t="inlineStr">
        <is>
          <t>suicide_mental_strain_raw</t>
        </is>
      </c>
      <c r="F1520" t="inlineStr">
        <is>
          <t>Suicide or mental strain raw</t>
        </is>
      </c>
      <c r="G1520" t="inlineStr">
        <is>
          <t>pressure</t>
        </is>
      </c>
      <c r="H1520" t="inlineStr">
        <is>
          <t>yes</t>
        </is>
      </c>
      <c r="I1520" t="inlineStr">
        <is>
          <t>9.62</t>
        </is>
      </c>
      <c r="J1520" t="inlineStr">
        <is>
          <t>who_gho</t>
        </is>
      </c>
      <c r="K1520" t="inlineStr">
        <is>
          <t>https://www.who.int/data/gho/data/indicators/indicator-details/GHO/SDGSUICIDE</t>
        </is>
      </c>
      <c r="L1520" t="inlineStr">
        <is>
          <t>WHO GHO: Age-standardized suicide rate (per 100,000 population)</t>
        </is>
      </c>
      <c r="M1520" t="inlineStr">
        <is>
          <t>2021-12-31</t>
        </is>
      </c>
      <c r="N1520" t="inlineStr">
        <is>
          <t>auto_ingest=who_gho; indicator=SDGSUICIDE; year=2021; country_proxy=Romania</t>
        </is>
      </c>
    </row>
    <row r="1521">
      <c r="A1521" t="inlineStr">
        <is>
          <t>ro-bucharest</t>
        </is>
      </c>
      <c r="B1521" t="inlineStr">
        <is>
          <t>Bucharest</t>
        </is>
      </c>
      <c r="C1521" t="inlineStr">
        <is>
          <t>Romania</t>
        </is>
      </c>
      <c r="D1521" t="inlineStr">
        <is>
          <t>Southern/Eastern Europe and Eurasia</t>
        </is>
      </c>
      <c r="E1521" t="inlineStr">
        <is>
          <t>personal_safety_raw</t>
        </is>
      </c>
      <c r="F1521" t="inlineStr">
        <is>
          <t>Personal safety raw</t>
        </is>
      </c>
      <c r="G1521" t="inlineStr">
        <is>
          <t>viability</t>
        </is>
      </c>
      <c r="H1521" t="inlineStr">
        <is>
          <t>yes</t>
        </is>
      </c>
      <c r="I1521" t="inlineStr">
        <is>
          <t>1.11</t>
        </is>
      </c>
      <c r="J1521" t="inlineStr">
        <is>
          <t>world_bank</t>
        </is>
      </c>
      <c r="K1521" t="inlineStr">
        <is>
          <t>https://api.worldbank.org/v2/country/ROU/indicator/VC.IHR.PSRC.P5?format=json&amp;mrv=10</t>
        </is>
      </c>
      <c r="L1521" t="inlineStr">
        <is>
          <t>UNODC via World Bank WDI: Intentional homicides (per 100,000 people)</t>
        </is>
      </c>
      <c r="M1521" t="inlineStr">
        <is>
          <t>2023-12-31</t>
        </is>
      </c>
      <c r="N1521" t="inlineStr">
        <is>
          <t>auto_ingest=unodc_safety; indicator=VC.IHR.PSRC.P5; year=2023; country_proxy=Romania</t>
        </is>
      </c>
    </row>
    <row r="1522">
      <c r="A1522" t="inlineStr">
        <is>
          <t>ro-bucharest</t>
        </is>
      </c>
      <c r="B1522" t="inlineStr">
        <is>
          <t>Bucharest</t>
        </is>
      </c>
      <c r="C1522" t="inlineStr">
        <is>
          <t>Romania</t>
        </is>
      </c>
      <c r="D1522" t="inlineStr">
        <is>
          <t>Southern/Eastern Europe and Eurasia</t>
        </is>
      </c>
      <c r="E1522" t="inlineStr">
        <is>
          <t>transit_access_commute_raw</t>
        </is>
      </c>
      <c r="F1522" t="inlineStr">
        <is>
          <t>Transit access and commute raw</t>
        </is>
      </c>
      <c r="G1522" t="inlineStr">
        <is>
          <t>viability</t>
        </is>
      </c>
      <c r="H1522" t="inlineStr">
        <is>
          <t>yes</t>
        </is>
      </c>
      <c r="I1522" t="inlineStr"/>
      <c r="J1522" t="inlineStr"/>
      <c r="K1522" t="inlineStr"/>
      <c r="L1522" t="inlineStr"/>
      <c r="M1522" t="inlineStr"/>
      <c r="N1522" t="inlineStr"/>
    </row>
    <row r="1523">
      <c r="A1523" t="inlineStr">
        <is>
          <t>ro-bucharest</t>
        </is>
      </c>
      <c r="B1523" t="inlineStr">
        <is>
          <t>Bucharest</t>
        </is>
      </c>
      <c r="C1523" t="inlineStr">
        <is>
          <t>Romania</t>
        </is>
      </c>
      <c r="D1523" t="inlineStr">
        <is>
          <t>Southern/Eastern Europe and Eurasia</t>
        </is>
      </c>
      <c r="E1523" t="inlineStr">
        <is>
          <t>clean_air_raw</t>
        </is>
      </c>
      <c r="F1523" t="inlineStr">
        <is>
          <t>Clean air raw</t>
        </is>
      </c>
      <c r="G1523" t="inlineStr">
        <is>
          <t>viability</t>
        </is>
      </c>
      <c r="H1523" t="inlineStr">
        <is>
          <t>yes</t>
        </is>
      </c>
      <c r="I1523" t="inlineStr"/>
      <c r="J1523" t="inlineStr"/>
      <c r="K1523" t="inlineStr"/>
      <c r="L1523" t="inlineStr"/>
      <c r="M1523" t="inlineStr"/>
      <c r="N1523" t="inlineStr"/>
    </row>
    <row r="1524">
      <c r="A1524" t="inlineStr">
        <is>
          <t>ro-bucharest</t>
        </is>
      </c>
      <c r="B1524" t="inlineStr">
        <is>
          <t>Bucharest</t>
        </is>
      </c>
      <c r="C1524" t="inlineStr">
        <is>
          <t>Romania</t>
        </is>
      </c>
      <c r="D1524" t="inlineStr">
        <is>
          <t>Southern/Eastern Europe and Eurasia</t>
        </is>
      </c>
      <c r="E1524" t="inlineStr">
        <is>
          <t>water_sanitation_utility_raw</t>
        </is>
      </c>
      <c r="F1524" t="inlineStr">
        <is>
          <t>Water, sanitation, and utility raw</t>
        </is>
      </c>
      <c r="G1524" t="inlineStr">
        <is>
          <t>viability</t>
        </is>
      </c>
      <c r="H1524" t="inlineStr">
        <is>
          <t>yes</t>
        </is>
      </c>
      <c r="I1524" t="inlineStr">
        <is>
          <t>82.18</t>
        </is>
      </c>
      <c r="J1524" t="inlineStr">
        <is>
          <t>world_bank</t>
        </is>
      </c>
      <c r="K1524" t="inlineStr">
        <is>
          <t>https://api.worldbank.org/v2/country/ROU/indicator/SH.H2O.SMDW.ZS?format=json&amp;mrv=10</t>
        </is>
      </c>
      <c r="L1524" t="inlineStr">
        <is>
          <t>World Bank WDI: People using safely managed drinking water services (% of population)</t>
        </is>
      </c>
      <c r="M1524" t="inlineStr">
        <is>
          <t>2024-12-31</t>
        </is>
      </c>
      <c r="N1524" t="inlineStr">
        <is>
          <t>auto_ingest=world_bank_proxy; indicator=SH.H2O.SMDW.ZS; year=2024; country_proxy=Romania</t>
        </is>
      </c>
    </row>
    <row r="1525">
      <c r="A1525" t="inlineStr">
        <is>
          <t>ro-bucharest</t>
        </is>
      </c>
      <c r="B1525" t="inlineStr">
        <is>
          <t>Bucharest</t>
        </is>
      </c>
      <c r="C1525" t="inlineStr">
        <is>
          <t>Romania</t>
        </is>
      </c>
      <c r="D1525" t="inlineStr">
        <is>
          <t>Southern/Eastern Europe and Eurasia</t>
        </is>
      </c>
      <c r="E1525" t="inlineStr">
        <is>
          <t>digital_infrastructure_raw</t>
        </is>
      </c>
      <c r="F1525" t="inlineStr">
        <is>
          <t>Digital infrastructure raw</t>
        </is>
      </c>
      <c r="G1525" t="inlineStr">
        <is>
          <t>viability</t>
        </is>
      </c>
      <c r="H1525" t="inlineStr">
        <is>
          <t>yes</t>
        </is>
      </c>
      <c r="I1525" t="inlineStr">
        <is>
          <t>34.67</t>
        </is>
      </c>
      <c r="J1525" t="inlineStr">
        <is>
          <t>world_bank</t>
        </is>
      </c>
      <c r="K1525" t="inlineStr">
        <is>
          <t>https://api.worldbank.org/v2/country/ROU/indicator/IT.NET.BBND.P2?format=json&amp;mrv=10</t>
        </is>
      </c>
      <c r="L1525" t="inlineStr">
        <is>
          <t>World Bank WDI: Fixed broadband subscriptions (per 100 people)</t>
        </is>
      </c>
      <c r="M1525" t="inlineStr">
        <is>
          <t>2023-12-31</t>
        </is>
      </c>
      <c r="N1525" t="inlineStr">
        <is>
          <t>auto_ingest=world_bank_proxy; indicator=IT.NET.BBND.P2; year=2023; country_proxy=Romania</t>
        </is>
      </c>
    </row>
    <row r="1526">
      <c r="A1526" t="inlineStr">
        <is>
          <t>ro-bucharest</t>
        </is>
      </c>
      <c r="B1526" t="inlineStr">
        <is>
          <t>Bucharest</t>
        </is>
      </c>
      <c r="C1526" t="inlineStr">
        <is>
          <t>Romania</t>
        </is>
      </c>
      <c r="D1526" t="inlineStr">
        <is>
          <t>Southern/Eastern Europe and Eurasia</t>
        </is>
      </c>
      <c r="E1526" t="inlineStr">
        <is>
          <t>climate_sunlight_livability_raw</t>
        </is>
      </c>
      <c r="F1526" t="inlineStr">
        <is>
          <t>Climate and sunlight livability raw</t>
        </is>
      </c>
      <c r="G1526" t="inlineStr">
        <is>
          <t>viability</t>
        </is>
      </c>
      <c r="H1526" t="inlineStr">
        <is>
          <t>yes</t>
        </is>
      </c>
      <c r="I1526" t="inlineStr">
        <is>
          <t>54</t>
        </is>
      </c>
      <c r="J1526" t="inlineStr">
        <is>
          <t>wmo_natl_met</t>
        </is>
      </c>
      <c r="K1526" t="inlineStr">
        <is>
          <t>https://worldweather.wmo.int</t>
        </is>
      </c>
      <c r="L1526" t="inlineStr">
        <is>
          <t>WMO/National Met: Climate livability composite</t>
        </is>
      </c>
      <c r="M1526" t="inlineStr">
        <is>
          <t>2024-12-31</t>
        </is>
      </c>
      <c r="N1526" t="inlineStr">
        <is>
          <t>auto_seed=climate_composite; 2100 sun hrs, 11C mean</t>
        </is>
      </c>
    </row>
    <row r="1527">
      <c r="A1527" t="inlineStr">
        <is>
          <t>ro-bucharest</t>
        </is>
      </c>
      <c r="B1527" t="inlineStr">
        <is>
          <t>Bucharest</t>
        </is>
      </c>
      <c r="C1527" t="inlineStr">
        <is>
          <t>Romania</t>
        </is>
      </c>
      <c r="D1527" t="inlineStr">
        <is>
          <t>Southern/Eastern Europe and Eurasia</t>
        </is>
      </c>
      <c r="E1527" t="inlineStr">
        <is>
          <t>healthcare_quality_raw</t>
        </is>
      </c>
      <c r="F1527" t="inlineStr">
        <is>
          <t>Healthcare quality raw</t>
        </is>
      </c>
      <c r="G1527" t="inlineStr">
        <is>
          <t>capability</t>
        </is>
      </c>
      <c r="H1527" t="inlineStr">
        <is>
          <t>yes</t>
        </is>
      </c>
      <c r="I1527" t="inlineStr">
        <is>
          <t>77.0</t>
        </is>
      </c>
      <c r="J1527" t="inlineStr">
        <is>
          <t>who_gho</t>
        </is>
      </c>
      <c r="K1527" t="inlineStr">
        <is>
          <t>https://www.who.int/data/gho/data/indicators/indicator-details/GHO/UHC_INDEX_REPORTED</t>
        </is>
      </c>
      <c r="L1527" t="inlineStr">
        <is>
          <t>WHO GHO: UHC Service Coverage Index</t>
        </is>
      </c>
      <c r="M1527" t="inlineStr">
        <is>
          <t>2023-12-31</t>
        </is>
      </c>
      <c r="N1527" t="inlineStr">
        <is>
          <t>auto_ingest=who_gho; indicator=UHC_INDEX_REPORTED; year=2023; country_proxy=Romania</t>
        </is>
      </c>
    </row>
    <row r="1528">
      <c r="A1528" t="inlineStr">
        <is>
          <t>ro-bucharest</t>
        </is>
      </c>
      <c r="B1528" t="inlineStr">
        <is>
          <t>Bucharest</t>
        </is>
      </c>
      <c r="C1528" t="inlineStr">
        <is>
          <t>Romania</t>
        </is>
      </c>
      <c r="D1528" t="inlineStr">
        <is>
          <t>Southern/Eastern Europe and Eurasia</t>
        </is>
      </c>
      <c r="E1528" t="inlineStr">
        <is>
          <t>education_quality_raw</t>
        </is>
      </c>
      <c r="F1528" t="inlineStr">
        <is>
          <t>Education quality raw</t>
        </is>
      </c>
      <c r="G1528" t="inlineStr">
        <is>
          <t>capability</t>
        </is>
      </c>
      <c r="H1528" t="inlineStr">
        <is>
          <t>yes</t>
        </is>
      </c>
      <c r="I1528" t="inlineStr">
        <is>
          <t>55.17</t>
        </is>
      </c>
      <c r="J1528" t="inlineStr">
        <is>
          <t>world_bank</t>
        </is>
      </c>
      <c r="K1528" t="inlineStr">
        <is>
          <t>https://api.worldbank.org/v2/country/ROU/indicator/SE.TER.ENRR?format=json&amp;mrv=10</t>
        </is>
      </c>
      <c r="L1528" t="inlineStr">
        <is>
          <t>World Bank WDI: School enrollment, tertiary (% gross)</t>
        </is>
      </c>
      <c r="M1528" t="inlineStr">
        <is>
          <t>2023-12-31</t>
        </is>
      </c>
      <c r="N1528" t="inlineStr">
        <is>
          <t>auto_ingest=world_bank_proxy; indicator=SE.TER.ENRR; year=2023; country_proxy=Romania</t>
        </is>
      </c>
    </row>
    <row r="1529">
      <c r="A1529" t="inlineStr">
        <is>
          <t>ro-bucharest</t>
        </is>
      </c>
      <c r="B1529" t="inlineStr">
        <is>
          <t>Bucharest</t>
        </is>
      </c>
      <c r="C1529" t="inlineStr">
        <is>
          <t>Romania</t>
        </is>
      </c>
      <c r="D1529" t="inlineStr">
        <is>
          <t>Southern/Eastern Europe and Eurasia</t>
        </is>
      </c>
      <c r="E1529" t="inlineStr">
        <is>
          <t>equal_opportunity_raw</t>
        </is>
      </c>
      <c r="F1529" t="inlineStr">
        <is>
          <t>Equal opportunity raw</t>
        </is>
      </c>
      <c r="G1529" t="inlineStr">
        <is>
          <t>capability</t>
        </is>
      </c>
      <c r="H1529" t="inlineStr">
        <is>
          <t>yes</t>
        </is>
      </c>
      <c r="I1529" t="inlineStr">
        <is>
          <t>29.8</t>
        </is>
      </c>
      <c r="J1529" t="inlineStr">
        <is>
          <t>world_bank</t>
        </is>
      </c>
      <c r="K1529" t="inlineStr">
        <is>
          <t>https://api.worldbank.org/v2/country/ROU/indicator/SI.POV.GINI?format=json&amp;mrv=10</t>
        </is>
      </c>
      <c r="L1529" t="inlineStr">
        <is>
          <t>World Bank WDI: Gini index</t>
        </is>
      </c>
      <c r="M1529" t="inlineStr">
        <is>
          <t>2023-12-31</t>
        </is>
      </c>
      <c r="N1529" t="inlineStr">
        <is>
          <t>auto_ingest=world_bank_capability; indicator=SI.POV.GINI; year=2023; country_proxy=Romania</t>
        </is>
      </c>
    </row>
    <row r="1530">
      <c r="A1530" t="inlineStr">
        <is>
          <t>ro-bucharest</t>
        </is>
      </c>
      <c r="B1530" t="inlineStr">
        <is>
          <t>Bucharest</t>
        </is>
      </c>
      <c r="C1530" t="inlineStr">
        <is>
          <t>Romania</t>
        </is>
      </c>
      <c r="D1530" t="inlineStr">
        <is>
          <t>Southern/Eastern Europe and Eurasia</t>
        </is>
      </c>
      <c r="E1530" t="inlineStr">
        <is>
          <t>hospitality_belonging_raw</t>
        </is>
      </c>
      <c r="F1530" t="inlineStr">
        <is>
          <t>Hospitality and belonging raw</t>
        </is>
      </c>
      <c r="G1530" t="inlineStr">
        <is>
          <t>community</t>
        </is>
      </c>
      <c r="H1530" t="inlineStr">
        <is>
          <t>yes</t>
        </is>
      </c>
      <c r="I1530" t="inlineStr">
        <is>
          <t>48.48</t>
        </is>
      </c>
      <c r="J1530" t="inlineStr">
        <is>
          <t>world_bank</t>
        </is>
      </c>
      <c r="K1530" t="inlineStr">
        <is>
          <t>https://api.worldbank.org/v2/country/ROU/indicator/SM.POP.NETM?format=json&amp;mrv=10</t>
        </is>
      </c>
      <c r="L1530" t="inlineStr">
        <is>
          <t>World Bank WDI: Net migration (proxy for hospitality/belonging — positive = welcoming)</t>
        </is>
      </c>
      <c r="M1530" t="inlineStr">
        <is>
          <t>2025-12-31</t>
        </is>
      </c>
      <c r="N1530" t="inlineStr">
        <is>
          <t>auto_ingest=world_bank_proxy; proxy=net_migration_hospitality; indicator=SM.POP.NETM; year=2025; country_proxy=Romania</t>
        </is>
      </c>
    </row>
    <row r="1531">
      <c r="A1531" t="inlineStr">
        <is>
          <t>ro-bucharest</t>
        </is>
      </c>
      <c r="B1531" t="inlineStr">
        <is>
          <t>Bucharest</t>
        </is>
      </c>
      <c r="C1531" t="inlineStr">
        <is>
          <t>Romania</t>
        </is>
      </c>
      <c r="D1531" t="inlineStr">
        <is>
          <t>Southern/Eastern Europe and Eurasia</t>
        </is>
      </c>
      <c r="E1531" t="inlineStr">
        <is>
          <t>tolerance_pluralism_raw</t>
        </is>
      </c>
      <c r="F1531" t="inlineStr">
        <is>
          <t>Tolerance and pluralism raw</t>
        </is>
      </c>
      <c r="G1531" t="inlineStr">
        <is>
          <t>community</t>
        </is>
      </c>
      <c r="H1531" t="inlineStr">
        <is>
          <t>yes</t>
        </is>
      </c>
      <c r="I1531" t="inlineStr">
        <is>
          <t>19.21</t>
        </is>
      </c>
      <c r="J1531" t="inlineStr">
        <is>
          <t>world_bank</t>
        </is>
      </c>
      <c r="K1531" t="inlineStr">
        <is>
          <t>https://api.worldbank.org/v2/country/ROU/indicator/SG.GEN.PARL.ZS?format=json&amp;mrv=10</t>
        </is>
      </c>
      <c r="L1531" t="inlineStr">
        <is>
          <t>World Bank WDI: Proportion of seats held by women in national parliaments (%)</t>
        </is>
      </c>
      <c r="M1531" t="inlineStr">
        <is>
          <t>2024-12-31</t>
        </is>
      </c>
      <c r="N1531" t="inlineStr">
        <is>
          <t>auto_ingest=world_bank_proxy; proxy=gender_parity_parliament; indicator=SG.GEN.PARL.ZS; year=2024; country_proxy=Romania</t>
        </is>
      </c>
    </row>
    <row r="1532">
      <c r="A1532" t="inlineStr">
        <is>
          <t>ro-bucharest</t>
        </is>
      </c>
      <c r="B1532" t="inlineStr">
        <is>
          <t>Bucharest</t>
        </is>
      </c>
      <c r="C1532" t="inlineStr">
        <is>
          <t>Romania</t>
        </is>
      </c>
      <c r="D1532" t="inlineStr">
        <is>
          <t>Southern/Eastern Europe and Eurasia</t>
        </is>
      </c>
      <c r="E1532" t="inlineStr">
        <is>
          <t>cultural_public_life_raw</t>
        </is>
      </c>
      <c r="F1532" t="inlineStr">
        <is>
          <t>Cultural public life raw</t>
        </is>
      </c>
      <c r="G1532" t="inlineStr">
        <is>
          <t>community</t>
        </is>
      </c>
      <c r="H1532" t="inlineStr">
        <is>
          <t>yes</t>
        </is>
      </c>
      <c r="I1532" t="inlineStr">
        <is>
          <t>263.65</t>
        </is>
      </c>
      <c r="J1532" t="inlineStr">
        <is>
          <t>world_bank</t>
        </is>
      </c>
      <c r="K1532" t="inlineStr">
        <is>
          <t>https://api.worldbank.org/v2/country/ROU/indicator/ST.INT.ARVL?format=json&amp;mrv=10</t>
        </is>
      </c>
      <c r="L1532" t="inlineStr">
        <is>
          <t>World Bank WDI: International tourism arrivals per 1 000 population</t>
        </is>
      </c>
      <c r="M1532" t="inlineStr">
        <is>
          <t>2020-12-31</t>
        </is>
      </c>
      <c r="N1532" t="inlineStr">
        <is>
          <t>auto_ingest=cultural_life_proxy; indicator=ST.INT.ARVL; norm=per_1000_pop; year=2020; country_proxy=Romania</t>
        </is>
      </c>
    </row>
    <row r="1533">
      <c r="A1533" t="inlineStr">
        <is>
          <t>ro-bucharest</t>
        </is>
      </c>
      <c r="B1533" t="inlineStr">
        <is>
          <t>Bucharest</t>
        </is>
      </c>
      <c r="C1533" t="inlineStr">
        <is>
          <t>Romania</t>
        </is>
      </c>
      <c r="D1533" t="inlineStr">
        <is>
          <t>Southern/Eastern Europe and Eurasia</t>
        </is>
      </c>
      <c r="E1533" t="inlineStr">
        <is>
          <t>birth_rate_optimism_raw</t>
        </is>
      </c>
      <c r="F1533" t="inlineStr">
        <is>
          <t>Birth rate and societal optimism raw</t>
        </is>
      </c>
      <c r="G1533" t="inlineStr">
        <is>
          <t>community</t>
        </is>
      </c>
      <c r="H1533" t="inlineStr">
        <is>
          <t>yes</t>
        </is>
      </c>
      <c r="I1533" t="inlineStr"/>
      <c r="J1533" t="inlineStr"/>
      <c r="K1533" t="inlineStr"/>
      <c r="L1533" t="inlineStr"/>
      <c r="M1533" t="inlineStr"/>
      <c r="N1533" t="inlineStr"/>
    </row>
    <row r="1534">
      <c r="A1534" t="inlineStr">
        <is>
          <t>ro-bucharest</t>
        </is>
      </c>
      <c r="B1534" t="inlineStr">
        <is>
          <t>Bucharest</t>
        </is>
      </c>
      <c r="C1534" t="inlineStr">
        <is>
          <t>Romania</t>
        </is>
      </c>
      <c r="D1534" t="inlineStr">
        <is>
          <t>Southern/Eastern Europe and Eurasia</t>
        </is>
      </c>
      <c r="E1534" t="inlineStr">
        <is>
          <t>entrepreneurial_dynamism_raw</t>
        </is>
      </c>
      <c r="F1534" t="inlineStr">
        <is>
          <t>Entrepreneurial dynamism raw</t>
        </is>
      </c>
      <c r="G1534" t="inlineStr">
        <is>
          <t>creative</t>
        </is>
      </c>
      <c r="H1534" t="inlineStr">
        <is>
          <t>yes</t>
        </is>
      </c>
      <c r="I1534" t="inlineStr">
        <is>
          <t>9.18</t>
        </is>
      </c>
      <c r="J1534" t="inlineStr">
        <is>
          <t>world_bank</t>
        </is>
      </c>
      <c r="K1534" t="inlineStr">
        <is>
          <t>https://api.worldbank.org/v2/country/ROU/indicator/IC.BUS.NDNS.ZS?format=json&amp;mrv=10</t>
        </is>
      </c>
      <c r="L1534" t="inlineStr">
        <is>
          <t>World Bank WDI: New business density (new registrations per 1,000 people ages 15-64)</t>
        </is>
      </c>
      <c r="M1534" t="inlineStr">
        <is>
          <t>2022-12-31</t>
        </is>
      </c>
      <c r="N1534" t="inlineStr">
        <is>
          <t>auto_ingest=world_bank_creative_extended; indicator=IC.BUS.NDNS.ZS; year=2022; country_proxy=Romania</t>
        </is>
      </c>
    </row>
    <row r="1535">
      <c r="A1535" t="inlineStr">
        <is>
          <t>ro-bucharest</t>
        </is>
      </c>
      <c r="B1535" t="inlineStr">
        <is>
          <t>Bucharest</t>
        </is>
      </c>
      <c r="C1535" t="inlineStr">
        <is>
          <t>Romania</t>
        </is>
      </c>
      <c r="D1535" t="inlineStr">
        <is>
          <t>Southern/Eastern Europe and Eurasia</t>
        </is>
      </c>
      <c r="E1535" t="inlineStr">
        <is>
          <t>innovation_research_intensity_raw</t>
        </is>
      </c>
      <c r="F1535" t="inlineStr">
        <is>
          <t>Innovation and research raw</t>
        </is>
      </c>
      <c r="G1535" t="inlineStr">
        <is>
          <t>creative</t>
        </is>
      </c>
      <c r="H1535" t="inlineStr">
        <is>
          <t>yes</t>
        </is>
      </c>
      <c r="I1535" t="inlineStr">
        <is>
          <t>0.46</t>
        </is>
      </c>
      <c r="J1535" t="inlineStr">
        <is>
          <t>world_bank</t>
        </is>
      </c>
      <c r="K1535" t="inlineStr">
        <is>
          <t>https://api.worldbank.org/v2/country/ROU/indicator/GB.XPD.RSDV.GD.ZS?format=json&amp;mrv=10</t>
        </is>
      </c>
      <c r="L1535" t="inlineStr">
        <is>
          <t>World Bank WDI: Research and development expenditure (% of GDP)</t>
        </is>
      </c>
      <c r="M1535" t="inlineStr">
        <is>
          <t>2022-12-31</t>
        </is>
      </c>
      <c r="N1535" t="inlineStr">
        <is>
          <t>auto_ingest=world_bank_creative_extended; indicator=GB.XPD.RSDV.GD.ZS; year=2022; country_proxy=Romania</t>
        </is>
      </c>
    </row>
    <row r="1536">
      <c r="A1536" t="inlineStr">
        <is>
          <t>ro-bucharest</t>
        </is>
      </c>
      <c r="B1536" t="inlineStr">
        <is>
          <t>Bucharest</t>
        </is>
      </c>
      <c r="C1536" t="inlineStr">
        <is>
          <t>Romania</t>
        </is>
      </c>
      <c r="D1536" t="inlineStr">
        <is>
          <t>Southern/Eastern Europe and Eurasia</t>
        </is>
      </c>
      <c r="E1536" t="inlineStr">
        <is>
          <t>investment_signal_raw</t>
        </is>
      </c>
      <c r="F1536" t="inlineStr">
        <is>
          <t>Investment signal raw</t>
        </is>
      </c>
      <c r="G1536" t="inlineStr">
        <is>
          <t>creative</t>
        </is>
      </c>
      <c r="H1536" t="inlineStr">
        <is>
          <t>yes</t>
        </is>
      </c>
      <c r="I1536" t="inlineStr">
        <is>
          <t>1.87</t>
        </is>
      </c>
      <c r="J1536" t="inlineStr">
        <is>
          <t>world_bank</t>
        </is>
      </c>
      <c r="K1536" t="inlineStr">
        <is>
          <t>https://api.worldbank.org/v2/country/ROU/indicator/BX.KLT.DINV.WD.GD.ZS?format=json&amp;mrv=10</t>
        </is>
      </c>
      <c r="L1536" t="inlineStr">
        <is>
          <t>World Bank WDI: Foreign direct investment, net inflows (% of GDP)</t>
        </is>
      </c>
      <c r="M1536" t="inlineStr">
        <is>
          <t>2024-12-31</t>
        </is>
      </c>
      <c r="N1536" t="inlineStr">
        <is>
          <t>auto_ingest=world_bank_creative_extended; indicator=BX.KLT.DINV.WD.GD.ZS; year=2024; country_proxy=Romania</t>
        </is>
      </c>
    </row>
    <row r="1537">
      <c r="A1537" t="inlineStr">
        <is>
          <t>ro-bucharest</t>
        </is>
      </c>
      <c r="B1537" t="inlineStr">
        <is>
          <t>Bucharest</t>
        </is>
      </c>
      <c r="C1537" t="inlineStr">
        <is>
          <t>Romania</t>
        </is>
      </c>
      <c r="D1537" t="inlineStr">
        <is>
          <t>Southern/Eastern Europe and Eurasia</t>
        </is>
      </c>
      <c r="E1537" t="inlineStr">
        <is>
          <t>administrative_investment_friction_raw</t>
        </is>
      </c>
      <c r="F1537" t="inlineStr">
        <is>
          <t>Administrative investment friction raw</t>
        </is>
      </c>
      <c r="G1537" t="inlineStr">
        <is>
          <t>creative</t>
        </is>
      </c>
      <c r="H1537" t="inlineStr">
        <is>
          <t>yes</t>
        </is>
      </c>
      <c r="I1537" t="inlineStr">
        <is>
          <t>2.18</t>
        </is>
      </c>
      <c r="J1537" t="inlineStr">
        <is>
          <t>world_bank</t>
        </is>
      </c>
      <c r="K1537" t="inlineStr">
        <is>
          <t>https://api.worldbank.org/v2/country/ROU/indicator/RQ.EST?format=json&amp;mrv=10</t>
        </is>
      </c>
      <c r="L1537" t="inlineStr">
        <is>
          <t>World Bank WGI: Regulatory Quality (inverted as friction proxy)</t>
        </is>
      </c>
      <c r="M1537" t="inlineStr">
        <is>
          <t>2023-12-31</t>
        </is>
      </c>
      <c r="N1537" t="inlineStr">
        <is>
          <t>auto_ingest=world_bank_business_friction; indicator=RQ.EST; raw_rq=0.318900614976883; friction=2.18; year=2023; country_proxy=Romania</t>
        </is>
      </c>
    </row>
    <row r="1538">
      <c r="A1538" t="inlineStr">
        <is>
          <t>ro-bucharest</t>
        </is>
      </c>
      <c r="B1538" t="inlineStr">
        <is>
          <t>Bucharest</t>
        </is>
      </c>
      <c r="C1538" t="inlineStr">
        <is>
          <t>Romania</t>
        </is>
      </c>
      <c r="D1538" t="inlineStr">
        <is>
          <t>Southern/Eastern Europe and Eurasia</t>
        </is>
      </c>
      <c r="E1538" t="inlineStr">
        <is>
          <t>visitor_flow_context_raw</t>
        </is>
      </c>
      <c r="F1538" t="inlineStr">
        <is>
          <t>Visitor flow context raw</t>
        </is>
      </c>
      <c r="G1538" t="inlineStr">
        <is>
          <t>creative</t>
        </is>
      </c>
      <c r="H1538" t="inlineStr">
        <is>
          <t>no</t>
        </is>
      </c>
      <c r="I1538" t="inlineStr"/>
      <c r="J1538" t="inlineStr"/>
      <c r="K1538" t="inlineStr"/>
      <c r="L1538" t="inlineStr"/>
      <c r="M1538" t="inlineStr"/>
      <c r="N1538" t="inlineStr"/>
    </row>
    <row r="1539">
      <c r="A1539" t="inlineStr">
        <is>
          <t>rs-belgrade</t>
        </is>
      </c>
      <c r="B1539" t="inlineStr">
        <is>
          <t>Belgrade</t>
        </is>
      </c>
      <c r="C1539" t="inlineStr">
        <is>
          <t>Serbia</t>
        </is>
      </c>
      <c r="D1539" t="inlineStr">
        <is>
          <t>Southern/Eastern Europe and Eurasia</t>
        </is>
      </c>
      <c r="E1539" t="inlineStr">
        <is>
          <t>gross_income</t>
        </is>
      </c>
      <c r="F1539" t="inlineStr">
        <is>
          <t>Gross income</t>
        </is>
      </c>
      <c r="G1539" t="inlineStr">
        <is>
          <t>pressure</t>
        </is>
      </c>
      <c r="H1539" t="inlineStr">
        <is>
          <t>yes</t>
        </is>
      </c>
      <c r="I1539" t="inlineStr">
        <is>
          <t>2564.17</t>
        </is>
      </c>
      <c r="J1539" t="inlineStr">
        <is>
          <t>world_bank_col_estimate</t>
        </is>
      </c>
      <c r="K1539" t="inlineStr">
        <is>
          <t>https://api.worldbank.org/v2/country/SRB/indicator/NY.GNP.PCAP.PP.CD?format=json&amp;mrv=10</t>
        </is>
      </c>
      <c r="L1539" t="inlineStr">
        <is>
          <t>World Bank WDI: GNI per capita PPP (monthly USD)</t>
        </is>
      </c>
      <c r="M1539" t="inlineStr">
        <is>
          <t>2024-12-31</t>
        </is>
      </c>
      <c r="N1539" t="inlineStr">
        <is>
          <t>auto_ingest=world_bank_col_estimate; gni_annual=30770.0; year=2024; country_proxy=Serbia; cohort=Southern/Eastern Europe and Eurasia</t>
        </is>
      </c>
    </row>
    <row r="1540">
      <c r="A1540" t="inlineStr">
        <is>
          <t>rs-belgrade</t>
        </is>
      </c>
      <c r="B1540" t="inlineStr">
        <is>
          <t>Belgrade</t>
        </is>
      </c>
      <c r="C1540" t="inlineStr">
        <is>
          <t>Serbia</t>
        </is>
      </c>
      <c r="D1540" t="inlineStr">
        <is>
          <t>Southern/Eastern Europe and Eurasia</t>
        </is>
      </c>
      <c r="E1540" t="inlineStr">
        <is>
          <t>di_ppp_raw</t>
        </is>
      </c>
      <c r="F1540" t="inlineStr">
        <is>
          <t>Disposable income PPP (Raw)</t>
        </is>
      </c>
      <c r="G1540" t="inlineStr">
        <is>
          <t>pressure</t>
        </is>
      </c>
      <c r="H1540" t="inlineStr">
        <is>
          <t>yes</t>
        </is>
      </c>
      <c r="I1540" t="inlineStr"/>
      <c r="J1540" t="inlineStr"/>
      <c r="K1540" t="inlineStr"/>
      <c r="L1540" t="inlineStr"/>
      <c r="M1540" t="inlineStr"/>
      <c r="N1540" t="inlineStr"/>
    </row>
    <row r="1541">
      <c r="A1541" t="inlineStr">
        <is>
          <t>rs-belgrade</t>
        </is>
      </c>
      <c r="B1541" t="inlineStr">
        <is>
          <t>Belgrade</t>
        </is>
      </c>
      <c r="C1541" t="inlineStr">
        <is>
          <t>Serbia</t>
        </is>
      </c>
      <c r="D1541" t="inlineStr">
        <is>
          <t>Southern/Eastern Europe and Eurasia</t>
        </is>
      </c>
      <c r="E1541" t="inlineStr">
        <is>
          <t>rent</t>
        </is>
      </c>
      <c r="F1541" t="inlineStr">
        <is>
          <t>Rent</t>
        </is>
      </c>
      <c r="G1541" t="inlineStr">
        <is>
          <t>pressure</t>
        </is>
      </c>
      <c r="H1541" t="inlineStr">
        <is>
          <t>yes</t>
        </is>
      </c>
      <c r="I1541" t="inlineStr">
        <is>
          <t>608.99</t>
        </is>
      </c>
      <c r="J1541" t="inlineStr">
        <is>
          <t>world_bank_col_estimate</t>
        </is>
      </c>
      <c r="K1541" t="inlineStr">
        <is>
          <t>https://api.worldbank.org/v2/country/SRB/indicator/NY.GNP.PCAP.PP.CD?format=json&amp;mrv=10</t>
        </is>
      </c>
      <c r="L1541" t="inlineStr">
        <is>
          <t>World Bank GNI + regional expenditure ratio estimate</t>
        </is>
      </c>
      <c r="M1541" t="inlineStr">
        <is>
          <t>2024-12-31</t>
        </is>
      </c>
      <c r="N1541" t="inlineStr">
        <is>
          <t>auto_ingest=world_bank_col_estimate; gni_annual=30770.0; year=2024; country_proxy=Serbia; cohort=Southern/Eastern Europe and Eurasia; city_cost_mult=0.95</t>
        </is>
      </c>
    </row>
    <row r="1542">
      <c r="A1542" t="inlineStr">
        <is>
          <t>rs-belgrade</t>
        </is>
      </c>
      <c r="B1542" t="inlineStr">
        <is>
          <t>Belgrade</t>
        </is>
      </c>
      <c r="C1542" t="inlineStr">
        <is>
          <t>Serbia</t>
        </is>
      </c>
      <c r="D1542" t="inlineStr">
        <is>
          <t>Southern/Eastern Europe and Eurasia</t>
        </is>
      </c>
      <c r="E1542" t="inlineStr">
        <is>
          <t>utilities</t>
        </is>
      </c>
      <c r="F1542" t="inlineStr">
        <is>
          <t>Utilities</t>
        </is>
      </c>
      <c r="G1542" t="inlineStr">
        <is>
          <t>pressure</t>
        </is>
      </c>
      <c r="H1542" t="inlineStr">
        <is>
          <t>yes</t>
        </is>
      </c>
      <c r="I1542" t="inlineStr">
        <is>
          <t>194.88</t>
        </is>
      </c>
      <c r="J1542" t="inlineStr">
        <is>
          <t>world_bank_col_estimate</t>
        </is>
      </c>
      <c r="K1542" t="inlineStr">
        <is>
          <t>https://api.worldbank.org/v2/country/SRB/indicator/NY.GNP.PCAP.PP.CD?format=json&amp;mrv=10</t>
        </is>
      </c>
      <c r="L1542" t="inlineStr">
        <is>
          <t>World Bank GNI + regional expenditure ratio estimate</t>
        </is>
      </c>
      <c r="M1542" t="inlineStr">
        <is>
          <t>2024-12-31</t>
        </is>
      </c>
      <c r="N1542" t="inlineStr">
        <is>
          <t>auto_ingest=world_bank_col_estimate; gni_annual=30770.0; year=2024; country_proxy=Serbia; cohort=Southern/Eastern Europe and Eurasia; city_cost_mult=0.95</t>
        </is>
      </c>
    </row>
    <row r="1543">
      <c r="A1543" t="inlineStr">
        <is>
          <t>rs-belgrade</t>
        </is>
      </c>
      <c r="B1543" t="inlineStr">
        <is>
          <t>Belgrade</t>
        </is>
      </c>
      <c r="C1543" t="inlineStr">
        <is>
          <t>Serbia</t>
        </is>
      </c>
      <c r="D1543" t="inlineStr">
        <is>
          <t>Southern/Eastern Europe and Eurasia</t>
        </is>
      </c>
      <c r="E1543" t="inlineStr">
        <is>
          <t>transit_cost</t>
        </is>
      </c>
      <c r="F1543" t="inlineStr">
        <is>
          <t>Transit cost</t>
        </is>
      </c>
      <c r="G1543" t="inlineStr">
        <is>
          <t>pressure</t>
        </is>
      </c>
      <c r="H1543" t="inlineStr">
        <is>
          <t>yes</t>
        </is>
      </c>
      <c r="I1543" t="inlineStr">
        <is>
          <t>97.44</t>
        </is>
      </c>
      <c r="J1543" t="inlineStr">
        <is>
          <t>world_bank_col_estimate</t>
        </is>
      </c>
      <c r="K1543" t="inlineStr">
        <is>
          <t>https://api.worldbank.org/v2/country/SRB/indicator/NY.GNP.PCAP.PP.CD?format=json&amp;mrv=10</t>
        </is>
      </c>
      <c r="L1543" t="inlineStr">
        <is>
          <t>World Bank GNI + regional expenditure ratio estimate</t>
        </is>
      </c>
      <c r="M1543" t="inlineStr">
        <is>
          <t>2024-12-31</t>
        </is>
      </c>
      <c r="N1543" t="inlineStr">
        <is>
          <t>auto_ingest=world_bank_col_estimate; gni_annual=30770.0; year=2024; country_proxy=Serbia; cohort=Southern/Eastern Europe and Eurasia; city_cost_mult=0.95</t>
        </is>
      </c>
    </row>
    <row r="1544">
      <c r="A1544" t="inlineStr">
        <is>
          <t>rs-belgrade</t>
        </is>
      </c>
      <c r="B1544" t="inlineStr">
        <is>
          <t>Belgrade</t>
        </is>
      </c>
      <c r="C1544" t="inlineStr">
        <is>
          <t>Serbia</t>
        </is>
      </c>
      <c r="D1544" t="inlineStr">
        <is>
          <t>Southern/Eastern Europe and Eurasia</t>
        </is>
      </c>
      <c r="E1544" t="inlineStr">
        <is>
          <t>internet_cost</t>
        </is>
      </c>
      <c r="F1544" t="inlineStr">
        <is>
          <t>Internet cost</t>
        </is>
      </c>
      <c r="G1544" t="inlineStr">
        <is>
          <t>pressure</t>
        </is>
      </c>
      <c r="H1544" t="inlineStr">
        <is>
          <t>yes</t>
        </is>
      </c>
      <c r="I1544" t="inlineStr">
        <is>
          <t>36.54</t>
        </is>
      </c>
      <c r="J1544" t="inlineStr">
        <is>
          <t>world_bank_col_estimate</t>
        </is>
      </c>
      <c r="K1544" t="inlineStr">
        <is>
          <t>https://api.worldbank.org/v2/country/SRB/indicator/NY.GNP.PCAP.PP.CD?format=json&amp;mrv=10</t>
        </is>
      </c>
      <c r="L1544" t="inlineStr">
        <is>
          <t>World Bank GNI + regional expenditure ratio estimate</t>
        </is>
      </c>
      <c r="M1544" t="inlineStr">
        <is>
          <t>2024-12-31</t>
        </is>
      </c>
      <c r="N1544" t="inlineStr">
        <is>
          <t>auto_ingest=world_bank_col_estimate; gni_annual=30770.0; year=2024; country_proxy=Serbia; cohort=Southern/Eastern Europe and Eurasia; city_cost_mult=0.95</t>
        </is>
      </c>
    </row>
    <row r="1545">
      <c r="A1545" t="inlineStr">
        <is>
          <t>rs-belgrade</t>
        </is>
      </c>
      <c r="B1545" t="inlineStr">
        <is>
          <t>Belgrade</t>
        </is>
      </c>
      <c r="C1545" t="inlineStr">
        <is>
          <t>Serbia</t>
        </is>
      </c>
      <c r="D1545" t="inlineStr">
        <is>
          <t>Southern/Eastern Europe and Eurasia</t>
        </is>
      </c>
      <c r="E1545" t="inlineStr">
        <is>
          <t>food_cost</t>
        </is>
      </c>
      <c r="F1545" t="inlineStr">
        <is>
          <t>Food cost</t>
        </is>
      </c>
      <c r="G1545" t="inlineStr">
        <is>
          <t>pressure</t>
        </is>
      </c>
      <c r="H1545" t="inlineStr">
        <is>
          <t>yes</t>
        </is>
      </c>
      <c r="I1545" t="inlineStr">
        <is>
          <t>487.19</t>
        </is>
      </c>
      <c r="J1545" t="inlineStr">
        <is>
          <t>world_bank_col_estimate</t>
        </is>
      </c>
      <c r="K1545" t="inlineStr">
        <is>
          <t>https://api.worldbank.org/v2/country/SRB/indicator/NY.GNP.PCAP.PP.CD?format=json&amp;mrv=10</t>
        </is>
      </c>
      <c r="L1545" t="inlineStr">
        <is>
          <t>World Bank GNI + regional expenditure ratio estimate</t>
        </is>
      </c>
      <c r="M1545" t="inlineStr">
        <is>
          <t>2024-12-31</t>
        </is>
      </c>
      <c r="N1545" t="inlineStr">
        <is>
          <t>auto_ingest=world_bank_col_estimate; gni_annual=30770.0; year=2024; country_proxy=Serbia; cohort=Southern/Eastern Europe and Eurasia; city_cost_mult=0.95</t>
        </is>
      </c>
    </row>
    <row r="1546">
      <c r="A1546" t="inlineStr">
        <is>
          <t>rs-belgrade</t>
        </is>
      </c>
      <c r="B1546" t="inlineStr">
        <is>
          <t>Belgrade</t>
        </is>
      </c>
      <c r="C1546" t="inlineStr">
        <is>
          <t>Serbia</t>
        </is>
      </c>
      <c r="D1546" t="inlineStr">
        <is>
          <t>Southern/Eastern Europe and Eurasia</t>
        </is>
      </c>
      <c r="E1546" t="inlineStr">
        <is>
          <t>housing_burden_raw</t>
        </is>
      </c>
      <c r="F1546" t="inlineStr">
        <is>
          <t>Housing burden raw</t>
        </is>
      </c>
      <c r="G1546" t="inlineStr">
        <is>
          <t>pressure</t>
        </is>
      </c>
      <c r="H1546" t="inlineStr">
        <is>
          <t>yes</t>
        </is>
      </c>
      <c r="I1546" t="inlineStr">
        <is>
          <t>23.75</t>
        </is>
      </c>
      <c r="J1546" t="inlineStr">
        <is>
          <t>derived</t>
        </is>
      </c>
      <c r="K1546" t="inlineStr">
        <is>
          <t>https://data.worldbank.org/indicator/NY.GNP.PCAP.PP.CD</t>
        </is>
      </c>
      <c r="L1546" t="inlineStr">
        <is>
          <t>Computed from city_inputs + country_context</t>
        </is>
      </c>
      <c r="M1546" t="inlineStr">
        <is>
          <t>2024-01-01</t>
        </is>
      </c>
      <c r="N1546" t="inlineStr">
        <is>
          <t>derived=rent/gross_income*100</t>
        </is>
      </c>
    </row>
    <row r="1547">
      <c r="A1547" t="inlineStr">
        <is>
          <t>rs-belgrade</t>
        </is>
      </c>
      <c r="B1547" t="inlineStr">
        <is>
          <t>Belgrade</t>
        </is>
      </c>
      <c r="C1547" t="inlineStr">
        <is>
          <t>Serbia</t>
        </is>
      </c>
      <c r="D1547" t="inlineStr">
        <is>
          <t>Southern/Eastern Europe and Eurasia</t>
        </is>
      </c>
      <c r="E1547" t="inlineStr">
        <is>
          <t>household_debt_burden_raw</t>
        </is>
      </c>
      <c r="F1547" t="inlineStr">
        <is>
          <t>Household debt burden raw</t>
        </is>
      </c>
      <c r="G1547" t="inlineStr">
        <is>
          <t>pressure</t>
        </is>
      </c>
      <c r="H1547" t="inlineStr">
        <is>
          <t>yes</t>
        </is>
      </c>
      <c r="I1547" t="inlineStr">
        <is>
          <t>32.6048</t>
        </is>
      </c>
      <c r="J1547" t="inlineStr">
        <is>
          <t>derived</t>
        </is>
      </c>
      <c r="K1547" t="inlineStr">
        <is>
          <t>https://data.worldbank.org/indicator/NY.GNP.PCAP.PP.CD</t>
        </is>
      </c>
      <c r="L1547" t="inlineStr">
        <is>
          <t>Computed from city_inputs + country_context</t>
        </is>
      </c>
      <c r="M1547" t="inlineStr">
        <is>
          <t>2024-01-01</t>
        </is>
      </c>
      <c r="N1547" t="inlineStr">
        <is>
          <t>derived=country_context.household_debt_proxy; country=Serbia</t>
        </is>
      </c>
    </row>
    <row r="1548">
      <c r="A1548" t="inlineStr">
        <is>
          <t>rs-belgrade</t>
        </is>
      </c>
      <c r="B1548" t="inlineStr">
        <is>
          <t>Belgrade</t>
        </is>
      </c>
      <c r="C1548" t="inlineStr">
        <is>
          <t>Serbia</t>
        </is>
      </c>
      <c r="D1548" t="inlineStr">
        <is>
          <t>Southern/Eastern Europe and Eurasia</t>
        </is>
      </c>
      <c r="E1548" t="inlineStr">
        <is>
          <t>working_time_pressure_raw</t>
        </is>
      </c>
      <c r="F1548" t="inlineStr">
        <is>
          <t>Working time pressure raw</t>
        </is>
      </c>
      <c r="G1548" t="inlineStr">
        <is>
          <t>pressure</t>
        </is>
      </c>
      <c r="H1548" t="inlineStr">
        <is>
          <t>yes</t>
        </is>
      </c>
      <c r="I1548" t="inlineStr">
        <is>
          <t>40.96</t>
        </is>
      </c>
      <c r="J1548" t="inlineStr">
        <is>
          <t>ilo_ilostat</t>
        </is>
      </c>
      <c r="K1548" t="inlineStr">
        <is>
          <t>https://ilostat.ilo.org/data/indicator/?id=HOW_TEMP_SEX_ECO_NB_A&amp;ref_area=SRB</t>
        </is>
      </c>
      <c r="L1548" t="inlineStr">
        <is>
          <t>ILO ILOSTAT: Mean weekly hours actually worked per employed person</t>
        </is>
      </c>
      <c r="M1548" t="inlineStr">
        <is>
          <t>2024-12-31</t>
        </is>
      </c>
      <c r="N1548" t="inlineStr">
        <is>
          <t>auto_ingest=ilo_working_hours; indicator=HOW_TEMP_SEX_ECO_NB_A; year=2024; hours=40.96; country_proxy=Serbia</t>
        </is>
      </c>
    </row>
    <row r="1549">
      <c r="A1549" t="inlineStr">
        <is>
          <t>rs-belgrade</t>
        </is>
      </c>
      <c r="B1549" t="inlineStr">
        <is>
          <t>Belgrade</t>
        </is>
      </c>
      <c r="C1549" t="inlineStr">
        <is>
          <t>Serbia</t>
        </is>
      </c>
      <c r="D1549" t="inlineStr">
        <is>
          <t>Southern/Eastern Europe and Eurasia</t>
        </is>
      </c>
      <c r="E1549" t="inlineStr">
        <is>
          <t>suicide_mental_strain_raw</t>
        </is>
      </c>
      <c r="F1549" t="inlineStr">
        <is>
          <t>Suicide or mental strain raw</t>
        </is>
      </c>
      <c r="G1549" t="inlineStr">
        <is>
          <t>pressure</t>
        </is>
      </c>
      <c r="H1549" t="inlineStr">
        <is>
          <t>yes</t>
        </is>
      </c>
      <c r="I1549" t="inlineStr">
        <is>
          <t>15.14</t>
        </is>
      </c>
      <c r="J1549" t="inlineStr">
        <is>
          <t>who_gho</t>
        </is>
      </c>
      <c r="K1549" t="inlineStr">
        <is>
          <t>https://www.who.int/data/gho/data/indicators/indicator-details/GHO/SDGSUICIDE</t>
        </is>
      </c>
      <c r="L1549" t="inlineStr">
        <is>
          <t>WHO GHO: Age-standardized suicide rate (per 100,000 population)</t>
        </is>
      </c>
      <c r="M1549" t="inlineStr">
        <is>
          <t>2021-12-31</t>
        </is>
      </c>
      <c r="N1549" t="inlineStr">
        <is>
          <t>auto_ingest=who_gho; indicator=SDGSUICIDE; year=2021; country_proxy=Serbia</t>
        </is>
      </c>
    </row>
    <row r="1550">
      <c r="A1550" t="inlineStr">
        <is>
          <t>rs-belgrade</t>
        </is>
      </c>
      <c r="B1550" t="inlineStr">
        <is>
          <t>Belgrade</t>
        </is>
      </c>
      <c r="C1550" t="inlineStr">
        <is>
          <t>Serbia</t>
        </is>
      </c>
      <c r="D1550" t="inlineStr">
        <is>
          <t>Southern/Eastern Europe and Eurasia</t>
        </is>
      </c>
      <c r="E1550" t="inlineStr">
        <is>
          <t>personal_safety_raw</t>
        </is>
      </c>
      <c r="F1550" t="inlineStr">
        <is>
          <t>Personal safety raw</t>
        </is>
      </c>
      <c r="G1550" t="inlineStr">
        <is>
          <t>viability</t>
        </is>
      </c>
      <c r="H1550" t="inlineStr">
        <is>
          <t>yes</t>
        </is>
      </c>
      <c r="I1550" t="inlineStr">
        <is>
          <t>1.31</t>
        </is>
      </c>
      <c r="J1550" t="inlineStr">
        <is>
          <t>world_bank</t>
        </is>
      </c>
      <c r="K1550" t="inlineStr">
        <is>
          <t>https://api.worldbank.org/v2/country/SRB/indicator/VC.IHR.PSRC.P5?format=json&amp;mrv=10</t>
        </is>
      </c>
      <c r="L1550" t="inlineStr">
        <is>
          <t>UNODC via World Bank WDI: Intentional homicides (per 100,000 people)</t>
        </is>
      </c>
      <c r="M1550" t="inlineStr">
        <is>
          <t>2023-12-31</t>
        </is>
      </c>
      <c r="N1550" t="inlineStr">
        <is>
          <t>auto_ingest=unodc_safety; indicator=VC.IHR.PSRC.P5; year=2023; country_proxy=Serbia</t>
        </is>
      </c>
    </row>
    <row r="1551">
      <c r="A1551" t="inlineStr">
        <is>
          <t>rs-belgrade</t>
        </is>
      </c>
      <c r="B1551" t="inlineStr">
        <is>
          <t>Belgrade</t>
        </is>
      </c>
      <c r="C1551" t="inlineStr">
        <is>
          <t>Serbia</t>
        </is>
      </c>
      <c r="D1551" t="inlineStr">
        <is>
          <t>Southern/Eastern Europe and Eurasia</t>
        </is>
      </c>
      <c r="E1551" t="inlineStr">
        <is>
          <t>transit_access_commute_raw</t>
        </is>
      </c>
      <c r="F1551" t="inlineStr">
        <is>
          <t>Transit access and commute raw</t>
        </is>
      </c>
      <c r="G1551" t="inlineStr">
        <is>
          <t>viability</t>
        </is>
      </c>
      <c r="H1551" t="inlineStr">
        <is>
          <t>yes</t>
        </is>
      </c>
      <c r="I1551" t="inlineStr"/>
      <c r="J1551" t="inlineStr"/>
      <c r="K1551" t="inlineStr"/>
      <c r="L1551" t="inlineStr"/>
      <c r="M1551" t="inlineStr"/>
      <c r="N1551" t="inlineStr"/>
    </row>
    <row r="1552">
      <c r="A1552" t="inlineStr">
        <is>
          <t>rs-belgrade</t>
        </is>
      </c>
      <c r="B1552" t="inlineStr">
        <is>
          <t>Belgrade</t>
        </is>
      </c>
      <c r="C1552" t="inlineStr">
        <is>
          <t>Serbia</t>
        </is>
      </c>
      <c r="D1552" t="inlineStr">
        <is>
          <t>Southern/Eastern Europe and Eurasia</t>
        </is>
      </c>
      <c r="E1552" t="inlineStr">
        <is>
          <t>clean_air_raw</t>
        </is>
      </c>
      <c r="F1552" t="inlineStr">
        <is>
          <t>Clean air raw</t>
        </is>
      </c>
      <c r="G1552" t="inlineStr">
        <is>
          <t>viability</t>
        </is>
      </c>
      <c r="H1552" t="inlineStr">
        <is>
          <t>yes</t>
        </is>
      </c>
      <c r="I1552" t="inlineStr"/>
      <c r="J1552" t="inlineStr"/>
      <c r="K1552" t="inlineStr"/>
      <c r="L1552" t="inlineStr"/>
      <c r="M1552" t="inlineStr"/>
      <c r="N1552" t="inlineStr"/>
    </row>
    <row r="1553">
      <c r="A1553" t="inlineStr">
        <is>
          <t>rs-belgrade</t>
        </is>
      </c>
      <c r="B1553" t="inlineStr">
        <is>
          <t>Belgrade</t>
        </is>
      </c>
      <c r="C1553" t="inlineStr">
        <is>
          <t>Serbia</t>
        </is>
      </c>
      <c r="D1553" t="inlineStr">
        <is>
          <t>Southern/Eastern Europe and Eurasia</t>
        </is>
      </c>
      <c r="E1553" t="inlineStr">
        <is>
          <t>water_sanitation_utility_raw</t>
        </is>
      </c>
      <c r="F1553" t="inlineStr">
        <is>
          <t>Water, sanitation, and utility raw</t>
        </is>
      </c>
      <c r="G1553" t="inlineStr">
        <is>
          <t>viability</t>
        </is>
      </c>
      <c r="H1553" t="inlineStr">
        <is>
          <t>yes</t>
        </is>
      </c>
      <c r="I1553" t="inlineStr">
        <is>
          <t>74.97</t>
        </is>
      </c>
      <c r="J1553" t="inlineStr">
        <is>
          <t>world_bank</t>
        </is>
      </c>
      <c r="K1553" t="inlineStr">
        <is>
          <t>https://api.worldbank.org/v2/country/SRB/indicator/SH.H2O.SMDW.ZS?format=json&amp;mrv=10</t>
        </is>
      </c>
      <c r="L1553" t="inlineStr">
        <is>
          <t>World Bank WDI: People using safely managed drinking water services (% of population)</t>
        </is>
      </c>
      <c r="M1553" t="inlineStr">
        <is>
          <t>2024-12-31</t>
        </is>
      </c>
      <c r="N1553" t="inlineStr">
        <is>
          <t>auto_ingest=world_bank_proxy; indicator=SH.H2O.SMDW.ZS; year=2024; country_proxy=Serbia</t>
        </is>
      </c>
    </row>
    <row r="1554">
      <c r="A1554" t="inlineStr">
        <is>
          <t>rs-belgrade</t>
        </is>
      </c>
      <c r="B1554" t="inlineStr">
        <is>
          <t>Belgrade</t>
        </is>
      </c>
      <c r="C1554" t="inlineStr">
        <is>
          <t>Serbia</t>
        </is>
      </c>
      <c r="D1554" t="inlineStr">
        <is>
          <t>Southern/Eastern Europe and Eurasia</t>
        </is>
      </c>
      <c r="E1554" t="inlineStr">
        <is>
          <t>digital_infrastructure_raw</t>
        </is>
      </c>
      <c r="F1554" t="inlineStr">
        <is>
          <t>Digital infrastructure raw</t>
        </is>
      </c>
      <c r="G1554" t="inlineStr">
        <is>
          <t>viability</t>
        </is>
      </c>
      <c r="H1554" t="inlineStr">
        <is>
          <t>yes</t>
        </is>
      </c>
      <c r="I1554" t="inlineStr">
        <is>
          <t>31.27</t>
        </is>
      </c>
      <c r="J1554" t="inlineStr">
        <is>
          <t>world_bank</t>
        </is>
      </c>
      <c r="K1554" t="inlineStr">
        <is>
          <t>https://api.worldbank.org/v2/country/SRB/indicator/IT.NET.BBND.P2?format=json&amp;mrv=10</t>
        </is>
      </c>
      <c r="L1554" t="inlineStr">
        <is>
          <t>World Bank WDI: Fixed broadband subscriptions (per 100 people)</t>
        </is>
      </c>
      <c r="M1554" t="inlineStr">
        <is>
          <t>2023-12-31</t>
        </is>
      </c>
      <c r="N1554" t="inlineStr">
        <is>
          <t>auto_ingest=world_bank_proxy; indicator=IT.NET.BBND.P2; year=2023; country_proxy=Serbia</t>
        </is>
      </c>
    </row>
    <row r="1555">
      <c r="A1555" t="inlineStr">
        <is>
          <t>rs-belgrade</t>
        </is>
      </c>
      <c r="B1555" t="inlineStr">
        <is>
          <t>Belgrade</t>
        </is>
      </c>
      <c r="C1555" t="inlineStr">
        <is>
          <t>Serbia</t>
        </is>
      </c>
      <c r="D1555" t="inlineStr">
        <is>
          <t>Southern/Eastern Europe and Eurasia</t>
        </is>
      </c>
      <c r="E1555" t="inlineStr">
        <is>
          <t>climate_sunlight_livability_raw</t>
        </is>
      </c>
      <c r="F1555" t="inlineStr">
        <is>
          <t>Climate and sunlight livability raw</t>
        </is>
      </c>
      <c r="G1555" t="inlineStr">
        <is>
          <t>viability</t>
        </is>
      </c>
      <c r="H1555" t="inlineStr">
        <is>
          <t>yes</t>
        </is>
      </c>
      <c r="I1555" t="inlineStr">
        <is>
          <t>54</t>
        </is>
      </c>
      <c r="J1555" t="inlineStr">
        <is>
          <t>wmo_natl_met</t>
        </is>
      </c>
      <c r="K1555" t="inlineStr">
        <is>
          <t>https://worldweather.wmo.int</t>
        </is>
      </c>
      <c r="L1555" t="inlineStr">
        <is>
          <t>WMO/National Met: Climate livability composite</t>
        </is>
      </c>
      <c r="M1555" t="inlineStr">
        <is>
          <t>2024-12-31</t>
        </is>
      </c>
      <c r="N1555" t="inlineStr">
        <is>
          <t>auto_seed=climate_composite; 2100 sun hrs, 12C mean</t>
        </is>
      </c>
    </row>
    <row r="1556">
      <c r="A1556" t="inlineStr">
        <is>
          <t>rs-belgrade</t>
        </is>
      </c>
      <c r="B1556" t="inlineStr">
        <is>
          <t>Belgrade</t>
        </is>
      </c>
      <c r="C1556" t="inlineStr">
        <is>
          <t>Serbia</t>
        </is>
      </c>
      <c r="D1556" t="inlineStr">
        <is>
          <t>Southern/Eastern Europe and Eurasia</t>
        </is>
      </c>
      <c r="E1556" t="inlineStr">
        <is>
          <t>healthcare_quality_raw</t>
        </is>
      </c>
      <c r="F1556" t="inlineStr">
        <is>
          <t>Healthcare quality raw</t>
        </is>
      </c>
      <c r="G1556" t="inlineStr">
        <is>
          <t>capability</t>
        </is>
      </c>
      <c r="H1556" t="inlineStr">
        <is>
          <t>yes</t>
        </is>
      </c>
      <c r="I1556" t="inlineStr">
        <is>
          <t>73.0</t>
        </is>
      </c>
      <c r="J1556" t="inlineStr">
        <is>
          <t>who_gho</t>
        </is>
      </c>
      <c r="K1556" t="inlineStr">
        <is>
          <t>https://www.who.int/data/gho/data/indicators/indicator-details/GHO/UHC_INDEX_REPORTED</t>
        </is>
      </c>
      <c r="L1556" t="inlineStr">
        <is>
          <t>WHO GHO: UHC Service Coverage Index</t>
        </is>
      </c>
      <c r="M1556" t="inlineStr">
        <is>
          <t>2023-12-31</t>
        </is>
      </c>
      <c r="N1556" t="inlineStr">
        <is>
          <t>auto_ingest=who_gho; indicator=UHC_INDEX_REPORTED; year=2023; country_proxy=Serbia</t>
        </is>
      </c>
    </row>
    <row r="1557">
      <c r="A1557" t="inlineStr">
        <is>
          <t>rs-belgrade</t>
        </is>
      </c>
      <c r="B1557" t="inlineStr">
        <is>
          <t>Belgrade</t>
        </is>
      </c>
      <c r="C1557" t="inlineStr">
        <is>
          <t>Serbia</t>
        </is>
      </c>
      <c r="D1557" t="inlineStr">
        <is>
          <t>Southern/Eastern Europe and Eurasia</t>
        </is>
      </c>
      <c r="E1557" t="inlineStr">
        <is>
          <t>education_quality_raw</t>
        </is>
      </c>
      <c r="F1557" t="inlineStr">
        <is>
          <t>Education quality raw</t>
        </is>
      </c>
      <c r="G1557" t="inlineStr">
        <is>
          <t>capability</t>
        </is>
      </c>
      <c r="H1557" t="inlineStr">
        <is>
          <t>yes</t>
        </is>
      </c>
      <c r="I1557" t="inlineStr">
        <is>
          <t>73.21</t>
        </is>
      </c>
      <c r="J1557" t="inlineStr">
        <is>
          <t>world_bank</t>
        </is>
      </c>
      <c r="K1557" t="inlineStr">
        <is>
          <t>https://api.worldbank.org/v2/country/SRB/indicator/SE.TER.ENRR?format=json&amp;mrv=10</t>
        </is>
      </c>
      <c r="L1557" t="inlineStr">
        <is>
          <t>World Bank WDI: School enrollment, tertiary (% gross)</t>
        </is>
      </c>
      <c r="M1557" t="inlineStr">
        <is>
          <t>2023-12-31</t>
        </is>
      </c>
      <c r="N1557" t="inlineStr">
        <is>
          <t>auto_ingest=world_bank_proxy; indicator=SE.TER.ENRR; year=2023; country_proxy=Serbia</t>
        </is>
      </c>
    </row>
    <row r="1558">
      <c r="A1558" t="inlineStr">
        <is>
          <t>rs-belgrade</t>
        </is>
      </c>
      <c r="B1558" t="inlineStr">
        <is>
          <t>Belgrade</t>
        </is>
      </c>
      <c r="C1558" t="inlineStr">
        <is>
          <t>Serbia</t>
        </is>
      </c>
      <c r="D1558" t="inlineStr">
        <is>
          <t>Southern/Eastern Europe and Eurasia</t>
        </is>
      </c>
      <c r="E1558" t="inlineStr">
        <is>
          <t>equal_opportunity_raw</t>
        </is>
      </c>
      <c r="F1558" t="inlineStr">
        <is>
          <t>Equal opportunity raw</t>
        </is>
      </c>
      <c r="G1558" t="inlineStr">
        <is>
          <t>capability</t>
        </is>
      </c>
      <c r="H1558" t="inlineStr">
        <is>
          <t>yes</t>
        </is>
      </c>
      <c r="I1558" t="inlineStr">
        <is>
          <t>32.8</t>
        </is>
      </c>
      <c r="J1558" t="inlineStr">
        <is>
          <t>world_bank</t>
        </is>
      </c>
      <c r="K1558" t="inlineStr">
        <is>
          <t>https://api.worldbank.org/v2/country/SRB/indicator/SI.POV.GINI?format=json&amp;mrv=10</t>
        </is>
      </c>
      <c r="L1558" t="inlineStr">
        <is>
          <t>World Bank WDI: Gini index</t>
        </is>
      </c>
      <c r="M1558" t="inlineStr">
        <is>
          <t>2022-12-31</t>
        </is>
      </c>
      <c r="N1558" t="inlineStr">
        <is>
          <t>auto_ingest=world_bank_capability; indicator=SI.POV.GINI; year=2022; country_proxy=Serbia</t>
        </is>
      </c>
    </row>
    <row r="1559">
      <c r="A1559" t="inlineStr">
        <is>
          <t>rs-belgrade</t>
        </is>
      </c>
      <c r="B1559" t="inlineStr">
        <is>
          <t>Belgrade</t>
        </is>
      </c>
      <c r="C1559" t="inlineStr">
        <is>
          <t>Serbia</t>
        </is>
      </c>
      <c r="D1559" t="inlineStr">
        <is>
          <t>Southern/Eastern Europe and Eurasia</t>
        </is>
      </c>
      <c r="E1559" t="inlineStr">
        <is>
          <t>hospitality_belonging_raw</t>
        </is>
      </c>
      <c r="F1559" t="inlineStr">
        <is>
          <t>Hospitality and belonging raw</t>
        </is>
      </c>
      <c r="G1559" t="inlineStr">
        <is>
          <t>community</t>
        </is>
      </c>
      <c r="H1559" t="inlineStr">
        <is>
          <t>yes</t>
        </is>
      </c>
      <c r="I1559" t="inlineStr">
        <is>
          <t>48.01</t>
        </is>
      </c>
      <c r="J1559" t="inlineStr">
        <is>
          <t>world_bank</t>
        </is>
      </c>
      <c r="K1559" t="inlineStr">
        <is>
          <t>https://api.worldbank.org/v2/country/SRB/indicator/SM.POP.NETM?format=json&amp;mrv=10</t>
        </is>
      </c>
      <c r="L1559" t="inlineStr">
        <is>
          <t>World Bank WDI: Net migration (proxy for hospitality/belonging — positive = welcoming)</t>
        </is>
      </c>
      <c r="M1559" t="inlineStr">
        <is>
          <t>2025-12-31</t>
        </is>
      </c>
      <c r="N1559" t="inlineStr">
        <is>
          <t>auto_ingest=world_bank_proxy; proxy=net_migration_hospitality; indicator=SM.POP.NETM; year=2025; country_proxy=Serbia</t>
        </is>
      </c>
    </row>
    <row r="1560">
      <c r="A1560" t="inlineStr">
        <is>
          <t>rs-belgrade</t>
        </is>
      </c>
      <c r="B1560" t="inlineStr">
        <is>
          <t>Belgrade</t>
        </is>
      </c>
      <c r="C1560" t="inlineStr">
        <is>
          <t>Serbia</t>
        </is>
      </c>
      <c r="D1560" t="inlineStr">
        <is>
          <t>Southern/Eastern Europe and Eurasia</t>
        </is>
      </c>
      <c r="E1560" t="inlineStr">
        <is>
          <t>tolerance_pluralism_raw</t>
        </is>
      </c>
      <c r="F1560" t="inlineStr">
        <is>
          <t>Tolerance and pluralism raw</t>
        </is>
      </c>
      <c r="G1560" t="inlineStr">
        <is>
          <t>community</t>
        </is>
      </c>
      <c r="H1560" t="inlineStr">
        <is>
          <t>yes</t>
        </is>
      </c>
      <c r="I1560" t="inlineStr">
        <is>
          <t>38.0</t>
        </is>
      </c>
      <c r="J1560" t="inlineStr">
        <is>
          <t>world_bank</t>
        </is>
      </c>
      <c r="K1560" t="inlineStr">
        <is>
          <t>https://api.worldbank.org/v2/country/SRB/indicator/SG.GEN.PARL.ZS?format=json&amp;mrv=10</t>
        </is>
      </c>
      <c r="L1560" t="inlineStr">
        <is>
          <t>World Bank WDI: Proportion of seats held by women in national parliaments (%)</t>
        </is>
      </c>
      <c r="M1560" t="inlineStr">
        <is>
          <t>2024-12-31</t>
        </is>
      </c>
      <c r="N1560" t="inlineStr">
        <is>
          <t>auto_ingest=world_bank_proxy; proxy=gender_parity_parliament; indicator=SG.GEN.PARL.ZS; year=2024; country_proxy=Serbia</t>
        </is>
      </c>
    </row>
    <row r="1561">
      <c r="A1561" t="inlineStr">
        <is>
          <t>rs-belgrade</t>
        </is>
      </c>
      <c r="B1561" t="inlineStr">
        <is>
          <t>Belgrade</t>
        </is>
      </c>
      <c r="C1561" t="inlineStr">
        <is>
          <t>Serbia</t>
        </is>
      </c>
      <c r="D1561" t="inlineStr">
        <is>
          <t>Southern/Eastern Europe and Eurasia</t>
        </is>
      </c>
      <c r="E1561" t="inlineStr">
        <is>
          <t>cultural_public_life_raw</t>
        </is>
      </c>
      <c r="F1561" t="inlineStr">
        <is>
          <t>Cultural public life raw</t>
        </is>
      </c>
      <c r="G1561" t="inlineStr">
        <is>
          <t>community</t>
        </is>
      </c>
      <c r="H1561" t="inlineStr">
        <is>
          <t>yes</t>
        </is>
      </c>
      <c r="I1561" t="inlineStr">
        <is>
          <t>67.71</t>
        </is>
      </c>
      <c r="J1561" t="inlineStr">
        <is>
          <t>world_bank</t>
        </is>
      </c>
      <c r="K1561" t="inlineStr">
        <is>
          <t>https://api.worldbank.org/v2/country/SRB/indicator/ST.INT.ARVL?format=json&amp;mrv=10</t>
        </is>
      </c>
      <c r="L1561" t="inlineStr">
        <is>
          <t>World Bank WDI: International tourism arrivals per 1 000 population</t>
        </is>
      </c>
      <c r="M1561" t="inlineStr">
        <is>
          <t>2020-12-31</t>
        </is>
      </c>
      <c r="N1561" t="inlineStr">
        <is>
          <t>auto_ingest=cultural_life_proxy; indicator=ST.INT.ARVL; norm=per_1000_pop; year=2020; country_proxy=Serbia</t>
        </is>
      </c>
    </row>
    <row r="1562">
      <c r="A1562" t="inlineStr">
        <is>
          <t>rs-belgrade</t>
        </is>
      </c>
      <c r="B1562" t="inlineStr">
        <is>
          <t>Belgrade</t>
        </is>
      </c>
      <c r="C1562" t="inlineStr">
        <is>
          <t>Serbia</t>
        </is>
      </c>
      <c r="D1562" t="inlineStr">
        <is>
          <t>Southern/Eastern Europe and Eurasia</t>
        </is>
      </c>
      <c r="E1562" t="inlineStr">
        <is>
          <t>birth_rate_optimism_raw</t>
        </is>
      </c>
      <c r="F1562" t="inlineStr">
        <is>
          <t>Birth rate and societal optimism raw</t>
        </is>
      </c>
      <c r="G1562" t="inlineStr">
        <is>
          <t>community</t>
        </is>
      </c>
      <c r="H1562" t="inlineStr">
        <is>
          <t>yes</t>
        </is>
      </c>
      <c r="I1562" t="inlineStr"/>
      <c r="J1562" t="inlineStr"/>
      <c r="K1562" t="inlineStr"/>
      <c r="L1562" t="inlineStr"/>
      <c r="M1562" t="inlineStr"/>
      <c r="N1562" t="inlineStr"/>
    </row>
    <row r="1563">
      <c r="A1563" t="inlineStr">
        <is>
          <t>rs-belgrade</t>
        </is>
      </c>
      <c r="B1563" t="inlineStr">
        <is>
          <t>Belgrade</t>
        </is>
      </c>
      <c r="C1563" t="inlineStr">
        <is>
          <t>Serbia</t>
        </is>
      </c>
      <c r="D1563" t="inlineStr">
        <is>
          <t>Southern/Eastern Europe and Eurasia</t>
        </is>
      </c>
      <c r="E1563" t="inlineStr">
        <is>
          <t>entrepreneurial_dynamism_raw</t>
        </is>
      </c>
      <c r="F1563" t="inlineStr">
        <is>
          <t>Entrepreneurial dynamism raw</t>
        </is>
      </c>
      <c r="G1563" t="inlineStr">
        <is>
          <t>creative</t>
        </is>
      </c>
      <c r="H1563" t="inlineStr">
        <is>
          <t>yes</t>
        </is>
      </c>
      <c r="I1563" t="inlineStr">
        <is>
          <t>2.53</t>
        </is>
      </c>
      <c r="J1563" t="inlineStr">
        <is>
          <t>world_bank</t>
        </is>
      </c>
      <c r="K1563" t="inlineStr">
        <is>
          <t>https://api.worldbank.org/v2/country/SRB/indicator/IC.BUS.NDNS.ZS?format=json&amp;mrv=10</t>
        </is>
      </c>
      <c r="L1563" t="inlineStr">
        <is>
          <t>World Bank WDI: New business density (new registrations per 1,000 people ages 15-64)</t>
        </is>
      </c>
      <c r="M1563" t="inlineStr">
        <is>
          <t>2022-12-31</t>
        </is>
      </c>
      <c r="N1563" t="inlineStr">
        <is>
          <t>auto_ingest=world_bank_creative_extended; indicator=IC.BUS.NDNS.ZS; year=2022; country_proxy=Serbia</t>
        </is>
      </c>
    </row>
    <row r="1564">
      <c r="A1564" t="inlineStr">
        <is>
          <t>rs-belgrade</t>
        </is>
      </c>
      <c r="B1564" t="inlineStr">
        <is>
          <t>Belgrade</t>
        </is>
      </c>
      <c r="C1564" t="inlineStr">
        <is>
          <t>Serbia</t>
        </is>
      </c>
      <c r="D1564" t="inlineStr">
        <is>
          <t>Southern/Eastern Europe and Eurasia</t>
        </is>
      </c>
      <c r="E1564" t="inlineStr">
        <is>
          <t>innovation_research_intensity_raw</t>
        </is>
      </c>
      <c r="F1564" t="inlineStr">
        <is>
          <t>Innovation and research raw</t>
        </is>
      </c>
      <c r="G1564" t="inlineStr">
        <is>
          <t>creative</t>
        </is>
      </c>
      <c r="H1564" t="inlineStr">
        <is>
          <t>yes</t>
        </is>
      </c>
      <c r="I1564" t="inlineStr">
        <is>
          <t>0.95</t>
        </is>
      </c>
      <c r="J1564" t="inlineStr">
        <is>
          <t>world_bank</t>
        </is>
      </c>
      <c r="K1564" t="inlineStr">
        <is>
          <t>https://api.worldbank.org/v2/country/SRB/indicator/GB.XPD.RSDV.GD.ZS?format=json&amp;mrv=10</t>
        </is>
      </c>
      <c r="L1564" t="inlineStr">
        <is>
          <t>World Bank WDI: Research and development expenditure (% of GDP)</t>
        </is>
      </c>
      <c r="M1564" t="inlineStr">
        <is>
          <t>2023-12-31</t>
        </is>
      </c>
      <c r="N1564" t="inlineStr">
        <is>
          <t>auto_ingest=world_bank_creative_extended; indicator=GB.XPD.RSDV.GD.ZS; year=2023; country_proxy=Serbia</t>
        </is>
      </c>
    </row>
    <row r="1565">
      <c r="A1565" t="inlineStr">
        <is>
          <t>rs-belgrade</t>
        </is>
      </c>
      <c r="B1565" t="inlineStr">
        <is>
          <t>Belgrade</t>
        </is>
      </c>
      <c r="C1565" t="inlineStr">
        <is>
          <t>Serbia</t>
        </is>
      </c>
      <c r="D1565" t="inlineStr">
        <is>
          <t>Southern/Eastern Europe and Eurasia</t>
        </is>
      </c>
      <c r="E1565" t="inlineStr">
        <is>
          <t>investment_signal_raw</t>
        </is>
      </c>
      <c r="F1565" t="inlineStr">
        <is>
          <t>Investment signal raw</t>
        </is>
      </c>
      <c r="G1565" t="inlineStr">
        <is>
          <t>creative</t>
        </is>
      </c>
      <c r="H1565" t="inlineStr">
        <is>
          <t>yes</t>
        </is>
      </c>
      <c r="I1565" t="inlineStr">
        <is>
          <t>6.2</t>
        </is>
      </c>
      <c r="J1565" t="inlineStr">
        <is>
          <t>world_bank</t>
        </is>
      </c>
      <c r="K1565" t="inlineStr">
        <is>
          <t>https://api.worldbank.org/v2/country/SRB/indicator/BX.KLT.DINV.WD.GD.ZS?format=json&amp;mrv=10</t>
        </is>
      </c>
      <c r="L1565" t="inlineStr">
        <is>
          <t>World Bank WDI: Foreign direct investment, net inflows (% of GDP)</t>
        </is>
      </c>
      <c r="M1565" t="inlineStr">
        <is>
          <t>2024-12-31</t>
        </is>
      </c>
      <c r="N1565" t="inlineStr">
        <is>
          <t>auto_ingest=world_bank_creative_extended; indicator=BX.KLT.DINV.WD.GD.ZS; year=2024; country_proxy=Serbia</t>
        </is>
      </c>
    </row>
    <row r="1566">
      <c r="A1566" t="inlineStr">
        <is>
          <t>rs-belgrade</t>
        </is>
      </c>
      <c r="B1566" t="inlineStr">
        <is>
          <t>Belgrade</t>
        </is>
      </c>
      <c r="C1566" t="inlineStr">
        <is>
          <t>Serbia</t>
        </is>
      </c>
      <c r="D1566" t="inlineStr">
        <is>
          <t>Southern/Eastern Europe and Eurasia</t>
        </is>
      </c>
      <c r="E1566" t="inlineStr">
        <is>
          <t>administrative_investment_friction_raw</t>
        </is>
      </c>
      <c r="F1566" t="inlineStr">
        <is>
          <t>Administrative investment friction raw</t>
        </is>
      </c>
      <c r="G1566" t="inlineStr">
        <is>
          <t>creative</t>
        </is>
      </c>
      <c r="H1566" t="inlineStr">
        <is>
          <t>yes</t>
        </is>
      </c>
      <c r="I1566" t="inlineStr">
        <is>
          <t>2.36</t>
        </is>
      </c>
      <c r="J1566" t="inlineStr">
        <is>
          <t>world_bank</t>
        </is>
      </c>
      <c r="K1566" t="inlineStr">
        <is>
          <t>https://api.worldbank.org/v2/country/SRB/indicator/RQ.EST?format=json&amp;mrv=10</t>
        </is>
      </c>
      <c r="L1566" t="inlineStr">
        <is>
          <t>World Bank WGI: Regulatory Quality (inverted as friction proxy)</t>
        </is>
      </c>
      <c r="M1566" t="inlineStr">
        <is>
          <t>2023-12-31</t>
        </is>
      </c>
      <c r="N1566" t="inlineStr">
        <is>
          <t>auto_ingest=world_bank_business_friction; indicator=RQ.EST; raw_rq=0.137915700674057; friction=2.36; year=2023; country_proxy=Serbia</t>
        </is>
      </c>
    </row>
    <row r="1567">
      <c r="A1567" t="inlineStr">
        <is>
          <t>rs-belgrade</t>
        </is>
      </c>
      <c r="B1567" t="inlineStr">
        <is>
          <t>Belgrade</t>
        </is>
      </c>
      <c r="C1567" t="inlineStr">
        <is>
          <t>Serbia</t>
        </is>
      </c>
      <c r="D1567" t="inlineStr">
        <is>
          <t>Southern/Eastern Europe and Eurasia</t>
        </is>
      </c>
      <c r="E1567" t="inlineStr">
        <is>
          <t>visitor_flow_context_raw</t>
        </is>
      </c>
      <c r="F1567" t="inlineStr">
        <is>
          <t>Visitor flow context raw</t>
        </is>
      </c>
      <c r="G1567" t="inlineStr">
        <is>
          <t>creative</t>
        </is>
      </c>
      <c r="H1567" t="inlineStr">
        <is>
          <t>no</t>
        </is>
      </c>
      <c r="I1567" t="inlineStr"/>
      <c r="J1567" t="inlineStr"/>
      <c r="K1567" t="inlineStr"/>
      <c r="L1567" t="inlineStr"/>
      <c r="M1567" t="inlineStr"/>
      <c r="N1567" t="inlineStr"/>
    </row>
    <row r="1568">
      <c r="A1568" t="inlineStr">
        <is>
          <t>ru-nizhny-novgorod</t>
        </is>
      </c>
      <c r="B1568" t="inlineStr">
        <is>
          <t>Nizhny Novgorod</t>
        </is>
      </c>
      <c r="C1568" t="inlineStr">
        <is>
          <t>Russia</t>
        </is>
      </c>
      <c r="D1568" t="inlineStr">
        <is>
          <t>Southern/Eastern Europe and Eurasia</t>
        </is>
      </c>
      <c r="E1568" t="inlineStr">
        <is>
          <t>gross_income</t>
        </is>
      </c>
      <c r="F1568" t="inlineStr">
        <is>
          <t>Gross income</t>
        </is>
      </c>
      <c r="G1568" t="inlineStr">
        <is>
          <t>pressure</t>
        </is>
      </c>
      <c r="H1568" t="inlineStr">
        <is>
          <t>yes</t>
        </is>
      </c>
      <c r="I1568" t="inlineStr">
        <is>
          <t>3898.33</t>
        </is>
      </c>
      <c r="J1568" t="inlineStr">
        <is>
          <t>world_bank_col_estimate</t>
        </is>
      </c>
      <c r="K1568" t="inlineStr">
        <is>
          <t>https://api.worldbank.org/v2/country/RUS/indicator/NY.GNP.PCAP.PP.CD?format=json&amp;mrv=10</t>
        </is>
      </c>
      <c r="L1568" t="inlineStr">
        <is>
          <t>World Bank WDI: GNI per capita PPP (monthly USD)</t>
        </is>
      </c>
      <c r="M1568" t="inlineStr">
        <is>
          <t>2024-12-31</t>
        </is>
      </c>
      <c r="N1568" t="inlineStr">
        <is>
          <t>auto_ingest=world_bank_col_estimate; gni_annual=46780.0; year=2024; country_proxy=Russia; cohort=Southern/Eastern Europe and Eurasia</t>
        </is>
      </c>
    </row>
    <row r="1569">
      <c r="A1569" t="inlineStr">
        <is>
          <t>ru-nizhny-novgorod</t>
        </is>
      </c>
      <c r="B1569" t="inlineStr">
        <is>
          <t>Nizhny Novgorod</t>
        </is>
      </c>
      <c r="C1569" t="inlineStr">
        <is>
          <t>Russia</t>
        </is>
      </c>
      <c r="D1569" t="inlineStr">
        <is>
          <t>Southern/Eastern Europe and Eurasia</t>
        </is>
      </c>
      <c r="E1569" t="inlineStr">
        <is>
          <t>di_ppp_raw</t>
        </is>
      </c>
      <c r="F1569" t="inlineStr">
        <is>
          <t>Disposable income PPP (Raw)</t>
        </is>
      </c>
      <c r="G1569" t="inlineStr">
        <is>
          <t>pressure</t>
        </is>
      </c>
      <c r="H1569" t="inlineStr">
        <is>
          <t>yes</t>
        </is>
      </c>
      <c r="I1569" t="inlineStr"/>
      <c r="J1569" t="inlineStr"/>
      <c r="K1569" t="inlineStr"/>
      <c r="L1569" t="inlineStr"/>
      <c r="M1569" t="inlineStr"/>
      <c r="N1569" t="inlineStr"/>
    </row>
    <row r="1570">
      <c r="A1570" t="inlineStr">
        <is>
          <t>ru-nizhny-novgorod</t>
        </is>
      </c>
      <c r="B1570" t="inlineStr">
        <is>
          <t>Nizhny Novgorod</t>
        </is>
      </c>
      <c r="C1570" t="inlineStr">
        <is>
          <t>Russia</t>
        </is>
      </c>
      <c r="D1570" t="inlineStr">
        <is>
          <t>Southern/Eastern Europe and Eurasia</t>
        </is>
      </c>
      <c r="E1570" t="inlineStr">
        <is>
          <t>rent</t>
        </is>
      </c>
      <c r="F1570" t="inlineStr">
        <is>
          <t>Rent</t>
        </is>
      </c>
      <c r="G1570" t="inlineStr">
        <is>
          <t>pressure</t>
        </is>
      </c>
      <c r="H1570" t="inlineStr">
        <is>
          <t>yes</t>
        </is>
      </c>
      <c r="I1570" t="inlineStr">
        <is>
          <t>584.75</t>
        </is>
      </c>
      <c r="J1570" t="inlineStr">
        <is>
          <t>world_bank_col_estimate</t>
        </is>
      </c>
      <c r="K1570" t="inlineStr">
        <is>
          <t>https://api.worldbank.org/v2/country/RUS/indicator/NY.GNP.PCAP.PP.CD?format=json&amp;mrv=10</t>
        </is>
      </c>
      <c r="L1570" t="inlineStr">
        <is>
          <t>World Bank GNI + regional expenditure ratio estimate</t>
        </is>
      </c>
      <c r="M1570" t="inlineStr">
        <is>
          <t>2024-12-31</t>
        </is>
      </c>
      <c r="N1570" t="inlineStr">
        <is>
          <t>auto_ingest=world_bank_col_estimate; gni_annual=46780.0; year=2024; country_proxy=Russia; cohort=Southern/Eastern Europe and Eurasia; city_cost_mult=0.6</t>
        </is>
      </c>
    </row>
    <row r="1571">
      <c r="A1571" t="inlineStr">
        <is>
          <t>ru-nizhny-novgorod</t>
        </is>
      </c>
      <c r="B1571" t="inlineStr">
        <is>
          <t>Nizhny Novgorod</t>
        </is>
      </c>
      <c r="C1571" t="inlineStr">
        <is>
          <t>Russia</t>
        </is>
      </c>
      <c r="D1571" t="inlineStr">
        <is>
          <t>Southern/Eastern Europe and Eurasia</t>
        </is>
      </c>
      <c r="E1571" t="inlineStr">
        <is>
          <t>utilities</t>
        </is>
      </c>
      <c r="F1571" t="inlineStr">
        <is>
          <t>Utilities</t>
        </is>
      </c>
      <c r="G1571" t="inlineStr">
        <is>
          <t>pressure</t>
        </is>
      </c>
      <c r="H1571" t="inlineStr">
        <is>
          <t>yes</t>
        </is>
      </c>
      <c r="I1571" t="inlineStr">
        <is>
          <t>187.12</t>
        </is>
      </c>
      <c r="J1571" t="inlineStr">
        <is>
          <t>world_bank_col_estimate</t>
        </is>
      </c>
      <c r="K1571" t="inlineStr">
        <is>
          <t>https://api.worldbank.org/v2/country/RUS/indicator/NY.GNP.PCAP.PP.CD?format=json&amp;mrv=10</t>
        </is>
      </c>
      <c r="L1571" t="inlineStr">
        <is>
          <t>World Bank GNI + regional expenditure ratio estimate</t>
        </is>
      </c>
      <c r="M1571" t="inlineStr">
        <is>
          <t>2024-12-31</t>
        </is>
      </c>
      <c r="N1571" t="inlineStr">
        <is>
          <t>auto_ingest=world_bank_col_estimate; gni_annual=46780.0; year=2024; country_proxy=Russia; cohort=Southern/Eastern Europe and Eurasia; city_cost_mult=0.6</t>
        </is>
      </c>
    </row>
    <row r="1572">
      <c r="A1572" t="inlineStr">
        <is>
          <t>ru-nizhny-novgorod</t>
        </is>
      </c>
      <c r="B1572" t="inlineStr">
        <is>
          <t>Nizhny Novgorod</t>
        </is>
      </c>
      <c r="C1572" t="inlineStr">
        <is>
          <t>Russia</t>
        </is>
      </c>
      <c r="D1572" t="inlineStr">
        <is>
          <t>Southern/Eastern Europe and Eurasia</t>
        </is>
      </c>
      <c r="E1572" t="inlineStr">
        <is>
          <t>transit_cost</t>
        </is>
      </c>
      <c r="F1572" t="inlineStr">
        <is>
          <t>Transit cost</t>
        </is>
      </c>
      <c r="G1572" t="inlineStr">
        <is>
          <t>pressure</t>
        </is>
      </c>
      <c r="H1572" t="inlineStr">
        <is>
          <t>yes</t>
        </is>
      </c>
      <c r="I1572" t="inlineStr">
        <is>
          <t>93.56</t>
        </is>
      </c>
      <c r="J1572" t="inlineStr">
        <is>
          <t>world_bank_col_estimate</t>
        </is>
      </c>
      <c r="K1572" t="inlineStr">
        <is>
          <t>https://api.worldbank.org/v2/country/RUS/indicator/NY.GNP.PCAP.PP.CD?format=json&amp;mrv=10</t>
        </is>
      </c>
      <c r="L1572" t="inlineStr">
        <is>
          <t>World Bank GNI + regional expenditure ratio estimate</t>
        </is>
      </c>
      <c r="M1572" t="inlineStr">
        <is>
          <t>2024-12-31</t>
        </is>
      </c>
      <c r="N1572" t="inlineStr">
        <is>
          <t>auto_ingest=world_bank_col_estimate; gni_annual=46780.0; year=2024; country_proxy=Russia; cohort=Southern/Eastern Europe and Eurasia; city_cost_mult=0.6</t>
        </is>
      </c>
    </row>
    <row r="1573">
      <c r="A1573" t="inlineStr">
        <is>
          <t>ru-nizhny-novgorod</t>
        </is>
      </c>
      <c r="B1573" t="inlineStr">
        <is>
          <t>Nizhny Novgorod</t>
        </is>
      </c>
      <c r="C1573" t="inlineStr">
        <is>
          <t>Russia</t>
        </is>
      </c>
      <c r="D1573" t="inlineStr">
        <is>
          <t>Southern/Eastern Europe and Eurasia</t>
        </is>
      </c>
      <c r="E1573" t="inlineStr">
        <is>
          <t>internet_cost</t>
        </is>
      </c>
      <c r="F1573" t="inlineStr">
        <is>
          <t>Internet cost</t>
        </is>
      </c>
      <c r="G1573" t="inlineStr">
        <is>
          <t>pressure</t>
        </is>
      </c>
      <c r="H1573" t="inlineStr">
        <is>
          <t>yes</t>
        </is>
      </c>
      <c r="I1573" t="inlineStr">
        <is>
          <t>35.08</t>
        </is>
      </c>
      <c r="J1573" t="inlineStr">
        <is>
          <t>world_bank_col_estimate</t>
        </is>
      </c>
      <c r="K1573" t="inlineStr">
        <is>
          <t>https://api.worldbank.org/v2/country/RUS/indicator/NY.GNP.PCAP.PP.CD?format=json&amp;mrv=10</t>
        </is>
      </c>
      <c r="L1573" t="inlineStr">
        <is>
          <t>World Bank GNI + regional expenditure ratio estimate</t>
        </is>
      </c>
      <c r="M1573" t="inlineStr">
        <is>
          <t>2024-12-31</t>
        </is>
      </c>
      <c r="N1573" t="inlineStr">
        <is>
          <t>auto_ingest=world_bank_col_estimate; gni_annual=46780.0; year=2024; country_proxy=Russia; cohort=Southern/Eastern Europe and Eurasia; city_cost_mult=0.6</t>
        </is>
      </c>
    </row>
    <row r="1574">
      <c r="A1574" t="inlineStr">
        <is>
          <t>ru-nizhny-novgorod</t>
        </is>
      </c>
      <c r="B1574" t="inlineStr">
        <is>
          <t>Nizhny Novgorod</t>
        </is>
      </c>
      <c r="C1574" t="inlineStr">
        <is>
          <t>Russia</t>
        </is>
      </c>
      <c r="D1574" t="inlineStr">
        <is>
          <t>Southern/Eastern Europe and Eurasia</t>
        </is>
      </c>
      <c r="E1574" t="inlineStr">
        <is>
          <t>food_cost</t>
        </is>
      </c>
      <c r="F1574" t="inlineStr">
        <is>
          <t>Food cost</t>
        </is>
      </c>
      <c r="G1574" t="inlineStr">
        <is>
          <t>pressure</t>
        </is>
      </c>
      <c r="H1574" t="inlineStr">
        <is>
          <t>yes</t>
        </is>
      </c>
      <c r="I1574" t="inlineStr">
        <is>
          <t>467.8</t>
        </is>
      </c>
      <c r="J1574" t="inlineStr">
        <is>
          <t>world_bank_col_estimate</t>
        </is>
      </c>
      <c r="K1574" t="inlineStr">
        <is>
          <t>https://api.worldbank.org/v2/country/RUS/indicator/NY.GNP.PCAP.PP.CD?format=json&amp;mrv=10</t>
        </is>
      </c>
      <c r="L1574" t="inlineStr">
        <is>
          <t>World Bank GNI + regional expenditure ratio estimate</t>
        </is>
      </c>
      <c r="M1574" t="inlineStr">
        <is>
          <t>2024-12-31</t>
        </is>
      </c>
      <c r="N1574" t="inlineStr">
        <is>
          <t>auto_ingest=world_bank_col_estimate; gni_annual=46780.0; year=2024; country_proxy=Russia; cohort=Southern/Eastern Europe and Eurasia; city_cost_mult=0.6</t>
        </is>
      </c>
    </row>
    <row r="1575">
      <c r="A1575" t="inlineStr">
        <is>
          <t>ru-nizhny-novgorod</t>
        </is>
      </c>
      <c r="B1575" t="inlineStr">
        <is>
          <t>Nizhny Novgorod</t>
        </is>
      </c>
      <c r="C1575" t="inlineStr">
        <is>
          <t>Russia</t>
        </is>
      </c>
      <c r="D1575" t="inlineStr">
        <is>
          <t>Southern/Eastern Europe and Eurasia</t>
        </is>
      </c>
      <c r="E1575" t="inlineStr">
        <is>
          <t>housing_burden_raw</t>
        </is>
      </c>
      <c r="F1575" t="inlineStr">
        <is>
          <t>Housing burden raw</t>
        </is>
      </c>
      <c r="G1575" t="inlineStr">
        <is>
          <t>pressure</t>
        </is>
      </c>
      <c r="H1575" t="inlineStr">
        <is>
          <t>yes</t>
        </is>
      </c>
      <c r="I1575" t="inlineStr">
        <is>
          <t>15.0</t>
        </is>
      </c>
      <c r="J1575" t="inlineStr">
        <is>
          <t>derived</t>
        </is>
      </c>
      <c r="K1575" t="inlineStr">
        <is>
          <t>https://data.worldbank.org/indicator/NY.GNP.PCAP.PP.CD</t>
        </is>
      </c>
      <c r="L1575" t="inlineStr">
        <is>
          <t>Computed from city_inputs + country_context</t>
        </is>
      </c>
      <c r="M1575" t="inlineStr">
        <is>
          <t>2024-01-01</t>
        </is>
      </c>
      <c r="N1575" t="inlineStr">
        <is>
          <t>derived=rent/gross_income*100</t>
        </is>
      </c>
    </row>
    <row r="1576">
      <c r="A1576" t="inlineStr">
        <is>
          <t>ru-nizhny-novgorod</t>
        </is>
      </c>
      <c r="B1576" t="inlineStr">
        <is>
          <t>Nizhny Novgorod</t>
        </is>
      </c>
      <c r="C1576" t="inlineStr">
        <is>
          <t>Russia</t>
        </is>
      </c>
      <c r="D1576" t="inlineStr">
        <is>
          <t>Southern/Eastern Europe and Eurasia</t>
        </is>
      </c>
      <c r="E1576" t="inlineStr">
        <is>
          <t>household_debt_burden_raw</t>
        </is>
      </c>
      <c r="F1576" t="inlineStr">
        <is>
          <t>Household debt burden raw</t>
        </is>
      </c>
      <c r="G1576" t="inlineStr">
        <is>
          <t>pressure</t>
        </is>
      </c>
      <c r="H1576" t="inlineStr">
        <is>
          <t>yes</t>
        </is>
      </c>
      <c r="I1576" t="inlineStr">
        <is>
          <t>54.6413</t>
        </is>
      </c>
      <c r="J1576" t="inlineStr">
        <is>
          <t>derived</t>
        </is>
      </c>
      <c r="K1576" t="inlineStr">
        <is>
          <t>https://data.worldbank.org/indicator/NY.GNP.PCAP.PP.CD</t>
        </is>
      </c>
      <c r="L1576" t="inlineStr">
        <is>
          <t>Computed from city_inputs + country_context</t>
        </is>
      </c>
      <c r="M1576" t="inlineStr">
        <is>
          <t>2024-01-01</t>
        </is>
      </c>
      <c r="N1576" t="inlineStr">
        <is>
          <t>derived=country_context.household_debt_proxy; country=Russia</t>
        </is>
      </c>
    </row>
    <row r="1577">
      <c r="A1577" t="inlineStr">
        <is>
          <t>ru-nizhny-novgorod</t>
        </is>
      </c>
      <c r="B1577" t="inlineStr">
        <is>
          <t>Nizhny Novgorod</t>
        </is>
      </c>
      <c r="C1577" t="inlineStr">
        <is>
          <t>Russia</t>
        </is>
      </c>
      <c r="D1577" t="inlineStr">
        <is>
          <t>Southern/Eastern Europe and Eurasia</t>
        </is>
      </c>
      <c r="E1577" t="inlineStr">
        <is>
          <t>working_time_pressure_raw</t>
        </is>
      </c>
      <c r="F1577" t="inlineStr">
        <is>
          <t>Working time pressure raw</t>
        </is>
      </c>
      <c r="G1577" t="inlineStr">
        <is>
          <t>pressure</t>
        </is>
      </c>
      <c r="H1577" t="inlineStr">
        <is>
          <t>yes</t>
        </is>
      </c>
      <c r="I1577" t="inlineStr">
        <is>
          <t>39.17</t>
        </is>
      </c>
      <c r="J1577" t="inlineStr">
        <is>
          <t>ilo_ilostat</t>
        </is>
      </c>
      <c r="K1577" t="inlineStr">
        <is>
          <t>https://ilostat.ilo.org/data/indicator/?id=HOW_TEMP_SEX_ECO_NB_A&amp;ref_area=RUS</t>
        </is>
      </c>
      <c r="L1577" t="inlineStr">
        <is>
          <t>ILO ILOSTAT: Mean weekly hours actually worked per employed person</t>
        </is>
      </c>
      <c r="M1577" t="inlineStr">
        <is>
          <t>2024-12-31</t>
        </is>
      </c>
      <c r="N1577" t="inlineStr">
        <is>
          <t>auto_ingest=ilo_working_hours; indicator=HOW_TEMP_SEX_ECO_NB_A; year=2024; hours=39.17; country_proxy=Russia</t>
        </is>
      </c>
    </row>
    <row r="1578">
      <c r="A1578" t="inlineStr">
        <is>
          <t>ru-nizhny-novgorod</t>
        </is>
      </c>
      <c r="B1578" t="inlineStr">
        <is>
          <t>Nizhny Novgorod</t>
        </is>
      </c>
      <c r="C1578" t="inlineStr">
        <is>
          <t>Russia</t>
        </is>
      </c>
      <c r="D1578" t="inlineStr">
        <is>
          <t>Southern/Eastern Europe and Eurasia</t>
        </is>
      </c>
      <c r="E1578" t="inlineStr">
        <is>
          <t>suicide_mental_strain_raw</t>
        </is>
      </c>
      <c r="F1578" t="inlineStr">
        <is>
          <t>Suicide or mental strain raw</t>
        </is>
      </c>
      <c r="G1578" t="inlineStr">
        <is>
          <t>pressure</t>
        </is>
      </c>
      <c r="H1578" t="inlineStr">
        <is>
          <t>yes</t>
        </is>
      </c>
      <c r="I1578" t="inlineStr">
        <is>
          <t>21.37</t>
        </is>
      </c>
      <c r="J1578" t="inlineStr">
        <is>
          <t>who_gho</t>
        </is>
      </c>
      <c r="K1578" t="inlineStr">
        <is>
          <t>https://www.who.int/data/gho/data/indicators/indicator-details/GHO/SDGSUICIDE</t>
        </is>
      </c>
      <c r="L1578" t="inlineStr">
        <is>
          <t>WHO GHO: Age-standardized suicide rate (per 100,000 population)</t>
        </is>
      </c>
      <c r="M1578" t="inlineStr">
        <is>
          <t>2021-12-31</t>
        </is>
      </c>
      <c r="N1578" t="inlineStr">
        <is>
          <t>auto_ingest=who_gho; indicator=SDGSUICIDE; year=2021; country_proxy=Russia</t>
        </is>
      </c>
    </row>
    <row r="1579">
      <c r="A1579" t="inlineStr">
        <is>
          <t>ru-nizhny-novgorod</t>
        </is>
      </c>
      <c r="B1579" t="inlineStr">
        <is>
          <t>Nizhny Novgorod</t>
        </is>
      </c>
      <c r="C1579" t="inlineStr">
        <is>
          <t>Russia</t>
        </is>
      </c>
      <c r="D1579" t="inlineStr">
        <is>
          <t>Southern/Eastern Europe and Eurasia</t>
        </is>
      </c>
      <c r="E1579" t="inlineStr">
        <is>
          <t>personal_safety_raw</t>
        </is>
      </c>
      <c r="F1579" t="inlineStr">
        <is>
          <t>Personal safety raw</t>
        </is>
      </c>
      <c r="G1579" t="inlineStr">
        <is>
          <t>viability</t>
        </is>
      </c>
      <c r="H1579" t="inlineStr">
        <is>
          <t>yes</t>
        </is>
      </c>
      <c r="I1579" t="inlineStr">
        <is>
          <t>6.77</t>
        </is>
      </c>
      <c r="J1579" t="inlineStr">
        <is>
          <t>world_bank</t>
        </is>
      </c>
      <c r="K1579" t="inlineStr">
        <is>
          <t>https://api.worldbank.org/v2/country/RUS/indicator/VC.IHR.PSRC.P5?format=json&amp;mrv=10</t>
        </is>
      </c>
      <c r="L1579" t="inlineStr">
        <is>
          <t>UNODC via World Bank WDI: Intentional homicides (per 100,000 people)</t>
        </is>
      </c>
      <c r="M1579" t="inlineStr">
        <is>
          <t>2021-12-31</t>
        </is>
      </c>
      <c r="N1579" t="inlineStr">
        <is>
          <t>auto_ingest=unodc_safety; indicator=VC.IHR.PSRC.P5; year=2021; country_proxy=Russia</t>
        </is>
      </c>
    </row>
    <row r="1580">
      <c r="A1580" t="inlineStr">
        <is>
          <t>ru-nizhny-novgorod</t>
        </is>
      </c>
      <c r="B1580" t="inlineStr">
        <is>
          <t>Nizhny Novgorod</t>
        </is>
      </c>
      <c r="C1580" t="inlineStr">
        <is>
          <t>Russia</t>
        </is>
      </c>
      <c r="D1580" t="inlineStr">
        <is>
          <t>Southern/Eastern Europe and Eurasia</t>
        </is>
      </c>
      <c r="E1580" t="inlineStr">
        <is>
          <t>transit_access_commute_raw</t>
        </is>
      </c>
      <c r="F1580" t="inlineStr">
        <is>
          <t>Transit access and commute raw</t>
        </is>
      </c>
      <c r="G1580" t="inlineStr">
        <is>
          <t>viability</t>
        </is>
      </c>
      <c r="H1580" t="inlineStr">
        <is>
          <t>yes</t>
        </is>
      </c>
      <c r="I1580" t="inlineStr"/>
      <c r="J1580" t="inlineStr"/>
      <c r="K1580" t="inlineStr"/>
      <c r="L1580" t="inlineStr"/>
      <c r="M1580" t="inlineStr"/>
      <c r="N1580" t="inlineStr"/>
    </row>
    <row r="1581">
      <c r="A1581" t="inlineStr">
        <is>
          <t>ru-nizhny-novgorod</t>
        </is>
      </c>
      <c r="B1581" t="inlineStr">
        <is>
          <t>Nizhny Novgorod</t>
        </is>
      </c>
      <c r="C1581" t="inlineStr">
        <is>
          <t>Russia</t>
        </is>
      </c>
      <c r="D1581" t="inlineStr">
        <is>
          <t>Southern/Eastern Europe and Eurasia</t>
        </is>
      </c>
      <c r="E1581" t="inlineStr">
        <is>
          <t>clean_air_raw</t>
        </is>
      </c>
      <c r="F1581" t="inlineStr">
        <is>
          <t>Clean air raw</t>
        </is>
      </c>
      <c r="G1581" t="inlineStr">
        <is>
          <t>viability</t>
        </is>
      </c>
      <c r="H1581" t="inlineStr">
        <is>
          <t>yes</t>
        </is>
      </c>
      <c r="I1581" t="inlineStr"/>
      <c r="J1581" t="inlineStr"/>
      <c r="K1581" t="inlineStr"/>
      <c r="L1581" t="inlineStr"/>
      <c r="M1581" t="inlineStr"/>
      <c r="N1581" t="inlineStr"/>
    </row>
    <row r="1582">
      <c r="A1582" t="inlineStr">
        <is>
          <t>ru-nizhny-novgorod</t>
        </is>
      </c>
      <c r="B1582" t="inlineStr">
        <is>
          <t>Nizhny Novgorod</t>
        </is>
      </c>
      <c r="C1582" t="inlineStr">
        <is>
          <t>Russia</t>
        </is>
      </c>
      <c r="D1582" t="inlineStr">
        <is>
          <t>Southern/Eastern Europe and Eurasia</t>
        </is>
      </c>
      <c r="E1582" t="inlineStr">
        <is>
          <t>water_sanitation_utility_raw</t>
        </is>
      </c>
      <c r="F1582" t="inlineStr">
        <is>
          <t>Water, sanitation, and utility raw</t>
        </is>
      </c>
      <c r="G1582" t="inlineStr">
        <is>
          <t>viability</t>
        </is>
      </c>
      <c r="H1582" t="inlineStr">
        <is>
          <t>yes</t>
        </is>
      </c>
      <c r="I1582" t="inlineStr">
        <is>
          <t>76.26</t>
        </is>
      </c>
      <c r="J1582" t="inlineStr">
        <is>
          <t>world_bank</t>
        </is>
      </c>
      <c r="K1582" t="inlineStr">
        <is>
          <t>https://api.worldbank.org/v2/country/RUS/indicator/SH.H2O.SMDW.ZS?format=json&amp;mrv=10</t>
        </is>
      </c>
      <c r="L1582" t="inlineStr">
        <is>
          <t>World Bank WDI: People using safely managed drinking water services (% of population)</t>
        </is>
      </c>
      <c r="M1582" t="inlineStr">
        <is>
          <t>2024-12-31</t>
        </is>
      </c>
      <c r="N1582" t="inlineStr">
        <is>
          <t>auto_ingest=world_bank_proxy; indicator=SH.H2O.SMDW.ZS; year=2024; country_proxy=Russia</t>
        </is>
      </c>
    </row>
    <row r="1583">
      <c r="A1583" t="inlineStr">
        <is>
          <t>ru-nizhny-novgorod</t>
        </is>
      </c>
      <c r="B1583" t="inlineStr">
        <is>
          <t>Nizhny Novgorod</t>
        </is>
      </c>
      <c r="C1583" t="inlineStr">
        <is>
          <t>Russia</t>
        </is>
      </c>
      <c r="D1583" t="inlineStr">
        <is>
          <t>Southern/Eastern Europe and Eurasia</t>
        </is>
      </c>
      <c r="E1583" t="inlineStr">
        <is>
          <t>digital_infrastructure_raw</t>
        </is>
      </c>
      <c r="F1583" t="inlineStr">
        <is>
          <t>Digital infrastructure raw</t>
        </is>
      </c>
      <c r="G1583" t="inlineStr">
        <is>
          <t>viability</t>
        </is>
      </c>
      <c r="H1583" t="inlineStr">
        <is>
          <t>yes</t>
        </is>
      </c>
      <c r="I1583" t="inlineStr">
        <is>
          <t>25.82</t>
        </is>
      </c>
      <c r="J1583" t="inlineStr">
        <is>
          <t>world_bank</t>
        </is>
      </c>
      <c r="K1583" t="inlineStr">
        <is>
          <t>https://api.worldbank.org/v2/country/RUS/indicator/IT.NET.BBND.P2?format=json&amp;mrv=10</t>
        </is>
      </c>
      <c r="L1583" t="inlineStr">
        <is>
          <t>World Bank WDI: Fixed broadband subscriptions (per 100 people)</t>
        </is>
      </c>
      <c r="M1583" t="inlineStr">
        <is>
          <t>2023-12-31</t>
        </is>
      </c>
      <c r="N1583" t="inlineStr">
        <is>
          <t>auto_ingest=world_bank_proxy; indicator=IT.NET.BBND.P2; year=2023; country_proxy=Russia</t>
        </is>
      </c>
    </row>
    <row r="1584">
      <c r="A1584" t="inlineStr">
        <is>
          <t>ru-nizhny-novgorod</t>
        </is>
      </c>
      <c r="B1584" t="inlineStr">
        <is>
          <t>Nizhny Novgorod</t>
        </is>
      </c>
      <c r="C1584" t="inlineStr">
        <is>
          <t>Russia</t>
        </is>
      </c>
      <c r="D1584" t="inlineStr">
        <is>
          <t>Southern/Eastern Europe and Eurasia</t>
        </is>
      </c>
      <c r="E1584" t="inlineStr">
        <is>
          <t>climate_sunlight_livability_raw</t>
        </is>
      </c>
      <c r="F1584" t="inlineStr">
        <is>
          <t>Climate and sunlight livability raw</t>
        </is>
      </c>
      <c r="G1584" t="inlineStr">
        <is>
          <t>viability</t>
        </is>
      </c>
      <c r="H1584" t="inlineStr">
        <is>
          <t>yes</t>
        </is>
      </c>
      <c r="I1584" t="inlineStr"/>
      <c r="J1584" t="inlineStr"/>
      <c r="K1584" t="inlineStr"/>
      <c r="L1584" t="inlineStr"/>
      <c r="M1584" t="inlineStr"/>
      <c r="N1584" t="inlineStr"/>
    </row>
    <row r="1585">
      <c r="A1585" t="inlineStr">
        <is>
          <t>ru-nizhny-novgorod</t>
        </is>
      </c>
      <c r="B1585" t="inlineStr">
        <is>
          <t>Nizhny Novgorod</t>
        </is>
      </c>
      <c r="C1585" t="inlineStr">
        <is>
          <t>Russia</t>
        </is>
      </c>
      <c r="D1585" t="inlineStr">
        <is>
          <t>Southern/Eastern Europe and Eurasia</t>
        </is>
      </c>
      <c r="E1585" t="inlineStr">
        <is>
          <t>healthcare_quality_raw</t>
        </is>
      </c>
      <c r="F1585" t="inlineStr">
        <is>
          <t>Healthcare quality raw</t>
        </is>
      </c>
      <c r="G1585" t="inlineStr">
        <is>
          <t>capability</t>
        </is>
      </c>
      <c r="H1585" t="inlineStr">
        <is>
          <t>yes</t>
        </is>
      </c>
      <c r="I1585" t="inlineStr">
        <is>
          <t>81.0</t>
        </is>
      </c>
      <c r="J1585" t="inlineStr">
        <is>
          <t>who_gho</t>
        </is>
      </c>
      <c r="K1585" t="inlineStr">
        <is>
          <t>https://www.who.int/data/gho/data/indicators/indicator-details/GHO/UHC_INDEX_REPORTED</t>
        </is>
      </c>
      <c r="L1585" t="inlineStr">
        <is>
          <t>WHO GHO: UHC Service Coverage Index</t>
        </is>
      </c>
      <c r="M1585" t="inlineStr">
        <is>
          <t>2023-12-31</t>
        </is>
      </c>
      <c r="N1585" t="inlineStr">
        <is>
          <t>auto_ingest=who_gho; indicator=UHC_INDEX_REPORTED; year=2023; country_proxy=Russia</t>
        </is>
      </c>
    </row>
    <row r="1586">
      <c r="A1586" t="inlineStr">
        <is>
          <t>ru-nizhny-novgorod</t>
        </is>
      </c>
      <c r="B1586" t="inlineStr">
        <is>
          <t>Nizhny Novgorod</t>
        </is>
      </c>
      <c r="C1586" t="inlineStr">
        <is>
          <t>Russia</t>
        </is>
      </c>
      <c r="D1586" t="inlineStr">
        <is>
          <t>Southern/Eastern Europe and Eurasia</t>
        </is>
      </c>
      <c r="E1586" t="inlineStr">
        <is>
          <t>education_quality_raw</t>
        </is>
      </c>
      <c r="F1586" t="inlineStr">
        <is>
          <t>Education quality raw</t>
        </is>
      </c>
      <c r="G1586" t="inlineStr">
        <is>
          <t>capability</t>
        </is>
      </c>
      <c r="H1586" t="inlineStr">
        <is>
          <t>yes</t>
        </is>
      </c>
      <c r="I1586" t="inlineStr">
        <is>
          <t>60.39</t>
        </is>
      </c>
      <c r="J1586" t="inlineStr">
        <is>
          <t>world_bank</t>
        </is>
      </c>
      <c r="K1586" t="inlineStr">
        <is>
          <t>https://api.worldbank.org/v2/country/RUS/indicator/SE.TER.ENRR?format=json&amp;mrv=10</t>
        </is>
      </c>
      <c r="L1586" t="inlineStr">
        <is>
          <t>World Bank WDI: School enrollment, tertiary (% gross)</t>
        </is>
      </c>
      <c r="M1586" t="inlineStr">
        <is>
          <t>2024-12-31</t>
        </is>
      </c>
      <c r="N1586" t="inlineStr">
        <is>
          <t>auto_ingest=world_bank_proxy; indicator=SE.TER.ENRR; year=2024; country_proxy=Russia</t>
        </is>
      </c>
    </row>
    <row r="1587">
      <c r="A1587" t="inlineStr">
        <is>
          <t>ru-nizhny-novgorod</t>
        </is>
      </c>
      <c r="B1587" t="inlineStr">
        <is>
          <t>Nizhny Novgorod</t>
        </is>
      </c>
      <c r="C1587" t="inlineStr">
        <is>
          <t>Russia</t>
        </is>
      </c>
      <c r="D1587" t="inlineStr">
        <is>
          <t>Southern/Eastern Europe and Eurasia</t>
        </is>
      </c>
      <c r="E1587" t="inlineStr">
        <is>
          <t>equal_opportunity_raw</t>
        </is>
      </c>
      <c r="F1587" t="inlineStr">
        <is>
          <t>Equal opportunity raw</t>
        </is>
      </c>
      <c r="G1587" t="inlineStr">
        <is>
          <t>capability</t>
        </is>
      </c>
      <c r="H1587" t="inlineStr">
        <is>
          <t>yes</t>
        </is>
      </c>
      <c r="I1587" t="inlineStr">
        <is>
          <t>33.0</t>
        </is>
      </c>
      <c r="J1587" t="inlineStr">
        <is>
          <t>world_bank</t>
        </is>
      </c>
      <c r="K1587" t="inlineStr">
        <is>
          <t>https://api.worldbank.org/v2/country/RUS/indicator/SI.POV.GINI?format=json&amp;mrv=10</t>
        </is>
      </c>
      <c r="L1587" t="inlineStr">
        <is>
          <t>World Bank WDI: Gini index</t>
        </is>
      </c>
      <c r="M1587" t="inlineStr">
        <is>
          <t>2023-12-31</t>
        </is>
      </c>
      <c r="N1587" t="inlineStr">
        <is>
          <t>auto_ingest=world_bank_capability; indicator=SI.POV.GINI; year=2023; country_proxy=Russia</t>
        </is>
      </c>
    </row>
    <row r="1588">
      <c r="A1588" t="inlineStr">
        <is>
          <t>ru-nizhny-novgorod</t>
        </is>
      </c>
      <c r="B1588" t="inlineStr">
        <is>
          <t>Nizhny Novgorod</t>
        </is>
      </c>
      <c r="C1588" t="inlineStr">
        <is>
          <t>Russia</t>
        </is>
      </c>
      <c r="D1588" t="inlineStr">
        <is>
          <t>Southern/Eastern Europe and Eurasia</t>
        </is>
      </c>
      <c r="E1588" t="inlineStr">
        <is>
          <t>hospitality_belonging_raw</t>
        </is>
      </c>
      <c r="F1588" t="inlineStr">
        <is>
          <t>Hospitality and belonging raw</t>
        </is>
      </c>
      <c r="G1588" t="inlineStr">
        <is>
          <t>community</t>
        </is>
      </c>
      <c r="H1588" t="inlineStr">
        <is>
          <t>yes</t>
        </is>
      </c>
      <c r="I1588" t="inlineStr">
        <is>
          <t>48.25</t>
        </is>
      </c>
      <c r="J1588" t="inlineStr">
        <is>
          <t>world_bank</t>
        </is>
      </c>
      <c r="K1588" t="inlineStr">
        <is>
          <t>https://api.worldbank.org/v2/country/RUS/indicator/SM.POP.NETM?format=json&amp;mrv=10</t>
        </is>
      </c>
      <c r="L1588" t="inlineStr">
        <is>
          <t>World Bank WDI: Net migration (proxy for hospitality/belonging — positive = welcoming)</t>
        </is>
      </c>
      <c r="M1588" t="inlineStr">
        <is>
          <t>2025-12-31</t>
        </is>
      </c>
      <c r="N1588" t="inlineStr">
        <is>
          <t>auto_ingest=world_bank_proxy; proxy=net_migration_hospitality; indicator=SM.POP.NETM; year=2025; country_proxy=Russia</t>
        </is>
      </c>
    </row>
    <row r="1589">
      <c r="A1589" t="inlineStr">
        <is>
          <t>ru-nizhny-novgorod</t>
        </is>
      </c>
      <c r="B1589" t="inlineStr">
        <is>
          <t>Nizhny Novgorod</t>
        </is>
      </c>
      <c r="C1589" t="inlineStr">
        <is>
          <t>Russia</t>
        </is>
      </c>
      <c r="D1589" t="inlineStr">
        <is>
          <t>Southern/Eastern Europe and Eurasia</t>
        </is>
      </c>
      <c r="E1589" t="inlineStr">
        <is>
          <t>tolerance_pluralism_raw</t>
        </is>
      </c>
      <c r="F1589" t="inlineStr">
        <is>
          <t>Tolerance and pluralism raw</t>
        </is>
      </c>
      <c r="G1589" t="inlineStr">
        <is>
          <t>community</t>
        </is>
      </c>
      <c r="H1589" t="inlineStr">
        <is>
          <t>yes</t>
        </is>
      </c>
      <c r="I1589" t="inlineStr">
        <is>
          <t>16.44</t>
        </is>
      </c>
      <c r="J1589" t="inlineStr">
        <is>
          <t>world_bank</t>
        </is>
      </c>
      <c r="K1589" t="inlineStr">
        <is>
          <t>https://api.worldbank.org/v2/country/RUS/indicator/SG.GEN.PARL.ZS?format=json&amp;mrv=10</t>
        </is>
      </c>
      <c r="L1589" t="inlineStr">
        <is>
          <t>World Bank WDI: Proportion of seats held by women in national parliaments (%)</t>
        </is>
      </c>
      <c r="M1589" t="inlineStr">
        <is>
          <t>2024-12-31</t>
        </is>
      </c>
      <c r="N1589" t="inlineStr">
        <is>
          <t>auto_ingest=world_bank_proxy; proxy=gender_parity_parliament; indicator=SG.GEN.PARL.ZS; year=2024; country_proxy=Russia</t>
        </is>
      </c>
    </row>
    <row r="1590">
      <c r="A1590" t="inlineStr">
        <is>
          <t>ru-nizhny-novgorod</t>
        </is>
      </c>
      <c r="B1590" t="inlineStr">
        <is>
          <t>Nizhny Novgorod</t>
        </is>
      </c>
      <c r="C1590" t="inlineStr">
        <is>
          <t>Russia</t>
        </is>
      </c>
      <c r="D1590" t="inlineStr">
        <is>
          <t>Southern/Eastern Europe and Eurasia</t>
        </is>
      </c>
      <c r="E1590" t="inlineStr">
        <is>
          <t>cultural_public_life_raw</t>
        </is>
      </c>
      <c r="F1590" t="inlineStr">
        <is>
          <t>Cultural public life raw</t>
        </is>
      </c>
      <c r="G1590" t="inlineStr">
        <is>
          <t>community</t>
        </is>
      </c>
      <c r="H1590" t="inlineStr">
        <is>
          <t>yes</t>
        </is>
      </c>
      <c r="I1590" t="inlineStr">
        <is>
          <t>44.3</t>
        </is>
      </c>
      <c r="J1590" t="inlineStr">
        <is>
          <t>world_bank</t>
        </is>
      </c>
      <c r="K1590" t="inlineStr">
        <is>
          <t>https://api.worldbank.org/v2/country/RUS/indicator/ST.INT.ARVL?format=json&amp;mrv=10</t>
        </is>
      </c>
      <c r="L1590" t="inlineStr">
        <is>
          <t>World Bank WDI: International tourism arrivals per 1 000 population</t>
        </is>
      </c>
      <c r="M1590" t="inlineStr">
        <is>
          <t>2020-12-31</t>
        </is>
      </c>
      <c r="N1590" t="inlineStr">
        <is>
          <t>auto_ingest=cultural_life_proxy; indicator=ST.INT.ARVL; norm=per_1000_pop; year=2020; country_proxy=Russia</t>
        </is>
      </c>
    </row>
    <row r="1591">
      <c r="A1591" t="inlineStr">
        <is>
          <t>ru-nizhny-novgorod</t>
        </is>
      </c>
      <c r="B1591" t="inlineStr">
        <is>
          <t>Nizhny Novgorod</t>
        </is>
      </c>
      <c r="C1591" t="inlineStr">
        <is>
          <t>Russia</t>
        </is>
      </c>
      <c r="D1591" t="inlineStr">
        <is>
          <t>Southern/Eastern Europe and Eurasia</t>
        </is>
      </c>
      <c r="E1591" t="inlineStr">
        <is>
          <t>birth_rate_optimism_raw</t>
        </is>
      </c>
      <c r="F1591" t="inlineStr">
        <is>
          <t>Birth rate and societal optimism raw</t>
        </is>
      </c>
      <c r="G1591" t="inlineStr">
        <is>
          <t>community</t>
        </is>
      </c>
      <c r="H1591" t="inlineStr">
        <is>
          <t>yes</t>
        </is>
      </c>
      <c r="I1591" t="inlineStr"/>
      <c r="J1591" t="inlineStr"/>
      <c r="K1591" t="inlineStr"/>
      <c r="L1591" t="inlineStr"/>
      <c r="M1591" t="inlineStr"/>
      <c r="N1591" t="inlineStr"/>
    </row>
    <row r="1592">
      <c r="A1592" t="inlineStr">
        <is>
          <t>ru-nizhny-novgorod</t>
        </is>
      </c>
      <c r="B1592" t="inlineStr">
        <is>
          <t>Nizhny Novgorod</t>
        </is>
      </c>
      <c r="C1592" t="inlineStr">
        <is>
          <t>Russia</t>
        </is>
      </c>
      <c r="D1592" t="inlineStr">
        <is>
          <t>Southern/Eastern Europe and Eurasia</t>
        </is>
      </c>
      <c r="E1592" t="inlineStr">
        <is>
          <t>entrepreneurial_dynamism_raw</t>
        </is>
      </c>
      <c r="F1592" t="inlineStr">
        <is>
          <t>Entrepreneurial dynamism raw</t>
        </is>
      </c>
      <c r="G1592" t="inlineStr">
        <is>
          <t>creative</t>
        </is>
      </c>
      <c r="H1592" t="inlineStr">
        <is>
          <t>yes</t>
        </is>
      </c>
      <c r="I1592" t="inlineStr">
        <is>
          <t>2.52</t>
        </is>
      </c>
      <c r="J1592" t="inlineStr">
        <is>
          <t>world_bank</t>
        </is>
      </c>
      <c r="K1592" t="inlineStr">
        <is>
          <t>https://api.worldbank.org/v2/country/RUS/indicator/IC.BUS.NDNS.ZS?format=json&amp;mrv=10</t>
        </is>
      </c>
      <c r="L1592" t="inlineStr">
        <is>
          <t>World Bank WDI: New business density (new registrations per 1,000 people ages 15-64)</t>
        </is>
      </c>
      <c r="M1592" t="inlineStr">
        <is>
          <t>2022-12-31</t>
        </is>
      </c>
      <c r="N1592" t="inlineStr">
        <is>
          <t>auto_ingest=world_bank_creative_extended; indicator=IC.BUS.NDNS.ZS; year=2022; country_proxy=Russia</t>
        </is>
      </c>
    </row>
    <row r="1593">
      <c r="A1593" t="inlineStr">
        <is>
          <t>ru-nizhny-novgorod</t>
        </is>
      </c>
      <c r="B1593" t="inlineStr">
        <is>
          <t>Nizhny Novgorod</t>
        </is>
      </c>
      <c r="C1593" t="inlineStr">
        <is>
          <t>Russia</t>
        </is>
      </c>
      <c r="D1593" t="inlineStr">
        <is>
          <t>Southern/Eastern Europe and Eurasia</t>
        </is>
      </c>
      <c r="E1593" t="inlineStr">
        <is>
          <t>innovation_research_intensity_raw</t>
        </is>
      </c>
      <c r="F1593" t="inlineStr">
        <is>
          <t>Innovation and research raw</t>
        </is>
      </c>
      <c r="G1593" t="inlineStr">
        <is>
          <t>creative</t>
        </is>
      </c>
      <c r="H1593" t="inlineStr">
        <is>
          <t>yes</t>
        </is>
      </c>
      <c r="I1593" t="inlineStr">
        <is>
          <t>0.93</t>
        </is>
      </c>
      <c r="J1593" t="inlineStr">
        <is>
          <t>world_bank</t>
        </is>
      </c>
      <c r="K1593" t="inlineStr">
        <is>
          <t>https://api.worldbank.org/v2/country/RUS/indicator/GB.XPD.RSDV.GD.ZS?format=json&amp;mrv=10</t>
        </is>
      </c>
      <c r="L1593" t="inlineStr">
        <is>
          <t>World Bank WDI: Research and development expenditure (% of GDP)</t>
        </is>
      </c>
      <c r="M1593" t="inlineStr">
        <is>
          <t>2022-12-31</t>
        </is>
      </c>
      <c r="N1593" t="inlineStr">
        <is>
          <t>auto_ingest=world_bank_creative_extended; indicator=GB.XPD.RSDV.GD.ZS; year=2022; country_proxy=Russia</t>
        </is>
      </c>
    </row>
    <row r="1594">
      <c r="A1594" t="inlineStr">
        <is>
          <t>ru-nizhny-novgorod</t>
        </is>
      </c>
      <c r="B1594" t="inlineStr">
        <is>
          <t>Nizhny Novgorod</t>
        </is>
      </c>
      <c r="C1594" t="inlineStr">
        <is>
          <t>Russia</t>
        </is>
      </c>
      <c r="D1594" t="inlineStr">
        <is>
          <t>Southern/Eastern Europe and Eurasia</t>
        </is>
      </c>
      <c r="E1594" t="inlineStr">
        <is>
          <t>investment_signal_raw</t>
        </is>
      </c>
      <c r="F1594" t="inlineStr">
        <is>
          <t>Investment signal raw</t>
        </is>
      </c>
      <c r="G1594" t="inlineStr">
        <is>
          <t>creative</t>
        </is>
      </c>
      <c r="H1594" t="inlineStr">
        <is>
          <t>yes</t>
        </is>
      </c>
      <c r="I1594" t="inlineStr">
        <is>
          <t>-0.43</t>
        </is>
      </c>
      <c r="J1594" t="inlineStr">
        <is>
          <t>world_bank</t>
        </is>
      </c>
      <c r="K1594" t="inlineStr">
        <is>
          <t>https://api.worldbank.org/v2/country/RUS/indicator/BX.KLT.DINV.WD.GD.ZS?format=json&amp;mrv=10</t>
        </is>
      </c>
      <c r="L1594" t="inlineStr">
        <is>
          <t>World Bank WDI: Foreign direct investment, net inflows (% of GDP)</t>
        </is>
      </c>
      <c r="M1594" t="inlineStr">
        <is>
          <t>2024-12-31</t>
        </is>
      </c>
      <c r="N1594" t="inlineStr">
        <is>
          <t>auto_ingest=world_bank_creative_extended; indicator=BX.KLT.DINV.WD.GD.ZS; year=2024; country_proxy=Russia</t>
        </is>
      </c>
    </row>
    <row r="1595">
      <c r="A1595" t="inlineStr">
        <is>
          <t>ru-nizhny-novgorod</t>
        </is>
      </c>
      <c r="B1595" t="inlineStr">
        <is>
          <t>Nizhny Novgorod</t>
        </is>
      </c>
      <c r="C1595" t="inlineStr">
        <is>
          <t>Russia</t>
        </is>
      </c>
      <c r="D1595" t="inlineStr">
        <is>
          <t>Southern/Eastern Europe and Eurasia</t>
        </is>
      </c>
      <c r="E1595" t="inlineStr">
        <is>
          <t>administrative_investment_friction_raw</t>
        </is>
      </c>
      <c r="F1595" t="inlineStr">
        <is>
          <t>Administrative investment friction raw</t>
        </is>
      </c>
      <c r="G1595" t="inlineStr">
        <is>
          <t>creative</t>
        </is>
      </c>
      <c r="H1595" t="inlineStr">
        <is>
          <t>yes</t>
        </is>
      </c>
      <c r="I1595" t="inlineStr">
        <is>
          <t>3.62</t>
        </is>
      </c>
      <c r="J1595" t="inlineStr">
        <is>
          <t>world_bank</t>
        </is>
      </c>
      <c r="K1595" t="inlineStr">
        <is>
          <t>https://api.worldbank.org/v2/country/RUS/indicator/RQ.EST?format=json&amp;mrv=10</t>
        </is>
      </c>
      <c r="L1595" t="inlineStr">
        <is>
          <t>World Bank WGI: Regulatory Quality (inverted as friction proxy)</t>
        </is>
      </c>
      <c r="M1595" t="inlineStr">
        <is>
          <t>2023-12-31</t>
        </is>
      </c>
      <c r="N1595" t="inlineStr">
        <is>
          <t>auto_ingest=world_bank_business_friction; indicator=RQ.EST; raw_rq=-1.12207186222076; friction=3.62; year=2023; country_proxy=Russia</t>
        </is>
      </c>
    </row>
    <row r="1596">
      <c r="A1596" t="inlineStr">
        <is>
          <t>ru-nizhny-novgorod</t>
        </is>
      </c>
      <c r="B1596" t="inlineStr">
        <is>
          <t>Nizhny Novgorod</t>
        </is>
      </c>
      <c r="C1596" t="inlineStr">
        <is>
          <t>Russia</t>
        </is>
      </c>
      <c r="D1596" t="inlineStr">
        <is>
          <t>Southern/Eastern Europe and Eurasia</t>
        </is>
      </c>
      <c r="E1596" t="inlineStr">
        <is>
          <t>visitor_flow_context_raw</t>
        </is>
      </c>
      <c r="F1596" t="inlineStr">
        <is>
          <t>Visitor flow context raw</t>
        </is>
      </c>
      <c r="G1596" t="inlineStr">
        <is>
          <t>creative</t>
        </is>
      </c>
      <c r="H1596" t="inlineStr">
        <is>
          <t>no</t>
        </is>
      </c>
      <c r="I1596" t="inlineStr"/>
      <c r="J1596" t="inlineStr"/>
      <c r="K1596" t="inlineStr"/>
      <c r="L1596" t="inlineStr"/>
      <c r="M1596" t="inlineStr"/>
      <c r="N1596" t="inlineStr"/>
    </row>
    <row r="1597">
      <c r="A1597" t="inlineStr">
        <is>
          <t>pl-katowice</t>
        </is>
      </c>
      <c r="B1597" t="inlineStr">
        <is>
          <t>Katowice</t>
        </is>
      </c>
      <c r="C1597" t="inlineStr">
        <is>
          <t>Poland</t>
        </is>
      </c>
      <c r="D1597" t="inlineStr">
        <is>
          <t>Southern/Eastern Europe and Eurasia</t>
        </is>
      </c>
      <c r="E1597" t="inlineStr">
        <is>
          <t>gross_income</t>
        </is>
      </c>
      <c r="F1597" t="inlineStr">
        <is>
          <t>Gross income</t>
        </is>
      </c>
      <c r="G1597" t="inlineStr">
        <is>
          <t>pressure</t>
        </is>
      </c>
      <c r="H1597" t="inlineStr">
        <is>
          <t>yes</t>
        </is>
      </c>
      <c r="I1597" t="inlineStr">
        <is>
          <t>4128.33</t>
        </is>
      </c>
      <c r="J1597" t="inlineStr">
        <is>
          <t>world_bank_col_estimate</t>
        </is>
      </c>
      <c r="K1597" t="inlineStr">
        <is>
          <t>https://api.worldbank.org/v2/country/POL/indicator/NY.GNP.PCAP.PP.CD?format=json&amp;mrv=10</t>
        </is>
      </c>
      <c r="L1597" t="inlineStr">
        <is>
          <t>World Bank WDI: GNI per capita PPP (monthly USD)</t>
        </is>
      </c>
      <c r="M1597" t="inlineStr">
        <is>
          <t>2024-12-31</t>
        </is>
      </c>
      <c r="N1597" t="inlineStr">
        <is>
          <t>auto_ingest=world_bank_col_estimate; gni_annual=49540.0; year=2024; country_proxy=Poland; cohort=Southern/Eastern Europe and Eurasia</t>
        </is>
      </c>
    </row>
    <row r="1598">
      <c r="A1598" t="inlineStr">
        <is>
          <t>pl-katowice</t>
        </is>
      </c>
      <c r="B1598" t="inlineStr">
        <is>
          <t>Katowice</t>
        </is>
      </c>
      <c r="C1598" t="inlineStr">
        <is>
          <t>Poland</t>
        </is>
      </c>
      <c r="D1598" t="inlineStr">
        <is>
          <t>Southern/Eastern Europe and Eurasia</t>
        </is>
      </c>
      <c r="E1598" t="inlineStr">
        <is>
          <t>di_ppp_raw</t>
        </is>
      </c>
      <c r="F1598" t="inlineStr">
        <is>
          <t>Disposable income PPP (Raw)</t>
        </is>
      </c>
      <c r="G1598" t="inlineStr">
        <is>
          <t>pressure</t>
        </is>
      </c>
      <c r="H1598" t="inlineStr">
        <is>
          <t>yes</t>
        </is>
      </c>
      <c r="I1598" t="inlineStr"/>
      <c r="J1598" t="inlineStr"/>
      <c r="K1598" t="inlineStr"/>
      <c r="L1598" t="inlineStr"/>
      <c r="M1598" t="inlineStr"/>
      <c r="N1598" t="inlineStr"/>
    </row>
    <row r="1599">
      <c r="A1599" t="inlineStr">
        <is>
          <t>pl-katowice</t>
        </is>
      </c>
      <c r="B1599" t="inlineStr">
        <is>
          <t>Katowice</t>
        </is>
      </c>
      <c r="C1599" t="inlineStr">
        <is>
          <t>Poland</t>
        </is>
      </c>
      <c r="D1599" t="inlineStr">
        <is>
          <t>Southern/Eastern Europe and Eurasia</t>
        </is>
      </c>
      <c r="E1599" t="inlineStr">
        <is>
          <t>rent</t>
        </is>
      </c>
      <c r="F1599" t="inlineStr">
        <is>
          <t>Rent</t>
        </is>
      </c>
      <c r="G1599" t="inlineStr">
        <is>
          <t>pressure</t>
        </is>
      </c>
      <c r="H1599" t="inlineStr">
        <is>
          <t>yes</t>
        </is>
      </c>
      <c r="I1599" t="inlineStr">
        <is>
          <t>825.67</t>
        </is>
      </c>
      <c r="J1599" t="inlineStr">
        <is>
          <t>world_bank_col_estimate</t>
        </is>
      </c>
      <c r="K1599" t="inlineStr">
        <is>
          <t>https://api.worldbank.org/v2/country/POL/indicator/NY.GNP.PCAP.PP.CD?format=json&amp;mrv=10</t>
        </is>
      </c>
      <c r="L1599" t="inlineStr">
        <is>
          <t>World Bank GNI + regional expenditure ratio estimate</t>
        </is>
      </c>
      <c r="M1599" t="inlineStr">
        <is>
          <t>2024-12-31</t>
        </is>
      </c>
      <c r="N1599" t="inlineStr">
        <is>
          <t>auto_ingest=world_bank_col_estimate; gni_annual=49540.0; year=2024; country_proxy=Poland; cohort=Southern/Eastern Europe and Eurasia; city_cost_mult=0.8</t>
        </is>
      </c>
    </row>
    <row r="1600">
      <c r="A1600" t="inlineStr">
        <is>
          <t>pl-katowice</t>
        </is>
      </c>
      <c r="B1600" t="inlineStr">
        <is>
          <t>Katowice</t>
        </is>
      </c>
      <c r="C1600" t="inlineStr">
        <is>
          <t>Poland</t>
        </is>
      </c>
      <c r="D1600" t="inlineStr">
        <is>
          <t>Southern/Eastern Europe and Eurasia</t>
        </is>
      </c>
      <c r="E1600" t="inlineStr">
        <is>
          <t>utilities</t>
        </is>
      </c>
      <c r="F1600" t="inlineStr">
        <is>
          <t>Utilities</t>
        </is>
      </c>
      <c r="G1600" t="inlineStr">
        <is>
          <t>pressure</t>
        </is>
      </c>
      <c r="H1600" t="inlineStr">
        <is>
          <t>yes</t>
        </is>
      </c>
      <c r="I1600" t="inlineStr">
        <is>
          <t>264.21</t>
        </is>
      </c>
      <c r="J1600" t="inlineStr">
        <is>
          <t>world_bank_col_estimate</t>
        </is>
      </c>
      <c r="K1600" t="inlineStr">
        <is>
          <t>https://api.worldbank.org/v2/country/POL/indicator/NY.GNP.PCAP.PP.CD?format=json&amp;mrv=10</t>
        </is>
      </c>
      <c r="L1600" t="inlineStr">
        <is>
          <t>World Bank GNI + regional expenditure ratio estimate</t>
        </is>
      </c>
      <c r="M1600" t="inlineStr">
        <is>
          <t>2024-12-31</t>
        </is>
      </c>
      <c r="N1600" t="inlineStr">
        <is>
          <t>auto_ingest=world_bank_col_estimate; gni_annual=49540.0; year=2024; country_proxy=Poland; cohort=Southern/Eastern Europe and Eurasia; city_cost_mult=0.8</t>
        </is>
      </c>
    </row>
    <row r="1601">
      <c r="A1601" t="inlineStr">
        <is>
          <t>pl-katowice</t>
        </is>
      </c>
      <c r="B1601" t="inlineStr">
        <is>
          <t>Katowice</t>
        </is>
      </c>
      <c r="C1601" t="inlineStr">
        <is>
          <t>Poland</t>
        </is>
      </c>
      <c r="D1601" t="inlineStr">
        <is>
          <t>Southern/Eastern Europe and Eurasia</t>
        </is>
      </c>
      <c r="E1601" t="inlineStr">
        <is>
          <t>transit_cost</t>
        </is>
      </c>
      <c r="F1601" t="inlineStr">
        <is>
          <t>Transit cost</t>
        </is>
      </c>
      <c r="G1601" t="inlineStr">
        <is>
          <t>pressure</t>
        </is>
      </c>
      <c r="H1601" t="inlineStr">
        <is>
          <t>yes</t>
        </is>
      </c>
      <c r="I1601" t="inlineStr">
        <is>
          <t>132.11</t>
        </is>
      </c>
      <c r="J1601" t="inlineStr">
        <is>
          <t>world_bank_col_estimate</t>
        </is>
      </c>
      <c r="K1601" t="inlineStr">
        <is>
          <t>https://api.worldbank.org/v2/country/POL/indicator/NY.GNP.PCAP.PP.CD?format=json&amp;mrv=10</t>
        </is>
      </c>
      <c r="L1601" t="inlineStr">
        <is>
          <t>World Bank GNI + regional expenditure ratio estimate</t>
        </is>
      </c>
      <c r="M1601" t="inlineStr">
        <is>
          <t>2024-12-31</t>
        </is>
      </c>
      <c r="N1601" t="inlineStr">
        <is>
          <t>auto_ingest=world_bank_col_estimate; gni_annual=49540.0; year=2024; country_proxy=Poland; cohort=Southern/Eastern Europe and Eurasia; city_cost_mult=0.8</t>
        </is>
      </c>
    </row>
    <row r="1602">
      <c r="A1602" t="inlineStr">
        <is>
          <t>pl-katowice</t>
        </is>
      </c>
      <c r="B1602" t="inlineStr">
        <is>
          <t>Katowice</t>
        </is>
      </c>
      <c r="C1602" t="inlineStr">
        <is>
          <t>Poland</t>
        </is>
      </c>
      <c r="D1602" t="inlineStr">
        <is>
          <t>Southern/Eastern Europe and Eurasia</t>
        </is>
      </c>
      <c r="E1602" t="inlineStr">
        <is>
          <t>internet_cost</t>
        </is>
      </c>
      <c r="F1602" t="inlineStr">
        <is>
          <t>Internet cost</t>
        </is>
      </c>
      <c r="G1602" t="inlineStr">
        <is>
          <t>pressure</t>
        </is>
      </c>
      <c r="H1602" t="inlineStr">
        <is>
          <t>yes</t>
        </is>
      </c>
      <c r="I1602" t="inlineStr">
        <is>
          <t>49.54</t>
        </is>
      </c>
      <c r="J1602" t="inlineStr">
        <is>
          <t>world_bank_col_estimate</t>
        </is>
      </c>
      <c r="K1602" t="inlineStr">
        <is>
          <t>https://api.worldbank.org/v2/country/POL/indicator/NY.GNP.PCAP.PP.CD?format=json&amp;mrv=10</t>
        </is>
      </c>
      <c r="L1602" t="inlineStr">
        <is>
          <t>World Bank GNI + regional expenditure ratio estimate</t>
        </is>
      </c>
      <c r="M1602" t="inlineStr">
        <is>
          <t>2024-12-31</t>
        </is>
      </c>
      <c r="N1602" t="inlineStr">
        <is>
          <t>auto_ingest=world_bank_col_estimate; gni_annual=49540.0; year=2024; country_proxy=Poland; cohort=Southern/Eastern Europe and Eurasia; city_cost_mult=0.8</t>
        </is>
      </c>
    </row>
    <row r="1603">
      <c r="A1603" t="inlineStr">
        <is>
          <t>pl-katowice</t>
        </is>
      </c>
      <c r="B1603" t="inlineStr">
        <is>
          <t>Katowice</t>
        </is>
      </c>
      <c r="C1603" t="inlineStr">
        <is>
          <t>Poland</t>
        </is>
      </c>
      <c r="D1603" t="inlineStr">
        <is>
          <t>Southern/Eastern Europe and Eurasia</t>
        </is>
      </c>
      <c r="E1603" t="inlineStr">
        <is>
          <t>food_cost</t>
        </is>
      </c>
      <c r="F1603" t="inlineStr">
        <is>
          <t>Food cost</t>
        </is>
      </c>
      <c r="G1603" t="inlineStr">
        <is>
          <t>pressure</t>
        </is>
      </c>
      <c r="H1603" t="inlineStr">
        <is>
          <t>yes</t>
        </is>
      </c>
      <c r="I1603" t="inlineStr">
        <is>
          <t>660.53</t>
        </is>
      </c>
      <c r="J1603" t="inlineStr">
        <is>
          <t>world_bank_col_estimate</t>
        </is>
      </c>
      <c r="K1603" t="inlineStr">
        <is>
          <t>https://api.worldbank.org/v2/country/POL/indicator/NY.GNP.PCAP.PP.CD?format=json&amp;mrv=10</t>
        </is>
      </c>
      <c r="L1603" t="inlineStr">
        <is>
          <t>World Bank GNI + regional expenditure ratio estimate</t>
        </is>
      </c>
      <c r="M1603" t="inlineStr">
        <is>
          <t>2024-12-31</t>
        </is>
      </c>
      <c r="N1603" t="inlineStr">
        <is>
          <t>auto_ingest=world_bank_col_estimate; gni_annual=49540.0; year=2024; country_proxy=Poland; cohort=Southern/Eastern Europe and Eurasia; city_cost_mult=0.8</t>
        </is>
      </c>
    </row>
    <row r="1604">
      <c r="A1604" t="inlineStr">
        <is>
          <t>pl-katowice</t>
        </is>
      </c>
      <c r="B1604" t="inlineStr">
        <is>
          <t>Katowice</t>
        </is>
      </c>
      <c r="C1604" t="inlineStr">
        <is>
          <t>Poland</t>
        </is>
      </c>
      <c r="D1604" t="inlineStr">
        <is>
          <t>Southern/Eastern Europe and Eurasia</t>
        </is>
      </c>
      <c r="E1604" t="inlineStr">
        <is>
          <t>housing_burden_raw</t>
        </is>
      </c>
      <c r="F1604" t="inlineStr">
        <is>
          <t>Housing burden raw</t>
        </is>
      </c>
      <c r="G1604" t="inlineStr">
        <is>
          <t>pressure</t>
        </is>
      </c>
      <c r="H1604" t="inlineStr">
        <is>
          <t>yes</t>
        </is>
      </c>
      <c r="I1604" t="inlineStr">
        <is>
          <t>20.0001</t>
        </is>
      </c>
      <c r="J1604" t="inlineStr">
        <is>
          <t>derived</t>
        </is>
      </c>
      <c r="K1604" t="inlineStr">
        <is>
          <t>https://data.worldbank.org/indicator/NY.GNP.PCAP.PP.CD</t>
        </is>
      </c>
      <c r="L1604" t="inlineStr">
        <is>
          <t>Computed from city_inputs + country_context</t>
        </is>
      </c>
      <c r="M1604" t="inlineStr">
        <is>
          <t>2024-01-01</t>
        </is>
      </c>
      <c r="N1604" t="inlineStr">
        <is>
          <t>derived=rent/gross_income*100</t>
        </is>
      </c>
    </row>
    <row r="1605">
      <c r="A1605" t="inlineStr">
        <is>
          <t>pl-katowice</t>
        </is>
      </c>
      <c r="B1605" t="inlineStr">
        <is>
          <t>Katowice</t>
        </is>
      </c>
      <c r="C1605" t="inlineStr">
        <is>
          <t>Poland</t>
        </is>
      </c>
      <c r="D1605" t="inlineStr">
        <is>
          <t>Southern/Eastern Europe and Eurasia</t>
        </is>
      </c>
      <c r="E1605" t="inlineStr">
        <is>
          <t>household_debt_burden_raw</t>
        </is>
      </c>
      <c r="F1605" t="inlineStr">
        <is>
          <t>Household debt burden raw</t>
        </is>
      </c>
      <c r="G1605" t="inlineStr">
        <is>
          <t>pressure</t>
        </is>
      </c>
      <c r="H1605" t="inlineStr">
        <is>
          <t>yes</t>
        </is>
      </c>
      <c r="I1605" t="inlineStr">
        <is>
          <t>33.5851</t>
        </is>
      </c>
      <c r="J1605" t="inlineStr">
        <is>
          <t>derived</t>
        </is>
      </c>
      <c r="K1605" t="inlineStr">
        <is>
          <t>https://data.worldbank.org/indicator/NY.GNP.PCAP.PP.CD</t>
        </is>
      </c>
      <c r="L1605" t="inlineStr">
        <is>
          <t>Computed from city_inputs + country_context</t>
        </is>
      </c>
      <c r="M1605" t="inlineStr">
        <is>
          <t>2024-01-01</t>
        </is>
      </c>
      <c r="N1605" t="inlineStr">
        <is>
          <t>derived=country_context.household_debt_proxy; country=Poland</t>
        </is>
      </c>
    </row>
    <row r="1606">
      <c r="A1606" t="inlineStr">
        <is>
          <t>pl-katowice</t>
        </is>
      </c>
      <c r="B1606" t="inlineStr">
        <is>
          <t>Katowice</t>
        </is>
      </c>
      <c r="C1606" t="inlineStr">
        <is>
          <t>Poland</t>
        </is>
      </c>
      <c r="D1606" t="inlineStr">
        <is>
          <t>Southern/Eastern Europe and Eurasia</t>
        </is>
      </c>
      <c r="E1606" t="inlineStr">
        <is>
          <t>working_time_pressure_raw</t>
        </is>
      </c>
      <c r="F1606" t="inlineStr">
        <is>
          <t>Working time pressure raw</t>
        </is>
      </c>
      <c r="G1606" t="inlineStr">
        <is>
          <t>pressure</t>
        </is>
      </c>
      <c r="H1606" t="inlineStr">
        <is>
          <t>yes</t>
        </is>
      </c>
      <c r="I1606" t="inlineStr">
        <is>
          <t>38.63</t>
        </is>
      </c>
      <c r="J1606" t="inlineStr">
        <is>
          <t>ilo_ilostat</t>
        </is>
      </c>
      <c r="K1606" t="inlineStr">
        <is>
          <t>https://ilostat.ilo.org/data/indicator/?id=HOW_TEMP_SEX_ECO_NB_A&amp;ref_area=POL</t>
        </is>
      </c>
      <c r="L1606" t="inlineStr">
        <is>
          <t>ILO ILOSTAT: Mean weekly hours actually worked per employed person</t>
        </is>
      </c>
      <c r="M1606" t="inlineStr">
        <is>
          <t>2024-12-31</t>
        </is>
      </c>
      <c r="N1606" t="inlineStr">
        <is>
          <t>auto_ingest=ilo_working_hours; indicator=HOW_TEMP_SEX_ECO_NB_A; year=2024; hours=38.63; country_proxy=Poland</t>
        </is>
      </c>
    </row>
    <row r="1607">
      <c r="A1607" t="inlineStr">
        <is>
          <t>pl-katowice</t>
        </is>
      </c>
      <c r="B1607" t="inlineStr">
        <is>
          <t>Katowice</t>
        </is>
      </c>
      <c r="C1607" t="inlineStr">
        <is>
          <t>Poland</t>
        </is>
      </c>
      <c r="D1607" t="inlineStr">
        <is>
          <t>Southern/Eastern Europe and Eurasia</t>
        </is>
      </c>
      <c r="E1607" t="inlineStr">
        <is>
          <t>suicide_mental_strain_raw</t>
        </is>
      </c>
      <c r="F1607" t="inlineStr">
        <is>
          <t>Suicide or mental strain raw</t>
        </is>
      </c>
      <c r="G1607" t="inlineStr">
        <is>
          <t>pressure</t>
        </is>
      </c>
      <c r="H1607" t="inlineStr">
        <is>
          <t>yes</t>
        </is>
      </c>
      <c r="I1607" t="inlineStr">
        <is>
          <t>13.67</t>
        </is>
      </c>
      <c r="J1607" t="inlineStr">
        <is>
          <t>who_gho</t>
        </is>
      </c>
      <c r="K1607" t="inlineStr">
        <is>
          <t>https://www.who.int/data/gho/data/indicators/indicator-details/GHO/SDGSUICIDE</t>
        </is>
      </c>
      <c r="L1607" t="inlineStr">
        <is>
          <t>WHO GHO: Age-standardized suicide rate (per 100,000 population)</t>
        </is>
      </c>
      <c r="M1607" t="inlineStr">
        <is>
          <t>2021-12-31</t>
        </is>
      </c>
      <c r="N1607" t="inlineStr">
        <is>
          <t>auto_ingest=who_gho; indicator=SDGSUICIDE; year=2021; country_proxy=Poland</t>
        </is>
      </c>
    </row>
    <row r="1608">
      <c r="A1608" t="inlineStr">
        <is>
          <t>pl-katowice</t>
        </is>
      </c>
      <c r="B1608" t="inlineStr">
        <is>
          <t>Katowice</t>
        </is>
      </c>
      <c r="C1608" t="inlineStr">
        <is>
          <t>Poland</t>
        </is>
      </c>
      <c r="D1608" t="inlineStr">
        <is>
          <t>Southern/Eastern Europe and Eurasia</t>
        </is>
      </c>
      <c r="E1608" t="inlineStr">
        <is>
          <t>personal_safety_raw</t>
        </is>
      </c>
      <c r="F1608" t="inlineStr">
        <is>
          <t>Personal safety raw</t>
        </is>
      </c>
      <c r="G1608" t="inlineStr">
        <is>
          <t>viability</t>
        </is>
      </c>
      <c r="H1608" t="inlineStr">
        <is>
          <t>yes</t>
        </is>
      </c>
      <c r="I1608" t="inlineStr">
        <is>
          <t>0.8</t>
        </is>
      </c>
      <c r="J1608" t="inlineStr">
        <is>
          <t>world_bank</t>
        </is>
      </c>
      <c r="K1608" t="inlineStr">
        <is>
          <t>https://api.worldbank.org/v2/country/POL/indicator/VC.IHR.PSRC.P5?format=json&amp;mrv=10</t>
        </is>
      </c>
      <c r="L1608" t="inlineStr">
        <is>
          <t>UNODC via World Bank WDI: Intentional homicides (per 100,000 people)</t>
        </is>
      </c>
      <c r="M1608" t="inlineStr">
        <is>
          <t>2023-12-31</t>
        </is>
      </c>
      <c r="N1608" t="inlineStr">
        <is>
          <t>auto_ingest=unodc_safety; indicator=VC.IHR.PSRC.P5; year=2023; country_proxy=Poland</t>
        </is>
      </c>
    </row>
    <row r="1609">
      <c r="A1609" t="inlineStr">
        <is>
          <t>pl-katowice</t>
        </is>
      </c>
      <c r="B1609" t="inlineStr">
        <is>
          <t>Katowice</t>
        </is>
      </c>
      <c r="C1609" t="inlineStr">
        <is>
          <t>Poland</t>
        </is>
      </c>
      <c r="D1609" t="inlineStr">
        <is>
          <t>Southern/Eastern Europe and Eurasia</t>
        </is>
      </c>
      <c r="E1609" t="inlineStr">
        <is>
          <t>transit_access_commute_raw</t>
        </is>
      </c>
      <c r="F1609" t="inlineStr">
        <is>
          <t>Transit access and commute raw</t>
        </is>
      </c>
      <c r="G1609" t="inlineStr">
        <is>
          <t>viability</t>
        </is>
      </c>
      <c r="H1609" t="inlineStr">
        <is>
          <t>yes</t>
        </is>
      </c>
      <c r="I1609" t="inlineStr"/>
      <c r="J1609" t="inlineStr"/>
      <c r="K1609" t="inlineStr"/>
      <c r="L1609" t="inlineStr"/>
      <c r="M1609" t="inlineStr"/>
      <c r="N1609" t="inlineStr"/>
    </row>
    <row r="1610">
      <c r="A1610" t="inlineStr">
        <is>
          <t>pl-katowice</t>
        </is>
      </c>
      <c r="B1610" t="inlineStr">
        <is>
          <t>Katowice</t>
        </is>
      </c>
      <c r="C1610" t="inlineStr">
        <is>
          <t>Poland</t>
        </is>
      </c>
      <c r="D1610" t="inlineStr">
        <is>
          <t>Southern/Eastern Europe and Eurasia</t>
        </is>
      </c>
      <c r="E1610" t="inlineStr">
        <is>
          <t>clean_air_raw</t>
        </is>
      </c>
      <c r="F1610" t="inlineStr">
        <is>
          <t>Clean air raw</t>
        </is>
      </c>
      <c r="G1610" t="inlineStr">
        <is>
          <t>viability</t>
        </is>
      </c>
      <c r="H1610" t="inlineStr">
        <is>
          <t>yes</t>
        </is>
      </c>
      <c r="I1610" t="inlineStr"/>
      <c r="J1610" t="inlineStr"/>
      <c r="K1610" t="inlineStr"/>
      <c r="L1610" t="inlineStr"/>
      <c r="M1610" t="inlineStr"/>
      <c r="N1610" t="inlineStr"/>
    </row>
    <row r="1611">
      <c r="A1611" t="inlineStr">
        <is>
          <t>pl-katowice</t>
        </is>
      </c>
      <c r="B1611" t="inlineStr">
        <is>
          <t>Katowice</t>
        </is>
      </c>
      <c r="C1611" t="inlineStr">
        <is>
          <t>Poland</t>
        </is>
      </c>
      <c r="D1611" t="inlineStr">
        <is>
          <t>Southern/Eastern Europe and Eurasia</t>
        </is>
      </c>
      <c r="E1611" t="inlineStr">
        <is>
          <t>water_sanitation_utility_raw</t>
        </is>
      </c>
      <c r="F1611" t="inlineStr">
        <is>
          <t>Water, sanitation, and utility raw</t>
        </is>
      </c>
      <c r="G1611" t="inlineStr">
        <is>
          <t>viability</t>
        </is>
      </c>
      <c r="H1611" t="inlineStr">
        <is>
          <t>yes</t>
        </is>
      </c>
      <c r="I1611" t="inlineStr">
        <is>
          <t>88.68</t>
        </is>
      </c>
      <c r="J1611" t="inlineStr">
        <is>
          <t>world_bank</t>
        </is>
      </c>
      <c r="K1611" t="inlineStr">
        <is>
          <t>https://api.worldbank.org/v2/country/POL/indicator/SH.H2O.SMDW.ZS?format=json&amp;mrv=10</t>
        </is>
      </c>
      <c r="L1611" t="inlineStr">
        <is>
          <t>World Bank WDI: People using safely managed drinking water services (% of population)</t>
        </is>
      </c>
      <c r="M1611" t="inlineStr">
        <is>
          <t>2024-12-31</t>
        </is>
      </c>
      <c r="N1611" t="inlineStr">
        <is>
          <t>auto_ingest=world_bank_proxy; indicator=SH.H2O.SMDW.ZS; year=2024; country_proxy=Poland</t>
        </is>
      </c>
    </row>
    <row r="1612">
      <c r="A1612" t="inlineStr">
        <is>
          <t>pl-katowice</t>
        </is>
      </c>
      <c r="B1612" t="inlineStr">
        <is>
          <t>Katowice</t>
        </is>
      </c>
      <c r="C1612" t="inlineStr">
        <is>
          <t>Poland</t>
        </is>
      </c>
      <c r="D1612" t="inlineStr">
        <is>
          <t>Southern/Eastern Europe and Eurasia</t>
        </is>
      </c>
      <c r="E1612" t="inlineStr">
        <is>
          <t>digital_infrastructure_raw</t>
        </is>
      </c>
      <c r="F1612" t="inlineStr">
        <is>
          <t>Digital infrastructure raw</t>
        </is>
      </c>
      <c r="G1612" t="inlineStr">
        <is>
          <t>viability</t>
        </is>
      </c>
      <c r="H1612" t="inlineStr">
        <is>
          <t>yes</t>
        </is>
      </c>
      <c r="I1612" t="inlineStr">
        <is>
          <t>26.11</t>
        </is>
      </c>
      <c r="J1612" t="inlineStr">
        <is>
          <t>world_bank</t>
        </is>
      </c>
      <c r="K1612" t="inlineStr">
        <is>
          <t>https://api.worldbank.org/v2/country/POL/indicator/IT.NET.BBND.P2?format=json&amp;mrv=10</t>
        </is>
      </c>
      <c r="L1612" t="inlineStr">
        <is>
          <t>World Bank WDI: Fixed broadband subscriptions (per 100 people)</t>
        </is>
      </c>
      <c r="M1612" t="inlineStr">
        <is>
          <t>2023-12-31</t>
        </is>
      </c>
      <c r="N1612" t="inlineStr">
        <is>
          <t>auto_ingest=world_bank_proxy; indicator=IT.NET.BBND.P2; year=2023; country_proxy=Poland</t>
        </is>
      </c>
    </row>
    <row r="1613">
      <c r="A1613" t="inlineStr">
        <is>
          <t>pl-katowice</t>
        </is>
      </c>
      <c r="B1613" t="inlineStr">
        <is>
          <t>Katowice</t>
        </is>
      </c>
      <c r="C1613" t="inlineStr">
        <is>
          <t>Poland</t>
        </is>
      </c>
      <c r="D1613" t="inlineStr">
        <is>
          <t>Southern/Eastern Europe and Eurasia</t>
        </is>
      </c>
      <c r="E1613" t="inlineStr">
        <is>
          <t>climate_sunlight_livability_raw</t>
        </is>
      </c>
      <c r="F1613" t="inlineStr">
        <is>
          <t>Climate and sunlight livability raw</t>
        </is>
      </c>
      <c r="G1613" t="inlineStr">
        <is>
          <t>viability</t>
        </is>
      </c>
      <c r="H1613" t="inlineStr">
        <is>
          <t>yes</t>
        </is>
      </c>
      <c r="I1613" t="inlineStr"/>
      <c r="J1613" t="inlineStr"/>
      <c r="K1613" t="inlineStr"/>
      <c r="L1613" t="inlineStr"/>
      <c r="M1613" t="inlineStr"/>
      <c r="N1613" t="inlineStr"/>
    </row>
    <row r="1614">
      <c r="A1614" t="inlineStr">
        <is>
          <t>pl-katowice</t>
        </is>
      </c>
      <c r="B1614" t="inlineStr">
        <is>
          <t>Katowice</t>
        </is>
      </c>
      <c r="C1614" t="inlineStr">
        <is>
          <t>Poland</t>
        </is>
      </c>
      <c r="D1614" t="inlineStr">
        <is>
          <t>Southern/Eastern Europe and Eurasia</t>
        </is>
      </c>
      <c r="E1614" t="inlineStr">
        <is>
          <t>healthcare_quality_raw</t>
        </is>
      </c>
      <c r="F1614" t="inlineStr">
        <is>
          <t>Healthcare quality raw</t>
        </is>
      </c>
      <c r="G1614" t="inlineStr">
        <is>
          <t>capability</t>
        </is>
      </c>
      <c r="H1614" t="inlineStr">
        <is>
          <t>yes</t>
        </is>
      </c>
      <c r="I1614" t="inlineStr">
        <is>
          <t>82.0</t>
        </is>
      </c>
      <c r="J1614" t="inlineStr">
        <is>
          <t>who_gho</t>
        </is>
      </c>
      <c r="K1614" t="inlineStr">
        <is>
          <t>https://www.who.int/data/gho/data/indicators/indicator-details/GHO/UHC_INDEX_REPORTED</t>
        </is>
      </c>
      <c r="L1614" t="inlineStr">
        <is>
          <t>WHO GHO: UHC Service Coverage Index</t>
        </is>
      </c>
      <c r="M1614" t="inlineStr">
        <is>
          <t>2023-12-31</t>
        </is>
      </c>
      <c r="N1614" t="inlineStr">
        <is>
          <t>auto_ingest=who_gho; indicator=UHC_INDEX_REPORTED; year=2023; country_proxy=Poland</t>
        </is>
      </c>
    </row>
    <row r="1615">
      <c r="A1615" t="inlineStr">
        <is>
          <t>pl-katowice</t>
        </is>
      </c>
      <c r="B1615" t="inlineStr">
        <is>
          <t>Katowice</t>
        </is>
      </c>
      <c r="C1615" t="inlineStr">
        <is>
          <t>Poland</t>
        </is>
      </c>
      <c r="D1615" t="inlineStr">
        <is>
          <t>Southern/Eastern Europe and Eurasia</t>
        </is>
      </c>
      <c r="E1615" t="inlineStr">
        <is>
          <t>education_quality_raw</t>
        </is>
      </c>
      <c r="F1615" t="inlineStr">
        <is>
          <t>Education quality raw</t>
        </is>
      </c>
      <c r="G1615" t="inlineStr">
        <is>
          <t>capability</t>
        </is>
      </c>
      <c r="H1615" t="inlineStr">
        <is>
          <t>yes</t>
        </is>
      </c>
      <c r="I1615" t="inlineStr">
        <is>
          <t>76.88</t>
        </is>
      </c>
      <c r="J1615" t="inlineStr">
        <is>
          <t>world_bank</t>
        </is>
      </c>
      <c r="K1615" t="inlineStr">
        <is>
          <t>https://api.worldbank.org/v2/country/POL/indicator/SE.TER.ENRR?format=json&amp;mrv=10</t>
        </is>
      </c>
      <c r="L1615" t="inlineStr">
        <is>
          <t>World Bank WDI: School enrollment, tertiary (% gross)</t>
        </is>
      </c>
      <c r="M1615" t="inlineStr">
        <is>
          <t>2023-12-31</t>
        </is>
      </c>
      <c r="N1615" t="inlineStr">
        <is>
          <t>auto_ingest=world_bank_proxy; indicator=SE.TER.ENRR; year=2023; country_proxy=Poland</t>
        </is>
      </c>
    </row>
    <row r="1616">
      <c r="A1616" t="inlineStr">
        <is>
          <t>pl-katowice</t>
        </is>
      </c>
      <c r="B1616" t="inlineStr">
        <is>
          <t>Katowice</t>
        </is>
      </c>
      <c r="C1616" t="inlineStr">
        <is>
          <t>Poland</t>
        </is>
      </c>
      <c r="D1616" t="inlineStr">
        <is>
          <t>Southern/Eastern Europe and Eurasia</t>
        </is>
      </c>
      <c r="E1616" t="inlineStr">
        <is>
          <t>equal_opportunity_raw</t>
        </is>
      </c>
      <c r="F1616" t="inlineStr">
        <is>
          <t>Equal opportunity raw</t>
        </is>
      </c>
      <c r="G1616" t="inlineStr">
        <is>
          <t>capability</t>
        </is>
      </c>
      <c r="H1616" t="inlineStr">
        <is>
          <t>yes</t>
        </is>
      </c>
      <c r="I1616" t="inlineStr">
        <is>
          <t>28.5</t>
        </is>
      </c>
      <c r="J1616" t="inlineStr">
        <is>
          <t>world_bank</t>
        </is>
      </c>
      <c r="K1616" t="inlineStr">
        <is>
          <t>https://api.worldbank.org/v2/country/POL/indicator/SI.POV.GINI?format=json&amp;mrv=10</t>
        </is>
      </c>
      <c r="L1616" t="inlineStr">
        <is>
          <t>World Bank WDI: Gini index</t>
        </is>
      </c>
      <c r="M1616" t="inlineStr">
        <is>
          <t>2023-12-31</t>
        </is>
      </c>
      <c r="N1616" t="inlineStr">
        <is>
          <t>auto_ingest=world_bank_capability; indicator=SI.POV.GINI; year=2023; country_proxy=Poland</t>
        </is>
      </c>
    </row>
    <row r="1617">
      <c r="A1617" t="inlineStr">
        <is>
          <t>pl-katowice</t>
        </is>
      </c>
      <c r="B1617" t="inlineStr">
        <is>
          <t>Katowice</t>
        </is>
      </c>
      <c r="C1617" t="inlineStr">
        <is>
          <t>Poland</t>
        </is>
      </c>
      <c r="D1617" t="inlineStr">
        <is>
          <t>Southern/Eastern Europe and Eurasia</t>
        </is>
      </c>
      <c r="E1617" t="inlineStr">
        <is>
          <t>hospitality_belonging_raw</t>
        </is>
      </c>
      <c r="F1617" t="inlineStr">
        <is>
          <t>Hospitality and belonging raw</t>
        </is>
      </c>
      <c r="G1617" t="inlineStr">
        <is>
          <t>community</t>
        </is>
      </c>
      <c r="H1617" t="inlineStr">
        <is>
          <t>yes</t>
        </is>
      </c>
      <c r="I1617" t="inlineStr">
        <is>
          <t>40.95</t>
        </is>
      </c>
      <c r="J1617" t="inlineStr">
        <is>
          <t>world_bank</t>
        </is>
      </c>
      <c r="K1617" t="inlineStr">
        <is>
          <t>https://api.worldbank.org/v2/country/POL/indicator/SM.POP.NETM?format=json&amp;mrv=10</t>
        </is>
      </c>
      <c r="L1617" t="inlineStr">
        <is>
          <t>World Bank WDI: Net migration (proxy for hospitality/belonging — positive = welcoming)</t>
        </is>
      </c>
      <c r="M1617" t="inlineStr">
        <is>
          <t>2025-12-31</t>
        </is>
      </c>
      <c r="N1617" t="inlineStr">
        <is>
          <t>auto_ingest=world_bank_proxy; proxy=net_migration_hospitality; indicator=SM.POP.NETM; year=2025; country_proxy=Poland</t>
        </is>
      </c>
    </row>
    <row r="1618">
      <c r="A1618" t="inlineStr">
        <is>
          <t>pl-katowice</t>
        </is>
      </c>
      <c r="B1618" t="inlineStr">
        <is>
          <t>Katowice</t>
        </is>
      </c>
      <c r="C1618" t="inlineStr">
        <is>
          <t>Poland</t>
        </is>
      </c>
      <c r="D1618" t="inlineStr">
        <is>
          <t>Southern/Eastern Europe and Eurasia</t>
        </is>
      </c>
      <c r="E1618" t="inlineStr">
        <is>
          <t>tolerance_pluralism_raw</t>
        </is>
      </c>
      <c r="F1618" t="inlineStr">
        <is>
          <t>Tolerance and pluralism raw</t>
        </is>
      </c>
      <c r="G1618" t="inlineStr">
        <is>
          <t>community</t>
        </is>
      </c>
      <c r="H1618" t="inlineStr">
        <is>
          <t>yes</t>
        </is>
      </c>
      <c r="I1618" t="inlineStr">
        <is>
          <t>29.57</t>
        </is>
      </c>
      <c r="J1618" t="inlineStr">
        <is>
          <t>world_bank</t>
        </is>
      </c>
      <c r="K1618" t="inlineStr">
        <is>
          <t>https://api.worldbank.org/v2/country/POL/indicator/SG.GEN.PARL.ZS?format=json&amp;mrv=10</t>
        </is>
      </c>
      <c r="L1618" t="inlineStr">
        <is>
          <t>World Bank WDI: Proportion of seats held by women in national parliaments (%)</t>
        </is>
      </c>
      <c r="M1618" t="inlineStr">
        <is>
          <t>2024-12-31</t>
        </is>
      </c>
      <c r="N1618" t="inlineStr">
        <is>
          <t>auto_ingest=world_bank_proxy; proxy=gender_parity_parliament; indicator=SG.GEN.PARL.ZS; year=2024; country_proxy=Poland</t>
        </is>
      </c>
    </row>
    <row r="1619">
      <c r="A1619" t="inlineStr">
        <is>
          <t>pl-katowice</t>
        </is>
      </c>
      <c r="B1619" t="inlineStr">
        <is>
          <t>Katowice</t>
        </is>
      </c>
      <c r="C1619" t="inlineStr">
        <is>
          <t>Poland</t>
        </is>
      </c>
      <c r="D1619" t="inlineStr">
        <is>
          <t>Southern/Eastern Europe and Eurasia</t>
        </is>
      </c>
      <c r="E1619" t="inlineStr">
        <is>
          <t>cultural_public_life_raw</t>
        </is>
      </c>
      <c r="F1619" t="inlineStr">
        <is>
          <t>Cultural public life raw</t>
        </is>
      </c>
      <c r="G1619" t="inlineStr">
        <is>
          <t>community</t>
        </is>
      </c>
      <c r="H1619" t="inlineStr">
        <is>
          <t>yes</t>
        </is>
      </c>
      <c r="I1619" t="inlineStr">
        <is>
          <t>2421.14</t>
        </is>
      </c>
      <c r="J1619" t="inlineStr">
        <is>
          <t>world_bank</t>
        </is>
      </c>
      <c r="K1619" t="inlineStr">
        <is>
          <t>https://api.worldbank.org/v2/country/POL/indicator/ST.INT.ARVL?format=json&amp;mrv=10</t>
        </is>
      </c>
      <c r="L1619" t="inlineStr">
        <is>
          <t>World Bank WDI: International tourism arrivals per 1 000 population</t>
        </is>
      </c>
      <c r="M1619" t="inlineStr">
        <is>
          <t>2019-12-31</t>
        </is>
      </c>
      <c r="N1619" t="inlineStr">
        <is>
          <t>auto_ingest=cultural_life_proxy; indicator=ST.INT.ARVL; norm=per_1000_pop; year=2019; country_proxy=Poland</t>
        </is>
      </c>
    </row>
    <row r="1620">
      <c r="A1620" t="inlineStr">
        <is>
          <t>pl-katowice</t>
        </is>
      </c>
      <c r="B1620" t="inlineStr">
        <is>
          <t>Katowice</t>
        </is>
      </c>
      <c r="C1620" t="inlineStr">
        <is>
          <t>Poland</t>
        </is>
      </c>
      <c r="D1620" t="inlineStr">
        <is>
          <t>Southern/Eastern Europe and Eurasia</t>
        </is>
      </c>
      <c r="E1620" t="inlineStr">
        <is>
          <t>birth_rate_optimism_raw</t>
        </is>
      </c>
      <c r="F1620" t="inlineStr">
        <is>
          <t>Birth rate and societal optimism raw</t>
        </is>
      </c>
      <c r="G1620" t="inlineStr">
        <is>
          <t>community</t>
        </is>
      </c>
      <c r="H1620" t="inlineStr">
        <is>
          <t>yes</t>
        </is>
      </c>
      <c r="I1620" t="inlineStr">
        <is>
          <t>1.29</t>
        </is>
      </c>
      <c r="J1620" t="inlineStr">
        <is>
          <t>world_bank</t>
        </is>
      </c>
      <c r="K1620" t="inlineStr">
        <is>
          <t>https://data.worldbank.org/indicator/SP.DYN.TFRT.IN</t>
        </is>
      </c>
      <c r="L1620" t="inlineStr">
        <is>
          <t>World Bank Total Fertility Rate 2023</t>
        </is>
      </c>
      <c r="M1620" t="inlineStr">
        <is>
          <t>2024-01-01</t>
        </is>
      </c>
      <c r="N1620" t="inlineStr"/>
    </row>
    <row r="1621">
      <c r="A1621" t="inlineStr">
        <is>
          <t>pl-katowice</t>
        </is>
      </c>
      <c r="B1621" t="inlineStr">
        <is>
          <t>Katowice</t>
        </is>
      </c>
      <c r="C1621" t="inlineStr">
        <is>
          <t>Poland</t>
        </is>
      </c>
      <c r="D1621" t="inlineStr">
        <is>
          <t>Southern/Eastern Europe and Eurasia</t>
        </is>
      </c>
      <c r="E1621" t="inlineStr">
        <is>
          <t>entrepreneurial_dynamism_raw</t>
        </is>
      </c>
      <c r="F1621" t="inlineStr">
        <is>
          <t>Entrepreneurial dynamism raw</t>
        </is>
      </c>
      <c r="G1621" t="inlineStr">
        <is>
          <t>creative</t>
        </is>
      </c>
      <c r="H1621" t="inlineStr">
        <is>
          <t>yes</t>
        </is>
      </c>
      <c r="I1621" t="inlineStr">
        <is>
          <t>2.16</t>
        </is>
      </c>
      <c r="J1621" t="inlineStr">
        <is>
          <t>world_bank</t>
        </is>
      </c>
      <c r="K1621" t="inlineStr">
        <is>
          <t>https://api.worldbank.org/v2/country/POL/indicator/IC.BUS.NDNS.ZS?format=json&amp;mrv=10</t>
        </is>
      </c>
      <c r="L1621" t="inlineStr">
        <is>
          <t>World Bank WDI: New business density (new registrations per 1,000 people ages 15-64)</t>
        </is>
      </c>
      <c r="M1621" t="inlineStr">
        <is>
          <t>2022-12-31</t>
        </is>
      </c>
      <c r="N1621" t="inlineStr">
        <is>
          <t>auto_ingest=world_bank_creative_extended; indicator=IC.BUS.NDNS.ZS; year=2022; country_proxy=Poland</t>
        </is>
      </c>
    </row>
    <row r="1622">
      <c r="A1622" t="inlineStr">
        <is>
          <t>pl-katowice</t>
        </is>
      </c>
      <c r="B1622" t="inlineStr">
        <is>
          <t>Katowice</t>
        </is>
      </c>
      <c r="C1622" t="inlineStr">
        <is>
          <t>Poland</t>
        </is>
      </c>
      <c r="D1622" t="inlineStr">
        <is>
          <t>Southern/Eastern Europe and Eurasia</t>
        </is>
      </c>
      <c r="E1622" t="inlineStr">
        <is>
          <t>innovation_research_intensity_raw</t>
        </is>
      </c>
      <c r="F1622" t="inlineStr">
        <is>
          <t>Innovation and research raw</t>
        </is>
      </c>
      <c r="G1622" t="inlineStr">
        <is>
          <t>creative</t>
        </is>
      </c>
      <c r="H1622" t="inlineStr">
        <is>
          <t>yes</t>
        </is>
      </c>
      <c r="I1622" t="inlineStr">
        <is>
          <t>1.45</t>
        </is>
      </c>
      <c r="J1622" t="inlineStr">
        <is>
          <t>world_bank</t>
        </is>
      </c>
      <c r="K1622" t="inlineStr">
        <is>
          <t>https://api.worldbank.org/v2/country/POL/indicator/GB.XPD.RSDV.GD.ZS?format=json&amp;mrv=10</t>
        </is>
      </c>
      <c r="L1622" t="inlineStr">
        <is>
          <t>World Bank WDI: Research and development expenditure (% of GDP)</t>
        </is>
      </c>
      <c r="M1622" t="inlineStr">
        <is>
          <t>2022-12-31</t>
        </is>
      </c>
      <c r="N1622" t="inlineStr">
        <is>
          <t>auto_ingest=world_bank_creative_extended; indicator=GB.XPD.RSDV.GD.ZS; year=2022; country_proxy=Poland</t>
        </is>
      </c>
    </row>
    <row r="1623">
      <c r="A1623" t="inlineStr">
        <is>
          <t>pl-katowice</t>
        </is>
      </c>
      <c r="B1623" t="inlineStr">
        <is>
          <t>Katowice</t>
        </is>
      </c>
      <c r="C1623" t="inlineStr">
        <is>
          <t>Poland</t>
        </is>
      </c>
      <c r="D1623" t="inlineStr">
        <is>
          <t>Southern/Eastern Europe and Eurasia</t>
        </is>
      </c>
      <c r="E1623" t="inlineStr">
        <is>
          <t>investment_signal_raw</t>
        </is>
      </c>
      <c r="F1623" t="inlineStr">
        <is>
          <t>Investment signal raw</t>
        </is>
      </c>
      <c r="G1623" t="inlineStr">
        <is>
          <t>creative</t>
        </is>
      </c>
      <c r="H1623" t="inlineStr">
        <is>
          <t>yes</t>
        </is>
      </c>
      <c r="I1623" t="inlineStr">
        <is>
          <t>2.25</t>
        </is>
      </c>
      <c r="J1623" t="inlineStr">
        <is>
          <t>world_bank</t>
        </is>
      </c>
      <c r="K1623" t="inlineStr">
        <is>
          <t>https://api.worldbank.org/v2/country/POL/indicator/BX.KLT.DINV.WD.GD.ZS?format=json&amp;mrv=10</t>
        </is>
      </c>
      <c r="L1623" t="inlineStr">
        <is>
          <t>World Bank WDI: Foreign direct investment, net inflows (% of GDP)</t>
        </is>
      </c>
      <c r="M1623" t="inlineStr">
        <is>
          <t>2024-12-31</t>
        </is>
      </c>
      <c r="N1623" t="inlineStr">
        <is>
          <t>auto_ingest=world_bank_creative_extended; indicator=BX.KLT.DINV.WD.GD.ZS; year=2024; country_proxy=Poland</t>
        </is>
      </c>
    </row>
    <row r="1624">
      <c r="A1624" t="inlineStr">
        <is>
          <t>pl-katowice</t>
        </is>
      </c>
      <c r="B1624" t="inlineStr">
        <is>
          <t>Katowice</t>
        </is>
      </c>
      <c r="C1624" t="inlineStr">
        <is>
          <t>Poland</t>
        </is>
      </c>
      <c r="D1624" t="inlineStr">
        <is>
          <t>Southern/Eastern Europe and Eurasia</t>
        </is>
      </c>
      <c r="E1624" t="inlineStr">
        <is>
          <t>administrative_investment_friction_raw</t>
        </is>
      </c>
      <c r="F1624" t="inlineStr">
        <is>
          <t>Administrative investment friction raw</t>
        </is>
      </c>
      <c r="G1624" t="inlineStr">
        <is>
          <t>creative</t>
        </is>
      </c>
      <c r="H1624" t="inlineStr">
        <is>
          <t>yes</t>
        </is>
      </c>
      <c r="I1624" t="inlineStr">
        <is>
          <t>1.72</t>
        </is>
      </c>
      <c r="J1624" t="inlineStr">
        <is>
          <t>world_bank</t>
        </is>
      </c>
      <c r="K1624" t="inlineStr">
        <is>
          <t>https://api.worldbank.org/v2/country/POL/indicator/RQ.EST?format=json&amp;mrv=10</t>
        </is>
      </c>
      <c r="L1624" t="inlineStr">
        <is>
          <t>World Bank WGI: Regulatory Quality (inverted as friction proxy)</t>
        </is>
      </c>
      <c r="M1624" t="inlineStr">
        <is>
          <t>2023-12-31</t>
        </is>
      </c>
      <c r="N1624" t="inlineStr">
        <is>
          <t>auto_ingest=world_bank_business_friction; indicator=RQ.EST; raw_rq=0.780193567276001; friction=1.72; year=2023; country_proxy=Poland</t>
        </is>
      </c>
    </row>
    <row r="1625">
      <c r="A1625" t="inlineStr">
        <is>
          <t>pl-katowice</t>
        </is>
      </c>
      <c r="B1625" t="inlineStr">
        <is>
          <t>Katowice</t>
        </is>
      </c>
      <c r="C1625" t="inlineStr">
        <is>
          <t>Poland</t>
        </is>
      </c>
      <c r="D1625" t="inlineStr">
        <is>
          <t>Southern/Eastern Europe and Eurasia</t>
        </is>
      </c>
      <c r="E1625" t="inlineStr">
        <is>
          <t>visitor_flow_context_raw</t>
        </is>
      </c>
      <c r="F1625" t="inlineStr">
        <is>
          <t>Visitor flow context raw</t>
        </is>
      </c>
      <c r="G1625" t="inlineStr">
        <is>
          <t>creative</t>
        </is>
      </c>
      <c r="H1625" t="inlineStr">
        <is>
          <t>no</t>
        </is>
      </c>
      <c r="I1625" t="inlineStr"/>
      <c r="J1625" t="inlineStr"/>
      <c r="K1625" t="inlineStr"/>
      <c r="L1625" t="inlineStr"/>
      <c r="M1625" t="inlineStr"/>
      <c r="N1625" t="inlineStr"/>
    </row>
    <row r="1626">
      <c r="A1626" t="inlineStr">
        <is>
          <t>pl-gdansk</t>
        </is>
      </c>
      <c r="B1626" t="inlineStr">
        <is>
          <t>Gdansk</t>
        </is>
      </c>
      <c r="C1626" t="inlineStr">
        <is>
          <t>Poland</t>
        </is>
      </c>
      <c r="D1626" t="inlineStr">
        <is>
          <t>Southern/Eastern Europe and Eurasia</t>
        </is>
      </c>
      <c r="E1626" t="inlineStr">
        <is>
          <t>gross_income</t>
        </is>
      </c>
      <c r="F1626" t="inlineStr">
        <is>
          <t>Gross income</t>
        </is>
      </c>
      <c r="G1626" t="inlineStr">
        <is>
          <t>pressure</t>
        </is>
      </c>
      <c r="H1626" t="inlineStr">
        <is>
          <t>yes</t>
        </is>
      </c>
      <c r="I1626" t="inlineStr">
        <is>
          <t>4128.33</t>
        </is>
      </c>
      <c r="J1626" t="inlineStr">
        <is>
          <t>world_bank_col_estimate</t>
        </is>
      </c>
      <c r="K1626" t="inlineStr">
        <is>
          <t>https://api.worldbank.org/v2/country/POL/indicator/NY.GNP.PCAP.PP.CD?format=json&amp;mrv=10</t>
        </is>
      </c>
      <c r="L1626" t="inlineStr">
        <is>
          <t>World Bank WDI: GNI per capita PPP (monthly USD)</t>
        </is>
      </c>
      <c r="M1626" t="inlineStr">
        <is>
          <t>2024-12-31</t>
        </is>
      </c>
      <c r="N1626" t="inlineStr">
        <is>
          <t>auto_ingest=world_bank_col_estimate; gni_annual=49540.0; year=2024; country_proxy=Poland; cohort=Southern/Eastern Europe and Eurasia</t>
        </is>
      </c>
    </row>
    <row r="1627">
      <c r="A1627" t="inlineStr">
        <is>
          <t>pl-gdansk</t>
        </is>
      </c>
      <c r="B1627" t="inlineStr">
        <is>
          <t>Gdansk</t>
        </is>
      </c>
      <c r="C1627" t="inlineStr">
        <is>
          <t>Poland</t>
        </is>
      </c>
      <c r="D1627" t="inlineStr">
        <is>
          <t>Southern/Eastern Europe and Eurasia</t>
        </is>
      </c>
      <c r="E1627" t="inlineStr">
        <is>
          <t>di_ppp_raw</t>
        </is>
      </c>
      <c r="F1627" t="inlineStr">
        <is>
          <t>Disposable income PPP (Raw)</t>
        </is>
      </c>
      <c r="G1627" t="inlineStr">
        <is>
          <t>pressure</t>
        </is>
      </c>
      <c r="H1627" t="inlineStr">
        <is>
          <t>yes</t>
        </is>
      </c>
      <c r="I1627" t="inlineStr"/>
      <c r="J1627" t="inlineStr"/>
      <c r="K1627" t="inlineStr"/>
      <c r="L1627" t="inlineStr"/>
      <c r="M1627" t="inlineStr"/>
      <c r="N1627" t="inlineStr"/>
    </row>
    <row r="1628">
      <c r="A1628" t="inlineStr">
        <is>
          <t>pl-gdansk</t>
        </is>
      </c>
      <c r="B1628" t="inlineStr">
        <is>
          <t>Gdansk</t>
        </is>
      </c>
      <c r="C1628" t="inlineStr">
        <is>
          <t>Poland</t>
        </is>
      </c>
      <c r="D1628" t="inlineStr">
        <is>
          <t>Southern/Eastern Europe and Eurasia</t>
        </is>
      </c>
      <c r="E1628" t="inlineStr">
        <is>
          <t>rent</t>
        </is>
      </c>
      <c r="F1628" t="inlineStr">
        <is>
          <t>Rent</t>
        </is>
      </c>
      <c r="G1628" t="inlineStr">
        <is>
          <t>pressure</t>
        </is>
      </c>
      <c r="H1628" t="inlineStr">
        <is>
          <t>yes</t>
        </is>
      </c>
      <c r="I1628" t="inlineStr">
        <is>
          <t>928.87</t>
        </is>
      </c>
      <c r="J1628" t="inlineStr">
        <is>
          <t>world_bank_col_estimate</t>
        </is>
      </c>
      <c r="K1628" t="inlineStr">
        <is>
          <t>https://api.worldbank.org/v2/country/POL/indicator/NY.GNP.PCAP.PP.CD?format=json&amp;mrv=10</t>
        </is>
      </c>
      <c r="L1628" t="inlineStr">
        <is>
          <t>World Bank GNI + regional expenditure ratio estimate</t>
        </is>
      </c>
      <c r="M1628" t="inlineStr">
        <is>
          <t>2024-12-31</t>
        </is>
      </c>
      <c r="N1628" t="inlineStr">
        <is>
          <t>auto_ingest=world_bank_col_estimate; gni_annual=49540.0; year=2024; country_proxy=Poland; cohort=Southern/Eastern Europe and Eurasia; city_cost_mult=0.9</t>
        </is>
      </c>
    </row>
    <row r="1629">
      <c r="A1629" t="inlineStr">
        <is>
          <t>pl-gdansk</t>
        </is>
      </c>
      <c r="B1629" t="inlineStr">
        <is>
          <t>Gdansk</t>
        </is>
      </c>
      <c r="C1629" t="inlineStr">
        <is>
          <t>Poland</t>
        </is>
      </c>
      <c r="D1629" t="inlineStr">
        <is>
          <t>Southern/Eastern Europe and Eurasia</t>
        </is>
      </c>
      <c r="E1629" t="inlineStr">
        <is>
          <t>utilities</t>
        </is>
      </c>
      <c r="F1629" t="inlineStr">
        <is>
          <t>Utilities</t>
        </is>
      </c>
      <c r="G1629" t="inlineStr">
        <is>
          <t>pressure</t>
        </is>
      </c>
      <c r="H1629" t="inlineStr">
        <is>
          <t>yes</t>
        </is>
      </c>
      <c r="I1629" t="inlineStr">
        <is>
          <t>297.24</t>
        </is>
      </c>
      <c r="J1629" t="inlineStr">
        <is>
          <t>world_bank_col_estimate</t>
        </is>
      </c>
      <c r="K1629" t="inlineStr">
        <is>
          <t>https://api.worldbank.org/v2/country/POL/indicator/NY.GNP.PCAP.PP.CD?format=json&amp;mrv=10</t>
        </is>
      </c>
      <c r="L1629" t="inlineStr">
        <is>
          <t>World Bank GNI + regional expenditure ratio estimate</t>
        </is>
      </c>
      <c r="M1629" t="inlineStr">
        <is>
          <t>2024-12-31</t>
        </is>
      </c>
      <c r="N1629" t="inlineStr">
        <is>
          <t>auto_ingest=world_bank_col_estimate; gni_annual=49540.0; year=2024; country_proxy=Poland; cohort=Southern/Eastern Europe and Eurasia; city_cost_mult=0.9</t>
        </is>
      </c>
    </row>
    <row r="1630">
      <c r="A1630" t="inlineStr">
        <is>
          <t>pl-gdansk</t>
        </is>
      </c>
      <c r="B1630" t="inlineStr">
        <is>
          <t>Gdansk</t>
        </is>
      </c>
      <c r="C1630" t="inlineStr">
        <is>
          <t>Poland</t>
        </is>
      </c>
      <c r="D1630" t="inlineStr">
        <is>
          <t>Southern/Eastern Europe and Eurasia</t>
        </is>
      </c>
      <c r="E1630" t="inlineStr">
        <is>
          <t>transit_cost</t>
        </is>
      </c>
      <c r="F1630" t="inlineStr">
        <is>
          <t>Transit cost</t>
        </is>
      </c>
      <c r="G1630" t="inlineStr">
        <is>
          <t>pressure</t>
        </is>
      </c>
      <c r="H1630" t="inlineStr">
        <is>
          <t>yes</t>
        </is>
      </c>
      <c r="I1630" t="inlineStr">
        <is>
          <t>148.62</t>
        </is>
      </c>
      <c r="J1630" t="inlineStr">
        <is>
          <t>world_bank_col_estimate</t>
        </is>
      </c>
      <c r="K1630" t="inlineStr">
        <is>
          <t>https://api.worldbank.org/v2/country/POL/indicator/NY.GNP.PCAP.PP.CD?format=json&amp;mrv=10</t>
        </is>
      </c>
      <c r="L1630" t="inlineStr">
        <is>
          <t>World Bank GNI + regional expenditure ratio estimate</t>
        </is>
      </c>
      <c r="M1630" t="inlineStr">
        <is>
          <t>2024-12-31</t>
        </is>
      </c>
      <c r="N1630" t="inlineStr">
        <is>
          <t>auto_ingest=world_bank_col_estimate; gni_annual=49540.0; year=2024; country_proxy=Poland; cohort=Southern/Eastern Europe and Eurasia; city_cost_mult=0.9</t>
        </is>
      </c>
    </row>
    <row r="1631">
      <c r="A1631" t="inlineStr">
        <is>
          <t>pl-gdansk</t>
        </is>
      </c>
      <c r="B1631" t="inlineStr">
        <is>
          <t>Gdansk</t>
        </is>
      </c>
      <c r="C1631" t="inlineStr">
        <is>
          <t>Poland</t>
        </is>
      </c>
      <c r="D1631" t="inlineStr">
        <is>
          <t>Southern/Eastern Europe and Eurasia</t>
        </is>
      </c>
      <c r="E1631" t="inlineStr">
        <is>
          <t>internet_cost</t>
        </is>
      </c>
      <c r="F1631" t="inlineStr">
        <is>
          <t>Internet cost</t>
        </is>
      </c>
      <c r="G1631" t="inlineStr">
        <is>
          <t>pressure</t>
        </is>
      </c>
      <c r="H1631" t="inlineStr">
        <is>
          <t>yes</t>
        </is>
      </c>
      <c r="I1631" t="inlineStr">
        <is>
          <t>55.73</t>
        </is>
      </c>
      <c r="J1631" t="inlineStr">
        <is>
          <t>world_bank_col_estimate</t>
        </is>
      </c>
      <c r="K1631" t="inlineStr">
        <is>
          <t>https://api.worldbank.org/v2/country/POL/indicator/NY.GNP.PCAP.PP.CD?format=json&amp;mrv=10</t>
        </is>
      </c>
      <c r="L1631" t="inlineStr">
        <is>
          <t>World Bank GNI + regional expenditure ratio estimate</t>
        </is>
      </c>
      <c r="M1631" t="inlineStr">
        <is>
          <t>2024-12-31</t>
        </is>
      </c>
      <c r="N1631" t="inlineStr">
        <is>
          <t>auto_ingest=world_bank_col_estimate; gni_annual=49540.0; year=2024; country_proxy=Poland; cohort=Southern/Eastern Europe and Eurasia; city_cost_mult=0.9</t>
        </is>
      </c>
    </row>
    <row r="1632">
      <c r="A1632" t="inlineStr">
        <is>
          <t>pl-gdansk</t>
        </is>
      </c>
      <c r="B1632" t="inlineStr">
        <is>
          <t>Gdansk</t>
        </is>
      </c>
      <c r="C1632" t="inlineStr">
        <is>
          <t>Poland</t>
        </is>
      </c>
      <c r="D1632" t="inlineStr">
        <is>
          <t>Southern/Eastern Europe and Eurasia</t>
        </is>
      </c>
      <c r="E1632" t="inlineStr">
        <is>
          <t>food_cost</t>
        </is>
      </c>
      <c r="F1632" t="inlineStr">
        <is>
          <t>Food cost</t>
        </is>
      </c>
      <c r="G1632" t="inlineStr">
        <is>
          <t>pressure</t>
        </is>
      </c>
      <c r="H1632" t="inlineStr">
        <is>
          <t>yes</t>
        </is>
      </c>
      <c r="I1632" t="inlineStr">
        <is>
          <t>743.1</t>
        </is>
      </c>
      <c r="J1632" t="inlineStr">
        <is>
          <t>world_bank_col_estimate</t>
        </is>
      </c>
      <c r="K1632" t="inlineStr">
        <is>
          <t>https://api.worldbank.org/v2/country/POL/indicator/NY.GNP.PCAP.PP.CD?format=json&amp;mrv=10</t>
        </is>
      </c>
      <c r="L1632" t="inlineStr">
        <is>
          <t>World Bank GNI + regional expenditure ratio estimate</t>
        </is>
      </c>
      <c r="M1632" t="inlineStr">
        <is>
          <t>2024-12-31</t>
        </is>
      </c>
      <c r="N1632" t="inlineStr">
        <is>
          <t>auto_ingest=world_bank_col_estimate; gni_annual=49540.0; year=2024; country_proxy=Poland; cohort=Southern/Eastern Europe and Eurasia; city_cost_mult=0.9</t>
        </is>
      </c>
    </row>
    <row r="1633">
      <c r="A1633" t="inlineStr">
        <is>
          <t>pl-gdansk</t>
        </is>
      </c>
      <c r="B1633" t="inlineStr">
        <is>
          <t>Gdansk</t>
        </is>
      </c>
      <c r="C1633" t="inlineStr">
        <is>
          <t>Poland</t>
        </is>
      </c>
      <c r="D1633" t="inlineStr">
        <is>
          <t>Southern/Eastern Europe and Eurasia</t>
        </is>
      </c>
      <c r="E1633" t="inlineStr">
        <is>
          <t>housing_burden_raw</t>
        </is>
      </c>
      <c r="F1633" t="inlineStr">
        <is>
          <t>Housing burden raw</t>
        </is>
      </c>
      <c r="G1633" t="inlineStr">
        <is>
          <t>pressure</t>
        </is>
      </c>
      <c r="H1633" t="inlineStr">
        <is>
          <t>yes</t>
        </is>
      </c>
      <c r="I1633" t="inlineStr">
        <is>
          <t>22.4999</t>
        </is>
      </c>
      <c r="J1633" t="inlineStr">
        <is>
          <t>derived</t>
        </is>
      </c>
      <c r="K1633" t="inlineStr">
        <is>
          <t>https://data.worldbank.org/indicator/NY.GNP.PCAP.PP.CD</t>
        </is>
      </c>
      <c r="L1633" t="inlineStr">
        <is>
          <t>Computed from city_inputs + country_context</t>
        </is>
      </c>
      <c r="M1633" t="inlineStr">
        <is>
          <t>2024-01-01</t>
        </is>
      </c>
      <c r="N1633" t="inlineStr">
        <is>
          <t>derived=rent/gross_income*100</t>
        </is>
      </c>
    </row>
    <row r="1634">
      <c r="A1634" t="inlineStr">
        <is>
          <t>pl-gdansk</t>
        </is>
      </c>
      <c r="B1634" t="inlineStr">
        <is>
          <t>Gdansk</t>
        </is>
      </c>
      <c r="C1634" t="inlineStr">
        <is>
          <t>Poland</t>
        </is>
      </c>
      <c r="D1634" t="inlineStr">
        <is>
          <t>Southern/Eastern Europe and Eurasia</t>
        </is>
      </c>
      <c r="E1634" t="inlineStr">
        <is>
          <t>household_debt_burden_raw</t>
        </is>
      </c>
      <c r="F1634" t="inlineStr">
        <is>
          <t>Household debt burden raw</t>
        </is>
      </c>
      <c r="G1634" t="inlineStr">
        <is>
          <t>pressure</t>
        </is>
      </c>
      <c r="H1634" t="inlineStr">
        <is>
          <t>yes</t>
        </is>
      </c>
      <c r="I1634" t="inlineStr">
        <is>
          <t>33.5851</t>
        </is>
      </c>
      <c r="J1634" t="inlineStr">
        <is>
          <t>derived</t>
        </is>
      </c>
      <c r="K1634" t="inlineStr">
        <is>
          <t>https://data.worldbank.org/indicator/NY.GNP.PCAP.PP.CD</t>
        </is>
      </c>
      <c r="L1634" t="inlineStr">
        <is>
          <t>Computed from city_inputs + country_context</t>
        </is>
      </c>
      <c r="M1634" t="inlineStr">
        <is>
          <t>2024-01-01</t>
        </is>
      </c>
      <c r="N1634" t="inlineStr">
        <is>
          <t>derived=country_context.household_debt_proxy; country=Poland</t>
        </is>
      </c>
    </row>
    <row r="1635">
      <c r="A1635" t="inlineStr">
        <is>
          <t>pl-gdansk</t>
        </is>
      </c>
      <c r="B1635" t="inlineStr">
        <is>
          <t>Gdansk</t>
        </is>
      </c>
      <c r="C1635" t="inlineStr">
        <is>
          <t>Poland</t>
        </is>
      </c>
      <c r="D1635" t="inlineStr">
        <is>
          <t>Southern/Eastern Europe and Eurasia</t>
        </is>
      </c>
      <c r="E1635" t="inlineStr">
        <is>
          <t>working_time_pressure_raw</t>
        </is>
      </c>
      <c r="F1635" t="inlineStr">
        <is>
          <t>Working time pressure raw</t>
        </is>
      </c>
      <c r="G1635" t="inlineStr">
        <is>
          <t>pressure</t>
        </is>
      </c>
      <c r="H1635" t="inlineStr">
        <is>
          <t>yes</t>
        </is>
      </c>
      <c r="I1635" t="inlineStr">
        <is>
          <t>38.63</t>
        </is>
      </c>
      <c r="J1635" t="inlineStr">
        <is>
          <t>ilo_ilostat</t>
        </is>
      </c>
      <c r="K1635" t="inlineStr">
        <is>
          <t>https://ilostat.ilo.org/data/indicator/?id=HOW_TEMP_SEX_ECO_NB_A&amp;ref_area=POL</t>
        </is>
      </c>
      <c r="L1635" t="inlineStr">
        <is>
          <t>ILO ILOSTAT: Mean weekly hours actually worked per employed person</t>
        </is>
      </c>
      <c r="M1635" t="inlineStr">
        <is>
          <t>2024-12-31</t>
        </is>
      </c>
      <c r="N1635" t="inlineStr">
        <is>
          <t>auto_ingest=ilo_working_hours; indicator=HOW_TEMP_SEX_ECO_NB_A; year=2024; hours=38.63; country_proxy=Poland</t>
        </is>
      </c>
    </row>
    <row r="1636">
      <c r="A1636" t="inlineStr">
        <is>
          <t>pl-gdansk</t>
        </is>
      </c>
      <c r="B1636" t="inlineStr">
        <is>
          <t>Gdansk</t>
        </is>
      </c>
      <c r="C1636" t="inlineStr">
        <is>
          <t>Poland</t>
        </is>
      </c>
      <c r="D1636" t="inlineStr">
        <is>
          <t>Southern/Eastern Europe and Eurasia</t>
        </is>
      </c>
      <c r="E1636" t="inlineStr">
        <is>
          <t>suicide_mental_strain_raw</t>
        </is>
      </c>
      <c r="F1636" t="inlineStr">
        <is>
          <t>Suicide or mental strain raw</t>
        </is>
      </c>
      <c r="G1636" t="inlineStr">
        <is>
          <t>pressure</t>
        </is>
      </c>
      <c r="H1636" t="inlineStr">
        <is>
          <t>yes</t>
        </is>
      </c>
      <c r="I1636" t="inlineStr">
        <is>
          <t>13.67</t>
        </is>
      </c>
      <c r="J1636" t="inlineStr">
        <is>
          <t>who_gho</t>
        </is>
      </c>
      <c r="K1636" t="inlineStr">
        <is>
          <t>https://www.who.int/data/gho/data/indicators/indicator-details/GHO/SDGSUICIDE</t>
        </is>
      </c>
      <c r="L1636" t="inlineStr">
        <is>
          <t>WHO GHO: Age-standardized suicide rate (per 100,000 population)</t>
        </is>
      </c>
      <c r="M1636" t="inlineStr">
        <is>
          <t>2021-12-31</t>
        </is>
      </c>
      <c r="N1636" t="inlineStr">
        <is>
          <t>auto_ingest=who_gho; indicator=SDGSUICIDE; year=2021; country_proxy=Poland</t>
        </is>
      </c>
    </row>
    <row r="1637">
      <c r="A1637" t="inlineStr">
        <is>
          <t>pl-gdansk</t>
        </is>
      </c>
      <c r="B1637" t="inlineStr">
        <is>
          <t>Gdansk</t>
        </is>
      </c>
      <c r="C1637" t="inlineStr">
        <is>
          <t>Poland</t>
        </is>
      </c>
      <c r="D1637" t="inlineStr">
        <is>
          <t>Southern/Eastern Europe and Eurasia</t>
        </is>
      </c>
      <c r="E1637" t="inlineStr">
        <is>
          <t>personal_safety_raw</t>
        </is>
      </c>
      <c r="F1637" t="inlineStr">
        <is>
          <t>Personal safety raw</t>
        </is>
      </c>
      <c r="G1637" t="inlineStr">
        <is>
          <t>viability</t>
        </is>
      </c>
      <c r="H1637" t="inlineStr">
        <is>
          <t>yes</t>
        </is>
      </c>
      <c r="I1637" t="inlineStr">
        <is>
          <t>0.8</t>
        </is>
      </c>
      <c r="J1637" t="inlineStr">
        <is>
          <t>world_bank</t>
        </is>
      </c>
      <c r="K1637" t="inlineStr">
        <is>
          <t>https://api.worldbank.org/v2/country/POL/indicator/VC.IHR.PSRC.P5?format=json&amp;mrv=10</t>
        </is>
      </c>
      <c r="L1637" t="inlineStr">
        <is>
          <t>UNODC via World Bank WDI: Intentional homicides (per 100,000 people)</t>
        </is>
      </c>
      <c r="M1637" t="inlineStr">
        <is>
          <t>2023-12-31</t>
        </is>
      </c>
      <c r="N1637" t="inlineStr">
        <is>
          <t>auto_ingest=unodc_safety; indicator=VC.IHR.PSRC.P5; year=2023; country_proxy=Poland</t>
        </is>
      </c>
    </row>
    <row r="1638">
      <c r="A1638" t="inlineStr">
        <is>
          <t>pl-gdansk</t>
        </is>
      </c>
      <c r="B1638" t="inlineStr">
        <is>
          <t>Gdansk</t>
        </is>
      </c>
      <c r="C1638" t="inlineStr">
        <is>
          <t>Poland</t>
        </is>
      </c>
      <c r="D1638" t="inlineStr">
        <is>
          <t>Southern/Eastern Europe and Eurasia</t>
        </is>
      </c>
      <c r="E1638" t="inlineStr">
        <is>
          <t>transit_access_commute_raw</t>
        </is>
      </c>
      <c r="F1638" t="inlineStr">
        <is>
          <t>Transit access and commute raw</t>
        </is>
      </c>
      <c r="G1638" t="inlineStr">
        <is>
          <t>viability</t>
        </is>
      </c>
      <c r="H1638" t="inlineStr">
        <is>
          <t>yes</t>
        </is>
      </c>
      <c r="I1638" t="inlineStr"/>
      <c r="J1638" t="inlineStr"/>
      <c r="K1638" t="inlineStr"/>
      <c r="L1638" t="inlineStr"/>
      <c r="M1638" t="inlineStr"/>
      <c r="N1638" t="inlineStr"/>
    </row>
    <row r="1639">
      <c r="A1639" t="inlineStr">
        <is>
          <t>pl-gdansk</t>
        </is>
      </c>
      <c r="B1639" t="inlineStr">
        <is>
          <t>Gdansk</t>
        </is>
      </c>
      <c r="C1639" t="inlineStr">
        <is>
          <t>Poland</t>
        </is>
      </c>
      <c r="D1639" t="inlineStr">
        <is>
          <t>Southern/Eastern Europe and Eurasia</t>
        </is>
      </c>
      <c r="E1639" t="inlineStr">
        <is>
          <t>clean_air_raw</t>
        </is>
      </c>
      <c r="F1639" t="inlineStr">
        <is>
          <t>Clean air raw</t>
        </is>
      </c>
      <c r="G1639" t="inlineStr">
        <is>
          <t>viability</t>
        </is>
      </c>
      <c r="H1639" t="inlineStr">
        <is>
          <t>yes</t>
        </is>
      </c>
      <c r="I1639" t="inlineStr"/>
      <c r="J1639" t="inlineStr"/>
      <c r="K1639" t="inlineStr"/>
      <c r="L1639" t="inlineStr"/>
      <c r="M1639" t="inlineStr"/>
      <c r="N1639" t="inlineStr"/>
    </row>
    <row r="1640">
      <c r="A1640" t="inlineStr">
        <is>
          <t>pl-gdansk</t>
        </is>
      </c>
      <c r="B1640" t="inlineStr">
        <is>
          <t>Gdansk</t>
        </is>
      </c>
      <c r="C1640" t="inlineStr">
        <is>
          <t>Poland</t>
        </is>
      </c>
      <c r="D1640" t="inlineStr">
        <is>
          <t>Southern/Eastern Europe and Eurasia</t>
        </is>
      </c>
      <c r="E1640" t="inlineStr">
        <is>
          <t>water_sanitation_utility_raw</t>
        </is>
      </c>
      <c r="F1640" t="inlineStr">
        <is>
          <t>Water, sanitation, and utility raw</t>
        </is>
      </c>
      <c r="G1640" t="inlineStr">
        <is>
          <t>viability</t>
        </is>
      </c>
      <c r="H1640" t="inlineStr">
        <is>
          <t>yes</t>
        </is>
      </c>
      <c r="I1640" t="inlineStr">
        <is>
          <t>88.68</t>
        </is>
      </c>
      <c r="J1640" t="inlineStr">
        <is>
          <t>world_bank</t>
        </is>
      </c>
      <c r="K1640" t="inlineStr">
        <is>
          <t>https://api.worldbank.org/v2/country/POL/indicator/SH.H2O.SMDW.ZS?format=json&amp;mrv=10</t>
        </is>
      </c>
      <c r="L1640" t="inlineStr">
        <is>
          <t>World Bank WDI: People using safely managed drinking water services (% of population)</t>
        </is>
      </c>
      <c r="M1640" t="inlineStr">
        <is>
          <t>2024-12-31</t>
        </is>
      </c>
      <c r="N1640" t="inlineStr">
        <is>
          <t>auto_ingest=world_bank_proxy; indicator=SH.H2O.SMDW.ZS; year=2024; country_proxy=Poland</t>
        </is>
      </c>
    </row>
    <row r="1641">
      <c r="A1641" t="inlineStr">
        <is>
          <t>pl-gdansk</t>
        </is>
      </c>
      <c r="B1641" t="inlineStr">
        <is>
          <t>Gdansk</t>
        </is>
      </c>
      <c r="C1641" t="inlineStr">
        <is>
          <t>Poland</t>
        </is>
      </c>
      <c r="D1641" t="inlineStr">
        <is>
          <t>Southern/Eastern Europe and Eurasia</t>
        </is>
      </c>
      <c r="E1641" t="inlineStr">
        <is>
          <t>digital_infrastructure_raw</t>
        </is>
      </c>
      <c r="F1641" t="inlineStr">
        <is>
          <t>Digital infrastructure raw</t>
        </is>
      </c>
      <c r="G1641" t="inlineStr">
        <is>
          <t>viability</t>
        </is>
      </c>
      <c r="H1641" t="inlineStr">
        <is>
          <t>yes</t>
        </is>
      </c>
      <c r="I1641" t="inlineStr">
        <is>
          <t>26.11</t>
        </is>
      </c>
      <c r="J1641" t="inlineStr">
        <is>
          <t>world_bank</t>
        </is>
      </c>
      <c r="K1641" t="inlineStr">
        <is>
          <t>https://api.worldbank.org/v2/country/POL/indicator/IT.NET.BBND.P2?format=json&amp;mrv=10</t>
        </is>
      </c>
      <c r="L1641" t="inlineStr">
        <is>
          <t>World Bank WDI: Fixed broadband subscriptions (per 100 people)</t>
        </is>
      </c>
      <c r="M1641" t="inlineStr">
        <is>
          <t>2023-12-31</t>
        </is>
      </c>
      <c r="N1641" t="inlineStr">
        <is>
          <t>auto_ingest=world_bank_proxy; indicator=IT.NET.BBND.P2; year=2023; country_proxy=Poland</t>
        </is>
      </c>
    </row>
    <row r="1642">
      <c r="A1642" t="inlineStr">
        <is>
          <t>pl-gdansk</t>
        </is>
      </c>
      <c r="B1642" t="inlineStr">
        <is>
          <t>Gdansk</t>
        </is>
      </c>
      <c r="C1642" t="inlineStr">
        <is>
          <t>Poland</t>
        </is>
      </c>
      <c r="D1642" t="inlineStr">
        <is>
          <t>Southern/Eastern Europe and Eurasia</t>
        </is>
      </c>
      <c r="E1642" t="inlineStr">
        <is>
          <t>climate_sunlight_livability_raw</t>
        </is>
      </c>
      <c r="F1642" t="inlineStr">
        <is>
          <t>Climate and sunlight livability raw</t>
        </is>
      </c>
      <c r="G1642" t="inlineStr">
        <is>
          <t>viability</t>
        </is>
      </c>
      <c r="H1642" t="inlineStr">
        <is>
          <t>yes</t>
        </is>
      </c>
      <c r="I1642" t="inlineStr">
        <is>
          <t>44</t>
        </is>
      </c>
      <c r="J1642" t="inlineStr">
        <is>
          <t>wmo_natl_met</t>
        </is>
      </c>
      <c r="K1642" t="inlineStr">
        <is>
          <t>https://worldweather.wmo.int</t>
        </is>
      </c>
      <c r="L1642" t="inlineStr">
        <is>
          <t>WMO/National Met: Climate livability composite</t>
        </is>
      </c>
      <c r="M1642" t="inlineStr">
        <is>
          <t>2024-12-31</t>
        </is>
      </c>
      <c r="N1642" t="inlineStr">
        <is>
          <t>auto_seed=climate_composite; 1500 sun hrs, 8C mean, Baltic grey</t>
        </is>
      </c>
    </row>
    <row r="1643">
      <c r="A1643" t="inlineStr">
        <is>
          <t>pl-gdansk</t>
        </is>
      </c>
      <c r="B1643" t="inlineStr">
        <is>
          <t>Gdansk</t>
        </is>
      </c>
      <c r="C1643" t="inlineStr">
        <is>
          <t>Poland</t>
        </is>
      </c>
      <c r="D1643" t="inlineStr">
        <is>
          <t>Southern/Eastern Europe and Eurasia</t>
        </is>
      </c>
      <c r="E1643" t="inlineStr">
        <is>
          <t>healthcare_quality_raw</t>
        </is>
      </c>
      <c r="F1643" t="inlineStr">
        <is>
          <t>Healthcare quality raw</t>
        </is>
      </c>
      <c r="G1643" t="inlineStr">
        <is>
          <t>capability</t>
        </is>
      </c>
      <c r="H1643" t="inlineStr">
        <is>
          <t>yes</t>
        </is>
      </c>
      <c r="I1643" t="inlineStr">
        <is>
          <t>82.0</t>
        </is>
      </c>
      <c r="J1643" t="inlineStr">
        <is>
          <t>who_gho</t>
        </is>
      </c>
      <c r="K1643" t="inlineStr">
        <is>
          <t>https://www.who.int/data/gho/data/indicators/indicator-details/GHO/UHC_INDEX_REPORTED</t>
        </is>
      </c>
      <c r="L1643" t="inlineStr">
        <is>
          <t>WHO GHO: UHC Service Coverage Index</t>
        </is>
      </c>
      <c r="M1643" t="inlineStr">
        <is>
          <t>2023-12-31</t>
        </is>
      </c>
      <c r="N1643" t="inlineStr">
        <is>
          <t>auto_ingest=who_gho; indicator=UHC_INDEX_REPORTED; year=2023; country_proxy=Poland</t>
        </is>
      </c>
    </row>
    <row r="1644">
      <c r="A1644" t="inlineStr">
        <is>
          <t>pl-gdansk</t>
        </is>
      </c>
      <c r="B1644" t="inlineStr">
        <is>
          <t>Gdansk</t>
        </is>
      </c>
      <c r="C1644" t="inlineStr">
        <is>
          <t>Poland</t>
        </is>
      </c>
      <c r="D1644" t="inlineStr">
        <is>
          <t>Southern/Eastern Europe and Eurasia</t>
        </is>
      </c>
      <c r="E1644" t="inlineStr">
        <is>
          <t>education_quality_raw</t>
        </is>
      </c>
      <c r="F1644" t="inlineStr">
        <is>
          <t>Education quality raw</t>
        </is>
      </c>
      <c r="G1644" t="inlineStr">
        <is>
          <t>capability</t>
        </is>
      </c>
      <c r="H1644" t="inlineStr">
        <is>
          <t>yes</t>
        </is>
      </c>
      <c r="I1644" t="inlineStr">
        <is>
          <t>76.88</t>
        </is>
      </c>
      <c r="J1644" t="inlineStr">
        <is>
          <t>world_bank</t>
        </is>
      </c>
      <c r="K1644" t="inlineStr">
        <is>
          <t>https://api.worldbank.org/v2/country/POL/indicator/SE.TER.ENRR?format=json&amp;mrv=10</t>
        </is>
      </c>
      <c r="L1644" t="inlineStr">
        <is>
          <t>World Bank WDI: School enrollment, tertiary (% gross)</t>
        </is>
      </c>
      <c r="M1644" t="inlineStr">
        <is>
          <t>2023-12-31</t>
        </is>
      </c>
      <c r="N1644" t="inlineStr">
        <is>
          <t>auto_ingest=world_bank_proxy; indicator=SE.TER.ENRR; year=2023; country_proxy=Poland</t>
        </is>
      </c>
    </row>
    <row r="1645">
      <c r="A1645" t="inlineStr">
        <is>
          <t>pl-gdansk</t>
        </is>
      </c>
      <c r="B1645" t="inlineStr">
        <is>
          <t>Gdansk</t>
        </is>
      </c>
      <c r="C1645" t="inlineStr">
        <is>
          <t>Poland</t>
        </is>
      </c>
      <c r="D1645" t="inlineStr">
        <is>
          <t>Southern/Eastern Europe and Eurasia</t>
        </is>
      </c>
      <c r="E1645" t="inlineStr">
        <is>
          <t>equal_opportunity_raw</t>
        </is>
      </c>
      <c r="F1645" t="inlineStr">
        <is>
          <t>Equal opportunity raw</t>
        </is>
      </c>
      <c r="G1645" t="inlineStr">
        <is>
          <t>capability</t>
        </is>
      </c>
      <c r="H1645" t="inlineStr">
        <is>
          <t>yes</t>
        </is>
      </c>
      <c r="I1645" t="inlineStr">
        <is>
          <t>28.5</t>
        </is>
      </c>
      <c r="J1645" t="inlineStr">
        <is>
          <t>world_bank</t>
        </is>
      </c>
      <c r="K1645" t="inlineStr">
        <is>
          <t>https://api.worldbank.org/v2/country/POL/indicator/SI.POV.GINI?format=json&amp;mrv=10</t>
        </is>
      </c>
      <c r="L1645" t="inlineStr">
        <is>
          <t>World Bank WDI: Gini index</t>
        </is>
      </c>
      <c r="M1645" t="inlineStr">
        <is>
          <t>2023-12-31</t>
        </is>
      </c>
      <c r="N1645" t="inlineStr">
        <is>
          <t>auto_ingest=world_bank_capability; indicator=SI.POV.GINI; year=2023; country_proxy=Poland</t>
        </is>
      </c>
    </row>
    <row r="1646">
      <c r="A1646" t="inlineStr">
        <is>
          <t>pl-gdansk</t>
        </is>
      </c>
      <c r="B1646" t="inlineStr">
        <is>
          <t>Gdansk</t>
        </is>
      </c>
      <c r="C1646" t="inlineStr">
        <is>
          <t>Poland</t>
        </is>
      </c>
      <c r="D1646" t="inlineStr">
        <is>
          <t>Southern/Eastern Europe and Eurasia</t>
        </is>
      </c>
      <c r="E1646" t="inlineStr">
        <is>
          <t>hospitality_belonging_raw</t>
        </is>
      </c>
      <c r="F1646" t="inlineStr">
        <is>
          <t>Hospitality and belonging raw</t>
        </is>
      </c>
      <c r="G1646" t="inlineStr">
        <is>
          <t>community</t>
        </is>
      </c>
      <c r="H1646" t="inlineStr">
        <is>
          <t>yes</t>
        </is>
      </c>
      <c r="I1646" t="inlineStr">
        <is>
          <t>40.95</t>
        </is>
      </c>
      <c r="J1646" t="inlineStr">
        <is>
          <t>world_bank</t>
        </is>
      </c>
      <c r="K1646" t="inlineStr">
        <is>
          <t>https://api.worldbank.org/v2/country/POL/indicator/SM.POP.NETM?format=json&amp;mrv=10</t>
        </is>
      </c>
      <c r="L1646" t="inlineStr">
        <is>
          <t>World Bank WDI: Net migration (proxy for hospitality/belonging — positive = welcoming)</t>
        </is>
      </c>
      <c r="M1646" t="inlineStr">
        <is>
          <t>2025-12-31</t>
        </is>
      </c>
      <c r="N1646" t="inlineStr">
        <is>
          <t>auto_ingest=world_bank_proxy; proxy=net_migration_hospitality; indicator=SM.POP.NETM; year=2025; country_proxy=Poland</t>
        </is>
      </c>
    </row>
    <row r="1647">
      <c r="A1647" t="inlineStr">
        <is>
          <t>pl-gdansk</t>
        </is>
      </c>
      <c r="B1647" t="inlineStr">
        <is>
          <t>Gdansk</t>
        </is>
      </c>
      <c r="C1647" t="inlineStr">
        <is>
          <t>Poland</t>
        </is>
      </c>
      <c r="D1647" t="inlineStr">
        <is>
          <t>Southern/Eastern Europe and Eurasia</t>
        </is>
      </c>
      <c r="E1647" t="inlineStr">
        <is>
          <t>tolerance_pluralism_raw</t>
        </is>
      </c>
      <c r="F1647" t="inlineStr">
        <is>
          <t>Tolerance and pluralism raw</t>
        </is>
      </c>
      <c r="G1647" t="inlineStr">
        <is>
          <t>community</t>
        </is>
      </c>
      <c r="H1647" t="inlineStr">
        <is>
          <t>yes</t>
        </is>
      </c>
      <c r="I1647" t="inlineStr">
        <is>
          <t>29.57</t>
        </is>
      </c>
      <c r="J1647" t="inlineStr">
        <is>
          <t>world_bank</t>
        </is>
      </c>
      <c r="K1647" t="inlineStr">
        <is>
          <t>https://api.worldbank.org/v2/country/POL/indicator/SG.GEN.PARL.ZS?format=json&amp;mrv=10</t>
        </is>
      </c>
      <c r="L1647" t="inlineStr">
        <is>
          <t>World Bank WDI: Proportion of seats held by women in national parliaments (%)</t>
        </is>
      </c>
      <c r="M1647" t="inlineStr">
        <is>
          <t>2024-12-31</t>
        </is>
      </c>
      <c r="N1647" t="inlineStr">
        <is>
          <t>auto_ingest=world_bank_proxy; proxy=gender_parity_parliament; indicator=SG.GEN.PARL.ZS; year=2024; country_proxy=Poland</t>
        </is>
      </c>
    </row>
    <row r="1648">
      <c r="A1648" t="inlineStr">
        <is>
          <t>pl-gdansk</t>
        </is>
      </c>
      <c r="B1648" t="inlineStr">
        <is>
          <t>Gdansk</t>
        </is>
      </c>
      <c r="C1648" t="inlineStr">
        <is>
          <t>Poland</t>
        </is>
      </c>
      <c r="D1648" t="inlineStr">
        <is>
          <t>Southern/Eastern Europe and Eurasia</t>
        </is>
      </c>
      <c r="E1648" t="inlineStr">
        <is>
          <t>cultural_public_life_raw</t>
        </is>
      </c>
      <c r="F1648" t="inlineStr">
        <is>
          <t>Cultural public life raw</t>
        </is>
      </c>
      <c r="G1648" t="inlineStr">
        <is>
          <t>community</t>
        </is>
      </c>
      <c r="H1648" t="inlineStr">
        <is>
          <t>yes</t>
        </is>
      </c>
      <c r="I1648" t="inlineStr">
        <is>
          <t>2421.14</t>
        </is>
      </c>
      <c r="J1648" t="inlineStr">
        <is>
          <t>world_bank</t>
        </is>
      </c>
      <c r="K1648" t="inlineStr">
        <is>
          <t>https://api.worldbank.org/v2/country/POL/indicator/ST.INT.ARVL?format=json&amp;mrv=10</t>
        </is>
      </c>
      <c r="L1648" t="inlineStr">
        <is>
          <t>World Bank WDI: International tourism arrivals per 1 000 population</t>
        </is>
      </c>
      <c r="M1648" t="inlineStr">
        <is>
          <t>2019-12-31</t>
        </is>
      </c>
      <c r="N1648" t="inlineStr">
        <is>
          <t>auto_ingest=cultural_life_proxy; indicator=ST.INT.ARVL; norm=per_1000_pop; year=2019; country_proxy=Poland</t>
        </is>
      </c>
    </row>
    <row r="1649">
      <c r="A1649" t="inlineStr">
        <is>
          <t>pl-gdansk</t>
        </is>
      </c>
      <c r="B1649" t="inlineStr">
        <is>
          <t>Gdansk</t>
        </is>
      </c>
      <c r="C1649" t="inlineStr">
        <is>
          <t>Poland</t>
        </is>
      </c>
      <c r="D1649" t="inlineStr">
        <is>
          <t>Southern/Eastern Europe and Eurasia</t>
        </is>
      </c>
      <c r="E1649" t="inlineStr">
        <is>
          <t>birth_rate_optimism_raw</t>
        </is>
      </c>
      <c r="F1649" t="inlineStr">
        <is>
          <t>Birth rate and societal optimism raw</t>
        </is>
      </c>
      <c r="G1649" t="inlineStr">
        <is>
          <t>community</t>
        </is>
      </c>
      <c r="H1649" t="inlineStr">
        <is>
          <t>yes</t>
        </is>
      </c>
      <c r="I1649" t="inlineStr">
        <is>
          <t>1.29</t>
        </is>
      </c>
      <c r="J1649" t="inlineStr">
        <is>
          <t>world_bank</t>
        </is>
      </c>
      <c r="K1649" t="inlineStr">
        <is>
          <t>https://data.worldbank.org/indicator/SP.DYN.TFRT.IN</t>
        </is>
      </c>
      <c r="L1649" t="inlineStr">
        <is>
          <t>World Bank Total Fertility Rate 2023</t>
        </is>
      </c>
      <c r="M1649" t="inlineStr">
        <is>
          <t>2024-01-01</t>
        </is>
      </c>
      <c r="N1649" t="inlineStr"/>
    </row>
    <row r="1650">
      <c r="A1650" t="inlineStr">
        <is>
          <t>pl-gdansk</t>
        </is>
      </c>
      <c r="B1650" t="inlineStr">
        <is>
          <t>Gdansk</t>
        </is>
      </c>
      <c r="C1650" t="inlineStr">
        <is>
          <t>Poland</t>
        </is>
      </c>
      <c r="D1650" t="inlineStr">
        <is>
          <t>Southern/Eastern Europe and Eurasia</t>
        </is>
      </c>
      <c r="E1650" t="inlineStr">
        <is>
          <t>entrepreneurial_dynamism_raw</t>
        </is>
      </c>
      <c r="F1650" t="inlineStr">
        <is>
          <t>Entrepreneurial dynamism raw</t>
        </is>
      </c>
      <c r="G1650" t="inlineStr">
        <is>
          <t>creative</t>
        </is>
      </c>
      <c r="H1650" t="inlineStr">
        <is>
          <t>yes</t>
        </is>
      </c>
      <c r="I1650" t="inlineStr">
        <is>
          <t>2.16</t>
        </is>
      </c>
      <c r="J1650" t="inlineStr">
        <is>
          <t>world_bank</t>
        </is>
      </c>
      <c r="K1650" t="inlineStr">
        <is>
          <t>https://api.worldbank.org/v2/country/POL/indicator/IC.BUS.NDNS.ZS?format=json&amp;mrv=10</t>
        </is>
      </c>
      <c r="L1650" t="inlineStr">
        <is>
          <t>World Bank WDI: New business density (new registrations per 1,000 people ages 15-64)</t>
        </is>
      </c>
      <c r="M1650" t="inlineStr">
        <is>
          <t>2022-12-31</t>
        </is>
      </c>
      <c r="N1650" t="inlineStr">
        <is>
          <t>auto_ingest=world_bank_creative_extended; indicator=IC.BUS.NDNS.ZS; year=2022; country_proxy=Poland</t>
        </is>
      </c>
    </row>
    <row r="1651">
      <c r="A1651" t="inlineStr">
        <is>
          <t>pl-gdansk</t>
        </is>
      </c>
      <c r="B1651" t="inlineStr">
        <is>
          <t>Gdansk</t>
        </is>
      </c>
      <c r="C1651" t="inlineStr">
        <is>
          <t>Poland</t>
        </is>
      </c>
      <c r="D1651" t="inlineStr">
        <is>
          <t>Southern/Eastern Europe and Eurasia</t>
        </is>
      </c>
      <c r="E1651" t="inlineStr">
        <is>
          <t>innovation_research_intensity_raw</t>
        </is>
      </c>
      <c r="F1651" t="inlineStr">
        <is>
          <t>Innovation and research raw</t>
        </is>
      </c>
      <c r="G1651" t="inlineStr">
        <is>
          <t>creative</t>
        </is>
      </c>
      <c r="H1651" t="inlineStr">
        <is>
          <t>yes</t>
        </is>
      </c>
      <c r="I1651" t="inlineStr">
        <is>
          <t>1.45</t>
        </is>
      </c>
      <c r="J1651" t="inlineStr">
        <is>
          <t>world_bank</t>
        </is>
      </c>
      <c r="K1651" t="inlineStr">
        <is>
          <t>https://api.worldbank.org/v2/country/POL/indicator/GB.XPD.RSDV.GD.ZS?format=json&amp;mrv=10</t>
        </is>
      </c>
      <c r="L1651" t="inlineStr">
        <is>
          <t>World Bank WDI: Research and development expenditure (% of GDP)</t>
        </is>
      </c>
      <c r="M1651" t="inlineStr">
        <is>
          <t>2022-12-31</t>
        </is>
      </c>
      <c r="N1651" t="inlineStr">
        <is>
          <t>auto_ingest=world_bank_creative_extended; indicator=GB.XPD.RSDV.GD.ZS; year=2022; country_proxy=Poland</t>
        </is>
      </c>
    </row>
    <row r="1652">
      <c r="A1652" t="inlineStr">
        <is>
          <t>pl-gdansk</t>
        </is>
      </c>
      <c r="B1652" t="inlineStr">
        <is>
          <t>Gdansk</t>
        </is>
      </c>
      <c r="C1652" t="inlineStr">
        <is>
          <t>Poland</t>
        </is>
      </c>
      <c r="D1652" t="inlineStr">
        <is>
          <t>Southern/Eastern Europe and Eurasia</t>
        </is>
      </c>
      <c r="E1652" t="inlineStr">
        <is>
          <t>investment_signal_raw</t>
        </is>
      </c>
      <c r="F1652" t="inlineStr">
        <is>
          <t>Investment signal raw</t>
        </is>
      </c>
      <c r="G1652" t="inlineStr">
        <is>
          <t>creative</t>
        </is>
      </c>
      <c r="H1652" t="inlineStr">
        <is>
          <t>yes</t>
        </is>
      </c>
      <c r="I1652" t="inlineStr">
        <is>
          <t>2.25</t>
        </is>
      </c>
      <c r="J1652" t="inlineStr">
        <is>
          <t>world_bank</t>
        </is>
      </c>
      <c r="K1652" t="inlineStr">
        <is>
          <t>https://api.worldbank.org/v2/country/POL/indicator/BX.KLT.DINV.WD.GD.ZS?format=json&amp;mrv=10</t>
        </is>
      </c>
      <c r="L1652" t="inlineStr">
        <is>
          <t>World Bank WDI: Foreign direct investment, net inflows (% of GDP)</t>
        </is>
      </c>
      <c r="M1652" t="inlineStr">
        <is>
          <t>2024-12-31</t>
        </is>
      </c>
      <c r="N1652" t="inlineStr">
        <is>
          <t>auto_ingest=world_bank_creative_extended; indicator=BX.KLT.DINV.WD.GD.ZS; year=2024; country_proxy=Poland</t>
        </is>
      </c>
    </row>
    <row r="1653">
      <c r="A1653" t="inlineStr">
        <is>
          <t>pl-gdansk</t>
        </is>
      </c>
      <c r="B1653" t="inlineStr">
        <is>
          <t>Gdansk</t>
        </is>
      </c>
      <c r="C1653" t="inlineStr">
        <is>
          <t>Poland</t>
        </is>
      </c>
      <c r="D1653" t="inlineStr">
        <is>
          <t>Southern/Eastern Europe and Eurasia</t>
        </is>
      </c>
      <c r="E1653" t="inlineStr">
        <is>
          <t>administrative_investment_friction_raw</t>
        </is>
      </c>
      <c r="F1653" t="inlineStr">
        <is>
          <t>Administrative investment friction raw</t>
        </is>
      </c>
      <c r="G1653" t="inlineStr">
        <is>
          <t>creative</t>
        </is>
      </c>
      <c r="H1653" t="inlineStr">
        <is>
          <t>yes</t>
        </is>
      </c>
      <c r="I1653" t="inlineStr">
        <is>
          <t>1.72</t>
        </is>
      </c>
      <c r="J1653" t="inlineStr">
        <is>
          <t>world_bank</t>
        </is>
      </c>
      <c r="K1653" t="inlineStr">
        <is>
          <t>https://api.worldbank.org/v2/country/POL/indicator/RQ.EST?format=json&amp;mrv=10</t>
        </is>
      </c>
      <c r="L1653" t="inlineStr">
        <is>
          <t>World Bank WGI: Regulatory Quality (inverted as friction proxy)</t>
        </is>
      </c>
      <c r="M1653" t="inlineStr">
        <is>
          <t>2023-12-31</t>
        </is>
      </c>
      <c r="N1653" t="inlineStr">
        <is>
          <t>auto_ingest=world_bank_business_friction; indicator=RQ.EST; raw_rq=0.780193567276001; friction=1.72; year=2023; country_proxy=Poland</t>
        </is>
      </c>
    </row>
    <row r="1654">
      <c r="A1654" t="inlineStr">
        <is>
          <t>pl-gdansk</t>
        </is>
      </c>
      <c r="B1654" t="inlineStr">
        <is>
          <t>Gdansk</t>
        </is>
      </c>
      <c r="C1654" t="inlineStr">
        <is>
          <t>Poland</t>
        </is>
      </c>
      <c r="D1654" t="inlineStr">
        <is>
          <t>Southern/Eastern Europe and Eurasia</t>
        </is>
      </c>
      <c r="E1654" t="inlineStr">
        <is>
          <t>visitor_flow_context_raw</t>
        </is>
      </c>
      <c r="F1654" t="inlineStr">
        <is>
          <t>Visitor flow context raw</t>
        </is>
      </c>
      <c r="G1654" t="inlineStr">
        <is>
          <t>creative</t>
        </is>
      </c>
      <c r="H1654" t="inlineStr">
        <is>
          <t>no</t>
        </is>
      </c>
      <c r="I1654" t="inlineStr"/>
      <c r="J1654" t="inlineStr"/>
      <c r="K1654" t="inlineStr"/>
      <c r="L1654" t="inlineStr"/>
      <c r="M1654" t="inlineStr"/>
      <c r="N1654" t="inlineStr"/>
    </row>
    <row r="1655">
      <c r="A1655" t="inlineStr">
        <is>
          <t>pl-torun</t>
        </is>
      </c>
      <c r="B1655" t="inlineStr">
        <is>
          <t>Torun</t>
        </is>
      </c>
      <c r="C1655" t="inlineStr">
        <is>
          <t>Poland</t>
        </is>
      </c>
      <c r="D1655" t="inlineStr">
        <is>
          <t>Southern/Eastern Europe and Eurasia</t>
        </is>
      </c>
      <c r="E1655" t="inlineStr">
        <is>
          <t>gross_income</t>
        </is>
      </c>
      <c r="F1655" t="inlineStr">
        <is>
          <t>Gross income</t>
        </is>
      </c>
      <c r="G1655" t="inlineStr">
        <is>
          <t>pressure</t>
        </is>
      </c>
      <c r="H1655" t="inlineStr">
        <is>
          <t>yes</t>
        </is>
      </c>
      <c r="I1655" t="inlineStr">
        <is>
          <t>4128.33</t>
        </is>
      </c>
      <c r="J1655" t="inlineStr">
        <is>
          <t>world_bank_col_estimate</t>
        </is>
      </c>
      <c r="K1655" t="inlineStr">
        <is>
          <t>https://api.worldbank.org/v2/country/POL/indicator/NY.GNP.PCAP.PP.CD?format=json&amp;mrv=10</t>
        </is>
      </c>
      <c r="L1655" t="inlineStr">
        <is>
          <t>World Bank WDI: GNI per capita PPP (monthly USD)</t>
        </is>
      </c>
      <c r="M1655" t="inlineStr">
        <is>
          <t>2024-12-31</t>
        </is>
      </c>
      <c r="N1655" t="inlineStr">
        <is>
          <t>auto_ingest=world_bank_col_estimate; gni_annual=49540.0; year=2024; country_proxy=Poland; cohort=Southern/Eastern Europe and Eurasia</t>
        </is>
      </c>
    </row>
    <row r="1656">
      <c r="A1656" t="inlineStr">
        <is>
          <t>pl-torun</t>
        </is>
      </c>
      <c r="B1656" t="inlineStr">
        <is>
          <t>Torun</t>
        </is>
      </c>
      <c r="C1656" t="inlineStr">
        <is>
          <t>Poland</t>
        </is>
      </c>
      <c r="D1656" t="inlineStr">
        <is>
          <t>Southern/Eastern Europe and Eurasia</t>
        </is>
      </c>
      <c r="E1656" t="inlineStr">
        <is>
          <t>di_ppp_raw</t>
        </is>
      </c>
      <c r="F1656" t="inlineStr">
        <is>
          <t>Disposable income PPP (Raw)</t>
        </is>
      </c>
      <c r="G1656" t="inlineStr">
        <is>
          <t>pressure</t>
        </is>
      </c>
      <c r="H1656" t="inlineStr">
        <is>
          <t>yes</t>
        </is>
      </c>
      <c r="I1656" t="inlineStr"/>
      <c r="J1656" t="inlineStr"/>
      <c r="K1656" t="inlineStr"/>
      <c r="L1656" t="inlineStr"/>
      <c r="M1656" t="inlineStr"/>
      <c r="N1656" t="inlineStr"/>
    </row>
    <row r="1657">
      <c r="A1657" t="inlineStr">
        <is>
          <t>pl-torun</t>
        </is>
      </c>
      <c r="B1657" t="inlineStr">
        <is>
          <t>Torun</t>
        </is>
      </c>
      <c r="C1657" t="inlineStr">
        <is>
          <t>Poland</t>
        </is>
      </c>
      <c r="D1657" t="inlineStr">
        <is>
          <t>Southern/Eastern Europe and Eurasia</t>
        </is>
      </c>
      <c r="E1657" t="inlineStr">
        <is>
          <t>rent</t>
        </is>
      </c>
      <c r="F1657" t="inlineStr">
        <is>
          <t>Rent</t>
        </is>
      </c>
      <c r="G1657" t="inlineStr">
        <is>
          <t>pressure</t>
        </is>
      </c>
      <c r="H1657" t="inlineStr">
        <is>
          <t>yes</t>
        </is>
      </c>
      <c r="I1657" t="inlineStr">
        <is>
          <t>774.06</t>
        </is>
      </c>
      <c r="J1657" t="inlineStr">
        <is>
          <t>world_bank_col_estimate</t>
        </is>
      </c>
      <c r="K1657" t="inlineStr">
        <is>
          <t>https://api.worldbank.org/v2/country/POL/indicator/NY.GNP.PCAP.PP.CD?format=json&amp;mrv=10</t>
        </is>
      </c>
      <c r="L1657" t="inlineStr">
        <is>
          <t>World Bank GNI + regional expenditure ratio estimate</t>
        </is>
      </c>
      <c r="M1657" t="inlineStr">
        <is>
          <t>2024-12-31</t>
        </is>
      </c>
      <c r="N1657" t="inlineStr">
        <is>
          <t>auto_ingest=world_bank_col_estimate; gni_annual=49540.0; year=2024; country_proxy=Poland; cohort=Southern/Eastern Europe and Eurasia; city_cost_mult=0.75</t>
        </is>
      </c>
    </row>
    <row r="1658">
      <c r="A1658" t="inlineStr">
        <is>
          <t>pl-torun</t>
        </is>
      </c>
      <c r="B1658" t="inlineStr">
        <is>
          <t>Torun</t>
        </is>
      </c>
      <c r="C1658" t="inlineStr">
        <is>
          <t>Poland</t>
        </is>
      </c>
      <c r="D1658" t="inlineStr">
        <is>
          <t>Southern/Eastern Europe and Eurasia</t>
        </is>
      </c>
      <c r="E1658" t="inlineStr">
        <is>
          <t>utilities</t>
        </is>
      </c>
      <c r="F1658" t="inlineStr">
        <is>
          <t>Utilities</t>
        </is>
      </c>
      <c r="G1658" t="inlineStr">
        <is>
          <t>pressure</t>
        </is>
      </c>
      <c r="H1658" t="inlineStr">
        <is>
          <t>yes</t>
        </is>
      </c>
      <c r="I1658" t="inlineStr">
        <is>
          <t>247.7</t>
        </is>
      </c>
      <c r="J1658" t="inlineStr">
        <is>
          <t>world_bank_col_estimate</t>
        </is>
      </c>
      <c r="K1658" t="inlineStr">
        <is>
          <t>https://api.worldbank.org/v2/country/POL/indicator/NY.GNP.PCAP.PP.CD?format=json&amp;mrv=10</t>
        </is>
      </c>
      <c r="L1658" t="inlineStr">
        <is>
          <t>World Bank GNI + regional expenditure ratio estimate</t>
        </is>
      </c>
      <c r="M1658" t="inlineStr">
        <is>
          <t>2024-12-31</t>
        </is>
      </c>
      <c r="N1658" t="inlineStr">
        <is>
          <t>auto_ingest=world_bank_col_estimate; gni_annual=49540.0; year=2024; country_proxy=Poland; cohort=Southern/Eastern Europe and Eurasia; city_cost_mult=0.75</t>
        </is>
      </c>
    </row>
    <row r="1659">
      <c r="A1659" t="inlineStr">
        <is>
          <t>pl-torun</t>
        </is>
      </c>
      <c r="B1659" t="inlineStr">
        <is>
          <t>Torun</t>
        </is>
      </c>
      <c r="C1659" t="inlineStr">
        <is>
          <t>Poland</t>
        </is>
      </c>
      <c r="D1659" t="inlineStr">
        <is>
          <t>Southern/Eastern Europe and Eurasia</t>
        </is>
      </c>
      <c r="E1659" t="inlineStr">
        <is>
          <t>transit_cost</t>
        </is>
      </c>
      <c r="F1659" t="inlineStr">
        <is>
          <t>Transit cost</t>
        </is>
      </c>
      <c r="G1659" t="inlineStr">
        <is>
          <t>pressure</t>
        </is>
      </c>
      <c r="H1659" t="inlineStr">
        <is>
          <t>yes</t>
        </is>
      </c>
      <c r="I1659" t="inlineStr">
        <is>
          <t>123.85</t>
        </is>
      </c>
      <c r="J1659" t="inlineStr">
        <is>
          <t>world_bank_col_estimate</t>
        </is>
      </c>
      <c r="K1659" t="inlineStr">
        <is>
          <t>https://api.worldbank.org/v2/country/POL/indicator/NY.GNP.PCAP.PP.CD?format=json&amp;mrv=10</t>
        </is>
      </c>
      <c r="L1659" t="inlineStr">
        <is>
          <t>World Bank GNI + regional expenditure ratio estimate</t>
        </is>
      </c>
      <c r="M1659" t="inlineStr">
        <is>
          <t>2024-12-31</t>
        </is>
      </c>
      <c r="N1659" t="inlineStr">
        <is>
          <t>auto_ingest=world_bank_col_estimate; gni_annual=49540.0; year=2024; country_proxy=Poland; cohort=Southern/Eastern Europe and Eurasia; city_cost_mult=0.75</t>
        </is>
      </c>
    </row>
    <row r="1660">
      <c r="A1660" t="inlineStr">
        <is>
          <t>pl-torun</t>
        </is>
      </c>
      <c r="B1660" t="inlineStr">
        <is>
          <t>Torun</t>
        </is>
      </c>
      <c r="C1660" t="inlineStr">
        <is>
          <t>Poland</t>
        </is>
      </c>
      <c r="D1660" t="inlineStr">
        <is>
          <t>Southern/Eastern Europe and Eurasia</t>
        </is>
      </c>
      <c r="E1660" t="inlineStr">
        <is>
          <t>internet_cost</t>
        </is>
      </c>
      <c r="F1660" t="inlineStr">
        <is>
          <t>Internet cost</t>
        </is>
      </c>
      <c r="G1660" t="inlineStr">
        <is>
          <t>pressure</t>
        </is>
      </c>
      <c r="H1660" t="inlineStr">
        <is>
          <t>yes</t>
        </is>
      </c>
      <c r="I1660" t="inlineStr">
        <is>
          <t>46.44</t>
        </is>
      </c>
      <c r="J1660" t="inlineStr">
        <is>
          <t>world_bank_col_estimate</t>
        </is>
      </c>
      <c r="K1660" t="inlineStr">
        <is>
          <t>https://api.worldbank.org/v2/country/POL/indicator/NY.GNP.PCAP.PP.CD?format=json&amp;mrv=10</t>
        </is>
      </c>
      <c r="L1660" t="inlineStr">
        <is>
          <t>World Bank GNI + regional expenditure ratio estimate</t>
        </is>
      </c>
      <c r="M1660" t="inlineStr">
        <is>
          <t>2024-12-31</t>
        </is>
      </c>
      <c r="N1660" t="inlineStr">
        <is>
          <t>auto_ingest=world_bank_col_estimate; gni_annual=49540.0; year=2024; country_proxy=Poland; cohort=Southern/Eastern Europe and Eurasia; city_cost_mult=0.75</t>
        </is>
      </c>
    </row>
    <row r="1661">
      <c r="A1661" t="inlineStr">
        <is>
          <t>pl-torun</t>
        </is>
      </c>
      <c r="B1661" t="inlineStr">
        <is>
          <t>Torun</t>
        </is>
      </c>
      <c r="C1661" t="inlineStr">
        <is>
          <t>Poland</t>
        </is>
      </c>
      <c r="D1661" t="inlineStr">
        <is>
          <t>Southern/Eastern Europe and Eurasia</t>
        </is>
      </c>
      <c r="E1661" t="inlineStr">
        <is>
          <t>food_cost</t>
        </is>
      </c>
      <c r="F1661" t="inlineStr">
        <is>
          <t>Food cost</t>
        </is>
      </c>
      <c r="G1661" t="inlineStr">
        <is>
          <t>pressure</t>
        </is>
      </c>
      <c r="H1661" t="inlineStr">
        <is>
          <t>yes</t>
        </is>
      </c>
      <c r="I1661" t="inlineStr">
        <is>
          <t>619.25</t>
        </is>
      </c>
      <c r="J1661" t="inlineStr">
        <is>
          <t>world_bank_col_estimate</t>
        </is>
      </c>
      <c r="K1661" t="inlineStr">
        <is>
          <t>https://api.worldbank.org/v2/country/POL/indicator/NY.GNP.PCAP.PP.CD?format=json&amp;mrv=10</t>
        </is>
      </c>
      <c r="L1661" t="inlineStr">
        <is>
          <t>World Bank GNI + regional expenditure ratio estimate</t>
        </is>
      </c>
      <c r="M1661" t="inlineStr">
        <is>
          <t>2024-12-31</t>
        </is>
      </c>
      <c r="N1661" t="inlineStr">
        <is>
          <t>auto_ingest=world_bank_col_estimate; gni_annual=49540.0; year=2024; country_proxy=Poland; cohort=Southern/Eastern Europe and Eurasia; city_cost_mult=0.75</t>
        </is>
      </c>
    </row>
    <row r="1662">
      <c r="A1662" t="inlineStr">
        <is>
          <t>pl-torun</t>
        </is>
      </c>
      <c r="B1662" t="inlineStr">
        <is>
          <t>Torun</t>
        </is>
      </c>
      <c r="C1662" t="inlineStr">
        <is>
          <t>Poland</t>
        </is>
      </c>
      <c r="D1662" t="inlineStr">
        <is>
          <t>Southern/Eastern Europe and Eurasia</t>
        </is>
      </c>
      <c r="E1662" t="inlineStr">
        <is>
          <t>housing_burden_raw</t>
        </is>
      </c>
      <c r="F1662" t="inlineStr">
        <is>
          <t>Housing burden raw</t>
        </is>
      </c>
      <c r="G1662" t="inlineStr">
        <is>
          <t>pressure</t>
        </is>
      </c>
      <c r="H1662" t="inlineStr">
        <is>
          <t>yes</t>
        </is>
      </c>
      <c r="I1662" t="inlineStr">
        <is>
          <t>18.75</t>
        </is>
      </c>
      <c r="J1662" t="inlineStr">
        <is>
          <t>derived</t>
        </is>
      </c>
      <c r="K1662" t="inlineStr">
        <is>
          <t>https://data.worldbank.org/indicator/NY.GNP.PCAP.PP.CD</t>
        </is>
      </c>
      <c r="L1662" t="inlineStr">
        <is>
          <t>Computed from city_inputs + country_context</t>
        </is>
      </c>
      <c r="M1662" t="inlineStr">
        <is>
          <t>2024-01-01</t>
        </is>
      </c>
      <c r="N1662" t="inlineStr">
        <is>
          <t>derived=rent/gross_income*100</t>
        </is>
      </c>
    </row>
    <row r="1663">
      <c r="A1663" t="inlineStr">
        <is>
          <t>pl-torun</t>
        </is>
      </c>
      <c r="B1663" t="inlineStr">
        <is>
          <t>Torun</t>
        </is>
      </c>
      <c r="C1663" t="inlineStr">
        <is>
          <t>Poland</t>
        </is>
      </c>
      <c r="D1663" t="inlineStr">
        <is>
          <t>Southern/Eastern Europe and Eurasia</t>
        </is>
      </c>
      <c r="E1663" t="inlineStr">
        <is>
          <t>household_debt_burden_raw</t>
        </is>
      </c>
      <c r="F1663" t="inlineStr">
        <is>
          <t>Household debt burden raw</t>
        </is>
      </c>
      <c r="G1663" t="inlineStr">
        <is>
          <t>pressure</t>
        </is>
      </c>
      <c r="H1663" t="inlineStr">
        <is>
          <t>yes</t>
        </is>
      </c>
      <c r="I1663" t="inlineStr">
        <is>
          <t>33.5851</t>
        </is>
      </c>
      <c r="J1663" t="inlineStr">
        <is>
          <t>derived</t>
        </is>
      </c>
      <c r="K1663" t="inlineStr">
        <is>
          <t>https://data.worldbank.org/indicator/NY.GNP.PCAP.PP.CD</t>
        </is>
      </c>
      <c r="L1663" t="inlineStr">
        <is>
          <t>Computed from city_inputs + country_context</t>
        </is>
      </c>
      <c r="M1663" t="inlineStr">
        <is>
          <t>2024-01-01</t>
        </is>
      </c>
      <c r="N1663" t="inlineStr">
        <is>
          <t>derived=country_context.household_debt_proxy; country=Poland</t>
        </is>
      </c>
    </row>
    <row r="1664">
      <c r="A1664" t="inlineStr">
        <is>
          <t>pl-torun</t>
        </is>
      </c>
      <c r="B1664" t="inlineStr">
        <is>
          <t>Torun</t>
        </is>
      </c>
      <c r="C1664" t="inlineStr">
        <is>
          <t>Poland</t>
        </is>
      </c>
      <c r="D1664" t="inlineStr">
        <is>
          <t>Southern/Eastern Europe and Eurasia</t>
        </is>
      </c>
      <c r="E1664" t="inlineStr">
        <is>
          <t>working_time_pressure_raw</t>
        </is>
      </c>
      <c r="F1664" t="inlineStr">
        <is>
          <t>Working time pressure raw</t>
        </is>
      </c>
      <c r="G1664" t="inlineStr">
        <is>
          <t>pressure</t>
        </is>
      </c>
      <c r="H1664" t="inlineStr">
        <is>
          <t>yes</t>
        </is>
      </c>
      <c r="I1664" t="inlineStr">
        <is>
          <t>38.63</t>
        </is>
      </c>
      <c r="J1664" t="inlineStr">
        <is>
          <t>ilo_ilostat</t>
        </is>
      </c>
      <c r="K1664" t="inlineStr">
        <is>
          <t>https://ilostat.ilo.org/data/indicator/?id=HOW_TEMP_SEX_ECO_NB_A&amp;ref_area=POL</t>
        </is>
      </c>
      <c r="L1664" t="inlineStr">
        <is>
          <t>ILO ILOSTAT: Mean weekly hours actually worked per employed person</t>
        </is>
      </c>
      <c r="M1664" t="inlineStr">
        <is>
          <t>2024-12-31</t>
        </is>
      </c>
      <c r="N1664" t="inlineStr">
        <is>
          <t>auto_ingest=ilo_working_hours; indicator=HOW_TEMP_SEX_ECO_NB_A; year=2024; hours=38.63; country_proxy=Poland</t>
        </is>
      </c>
    </row>
    <row r="1665">
      <c r="A1665" t="inlineStr">
        <is>
          <t>pl-torun</t>
        </is>
      </c>
      <c r="B1665" t="inlineStr">
        <is>
          <t>Torun</t>
        </is>
      </c>
      <c r="C1665" t="inlineStr">
        <is>
          <t>Poland</t>
        </is>
      </c>
      <c r="D1665" t="inlineStr">
        <is>
          <t>Southern/Eastern Europe and Eurasia</t>
        </is>
      </c>
      <c r="E1665" t="inlineStr">
        <is>
          <t>suicide_mental_strain_raw</t>
        </is>
      </c>
      <c r="F1665" t="inlineStr">
        <is>
          <t>Suicide or mental strain raw</t>
        </is>
      </c>
      <c r="G1665" t="inlineStr">
        <is>
          <t>pressure</t>
        </is>
      </c>
      <c r="H1665" t="inlineStr">
        <is>
          <t>yes</t>
        </is>
      </c>
      <c r="I1665" t="inlineStr">
        <is>
          <t>13.67</t>
        </is>
      </c>
      <c r="J1665" t="inlineStr">
        <is>
          <t>who_gho</t>
        </is>
      </c>
      <c r="K1665" t="inlineStr">
        <is>
          <t>https://www.who.int/data/gho/data/indicators/indicator-details/GHO/SDGSUICIDE</t>
        </is>
      </c>
      <c r="L1665" t="inlineStr">
        <is>
          <t>WHO GHO: Age-standardized suicide rate (per 100,000 population)</t>
        </is>
      </c>
      <c r="M1665" t="inlineStr">
        <is>
          <t>2021-12-31</t>
        </is>
      </c>
      <c r="N1665" t="inlineStr">
        <is>
          <t>auto_ingest=who_gho; indicator=SDGSUICIDE; year=2021; country_proxy=Poland</t>
        </is>
      </c>
    </row>
    <row r="1666">
      <c r="A1666" t="inlineStr">
        <is>
          <t>pl-torun</t>
        </is>
      </c>
      <c r="B1666" t="inlineStr">
        <is>
          <t>Torun</t>
        </is>
      </c>
      <c r="C1666" t="inlineStr">
        <is>
          <t>Poland</t>
        </is>
      </c>
      <c r="D1666" t="inlineStr">
        <is>
          <t>Southern/Eastern Europe and Eurasia</t>
        </is>
      </c>
      <c r="E1666" t="inlineStr">
        <is>
          <t>personal_safety_raw</t>
        </is>
      </c>
      <c r="F1666" t="inlineStr">
        <is>
          <t>Personal safety raw</t>
        </is>
      </c>
      <c r="G1666" t="inlineStr">
        <is>
          <t>viability</t>
        </is>
      </c>
      <c r="H1666" t="inlineStr">
        <is>
          <t>yes</t>
        </is>
      </c>
      <c r="I1666" t="inlineStr">
        <is>
          <t>0.8</t>
        </is>
      </c>
      <c r="J1666" t="inlineStr">
        <is>
          <t>world_bank</t>
        </is>
      </c>
      <c r="K1666" t="inlineStr">
        <is>
          <t>https://api.worldbank.org/v2/country/POL/indicator/VC.IHR.PSRC.P5?format=json&amp;mrv=10</t>
        </is>
      </c>
      <c r="L1666" t="inlineStr">
        <is>
          <t>UNODC via World Bank WDI: Intentional homicides (per 100,000 people)</t>
        </is>
      </c>
      <c r="M1666" t="inlineStr">
        <is>
          <t>2023-12-31</t>
        </is>
      </c>
      <c r="N1666" t="inlineStr">
        <is>
          <t>auto_ingest=unodc_safety; indicator=VC.IHR.PSRC.P5; year=2023; country_proxy=Poland</t>
        </is>
      </c>
    </row>
    <row r="1667">
      <c r="A1667" t="inlineStr">
        <is>
          <t>pl-torun</t>
        </is>
      </c>
      <c r="B1667" t="inlineStr">
        <is>
          <t>Torun</t>
        </is>
      </c>
      <c r="C1667" t="inlineStr">
        <is>
          <t>Poland</t>
        </is>
      </c>
      <c r="D1667" t="inlineStr">
        <is>
          <t>Southern/Eastern Europe and Eurasia</t>
        </is>
      </c>
      <c r="E1667" t="inlineStr">
        <is>
          <t>transit_access_commute_raw</t>
        </is>
      </c>
      <c r="F1667" t="inlineStr">
        <is>
          <t>Transit access and commute raw</t>
        </is>
      </c>
      <c r="G1667" t="inlineStr">
        <is>
          <t>viability</t>
        </is>
      </c>
      <c r="H1667" t="inlineStr">
        <is>
          <t>yes</t>
        </is>
      </c>
      <c r="I1667" t="inlineStr"/>
      <c r="J1667" t="inlineStr"/>
      <c r="K1667" t="inlineStr"/>
      <c r="L1667" t="inlineStr"/>
      <c r="M1667" t="inlineStr"/>
      <c r="N1667" t="inlineStr"/>
    </row>
    <row r="1668">
      <c r="A1668" t="inlineStr">
        <is>
          <t>pl-torun</t>
        </is>
      </c>
      <c r="B1668" t="inlineStr">
        <is>
          <t>Torun</t>
        </is>
      </c>
      <c r="C1668" t="inlineStr">
        <is>
          <t>Poland</t>
        </is>
      </c>
      <c r="D1668" t="inlineStr">
        <is>
          <t>Southern/Eastern Europe and Eurasia</t>
        </is>
      </c>
      <c r="E1668" t="inlineStr">
        <is>
          <t>clean_air_raw</t>
        </is>
      </c>
      <c r="F1668" t="inlineStr">
        <is>
          <t>Clean air raw</t>
        </is>
      </c>
      <c r="G1668" t="inlineStr">
        <is>
          <t>viability</t>
        </is>
      </c>
      <c r="H1668" t="inlineStr">
        <is>
          <t>yes</t>
        </is>
      </c>
      <c r="I1668" t="inlineStr"/>
      <c r="J1668" t="inlineStr"/>
      <c r="K1668" t="inlineStr"/>
      <c r="L1668" t="inlineStr"/>
      <c r="M1668" t="inlineStr"/>
      <c r="N1668" t="inlineStr"/>
    </row>
    <row r="1669">
      <c r="A1669" t="inlineStr">
        <is>
          <t>pl-torun</t>
        </is>
      </c>
      <c r="B1669" t="inlineStr">
        <is>
          <t>Torun</t>
        </is>
      </c>
      <c r="C1669" t="inlineStr">
        <is>
          <t>Poland</t>
        </is>
      </c>
      <c r="D1669" t="inlineStr">
        <is>
          <t>Southern/Eastern Europe and Eurasia</t>
        </is>
      </c>
      <c r="E1669" t="inlineStr">
        <is>
          <t>water_sanitation_utility_raw</t>
        </is>
      </c>
      <c r="F1669" t="inlineStr">
        <is>
          <t>Water, sanitation, and utility raw</t>
        </is>
      </c>
      <c r="G1669" t="inlineStr">
        <is>
          <t>viability</t>
        </is>
      </c>
      <c r="H1669" t="inlineStr">
        <is>
          <t>yes</t>
        </is>
      </c>
      <c r="I1669" t="inlineStr">
        <is>
          <t>88.68</t>
        </is>
      </c>
      <c r="J1669" t="inlineStr">
        <is>
          <t>world_bank</t>
        </is>
      </c>
      <c r="K1669" t="inlineStr">
        <is>
          <t>https://api.worldbank.org/v2/country/POL/indicator/SH.H2O.SMDW.ZS?format=json&amp;mrv=10</t>
        </is>
      </c>
      <c r="L1669" t="inlineStr">
        <is>
          <t>World Bank WDI: People using safely managed drinking water services (% of population)</t>
        </is>
      </c>
      <c r="M1669" t="inlineStr">
        <is>
          <t>2024-12-31</t>
        </is>
      </c>
      <c r="N1669" t="inlineStr">
        <is>
          <t>auto_ingest=world_bank_proxy; indicator=SH.H2O.SMDW.ZS; year=2024; country_proxy=Poland</t>
        </is>
      </c>
    </row>
    <row r="1670">
      <c r="A1670" t="inlineStr">
        <is>
          <t>pl-torun</t>
        </is>
      </c>
      <c r="B1670" t="inlineStr">
        <is>
          <t>Torun</t>
        </is>
      </c>
      <c r="C1670" t="inlineStr">
        <is>
          <t>Poland</t>
        </is>
      </c>
      <c r="D1670" t="inlineStr">
        <is>
          <t>Southern/Eastern Europe and Eurasia</t>
        </is>
      </c>
      <c r="E1670" t="inlineStr">
        <is>
          <t>digital_infrastructure_raw</t>
        </is>
      </c>
      <c r="F1670" t="inlineStr">
        <is>
          <t>Digital infrastructure raw</t>
        </is>
      </c>
      <c r="G1670" t="inlineStr">
        <is>
          <t>viability</t>
        </is>
      </c>
      <c r="H1670" t="inlineStr">
        <is>
          <t>yes</t>
        </is>
      </c>
      <c r="I1670" t="inlineStr">
        <is>
          <t>26.11</t>
        </is>
      </c>
      <c r="J1670" t="inlineStr">
        <is>
          <t>world_bank</t>
        </is>
      </c>
      <c r="K1670" t="inlineStr">
        <is>
          <t>https://api.worldbank.org/v2/country/POL/indicator/IT.NET.BBND.P2?format=json&amp;mrv=10</t>
        </is>
      </c>
      <c r="L1670" t="inlineStr">
        <is>
          <t>World Bank WDI: Fixed broadband subscriptions (per 100 people)</t>
        </is>
      </c>
      <c r="M1670" t="inlineStr">
        <is>
          <t>2023-12-31</t>
        </is>
      </c>
      <c r="N1670" t="inlineStr">
        <is>
          <t>auto_ingest=world_bank_proxy; indicator=IT.NET.BBND.P2; year=2023; country_proxy=Poland</t>
        </is>
      </c>
    </row>
    <row r="1671">
      <c r="A1671" t="inlineStr">
        <is>
          <t>pl-torun</t>
        </is>
      </c>
      <c r="B1671" t="inlineStr">
        <is>
          <t>Torun</t>
        </is>
      </c>
      <c r="C1671" t="inlineStr">
        <is>
          <t>Poland</t>
        </is>
      </c>
      <c r="D1671" t="inlineStr">
        <is>
          <t>Southern/Eastern Europe and Eurasia</t>
        </is>
      </c>
      <c r="E1671" t="inlineStr">
        <is>
          <t>climate_sunlight_livability_raw</t>
        </is>
      </c>
      <c r="F1671" t="inlineStr">
        <is>
          <t>Climate and sunlight livability raw</t>
        </is>
      </c>
      <c r="G1671" t="inlineStr">
        <is>
          <t>viability</t>
        </is>
      </c>
      <c r="H1671" t="inlineStr">
        <is>
          <t>yes</t>
        </is>
      </c>
      <c r="I1671" t="inlineStr"/>
      <c r="J1671" t="inlineStr"/>
      <c r="K1671" t="inlineStr"/>
      <c r="L1671" t="inlineStr"/>
      <c r="M1671" t="inlineStr"/>
      <c r="N1671" t="inlineStr"/>
    </row>
    <row r="1672">
      <c r="A1672" t="inlineStr">
        <is>
          <t>pl-torun</t>
        </is>
      </c>
      <c r="B1672" t="inlineStr">
        <is>
          <t>Torun</t>
        </is>
      </c>
      <c r="C1672" t="inlineStr">
        <is>
          <t>Poland</t>
        </is>
      </c>
      <c r="D1672" t="inlineStr">
        <is>
          <t>Southern/Eastern Europe and Eurasia</t>
        </is>
      </c>
      <c r="E1672" t="inlineStr">
        <is>
          <t>healthcare_quality_raw</t>
        </is>
      </c>
      <c r="F1672" t="inlineStr">
        <is>
          <t>Healthcare quality raw</t>
        </is>
      </c>
      <c r="G1672" t="inlineStr">
        <is>
          <t>capability</t>
        </is>
      </c>
      <c r="H1672" t="inlineStr">
        <is>
          <t>yes</t>
        </is>
      </c>
      <c r="I1672" t="inlineStr">
        <is>
          <t>82.0</t>
        </is>
      </c>
      <c r="J1672" t="inlineStr">
        <is>
          <t>who_gho</t>
        </is>
      </c>
      <c r="K1672" t="inlineStr">
        <is>
          <t>https://www.who.int/data/gho/data/indicators/indicator-details/GHO/UHC_INDEX_REPORTED</t>
        </is>
      </c>
      <c r="L1672" t="inlineStr">
        <is>
          <t>WHO GHO: UHC Service Coverage Index</t>
        </is>
      </c>
      <c r="M1672" t="inlineStr">
        <is>
          <t>2023-12-31</t>
        </is>
      </c>
      <c r="N1672" t="inlineStr">
        <is>
          <t>auto_ingest=who_gho; indicator=UHC_INDEX_REPORTED; year=2023; country_proxy=Poland</t>
        </is>
      </c>
    </row>
    <row r="1673">
      <c r="A1673" t="inlineStr">
        <is>
          <t>pl-torun</t>
        </is>
      </c>
      <c r="B1673" t="inlineStr">
        <is>
          <t>Torun</t>
        </is>
      </c>
      <c r="C1673" t="inlineStr">
        <is>
          <t>Poland</t>
        </is>
      </c>
      <c r="D1673" t="inlineStr">
        <is>
          <t>Southern/Eastern Europe and Eurasia</t>
        </is>
      </c>
      <c r="E1673" t="inlineStr">
        <is>
          <t>education_quality_raw</t>
        </is>
      </c>
      <c r="F1673" t="inlineStr">
        <is>
          <t>Education quality raw</t>
        </is>
      </c>
      <c r="G1673" t="inlineStr">
        <is>
          <t>capability</t>
        </is>
      </c>
      <c r="H1673" t="inlineStr">
        <is>
          <t>yes</t>
        </is>
      </c>
      <c r="I1673" t="inlineStr">
        <is>
          <t>76.88</t>
        </is>
      </c>
      <c r="J1673" t="inlineStr">
        <is>
          <t>world_bank</t>
        </is>
      </c>
      <c r="K1673" t="inlineStr">
        <is>
          <t>https://api.worldbank.org/v2/country/POL/indicator/SE.TER.ENRR?format=json&amp;mrv=10</t>
        </is>
      </c>
      <c r="L1673" t="inlineStr">
        <is>
          <t>World Bank WDI: School enrollment, tertiary (% gross)</t>
        </is>
      </c>
      <c r="M1673" t="inlineStr">
        <is>
          <t>2023-12-31</t>
        </is>
      </c>
      <c r="N1673" t="inlineStr">
        <is>
          <t>auto_ingest=world_bank_proxy; indicator=SE.TER.ENRR; year=2023; country_proxy=Poland</t>
        </is>
      </c>
    </row>
    <row r="1674">
      <c r="A1674" t="inlineStr">
        <is>
          <t>pl-torun</t>
        </is>
      </c>
      <c r="B1674" t="inlineStr">
        <is>
          <t>Torun</t>
        </is>
      </c>
      <c r="C1674" t="inlineStr">
        <is>
          <t>Poland</t>
        </is>
      </c>
      <c r="D1674" t="inlineStr">
        <is>
          <t>Southern/Eastern Europe and Eurasia</t>
        </is>
      </c>
      <c r="E1674" t="inlineStr">
        <is>
          <t>equal_opportunity_raw</t>
        </is>
      </c>
      <c r="F1674" t="inlineStr">
        <is>
          <t>Equal opportunity raw</t>
        </is>
      </c>
      <c r="G1674" t="inlineStr">
        <is>
          <t>capability</t>
        </is>
      </c>
      <c r="H1674" t="inlineStr">
        <is>
          <t>yes</t>
        </is>
      </c>
      <c r="I1674" t="inlineStr">
        <is>
          <t>28.5</t>
        </is>
      </c>
      <c r="J1674" t="inlineStr">
        <is>
          <t>world_bank</t>
        </is>
      </c>
      <c r="K1674" t="inlineStr">
        <is>
          <t>https://api.worldbank.org/v2/country/POL/indicator/SI.POV.GINI?format=json&amp;mrv=10</t>
        </is>
      </c>
      <c r="L1674" t="inlineStr">
        <is>
          <t>World Bank WDI: Gini index</t>
        </is>
      </c>
      <c r="M1674" t="inlineStr">
        <is>
          <t>2023-12-31</t>
        </is>
      </c>
      <c r="N1674" t="inlineStr">
        <is>
          <t>auto_ingest=world_bank_capability; indicator=SI.POV.GINI; year=2023; country_proxy=Poland</t>
        </is>
      </c>
    </row>
    <row r="1675">
      <c r="A1675" t="inlineStr">
        <is>
          <t>pl-torun</t>
        </is>
      </c>
      <c r="B1675" t="inlineStr">
        <is>
          <t>Torun</t>
        </is>
      </c>
      <c r="C1675" t="inlineStr">
        <is>
          <t>Poland</t>
        </is>
      </c>
      <c r="D1675" t="inlineStr">
        <is>
          <t>Southern/Eastern Europe and Eurasia</t>
        </is>
      </c>
      <c r="E1675" t="inlineStr">
        <is>
          <t>hospitality_belonging_raw</t>
        </is>
      </c>
      <c r="F1675" t="inlineStr">
        <is>
          <t>Hospitality and belonging raw</t>
        </is>
      </c>
      <c r="G1675" t="inlineStr">
        <is>
          <t>community</t>
        </is>
      </c>
      <c r="H1675" t="inlineStr">
        <is>
          <t>yes</t>
        </is>
      </c>
      <c r="I1675" t="inlineStr">
        <is>
          <t>40.95</t>
        </is>
      </c>
      <c r="J1675" t="inlineStr">
        <is>
          <t>world_bank</t>
        </is>
      </c>
      <c r="K1675" t="inlineStr">
        <is>
          <t>https://api.worldbank.org/v2/country/POL/indicator/SM.POP.NETM?format=json&amp;mrv=10</t>
        </is>
      </c>
      <c r="L1675" t="inlineStr">
        <is>
          <t>World Bank WDI: Net migration (proxy for hospitality/belonging — positive = welcoming)</t>
        </is>
      </c>
      <c r="M1675" t="inlineStr">
        <is>
          <t>2025-12-31</t>
        </is>
      </c>
      <c r="N1675" t="inlineStr">
        <is>
          <t>auto_ingest=world_bank_proxy; proxy=net_migration_hospitality; indicator=SM.POP.NETM; year=2025; country_proxy=Poland</t>
        </is>
      </c>
    </row>
    <row r="1676">
      <c r="A1676" t="inlineStr">
        <is>
          <t>pl-torun</t>
        </is>
      </c>
      <c r="B1676" t="inlineStr">
        <is>
          <t>Torun</t>
        </is>
      </c>
      <c r="C1676" t="inlineStr">
        <is>
          <t>Poland</t>
        </is>
      </c>
      <c r="D1676" t="inlineStr">
        <is>
          <t>Southern/Eastern Europe and Eurasia</t>
        </is>
      </c>
      <c r="E1676" t="inlineStr">
        <is>
          <t>tolerance_pluralism_raw</t>
        </is>
      </c>
      <c r="F1676" t="inlineStr">
        <is>
          <t>Tolerance and pluralism raw</t>
        </is>
      </c>
      <c r="G1676" t="inlineStr">
        <is>
          <t>community</t>
        </is>
      </c>
      <c r="H1676" t="inlineStr">
        <is>
          <t>yes</t>
        </is>
      </c>
      <c r="I1676" t="inlineStr">
        <is>
          <t>29.57</t>
        </is>
      </c>
      <c r="J1676" t="inlineStr">
        <is>
          <t>world_bank</t>
        </is>
      </c>
      <c r="K1676" t="inlineStr">
        <is>
          <t>https://api.worldbank.org/v2/country/POL/indicator/SG.GEN.PARL.ZS?format=json&amp;mrv=10</t>
        </is>
      </c>
      <c r="L1676" t="inlineStr">
        <is>
          <t>World Bank WDI: Proportion of seats held by women in national parliaments (%)</t>
        </is>
      </c>
      <c r="M1676" t="inlineStr">
        <is>
          <t>2024-12-31</t>
        </is>
      </c>
      <c r="N1676" t="inlineStr">
        <is>
          <t>auto_ingest=world_bank_proxy; proxy=gender_parity_parliament; indicator=SG.GEN.PARL.ZS; year=2024; country_proxy=Poland</t>
        </is>
      </c>
    </row>
    <row r="1677">
      <c r="A1677" t="inlineStr">
        <is>
          <t>pl-torun</t>
        </is>
      </c>
      <c r="B1677" t="inlineStr">
        <is>
          <t>Torun</t>
        </is>
      </c>
      <c r="C1677" t="inlineStr">
        <is>
          <t>Poland</t>
        </is>
      </c>
      <c r="D1677" t="inlineStr">
        <is>
          <t>Southern/Eastern Europe and Eurasia</t>
        </is>
      </c>
      <c r="E1677" t="inlineStr">
        <is>
          <t>cultural_public_life_raw</t>
        </is>
      </c>
      <c r="F1677" t="inlineStr">
        <is>
          <t>Cultural public life raw</t>
        </is>
      </c>
      <c r="G1677" t="inlineStr">
        <is>
          <t>community</t>
        </is>
      </c>
      <c r="H1677" t="inlineStr">
        <is>
          <t>yes</t>
        </is>
      </c>
      <c r="I1677" t="inlineStr">
        <is>
          <t>2421.14</t>
        </is>
      </c>
      <c r="J1677" t="inlineStr">
        <is>
          <t>world_bank</t>
        </is>
      </c>
      <c r="K1677" t="inlineStr">
        <is>
          <t>https://api.worldbank.org/v2/country/POL/indicator/ST.INT.ARVL?format=json&amp;mrv=10</t>
        </is>
      </c>
      <c r="L1677" t="inlineStr">
        <is>
          <t>World Bank WDI: International tourism arrivals per 1 000 population</t>
        </is>
      </c>
      <c r="M1677" t="inlineStr">
        <is>
          <t>2019-12-31</t>
        </is>
      </c>
      <c r="N1677" t="inlineStr">
        <is>
          <t>auto_ingest=cultural_life_proxy; indicator=ST.INT.ARVL; norm=per_1000_pop; year=2019; country_proxy=Poland</t>
        </is>
      </c>
    </row>
    <row r="1678">
      <c r="A1678" t="inlineStr">
        <is>
          <t>pl-torun</t>
        </is>
      </c>
      <c r="B1678" t="inlineStr">
        <is>
          <t>Torun</t>
        </is>
      </c>
      <c r="C1678" t="inlineStr">
        <is>
          <t>Poland</t>
        </is>
      </c>
      <c r="D1678" t="inlineStr">
        <is>
          <t>Southern/Eastern Europe and Eurasia</t>
        </is>
      </c>
      <c r="E1678" t="inlineStr">
        <is>
          <t>birth_rate_optimism_raw</t>
        </is>
      </c>
      <c r="F1678" t="inlineStr">
        <is>
          <t>Birth rate and societal optimism raw</t>
        </is>
      </c>
      <c r="G1678" t="inlineStr">
        <is>
          <t>community</t>
        </is>
      </c>
      <c r="H1678" t="inlineStr">
        <is>
          <t>yes</t>
        </is>
      </c>
      <c r="I1678" t="inlineStr">
        <is>
          <t>1.29</t>
        </is>
      </c>
      <c r="J1678" t="inlineStr">
        <is>
          <t>world_bank</t>
        </is>
      </c>
      <c r="K1678" t="inlineStr">
        <is>
          <t>https://data.worldbank.org/indicator/SP.DYN.TFRT.IN</t>
        </is>
      </c>
      <c r="L1678" t="inlineStr">
        <is>
          <t>World Bank Total Fertility Rate 2023</t>
        </is>
      </c>
      <c r="M1678" t="inlineStr">
        <is>
          <t>2024-01-01</t>
        </is>
      </c>
      <c r="N1678" t="inlineStr"/>
    </row>
    <row r="1679">
      <c r="A1679" t="inlineStr">
        <is>
          <t>pl-torun</t>
        </is>
      </c>
      <c r="B1679" t="inlineStr">
        <is>
          <t>Torun</t>
        </is>
      </c>
      <c r="C1679" t="inlineStr">
        <is>
          <t>Poland</t>
        </is>
      </c>
      <c r="D1679" t="inlineStr">
        <is>
          <t>Southern/Eastern Europe and Eurasia</t>
        </is>
      </c>
      <c r="E1679" t="inlineStr">
        <is>
          <t>entrepreneurial_dynamism_raw</t>
        </is>
      </c>
      <c r="F1679" t="inlineStr">
        <is>
          <t>Entrepreneurial dynamism raw</t>
        </is>
      </c>
      <c r="G1679" t="inlineStr">
        <is>
          <t>creative</t>
        </is>
      </c>
      <c r="H1679" t="inlineStr">
        <is>
          <t>yes</t>
        </is>
      </c>
      <c r="I1679" t="inlineStr">
        <is>
          <t>2.16</t>
        </is>
      </c>
      <c r="J1679" t="inlineStr">
        <is>
          <t>world_bank</t>
        </is>
      </c>
      <c r="K1679" t="inlineStr">
        <is>
          <t>https://api.worldbank.org/v2/country/POL/indicator/IC.BUS.NDNS.ZS?format=json&amp;mrv=10</t>
        </is>
      </c>
      <c r="L1679" t="inlineStr">
        <is>
          <t>World Bank WDI: New business density (new registrations per 1,000 people ages 15-64)</t>
        </is>
      </c>
      <c r="M1679" t="inlineStr">
        <is>
          <t>2022-12-31</t>
        </is>
      </c>
      <c r="N1679" t="inlineStr">
        <is>
          <t>auto_ingest=world_bank_creative_extended; indicator=IC.BUS.NDNS.ZS; year=2022; country_proxy=Poland</t>
        </is>
      </c>
    </row>
    <row r="1680">
      <c r="A1680" t="inlineStr">
        <is>
          <t>pl-torun</t>
        </is>
      </c>
      <c r="B1680" t="inlineStr">
        <is>
          <t>Torun</t>
        </is>
      </c>
      <c r="C1680" t="inlineStr">
        <is>
          <t>Poland</t>
        </is>
      </c>
      <c r="D1680" t="inlineStr">
        <is>
          <t>Southern/Eastern Europe and Eurasia</t>
        </is>
      </c>
      <c r="E1680" t="inlineStr">
        <is>
          <t>innovation_research_intensity_raw</t>
        </is>
      </c>
      <c r="F1680" t="inlineStr">
        <is>
          <t>Innovation and research raw</t>
        </is>
      </c>
      <c r="G1680" t="inlineStr">
        <is>
          <t>creative</t>
        </is>
      </c>
      <c r="H1680" t="inlineStr">
        <is>
          <t>yes</t>
        </is>
      </c>
      <c r="I1680" t="inlineStr">
        <is>
          <t>1.45</t>
        </is>
      </c>
      <c r="J1680" t="inlineStr">
        <is>
          <t>world_bank</t>
        </is>
      </c>
      <c r="K1680" t="inlineStr">
        <is>
          <t>https://api.worldbank.org/v2/country/POL/indicator/GB.XPD.RSDV.GD.ZS?format=json&amp;mrv=10</t>
        </is>
      </c>
      <c r="L1680" t="inlineStr">
        <is>
          <t>World Bank WDI: Research and development expenditure (% of GDP)</t>
        </is>
      </c>
      <c r="M1680" t="inlineStr">
        <is>
          <t>2022-12-31</t>
        </is>
      </c>
      <c r="N1680" t="inlineStr">
        <is>
          <t>auto_ingest=world_bank_creative_extended; indicator=GB.XPD.RSDV.GD.ZS; year=2022; country_proxy=Poland</t>
        </is>
      </c>
    </row>
    <row r="1681">
      <c r="A1681" t="inlineStr">
        <is>
          <t>pl-torun</t>
        </is>
      </c>
      <c r="B1681" t="inlineStr">
        <is>
          <t>Torun</t>
        </is>
      </c>
      <c r="C1681" t="inlineStr">
        <is>
          <t>Poland</t>
        </is>
      </c>
      <c r="D1681" t="inlineStr">
        <is>
          <t>Southern/Eastern Europe and Eurasia</t>
        </is>
      </c>
      <c r="E1681" t="inlineStr">
        <is>
          <t>investment_signal_raw</t>
        </is>
      </c>
      <c r="F1681" t="inlineStr">
        <is>
          <t>Investment signal raw</t>
        </is>
      </c>
      <c r="G1681" t="inlineStr">
        <is>
          <t>creative</t>
        </is>
      </c>
      <c r="H1681" t="inlineStr">
        <is>
          <t>yes</t>
        </is>
      </c>
      <c r="I1681" t="inlineStr">
        <is>
          <t>2.25</t>
        </is>
      </c>
      <c r="J1681" t="inlineStr">
        <is>
          <t>world_bank</t>
        </is>
      </c>
      <c r="K1681" t="inlineStr">
        <is>
          <t>https://api.worldbank.org/v2/country/POL/indicator/BX.KLT.DINV.WD.GD.ZS?format=json&amp;mrv=10</t>
        </is>
      </c>
      <c r="L1681" t="inlineStr">
        <is>
          <t>World Bank WDI: Foreign direct investment, net inflows (% of GDP)</t>
        </is>
      </c>
      <c r="M1681" t="inlineStr">
        <is>
          <t>2024-12-31</t>
        </is>
      </c>
      <c r="N1681" t="inlineStr">
        <is>
          <t>auto_ingest=world_bank_creative_extended; indicator=BX.KLT.DINV.WD.GD.ZS; year=2024; country_proxy=Poland</t>
        </is>
      </c>
    </row>
    <row r="1682">
      <c r="A1682" t="inlineStr">
        <is>
          <t>pl-torun</t>
        </is>
      </c>
      <c r="B1682" t="inlineStr">
        <is>
          <t>Torun</t>
        </is>
      </c>
      <c r="C1682" t="inlineStr">
        <is>
          <t>Poland</t>
        </is>
      </c>
      <c r="D1682" t="inlineStr">
        <is>
          <t>Southern/Eastern Europe and Eurasia</t>
        </is>
      </c>
      <c r="E1682" t="inlineStr">
        <is>
          <t>administrative_investment_friction_raw</t>
        </is>
      </c>
      <c r="F1682" t="inlineStr">
        <is>
          <t>Administrative investment friction raw</t>
        </is>
      </c>
      <c r="G1682" t="inlineStr">
        <is>
          <t>creative</t>
        </is>
      </c>
      <c r="H1682" t="inlineStr">
        <is>
          <t>yes</t>
        </is>
      </c>
      <c r="I1682" t="inlineStr">
        <is>
          <t>1.72</t>
        </is>
      </c>
      <c r="J1682" t="inlineStr">
        <is>
          <t>world_bank</t>
        </is>
      </c>
      <c r="K1682" t="inlineStr">
        <is>
          <t>https://api.worldbank.org/v2/country/POL/indicator/RQ.EST?format=json&amp;mrv=10</t>
        </is>
      </c>
      <c r="L1682" t="inlineStr">
        <is>
          <t>World Bank WGI: Regulatory Quality (inverted as friction proxy)</t>
        </is>
      </c>
      <c r="M1682" t="inlineStr">
        <is>
          <t>2023-12-31</t>
        </is>
      </c>
      <c r="N1682" t="inlineStr">
        <is>
          <t>auto_ingest=world_bank_business_friction; indicator=RQ.EST; raw_rq=0.780193567276001; friction=1.72; year=2023; country_proxy=Poland</t>
        </is>
      </c>
    </row>
    <row r="1683">
      <c r="A1683" t="inlineStr">
        <is>
          <t>pl-torun</t>
        </is>
      </c>
      <c r="B1683" t="inlineStr">
        <is>
          <t>Torun</t>
        </is>
      </c>
      <c r="C1683" t="inlineStr">
        <is>
          <t>Poland</t>
        </is>
      </c>
      <c r="D1683" t="inlineStr">
        <is>
          <t>Southern/Eastern Europe and Eurasia</t>
        </is>
      </c>
      <c r="E1683" t="inlineStr">
        <is>
          <t>visitor_flow_context_raw</t>
        </is>
      </c>
      <c r="F1683" t="inlineStr">
        <is>
          <t>Visitor flow context raw</t>
        </is>
      </c>
      <c r="G1683" t="inlineStr">
        <is>
          <t>creative</t>
        </is>
      </c>
      <c r="H1683" t="inlineStr">
        <is>
          <t>no</t>
        </is>
      </c>
      <c r="I1683" t="inlineStr"/>
      <c r="J1683" t="inlineStr"/>
      <c r="K1683" t="inlineStr"/>
      <c r="L1683" t="inlineStr"/>
      <c r="M1683" t="inlineStr"/>
      <c r="N1683" t="inlineStr"/>
    </row>
    <row r="1684">
      <c r="A1684" t="inlineStr">
        <is>
          <t>sk-bratislava</t>
        </is>
      </c>
      <c r="B1684" t="inlineStr">
        <is>
          <t>Bratislava</t>
        </is>
      </c>
      <c r="C1684" t="inlineStr">
        <is>
          <t>Slovakia</t>
        </is>
      </c>
      <c r="D1684" t="inlineStr">
        <is>
          <t>Southern/Eastern Europe and Eurasia</t>
        </is>
      </c>
      <c r="E1684" t="inlineStr">
        <is>
          <t>gross_income</t>
        </is>
      </c>
      <c r="F1684" t="inlineStr">
        <is>
          <t>Gross income</t>
        </is>
      </c>
      <c r="G1684" t="inlineStr">
        <is>
          <t>pressure</t>
        </is>
      </c>
      <c r="H1684" t="inlineStr">
        <is>
          <t>yes</t>
        </is>
      </c>
      <c r="I1684" t="inlineStr">
        <is>
          <t>3920.0</t>
        </is>
      </c>
      <c r="J1684" t="inlineStr">
        <is>
          <t>world_bank_col_estimate</t>
        </is>
      </c>
      <c r="K1684" t="inlineStr">
        <is>
          <t>https://api.worldbank.org/v2/country/SVK/indicator/NY.GNP.PCAP.PP.CD?format=json&amp;mrv=10</t>
        </is>
      </c>
      <c r="L1684" t="inlineStr">
        <is>
          <t>World Bank WDI: GNI per capita PPP (monthly USD)</t>
        </is>
      </c>
      <c r="M1684" t="inlineStr">
        <is>
          <t>2024-12-31</t>
        </is>
      </c>
      <c r="N1684" t="inlineStr">
        <is>
          <t>auto_ingest=world_bank_col_estimate; gni_annual=47040.0; year=2024; country_proxy=Slovakia; cohort=Southern/Eastern Europe and Eurasia</t>
        </is>
      </c>
    </row>
    <row r="1685">
      <c r="A1685" t="inlineStr">
        <is>
          <t>sk-bratislava</t>
        </is>
      </c>
      <c r="B1685" t="inlineStr">
        <is>
          <t>Bratislava</t>
        </is>
      </c>
      <c r="C1685" t="inlineStr">
        <is>
          <t>Slovakia</t>
        </is>
      </c>
      <c r="D1685" t="inlineStr">
        <is>
          <t>Southern/Eastern Europe and Eurasia</t>
        </is>
      </c>
      <c r="E1685" t="inlineStr">
        <is>
          <t>di_ppp_raw</t>
        </is>
      </c>
      <c r="F1685" t="inlineStr">
        <is>
          <t>Disposable income PPP (Raw)</t>
        </is>
      </c>
      <c r="G1685" t="inlineStr">
        <is>
          <t>pressure</t>
        </is>
      </c>
      <c r="H1685" t="inlineStr">
        <is>
          <t>yes</t>
        </is>
      </c>
      <c r="I1685" t="inlineStr"/>
      <c r="J1685" t="inlineStr"/>
      <c r="K1685" t="inlineStr"/>
      <c r="L1685" t="inlineStr"/>
      <c r="M1685" t="inlineStr"/>
      <c r="N1685" t="inlineStr"/>
    </row>
    <row r="1686">
      <c r="A1686" t="inlineStr">
        <is>
          <t>sk-bratislava</t>
        </is>
      </c>
      <c r="B1686" t="inlineStr">
        <is>
          <t>Bratislava</t>
        </is>
      </c>
      <c r="C1686" t="inlineStr">
        <is>
          <t>Slovakia</t>
        </is>
      </c>
      <c r="D1686" t="inlineStr">
        <is>
          <t>Southern/Eastern Europe and Eurasia</t>
        </is>
      </c>
      <c r="E1686" t="inlineStr">
        <is>
          <t>rent</t>
        </is>
      </c>
      <c r="F1686" t="inlineStr">
        <is>
          <t>Rent</t>
        </is>
      </c>
      <c r="G1686" t="inlineStr">
        <is>
          <t>pressure</t>
        </is>
      </c>
      <c r="H1686" t="inlineStr">
        <is>
          <t>yes</t>
        </is>
      </c>
      <c r="I1686" t="inlineStr">
        <is>
          <t>931.0</t>
        </is>
      </c>
      <c r="J1686" t="inlineStr">
        <is>
          <t>world_bank_col_estimate</t>
        </is>
      </c>
      <c r="K1686" t="inlineStr">
        <is>
          <t>https://api.worldbank.org/v2/country/SVK/indicator/NY.GNP.PCAP.PP.CD?format=json&amp;mrv=10</t>
        </is>
      </c>
      <c r="L1686" t="inlineStr">
        <is>
          <t>World Bank GNI + regional expenditure ratio estimate</t>
        </is>
      </c>
      <c r="M1686" t="inlineStr">
        <is>
          <t>2024-12-31</t>
        </is>
      </c>
      <c r="N1686" t="inlineStr">
        <is>
          <t>auto_ingest=world_bank_col_estimate; gni_annual=47040.0; year=2024; country_proxy=Slovakia; cohort=Southern/Eastern Europe and Eurasia; city_cost_mult=0.95</t>
        </is>
      </c>
    </row>
    <row r="1687">
      <c r="A1687" t="inlineStr">
        <is>
          <t>sk-bratislava</t>
        </is>
      </c>
      <c r="B1687" t="inlineStr">
        <is>
          <t>Bratislava</t>
        </is>
      </c>
      <c r="C1687" t="inlineStr">
        <is>
          <t>Slovakia</t>
        </is>
      </c>
      <c r="D1687" t="inlineStr">
        <is>
          <t>Southern/Eastern Europe and Eurasia</t>
        </is>
      </c>
      <c r="E1687" t="inlineStr">
        <is>
          <t>utilities</t>
        </is>
      </c>
      <c r="F1687" t="inlineStr">
        <is>
          <t>Utilities</t>
        </is>
      </c>
      <c r="G1687" t="inlineStr">
        <is>
          <t>pressure</t>
        </is>
      </c>
      <c r="H1687" t="inlineStr">
        <is>
          <t>yes</t>
        </is>
      </c>
      <c r="I1687" t="inlineStr">
        <is>
          <t>297.92</t>
        </is>
      </c>
      <c r="J1687" t="inlineStr">
        <is>
          <t>world_bank_col_estimate</t>
        </is>
      </c>
      <c r="K1687" t="inlineStr">
        <is>
          <t>https://api.worldbank.org/v2/country/SVK/indicator/NY.GNP.PCAP.PP.CD?format=json&amp;mrv=10</t>
        </is>
      </c>
      <c r="L1687" t="inlineStr">
        <is>
          <t>World Bank GNI + regional expenditure ratio estimate</t>
        </is>
      </c>
      <c r="M1687" t="inlineStr">
        <is>
          <t>2024-12-31</t>
        </is>
      </c>
      <c r="N1687" t="inlineStr">
        <is>
          <t>auto_ingest=world_bank_col_estimate; gni_annual=47040.0; year=2024; country_proxy=Slovakia; cohort=Southern/Eastern Europe and Eurasia; city_cost_mult=0.95</t>
        </is>
      </c>
    </row>
    <row r="1688">
      <c r="A1688" t="inlineStr">
        <is>
          <t>sk-bratislava</t>
        </is>
      </c>
      <c r="B1688" t="inlineStr">
        <is>
          <t>Bratislava</t>
        </is>
      </c>
      <c r="C1688" t="inlineStr">
        <is>
          <t>Slovakia</t>
        </is>
      </c>
      <c r="D1688" t="inlineStr">
        <is>
          <t>Southern/Eastern Europe and Eurasia</t>
        </is>
      </c>
      <c r="E1688" t="inlineStr">
        <is>
          <t>transit_cost</t>
        </is>
      </c>
      <c r="F1688" t="inlineStr">
        <is>
          <t>Transit cost</t>
        </is>
      </c>
      <c r="G1688" t="inlineStr">
        <is>
          <t>pressure</t>
        </is>
      </c>
      <c r="H1688" t="inlineStr">
        <is>
          <t>yes</t>
        </is>
      </c>
      <c r="I1688" t="inlineStr">
        <is>
          <t>148.96</t>
        </is>
      </c>
      <c r="J1688" t="inlineStr">
        <is>
          <t>world_bank_col_estimate</t>
        </is>
      </c>
      <c r="K1688" t="inlineStr">
        <is>
          <t>https://api.worldbank.org/v2/country/SVK/indicator/NY.GNP.PCAP.PP.CD?format=json&amp;mrv=10</t>
        </is>
      </c>
      <c r="L1688" t="inlineStr">
        <is>
          <t>World Bank GNI + regional expenditure ratio estimate</t>
        </is>
      </c>
      <c r="M1688" t="inlineStr">
        <is>
          <t>2024-12-31</t>
        </is>
      </c>
      <c r="N1688" t="inlineStr">
        <is>
          <t>auto_ingest=world_bank_col_estimate; gni_annual=47040.0; year=2024; country_proxy=Slovakia; cohort=Southern/Eastern Europe and Eurasia; city_cost_mult=0.95</t>
        </is>
      </c>
    </row>
    <row r="1689">
      <c r="A1689" t="inlineStr">
        <is>
          <t>sk-bratislava</t>
        </is>
      </c>
      <c r="B1689" t="inlineStr">
        <is>
          <t>Bratislava</t>
        </is>
      </c>
      <c r="C1689" t="inlineStr">
        <is>
          <t>Slovakia</t>
        </is>
      </c>
      <c r="D1689" t="inlineStr">
        <is>
          <t>Southern/Eastern Europe and Eurasia</t>
        </is>
      </c>
      <c r="E1689" t="inlineStr">
        <is>
          <t>internet_cost</t>
        </is>
      </c>
      <c r="F1689" t="inlineStr">
        <is>
          <t>Internet cost</t>
        </is>
      </c>
      <c r="G1689" t="inlineStr">
        <is>
          <t>pressure</t>
        </is>
      </c>
      <c r="H1689" t="inlineStr">
        <is>
          <t>yes</t>
        </is>
      </c>
      <c r="I1689" t="inlineStr">
        <is>
          <t>55.86</t>
        </is>
      </c>
      <c r="J1689" t="inlineStr">
        <is>
          <t>world_bank_col_estimate</t>
        </is>
      </c>
      <c r="K1689" t="inlineStr">
        <is>
          <t>https://api.worldbank.org/v2/country/SVK/indicator/NY.GNP.PCAP.PP.CD?format=json&amp;mrv=10</t>
        </is>
      </c>
      <c r="L1689" t="inlineStr">
        <is>
          <t>World Bank GNI + regional expenditure ratio estimate</t>
        </is>
      </c>
      <c r="M1689" t="inlineStr">
        <is>
          <t>2024-12-31</t>
        </is>
      </c>
      <c r="N1689" t="inlineStr">
        <is>
          <t>auto_ingest=world_bank_col_estimate; gni_annual=47040.0; year=2024; country_proxy=Slovakia; cohort=Southern/Eastern Europe and Eurasia; city_cost_mult=0.95</t>
        </is>
      </c>
    </row>
    <row r="1690">
      <c r="A1690" t="inlineStr">
        <is>
          <t>sk-bratislava</t>
        </is>
      </c>
      <c r="B1690" t="inlineStr">
        <is>
          <t>Bratislava</t>
        </is>
      </c>
      <c r="C1690" t="inlineStr">
        <is>
          <t>Slovakia</t>
        </is>
      </c>
      <c r="D1690" t="inlineStr">
        <is>
          <t>Southern/Eastern Europe and Eurasia</t>
        </is>
      </c>
      <c r="E1690" t="inlineStr">
        <is>
          <t>food_cost</t>
        </is>
      </c>
      <c r="F1690" t="inlineStr">
        <is>
          <t>Food cost</t>
        </is>
      </c>
      <c r="G1690" t="inlineStr">
        <is>
          <t>pressure</t>
        </is>
      </c>
      <c r="H1690" t="inlineStr">
        <is>
          <t>yes</t>
        </is>
      </c>
      <c r="I1690" t="inlineStr">
        <is>
          <t>744.8</t>
        </is>
      </c>
      <c r="J1690" t="inlineStr">
        <is>
          <t>world_bank_col_estimate</t>
        </is>
      </c>
      <c r="K1690" t="inlineStr">
        <is>
          <t>https://api.worldbank.org/v2/country/SVK/indicator/NY.GNP.PCAP.PP.CD?format=json&amp;mrv=10</t>
        </is>
      </c>
      <c r="L1690" t="inlineStr">
        <is>
          <t>World Bank GNI + regional expenditure ratio estimate</t>
        </is>
      </c>
      <c r="M1690" t="inlineStr">
        <is>
          <t>2024-12-31</t>
        </is>
      </c>
      <c r="N1690" t="inlineStr">
        <is>
          <t>auto_ingest=world_bank_col_estimate; gni_annual=47040.0; year=2024; country_proxy=Slovakia; cohort=Southern/Eastern Europe and Eurasia; city_cost_mult=0.95</t>
        </is>
      </c>
    </row>
    <row r="1691">
      <c r="A1691" t="inlineStr">
        <is>
          <t>sk-bratislava</t>
        </is>
      </c>
      <c r="B1691" t="inlineStr">
        <is>
          <t>Bratislava</t>
        </is>
      </c>
      <c r="C1691" t="inlineStr">
        <is>
          <t>Slovakia</t>
        </is>
      </c>
      <c r="D1691" t="inlineStr">
        <is>
          <t>Southern/Eastern Europe and Eurasia</t>
        </is>
      </c>
      <c r="E1691" t="inlineStr">
        <is>
          <t>housing_burden_raw</t>
        </is>
      </c>
      <c r="F1691" t="inlineStr">
        <is>
          <t>Housing burden raw</t>
        </is>
      </c>
      <c r="G1691" t="inlineStr">
        <is>
          <t>pressure</t>
        </is>
      </c>
      <c r="H1691" t="inlineStr">
        <is>
          <t>yes</t>
        </is>
      </c>
      <c r="I1691" t="inlineStr">
        <is>
          <t>23.75</t>
        </is>
      </c>
      <c r="J1691" t="inlineStr">
        <is>
          <t>derived</t>
        </is>
      </c>
      <c r="K1691" t="inlineStr">
        <is>
          <t>https://data.worldbank.org/indicator/NY.GNP.PCAP.PP.CD</t>
        </is>
      </c>
      <c r="L1691" t="inlineStr">
        <is>
          <t>Computed from city_inputs + country_context</t>
        </is>
      </c>
      <c r="M1691" t="inlineStr">
        <is>
          <t>2024-01-01</t>
        </is>
      </c>
      <c r="N1691" t="inlineStr">
        <is>
          <t>derived=rent/gross_income*100</t>
        </is>
      </c>
    </row>
    <row r="1692">
      <c r="A1692" t="inlineStr">
        <is>
          <t>sk-bratislava</t>
        </is>
      </c>
      <c r="B1692" t="inlineStr">
        <is>
          <t>Bratislava</t>
        </is>
      </c>
      <c r="C1692" t="inlineStr">
        <is>
          <t>Slovakia</t>
        </is>
      </c>
      <c r="D1692" t="inlineStr">
        <is>
          <t>Southern/Eastern Europe and Eurasia</t>
        </is>
      </c>
      <c r="E1692" t="inlineStr">
        <is>
          <t>household_debt_burden_raw</t>
        </is>
      </c>
      <c r="F1692" t="inlineStr">
        <is>
          <t>Household debt burden raw</t>
        </is>
      </c>
      <c r="G1692" t="inlineStr">
        <is>
          <t>pressure</t>
        </is>
      </c>
      <c r="H1692" t="inlineStr">
        <is>
          <t>yes</t>
        </is>
      </c>
      <c r="I1692" t="inlineStr">
        <is>
          <t>59.6386</t>
        </is>
      </c>
      <c r="J1692" t="inlineStr">
        <is>
          <t>derived</t>
        </is>
      </c>
      <c r="K1692" t="inlineStr">
        <is>
          <t>https://data.worldbank.org/indicator/NY.GNP.PCAP.PP.CD</t>
        </is>
      </c>
      <c r="L1692" t="inlineStr">
        <is>
          <t>Computed from city_inputs + country_context</t>
        </is>
      </c>
      <c r="M1692" t="inlineStr">
        <is>
          <t>2024-01-01</t>
        </is>
      </c>
      <c r="N1692" t="inlineStr">
        <is>
          <t>derived=country_context.household_debt_proxy; country=Slovakia</t>
        </is>
      </c>
    </row>
    <row r="1693">
      <c r="A1693" t="inlineStr">
        <is>
          <t>sk-bratislava</t>
        </is>
      </c>
      <c r="B1693" t="inlineStr">
        <is>
          <t>Bratislava</t>
        </is>
      </c>
      <c r="C1693" t="inlineStr">
        <is>
          <t>Slovakia</t>
        </is>
      </c>
      <c r="D1693" t="inlineStr">
        <is>
          <t>Southern/Eastern Europe and Eurasia</t>
        </is>
      </c>
      <c r="E1693" t="inlineStr">
        <is>
          <t>working_time_pressure_raw</t>
        </is>
      </c>
      <c r="F1693" t="inlineStr">
        <is>
          <t>Working time pressure raw</t>
        </is>
      </c>
      <c r="G1693" t="inlineStr">
        <is>
          <t>pressure</t>
        </is>
      </c>
      <c r="H1693" t="inlineStr">
        <is>
          <t>yes</t>
        </is>
      </c>
      <c r="I1693" t="inlineStr">
        <is>
          <t>37.91</t>
        </is>
      </c>
      <c r="J1693" t="inlineStr">
        <is>
          <t>ilo_ilostat</t>
        </is>
      </c>
      <c r="K1693" t="inlineStr">
        <is>
          <t>https://ilostat.ilo.org/data/indicator/?id=HOW_TEMP_SEX_ECO_NB_A&amp;ref_area=SVK</t>
        </is>
      </c>
      <c r="L1693" t="inlineStr">
        <is>
          <t>ILO ILOSTAT: Mean weekly hours actually worked per employed person</t>
        </is>
      </c>
      <c r="M1693" t="inlineStr">
        <is>
          <t>2024-12-31</t>
        </is>
      </c>
      <c r="N1693" t="inlineStr">
        <is>
          <t>auto_ingest=ilo_working_hours; indicator=HOW_TEMP_SEX_ECO_NB_A; year=2024; hours=37.91; country_proxy=Slovakia</t>
        </is>
      </c>
    </row>
    <row r="1694">
      <c r="A1694" t="inlineStr">
        <is>
          <t>sk-bratislava</t>
        </is>
      </c>
      <c r="B1694" t="inlineStr">
        <is>
          <t>Bratislava</t>
        </is>
      </c>
      <c r="C1694" t="inlineStr">
        <is>
          <t>Slovakia</t>
        </is>
      </c>
      <c r="D1694" t="inlineStr">
        <is>
          <t>Southern/Eastern Europe and Eurasia</t>
        </is>
      </c>
      <c r="E1694" t="inlineStr">
        <is>
          <t>suicide_mental_strain_raw</t>
        </is>
      </c>
      <c r="F1694" t="inlineStr">
        <is>
          <t>Suicide or mental strain raw</t>
        </is>
      </c>
      <c r="G1694" t="inlineStr">
        <is>
          <t>pressure</t>
        </is>
      </c>
      <c r="H1694" t="inlineStr">
        <is>
          <t>yes</t>
        </is>
      </c>
      <c r="I1694" t="inlineStr">
        <is>
          <t>9.91</t>
        </is>
      </c>
      <c r="J1694" t="inlineStr">
        <is>
          <t>who_gho</t>
        </is>
      </c>
      <c r="K1694" t="inlineStr">
        <is>
          <t>https://www.who.int/data/gho/data/indicators/indicator-details/GHO/SDGSUICIDE</t>
        </is>
      </c>
      <c r="L1694" t="inlineStr">
        <is>
          <t>WHO GHO: Age-standardized suicide rate (per 100,000 population)</t>
        </is>
      </c>
      <c r="M1694" t="inlineStr">
        <is>
          <t>2021-12-31</t>
        </is>
      </c>
      <c r="N1694" t="inlineStr">
        <is>
          <t>auto_ingest=who_gho; indicator=SDGSUICIDE; year=2021; country_proxy=Slovakia</t>
        </is>
      </c>
    </row>
    <row r="1695">
      <c r="A1695" t="inlineStr">
        <is>
          <t>sk-bratislava</t>
        </is>
      </c>
      <c r="B1695" t="inlineStr">
        <is>
          <t>Bratislava</t>
        </is>
      </c>
      <c r="C1695" t="inlineStr">
        <is>
          <t>Slovakia</t>
        </is>
      </c>
      <c r="D1695" t="inlineStr">
        <is>
          <t>Southern/Eastern Europe and Eurasia</t>
        </is>
      </c>
      <c r="E1695" t="inlineStr">
        <is>
          <t>personal_safety_raw</t>
        </is>
      </c>
      <c r="F1695" t="inlineStr">
        <is>
          <t>Personal safety raw</t>
        </is>
      </c>
      <c r="G1695" t="inlineStr">
        <is>
          <t>viability</t>
        </is>
      </c>
      <c r="H1695" t="inlineStr">
        <is>
          <t>yes</t>
        </is>
      </c>
      <c r="I1695" t="inlineStr">
        <is>
          <t>1.12</t>
        </is>
      </c>
      <c r="J1695" t="inlineStr">
        <is>
          <t>world_bank</t>
        </is>
      </c>
      <c r="K1695" t="inlineStr">
        <is>
          <t>https://api.worldbank.org/v2/country/SVK/indicator/VC.IHR.PSRC.P5?format=json&amp;mrv=10</t>
        </is>
      </c>
      <c r="L1695" t="inlineStr">
        <is>
          <t>UNODC via World Bank WDI: Intentional homicides (per 100,000 people)</t>
        </is>
      </c>
      <c r="M1695" t="inlineStr">
        <is>
          <t>2023-12-31</t>
        </is>
      </c>
      <c r="N1695" t="inlineStr">
        <is>
          <t>auto_ingest=unodc_safety; indicator=VC.IHR.PSRC.P5; year=2023; country_proxy=Slovakia</t>
        </is>
      </c>
    </row>
    <row r="1696">
      <c r="A1696" t="inlineStr">
        <is>
          <t>sk-bratislava</t>
        </is>
      </c>
      <c r="B1696" t="inlineStr">
        <is>
          <t>Bratislava</t>
        </is>
      </c>
      <c r="C1696" t="inlineStr">
        <is>
          <t>Slovakia</t>
        </is>
      </c>
      <c r="D1696" t="inlineStr">
        <is>
          <t>Southern/Eastern Europe and Eurasia</t>
        </is>
      </c>
      <c r="E1696" t="inlineStr">
        <is>
          <t>transit_access_commute_raw</t>
        </is>
      </c>
      <c r="F1696" t="inlineStr">
        <is>
          <t>Transit access and commute raw</t>
        </is>
      </c>
      <c r="G1696" t="inlineStr">
        <is>
          <t>viability</t>
        </is>
      </c>
      <c r="H1696" t="inlineStr">
        <is>
          <t>yes</t>
        </is>
      </c>
      <c r="I1696" t="inlineStr"/>
      <c r="J1696" t="inlineStr"/>
      <c r="K1696" t="inlineStr"/>
      <c r="L1696" t="inlineStr"/>
      <c r="M1696" t="inlineStr"/>
      <c r="N1696" t="inlineStr"/>
    </row>
    <row r="1697">
      <c r="A1697" t="inlineStr">
        <is>
          <t>sk-bratislava</t>
        </is>
      </c>
      <c r="B1697" t="inlineStr">
        <is>
          <t>Bratislava</t>
        </is>
      </c>
      <c r="C1697" t="inlineStr">
        <is>
          <t>Slovakia</t>
        </is>
      </c>
      <c r="D1697" t="inlineStr">
        <is>
          <t>Southern/Eastern Europe and Eurasia</t>
        </is>
      </c>
      <c r="E1697" t="inlineStr">
        <is>
          <t>clean_air_raw</t>
        </is>
      </c>
      <c r="F1697" t="inlineStr">
        <is>
          <t>Clean air raw</t>
        </is>
      </c>
      <c r="G1697" t="inlineStr">
        <is>
          <t>viability</t>
        </is>
      </c>
      <c r="H1697" t="inlineStr">
        <is>
          <t>yes</t>
        </is>
      </c>
      <c r="I1697" t="inlineStr"/>
      <c r="J1697" t="inlineStr"/>
      <c r="K1697" t="inlineStr"/>
      <c r="L1697" t="inlineStr"/>
      <c r="M1697" t="inlineStr"/>
      <c r="N1697" t="inlineStr"/>
    </row>
    <row r="1698">
      <c r="A1698" t="inlineStr">
        <is>
          <t>sk-bratislava</t>
        </is>
      </c>
      <c r="B1698" t="inlineStr">
        <is>
          <t>Bratislava</t>
        </is>
      </c>
      <c r="C1698" t="inlineStr">
        <is>
          <t>Slovakia</t>
        </is>
      </c>
      <c r="D1698" t="inlineStr">
        <is>
          <t>Southern/Eastern Europe and Eurasia</t>
        </is>
      </c>
      <c r="E1698" t="inlineStr">
        <is>
          <t>water_sanitation_utility_raw</t>
        </is>
      </c>
      <c r="F1698" t="inlineStr">
        <is>
          <t>Water, sanitation, and utility raw</t>
        </is>
      </c>
      <c r="G1698" t="inlineStr">
        <is>
          <t>viability</t>
        </is>
      </c>
      <c r="H1698" t="inlineStr">
        <is>
          <t>yes</t>
        </is>
      </c>
      <c r="I1698" t="inlineStr">
        <is>
          <t>99.57</t>
        </is>
      </c>
      <c r="J1698" t="inlineStr">
        <is>
          <t>world_bank</t>
        </is>
      </c>
      <c r="K1698" t="inlineStr">
        <is>
          <t>https://api.worldbank.org/v2/country/SVK/indicator/SH.H2O.SMDW.ZS?format=json&amp;mrv=10</t>
        </is>
      </c>
      <c r="L1698" t="inlineStr">
        <is>
          <t>World Bank WDI: People using safely managed drinking water services (% of population)</t>
        </is>
      </c>
      <c r="M1698" t="inlineStr">
        <is>
          <t>2024-12-31</t>
        </is>
      </c>
      <c r="N1698" t="inlineStr">
        <is>
          <t>auto_ingest=world_bank_proxy; indicator=SH.H2O.SMDW.ZS; year=2024; country_proxy=Slovakia</t>
        </is>
      </c>
    </row>
    <row r="1699">
      <c r="A1699" t="inlineStr">
        <is>
          <t>sk-bratislava</t>
        </is>
      </c>
      <c r="B1699" t="inlineStr">
        <is>
          <t>Bratislava</t>
        </is>
      </c>
      <c r="C1699" t="inlineStr">
        <is>
          <t>Slovakia</t>
        </is>
      </c>
      <c r="D1699" t="inlineStr">
        <is>
          <t>Southern/Eastern Europe and Eurasia</t>
        </is>
      </c>
      <c r="E1699" t="inlineStr">
        <is>
          <t>digital_infrastructure_raw</t>
        </is>
      </c>
      <c r="F1699" t="inlineStr">
        <is>
          <t>Digital infrastructure raw</t>
        </is>
      </c>
      <c r="G1699" t="inlineStr">
        <is>
          <t>viability</t>
        </is>
      </c>
      <c r="H1699" t="inlineStr">
        <is>
          <t>yes</t>
        </is>
      </c>
      <c r="I1699" t="inlineStr">
        <is>
          <t>33.17</t>
        </is>
      </c>
      <c r="J1699" t="inlineStr">
        <is>
          <t>world_bank</t>
        </is>
      </c>
      <c r="K1699" t="inlineStr">
        <is>
          <t>https://api.worldbank.org/v2/country/SVK/indicator/IT.NET.BBND.P2?format=json&amp;mrv=10</t>
        </is>
      </c>
      <c r="L1699" t="inlineStr">
        <is>
          <t>World Bank WDI: Fixed broadband subscriptions (per 100 people)</t>
        </is>
      </c>
      <c r="M1699" t="inlineStr">
        <is>
          <t>2023-12-31</t>
        </is>
      </c>
      <c r="N1699" t="inlineStr">
        <is>
          <t>auto_ingest=world_bank_proxy; indicator=IT.NET.BBND.P2; year=2023; country_proxy=Slovakia</t>
        </is>
      </c>
    </row>
    <row r="1700">
      <c r="A1700" t="inlineStr">
        <is>
          <t>sk-bratislava</t>
        </is>
      </c>
      <c r="B1700" t="inlineStr">
        <is>
          <t>Bratislava</t>
        </is>
      </c>
      <c r="C1700" t="inlineStr">
        <is>
          <t>Slovakia</t>
        </is>
      </c>
      <c r="D1700" t="inlineStr">
        <is>
          <t>Southern/Eastern Europe and Eurasia</t>
        </is>
      </c>
      <c r="E1700" t="inlineStr">
        <is>
          <t>climate_sunlight_livability_raw</t>
        </is>
      </c>
      <c r="F1700" t="inlineStr">
        <is>
          <t>Climate and sunlight livability raw</t>
        </is>
      </c>
      <c r="G1700" t="inlineStr">
        <is>
          <t>viability</t>
        </is>
      </c>
      <c r="H1700" t="inlineStr">
        <is>
          <t>yes</t>
        </is>
      </c>
      <c r="I1700" t="inlineStr">
        <is>
          <t>52</t>
        </is>
      </c>
      <c r="J1700" t="inlineStr">
        <is>
          <t>wmo_natl_met</t>
        </is>
      </c>
      <c r="K1700" t="inlineStr">
        <is>
          <t>https://worldweather.wmo.int</t>
        </is>
      </c>
      <c r="L1700" t="inlineStr">
        <is>
          <t>WMO/National Met: Climate livability composite</t>
        </is>
      </c>
      <c r="M1700" t="inlineStr">
        <is>
          <t>2024-12-31</t>
        </is>
      </c>
      <c r="N1700" t="inlineStr">
        <is>
          <t>auto_seed=climate_composite; 1900 sun hrs, 11C mean</t>
        </is>
      </c>
    </row>
    <row r="1701">
      <c r="A1701" t="inlineStr">
        <is>
          <t>sk-bratislava</t>
        </is>
      </c>
      <c r="B1701" t="inlineStr">
        <is>
          <t>Bratislava</t>
        </is>
      </c>
      <c r="C1701" t="inlineStr">
        <is>
          <t>Slovakia</t>
        </is>
      </c>
      <c r="D1701" t="inlineStr">
        <is>
          <t>Southern/Eastern Europe and Eurasia</t>
        </is>
      </c>
      <c r="E1701" t="inlineStr">
        <is>
          <t>healthcare_quality_raw</t>
        </is>
      </c>
      <c r="F1701" t="inlineStr">
        <is>
          <t>Healthcare quality raw</t>
        </is>
      </c>
      <c r="G1701" t="inlineStr">
        <is>
          <t>capability</t>
        </is>
      </c>
      <c r="H1701" t="inlineStr">
        <is>
          <t>yes</t>
        </is>
      </c>
      <c r="I1701" t="inlineStr">
        <is>
          <t>78.0</t>
        </is>
      </c>
      <c r="J1701" t="inlineStr">
        <is>
          <t>who_gho</t>
        </is>
      </c>
      <c r="K1701" t="inlineStr">
        <is>
          <t>https://www.who.int/data/gho/data/indicators/indicator-details/GHO/UHC_INDEX_REPORTED</t>
        </is>
      </c>
      <c r="L1701" t="inlineStr">
        <is>
          <t>WHO GHO: UHC Service Coverage Index</t>
        </is>
      </c>
      <c r="M1701" t="inlineStr">
        <is>
          <t>2023-12-31</t>
        </is>
      </c>
      <c r="N1701" t="inlineStr">
        <is>
          <t>auto_ingest=who_gho; indicator=UHC_INDEX_REPORTED; year=2023; country_proxy=Slovakia</t>
        </is>
      </c>
    </row>
    <row r="1702">
      <c r="A1702" t="inlineStr">
        <is>
          <t>sk-bratislava</t>
        </is>
      </c>
      <c r="B1702" t="inlineStr">
        <is>
          <t>Bratislava</t>
        </is>
      </c>
      <c r="C1702" t="inlineStr">
        <is>
          <t>Slovakia</t>
        </is>
      </c>
      <c r="D1702" t="inlineStr">
        <is>
          <t>Southern/Eastern Europe and Eurasia</t>
        </is>
      </c>
      <c r="E1702" t="inlineStr">
        <is>
          <t>education_quality_raw</t>
        </is>
      </c>
      <c r="F1702" t="inlineStr">
        <is>
          <t>Education quality raw</t>
        </is>
      </c>
      <c r="G1702" t="inlineStr">
        <is>
          <t>capability</t>
        </is>
      </c>
      <c r="H1702" t="inlineStr">
        <is>
          <t>yes</t>
        </is>
      </c>
      <c r="I1702" t="inlineStr">
        <is>
          <t>53.42</t>
        </is>
      </c>
      <c r="J1702" t="inlineStr">
        <is>
          <t>world_bank</t>
        </is>
      </c>
      <c r="K1702" t="inlineStr">
        <is>
          <t>https://api.worldbank.org/v2/country/SVK/indicator/SE.TER.ENRR?format=json&amp;mrv=10</t>
        </is>
      </c>
      <c r="L1702" t="inlineStr">
        <is>
          <t>World Bank WDI: School enrollment, tertiary (% gross)</t>
        </is>
      </c>
      <c r="M1702" t="inlineStr">
        <is>
          <t>2023-12-31</t>
        </is>
      </c>
      <c r="N1702" t="inlineStr">
        <is>
          <t>auto_ingest=world_bank_proxy; indicator=SE.TER.ENRR; year=2023; country_proxy=Slovakia</t>
        </is>
      </c>
    </row>
    <row r="1703">
      <c r="A1703" t="inlineStr">
        <is>
          <t>sk-bratislava</t>
        </is>
      </c>
      <c r="B1703" t="inlineStr">
        <is>
          <t>Bratislava</t>
        </is>
      </c>
      <c r="C1703" t="inlineStr">
        <is>
          <t>Slovakia</t>
        </is>
      </c>
      <c r="D1703" t="inlineStr">
        <is>
          <t>Southern/Eastern Europe and Eurasia</t>
        </is>
      </c>
      <c r="E1703" t="inlineStr">
        <is>
          <t>equal_opportunity_raw</t>
        </is>
      </c>
      <c r="F1703" t="inlineStr">
        <is>
          <t>Equal opportunity raw</t>
        </is>
      </c>
      <c r="G1703" t="inlineStr">
        <is>
          <t>capability</t>
        </is>
      </c>
      <c r="H1703" t="inlineStr">
        <is>
          <t>yes</t>
        </is>
      </c>
      <c r="I1703" t="inlineStr">
        <is>
          <t>23.8</t>
        </is>
      </c>
      <c r="J1703" t="inlineStr">
        <is>
          <t>world_bank</t>
        </is>
      </c>
      <c r="K1703" t="inlineStr">
        <is>
          <t>https://api.worldbank.org/v2/country/SVK/indicator/SI.POV.GINI?format=json&amp;mrv=10</t>
        </is>
      </c>
      <c r="L1703" t="inlineStr">
        <is>
          <t>World Bank WDI: Gini index</t>
        </is>
      </c>
      <c r="M1703" t="inlineStr">
        <is>
          <t>2023-12-31</t>
        </is>
      </c>
      <c r="N1703" t="inlineStr">
        <is>
          <t>auto_ingest=world_bank_capability; indicator=SI.POV.GINI; year=2023; country_proxy=Slovakia</t>
        </is>
      </c>
    </row>
    <row r="1704">
      <c r="A1704" t="inlineStr">
        <is>
          <t>sk-bratislava</t>
        </is>
      </c>
      <c r="B1704" t="inlineStr">
        <is>
          <t>Bratislava</t>
        </is>
      </c>
      <c r="C1704" t="inlineStr">
        <is>
          <t>Slovakia</t>
        </is>
      </c>
      <c r="D1704" t="inlineStr">
        <is>
          <t>Southern/Eastern Europe and Eurasia</t>
        </is>
      </c>
      <c r="E1704" t="inlineStr">
        <is>
          <t>hospitality_belonging_raw</t>
        </is>
      </c>
      <c r="F1704" t="inlineStr">
        <is>
          <t>Hospitality and belonging raw</t>
        </is>
      </c>
      <c r="G1704" t="inlineStr">
        <is>
          <t>community</t>
        </is>
      </c>
      <c r="H1704" t="inlineStr">
        <is>
          <t>yes</t>
        </is>
      </c>
      <c r="I1704" t="inlineStr">
        <is>
          <t>44.21</t>
        </is>
      </c>
      <c r="J1704" t="inlineStr">
        <is>
          <t>world_bank</t>
        </is>
      </c>
      <c r="K1704" t="inlineStr">
        <is>
          <t>https://api.worldbank.org/v2/country/SVK/indicator/SM.POP.NETM?format=json&amp;mrv=10</t>
        </is>
      </c>
      <c r="L1704" t="inlineStr">
        <is>
          <t>World Bank WDI: Net migration (proxy for hospitality/belonging — positive = welcoming)</t>
        </is>
      </c>
      <c r="M1704" t="inlineStr">
        <is>
          <t>2025-12-31</t>
        </is>
      </c>
      <c r="N1704" t="inlineStr">
        <is>
          <t>auto_ingest=world_bank_proxy; proxy=net_migration_hospitality; indicator=SM.POP.NETM; year=2025; country_proxy=Slovakia</t>
        </is>
      </c>
    </row>
    <row r="1705">
      <c r="A1705" t="inlineStr">
        <is>
          <t>sk-bratislava</t>
        </is>
      </c>
      <c r="B1705" t="inlineStr">
        <is>
          <t>Bratislava</t>
        </is>
      </c>
      <c r="C1705" t="inlineStr">
        <is>
          <t>Slovakia</t>
        </is>
      </c>
      <c r="D1705" t="inlineStr">
        <is>
          <t>Southern/Eastern Europe and Eurasia</t>
        </is>
      </c>
      <c r="E1705" t="inlineStr">
        <is>
          <t>tolerance_pluralism_raw</t>
        </is>
      </c>
      <c r="F1705" t="inlineStr">
        <is>
          <t>Tolerance and pluralism raw</t>
        </is>
      </c>
      <c r="G1705" t="inlineStr">
        <is>
          <t>community</t>
        </is>
      </c>
      <c r="H1705" t="inlineStr">
        <is>
          <t>yes</t>
        </is>
      </c>
      <c r="I1705" t="inlineStr">
        <is>
          <t>22.67</t>
        </is>
      </c>
      <c r="J1705" t="inlineStr">
        <is>
          <t>world_bank</t>
        </is>
      </c>
      <c r="K1705" t="inlineStr">
        <is>
          <t>https://api.worldbank.org/v2/country/SVK/indicator/SG.GEN.PARL.ZS?format=json&amp;mrv=10</t>
        </is>
      </c>
      <c r="L1705" t="inlineStr">
        <is>
          <t>World Bank WDI: Proportion of seats held by women in national parliaments (%)</t>
        </is>
      </c>
      <c r="M1705" t="inlineStr">
        <is>
          <t>2024-12-31</t>
        </is>
      </c>
      <c r="N1705" t="inlineStr">
        <is>
          <t>auto_ingest=world_bank_proxy; proxy=gender_parity_parliament; indicator=SG.GEN.PARL.ZS; year=2024; country_proxy=Slovakia</t>
        </is>
      </c>
    </row>
    <row r="1706">
      <c r="A1706" t="inlineStr">
        <is>
          <t>sk-bratislava</t>
        </is>
      </c>
      <c r="B1706" t="inlineStr">
        <is>
          <t>Bratislava</t>
        </is>
      </c>
      <c r="C1706" t="inlineStr">
        <is>
          <t>Slovakia</t>
        </is>
      </c>
      <c r="D1706" t="inlineStr">
        <is>
          <t>Southern/Eastern Europe and Eurasia</t>
        </is>
      </c>
      <c r="E1706" t="inlineStr">
        <is>
          <t>cultural_public_life_raw</t>
        </is>
      </c>
      <c r="F1706" t="inlineStr">
        <is>
          <t>Cultural public life raw</t>
        </is>
      </c>
      <c r="G1706" t="inlineStr">
        <is>
          <t>community</t>
        </is>
      </c>
      <c r="H1706" t="inlineStr">
        <is>
          <t>yes</t>
        </is>
      </c>
      <c r="I1706" t="inlineStr">
        <is>
          <t>2821.62</t>
        </is>
      </c>
      <c r="J1706" t="inlineStr">
        <is>
          <t>world_bank</t>
        </is>
      </c>
      <c r="K1706" t="inlineStr">
        <is>
          <t>https://api.worldbank.org/v2/country/SVK/indicator/ST.INT.ARVL?format=json&amp;mrv=10</t>
        </is>
      </c>
      <c r="L1706" t="inlineStr">
        <is>
          <t>World Bank WDI: International tourism arrivals per 1 000 population</t>
        </is>
      </c>
      <c r="M1706" t="inlineStr">
        <is>
          <t>2018-12-31</t>
        </is>
      </c>
      <c r="N1706" t="inlineStr">
        <is>
          <t>auto_ingest=cultural_life_proxy; indicator=ST.INT.ARVL; norm=per_1000_pop; year=2018; country_proxy=Slovakia</t>
        </is>
      </c>
    </row>
    <row r="1707">
      <c r="A1707" t="inlineStr">
        <is>
          <t>sk-bratislava</t>
        </is>
      </c>
      <c r="B1707" t="inlineStr">
        <is>
          <t>Bratislava</t>
        </is>
      </c>
      <c r="C1707" t="inlineStr">
        <is>
          <t>Slovakia</t>
        </is>
      </c>
      <c r="D1707" t="inlineStr">
        <is>
          <t>Southern/Eastern Europe and Eurasia</t>
        </is>
      </c>
      <c r="E1707" t="inlineStr">
        <is>
          <t>birth_rate_optimism_raw</t>
        </is>
      </c>
      <c r="F1707" t="inlineStr">
        <is>
          <t>Birth rate and societal optimism raw</t>
        </is>
      </c>
      <c r="G1707" t="inlineStr">
        <is>
          <t>community</t>
        </is>
      </c>
      <c r="H1707" t="inlineStr">
        <is>
          <t>yes</t>
        </is>
      </c>
      <c r="I1707" t="inlineStr"/>
      <c r="J1707" t="inlineStr"/>
      <c r="K1707" t="inlineStr"/>
      <c r="L1707" t="inlineStr"/>
      <c r="M1707" t="inlineStr"/>
      <c r="N1707" t="inlineStr"/>
    </row>
    <row r="1708">
      <c r="A1708" t="inlineStr">
        <is>
          <t>sk-bratislava</t>
        </is>
      </c>
      <c r="B1708" t="inlineStr">
        <is>
          <t>Bratislava</t>
        </is>
      </c>
      <c r="C1708" t="inlineStr">
        <is>
          <t>Slovakia</t>
        </is>
      </c>
      <c r="D1708" t="inlineStr">
        <is>
          <t>Southern/Eastern Europe and Eurasia</t>
        </is>
      </c>
      <c r="E1708" t="inlineStr">
        <is>
          <t>entrepreneurial_dynamism_raw</t>
        </is>
      </c>
      <c r="F1708" t="inlineStr">
        <is>
          <t>Entrepreneurial dynamism raw</t>
        </is>
      </c>
      <c r="G1708" t="inlineStr">
        <is>
          <t>creative</t>
        </is>
      </c>
      <c r="H1708" t="inlineStr">
        <is>
          <t>yes</t>
        </is>
      </c>
      <c r="I1708" t="inlineStr">
        <is>
          <t>5.48</t>
        </is>
      </c>
      <c r="J1708" t="inlineStr">
        <is>
          <t>world_bank</t>
        </is>
      </c>
      <c r="K1708" t="inlineStr">
        <is>
          <t>https://api.worldbank.org/v2/country/SVK/indicator/IC.BUS.NDNS.ZS?format=json&amp;mrv=10</t>
        </is>
      </c>
      <c r="L1708" t="inlineStr">
        <is>
          <t>World Bank WDI: New business density (new registrations per 1,000 people ages 15-64)</t>
        </is>
      </c>
      <c r="M1708" t="inlineStr">
        <is>
          <t>2022-12-31</t>
        </is>
      </c>
      <c r="N1708" t="inlineStr">
        <is>
          <t>auto_ingest=world_bank_creative_extended; indicator=IC.BUS.NDNS.ZS; year=2022; country_proxy=Slovakia</t>
        </is>
      </c>
    </row>
    <row r="1709">
      <c r="A1709" t="inlineStr">
        <is>
          <t>sk-bratislava</t>
        </is>
      </c>
      <c r="B1709" t="inlineStr">
        <is>
          <t>Bratislava</t>
        </is>
      </c>
      <c r="C1709" t="inlineStr">
        <is>
          <t>Slovakia</t>
        </is>
      </c>
      <c r="D1709" t="inlineStr">
        <is>
          <t>Southern/Eastern Europe and Eurasia</t>
        </is>
      </c>
      <c r="E1709" t="inlineStr">
        <is>
          <t>innovation_research_intensity_raw</t>
        </is>
      </c>
      <c r="F1709" t="inlineStr">
        <is>
          <t>Innovation and research raw</t>
        </is>
      </c>
      <c r="G1709" t="inlineStr">
        <is>
          <t>creative</t>
        </is>
      </c>
      <c r="H1709" t="inlineStr">
        <is>
          <t>yes</t>
        </is>
      </c>
      <c r="I1709" t="inlineStr">
        <is>
          <t>0.98</t>
        </is>
      </c>
      <c r="J1709" t="inlineStr">
        <is>
          <t>world_bank</t>
        </is>
      </c>
      <c r="K1709" t="inlineStr">
        <is>
          <t>https://api.worldbank.org/v2/country/SVK/indicator/GB.XPD.RSDV.GD.ZS?format=json&amp;mrv=10</t>
        </is>
      </c>
      <c r="L1709" t="inlineStr">
        <is>
          <t>World Bank WDI: Research and development expenditure (% of GDP)</t>
        </is>
      </c>
      <c r="M1709" t="inlineStr">
        <is>
          <t>2022-12-31</t>
        </is>
      </c>
      <c r="N1709" t="inlineStr">
        <is>
          <t>auto_ingest=world_bank_creative_extended; indicator=GB.XPD.RSDV.GD.ZS; year=2022; country_proxy=Slovakia</t>
        </is>
      </c>
    </row>
    <row r="1710">
      <c r="A1710" t="inlineStr">
        <is>
          <t>sk-bratislava</t>
        </is>
      </c>
      <c r="B1710" t="inlineStr">
        <is>
          <t>Bratislava</t>
        </is>
      </c>
      <c r="C1710" t="inlineStr">
        <is>
          <t>Slovakia</t>
        </is>
      </c>
      <c r="D1710" t="inlineStr">
        <is>
          <t>Southern/Eastern Europe and Eurasia</t>
        </is>
      </c>
      <c r="E1710" t="inlineStr">
        <is>
          <t>investment_signal_raw</t>
        </is>
      </c>
      <c r="F1710" t="inlineStr">
        <is>
          <t>Investment signal raw</t>
        </is>
      </c>
      <c r="G1710" t="inlineStr">
        <is>
          <t>creative</t>
        </is>
      </c>
      <c r="H1710" t="inlineStr">
        <is>
          <t>yes</t>
        </is>
      </c>
      <c r="I1710" t="inlineStr">
        <is>
          <t>3.56</t>
        </is>
      </c>
      <c r="J1710" t="inlineStr">
        <is>
          <t>world_bank</t>
        </is>
      </c>
      <c r="K1710" t="inlineStr">
        <is>
          <t>https://api.worldbank.org/v2/country/SVK/indicator/BX.KLT.DINV.WD.GD.ZS?format=json&amp;mrv=10</t>
        </is>
      </c>
      <c r="L1710" t="inlineStr">
        <is>
          <t>World Bank WDI: Foreign direct investment, net inflows (% of GDP)</t>
        </is>
      </c>
      <c r="M1710" t="inlineStr">
        <is>
          <t>2024-12-31</t>
        </is>
      </c>
      <c r="N1710" t="inlineStr">
        <is>
          <t>auto_ingest=world_bank_creative_extended; indicator=BX.KLT.DINV.WD.GD.ZS; year=2024; country_proxy=Slovakia</t>
        </is>
      </c>
    </row>
    <row r="1711">
      <c r="A1711" t="inlineStr">
        <is>
          <t>sk-bratislava</t>
        </is>
      </c>
      <c r="B1711" t="inlineStr">
        <is>
          <t>Bratislava</t>
        </is>
      </c>
      <c r="C1711" t="inlineStr">
        <is>
          <t>Slovakia</t>
        </is>
      </c>
      <c r="D1711" t="inlineStr">
        <is>
          <t>Southern/Eastern Europe and Eurasia</t>
        </is>
      </c>
      <c r="E1711" t="inlineStr">
        <is>
          <t>administrative_investment_friction_raw</t>
        </is>
      </c>
      <c r="F1711" t="inlineStr">
        <is>
          <t>Administrative investment friction raw</t>
        </is>
      </c>
      <c r="G1711" t="inlineStr">
        <is>
          <t>creative</t>
        </is>
      </c>
      <c r="H1711" t="inlineStr">
        <is>
          <t>yes</t>
        </is>
      </c>
      <c r="I1711" t="inlineStr">
        <is>
          <t>1.9</t>
        </is>
      </c>
      <c r="J1711" t="inlineStr">
        <is>
          <t>world_bank</t>
        </is>
      </c>
      <c r="K1711" t="inlineStr">
        <is>
          <t>https://api.worldbank.org/v2/country/SVK/indicator/RQ.EST?format=json&amp;mrv=10</t>
        </is>
      </c>
      <c r="L1711" t="inlineStr">
        <is>
          <t>World Bank WGI: Regulatory Quality (inverted as friction proxy)</t>
        </is>
      </c>
      <c r="M1711" t="inlineStr">
        <is>
          <t>2023-12-31</t>
        </is>
      </c>
      <c r="N1711" t="inlineStr">
        <is>
          <t>auto_ingest=world_bank_business_friction; indicator=RQ.EST; raw_rq=0.601919114589691; friction=1.9; year=2023; country_proxy=Slovakia</t>
        </is>
      </c>
    </row>
    <row r="1712">
      <c r="A1712" t="inlineStr">
        <is>
          <t>sk-bratislava</t>
        </is>
      </c>
      <c r="B1712" t="inlineStr">
        <is>
          <t>Bratislava</t>
        </is>
      </c>
      <c r="C1712" t="inlineStr">
        <is>
          <t>Slovakia</t>
        </is>
      </c>
      <c r="D1712" t="inlineStr">
        <is>
          <t>Southern/Eastern Europe and Eurasia</t>
        </is>
      </c>
      <c r="E1712" t="inlineStr">
        <is>
          <t>visitor_flow_context_raw</t>
        </is>
      </c>
      <c r="F1712" t="inlineStr">
        <is>
          <t>Visitor flow context raw</t>
        </is>
      </c>
      <c r="G1712" t="inlineStr">
        <is>
          <t>creative</t>
        </is>
      </c>
      <c r="H1712" t="inlineStr">
        <is>
          <t>no</t>
        </is>
      </c>
      <c r="I1712" t="inlineStr"/>
      <c r="J1712" t="inlineStr"/>
      <c r="K1712" t="inlineStr"/>
      <c r="L1712" t="inlineStr"/>
      <c r="M1712" t="inlineStr"/>
      <c r="N1712" t="inlineStr"/>
    </row>
    <row r="1713">
      <c r="A1713" t="inlineStr">
        <is>
          <t>us-chicago</t>
        </is>
      </c>
      <c r="B1713" t="inlineStr">
        <is>
          <t>Chicago</t>
        </is>
      </c>
      <c r="C1713" t="inlineStr">
        <is>
          <t>United States</t>
        </is>
      </c>
      <c r="D1713" t="inlineStr">
        <is>
          <t>North America</t>
        </is>
      </c>
      <c r="E1713" t="inlineStr">
        <is>
          <t>gross_income</t>
        </is>
      </c>
      <c r="F1713" t="inlineStr">
        <is>
          <t>Gross income</t>
        </is>
      </c>
      <c r="G1713" t="inlineStr">
        <is>
          <t>pressure</t>
        </is>
      </c>
      <c r="H1713" t="inlineStr">
        <is>
          <t>yes</t>
        </is>
      </c>
      <c r="I1713" t="inlineStr">
        <is>
          <t>7881.5</t>
        </is>
      </c>
      <c r="J1713" t="inlineStr">
        <is>
          <t>world_bank_col_estimate</t>
        </is>
      </c>
      <c r="K1713" t="inlineStr">
        <is>
          <t>https://api.worldbank.org/v2/country/USA/indicator/NY.GNP.PCAP.PP.CD?format=json&amp;mrv=10</t>
        </is>
      </c>
      <c r="L1713" t="inlineStr">
        <is>
          <t>World Bank WDI: GNI per capita PPP (monthly USD)</t>
        </is>
      </c>
      <c r="M1713" t="inlineStr">
        <is>
          <t>2024-12-31</t>
        </is>
      </c>
      <c r="N1713" t="inlineStr">
        <is>
          <t>auto_ingest=world_bank_col_estimate; gni_annual=85980.0; year=2024; country_proxy=United States; cohort=North America; city_income_mult=1.1</t>
        </is>
      </c>
    </row>
    <row r="1714">
      <c r="A1714" t="inlineStr">
        <is>
          <t>us-chicago</t>
        </is>
      </c>
      <c r="B1714" t="inlineStr">
        <is>
          <t>Chicago</t>
        </is>
      </c>
      <c r="C1714" t="inlineStr">
        <is>
          <t>United States</t>
        </is>
      </c>
      <c r="D1714" t="inlineStr">
        <is>
          <t>North America</t>
        </is>
      </c>
      <c r="E1714" t="inlineStr">
        <is>
          <t>di_ppp_raw</t>
        </is>
      </c>
      <c r="F1714" t="inlineStr">
        <is>
          <t>Disposable income PPP (Raw)</t>
        </is>
      </c>
      <c r="G1714" t="inlineStr">
        <is>
          <t>pressure</t>
        </is>
      </c>
      <c r="H1714" t="inlineStr">
        <is>
          <t>yes</t>
        </is>
      </c>
      <c r="I1714" t="inlineStr"/>
      <c r="J1714" t="inlineStr"/>
      <c r="K1714" t="inlineStr"/>
      <c r="L1714" t="inlineStr"/>
      <c r="M1714" t="inlineStr"/>
      <c r="N1714" t="inlineStr"/>
    </row>
    <row r="1715">
      <c r="A1715" t="inlineStr">
        <is>
          <t>us-chicago</t>
        </is>
      </c>
      <c r="B1715" t="inlineStr">
        <is>
          <t>Chicago</t>
        </is>
      </c>
      <c r="C1715" t="inlineStr">
        <is>
          <t>United States</t>
        </is>
      </c>
      <c r="D1715" t="inlineStr">
        <is>
          <t>North America</t>
        </is>
      </c>
      <c r="E1715" t="inlineStr">
        <is>
          <t>rent</t>
        </is>
      </c>
      <c r="F1715" t="inlineStr">
        <is>
          <t>Rent</t>
        </is>
      </c>
      <c r="G1715" t="inlineStr">
        <is>
          <t>pressure</t>
        </is>
      </c>
      <c r="H1715" t="inlineStr">
        <is>
          <t>yes</t>
        </is>
      </c>
      <c r="I1715" t="inlineStr">
        <is>
          <t>3034.38</t>
        </is>
      </c>
      <c r="J1715" t="inlineStr">
        <is>
          <t>world_bank_col_estimate</t>
        </is>
      </c>
      <c r="K1715" t="inlineStr">
        <is>
          <t>https://api.worldbank.org/v2/country/USA/indicator/NY.GNP.PCAP.PP.CD?format=json&amp;mrv=10</t>
        </is>
      </c>
      <c r="L1715" t="inlineStr">
        <is>
          <t>World Bank GNI + regional expenditure ratio estimate</t>
        </is>
      </c>
      <c r="M1715" t="inlineStr">
        <is>
          <t>2024-12-31</t>
        </is>
      </c>
      <c r="N1715" t="inlineStr">
        <is>
          <t>auto_ingest=world_bank_col_estimate; gni_annual=85980.0; year=2024; country_proxy=United States; cohort=North America; city_cost_mult=1.1</t>
        </is>
      </c>
    </row>
    <row r="1716">
      <c r="A1716" t="inlineStr">
        <is>
          <t>us-chicago</t>
        </is>
      </c>
      <c r="B1716" t="inlineStr">
        <is>
          <t>Chicago</t>
        </is>
      </c>
      <c r="C1716" t="inlineStr">
        <is>
          <t>United States</t>
        </is>
      </c>
      <c r="D1716" t="inlineStr">
        <is>
          <t>North America</t>
        </is>
      </c>
      <c r="E1716" t="inlineStr">
        <is>
          <t>utilities</t>
        </is>
      </c>
      <c r="F1716" t="inlineStr">
        <is>
          <t>Utilities</t>
        </is>
      </c>
      <c r="G1716" t="inlineStr">
        <is>
          <t>pressure</t>
        </is>
      </c>
      <c r="H1716" t="inlineStr">
        <is>
          <t>yes</t>
        </is>
      </c>
      <c r="I1716" t="inlineStr">
        <is>
          <t>606.88</t>
        </is>
      </c>
      <c r="J1716" t="inlineStr">
        <is>
          <t>world_bank_col_estimate</t>
        </is>
      </c>
      <c r="K1716" t="inlineStr">
        <is>
          <t>https://api.worldbank.org/v2/country/USA/indicator/NY.GNP.PCAP.PP.CD?format=json&amp;mrv=10</t>
        </is>
      </c>
      <c r="L1716" t="inlineStr">
        <is>
          <t>World Bank GNI + regional expenditure ratio estimate</t>
        </is>
      </c>
      <c r="M1716" t="inlineStr">
        <is>
          <t>2024-12-31</t>
        </is>
      </c>
      <c r="N1716" t="inlineStr">
        <is>
          <t>auto_ingest=world_bank_col_estimate; gni_annual=85980.0; year=2024; country_proxy=United States; cohort=North America; city_cost_mult=1.1</t>
        </is>
      </c>
    </row>
    <row r="1717">
      <c r="A1717" t="inlineStr">
        <is>
          <t>us-chicago</t>
        </is>
      </c>
      <c r="B1717" t="inlineStr">
        <is>
          <t>Chicago</t>
        </is>
      </c>
      <c r="C1717" t="inlineStr">
        <is>
          <t>United States</t>
        </is>
      </c>
      <c r="D1717" t="inlineStr">
        <is>
          <t>North America</t>
        </is>
      </c>
      <c r="E1717" t="inlineStr">
        <is>
          <t>transit_cost</t>
        </is>
      </c>
      <c r="F1717" t="inlineStr">
        <is>
          <t>Transit cost</t>
        </is>
      </c>
      <c r="G1717" t="inlineStr">
        <is>
          <t>pressure</t>
        </is>
      </c>
      <c r="H1717" t="inlineStr">
        <is>
          <t>yes</t>
        </is>
      </c>
      <c r="I1717" t="inlineStr">
        <is>
          <t>433.48</t>
        </is>
      </c>
      <c r="J1717" t="inlineStr">
        <is>
          <t>world_bank_col_estimate</t>
        </is>
      </c>
      <c r="K1717" t="inlineStr">
        <is>
          <t>https://api.worldbank.org/v2/country/USA/indicator/NY.GNP.PCAP.PP.CD?format=json&amp;mrv=10</t>
        </is>
      </c>
      <c r="L1717" t="inlineStr">
        <is>
          <t>World Bank GNI + regional expenditure ratio estimate</t>
        </is>
      </c>
      <c r="M1717" t="inlineStr">
        <is>
          <t>2024-12-31</t>
        </is>
      </c>
      <c r="N1717" t="inlineStr">
        <is>
          <t>auto_ingest=world_bank_col_estimate; gni_annual=85980.0; year=2024; country_proxy=United States; cohort=North America; city_cost_mult=1.1</t>
        </is>
      </c>
    </row>
    <row r="1718">
      <c r="A1718" t="inlineStr">
        <is>
          <t>us-chicago</t>
        </is>
      </c>
      <c r="B1718" t="inlineStr">
        <is>
          <t>Chicago</t>
        </is>
      </c>
      <c r="C1718" t="inlineStr">
        <is>
          <t>United States</t>
        </is>
      </c>
      <c r="D1718" t="inlineStr">
        <is>
          <t>North America</t>
        </is>
      </c>
      <c r="E1718" t="inlineStr">
        <is>
          <t>internet_cost</t>
        </is>
      </c>
      <c r="F1718" t="inlineStr">
        <is>
          <t>Internet cost</t>
        </is>
      </c>
      <c r="G1718" t="inlineStr">
        <is>
          <t>pressure</t>
        </is>
      </c>
      <c r="H1718" t="inlineStr">
        <is>
          <t>yes</t>
        </is>
      </c>
      <c r="I1718" t="inlineStr">
        <is>
          <t>173.39</t>
        </is>
      </c>
      <c r="J1718" t="inlineStr">
        <is>
          <t>world_bank_col_estimate</t>
        </is>
      </c>
      <c r="K1718" t="inlineStr">
        <is>
          <t>https://api.worldbank.org/v2/country/USA/indicator/NY.GNP.PCAP.PP.CD?format=json&amp;mrv=10</t>
        </is>
      </c>
      <c r="L1718" t="inlineStr">
        <is>
          <t>World Bank GNI + regional expenditure ratio estimate</t>
        </is>
      </c>
      <c r="M1718" t="inlineStr">
        <is>
          <t>2024-12-31</t>
        </is>
      </c>
      <c r="N1718" t="inlineStr">
        <is>
          <t>auto_ingest=world_bank_col_estimate; gni_annual=85980.0; year=2024; country_proxy=United States; cohort=North America; city_cost_mult=1.1</t>
        </is>
      </c>
    </row>
    <row r="1719">
      <c r="A1719" t="inlineStr">
        <is>
          <t>us-chicago</t>
        </is>
      </c>
      <c r="B1719" t="inlineStr">
        <is>
          <t>Chicago</t>
        </is>
      </c>
      <c r="C1719" t="inlineStr">
        <is>
          <t>United States</t>
        </is>
      </c>
      <c r="D1719" t="inlineStr">
        <is>
          <t>North America</t>
        </is>
      </c>
      <c r="E1719" t="inlineStr">
        <is>
          <t>food_cost</t>
        </is>
      </c>
      <c r="F1719" t="inlineStr">
        <is>
          <t>Food cost</t>
        </is>
      </c>
      <c r="G1719" t="inlineStr">
        <is>
          <t>pressure</t>
        </is>
      </c>
      <c r="H1719" t="inlineStr">
        <is>
          <t>yes</t>
        </is>
      </c>
      <c r="I1719" t="inlineStr">
        <is>
          <t>1300.45</t>
        </is>
      </c>
      <c r="J1719" t="inlineStr">
        <is>
          <t>world_bank_col_estimate</t>
        </is>
      </c>
      <c r="K1719" t="inlineStr">
        <is>
          <t>https://api.worldbank.org/v2/country/USA/indicator/NY.GNP.PCAP.PP.CD?format=json&amp;mrv=10</t>
        </is>
      </c>
      <c r="L1719" t="inlineStr">
        <is>
          <t>World Bank GNI + regional expenditure ratio estimate</t>
        </is>
      </c>
      <c r="M1719" t="inlineStr">
        <is>
          <t>2024-12-31</t>
        </is>
      </c>
      <c r="N1719" t="inlineStr">
        <is>
          <t>auto_ingest=world_bank_col_estimate; gni_annual=85980.0; year=2024; country_proxy=United States; cohort=North America; city_cost_mult=1.1</t>
        </is>
      </c>
    </row>
    <row r="1720">
      <c r="A1720" t="inlineStr">
        <is>
          <t>us-chicago</t>
        </is>
      </c>
      <c r="B1720" t="inlineStr">
        <is>
          <t>Chicago</t>
        </is>
      </c>
      <c r="C1720" t="inlineStr">
        <is>
          <t>United States</t>
        </is>
      </c>
      <c r="D1720" t="inlineStr">
        <is>
          <t>North America</t>
        </is>
      </c>
      <c r="E1720" t="inlineStr">
        <is>
          <t>housing_burden_raw</t>
        </is>
      </c>
      <c r="F1720" t="inlineStr">
        <is>
          <t>Housing burden raw</t>
        </is>
      </c>
      <c r="G1720" t="inlineStr">
        <is>
          <t>pressure</t>
        </is>
      </c>
      <c r="H1720" t="inlineStr">
        <is>
          <t>yes</t>
        </is>
      </c>
      <c r="I1720" t="inlineStr">
        <is>
          <t>38.5</t>
        </is>
      </c>
      <c r="J1720" t="inlineStr">
        <is>
          <t>derived</t>
        </is>
      </c>
      <c r="K1720" t="inlineStr">
        <is>
          <t>https://data.worldbank.org/indicator/NY.GNP.PCAP.PP.CD</t>
        </is>
      </c>
      <c r="L1720" t="inlineStr">
        <is>
          <t>Computed from city_inputs + country_context</t>
        </is>
      </c>
      <c r="M1720" t="inlineStr">
        <is>
          <t>2024-01-01</t>
        </is>
      </c>
      <c r="N1720" t="inlineStr">
        <is>
          <t>derived=rent/gross_income*100</t>
        </is>
      </c>
    </row>
    <row r="1721">
      <c r="A1721" t="inlineStr">
        <is>
          <t>us-chicago</t>
        </is>
      </c>
      <c r="B1721" t="inlineStr">
        <is>
          <t>Chicago</t>
        </is>
      </c>
      <c r="C1721" t="inlineStr">
        <is>
          <t>United States</t>
        </is>
      </c>
      <c r="D1721" t="inlineStr">
        <is>
          <t>North America</t>
        </is>
      </c>
      <c r="E1721" t="inlineStr">
        <is>
          <t>household_debt_burden_raw</t>
        </is>
      </c>
      <c r="F1721" t="inlineStr">
        <is>
          <t>Household debt burden raw</t>
        </is>
      </c>
      <c r="G1721" t="inlineStr">
        <is>
          <t>pressure</t>
        </is>
      </c>
      <c r="H1721" t="inlineStr">
        <is>
          <t>yes</t>
        </is>
      </c>
      <c r="I1721" t="inlineStr">
        <is>
          <t>46.8411</t>
        </is>
      </c>
      <c r="J1721" t="inlineStr">
        <is>
          <t>derived</t>
        </is>
      </c>
      <c r="K1721" t="inlineStr">
        <is>
          <t>https://data.worldbank.org/indicator/NY.GNP.PCAP.PP.CD</t>
        </is>
      </c>
      <c r="L1721" t="inlineStr">
        <is>
          <t>Computed from city_inputs + country_context</t>
        </is>
      </c>
      <c r="M1721" t="inlineStr">
        <is>
          <t>2024-01-01</t>
        </is>
      </c>
      <c r="N1721" t="inlineStr">
        <is>
          <t>derived=country_context.household_debt_proxy; country=United States</t>
        </is>
      </c>
    </row>
    <row r="1722">
      <c r="A1722" t="inlineStr">
        <is>
          <t>us-chicago</t>
        </is>
      </c>
      <c r="B1722" t="inlineStr">
        <is>
          <t>Chicago</t>
        </is>
      </c>
      <c r="C1722" t="inlineStr">
        <is>
          <t>United States</t>
        </is>
      </c>
      <c r="D1722" t="inlineStr">
        <is>
          <t>North America</t>
        </is>
      </c>
      <c r="E1722" t="inlineStr">
        <is>
          <t>working_time_pressure_raw</t>
        </is>
      </c>
      <c r="F1722" t="inlineStr">
        <is>
          <t>Working time pressure raw</t>
        </is>
      </c>
      <c r="G1722" t="inlineStr">
        <is>
          <t>pressure</t>
        </is>
      </c>
      <c r="H1722" t="inlineStr">
        <is>
          <t>yes</t>
        </is>
      </c>
      <c r="I1722" t="inlineStr">
        <is>
          <t>37.54</t>
        </is>
      </c>
      <c r="J1722" t="inlineStr">
        <is>
          <t>ilo_ilostat</t>
        </is>
      </c>
      <c r="K1722" t="inlineStr">
        <is>
          <t>https://ilostat.ilo.org/data/indicator/?id=HOW_TEMP_SEX_ECO_NB_A&amp;ref_area=USA</t>
        </is>
      </c>
      <c r="L1722" t="inlineStr">
        <is>
          <t>ILO ILOSTAT: Mean weekly hours actually worked per employed person</t>
        </is>
      </c>
      <c r="M1722" t="inlineStr">
        <is>
          <t>2025-12-31</t>
        </is>
      </c>
      <c r="N1722" t="inlineStr">
        <is>
          <t>auto_ingest=ilo_working_hours; indicator=HOW_TEMP_SEX_ECO_NB_A; year=2025; hours=37.54; country_proxy=United States</t>
        </is>
      </c>
    </row>
    <row r="1723">
      <c r="A1723" t="inlineStr">
        <is>
          <t>us-chicago</t>
        </is>
      </c>
      <c r="B1723" t="inlineStr">
        <is>
          <t>Chicago</t>
        </is>
      </c>
      <c r="C1723" t="inlineStr">
        <is>
          <t>United States</t>
        </is>
      </c>
      <c r="D1723" t="inlineStr">
        <is>
          <t>North America</t>
        </is>
      </c>
      <c r="E1723" t="inlineStr">
        <is>
          <t>suicide_mental_strain_raw</t>
        </is>
      </c>
      <c r="F1723" t="inlineStr">
        <is>
          <t>Suicide or mental strain raw</t>
        </is>
      </c>
      <c r="G1723" t="inlineStr">
        <is>
          <t>pressure</t>
        </is>
      </c>
      <c r="H1723" t="inlineStr">
        <is>
          <t>yes</t>
        </is>
      </c>
      <c r="I1723" t="inlineStr">
        <is>
          <t>15.63</t>
        </is>
      </c>
      <c r="J1723" t="inlineStr">
        <is>
          <t>who_gho</t>
        </is>
      </c>
      <c r="K1723" t="inlineStr">
        <is>
          <t>https://www.who.int/data/gho/data/indicators/indicator-details/GHO/SDGSUICIDE</t>
        </is>
      </c>
      <c r="L1723" t="inlineStr">
        <is>
          <t>WHO GHO: Age-standardized suicide rate (per 100,000 population)</t>
        </is>
      </c>
      <c r="M1723" t="inlineStr">
        <is>
          <t>2021-12-31</t>
        </is>
      </c>
      <c r="N1723" t="inlineStr">
        <is>
          <t>auto_ingest=who_gho; indicator=SDGSUICIDE; year=2021; country_proxy=United States</t>
        </is>
      </c>
    </row>
    <row r="1724">
      <c r="A1724" t="inlineStr">
        <is>
          <t>us-chicago</t>
        </is>
      </c>
      <c r="B1724" t="inlineStr">
        <is>
          <t>Chicago</t>
        </is>
      </c>
      <c r="C1724" t="inlineStr">
        <is>
          <t>United States</t>
        </is>
      </c>
      <c r="D1724" t="inlineStr">
        <is>
          <t>North America</t>
        </is>
      </c>
      <c r="E1724" t="inlineStr">
        <is>
          <t>personal_safety_raw</t>
        </is>
      </c>
      <c r="F1724" t="inlineStr">
        <is>
          <t>Personal safety raw</t>
        </is>
      </c>
      <c r="G1724" t="inlineStr">
        <is>
          <t>viability</t>
        </is>
      </c>
      <c r="H1724" t="inlineStr">
        <is>
          <t>yes</t>
        </is>
      </c>
      <c r="I1724" t="inlineStr">
        <is>
          <t>5.76</t>
        </is>
      </c>
      <c r="J1724" t="inlineStr">
        <is>
          <t>world_bank</t>
        </is>
      </c>
      <c r="K1724" t="inlineStr">
        <is>
          <t>https://api.worldbank.org/v2/country/USA/indicator/VC.IHR.PSRC.P5?format=json&amp;mrv=10</t>
        </is>
      </c>
      <c r="L1724" t="inlineStr">
        <is>
          <t>UNODC via World Bank WDI: Intentional homicides (per 100,000 people)</t>
        </is>
      </c>
      <c r="M1724" t="inlineStr">
        <is>
          <t>2023-12-31</t>
        </is>
      </c>
      <c r="N1724" t="inlineStr">
        <is>
          <t>auto_ingest=unodc_safety; indicator=VC.IHR.PSRC.P5; year=2023; country_proxy=United States</t>
        </is>
      </c>
    </row>
    <row r="1725">
      <c r="A1725" t="inlineStr">
        <is>
          <t>us-chicago</t>
        </is>
      </c>
      <c r="B1725" t="inlineStr">
        <is>
          <t>Chicago</t>
        </is>
      </c>
      <c r="C1725" t="inlineStr">
        <is>
          <t>United States</t>
        </is>
      </c>
      <c r="D1725" t="inlineStr">
        <is>
          <t>North America</t>
        </is>
      </c>
      <c r="E1725" t="inlineStr">
        <is>
          <t>transit_access_commute_raw</t>
        </is>
      </c>
      <c r="F1725" t="inlineStr">
        <is>
          <t>Transit access and commute raw</t>
        </is>
      </c>
      <c r="G1725" t="inlineStr">
        <is>
          <t>viability</t>
        </is>
      </c>
      <c r="H1725" t="inlineStr">
        <is>
          <t>yes</t>
        </is>
      </c>
      <c r="I1725" t="inlineStr"/>
      <c r="J1725" t="inlineStr"/>
      <c r="K1725" t="inlineStr"/>
      <c r="L1725" t="inlineStr"/>
      <c r="M1725" t="inlineStr"/>
      <c r="N1725" t="inlineStr"/>
    </row>
    <row r="1726">
      <c r="A1726" t="inlineStr">
        <is>
          <t>us-chicago</t>
        </is>
      </c>
      <c r="B1726" t="inlineStr">
        <is>
          <t>Chicago</t>
        </is>
      </c>
      <c r="C1726" t="inlineStr">
        <is>
          <t>United States</t>
        </is>
      </c>
      <c r="D1726" t="inlineStr">
        <is>
          <t>North America</t>
        </is>
      </c>
      <c r="E1726" t="inlineStr">
        <is>
          <t>clean_air_raw</t>
        </is>
      </c>
      <c r="F1726" t="inlineStr">
        <is>
          <t>Clean air raw</t>
        </is>
      </c>
      <c r="G1726" t="inlineStr">
        <is>
          <t>viability</t>
        </is>
      </c>
      <c r="H1726" t="inlineStr">
        <is>
          <t>yes</t>
        </is>
      </c>
      <c r="I1726" t="inlineStr"/>
      <c r="J1726" t="inlineStr"/>
      <c r="K1726" t="inlineStr"/>
      <c r="L1726" t="inlineStr"/>
      <c r="M1726" t="inlineStr"/>
      <c r="N1726" t="inlineStr"/>
    </row>
    <row r="1727">
      <c r="A1727" t="inlineStr">
        <is>
          <t>us-chicago</t>
        </is>
      </c>
      <c r="B1727" t="inlineStr">
        <is>
          <t>Chicago</t>
        </is>
      </c>
      <c r="C1727" t="inlineStr">
        <is>
          <t>United States</t>
        </is>
      </c>
      <c r="D1727" t="inlineStr">
        <is>
          <t>North America</t>
        </is>
      </c>
      <c r="E1727" t="inlineStr">
        <is>
          <t>water_sanitation_utility_raw</t>
        </is>
      </c>
      <c r="F1727" t="inlineStr">
        <is>
          <t>Water, sanitation, and utility raw</t>
        </is>
      </c>
      <c r="G1727" t="inlineStr">
        <is>
          <t>viability</t>
        </is>
      </c>
      <c r="H1727" t="inlineStr">
        <is>
          <t>yes</t>
        </is>
      </c>
      <c r="I1727" t="inlineStr">
        <is>
          <t>97.57</t>
        </is>
      </c>
      <c r="J1727" t="inlineStr">
        <is>
          <t>world_bank</t>
        </is>
      </c>
      <c r="K1727" t="inlineStr">
        <is>
          <t>https://api.worldbank.org/v2/country/USA/indicator/SH.H2O.SMDW.ZS?format=json&amp;mrv=10</t>
        </is>
      </c>
      <c r="L1727" t="inlineStr">
        <is>
          <t>World Bank WDI: People using safely managed drinking water services (% of population)</t>
        </is>
      </c>
      <c r="M1727" t="inlineStr">
        <is>
          <t>2024-12-31</t>
        </is>
      </c>
      <c r="N1727" t="inlineStr">
        <is>
          <t>auto_ingest=world_bank_proxy; indicator=SH.H2O.SMDW.ZS; year=2024; country_proxy=United States</t>
        </is>
      </c>
    </row>
    <row r="1728">
      <c r="A1728" t="inlineStr">
        <is>
          <t>us-chicago</t>
        </is>
      </c>
      <c r="B1728" t="inlineStr">
        <is>
          <t>Chicago</t>
        </is>
      </c>
      <c r="C1728" t="inlineStr">
        <is>
          <t>United States</t>
        </is>
      </c>
      <c r="D1728" t="inlineStr">
        <is>
          <t>North America</t>
        </is>
      </c>
      <c r="E1728" t="inlineStr">
        <is>
          <t>digital_infrastructure_raw</t>
        </is>
      </c>
      <c r="F1728" t="inlineStr">
        <is>
          <t>Digital infrastructure raw</t>
        </is>
      </c>
      <c r="G1728" t="inlineStr">
        <is>
          <t>viability</t>
        </is>
      </c>
      <c r="H1728" t="inlineStr">
        <is>
          <t>yes</t>
        </is>
      </c>
      <c r="I1728" t="inlineStr">
        <is>
          <t>38.15</t>
        </is>
      </c>
      <c r="J1728" t="inlineStr">
        <is>
          <t>world_bank</t>
        </is>
      </c>
      <c r="K1728" t="inlineStr">
        <is>
          <t>https://api.worldbank.org/v2/country/USA/indicator/IT.NET.BBND.P2?format=json&amp;mrv=10</t>
        </is>
      </c>
      <c r="L1728" t="inlineStr">
        <is>
          <t>World Bank WDI: Fixed broadband subscriptions (per 100 people)</t>
        </is>
      </c>
      <c r="M1728" t="inlineStr">
        <is>
          <t>2023-12-31</t>
        </is>
      </c>
      <c r="N1728" t="inlineStr">
        <is>
          <t>auto_ingest=world_bank_proxy; indicator=IT.NET.BBND.P2; year=2023; country_proxy=United States</t>
        </is>
      </c>
    </row>
    <row r="1729">
      <c r="A1729" t="inlineStr">
        <is>
          <t>us-chicago</t>
        </is>
      </c>
      <c r="B1729" t="inlineStr">
        <is>
          <t>Chicago</t>
        </is>
      </c>
      <c r="C1729" t="inlineStr">
        <is>
          <t>United States</t>
        </is>
      </c>
      <c r="D1729" t="inlineStr">
        <is>
          <t>North America</t>
        </is>
      </c>
      <c r="E1729" t="inlineStr">
        <is>
          <t>climate_sunlight_livability_raw</t>
        </is>
      </c>
      <c r="F1729" t="inlineStr">
        <is>
          <t>Climate and sunlight livability raw</t>
        </is>
      </c>
      <c r="G1729" t="inlineStr">
        <is>
          <t>viability</t>
        </is>
      </c>
      <c r="H1729" t="inlineStr">
        <is>
          <t>yes</t>
        </is>
      </c>
      <c r="I1729" t="inlineStr">
        <is>
          <t>52</t>
        </is>
      </c>
      <c r="J1729" t="inlineStr">
        <is>
          <t>wmo_natl_met</t>
        </is>
      </c>
      <c r="K1729" t="inlineStr">
        <is>
          <t>https://worldweather.wmo.int</t>
        </is>
      </c>
      <c r="L1729" t="inlineStr">
        <is>
          <t>WMO/National Met: Climate livability composite</t>
        </is>
      </c>
      <c r="M1729" t="inlineStr">
        <is>
          <t>2024-12-31</t>
        </is>
      </c>
      <c r="N1729" t="inlineStr">
        <is>
          <t>auto_seed=climate_composite; 2500 sun hrs, 10C mean, brutal winters, hot summers</t>
        </is>
      </c>
    </row>
    <row r="1730">
      <c r="A1730" t="inlineStr">
        <is>
          <t>us-chicago</t>
        </is>
      </c>
      <c r="B1730" t="inlineStr">
        <is>
          <t>Chicago</t>
        </is>
      </c>
      <c r="C1730" t="inlineStr">
        <is>
          <t>United States</t>
        </is>
      </c>
      <c r="D1730" t="inlineStr">
        <is>
          <t>North America</t>
        </is>
      </c>
      <c r="E1730" t="inlineStr">
        <is>
          <t>healthcare_quality_raw</t>
        </is>
      </c>
      <c r="F1730" t="inlineStr">
        <is>
          <t>Healthcare quality raw</t>
        </is>
      </c>
      <c r="G1730" t="inlineStr">
        <is>
          <t>capability</t>
        </is>
      </c>
      <c r="H1730" t="inlineStr">
        <is>
          <t>yes</t>
        </is>
      </c>
      <c r="I1730" t="inlineStr">
        <is>
          <t>88.0</t>
        </is>
      </c>
      <c r="J1730" t="inlineStr">
        <is>
          <t>who_gho</t>
        </is>
      </c>
      <c r="K1730" t="inlineStr">
        <is>
          <t>https://www.who.int/data/gho/data/indicators/indicator-details/GHO/UHC_INDEX_REPORTED</t>
        </is>
      </c>
      <c r="L1730" t="inlineStr">
        <is>
          <t>WHO GHO: UHC Service Coverage Index</t>
        </is>
      </c>
      <c r="M1730" t="inlineStr">
        <is>
          <t>2023-12-31</t>
        </is>
      </c>
      <c r="N1730" t="inlineStr">
        <is>
          <t>auto_ingest=who_gho; indicator=UHC_INDEX_REPORTED; year=2023; country_proxy=United States</t>
        </is>
      </c>
    </row>
    <row r="1731">
      <c r="A1731" t="inlineStr">
        <is>
          <t>us-chicago</t>
        </is>
      </c>
      <c r="B1731" t="inlineStr">
        <is>
          <t>Chicago</t>
        </is>
      </c>
      <c r="C1731" t="inlineStr">
        <is>
          <t>United States</t>
        </is>
      </c>
      <c r="D1731" t="inlineStr">
        <is>
          <t>North America</t>
        </is>
      </c>
      <c r="E1731" t="inlineStr">
        <is>
          <t>education_quality_raw</t>
        </is>
      </c>
      <c r="F1731" t="inlineStr">
        <is>
          <t>Education quality raw</t>
        </is>
      </c>
      <c r="G1731" t="inlineStr">
        <is>
          <t>capability</t>
        </is>
      </c>
      <c r="H1731" t="inlineStr">
        <is>
          <t>yes</t>
        </is>
      </c>
      <c r="I1731" t="inlineStr">
        <is>
          <t>79.36</t>
        </is>
      </c>
      <c r="J1731" t="inlineStr">
        <is>
          <t>world_bank</t>
        </is>
      </c>
      <c r="K1731" t="inlineStr">
        <is>
          <t>https://api.worldbank.org/v2/country/USA/indicator/SE.TER.ENRR?format=json&amp;mrv=10</t>
        </is>
      </c>
      <c r="L1731" t="inlineStr">
        <is>
          <t>World Bank WDI: School enrollment, tertiary (% gross)</t>
        </is>
      </c>
      <c r="M1731" t="inlineStr">
        <is>
          <t>2022-12-31</t>
        </is>
      </c>
      <c r="N1731" t="inlineStr">
        <is>
          <t>auto_ingest=world_bank_proxy; indicator=SE.TER.ENRR; year=2022; country_proxy=United States</t>
        </is>
      </c>
    </row>
    <row r="1732">
      <c r="A1732" t="inlineStr">
        <is>
          <t>us-chicago</t>
        </is>
      </c>
      <c r="B1732" t="inlineStr">
        <is>
          <t>Chicago</t>
        </is>
      </c>
      <c r="C1732" t="inlineStr">
        <is>
          <t>United States</t>
        </is>
      </c>
      <c r="D1732" t="inlineStr">
        <is>
          <t>North America</t>
        </is>
      </c>
      <c r="E1732" t="inlineStr">
        <is>
          <t>equal_opportunity_raw</t>
        </is>
      </c>
      <c r="F1732" t="inlineStr">
        <is>
          <t>Equal opportunity raw</t>
        </is>
      </c>
      <c r="G1732" t="inlineStr">
        <is>
          <t>capability</t>
        </is>
      </c>
      <c r="H1732" t="inlineStr">
        <is>
          <t>yes</t>
        </is>
      </c>
      <c r="I1732" t="inlineStr">
        <is>
          <t>41.8</t>
        </is>
      </c>
      <c r="J1732" t="inlineStr">
        <is>
          <t>world_bank</t>
        </is>
      </c>
      <c r="K1732" t="inlineStr">
        <is>
          <t>https://api.worldbank.org/v2/country/USA/indicator/SI.POV.GINI?format=json&amp;mrv=10</t>
        </is>
      </c>
      <c r="L1732" t="inlineStr">
        <is>
          <t>World Bank WDI: Gini index</t>
        </is>
      </c>
      <c r="M1732" t="inlineStr">
        <is>
          <t>2023-12-31</t>
        </is>
      </c>
      <c r="N1732" t="inlineStr">
        <is>
          <t>auto_ingest=world_bank_capability; indicator=SI.POV.GINI; year=2023; country_proxy=United States</t>
        </is>
      </c>
    </row>
    <row r="1733">
      <c r="A1733" t="inlineStr">
        <is>
          <t>us-chicago</t>
        </is>
      </c>
      <c r="B1733" t="inlineStr">
        <is>
          <t>Chicago</t>
        </is>
      </c>
      <c r="C1733" t="inlineStr">
        <is>
          <t>United States</t>
        </is>
      </c>
      <c r="D1733" t="inlineStr">
        <is>
          <t>North America</t>
        </is>
      </c>
      <c r="E1733" t="inlineStr">
        <is>
          <t>hospitality_belonging_raw</t>
        </is>
      </c>
      <c r="F1733" t="inlineStr">
        <is>
          <t>Hospitality and belonging raw</t>
        </is>
      </c>
      <c r="G1733" t="inlineStr">
        <is>
          <t>community</t>
        </is>
      </c>
      <c r="H1733" t="inlineStr">
        <is>
          <t>yes</t>
        </is>
      </c>
      <c r="I1733" t="inlineStr">
        <is>
          <t>53.62</t>
        </is>
      </c>
      <c r="J1733" t="inlineStr">
        <is>
          <t>world_bank</t>
        </is>
      </c>
      <c r="K1733" t="inlineStr">
        <is>
          <t>https://api.worldbank.org/v2/country/USA/indicator/SM.POP.NETM?format=json&amp;mrv=10</t>
        </is>
      </c>
      <c r="L1733" t="inlineStr">
        <is>
          <t>World Bank WDI: Net migration (proxy for hospitality/belonging — positive = welcoming)</t>
        </is>
      </c>
      <c r="M1733" t="inlineStr">
        <is>
          <t>2025-12-31</t>
        </is>
      </c>
      <c r="N1733" t="inlineStr">
        <is>
          <t>auto_ingest=world_bank_proxy; proxy=net_migration_hospitality; indicator=SM.POP.NETM; year=2025; country_proxy=United States</t>
        </is>
      </c>
    </row>
    <row r="1734">
      <c r="A1734" t="inlineStr">
        <is>
          <t>us-chicago</t>
        </is>
      </c>
      <c r="B1734" t="inlineStr">
        <is>
          <t>Chicago</t>
        </is>
      </c>
      <c r="C1734" t="inlineStr">
        <is>
          <t>United States</t>
        </is>
      </c>
      <c r="D1734" t="inlineStr">
        <is>
          <t>North America</t>
        </is>
      </c>
      <c r="E1734" t="inlineStr">
        <is>
          <t>tolerance_pluralism_raw</t>
        </is>
      </c>
      <c r="F1734" t="inlineStr">
        <is>
          <t>Tolerance and pluralism raw</t>
        </is>
      </c>
      <c r="G1734" t="inlineStr">
        <is>
          <t>community</t>
        </is>
      </c>
      <c r="H1734" t="inlineStr">
        <is>
          <t>yes</t>
        </is>
      </c>
      <c r="I1734" t="inlineStr">
        <is>
          <t>28.74</t>
        </is>
      </c>
      <c r="J1734" t="inlineStr">
        <is>
          <t>world_bank</t>
        </is>
      </c>
      <c r="K1734" t="inlineStr">
        <is>
          <t>https://api.worldbank.org/v2/country/USA/indicator/SG.GEN.PARL.ZS?format=json&amp;mrv=10</t>
        </is>
      </c>
      <c r="L1734" t="inlineStr">
        <is>
          <t>World Bank WDI: Proportion of seats held by women in national parliaments (%)</t>
        </is>
      </c>
      <c r="M1734" t="inlineStr">
        <is>
          <t>2024-12-31</t>
        </is>
      </c>
      <c r="N1734" t="inlineStr">
        <is>
          <t>auto_ingest=world_bank_proxy; proxy=gender_parity_parliament; indicator=SG.GEN.PARL.ZS; year=2024; country_proxy=United States</t>
        </is>
      </c>
    </row>
    <row r="1735">
      <c r="A1735" t="inlineStr">
        <is>
          <t>us-chicago</t>
        </is>
      </c>
      <c r="B1735" t="inlineStr">
        <is>
          <t>Chicago</t>
        </is>
      </c>
      <c r="C1735" t="inlineStr">
        <is>
          <t>United States</t>
        </is>
      </c>
      <c r="D1735" t="inlineStr">
        <is>
          <t>North America</t>
        </is>
      </c>
      <c r="E1735" t="inlineStr">
        <is>
          <t>cultural_public_life_raw</t>
        </is>
      </c>
      <c r="F1735" t="inlineStr">
        <is>
          <t>Cultural public life raw</t>
        </is>
      </c>
      <c r="G1735" t="inlineStr">
        <is>
          <t>community</t>
        </is>
      </c>
      <c r="H1735" t="inlineStr">
        <is>
          <t>yes</t>
        </is>
      </c>
      <c r="I1735" t="inlineStr">
        <is>
          <t>132.42</t>
        </is>
      </c>
      <c r="J1735" t="inlineStr">
        <is>
          <t>world_bank</t>
        </is>
      </c>
      <c r="K1735" t="inlineStr">
        <is>
          <t>https://api.worldbank.org/v2/country/USA/indicator/ST.INT.ARVL?format=json&amp;mrv=10</t>
        </is>
      </c>
      <c r="L1735" t="inlineStr">
        <is>
          <t>World Bank WDI: International tourism arrivals per 1 000 population</t>
        </is>
      </c>
      <c r="M1735" t="inlineStr">
        <is>
          <t>2020-12-31</t>
        </is>
      </c>
      <c r="N1735" t="inlineStr">
        <is>
          <t>auto_ingest=cultural_life_proxy; indicator=ST.INT.ARVL; norm=per_1000_pop; year=2020; country_proxy=United States</t>
        </is>
      </c>
    </row>
    <row r="1736">
      <c r="A1736" t="inlineStr">
        <is>
          <t>us-chicago</t>
        </is>
      </c>
      <c r="B1736" t="inlineStr">
        <is>
          <t>Chicago</t>
        </is>
      </c>
      <c r="C1736" t="inlineStr">
        <is>
          <t>United States</t>
        </is>
      </c>
      <c r="D1736" t="inlineStr">
        <is>
          <t>North America</t>
        </is>
      </c>
      <c r="E1736" t="inlineStr">
        <is>
          <t>birth_rate_optimism_raw</t>
        </is>
      </c>
      <c r="F1736" t="inlineStr">
        <is>
          <t>Birth rate and societal optimism raw</t>
        </is>
      </c>
      <c r="G1736" t="inlineStr">
        <is>
          <t>community</t>
        </is>
      </c>
      <c r="H1736" t="inlineStr">
        <is>
          <t>yes</t>
        </is>
      </c>
      <c r="I1736" t="inlineStr">
        <is>
          <t>1.62</t>
        </is>
      </c>
      <c r="J1736" t="inlineStr">
        <is>
          <t>world_bank</t>
        </is>
      </c>
      <c r="K1736" t="inlineStr">
        <is>
          <t>https://data.worldbank.org/indicator/SP.DYN.TFRT.IN</t>
        </is>
      </c>
      <c r="L1736" t="inlineStr">
        <is>
          <t>World Bank Total Fertility Rate 2023</t>
        </is>
      </c>
      <c r="M1736" t="inlineStr">
        <is>
          <t>2024-01-01</t>
        </is>
      </c>
      <c r="N1736" t="inlineStr"/>
    </row>
    <row r="1737">
      <c r="A1737" t="inlineStr">
        <is>
          <t>us-chicago</t>
        </is>
      </c>
      <c r="B1737" t="inlineStr">
        <is>
          <t>Chicago</t>
        </is>
      </c>
      <c r="C1737" t="inlineStr">
        <is>
          <t>United States</t>
        </is>
      </c>
      <c r="D1737" t="inlineStr">
        <is>
          <t>North America</t>
        </is>
      </c>
      <c r="E1737" t="inlineStr">
        <is>
          <t>entrepreneurial_dynamism_raw</t>
        </is>
      </c>
      <c r="F1737" t="inlineStr">
        <is>
          <t>Entrepreneurial dynamism raw</t>
        </is>
      </c>
      <c r="G1737" t="inlineStr">
        <is>
          <t>creative</t>
        </is>
      </c>
      <c r="H1737" t="inlineStr">
        <is>
          <t>yes</t>
        </is>
      </c>
      <c r="I1737" t="inlineStr"/>
      <c r="J1737" t="inlineStr"/>
      <c r="K1737" t="inlineStr"/>
      <c r="L1737" t="inlineStr"/>
      <c r="M1737" t="inlineStr"/>
      <c r="N1737" t="inlineStr"/>
    </row>
    <row r="1738">
      <c r="A1738" t="inlineStr">
        <is>
          <t>us-chicago</t>
        </is>
      </c>
      <c r="B1738" t="inlineStr">
        <is>
          <t>Chicago</t>
        </is>
      </c>
      <c r="C1738" t="inlineStr">
        <is>
          <t>United States</t>
        </is>
      </c>
      <c r="D1738" t="inlineStr">
        <is>
          <t>North America</t>
        </is>
      </c>
      <c r="E1738" t="inlineStr">
        <is>
          <t>innovation_research_intensity_raw</t>
        </is>
      </c>
      <c r="F1738" t="inlineStr">
        <is>
          <t>Innovation and research raw</t>
        </is>
      </c>
      <c r="G1738" t="inlineStr">
        <is>
          <t>creative</t>
        </is>
      </c>
      <c r="H1738" t="inlineStr">
        <is>
          <t>yes</t>
        </is>
      </c>
      <c r="I1738" t="inlineStr">
        <is>
          <t>3.59</t>
        </is>
      </c>
      <c r="J1738" t="inlineStr">
        <is>
          <t>world_bank</t>
        </is>
      </c>
      <c r="K1738" t="inlineStr">
        <is>
          <t>https://api.worldbank.org/v2/country/USA/indicator/GB.XPD.RSDV.GD.ZS?format=json&amp;mrv=10</t>
        </is>
      </c>
      <c r="L1738" t="inlineStr">
        <is>
          <t>World Bank WDI: Research and development expenditure (% of GDP)</t>
        </is>
      </c>
      <c r="M1738" t="inlineStr">
        <is>
          <t>2022-12-31</t>
        </is>
      </c>
      <c r="N1738" t="inlineStr">
        <is>
          <t>auto_ingest=world_bank_creative_extended; indicator=GB.XPD.RSDV.GD.ZS; year=2022; country_proxy=United States</t>
        </is>
      </c>
    </row>
    <row r="1739">
      <c r="A1739" t="inlineStr">
        <is>
          <t>us-chicago</t>
        </is>
      </c>
      <c r="B1739" t="inlineStr">
        <is>
          <t>Chicago</t>
        </is>
      </c>
      <c r="C1739" t="inlineStr">
        <is>
          <t>United States</t>
        </is>
      </c>
      <c r="D1739" t="inlineStr">
        <is>
          <t>North America</t>
        </is>
      </c>
      <c r="E1739" t="inlineStr">
        <is>
          <t>investment_signal_raw</t>
        </is>
      </c>
      <c r="F1739" t="inlineStr">
        <is>
          <t>Investment signal raw</t>
        </is>
      </c>
      <c r="G1739" t="inlineStr">
        <is>
          <t>creative</t>
        </is>
      </c>
      <c r="H1739" t="inlineStr">
        <is>
          <t>yes</t>
        </is>
      </c>
      <c r="I1739" t="inlineStr">
        <is>
          <t>1.03</t>
        </is>
      </c>
      <c r="J1739" t="inlineStr">
        <is>
          <t>world_bank</t>
        </is>
      </c>
      <c r="K1739" t="inlineStr">
        <is>
          <t>https://api.worldbank.org/v2/country/USA/indicator/BX.KLT.DINV.WD.GD.ZS?format=json&amp;mrv=10</t>
        </is>
      </c>
      <c r="L1739" t="inlineStr">
        <is>
          <t>World Bank WDI: Foreign direct investment, net inflows (% of GDP)</t>
        </is>
      </c>
      <c r="M1739" t="inlineStr">
        <is>
          <t>2024-12-31</t>
        </is>
      </c>
      <c r="N1739" t="inlineStr">
        <is>
          <t>auto_ingest=world_bank_creative_extended; indicator=BX.KLT.DINV.WD.GD.ZS; year=2024; country_proxy=United States</t>
        </is>
      </c>
    </row>
    <row r="1740">
      <c r="A1740" t="inlineStr">
        <is>
          <t>us-chicago</t>
        </is>
      </c>
      <c r="B1740" t="inlineStr">
        <is>
          <t>Chicago</t>
        </is>
      </c>
      <c r="C1740" t="inlineStr">
        <is>
          <t>United States</t>
        </is>
      </c>
      <c r="D1740" t="inlineStr">
        <is>
          <t>North America</t>
        </is>
      </c>
      <c r="E1740" t="inlineStr">
        <is>
          <t>administrative_investment_friction_raw</t>
        </is>
      </c>
      <c r="F1740" t="inlineStr">
        <is>
          <t>Administrative investment friction raw</t>
        </is>
      </c>
      <c r="G1740" t="inlineStr">
        <is>
          <t>creative</t>
        </is>
      </c>
      <c r="H1740" t="inlineStr">
        <is>
          <t>yes</t>
        </is>
      </c>
      <c r="I1740" t="inlineStr">
        <is>
          <t>1.11</t>
        </is>
      </c>
      <c r="J1740" t="inlineStr">
        <is>
          <t>world_bank</t>
        </is>
      </c>
      <c r="K1740" t="inlineStr">
        <is>
          <t>https://api.worldbank.org/v2/country/USA/indicator/RQ.EST?format=json&amp;mrv=10</t>
        </is>
      </c>
      <c r="L1740" t="inlineStr">
        <is>
          <t>World Bank WGI: Regulatory Quality (inverted as friction proxy)</t>
        </is>
      </c>
      <c r="M1740" t="inlineStr">
        <is>
          <t>2023-12-31</t>
        </is>
      </c>
      <c r="N1740" t="inlineStr">
        <is>
          <t>auto_ingest=world_bank_business_friction; indicator=RQ.EST; raw_rq=1.39373278617859; friction=1.11; year=2023; country_proxy=United States</t>
        </is>
      </c>
    </row>
    <row r="1741">
      <c r="A1741" t="inlineStr">
        <is>
          <t>us-chicago</t>
        </is>
      </c>
      <c r="B1741" t="inlineStr">
        <is>
          <t>Chicago</t>
        </is>
      </c>
      <c r="C1741" t="inlineStr">
        <is>
          <t>United States</t>
        </is>
      </c>
      <c r="D1741" t="inlineStr">
        <is>
          <t>North America</t>
        </is>
      </c>
      <c r="E1741" t="inlineStr">
        <is>
          <t>visitor_flow_context_raw</t>
        </is>
      </c>
      <c r="F1741" t="inlineStr">
        <is>
          <t>Visitor flow context raw</t>
        </is>
      </c>
      <c r="G1741" t="inlineStr">
        <is>
          <t>creative</t>
        </is>
      </c>
      <c r="H1741" t="inlineStr">
        <is>
          <t>no</t>
        </is>
      </c>
      <c r="I1741" t="inlineStr"/>
      <c r="J1741" t="inlineStr"/>
      <c r="K1741" t="inlineStr"/>
      <c r="L1741" t="inlineStr"/>
      <c r="M1741" t="inlineStr"/>
      <c r="N1741" t="inlineStr"/>
    </row>
    <row r="1742">
      <c r="A1742" t="inlineStr">
        <is>
          <t>mx-mexico-city</t>
        </is>
      </c>
      <c r="B1742" t="inlineStr">
        <is>
          <t>Mexico City</t>
        </is>
      </c>
      <c r="C1742" t="inlineStr">
        <is>
          <t>Mexico</t>
        </is>
      </c>
      <c r="D1742" t="inlineStr">
        <is>
          <t>North America</t>
        </is>
      </c>
      <c r="E1742" t="inlineStr">
        <is>
          <t>gross_income</t>
        </is>
      </c>
      <c r="F1742" t="inlineStr">
        <is>
          <t>Gross income</t>
        </is>
      </c>
      <c r="G1742" t="inlineStr">
        <is>
          <t>pressure</t>
        </is>
      </c>
      <c r="H1742" t="inlineStr">
        <is>
          <t>yes</t>
        </is>
      </c>
      <c r="I1742" t="inlineStr">
        <is>
          <t>2439.92</t>
        </is>
      </c>
      <c r="J1742" t="inlineStr">
        <is>
          <t>world_bank_col_estimate</t>
        </is>
      </c>
      <c r="K1742" t="inlineStr">
        <is>
          <t>https://api.worldbank.org/v2/country/MEX/indicator/NY.GNP.PCAP.PP.CD?format=json&amp;mrv=10</t>
        </is>
      </c>
      <c r="L1742" t="inlineStr">
        <is>
          <t>World Bank WDI: GNI per capita PPP (monthly USD)</t>
        </is>
      </c>
      <c r="M1742" t="inlineStr">
        <is>
          <t>2024-12-31</t>
        </is>
      </c>
      <c r="N1742" t="inlineStr">
        <is>
          <t>auto_ingest=world_bank_col_estimate; gni_annual=25460.0; year=2024; country_proxy=Mexico; cohort=North America; city_income_mult=1.15</t>
        </is>
      </c>
    </row>
    <row r="1743">
      <c r="A1743" t="inlineStr">
        <is>
          <t>mx-mexico-city</t>
        </is>
      </c>
      <c r="B1743" t="inlineStr">
        <is>
          <t>Mexico City</t>
        </is>
      </c>
      <c r="C1743" t="inlineStr">
        <is>
          <t>Mexico</t>
        </is>
      </c>
      <c r="D1743" t="inlineStr">
        <is>
          <t>North America</t>
        </is>
      </c>
      <c r="E1743" t="inlineStr">
        <is>
          <t>di_ppp_raw</t>
        </is>
      </c>
      <c r="F1743" t="inlineStr">
        <is>
          <t>Disposable income PPP (Raw)</t>
        </is>
      </c>
      <c r="G1743" t="inlineStr">
        <is>
          <t>pressure</t>
        </is>
      </c>
      <c r="H1743" t="inlineStr">
        <is>
          <t>yes</t>
        </is>
      </c>
      <c r="I1743" t="inlineStr"/>
      <c r="J1743" t="inlineStr"/>
      <c r="K1743" t="inlineStr"/>
      <c r="L1743" t="inlineStr"/>
      <c r="M1743" t="inlineStr"/>
      <c r="N1743" t="inlineStr"/>
    </row>
    <row r="1744">
      <c r="A1744" t="inlineStr">
        <is>
          <t>mx-mexico-city</t>
        </is>
      </c>
      <c r="B1744" t="inlineStr">
        <is>
          <t>Mexico City</t>
        </is>
      </c>
      <c r="C1744" t="inlineStr">
        <is>
          <t>Mexico</t>
        </is>
      </c>
      <c r="D1744" t="inlineStr">
        <is>
          <t>North America</t>
        </is>
      </c>
      <c r="E1744" t="inlineStr">
        <is>
          <t>rent</t>
        </is>
      </c>
      <c r="F1744" t="inlineStr">
        <is>
          <t>Rent</t>
        </is>
      </c>
      <c r="G1744" t="inlineStr">
        <is>
          <t>pressure</t>
        </is>
      </c>
      <c r="H1744" t="inlineStr">
        <is>
          <t>yes</t>
        </is>
      </c>
      <c r="I1744" t="inlineStr">
        <is>
          <t>982.07</t>
        </is>
      </c>
      <c r="J1744" t="inlineStr">
        <is>
          <t>world_bank_col_estimate</t>
        </is>
      </c>
      <c r="K1744" t="inlineStr">
        <is>
          <t>https://api.worldbank.org/v2/country/MEX/indicator/NY.GNP.PCAP.PP.CD?format=json&amp;mrv=10</t>
        </is>
      </c>
      <c r="L1744" t="inlineStr">
        <is>
          <t>World Bank GNI + regional expenditure ratio estimate</t>
        </is>
      </c>
      <c r="M1744" t="inlineStr">
        <is>
          <t>2024-12-31</t>
        </is>
      </c>
      <c r="N1744" t="inlineStr">
        <is>
          <t>auto_ingest=world_bank_col_estimate; gni_annual=25460.0; year=2024; country_proxy=Mexico; cohort=North America; city_cost_mult=1.15</t>
        </is>
      </c>
    </row>
    <row r="1745">
      <c r="A1745" t="inlineStr">
        <is>
          <t>mx-mexico-city</t>
        </is>
      </c>
      <c r="B1745" t="inlineStr">
        <is>
          <t>Mexico City</t>
        </is>
      </c>
      <c r="C1745" t="inlineStr">
        <is>
          <t>Mexico</t>
        </is>
      </c>
      <c r="D1745" t="inlineStr">
        <is>
          <t>North America</t>
        </is>
      </c>
      <c r="E1745" t="inlineStr">
        <is>
          <t>utilities</t>
        </is>
      </c>
      <c r="F1745" t="inlineStr">
        <is>
          <t>Utilities</t>
        </is>
      </c>
      <c r="G1745" t="inlineStr">
        <is>
          <t>pressure</t>
        </is>
      </c>
      <c r="H1745" t="inlineStr">
        <is>
          <t>yes</t>
        </is>
      </c>
      <c r="I1745" t="inlineStr">
        <is>
          <t>196.41</t>
        </is>
      </c>
      <c r="J1745" t="inlineStr">
        <is>
          <t>world_bank_col_estimate</t>
        </is>
      </c>
      <c r="K1745" t="inlineStr">
        <is>
          <t>https://api.worldbank.org/v2/country/MEX/indicator/NY.GNP.PCAP.PP.CD?format=json&amp;mrv=10</t>
        </is>
      </c>
      <c r="L1745" t="inlineStr">
        <is>
          <t>World Bank GNI + regional expenditure ratio estimate</t>
        </is>
      </c>
      <c r="M1745" t="inlineStr">
        <is>
          <t>2024-12-31</t>
        </is>
      </c>
      <c r="N1745" t="inlineStr">
        <is>
          <t>auto_ingest=world_bank_col_estimate; gni_annual=25460.0; year=2024; country_proxy=Mexico; cohort=North America; city_cost_mult=1.15</t>
        </is>
      </c>
    </row>
    <row r="1746">
      <c r="A1746" t="inlineStr">
        <is>
          <t>mx-mexico-city</t>
        </is>
      </c>
      <c r="B1746" t="inlineStr">
        <is>
          <t>Mexico City</t>
        </is>
      </c>
      <c r="C1746" t="inlineStr">
        <is>
          <t>Mexico</t>
        </is>
      </c>
      <c r="D1746" t="inlineStr">
        <is>
          <t>North America</t>
        </is>
      </c>
      <c r="E1746" t="inlineStr">
        <is>
          <t>transit_cost</t>
        </is>
      </c>
      <c r="F1746" t="inlineStr">
        <is>
          <t>Transit cost</t>
        </is>
      </c>
      <c r="G1746" t="inlineStr">
        <is>
          <t>pressure</t>
        </is>
      </c>
      <c r="H1746" t="inlineStr">
        <is>
          <t>yes</t>
        </is>
      </c>
      <c r="I1746" t="inlineStr">
        <is>
          <t>140.3</t>
        </is>
      </c>
      <c r="J1746" t="inlineStr">
        <is>
          <t>world_bank_col_estimate</t>
        </is>
      </c>
      <c r="K1746" t="inlineStr">
        <is>
          <t>https://api.worldbank.org/v2/country/MEX/indicator/NY.GNP.PCAP.PP.CD?format=json&amp;mrv=10</t>
        </is>
      </c>
      <c r="L1746" t="inlineStr">
        <is>
          <t>World Bank GNI + regional expenditure ratio estimate</t>
        </is>
      </c>
      <c r="M1746" t="inlineStr">
        <is>
          <t>2024-12-31</t>
        </is>
      </c>
      <c r="N1746" t="inlineStr">
        <is>
          <t>auto_ingest=world_bank_col_estimate; gni_annual=25460.0; year=2024; country_proxy=Mexico; cohort=North America; city_cost_mult=1.15</t>
        </is>
      </c>
    </row>
    <row r="1747">
      <c r="A1747" t="inlineStr">
        <is>
          <t>mx-mexico-city</t>
        </is>
      </c>
      <c r="B1747" t="inlineStr">
        <is>
          <t>Mexico City</t>
        </is>
      </c>
      <c r="C1747" t="inlineStr">
        <is>
          <t>Mexico</t>
        </is>
      </c>
      <c r="D1747" t="inlineStr">
        <is>
          <t>North America</t>
        </is>
      </c>
      <c r="E1747" t="inlineStr">
        <is>
          <t>internet_cost</t>
        </is>
      </c>
      <c r="F1747" t="inlineStr">
        <is>
          <t>Internet cost</t>
        </is>
      </c>
      <c r="G1747" t="inlineStr">
        <is>
          <t>pressure</t>
        </is>
      </c>
      <c r="H1747" t="inlineStr">
        <is>
          <t>yes</t>
        </is>
      </c>
      <c r="I1747" t="inlineStr">
        <is>
          <t>56.12</t>
        </is>
      </c>
      <c r="J1747" t="inlineStr">
        <is>
          <t>world_bank_col_estimate</t>
        </is>
      </c>
      <c r="K1747" t="inlineStr">
        <is>
          <t>https://api.worldbank.org/v2/country/MEX/indicator/NY.GNP.PCAP.PP.CD?format=json&amp;mrv=10</t>
        </is>
      </c>
      <c r="L1747" t="inlineStr">
        <is>
          <t>World Bank GNI + regional expenditure ratio estimate</t>
        </is>
      </c>
      <c r="M1747" t="inlineStr">
        <is>
          <t>2024-12-31</t>
        </is>
      </c>
      <c r="N1747" t="inlineStr">
        <is>
          <t>auto_ingest=world_bank_col_estimate; gni_annual=25460.0; year=2024; country_proxy=Mexico; cohort=North America; city_cost_mult=1.15</t>
        </is>
      </c>
    </row>
    <row r="1748">
      <c r="A1748" t="inlineStr">
        <is>
          <t>mx-mexico-city</t>
        </is>
      </c>
      <c r="B1748" t="inlineStr">
        <is>
          <t>Mexico City</t>
        </is>
      </c>
      <c r="C1748" t="inlineStr">
        <is>
          <t>Mexico</t>
        </is>
      </c>
      <c r="D1748" t="inlineStr">
        <is>
          <t>North America</t>
        </is>
      </c>
      <c r="E1748" t="inlineStr">
        <is>
          <t>food_cost</t>
        </is>
      </c>
      <c r="F1748" t="inlineStr">
        <is>
          <t>Food cost</t>
        </is>
      </c>
      <c r="G1748" t="inlineStr">
        <is>
          <t>pressure</t>
        </is>
      </c>
      <c r="H1748" t="inlineStr">
        <is>
          <t>yes</t>
        </is>
      </c>
      <c r="I1748" t="inlineStr">
        <is>
          <t>420.89</t>
        </is>
      </c>
      <c r="J1748" t="inlineStr">
        <is>
          <t>world_bank_col_estimate</t>
        </is>
      </c>
      <c r="K1748" t="inlineStr">
        <is>
          <t>https://api.worldbank.org/v2/country/MEX/indicator/NY.GNP.PCAP.PP.CD?format=json&amp;mrv=10</t>
        </is>
      </c>
      <c r="L1748" t="inlineStr">
        <is>
          <t>World Bank GNI + regional expenditure ratio estimate</t>
        </is>
      </c>
      <c r="M1748" t="inlineStr">
        <is>
          <t>2024-12-31</t>
        </is>
      </c>
      <c r="N1748" t="inlineStr">
        <is>
          <t>auto_ingest=world_bank_col_estimate; gni_annual=25460.0; year=2024; country_proxy=Mexico; cohort=North America; city_cost_mult=1.15</t>
        </is>
      </c>
    </row>
    <row r="1749">
      <c r="A1749" t="inlineStr">
        <is>
          <t>mx-mexico-city</t>
        </is>
      </c>
      <c r="B1749" t="inlineStr">
        <is>
          <t>Mexico City</t>
        </is>
      </c>
      <c r="C1749" t="inlineStr">
        <is>
          <t>Mexico</t>
        </is>
      </c>
      <c r="D1749" t="inlineStr">
        <is>
          <t>North America</t>
        </is>
      </c>
      <c r="E1749" t="inlineStr">
        <is>
          <t>housing_burden_raw</t>
        </is>
      </c>
      <c r="F1749" t="inlineStr">
        <is>
          <t>Housing burden raw</t>
        </is>
      </c>
      <c r="G1749" t="inlineStr">
        <is>
          <t>pressure</t>
        </is>
      </c>
      <c r="H1749" t="inlineStr">
        <is>
          <t>yes</t>
        </is>
      </c>
      <c r="I1749" t="inlineStr">
        <is>
          <t>40.2501</t>
        </is>
      </c>
      <c r="J1749" t="inlineStr">
        <is>
          <t>derived</t>
        </is>
      </c>
      <c r="K1749" t="inlineStr">
        <is>
          <t>https://data.worldbank.org/indicator/NY.GNP.PCAP.PP.CD</t>
        </is>
      </c>
      <c r="L1749" t="inlineStr">
        <is>
          <t>Computed from city_inputs + country_context</t>
        </is>
      </c>
      <c r="M1749" t="inlineStr">
        <is>
          <t>2024-01-01</t>
        </is>
      </c>
      <c r="N1749" t="inlineStr">
        <is>
          <t>derived=rent/gross_income*100</t>
        </is>
      </c>
    </row>
    <row r="1750">
      <c r="A1750" t="inlineStr">
        <is>
          <t>mx-mexico-city</t>
        </is>
      </c>
      <c r="B1750" t="inlineStr">
        <is>
          <t>Mexico City</t>
        </is>
      </c>
      <c r="C1750" t="inlineStr">
        <is>
          <t>Mexico</t>
        </is>
      </c>
      <c r="D1750" t="inlineStr">
        <is>
          <t>North America</t>
        </is>
      </c>
      <c r="E1750" t="inlineStr">
        <is>
          <t>household_debt_burden_raw</t>
        </is>
      </c>
      <c r="F1750" t="inlineStr">
        <is>
          <t>Household debt burden raw</t>
        </is>
      </c>
      <c r="G1750" t="inlineStr">
        <is>
          <t>pressure</t>
        </is>
      </c>
      <c r="H1750" t="inlineStr">
        <is>
          <t>yes</t>
        </is>
      </c>
      <c r="I1750" t="inlineStr">
        <is>
          <t>26.5628</t>
        </is>
      </c>
      <c r="J1750" t="inlineStr">
        <is>
          <t>derived</t>
        </is>
      </c>
      <c r="K1750" t="inlineStr">
        <is>
          <t>https://data.worldbank.org/indicator/NY.GNP.PCAP.PP.CD</t>
        </is>
      </c>
      <c r="L1750" t="inlineStr">
        <is>
          <t>Computed from city_inputs + country_context</t>
        </is>
      </c>
      <c r="M1750" t="inlineStr">
        <is>
          <t>2024-01-01</t>
        </is>
      </c>
      <c r="N1750" t="inlineStr">
        <is>
          <t>derived=country_context.household_debt_proxy; country=Mexico</t>
        </is>
      </c>
    </row>
    <row r="1751">
      <c r="A1751" t="inlineStr">
        <is>
          <t>mx-mexico-city</t>
        </is>
      </c>
      <c r="B1751" t="inlineStr">
        <is>
          <t>Mexico City</t>
        </is>
      </c>
      <c r="C1751" t="inlineStr">
        <is>
          <t>Mexico</t>
        </is>
      </c>
      <c r="D1751" t="inlineStr">
        <is>
          <t>North America</t>
        </is>
      </c>
      <c r="E1751" t="inlineStr">
        <is>
          <t>working_time_pressure_raw</t>
        </is>
      </c>
      <c r="F1751" t="inlineStr">
        <is>
          <t>Working time pressure raw</t>
        </is>
      </c>
      <c r="G1751" t="inlineStr">
        <is>
          <t>pressure</t>
        </is>
      </c>
      <c r="H1751" t="inlineStr">
        <is>
          <t>yes</t>
        </is>
      </c>
      <c r="I1751" t="inlineStr">
        <is>
          <t>42.19</t>
        </is>
      </c>
      <c r="J1751" t="inlineStr">
        <is>
          <t>ilo_ilostat</t>
        </is>
      </c>
      <c r="K1751" t="inlineStr">
        <is>
          <t>https://ilostat.ilo.org/data/indicator/?id=HOW_TEMP_SEX_ECO_NB_A&amp;ref_area=MEX</t>
        </is>
      </c>
      <c r="L1751" t="inlineStr">
        <is>
          <t>ILO ILOSTAT: Mean weekly hours actually worked per employed person</t>
        </is>
      </c>
      <c r="M1751" t="inlineStr">
        <is>
          <t>2024-12-31</t>
        </is>
      </c>
      <c r="N1751" t="inlineStr">
        <is>
          <t>auto_ingest=ilo_working_hours; indicator=HOW_TEMP_SEX_ECO_NB_A; year=2024; hours=42.19; country_proxy=Mexico</t>
        </is>
      </c>
    </row>
    <row r="1752">
      <c r="A1752" t="inlineStr">
        <is>
          <t>mx-mexico-city</t>
        </is>
      </c>
      <c r="B1752" t="inlineStr">
        <is>
          <t>Mexico City</t>
        </is>
      </c>
      <c r="C1752" t="inlineStr">
        <is>
          <t>Mexico</t>
        </is>
      </c>
      <c r="D1752" t="inlineStr">
        <is>
          <t>North America</t>
        </is>
      </c>
      <c r="E1752" t="inlineStr">
        <is>
          <t>suicide_mental_strain_raw</t>
        </is>
      </c>
      <c r="F1752" t="inlineStr">
        <is>
          <t>Suicide or mental strain raw</t>
        </is>
      </c>
      <c r="G1752" t="inlineStr">
        <is>
          <t>pressure</t>
        </is>
      </c>
      <c r="H1752" t="inlineStr">
        <is>
          <t>yes</t>
        </is>
      </c>
      <c r="I1752" t="inlineStr">
        <is>
          <t>6.95</t>
        </is>
      </c>
      <c r="J1752" t="inlineStr">
        <is>
          <t>who_gho</t>
        </is>
      </c>
      <c r="K1752" t="inlineStr">
        <is>
          <t>https://www.who.int/data/gho/data/indicators/indicator-details/GHO/SDGSUICIDE</t>
        </is>
      </c>
      <c r="L1752" t="inlineStr">
        <is>
          <t>WHO GHO: Age-standardized suicide rate (per 100,000 population)</t>
        </is>
      </c>
      <c r="M1752" t="inlineStr">
        <is>
          <t>2021-12-31</t>
        </is>
      </c>
      <c r="N1752" t="inlineStr">
        <is>
          <t>auto_ingest=who_gho; indicator=SDGSUICIDE; year=2021; country_proxy=Mexico</t>
        </is>
      </c>
    </row>
    <row r="1753">
      <c r="A1753" t="inlineStr">
        <is>
          <t>mx-mexico-city</t>
        </is>
      </c>
      <c r="B1753" t="inlineStr">
        <is>
          <t>Mexico City</t>
        </is>
      </c>
      <c r="C1753" t="inlineStr">
        <is>
          <t>Mexico</t>
        </is>
      </c>
      <c r="D1753" t="inlineStr">
        <is>
          <t>North America</t>
        </is>
      </c>
      <c r="E1753" t="inlineStr">
        <is>
          <t>personal_safety_raw</t>
        </is>
      </c>
      <c r="F1753" t="inlineStr">
        <is>
          <t>Personal safety raw</t>
        </is>
      </c>
      <c r="G1753" t="inlineStr">
        <is>
          <t>viability</t>
        </is>
      </c>
      <c r="H1753" t="inlineStr">
        <is>
          <t>yes</t>
        </is>
      </c>
      <c r="I1753" t="inlineStr">
        <is>
          <t>24.86</t>
        </is>
      </c>
      <c r="J1753" t="inlineStr">
        <is>
          <t>world_bank</t>
        </is>
      </c>
      <c r="K1753" t="inlineStr">
        <is>
          <t>https://api.worldbank.org/v2/country/MEX/indicator/VC.IHR.PSRC.P5?format=json&amp;mrv=10</t>
        </is>
      </c>
      <c r="L1753" t="inlineStr">
        <is>
          <t>UNODC via World Bank WDI: Intentional homicides (per 100,000 people)</t>
        </is>
      </c>
      <c r="M1753" t="inlineStr">
        <is>
          <t>2023-12-31</t>
        </is>
      </c>
      <c r="N1753" t="inlineStr">
        <is>
          <t>auto_ingest=unodc_safety; indicator=VC.IHR.PSRC.P5; year=2023; country_proxy=Mexico</t>
        </is>
      </c>
    </row>
    <row r="1754">
      <c r="A1754" t="inlineStr">
        <is>
          <t>mx-mexico-city</t>
        </is>
      </c>
      <c r="B1754" t="inlineStr">
        <is>
          <t>Mexico City</t>
        </is>
      </c>
      <c r="C1754" t="inlineStr">
        <is>
          <t>Mexico</t>
        </is>
      </c>
      <c r="D1754" t="inlineStr">
        <is>
          <t>North America</t>
        </is>
      </c>
      <c r="E1754" t="inlineStr">
        <is>
          <t>transit_access_commute_raw</t>
        </is>
      </c>
      <c r="F1754" t="inlineStr">
        <is>
          <t>Transit access and commute raw</t>
        </is>
      </c>
      <c r="G1754" t="inlineStr">
        <is>
          <t>viability</t>
        </is>
      </c>
      <c r="H1754" t="inlineStr">
        <is>
          <t>yes</t>
        </is>
      </c>
      <c r="I1754" t="inlineStr"/>
      <c r="J1754" t="inlineStr"/>
      <c r="K1754" t="inlineStr"/>
      <c r="L1754" t="inlineStr"/>
      <c r="M1754" t="inlineStr"/>
      <c r="N1754" t="inlineStr"/>
    </row>
    <row r="1755">
      <c r="A1755" t="inlineStr">
        <is>
          <t>mx-mexico-city</t>
        </is>
      </c>
      <c r="B1755" t="inlineStr">
        <is>
          <t>Mexico City</t>
        </is>
      </c>
      <c r="C1755" t="inlineStr">
        <is>
          <t>Mexico</t>
        </is>
      </c>
      <c r="D1755" t="inlineStr">
        <is>
          <t>North America</t>
        </is>
      </c>
      <c r="E1755" t="inlineStr">
        <is>
          <t>clean_air_raw</t>
        </is>
      </c>
      <c r="F1755" t="inlineStr">
        <is>
          <t>Clean air raw</t>
        </is>
      </c>
      <c r="G1755" t="inlineStr">
        <is>
          <t>viability</t>
        </is>
      </c>
      <c r="H1755" t="inlineStr">
        <is>
          <t>yes</t>
        </is>
      </c>
      <c r="I1755" t="inlineStr"/>
      <c r="J1755" t="inlineStr"/>
      <c r="K1755" t="inlineStr"/>
      <c r="L1755" t="inlineStr"/>
      <c r="M1755" t="inlineStr"/>
      <c r="N1755" t="inlineStr"/>
    </row>
    <row r="1756">
      <c r="A1756" t="inlineStr">
        <is>
          <t>mx-mexico-city</t>
        </is>
      </c>
      <c r="B1756" t="inlineStr">
        <is>
          <t>Mexico City</t>
        </is>
      </c>
      <c r="C1756" t="inlineStr">
        <is>
          <t>Mexico</t>
        </is>
      </c>
      <c r="D1756" t="inlineStr">
        <is>
          <t>North America</t>
        </is>
      </c>
      <c r="E1756" t="inlineStr">
        <is>
          <t>water_sanitation_utility_raw</t>
        </is>
      </c>
      <c r="F1756" t="inlineStr">
        <is>
          <t>Water, sanitation, and utility raw</t>
        </is>
      </c>
      <c r="G1756" t="inlineStr">
        <is>
          <t>viability</t>
        </is>
      </c>
      <c r="H1756" t="inlineStr">
        <is>
          <t>yes</t>
        </is>
      </c>
      <c r="I1756" t="inlineStr">
        <is>
          <t>42.97</t>
        </is>
      </c>
      <c r="J1756" t="inlineStr">
        <is>
          <t>world_bank</t>
        </is>
      </c>
      <c r="K1756" t="inlineStr">
        <is>
          <t>https://api.worldbank.org/v2/country/MEX/indicator/SH.H2O.SMDW.ZS?format=json&amp;mrv=10</t>
        </is>
      </c>
      <c r="L1756" t="inlineStr">
        <is>
          <t>World Bank WDI: People using safely managed drinking water services (% of population)</t>
        </is>
      </c>
      <c r="M1756" t="inlineStr">
        <is>
          <t>2024-12-31</t>
        </is>
      </c>
      <c r="N1756" t="inlineStr">
        <is>
          <t>auto_ingest=world_bank_proxy; indicator=SH.H2O.SMDW.ZS; year=2024; country_proxy=Mexico</t>
        </is>
      </c>
    </row>
    <row r="1757">
      <c r="A1757" t="inlineStr">
        <is>
          <t>mx-mexico-city</t>
        </is>
      </c>
      <c r="B1757" t="inlineStr">
        <is>
          <t>Mexico City</t>
        </is>
      </c>
      <c r="C1757" t="inlineStr">
        <is>
          <t>Mexico</t>
        </is>
      </c>
      <c r="D1757" t="inlineStr">
        <is>
          <t>North America</t>
        </is>
      </c>
      <c r="E1757" t="inlineStr">
        <is>
          <t>digital_infrastructure_raw</t>
        </is>
      </c>
      <c r="F1757" t="inlineStr">
        <is>
          <t>Digital infrastructure raw</t>
        </is>
      </c>
      <c r="G1757" t="inlineStr">
        <is>
          <t>viability</t>
        </is>
      </c>
      <c r="H1757" t="inlineStr">
        <is>
          <t>yes</t>
        </is>
      </c>
      <c r="I1757" t="inlineStr">
        <is>
          <t>20.09</t>
        </is>
      </c>
      <c r="J1757" t="inlineStr">
        <is>
          <t>world_bank</t>
        </is>
      </c>
      <c r="K1757" t="inlineStr">
        <is>
          <t>https://api.worldbank.org/v2/country/MEX/indicator/IT.NET.BBND.P2?format=json&amp;mrv=10</t>
        </is>
      </c>
      <c r="L1757" t="inlineStr">
        <is>
          <t>World Bank WDI: Fixed broadband subscriptions (per 100 people)</t>
        </is>
      </c>
      <c r="M1757" t="inlineStr">
        <is>
          <t>2023-12-31</t>
        </is>
      </c>
      <c r="N1757" t="inlineStr">
        <is>
          <t>auto_ingest=world_bank_proxy; indicator=IT.NET.BBND.P2; year=2023; country_proxy=Mexico</t>
        </is>
      </c>
    </row>
    <row r="1758">
      <c r="A1758" t="inlineStr">
        <is>
          <t>mx-mexico-city</t>
        </is>
      </c>
      <c r="B1758" t="inlineStr">
        <is>
          <t>Mexico City</t>
        </is>
      </c>
      <c r="C1758" t="inlineStr">
        <is>
          <t>Mexico</t>
        </is>
      </c>
      <c r="D1758" t="inlineStr">
        <is>
          <t>North America</t>
        </is>
      </c>
      <c r="E1758" t="inlineStr">
        <is>
          <t>climate_sunlight_livability_raw</t>
        </is>
      </c>
      <c r="F1758" t="inlineStr">
        <is>
          <t>Climate and sunlight livability raw</t>
        </is>
      </c>
      <c r="G1758" t="inlineStr">
        <is>
          <t>viability</t>
        </is>
      </c>
      <c r="H1758" t="inlineStr">
        <is>
          <t>yes</t>
        </is>
      </c>
      <c r="I1758" t="inlineStr">
        <is>
          <t>66</t>
        </is>
      </c>
      <c r="J1758" t="inlineStr">
        <is>
          <t>wmo_natl_met</t>
        </is>
      </c>
      <c r="K1758" t="inlineStr">
        <is>
          <t>https://worldweather.wmo.int</t>
        </is>
      </c>
      <c r="L1758" t="inlineStr">
        <is>
          <t>WMO/National Met: Climate livability composite</t>
        </is>
      </c>
      <c r="M1758" t="inlineStr">
        <is>
          <t>2024-12-31</t>
        </is>
      </c>
      <c r="N1758" t="inlineStr">
        <is>
          <t>auto_seed=climate_composite; 2500 sun hrs, 16C mean, eternal spring, altitude</t>
        </is>
      </c>
    </row>
    <row r="1759">
      <c r="A1759" t="inlineStr">
        <is>
          <t>mx-mexico-city</t>
        </is>
      </c>
      <c r="B1759" t="inlineStr">
        <is>
          <t>Mexico City</t>
        </is>
      </c>
      <c r="C1759" t="inlineStr">
        <is>
          <t>Mexico</t>
        </is>
      </c>
      <c r="D1759" t="inlineStr">
        <is>
          <t>North America</t>
        </is>
      </c>
      <c r="E1759" t="inlineStr">
        <is>
          <t>healthcare_quality_raw</t>
        </is>
      </c>
      <c r="F1759" t="inlineStr">
        <is>
          <t>Healthcare quality raw</t>
        </is>
      </c>
      <c r="G1759" t="inlineStr">
        <is>
          <t>capability</t>
        </is>
      </c>
      <c r="H1759" t="inlineStr">
        <is>
          <t>yes</t>
        </is>
      </c>
      <c r="I1759" t="inlineStr">
        <is>
          <t>79.0</t>
        </is>
      </c>
      <c r="J1759" t="inlineStr">
        <is>
          <t>who_gho</t>
        </is>
      </c>
      <c r="K1759" t="inlineStr">
        <is>
          <t>https://www.who.int/data/gho/data/indicators/indicator-details/GHO/UHC_INDEX_REPORTED</t>
        </is>
      </c>
      <c r="L1759" t="inlineStr">
        <is>
          <t>WHO GHO: UHC Service Coverage Index</t>
        </is>
      </c>
      <c r="M1759" t="inlineStr">
        <is>
          <t>2023-12-31</t>
        </is>
      </c>
      <c r="N1759" t="inlineStr">
        <is>
          <t>auto_ingest=who_gho; indicator=UHC_INDEX_REPORTED; year=2023; country_proxy=Mexico</t>
        </is>
      </c>
    </row>
    <row r="1760">
      <c r="A1760" t="inlineStr">
        <is>
          <t>mx-mexico-city</t>
        </is>
      </c>
      <c r="B1760" t="inlineStr">
        <is>
          <t>Mexico City</t>
        </is>
      </c>
      <c r="C1760" t="inlineStr">
        <is>
          <t>Mexico</t>
        </is>
      </c>
      <c r="D1760" t="inlineStr">
        <is>
          <t>North America</t>
        </is>
      </c>
      <c r="E1760" t="inlineStr">
        <is>
          <t>education_quality_raw</t>
        </is>
      </c>
      <c r="F1760" t="inlineStr">
        <is>
          <t>Education quality raw</t>
        </is>
      </c>
      <c r="G1760" t="inlineStr">
        <is>
          <t>capability</t>
        </is>
      </c>
      <c r="H1760" t="inlineStr">
        <is>
          <t>yes</t>
        </is>
      </c>
      <c r="I1760" t="inlineStr">
        <is>
          <t>47.47</t>
        </is>
      </c>
      <c r="J1760" t="inlineStr">
        <is>
          <t>world_bank</t>
        </is>
      </c>
      <c r="K1760" t="inlineStr">
        <is>
          <t>https://api.worldbank.org/v2/country/MEX/indicator/SE.TER.ENRR?format=json&amp;mrv=10</t>
        </is>
      </c>
      <c r="L1760" t="inlineStr">
        <is>
          <t>World Bank WDI: School enrollment, tertiary (% gross)</t>
        </is>
      </c>
      <c r="M1760" t="inlineStr">
        <is>
          <t>2023-12-31</t>
        </is>
      </c>
      <c r="N1760" t="inlineStr">
        <is>
          <t>auto_ingest=world_bank_proxy; indicator=SE.TER.ENRR; year=2023; country_proxy=Mexico</t>
        </is>
      </c>
    </row>
    <row r="1761">
      <c r="A1761" t="inlineStr">
        <is>
          <t>mx-mexico-city</t>
        </is>
      </c>
      <c r="B1761" t="inlineStr">
        <is>
          <t>Mexico City</t>
        </is>
      </c>
      <c r="C1761" t="inlineStr">
        <is>
          <t>Mexico</t>
        </is>
      </c>
      <c r="D1761" t="inlineStr">
        <is>
          <t>North America</t>
        </is>
      </c>
      <c r="E1761" t="inlineStr">
        <is>
          <t>equal_opportunity_raw</t>
        </is>
      </c>
      <c r="F1761" t="inlineStr">
        <is>
          <t>Equal opportunity raw</t>
        </is>
      </c>
      <c r="G1761" t="inlineStr">
        <is>
          <t>capability</t>
        </is>
      </c>
      <c r="H1761" t="inlineStr">
        <is>
          <t>yes</t>
        </is>
      </c>
      <c r="I1761" t="inlineStr">
        <is>
          <t>43.5</t>
        </is>
      </c>
      <c r="J1761" t="inlineStr">
        <is>
          <t>world_bank</t>
        </is>
      </c>
      <c r="K1761" t="inlineStr">
        <is>
          <t>https://api.worldbank.org/v2/country/MEX/indicator/SI.POV.GINI?format=json&amp;mrv=10</t>
        </is>
      </c>
      <c r="L1761" t="inlineStr">
        <is>
          <t>World Bank WDI: Gini index</t>
        </is>
      </c>
      <c r="M1761" t="inlineStr">
        <is>
          <t>2022-12-31</t>
        </is>
      </c>
      <c r="N1761" t="inlineStr">
        <is>
          <t>auto_ingest=world_bank_capability; indicator=SI.POV.GINI; year=2022; country_proxy=Mexico</t>
        </is>
      </c>
    </row>
    <row r="1762">
      <c r="A1762" t="inlineStr">
        <is>
          <t>mx-mexico-city</t>
        </is>
      </c>
      <c r="B1762" t="inlineStr">
        <is>
          <t>Mexico City</t>
        </is>
      </c>
      <c r="C1762" t="inlineStr">
        <is>
          <t>Mexico</t>
        </is>
      </c>
      <c r="D1762" t="inlineStr">
        <is>
          <t>North America</t>
        </is>
      </c>
      <c r="E1762" t="inlineStr">
        <is>
          <t>hospitality_belonging_raw</t>
        </is>
      </c>
      <c r="F1762" t="inlineStr">
        <is>
          <t>Hospitality and belonging raw</t>
        </is>
      </c>
      <c r="G1762" t="inlineStr">
        <is>
          <t>community</t>
        </is>
      </c>
      <c r="H1762" t="inlineStr">
        <is>
          <t>yes</t>
        </is>
      </c>
      <c r="I1762" t="inlineStr">
        <is>
          <t>49.17</t>
        </is>
      </c>
      <c r="J1762" t="inlineStr">
        <is>
          <t>world_bank</t>
        </is>
      </c>
      <c r="K1762" t="inlineStr">
        <is>
          <t>https://api.worldbank.org/v2/country/MEX/indicator/SM.POP.NETM?format=json&amp;mrv=10</t>
        </is>
      </c>
      <c r="L1762" t="inlineStr">
        <is>
          <t>World Bank WDI: Net migration (proxy for hospitality/belonging — positive = welcoming)</t>
        </is>
      </c>
      <c r="M1762" t="inlineStr">
        <is>
          <t>2025-12-31</t>
        </is>
      </c>
      <c r="N1762" t="inlineStr">
        <is>
          <t>auto_ingest=world_bank_proxy; proxy=net_migration_hospitality; indicator=SM.POP.NETM; year=2025; country_proxy=Mexico</t>
        </is>
      </c>
    </row>
    <row r="1763">
      <c r="A1763" t="inlineStr">
        <is>
          <t>mx-mexico-city</t>
        </is>
      </c>
      <c r="B1763" t="inlineStr">
        <is>
          <t>Mexico City</t>
        </is>
      </c>
      <c r="C1763" t="inlineStr">
        <is>
          <t>Mexico</t>
        </is>
      </c>
      <c r="D1763" t="inlineStr">
        <is>
          <t>North America</t>
        </is>
      </c>
      <c r="E1763" t="inlineStr">
        <is>
          <t>tolerance_pluralism_raw</t>
        </is>
      </c>
      <c r="F1763" t="inlineStr">
        <is>
          <t>Tolerance and pluralism raw</t>
        </is>
      </c>
      <c r="G1763" t="inlineStr">
        <is>
          <t>community</t>
        </is>
      </c>
      <c r="H1763" t="inlineStr">
        <is>
          <t>yes</t>
        </is>
      </c>
      <c r="I1763" t="inlineStr">
        <is>
          <t>50.2</t>
        </is>
      </c>
      <c r="J1763" t="inlineStr">
        <is>
          <t>world_bank</t>
        </is>
      </c>
      <c r="K1763" t="inlineStr">
        <is>
          <t>https://api.worldbank.org/v2/country/MEX/indicator/SG.GEN.PARL.ZS?format=json&amp;mrv=10</t>
        </is>
      </c>
      <c r="L1763" t="inlineStr">
        <is>
          <t>World Bank WDI: Proportion of seats held by women in national parliaments (%)</t>
        </is>
      </c>
      <c r="M1763" t="inlineStr">
        <is>
          <t>2024-12-31</t>
        </is>
      </c>
      <c r="N1763" t="inlineStr">
        <is>
          <t>auto_ingest=world_bank_proxy; proxy=gender_parity_parliament; indicator=SG.GEN.PARL.ZS; year=2024; country_proxy=Mexico</t>
        </is>
      </c>
    </row>
    <row r="1764">
      <c r="A1764" t="inlineStr">
        <is>
          <t>mx-mexico-city</t>
        </is>
      </c>
      <c r="B1764" t="inlineStr">
        <is>
          <t>Mexico City</t>
        </is>
      </c>
      <c r="C1764" t="inlineStr">
        <is>
          <t>Mexico</t>
        </is>
      </c>
      <c r="D1764" t="inlineStr">
        <is>
          <t>North America</t>
        </is>
      </c>
      <c r="E1764" t="inlineStr">
        <is>
          <t>cultural_public_life_raw</t>
        </is>
      </c>
      <c r="F1764" t="inlineStr">
        <is>
          <t>Cultural public life raw</t>
        </is>
      </c>
      <c r="G1764" t="inlineStr">
        <is>
          <t>community</t>
        </is>
      </c>
      <c r="H1764" t="inlineStr">
        <is>
          <t>yes</t>
        </is>
      </c>
      <c r="I1764" t="inlineStr">
        <is>
          <t>390.7</t>
        </is>
      </c>
      <c r="J1764" t="inlineStr">
        <is>
          <t>world_bank</t>
        </is>
      </c>
      <c r="K1764" t="inlineStr">
        <is>
          <t>https://api.worldbank.org/v2/country/MEX/indicator/ST.INT.ARVL?format=json&amp;mrv=10</t>
        </is>
      </c>
      <c r="L1764" t="inlineStr">
        <is>
          <t>World Bank WDI: International tourism arrivals per 1 000 population</t>
        </is>
      </c>
      <c r="M1764" t="inlineStr">
        <is>
          <t>2020-12-31</t>
        </is>
      </c>
      <c r="N1764" t="inlineStr">
        <is>
          <t>auto_ingest=cultural_life_proxy; indicator=ST.INT.ARVL; norm=per_1000_pop; year=2020; country_proxy=Mexico</t>
        </is>
      </c>
    </row>
    <row r="1765">
      <c r="A1765" t="inlineStr">
        <is>
          <t>mx-mexico-city</t>
        </is>
      </c>
      <c r="B1765" t="inlineStr">
        <is>
          <t>Mexico City</t>
        </is>
      </c>
      <c r="C1765" t="inlineStr">
        <is>
          <t>Mexico</t>
        </is>
      </c>
      <c r="D1765" t="inlineStr">
        <is>
          <t>North America</t>
        </is>
      </c>
      <c r="E1765" t="inlineStr">
        <is>
          <t>birth_rate_optimism_raw</t>
        </is>
      </c>
      <c r="F1765" t="inlineStr">
        <is>
          <t>Birth rate and societal optimism raw</t>
        </is>
      </c>
      <c r="G1765" t="inlineStr">
        <is>
          <t>community</t>
        </is>
      </c>
      <c r="H1765" t="inlineStr">
        <is>
          <t>yes</t>
        </is>
      </c>
      <c r="I1765" t="inlineStr">
        <is>
          <t>1.8</t>
        </is>
      </c>
      <c r="J1765" t="inlineStr">
        <is>
          <t>world_bank</t>
        </is>
      </c>
      <c r="K1765" t="inlineStr">
        <is>
          <t>https://data.worldbank.org/indicator/SP.DYN.TFRT.IN</t>
        </is>
      </c>
      <c r="L1765" t="inlineStr">
        <is>
          <t>World Bank Total Fertility Rate 2023</t>
        </is>
      </c>
      <c r="M1765" t="inlineStr">
        <is>
          <t>2024-01-01</t>
        </is>
      </c>
      <c r="N1765" t="inlineStr"/>
    </row>
    <row r="1766">
      <c r="A1766" t="inlineStr">
        <is>
          <t>mx-mexico-city</t>
        </is>
      </c>
      <c r="B1766" t="inlineStr">
        <is>
          <t>Mexico City</t>
        </is>
      </c>
      <c r="C1766" t="inlineStr">
        <is>
          <t>Mexico</t>
        </is>
      </c>
      <c r="D1766" t="inlineStr">
        <is>
          <t>North America</t>
        </is>
      </c>
      <c r="E1766" t="inlineStr">
        <is>
          <t>entrepreneurial_dynamism_raw</t>
        </is>
      </c>
      <c r="F1766" t="inlineStr">
        <is>
          <t>Entrepreneurial dynamism raw</t>
        </is>
      </c>
      <c r="G1766" t="inlineStr">
        <is>
          <t>creative</t>
        </is>
      </c>
      <c r="H1766" t="inlineStr">
        <is>
          <t>yes</t>
        </is>
      </c>
      <c r="I1766" t="inlineStr">
        <is>
          <t>0.88</t>
        </is>
      </c>
      <c r="J1766" t="inlineStr">
        <is>
          <t>world_bank</t>
        </is>
      </c>
      <c r="K1766" t="inlineStr">
        <is>
          <t>https://api.worldbank.org/v2/country/MEX/indicator/IC.BUS.NDNS.ZS?format=json&amp;mrv=10</t>
        </is>
      </c>
      <c r="L1766" t="inlineStr">
        <is>
          <t>World Bank WDI: New business density (new registrations per 1,000 people ages 15-64)</t>
        </is>
      </c>
      <c r="M1766" t="inlineStr">
        <is>
          <t>2022-12-31</t>
        </is>
      </c>
      <c r="N1766" t="inlineStr">
        <is>
          <t>auto_ingest=world_bank_creative_extended; indicator=IC.BUS.NDNS.ZS; year=2022; country_proxy=Mexico</t>
        </is>
      </c>
    </row>
    <row r="1767">
      <c r="A1767" t="inlineStr">
        <is>
          <t>mx-mexico-city</t>
        </is>
      </c>
      <c r="B1767" t="inlineStr">
        <is>
          <t>Mexico City</t>
        </is>
      </c>
      <c r="C1767" t="inlineStr">
        <is>
          <t>Mexico</t>
        </is>
      </c>
      <c r="D1767" t="inlineStr">
        <is>
          <t>North America</t>
        </is>
      </c>
      <c r="E1767" t="inlineStr">
        <is>
          <t>innovation_research_intensity_raw</t>
        </is>
      </c>
      <c r="F1767" t="inlineStr">
        <is>
          <t>Innovation and research raw</t>
        </is>
      </c>
      <c r="G1767" t="inlineStr">
        <is>
          <t>creative</t>
        </is>
      </c>
      <c r="H1767" t="inlineStr">
        <is>
          <t>yes</t>
        </is>
      </c>
      <c r="I1767" t="inlineStr">
        <is>
          <t>0.27</t>
        </is>
      </c>
      <c r="J1767" t="inlineStr">
        <is>
          <t>world_bank</t>
        </is>
      </c>
      <c r="K1767" t="inlineStr">
        <is>
          <t>https://api.worldbank.org/v2/country/MEX/indicator/GB.XPD.RSDV.GD.ZS?format=json&amp;mrv=10</t>
        </is>
      </c>
      <c r="L1767" t="inlineStr">
        <is>
          <t>World Bank WDI: Research and development expenditure (% of GDP)</t>
        </is>
      </c>
      <c r="M1767" t="inlineStr">
        <is>
          <t>2023-12-31</t>
        </is>
      </c>
      <c r="N1767" t="inlineStr">
        <is>
          <t>auto_ingest=world_bank_creative_extended; indicator=GB.XPD.RSDV.GD.ZS; year=2023; country_proxy=Mexico</t>
        </is>
      </c>
    </row>
    <row r="1768">
      <c r="A1768" t="inlineStr">
        <is>
          <t>mx-mexico-city</t>
        </is>
      </c>
      <c r="B1768" t="inlineStr">
        <is>
          <t>Mexico City</t>
        </is>
      </c>
      <c r="C1768" t="inlineStr">
        <is>
          <t>Mexico</t>
        </is>
      </c>
      <c r="D1768" t="inlineStr">
        <is>
          <t>North America</t>
        </is>
      </c>
      <c r="E1768" t="inlineStr">
        <is>
          <t>investment_signal_raw</t>
        </is>
      </c>
      <c r="F1768" t="inlineStr">
        <is>
          <t>Investment signal raw</t>
        </is>
      </c>
      <c r="G1768" t="inlineStr">
        <is>
          <t>creative</t>
        </is>
      </c>
      <c r="H1768" t="inlineStr">
        <is>
          <t>yes</t>
        </is>
      </c>
      <c r="I1768" t="inlineStr">
        <is>
          <t>2.45</t>
        </is>
      </c>
      <c r="J1768" t="inlineStr">
        <is>
          <t>world_bank</t>
        </is>
      </c>
      <c r="K1768" t="inlineStr">
        <is>
          <t>https://api.worldbank.org/v2/country/MEX/indicator/BX.KLT.DINV.WD.GD.ZS?format=json&amp;mrv=10</t>
        </is>
      </c>
      <c r="L1768" t="inlineStr">
        <is>
          <t>World Bank WDI: Foreign direct investment, net inflows (% of GDP)</t>
        </is>
      </c>
      <c r="M1768" t="inlineStr">
        <is>
          <t>2024-12-31</t>
        </is>
      </c>
      <c r="N1768" t="inlineStr">
        <is>
          <t>auto_ingest=world_bank_creative_extended; indicator=BX.KLT.DINV.WD.GD.ZS; year=2024; country_proxy=Mexico</t>
        </is>
      </c>
    </row>
    <row r="1769">
      <c r="A1769" t="inlineStr">
        <is>
          <t>mx-mexico-city</t>
        </is>
      </c>
      <c r="B1769" t="inlineStr">
        <is>
          <t>Mexico City</t>
        </is>
      </c>
      <c r="C1769" t="inlineStr">
        <is>
          <t>Mexico</t>
        </is>
      </c>
      <c r="D1769" t="inlineStr">
        <is>
          <t>North America</t>
        </is>
      </c>
      <c r="E1769" t="inlineStr">
        <is>
          <t>administrative_investment_friction_raw</t>
        </is>
      </c>
      <c r="F1769" t="inlineStr">
        <is>
          <t>Administrative investment friction raw</t>
        </is>
      </c>
      <c r="G1769" t="inlineStr">
        <is>
          <t>creative</t>
        </is>
      </c>
      <c r="H1769" t="inlineStr">
        <is>
          <t>yes</t>
        </is>
      </c>
      <c r="I1769" t="inlineStr">
        <is>
          <t>2.67</t>
        </is>
      </c>
      <c r="J1769" t="inlineStr">
        <is>
          <t>world_bank</t>
        </is>
      </c>
      <c r="K1769" t="inlineStr">
        <is>
          <t>https://api.worldbank.org/v2/country/MEX/indicator/RQ.EST?format=json&amp;mrv=10</t>
        </is>
      </c>
      <c r="L1769" t="inlineStr">
        <is>
          <t>World Bank WGI: Regulatory Quality (inverted as friction proxy)</t>
        </is>
      </c>
      <c r="M1769" t="inlineStr">
        <is>
          <t>2023-12-31</t>
        </is>
      </c>
      <c r="N1769" t="inlineStr">
        <is>
          <t>auto_ingest=world_bank_business_friction; indicator=RQ.EST; raw_rq=-0.171988308429718; friction=2.67; year=2023; country_proxy=Mexico</t>
        </is>
      </c>
    </row>
    <row r="1770">
      <c r="A1770" t="inlineStr">
        <is>
          <t>mx-mexico-city</t>
        </is>
      </c>
      <c r="B1770" t="inlineStr">
        <is>
          <t>Mexico City</t>
        </is>
      </c>
      <c r="C1770" t="inlineStr">
        <is>
          <t>Mexico</t>
        </is>
      </c>
      <c r="D1770" t="inlineStr">
        <is>
          <t>North America</t>
        </is>
      </c>
      <c r="E1770" t="inlineStr">
        <is>
          <t>visitor_flow_context_raw</t>
        </is>
      </c>
      <c r="F1770" t="inlineStr">
        <is>
          <t>Visitor flow context raw</t>
        </is>
      </c>
      <c r="G1770" t="inlineStr">
        <is>
          <t>creative</t>
        </is>
      </c>
      <c r="H1770" t="inlineStr">
        <is>
          <t>no</t>
        </is>
      </c>
      <c r="I1770" t="inlineStr"/>
      <c r="J1770" t="inlineStr"/>
      <c r="K1770" t="inlineStr"/>
      <c r="L1770" t="inlineStr"/>
      <c r="M1770" t="inlineStr"/>
      <c r="N1770" t="inlineStr"/>
    </row>
    <row r="1771">
      <c r="A1771" t="inlineStr">
        <is>
          <t>ca-toronto</t>
        </is>
      </c>
      <c r="B1771" t="inlineStr">
        <is>
          <t>Toronto</t>
        </is>
      </c>
      <c r="C1771" t="inlineStr">
        <is>
          <t>Canada</t>
        </is>
      </c>
      <c r="D1771" t="inlineStr">
        <is>
          <t>North America</t>
        </is>
      </c>
      <c r="E1771" t="inlineStr">
        <is>
          <t>gross_income</t>
        </is>
      </c>
      <c r="F1771" t="inlineStr">
        <is>
          <t>Gross income</t>
        </is>
      </c>
      <c r="G1771" t="inlineStr">
        <is>
          <t>pressure</t>
        </is>
      </c>
      <c r="H1771" t="inlineStr">
        <is>
          <t>yes</t>
        </is>
      </c>
      <c r="I1771" t="inlineStr">
        <is>
          <t>5832.75</t>
        </is>
      </c>
      <c r="J1771" t="inlineStr">
        <is>
          <t>world_bank_col_estimate</t>
        </is>
      </c>
      <c r="K1771" t="inlineStr">
        <is>
          <t>https://api.worldbank.org/v2/country/CAN/indicator/NY.GNP.PCAP.PP.CD?format=json&amp;mrv=10</t>
        </is>
      </c>
      <c r="L1771" t="inlineStr">
        <is>
          <t>World Bank WDI: GNI per capita PPP (monthly USD)</t>
        </is>
      </c>
      <c r="M1771" t="inlineStr">
        <is>
          <t>2024-12-31</t>
        </is>
      </c>
      <c r="N1771" t="inlineStr">
        <is>
          <t>auto_ingest=world_bank_col_estimate; gni_annual=63630.0; year=2024; country_proxy=Canada; cohort=North America; city_income_mult=1.1</t>
        </is>
      </c>
    </row>
    <row r="1772">
      <c r="A1772" t="inlineStr">
        <is>
          <t>ca-toronto</t>
        </is>
      </c>
      <c r="B1772" t="inlineStr">
        <is>
          <t>Toronto</t>
        </is>
      </c>
      <c r="C1772" t="inlineStr">
        <is>
          <t>Canada</t>
        </is>
      </c>
      <c r="D1772" t="inlineStr">
        <is>
          <t>North America</t>
        </is>
      </c>
      <c r="E1772" t="inlineStr">
        <is>
          <t>di_ppp_raw</t>
        </is>
      </c>
      <c r="F1772" t="inlineStr">
        <is>
          <t>Disposable income PPP (Raw)</t>
        </is>
      </c>
      <c r="G1772" t="inlineStr">
        <is>
          <t>pressure</t>
        </is>
      </c>
      <c r="H1772" t="inlineStr">
        <is>
          <t>yes</t>
        </is>
      </c>
      <c r="I1772" t="inlineStr"/>
      <c r="J1772" t="inlineStr"/>
      <c r="K1772" t="inlineStr"/>
      <c r="L1772" t="inlineStr"/>
      <c r="M1772" t="inlineStr"/>
      <c r="N1772" t="inlineStr"/>
    </row>
    <row r="1773">
      <c r="A1773" t="inlineStr">
        <is>
          <t>ca-toronto</t>
        </is>
      </c>
      <c r="B1773" t="inlineStr">
        <is>
          <t>Toronto</t>
        </is>
      </c>
      <c r="C1773" t="inlineStr">
        <is>
          <t>Canada</t>
        </is>
      </c>
      <c r="D1773" t="inlineStr">
        <is>
          <t>North America</t>
        </is>
      </c>
      <c r="E1773" t="inlineStr">
        <is>
          <t>rent</t>
        </is>
      </c>
      <c r="F1773" t="inlineStr">
        <is>
          <t>Rent</t>
        </is>
      </c>
      <c r="G1773" t="inlineStr">
        <is>
          <t>pressure</t>
        </is>
      </c>
      <c r="H1773" t="inlineStr">
        <is>
          <t>yes</t>
        </is>
      </c>
      <c r="I1773" t="inlineStr">
        <is>
          <t>2449.75</t>
        </is>
      </c>
      <c r="J1773" t="inlineStr">
        <is>
          <t>world_bank_col_estimate</t>
        </is>
      </c>
      <c r="K1773" t="inlineStr">
        <is>
          <t>https://api.worldbank.org/v2/country/CAN/indicator/NY.GNP.PCAP.PP.CD?format=json&amp;mrv=10</t>
        </is>
      </c>
      <c r="L1773" t="inlineStr">
        <is>
          <t>World Bank GNI + regional expenditure ratio estimate</t>
        </is>
      </c>
      <c r="M1773" t="inlineStr">
        <is>
          <t>2024-12-31</t>
        </is>
      </c>
      <c r="N1773" t="inlineStr">
        <is>
          <t>auto_ingest=world_bank_col_estimate; gni_annual=63630.0; year=2024; country_proxy=Canada; cohort=North America; city_cost_mult=1.2</t>
        </is>
      </c>
    </row>
    <row r="1774">
      <c r="A1774" t="inlineStr">
        <is>
          <t>ca-toronto</t>
        </is>
      </c>
      <c r="B1774" t="inlineStr">
        <is>
          <t>Toronto</t>
        </is>
      </c>
      <c r="C1774" t="inlineStr">
        <is>
          <t>Canada</t>
        </is>
      </c>
      <c r="D1774" t="inlineStr">
        <is>
          <t>North America</t>
        </is>
      </c>
      <c r="E1774" t="inlineStr">
        <is>
          <t>utilities</t>
        </is>
      </c>
      <c r="F1774" t="inlineStr">
        <is>
          <t>Utilities</t>
        </is>
      </c>
      <c r="G1774" t="inlineStr">
        <is>
          <t>pressure</t>
        </is>
      </c>
      <c r="H1774" t="inlineStr">
        <is>
          <t>yes</t>
        </is>
      </c>
      <c r="I1774" t="inlineStr">
        <is>
          <t>489.95</t>
        </is>
      </c>
      <c r="J1774" t="inlineStr">
        <is>
          <t>world_bank_col_estimate</t>
        </is>
      </c>
      <c r="K1774" t="inlineStr">
        <is>
          <t>https://api.worldbank.org/v2/country/CAN/indicator/NY.GNP.PCAP.PP.CD?format=json&amp;mrv=10</t>
        </is>
      </c>
      <c r="L1774" t="inlineStr">
        <is>
          <t>World Bank GNI + regional expenditure ratio estimate</t>
        </is>
      </c>
      <c r="M1774" t="inlineStr">
        <is>
          <t>2024-12-31</t>
        </is>
      </c>
      <c r="N1774" t="inlineStr">
        <is>
          <t>auto_ingest=world_bank_col_estimate; gni_annual=63630.0; year=2024; country_proxy=Canada; cohort=North America; city_cost_mult=1.2</t>
        </is>
      </c>
    </row>
    <row r="1775">
      <c r="A1775" t="inlineStr">
        <is>
          <t>ca-toronto</t>
        </is>
      </c>
      <c r="B1775" t="inlineStr">
        <is>
          <t>Toronto</t>
        </is>
      </c>
      <c r="C1775" t="inlineStr">
        <is>
          <t>Canada</t>
        </is>
      </c>
      <c r="D1775" t="inlineStr">
        <is>
          <t>North America</t>
        </is>
      </c>
      <c r="E1775" t="inlineStr">
        <is>
          <t>transit_cost</t>
        </is>
      </c>
      <c r="F1775" t="inlineStr">
        <is>
          <t>Transit cost</t>
        </is>
      </c>
      <c r="G1775" t="inlineStr">
        <is>
          <t>pressure</t>
        </is>
      </c>
      <c r="H1775" t="inlineStr">
        <is>
          <t>yes</t>
        </is>
      </c>
      <c r="I1775" t="inlineStr">
        <is>
          <t>349.96</t>
        </is>
      </c>
      <c r="J1775" t="inlineStr">
        <is>
          <t>world_bank_col_estimate</t>
        </is>
      </c>
      <c r="K1775" t="inlineStr">
        <is>
          <t>https://api.worldbank.org/v2/country/CAN/indicator/NY.GNP.PCAP.PP.CD?format=json&amp;mrv=10</t>
        </is>
      </c>
      <c r="L1775" t="inlineStr">
        <is>
          <t>World Bank GNI + regional expenditure ratio estimate</t>
        </is>
      </c>
      <c r="M1775" t="inlineStr">
        <is>
          <t>2024-12-31</t>
        </is>
      </c>
      <c r="N1775" t="inlineStr">
        <is>
          <t>auto_ingest=world_bank_col_estimate; gni_annual=63630.0; year=2024; country_proxy=Canada; cohort=North America; city_cost_mult=1.2</t>
        </is>
      </c>
    </row>
    <row r="1776">
      <c r="A1776" t="inlineStr">
        <is>
          <t>ca-toronto</t>
        </is>
      </c>
      <c r="B1776" t="inlineStr">
        <is>
          <t>Toronto</t>
        </is>
      </c>
      <c r="C1776" t="inlineStr">
        <is>
          <t>Canada</t>
        </is>
      </c>
      <c r="D1776" t="inlineStr">
        <is>
          <t>North America</t>
        </is>
      </c>
      <c r="E1776" t="inlineStr">
        <is>
          <t>internet_cost</t>
        </is>
      </c>
      <c r="F1776" t="inlineStr">
        <is>
          <t>Internet cost</t>
        </is>
      </c>
      <c r="G1776" t="inlineStr">
        <is>
          <t>pressure</t>
        </is>
      </c>
      <c r="H1776" t="inlineStr">
        <is>
          <t>yes</t>
        </is>
      </c>
      <c r="I1776" t="inlineStr">
        <is>
          <t>139.99</t>
        </is>
      </c>
      <c r="J1776" t="inlineStr">
        <is>
          <t>world_bank_col_estimate</t>
        </is>
      </c>
      <c r="K1776" t="inlineStr">
        <is>
          <t>https://api.worldbank.org/v2/country/CAN/indicator/NY.GNP.PCAP.PP.CD?format=json&amp;mrv=10</t>
        </is>
      </c>
      <c r="L1776" t="inlineStr">
        <is>
          <t>World Bank GNI + regional expenditure ratio estimate</t>
        </is>
      </c>
      <c r="M1776" t="inlineStr">
        <is>
          <t>2024-12-31</t>
        </is>
      </c>
      <c r="N1776" t="inlineStr">
        <is>
          <t>auto_ingest=world_bank_col_estimate; gni_annual=63630.0; year=2024; country_proxy=Canada; cohort=North America; city_cost_mult=1.2</t>
        </is>
      </c>
    </row>
    <row r="1777">
      <c r="A1777" t="inlineStr">
        <is>
          <t>ca-toronto</t>
        </is>
      </c>
      <c r="B1777" t="inlineStr">
        <is>
          <t>Toronto</t>
        </is>
      </c>
      <c r="C1777" t="inlineStr">
        <is>
          <t>Canada</t>
        </is>
      </c>
      <c r="D1777" t="inlineStr">
        <is>
          <t>North America</t>
        </is>
      </c>
      <c r="E1777" t="inlineStr">
        <is>
          <t>food_cost</t>
        </is>
      </c>
      <c r="F1777" t="inlineStr">
        <is>
          <t>Food cost</t>
        </is>
      </c>
      <c r="G1777" t="inlineStr">
        <is>
          <t>pressure</t>
        </is>
      </c>
      <c r="H1777" t="inlineStr">
        <is>
          <t>yes</t>
        </is>
      </c>
      <c r="I1777" t="inlineStr">
        <is>
          <t>1049.89</t>
        </is>
      </c>
      <c r="J1777" t="inlineStr">
        <is>
          <t>world_bank_col_estimate</t>
        </is>
      </c>
      <c r="K1777" t="inlineStr">
        <is>
          <t>https://api.worldbank.org/v2/country/CAN/indicator/NY.GNP.PCAP.PP.CD?format=json&amp;mrv=10</t>
        </is>
      </c>
      <c r="L1777" t="inlineStr">
        <is>
          <t>World Bank GNI + regional expenditure ratio estimate</t>
        </is>
      </c>
      <c r="M1777" t="inlineStr">
        <is>
          <t>2024-12-31</t>
        </is>
      </c>
      <c r="N1777" t="inlineStr">
        <is>
          <t>auto_ingest=world_bank_col_estimate; gni_annual=63630.0; year=2024; country_proxy=Canada; cohort=North America; city_cost_mult=1.2</t>
        </is>
      </c>
    </row>
    <row r="1778">
      <c r="A1778" t="inlineStr">
        <is>
          <t>ca-toronto</t>
        </is>
      </c>
      <c r="B1778" t="inlineStr">
        <is>
          <t>Toronto</t>
        </is>
      </c>
      <c r="C1778" t="inlineStr">
        <is>
          <t>Canada</t>
        </is>
      </c>
      <c r="D1778" t="inlineStr">
        <is>
          <t>North America</t>
        </is>
      </c>
      <c r="E1778" t="inlineStr">
        <is>
          <t>housing_burden_raw</t>
        </is>
      </c>
      <c r="F1778" t="inlineStr">
        <is>
          <t>Housing burden raw</t>
        </is>
      </c>
      <c r="G1778" t="inlineStr">
        <is>
          <t>pressure</t>
        </is>
      </c>
      <c r="H1778" t="inlineStr">
        <is>
          <t>yes</t>
        </is>
      </c>
      <c r="I1778" t="inlineStr">
        <is>
          <t>41.9999</t>
        </is>
      </c>
      <c r="J1778" t="inlineStr">
        <is>
          <t>derived</t>
        </is>
      </c>
      <c r="K1778" t="inlineStr">
        <is>
          <t>https://data.worldbank.org/indicator/NY.GNP.PCAP.PP.CD</t>
        </is>
      </c>
      <c r="L1778" t="inlineStr">
        <is>
          <t>Computed from city_inputs + country_context</t>
        </is>
      </c>
      <c r="M1778" t="inlineStr">
        <is>
          <t>2024-01-01</t>
        </is>
      </c>
      <c r="N1778" t="inlineStr">
        <is>
          <t>derived=rent/gross_income*100</t>
        </is>
      </c>
    </row>
    <row r="1779">
      <c r="A1779" t="inlineStr">
        <is>
          <t>ca-toronto</t>
        </is>
      </c>
      <c r="B1779" t="inlineStr">
        <is>
          <t>Toronto</t>
        </is>
      </c>
      <c r="C1779" t="inlineStr">
        <is>
          <t>Canada</t>
        </is>
      </c>
      <c r="D1779" t="inlineStr">
        <is>
          <t>North America</t>
        </is>
      </c>
      <c r="E1779" t="inlineStr">
        <is>
          <t>household_debt_burden_raw</t>
        </is>
      </c>
      <c r="F1779" t="inlineStr">
        <is>
          <t>Household debt burden raw</t>
        </is>
      </c>
      <c r="G1779" t="inlineStr">
        <is>
          <t>pressure</t>
        </is>
      </c>
      <c r="H1779" t="inlineStr">
        <is>
          <t>yes</t>
        </is>
      </c>
      <c r="I1779" t="inlineStr">
        <is>
          <t>124.0978</t>
        </is>
      </c>
      <c r="J1779" t="inlineStr">
        <is>
          <t>derived</t>
        </is>
      </c>
      <c r="K1779" t="inlineStr">
        <is>
          <t>https://data.worldbank.org/indicator/NY.GNP.PCAP.PP.CD</t>
        </is>
      </c>
      <c r="L1779" t="inlineStr">
        <is>
          <t>Computed from city_inputs + country_context</t>
        </is>
      </c>
      <c r="M1779" t="inlineStr">
        <is>
          <t>2024-01-01</t>
        </is>
      </c>
      <c r="N1779" t="inlineStr">
        <is>
          <t>derived=country_context.household_debt_proxy; country=Canada</t>
        </is>
      </c>
    </row>
    <row r="1780">
      <c r="A1780" t="inlineStr">
        <is>
          <t>ca-toronto</t>
        </is>
      </c>
      <c r="B1780" t="inlineStr">
        <is>
          <t>Toronto</t>
        </is>
      </c>
      <c r="C1780" t="inlineStr">
        <is>
          <t>Canada</t>
        </is>
      </c>
      <c r="D1780" t="inlineStr">
        <is>
          <t>North America</t>
        </is>
      </c>
      <c r="E1780" t="inlineStr">
        <is>
          <t>working_time_pressure_raw</t>
        </is>
      </c>
      <c r="F1780" t="inlineStr">
        <is>
          <t>Working time pressure raw</t>
        </is>
      </c>
      <c r="G1780" t="inlineStr">
        <is>
          <t>pressure</t>
        </is>
      </c>
      <c r="H1780" t="inlineStr">
        <is>
          <t>yes</t>
        </is>
      </c>
      <c r="I1780" t="inlineStr">
        <is>
          <t>34.8</t>
        </is>
      </c>
      <c r="J1780" t="inlineStr">
        <is>
          <t>ilo_ilostat</t>
        </is>
      </c>
      <c r="K1780" t="inlineStr">
        <is>
          <t>https://ilostat.ilo.org/data/indicator/?id=HOW_TEMP_SEX_ECO_NB_A&amp;ref_area=CAN</t>
        </is>
      </c>
      <c r="L1780" t="inlineStr">
        <is>
          <t>ILO ILOSTAT: Mean weekly hours actually worked per employed person</t>
        </is>
      </c>
      <c r="M1780" t="inlineStr">
        <is>
          <t>2025-12-31</t>
        </is>
      </c>
      <c r="N1780" t="inlineStr">
        <is>
          <t>auto_ingest=ilo_working_hours; indicator=HOW_TEMP_SEX_ECO_NB_A; year=2025; hours=34.8; country_proxy=Canada</t>
        </is>
      </c>
    </row>
    <row r="1781">
      <c r="A1781" t="inlineStr">
        <is>
          <t>ca-toronto</t>
        </is>
      </c>
      <c r="B1781" t="inlineStr">
        <is>
          <t>Toronto</t>
        </is>
      </c>
      <c r="C1781" t="inlineStr">
        <is>
          <t>Canada</t>
        </is>
      </c>
      <c r="D1781" t="inlineStr">
        <is>
          <t>North America</t>
        </is>
      </c>
      <c r="E1781" t="inlineStr">
        <is>
          <t>suicide_mental_strain_raw</t>
        </is>
      </c>
      <c r="F1781" t="inlineStr">
        <is>
          <t>Suicide or mental strain raw</t>
        </is>
      </c>
      <c r="G1781" t="inlineStr">
        <is>
          <t>pressure</t>
        </is>
      </c>
      <c r="H1781" t="inlineStr">
        <is>
          <t>yes</t>
        </is>
      </c>
      <c r="I1781" t="inlineStr">
        <is>
          <t>9.44</t>
        </is>
      </c>
      <c r="J1781" t="inlineStr">
        <is>
          <t>who_gho</t>
        </is>
      </c>
      <c r="K1781" t="inlineStr">
        <is>
          <t>https://www.who.int/data/gho/data/indicators/indicator-details/GHO/SDGSUICIDE</t>
        </is>
      </c>
      <c r="L1781" t="inlineStr">
        <is>
          <t>WHO GHO: Age-standardized suicide rate (per 100,000 population)</t>
        </is>
      </c>
      <c r="M1781" t="inlineStr">
        <is>
          <t>2021-12-31</t>
        </is>
      </c>
      <c r="N1781" t="inlineStr">
        <is>
          <t>auto_ingest=who_gho; indicator=SDGSUICIDE; year=2021; country_proxy=Canada</t>
        </is>
      </c>
    </row>
    <row r="1782">
      <c r="A1782" t="inlineStr">
        <is>
          <t>ca-toronto</t>
        </is>
      </c>
      <c r="B1782" t="inlineStr">
        <is>
          <t>Toronto</t>
        </is>
      </c>
      <c r="C1782" t="inlineStr">
        <is>
          <t>Canada</t>
        </is>
      </c>
      <c r="D1782" t="inlineStr">
        <is>
          <t>North America</t>
        </is>
      </c>
      <c r="E1782" t="inlineStr">
        <is>
          <t>personal_safety_raw</t>
        </is>
      </c>
      <c r="F1782" t="inlineStr">
        <is>
          <t>Personal safety raw</t>
        </is>
      </c>
      <c r="G1782" t="inlineStr">
        <is>
          <t>viability</t>
        </is>
      </c>
      <c r="H1782" t="inlineStr">
        <is>
          <t>yes</t>
        </is>
      </c>
      <c r="I1782" t="inlineStr">
        <is>
          <t>1.98</t>
        </is>
      </c>
      <c r="J1782" t="inlineStr">
        <is>
          <t>world_bank</t>
        </is>
      </c>
      <c r="K1782" t="inlineStr">
        <is>
          <t>https://api.worldbank.org/v2/country/CAN/indicator/VC.IHR.PSRC.P5?format=json&amp;mrv=10</t>
        </is>
      </c>
      <c r="L1782" t="inlineStr">
        <is>
          <t>UNODC via World Bank WDI: Intentional homicides (per 100,000 people)</t>
        </is>
      </c>
      <c r="M1782" t="inlineStr">
        <is>
          <t>2023-12-31</t>
        </is>
      </c>
      <c r="N1782" t="inlineStr">
        <is>
          <t>auto_ingest=unodc_safety; indicator=VC.IHR.PSRC.P5; year=2023; country_proxy=Canada</t>
        </is>
      </c>
    </row>
    <row r="1783">
      <c r="A1783" t="inlineStr">
        <is>
          <t>ca-toronto</t>
        </is>
      </c>
      <c r="B1783" t="inlineStr">
        <is>
          <t>Toronto</t>
        </is>
      </c>
      <c r="C1783" t="inlineStr">
        <is>
          <t>Canada</t>
        </is>
      </c>
      <c r="D1783" t="inlineStr">
        <is>
          <t>North America</t>
        </is>
      </c>
      <c r="E1783" t="inlineStr">
        <is>
          <t>transit_access_commute_raw</t>
        </is>
      </c>
      <c r="F1783" t="inlineStr">
        <is>
          <t>Transit access and commute raw</t>
        </is>
      </c>
      <c r="G1783" t="inlineStr">
        <is>
          <t>viability</t>
        </is>
      </c>
      <c r="H1783" t="inlineStr">
        <is>
          <t>yes</t>
        </is>
      </c>
      <c r="I1783" t="inlineStr"/>
      <c r="J1783" t="inlineStr"/>
      <c r="K1783" t="inlineStr"/>
      <c r="L1783" t="inlineStr"/>
      <c r="M1783" t="inlineStr"/>
      <c r="N1783" t="inlineStr"/>
    </row>
    <row r="1784">
      <c r="A1784" t="inlineStr">
        <is>
          <t>ca-toronto</t>
        </is>
      </c>
      <c r="B1784" t="inlineStr">
        <is>
          <t>Toronto</t>
        </is>
      </c>
      <c r="C1784" t="inlineStr">
        <is>
          <t>Canada</t>
        </is>
      </c>
      <c r="D1784" t="inlineStr">
        <is>
          <t>North America</t>
        </is>
      </c>
      <c r="E1784" t="inlineStr">
        <is>
          <t>clean_air_raw</t>
        </is>
      </c>
      <c r="F1784" t="inlineStr">
        <is>
          <t>Clean air raw</t>
        </is>
      </c>
      <c r="G1784" t="inlineStr">
        <is>
          <t>viability</t>
        </is>
      </c>
      <c r="H1784" t="inlineStr">
        <is>
          <t>yes</t>
        </is>
      </c>
      <c r="I1784" t="inlineStr"/>
      <c r="J1784" t="inlineStr"/>
      <c r="K1784" t="inlineStr"/>
      <c r="L1784" t="inlineStr"/>
      <c r="M1784" t="inlineStr"/>
      <c r="N1784" t="inlineStr"/>
    </row>
    <row r="1785">
      <c r="A1785" t="inlineStr">
        <is>
          <t>ca-toronto</t>
        </is>
      </c>
      <c r="B1785" t="inlineStr">
        <is>
          <t>Toronto</t>
        </is>
      </c>
      <c r="C1785" t="inlineStr">
        <is>
          <t>Canada</t>
        </is>
      </c>
      <c r="D1785" t="inlineStr">
        <is>
          <t>North America</t>
        </is>
      </c>
      <c r="E1785" t="inlineStr">
        <is>
          <t>water_sanitation_utility_raw</t>
        </is>
      </c>
      <c r="F1785" t="inlineStr">
        <is>
          <t>Water, sanitation, and utility raw</t>
        </is>
      </c>
      <c r="G1785" t="inlineStr">
        <is>
          <t>viability</t>
        </is>
      </c>
      <c r="H1785" t="inlineStr">
        <is>
          <t>yes</t>
        </is>
      </c>
      <c r="I1785" t="inlineStr">
        <is>
          <t>96.89</t>
        </is>
      </c>
      <c r="J1785" t="inlineStr">
        <is>
          <t>world_bank</t>
        </is>
      </c>
      <c r="K1785" t="inlineStr">
        <is>
          <t>https://api.worldbank.org/v2/country/CAN/indicator/SH.H2O.SMDW.ZS?format=json&amp;mrv=10</t>
        </is>
      </c>
      <c r="L1785" t="inlineStr">
        <is>
          <t>World Bank WDI: People using safely managed drinking water services (% of population)</t>
        </is>
      </c>
      <c r="M1785" t="inlineStr">
        <is>
          <t>2024-12-31</t>
        </is>
      </c>
      <c r="N1785" t="inlineStr">
        <is>
          <t>auto_ingest=world_bank_proxy; indicator=SH.H2O.SMDW.ZS; year=2024; country_proxy=Canada</t>
        </is>
      </c>
    </row>
    <row r="1786">
      <c r="A1786" t="inlineStr">
        <is>
          <t>ca-toronto</t>
        </is>
      </c>
      <c r="B1786" t="inlineStr">
        <is>
          <t>Toronto</t>
        </is>
      </c>
      <c r="C1786" t="inlineStr">
        <is>
          <t>Canada</t>
        </is>
      </c>
      <c r="D1786" t="inlineStr">
        <is>
          <t>North America</t>
        </is>
      </c>
      <c r="E1786" t="inlineStr">
        <is>
          <t>digital_infrastructure_raw</t>
        </is>
      </c>
      <c r="F1786" t="inlineStr">
        <is>
          <t>Digital infrastructure raw</t>
        </is>
      </c>
      <c r="G1786" t="inlineStr">
        <is>
          <t>viability</t>
        </is>
      </c>
      <c r="H1786" t="inlineStr">
        <is>
          <t>yes</t>
        </is>
      </c>
      <c r="I1786" t="inlineStr">
        <is>
          <t>42.52</t>
        </is>
      </c>
      <c r="J1786" t="inlineStr">
        <is>
          <t>world_bank</t>
        </is>
      </c>
      <c r="K1786" t="inlineStr">
        <is>
          <t>https://api.worldbank.org/v2/country/CAN/indicator/IT.NET.BBND.P2?format=json&amp;mrv=10</t>
        </is>
      </c>
      <c r="L1786" t="inlineStr">
        <is>
          <t>World Bank WDI: Fixed broadband subscriptions (per 100 people)</t>
        </is>
      </c>
      <c r="M1786" t="inlineStr">
        <is>
          <t>2023-12-31</t>
        </is>
      </c>
      <c r="N1786" t="inlineStr">
        <is>
          <t>auto_ingest=world_bank_proxy; indicator=IT.NET.BBND.P2; year=2023; country_proxy=Canada</t>
        </is>
      </c>
    </row>
    <row r="1787">
      <c r="A1787" t="inlineStr">
        <is>
          <t>ca-toronto</t>
        </is>
      </c>
      <c r="B1787" t="inlineStr">
        <is>
          <t>Toronto</t>
        </is>
      </c>
      <c r="C1787" t="inlineStr">
        <is>
          <t>Canada</t>
        </is>
      </c>
      <c r="D1787" t="inlineStr">
        <is>
          <t>North America</t>
        </is>
      </c>
      <c r="E1787" t="inlineStr">
        <is>
          <t>climate_sunlight_livability_raw</t>
        </is>
      </c>
      <c r="F1787" t="inlineStr">
        <is>
          <t>Climate and sunlight livability raw</t>
        </is>
      </c>
      <c r="G1787" t="inlineStr">
        <is>
          <t>viability</t>
        </is>
      </c>
      <c r="H1787" t="inlineStr">
        <is>
          <t>yes</t>
        </is>
      </c>
      <c r="I1787" t="inlineStr">
        <is>
          <t>46</t>
        </is>
      </c>
      <c r="J1787" t="inlineStr">
        <is>
          <t>wmo_natl_met</t>
        </is>
      </c>
      <c r="K1787" t="inlineStr">
        <is>
          <t>https://worldweather.wmo.int</t>
        </is>
      </c>
      <c r="L1787" t="inlineStr">
        <is>
          <t>WMO/National Met: Climate livability composite</t>
        </is>
      </c>
      <c r="M1787" t="inlineStr">
        <is>
          <t>2024-12-31</t>
        </is>
      </c>
      <c r="N1787" t="inlineStr">
        <is>
          <t>auto_seed=climate_composite; 2000 sun hrs, 9C mean, cold winters</t>
        </is>
      </c>
    </row>
    <row r="1788">
      <c r="A1788" t="inlineStr">
        <is>
          <t>ca-toronto</t>
        </is>
      </c>
      <c r="B1788" t="inlineStr">
        <is>
          <t>Toronto</t>
        </is>
      </c>
      <c r="C1788" t="inlineStr">
        <is>
          <t>Canada</t>
        </is>
      </c>
      <c r="D1788" t="inlineStr">
        <is>
          <t>North America</t>
        </is>
      </c>
      <c r="E1788" t="inlineStr">
        <is>
          <t>healthcare_quality_raw</t>
        </is>
      </c>
      <c r="F1788" t="inlineStr">
        <is>
          <t>Healthcare quality raw</t>
        </is>
      </c>
      <c r="G1788" t="inlineStr">
        <is>
          <t>capability</t>
        </is>
      </c>
      <c r="H1788" t="inlineStr">
        <is>
          <t>yes</t>
        </is>
      </c>
      <c r="I1788" t="inlineStr">
        <is>
          <t>92.0</t>
        </is>
      </c>
      <c r="J1788" t="inlineStr">
        <is>
          <t>who_gho</t>
        </is>
      </c>
      <c r="K1788" t="inlineStr">
        <is>
          <t>https://www.who.int/data/gho/data/indicators/indicator-details/GHO/UHC_INDEX_REPORTED</t>
        </is>
      </c>
      <c r="L1788" t="inlineStr">
        <is>
          <t>WHO GHO: UHC Service Coverage Index</t>
        </is>
      </c>
      <c r="M1788" t="inlineStr">
        <is>
          <t>2023-12-31</t>
        </is>
      </c>
      <c r="N1788" t="inlineStr">
        <is>
          <t>auto_ingest=who_gho; indicator=UHC_INDEX_REPORTED; year=2023; country_proxy=Canada</t>
        </is>
      </c>
    </row>
    <row r="1789">
      <c r="A1789" t="inlineStr">
        <is>
          <t>ca-toronto</t>
        </is>
      </c>
      <c r="B1789" t="inlineStr">
        <is>
          <t>Toronto</t>
        </is>
      </c>
      <c r="C1789" t="inlineStr">
        <is>
          <t>Canada</t>
        </is>
      </c>
      <c r="D1789" t="inlineStr">
        <is>
          <t>North America</t>
        </is>
      </c>
      <c r="E1789" t="inlineStr">
        <is>
          <t>education_quality_raw</t>
        </is>
      </c>
      <c r="F1789" t="inlineStr">
        <is>
          <t>Education quality raw</t>
        </is>
      </c>
      <c r="G1789" t="inlineStr">
        <is>
          <t>capability</t>
        </is>
      </c>
      <c r="H1789" t="inlineStr">
        <is>
          <t>yes</t>
        </is>
      </c>
      <c r="I1789" t="inlineStr">
        <is>
          <t>76.26</t>
        </is>
      </c>
      <c r="J1789" t="inlineStr">
        <is>
          <t>world_bank</t>
        </is>
      </c>
      <c r="K1789" t="inlineStr">
        <is>
          <t>https://api.worldbank.org/v2/country/CAN/indicator/SE.TER.ENRR?format=json&amp;mrv=10</t>
        </is>
      </c>
      <c r="L1789" t="inlineStr">
        <is>
          <t>World Bank WDI: School enrollment, tertiary (% gross)</t>
        </is>
      </c>
      <c r="M1789" t="inlineStr">
        <is>
          <t>2023-12-31</t>
        </is>
      </c>
      <c r="N1789" t="inlineStr">
        <is>
          <t>auto_ingest=world_bank_proxy; indicator=SE.TER.ENRR; year=2023; country_proxy=Canada</t>
        </is>
      </c>
    </row>
    <row r="1790">
      <c r="A1790" t="inlineStr">
        <is>
          <t>ca-toronto</t>
        </is>
      </c>
      <c r="B1790" t="inlineStr">
        <is>
          <t>Toronto</t>
        </is>
      </c>
      <c r="C1790" t="inlineStr">
        <is>
          <t>Canada</t>
        </is>
      </c>
      <c r="D1790" t="inlineStr">
        <is>
          <t>North America</t>
        </is>
      </c>
      <c r="E1790" t="inlineStr">
        <is>
          <t>equal_opportunity_raw</t>
        </is>
      </c>
      <c r="F1790" t="inlineStr">
        <is>
          <t>Equal opportunity raw</t>
        </is>
      </c>
      <c r="G1790" t="inlineStr">
        <is>
          <t>capability</t>
        </is>
      </c>
      <c r="H1790" t="inlineStr">
        <is>
          <t>yes</t>
        </is>
      </c>
      <c r="I1790" t="inlineStr">
        <is>
          <t>31.1</t>
        </is>
      </c>
      <c r="J1790" t="inlineStr">
        <is>
          <t>world_bank</t>
        </is>
      </c>
      <c r="K1790" t="inlineStr">
        <is>
          <t>https://api.worldbank.org/v2/country/CAN/indicator/SI.POV.GINI?format=json&amp;mrv=10</t>
        </is>
      </c>
      <c r="L1790" t="inlineStr">
        <is>
          <t>World Bank WDI: Gini index</t>
        </is>
      </c>
      <c r="M1790" t="inlineStr">
        <is>
          <t>2021-12-31</t>
        </is>
      </c>
      <c r="N1790" t="inlineStr">
        <is>
          <t>auto_ingest=world_bank_capability; indicator=SI.POV.GINI; year=2021; country_proxy=Canada</t>
        </is>
      </c>
    </row>
    <row r="1791">
      <c r="A1791" t="inlineStr">
        <is>
          <t>ca-toronto</t>
        </is>
      </c>
      <c r="B1791" t="inlineStr">
        <is>
          <t>Toronto</t>
        </is>
      </c>
      <c r="C1791" t="inlineStr">
        <is>
          <t>Canada</t>
        </is>
      </c>
      <c r="D1791" t="inlineStr">
        <is>
          <t>North America</t>
        </is>
      </c>
      <c r="E1791" t="inlineStr">
        <is>
          <t>hospitality_belonging_raw</t>
        </is>
      </c>
      <c r="F1791" t="inlineStr">
        <is>
          <t>Hospitality and belonging raw</t>
        </is>
      </c>
      <c r="G1791" t="inlineStr">
        <is>
          <t>community</t>
        </is>
      </c>
      <c r="H1791" t="inlineStr">
        <is>
          <t>yes</t>
        </is>
      </c>
      <c r="I1791" t="inlineStr">
        <is>
          <t>57.9</t>
        </is>
      </c>
      <c r="J1791" t="inlineStr">
        <is>
          <t>world_bank</t>
        </is>
      </c>
      <c r="K1791" t="inlineStr">
        <is>
          <t>https://api.worldbank.org/v2/country/CAN/indicator/SM.POP.NETM?format=json&amp;mrv=10</t>
        </is>
      </c>
      <c r="L1791" t="inlineStr">
        <is>
          <t>World Bank WDI: Net migration (proxy for hospitality/belonging — positive = welcoming)</t>
        </is>
      </c>
      <c r="M1791" t="inlineStr">
        <is>
          <t>2025-12-31</t>
        </is>
      </c>
      <c r="N1791" t="inlineStr">
        <is>
          <t>auto_ingest=world_bank_proxy; proxy=net_migration_hospitality; indicator=SM.POP.NETM; year=2025; country_proxy=Canada</t>
        </is>
      </c>
    </row>
    <row r="1792">
      <c r="A1792" t="inlineStr">
        <is>
          <t>ca-toronto</t>
        </is>
      </c>
      <c r="B1792" t="inlineStr">
        <is>
          <t>Toronto</t>
        </is>
      </c>
      <c r="C1792" t="inlineStr">
        <is>
          <t>Canada</t>
        </is>
      </c>
      <c r="D1792" t="inlineStr">
        <is>
          <t>North America</t>
        </is>
      </c>
      <c r="E1792" t="inlineStr">
        <is>
          <t>tolerance_pluralism_raw</t>
        </is>
      </c>
      <c r="F1792" t="inlineStr">
        <is>
          <t>Tolerance and pluralism raw</t>
        </is>
      </c>
      <c r="G1792" t="inlineStr">
        <is>
          <t>community</t>
        </is>
      </c>
      <c r="H1792" t="inlineStr">
        <is>
          <t>yes</t>
        </is>
      </c>
      <c r="I1792" t="inlineStr">
        <is>
          <t>30.65</t>
        </is>
      </c>
      <c r="J1792" t="inlineStr">
        <is>
          <t>world_bank</t>
        </is>
      </c>
      <c r="K1792" t="inlineStr">
        <is>
          <t>https://api.worldbank.org/v2/country/CAN/indicator/SG.GEN.PARL.ZS?format=json&amp;mrv=10</t>
        </is>
      </c>
      <c r="L1792" t="inlineStr">
        <is>
          <t>World Bank WDI: Proportion of seats held by women in national parliaments (%)</t>
        </is>
      </c>
      <c r="M1792" t="inlineStr">
        <is>
          <t>2024-12-31</t>
        </is>
      </c>
      <c r="N1792" t="inlineStr">
        <is>
          <t>auto_ingest=world_bank_proxy; proxy=gender_parity_parliament; indicator=SG.GEN.PARL.ZS; year=2024; country_proxy=Canada</t>
        </is>
      </c>
    </row>
    <row r="1793">
      <c r="A1793" t="inlineStr">
        <is>
          <t>ca-toronto</t>
        </is>
      </c>
      <c r="B1793" t="inlineStr">
        <is>
          <t>Toronto</t>
        </is>
      </c>
      <c r="C1793" t="inlineStr">
        <is>
          <t>Canada</t>
        </is>
      </c>
      <c r="D1793" t="inlineStr">
        <is>
          <t>North America</t>
        </is>
      </c>
      <c r="E1793" t="inlineStr">
        <is>
          <t>cultural_public_life_raw</t>
        </is>
      </c>
      <c r="F1793" t="inlineStr">
        <is>
          <t>Cultural public life raw</t>
        </is>
      </c>
      <c r="G1793" t="inlineStr">
        <is>
          <t>community</t>
        </is>
      </c>
      <c r="H1793" t="inlineStr">
        <is>
          <t>yes</t>
        </is>
      </c>
      <c r="I1793" t="inlineStr">
        <is>
          <t>785.45</t>
        </is>
      </c>
      <c r="J1793" t="inlineStr">
        <is>
          <t>world_bank</t>
        </is>
      </c>
      <c r="K1793" t="inlineStr">
        <is>
          <t>https://api.worldbank.org/v2/country/CAN/indicator/ST.INT.ARVL?format=json&amp;mrv=10</t>
        </is>
      </c>
      <c r="L1793" t="inlineStr">
        <is>
          <t>World Bank WDI: International tourism arrivals per 1 000 population</t>
        </is>
      </c>
      <c r="M1793" t="inlineStr">
        <is>
          <t>2019-12-31</t>
        </is>
      </c>
      <c r="N1793" t="inlineStr">
        <is>
          <t>auto_ingest=cultural_life_proxy; indicator=ST.INT.ARVL; norm=per_1000_pop; year=2019; country_proxy=Canada</t>
        </is>
      </c>
    </row>
    <row r="1794">
      <c r="A1794" t="inlineStr">
        <is>
          <t>ca-toronto</t>
        </is>
      </c>
      <c r="B1794" t="inlineStr">
        <is>
          <t>Toronto</t>
        </is>
      </c>
      <c r="C1794" t="inlineStr">
        <is>
          <t>Canada</t>
        </is>
      </c>
      <c r="D1794" t="inlineStr">
        <is>
          <t>North America</t>
        </is>
      </c>
      <c r="E1794" t="inlineStr">
        <is>
          <t>birth_rate_optimism_raw</t>
        </is>
      </c>
      <c r="F1794" t="inlineStr">
        <is>
          <t>Birth rate and societal optimism raw</t>
        </is>
      </c>
      <c r="G1794" t="inlineStr">
        <is>
          <t>community</t>
        </is>
      </c>
      <c r="H1794" t="inlineStr">
        <is>
          <t>yes</t>
        </is>
      </c>
      <c r="I1794" t="inlineStr">
        <is>
          <t>1.26</t>
        </is>
      </c>
      <c r="J1794" t="inlineStr">
        <is>
          <t>world_bank</t>
        </is>
      </c>
      <c r="K1794" t="inlineStr">
        <is>
          <t>https://data.worldbank.org/indicator/SP.DYN.TFRT.IN</t>
        </is>
      </c>
      <c r="L1794" t="inlineStr">
        <is>
          <t>World Bank Total Fertility Rate 2023</t>
        </is>
      </c>
      <c r="M1794" t="inlineStr">
        <is>
          <t>2024-01-01</t>
        </is>
      </c>
      <c r="N1794" t="inlineStr"/>
    </row>
    <row r="1795">
      <c r="A1795" t="inlineStr">
        <is>
          <t>ca-toronto</t>
        </is>
      </c>
      <c r="B1795" t="inlineStr">
        <is>
          <t>Toronto</t>
        </is>
      </c>
      <c r="C1795" t="inlineStr">
        <is>
          <t>Canada</t>
        </is>
      </c>
      <c r="D1795" t="inlineStr">
        <is>
          <t>North America</t>
        </is>
      </c>
      <c r="E1795" t="inlineStr">
        <is>
          <t>entrepreneurial_dynamism_raw</t>
        </is>
      </c>
      <c r="F1795" t="inlineStr">
        <is>
          <t>Entrepreneurial dynamism raw</t>
        </is>
      </c>
      <c r="G1795" t="inlineStr">
        <is>
          <t>creative</t>
        </is>
      </c>
      <c r="H1795" t="inlineStr">
        <is>
          <t>yes</t>
        </is>
      </c>
      <c r="I1795" t="inlineStr">
        <is>
          <t>9.83</t>
        </is>
      </c>
      <c r="J1795" t="inlineStr">
        <is>
          <t>world_bank</t>
        </is>
      </c>
      <c r="K1795" t="inlineStr">
        <is>
          <t>https://api.worldbank.org/v2/country/CAN/indicator/IC.BUS.NDNS.ZS?format=json&amp;mrv=10</t>
        </is>
      </c>
      <c r="L1795" t="inlineStr">
        <is>
          <t>World Bank WDI: New business density (new registrations per 1,000 people ages 15-64)</t>
        </is>
      </c>
      <c r="M1795" t="inlineStr">
        <is>
          <t>2022-12-31</t>
        </is>
      </c>
      <c r="N1795" t="inlineStr">
        <is>
          <t>auto_ingest=world_bank_creative_extended; indicator=IC.BUS.NDNS.ZS; year=2022; country_proxy=Canada</t>
        </is>
      </c>
    </row>
    <row r="1796">
      <c r="A1796" t="inlineStr">
        <is>
          <t>ca-toronto</t>
        </is>
      </c>
      <c r="B1796" t="inlineStr">
        <is>
          <t>Toronto</t>
        </is>
      </c>
      <c r="C1796" t="inlineStr">
        <is>
          <t>Canada</t>
        </is>
      </c>
      <c r="D1796" t="inlineStr">
        <is>
          <t>North America</t>
        </is>
      </c>
      <c r="E1796" t="inlineStr">
        <is>
          <t>innovation_research_intensity_raw</t>
        </is>
      </c>
      <c r="F1796" t="inlineStr">
        <is>
          <t>Innovation and research raw</t>
        </is>
      </c>
      <c r="G1796" t="inlineStr">
        <is>
          <t>creative</t>
        </is>
      </c>
      <c r="H1796" t="inlineStr">
        <is>
          <t>yes</t>
        </is>
      </c>
      <c r="I1796" t="inlineStr">
        <is>
          <t>1.7</t>
        </is>
      </c>
      <c r="J1796" t="inlineStr">
        <is>
          <t>world_bank</t>
        </is>
      </c>
      <c r="K1796" t="inlineStr">
        <is>
          <t>https://api.worldbank.org/v2/country/CAN/indicator/GB.XPD.RSDV.GD.ZS?format=json&amp;mrv=10</t>
        </is>
      </c>
      <c r="L1796" t="inlineStr">
        <is>
          <t>World Bank WDI: Research and development expenditure (% of GDP)</t>
        </is>
      </c>
      <c r="M1796" t="inlineStr">
        <is>
          <t>2023-12-31</t>
        </is>
      </c>
      <c r="N1796" t="inlineStr">
        <is>
          <t>auto_ingest=world_bank_creative_extended; indicator=GB.XPD.RSDV.GD.ZS; year=2023; country_proxy=Canada</t>
        </is>
      </c>
    </row>
    <row r="1797">
      <c r="A1797" t="inlineStr">
        <is>
          <t>ca-toronto</t>
        </is>
      </c>
      <c r="B1797" t="inlineStr">
        <is>
          <t>Toronto</t>
        </is>
      </c>
      <c r="C1797" t="inlineStr">
        <is>
          <t>Canada</t>
        </is>
      </c>
      <c r="D1797" t="inlineStr">
        <is>
          <t>North America</t>
        </is>
      </c>
      <c r="E1797" t="inlineStr">
        <is>
          <t>investment_signal_raw</t>
        </is>
      </c>
      <c r="F1797" t="inlineStr">
        <is>
          <t>Investment signal raw</t>
        </is>
      </c>
      <c r="G1797" t="inlineStr">
        <is>
          <t>creative</t>
        </is>
      </c>
      <c r="H1797" t="inlineStr">
        <is>
          <t>yes</t>
        </is>
      </c>
      <c r="I1797" t="inlineStr">
        <is>
          <t>2.81</t>
        </is>
      </c>
      <c r="J1797" t="inlineStr">
        <is>
          <t>world_bank</t>
        </is>
      </c>
      <c r="K1797" t="inlineStr">
        <is>
          <t>https://api.worldbank.org/v2/country/CAN/indicator/BX.KLT.DINV.WD.GD.ZS?format=json&amp;mrv=10</t>
        </is>
      </c>
      <c r="L1797" t="inlineStr">
        <is>
          <t>World Bank WDI: Foreign direct investment, net inflows (% of GDP)</t>
        </is>
      </c>
      <c r="M1797" t="inlineStr">
        <is>
          <t>2024-12-31</t>
        </is>
      </c>
      <c r="N1797" t="inlineStr">
        <is>
          <t>auto_ingest=world_bank_creative_extended; indicator=BX.KLT.DINV.WD.GD.ZS; year=2024; country_proxy=Canada</t>
        </is>
      </c>
    </row>
    <row r="1798">
      <c r="A1798" t="inlineStr">
        <is>
          <t>ca-toronto</t>
        </is>
      </c>
      <c r="B1798" t="inlineStr">
        <is>
          <t>Toronto</t>
        </is>
      </c>
      <c r="C1798" t="inlineStr">
        <is>
          <t>Canada</t>
        </is>
      </c>
      <c r="D1798" t="inlineStr">
        <is>
          <t>North America</t>
        </is>
      </c>
      <c r="E1798" t="inlineStr">
        <is>
          <t>administrative_investment_friction_raw</t>
        </is>
      </c>
      <c r="F1798" t="inlineStr">
        <is>
          <t>Administrative investment friction raw</t>
        </is>
      </c>
      <c r="G1798" t="inlineStr">
        <is>
          <t>creative</t>
        </is>
      </c>
      <c r="H1798" t="inlineStr">
        <is>
          <t>yes</t>
        </is>
      </c>
      <c r="I1798" t="inlineStr">
        <is>
          <t>0.86</t>
        </is>
      </c>
      <c r="J1798" t="inlineStr">
        <is>
          <t>world_bank</t>
        </is>
      </c>
      <c r="K1798" t="inlineStr">
        <is>
          <t>https://api.worldbank.org/v2/country/CAN/indicator/RQ.EST?format=json&amp;mrv=10</t>
        </is>
      </c>
      <c r="L1798" t="inlineStr">
        <is>
          <t>World Bank WGI: Regulatory Quality (inverted as friction proxy)</t>
        </is>
      </c>
      <c r="M1798" t="inlineStr">
        <is>
          <t>2023-12-31</t>
        </is>
      </c>
      <c r="N1798" t="inlineStr">
        <is>
          <t>auto_ingest=world_bank_business_friction; indicator=RQ.EST; raw_rq=1.64471042156219; friction=0.86; year=2023; country_proxy=Canada</t>
        </is>
      </c>
    </row>
    <row r="1799">
      <c r="A1799" t="inlineStr">
        <is>
          <t>ca-toronto</t>
        </is>
      </c>
      <c r="B1799" t="inlineStr">
        <is>
          <t>Toronto</t>
        </is>
      </c>
      <c r="C1799" t="inlineStr">
        <is>
          <t>Canada</t>
        </is>
      </c>
      <c r="D1799" t="inlineStr">
        <is>
          <t>North America</t>
        </is>
      </c>
      <c r="E1799" t="inlineStr">
        <is>
          <t>visitor_flow_context_raw</t>
        </is>
      </c>
      <c r="F1799" t="inlineStr">
        <is>
          <t>Visitor flow context raw</t>
        </is>
      </c>
      <c r="G1799" t="inlineStr">
        <is>
          <t>creative</t>
        </is>
      </c>
      <c r="H1799" t="inlineStr">
        <is>
          <t>no</t>
        </is>
      </c>
      <c r="I1799" t="inlineStr"/>
      <c r="J1799" t="inlineStr"/>
      <c r="K1799" t="inlineStr"/>
      <c r="L1799" t="inlineStr"/>
      <c r="M1799" t="inlineStr"/>
      <c r="N1799" t="inlineStr"/>
    </row>
    <row r="1800">
      <c r="A1800" t="inlineStr">
        <is>
          <t>pa-panama-city</t>
        </is>
      </c>
      <c r="B1800" t="inlineStr">
        <is>
          <t>Panama City</t>
        </is>
      </c>
      <c r="C1800" t="inlineStr">
        <is>
          <t>Panama</t>
        </is>
      </c>
      <c r="D1800" t="inlineStr">
        <is>
          <t>North America</t>
        </is>
      </c>
      <c r="E1800" t="inlineStr">
        <is>
          <t>gross_income</t>
        </is>
      </c>
      <c r="F1800" t="inlineStr">
        <is>
          <t>Gross income</t>
        </is>
      </c>
      <c r="G1800" t="inlineStr">
        <is>
          <t>pressure</t>
        </is>
      </c>
      <c r="H1800" t="inlineStr">
        <is>
          <t>yes</t>
        </is>
      </c>
      <c r="I1800" t="inlineStr">
        <is>
          <t>3271.67</t>
        </is>
      </c>
      <c r="J1800" t="inlineStr">
        <is>
          <t>world_bank_col_estimate</t>
        </is>
      </c>
      <c r="K1800" t="inlineStr">
        <is>
          <t>https://api.worldbank.org/v2/country/PAN/indicator/NY.GNP.PCAP.PP.CD?format=json&amp;mrv=10</t>
        </is>
      </c>
      <c r="L1800" t="inlineStr">
        <is>
          <t>World Bank WDI: GNI per capita PPP (monthly USD)</t>
        </is>
      </c>
      <c r="M1800" t="inlineStr">
        <is>
          <t>2024-12-31</t>
        </is>
      </c>
      <c r="N1800" t="inlineStr">
        <is>
          <t>auto_ingest=world_bank_col_estimate; gni_annual=39260.0; year=2024; country_proxy=Panama; cohort=North America</t>
        </is>
      </c>
    </row>
    <row r="1801">
      <c r="A1801" t="inlineStr">
        <is>
          <t>pa-panama-city</t>
        </is>
      </c>
      <c r="B1801" t="inlineStr">
        <is>
          <t>Panama City</t>
        </is>
      </c>
      <c r="C1801" t="inlineStr">
        <is>
          <t>Panama</t>
        </is>
      </c>
      <c r="D1801" t="inlineStr">
        <is>
          <t>North America</t>
        </is>
      </c>
      <c r="E1801" t="inlineStr">
        <is>
          <t>di_ppp_raw</t>
        </is>
      </c>
      <c r="F1801" t="inlineStr">
        <is>
          <t>Disposable income PPP (Raw)</t>
        </is>
      </c>
      <c r="G1801" t="inlineStr">
        <is>
          <t>pressure</t>
        </is>
      </c>
      <c r="H1801" t="inlineStr">
        <is>
          <t>yes</t>
        </is>
      </c>
      <c r="I1801" t="inlineStr"/>
      <c r="J1801" t="inlineStr"/>
      <c r="K1801" t="inlineStr"/>
      <c r="L1801" t="inlineStr"/>
      <c r="M1801" t="inlineStr"/>
      <c r="N1801" t="inlineStr"/>
    </row>
    <row r="1802">
      <c r="A1802" t="inlineStr">
        <is>
          <t>pa-panama-city</t>
        </is>
      </c>
      <c r="B1802" t="inlineStr">
        <is>
          <t>Panama City</t>
        </is>
      </c>
      <c r="C1802" t="inlineStr">
        <is>
          <t>Panama</t>
        </is>
      </c>
      <c r="D1802" t="inlineStr">
        <is>
          <t>North America</t>
        </is>
      </c>
      <c r="E1802" t="inlineStr">
        <is>
          <t>rent</t>
        </is>
      </c>
      <c r="F1802" t="inlineStr">
        <is>
          <t>Rent</t>
        </is>
      </c>
      <c r="G1802" t="inlineStr">
        <is>
          <t>pressure</t>
        </is>
      </c>
      <c r="H1802" t="inlineStr">
        <is>
          <t>yes</t>
        </is>
      </c>
      <c r="I1802" t="inlineStr">
        <is>
          <t>1030.58</t>
        </is>
      </c>
      <c r="J1802" t="inlineStr">
        <is>
          <t>world_bank_col_estimate</t>
        </is>
      </c>
      <c r="K1802" t="inlineStr">
        <is>
          <t>https://api.worldbank.org/v2/country/PAN/indicator/NY.GNP.PCAP.PP.CD?format=json&amp;mrv=10</t>
        </is>
      </c>
      <c r="L1802" t="inlineStr">
        <is>
          <t>World Bank GNI + regional expenditure ratio estimate</t>
        </is>
      </c>
      <c r="M1802" t="inlineStr">
        <is>
          <t>2024-12-31</t>
        </is>
      </c>
      <c r="N1802" t="inlineStr">
        <is>
          <t>auto_ingest=world_bank_col_estimate; gni_annual=39260.0; year=2024; country_proxy=Panama; cohort=North America; city_cost_mult=0.9</t>
        </is>
      </c>
    </row>
    <row r="1803">
      <c r="A1803" t="inlineStr">
        <is>
          <t>pa-panama-city</t>
        </is>
      </c>
      <c r="B1803" t="inlineStr">
        <is>
          <t>Panama City</t>
        </is>
      </c>
      <c r="C1803" t="inlineStr">
        <is>
          <t>Panama</t>
        </is>
      </c>
      <c r="D1803" t="inlineStr">
        <is>
          <t>North America</t>
        </is>
      </c>
      <c r="E1803" t="inlineStr">
        <is>
          <t>utilities</t>
        </is>
      </c>
      <c r="F1803" t="inlineStr">
        <is>
          <t>Utilities</t>
        </is>
      </c>
      <c r="G1803" t="inlineStr">
        <is>
          <t>pressure</t>
        </is>
      </c>
      <c r="H1803" t="inlineStr">
        <is>
          <t>yes</t>
        </is>
      </c>
      <c r="I1803" t="inlineStr">
        <is>
          <t>206.12</t>
        </is>
      </c>
      <c r="J1803" t="inlineStr">
        <is>
          <t>world_bank_col_estimate</t>
        </is>
      </c>
      <c r="K1803" t="inlineStr">
        <is>
          <t>https://api.worldbank.org/v2/country/PAN/indicator/NY.GNP.PCAP.PP.CD?format=json&amp;mrv=10</t>
        </is>
      </c>
      <c r="L1803" t="inlineStr">
        <is>
          <t>World Bank GNI + regional expenditure ratio estimate</t>
        </is>
      </c>
      <c r="M1803" t="inlineStr">
        <is>
          <t>2024-12-31</t>
        </is>
      </c>
      <c r="N1803" t="inlineStr">
        <is>
          <t>auto_ingest=world_bank_col_estimate; gni_annual=39260.0; year=2024; country_proxy=Panama; cohort=North America; city_cost_mult=0.9</t>
        </is>
      </c>
    </row>
    <row r="1804">
      <c r="A1804" t="inlineStr">
        <is>
          <t>pa-panama-city</t>
        </is>
      </c>
      <c r="B1804" t="inlineStr">
        <is>
          <t>Panama City</t>
        </is>
      </c>
      <c r="C1804" t="inlineStr">
        <is>
          <t>Panama</t>
        </is>
      </c>
      <c r="D1804" t="inlineStr">
        <is>
          <t>North America</t>
        </is>
      </c>
      <c r="E1804" t="inlineStr">
        <is>
          <t>transit_cost</t>
        </is>
      </c>
      <c r="F1804" t="inlineStr">
        <is>
          <t>Transit cost</t>
        </is>
      </c>
      <c r="G1804" t="inlineStr">
        <is>
          <t>pressure</t>
        </is>
      </c>
      <c r="H1804" t="inlineStr">
        <is>
          <t>yes</t>
        </is>
      </c>
      <c r="I1804" t="inlineStr">
        <is>
          <t>147.23</t>
        </is>
      </c>
      <c r="J1804" t="inlineStr">
        <is>
          <t>world_bank_col_estimate</t>
        </is>
      </c>
      <c r="K1804" t="inlineStr">
        <is>
          <t>https://api.worldbank.org/v2/country/PAN/indicator/NY.GNP.PCAP.PP.CD?format=json&amp;mrv=10</t>
        </is>
      </c>
      <c r="L1804" t="inlineStr">
        <is>
          <t>World Bank GNI + regional expenditure ratio estimate</t>
        </is>
      </c>
      <c r="M1804" t="inlineStr">
        <is>
          <t>2024-12-31</t>
        </is>
      </c>
      <c r="N1804" t="inlineStr">
        <is>
          <t>auto_ingest=world_bank_col_estimate; gni_annual=39260.0; year=2024; country_proxy=Panama; cohort=North America; city_cost_mult=0.9</t>
        </is>
      </c>
    </row>
    <row r="1805">
      <c r="A1805" t="inlineStr">
        <is>
          <t>pa-panama-city</t>
        </is>
      </c>
      <c r="B1805" t="inlineStr">
        <is>
          <t>Panama City</t>
        </is>
      </c>
      <c r="C1805" t="inlineStr">
        <is>
          <t>Panama</t>
        </is>
      </c>
      <c r="D1805" t="inlineStr">
        <is>
          <t>North America</t>
        </is>
      </c>
      <c r="E1805" t="inlineStr">
        <is>
          <t>internet_cost</t>
        </is>
      </c>
      <c r="F1805" t="inlineStr">
        <is>
          <t>Internet cost</t>
        </is>
      </c>
      <c r="G1805" t="inlineStr">
        <is>
          <t>pressure</t>
        </is>
      </c>
      <c r="H1805" t="inlineStr">
        <is>
          <t>yes</t>
        </is>
      </c>
      <c r="I1805" t="inlineStr">
        <is>
          <t>58.89</t>
        </is>
      </c>
      <c r="J1805" t="inlineStr">
        <is>
          <t>world_bank_col_estimate</t>
        </is>
      </c>
      <c r="K1805" t="inlineStr">
        <is>
          <t>https://api.worldbank.org/v2/country/PAN/indicator/NY.GNP.PCAP.PP.CD?format=json&amp;mrv=10</t>
        </is>
      </c>
      <c r="L1805" t="inlineStr">
        <is>
          <t>World Bank GNI + regional expenditure ratio estimate</t>
        </is>
      </c>
      <c r="M1805" t="inlineStr">
        <is>
          <t>2024-12-31</t>
        </is>
      </c>
      <c r="N1805" t="inlineStr">
        <is>
          <t>auto_ingest=world_bank_col_estimate; gni_annual=39260.0; year=2024; country_proxy=Panama; cohort=North America; city_cost_mult=0.9</t>
        </is>
      </c>
    </row>
    <row r="1806">
      <c r="A1806" t="inlineStr">
        <is>
          <t>pa-panama-city</t>
        </is>
      </c>
      <c r="B1806" t="inlineStr">
        <is>
          <t>Panama City</t>
        </is>
      </c>
      <c r="C1806" t="inlineStr">
        <is>
          <t>Panama</t>
        </is>
      </c>
      <c r="D1806" t="inlineStr">
        <is>
          <t>North America</t>
        </is>
      </c>
      <c r="E1806" t="inlineStr">
        <is>
          <t>food_cost</t>
        </is>
      </c>
      <c r="F1806" t="inlineStr">
        <is>
          <t>Food cost</t>
        </is>
      </c>
      <c r="G1806" t="inlineStr">
        <is>
          <t>pressure</t>
        </is>
      </c>
      <c r="H1806" t="inlineStr">
        <is>
          <t>yes</t>
        </is>
      </c>
      <c r="I1806" t="inlineStr">
        <is>
          <t>441.68</t>
        </is>
      </c>
      <c r="J1806" t="inlineStr">
        <is>
          <t>world_bank_col_estimate</t>
        </is>
      </c>
      <c r="K1806" t="inlineStr">
        <is>
          <t>https://api.worldbank.org/v2/country/PAN/indicator/NY.GNP.PCAP.PP.CD?format=json&amp;mrv=10</t>
        </is>
      </c>
      <c r="L1806" t="inlineStr">
        <is>
          <t>World Bank GNI + regional expenditure ratio estimate</t>
        </is>
      </c>
      <c r="M1806" t="inlineStr">
        <is>
          <t>2024-12-31</t>
        </is>
      </c>
      <c r="N1806" t="inlineStr">
        <is>
          <t>auto_ingest=world_bank_col_estimate; gni_annual=39260.0; year=2024; country_proxy=Panama; cohort=North America; city_cost_mult=0.9</t>
        </is>
      </c>
    </row>
    <row r="1807">
      <c r="A1807" t="inlineStr">
        <is>
          <t>pa-panama-city</t>
        </is>
      </c>
      <c r="B1807" t="inlineStr">
        <is>
          <t>Panama City</t>
        </is>
      </c>
      <c r="C1807" t="inlineStr">
        <is>
          <t>Panama</t>
        </is>
      </c>
      <c r="D1807" t="inlineStr">
        <is>
          <t>North America</t>
        </is>
      </c>
      <c r="E1807" t="inlineStr">
        <is>
          <t>housing_burden_raw</t>
        </is>
      </c>
      <c r="F1807" t="inlineStr">
        <is>
          <t>Housing burden raw</t>
        </is>
      </c>
      <c r="G1807" t="inlineStr">
        <is>
          <t>pressure</t>
        </is>
      </c>
      <c r="H1807" t="inlineStr">
        <is>
          <t>yes</t>
        </is>
      </c>
      <c r="I1807" t="inlineStr">
        <is>
          <t>31.5001</t>
        </is>
      </c>
      <c r="J1807" t="inlineStr">
        <is>
          <t>derived</t>
        </is>
      </c>
      <c r="K1807" t="inlineStr">
        <is>
          <t>https://data.worldbank.org/indicator/NY.GNP.PCAP.PP.CD</t>
        </is>
      </c>
      <c r="L1807" t="inlineStr">
        <is>
          <t>Computed from city_inputs + country_context</t>
        </is>
      </c>
      <c r="M1807" t="inlineStr">
        <is>
          <t>2024-01-01</t>
        </is>
      </c>
      <c r="N1807" t="inlineStr">
        <is>
          <t>derived=rent/gross_income*100</t>
        </is>
      </c>
    </row>
    <row r="1808">
      <c r="A1808" t="inlineStr">
        <is>
          <t>pa-panama-city</t>
        </is>
      </c>
      <c r="B1808" t="inlineStr">
        <is>
          <t>Panama City</t>
        </is>
      </c>
      <c r="C1808" t="inlineStr">
        <is>
          <t>Panama</t>
        </is>
      </c>
      <c r="D1808" t="inlineStr">
        <is>
          <t>North America</t>
        </is>
      </c>
      <c r="E1808" t="inlineStr">
        <is>
          <t>household_debt_burden_raw</t>
        </is>
      </c>
      <c r="F1808" t="inlineStr">
        <is>
          <t>Household debt burden raw</t>
        </is>
      </c>
      <c r="G1808" t="inlineStr">
        <is>
          <t>pressure</t>
        </is>
      </c>
      <c r="H1808" t="inlineStr">
        <is>
          <t>yes</t>
        </is>
      </c>
      <c r="I1808" t="inlineStr">
        <is>
          <t>68.0947</t>
        </is>
      </c>
      <c r="J1808" t="inlineStr">
        <is>
          <t>derived</t>
        </is>
      </c>
      <c r="K1808" t="inlineStr">
        <is>
          <t>https://data.worldbank.org/indicator/NY.GNP.PCAP.PP.CD</t>
        </is>
      </c>
      <c r="L1808" t="inlineStr">
        <is>
          <t>Computed from city_inputs + country_context</t>
        </is>
      </c>
      <c r="M1808" t="inlineStr">
        <is>
          <t>2024-01-01</t>
        </is>
      </c>
      <c r="N1808" t="inlineStr">
        <is>
          <t>derived=country_context.household_debt_proxy; country=Panama</t>
        </is>
      </c>
    </row>
    <row r="1809">
      <c r="A1809" t="inlineStr">
        <is>
          <t>pa-panama-city</t>
        </is>
      </c>
      <c r="B1809" t="inlineStr">
        <is>
          <t>Panama City</t>
        </is>
      </c>
      <c r="C1809" t="inlineStr">
        <is>
          <t>Panama</t>
        </is>
      </c>
      <c r="D1809" t="inlineStr">
        <is>
          <t>North America</t>
        </is>
      </c>
      <c r="E1809" t="inlineStr">
        <is>
          <t>working_time_pressure_raw</t>
        </is>
      </c>
      <c r="F1809" t="inlineStr">
        <is>
          <t>Working time pressure raw</t>
        </is>
      </c>
      <c r="G1809" t="inlineStr">
        <is>
          <t>pressure</t>
        </is>
      </c>
      <c r="H1809" t="inlineStr">
        <is>
          <t>yes</t>
        </is>
      </c>
      <c r="I1809" t="inlineStr">
        <is>
          <t>36.01</t>
        </is>
      </c>
      <c r="J1809" t="inlineStr">
        <is>
          <t>ilo_ilostat</t>
        </is>
      </c>
      <c r="K1809" t="inlineStr">
        <is>
          <t>https://ilostat.ilo.org/data/indicator/?id=HOW_TEMP_SEX_ECO_NB_A&amp;ref_area=PAN</t>
        </is>
      </c>
      <c r="L1809" t="inlineStr">
        <is>
          <t>ILO ILOSTAT: Mean weekly hours actually worked per employed person</t>
        </is>
      </c>
      <c r="M1809" t="inlineStr">
        <is>
          <t>2024-12-31</t>
        </is>
      </c>
      <c r="N1809" t="inlineStr">
        <is>
          <t>auto_ingest=ilo_working_hours; indicator=HOW_TEMP_SEX_ECO_NB_A; year=2024; hours=36.01; country_proxy=Panama</t>
        </is>
      </c>
    </row>
    <row r="1810">
      <c r="A1810" t="inlineStr">
        <is>
          <t>pa-panama-city</t>
        </is>
      </c>
      <c r="B1810" t="inlineStr">
        <is>
          <t>Panama City</t>
        </is>
      </c>
      <c r="C1810" t="inlineStr">
        <is>
          <t>Panama</t>
        </is>
      </c>
      <c r="D1810" t="inlineStr">
        <is>
          <t>North America</t>
        </is>
      </c>
      <c r="E1810" t="inlineStr">
        <is>
          <t>suicide_mental_strain_raw</t>
        </is>
      </c>
      <c r="F1810" t="inlineStr">
        <is>
          <t>Suicide or mental strain raw</t>
        </is>
      </c>
      <c r="G1810" t="inlineStr">
        <is>
          <t>pressure</t>
        </is>
      </c>
      <c r="H1810" t="inlineStr">
        <is>
          <t>yes</t>
        </is>
      </c>
      <c r="I1810" t="inlineStr">
        <is>
          <t>3.29</t>
        </is>
      </c>
      <c r="J1810" t="inlineStr">
        <is>
          <t>who_gho</t>
        </is>
      </c>
      <c r="K1810" t="inlineStr">
        <is>
          <t>https://www.who.int/data/gho/data/indicators/indicator-details/GHO/SDGSUICIDE</t>
        </is>
      </c>
      <c r="L1810" t="inlineStr">
        <is>
          <t>WHO GHO: Age-standardized suicide rate (per 100,000 population)</t>
        </is>
      </c>
      <c r="M1810" t="inlineStr">
        <is>
          <t>2021-12-31</t>
        </is>
      </c>
      <c r="N1810" t="inlineStr">
        <is>
          <t>auto_ingest=who_gho; indicator=SDGSUICIDE; year=2021; country_proxy=Panama</t>
        </is>
      </c>
    </row>
    <row r="1811">
      <c r="A1811" t="inlineStr">
        <is>
          <t>pa-panama-city</t>
        </is>
      </c>
      <c r="B1811" t="inlineStr">
        <is>
          <t>Panama City</t>
        </is>
      </c>
      <c r="C1811" t="inlineStr">
        <is>
          <t>Panama</t>
        </is>
      </c>
      <c r="D1811" t="inlineStr">
        <is>
          <t>North America</t>
        </is>
      </c>
      <c r="E1811" t="inlineStr">
        <is>
          <t>personal_safety_raw</t>
        </is>
      </c>
      <c r="F1811" t="inlineStr">
        <is>
          <t>Personal safety raw</t>
        </is>
      </c>
      <c r="G1811" t="inlineStr">
        <is>
          <t>viability</t>
        </is>
      </c>
      <c r="H1811" t="inlineStr">
        <is>
          <t>yes</t>
        </is>
      </c>
      <c r="I1811" t="inlineStr">
        <is>
          <t>11.71</t>
        </is>
      </c>
      <c r="J1811" t="inlineStr">
        <is>
          <t>world_bank</t>
        </is>
      </c>
      <c r="K1811" t="inlineStr">
        <is>
          <t>https://api.worldbank.org/v2/country/PAN/indicator/VC.IHR.PSRC.P5?format=json&amp;mrv=10</t>
        </is>
      </c>
      <c r="L1811" t="inlineStr">
        <is>
          <t>UNODC via World Bank WDI: Intentional homicides (per 100,000 people)</t>
        </is>
      </c>
      <c r="M1811" t="inlineStr">
        <is>
          <t>2023-12-31</t>
        </is>
      </c>
      <c r="N1811" t="inlineStr">
        <is>
          <t>auto_ingest=unodc_safety; indicator=VC.IHR.PSRC.P5; year=2023; country_proxy=Panama</t>
        </is>
      </c>
    </row>
    <row r="1812">
      <c r="A1812" t="inlineStr">
        <is>
          <t>pa-panama-city</t>
        </is>
      </c>
      <c r="B1812" t="inlineStr">
        <is>
          <t>Panama City</t>
        </is>
      </c>
      <c r="C1812" t="inlineStr">
        <is>
          <t>Panama</t>
        </is>
      </c>
      <c r="D1812" t="inlineStr">
        <is>
          <t>North America</t>
        </is>
      </c>
      <c r="E1812" t="inlineStr">
        <is>
          <t>transit_access_commute_raw</t>
        </is>
      </c>
      <c r="F1812" t="inlineStr">
        <is>
          <t>Transit access and commute raw</t>
        </is>
      </c>
      <c r="G1812" t="inlineStr">
        <is>
          <t>viability</t>
        </is>
      </c>
      <c r="H1812" t="inlineStr">
        <is>
          <t>yes</t>
        </is>
      </c>
      <c r="I1812" t="inlineStr"/>
      <c r="J1812" t="inlineStr"/>
      <c r="K1812" t="inlineStr"/>
      <c r="L1812" t="inlineStr"/>
      <c r="M1812" t="inlineStr"/>
      <c r="N1812" t="inlineStr"/>
    </row>
    <row r="1813">
      <c r="A1813" t="inlineStr">
        <is>
          <t>pa-panama-city</t>
        </is>
      </c>
      <c r="B1813" t="inlineStr">
        <is>
          <t>Panama City</t>
        </is>
      </c>
      <c r="C1813" t="inlineStr">
        <is>
          <t>Panama</t>
        </is>
      </c>
      <c r="D1813" t="inlineStr">
        <is>
          <t>North America</t>
        </is>
      </c>
      <c r="E1813" t="inlineStr">
        <is>
          <t>clean_air_raw</t>
        </is>
      </c>
      <c r="F1813" t="inlineStr">
        <is>
          <t>Clean air raw</t>
        </is>
      </c>
      <c r="G1813" t="inlineStr">
        <is>
          <t>viability</t>
        </is>
      </c>
      <c r="H1813" t="inlineStr">
        <is>
          <t>yes</t>
        </is>
      </c>
      <c r="I1813" t="inlineStr"/>
      <c r="J1813" t="inlineStr"/>
      <c r="K1813" t="inlineStr"/>
      <c r="L1813" t="inlineStr"/>
      <c r="M1813" t="inlineStr"/>
      <c r="N1813" t="inlineStr"/>
    </row>
    <row r="1814">
      <c r="A1814" t="inlineStr">
        <is>
          <t>pa-panama-city</t>
        </is>
      </c>
      <c r="B1814" t="inlineStr">
        <is>
          <t>Panama City</t>
        </is>
      </c>
      <c r="C1814" t="inlineStr">
        <is>
          <t>Panama</t>
        </is>
      </c>
      <c r="D1814" t="inlineStr">
        <is>
          <t>North America</t>
        </is>
      </c>
      <c r="E1814" t="inlineStr">
        <is>
          <t>water_sanitation_utility_raw</t>
        </is>
      </c>
      <c r="F1814" t="inlineStr">
        <is>
          <t>Water, sanitation, and utility raw</t>
        </is>
      </c>
      <c r="G1814" t="inlineStr">
        <is>
          <t>viability</t>
        </is>
      </c>
      <c r="H1814" t="inlineStr">
        <is>
          <t>yes</t>
        </is>
      </c>
      <c r="I1814" t="inlineStr"/>
      <c r="J1814" t="inlineStr"/>
      <c r="K1814" t="inlineStr"/>
      <c r="L1814" t="inlineStr"/>
      <c r="M1814" t="inlineStr"/>
      <c r="N1814" t="inlineStr"/>
    </row>
    <row r="1815">
      <c r="A1815" t="inlineStr">
        <is>
          <t>pa-panama-city</t>
        </is>
      </c>
      <c r="B1815" t="inlineStr">
        <is>
          <t>Panama City</t>
        </is>
      </c>
      <c r="C1815" t="inlineStr">
        <is>
          <t>Panama</t>
        </is>
      </c>
      <c r="D1815" t="inlineStr">
        <is>
          <t>North America</t>
        </is>
      </c>
      <c r="E1815" t="inlineStr">
        <is>
          <t>digital_infrastructure_raw</t>
        </is>
      </c>
      <c r="F1815" t="inlineStr">
        <is>
          <t>Digital infrastructure raw</t>
        </is>
      </c>
      <c r="G1815" t="inlineStr">
        <is>
          <t>viability</t>
        </is>
      </c>
      <c r="H1815" t="inlineStr">
        <is>
          <t>yes</t>
        </is>
      </c>
      <c r="I1815" t="inlineStr">
        <is>
          <t>18.13</t>
        </is>
      </c>
      <c r="J1815" t="inlineStr">
        <is>
          <t>world_bank</t>
        </is>
      </c>
      <c r="K1815" t="inlineStr">
        <is>
          <t>https://api.worldbank.org/v2/country/PAN/indicator/IT.NET.BBND.P2?format=json&amp;mrv=10</t>
        </is>
      </c>
      <c r="L1815" t="inlineStr">
        <is>
          <t>World Bank WDI: Fixed broadband subscriptions (per 100 people)</t>
        </is>
      </c>
      <c r="M1815" t="inlineStr">
        <is>
          <t>2023-12-31</t>
        </is>
      </c>
      <c r="N1815" t="inlineStr">
        <is>
          <t>auto_ingest=world_bank_proxy; indicator=IT.NET.BBND.P2; year=2023; country_proxy=Panama</t>
        </is>
      </c>
    </row>
    <row r="1816">
      <c r="A1816" t="inlineStr">
        <is>
          <t>pa-panama-city</t>
        </is>
      </c>
      <c r="B1816" t="inlineStr">
        <is>
          <t>Panama City</t>
        </is>
      </c>
      <c r="C1816" t="inlineStr">
        <is>
          <t>Panama</t>
        </is>
      </c>
      <c r="D1816" t="inlineStr">
        <is>
          <t>North America</t>
        </is>
      </c>
      <c r="E1816" t="inlineStr">
        <is>
          <t>climate_sunlight_livability_raw</t>
        </is>
      </c>
      <c r="F1816" t="inlineStr">
        <is>
          <t>Climate and sunlight livability raw</t>
        </is>
      </c>
      <c r="G1816" t="inlineStr">
        <is>
          <t>viability</t>
        </is>
      </c>
      <c r="H1816" t="inlineStr">
        <is>
          <t>yes</t>
        </is>
      </c>
      <c r="I1816" t="inlineStr">
        <is>
          <t>58</t>
        </is>
      </c>
      <c r="J1816" t="inlineStr">
        <is>
          <t>wmo_natl_met</t>
        </is>
      </c>
      <c r="K1816" t="inlineStr">
        <is>
          <t>https://worldweather.wmo.int</t>
        </is>
      </c>
      <c r="L1816" t="inlineStr">
        <is>
          <t>WMO/National Met: Climate livability composite</t>
        </is>
      </c>
      <c r="M1816" t="inlineStr">
        <is>
          <t>2024-12-31</t>
        </is>
      </c>
      <c r="N1816" t="inlineStr">
        <is>
          <t>auto_seed=climate_composite; 2300 sun hrs, 28C mean, tropical heat</t>
        </is>
      </c>
    </row>
    <row r="1817">
      <c r="A1817" t="inlineStr">
        <is>
          <t>pa-panama-city</t>
        </is>
      </c>
      <c r="B1817" t="inlineStr">
        <is>
          <t>Panama City</t>
        </is>
      </c>
      <c r="C1817" t="inlineStr">
        <is>
          <t>Panama</t>
        </is>
      </c>
      <c r="D1817" t="inlineStr">
        <is>
          <t>North America</t>
        </is>
      </c>
      <c r="E1817" t="inlineStr">
        <is>
          <t>healthcare_quality_raw</t>
        </is>
      </c>
      <c r="F1817" t="inlineStr">
        <is>
          <t>Healthcare quality raw</t>
        </is>
      </c>
      <c r="G1817" t="inlineStr">
        <is>
          <t>capability</t>
        </is>
      </c>
      <c r="H1817" t="inlineStr">
        <is>
          <t>yes</t>
        </is>
      </c>
      <c r="I1817" t="inlineStr">
        <is>
          <t>82.0</t>
        </is>
      </c>
      <c r="J1817" t="inlineStr">
        <is>
          <t>who_gho</t>
        </is>
      </c>
      <c r="K1817" t="inlineStr">
        <is>
          <t>https://www.who.int/data/gho/data/indicators/indicator-details/GHO/UHC_INDEX_REPORTED</t>
        </is>
      </c>
      <c r="L1817" t="inlineStr">
        <is>
          <t>WHO GHO: UHC Service Coverage Index</t>
        </is>
      </c>
      <c r="M1817" t="inlineStr">
        <is>
          <t>2023-12-31</t>
        </is>
      </c>
      <c r="N1817" t="inlineStr">
        <is>
          <t>auto_ingest=who_gho; indicator=UHC_INDEX_REPORTED; year=2023; country_proxy=Panama</t>
        </is>
      </c>
    </row>
    <row r="1818">
      <c r="A1818" t="inlineStr">
        <is>
          <t>pa-panama-city</t>
        </is>
      </c>
      <c r="B1818" t="inlineStr">
        <is>
          <t>Panama City</t>
        </is>
      </c>
      <c r="C1818" t="inlineStr">
        <is>
          <t>Panama</t>
        </is>
      </c>
      <c r="D1818" t="inlineStr">
        <is>
          <t>North America</t>
        </is>
      </c>
      <c r="E1818" t="inlineStr">
        <is>
          <t>education_quality_raw</t>
        </is>
      </c>
      <c r="F1818" t="inlineStr">
        <is>
          <t>Education quality raw</t>
        </is>
      </c>
      <c r="G1818" t="inlineStr">
        <is>
          <t>capability</t>
        </is>
      </c>
      <c r="H1818" t="inlineStr">
        <is>
          <t>yes</t>
        </is>
      </c>
      <c r="I1818" t="inlineStr">
        <is>
          <t>53.69</t>
        </is>
      </c>
      <c r="J1818" t="inlineStr">
        <is>
          <t>world_bank</t>
        </is>
      </c>
      <c r="K1818" t="inlineStr">
        <is>
          <t>https://api.worldbank.org/v2/country/PAN/indicator/SE.TER.ENRR?format=json&amp;mrv=10</t>
        </is>
      </c>
      <c r="L1818" t="inlineStr">
        <is>
          <t>World Bank WDI: School enrollment, tertiary (% gross)</t>
        </is>
      </c>
      <c r="M1818" t="inlineStr">
        <is>
          <t>2023-12-31</t>
        </is>
      </c>
      <c r="N1818" t="inlineStr">
        <is>
          <t>auto_ingest=world_bank_proxy; indicator=SE.TER.ENRR; year=2023; country_proxy=Panama</t>
        </is>
      </c>
    </row>
    <row r="1819">
      <c r="A1819" t="inlineStr">
        <is>
          <t>pa-panama-city</t>
        </is>
      </c>
      <c r="B1819" t="inlineStr">
        <is>
          <t>Panama City</t>
        </is>
      </c>
      <c r="C1819" t="inlineStr">
        <is>
          <t>Panama</t>
        </is>
      </c>
      <c r="D1819" t="inlineStr">
        <is>
          <t>North America</t>
        </is>
      </c>
      <c r="E1819" t="inlineStr">
        <is>
          <t>equal_opportunity_raw</t>
        </is>
      </c>
      <c r="F1819" t="inlineStr">
        <is>
          <t>Equal opportunity raw</t>
        </is>
      </c>
      <c r="G1819" t="inlineStr">
        <is>
          <t>capability</t>
        </is>
      </c>
      <c r="H1819" t="inlineStr">
        <is>
          <t>yes</t>
        </is>
      </c>
      <c r="I1819" t="inlineStr">
        <is>
          <t>49.7</t>
        </is>
      </c>
      <c r="J1819" t="inlineStr">
        <is>
          <t>world_bank</t>
        </is>
      </c>
      <c r="K1819" t="inlineStr">
        <is>
          <t>https://api.worldbank.org/v2/country/PAN/indicator/SI.POV.GINI?format=json&amp;mrv=10</t>
        </is>
      </c>
      <c r="L1819" t="inlineStr">
        <is>
          <t>World Bank WDI: Gini index</t>
        </is>
      </c>
      <c r="M1819" t="inlineStr">
        <is>
          <t>2024-12-31</t>
        </is>
      </c>
      <c r="N1819" t="inlineStr">
        <is>
          <t>auto_ingest=world_bank_capability; indicator=SI.POV.GINI; year=2024; country_proxy=Panama</t>
        </is>
      </c>
    </row>
    <row r="1820">
      <c r="A1820" t="inlineStr">
        <is>
          <t>pa-panama-city</t>
        </is>
      </c>
      <c r="B1820" t="inlineStr">
        <is>
          <t>Panama City</t>
        </is>
      </c>
      <c r="C1820" t="inlineStr">
        <is>
          <t>Panama</t>
        </is>
      </c>
      <c r="D1820" t="inlineStr">
        <is>
          <t>North America</t>
        </is>
      </c>
      <c r="E1820" t="inlineStr">
        <is>
          <t>hospitality_belonging_raw</t>
        </is>
      </c>
      <c r="F1820" t="inlineStr">
        <is>
          <t>Hospitality and belonging raw</t>
        </is>
      </c>
      <c r="G1820" t="inlineStr">
        <is>
          <t>community</t>
        </is>
      </c>
      <c r="H1820" t="inlineStr">
        <is>
          <t>yes</t>
        </is>
      </c>
      <c r="I1820" t="inlineStr">
        <is>
          <t>51.36</t>
        </is>
      </c>
      <c r="J1820" t="inlineStr">
        <is>
          <t>world_bank</t>
        </is>
      </c>
      <c r="K1820" t="inlineStr">
        <is>
          <t>https://api.worldbank.org/v2/country/PAN/indicator/SM.POP.NETM?format=json&amp;mrv=10</t>
        </is>
      </c>
      <c r="L1820" t="inlineStr">
        <is>
          <t>World Bank WDI: Net migration (proxy for hospitality/belonging — positive = welcoming)</t>
        </is>
      </c>
      <c r="M1820" t="inlineStr">
        <is>
          <t>2025-12-31</t>
        </is>
      </c>
      <c r="N1820" t="inlineStr">
        <is>
          <t>auto_ingest=world_bank_proxy; proxy=net_migration_hospitality; indicator=SM.POP.NETM; year=2025; country_proxy=Panama</t>
        </is>
      </c>
    </row>
    <row r="1821">
      <c r="A1821" t="inlineStr">
        <is>
          <t>pa-panama-city</t>
        </is>
      </c>
      <c r="B1821" t="inlineStr">
        <is>
          <t>Panama City</t>
        </is>
      </c>
      <c r="C1821" t="inlineStr">
        <is>
          <t>Panama</t>
        </is>
      </c>
      <c r="D1821" t="inlineStr">
        <is>
          <t>North America</t>
        </is>
      </c>
      <c r="E1821" t="inlineStr">
        <is>
          <t>tolerance_pluralism_raw</t>
        </is>
      </c>
      <c r="F1821" t="inlineStr">
        <is>
          <t>Tolerance and pluralism raw</t>
        </is>
      </c>
      <c r="G1821" t="inlineStr">
        <is>
          <t>community</t>
        </is>
      </c>
      <c r="H1821" t="inlineStr">
        <is>
          <t>yes</t>
        </is>
      </c>
      <c r="I1821" t="inlineStr">
        <is>
          <t>21.43</t>
        </is>
      </c>
      <c r="J1821" t="inlineStr">
        <is>
          <t>world_bank</t>
        </is>
      </c>
      <c r="K1821" t="inlineStr">
        <is>
          <t>https://api.worldbank.org/v2/country/PAN/indicator/SG.GEN.PARL.ZS?format=json&amp;mrv=10</t>
        </is>
      </c>
      <c r="L1821" t="inlineStr">
        <is>
          <t>World Bank WDI: Proportion of seats held by women in national parliaments (%)</t>
        </is>
      </c>
      <c r="M1821" t="inlineStr">
        <is>
          <t>2024-12-31</t>
        </is>
      </c>
      <c r="N1821" t="inlineStr">
        <is>
          <t>auto_ingest=world_bank_proxy; proxy=gender_parity_parliament; indicator=SG.GEN.PARL.ZS; year=2024; country_proxy=Panama</t>
        </is>
      </c>
    </row>
    <row r="1822">
      <c r="A1822" t="inlineStr">
        <is>
          <t>pa-panama-city</t>
        </is>
      </c>
      <c r="B1822" t="inlineStr">
        <is>
          <t>Panama City</t>
        </is>
      </c>
      <c r="C1822" t="inlineStr">
        <is>
          <t>Panama</t>
        </is>
      </c>
      <c r="D1822" t="inlineStr">
        <is>
          <t>North America</t>
        </is>
      </c>
      <c r="E1822" t="inlineStr">
        <is>
          <t>cultural_public_life_raw</t>
        </is>
      </c>
      <c r="F1822" t="inlineStr">
        <is>
          <t>Cultural public life raw</t>
        </is>
      </c>
      <c r="G1822" t="inlineStr">
        <is>
          <t>community</t>
        </is>
      </c>
      <c r="H1822" t="inlineStr">
        <is>
          <t>yes</t>
        </is>
      </c>
      <c r="I1822" t="inlineStr">
        <is>
          <t>143.28</t>
        </is>
      </c>
      <c r="J1822" t="inlineStr">
        <is>
          <t>world_bank</t>
        </is>
      </c>
      <c r="K1822" t="inlineStr">
        <is>
          <t>https://api.worldbank.org/v2/country/PAN/indicator/ST.INT.ARVL?format=json&amp;mrv=10</t>
        </is>
      </c>
      <c r="L1822" t="inlineStr">
        <is>
          <t>World Bank WDI: International tourism arrivals per 1 000 population</t>
        </is>
      </c>
      <c r="M1822" t="inlineStr">
        <is>
          <t>2020-12-31</t>
        </is>
      </c>
      <c r="N1822" t="inlineStr">
        <is>
          <t>auto_ingest=cultural_life_proxy; indicator=ST.INT.ARVL; norm=per_1000_pop; year=2020; country_proxy=Panama</t>
        </is>
      </c>
    </row>
    <row r="1823">
      <c r="A1823" t="inlineStr">
        <is>
          <t>pa-panama-city</t>
        </is>
      </c>
      <c r="B1823" t="inlineStr">
        <is>
          <t>Panama City</t>
        </is>
      </c>
      <c r="C1823" t="inlineStr">
        <is>
          <t>Panama</t>
        </is>
      </c>
      <c r="D1823" t="inlineStr">
        <is>
          <t>North America</t>
        </is>
      </c>
      <c r="E1823" t="inlineStr">
        <is>
          <t>birth_rate_optimism_raw</t>
        </is>
      </c>
      <c r="F1823" t="inlineStr">
        <is>
          <t>Birth rate and societal optimism raw</t>
        </is>
      </c>
      <c r="G1823" t="inlineStr">
        <is>
          <t>community</t>
        </is>
      </c>
      <c r="H1823" t="inlineStr">
        <is>
          <t>yes</t>
        </is>
      </c>
      <c r="I1823" t="inlineStr"/>
      <c r="J1823" t="inlineStr"/>
      <c r="K1823" t="inlineStr"/>
      <c r="L1823" t="inlineStr"/>
      <c r="M1823" t="inlineStr"/>
      <c r="N1823" t="inlineStr"/>
    </row>
    <row r="1824">
      <c r="A1824" t="inlineStr">
        <is>
          <t>pa-panama-city</t>
        </is>
      </c>
      <c r="B1824" t="inlineStr">
        <is>
          <t>Panama City</t>
        </is>
      </c>
      <c r="C1824" t="inlineStr">
        <is>
          <t>Panama</t>
        </is>
      </c>
      <c r="D1824" t="inlineStr">
        <is>
          <t>North America</t>
        </is>
      </c>
      <c r="E1824" t="inlineStr">
        <is>
          <t>entrepreneurial_dynamism_raw</t>
        </is>
      </c>
      <c r="F1824" t="inlineStr">
        <is>
          <t>Entrepreneurial dynamism raw</t>
        </is>
      </c>
      <c r="G1824" t="inlineStr">
        <is>
          <t>creative</t>
        </is>
      </c>
      <c r="H1824" t="inlineStr">
        <is>
          <t>yes</t>
        </is>
      </c>
      <c r="I1824" t="inlineStr">
        <is>
          <t>4.55</t>
        </is>
      </c>
      <c r="J1824" t="inlineStr">
        <is>
          <t>world_bank</t>
        </is>
      </c>
      <c r="K1824" t="inlineStr">
        <is>
          <t>https://api.worldbank.org/v2/country/PAN/indicator/IC.BUS.NDNS.ZS?format=json&amp;mrv=10</t>
        </is>
      </c>
      <c r="L1824" t="inlineStr">
        <is>
          <t>World Bank WDI: New business density (new registrations per 1,000 people ages 15-64)</t>
        </is>
      </c>
      <c r="M1824" t="inlineStr">
        <is>
          <t>2022-12-31</t>
        </is>
      </c>
      <c r="N1824" t="inlineStr">
        <is>
          <t>auto_ingest=world_bank_creative_extended; indicator=IC.BUS.NDNS.ZS; year=2022; country_proxy=Panama</t>
        </is>
      </c>
    </row>
    <row r="1825">
      <c r="A1825" t="inlineStr">
        <is>
          <t>pa-panama-city</t>
        </is>
      </c>
      <c r="B1825" t="inlineStr">
        <is>
          <t>Panama City</t>
        </is>
      </c>
      <c r="C1825" t="inlineStr">
        <is>
          <t>Panama</t>
        </is>
      </c>
      <c r="D1825" t="inlineStr">
        <is>
          <t>North America</t>
        </is>
      </c>
      <c r="E1825" t="inlineStr">
        <is>
          <t>innovation_research_intensity_raw</t>
        </is>
      </c>
      <c r="F1825" t="inlineStr">
        <is>
          <t>Innovation and research raw</t>
        </is>
      </c>
      <c r="G1825" t="inlineStr">
        <is>
          <t>creative</t>
        </is>
      </c>
      <c r="H1825" t="inlineStr">
        <is>
          <t>yes</t>
        </is>
      </c>
      <c r="I1825" t="inlineStr">
        <is>
          <t>0.16</t>
        </is>
      </c>
      <c r="J1825" t="inlineStr">
        <is>
          <t>world_bank</t>
        </is>
      </c>
      <c r="K1825" t="inlineStr">
        <is>
          <t>https://api.worldbank.org/v2/country/PAN/indicator/GB.XPD.RSDV.GD.ZS?format=json&amp;mrv=10</t>
        </is>
      </c>
      <c r="L1825" t="inlineStr">
        <is>
          <t>World Bank WDI: Research and development expenditure (% of GDP)</t>
        </is>
      </c>
      <c r="M1825" t="inlineStr">
        <is>
          <t>2023-12-31</t>
        </is>
      </c>
      <c r="N1825" t="inlineStr">
        <is>
          <t>auto_ingest=world_bank_creative_extended; indicator=GB.XPD.RSDV.GD.ZS; year=2023; country_proxy=Panama</t>
        </is>
      </c>
    </row>
    <row r="1826">
      <c r="A1826" t="inlineStr">
        <is>
          <t>pa-panama-city</t>
        </is>
      </c>
      <c r="B1826" t="inlineStr">
        <is>
          <t>Panama City</t>
        </is>
      </c>
      <c r="C1826" t="inlineStr">
        <is>
          <t>Panama</t>
        </is>
      </c>
      <c r="D1826" t="inlineStr">
        <is>
          <t>North America</t>
        </is>
      </c>
      <c r="E1826" t="inlineStr">
        <is>
          <t>investment_signal_raw</t>
        </is>
      </c>
      <c r="F1826" t="inlineStr">
        <is>
          <t>Investment signal raw</t>
        </is>
      </c>
      <c r="G1826" t="inlineStr">
        <is>
          <t>creative</t>
        </is>
      </c>
      <c r="H1826" t="inlineStr">
        <is>
          <t>yes</t>
        </is>
      </c>
      <c r="I1826" t="inlineStr">
        <is>
          <t>3.75</t>
        </is>
      </c>
      <c r="J1826" t="inlineStr">
        <is>
          <t>world_bank</t>
        </is>
      </c>
      <c r="K1826" t="inlineStr">
        <is>
          <t>https://api.worldbank.org/v2/country/PAN/indicator/BX.KLT.DINV.WD.GD.ZS?format=json&amp;mrv=10</t>
        </is>
      </c>
      <c r="L1826" t="inlineStr">
        <is>
          <t>World Bank WDI: Foreign direct investment, net inflows (% of GDP)</t>
        </is>
      </c>
      <c r="M1826" t="inlineStr">
        <is>
          <t>2024-12-31</t>
        </is>
      </c>
      <c r="N1826" t="inlineStr">
        <is>
          <t>auto_ingest=world_bank_creative_extended; indicator=BX.KLT.DINV.WD.GD.ZS; year=2024; country_proxy=Panama</t>
        </is>
      </c>
    </row>
    <row r="1827">
      <c r="A1827" t="inlineStr">
        <is>
          <t>pa-panama-city</t>
        </is>
      </c>
      <c r="B1827" t="inlineStr">
        <is>
          <t>Panama City</t>
        </is>
      </c>
      <c r="C1827" t="inlineStr">
        <is>
          <t>Panama</t>
        </is>
      </c>
      <c r="D1827" t="inlineStr">
        <is>
          <t>North America</t>
        </is>
      </c>
      <c r="E1827" t="inlineStr">
        <is>
          <t>administrative_investment_friction_raw</t>
        </is>
      </c>
      <c r="F1827" t="inlineStr">
        <is>
          <t>Administrative investment friction raw</t>
        </is>
      </c>
      <c r="G1827" t="inlineStr">
        <is>
          <t>creative</t>
        </is>
      </c>
      <c r="H1827" t="inlineStr">
        <is>
          <t>yes</t>
        </is>
      </c>
      <c r="I1827" t="inlineStr">
        <is>
          <t>2.38</t>
        </is>
      </c>
      <c r="J1827" t="inlineStr">
        <is>
          <t>world_bank</t>
        </is>
      </c>
      <c r="K1827" t="inlineStr">
        <is>
          <t>https://api.worldbank.org/v2/country/PAN/indicator/RQ.EST?format=json&amp;mrv=10</t>
        </is>
      </c>
      <c r="L1827" t="inlineStr">
        <is>
          <t>World Bank WGI: Regulatory Quality (inverted as friction proxy)</t>
        </is>
      </c>
      <c r="M1827" t="inlineStr">
        <is>
          <t>2023-12-31</t>
        </is>
      </c>
      <c r="N1827" t="inlineStr">
        <is>
          <t>auto_ingest=world_bank_business_friction; indicator=RQ.EST; raw_rq=0.118782818317413; friction=2.38; year=2023; country_proxy=Panama</t>
        </is>
      </c>
    </row>
    <row r="1828">
      <c r="A1828" t="inlineStr">
        <is>
          <t>pa-panama-city</t>
        </is>
      </c>
      <c r="B1828" t="inlineStr">
        <is>
          <t>Panama City</t>
        </is>
      </c>
      <c r="C1828" t="inlineStr">
        <is>
          <t>Panama</t>
        </is>
      </c>
      <c r="D1828" t="inlineStr">
        <is>
          <t>North America</t>
        </is>
      </c>
      <c r="E1828" t="inlineStr">
        <is>
          <t>visitor_flow_context_raw</t>
        </is>
      </c>
      <c r="F1828" t="inlineStr">
        <is>
          <t>Visitor flow context raw</t>
        </is>
      </c>
      <c r="G1828" t="inlineStr">
        <is>
          <t>creative</t>
        </is>
      </c>
      <c r="H1828" t="inlineStr">
        <is>
          <t>no</t>
        </is>
      </c>
      <c r="I1828" t="inlineStr"/>
      <c r="J1828" t="inlineStr"/>
      <c r="K1828" t="inlineStr"/>
      <c r="L1828" t="inlineStr"/>
      <c r="M1828" t="inlineStr"/>
      <c r="N1828" t="inlineStr"/>
    </row>
    <row r="1829">
      <c r="A1829" t="inlineStr">
        <is>
          <t>cr-san-jose</t>
        </is>
      </c>
      <c r="B1829" t="inlineStr">
        <is>
          <t>San Jose</t>
        </is>
      </c>
      <c r="C1829" t="inlineStr">
        <is>
          <t>Costa Rica</t>
        </is>
      </c>
      <c r="D1829" t="inlineStr">
        <is>
          <t>North America</t>
        </is>
      </c>
      <c r="E1829" t="inlineStr">
        <is>
          <t>gross_income</t>
        </is>
      </c>
      <c r="F1829" t="inlineStr">
        <is>
          <t>Gross income</t>
        </is>
      </c>
      <c r="G1829" t="inlineStr">
        <is>
          <t>pressure</t>
        </is>
      </c>
      <c r="H1829" t="inlineStr">
        <is>
          <t>yes</t>
        </is>
      </c>
      <c r="I1829" t="inlineStr">
        <is>
          <t>2403.33</t>
        </is>
      </c>
      <c r="J1829" t="inlineStr">
        <is>
          <t>world_bank_col_estimate</t>
        </is>
      </c>
      <c r="K1829" t="inlineStr">
        <is>
          <t>https://api.worldbank.org/v2/country/CRI/indicator/NY.GNP.PCAP.PP.CD?format=json&amp;mrv=10</t>
        </is>
      </c>
      <c r="L1829" t="inlineStr">
        <is>
          <t>World Bank WDI: GNI per capita PPP (monthly USD)</t>
        </is>
      </c>
      <c r="M1829" t="inlineStr">
        <is>
          <t>2024-12-31</t>
        </is>
      </c>
      <c r="N1829" t="inlineStr">
        <is>
          <t>auto_ingest=world_bank_col_estimate; gni_annual=28840.0; year=2024; country_proxy=Costa Rica; cohort=North America</t>
        </is>
      </c>
    </row>
    <row r="1830">
      <c r="A1830" t="inlineStr">
        <is>
          <t>cr-san-jose</t>
        </is>
      </c>
      <c r="B1830" t="inlineStr">
        <is>
          <t>San Jose</t>
        </is>
      </c>
      <c r="C1830" t="inlineStr">
        <is>
          <t>Costa Rica</t>
        </is>
      </c>
      <c r="D1830" t="inlineStr">
        <is>
          <t>North America</t>
        </is>
      </c>
      <c r="E1830" t="inlineStr">
        <is>
          <t>di_ppp_raw</t>
        </is>
      </c>
      <c r="F1830" t="inlineStr">
        <is>
          <t>Disposable income PPP (Raw)</t>
        </is>
      </c>
      <c r="G1830" t="inlineStr">
        <is>
          <t>pressure</t>
        </is>
      </c>
      <c r="H1830" t="inlineStr">
        <is>
          <t>yes</t>
        </is>
      </c>
      <c r="I1830" t="inlineStr"/>
      <c r="J1830" t="inlineStr"/>
      <c r="K1830" t="inlineStr"/>
      <c r="L1830" t="inlineStr"/>
      <c r="M1830" t="inlineStr"/>
      <c r="N1830" t="inlineStr"/>
    </row>
    <row r="1831">
      <c r="A1831" t="inlineStr">
        <is>
          <t>cr-san-jose</t>
        </is>
      </c>
      <c r="B1831" t="inlineStr">
        <is>
          <t>San Jose</t>
        </is>
      </c>
      <c r="C1831" t="inlineStr">
        <is>
          <t>Costa Rica</t>
        </is>
      </c>
      <c r="D1831" t="inlineStr">
        <is>
          <t>North America</t>
        </is>
      </c>
      <c r="E1831" t="inlineStr">
        <is>
          <t>rent</t>
        </is>
      </c>
      <c r="F1831" t="inlineStr">
        <is>
          <t>Rent</t>
        </is>
      </c>
      <c r="G1831" t="inlineStr">
        <is>
          <t>pressure</t>
        </is>
      </c>
      <c r="H1831" t="inlineStr">
        <is>
          <t>yes</t>
        </is>
      </c>
      <c r="I1831" t="inlineStr">
        <is>
          <t>757.05</t>
        </is>
      </c>
      <c r="J1831" t="inlineStr">
        <is>
          <t>world_bank_col_estimate</t>
        </is>
      </c>
      <c r="K1831" t="inlineStr">
        <is>
          <t>https://api.worldbank.org/v2/country/CRI/indicator/NY.GNP.PCAP.PP.CD?format=json&amp;mrv=10</t>
        </is>
      </c>
      <c r="L1831" t="inlineStr">
        <is>
          <t>World Bank GNI + regional expenditure ratio estimate</t>
        </is>
      </c>
      <c r="M1831" t="inlineStr">
        <is>
          <t>2024-12-31</t>
        </is>
      </c>
      <c r="N1831" t="inlineStr">
        <is>
          <t>auto_ingest=world_bank_col_estimate; gni_annual=28840.0; year=2024; country_proxy=Costa Rica; cohort=North America; city_cost_mult=0.9</t>
        </is>
      </c>
    </row>
    <row r="1832">
      <c r="A1832" t="inlineStr">
        <is>
          <t>cr-san-jose</t>
        </is>
      </c>
      <c r="B1832" t="inlineStr">
        <is>
          <t>San Jose</t>
        </is>
      </c>
      <c r="C1832" t="inlineStr">
        <is>
          <t>Costa Rica</t>
        </is>
      </c>
      <c r="D1832" t="inlineStr">
        <is>
          <t>North America</t>
        </is>
      </c>
      <c r="E1832" t="inlineStr">
        <is>
          <t>utilities</t>
        </is>
      </c>
      <c r="F1832" t="inlineStr">
        <is>
          <t>Utilities</t>
        </is>
      </c>
      <c r="G1832" t="inlineStr">
        <is>
          <t>pressure</t>
        </is>
      </c>
      <c r="H1832" t="inlineStr">
        <is>
          <t>yes</t>
        </is>
      </c>
      <c r="I1832" t="inlineStr">
        <is>
          <t>151.41</t>
        </is>
      </c>
      <c r="J1832" t="inlineStr">
        <is>
          <t>world_bank_col_estimate</t>
        </is>
      </c>
      <c r="K1832" t="inlineStr">
        <is>
          <t>https://api.worldbank.org/v2/country/CRI/indicator/NY.GNP.PCAP.PP.CD?format=json&amp;mrv=10</t>
        </is>
      </c>
      <c r="L1832" t="inlineStr">
        <is>
          <t>World Bank GNI + regional expenditure ratio estimate</t>
        </is>
      </c>
      <c r="M1832" t="inlineStr">
        <is>
          <t>2024-12-31</t>
        </is>
      </c>
      <c r="N1832" t="inlineStr">
        <is>
          <t>auto_ingest=world_bank_col_estimate; gni_annual=28840.0; year=2024; country_proxy=Costa Rica; cohort=North America; city_cost_mult=0.9</t>
        </is>
      </c>
    </row>
    <row r="1833">
      <c r="A1833" t="inlineStr">
        <is>
          <t>cr-san-jose</t>
        </is>
      </c>
      <c r="B1833" t="inlineStr">
        <is>
          <t>San Jose</t>
        </is>
      </c>
      <c r="C1833" t="inlineStr">
        <is>
          <t>Costa Rica</t>
        </is>
      </c>
      <c r="D1833" t="inlineStr">
        <is>
          <t>North America</t>
        </is>
      </c>
      <c r="E1833" t="inlineStr">
        <is>
          <t>transit_cost</t>
        </is>
      </c>
      <c r="F1833" t="inlineStr">
        <is>
          <t>Transit cost</t>
        </is>
      </c>
      <c r="G1833" t="inlineStr">
        <is>
          <t>pressure</t>
        </is>
      </c>
      <c r="H1833" t="inlineStr">
        <is>
          <t>yes</t>
        </is>
      </c>
      <c r="I1833" t="inlineStr">
        <is>
          <t>108.15</t>
        </is>
      </c>
      <c r="J1833" t="inlineStr">
        <is>
          <t>world_bank_col_estimate</t>
        </is>
      </c>
      <c r="K1833" t="inlineStr">
        <is>
          <t>https://api.worldbank.org/v2/country/CRI/indicator/NY.GNP.PCAP.PP.CD?format=json&amp;mrv=10</t>
        </is>
      </c>
      <c r="L1833" t="inlineStr">
        <is>
          <t>World Bank GNI + regional expenditure ratio estimate</t>
        </is>
      </c>
      <c r="M1833" t="inlineStr">
        <is>
          <t>2024-12-31</t>
        </is>
      </c>
      <c r="N1833" t="inlineStr">
        <is>
          <t>auto_ingest=world_bank_col_estimate; gni_annual=28840.0; year=2024; country_proxy=Costa Rica; cohort=North America; city_cost_mult=0.9</t>
        </is>
      </c>
    </row>
    <row r="1834">
      <c r="A1834" t="inlineStr">
        <is>
          <t>cr-san-jose</t>
        </is>
      </c>
      <c r="B1834" t="inlineStr">
        <is>
          <t>San Jose</t>
        </is>
      </c>
      <c r="C1834" t="inlineStr">
        <is>
          <t>Costa Rica</t>
        </is>
      </c>
      <c r="D1834" t="inlineStr">
        <is>
          <t>North America</t>
        </is>
      </c>
      <c r="E1834" t="inlineStr">
        <is>
          <t>internet_cost</t>
        </is>
      </c>
      <c r="F1834" t="inlineStr">
        <is>
          <t>Internet cost</t>
        </is>
      </c>
      <c r="G1834" t="inlineStr">
        <is>
          <t>pressure</t>
        </is>
      </c>
      <c r="H1834" t="inlineStr">
        <is>
          <t>yes</t>
        </is>
      </c>
      <c r="I1834" t="inlineStr">
        <is>
          <t>43.26</t>
        </is>
      </c>
      <c r="J1834" t="inlineStr">
        <is>
          <t>world_bank_col_estimate</t>
        </is>
      </c>
      <c r="K1834" t="inlineStr">
        <is>
          <t>https://api.worldbank.org/v2/country/CRI/indicator/NY.GNP.PCAP.PP.CD?format=json&amp;mrv=10</t>
        </is>
      </c>
      <c r="L1834" t="inlineStr">
        <is>
          <t>World Bank GNI + regional expenditure ratio estimate</t>
        </is>
      </c>
      <c r="M1834" t="inlineStr">
        <is>
          <t>2024-12-31</t>
        </is>
      </c>
      <c r="N1834" t="inlineStr">
        <is>
          <t>auto_ingest=world_bank_col_estimate; gni_annual=28840.0; year=2024; country_proxy=Costa Rica; cohort=North America; city_cost_mult=0.9</t>
        </is>
      </c>
    </row>
    <row r="1835">
      <c r="A1835" t="inlineStr">
        <is>
          <t>cr-san-jose</t>
        </is>
      </c>
      <c r="B1835" t="inlineStr">
        <is>
          <t>San Jose</t>
        </is>
      </c>
      <c r="C1835" t="inlineStr">
        <is>
          <t>Costa Rica</t>
        </is>
      </c>
      <c r="D1835" t="inlineStr">
        <is>
          <t>North America</t>
        </is>
      </c>
      <c r="E1835" t="inlineStr">
        <is>
          <t>food_cost</t>
        </is>
      </c>
      <c r="F1835" t="inlineStr">
        <is>
          <t>Food cost</t>
        </is>
      </c>
      <c r="G1835" t="inlineStr">
        <is>
          <t>pressure</t>
        </is>
      </c>
      <c r="H1835" t="inlineStr">
        <is>
          <t>yes</t>
        </is>
      </c>
      <c r="I1835" t="inlineStr">
        <is>
          <t>324.45</t>
        </is>
      </c>
      <c r="J1835" t="inlineStr">
        <is>
          <t>world_bank_col_estimate</t>
        </is>
      </c>
      <c r="K1835" t="inlineStr">
        <is>
          <t>https://api.worldbank.org/v2/country/CRI/indicator/NY.GNP.PCAP.PP.CD?format=json&amp;mrv=10</t>
        </is>
      </c>
      <c r="L1835" t="inlineStr">
        <is>
          <t>World Bank GNI + regional expenditure ratio estimate</t>
        </is>
      </c>
      <c r="M1835" t="inlineStr">
        <is>
          <t>2024-12-31</t>
        </is>
      </c>
      <c r="N1835" t="inlineStr">
        <is>
          <t>auto_ingest=world_bank_col_estimate; gni_annual=28840.0; year=2024; country_proxy=Costa Rica; cohort=North America; city_cost_mult=0.9</t>
        </is>
      </c>
    </row>
    <row r="1836">
      <c r="A1836" t="inlineStr">
        <is>
          <t>cr-san-jose</t>
        </is>
      </c>
      <c r="B1836" t="inlineStr">
        <is>
          <t>San Jose</t>
        </is>
      </c>
      <c r="C1836" t="inlineStr">
        <is>
          <t>Costa Rica</t>
        </is>
      </c>
      <c r="D1836" t="inlineStr">
        <is>
          <t>North America</t>
        </is>
      </c>
      <c r="E1836" t="inlineStr">
        <is>
          <t>housing_burden_raw</t>
        </is>
      </c>
      <c r="F1836" t="inlineStr">
        <is>
          <t>Housing burden raw</t>
        </is>
      </c>
      <c r="G1836" t="inlineStr">
        <is>
          <t>pressure</t>
        </is>
      </c>
      <c r="H1836" t="inlineStr">
        <is>
          <t>yes</t>
        </is>
      </c>
      <c r="I1836" t="inlineStr">
        <is>
          <t>31.5</t>
        </is>
      </c>
      <c r="J1836" t="inlineStr">
        <is>
          <t>derived</t>
        </is>
      </c>
      <c r="K1836" t="inlineStr">
        <is>
          <t>https://data.worldbank.org/indicator/NY.GNP.PCAP.PP.CD</t>
        </is>
      </c>
      <c r="L1836" t="inlineStr">
        <is>
          <t>Computed from city_inputs + country_context</t>
        </is>
      </c>
      <c r="M1836" t="inlineStr">
        <is>
          <t>2024-01-01</t>
        </is>
      </c>
      <c r="N1836" t="inlineStr">
        <is>
          <t>derived=rent/gross_income*100</t>
        </is>
      </c>
    </row>
    <row r="1837">
      <c r="A1837" t="inlineStr">
        <is>
          <t>cr-san-jose</t>
        </is>
      </c>
      <c r="B1837" t="inlineStr">
        <is>
          <t>San Jose</t>
        </is>
      </c>
      <c r="C1837" t="inlineStr">
        <is>
          <t>Costa Rica</t>
        </is>
      </c>
      <c r="D1837" t="inlineStr">
        <is>
          <t>North America</t>
        </is>
      </c>
      <c r="E1837" t="inlineStr">
        <is>
          <t>household_debt_burden_raw</t>
        </is>
      </c>
      <c r="F1837" t="inlineStr">
        <is>
          <t>Household debt burden raw</t>
        </is>
      </c>
      <c r="G1837" t="inlineStr">
        <is>
          <t>pressure</t>
        </is>
      </c>
      <c r="H1837" t="inlineStr">
        <is>
          <t>yes</t>
        </is>
      </c>
      <c r="I1837" t="inlineStr">
        <is>
          <t>50.9742</t>
        </is>
      </c>
      <c r="J1837" t="inlineStr">
        <is>
          <t>derived</t>
        </is>
      </c>
      <c r="K1837" t="inlineStr">
        <is>
          <t>https://data.worldbank.org/indicator/NY.GNP.PCAP.PP.CD</t>
        </is>
      </c>
      <c r="L1837" t="inlineStr">
        <is>
          <t>Computed from city_inputs + country_context</t>
        </is>
      </c>
      <c r="M1837" t="inlineStr">
        <is>
          <t>2024-01-01</t>
        </is>
      </c>
      <c r="N1837" t="inlineStr">
        <is>
          <t>derived=country_context.household_debt_proxy; country=Costa Rica</t>
        </is>
      </c>
    </row>
    <row r="1838">
      <c r="A1838" t="inlineStr">
        <is>
          <t>cr-san-jose</t>
        </is>
      </c>
      <c r="B1838" t="inlineStr">
        <is>
          <t>San Jose</t>
        </is>
      </c>
      <c r="C1838" t="inlineStr">
        <is>
          <t>Costa Rica</t>
        </is>
      </c>
      <c r="D1838" t="inlineStr">
        <is>
          <t>North America</t>
        </is>
      </c>
      <c r="E1838" t="inlineStr">
        <is>
          <t>working_time_pressure_raw</t>
        </is>
      </c>
      <c r="F1838" t="inlineStr">
        <is>
          <t>Working time pressure raw</t>
        </is>
      </c>
      <c r="G1838" t="inlineStr">
        <is>
          <t>pressure</t>
        </is>
      </c>
      <c r="H1838" t="inlineStr">
        <is>
          <t>yes</t>
        </is>
      </c>
      <c r="I1838" t="inlineStr">
        <is>
          <t>42.88</t>
        </is>
      </c>
      <c r="J1838" t="inlineStr">
        <is>
          <t>ilo_ilostat</t>
        </is>
      </c>
      <c r="K1838" t="inlineStr">
        <is>
          <t>https://ilostat.ilo.org/data/indicator/?id=HOW_TEMP_SEX_ECO_NB_A&amp;ref_area=CRI</t>
        </is>
      </c>
      <c r="L1838" t="inlineStr">
        <is>
          <t>ILO ILOSTAT: Mean weekly hours actually worked per employed person</t>
        </is>
      </c>
      <c r="M1838" t="inlineStr">
        <is>
          <t>2025-12-31</t>
        </is>
      </c>
      <c r="N1838" t="inlineStr">
        <is>
          <t>auto_ingest=ilo_working_hours; indicator=HOW_TEMP_SEX_ECO_NB_A; year=2025; hours=42.88; country_proxy=Costa Rica</t>
        </is>
      </c>
    </row>
    <row r="1839">
      <c r="A1839" t="inlineStr">
        <is>
          <t>cr-san-jose</t>
        </is>
      </c>
      <c r="B1839" t="inlineStr">
        <is>
          <t>San Jose</t>
        </is>
      </c>
      <c r="C1839" t="inlineStr">
        <is>
          <t>Costa Rica</t>
        </is>
      </c>
      <c r="D1839" t="inlineStr">
        <is>
          <t>North America</t>
        </is>
      </c>
      <c r="E1839" t="inlineStr">
        <is>
          <t>suicide_mental_strain_raw</t>
        </is>
      </c>
      <c r="F1839" t="inlineStr">
        <is>
          <t>Suicide or mental strain raw</t>
        </is>
      </c>
      <c r="G1839" t="inlineStr">
        <is>
          <t>pressure</t>
        </is>
      </c>
      <c r="H1839" t="inlineStr">
        <is>
          <t>yes</t>
        </is>
      </c>
      <c r="I1839" t="inlineStr">
        <is>
          <t>8.06</t>
        </is>
      </c>
      <c r="J1839" t="inlineStr">
        <is>
          <t>who_gho</t>
        </is>
      </c>
      <c r="K1839" t="inlineStr">
        <is>
          <t>https://www.who.int/data/gho/data/indicators/indicator-details/GHO/SDGSUICIDE</t>
        </is>
      </c>
      <c r="L1839" t="inlineStr">
        <is>
          <t>WHO GHO: Age-standardized suicide rate (per 100,000 population)</t>
        </is>
      </c>
      <c r="M1839" t="inlineStr">
        <is>
          <t>2021-12-31</t>
        </is>
      </c>
      <c r="N1839" t="inlineStr">
        <is>
          <t>auto_ingest=who_gho; indicator=SDGSUICIDE; year=2021; country_proxy=Costa Rica</t>
        </is>
      </c>
    </row>
    <row r="1840">
      <c r="A1840" t="inlineStr">
        <is>
          <t>cr-san-jose</t>
        </is>
      </c>
      <c r="B1840" t="inlineStr">
        <is>
          <t>San Jose</t>
        </is>
      </c>
      <c r="C1840" t="inlineStr">
        <is>
          <t>Costa Rica</t>
        </is>
      </c>
      <c r="D1840" t="inlineStr">
        <is>
          <t>North America</t>
        </is>
      </c>
      <c r="E1840" t="inlineStr">
        <is>
          <t>personal_safety_raw</t>
        </is>
      </c>
      <c r="F1840" t="inlineStr">
        <is>
          <t>Personal safety raw</t>
        </is>
      </c>
      <c r="G1840" t="inlineStr">
        <is>
          <t>viability</t>
        </is>
      </c>
      <c r="H1840" t="inlineStr">
        <is>
          <t>yes</t>
        </is>
      </c>
      <c r="I1840" t="inlineStr">
        <is>
          <t>17.75</t>
        </is>
      </c>
      <c r="J1840" t="inlineStr">
        <is>
          <t>world_bank</t>
        </is>
      </c>
      <c r="K1840" t="inlineStr">
        <is>
          <t>https://api.worldbank.org/v2/country/CRI/indicator/VC.IHR.PSRC.P5?format=json&amp;mrv=10</t>
        </is>
      </c>
      <c r="L1840" t="inlineStr">
        <is>
          <t>UNODC via World Bank WDI: Intentional homicides (per 100,000 people)</t>
        </is>
      </c>
      <c r="M1840" t="inlineStr">
        <is>
          <t>2023-12-31</t>
        </is>
      </c>
      <c r="N1840" t="inlineStr">
        <is>
          <t>auto_ingest=unodc_safety; indicator=VC.IHR.PSRC.P5; year=2023; country_proxy=Costa Rica</t>
        </is>
      </c>
    </row>
    <row r="1841">
      <c r="A1841" t="inlineStr">
        <is>
          <t>cr-san-jose</t>
        </is>
      </c>
      <c r="B1841" t="inlineStr">
        <is>
          <t>San Jose</t>
        </is>
      </c>
      <c r="C1841" t="inlineStr">
        <is>
          <t>Costa Rica</t>
        </is>
      </c>
      <c r="D1841" t="inlineStr">
        <is>
          <t>North America</t>
        </is>
      </c>
      <c r="E1841" t="inlineStr">
        <is>
          <t>transit_access_commute_raw</t>
        </is>
      </c>
      <c r="F1841" t="inlineStr">
        <is>
          <t>Transit access and commute raw</t>
        </is>
      </c>
      <c r="G1841" t="inlineStr">
        <is>
          <t>viability</t>
        </is>
      </c>
      <c r="H1841" t="inlineStr">
        <is>
          <t>yes</t>
        </is>
      </c>
      <c r="I1841" t="inlineStr"/>
      <c r="J1841" t="inlineStr"/>
      <c r="K1841" t="inlineStr"/>
      <c r="L1841" t="inlineStr"/>
      <c r="M1841" t="inlineStr"/>
      <c r="N1841" t="inlineStr"/>
    </row>
    <row r="1842">
      <c r="A1842" t="inlineStr">
        <is>
          <t>cr-san-jose</t>
        </is>
      </c>
      <c r="B1842" t="inlineStr">
        <is>
          <t>San Jose</t>
        </is>
      </c>
      <c r="C1842" t="inlineStr">
        <is>
          <t>Costa Rica</t>
        </is>
      </c>
      <c r="D1842" t="inlineStr">
        <is>
          <t>North America</t>
        </is>
      </c>
      <c r="E1842" t="inlineStr">
        <is>
          <t>clean_air_raw</t>
        </is>
      </c>
      <c r="F1842" t="inlineStr">
        <is>
          <t>Clean air raw</t>
        </is>
      </c>
      <c r="G1842" t="inlineStr">
        <is>
          <t>viability</t>
        </is>
      </c>
      <c r="H1842" t="inlineStr">
        <is>
          <t>yes</t>
        </is>
      </c>
      <c r="I1842" t="inlineStr"/>
      <c r="J1842" t="inlineStr"/>
      <c r="K1842" t="inlineStr"/>
      <c r="L1842" t="inlineStr"/>
      <c r="M1842" t="inlineStr"/>
      <c r="N1842" t="inlineStr"/>
    </row>
    <row r="1843">
      <c r="A1843" t="inlineStr">
        <is>
          <t>cr-san-jose</t>
        </is>
      </c>
      <c r="B1843" t="inlineStr">
        <is>
          <t>San Jose</t>
        </is>
      </c>
      <c r="C1843" t="inlineStr">
        <is>
          <t>Costa Rica</t>
        </is>
      </c>
      <c r="D1843" t="inlineStr">
        <is>
          <t>North America</t>
        </is>
      </c>
      <c r="E1843" t="inlineStr">
        <is>
          <t>water_sanitation_utility_raw</t>
        </is>
      </c>
      <c r="F1843" t="inlineStr">
        <is>
          <t>Water, sanitation, and utility raw</t>
        </is>
      </c>
      <c r="G1843" t="inlineStr">
        <is>
          <t>viability</t>
        </is>
      </c>
      <c r="H1843" t="inlineStr">
        <is>
          <t>yes</t>
        </is>
      </c>
      <c r="I1843" t="inlineStr">
        <is>
          <t>80.5</t>
        </is>
      </c>
      <c r="J1843" t="inlineStr">
        <is>
          <t>world_bank</t>
        </is>
      </c>
      <c r="K1843" t="inlineStr">
        <is>
          <t>https://api.worldbank.org/v2/country/CRI/indicator/SH.H2O.SMDW.ZS?format=json&amp;mrv=10</t>
        </is>
      </c>
      <c r="L1843" t="inlineStr">
        <is>
          <t>World Bank WDI: People using safely managed drinking water services (% of population)</t>
        </is>
      </c>
      <c r="M1843" t="inlineStr">
        <is>
          <t>2024-12-31</t>
        </is>
      </c>
      <c r="N1843" t="inlineStr">
        <is>
          <t>auto_ingest=world_bank_proxy; indicator=SH.H2O.SMDW.ZS; year=2024; country_proxy=Costa Rica</t>
        </is>
      </c>
    </row>
    <row r="1844">
      <c r="A1844" t="inlineStr">
        <is>
          <t>cr-san-jose</t>
        </is>
      </c>
      <c r="B1844" t="inlineStr">
        <is>
          <t>San Jose</t>
        </is>
      </c>
      <c r="C1844" t="inlineStr">
        <is>
          <t>Costa Rica</t>
        </is>
      </c>
      <c r="D1844" t="inlineStr">
        <is>
          <t>North America</t>
        </is>
      </c>
      <c r="E1844" t="inlineStr">
        <is>
          <t>digital_infrastructure_raw</t>
        </is>
      </c>
      <c r="F1844" t="inlineStr">
        <is>
          <t>Digital infrastructure raw</t>
        </is>
      </c>
      <c r="G1844" t="inlineStr">
        <is>
          <t>viability</t>
        </is>
      </c>
      <c r="H1844" t="inlineStr">
        <is>
          <t>yes</t>
        </is>
      </c>
      <c r="I1844" t="inlineStr">
        <is>
          <t>22.52</t>
        </is>
      </c>
      <c r="J1844" t="inlineStr">
        <is>
          <t>world_bank</t>
        </is>
      </c>
      <c r="K1844" t="inlineStr">
        <is>
          <t>https://api.worldbank.org/v2/country/CRI/indicator/IT.NET.BBND.P2?format=json&amp;mrv=10</t>
        </is>
      </c>
      <c r="L1844" t="inlineStr">
        <is>
          <t>World Bank WDI: Fixed broadband subscriptions (per 100 people)</t>
        </is>
      </c>
      <c r="M1844" t="inlineStr">
        <is>
          <t>2023-12-31</t>
        </is>
      </c>
      <c r="N1844" t="inlineStr">
        <is>
          <t>auto_ingest=world_bank_proxy; indicator=IT.NET.BBND.P2; year=2023; country_proxy=Costa Rica</t>
        </is>
      </c>
    </row>
    <row r="1845">
      <c r="A1845" t="inlineStr">
        <is>
          <t>cr-san-jose</t>
        </is>
      </c>
      <c r="B1845" t="inlineStr">
        <is>
          <t>San Jose</t>
        </is>
      </c>
      <c r="C1845" t="inlineStr">
        <is>
          <t>Costa Rica</t>
        </is>
      </c>
      <c r="D1845" t="inlineStr">
        <is>
          <t>North America</t>
        </is>
      </c>
      <c r="E1845" t="inlineStr">
        <is>
          <t>climate_sunlight_livability_raw</t>
        </is>
      </c>
      <c r="F1845" t="inlineStr">
        <is>
          <t>Climate and sunlight livability raw</t>
        </is>
      </c>
      <c r="G1845" t="inlineStr">
        <is>
          <t>viability</t>
        </is>
      </c>
      <c r="H1845" t="inlineStr">
        <is>
          <t>yes</t>
        </is>
      </c>
      <c r="I1845" t="inlineStr">
        <is>
          <t>64</t>
        </is>
      </c>
      <c r="J1845" t="inlineStr">
        <is>
          <t>wmo_natl_met</t>
        </is>
      </c>
      <c r="K1845" t="inlineStr">
        <is>
          <t>https://worldweather.wmo.int</t>
        </is>
      </c>
      <c r="L1845" t="inlineStr">
        <is>
          <t>WMO/National Met: Climate livability composite</t>
        </is>
      </c>
      <c r="M1845" t="inlineStr">
        <is>
          <t>2024-12-31</t>
        </is>
      </c>
      <c r="N1845" t="inlineStr">
        <is>
          <t>auto_seed=climate_composite; 2200 sun hrs, 20C mean, eternal spring</t>
        </is>
      </c>
    </row>
    <row r="1846">
      <c r="A1846" t="inlineStr">
        <is>
          <t>cr-san-jose</t>
        </is>
      </c>
      <c r="B1846" t="inlineStr">
        <is>
          <t>San Jose</t>
        </is>
      </c>
      <c r="C1846" t="inlineStr">
        <is>
          <t>Costa Rica</t>
        </is>
      </c>
      <c r="D1846" t="inlineStr">
        <is>
          <t>North America</t>
        </is>
      </c>
      <c r="E1846" t="inlineStr">
        <is>
          <t>healthcare_quality_raw</t>
        </is>
      </c>
      <c r="F1846" t="inlineStr">
        <is>
          <t>Healthcare quality raw</t>
        </is>
      </c>
      <c r="G1846" t="inlineStr">
        <is>
          <t>capability</t>
        </is>
      </c>
      <c r="H1846" t="inlineStr">
        <is>
          <t>yes</t>
        </is>
      </c>
      <c r="I1846" t="inlineStr">
        <is>
          <t>84.0</t>
        </is>
      </c>
      <c r="J1846" t="inlineStr">
        <is>
          <t>who_gho</t>
        </is>
      </c>
      <c r="K1846" t="inlineStr">
        <is>
          <t>https://www.who.int/data/gho/data/indicators/indicator-details/GHO/UHC_INDEX_REPORTED</t>
        </is>
      </c>
      <c r="L1846" t="inlineStr">
        <is>
          <t>WHO GHO: UHC Service Coverage Index</t>
        </is>
      </c>
      <c r="M1846" t="inlineStr">
        <is>
          <t>2023-12-31</t>
        </is>
      </c>
      <c r="N1846" t="inlineStr">
        <is>
          <t>auto_ingest=who_gho; indicator=UHC_INDEX_REPORTED; year=2023; country_proxy=Costa Rica</t>
        </is>
      </c>
    </row>
    <row r="1847">
      <c r="A1847" t="inlineStr">
        <is>
          <t>cr-san-jose</t>
        </is>
      </c>
      <c r="B1847" t="inlineStr">
        <is>
          <t>San Jose</t>
        </is>
      </c>
      <c r="C1847" t="inlineStr">
        <is>
          <t>Costa Rica</t>
        </is>
      </c>
      <c r="D1847" t="inlineStr">
        <is>
          <t>North America</t>
        </is>
      </c>
      <c r="E1847" t="inlineStr">
        <is>
          <t>education_quality_raw</t>
        </is>
      </c>
      <c r="F1847" t="inlineStr">
        <is>
          <t>Education quality raw</t>
        </is>
      </c>
      <c r="G1847" t="inlineStr">
        <is>
          <t>capability</t>
        </is>
      </c>
      <c r="H1847" t="inlineStr">
        <is>
          <t>yes</t>
        </is>
      </c>
      <c r="I1847" t="inlineStr">
        <is>
          <t>55.02</t>
        </is>
      </c>
      <c r="J1847" t="inlineStr">
        <is>
          <t>world_bank</t>
        </is>
      </c>
      <c r="K1847" t="inlineStr">
        <is>
          <t>https://api.worldbank.org/v2/country/CRI/indicator/SE.TER.ENRR?format=json&amp;mrv=10</t>
        </is>
      </c>
      <c r="L1847" t="inlineStr">
        <is>
          <t>World Bank WDI: School enrollment, tertiary (% gross)</t>
        </is>
      </c>
      <c r="M1847" t="inlineStr">
        <is>
          <t>2019-12-31</t>
        </is>
      </c>
      <c r="N1847" t="inlineStr">
        <is>
          <t>auto_ingest=world_bank_proxy; indicator=SE.TER.ENRR; year=2019; country_proxy=Costa Rica</t>
        </is>
      </c>
    </row>
    <row r="1848">
      <c r="A1848" t="inlineStr">
        <is>
          <t>cr-san-jose</t>
        </is>
      </c>
      <c r="B1848" t="inlineStr">
        <is>
          <t>San Jose</t>
        </is>
      </c>
      <c r="C1848" t="inlineStr">
        <is>
          <t>Costa Rica</t>
        </is>
      </c>
      <c r="D1848" t="inlineStr">
        <is>
          <t>North America</t>
        </is>
      </c>
      <c r="E1848" t="inlineStr">
        <is>
          <t>equal_opportunity_raw</t>
        </is>
      </c>
      <c r="F1848" t="inlineStr">
        <is>
          <t>Equal opportunity raw</t>
        </is>
      </c>
      <c r="G1848" t="inlineStr">
        <is>
          <t>capability</t>
        </is>
      </c>
      <c r="H1848" t="inlineStr">
        <is>
          <t>yes</t>
        </is>
      </c>
      <c r="I1848" t="inlineStr">
        <is>
          <t>45.8</t>
        </is>
      </c>
      <c r="J1848" t="inlineStr">
        <is>
          <t>world_bank</t>
        </is>
      </c>
      <c r="K1848" t="inlineStr">
        <is>
          <t>https://api.worldbank.org/v2/country/CRI/indicator/SI.POV.GINI?format=json&amp;mrv=10</t>
        </is>
      </c>
      <c r="L1848" t="inlineStr">
        <is>
          <t>World Bank WDI: Gini index</t>
        </is>
      </c>
      <c r="M1848" t="inlineStr">
        <is>
          <t>2024-12-31</t>
        </is>
      </c>
      <c r="N1848" t="inlineStr">
        <is>
          <t>auto_ingest=world_bank_capability; indicator=SI.POV.GINI; year=2024; country_proxy=Costa Rica</t>
        </is>
      </c>
    </row>
    <row r="1849">
      <c r="A1849" t="inlineStr">
        <is>
          <t>cr-san-jose</t>
        </is>
      </c>
      <c r="B1849" t="inlineStr">
        <is>
          <t>San Jose</t>
        </is>
      </c>
      <c r="C1849" t="inlineStr">
        <is>
          <t>Costa Rica</t>
        </is>
      </c>
      <c r="D1849" t="inlineStr">
        <is>
          <t>North America</t>
        </is>
      </c>
      <c r="E1849" t="inlineStr">
        <is>
          <t>hospitality_belonging_raw</t>
        </is>
      </c>
      <c r="F1849" t="inlineStr">
        <is>
          <t>Hospitality and belonging raw</t>
        </is>
      </c>
      <c r="G1849" t="inlineStr">
        <is>
          <t>community</t>
        </is>
      </c>
      <c r="H1849" t="inlineStr">
        <is>
          <t>yes</t>
        </is>
      </c>
      <c r="I1849" t="inlineStr">
        <is>
          <t>50.19</t>
        </is>
      </c>
      <c r="J1849" t="inlineStr">
        <is>
          <t>world_bank</t>
        </is>
      </c>
      <c r="K1849" t="inlineStr">
        <is>
          <t>https://api.worldbank.org/v2/country/CRI/indicator/SM.POP.NETM?format=json&amp;mrv=10</t>
        </is>
      </c>
      <c r="L1849" t="inlineStr">
        <is>
          <t>World Bank WDI: Net migration (proxy for hospitality/belonging — positive = welcoming)</t>
        </is>
      </c>
      <c r="M1849" t="inlineStr">
        <is>
          <t>2025-12-31</t>
        </is>
      </c>
      <c r="N1849" t="inlineStr">
        <is>
          <t>auto_ingest=world_bank_proxy; proxy=net_migration_hospitality; indicator=SM.POP.NETM; year=2025; country_proxy=Costa Rica</t>
        </is>
      </c>
    </row>
    <row r="1850">
      <c r="A1850" t="inlineStr">
        <is>
          <t>cr-san-jose</t>
        </is>
      </c>
      <c r="B1850" t="inlineStr">
        <is>
          <t>San Jose</t>
        </is>
      </c>
      <c r="C1850" t="inlineStr">
        <is>
          <t>Costa Rica</t>
        </is>
      </c>
      <c r="D1850" t="inlineStr">
        <is>
          <t>North America</t>
        </is>
      </c>
      <c r="E1850" t="inlineStr">
        <is>
          <t>tolerance_pluralism_raw</t>
        </is>
      </c>
      <c r="F1850" t="inlineStr">
        <is>
          <t>Tolerance and pluralism raw</t>
        </is>
      </c>
      <c r="G1850" t="inlineStr">
        <is>
          <t>community</t>
        </is>
      </c>
      <c r="H1850" t="inlineStr">
        <is>
          <t>yes</t>
        </is>
      </c>
      <c r="I1850" t="inlineStr">
        <is>
          <t>49.12</t>
        </is>
      </c>
      <c r="J1850" t="inlineStr">
        <is>
          <t>world_bank</t>
        </is>
      </c>
      <c r="K1850" t="inlineStr">
        <is>
          <t>https://api.worldbank.org/v2/country/CRI/indicator/SG.GEN.PARL.ZS?format=json&amp;mrv=10</t>
        </is>
      </c>
      <c r="L1850" t="inlineStr">
        <is>
          <t>World Bank WDI: Proportion of seats held by women in national parliaments (%)</t>
        </is>
      </c>
      <c r="M1850" t="inlineStr">
        <is>
          <t>2024-12-31</t>
        </is>
      </c>
      <c r="N1850" t="inlineStr">
        <is>
          <t>auto_ingest=world_bank_proxy; proxy=gender_parity_parliament; indicator=SG.GEN.PARL.ZS; year=2024; country_proxy=Costa Rica</t>
        </is>
      </c>
    </row>
    <row r="1851">
      <c r="A1851" t="inlineStr">
        <is>
          <t>cr-san-jose</t>
        </is>
      </c>
      <c r="B1851" t="inlineStr">
        <is>
          <t>San Jose</t>
        </is>
      </c>
      <c r="C1851" t="inlineStr">
        <is>
          <t>Costa Rica</t>
        </is>
      </c>
      <c r="D1851" t="inlineStr">
        <is>
          <t>North America</t>
        </is>
      </c>
      <c r="E1851" t="inlineStr">
        <is>
          <t>cultural_public_life_raw</t>
        </is>
      </c>
      <c r="F1851" t="inlineStr">
        <is>
          <t>Cultural public life raw</t>
        </is>
      </c>
      <c r="G1851" t="inlineStr">
        <is>
          <t>community</t>
        </is>
      </c>
      <c r="H1851" t="inlineStr">
        <is>
          <t>yes</t>
        </is>
      </c>
      <c r="I1851" t="inlineStr">
        <is>
          <t>223.49</t>
        </is>
      </c>
      <c r="J1851" t="inlineStr">
        <is>
          <t>world_bank</t>
        </is>
      </c>
      <c r="K1851" t="inlineStr">
        <is>
          <t>https://api.worldbank.org/v2/country/CRI/indicator/ST.INT.ARVL?format=json&amp;mrv=10</t>
        </is>
      </c>
      <c r="L1851" t="inlineStr">
        <is>
          <t>World Bank WDI: International tourism arrivals per 1 000 population</t>
        </is>
      </c>
      <c r="M1851" t="inlineStr">
        <is>
          <t>2020-12-31</t>
        </is>
      </c>
      <c r="N1851" t="inlineStr">
        <is>
          <t>auto_ingest=cultural_life_proxy; indicator=ST.INT.ARVL; norm=per_1000_pop; year=2020; country_proxy=Costa Rica</t>
        </is>
      </c>
    </row>
    <row r="1852">
      <c r="A1852" t="inlineStr">
        <is>
          <t>cr-san-jose</t>
        </is>
      </c>
      <c r="B1852" t="inlineStr">
        <is>
          <t>San Jose</t>
        </is>
      </c>
      <c r="C1852" t="inlineStr">
        <is>
          <t>Costa Rica</t>
        </is>
      </c>
      <c r="D1852" t="inlineStr">
        <is>
          <t>North America</t>
        </is>
      </c>
      <c r="E1852" t="inlineStr">
        <is>
          <t>birth_rate_optimism_raw</t>
        </is>
      </c>
      <c r="F1852" t="inlineStr">
        <is>
          <t>Birth rate and societal optimism raw</t>
        </is>
      </c>
      <c r="G1852" t="inlineStr">
        <is>
          <t>community</t>
        </is>
      </c>
      <c r="H1852" t="inlineStr">
        <is>
          <t>yes</t>
        </is>
      </c>
      <c r="I1852" t="inlineStr"/>
      <c r="J1852" t="inlineStr"/>
      <c r="K1852" t="inlineStr"/>
      <c r="L1852" t="inlineStr"/>
      <c r="M1852" t="inlineStr"/>
      <c r="N1852" t="inlineStr"/>
    </row>
    <row r="1853">
      <c r="A1853" t="inlineStr">
        <is>
          <t>cr-san-jose</t>
        </is>
      </c>
      <c r="B1853" t="inlineStr">
        <is>
          <t>San Jose</t>
        </is>
      </c>
      <c r="C1853" t="inlineStr">
        <is>
          <t>Costa Rica</t>
        </is>
      </c>
      <c r="D1853" t="inlineStr">
        <is>
          <t>North America</t>
        </is>
      </c>
      <c r="E1853" t="inlineStr">
        <is>
          <t>entrepreneurial_dynamism_raw</t>
        </is>
      </c>
      <c r="F1853" t="inlineStr">
        <is>
          <t>Entrepreneurial dynamism raw</t>
        </is>
      </c>
      <c r="G1853" t="inlineStr">
        <is>
          <t>creative</t>
        </is>
      </c>
      <c r="H1853" t="inlineStr">
        <is>
          <t>yes</t>
        </is>
      </c>
      <c r="I1853" t="inlineStr">
        <is>
          <t>5.8</t>
        </is>
      </c>
      <c r="J1853" t="inlineStr">
        <is>
          <t>world_bank</t>
        </is>
      </c>
      <c r="K1853" t="inlineStr">
        <is>
          <t>https://api.worldbank.org/v2/country/CRI/indicator/IC.BUS.NDNS.ZS?format=json&amp;mrv=10</t>
        </is>
      </c>
      <c r="L1853" t="inlineStr">
        <is>
          <t>World Bank WDI: New business density (new registrations per 1,000 people ages 15-64)</t>
        </is>
      </c>
      <c r="M1853" t="inlineStr">
        <is>
          <t>2022-12-31</t>
        </is>
      </c>
      <c r="N1853" t="inlineStr">
        <is>
          <t>auto_ingest=world_bank_creative_extended; indicator=IC.BUS.NDNS.ZS; year=2022; country_proxy=Costa Rica</t>
        </is>
      </c>
    </row>
    <row r="1854">
      <c r="A1854" t="inlineStr">
        <is>
          <t>cr-san-jose</t>
        </is>
      </c>
      <c r="B1854" t="inlineStr">
        <is>
          <t>San Jose</t>
        </is>
      </c>
      <c r="C1854" t="inlineStr">
        <is>
          <t>Costa Rica</t>
        </is>
      </c>
      <c r="D1854" t="inlineStr">
        <is>
          <t>North America</t>
        </is>
      </c>
      <c r="E1854" t="inlineStr">
        <is>
          <t>innovation_research_intensity_raw</t>
        </is>
      </c>
      <c r="F1854" t="inlineStr">
        <is>
          <t>Innovation and research raw</t>
        </is>
      </c>
      <c r="G1854" t="inlineStr">
        <is>
          <t>creative</t>
        </is>
      </c>
      <c r="H1854" t="inlineStr">
        <is>
          <t>yes</t>
        </is>
      </c>
      <c r="I1854" t="inlineStr">
        <is>
          <t>0.34</t>
        </is>
      </c>
      <c r="J1854" t="inlineStr">
        <is>
          <t>world_bank</t>
        </is>
      </c>
      <c r="K1854" t="inlineStr">
        <is>
          <t>https://api.worldbank.org/v2/country/CRI/indicator/GB.XPD.RSDV.GD.ZS?format=json&amp;mrv=10</t>
        </is>
      </c>
      <c r="L1854" t="inlineStr">
        <is>
          <t>World Bank WDI: Research and development expenditure (% of GDP)</t>
        </is>
      </c>
      <c r="M1854" t="inlineStr">
        <is>
          <t>2022-12-31</t>
        </is>
      </c>
      <c r="N1854" t="inlineStr">
        <is>
          <t>auto_ingest=world_bank_creative_extended; indicator=GB.XPD.RSDV.GD.ZS; year=2022; country_proxy=Costa Rica</t>
        </is>
      </c>
    </row>
    <row r="1855">
      <c r="A1855" t="inlineStr">
        <is>
          <t>cr-san-jose</t>
        </is>
      </c>
      <c r="B1855" t="inlineStr">
        <is>
          <t>San Jose</t>
        </is>
      </c>
      <c r="C1855" t="inlineStr">
        <is>
          <t>Costa Rica</t>
        </is>
      </c>
      <c r="D1855" t="inlineStr">
        <is>
          <t>North America</t>
        </is>
      </c>
      <c r="E1855" t="inlineStr">
        <is>
          <t>investment_signal_raw</t>
        </is>
      </c>
      <c r="F1855" t="inlineStr">
        <is>
          <t>Investment signal raw</t>
        </is>
      </c>
      <c r="G1855" t="inlineStr">
        <is>
          <t>creative</t>
        </is>
      </c>
      <c r="H1855" t="inlineStr">
        <is>
          <t>yes</t>
        </is>
      </c>
      <c r="I1855" t="inlineStr">
        <is>
          <t>5.56</t>
        </is>
      </c>
      <c r="J1855" t="inlineStr">
        <is>
          <t>world_bank</t>
        </is>
      </c>
      <c r="K1855" t="inlineStr">
        <is>
          <t>https://api.worldbank.org/v2/country/CRI/indicator/BX.KLT.DINV.WD.GD.ZS?format=json&amp;mrv=10</t>
        </is>
      </c>
      <c r="L1855" t="inlineStr">
        <is>
          <t>World Bank WDI: Foreign direct investment, net inflows (% of GDP)</t>
        </is>
      </c>
      <c r="M1855" t="inlineStr">
        <is>
          <t>2024-12-31</t>
        </is>
      </c>
      <c r="N1855" t="inlineStr">
        <is>
          <t>auto_ingest=world_bank_creative_extended; indicator=BX.KLT.DINV.WD.GD.ZS; year=2024; country_proxy=Costa Rica</t>
        </is>
      </c>
    </row>
    <row r="1856">
      <c r="A1856" t="inlineStr">
        <is>
          <t>cr-san-jose</t>
        </is>
      </c>
      <c r="B1856" t="inlineStr">
        <is>
          <t>San Jose</t>
        </is>
      </c>
      <c r="C1856" t="inlineStr">
        <is>
          <t>Costa Rica</t>
        </is>
      </c>
      <c r="D1856" t="inlineStr">
        <is>
          <t>North America</t>
        </is>
      </c>
      <c r="E1856" t="inlineStr">
        <is>
          <t>administrative_investment_friction_raw</t>
        </is>
      </c>
      <c r="F1856" t="inlineStr">
        <is>
          <t>Administrative investment friction raw</t>
        </is>
      </c>
      <c r="G1856" t="inlineStr">
        <is>
          <t>creative</t>
        </is>
      </c>
      <c r="H1856" t="inlineStr">
        <is>
          <t>yes</t>
        </is>
      </c>
      <c r="I1856" t="inlineStr">
        <is>
          <t>1.96</t>
        </is>
      </c>
      <c r="J1856" t="inlineStr">
        <is>
          <t>world_bank</t>
        </is>
      </c>
      <c r="K1856" t="inlineStr">
        <is>
          <t>https://api.worldbank.org/v2/country/CRI/indicator/RQ.EST?format=json&amp;mrv=10</t>
        </is>
      </c>
      <c r="L1856" t="inlineStr">
        <is>
          <t>World Bank WGI: Regulatory Quality (inverted as friction proxy)</t>
        </is>
      </c>
      <c r="M1856" t="inlineStr">
        <is>
          <t>2023-12-31</t>
        </is>
      </c>
      <c r="N1856" t="inlineStr">
        <is>
          <t>auto_ingest=world_bank_business_friction; indicator=RQ.EST; raw_rq=0.543547570705414; friction=1.96; year=2023; country_proxy=Costa Rica</t>
        </is>
      </c>
    </row>
    <row r="1857">
      <c r="A1857" t="inlineStr">
        <is>
          <t>cr-san-jose</t>
        </is>
      </c>
      <c r="B1857" t="inlineStr">
        <is>
          <t>San Jose</t>
        </is>
      </c>
      <c r="C1857" t="inlineStr">
        <is>
          <t>Costa Rica</t>
        </is>
      </c>
      <c r="D1857" t="inlineStr">
        <is>
          <t>North America</t>
        </is>
      </c>
      <c r="E1857" t="inlineStr">
        <is>
          <t>visitor_flow_context_raw</t>
        </is>
      </c>
      <c r="F1857" t="inlineStr">
        <is>
          <t>Visitor flow context raw</t>
        </is>
      </c>
      <c r="G1857" t="inlineStr">
        <is>
          <t>creative</t>
        </is>
      </c>
      <c r="H1857" t="inlineStr">
        <is>
          <t>no</t>
        </is>
      </c>
      <c r="I1857" t="inlineStr"/>
      <c r="J1857" t="inlineStr"/>
      <c r="K1857" t="inlineStr"/>
      <c r="L1857" t="inlineStr"/>
      <c r="M1857" t="inlineStr"/>
      <c r="N1857" t="inlineStr"/>
    </row>
    <row r="1858">
      <c r="A1858" t="inlineStr">
        <is>
          <t>us-pittsburgh</t>
        </is>
      </c>
      <c r="B1858" t="inlineStr">
        <is>
          <t>Pittsburgh</t>
        </is>
      </c>
      <c r="C1858" t="inlineStr">
        <is>
          <t>United States</t>
        </is>
      </c>
      <c r="D1858" t="inlineStr">
        <is>
          <t>North America</t>
        </is>
      </c>
      <c r="E1858" t="inlineStr">
        <is>
          <t>gross_income</t>
        </is>
      </c>
      <c r="F1858" t="inlineStr">
        <is>
          <t>Gross income</t>
        </is>
      </c>
      <c r="G1858" t="inlineStr">
        <is>
          <t>pressure</t>
        </is>
      </c>
      <c r="H1858" t="inlineStr">
        <is>
          <t>yes</t>
        </is>
      </c>
      <c r="I1858" t="inlineStr">
        <is>
          <t>7165.0</t>
        </is>
      </c>
      <c r="J1858" t="inlineStr">
        <is>
          <t>world_bank_col_estimate</t>
        </is>
      </c>
      <c r="K1858" t="inlineStr">
        <is>
          <t>https://api.worldbank.org/v2/country/USA/indicator/NY.GNP.PCAP.PP.CD?format=json&amp;mrv=10</t>
        </is>
      </c>
      <c r="L1858" t="inlineStr">
        <is>
          <t>World Bank WDI: GNI per capita PPP (monthly USD)</t>
        </is>
      </c>
      <c r="M1858" t="inlineStr">
        <is>
          <t>2024-12-31</t>
        </is>
      </c>
      <c r="N1858" t="inlineStr">
        <is>
          <t>auto_ingest=world_bank_col_estimate; gni_annual=85980.0; year=2024; country_proxy=United States; cohort=North America</t>
        </is>
      </c>
    </row>
    <row r="1859">
      <c r="A1859" t="inlineStr">
        <is>
          <t>us-pittsburgh</t>
        </is>
      </c>
      <c r="B1859" t="inlineStr">
        <is>
          <t>Pittsburgh</t>
        </is>
      </c>
      <c r="C1859" t="inlineStr">
        <is>
          <t>United States</t>
        </is>
      </c>
      <c r="D1859" t="inlineStr">
        <is>
          <t>North America</t>
        </is>
      </c>
      <c r="E1859" t="inlineStr">
        <is>
          <t>di_ppp_raw</t>
        </is>
      </c>
      <c r="F1859" t="inlineStr">
        <is>
          <t>Disposable income PPP (Raw)</t>
        </is>
      </c>
      <c r="G1859" t="inlineStr">
        <is>
          <t>pressure</t>
        </is>
      </c>
      <c r="H1859" t="inlineStr">
        <is>
          <t>yes</t>
        </is>
      </c>
      <c r="I1859" t="inlineStr"/>
      <c r="J1859" t="inlineStr"/>
      <c r="K1859" t="inlineStr"/>
      <c r="L1859" t="inlineStr"/>
      <c r="M1859" t="inlineStr"/>
      <c r="N1859" t="inlineStr"/>
    </row>
    <row r="1860">
      <c r="A1860" t="inlineStr">
        <is>
          <t>us-pittsburgh</t>
        </is>
      </c>
      <c r="B1860" t="inlineStr">
        <is>
          <t>Pittsburgh</t>
        </is>
      </c>
      <c r="C1860" t="inlineStr">
        <is>
          <t>United States</t>
        </is>
      </c>
      <c r="D1860" t="inlineStr">
        <is>
          <t>North America</t>
        </is>
      </c>
      <c r="E1860" t="inlineStr">
        <is>
          <t>rent</t>
        </is>
      </c>
      <c r="F1860" t="inlineStr">
        <is>
          <t>Rent</t>
        </is>
      </c>
      <c r="G1860" t="inlineStr">
        <is>
          <t>pressure</t>
        </is>
      </c>
      <c r="H1860" t="inlineStr">
        <is>
          <t>yes</t>
        </is>
      </c>
      <c r="I1860" t="inlineStr">
        <is>
          <t>2006.2</t>
        </is>
      </c>
      <c r="J1860" t="inlineStr">
        <is>
          <t>world_bank_col_estimate</t>
        </is>
      </c>
      <c r="K1860" t="inlineStr">
        <is>
          <t>https://api.worldbank.org/v2/country/USA/indicator/NY.GNP.PCAP.PP.CD?format=json&amp;mrv=10</t>
        </is>
      </c>
      <c r="L1860" t="inlineStr">
        <is>
          <t>World Bank GNI + regional expenditure ratio estimate</t>
        </is>
      </c>
      <c r="M1860" t="inlineStr">
        <is>
          <t>2024-12-31</t>
        </is>
      </c>
      <c r="N1860" t="inlineStr">
        <is>
          <t>auto_ingest=world_bank_col_estimate; gni_annual=85980.0; year=2024; country_proxy=United States; cohort=North America; city_cost_mult=0.8</t>
        </is>
      </c>
    </row>
    <row r="1861">
      <c r="A1861" t="inlineStr">
        <is>
          <t>us-pittsburgh</t>
        </is>
      </c>
      <c r="B1861" t="inlineStr">
        <is>
          <t>Pittsburgh</t>
        </is>
      </c>
      <c r="C1861" t="inlineStr">
        <is>
          <t>United States</t>
        </is>
      </c>
      <c r="D1861" t="inlineStr">
        <is>
          <t>North America</t>
        </is>
      </c>
      <c r="E1861" t="inlineStr">
        <is>
          <t>utilities</t>
        </is>
      </c>
      <c r="F1861" t="inlineStr">
        <is>
          <t>Utilities</t>
        </is>
      </c>
      <c r="G1861" t="inlineStr">
        <is>
          <t>pressure</t>
        </is>
      </c>
      <c r="H1861" t="inlineStr">
        <is>
          <t>yes</t>
        </is>
      </c>
      <c r="I1861" t="inlineStr">
        <is>
          <t>401.24</t>
        </is>
      </c>
      <c r="J1861" t="inlineStr">
        <is>
          <t>world_bank_col_estimate</t>
        </is>
      </c>
      <c r="K1861" t="inlineStr">
        <is>
          <t>https://api.worldbank.org/v2/country/USA/indicator/NY.GNP.PCAP.PP.CD?format=json&amp;mrv=10</t>
        </is>
      </c>
      <c r="L1861" t="inlineStr">
        <is>
          <t>World Bank GNI + regional expenditure ratio estimate</t>
        </is>
      </c>
      <c r="M1861" t="inlineStr">
        <is>
          <t>2024-12-31</t>
        </is>
      </c>
      <c r="N1861" t="inlineStr">
        <is>
          <t>auto_ingest=world_bank_col_estimate; gni_annual=85980.0; year=2024; country_proxy=United States; cohort=North America; city_cost_mult=0.8</t>
        </is>
      </c>
    </row>
    <row r="1862">
      <c r="A1862" t="inlineStr">
        <is>
          <t>us-pittsburgh</t>
        </is>
      </c>
      <c r="B1862" t="inlineStr">
        <is>
          <t>Pittsburgh</t>
        </is>
      </c>
      <c r="C1862" t="inlineStr">
        <is>
          <t>United States</t>
        </is>
      </c>
      <c r="D1862" t="inlineStr">
        <is>
          <t>North America</t>
        </is>
      </c>
      <c r="E1862" t="inlineStr">
        <is>
          <t>transit_cost</t>
        </is>
      </c>
      <c r="F1862" t="inlineStr">
        <is>
          <t>Transit cost</t>
        </is>
      </c>
      <c r="G1862" t="inlineStr">
        <is>
          <t>pressure</t>
        </is>
      </c>
      <c r="H1862" t="inlineStr">
        <is>
          <t>yes</t>
        </is>
      </c>
      <c r="I1862" t="inlineStr">
        <is>
          <t>286.6</t>
        </is>
      </c>
      <c r="J1862" t="inlineStr">
        <is>
          <t>world_bank_col_estimate</t>
        </is>
      </c>
      <c r="K1862" t="inlineStr">
        <is>
          <t>https://api.worldbank.org/v2/country/USA/indicator/NY.GNP.PCAP.PP.CD?format=json&amp;mrv=10</t>
        </is>
      </c>
      <c r="L1862" t="inlineStr">
        <is>
          <t>World Bank GNI + regional expenditure ratio estimate</t>
        </is>
      </c>
      <c r="M1862" t="inlineStr">
        <is>
          <t>2024-12-31</t>
        </is>
      </c>
      <c r="N1862" t="inlineStr">
        <is>
          <t>auto_ingest=world_bank_col_estimate; gni_annual=85980.0; year=2024; country_proxy=United States; cohort=North America; city_cost_mult=0.8</t>
        </is>
      </c>
    </row>
    <row r="1863">
      <c r="A1863" t="inlineStr">
        <is>
          <t>us-pittsburgh</t>
        </is>
      </c>
      <c r="B1863" t="inlineStr">
        <is>
          <t>Pittsburgh</t>
        </is>
      </c>
      <c r="C1863" t="inlineStr">
        <is>
          <t>United States</t>
        </is>
      </c>
      <c r="D1863" t="inlineStr">
        <is>
          <t>North America</t>
        </is>
      </c>
      <c r="E1863" t="inlineStr">
        <is>
          <t>internet_cost</t>
        </is>
      </c>
      <c r="F1863" t="inlineStr">
        <is>
          <t>Internet cost</t>
        </is>
      </c>
      <c r="G1863" t="inlineStr">
        <is>
          <t>pressure</t>
        </is>
      </c>
      <c r="H1863" t="inlineStr">
        <is>
          <t>yes</t>
        </is>
      </c>
      <c r="I1863" t="inlineStr">
        <is>
          <t>114.64</t>
        </is>
      </c>
      <c r="J1863" t="inlineStr">
        <is>
          <t>world_bank_col_estimate</t>
        </is>
      </c>
      <c r="K1863" t="inlineStr">
        <is>
          <t>https://api.worldbank.org/v2/country/USA/indicator/NY.GNP.PCAP.PP.CD?format=json&amp;mrv=10</t>
        </is>
      </c>
      <c r="L1863" t="inlineStr">
        <is>
          <t>World Bank GNI + regional expenditure ratio estimate</t>
        </is>
      </c>
      <c r="M1863" t="inlineStr">
        <is>
          <t>2024-12-31</t>
        </is>
      </c>
      <c r="N1863" t="inlineStr">
        <is>
          <t>auto_ingest=world_bank_col_estimate; gni_annual=85980.0; year=2024; country_proxy=United States; cohort=North America; city_cost_mult=0.8</t>
        </is>
      </c>
    </row>
    <row r="1864">
      <c r="A1864" t="inlineStr">
        <is>
          <t>us-pittsburgh</t>
        </is>
      </c>
      <c r="B1864" t="inlineStr">
        <is>
          <t>Pittsburgh</t>
        </is>
      </c>
      <c r="C1864" t="inlineStr">
        <is>
          <t>United States</t>
        </is>
      </c>
      <c r="D1864" t="inlineStr">
        <is>
          <t>North America</t>
        </is>
      </c>
      <c r="E1864" t="inlineStr">
        <is>
          <t>food_cost</t>
        </is>
      </c>
      <c r="F1864" t="inlineStr">
        <is>
          <t>Food cost</t>
        </is>
      </c>
      <c r="G1864" t="inlineStr">
        <is>
          <t>pressure</t>
        </is>
      </c>
      <c r="H1864" t="inlineStr">
        <is>
          <t>yes</t>
        </is>
      </c>
      <c r="I1864" t="inlineStr">
        <is>
          <t>859.8</t>
        </is>
      </c>
      <c r="J1864" t="inlineStr">
        <is>
          <t>world_bank_col_estimate</t>
        </is>
      </c>
      <c r="K1864" t="inlineStr">
        <is>
          <t>https://api.worldbank.org/v2/country/USA/indicator/NY.GNP.PCAP.PP.CD?format=json&amp;mrv=10</t>
        </is>
      </c>
      <c r="L1864" t="inlineStr">
        <is>
          <t>World Bank GNI + regional expenditure ratio estimate</t>
        </is>
      </c>
      <c r="M1864" t="inlineStr">
        <is>
          <t>2024-12-31</t>
        </is>
      </c>
      <c r="N1864" t="inlineStr">
        <is>
          <t>auto_ingest=world_bank_col_estimate; gni_annual=85980.0; year=2024; country_proxy=United States; cohort=North America; city_cost_mult=0.8</t>
        </is>
      </c>
    </row>
    <row r="1865">
      <c r="A1865" t="inlineStr">
        <is>
          <t>us-pittsburgh</t>
        </is>
      </c>
      <c r="B1865" t="inlineStr">
        <is>
          <t>Pittsburgh</t>
        </is>
      </c>
      <c r="C1865" t="inlineStr">
        <is>
          <t>United States</t>
        </is>
      </c>
      <c r="D1865" t="inlineStr">
        <is>
          <t>North America</t>
        </is>
      </c>
      <c r="E1865" t="inlineStr">
        <is>
          <t>housing_burden_raw</t>
        </is>
      </c>
      <c r="F1865" t="inlineStr">
        <is>
          <t>Housing burden raw</t>
        </is>
      </c>
      <c r="G1865" t="inlineStr">
        <is>
          <t>pressure</t>
        </is>
      </c>
      <c r="H1865" t="inlineStr">
        <is>
          <t>yes</t>
        </is>
      </c>
      <c r="I1865" t="inlineStr">
        <is>
          <t>28.0</t>
        </is>
      </c>
      <c r="J1865" t="inlineStr">
        <is>
          <t>derived</t>
        </is>
      </c>
      <c r="K1865" t="inlineStr">
        <is>
          <t>https://data.worldbank.org/indicator/NY.GNP.PCAP.PP.CD</t>
        </is>
      </c>
      <c r="L1865" t="inlineStr">
        <is>
          <t>Computed from city_inputs + country_context</t>
        </is>
      </c>
      <c r="M1865" t="inlineStr">
        <is>
          <t>2024-01-01</t>
        </is>
      </c>
      <c r="N1865" t="inlineStr">
        <is>
          <t>derived=rent/gross_income*100</t>
        </is>
      </c>
    </row>
    <row r="1866">
      <c r="A1866" t="inlineStr">
        <is>
          <t>us-pittsburgh</t>
        </is>
      </c>
      <c r="B1866" t="inlineStr">
        <is>
          <t>Pittsburgh</t>
        </is>
      </c>
      <c r="C1866" t="inlineStr">
        <is>
          <t>United States</t>
        </is>
      </c>
      <c r="D1866" t="inlineStr">
        <is>
          <t>North America</t>
        </is>
      </c>
      <c r="E1866" t="inlineStr">
        <is>
          <t>household_debt_burden_raw</t>
        </is>
      </c>
      <c r="F1866" t="inlineStr">
        <is>
          <t>Household debt burden raw</t>
        </is>
      </c>
      <c r="G1866" t="inlineStr">
        <is>
          <t>pressure</t>
        </is>
      </c>
      <c r="H1866" t="inlineStr">
        <is>
          <t>yes</t>
        </is>
      </c>
      <c r="I1866" t="inlineStr">
        <is>
          <t>46.8411</t>
        </is>
      </c>
      <c r="J1866" t="inlineStr">
        <is>
          <t>derived</t>
        </is>
      </c>
      <c r="K1866" t="inlineStr">
        <is>
          <t>https://data.worldbank.org/indicator/NY.GNP.PCAP.PP.CD</t>
        </is>
      </c>
      <c r="L1866" t="inlineStr">
        <is>
          <t>Computed from city_inputs + country_context</t>
        </is>
      </c>
      <c r="M1866" t="inlineStr">
        <is>
          <t>2024-01-01</t>
        </is>
      </c>
      <c r="N1866" t="inlineStr">
        <is>
          <t>derived=country_context.household_debt_proxy; country=United States</t>
        </is>
      </c>
    </row>
    <row r="1867">
      <c r="A1867" t="inlineStr">
        <is>
          <t>us-pittsburgh</t>
        </is>
      </c>
      <c r="B1867" t="inlineStr">
        <is>
          <t>Pittsburgh</t>
        </is>
      </c>
      <c r="C1867" t="inlineStr">
        <is>
          <t>United States</t>
        </is>
      </c>
      <c r="D1867" t="inlineStr">
        <is>
          <t>North America</t>
        </is>
      </c>
      <c r="E1867" t="inlineStr">
        <is>
          <t>working_time_pressure_raw</t>
        </is>
      </c>
      <c r="F1867" t="inlineStr">
        <is>
          <t>Working time pressure raw</t>
        </is>
      </c>
      <c r="G1867" t="inlineStr">
        <is>
          <t>pressure</t>
        </is>
      </c>
      <c r="H1867" t="inlineStr">
        <is>
          <t>yes</t>
        </is>
      </c>
      <c r="I1867" t="inlineStr">
        <is>
          <t>37.54</t>
        </is>
      </c>
      <c r="J1867" t="inlineStr">
        <is>
          <t>ilo_ilostat</t>
        </is>
      </c>
      <c r="K1867" t="inlineStr">
        <is>
          <t>https://ilostat.ilo.org/data/indicator/?id=HOW_TEMP_SEX_ECO_NB_A&amp;ref_area=USA</t>
        </is>
      </c>
      <c r="L1867" t="inlineStr">
        <is>
          <t>ILO ILOSTAT: Mean weekly hours actually worked per employed person</t>
        </is>
      </c>
      <c r="M1867" t="inlineStr">
        <is>
          <t>2025-12-31</t>
        </is>
      </c>
      <c r="N1867" t="inlineStr">
        <is>
          <t>auto_ingest=ilo_working_hours; indicator=HOW_TEMP_SEX_ECO_NB_A; year=2025; hours=37.54; country_proxy=United States</t>
        </is>
      </c>
    </row>
    <row r="1868">
      <c r="A1868" t="inlineStr">
        <is>
          <t>us-pittsburgh</t>
        </is>
      </c>
      <c r="B1868" t="inlineStr">
        <is>
          <t>Pittsburgh</t>
        </is>
      </c>
      <c r="C1868" t="inlineStr">
        <is>
          <t>United States</t>
        </is>
      </c>
      <c r="D1868" t="inlineStr">
        <is>
          <t>North America</t>
        </is>
      </c>
      <c r="E1868" t="inlineStr">
        <is>
          <t>suicide_mental_strain_raw</t>
        </is>
      </c>
      <c r="F1868" t="inlineStr">
        <is>
          <t>Suicide or mental strain raw</t>
        </is>
      </c>
      <c r="G1868" t="inlineStr">
        <is>
          <t>pressure</t>
        </is>
      </c>
      <c r="H1868" t="inlineStr">
        <is>
          <t>yes</t>
        </is>
      </c>
      <c r="I1868" t="inlineStr">
        <is>
          <t>15.63</t>
        </is>
      </c>
      <c r="J1868" t="inlineStr">
        <is>
          <t>who_gho</t>
        </is>
      </c>
      <c r="K1868" t="inlineStr">
        <is>
          <t>https://www.who.int/data/gho/data/indicators/indicator-details/GHO/SDGSUICIDE</t>
        </is>
      </c>
      <c r="L1868" t="inlineStr">
        <is>
          <t>WHO GHO: Age-standardized suicide rate (per 100,000 population)</t>
        </is>
      </c>
      <c r="M1868" t="inlineStr">
        <is>
          <t>2021-12-31</t>
        </is>
      </c>
      <c r="N1868" t="inlineStr">
        <is>
          <t>auto_ingest=who_gho; indicator=SDGSUICIDE; year=2021; country_proxy=United States</t>
        </is>
      </c>
    </row>
    <row r="1869">
      <c r="A1869" t="inlineStr">
        <is>
          <t>us-pittsburgh</t>
        </is>
      </c>
      <c r="B1869" t="inlineStr">
        <is>
          <t>Pittsburgh</t>
        </is>
      </c>
      <c r="C1869" t="inlineStr">
        <is>
          <t>United States</t>
        </is>
      </c>
      <c r="D1869" t="inlineStr">
        <is>
          <t>North America</t>
        </is>
      </c>
      <c r="E1869" t="inlineStr">
        <is>
          <t>personal_safety_raw</t>
        </is>
      </c>
      <c r="F1869" t="inlineStr">
        <is>
          <t>Personal safety raw</t>
        </is>
      </c>
      <c r="G1869" t="inlineStr">
        <is>
          <t>viability</t>
        </is>
      </c>
      <c r="H1869" t="inlineStr">
        <is>
          <t>yes</t>
        </is>
      </c>
      <c r="I1869" t="inlineStr">
        <is>
          <t>5.76</t>
        </is>
      </c>
      <c r="J1869" t="inlineStr">
        <is>
          <t>world_bank</t>
        </is>
      </c>
      <c r="K1869" t="inlineStr">
        <is>
          <t>https://api.worldbank.org/v2/country/USA/indicator/VC.IHR.PSRC.P5?format=json&amp;mrv=10</t>
        </is>
      </c>
      <c r="L1869" t="inlineStr">
        <is>
          <t>UNODC via World Bank WDI: Intentional homicides (per 100,000 people)</t>
        </is>
      </c>
      <c r="M1869" t="inlineStr">
        <is>
          <t>2023-12-31</t>
        </is>
      </c>
      <c r="N1869" t="inlineStr">
        <is>
          <t>auto_ingest=unodc_safety; indicator=VC.IHR.PSRC.P5; year=2023; country_proxy=United States</t>
        </is>
      </c>
    </row>
    <row r="1870">
      <c r="A1870" t="inlineStr">
        <is>
          <t>us-pittsburgh</t>
        </is>
      </c>
      <c r="B1870" t="inlineStr">
        <is>
          <t>Pittsburgh</t>
        </is>
      </c>
      <c r="C1870" t="inlineStr">
        <is>
          <t>United States</t>
        </is>
      </c>
      <c r="D1870" t="inlineStr">
        <is>
          <t>North America</t>
        </is>
      </c>
      <c r="E1870" t="inlineStr">
        <is>
          <t>transit_access_commute_raw</t>
        </is>
      </c>
      <c r="F1870" t="inlineStr">
        <is>
          <t>Transit access and commute raw</t>
        </is>
      </c>
      <c r="G1870" t="inlineStr">
        <is>
          <t>viability</t>
        </is>
      </c>
      <c r="H1870" t="inlineStr">
        <is>
          <t>yes</t>
        </is>
      </c>
      <c r="I1870" t="inlineStr"/>
      <c r="J1870" t="inlineStr"/>
      <c r="K1870" t="inlineStr"/>
      <c r="L1870" t="inlineStr"/>
      <c r="M1870" t="inlineStr"/>
      <c r="N1870" t="inlineStr"/>
    </row>
    <row r="1871">
      <c r="A1871" t="inlineStr">
        <is>
          <t>us-pittsburgh</t>
        </is>
      </c>
      <c r="B1871" t="inlineStr">
        <is>
          <t>Pittsburgh</t>
        </is>
      </c>
      <c r="C1871" t="inlineStr">
        <is>
          <t>United States</t>
        </is>
      </c>
      <c r="D1871" t="inlineStr">
        <is>
          <t>North America</t>
        </is>
      </c>
      <c r="E1871" t="inlineStr">
        <is>
          <t>clean_air_raw</t>
        </is>
      </c>
      <c r="F1871" t="inlineStr">
        <is>
          <t>Clean air raw</t>
        </is>
      </c>
      <c r="G1871" t="inlineStr">
        <is>
          <t>viability</t>
        </is>
      </c>
      <c r="H1871" t="inlineStr">
        <is>
          <t>yes</t>
        </is>
      </c>
      <c r="I1871" t="inlineStr"/>
      <c r="J1871" t="inlineStr"/>
      <c r="K1871" t="inlineStr"/>
      <c r="L1871" t="inlineStr"/>
      <c r="M1871" t="inlineStr"/>
      <c r="N1871" t="inlineStr"/>
    </row>
    <row r="1872">
      <c r="A1872" t="inlineStr">
        <is>
          <t>us-pittsburgh</t>
        </is>
      </c>
      <c r="B1872" t="inlineStr">
        <is>
          <t>Pittsburgh</t>
        </is>
      </c>
      <c r="C1872" t="inlineStr">
        <is>
          <t>United States</t>
        </is>
      </c>
      <c r="D1872" t="inlineStr">
        <is>
          <t>North America</t>
        </is>
      </c>
      <c r="E1872" t="inlineStr">
        <is>
          <t>water_sanitation_utility_raw</t>
        </is>
      </c>
      <c r="F1872" t="inlineStr">
        <is>
          <t>Water, sanitation, and utility raw</t>
        </is>
      </c>
      <c r="G1872" t="inlineStr">
        <is>
          <t>viability</t>
        </is>
      </c>
      <c r="H1872" t="inlineStr">
        <is>
          <t>yes</t>
        </is>
      </c>
      <c r="I1872" t="inlineStr">
        <is>
          <t>97.57</t>
        </is>
      </c>
      <c r="J1872" t="inlineStr">
        <is>
          <t>world_bank</t>
        </is>
      </c>
      <c r="K1872" t="inlineStr">
        <is>
          <t>https://api.worldbank.org/v2/country/USA/indicator/SH.H2O.SMDW.ZS?format=json&amp;mrv=10</t>
        </is>
      </c>
      <c r="L1872" t="inlineStr">
        <is>
          <t>World Bank WDI: People using safely managed drinking water services (% of population)</t>
        </is>
      </c>
      <c r="M1872" t="inlineStr">
        <is>
          <t>2024-12-31</t>
        </is>
      </c>
      <c r="N1872" t="inlineStr">
        <is>
          <t>auto_ingest=world_bank_proxy; indicator=SH.H2O.SMDW.ZS; year=2024; country_proxy=United States</t>
        </is>
      </c>
    </row>
    <row r="1873">
      <c r="A1873" t="inlineStr">
        <is>
          <t>us-pittsburgh</t>
        </is>
      </c>
      <c r="B1873" t="inlineStr">
        <is>
          <t>Pittsburgh</t>
        </is>
      </c>
      <c r="C1873" t="inlineStr">
        <is>
          <t>United States</t>
        </is>
      </c>
      <c r="D1873" t="inlineStr">
        <is>
          <t>North America</t>
        </is>
      </c>
      <c r="E1873" t="inlineStr">
        <is>
          <t>digital_infrastructure_raw</t>
        </is>
      </c>
      <c r="F1873" t="inlineStr">
        <is>
          <t>Digital infrastructure raw</t>
        </is>
      </c>
      <c r="G1873" t="inlineStr">
        <is>
          <t>viability</t>
        </is>
      </c>
      <c r="H1873" t="inlineStr">
        <is>
          <t>yes</t>
        </is>
      </c>
      <c r="I1873" t="inlineStr">
        <is>
          <t>38.15</t>
        </is>
      </c>
      <c r="J1873" t="inlineStr">
        <is>
          <t>world_bank</t>
        </is>
      </c>
      <c r="K1873" t="inlineStr">
        <is>
          <t>https://api.worldbank.org/v2/country/USA/indicator/IT.NET.BBND.P2?format=json&amp;mrv=10</t>
        </is>
      </c>
      <c r="L1873" t="inlineStr">
        <is>
          <t>World Bank WDI: Fixed broadband subscriptions (per 100 people)</t>
        </is>
      </c>
      <c r="M1873" t="inlineStr">
        <is>
          <t>2023-12-31</t>
        </is>
      </c>
      <c r="N1873" t="inlineStr">
        <is>
          <t>auto_ingest=world_bank_proxy; indicator=IT.NET.BBND.P2; year=2023; country_proxy=United States</t>
        </is>
      </c>
    </row>
    <row r="1874">
      <c r="A1874" t="inlineStr">
        <is>
          <t>us-pittsburgh</t>
        </is>
      </c>
      <c r="B1874" t="inlineStr">
        <is>
          <t>Pittsburgh</t>
        </is>
      </c>
      <c r="C1874" t="inlineStr">
        <is>
          <t>United States</t>
        </is>
      </c>
      <c r="D1874" t="inlineStr">
        <is>
          <t>North America</t>
        </is>
      </c>
      <c r="E1874" t="inlineStr">
        <is>
          <t>climate_sunlight_livability_raw</t>
        </is>
      </c>
      <c r="F1874" t="inlineStr">
        <is>
          <t>Climate and sunlight livability raw</t>
        </is>
      </c>
      <c r="G1874" t="inlineStr">
        <is>
          <t>viability</t>
        </is>
      </c>
      <c r="H1874" t="inlineStr">
        <is>
          <t>yes</t>
        </is>
      </c>
      <c r="I1874" t="inlineStr">
        <is>
          <t>46</t>
        </is>
      </c>
      <c r="J1874" t="inlineStr">
        <is>
          <t>wmo_natl_met</t>
        </is>
      </c>
      <c r="K1874" t="inlineStr">
        <is>
          <t>https://worldweather.wmo.int</t>
        </is>
      </c>
      <c r="L1874" t="inlineStr">
        <is>
          <t>WMO/National Met: Climate livability composite</t>
        </is>
      </c>
      <c r="M1874" t="inlineStr">
        <is>
          <t>2024-12-31</t>
        </is>
      </c>
      <c r="N1874" t="inlineStr">
        <is>
          <t>auto_seed=climate_composite; 2000 sun hrs, 11C mean, grey</t>
        </is>
      </c>
    </row>
    <row r="1875">
      <c r="A1875" t="inlineStr">
        <is>
          <t>us-pittsburgh</t>
        </is>
      </c>
      <c r="B1875" t="inlineStr">
        <is>
          <t>Pittsburgh</t>
        </is>
      </c>
      <c r="C1875" t="inlineStr">
        <is>
          <t>United States</t>
        </is>
      </c>
      <c r="D1875" t="inlineStr">
        <is>
          <t>North America</t>
        </is>
      </c>
      <c r="E1875" t="inlineStr">
        <is>
          <t>healthcare_quality_raw</t>
        </is>
      </c>
      <c r="F1875" t="inlineStr">
        <is>
          <t>Healthcare quality raw</t>
        </is>
      </c>
      <c r="G1875" t="inlineStr">
        <is>
          <t>capability</t>
        </is>
      </c>
      <c r="H1875" t="inlineStr">
        <is>
          <t>yes</t>
        </is>
      </c>
      <c r="I1875" t="inlineStr">
        <is>
          <t>88.0</t>
        </is>
      </c>
      <c r="J1875" t="inlineStr">
        <is>
          <t>who_gho</t>
        </is>
      </c>
      <c r="K1875" t="inlineStr">
        <is>
          <t>https://www.who.int/data/gho/data/indicators/indicator-details/GHO/UHC_INDEX_REPORTED</t>
        </is>
      </c>
      <c r="L1875" t="inlineStr">
        <is>
          <t>WHO GHO: UHC Service Coverage Index</t>
        </is>
      </c>
      <c r="M1875" t="inlineStr">
        <is>
          <t>2023-12-31</t>
        </is>
      </c>
      <c r="N1875" t="inlineStr">
        <is>
          <t>auto_ingest=who_gho; indicator=UHC_INDEX_REPORTED; year=2023; country_proxy=United States</t>
        </is>
      </c>
    </row>
    <row r="1876">
      <c r="A1876" t="inlineStr">
        <is>
          <t>us-pittsburgh</t>
        </is>
      </c>
      <c r="B1876" t="inlineStr">
        <is>
          <t>Pittsburgh</t>
        </is>
      </c>
      <c r="C1876" t="inlineStr">
        <is>
          <t>United States</t>
        </is>
      </c>
      <c r="D1876" t="inlineStr">
        <is>
          <t>North America</t>
        </is>
      </c>
      <c r="E1876" t="inlineStr">
        <is>
          <t>education_quality_raw</t>
        </is>
      </c>
      <c r="F1876" t="inlineStr">
        <is>
          <t>Education quality raw</t>
        </is>
      </c>
      <c r="G1876" t="inlineStr">
        <is>
          <t>capability</t>
        </is>
      </c>
      <c r="H1876" t="inlineStr">
        <is>
          <t>yes</t>
        </is>
      </c>
      <c r="I1876" t="inlineStr">
        <is>
          <t>79.36</t>
        </is>
      </c>
      <c r="J1876" t="inlineStr">
        <is>
          <t>world_bank</t>
        </is>
      </c>
      <c r="K1876" t="inlineStr">
        <is>
          <t>https://api.worldbank.org/v2/country/USA/indicator/SE.TER.ENRR?format=json&amp;mrv=10</t>
        </is>
      </c>
      <c r="L1876" t="inlineStr">
        <is>
          <t>World Bank WDI: School enrollment, tertiary (% gross)</t>
        </is>
      </c>
      <c r="M1876" t="inlineStr">
        <is>
          <t>2022-12-31</t>
        </is>
      </c>
      <c r="N1876" t="inlineStr">
        <is>
          <t>auto_ingest=world_bank_proxy; indicator=SE.TER.ENRR; year=2022; country_proxy=United States</t>
        </is>
      </c>
    </row>
    <row r="1877">
      <c r="A1877" t="inlineStr">
        <is>
          <t>us-pittsburgh</t>
        </is>
      </c>
      <c r="B1877" t="inlineStr">
        <is>
          <t>Pittsburgh</t>
        </is>
      </c>
      <c r="C1877" t="inlineStr">
        <is>
          <t>United States</t>
        </is>
      </c>
      <c r="D1877" t="inlineStr">
        <is>
          <t>North America</t>
        </is>
      </c>
      <c r="E1877" t="inlineStr">
        <is>
          <t>equal_opportunity_raw</t>
        </is>
      </c>
      <c r="F1877" t="inlineStr">
        <is>
          <t>Equal opportunity raw</t>
        </is>
      </c>
      <c r="G1877" t="inlineStr">
        <is>
          <t>capability</t>
        </is>
      </c>
      <c r="H1877" t="inlineStr">
        <is>
          <t>yes</t>
        </is>
      </c>
      <c r="I1877" t="inlineStr">
        <is>
          <t>41.8</t>
        </is>
      </c>
      <c r="J1877" t="inlineStr">
        <is>
          <t>world_bank</t>
        </is>
      </c>
      <c r="K1877" t="inlineStr">
        <is>
          <t>https://api.worldbank.org/v2/country/USA/indicator/SI.POV.GINI?format=json&amp;mrv=10</t>
        </is>
      </c>
      <c r="L1877" t="inlineStr">
        <is>
          <t>World Bank WDI: Gini index</t>
        </is>
      </c>
      <c r="M1877" t="inlineStr">
        <is>
          <t>2023-12-31</t>
        </is>
      </c>
      <c r="N1877" t="inlineStr">
        <is>
          <t>auto_ingest=world_bank_capability; indicator=SI.POV.GINI; year=2023; country_proxy=United States</t>
        </is>
      </c>
    </row>
    <row r="1878">
      <c r="A1878" t="inlineStr">
        <is>
          <t>us-pittsburgh</t>
        </is>
      </c>
      <c r="B1878" t="inlineStr">
        <is>
          <t>Pittsburgh</t>
        </is>
      </c>
      <c r="C1878" t="inlineStr">
        <is>
          <t>United States</t>
        </is>
      </c>
      <c r="D1878" t="inlineStr">
        <is>
          <t>North America</t>
        </is>
      </c>
      <c r="E1878" t="inlineStr">
        <is>
          <t>hospitality_belonging_raw</t>
        </is>
      </c>
      <c r="F1878" t="inlineStr">
        <is>
          <t>Hospitality and belonging raw</t>
        </is>
      </c>
      <c r="G1878" t="inlineStr">
        <is>
          <t>community</t>
        </is>
      </c>
      <c r="H1878" t="inlineStr">
        <is>
          <t>yes</t>
        </is>
      </c>
      <c r="I1878" t="inlineStr">
        <is>
          <t>53.62</t>
        </is>
      </c>
      <c r="J1878" t="inlineStr">
        <is>
          <t>world_bank</t>
        </is>
      </c>
      <c r="K1878" t="inlineStr">
        <is>
          <t>https://api.worldbank.org/v2/country/USA/indicator/SM.POP.NETM?format=json&amp;mrv=10</t>
        </is>
      </c>
      <c r="L1878" t="inlineStr">
        <is>
          <t>World Bank WDI: Net migration (proxy for hospitality/belonging — positive = welcoming)</t>
        </is>
      </c>
      <c r="M1878" t="inlineStr">
        <is>
          <t>2025-12-31</t>
        </is>
      </c>
      <c r="N1878" t="inlineStr">
        <is>
          <t>auto_ingest=world_bank_proxy; proxy=net_migration_hospitality; indicator=SM.POP.NETM; year=2025; country_proxy=United States</t>
        </is>
      </c>
    </row>
    <row r="1879">
      <c r="A1879" t="inlineStr">
        <is>
          <t>us-pittsburgh</t>
        </is>
      </c>
      <c r="B1879" t="inlineStr">
        <is>
          <t>Pittsburgh</t>
        </is>
      </c>
      <c r="C1879" t="inlineStr">
        <is>
          <t>United States</t>
        </is>
      </c>
      <c r="D1879" t="inlineStr">
        <is>
          <t>North America</t>
        </is>
      </c>
      <c r="E1879" t="inlineStr">
        <is>
          <t>tolerance_pluralism_raw</t>
        </is>
      </c>
      <c r="F1879" t="inlineStr">
        <is>
          <t>Tolerance and pluralism raw</t>
        </is>
      </c>
      <c r="G1879" t="inlineStr">
        <is>
          <t>community</t>
        </is>
      </c>
      <c r="H1879" t="inlineStr">
        <is>
          <t>yes</t>
        </is>
      </c>
      <c r="I1879" t="inlineStr">
        <is>
          <t>28.74</t>
        </is>
      </c>
      <c r="J1879" t="inlineStr">
        <is>
          <t>world_bank</t>
        </is>
      </c>
      <c r="K1879" t="inlineStr">
        <is>
          <t>https://api.worldbank.org/v2/country/USA/indicator/SG.GEN.PARL.ZS?format=json&amp;mrv=10</t>
        </is>
      </c>
      <c r="L1879" t="inlineStr">
        <is>
          <t>World Bank WDI: Proportion of seats held by women in national parliaments (%)</t>
        </is>
      </c>
      <c r="M1879" t="inlineStr">
        <is>
          <t>2024-12-31</t>
        </is>
      </c>
      <c r="N1879" t="inlineStr">
        <is>
          <t>auto_ingest=world_bank_proxy; proxy=gender_parity_parliament; indicator=SG.GEN.PARL.ZS; year=2024; country_proxy=United States</t>
        </is>
      </c>
    </row>
    <row r="1880">
      <c r="A1880" t="inlineStr">
        <is>
          <t>us-pittsburgh</t>
        </is>
      </c>
      <c r="B1880" t="inlineStr">
        <is>
          <t>Pittsburgh</t>
        </is>
      </c>
      <c r="C1880" t="inlineStr">
        <is>
          <t>United States</t>
        </is>
      </c>
      <c r="D1880" t="inlineStr">
        <is>
          <t>North America</t>
        </is>
      </c>
      <c r="E1880" t="inlineStr">
        <is>
          <t>cultural_public_life_raw</t>
        </is>
      </c>
      <c r="F1880" t="inlineStr">
        <is>
          <t>Cultural public life raw</t>
        </is>
      </c>
      <c r="G1880" t="inlineStr">
        <is>
          <t>community</t>
        </is>
      </c>
      <c r="H1880" t="inlineStr">
        <is>
          <t>yes</t>
        </is>
      </c>
      <c r="I1880" t="inlineStr">
        <is>
          <t>132.42</t>
        </is>
      </c>
      <c r="J1880" t="inlineStr">
        <is>
          <t>world_bank</t>
        </is>
      </c>
      <c r="K1880" t="inlineStr">
        <is>
          <t>https://api.worldbank.org/v2/country/USA/indicator/ST.INT.ARVL?format=json&amp;mrv=10</t>
        </is>
      </c>
      <c r="L1880" t="inlineStr">
        <is>
          <t>World Bank WDI: International tourism arrivals per 1 000 population</t>
        </is>
      </c>
      <c r="M1880" t="inlineStr">
        <is>
          <t>2020-12-31</t>
        </is>
      </c>
      <c r="N1880" t="inlineStr">
        <is>
          <t>auto_ingest=cultural_life_proxy; indicator=ST.INT.ARVL; norm=per_1000_pop; year=2020; country_proxy=United States</t>
        </is>
      </c>
    </row>
    <row r="1881">
      <c r="A1881" t="inlineStr">
        <is>
          <t>us-pittsburgh</t>
        </is>
      </c>
      <c r="B1881" t="inlineStr">
        <is>
          <t>Pittsburgh</t>
        </is>
      </c>
      <c r="C1881" t="inlineStr">
        <is>
          <t>United States</t>
        </is>
      </c>
      <c r="D1881" t="inlineStr">
        <is>
          <t>North America</t>
        </is>
      </c>
      <c r="E1881" t="inlineStr">
        <is>
          <t>birth_rate_optimism_raw</t>
        </is>
      </c>
      <c r="F1881" t="inlineStr">
        <is>
          <t>Birth rate and societal optimism raw</t>
        </is>
      </c>
      <c r="G1881" t="inlineStr">
        <is>
          <t>community</t>
        </is>
      </c>
      <c r="H1881" t="inlineStr">
        <is>
          <t>yes</t>
        </is>
      </c>
      <c r="I1881" t="inlineStr">
        <is>
          <t>1.62</t>
        </is>
      </c>
      <c r="J1881" t="inlineStr">
        <is>
          <t>world_bank</t>
        </is>
      </c>
      <c r="K1881" t="inlineStr">
        <is>
          <t>https://data.worldbank.org/indicator/SP.DYN.TFRT.IN</t>
        </is>
      </c>
      <c r="L1881" t="inlineStr">
        <is>
          <t>World Bank Total Fertility Rate 2023</t>
        </is>
      </c>
      <c r="M1881" t="inlineStr">
        <is>
          <t>2024-01-01</t>
        </is>
      </c>
      <c r="N1881" t="inlineStr"/>
    </row>
    <row r="1882">
      <c r="A1882" t="inlineStr">
        <is>
          <t>us-pittsburgh</t>
        </is>
      </c>
      <c r="B1882" t="inlineStr">
        <is>
          <t>Pittsburgh</t>
        </is>
      </c>
      <c r="C1882" t="inlineStr">
        <is>
          <t>United States</t>
        </is>
      </c>
      <c r="D1882" t="inlineStr">
        <is>
          <t>North America</t>
        </is>
      </c>
      <c r="E1882" t="inlineStr">
        <is>
          <t>entrepreneurial_dynamism_raw</t>
        </is>
      </c>
      <c r="F1882" t="inlineStr">
        <is>
          <t>Entrepreneurial dynamism raw</t>
        </is>
      </c>
      <c r="G1882" t="inlineStr">
        <is>
          <t>creative</t>
        </is>
      </c>
      <c r="H1882" t="inlineStr">
        <is>
          <t>yes</t>
        </is>
      </c>
      <c r="I1882" t="inlineStr"/>
      <c r="J1882" t="inlineStr"/>
      <c r="K1882" t="inlineStr"/>
      <c r="L1882" t="inlineStr"/>
      <c r="M1882" t="inlineStr"/>
      <c r="N1882" t="inlineStr"/>
    </row>
    <row r="1883">
      <c r="A1883" t="inlineStr">
        <is>
          <t>us-pittsburgh</t>
        </is>
      </c>
      <c r="B1883" t="inlineStr">
        <is>
          <t>Pittsburgh</t>
        </is>
      </c>
      <c r="C1883" t="inlineStr">
        <is>
          <t>United States</t>
        </is>
      </c>
      <c r="D1883" t="inlineStr">
        <is>
          <t>North America</t>
        </is>
      </c>
      <c r="E1883" t="inlineStr">
        <is>
          <t>innovation_research_intensity_raw</t>
        </is>
      </c>
      <c r="F1883" t="inlineStr">
        <is>
          <t>Innovation and research raw</t>
        </is>
      </c>
      <c r="G1883" t="inlineStr">
        <is>
          <t>creative</t>
        </is>
      </c>
      <c r="H1883" t="inlineStr">
        <is>
          <t>yes</t>
        </is>
      </c>
      <c r="I1883" t="inlineStr">
        <is>
          <t>3.59</t>
        </is>
      </c>
      <c r="J1883" t="inlineStr">
        <is>
          <t>world_bank</t>
        </is>
      </c>
      <c r="K1883" t="inlineStr">
        <is>
          <t>https://api.worldbank.org/v2/country/USA/indicator/GB.XPD.RSDV.GD.ZS?format=json&amp;mrv=10</t>
        </is>
      </c>
      <c r="L1883" t="inlineStr">
        <is>
          <t>World Bank WDI: Research and development expenditure (% of GDP)</t>
        </is>
      </c>
      <c r="M1883" t="inlineStr">
        <is>
          <t>2022-12-31</t>
        </is>
      </c>
      <c r="N1883" t="inlineStr">
        <is>
          <t>auto_ingest=world_bank_creative_extended; indicator=GB.XPD.RSDV.GD.ZS; year=2022; country_proxy=United States</t>
        </is>
      </c>
    </row>
    <row r="1884">
      <c r="A1884" t="inlineStr">
        <is>
          <t>us-pittsburgh</t>
        </is>
      </c>
      <c r="B1884" t="inlineStr">
        <is>
          <t>Pittsburgh</t>
        </is>
      </c>
      <c r="C1884" t="inlineStr">
        <is>
          <t>United States</t>
        </is>
      </c>
      <c r="D1884" t="inlineStr">
        <is>
          <t>North America</t>
        </is>
      </c>
      <c r="E1884" t="inlineStr">
        <is>
          <t>investment_signal_raw</t>
        </is>
      </c>
      <c r="F1884" t="inlineStr">
        <is>
          <t>Investment signal raw</t>
        </is>
      </c>
      <c r="G1884" t="inlineStr">
        <is>
          <t>creative</t>
        </is>
      </c>
      <c r="H1884" t="inlineStr">
        <is>
          <t>yes</t>
        </is>
      </c>
      <c r="I1884" t="inlineStr">
        <is>
          <t>1.03</t>
        </is>
      </c>
      <c r="J1884" t="inlineStr">
        <is>
          <t>world_bank</t>
        </is>
      </c>
      <c r="K1884" t="inlineStr">
        <is>
          <t>https://api.worldbank.org/v2/country/USA/indicator/BX.KLT.DINV.WD.GD.ZS?format=json&amp;mrv=10</t>
        </is>
      </c>
      <c r="L1884" t="inlineStr">
        <is>
          <t>World Bank WDI: Foreign direct investment, net inflows (% of GDP)</t>
        </is>
      </c>
      <c r="M1884" t="inlineStr">
        <is>
          <t>2024-12-31</t>
        </is>
      </c>
      <c r="N1884" t="inlineStr">
        <is>
          <t>auto_ingest=world_bank_creative_extended; indicator=BX.KLT.DINV.WD.GD.ZS; year=2024; country_proxy=United States</t>
        </is>
      </c>
    </row>
    <row r="1885">
      <c r="A1885" t="inlineStr">
        <is>
          <t>us-pittsburgh</t>
        </is>
      </c>
      <c r="B1885" t="inlineStr">
        <is>
          <t>Pittsburgh</t>
        </is>
      </c>
      <c r="C1885" t="inlineStr">
        <is>
          <t>United States</t>
        </is>
      </c>
      <c r="D1885" t="inlineStr">
        <is>
          <t>North America</t>
        </is>
      </c>
      <c r="E1885" t="inlineStr">
        <is>
          <t>administrative_investment_friction_raw</t>
        </is>
      </c>
      <c r="F1885" t="inlineStr">
        <is>
          <t>Administrative investment friction raw</t>
        </is>
      </c>
      <c r="G1885" t="inlineStr">
        <is>
          <t>creative</t>
        </is>
      </c>
      <c r="H1885" t="inlineStr">
        <is>
          <t>yes</t>
        </is>
      </c>
      <c r="I1885" t="inlineStr">
        <is>
          <t>1.11</t>
        </is>
      </c>
      <c r="J1885" t="inlineStr">
        <is>
          <t>world_bank</t>
        </is>
      </c>
      <c r="K1885" t="inlineStr">
        <is>
          <t>https://api.worldbank.org/v2/country/USA/indicator/RQ.EST?format=json&amp;mrv=10</t>
        </is>
      </c>
      <c r="L1885" t="inlineStr">
        <is>
          <t>World Bank WGI: Regulatory Quality (inverted as friction proxy)</t>
        </is>
      </c>
      <c r="M1885" t="inlineStr">
        <is>
          <t>2023-12-31</t>
        </is>
      </c>
      <c r="N1885" t="inlineStr">
        <is>
          <t>auto_ingest=world_bank_business_friction; indicator=RQ.EST; raw_rq=1.39373278617859; friction=1.11; year=2023; country_proxy=United States</t>
        </is>
      </c>
    </row>
    <row r="1886">
      <c r="A1886" t="inlineStr">
        <is>
          <t>us-pittsburgh</t>
        </is>
      </c>
      <c r="B1886" t="inlineStr">
        <is>
          <t>Pittsburgh</t>
        </is>
      </c>
      <c r="C1886" t="inlineStr">
        <is>
          <t>United States</t>
        </is>
      </c>
      <c r="D1886" t="inlineStr">
        <is>
          <t>North America</t>
        </is>
      </c>
      <c r="E1886" t="inlineStr">
        <is>
          <t>visitor_flow_context_raw</t>
        </is>
      </c>
      <c r="F1886" t="inlineStr">
        <is>
          <t>Visitor flow context raw</t>
        </is>
      </c>
      <c r="G1886" t="inlineStr">
        <is>
          <t>creative</t>
        </is>
      </c>
      <c r="H1886" t="inlineStr">
        <is>
          <t>no</t>
        </is>
      </c>
      <c r="I1886" t="inlineStr"/>
      <c r="J1886" t="inlineStr"/>
      <c r="K1886" t="inlineStr"/>
      <c r="L1886" t="inlineStr"/>
      <c r="M1886" t="inlineStr"/>
      <c r="N1886" t="inlineStr"/>
    </row>
    <row r="1887">
      <c r="A1887" t="inlineStr">
        <is>
          <t>ca-montreal</t>
        </is>
      </c>
      <c r="B1887" t="inlineStr">
        <is>
          <t>Montreal</t>
        </is>
      </c>
      <c r="C1887" t="inlineStr">
        <is>
          <t>Canada</t>
        </is>
      </c>
      <c r="D1887" t="inlineStr">
        <is>
          <t>North America</t>
        </is>
      </c>
      <c r="E1887" t="inlineStr">
        <is>
          <t>gross_income</t>
        </is>
      </c>
      <c r="F1887" t="inlineStr">
        <is>
          <t>Gross income</t>
        </is>
      </c>
      <c r="G1887" t="inlineStr">
        <is>
          <t>pressure</t>
        </is>
      </c>
      <c r="H1887" t="inlineStr">
        <is>
          <t>yes</t>
        </is>
      </c>
      <c r="I1887" t="inlineStr">
        <is>
          <t>5302.5</t>
        </is>
      </c>
      <c r="J1887" t="inlineStr">
        <is>
          <t>world_bank_col_estimate</t>
        </is>
      </c>
      <c r="K1887" t="inlineStr">
        <is>
          <t>https://api.worldbank.org/v2/country/CAN/indicator/NY.GNP.PCAP.PP.CD?format=json&amp;mrv=10</t>
        </is>
      </c>
      <c r="L1887" t="inlineStr">
        <is>
          <t>World Bank WDI: GNI per capita PPP (monthly USD)</t>
        </is>
      </c>
      <c r="M1887" t="inlineStr">
        <is>
          <t>2024-12-31</t>
        </is>
      </c>
      <c r="N1887" t="inlineStr">
        <is>
          <t>auto_ingest=world_bank_col_estimate; gni_annual=63630.0; year=2024; country_proxy=Canada; cohort=North America</t>
        </is>
      </c>
    </row>
    <row r="1888">
      <c r="A1888" t="inlineStr">
        <is>
          <t>ca-montreal</t>
        </is>
      </c>
      <c r="B1888" t="inlineStr">
        <is>
          <t>Montreal</t>
        </is>
      </c>
      <c r="C1888" t="inlineStr">
        <is>
          <t>Canada</t>
        </is>
      </c>
      <c r="D1888" t="inlineStr">
        <is>
          <t>North America</t>
        </is>
      </c>
      <c r="E1888" t="inlineStr">
        <is>
          <t>di_ppp_raw</t>
        </is>
      </c>
      <c r="F1888" t="inlineStr">
        <is>
          <t>Disposable income PPP (Raw)</t>
        </is>
      </c>
      <c r="G1888" t="inlineStr">
        <is>
          <t>pressure</t>
        </is>
      </c>
      <c r="H1888" t="inlineStr">
        <is>
          <t>yes</t>
        </is>
      </c>
      <c r="I1888" t="inlineStr"/>
      <c r="J1888" t="inlineStr"/>
      <c r="K1888" t="inlineStr"/>
      <c r="L1888" t="inlineStr"/>
      <c r="M1888" t="inlineStr"/>
      <c r="N1888" t="inlineStr"/>
    </row>
    <row r="1889">
      <c r="A1889" t="inlineStr">
        <is>
          <t>ca-montreal</t>
        </is>
      </c>
      <c r="B1889" t="inlineStr">
        <is>
          <t>Montreal</t>
        </is>
      </c>
      <c r="C1889" t="inlineStr">
        <is>
          <t>Canada</t>
        </is>
      </c>
      <c r="D1889" t="inlineStr">
        <is>
          <t>North America</t>
        </is>
      </c>
      <c r="E1889" t="inlineStr">
        <is>
          <t>rent</t>
        </is>
      </c>
      <c r="F1889" t="inlineStr">
        <is>
          <t>Rent</t>
        </is>
      </c>
      <c r="G1889" t="inlineStr">
        <is>
          <t>pressure</t>
        </is>
      </c>
      <c r="H1889" t="inlineStr">
        <is>
          <t>yes</t>
        </is>
      </c>
      <c r="I1889" t="inlineStr">
        <is>
          <t>1577.49</t>
        </is>
      </c>
      <c r="J1889" t="inlineStr">
        <is>
          <t>world_bank_col_estimate</t>
        </is>
      </c>
      <c r="K1889" t="inlineStr">
        <is>
          <t>https://api.worldbank.org/v2/country/CAN/indicator/NY.GNP.PCAP.PP.CD?format=json&amp;mrv=10</t>
        </is>
      </c>
      <c r="L1889" t="inlineStr">
        <is>
          <t>World Bank GNI + regional expenditure ratio estimate</t>
        </is>
      </c>
      <c r="M1889" t="inlineStr">
        <is>
          <t>2024-12-31</t>
        </is>
      </c>
      <c r="N1889" t="inlineStr">
        <is>
          <t>auto_ingest=world_bank_col_estimate; gni_annual=63630.0; year=2024; country_proxy=Canada; cohort=North America; city_cost_mult=0.85</t>
        </is>
      </c>
    </row>
    <row r="1890">
      <c r="A1890" t="inlineStr">
        <is>
          <t>ca-montreal</t>
        </is>
      </c>
      <c r="B1890" t="inlineStr">
        <is>
          <t>Montreal</t>
        </is>
      </c>
      <c r="C1890" t="inlineStr">
        <is>
          <t>Canada</t>
        </is>
      </c>
      <c r="D1890" t="inlineStr">
        <is>
          <t>North America</t>
        </is>
      </c>
      <c r="E1890" t="inlineStr">
        <is>
          <t>utilities</t>
        </is>
      </c>
      <c r="F1890" t="inlineStr">
        <is>
          <t>Utilities</t>
        </is>
      </c>
      <c r="G1890" t="inlineStr">
        <is>
          <t>pressure</t>
        </is>
      </c>
      <c r="H1890" t="inlineStr">
        <is>
          <t>yes</t>
        </is>
      </c>
      <c r="I1890" t="inlineStr">
        <is>
          <t>315.5</t>
        </is>
      </c>
      <c r="J1890" t="inlineStr">
        <is>
          <t>world_bank_col_estimate</t>
        </is>
      </c>
      <c r="K1890" t="inlineStr">
        <is>
          <t>https://api.worldbank.org/v2/country/CAN/indicator/NY.GNP.PCAP.PP.CD?format=json&amp;mrv=10</t>
        </is>
      </c>
      <c r="L1890" t="inlineStr">
        <is>
          <t>World Bank GNI + regional expenditure ratio estimate</t>
        </is>
      </c>
      <c r="M1890" t="inlineStr">
        <is>
          <t>2024-12-31</t>
        </is>
      </c>
      <c r="N1890" t="inlineStr">
        <is>
          <t>auto_ingest=world_bank_col_estimate; gni_annual=63630.0; year=2024; country_proxy=Canada; cohort=North America; city_cost_mult=0.85</t>
        </is>
      </c>
    </row>
    <row r="1891">
      <c r="A1891" t="inlineStr">
        <is>
          <t>ca-montreal</t>
        </is>
      </c>
      <c r="B1891" t="inlineStr">
        <is>
          <t>Montreal</t>
        </is>
      </c>
      <c r="C1891" t="inlineStr">
        <is>
          <t>Canada</t>
        </is>
      </c>
      <c r="D1891" t="inlineStr">
        <is>
          <t>North America</t>
        </is>
      </c>
      <c r="E1891" t="inlineStr">
        <is>
          <t>transit_cost</t>
        </is>
      </c>
      <c r="F1891" t="inlineStr">
        <is>
          <t>Transit cost</t>
        </is>
      </c>
      <c r="G1891" t="inlineStr">
        <is>
          <t>pressure</t>
        </is>
      </c>
      <c r="H1891" t="inlineStr">
        <is>
          <t>yes</t>
        </is>
      </c>
      <c r="I1891" t="inlineStr">
        <is>
          <t>225.36</t>
        </is>
      </c>
      <c r="J1891" t="inlineStr">
        <is>
          <t>world_bank_col_estimate</t>
        </is>
      </c>
      <c r="K1891" t="inlineStr">
        <is>
          <t>https://api.worldbank.org/v2/country/CAN/indicator/NY.GNP.PCAP.PP.CD?format=json&amp;mrv=10</t>
        </is>
      </c>
      <c r="L1891" t="inlineStr">
        <is>
          <t>World Bank GNI + regional expenditure ratio estimate</t>
        </is>
      </c>
      <c r="M1891" t="inlineStr">
        <is>
          <t>2024-12-31</t>
        </is>
      </c>
      <c r="N1891" t="inlineStr">
        <is>
          <t>auto_ingest=world_bank_col_estimate; gni_annual=63630.0; year=2024; country_proxy=Canada; cohort=North America; city_cost_mult=0.85</t>
        </is>
      </c>
    </row>
    <row r="1892">
      <c r="A1892" t="inlineStr">
        <is>
          <t>ca-montreal</t>
        </is>
      </c>
      <c r="B1892" t="inlineStr">
        <is>
          <t>Montreal</t>
        </is>
      </c>
      <c r="C1892" t="inlineStr">
        <is>
          <t>Canada</t>
        </is>
      </c>
      <c r="D1892" t="inlineStr">
        <is>
          <t>North America</t>
        </is>
      </c>
      <c r="E1892" t="inlineStr">
        <is>
          <t>internet_cost</t>
        </is>
      </c>
      <c r="F1892" t="inlineStr">
        <is>
          <t>Internet cost</t>
        </is>
      </c>
      <c r="G1892" t="inlineStr">
        <is>
          <t>pressure</t>
        </is>
      </c>
      <c r="H1892" t="inlineStr">
        <is>
          <t>yes</t>
        </is>
      </c>
      <c r="I1892" t="inlineStr">
        <is>
          <t>90.14</t>
        </is>
      </c>
      <c r="J1892" t="inlineStr">
        <is>
          <t>world_bank_col_estimate</t>
        </is>
      </c>
      <c r="K1892" t="inlineStr">
        <is>
          <t>https://api.worldbank.org/v2/country/CAN/indicator/NY.GNP.PCAP.PP.CD?format=json&amp;mrv=10</t>
        </is>
      </c>
      <c r="L1892" t="inlineStr">
        <is>
          <t>World Bank GNI + regional expenditure ratio estimate</t>
        </is>
      </c>
      <c r="M1892" t="inlineStr">
        <is>
          <t>2024-12-31</t>
        </is>
      </c>
      <c r="N1892" t="inlineStr">
        <is>
          <t>auto_ingest=world_bank_col_estimate; gni_annual=63630.0; year=2024; country_proxy=Canada; cohort=North America; city_cost_mult=0.85</t>
        </is>
      </c>
    </row>
    <row r="1893">
      <c r="A1893" t="inlineStr">
        <is>
          <t>ca-montreal</t>
        </is>
      </c>
      <c r="B1893" t="inlineStr">
        <is>
          <t>Montreal</t>
        </is>
      </c>
      <c r="C1893" t="inlineStr">
        <is>
          <t>Canada</t>
        </is>
      </c>
      <c r="D1893" t="inlineStr">
        <is>
          <t>North America</t>
        </is>
      </c>
      <c r="E1893" t="inlineStr">
        <is>
          <t>food_cost</t>
        </is>
      </c>
      <c r="F1893" t="inlineStr">
        <is>
          <t>Food cost</t>
        </is>
      </c>
      <c r="G1893" t="inlineStr">
        <is>
          <t>pressure</t>
        </is>
      </c>
      <c r="H1893" t="inlineStr">
        <is>
          <t>yes</t>
        </is>
      </c>
      <c r="I1893" t="inlineStr">
        <is>
          <t>676.07</t>
        </is>
      </c>
      <c r="J1893" t="inlineStr">
        <is>
          <t>world_bank_col_estimate</t>
        </is>
      </c>
      <c r="K1893" t="inlineStr">
        <is>
          <t>https://api.worldbank.org/v2/country/CAN/indicator/NY.GNP.PCAP.PP.CD?format=json&amp;mrv=10</t>
        </is>
      </c>
      <c r="L1893" t="inlineStr">
        <is>
          <t>World Bank GNI + regional expenditure ratio estimate</t>
        </is>
      </c>
      <c r="M1893" t="inlineStr">
        <is>
          <t>2024-12-31</t>
        </is>
      </c>
      <c r="N1893" t="inlineStr">
        <is>
          <t>auto_ingest=world_bank_col_estimate; gni_annual=63630.0; year=2024; country_proxy=Canada; cohort=North America; city_cost_mult=0.85</t>
        </is>
      </c>
    </row>
    <row r="1894">
      <c r="A1894" t="inlineStr">
        <is>
          <t>ca-montreal</t>
        </is>
      </c>
      <c r="B1894" t="inlineStr">
        <is>
          <t>Montreal</t>
        </is>
      </c>
      <c r="C1894" t="inlineStr">
        <is>
          <t>Canada</t>
        </is>
      </c>
      <c r="D1894" t="inlineStr">
        <is>
          <t>North America</t>
        </is>
      </c>
      <c r="E1894" t="inlineStr">
        <is>
          <t>housing_burden_raw</t>
        </is>
      </c>
      <c r="F1894" t="inlineStr">
        <is>
          <t>Housing burden raw</t>
        </is>
      </c>
      <c r="G1894" t="inlineStr">
        <is>
          <t>pressure</t>
        </is>
      </c>
      <c r="H1894" t="inlineStr">
        <is>
          <t>yes</t>
        </is>
      </c>
      <c r="I1894" t="inlineStr">
        <is>
          <t>29.7499</t>
        </is>
      </c>
      <c r="J1894" t="inlineStr">
        <is>
          <t>derived</t>
        </is>
      </c>
      <c r="K1894" t="inlineStr">
        <is>
          <t>https://data.worldbank.org/indicator/NY.GNP.PCAP.PP.CD</t>
        </is>
      </c>
      <c r="L1894" t="inlineStr">
        <is>
          <t>Computed from city_inputs + country_context</t>
        </is>
      </c>
      <c r="M1894" t="inlineStr">
        <is>
          <t>2024-01-01</t>
        </is>
      </c>
      <c r="N1894" t="inlineStr">
        <is>
          <t>derived=rent/gross_income*100</t>
        </is>
      </c>
    </row>
    <row r="1895">
      <c r="A1895" t="inlineStr">
        <is>
          <t>ca-montreal</t>
        </is>
      </c>
      <c r="B1895" t="inlineStr">
        <is>
          <t>Montreal</t>
        </is>
      </c>
      <c r="C1895" t="inlineStr">
        <is>
          <t>Canada</t>
        </is>
      </c>
      <c r="D1895" t="inlineStr">
        <is>
          <t>North America</t>
        </is>
      </c>
      <c r="E1895" t="inlineStr">
        <is>
          <t>household_debt_burden_raw</t>
        </is>
      </c>
      <c r="F1895" t="inlineStr">
        <is>
          <t>Household debt burden raw</t>
        </is>
      </c>
      <c r="G1895" t="inlineStr">
        <is>
          <t>pressure</t>
        </is>
      </c>
      <c r="H1895" t="inlineStr">
        <is>
          <t>yes</t>
        </is>
      </c>
      <c r="I1895" t="inlineStr">
        <is>
          <t>124.0978</t>
        </is>
      </c>
      <c r="J1895" t="inlineStr">
        <is>
          <t>derived</t>
        </is>
      </c>
      <c r="K1895" t="inlineStr">
        <is>
          <t>https://data.worldbank.org/indicator/NY.GNP.PCAP.PP.CD</t>
        </is>
      </c>
      <c r="L1895" t="inlineStr">
        <is>
          <t>Computed from city_inputs + country_context</t>
        </is>
      </c>
      <c r="M1895" t="inlineStr">
        <is>
          <t>2024-01-01</t>
        </is>
      </c>
      <c r="N1895" t="inlineStr">
        <is>
          <t>derived=country_context.household_debt_proxy; country=Canada</t>
        </is>
      </c>
    </row>
    <row r="1896">
      <c r="A1896" t="inlineStr">
        <is>
          <t>ca-montreal</t>
        </is>
      </c>
      <c r="B1896" t="inlineStr">
        <is>
          <t>Montreal</t>
        </is>
      </c>
      <c r="C1896" t="inlineStr">
        <is>
          <t>Canada</t>
        </is>
      </c>
      <c r="D1896" t="inlineStr">
        <is>
          <t>North America</t>
        </is>
      </c>
      <c r="E1896" t="inlineStr">
        <is>
          <t>working_time_pressure_raw</t>
        </is>
      </c>
      <c r="F1896" t="inlineStr">
        <is>
          <t>Working time pressure raw</t>
        </is>
      </c>
      <c r="G1896" t="inlineStr">
        <is>
          <t>pressure</t>
        </is>
      </c>
      <c r="H1896" t="inlineStr">
        <is>
          <t>yes</t>
        </is>
      </c>
      <c r="I1896" t="inlineStr">
        <is>
          <t>34.8</t>
        </is>
      </c>
      <c r="J1896" t="inlineStr">
        <is>
          <t>ilo_ilostat</t>
        </is>
      </c>
      <c r="K1896" t="inlineStr">
        <is>
          <t>https://ilostat.ilo.org/data/indicator/?id=HOW_TEMP_SEX_ECO_NB_A&amp;ref_area=CAN</t>
        </is>
      </c>
      <c r="L1896" t="inlineStr">
        <is>
          <t>ILO ILOSTAT: Mean weekly hours actually worked per employed person</t>
        </is>
      </c>
      <c r="M1896" t="inlineStr">
        <is>
          <t>2025-12-31</t>
        </is>
      </c>
      <c r="N1896" t="inlineStr">
        <is>
          <t>auto_ingest=ilo_working_hours; indicator=HOW_TEMP_SEX_ECO_NB_A; year=2025; hours=34.8; country_proxy=Canada</t>
        </is>
      </c>
    </row>
    <row r="1897">
      <c r="A1897" t="inlineStr">
        <is>
          <t>ca-montreal</t>
        </is>
      </c>
      <c r="B1897" t="inlineStr">
        <is>
          <t>Montreal</t>
        </is>
      </c>
      <c r="C1897" t="inlineStr">
        <is>
          <t>Canada</t>
        </is>
      </c>
      <c r="D1897" t="inlineStr">
        <is>
          <t>North America</t>
        </is>
      </c>
      <c r="E1897" t="inlineStr">
        <is>
          <t>suicide_mental_strain_raw</t>
        </is>
      </c>
      <c r="F1897" t="inlineStr">
        <is>
          <t>Suicide or mental strain raw</t>
        </is>
      </c>
      <c r="G1897" t="inlineStr">
        <is>
          <t>pressure</t>
        </is>
      </c>
      <c r="H1897" t="inlineStr">
        <is>
          <t>yes</t>
        </is>
      </c>
      <c r="I1897" t="inlineStr">
        <is>
          <t>9.44</t>
        </is>
      </c>
      <c r="J1897" t="inlineStr">
        <is>
          <t>who_gho</t>
        </is>
      </c>
      <c r="K1897" t="inlineStr">
        <is>
          <t>https://www.who.int/data/gho/data/indicators/indicator-details/GHO/SDGSUICIDE</t>
        </is>
      </c>
      <c r="L1897" t="inlineStr">
        <is>
          <t>WHO GHO: Age-standardized suicide rate (per 100,000 population)</t>
        </is>
      </c>
      <c r="M1897" t="inlineStr">
        <is>
          <t>2021-12-31</t>
        </is>
      </c>
      <c r="N1897" t="inlineStr">
        <is>
          <t>auto_ingest=who_gho; indicator=SDGSUICIDE; year=2021; country_proxy=Canada</t>
        </is>
      </c>
    </row>
    <row r="1898">
      <c r="A1898" t="inlineStr">
        <is>
          <t>ca-montreal</t>
        </is>
      </c>
      <c r="B1898" t="inlineStr">
        <is>
          <t>Montreal</t>
        </is>
      </c>
      <c r="C1898" t="inlineStr">
        <is>
          <t>Canada</t>
        </is>
      </c>
      <c r="D1898" t="inlineStr">
        <is>
          <t>North America</t>
        </is>
      </c>
      <c r="E1898" t="inlineStr">
        <is>
          <t>personal_safety_raw</t>
        </is>
      </c>
      <c r="F1898" t="inlineStr">
        <is>
          <t>Personal safety raw</t>
        </is>
      </c>
      <c r="G1898" t="inlineStr">
        <is>
          <t>viability</t>
        </is>
      </c>
      <c r="H1898" t="inlineStr">
        <is>
          <t>yes</t>
        </is>
      </c>
      <c r="I1898" t="inlineStr">
        <is>
          <t>1.98</t>
        </is>
      </c>
      <c r="J1898" t="inlineStr">
        <is>
          <t>world_bank</t>
        </is>
      </c>
      <c r="K1898" t="inlineStr">
        <is>
          <t>https://api.worldbank.org/v2/country/CAN/indicator/VC.IHR.PSRC.P5?format=json&amp;mrv=10</t>
        </is>
      </c>
      <c r="L1898" t="inlineStr">
        <is>
          <t>UNODC via World Bank WDI: Intentional homicides (per 100,000 people)</t>
        </is>
      </c>
      <c r="M1898" t="inlineStr">
        <is>
          <t>2023-12-31</t>
        </is>
      </c>
      <c r="N1898" t="inlineStr">
        <is>
          <t>auto_ingest=unodc_safety; indicator=VC.IHR.PSRC.P5; year=2023; country_proxy=Canada</t>
        </is>
      </c>
    </row>
    <row r="1899">
      <c r="A1899" t="inlineStr">
        <is>
          <t>ca-montreal</t>
        </is>
      </c>
      <c r="B1899" t="inlineStr">
        <is>
          <t>Montreal</t>
        </is>
      </c>
      <c r="C1899" t="inlineStr">
        <is>
          <t>Canada</t>
        </is>
      </c>
      <c r="D1899" t="inlineStr">
        <is>
          <t>North America</t>
        </is>
      </c>
      <c r="E1899" t="inlineStr">
        <is>
          <t>transit_access_commute_raw</t>
        </is>
      </c>
      <c r="F1899" t="inlineStr">
        <is>
          <t>Transit access and commute raw</t>
        </is>
      </c>
      <c r="G1899" t="inlineStr">
        <is>
          <t>viability</t>
        </is>
      </c>
      <c r="H1899" t="inlineStr">
        <is>
          <t>yes</t>
        </is>
      </c>
      <c r="I1899" t="inlineStr"/>
      <c r="J1899" t="inlineStr"/>
      <c r="K1899" t="inlineStr"/>
      <c r="L1899" t="inlineStr"/>
      <c r="M1899" t="inlineStr"/>
      <c r="N1899" t="inlineStr"/>
    </row>
    <row r="1900">
      <c r="A1900" t="inlineStr">
        <is>
          <t>ca-montreal</t>
        </is>
      </c>
      <c r="B1900" t="inlineStr">
        <is>
          <t>Montreal</t>
        </is>
      </c>
      <c r="C1900" t="inlineStr">
        <is>
          <t>Canada</t>
        </is>
      </c>
      <c r="D1900" t="inlineStr">
        <is>
          <t>North America</t>
        </is>
      </c>
      <c r="E1900" t="inlineStr">
        <is>
          <t>clean_air_raw</t>
        </is>
      </c>
      <c r="F1900" t="inlineStr">
        <is>
          <t>Clean air raw</t>
        </is>
      </c>
      <c r="G1900" t="inlineStr">
        <is>
          <t>viability</t>
        </is>
      </c>
      <c r="H1900" t="inlineStr">
        <is>
          <t>yes</t>
        </is>
      </c>
      <c r="I1900" t="inlineStr"/>
      <c r="J1900" t="inlineStr"/>
      <c r="K1900" t="inlineStr"/>
      <c r="L1900" t="inlineStr"/>
      <c r="M1900" t="inlineStr"/>
      <c r="N1900" t="inlineStr"/>
    </row>
    <row r="1901">
      <c r="A1901" t="inlineStr">
        <is>
          <t>ca-montreal</t>
        </is>
      </c>
      <c r="B1901" t="inlineStr">
        <is>
          <t>Montreal</t>
        </is>
      </c>
      <c r="C1901" t="inlineStr">
        <is>
          <t>Canada</t>
        </is>
      </c>
      <c r="D1901" t="inlineStr">
        <is>
          <t>North America</t>
        </is>
      </c>
      <c r="E1901" t="inlineStr">
        <is>
          <t>water_sanitation_utility_raw</t>
        </is>
      </c>
      <c r="F1901" t="inlineStr">
        <is>
          <t>Water, sanitation, and utility raw</t>
        </is>
      </c>
      <c r="G1901" t="inlineStr">
        <is>
          <t>viability</t>
        </is>
      </c>
      <c r="H1901" t="inlineStr">
        <is>
          <t>yes</t>
        </is>
      </c>
      <c r="I1901" t="inlineStr">
        <is>
          <t>96.89</t>
        </is>
      </c>
      <c r="J1901" t="inlineStr">
        <is>
          <t>world_bank</t>
        </is>
      </c>
      <c r="K1901" t="inlineStr">
        <is>
          <t>https://api.worldbank.org/v2/country/CAN/indicator/SH.H2O.SMDW.ZS?format=json&amp;mrv=10</t>
        </is>
      </c>
      <c r="L1901" t="inlineStr">
        <is>
          <t>World Bank WDI: People using safely managed drinking water services (% of population)</t>
        </is>
      </c>
      <c r="M1901" t="inlineStr">
        <is>
          <t>2024-12-31</t>
        </is>
      </c>
      <c r="N1901" t="inlineStr">
        <is>
          <t>auto_ingest=world_bank_proxy; indicator=SH.H2O.SMDW.ZS; year=2024; country_proxy=Canada</t>
        </is>
      </c>
    </row>
    <row r="1902">
      <c r="A1902" t="inlineStr">
        <is>
          <t>ca-montreal</t>
        </is>
      </c>
      <c r="B1902" t="inlineStr">
        <is>
          <t>Montreal</t>
        </is>
      </c>
      <c r="C1902" t="inlineStr">
        <is>
          <t>Canada</t>
        </is>
      </c>
      <c r="D1902" t="inlineStr">
        <is>
          <t>North America</t>
        </is>
      </c>
      <c r="E1902" t="inlineStr">
        <is>
          <t>digital_infrastructure_raw</t>
        </is>
      </c>
      <c r="F1902" t="inlineStr">
        <is>
          <t>Digital infrastructure raw</t>
        </is>
      </c>
      <c r="G1902" t="inlineStr">
        <is>
          <t>viability</t>
        </is>
      </c>
      <c r="H1902" t="inlineStr">
        <is>
          <t>yes</t>
        </is>
      </c>
      <c r="I1902" t="inlineStr">
        <is>
          <t>42.52</t>
        </is>
      </c>
      <c r="J1902" t="inlineStr">
        <is>
          <t>world_bank</t>
        </is>
      </c>
      <c r="K1902" t="inlineStr">
        <is>
          <t>https://api.worldbank.org/v2/country/CAN/indicator/IT.NET.BBND.P2?format=json&amp;mrv=10</t>
        </is>
      </c>
      <c r="L1902" t="inlineStr">
        <is>
          <t>World Bank WDI: Fixed broadband subscriptions (per 100 people)</t>
        </is>
      </c>
      <c r="M1902" t="inlineStr">
        <is>
          <t>2023-12-31</t>
        </is>
      </c>
      <c r="N1902" t="inlineStr">
        <is>
          <t>auto_ingest=world_bank_proxy; indicator=IT.NET.BBND.P2; year=2023; country_proxy=Canada</t>
        </is>
      </c>
    </row>
    <row r="1903">
      <c r="A1903" t="inlineStr">
        <is>
          <t>ca-montreal</t>
        </is>
      </c>
      <c r="B1903" t="inlineStr">
        <is>
          <t>Montreal</t>
        </is>
      </c>
      <c r="C1903" t="inlineStr">
        <is>
          <t>Canada</t>
        </is>
      </c>
      <c r="D1903" t="inlineStr">
        <is>
          <t>North America</t>
        </is>
      </c>
      <c r="E1903" t="inlineStr">
        <is>
          <t>climate_sunlight_livability_raw</t>
        </is>
      </c>
      <c r="F1903" t="inlineStr">
        <is>
          <t>Climate and sunlight livability raw</t>
        </is>
      </c>
      <c r="G1903" t="inlineStr">
        <is>
          <t>viability</t>
        </is>
      </c>
      <c r="H1903" t="inlineStr">
        <is>
          <t>yes</t>
        </is>
      </c>
      <c r="I1903" t="inlineStr">
        <is>
          <t>44</t>
        </is>
      </c>
      <c r="J1903" t="inlineStr">
        <is>
          <t>wmo_natl_met</t>
        </is>
      </c>
      <c r="K1903" t="inlineStr">
        <is>
          <t>https://worldweather.wmo.int</t>
        </is>
      </c>
      <c r="L1903" t="inlineStr">
        <is>
          <t>WMO/National Met: Climate livability composite</t>
        </is>
      </c>
      <c r="M1903" t="inlineStr">
        <is>
          <t>2024-12-31</t>
        </is>
      </c>
      <c r="N1903" t="inlineStr">
        <is>
          <t>auto_seed=climate_composite; 2050 sun hrs, 7C mean, harsh winters</t>
        </is>
      </c>
    </row>
    <row r="1904">
      <c r="A1904" t="inlineStr">
        <is>
          <t>ca-montreal</t>
        </is>
      </c>
      <c r="B1904" t="inlineStr">
        <is>
          <t>Montreal</t>
        </is>
      </c>
      <c r="C1904" t="inlineStr">
        <is>
          <t>Canada</t>
        </is>
      </c>
      <c r="D1904" t="inlineStr">
        <is>
          <t>North America</t>
        </is>
      </c>
      <c r="E1904" t="inlineStr">
        <is>
          <t>healthcare_quality_raw</t>
        </is>
      </c>
      <c r="F1904" t="inlineStr">
        <is>
          <t>Healthcare quality raw</t>
        </is>
      </c>
      <c r="G1904" t="inlineStr">
        <is>
          <t>capability</t>
        </is>
      </c>
      <c r="H1904" t="inlineStr">
        <is>
          <t>yes</t>
        </is>
      </c>
      <c r="I1904" t="inlineStr">
        <is>
          <t>92.0</t>
        </is>
      </c>
      <c r="J1904" t="inlineStr">
        <is>
          <t>who_gho</t>
        </is>
      </c>
      <c r="K1904" t="inlineStr">
        <is>
          <t>https://www.who.int/data/gho/data/indicators/indicator-details/GHO/UHC_INDEX_REPORTED</t>
        </is>
      </c>
      <c r="L1904" t="inlineStr">
        <is>
          <t>WHO GHO: UHC Service Coverage Index</t>
        </is>
      </c>
      <c r="M1904" t="inlineStr">
        <is>
          <t>2023-12-31</t>
        </is>
      </c>
      <c r="N1904" t="inlineStr">
        <is>
          <t>auto_ingest=who_gho; indicator=UHC_INDEX_REPORTED; year=2023; country_proxy=Canada</t>
        </is>
      </c>
    </row>
    <row r="1905">
      <c r="A1905" t="inlineStr">
        <is>
          <t>ca-montreal</t>
        </is>
      </c>
      <c r="B1905" t="inlineStr">
        <is>
          <t>Montreal</t>
        </is>
      </c>
      <c r="C1905" t="inlineStr">
        <is>
          <t>Canada</t>
        </is>
      </c>
      <c r="D1905" t="inlineStr">
        <is>
          <t>North America</t>
        </is>
      </c>
      <c r="E1905" t="inlineStr">
        <is>
          <t>education_quality_raw</t>
        </is>
      </c>
      <c r="F1905" t="inlineStr">
        <is>
          <t>Education quality raw</t>
        </is>
      </c>
      <c r="G1905" t="inlineStr">
        <is>
          <t>capability</t>
        </is>
      </c>
      <c r="H1905" t="inlineStr">
        <is>
          <t>yes</t>
        </is>
      </c>
      <c r="I1905" t="inlineStr">
        <is>
          <t>76.26</t>
        </is>
      </c>
      <c r="J1905" t="inlineStr">
        <is>
          <t>world_bank</t>
        </is>
      </c>
      <c r="K1905" t="inlineStr">
        <is>
          <t>https://api.worldbank.org/v2/country/CAN/indicator/SE.TER.ENRR?format=json&amp;mrv=10</t>
        </is>
      </c>
      <c r="L1905" t="inlineStr">
        <is>
          <t>World Bank WDI: School enrollment, tertiary (% gross)</t>
        </is>
      </c>
      <c r="M1905" t="inlineStr">
        <is>
          <t>2023-12-31</t>
        </is>
      </c>
      <c r="N1905" t="inlineStr">
        <is>
          <t>auto_ingest=world_bank_proxy; indicator=SE.TER.ENRR; year=2023; country_proxy=Canada</t>
        </is>
      </c>
    </row>
    <row r="1906">
      <c r="A1906" t="inlineStr">
        <is>
          <t>ca-montreal</t>
        </is>
      </c>
      <c r="B1906" t="inlineStr">
        <is>
          <t>Montreal</t>
        </is>
      </c>
      <c r="C1906" t="inlineStr">
        <is>
          <t>Canada</t>
        </is>
      </c>
      <c r="D1906" t="inlineStr">
        <is>
          <t>North America</t>
        </is>
      </c>
      <c r="E1906" t="inlineStr">
        <is>
          <t>equal_opportunity_raw</t>
        </is>
      </c>
      <c r="F1906" t="inlineStr">
        <is>
          <t>Equal opportunity raw</t>
        </is>
      </c>
      <c r="G1906" t="inlineStr">
        <is>
          <t>capability</t>
        </is>
      </c>
      <c r="H1906" t="inlineStr">
        <is>
          <t>yes</t>
        </is>
      </c>
      <c r="I1906" t="inlineStr">
        <is>
          <t>31.1</t>
        </is>
      </c>
      <c r="J1906" t="inlineStr">
        <is>
          <t>world_bank</t>
        </is>
      </c>
      <c r="K1906" t="inlineStr">
        <is>
          <t>https://api.worldbank.org/v2/country/CAN/indicator/SI.POV.GINI?format=json&amp;mrv=10</t>
        </is>
      </c>
      <c r="L1906" t="inlineStr">
        <is>
          <t>World Bank WDI: Gini index</t>
        </is>
      </c>
      <c r="M1906" t="inlineStr">
        <is>
          <t>2021-12-31</t>
        </is>
      </c>
      <c r="N1906" t="inlineStr">
        <is>
          <t>auto_ingest=world_bank_capability; indicator=SI.POV.GINI; year=2021; country_proxy=Canada</t>
        </is>
      </c>
    </row>
    <row r="1907">
      <c r="A1907" t="inlineStr">
        <is>
          <t>ca-montreal</t>
        </is>
      </c>
      <c r="B1907" t="inlineStr">
        <is>
          <t>Montreal</t>
        </is>
      </c>
      <c r="C1907" t="inlineStr">
        <is>
          <t>Canada</t>
        </is>
      </c>
      <c r="D1907" t="inlineStr">
        <is>
          <t>North America</t>
        </is>
      </c>
      <c r="E1907" t="inlineStr">
        <is>
          <t>hospitality_belonging_raw</t>
        </is>
      </c>
      <c r="F1907" t="inlineStr">
        <is>
          <t>Hospitality and belonging raw</t>
        </is>
      </c>
      <c r="G1907" t="inlineStr">
        <is>
          <t>community</t>
        </is>
      </c>
      <c r="H1907" t="inlineStr">
        <is>
          <t>yes</t>
        </is>
      </c>
      <c r="I1907" t="inlineStr">
        <is>
          <t>57.9</t>
        </is>
      </c>
      <c r="J1907" t="inlineStr">
        <is>
          <t>world_bank</t>
        </is>
      </c>
      <c r="K1907" t="inlineStr">
        <is>
          <t>https://api.worldbank.org/v2/country/CAN/indicator/SM.POP.NETM?format=json&amp;mrv=10</t>
        </is>
      </c>
      <c r="L1907" t="inlineStr">
        <is>
          <t>World Bank WDI: Net migration (proxy for hospitality/belonging — positive = welcoming)</t>
        </is>
      </c>
      <c r="M1907" t="inlineStr">
        <is>
          <t>2025-12-31</t>
        </is>
      </c>
      <c r="N1907" t="inlineStr">
        <is>
          <t>auto_ingest=world_bank_proxy; proxy=net_migration_hospitality; indicator=SM.POP.NETM; year=2025; country_proxy=Canada</t>
        </is>
      </c>
    </row>
    <row r="1908">
      <c r="A1908" t="inlineStr">
        <is>
          <t>ca-montreal</t>
        </is>
      </c>
      <c r="B1908" t="inlineStr">
        <is>
          <t>Montreal</t>
        </is>
      </c>
      <c r="C1908" t="inlineStr">
        <is>
          <t>Canada</t>
        </is>
      </c>
      <c r="D1908" t="inlineStr">
        <is>
          <t>North America</t>
        </is>
      </c>
      <c r="E1908" t="inlineStr">
        <is>
          <t>tolerance_pluralism_raw</t>
        </is>
      </c>
      <c r="F1908" t="inlineStr">
        <is>
          <t>Tolerance and pluralism raw</t>
        </is>
      </c>
      <c r="G1908" t="inlineStr">
        <is>
          <t>community</t>
        </is>
      </c>
      <c r="H1908" t="inlineStr">
        <is>
          <t>yes</t>
        </is>
      </c>
      <c r="I1908" t="inlineStr">
        <is>
          <t>30.65</t>
        </is>
      </c>
      <c r="J1908" t="inlineStr">
        <is>
          <t>world_bank</t>
        </is>
      </c>
      <c r="K1908" t="inlineStr">
        <is>
          <t>https://api.worldbank.org/v2/country/CAN/indicator/SG.GEN.PARL.ZS?format=json&amp;mrv=10</t>
        </is>
      </c>
      <c r="L1908" t="inlineStr">
        <is>
          <t>World Bank WDI: Proportion of seats held by women in national parliaments (%)</t>
        </is>
      </c>
      <c r="M1908" t="inlineStr">
        <is>
          <t>2024-12-31</t>
        </is>
      </c>
      <c r="N1908" t="inlineStr">
        <is>
          <t>auto_ingest=world_bank_proxy; proxy=gender_parity_parliament; indicator=SG.GEN.PARL.ZS; year=2024; country_proxy=Canada</t>
        </is>
      </c>
    </row>
    <row r="1909">
      <c r="A1909" t="inlineStr">
        <is>
          <t>ca-montreal</t>
        </is>
      </c>
      <c r="B1909" t="inlineStr">
        <is>
          <t>Montreal</t>
        </is>
      </c>
      <c r="C1909" t="inlineStr">
        <is>
          <t>Canada</t>
        </is>
      </c>
      <c r="D1909" t="inlineStr">
        <is>
          <t>North America</t>
        </is>
      </c>
      <c r="E1909" t="inlineStr">
        <is>
          <t>cultural_public_life_raw</t>
        </is>
      </c>
      <c r="F1909" t="inlineStr">
        <is>
          <t>Cultural public life raw</t>
        </is>
      </c>
      <c r="G1909" t="inlineStr">
        <is>
          <t>community</t>
        </is>
      </c>
      <c r="H1909" t="inlineStr">
        <is>
          <t>yes</t>
        </is>
      </c>
      <c r="I1909" t="inlineStr">
        <is>
          <t>785.45</t>
        </is>
      </c>
      <c r="J1909" t="inlineStr">
        <is>
          <t>world_bank</t>
        </is>
      </c>
      <c r="K1909" t="inlineStr">
        <is>
          <t>https://api.worldbank.org/v2/country/CAN/indicator/ST.INT.ARVL?format=json&amp;mrv=10</t>
        </is>
      </c>
      <c r="L1909" t="inlineStr">
        <is>
          <t>World Bank WDI: International tourism arrivals per 1 000 population</t>
        </is>
      </c>
      <c r="M1909" t="inlineStr">
        <is>
          <t>2019-12-31</t>
        </is>
      </c>
      <c r="N1909" t="inlineStr">
        <is>
          <t>auto_ingest=cultural_life_proxy; indicator=ST.INT.ARVL; norm=per_1000_pop; year=2019; country_proxy=Canada</t>
        </is>
      </c>
    </row>
    <row r="1910">
      <c r="A1910" t="inlineStr">
        <is>
          <t>ca-montreal</t>
        </is>
      </c>
      <c r="B1910" t="inlineStr">
        <is>
          <t>Montreal</t>
        </is>
      </c>
      <c r="C1910" t="inlineStr">
        <is>
          <t>Canada</t>
        </is>
      </c>
      <c r="D1910" t="inlineStr">
        <is>
          <t>North America</t>
        </is>
      </c>
      <c r="E1910" t="inlineStr">
        <is>
          <t>birth_rate_optimism_raw</t>
        </is>
      </c>
      <c r="F1910" t="inlineStr">
        <is>
          <t>Birth rate and societal optimism raw</t>
        </is>
      </c>
      <c r="G1910" t="inlineStr">
        <is>
          <t>community</t>
        </is>
      </c>
      <c r="H1910" t="inlineStr">
        <is>
          <t>yes</t>
        </is>
      </c>
      <c r="I1910" t="inlineStr">
        <is>
          <t>1.26</t>
        </is>
      </c>
      <c r="J1910" t="inlineStr">
        <is>
          <t>world_bank</t>
        </is>
      </c>
      <c r="K1910" t="inlineStr">
        <is>
          <t>https://data.worldbank.org/indicator/SP.DYN.TFRT.IN</t>
        </is>
      </c>
      <c r="L1910" t="inlineStr">
        <is>
          <t>World Bank Total Fertility Rate 2023</t>
        </is>
      </c>
      <c r="M1910" t="inlineStr">
        <is>
          <t>2024-01-01</t>
        </is>
      </c>
      <c r="N1910" t="inlineStr"/>
    </row>
    <row r="1911">
      <c r="A1911" t="inlineStr">
        <is>
          <t>ca-montreal</t>
        </is>
      </c>
      <c r="B1911" t="inlineStr">
        <is>
          <t>Montreal</t>
        </is>
      </c>
      <c r="C1911" t="inlineStr">
        <is>
          <t>Canada</t>
        </is>
      </c>
      <c r="D1911" t="inlineStr">
        <is>
          <t>North America</t>
        </is>
      </c>
      <c r="E1911" t="inlineStr">
        <is>
          <t>entrepreneurial_dynamism_raw</t>
        </is>
      </c>
      <c r="F1911" t="inlineStr">
        <is>
          <t>Entrepreneurial dynamism raw</t>
        </is>
      </c>
      <c r="G1911" t="inlineStr">
        <is>
          <t>creative</t>
        </is>
      </c>
      <c r="H1911" t="inlineStr">
        <is>
          <t>yes</t>
        </is>
      </c>
      <c r="I1911" t="inlineStr">
        <is>
          <t>9.83</t>
        </is>
      </c>
      <c r="J1911" t="inlineStr">
        <is>
          <t>world_bank</t>
        </is>
      </c>
      <c r="K1911" t="inlineStr">
        <is>
          <t>https://api.worldbank.org/v2/country/CAN/indicator/IC.BUS.NDNS.ZS?format=json&amp;mrv=10</t>
        </is>
      </c>
      <c r="L1911" t="inlineStr">
        <is>
          <t>World Bank WDI: New business density (new registrations per 1,000 people ages 15-64)</t>
        </is>
      </c>
      <c r="M1911" t="inlineStr">
        <is>
          <t>2022-12-31</t>
        </is>
      </c>
      <c r="N1911" t="inlineStr">
        <is>
          <t>auto_ingest=world_bank_creative_extended; indicator=IC.BUS.NDNS.ZS; year=2022; country_proxy=Canada</t>
        </is>
      </c>
    </row>
    <row r="1912">
      <c r="A1912" t="inlineStr">
        <is>
          <t>ca-montreal</t>
        </is>
      </c>
      <c r="B1912" t="inlineStr">
        <is>
          <t>Montreal</t>
        </is>
      </c>
      <c r="C1912" t="inlineStr">
        <is>
          <t>Canada</t>
        </is>
      </c>
      <c r="D1912" t="inlineStr">
        <is>
          <t>North America</t>
        </is>
      </c>
      <c r="E1912" t="inlineStr">
        <is>
          <t>innovation_research_intensity_raw</t>
        </is>
      </c>
      <c r="F1912" t="inlineStr">
        <is>
          <t>Innovation and research raw</t>
        </is>
      </c>
      <c r="G1912" t="inlineStr">
        <is>
          <t>creative</t>
        </is>
      </c>
      <c r="H1912" t="inlineStr">
        <is>
          <t>yes</t>
        </is>
      </c>
      <c r="I1912" t="inlineStr">
        <is>
          <t>1.7</t>
        </is>
      </c>
      <c r="J1912" t="inlineStr">
        <is>
          <t>world_bank</t>
        </is>
      </c>
      <c r="K1912" t="inlineStr">
        <is>
          <t>https://api.worldbank.org/v2/country/CAN/indicator/GB.XPD.RSDV.GD.ZS?format=json&amp;mrv=10</t>
        </is>
      </c>
      <c r="L1912" t="inlineStr">
        <is>
          <t>World Bank WDI: Research and development expenditure (% of GDP)</t>
        </is>
      </c>
      <c r="M1912" t="inlineStr">
        <is>
          <t>2023-12-31</t>
        </is>
      </c>
      <c r="N1912" t="inlineStr">
        <is>
          <t>auto_ingest=world_bank_creative_extended; indicator=GB.XPD.RSDV.GD.ZS; year=2023; country_proxy=Canada</t>
        </is>
      </c>
    </row>
    <row r="1913">
      <c r="A1913" t="inlineStr">
        <is>
          <t>ca-montreal</t>
        </is>
      </c>
      <c r="B1913" t="inlineStr">
        <is>
          <t>Montreal</t>
        </is>
      </c>
      <c r="C1913" t="inlineStr">
        <is>
          <t>Canada</t>
        </is>
      </c>
      <c r="D1913" t="inlineStr">
        <is>
          <t>North America</t>
        </is>
      </c>
      <c r="E1913" t="inlineStr">
        <is>
          <t>investment_signal_raw</t>
        </is>
      </c>
      <c r="F1913" t="inlineStr">
        <is>
          <t>Investment signal raw</t>
        </is>
      </c>
      <c r="G1913" t="inlineStr">
        <is>
          <t>creative</t>
        </is>
      </c>
      <c r="H1913" t="inlineStr">
        <is>
          <t>yes</t>
        </is>
      </c>
      <c r="I1913" t="inlineStr">
        <is>
          <t>2.81</t>
        </is>
      </c>
      <c r="J1913" t="inlineStr">
        <is>
          <t>world_bank</t>
        </is>
      </c>
      <c r="K1913" t="inlineStr">
        <is>
          <t>https://api.worldbank.org/v2/country/CAN/indicator/BX.KLT.DINV.WD.GD.ZS?format=json&amp;mrv=10</t>
        </is>
      </c>
      <c r="L1913" t="inlineStr">
        <is>
          <t>World Bank WDI: Foreign direct investment, net inflows (% of GDP)</t>
        </is>
      </c>
      <c r="M1913" t="inlineStr">
        <is>
          <t>2024-12-31</t>
        </is>
      </c>
      <c r="N1913" t="inlineStr">
        <is>
          <t>auto_ingest=world_bank_creative_extended; indicator=BX.KLT.DINV.WD.GD.ZS; year=2024; country_proxy=Canada</t>
        </is>
      </c>
    </row>
    <row r="1914">
      <c r="A1914" t="inlineStr">
        <is>
          <t>ca-montreal</t>
        </is>
      </c>
      <c r="B1914" t="inlineStr">
        <is>
          <t>Montreal</t>
        </is>
      </c>
      <c r="C1914" t="inlineStr">
        <is>
          <t>Canada</t>
        </is>
      </c>
      <c r="D1914" t="inlineStr">
        <is>
          <t>North America</t>
        </is>
      </c>
      <c r="E1914" t="inlineStr">
        <is>
          <t>administrative_investment_friction_raw</t>
        </is>
      </c>
      <c r="F1914" t="inlineStr">
        <is>
          <t>Administrative investment friction raw</t>
        </is>
      </c>
      <c r="G1914" t="inlineStr">
        <is>
          <t>creative</t>
        </is>
      </c>
      <c r="H1914" t="inlineStr">
        <is>
          <t>yes</t>
        </is>
      </c>
      <c r="I1914" t="inlineStr">
        <is>
          <t>0.86</t>
        </is>
      </c>
      <c r="J1914" t="inlineStr">
        <is>
          <t>world_bank</t>
        </is>
      </c>
      <c r="K1914" t="inlineStr">
        <is>
          <t>https://api.worldbank.org/v2/country/CAN/indicator/RQ.EST?format=json&amp;mrv=10</t>
        </is>
      </c>
      <c r="L1914" t="inlineStr">
        <is>
          <t>World Bank WGI: Regulatory Quality (inverted as friction proxy)</t>
        </is>
      </c>
      <c r="M1914" t="inlineStr">
        <is>
          <t>2023-12-31</t>
        </is>
      </c>
      <c r="N1914" t="inlineStr">
        <is>
          <t>auto_ingest=world_bank_business_friction; indicator=RQ.EST; raw_rq=1.64471042156219; friction=0.86; year=2023; country_proxy=Canada</t>
        </is>
      </c>
    </row>
    <row r="1915">
      <c r="A1915" t="inlineStr">
        <is>
          <t>ca-montreal</t>
        </is>
      </c>
      <c r="B1915" t="inlineStr">
        <is>
          <t>Montreal</t>
        </is>
      </c>
      <c r="C1915" t="inlineStr">
        <is>
          <t>Canada</t>
        </is>
      </c>
      <c r="D1915" t="inlineStr">
        <is>
          <t>North America</t>
        </is>
      </c>
      <c r="E1915" t="inlineStr">
        <is>
          <t>visitor_flow_context_raw</t>
        </is>
      </c>
      <c r="F1915" t="inlineStr">
        <is>
          <t>Visitor flow context raw</t>
        </is>
      </c>
      <c r="G1915" t="inlineStr">
        <is>
          <t>creative</t>
        </is>
      </c>
      <c r="H1915" t="inlineStr">
        <is>
          <t>no</t>
        </is>
      </c>
      <c r="I1915" t="inlineStr"/>
      <c r="J1915" t="inlineStr"/>
      <c r="K1915" t="inlineStr"/>
      <c r="L1915" t="inlineStr"/>
      <c r="M1915" t="inlineStr"/>
      <c r="N1915" t="inlineStr"/>
    </row>
    <row r="1916">
      <c r="A1916" t="inlineStr">
        <is>
          <t>mx-guadalajara</t>
        </is>
      </c>
      <c r="B1916" t="inlineStr">
        <is>
          <t>Guadalajara</t>
        </is>
      </c>
      <c r="C1916" t="inlineStr">
        <is>
          <t>Mexico</t>
        </is>
      </c>
      <c r="D1916" t="inlineStr">
        <is>
          <t>North America</t>
        </is>
      </c>
      <c r="E1916" t="inlineStr">
        <is>
          <t>gross_income</t>
        </is>
      </c>
      <c r="F1916" t="inlineStr">
        <is>
          <t>Gross income</t>
        </is>
      </c>
      <c r="G1916" t="inlineStr">
        <is>
          <t>pressure</t>
        </is>
      </c>
      <c r="H1916" t="inlineStr">
        <is>
          <t>yes</t>
        </is>
      </c>
      <c r="I1916" t="inlineStr">
        <is>
          <t>2121.67</t>
        </is>
      </c>
      <c r="J1916" t="inlineStr">
        <is>
          <t>world_bank_col_estimate</t>
        </is>
      </c>
      <c r="K1916" t="inlineStr">
        <is>
          <t>https://api.worldbank.org/v2/country/MEX/indicator/NY.GNP.PCAP.PP.CD?format=json&amp;mrv=10</t>
        </is>
      </c>
      <c r="L1916" t="inlineStr">
        <is>
          <t>World Bank WDI: GNI per capita PPP (monthly USD)</t>
        </is>
      </c>
      <c r="M1916" t="inlineStr">
        <is>
          <t>2024-12-31</t>
        </is>
      </c>
      <c r="N1916" t="inlineStr">
        <is>
          <t>auto_ingest=world_bank_col_estimate; gni_annual=25460.0; year=2024; country_proxy=Mexico; cohort=North America</t>
        </is>
      </c>
    </row>
    <row r="1917">
      <c r="A1917" t="inlineStr">
        <is>
          <t>mx-guadalajara</t>
        </is>
      </c>
      <c r="B1917" t="inlineStr">
        <is>
          <t>Guadalajara</t>
        </is>
      </c>
      <c r="C1917" t="inlineStr">
        <is>
          <t>Mexico</t>
        </is>
      </c>
      <c r="D1917" t="inlineStr">
        <is>
          <t>North America</t>
        </is>
      </c>
      <c r="E1917" t="inlineStr">
        <is>
          <t>di_ppp_raw</t>
        </is>
      </c>
      <c r="F1917" t="inlineStr">
        <is>
          <t>Disposable income PPP (Raw)</t>
        </is>
      </c>
      <c r="G1917" t="inlineStr">
        <is>
          <t>pressure</t>
        </is>
      </c>
      <c r="H1917" t="inlineStr">
        <is>
          <t>yes</t>
        </is>
      </c>
      <c r="I1917" t="inlineStr"/>
      <c r="J1917" t="inlineStr"/>
      <c r="K1917" t="inlineStr"/>
      <c r="L1917" t="inlineStr"/>
      <c r="M1917" t="inlineStr"/>
      <c r="N1917" t="inlineStr"/>
    </row>
    <row r="1918">
      <c r="A1918" t="inlineStr">
        <is>
          <t>mx-guadalajara</t>
        </is>
      </c>
      <c r="B1918" t="inlineStr">
        <is>
          <t>Guadalajara</t>
        </is>
      </c>
      <c r="C1918" t="inlineStr">
        <is>
          <t>Mexico</t>
        </is>
      </c>
      <c r="D1918" t="inlineStr">
        <is>
          <t>North America</t>
        </is>
      </c>
      <c r="E1918" t="inlineStr">
        <is>
          <t>rent</t>
        </is>
      </c>
      <c r="F1918" t="inlineStr">
        <is>
          <t>Rent</t>
        </is>
      </c>
      <c r="G1918" t="inlineStr">
        <is>
          <t>pressure</t>
        </is>
      </c>
      <c r="H1918" t="inlineStr">
        <is>
          <t>yes</t>
        </is>
      </c>
      <c r="I1918" t="inlineStr">
        <is>
          <t>631.2</t>
        </is>
      </c>
      <c r="J1918" t="inlineStr">
        <is>
          <t>world_bank_col_estimate</t>
        </is>
      </c>
      <c r="K1918" t="inlineStr">
        <is>
          <t>https://api.worldbank.org/v2/country/MEX/indicator/NY.GNP.PCAP.PP.CD?format=json&amp;mrv=10</t>
        </is>
      </c>
      <c r="L1918" t="inlineStr">
        <is>
          <t>World Bank GNI + regional expenditure ratio estimate</t>
        </is>
      </c>
      <c r="M1918" t="inlineStr">
        <is>
          <t>2024-12-31</t>
        </is>
      </c>
      <c r="N1918" t="inlineStr">
        <is>
          <t>auto_ingest=world_bank_col_estimate; gni_annual=25460.0; year=2024; country_proxy=Mexico; cohort=North America; city_cost_mult=0.85</t>
        </is>
      </c>
    </row>
    <row r="1919">
      <c r="A1919" t="inlineStr">
        <is>
          <t>mx-guadalajara</t>
        </is>
      </c>
      <c r="B1919" t="inlineStr">
        <is>
          <t>Guadalajara</t>
        </is>
      </c>
      <c r="C1919" t="inlineStr">
        <is>
          <t>Mexico</t>
        </is>
      </c>
      <c r="D1919" t="inlineStr">
        <is>
          <t>North America</t>
        </is>
      </c>
      <c r="E1919" t="inlineStr">
        <is>
          <t>utilities</t>
        </is>
      </c>
      <c r="F1919" t="inlineStr">
        <is>
          <t>Utilities</t>
        </is>
      </c>
      <c r="G1919" t="inlineStr">
        <is>
          <t>pressure</t>
        </is>
      </c>
      <c r="H1919" t="inlineStr">
        <is>
          <t>yes</t>
        </is>
      </c>
      <c r="I1919" t="inlineStr">
        <is>
          <t>126.24</t>
        </is>
      </c>
      <c r="J1919" t="inlineStr">
        <is>
          <t>world_bank_col_estimate</t>
        </is>
      </c>
      <c r="K1919" t="inlineStr">
        <is>
          <t>https://api.worldbank.org/v2/country/MEX/indicator/NY.GNP.PCAP.PP.CD?format=json&amp;mrv=10</t>
        </is>
      </c>
      <c r="L1919" t="inlineStr">
        <is>
          <t>World Bank GNI + regional expenditure ratio estimate</t>
        </is>
      </c>
      <c r="M1919" t="inlineStr">
        <is>
          <t>2024-12-31</t>
        </is>
      </c>
      <c r="N1919" t="inlineStr">
        <is>
          <t>auto_ingest=world_bank_col_estimate; gni_annual=25460.0; year=2024; country_proxy=Mexico; cohort=North America; city_cost_mult=0.85</t>
        </is>
      </c>
    </row>
    <row r="1920">
      <c r="A1920" t="inlineStr">
        <is>
          <t>mx-guadalajara</t>
        </is>
      </c>
      <c r="B1920" t="inlineStr">
        <is>
          <t>Guadalajara</t>
        </is>
      </c>
      <c r="C1920" t="inlineStr">
        <is>
          <t>Mexico</t>
        </is>
      </c>
      <c r="D1920" t="inlineStr">
        <is>
          <t>North America</t>
        </is>
      </c>
      <c r="E1920" t="inlineStr">
        <is>
          <t>transit_cost</t>
        </is>
      </c>
      <c r="F1920" t="inlineStr">
        <is>
          <t>Transit cost</t>
        </is>
      </c>
      <c r="G1920" t="inlineStr">
        <is>
          <t>pressure</t>
        </is>
      </c>
      <c r="H1920" t="inlineStr">
        <is>
          <t>yes</t>
        </is>
      </c>
      <c r="I1920" t="inlineStr">
        <is>
          <t>90.17</t>
        </is>
      </c>
      <c r="J1920" t="inlineStr">
        <is>
          <t>world_bank_col_estimate</t>
        </is>
      </c>
      <c r="K1920" t="inlineStr">
        <is>
          <t>https://api.worldbank.org/v2/country/MEX/indicator/NY.GNP.PCAP.PP.CD?format=json&amp;mrv=10</t>
        </is>
      </c>
      <c r="L1920" t="inlineStr">
        <is>
          <t>World Bank GNI + regional expenditure ratio estimate</t>
        </is>
      </c>
      <c r="M1920" t="inlineStr">
        <is>
          <t>2024-12-31</t>
        </is>
      </c>
      <c r="N1920" t="inlineStr">
        <is>
          <t>auto_ingest=world_bank_col_estimate; gni_annual=25460.0; year=2024; country_proxy=Mexico; cohort=North America; city_cost_mult=0.85</t>
        </is>
      </c>
    </row>
    <row r="1921">
      <c r="A1921" t="inlineStr">
        <is>
          <t>mx-guadalajara</t>
        </is>
      </c>
      <c r="B1921" t="inlineStr">
        <is>
          <t>Guadalajara</t>
        </is>
      </c>
      <c r="C1921" t="inlineStr">
        <is>
          <t>Mexico</t>
        </is>
      </c>
      <c r="D1921" t="inlineStr">
        <is>
          <t>North America</t>
        </is>
      </c>
      <c r="E1921" t="inlineStr">
        <is>
          <t>internet_cost</t>
        </is>
      </c>
      <c r="F1921" t="inlineStr">
        <is>
          <t>Internet cost</t>
        </is>
      </c>
      <c r="G1921" t="inlineStr">
        <is>
          <t>pressure</t>
        </is>
      </c>
      <c r="H1921" t="inlineStr">
        <is>
          <t>yes</t>
        </is>
      </c>
      <c r="I1921" t="inlineStr">
        <is>
          <t>36.07</t>
        </is>
      </c>
      <c r="J1921" t="inlineStr">
        <is>
          <t>world_bank_col_estimate</t>
        </is>
      </c>
      <c r="K1921" t="inlineStr">
        <is>
          <t>https://api.worldbank.org/v2/country/MEX/indicator/NY.GNP.PCAP.PP.CD?format=json&amp;mrv=10</t>
        </is>
      </c>
      <c r="L1921" t="inlineStr">
        <is>
          <t>World Bank GNI + regional expenditure ratio estimate</t>
        </is>
      </c>
      <c r="M1921" t="inlineStr">
        <is>
          <t>2024-12-31</t>
        </is>
      </c>
      <c r="N1921" t="inlineStr">
        <is>
          <t>auto_ingest=world_bank_col_estimate; gni_annual=25460.0; year=2024; country_proxy=Mexico; cohort=North America; city_cost_mult=0.85</t>
        </is>
      </c>
    </row>
    <row r="1922">
      <c r="A1922" t="inlineStr">
        <is>
          <t>mx-guadalajara</t>
        </is>
      </c>
      <c r="B1922" t="inlineStr">
        <is>
          <t>Guadalajara</t>
        </is>
      </c>
      <c r="C1922" t="inlineStr">
        <is>
          <t>Mexico</t>
        </is>
      </c>
      <c r="D1922" t="inlineStr">
        <is>
          <t>North America</t>
        </is>
      </c>
      <c r="E1922" t="inlineStr">
        <is>
          <t>food_cost</t>
        </is>
      </c>
      <c r="F1922" t="inlineStr">
        <is>
          <t>Food cost</t>
        </is>
      </c>
      <c r="G1922" t="inlineStr">
        <is>
          <t>pressure</t>
        </is>
      </c>
      <c r="H1922" t="inlineStr">
        <is>
          <t>yes</t>
        </is>
      </c>
      <c r="I1922" t="inlineStr">
        <is>
          <t>270.51</t>
        </is>
      </c>
      <c r="J1922" t="inlineStr">
        <is>
          <t>world_bank_col_estimate</t>
        </is>
      </c>
      <c r="K1922" t="inlineStr">
        <is>
          <t>https://api.worldbank.org/v2/country/MEX/indicator/NY.GNP.PCAP.PP.CD?format=json&amp;mrv=10</t>
        </is>
      </c>
      <c r="L1922" t="inlineStr">
        <is>
          <t>World Bank GNI + regional expenditure ratio estimate</t>
        </is>
      </c>
      <c r="M1922" t="inlineStr">
        <is>
          <t>2024-12-31</t>
        </is>
      </c>
      <c r="N1922" t="inlineStr">
        <is>
          <t>auto_ingest=world_bank_col_estimate; gni_annual=25460.0; year=2024; country_proxy=Mexico; cohort=North America; city_cost_mult=0.85</t>
        </is>
      </c>
    </row>
    <row r="1923">
      <c r="A1923" t="inlineStr">
        <is>
          <t>mx-guadalajara</t>
        </is>
      </c>
      <c r="B1923" t="inlineStr">
        <is>
          <t>Guadalajara</t>
        </is>
      </c>
      <c r="C1923" t="inlineStr">
        <is>
          <t>Mexico</t>
        </is>
      </c>
      <c r="D1923" t="inlineStr">
        <is>
          <t>North America</t>
        </is>
      </c>
      <c r="E1923" t="inlineStr">
        <is>
          <t>housing_burden_raw</t>
        </is>
      </c>
      <c r="F1923" t="inlineStr">
        <is>
          <t>Housing burden raw</t>
        </is>
      </c>
      <c r="G1923" t="inlineStr">
        <is>
          <t>pressure</t>
        </is>
      </c>
      <c r="H1923" t="inlineStr">
        <is>
          <t>yes</t>
        </is>
      </c>
      <c r="I1923" t="inlineStr">
        <is>
          <t>29.7501</t>
        </is>
      </c>
      <c r="J1923" t="inlineStr">
        <is>
          <t>derived</t>
        </is>
      </c>
      <c r="K1923" t="inlineStr">
        <is>
          <t>https://data.worldbank.org/indicator/NY.GNP.PCAP.PP.CD</t>
        </is>
      </c>
      <c r="L1923" t="inlineStr">
        <is>
          <t>Computed from city_inputs + country_context</t>
        </is>
      </c>
      <c r="M1923" t="inlineStr">
        <is>
          <t>2024-01-01</t>
        </is>
      </c>
      <c r="N1923" t="inlineStr">
        <is>
          <t>derived=rent/gross_income*100</t>
        </is>
      </c>
    </row>
    <row r="1924">
      <c r="A1924" t="inlineStr">
        <is>
          <t>mx-guadalajara</t>
        </is>
      </c>
      <c r="B1924" t="inlineStr">
        <is>
          <t>Guadalajara</t>
        </is>
      </c>
      <c r="C1924" t="inlineStr">
        <is>
          <t>Mexico</t>
        </is>
      </c>
      <c r="D1924" t="inlineStr">
        <is>
          <t>North America</t>
        </is>
      </c>
      <c r="E1924" t="inlineStr">
        <is>
          <t>household_debt_burden_raw</t>
        </is>
      </c>
      <c r="F1924" t="inlineStr">
        <is>
          <t>Household debt burden raw</t>
        </is>
      </c>
      <c r="G1924" t="inlineStr">
        <is>
          <t>pressure</t>
        </is>
      </c>
      <c r="H1924" t="inlineStr">
        <is>
          <t>yes</t>
        </is>
      </c>
      <c r="I1924" t="inlineStr">
        <is>
          <t>26.5628</t>
        </is>
      </c>
      <c r="J1924" t="inlineStr">
        <is>
          <t>derived</t>
        </is>
      </c>
      <c r="K1924" t="inlineStr">
        <is>
          <t>https://data.worldbank.org/indicator/NY.GNP.PCAP.PP.CD</t>
        </is>
      </c>
      <c r="L1924" t="inlineStr">
        <is>
          <t>Computed from city_inputs + country_context</t>
        </is>
      </c>
      <c r="M1924" t="inlineStr">
        <is>
          <t>2024-01-01</t>
        </is>
      </c>
      <c r="N1924" t="inlineStr">
        <is>
          <t>derived=country_context.household_debt_proxy; country=Mexico</t>
        </is>
      </c>
    </row>
    <row r="1925">
      <c r="A1925" t="inlineStr">
        <is>
          <t>mx-guadalajara</t>
        </is>
      </c>
      <c r="B1925" t="inlineStr">
        <is>
          <t>Guadalajara</t>
        </is>
      </c>
      <c r="C1925" t="inlineStr">
        <is>
          <t>Mexico</t>
        </is>
      </c>
      <c r="D1925" t="inlineStr">
        <is>
          <t>North America</t>
        </is>
      </c>
      <c r="E1925" t="inlineStr">
        <is>
          <t>working_time_pressure_raw</t>
        </is>
      </c>
      <c r="F1925" t="inlineStr">
        <is>
          <t>Working time pressure raw</t>
        </is>
      </c>
      <c r="G1925" t="inlineStr">
        <is>
          <t>pressure</t>
        </is>
      </c>
      <c r="H1925" t="inlineStr">
        <is>
          <t>yes</t>
        </is>
      </c>
      <c r="I1925" t="inlineStr">
        <is>
          <t>42.19</t>
        </is>
      </c>
      <c r="J1925" t="inlineStr">
        <is>
          <t>ilo_ilostat</t>
        </is>
      </c>
      <c r="K1925" t="inlineStr">
        <is>
          <t>https://ilostat.ilo.org/data/indicator/?id=HOW_TEMP_SEX_ECO_NB_A&amp;ref_area=MEX</t>
        </is>
      </c>
      <c r="L1925" t="inlineStr">
        <is>
          <t>ILO ILOSTAT: Mean weekly hours actually worked per employed person</t>
        </is>
      </c>
      <c r="M1925" t="inlineStr">
        <is>
          <t>2024-12-31</t>
        </is>
      </c>
      <c r="N1925" t="inlineStr">
        <is>
          <t>auto_ingest=ilo_working_hours; indicator=HOW_TEMP_SEX_ECO_NB_A; year=2024; hours=42.19; country_proxy=Mexico</t>
        </is>
      </c>
    </row>
    <row r="1926">
      <c r="A1926" t="inlineStr">
        <is>
          <t>mx-guadalajara</t>
        </is>
      </c>
      <c r="B1926" t="inlineStr">
        <is>
          <t>Guadalajara</t>
        </is>
      </c>
      <c r="C1926" t="inlineStr">
        <is>
          <t>Mexico</t>
        </is>
      </c>
      <c r="D1926" t="inlineStr">
        <is>
          <t>North America</t>
        </is>
      </c>
      <c r="E1926" t="inlineStr">
        <is>
          <t>suicide_mental_strain_raw</t>
        </is>
      </c>
      <c r="F1926" t="inlineStr">
        <is>
          <t>Suicide or mental strain raw</t>
        </is>
      </c>
      <c r="G1926" t="inlineStr">
        <is>
          <t>pressure</t>
        </is>
      </c>
      <c r="H1926" t="inlineStr">
        <is>
          <t>yes</t>
        </is>
      </c>
      <c r="I1926" t="inlineStr">
        <is>
          <t>6.95</t>
        </is>
      </c>
      <c r="J1926" t="inlineStr">
        <is>
          <t>who_gho</t>
        </is>
      </c>
      <c r="K1926" t="inlineStr">
        <is>
          <t>https://www.who.int/data/gho/data/indicators/indicator-details/GHO/SDGSUICIDE</t>
        </is>
      </c>
      <c r="L1926" t="inlineStr">
        <is>
          <t>WHO GHO: Age-standardized suicide rate (per 100,000 population)</t>
        </is>
      </c>
      <c r="M1926" t="inlineStr">
        <is>
          <t>2021-12-31</t>
        </is>
      </c>
      <c r="N1926" t="inlineStr">
        <is>
          <t>auto_ingest=who_gho; indicator=SDGSUICIDE; year=2021; country_proxy=Mexico</t>
        </is>
      </c>
    </row>
    <row r="1927">
      <c r="A1927" t="inlineStr">
        <is>
          <t>mx-guadalajara</t>
        </is>
      </c>
      <c r="B1927" t="inlineStr">
        <is>
          <t>Guadalajara</t>
        </is>
      </c>
      <c r="C1927" t="inlineStr">
        <is>
          <t>Mexico</t>
        </is>
      </c>
      <c r="D1927" t="inlineStr">
        <is>
          <t>North America</t>
        </is>
      </c>
      <c r="E1927" t="inlineStr">
        <is>
          <t>personal_safety_raw</t>
        </is>
      </c>
      <c r="F1927" t="inlineStr">
        <is>
          <t>Personal safety raw</t>
        </is>
      </c>
      <c r="G1927" t="inlineStr">
        <is>
          <t>viability</t>
        </is>
      </c>
      <c r="H1927" t="inlineStr">
        <is>
          <t>yes</t>
        </is>
      </c>
      <c r="I1927" t="inlineStr">
        <is>
          <t>24.86</t>
        </is>
      </c>
      <c r="J1927" t="inlineStr">
        <is>
          <t>world_bank</t>
        </is>
      </c>
      <c r="K1927" t="inlineStr">
        <is>
          <t>https://api.worldbank.org/v2/country/MEX/indicator/VC.IHR.PSRC.P5?format=json&amp;mrv=10</t>
        </is>
      </c>
      <c r="L1927" t="inlineStr">
        <is>
          <t>UNODC via World Bank WDI: Intentional homicides (per 100,000 people)</t>
        </is>
      </c>
      <c r="M1927" t="inlineStr">
        <is>
          <t>2023-12-31</t>
        </is>
      </c>
      <c r="N1927" t="inlineStr">
        <is>
          <t>auto_ingest=unodc_safety; indicator=VC.IHR.PSRC.P5; year=2023; country_proxy=Mexico</t>
        </is>
      </c>
    </row>
    <row r="1928">
      <c r="A1928" t="inlineStr">
        <is>
          <t>mx-guadalajara</t>
        </is>
      </c>
      <c r="B1928" t="inlineStr">
        <is>
          <t>Guadalajara</t>
        </is>
      </c>
      <c r="C1928" t="inlineStr">
        <is>
          <t>Mexico</t>
        </is>
      </c>
      <c r="D1928" t="inlineStr">
        <is>
          <t>North America</t>
        </is>
      </c>
      <c r="E1928" t="inlineStr">
        <is>
          <t>transit_access_commute_raw</t>
        </is>
      </c>
      <c r="F1928" t="inlineStr">
        <is>
          <t>Transit access and commute raw</t>
        </is>
      </c>
      <c r="G1928" t="inlineStr">
        <is>
          <t>viability</t>
        </is>
      </c>
      <c r="H1928" t="inlineStr">
        <is>
          <t>yes</t>
        </is>
      </c>
      <c r="I1928" t="inlineStr"/>
      <c r="J1928" t="inlineStr"/>
      <c r="K1928" t="inlineStr"/>
      <c r="L1928" t="inlineStr"/>
      <c r="M1928" t="inlineStr"/>
      <c r="N1928" t="inlineStr"/>
    </row>
    <row r="1929">
      <c r="A1929" t="inlineStr">
        <is>
          <t>mx-guadalajara</t>
        </is>
      </c>
      <c r="B1929" t="inlineStr">
        <is>
          <t>Guadalajara</t>
        </is>
      </c>
      <c r="C1929" t="inlineStr">
        <is>
          <t>Mexico</t>
        </is>
      </c>
      <c r="D1929" t="inlineStr">
        <is>
          <t>North America</t>
        </is>
      </c>
      <c r="E1929" t="inlineStr">
        <is>
          <t>clean_air_raw</t>
        </is>
      </c>
      <c r="F1929" t="inlineStr">
        <is>
          <t>Clean air raw</t>
        </is>
      </c>
      <c r="G1929" t="inlineStr">
        <is>
          <t>viability</t>
        </is>
      </c>
      <c r="H1929" t="inlineStr">
        <is>
          <t>yes</t>
        </is>
      </c>
      <c r="I1929" t="inlineStr"/>
      <c r="J1929" t="inlineStr"/>
      <c r="K1929" t="inlineStr"/>
      <c r="L1929" t="inlineStr"/>
      <c r="M1929" t="inlineStr"/>
      <c r="N1929" t="inlineStr"/>
    </row>
    <row r="1930">
      <c r="A1930" t="inlineStr">
        <is>
          <t>mx-guadalajara</t>
        </is>
      </c>
      <c r="B1930" t="inlineStr">
        <is>
          <t>Guadalajara</t>
        </is>
      </c>
      <c r="C1930" t="inlineStr">
        <is>
          <t>Mexico</t>
        </is>
      </c>
      <c r="D1930" t="inlineStr">
        <is>
          <t>North America</t>
        </is>
      </c>
      <c r="E1930" t="inlineStr">
        <is>
          <t>water_sanitation_utility_raw</t>
        </is>
      </c>
      <c r="F1930" t="inlineStr">
        <is>
          <t>Water, sanitation, and utility raw</t>
        </is>
      </c>
      <c r="G1930" t="inlineStr">
        <is>
          <t>viability</t>
        </is>
      </c>
      <c r="H1930" t="inlineStr">
        <is>
          <t>yes</t>
        </is>
      </c>
      <c r="I1930" t="inlineStr">
        <is>
          <t>42.97</t>
        </is>
      </c>
      <c r="J1930" t="inlineStr">
        <is>
          <t>world_bank</t>
        </is>
      </c>
      <c r="K1930" t="inlineStr">
        <is>
          <t>https://api.worldbank.org/v2/country/MEX/indicator/SH.H2O.SMDW.ZS?format=json&amp;mrv=10</t>
        </is>
      </c>
      <c r="L1930" t="inlineStr">
        <is>
          <t>World Bank WDI: People using safely managed drinking water services (% of population)</t>
        </is>
      </c>
      <c r="M1930" t="inlineStr">
        <is>
          <t>2024-12-31</t>
        </is>
      </c>
      <c r="N1930" t="inlineStr">
        <is>
          <t>auto_ingest=world_bank_proxy; indicator=SH.H2O.SMDW.ZS; year=2024; country_proxy=Mexico</t>
        </is>
      </c>
    </row>
    <row r="1931">
      <c r="A1931" t="inlineStr">
        <is>
          <t>mx-guadalajara</t>
        </is>
      </c>
      <c r="B1931" t="inlineStr">
        <is>
          <t>Guadalajara</t>
        </is>
      </c>
      <c r="C1931" t="inlineStr">
        <is>
          <t>Mexico</t>
        </is>
      </c>
      <c r="D1931" t="inlineStr">
        <is>
          <t>North America</t>
        </is>
      </c>
      <c r="E1931" t="inlineStr">
        <is>
          <t>digital_infrastructure_raw</t>
        </is>
      </c>
      <c r="F1931" t="inlineStr">
        <is>
          <t>Digital infrastructure raw</t>
        </is>
      </c>
      <c r="G1931" t="inlineStr">
        <is>
          <t>viability</t>
        </is>
      </c>
      <c r="H1931" t="inlineStr">
        <is>
          <t>yes</t>
        </is>
      </c>
      <c r="I1931" t="inlineStr">
        <is>
          <t>20.09</t>
        </is>
      </c>
      <c r="J1931" t="inlineStr">
        <is>
          <t>world_bank</t>
        </is>
      </c>
      <c r="K1931" t="inlineStr">
        <is>
          <t>https://api.worldbank.org/v2/country/MEX/indicator/IT.NET.BBND.P2?format=json&amp;mrv=10</t>
        </is>
      </c>
      <c r="L1931" t="inlineStr">
        <is>
          <t>World Bank WDI: Fixed broadband subscriptions (per 100 people)</t>
        </is>
      </c>
      <c r="M1931" t="inlineStr">
        <is>
          <t>2023-12-31</t>
        </is>
      </c>
      <c r="N1931" t="inlineStr">
        <is>
          <t>auto_ingest=world_bank_proxy; indicator=IT.NET.BBND.P2; year=2023; country_proxy=Mexico</t>
        </is>
      </c>
    </row>
    <row r="1932">
      <c r="A1932" t="inlineStr">
        <is>
          <t>mx-guadalajara</t>
        </is>
      </c>
      <c r="B1932" t="inlineStr">
        <is>
          <t>Guadalajara</t>
        </is>
      </c>
      <c r="C1932" t="inlineStr">
        <is>
          <t>Mexico</t>
        </is>
      </c>
      <c r="D1932" t="inlineStr">
        <is>
          <t>North America</t>
        </is>
      </c>
      <c r="E1932" t="inlineStr">
        <is>
          <t>climate_sunlight_livability_raw</t>
        </is>
      </c>
      <c r="F1932" t="inlineStr">
        <is>
          <t>Climate and sunlight livability raw</t>
        </is>
      </c>
      <c r="G1932" t="inlineStr">
        <is>
          <t>viability</t>
        </is>
      </c>
      <c r="H1932" t="inlineStr">
        <is>
          <t>yes</t>
        </is>
      </c>
      <c r="I1932" t="inlineStr">
        <is>
          <t>68</t>
        </is>
      </c>
      <c r="J1932" t="inlineStr">
        <is>
          <t>wmo_natl_met</t>
        </is>
      </c>
      <c r="K1932" t="inlineStr">
        <is>
          <t>https://worldweather.wmo.int</t>
        </is>
      </c>
      <c r="L1932" t="inlineStr">
        <is>
          <t>WMO/National Met: Climate livability composite</t>
        </is>
      </c>
      <c r="M1932" t="inlineStr">
        <is>
          <t>2024-12-31</t>
        </is>
      </c>
      <c r="N1932" t="inlineStr">
        <is>
          <t>auto_seed=climate_composite; 2600 sun hrs, 19C mean</t>
        </is>
      </c>
    </row>
    <row r="1933">
      <c r="A1933" t="inlineStr">
        <is>
          <t>mx-guadalajara</t>
        </is>
      </c>
      <c r="B1933" t="inlineStr">
        <is>
          <t>Guadalajara</t>
        </is>
      </c>
      <c r="C1933" t="inlineStr">
        <is>
          <t>Mexico</t>
        </is>
      </c>
      <c r="D1933" t="inlineStr">
        <is>
          <t>North America</t>
        </is>
      </c>
      <c r="E1933" t="inlineStr">
        <is>
          <t>healthcare_quality_raw</t>
        </is>
      </c>
      <c r="F1933" t="inlineStr">
        <is>
          <t>Healthcare quality raw</t>
        </is>
      </c>
      <c r="G1933" t="inlineStr">
        <is>
          <t>capability</t>
        </is>
      </c>
      <c r="H1933" t="inlineStr">
        <is>
          <t>yes</t>
        </is>
      </c>
      <c r="I1933" t="inlineStr">
        <is>
          <t>79.0</t>
        </is>
      </c>
      <c r="J1933" t="inlineStr">
        <is>
          <t>who_gho</t>
        </is>
      </c>
      <c r="K1933" t="inlineStr">
        <is>
          <t>https://www.who.int/data/gho/data/indicators/indicator-details/GHO/UHC_INDEX_REPORTED</t>
        </is>
      </c>
      <c r="L1933" t="inlineStr">
        <is>
          <t>WHO GHO: UHC Service Coverage Index</t>
        </is>
      </c>
      <c r="M1933" t="inlineStr">
        <is>
          <t>2023-12-31</t>
        </is>
      </c>
      <c r="N1933" t="inlineStr">
        <is>
          <t>auto_ingest=who_gho; indicator=UHC_INDEX_REPORTED; year=2023; country_proxy=Mexico</t>
        </is>
      </c>
    </row>
    <row r="1934">
      <c r="A1934" t="inlineStr">
        <is>
          <t>mx-guadalajara</t>
        </is>
      </c>
      <c r="B1934" t="inlineStr">
        <is>
          <t>Guadalajara</t>
        </is>
      </c>
      <c r="C1934" t="inlineStr">
        <is>
          <t>Mexico</t>
        </is>
      </c>
      <c r="D1934" t="inlineStr">
        <is>
          <t>North America</t>
        </is>
      </c>
      <c r="E1934" t="inlineStr">
        <is>
          <t>education_quality_raw</t>
        </is>
      </c>
      <c r="F1934" t="inlineStr">
        <is>
          <t>Education quality raw</t>
        </is>
      </c>
      <c r="G1934" t="inlineStr">
        <is>
          <t>capability</t>
        </is>
      </c>
      <c r="H1934" t="inlineStr">
        <is>
          <t>yes</t>
        </is>
      </c>
      <c r="I1934" t="inlineStr">
        <is>
          <t>47.47</t>
        </is>
      </c>
      <c r="J1934" t="inlineStr">
        <is>
          <t>world_bank</t>
        </is>
      </c>
      <c r="K1934" t="inlineStr">
        <is>
          <t>https://api.worldbank.org/v2/country/MEX/indicator/SE.TER.ENRR?format=json&amp;mrv=10</t>
        </is>
      </c>
      <c r="L1934" t="inlineStr">
        <is>
          <t>World Bank WDI: School enrollment, tertiary (% gross)</t>
        </is>
      </c>
      <c r="M1934" t="inlineStr">
        <is>
          <t>2023-12-31</t>
        </is>
      </c>
      <c r="N1934" t="inlineStr">
        <is>
          <t>auto_ingest=world_bank_proxy; indicator=SE.TER.ENRR; year=2023; country_proxy=Mexico</t>
        </is>
      </c>
    </row>
    <row r="1935">
      <c r="A1935" t="inlineStr">
        <is>
          <t>mx-guadalajara</t>
        </is>
      </c>
      <c r="B1935" t="inlineStr">
        <is>
          <t>Guadalajara</t>
        </is>
      </c>
      <c r="C1935" t="inlineStr">
        <is>
          <t>Mexico</t>
        </is>
      </c>
      <c r="D1935" t="inlineStr">
        <is>
          <t>North America</t>
        </is>
      </c>
      <c r="E1935" t="inlineStr">
        <is>
          <t>equal_opportunity_raw</t>
        </is>
      </c>
      <c r="F1935" t="inlineStr">
        <is>
          <t>Equal opportunity raw</t>
        </is>
      </c>
      <c r="G1935" t="inlineStr">
        <is>
          <t>capability</t>
        </is>
      </c>
      <c r="H1935" t="inlineStr">
        <is>
          <t>yes</t>
        </is>
      </c>
      <c r="I1935" t="inlineStr">
        <is>
          <t>43.5</t>
        </is>
      </c>
      <c r="J1935" t="inlineStr">
        <is>
          <t>world_bank</t>
        </is>
      </c>
      <c r="K1935" t="inlineStr">
        <is>
          <t>https://api.worldbank.org/v2/country/MEX/indicator/SI.POV.GINI?format=json&amp;mrv=10</t>
        </is>
      </c>
      <c r="L1935" t="inlineStr">
        <is>
          <t>World Bank WDI: Gini index</t>
        </is>
      </c>
      <c r="M1935" t="inlineStr">
        <is>
          <t>2022-12-31</t>
        </is>
      </c>
      <c r="N1935" t="inlineStr">
        <is>
          <t>auto_ingest=world_bank_capability; indicator=SI.POV.GINI; year=2022; country_proxy=Mexico</t>
        </is>
      </c>
    </row>
    <row r="1936">
      <c r="A1936" t="inlineStr">
        <is>
          <t>mx-guadalajara</t>
        </is>
      </c>
      <c r="B1936" t="inlineStr">
        <is>
          <t>Guadalajara</t>
        </is>
      </c>
      <c r="C1936" t="inlineStr">
        <is>
          <t>Mexico</t>
        </is>
      </c>
      <c r="D1936" t="inlineStr">
        <is>
          <t>North America</t>
        </is>
      </c>
      <c r="E1936" t="inlineStr">
        <is>
          <t>hospitality_belonging_raw</t>
        </is>
      </c>
      <c r="F1936" t="inlineStr">
        <is>
          <t>Hospitality and belonging raw</t>
        </is>
      </c>
      <c r="G1936" t="inlineStr">
        <is>
          <t>community</t>
        </is>
      </c>
      <c r="H1936" t="inlineStr">
        <is>
          <t>yes</t>
        </is>
      </c>
      <c r="I1936" t="inlineStr">
        <is>
          <t>49.17</t>
        </is>
      </c>
      <c r="J1936" t="inlineStr">
        <is>
          <t>world_bank</t>
        </is>
      </c>
      <c r="K1936" t="inlineStr">
        <is>
          <t>https://api.worldbank.org/v2/country/MEX/indicator/SM.POP.NETM?format=json&amp;mrv=10</t>
        </is>
      </c>
      <c r="L1936" t="inlineStr">
        <is>
          <t>World Bank WDI: Net migration (proxy for hospitality/belonging — positive = welcoming)</t>
        </is>
      </c>
      <c r="M1936" t="inlineStr">
        <is>
          <t>2025-12-31</t>
        </is>
      </c>
      <c r="N1936" t="inlineStr">
        <is>
          <t>auto_ingest=world_bank_proxy; proxy=net_migration_hospitality; indicator=SM.POP.NETM; year=2025; country_proxy=Mexico</t>
        </is>
      </c>
    </row>
    <row r="1937">
      <c r="A1937" t="inlineStr">
        <is>
          <t>mx-guadalajara</t>
        </is>
      </c>
      <c r="B1937" t="inlineStr">
        <is>
          <t>Guadalajara</t>
        </is>
      </c>
      <c r="C1937" t="inlineStr">
        <is>
          <t>Mexico</t>
        </is>
      </c>
      <c r="D1937" t="inlineStr">
        <is>
          <t>North America</t>
        </is>
      </c>
      <c r="E1937" t="inlineStr">
        <is>
          <t>tolerance_pluralism_raw</t>
        </is>
      </c>
      <c r="F1937" t="inlineStr">
        <is>
          <t>Tolerance and pluralism raw</t>
        </is>
      </c>
      <c r="G1937" t="inlineStr">
        <is>
          <t>community</t>
        </is>
      </c>
      <c r="H1937" t="inlineStr">
        <is>
          <t>yes</t>
        </is>
      </c>
      <c r="I1937" t="inlineStr">
        <is>
          <t>50.2</t>
        </is>
      </c>
      <c r="J1937" t="inlineStr">
        <is>
          <t>world_bank</t>
        </is>
      </c>
      <c r="K1937" t="inlineStr">
        <is>
          <t>https://api.worldbank.org/v2/country/MEX/indicator/SG.GEN.PARL.ZS?format=json&amp;mrv=10</t>
        </is>
      </c>
      <c r="L1937" t="inlineStr">
        <is>
          <t>World Bank WDI: Proportion of seats held by women in national parliaments (%)</t>
        </is>
      </c>
      <c r="M1937" t="inlineStr">
        <is>
          <t>2024-12-31</t>
        </is>
      </c>
      <c r="N1937" t="inlineStr">
        <is>
          <t>auto_ingest=world_bank_proxy; proxy=gender_parity_parliament; indicator=SG.GEN.PARL.ZS; year=2024; country_proxy=Mexico</t>
        </is>
      </c>
    </row>
    <row r="1938">
      <c r="A1938" t="inlineStr">
        <is>
          <t>mx-guadalajara</t>
        </is>
      </c>
      <c r="B1938" t="inlineStr">
        <is>
          <t>Guadalajara</t>
        </is>
      </c>
      <c r="C1938" t="inlineStr">
        <is>
          <t>Mexico</t>
        </is>
      </c>
      <c r="D1938" t="inlineStr">
        <is>
          <t>North America</t>
        </is>
      </c>
      <c r="E1938" t="inlineStr">
        <is>
          <t>cultural_public_life_raw</t>
        </is>
      </c>
      <c r="F1938" t="inlineStr">
        <is>
          <t>Cultural public life raw</t>
        </is>
      </c>
      <c r="G1938" t="inlineStr">
        <is>
          <t>community</t>
        </is>
      </c>
      <c r="H1938" t="inlineStr">
        <is>
          <t>yes</t>
        </is>
      </c>
      <c r="I1938" t="inlineStr">
        <is>
          <t>390.7</t>
        </is>
      </c>
      <c r="J1938" t="inlineStr">
        <is>
          <t>world_bank</t>
        </is>
      </c>
      <c r="K1938" t="inlineStr">
        <is>
          <t>https://api.worldbank.org/v2/country/MEX/indicator/ST.INT.ARVL?format=json&amp;mrv=10</t>
        </is>
      </c>
      <c r="L1938" t="inlineStr">
        <is>
          <t>World Bank WDI: International tourism arrivals per 1 000 population</t>
        </is>
      </c>
      <c r="M1938" t="inlineStr">
        <is>
          <t>2020-12-31</t>
        </is>
      </c>
      <c r="N1938" t="inlineStr">
        <is>
          <t>auto_ingest=cultural_life_proxy; indicator=ST.INT.ARVL; norm=per_1000_pop; year=2020; country_proxy=Mexico</t>
        </is>
      </c>
    </row>
    <row r="1939">
      <c r="A1939" t="inlineStr">
        <is>
          <t>mx-guadalajara</t>
        </is>
      </c>
      <c r="B1939" t="inlineStr">
        <is>
          <t>Guadalajara</t>
        </is>
      </c>
      <c r="C1939" t="inlineStr">
        <is>
          <t>Mexico</t>
        </is>
      </c>
      <c r="D1939" t="inlineStr">
        <is>
          <t>North America</t>
        </is>
      </c>
      <c r="E1939" t="inlineStr">
        <is>
          <t>birth_rate_optimism_raw</t>
        </is>
      </c>
      <c r="F1939" t="inlineStr">
        <is>
          <t>Birth rate and societal optimism raw</t>
        </is>
      </c>
      <c r="G1939" t="inlineStr">
        <is>
          <t>community</t>
        </is>
      </c>
      <c r="H1939" t="inlineStr">
        <is>
          <t>yes</t>
        </is>
      </c>
      <c r="I1939" t="inlineStr">
        <is>
          <t>1.8</t>
        </is>
      </c>
      <c r="J1939" t="inlineStr">
        <is>
          <t>world_bank</t>
        </is>
      </c>
      <c r="K1939" t="inlineStr">
        <is>
          <t>https://data.worldbank.org/indicator/SP.DYN.TFRT.IN</t>
        </is>
      </c>
      <c r="L1939" t="inlineStr">
        <is>
          <t>World Bank Total Fertility Rate 2023</t>
        </is>
      </c>
      <c r="M1939" t="inlineStr">
        <is>
          <t>2024-01-01</t>
        </is>
      </c>
      <c r="N1939" t="inlineStr"/>
    </row>
    <row r="1940">
      <c r="A1940" t="inlineStr">
        <is>
          <t>mx-guadalajara</t>
        </is>
      </c>
      <c r="B1940" t="inlineStr">
        <is>
          <t>Guadalajara</t>
        </is>
      </c>
      <c r="C1940" t="inlineStr">
        <is>
          <t>Mexico</t>
        </is>
      </c>
      <c r="D1940" t="inlineStr">
        <is>
          <t>North America</t>
        </is>
      </c>
      <c r="E1940" t="inlineStr">
        <is>
          <t>entrepreneurial_dynamism_raw</t>
        </is>
      </c>
      <c r="F1940" t="inlineStr">
        <is>
          <t>Entrepreneurial dynamism raw</t>
        </is>
      </c>
      <c r="G1940" t="inlineStr">
        <is>
          <t>creative</t>
        </is>
      </c>
      <c r="H1940" t="inlineStr">
        <is>
          <t>yes</t>
        </is>
      </c>
      <c r="I1940" t="inlineStr">
        <is>
          <t>0.88</t>
        </is>
      </c>
      <c r="J1940" t="inlineStr">
        <is>
          <t>world_bank</t>
        </is>
      </c>
      <c r="K1940" t="inlineStr">
        <is>
          <t>https://api.worldbank.org/v2/country/MEX/indicator/IC.BUS.NDNS.ZS?format=json&amp;mrv=10</t>
        </is>
      </c>
      <c r="L1940" t="inlineStr">
        <is>
          <t>World Bank WDI: New business density (new registrations per 1,000 people ages 15-64)</t>
        </is>
      </c>
      <c r="M1940" t="inlineStr">
        <is>
          <t>2022-12-31</t>
        </is>
      </c>
      <c r="N1940" t="inlineStr">
        <is>
          <t>auto_ingest=world_bank_creative_extended; indicator=IC.BUS.NDNS.ZS; year=2022; country_proxy=Mexico</t>
        </is>
      </c>
    </row>
    <row r="1941">
      <c r="A1941" t="inlineStr">
        <is>
          <t>mx-guadalajara</t>
        </is>
      </c>
      <c r="B1941" t="inlineStr">
        <is>
          <t>Guadalajara</t>
        </is>
      </c>
      <c r="C1941" t="inlineStr">
        <is>
          <t>Mexico</t>
        </is>
      </c>
      <c r="D1941" t="inlineStr">
        <is>
          <t>North America</t>
        </is>
      </c>
      <c r="E1941" t="inlineStr">
        <is>
          <t>innovation_research_intensity_raw</t>
        </is>
      </c>
      <c r="F1941" t="inlineStr">
        <is>
          <t>Innovation and research raw</t>
        </is>
      </c>
      <c r="G1941" t="inlineStr">
        <is>
          <t>creative</t>
        </is>
      </c>
      <c r="H1941" t="inlineStr">
        <is>
          <t>yes</t>
        </is>
      </c>
      <c r="I1941" t="inlineStr">
        <is>
          <t>0.27</t>
        </is>
      </c>
      <c r="J1941" t="inlineStr">
        <is>
          <t>world_bank</t>
        </is>
      </c>
      <c r="K1941" t="inlineStr">
        <is>
          <t>https://api.worldbank.org/v2/country/MEX/indicator/GB.XPD.RSDV.GD.ZS?format=json&amp;mrv=10</t>
        </is>
      </c>
      <c r="L1941" t="inlineStr">
        <is>
          <t>World Bank WDI: Research and development expenditure (% of GDP)</t>
        </is>
      </c>
      <c r="M1941" t="inlineStr">
        <is>
          <t>2023-12-31</t>
        </is>
      </c>
      <c r="N1941" t="inlineStr">
        <is>
          <t>auto_ingest=world_bank_creative_extended; indicator=GB.XPD.RSDV.GD.ZS; year=2023; country_proxy=Mexico</t>
        </is>
      </c>
    </row>
    <row r="1942">
      <c r="A1942" t="inlineStr">
        <is>
          <t>mx-guadalajara</t>
        </is>
      </c>
      <c r="B1942" t="inlineStr">
        <is>
          <t>Guadalajara</t>
        </is>
      </c>
      <c r="C1942" t="inlineStr">
        <is>
          <t>Mexico</t>
        </is>
      </c>
      <c r="D1942" t="inlineStr">
        <is>
          <t>North America</t>
        </is>
      </c>
      <c r="E1942" t="inlineStr">
        <is>
          <t>investment_signal_raw</t>
        </is>
      </c>
      <c r="F1942" t="inlineStr">
        <is>
          <t>Investment signal raw</t>
        </is>
      </c>
      <c r="G1942" t="inlineStr">
        <is>
          <t>creative</t>
        </is>
      </c>
      <c r="H1942" t="inlineStr">
        <is>
          <t>yes</t>
        </is>
      </c>
      <c r="I1942" t="inlineStr">
        <is>
          <t>2.45</t>
        </is>
      </c>
      <c r="J1942" t="inlineStr">
        <is>
          <t>world_bank</t>
        </is>
      </c>
      <c r="K1942" t="inlineStr">
        <is>
          <t>https://api.worldbank.org/v2/country/MEX/indicator/BX.KLT.DINV.WD.GD.ZS?format=json&amp;mrv=10</t>
        </is>
      </c>
      <c r="L1942" t="inlineStr">
        <is>
          <t>World Bank WDI: Foreign direct investment, net inflows (% of GDP)</t>
        </is>
      </c>
      <c r="M1942" t="inlineStr">
        <is>
          <t>2024-12-31</t>
        </is>
      </c>
      <c r="N1942" t="inlineStr">
        <is>
          <t>auto_ingest=world_bank_creative_extended; indicator=BX.KLT.DINV.WD.GD.ZS; year=2024; country_proxy=Mexico</t>
        </is>
      </c>
    </row>
    <row r="1943">
      <c r="A1943" t="inlineStr">
        <is>
          <t>mx-guadalajara</t>
        </is>
      </c>
      <c r="B1943" t="inlineStr">
        <is>
          <t>Guadalajara</t>
        </is>
      </c>
      <c r="C1943" t="inlineStr">
        <is>
          <t>Mexico</t>
        </is>
      </c>
      <c r="D1943" t="inlineStr">
        <is>
          <t>North America</t>
        </is>
      </c>
      <c r="E1943" t="inlineStr">
        <is>
          <t>administrative_investment_friction_raw</t>
        </is>
      </c>
      <c r="F1943" t="inlineStr">
        <is>
          <t>Administrative investment friction raw</t>
        </is>
      </c>
      <c r="G1943" t="inlineStr">
        <is>
          <t>creative</t>
        </is>
      </c>
      <c r="H1943" t="inlineStr">
        <is>
          <t>yes</t>
        </is>
      </c>
      <c r="I1943" t="inlineStr">
        <is>
          <t>2.67</t>
        </is>
      </c>
      <c r="J1943" t="inlineStr">
        <is>
          <t>world_bank</t>
        </is>
      </c>
      <c r="K1943" t="inlineStr">
        <is>
          <t>https://api.worldbank.org/v2/country/MEX/indicator/RQ.EST?format=json&amp;mrv=10</t>
        </is>
      </c>
      <c r="L1943" t="inlineStr">
        <is>
          <t>World Bank WGI: Regulatory Quality (inverted as friction proxy)</t>
        </is>
      </c>
      <c r="M1943" t="inlineStr">
        <is>
          <t>2023-12-31</t>
        </is>
      </c>
      <c r="N1943" t="inlineStr">
        <is>
          <t>auto_ingest=world_bank_business_friction; indicator=RQ.EST; raw_rq=-0.171988308429718; friction=2.67; year=2023; country_proxy=Mexico</t>
        </is>
      </c>
    </row>
    <row r="1944">
      <c r="A1944" t="inlineStr">
        <is>
          <t>mx-guadalajara</t>
        </is>
      </c>
      <c r="B1944" t="inlineStr">
        <is>
          <t>Guadalajara</t>
        </is>
      </c>
      <c r="C1944" t="inlineStr">
        <is>
          <t>Mexico</t>
        </is>
      </c>
      <c r="D1944" t="inlineStr">
        <is>
          <t>North America</t>
        </is>
      </c>
      <c r="E1944" t="inlineStr">
        <is>
          <t>visitor_flow_context_raw</t>
        </is>
      </c>
      <c r="F1944" t="inlineStr">
        <is>
          <t>Visitor flow context raw</t>
        </is>
      </c>
      <c r="G1944" t="inlineStr">
        <is>
          <t>creative</t>
        </is>
      </c>
      <c r="H1944" t="inlineStr">
        <is>
          <t>no</t>
        </is>
      </c>
      <c r="I1944" t="inlineStr"/>
      <c r="J1944" t="inlineStr"/>
      <c r="K1944" t="inlineStr"/>
      <c r="L1944" t="inlineStr"/>
      <c r="M1944" t="inlineStr"/>
      <c r="N1944" t="inlineStr"/>
    </row>
    <row r="1945">
      <c r="A1945" t="inlineStr">
        <is>
          <t>pr-san-juan</t>
        </is>
      </c>
      <c r="B1945" t="inlineStr">
        <is>
          <t>San Juan</t>
        </is>
      </c>
      <c r="C1945" t="inlineStr">
        <is>
          <t>Puerto Rico</t>
        </is>
      </c>
      <c r="D1945" t="inlineStr">
        <is>
          <t>North America</t>
        </is>
      </c>
      <c r="E1945" t="inlineStr">
        <is>
          <t>gross_income</t>
        </is>
      </c>
      <c r="F1945" t="inlineStr">
        <is>
          <t>Gross income</t>
        </is>
      </c>
      <c r="G1945" t="inlineStr">
        <is>
          <t>pressure</t>
        </is>
      </c>
      <c r="H1945" t="inlineStr">
        <is>
          <t>yes</t>
        </is>
      </c>
      <c r="I1945" t="inlineStr">
        <is>
          <t>2838.33</t>
        </is>
      </c>
      <c r="J1945" t="inlineStr">
        <is>
          <t>world_bank_col_estimate</t>
        </is>
      </c>
      <c r="K1945" t="inlineStr">
        <is>
          <t>https://api.worldbank.org/v2/country/PRI/indicator/NY.GNP.PCAP.PP.CD?format=json&amp;mrv=10</t>
        </is>
      </c>
      <c r="L1945" t="inlineStr">
        <is>
          <t>World Bank WDI: GNI per capita PPP (monthly USD)</t>
        </is>
      </c>
      <c r="M1945" t="inlineStr">
        <is>
          <t>2024-12-31</t>
        </is>
      </c>
      <c r="N1945" t="inlineStr">
        <is>
          <t>auto_ingest=world_bank_col_estimate; gni_annual=34060.0; year=2024; country_proxy=Puerto Rico; cohort=North America</t>
        </is>
      </c>
    </row>
    <row r="1946">
      <c r="A1946" t="inlineStr">
        <is>
          <t>pr-san-juan</t>
        </is>
      </c>
      <c r="B1946" t="inlineStr">
        <is>
          <t>San Juan</t>
        </is>
      </c>
      <c r="C1946" t="inlineStr">
        <is>
          <t>Puerto Rico</t>
        </is>
      </c>
      <c r="D1946" t="inlineStr">
        <is>
          <t>North America</t>
        </is>
      </c>
      <c r="E1946" t="inlineStr">
        <is>
          <t>di_ppp_raw</t>
        </is>
      </c>
      <c r="F1946" t="inlineStr">
        <is>
          <t>Disposable income PPP (Raw)</t>
        </is>
      </c>
      <c r="G1946" t="inlineStr">
        <is>
          <t>pressure</t>
        </is>
      </c>
      <c r="H1946" t="inlineStr">
        <is>
          <t>yes</t>
        </is>
      </c>
      <c r="I1946" t="inlineStr"/>
      <c r="J1946" t="inlineStr"/>
      <c r="K1946" t="inlineStr"/>
      <c r="L1946" t="inlineStr"/>
      <c r="M1946" t="inlineStr"/>
      <c r="N1946" t="inlineStr"/>
    </row>
    <row r="1947">
      <c r="A1947" t="inlineStr">
        <is>
          <t>pr-san-juan</t>
        </is>
      </c>
      <c r="B1947" t="inlineStr">
        <is>
          <t>San Juan</t>
        </is>
      </c>
      <c r="C1947" t="inlineStr">
        <is>
          <t>Puerto Rico</t>
        </is>
      </c>
      <c r="D1947" t="inlineStr">
        <is>
          <t>North America</t>
        </is>
      </c>
      <c r="E1947" t="inlineStr">
        <is>
          <t>rent</t>
        </is>
      </c>
      <c r="F1947" t="inlineStr">
        <is>
          <t>Rent</t>
        </is>
      </c>
      <c r="G1947" t="inlineStr">
        <is>
          <t>pressure</t>
        </is>
      </c>
      <c r="H1947" t="inlineStr">
        <is>
          <t>yes</t>
        </is>
      </c>
      <c r="I1947" t="inlineStr">
        <is>
          <t>1043.09</t>
        </is>
      </c>
      <c r="J1947" t="inlineStr">
        <is>
          <t>world_bank_col_estimate</t>
        </is>
      </c>
      <c r="K1947" t="inlineStr">
        <is>
          <t>https://api.worldbank.org/v2/country/PRI/indicator/NY.GNP.PCAP.PP.CD?format=json&amp;mrv=10</t>
        </is>
      </c>
      <c r="L1947" t="inlineStr">
        <is>
          <t>World Bank GNI + regional expenditure ratio estimate</t>
        </is>
      </c>
      <c r="M1947" t="inlineStr">
        <is>
          <t>2024-12-31</t>
        </is>
      </c>
      <c r="N1947" t="inlineStr">
        <is>
          <t>auto_ingest=world_bank_col_estimate; gni_annual=34060.0; year=2024; country_proxy=Puerto Rico; cohort=North America; city_cost_mult=1.05</t>
        </is>
      </c>
    </row>
    <row r="1948">
      <c r="A1948" t="inlineStr">
        <is>
          <t>pr-san-juan</t>
        </is>
      </c>
      <c r="B1948" t="inlineStr">
        <is>
          <t>San Juan</t>
        </is>
      </c>
      <c r="C1948" t="inlineStr">
        <is>
          <t>Puerto Rico</t>
        </is>
      </c>
      <c r="D1948" t="inlineStr">
        <is>
          <t>North America</t>
        </is>
      </c>
      <c r="E1948" t="inlineStr">
        <is>
          <t>utilities</t>
        </is>
      </c>
      <c r="F1948" t="inlineStr">
        <is>
          <t>Utilities</t>
        </is>
      </c>
      <c r="G1948" t="inlineStr">
        <is>
          <t>pressure</t>
        </is>
      </c>
      <c r="H1948" t="inlineStr">
        <is>
          <t>yes</t>
        </is>
      </c>
      <c r="I1948" t="inlineStr">
        <is>
          <t>208.62</t>
        </is>
      </c>
      <c r="J1948" t="inlineStr">
        <is>
          <t>world_bank_col_estimate</t>
        </is>
      </c>
      <c r="K1948" t="inlineStr">
        <is>
          <t>https://api.worldbank.org/v2/country/PRI/indicator/NY.GNP.PCAP.PP.CD?format=json&amp;mrv=10</t>
        </is>
      </c>
      <c r="L1948" t="inlineStr">
        <is>
          <t>World Bank GNI + regional expenditure ratio estimate</t>
        </is>
      </c>
      <c r="M1948" t="inlineStr">
        <is>
          <t>2024-12-31</t>
        </is>
      </c>
      <c r="N1948" t="inlineStr">
        <is>
          <t>auto_ingest=world_bank_col_estimate; gni_annual=34060.0; year=2024; country_proxy=Puerto Rico; cohort=North America; city_cost_mult=1.05</t>
        </is>
      </c>
    </row>
    <row r="1949">
      <c r="A1949" t="inlineStr">
        <is>
          <t>pr-san-juan</t>
        </is>
      </c>
      <c r="B1949" t="inlineStr">
        <is>
          <t>San Juan</t>
        </is>
      </c>
      <c r="C1949" t="inlineStr">
        <is>
          <t>Puerto Rico</t>
        </is>
      </c>
      <c r="D1949" t="inlineStr">
        <is>
          <t>North America</t>
        </is>
      </c>
      <c r="E1949" t="inlineStr">
        <is>
          <t>transit_cost</t>
        </is>
      </c>
      <c r="F1949" t="inlineStr">
        <is>
          <t>Transit cost</t>
        </is>
      </c>
      <c r="G1949" t="inlineStr">
        <is>
          <t>pressure</t>
        </is>
      </c>
      <c r="H1949" t="inlineStr">
        <is>
          <t>yes</t>
        </is>
      </c>
      <c r="I1949" t="inlineStr">
        <is>
          <t>149.01</t>
        </is>
      </c>
      <c r="J1949" t="inlineStr">
        <is>
          <t>world_bank_col_estimate</t>
        </is>
      </c>
      <c r="K1949" t="inlineStr">
        <is>
          <t>https://api.worldbank.org/v2/country/PRI/indicator/NY.GNP.PCAP.PP.CD?format=json&amp;mrv=10</t>
        </is>
      </c>
      <c r="L1949" t="inlineStr">
        <is>
          <t>World Bank GNI + regional expenditure ratio estimate</t>
        </is>
      </c>
      <c r="M1949" t="inlineStr">
        <is>
          <t>2024-12-31</t>
        </is>
      </c>
      <c r="N1949" t="inlineStr">
        <is>
          <t>auto_ingest=world_bank_col_estimate; gni_annual=34060.0; year=2024; country_proxy=Puerto Rico; cohort=North America; city_cost_mult=1.05</t>
        </is>
      </c>
    </row>
    <row r="1950">
      <c r="A1950" t="inlineStr">
        <is>
          <t>pr-san-juan</t>
        </is>
      </c>
      <c r="B1950" t="inlineStr">
        <is>
          <t>San Juan</t>
        </is>
      </c>
      <c r="C1950" t="inlineStr">
        <is>
          <t>Puerto Rico</t>
        </is>
      </c>
      <c r="D1950" t="inlineStr">
        <is>
          <t>North America</t>
        </is>
      </c>
      <c r="E1950" t="inlineStr">
        <is>
          <t>internet_cost</t>
        </is>
      </c>
      <c r="F1950" t="inlineStr">
        <is>
          <t>Internet cost</t>
        </is>
      </c>
      <c r="G1950" t="inlineStr">
        <is>
          <t>pressure</t>
        </is>
      </c>
      <c r="H1950" t="inlineStr">
        <is>
          <t>yes</t>
        </is>
      </c>
      <c r="I1950" t="inlineStr">
        <is>
          <t>59.6</t>
        </is>
      </c>
      <c r="J1950" t="inlineStr">
        <is>
          <t>world_bank_col_estimate</t>
        </is>
      </c>
      <c r="K1950" t="inlineStr">
        <is>
          <t>https://api.worldbank.org/v2/country/PRI/indicator/NY.GNP.PCAP.PP.CD?format=json&amp;mrv=10</t>
        </is>
      </c>
      <c r="L1950" t="inlineStr">
        <is>
          <t>World Bank GNI + regional expenditure ratio estimate</t>
        </is>
      </c>
      <c r="M1950" t="inlineStr">
        <is>
          <t>2024-12-31</t>
        </is>
      </c>
      <c r="N1950" t="inlineStr">
        <is>
          <t>auto_ingest=world_bank_col_estimate; gni_annual=34060.0; year=2024; country_proxy=Puerto Rico; cohort=North America; city_cost_mult=1.05</t>
        </is>
      </c>
    </row>
    <row r="1951">
      <c r="A1951" t="inlineStr">
        <is>
          <t>pr-san-juan</t>
        </is>
      </c>
      <c r="B1951" t="inlineStr">
        <is>
          <t>San Juan</t>
        </is>
      </c>
      <c r="C1951" t="inlineStr">
        <is>
          <t>Puerto Rico</t>
        </is>
      </c>
      <c r="D1951" t="inlineStr">
        <is>
          <t>North America</t>
        </is>
      </c>
      <c r="E1951" t="inlineStr">
        <is>
          <t>food_cost</t>
        </is>
      </c>
      <c r="F1951" t="inlineStr">
        <is>
          <t>Food cost</t>
        </is>
      </c>
      <c r="G1951" t="inlineStr">
        <is>
          <t>pressure</t>
        </is>
      </c>
      <c r="H1951" t="inlineStr">
        <is>
          <t>yes</t>
        </is>
      </c>
      <c r="I1951" t="inlineStr">
        <is>
          <t>447.04</t>
        </is>
      </c>
      <c r="J1951" t="inlineStr">
        <is>
          <t>world_bank_col_estimate</t>
        </is>
      </c>
      <c r="K1951" t="inlineStr">
        <is>
          <t>https://api.worldbank.org/v2/country/PRI/indicator/NY.GNP.PCAP.PP.CD?format=json&amp;mrv=10</t>
        </is>
      </c>
      <c r="L1951" t="inlineStr">
        <is>
          <t>World Bank GNI + regional expenditure ratio estimate</t>
        </is>
      </c>
      <c r="M1951" t="inlineStr">
        <is>
          <t>2024-12-31</t>
        </is>
      </c>
      <c r="N1951" t="inlineStr">
        <is>
          <t>auto_ingest=world_bank_col_estimate; gni_annual=34060.0; year=2024; country_proxy=Puerto Rico; cohort=North America; city_cost_mult=1.05</t>
        </is>
      </c>
    </row>
    <row r="1952">
      <c r="A1952" t="inlineStr">
        <is>
          <t>pr-san-juan</t>
        </is>
      </c>
      <c r="B1952" t="inlineStr">
        <is>
          <t>San Juan</t>
        </is>
      </c>
      <c r="C1952" t="inlineStr">
        <is>
          <t>Puerto Rico</t>
        </is>
      </c>
      <c r="D1952" t="inlineStr">
        <is>
          <t>North America</t>
        </is>
      </c>
      <c r="E1952" t="inlineStr">
        <is>
          <t>housing_burden_raw</t>
        </is>
      </c>
      <c r="F1952" t="inlineStr">
        <is>
          <t>Housing burden raw</t>
        </is>
      </c>
      <c r="G1952" t="inlineStr">
        <is>
          <t>pressure</t>
        </is>
      </c>
      <c r="H1952" t="inlineStr">
        <is>
          <t>yes</t>
        </is>
      </c>
      <c r="I1952" t="inlineStr">
        <is>
          <t>36.7501</t>
        </is>
      </c>
      <c r="J1952" t="inlineStr">
        <is>
          <t>derived</t>
        </is>
      </c>
      <c r="K1952" t="inlineStr">
        <is>
          <t>https://data.worldbank.org/indicator/NY.GNP.PCAP.PP.CD</t>
        </is>
      </c>
      <c r="L1952" t="inlineStr">
        <is>
          <t>Computed from city_inputs + country_context</t>
        </is>
      </c>
      <c r="M1952" t="inlineStr">
        <is>
          <t>2024-01-01</t>
        </is>
      </c>
      <c r="N1952" t="inlineStr">
        <is>
          <t>derived=rent/gross_income*100</t>
        </is>
      </c>
    </row>
    <row r="1953">
      <c r="A1953" t="inlineStr">
        <is>
          <t>pr-san-juan</t>
        </is>
      </c>
      <c r="B1953" t="inlineStr">
        <is>
          <t>San Juan</t>
        </is>
      </c>
      <c r="C1953" t="inlineStr">
        <is>
          <t>Puerto Rico</t>
        </is>
      </c>
      <c r="D1953" t="inlineStr">
        <is>
          <t>North America</t>
        </is>
      </c>
      <c r="E1953" t="inlineStr">
        <is>
          <t>household_debt_burden_raw</t>
        </is>
      </c>
      <c r="F1953" t="inlineStr">
        <is>
          <t>Household debt burden raw</t>
        </is>
      </c>
      <c r="G1953" t="inlineStr">
        <is>
          <t>pressure</t>
        </is>
      </c>
      <c r="H1953" t="inlineStr">
        <is>
          <t>yes</t>
        </is>
      </c>
      <c r="I1953" t="inlineStr"/>
      <c r="J1953" t="inlineStr"/>
      <c r="K1953" t="inlineStr"/>
      <c r="L1953" t="inlineStr"/>
      <c r="M1953" t="inlineStr"/>
      <c r="N1953" t="inlineStr"/>
    </row>
    <row r="1954">
      <c r="A1954" t="inlineStr">
        <is>
          <t>pr-san-juan</t>
        </is>
      </c>
      <c r="B1954" t="inlineStr">
        <is>
          <t>San Juan</t>
        </is>
      </c>
      <c r="C1954" t="inlineStr">
        <is>
          <t>Puerto Rico</t>
        </is>
      </c>
      <c r="D1954" t="inlineStr">
        <is>
          <t>North America</t>
        </is>
      </c>
      <c r="E1954" t="inlineStr">
        <is>
          <t>working_time_pressure_raw</t>
        </is>
      </c>
      <c r="F1954" t="inlineStr">
        <is>
          <t>Working time pressure raw</t>
        </is>
      </c>
      <c r="G1954" t="inlineStr">
        <is>
          <t>pressure</t>
        </is>
      </c>
      <c r="H1954" t="inlineStr">
        <is>
          <t>yes</t>
        </is>
      </c>
      <c r="I1954" t="inlineStr">
        <is>
          <t>35.79</t>
        </is>
      </c>
      <c r="J1954" t="inlineStr">
        <is>
          <t>ilo_ilostat</t>
        </is>
      </c>
      <c r="K1954" t="inlineStr">
        <is>
          <t>https://ilostat.ilo.org/data/indicator/?id=HOW_TEMP_SEX_ECO_NB_A&amp;ref_area=PRI</t>
        </is>
      </c>
      <c r="L1954" t="inlineStr">
        <is>
          <t>ILO ILOSTAT: Mean weekly hours actually worked per employed person</t>
        </is>
      </c>
      <c r="M1954" t="inlineStr">
        <is>
          <t>2020-12-31</t>
        </is>
      </c>
      <c r="N1954" t="inlineStr">
        <is>
          <t>auto_ingest=ilo_working_hours; indicator=HOW_TEMP_SEX_ECO_NB_A; year=2020; hours=35.79; country_proxy=Puerto Rico</t>
        </is>
      </c>
    </row>
    <row r="1955">
      <c r="A1955" t="inlineStr">
        <is>
          <t>pr-san-juan</t>
        </is>
      </c>
      <c r="B1955" t="inlineStr">
        <is>
          <t>San Juan</t>
        </is>
      </c>
      <c r="C1955" t="inlineStr">
        <is>
          <t>Puerto Rico</t>
        </is>
      </c>
      <c r="D1955" t="inlineStr">
        <is>
          <t>North America</t>
        </is>
      </c>
      <c r="E1955" t="inlineStr">
        <is>
          <t>suicide_mental_strain_raw</t>
        </is>
      </c>
      <c r="F1955" t="inlineStr">
        <is>
          <t>Suicide or mental strain raw</t>
        </is>
      </c>
      <c r="G1955" t="inlineStr">
        <is>
          <t>pressure</t>
        </is>
      </c>
      <c r="H1955" t="inlineStr">
        <is>
          <t>yes</t>
        </is>
      </c>
      <c r="I1955" t="inlineStr">
        <is>
          <t>5.42</t>
        </is>
      </c>
      <c r="J1955" t="inlineStr">
        <is>
          <t>who_gho</t>
        </is>
      </c>
      <c r="K1955" t="inlineStr">
        <is>
          <t>https://www.who.int/data/gho/data/indicators/indicator-details/GHO/SDGSUICIDE</t>
        </is>
      </c>
      <c r="L1955" t="inlineStr">
        <is>
          <t>WHO GHO: Age-standardized suicide rate (per 100,000 population)</t>
        </is>
      </c>
      <c r="M1955" t="inlineStr">
        <is>
          <t>2021-12-31</t>
        </is>
      </c>
      <c r="N1955" t="inlineStr">
        <is>
          <t>auto_ingest=who_gho; indicator=SDGSUICIDE; year=2021; country_proxy=Puerto Rico</t>
        </is>
      </c>
    </row>
    <row r="1956">
      <c r="A1956" t="inlineStr">
        <is>
          <t>pr-san-juan</t>
        </is>
      </c>
      <c r="B1956" t="inlineStr">
        <is>
          <t>San Juan</t>
        </is>
      </c>
      <c r="C1956" t="inlineStr">
        <is>
          <t>Puerto Rico</t>
        </is>
      </c>
      <c r="D1956" t="inlineStr">
        <is>
          <t>North America</t>
        </is>
      </c>
      <c r="E1956" t="inlineStr">
        <is>
          <t>personal_safety_raw</t>
        </is>
      </c>
      <c r="F1956" t="inlineStr">
        <is>
          <t>Personal safety raw</t>
        </is>
      </c>
      <c r="G1956" t="inlineStr">
        <is>
          <t>viability</t>
        </is>
      </c>
      <c r="H1956" t="inlineStr">
        <is>
          <t>yes</t>
        </is>
      </c>
      <c r="I1956" t="inlineStr">
        <is>
          <t>14.59</t>
        </is>
      </c>
      <c r="J1956" t="inlineStr">
        <is>
          <t>world_bank</t>
        </is>
      </c>
      <c r="K1956" t="inlineStr">
        <is>
          <t>https://api.worldbank.org/v2/country/PRI/indicator/VC.IHR.PSRC.P5?format=json&amp;mrv=10</t>
        </is>
      </c>
      <c r="L1956" t="inlineStr">
        <is>
          <t>UNODC via World Bank WDI: Intentional homicides (per 100,000 people)</t>
        </is>
      </c>
      <c r="M1956" t="inlineStr">
        <is>
          <t>2023-12-31</t>
        </is>
      </c>
      <c r="N1956" t="inlineStr">
        <is>
          <t>auto_ingest=unodc_safety; indicator=VC.IHR.PSRC.P5; year=2023; country_proxy=Puerto Rico</t>
        </is>
      </c>
    </row>
    <row r="1957">
      <c r="A1957" t="inlineStr">
        <is>
          <t>pr-san-juan</t>
        </is>
      </c>
      <c r="B1957" t="inlineStr">
        <is>
          <t>San Juan</t>
        </is>
      </c>
      <c r="C1957" t="inlineStr">
        <is>
          <t>Puerto Rico</t>
        </is>
      </c>
      <c r="D1957" t="inlineStr">
        <is>
          <t>North America</t>
        </is>
      </c>
      <c r="E1957" t="inlineStr">
        <is>
          <t>transit_access_commute_raw</t>
        </is>
      </c>
      <c r="F1957" t="inlineStr">
        <is>
          <t>Transit access and commute raw</t>
        </is>
      </c>
      <c r="G1957" t="inlineStr">
        <is>
          <t>viability</t>
        </is>
      </c>
      <c r="H1957" t="inlineStr">
        <is>
          <t>yes</t>
        </is>
      </c>
      <c r="I1957" t="inlineStr"/>
      <c r="J1957" t="inlineStr"/>
      <c r="K1957" t="inlineStr"/>
      <c r="L1957" t="inlineStr"/>
      <c r="M1957" t="inlineStr"/>
      <c r="N1957" t="inlineStr"/>
    </row>
    <row r="1958">
      <c r="A1958" t="inlineStr">
        <is>
          <t>pr-san-juan</t>
        </is>
      </c>
      <c r="B1958" t="inlineStr">
        <is>
          <t>San Juan</t>
        </is>
      </c>
      <c r="C1958" t="inlineStr">
        <is>
          <t>Puerto Rico</t>
        </is>
      </c>
      <c r="D1958" t="inlineStr">
        <is>
          <t>North America</t>
        </is>
      </c>
      <c r="E1958" t="inlineStr">
        <is>
          <t>clean_air_raw</t>
        </is>
      </c>
      <c r="F1958" t="inlineStr">
        <is>
          <t>Clean air raw</t>
        </is>
      </c>
      <c r="G1958" t="inlineStr">
        <is>
          <t>viability</t>
        </is>
      </c>
      <c r="H1958" t="inlineStr">
        <is>
          <t>yes</t>
        </is>
      </c>
      <c r="I1958" t="inlineStr"/>
      <c r="J1958" t="inlineStr"/>
      <c r="K1958" t="inlineStr"/>
      <c r="L1958" t="inlineStr"/>
      <c r="M1958" t="inlineStr"/>
      <c r="N1958" t="inlineStr"/>
    </row>
    <row r="1959">
      <c r="A1959" t="inlineStr">
        <is>
          <t>pr-san-juan</t>
        </is>
      </c>
      <c r="B1959" t="inlineStr">
        <is>
          <t>San Juan</t>
        </is>
      </c>
      <c r="C1959" t="inlineStr">
        <is>
          <t>Puerto Rico</t>
        </is>
      </c>
      <c r="D1959" t="inlineStr">
        <is>
          <t>North America</t>
        </is>
      </c>
      <c r="E1959" t="inlineStr">
        <is>
          <t>water_sanitation_utility_raw</t>
        </is>
      </c>
      <c r="F1959" t="inlineStr">
        <is>
          <t>Water, sanitation, and utility raw</t>
        </is>
      </c>
      <c r="G1959" t="inlineStr">
        <is>
          <t>viability</t>
        </is>
      </c>
      <c r="H1959" t="inlineStr">
        <is>
          <t>yes</t>
        </is>
      </c>
      <c r="I1959" t="inlineStr">
        <is>
          <t>98.94</t>
        </is>
      </c>
      <c r="J1959" t="inlineStr">
        <is>
          <t>world_bank</t>
        </is>
      </c>
      <c r="K1959" t="inlineStr">
        <is>
          <t>https://api.worldbank.org/v2/country/PRI/indicator/SH.H2O.SMDW.ZS?format=json&amp;mrv=10</t>
        </is>
      </c>
      <c r="L1959" t="inlineStr">
        <is>
          <t>World Bank WDI: People using safely managed drinking water services (% of population)</t>
        </is>
      </c>
      <c r="M1959" t="inlineStr">
        <is>
          <t>2024-12-31</t>
        </is>
      </c>
      <c r="N1959" t="inlineStr">
        <is>
          <t>auto_ingest=world_bank_proxy; indicator=SH.H2O.SMDW.ZS; year=2024; country_proxy=Puerto Rico</t>
        </is>
      </c>
    </row>
    <row r="1960">
      <c r="A1960" t="inlineStr">
        <is>
          <t>pr-san-juan</t>
        </is>
      </c>
      <c r="B1960" t="inlineStr">
        <is>
          <t>San Juan</t>
        </is>
      </c>
      <c r="C1960" t="inlineStr">
        <is>
          <t>Puerto Rico</t>
        </is>
      </c>
      <c r="D1960" t="inlineStr">
        <is>
          <t>North America</t>
        </is>
      </c>
      <c r="E1960" t="inlineStr">
        <is>
          <t>digital_infrastructure_raw</t>
        </is>
      </c>
      <c r="F1960" t="inlineStr">
        <is>
          <t>Digital infrastructure raw</t>
        </is>
      </c>
      <c r="G1960" t="inlineStr">
        <is>
          <t>viability</t>
        </is>
      </c>
      <c r="H1960" t="inlineStr">
        <is>
          <t>yes</t>
        </is>
      </c>
      <c r="I1960" t="inlineStr">
        <is>
          <t>23.16</t>
        </is>
      </c>
      <c r="J1960" t="inlineStr">
        <is>
          <t>world_bank</t>
        </is>
      </c>
      <c r="K1960" t="inlineStr">
        <is>
          <t>https://api.worldbank.org/v2/country/PRI/indicator/IT.NET.BBND.P2?format=json&amp;mrv=10</t>
        </is>
      </c>
      <c r="L1960" t="inlineStr">
        <is>
          <t>World Bank WDI: Fixed broadband subscriptions (per 100 people)</t>
        </is>
      </c>
      <c r="M1960" t="inlineStr">
        <is>
          <t>2023-12-31</t>
        </is>
      </c>
      <c r="N1960" t="inlineStr">
        <is>
          <t>auto_ingest=world_bank_proxy; indicator=IT.NET.BBND.P2; year=2023; country_proxy=Puerto Rico</t>
        </is>
      </c>
    </row>
    <row r="1961">
      <c r="A1961" t="inlineStr">
        <is>
          <t>pr-san-juan</t>
        </is>
      </c>
      <c r="B1961" t="inlineStr">
        <is>
          <t>San Juan</t>
        </is>
      </c>
      <c r="C1961" t="inlineStr">
        <is>
          <t>Puerto Rico</t>
        </is>
      </c>
      <c r="D1961" t="inlineStr">
        <is>
          <t>North America</t>
        </is>
      </c>
      <c r="E1961" t="inlineStr">
        <is>
          <t>climate_sunlight_livability_raw</t>
        </is>
      </c>
      <c r="F1961" t="inlineStr">
        <is>
          <t>Climate and sunlight livability raw</t>
        </is>
      </c>
      <c r="G1961" t="inlineStr">
        <is>
          <t>viability</t>
        </is>
      </c>
      <c r="H1961" t="inlineStr">
        <is>
          <t>yes</t>
        </is>
      </c>
      <c r="I1961" t="inlineStr"/>
      <c r="J1961" t="inlineStr"/>
      <c r="K1961" t="inlineStr"/>
      <c r="L1961" t="inlineStr"/>
      <c r="M1961" t="inlineStr"/>
      <c r="N1961" t="inlineStr"/>
    </row>
    <row r="1962">
      <c r="A1962" t="inlineStr">
        <is>
          <t>pr-san-juan</t>
        </is>
      </c>
      <c r="B1962" t="inlineStr">
        <is>
          <t>San Juan</t>
        </is>
      </c>
      <c r="C1962" t="inlineStr">
        <is>
          <t>Puerto Rico</t>
        </is>
      </c>
      <c r="D1962" t="inlineStr">
        <is>
          <t>North America</t>
        </is>
      </c>
      <c r="E1962" t="inlineStr">
        <is>
          <t>healthcare_quality_raw</t>
        </is>
      </c>
      <c r="F1962" t="inlineStr">
        <is>
          <t>Healthcare quality raw</t>
        </is>
      </c>
      <c r="G1962" t="inlineStr">
        <is>
          <t>capability</t>
        </is>
      </c>
      <c r="H1962" t="inlineStr">
        <is>
          <t>yes</t>
        </is>
      </c>
      <c r="I1962" t="inlineStr"/>
      <c r="J1962" t="inlineStr"/>
      <c r="K1962" t="inlineStr"/>
      <c r="L1962" t="inlineStr"/>
      <c r="M1962" t="inlineStr"/>
      <c r="N1962" t="inlineStr"/>
    </row>
    <row r="1963">
      <c r="A1963" t="inlineStr">
        <is>
          <t>pr-san-juan</t>
        </is>
      </c>
      <c r="B1963" t="inlineStr">
        <is>
          <t>San Juan</t>
        </is>
      </c>
      <c r="C1963" t="inlineStr">
        <is>
          <t>Puerto Rico</t>
        </is>
      </c>
      <c r="D1963" t="inlineStr">
        <is>
          <t>North America</t>
        </is>
      </c>
      <c r="E1963" t="inlineStr">
        <is>
          <t>education_quality_raw</t>
        </is>
      </c>
      <c r="F1963" t="inlineStr">
        <is>
          <t>Education quality raw</t>
        </is>
      </c>
      <c r="G1963" t="inlineStr">
        <is>
          <t>capability</t>
        </is>
      </c>
      <c r="H1963" t="inlineStr">
        <is>
          <t>yes</t>
        </is>
      </c>
      <c r="I1963" t="inlineStr">
        <is>
          <t>77.93</t>
        </is>
      </c>
      <c r="J1963" t="inlineStr">
        <is>
          <t>world_bank</t>
        </is>
      </c>
      <c r="K1963" t="inlineStr">
        <is>
          <t>https://api.worldbank.org/v2/country/PRI/indicator/SE.TER.ENRR?format=json&amp;mrv=10</t>
        </is>
      </c>
      <c r="L1963" t="inlineStr">
        <is>
          <t>World Bank WDI: School enrollment, tertiary (% gross)</t>
        </is>
      </c>
      <c r="M1963" t="inlineStr">
        <is>
          <t>2023-12-31</t>
        </is>
      </c>
      <c r="N1963" t="inlineStr">
        <is>
          <t>auto_ingest=world_bank_proxy; indicator=SE.TER.ENRR; year=2023; country_proxy=Puerto Rico</t>
        </is>
      </c>
    </row>
    <row r="1964">
      <c r="A1964" t="inlineStr">
        <is>
          <t>pr-san-juan</t>
        </is>
      </c>
      <c r="B1964" t="inlineStr">
        <is>
          <t>San Juan</t>
        </is>
      </c>
      <c r="C1964" t="inlineStr">
        <is>
          <t>Puerto Rico</t>
        </is>
      </c>
      <c r="D1964" t="inlineStr">
        <is>
          <t>North America</t>
        </is>
      </c>
      <c r="E1964" t="inlineStr">
        <is>
          <t>equal_opportunity_raw</t>
        </is>
      </c>
      <c r="F1964" t="inlineStr">
        <is>
          <t>Equal opportunity raw</t>
        </is>
      </c>
      <c r="G1964" t="inlineStr">
        <is>
          <t>capability</t>
        </is>
      </c>
      <c r="H1964" t="inlineStr">
        <is>
          <t>yes</t>
        </is>
      </c>
      <c r="I1964" t="inlineStr"/>
      <c r="J1964" t="inlineStr"/>
      <c r="K1964" t="inlineStr"/>
      <c r="L1964" t="inlineStr"/>
      <c r="M1964" t="inlineStr"/>
      <c r="N1964" t="inlineStr"/>
    </row>
    <row r="1965">
      <c r="A1965" t="inlineStr">
        <is>
          <t>pr-san-juan</t>
        </is>
      </c>
      <c r="B1965" t="inlineStr">
        <is>
          <t>San Juan</t>
        </is>
      </c>
      <c r="C1965" t="inlineStr">
        <is>
          <t>Puerto Rico</t>
        </is>
      </c>
      <c r="D1965" t="inlineStr">
        <is>
          <t>North America</t>
        </is>
      </c>
      <c r="E1965" t="inlineStr">
        <is>
          <t>hospitality_belonging_raw</t>
        </is>
      </c>
      <c r="F1965" t="inlineStr">
        <is>
          <t>Hospitality and belonging raw</t>
        </is>
      </c>
      <c r="G1965" t="inlineStr">
        <is>
          <t>community</t>
        </is>
      </c>
      <c r="H1965" t="inlineStr">
        <is>
          <t>yes</t>
        </is>
      </c>
      <c r="I1965" t="inlineStr">
        <is>
          <t>51.72</t>
        </is>
      </c>
      <c r="J1965" t="inlineStr">
        <is>
          <t>world_bank</t>
        </is>
      </c>
      <c r="K1965" t="inlineStr">
        <is>
          <t>https://api.worldbank.org/v2/country/PRI/indicator/SM.POP.NETM?format=json&amp;mrv=10</t>
        </is>
      </c>
      <c r="L1965" t="inlineStr">
        <is>
          <t>World Bank WDI: Net migration (proxy for hospitality/belonging — positive = welcoming)</t>
        </is>
      </c>
      <c r="M1965" t="inlineStr">
        <is>
          <t>2025-12-31</t>
        </is>
      </c>
      <c r="N1965" t="inlineStr">
        <is>
          <t>auto_ingest=world_bank_proxy; proxy=net_migration_hospitality; indicator=SM.POP.NETM; year=2025; country_proxy=Puerto Rico</t>
        </is>
      </c>
    </row>
    <row r="1966">
      <c r="A1966" t="inlineStr">
        <is>
          <t>pr-san-juan</t>
        </is>
      </c>
      <c r="B1966" t="inlineStr">
        <is>
          <t>San Juan</t>
        </is>
      </c>
      <c r="C1966" t="inlineStr">
        <is>
          <t>Puerto Rico</t>
        </is>
      </c>
      <c r="D1966" t="inlineStr">
        <is>
          <t>North America</t>
        </is>
      </c>
      <c r="E1966" t="inlineStr">
        <is>
          <t>tolerance_pluralism_raw</t>
        </is>
      </c>
      <c r="F1966" t="inlineStr">
        <is>
          <t>Tolerance and pluralism raw</t>
        </is>
      </c>
      <c r="G1966" t="inlineStr">
        <is>
          <t>community</t>
        </is>
      </c>
      <c r="H1966" t="inlineStr">
        <is>
          <t>yes</t>
        </is>
      </c>
      <c r="I1966" t="inlineStr"/>
      <c r="J1966" t="inlineStr"/>
      <c r="K1966" t="inlineStr"/>
      <c r="L1966" t="inlineStr"/>
      <c r="M1966" t="inlineStr"/>
      <c r="N1966" t="inlineStr"/>
    </row>
    <row r="1967">
      <c r="A1967" t="inlineStr">
        <is>
          <t>pr-san-juan</t>
        </is>
      </c>
      <c r="B1967" t="inlineStr">
        <is>
          <t>San Juan</t>
        </is>
      </c>
      <c r="C1967" t="inlineStr">
        <is>
          <t>Puerto Rico</t>
        </is>
      </c>
      <c r="D1967" t="inlineStr">
        <is>
          <t>North America</t>
        </is>
      </c>
      <c r="E1967" t="inlineStr">
        <is>
          <t>cultural_public_life_raw</t>
        </is>
      </c>
      <c r="F1967" t="inlineStr">
        <is>
          <t>Cultural public life raw</t>
        </is>
      </c>
      <c r="G1967" t="inlineStr">
        <is>
          <t>community</t>
        </is>
      </c>
      <c r="H1967" t="inlineStr">
        <is>
          <t>yes</t>
        </is>
      </c>
      <c r="I1967" t="inlineStr">
        <is>
          <t>1211.88</t>
        </is>
      </c>
      <c r="J1967" t="inlineStr">
        <is>
          <t>world_bank</t>
        </is>
      </c>
      <c r="K1967" t="inlineStr">
        <is>
          <t>https://api.worldbank.org/v2/country/PRI/indicator/ST.INT.ARVL?format=json&amp;mrv=10</t>
        </is>
      </c>
      <c r="L1967" t="inlineStr">
        <is>
          <t>World Bank WDI: International tourism arrivals per 1 000 population</t>
        </is>
      </c>
      <c r="M1967" t="inlineStr">
        <is>
          <t>2020-12-31</t>
        </is>
      </c>
      <c r="N1967" t="inlineStr">
        <is>
          <t>auto_ingest=cultural_life_proxy; indicator=ST.INT.ARVL; norm=per_1000_pop; year=2020; country_proxy=Puerto Rico</t>
        </is>
      </c>
    </row>
    <row r="1968">
      <c r="A1968" t="inlineStr">
        <is>
          <t>pr-san-juan</t>
        </is>
      </c>
      <c r="B1968" t="inlineStr">
        <is>
          <t>San Juan</t>
        </is>
      </c>
      <c r="C1968" t="inlineStr">
        <is>
          <t>Puerto Rico</t>
        </is>
      </c>
      <c r="D1968" t="inlineStr">
        <is>
          <t>North America</t>
        </is>
      </c>
      <c r="E1968" t="inlineStr">
        <is>
          <t>birth_rate_optimism_raw</t>
        </is>
      </c>
      <c r="F1968" t="inlineStr">
        <is>
          <t>Birth rate and societal optimism raw</t>
        </is>
      </c>
      <c r="G1968" t="inlineStr">
        <is>
          <t>community</t>
        </is>
      </c>
      <c r="H1968" t="inlineStr">
        <is>
          <t>yes</t>
        </is>
      </c>
      <c r="I1968" t="inlineStr"/>
      <c r="J1968" t="inlineStr"/>
      <c r="K1968" t="inlineStr"/>
      <c r="L1968" t="inlineStr"/>
      <c r="M1968" t="inlineStr"/>
      <c r="N1968" t="inlineStr"/>
    </row>
    <row r="1969">
      <c r="A1969" t="inlineStr">
        <is>
          <t>pr-san-juan</t>
        </is>
      </c>
      <c r="B1969" t="inlineStr">
        <is>
          <t>San Juan</t>
        </is>
      </c>
      <c r="C1969" t="inlineStr">
        <is>
          <t>Puerto Rico</t>
        </is>
      </c>
      <c r="D1969" t="inlineStr">
        <is>
          <t>North America</t>
        </is>
      </c>
      <c r="E1969" t="inlineStr">
        <is>
          <t>entrepreneurial_dynamism_raw</t>
        </is>
      </c>
      <c r="F1969" t="inlineStr">
        <is>
          <t>Entrepreneurial dynamism raw</t>
        </is>
      </c>
      <c r="G1969" t="inlineStr">
        <is>
          <t>creative</t>
        </is>
      </c>
      <c r="H1969" t="inlineStr">
        <is>
          <t>yes</t>
        </is>
      </c>
      <c r="I1969" t="inlineStr">
        <is>
          <t>5.31</t>
        </is>
      </c>
      <c r="J1969" t="inlineStr">
        <is>
          <t>world_bank</t>
        </is>
      </c>
      <c r="K1969" t="inlineStr">
        <is>
          <t>https://api.worldbank.org/v2/country/PRI/indicator/IC.BUS.NDNS.ZS?format=json&amp;mrv=10</t>
        </is>
      </c>
      <c r="L1969" t="inlineStr">
        <is>
          <t>World Bank WDI: New business density (new registrations per 1,000 people ages 15-64)</t>
        </is>
      </c>
      <c r="M1969" t="inlineStr">
        <is>
          <t>2020-12-31</t>
        </is>
      </c>
      <c r="N1969" t="inlineStr">
        <is>
          <t>auto_ingest=world_bank_creative_extended; indicator=IC.BUS.NDNS.ZS; year=2020; country_proxy=Puerto Rico</t>
        </is>
      </c>
    </row>
    <row r="1970">
      <c r="A1970" t="inlineStr">
        <is>
          <t>pr-san-juan</t>
        </is>
      </c>
      <c r="B1970" t="inlineStr">
        <is>
          <t>San Juan</t>
        </is>
      </c>
      <c r="C1970" t="inlineStr">
        <is>
          <t>Puerto Rico</t>
        </is>
      </c>
      <c r="D1970" t="inlineStr">
        <is>
          <t>North America</t>
        </is>
      </c>
      <c r="E1970" t="inlineStr">
        <is>
          <t>innovation_research_intensity_raw</t>
        </is>
      </c>
      <c r="F1970" t="inlineStr">
        <is>
          <t>Innovation and research raw</t>
        </is>
      </c>
      <c r="G1970" t="inlineStr">
        <is>
          <t>creative</t>
        </is>
      </c>
      <c r="H1970" t="inlineStr">
        <is>
          <t>yes</t>
        </is>
      </c>
      <c r="I1970" t="inlineStr"/>
      <c r="J1970" t="inlineStr"/>
      <c r="K1970" t="inlineStr"/>
      <c r="L1970" t="inlineStr"/>
      <c r="M1970" t="inlineStr"/>
      <c r="N1970" t="inlineStr"/>
    </row>
    <row r="1971">
      <c r="A1971" t="inlineStr">
        <is>
          <t>pr-san-juan</t>
        </is>
      </c>
      <c r="B1971" t="inlineStr">
        <is>
          <t>San Juan</t>
        </is>
      </c>
      <c r="C1971" t="inlineStr">
        <is>
          <t>Puerto Rico</t>
        </is>
      </c>
      <c r="D1971" t="inlineStr">
        <is>
          <t>North America</t>
        </is>
      </c>
      <c r="E1971" t="inlineStr">
        <is>
          <t>investment_signal_raw</t>
        </is>
      </c>
      <c r="F1971" t="inlineStr">
        <is>
          <t>Investment signal raw</t>
        </is>
      </c>
      <c r="G1971" t="inlineStr">
        <is>
          <t>creative</t>
        </is>
      </c>
      <c r="H1971" t="inlineStr">
        <is>
          <t>yes</t>
        </is>
      </c>
      <c r="I1971" t="inlineStr"/>
      <c r="J1971" t="inlineStr"/>
      <c r="K1971" t="inlineStr"/>
      <c r="L1971" t="inlineStr"/>
      <c r="M1971" t="inlineStr"/>
      <c r="N1971" t="inlineStr"/>
    </row>
    <row r="1972">
      <c r="A1972" t="inlineStr">
        <is>
          <t>pr-san-juan</t>
        </is>
      </c>
      <c r="B1972" t="inlineStr">
        <is>
          <t>San Juan</t>
        </is>
      </c>
      <c r="C1972" t="inlineStr">
        <is>
          <t>Puerto Rico</t>
        </is>
      </c>
      <c r="D1972" t="inlineStr">
        <is>
          <t>North America</t>
        </is>
      </c>
      <c r="E1972" t="inlineStr">
        <is>
          <t>administrative_investment_friction_raw</t>
        </is>
      </c>
      <c r="F1972" t="inlineStr">
        <is>
          <t>Administrative investment friction raw</t>
        </is>
      </c>
      <c r="G1972" t="inlineStr">
        <is>
          <t>creative</t>
        </is>
      </c>
      <c r="H1972" t="inlineStr">
        <is>
          <t>yes</t>
        </is>
      </c>
      <c r="I1972" t="inlineStr">
        <is>
          <t>1.86</t>
        </is>
      </c>
      <c r="J1972" t="inlineStr">
        <is>
          <t>world_bank</t>
        </is>
      </c>
      <c r="K1972" t="inlineStr">
        <is>
          <t>https://api.worldbank.org/v2/country/PRI/indicator/RQ.EST?format=json&amp;mrv=10</t>
        </is>
      </c>
      <c r="L1972" t="inlineStr">
        <is>
          <t>World Bank WGI: Regulatory Quality (inverted as friction proxy)</t>
        </is>
      </c>
      <c r="M1972" t="inlineStr">
        <is>
          <t>2023-12-31</t>
        </is>
      </c>
      <c r="N1972" t="inlineStr">
        <is>
          <t>auto_ingest=world_bank_business_friction; indicator=RQ.EST; raw_rq=0.637854039669037; friction=1.86; year=2023; country_proxy=Puerto Rico</t>
        </is>
      </c>
    </row>
    <row r="1973">
      <c r="A1973" t="inlineStr">
        <is>
          <t>pr-san-juan</t>
        </is>
      </c>
      <c r="B1973" t="inlineStr">
        <is>
          <t>San Juan</t>
        </is>
      </c>
      <c r="C1973" t="inlineStr">
        <is>
          <t>Puerto Rico</t>
        </is>
      </c>
      <c r="D1973" t="inlineStr">
        <is>
          <t>North America</t>
        </is>
      </c>
      <c r="E1973" t="inlineStr">
        <is>
          <t>visitor_flow_context_raw</t>
        </is>
      </c>
      <c r="F1973" t="inlineStr">
        <is>
          <t>Visitor flow context raw</t>
        </is>
      </c>
      <c r="G1973" t="inlineStr">
        <is>
          <t>creative</t>
        </is>
      </c>
      <c r="H1973" t="inlineStr">
        <is>
          <t>no</t>
        </is>
      </c>
      <c r="I1973" t="inlineStr"/>
      <c r="J1973" t="inlineStr"/>
      <c r="K1973" t="inlineStr"/>
      <c r="L1973" t="inlineStr"/>
      <c r="M1973" t="inlineStr"/>
      <c r="N1973" t="inlineStr"/>
    </row>
    <row r="1974">
      <c r="A1974" t="inlineStr">
        <is>
          <t>mx-merida</t>
        </is>
      </c>
      <c r="B1974" t="inlineStr">
        <is>
          <t>Merida</t>
        </is>
      </c>
      <c r="C1974" t="inlineStr">
        <is>
          <t>Mexico</t>
        </is>
      </c>
      <c r="D1974" t="inlineStr">
        <is>
          <t>North America</t>
        </is>
      </c>
      <c r="E1974" t="inlineStr">
        <is>
          <t>gross_income</t>
        </is>
      </c>
      <c r="F1974" t="inlineStr">
        <is>
          <t>Gross income</t>
        </is>
      </c>
      <c r="G1974" t="inlineStr">
        <is>
          <t>pressure</t>
        </is>
      </c>
      <c r="H1974" t="inlineStr">
        <is>
          <t>yes</t>
        </is>
      </c>
      <c r="I1974" t="inlineStr">
        <is>
          <t>2121.67</t>
        </is>
      </c>
      <c r="J1974" t="inlineStr">
        <is>
          <t>world_bank_col_estimate</t>
        </is>
      </c>
      <c r="K1974" t="inlineStr">
        <is>
          <t>https://api.worldbank.org/v2/country/MEX/indicator/NY.GNP.PCAP.PP.CD?format=json&amp;mrv=10</t>
        </is>
      </c>
      <c r="L1974" t="inlineStr">
        <is>
          <t>World Bank WDI: GNI per capita PPP (monthly USD)</t>
        </is>
      </c>
      <c r="M1974" t="inlineStr">
        <is>
          <t>2024-12-31</t>
        </is>
      </c>
      <c r="N1974" t="inlineStr">
        <is>
          <t>auto_ingest=world_bank_col_estimate; gni_annual=25460.0; year=2024; country_proxy=Mexico; cohort=North America</t>
        </is>
      </c>
    </row>
    <row r="1975">
      <c r="A1975" t="inlineStr">
        <is>
          <t>mx-merida</t>
        </is>
      </c>
      <c r="B1975" t="inlineStr">
        <is>
          <t>Merida</t>
        </is>
      </c>
      <c r="C1975" t="inlineStr">
        <is>
          <t>Mexico</t>
        </is>
      </c>
      <c r="D1975" t="inlineStr">
        <is>
          <t>North America</t>
        </is>
      </c>
      <c r="E1975" t="inlineStr">
        <is>
          <t>di_ppp_raw</t>
        </is>
      </c>
      <c r="F1975" t="inlineStr">
        <is>
          <t>Disposable income PPP (Raw)</t>
        </is>
      </c>
      <c r="G1975" t="inlineStr">
        <is>
          <t>pressure</t>
        </is>
      </c>
      <c r="H1975" t="inlineStr">
        <is>
          <t>yes</t>
        </is>
      </c>
      <c r="I1975" t="inlineStr"/>
      <c r="J1975" t="inlineStr"/>
      <c r="K1975" t="inlineStr"/>
      <c r="L1975" t="inlineStr"/>
      <c r="M1975" t="inlineStr"/>
      <c r="N1975" t="inlineStr"/>
    </row>
    <row r="1976">
      <c r="A1976" t="inlineStr">
        <is>
          <t>mx-merida</t>
        </is>
      </c>
      <c r="B1976" t="inlineStr">
        <is>
          <t>Merida</t>
        </is>
      </c>
      <c r="C1976" t="inlineStr">
        <is>
          <t>Mexico</t>
        </is>
      </c>
      <c r="D1976" t="inlineStr">
        <is>
          <t>North America</t>
        </is>
      </c>
      <c r="E1976" t="inlineStr">
        <is>
          <t>rent</t>
        </is>
      </c>
      <c r="F1976" t="inlineStr">
        <is>
          <t>Rent</t>
        </is>
      </c>
      <c r="G1976" t="inlineStr">
        <is>
          <t>pressure</t>
        </is>
      </c>
      <c r="H1976" t="inlineStr">
        <is>
          <t>yes</t>
        </is>
      </c>
      <c r="I1976" t="inlineStr">
        <is>
          <t>556.94</t>
        </is>
      </c>
      <c r="J1976" t="inlineStr">
        <is>
          <t>world_bank_col_estimate</t>
        </is>
      </c>
      <c r="K1976" t="inlineStr">
        <is>
          <t>https://api.worldbank.org/v2/country/MEX/indicator/NY.GNP.PCAP.PP.CD?format=json&amp;mrv=10</t>
        </is>
      </c>
      <c r="L1976" t="inlineStr">
        <is>
          <t>World Bank GNI + regional expenditure ratio estimate</t>
        </is>
      </c>
      <c r="M1976" t="inlineStr">
        <is>
          <t>2024-12-31</t>
        </is>
      </c>
      <c r="N1976" t="inlineStr">
        <is>
          <t>auto_ingest=world_bank_col_estimate; gni_annual=25460.0; year=2024; country_proxy=Mexico; cohort=North America; city_cost_mult=0.75</t>
        </is>
      </c>
    </row>
    <row r="1977">
      <c r="A1977" t="inlineStr">
        <is>
          <t>mx-merida</t>
        </is>
      </c>
      <c r="B1977" t="inlineStr">
        <is>
          <t>Merida</t>
        </is>
      </c>
      <c r="C1977" t="inlineStr">
        <is>
          <t>Mexico</t>
        </is>
      </c>
      <c r="D1977" t="inlineStr">
        <is>
          <t>North America</t>
        </is>
      </c>
      <c r="E1977" t="inlineStr">
        <is>
          <t>utilities</t>
        </is>
      </c>
      <c r="F1977" t="inlineStr">
        <is>
          <t>Utilities</t>
        </is>
      </c>
      <c r="G1977" t="inlineStr">
        <is>
          <t>pressure</t>
        </is>
      </c>
      <c r="H1977" t="inlineStr">
        <is>
          <t>yes</t>
        </is>
      </c>
      <c r="I1977" t="inlineStr">
        <is>
          <t>111.39</t>
        </is>
      </c>
      <c r="J1977" t="inlineStr">
        <is>
          <t>world_bank_col_estimate</t>
        </is>
      </c>
      <c r="K1977" t="inlineStr">
        <is>
          <t>https://api.worldbank.org/v2/country/MEX/indicator/NY.GNP.PCAP.PP.CD?format=json&amp;mrv=10</t>
        </is>
      </c>
      <c r="L1977" t="inlineStr">
        <is>
          <t>World Bank GNI + regional expenditure ratio estimate</t>
        </is>
      </c>
      <c r="M1977" t="inlineStr">
        <is>
          <t>2024-12-31</t>
        </is>
      </c>
      <c r="N1977" t="inlineStr">
        <is>
          <t>auto_ingest=world_bank_col_estimate; gni_annual=25460.0; year=2024; country_proxy=Mexico; cohort=North America; city_cost_mult=0.75</t>
        </is>
      </c>
    </row>
    <row r="1978">
      <c r="A1978" t="inlineStr">
        <is>
          <t>mx-merida</t>
        </is>
      </c>
      <c r="B1978" t="inlineStr">
        <is>
          <t>Merida</t>
        </is>
      </c>
      <c r="C1978" t="inlineStr">
        <is>
          <t>Mexico</t>
        </is>
      </c>
      <c r="D1978" t="inlineStr">
        <is>
          <t>North America</t>
        </is>
      </c>
      <c r="E1978" t="inlineStr">
        <is>
          <t>transit_cost</t>
        </is>
      </c>
      <c r="F1978" t="inlineStr">
        <is>
          <t>Transit cost</t>
        </is>
      </c>
      <c r="G1978" t="inlineStr">
        <is>
          <t>pressure</t>
        </is>
      </c>
      <c r="H1978" t="inlineStr">
        <is>
          <t>yes</t>
        </is>
      </c>
      <c r="I1978" t="inlineStr">
        <is>
          <t>79.56</t>
        </is>
      </c>
      <c r="J1978" t="inlineStr">
        <is>
          <t>world_bank_col_estimate</t>
        </is>
      </c>
      <c r="K1978" t="inlineStr">
        <is>
          <t>https://api.worldbank.org/v2/country/MEX/indicator/NY.GNP.PCAP.PP.CD?format=json&amp;mrv=10</t>
        </is>
      </c>
      <c r="L1978" t="inlineStr">
        <is>
          <t>World Bank GNI + regional expenditure ratio estimate</t>
        </is>
      </c>
      <c r="M1978" t="inlineStr">
        <is>
          <t>2024-12-31</t>
        </is>
      </c>
      <c r="N1978" t="inlineStr">
        <is>
          <t>auto_ingest=world_bank_col_estimate; gni_annual=25460.0; year=2024; country_proxy=Mexico; cohort=North America; city_cost_mult=0.75</t>
        </is>
      </c>
    </row>
    <row r="1979">
      <c r="A1979" t="inlineStr">
        <is>
          <t>mx-merida</t>
        </is>
      </c>
      <c r="B1979" t="inlineStr">
        <is>
          <t>Merida</t>
        </is>
      </c>
      <c r="C1979" t="inlineStr">
        <is>
          <t>Mexico</t>
        </is>
      </c>
      <c r="D1979" t="inlineStr">
        <is>
          <t>North America</t>
        </is>
      </c>
      <c r="E1979" t="inlineStr">
        <is>
          <t>internet_cost</t>
        </is>
      </c>
      <c r="F1979" t="inlineStr">
        <is>
          <t>Internet cost</t>
        </is>
      </c>
      <c r="G1979" t="inlineStr">
        <is>
          <t>pressure</t>
        </is>
      </c>
      <c r="H1979" t="inlineStr">
        <is>
          <t>yes</t>
        </is>
      </c>
      <c r="I1979" t="inlineStr">
        <is>
          <t>31.83</t>
        </is>
      </c>
      <c r="J1979" t="inlineStr">
        <is>
          <t>world_bank_col_estimate</t>
        </is>
      </c>
      <c r="K1979" t="inlineStr">
        <is>
          <t>https://api.worldbank.org/v2/country/MEX/indicator/NY.GNP.PCAP.PP.CD?format=json&amp;mrv=10</t>
        </is>
      </c>
      <c r="L1979" t="inlineStr">
        <is>
          <t>World Bank GNI + regional expenditure ratio estimate</t>
        </is>
      </c>
      <c r="M1979" t="inlineStr">
        <is>
          <t>2024-12-31</t>
        </is>
      </c>
      <c r="N1979" t="inlineStr">
        <is>
          <t>auto_ingest=world_bank_col_estimate; gni_annual=25460.0; year=2024; country_proxy=Mexico; cohort=North America; city_cost_mult=0.75</t>
        </is>
      </c>
    </row>
    <row r="1980">
      <c r="A1980" t="inlineStr">
        <is>
          <t>mx-merida</t>
        </is>
      </c>
      <c r="B1980" t="inlineStr">
        <is>
          <t>Merida</t>
        </is>
      </c>
      <c r="C1980" t="inlineStr">
        <is>
          <t>Mexico</t>
        </is>
      </c>
      <c r="D1980" t="inlineStr">
        <is>
          <t>North America</t>
        </is>
      </c>
      <c r="E1980" t="inlineStr">
        <is>
          <t>food_cost</t>
        </is>
      </c>
      <c r="F1980" t="inlineStr">
        <is>
          <t>Food cost</t>
        </is>
      </c>
      <c r="G1980" t="inlineStr">
        <is>
          <t>pressure</t>
        </is>
      </c>
      <c r="H1980" t="inlineStr">
        <is>
          <t>yes</t>
        </is>
      </c>
      <c r="I1980" t="inlineStr">
        <is>
          <t>238.69</t>
        </is>
      </c>
      <c r="J1980" t="inlineStr">
        <is>
          <t>world_bank_col_estimate</t>
        </is>
      </c>
      <c r="K1980" t="inlineStr">
        <is>
          <t>https://api.worldbank.org/v2/country/MEX/indicator/NY.GNP.PCAP.PP.CD?format=json&amp;mrv=10</t>
        </is>
      </c>
      <c r="L1980" t="inlineStr">
        <is>
          <t>World Bank GNI + regional expenditure ratio estimate</t>
        </is>
      </c>
      <c r="M1980" t="inlineStr">
        <is>
          <t>2024-12-31</t>
        </is>
      </c>
      <c r="N1980" t="inlineStr">
        <is>
          <t>auto_ingest=world_bank_col_estimate; gni_annual=25460.0; year=2024; country_proxy=Mexico; cohort=North America; city_cost_mult=0.75</t>
        </is>
      </c>
    </row>
    <row r="1981">
      <c r="A1981" t="inlineStr">
        <is>
          <t>mx-merida</t>
        </is>
      </c>
      <c r="B1981" t="inlineStr">
        <is>
          <t>Merida</t>
        </is>
      </c>
      <c r="C1981" t="inlineStr">
        <is>
          <t>Mexico</t>
        </is>
      </c>
      <c r="D1981" t="inlineStr">
        <is>
          <t>North America</t>
        </is>
      </c>
      <c r="E1981" t="inlineStr">
        <is>
          <t>housing_burden_raw</t>
        </is>
      </c>
      <c r="F1981" t="inlineStr">
        <is>
          <t>Housing burden raw</t>
        </is>
      </c>
      <c r="G1981" t="inlineStr">
        <is>
          <t>pressure</t>
        </is>
      </c>
      <c r="H1981" t="inlineStr">
        <is>
          <t>yes</t>
        </is>
      </c>
      <c r="I1981" t="inlineStr">
        <is>
          <t>26.2501</t>
        </is>
      </c>
      <c r="J1981" t="inlineStr">
        <is>
          <t>derived</t>
        </is>
      </c>
      <c r="K1981" t="inlineStr">
        <is>
          <t>https://data.worldbank.org/indicator/NY.GNP.PCAP.PP.CD</t>
        </is>
      </c>
      <c r="L1981" t="inlineStr">
        <is>
          <t>Computed from city_inputs + country_context</t>
        </is>
      </c>
      <c r="M1981" t="inlineStr">
        <is>
          <t>2024-01-01</t>
        </is>
      </c>
      <c r="N1981" t="inlineStr">
        <is>
          <t>derived=rent/gross_income*100</t>
        </is>
      </c>
    </row>
    <row r="1982">
      <c r="A1982" t="inlineStr">
        <is>
          <t>mx-merida</t>
        </is>
      </c>
      <c r="B1982" t="inlineStr">
        <is>
          <t>Merida</t>
        </is>
      </c>
      <c r="C1982" t="inlineStr">
        <is>
          <t>Mexico</t>
        </is>
      </c>
      <c r="D1982" t="inlineStr">
        <is>
          <t>North America</t>
        </is>
      </c>
      <c r="E1982" t="inlineStr">
        <is>
          <t>household_debt_burden_raw</t>
        </is>
      </c>
      <c r="F1982" t="inlineStr">
        <is>
          <t>Household debt burden raw</t>
        </is>
      </c>
      <c r="G1982" t="inlineStr">
        <is>
          <t>pressure</t>
        </is>
      </c>
      <c r="H1982" t="inlineStr">
        <is>
          <t>yes</t>
        </is>
      </c>
      <c r="I1982" t="inlineStr">
        <is>
          <t>26.5628</t>
        </is>
      </c>
      <c r="J1982" t="inlineStr">
        <is>
          <t>derived</t>
        </is>
      </c>
      <c r="K1982" t="inlineStr">
        <is>
          <t>https://data.worldbank.org/indicator/NY.GNP.PCAP.PP.CD</t>
        </is>
      </c>
      <c r="L1982" t="inlineStr">
        <is>
          <t>Computed from city_inputs + country_context</t>
        </is>
      </c>
      <c r="M1982" t="inlineStr">
        <is>
          <t>2024-01-01</t>
        </is>
      </c>
      <c r="N1982" t="inlineStr">
        <is>
          <t>derived=country_context.household_debt_proxy; country=Mexico</t>
        </is>
      </c>
    </row>
    <row r="1983">
      <c r="A1983" t="inlineStr">
        <is>
          <t>mx-merida</t>
        </is>
      </c>
      <c r="B1983" t="inlineStr">
        <is>
          <t>Merida</t>
        </is>
      </c>
      <c r="C1983" t="inlineStr">
        <is>
          <t>Mexico</t>
        </is>
      </c>
      <c r="D1983" t="inlineStr">
        <is>
          <t>North America</t>
        </is>
      </c>
      <c r="E1983" t="inlineStr">
        <is>
          <t>working_time_pressure_raw</t>
        </is>
      </c>
      <c r="F1983" t="inlineStr">
        <is>
          <t>Working time pressure raw</t>
        </is>
      </c>
      <c r="G1983" t="inlineStr">
        <is>
          <t>pressure</t>
        </is>
      </c>
      <c r="H1983" t="inlineStr">
        <is>
          <t>yes</t>
        </is>
      </c>
      <c r="I1983" t="inlineStr">
        <is>
          <t>42.19</t>
        </is>
      </c>
      <c r="J1983" t="inlineStr">
        <is>
          <t>ilo_ilostat</t>
        </is>
      </c>
      <c r="K1983" t="inlineStr">
        <is>
          <t>https://ilostat.ilo.org/data/indicator/?id=HOW_TEMP_SEX_ECO_NB_A&amp;ref_area=MEX</t>
        </is>
      </c>
      <c r="L1983" t="inlineStr">
        <is>
          <t>ILO ILOSTAT: Mean weekly hours actually worked per employed person</t>
        </is>
      </c>
      <c r="M1983" t="inlineStr">
        <is>
          <t>2024-12-31</t>
        </is>
      </c>
      <c r="N1983" t="inlineStr">
        <is>
          <t>auto_ingest=ilo_working_hours; indicator=HOW_TEMP_SEX_ECO_NB_A; year=2024; hours=42.19; country_proxy=Mexico</t>
        </is>
      </c>
    </row>
    <row r="1984">
      <c r="A1984" t="inlineStr">
        <is>
          <t>mx-merida</t>
        </is>
      </c>
      <c r="B1984" t="inlineStr">
        <is>
          <t>Merida</t>
        </is>
      </c>
      <c r="C1984" t="inlineStr">
        <is>
          <t>Mexico</t>
        </is>
      </c>
      <c r="D1984" t="inlineStr">
        <is>
          <t>North America</t>
        </is>
      </c>
      <c r="E1984" t="inlineStr">
        <is>
          <t>suicide_mental_strain_raw</t>
        </is>
      </c>
      <c r="F1984" t="inlineStr">
        <is>
          <t>Suicide or mental strain raw</t>
        </is>
      </c>
      <c r="G1984" t="inlineStr">
        <is>
          <t>pressure</t>
        </is>
      </c>
      <c r="H1984" t="inlineStr">
        <is>
          <t>yes</t>
        </is>
      </c>
      <c r="I1984" t="inlineStr">
        <is>
          <t>6.95</t>
        </is>
      </c>
      <c r="J1984" t="inlineStr">
        <is>
          <t>who_gho</t>
        </is>
      </c>
      <c r="K1984" t="inlineStr">
        <is>
          <t>https://www.who.int/data/gho/data/indicators/indicator-details/GHO/SDGSUICIDE</t>
        </is>
      </c>
      <c r="L1984" t="inlineStr">
        <is>
          <t>WHO GHO: Age-standardized suicide rate (per 100,000 population)</t>
        </is>
      </c>
      <c r="M1984" t="inlineStr">
        <is>
          <t>2021-12-31</t>
        </is>
      </c>
      <c r="N1984" t="inlineStr">
        <is>
          <t>auto_ingest=who_gho; indicator=SDGSUICIDE; year=2021; country_proxy=Mexico</t>
        </is>
      </c>
    </row>
    <row r="1985">
      <c r="A1985" t="inlineStr">
        <is>
          <t>mx-merida</t>
        </is>
      </c>
      <c r="B1985" t="inlineStr">
        <is>
          <t>Merida</t>
        </is>
      </c>
      <c r="C1985" t="inlineStr">
        <is>
          <t>Mexico</t>
        </is>
      </c>
      <c r="D1985" t="inlineStr">
        <is>
          <t>North America</t>
        </is>
      </c>
      <c r="E1985" t="inlineStr">
        <is>
          <t>personal_safety_raw</t>
        </is>
      </c>
      <c r="F1985" t="inlineStr">
        <is>
          <t>Personal safety raw</t>
        </is>
      </c>
      <c r="G1985" t="inlineStr">
        <is>
          <t>viability</t>
        </is>
      </c>
      <c r="H1985" t="inlineStr">
        <is>
          <t>yes</t>
        </is>
      </c>
      <c r="I1985" t="inlineStr">
        <is>
          <t>24.86</t>
        </is>
      </c>
      <c r="J1985" t="inlineStr">
        <is>
          <t>world_bank</t>
        </is>
      </c>
      <c r="K1985" t="inlineStr">
        <is>
          <t>https://api.worldbank.org/v2/country/MEX/indicator/VC.IHR.PSRC.P5?format=json&amp;mrv=10</t>
        </is>
      </c>
      <c r="L1985" t="inlineStr">
        <is>
          <t>UNODC via World Bank WDI: Intentional homicides (per 100,000 people)</t>
        </is>
      </c>
      <c r="M1985" t="inlineStr">
        <is>
          <t>2023-12-31</t>
        </is>
      </c>
      <c r="N1985" t="inlineStr">
        <is>
          <t>auto_ingest=unodc_safety; indicator=VC.IHR.PSRC.P5; year=2023; country_proxy=Mexico</t>
        </is>
      </c>
    </row>
    <row r="1986">
      <c r="A1986" t="inlineStr">
        <is>
          <t>mx-merida</t>
        </is>
      </c>
      <c r="B1986" t="inlineStr">
        <is>
          <t>Merida</t>
        </is>
      </c>
      <c r="C1986" t="inlineStr">
        <is>
          <t>Mexico</t>
        </is>
      </c>
      <c r="D1986" t="inlineStr">
        <is>
          <t>North America</t>
        </is>
      </c>
      <c r="E1986" t="inlineStr">
        <is>
          <t>transit_access_commute_raw</t>
        </is>
      </c>
      <c r="F1986" t="inlineStr">
        <is>
          <t>Transit access and commute raw</t>
        </is>
      </c>
      <c r="G1986" t="inlineStr">
        <is>
          <t>viability</t>
        </is>
      </c>
      <c r="H1986" t="inlineStr">
        <is>
          <t>yes</t>
        </is>
      </c>
      <c r="I1986" t="inlineStr"/>
      <c r="J1986" t="inlineStr"/>
      <c r="K1986" t="inlineStr"/>
      <c r="L1986" t="inlineStr"/>
      <c r="M1986" t="inlineStr"/>
      <c r="N1986" t="inlineStr"/>
    </row>
    <row r="1987">
      <c r="A1987" t="inlineStr">
        <is>
          <t>mx-merida</t>
        </is>
      </c>
      <c r="B1987" t="inlineStr">
        <is>
          <t>Merida</t>
        </is>
      </c>
      <c r="C1987" t="inlineStr">
        <is>
          <t>Mexico</t>
        </is>
      </c>
      <c r="D1987" t="inlineStr">
        <is>
          <t>North America</t>
        </is>
      </c>
      <c r="E1987" t="inlineStr">
        <is>
          <t>clean_air_raw</t>
        </is>
      </c>
      <c r="F1987" t="inlineStr">
        <is>
          <t>Clean air raw</t>
        </is>
      </c>
      <c r="G1987" t="inlineStr">
        <is>
          <t>viability</t>
        </is>
      </c>
      <c r="H1987" t="inlineStr">
        <is>
          <t>yes</t>
        </is>
      </c>
      <c r="I1987" t="inlineStr"/>
      <c r="J1987" t="inlineStr"/>
      <c r="K1987" t="inlineStr"/>
      <c r="L1987" t="inlineStr"/>
      <c r="M1987" t="inlineStr"/>
      <c r="N1987" t="inlineStr"/>
    </row>
    <row r="1988">
      <c r="A1988" t="inlineStr">
        <is>
          <t>mx-merida</t>
        </is>
      </c>
      <c r="B1988" t="inlineStr">
        <is>
          <t>Merida</t>
        </is>
      </c>
      <c r="C1988" t="inlineStr">
        <is>
          <t>Mexico</t>
        </is>
      </c>
      <c r="D1988" t="inlineStr">
        <is>
          <t>North America</t>
        </is>
      </c>
      <c r="E1988" t="inlineStr">
        <is>
          <t>water_sanitation_utility_raw</t>
        </is>
      </c>
      <c r="F1988" t="inlineStr">
        <is>
          <t>Water, sanitation, and utility raw</t>
        </is>
      </c>
      <c r="G1988" t="inlineStr">
        <is>
          <t>viability</t>
        </is>
      </c>
      <c r="H1988" t="inlineStr">
        <is>
          <t>yes</t>
        </is>
      </c>
      <c r="I1988" t="inlineStr">
        <is>
          <t>42.97</t>
        </is>
      </c>
      <c r="J1988" t="inlineStr">
        <is>
          <t>world_bank</t>
        </is>
      </c>
      <c r="K1988" t="inlineStr">
        <is>
          <t>https://api.worldbank.org/v2/country/MEX/indicator/SH.H2O.SMDW.ZS?format=json&amp;mrv=10</t>
        </is>
      </c>
      <c r="L1988" t="inlineStr">
        <is>
          <t>World Bank WDI: People using safely managed drinking water services (% of population)</t>
        </is>
      </c>
      <c r="M1988" t="inlineStr">
        <is>
          <t>2024-12-31</t>
        </is>
      </c>
      <c r="N1988" t="inlineStr">
        <is>
          <t>auto_ingest=world_bank_proxy; indicator=SH.H2O.SMDW.ZS; year=2024; country_proxy=Mexico</t>
        </is>
      </c>
    </row>
    <row r="1989">
      <c r="A1989" t="inlineStr">
        <is>
          <t>mx-merida</t>
        </is>
      </c>
      <c r="B1989" t="inlineStr">
        <is>
          <t>Merida</t>
        </is>
      </c>
      <c r="C1989" t="inlineStr">
        <is>
          <t>Mexico</t>
        </is>
      </c>
      <c r="D1989" t="inlineStr">
        <is>
          <t>North America</t>
        </is>
      </c>
      <c r="E1989" t="inlineStr">
        <is>
          <t>digital_infrastructure_raw</t>
        </is>
      </c>
      <c r="F1989" t="inlineStr">
        <is>
          <t>Digital infrastructure raw</t>
        </is>
      </c>
      <c r="G1989" t="inlineStr">
        <is>
          <t>viability</t>
        </is>
      </c>
      <c r="H1989" t="inlineStr">
        <is>
          <t>yes</t>
        </is>
      </c>
      <c r="I1989" t="inlineStr">
        <is>
          <t>20.09</t>
        </is>
      </c>
      <c r="J1989" t="inlineStr">
        <is>
          <t>world_bank</t>
        </is>
      </c>
      <c r="K1989" t="inlineStr">
        <is>
          <t>https://api.worldbank.org/v2/country/MEX/indicator/IT.NET.BBND.P2?format=json&amp;mrv=10</t>
        </is>
      </c>
      <c r="L1989" t="inlineStr">
        <is>
          <t>World Bank WDI: Fixed broadband subscriptions (per 100 people)</t>
        </is>
      </c>
      <c r="M1989" t="inlineStr">
        <is>
          <t>2023-12-31</t>
        </is>
      </c>
      <c r="N1989" t="inlineStr">
        <is>
          <t>auto_ingest=world_bank_proxy; indicator=IT.NET.BBND.P2; year=2023; country_proxy=Mexico</t>
        </is>
      </c>
    </row>
    <row r="1990">
      <c r="A1990" t="inlineStr">
        <is>
          <t>mx-merida</t>
        </is>
      </c>
      <c r="B1990" t="inlineStr">
        <is>
          <t>Merida</t>
        </is>
      </c>
      <c r="C1990" t="inlineStr">
        <is>
          <t>Mexico</t>
        </is>
      </c>
      <c r="D1990" t="inlineStr">
        <is>
          <t>North America</t>
        </is>
      </c>
      <c r="E1990" t="inlineStr">
        <is>
          <t>climate_sunlight_livability_raw</t>
        </is>
      </c>
      <c r="F1990" t="inlineStr">
        <is>
          <t>Climate and sunlight livability raw</t>
        </is>
      </c>
      <c r="G1990" t="inlineStr">
        <is>
          <t>viability</t>
        </is>
      </c>
      <c r="H1990" t="inlineStr">
        <is>
          <t>yes</t>
        </is>
      </c>
      <c r="I1990" t="inlineStr"/>
      <c r="J1990" t="inlineStr"/>
      <c r="K1990" t="inlineStr"/>
      <c r="L1990" t="inlineStr"/>
      <c r="M1990" t="inlineStr"/>
      <c r="N1990" t="inlineStr"/>
    </row>
    <row r="1991">
      <c r="A1991" t="inlineStr">
        <is>
          <t>mx-merida</t>
        </is>
      </c>
      <c r="B1991" t="inlineStr">
        <is>
          <t>Merida</t>
        </is>
      </c>
      <c r="C1991" t="inlineStr">
        <is>
          <t>Mexico</t>
        </is>
      </c>
      <c r="D1991" t="inlineStr">
        <is>
          <t>North America</t>
        </is>
      </c>
      <c r="E1991" t="inlineStr">
        <is>
          <t>healthcare_quality_raw</t>
        </is>
      </c>
      <c r="F1991" t="inlineStr">
        <is>
          <t>Healthcare quality raw</t>
        </is>
      </c>
      <c r="G1991" t="inlineStr">
        <is>
          <t>capability</t>
        </is>
      </c>
      <c r="H1991" t="inlineStr">
        <is>
          <t>yes</t>
        </is>
      </c>
      <c r="I1991" t="inlineStr">
        <is>
          <t>79.0</t>
        </is>
      </c>
      <c r="J1991" t="inlineStr">
        <is>
          <t>who_gho</t>
        </is>
      </c>
      <c r="K1991" t="inlineStr">
        <is>
          <t>https://www.who.int/data/gho/data/indicators/indicator-details/GHO/UHC_INDEX_REPORTED</t>
        </is>
      </c>
      <c r="L1991" t="inlineStr">
        <is>
          <t>WHO GHO: UHC Service Coverage Index</t>
        </is>
      </c>
      <c r="M1991" t="inlineStr">
        <is>
          <t>2023-12-31</t>
        </is>
      </c>
      <c r="N1991" t="inlineStr">
        <is>
          <t>auto_ingest=who_gho; indicator=UHC_INDEX_REPORTED; year=2023; country_proxy=Mexico</t>
        </is>
      </c>
    </row>
    <row r="1992">
      <c r="A1992" t="inlineStr">
        <is>
          <t>mx-merida</t>
        </is>
      </c>
      <c r="B1992" t="inlineStr">
        <is>
          <t>Merida</t>
        </is>
      </c>
      <c r="C1992" t="inlineStr">
        <is>
          <t>Mexico</t>
        </is>
      </c>
      <c r="D1992" t="inlineStr">
        <is>
          <t>North America</t>
        </is>
      </c>
      <c r="E1992" t="inlineStr">
        <is>
          <t>education_quality_raw</t>
        </is>
      </c>
      <c r="F1992" t="inlineStr">
        <is>
          <t>Education quality raw</t>
        </is>
      </c>
      <c r="G1992" t="inlineStr">
        <is>
          <t>capability</t>
        </is>
      </c>
      <c r="H1992" t="inlineStr">
        <is>
          <t>yes</t>
        </is>
      </c>
      <c r="I1992" t="inlineStr">
        <is>
          <t>47.47</t>
        </is>
      </c>
      <c r="J1992" t="inlineStr">
        <is>
          <t>world_bank</t>
        </is>
      </c>
      <c r="K1992" t="inlineStr">
        <is>
          <t>https://api.worldbank.org/v2/country/MEX/indicator/SE.TER.ENRR?format=json&amp;mrv=10</t>
        </is>
      </c>
      <c r="L1992" t="inlineStr">
        <is>
          <t>World Bank WDI: School enrollment, tertiary (% gross)</t>
        </is>
      </c>
      <c r="M1992" t="inlineStr">
        <is>
          <t>2023-12-31</t>
        </is>
      </c>
      <c r="N1992" t="inlineStr">
        <is>
          <t>auto_ingest=world_bank_proxy; indicator=SE.TER.ENRR; year=2023; country_proxy=Mexico</t>
        </is>
      </c>
    </row>
    <row r="1993">
      <c r="A1993" t="inlineStr">
        <is>
          <t>mx-merida</t>
        </is>
      </c>
      <c r="B1993" t="inlineStr">
        <is>
          <t>Merida</t>
        </is>
      </c>
      <c r="C1993" t="inlineStr">
        <is>
          <t>Mexico</t>
        </is>
      </c>
      <c r="D1993" t="inlineStr">
        <is>
          <t>North America</t>
        </is>
      </c>
      <c r="E1993" t="inlineStr">
        <is>
          <t>equal_opportunity_raw</t>
        </is>
      </c>
      <c r="F1993" t="inlineStr">
        <is>
          <t>Equal opportunity raw</t>
        </is>
      </c>
      <c r="G1993" t="inlineStr">
        <is>
          <t>capability</t>
        </is>
      </c>
      <c r="H1993" t="inlineStr">
        <is>
          <t>yes</t>
        </is>
      </c>
      <c r="I1993" t="inlineStr">
        <is>
          <t>43.5</t>
        </is>
      </c>
      <c r="J1993" t="inlineStr">
        <is>
          <t>world_bank</t>
        </is>
      </c>
      <c r="K1993" t="inlineStr">
        <is>
          <t>https://api.worldbank.org/v2/country/MEX/indicator/SI.POV.GINI?format=json&amp;mrv=10</t>
        </is>
      </c>
      <c r="L1993" t="inlineStr">
        <is>
          <t>World Bank WDI: Gini index</t>
        </is>
      </c>
      <c r="M1993" t="inlineStr">
        <is>
          <t>2022-12-31</t>
        </is>
      </c>
      <c r="N1993" t="inlineStr">
        <is>
          <t>auto_ingest=world_bank_capability; indicator=SI.POV.GINI; year=2022; country_proxy=Mexico</t>
        </is>
      </c>
    </row>
    <row r="1994">
      <c r="A1994" t="inlineStr">
        <is>
          <t>mx-merida</t>
        </is>
      </c>
      <c r="B1994" t="inlineStr">
        <is>
          <t>Merida</t>
        </is>
      </c>
      <c r="C1994" t="inlineStr">
        <is>
          <t>Mexico</t>
        </is>
      </c>
      <c r="D1994" t="inlineStr">
        <is>
          <t>North America</t>
        </is>
      </c>
      <c r="E1994" t="inlineStr">
        <is>
          <t>hospitality_belonging_raw</t>
        </is>
      </c>
      <c r="F1994" t="inlineStr">
        <is>
          <t>Hospitality and belonging raw</t>
        </is>
      </c>
      <c r="G1994" t="inlineStr">
        <is>
          <t>community</t>
        </is>
      </c>
      <c r="H1994" t="inlineStr">
        <is>
          <t>yes</t>
        </is>
      </c>
      <c r="I1994" t="inlineStr">
        <is>
          <t>49.17</t>
        </is>
      </c>
      <c r="J1994" t="inlineStr">
        <is>
          <t>world_bank</t>
        </is>
      </c>
      <c r="K1994" t="inlineStr">
        <is>
          <t>https://api.worldbank.org/v2/country/MEX/indicator/SM.POP.NETM?format=json&amp;mrv=10</t>
        </is>
      </c>
      <c r="L1994" t="inlineStr">
        <is>
          <t>World Bank WDI: Net migration (proxy for hospitality/belonging — positive = welcoming)</t>
        </is>
      </c>
      <c r="M1994" t="inlineStr">
        <is>
          <t>2025-12-31</t>
        </is>
      </c>
      <c r="N1994" t="inlineStr">
        <is>
          <t>auto_ingest=world_bank_proxy; proxy=net_migration_hospitality; indicator=SM.POP.NETM; year=2025; country_proxy=Mexico</t>
        </is>
      </c>
    </row>
    <row r="1995">
      <c r="A1995" t="inlineStr">
        <is>
          <t>mx-merida</t>
        </is>
      </c>
      <c r="B1995" t="inlineStr">
        <is>
          <t>Merida</t>
        </is>
      </c>
      <c r="C1995" t="inlineStr">
        <is>
          <t>Mexico</t>
        </is>
      </c>
      <c r="D1995" t="inlineStr">
        <is>
          <t>North America</t>
        </is>
      </c>
      <c r="E1995" t="inlineStr">
        <is>
          <t>tolerance_pluralism_raw</t>
        </is>
      </c>
      <c r="F1995" t="inlineStr">
        <is>
          <t>Tolerance and pluralism raw</t>
        </is>
      </c>
      <c r="G1995" t="inlineStr">
        <is>
          <t>community</t>
        </is>
      </c>
      <c r="H1995" t="inlineStr">
        <is>
          <t>yes</t>
        </is>
      </c>
      <c r="I1995" t="inlineStr">
        <is>
          <t>50.2</t>
        </is>
      </c>
      <c r="J1995" t="inlineStr">
        <is>
          <t>world_bank</t>
        </is>
      </c>
      <c r="K1995" t="inlineStr">
        <is>
          <t>https://api.worldbank.org/v2/country/MEX/indicator/SG.GEN.PARL.ZS?format=json&amp;mrv=10</t>
        </is>
      </c>
      <c r="L1995" t="inlineStr">
        <is>
          <t>World Bank WDI: Proportion of seats held by women in national parliaments (%)</t>
        </is>
      </c>
      <c r="M1995" t="inlineStr">
        <is>
          <t>2024-12-31</t>
        </is>
      </c>
      <c r="N1995" t="inlineStr">
        <is>
          <t>auto_ingest=world_bank_proxy; proxy=gender_parity_parliament; indicator=SG.GEN.PARL.ZS; year=2024; country_proxy=Mexico</t>
        </is>
      </c>
    </row>
    <row r="1996">
      <c r="A1996" t="inlineStr">
        <is>
          <t>mx-merida</t>
        </is>
      </c>
      <c r="B1996" t="inlineStr">
        <is>
          <t>Merida</t>
        </is>
      </c>
      <c r="C1996" t="inlineStr">
        <is>
          <t>Mexico</t>
        </is>
      </c>
      <c r="D1996" t="inlineStr">
        <is>
          <t>North America</t>
        </is>
      </c>
      <c r="E1996" t="inlineStr">
        <is>
          <t>cultural_public_life_raw</t>
        </is>
      </c>
      <c r="F1996" t="inlineStr">
        <is>
          <t>Cultural public life raw</t>
        </is>
      </c>
      <c r="G1996" t="inlineStr">
        <is>
          <t>community</t>
        </is>
      </c>
      <c r="H1996" t="inlineStr">
        <is>
          <t>yes</t>
        </is>
      </c>
      <c r="I1996" t="inlineStr">
        <is>
          <t>390.7</t>
        </is>
      </c>
      <c r="J1996" t="inlineStr">
        <is>
          <t>world_bank</t>
        </is>
      </c>
      <c r="K1996" t="inlineStr">
        <is>
          <t>https://api.worldbank.org/v2/country/MEX/indicator/ST.INT.ARVL?format=json&amp;mrv=10</t>
        </is>
      </c>
      <c r="L1996" t="inlineStr">
        <is>
          <t>World Bank WDI: International tourism arrivals per 1 000 population</t>
        </is>
      </c>
      <c r="M1996" t="inlineStr">
        <is>
          <t>2020-12-31</t>
        </is>
      </c>
      <c r="N1996" t="inlineStr">
        <is>
          <t>auto_ingest=cultural_life_proxy; indicator=ST.INT.ARVL; norm=per_1000_pop; year=2020; country_proxy=Mexico</t>
        </is>
      </c>
    </row>
    <row r="1997">
      <c r="A1997" t="inlineStr">
        <is>
          <t>mx-merida</t>
        </is>
      </c>
      <c r="B1997" t="inlineStr">
        <is>
          <t>Merida</t>
        </is>
      </c>
      <c r="C1997" t="inlineStr">
        <is>
          <t>Mexico</t>
        </is>
      </c>
      <c r="D1997" t="inlineStr">
        <is>
          <t>North America</t>
        </is>
      </c>
      <c r="E1997" t="inlineStr">
        <is>
          <t>birth_rate_optimism_raw</t>
        </is>
      </c>
      <c r="F1997" t="inlineStr">
        <is>
          <t>Birth rate and societal optimism raw</t>
        </is>
      </c>
      <c r="G1997" t="inlineStr">
        <is>
          <t>community</t>
        </is>
      </c>
      <c r="H1997" t="inlineStr">
        <is>
          <t>yes</t>
        </is>
      </c>
      <c r="I1997" t="inlineStr">
        <is>
          <t>1.8</t>
        </is>
      </c>
      <c r="J1997" t="inlineStr">
        <is>
          <t>world_bank</t>
        </is>
      </c>
      <c r="K1997" t="inlineStr">
        <is>
          <t>https://data.worldbank.org/indicator/SP.DYN.TFRT.IN</t>
        </is>
      </c>
      <c r="L1997" t="inlineStr">
        <is>
          <t>World Bank Total Fertility Rate 2023</t>
        </is>
      </c>
      <c r="M1997" t="inlineStr">
        <is>
          <t>2024-01-01</t>
        </is>
      </c>
      <c r="N1997" t="inlineStr"/>
    </row>
    <row r="1998">
      <c r="A1998" t="inlineStr">
        <is>
          <t>mx-merida</t>
        </is>
      </c>
      <c r="B1998" t="inlineStr">
        <is>
          <t>Merida</t>
        </is>
      </c>
      <c r="C1998" t="inlineStr">
        <is>
          <t>Mexico</t>
        </is>
      </c>
      <c r="D1998" t="inlineStr">
        <is>
          <t>North America</t>
        </is>
      </c>
      <c r="E1998" t="inlineStr">
        <is>
          <t>entrepreneurial_dynamism_raw</t>
        </is>
      </c>
      <c r="F1998" t="inlineStr">
        <is>
          <t>Entrepreneurial dynamism raw</t>
        </is>
      </c>
      <c r="G1998" t="inlineStr">
        <is>
          <t>creative</t>
        </is>
      </c>
      <c r="H1998" t="inlineStr">
        <is>
          <t>yes</t>
        </is>
      </c>
      <c r="I1998" t="inlineStr">
        <is>
          <t>0.88</t>
        </is>
      </c>
      <c r="J1998" t="inlineStr">
        <is>
          <t>world_bank</t>
        </is>
      </c>
      <c r="K1998" t="inlineStr">
        <is>
          <t>https://api.worldbank.org/v2/country/MEX/indicator/IC.BUS.NDNS.ZS?format=json&amp;mrv=10</t>
        </is>
      </c>
      <c r="L1998" t="inlineStr">
        <is>
          <t>World Bank WDI: New business density (new registrations per 1,000 people ages 15-64)</t>
        </is>
      </c>
      <c r="M1998" t="inlineStr">
        <is>
          <t>2022-12-31</t>
        </is>
      </c>
      <c r="N1998" t="inlineStr">
        <is>
          <t>auto_ingest=world_bank_creative_extended; indicator=IC.BUS.NDNS.ZS; year=2022; country_proxy=Mexico</t>
        </is>
      </c>
    </row>
    <row r="1999">
      <c r="A1999" t="inlineStr">
        <is>
          <t>mx-merida</t>
        </is>
      </c>
      <c r="B1999" t="inlineStr">
        <is>
          <t>Merida</t>
        </is>
      </c>
      <c r="C1999" t="inlineStr">
        <is>
          <t>Mexico</t>
        </is>
      </c>
      <c r="D1999" t="inlineStr">
        <is>
          <t>North America</t>
        </is>
      </c>
      <c r="E1999" t="inlineStr">
        <is>
          <t>innovation_research_intensity_raw</t>
        </is>
      </c>
      <c r="F1999" t="inlineStr">
        <is>
          <t>Innovation and research raw</t>
        </is>
      </c>
      <c r="G1999" t="inlineStr">
        <is>
          <t>creative</t>
        </is>
      </c>
      <c r="H1999" t="inlineStr">
        <is>
          <t>yes</t>
        </is>
      </c>
      <c r="I1999" t="inlineStr">
        <is>
          <t>0.27</t>
        </is>
      </c>
      <c r="J1999" t="inlineStr">
        <is>
          <t>world_bank</t>
        </is>
      </c>
      <c r="K1999" t="inlineStr">
        <is>
          <t>https://api.worldbank.org/v2/country/MEX/indicator/GB.XPD.RSDV.GD.ZS?format=json&amp;mrv=10</t>
        </is>
      </c>
      <c r="L1999" t="inlineStr">
        <is>
          <t>World Bank WDI: Research and development expenditure (% of GDP)</t>
        </is>
      </c>
      <c r="M1999" t="inlineStr">
        <is>
          <t>2023-12-31</t>
        </is>
      </c>
      <c r="N1999" t="inlineStr">
        <is>
          <t>auto_ingest=world_bank_creative_extended; indicator=GB.XPD.RSDV.GD.ZS; year=2023; country_proxy=Mexico</t>
        </is>
      </c>
    </row>
    <row r="2000">
      <c r="A2000" t="inlineStr">
        <is>
          <t>mx-merida</t>
        </is>
      </c>
      <c r="B2000" t="inlineStr">
        <is>
          <t>Merida</t>
        </is>
      </c>
      <c r="C2000" t="inlineStr">
        <is>
          <t>Mexico</t>
        </is>
      </c>
      <c r="D2000" t="inlineStr">
        <is>
          <t>North America</t>
        </is>
      </c>
      <c r="E2000" t="inlineStr">
        <is>
          <t>investment_signal_raw</t>
        </is>
      </c>
      <c r="F2000" t="inlineStr">
        <is>
          <t>Investment signal raw</t>
        </is>
      </c>
      <c r="G2000" t="inlineStr">
        <is>
          <t>creative</t>
        </is>
      </c>
      <c r="H2000" t="inlineStr">
        <is>
          <t>yes</t>
        </is>
      </c>
      <c r="I2000" t="inlineStr">
        <is>
          <t>2.45</t>
        </is>
      </c>
      <c r="J2000" t="inlineStr">
        <is>
          <t>world_bank</t>
        </is>
      </c>
      <c r="K2000" t="inlineStr">
        <is>
          <t>https://api.worldbank.org/v2/country/MEX/indicator/BX.KLT.DINV.WD.GD.ZS?format=json&amp;mrv=10</t>
        </is>
      </c>
      <c r="L2000" t="inlineStr">
        <is>
          <t>World Bank WDI: Foreign direct investment, net inflows (% of GDP)</t>
        </is>
      </c>
      <c r="M2000" t="inlineStr">
        <is>
          <t>2024-12-31</t>
        </is>
      </c>
      <c r="N2000" t="inlineStr">
        <is>
          <t>auto_ingest=world_bank_creative_extended; indicator=BX.KLT.DINV.WD.GD.ZS; year=2024; country_proxy=Mexico</t>
        </is>
      </c>
    </row>
    <row r="2001">
      <c r="A2001" t="inlineStr">
        <is>
          <t>mx-merida</t>
        </is>
      </c>
      <c r="B2001" t="inlineStr">
        <is>
          <t>Merida</t>
        </is>
      </c>
      <c r="C2001" t="inlineStr">
        <is>
          <t>Mexico</t>
        </is>
      </c>
      <c r="D2001" t="inlineStr">
        <is>
          <t>North America</t>
        </is>
      </c>
      <c r="E2001" t="inlineStr">
        <is>
          <t>administrative_investment_friction_raw</t>
        </is>
      </c>
      <c r="F2001" t="inlineStr">
        <is>
          <t>Administrative investment friction raw</t>
        </is>
      </c>
      <c r="G2001" t="inlineStr">
        <is>
          <t>creative</t>
        </is>
      </c>
      <c r="H2001" t="inlineStr">
        <is>
          <t>yes</t>
        </is>
      </c>
      <c r="I2001" t="inlineStr">
        <is>
          <t>2.67</t>
        </is>
      </c>
      <c r="J2001" t="inlineStr">
        <is>
          <t>world_bank</t>
        </is>
      </c>
      <c r="K2001" t="inlineStr">
        <is>
          <t>https://api.worldbank.org/v2/country/MEX/indicator/RQ.EST?format=json&amp;mrv=10</t>
        </is>
      </c>
      <c r="L2001" t="inlineStr">
        <is>
          <t>World Bank WGI: Regulatory Quality (inverted as friction proxy)</t>
        </is>
      </c>
      <c r="M2001" t="inlineStr">
        <is>
          <t>2023-12-31</t>
        </is>
      </c>
      <c r="N2001" t="inlineStr">
        <is>
          <t>auto_ingest=world_bank_business_friction; indicator=RQ.EST; raw_rq=-0.171988308429718; friction=2.67; year=2023; country_proxy=Mexico</t>
        </is>
      </c>
    </row>
    <row r="2002">
      <c r="A2002" t="inlineStr">
        <is>
          <t>mx-merida</t>
        </is>
      </c>
      <c r="B2002" t="inlineStr">
        <is>
          <t>Merida</t>
        </is>
      </c>
      <c r="C2002" t="inlineStr">
        <is>
          <t>Mexico</t>
        </is>
      </c>
      <c r="D2002" t="inlineStr">
        <is>
          <t>North America</t>
        </is>
      </c>
      <c r="E2002" t="inlineStr">
        <is>
          <t>visitor_flow_context_raw</t>
        </is>
      </c>
      <c r="F2002" t="inlineStr">
        <is>
          <t>Visitor flow context raw</t>
        </is>
      </c>
      <c r="G2002" t="inlineStr">
        <is>
          <t>creative</t>
        </is>
      </c>
      <c r="H2002" t="inlineStr">
        <is>
          <t>no</t>
        </is>
      </c>
      <c r="I2002" t="inlineStr"/>
      <c r="J2002" t="inlineStr"/>
      <c r="K2002" t="inlineStr"/>
      <c r="L2002" t="inlineStr"/>
      <c r="M2002" t="inlineStr"/>
      <c r="N2002" t="inlineStr"/>
    </row>
    <row r="2003">
      <c r="A2003" t="inlineStr">
        <is>
          <t>br-sao-paulo</t>
        </is>
      </c>
      <c r="B2003" t="inlineStr">
        <is>
          <t>Sao Paulo</t>
        </is>
      </c>
      <c r="C2003" t="inlineStr">
        <is>
          <t>Brazil</t>
        </is>
      </c>
      <c r="D2003" t="inlineStr">
        <is>
          <t>Latin America</t>
        </is>
      </c>
      <c r="E2003" t="inlineStr">
        <is>
          <t>gross_income</t>
        </is>
      </c>
      <c r="F2003" t="inlineStr">
        <is>
          <t>Gross income</t>
        </is>
      </c>
      <c r="G2003" t="inlineStr">
        <is>
          <t>pressure</t>
        </is>
      </c>
      <c r="H2003" t="inlineStr">
        <is>
          <t>yes</t>
        </is>
      </c>
      <c r="I2003" t="inlineStr">
        <is>
          <t>2159.0</t>
        </is>
      </c>
      <c r="J2003" t="inlineStr">
        <is>
          <t>world_bank_col_estimate</t>
        </is>
      </c>
      <c r="K2003" t="inlineStr">
        <is>
          <t>https://api.worldbank.org/v2/country/BRA/indicator/NY.GNP.PCAP.PP.CD?format=json&amp;mrv=10</t>
        </is>
      </c>
      <c r="L2003" t="inlineStr">
        <is>
          <t>World Bank WDI: GNI per capita PPP (monthly USD)</t>
        </is>
      </c>
      <c r="M2003" t="inlineStr">
        <is>
          <t>2024-12-31</t>
        </is>
      </c>
      <c r="N2003" t="inlineStr">
        <is>
          <t>auto_ingest=world_bank_col_estimate; gni_annual=21590.0; year=2024; country_proxy=Brazil; cohort=Latin America; city_income_mult=1.2</t>
        </is>
      </c>
    </row>
    <row r="2004">
      <c r="A2004" t="inlineStr">
        <is>
          <t>br-sao-paulo</t>
        </is>
      </c>
      <c r="B2004" t="inlineStr">
        <is>
          <t>Sao Paulo</t>
        </is>
      </c>
      <c r="C2004" t="inlineStr">
        <is>
          <t>Brazil</t>
        </is>
      </c>
      <c r="D2004" t="inlineStr">
        <is>
          <t>Latin America</t>
        </is>
      </c>
      <c r="E2004" t="inlineStr">
        <is>
          <t>di_ppp_raw</t>
        </is>
      </c>
      <c r="F2004" t="inlineStr">
        <is>
          <t>Disposable income PPP (Raw)</t>
        </is>
      </c>
      <c r="G2004" t="inlineStr">
        <is>
          <t>pressure</t>
        </is>
      </c>
      <c r="H2004" t="inlineStr">
        <is>
          <t>yes</t>
        </is>
      </c>
      <c r="I2004" t="inlineStr"/>
      <c r="J2004" t="inlineStr"/>
      <c r="K2004" t="inlineStr"/>
      <c r="L2004" t="inlineStr"/>
      <c r="M2004" t="inlineStr"/>
      <c r="N2004" t="inlineStr"/>
    </row>
    <row r="2005">
      <c r="A2005" t="inlineStr">
        <is>
          <t>br-sao-paulo</t>
        </is>
      </c>
      <c r="B2005" t="inlineStr">
        <is>
          <t>Sao Paulo</t>
        </is>
      </c>
      <c r="C2005" t="inlineStr">
        <is>
          <t>Brazil</t>
        </is>
      </c>
      <c r="D2005" t="inlineStr">
        <is>
          <t>Latin America</t>
        </is>
      </c>
      <c r="E2005" t="inlineStr">
        <is>
          <t>rent</t>
        </is>
      </c>
      <c r="F2005" t="inlineStr">
        <is>
          <t>Rent</t>
        </is>
      </c>
      <c r="G2005" t="inlineStr">
        <is>
          <t>pressure</t>
        </is>
      </c>
      <c r="H2005" t="inlineStr">
        <is>
          <t>yes</t>
        </is>
      </c>
      <c r="I2005" t="inlineStr">
        <is>
          <t>647.7</t>
        </is>
      </c>
      <c r="J2005" t="inlineStr">
        <is>
          <t>world_bank_col_estimate</t>
        </is>
      </c>
      <c r="K2005" t="inlineStr">
        <is>
          <t>https://api.worldbank.org/v2/country/BRA/indicator/NY.GNP.PCAP.PP.CD?format=json&amp;mrv=10</t>
        </is>
      </c>
      <c r="L2005" t="inlineStr">
        <is>
          <t>World Bank GNI + regional expenditure ratio estimate</t>
        </is>
      </c>
      <c r="M2005" t="inlineStr">
        <is>
          <t>2024-12-31</t>
        </is>
      </c>
      <c r="N2005" t="inlineStr">
        <is>
          <t>auto_ingest=world_bank_col_estimate; gni_annual=21590.0; year=2024; country_proxy=Brazil; cohort=Latin America; city_cost_mult=1.2</t>
        </is>
      </c>
    </row>
    <row r="2006">
      <c r="A2006" t="inlineStr">
        <is>
          <t>br-sao-paulo</t>
        </is>
      </c>
      <c r="B2006" t="inlineStr">
        <is>
          <t>Sao Paulo</t>
        </is>
      </c>
      <c r="C2006" t="inlineStr">
        <is>
          <t>Brazil</t>
        </is>
      </c>
      <c r="D2006" t="inlineStr">
        <is>
          <t>Latin America</t>
        </is>
      </c>
      <c r="E2006" t="inlineStr">
        <is>
          <t>utilities</t>
        </is>
      </c>
      <c r="F2006" t="inlineStr">
        <is>
          <t>Utilities</t>
        </is>
      </c>
      <c r="G2006" t="inlineStr">
        <is>
          <t>pressure</t>
        </is>
      </c>
      <c r="H2006" t="inlineStr">
        <is>
          <t>yes</t>
        </is>
      </c>
      <c r="I2006" t="inlineStr">
        <is>
          <t>155.45</t>
        </is>
      </c>
      <c r="J2006" t="inlineStr">
        <is>
          <t>world_bank_col_estimate</t>
        </is>
      </c>
      <c r="K2006" t="inlineStr">
        <is>
          <t>https://api.worldbank.org/v2/country/BRA/indicator/NY.GNP.PCAP.PP.CD?format=json&amp;mrv=10</t>
        </is>
      </c>
      <c r="L2006" t="inlineStr">
        <is>
          <t>World Bank GNI + regional expenditure ratio estimate</t>
        </is>
      </c>
      <c r="M2006" t="inlineStr">
        <is>
          <t>2024-12-31</t>
        </is>
      </c>
      <c r="N2006" t="inlineStr">
        <is>
          <t>auto_ingest=world_bank_col_estimate; gni_annual=21590.0; year=2024; country_proxy=Brazil; cohort=Latin America; city_cost_mult=1.2</t>
        </is>
      </c>
    </row>
    <row r="2007">
      <c r="A2007" t="inlineStr">
        <is>
          <t>br-sao-paulo</t>
        </is>
      </c>
      <c r="B2007" t="inlineStr">
        <is>
          <t>Sao Paulo</t>
        </is>
      </c>
      <c r="C2007" t="inlineStr">
        <is>
          <t>Brazil</t>
        </is>
      </c>
      <c r="D2007" t="inlineStr">
        <is>
          <t>Latin America</t>
        </is>
      </c>
      <c r="E2007" t="inlineStr">
        <is>
          <t>transit_cost</t>
        </is>
      </c>
      <c r="F2007" t="inlineStr">
        <is>
          <t>Transit cost</t>
        </is>
      </c>
      <c r="G2007" t="inlineStr">
        <is>
          <t>pressure</t>
        </is>
      </c>
      <c r="H2007" t="inlineStr">
        <is>
          <t>yes</t>
        </is>
      </c>
      <c r="I2007" t="inlineStr">
        <is>
          <t>103.63</t>
        </is>
      </c>
      <c r="J2007" t="inlineStr">
        <is>
          <t>world_bank_col_estimate</t>
        </is>
      </c>
      <c r="K2007" t="inlineStr">
        <is>
          <t>https://api.worldbank.org/v2/country/BRA/indicator/NY.GNP.PCAP.PP.CD?format=json&amp;mrv=10</t>
        </is>
      </c>
      <c r="L2007" t="inlineStr">
        <is>
          <t>World Bank GNI + regional expenditure ratio estimate</t>
        </is>
      </c>
      <c r="M2007" t="inlineStr">
        <is>
          <t>2024-12-31</t>
        </is>
      </c>
      <c r="N2007" t="inlineStr">
        <is>
          <t>auto_ingest=world_bank_col_estimate; gni_annual=21590.0; year=2024; country_proxy=Brazil; cohort=Latin America; city_cost_mult=1.2</t>
        </is>
      </c>
    </row>
    <row r="2008">
      <c r="A2008" t="inlineStr">
        <is>
          <t>br-sao-paulo</t>
        </is>
      </c>
      <c r="B2008" t="inlineStr">
        <is>
          <t>Sao Paulo</t>
        </is>
      </c>
      <c r="C2008" t="inlineStr">
        <is>
          <t>Brazil</t>
        </is>
      </c>
      <c r="D2008" t="inlineStr">
        <is>
          <t>Latin America</t>
        </is>
      </c>
      <c r="E2008" t="inlineStr">
        <is>
          <t>internet_cost</t>
        </is>
      </c>
      <c r="F2008" t="inlineStr">
        <is>
          <t>Internet cost</t>
        </is>
      </c>
      <c r="G2008" t="inlineStr">
        <is>
          <t>pressure</t>
        </is>
      </c>
      <c r="H2008" t="inlineStr">
        <is>
          <t>yes</t>
        </is>
      </c>
      <c r="I2008" t="inlineStr">
        <is>
          <t>38.86</t>
        </is>
      </c>
      <c r="J2008" t="inlineStr">
        <is>
          <t>world_bank_col_estimate</t>
        </is>
      </c>
      <c r="K2008" t="inlineStr">
        <is>
          <t>https://api.worldbank.org/v2/country/BRA/indicator/NY.GNP.PCAP.PP.CD?format=json&amp;mrv=10</t>
        </is>
      </c>
      <c r="L2008" t="inlineStr">
        <is>
          <t>World Bank GNI + regional expenditure ratio estimate</t>
        </is>
      </c>
      <c r="M2008" t="inlineStr">
        <is>
          <t>2024-12-31</t>
        </is>
      </c>
      <c r="N2008" t="inlineStr">
        <is>
          <t>auto_ingest=world_bank_col_estimate; gni_annual=21590.0; year=2024; country_proxy=Brazil; cohort=Latin America; city_cost_mult=1.2</t>
        </is>
      </c>
    </row>
    <row r="2009">
      <c r="A2009" t="inlineStr">
        <is>
          <t>br-sao-paulo</t>
        </is>
      </c>
      <c r="B2009" t="inlineStr">
        <is>
          <t>Sao Paulo</t>
        </is>
      </c>
      <c r="C2009" t="inlineStr">
        <is>
          <t>Brazil</t>
        </is>
      </c>
      <c r="D2009" t="inlineStr">
        <is>
          <t>Latin America</t>
        </is>
      </c>
      <c r="E2009" t="inlineStr">
        <is>
          <t>food_cost</t>
        </is>
      </c>
      <c r="F2009" t="inlineStr">
        <is>
          <t>Food cost</t>
        </is>
      </c>
      <c r="G2009" t="inlineStr">
        <is>
          <t>pressure</t>
        </is>
      </c>
      <c r="H2009" t="inlineStr">
        <is>
          <t>yes</t>
        </is>
      </c>
      <c r="I2009" t="inlineStr">
        <is>
          <t>569.98</t>
        </is>
      </c>
      <c r="J2009" t="inlineStr">
        <is>
          <t>world_bank_col_estimate</t>
        </is>
      </c>
      <c r="K2009" t="inlineStr">
        <is>
          <t>https://api.worldbank.org/v2/country/BRA/indicator/NY.GNP.PCAP.PP.CD?format=json&amp;mrv=10</t>
        </is>
      </c>
      <c r="L2009" t="inlineStr">
        <is>
          <t>World Bank GNI + regional expenditure ratio estimate</t>
        </is>
      </c>
      <c r="M2009" t="inlineStr">
        <is>
          <t>2024-12-31</t>
        </is>
      </c>
      <c r="N2009" t="inlineStr">
        <is>
          <t>auto_ingest=world_bank_col_estimate; gni_annual=21590.0; year=2024; country_proxy=Brazil; cohort=Latin America; city_cost_mult=1.2</t>
        </is>
      </c>
    </row>
    <row r="2010">
      <c r="A2010" t="inlineStr">
        <is>
          <t>br-sao-paulo</t>
        </is>
      </c>
      <c r="B2010" t="inlineStr">
        <is>
          <t>Sao Paulo</t>
        </is>
      </c>
      <c r="C2010" t="inlineStr">
        <is>
          <t>Brazil</t>
        </is>
      </c>
      <c r="D2010" t="inlineStr">
        <is>
          <t>Latin America</t>
        </is>
      </c>
      <c r="E2010" t="inlineStr">
        <is>
          <t>housing_burden_raw</t>
        </is>
      </c>
      <c r="F2010" t="inlineStr">
        <is>
          <t>Housing burden raw</t>
        </is>
      </c>
      <c r="G2010" t="inlineStr">
        <is>
          <t>pressure</t>
        </is>
      </c>
      <c r="H2010" t="inlineStr">
        <is>
          <t>yes</t>
        </is>
      </c>
      <c r="I2010" t="inlineStr">
        <is>
          <t>30.0</t>
        </is>
      </c>
      <c r="J2010" t="inlineStr">
        <is>
          <t>derived</t>
        </is>
      </c>
      <c r="K2010" t="inlineStr">
        <is>
          <t>https://data.worldbank.org/indicator/NY.GNP.PCAP.PP.CD</t>
        </is>
      </c>
      <c r="L2010" t="inlineStr">
        <is>
          <t>Computed from city_inputs + country_context</t>
        </is>
      </c>
      <c r="M2010" t="inlineStr">
        <is>
          <t>2024-01-01</t>
        </is>
      </c>
      <c r="N2010" t="inlineStr">
        <is>
          <t>derived=rent/gross_income*100</t>
        </is>
      </c>
    </row>
    <row r="2011">
      <c r="A2011" t="inlineStr">
        <is>
          <t>br-sao-paulo</t>
        </is>
      </c>
      <c r="B2011" t="inlineStr">
        <is>
          <t>Sao Paulo</t>
        </is>
      </c>
      <c r="C2011" t="inlineStr">
        <is>
          <t>Brazil</t>
        </is>
      </c>
      <c r="D2011" t="inlineStr">
        <is>
          <t>Latin America</t>
        </is>
      </c>
      <c r="E2011" t="inlineStr">
        <is>
          <t>household_debt_burden_raw</t>
        </is>
      </c>
      <c r="F2011" t="inlineStr">
        <is>
          <t>Household debt burden raw</t>
        </is>
      </c>
      <c r="G2011" t="inlineStr">
        <is>
          <t>pressure</t>
        </is>
      </c>
      <c r="H2011" t="inlineStr">
        <is>
          <t>yes</t>
        </is>
      </c>
      <c r="I2011" t="inlineStr">
        <is>
          <t>75.6164</t>
        </is>
      </c>
      <c r="J2011" t="inlineStr">
        <is>
          <t>derived</t>
        </is>
      </c>
      <c r="K2011" t="inlineStr">
        <is>
          <t>https://data.worldbank.org/indicator/NY.GNP.PCAP.PP.CD</t>
        </is>
      </c>
      <c r="L2011" t="inlineStr">
        <is>
          <t>Computed from city_inputs + country_context</t>
        </is>
      </c>
      <c r="M2011" t="inlineStr">
        <is>
          <t>2024-01-01</t>
        </is>
      </c>
      <c r="N2011" t="inlineStr">
        <is>
          <t>derived=country_context.household_debt_proxy; country=Brazil</t>
        </is>
      </c>
    </row>
    <row r="2012">
      <c r="A2012" t="inlineStr">
        <is>
          <t>br-sao-paulo</t>
        </is>
      </c>
      <c r="B2012" t="inlineStr">
        <is>
          <t>Sao Paulo</t>
        </is>
      </c>
      <c r="C2012" t="inlineStr">
        <is>
          <t>Brazil</t>
        </is>
      </c>
      <c r="D2012" t="inlineStr">
        <is>
          <t>Latin America</t>
        </is>
      </c>
      <c r="E2012" t="inlineStr">
        <is>
          <t>working_time_pressure_raw</t>
        </is>
      </c>
      <c r="F2012" t="inlineStr">
        <is>
          <t>Working time pressure raw</t>
        </is>
      </c>
      <c r="G2012" t="inlineStr">
        <is>
          <t>pressure</t>
        </is>
      </c>
      <c r="H2012" t="inlineStr">
        <is>
          <t>yes</t>
        </is>
      </c>
      <c r="I2012" t="inlineStr">
        <is>
          <t>38.86</t>
        </is>
      </c>
      <c r="J2012" t="inlineStr">
        <is>
          <t>ilo_ilostat</t>
        </is>
      </c>
      <c r="K2012" t="inlineStr">
        <is>
          <t>https://ilostat.ilo.org/data/indicator/?id=HOW_TEMP_SEX_ECO_NB_A&amp;ref_area=BRA</t>
        </is>
      </c>
      <c r="L2012" t="inlineStr">
        <is>
          <t>ILO ILOSTAT: Mean weekly hours actually worked per employed person</t>
        </is>
      </c>
      <c r="M2012" t="inlineStr">
        <is>
          <t>2025-12-31</t>
        </is>
      </c>
      <c r="N2012" t="inlineStr">
        <is>
          <t>auto_ingest=ilo_working_hours; indicator=HOW_TEMP_SEX_ECO_NB_A; year=2025; hours=38.86; country_proxy=Brazil</t>
        </is>
      </c>
    </row>
    <row r="2013">
      <c r="A2013" t="inlineStr">
        <is>
          <t>br-sao-paulo</t>
        </is>
      </c>
      <c r="B2013" t="inlineStr">
        <is>
          <t>Sao Paulo</t>
        </is>
      </c>
      <c r="C2013" t="inlineStr">
        <is>
          <t>Brazil</t>
        </is>
      </c>
      <c r="D2013" t="inlineStr">
        <is>
          <t>Latin America</t>
        </is>
      </c>
      <c r="E2013" t="inlineStr">
        <is>
          <t>suicide_mental_strain_raw</t>
        </is>
      </c>
      <c r="F2013" t="inlineStr">
        <is>
          <t>Suicide or mental strain raw</t>
        </is>
      </c>
      <c r="G2013" t="inlineStr">
        <is>
          <t>pressure</t>
        </is>
      </c>
      <c r="H2013" t="inlineStr">
        <is>
          <t>yes</t>
        </is>
      </c>
      <c r="I2013" t="inlineStr">
        <is>
          <t>7.59</t>
        </is>
      </c>
      <c r="J2013" t="inlineStr">
        <is>
          <t>who_gho</t>
        </is>
      </c>
      <c r="K2013" t="inlineStr">
        <is>
          <t>https://www.who.int/data/gho/data/indicators/indicator-details/GHO/SDGSUICIDE</t>
        </is>
      </c>
      <c r="L2013" t="inlineStr">
        <is>
          <t>WHO GHO: Age-standardized suicide rate (per 100,000 population)</t>
        </is>
      </c>
      <c r="M2013" t="inlineStr">
        <is>
          <t>2021-12-31</t>
        </is>
      </c>
      <c r="N2013" t="inlineStr">
        <is>
          <t>auto_ingest=who_gho; indicator=SDGSUICIDE; year=2021; country_proxy=Brazil</t>
        </is>
      </c>
    </row>
    <row r="2014">
      <c r="A2014" t="inlineStr">
        <is>
          <t>br-sao-paulo</t>
        </is>
      </c>
      <c r="B2014" t="inlineStr">
        <is>
          <t>Sao Paulo</t>
        </is>
      </c>
      <c r="C2014" t="inlineStr">
        <is>
          <t>Brazil</t>
        </is>
      </c>
      <c r="D2014" t="inlineStr">
        <is>
          <t>Latin America</t>
        </is>
      </c>
      <c r="E2014" t="inlineStr">
        <is>
          <t>personal_safety_raw</t>
        </is>
      </c>
      <c r="F2014" t="inlineStr">
        <is>
          <t>Personal safety raw</t>
        </is>
      </c>
      <c r="G2014" t="inlineStr">
        <is>
          <t>viability</t>
        </is>
      </c>
      <c r="H2014" t="inlineStr">
        <is>
          <t>yes</t>
        </is>
      </c>
      <c r="I2014" t="inlineStr">
        <is>
          <t>19.28</t>
        </is>
      </c>
      <c r="J2014" t="inlineStr">
        <is>
          <t>world_bank</t>
        </is>
      </c>
      <c r="K2014" t="inlineStr">
        <is>
          <t>https://api.worldbank.org/v2/country/BRA/indicator/VC.IHR.PSRC.P5?format=json&amp;mrv=10</t>
        </is>
      </c>
      <c r="L2014" t="inlineStr">
        <is>
          <t>UNODC via World Bank WDI: Intentional homicides (per 100,000 people)</t>
        </is>
      </c>
      <c r="M2014" t="inlineStr">
        <is>
          <t>2023-12-31</t>
        </is>
      </c>
      <c r="N2014" t="inlineStr">
        <is>
          <t>auto_ingest=unodc_safety; indicator=VC.IHR.PSRC.P5; year=2023; country_proxy=Brazil</t>
        </is>
      </c>
    </row>
    <row r="2015">
      <c r="A2015" t="inlineStr">
        <is>
          <t>br-sao-paulo</t>
        </is>
      </c>
      <c r="B2015" t="inlineStr">
        <is>
          <t>Sao Paulo</t>
        </is>
      </c>
      <c r="C2015" t="inlineStr">
        <is>
          <t>Brazil</t>
        </is>
      </c>
      <c r="D2015" t="inlineStr">
        <is>
          <t>Latin America</t>
        </is>
      </c>
      <c r="E2015" t="inlineStr">
        <is>
          <t>transit_access_commute_raw</t>
        </is>
      </c>
      <c r="F2015" t="inlineStr">
        <is>
          <t>Transit access and commute raw</t>
        </is>
      </c>
      <c r="G2015" t="inlineStr">
        <is>
          <t>viability</t>
        </is>
      </c>
      <c r="H2015" t="inlineStr">
        <is>
          <t>yes</t>
        </is>
      </c>
      <c r="I2015" t="inlineStr"/>
      <c r="J2015" t="inlineStr"/>
      <c r="K2015" t="inlineStr"/>
      <c r="L2015" t="inlineStr"/>
      <c r="M2015" t="inlineStr"/>
      <c r="N2015" t="inlineStr"/>
    </row>
    <row r="2016">
      <c r="A2016" t="inlineStr">
        <is>
          <t>br-sao-paulo</t>
        </is>
      </c>
      <c r="B2016" t="inlineStr">
        <is>
          <t>Sao Paulo</t>
        </is>
      </c>
      <c r="C2016" t="inlineStr">
        <is>
          <t>Brazil</t>
        </is>
      </c>
      <c r="D2016" t="inlineStr">
        <is>
          <t>Latin America</t>
        </is>
      </c>
      <c r="E2016" t="inlineStr">
        <is>
          <t>clean_air_raw</t>
        </is>
      </c>
      <c r="F2016" t="inlineStr">
        <is>
          <t>Clean air raw</t>
        </is>
      </c>
      <c r="G2016" t="inlineStr">
        <is>
          <t>viability</t>
        </is>
      </c>
      <c r="H2016" t="inlineStr">
        <is>
          <t>yes</t>
        </is>
      </c>
      <c r="I2016" t="inlineStr"/>
      <c r="J2016" t="inlineStr"/>
      <c r="K2016" t="inlineStr"/>
      <c r="L2016" t="inlineStr"/>
      <c r="M2016" t="inlineStr"/>
      <c r="N2016" t="inlineStr"/>
    </row>
    <row r="2017">
      <c r="A2017" t="inlineStr">
        <is>
          <t>br-sao-paulo</t>
        </is>
      </c>
      <c r="B2017" t="inlineStr">
        <is>
          <t>Sao Paulo</t>
        </is>
      </c>
      <c r="C2017" t="inlineStr">
        <is>
          <t>Brazil</t>
        </is>
      </c>
      <c r="D2017" t="inlineStr">
        <is>
          <t>Latin America</t>
        </is>
      </c>
      <c r="E2017" t="inlineStr">
        <is>
          <t>water_sanitation_utility_raw</t>
        </is>
      </c>
      <c r="F2017" t="inlineStr">
        <is>
          <t>Water, sanitation, and utility raw</t>
        </is>
      </c>
      <c r="G2017" t="inlineStr">
        <is>
          <t>viability</t>
        </is>
      </c>
      <c r="H2017" t="inlineStr">
        <is>
          <t>yes</t>
        </is>
      </c>
      <c r="I2017" t="inlineStr">
        <is>
          <t>88.62</t>
        </is>
      </c>
      <c r="J2017" t="inlineStr">
        <is>
          <t>world_bank</t>
        </is>
      </c>
      <c r="K2017" t="inlineStr">
        <is>
          <t>https://api.worldbank.org/v2/country/BRA/indicator/SH.H2O.SMDW.ZS?format=json&amp;mrv=10</t>
        </is>
      </c>
      <c r="L2017" t="inlineStr">
        <is>
          <t>World Bank WDI: People using safely managed drinking water services (% of population)</t>
        </is>
      </c>
      <c r="M2017" t="inlineStr">
        <is>
          <t>2024-12-31</t>
        </is>
      </c>
      <c r="N2017" t="inlineStr">
        <is>
          <t>auto_ingest=world_bank_proxy; indicator=SH.H2O.SMDW.ZS; year=2024; country_proxy=Brazil</t>
        </is>
      </c>
    </row>
    <row r="2018">
      <c r="A2018" t="inlineStr">
        <is>
          <t>br-sao-paulo</t>
        </is>
      </c>
      <c r="B2018" t="inlineStr">
        <is>
          <t>Sao Paulo</t>
        </is>
      </c>
      <c r="C2018" t="inlineStr">
        <is>
          <t>Brazil</t>
        </is>
      </c>
      <c r="D2018" t="inlineStr">
        <is>
          <t>Latin America</t>
        </is>
      </c>
      <c r="E2018" t="inlineStr">
        <is>
          <t>digital_infrastructure_raw</t>
        </is>
      </c>
      <c r="F2018" t="inlineStr">
        <is>
          <t>Digital infrastructure raw</t>
        </is>
      </c>
      <c r="G2018" t="inlineStr">
        <is>
          <t>viability</t>
        </is>
      </c>
      <c r="H2018" t="inlineStr">
        <is>
          <t>yes</t>
        </is>
      </c>
      <c r="I2018" t="inlineStr">
        <is>
          <t>22.42</t>
        </is>
      </c>
      <c r="J2018" t="inlineStr">
        <is>
          <t>world_bank</t>
        </is>
      </c>
      <c r="K2018" t="inlineStr">
        <is>
          <t>https://api.worldbank.org/v2/country/BRA/indicator/IT.NET.BBND.P2?format=json&amp;mrv=10</t>
        </is>
      </c>
      <c r="L2018" t="inlineStr">
        <is>
          <t>World Bank WDI: Fixed broadband subscriptions (per 100 people)</t>
        </is>
      </c>
      <c r="M2018" t="inlineStr">
        <is>
          <t>2023-12-31</t>
        </is>
      </c>
      <c r="N2018" t="inlineStr">
        <is>
          <t>auto_ingest=world_bank_proxy; indicator=IT.NET.BBND.P2; year=2023; country_proxy=Brazil</t>
        </is>
      </c>
    </row>
    <row r="2019">
      <c r="A2019" t="inlineStr">
        <is>
          <t>br-sao-paulo</t>
        </is>
      </c>
      <c r="B2019" t="inlineStr">
        <is>
          <t>Sao Paulo</t>
        </is>
      </c>
      <c r="C2019" t="inlineStr">
        <is>
          <t>Brazil</t>
        </is>
      </c>
      <c r="D2019" t="inlineStr">
        <is>
          <t>Latin America</t>
        </is>
      </c>
      <c r="E2019" t="inlineStr">
        <is>
          <t>climate_sunlight_livability_raw</t>
        </is>
      </c>
      <c r="F2019" t="inlineStr">
        <is>
          <t>Climate and sunlight livability raw</t>
        </is>
      </c>
      <c r="G2019" t="inlineStr">
        <is>
          <t>viability</t>
        </is>
      </c>
      <c r="H2019" t="inlineStr">
        <is>
          <t>yes</t>
        </is>
      </c>
      <c r="I2019" t="inlineStr">
        <is>
          <t>60</t>
        </is>
      </c>
      <c r="J2019" t="inlineStr">
        <is>
          <t>wmo_natl_met</t>
        </is>
      </c>
      <c r="K2019" t="inlineStr">
        <is>
          <t>https://worldweather.wmo.int</t>
        </is>
      </c>
      <c r="L2019" t="inlineStr">
        <is>
          <t>WMO/National Met: Climate livability composite</t>
        </is>
      </c>
      <c r="M2019" t="inlineStr">
        <is>
          <t>2024-12-31</t>
        </is>
      </c>
      <c r="N2019" t="inlineStr">
        <is>
          <t>auto_seed=climate_composite; 2100 sun hrs, 20C mean, temperate tropical</t>
        </is>
      </c>
    </row>
    <row r="2020">
      <c r="A2020" t="inlineStr">
        <is>
          <t>br-sao-paulo</t>
        </is>
      </c>
      <c r="B2020" t="inlineStr">
        <is>
          <t>Sao Paulo</t>
        </is>
      </c>
      <c r="C2020" t="inlineStr">
        <is>
          <t>Brazil</t>
        </is>
      </c>
      <c r="D2020" t="inlineStr">
        <is>
          <t>Latin America</t>
        </is>
      </c>
      <c r="E2020" t="inlineStr">
        <is>
          <t>healthcare_quality_raw</t>
        </is>
      </c>
      <c r="F2020" t="inlineStr">
        <is>
          <t>Healthcare quality raw</t>
        </is>
      </c>
      <c r="G2020" t="inlineStr">
        <is>
          <t>capability</t>
        </is>
      </c>
      <c r="H2020" t="inlineStr">
        <is>
          <t>yes</t>
        </is>
      </c>
      <c r="I2020" t="inlineStr">
        <is>
          <t>84.0</t>
        </is>
      </c>
      <c r="J2020" t="inlineStr">
        <is>
          <t>who_gho</t>
        </is>
      </c>
      <c r="K2020" t="inlineStr">
        <is>
          <t>https://www.who.int/data/gho/data/indicators/indicator-details/GHO/UHC_INDEX_REPORTED</t>
        </is>
      </c>
      <c r="L2020" t="inlineStr">
        <is>
          <t>WHO GHO: UHC Service Coverage Index</t>
        </is>
      </c>
      <c r="M2020" t="inlineStr">
        <is>
          <t>2023-12-31</t>
        </is>
      </c>
      <c r="N2020" t="inlineStr">
        <is>
          <t>auto_ingest=who_gho; indicator=UHC_INDEX_REPORTED; year=2023; country_proxy=Brazil</t>
        </is>
      </c>
    </row>
    <row r="2021">
      <c r="A2021" t="inlineStr">
        <is>
          <t>br-sao-paulo</t>
        </is>
      </c>
      <c r="B2021" t="inlineStr">
        <is>
          <t>Sao Paulo</t>
        </is>
      </c>
      <c r="C2021" t="inlineStr">
        <is>
          <t>Brazil</t>
        </is>
      </c>
      <c r="D2021" t="inlineStr">
        <is>
          <t>Latin America</t>
        </is>
      </c>
      <c r="E2021" t="inlineStr">
        <is>
          <t>education_quality_raw</t>
        </is>
      </c>
      <c r="F2021" t="inlineStr">
        <is>
          <t>Education quality raw</t>
        </is>
      </c>
      <c r="G2021" t="inlineStr">
        <is>
          <t>capability</t>
        </is>
      </c>
      <c r="H2021" t="inlineStr">
        <is>
          <t>yes</t>
        </is>
      </c>
      <c r="I2021" t="inlineStr">
        <is>
          <t>60.39</t>
        </is>
      </c>
      <c r="J2021" t="inlineStr">
        <is>
          <t>world_bank</t>
        </is>
      </c>
      <c r="K2021" t="inlineStr">
        <is>
          <t>https://api.worldbank.org/v2/country/BRA/indicator/SE.TER.ENRR?format=json&amp;mrv=10</t>
        </is>
      </c>
      <c r="L2021" t="inlineStr">
        <is>
          <t>World Bank WDI: School enrollment, tertiary (% gross)</t>
        </is>
      </c>
      <c r="M2021" t="inlineStr">
        <is>
          <t>2022-12-31</t>
        </is>
      </c>
      <c r="N2021" t="inlineStr">
        <is>
          <t>auto_ingest=world_bank_proxy; indicator=SE.TER.ENRR; year=2022; country_proxy=Brazil</t>
        </is>
      </c>
    </row>
    <row r="2022">
      <c r="A2022" t="inlineStr">
        <is>
          <t>br-sao-paulo</t>
        </is>
      </c>
      <c r="B2022" t="inlineStr">
        <is>
          <t>Sao Paulo</t>
        </is>
      </c>
      <c r="C2022" t="inlineStr">
        <is>
          <t>Brazil</t>
        </is>
      </c>
      <c r="D2022" t="inlineStr">
        <is>
          <t>Latin America</t>
        </is>
      </c>
      <c r="E2022" t="inlineStr">
        <is>
          <t>equal_opportunity_raw</t>
        </is>
      </c>
      <c r="F2022" t="inlineStr">
        <is>
          <t>Equal opportunity raw</t>
        </is>
      </c>
      <c r="G2022" t="inlineStr">
        <is>
          <t>capability</t>
        </is>
      </c>
      <c r="H2022" t="inlineStr">
        <is>
          <t>yes</t>
        </is>
      </c>
      <c r="I2022" t="inlineStr">
        <is>
          <t>51.6</t>
        </is>
      </c>
      <c r="J2022" t="inlineStr">
        <is>
          <t>world_bank</t>
        </is>
      </c>
      <c r="K2022" t="inlineStr">
        <is>
          <t>https://api.worldbank.org/v2/country/BRA/indicator/SI.POV.GINI?format=json&amp;mrv=10</t>
        </is>
      </c>
      <c r="L2022" t="inlineStr">
        <is>
          <t>World Bank WDI: Gini index</t>
        </is>
      </c>
      <c r="M2022" t="inlineStr">
        <is>
          <t>2023-12-31</t>
        </is>
      </c>
      <c r="N2022" t="inlineStr">
        <is>
          <t>auto_ingest=world_bank_capability; indicator=SI.POV.GINI; year=2023; country_proxy=Brazil</t>
        </is>
      </c>
    </row>
    <row r="2023">
      <c r="A2023" t="inlineStr">
        <is>
          <t>br-sao-paulo</t>
        </is>
      </c>
      <c r="B2023" t="inlineStr">
        <is>
          <t>Sao Paulo</t>
        </is>
      </c>
      <c r="C2023" t="inlineStr">
        <is>
          <t>Brazil</t>
        </is>
      </c>
      <c r="D2023" t="inlineStr">
        <is>
          <t>Latin America</t>
        </is>
      </c>
      <c r="E2023" t="inlineStr">
        <is>
          <t>hospitality_belonging_raw</t>
        </is>
      </c>
      <c r="F2023" t="inlineStr">
        <is>
          <t>Hospitality and belonging raw</t>
        </is>
      </c>
      <c r="G2023" t="inlineStr">
        <is>
          <t>community</t>
        </is>
      </c>
      <c r="H2023" t="inlineStr">
        <is>
          <t>yes</t>
        </is>
      </c>
      <c r="I2023" t="inlineStr">
        <is>
          <t>48.98</t>
        </is>
      </c>
      <c r="J2023" t="inlineStr">
        <is>
          <t>world_bank</t>
        </is>
      </c>
      <c r="K2023" t="inlineStr">
        <is>
          <t>https://api.worldbank.org/v2/country/BRA/indicator/SM.POP.NETM?format=json&amp;mrv=10</t>
        </is>
      </c>
      <c r="L2023" t="inlineStr">
        <is>
          <t>World Bank WDI: Net migration (proxy for hospitality/belonging — positive = welcoming)</t>
        </is>
      </c>
      <c r="M2023" t="inlineStr">
        <is>
          <t>2025-12-31</t>
        </is>
      </c>
      <c r="N2023" t="inlineStr">
        <is>
          <t>auto_ingest=world_bank_proxy; proxy=net_migration_hospitality; indicator=SM.POP.NETM; year=2025; country_proxy=Brazil</t>
        </is>
      </c>
    </row>
    <row r="2024">
      <c r="A2024" t="inlineStr">
        <is>
          <t>br-sao-paulo</t>
        </is>
      </c>
      <c r="B2024" t="inlineStr">
        <is>
          <t>Sao Paulo</t>
        </is>
      </c>
      <c r="C2024" t="inlineStr">
        <is>
          <t>Brazil</t>
        </is>
      </c>
      <c r="D2024" t="inlineStr">
        <is>
          <t>Latin America</t>
        </is>
      </c>
      <c r="E2024" t="inlineStr">
        <is>
          <t>tolerance_pluralism_raw</t>
        </is>
      </c>
      <c r="F2024" t="inlineStr">
        <is>
          <t>Tolerance and pluralism raw</t>
        </is>
      </c>
      <c r="G2024" t="inlineStr">
        <is>
          <t>community</t>
        </is>
      </c>
      <c r="H2024" t="inlineStr">
        <is>
          <t>yes</t>
        </is>
      </c>
      <c r="I2024" t="inlineStr">
        <is>
          <t>17.54</t>
        </is>
      </c>
      <c r="J2024" t="inlineStr">
        <is>
          <t>world_bank</t>
        </is>
      </c>
      <c r="K2024" t="inlineStr">
        <is>
          <t>https://api.worldbank.org/v2/country/BRA/indicator/SG.GEN.PARL.ZS?format=json&amp;mrv=10</t>
        </is>
      </c>
      <c r="L2024" t="inlineStr">
        <is>
          <t>World Bank WDI: Proportion of seats held by women in national parliaments (%)</t>
        </is>
      </c>
      <c r="M2024" t="inlineStr">
        <is>
          <t>2024-12-31</t>
        </is>
      </c>
      <c r="N2024" t="inlineStr">
        <is>
          <t>auto_ingest=world_bank_proxy; proxy=gender_parity_parliament; indicator=SG.GEN.PARL.ZS; year=2024; country_proxy=Brazil</t>
        </is>
      </c>
    </row>
    <row r="2025">
      <c r="A2025" t="inlineStr">
        <is>
          <t>br-sao-paulo</t>
        </is>
      </c>
      <c r="B2025" t="inlineStr">
        <is>
          <t>Sao Paulo</t>
        </is>
      </c>
      <c r="C2025" t="inlineStr">
        <is>
          <t>Brazil</t>
        </is>
      </c>
      <c r="D2025" t="inlineStr">
        <is>
          <t>Latin America</t>
        </is>
      </c>
      <c r="E2025" t="inlineStr">
        <is>
          <t>cultural_public_life_raw</t>
        </is>
      </c>
      <c r="F2025" t="inlineStr">
        <is>
          <t>Cultural public life raw</t>
        </is>
      </c>
      <c r="G2025" t="inlineStr">
        <is>
          <t>community</t>
        </is>
      </c>
      <c r="H2025" t="inlineStr">
        <is>
          <t>yes</t>
        </is>
      </c>
      <c r="I2025" t="inlineStr">
        <is>
          <t>29.97</t>
        </is>
      </c>
      <c r="J2025" t="inlineStr">
        <is>
          <t>world_bank</t>
        </is>
      </c>
      <c r="K2025" t="inlineStr">
        <is>
          <t>https://api.worldbank.org/v2/country/BRA/indicator/ST.INT.ARVL?format=json&amp;mrv=10</t>
        </is>
      </c>
      <c r="L2025" t="inlineStr">
        <is>
          <t>World Bank WDI: International tourism arrivals per 1 000 population</t>
        </is>
      </c>
      <c r="M2025" t="inlineStr">
        <is>
          <t>2019-12-31</t>
        </is>
      </c>
      <c r="N2025" t="inlineStr">
        <is>
          <t>auto_ingest=cultural_life_proxy; indicator=ST.INT.ARVL; norm=per_1000_pop; year=2019; country_proxy=Brazil</t>
        </is>
      </c>
    </row>
    <row r="2026">
      <c r="A2026" t="inlineStr">
        <is>
          <t>br-sao-paulo</t>
        </is>
      </c>
      <c r="B2026" t="inlineStr">
        <is>
          <t>Sao Paulo</t>
        </is>
      </c>
      <c r="C2026" t="inlineStr">
        <is>
          <t>Brazil</t>
        </is>
      </c>
      <c r="D2026" t="inlineStr">
        <is>
          <t>Latin America</t>
        </is>
      </c>
      <c r="E2026" t="inlineStr">
        <is>
          <t>birth_rate_optimism_raw</t>
        </is>
      </c>
      <c r="F2026" t="inlineStr">
        <is>
          <t>Birth rate and societal optimism raw</t>
        </is>
      </c>
      <c r="G2026" t="inlineStr">
        <is>
          <t>community</t>
        </is>
      </c>
      <c r="H2026" t="inlineStr">
        <is>
          <t>yes</t>
        </is>
      </c>
      <c r="I2026" t="inlineStr">
        <is>
          <t>1.64</t>
        </is>
      </c>
      <c r="J2026" t="inlineStr">
        <is>
          <t>world_bank</t>
        </is>
      </c>
      <c r="K2026" t="inlineStr">
        <is>
          <t>https://data.worldbank.org/indicator/SP.DYN.TFRT.IN</t>
        </is>
      </c>
      <c r="L2026" t="inlineStr">
        <is>
          <t>World Bank Total Fertility Rate 2023</t>
        </is>
      </c>
      <c r="M2026" t="inlineStr">
        <is>
          <t>2024-01-01</t>
        </is>
      </c>
      <c r="N2026" t="inlineStr"/>
    </row>
    <row r="2027">
      <c r="A2027" t="inlineStr">
        <is>
          <t>br-sao-paulo</t>
        </is>
      </c>
      <c r="B2027" t="inlineStr">
        <is>
          <t>Sao Paulo</t>
        </is>
      </c>
      <c r="C2027" t="inlineStr">
        <is>
          <t>Brazil</t>
        </is>
      </c>
      <c r="D2027" t="inlineStr">
        <is>
          <t>Latin America</t>
        </is>
      </c>
      <c r="E2027" t="inlineStr">
        <is>
          <t>entrepreneurial_dynamism_raw</t>
        </is>
      </c>
      <c r="F2027" t="inlineStr">
        <is>
          <t>Entrepreneurial dynamism raw</t>
        </is>
      </c>
      <c r="G2027" t="inlineStr">
        <is>
          <t>creative</t>
        </is>
      </c>
      <c r="H2027" t="inlineStr">
        <is>
          <t>yes</t>
        </is>
      </c>
      <c r="I2027" t="inlineStr">
        <is>
          <t>5.1</t>
        </is>
      </c>
      <c r="J2027" t="inlineStr">
        <is>
          <t>world_bank</t>
        </is>
      </c>
      <c r="K2027" t="inlineStr">
        <is>
          <t>https://api.worldbank.org/v2/country/BRA/indicator/IC.BUS.NDNS.ZS?format=json&amp;mrv=10</t>
        </is>
      </c>
      <c r="L2027" t="inlineStr">
        <is>
          <t>World Bank WDI: New business density (new registrations per 1,000 people ages 15-64)</t>
        </is>
      </c>
      <c r="M2027" t="inlineStr">
        <is>
          <t>2022-12-31</t>
        </is>
      </c>
      <c r="N2027" t="inlineStr">
        <is>
          <t>auto_ingest=world_bank_creative_extended; indicator=IC.BUS.NDNS.ZS; year=2022; country_proxy=Brazil</t>
        </is>
      </c>
    </row>
    <row r="2028">
      <c r="A2028" t="inlineStr">
        <is>
          <t>br-sao-paulo</t>
        </is>
      </c>
      <c r="B2028" t="inlineStr">
        <is>
          <t>Sao Paulo</t>
        </is>
      </c>
      <c r="C2028" t="inlineStr">
        <is>
          <t>Brazil</t>
        </is>
      </c>
      <c r="D2028" t="inlineStr">
        <is>
          <t>Latin America</t>
        </is>
      </c>
      <c r="E2028" t="inlineStr">
        <is>
          <t>innovation_research_intensity_raw</t>
        </is>
      </c>
      <c r="F2028" t="inlineStr">
        <is>
          <t>Innovation and research raw</t>
        </is>
      </c>
      <c r="G2028" t="inlineStr">
        <is>
          <t>creative</t>
        </is>
      </c>
      <c r="H2028" t="inlineStr">
        <is>
          <t>yes</t>
        </is>
      </c>
      <c r="I2028" t="inlineStr">
        <is>
          <t>1.15</t>
        </is>
      </c>
      <c r="J2028" t="inlineStr">
        <is>
          <t>world_bank</t>
        </is>
      </c>
      <c r="K2028" t="inlineStr">
        <is>
          <t>https://api.worldbank.org/v2/country/BRA/indicator/GB.XPD.RSDV.GD.ZS?format=json&amp;mrv=10</t>
        </is>
      </c>
      <c r="L2028" t="inlineStr">
        <is>
          <t>World Bank WDI: Research and development expenditure (% of GDP)</t>
        </is>
      </c>
      <c r="M2028" t="inlineStr">
        <is>
          <t>2020-12-31</t>
        </is>
      </c>
      <c r="N2028" t="inlineStr">
        <is>
          <t>auto_ingest=world_bank_creative_extended; indicator=GB.XPD.RSDV.GD.ZS; year=2020; country_proxy=Brazil</t>
        </is>
      </c>
    </row>
    <row r="2029">
      <c r="A2029" t="inlineStr">
        <is>
          <t>br-sao-paulo</t>
        </is>
      </c>
      <c r="B2029" t="inlineStr">
        <is>
          <t>Sao Paulo</t>
        </is>
      </c>
      <c r="C2029" t="inlineStr">
        <is>
          <t>Brazil</t>
        </is>
      </c>
      <c r="D2029" t="inlineStr">
        <is>
          <t>Latin America</t>
        </is>
      </c>
      <c r="E2029" t="inlineStr">
        <is>
          <t>investment_signal_raw</t>
        </is>
      </c>
      <c r="F2029" t="inlineStr">
        <is>
          <t>Investment signal raw</t>
        </is>
      </c>
      <c r="G2029" t="inlineStr">
        <is>
          <t>creative</t>
        </is>
      </c>
      <c r="H2029" t="inlineStr">
        <is>
          <t>yes</t>
        </is>
      </c>
      <c r="I2029" t="inlineStr">
        <is>
          <t>3.39</t>
        </is>
      </c>
      <c r="J2029" t="inlineStr">
        <is>
          <t>world_bank</t>
        </is>
      </c>
      <c r="K2029" t="inlineStr">
        <is>
          <t>https://api.worldbank.org/v2/country/BRA/indicator/BX.KLT.DINV.WD.GD.ZS?format=json&amp;mrv=10</t>
        </is>
      </c>
      <c r="L2029" t="inlineStr">
        <is>
          <t>World Bank WDI: Foreign direct investment, net inflows (% of GDP)</t>
        </is>
      </c>
      <c r="M2029" t="inlineStr">
        <is>
          <t>2024-12-31</t>
        </is>
      </c>
      <c r="N2029" t="inlineStr">
        <is>
          <t>auto_ingest=world_bank_creative_extended; indicator=BX.KLT.DINV.WD.GD.ZS; year=2024; country_proxy=Brazil</t>
        </is>
      </c>
    </row>
    <row r="2030">
      <c r="A2030" t="inlineStr">
        <is>
          <t>br-sao-paulo</t>
        </is>
      </c>
      <c r="B2030" t="inlineStr">
        <is>
          <t>Sao Paulo</t>
        </is>
      </c>
      <c r="C2030" t="inlineStr">
        <is>
          <t>Brazil</t>
        </is>
      </c>
      <c r="D2030" t="inlineStr">
        <is>
          <t>Latin America</t>
        </is>
      </c>
      <c r="E2030" t="inlineStr">
        <is>
          <t>administrative_investment_friction_raw</t>
        </is>
      </c>
      <c r="F2030" t="inlineStr">
        <is>
          <t>Administrative investment friction raw</t>
        </is>
      </c>
      <c r="G2030" t="inlineStr">
        <is>
          <t>creative</t>
        </is>
      </c>
      <c r="H2030" t="inlineStr">
        <is>
          <t>yes</t>
        </is>
      </c>
      <c r="I2030" t="inlineStr">
        <is>
          <t>2.8</t>
        </is>
      </c>
      <c r="J2030" t="inlineStr">
        <is>
          <t>world_bank</t>
        </is>
      </c>
      <c r="K2030" t="inlineStr">
        <is>
          <t>https://api.worldbank.org/v2/country/BRA/indicator/RQ.EST?format=json&amp;mrv=10</t>
        </is>
      </c>
      <c r="L2030" t="inlineStr">
        <is>
          <t>World Bank WGI: Regulatory Quality (inverted as friction proxy)</t>
        </is>
      </c>
      <c r="M2030" t="inlineStr">
        <is>
          <t>2023-12-31</t>
        </is>
      </c>
      <c r="N2030" t="inlineStr">
        <is>
          <t>auto_ingest=world_bank_business_friction; indicator=RQ.EST; raw_rq=-0.29647821187973; friction=2.8; year=2023; country_proxy=Brazil</t>
        </is>
      </c>
    </row>
    <row r="2031">
      <c r="A2031" t="inlineStr">
        <is>
          <t>br-sao-paulo</t>
        </is>
      </c>
      <c r="B2031" t="inlineStr">
        <is>
          <t>Sao Paulo</t>
        </is>
      </c>
      <c r="C2031" t="inlineStr">
        <is>
          <t>Brazil</t>
        </is>
      </c>
      <c r="D2031" t="inlineStr">
        <is>
          <t>Latin America</t>
        </is>
      </c>
      <c r="E2031" t="inlineStr">
        <is>
          <t>visitor_flow_context_raw</t>
        </is>
      </c>
      <c r="F2031" t="inlineStr">
        <is>
          <t>Visitor flow context raw</t>
        </is>
      </c>
      <c r="G2031" t="inlineStr">
        <is>
          <t>creative</t>
        </is>
      </c>
      <c r="H2031" t="inlineStr">
        <is>
          <t>no</t>
        </is>
      </c>
      <c r="I2031" t="inlineStr"/>
      <c r="J2031" t="inlineStr"/>
      <c r="K2031" t="inlineStr"/>
      <c r="L2031" t="inlineStr"/>
      <c r="M2031" t="inlineStr"/>
      <c r="N2031" t="inlineStr"/>
    </row>
    <row r="2032">
      <c r="A2032" t="inlineStr">
        <is>
          <t>ar-buenos-aires</t>
        </is>
      </c>
      <c r="B2032" t="inlineStr">
        <is>
          <t>Buenos Aires</t>
        </is>
      </c>
      <c r="C2032" t="inlineStr">
        <is>
          <t>Argentina</t>
        </is>
      </c>
      <c r="D2032" t="inlineStr">
        <is>
          <t>Latin America</t>
        </is>
      </c>
      <c r="E2032" t="inlineStr">
        <is>
          <t>gross_income</t>
        </is>
      </c>
      <c r="F2032" t="inlineStr">
        <is>
          <t>Gross income</t>
        </is>
      </c>
      <c r="G2032" t="inlineStr">
        <is>
          <t>pressure</t>
        </is>
      </c>
      <c r="H2032" t="inlineStr">
        <is>
          <t>yes</t>
        </is>
      </c>
      <c r="I2032" t="inlineStr">
        <is>
          <t>2483.33</t>
        </is>
      </c>
      <c r="J2032" t="inlineStr">
        <is>
          <t>world_bank_col_estimate</t>
        </is>
      </c>
      <c r="K2032" t="inlineStr">
        <is>
          <t>https://api.worldbank.org/v2/country/ARG/indicator/NY.GNP.PCAP.PP.CD?format=json&amp;mrv=10</t>
        </is>
      </c>
      <c r="L2032" t="inlineStr">
        <is>
          <t>World Bank WDI: GNI per capita PPP (monthly USD)</t>
        </is>
      </c>
      <c r="M2032" t="inlineStr">
        <is>
          <t>2024-12-31</t>
        </is>
      </c>
      <c r="N2032" t="inlineStr">
        <is>
          <t>auto_ingest=world_bank_col_estimate; gni_annual=29800.0; year=2024; country_proxy=Argentina; cohort=Latin America</t>
        </is>
      </c>
    </row>
    <row r="2033">
      <c r="A2033" t="inlineStr">
        <is>
          <t>ar-buenos-aires</t>
        </is>
      </c>
      <c r="B2033" t="inlineStr">
        <is>
          <t>Buenos Aires</t>
        </is>
      </c>
      <c r="C2033" t="inlineStr">
        <is>
          <t>Argentina</t>
        </is>
      </c>
      <c r="D2033" t="inlineStr">
        <is>
          <t>Latin America</t>
        </is>
      </c>
      <c r="E2033" t="inlineStr">
        <is>
          <t>di_ppp_raw</t>
        </is>
      </c>
      <c r="F2033" t="inlineStr">
        <is>
          <t>Disposable income PPP (Raw)</t>
        </is>
      </c>
      <c r="G2033" t="inlineStr">
        <is>
          <t>pressure</t>
        </is>
      </c>
      <c r="H2033" t="inlineStr">
        <is>
          <t>yes</t>
        </is>
      </c>
      <c r="I2033" t="inlineStr"/>
      <c r="J2033" t="inlineStr"/>
      <c r="K2033" t="inlineStr"/>
      <c r="L2033" t="inlineStr"/>
      <c r="M2033" t="inlineStr"/>
      <c r="N2033" t="inlineStr"/>
    </row>
    <row r="2034">
      <c r="A2034" t="inlineStr">
        <is>
          <t>ar-buenos-aires</t>
        </is>
      </c>
      <c r="B2034" t="inlineStr">
        <is>
          <t>Buenos Aires</t>
        </is>
      </c>
      <c r="C2034" t="inlineStr">
        <is>
          <t>Argentina</t>
        </is>
      </c>
      <c r="D2034" t="inlineStr">
        <is>
          <t>Latin America</t>
        </is>
      </c>
      <c r="E2034" t="inlineStr">
        <is>
          <t>rent</t>
        </is>
      </c>
      <c r="F2034" t="inlineStr">
        <is>
          <t>Rent</t>
        </is>
      </c>
      <c r="G2034" t="inlineStr">
        <is>
          <t>pressure</t>
        </is>
      </c>
      <c r="H2034" t="inlineStr">
        <is>
          <t>yes</t>
        </is>
      </c>
      <c r="I2034" t="inlineStr">
        <is>
          <t>713.96</t>
        </is>
      </c>
      <c r="J2034" t="inlineStr">
        <is>
          <t>world_bank_col_estimate</t>
        </is>
      </c>
      <c r="K2034" t="inlineStr">
        <is>
          <t>https://api.worldbank.org/v2/country/ARG/indicator/NY.GNP.PCAP.PP.CD?format=json&amp;mrv=10</t>
        </is>
      </c>
      <c r="L2034" t="inlineStr">
        <is>
          <t>World Bank GNI + regional expenditure ratio estimate</t>
        </is>
      </c>
      <c r="M2034" t="inlineStr">
        <is>
          <t>2024-12-31</t>
        </is>
      </c>
      <c r="N2034" t="inlineStr">
        <is>
          <t>auto_ingest=world_bank_col_estimate; gni_annual=29800.0; year=2024; country_proxy=Argentina; cohort=Latin America; city_cost_mult=1.15</t>
        </is>
      </c>
    </row>
    <row r="2035">
      <c r="A2035" t="inlineStr">
        <is>
          <t>ar-buenos-aires</t>
        </is>
      </c>
      <c r="B2035" t="inlineStr">
        <is>
          <t>Buenos Aires</t>
        </is>
      </c>
      <c r="C2035" t="inlineStr">
        <is>
          <t>Argentina</t>
        </is>
      </c>
      <c r="D2035" t="inlineStr">
        <is>
          <t>Latin America</t>
        </is>
      </c>
      <c r="E2035" t="inlineStr">
        <is>
          <t>utilities</t>
        </is>
      </c>
      <c r="F2035" t="inlineStr">
        <is>
          <t>Utilities</t>
        </is>
      </c>
      <c r="G2035" t="inlineStr">
        <is>
          <t>pressure</t>
        </is>
      </c>
      <c r="H2035" t="inlineStr">
        <is>
          <t>yes</t>
        </is>
      </c>
      <c r="I2035" t="inlineStr">
        <is>
          <t>171.35</t>
        </is>
      </c>
      <c r="J2035" t="inlineStr">
        <is>
          <t>world_bank_col_estimate</t>
        </is>
      </c>
      <c r="K2035" t="inlineStr">
        <is>
          <t>https://api.worldbank.org/v2/country/ARG/indicator/NY.GNP.PCAP.PP.CD?format=json&amp;mrv=10</t>
        </is>
      </c>
      <c r="L2035" t="inlineStr">
        <is>
          <t>World Bank GNI + regional expenditure ratio estimate</t>
        </is>
      </c>
      <c r="M2035" t="inlineStr">
        <is>
          <t>2024-12-31</t>
        </is>
      </c>
      <c r="N2035" t="inlineStr">
        <is>
          <t>auto_ingest=world_bank_col_estimate; gni_annual=29800.0; year=2024; country_proxy=Argentina; cohort=Latin America; city_cost_mult=1.15</t>
        </is>
      </c>
    </row>
    <row r="2036">
      <c r="A2036" t="inlineStr">
        <is>
          <t>ar-buenos-aires</t>
        </is>
      </c>
      <c r="B2036" t="inlineStr">
        <is>
          <t>Buenos Aires</t>
        </is>
      </c>
      <c r="C2036" t="inlineStr">
        <is>
          <t>Argentina</t>
        </is>
      </c>
      <c r="D2036" t="inlineStr">
        <is>
          <t>Latin America</t>
        </is>
      </c>
      <c r="E2036" t="inlineStr">
        <is>
          <t>transit_cost</t>
        </is>
      </c>
      <c r="F2036" t="inlineStr">
        <is>
          <t>Transit cost</t>
        </is>
      </c>
      <c r="G2036" t="inlineStr">
        <is>
          <t>pressure</t>
        </is>
      </c>
      <c r="H2036" t="inlineStr">
        <is>
          <t>yes</t>
        </is>
      </c>
      <c r="I2036" t="inlineStr">
        <is>
          <t>114.23</t>
        </is>
      </c>
      <c r="J2036" t="inlineStr">
        <is>
          <t>world_bank_col_estimate</t>
        </is>
      </c>
      <c r="K2036" t="inlineStr">
        <is>
          <t>https://api.worldbank.org/v2/country/ARG/indicator/NY.GNP.PCAP.PP.CD?format=json&amp;mrv=10</t>
        </is>
      </c>
      <c r="L2036" t="inlineStr">
        <is>
          <t>World Bank GNI + regional expenditure ratio estimate</t>
        </is>
      </c>
      <c r="M2036" t="inlineStr">
        <is>
          <t>2024-12-31</t>
        </is>
      </c>
      <c r="N2036" t="inlineStr">
        <is>
          <t>auto_ingest=world_bank_col_estimate; gni_annual=29800.0; year=2024; country_proxy=Argentina; cohort=Latin America; city_cost_mult=1.15</t>
        </is>
      </c>
    </row>
    <row r="2037">
      <c r="A2037" t="inlineStr">
        <is>
          <t>ar-buenos-aires</t>
        </is>
      </c>
      <c r="B2037" t="inlineStr">
        <is>
          <t>Buenos Aires</t>
        </is>
      </c>
      <c r="C2037" t="inlineStr">
        <is>
          <t>Argentina</t>
        </is>
      </c>
      <c r="D2037" t="inlineStr">
        <is>
          <t>Latin America</t>
        </is>
      </c>
      <c r="E2037" t="inlineStr">
        <is>
          <t>internet_cost</t>
        </is>
      </c>
      <c r="F2037" t="inlineStr">
        <is>
          <t>Internet cost</t>
        </is>
      </c>
      <c r="G2037" t="inlineStr">
        <is>
          <t>pressure</t>
        </is>
      </c>
      <c r="H2037" t="inlineStr">
        <is>
          <t>yes</t>
        </is>
      </c>
      <c r="I2037" t="inlineStr">
        <is>
          <t>42.84</t>
        </is>
      </c>
      <c r="J2037" t="inlineStr">
        <is>
          <t>world_bank_col_estimate</t>
        </is>
      </c>
      <c r="K2037" t="inlineStr">
        <is>
          <t>https://api.worldbank.org/v2/country/ARG/indicator/NY.GNP.PCAP.PP.CD?format=json&amp;mrv=10</t>
        </is>
      </c>
      <c r="L2037" t="inlineStr">
        <is>
          <t>World Bank GNI + regional expenditure ratio estimate</t>
        </is>
      </c>
      <c r="M2037" t="inlineStr">
        <is>
          <t>2024-12-31</t>
        </is>
      </c>
      <c r="N2037" t="inlineStr">
        <is>
          <t>auto_ingest=world_bank_col_estimate; gni_annual=29800.0; year=2024; country_proxy=Argentina; cohort=Latin America; city_cost_mult=1.15</t>
        </is>
      </c>
    </row>
    <row r="2038">
      <c r="A2038" t="inlineStr">
        <is>
          <t>ar-buenos-aires</t>
        </is>
      </c>
      <c r="B2038" t="inlineStr">
        <is>
          <t>Buenos Aires</t>
        </is>
      </c>
      <c r="C2038" t="inlineStr">
        <is>
          <t>Argentina</t>
        </is>
      </c>
      <c r="D2038" t="inlineStr">
        <is>
          <t>Latin America</t>
        </is>
      </c>
      <c r="E2038" t="inlineStr">
        <is>
          <t>food_cost</t>
        </is>
      </c>
      <c r="F2038" t="inlineStr">
        <is>
          <t>Food cost</t>
        </is>
      </c>
      <c r="G2038" t="inlineStr">
        <is>
          <t>pressure</t>
        </is>
      </c>
      <c r="H2038" t="inlineStr">
        <is>
          <t>yes</t>
        </is>
      </c>
      <c r="I2038" t="inlineStr">
        <is>
          <t>628.28</t>
        </is>
      </c>
      <c r="J2038" t="inlineStr">
        <is>
          <t>world_bank_col_estimate</t>
        </is>
      </c>
      <c r="K2038" t="inlineStr">
        <is>
          <t>https://api.worldbank.org/v2/country/ARG/indicator/NY.GNP.PCAP.PP.CD?format=json&amp;mrv=10</t>
        </is>
      </c>
      <c r="L2038" t="inlineStr">
        <is>
          <t>World Bank GNI + regional expenditure ratio estimate</t>
        </is>
      </c>
      <c r="M2038" t="inlineStr">
        <is>
          <t>2024-12-31</t>
        </is>
      </c>
      <c r="N2038" t="inlineStr">
        <is>
          <t>auto_ingest=world_bank_col_estimate; gni_annual=29800.0; year=2024; country_proxy=Argentina; cohort=Latin America; city_cost_mult=1.15</t>
        </is>
      </c>
    </row>
    <row r="2039">
      <c r="A2039" t="inlineStr">
        <is>
          <t>ar-buenos-aires</t>
        </is>
      </c>
      <c r="B2039" t="inlineStr">
        <is>
          <t>Buenos Aires</t>
        </is>
      </c>
      <c r="C2039" t="inlineStr">
        <is>
          <t>Argentina</t>
        </is>
      </c>
      <c r="D2039" t="inlineStr">
        <is>
          <t>Latin America</t>
        </is>
      </c>
      <c r="E2039" t="inlineStr">
        <is>
          <t>housing_burden_raw</t>
        </is>
      </c>
      <c r="F2039" t="inlineStr">
        <is>
          <t>Housing burden raw</t>
        </is>
      </c>
      <c r="G2039" t="inlineStr">
        <is>
          <t>pressure</t>
        </is>
      </c>
      <c r="H2039" t="inlineStr">
        <is>
          <t>yes</t>
        </is>
      </c>
      <c r="I2039" t="inlineStr">
        <is>
          <t>28.7501</t>
        </is>
      </c>
      <c r="J2039" t="inlineStr">
        <is>
          <t>derived</t>
        </is>
      </c>
      <c r="K2039" t="inlineStr">
        <is>
          <t>https://data.worldbank.org/indicator/NY.GNP.PCAP.PP.CD</t>
        </is>
      </c>
      <c r="L2039" t="inlineStr">
        <is>
          <t>Computed from city_inputs + country_context</t>
        </is>
      </c>
      <c r="M2039" t="inlineStr">
        <is>
          <t>2024-01-01</t>
        </is>
      </c>
      <c r="N2039" t="inlineStr">
        <is>
          <t>derived=rent/gross_income*100</t>
        </is>
      </c>
    </row>
    <row r="2040">
      <c r="A2040" t="inlineStr">
        <is>
          <t>ar-buenos-aires</t>
        </is>
      </c>
      <c r="B2040" t="inlineStr">
        <is>
          <t>Buenos Aires</t>
        </is>
      </c>
      <c r="C2040" t="inlineStr">
        <is>
          <t>Argentina</t>
        </is>
      </c>
      <c r="D2040" t="inlineStr">
        <is>
          <t>Latin America</t>
        </is>
      </c>
      <c r="E2040" t="inlineStr">
        <is>
          <t>household_debt_burden_raw</t>
        </is>
      </c>
      <c r="F2040" t="inlineStr">
        <is>
          <t>Household debt burden raw</t>
        </is>
      </c>
      <c r="G2040" t="inlineStr">
        <is>
          <t>pressure</t>
        </is>
      </c>
      <c r="H2040" t="inlineStr">
        <is>
          <t>yes</t>
        </is>
      </c>
      <c r="I2040" t="inlineStr">
        <is>
          <t>13.0788</t>
        </is>
      </c>
      <c r="J2040" t="inlineStr">
        <is>
          <t>derived</t>
        </is>
      </c>
      <c r="K2040" t="inlineStr">
        <is>
          <t>https://data.worldbank.org/indicator/NY.GNP.PCAP.PP.CD</t>
        </is>
      </c>
      <c r="L2040" t="inlineStr">
        <is>
          <t>Computed from city_inputs + country_context</t>
        </is>
      </c>
      <c r="M2040" t="inlineStr">
        <is>
          <t>2024-01-01</t>
        </is>
      </c>
      <c r="N2040" t="inlineStr">
        <is>
          <t>derived=country_context.household_debt_proxy; country=Argentina</t>
        </is>
      </c>
    </row>
    <row r="2041">
      <c r="A2041" t="inlineStr">
        <is>
          <t>ar-buenos-aires</t>
        </is>
      </c>
      <c r="B2041" t="inlineStr">
        <is>
          <t>Buenos Aires</t>
        </is>
      </c>
      <c r="C2041" t="inlineStr">
        <is>
          <t>Argentina</t>
        </is>
      </c>
      <c r="D2041" t="inlineStr">
        <is>
          <t>Latin America</t>
        </is>
      </c>
      <c r="E2041" t="inlineStr">
        <is>
          <t>working_time_pressure_raw</t>
        </is>
      </c>
      <c r="F2041" t="inlineStr">
        <is>
          <t>Working time pressure raw</t>
        </is>
      </c>
      <c r="G2041" t="inlineStr">
        <is>
          <t>pressure</t>
        </is>
      </c>
      <c r="H2041" t="inlineStr">
        <is>
          <t>yes</t>
        </is>
      </c>
      <c r="I2041" t="inlineStr">
        <is>
          <t>36.45</t>
        </is>
      </c>
      <c r="J2041" t="inlineStr">
        <is>
          <t>ilo_ilostat</t>
        </is>
      </c>
      <c r="K2041" t="inlineStr">
        <is>
          <t>https://ilostat.ilo.org/data/indicator/?id=HOW_TEMP_SEX_ECO_NB_A&amp;ref_area=ARG</t>
        </is>
      </c>
      <c r="L2041" t="inlineStr">
        <is>
          <t>ILO ILOSTAT: Mean weekly hours actually worked per employed person</t>
        </is>
      </c>
      <c r="M2041" t="inlineStr">
        <is>
          <t>2024-12-31</t>
        </is>
      </c>
      <c r="N2041" t="inlineStr">
        <is>
          <t>auto_ingest=ilo_working_hours; indicator=HOW_TEMP_SEX_ECO_NB_A; year=2024; hours=36.45; country_proxy=Argentina</t>
        </is>
      </c>
    </row>
    <row r="2042">
      <c r="A2042" t="inlineStr">
        <is>
          <t>ar-buenos-aires</t>
        </is>
      </c>
      <c r="B2042" t="inlineStr">
        <is>
          <t>Buenos Aires</t>
        </is>
      </c>
      <c r="C2042" t="inlineStr">
        <is>
          <t>Argentina</t>
        </is>
      </c>
      <c r="D2042" t="inlineStr">
        <is>
          <t>Latin America</t>
        </is>
      </c>
      <c r="E2042" t="inlineStr">
        <is>
          <t>suicide_mental_strain_raw</t>
        </is>
      </c>
      <c r="F2042" t="inlineStr">
        <is>
          <t>Suicide or mental strain raw</t>
        </is>
      </c>
      <c r="G2042" t="inlineStr">
        <is>
          <t>pressure</t>
        </is>
      </c>
      <c r="H2042" t="inlineStr">
        <is>
          <t>yes</t>
        </is>
      </c>
      <c r="I2042" t="inlineStr">
        <is>
          <t>7.94</t>
        </is>
      </c>
      <c r="J2042" t="inlineStr">
        <is>
          <t>who_gho</t>
        </is>
      </c>
      <c r="K2042" t="inlineStr">
        <is>
          <t>https://www.who.int/data/gho/data/indicators/indicator-details/GHO/SDGSUICIDE</t>
        </is>
      </c>
      <c r="L2042" t="inlineStr">
        <is>
          <t>WHO GHO: Age-standardized suicide rate (per 100,000 population)</t>
        </is>
      </c>
      <c r="M2042" t="inlineStr">
        <is>
          <t>2021-12-31</t>
        </is>
      </c>
      <c r="N2042" t="inlineStr">
        <is>
          <t>auto_ingest=who_gho; indicator=SDGSUICIDE; year=2021; country_proxy=Argentina</t>
        </is>
      </c>
    </row>
    <row r="2043">
      <c r="A2043" t="inlineStr">
        <is>
          <t>ar-buenos-aires</t>
        </is>
      </c>
      <c r="B2043" t="inlineStr">
        <is>
          <t>Buenos Aires</t>
        </is>
      </c>
      <c r="C2043" t="inlineStr">
        <is>
          <t>Argentina</t>
        </is>
      </c>
      <c r="D2043" t="inlineStr">
        <is>
          <t>Latin America</t>
        </is>
      </c>
      <c r="E2043" t="inlineStr">
        <is>
          <t>personal_safety_raw</t>
        </is>
      </c>
      <c r="F2043" t="inlineStr">
        <is>
          <t>Personal safety raw</t>
        </is>
      </c>
      <c r="G2043" t="inlineStr">
        <is>
          <t>viability</t>
        </is>
      </c>
      <c r="H2043" t="inlineStr">
        <is>
          <t>yes</t>
        </is>
      </c>
      <c r="I2043" t="inlineStr">
        <is>
          <t>4.49</t>
        </is>
      </c>
      <c r="J2043" t="inlineStr">
        <is>
          <t>world_bank</t>
        </is>
      </c>
      <c r="K2043" t="inlineStr">
        <is>
          <t>https://api.worldbank.org/v2/country/ARG/indicator/VC.IHR.PSRC.P5?format=json&amp;mrv=10</t>
        </is>
      </c>
      <c r="L2043" t="inlineStr">
        <is>
          <t>UNODC via World Bank WDI: Intentional homicides (per 100,000 people)</t>
        </is>
      </c>
      <c r="M2043" t="inlineStr">
        <is>
          <t>2023-12-31</t>
        </is>
      </c>
      <c r="N2043" t="inlineStr">
        <is>
          <t>auto_ingest=unodc_safety; indicator=VC.IHR.PSRC.P5; year=2023; country_proxy=Argentina</t>
        </is>
      </c>
    </row>
    <row r="2044">
      <c r="A2044" t="inlineStr">
        <is>
          <t>ar-buenos-aires</t>
        </is>
      </c>
      <c r="B2044" t="inlineStr">
        <is>
          <t>Buenos Aires</t>
        </is>
      </c>
      <c r="C2044" t="inlineStr">
        <is>
          <t>Argentina</t>
        </is>
      </c>
      <c r="D2044" t="inlineStr">
        <is>
          <t>Latin America</t>
        </is>
      </c>
      <c r="E2044" t="inlineStr">
        <is>
          <t>transit_access_commute_raw</t>
        </is>
      </c>
      <c r="F2044" t="inlineStr">
        <is>
          <t>Transit access and commute raw</t>
        </is>
      </c>
      <c r="G2044" t="inlineStr">
        <is>
          <t>viability</t>
        </is>
      </c>
      <c r="H2044" t="inlineStr">
        <is>
          <t>yes</t>
        </is>
      </c>
      <c r="I2044" t="inlineStr"/>
      <c r="J2044" t="inlineStr"/>
      <c r="K2044" t="inlineStr"/>
      <c r="L2044" t="inlineStr"/>
      <c r="M2044" t="inlineStr"/>
      <c r="N2044" t="inlineStr"/>
    </row>
    <row r="2045">
      <c r="A2045" t="inlineStr">
        <is>
          <t>ar-buenos-aires</t>
        </is>
      </c>
      <c r="B2045" t="inlineStr">
        <is>
          <t>Buenos Aires</t>
        </is>
      </c>
      <c r="C2045" t="inlineStr">
        <is>
          <t>Argentina</t>
        </is>
      </c>
      <c r="D2045" t="inlineStr">
        <is>
          <t>Latin America</t>
        </is>
      </c>
      <c r="E2045" t="inlineStr">
        <is>
          <t>clean_air_raw</t>
        </is>
      </c>
      <c r="F2045" t="inlineStr">
        <is>
          <t>Clean air raw</t>
        </is>
      </c>
      <c r="G2045" t="inlineStr">
        <is>
          <t>viability</t>
        </is>
      </c>
      <c r="H2045" t="inlineStr">
        <is>
          <t>yes</t>
        </is>
      </c>
      <c r="I2045" t="inlineStr"/>
      <c r="J2045" t="inlineStr"/>
      <c r="K2045" t="inlineStr"/>
      <c r="L2045" t="inlineStr"/>
      <c r="M2045" t="inlineStr"/>
      <c r="N2045" t="inlineStr"/>
    </row>
    <row r="2046">
      <c r="A2046" t="inlineStr">
        <is>
          <t>ar-buenos-aires</t>
        </is>
      </c>
      <c r="B2046" t="inlineStr">
        <is>
          <t>Buenos Aires</t>
        </is>
      </c>
      <c r="C2046" t="inlineStr">
        <is>
          <t>Argentina</t>
        </is>
      </c>
      <c r="D2046" t="inlineStr">
        <is>
          <t>Latin America</t>
        </is>
      </c>
      <c r="E2046" t="inlineStr">
        <is>
          <t>water_sanitation_utility_raw</t>
        </is>
      </c>
      <c r="F2046" t="inlineStr">
        <is>
          <t>Water, sanitation, and utility raw</t>
        </is>
      </c>
      <c r="G2046" t="inlineStr">
        <is>
          <t>viability</t>
        </is>
      </c>
      <c r="H2046" t="inlineStr">
        <is>
          <t>yes</t>
        </is>
      </c>
      <c r="I2046" t="inlineStr"/>
      <c r="J2046" t="inlineStr"/>
      <c r="K2046" t="inlineStr"/>
      <c r="L2046" t="inlineStr"/>
      <c r="M2046" t="inlineStr"/>
      <c r="N2046" t="inlineStr"/>
    </row>
    <row r="2047">
      <c r="A2047" t="inlineStr">
        <is>
          <t>ar-buenos-aires</t>
        </is>
      </c>
      <c r="B2047" t="inlineStr">
        <is>
          <t>Buenos Aires</t>
        </is>
      </c>
      <c r="C2047" t="inlineStr">
        <is>
          <t>Argentina</t>
        </is>
      </c>
      <c r="D2047" t="inlineStr">
        <is>
          <t>Latin America</t>
        </is>
      </c>
      <c r="E2047" t="inlineStr">
        <is>
          <t>digital_infrastructure_raw</t>
        </is>
      </c>
      <c r="F2047" t="inlineStr">
        <is>
          <t>Digital infrastructure raw</t>
        </is>
      </c>
      <c r="G2047" t="inlineStr">
        <is>
          <t>viability</t>
        </is>
      </c>
      <c r="H2047" t="inlineStr">
        <is>
          <t>yes</t>
        </is>
      </c>
      <c r="I2047" t="inlineStr">
        <is>
          <t>25.36</t>
        </is>
      </c>
      <c r="J2047" t="inlineStr">
        <is>
          <t>world_bank</t>
        </is>
      </c>
      <c r="K2047" t="inlineStr">
        <is>
          <t>https://api.worldbank.org/v2/country/ARG/indicator/IT.NET.BBND.P2?format=json&amp;mrv=10</t>
        </is>
      </c>
      <c r="L2047" t="inlineStr">
        <is>
          <t>World Bank WDI: Fixed broadband subscriptions (per 100 people)</t>
        </is>
      </c>
      <c r="M2047" t="inlineStr">
        <is>
          <t>2023-12-31</t>
        </is>
      </c>
      <c r="N2047" t="inlineStr">
        <is>
          <t>auto_ingest=world_bank_proxy; indicator=IT.NET.BBND.P2; year=2023; country_proxy=Argentina</t>
        </is>
      </c>
    </row>
    <row r="2048">
      <c r="A2048" t="inlineStr">
        <is>
          <t>ar-buenos-aires</t>
        </is>
      </c>
      <c r="B2048" t="inlineStr">
        <is>
          <t>Buenos Aires</t>
        </is>
      </c>
      <c r="C2048" t="inlineStr">
        <is>
          <t>Argentina</t>
        </is>
      </c>
      <c r="D2048" t="inlineStr">
        <is>
          <t>Latin America</t>
        </is>
      </c>
      <c r="E2048" t="inlineStr">
        <is>
          <t>climate_sunlight_livability_raw</t>
        </is>
      </c>
      <c r="F2048" t="inlineStr">
        <is>
          <t>Climate and sunlight livability raw</t>
        </is>
      </c>
      <c r="G2048" t="inlineStr">
        <is>
          <t>viability</t>
        </is>
      </c>
      <c r="H2048" t="inlineStr">
        <is>
          <t>yes</t>
        </is>
      </c>
      <c r="I2048" t="inlineStr">
        <is>
          <t>62</t>
        </is>
      </c>
      <c r="J2048" t="inlineStr">
        <is>
          <t>wmo_natl_met</t>
        </is>
      </c>
      <c r="K2048" t="inlineStr">
        <is>
          <t>https://worldweather.wmo.int</t>
        </is>
      </c>
      <c r="L2048" t="inlineStr">
        <is>
          <t>WMO/National Met: Climate livability composite</t>
        </is>
      </c>
      <c r="M2048" t="inlineStr">
        <is>
          <t>2024-12-31</t>
        </is>
      </c>
      <c r="N2048" t="inlineStr">
        <is>
          <t>auto_seed=climate_composite; 2400 sun hrs, 18C mean, temperate</t>
        </is>
      </c>
    </row>
    <row r="2049">
      <c r="A2049" t="inlineStr">
        <is>
          <t>ar-buenos-aires</t>
        </is>
      </c>
      <c r="B2049" t="inlineStr">
        <is>
          <t>Buenos Aires</t>
        </is>
      </c>
      <c r="C2049" t="inlineStr">
        <is>
          <t>Argentina</t>
        </is>
      </c>
      <c r="D2049" t="inlineStr">
        <is>
          <t>Latin America</t>
        </is>
      </c>
      <c r="E2049" t="inlineStr">
        <is>
          <t>healthcare_quality_raw</t>
        </is>
      </c>
      <c r="F2049" t="inlineStr">
        <is>
          <t>Healthcare quality raw</t>
        </is>
      </c>
      <c r="G2049" t="inlineStr">
        <is>
          <t>capability</t>
        </is>
      </c>
      <c r="H2049" t="inlineStr">
        <is>
          <t>yes</t>
        </is>
      </c>
      <c r="I2049" t="inlineStr">
        <is>
          <t>80.0</t>
        </is>
      </c>
      <c r="J2049" t="inlineStr">
        <is>
          <t>who_gho</t>
        </is>
      </c>
      <c r="K2049" t="inlineStr">
        <is>
          <t>https://www.who.int/data/gho/data/indicators/indicator-details/GHO/UHC_INDEX_REPORTED</t>
        </is>
      </c>
      <c r="L2049" t="inlineStr">
        <is>
          <t>WHO GHO: UHC Service Coverage Index</t>
        </is>
      </c>
      <c r="M2049" t="inlineStr">
        <is>
          <t>2023-12-31</t>
        </is>
      </c>
      <c r="N2049" t="inlineStr">
        <is>
          <t>auto_ingest=who_gho; indicator=UHC_INDEX_REPORTED; year=2023; country_proxy=Argentina</t>
        </is>
      </c>
    </row>
    <row r="2050">
      <c r="A2050" t="inlineStr">
        <is>
          <t>ar-buenos-aires</t>
        </is>
      </c>
      <c r="B2050" t="inlineStr">
        <is>
          <t>Buenos Aires</t>
        </is>
      </c>
      <c r="C2050" t="inlineStr">
        <is>
          <t>Argentina</t>
        </is>
      </c>
      <c r="D2050" t="inlineStr">
        <is>
          <t>Latin America</t>
        </is>
      </c>
      <c r="E2050" t="inlineStr">
        <is>
          <t>education_quality_raw</t>
        </is>
      </c>
      <c r="F2050" t="inlineStr">
        <is>
          <t>Education quality raw</t>
        </is>
      </c>
      <c r="G2050" t="inlineStr">
        <is>
          <t>capability</t>
        </is>
      </c>
      <c r="H2050" t="inlineStr">
        <is>
          <t>yes</t>
        </is>
      </c>
      <c r="I2050" t="inlineStr">
        <is>
          <t>107.82</t>
        </is>
      </c>
      <c r="J2050" t="inlineStr">
        <is>
          <t>world_bank</t>
        </is>
      </c>
      <c r="K2050" t="inlineStr">
        <is>
          <t>https://api.worldbank.org/v2/country/ARG/indicator/SE.TER.ENRR?format=json&amp;mrv=10</t>
        </is>
      </c>
      <c r="L2050" t="inlineStr">
        <is>
          <t>World Bank WDI: School enrollment, tertiary (% gross)</t>
        </is>
      </c>
      <c r="M2050" t="inlineStr">
        <is>
          <t>2023-12-31</t>
        </is>
      </c>
      <c r="N2050" t="inlineStr">
        <is>
          <t>auto_ingest=world_bank_proxy; indicator=SE.TER.ENRR; year=2023; country_proxy=Argentina</t>
        </is>
      </c>
    </row>
    <row r="2051">
      <c r="A2051" t="inlineStr">
        <is>
          <t>ar-buenos-aires</t>
        </is>
      </c>
      <c r="B2051" t="inlineStr">
        <is>
          <t>Buenos Aires</t>
        </is>
      </c>
      <c r="C2051" t="inlineStr">
        <is>
          <t>Argentina</t>
        </is>
      </c>
      <c r="D2051" t="inlineStr">
        <is>
          <t>Latin America</t>
        </is>
      </c>
      <c r="E2051" t="inlineStr">
        <is>
          <t>equal_opportunity_raw</t>
        </is>
      </c>
      <c r="F2051" t="inlineStr">
        <is>
          <t>Equal opportunity raw</t>
        </is>
      </c>
      <c r="G2051" t="inlineStr">
        <is>
          <t>capability</t>
        </is>
      </c>
      <c r="H2051" t="inlineStr">
        <is>
          <t>yes</t>
        </is>
      </c>
      <c r="I2051" t="inlineStr">
        <is>
          <t>42.4</t>
        </is>
      </c>
      <c r="J2051" t="inlineStr">
        <is>
          <t>world_bank</t>
        </is>
      </c>
      <c r="K2051" t="inlineStr">
        <is>
          <t>https://api.worldbank.org/v2/country/ARG/indicator/SI.POV.GINI?format=json&amp;mrv=10</t>
        </is>
      </c>
      <c r="L2051" t="inlineStr">
        <is>
          <t>World Bank WDI: Gini index</t>
        </is>
      </c>
      <c r="M2051" t="inlineStr">
        <is>
          <t>2024-12-31</t>
        </is>
      </c>
      <c r="N2051" t="inlineStr">
        <is>
          <t>auto_ingest=world_bank_capability; indicator=SI.POV.GINI; year=2024; country_proxy=Argentina</t>
        </is>
      </c>
    </row>
    <row r="2052">
      <c r="A2052" t="inlineStr">
        <is>
          <t>ar-buenos-aires</t>
        </is>
      </c>
      <c r="B2052" t="inlineStr">
        <is>
          <t>Buenos Aires</t>
        </is>
      </c>
      <c r="C2052" t="inlineStr">
        <is>
          <t>Argentina</t>
        </is>
      </c>
      <c r="D2052" t="inlineStr">
        <is>
          <t>Latin America</t>
        </is>
      </c>
      <c r="E2052" t="inlineStr">
        <is>
          <t>hospitality_belonging_raw</t>
        </is>
      </c>
      <c r="F2052" t="inlineStr">
        <is>
          <t>Hospitality and belonging raw</t>
        </is>
      </c>
      <c r="G2052" t="inlineStr">
        <is>
          <t>community</t>
        </is>
      </c>
      <c r="H2052" t="inlineStr">
        <is>
          <t>yes</t>
        </is>
      </c>
      <c r="I2052" t="inlineStr">
        <is>
          <t>50.06</t>
        </is>
      </c>
      <c r="J2052" t="inlineStr">
        <is>
          <t>world_bank</t>
        </is>
      </c>
      <c r="K2052" t="inlineStr">
        <is>
          <t>https://api.worldbank.org/v2/country/ARG/indicator/SM.POP.NETM?format=json&amp;mrv=10</t>
        </is>
      </c>
      <c r="L2052" t="inlineStr">
        <is>
          <t>World Bank WDI: Net migration (proxy for hospitality/belonging — positive = welcoming)</t>
        </is>
      </c>
      <c r="M2052" t="inlineStr">
        <is>
          <t>2025-12-31</t>
        </is>
      </c>
      <c r="N2052" t="inlineStr">
        <is>
          <t>auto_ingest=world_bank_proxy; proxy=net_migration_hospitality; indicator=SM.POP.NETM; year=2025; country_proxy=Argentina</t>
        </is>
      </c>
    </row>
    <row r="2053">
      <c r="A2053" t="inlineStr">
        <is>
          <t>ar-buenos-aires</t>
        </is>
      </c>
      <c r="B2053" t="inlineStr">
        <is>
          <t>Buenos Aires</t>
        </is>
      </c>
      <c r="C2053" t="inlineStr">
        <is>
          <t>Argentina</t>
        </is>
      </c>
      <c r="D2053" t="inlineStr">
        <is>
          <t>Latin America</t>
        </is>
      </c>
      <c r="E2053" t="inlineStr">
        <is>
          <t>tolerance_pluralism_raw</t>
        </is>
      </c>
      <c r="F2053" t="inlineStr">
        <is>
          <t>Tolerance and pluralism raw</t>
        </is>
      </c>
      <c r="G2053" t="inlineStr">
        <is>
          <t>community</t>
        </is>
      </c>
      <c r="H2053" t="inlineStr">
        <is>
          <t>yes</t>
        </is>
      </c>
      <c r="I2053" t="inlineStr">
        <is>
          <t>42.41</t>
        </is>
      </c>
      <c r="J2053" t="inlineStr">
        <is>
          <t>world_bank</t>
        </is>
      </c>
      <c r="K2053" t="inlineStr">
        <is>
          <t>https://api.worldbank.org/v2/country/ARG/indicator/SG.GEN.PARL.ZS?format=json&amp;mrv=10</t>
        </is>
      </c>
      <c r="L2053" t="inlineStr">
        <is>
          <t>World Bank WDI: Proportion of seats held by women in national parliaments (%)</t>
        </is>
      </c>
      <c r="M2053" t="inlineStr">
        <is>
          <t>2024-12-31</t>
        </is>
      </c>
      <c r="N2053" t="inlineStr">
        <is>
          <t>auto_ingest=world_bank_proxy; proxy=gender_parity_parliament; indicator=SG.GEN.PARL.ZS; year=2024; country_proxy=Argentina</t>
        </is>
      </c>
    </row>
    <row r="2054">
      <c r="A2054" t="inlineStr">
        <is>
          <t>ar-buenos-aires</t>
        </is>
      </c>
      <c r="B2054" t="inlineStr">
        <is>
          <t>Buenos Aires</t>
        </is>
      </c>
      <c r="C2054" t="inlineStr">
        <is>
          <t>Argentina</t>
        </is>
      </c>
      <c r="D2054" t="inlineStr">
        <is>
          <t>Latin America</t>
        </is>
      </c>
      <c r="E2054" t="inlineStr">
        <is>
          <t>cultural_public_life_raw</t>
        </is>
      </c>
      <c r="F2054" t="inlineStr">
        <is>
          <t>Cultural public life raw</t>
        </is>
      </c>
      <c r="G2054" t="inlineStr">
        <is>
          <t>community</t>
        </is>
      </c>
      <c r="H2054" t="inlineStr">
        <is>
          <t>yes</t>
        </is>
      </c>
      <c r="I2054" t="inlineStr">
        <is>
          <t>161.92</t>
        </is>
      </c>
      <c r="J2054" t="inlineStr">
        <is>
          <t>world_bank</t>
        </is>
      </c>
      <c r="K2054" t="inlineStr">
        <is>
          <t>https://api.worldbank.org/v2/country/ARG/indicator/ST.INT.ARVL?format=json&amp;mrv=10</t>
        </is>
      </c>
      <c r="L2054" t="inlineStr">
        <is>
          <t>World Bank WDI: International tourism arrivals per 1 000 population</t>
        </is>
      </c>
      <c r="M2054" t="inlineStr">
        <is>
          <t>2019-12-31</t>
        </is>
      </c>
      <c r="N2054" t="inlineStr">
        <is>
          <t>auto_ingest=cultural_life_proxy; indicator=ST.INT.ARVL; norm=per_1000_pop; year=2019; country_proxy=Argentina</t>
        </is>
      </c>
    </row>
    <row r="2055">
      <c r="A2055" t="inlineStr">
        <is>
          <t>ar-buenos-aires</t>
        </is>
      </c>
      <c r="B2055" t="inlineStr">
        <is>
          <t>Buenos Aires</t>
        </is>
      </c>
      <c r="C2055" t="inlineStr">
        <is>
          <t>Argentina</t>
        </is>
      </c>
      <c r="D2055" t="inlineStr">
        <is>
          <t>Latin America</t>
        </is>
      </c>
      <c r="E2055" t="inlineStr">
        <is>
          <t>birth_rate_optimism_raw</t>
        </is>
      </c>
      <c r="F2055" t="inlineStr">
        <is>
          <t>Birth rate and societal optimism raw</t>
        </is>
      </c>
      <c r="G2055" t="inlineStr">
        <is>
          <t>community</t>
        </is>
      </c>
      <c r="H2055" t="inlineStr">
        <is>
          <t>yes</t>
        </is>
      </c>
      <c r="I2055" t="inlineStr">
        <is>
          <t>1.56</t>
        </is>
      </c>
      <c r="J2055" t="inlineStr">
        <is>
          <t>world_bank</t>
        </is>
      </c>
      <c r="K2055" t="inlineStr">
        <is>
          <t>https://data.worldbank.org/indicator/SP.DYN.TFRT.IN</t>
        </is>
      </c>
      <c r="L2055" t="inlineStr">
        <is>
          <t>World Bank Total Fertility Rate 2023</t>
        </is>
      </c>
      <c r="M2055" t="inlineStr">
        <is>
          <t>2024-01-01</t>
        </is>
      </c>
      <c r="N2055" t="inlineStr"/>
    </row>
    <row r="2056">
      <c r="A2056" t="inlineStr">
        <is>
          <t>ar-buenos-aires</t>
        </is>
      </c>
      <c r="B2056" t="inlineStr">
        <is>
          <t>Buenos Aires</t>
        </is>
      </c>
      <c r="C2056" t="inlineStr">
        <is>
          <t>Argentina</t>
        </is>
      </c>
      <c r="D2056" t="inlineStr">
        <is>
          <t>Latin America</t>
        </is>
      </c>
      <c r="E2056" t="inlineStr">
        <is>
          <t>entrepreneurial_dynamism_raw</t>
        </is>
      </c>
      <c r="F2056" t="inlineStr">
        <is>
          <t>Entrepreneurial dynamism raw</t>
        </is>
      </c>
      <c r="G2056" t="inlineStr">
        <is>
          <t>creative</t>
        </is>
      </c>
      <c r="H2056" t="inlineStr">
        <is>
          <t>yes</t>
        </is>
      </c>
      <c r="I2056" t="inlineStr">
        <is>
          <t>0.2</t>
        </is>
      </c>
      <c r="J2056" t="inlineStr">
        <is>
          <t>world_bank</t>
        </is>
      </c>
      <c r="K2056" t="inlineStr">
        <is>
          <t>https://api.worldbank.org/v2/country/ARG/indicator/IC.BUS.NDNS.ZS?format=json&amp;mrv=10</t>
        </is>
      </c>
      <c r="L2056" t="inlineStr">
        <is>
          <t>World Bank WDI: New business density (new registrations per 1,000 people ages 15-64)</t>
        </is>
      </c>
      <c r="M2056" t="inlineStr">
        <is>
          <t>2018-12-31</t>
        </is>
      </c>
      <c r="N2056" t="inlineStr">
        <is>
          <t>auto_ingest=world_bank_creative_extended; indicator=IC.BUS.NDNS.ZS; year=2018; country_proxy=Argentina</t>
        </is>
      </c>
    </row>
    <row r="2057">
      <c r="A2057" t="inlineStr">
        <is>
          <t>ar-buenos-aires</t>
        </is>
      </c>
      <c r="B2057" t="inlineStr">
        <is>
          <t>Buenos Aires</t>
        </is>
      </c>
      <c r="C2057" t="inlineStr">
        <is>
          <t>Argentina</t>
        </is>
      </c>
      <c r="D2057" t="inlineStr">
        <is>
          <t>Latin America</t>
        </is>
      </c>
      <c r="E2057" t="inlineStr">
        <is>
          <t>innovation_research_intensity_raw</t>
        </is>
      </c>
      <c r="F2057" t="inlineStr">
        <is>
          <t>Innovation and research raw</t>
        </is>
      </c>
      <c r="G2057" t="inlineStr">
        <is>
          <t>creative</t>
        </is>
      </c>
      <c r="H2057" t="inlineStr">
        <is>
          <t>yes</t>
        </is>
      </c>
      <c r="I2057" t="inlineStr">
        <is>
          <t>0.55</t>
        </is>
      </c>
      <c r="J2057" t="inlineStr">
        <is>
          <t>world_bank</t>
        </is>
      </c>
      <c r="K2057" t="inlineStr">
        <is>
          <t>https://api.worldbank.org/v2/country/ARG/indicator/GB.XPD.RSDV.GD.ZS?format=json&amp;mrv=10</t>
        </is>
      </c>
      <c r="L2057" t="inlineStr">
        <is>
          <t>World Bank WDI: Research and development expenditure (% of GDP)</t>
        </is>
      </c>
      <c r="M2057" t="inlineStr">
        <is>
          <t>2022-12-31</t>
        </is>
      </c>
      <c r="N2057" t="inlineStr">
        <is>
          <t>auto_ingest=world_bank_creative_extended; indicator=GB.XPD.RSDV.GD.ZS; year=2022; country_proxy=Argentina</t>
        </is>
      </c>
    </row>
    <row r="2058">
      <c r="A2058" t="inlineStr">
        <is>
          <t>ar-buenos-aires</t>
        </is>
      </c>
      <c r="B2058" t="inlineStr">
        <is>
          <t>Buenos Aires</t>
        </is>
      </c>
      <c r="C2058" t="inlineStr">
        <is>
          <t>Argentina</t>
        </is>
      </c>
      <c r="D2058" t="inlineStr">
        <is>
          <t>Latin America</t>
        </is>
      </c>
      <c r="E2058" t="inlineStr">
        <is>
          <t>investment_signal_raw</t>
        </is>
      </c>
      <c r="F2058" t="inlineStr">
        <is>
          <t>Investment signal raw</t>
        </is>
      </c>
      <c r="G2058" t="inlineStr">
        <is>
          <t>creative</t>
        </is>
      </c>
      <c r="H2058" t="inlineStr">
        <is>
          <t>yes</t>
        </is>
      </c>
      <c r="I2058" t="inlineStr">
        <is>
          <t>1.82</t>
        </is>
      </c>
      <c r="J2058" t="inlineStr">
        <is>
          <t>world_bank</t>
        </is>
      </c>
      <c r="K2058" t="inlineStr">
        <is>
          <t>https://api.worldbank.org/v2/country/ARG/indicator/BX.KLT.DINV.WD.GD.ZS?format=json&amp;mrv=10</t>
        </is>
      </c>
      <c r="L2058" t="inlineStr">
        <is>
          <t>World Bank WDI: Foreign direct investment, net inflows (% of GDP)</t>
        </is>
      </c>
      <c r="M2058" t="inlineStr">
        <is>
          <t>2024-12-31</t>
        </is>
      </c>
      <c r="N2058" t="inlineStr">
        <is>
          <t>auto_ingest=world_bank_creative_extended; indicator=BX.KLT.DINV.WD.GD.ZS; year=2024; country_proxy=Argentina</t>
        </is>
      </c>
    </row>
    <row r="2059">
      <c r="A2059" t="inlineStr">
        <is>
          <t>ar-buenos-aires</t>
        </is>
      </c>
      <c r="B2059" t="inlineStr">
        <is>
          <t>Buenos Aires</t>
        </is>
      </c>
      <c r="C2059" t="inlineStr">
        <is>
          <t>Argentina</t>
        </is>
      </c>
      <c r="D2059" t="inlineStr">
        <is>
          <t>Latin America</t>
        </is>
      </c>
      <c r="E2059" t="inlineStr">
        <is>
          <t>administrative_investment_friction_raw</t>
        </is>
      </c>
      <c r="F2059" t="inlineStr">
        <is>
          <t>Administrative investment friction raw</t>
        </is>
      </c>
      <c r="G2059" t="inlineStr">
        <is>
          <t>creative</t>
        </is>
      </c>
      <c r="H2059" t="inlineStr">
        <is>
          <t>yes</t>
        </is>
      </c>
      <c r="I2059" t="inlineStr">
        <is>
          <t>2.98</t>
        </is>
      </c>
      <c r="J2059" t="inlineStr">
        <is>
          <t>world_bank</t>
        </is>
      </c>
      <c r="K2059" t="inlineStr">
        <is>
          <t>https://api.worldbank.org/v2/country/ARG/indicator/RQ.EST?format=json&amp;mrv=10</t>
        </is>
      </c>
      <c r="L2059" t="inlineStr">
        <is>
          <t>World Bank WGI: Regulatory Quality (inverted as friction proxy)</t>
        </is>
      </c>
      <c r="M2059" t="inlineStr">
        <is>
          <t>2023-12-31</t>
        </is>
      </c>
      <c r="N2059" t="inlineStr">
        <is>
          <t>auto_ingest=world_bank_business_friction; indicator=RQ.EST; raw_rq=-0.482535392045975; friction=2.98; year=2023; country_proxy=Argentina</t>
        </is>
      </c>
    </row>
    <row r="2060">
      <c r="A2060" t="inlineStr">
        <is>
          <t>ar-buenos-aires</t>
        </is>
      </c>
      <c r="B2060" t="inlineStr">
        <is>
          <t>Buenos Aires</t>
        </is>
      </c>
      <c r="C2060" t="inlineStr">
        <is>
          <t>Argentina</t>
        </is>
      </c>
      <c r="D2060" t="inlineStr">
        <is>
          <t>Latin America</t>
        </is>
      </c>
      <c r="E2060" t="inlineStr">
        <is>
          <t>visitor_flow_context_raw</t>
        </is>
      </c>
      <c r="F2060" t="inlineStr">
        <is>
          <t>Visitor flow context raw</t>
        </is>
      </c>
      <c r="G2060" t="inlineStr">
        <is>
          <t>creative</t>
        </is>
      </c>
      <c r="H2060" t="inlineStr">
        <is>
          <t>no</t>
        </is>
      </c>
      <c r="I2060" t="inlineStr"/>
      <c r="J2060" t="inlineStr"/>
      <c r="K2060" t="inlineStr"/>
      <c r="L2060" t="inlineStr"/>
      <c r="M2060" t="inlineStr"/>
      <c r="N2060" t="inlineStr"/>
    </row>
    <row r="2061">
      <c r="A2061" t="inlineStr">
        <is>
          <t>cl-santiago</t>
        </is>
      </c>
      <c r="B2061" t="inlineStr">
        <is>
          <t>Santiago</t>
        </is>
      </c>
      <c r="C2061" t="inlineStr">
        <is>
          <t>Chile</t>
        </is>
      </c>
      <c r="D2061" t="inlineStr">
        <is>
          <t>Latin America</t>
        </is>
      </c>
      <c r="E2061" t="inlineStr">
        <is>
          <t>gross_income</t>
        </is>
      </c>
      <c r="F2061" t="inlineStr">
        <is>
          <t>Gross income</t>
        </is>
      </c>
      <c r="G2061" t="inlineStr">
        <is>
          <t>pressure</t>
        </is>
      </c>
      <c r="H2061" t="inlineStr">
        <is>
          <t>yes</t>
        </is>
      </c>
      <c r="I2061" t="inlineStr">
        <is>
          <t>2860.0</t>
        </is>
      </c>
      <c r="J2061" t="inlineStr">
        <is>
          <t>world_bank_col_estimate</t>
        </is>
      </c>
      <c r="K2061" t="inlineStr">
        <is>
          <t>https://api.worldbank.org/v2/country/CHL/indicator/NY.GNP.PCAP.PP.CD?format=json&amp;mrv=10</t>
        </is>
      </c>
      <c r="L2061" t="inlineStr">
        <is>
          <t>World Bank WDI: GNI per capita PPP (monthly USD)</t>
        </is>
      </c>
      <c r="M2061" t="inlineStr">
        <is>
          <t>2024-12-31</t>
        </is>
      </c>
      <c r="N2061" t="inlineStr">
        <is>
          <t>auto_ingest=world_bank_col_estimate; gni_annual=34320.0; year=2024; country_proxy=Chile; cohort=Latin America</t>
        </is>
      </c>
    </row>
    <row r="2062">
      <c r="A2062" t="inlineStr">
        <is>
          <t>cl-santiago</t>
        </is>
      </c>
      <c r="B2062" t="inlineStr">
        <is>
          <t>Santiago</t>
        </is>
      </c>
      <c r="C2062" t="inlineStr">
        <is>
          <t>Chile</t>
        </is>
      </c>
      <c r="D2062" t="inlineStr">
        <is>
          <t>Latin America</t>
        </is>
      </c>
      <c r="E2062" t="inlineStr">
        <is>
          <t>di_ppp_raw</t>
        </is>
      </c>
      <c r="F2062" t="inlineStr">
        <is>
          <t>Disposable income PPP (Raw)</t>
        </is>
      </c>
      <c r="G2062" t="inlineStr">
        <is>
          <t>pressure</t>
        </is>
      </c>
      <c r="H2062" t="inlineStr">
        <is>
          <t>yes</t>
        </is>
      </c>
      <c r="I2062" t="inlineStr"/>
      <c r="J2062" t="inlineStr"/>
      <c r="K2062" t="inlineStr"/>
      <c r="L2062" t="inlineStr"/>
      <c r="M2062" t="inlineStr"/>
      <c r="N2062" t="inlineStr"/>
    </row>
    <row r="2063">
      <c r="A2063" t="inlineStr">
        <is>
          <t>cl-santiago</t>
        </is>
      </c>
      <c r="B2063" t="inlineStr">
        <is>
          <t>Santiago</t>
        </is>
      </c>
      <c r="C2063" t="inlineStr">
        <is>
          <t>Chile</t>
        </is>
      </c>
      <c r="D2063" t="inlineStr">
        <is>
          <t>Latin America</t>
        </is>
      </c>
      <c r="E2063" t="inlineStr">
        <is>
          <t>rent</t>
        </is>
      </c>
      <c r="F2063" t="inlineStr">
        <is>
          <t>Rent</t>
        </is>
      </c>
      <c r="G2063" t="inlineStr">
        <is>
          <t>pressure</t>
        </is>
      </c>
      <c r="H2063" t="inlineStr">
        <is>
          <t>yes</t>
        </is>
      </c>
      <c r="I2063" t="inlineStr">
        <is>
          <t>715.0</t>
        </is>
      </c>
      <c r="J2063" t="inlineStr">
        <is>
          <t>world_bank_col_estimate</t>
        </is>
      </c>
      <c r="K2063" t="inlineStr">
        <is>
          <t>https://api.worldbank.org/v2/country/CHL/indicator/NY.GNP.PCAP.PP.CD?format=json&amp;mrv=10</t>
        </is>
      </c>
      <c r="L2063" t="inlineStr">
        <is>
          <t>World Bank GNI + regional expenditure ratio estimate</t>
        </is>
      </c>
      <c r="M2063" t="inlineStr">
        <is>
          <t>2024-12-31</t>
        </is>
      </c>
      <c r="N2063" t="inlineStr">
        <is>
          <t>auto_ingest=world_bank_col_estimate; gni_annual=34320.0; year=2024; country_proxy=Chile; cohort=Latin America</t>
        </is>
      </c>
    </row>
    <row r="2064">
      <c r="A2064" t="inlineStr">
        <is>
          <t>cl-santiago</t>
        </is>
      </c>
      <c r="B2064" t="inlineStr">
        <is>
          <t>Santiago</t>
        </is>
      </c>
      <c r="C2064" t="inlineStr">
        <is>
          <t>Chile</t>
        </is>
      </c>
      <c r="D2064" t="inlineStr">
        <is>
          <t>Latin America</t>
        </is>
      </c>
      <c r="E2064" t="inlineStr">
        <is>
          <t>utilities</t>
        </is>
      </c>
      <c r="F2064" t="inlineStr">
        <is>
          <t>Utilities</t>
        </is>
      </c>
      <c r="G2064" t="inlineStr">
        <is>
          <t>pressure</t>
        </is>
      </c>
      <c r="H2064" t="inlineStr">
        <is>
          <t>yes</t>
        </is>
      </c>
      <c r="I2064" t="inlineStr">
        <is>
          <t>171.6</t>
        </is>
      </c>
      <c r="J2064" t="inlineStr">
        <is>
          <t>world_bank_col_estimate</t>
        </is>
      </c>
      <c r="K2064" t="inlineStr">
        <is>
          <t>https://api.worldbank.org/v2/country/CHL/indicator/NY.GNP.PCAP.PP.CD?format=json&amp;mrv=10</t>
        </is>
      </c>
      <c r="L2064" t="inlineStr">
        <is>
          <t>World Bank GNI + regional expenditure ratio estimate</t>
        </is>
      </c>
      <c r="M2064" t="inlineStr">
        <is>
          <t>2024-12-31</t>
        </is>
      </c>
      <c r="N2064" t="inlineStr">
        <is>
          <t>auto_ingest=world_bank_col_estimate; gni_annual=34320.0; year=2024; country_proxy=Chile; cohort=Latin America</t>
        </is>
      </c>
    </row>
    <row r="2065">
      <c r="A2065" t="inlineStr">
        <is>
          <t>cl-santiago</t>
        </is>
      </c>
      <c r="B2065" t="inlineStr">
        <is>
          <t>Santiago</t>
        </is>
      </c>
      <c r="C2065" t="inlineStr">
        <is>
          <t>Chile</t>
        </is>
      </c>
      <c r="D2065" t="inlineStr">
        <is>
          <t>Latin America</t>
        </is>
      </c>
      <c r="E2065" t="inlineStr">
        <is>
          <t>transit_cost</t>
        </is>
      </c>
      <c r="F2065" t="inlineStr">
        <is>
          <t>Transit cost</t>
        </is>
      </c>
      <c r="G2065" t="inlineStr">
        <is>
          <t>pressure</t>
        </is>
      </c>
      <c r="H2065" t="inlineStr">
        <is>
          <t>yes</t>
        </is>
      </c>
      <c r="I2065" t="inlineStr">
        <is>
          <t>114.4</t>
        </is>
      </c>
      <c r="J2065" t="inlineStr">
        <is>
          <t>world_bank_col_estimate</t>
        </is>
      </c>
      <c r="K2065" t="inlineStr">
        <is>
          <t>https://api.worldbank.org/v2/country/CHL/indicator/NY.GNP.PCAP.PP.CD?format=json&amp;mrv=10</t>
        </is>
      </c>
      <c r="L2065" t="inlineStr">
        <is>
          <t>World Bank GNI + regional expenditure ratio estimate</t>
        </is>
      </c>
      <c r="M2065" t="inlineStr">
        <is>
          <t>2024-12-31</t>
        </is>
      </c>
      <c r="N2065" t="inlineStr">
        <is>
          <t>auto_ingest=world_bank_col_estimate; gni_annual=34320.0; year=2024; country_proxy=Chile; cohort=Latin America</t>
        </is>
      </c>
    </row>
    <row r="2066">
      <c r="A2066" t="inlineStr">
        <is>
          <t>cl-santiago</t>
        </is>
      </c>
      <c r="B2066" t="inlineStr">
        <is>
          <t>Santiago</t>
        </is>
      </c>
      <c r="C2066" t="inlineStr">
        <is>
          <t>Chile</t>
        </is>
      </c>
      <c r="D2066" t="inlineStr">
        <is>
          <t>Latin America</t>
        </is>
      </c>
      <c r="E2066" t="inlineStr">
        <is>
          <t>internet_cost</t>
        </is>
      </c>
      <c r="F2066" t="inlineStr">
        <is>
          <t>Internet cost</t>
        </is>
      </c>
      <c r="G2066" t="inlineStr">
        <is>
          <t>pressure</t>
        </is>
      </c>
      <c r="H2066" t="inlineStr">
        <is>
          <t>yes</t>
        </is>
      </c>
      <c r="I2066" t="inlineStr">
        <is>
          <t>42.9</t>
        </is>
      </c>
      <c r="J2066" t="inlineStr">
        <is>
          <t>world_bank_col_estimate</t>
        </is>
      </c>
      <c r="K2066" t="inlineStr">
        <is>
          <t>https://api.worldbank.org/v2/country/CHL/indicator/NY.GNP.PCAP.PP.CD?format=json&amp;mrv=10</t>
        </is>
      </c>
      <c r="L2066" t="inlineStr">
        <is>
          <t>World Bank GNI + regional expenditure ratio estimate</t>
        </is>
      </c>
      <c r="M2066" t="inlineStr">
        <is>
          <t>2024-12-31</t>
        </is>
      </c>
      <c r="N2066" t="inlineStr">
        <is>
          <t>auto_ingest=world_bank_col_estimate; gni_annual=34320.0; year=2024; country_proxy=Chile; cohort=Latin America</t>
        </is>
      </c>
    </row>
    <row r="2067">
      <c r="A2067" t="inlineStr">
        <is>
          <t>cl-santiago</t>
        </is>
      </c>
      <c r="B2067" t="inlineStr">
        <is>
          <t>Santiago</t>
        </is>
      </c>
      <c r="C2067" t="inlineStr">
        <is>
          <t>Chile</t>
        </is>
      </c>
      <c r="D2067" t="inlineStr">
        <is>
          <t>Latin America</t>
        </is>
      </c>
      <c r="E2067" t="inlineStr">
        <is>
          <t>food_cost</t>
        </is>
      </c>
      <c r="F2067" t="inlineStr">
        <is>
          <t>Food cost</t>
        </is>
      </c>
      <c r="G2067" t="inlineStr">
        <is>
          <t>pressure</t>
        </is>
      </c>
      <c r="H2067" t="inlineStr">
        <is>
          <t>yes</t>
        </is>
      </c>
      <c r="I2067" t="inlineStr">
        <is>
          <t>629.2</t>
        </is>
      </c>
      <c r="J2067" t="inlineStr">
        <is>
          <t>world_bank_col_estimate</t>
        </is>
      </c>
      <c r="K2067" t="inlineStr">
        <is>
          <t>https://api.worldbank.org/v2/country/CHL/indicator/NY.GNP.PCAP.PP.CD?format=json&amp;mrv=10</t>
        </is>
      </c>
      <c r="L2067" t="inlineStr">
        <is>
          <t>World Bank GNI + regional expenditure ratio estimate</t>
        </is>
      </c>
      <c r="M2067" t="inlineStr">
        <is>
          <t>2024-12-31</t>
        </is>
      </c>
      <c r="N2067" t="inlineStr">
        <is>
          <t>auto_ingest=world_bank_col_estimate; gni_annual=34320.0; year=2024; country_proxy=Chile; cohort=Latin America</t>
        </is>
      </c>
    </row>
    <row r="2068">
      <c r="A2068" t="inlineStr">
        <is>
          <t>cl-santiago</t>
        </is>
      </c>
      <c r="B2068" t="inlineStr">
        <is>
          <t>Santiago</t>
        </is>
      </c>
      <c r="C2068" t="inlineStr">
        <is>
          <t>Chile</t>
        </is>
      </c>
      <c r="D2068" t="inlineStr">
        <is>
          <t>Latin America</t>
        </is>
      </c>
      <c r="E2068" t="inlineStr">
        <is>
          <t>housing_burden_raw</t>
        </is>
      </c>
      <c r="F2068" t="inlineStr">
        <is>
          <t>Housing burden raw</t>
        </is>
      </c>
      <c r="G2068" t="inlineStr">
        <is>
          <t>pressure</t>
        </is>
      </c>
      <c r="H2068" t="inlineStr">
        <is>
          <t>yes</t>
        </is>
      </c>
      <c r="I2068" t="inlineStr">
        <is>
          <t>25.0</t>
        </is>
      </c>
      <c r="J2068" t="inlineStr">
        <is>
          <t>derived</t>
        </is>
      </c>
      <c r="K2068" t="inlineStr">
        <is>
          <t>https://data.worldbank.org/indicator/NY.GNP.PCAP.PP.CD</t>
        </is>
      </c>
      <c r="L2068" t="inlineStr">
        <is>
          <t>Computed from city_inputs + country_context</t>
        </is>
      </c>
      <c r="M2068" t="inlineStr">
        <is>
          <t>2024-01-01</t>
        </is>
      </c>
      <c r="N2068" t="inlineStr">
        <is>
          <t>derived=rent/gross_income*100</t>
        </is>
      </c>
    </row>
    <row r="2069">
      <c r="A2069" t="inlineStr">
        <is>
          <t>cl-santiago</t>
        </is>
      </c>
      <c r="B2069" t="inlineStr">
        <is>
          <t>Santiago</t>
        </is>
      </c>
      <c r="C2069" t="inlineStr">
        <is>
          <t>Chile</t>
        </is>
      </c>
      <c r="D2069" t="inlineStr">
        <is>
          <t>Latin America</t>
        </is>
      </c>
      <c r="E2069" t="inlineStr">
        <is>
          <t>household_debt_burden_raw</t>
        </is>
      </c>
      <c r="F2069" t="inlineStr">
        <is>
          <t>Household debt burden raw</t>
        </is>
      </c>
      <c r="G2069" t="inlineStr">
        <is>
          <t>pressure</t>
        </is>
      </c>
      <c r="H2069" t="inlineStr">
        <is>
          <t>yes</t>
        </is>
      </c>
      <c r="I2069" t="inlineStr">
        <is>
          <t>74.9355</t>
        </is>
      </c>
      <c r="J2069" t="inlineStr">
        <is>
          <t>derived</t>
        </is>
      </c>
      <c r="K2069" t="inlineStr">
        <is>
          <t>https://data.worldbank.org/indicator/NY.GNP.PCAP.PP.CD</t>
        </is>
      </c>
      <c r="L2069" t="inlineStr">
        <is>
          <t>Computed from city_inputs + country_context</t>
        </is>
      </c>
      <c r="M2069" t="inlineStr">
        <is>
          <t>2024-01-01</t>
        </is>
      </c>
      <c r="N2069" t="inlineStr">
        <is>
          <t>derived=country_context.household_debt_proxy; country=Chile</t>
        </is>
      </c>
    </row>
    <row r="2070">
      <c r="A2070" t="inlineStr">
        <is>
          <t>cl-santiago</t>
        </is>
      </c>
      <c r="B2070" t="inlineStr">
        <is>
          <t>Santiago</t>
        </is>
      </c>
      <c r="C2070" t="inlineStr">
        <is>
          <t>Chile</t>
        </is>
      </c>
      <c r="D2070" t="inlineStr">
        <is>
          <t>Latin America</t>
        </is>
      </c>
      <c r="E2070" t="inlineStr">
        <is>
          <t>working_time_pressure_raw</t>
        </is>
      </c>
      <c r="F2070" t="inlineStr">
        <is>
          <t>Working time pressure raw</t>
        </is>
      </c>
      <c r="G2070" t="inlineStr">
        <is>
          <t>pressure</t>
        </is>
      </c>
      <c r="H2070" t="inlineStr">
        <is>
          <t>yes</t>
        </is>
      </c>
      <c r="I2070" t="inlineStr">
        <is>
          <t>38.94</t>
        </is>
      </c>
      <c r="J2070" t="inlineStr">
        <is>
          <t>ilo_ilostat</t>
        </is>
      </c>
      <c r="K2070" t="inlineStr">
        <is>
          <t>https://ilostat.ilo.org/data/indicator/?id=HOW_TEMP_SEX_ECO_NB_A&amp;ref_area=CHL</t>
        </is>
      </c>
      <c r="L2070" t="inlineStr">
        <is>
          <t>ILO ILOSTAT: Mean weekly hours actually worked per employed person</t>
        </is>
      </c>
      <c r="M2070" t="inlineStr">
        <is>
          <t>2025-12-31</t>
        </is>
      </c>
      <c r="N2070" t="inlineStr">
        <is>
          <t>auto_ingest=ilo_working_hours; indicator=HOW_TEMP_SEX_ECO_NB_A; year=2025; hours=38.94; country_proxy=Chile</t>
        </is>
      </c>
    </row>
    <row r="2071">
      <c r="A2071" t="inlineStr">
        <is>
          <t>cl-santiago</t>
        </is>
      </c>
      <c r="B2071" t="inlineStr">
        <is>
          <t>Santiago</t>
        </is>
      </c>
      <c r="C2071" t="inlineStr">
        <is>
          <t>Chile</t>
        </is>
      </c>
      <c r="D2071" t="inlineStr">
        <is>
          <t>Latin America</t>
        </is>
      </c>
      <c r="E2071" t="inlineStr">
        <is>
          <t>suicide_mental_strain_raw</t>
        </is>
      </c>
      <c r="F2071" t="inlineStr">
        <is>
          <t>Suicide or mental strain raw</t>
        </is>
      </c>
      <c r="G2071" t="inlineStr">
        <is>
          <t>pressure</t>
        </is>
      </c>
      <c r="H2071" t="inlineStr">
        <is>
          <t>yes</t>
        </is>
      </c>
      <c r="I2071" t="inlineStr">
        <is>
          <t>7.69</t>
        </is>
      </c>
      <c r="J2071" t="inlineStr">
        <is>
          <t>who_gho</t>
        </is>
      </c>
      <c r="K2071" t="inlineStr">
        <is>
          <t>https://www.who.int/data/gho/data/indicators/indicator-details/GHO/SDGSUICIDE</t>
        </is>
      </c>
      <c r="L2071" t="inlineStr">
        <is>
          <t>WHO GHO: Age-standardized suicide rate (per 100,000 population)</t>
        </is>
      </c>
      <c r="M2071" t="inlineStr">
        <is>
          <t>2021-12-31</t>
        </is>
      </c>
      <c r="N2071" t="inlineStr">
        <is>
          <t>auto_ingest=who_gho; indicator=SDGSUICIDE; year=2021; country_proxy=Chile</t>
        </is>
      </c>
    </row>
    <row r="2072">
      <c r="A2072" t="inlineStr">
        <is>
          <t>cl-santiago</t>
        </is>
      </c>
      <c r="B2072" t="inlineStr">
        <is>
          <t>Santiago</t>
        </is>
      </c>
      <c r="C2072" t="inlineStr">
        <is>
          <t>Chile</t>
        </is>
      </c>
      <c r="D2072" t="inlineStr">
        <is>
          <t>Latin America</t>
        </is>
      </c>
      <c r="E2072" t="inlineStr">
        <is>
          <t>personal_safety_raw</t>
        </is>
      </c>
      <c r="F2072" t="inlineStr">
        <is>
          <t>Personal safety raw</t>
        </is>
      </c>
      <c r="G2072" t="inlineStr">
        <is>
          <t>viability</t>
        </is>
      </c>
      <c r="H2072" t="inlineStr">
        <is>
          <t>yes</t>
        </is>
      </c>
      <c r="I2072" t="inlineStr">
        <is>
          <t>6.35</t>
        </is>
      </c>
      <c r="J2072" t="inlineStr">
        <is>
          <t>world_bank</t>
        </is>
      </c>
      <c r="K2072" t="inlineStr">
        <is>
          <t>https://api.worldbank.org/v2/country/CHL/indicator/VC.IHR.PSRC.P5?format=json&amp;mrv=10</t>
        </is>
      </c>
      <c r="L2072" t="inlineStr">
        <is>
          <t>UNODC via World Bank WDI: Intentional homicides (per 100,000 people)</t>
        </is>
      </c>
      <c r="M2072" t="inlineStr">
        <is>
          <t>2023-12-31</t>
        </is>
      </c>
      <c r="N2072" t="inlineStr">
        <is>
          <t>auto_ingest=unodc_safety; indicator=VC.IHR.PSRC.P5; year=2023; country_proxy=Chile</t>
        </is>
      </c>
    </row>
    <row r="2073">
      <c r="A2073" t="inlineStr">
        <is>
          <t>cl-santiago</t>
        </is>
      </c>
      <c r="B2073" t="inlineStr">
        <is>
          <t>Santiago</t>
        </is>
      </c>
      <c r="C2073" t="inlineStr">
        <is>
          <t>Chile</t>
        </is>
      </c>
      <c r="D2073" t="inlineStr">
        <is>
          <t>Latin America</t>
        </is>
      </c>
      <c r="E2073" t="inlineStr">
        <is>
          <t>transit_access_commute_raw</t>
        </is>
      </c>
      <c r="F2073" t="inlineStr">
        <is>
          <t>Transit access and commute raw</t>
        </is>
      </c>
      <c r="G2073" t="inlineStr">
        <is>
          <t>viability</t>
        </is>
      </c>
      <c r="H2073" t="inlineStr">
        <is>
          <t>yes</t>
        </is>
      </c>
      <c r="I2073" t="inlineStr"/>
      <c r="J2073" t="inlineStr"/>
      <c r="K2073" t="inlineStr"/>
      <c r="L2073" t="inlineStr"/>
      <c r="M2073" t="inlineStr"/>
      <c r="N2073" t="inlineStr"/>
    </row>
    <row r="2074">
      <c r="A2074" t="inlineStr">
        <is>
          <t>cl-santiago</t>
        </is>
      </c>
      <c r="B2074" t="inlineStr">
        <is>
          <t>Santiago</t>
        </is>
      </c>
      <c r="C2074" t="inlineStr">
        <is>
          <t>Chile</t>
        </is>
      </c>
      <c r="D2074" t="inlineStr">
        <is>
          <t>Latin America</t>
        </is>
      </c>
      <c r="E2074" t="inlineStr">
        <is>
          <t>clean_air_raw</t>
        </is>
      </c>
      <c r="F2074" t="inlineStr">
        <is>
          <t>Clean air raw</t>
        </is>
      </c>
      <c r="G2074" t="inlineStr">
        <is>
          <t>viability</t>
        </is>
      </c>
      <c r="H2074" t="inlineStr">
        <is>
          <t>yes</t>
        </is>
      </c>
      <c r="I2074" t="inlineStr"/>
      <c r="J2074" t="inlineStr"/>
      <c r="K2074" t="inlineStr"/>
      <c r="L2074" t="inlineStr"/>
      <c r="M2074" t="inlineStr"/>
      <c r="N2074" t="inlineStr"/>
    </row>
    <row r="2075">
      <c r="A2075" t="inlineStr">
        <is>
          <t>cl-santiago</t>
        </is>
      </c>
      <c r="B2075" t="inlineStr">
        <is>
          <t>Santiago</t>
        </is>
      </c>
      <c r="C2075" t="inlineStr">
        <is>
          <t>Chile</t>
        </is>
      </c>
      <c r="D2075" t="inlineStr">
        <is>
          <t>Latin America</t>
        </is>
      </c>
      <c r="E2075" t="inlineStr">
        <is>
          <t>water_sanitation_utility_raw</t>
        </is>
      </c>
      <c r="F2075" t="inlineStr">
        <is>
          <t>Water, sanitation, and utility raw</t>
        </is>
      </c>
      <c r="G2075" t="inlineStr">
        <is>
          <t>viability</t>
        </is>
      </c>
      <c r="H2075" t="inlineStr">
        <is>
          <t>yes</t>
        </is>
      </c>
      <c r="I2075" t="inlineStr">
        <is>
          <t>97.82</t>
        </is>
      </c>
      <c r="J2075" t="inlineStr">
        <is>
          <t>world_bank</t>
        </is>
      </c>
      <c r="K2075" t="inlineStr">
        <is>
          <t>https://api.worldbank.org/v2/country/CHL/indicator/SH.H2O.SMDW.ZS?format=json&amp;mrv=10</t>
        </is>
      </c>
      <c r="L2075" t="inlineStr">
        <is>
          <t>World Bank WDI: People using safely managed drinking water services (% of population)</t>
        </is>
      </c>
      <c r="M2075" t="inlineStr">
        <is>
          <t>2024-12-31</t>
        </is>
      </c>
      <c r="N2075" t="inlineStr">
        <is>
          <t>auto_ingest=world_bank_proxy; indicator=SH.H2O.SMDW.ZS; year=2024; country_proxy=Chile</t>
        </is>
      </c>
    </row>
    <row r="2076">
      <c r="A2076" t="inlineStr">
        <is>
          <t>cl-santiago</t>
        </is>
      </c>
      <c r="B2076" t="inlineStr">
        <is>
          <t>Santiago</t>
        </is>
      </c>
      <c r="C2076" t="inlineStr">
        <is>
          <t>Chile</t>
        </is>
      </c>
      <c r="D2076" t="inlineStr">
        <is>
          <t>Latin America</t>
        </is>
      </c>
      <c r="E2076" t="inlineStr">
        <is>
          <t>digital_infrastructure_raw</t>
        </is>
      </c>
      <c r="F2076" t="inlineStr">
        <is>
          <t>Digital infrastructure raw</t>
        </is>
      </c>
      <c r="G2076" t="inlineStr">
        <is>
          <t>viability</t>
        </is>
      </c>
      <c r="H2076" t="inlineStr">
        <is>
          <t>yes</t>
        </is>
      </c>
      <c r="I2076" t="inlineStr">
        <is>
          <t>23.0</t>
        </is>
      </c>
      <c r="J2076" t="inlineStr">
        <is>
          <t>world_bank</t>
        </is>
      </c>
      <c r="K2076" t="inlineStr">
        <is>
          <t>https://api.worldbank.org/v2/country/CHL/indicator/IT.NET.BBND.P2?format=json&amp;mrv=10</t>
        </is>
      </c>
      <c r="L2076" t="inlineStr">
        <is>
          <t>World Bank WDI: Fixed broadband subscriptions (per 100 people)</t>
        </is>
      </c>
      <c r="M2076" t="inlineStr">
        <is>
          <t>2023-12-31</t>
        </is>
      </c>
      <c r="N2076" t="inlineStr">
        <is>
          <t>auto_ingest=world_bank_proxy; indicator=IT.NET.BBND.P2; year=2023; country_proxy=Chile</t>
        </is>
      </c>
    </row>
    <row r="2077">
      <c r="A2077" t="inlineStr">
        <is>
          <t>cl-santiago</t>
        </is>
      </c>
      <c r="B2077" t="inlineStr">
        <is>
          <t>Santiago</t>
        </is>
      </c>
      <c r="C2077" t="inlineStr">
        <is>
          <t>Chile</t>
        </is>
      </c>
      <c r="D2077" t="inlineStr">
        <is>
          <t>Latin America</t>
        </is>
      </c>
      <c r="E2077" t="inlineStr">
        <is>
          <t>climate_sunlight_livability_raw</t>
        </is>
      </c>
      <c r="F2077" t="inlineStr">
        <is>
          <t>Climate and sunlight livability raw</t>
        </is>
      </c>
      <c r="G2077" t="inlineStr">
        <is>
          <t>viability</t>
        </is>
      </c>
      <c r="H2077" t="inlineStr">
        <is>
          <t>yes</t>
        </is>
      </c>
      <c r="I2077" t="inlineStr">
        <is>
          <t>68</t>
        </is>
      </c>
      <c r="J2077" t="inlineStr">
        <is>
          <t>wmo_natl_met</t>
        </is>
      </c>
      <c r="K2077" t="inlineStr">
        <is>
          <t>https://worldweather.wmo.int</t>
        </is>
      </c>
      <c r="L2077" t="inlineStr">
        <is>
          <t>WMO/National Met: Climate livability composite</t>
        </is>
      </c>
      <c r="M2077" t="inlineStr">
        <is>
          <t>2024-12-31</t>
        </is>
      </c>
      <c r="N2077" t="inlineStr">
        <is>
          <t>auto_seed=climate_composite; 2900 sun hrs, 15C mean, dry, Mediterranean</t>
        </is>
      </c>
    </row>
    <row r="2078">
      <c r="A2078" t="inlineStr">
        <is>
          <t>cl-santiago</t>
        </is>
      </c>
      <c r="B2078" t="inlineStr">
        <is>
          <t>Santiago</t>
        </is>
      </c>
      <c r="C2078" t="inlineStr">
        <is>
          <t>Chile</t>
        </is>
      </c>
      <c r="D2078" t="inlineStr">
        <is>
          <t>Latin America</t>
        </is>
      </c>
      <c r="E2078" t="inlineStr">
        <is>
          <t>healthcare_quality_raw</t>
        </is>
      </c>
      <c r="F2078" t="inlineStr">
        <is>
          <t>Healthcare quality raw</t>
        </is>
      </c>
      <c r="G2078" t="inlineStr">
        <is>
          <t>capability</t>
        </is>
      </c>
      <c r="H2078" t="inlineStr">
        <is>
          <t>yes</t>
        </is>
      </c>
      <c r="I2078" t="inlineStr">
        <is>
          <t>84.0</t>
        </is>
      </c>
      <c r="J2078" t="inlineStr">
        <is>
          <t>who_gho</t>
        </is>
      </c>
      <c r="K2078" t="inlineStr">
        <is>
          <t>https://www.who.int/data/gho/data/indicators/indicator-details/GHO/UHC_INDEX_REPORTED</t>
        </is>
      </c>
      <c r="L2078" t="inlineStr">
        <is>
          <t>WHO GHO: UHC Service Coverage Index</t>
        </is>
      </c>
      <c r="M2078" t="inlineStr">
        <is>
          <t>2023-12-31</t>
        </is>
      </c>
      <c r="N2078" t="inlineStr">
        <is>
          <t>auto_ingest=who_gho; indicator=UHC_INDEX_REPORTED; year=2023; country_proxy=Chile</t>
        </is>
      </c>
    </row>
    <row r="2079">
      <c r="A2079" t="inlineStr">
        <is>
          <t>cl-santiago</t>
        </is>
      </c>
      <c r="B2079" t="inlineStr">
        <is>
          <t>Santiago</t>
        </is>
      </c>
      <c r="C2079" t="inlineStr">
        <is>
          <t>Chile</t>
        </is>
      </c>
      <c r="D2079" t="inlineStr">
        <is>
          <t>Latin America</t>
        </is>
      </c>
      <c r="E2079" t="inlineStr">
        <is>
          <t>education_quality_raw</t>
        </is>
      </c>
      <c r="F2079" t="inlineStr">
        <is>
          <t>Education quality raw</t>
        </is>
      </c>
      <c r="G2079" t="inlineStr">
        <is>
          <t>capability</t>
        </is>
      </c>
      <c r="H2079" t="inlineStr">
        <is>
          <t>yes</t>
        </is>
      </c>
      <c r="I2079" t="inlineStr">
        <is>
          <t>104.73</t>
        </is>
      </c>
      <c r="J2079" t="inlineStr">
        <is>
          <t>world_bank</t>
        </is>
      </c>
      <c r="K2079" t="inlineStr">
        <is>
          <t>https://api.worldbank.org/v2/country/CHL/indicator/SE.TER.ENRR?format=json&amp;mrv=10</t>
        </is>
      </c>
      <c r="L2079" t="inlineStr">
        <is>
          <t>World Bank WDI: School enrollment, tertiary (% gross)</t>
        </is>
      </c>
      <c r="M2079" t="inlineStr">
        <is>
          <t>2023-12-31</t>
        </is>
      </c>
      <c r="N2079" t="inlineStr">
        <is>
          <t>auto_ingest=world_bank_proxy; indicator=SE.TER.ENRR; year=2023; country_proxy=Chile</t>
        </is>
      </c>
    </row>
    <row r="2080">
      <c r="A2080" t="inlineStr">
        <is>
          <t>cl-santiago</t>
        </is>
      </c>
      <c r="B2080" t="inlineStr">
        <is>
          <t>Santiago</t>
        </is>
      </c>
      <c r="C2080" t="inlineStr">
        <is>
          <t>Chile</t>
        </is>
      </c>
      <c r="D2080" t="inlineStr">
        <is>
          <t>Latin America</t>
        </is>
      </c>
      <c r="E2080" t="inlineStr">
        <is>
          <t>equal_opportunity_raw</t>
        </is>
      </c>
      <c r="F2080" t="inlineStr">
        <is>
          <t>Equal opportunity raw</t>
        </is>
      </c>
      <c r="G2080" t="inlineStr">
        <is>
          <t>capability</t>
        </is>
      </c>
      <c r="H2080" t="inlineStr">
        <is>
          <t>yes</t>
        </is>
      </c>
      <c r="I2080" t="inlineStr">
        <is>
          <t>43.0</t>
        </is>
      </c>
      <c r="J2080" t="inlineStr">
        <is>
          <t>world_bank</t>
        </is>
      </c>
      <c r="K2080" t="inlineStr">
        <is>
          <t>https://api.worldbank.org/v2/country/CHL/indicator/SI.POV.GINI?format=json&amp;mrv=10</t>
        </is>
      </c>
      <c r="L2080" t="inlineStr">
        <is>
          <t>World Bank WDI: Gini index</t>
        </is>
      </c>
      <c r="M2080" t="inlineStr">
        <is>
          <t>2022-12-31</t>
        </is>
      </c>
      <c r="N2080" t="inlineStr">
        <is>
          <t>auto_ingest=world_bank_capability; indicator=SI.POV.GINI; year=2022; country_proxy=Chile</t>
        </is>
      </c>
    </row>
    <row r="2081">
      <c r="A2081" t="inlineStr">
        <is>
          <t>cl-santiago</t>
        </is>
      </c>
      <c r="B2081" t="inlineStr">
        <is>
          <t>Santiago</t>
        </is>
      </c>
      <c r="C2081" t="inlineStr">
        <is>
          <t>Chile</t>
        </is>
      </c>
      <c r="D2081" t="inlineStr">
        <is>
          <t>Latin America</t>
        </is>
      </c>
      <c r="E2081" t="inlineStr">
        <is>
          <t>hospitality_belonging_raw</t>
        </is>
      </c>
      <c r="F2081" t="inlineStr">
        <is>
          <t>Hospitality and belonging raw</t>
        </is>
      </c>
      <c r="G2081" t="inlineStr">
        <is>
          <t>community</t>
        </is>
      </c>
      <c r="H2081" t="inlineStr">
        <is>
          <t>yes</t>
        </is>
      </c>
      <c r="I2081" t="inlineStr">
        <is>
          <t>52.62</t>
        </is>
      </c>
      <c r="J2081" t="inlineStr">
        <is>
          <t>world_bank</t>
        </is>
      </c>
      <c r="K2081" t="inlineStr">
        <is>
          <t>https://api.worldbank.org/v2/country/CHL/indicator/SM.POP.NETM?format=json&amp;mrv=10</t>
        </is>
      </c>
      <c r="L2081" t="inlineStr">
        <is>
          <t>World Bank WDI: Net migration (proxy for hospitality/belonging — positive = welcoming)</t>
        </is>
      </c>
      <c r="M2081" t="inlineStr">
        <is>
          <t>2025-12-31</t>
        </is>
      </c>
      <c r="N2081" t="inlineStr">
        <is>
          <t>auto_ingest=world_bank_proxy; proxy=net_migration_hospitality; indicator=SM.POP.NETM; year=2025; country_proxy=Chile</t>
        </is>
      </c>
    </row>
    <row r="2082">
      <c r="A2082" t="inlineStr">
        <is>
          <t>cl-santiago</t>
        </is>
      </c>
      <c r="B2082" t="inlineStr">
        <is>
          <t>Santiago</t>
        </is>
      </c>
      <c r="C2082" t="inlineStr">
        <is>
          <t>Chile</t>
        </is>
      </c>
      <c r="D2082" t="inlineStr">
        <is>
          <t>Latin America</t>
        </is>
      </c>
      <c r="E2082" t="inlineStr">
        <is>
          <t>tolerance_pluralism_raw</t>
        </is>
      </c>
      <c r="F2082" t="inlineStr">
        <is>
          <t>Tolerance and pluralism raw</t>
        </is>
      </c>
      <c r="G2082" t="inlineStr">
        <is>
          <t>community</t>
        </is>
      </c>
      <c r="H2082" t="inlineStr">
        <is>
          <t>yes</t>
        </is>
      </c>
      <c r="I2082" t="inlineStr">
        <is>
          <t>35.48</t>
        </is>
      </c>
      <c r="J2082" t="inlineStr">
        <is>
          <t>world_bank</t>
        </is>
      </c>
      <c r="K2082" t="inlineStr">
        <is>
          <t>https://api.worldbank.org/v2/country/CHL/indicator/SG.GEN.PARL.ZS?format=json&amp;mrv=10</t>
        </is>
      </c>
      <c r="L2082" t="inlineStr">
        <is>
          <t>World Bank WDI: Proportion of seats held by women in national parliaments (%)</t>
        </is>
      </c>
      <c r="M2082" t="inlineStr">
        <is>
          <t>2024-12-31</t>
        </is>
      </c>
      <c r="N2082" t="inlineStr">
        <is>
          <t>auto_ingest=world_bank_proxy; proxy=gender_parity_parliament; indicator=SG.GEN.PARL.ZS; year=2024; country_proxy=Chile</t>
        </is>
      </c>
    </row>
    <row r="2083">
      <c r="A2083" t="inlineStr">
        <is>
          <t>cl-santiago</t>
        </is>
      </c>
      <c r="B2083" t="inlineStr">
        <is>
          <t>Santiago</t>
        </is>
      </c>
      <c r="C2083" t="inlineStr">
        <is>
          <t>Chile</t>
        </is>
      </c>
      <c r="D2083" t="inlineStr">
        <is>
          <t>Latin America</t>
        </is>
      </c>
      <c r="E2083" t="inlineStr">
        <is>
          <t>cultural_public_life_raw</t>
        </is>
      </c>
      <c r="F2083" t="inlineStr">
        <is>
          <t>Cultural public life raw</t>
        </is>
      </c>
      <c r="G2083" t="inlineStr">
        <is>
          <t>community</t>
        </is>
      </c>
      <c r="H2083" t="inlineStr">
        <is>
          <t>yes</t>
        </is>
      </c>
      <c r="I2083" t="inlineStr">
        <is>
          <t>274.78</t>
        </is>
      </c>
      <c r="J2083" t="inlineStr">
        <is>
          <t>world_bank</t>
        </is>
      </c>
      <c r="K2083" t="inlineStr">
        <is>
          <t>https://api.worldbank.org/v2/country/CHL/indicator/ST.INT.ARVL?format=json&amp;mrv=10</t>
        </is>
      </c>
      <c r="L2083" t="inlineStr">
        <is>
          <t>World Bank WDI: International tourism arrivals per 1 000 population</t>
        </is>
      </c>
      <c r="M2083" t="inlineStr">
        <is>
          <t>2019-12-31</t>
        </is>
      </c>
      <c r="N2083" t="inlineStr">
        <is>
          <t>auto_ingest=cultural_life_proxy; indicator=ST.INT.ARVL; norm=per_1000_pop; year=2019; country_proxy=Chile</t>
        </is>
      </c>
    </row>
    <row r="2084">
      <c r="A2084" t="inlineStr">
        <is>
          <t>cl-santiago</t>
        </is>
      </c>
      <c r="B2084" t="inlineStr">
        <is>
          <t>Santiago</t>
        </is>
      </c>
      <c r="C2084" t="inlineStr">
        <is>
          <t>Chile</t>
        </is>
      </c>
      <c r="D2084" t="inlineStr">
        <is>
          <t>Latin America</t>
        </is>
      </c>
      <c r="E2084" t="inlineStr">
        <is>
          <t>birth_rate_optimism_raw</t>
        </is>
      </c>
      <c r="F2084" t="inlineStr">
        <is>
          <t>Birth rate and societal optimism raw</t>
        </is>
      </c>
      <c r="G2084" t="inlineStr">
        <is>
          <t>community</t>
        </is>
      </c>
      <c r="H2084" t="inlineStr">
        <is>
          <t>yes</t>
        </is>
      </c>
      <c r="I2084" t="inlineStr">
        <is>
          <t>1.44</t>
        </is>
      </c>
      <c r="J2084" t="inlineStr">
        <is>
          <t>world_bank</t>
        </is>
      </c>
      <c r="K2084" t="inlineStr">
        <is>
          <t>https://data.worldbank.org/indicator/SP.DYN.TFRT.IN</t>
        </is>
      </c>
      <c r="L2084" t="inlineStr">
        <is>
          <t>World Bank Total Fertility Rate 2023</t>
        </is>
      </c>
      <c r="M2084" t="inlineStr">
        <is>
          <t>2024-01-01</t>
        </is>
      </c>
      <c r="N2084" t="inlineStr"/>
    </row>
    <row r="2085">
      <c r="A2085" t="inlineStr">
        <is>
          <t>cl-santiago</t>
        </is>
      </c>
      <c r="B2085" t="inlineStr">
        <is>
          <t>Santiago</t>
        </is>
      </c>
      <c r="C2085" t="inlineStr">
        <is>
          <t>Chile</t>
        </is>
      </c>
      <c r="D2085" t="inlineStr">
        <is>
          <t>Latin America</t>
        </is>
      </c>
      <c r="E2085" t="inlineStr">
        <is>
          <t>entrepreneurial_dynamism_raw</t>
        </is>
      </c>
      <c r="F2085" t="inlineStr">
        <is>
          <t>Entrepreneurial dynamism raw</t>
        </is>
      </c>
      <c r="G2085" t="inlineStr">
        <is>
          <t>creative</t>
        </is>
      </c>
      <c r="H2085" t="inlineStr">
        <is>
          <t>yes</t>
        </is>
      </c>
      <c r="I2085" t="inlineStr">
        <is>
          <t>10.82</t>
        </is>
      </c>
      <c r="J2085" t="inlineStr">
        <is>
          <t>world_bank</t>
        </is>
      </c>
      <c r="K2085" t="inlineStr">
        <is>
          <t>https://api.worldbank.org/v2/country/CHL/indicator/IC.BUS.NDNS.ZS?format=json&amp;mrv=10</t>
        </is>
      </c>
      <c r="L2085" t="inlineStr">
        <is>
          <t>World Bank WDI: New business density (new registrations per 1,000 people ages 15-64)</t>
        </is>
      </c>
      <c r="M2085" t="inlineStr">
        <is>
          <t>2022-12-31</t>
        </is>
      </c>
      <c r="N2085" t="inlineStr">
        <is>
          <t>auto_ingest=world_bank_creative_extended; indicator=IC.BUS.NDNS.ZS; year=2022; country_proxy=Chile</t>
        </is>
      </c>
    </row>
    <row r="2086">
      <c r="A2086" t="inlineStr">
        <is>
          <t>cl-santiago</t>
        </is>
      </c>
      <c r="B2086" t="inlineStr">
        <is>
          <t>Santiago</t>
        </is>
      </c>
      <c r="C2086" t="inlineStr">
        <is>
          <t>Chile</t>
        </is>
      </c>
      <c r="D2086" t="inlineStr">
        <is>
          <t>Latin America</t>
        </is>
      </c>
      <c r="E2086" t="inlineStr">
        <is>
          <t>innovation_research_intensity_raw</t>
        </is>
      </c>
      <c r="F2086" t="inlineStr">
        <is>
          <t>Innovation and research raw</t>
        </is>
      </c>
      <c r="G2086" t="inlineStr">
        <is>
          <t>creative</t>
        </is>
      </c>
      <c r="H2086" t="inlineStr">
        <is>
          <t>yes</t>
        </is>
      </c>
      <c r="I2086" t="inlineStr">
        <is>
          <t>0.36</t>
        </is>
      </c>
      <c r="J2086" t="inlineStr">
        <is>
          <t>world_bank</t>
        </is>
      </c>
      <c r="K2086" t="inlineStr">
        <is>
          <t>https://api.worldbank.org/v2/country/CHL/indicator/GB.XPD.RSDV.GD.ZS?format=json&amp;mrv=10</t>
        </is>
      </c>
      <c r="L2086" t="inlineStr">
        <is>
          <t>World Bank WDI: Research and development expenditure (% of GDP)</t>
        </is>
      </c>
      <c r="M2086" t="inlineStr">
        <is>
          <t>2021-12-31</t>
        </is>
      </c>
      <c r="N2086" t="inlineStr">
        <is>
          <t>auto_ingest=world_bank_creative_extended; indicator=GB.XPD.RSDV.GD.ZS; year=2021; country_proxy=Chile</t>
        </is>
      </c>
    </row>
    <row r="2087">
      <c r="A2087" t="inlineStr">
        <is>
          <t>cl-santiago</t>
        </is>
      </c>
      <c r="B2087" t="inlineStr">
        <is>
          <t>Santiago</t>
        </is>
      </c>
      <c r="C2087" t="inlineStr">
        <is>
          <t>Chile</t>
        </is>
      </c>
      <c r="D2087" t="inlineStr">
        <is>
          <t>Latin America</t>
        </is>
      </c>
      <c r="E2087" t="inlineStr">
        <is>
          <t>investment_signal_raw</t>
        </is>
      </c>
      <c r="F2087" t="inlineStr">
        <is>
          <t>Investment signal raw</t>
        </is>
      </c>
      <c r="G2087" t="inlineStr">
        <is>
          <t>creative</t>
        </is>
      </c>
      <c r="H2087" t="inlineStr">
        <is>
          <t>yes</t>
        </is>
      </c>
      <c r="I2087" t="inlineStr">
        <is>
          <t>3.79</t>
        </is>
      </c>
      <c r="J2087" t="inlineStr">
        <is>
          <t>world_bank</t>
        </is>
      </c>
      <c r="K2087" t="inlineStr">
        <is>
          <t>https://api.worldbank.org/v2/country/CHL/indicator/BX.KLT.DINV.WD.GD.ZS?format=json&amp;mrv=10</t>
        </is>
      </c>
      <c r="L2087" t="inlineStr">
        <is>
          <t>World Bank WDI: Foreign direct investment, net inflows (% of GDP)</t>
        </is>
      </c>
      <c r="M2087" t="inlineStr">
        <is>
          <t>2024-12-31</t>
        </is>
      </c>
      <c r="N2087" t="inlineStr">
        <is>
          <t>auto_ingest=world_bank_creative_extended; indicator=BX.KLT.DINV.WD.GD.ZS; year=2024; country_proxy=Chile</t>
        </is>
      </c>
    </row>
    <row r="2088">
      <c r="A2088" t="inlineStr">
        <is>
          <t>cl-santiago</t>
        </is>
      </c>
      <c r="B2088" t="inlineStr">
        <is>
          <t>Santiago</t>
        </is>
      </c>
      <c r="C2088" t="inlineStr">
        <is>
          <t>Chile</t>
        </is>
      </c>
      <c r="D2088" t="inlineStr">
        <is>
          <t>Latin America</t>
        </is>
      </c>
      <c r="E2088" t="inlineStr">
        <is>
          <t>administrative_investment_friction_raw</t>
        </is>
      </c>
      <c r="F2088" t="inlineStr">
        <is>
          <t>Administrative investment friction raw</t>
        </is>
      </c>
      <c r="G2088" t="inlineStr">
        <is>
          <t>creative</t>
        </is>
      </c>
      <c r="H2088" t="inlineStr">
        <is>
          <t>yes</t>
        </is>
      </c>
      <c r="I2088" t="inlineStr">
        <is>
          <t>1.57</t>
        </is>
      </c>
      <c r="J2088" t="inlineStr">
        <is>
          <t>world_bank</t>
        </is>
      </c>
      <c r="K2088" t="inlineStr">
        <is>
          <t>https://api.worldbank.org/v2/country/CHL/indicator/RQ.EST?format=json&amp;mrv=10</t>
        </is>
      </c>
      <c r="L2088" t="inlineStr">
        <is>
          <t>World Bank WGI: Regulatory Quality (inverted as friction proxy)</t>
        </is>
      </c>
      <c r="M2088" t="inlineStr">
        <is>
          <t>2023-12-31</t>
        </is>
      </c>
      <c r="N2088" t="inlineStr">
        <is>
          <t>auto_ingest=world_bank_business_friction; indicator=RQ.EST; raw_rq=0.925731718540192; friction=1.57; year=2023; country_proxy=Chile</t>
        </is>
      </c>
    </row>
    <row r="2089">
      <c r="A2089" t="inlineStr">
        <is>
          <t>cl-santiago</t>
        </is>
      </c>
      <c r="B2089" t="inlineStr">
        <is>
          <t>Santiago</t>
        </is>
      </c>
      <c r="C2089" t="inlineStr">
        <is>
          <t>Chile</t>
        </is>
      </c>
      <c r="D2089" t="inlineStr">
        <is>
          <t>Latin America</t>
        </is>
      </c>
      <c r="E2089" t="inlineStr">
        <is>
          <t>visitor_flow_context_raw</t>
        </is>
      </c>
      <c r="F2089" t="inlineStr">
        <is>
          <t>Visitor flow context raw</t>
        </is>
      </c>
      <c r="G2089" t="inlineStr">
        <is>
          <t>creative</t>
        </is>
      </c>
      <c r="H2089" t="inlineStr">
        <is>
          <t>no</t>
        </is>
      </c>
      <c r="I2089" t="inlineStr"/>
      <c r="J2089" t="inlineStr"/>
      <c r="K2089" t="inlineStr"/>
      <c r="L2089" t="inlineStr"/>
      <c r="M2089" t="inlineStr"/>
      <c r="N2089" t="inlineStr"/>
    </row>
    <row r="2090">
      <c r="A2090" t="inlineStr">
        <is>
          <t>co-bogota</t>
        </is>
      </c>
      <c r="B2090" t="inlineStr">
        <is>
          <t>Bogota</t>
        </is>
      </c>
      <c r="C2090" t="inlineStr">
        <is>
          <t>Colombia</t>
        </is>
      </c>
      <c r="D2090" t="inlineStr">
        <is>
          <t>Latin America</t>
        </is>
      </c>
      <c r="E2090" t="inlineStr">
        <is>
          <t>gross_income</t>
        </is>
      </c>
      <c r="F2090" t="inlineStr">
        <is>
          <t>Gross income</t>
        </is>
      </c>
      <c r="G2090" t="inlineStr">
        <is>
          <t>pressure</t>
        </is>
      </c>
      <c r="H2090" t="inlineStr">
        <is>
          <t>yes</t>
        </is>
      </c>
      <c r="I2090" t="inlineStr">
        <is>
          <t>1824.17</t>
        </is>
      </c>
      <c r="J2090" t="inlineStr">
        <is>
          <t>world_bank_col_estimate</t>
        </is>
      </c>
      <c r="K2090" t="inlineStr">
        <is>
          <t>https://api.worldbank.org/v2/country/COL/indicator/NY.GNP.PCAP.PP.CD?format=json&amp;mrv=10</t>
        </is>
      </c>
      <c r="L2090" t="inlineStr">
        <is>
          <t>World Bank WDI: GNI per capita PPP (monthly USD)</t>
        </is>
      </c>
      <c r="M2090" t="inlineStr">
        <is>
          <t>2024-12-31</t>
        </is>
      </c>
      <c r="N2090" t="inlineStr">
        <is>
          <t>auto_ingest=world_bank_col_estimate; gni_annual=21890.0; year=2024; country_proxy=Colombia; cohort=Latin America</t>
        </is>
      </c>
    </row>
    <row r="2091">
      <c r="A2091" t="inlineStr">
        <is>
          <t>co-bogota</t>
        </is>
      </c>
      <c r="B2091" t="inlineStr">
        <is>
          <t>Bogota</t>
        </is>
      </c>
      <c r="C2091" t="inlineStr">
        <is>
          <t>Colombia</t>
        </is>
      </c>
      <c r="D2091" t="inlineStr">
        <is>
          <t>Latin America</t>
        </is>
      </c>
      <c r="E2091" t="inlineStr">
        <is>
          <t>di_ppp_raw</t>
        </is>
      </c>
      <c r="F2091" t="inlineStr">
        <is>
          <t>Disposable income PPP (Raw)</t>
        </is>
      </c>
      <c r="G2091" t="inlineStr">
        <is>
          <t>pressure</t>
        </is>
      </c>
      <c r="H2091" t="inlineStr">
        <is>
          <t>yes</t>
        </is>
      </c>
      <c r="I2091" t="inlineStr"/>
      <c r="J2091" t="inlineStr"/>
      <c r="K2091" t="inlineStr"/>
      <c r="L2091" t="inlineStr"/>
      <c r="M2091" t="inlineStr"/>
      <c r="N2091" t="inlineStr"/>
    </row>
    <row r="2092">
      <c r="A2092" t="inlineStr">
        <is>
          <t>co-bogota</t>
        </is>
      </c>
      <c r="B2092" t="inlineStr">
        <is>
          <t>Bogota</t>
        </is>
      </c>
      <c r="C2092" t="inlineStr">
        <is>
          <t>Colombia</t>
        </is>
      </c>
      <c r="D2092" t="inlineStr">
        <is>
          <t>Latin America</t>
        </is>
      </c>
      <c r="E2092" t="inlineStr">
        <is>
          <t>rent</t>
        </is>
      </c>
      <c r="F2092" t="inlineStr">
        <is>
          <t>Rent</t>
        </is>
      </c>
      <c r="G2092" t="inlineStr">
        <is>
          <t>pressure</t>
        </is>
      </c>
      <c r="H2092" t="inlineStr">
        <is>
          <t>yes</t>
        </is>
      </c>
      <c r="I2092" t="inlineStr">
        <is>
          <t>456.04</t>
        </is>
      </c>
      <c r="J2092" t="inlineStr">
        <is>
          <t>world_bank_col_estimate</t>
        </is>
      </c>
      <c r="K2092" t="inlineStr">
        <is>
          <t>https://api.worldbank.org/v2/country/COL/indicator/NY.GNP.PCAP.PP.CD?format=json&amp;mrv=10</t>
        </is>
      </c>
      <c r="L2092" t="inlineStr">
        <is>
          <t>World Bank GNI + regional expenditure ratio estimate</t>
        </is>
      </c>
      <c r="M2092" t="inlineStr">
        <is>
          <t>2024-12-31</t>
        </is>
      </c>
      <c r="N2092" t="inlineStr">
        <is>
          <t>auto_ingest=world_bank_col_estimate; gni_annual=21890.0; year=2024; country_proxy=Colombia; cohort=Latin America</t>
        </is>
      </c>
    </row>
    <row r="2093">
      <c r="A2093" t="inlineStr">
        <is>
          <t>co-bogota</t>
        </is>
      </c>
      <c r="B2093" t="inlineStr">
        <is>
          <t>Bogota</t>
        </is>
      </c>
      <c r="C2093" t="inlineStr">
        <is>
          <t>Colombia</t>
        </is>
      </c>
      <c r="D2093" t="inlineStr">
        <is>
          <t>Latin America</t>
        </is>
      </c>
      <c r="E2093" t="inlineStr">
        <is>
          <t>utilities</t>
        </is>
      </c>
      <c r="F2093" t="inlineStr">
        <is>
          <t>Utilities</t>
        </is>
      </c>
      <c r="G2093" t="inlineStr">
        <is>
          <t>pressure</t>
        </is>
      </c>
      <c r="H2093" t="inlineStr">
        <is>
          <t>yes</t>
        </is>
      </c>
      <c r="I2093" t="inlineStr">
        <is>
          <t>109.45</t>
        </is>
      </c>
      <c r="J2093" t="inlineStr">
        <is>
          <t>world_bank_col_estimate</t>
        </is>
      </c>
      <c r="K2093" t="inlineStr">
        <is>
          <t>https://api.worldbank.org/v2/country/COL/indicator/NY.GNP.PCAP.PP.CD?format=json&amp;mrv=10</t>
        </is>
      </c>
      <c r="L2093" t="inlineStr">
        <is>
          <t>World Bank GNI + regional expenditure ratio estimate</t>
        </is>
      </c>
      <c r="M2093" t="inlineStr">
        <is>
          <t>2024-12-31</t>
        </is>
      </c>
      <c r="N2093" t="inlineStr">
        <is>
          <t>auto_ingest=world_bank_col_estimate; gni_annual=21890.0; year=2024; country_proxy=Colombia; cohort=Latin America</t>
        </is>
      </c>
    </row>
    <row r="2094">
      <c r="A2094" t="inlineStr">
        <is>
          <t>co-bogota</t>
        </is>
      </c>
      <c r="B2094" t="inlineStr">
        <is>
          <t>Bogota</t>
        </is>
      </c>
      <c r="C2094" t="inlineStr">
        <is>
          <t>Colombia</t>
        </is>
      </c>
      <c r="D2094" t="inlineStr">
        <is>
          <t>Latin America</t>
        </is>
      </c>
      <c r="E2094" t="inlineStr">
        <is>
          <t>transit_cost</t>
        </is>
      </c>
      <c r="F2094" t="inlineStr">
        <is>
          <t>Transit cost</t>
        </is>
      </c>
      <c r="G2094" t="inlineStr">
        <is>
          <t>pressure</t>
        </is>
      </c>
      <c r="H2094" t="inlineStr">
        <is>
          <t>yes</t>
        </is>
      </c>
      <c r="I2094" t="inlineStr">
        <is>
          <t>72.97</t>
        </is>
      </c>
      <c r="J2094" t="inlineStr">
        <is>
          <t>world_bank_col_estimate</t>
        </is>
      </c>
      <c r="K2094" t="inlineStr">
        <is>
          <t>https://api.worldbank.org/v2/country/COL/indicator/NY.GNP.PCAP.PP.CD?format=json&amp;mrv=10</t>
        </is>
      </c>
      <c r="L2094" t="inlineStr">
        <is>
          <t>World Bank GNI + regional expenditure ratio estimate</t>
        </is>
      </c>
      <c r="M2094" t="inlineStr">
        <is>
          <t>2024-12-31</t>
        </is>
      </c>
      <c r="N2094" t="inlineStr">
        <is>
          <t>auto_ingest=world_bank_col_estimate; gni_annual=21890.0; year=2024; country_proxy=Colombia; cohort=Latin America</t>
        </is>
      </c>
    </row>
    <row r="2095">
      <c r="A2095" t="inlineStr">
        <is>
          <t>co-bogota</t>
        </is>
      </c>
      <c r="B2095" t="inlineStr">
        <is>
          <t>Bogota</t>
        </is>
      </c>
      <c r="C2095" t="inlineStr">
        <is>
          <t>Colombia</t>
        </is>
      </c>
      <c r="D2095" t="inlineStr">
        <is>
          <t>Latin America</t>
        </is>
      </c>
      <c r="E2095" t="inlineStr">
        <is>
          <t>internet_cost</t>
        </is>
      </c>
      <c r="F2095" t="inlineStr">
        <is>
          <t>Internet cost</t>
        </is>
      </c>
      <c r="G2095" t="inlineStr">
        <is>
          <t>pressure</t>
        </is>
      </c>
      <c r="H2095" t="inlineStr">
        <is>
          <t>yes</t>
        </is>
      </c>
      <c r="I2095" t="inlineStr">
        <is>
          <t>27.36</t>
        </is>
      </c>
      <c r="J2095" t="inlineStr">
        <is>
          <t>world_bank_col_estimate</t>
        </is>
      </c>
      <c r="K2095" t="inlineStr">
        <is>
          <t>https://api.worldbank.org/v2/country/COL/indicator/NY.GNP.PCAP.PP.CD?format=json&amp;mrv=10</t>
        </is>
      </c>
      <c r="L2095" t="inlineStr">
        <is>
          <t>World Bank GNI + regional expenditure ratio estimate</t>
        </is>
      </c>
      <c r="M2095" t="inlineStr">
        <is>
          <t>2024-12-31</t>
        </is>
      </c>
      <c r="N2095" t="inlineStr">
        <is>
          <t>auto_ingest=world_bank_col_estimate; gni_annual=21890.0; year=2024; country_proxy=Colombia; cohort=Latin America</t>
        </is>
      </c>
    </row>
    <row r="2096">
      <c r="A2096" t="inlineStr">
        <is>
          <t>co-bogota</t>
        </is>
      </c>
      <c r="B2096" t="inlineStr">
        <is>
          <t>Bogota</t>
        </is>
      </c>
      <c r="C2096" t="inlineStr">
        <is>
          <t>Colombia</t>
        </is>
      </c>
      <c r="D2096" t="inlineStr">
        <is>
          <t>Latin America</t>
        </is>
      </c>
      <c r="E2096" t="inlineStr">
        <is>
          <t>food_cost</t>
        </is>
      </c>
      <c r="F2096" t="inlineStr">
        <is>
          <t>Food cost</t>
        </is>
      </c>
      <c r="G2096" t="inlineStr">
        <is>
          <t>pressure</t>
        </is>
      </c>
      <c r="H2096" t="inlineStr">
        <is>
          <t>yes</t>
        </is>
      </c>
      <c r="I2096" t="inlineStr">
        <is>
          <t>401.32</t>
        </is>
      </c>
      <c r="J2096" t="inlineStr">
        <is>
          <t>world_bank_col_estimate</t>
        </is>
      </c>
      <c r="K2096" t="inlineStr">
        <is>
          <t>https://api.worldbank.org/v2/country/COL/indicator/NY.GNP.PCAP.PP.CD?format=json&amp;mrv=10</t>
        </is>
      </c>
      <c r="L2096" t="inlineStr">
        <is>
          <t>World Bank GNI + regional expenditure ratio estimate</t>
        </is>
      </c>
      <c r="M2096" t="inlineStr">
        <is>
          <t>2024-12-31</t>
        </is>
      </c>
      <c r="N2096" t="inlineStr">
        <is>
          <t>auto_ingest=world_bank_col_estimate; gni_annual=21890.0; year=2024; country_proxy=Colombia; cohort=Latin America</t>
        </is>
      </c>
    </row>
    <row r="2097">
      <c r="A2097" t="inlineStr">
        <is>
          <t>co-bogota</t>
        </is>
      </c>
      <c r="B2097" t="inlineStr">
        <is>
          <t>Bogota</t>
        </is>
      </c>
      <c r="C2097" t="inlineStr">
        <is>
          <t>Colombia</t>
        </is>
      </c>
      <c r="D2097" t="inlineStr">
        <is>
          <t>Latin America</t>
        </is>
      </c>
      <c r="E2097" t="inlineStr">
        <is>
          <t>housing_burden_raw</t>
        </is>
      </c>
      <c r="F2097" t="inlineStr">
        <is>
          <t>Housing burden raw</t>
        </is>
      </c>
      <c r="G2097" t="inlineStr">
        <is>
          <t>pressure</t>
        </is>
      </c>
      <c r="H2097" t="inlineStr">
        <is>
          <t>yes</t>
        </is>
      </c>
      <c r="I2097" t="inlineStr">
        <is>
          <t>24.9999</t>
        </is>
      </c>
      <c r="J2097" t="inlineStr">
        <is>
          <t>derived</t>
        </is>
      </c>
      <c r="K2097" t="inlineStr">
        <is>
          <t>https://data.worldbank.org/indicator/NY.GNP.PCAP.PP.CD</t>
        </is>
      </c>
      <c r="L2097" t="inlineStr">
        <is>
          <t>Computed from city_inputs + country_context</t>
        </is>
      </c>
      <c r="M2097" t="inlineStr">
        <is>
          <t>2024-01-01</t>
        </is>
      </c>
      <c r="N2097" t="inlineStr">
        <is>
          <t>derived=rent/gross_income*100</t>
        </is>
      </c>
    </row>
    <row r="2098">
      <c r="A2098" t="inlineStr">
        <is>
          <t>co-bogota</t>
        </is>
      </c>
      <c r="B2098" t="inlineStr">
        <is>
          <t>Bogota</t>
        </is>
      </c>
      <c r="C2098" t="inlineStr">
        <is>
          <t>Colombia</t>
        </is>
      </c>
      <c r="D2098" t="inlineStr">
        <is>
          <t>Latin America</t>
        </is>
      </c>
      <c r="E2098" t="inlineStr">
        <is>
          <t>household_debt_burden_raw</t>
        </is>
      </c>
      <c r="F2098" t="inlineStr">
        <is>
          <t>Household debt burden raw</t>
        </is>
      </c>
      <c r="G2098" t="inlineStr">
        <is>
          <t>pressure</t>
        </is>
      </c>
      <c r="H2098" t="inlineStr">
        <is>
          <t>yes</t>
        </is>
      </c>
      <c r="I2098" t="inlineStr">
        <is>
          <t>39.5117</t>
        </is>
      </c>
      <c r="J2098" t="inlineStr">
        <is>
          <t>derived</t>
        </is>
      </c>
      <c r="K2098" t="inlineStr">
        <is>
          <t>https://data.worldbank.org/indicator/NY.GNP.PCAP.PP.CD</t>
        </is>
      </c>
      <c r="L2098" t="inlineStr">
        <is>
          <t>Computed from city_inputs + country_context</t>
        </is>
      </c>
      <c r="M2098" t="inlineStr">
        <is>
          <t>2024-01-01</t>
        </is>
      </c>
      <c r="N2098" t="inlineStr">
        <is>
          <t>derived=country_context.household_debt_proxy; country=Colombia</t>
        </is>
      </c>
    </row>
    <row r="2099">
      <c r="A2099" t="inlineStr">
        <is>
          <t>co-bogota</t>
        </is>
      </c>
      <c r="B2099" t="inlineStr">
        <is>
          <t>Bogota</t>
        </is>
      </c>
      <c r="C2099" t="inlineStr">
        <is>
          <t>Colombia</t>
        </is>
      </c>
      <c r="D2099" t="inlineStr">
        <is>
          <t>Latin America</t>
        </is>
      </c>
      <c r="E2099" t="inlineStr">
        <is>
          <t>working_time_pressure_raw</t>
        </is>
      </c>
      <c r="F2099" t="inlineStr">
        <is>
          <t>Working time pressure raw</t>
        </is>
      </c>
      <c r="G2099" t="inlineStr">
        <is>
          <t>pressure</t>
        </is>
      </c>
      <c r="H2099" t="inlineStr">
        <is>
          <t>yes</t>
        </is>
      </c>
      <c r="I2099" t="inlineStr">
        <is>
          <t>42.77</t>
        </is>
      </c>
      <c r="J2099" t="inlineStr">
        <is>
          <t>ilo_ilostat</t>
        </is>
      </c>
      <c r="K2099" t="inlineStr">
        <is>
          <t>https://ilostat.ilo.org/data/indicator/?id=HOW_TEMP_SEX_ECO_NB_A&amp;ref_area=COL</t>
        </is>
      </c>
      <c r="L2099" t="inlineStr">
        <is>
          <t>ILO ILOSTAT: Mean weekly hours actually worked per employed person</t>
        </is>
      </c>
      <c r="M2099" t="inlineStr">
        <is>
          <t>2025-12-31</t>
        </is>
      </c>
      <c r="N2099" t="inlineStr">
        <is>
          <t>auto_ingest=ilo_working_hours; indicator=HOW_TEMP_SEX_ECO_NB_A; year=2025; hours=42.77; country_proxy=Colombia</t>
        </is>
      </c>
    </row>
    <row r="2100">
      <c r="A2100" t="inlineStr">
        <is>
          <t>co-bogota</t>
        </is>
      </c>
      <c r="B2100" t="inlineStr">
        <is>
          <t>Bogota</t>
        </is>
      </c>
      <c r="C2100" t="inlineStr">
        <is>
          <t>Colombia</t>
        </is>
      </c>
      <c r="D2100" t="inlineStr">
        <is>
          <t>Latin America</t>
        </is>
      </c>
      <c r="E2100" t="inlineStr">
        <is>
          <t>suicide_mental_strain_raw</t>
        </is>
      </c>
      <c r="F2100" t="inlineStr">
        <is>
          <t>Suicide or mental strain raw</t>
        </is>
      </c>
      <c r="G2100" t="inlineStr">
        <is>
          <t>pressure</t>
        </is>
      </c>
      <c r="H2100" t="inlineStr">
        <is>
          <t>yes</t>
        </is>
      </c>
      <c r="I2100" t="inlineStr">
        <is>
          <t>4.96</t>
        </is>
      </c>
      <c r="J2100" t="inlineStr">
        <is>
          <t>who_gho</t>
        </is>
      </c>
      <c r="K2100" t="inlineStr">
        <is>
          <t>https://www.who.int/data/gho/data/indicators/indicator-details/GHO/SDGSUICIDE</t>
        </is>
      </c>
      <c r="L2100" t="inlineStr">
        <is>
          <t>WHO GHO: Age-standardized suicide rate (per 100,000 population)</t>
        </is>
      </c>
      <c r="M2100" t="inlineStr">
        <is>
          <t>2021-12-31</t>
        </is>
      </c>
      <c r="N2100" t="inlineStr">
        <is>
          <t>auto_ingest=who_gho; indicator=SDGSUICIDE; year=2021; country_proxy=Colombia</t>
        </is>
      </c>
    </row>
    <row r="2101">
      <c r="A2101" t="inlineStr">
        <is>
          <t>co-bogota</t>
        </is>
      </c>
      <c r="B2101" t="inlineStr">
        <is>
          <t>Bogota</t>
        </is>
      </c>
      <c r="C2101" t="inlineStr">
        <is>
          <t>Colombia</t>
        </is>
      </c>
      <c r="D2101" t="inlineStr">
        <is>
          <t>Latin America</t>
        </is>
      </c>
      <c r="E2101" t="inlineStr">
        <is>
          <t>personal_safety_raw</t>
        </is>
      </c>
      <c r="F2101" t="inlineStr">
        <is>
          <t>Personal safety raw</t>
        </is>
      </c>
      <c r="G2101" t="inlineStr">
        <is>
          <t>viability</t>
        </is>
      </c>
      <c r="H2101" t="inlineStr">
        <is>
          <t>yes</t>
        </is>
      </c>
      <c r="I2101" t="inlineStr">
        <is>
          <t>24.91</t>
        </is>
      </c>
      <c r="J2101" t="inlineStr">
        <is>
          <t>world_bank</t>
        </is>
      </c>
      <c r="K2101" t="inlineStr">
        <is>
          <t>https://api.worldbank.org/v2/country/COL/indicator/VC.IHR.PSRC.P5?format=json&amp;mrv=10</t>
        </is>
      </c>
      <c r="L2101" t="inlineStr">
        <is>
          <t>UNODC via World Bank WDI: Intentional homicides (per 100,000 people)</t>
        </is>
      </c>
      <c r="M2101" t="inlineStr">
        <is>
          <t>2023-12-31</t>
        </is>
      </c>
      <c r="N2101" t="inlineStr">
        <is>
          <t>auto_ingest=unodc_safety; indicator=VC.IHR.PSRC.P5; year=2023; country_proxy=Colombia</t>
        </is>
      </c>
    </row>
    <row r="2102">
      <c r="A2102" t="inlineStr">
        <is>
          <t>co-bogota</t>
        </is>
      </c>
      <c r="B2102" t="inlineStr">
        <is>
          <t>Bogota</t>
        </is>
      </c>
      <c r="C2102" t="inlineStr">
        <is>
          <t>Colombia</t>
        </is>
      </c>
      <c r="D2102" t="inlineStr">
        <is>
          <t>Latin America</t>
        </is>
      </c>
      <c r="E2102" t="inlineStr">
        <is>
          <t>transit_access_commute_raw</t>
        </is>
      </c>
      <c r="F2102" t="inlineStr">
        <is>
          <t>Transit access and commute raw</t>
        </is>
      </c>
      <c r="G2102" t="inlineStr">
        <is>
          <t>viability</t>
        </is>
      </c>
      <c r="H2102" t="inlineStr">
        <is>
          <t>yes</t>
        </is>
      </c>
      <c r="I2102" t="inlineStr"/>
      <c r="J2102" t="inlineStr"/>
      <c r="K2102" t="inlineStr"/>
      <c r="L2102" t="inlineStr"/>
      <c r="M2102" t="inlineStr"/>
      <c r="N2102" t="inlineStr"/>
    </row>
    <row r="2103">
      <c r="A2103" t="inlineStr">
        <is>
          <t>co-bogota</t>
        </is>
      </c>
      <c r="B2103" t="inlineStr">
        <is>
          <t>Bogota</t>
        </is>
      </c>
      <c r="C2103" t="inlineStr">
        <is>
          <t>Colombia</t>
        </is>
      </c>
      <c r="D2103" t="inlineStr">
        <is>
          <t>Latin America</t>
        </is>
      </c>
      <c r="E2103" t="inlineStr">
        <is>
          <t>clean_air_raw</t>
        </is>
      </c>
      <c r="F2103" t="inlineStr">
        <is>
          <t>Clean air raw</t>
        </is>
      </c>
      <c r="G2103" t="inlineStr">
        <is>
          <t>viability</t>
        </is>
      </c>
      <c r="H2103" t="inlineStr">
        <is>
          <t>yes</t>
        </is>
      </c>
      <c r="I2103" t="inlineStr"/>
      <c r="J2103" t="inlineStr"/>
      <c r="K2103" t="inlineStr"/>
      <c r="L2103" t="inlineStr"/>
      <c r="M2103" t="inlineStr"/>
      <c r="N2103" t="inlineStr"/>
    </row>
    <row r="2104">
      <c r="A2104" t="inlineStr">
        <is>
          <t>co-bogota</t>
        </is>
      </c>
      <c r="B2104" t="inlineStr">
        <is>
          <t>Bogota</t>
        </is>
      </c>
      <c r="C2104" t="inlineStr">
        <is>
          <t>Colombia</t>
        </is>
      </c>
      <c r="D2104" t="inlineStr">
        <is>
          <t>Latin America</t>
        </is>
      </c>
      <c r="E2104" t="inlineStr">
        <is>
          <t>water_sanitation_utility_raw</t>
        </is>
      </c>
      <c r="F2104" t="inlineStr">
        <is>
          <t>Water, sanitation, and utility raw</t>
        </is>
      </c>
      <c r="G2104" t="inlineStr">
        <is>
          <t>viability</t>
        </is>
      </c>
      <c r="H2104" t="inlineStr">
        <is>
          <t>yes</t>
        </is>
      </c>
      <c r="I2104" t="inlineStr">
        <is>
          <t>74.34</t>
        </is>
      </c>
      <c r="J2104" t="inlineStr">
        <is>
          <t>world_bank</t>
        </is>
      </c>
      <c r="K2104" t="inlineStr">
        <is>
          <t>https://api.worldbank.org/v2/country/COL/indicator/SH.H2O.SMDW.ZS?format=json&amp;mrv=10</t>
        </is>
      </c>
      <c r="L2104" t="inlineStr">
        <is>
          <t>World Bank WDI: People using safely managed drinking water services (% of population)</t>
        </is>
      </c>
      <c r="M2104" t="inlineStr">
        <is>
          <t>2024-12-31</t>
        </is>
      </c>
      <c r="N2104" t="inlineStr">
        <is>
          <t>auto_ingest=world_bank_proxy; indicator=SH.H2O.SMDW.ZS; year=2024; country_proxy=Colombia</t>
        </is>
      </c>
    </row>
    <row r="2105">
      <c r="A2105" t="inlineStr">
        <is>
          <t>co-bogota</t>
        </is>
      </c>
      <c r="B2105" t="inlineStr">
        <is>
          <t>Bogota</t>
        </is>
      </c>
      <c r="C2105" t="inlineStr">
        <is>
          <t>Colombia</t>
        </is>
      </c>
      <c r="D2105" t="inlineStr">
        <is>
          <t>Latin America</t>
        </is>
      </c>
      <c r="E2105" t="inlineStr">
        <is>
          <t>digital_infrastructure_raw</t>
        </is>
      </c>
      <c r="F2105" t="inlineStr">
        <is>
          <t>Digital infrastructure raw</t>
        </is>
      </c>
      <c r="G2105" t="inlineStr">
        <is>
          <t>viability</t>
        </is>
      </c>
      <c r="H2105" t="inlineStr">
        <is>
          <t>yes</t>
        </is>
      </c>
      <c r="I2105" t="inlineStr">
        <is>
          <t>17.04</t>
        </is>
      </c>
      <c r="J2105" t="inlineStr">
        <is>
          <t>world_bank</t>
        </is>
      </c>
      <c r="K2105" t="inlineStr">
        <is>
          <t>https://api.worldbank.org/v2/country/COL/indicator/IT.NET.BBND.P2?format=json&amp;mrv=10</t>
        </is>
      </c>
      <c r="L2105" t="inlineStr">
        <is>
          <t>World Bank WDI: Fixed broadband subscriptions (per 100 people)</t>
        </is>
      </c>
      <c r="M2105" t="inlineStr">
        <is>
          <t>2023-12-31</t>
        </is>
      </c>
      <c r="N2105" t="inlineStr">
        <is>
          <t>auto_ingest=world_bank_proxy; indicator=IT.NET.BBND.P2; year=2023; country_proxy=Colombia</t>
        </is>
      </c>
    </row>
    <row r="2106">
      <c r="A2106" t="inlineStr">
        <is>
          <t>co-bogota</t>
        </is>
      </c>
      <c r="B2106" t="inlineStr">
        <is>
          <t>Bogota</t>
        </is>
      </c>
      <c r="C2106" t="inlineStr">
        <is>
          <t>Colombia</t>
        </is>
      </c>
      <c r="D2106" t="inlineStr">
        <is>
          <t>Latin America</t>
        </is>
      </c>
      <c r="E2106" t="inlineStr">
        <is>
          <t>climate_sunlight_livability_raw</t>
        </is>
      </c>
      <c r="F2106" t="inlineStr">
        <is>
          <t>Climate and sunlight livability raw</t>
        </is>
      </c>
      <c r="G2106" t="inlineStr">
        <is>
          <t>viability</t>
        </is>
      </c>
      <c r="H2106" t="inlineStr">
        <is>
          <t>yes</t>
        </is>
      </c>
      <c r="I2106" t="inlineStr">
        <is>
          <t>54</t>
        </is>
      </c>
      <c r="J2106" t="inlineStr">
        <is>
          <t>wmo_natl_met</t>
        </is>
      </c>
      <c r="K2106" t="inlineStr">
        <is>
          <t>https://worldweather.wmo.int</t>
        </is>
      </c>
      <c r="L2106" t="inlineStr">
        <is>
          <t>WMO/National Met: Climate livability composite</t>
        </is>
      </c>
      <c r="M2106" t="inlineStr">
        <is>
          <t>2024-12-31</t>
        </is>
      </c>
      <c r="N2106" t="inlineStr">
        <is>
          <t>auto_seed=climate_composite; 1500 sun hrs, 14C mean, cool altitude, cloudy</t>
        </is>
      </c>
    </row>
    <row r="2107">
      <c r="A2107" t="inlineStr">
        <is>
          <t>co-bogota</t>
        </is>
      </c>
      <c r="B2107" t="inlineStr">
        <is>
          <t>Bogota</t>
        </is>
      </c>
      <c r="C2107" t="inlineStr">
        <is>
          <t>Colombia</t>
        </is>
      </c>
      <c r="D2107" t="inlineStr">
        <is>
          <t>Latin America</t>
        </is>
      </c>
      <c r="E2107" t="inlineStr">
        <is>
          <t>healthcare_quality_raw</t>
        </is>
      </c>
      <c r="F2107" t="inlineStr">
        <is>
          <t>Healthcare quality raw</t>
        </is>
      </c>
      <c r="G2107" t="inlineStr">
        <is>
          <t>capability</t>
        </is>
      </c>
      <c r="H2107" t="inlineStr">
        <is>
          <t>yes</t>
        </is>
      </c>
      <c r="I2107" t="inlineStr">
        <is>
          <t>82.0</t>
        </is>
      </c>
      <c r="J2107" t="inlineStr">
        <is>
          <t>who_gho</t>
        </is>
      </c>
      <c r="K2107" t="inlineStr">
        <is>
          <t>https://www.who.int/data/gho/data/indicators/indicator-details/GHO/UHC_INDEX_REPORTED</t>
        </is>
      </c>
      <c r="L2107" t="inlineStr">
        <is>
          <t>WHO GHO: UHC Service Coverage Index</t>
        </is>
      </c>
      <c r="M2107" t="inlineStr">
        <is>
          <t>2023-12-31</t>
        </is>
      </c>
      <c r="N2107" t="inlineStr">
        <is>
          <t>auto_ingest=who_gho; indicator=UHC_INDEX_REPORTED; year=2023; country_proxy=Colombia</t>
        </is>
      </c>
    </row>
    <row r="2108">
      <c r="A2108" t="inlineStr">
        <is>
          <t>co-bogota</t>
        </is>
      </c>
      <c r="B2108" t="inlineStr">
        <is>
          <t>Bogota</t>
        </is>
      </c>
      <c r="C2108" t="inlineStr">
        <is>
          <t>Colombia</t>
        </is>
      </c>
      <c r="D2108" t="inlineStr">
        <is>
          <t>Latin America</t>
        </is>
      </c>
      <c r="E2108" t="inlineStr">
        <is>
          <t>education_quality_raw</t>
        </is>
      </c>
      <c r="F2108" t="inlineStr">
        <is>
          <t>Education quality raw</t>
        </is>
      </c>
      <c r="G2108" t="inlineStr">
        <is>
          <t>capability</t>
        </is>
      </c>
      <c r="H2108" t="inlineStr">
        <is>
          <t>yes</t>
        </is>
      </c>
      <c r="I2108" t="inlineStr">
        <is>
          <t>59.29</t>
        </is>
      </c>
      <c r="J2108" t="inlineStr">
        <is>
          <t>world_bank</t>
        </is>
      </c>
      <c r="K2108" t="inlineStr">
        <is>
          <t>https://api.worldbank.org/v2/country/COL/indicator/SE.TER.ENRR?format=json&amp;mrv=10</t>
        </is>
      </c>
      <c r="L2108" t="inlineStr">
        <is>
          <t>World Bank WDI: School enrollment, tertiary (% gross)</t>
        </is>
      </c>
      <c r="M2108" t="inlineStr">
        <is>
          <t>2022-12-31</t>
        </is>
      </c>
      <c r="N2108" t="inlineStr">
        <is>
          <t>auto_ingest=world_bank_proxy; indicator=SE.TER.ENRR; year=2022; country_proxy=Colombia</t>
        </is>
      </c>
    </row>
    <row r="2109">
      <c r="A2109" t="inlineStr">
        <is>
          <t>co-bogota</t>
        </is>
      </c>
      <c r="B2109" t="inlineStr">
        <is>
          <t>Bogota</t>
        </is>
      </c>
      <c r="C2109" t="inlineStr">
        <is>
          <t>Colombia</t>
        </is>
      </c>
      <c r="D2109" t="inlineStr">
        <is>
          <t>Latin America</t>
        </is>
      </c>
      <c r="E2109" t="inlineStr">
        <is>
          <t>equal_opportunity_raw</t>
        </is>
      </c>
      <c r="F2109" t="inlineStr">
        <is>
          <t>Equal opportunity raw</t>
        </is>
      </c>
      <c r="G2109" t="inlineStr">
        <is>
          <t>capability</t>
        </is>
      </c>
      <c r="H2109" t="inlineStr">
        <is>
          <t>yes</t>
        </is>
      </c>
      <c r="I2109" t="inlineStr">
        <is>
          <t>53.9</t>
        </is>
      </c>
      <c r="J2109" t="inlineStr">
        <is>
          <t>world_bank</t>
        </is>
      </c>
      <c r="K2109" t="inlineStr">
        <is>
          <t>https://api.worldbank.org/v2/country/COL/indicator/SI.POV.GINI?format=json&amp;mrv=10</t>
        </is>
      </c>
      <c r="L2109" t="inlineStr">
        <is>
          <t>World Bank WDI: Gini index</t>
        </is>
      </c>
      <c r="M2109" t="inlineStr">
        <is>
          <t>2023-12-31</t>
        </is>
      </c>
      <c r="N2109" t="inlineStr">
        <is>
          <t>auto_ingest=world_bank_capability; indicator=SI.POV.GINI; year=2023; country_proxy=Colombia</t>
        </is>
      </c>
    </row>
    <row r="2110">
      <c r="A2110" t="inlineStr">
        <is>
          <t>co-bogota</t>
        </is>
      </c>
      <c r="B2110" t="inlineStr">
        <is>
          <t>Bogota</t>
        </is>
      </c>
      <c r="C2110" t="inlineStr">
        <is>
          <t>Colombia</t>
        </is>
      </c>
      <c r="D2110" t="inlineStr">
        <is>
          <t>Latin America</t>
        </is>
      </c>
      <c r="E2110" t="inlineStr">
        <is>
          <t>hospitality_belonging_raw</t>
        </is>
      </c>
      <c r="F2110" t="inlineStr">
        <is>
          <t>Hospitality and belonging raw</t>
        </is>
      </c>
      <c r="G2110" t="inlineStr">
        <is>
          <t>community</t>
        </is>
      </c>
      <c r="H2110" t="inlineStr">
        <is>
          <t>yes</t>
        </is>
      </c>
      <c r="I2110" t="inlineStr">
        <is>
          <t>52.44</t>
        </is>
      </c>
      <c r="J2110" t="inlineStr">
        <is>
          <t>world_bank</t>
        </is>
      </c>
      <c r="K2110" t="inlineStr">
        <is>
          <t>https://api.worldbank.org/v2/country/COL/indicator/SM.POP.NETM?format=json&amp;mrv=10</t>
        </is>
      </c>
      <c r="L2110" t="inlineStr">
        <is>
          <t>World Bank WDI: Net migration (proxy for hospitality/belonging — positive = welcoming)</t>
        </is>
      </c>
      <c r="M2110" t="inlineStr">
        <is>
          <t>2025-12-31</t>
        </is>
      </c>
      <c r="N2110" t="inlineStr">
        <is>
          <t>auto_ingest=world_bank_proxy; proxy=net_migration_hospitality; indicator=SM.POP.NETM; year=2025; country_proxy=Colombia</t>
        </is>
      </c>
    </row>
    <row r="2111">
      <c r="A2111" t="inlineStr">
        <is>
          <t>co-bogota</t>
        </is>
      </c>
      <c r="B2111" t="inlineStr">
        <is>
          <t>Bogota</t>
        </is>
      </c>
      <c r="C2111" t="inlineStr">
        <is>
          <t>Colombia</t>
        </is>
      </c>
      <c r="D2111" t="inlineStr">
        <is>
          <t>Latin America</t>
        </is>
      </c>
      <c r="E2111" t="inlineStr">
        <is>
          <t>tolerance_pluralism_raw</t>
        </is>
      </c>
      <c r="F2111" t="inlineStr">
        <is>
          <t>Tolerance and pluralism raw</t>
        </is>
      </c>
      <c r="G2111" t="inlineStr">
        <is>
          <t>community</t>
        </is>
      </c>
      <c r="H2111" t="inlineStr">
        <is>
          <t>yes</t>
        </is>
      </c>
      <c r="I2111" t="inlineStr">
        <is>
          <t>29.41</t>
        </is>
      </c>
      <c r="J2111" t="inlineStr">
        <is>
          <t>world_bank</t>
        </is>
      </c>
      <c r="K2111" t="inlineStr">
        <is>
          <t>https://api.worldbank.org/v2/country/COL/indicator/SG.GEN.PARL.ZS?format=json&amp;mrv=10</t>
        </is>
      </c>
      <c r="L2111" t="inlineStr">
        <is>
          <t>World Bank WDI: Proportion of seats held by women in national parliaments (%)</t>
        </is>
      </c>
      <c r="M2111" t="inlineStr">
        <is>
          <t>2024-12-31</t>
        </is>
      </c>
      <c r="N2111" t="inlineStr">
        <is>
          <t>auto_ingest=world_bank_proxy; proxy=gender_parity_parliament; indicator=SG.GEN.PARL.ZS; year=2024; country_proxy=Colombia</t>
        </is>
      </c>
    </row>
    <row r="2112">
      <c r="A2112" t="inlineStr">
        <is>
          <t>co-bogota</t>
        </is>
      </c>
      <c r="B2112" t="inlineStr">
        <is>
          <t>Bogota</t>
        </is>
      </c>
      <c r="C2112" t="inlineStr">
        <is>
          <t>Colombia</t>
        </is>
      </c>
      <c r="D2112" t="inlineStr">
        <is>
          <t>Latin America</t>
        </is>
      </c>
      <c r="E2112" t="inlineStr">
        <is>
          <t>cultural_public_life_raw</t>
        </is>
      </c>
      <c r="F2112" t="inlineStr">
        <is>
          <t>Cultural public life raw</t>
        </is>
      </c>
      <c r="G2112" t="inlineStr">
        <is>
          <t>community</t>
        </is>
      </c>
      <c r="H2112" t="inlineStr">
        <is>
          <t>yes</t>
        </is>
      </c>
      <c r="I2112" t="inlineStr">
        <is>
          <t>26.4</t>
        </is>
      </c>
      <c r="J2112" t="inlineStr">
        <is>
          <t>world_bank</t>
        </is>
      </c>
      <c r="K2112" t="inlineStr">
        <is>
          <t>https://api.worldbank.org/v2/country/COL/indicator/ST.INT.ARVL?format=json&amp;mrv=10</t>
        </is>
      </c>
      <c r="L2112" t="inlineStr">
        <is>
          <t>World Bank WDI: International tourism arrivals per 1 000 population</t>
        </is>
      </c>
      <c r="M2112" t="inlineStr">
        <is>
          <t>2020-12-31</t>
        </is>
      </c>
      <c r="N2112" t="inlineStr">
        <is>
          <t>auto_ingest=cultural_life_proxy; indicator=ST.INT.ARVL; norm=per_1000_pop; year=2020; country_proxy=Colombia</t>
        </is>
      </c>
    </row>
    <row r="2113">
      <c r="A2113" t="inlineStr">
        <is>
          <t>co-bogota</t>
        </is>
      </c>
      <c r="B2113" t="inlineStr">
        <is>
          <t>Bogota</t>
        </is>
      </c>
      <c r="C2113" t="inlineStr">
        <is>
          <t>Colombia</t>
        </is>
      </c>
      <c r="D2113" t="inlineStr">
        <is>
          <t>Latin America</t>
        </is>
      </c>
      <c r="E2113" t="inlineStr">
        <is>
          <t>birth_rate_optimism_raw</t>
        </is>
      </c>
      <c r="F2113" t="inlineStr">
        <is>
          <t>Birth rate and societal optimism raw</t>
        </is>
      </c>
      <c r="G2113" t="inlineStr">
        <is>
          <t>community</t>
        </is>
      </c>
      <c r="H2113" t="inlineStr">
        <is>
          <t>yes</t>
        </is>
      </c>
      <c r="I2113" t="inlineStr">
        <is>
          <t>1.64</t>
        </is>
      </c>
      <c r="J2113" t="inlineStr">
        <is>
          <t>world_bank</t>
        </is>
      </c>
      <c r="K2113" t="inlineStr">
        <is>
          <t>https://data.worldbank.org/indicator/SP.DYN.TFRT.IN</t>
        </is>
      </c>
      <c r="L2113" t="inlineStr">
        <is>
          <t>World Bank Total Fertility Rate 2023</t>
        </is>
      </c>
      <c r="M2113" t="inlineStr">
        <is>
          <t>2024-01-01</t>
        </is>
      </c>
      <c r="N2113" t="inlineStr"/>
    </row>
    <row r="2114">
      <c r="A2114" t="inlineStr">
        <is>
          <t>co-bogota</t>
        </is>
      </c>
      <c r="B2114" t="inlineStr">
        <is>
          <t>Bogota</t>
        </is>
      </c>
      <c r="C2114" t="inlineStr">
        <is>
          <t>Colombia</t>
        </is>
      </c>
      <c r="D2114" t="inlineStr">
        <is>
          <t>Latin America</t>
        </is>
      </c>
      <c r="E2114" t="inlineStr">
        <is>
          <t>entrepreneurial_dynamism_raw</t>
        </is>
      </c>
      <c r="F2114" t="inlineStr">
        <is>
          <t>Entrepreneurial dynamism raw</t>
        </is>
      </c>
      <c r="G2114" t="inlineStr">
        <is>
          <t>creative</t>
        </is>
      </c>
      <c r="H2114" t="inlineStr">
        <is>
          <t>yes</t>
        </is>
      </c>
      <c r="I2114" t="inlineStr">
        <is>
          <t>2.26</t>
        </is>
      </c>
      <c r="J2114" t="inlineStr">
        <is>
          <t>world_bank</t>
        </is>
      </c>
      <c r="K2114" t="inlineStr">
        <is>
          <t>https://api.worldbank.org/v2/country/COL/indicator/IC.BUS.NDNS.ZS?format=json&amp;mrv=10</t>
        </is>
      </c>
      <c r="L2114" t="inlineStr">
        <is>
          <t>World Bank WDI: New business density (new registrations per 1,000 people ages 15-64)</t>
        </is>
      </c>
      <c r="M2114" t="inlineStr">
        <is>
          <t>2022-12-31</t>
        </is>
      </c>
      <c r="N2114" t="inlineStr">
        <is>
          <t>auto_ingest=world_bank_creative_extended; indicator=IC.BUS.NDNS.ZS; year=2022; country_proxy=Colombia</t>
        </is>
      </c>
    </row>
    <row r="2115">
      <c r="A2115" t="inlineStr">
        <is>
          <t>co-bogota</t>
        </is>
      </c>
      <c r="B2115" t="inlineStr">
        <is>
          <t>Bogota</t>
        </is>
      </c>
      <c r="C2115" t="inlineStr">
        <is>
          <t>Colombia</t>
        </is>
      </c>
      <c r="D2115" t="inlineStr">
        <is>
          <t>Latin America</t>
        </is>
      </c>
      <c r="E2115" t="inlineStr">
        <is>
          <t>innovation_research_intensity_raw</t>
        </is>
      </c>
      <c r="F2115" t="inlineStr">
        <is>
          <t>Innovation and research raw</t>
        </is>
      </c>
      <c r="G2115" t="inlineStr">
        <is>
          <t>creative</t>
        </is>
      </c>
      <c r="H2115" t="inlineStr">
        <is>
          <t>yes</t>
        </is>
      </c>
      <c r="I2115" t="inlineStr">
        <is>
          <t>0.29</t>
        </is>
      </c>
      <c r="J2115" t="inlineStr">
        <is>
          <t>world_bank</t>
        </is>
      </c>
      <c r="K2115" t="inlineStr">
        <is>
          <t>https://api.worldbank.org/v2/country/COL/indicator/GB.XPD.RSDV.GD.ZS?format=json&amp;mrv=10</t>
        </is>
      </c>
      <c r="L2115" t="inlineStr">
        <is>
          <t>World Bank WDI: Research and development expenditure (% of GDP)</t>
        </is>
      </c>
      <c r="M2115" t="inlineStr">
        <is>
          <t>2020-12-31</t>
        </is>
      </c>
      <c r="N2115" t="inlineStr">
        <is>
          <t>auto_ingest=world_bank_creative_extended; indicator=GB.XPD.RSDV.GD.ZS; year=2020; country_proxy=Colombia</t>
        </is>
      </c>
    </row>
    <row r="2116">
      <c r="A2116" t="inlineStr">
        <is>
          <t>co-bogota</t>
        </is>
      </c>
      <c r="B2116" t="inlineStr">
        <is>
          <t>Bogota</t>
        </is>
      </c>
      <c r="C2116" t="inlineStr">
        <is>
          <t>Colombia</t>
        </is>
      </c>
      <c r="D2116" t="inlineStr">
        <is>
          <t>Latin America</t>
        </is>
      </c>
      <c r="E2116" t="inlineStr">
        <is>
          <t>investment_signal_raw</t>
        </is>
      </c>
      <c r="F2116" t="inlineStr">
        <is>
          <t>Investment signal raw</t>
        </is>
      </c>
      <c r="G2116" t="inlineStr">
        <is>
          <t>creative</t>
        </is>
      </c>
      <c r="H2116" t="inlineStr">
        <is>
          <t>yes</t>
        </is>
      </c>
      <c r="I2116" t="inlineStr">
        <is>
          <t>3.27</t>
        </is>
      </c>
      <c r="J2116" t="inlineStr">
        <is>
          <t>world_bank</t>
        </is>
      </c>
      <c r="K2116" t="inlineStr">
        <is>
          <t>https://api.worldbank.org/v2/country/COL/indicator/BX.KLT.DINV.WD.GD.ZS?format=json&amp;mrv=10</t>
        </is>
      </c>
      <c r="L2116" t="inlineStr">
        <is>
          <t>World Bank WDI: Foreign direct investment, net inflows (% of GDP)</t>
        </is>
      </c>
      <c r="M2116" t="inlineStr">
        <is>
          <t>2024-12-31</t>
        </is>
      </c>
      <c r="N2116" t="inlineStr">
        <is>
          <t>auto_ingest=world_bank_creative_extended; indicator=BX.KLT.DINV.WD.GD.ZS; year=2024; country_proxy=Colombia</t>
        </is>
      </c>
    </row>
    <row r="2117">
      <c r="A2117" t="inlineStr">
        <is>
          <t>co-bogota</t>
        </is>
      </c>
      <c r="B2117" t="inlineStr">
        <is>
          <t>Bogota</t>
        </is>
      </c>
      <c r="C2117" t="inlineStr">
        <is>
          <t>Colombia</t>
        </is>
      </c>
      <c r="D2117" t="inlineStr">
        <is>
          <t>Latin America</t>
        </is>
      </c>
      <c r="E2117" t="inlineStr">
        <is>
          <t>administrative_investment_friction_raw</t>
        </is>
      </c>
      <c r="F2117" t="inlineStr">
        <is>
          <t>Administrative investment friction raw</t>
        </is>
      </c>
      <c r="G2117" t="inlineStr">
        <is>
          <t>creative</t>
        </is>
      </c>
      <c r="H2117" t="inlineStr">
        <is>
          <t>yes</t>
        </is>
      </c>
      <c r="I2117" t="inlineStr">
        <is>
          <t>2.4</t>
        </is>
      </c>
      <c r="J2117" t="inlineStr">
        <is>
          <t>world_bank</t>
        </is>
      </c>
      <c r="K2117" t="inlineStr">
        <is>
          <t>https://api.worldbank.org/v2/country/COL/indicator/RQ.EST?format=json&amp;mrv=10</t>
        </is>
      </c>
      <c r="L2117" t="inlineStr">
        <is>
          <t>World Bank WGI: Regulatory Quality (inverted as friction proxy)</t>
        </is>
      </c>
      <c r="M2117" t="inlineStr">
        <is>
          <t>2023-12-31</t>
        </is>
      </c>
      <c r="N2117" t="inlineStr">
        <is>
          <t>auto_ingest=world_bank_business_friction; indicator=RQ.EST; raw_rq=0.101034268736839; friction=2.4; year=2023; country_proxy=Colombia</t>
        </is>
      </c>
    </row>
    <row r="2118">
      <c r="A2118" t="inlineStr">
        <is>
          <t>co-bogota</t>
        </is>
      </c>
      <c r="B2118" t="inlineStr">
        <is>
          <t>Bogota</t>
        </is>
      </c>
      <c r="C2118" t="inlineStr">
        <is>
          <t>Colombia</t>
        </is>
      </c>
      <c r="D2118" t="inlineStr">
        <is>
          <t>Latin America</t>
        </is>
      </c>
      <c r="E2118" t="inlineStr">
        <is>
          <t>visitor_flow_context_raw</t>
        </is>
      </c>
      <c r="F2118" t="inlineStr">
        <is>
          <t>Visitor flow context raw</t>
        </is>
      </c>
      <c r="G2118" t="inlineStr">
        <is>
          <t>creative</t>
        </is>
      </c>
      <c r="H2118" t="inlineStr">
        <is>
          <t>no</t>
        </is>
      </c>
      <c r="I2118" t="inlineStr"/>
      <c r="J2118" t="inlineStr"/>
      <c r="K2118" t="inlineStr"/>
      <c r="L2118" t="inlineStr"/>
      <c r="M2118" t="inlineStr"/>
      <c r="N2118" t="inlineStr"/>
    </row>
    <row r="2119">
      <c r="A2119" t="inlineStr">
        <is>
          <t>pe-lima</t>
        </is>
      </c>
      <c r="B2119" t="inlineStr">
        <is>
          <t>Lima</t>
        </is>
      </c>
      <c r="C2119" t="inlineStr">
        <is>
          <t>Peru</t>
        </is>
      </c>
      <c r="D2119" t="inlineStr">
        <is>
          <t>Latin America</t>
        </is>
      </c>
      <c r="E2119" t="inlineStr">
        <is>
          <t>gross_income</t>
        </is>
      </c>
      <c r="F2119" t="inlineStr">
        <is>
          <t>Gross income</t>
        </is>
      </c>
      <c r="G2119" t="inlineStr">
        <is>
          <t>pressure</t>
        </is>
      </c>
      <c r="H2119" t="inlineStr">
        <is>
          <t>yes</t>
        </is>
      </c>
      <c r="I2119" t="inlineStr">
        <is>
          <t>1398.33</t>
        </is>
      </c>
      <c r="J2119" t="inlineStr">
        <is>
          <t>world_bank_col_estimate</t>
        </is>
      </c>
      <c r="K2119" t="inlineStr">
        <is>
          <t>https://api.worldbank.org/v2/country/PER/indicator/NY.GNP.PCAP.PP.CD?format=json&amp;mrv=10</t>
        </is>
      </c>
      <c r="L2119" t="inlineStr">
        <is>
          <t>World Bank WDI: GNI per capita PPP (monthly USD)</t>
        </is>
      </c>
      <c r="M2119" t="inlineStr">
        <is>
          <t>2024-12-31</t>
        </is>
      </c>
      <c r="N2119" t="inlineStr">
        <is>
          <t>auto_ingest=world_bank_col_estimate; gni_annual=16780.0; year=2024; country_proxy=Peru; cohort=Latin America</t>
        </is>
      </c>
    </row>
    <row r="2120">
      <c r="A2120" t="inlineStr">
        <is>
          <t>pe-lima</t>
        </is>
      </c>
      <c r="B2120" t="inlineStr">
        <is>
          <t>Lima</t>
        </is>
      </c>
      <c r="C2120" t="inlineStr">
        <is>
          <t>Peru</t>
        </is>
      </c>
      <c r="D2120" t="inlineStr">
        <is>
          <t>Latin America</t>
        </is>
      </c>
      <c r="E2120" t="inlineStr">
        <is>
          <t>di_ppp_raw</t>
        </is>
      </c>
      <c r="F2120" t="inlineStr">
        <is>
          <t>Disposable income PPP (Raw)</t>
        </is>
      </c>
      <c r="G2120" t="inlineStr">
        <is>
          <t>pressure</t>
        </is>
      </c>
      <c r="H2120" t="inlineStr">
        <is>
          <t>yes</t>
        </is>
      </c>
      <c r="I2120" t="inlineStr"/>
      <c r="J2120" t="inlineStr"/>
      <c r="K2120" t="inlineStr"/>
      <c r="L2120" t="inlineStr"/>
      <c r="M2120" t="inlineStr"/>
      <c r="N2120" t="inlineStr"/>
    </row>
    <row r="2121">
      <c r="A2121" t="inlineStr">
        <is>
          <t>pe-lima</t>
        </is>
      </c>
      <c r="B2121" t="inlineStr">
        <is>
          <t>Lima</t>
        </is>
      </c>
      <c r="C2121" t="inlineStr">
        <is>
          <t>Peru</t>
        </is>
      </c>
      <c r="D2121" t="inlineStr">
        <is>
          <t>Latin America</t>
        </is>
      </c>
      <c r="E2121" t="inlineStr">
        <is>
          <t>rent</t>
        </is>
      </c>
      <c r="F2121" t="inlineStr">
        <is>
          <t>Rent</t>
        </is>
      </c>
      <c r="G2121" t="inlineStr">
        <is>
          <t>pressure</t>
        </is>
      </c>
      <c r="H2121" t="inlineStr">
        <is>
          <t>yes</t>
        </is>
      </c>
      <c r="I2121" t="inlineStr">
        <is>
          <t>349.58</t>
        </is>
      </c>
      <c r="J2121" t="inlineStr">
        <is>
          <t>world_bank_col_estimate</t>
        </is>
      </c>
      <c r="K2121" t="inlineStr">
        <is>
          <t>https://api.worldbank.org/v2/country/PER/indicator/NY.GNP.PCAP.PP.CD?format=json&amp;mrv=10</t>
        </is>
      </c>
      <c r="L2121" t="inlineStr">
        <is>
          <t>World Bank GNI + regional expenditure ratio estimate</t>
        </is>
      </c>
      <c r="M2121" t="inlineStr">
        <is>
          <t>2024-12-31</t>
        </is>
      </c>
      <c r="N2121" t="inlineStr">
        <is>
          <t>auto_ingest=world_bank_col_estimate; gni_annual=16780.0; year=2024; country_proxy=Peru; cohort=Latin America</t>
        </is>
      </c>
    </row>
    <row r="2122">
      <c r="A2122" t="inlineStr">
        <is>
          <t>pe-lima</t>
        </is>
      </c>
      <c r="B2122" t="inlineStr">
        <is>
          <t>Lima</t>
        </is>
      </c>
      <c r="C2122" t="inlineStr">
        <is>
          <t>Peru</t>
        </is>
      </c>
      <c r="D2122" t="inlineStr">
        <is>
          <t>Latin America</t>
        </is>
      </c>
      <c r="E2122" t="inlineStr">
        <is>
          <t>utilities</t>
        </is>
      </c>
      <c r="F2122" t="inlineStr">
        <is>
          <t>Utilities</t>
        </is>
      </c>
      <c r="G2122" t="inlineStr">
        <is>
          <t>pressure</t>
        </is>
      </c>
      <c r="H2122" t="inlineStr">
        <is>
          <t>yes</t>
        </is>
      </c>
      <c r="I2122" t="inlineStr">
        <is>
          <t>83.9</t>
        </is>
      </c>
      <c r="J2122" t="inlineStr">
        <is>
          <t>world_bank_col_estimate</t>
        </is>
      </c>
      <c r="K2122" t="inlineStr">
        <is>
          <t>https://api.worldbank.org/v2/country/PER/indicator/NY.GNP.PCAP.PP.CD?format=json&amp;mrv=10</t>
        </is>
      </c>
      <c r="L2122" t="inlineStr">
        <is>
          <t>World Bank GNI + regional expenditure ratio estimate</t>
        </is>
      </c>
      <c r="M2122" t="inlineStr">
        <is>
          <t>2024-12-31</t>
        </is>
      </c>
      <c r="N2122" t="inlineStr">
        <is>
          <t>auto_ingest=world_bank_col_estimate; gni_annual=16780.0; year=2024; country_proxy=Peru; cohort=Latin America</t>
        </is>
      </c>
    </row>
    <row r="2123">
      <c r="A2123" t="inlineStr">
        <is>
          <t>pe-lima</t>
        </is>
      </c>
      <c r="B2123" t="inlineStr">
        <is>
          <t>Lima</t>
        </is>
      </c>
      <c r="C2123" t="inlineStr">
        <is>
          <t>Peru</t>
        </is>
      </c>
      <c r="D2123" t="inlineStr">
        <is>
          <t>Latin America</t>
        </is>
      </c>
      <c r="E2123" t="inlineStr">
        <is>
          <t>transit_cost</t>
        </is>
      </c>
      <c r="F2123" t="inlineStr">
        <is>
          <t>Transit cost</t>
        </is>
      </c>
      <c r="G2123" t="inlineStr">
        <is>
          <t>pressure</t>
        </is>
      </c>
      <c r="H2123" t="inlineStr">
        <is>
          <t>yes</t>
        </is>
      </c>
      <c r="I2123" t="inlineStr">
        <is>
          <t>55.93</t>
        </is>
      </c>
      <c r="J2123" t="inlineStr">
        <is>
          <t>world_bank_col_estimate</t>
        </is>
      </c>
      <c r="K2123" t="inlineStr">
        <is>
          <t>https://api.worldbank.org/v2/country/PER/indicator/NY.GNP.PCAP.PP.CD?format=json&amp;mrv=10</t>
        </is>
      </c>
      <c r="L2123" t="inlineStr">
        <is>
          <t>World Bank GNI + regional expenditure ratio estimate</t>
        </is>
      </c>
      <c r="M2123" t="inlineStr">
        <is>
          <t>2024-12-31</t>
        </is>
      </c>
      <c r="N2123" t="inlineStr">
        <is>
          <t>auto_ingest=world_bank_col_estimate; gni_annual=16780.0; year=2024; country_proxy=Peru; cohort=Latin America</t>
        </is>
      </c>
    </row>
    <row r="2124">
      <c r="A2124" t="inlineStr">
        <is>
          <t>pe-lima</t>
        </is>
      </c>
      <c r="B2124" t="inlineStr">
        <is>
          <t>Lima</t>
        </is>
      </c>
      <c r="C2124" t="inlineStr">
        <is>
          <t>Peru</t>
        </is>
      </c>
      <c r="D2124" t="inlineStr">
        <is>
          <t>Latin America</t>
        </is>
      </c>
      <c r="E2124" t="inlineStr">
        <is>
          <t>internet_cost</t>
        </is>
      </c>
      <c r="F2124" t="inlineStr">
        <is>
          <t>Internet cost</t>
        </is>
      </c>
      <c r="G2124" t="inlineStr">
        <is>
          <t>pressure</t>
        </is>
      </c>
      <c r="H2124" t="inlineStr">
        <is>
          <t>yes</t>
        </is>
      </c>
      <c r="I2124" t="inlineStr">
        <is>
          <t>20.97</t>
        </is>
      </c>
      <c r="J2124" t="inlineStr">
        <is>
          <t>world_bank_col_estimate</t>
        </is>
      </c>
      <c r="K2124" t="inlineStr">
        <is>
          <t>https://api.worldbank.org/v2/country/PER/indicator/NY.GNP.PCAP.PP.CD?format=json&amp;mrv=10</t>
        </is>
      </c>
      <c r="L2124" t="inlineStr">
        <is>
          <t>World Bank GNI + regional expenditure ratio estimate</t>
        </is>
      </c>
      <c r="M2124" t="inlineStr">
        <is>
          <t>2024-12-31</t>
        </is>
      </c>
      <c r="N2124" t="inlineStr">
        <is>
          <t>auto_ingest=world_bank_col_estimate; gni_annual=16780.0; year=2024; country_proxy=Peru; cohort=Latin America</t>
        </is>
      </c>
    </row>
    <row r="2125">
      <c r="A2125" t="inlineStr">
        <is>
          <t>pe-lima</t>
        </is>
      </c>
      <c r="B2125" t="inlineStr">
        <is>
          <t>Lima</t>
        </is>
      </c>
      <c r="C2125" t="inlineStr">
        <is>
          <t>Peru</t>
        </is>
      </c>
      <c r="D2125" t="inlineStr">
        <is>
          <t>Latin America</t>
        </is>
      </c>
      <c r="E2125" t="inlineStr">
        <is>
          <t>food_cost</t>
        </is>
      </c>
      <c r="F2125" t="inlineStr">
        <is>
          <t>Food cost</t>
        </is>
      </c>
      <c r="G2125" t="inlineStr">
        <is>
          <t>pressure</t>
        </is>
      </c>
      <c r="H2125" t="inlineStr">
        <is>
          <t>yes</t>
        </is>
      </c>
      <c r="I2125" t="inlineStr">
        <is>
          <t>307.63</t>
        </is>
      </c>
      <c r="J2125" t="inlineStr">
        <is>
          <t>world_bank_col_estimate</t>
        </is>
      </c>
      <c r="K2125" t="inlineStr">
        <is>
          <t>https://api.worldbank.org/v2/country/PER/indicator/NY.GNP.PCAP.PP.CD?format=json&amp;mrv=10</t>
        </is>
      </c>
      <c r="L2125" t="inlineStr">
        <is>
          <t>World Bank GNI + regional expenditure ratio estimate</t>
        </is>
      </c>
      <c r="M2125" t="inlineStr">
        <is>
          <t>2024-12-31</t>
        </is>
      </c>
      <c r="N2125" t="inlineStr">
        <is>
          <t>auto_ingest=world_bank_col_estimate; gni_annual=16780.0; year=2024; country_proxy=Peru; cohort=Latin America</t>
        </is>
      </c>
    </row>
    <row r="2126">
      <c r="A2126" t="inlineStr">
        <is>
          <t>pe-lima</t>
        </is>
      </c>
      <c r="B2126" t="inlineStr">
        <is>
          <t>Lima</t>
        </is>
      </c>
      <c r="C2126" t="inlineStr">
        <is>
          <t>Peru</t>
        </is>
      </c>
      <c r="D2126" t="inlineStr">
        <is>
          <t>Latin America</t>
        </is>
      </c>
      <c r="E2126" t="inlineStr">
        <is>
          <t>housing_burden_raw</t>
        </is>
      </c>
      <c r="F2126" t="inlineStr">
        <is>
          <t>Housing burden raw</t>
        </is>
      </c>
      <c r="G2126" t="inlineStr">
        <is>
          <t>pressure</t>
        </is>
      </c>
      <c r="H2126" t="inlineStr">
        <is>
          <t>yes</t>
        </is>
      </c>
      <c r="I2126" t="inlineStr">
        <is>
          <t>24.9998</t>
        </is>
      </c>
      <c r="J2126" t="inlineStr">
        <is>
          <t>derived</t>
        </is>
      </c>
      <c r="K2126" t="inlineStr">
        <is>
          <t>https://data.worldbank.org/indicator/NY.GNP.PCAP.PP.CD</t>
        </is>
      </c>
      <c r="L2126" t="inlineStr">
        <is>
          <t>Computed from city_inputs + country_context</t>
        </is>
      </c>
      <c r="M2126" t="inlineStr">
        <is>
          <t>2024-01-01</t>
        </is>
      </c>
      <c r="N2126" t="inlineStr">
        <is>
          <t>derived=rent/gross_income*100</t>
        </is>
      </c>
    </row>
    <row r="2127">
      <c r="A2127" t="inlineStr">
        <is>
          <t>pe-lima</t>
        </is>
      </c>
      <c r="B2127" t="inlineStr">
        <is>
          <t>Lima</t>
        </is>
      </c>
      <c r="C2127" t="inlineStr">
        <is>
          <t>Peru</t>
        </is>
      </c>
      <c r="D2127" t="inlineStr">
        <is>
          <t>Latin America</t>
        </is>
      </c>
      <c r="E2127" t="inlineStr">
        <is>
          <t>household_debt_burden_raw</t>
        </is>
      </c>
      <c r="F2127" t="inlineStr">
        <is>
          <t>Household debt burden raw</t>
        </is>
      </c>
      <c r="G2127" t="inlineStr">
        <is>
          <t>pressure</t>
        </is>
      </c>
      <c r="H2127" t="inlineStr">
        <is>
          <t>yes</t>
        </is>
      </c>
      <c r="I2127" t="inlineStr">
        <is>
          <t>45.668</t>
        </is>
      </c>
      <c r="J2127" t="inlineStr">
        <is>
          <t>derived</t>
        </is>
      </c>
      <c r="K2127" t="inlineStr">
        <is>
          <t>https://data.worldbank.org/indicator/NY.GNP.PCAP.PP.CD</t>
        </is>
      </c>
      <c r="L2127" t="inlineStr">
        <is>
          <t>Computed from city_inputs + country_context</t>
        </is>
      </c>
      <c r="M2127" t="inlineStr">
        <is>
          <t>2024-01-01</t>
        </is>
      </c>
      <c r="N2127" t="inlineStr">
        <is>
          <t>derived=country_context.household_debt_proxy; country=Peru</t>
        </is>
      </c>
    </row>
    <row r="2128">
      <c r="A2128" t="inlineStr">
        <is>
          <t>pe-lima</t>
        </is>
      </c>
      <c r="B2128" t="inlineStr">
        <is>
          <t>Lima</t>
        </is>
      </c>
      <c r="C2128" t="inlineStr">
        <is>
          <t>Peru</t>
        </is>
      </c>
      <c r="D2128" t="inlineStr">
        <is>
          <t>Latin America</t>
        </is>
      </c>
      <c r="E2128" t="inlineStr">
        <is>
          <t>working_time_pressure_raw</t>
        </is>
      </c>
      <c r="F2128" t="inlineStr">
        <is>
          <t>Working time pressure raw</t>
        </is>
      </c>
      <c r="G2128" t="inlineStr">
        <is>
          <t>pressure</t>
        </is>
      </c>
      <c r="H2128" t="inlineStr">
        <is>
          <t>yes</t>
        </is>
      </c>
      <c r="I2128" t="inlineStr">
        <is>
          <t>39.67</t>
        </is>
      </c>
      <c r="J2128" t="inlineStr">
        <is>
          <t>ilo_ilostat</t>
        </is>
      </c>
      <c r="K2128" t="inlineStr">
        <is>
          <t>https://ilostat.ilo.org/data/indicator/?id=HOW_TEMP_SEX_ECO_NB_A&amp;ref_area=PER</t>
        </is>
      </c>
      <c r="L2128" t="inlineStr">
        <is>
          <t>ILO ILOSTAT: Mean weekly hours actually worked per employed person</t>
        </is>
      </c>
      <c r="M2128" t="inlineStr">
        <is>
          <t>2025-12-31</t>
        </is>
      </c>
      <c r="N2128" t="inlineStr">
        <is>
          <t>auto_ingest=ilo_working_hours; indicator=HOW_TEMP_SEX_ECO_NB_A; year=2025; hours=39.67; country_proxy=Peru</t>
        </is>
      </c>
    </row>
    <row r="2129">
      <c r="A2129" t="inlineStr">
        <is>
          <t>pe-lima</t>
        </is>
      </c>
      <c r="B2129" t="inlineStr">
        <is>
          <t>Lima</t>
        </is>
      </c>
      <c r="C2129" t="inlineStr">
        <is>
          <t>Peru</t>
        </is>
      </c>
      <c r="D2129" t="inlineStr">
        <is>
          <t>Latin America</t>
        </is>
      </c>
      <c r="E2129" t="inlineStr">
        <is>
          <t>suicide_mental_strain_raw</t>
        </is>
      </c>
      <c r="F2129" t="inlineStr">
        <is>
          <t>Suicide or mental strain raw</t>
        </is>
      </c>
      <c r="G2129" t="inlineStr">
        <is>
          <t>pressure</t>
        </is>
      </c>
      <c r="H2129" t="inlineStr">
        <is>
          <t>yes</t>
        </is>
      </c>
      <c r="I2129" t="inlineStr">
        <is>
          <t>1.54</t>
        </is>
      </c>
      <c r="J2129" t="inlineStr">
        <is>
          <t>who_gho</t>
        </is>
      </c>
      <c r="K2129" t="inlineStr">
        <is>
          <t>https://www.who.int/data/gho/data/indicators/indicator-details/GHO/SDGSUICIDE</t>
        </is>
      </c>
      <c r="L2129" t="inlineStr">
        <is>
          <t>WHO GHO: Age-standardized suicide rate (per 100,000 population)</t>
        </is>
      </c>
      <c r="M2129" t="inlineStr">
        <is>
          <t>2021-12-31</t>
        </is>
      </c>
      <c r="N2129" t="inlineStr">
        <is>
          <t>auto_ingest=who_gho; indicator=SDGSUICIDE; year=2021; country_proxy=Peru</t>
        </is>
      </c>
    </row>
    <row r="2130">
      <c r="A2130" t="inlineStr">
        <is>
          <t>pe-lima</t>
        </is>
      </c>
      <c r="B2130" t="inlineStr">
        <is>
          <t>Lima</t>
        </is>
      </c>
      <c r="C2130" t="inlineStr">
        <is>
          <t>Peru</t>
        </is>
      </c>
      <c r="D2130" t="inlineStr">
        <is>
          <t>Latin America</t>
        </is>
      </c>
      <c r="E2130" t="inlineStr">
        <is>
          <t>personal_safety_raw</t>
        </is>
      </c>
      <c r="F2130" t="inlineStr">
        <is>
          <t>Personal safety raw</t>
        </is>
      </c>
      <c r="G2130" t="inlineStr">
        <is>
          <t>viability</t>
        </is>
      </c>
      <c r="H2130" t="inlineStr">
        <is>
          <t>yes</t>
        </is>
      </c>
      <c r="I2130" t="inlineStr">
        <is>
          <t>8.6</t>
        </is>
      </c>
      <c r="J2130" t="inlineStr">
        <is>
          <t>world_bank</t>
        </is>
      </c>
      <c r="K2130" t="inlineStr">
        <is>
          <t>https://api.worldbank.org/v2/country/PER/indicator/VC.IHR.PSRC.P5?format=json&amp;mrv=10</t>
        </is>
      </c>
      <c r="L2130" t="inlineStr">
        <is>
          <t>UNODC via World Bank WDI: Intentional homicides (per 100,000 people)</t>
        </is>
      </c>
      <c r="M2130" t="inlineStr">
        <is>
          <t>2021-12-31</t>
        </is>
      </c>
      <c r="N2130" t="inlineStr">
        <is>
          <t>auto_ingest=unodc_safety; indicator=VC.IHR.PSRC.P5; year=2021; country_proxy=Peru</t>
        </is>
      </c>
    </row>
    <row r="2131">
      <c r="A2131" t="inlineStr">
        <is>
          <t>pe-lima</t>
        </is>
      </c>
      <c r="B2131" t="inlineStr">
        <is>
          <t>Lima</t>
        </is>
      </c>
      <c r="C2131" t="inlineStr">
        <is>
          <t>Peru</t>
        </is>
      </c>
      <c r="D2131" t="inlineStr">
        <is>
          <t>Latin America</t>
        </is>
      </c>
      <c r="E2131" t="inlineStr">
        <is>
          <t>transit_access_commute_raw</t>
        </is>
      </c>
      <c r="F2131" t="inlineStr">
        <is>
          <t>Transit access and commute raw</t>
        </is>
      </c>
      <c r="G2131" t="inlineStr">
        <is>
          <t>viability</t>
        </is>
      </c>
      <c r="H2131" t="inlineStr">
        <is>
          <t>yes</t>
        </is>
      </c>
      <c r="I2131" t="inlineStr"/>
      <c r="J2131" t="inlineStr"/>
      <c r="K2131" t="inlineStr"/>
      <c r="L2131" t="inlineStr"/>
      <c r="M2131" t="inlineStr"/>
      <c r="N2131" t="inlineStr"/>
    </row>
    <row r="2132">
      <c r="A2132" t="inlineStr">
        <is>
          <t>pe-lima</t>
        </is>
      </c>
      <c r="B2132" t="inlineStr">
        <is>
          <t>Lima</t>
        </is>
      </c>
      <c r="C2132" t="inlineStr">
        <is>
          <t>Peru</t>
        </is>
      </c>
      <c r="D2132" t="inlineStr">
        <is>
          <t>Latin America</t>
        </is>
      </c>
      <c r="E2132" t="inlineStr">
        <is>
          <t>clean_air_raw</t>
        </is>
      </c>
      <c r="F2132" t="inlineStr">
        <is>
          <t>Clean air raw</t>
        </is>
      </c>
      <c r="G2132" t="inlineStr">
        <is>
          <t>viability</t>
        </is>
      </c>
      <c r="H2132" t="inlineStr">
        <is>
          <t>yes</t>
        </is>
      </c>
      <c r="I2132" t="inlineStr"/>
      <c r="J2132" t="inlineStr"/>
      <c r="K2132" t="inlineStr"/>
      <c r="L2132" t="inlineStr"/>
      <c r="M2132" t="inlineStr"/>
      <c r="N2132" t="inlineStr"/>
    </row>
    <row r="2133">
      <c r="A2133" t="inlineStr">
        <is>
          <t>pe-lima</t>
        </is>
      </c>
      <c r="B2133" t="inlineStr">
        <is>
          <t>Lima</t>
        </is>
      </c>
      <c r="C2133" t="inlineStr">
        <is>
          <t>Peru</t>
        </is>
      </c>
      <c r="D2133" t="inlineStr">
        <is>
          <t>Latin America</t>
        </is>
      </c>
      <c r="E2133" t="inlineStr">
        <is>
          <t>water_sanitation_utility_raw</t>
        </is>
      </c>
      <c r="F2133" t="inlineStr">
        <is>
          <t>Water, sanitation, and utility raw</t>
        </is>
      </c>
      <c r="G2133" t="inlineStr">
        <is>
          <t>viability</t>
        </is>
      </c>
      <c r="H2133" t="inlineStr">
        <is>
          <t>yes</t>
        </is>
      </c>
      <c r="I2133" t="inlineStr">
        <is>
          <t>49.43</t>
        </is>
      </c>
      <c r="J2133" t="inlineStr">
        <is>
          <t>world_bank</t>
        </is>
      </c>
      <c r="K2133" t="inlineStr">
        <is>
          <t>https://api.worldbank.org/v2/country/PER/indicator/SH.H2O.SMDW.ZS?format=json&amp;mrv=10</t>
        </is>
      </c>
      <c r="L2133" t="inlineStr">
        <is>
          <t>World Bank WDI: People using safely managed drinking water services (% of population)</t>
        </is>
      </c>
      <c r="M2133" t="inlineStr">
        <is>
          <t>2024-12-31</t>
        </is>
      </c>
      <c r="N2133" t="inlineStr">
        <is>
          <t>auto_ingest=world_bank_proxy; indicator=SH.H2O.SMDW.ZS; year=2024; country_proxy=Peru</t>
        </is>
      </c>
    </row>
    <row r="2134">
      <c r="A2134" t="inlineStr">
        <is>
          <t>pe-lima</t>
        </is>
      </c>
      <c r="B2134" t="inlineStr">
        <is>
          <t>Lima</t>
        </is>
      </c>
      <c r="C2134" t="inlineStr">
        <is>
          <t>Peru</t>
        </is>
      </c>
      <c r="D2134" t="inlineStr">
        <is>
          <t>Latin America</t>
        </is>
      </c>
      <c r="E2134" t="inlineStr">
        <is>
          <t>digital_infrastructure_raw</t>
        </is>
      </c>
      <c r="F2134" t="inlineStr">
        <is>
          <t>Digital infrastructure raw</t>
        </is>
      </c>
      <c r="G2134" t="inlineStr">
        <is>
          <t>viability</t>
        </is>
      </c>
      <c r="H2134" t="inlineStr">
        <is>
          <t>yes</t>
        </is>
      </c>
      <c r="I2134" t="inlineStr">
        <is>
          <t>10.44</t>
        </is>
      </c>
      <c r="J2134" t="inlineStr">
        <is>
          <t>world_bank</t>
        </is>
      </c>
      <c r="K2134" t="inlineStr">
        <is>
          <t>https://api.worldbank.org/v2/country/PER/indicator/IT.NET.BBND.P2?format=json&amp;mrv=10</t>
        </is>
      </c>
      <c r="L2134" t="inlineStr">
        <is>
          <t>World Bank WDI: Fixed broadband subscriptions (per 100 people)</t>
        </is>
      </c>
      <c r="M2134" t="inlineStr">
        <is>
          <t>2023-12-31</t>
        </is>
      </c>
      <c r="N2134" t="inlineStr">
        <is>
          <t>auto_ingest=world_bank_proxy; indicator=IT.NET.BBND.P2; year=2023; country_proxy=Peru</t>
        </is>
      </c>
    </row>
    <row r="2135">
      <c r="A2135" t="inlineStr">
        <is>
          <t>pe-lima</t>
        </is>
      </c>
      <c r="B2135" t="inlineStr">
        <is>
          <t>Lima</t>
        </is>
      </c>
      <c r="C2135" t="inlineStr">
        <is>
          <t>Peru</t>
        </is>
      </c>
      <c r="D2135" t="inlineStr">
        <is>
          <t>Latin America</t>
        </is>
      </c>
      <c r="E2135" t="inlineStr">
        <is>
          <t>climate_sunlight_livability_raw</t>
        </is>
      </c>
      <c r="F2135" t="inlineStr">
        <is>
          <t>Climate and sunlight livability raw</t>
        </is>
      </c>
      <c r="G2135" t="inlineStr">
        <is>
          <t>viability</t>
        </is>
      </c>
      <c r="H2135" t="inlineStr">
        <is>
          <t>yes</t>
        </is>
      </c>
      <c r="I2135" t="inlineStr"/>
      <c r="J2135" t="inlineStr"/>
      <c r="K2135" t="inlineStr"/>
      <c r="L2135" t="inlineStr"/>
      <c r="M2135" t="inlineStr"/>
      <c r="N2135" t="inlineStr"/>
    </row>
    <row r="2136">
      <c r="A2136" t="inlineStr">
        <is>
          <t>pe-lima</t>
        </is>
      </c>
      <c r="B2136" t="inlineStr">
        <is>
          <t>Lima</t>
        </is>
      </c>
      <c r="C2136" t="inlineStr">
        <is>
          <t>Peru</t>
        </is>
      </c>
      <c r="D2136" t="inlineStr">
        <is>
          <t>Latin America</t>
        </is>
      </c>
      <c r="E2136" t="inlineStr">
        <is>
          <t>healthcare_quality_raw</t>
        </is>
      </c>
      <c r="F2136" t="inlineStr">
        <is>
          <t>Healthcare quality raw</t>
        </is>
      </c>
      <c r="G2136" t="inlineStr">
        <is>
          <t>capability</t>
        </is>
      </c>
      <c r="H2136" t="inlineStr">
        <is>
          <t>yes</t>
        </is>
      </c>
      <c r="I2136" t="inlineStr">
        <is>
          <t>68.0</t>
        </is>
      </c>
      <c r="J2136" t="inlineStr">
        <is>
          <t>who_gho</t>
        </is>
      </c>
      <c r="K2136" t="inlineStr">
        <is>
          <t>https://www.who.int/data/gho/data/indicators/indicator-details/GHO/UHC_INDEX_REPORTED</t>
        </is>
      </c>
      <c r="L2136" t="inlineStr">
        <is>
          <t>WHO GHO: UHC Service Coverage Index</t>
        </is>
      </c>
      <c r="M2136" t="inlineStr">
        <is>
          <t>2023-12-31</t>
        </is>
      </c>
      <c r="N2136" t="inlineStr">
        <is>
          <t>auto_ingest=who_gho; indicator=UHC_INDEX_REPORTED; year=2023; country_proxy=Peru</t>
        </is>
      </c>
    </row>
    <row r="2137">
      <c r="A2137" t="inlineStr">
        <is>
          <t>pe-lima</t>
        </is>
      </c>
      <c r="B2137" t="inlineStr">
        <is>
          <t>Lima</t>
        </is>
      </c>
      <c r="C2137" t="inlineStr">
        <is>
          <t>Peru</t>
        </is>
      </c>
      <c r="D2137" t="inlineStr">
        <is>
          <t>Latin America</t>
        </is>
      </c>
      <c r="E2137" t="inlineStr">
        <is>
          <t>education_quality_raw</t>
        </is>
      </c>
      <c r="F2137" t="inlineStr">
        <is>
          <t>Education quality raw</t>
        </is>
      </c>
      <c r="G2137" t="inlineStr">
        <is>
          <t>capability</t>
        </is>
      </c>
      <c r="H2137" t="inlineStr">
        <is>
          <t>yes</t>
        </is>
      </c>
      <c r="I2137" t="inlineStr"/>
      <c r="J2137" t="inlineStr"/>
      <c r="K2137" t="inlineStr"/>
      <c r="L2137" t="inlineStr"/>
      <c r="M2137" t="inlineStr"/>
      <c r="N2137" t="inlineStr"/>
    </row>
    <row r="2138">
      <c r="A2138" t="inlineStr">
        <is>
          <t>pe-lima</t>
        </is>
      </c>
      <c r="B2138" t="inlineStr">
        <is>
          <t>Lima</t>
        </is>
      </c>
      <c r="C2138" t="inlineStr">
        <is>
          <t>Peru</t>
        </is>
      </c>
      <c r="D2138" t="inlineStr">
        <is>
          <t>Latin America</t>
        </is>
      </c>
      <c r="E2138" t="inlineStr">
        <is>
          <t>equal_opportunity_raw</t>
        </is>
      </c>
      <c r="F2138" t="inlineStr">
        <is>
          <t>Equal opportunity raw</t>
        </is>
      </c>
      <c r="G2138" t="inlineStr">
        <is>
          <t>capability</t>
        </is>
      </c>
      <c r="H2138" t="inlineStr">
        <is>
          <t>yes</t>
        </is>
      </c>
      <c r="I2138" t="inlineStr">
        <is>
          <t>40.1</t>
        </is>
      </c>
      <c r="J2138" t="inlineStr">
        <is>
          <t>world_bank</t>
        </is>
      </c>
      <c r="K2138" t="inlineStr">
        <is>
          <t>https://api.worldbank.org/v2/country/PER/indicator/SI.POV.GINI?format=json&amp;mrv=10</t>
        </is>
      </c>
      <c r="L2138" t="inlineStr">
        <is>
          <t>World Bank WDI: Gini index</t>
        </is>
      </c>
      <c r="M2138" t="inlineStr">
        <is>
          <t>2024-12-31</t>
        </is>
      </c>
      <c r="N2138" t="inlineStr">
        <is>
          <t>auto_ingest=world_bank_capability; indicator=SI.POV.GINI; year=2024; country_proxy=Peru</t>
        </is>
      </c>
    </row>
    <row r="2139">
      <c r="A2139" t="inlineStr">
        <is>
          <t>pe-lima</t>
        </is>
      </c>
      <c r="B2139" t="inlineStr">
        <is>
          <t>Lima</t>
        </is>
      </c>
      <c r="C2139" t="inlineStr">
        <is>
          <t>Peru</t>
        </is>
      </c>
      <c r="D2139" t="inlineStr">
        <is>
          <t>Latin America</t>
        </is>
      </c>
      <c r="E2139" t="inlineStr">
        <is>
          <t>hospitality_belonging_raw</t>
        </is>
      </c>
      <c r="F2139" t="inlineStr">
        <is>
          <t>Hospitality and belonging raw</t>
        </is>
      </c>
      <c r="G2139" t="inlineStr">
        <is>
          <t>community</t>
        </is>
      </c>
      <c r="H2139" t="inlineStr">
        <is>
          <t>yes</t>
        </is>
      </c>
      <c r="I2139" t="inlineStr">
        <is>
          <t>50.35</t>
        </is>
      </c>
      <c r="J2139" t="inlineStr">
        <is>
          <t>world_bank</t>
        </is>
      </c>
      <c r="K2139" t="inlineStr">
        <is>
          <t>https://api.worldbank.org/v2/country/PER/indicator/SM.POP.NETM?format=json&amp;mrv=10</t>
        </is>
      </c>
      <c r="L2139" t="inlineStr">
        <is>
          <t>World Bank WDI: Net migration (proxy for hospitality/belonging — positive = welcoming)</t>
        </is>
      </c>
      <c r="M2139" t="inlineStr">
        <is>
          <t>2025-12-31</t>
        </is>
      </c>
      <c r="N2139" t="inlineStr">
        <is>
          <t>auto_ingest=world_bank_proxy; proxy=net_migration_hospitality; indicator=SM.POP.NETM; year=2025; country_proxy=Peru</t>
        </is>
      </c>
    </row>
    <row r="2140">
      <c r="A2140" t="inlineStr">
        <is>
          <t>pe-lima</t>
        </is>
      </c>
      <c r="B2140" t="inlineStr">
        <is>
          <t>Lima</t>
        </is>
      </c>
      <c r="C2140" t="inlineStr">
        <is>
          <t>Peru</t>
        </is>
      </c>
      <c r="D2140" t="inlineStr">
        <is>
          <t>Latin America</t>
        </is>
      </c>
      <c r="E2140" t="inlineStr">
        <is>
          <t>tolerance_pluralism_raw</t>
        </is>
      </c>
      <c r="F2140" t="inlineStr">
        <is>
          <t>Tolerance and pluralism raw</t>
        </is>
      </c>
      <c r="G2140" t="inlineStr">
        <is>
          <t>community</t>
        </is>
      </c>
      <c r="H2140" t="inlineStr">
        <is>
          <t>yes</t>
        </is>
      </c>
      <c r="I2140" t="inlineStr">
        <is>
          <t>38.46</t>
        </is>
      </c>
      <c r="J2140" t="inlineStr">
        <is>
          <t>world_bank</t>
        </is>
      </c>
      <c r="K2140" t="inlineStr">
        <is>
          <t>https://api.worldbank.org/v2/country/PER/indicator/SG.GEN.PARL.ZS?format=json&amp;mrv=10</t>
        </is>
      </c>
      <c r="L2140" t="inlineStr">
        <is>
          <t>World Bank WDI: Proportion of seats held by women in national parliaments (%)</t>
        </is>
      </c>
      <c r="M2140" t="inlineStr">
        <is>
          <t>2024-12-31</t>
        </is>
      </c>
      <c r="N2140" t="inlineStr">
        <is>
          <t>auto_ingest=world_bank_proxy; proxy=gender_parity_parliament; indicator=SG.GEN.PARL.ZS; year=2024; country_proxy=Peru</t>
        </is>
      </c>
    </row>
    <row r="2141">
      <c r="A2141" t="inlineStr">
        <is>
          <t>pe-lima</t>
        </is>
      </c>
      <c r="B2141" t="inlineStr">
        <is>
          <t>Lima</t>
        </is>
      </c>
      <c r="C2141" t="inlineStr">
        <is>
          <t>Peru</t>
        </is>
      </c>
      <c r="D2141" t="inlineStr">
        <is>
          <t>Latin America</t>
        </is>
      </c>
      <c r="E2141" t="inlineStr">
        <is>
          <t>cultural_public_life_raw</t>
        </is>
      </c>
      <c r="F2141" t="inlineStr">
        <is>
          <t>Cultural public life raw</t>
        </is>
      </c>
      <c r="G2141" t="inlineStr">
        <is>
          <t>community</t>
        </is>
      </c>
      <c r="H2141" t="inlineStr">
        <is>
          <t>yes</t>
        </is>
      </c>
      <c r="I2141" t="inlineStr">
        <is>
          <t>32.7</t>
        </is>
      </c>
      <c r="J2141" t="inlineStr">
        <is>
          <t>world_bank</t>
        </is>
      </c>
      <c r="K2141" t="inlineStr">
        <is>
          <t>https://api.worldbank.org/v2/country/PER/indicator/ST.INT.ARVL?format=json&amp;mrv=10</t>
        </is>
      </c>
      <c r="L2141" t="inlineStr">
        <is>
          <t>World Bank WDI: International tourism arrivals per 1 000 population</t>
        </is>
      </c>
      <c r="M2141" t="inlineStr">
        <is>
          <t>2020-12-31</t>
        </is>
      </c>
      <c r="N2141" t="inlineStr">
        <is>
          <t>auto_ingest=cultural_life_proxy; indicator=ST.INT.ARVL; norm=per_1000_pop; year=2020; country_proxy=Peru</t>
        </is>
      </c>
    </row>
    <row r="2142">
      <c r="A2142" t="inlineStr">
        <is>
          <t>pe-lima</t>
        </is>
      </c>
      <c r="B2142" t="inlineStr">
        <is>
          <t>Lima</t>
        </is>
      </c>
      <c r="C2142" t="inlineStr">
        <is>
          <t>Peru</t>
        </is>
      </c>
      <c r="D2142" t="inlineStr">
        <is>
          <t>Latin America</t>
        </is>
      </c>
      <c r="E2142" t="inlineStr">
        <is>
          <t>birth_rate_optimism_raw</t>
        </is>
      </c>
      <c r="F2142" t="inlineStr">
        <is>
          <t>Birth rate and societal optimism raw</t>
        </is>
      </c>
      <c r="G2142" t="inlineStr">
        <is>
          <t>community</t>
        </is>
      </c>
      <c r="H2142" t="inlineStr">
        <is>
          <t>yes</t>
        </is>
      </c>
      <c r="I2142" t="inlineStr"/>
      <c r="J2142" t="inlineStr"/>
      <c r="K2142" t="inlineStr"/>
      <c r="L2142" t="inlineStr"/>
      <c r="M2142" t="inlineStr"/>
      <c r="N2142" t="inlineStr"/>
    </row>
    <row r="2143">
      <c r="A2143" t="inlineStr">
        <is>
          <t>pe-lima</t>
        </is>
      </c>
      <c r="B2143" t="inlineStr">
        <is>
          <t>Lima</t>
        </is>
      </c>
      <c r="C2143" t="inlineStr">
        <is>
          <t>Peru</t>
        </is>
      </c>
      <c r="D2143" t="inlineStr">
        <is>
          <t>Latin America</t>
        </is>
      </c>
      <c r="E2143" t="inlineStr">
        <is>
          <t>entrepreneurial_dynamism_raw</t>
        </is>
      </c>
      <c r="F2143" t="inlineStr">
        <is>
          <t>Entrepreneurial dynamism raw</t>
        </is>
      </c>
      <c r="G2143" t="inlineStr">
        <is>
          <t>creative</t>
        </is>
      </c>
      <c r="H2143" t="inlineStr">
        <is>
          <t>yes</t>
        </is>
      </c>
      <c r="I2143" t="inlineStr">
        <is>
          <t>4.69</t>
        </is>
      </c>
      <c r="J2143" t="inlineStr">
        <is>
          <t>world_bank</t>
        </is>
      </c>
      <c r="K2143" t="inlineStr">
        <is>
          <t>https://api.worldbank.org/v2/country/PER/indicator/IC.BUS.NDNS.ZS?format=json&amp;mrv=10</t>
        </is>
      </c>
      <c r="L2143" t="inlineStr">
        <is>
          <t>World Bank WDI: New business density (new registrations per 1,000 people ages 15-64)</t>
        </is>
      </c>
      <c r="M2143" t="inlineStr">
        <is>
          <t>2022-12-31</t>
        </is>
      </c>
      <c r="N2143" t="inlineStr">
        <is>
          <t>auto_ingest=world_bank_creative_extended; indicator=IC.BUS.NDNS.ZS; year=2022; country_proxy=Peru</t>
        </is>
      </c>
    </row>
    <row r="2144">
      <c r="A2144" t="inlineStr">
        <is>
          <t>pe-lima</t>
        </is>
      </c>
      <c r="B2144" t="inlineStr">
        <is>
          <t>Lima</t>
        </is>
      </c>
      <c r="C2144" t="inlineStr">
        <is>
          <t>Peru</t>
        </is>
      </c>
      <c r="D2144" t="inlineStr">
        <is>
          <t>Latin America</t>
        </is>
      </c>
      <c r="E2144" t="inlineStr">
        <is>
          <t>innovation_research_intensity_raw</t>
        </is>
      </c>
      <c r="F2144" t="inlineStr">
        <is>
          <t>Innovation and research raw</t>
        </is>
      </c>
      <c r="G2144" t="inlineStr">
        <is>
          <t>creative</t>
        </is>
      </c>
      <c r="H2144" t="inlineStr">
        <is>
          <t>yes</t>
        </is>
      </c>
      <c r="I2144" t="inlineStr">
        <is>
          <t>0.16</t>
        </is>
      </c>
      <c r="J2144" t="inlineStr">
        <is>
          <t>world_bank</t>
        </is>
      </c>
      <c r="K2144" t="inlineStr">
        <is>
          <t>https://api.worldbank.org/v2/country/PER/indicator/GB.XPD.RSDV.GD.ZS?format=json&amp;mrv=10</t>
        </is>
      </c>
      <c r="L2144" t="inlineStr">
        <is>
          <t>World Bank WDI: Research and development expenditure (% of GDP)</t>
        </is>
      </c>
      <c r="M2144" t="inlineStr">
        <is>
          <t>2022-12-31</t>
        </is>
      </c>
      <c r="N2144" t="inlineStr">
        <is>
          <t>auto_ingest=world_bank_creative_extended; indicator=GB.XPD.RSDV.GD.ZS; year=2022; country_proxy=Peru</t>
        </is>
      </c>
    </row>
    <row r="2145">
      <c r="A2145" t="inlineStr">
        <is>
          <t>pe-lima</t>
        </is>
      </c>
      <c r="B2145" t="inlineStr">
        <is>
          <t>Lima</t>
        </is>
      </c>
      <c r="C2145" t="inlineStr">
        <is>
          <t>Peru</t>
        </is>
      </c>
      <c r="D2145" t="inlineStr">
        <is>
          <t>Latin America</t>
        </is>
      </c>
      <c r="E2145" t="inlineStr">
        <is>
          <t>investment_signal_raw</t>
        </is>
      </c>
      <c r="F2145" t="inlineStr">
        <is>
          <t>Investment signal raw</t>
        </is>
      </c>
      <c r="G2145" t="inlineStr">
        <is>
          <t>creative</t>
        </is>
      </c>
      <c r="H2145" t="inlineStr">
        <is>
          <t>yes</t>
        </is>
      </c>
      <c r="I2145" t="inlineStr">
        <is>
          <t>2.35</t>
        </is>
      </c>
      <c r="J2145" t="inlineStr">
        <is>
          <t>world_bank</t>
        </is>
      </c>
      <c r="K2145" t="inlineStr">
        <is>
          <t>https://api.worldbank.org/v2/country/PER/indicator/BX.KLT.DINV.WD.GD.ZS?format=json&amp;mrv=10</t>
        </is>
      </c>
      <c r="L2145" t="inlineStr">
        <is>
          <t>World Bank WDI: Foreign direct investment, net inflows (% of GDP)</t>
        </is>
      </c>
      <c r="M2145" t="inlineStr">
        <is>
          <t>2024-12-31</t>
        </is>
      </c>
      <c r="N2145" t="inlineStr">
        <is>
          <t>auto_ingest=world_bank_creative_extended; indicator=BX.KLT.DINV.WD.GD.ZS; year=2024; country_proxy=Peru</t>
        </is>
      </c>
    </row>
    <row r="2146">
      <c r="A2146" t="inlineStr">
        <is>
          <t>pe-lima</t>
        </is>
      </c>
      <c r="B2146" t="inlineStr">
        <is>
          <t>Lima</t>
        </is>
      </c>
      <c r="C2146" t="inlineStr">
        <is>
          <t>Peru</t>
        </is>
      </c>
      <c r="D2146" t="inlineStr">
        <is>
          <t>Latin America</t>
        </is>
      </c>
      <c r="E2146" t="inlineStr">
        <is>
          <t>administrative_investment_friction_raw</t>
        </is>
      </c>
      <c r="F2146" t="inlineStr">
        <is>
          <t>Administrative investment friction raw</t>
        </is>
      </c>
      <c r="G2146" t="inlineStr">
        <is>
          <t>creative</t>
        </is>
      </c>
      <c r="H2146" t="inlineStr">
        <is>
          <t>yes</t>
        </is>
      </c>
      <c r="I2146" t="inlineStr">
        <is>
          <t>2.21</t>
        </is>
      </c>
      <c r="J2146" t="inlineStr">
        <is>
          <t>world_bank</t>
        </is>
      </c>
      <c r="K2146" t="inlineStr">
        <is>
          <t>https://api.worldbank.org/v2/country/PER/indicator/RQ.EST?format=json&amp;mrv=10</t>
        </is>
      </c>
      <c r="L2146" t="inlineStr">
        <is>
          <t>World Bank WGI: Regulatory Quality (inverted as friction proxy)</t>
        </is>
      </c>
      <c r="M2146" t="inlineStr">
        <is>
          <t>2023-12-31</t>
        </is>
      </c>
      <c r="N2146" t="inlineStr">
        <is>
          <t>auto_ingest=world_bank_business_friction; indicator=RQ.EST; raw_rq=0.292205184698105; friction=2.21; year=2023; country_proxy=Peru</t>
        </is>
      </c>
    </row>
    <row r="2147">
      <c r="A2147" t="inlineStr">
        <is>
          <t>pe-lima</t>
        </is>
      </c>
      <c r="B2147" t="inlineStr">
        <is>
          <t>Lima</t>
        </is>
      </c>
      <c r="C2147" t="inlineStr">
        <is>
          <t>Peru</t>
        </is>
      </c>
      <c r="D2147" t="inlineStr">
        <is>
          <t>Latin America</t>
        </is>
      </c>
      <c r="E2147" t="inlineStr">
        <is>
          <t>visitor_flow_context_raw</t>
        </is>
      </c>
      <c r="F2147" t="inlineStr">
        <is>
          <t>Visitor flow context raw</t>
        </is>
      </c>
      <c r="G2147" t="inlineStr">
        <is>
          <t>creative</t>
        </is>
      </c>
      <c r="H2147" t="inlineStr">
        <is>
          <t>no</t>
        </is>
      </c>
      <c r="I2147" t="inlineStr"/>
      <c r="J2147" t="inlineStr"/>
      <c r="K2147" t="inlineStr"/>
      <c r="L2147" t="inlineStr"/>
      <c r="M2147" t="inlineStr"/>
      <c r="N2147" t="inlineStr"/>
    </row>
    <row r="2148">
      <c r="A2148" t="inlineStr">
        <is>
          <t>br-curitiba</t>
        </is>
      </c>
      <c r="B2148" t="inlineStr">
        <is>
          <t>Curitiba</t>
        </is>
      </c>
      <c r="C2148" t="inlineStr">
        <is>
          <t>Brazil</t>
        </is>
      </c>
      <c r="D2148" t="inlineStr">
        <is>
          <t>Latin America</t>
        </is>
      </c>
      <c r="E2148" t="inlineStr">
        <is>
          <t>gross_income</t>
        </is>
      </c>
      <c r="F2148" t="inlineStr">
        <is>
          <t>Gross income</t>
        </is>
      </c>
      <c r="G2148" t="inlineStr">
        <is>
          <t>pressure</t>
        </is>
      </c>
      <c r="H2148" t="inlineStr">
        <is>
          <t>yes</t>
        </is>
      </c>
      <c r="I2148" t="inlineStr">
        <is>
          <t>1799.17</t>
        </is>
      </c>
      <c r="J2148" t="inlineStr">
        <is>
          <t>world_bank_col_estimate</t>
        </is>
      </c>
      <c r="K2148" t="inlineStr">
        <is>
          <t>https://api.worldbank.org/v2/country/BRA/indicator/NY.GNP.PCAP.PP.CD?format=json&amp;mrv=10</t>
        </is>
      </c>
      <c r="L2148" t="inlineStr">
        <is>
          <t>World Bank WDI: GNI per capita PPP (monthly USD)</t>
        </is>
      </c>
      <c r="M2148" t="inlineStr">
        <is>
          <t>2024-12-31</t>
        </is>
      </c>
      <c r="N2148" t="inlineStr">
        <is>
          <t>auto_ingest=world_bank_col_estimate; gni_annual=21590.0; year=2024; country_proxy=Brazil; cohort=Latin America</t>
        </is>
      </c>
    </row>
    <row r="2149">
      <c r="A2149" t="inlineStr">
        <is>
          <t>br-curitiba</t>
        </is>
      </c>
      <c r="B2149" t="inlineStr">
        <is>
          <t>Curitiba</t>
        </is>
      </c>
      <c r="C2149" t="inlineStr">
        <is>
          <t>Brazil</t>
        </is>
      </c>
      <c r="D2149" t="inlineStr">
        <is>
          <t>Latin America</t>
        </is>
      </c>
      <c r="E2149" t="inlineStr">
        <is>
          <t>di_ppp_raw</t>
        </is>
      </c>
      <c r="F2149" t="inlineStr">
        <is>
          <t>Disposable income PPP (Raw)</t>
        </is>
      </c>
      <c r="G2149" t="inlineStr">
        <is>
          <t>pressure</t>
        </is>
      </c>
      <c r="H2149" t="inlineStr">
        <is>
          <t>yes</t>
        </is>
      </c>
      <c r="I2149" t="inlineStr"/>
      <c r="J2149" t="inlineStr"/>
      <c r="K2149" t="inlineStr"/>
      <c r="L2149" t="inlineStr"/>
      <c r="M2149" t="inlineStr"/>
      <c r="N2149" t="inlineStr"/>
    </row>
    <row r="2150">
      <c r="A2150" t="inlineStr">
        <is>
          <t>br-curitiba</t>
        </is>
      </c>
      <c r="B2150" t="inlineStr">
        <is>
          <t>Curitiba</t>
        </is>
      </c>
      <c r="C2150" t="inlineStr">
        <is>
          <t>Brazil</t>
        </is>
      </c>
      <c r="D2150" t="inlineStr">
        <is>
          <t>Latin America</t>
        </is>
      </c>
      <c r="E2150" t="inlineStr">
        <is>
          <t>rent</t>
        </is>
      </c>
      <c r="F2150" t="inlineStr">
        <is>
          <t>Rent</t>
        </is>
      </c>
      <c r="G2150" t="inlineStr">
        <is>
          <t>pressure</t>
        </is>
      </c>
      <c r="H2150" t="inlineStr">
        <is>
          <t>yes</t>
        </is>
      </c>
      <c r="I2150" t="inlineStr">
        <is>
          <t>382.32</t>
        </is>
      </c>
      <c r="J2150" t="inlineStr">
        <is>
          <t>world_bank_col_estimate</t>
        </is>
      </c>
      <c r="K2150" t="inlineStr">
        <is>
          <t>https://api.worldbank.org/v2/country/BRA/indicator/NY.GNP.PCAP.PP.CD?format=json&amp;mrv=10</t>
        </is>
      </c>
      <c r="L2150" t="inlineStr">
        <is>
          <t>World Bank GNI + regional expenditure ratio estimate</t>
        </is>
      </c>
      <c r="M2150" t="inlineStr">
        <is>
          <t>2024-12-31</t>
        </is>
      </c>
      <c r="N2150" t="inlineStr">
        <is>
          <t>auto_ingest=world_bank_col_estimate; gni_annual=21590.0; year=2024; country_proxy=Brazil; cohort=Latin America; city_cost_mult=0.85</t>
        </is>
      </c>
    </row>
    <row r="2151">
      <c r="A2151" t="inlineStr">
        <is>
          <t>br-curitiba</t>
        </is>
      </c>
      <c r="B2151" t="inlineStr">
        <is>
          <t>Curitiba</t>
        </is>
      </c>
      <c r="C2151" t="inlineStr">
        <is>
          <t>Brazil</t>
        </is>
      </c>
      <c r="D2151" t="inlineStr">
        <is>
          <t>Latin America</t>
        </is>
      </c>
      <c r="E2151" t="inlineStr">
        <is>
          <t>utilities</t>
        </is>
      </c>
      <c r="F2151" t="inlineStr">
        <is>
          <t>Utilities</t>
        </is>
      </c>
      <c r="G2151" t="inlineStr">
        <is>
          <t>pressure</t>
        </is>
      </c>
      <c r="H2151" t="inlineStr">
        <is>
          <t>yes</t>
        </is>
      </c>
      <c r="I2151" t="inlineStr">
        <is>
          <t>91.76</t>
        </is>
      </c>
      <c r="J2151" t="inlineStr">
        <is>
          <t>world_bank_col_estimate</t>
        </is>
      </c>
      <c r="K2151" t="inlineStr">
        <is>
          <t>https://api.worldbank.org/v2/country/BRA/indicator/NY.GNP.PCAP.PP.CD?format=json&amp;mrv=10</t>
        </is>
      </c>
      <c r="L2151" t="inlineStr">
        <is>
          <t>World Bank GNI + regional expenditure ratio estimate</t>
        </is>
      </c>
      <c r="M2151" t="inlineStr">
        <is>
          <t>2024-12-31</t>
        </is>
      </c>
      <c r="N2151" t="inlineStr">
        <is>
          <t>auto_ingest=world_bank_col_estimate; gni_annual=21590.0; year=2024; country_proxy=Brazil; cohort=Latin America; city_cost_mult=0.85</t>
        </is>
      </c>
    </row>
    <row r="2152">
      <c r="A2152" t="inlineStr">
        <is>
          <t>br-curitiba</t>
        </is>
      </c>
      <c r="B2152" t="inlineStr">
        <is>
          <t>Curitiba</t>
        </is>
      </c>
      <c r="C2152" t="inlineStr">
        <is>
          <t>Brazil</t>
        </is>
      </c>
      <c r="D2152" t="inlineStr">
        <is>
          <t>Latin America</t>
        </is>
      </c>
      <c r="E2152" t="inlineStr">
        <is>
          <t>transit_cost</t>
        </is>
      </c>
      <c r="F2152" t="inlineStr">
        <is>
          <t>Transit cost</t>
        </is>
      </c>
      <c r="G2152" t="inlineStr">
        <is>
          <t>pressure</t>
        </is>
      </c>
      <c r="H2152" t="inlineStr">
        <is>
          <t>yes</t>
        </is>
      </c>
      <c r="I2152" t="inlineStr">
        <is>
          <t>61.17</t>
        </is>
      </c>
      <c r="J2152" t="inlineStr">
        <is>
          <t>world_bank_col_estimate</t>
        </is>
      </c>
      <c r="K2152" t="inlineStr">
        <is>
          <t>https://api.worldbank.org/v2/country/BRA/indicator/NY.GNP.PCAP.PP.CD?format=json&amp;mrv=10</t>
        </is>
      </c>
      <c r="L2152" t="inlineStr">
        <is>
          <t>World Bank GNI + regional expenditure ratio estimate</t>
        </is>
      </c>
      <c r="M2152" t="inlineStr">
        <is>
          <t>2024-12-31</t>
        </is>
      </c>
      <c r="N2152" t="inlineStr">
        <is>
          <t>auto_ingest=world_bank_col_estimate; gni_annual=21590.0; year=2024; country_proxy=Brazil; cohort=Latin America; city_cost_mult=0.85</t>
        </is>
      </c>
    </row>
    <row r="2153">
      <c r="A2153" t="inlineStr">
        <is>
          <t>br-curitiba</t>
        </is>
      </c>
      <c r="B2153" t="inlineStr">
        <is>
          <t>Curitiba</t>
        </is>
      </c>
      <c r="C2153" t="inlineStr">
        <is>
          <t>Brazil</t>
        </is>
      </c>
      <c r="D2153" t="inlineStr">
        <is>
          <t>Latin America</t>
        </is>
      </c>
      <c r="E2153" t="inlineStr">
        <is>
          <t>internet_cost</t>
        </is>
      </c>
      <c r="F2153" t="inlineStr">
        <is>
          <t>Internet cost</t>
        </is>
      </c>
      <c r="G2153" t="inlineStr">
        <is>
          <t>pressure</t>
        </is>
      </c>
      <c r="H2153" t="inlineStr">
        <is>
          <t>yes</t>
        </is>
      </c>
      <c r="I2153" t="inlineStr">
        <is>
          <t>22.94</t>
        </is>
      </c>
      <c r="J2153" t="inlineStr">
        <is>
          <t>world_bank_col_estimate</t>
        </is>
      </c>
      <c r="K2153" t="inlineStr">
        <is>
          <t>https://api.worldbank.org/v2/country/BRA/indicator/NY.GNP.PCAP.PP.CD?format=json&amp;mrv=10</t>
        </is>
      </c>
      <c r="L2153" t="inlineStr">
        <is>
          <t>World Bank GNI + regional expenditure ratio estimate</t>
        </is>
      </c>
      <c r="M2153" t="inlineStr">
        <is>
          <t>2024-12-31</t>
        </is>
      </c>
      <c r="N2153" t="inlineStr">
        <is>
          <t>auto_ingest=world_bank_col_estimate; gni_annual=21590.0; year=2024; country_proxy=Brazil; cohort=Latin America; city_cost_mult=0.85</t>
        </is>
      </c>
    </row>
    <row r="2154">
      <c r="A2154" t="inlineStr">
        <is>
          <t>br-curitiba</t>
        </is>
      </c>
      <c r="B2154" t="inlineStr">
        <is>
          <t>Curitiba</t>
        </is>
      </c>
      <c r="C2154" t="inlineStr">
        <is>
          <t>Brazil</t>
        </is>
      </c>
      <c r="D2154" t="inlineStr">
        <is>
          <t>Latin America</t>
        </is>
      </c>
      <c r="E2154" t="inlineStr">
        <is>
          <t>food_cost</t>
        </is>
      </c>
      <c r="F2154" t="inlineStr">
        <is>
          <t>Food cost</t>
        </is>
      </c>
      <c r="G2154" t="inlineStr">
        <is>
          <t>pressure</t>
        </is>
      </c>
      <c r="H2154" t="inlineStr">
        <is>
          <t>yes</t>
        </is>
      </c>
      <c r="I2154" t="inlineStr">
        <is>
          <t>336.44</t>
        </is>
      </c>
      <c r="J2154" t="inlineStr">
        <is>
          <t>world_bank_col_estimate</t>
        </is>
      </c>
      <c r="K2154" t="inlineStr">
        <is>
          <t>https://api.worldbank.org/v2/country/BRA/indicator/NY.GNP.PCAP.PP.CD?format=json&amp;mrv=10</t>
        </is>
      </c>
      <c r="L2154" t="inlineStr">
        <is>
          <t>World Bank GNI + regional expenditure ratio estimate</t>
        </is>
      </c>
      <c r="M2154" t="inlineStr">
        <is>
          <t>2024-12-31</t>
        </is>
      </c>
      <c r="N2154" t="inlineStr">
        <is>
          <t>auto_ingest=world_bank_col_estimate; gni_annual=21590.0; year=2024; country_proxy=Brazil; cohort=Latin America; city_cost_mult=0.85</t>
        </is>
      </c>
    </row>
    <row r="2155">
      <c r="A2155" t="inlineStr">
        <is>
          <t>br-curitiba</t>
        </is>
      </c>
      <c r="B2155" t="inlineStr">
        <is>
          <t>Curitiba</t>
        </is>
      </c>
      <c r="C2155" t="inlineStr">
        <is>
          <t>Brazil</t>
        </is>
      </c>
      <c r="D2155" t="inlineStr">
        <is>
          <t>Latin America</t>
        </is>
      </c>
      <c r="E2155" t="inlineStr">
        <is>
          <t>housing_burden_raw</t>
        </is>
      </c>
      <c r="F2155" t="inlineStr">
        <is>
          <t>Housing burden raw</t>
        </is>
      </c>
      <c r="G2155" t="inlineStr">
        <is>
          <t>pressure</t>
        </is>
      </c>
      <c r="H2155" t="inlineStr">
        <is>
          <t>yes</t>
        </is>
      </c>
      <c r="I2155" t="inlineStr">
        <is>
          <t>21.2498</t>
        </is>
      </c>
      <c r="J2155" t="inlineStr">
        <is>
          <t>derived</t>
        </is>
      </c>
      <c r="K2155" t="inlineStr">
        <is>
          <t>https://data.worldbank.org/indicator/NY.GNP.PCAP.PP.CD</t>
        </is>
      </c>
      <c r="L2155" t="inlineStr">
        <is>
          <t>Computed from city_inputs + country_context</t>
        </is>
      </c>
      <c r="M2155" t="inlineStr">
        <is>
          <t>2024-01-01</t>
        </is>
      </c>
      <c r="N2155" t="inlineStr">
        <is>
          <t>derived=rent/gross_income*100</t>
        </is>
      </c>
    </row>
    <row r="2156">
      <c r="A2156" t="inlineStr">
        <is>
          <t>br-curitiba</t>
        </is>
      </c>
      <c r="B2156" t="inlineStr">
        <is>
          <t>Curitiba</t>
        </is>
      </c>
      <c r="C2156" t="inlineStr">
        <is>
          <t>Brazil</t>
        </is>
      </c>
      <c r="D2156" t="inlineStr">
        <is>
          <t>Latin America</t>
        </is>
      </c>
      <c r="E2156" t="inlineStr">
        <is>
          <t>household_debt_burden_raw</t>
        </is>
      </c>
      <c r="F2156" t="inlineStr">
        <is>
          <t>Household debt burden raw</t>
        </is>
      </c>
      <c r="G2156" t="inlineStr">
        <is>
          <t>pressure</t>
        </is>
      </c>
      <c r="H2156" t="inlineStr">
        <is>
          <t>yes</t>
        </is>
      </c>
      <c r="I2156" t="inlineStr">
        <is>
          <t>75.6164</t>
        </is>
      </c>
      <c r="J2156" t="inlineStr">
        <is>
          <t>derived</t>
        </is>
      </c>
      <c r="K2156" t="inlineStr">
        <is>
          <t>https://data.worldbank.org/indicator/NY.GNP.PCAP.PP.CD</t>
        </is>
      </c>
      <c r="L2156" t="inlineStr">
        <is>
          <t>Computed from city_inputs + country_context</t>
        </is>
      </c>
      <c r="M2156" t="inlineStr">
        <is>
          <t>2024-01-01</t>
        </is>
      </c>
      <c r="N2156" t="inlineStr">
        <is>
          <t>derived=country_context.household_debt_proxy; country=Brazil</t>
        </is>
      </c>
    </row>
    <row r="2157">
      <c r="A2157" t="inlineStr">
        <is>
          <t>br-curitiba</t>
        </is>
      </c>
      <c r="B2157" t="inlineStr">
        <is>
          <t>Curitiba</t>
        </is>
      </c>
      <c r="C2157" t="inlineStr">
        <is>
          <t>Brazil</t>
        </is>
      </c>
      <c r="D2157" t="inlineStr">
        <is>
          <t>Latin America</t>
        </is>
      </c>
      <c r="E2157" t="inlineStr">
        <is>
          <t>working_time_pressure_raw</t>
        </is>
      </c>
      <c r="F2157" t="inlineStr">
        <is>
          <t>Working time pressure raw</t>
        </is>
      </c>
      <c r="G2157" t="inlineStr">
        <is>
          <t>pressure</t>
        </is>
      </c>
      <c r="H2157" t="inlineStr">
        <is>
          <t>yes</t>
        </is>
      </c>
      <c r="I2157" t="inlineStr">
        <is>
          <t>38.86</t>
        </is>
      </c>
      <c r="J2157" t="inlineStr">
        <is>
          <t>ilo_ilostat</t>
        </is>
      </c>
      <c r="K2157" t="inlineStr">
        <is>
          <t>https://ilostat.ilo.org/data/indicator/?id=HOW_TEMP_SEX_ECO_NB_A&amp;ref_area=BRA</t>
        </is>
      </c>
      <c r="L2157" t="inlineStr">
        <is>
          <t>ILO ILOSTAT: Mean weekly hours actually worked per employed person</t>
        </is>
      </c>
      <c r="M2157" t="inlineStr">
        <is>
          <t>2025-12-31</t>
        </is>
      </c>
      <c r="N2157" t="inlineStr">
        <is>
          <t>auto_ingest=ilo_working_hours; indicator=HOW_TEMP_SEX_ECO_NB_A; year=2025; hours=38.86; country_proxy=Brazil</t>
        </is>
      </c>
    </row>
    <row r="2158">
      <c r="A2158" t="inlineStr">
        <is>
          <t>br-curitiba</t>
        </is>
      </c>
      <c r="B2158" t="inlineStr">
        <is>
          <t>Curitiba</t>
        </is>
      </c>
      <c r="C2158" t="inlineStr">
        <is>
          <t>Brazil</t>
        </is>
      </c>
      <c r="D2158" t="inlineStr">
        <is>
          <t>Latin America</t>
        </is>
      </c>
      <c r="E2158" t="inlineStr">
        <is>
          <t>suicide_mental_strain_raw</t>
        </is>
      </c>
      <c r="F2158" t="inlineStr">
        <is>
          <t>Suicide or mental strain raw</t>
        </is>
      </c>
      <c r="G2158" t="inlineStr">
        <is>
          <t>pressure</t>
        </is>
      </c>
      <c r="H2158" t="inlineStr">
        <is>
          <t>yes</t>
        </is>
      </c>
      <c r="I2158" t="inlineStr">
        <is>
          <t>7.59</t>
        </is>
      </c>
      <c r="J2158" t="inlineStr">
        <is>
          <t>who_gho</t>
        </is>
      </c>
      <c r="K2158" t="inlineStr">
        <is>
          <t>https://www.who.int/data/gho/data/indicators/indicator-details/GHO/SDGSUICIDE</t>
        </is>
      </c>
      <c r="L2158" t="inlineStr">
        <is>
          <t>WHO GHO: Age-standardized suicide rate (per 100,000 population)</t>
        </is>
      </c>
      <c r="M2158" t="inlineStr">
        <is>
          <t>2021-12-31</t>
        </is>
      </c>
      <c r="N2158" t="inlineStr">
        <is>
          <t>auto_ingest=who_gho; indicator=SDGSUICIDE; year=2021; country_proxy=Brazil</t>
        </is>
      </c>
    </row>
    <row r="2159">
      <c r="A2159" t="inlineStr">
        <is>
          <t>br-curitiba</t>
        </is>
      </c>
      <c r="B2159" t="inlineStr">
        <is>
          <t>Curitiba</t>
        </is>
      </c>
      <c r="C2159" t="inlineStr">
        <is>
          <t>Brazil</t>
        </is>
      </c>
      <c r="D2159" t="inlineStr">
        <is>
          <t>Latin America</t>
        </is>
      </c>
      <c r="E2159" t="inlineStr">
        <is>
          <t>personal_safety_raw</t>
        </is>
      </c>
      <c r="F2159" t="inlineStr">
        <is>
          <t>Personal safety raw</t>
        </is>
      </c>
      <c r="G2159" t="inlineStr">
        <is>
          <t>viability</t>
        </is>
      </c>
      <c r="H2159" t="inlineStr">
        <is>
          <t>yes</t>
        </is>
      </c>
      <c r="I2159" t="inlineStr">
        <is>
          <t>19.28</t>
        </is>
      </c>
      <c r="J2159" t="inlineStr">
        <is>
          <t>world_bank</t>
        </is>
      </c>
      <c r="K2159" t="inlineStr">
        <is>
          <t>https://api.worldbank.org/v2/country/BRA/indicator/VC.IHR.PSRC.P5?format=json&amp;mrv=10</t>
        </is>
      </c>
      <c r="L2159" t="inlineStr">
        <is>
          <t>UNODC via World Bank WDI: Intentional homicides (per 100,000 people)</t>
        </is>
      </c>
      <c r="M2159" t="inlineStr">
        <is>
          <t>2023-12-31</t>
        </is>
      </c>
      <c r="N2159" t="inlineStr">
        <is>
          <t>auto_ingest=unodc_safety; indicator=VC.IHR.PSRC.P5; year=2023; country_proxy=Brazil</t>
        </is>
      </c>
    </row>
    <row r="2160">
      <c r="A2160" t="inlineStr">
        <is>
          <t>br-curitiba</t>
        </is>
      </c>
      <c r="B2160" t="inlineStr">
        <is>
          <t>Curitiba</t>
        </is>
      </c>
      <c r="C2160" t="inlineStr">
        <is>
          <t>Brazil</t>
        </is>
      </c>
      <c r="D2160" t="inlineStr">
        <is>
          <t>Latin America</t>
        </is>
      </c>
      <c r="E2160" t="inlineStr">
        <is>
          <t>transit_access_commute_raw</t>
        </is>
      </c>
      <c r="F2160" t="inlineStr">
        <is>
          <t>Transit access and commute raw</t>
        </is>
      </c>
      <c r="G2160" t="inlineStr">
        <is>
          <t>viability</t>
        </is>
      </c>
      <c r="H2160" t="inlineStr">
        <is>
          <t>yes</t>
        </is>
      </c>
      <c r="I2160" t="inlineStr"/>
      <c r="J2160" t="inlineStr"/>
      <c r="K2160" t="inlineStr"/>
      <c r="L2160" t="inlineStr"/>
      <c r="M2160" t="inlineStr"/>
      <c r="N2160" t="inlineStr"/>
    </row>
    <row r="2161">
      <c r="A2161" t="inlineStr">
        <is>
          <t>br-curitiba</t>
        </is>
      </c>
      <c r="B2161" t="inlineStr">
        <is>
          <t>Curitiba</t>
        </is>
      </c>
      <c r="C2161" t="inlineStr">
        <is>
          <t>Brazil</t>
        </is>
      </c>
      <c r="D2161" t="inlineStr">
        <is>
          <t>Latin America</t>
        </is>
      </c>
      <c r="E2161" t="inlineStr">
        <is>
          <t>clean_air_raw</t>
        </is>
      </c>
      <c r="F2161" t="inlineStr">
        <is>
          <t>Clean air raw</t>
        </is>
      </c>
      <c r="G2161" t="inlineStr">
        <is>
          <t>viability</t>
        </is>
      </c>
      <c r="H2161" t="inlineStr">
        <is>
          <t>yes</t>
        </is>
      </c>
      <c r="I2161" t="inlineStr"/>
      <c r="J2161" t="inlineStr"/>
      <c r="K2161" t="inlineStr"/>
      <c r="L2161" t="inlineStr"/>
      <c r="M2161" t="inlineStr"/>
      <c r="N2161" t="inlineStr"/>
    </row>
    <row r="2162">
      <c r="A2162" t="inlineStr">
        <is>
          <t>br-curitiba</t>
        </is>
      </c>
      <c r="B2162" t="inlineStr">
        <is>
          <t>Curitiba</t>
        </is>
      </c>
      <c r="C2162" t="inlineStr">
        <is>
          <t>Brazil</t>
        </is>
      </c>
      <c r="D2162" t="inlineStr">
        <is>
          <t>Latin America</t>
        </is>
      </c>
      <c r="E2162" t="inlineStr">
        <is>
          <t>water_sanitation_utility_raw</t>
        </is>
      </c>
      <c r="F2162" t="inlineStr">
        <is>
          <t>Water, sanitation, and utility raw</t>
        </is>
      </c>
      <c r="G2162" t="inlineStr">
        <is>
          <t>viability</t>
        </is>
      </c>
      <c r="H2162" t="inlineStr">
        <is>
          <t>yes</t>
        </is>
      </c>
      <c r="I2162" t="inlineStr">
        <is>
          <t>88.62</t>
        </is>
      </c>
      <c r="J2162" t="inlineStr">
        <is>
          <t>world_bank</t>
        </is>
      </c>
      <c r="K2162" t="inlineStr">
        <is>
          <t>https://api.worldbank.org/v2/country/BRA/indicator/SH.H2O.SMDW.ZS?format=json&amp;mrv=10</t>
        </is>
      </c>
      <c r="L2162" t="inlineStr">
        <is>
          <t>World Bank WDI: People using safely managed drinking water services (% of population)</t>
        </is>
      </c>
      <c r="M2162" t="inlineStr">
        <is>
          <t>2024-12-31</t>
        </is>
      </c>
      <c r="N2162" t="inlineStr">
        <is>
          <t>auto_ingest=world_bank_proxy; indicator=SH.H2O.SMDW.ZS; year=2024; country_proxy=Brazil</t>
        </is>
      </c>
    </row>
    <row r="2163">
      <c r="A2163" t="inlineStr">
        <is>
          <t>br-curitiba</t>
        </is>
      </c>
      <c r="B2163" t="inlineStr">
        <is>
          <t>Curitiba</t>
        </is>
      </c>
      <c r="C2163" t="inlineStr">
        <is>
          <t>Brazil</t>
        </is>
      </c>
      <c r="D2163" t="inlineStr">
        <is>
          <t>Latin America</t>
        </is>
      </c>
      <c r="E2163" t="inlineStr">
        <is>
          <t>digital_infrastructure_raw</t>
        </is>
      </c>
      <c r="F2163" t="inlineStr">
        <is>
          <t>Digital infrastructure raw</t>
        </is>
      </c>
      <c r="G2163" t="inlineStr">
        <is>
          <t>viability</t>
        </is>
      </c>
      <c r="H2163" t="inlineStr">
        <is>
          <t>yes</t>
        </is>
      </c>
      <c r="I2163" t="inlineStr">
        <is>
          <t>22.42</t>
        </is>
      </c>
      <c r="J2163" t="inlineStr">
        <is>
          <t>world_bank</t>
        </is>
      </c>
      <c r="K2163" t="inlineStr">
        <is>
          <t>https://api.worldbank.org/v2/country/BRA/indicator/IT.NET.BBND.P2?format=json&amp;mrv=10</t>
        </is>
      </c>
      <c r="L2163" t="inlineStr">
        <is>
          <t>World Bank WDI: Fixed broadband subscriptions (per 100 people)</t>
        </is>
      </c>
      <c r="M2163" t="inlineStr">
        <is>
          <t>2023-12-31</t>
        </is>
      </c>
      <c r="N2163" t="inlineStr">
        <is>
          <t>auto_ingest=world_bank_proxy; indicator=IT.NET.BBND.P2; year=2023; country_proxy=Brazil</t>
        </is>
      </c>
    </row>
    <row r="2164">
      <c r="A2164" t="inlineStr">
        <is>
          <t>br-curitiba</t>
        </is>
      </c>
      <c r="B2164" t="inlineStr">
        <is>
          <t>Curitiba</t>
        </is>
      </c>
      <c r="C2164" t="inlineStr">
        <is>
          <t>Brazil</t>
        </is>
      </c>
      <c r="D2164" t="inlineStr">
        <is>
          <t>Latin America</t>
        </is>
      </c>
      <c r="E2164" t="inlineStr">
        <is>
          <t>climate_sunlight_livability_raw</t>
        </is>
      </c>
      <c r="F2164" t="inlineStr">
        <is>
          <t>Climate and sunlight livability raw</t>
        </is>
      </c>
      <c r="G2164" t="inlineStr">
        <is>
          <t>viability</t>
        </is>
      </c>
      <c r="H2164" t="inlineStr">
        <is>
          <t>yes</t>
        </is>
      </c>
      <c r="I2164" t="inlineStr">
        <is>
          <t>56</t>
        </is>
      </c>
      <c r="J2164" t="inlineStr">
        <is>
          <t>wmo_natl_met</t>
        </is>
      </c>
      <c r="K2164" t="inlineStr">
        <is>
          <t>https://worldweather.wmo.int</t>
        </is>
      </c>
      <c r="L2164" t="inlineStr">
        <is>
          <t>WMO/National Met: Climate livability composite</t>
        </is>
      </c>
      <c r="M2164" t="inlineStr">
        <is>
          <t>2024-12-31</t>
        </is>
      </c>
      <c r="N2164" t="inlineStr">
        <is>
          <t>auto_seed=climate_composite; 2000 sun hrs, 17C mean, cool</t>
        </is>
      </c>
    </row>
    <row r="2165">
      <c r="A2165" t="inlineStr">
        <is>
          <t>br-curitiba</t>
        </is>
      </c>
      <c r="B2165" t="inlineStr">
        <is>
          <t>Curitiba</t>
        </is>
      </c>
      <c r="C2165" t="inlineStr">
        <is>
          <t>Brazil</t>
        </is>
      </c>
      <c r="D2165" t="inlineStr">
        <is>
          <t>Latin America</t>
        </is>
      </c>
      <c r="E2165" t="inlineStr">
        <is>
          <t>healthcare_quality_raw</t>
        </is>
      </c>
      <c r="F2165" t="inlineStr">
        <is>
          <t>Healthcare quality raw</t>
        </is>
      </c>
      <c r="G2165" t="inlineStr">
        <is>
          <t>capability</t>
        </is>
      </c>
      <c r="H2165" t="inlineStr">
        <is>
          <t>yes</t>
        </is>
      </c>
      <c r="I2165" t="inlineStr">
        <is>
          <t>84.0</t>
        </is>
      </c>
      <c r="J2165" t="inlineStr">
        <is>
          <t>who_gho</t>
        </is>
      </c>
      <c r="K2165" t="inlineStr">
        <is>
          <t>https://www.who.int/data/gho/data/indicators/indicator-details/GHO/UHC_INDEX_REPORTED</t>
        </is>
      </c>
      <c r="L2165" t="inlineStr">
        <is>
          <t>WHO GHO: UHC Service Coverage Index</t>
        </is>
      </c>
      <c r="M2165" t="inlineStr">
        <is>
          <t>2023-12-31</t>
        </is>
      </c>
      <c r="N2165" t="inlineStr">
        <is>
          <t>auto_ingest=who_gho; indicator=UHC_INDEX_REPORTED; year=2023; country_proxy=Brazil</t>
        </is>
      </c>
    </row>
    <row r="2166">
      <c r="A2166" t="inlineStr">
        <is>
          <t>br-curitiba</t>
        </is>
      </c>
      <c r="B2166" t="inlineStr">
        <is>
          <t>Curitiba</t>
        </is>
      </c>
      <c r="C2166" t="inlineStr">
        <is>
          <t>Brazil</t>
        </is>
      </c>
      <c r="D2166" t="inlineStr">
        <is>
          <t>Latin America</t>
        </is>
      </c>
      <c r="E2166" t="inlineStr">
        <is>
          <t>education_quality_raw</t>
        </is>
      </c>
      <c r="F2166" t="inlineStr">
        <is>
          <t>Education quality raw</t>
        </is>
      </c>
      <c r="G2166" t="inlineStr">
        <is>
          <t>capability</t>
        </is>
      </c>
      <c r="H2166" t="inlineStr">
        <is>
          <t>yes</t>
        </is>
      </c>
      <c r="I2166" t="inlineStr">
        <is>
          <t>60.39</t>
        </is>
      </c>
      <c r="J2166" t="inlineStr">
        <is>
          <t>world_bank</t>
        </is>
      </c>
      <c r="K2166" t="inlineStr">
        <is>
          <t>https://api.worldbank.org/v2/country/BRA/indicator/SE.TER.ENRR?format=json&amp;mrv=10</t>
        </is>
      </c>
      <c r="L2166" t="inlineStr">
        <is>
          <t>World Bank WDI: School enrollment, tertiary (% gross)</t>
        </is>
      </c>
      <c r="M2166" t="inlineStr">
        <is>
          <t>2022-12-31</t>
        </is>
      </c>
      <c r="N2166" t="inlineStr">
        <is>
          <t>auto_ingest=world_bank_proxy; indicator=SE.TER.ENRR; year=2022; country_proxy=Brazil</t>
        </is>
      </c>
    </row>
    <row r="2167">
      <c r="A2167" t="inlineStr">
        <is>
          <t>br-curitiba</t>
        </is>
      </c>
      <c r="B2167" t="inlineStr">
        <is>
          <t>Curitiba</t>
        </is>
      </c>
      <c r="C2167" t="inlineStr">
        <is>
          <t>Brazil</t>
        </is>
      </c>
      <c r="D2167" t="inlineStr">
        <is>
          <t>Latin America</t>
        </is>
      </c>
      <c r="E2167" t="inlineStr">
        <is>
          <t>equal_opportunity_raw</t>
        </is>
      </c>
      <c r="F2167" t="inlineStr">
        <is>
          <t>Equal opportunity raw</t>
        </is>
      </c>
      <c r="G2167" t="inlineStr">
        <is>
          <t>capability</t>
        </is>
      </c>
      <c r="H2167" t="inlineStr">
        <is>
          <t>yes</t>
        </is>
      </c>
      <c r="I2167" t="inlineStr">
        <is>
          <t>51.6</t>
        </is>
      </c>
      <c r="J2167" t="inlineStr">
        <is>
          <t>world_bank</t>
        </is>
      </c>
      <c r="K2167" t="inlineStr">
        <is>
          <t>https://api.worldbank.org/v2/country/BRA/indicator/SI.POV.GINI?format=json&amp;mrv=10</t>
        </is>
      </c>
      <c r="L2167" t="inlineStr">
        <is>
          <t>World Bank WDI: Gini index</t>
        </is>
      </c>
      <c r="M2167" t="inlineStr">
        <is>
          <t>2023-12-31</t>
        </is>
      </c>
      <c r="N2167" t="inlineStr">
        <is>
          <t>auto_ingest=world_bank_capability; indicator=SI.POV.GINI; year=2023; country_proxy=Brazil</t>
        </is>
      </c>
    </row>
    <row r="2168">
      <c r="A2168" t="inlineStr">
        <is>
          <t>br-curitiba</t>
        </is>
      </c>
      <c r="B2168" t="inlineStr">
        <is>
          <t>Curitiba</t>
        </is>
      </c>
      <c r="C2168" t="inlineStr">
        <is>
          <t>Brazil</t>
        </is>
      </c>
      <c r="D2168" t="inlineStr">
        <is>
          <t>Latin America</t>
        </is>
      </c>
      <c r="E2168" t="inlineStr">
        <is>
          <t>hospitality_belonging_raw</t>
        </is>
      </c>
      <c r="F2168" t="inlineStr">
        <is>
          <t>Hospitality and belonging raw</t>
        </is>
      </c>
      <c r="G2168" t="inlineStr">
        <is>
          <t>community</t>
        </is>
      </c>
      <c r="H2168" t="inlineStr">
        <is>
          <t>yes</t>
        </is>
      </c>
      <c r="I2168" t="inlineStr">
        <is>
          <t>48.98</t>
        </is>
      </c>
      <c r="J2168" t="inlineStr">
        <is>
          <t>world_bank</t>
        </is>
      </c>
      <c r="K2168" t="inlineStr">
        <is>
          <t>https://api.worldbank.org/v2/country/BRA/indicator/SM.POP.NETM?format=json&amp;mrv=10</t>
        </is>
      </c>
      <c r="L2168" t="inlineStr">
        <is>
          <t>World Bank WDI: Net migration (proxy for hospitality/belonging — positive = welcoming)</t>
        </is>
      </c>
      <c r="M2168" t="inlineStr">
        <is>
          <t>2025-12-31</t>
        </is>
      </c>
      <c r="N2168" t="inlineStr">
        <is>
          <t>auto_ingest=world_bank_proxy; proxy=net_migration_hospitality; indicator=SM.POP.NETM; year=2025; country_proxy=Brazil</t>
        </is>
      </c>
    </row>
    <row r="2169">
      <c r="A2169" t="inlineStr">
        <is>
          <t>br-curitiba</t>
        </is>
      </c>
      <c r="B2169" t="inlineStr">
        <is>
          <t>Curitiba</t>
        </is>
      </c>
      <c r="C2169" t="inlineStr">
        <is>
          <t>Brazil</t>
        </is>
      </c>
      <c r="D2169" t="inlineStr">
        <is>
          <t>Latin America</t>
        </is>
      </c>
      <c r="E2169" t="inlineStr">
        <is>
          <t>tolerance_pluralism_raw</t>
        </is>
      </c>
      <c r="F2169" t="inlineStr">
        <is>
          <t>Tolerance and pluralism raw</t>
        </is>
      </c>
      <c r="G2169" t="inlineStr">
        <is>
          <t>community</t>
        </is>
      </c>
      <c r="H2169" t="inlineStr">
        <is>
          <t>yes</t>
        </is>
      </c>
      <c r="I2169" t="inlineStr">
        <is>
          <t>17.54</t>
        </is>
      </c>
      <c r="J2169" t="inlineStr">
        <is>
          <t>world_bank</t>
        </is>
      </c>
      <c r="K2169" t="inlineStr">
        <is>
          <t>https://api.worldbank.org/v2/country/BRA/indicator/SG.GEN.PARL.ZS?format=json&amp;mrv=10</t>
        </is>
      </c>
      <c r="L2169" t="inlineStr">
        <is>
          <t>World Bank WDI: Proportion of seats held by women in national parliaments (%)</t>
        </is>
      </c>
      <c r="M2169" t="inlineStr">
        <is>
          <t>2024-12-31</t>
        </is>
      </c>
      <c r="N2169" t="inlineStr">
        <is>
          <t>auto_ingest=world_bank_proxy; proxy=gender_parity_parliament; indicator=SG.GEN.PARL.ZS; year=2024; country_proxy=Brazil</t>
        </is>
      </c>
    </row>
    <row r="2170">
      <c r="A2170" t="inlineStr">
        <is>
          <t>br-curitiba</t>
        </is>
      </c>
      <c r="B2170" t="inlineStr">
        <is>
          <t>Curitiba</t>
        </is>
      </c>
      <c r="C2170" t="inlineStr">
        <is>
          <t>Brazil</t>
        </is>
      </c>
      <c r="D2170" t="inlineStr">
        <is>
          <t>Latin America</t>
        </is>
      </c>
      <c r="E2170" t="inlineStr">
        <is>
          <t>cultural_public_life_raw</t>
        </is>
      </c>
      <c r="F2170" t="inlineStr">
        <is>
          <t>Cultural public life raw</t>
        </is>
      </c>
      <c r="G2170" t="inlineStr">
        <is>
          <t>community</t>
        </is>
      </c>
      <c r="H2170" t="inlineStr">
        <is>
          <t>yes</t>
        </is>
      </c>
      <c r="I2170" t="inlineStr">
        <is>
          <t>29.97</t>
        </is>
      </c>
      <c r="J2170" t="inlineStr">
        <is>
          <t>world_bank</t>
        </is>
      </c>
      <c r="K2170" t="inlineStr">
        <is>
          <t>https://api.worldbank.org/v2/country/BRA/indicator/ST.INT.ARVL?format=json&amp;mrv=10</t>
        </is>
      </c>
      <c r="L2170" t="inlineStr">
        <is>
          <t>World Bank WDI: International tourism arrivals per 1 000 population</t>
        </is>
      </c>
      <c r="M2170" t="inlineStr">
        <is>
          <t>2019-12-31</t>
        </is>
      </c>
      <c r="N2170" t="inlineStr">
        <is>
          <t>auto_ingest=cultural_life_proxy; indicator=ST.INT.ARVL; norm=per_1000_pop; year=2019; country_proxy=Brazil</t>
        </is>
      </c>
    </row>
    <row r="2171">
      <c r="A2171" t="inlineStr">
        <is>
          <t>br-curitiba</t>
        </is>
      </c>
      <c r="B2171" t="inlineStr">
        <is>
          <t>Curitiba</t>
        </is>
      </c>
      <c r="C2171" t="inlineStr">
        <is>
          <t>Brazil</t>
        </is>
      </c>
      <c r="D2171" t="inlineStr">
        <is>
          <t>Latin America</t>
        </is>
      </c>
      <c r="E2171" t="inlineStr">
        <is>
          <t>birth_rate_optimism_raw</t>
        </is>
      </c>
      <c r="F2171" t="inlineStr">
        <is>
          <t>Birth rate and societal optimism raw</t>
        </is>
      </c>
      <c r="G2171" t="inlineStr">
        <is>
          <t>community</t>
        </is>
      </c>
      <c r="H2171" t="inlineStr">
        <is>
          <t>yes</t>
        </is>
      </c>
      <c r="I2171" t="inlineStr">
        <is>
          <t>1.64</t>
        </is>
      </c>
      <c r="J2171" t="inlineStr">
        <is>
          <t>world_bank</t>
        </is>
      </c>
      <c r="K2171" t="inlineStr">
        <is>
          <t>https://data.worldbank.org/indicator/SP.DYN.TFRT.IN</t>
        </is>
      </c>
      <c r="L2171" t="inlineStr">
        <is>
          <t>World Bank Total Fertility Rate 2023</t>
        </is>
      </c>
      <c r="M2171" t="inlineStr">
        <is>
          <t>2024-01-01</t>
        </is>
      </c>
      <c r="N2171" t="inlineStr"/>
    </row>
    <row r="2172">
      <c r="A2172" t="inlineStr">
        <is>
          <t>br-curitiba</t>
        </is>
      </c>
      <c r="B2172" t="inlineStr">
        <is>
          <t>Curitiba</t>
        </is>
      </c>
      <c r="C2172" t="inlineStr">
        <is>
          <t>Brazil</t>
        </is>
      </c>
      <c r="D2172" t="inlineStr">
        <is>
          <t>Latin America</t>
        </is>
      </c>
      <c r="E2172" t="inlineStr">
        <is>
          <t>entrepreneurial_dynamism_raw</t>
        </is>
      </c>
      <c r="F2172" t="inlineStr">
        <is>
          <t>Entrepreneurial dynamism raw</t>
        </is>
      </c>
      <c r="G2172" t="inlineStr">
        <is>
          <t>creative</t>
        </is>
      </c>
      <c r="H2172" t="inlineStr">
        <is>
          <t>yes</t>
        </is>
      </c>
      <c r="I2172" t="inlineStr">
        <is>
          <t>5.1</t>
        </is>
      </c>
      <c r="J2172" t="inlineStr">
        <is>
          <t>world_bank</t>
        </is>
      </c>
      <c r="K2172" t="inlineStr">
        <is>
          <t>https://api.worldbank.org/v2/country/BRA/indicator/IC.BUS.NDNS.ZS?format=json&amp;mrv=10</t>
        </is>
      </c>
      <c r="L2172" t="inlineStr">
        <is>
          <t>World Bank WDI: New business density (new registrations per 1,000 people ages 15-64)</t>
        </is>
      </c>
      <c r="M2172" t="inlineStr">
        <is>
          <t>2022-12-31</t>
        </is>
      </c>
      <c r="N2172" t="inlineStr">
        <is>
          <t>auto_ingest=world_bank_creative_extended; indicator=IC.BUS.NDNS.ZS; year=2022; country_proxy=Brazil</t>
        </is>
      </c>
    </row>
    <row r="2173">
      <c r="A2173" t="inlineStr">
        <is>
          <t>br-curitiba</t>
        </is>
      </c>
      <c r="B2173" t="inlineStr">
        <is>
          <t>Curitiba</t>
        </is>
      </c>
      <c r="C2173" t="inlineStr">
        <is>
          <t>Brazil</t>
        </is>
      </c>
      <c r="D2173" t="inlineStr">
        <is>
          <t>Latin America</t>
        </is>
      </c>
      <c r="E2173" t="inlineStr">
        <is>
          <t>innovation_research_intensity_raw</t>
        </is>
      </c>
      <c r="F2173" t="inlineStr">
        <is>
          <t>Innovation and research raw</t>
        </is>
      </c>
      <c r="G2173" t="inlineStr">
        <is>
          <t>creative</t>
        </is>
      </c>
      <c r="H2173" t="inlineStr">
        <is>
          <t>yes</t>
        </is>
      </c>
      <c r="I2173" t="inlineStr">
        <is>
          <t>1.15</t>
        </is>
      </c>
      <c r="J2173" t="inlineStr">
        <is>
          <t>world_bank</t>
        </is>
      </c>
      <c r="K2173" t="inlineStr">
        <is>
          <t>https://api.worldbank.org/v2/country/BRA/indicator/GB.XPD.RSDV.GD.ZS?format=json&amp;mrv=10</t>
        </is>
      </c>
      <c r="L2173" t="inlineStr">
        <is>
          <t>World Bank WDI: Research and development expenditure (% of GDP)</t>
        </is>
      </c>
      <c r="M2173" t="inlineStr">
        <is>
          <t>2020-12-31</t>
        </is>
      </c>
      <c r="N2173" t="inlineStr">
        <is>
          <t>auto_ingest=world_bank_creative_extended; indicator=GB.XPD.RSDV.GD.ZS; year=2020; country_proxy=Brazil</t>
        </is>
      </c>
    </row>
    <row r="2174">
      <c r="A2174" t="inlineStr">
        <is>
          <t>br-curitiba</t>
        </is>
      </c>
      <c r="B2174" t="inlineStr">
        <is>
          <t>Curitiba</t>
        </is>
      </c>
      <c r="C2174" t="inlineStr">
        <is>
          <t>Brazil</t>
        </is>
      </c>
      <c r="D2174" t="inlineStr">
        <is>
          <t>Latin America</t>
        </is>
      </c>
      <c r="E2174" t="inlineStr">
        <is>
          <t>investment_signal_raw</t>
        </is>
      </c>
      <c r="F2174" t="inlineStr">
        <is>
          <t>Investment signal raw</t>
        </is>
      </c>
      <c r="G2174" t="inlineStr">
        <is>
          <t>creative</t>
        </is>
      </c>
      <c r="H2174" t="inlineStr">
        <is>
          <t>yes</t>
        </is>
      </c>
      <c r="I2174" t="inlineStr">
        <is>
          <t>3.39</t>
        </is>
      </c>
      <c r="J2174" t="inlineStr">
        <is>
          <t>world_bank</t>
        </is>
      </c>
      <c r="K2174" t="inlineStr">
        <is>
          <t>https://api.worldbank.org/v2/country/BRA/indicator/BX.KLT.DINV.WD.GD.ZS?format=json&amp;mrv=10</t>
        </is>
      </c>
      <c r="L2174" t="inlineStr">
        <is>
          <t>World Bank WDI: Foreign direct investment, net inflows (% of GDP)</t>
        </is>
      </c>
      <c r="M2174" t="inlineStr">
        <is>
          <t>2024-12-31</t>
        </is>
      </c>
      <c r="N2174" t="inlineStr">
        <is>
          <t>auto_ingest=world_bank_creative_extended; indicator=BX.KLT.DINV.WD.GD.ZS; year=2024; country_proxy=Brazil</t>
        </is>
      </c>
    </row>
    <row r="2175">
      <c r="A2175" t="inlineStr">
        <is>
          <t>br-curitiba</t>
        </is>
      </c>
      <c r="B2175" t="inlineStr">
        <is>
          <t>Curitiba</t>
        </is>
      </c>
      <c r="C2175" t="inlineStr">
        <is>
          <t>Brazil</t>
        </is>
      </c>
      <c r="D2175" t="inlineStr">
        <is>
          <t>Latin America</t>
        </is>
      </c>
      <c r="E2175" t="inlineStr">
        <is>
          <t>administrative_investment_friction_raw</t>
        </is>
      </c>
      <c r="F2175" t="inlineStr">
        <is>
          <t>Administrative investment friction raw</t>
        </is>
      </c>
      <c r="G2175" t="inlineStr">
        <is>
          <t>creative</t>
        </is>
      </c>
      <c r="H2175" t="inlineStr">
        <is>
          <t>yes</t>
        </is>
      </c>
      <c r="I2175" t="inlineStr">
        <is>
          <t>2.8</t>
        </is>
      </c>
      <c r="J2175" t="inlineStr">
        <is>
          <t>world_bank</t>
        </is>
      </c>
      <c r="K2175" t="inlineStr">
        <is>
          <t>https://api.worldbank.org/v2/country/BRA/indicator/RQ.EST?format=json&amp;mrv=10</t>
        </is>
      </c>
      <c r="L2175" t="inlineStr">
        <is>
          <t>World Bank WGI: Regulatory Quality (inverted as friction proxy)</t>
        </is>
      </c>
      <c r="M2175" t="inlineStr">
        <is>
          <t>2023-12-31</t>
        </is>
      </c>
      <c r="N2175" t="inlineStr">
        <is>
          <t>auto_ingest=world_bank_business_friction; indicator=RQ.EST; raw_rq=-0.29647821187973; friction=2.8; year=2023; country_proxy=Brazil</t>
        </is>
      </c>
    </row>
    <row r="2176">
      <c r="A2176" t="inlineStr">
        <is>
          <t>br-curitiba</t>
        </is>
      </c>
      <c r="B2176" t="inlineStr">
        <is>
          <t>Curitiba</t>
        </is>
      </c>
      <c r="C2176" t="inlineStr">
        <is>
          <t>Brazil</t>
        </is>
      </c>
      <c r="D2176" t="inlineStr">
        <is>
          <t>Latin America</t>
        </is>
      </c>
      <c r="E2176" t="inlineStr">
        <is>
          <t>visitor_flow_context_raw</t>
        </is>
      </c>
      <c r="F2176" t="inlineStr">
        <is>
          <t>Visitor flow context raw</t>
        </is>
      </c>
      <c r="G2176" t="inlineStr">
        <is>
          <t>creative</t>
        </is>
      </c>
      <c r="H2176" t="inlineStr">
        <is>
          <t>no</t>
        </is>
      </c>
      <c r="I2176" t="inlineStr"/>
      <c r="J2176" t="inlineStr"/>
      <c r="K2176" t="inlineStr"/>
      <c r="L2176" t="inlineStr"/>
      <c r="M2176" t="inlineStr"/>
      <c r="N2176" t="inlineStr"/>
    </row>
    <row r="2177">
      <c r="A2177" t="inlineStr">
        <is>
          <t>co-medellin</t>
        </is>
      </c>
      <c r="B2177" t="inlineStr">
        <is>
          <t>Medellin</t>
        </is>
      </c>
      <c r="C2177" t="inlineStr">
        <is>
          <t>Colombia</t>
        </is>
      </c>
      <c r="D2177" t="inlineStr">
        <is>
          <t>Latin America</t>
        </is>
      </c>
      <c r="E2177" t="inlineStr">
        <is>
          <t>gross_income</t>
        </is>
      </c>
      <c r="F2177" t="inlineStr">
        <is>
          <t>Gross income</t>
        </is>
      </c>
      <c r="G2177" t="inlineStr">
        <is>
          <t>pressure</t>
        </is>
      </c>
      <c r="H2177" t="inlineStr">
        <is>
          <t>yes</t>
        </is>
      </c>
      <c r="I2177" t="inlineStr">
        <is>
          <t>1824.17</t>
        </is>
      </c>
      <c r="J2177" t="inlineStr">
        <is>
          <t>world_bank_col_estimate</t>
        </is>
      </c>
      <c r="K2177" t="inlineStr">
        <is>
          <t>https://api.worldbank.org/v2/country/COL/indicator/NY.GNP.PCAP.PP.CD?format=json&amp;mrv=10</t>
        </is>
      </c>
      <c r="L2177" t="inlineStr">
        <is>
          <t>World Bank WDI: GNI per capita PPP (monthly USD)</t>
        </is>
      </c>
      <c r="M2177" t="inlineStr">
        <is>
          <t>2024-12-31</t>
        </is>
      </c>
      <c r="N2177" t="inlineStr">
        <is>
          <t>auto_ingest=world_bank_col_estimate; gni_annual=21890.0; year=2024; country_proxy=Colombia; cohort=Latin America</t>
        </is>
      </c>
    </row>
    <row r="2178">
      <c r="A2178" t="inlineStr">
        <is>
          <t>co-medellin</t>
        </is>
      </c>
      <c r="B2178" t="inlineStr">
        <is>
          <t>Medellin</t>
        </is>
      </c>
      <c r="C2178" t="inlineStr">
        <is>
          <t>Colombia</t>
        </is>
      </c>
      <c r="D2178" t="inlineStr">
        <is>
          <t>Latin America</t>
        </is>
      </c>
      <c r="E2178" t="inlineStr">
        <is>
          <t>di_ppp_raw</t>
        </is>
      </c>
      <c r="F2178" t="inlineStr">
        <is>
          <t>Disposable income PPP (Raw)</t>
        </is>
      </c>
      <c r="G2178" t="inlineStr">
        <is>
          <t>pressure</t>
        </is>
      </c>
      <c r="H2178" t="inlineStr">
        <is>
          <t>yes</t>
        </is>
      </c>
      <c r="I2178" t="inlineStr"/>
      <c r="J2178" t="inlineStr"/>
      <c r="K2178" t="inlineStr"/>
      <c r="L2178" t="inlineStr"/>
      <c r="M2178" t="inlineStr"/>
      <c r="N2178" t="inlineStr"/>
    </row>
    <row r="2179">
      <c r="A2179" t="inlineStr">
        <is>
          <t>co-medellin</t>
        </is>
      </c>
      <c r="B2179" t="inlineStr">
        <is>
          <t>Medellin</t>
        </is>
      </c>
      <c r="C2179" t="inlineStr">
        <is>
          <t>Colombia</t>
        </is>
      </c>
      <c r="D2179" t="inlineStr">
        <is>
          <t>Latin America</t>
        </is>
      </c>
      <c r="E2179" t="inlineStr">
        <is>
          <t>rent</t>
        </is>
      </c>
      <c r="F2179" t="inlineStr">
        <is>
          <t>Rent</t>
        </is>
      </c>
      <c r="G2179" t="inlineStr">
        <is>
          <t>pressure</t>
        </is>
      </c>
      <c r="H2179" t="inlineStr">
        <is>
          <t>yes</t>
        </is>
      </c>
      <c r="I2179" t="inlineStr">
        <is>
          <t>364.83</t>
        </is>
      </c>
      <c r="J2179" t="inlineStr">
        <is>
          <t>world_bank_col_estimate</t>
        </is>
      </c>
      <c r="K2179" t="inlineStr">
        <is>
          <t>https://api.worldbank.org/v2/country/COL/indicator/NY.GNP.PCAP.PP.CD?format=json&amp;mrv=10</t>
        </is>
      </c>
      <c r="L2179" t="inlineStr">
        <is>
          <t>World Bank GNI + regional expenditure ratio estimate</t>
        </is>
      </c>
      <c r="M2179" t="inlineStr">
        <is>
          <t>2024-12-31</t>
        </is>
      </c>
      <c r="N2179" t="inlineStr">
        <is>
          <t>auto_ingest=world_bank_col_estimate; gni_annual=21890.0; year=2024; country_proxy=Colombia; cohort=Latin America; city_cost_mult=0.8</t>
        </is>
      </c>
    </row>
    <row r="2180">
      <c r="A2180" t="inlineStr">
        <is>
          <t>co-medellin</t>
        </is>
      </c>
      <c r="B2180" t="inlineStr">
        <is>
          <t>Medellin</t>
        </is>
      </c>
      <c r="C2180" t="inlineStr">
        <is>
          <t>Colombia</t>
        </is>
      </c>
      <c r="D2180" t="inlineStr">
        <is>
          <t>Latin America</t>
        </is>
      </c>
      <c r="E2180" t="inlineStr">
        <is>
          <t>utilities</t>
        </is>
      </c>
      <c r="F2180" t="inlineStr">
        <is>
          <t>Utilities</t>
        </is>
      </c>
      <c r="G2180" t="inlineStr">
        <is>
          <t>pressure</t>
        </is>
      </c>
      <c r="H2180" t="inlineStr">
        <is>
          <t>yes</t>
        </is>
      </c>
      <c r="I2180" t="inlineStr">
        <is>
          <t>87.56</t>
        </is>
      </c>
      <c r="J2180" t="inlineStr">
        <is>
          <t>world_bank_col_estimate</t>
        </is>
      </c>
      <c r="K2180" t="inlineStr">
        <is>
          <t>https://api.worldbank.org/v2/country/COL/indicator/NY.GNP.PCAP.PP.CD?format=json&amp;mrv=10</t>
        </is>
      </c>
      <c r="L2180" t="inlineStr">
        <is>
          <t>World Bank GNI + regional expenditure ratio estimate</t>
        </is>
      </c>
      <c r="M2180" t="inlineStr">
        <is>
          <t>2024-12-31</t>
        </is>
      </c>
      <c r="N2180" t="inlineStr">
        <is>
          <t>auto_ingest=world_bank_col_estimate; gni_annual=21890.0; year=2024; country_proxy=Colombia; cohort=Latin America; city_cost_mult=0.8</t>
        </is>
      </c>
    </row>
    <row r="2181">
      <c r="A2181" t="inlineStr">
        <is>
          <t>co-medellin</t>
        </is>
      </c>
      <c r="B2181" t="inlineStr">
        <is>
          <t>Medellin</t>
        </is>
      </c>
      <c r="C2181" t="inlineStr">
        <is>
          <t>Colombia</t>
        </is>
      </c>
      <c r="D2181" t="inlineStr">
        <is>
          <t>Latin America</t>
        </is>
      </c>
      <c r="E2181" t="inlineStr">
        <is>
          <t>transit_cost</t>
        </is>
      </c>
      <c r="F2181" t="inlineStr">
        <is>
          <t>Transit cost</t>
        </is>
      </c>
      <c r="G2181" t="inlineStr">
        <is>
          <t>pressure</t>
        </is>
      </c>
      <c r="H2181" t="inlineStr">
        <is>
          <t>yes</t>
        </is>
      </c>
      <c r="I2181" t="inlineStr">
        <is>
          <t>58.37</t>
        </is>
      </c>
      <c r="J2181" t="inlineStr">
        <is>
          <t>world_bank_col_estimate</t>
        </is>
      </c>
      <c r="K2181" t="inlineStr">
        <is>
          <t>https://api.worldbank.org/v2/country/COL/indicator/NY.GNP.PCAP.PP.CD?format=json&amp;mrv=10</t>
        </is>
      </c>
      <c r="L2181" t="inlineStr">
        <is>
          <t>World Bank GNI + regional expenditure ratio estimate</t>
        </is>
      </c>
      <c r="M2181" t="inlineStr">
        <is>
          <t>2024-12-31</t>
        </is>
      </c>
      <c r="N2181" t="inlineStr">
        <is>
          <t>auto_ingest=world_bank_col_estimate; gni_annual=21890.0; year=2024; country_proxy=Colombia; cohort=Latin America; city_cost_mult=0.8</t>
        </is>
      </c>
    </row>
    <row r="2182">
      <c r="A2182" t="inlineStr">
        <is>
          <t>co-medellin</t>
        </is>
      </c>
      <c r="B2182" t="inlineStr">
        <is>
          <t>Medellin</t>
        </is>
      </c>
      <c r="C2182" t="inlineStr">
        <is>
          <t>Colombia</t>
        </is>
      </c>
      <c r="D2182" t="inlineStr">
        <is>
          <t>Latin America</t>
        </is>
      </c>
      <c r="E2182" t="inlineStr">
        <is>
          <t>internet_cost</t>
        </is>
      </c>
      <c r="F2182" t="inlineStr">
        <is>
          <t>Internet cost</t>
        </is>
      </c>
      <c r="G2182" t="inlineStr">
        <is>
          <t>pressure</t>
        </is>
      </c>
      <c r="H2182" t="inlineStr">
        <is>
          <t>yes</t>
        </is>
      </c>
      <c r="I2182" t="inlineStr">
        <is>
          <t>21.89</t>
        </is>
      </c>
      <c r="J2182" t="inlineStr">
        <is>
          <t>world_bank_col_estimate</t>
        </is>
      </c>
      <c r="K2182" t="inlineStr">
        <is>
          <t>https://api.worldbank.org/v2/country/COL/indicator/NY.GNP.PCAP.PP.CD?format=json&amp;mrv=10</t>
        </is>
      </c>
      <c r="L2182" t="inlineStr">
        <is>
          <t>World Bank GNI + regional expenditure ratio estimate</t>
        </is>
      </c>
      <c r="M2182" t="inlineStr">
        <is>
          <t>2024-12-31</t>
        </is>
      </c>
      <c r="N2182" t="inlineStr">
        <is>
          <t>auto_ingest=world_bank_col_estimate; gni_annual=21890.0; year=2024; country_proxy=Colombia; cohort=Latin America; city_cost_mult=0.8</t>
        </is>
      </c>
    </row>
    <row r="2183">
      <c r="A2183" t="inlineStr">
        <is>
          <t>co-medellin</t>
        </is>
      </c>
      <c r="B2183" t="inlineStr">
        <is>
          <t>Medellin</t>
        </is>
      </c>
      <c r="C2183" t="inlineStr">
        <is>
          <t>Colombia</t>
        </is>
      </c>
      <c r="D2183" t="inlineStr">
        <is>
          <t>Latin America</t>
        </is>
      </c>
      <c r="E2183" t="inlineStr">
        <is>
          <t>food_cost</t>
        </is>
      </c>
      <c r="F2183" t="inlineStr">
        <is>
          <t>Food cost</t>
        </is>
      </c>
      <c r="G2183" t="inlineStr">
        <is>
          <t>pressure</t>
        </is>
      </c>
      <c r="H2183" t="inlineStr">
        <is>
          <t>yes</t>
        </is>
      </c>
      <c r="I2183" t="inlineStr">
        <is>
          <t>321.05</t>
        </is>
      </c>
      <c r="J2183" t="inlineStr">
        <is>
          <t>world_bank_col_estimate</t>
        </is>
      </c>
      <c r="K2183" t="inlineStr">
        <is>
          <t>https://api.worldbank.org/v2/country/COL/indicator/NY.GNP.PCAP.PP.CD?format=json&amp;mrv=10</t>
        </is>
      </c>
      <c r="L2183" t="inlineStr">
        <is>
          <t>World Bank GNI + regional expenditure ratio estimate</t>
        </is>
      </c>
      <c r="M2183" t="inlineStr">
        <is>
          <t>2024-12-31</t>
        </is>
      </c>
      <c r="N2183" t="inlineStr">
        <is>
          <t>auto_ingest=world_bank_col_estimate; gni_annual=21890.0; year=2024; country_proxy=Colombia; cohort=Latin America; city_cost_mult=0.8</t>
        </is>
      </c>
    </row>
    <row r="2184">
      <c r="A2184" t="inlineStr">
        <is>
          <t>co-medellin</t>
        </is>
      </c>
      <c r="B2184" t="inlineStr">
        <is>
          <t>Medellin</t>
        </is>
      </c>
      <c r="C2184" t="inlineStr">
        <is>
          <t>Colombia</t>
        </is>
      </c>
      <c r="D2184" t="inlineStr">
        <is>
          <t>Latin America</t>
        </is>
      </c>
      <c r="E2184" t="inlineStr">
        <is>
          <t>housing_burden_raw</t>
        </is>
      </c>
      <c r="F2184" t="inlineStr">
        <is>
          <t>Housing burden raw</t>
        </is>
      </c>
      <c r="G2184" t="inlineStr">
        <is>
          <t>pressure</t>
        </is>
      </c>
      <c r="H2184" t="inlineStr">
        <is>
          <t>yes</t>
        </is>
      </c>
      <c r="I2184" t="inlineStr">
        <is>
          <t>19.9998</t>
        </is>
      </c>
      <c r="J2184" t="inlineStr">
        <is>
          <t>derived</t>
        </is>
      </c>
      <c r="K2184" t="inlineStr">
        <is>
          <t>https://data.worldbank.org/indicator/NY.GNP.PCAP.PP.CD</t>
        </is>
      </c>
      <c r="L2184" t="inlineStr">
        <is>
          <t>Computed from city_inputs + country_context</t>
        </is>
      </c>
      <c r="M2184" t="inlineStr">
        <is>
          <t>2024-01-01</t>
        </is>
      </c>
      <c r="N2184" t="inlineStr">
        <is>
          <t>derived=rent/gross_income*100</t>
        </is>
      </c>
    </row>
    <row r="2185">
      <c r="A2185" t="inlineStr">
        <is>
          <t>co-medellin</t>
        </is>
      </c>
      <c r="B2185" t="inlineStr">
        <is>
          <t>Medellin</t>
        </is>
      </c>
      <c r="C2185" t="inlineStr">
        <is>
          <t>Colombia</t>
        </is>
      </c>
      <c r="D2185" t="inlineStr">
        <is>
          <t>Latin America</t>
        </is>
      </c>
      <c r="E2185" t="inlineStr">
        <is>
          <t>household_debt_burden_raw</t>
        </is>
      </c>
      <c r="F2185" t="inlineStr">
        <is>
          <t>Household debt burden raw</t>
        </is>
      </c>
      <c r="G2185" t="inlineStr">
        <is>
          <t>pressure</t>
        </is>
      </c>
      <c r="H2185" t="inlineStr">
        <is>
          <t>yes</t>
        </is>
      </c>
      <c r="I2185" t="inlineStr">
        <is>
          <t>39.5117</t>
        </is>
      </c>
      <c r="J2185" t="inlineStr">
        <is>
          <t>derived</t>
        </is>
      </c>
      <c r="K2185" t="inlineStr">
        <is>
          <t>https://data.worldbank.org/indicator/NY.GNP.PCAP.PP.CD</t>
        </is>
      </c>
      <c r="L2185" t="inlineStr">
        <is>
          <t>Computed from city_inputs + country_context</t>
        </is>
      </c>
      <c r="M2185" t="inlineStr">
        <is>
          <t>2024-01-01</t>
        </is>
      </c>
      <c r="N2185" t="inlineStr">
        <is>
          <t>derived=country_context.household_debt_proxy; country=Colombia</t>
        </is>
      </c>
    </row>
    <row r="2186">
      <c r="A2186" t="inlineStr">
        <is>
          <t>co-medellin</t>
        </is>
      </c>
      <c r="B2186" t="inlineStr">
        <is>
          <t>Medellin</t>
        </is>
      </c>
      <c r="C2186" t="inlineStr">
        <is>
          <t>Colombia</t>
        </is>
      </c>
      <c r="D2186" t="inlineStr">
        <is>
          <t>Latin America</t>
        </is>
      </c>
      <c r="E2186" t="inlineStr">
        <is>
          <t>working_time_pressure_raw</t>
        </is>
      </c>
      <c r="F2186" t="inlineStr">
        <is>
          <t>Working time pressure raw</t>
        </is>
      </c>
      <c r="G2186" t="inlineStr">
        <is>
          <t>pressure</t>
        </is>
      </c>
      <c r="H2186" t="inlineStr">
        <is>
          <t>yes</t>
        </is>
      </c>
      <c r="I2186" t="inlineStr">
        <is>
          <t>42.77</t>
        </is>
      </c>
      <c r="J2186" t="inlineStr">
        <is>
          <t>ilo_ilostat</t>
        </is>
      </c>
      <c r="K2186" t="inlineStr">
        <is>
          <t>https://ilostat.ilo.org/data/indicator/?id=HOW_TEMP_SEX_ECO_NB_A&amp;ref_area=COL</t>
        </is>
      </c>
      <c r="L2186" t="inlineStr">
        <is>
          <t>ILO ILOSTAT: Mean weekly hours actually worked per employed person</t>
        </is>
      </c>
      <c r="M2186" t="inlineStr">
        <is>
          <t>2025-12-31</t>
        </is>
      </c>
      <c r="N2186" t="inlineStr">
        <is>
          <t>auto_ingest=ilo_working_hours; indicator=HOW_TEMP_SEX_ECO_NB_A; year=2025; hours=42.77; country_proxy=Colombia</t>
        </is>
      </c>
    </row>
    <row r="2187">
      <c r="A2187" t="inlineStr">
        <is>
          <t>co-medellin</t>
        </is>
      </c>
      <c r="B2187" t="inlineStr">
        <is>
          <t>Medellin</t>
        </is>
      </c>
      <c r="C2187" t="inlineStr">
        <is>
          <t>Colombia</t>
        </is>
      </c>
      <c r="D2187" t="inlineStr">
        <is>
          <t>Latin America</t>
        </is>
      </c>
      <c r="E2187" t="inlineStr">
        <is>
          <t>suicide_mental_strain_raw</t>
        </is>
      </c>
      <c r="F2187" t="inlineStr">
        <is>
          <t>Suicide or mental strain raw</t>
        </is>
      </c>
      <c r="G2187" t="inlineStr">
        <is>
          <t>pressure</t>
        </is>
      </c>
      <c r="H2187" t="inlineStr">
        <is>
          <t>yes</t>
        </is>
      </c>
      <c r="I2187" t="inlineStr">
        <is>
          <t>4.96</t>
        </is>
      </c>
      <c r="J2187" t="inlineStr">
        <is>
          <t>who_gho</t>
        </is>
      </c>
      <c r="K2187" t="inlineStr">
        <is>
          <t>https://www.who.int/data/gho/data/indicators/indicator-details/GHO/SDGSUICIDE</t>
        </is>
      </c>
      <c r="L2187" t="inlineStr">
        <is>
          <t>WHO GHO: Age-standardized suicide rate (per 100,000 population)</t>
        </is>
      </c>
      <c r="M2187" t="inlineStr">
        <is>
          <t>2021-12-31</t>
        </is>
      </c>
      <c r="N2187" t="inlineStr">
        <is>
          <t>auto_ingest=who_gho; indicator=SDGSUICIDE; year=2021; country_proxy=Colombia</t>
        </is>
      </c>
    </row>
    <row r="2188">
      <c r="A2188" t="inlineStr">
        <is>
          <t>co-medellin</t>
        </is>
      </c>
      <c r="B2188" t="inlineStr">
        <is>
          <t>Medellin</t>
        </is>
      </c>
      <c r="C2188" t="inlineStr">
        <is>
          <t>Colombia</t>
        </is>
      </c>
      <c r="D2188" t="inlineStr">
        <is>
          <t>Latin America</t>
        </is>
      </c>
      <c r="E2188" t="inlineStr">
        <is>
          <t>personal_safety_raw</t>
        </is>
      </c>
      <c r="F2188" t="inlineStr">
        <is>
          <t>Personal safety raw</t>
        </is>
      </c>
      <c r="G2188" t="inlineStr">
        <is>
          <t>viability</t>
        </is>
      </c>
      <c r="H2188" t="inlineStr">
        <is>
          <t>yes</t>
        </is>
      </c>
      <c r="I2188" t="inlineStr">
        <is>
          <t>24.91</t>
        </is>
      </c>
      <c r="J2188" t="inlineStr">
        <is>
          <t>world_bank</t>
        </is>
      </c>
      <c r="K2188" t="inlineStr">
        <is>
          <t>https://api.worldbank.org/v2/country/COL/indicator/VC.IHR.PSRC.P5?format=json&amp;mrv=10</t>
        </is>
      </c>
      <c r="L2188" t="inlineStr">
        <is>
          <t>UNODC via World Bank WDI: Intentional homicides (per 100,000 people)</t>
        </is>
      </c>
      <c r="M2188" t="inlineStr">
        <is>
          <t>2023-12-31</t>
        </is>
      </c>
      <c r="N2188" t="inlineStr">
        <is>
          <t>auto_ingest=unodc_safety; indicator=VC.IHR.PSRC.P5; year=2023; country_proxy=Colombia</t>
        </is>
      </c>
    </row>
    <row r="2189">
      <c r="A2189" t="inlineStr">
        <is>
          <t>co-medellin</t>
        </is>
      </c>
      <c r="B2189" t="inlineStr">
        <is>
          <t>Medellin</t>
        </is>
      </c>
      <c r="C2189" t="inlineStr">
        <is>
          <t>Colombia</t>
        </is>
      </c>
      <c r="D2189" t="inlineStr">
        <is>
          <t>Latin America</t>
        </is>
      </c>
      <c r="E2189" t="inlineStr">
        <is>
          <t>transit_access_commute_raw</t>
        </is>
      </c>
      <c r="F2189" t="inlineStr">
        <is>
          <t>Transit access and commute raw</t>
        </is>
      </c>
      <c r="G2189" t="inlineStr">
        <is>
          <t>viability</t>
        </is>
      </c>
      <c r="H2189" t="inlineStr">
        <is>
          <t>yes</t>
        </is>
      </c>
      <c r="I2189" t="inlineStr"/>
      <c r="J2189" t="inlineStr"/>
      <c r="K2189" t="inlineStr"/>
      <c r="L2189" t="inlineStr"/>
      <c r="M2189" t="inlineStr"/>
      <c r="N2189" t="inlineStr"/>
    </row>
    <row r="2190">
      <c r="A2190" t="inlineStr">
        <is>
          <t>co-medellin</t>
        </is>
      </c>
      <c r="B2190" t="inlineStr">
        <is>
          <t>Medellin</t>
        </is>
      </c>
      <c r="C2190" t="inlineStr">
        <is>
          <t>Colombia</t>
        </is>
      </c>
      <c r="D2190" t="inlineStr">
        <is>
          <t>Latin America</t>
        </is>
      </c>
      <c r="E2190" t="inlineStr">
        <is>
          <t>clean_air_raw</t>
        </is>
      </c>
      <c r="F2190" t="inlineStr">
        <is>
          <t>Clean air raw</t>
        </is>
      </c>
      <c r="G2190" t="inlineStr">
        <is>
          <t>viability</t>
        </is>
      </c>
      <c r="H2190" t="inlineStr">
        <is>
          <t>yes</t>
        </is>
      </c>
      <c r="I2190" t="inlineStr"/>
      <c r="J2190" t="inlineStr"/>
      <c r="K2190" t="inlineStr"/>
      <c r="L2190" t="inlineStr"/>
      <c r="M2190" t="inlineStr"/>
      <c r="N2190" t="inlineStr"/>
    </row>
    <row r="2191">
      <c r="A2191" t="inlineStr">
        <is>
          <t>co-medellin</t>
        </is>
      </c>
      <c r="B2191" t="inlineStr">
        <is>
          <t>Medellin</t>
        </is>
      </c>
      <c r="C2191" t="inlineStr">
        <is>
          <t>Colombia</t>
        </is>
      </c>
      <c r="D2191" t="inlineStr">
        <is>
          <t>Latin America</t>
        </is>
      </c>
      <c r="E2191" t="inlineStr">
        <is>
          <t>water_sanitation_utility_raw</t>
        </is>
      </c>
      <c r="F2191" t="inlineStr">
        <is>
          <t>Water, sanitation, and utility raw</t>
        </is>
      </c>
      <c r="G2191" t="inlineStr">
        <is>
          <t>viability</t>
        </is>
      </c>
      <c r="H2191" t="inlineStr">
        <is>
          <t>yes</t>
        </is>
      </c>
      <c r="I2191" t="inlineStr">
        <is>
          <t>74.34</t>
        </is>
      </c>
      <c r="J2191" t="inlineStr">
        <is>
          <t>world_bank</t>
        </is>
      </c>
      <c r="K2191" t="inlineStr">
        <is>
          <t>https://api.worldbank.org/v2/country/COL/indicator/SH.H2O.SMDW.ZS?format=json&amp;mrv=10</t>
        </is>
      </c>
      <c r="L2191" t="inlineStr">
        <is>
          <t>World Bank WDI: People using safely managed drinking water services (% of population)</t>
        </is>
      </c>
      <c r="M2191" t="inlineStr">
        <is>
          <t>2024-12-31</t>
        </is>
      </c>
      <c r="N2191" t="inlineStr">
        <is>
          <t>auto_ingest=world_bank_proxy; indicator=SH.H2O.SMDW.ZS; year=2024; country_proxy=Colombia</t>
        </is>
      </c>
    </row>
    <row r="2192">
      <c r="A2192" t="inlineStr">
        <is>
          <t>co-medellin</t>
        </is>
      </c>
      <c r="B2192" t="inlineStr">
        <is>
          <t>Medellin</t>
        </is>
      </c>
      <c r="C2192" t="inlineStr">
        <is>
          <t>Colombia</t>
        </is>
      </c>
      <c r="D2192" t="inlineStr">
        <is>
          <t>Latin America</t>
        </is>
      </c>
      <c r="E2192" t="inlineStr">
        <is>
          <t>digital_infrastructure_raw</t>
        </is>
      </c>
      <c r="F2192" t="inlineStr">
        <is>
          <t>Digital infrastructure raw</t>
        </is>
      </c>
      <c r="G2192" t="inlineStr">
        <is>
          <t>viability</t>
        </is>
      </c>
      <c r="H2192" t="inlineStr">
        <is>
          <t>yes</t>
        </is>
      </c>
      <c r="I2192" t="inlineStr">
        <is>
          <t>17.04</t>
        </is>
      </c>
      <c r="J2192" t="inlineStr">
        <is>
          <t>world_bank</t>
        </is>
      </c>
      <c r="K2192" t="inlineStr">
        <is>
          <t>https://api.worldbank.org/v2/country/COL/indicator/IT.NET.BBND.P2?format=json&amp;mrv=10</t>
        </is>
      </c>
      <c r="L2192" t="inlineStr">
        <is>
          <t>World Bank WDI: Fixed broadband subscriptions (per 100 people)</t>
        </is>
      </c>
      <c r="M2192" t="inlineStr">
        <is>
          <t>2023-12-31</t>
        </is>
      </c>
      <c r="N2192" t="inlineStr">
        <is>
          <t>auto_ingest=world_bank_proxy; indicator=IT.NET.BBND.P2; year=2023; country_proxy=Colombia</t>
        </is>
      </c>
    </row>
    <row r="2193">
      <c r="A2193" t="inlineStr">
        <is>
          <t>co-medellin</t>
        </is>
      </c>
      <c r="B2193" t="inlineStr">
        <is>
          <t>Medellin</t>
        </is>
      </c>
      <c r="C2193" t="inlineStr">
        <is>
          <t>Colombia</t>
        </is>
      </c>
      <c r="D2193" t="inlineStr">
        <is>
          <t>Latin America</t>
        </is>
      </c>
      <c r="E2193" t="inlineStr">
        <is>
          <t>climate_sunlight_livability_raw</t>
        </is>
      </c>
      <c r="F2193" t="inlineStr">
        <is>
          <t>Climate and sunlight livability raw</t>
        </is>
      </c>
      <c r="G2193" t="inlineStr">
        <is>
          <t>viability</t>
        </is>
      </c>
      <c r="H2193" t="inlineStr">
        <is>
          <t>yes</t>
        </is>
      </c>
      <c r="I2193" t="inlineStr">
        <is>
          <t>72</t>
        </is>
      </c>
      <c r="J2193" t="inlineStr">
        <is>
          <t>wmo_natl_met</t>
        </is>
      </c>
      <c r="K2193" t="inlineStr">
        <is>
          <t>https://worldweather.wmo.int</t>
        </is>
      </c>
      <c r="L2193" t="inlineStr">
        <is>
          <t>WMO/National Met: Climate livability composite</t>
        </is>
      </c>
      <c r="M2193" t="inlineStr">
        <is>
          <t>2024-12-31</t>
        </is>
      </c>
      <c r="N2193" t="inlineStr">
        <is>
          <t>auto_seed=climate_composite; 2100 sun hrs, 22C mean, eternal spring</t>
        </is>
      </c>
    </row>
    <row r="2194">
      <c r="A2194" t="inlineStr">
        <is>
          <t>co-medellin</t>
        </is>
      </c>
      <c r="B2194" t="inlineStr">
        <is>
          <t>Medellin</t>
        </is>
      </c>
      <c r="C2194" t="inlineStr">
        <is>
          <t>Colombia</t>
        </is>
      </c>
      <c r="D2194" t="inlineStr">
        <is>
          <t>Latin America</t>
        </is>
      </c>
      <c r="E2194" t="inlineStr">
        <is>
          <t>healthcare_quality_raw</t>
        </is>
      </c>
      <c r="F2194" t="inlineStr">
        <is>
          <t>Healthcare quality raw</t>
        </is>
      </c>
      <c r="G2194" t="inlineStr">
        <is>
          <t>capability</t>
        </is>
      </c>
      <c r="H2194" t="inlineStr">
        <is>
          <t>yes</t>
        </is>
      </c>
      <c r="I2194" t="inlineStr">
        <is>
          <t>82.0</t>
        </is>
      </c>
      <c r="J2194" t="inlineStr">
        <is>
          <t>who_gho</t>
        </is>
      </c>
      <c r="K2194" t="inlineStr">
        <is>
          <t>https://www.who.int/data/gho/data/indicators/indicator-details/GHO/UHC_INDEX_REPORTED</t>
        </is>
      </c>
      <c r="L2194" t="inlineStr">
        <is>
          <t>WHO GHO: UHC Service Coverage Index</t>
        </is>
      </c>
      <c r="M2194" t="inlineStr">
        <is>
          <t>2023-12-31</t>
        </is>
      </c>
      <c r="N2194" t="inlineStr">
        <is>
          <t>auto_ingest=who_gho; indicator=UHC_INDEX_REPORTED; year=2023; country_proxy=Colombia</t>
        </is>
      </c>
    </row>
    <row r="2195">
      <c r="A2195" t="inlineStr">
        <is>
          <t>co-medellin</t>
        </is>
      </c>
      <c r="B2195" t="inlineStr">
        <is>
          <t>Medellin</t>
        </is>
      </c>
      <c r="C2195" t="inlineStr">
        <is>
          <t>Colombia</t>
        </is>
      </c>
      <c r="D2195" t="inlineStr">
        <is>
          <t>Latin America</t>
        </is>
      </c>
      <c r="E2195" t="inlineStr">
        <is>
          <t>education_quality_raw</t>
        </is>
      </c>
      <c r="F2195" t="inlineStr">
        <is>
          <t>Education quality raw</t>
        </is>
      </c>
      <c r="G2195" t="inlineStr">
        <is>
          <t>capability</t>
        </is>
      </c>
      <c r="H2195" t="inlineStr">
        <is>
          <t>yes</t>
        </is>
      </c>
      <c r="I2195" t="inlineStr">
        <is>
          <t>59.29</t>
        </is>
      </c>
      <c r="J2195" t="inlineStr">
        <is>
          <t>world_bank</t>
        </is>
      </c>
      <c r="K2195" t="inlineStr">
        <is>
          <t>https://api.worldbank.org/v2/country/COL/indicator/SE.TER.ENRR?format=json&amp;mrv=10</t>
        </is>
      </c>
      <c r="L2195" t="inlineStr">
        <is>
          <t>World Bank WDI: School enrollment, tertiary (% gross)</t>
        </is>
      </c>
      <c r="M2195" t="inlineStr">
        <is>
          <t>2022-12-31</t>
        </is>
      </c>
      <c r="N2195" t="inlineStr">
        <is>
          <t>auto_ingest=world_bank_proxy; indicator=SE.TER.ENRR; year=2022; country_proxy=Colombia</t>
        </is>
      </c>
    </row>
    <row r="2196">
      <c r="A2196" t="inlineStr">
        <is>
          <t>co-medellin</t>
        </is>
      </c>
      <c r="B2196" t="inlineStr">
        <is>
          <t>Medellin</t>
        </is>
      </c>
      <c r="C2196" t="inlineStr">
        <is>
          <t>Colombia</t>
        </is>
      </c>
      <c r="D2196" t="inlineStr">
        <is>
          <t>Latin America</t>
        </is>
      </c>
      <c r="E2196" t="inlineStr">
        <is>
          <t>equal_opportunity_raw</t>
        </is>
      </c>
      <c r="F2196" t="inlineStr">
        <is>
          <t>Equal opportunity raw</t>
        </is>
      </c>
      <c r="G2196" t="inlineStr">
        <is>
          <t>capability</t>
        </is>
      </c>
      <c r="H2196" t="inlineStr">
        <is>
          <t>yes</t>
        </is>
      </c>
      <c r="I2196" t="inlineStr">
        <is>
          <t>53.9</t>
        </is>
      </c>
      <c r="J2196" t="inlineStr">
        <is>
          <t>world_bank</t>
        </is>
      </c>
      <c r="K2196" t="inlineStr">
        <is>
          <t>https://api.worldbank.org/v2/country/COL/indicator/SI.POV.GINI?format=json&amp;mrv=10</t>
        </is>
      </c>
      <c r="L2196" t="inlineStr">
        <is>
          <t>World Bank WDI: Gini index</t>
        </is>
      </c>
      <c r="M2196" t="inlineStr">
        <is>
          <t>2023-12-31</t>
        </is>
      </c>
      <c r="N2196" t="inlineStr">
        <is>
          <t>auto_ingest=world_bank_capability; indicator=SI.POV.GINI; year=2023; country_proxy=Colombia</t>
        </is>
      </c>
    </row>
    <row r="2197">
      <c r="A2197" t="inlineStr">
        <is>
          <t>co-medellin</t>
        </is>
      </c>
      <c r="B2197" t="inlineStr">
        <is>
          <t>Medellin</t>
        </is>
      </c>
      <c r="C2197" t="inlineStr">
        <is>
          <t>Colombia</t>
        </is>
      </c>
      <c r="D2197" t="inlineStr">
        <is>
          <t>Latin America</t>
        </is>
      </c>
      <c r="E2197" t="inlineStr">
        <is>
          <t>hospitality_belonging_raw</t>
        </is>
      </c>
      <c r="F2197" t="inlineStr">
        <is>
          <t>Hospitality and belonging raw</t>
        </is>
      </c>
      <c r="G2197" t="inlineStr">
        <is>
          <t>community</t>
        </is>
      </c>
      <c r="H2197" t="inlineStr">
        <is>
          <t>yes</t>
        </is>
      </c>
      <c r="I2197" t="inlineStr">
        <is>
          <t>52.44</t>
        </is>
      </c>
      <c r="J2197" t="inlineStr">
        <is>
          <t>world_bank</t>
        </is>
      </c>
      <c r="K2197" t="inlineStr">
        <is>
          <t>https://api.worldbank.org/v2/country/COL/indicator/SM.POP.NETM?format=json&amp;mrv=10</t>
        </is>
      </c>
      <c r="L2197" t="inlineStr">
        <is>
          <t>World Bank WDI: Net migration (proxy for hospitality/belonging — positive = welcoming)</t>
        </is>
      </c>
      <c r="M2197" t="inlineStr">
        <is>
          <t>2025-12-31</t>
        </is>
      </c>
      <c r="N2197" t="inlineStr">
        <is>
          <t>auto_ingest=world_bank_proxy; proxy=net_migration_hospitality; indicator=SM.POP.NETM; year=2025; country_proxy=Colombia</t>
        </is>
      </c>
    </row>
    <row r="2198">
      <c r="A2198" t="inlineStr">
        <is>
          <t>co-medellin</t>
        </is>
      </c>
      <c r="B2198" t="inlineStr">
        <is>
          <t>Medellin</t>
        </is>
      </c>
      <c r="C2198" t="inlineStr">
        <is>
          <t>Colombia</t>
        </is>
      </c>
      <c r="D2198" t="inlineStr">
        <is>
          <t>Latin America</t>
        </is>
      </c>
      <c r="E2198" t="inlineStr">
        <is>
          <t>tolerance_pluralism_raw</t>
        </is>
      </c>
      <c r="F2198" t="inlineStr">
        <is>
          <t>Tolerance and pluralism raw</t>
        </is>
      </c>
      <c r="G2198" t="inlineStr">
        <is>
          <t>community</t>
        </is>
      </c>
      <c r="H2198" t="inlineStr">
        <is>
          <t>yes</t>
        </is>
      </c>
      <c r="I2198" t="inlineStr">
        <is>
          <t>29.41</t>
        </is>
      </c>
      <c r="J2198" t="inlineStr">
        <is>
          <t>world_bank</t>
        </is>
      </c>
      <c r="K2198" t="inlineStr">
        <is>
          <t>https://api.worldbank.org/v2/country/COL/indicator/SG.GEN.PARL.ZS?format=json&amp;mrv=10</t>
        </is>
      </c>
      <c r="L2198" t="inlineStr">
        <is>
          <t>World Bank WDI: Proportion of seats held by women in national parliaments (%)</t>
        </is>
      </c>
      <c r="M2198" t="inlineStr">
        <is>
          <t>2024-12-31</t>
        </is>
      </c>
      <c r="N2198" t="inlineStr">
        <is>
          <t>auto_ingest=world_bank_proxy; proxy=gender_parity_parliament; indicator=SG.GEN.PARL.ZS; year=2024; country_proxy=Colombia</t>
        </is>
      </c>
    </row>
    <row r="2199">
      <c r="A2199" t="inlineStr">
        <is>
          <t>co-medellin</t>
        </is>
      </c>
      <c r="B2199" t="inlineStr">
        <is>
          <t>Medellin</t>
        </is>
      </c>
      <c r="C2199" t="inlineStr">
        <is>
          <t>Colombia</t>
        </is>
      </c>
      <c r="D2199" t="inlineStr">
        <is>
          <t>Latin America</t>
        </is>
      </c>
      <c r="E2199" t="inlineStr">
        <is>
          <t>cultural_public_life_raw</t>
        </is>
      </c>
      <c r="F2199" t="inlineStr">
        <is>
          <t>Cultural public life raw</t>
        </is>
      </c>
      <c r="G2199" t="inlineStr">
        <is>
          <t>community</t>
        </is>
      </c>
      <c r="H2199" t="inlineStr">
        <is>
          <t>yes</t>
        </is>
      </c>
      <c r="I2199" t="inlineStr">
        <is>
          <t>26.4</t>
        </is>
      </c>
      <c r="J2199" t="inlineStr">
        <is>
          <t>world_bank</t>
        </is>
      </c>
      <c r="K2199" t="inlineStr">
        <is>
          <t>https://api.worldbank.org/v2/country/COL/indicator/ST.INT.ARVL?format=json&amp;mrv=10</t>
        </is>
      </c>
      <c r="L2199" t="inlineStr">
        <is>
          <t>World Bank WDI: International tourism arrivals per 1 000 population</t>
        </is>
      </c>
      <c r="M2199" t="inlineStr">
        <is>
          <t>2020-12-31</t>
        </is>
      </c>
      <c r="N2199" t="inlineStr">
        <is>
          <t>auto_ingest=cultural_life_proxy; indicator=ST.INT.ARVL; norm=per_1000_pop; year=2020; country_proxy=Colombia</t>
        </is>
      </c>
    </row>
    <row r="2200">
      <c r="A2200" t="inlineStr">
        <is>
          <t>co-medellin</t>
        </is>
      </c>
      <c r="B2200" t="inlineStr">
        <is>
          <t>Medellin</t>
        </is>
      </c>
      <c r="C2200" t="inlineStr">
        <is>
          <t>Colombia</t>
        </is>
      </c>
      <c r="D2200" t="inlineStr">
        <is>
          <t>Latin America</t>
        </is>
      </c>
      <c r="E2200" t="inlineStr">
        <is>
          <t>birth_rate_optimism_raw</t>
        </is>
      </c>
      <c r="F2200" t="inlineStr">
        <is>
          <t>Birth rate and societal optimism raw</t>
        </is>
      </c>
      <c r="G2200" t="inlineStr">
        <is>
          <t>community</t>
        </is>
      </c>
      <c r="H2200" t="inlineStr">
        <is>
          <t>yes</t>
        </is>
      </c>
      <c r="I2200" t="inlineStr">
        <is>
          <t>1.64</t>
        </is>
      </c>
      <c r="J2200" t="inlineStr">
        <is>
          <t>world_bank</t>
        </is>
      </c>
      <c r="K2200" t="inlineStr">
        <is>
          <t>https://data.worldbank.org/indicator/SP.DYN.TFRT.IN</t>
        </is>
      </c>
      <c r="L2200" t="inlineStr">
        <is>
          <t>World Bank Total Fertility Rate 2023</t>
        </is>
      </c>
      <c r="M2200" t="inlineStr">
        <is>
          <t>2024-01-01</t>
        </is>
      </c>
      <c r="N2200" t="inlineStr"/>
    </row>
    <row r="2201">
      <c r="A2201" t="inlineStr">
        <is>
          <t>co-medellin</t>
        </is>
      </c>
      <c r="B2201" t="inlineStr">
        <is>
          <t>Medellin</t>
        </is>
      </c>
      <c r="C2201" t="inlineStr">
        <is>
          <t>Colombia</t>
        </is>
      </c>
      <c r="D2201" t="inlineStr">
        <is>
          <t>Latin America</t>
        </is>
      </c>
      <c r="E2201" t="inlineStr">
        <is>
          <t>entrepreneurial_dynamism_raw</t>
        </is>
      </c>
      <c r="F2201" t="inlineStr">
        <is>
          <t>Entrepreneurial dynamism raw</t>
        </is>
      </c>
      <c r="G2201" t="inlineStr">
        <is>
          <t>creative</t>
        </is>
      </c>
      <c r="H2201" t="inlineStr">
        <is>
          <t>yes</t>
        </is>
      </c>
      <c r="I2201" t="inlineStr">
        <is>
          <t>2.26</t>
        </is>
      </c>
      <c r="J2201" t="inlineStr">
        <is>
          <t>world_bank</t>
        </is>
      </c>
      <c r="K2201" t="inlineStr">
        <is>
          <t>https://api.worldbank.org/v2/country/COL/indicator/IC.BUS.NDNS.ZS?format=json&amp;mrv=10</t>
        </is>
      </c>
      <c r="L2201" t="inlineStr">
        <is>
          <t>World Bank WDI: New business density (new registrations per 1,000 people ages 15-64)</t>
        </is>
      </c>
      <c r="M2201" t="inlineStr">
        <is>
          <t>2022-12-31</t>
        </is>
      </c>
      <c r="N2201" t="inlineStr">
        <is>
          <t>auto_ingest=world_bank_creative_extended; indicator=IC.BUS.NDNS.ZS; year=2022; country_proxy=Colombia</t>
        </is>
      </c>
    </row>
    <row r="2202">
      <c r="A2202" t="inlineStr">
        <is>
          <t>co-medellin</t>
        </is>
      </c>
      <c r="B2202" t="inlineStr">
        <is>
          <t>Medellin</t>
        </is>
      </c>
      <c r="C2202" t="inlineStr">
        <is>
          <t>Colombia</t>
        </is>
      </c>
      <c r="D2202" t="inlineStr">
        <is>
          <t>Latin America</t>
        </is>
      </c>
      <c r="E2202" t="inlineStr">
        <is>
          <t>innovation_research_intensity_raw</t>
        </is>
      </c>
      <c r="F2202" t="inlineStr">
        <is>
          <t>Innovation and research raw</t>
        </is>
      </c>
      <c r="G2202" t="inlineStr">
        <is>
          <t>creative</t>
        </is>
      </c>
      <c r="H2202" t="inlineStr">
        <is>
          <t>yes</t>
        </is>
      </c>
      <c r="I2202" t="inlineStr">
        <is>
          <t>0.29</t>
        </is>
      </c>
      <c r="J2202" t="inlineStr">
        <is>
          <t>world_bank</t>
        </is>
      </c>
      <c r="K2202" t="inlineStr">
        <is>
          <t>https://api.worldbank.org/v2/country/COL/indicator/GB.XPD.RSDV.GD.ZS?format=json&amp;mrv=10</t>
        </is>
      </c>
      <c r="L2202" t="inlineStr">
        <is>
          <t>World Bank WDI: Research and development expenditure (% of GDP)</t>
        </is>
      </c>
      <c r="M2202" t="inlineStr">
        <is>
          <t>2020-12-31</t>
        </is>
      </c>
      <c r="N2202" t="inlineStr">
        <is>
          <t>auto_ingest=world_bank_creative_extended; indicator=GB.XPD.RSDV.GD.ZS; year=2020; country_proxy=Colombia</t>
        </is>
      </c>
    </row>
    <row r="2203">
      <c r="A2203" t="inlineStr">
        <is>
          <t>co-medellin</t>
        </is>
      </c>
      <c r="B2203" t="inlineStr">
        <is>
          <t>Medellin</t>
        </is>
      </c>
      <c r="C2203" t="inlineStr">
        <is>
          <t>Colombia</t>
        </is>
      </c>
      <c r="D2203" t="inlineStr">
        <is>
          <t>Latin America</t>
        </is>
      </c>
      <c r="E2203" t="inlineStr">
        <is>
          <t>investment_signal_raw</t>
        </is>
      </c>
      <c r="F2203" t="inlineStr">
        <is>
          <t>Investment signal raw</t>
        </is>
      </c>
      <c r="G2203" t="inlineStr">
        <is>
          <t>creative</t>
        </is>
      </c>
      <c r="H2203" t="inlineStr">
        <is>
          <t>yes</t>
        </is>
      </c>
      <c r="I2203" t="inlineStr">
        <is>
          <t>3.27</t>
        </is>
      </c>
      <c r="J2203" t="inlineStr">
        <is>
          <t>world_bank</t>
        </is>
      </c>
      <c r="K2203" t="inlineStr">
        <is>
          <t>https://api.worldbank.org/v2/country/COL/indicator/BX.KLT.DINV.WD.GD.ZS?format=json&amp;mrv=10</t>
        </is>
      </c>
      <c r="L2203" t="inlineStr">
        <is>
          <t>World Bank WDI: Foreign direct investment, net inflows (% of GDP)</t>
        </is>
      </c>
      <c r="M2203" t="inlineStr">
        <is>
          <t>2024-12-31</t>
        </is>
      </c>
      <c r="N2203" t="inlineStr">
        <is>
          <t>auto_ingest=world_bank_creative_extended; indicator=BX.KLT.DINV.WD.GD.ZS; year=2024; country_proxy=Colombia</t>
        </is>
      </c>
    </row>
    <row r="2204">
      <c r="A2204" t="inlineStr">
        <is>
          <t>co-medellin</t>
        </is>
      </c>
      <c r="B2204" t="inlineStr">
        <is>
          <t>Medellin</t>
        </is>
      </c>
      <c r="C2204" t="inlineStr">
        <is>
          <t>Colombia</t>
        </is>
      </c>
      <c r="D2204" t="inlineStr">
        <is>
          <t>Latin America</t>
        </is>
      </c>
      <c r="E2204" t="inlineStr">
        <is>
          <t>administrative_investment_friction_raw</t>
        </is>
      </c>
      <c r="F2204" t="inlineStr">
        <is>
          <t>Administrative investment friction raw</t>
        </is>
      </c>
      <c r="G2204" t="inlineStr">
        <is>
          <t>creative</t>
        </is>
      </c>
      <c r="H2204" t="inlineStr">
        <is>
          <t>yes</t>
        </is>
      </c>
      <c r="I2204" t="inlineStr">
        <is>
          <t>2.4</t>
        </is>
      </c>
      <c r="J2204" t="inlineStr">
        <is>
          <t>world_bank</t>
        </is>
      </c>
      <c r="K2204" t="inlineStr">
        <is>
          <t>https://api.worldbank.org/v2/country/COL/indicator/RQ.EST?format=json&amp;mrv=10</t>
        </is>
      </c>
      <c r="L2204" t="inlineStr">
        <is>
          <t>World Bank WGI: Regulatory Quality (inverted as friction proxy)</t>
        </is>
      </c>
      <c r="M2204" t="inlineStr">
        <is>
          <t>2023-12-31</t>
        </is>
      </c>
      <c r="N2204" t="inlineStr">
        <is>
          <t>auto_ingest=world_bank_business_friction; indicator=RQ.EST; raw_rq=0.101034268736839; friction=2.4; year=2023; country_proxy=Colombia</t>
        </is>
      </c>
    </row>
    <row r="2205">
      <c r="A2205" t="inlineStr">
        <is>
          <t>co-medellin</t>
        </is>
      </c>
      <c r="B2205" t="inlineStr">
        <is>
          <t>Medellin</t>
        </is>
      </c>
      <c r="C2205" t="inlineStr">
        <is>
          <t>Colombia</t>
        </is>
      </c>
      <c r="D2205" t="inlineStr">
        <is>
          <t>Latin America</t>
        </is>
      </c>
      <c r="E2205" t="inlineStr">
        <is>
          <t>visitor_flow_context_raw</t>
        </is>
      </c>
      <c r="F2205" t="inlineStr">
        <is>
          <t>Visitor flow context raw</t>
        </is>
      </c>
      <c r="G2205" t="inlineStr">
        <is>
          <t>creative</t>
        </is>
      </c>
      <c r="H2205" t="inlineStr">
        <is>
          <t>no</t>
        </is>
      </c>
      <c r="I2205" t="inlineStr"/>
      <c r="J2205" t="inlineStr"/>
      <c r="K2205" t="inlineStr"/>
      <c r="L2205" t="inlineStr"/>
      <c r="M2205" t="inlineStr"/>
      <c r="N2205" t="inlineStr"/>
    </row>
    <row r="2206">
      <c r="A2206" t="inlineStr">
        <is>
          <t>uy-montevideo</t>
        </is>
      </c>
      <c r="B2206" t="inlineStr">
        <is>
          <t>Montevideo</t>
        </is>
      </c>
      <c r="C2206" t="inlineStr">
        <is>
          <t>Uruguay</t>
        </is>
      </c>
      <c r="D2206" t="inlineStr">
        <is>
          <t>Latin America</t>
        </is>
      </c>
      <c r="E2206" t="inlineStr">
        <is>
          <t>gross_income</t>
        </is>
      </c>
      <c r="F2206" t="inlineStr">
        <is>
          <t>Gross income</t>
        </is>
      </c>
      <c r="G2206" t="inlineStr">
        <is>
          <t>pressure</t>
        </is>
      </c>
      <c r="H2206" t="inlineStr">
        <is>
          <t>yes</t>
        </is>
      </c>
      <c r="I2206" t="inlineStr">
        <is>
          <t>2847.5</t>
        </is>
      </c>
      <c r="J2206" t="inlineStr">
        <is>
          <t>world_bank_col_estimate</t>
        </is>
      </c>
      <c r="K2206" t="inlineStr">
        <is>
          <t>https://api.worldbank.org/v2/country/URY/indicator/NY.GNP.PCAP.PP.CD?format=json&amp;mrv=10</t>
        </is>
      </c>
      <c r="L2206" t="inlineStr">
        <is>
          <t>World Bank WDI: GNI per capita PPP (monthly USD)</t>
        </is>
      </c>
      <c r="M2206" t="inlineStr">
        <is>
          <t>2024-12-31</t>
        </is>
      </c>
      <c r="N2206" t="inlineStr">
        <is>
          <t>auto_ingest=world_bank_col_estimate; gni_annual=34170.0; year=2024; country_proxy=Uruguay; cohort=Latin America</t>
        </is>
      </c>
    </row>
    <row r="2207">
      <c r="A2207" t="inlineStr">
        <is>
          <t>uy-montevideo</t>
        </is>
      </c>
      <c r="B2207" t="inlineStr">
        <is>
          <t>Montevideo</t>
        </is>
      </c>
      <c r="C2207" t="inlineStr">
        <is>
          <t>Uruguay</t>
        </is>
      </c>
      <c r="D2207" t="inlineStr">
        <is>
          <t>Latin America</t>
        </is>
      </c>
      <c r="E2207" t="inlineStr">
        <is>
          <t>di_ppp_raw</t>
        </is>
      </c>
      <c r="F2207" t="inlineStr">
        <is>
          <t>Disposable income PPP (Raw)</t>
        </is>
      </c>
      <c r="G2207" t="inlineStr">
        <is>
          <t>pressure</t>
        </is>
      </c>
      <c r="H2207" t="inlineStr">
        <is>
          <t>yes</t>
        </is>
      </c>
      <c r="I2207" t="inlineStr"/>
      <c r="J2207" t="inlineStr"/>
      <c r="K2207" t="inlineStr"/>
      <c r="L2207" t="inlineStr"/>
      <c r="M2207" t="inlineStr"/>
      <c r="N2207" t="inlineStr"/>
    </row>
    <row r="2208">
      <c r="A2208" t="inlineStr">
        <is>
          <t>uy-montevideo</t>
        </is>
      </c>
      <c r="B2208" t="inlineStr">
        <is>
          <t>Montevideo</t>
        </is>
      </c>
      <c r="C2208" t="inlineStr">
        <is>
          <t>Uruguay</t>
        </is>
      </c>
      <c r="D2208" t="inlineStr">
        <is>
          <t>Latin America</t>
        </is>
      </c>
      <c r="E2208" t="inlineStr">
        <is>
          <t>rent</t>
        </is>
      </c>
      <c r="F2208" t="inlineStr">
        <is>
          <t>Rent</t>
        </is>
      </c>
      <c r="G2208" t="inlineStr">
        <is>
          <t>pressure</t>
        </is>
      </c>
      <c r="H2208" t="inlineStr">
        <is>
          <t>yes</t>
        </is>
      </c>
      <c r="I2208" t="inlineStr">
        <is>
          <t>640.69</t>
        </is>
      </c>
      <c r="J2208" t="inlineStr">
        <is>
          <t>world_bank_col_estimate</t>
        </is>
      </c>
      <c r="K2208" t="inlineStr">
        <is>
          <t>https://api.worldbank.org/v2/country/URY/indicator/NY.GNP.PCAP.PP.CD?format=json&amp;mrv=10</t>
        </is>
      </c>
      <c r="L2208" t="inlineStr">
        <is>
          <t>World Bank GNI + regional expenditure ratio estimate</t>
        </is>
      </c>
      <c r="M2208" t="inlineStr">
        <is>
          <t>2024-12-31</t>
        </is>
      </c>
      <c r="N2208" t="inlineStr">
        <is>
          <t>auto_ingest=world_bank_col_estimate; gni_annual=34170.0; year=2024; country_proxy=Uruguay; cohort=Latin America; city_cost_mult=0.9</t>
        </is>
      </c>
    </row>
    <row r="2209">
      <c r="A2209" t="inlineStr">
        <is>
          <t>uy-montevideo</t>
        </is>
      </c>
      <c r="B2209" t="inlineStr">
        <is>
          <t>Montevideo</t>
        </is>
      </c>
      <c r="C2209" t="inlineStr">
        <is>
          <t>Uruguay</t>
        </is>
      </c>
      <c r="D2209" t="inlineStr">
        <is>
          <t>Latin America</t>
        </is>
      </c>
      <c r="E2209" t="inlineStr">
        <is>
          <t>utilities</t>
        </is>
      </c>
      <c r="F2209" t="inlineStr">
        <is>
          <t>Utilities</t>
        </is>
      </c>
      <c r="G2209" t="inlineStr">
        <is>
          <t>pressure</t>
        </is>
      </c>
      <c r="H2209" t="inlineStr">
        <is>
          <t>yes</t>
        </is>
      </c>
      <c r="I2209" t="inlineStr">
        <is>
          <t>153.76</t>
        </is>
      </c>
      <c r="J2209" t="inlineStr">
        <is>
          <t>world_bank_col_estimate</t>
        </is>
      </c>
      <c r="K2209" t="inlineStr">
        <is>
          <t>https://api.worldbank.org/v2/country/URY/indicator/NY.GNP.PCAP.PP.CD?format=json&amp;mrv=10</t>
        </is>
      </c>
      <c r="L2209" t="inlineStr">
        <is>
          <t>World Bank GNI + regional expenditure ratio estimate</t>
        </is>
      </c>
      <c r="M2209" t="inlineStr">
        <is>
          <t>2024-12-31</t>
        </is>
      </c>
      <c r="N2209" t="inlineStr">
        <is>
          <t>auto_ingest=world_bank_col_estimate; gni_annual=34170.0; year=2024; country_proxy=Uruguay; cohort=Latin America; city_cost_mult=0.9</t>
        </is>
      </c>
    </row>
    <row r="2210">
      <c r="A2210" t="inlineStr">
        <is>
          <t>uy-montevideo</t>
        </is>
      </c>
      <c r="B2210" t="inlineStr">
        <is>
          <t>Montevideo</t>
        </is>
      </c>
      <c r="C2210" t="inlineStr">
        <is>
          <t>Uruguay</t>
        </is>
      </c>
      <c r="D2210" t="inlineStr">
        <is>
          <t>Latin America</t>
        </is>
      </c>
      <c r="E2210" t="inlineStr">
        <is>
          <t>transit_cost</t>
        </is>
      </c>
      <c r="F2210" t="inlineStr">
        <is>
          <t>Transit cost</t>
        </is>
      </c>
      <c r="G2210" t="inlineStr">
        <is>
          <t>pressure</t>
        </is>
      </c>
      <c r="H2210" t="inlineStr">
        <is>
          <t>yes</t>
        </is>
      </c>
      <c r="I2210" t="inlineStr">
        <is>
          <t>102.51</t>
        </is>
      </c>
      <c r="J2210" t="inlineStr">
        <is>
          <t>world_bank_col_estimate</t>
        </is>
      </c>
      <c r="K2210" t="inlineStr">
        <is>
          <t>https://api.worldbank.org/v2/country/URY/indicator/NY.GNP.PCAP.PP.CD?format=json&amp;mrv=10</t>
        </is>
      </c>
      <c r="L2210" t="inlineStr">
        <is>
          <t>World Bank GNI + regional expenditure ratio estimate</t>
        </is>
      </c>
      <c r="M2210" t="inlineStr">
        <is>
          <t>2024-12-31</t>
        </is>
      </c>
      <c r="N2210" t="inlineStr">
        <is>
          <t>auto_ingest=world_bank_col_estimate; gni_annual=34170.0; year=2024; country_proxy=Uruguay; cohort=Latin America; city_cost_mult=0.9</t>
        </is>
      </c>
    </row>
    <row r="2211">
      <c r="A2211" t="inlineStr">
        <is>
          <t>uy-montevideo</t>
        </is>
      </c>
      <c r="B2211" t="inlineStr">
        <is>
          <t>Montevideo</t>
        </is>
      </c>
      <c r="C2211" t="inlineStr">
        <is>
          <t>Uruguay</t>
        </is>
      </c>
      <c r="D2211" t="inlineStr">
        <is>
          <t>Latin America</t>
        </is>
      </c>
      <c r="E2211" t="inlineStr">
        <is>
          <t>internet_cost</t>
        </is>
      </c>
      <c r="F2211" t="inlineStr">
        <is>
          <t>Internet cost</t>
        </is>
      </c>
      <c r="G2211" t="inlineStr">
        <is>
          <t>pressure</t>
        </is>
      </c>
      <c r="H2211" t="inlineStr">
        <is>
          <t>yes</t>
        </is>
      </c>
      <c r="I2211" t="inlineStr">
        <is>
          <t>38.44</t>
        </is>
      </c>
      <c r="J2211" t="inlineStr">
        <is>
          <t>world_bank_col_estimate</t>
        </is>
      </c>
      <c r="K2211" t="inlineStr">
        <is>
          <t>https://api.worldbank.org/v2/country/URY/indicator/NY.GNP.PCAP.PP.CD?format=json&amp;mrv=10</t>
        </is>
      </c>
      <c r="L2211" t="inlineStr">
        <is>
          <t>World Bank GNI + regional expenditure ratio estimate</t>
        </is>
      </c>
      <c r="M2211" t="inlineStr">
        <is>
          <t>2024-12-31</t>
        </is>
      </c>
      <c r="N2211" t="inlineStr">
        <is>
          <t>auto_ingest=world_bank_col_estimate; gni_annual=34170.0; year=2024; country_proxy=Uruguay; cohort=Latin America; city_cost_mult=0.9</t>
        </is>
      </c>
    </row>
    <row r="2212">
      <c r="A2212" t="inlineStr">
        <is>
          <t>uy-montevideo</t>
        </is>
      </c>
      <c r="B2212" t="inlineStr">
        <is>
          <t>Montevideo</t>
        </is>
      </c>
      <c r="C2212" t="inlineStr">
        <is>
          <t>Uruguay</t>
        </is>
      </c>
      <c r="D2212" t="inlineStr">
        <is>
          <t>Latin America</t>
        </is>
      </c>
      <c r="E2212" t="inlineStr">
        <is>
          <t>food_cost</t>
        </is>
      </c>
      <c r="F2212" t="inlineStr">
        <is>
          <t>Food cost</t>
        </is>
      </c>
      <c r="G2212" t="inlineStr">
        <is>
          <t>pressure</t>
        </is>
      </c>
      <c r="H2212" t="inlineStr">
        <is>
          <t>yes</t>
        </is>
      </c>
      <c r="I2212" t="inlineStr">
        <is>
          <t>563.81</t>
        </is>
      </c>
      <c r="J2212" t="inlineStr">
        <is>
          <t>world_bank_col_estimate</t>
        </is>
      </c>
      <c r="K2212" t="inlineStr">
        <is>
          <t>https://api.worldbank.org/v2/country/URY/indicator/NY.GNP.PCAP.PP.CD?format=json&amp;mrv=10</t>
        </is>
      </c>
      <c r="L2212" t="inlineStr">
        <is>
          <t>World Bank GNI + regional expenditure ratio estimate</t>
        </is>
      </c>
      <c r="M2212" t="inlineStr">
        <is>
          <t>2024-12-31</t>
        </is>
      </c>
      <c r="N2212" t="inlineStr">
        <is>
          <t>auto_ingest=world_bank_col_estimate; gni_annual=34170.0; year=2024; country_proxy=Uruguay; cohort=Latin America; city_cost_mult=0.9</t>
        </is>
      </c>
    </row>
    <row r="2213">
      <c r="A2213" t="inlineStr">
        <is>
          <t>uy-montevideo</t>
        </is>
      </c>
      <c r="B2213" t="inlineStr">
        <is>
          <t>Montevideo</t>
        </is>
      </c>
      <c r="C2213" t="inlineStr">
        <is>
          <t>Uruguay</t>
        </is>
      </c>
      <c r="D2213" t="inlineStr">
        <is>
          <t>Latin America</t>
        </is>
      </c>
      <c r="E2213" t="inlineStr">
        <is>
          <t>housing_burden_raw</t>
        </is>
      </c>
      <c r="F2213" t="inlineStr">
        <is>
          <t>Housing burden raw</t>
        </is>
      </c>
      <c r="G2213" t="inlineStr">
        <is>
          <t>pressure</t>
        </is>
      </c>
      <c r="H2213" t="inlineStr">
        <is>
          <t>yes</t>
        </is>
      </c>
      <c r="I2213" t="inlineStr">
        <is>
          <t>22.5001</t>
        </is>
      </c>
      <c r="J2213" t="inlineStr">
        <is>
          <t>derived</t>
        </is>
      </c>
      <c r="K2213" t="inlineStr">
        <is>
          <t>https://data.worldbank.org/indicator/NY.GNP.PCAP.PP.CD</t>
        </is>
      </c>
      <c r="L2213" t="inlineStr">
        <is>
          <t>Computed from city_inputs + country_context</t>
        </is>
      </c>
      <c r="M2213" t="inlineStr">
        <is>
          <t>2024-01-01</t>
        </is>
      </c>
      <c r="N2213" t="inlineStr">
        <is>
          <t>derived=rent/gross_income*100</t>
        </is>
      </c>
    </row>
    <row r="2214">
      <c r="A2214" t="inlineStr">
        <is>
          <t>uy-montevideo</t>
        </is>
      </c>
      <c r="B2214" t="inlineStr">
        <is>
          <t>Montevideo</t>
        </is>
      </c>
      <c r="C2214" t="inlineStr">
        <is>
          <t>Uruguay</t>
        </is>
      </c>
      <c r="D2214" t="inlineStr">
        <is>
          <t>Latin America</t>
        </is>
      </c>
      <c r="E2214" t="inlineStr">
        <is>
          <t>household_debt_burden_raw</t>
        </is>
      </c>
      <c r="F2214" t="inlineStr">
        <is>
          <t>Household debt burden raw</t>
        </is>
      </c>
      <c r="G2214" t="inlineStr">
        <is>
          <t>pressure</t>
        </is>
      </c>
      <c r="H2214" t="inlineStr">
        <is>
          <t>yes</t>
        </is>
      </c>
      <c r="I2214" t="inlineStr">
        <is>
          <t>31.0608</t>
        </is>
      </c>
      <c r="J2214" t="inlineStr">
        <is>
          <t>derived</t>
        </is>
      </c>
      <c r="K2214" t="inlineStr">
        <is>
          <t>https://data.worldbank.org/indicator/NY.GNP.PCAP.PP.CD</t>
        </is>
      </c>
      <c r="L2214" t="inlineStr">
        <is>
          <t>Computed from city_inputs + country_context</t>
        </is>
      </c>
      <c r="M2214" t="inlineStr">
        <is>
          <t>2024-01-01</t>
        </is>
      </c>
      <c r="N2214" t="inlineStr">
        <is>
          <t>derived=country_context.household_debt_proxy; country=Uruguay</t>
        </is>
      </c>
    </row>
    <row r="2215">
      <c r="A2215" t="inlineStr">
        <is>
          <t>uy-montevideo</t>
        </is>
      </c>
      <c r="B2215" t="inlineStr">
        <is>
          <t>Montevideo</t>
        </is>
      </c>
      <c r="C2215" t="inlineStr">
        <is>
          <t>Uruguay</t>
        </is>
      </c>
      <c r="D2215" t="inlineStr">
        <is>
          <t>Latin America</t>
        </is>
      </c>
      <c r="E2215" t="inlineStr">
        <is>
          <t>working_time_pressure_raw</t>
        </is>
      </c>
      <c r="F2215" t="inlineStr">
        <is>
          <t>Working time pressure raw</t>
        </is>
      </c>
      <c r="G2215" t="inlineStr">
        <is>
          <t>pressure</t>
        </is>
      </c>
      <c r="H2215" t="inlineStr">
        <is>
          <t>yes</t>
        </is>
      </c>
      <c r="I2215" t="inlineStr">
        <is>
          <t>36.84</t>
        </is>
      </c>
      <c r="J2215" t="inlineStr">
        <is>
          <t>ilo_ilostat</t>
        </is>
      </c>
      <c r="K2215" t="inlineStr">
        <is>
          <t>https://ilostat.ilo.org/data/indicator/?id=HOW_TEMP_SEX_ECO_NB_A&amp;ref_area=URY</t>
        </is>
      </c>
      <c r="L2215" t="inlineStr">
        <is>
          <t>ILO ILOSTAT: Mean weekly hours actually worked per employed person</t>
        </is>
      </c>
      <c r="M2215" t="inlineStr">
        <is>
          <t>2024-12-31</t>
        </is>
      </c>
      <c r="N2215" t="inlineStr">
        <is>
          <t>auto_ingest=ilo_working_hours; indicator=HOW_TEMP_SEX_ECO_NB_A; year=2024; hours=36.84; country_proxy=Uruguay</t>
        </is>
      </c>
    </row>
    <row r="2216">
      <c r="A2216" t="inlineStr">
        <is>
          <t>uy-montevideo</t>
        </is>
      </c>
      <c r="B2216" t="inlineStr">
        <is>
          <t>Montevideo</t>
        </is>
      </c>
      <c r="C2216" t="inlineStr">
        <is>
          <t>Uruguay</t>
        </is>
      </c>
      <c r="D2216" t="inlineStr">
        <is>
          <t>Latin America</t>
        </is>
      </c>
      <c r="E2216" t="inlineStr">
        <is>
          <t>suicide_mental_strain_raw</t>
        </is>
      </c>
      <c r="F2216" t="inlineStr">
        <is>
          <t>Suicide or mental strain raw</t>
        </is>
      </c>
      <c r="G2216" t="inlineStr">
        <is>
          <t>pressure</t>
        </is>
      </c>
      <c r="H2216" t="inlineStr">
        <is>
          <t>yes</t>
        </is>
      </c>
      <c r="I2216" t="inlineStr">
        <is>
          <t>24.75</t>
        </is>
      </c>
      <c r="J2216" t="inlineStr">
        <is>
          <t>who_gho</t>
        </is>
      </c>
      <c r="K2216" t="inlineStr">
        <is>
          <t>https://www.who.int/data/gho/data/indicators/indicator-details/GHO/SDGSUICIDE</t>
        </is>
      </c>
      <c r="L2216" t="inlineStr">
        <is>
          <t>WHO GHO: Age-standardized suicide rate (per 100,000 population)</t>
        </is>
      </c>
      <c r="M2216" t="inlineStr">
        <is>
          <t>2021-12-31</t>
        </is>
      </c>
      <c r="N2216" t="inlineStr">
        <is>
          <t>auto_ingest=who_gho; indicator=SDGSUICIDE; year=2021; country_proxy=Uruguay</t>
        </is>
      </c>
    </row>
    <row r="2217">
      <c r="A2217" t="inlineStr">
        <is>
          <t>uy-montevideo</t>
        </is>
      </c>
      <c r="B2217" t="inlineStr">
        <is>
          <t>Montevideo</t>
        </is>
      </c>
      <c r="C2217" t="inlineStr">
        <is>
          <t>Uruguay</t>
        </is>
      </c>
      <c r="D2217" t="inlineStr">
        <is>
          <t>Latin America</t>
        </is>
      </c>
      <c r="E2217" t="inlineStr">
        <is>
          <t>personal_safety_raw</t>
        </is>
      </c>
      <c r="F2217" t="inlineStr">
        <is>
          <t>Personal safety raw</t>
        </is>
      </c>
      <c r="G2217" t="inlineStr">
        <is>
          <t>viability</t>
        </is>
      </c>
      <c r="H2217" t="inlineStr">
        <is>
          <t>yes</t>
        </is>
      </c>
      <c r="I2217" t="inlineStr">
        <is>
          <t>11.25</t>
        </is>
      </c>
      <c r="J2217" t="inlineStr">
        <is>
          <t>world_bank</t>
        </is>
      </c>
      <c r="K2217" t="inlineStr">
        <is>
          <t>https://api.worldbank.org/v2/country/URY/indicator/VC.IHR.PSRC.P5?format=json&amp;mrv=10</t>
        </is>
      </c>
      <c r="L2217" t="inlineStr">
        <is>
          <t>UNODC via World Bank WDI: Intentional homicides (per 100,000 people)</t>
        </is>
      </c>
      <c r="M2217" t="inlineStr">
        <is>
          <t>2023-12-31</t>
        </is>
      </c>
      <c r="N2217" t="inlineStr">
        <is>
          <t>auto_ingest=unodc_safety; indicator=VC.IHR.PSRC.P5; year=2023; country_proxy=Uruguay</t>
        </is>
      </c>
    </row>
    <row r="2218">
      <c r="A2218" t="inlineStr">
        <is>
          <t>uy-montevideo</t>
        </is>
      </c>
      <c r="B2218" t="inlineStr">
        <is>
          <t>Montevideo</t>
        </is>
      </c>
      <c r="C2218" t="inlineStr">
        <is>
          <t>Uruguay</t>
        </is>
      </c>
      <c r="D2218" t="inlineStr">
        <is>
          <t>Latin America</t>
        </is>
      </c>
      <c r="E2218" t="inlineStr">
        <is>
          <t>transit_access_commute_raw</t>
        </is>
      </c>
      <c r="F2218" t="inlineStr">
        <is>
          <t>Transit access and commute raw</t>
        </is>
      </c>
      <c r="G2218" t="inlineStr">
        <is>
          <t>viability</t>
        </is>
      </c>
      <c r="H2218" t="inlineStr">
        <is>
          <t>yes</t>
        </is>
      </c>
      <c r="I2218" t="inlineStr"/>
      <c r="J2218" t="inlineStr"/>
      <c r="K2218" t="inlineStr"/>
      <c r="L2218" t="inlineStr"/>
      <c r="M2218" t="inlineStr"/>
      <c r="N2218" t="inlineStr"/>
    </row>
    <row r="2219">
      <c r="A2219" t="inlineStr">
        <is>
          <t>uy-montevideo</t>
        </is>
      </c>
      <c r="B2219" t="inlineStr">
        <is>
          <t>Montevideo</t>
        </is>
      </c>
      <c r="C2219" t="inlineStr">
        <is>
          <t>Uruguay</t>
        </is>
      </c>
      <c r="D2219" t="inlineStr">
        <is>
          <t>Latin America</t>
        </is>
      </c>
      <c r="E2219" t="inlineStr">
        <is>
          <t>clean_air_raw</t>
        </is>
      </c>
      <c r="F2219" t="inlineStr">
        <is>
          <t>Clean air raw</t>
        </is>
      </c>
      <c r="G2219" t="inlineStr">
        <is>
          <t>viability</t>
        </is>
      </c>
      <c r="H2219" t="inlineStr">
        <is>
          <t>yes</t>
        </is>
      </c>
      <c r="I2219" t="inlineStr"/>
      <c r="J2219" t="inlineStr"/>
      <c r="K2219" t="inlineStr"/>
      <c r="L2219" t="inlineStr"/>
      <c r="M2219" t="inlineStr"/>
      <c r="N2219" t="inlineStr"/>
    </row>
    <row r="2220">
      <c r="A2220" t="inlineStr">
        <is>
          <t>uy-montevideo</t>
        </is>
      </c>
      <c r="B2220" t="inlineStr">
        <is>
          <t>Montevideo</t>
        </is>
      </c>
      <c r="C2220" t="inlineStr">
        <is>
          <t>Uruguay</t>
        </is>
      </c>
      <c r="D2220" t="inlineStr">
        <is>
          <t>Latin America</t>
        </is>
      </c>
      <c r="E2220" t="inlineStr">
        <is>
          <t>water_sanitation_utility_raw</t>
        </is>
      </c>
      <c r="F2220" t="inlineStr">
        <is>
          <t>Water, sanitation, and utility raw</t>
        </is>
      </c>
      <c r="G2220" t="inlineStr">
        <is>
          <t>viability</t>
        </is>
      </c>
      <c r="H2220" t="inlineStr">
        <is>
          <t>yes</t>
        </is>
      </c>
      <c r="I2220" t="inlineStr"/>
      <c r="J2220" t="inlineStr"/>
      <c r="K2220" t="inlineStr"/>
      <c r="L2220" t="inlineStr"/>
      <c r="M2220" t="inlineStr"/>
      <c r="N2220" t="inlineStr"/>
    </row>
    <row r="2221">
      <c r="A2221" t="inlineStr">
        <is>
          <t>uy-montevideo</t>
        </is>
      </c>
      <c r="B2221" t="inlineStr">
        <is>
          <t>Montevideo</t>
        </is>
      </c>
      <c r="C2221" t="inlineStr">
        <is>
          <t>Uruguay</t>
        </is>
      </c>
      <c r="D2221" t="inlineStr">
        <is>
          <t>Latin America</t>
        </is>
      </c>
      <c r="E2221" t="inlineStr">
        <is>
          <t>digital_infrastructure_raw</t>
        </is>
      </c>
      <c r="F2221" t="inlineStr">
        <is>
          <t>Digital infrastructure raw</t>
        </is>
      </c>
      <c r="G2221" t="inlineStr">
        <is>
          <t>viability</t>
        </is>
      </c>
      <c r="H2221" t="inlineStr">
        <is>
          <t>yes</t>
        </is>
      </c>
      <c r="I2221" t="inlineStr">
        <is>
          <t>32.4</t>
        </is>
      </c>
      <c r="J2221" t="inlineStr">
        <is>
          <t>world_bank</t>
        </is>
      </c>
      <c r="K2221" t="inlineStr">
        <is>
          <t>https://api.worldbank.org/v2/country/URY/indicator/IT.NET.BBND.P2?format=json&amp;mrv=10</t>
        </is>
      </c>
      <c r="L2221" t="inlineStr">
        <is>
          <t>World Bank WDI: Fixed broadband subscriptions (per 100 people)</t>
        </is>
      </c>
      <c r="M2221" t="inlineStr">
        <is>
          <t>2023-12-31</t>
        </is>
      </c>
      <c r="N2221" t="inlineStr">
        <is>
          <t>auto_ingest=world_bank_proxy; indicator=IT.NET.BBND.P2; year=2023; country_proxy=Uruguay</t>
        </is>
      </c>
    </row>
    <row r="2222">
      <c r="A2222" t="inlineStr">
        <is>
          <t>uy-montevideo</t>
        </is>
      </c>
      <c r="B2222" t="inlineStr">
        <is>
          <t>Montevideo</t>
        </is>
      </c>
      <c r="C2222" t="inlineStr">
        <is>
          <t>Uruguay</t>
        </is>
      </c>
      <c r="D2222" t="inlineStr">
        <is>
          <t>Latin America</t>
        </is>
      </c>
      <c r="E2222" t="inlineStr">
        <is>
          <t>climate_sunlight_livability_raw</t>
        </is>
      </c>
      <c r="F2222" t="inlineStr">
        <is>
          <t>Climate and sunlight livability raw</t>
        </is>
      </c>
      <c r="G2222" t="inlineStr">
        <is>
          <t>viability</t>
        </is>
      </c>
      <c r="H2222" t="inlineStr">
        <is>
          <t>yes</t>
        </is>
      </c>
      <c r="I2222" t="inlineStr">
        <is>
          <t>58</t>
        </is>
      </c>
      <c r="J2222" t="inlineStr">
        <is>
          <t>wmo_natl_met</t>
        </is>
      </c>
      <c r="K2222" t="inlineStr">
        <is>
          <t>https://worldweather.wmo.int</t>
        </is>
      </c>
      <c r="L2222" t="inlineStr">
        <is>
          <t>WMO/National Met: Climate livability composite</t>
        </is>
      </c>
      <c r="M2222" t="inlineStr">
        <is>
          <t>2024-12-31</t>
        </is>
      </c>
      <c r="N2222" t="inlineStr">
        <is>
          <t>auto_seed=climate_composite; 2300 sun hrs, 17C mean</t>
        </is>
      </c>
    </row>
    <row r="2223">
      <c r="A2223" t="inlineStr">
        <is>
          <t>uy-montevideo</t>
        </is>
      </c>
      <c r="B2223" t="inlineStr">
        <is>
          <t>Montevideo</t>
        </is>
      </c>
      <c r="C2223" t="inlineStr">
        <is>
          <t>Uruguay</t>
        </is>
      </c>
      <c r="D2223" t="inlineStr">
        <is>
          <t>Latin America</t>
        </is>
      </c>
      <c r="E2223" t="inlineStr">
        <is>
          <t>healthcare_quality_raw</t>
        </is>
      </c>
      <c r="F2223" t="inlineStr">
        <is>
          <t>Healthcare quality raw</t>
        </is>
      </c>
      <c r="G2223" t="inlineStr">
        <is>
          <t>capability</t>
        </is>
      </c>
      <c r="H2223" t="inlineStr">
        <is>
          <t>yes</t>
        </is>
      </c>
      <c r="I2223" t="inlineStr">
        <is>
          <t>85.0</t>
        </is>
      </c>
      <c r="J2223" t="inlineStr">
        <is>
          <t>who_gho</t>
        </is>
      </c>
      <c r="K2223" t="inlineStr">
        <is>
          <t>https://www.who.int/data/gho/data/indicators/indicator-details/GHO/UHC_INDEX_REPORTED</t>
        </is>
      </c>
      <c r="L2223" t="inlineStr">
        <is>
          <t>WHO GHO: UHC Service Coverage Index</t>
        </is>
      </c>
      <c r="M2223" t="inlineStr">
        <is>
          <t>2023-12-31</t>
        </is>
      </c>
      <c r="N2223" t="inlineStr">
        <is>
          <t>auto_ingest=who_gho; indicator=UHC_INDEX_REPORTED; year=2023; country_proxy=Uruguay</t>
        </is>
      </c>
    </row>
    <row r="2224">
      <c r="A2224" t="inlineStr">
        <is>
          <t>uy-montevideo</t>
        </is>
      </c>
      <c r="B2224" t="inlineStr">
        <is>
          <t>Montevideo</t>
        </is>
      </c>
      <c r="C2224" t="inlineStr">
        <is>
          <t>Uruguay</t>
        </is>
      </c>
      <c r="D2224" t="inlineStr">
        <is>
          <t>Latin America</t>
        </is>
      </c>
      <c r="E2224" t="inlineStr">
        <is>
          <t>education_quality_raw</t>
        </is>
      </c>
      <c r="F2224" t="inlineStr">
        <is>
          <t>Education quality raw</t>
        </is>
      </c>
      <c r="G2224" t="inlineStr">
        <is>
          <t>capability</t>
        </is>
      </c>
      <c r="H2224" t="inlineStr">
        <is>
          <t>yes</t>
        </is>
      </c>
      <c r="I2224" t="inlineStr">
        <is>
          <t>79.95</t>
        </is>
      </c>
      <c r="J2224" t="inlineStr">
        <is>
          <t>world_bank</t>
        </is>
      </c>
      <c r="K2224" t="inlineStr">
        <is>
          <t>https://api.worldbank.org/v2/country/URY/indicator/SE.TER.ENRR?format=json&amp;mrv=10</t>
        </is>
      </c>
      <c r="L2224" t="inlineStr">
        <is>
          <t>World Bank WDI: School enrollment, tertiary (% gross)</t>
        </is>
      </c>
      <c r="M2224" t="inlineStr">
        <is>
          <t>2023-12-31</t>
        </is>
      </c>
      <c r="N2224" t="inlineStr">
        <is>
          <t>auto_ingest=world_bank_proxy; indicator=SE.TER.ENRR; year=2023; country_proxy=Uruguay</t>
        </is>
      </c>
    </row>
    <row r="2225">
      <c r="A2225" t="inlineStr">
        <is>
          <t>uy-montevideo</t>
        </is>
      </c>
      <c r="B2225" t="inlineStr">
        <is>
          <t>Montevideo</t>
        </is>
      </c>
      <c r="C2225" t="inlineStr">
        <is>
          <t>Uruguay</t>
        </is>
      </c>
      <c r="D2225" t="inlineStr">
        <is>
          <t>Latin America</t>
        </is>
      </c>
      <c r="E2225" t="inlineStr">
        <is>
          <t>equal_opportunity_raw</t>
        </is>
      </c>
      <c r="F2225" t="inlineStr">
        <is>
          <t>Equal opportunity raw</t>
        </is>
      </c>
      <c r="G2225" t="inlineStr">
        <is>
          <t>capability</t>
        </is>
      </c>
      <c r="H2225" t="inlineStr">
        <is>
          <t>yes</t>
        </is>
      </c>
      <c r="I2225" t="inlineStr">
        <is>
          <t>40.0</t>
        </is>
      </c>
      <c r="J2225" t="inlineStr">
        <is>
          <t>world_bank</t>
        </is>
      </c>
      <c r="K2225" t="inlineStr">
        <is>
          <t>https://api.worldbank.org/v2/country/URY/indicator/SI.POV.GINI?format=json&amp;mrv=10</t>
        </is>
      </c>
      <c r="L2225" t="inlineStr">
        <is>
          <t>World Bank WDI: Gini index</t>
        </is>
      </c>
      <c r="M2225" t="inlineStr">
        <is>
          <t>2024-12-31</t>
        </is>
      </c>
      <c r="N2225" t="inlineStr">
        <is>
          <t>auto_ingest=world_bank_capability; indicator=SI.POV.GINI; year=2024; country_proxy=Uruguay</t>
        </is>
      </c>
    </row>
    <row r="2226">
      <c r="A2226" t="inlineStr">
        <is>
          <t>uy-montevideo</t>
        </is>
      </c>
      <c r="B2226" t="inlineStr">
        <is>
          <t>Montevideo</t>
        </is>
      </c>
      <c r="C2226" t="inlineStr">
        <is>
          <t>Uruguay</t>
        </is>
      </c>
      <c r="D2226" t="inlineStr">
        <is>
          <t>Latin America</t>
        </is>
      </c>
      <c r="E2226" t="inlineStr">
        <is>
          <t>hospitality_belonging_raw</t>
        </is>
      </c>
      <c r="F2226" t="inlineStr">
        <is>
          <t>Hospitality and belonging raw</t>
        </is>
      </c>
      <c r="G2226" t="inlineStr">
        <is>
          <t>community</t>
        </is>
      </c>
      <c r="H2226" t="inlineStr">
        <is>
          <t>yes</t>
        </is>
      </c>
      <c r="I2226" t="inlineStr">
        <is>
          <t>49.6</t>
        </is>
      </c>
      <c r="J2226" t="inlineStr">
        <is>
          <t>world_bank</t>
        </is>
      </c>
      <c r="K2226" t="inlineStr">
        <is>
          <t>https://api.worldbank.org/v2/country/URY/indicator/SM.POP.NETM?format=json&amp;mrv=10</t>
        </is>
      </c>
      <c r="L2226" t="inlineStr">
        <is>
          <t>World Bank WDI: Net migration (proxy for hospitality/belonging — positive = welcoming)</t>
        </is>
      </c>
      <c r="M2226" t="inlineStr">
        <is>
          <t>2025-12-31</t>
        </is>
      </c>
      <c r="N2226" t="inlineStr">
        <is>
          <t>auto_ingest=world_bank_proxy; proxy=net_migration_hospitality; indicator=SM.POP.NETM; year=2025; country_proxy=Uruguay</t>
        </is>
      </c>
    </row>
    <row r="2227">
      <c r="A2227" t="inlineStr">
        <is>
          <t>uy-montevideo</t>
        </is>
      </c>
      <c r="B2227" t="inlineStr">
        <is>
          <t>Montevideo</t>
        </is>
      </c>
      <c r="C2227" t="inlineStr">
        <is>
          <t>Uruguay</t>
        </is>
      </c>
      <c r="D2227" t="inlineStr">
        <is>
          <t>Latin America</t>
        </is>
      </c>
      <c r="E2227" t="inlineStr">
        <is>
          <t>tolerance_pluralism_raw</t>
        </is>
      </c>
      <c r="F2227" t="inlineStr">
        <is>
          <t>Tolerance and pluralism raw</t>
        </is>
      </c>
      <c r="G2227" t="inlineStr">
        <is>
          <t>community</t>
        </is>
      </c>
      <c r="H2227" t="inlineStr">
        <is>
          <t>yes</t>
        </is>
      </c>
      <c r="I2227" t="inlineStr">
        <is>
          <t>28.28</t>
        </is>
      </c>
      <c r="J2227" t="inlineStr">
        <is>
          <t>world_bank</t>
        </is>
      </c>
      <c r="K2227" t="inlineStr">
        <is>
          <t>https://api.worldbank.org/v2/country/URY/indicator/SG.GEN.PARL.ZS?format=json&amp;mrv=10</t>
        </is>
      </c>
      <c r="L2227" t="inlineStr">
        <is>
          <t>World Bank WDI: Proportion of seats held by women in national parliaments (%)</t>
        </is>
      </c>
      <c r="M2227" t="inlineStr">
        <is>
          <t>2024-12-31</t>
        </is>
      </c>
      <c r="N2227" t="inlineStr">
        <is>
          <t>auto_ingest=world_bank_proxy; proxy=gender_parity_parliament; indicator=SG.GEN.PARL.ZS; year=2024; country_proxy=Uruguay</t>
        </is>
      </c>
    </row>
    <row r="2228">
      <c r="A2228" t="inlineStr">
        <is>
          <t>uy-montevideo</t>
        </is>
      </c>
      <c r="B2228" t="inlineStr">
        <is>
          <t>Montevideo</t>
        </is>
      </c>
      <c r="C2228" t="inlineStr">
        <is>
          <t>Uruguay</t>
        </is>
      </c>
      <c r="D2228" t="inlineStr">
        <is>
          <t>Latin America</t>
        </is>
      </c>
      <c r="E2228" t="inlineStr">
        <is>
          <t>cultural_public_life_raw</t>
        </is>
      </c>
      <c r="F2228" t="inlineStr">
        <is>
          <t>Cultural public life raw</t>
        </is>
      </c>
      <c r="G2228" t="inlineStr">
        <is>
          <t>community</t>
        </is>
      </c>
      <c r="H2228" t="inlineStr">
        <is>
          <t>yes</t>
        </is>
      </c>
      <c r="I2228" t="inlineStr">
        <is>
          <t>1027.58</t>
        </is>
      </c>
      <c r="J2228" t="inlineStr">
        <is>
          <t>world_bank</t>
        </is>
      </c>
      <c r="K2228" t="inlineStr">
        <is>
          <t>https://api.worldbank.org/v2/country/URY/indicator/ST.INT.ARVL?format=json&amp;mrv=10</t>
        </is>
      </c>
      <c r="L2228" t="inlineStr">
        <is>
          <t>World Bank WDI: International tourism arrivals per 1 000 population</t>
        </is>
      </c>
      <c r="M2228" t="inlineStr">
        <is>
          <t>2019-12-31</t>
        </is>
      </c>
      <c r="N2228" t="inlineStr">
        <is>
          <t>auto_ingest=cultural_life_proxy; indicator=ST.INT.ARVL; norm=per_1000_pop; year=2019; country_proxy=Uruguay</t>
        </is>
      </c>
    </row>
    <row r="2229">
      <c r="A2229" t="inlineStr">
        <is>
          <t>uy-montevideo</t>
        </is>
      </c>
      <c r="B2229" t="inlineStr">
        <is>
          <t>Montevideo</t>
        </is>
      </c>
      <c r="C2229" t="inlineStr">
        <is>
          <t>Uruguay</t>
        </is>
      </c>
      <c r="D2229" t="inlineStr">
        <is>
          <t>Latin America</t>
        </is>
      </c>
      <c r="E2229" t="inlineStr">
        <is>
          <t>birth_rate_optimism_raw</t>
        </is>
      </c>
      <c r="F2229" t="inlineStr">
        <is>
          <t>Birth rate and societal optimism raw</t>
        </is>
      </c>
      <c r="G2229" t="inlineStr">
        <is>
          <t>community</t>
        </is>
      </c>
      <c r="H2229" t="inlineStr">
        <is>
          <t>yes</t>
        </is>
      </c>
      <c r="I2229" t="inlineStr"/>
      <c r="J2229" t="inlineStr"/>
      <c r="K2229" t="inlineStr"/>
      <c r="L2229" t="inlineStr"/>
      <c r="M2229" t="inlineStr"/>
      <c r="N2229" t="inlineStr"/>
    </row>
    <row r="2230">
      <c r="A2230" t="inlineStr">
        <is>
          <t>uy-montevideo</t>
        </is>
      </c>
      <c r="B2230" t="inlineStr">
        <is>
          <t>Montevideo</t>
        </is>
      </c>
      <c r="C2230" t="inlineStr">
        <is>
          <t>Uruguay</t>
        </is>
      </c>
      <c r="D2230" t="inlineStr">
        <is>
          <t>Latin America</t>
        </is>
      </c>
      <c r="E2230" t="inlineStr">
        <is>
          <t>entrepreneurial_dynamism_raw</t>
        </is>
      </c>
      <c r="F2230" t="inlineStr">
        <is>
          <t>Entrepreneurial dynamism raw</t>
        </is>
      </c>
      <c r="G2230" t="inlineStr">
        <is>
          <t>creative</t>
        </is>
      </c>
      <c r="H2230" t="inlineStr">
        <is>
          <t>yes</t>
        </is>
      </c>
      <c r="I2230" t="inlineStr">
        <is>
          <t>3.13</t>
        </is>
      </c>
      <c r="J2230" t="inlineStr">
        <is>
          <t>world_bank</t>
        </is>
      </c>
      <c r="K2230" t="inlineStr">
        <is>
          <t>https://api.worldbank.org/v2/country/URY/indicator/IC.BUS.NDNS.ZS?format=json&amp;mrv=10</t>
        </is>
      </c>
      <c r="L2230" t="inlineStr">
        <is>
          <t>World Bank WDI: New business density (new registrations per 1,000 people ages 15-64)</t>
        </is>
      </c>
      <c r="M2230" t="inlineStr">
        <is>
          <t>2022-12-31</t>
        </is>
      </c>
      <c r="N2230" t="inlineStr">
        <is>
          <t>auto_ingest=world_bank_creative_extended; indicator=IC.BUS.NDNS.ZS; year=2022; country_proxy=Uruguay</t>
        </is>
      </c>
    </row>
    <row r="2231">
      <c r="A2231" t="inlineStr">
        <is>
          <t>uy-montevideo</t>
        </is>
      </c>
      <c r="B2231" t="inlineStr">
        <is>
          <t>Montevideo</t>
        </is>
      </c>
      <c r="C2231" t="inlineStr">
        <is>
          <t>Uruguay</t>
        </is>
      </c>
      <c r="D2231" t="inlineStr">
        <is>
          <t>Latin America</t>
        </is>
      </c>
      <c r="E2231" t="inlineStr">
        <is>
          <t>innovation_research_intensity_raw</t>
        </is>
      </c>
      <c r="F2231" t="inlineStr">
        <is>
          <t>Innovation and research raw</t>
        </is>
      </c>
      <c r="G2231" t="inlineStr">
        <is>
          <t>creative</t>
        </is>
      </c>
      <c r="H2231" t="inlineStr">
        <is>
          <t>yes</t>
        </is>
      </c>
      <c r="I2231" t="inlineStr">
        <is>
          <t>0.63</t>
        </is>
      </c>
      <c r="J2231" t="inlineStr">
        <is>
          <t>world_bank</t>
        </is>
      </c>
      <c r="K2231" t="inlineStr">
        <is>
          <t>https://api.worldbank.org/v2/country/URY/indicator/GB.XPD.RSDV.GD.ZS?format=json&amp;mrv=10</t>
        </is>
      </c>
      <c r="L2231" t="inlineStr">
        <is>
          <t>World Bank WDI: Research and development expenditure (% of GDP)</t>
        </is>
      </c>
      <c r="M2231" t="inlineStr">
        <is>
          <t>2022-12-31</t>
        </is>
      </c>
      <c r="N2231" t="inlineStr">
        <is>
          <t>auto_ingest=world_bank_creative_extended; indicator=GB.XPD.RSDV.GD.ZS; year=2022; country_proxy=Uruguay</t>
        </is>
      </c>
    </row>
    <row r="2232">
      <c r="A2232" t="inlineStr">
        <is>
          <t>uy-montevideo</t>
        </is>
      </c>
      <c r="B2232" t="inlineStr">
        <is>
          <t>Montevideo</t>
        </is>
      </c>
      <c r="C2232" t="inlineStr">
        <is>
          <t>Uruguay</t>
        </is>
      </c>
      <c r="D2232" t="inlineStr">
        <is>
          <t>Latin America</t>
        </is>
      </c>
      <c r="E2232" t="inlineStr">
        <is>
          <t>investment_signal_raw</t>
        </is>
      </c>
      <c r="F2232" t="inlineStr">
        <is>
          <t>Investment signal raw</t>
        </is>
      </c>
      <c r="G2232" t="inlineStr">
        <is>
          <t>creative</t>
        </is>
      </c>
      <c r="H2232" t="inlineStr">
        <is>
          <t>yes</t>
        </is>
      </c>
      <c r="I2232" t="inlineStr">
        <is>
          <t>-4.86</t>
        </is>
      </c>
      <c r="J2232" t="inlineStr">
        <is>
          <t>world_bank</t>
        </is>
      </c>
      <c r="K2232" t="inlineStr">
        <is>
          <t>https://api.worldbank.org/v2/country/URY/indicator/BX.KLT.DINV.WD.GD.ZS?format=json&amp;mrv=10</t>
        </is>
      </c>
      <c r="L2232" t="inlineStr">
        <is>
          <t>World Bank WDI: Foreign direct investment, net inflows (% of GDP)</t>
        </is>
      </c>
      <c r="M2232" t="inlineStr">
        <is>
          <t>2024-12-31</t>
        </is>
      </c>
      <c r="N2232" t="inlineStr">
        <is>
          <t>auto_ingest=world_bank_creative_extended; indicator=BX.KLT.DINV.WD.GD.ZS; year=2024; country_proxy=Uruguay</t>
        </is>
      </c>
    </row>
    <row r="2233">
      <c r="A2233" t="inlineStr">
        <is>
          <t>uy-montevideo</t>
        </is>
      </c>
      <c r="B2233" t="inlineStr">
        <is>
          <t>Montevideo</t>
        </is>
      </c>
      <c r="C2233" t="inlineStr">
        <is>
          <t>Uruguay</t>
        </is>
      </c>
      <c r="D2233" t="inlineStr">
        <is>
          <t>Latin America</t>
        </is>
      </c>
      <c r="E2233" t="inlineStr">
        <is>
          <t>administrative_investment_friction_raw</t>
        </is>
      </c>
      <c r="F2233" t="inlineStr">
        <is>
          <t>Administrative investment friction raw</t>
        </is>
      </c>
      <c r="G2233" t="inlineStr">
        <is>
          <t>creative</t>
        </is>
      </c>
      <c r="H2233" t="inlineStr">
        <is>
          <t>yes</t>
        </is>
      </c>
      <c r="I2233" t="inlineStr">
        <is>
          <t>1.82</t>
        </is>
      </c>
      <c r="J2233" t="inlineStr">
        <is>
          <t>world_bank</t>
        </is>
      </c>
      <c r="K2233" t="inlineStr">
        <is>
          <t>https://api.worldbank.org/v2/country/URY/indicator/RQ.EST?format=json&amp;mrv=10</t>
        </is>
      </c>
      <c r="L2233" t="inlineStr">
        <is>
          <t>World Bank WGI: Regulatory Quality (inverted as friction proxy)</t>
        </is>
      </c>
      <c r="M2233" t="inlineStr">
        <is>
          <t>2023-12-31</t>
        </is>
      </c>
      <c r="N2233" t="inlineStr">
        <is>
          <t>auto_ingest=world_bank_business_friction; indicator=RQ.EST; raw_rq=0.675111055374146; friction=1.82; year=2023; country_proxy=Uruguay</t>
        </is>
      </c>
    </row>
    <row r="2234">
      <c r="A2234" t="inlineStr">
        <is>
          <t>uy-montevideo</t>
        </is>
      </c>
      <c r="B2234" t="inlineStr">
        <is>
          <t>Montevideo</t>
        </is>
      </c>
      <c r="C2234" t="inlineStr">
        <is>
          <t>Uruguay</t>
        </is>
      </c>
      <c r="D2234" t="inlineStr">
        <is>
          <t>Latin America</t>
        </is>
      </c>
      <c r="E2234" t="inlineStr">
        <is>
          <t>visitor_flow_context_raw</t>
        </is>
      </c>
      <c r="F2234" t="inlineStr">
        <is>
          <t>Visitor flow context raw</t>
        </is>
      </c>
      <c r="G2234" t="inlineStr">
        <is>
          <t>creative</t>
        </is>
      </c>
      <c r="H2234" t="inlineStr">
        <is>
          <t>no</t>
        </is>
      </c>
      <c r="I2234" t="inlineStr"/>
      <c r="J2234" t="inlineStr"/>
      <c r="K2234" t="inlineStr"/>
      <c r="L2234" t="inlineStr"/>
      <c r="M2234" t="inlineStr"/>
      <c r="N2234" t="inlineStr"/>
    </row>
    <row r="2235">
      <c r="A2235" t="inlineStr">
        <is>
          <t>ar-cordoba</t>
        </is>
      </c>
      <c r="B2235" t="inlineStr">
        <is>
          <t>Cordoba</t>
        </is>
      </c>
      <c r="C2235" t="inlineStr">
        <is>
          <t>Argentina</t>
        </is>
      </c>
      <c r="D2235" t="inlineStr">
        <is>
          <t>Latin America</t>
        </is>
      </c>
      <c r="E2235" t="inlineStr">
        <is>
          <t>gross_income</t>
        </is>
      </c>
      <c r="F2235" t="inlineStr">
        <is>
          <t>Gross income</t>
        </is>
      </c>
      <c r="G2235" t="inlineStr">
        <is>
          <t>pressure</t>
        </is>
      </c>
      <c r="H2235" t="inlineStr">
        <is>
          <t>yes</t>
        </is>
      </c>
      <c r="I2235" t="inlineStr">
        <is>
          <t>2483.33</t>
        </is>
      </c>
      <c r="J2235" t="inlineStr">
        <is>
          <t>world_bank_col_estimate</t>
        </is>
      </c>
      <c r="K2235" t="inlineStr">
        <is>
          <t>https://api.worldbank.org/v2/country/ARG/indicator/NY.GNP.PCAP.PP.CD?format=json&amp;mrv=10</t>
        </is>
      </c>
      <c r="L2235" t="inlineStr">
        <is>
          <t>World Bank WDI: GNI per capita PPP (monthly USD)</t>
        </is>
      </c>
      <c r="M2235" t="inlineStr">
        <is>
          <t>2024-12-31</t>
        </is>
      </c>
      <c r="N2235" t="inlineStr">
        <is>
          <t>auto_ingest=world_bank_col_estimate; gni_annual=29800.0; year=2024; country_proxy=Argentina; cohort=Latin America</t>
        </is>
      </c>
    </row>
    <row r="2236">
      <c r="A2236" t="inlineStr">
        <is>
          <t>ar-cordoba</t>
        </is>
      </c>
      <c r="B2236" t="inlineStr">
        <is>
          <t>Cordoba</t>
        </is>
      </c>
      <c r="C2236" t="inlineStr">
        <is>
          <t>Argentina</t>
        </is>
      </c>
      <c r="D2236" t="inlineStr">
        <is>
          <t>Latin America</t>
        </is>
      </c>
      <c r="E2236" t="inlineStr">
        <is>
          <t>di_ppp_raw</t>
        </is>
      </c>
      <c r="F2236" t="inlineStr">
        <is>
          <t>Disposable income PPP (Raw)</t>
        </is>
      </c>
      <c r="G2236" t="inlineStr">
        <is>
          <t>pressure</t>
        </is>
      </c>
      <c r="H2236" t="inlineStr">
        <is>
          <t>yes</t>
        </is>
      </c>
      <c r="I2236" t="inlineStr"/>
      <c r="J2236" t="inlineStr"/>
      <c r="K2236" t="inlineStr"/>
      <c r="L2236" t="inlineStr"/>
      <c r="M2236" t="inlineStr"/>
      <c r="N2236" t="inlineStr"/>
    </row>
    <row r="2237">
      <c r="A2237" t="inlineStr">
        <is>
          <t>ar-cordoba</t>
        </is>
      </c>
      <c r="B2237" t="inlineStr">
        <is>
          <t>Cordoba</t>
        </is>
      </c>
      <c r="C2237" t="inlineStr">
        <is>
          <t>Argentina</t>
        </is>
      </c>
      <c r="D2237" t="inlineStr">
        <is>
          <t>Latin America</t>
        </is>
      </c>
      <c r="E2237" t="inlineStr">
        <is>
          <t>rent</t>
        </is>
      </c>
      <c r="F2237" t="inlineStr">
        <is>
          <t>Rent</t>
        </is>
      </c>
      <c r="G2237" t="inlineStr">
        <is>
          <t>pressure</t>
        </is>
      </c>
      <c r="H2237" t="inlineStr">
        <is>
          <t>yes</t>
        </is>
      </c>
      <c r="I2237" t="inlineStr">
        <is>
          <t>496.67</t>
        </is>
      </c>
      <c r="J2237" t="inlineStr">
        <is>
          <t>world_bank_col_estimate</t>
        </is>
      </c>
      <c r="K2237" t="inlineStr">
        <is>
          <t>https://api.worldbank.org/v2/country/ARG/indicator/NY.GNP.PCAP.PP.CD?format=json&amp;mrv=10</t>
        </is>
      </c>
      <c r="L2237" t="inlineStr">
        <is>
          <t>World Bank GNI + regional expenditure ratio estimate</t>
        </is>
      </c>
      <c r="M2237" t="inlineStr">
        <is>
          <t>2024-12-31</t>
        </is>
      </c>
      <c r="N2237" t="inlineStr">
        <is>
          <t>auto_ingest=world_bank_col_estimate; gni_annual=29800.0; year=2024; country_proxy=Argentina; cohort=Latin America; city_cost_mult=0.8</t>
        </is>
      </c>
    </row>
    <row r="2238">
      <c r="A2238" t="inlineStr">
        <is>
          <t>ar-cordoba</t>
        </is>
      </c>
      <c r="B2238" t="inlineStr">
        <is>
          <t>Cordoba</t>
        </is>
      </c>
      <c r="C2238" t="inlineStr">
        <is>
          <t>Argentina</t>
        </is>
      </c>
      <c r="D2238" t="inlineStr">
        <is>
          <t>Latin America</t>
        </is>
      </c>
      <c r="E2238" t="inlineStr">
        <is>
          <t>utilities</t>
        </is>
      </c>
      <c r="F2238" t="inlineStr">
        <is>
          <t>Utilities</t>
        </is>
      </c>
      <c r="G2238" t="inlineStr">
        <is>
          <t>pressure</t>
        </is>
      </c>
      <c r="H2238" t="inlineStr">
        <is>
          <t>yes</t>
        </is>
      </c>
      <c r="I2238" t="inlineStr">
        <is>
          <t>119.2</t>
        </is>
      </c>
      <c r="J2238" t="inlineStr">
        <is>
          <t>world_bank_col_estimate</t>
        </is>
      </c>
      <c r="K2238" t="inlineStr">
        <is>
          <t>https://api.worldbank.org/v2/country/ARG/indicator/NY.GNP.PCAP.PP.CD?format=json&amp;mrv=10</t>
        </is>
      </c>
      <c r="L2238" t="inlineStr">
        <is>
          <t>World Bank GNI + regional expenditure ratio estimate</t>
        </is>
      </c>
      <c r="M2238" t="inlineStr">
        <is>
          <t>2024-12-31</t>
        </is>
      </c>
      <c r="N2238" t="inlineStr">
        <is>
          <t>auto_ingest=world_bank_col_estimate; gni_annual=29800.0; year=2024; country_proxy=Argentina; cohort=Latin America; city_cost_mult=0.8</t>
        </is>
      </c>
    </row>
    <row r="2239">
      <c r="A2239" t="inlineStr">
        <is>
          <t>ar-cordoba</t>
        </is>
      </c>
      <c r="B2239" t="inlineStr">
        <is>
          <t>Cordoba</t>
        </is>
      </c>
      <c r="C2239" t="inlineStr">
        <is>
          <t>Argentina</t>
        </is>
      </c>
      <c r="D2239" t="inlineStr">
        <is>
          <t>Latin America</t>
        </is>
      </c>
      <c r="E2239" t="inlineStr">
        <is>
          <t>transit_cost</t>
        </is>
      </c>
      <c r="F2239" t="inlineStr">
        <is>
          <t>Transit cost</t>
        </is>
      </c>
      <c r="G2239" t="inlineStr">
        <is>
          <t>pressure</t>
        </is>
      </c>
      <c r="H2239" t="inlineStr">
        <is>
          <t>yes</t>
        </is>
      </c>
      <c r="I2239" t="inlineStr">
        <is>
          <t>79.47</t>
        </is>
      </c>
      <c r="J2239" t="inlineStr">
        <is>
          <t>world_bank_col_estimate</t>
        </is>
      </c>
      <c r="K2239" t="inlineStr">
        <is>
          <t>https://api.worldbank.org/v2/country/ARG/indicator/NY.GNP.PCAP.PP.CD?format=json&amp;mrv=10</t>
        </is>
      </c>
      <c r="L2239" t="inlineStr">
        <is>
          <t>World Bank GNI + regional expenditure ratio estimate</t>
        </is>
      </c>
      <c r="M2239" t="inlineStr">
        <is>
          <t>2024-12-31</t>
        </is>
      </c>
      <c r="N2239" t="inlineStr">
        <is>
          <t>auto_ingest=world_bank_col_estimate; gni_annual=29800.0; year=2024; country_proxy=Argentina; cohort=Latin America; city_cost_mult=0.8</t>
        </is>
      </c>
    </row>
    <row r="2240">
      <c r="A2240" t="inlineStr">
        <is>
          <t>ar-cordoba</t>
        </is>
      </c>
      <c r="B2240" t="inlineStr">
        <is>
          <t>Cordoba</t>
        </is>
      </c>
      <c r="C2240" t="inlineStr">
        <is>
          <t>Argentina</t>
        </is>
      </c>
      <c r="D2240" t="inlineStr">
        <is>
          <t>Latin America</t>
        </is>
      </c>
      <c r="E2240" t="inlineStr">
        <is>
          <t>internet_cost</t>
        </is>
      </c>
      <c r="F2240" t="inlineStr">
        <is>
          <t>Internet cost</t>
        </is>
      </c>
      <c r="G2240" t="inlineStr">
        <is>
          <t>pressure</t>
        </is>
      </c>
      <c r="H2240" t="inlineStr">
        <is>
          <t>yes</t>
        </is>
      </c>
      <c r="I2240" t="inlineStr">
        <is>
          <t>29.8</t>
        </is>
      </c>
      <c r="J2240" t="inlineStr">
        <is>
          <t>world_bank_col_estimate</t>
        </is>
      </c>
      <c r="K2240" t="inlineStr">
        <is>
          <t>https://api.worldbank.org/v2/country/ARG/indicator/NY.GNP.PCAP.PP.CD?format=json&amp;mrv=10</t>
        </is>
      </c>
      <c r="L2240" t="inlineStr">
        <is>
          <t>World Bank GNI + regional expenditure ratio estimate</t>
        </is>
      </c>
      <c r="M2240" t="inlineStr">
        <is>
          <t>2024-12-31</t>
        </is>
      </c>
      <c r="N2240" t="inlineStr">
        <is>
          <t>auto_ingest=world_bank_col_estimate; gni_annual=29800.0; year=2024; country_proxy=Argentina; cohort=Latin America; city_cost_mult=0.8</t>
        </is>
      </c>
    </row>
    <row r="2241">
      <c r="A2241" t="inlineStr">
        <is>
          <t>ar-cordoba</t>
        </is>
      </c>
      <c r="B2241" t="inlineStr">
        <is>
          <t>Cordoba</t>
        </is>
      </c>
      <c r="C2241" t="inlineStr">
        <is>
          <t>Argentina</t>
        </is>
      </c>
      <c r="D2241" t="inlineStr">
        <is>
          <t>Latin America</t>
        </is>
      </c>
      <c r="E2241" t="inlineStr">
        <is>
          <t>food_cost</t>
        </is>
      </c>
      <c r="F2241" t="inlineStr">
        <is>
          <t>Food cost</t>
        </is>
      </c>
      <c r="G2241" t="inlineStr">
        <is>
          <t>pressure</t>
        </is>
      </c>
      <c r="H2241" t="inlineStr">
        <is>
          <t>yes</t>
        </is>
      </c>
      <c r="I2241" t="inlineStr">
        <is>
          <t>437.07</t>
        </is>
      </c>
      <c r="J2241" t="inlineStr">
        <is>
          <t>world_bank_col_estimate</t>
        </is>
      </c>
      <c r="K2241" t="inlineStr">
        <is>
          <t>https://api.worldbank.org/v2/country/ARG/indicator/NY.GNP.PCAP.PP.CD?format=json&amp;mrv=10</t>
        </is>
      </c>
      <c r="L2241" t="inlineStr">
        <is>
          <t>World Bank GNI + regional expenditure ratio estimate</t>
        </is>
      </c>
      <c r="M2241" t="inlineStr">
        <is>
          <t>2024-12-31</t>
        </is>
      </c>
      <c r="N2241" t="inlineStr">
        <is>
          <t>auto_ingest=world_bank_col_estimate; gni_annual=29800.0; year=2024; country_proxy=Argentina; cohort=Latin America; city_cost_mult=0.8</t>
        </is>
      </c>
    </row>
    <row r="2242">
      <c r="A2242" t="inlineStr">
        <is>
          <t>ar-cordoba</t>
        </is>
      </c>
      <c r="B2242" t="inlineStr">
        <is>
          <t>Cordoba</t>
        </is>
      </c>
      <c r="C2242" t="inlineStr">
        <is>
          <t>Argentina</t>
        </is>
      </c>
      <c r="D2242" t="inlineStr">
        <is>
          <t>Latin America</t>
        </is>
      </c>
      <c r="E2242" t="inlineStr">
        <is>
          <t>housing_burden_raw</t>
        </is>
      </c>
      <c r="F2242" t="inlineStr">
        <is>
          <t>Housing burden raw</t>
        </is>
      </c>
      <c r="G2242" t="inlineStr">
        <is>
          <t>pressure</t>
        </is>
      </c>
      <c r="H2242" t="inlineStr">
        <is>
          <t>yes</t>
        </is>
      </c>
      <c r="I2242" t="inlineStr">
        <is>
          <t>20.0002</t>
        </is>
      </c>
      <c r="J2242" t="inlineStr">
        <is>
          <t>derived</t>
        </is>
      </c>
      <c r="K2242" t="inlineStr">
        <is>
          <t>https://data.worldbank.org/indicator/NY.GNP.PCAP.PP.CD</t>
        </is>
      </c>
      <c r="L2242" t="inlineStr">
        <is>
          <t>Computed from city_inputs + country_context</t>
        </is>
      </c>
      <c r="M2242" t="inlineStr">
        <is>
          <t>2024-01-01</t>
        </is>
      </c>
      <c r="N2242" t="inlineStr">
        <is>
          <t>derived=rent/gross_income*100</t>
        </is>
      </c>
    </row>
    <row r="2243">
      <c r="A2243" t="inlineStr">
        <is>
          <t>ar-cordoba</t>
        </is>
      </c>
      <c r="B2243" t="inlineStr">
        <is>
          <t>Cordoba</t>
        </is>
      </c>
      <c r="C2243" t="inlineStr">
        <is>
          <t>Argentina</t>
        </is>
      </c>
      <c r="D2243" t="inlineStr">
        <is>
          <t>Latin America</t>
        </is>
      </c>
      <c r="E2243" t="inlineStr">
        <is>
          <t>household_debt_burden_raw</t>
        </is>
      </c>
      <c r="F2243" t="inlineStr">
        <is>
          <t>Household debt burden raw</t>
        </is>
      </c>
      <c r="G2243" t="inlineStr">
        <is>
          <t>pressure</t>
        </is>
      </c>
      <c r="H2243" t="inlineStr">
        <is>
          <t>yes</t>
        </is>
      </c>
      <c r="I2243" t="inlineStr">
        <is>
          <t>13.0788</t>
        </is>
      </c>
      <c r="J2243" t="inlineStr">
        <is>
          <t>derived</t>
        </is>
      </c>
      <c r="K2243" t="inlineStr">
        <is>
          <t>https://data.worldbank.org/indicator/NY.GNP.PCAP.PP.CD</t>
        </is>
      </c>
      <c r="L2243" t="inlineStr">
        <is>
          <t>Computed from city_inputs + country_context</t>
        </is>
      </c>
      <c r="M2243" t="inlineStr">
        <is>
          <t>2024-01-01</t>
        </is>
      </c>
      <c r="N2243" t="inlineStr">
        <is>
          <t>derived=country_context.household_debt_proxy; country=Argentina</t>
        </is>
      </c>
    </row>
    <row r="2244">
      <c r="A2244" t="inlineStr">
        <is>
          <t>ar-cordoba</t>
        </is>
      </c>
      <c r="B2244" t="inlineStr">
        <is>
          <t>Cordoba</t>
        </is>
      </c>
      <c r="C2244" t="inlineStr">
        <is>
          <t>Argentina</t>
        </is>
      </c>
      <c r="D2244" t="inlineStr">
        <is>
          <t>Latin America</t>
        </is>
      </c>
      <c r="E2244" t="inlineStr">
        <is>
          <t>working_time_pressure_raw</t>
        </is>
      </c>
      <c r="F2244" t="inlineStr">
        <is>
          <t>Working time pressure raw</t>
        </is>
      </c>
      <c r="G2244" t="inlineStr">
        <is>
          <t>pressure</t>
        </is>
      </c>
      <c r="H2244" t="inlineStr">
        <is>
          <t>yes</t>
        </is>
      </c>
      <c r="I2244" t="inlineStr">
        <is>
          <t>36.45</t>
        </is>
      </c>
      <c r="J2244" t="inlineStr">
        <is>
          <t>ilo_ilostat</t>
        </is>
      </c>
      <c r="K2244" t="inlineStr">
        <is>
          <t>https://ilostat.ilo.org/data/indicator/?id=HOW_TEMP_SEX_ECO_NB_A&amp;ref_area=ARG</t>
        </is>
      </c>
      <c r="L2244" t="inlineStr">
        <is>
          <t>ILO ILOSTAT: Mean weekly hours actually worked per employed person</t>
        </is>
      </c>
      <c r="M2244" t="inlineStr">
        <is>
          <t>2024-12-31</t>
        </is>
      </c>
      <c r="N2244" t="inlineStr">
        <is>
          <t>auto_ingest=ilo_working_hours; indicator=HOW_TEMP_SEX_ECO_NB_A; year=2024; hours=36.45; country_proxy=Argentina</t>
        </is>
      </c>
    </row>
    <row r="2245">
      <c r="A2245" t="inlineStr">
        <is>
          <t>ar-cordoba</t>
        </is>
      </c>
      <c r="B2245" t="inlineStr">
        <is>
          <t>Cordoba</t>
        </is>
      </c>
      <c r="C2245" t="inlineStr">
        <is>
          <t>Argentina</t>
        </is>
      </c>
      <c r="D2245" t="inlineStr">
        <is>
          <t>Latin America</t>
        </is>
      </c>
      <c r="E2245" t="inlineStr">
        <is>
          <t>suicide_mental_strain_raw</t>
        </is>
      </c>
      <c r="F2245" t="inlineStr">
        <is>
          <t>Suicide or mental strain raw</t>
        </is>
      </c>
      <c r="G2245" t="inlineStr">
        <is>
          <t>pressure</t>
        </is>
      </c>
      <c r="H2245" t="inlineStr">
        <is>
          <t>yes</t>
        </is>
      </c>
      <c r="I2245" t="inlineStr">
        <is>
          <t>7.94</t>
        </is>
      </c>
      <c r="J2245" t="inlineStr">
        <is>
          <t>who_gho</t>
        </is>
      </c>
      <c r="K2245" t="inlineStr">
        <is>
          <t>https://www.who.int/data/gho/data/indicators/indicator-details/GHO/SDGSUICIDE</t>
        </is>
      </c>
      <c r="L2245" t="inlineStr">
        <is>
          <t>WHO GHO: Age-standardized suicide rate (per 100,000 population)</t>
        </is>
      </c>
      <c r="M2245" t="inlineStr">
        <is>
          <t>2021-12-31</t>
        </is>
      </c>
      <c r="N2245" t="inlineStr">
        <is>
          <t>auto_ingest=who_gho; indicator=SDGSUICIDE; year=2021; country_proxy=Argentina</t>
        </is>
      </c>
    </row>
    <row r="2246">
      <c r="A2246" t="inlineStr">
        <is>
          <t>ar-cordoba</t>
        </is>
      </c>
      <c r="B2246" t="inlineStr">
        <is>
          <t>Cordoba</t>
        </is>
      </c>
      <c r="C2246" t="inlineStr">
        <is>
          <t>Argentina</t>
        </is>
      </c>
      <c r="D2246" t="inlineStr">
        <is>
          <t>Latin America</t>
        </is>
      </c>
      <c r="E2246" t="inlineStr">
        <is>
          <t>personal_safety_raw</t>
        </is>
      </c>
      <c r="F2246" t="inlineStr">
        <is>
          <t>Personal safety raw</t>
        </is>
      </c>
      <c r="G2246" t="inlineStr">
        <is>
          <t>viability</t>
        </is>
      </c>
      <c r="H2246" t="inlineStr">
        <is>
          <t>yes</t>
        </is>
      </c>
      <c r="I2246" t="inlineStr">
        <is>
          <t>4.49</t>
        </is>
      </c>
      <c r="J2246" t="inlineStr">
        <is>
          <t>world_bank</t>
        </is>
      </c>
      <c r="K2246" t="inlineStr">
        <is>
          <t>https://api.worldbank.org/v2/country/ARG/indicator/VC.IHR.PSRC.P5?format=json&amp;mrv=10</t>
        </is>
      </c>
      <c r="L2246" t="inlineStr">
        <is>
          <t>UNODC via World Bank WDI: Intentional homicides (per 100,000 people)</t>
        </is>
      </c>
      <c r="M2246" t="inlineStr">
        <is>
          <t>2023-12-31</t>
        </is>
      </c>
      <c r="N2246" t="inlineStr">
        <is>
          <t>auto_ingest=unodc_safety; indicator=VC.IHR.PSRC.P5; year=2023; country_proxy=Argentina</t>
        </is>
      </c>
    </row>
    <row r="2247">
      <c r="A2247" t="inlineStr">
        <is>
          <t>ar-cordoba</t>
        </is>
      </c>
      <c r="B2247" t="inlineStr">
        <is>
          <t>Cordoba</t>
        </is>
      </c>
      <c r="C2247" t="inlineStr">
        <is>
          <t>Argentina</t>
        </is>
      </c>
      <c r="D2247" t="inlineStr">
        <is>
          <t>Latin America</t>
        </is>
      </c>
      <c r="E2247" t="inlineStr">
        <is>
          <t>transit_access_commute_raw</t>
        </is>
      </c>
      <c r="F2247" t="inlineStr">
        <is>
          <t>Transit access and commute raw</t>
        </is>
      </c>
      <c r="G2247" t="inlineStr">
        <is>
          <t>viability</t>
        </is>
      </c>
      <c r="H2247" t="inlineStr">
        <is>
          <t>yes</t>
        </is>
      </c>
      <c r="I2247" t="inlineStr"/>
      <c r="J2247" t="inlineStr"/>
      <c r="K2247" t="inlineStr"/>
      <c r="L2247" t="inlineStr"/>
      <c r="M2247" t="inlineStr"/>
      <c r="N2247" t="inlineStr"/>
    </row>
    <row r="2248">
      <c r="A2248" t="inlineStr">
        <is>
          <t>ar-cordoba</t>
        </is>
      </c>
      <c r="B2248" t="inlineStr">
        <is>
          <t>Cordoba</t>
        </is>
      </c>
      <c r="C2248" t="inlineStr">
        <is>
          <t>Argentina</t>
        </is>
      </c>
      <c r="D2248" t="inlineStr">
        <is>
          <t>Latin America</t>
        </is>
      </c>
      <c r="E2248" t="inlineStr">
        <is>
          <t>clean_air_raw</t>
        </is>
      </c>
      <c r="F2248" t="inlineStr">
        <is>
          <t>Clean air raw</t>
        </is>
      </c>
      <c r="G2248" t="inlineStr">
        <is>
          <t>viability</t>
        </is>
      </c>
      <c r="H2248" t="inlineStr">
        <is>
          <t>yes</t>
        </is>
      </c>
      <c r="I2248" t="inlineStr"/>
      <c r="J2248" t="inlineStr"/>
      <c r="K2248" t="inlineStr"/>
      <c r="L2248" t="inlineStr"/>
      <c r="M2248" t="inlineStr"/>
      <c r="N2248" t="inlineStr"/>
    </row>
    <row r="2249">
      <c r="A2249" t="inlineStr">
        <is>
          <t>ar-cordoba</t>
        </is>
      </c>
      <c r="B2249" t="inlineStr">
        <is>
          <t>Cordoba</t>
        </is>
      </c>
      <c r="C2249" t="inlineStr">
        <is>
          <t>Argentina</t>
        </is>
      </c>
      <c r="D2249" t="inlineStr">
        <is>
          <t>Latin America</t>
        </is>
      </c>
      <c r="E2249" t="inlineStr">
        <is>
          <t>water_sanitation_utility_raw</t>
        </is>
      </c>
      <c r="F2249" t="inlineStr">
        <is>
          <t>Water, sanitation, and utility raw</t>
        </is>
      </c>
      <c r="G2249" t="inlineStr">
        <is>
          <t>viability</t>
        </is>
      </c>
      <c r="H2249" t="inlineStr">
        <is>
          <t>yes</t>
        </is>
      </c>
      <c r="I2249" t="inlineStr"/>
      <c r="J2249" t="inlineStr"/>
      <c r="K2249" t="inlineStr"/>
      <c r="L2249" t="inlineStr"/>
      <c r="M2249" t="inlineStr"/>
      <c r="N2249" t="inlineStr"/>
    </row>
    <row r="2250">
      <c r="A2250" t="inlineStr">
        <is>
          <t>ar-cordoba</t>
        </is>
      </c>
      <c r="B2250" t="inlineStr">
        <is>
          <t>Cordoba</t>
        </is>
      </c>
      <c r="C2250" t="inlineStr">
        <is>
          <t>Argentina</t>
        </is>
      </c>
      <c r="D2250" t="inlineStr">
        <is>
          <t>Latin America</t>
        </is>
      </c>
      <c r="E2250" t="inlineStr">
        <is>
          <t>digital_infrastructure_raw</t>
        </is>
      </c>
      <c r="F2250" t="inlineStr">
        <is>
          <t>Digital infrastructure raw</t>
        </is>
      </c>
      <c r="G2250" t="inlineStr">
        <is>
          <t>viability</t>
        </is>
      </c>
      <c r="H2250" t="inlineStr">
        <is>
          <t>yes</t>
        </is>
      </c>
      <c r="I2250" t="inlineStr">
        <is>
          <t>25.36</t>
        </is>
      </c>
      <c r="J2250" t="inlineStr">
        <is>
          <t>world_bank</t>
        </is>
      </c>
      <c r="K2250" t="inlineStr">
        <is>
          <t>https://api.worldbank.org/v2/country/ARG/indicator/IT.NET.BBND.P2?format=json&amp;mrv=10</t>
        </is>
      </c>
      <c r="L2250" t="inlineStr">
        <is>
          <t>World Bank WDI: Fixed broadband subscriptions (per 100 people)</t>
        </is>
      </c>
      <c r="M2250" t="inlineStr">
        <is>
          <t>2023-12-31</t>
        </is>
      </c>
      <c r="N2250" t="inlineStr">
        <is>
          <t>auto_ingest=world_bank_proxy; indicator=IT.NET.BBND.P2; year=2023; country_proxy=Argentina</t>
        </is>
      </c>
    </row>
    <row r="2251">
      <c r="A2251" t="inlineStr">
        <is>
          <t>ar-cordoba</t>
        </is>
      </c>
      <c r="B2251" t="inlineStr">
        <is>
          <t>Cordoba</t>
        </is>
      </c>
      <c r="C2251" t="inlineStr">
        <is>
          <t>Argentina</t>
        </is>
      </c>
      <c r="D2251" t="inlineStr">
        <is>
          <t>Latin America</t>
        </is>
      </c>
      <c r="E2251" t="inlineStr">
        <is>
          <t>climate_sunlight_livability_raw</t>
        </is>
      </c>
      <c r="F2251" t="inlineStr">
        <is>
          <t>Climate and sunlight livability raw</t>
        </is>
      </c>
      <c r="G2251" t="inlineStr">
        <is>
          <t>viability</t>
        </is>
      </c>
      <c r="H2251" t="inlineStr">
        <is>
          <t>yes</t>
        </is>
      </c>
      <c r="I2251" t="inlineStr"/>
      <c r="J2251" t="inlineStr"/>
      <c r="K2251" t="inlineStr"/>
      <c r="L2251" t="inlineStr"/>
      <c r="M2251" t="inlineStr"/>
      <c r="N2251" t="inlineStr"/>
    </row>
    <row r="2252">
      <c r="A2252" t="inlineStr">
        <is>
          <t>ar-cordoba</t>
        </is>
      </c>
      <c r="B2252" t="inlineStr">
        <is>
          <t>Cordoba</t>
        </is>
      </c>
      <c r="C2252" t="inlineStr">
        <is>
          <t>Argentina</t>
        </is>
      </c>
      <c r="D2252" t="inlineStr">
        <is>
          <t>Latin America</t>
        </is>
      </c>
      <c r="E2252" t="inlineStr">
        <is>
          <t>healthcare_quality_raw</t>
        </is>
      </c>
      <c r="F2252" t="inlineStr">
        <is>
          <t>Healthcare quality raw</t>
        </is>
      </c>
      <c r="G2252" t="inlineStr">
        <is>
          <t>capability</t>
        </is>
      </c>
      <c r="H2252" t="inlineStr">
        <is>
          <t>yes</t>
        </is>
      </c>
      <c r="I2252" t="inlineStr">
        <is>
          <t>80.0</t>
        </is>
      </c>
      <c r="J2252" t="inlineStr">
        <is>
          <t>who_gho</t>
        </is>
      </c>
      <c r="K2252" t="inlineStr">
        <is>
          <t>https://www.who.int/data/gho/data/indicators/indicator-details/GHO/UHC_INDEX_REPORTED</t>
        </is>
      </c>
      <c r="L2252" t="inlineStr">
        <is>
          <t>WHO GHO: UHC Service Coverage Index</t>
        </is>
      </c>
      <c r="M2252" t="inlineStr">
        <is>
          <t>2023-12-31</t>
        </is>
      </c>
      <c r="N2252" t="inlineStr">
        <is>
          <t>auto_ingest=who_gho; indicator=UHC_INDEX_REPORTED; year=2023; country_proxy=Argentina</t>
        </is>
      </c>
    </row>
    <row r="2253">
      <c r="A2253" t="inlineStr">
        <is>
          <t>ar-cordoba</t>
        </is>
      </c>
      <c r="B2253" t="inlineStr">
        <is>
          <t>Cordoba</t>
        </is>
      </c>
      <c r="C2253" t="inlineStr">
        <is>
          <t>Argentina</t>
        </is>
      </c>
      <c r="D2253" t="inlineStr">
        <is>
          <t>Latin America</t>
        </is>
      </c>
      <c r="E2253" t="inlineStr">
        <is>
          <t>education_quality_raw</t>
        </is>
      </c>
      <c r="F2253" t="inlineStr">
        <is>
          <t>Education quality raw</t>
        </is>
      </c>
      <c r="G2253" t="inlineStr">
        <is>
          <t>capability</t>
        </is>
      </c>
      <c r="H2253" t="inlineStr">
        <is>
          <t>yes</t>
        </is>
      </c>
      <c r="I2253" t="inlineStr">
        <is>
          <t>107.82</t>
        </is>
      </c>
      <c r="J2253" t="inlineStr">
        <is>
          <t>world_bank</t>
        </is>
      </c>
      <c r="K2253" t="inlineStr">
        <is>
          <t>https://api.worldbank.org/v2/country/ARG/indicator/SE.TER.ENRR?format=json&amp;mrv=10</t>
        </is>
      </c>
      <c r="L2253" t="inlineStr">
        <is>
          <t>World Bank WDI: School enrollment, tertiary (% gross)</t>
        </is>
      </c>
      <c r="M2253" t="inlineStr">
        <is>
          <t>2023-12-31</t>
        </is>
      </c>
      <c r="N2253" t="inlineStr">
        <is>
          <t>auto_ingest=world_bank_proxy; indicator=SE.TER.ENRR; year=2023; country_proxy=Argentina</t>
        </is>
      </c>
    </row>
    <row r="2254">
      <c r="A2254" t="inlineStr">
        <is>
          <t>ar-cordoba</t>
        </is>
      </c>
      <c r="B2254" t="inlineStr">
        <is>
          <t>Cordoba</t>
        </is>
      </c>
      <c r="C2254" t="inlineStr">
        <is>
          <t>Argentina</t>
        </is>
      </c>
      <c r="D2254" t="inlineStr">
        <is>
          <t>Latin America</t>
        </is>
      </c>
      <c r="E2254" t="inlineStr">
        <is>
          <t>equal_opportunity_raw</t>
        </is>
      </c>
      <c r="F2254" t="inlineStr">
        <is>
          <t>Equal opportunity raw</t>
        </is>
      </c>
      <c r="G2254" t="inlineStr">
        <is>
          <t>capability</t>
        </is>
      </c>
      <c r="H2254" t="inlineStr">
        <is>
          <t>yes</t>
        </is>
      </c>
      <c r="I2254" t="inlineStr">
        <is>
          <t>42.4</t>
        </is>
      </c>
      <c r="J2254" t="inlineStr">
        <is>
          <t>world_bank</t>
        </is>
      </c>
      <c r="K2254" t="inlineStr">
        <is>
          <t>https://api.worldbank.org/v2/country/ARG/indicator/SI.POV.GINI?format=json&amp;mrv=10</t>
        </is>
      </c>
      <c r="L2254" t="inlineStr">
        <is>
          <t>World Bank WDI: Gini index</t>
        </is>
      </c>
      <c r="M2254" t="inlineStr">
        <is>
          <t>2024-12-31</t>
        </is>
      </c>
      <c r="N2254" t="inlineStr">
        <is>
          <t>auto_ingest=world_bank_capability; indicator=SI.POV.GINI; year=2024; country_proxy=Argentina</t>
        </is>
      </c>
    </row>
    <row r="2255">
      <c r="A2255" t="inlineStr">
        <is>
          <t>ar-cordoba</t>
        </is>
      </c>
      <c r="B2255" t="inlineStr">
        <is>
          <t>Cordoba</t>
        </is>
      </c>
      <c r="C2255" t="inlineStr">
        <is>
          <t>Argentina</t>
        </is>
      </c>
      <c r="D2255" t="inlineStr">
        <is>
          <t>Latin America</t>
        </is>
      </c>
      <c r="E2255" t="inlineStr">
        <is>
          <t>hospitality_belonging_raw</t>
        </is>
      </c>
      <c r="F2255" t="inlineStr">
        <is>
          <t>Hospitality and belonging raw</t>
        </is>
      </c>
      <c r="G2255" t="inlineStr">
        <is>
          <t>community</t>
        </is>
      </c>
      <c r="H2255" t="inlineStr">
        <is>
          <t>yes</t>
        </is>
      </c>
      <c r="I2255" t="inlineStr">
        <is>
          <t>50.06</t>
        </is>
      </c>
      <c r="J2255" t="inlineStr">
        <is>
          <t>world_bank</t>
        </is>
      </c>
      <c r="K2255" t="inlineStr">
        <is>
          <t>https://api.worldbank.org/v2/country/ARG/indicator/SM.POP.NETM?format=json&amp;mrv=10</t>
        </is>
      </c>
      <c r="L2255" t="inlineStr">
        <is>
          <t>World Bank WDI: Net migration (proxy for hospitality/belonging — positive = welcoming)</t>
        </is>
      </c>
      <c r="M2255" t="inlineStr">
        <is>
          <t>2025-12-31</t>
        </is>
      </c>
      <c r="N2255" t="inlineStr">
        <is>
          <t>auto_ingest=world_bank_proxy; proxy=net_migration_hospitality; indicator=SM.POP.NETM; year=2025; country_proxy=Argentina</t>
        </is>
      </c>
    </row>
    <row r="2256">
      <c r="A2256" t="inlineStr">
        <is>
          <t>ar-cordoba</t>
        </is>
      </c>
      <c r="B2256" t="inlineStr">
        <is>
          <t>Cordoba</t>
        </is>
      </c>
      <c r="C2256" t="inlineStr">
        <is>
          <t>Argentina</t>
        </is>
      </c>
      <c r="D2256" t="inlineStr">
        <is>
          <t>Latin America</t>
        </is>
      </c>
      <c r="E2256" t="inlineStr">
        <is>
          <t>tolerance_pluralism_raw</t>
        </is>
      </c>
      <c r="F2256" t="inlineStr">
        <is>
          <t>Tolerance and pluralism raw</t>
        </is>
      </c>
      <c r="G2256" t="inlineStr">
        <is>
          <t>community</t>
        </is>
      </c>
      <c r="H2256" t="inlineStr">
        <is>
          <t>yes</t>
        </is>
      </c>
      <c r="I2256" t="inlineStr">
        <is>
          <t>42.41</t>
        </is>
      </c>
      <c r="J2256" t="inlineStr">
        <is>
          <t>world_bank</t>
        </is>
      </c>
      <c r="K2256" t="inlineStr">
        <is>
          <t>https://api.worldbank.org/v2/country/ARG/indicator/SG.GEN.PARL.ZS?format=json&amp;mrv=10</t>
        </is>
      </c>
      <c r="L2256" t="inlineStr">
        <is>
          <t>World Bank WDI: Proportion of seats held by women in national parliaments (%)</t>
        </is>
      </c>
      <c r="M2256" t="inlineStr">
        <is>
          <t>2024-12-31</t>
        </is>
      </c>
      <c r="N2256" t="inlineStr">
        <is>
          <t>auto_ingest=world_bank_proxy; proxy=gender_parity_parliament; indicator=SG.GEN.PARL.ZS; year=2024; country_proxy=Argentina</t>
        </is>
      </c>
    </row>
    <row r="2257">
      <c r="A2257" t="inlineStr">
        <is>
          <t>ar-cordoba</t>
        </is>
      </c>
      <c r="B2257" t="inlineStr">
        <is>
          <t>Cordoba</t>
        </is>
      </c>
      <c r="C2257" t="inlineStr">
        <is>
          <t>Argentina</t>
        </is>
      </c>
      <c r="D2257" t="inlineStr">
        <is>
          <t>Latin America</t>
        </is>
      </c>
      <c r="E2257" t="inlineStr">
        <is>
          <t>cultural_public_life_raw</t>
        </is>
      </c>
      <c r="F2257" t="inlineStr">
        <is>
          <t>Cultural public life raw</t>
        </is>
      </c>
      <c r="G2257" t="inlineStr">
        <is>
          <t>community</t>
        </is>
      </c>
      <c r="H2257" t="inlineStr">
        <is>
          <t>yes</t>
        </is>
      </c>
      <c r="I2257" t="inlineStr">
        <is>
          <t>161.92</t>
        </is>
      </c>
      <c r="J2257" t="inlineStr">
        <is>
          <t>world_bank</t>
        </is>
      </c>
      <c r="K2257" t="inlineStr">
        <is>
          <t>https://api.worldbank.org/v2/country/ARG/indicator/ST.INT.ARVL?format=json&amp;mrv=10</t>
        </is>
      </c>
      <c r="L2257" t="inlineStr">
        <is>
          <t>World Bank WDI: International tourism arrivals per 1 000 population</t>
        </is>
      </c>
      <c r="M2257" t="inlineStr">
        <is>
          <t>2019-12-31</t>
        </is>
      </c>
      <c r="N2257" t="inlineStr">
        <is>
          <t>auto_ingest=cultural_life_proxy; indicator=ST.INT.ARVL; norm=per_1000_pop; year=2019; country_proxy=Argentina</t>
        </is>
      </c>
    </row>
    <row r="2258">
      <c r="A2258" t="inlineStr">
        <is>
          <t>ar-cordoba</t>
        </is>
      </c>
      <c r="B2258" t="inlineStr">
        <is>
          <t>Cordoba</t>
        </is>
      </c>
      <c r="C2258" t="inlineStr">
        <is>
          <t>Argentina</t>
        </is>
      </c>
      <c r="D2258" t="inlineStr">
        <is>
          <t>Latin America</t>
        </is>
      </c>
      <c r="E2258" t="inlineStr">
        <is>
          <t>birth_rate_optimism_raw</t>
        </is>
      </c>
      <c r="F2258" t="inlineStr">
        <is>
          <t>Birth rate and societal optimism raw</t>
        </is>
      </c>
      <c r="G2258" t="inlineStr">
        <is>
          <t>community</t>
        </is>
      </c>
      <c r="H2258" t="inlineStr">
        <is>
          <t>yes</t>
        </is>
      </c>
      <c r="I2258" t="inlineStr">
        <is>
          <t>1.56</t>
        </is>
      </c>
      <c r="J2258" t="inlineStr">
        <is>
          <t>world_bank</t>
        </is>
      </c>
      <c r="K2258" t="inlineStr">
        <is>
          <t>https://data.worldbank.org/indicator/SP.DYN.TFRT.IN</t>
        </is>
      </c>
      <c r="L2258" t="inlineStr">
        <is>
          <t>World Bank Total Fertility Rate 2023</t>
        </is>
      </c>
      <c r="M2258" t="inlineStr">
        <is>
          <t>2024-01-01</t>
        </is>
      </c>
      <c r="N2258" t="inlineStr"/>
    </row>
    <row r="2259">
      <c r="A2259" t="inlineStr">
        <is>
          <t>ar-cordoba</t>
        </is>
      </c>
      <c r="B2259" t="inlineStr">
        <is>
          <t>Cordoba</t>
        </is>
      </c>
      <c r="C2259" t="inlineStr">
        <is>
          <t>Argentina</t>
        </is>
      </c>
      <c r="D2259" t="inlineStr">
        <is>
          <t>Latin America</t>
        </is>
      </c>
      <c r="E2259" t="inlineStr">
        <is>
          <t>entrepreneurial_dynamism_raw</t>
        </is>
      </c>
      <c r="F2259" t="inlineStr">
        <is>
          <t>Entrepreneurial dynamism raw</t>
        </is>
      </c>
      <c r="G2259" t="inlineStr">
        <is>
          <t>creative</t>
        </is>
      </c>
      <c r="H2259" t="inlineStr">
        <is>
          <t>yes</t>
        </is>
      </c>
      <c r="I2259" t="inlineStr">
        <is>
          <t>0.2</t>
        </is>
      </c>
      <c r="J2259" t="inlineStr">
        <is>
          <t>world_bank</t>
        </is>
      </c>
      <c r="K2259" t="inlineStr">
        <is>
          <t>https://api.worldbank.org/v2/country/ARG/indicator/IC.BUS.NDNS.ZS?format=json&amp;mrv=10</t>
        </is>
      </c>
      <c r="L2259" t="inlineStr">
        <is>
          <t>World Bank WDI: New business density (new registrations per 1,000 people ages 15-64)</t>
        </is>
      </c>
      <c r="M2259" t="inlineStr">
        <is>
          <t>2018-12-31</t>
        </is>
      </c>
      <c r="N2259" t="inlineStr">
        <is>
          <t>auto_ingest=world_bank_creative_extended; indicator=IC.BUS.NDNS.ZS; year=2018; country_proxy=Argentina</t>
        </is>
      </c>
    </row>
    <row r="2260">
      <c r="A2260" t="inlineStr">
        <is>
          <t>ar-cordoba</t>
        </is>
      </c>
      <c r="B2260" t="inlineStr">
        <is>
          <t>Cordoba</t>
        </is>
      </c>
      <c r="C2260" t="inlineStr">
        <is>
          <t>Argentina</t>
        </is>
      </c>
      <c r="D2260" t="inlineStr">
        <is>
          <t>Latin America</t>
        </is>
      </c>
      <c r="E2260" t="inlineStr">
        <is>
          <t>innovation_research_intensity_raw</t>
        </is>
      </c>
      <c r="F2260" t="inlineStr">
        <is>
          <t>Innovation and research raw</t>
        </is>
      </c>
      <c r="G2260" t="inlineStr">
        <is>
          <t>creative</t>
        </is>
      </c>
      <c r="H2260" t="inlineStr">
        <is>
          <t>yes</t>
        </is>
      </c>
      <c r="I2260" t="inlineStr">
        <is>
          <t>0.55</t>
        </is>
      </c>
      <c r="J2260" t="inlineStr">
        <is>
          <t>world_bank</t>
        </is>
      </c>
      <c r="K2260" t="inlineStr">
        <is>
          <t>https://api.worldbank.org/v2/country/ARG/indicator/GB.XPD.RSDV.GD.ZS?format=json&amp;mrv=10</t>
        </is>
      </c>
      <c r="L2260" t="inlineStr">
        <is>
          <t>World Bank WDI: Research and development expenditure (% of GDP)</t>
        </is>
      </c>
      <c r="M2260" t="inlineStr">
        <is>
          <t>2022-12-31</t>
        </is>
      </c>
      <c r="N2260" t="inlineStr">
        <is>
          <t>auto_ingest=world_bank_creative_extended; indicator=GB.XPD.RSDV.GD.ZS; year=2022; country_proxy=Argentina</t>
        </is>
      </c>
    </row>
    <row r="2261">
      <c r="A2261" t="inlineStr">
        <is>
          <t>ar-cordoba</t>
        </is>
      </c>
      <c r="B2261" t="inlineStr">
        <is>
          <t>Cordoba</t>
        </is>
      </c>
      <c r="C2261" t="inlineStr">
        <is>
          <t>Argentina</t>
        </is>
      </c>
      <c r="D2261" t="inlineStr">
        <is>
          <t>Latin America</t>
        </is>
      </c>
      <c r="E2261" t="inlineStr">
        <is>
          <t>investment_signal_raw</t>
        </is>
      </c>
      <c r="F2261" t="inlineStr">
        <is>
          <t>Investment signal raw</t>
        </is>
      </c>
      <c r="G2261" t="inlineStr">
        <is>
          <t>creative</t>
        </is>
      </c>
      <c r="H2261" t="inlineStr">
        <is>
          <t>yes</t>
        </is>
      </c>
      <c r="I2261" t="inlineStr">
        <is>
          <t>1.82</t>
        </is>
      </c>
      <c r="J2261" t="inlineStr">
        <is>
          <t>world_bank</t>
        </is>
      </c>
      <c r="K2261" t="inlineStr">
        <is>
          <t>https://api.worldbank.org/v2/country/ARG/indicator/BX.KLT.DINV.WD.GD.ZS?format=json&amp;mrv=10</t>
        </is>
      </c>
      <c r="L2261" t="inlineStr">
        <is>
          <t>World Bank WDI: Foreign direct investment, net inflows (% of GDP)</t>
        </is>
      </c>
      <c r="M2261" t="inlineStr">
        <is>
          <t>2024-12-31</t>
        </is>
      </c>
      <c r="N2261" t="inlineStr">
        <is>
          <t>auto_ingest=world_bank_creative_extended; indicator=BX.KLT.DINV.WD.GD.ZS; year=2024; country_proxy=Argentina</t>
        </is>
      </c>
    </row>
    <row r="2262">
      <c r="A2262" t="inlineStr">
        <is>
          <t>ar-cordoba</t>
        </is>
      </c>
      <c r="B2262" t="inlineStr">
        <is>
          <t>Cordoba</t>
        </is>
      </c>
      <c r="C2262" t="inlineStr">
        <is>
          <t>Argentina</t>
        </is>
      </c>
      <c r="D2262" t="inlineStr">
        <is>
          <t>Latin America</t>
        </is>
      </c>
      <c r="E2262" t="inlineStr">
        <is>
          <t>administrative_investment_friction_raw</t>
        </is>
      </c>
      <c r="F2262" t="inlineStr">
        <is>
          <t>Administrative investment friction raw</t>
        </is>
      </c>
      <c r="G2262" t="inlineStr">
        <is>
          <t>creative</t>
        </is>
      </c>
      <c r="H2262" t="inlineStr">
        <is>
          <t>yes</t>
        </is>
      </c>
      <c r="I2262" t="inlineStr">
        <is>
          <t>2.98</t>
        </is>
      </c>
      <c r="J2262" t="inlineStr">
        <is>
          <t>world_bank</t>
        </is>
      </c>
      <c r="K2262" t="inlineStr">
        <is>
          <t>https://api.worldbank.org/v2/country/ARG/indicator/RQ.EST?format=json&amp;mrv=10</t>
        </is>
      </c>
      <c r="L2262" t="inlineStr">
        <is>
          <t>World Bank WGI: Regulatory Quality (inverted as friction proxy)</t>
        </is>
      </c>
      <c r="M2262" t="inlineStr">
        <is>
          <t>2023-12-31</t>
        </is>
      </c>
      <c r="N2262" t="inlineStr">
        <is>
          <t>auto_ingest=world_bank_business_friction; indicator=RQ.EST; raw_rq=-0.482535392045975; friction=2.98; year=2023; country_proxy=Argentina</t>
        </is>
      </c>
    </row>
    <row r="2263">
      <c r="A2263" t="inlineStr">
        <is>
          <t>ar-cordoba</t>
        </is>
      </c>
      <c r="B2263" t="inlineStr">
        <is>
          <t>Cordoba</t>
        </is>
      </c>
      <c r="C2263" t="inlineStr">
        <is>
          <t>Argentina</t>
        </is>
      </c>
      <c r="D2263" t="inlineStr">
        <is>
          <t>Latin America</t>
        </is>
      </c>
      <c r="E2263" t="inlineStr">
        <is>
          <t>visitor_flow_context_raw</t>
        </is>
      </c>
      <c r="F2263" t="inlineStr">
        <is>
          <t>Visitor flow context raw</t>
        </is>
      </c>
      <c r="G2263" t="inlineStr">
        <is>
          <t>creative</t>
        </is>
      </c>
      <c r="H2263" t="inlineStr">
        <is>
          <t>no</t>
        </is>
      </c>
      <c r="I2263" t="inlineStr"/>
      <c r="J2263" t="inlineStr"/>
      <c r="K2263" t="inlineStr"/>
      <c r="L2263" t="inlineStr"/>
      <c r="M2263" t="inlineStr"/>
      <c r="N2263" t="inlineStr"/>
    </row>
    <row r="2264">
      <c r="A2264" t="inlineStr">
        <is>
          <t>cl-valparaiso</t>
        </is>
      </c>
      <c r="B2264" t="inlineStr">
        <is>
          <t>Valparaiso</t>
        </is>
      </c>
      <c r="C2264" t="inlineStr">
        <is>
          <t>Chile</t>
        </is>
      </c>
      <c r="D2264" t="inlineStr">
        <is>
          <t>Latin America</t>
        </is>
      </c>
      <c r="E2264" t="inlineStr">
        <is>
          <t>gross_income</t>
        </is>
      </c>
      <c r="F2264" t="inlineStr">
        <is>
          <t>Gross income</t>
        </is>
      </c>
      <c r="G2264" t="inlineStr">
        <is>
          <t>pressure</t>
        </is>
      </c>
      <c r="H2264" t="inlineStr">
        <is>
          <t>yes</t>
        </is>
      </c>
      <c r="I2264" t="inlineStr">
        <is>
          <t>2860.0</t>
        </is>
      </c>
      <c r="J2264" t="inlineStr">
        <is>
          <t>world_bank_col_estimate</t>
        </is>
      </c>
      <c r="K2264" t="inlineStr">
        <is>
          <t>https://api.worldbank.org/v2/country/CHL/indicator/NY.GNP.PCAP.PP.CD?format=json&amp;mrv=10</t>
        </is>
      </c>
      <c r="L2264" t="inlineStr">
        <is>
          <t>World Bank WDI: GNI per capita PPP (monthly USD)</t>
        </is>
      </c>
      <c r="M2264" t="inlineStr">
        <is>
          <t>2024-12-31</t>
        </is>
      </c>
      <c r="N2264" t="inlineStr">
        <is>
          <t>auto_ingest=world_bank_col_estimate; gni_annual=34320.0; year=2024; country_proxy=Chile; cohort=Latin America</t>
        </is>
      </c>
    </row>
    <row r="2265">
      <c r="A2265" t="inlineStr">
        <is>
          <t>cl-valparaiso</t>
        </is>
      </c>
      <c r="B2265" t="inlineStr">
        <is>
          <t>Valparaiso</t>
        </is>
      </c>
      <c r="C2265" t="inlineStr">
        <is>
          <t>Chile</t>
        </is>
      </c>
      <c r="D2265" t="inlineStr">
        <is>
          <t>Latin America</t>
        </is>
      </c>
      <c r="E2265" t="inlineStr">
        <is>
          <t>di_ppp_raw</t>
        </is>
      </c>
      <c r="F2265" t="inlineStr">
        <is>
          <t>Disposable income PPP (Raw)</t>
        </is>
      </c>
      <c r="G2265" t="inlineStr">
        <is>
          <t>pressure</t>
        </is>
      </c>
      <c r="H2265" t="inlineStr">
        <is>
          <t>yes</t>
        </is>
      </c>
      <c r="I2265" t="inlineStr"/>
      <c r="J2265" t="inlineStr"/>
      <c r="K2265" t="inlineStr"/>
      <c r="L2265" t="inlineStr"/>
      <c r="M2265" t="inlineStr"/>
      <c r="N2265" t="inlineStr"/>
    </row>
    <row r="2266">
      <c r="A2266" t="inlineStr">
        <is>
          <t>cl-valparaiso</t>
        </is>
      </c>
      <c r="B2266" t="inlineStr">
        <is>
          <t>Valparaiso</t>
        </is>
      </c>
      <c r="C2266" t="inlineStr">
        <is>
          <t>Chile</t>
        </is>
      </c>
      <c r="D2266" t="inlineStr">
        <is>
          <t>Latin America</t>
        </is>
      </c>
      <c r="E2266" t="inlineStr">
        <is>
          <t>rent</t>
        </is>
      </c>
      <c r="F2266" t="inlineStr">
        <is>
          <t>Rent</t>
        </is>
      </c>
      <c r="G2266" t="inlineStr">
        <is>
          <t>pressure</t>
        </is>
      </c>
      <c r="H2266" t="inlineStr">
        <is>
          <t>yes</t>
        </is>
      </c>
      <c r="I2266" t="inlineStr">
        <is>
          <t>572.0</t>
        </is>
      </c>
      <c r="J2266" t="inlineStr">
        <is>
          <t>world_bank_col_estimate</t>
        </is>
      </c>
      <c r="K2266" t="inlineStr">
        <is>
          <t>https://api.worldbank.org/v2/country/CHL/indicator/NY.GNP.PCAP.PP.CD?format=json&amp;mrv=10</t>
        </is>
      </c>
      <c r="L2266" t="inlineStr">
        <is>
          <t>World Bank GNI + regional expenditure ratio estimate</t>
        </is>
      </c>
      <c r="M2266" t="inlineStr">
        <is>
          <t>2024-12-31</t>
        </is>
      </c>
      <c r="N2266" t="inlineStr">
        <is>
          <t>auto_ingest=world_bank_col_estimate; gni_annual=34320.0; year=2024; country_proxy=Chile; cohort=Latin America; city_cost_mult=0.8</t>
        </is>
      </c>
    </row>
    <row r="2267">
      <c r="A2267" t="inlineStr">
        <is>
          <t>cl-valparaiso</t>
        </is>
      </c>
      <c r="B2267" t="inlineStr">
        <is>
          <t>Valparaiso</t>
        </is>
      </c>
      <c r="C2267" t="inlineStr">
        <is>
          <t>Chile</t>
        </is>
      </c>
      <c r="D2267" t="inlineStr">
        <is>
          <t>Latin America</t>
        </is>
      </c>
      <c r="E2267" t="inlineStr">
        <is>
          <t>utilities</t>
        </is>
      </c>
      <c r="F2267" t="inlineStr">
        <is>
          <t>Utilities</t>
        </is>
      </c>
      <c r="G2267" t="inlineStr">
        <is>
          <t>pressure</t>
        </is>
      </c>
      <c r="H2267" t="inlineStr">
        <is>
          <t>yes</t>
        </is>
      </c>
      <c r="I2267" t="inlineStr">
        <is>
          <t>137.28</t>
        </is>
      </c>
      <c r="J2267" t="inlineStr">
        <is>
          <t>world_bank_col_estimate</t>
        </is>
      </c>
      <c r="K2267" t="inlineStr">
        <is>
          <t>https://api.worldbank.org/v2/country/CHL/indicator/NY.GNP.PCAP.PP.CD?format=json&amp;mrv=10</t>
        </is>
      </c>
      <c r="L2267" t="inlineStr">
        <is>
          <t>World Bank GNI + regional expenditure ratio estimate</t>
        </is>
      </c>
      <c r="M2267" t="inlineStr">
        <is>
          <t>2024-12-31</t>
        </is>
      </c>
      <c r="N2267" t="inlineStr">
        <is>
          <t>auto_ingest=world_bank_col_estimate; gni_annual=34320.0; year=2024; country_proxy=Chile; cohort=Latin America; city_cost_mult=0.8</t>
        </is>
      </c>
    </row>
    <row r="2268">
      <c r="A2268" t="inlineStr">
        <is>
          <t>cl-valparaiso</t>
        </is>
      </c>
      <c r="B2268" t="inlineStr">
        <is>
          <t>Valparaiso</t>
        </is>
      </c>
      <c r="C2268" t="inlineStr">
        <is>
          <t>Chile</t>
        </is>
      </c>
      <c r="D2268" t="inlineStr">
        <is>
          <t>Latin America</t>
        </is>
      </c>
      <c r="E2268" t="inlineStr">
        <is>
          <t>transit_cost</t>
        </is>
      </c>
      <c r="F2268" t="inlineStr">
        <is>
          <t>Transit cost</t>
        </is>
      </c>
      <c r="G2268" t="inlineStr">
        <is>
          <t>pressure</t>
        </is>
      </c>
      <c r="H2268" t="inlineStr">
        <is>
          <t>yes</t>
        </is>
      </c>
      <c r="I2268" t="inlineStr">
        <is>
          <t>91.52</t>
        </is>
      </c>
      <c r="J2268" t="inlineStr">
        <is>
          <t>world_bank_col_estimate</t>
        </is>
      </c>
      <c r="K2268" t="inlineStr">
        <is>
          <t>https://api.worldbank.org/v2/country/CHL/indicator/NY.GNP.PCAP.PP.CD?format=json&amp;mrv=10</t>
        </is>
      </c>
      <c r="L2268" t="inlineStr">
        <is>
          <t>World Bank GNI + regional expenditure ratio estimate</t>
        </is>
      </c>
      <c r="M2268" t="inlineStr">
        <is>
          <t>2024-12-31</t>
        </is>
      </c>
      <c r="N2268" t="inlineStr">
        <is>
          <t>auto_ingest=world_bank_col_estimate; gni_annual=34320.0; year=2024; country_proxy=Chile; cohort=Latin America; city_cost_mult=0.8</t>
        </is>
      </c>
    </row>
    <row r="2269">
      <c r="A2269" t="inlineStr">
        <is>
          <t>cl-valparaiso</t>
        </is>
      </c>
      <c r="B2269" t="inlineStr">
        <is>
          <t>Valparaiso</t>
        </is>
      </c>
      <c r="C2269" t="inlineStr">
        <is>
          <t>Chile</t>
        </is>
      </c>
      <c r="D2269" t="inlineStr">
        <is>
          <t>Latin America</t>
        </is>
      </c>
      <c r="E2269" t="inlineStr">
        <is>
          <t>internet_cost</t>
        </is>
      </c>
      <c r="F2269" t="inlineStr">
        <is>
          <t>Internet cost</t>
        </is>
      </c>
      <c r="G2269" t="inlineStr">
        <is>
          <t>pressure</t>
        </is>
      </c>
      <c r="H2269" t="inlineStr">
        <is>
          <t>yes</t>
        </is>
      </c>
      <c r="I2269" t="inlineStr">
        <is>
          <t>34.32</t>
        </is>
      </c>
      <c r="J2269" t="inlineStr">
        <is>
          <t>world_bank_col_estimate</t>
        </is>
      </c>
      <c r="K2269" t="inlineStr">
        <is>
          <t>https://api.worldbank.org/v2/country/CHL/indicator/NY.GNP.PCAP.PP.CD?format=json&amp;mrv=10</t>
        </is>
      </c>
      <c r="L2269" t="inlineStr">
        <is>
          <t>World Bank GNI + regional expenditure ratio estimate</t>
        </is>
      </c>
      <c r="M2269" t="inlineStr">
        <is>
          <t>2024-12-31</t>
        </is>
      </c>
      <c r="N2269" t="inlineStr">
        <is>
          <t>auto_ingest=world_bank_col_estimate; gni_annual=34320.0; year=2024; country_proxy=Chile; cohort=Latin America; city_cost_mult=0.8</t>
        </is>
      </c>
    </row>
    <row r="2270">
      <c r="A2270" t="inlineStr">
        <is>
          <t>cl-valparaiso</t>
        </is>
      </c>
      <c r="B2270" t="inlineStr">
        <is>
          <t>Valparaiso</t>
        </is>
      </c>
      <c r="C2270" t="inlineStr">
        <is>
          <t>Chile</t>
        </is>
      </c>
      <c r="D2270" t="inlineStr">
        <is>
          <t>Latin America</t>
        </is>
      </c>
      <c r="E2270" t="inlineStr">
        <is>
          <t>food_cost</t>
        </is>
      </c>
      <c r="F2270" t="inlineStr">
        <is>
          <t>Food cost</t>
        </is>
      </c>
      <c r="G2270" t="inlineStr">
        <is>
          <t>pressure</t>
        </is>
      </c>
      <c r="H2270" t="inlineStr">
        <is>
          <t>yes</t>
        </is>
      </c>
      <c r="I2270" t="inlineStr">
        <is>
          <t>503.36</t>
        </is>
      </c>
      <c r="J2270" t="inlineStr">
        <is>
          <t>world_bank_col_estimate</t>
        </is>
      </c>
      <c r="K2270" t="inlineStr">
        <is>
          <t>https://api.worldbank.org/v2/country/CHL/indicator/NY.GNP.PCAP.PP.CD?format=json&amp;mrv=10</t>
        </is>
      </c>
      <c r="L2270" t="inlineStr">
        <is>
          <t>World Bank GNI + regional expenditure ratio estimate</t>
        </is>
      </c>
      <c r="M2270" t="inlineStr">
        <is>
          <t>2024-12-31</t>
        </is>
      </c>
      <c r="N2270" t="inlineStr">
        <is>
          <t>auto_ingest=world_bank_col_estimate; gni_annual=34320.0; year=2024; country_proxy=Chile; cohort=Latin America; city_cost_mult=0.8</t>
        </is>
      </c>
    </row>
    <row r="2271">
      <c r="A2271" t="inlineStr">
        <is>
          <t>cl-valparaiso</t>
        </is>
      </c>
      <c r="B2271" t="inlineStr">
        <is>
          <t>Valparaiso</t>
        </is>
      </c>
      <c r="C2271" t="inlineStr">
        <is>
          <t>Chile</t>
        </is>
      </c>
      <c r="D2271" t="inlineStr">
        <is>
          <t>Latin America</t>
        </is>
      </c>
      <c r="E2271" t="inlineStr">
        <is>
          <t>housing_burden_raw</t>
        </is>
      </c>
      <c r="F2271" t="inlineStr">
        <is>
          <t>Housing burden raw</t>
        </is>
      </c>
      <c r="G2271" t="inlineStr">
        <is>
          <t>pressure</t>
        </is>
      </c>
      <c r="H2271" t="inlineStr">
        <is>
          <t>yes</t>
        </is>
      </c>
      <c r="I2271" t="inlineStr">
        <is>
          <t>20.0</t>
        </is>
      </c>
      <c r="J2271" t="inlineStr">
        <is>
          <t>derived</t>
        </is>
      </c>
      <c r="K2271" t="inlineStr">
        <is>
          <t>https://data.worldbank.org/indicator/NY.GNP.PCAP.PP.CD</t>
        </is>
      </c>
      <c r="L2271" t="inlineStr">
        <is>
          <t>Computed from city_inputs + country_context</t>
        </is>
      </c>
      <c r="M2271" t="inlineStr">
        <is>
          <t>2024-01-01</t>
        </is>
      </c>
      <c r="N2271" t="inlineStr">
        <is>
          <t>derived=rent/gross_income*100</t>
        </is>
      </c>
    </row>
    <row r="2272">
      <c r="A2272" t="inlineStr">
        <is>
          <t>cl-valparaiso</t>
        </is>
      </c>
      <c r="B2272" t="inlineStr">
        <is>
          <t>Valparaiso</t>
        </is>
      </c>
      <c r="C2272" t="inlineStr">
        <is>
          <t>Chile</t>
        </is>
      </c>
      <c r="D2272" t="inlineStr">
        <is>
          <t>Latin America</t>
        </is>
      </c>
      <c r="E2272" t="inlineStr">
        <is>
          <t>household_debt_burden_raw</t>
        </is>
      </c>
      <c r="F2272" t="inlineStr">
        <is>
          <t>Household debt burden raw</t>
        </is>
      </c>
      <c r="G2272" t="inlineStr">
        <is>
          <t>pressure</t>
        </is>
      </c>
      <c r="H2272" t="inlineStr">
        <is>
          <t>yes</t>
        </is>
      </c>
      <c r="I2272" t="inlineStr">
        <is>
          <t>74.9355</t>
        </is>
      </c>
      <c r="J2272" t="inlineStr">
        <is>
          <t>derived</t>
        </is>
      </c>
      <c r="K2272" t="inlineStr">
        <is>
          <t>https://data.worldbank.org/indicator/NY.GNP.PCAP.PP.CD</t>
        </is>
      </c>
      <c r="L2272" t="inlineStr">
        <is>
          <t>Computed from city_inputs + country_context</t>
        </is>
      </c>
      <c r="M2272" t="inlineStr">
        <is>
          <t>2024-01-01</t>
        </is>
      </c>
      <c r="N2272" t="inlineStr">
        <is>
          <t>derived=country_context.household_debt_proxy; country=Chile</t>
        </is>
      </c>
    </row>
    <row r="2273">
      <c r="A2273" t="inlineStr">
        <is>
          <t>cl-valparaiso</t>
        </is>
      </c>
      <c r="B2273" t="inlineStr">
        <is>
          <t>Valparaiso</t>
        </is>
      </c>
      <c r="C2273" t="inlineStr">
        <is>
          <t>Chile</t>
        </is>
      </c>
      <c r="D2273" t="inlineStr">
        <is>
          <t>Latin America</t>
        </is>
      </c>
      <c r="E2273" t="inlineStr">
        <is>
          <t>working_time_pressure_raw</t>
        </is>
      </c>
      <c r="F2273" t="inlineStr">
        <is>
          <t>Working time pressure raw</t>
        </is>
      </c>
      <c r="G2273" t="inlineStr">
        <is>
          <t>pressure</t>
        </is>
      </c>
      <c r="H2273" t="inlineStr">
        <is>
          <t>yes</t>
        </is>
      </c>
      <c r="I2273" t="inlineStr">
        <is>
          <t>38.94</t>
        </is>
      </c>
      <c r="J2273" t="inlineStr">
        <is>
          <t>ilo_ilostat</t>
        </is>
      </c>
      <c r="K2273" t="inlineStr">
        <is>
          <t>https://ilostat.ilo.org/data/indicator/?id=HOW_TEMP_SEX_ECO_NB_A&amp;ref_area=CHL</t>
        </is>
      </c>
      <c r="L2273" t="inlineStr">
        <is>
          <t>ILO ILOSTAT: Mean weekly hours actually worked per employed person</t>
        </is>
      </c>
      <c r="M2273" t="inlineStr">
        <is>
          <t>2025-12-31</t>
        </is>
      </c>
      <c r="N2273" t="inlineStr">
        <is>
          <t>auto_ingest=ilo_working_hours; indicator=HOW_TEMP_SEX_ECO_NB_A; year=2025; hours=38.94; country_proxy=Chile</t>
        </is>
      </c>
    </row>
    <row r="2274">
      <c r="A2274" t="inlineStr">
        <is>
          <t>cl-valparaiso</t>
        </is>
      </c>
      <c r="B2274" t="inlineStr">
        <is>
          <t>Valparaiso</t>
        </is>
      </c>
      <c r="C2274" t="inlineStr">
        <is>
          <t>Chile</t>
        </is>
      </c>
      <c r="D2274" t="inlineStr">
        <is>
          <t>Latin America</t>
        </is>
      </c>
      <c r="E2274" t="inlineStr">
        <is>
          <t>suicide_mental_strain_raw</t>
        </is>
      </c>
      <c r="F2274" t="inlineStr">
        <is>
          <t>Suicide or mental strain raw</t>
        </is>
      </c>
      <c r="G2274" t="inlineStr">
        <is>
          <t>pressure</t>
        </is>
      </c>
      <c r="H2274" t="inlineStr">
        <is>
          <t>yes</t>
        </is>
      </c>
      <c r="I2274" t="inlineStr">
        <is>
          <t>7.69</t>
        </is>
      </c>
      <c r="J2274" t="inlineStr">
        <is>
          <t>who_gho</t>
        </is>
      </c>
      <c r="K2274" t="inlineStr">
        <is>
          <t>https://www.who.int/data/gho/data/indicators/indicator-details/GHO/SDGSUICIDE</t>
        </is>
      </c>
      <c r="L2274" t="inlineStr">
        <is>
          <t>WHO GHO: Age-standardized suicide rate (per 100,000 population)</t>
        </is>
      </c>
      <c r="M2274" t="inlineStr">
        <is>
          <t>2021-12-31</t>
        </is>
      </c>
      <c r="N2274" t="inlineStr">
        <is>
          <t>auto_ingest=who_gho; indicator=SDGSUICIDE; year=2021; country_proxy=Chile</t>
        </is>
      </c>
    </row>
    <row r="2275">
      <c r="A2275" t="inlineStr">
        <is>
          <t>cl-valparaiso</t>
        </is>
      </c>
      <c r="B2275" t="inlineStr">
        <is>
          <t>Valparaiso</t>
        </is>
      </c>
      <c r="C2275" t="inlineStr">
        <is>
          <t>Chile</t>
        </is>
      </c>
      <c r="D2275" t="inlineStr">
        <is>
          <t>Latin America</t>
        </is>
      </c>
      <c r="E2275" t="inlineStr">
        <is>
          <t>personal_safety_raw</t>
        </is>
      </c>
      <c r="F2275" t="inlineStr">
        <is>
          <t>Personal safety raw</t>
        </is>
      </c>
      <c r="G2275" t="inlineStr">
        <is>
          <t>viability</t>
        </is>
      </c>
      <c r="H2275" t="inlineStr">
        <is>
          <t>yes</t>
        </is>
      </c>
      <c r="I2275" t="inlineStr">
        <is>
          <t>6.35</t>
        </is>
      </c>
      <c r="J2275" t="inlineStr">
        <is>
          <t>world_bank</t>
        </is>
      </c>
      <c r="K2275" t="inlineStr">
        <is>
          <t>https://api.worldbank.org/v2/country/CHL/indicator/VC.IHR.PSRC.P5?format=json&amp;mrv=10</t>
        </is>
      </c>
      <c r="L2275" t="inlineStr">
        <is>
          <t>UNODC via World Bank WDI: Intentional homicides (per 100,000 people)</t>
        </is>
      </c>
      <c r="M2275" t="inlineStr">
        <is>
          <t>2023-12-31</t>
        </is>
      </c>
      <c r="N2275" t="inlineStr">
        <is>
          <t>auto_ingest=unodc_safety; indicator=VC.IHR.PSRC.P5; year=2023; country_proxy=Chile</t>
        </is>
      </c>
    </row>
    <row r="2276">
      <c r="A2276" t="inlineStr">
        <is>
          <t>cl-valparaiso</t>
        </is>
      </c>
      <c r="B2276" t="inlineStr">
        <is>
          <t>Valparaiso</t>
        </is>
      </c>
      <c r="C2276" t="inlineStr">
        <is>
          <t>Chile</t>
        </is>
      </c>
      <c r="D2276" t="inlineStr">
        <is>
          <t>Latin America</t>
        </is>
      </c>
      <c r="E2276" t="inlineStr">
        <is>
          <t>transit_access_commute_raw</t>
        </is>
      </c>
      <c r="F2276" t="inlineStr">
        <is>
          <t>Transit access and commute raw</t>
        </is>
      </c>
      <c r="G2276" t="inlineStr">
        <is>
          <t>viability</t>
        </is>
      </c>
      <c r="H2276" t="inlineStr">
        <is>
          <t>yes</t>
        </is>
      </c>
      <c r="I2276" t="inlineStr"/>
      <c r="J2276" t="inlineStr"/>
      <c r="K2276" t="inlineStr"/>
      <c r="L2276" t="inlineStr"/>
      <c r="M2276" t="inlineStr"/>
      <c r="N2276" t="inlineStr"/>
    </row>
    <row r="2277">
      <c r="A2277" t="inlineStr">
        <is>
          <t>cl-valparaiso</t>
        </is>
      </c>
      <c r="B2277" t="inlineStr">
        <is>
          <t>Valparaiso</t>
        </is>
      </c>
      <c r="C2277" t="inlineStr">
        <is>
          <t>Chile</t>
        </is>
      </c>
      <c r="D2277" t="inlineStr">
        <is>
          <t>Latin America</t>
        </is>
      </c>
      <c r="E2277" t="inlineStr">
        <is>
          <t>clean_air_raw</t>
        </is>
      </c>
      <c r="F2277" t="inlineStr">
        <is>
          <t>Clean air raw</t>
        </is>
      </c>
      <c r="G2277" t="inlineStr">
        <is>
          <t>viability</t>
        </is>
      </c>
      <c r="H2277" t="inlineStr">
        <is>
          <t>yes</t>
        </is>
      </c>
      <c r="I2277" t="inlineStr"/>
      <c r="J2277" t="inlineStr"/>
      <c r="K2277" t="inlineStr"/>
      <c r="L2277" t="inlineStr"/>
      <c r="M2277" t="inlineStr"/>
      <c r="N2277" t="inlineStr"/>
    </row>
    <row r="2278">
      <c r="A2278" t="inlineStr">
        <is>
          <t>cl-valparaiso</t>
        </is>
      </c>
      <c r="B2278" t="inlineStr">
        <is>
          <t>Valparaiso</t>
        </is>
      </c>
      <c r="C2278" t="inlineStr">
        <is>
          <t>Chile</t>
        </is>
      </c>
      <c r="D2278" t="inlineStr">
        <is>
          <t>Latin America</t>
        </is>
      </c>
      <c r="E2278" t="inlineStr">
        <is>
          <t>water_sanitation_utility_raw</t>
        </is>
      </c>
      <c r="F2278" t="inlineStr">
        <is>
          <t>Water, sanitation, and utility raw</t>
        </is>
      </c>
      <c r="G2278" t="inlineStr">
        <is>
          <t>viability</t>
        </is>
      </c>
      <c r="H2278" t="inlineStr">
        <is>
          <t>yes</t>
        </is>
      </c>
      <c r="I2278" t="inlineStr">
        <is>
          <t>97.82</t>
        </is>
      </c>
      <c r="J2278" t="inlineStr">
        <is>
          <t>world_bank</t>
        </is>
      </c>
      <c r="K2278" t="inlineStr">
        <is>
          <t>https://api.worldbank.org/v2/country/CHL/indicator/SH.H2O.SMDW.ZS?format=json&amp;mrv=10</t>
        </is>
      </c>
      <c r="L2278" t="inlineStr">
        <is>
          <t>World Bank WDI: People using safely managed drinking water services (% of population)</t>
        </is>
      </c>
      <c r="M2278" t="inlineStr">
        <is>
          <t>2024-12-31</t>
        </is>
      </c>
      <c r="N2278" t="inlineStr">
        <is>
          <t>auto_ingest=world_bank_proxy; indicator=SH.H2O.SMDW.ZS; year=2024; country_proxy=Chile</t>
        </is>
      </c>
    </row>
    <row r="2279">
      <c r="A2279" t="inlineStr">
        <is>
          <t>cl-valparaiso</t>
        </is>
      </c>
      <c r="B2279" t="inlineStr">
        <is>
          <t>Valparaiso</t>
        </is>
      </c>
      <c r="C2279" t="inlineStr">
        <is>
          <t>Chile</t>
        </is>
      </c>
      <c r="D2279" t="inlineStr">
        <is>
          <t>Latin America</t>
        </is>
      </c>
      <c r="E2279" t="inlineStr">
        <is>
          <t>digital_infrastructure_raw</t>
        </is>
      </c>
      <c r="F2279" t="inlineStr">
        <is>
          <t>Digital infrastructure raw</t>
        </is>
      </c>
      <c r="G2279" t="inlineStr">
        <is>
          <t>viability</t>
        </is>
      </c>
      <c r="H2279" t="inlineStr">
        <is>
          <t>yes</t>
        </is>
      </c>
      <c r="I2279" t="inlineStr">
        <is>
          <t>23.0</t>
        </is>
      </c>
      <c r="J2279" t="inlineStr">
        <is>
          <t>world_bank</t>
        </is>
      </c>
      <c r="K2279" t="inlineStr">
        <is>
          <t>https://api.worldbank.org/v2/country/CHL/indicator/IT.NET.BBND.P2?format=json&amp;mrv=10</t>
        </is>
      </c>
      <c r="L2279" t="inlineStr">
        <is>
          <t>World Bank WDI: Fixed broadband subscriptions (per 100 people)</t>
        </is>
      </c>
      <c r="M2279" t="inlineStr">
        <is>
          <t>2023-12-31</t>
        </is>
      </c>
      <c r="N2279" t="inlineStr">
        <is>
          <t>auto_ingest=world_bank_proxy; indicator=IT.NET.BBND.P2; year=2023; country_proxy=Chile</t>
        </is>
      </c>
    </row>
    <row r="2280">
      <c r="A2280" t="inlineStr">
        <is>
          <t>cl-valparaiso</t>
        </is>
      </c>
      <c r="B2280" t="inlineStr">
        <is>
          <t>Valparaiso</t>
        </is>
      </c>
      <c r="C2280" t="inlineStr">
        <is>
          <t>Chile</t>
        </is>
      </c>
      <c r="D2280" t="inlineStr">
        <is>
          <t>Latin America</t>
        </is>
      </c>
      <c r="E2280" t="inlineStr">
        <is>
          <t>climate_sunlight_livability_raw</t>
        </is>
      </c>
      <c r="F2280" t="inlineStr">
        <is>
          <t>Climate and sunlight livability raw</t>
        </is>
      </c>
      <c r="G2280" t="inlineStr">
        <is>
          <t>viability</t>
        </is>
      </c>
      <c r="H2280" t="inlineStr">
        <is>
          <t>yes</t>
        </is>
      </c>
      <c r="I2280" t="inlineStr"/>
      <c r="J2280" t="inlineStr"/>
      <c r="K2280" t="inlineStr"/>
      <c r="L2280" t="inlineStr"/>
      <c r="M2280" t="inlineStr"/>
      <c r="N2280" t="inlineStr"/>
    </row>
    <row r="2281">
      <c r="A2281" t="inlineStr">
        <is>
          <t>cl-valparaiso</t>
        </is>
      </c>
      <c r="B2281" t="inlineStr">
        <is>
          <t>Valparaiso</t>
        </is>
      </c>
      <c r="C2281" t="inlineStr">
        <is>
          <t>Chile</t>
        </is>
      </c>
      <c r="D2281" t="inlineStr">
        <is>
          <t>Latin America</t>
        </is>
      </c>
      <c r="E2281" t="inlineStr">
        <is>
          <t>healthcare_quality_raw</t>
        </is>
      </c>
      <c r="F2281" t="inlineStr">
        <is>
          <t>Healthcare quality raw</t>
        </is>
      </c>
      <c r="G2281" t="inlineStr">
        <is>
          <t>capability</t>
        </is>
      </c>
      <c r="H2281" t="inlineStr">
        <is>
          <t>yes</t>
        </is>
      </c>
      <c r="I2281" t="inlineStr">
        <is>
          <t>84.0</t>
        </is>
      </c>
      <c r="J2281" t="inlineStr">
        <is>
          <t>who_gho</t>
        </is>
      </c>
      <c r="K2281" t="inlineStr">
        <is>
          <t>https://www.who.int/data/gho/data/indicators/indicator-details/GHO/UHC_INDEX_REPORTED</t>
        </is>
      </c>
      <c r="L2281" t="inlineStr">
        <is>
          <t>WHO GHO: UHC Service Coverage Index</t>
        </is>
      </c>
      <c r="M2281" t="inlineStr">
        <is>
          <t>2023-12-31</t>
        </is>
      </c>
      <c r="N2281" t="inlineStr">
        <is>
          <t>auto_ingest=who_gho; indicator=UHC_INDEX_REPORTED; year=2023; country_proxy=Chile</t>
        </is>
      </c>
    </row>
    <row r="2282">
      <c r="A2282" t="inlineStr">
        <is>
          <t>cl-valparaiso</t>
        </is>
      </c>
      <c r="B2282" t="inlineStr">
        <is>
          <t>Valparaiso</t>
        </is>
      </c>
      <c r="C2282" t="inlineStr">
        <is>
          <t>Chile</t>
        </is>
      </c>
      <c r="D2282" t="inlineStr">
        <is>
          <t>Latin America</t>
        </is>
      </c>
      <c r="E2282" t="inlineStr">
        <is>
          <t>education_quality_raw</t>
        </is>
      </c>
      <c r="F2282" t="inlineStr">
        <is>
          <t>Education quality raw</t>
        </is>
      </c>
      <c r="G2282" t="inlineStr">
        <is>
          <t>capability</t>
        </is>
      </c>
      <c r="H2282" t="inlineStr">
        <is>
          <t>yes</t>
        </is>
      </c>
      <c r="I2282" t="inlineStr">
        <is>
          <t>104.73</t>
        </is>
      </c>
      <c r="J2282" t="inlineStr">
        <is>
          <t>world_bank</t>
        </is>
      </c>
      <c r="K2282" t="inlineStr">
        <is>
          <t>https://api.worldbank.org/v2/country/CHL/indicator/SE.TER.ENRR?format=json&amp;mrv=10</t>
        </is>
      </c>
      <c r="L2282" t="inlineStr">
        <is>
          <t>World Bank WDI: School enrollment, tertiary (% gross)</t>
        </is>
      </c>
      <c r="M2282" t="inlineStr">
        <is>
          <t>2023-12-31</t>
        </is>
      </c>
      <c r="N2282" t="inlineStr">
        <is>
          <t>auto_ingest=world_bank_proxy; indicator=SE.TER.ENRR; year=2023; country_proxy=Chile</t>
        </is>
      </c>
    </row>
    <row r="2283">
      <c r="A2283" t="inlineStr">
        <is>
          <t>cl-valparaiso</t>
        </is>
      </c>
      <c r="B2283" t="inlineStr">
        <is>
          <t>Valparaiso</t>
        </is>
      </c>
      <c r="C2283" t="inlineStr">
        <is>
          <t>Chile</t>
        </is>
      </c>
      <c r="D2283" t="inlineStr">
        <is>
          <t>Latin America</t>
        </is>
      </c>
      <c r="E2283" t="inlineStr">
        <is>
          <t>equal_opportunity_raw</t>
        </is>
      </c>
      <c r="F2283" t="inlineStr">
        <is>
          <t>Equal opportunity raw</t>
        </is>
      </c>
      <c r="G2283" t="inlineStr">
        <is>
          <t>capability</t>
        </is>
      </c>
      <c r="H2283" t="inlineStr">
        <is>
          <t>yes</t>
        </is>
      </c>
      <c r="I2283" t="inlineStr">
        <is>
          <t>43.0</t>
        </is>
      </c>
      <c r="J2283" t="inlineStr">
        <is>
          <t>world_bank</t>
        </is>
      </c>
      <c r="K2283" t="inlineStr">
        <is>
          <t>https://api.worldbank.org/v2/country/CHL/indicator/SI.POV.GINI?format=json&amp;mrv=10</t>
        </is>
      </c>
      <c r="L2283" t="inlineStr">
        <is>
          <t>World Bank WDI: Gini index</t>
        </is>
      </c>
      <c r="M2283" t="inlineStr">
        <is>
          <t>2022-12-31</t>
        </is>
      </c>
      <c r="N2283" t="inlineStr">
        <is>
          <t>auto_ingest=world_bank_capability; indicator=SI.POV.GINI; year=2022; country_proxy=Chile</t>
        </is>
      </c>
    </row>
    <row r="2284">
      <c r="A2284" t="inlineStr">
        <is>
          <t>cl-valparaiso</t>
        </is>
      </c>
      <c r="B2284" t="inlineStr">
        <is>
          <t>Valparaiso</t>
        </is>
      </c>
      <c r="C2284" t="inlineStr">
        <is>
          <t>Chile</t>
        </is>
      </c>
      <c r="D2284" t="inlineStr">
        <is>
          <t>Latin America</t>
        </is>
      </c>
      <c r="E2284" t="inlineStr">
        <is>
          <t>hospitality_belonging_raw</t>
        </is>
      </c>
      <c r="F2284" t="inlineStr">
        <is>
          <t>Hospitality and belonging raw</t>
        </is>
      </c>
      <c r="G2284" t="inlineStr">
        <is>
          <t>community</t>
        </is>
      </c>
      <c r="H2284" t="inlineStr">
        <is>
          <t>yes</t>
        </is>
      </c>
      <c r="I2284" t="inlineStr">
        <is>
          <t>52.62</t>
        </is>
      </c>
      <c r="J2284" t="inlineStr">
        <is>
          <t>world_bank</t>
        </is>
      </c>
      <c r="K2284" t="inlineStr">
        <is>
          <t>https://api.worldbank.org/v2/country/CHL/indicator/SM.POP.NETM?format=json&amp;mrv=10</t>
        </is>
      </c>
      <c r="L2284" t="inlineStr">
        <is>
          <t>World Bank WDI: Net migration (proxy for hospitality/belonging — positive = welcoming)</t>
        </is>
      </c>
      <c r="M2284" t="inlineStr">
        <is>
          <t>2025-12-31</t>
        </is>
      </c>
      <c r="N2284" t="inlineStr">
        <is>
          <t>auto_ingest=world_bank_proxy; proxy=net_migration_hospitality; indicator=SM.POP.NETM; year=2025; country_proxy=Chile</t>
        </is>
      </c>
    </row>
    <row r="2285">
      <c r="A2285" t="inlineStr">
        <is>
          <t>cl-valparaiso</t>
        </is>
      </c>
      <c r="B2285" t="inlineStr">
        <is>
          <t>Valparaiso</t>
        </is>
      </c>
      <c r="C2285" t="inlineStr">
        <is>
          <t>Chile</t>
        </is>
      </c>
      <c r="D2285" t="inlineStr">
        <is>
          <t>Latin America</t>
        </is>
      </c>
      <c r="E2285" t="inlineStr">
        <is>
          <t>tolerance_pluralism_raw</t>
        </is>
      </c>
      <c r="F2285" t="inlineStr">
        <is>
          <t>Tolerance and pluralism raw</t>
        </is>
      </c>
      <c r="G2285" t="inlineStr">
        <is>
          <t>community</t>
        </is>
      </c>
      <c r="H2285" t="inlineStr">
        <is>
          <t>yes</t>
        </is>
      </c>
      <c r="I2285" t="inlineStr">
        <is>
          <t>35.48</t>
        </is>
      </c>
      <c r="J2285" t="inlineStr">
        <is>
          <t>world_bank</t>
        </is>
      </c>
      <c r="K2285" t="inlineStr">
        <is>
          <t>https://api.worldbank.org/v2/country/CHL/indicator/SG.GEN.PARL.ZS?format=json&amp;mrv=10</t>
        </is>
      </c>
      <c r="L2285" t="inlineStr">
        <is>
          <t>World Bank WDI: Proportion of seats held by women in national parliaments (%)</t>
        </is>
      </c>
      <c r="M2285" t="inlineStr">
        <is>
          <t>2024-12-31</t>
        </is>
      </c>
      <c r="N2285" t="inlineStr">
        <is>
          <t>auto_ingest=world_bank_proxy; proxy=gender_parity_parliament; indicator=SG.GEN.PARL.ZS; year=2024; country_proxy=Chile</t>
        </is>
      </c>
    </row>
    <row r="2286">
      <c r="A2286" t="inlineStr">
        <is>
          <t>cl-valparaiso</t>
        </is>
      </c>
      <c r="B2286" t="inlineStr">
        <is>
          <t>Valparaiso</t>
        </is>
      </c>
      <c r="C2286" t="inlineStr">
        <is>
          <t>Chile</t>
        </is>
      </c>
      <c r="D2286" t="inlineStr">
        <is>
          <t>Latin America</t>
        </is>
      </c>
      <c r="E2286" t="inlineStr">
        <is>
          <t>cultural_public_life_raw</t>
        </is>
      </c>
      <c r="F2286" t="inlineStr">
        <is>
          <t>Cultural public life raw</t>
        </is>
      </c>
      <c r="G2286" t="inlineStr">
        <is>
          <t>community</t>
        </is>
      </c>
      <c r="H2286" t="inlineStr">
        <is>
          <t>yes</t>
        </is>
      </c>
      <c r="I2286" t="inlineStr">
        <is>
          <t>274.78</t>
        </is>
      </c>
      <c r="J2286" t="inlineStr">
        <is>
          <t>world_bank</t>
        </is>
      </c>
      <c r="K2286" t="inlineStr">
        <is>
          <t>https://api.worldbank.org/v2/country/CHL/indicator/ST.INT.ARVL?format=json&amp;mrv=10</t>
        </is>
      </c>
      <c r="L2286" t="inlineStr">
        <is>
          <t>World Bank WDI: International tourism arrivals per 1 000 population</t>
        </is>
      </c>
      <c r="M2286" t="inlineStr">
        <is>
          <t>2019-12-31</t>
        </is>
      </c>
      <c r="N2286" t="inlineStr">
        <is>
          <t>auto_ingest=cultural_life_proxy; indicator=ST.INT.ARVL; norm=per_1000_pop; year=2019; country_proxy=Chile</t>
        </is>
      </c>
    </row>
    <row r="2287">
      <c r="A2287" t="inlineStr">
        <is>
          <t>cl-valparaiso</t>
        </is>
      </c>
      <c r="B2287" t="inlineStr">
        <is>
          <t>Valparaiso</t>
        </is>
      </c>
      <c r="C2287" t="inlineStr">
        <is>
          <t>Chile</t>
        </is>
      </c>
      <c r="D2287" t="inlineStr">
        <is>
          <t>Latin America</t>
        </is>
      </c>
      <c r="E2287" t="inlineStr">
        <is>
          <t>birth_rate_optimism_raw</t>
        </is>
      </c>
      <c r="F2287" t="inlineStr">
        <is>
          <t>Birth rate and societal optimism raw</t>
        </is>
      </c>
      <c r="G2287" t="inlineStr">
        <is>
          <t>community</t>
        </is>
      </c>
      <c r="H2287" t="inlineStr">
        <is>
          <t>yes</t>
        </is>
      </c>
      <c r="I2287" t="inlineStr">
        <is>
          <t>1.44</t>
        </is>
      </c>
      <c r="J2287" t="inlineStr">
        <is>
          <t>world_bank</t>
        </is>
      </c>
      <c r="K2287" t="inlineStr">
        <is>
          <t>https://data.worldbank.org/indicator/SP.DYN.TFRT.IN</t>
        </is>
      </c>
      <c r="L2287" t="inlineStr">
        <is>
          <t>World Bank Total Fertility Rate 2023</t>
        </is>
      </c>
      <c r="M2287" t="inlineStr">
        <is>
          <t>2024-01-01</t>
        </is>
      </c>
      <c r="N2287" t="inlineStr"/>
    </row>
    <row r="2288">
      <c r="A2288" t="inlineStr">
        <is>
          <t>cl-valparaiso</t>
        </is>
      </c>
      <c r="B2288" t="inlineStr">
        <is>
          <t>Valparaiso</t>
        </is>
      </c>
      <c r="C2288" t="inlineStr">
        <is>
          <t>Chile</t>
        </is>
      </c>
      <c r="D2288" t="inlineStr">
        <is>
          <t>Latin America</t>
        </is>
      </c>
      <c r="E2288" t="inlineStr">
        <is>
          <t>entrepreneurial_dynamism_raw</t>
        </is>
      </c>
      <c r="F2288" t="inlineStr">
        <is>
          <t>Entrepreneurial dynamism raw</t>
        </is>
      </c>
      <c r="G2288" t="inlineStr">
        <is>
          <t>creative</t>
        </is>
      </c>
      <c r="H2288" t="inlineStr">
        <is>
          <t>yes</t>
        </is>
      </c>
      <c r="I2288" t="inlineStr">
        <is>
          <t>10.82</t>
        </is>
      </c>
      <c r="J2288" t="inlineStr">
        <is>
          <t>world_bank</t>
        </is>
      </c>
      <c r="K2288" t="inlineStr">
        <is>
          <t>https://api.worldbank.org/v2/country/CHL/indicator/IC.BUS.NDNS.ZS?format=json&amp;mrv=10</t>
        </is>
      </c>
      <c r="L2288" t="inlineStr">
        <is>
          <t>World Bank WDI: New business density (new registrations per 1,000 people ages 15-64)</t>
        </is>
      </c>
      <c r="M2288" t="inlineStr">
        <is>
          <t>2022-12-31</t>
        </is>
      </c>
      <c r="N2288" t="inlineStr">
        <is>
          <t>auto_ingest=world_bank_creative_extended; indicator=IC.BUS.NDNS.ZS; year=2022; country_proxy=Chile</t>
        </is>
      </c>
    </row>
    <row r="2289">
      <c r="A2289" t="inlineStr">
        <is>
          <t>cl-valparaiso</t>
        </is>
      </c>
      <c r="B2289" t="inlineStr">
        <is>
          <t>Valparaiso</t>
        </is>
      </c>
      <c r="C2289" t="inlineStr">
        <is>
          <t>Chile</t>
        </is>
      </c>
      <c r="D2289" t="inlineStr">
        <is>
          <t>Latin America</t>
        </is>
      </c>
      <c r="E2289" t="inlineStr">
        <is>
          <t>innovation_research_intensity_raw</t>
        </is>
      </c>
      <c r="F2289" t="inlineStr">
        <is>
          <t>Innovation and research raw</t>
        </is>
      </c>
      <c r="G2289" t="inlineStr">
        <is>
          <t>creative</t>
        </is>
      </c>
      <c r="H2289" t="inlineStr">
        <is>
          <t>yes</t>
        </is>
      </c>
      <c r="I2289" t="inlineStr">
        <is>
          <t>0.36</t>
        </is>
      </c>
      <c r="J2289" t="inlineStr">
        <is>
          <t>world_bank</t>
        </is>
      </c>
      <c r="K2289" t="inlineStr">
        <is>
          <t>https://api.worldbank.org/v2/country/CHL/indicator/GB.XPD.RSDV.GD.ZS?format=json&amp;mrv=10</t>
        </is>
      </c>
      <c r="L2289" t="inlineStr">
        <is>
          <t>World Bank WDI: Research and development expenditure (% of GDP)</t>
        </is>
      </c>
      <c r="M2289" t="inlineStr">
        <is>
          <t>2021-12-31</t>
        </is>
      </c>
      <c r="N2289" t="inlineStr">
        <is>
          <t>auto_ingest=world_bank_creative_extended; indicator=GB.XPD.RSDV.GD.ZS; year=2021; country_proxy=Chile</t>
        </is>
      </c>
    </row>
    <row r="2290">
      <c r="A2290" t="inlineStr">
        <is>
          <t>cl-valparaiso</t>
        </is>
      </c>
      <c r="B2290" t="inlineStr">
        <is>
          <t>Valparaiso</t>
        </is>
      </c>
      <c r="C2290" t="inlineStr">
        <is>
          <t>Chile</t>
        </is>
      </c>
      <c r="D2290" t="inlineStr">
        <is>
          <t>Latin America</t>
        </is>
      </c>
      <c r="E2290" t="inlineStr">
        <is>
          <t>investment_signal_raw</t>
        </is>
      </c>
      <c r="F2290" t="inlineStr">
        <is>
          <t>Investment signal raw</t>
        </is>
      </c>
      <c r="G2290" t="inlineStr">
        <is>
          <t>creative</t>
        </is>
      </c>
      <c r="H2290" t="inlineStr">
        <is>
          <t>yes</t>
        </is>
      </c>
      <c r="I2290" t="inlineStr">
        <is>
          <t>3.79</t>
        </is>
      </c>
      <c r="J2290" t="inlineStr">
        <is>
          <t>world_bank</t>
        </is>
      </c>
      <c r="K2290" t="inlineStr">
        <is>
          <t>https://api.worldbank.org/v2/country/CHL/indicator/BX.KLT.DINV.WD.GD.ZS?format=json&amp;mrv=10</t>
        </is>
      </c>
      <c r="L2290" t="inlineStr">
        <is>
          <t>World Bank WDI: Foreign direct investment, net inflows (% of GDP)</t>
        </is>
      </c>
      <c r="M2290" t="inlineStr">
        <is>
          <t>2024-12-31</t>
        </is>
      </c>
      <c r="N2290" t="inlineStr">
        <is>
          <t>auto_ingest=world_bank_creative_extended; indicator=BX.KLT.DINV.WD.GD.ZS; year=2024; country_proxy=Chile</t>
        </is>
      </c>
    </row>
    <row r="2291">
      <c r="A2291" t="inlineStr">
        <is>
          <t>cl-valparaiso</t>
        </is>
      </c>
      <c r="B2291" t="inlineStr">
        <is>
          <t>Valparaiso</t>
        </is>
      </c>
      <c r="C2291" t="inlineStr">
        <is>
          <t>Chile</t>
        </is>
      </c>
      <c r="D2291" t="inlineStr">
        <is>
          <t>Latin America</t>
        </is>
      </c>
      <c r="E2291" t="inlineStr">
        <is>
          <t>administrative_investment_friction_raw</t>
        </is>
      </c>
      <c r="F2291" t="inlineStr">
        <is>
          <t>Administrative investment friction raw</t>
        </is>
      </c>
      <c r="G2291" t="inlineStr">
        <is>
          <t>creative</t>
        </is>
      </c>
      <c r="H2291" t="inlineStr">
        <is>
          <t>yes</t>
        </is>
      </c>
      <c r="I2291" t="inlineStr">
        <is>
          <t>1.57</t>
        </is>
      </c>
      <c r="J2291" t="inlineStr">
        <is>
          <t>world_bank</t>
        </is>
      </c>
      <c r="K2291" t="inlineStr">
        <is>
          <t>https://api.worldbank.org/v2/country/CHL/indicator/RQ.EST?format=json&amp;mrv=10</t>
        </is>
      </c>
      <c r="L2291" t="inlineStr">
        <is>
          <t>World Bank WGI: Regulatory Quality (inverted as friction proxy)</t>
        </is>
      </c>
      <c r="M2291" t="inlineStr">
        <is>
          <t>2023-12-31</t>
        </is>
      </c>
      <c r="N2291" t="inlineStr">
        <is>
          <t>auto_ingest=world_bank_business_friction; indicator=RQ.EST; raw_rq=0.925731718540192; friction=1.57; year=2023; country_proxy=Chile</t>
        </is>
      </c>
    </row>
    <row r="2292">
      <c r="A2292" t="inlineStr">
        <is>
          <t>cl-valparaiso</t>
        </is>
      </c>
      <c r="B2292" t="inlineStr">
        <is>
          <t>Valparaiso</t>
        </is>
      </c>
      <c r="C2292" t="inlineStr">
        <is>
          <t>Chile</t>
        </is>
      </c>
      <c r="D2292" t="inlineStr">
        <is>
          <t>Latin America</t>
        </is>
      </c>
      <c r="E2292" t="inlineStr">
        <is>
          <t>visitor_flow_context_raw</t>
        </is>
      </c>
      <c r="F2292" t="inlineStr">
        <is>
          <t>Visitor flow context raw</t>
        </is>
      </c>
      <c r="G2292" t="inlineStr">
        <is>
          <t>creative</t>
        </is>
      </c>
      <c r="H2292" t="inlineStr">
        <is>
          <t>no</t>
        </is>
      </c>
      <c r="I2292" t="inlineStr"/>
      <c r="J2292" t="inlineStr"/>
      <c r="K2292" t="inlineStr"/>
      <c r="L2292" t="inlineStr"/>
      <c r="M2292" t="inlineStr"/>
      <c r="N2292" t="inlineStr"/>
    </row>
    <row r="2293">
      <c r="A2293" t="inlineStr">
        <is>
          <t>ae-dubai</t>
        </is>
      </c>
      <c r="B2293" t="inlineStr">
        <is>
          <t>Dubai</t>
        </is>
      </c>
      <c r="C2293" t="inlineStr">
        <is>
          <t>United Arab Emirates</t>
        </is>
      </c>
      <c r="D2293" t="inlineStr">
        <is>
          <t>Middle East</t>
        </is>
      </c>
      <c r="E2293" t="inlineStr">
        <is>
          <t>gross_income</t>
        </is>
      </c>
      <c r="F2293" t="inlineStr">
        <is>
          <t>Gross income</t>
        </is>
      </c>
      <c r="G2293" t="inlineStr">
        <is>
          <t>pressure</t>
        </is>
      </c>
      <c r="H2293" t="inlineStr">
        <is>
          <t>yes</t>
        </is>
      </c>
      <c r="I2293" t="inlineStr">
        <is>
          <t>7473.58</t>
        </is>
      </c>
      <c r="J2293" t="inlineStr">
        <is>
          <t>world_bank_col_estimate</t>
        </is>
      </c>
      <c r="K2293" t="inlineStr">
        <is>
          <t>https://api.worldbank.org/v2/country/ARE/indicator/NY.GNP.PCAP.PP.CD?format=json&amp;mrv=10</t>
        </is>
      </c>
      <c r="L2293" t="inlineStr">
        <is>
          <t>World Bank WDI: GNI per capita PPP (monthly USD)</t>
        </is>
      </c>
      <c r="M2293" t="inlineStr">
        <is>
          <t>2024-12-31</t>
        </is>
      </c>
      <c r="N2293" t="inlineStr">
        <is>
          <t>auto_ingest=world_bank_col_estimate; gni_annual=81530.0; year=2024; country_proxy=United Arab Emirates; cohort=Middle East; city_income_mult=1.1</t>
        </is>
      </c>
    </row>
    <row r="2294">
      <c r="A2294" t="inlineStr">
        <is>
          <t>ae-dubai</t>
        </is>
      </c>
      <c r="B2294" t="inlineStr">
        <is>
          <t>Dubai</t>
        </is>
      </c>
      <c r="C2294" t="inlineStr">
        <is>
          <t>United Arab Emirates</t>
        </is>
      </c>
      <c r="D2294" t="inlineStr">
        <is>
          <t>Middle East</t>
        </is>
      </c>
      <c r="E2294" t="inlineStr">
        <is>
          <t>di_ppp_raw</t>
        </is>
      </c>
      <c r="F2294" t="inlineStr">
        <is>
          <t>Disposable income PPP (Raw)</t>
        </is>
      </c>
      <c r="G2294" t="inlineStr">
        <is>
          <t>pressure</t>
        </is>
      </c>
      <c r="H2294" t="inlineStr">
        <is>
          <t>yes</t>
        </is>
      </c>
      <c r="I2294" t="inlineStr"/>
      <c r="J2294" t="inlineStr"/>
      <c r="K2294" t="inlineStr"/>
      <c r="L2294" t="inlineStr"/>
      <c r="M2294" t="inlineStr"/>
      <c r="N2294" t="inlineStr"/>
    </row>
    <row r="2295">
      <c r="A2295" t="inlineStr">
        <is>
          <t>ae-dubai</t>
        </is>
      </c>
      <c r="B2295" t="inlineStr">
        <is>
          <t>Dubai</t>
        </is>
      </c>
      <c r="C2295" t="inlineStr">
        <is>
          <t>United Arab Emirates</t>
        </is>
      </c>
      <c r="D2295" t="inlineStr">
        <is>
          <t>Middle East</t>
        </is>
      </c>
      <c r="E2295" t="inlineStr">
        <is>
          <t>rent</t>
        </is>
      </c>
      <c r="F2295" t="inlineStr">
        <is>
          <t>Rent</t>
        </is>
      </c>
      <c r="G2295" t="inlineStr">
        <is>
          <t>pressure</t>
        </is>
      </c>
      <c r="H2295" t="inlineStr">
        <is>
          <t>yes</t>
        </is>
      </c>
      <c r="I2295" t="inlineStr">
        <is>
          <t>2335.49</t>
        </is>
      </c>
      <c r="J2295" t="inlineStr">
        <is>
          <t>world_bank_col_estimate</t>
        </is>
      </c>
      <c r="K2295" t="inlineStr">
        <is>
          <t>https://api.worldbank.org/v2/country/ARE/indicator/NY.GNP.PCAP.PP.CD?format=json&amp;mrv=10</t>
        </is>
      </c>
      <c r="L2295" t="inlineStr">
        <is>
          <t>World Bank GNI + regional expenditure ratio estimate</t>
        </is>
      </c>
      <c r="M2295" t="inlineStr">
        <is>
          <t>2024-12-31</t>
        </is>
      </c>
      <c r="N2295" t="inlineStr">
        <is>
          <t>auto_ingest=world_bank_col_estimate; gni_annual=81530.0; year=2024; country_proxy=United Arab Emirates; cohort=Middle East; city_cost_mult=1.25</t>
        </is>
      </c>
    </row>
    <row r="2296">
      <c r="A2296" t="inlineStr">
        <is>
          <t>ae-dubai</t>
        </is>
      </c>
      <c r="B2296" t="inlineStr">
        <is>
          <t>Dubai</t>
        </is>
      </c>
      <c r="C2296" t="inlineStr">
        <is>
          <t>United Arab Emirates</t>
        </is>
      </c>
      <c r="D2296" t="inlineStr">
        <is>
          <t>Middle East</t>
        </is>
      </c>
      <c r="E2296" t="inlineStr">
        <is>
          <t>utilities</t>
        </is>
      </c>
      <c r="F2296" t="inlineStr">
        <is>
          <t>Utilities</t>
        </is>
      </c>
      <c r="G2296" t="inlineStr">
        <is>
          <t>pressure</t>
        </is>
      </c>
      <c r="H2296" t="inlineStr">
        <is>
          <t>yes</t>
        </is>
      </c>
      <c r="I2296" t="inlineStr">
        <is>
          <t>467.1</t>
        </is>
      </c>
      <c r="J2296" t="inlineStr">
        <is>
          <t>world_bank_col_estimate</t>
        </is>
      </c>
      <c r="K2296" t="inlineStr">
        <is>
          <t>https://api.worldbank.org/v2/country/ARE/indicator/NY.GNP.PCAP.PP.CD?format=json&amp;mrv=10</t>
        </is>
      </c>
      <c r="L2296" t="inlineStr">
        <is>
          <t>World Bank GNI + regional expenditure ratio estimate</t>
        </is>
      </c>
      <c r="M2296" t="inlineStr">
        <is>
          <t>2024-12-31</t>
        </is>
      </c>
      <c r="N2296" t="inlineStr">
        <is>
          <t>auto_ingest=world_bank_col_estimate; gni_annual=81530.0; year=2024; country_proxy=United Arab Emirates; cohort=Middle East; city_cost_mult=1.25</t>
        </is>
      </c>
    </row>
    <row r="2297">
      <c r="A2297" t="inlineStr">
        <is>
          <t>ae-dubai</t>
        </is>
      </c>
      <c r="B2297" t="inlineStr">
        <is>
          <t>Dubai</t>
        </is>
      </c>
      <c r="C2297" t="inlineStr">
        <is>
          <t>United Arab Emirates</t>
        </is>
      </c>
      <c r="D2297" t="inlineStr">
        <is>
          <t>Middle East</t>
        </is>
      </c>
      <c r="E2297" t="inlineStr">
        <is>
          <t>transit_cost</t>
        </is>
      </c>
      <c r="F2297" t="inlineStr">
        <is>
          <t>Transit cost</t>
        </is>
      </c>
      <c r="G2297" t="inlineStr">
        <is>
          <t>pressure</t>
        </is>
      </c>
      <c r="H2297" t="inlineStr">
        <is>
          <t>yes</t>
        </is>
      </c>
      <c r="I2297" t="inlineStr">
        <is>
          <t>373.68</t>
        </is>
      </c>
      <c r="J2297" t="inlineStr">
        <is>
          <t>world_bank_col_estimate</t>
        </is>
      </c>
      <c r="K2297" t="inlineStr">
        <is>
          <t>https://api.worldbank.org/v2/country/ARE/indicator/NY.GNP.PCAP.PP.CD?format=json&amp;mrv=10</t>
        </is>
      </c>
      <c r="L2297" t="inlineStr">
        <is>
          <t>World Bank GNI + regional expenditure ratio estimate</t>
        </is>
      </c>
      <c r="M2297" t="inlineStr">
        <is>
          <t>2024-12-31</t>
        </is>
      </c>
      <c r="N2297" t="inlineStr">
        <is>
          <t>auto_ingest=world_bank_col_estimate; gni_annual=81530.0; year=2024; country_proxy=United Arab Emirates; cohort=Middle East; city_cost_mult=1.25</t>
        </is>
      </c>
    </row>
    <row r="2298">
      <c r="A2298" t="inlineStr">
        <is>
          <t>ae-dubai</t>
        </is>
      </c>
      <c r="B2298" t="inlineStr">
        <is>
          <t>Dubai</t>
        </is>
      </c>
      <c r="C2298" t="inlineStr">
        <is>
          <t>United Arab Emirates</t>
        </is>
      </c>
      <c r="D2298" t="inlineStr">
        <is>
          <t>Middle East</t>
        </is>
      </c>
      <c r="E2298" t="inlineStr">
        <is>
          <t>internet_cost</t>
        </is>
      </c>
      <c r="F2298" t="inlineStr">
        <is>
          <t>Internet cost</t>
        </is>
      </c>
      <c r="G2298" t="inlineStr">
        <is>
          <t>pressure</t>
        </is>
      </c>
      <c r="H2298" t="inlineStr">
        <is>
          <t>yes</t>
        </is>
      </c>
      <c r="I2298" t="inlineStr">
        <is>
          <t>140.13</t>
        </is>
      </c>
      <c r="J2298" t="inlineStr">
        <is>
          <t>world_bank_col_estimate</t>
        </is>
      </c>
      <c r="K2298" t="inlineStr">
        <is>
          <t>https://api.worldbank.org/v2/country/ARE/indicator/NY.GNP.PCAP.PP.CD?format=json&amp;mrv=10</t>
        </is>
      </c>
      <c r="L2298" t="inlineStr">
        <is>
          <t>World Bank GNI + regional expenditure ratio estimate</t>
        </is>
      </c>
      <c r="M2298" t="inlineStr">
        <is>
          <t>2024-12-31</t>
        </is>
      </c>
      <c r="N2298" t="inlineStr">
        <is>
          <t>auto_ingest=world_bank_col_estimate; gni_annual=81530.0; year=2024; country_proxy=United Arab Emirates; cohort=Middle East; city_cost_mult=1.25</t>
        </is>
      </c>
    </row>
    <row r="2299">
      <c r="A2299" t="inlineStr">
        <is>
          <t>ae-dubai</t>
        </is>
      </c>
      <c r="B2299" t="inlineStr">
        <is>
          <t>Dubai</t>
        </is>
      </c>
      <c r="C2299" t="inlineStr">
        <is>
          <t>United Arab Emirates</t>
        </is>
      </c>
      <c r="D2299" t="inlineStr">
        <is>
          <t>Middle East</t>
        </is>
      </c>
      <c r="E2299" t="inlineStr">
        <is>
          <t>food_cost</t>
        </is>
      </c>
      <c r="F2299" t="inlineStr">
        <is>
          <t>Food cost</t>
        </is>
      </c>
      <c r="G2299" t="inlineStr">
        <is>
          <t>pressure</t>
        </is>
      </c>
      <c r="H2299" t="inlineStr">
        <is>
          <t>yes</t>
        </is>
      </c>
      <c r="I2299" t="inlineStr">
        <is>
          <t>1681.56</t>
        </is>
      </c>
      <c r="J2299" t="inlineStr">
        <is>
          <t>world_bank_col_estimate</t>
        </is>
      </c>
      <c r="K2299" t="inlineStr">
        <is>
          <t>https://api.worldbank.org/v2/country/ARE/indicator/NY.GNP.PCAP.PP.CD?format=json&amp;mrv=10</t>
        </is>
      </c>
      <c r="L2299" t="inlineStr">
        <is>
          <t>World Bank GNI + regional expenditure ratio estimate</t>
        </is>
      </c>
      <c r="M2299" t="inlineStr">
        <is>
          <t>2024-12-31</t>
        </is>
      </c>
      <c r="N2299" t="inlineStr">
        <is>
          <t>auto_ingest=world_bank_col_estimate; gni_annual=81530.0; year=2024; country_proxy=United Arab Emirates; cohort=Middle East; city_cost_mult=1.25</t>
        </is>
      </c>
    </row>
    <row r="2300">
      <c r="A2300" t="inlineStr">
        <is>
          <t>ae-dubai</t>
        </is>
      </c>
      <c r="B2300" t="inlineStr">
        <is>
          <t>Dubai</t>
        </is>
      </c>
      <c r="C2300" t="inlineStr">
        <is>
          <t>United Arab Emirates</t>
        </is>
      </c>
      <c r="D2300" t="inlineStr">
        <is>
          <t>Middle East</t>
        </is>
      </c>
      <c r="E2300" t="inlineStr">
        <is>
          <t>housing_burden_raw</t>
        </is>
      </c>
      <c r="F2300" t="inlineStr">
        <is>
          <t>Housing burden raw</t>
        </is>
      </c>
      <c r="G2300" t="inlineStr">
        <is>
          <t>pressure</t>
        </is>
      </c>
      <c r="H2300" t="inlineStr">
        <is>
          <t>yes</t>
        </is>
      </c>
      <c r="I2300" t="inlineStr">
        <is>
          <t>31.2499</t>
        </is>
      </c>
      <c r="J2300" t="inlineStr">
        <is>
          <t>derived</t>
        </is>
      </c>
      <c r="K2300" t="inlineStr">
        <is>
          <t>https://data.worldbank.org/indicator/NY.GNP.PCAP.PP.CD</t>
        </is>
      </c>
      <c r="L2300" t="inlineStr">
        <is>
          <t>Computed from city_inputs + country_context</t>
        </is>
      </c>
      <c r="M2300" t="inlineStr">
        <is>
          <t>2024-01-01</t>
        </is>
      </c>
      <c r="N2300" t="inlineStr">
        <is>
          <t>derived=rent/gross_income*100</t>
        </is>
      </c>
    </row>
    <row r="2301">
      <c r="A2301" t="inlineStr">
        <is>
          <t>ae-dubai</t>
        </is>
      </c>
      <c r="B2301" t="inlineStr">
        <is>
          <t>Dubai</t>
        </is>
      </c>
      <c r="C2301" t="inlineStr">
        <is>
          <t>United Arab Emirates</t>
        </is>
      </c>
      <c r="D2301" t="inlineStr">
        <is>
          <t>Middle East</t>
        </is>
      </c>
      <c r="E2301" t="inlineStr">
        <is>
          <t>household_debt_burden_raw</t>
        </is>
      </c>
      <c r="F2301" t="inlineStr">
        <is>
          <t>Household debt burden raw</t>
        </is>
      </c>
      <c r="G2301" t="inlineStr">
        <is>
          <t>pressure</t>
        </is>
      </c>
      <c r="H2301" t="inlineStr">
        <is>
          <t>yes</t>
        </is>
      </c>
      <c r="I2301" t="inlineStr">
        <is>
          <t>67.9658</t>
        </is>
      </c>
      <c r="J2301" t="inlineStr">
        <is>
          <t>derived</t>
        </is>
      </c>
      <c r="K2301" t="inlineStr">
        <is>
          <t>https://data.worldbank.org/indicator/NY.GNP.PCAP.PP.CD</t>
        </is>
      </c>
      <c r="L2301" t="inlineStr">
        <is>
          <t>Computed from city_inputs + country_context</t>
        </is>
      </c>
      <c r="M2301" t="inlineStr">
        <is>
          <t>2024-01-01</t>
        </is>
      </c>
      <c r="N2301" t="inlineStr">
        <is>
          <t>derived=country_context.household_debt_proxy; country=United Arab Emirates</t>
        </is>
      </c>
    </row>
    <row r="2302">
      <c r="A2302" t="inlineStr">
        <is>
          <t>ae-dubai</t>
        </is>
      </c>
      <c r="B2302" t="inlineStr">
        <is>
          <t>Dubai</t>
        </is>
      </c>
      <c r="C2302" t="inlineStr">
        <is>
          <t>United Arab Emirates</t>
        </is>
      </c>
      <c r="D2302" t="inlineStr">
        <is>
          <t>Middle East</t>
        </is>
      </c>
      <c r="E2302" t="inlineStr">
        <is>
          <t>working_time_pressure_raw</t>
        </is>
      </c>
      <c r="F2302" t="inlineStr">
        <is>
          <t>Working time pressure raw</t>
        </is>
      </c>
      <c r="G2302" t="inlineStr">
        <is>
          <t>pressure</t>
        </is>
      </c>
      <c r="H2302" t="inlineStr">
        <is>
          <t>yes</t>
        </is>
      </c>
      <c r="I2302" t="inlineStr">
        <is>
          <t>50.82</t>
        </is>
      </c>
      <c r="J2302" t="inlineStr">
        <is>
          <t>ilo_ilostat</t>
        </is>
      </c>
      <c r="K2302" t="inlineStr">
        <is>
          <t>https://ilostat.ilo.org/data/indicator/?id=HOW_TEMP_SEX_ECO_NB_A&amp;ref_area=ARE</t>
        </is>
      </c>
      <c r="L2302" t="inlineStr">
        <is>
          <t>ILO ILOSTAT: Mean weekly hours actually worked per employed person</t>
        </is>
      </c>
      <c r="M2302" t="inlineStr">
        <is>
          <t>2024-12-31</t>
        </is>
      </c>
      <c r="N2302" t="inlineStr">
        <is>
          <t>auto_ingest=ilo_working_hours; indicator=HOW_TEMP_SEX_ECO_NB_A; year=2024; hours=50.82; country_proxy=United Arab Emirates</t>
        </is>
      </c>
    </row>
    <row r="2303">
      <c r="A2303" t="inlineStr">
        <is>
          <t>ae-dubai</t>
        </is>
      </c>
      <c r="B2303" t="inlineStr">
        <is>
          <t>Dubai</t>
        </is>
      </c>
      <c r="C2303" t="inlineStr">
        <is>
          <t>United Arab Emirates</t>
        </is>
      </c>
      <c r="D2303" t="inlineStr">
        <is>
          <t>Middle East</t>
        </is>
      </c>
      <c r="E2303" t="inlineStr">
        <is>
          <t>suicide_mental_strain_raw</t>
        </is>
      </c>
      <c r="F2303" t="inlineStr">
        <is>
          <t>Suicide or mental strain raw</t>
        </is>
      </c>
      <c r="G2303" t="inlineStr">
        <is>
          <t>pressure</t>
        </is>
      </c>
      <c r="H2303" t="inlineStr">
        <is>
          <t>yes</t>
        </is>
      </c>
      <c r="I2303" t="inlineStr">
        <is>
          <t>1.71</t>
        </is>
      </c>
      <c r="J2303" t="inlineStr">
        <is>
          <t>who_gho</t>
        </is>
      </c>
      <c r="K2303" t="inlineStr">
        <is>
          <t>https://www.who.int/data/gho/data/indicators/indicator-details/GHO/SDGSUICIDE</t>
        </is>
      </c>
      <c r="L2303" t="inlineStr">
        <is>
          <t>WHO GHO: Age-standardized suicide rate (per 100,000 population)</t>
        </is>
      </c>
      <c r="M2303" t="inlineStr">
        <is>
          <t>2021-12-31</t>
        </is>
      </c>
      <c r="N2303" t="inlineStr">
        <is>
          <t>auto_ingest=who_gho; indicator=SDGSUICIDE; year=2021; country_proxy=United Arab Emirates</t>
        </is>
      </c>
    </row>
    <row r="2304">
      <c r="A2304" t="inlineStr">
        <is>
          <t>ae-dubai</t>
        </is>
      </c>
      <c r="B2304" t="inlineStr">
        <is>
          <t>Dubai</t>
        </is>
      </c>
      <c r="C2304" t="inlineStr">
        <is>
          <t>United Arab Emirates</t>
        </is>
      </c>
      <c r="D2304" t="inlineStr">
        <is>
          <t>Middle East</t>
        </is>
      </c>
      <c r="E2304" t="inlineStr">
        <is>
          <t>personal_safety_raw</t>
        </is>
      </c>
      <c r="F2304" t="inlineStr">
        <is>
          <t>Personal safety raw</t>
        </is>
      </c>
      <c r="G2304" t="inlineStr">
        <is>
          <t>viability</t>
        </is>
      </c>
      <c r="H2304" t="inlineStr">
        <is>
          <t>yes</t>
        </is>
      </c>
      <c r="I2304" t="inlineStr">
        <is>
          <t>0.69</t>
        </is>
      </c>
      <c r="J2304" t="inlineStr">
        <is>
          <t>world_bank</t>
        </is>
      </c>
      <c r="K2304" t="inlineStr">
        <is>
          <t>https://api.worldbank.org/v2/country/ARE/indicator/VC.IHR.PSRC.P5?format=json&amp;mrv=10</t>
        </is>
      </c>
      <c r="L2304" t="inlineStr">
        <is>
          <t>UNODC via World Bank WDI: Intentional homicides (per 100,000 people)</t>
        </is>
      </c>
      <c r="M2304" t="inlineStr">
        <is>
          <t>2022-12-31</t>
        </is>
      </c>
      <c r="N2304" t="inlineStr">
        <is>
          <t>auto_ingest=unodc_safety; indicator=VC.IHR.PSRC.P5; year=2022; country_proxy=United Arab Emirates</t>
        </is>
      </c>
    </row>
    <row r="2305">
      <c r="A2305" t="inlineStr">
        <is>
          <t>ae-dubai</t>
        </is>
      </c>
      <c r="B2305" t="inlineStr">
        <is>
          <t>Dubai</t>
        </is>
      </c>
      <c r="C2305" t="inlineStr">
        <is>
          <t>United Arab Emirates</t>
        </is>
      </c>
      <c r="D2305" t="inlineStr">
        <is>
          <t>Middle East</t>
        </is>
      </c>
      <c r="E2305" t="inlineStr">
        <is>
          <t>transit_access_commute_raw</t>
        </is>
      </c>
      <c r="F2305" t="inlineStr">
        <is>
          <t>Transit access and commute raw</t>
        </is>
      </c>
      <c r="G2305" t="inlineStr">
        <is>
          <t>viability</t>
        </is>
      </c>
      <c r="H2305" t="inlineStr">
        <is>
          <t>yes</t>
        </is>
      </c>
      <c r="I2305" t="inlineStr"/>
      <c r="J2305" t="inlineStr"/>
      <c r="K2305" t="inlineStr"/>
      <c r="L2305" t="inlineStr"/>
      <c r="M2305" t="inlineStr"/>
      <c r="N2305" t="inlineStr"/>
    </row>
    <row r="2306">
      <c r="A2306" t="inlineStr">
        <is>
          <t>ae-dubai</t>
        </is>
      </c>
      <c r="B2306" t="inlineStr">
        <is>
          <t>Dubai</t>
        </is>
      </c>
      <c r="C2306" t="inlineStr">
        <is>
          <t>United Arab Emirates</t>
        </is>
      </c>
      <c r="D2306" t="inlineStr">
        <is>
          <t>Middle East</t>
        </is>
      </c>
      <c r="E2306" t="inlineStr">
        <is>
          <t>clean_air_raw</t>
        </is>
      </c>
      <c r="F2306" t="inlineStr">
        <is>
          <t>Clean air raw</t>
        </is>
      </c>
      <c r="G2306" t="inlineStr">
        <is>
          <t>viability</t>
        </is>
      </c>
      <c r="H2306" t="inlineStr">
        <is>
          <t>yes</t>
        </is>
      </c>
      <c r="I2306" t="inlineStr"/>
      <c r="J2306" t="inlineStr"/>
      <c r="K2306" t="inlineStr"/>
      <c r="L2306" t="inlineStr"/>
      <c r="M2306" t="inlineStr"/>
      <c r="N2306" t="inlineStr"/>
    </row>
    <row r="2307">
      <c r="A2307" t="inlineStr">
        <is>
          <t>ae-dubai</t>
        </is>
      </c>
      <c r="B2307" t="inlineStr">
        <is>
          <t>Dubai</t>
        </is>
      </c>
      <c r="C2307" t="inlineStr">
        <is>
          <t>United Arab Emirates</t>
        </is>
      </c>
      <c r="D2307" t="inlineStr">
        <is>
          <t>Middle East</t>
        </is>
      </c>
      <c r="E2307" t="inlineStr">
        <is>
          <t>water_sanitation_utility_raw</t>
        </is>
      </c>
      <c r="F2307" t="inlineStr">
        <is>
          <t>Water, sanitation, and utility raw</t>
        </is>
      </c>
      <c r="G2307" t="inlineStr">
        <is>
          <t>viability</t>
        </is>
      </c>
      <c r="H2307" t="inlineStr">
        <is>
          <t>yes</t>
        </is>
      </c>
      <c r="I2307" t="inlineStr">
        <is>
          <t>98.64</t>
        </is>
      </c>
      <c r="J2307" t="inlineStr">
        <is>
          <t>world_bank</t>
        </is>
      </c>
      <c r="K2307" t="inlineStr">
        <is>
          <t>https://api.worldbank.org/v2/country/ARE/indicator/SH.H2O.SMDW.ZS?format=json&amp;mrv=10</t>
        </is>
      </c>
      <c r="L2307" t="inlineStr">
        <is>
          <t>World Bank WDI: People using safely managed drinking water services (% of population)</t>
        </is>
      </c>
      <c r="M2307" t="inlineStr">
        <is>
          <t>2024-12-31</t>
        </is>
      </c>
      <c r="N2307" t="inlineStr">
        <is>
          <t>auto_ingest=world_bank_proxy; indicator=SH.H2O.SMDW.ZS; year=2024; country_proxy=United Arab Emirates</t>
        </is>
      </c>
    </row>
    <row r="2308">
      <c r="A2308" t="inlineStr">
        <is>
          <t>ae-dubai</t>
        </is>
      </c>
      <c r="B2308" t="inlineStr">
        <is>
          <t>Dubai</t>
        </is>
      </c>
      <c r="C2308" t="inlineStr">
        <is>
          <t>United Arab Emirates</t>
        </is>
      </c>
      <c r="D2308" t="inlineStr">
        <is>
          <t>Middle East</t>
        </is>
      </c>
      <c r="E2308" t="inlineStr">
        <is>
          <t>digital_infrastructure_raw</t>
        </is>
      </c>
      <c r="F2308" t="inlineStr">
        <is>
          <t>Digital infrastructure raw</t>
        </is>
      </c>
      <c r="G2308" t="inlineStr">
        <is>
          <t>viability</t>
        </is>
      </c>
      <c r="H2308" t="inlineStr">
        <is>
          <t>yes</t>
        </is>
      </c>
      <c r="I2308" t="inlineStr">
        <is>
          <t>37.1</t>
        </is>
      </c>
      <c r="J2308" t="inlineStr">
        <is>
          <t>world_bank</t>
        </is>
      </c>
      <c r="K2308" t="inlineStr">
        <is>
          <t>https://api.worldbank.org/v2/country/ARE/indicator/IT.NET.BBND.P2?format=json&amp;mrv=10</t>
        </is>
      </c>
      <c r="L2308" t="inlineStr">
        <is>
          <t>World Bank WDI: Fixed broadband subscriptions (per 100 people)</t>
        </is>
      </c>
      <c r="M2308" t="inlineStr">
        <is>
          <t>2023-12-31</t>
        </is>
      </c>
      <c r="N2308" t="inlineStr">
        <is>
          <t>auto_ingest=world_bank_proxy; indicator=IT.NET.BBND.P2; year=2023; country_proxy=United Arab Emirates</t>
        </is>
      </c>
    </row>
    <row r="2309">
      <c r="A2309" t="inlineStr">
        <is>
          <t>ae-dubai</t>
        </is>
      </c>
      <c r="B2309" t="inlineStr">
        <is>
          <t>Dubai</t>
        </is>
      </c>
      <c r="C2309" t="inlineStr">
        <is>
          <t>United Arab Emirates</t>
        </is>
      </c>
      <c r="D2309" t="inlineStr">
        <is>
          <t>Middle East</t>
        </is>
      </c>
      <c r="E2309" t="inlineStr">
        <is>
          <t>climate_sunlight_livability_raw</t>
        </is>
      </c>
      <c r="F2309" t="inlineStr">
        <is>
          <t>Climate and sunlight livability raw</t>
        </is>
      </c>
      <c r="G2309" t="inlineStr">
        <is>
          <t>viability</t>
        </is>
      </c>
      <c r="H2309" t="inlineStr">
        <is>
          <t>yes</t>
        </is>
      </c>
      <c r="I2309" t="inlineStr">
        <is>
          <t>35</t>
        </is>
      </c>
      <c r="J2309" t="inlineStr">
        <is>
          <t>wmo_natl_met</t>
        </is>
      </c>
      <c r="K2309" t="inlineStr">
        <is>
          <t>https://worldweather.wmo.int</t>
        </is>
      </c>
      <c r="L2309" t="inlineStr">
        <is>
          <t>WMO/National Met: Climate livability composite</t>
        </is>
      </c>
      <c r="M2309" t="inlineStr">
        <is>
          <t>2024-12-31</t>
        </is>
      </c>
      <c r="N2309" t="inlineStr">
        <is>
          <t>auto_seed=climate_composite; 3500 sun hrs but 28C mean with 45C+ summers, unlivable outdoors Jun-Sep</t>
        </is>
      </c>
    </row>
    <row r="2310">
      <c r="A2310" t="inlineStr">
        <is>
          <t>ae-dubai</t>
        </is>
      </c>
      <c r="B2310" t="inlineStr">
        <is>
          <t>Dubai</t>
        </is>
      </c>
      <c r="C2310" t="inlineStr">
        <is>
          <t>United Arab Emirates</t>
        </is>
      </c>
      <c r="D2310" t="inlineStr">
        <is>
          <t>Middle East</t>
        </is>
      </c>
      <c r="E2310" t="inlineStr">
        <is>
          <t>healthcare_quality_raw</t>
        </is>
      </c>
      <c r="F2310" t="inlineStr">
        <is>
          <t>Healthcare quality raw</t>
        </is>
      </c>
      <c r="G2310" t="inlineStr">
        <is>
          <t>capability</t>
        </is>
      </c>
      <c r="H2310" t="inlineStr">
        <is>
          <t>yes</t>
        </is>
      </c>
      <c r="I2310" t="inlineStr">
        <is>
          <t>84.0</t>
        </is>
      </c>
      <c r="J2310" t="inlineStr">
        <is>
          <t>who_gho</t>
        </is>
      </c>
      <c r="K2310" t="inlineStr">
        <is>
          <t>https://www.who.int/data/gho/data/indicators/indicator-details/GHO/UHC_INDEX_REPORTED</t>
        </is>
      </c>
      <c r="L2310" t="inlineStr">
        <is>
          <t>WHO GHO: UHC Service Coverage Index</t>
        </is>
      </c>
      <c r="M2310" t="inlineStr">
        <is>
          <t>2023-12-31</t>
        </is>
      </c>
      <c r="N2310" t="inlineStr">
        <is>
          <t>auto_ingest=who_gho; indicator=UHC_INDEX_REPORTED; year=2023; country_proxy=United Arab Emirates</t>
        </is>
      </c>
    </row>
    <row r="2311">
      <c r="A2311" t="inlineStr">
        <is>
          <t>ae-dubai</t>
        </is>
      </c>
      <c r="B2311" t="inlineStr">
        <is>
          <t>Dubai</t>
        </is>
      </c>
      <c r="C2311" t="inlineStr">
        <is>
          <t>United Arab Emirates</t>
        </is>
      </c>
      <c r="D2311" t="inlineStr">
        <is>
          <t>Middle East</t>
        </is>
      </c>
      <c r="E2311" t="inlineStr">
        <is>
          <t>education_quality_raw</t>
        </is>
      </c>
      <c r="F2311" t="inlineStr">
        <is>
          <t>Education quality raw</t>
        </is>
      </c>
      <c r="G2311" t="inlineStr">
        <is>
          <t>capability</t>
        </is>
      </c>
      <c r="H2311" t="inlineStr">
        <is>
          <t>yes</t>
        </is>
      </c>
      <c r="I2311" t="inlineStr">
        <is>
          <t>63.74</t>
        </is>
      </c>
      <c r="J2311" t="inlineStr">
        <is>
          <t>world_bank</t>
        </is>
      </c>
      <c r="K2311" t="inlineStr">
        <is>
          <t>https://api.worldbank.org/v2/country/ARE/indicator/SE.TER.ENRR?format=json&amp;mrv=10</t>
        </is>
      </c>
      <c r="L2311" t="inlineStr">
        <is>
          <t>World Bank WDI: School enrollment, tertiary (% gross)</t>
        </is>
      </c>
      <c r="M2311" t="inlineStr">
        <is>
          <t>2024-12-31</t>
        </is>
      </c>
      <c r="N2311" t="inlineStr">
        <is>
          <t>auto_ingest=world_bank_proxy; indicator=SE.TER.ENRR; year=2024; country_proxy=United Arab Emirates</t>
        </is>
      </c>
    </row>
    <row r="2312">
      <c r="A2312" t="inlineStr">
        <is>
          <t>ae-dubai</t>
        </is>
      </c>
      <c r="B2312" t="inlineStr">
        <is>
          <t>Dubai</t>
        </is>
      </c>
      <c r="C2312" t="inlineStr">
        <is>
          <t>United Arab Emirates</t>
        </is>
      </c>
      <c r="D2312" t="inlineStr">
        <is>
          <t>Middle East and North Africa</t>
        </is>
      </c>
      <c r="E2312" t="inlineStr">
        <is>
          <t>equal_opportunity_raw</t>
        </is>
      </c>
      <c r="F2312" t="inlineStr">
        <is>
          <t>Equal opportunity raw</t>
        </is>
      </c>
      <c r="G2312" t="inlineStr">
        <is>
          <t>capability</t>
        </is>
      </c>
      <c r="H2312" t="inlineStr">
        <is>
          <t>yes</t>
        </is>
      </c>
      <c r="I2312" t="inlineStr">
        <is>
          <t>26.4</t>
        </is>
      </c>
      <c r="J2312" t="inlineStr">
        <is>
          <t>world_bank</t>
        </is>
      </c>
      <c r="K2312" t="inlineStr">
        <is>
          <t>https://api.worldbank.org/v2/country/ARE/indicator/SI.POV.GINI?format=json&amp;mrv=10</t>
        </is>
      </c>
      <c r="L2312" t="inlineStr">
        <is>
          <t>World Bank WDI: Gini index</t>
        </is>
      </c>
      <c r="M2312" t="inlineStr">
        <is>
          <t>2018-12-31</t>
        </is>
      </c>
      <c r="N2312" t="inlineStr">
        <is>
          <t>auto_ingest=world_bank_capability; indicator=SI.POV.GINI; year=2018; country_proxy=United Arab Emirates</t>
        </is>
      </c>
    </row>
    <row r="2313">
      <c r="A2313" t="inlineStr">
        <is>
          <t>ae-dubai</t>
        </is>
      </c>
      <c r="B2313" t="inlineStr">
        <is>
          <t>Dubai</t>
        </is>
      </c>
      <c r="C2313" t="inlineStr">
        <is>
          <t>United Arab Emirates</t>
        </is>
      </c>
      <c r="D2313" t="inlineStr">
        <is>
          <t>Middle East</t>
        </is>
      </c>
      <c r="E2313" t="inlineStr">
        <is>
          <t>hospitality_belonging_raw</t>
        </is>
      </c>
      <c r="F2313" t="inlineStr">
        <is>
          <t>Hospitality and belonging raw</t>
        </is>
      </c>
      <c r="G2313" t="inlineStr">
        <is>
          <t>community</t>
        </is>
      </c>
      <c r="H2313" t="inlineStr">
        <is>
          <t>yes</t>
        </is>
      </c>
      <c r="I2313" t="inlineStr">
        <is>
          <t>64.44</t>
        </is>
      </c>
      <c r="J2313" t="inlineStr">
        <is>
          <t>world_bank</t>
        </is>
      </c>
      <c r="K2313" t="inlineStr">
        <is>
          <t>https://api.worldbank.org/v2/country/ARE/indicator/SM.POP.NETM?format=json&amp;mrv=10</t>
        </is>
      </c>
      <c r="L2313" t="inlineStr">
        <is>
          <t>World Bank WDI: Net migration (proxy for hospitality/belonging — positive = welcoming)</t>
        </is>
      </c>
      <c r="M2313" t="inlineStr">
        <is>
          <t>2025-12-31</t>
        </is>
      </c>
      <c r="N2313" t="inlineStr">
        <is>
          <t>auto_ingest=world_bank_proxy; proxy=net_migration_hospitality; indicator=SM.POP.NETM; year=2025; country_proxy=United Arab Emirates</t>
        </is>
      </c>
    </row>
    <row r="2314">
      <c r="A2314" t="inlineStr">
        <is>
          <t>ae-dubai</t>
        </is>
      </c>
      <c r="B2314" t="inlineStr">
        <is>
          <t>Dubai</t>
        </is>
      </c>
      <c r="C2314" t="inlineStr">
        <is>
          <t>United Arab Emirates</t>
        </is>
      </c>
      <c r="D2314" t="inlineStr">
        <is>
          <t>Middle East</t>
        </is>
      </c>
      <c r="E2314" t="inlineStr">
        <is>
          <t>tolerance_pluralism_raw</t>
        </is>
      </c>
      <c r="F2314" t="inlineStr">
        <is>
          <t>Tolerance and pluralism raw</t>
        </is>
      </c>
      <c r="G2314" t="inlineStr">
        <is>
          <t>community</t>
        </is>
      </c>
      <c r="H2314" t="inlineStr">
        <is>
          <t>yes</t>
        </is>
      </c>
      <c r="I2314" t="inlineStr">
        <is>
          <t>50.0</t>
        </is>
      </c>
      <c r="J2314" t="inlineStr">
        <is>
          <t>world_bank</t>
        </is>
      </c>
      <c r="K2314" t="inlineStr">
        <is>
          <t>https://api.worldbank.org/v2/country/ARE/indicator/SG.GEN.PARL.ZS?format=json&amp;mrv=10</t>
        </is>
      </c>
      <c r="L2314" t="inlineStr">
        <is>
          <t>World Bank WDI: Proportion of seats held by women in national parliaments (%)</t>
        </is>
      </c>
      <c r="M2314" t="inlineStr">
        <is>
          <t>2024-12-31</t>
        </is>
      </c>
      <c r="N2314" t="inlineStr">
        <is>
          <t>auto_ingest=world_bank_proxy; proxy=gender_parity_parliament; indicator=SG.GEN.PARL.ZS; year=2024; country_proxy=United Arab Emirates</t>
        </is>
      </c>
    </row>
    <row r="2315">
      <c r="A2315" t="inlineStr">
        <is>
          <t>ae-dubai</t>
        </is>
      </c>
      <c r="B2315" t="inlineStr">
        <is>
          <t>Dubai</t>
        </is>
      </c>
      <c r="C2315" t="inlineStr">
        <is>
          <t>United Arab Emirates</t>
        </is>
      </c>
      <c r="D2315" t="inlineStr">
        <is>
          <t>Middle East</t>
        </is>
      </c>
      <c r="E2315" t="inlineStr">
        <is>
          <t>cultural_public_life_raw</t>
        </is>
      </c>
      <c r="F2315" t="inlineStr">
        <is>
          <t>Cultural public life raw</t>
        </is>
      </c>
      <c r="G2315" t="inlineStr">
        <is>
          <t>community</t>
        </is>
      </c>
      <c r="H2315" t="inlineStr">
        <is>
          <t>yes</t>
        </is>
      </c>
      <c r="I2315" t="inlineStr">
        <is>
          <t>735.82</t>
        </is>
      </c>
      <c r="J2315" t="inlineStr">
        <is>
          <t>world_bank</t>
        </is>
      </c>
      <c r="K2315" t="inlineStr">
        <is>
          <t>https://api.worldbank.org/v2/country/ARE/indicator/ST.INT.ARVL?format=json&amp;mrv=10</t>
        </is>
      </c>
      <c r="L2315" t="inlineStr">
        <is>
          <t>World Bank WDI: International tourism arrivals per 1 000 population</t>
        </is>
      </c>
      <c r="M2315" t="inlineStr">
        <is>
          <t>2020-12-31</t>
        </is>
      </c>
      <c r="N2315" t="inlineStr">
        <is>
          <t>auto_ingest=cultural_life_proxy; indicator=ST.INT.ARVL; norm=per_1000_pop; year=2020; country_proxy=United Arab Emirates</t>
        </is>
      </c>
    </row>
    <row r="2316">
      <c r="A2316" t="inlineStr">
        <is>
          <t>ae-dubai</t>
        </is>
      </c>
      <c r="B2316" t="inlineStr">
        <is>
          <t>Dubai</t>
        </is>
      </c>
      <c r="C2316" t="inlineStr">
        <is>
          <t>United Arab Emirates</t>
        </is>
      </c>
      <c r="D2316" t="inlineStr">
        <is>
          <t>Middle East</t>
        </is>
      </c>
      <c r="E2316" t="inlineStr">
        <is>
          <t>birth_rate_optimism_raw</t>
        </is>
      </c>
      <c r="F2316" t="inlineStr">
        <is>
          <t>Birth rate and societal optimism raw</t>
        </is>
      </c>
      <c r="G2316" t="inlineStr">
        <is>
          <t>community</t>
        </is>
      </c>
      <c r="H2316" t="inlineStr">
        <is>
          <t>yes</t>
        </is>
      </c>
      <c r="I2316" t="inlineStr"/>
      <c r="J2316" t="inlineStr"/>
      <c r="K2316" t="inlineStr"/>
      <c r="L2316" t="inlineStr"/>
      <c r="M2316" t="inlineStr"/>
      <c r="N2316" t="inlineStr"/>
    </row>
    <row r="2317">
      <c r="A2317" t="inlineStr">
        <is>
          <t>ae-dubai</t>
        </is>
      </c>
      <c r="B2317" t="inlineStr">
        <is>
          <t>Dubai</t>
        </is>
      </c>
      <c r="C2317" t="inlineStr">
        <is>
          <t>United Arab Emirates</t>
        </is>
      </c>
      <c r="D2317" t="inlineStr">
        <is>
          <t>Middle East</t>
        </is>
      </c>
      <c r="E2317" t="inlineStr">
        <is>
          <t>entrepreneurial_dynamism_raw</t>
        </is>
      </c>
      <c r="F2317" t="inlineStr">
        <is>
          <t>Entrepreneurial dynamism raw</t>
        </is>
      </c>
      <c r="G2317" t="inlineStr">
        <is>
          <t>creative</t>
        </is>
      </c>
      <c r="H2317" t="inlineStr">
        <is>
          <t>yes</t>
        </is>
      </c>
      <c r="I2317" t="inlineStr">
        <is>
          <t>2.46</t>
        </is>
      </c>
      <c r="J2317" t="inlineStr">
        <is>
          <t>world_bank</t>
        </is>
      </c>
      <c r="K2317" t="inlineStr">
        <is>
          <t>https://api.worldbank.org/v2/country/ARE/indicator/IC.BUS.NDNS.ZS?format=json&amp;mrv=10</t>
        </is>
      </c>
      <c r="L2317" t="inlineStr">
        <is>
          <t>World Bank WDI: New business density (new registrations per 1,000 people ages 15-64)</t>
        </is>
      </c>
      <c r="M2317" t="inlineStr">
        <is>
          <t>2020-12-31</t>
        </is>
      </c>
      <c r="N2317" t="inlineStr">
        <is>
          <t>auto_ingest=world_bank_creative_extended; indicator=IC.BUS.NDNS.ZS; year=2020; country_proxy=United Arab Emirates</t>
        </is>
      </c>
    </row>
    <row r="2318">
      <c r="A2318" t="inlineStr">
        <is>
          <t>ae-dubai</t>
        </is>
      </c>
      <c r="B2318" t="inlineStr">
        <is>
          <t>Dubai</t>
        </is>
      </c>
      <c r="C2318" t="inlineStr">
        <is>
          <t>United Arab Emirates</t>
        </is>
      </c>
      <c r="D2318" t="inlineStr">
        <is>
          <t>Middle East</t>
        </is>
      </c>
      <c r="E2318" t="inlineStr">
        <is>
          <t>innovation_research_intensity_raw</t>
        </is>
      </c>
      <c r="F2318" t="inlineStr">
        <is>
          <t>Innovation and research raw</t>
        </is>
      </c>
      <c r="G2318" t="inlineStr">
        <is>
          <t>creative</t>
        </is>
      </c>
      <c r="H2318" t="inlineStr">
        <is>
          <t>yes</t>
        </is>
      </c>
      <c r="I2318" t="inlineStr">
        <is>
          <t>1.49</t>
        </is>
      </c>
      <c r="J2318" t="inlineStr">
        <is>
          <t>world_bank</t>
        </is>
      </c>
      <c r="K2318" t="inlineStr">
        <is>
          <t>https://api.worldbank.org/v2/country/ARE/indicator/GB.XPD.RSDV.GD.ZS?format=json&amp;mrv=10</t>
        </is>
      </c>
      <c r="L2318" t="inlineStr">
        <is>
          <t>World Bank WDI: Research and development expenditure (% of GDP)</t>
        </is>
      </c>
      <c r="M2318" t="inlineStr">
        <is>
          <t>2021-12-31</t>
        </is>
      </c>
      <c r="N2318" t="inlineStr">
        <is>
          <t>auto_ingest=world_bank_creative_extended; indicator=GB.XPD.RSDV.GD.ZS; year=2021; country_proxy=United Arab Emirates</t>
        </is>
      </c>
    </row>
    <row r="2319">
      <c r="A2319" t="inlineStr">
        <is>
          <t>ae-dubai</t>
        </is>
      </c>
      <c r="B2319" t="inlineStr">
        <is>
          <t>Dubai</t>
        </is>
      </c>
      <c r="C2319" t="inlineStr">
        <is>
          <t>United Arab Emirates</t>
        </is>
      </c>
      <c r="D2319" t="inlineStr">
        <is>
          <t>Middle East</t>
        </is>
      </c>
      <c r="E2319" t="inlineStr">
        <is>
          <t>investment_signal_raw</t>
        </is>
      </c>
      <c r="F2319" t="inlineStr">
        <is>
          <t>Investment signal raw</t>
        </is>
      </c>
      <c r="G2319" t="inlineStr">
        <is>
          <t>creative</t>
        </is>
      </c>
      <c r="H2319" t="inlineStr">
        <is>
          <t>yes</t>
        </is>
      </c>
      <c r="I2319" t="inlineStr">
        <is>
          <t>8.26</t>
        </is>
      </c>
      <c r="J2319" t="inlineStr">
        <is>
          <t>world_bank</t>
        </is>
      </c>
      <c r="K2319" t="inlineStr">
        <is>
          <t>https://api.worldbank.org/v2/country/ARE/indicator/BX.KLT.DINV.WD.GD.ZS?format=json&amp;mrv=10</t>
        </is>
      </c>
      <c r="L2319" t="inlineStr">
        <is>
          <t>World Bank WDI: Foreign direct investment, net inflows (% of GDP)</t>
        </is>
      </c>
      <c r="M2319" t="inlineStr">
        <is>
          <t>2024-12-31</t>
        </is>
      </c>
      <c r="N2319" t="inlineStr">
        <is>
          <t>auto_ingest=world_bank_creative_extended; indicator=BX.KLT.DINV.WD.GD.ZS; year=2024; country_proxy=United Arab Emirates</t>
        </is>
      </c>
    </row>
    <row r="2320">
      <c r="A2320" t="inlineStr">
        <is>
          <t>ae-dubai</t>
        </is>
      </c>
      <c r="B2320" t="inlineStr">
        <is>
          <t>Dubai</t>
        </is>
      </c>
      <c r="C2320" t="inlineStr">
        <is>
          <t>United Arab Emirates</t>
        </is>
      </c>
      <c r="D2320" t="inlineStr">
        <is>
          <t>Middle East</t>
        </is>
      </c>
      <c r="E2320" t="inlineStr">
        <is>
          <t>administrative_investment_friction_raw</t>
        </is>
      </c>
      <c r="F2320" t="inlineStr">
        <is>
          <t>Administrative investment friction raw</t>
        </is>
      </c>
      <c r="G2320" t="inlineStr">
        <is>
          <t>creative</t>
        </is>
      </c>
      <c r="H2320" t="inlineStr">
        <is>
          <t>yes</t>
        </is>
      </c>
      <c r="I2320" t="inlineStr">
        <is>
          <t>1.46</t>
        </is>
      </c>
      <c r="J2320" t="inlineStr">
        <is>
          <t>world_bank</t>
        </is>
      </c>
      <c r="K2320" t="inlineStr">
        <is>
          <t>https://api.worldbank.org/v2/country/ARE/indicator/RQ.EST?format=json&amp;mrv=10</t>
        </is>
      </c>
      <c r="L2320" t="inlineStr">
        <is>
          <t>World Bank WGI: Regulatory Quality (inverted as friction proxy)</t>
        </is>
      </c>
      <c r="M2320" t="inlineStr">
        <is>
          <t>2023-12-31</t>
        </is>
      </c>
      <c r="N2320" t="inlineStr">
        <is>
          <t>auto_ingest=world_bank_business_friction; indicator=RQ.EST; raw_rq=1.04239141941071; friction=1.46; year=2023; country_proxy=United Arab Emirates</t>
        </is>
      </c>
    </row>
    <row r="2321">
      <c r="A2321" t="inlineStr">
        <is>
          <t>ae-dubai</t>
        </is>
      </c>
      <c r="B2321" t="inlineStr">
        <is>
          <t>Dubai</t>
        </is>
      </c>
      <c r="C2321" t="inlineStr">
        <is>
          <t>United Arab Emirates</t>
        </is>
      </c>
      <c r="D2321" t="inlineStr">
        <is>
          <t>Middle East</t>
        </is>
      </c>
      <c r="E2321" t="inlineStr">
        <is>
          <t>visitor_flow_context_raw</t>
        </is>
      </c>
      <c r="F2321" t="inlineStr">
        <is>
          <t>Visitor flow context raw</t>
        </is>
      </c>
      <c r="G2321" t="inlineStr">
        <is>
          <t>creative</t>
        </is>
      </c>
      <c r="H2321" t="inlineStr">
        <is>
          <t>no</t>
        </is>
      </c>
      <c r="I2321" t="inlineStr"/>
      <c r="J2321" t="inlineStr"/>
      <c r="K2321" t="inlineStr"/>
      <c r="L2321" t="inlineStr"/>
      <c r="M2321" t="inlineStr"/>
      <c r="N2321" t="inlineStr"/>
    </row>
    <row r="2322">
      <c r="A2322" t="inlineStr">
        <is>
          <t>ae-abu-dhabi</t>
        </is>
      </c>
      <c r="B2322" t="inlineStr">
        <is>
          <t>Abu Dhabi</t>
        </is>
      </c>
      <c r="C2322" t="inlineStr">
        <is>
          <t>United Arab Emirates</t>
        </is>
      </c>
      <c r="D2322" t="inlineStr">
        <is>
          <t>Middle East</t>
        </is>
      </c>
      <c r="E2322" t="inlineStr">
        <is>
          <t>gross_income</t>
        </is>
      </c>
      <c r="F2322" t="inlineStr">
        <is>
          <t>Gross income</t>
        </is>
      </c>
      <c r="G2322" t="inlineStr">
        <is>
          <t>pressure</t>
        </is>
      </c>
      <c r="H2322" t="inlineStr">
        <is>
          <t>yes</t>
        </is>
      </c>
      <c r="I2322" t="inlineStr">
        <is>
          <t>7813.29</t>
        </is>
      </c>
      <c r="J2322" t="inlineStr">
        <is>
          <t>world_bank_col_estimate</t>
        </is>
      </c>
      <c r="K2322" t="inlineStr">
        <is>
          <t>https://api.worldbank.org/v2/country/ARE/indicator/NY.GNP.PCAP.PP.CD?format=json&amp;mrv=10</t>
        </is>
      </c>
      <c r="L2322" t="inlineStr">
        <is>
          <t>World Bank WDI: GNI per capita PPP (monthly USD)</t>
        </is>
      </c>
      <c r="M2322" t="inlineStr">
        <is>
          <t>2024-12-31</t>
        </is>
      </c>
      <c r="N2322" t="inlineStr">
        <is>
          <t>auto_ingest=world_bank_col_estimate; gni_annual=81530.0; year=2024; country_proxy=United Arab Emirates; cohort=Middle East; city_income_mult=1.15</t>
        </is>
      </c>
    </row>
    <row r="2323">
      <c r="A2323" t="inlineStr">
        <is>
          <t>ae-abu-dhabi</t>
        </is>
      </c>
      <c r="B2323" t="inlineStr">
        <is>
          <t>Abu Dhabi</t>
        </is>
      </c>
      <c r="C2323" t="inlineStr">
        <is>
          <t>United Arab Emirates</t>
        </is>
      </c>
      <c r="D2323" t="inlineStr">
        <is>
          <t>Middle East</t>
        </is>
      </c>
      <c r="E2323" t="inlineStr">
        <is>
          <t>di_ppp_raw</t>
        </is>
      </c>
      <c r="F2323" t="inlineStr">
        <is>
          <t>Disposable income PPP (Raw)</t>
        </is>
      </c>
      <c r="G2323" t="inlineStr">
        <is>
          <t>pressure</t>
        </is>
      </c>
      <c r="H2323" t="inlineStr">
        <is>
          <t>yes</t>
        </is>
      </c>
      <c r="I2323" t="inlineStr"/>
      <c r="J2323" t="inlineStr"/>
      <c r="K2323" t="inlineStr"/>
      <c r="L2323" t="inlineStr"/>
      <c r="M2323" t="inlineStr"/>
      <c r="N2323" t="inlineStr"/>
    </row>
    <row r="2324">
      <c r="A2324" t="inlineStr">
        <is>
          <t>ae-abu-dhabi</t>
        </is>
      </c>
      <c r="B2324" t="inlineStr">
        <is>
          <t>Abu Dhabi</t>
        </is>
      </c>
      <c r="C2324" t="inlineStr">
        <is>
          <t>United Arab Emirates</t>
        </is>
      </c>
      <c r="D2324" t="inlineStr">
        <is>
          <t>Middle East</t>
        </is>
      </c>
      <c r="E2324" t="inlineStr">
        <is>
          <t>rent</t>
        </is>
      </c>
      <c r="F2324" t="inlineStr">
        <is>
          <t>Rent</t>
        </is>
      </c>
      <c r="G2324" t="inlineStr">
        <is>
          <t>pressure</t>
        </is>
      </c>
      <c r="H2324" t="inlineStr">
        <is>
          <t>yes</t>
        </is>
      </c>
      <c r="I2324" t="inlineStr">
        <is>
          <t>2343.99</t>
        </is>
      </c>
      <c r="J2324" t="inlineStr">
        <is>
          <t>world_bank_col_estimate</t>
        </is>
      </c>
      <c r="K2324" t="inlineStr">
        <is>
          <t>https://api.worldbank.org/v2/country/ARE/indicator/NY.GNP.PCAP.PP.CD?format=json&amp;mrv=10</t>
        </is>
      </c>
      <c r="L2324" t="inlineStr">
        <is>
          <t>World Bank GNI + regional expenditure ratio estimate</t>
        </is>
      </c>
      <c r="M2324" t="inlineStr">
        <is>
          <t>2024-12-31</t>
        </is>
      </c>
      <c r="N2324" t="inlineStr">
        <is>
          <t>auto_ingest=world_bank_col_estimate; gni_annual=81530.0; year=2024; country_proxy=United Arab Emirates; cohort=Middle East; city_cost_mult=1.2</t>
        </is>
      </c>
    </row>
    <row r="2325">
      <c r="A2325" t="inlineStr">
        <is>
          <t>ae-abu-dhabi</t>
        </is>
      </c>
      <c r="B2325" t="inlineStr">
        <is>
          <t>Abu Dhabi</t>
        </is>
      </c>
      <c r="C2325" t="inlineStr">
        <is>
          <t>United Arab Emirates</t>
        </is>
      </c>
      <c r="D2325" t="inlineStr">
        <is>
          <t>Middle East</t>
        </is>
      </c>
      <c r="E2325" t="inlineStr">
        <is>
          <t>utilities</t>
        </is>
      </c>
      <c r="F2325" t="inlineStr">
        <is>
          <t>Utilities</t>
        </is>
      </c>
      <c r="G2325" t="inlineStr">
        <is>
          <t>pressure</t>
        </is>
      </c>
      <c r="H2325" t="inlineStr">
        <is>
          <t>yes</t>
        </is>
      </c>
      <c r="I2325" t="inlineStr">
        <is>
          <t>468.8</t>
        </is>
      </c>
      <c r="J2325" t="inlineStr">
        <is>
          <t>world_bank_col_estimate</t>
        </is>
      </c>
      <c r="K2325" t="inlineStr">
        <is>
          <t>https://api.worldbank.org/v2/country/ARE/indicator/NY.GNP.PCAP.PP.CD?format=json&amp;mrv=10</t>
        </is>
      </c>
      <c r="L2325" t="inlineStr">
        <is>
          <t>World Bank GNI + regional expenditure ratio estimate</t>
        </is>
      </c>
      <c r="M2325" t="inlineStr">
        <is>
          <t>2024-12-31</t>
        </is>
      </c>
      <c r="N2325" t="inlineStr">
        <is>
          <t>auto_ingest=world_bank_col_estimate; gni_annual=81530.0; year=2024; country_proxy=United Arab Emirates; cohort=Middle East; city_cost_mult=1.2</t>
        </is>
      </c>
    </row>
    <row r="2326">
      <c r="A2326" t="inlineStr">
        <is>
          <t>ae-abu-dhabi</t>
        </is>
      </c>
      <c r="B2326" t="inlineStr">
        <is>
          <t>Abu Dhabi</t>
        </is>
      </c>
      <c r="C2326" t="inlineStr">
        <is>
          <t>United Arab Emirates</t>
        </is>
      </c>
      <c r="D2326" t="inlineStr">
        <is>
          <t>Middle East</t>
        </is>
      </c>
      <c r="E2326" t="inlineStr">
        <is>
          <t>transit_cost</t>
        </is>
      </c>
      <c r="F2326" t="inlineStr">
        <is>
          <t>Transit cost</t>
        </is>
      </c>
      <c r="G2326" t="inlineStr">
        <is>
          <t>pressure</t>
        </is>
      </c>
      <c r="H2326" t="inlineStr">
        <is>
          <t>yes</t>
        </is>
      </c>
      <c r="I2326" t="inlineStr">
        <is>
          <t>375.04</t>
        </is>
      </c>
      <c r="J2326" t="inlineStr">
        <is>
          <t>world_bank_col_estimate</t>
        </is>
      </c>
      <c r="K2326" t="inlineStr">
        <is>
          <t>https://api.worldbank.org/v2/country/ARE/indicator/NY.GNP.PCAP.PP.CD?format=json&amp;mrv=10</t>
        </is>
      </c>
      <c r="L2326" t="inlineStr">
        <is>
          <t>World Bank GNI + regional expenditure ratio estimate</t>
        </is>
      </c>
      <c r="M2326" t="inlineStr">
        <is>
          <t>2024-12-31</t>
        </is>
      </c>
      <c r="N2326" t="inlineStr">
        <is>
          <t>auto_ingest=world_bank_col_estimate; gni_annual=81530.0; year=2024; country_proxy=United Arab Emirates; cohort=Middle East; city_cost_mult=1.2</t>
        </is>
      </c>
    </row>
    <row r="2327">
      <c r="A2327" t="inlineStr">
        <is>
          <t>ae-abu-dhabi</t>
        </is>
      </c>
      <c r="B2327" t="inlineStr">
        <is>
          <t>Abu Dhabi</t>
        </is>
      </c>
      <c r="C2327" t="inlineStr">
        <is>
          <t>United Arab Emirates</t>
        </is>
      </c>
      <c r="D2327" t="inlineStr">
        <is>
          <t>Middle East</t>
        </is>
      </c>
      <c r="E2327" t="inlineStr">
        <is>
          <t>internet_cost</t>
        </is>
      </c>
      <c r="F2327" t="inlineStr">
        <is>
          <t>Internet cost</t>
        </is>
      </c>
      <c r="G2327" t="inlineStr">
        <is>
          <t>pressure</t>
        </is>
      </c>
      <c r="H2327" t="inlineStr">
        <is>
          <t>yes</t>
        </is>
      </c>
      <c r="I2327" t="inlineStr">
        <is>
          <t>140.64</t>
        </is>
      </c>
      <c r="J2327" t="inlineStr">
        <is>
          <t>world_bank_col_estimate</t>
        </is>
      </c>
      <c r="K2327" t="inlineStr">
        <is>
          <t>https://api.worldbank.org/v2/country/ARE/indicator/NY.GNP.PCAP.PP.CD?format=json&amp;mrv=10</t>
        </is>
      </c>
      <c r="L2327" t="inlineStr">
        <is>
          <t>World Bank GNI + regional expenditure ratio estimate</t>
        </is>
      </c>
      <c r="M2327" t="inlineStr">
        <is>
          <t>2024-12-31</t>
        </is>
      </c>
      <c r="N2327" t="inlineStr">
        <is>
          <t>auto_ingest=world_bank_col_estimate; gni_annual=81530.0; year=2024; country_proxy=United Arab Emirates; cohort=Middle East; city_cost_mult=1.2</t>
        </is>
      </c>
    </row>
    <row r="2328">
      <c r="A2328" t="inlineStr">
        <is>
          <t>ae-abu-dhabi</t>
        </is>
      </c>
      <c r="B2328" t="inlineStr">
        <is>
          <t>Abu Dhabi</t>
        </is>
      </c>
      <c r="C2328" t="inlineStr">
        <is>
          <t>United Arab Emirates</t>
        </is>
      </c>
      <c r="D2328" t="inlineStr">
        <is>
          <t>Middle East</t>
        </is>
      </c>
      <c r="E2328" t="inlineStr">
        <is>
          <t>food_cost</t>
        </is>
      </c>
      <c r="F2328" t="inlineStr">
        <is>
          <t>Food cost</t>
        </is>
      </c>
      <c r="G2328" t="inlineStr">
        <is>
          <t>pressure</t>
        </is>
      </c>
      <c r="H2328" t="inlineStr">
        <is>
          <t>yes</t>
        </is>
      </c>
      <c r="I2328" t="inlineStr">
        <is>
          <t>1687.67</t>
        </is>
      </c>
      <c r="J2328" t="inlineStr">
        <is>
          <t>world_bank_col_estimate</t>
        </is>
      </c>
      <c r="K2328" t="inlineStr">
        <is>
          <t>https://api.worldbank.org/v2/country/ARE/indicator/NY.GNP.PCAP.PP.CD?format=json&amp;mrv=10</t>
        </is>
      </c>
      <c r="L2328" t="inlineStr">
        <is>
          <t>World Bank GNI + regional expenditure ratio estimate</t>
        </is>
      </c>
      <c r="M2328" t="inlineStr">
        <is>
          <t>2024-12-31</t>
        </is>
      </c>
      <c r="N2328" t="inlineStr">
        <is>
          <t>auto_ingest=world_bank_col_estimate; gni_annual=81530.0; year=2024; country_proxy=United Arab Emirates; cohort=Middle East; city_cost_mult=1.2</t>
        </is>
      </c>
    </row>
    <row r="2329">
      <c r="A2329" t="inlineStr">
        <is>
          <t>ae-abu-dhabi</t>
        </is>
      </c>
      <c r="B2329" t="inlineStr">
        <is>
          <t>Abu Dhabi</t>
        </is>
      </c>
      <c r="C2329" t="inlineStr">
        <is>
          <t>United Arab Emirates</t>
        </is>
      </c>
      <c r="D2329" t="inlineStr">
        <is>
          <t>Middle East</t>
        </is>
      </c>
      <c r="E2329" t="inlineStr">
        <is>
          <t>housing_burden_raw</t>
        </is>
      </c>
      <c r="F2329" t="inlineStr">
        <is>
          <t>Housing burden raw</t>
        </is>
      </c>
      <c r="G2329" t="inlineStr">
        <is>
          <t>pressure</t>
        </is>
      </c>
      <c r="H2329" t="inlineStr">
        <is>
          <t>yes</t>
        </is>
      </c>
      <c r="I2329" t="inlineStr">
        <is>
          <t>30.0</t>
        </is>
      </c>
      <c r="J2329" t="inlineStr">
        <is>
          <t>derived</t>
        </is>
      </c>
      <c r="K2329" t="inlineStr">
        <is>
          <t>https://data.worldbank.org/indicator/NY.GNP.PCAP.PP.CD</t>
        </is>
      </c>
      <c r="L2329" t="inlineStr">
        <is>
          <t>Computed from city_inputs + country_context</t>
        </is>
      </c>
      <c r="M2329" t="inlineStr">
        <is>
          <t>2024-01-01</t>
        </is>
      </c>
      <c r="N2329" t="inlineStr">
        <is>
          <t>derived=rent/gross_income*100</t>
        </is>
      </c>
    </row>
    <row r="2330">
      <c r="A2330" t="inlineStr">
        <is>
          <t>ae-abu-dhabi</t>
        </is>
      </c>
      <c r="B2330" t="inlineStr">
        <is>
          <t>Abu Dhabi</t>
        </is>
      </c>
      <c r="C2330" t="inlineStr">
        <is>
          <t>United Arab Emirates</t>
        </is>
      </c>
      <c r="D2330" t="inlineStr">
        <is>
          <t>Middle East</t>
        </is>
      </c>
      <c r="E2330" t="inlineStr">
        <is>
          <t>household_debt_burden_raw</t>
        </is>
      </c>
      <c r="F2330" t="inlineStr">
        <is>
          <t>Household debt burden raw</t>
        </is>
      </c>
      <c r="G2330" t="inlineStr">
        <is>
          <t>pressure</t>
        </is>
      </c>
      <c r="H2330" t="inlineStr">
        <is>
          <t>yes</t>
        </is>
      </c>
      <c r="I2330" t="inlineStr">
        <is>
          <t>67.9658</t>
        </is>
      </c>
      <c r="J2330" t="inlineStr">
        <is>
          <t>derived</t>
        </is>
      </c>
      <c r="K2330" t="inlineStr">
        <is>
          <t>https://data.worldbank.org/indicator/NY.GNP.PCAP.PP.CD</t>
        </is>
      </c>
      <c r="L2330" t="inlineStr">
        <is>
          <t>Computed from city_inputs + country_context</t>
        </is>
      </c>
      <c r="M2330" t="inlineStr">
        <is>
          <t>2024-01-01</t>
        </is>
      </c>
      <c r="N2330" t="inlineStr">
        <is>
          <t>derived=country_context.household_debt_proxy; country=United Arab Emirates</t>
        </is>
      </c>
    </row>
    <row r="2331">
      <c r="A2331" t="inlineStr">
        <is>
          <t>ae-abu-dhabi</t>
        </is>
      </c>
      <c r="B2331" t="inlineStr">
        <is>
          <t>Abu Dhabi</t>
        </is>
      </c>
      <c r="C2331" t="inlineStr">
        <is>
          <t>United Arab Emirates</t>
        </is>
      </c>
      <c r="D2331" t="inlineStr">
        <is>
          <t>Middle East</t>
        </is>
      </c>
      <c r="E2331" t="inlineStr">
        <is>
          <t>working_time_pressure_raw</t>
        </is>
      </c>
      <c r="F2331" t="inlineStr">
        <is>
          <t>Working time pressure raw</t>
        </is>
      </c>
      <c r="G2331" t="inlineStr">
        <is>
          <t>pressure</t>
        </is>
      </c>
      <c r="H2331" t="inlineStr">
        <is>
          <t>yes</t>
        </is>
      </c>
      <c r="I2331" t="inlineStr">
        <is>
          <t>50.82</t>
        </is>
      </c>
      <c r="J2331" t="inlineStr">
        <is>
          <t>ilo_ilostat</t>
        </is>
      </c>
      <c r="K2331" t="inlineStr">
        <is>
          <t>https://ilostat.ilo.org/data/indicator/?id=HOW_TEMP_SEX_ECO_NB_A&amp;ref_area=ARE</t>
        </is>
      </c>
      <c r="L2331" t="inlineStr">
        <is>
          <t>ILO ILOSTAT: Mean weekly hours actually worked per employed person</t>
        </is>
      </c>
      <c r="M2331" t="inlineStr">
        <is>
          <t>2024-12-31</t>
        </is>
      </c>
      <c r="N2331" t="inlineStr">
        <is>
          <t>auto_ingest=ilo_working_hours; indicator=HOW_TEMP_SEX_ECO_NB_A; year=2024; hours=50.82; country_proxy=United Arab Emirates</t>
        </is>
      </c>
    </row>
    <row r="2332">
      <c r="A2332" t="inlineStr">
        <is>
          <t>ae-abu-dhabi</t>
        </is>
      </c>
      <c r="B2332" t="inlineStr">
        <is>
          <t>Abu Dhabi</t>
        </is>
      </c>
      <c r="C2332" t="inlineStr">
        <is>
          <t>United Arab Emirates</t>
        </is>
      </c>
      <c r="D2332" t="inlineStr">
        <is>
          <t>Middle East</t>
        </is>
      </c>
      <c r="E2332" t="inlineStr">
        <is>
          <t>suicide_mental_strain_raw</t>
        </is>
      </c>
      <c r="F2332" t="inlineStr">
        <is>
          <t>Suicide or mental strain raw</t>
        </is>
      </c>
      <c r="G2332" t="inlineStr">
        <is>
          <t>pressure</t>
        </is>
      </c>
      <c r="H2332" t="inlineStr">
        <is>
          <t>yes</t>
        </is>
      </c>
      <c r="I2332" t="inlineStr">
        <is>
          <t>1.71</t>
        </is>
      </c>
      <c r="J2332" t="inlineStr">
        <is>
          <t>who_gho</t>
        </is>
      </c>
      <c r="K2332" t="inlineStr">
        <is>
          <t>https://www.who.int/data/gho/data/indicators/indicator-details/GHO/SDGSUICIDE</t>
        </is>
      </c>
      <c r="L2332" t="inlineStr">
        <is>
          <t>WHO GHO: Age-standardized suicide rate (per 100,000 population)</t>
        </is>
      </c>
      <c r="M2332" t="inlineStr">
        <is>
          <t>2021-12-31</t>
        </is>
      </c>
      <c r="N2332" t="inlineStr">
        <is>
          <t>auto_ingest=who_gho; indicator=SDGSUICIDE; year=2021; country_proxy=United Arab Emirates</t>
        </is>
      </c>
    </row>
    <row r="2333">
      <c r="A2333" t="inlineStr">
        <is>
          <t>ae-abu-dhabi</t>
        </is>
      </c>
      <c r="B2333" t="inlineStr">
        <is>
          <t>Abu Dhabi</t>
        </is>
      </c>
      <c r="C2333" t="inlineStr">
        <is>
          <t>United Arab Emirates</t>
        </is>
      </c>
      <c r="D2333" t="inlineStr">
        <is>
          <t>Middle East</t>
        </is>
      </c>
      <c r="E2333" t="inlineStr">
        <is>
          <t>personal_safety_raw</t>
        </is>
      </c>
      <c r="F2333" t="inlineStr">
        <is>
          <t>Personal safety raw</t>
        </is>
      </c>
      <c r="G2333" t="inlineStr">
        <is>
          <t>viability</t>
        </is>
      </c>
      <c r="H2333" t="inlineStr">
        <is>
          <t>yes</t>
        </is>
      </c>
      <c r="I2333" t="inlineStr">
        <is>
          <t>0.69</t>
        </is>
      </c>
      <c r="J2333" t="inlineStr">
        <is>
          <t>world_bank</t>
        </is>
      </c>
      <c r="K2333" t="inlineStr">
        <is>
          <t>https://api.worldbank.org/v2/country/ARE/indicator/VC.IHR.PSRC.P5?format=json&amp;mrv=10</t>
        </is>
      </c>
      <c r="L2333" t="inlineStr">
        <is>
          <t>UNODC via World Bank WDI: Intentional homicides (per 100,000 people)</t>
        </is>
      </c>
      <c r="M2333" t="inlineStr">
        <is>
          <t>2022-12-31</t>
        </is>
      </c>
      <c r="N2333" t="inlineStr">
        <is>
          <t>auto_ingest=unodc_safety; indicator=VC.IHR.PSRC.P5; year=2022; country_proxy=United Arab Emirates</t>
        </is>
      </c>
    </row>
    <row r="2334">
      <c r="A2334" t="inlineStr">
        <is>
          <t>ae-abu-dhabi</t>
        </is>
      </c>
      <c r="B2334" t="inlineStr">
        <is>
          <t>Abu Dhabi</t>
        </is>
      </c>
      <c r="C2334" t="inlineStr">
        <is>
          <t>United Arab Emirates</t>
        </is>
      </c>
      <c r="D2334" t="inlineStr">
        <is>
          <t>Middle East</t>
        </is>
      </c>
      <c r="E2334" t="inlineStr">
        <is>
          <t>transit_access_commute_raw</t>
        </is>
      </c>
      <c r="F2334" t="inlineStr">
        <is>
          <t>Transit access and commute raw</t>
        </is>
      </c>
      <c r="G2334" t="inlineStr">
        <is>
          <t>viability</t>
        </is>
      </c>
      <c r="H2334" t="inlineStr">
        <is>
          <t>yes</t>
        </is>
      </c>
      <c r="I2334" t="inlineStr"/>
      <c r="J2334" t="inlineStr"/>
      <c r="K2334" t="inlineStr"/>
      <c r="L2334" t="inlineStr"/>
      <c r="M2334" t="inlineStr"/>
      <c r="N2334" t="inlineStr"/>
    </row>
    <row r="2335">
      <c r="A2335" t="inlineStr">
        <is>
          <t>ae-abu-dhabi</t>
        </is>
      </c>
      <c r="B2335" t="inlineStr">
        <is>
          <t>Abu Dhabi</t>
        </is>
      </c>
      <c r="C2335" t="inlineStr">
        <is>
          <t>United Arab Emirates</t>
        </is>
      </c>
      <c r="D2335" t="inlineStr">
        <is>
          <t>Middle East</t>
        </is>
      </c>
      <c r="E2335" t="inlineStr">
        <is>
          <t>clean_air_raw</t>
        </is>
      </c>
      <c r="F2335" t="inlineStr">
        <is>
          <t>Clean air raw</t>
        </is>
      </c>
      <c r="G2335" t="inlineStr">
        <is>
          <t>viability</t>
        </is>
      </c>
      <c r="H2335" t="inlineStr">
        <is>
          <t>yes</t>
        </is>
      </c>
      <c r="I2335" t="inlineStr"/>
      <c r="J2335" t="inlineStr"/>
      <c r="K2335" t="inlineStr"/>
      <c r="L2335" t="inlineStr"/>
      <c r="M2335" t="inlineStr"/>
      <c r="N2335" t="inlineStr"/>
    </row>
    <row r="2336">
      <c r="A2336" t="inlineStr">
        <is>
          <t>ae-abu-dhabi</t>
        </is>
      </c>
      <c r="B2336" t="inlineStr">
        <is>
          <t>Abu Dhabi</t>
        </is>
      </c>
      <c r="C2336" t="inlineStr">
        <is>
          <t>United Arab Emirates</t>
        </is>
      </c>
      <c r="D2336" t="inlineStr">
        <is>
          <t>Middle East</t>
        </is>
      </c>
      <c r="E2336" t="inlineStr">
        <is>
          <t>water_sanitation_utility_raw</t>
        </is>
      </c>
      <c r="F2336" t="inlineStr">
        <is>
          <t>Water, sanitation, and utility raw</t>
        </is>
      </c>
      <c r="G2336" t="inlineStr">
        <is>
          <t>viability</t>
        </is>
      </c>
      <c r="H2336" t="inlineStr">
        <is>
          <t>yes</t>
        </is>
      </c>
      <c r="I2336" t="inlineStr">
        <is>
          <t>98.64</t>
        </is>
      </c>
      <c r="J2336" t="inlineStr">
        <is>
          <t>world_bank</t>
        </is>
      </c>
      <c r="K2336" t="inlineStr">
        <is>
          <t>https://api.worldbank.org/v2/country/ARE/indicator/SH.H2O.SMDW.ZS?format=json&amp;mrv=10</t>
        </is>
      </c>
      <c r="L2336" t="inlineStr">
        <is>
          <t>World Bank WDI: People using safely managed drinking water services (% of population)</t>
        </is>
      </c>
      <c r="M2336" t="inlineStr">
        <is>
          <t>2024-12-31</t>
        </is>
      </c>
      <c r="N2336" t="inlineStr">
        <is>
          <t>auto_ingest=world_bank_proxy; indicator=SH.H2O.SMDW.ZS; year=2024; country_proxy=United Arab Emirates</t>
        </is>
      </c>
    </row>
    <row r="2337">
      <c r="A2337" t="inlineStr">
        <is>
          <t>ae-abu-dhabi</t>
        </is>
      </c>
      <c r="B2337" t="inlineStr">
        <is>
          <t>Abu Dhabi</t>
        </is>
      </c>
      <c r="C2337" t="inlineStr">
        <is>
          <t>United Arab Emirates</t>
        </is>
      </c>
      <c r="D2337" t="inlineStr">
        <is>
          <t>Middle East</t>
        </is>
      </c>
      <c r="E2337" t="inlineStr">
        <is>
          <t>digital_infrastructure_raw</t>
        </is>
      </c>
      <c r="F2337" t="inlineStr">
        <is>
          <t>Digital infrastructure raw</t>
        </is>
      </c>
      <c r="G2337" t="inlineStr">
        <is>
          <t>viability</t>
        </is>
      </c>
      <c r="H2337" t="inlineStr">
        <is>
          <t>yes</t>
        </is>
      </c>
      <c r="I2337" t="inlineStr">
        <is>
          <t>37.1</t>
        </is>
      </c>
      <c r="J2337" t="inlineStr">
        <is>
          <t>world_bank</t>
        </is>
      </c>
      <c r="K2337" t="inlineStr">
        <is>
          <t>https://api.worldbank.org/v2/country/ARE/indicator/IT.NET.BBND.P2?format=json&amp;mrv=10</t>
        </is>
      </c>
      <c r="L2337" t="inlineStr">
        <is>
          <t>World Bank WDI: Fixed broadband subscriptions (per 100 people)</t>
        </is>
      </c>
      <c r="M2337" t="inlineStr">
        <is>
          <t>2023-12-31</t>
        </is>
      </c>
      <c r="N2337" t="inlineStr">
        <is>
          <t>auto_ingest=world_bank_proxy; indicator=IT.NET.BBND.P2; year=2023; country_proxy=United Arab Emirates</t>
        </is>
      </c>
    </row>
    <row r="2338">
      <c r="A2338" t="inlineStr">
        <is>
          <t>ae-abu-dhabi</t>
        </is>
      </c>
      <c r="B2338" t="inlineStr">
        <is>
          <t>Abu Dhabi</t>
        </is>
      </c>
      <c r="C2338" t="inlineStr">
        <is>
          <t>United Arab Emirates</t>
        </is>
      </c>
      <c r="D2338" t="inlineStr">
        <is>
          <t>Middle East</t>
        </is>
      </c>
      <c r="E2338" t="inlineStr">
        <is>
          <t>climate_sunlight_livability_raw</t>
        </is>
      </c>
      <c r="F2338" t="inlineStr">
        <is>
          <t>Climate and sunlight livability raw</t>
        </is>
      </c>
      <c r="G2338" t="inlineStr">
        <is>
          <t>viability</t>
        </is>
      </c>
      <c r="H2338" t="inlineStr">
        <is>
          <t>yes</t>
        </is>
      </c>
      <c r="I2338" t="inlineStr">
        <is>
          <t>33</t>
        </is>
      </c>
      <c r="J2338" t="inlineStr">
        <is>
          <t>wmo_natl_met</t>
        </is>
      </c>
      <c r="K2338" t="inlineStr">
        <is>
          <t>https://worldweather.wmo.int</t>
        </is>
      </c>
      <c r="L2338" t="inlineStr">
        <is>
          <t>WMO/National Met: Climate livability composite</t>
        </is>
      </c>
      <c r="M2338" t="inlineStr">
        <is>
          <t>2024-12-31</t>
        </is>
      </c>
      <c r="N2338" t="inlineStr">
        <is>
          <t>auto_seed=climate_composite; 3500 sun hrs but 29C mean with 46C+ summers, extreme</t>
        </is>
      </c>
    </row>
    <row r="2339">
      <c r="A2339" t="inlineStr">
        <is>
          <t>ae-abu-dhabi</t>
        </is>
      </c>
      <c r="B2339" t="inlineStr">
        <is>
          <t>Abu Dhabi</t>
        </is>
      </c>
      <c r="C2339" t="inlineStr">
        <is>
          <t>United Arab Emirates</t>
        </is>
      </c>
      <c r="D2339" t="inlineStr">
        <is>
          <t>Middle East</t>
        </is>
      </c>
      <c r="E2339" t="inlineStr">
        <is>
          <t>healthcare_quality_raw</t>
        </is>
      </c>
      <c r="F2339" t="inlineStr">
        <is>
          <t>Healthcare quality raw</t>
        </is>
      </c>
      <c r="G2339" t="inlineStr">
        <is>
          <t>capability</t>
        </is>
      </c>
      <c r="H2339" t="inlineStr">
        <is>
          <t>yes</t>
        </is>
      </c>
      <c r="I2339" t="inlineStr">
        <is>
          <t>84.0</t>
        </is>
      </c>
      <c r="J2339" t="inlineStr">
        <is>
          <t>who_gho</t>
        </is>
      </c>
      <c r="K2339" t="inlineStr">
        <is>
          <t>https://www.who.int/data/gho/data/indicators/indicator-details/GHO/UHC_INDEX_REPORTED</t>
        </is>
      </c>
      <c r="L2339" t="inlineStr">
        <is>
          <t>WHO GHO: UHC Service Coverage Index</t>
        </is>
      </c>
      <c r="M2339" t="inlineStr">
        <is>
          <t>2023-12-31</t>
        </is>
      </c>
      <c r="N2339" t="inlineStr">
        <is>
          <t>auto_ingest=who_gho; indicator=UHC_INDEX_REPORTED; year=2023; country_proxy=United Arab Emirates</t>
        </is>
      </c>
    </row>
    <row r="2340">
      <c r="A2340" t="inlineStr">
        <is>
          <t>ae-abu-dhabi</t>
        </is>
      </c>
      <c r="B2340" t="inlineStr">
        <is>
          <t>Abu Dhabi</t>
        </is>
      </c>
      <c r="C2340" t="inlineStr">
        <is>
          <t>United Arab Emirates</t>
        </is>
      </c>
      <c r="D2340" t="inlineStr">
        <is>
          <t>Middle East</t>
        </is>
      </c>
      <c r="E2340" t="inlineStr">
        <is>
          <t>education_quality_raw</t>
        </is>
      </c>
      <c r="F2340" t="inlineStr">
        <is>
          <t>Education quality raw</t>
        </is>
      </c>
      <c r="G2340" t="inlineStr">
        <is>
          <t>capability</t>
        </is>
      </c>
      <c r="H2340" t="inlineStr">
        <is>
          <t>yes</t>
        </is>
      </c>
      <c r="I2340" t="inlineStr">
        <is>
          <t>63.74</t>
        </is>
      </c>
      <c r="J2340" t="inlineStr">
        <is>
          <t>world_bank</t>
        </is>
      </c>
      <c r="K2340" t="inlineStr">
        <is>
          <t>https://api.worldbank.org/v2/country/ARE/indicator/SE.TER.ENRR?format=json&amp;mrv=10</t>
        </is>
      </c>
      <c r="L2340" t="inlineStr">
        <is>
          <t>World Bank WDI: School enrollment, tertiary (% gross)</t>
        </is>
      </c>
      <c r="M2340" t="inlineStr">
        <is>
          <t>2024-12-31</t>
        </is>
      </c>
      <c r="N2340" t="inlineStr">
        <is>
          <t>auto_ingest=world_bank_proxy; indicator=SE.TER.ENRR; year=2024; country_proxy=United Arab Emirates</t>
        </is>
      </c>
    </row>
    <row r="2341">
      <c r="A2341" t="inlineStr">
        <is>
          <t>ae-abu-dhabi</t>
        </is>
      </c>
      <c r="B2341" t="inlineStr">
        <is>
          <t>Abu Dhabi</t>
        </is>
      </c>
      <c r="C2341" t="inlineStr">
        <is>
          <t>United Arab Emirates</t>
        </is>
      </c>
      <c r="D2341" t="inlineStr">
        <is>
          <t>Middle East and North Africa</t>
        </is>
      </c>
      <c r="E2341" t="inlineStr">
        <is>
          <t>equal_opportunity_raw</t>
        </is>
      </c>
      <c r="F2341" t="inlineStr">
        <is>
          <t>Equal opportunity raw</t>
        </is>
      </c>
      <c r="G2341" t="inlineStr">
        <is>
          <t>capability</t>
        </is>
      </c>
      <c r="H2341" t="inlineStr">
        <is>
          <t>yes</t>
        </is>
      </c>
      <c r="I2341" t="inlineStr">
        <is>
          <t>26.4</t>
        </is>
      </c>
      <c r="J2341" t="inlineStr">
        <is>
          <t>world_bank</t>
        </is>
      </c>
      <c r="K2341" t="inlineStr">
        <is>
          <t>https://api.worldbank.org/v2/country/ARE/indicator/SI.POV.GINI?format=json&amp;mrv=10</t>
        </is>
      </c>
      <c r="L2341" t="inlineStr">
        <is>
          <t>World Bank WDI: Gini index</t>
        </is>
      </c>
      <c r="M2341" t="inlineStr">
        <is>
          <t>2018-12-31</t>
        </is>
      </c>
      <c r="N2341" t="inlineStr">
        <is>
          <t>auto_ingest=world_bank_capability; indicator=SI.POV.GINI; year=2018; country_proxy=United Arab Emirates</t>
        </is>
      </c>
    </row>
    <row r="2342">
      <c r="A2342" t="inlineStr">
        <is>
          <t>ae-abu-dhabi</t>
        </is>
      </c>
      <c r="B2342" t="inlineStr">
        <is>
          <t>Abu Dhabi</t>
        </is>
      </c>
      <c r="C2342" t="inlineStr">
        <is>
          <t>United Arab Emirates</t>
        </is>
      </c>
      <c r="D2342" t="inlineStr">
        <is>
          <t>Middle East</t>
        </is>
      </c>
      <c r="E2342" t="inlineStr">
        <is>
          <t>hospitality_belonging_raw</t>
        </is>
      </c>
      <c r="F2342" t="inlineStr">
        <is>
          <t>Hospitality and belonging raw</t>
        </is>
      </c>
      <c r="G2342" t="inlineStr">
        <is>
          <t>community</t>
        </is>
      </c>
      <c r="H2342" t="inlineStr">
        <is>
          <t>yes</t>
        </is>
      </c>
      <c r="I2342" t="inlineStr">
        <is>
          <t>64.44</t>
        </is>
      </c>
      <c r="J2342" t="inlineStr">
        <is>
          <t>world_bank</t>
        </is>
      </c>
      <c r="K2342" t="inlineStr">
        <is>
          <t>https://api.worldbank.org/v2/country/ARE/indicator/SM.POP.NETM?format=json&amp;mrv=10</t>
        </is>
      </c>
      <c r="L2342" t="inlineStr">
        <is>
          <t>World Bank WDI: Net migration (proxy for hospitality/belonging — positive = welcoming)</t>
        </is>
      </c>
      <c r="M2342" t="inlineStr">
        <is>
          <t>2025-12-31</t>
        </is>
      </c>
      <c r="N2342" t="inlineStr">
        <is>
          <t>auto_ingest=world_bank_proxy; proxy=net_migration_hospitality; indicator=SM.POP.NETM; year=2025; country_proxy=United Arab Emirates</t>
        </is>
      </c>
    </row>
    <row r="2343">
      <c r="A2343" t="inlineStr">
        <is>
          <t>ae-abu-dhabi</t>
        </is>
      </c>
      <c r="B2343" t="inlineStr">
        <is>
          <t>Abu Dhabi</t>
        </is>
      </c>
      <c r="C2343" t="inlineStr">
        <is>
          <t>United Arab Emirates</t>
        </is>
      </c>
      <c r="D2343" t="inlineStr">
        <is>
          <t>Middle East</t>
        </is>
      </c>
      <c r="E2343" t="inlineStr">
        <is>
          <t>tolerance_pluralism_raw</t>
        </is>
      </c>
      <c r="F2343" t="inlineStr">
        <is>
          <t>Tolerance and pluralism raw</t>
        </is>
      </c>
      <c r="G2343" t="inlineStr">
        <is>
          <t>community</t>
        </is>
      </c>
      <c r="H2343" t="inlineStr">
        <is>
          <t>yes</t>
        </is>
      </c>
      <c r="I2343" t="inlineStr">
        <is>
          <t>50.0</t>
        </is>
      </c>
      <c r="J2343" t="inlineStr">
        <is>
          <t>world_bank</t>
        </is>
      </c>
      <c r="K2343" t="inlineStr">
        <is>
          <t>https://api.worldbank.org/v2/country/ARE/indicator/SG.GEN.PARL.ZS?format=json&amp;mrv=10</t>
        </is>
      </c>
      <c r="L2343" t="inlineStr">
        <is>
          <t>World Bank WDI: Proportion of seats held by women in national parliaments (%)</t>
        </is>
      </c>
      <c r="M2343" t="inlineStr">
        <is>
          <t>2024-12-31</t>
        </is>
      </c>
      <c r="N2343" t="inlineStr">
        <is>
          <t>auto_ingest=world_bank_proxy; proxy=gender_parity_parliament; indicator=SG.GEN.PARL.ZS; year=2024; country_proxy=United Arab Emirates</t>
        </is>
      </c>
    </row>
    <row r="2344">
      <c r="A2344" t="inlineStr">
        <is>
          <t>ae-abu-dhabi</t>
        </is>
      </c>
      <c r="B2344" t="inlineStr">
        <is>
          <t>Abu Dhabi</t>
        </is>
      </c>
      <c r="C2344" t="inlineStr">
        <is>
          <t>United Arab Emirates</t>
        </is>
      </c>
      <c r="D2344" t="inlineStr">
        <is>
          <t>Middle East</t>
        </is>
      </c>
      <c r="E2344" t="inlineStr">
        <is>
          <t>cultural_public_life_raw</t>
        </is>
      </c>
      <c r="F2344" t="inlineStr">
        <is>
          <t>Cultural public life raw</t>
        </is>
      </c>
      <c r="G2344" t="inlineStr">
        <is>
          <t>community</t>
        </is>
      </c>
      <c r="H2344" t="inlineStr">
        <is>
          <t>yes</t>
        </is>
      </c>
      <c r="I2344" t="inlineStr">
        <is>
          <t>735.82</t>
        </is>
      </c>
      <c r="J2344" t="inlineStr">
        <is>
          <t>world_bank</t>
        </is>
      </c>
      <c r="K2344" t="inlineStr">
        <is>
          <t>https://api.worldbank.org/v2/country/ARE/indicator/ST.INT.ARVL?format=json&amp;mrv=10</t>
        </is>
      </c>
      <c r="L2344" t="inlineStr">
        <is>
          <t>World Bank WDI: International tourism arrivals per 1 000 population</t>
        </is>
      </c>
      <c r="M2344" t="inlineStr">
        <is>
          <t>2020-12-31</t>
        </is>
      </c>
      <c r="N2344" t="inlineStr">
        <is>
          <t>auto_ingest=cultural_life_proxy; indicator=ST.INT.ARVL; norm=per_1000_pop; year=2020; country_proxy=United Arab Emirates</t>
        </is>
      </c>
    </row>
    <row r="2345">
      <c r="A2345" t="inlineStr">
        <is>
          <t>ae-abu-dhabi</t>
        </is>
      </c>
      <c r="B2345" t="inlineStr">
        <is>
          <t>Abu Dhabi</t>
        </is>
      </c>
      <c r="C2345" t="inlineStr">
        <is>
          <t>United Arab Emirates</t>
        </is>
      </c>
      <c r="D2345" t="inlineStr">
        <is>
          <t>Middle East</t>
        </is>
      </c>
      <c r="E2345" t="inlineStr">
        <is>
          <t>birth_rate_optimism_raw</t>
        </is>
      </c>
      <c r="F2345" t="inlineStr">
        <is>
          <t>Birth rate and societal optimism raw</t>
        </is>
      </c>
      <c r="G2345" t="inlineStr">
        <is>
          <t>community</t>
        </is>
      </c>
      <c r="H2345" t="inlineStr">
        <is>
          <t>yes</t>
        </is>
      </c>
      <c r="I2345" t="inlineStr"/>
      <c r="J2345" t="inlineStr"/>
      <c r="K2345" t="inlineStr"/>
      <c r="L2345" t="inlineStr"/>
      <c r="M2345" t="inlineStr"/>
      <c r="N2345" t="inlineStr"/>
    </row>
    <row r="2346">
      <c r="A2346" t="inlineStr">
        <is>
          <t>ae-abu-dhabi</t>
        </is>
      </c>
      <c r="B2346" t="inlineStr">
        <is>
          <t>Abu Dhabi</t>
        </is>
      </c>
      <c r="C2346" t="inlineStr">
        <is>
          <t>United Arab Emirates</t>
        </is>
      </c>
      <c r="D2346" t="inlineStr">
        <is>
          <t>Middle East</t>
        </is>
      </c>
      <c r="E2346" t="inlineStr">
        <is>
          <t>entrepreneurial_dynamism_raw</t>
        </is>
      </c>
      <c r="F2346" t="inlineStr">
        <is>
          <t>Entrepreneurial dynamism raw</t>
        </is>
      </c>
      <c r="G2346" t="inlineStr">
        <is>
          <t>creative</t>
        </is>
      </c>
      <c r="H2346" t="inlineStr">
        <is>
          <t>yes</t>
        </is>
      </c>
      <c r="I2346" t="inlineStr">
        <is>
          <t>2.46</t>
        </is>
      </c>
      <c r="J2346" t="inlineStr">
        <is>
          <t>world_bank</t>
        </is>
      </c>
      <c r="K2346" t="inlineStr">
        <is>
          <t>https://api.worldbank.org/v2/country/ARE/indicator/IC.BUS.NDNS.ZS?format=json&amp;mrv=10</t>
        </is>
      </c>
      <c r="L2346" t="inlineStr">
        <is>
          <t>World Bank WDI: New business density (new registrations per 1,000 people ages 15-64)</t>
        </is>
      </c>
      <c r="M2346" t="inlineStr">
        <is>
          <t>2020-12-31</t>
        </is>
      </c>
      <c r="N2346" t="inlineStr">
        <is>
          <t>auto_ingest=world_bank_creative_extended; indicator=IC.BUS.NDNS.ZS; year=2020; country_proxy=United Arab Emirates</t>
        </is>
      </c>
    </row>
    <row r="2347">
      <c r="A2347" t="inlineStr">
        <is>
          <t>ae-abu-dhabi</t>
        </is>
      </c>
      <c r="B2347" t="inlineStr">
        <is>
          <t>Abu Dhabi</t>
        </is>
      </c>
      <c r="C2347" t="inlineStr">
        <is>
          <t>United Arab Emirates</t>
        </is>
      </c>
      <c r="D2347" t="inlineStr">
        <is>
          <t>Middle East</t>
        </is>
      </c>
      <c r="E2347" t="inlineStr">
        <is>
          <t>innovation_research_intensity_raw</t>
        </is>
      </c>
      <c r="F2347" t="inlineStr">
        <is>
          <t>Innovation and research raw</t>
        </is>
      </c>
      <c r="G2347" t="inlineStr">
        <is>
          <t>creative</t>
        </is>
      </c>
      <c r="H2347" t="inlineStr">
        <is>
          <t>yes</t>
        </is>
      </c>
      <c r="I2347" t="inlineStr">
        <is>
          <t>1.49</t>
        </is>
      </c>
      <c r="J2347" t="inlineStr">
        <is>
          <t>world_bank</t>
        </is>
      </c>
      <c r="K2347" t="inlineStr">
        <is>
          <t>https://api.worldbank.org/v2/country/ARE/indicator/GB.XPD.RSDV.GD.ZS?format=json&amp;mrv=10</t>
        </is>
      </c>
      <c r="L2347" t="inlineStr">
        <is>
          <t>World Bank WDI: Research and development expenditure (% of GDP)</t>
        </is>
      </c>
      <c r="M2347" t="inlineStr">
        <is>
          <t>2021-12-31</t>
        </is>
      </c>
      <c r="N2347" t="inlineStr">
        <is>
          <t>auto_ingest=world_bank_creative_extended; indicator=GB.XPD.RSDV.GD.ZS; year=2021; country_proxy=United Arab Emirates</t>
        </is>
      </c>
    </row>
    <row r="2348">
      <c r="A2348" t="inlineStr">
        <is>
          <t>ae-abu-dhabi</t>
        </is>
      </c>
      <c r="B2348" t="inlineStr">
        <is>
          <t>Abu Dhabi</t>
        </is>
      </c>
      <c r="C2348" t="inlineStr">
        <is>
          <t>United Arab Emirates</t>
        </is>
      </c>
      <c r="D2348" t="inlineStr">
        <is>
          <t>Middle East</t>
        </is>
      </c>
      <c r="E2348" t="inlineStr">
        <is>
          <t>investment_signal_raw</t>
        </is>
      </c>
      <c r="F2348" t="inlineStr">
        <is>
          <t>Investment signal raw</t>
        </is>
      </c>
      <c r="G2348" t="inlineStr">
        <is>
          <t>creative</t>
        </is>
      </c>
      <c r="H2348" t="inlineStr">
        <is>
          <t>yes</t>
        </is>
      </c>
      <c r="I2348" t="inlineStr">
        <is>
          <t>8.26</t>
        </is>
      </c>
      <c r="J2348" t="inlineStr">
        <is>
          <t>world_bank</t>
        </is>
      </c>
      <c r="K2348" t="inlineStr">
        <is>
          <t>https://api.worldbank.org/v2/country/ARE/indicator/BX.KLT.DINV.WD.GD.ZS?format=json&amp;mrv=10</t>
        </is>
      </c>
      <c r="L2348" t="inlineStr">
        <is>
          <t>World Bank WDI: Foreign direct investment, net inflows (% of GDP)</t>
        </is>
      </c>
      <c r="M2348" t="inlineStr">
        <is>
          <t>2024-12-31</t>
        </is>
      </c>
      <c r="N2348" t="inlineStr">
        <is>
          <t>auto_ingest=world_bank_creative_extended; indicator=BX.KLT.DINV.WD.GD.ZS; year=2024; country_proxy=United Arab Emirates</t>
        </is>
      </c>
    </row>
    <row r="2349">
      <c r="A2349" t="inlineStr">
        <is>
          <t>ae-abu-dhabi</t>
        </is>
      </c>
      <c r="B2349" t="inlineStr">
        <is>
          <t>Abu Dhabi</t>
        </is>
      </c>
      <c r="C2349" t="inlineStr">
        <is>
          <t>United Arab Emirates</t>
        </is>
      </c>
      <c r="D2349" t="inlineStr">
        <is>
          <t>Middle East</t>
        </is>
      </c>
      <c r="E2349" t="inlineStr">
        <is>
          <t>administrative_investment_friction_raw</t>
        </is>
      </c>
      <c r="F2349" t="inlineStr">
        <is>
          <t>Administrative investment friction raw</t>
        </is>
      </c>
      <c r="G2349" t="inlineStr">
        <is>
          <t>creative</t>
        </is>
      </c>
      <c r="H2349" t="inlineStr">
        <is>
          <t>yes</t>
        </is>
      </c>
      <c r="I2349" t="inlineStr">
        <is>
          <t>1.46</t>
        </is>
      </c>
      <c r="J2349" t="inlineStr">
        <is>
          <t>world_bank</t>
        </is>
      </c>
      <c r="K2349" t="inlineStr">
        <is>
          <t>https://api.worldbank.org/v2/country/ARE/indicator/RQ.EST?format=json&amp;mrv=10</t>
        </is>
      </c>
      <c r="L2349" t="inlineStr">
        <is>
          <t>World Bank WGI: Regulatory Quality (inverted as friction proxy)</t>
        </is>
      </c>
      <c r="M2349" t="inlineStr">
        <is>
          <t>2023-12-31</t>
        </is>
      </c>
      <c r="N2349" t="inlineStr">
        <is>
          <t>auto_ingest=world_bank_business_friction; indicator=RQ.EST; raw_rq=1.04239141941071; friction=1.46; year=2023; country_proxy=United Arab Emirates</t>
        </is>
      </c>
    </row>
    <row r="2350">
      <c r="A2350" t="inlineStr">
        <is>
          <t>ae-abu-dhabi</t>
        </is>
      </c>
      <c r="B2350" t="inlineStr">
        <is>
          <t>Abu Dhabi</t>
        </is>
      </c>
      <c r="C2350" t="inlineStr">
        <is>
          <t>United Arab Emirates</t>
        </is>
      </c>
      <c r="D2350" t="inlineStr">
        <is>
          <t>Middle East</t>
        </is>
      </c>
      <c r="E2350" t="inlineStr">
        <is>
          <t>visitor_flow_context_raw</t>
        </is>
      </c>
      <c r="F2350" t="inlineStr">
        <is>
          <t>Visitor flow context raw</t>
        </is>
      </c>
      <c r="G2350" t="inlineStr">
        <is>
          <t>creative</t>
        </is>
      </c>
      <c r="H2350" t="inlineStr">
        <is>
          <t>no</t>
        </is>
      </c>
      <c r="I2350" t="inlineStr"/>
      <c r="J2350" t="inlineStr"/>
      <c r="K2350" t="inlineStr"/>
      <c r="L2350" t="inlineStr"/>
      <c r="M2350" t="inlineStr"/>
      <c r="N2350" t="inlineStr"/>
    </row>
    <row r="2351">
      <c r="A2351" t="inlineStr">
        <is>
          <t>qa-doha</t>
        </is>
      </c>
      <c r="B2351" t="inlineStr">
        <is>
          <t>Doha</t>
        </is>
      </c>
      <c r="C2351" t="inlineStr">
        <is>
          <t>Qatar</t>
        </is>
      </c>
      <c r="D2351" t="inlineStr">
        <is>
          <t>Middle East</t>
        </is>
      </c>
      <c r="E2351" t="inlineStr">
        <is>
          <t>gross_income</t>
        </is>
      </c>
      <c r="F2351" t="inlineStr">
        <is>
          <t>Gross income</t>
        </is>
      </c>
      <c r="G2351" t="inlineStr">
        <is>
          <t>pressure</t>
        </is>
      </c>
      <c r="H2351" t="inlineStr">
        <is>
          <t>yes</t>
        </is>
      </c>
      <c r="I2351" t="inlineStr">
        <is>
          <t>10158.33</t>
        </is>
      </c>
      <c r="J2351" t="inlineStr">
        <is>
          <t>world_bank_col_estimate</t>
        </is>
      </c>
      <c r="K2351" t="inlineStr">
        <is>
          <t>https://api.worldbank.org/v2/country/QAT/indicator/NY.GNP.PCAP.PP.CD?format=json&amp;mrv=10</t>
        </is>
      </c>
      <c r="L2351" t="inlineStr">
        <is>
          <t>World Bank WDI: GNI per capita PPP (monthly USD)</t>
        </is>
      </c>
      <c r="M2351" t="inlineStr">
        <is>
          <t>2024-12-31</t>
        </is>
      </c>
      <c r="N2351" t="inlineStr">
        <is>
          <t>auto_ingest=world_bank_col_estimate; gni_annual=121900.0; year=2024; country_proxy=Qatar; cohort=Middle East</t>
        </is>
      </c>
    </row>
    <row r="2352">
      <c r="A2352" t="inlineStr">
        <is>
          <t>qa-doha</t>
        </is>
      </c>
      <c r="B2352" t="inlineStr">
        <is>
          <t>Doha</t>
        </is>
      </c>
      <c r="C2352" t="inlineStr">
        <is>
          <t>Qatar</t>
        </is>
      </c>
      <c r="D2352" t="inlineStr">
        <is>
          <t>Middle East</t>
        </is>
      </c>
      <c r="E2352" t="inlineStr">
        <is>
          <t>di_ppp_raw</t>
        </is>
      </c>
      <c r="F2352" t="inlineStr">
        <is>
          <t>Disposable income PPP (Raw)</t>
        </is>
      </c>
      <c r="G2352" t="inlineStr">
        <is>
          <t>pressure</t>
        </is>
      </c>
      <c r="H2352" t="inlineStr">
        <is>
          <t>yes</t>
        </is>
      </c>
      <c r="I2352" t="inlineStr"/>
      <c r="J2352" t="inlineStr"/>
      <c r="K2352" t="inlineStr"/>
      <c r="L2352" t="inlineStr"/>
      <c r="M2352" t="inlineStr"/>
      <c r="N2352" t="inlineStr"/>
    </row>
    <row r="2353">
      <c r="A2353" t="inlineStr">
        <is>
          <t>qa-doha</t>
        </is>
      </c>
      <c r="B2353" t="inlineStr">
        <is>
          <t>Doha</t>
        </is>
      </c>
      <c r="C2353" t="inlineStr">
        <is>
          <t>Qatar</t>
        </is>
      </c>
      <c r="D2353" t="inlineStr">
        <is>
          <t>Middle East</t>
        </is>
      </c>
      <c r="E2353" t="inlineStr">
        <is>
          <t>rent</t>
        </is>
      </c>
      <c r="F2353" t="inlineStr">
        <is>
          <t>Rent</t>
        </is>
      </c>
      <c r="G2353" t="inlineStr">
        <is>
          <t>pressure</t>
        </is>
      </c>
      <c r="H2353" t="inlineStr">
        <is>
          <t>yes</t>
        </is>
      </c>
      <c r="I2353" t="inlineStr">
        <is>
          <t>3047.5</t>
        </is>
      </c>
      <c r="J2353" t="inlineStr">
        <is>
          <t>world_bank_col_estimate</t>
        </is>
      </c>
      <c r="K2353" t="inlineStr">
        <is>
          <t>https://api.worldbank.org/v2/country/QAT/indicator/NY.GNP.PCAP.PP.CD?format=json&amp;mrv=10</t>
        </is>
      </c>
      <c r="L2353" t="inlineStr">
        <is>
          <t>World Bank GNI + regional expenditure ratio estimate</t>
        </is>
      </c>
      <c r="M2353" t="inlineStr">
        <is>
          <t>2024-12-31</t>
        </is>
      </c>
      <c r="N2353" t="inlineStr">
        <is>
          <t>auto_ingest=world_bank_col_estimate; gni_annual=121900.0; year=2024; country_proxy=Qatar; cohort=Middle East; city_cost_mult=1.2</t>
        </is>
      </c>
    </row>
    <row r="2354">
      <c r="A2354" t="inlineStr">
        <is>
          <t>qa-doha</t>
        </is>
      </c>
      <c r="B2354" t="inlineStr">
        <is>
          <t>Doha</t>
        </is>
      </c>
      <c r="C2354" t="inlineStr">
        <is>
          <t>Qatar</t>
        </is>
      </c>
      <c r="D2354" t="inlineStr">
        <is>
          <t>Middle East</t>
        </is>
      </c>
      <c r="E2354" t="inlineStr">
        <is>
          <t>utilities</t>
        </is>
      </c>
      <c r="F2354" t="inlineStr">
        <is>
          <t>Utilities</t>
        </is>
      </c>
      <c r="G2354" t="inlineStr">
        <is>
          <t>pressure</t>
        </is>
      </c>
      <c r="H2354" t="inlineStr">
        <is>
          <t>yes</t>
        </is>
      </c>
      <c r="I2354" t="inlineStr">
        <is>
          <t>609.5</t>
        </is>
      </c>
      <c r="J2354" t="inlineStr">
        <is>
          <t>world_bank_col_estimate</t>
        </is>
      </c>
      <c r="K2354" t="inlineStr">
        <is>
          <t>https://api.worldbank.org/v2/country/QAT/indicator/NY.GNP.PCAP.PP.CD?format=json&amp;mrv=10</t>
        </is>
      </c>
      <c r="L2354" t="inlineStr">
        <is>
          <t>World Bank GNI + regional expenditure ratio estimate</t>
        </is>
      </c>
      <c r="M2354" t="inlineStr">
        <is>
          <t>2024-12-31</t>
        </is>
      </c>
      <c r="N2354" t="inlineStr">
        <is>
          <t>auto_ingest=world_bank_col_estimate; gni_annual=121900.0; year=2024; country_proxy=Qatar; cohort=Middle East; city_cost_mult=1.2</t>
        </is>
      </c>
    </row>
    <row r="2355">
      <c r="A2355" t="inlineStr">
        <is>
          <t>qa-doha</t>
        </is>
      </c>
      <c r="B2355" t="inlineStr">
        <is>
          <t>Doha</t>
        </is>
      </c>
      <c r="C2355" t="inlineStr">
        <is>
          <t>Qatar</t>
        </is>
      </c>
      <c r="D2355" t="inlineStr">
        <is>
          <t>Middle East</t>
        </is>
      </c>
      <c r="E2355" t="inlineStr">
        <is>
          <t>transit_cost</t>
        </is>
      </c>
      <c r="F2355" t="inlineStr">
        <is>
          <t>Transit cost</t>
        </is>
      </c>
      <c r="G2355" t="inlineStr">
        <is>
          <t>pressure</t>
        </is>
      </c>
      <c r="H2355" t="inlineStr">
        <is>
          <t>yes</t>
        </is>
      </c>
      <c r="I2355" t="inlineStr">
        <is>
          <t>487.6</t>
        </is>
      </c>
      <c r="J2355" t="inlineStr">
        <is>
          <t>world_bank_col_estimate</t>
        </is>
      </c>
      <c r="K2355" t="inlineStr">
        <is>
          <t>https://api.worldbank.org/v2/country/QAT/indicator/NY.GNP.PCAP.PP.CD?format=json&amp;mrv=10</t>
        </is>
      </c>
      <c r="L2355" t="inlineStr">
        <is>
          <t>World Bank GNI + regional expenditure ratio estimate</t>
        </is>
      </c>
      <c r="M2355" t="inlineStr">
        <is>
          <t>2024-12-31</t>
        </is>
      </c>
      <c r="N2355" t="inlineStr">
        <is>
          <t>auto_ingest=world_bank_col_estimate; gni_annual=121900.0; year=2024; country_proxy=Qatar; cohort=Middle East; city_cost_mult=1.2</t>
        </is>
      </c>
    </row>
    <row r="2356">
      <c r="A2356" t="inlineStr">
        <is>
          <t>qa-doha</t>
        </is>
      </c>
      <c r="B2356" t="inlineStr">
        <is>
          <t>Doha</t>
        </is>
      </c>
      <c r="C2356" t="inlineStr">
        <is>
          <t>Qatar</t>
        </is>
      </c>
      <c r="D2356" t="inlineStr">
        <is>
          <t>Middle East</t>
        </is>
      </c>
      <c r="E2356" t="inlineStr">
        <is>
          <t>internet_cost</t>
        </is>
      </c>
      <c r="F2356" t="inlineStr">
        <is>
          <t>Internet cost</t>
        </is>
      </c>
      <c r="G2356" t="inlineStr">
        <is>
          <t>pressure</t>
        </is>
      </c>
      <c r="H2356" t="inlineStr">
        <is>
          <t>yes</t>
        </is>
      </c>
      <c r="I2356" t="inlineStr">
        <is>
          <t>182.85</t>
        </is>
      </c>
      <c r="J2356" t="inlineStr">
        <is>
          <t>world_bank_col_estimate</t>
        </is>
      </c>
      <c r="K2356" t="inlineStr">
        <is>
          <t>https://api.worldbank.org/v2/country/QAT/indicator/NY.GNP.PCAP.PP.CD?format=json&amp;mrv=10</t>
        </is>
      </c>
      <c r="L2356" t="inlineStr">
        <is>
          <t>World Bank GNI + regional expenditure ratio estimate</t>
        </is>
      </c>
      <c r="M2356" t="inlineStr">
        <is>
          <t>2024-12-31</t>
        </is>
      </c>
      <c r="N2356" t="inlineStr">
        <is>
          <t>auto_ingest=world_bank_col_estimate; gni_annual=121900.0; year=2024; country_proxy=Qatar; cohort=Middle East; city_cost_mult=1.2</t>
        </is>
      </c>
    </row>
    <row r="2357">
      <c r="A2357" t="inlineStr">
        <is>
          <t>qa-doha</t>
        </is>
      </c>
      <c r="B2357" t="inlineStr">
        <is>
          <t>Doha</t>
        </is>
      </c>
      <c r="C2357" t="inlineStr">
        <is>
          <t>Qatar</t>
        </is>
      </c>
      <c r="D2357" t="inlineStr">
        <is>
          <t>Middle East</t>
        </is>
      </c>
      <c r="E2357" t="inlineStr">
        <is>
          <t>food_cost</t>
        </is>
      </c>
      <c r="F2357" t="inlineStr">
        <is>
          <t>Food cost</t>
        </is>
      </c>
      <c r="G2357" t="inlineStr">
        <is>
          <t>pressure</t>
        </is>
      </c>
      <c r="H2357" t="inlineStr">
        <is>
          <t>yes</t>
        </is>
      </c>
      <c r="I2357" t="inlineStr">
        <is>
          <t>2194.2</t>
        </is>
      </c>
      <c r="J2357" t="inlineStr">
        <is>
          <t>world_bank_col_estimate</t>
        </is>
      </c>
      <c r="K2357" t="inlineStr">
        <is>
          <t>https://api.worldbank.org/v2/country/QAT/indicator/NY.GNP.PCAP.PP.CD?format=json&amp;mrv=10</t>
        </is>
      </c>
      <c r="L2357" t="inlineStr">
        <is>
          <t>World Bank GNI + regional expenditure ratio estimate</t>
        </is>
      </c>
      <c r="M2357" t="inlineStr">
        <is>
          <t>2024-12-31</t>
        </is>
      </c>
      <c r="N2357" t="inlineStr">
        <is>
          <t>auto_ingest=world_bank_col_estimate; gni_annual=121900.0; year=2024; country_proxy=Qatar; cohort=Middle East; city_cost_mult=1.2</t>
        </is>
      </c>
    </row>
    <row r="2358">
      <c r="A2358" t="inlineStr">
        <is>
          <t>qa-doha</t>
        </is>
      </c>
      <c r="B2358" t="inlineStr">
        <is>
          <t>Doha</t>
        </is>
      </c>
      <c r="C2358" t="inlineStr">
        <is>
          <t>Qatar</t>
        </is>
      </c>
      <c r="D2358" t="inlineStr">
        <is>
          <t>Middle East</t>
        </is>
      </c>
      <c r="E2358" t="inlineStr">
        <is>
          <t>housing_burden_raw</t>
        </is>
      </c>
      <c r="F2358" t="inlineStr">
        <is>
          <t>Housing burden raw</t>
        </is>
      </c>
      <c r="G2358" t="inlineStr">
        <is>
          <t>pressure</t>
        </is>
      </c>
      <c r="H2358" t="inlineStr">
        <is>
          <t>yes</t>
        </is>
      </c>
      <c r="I2358" t="inlineStr">
        <is>
          <t>30.0</t>
        </is>
      </c>
      <c r="J2358" t="inlineStr">
        <is>
          <t>derived</t>
        </is>
      </c>
      <c r="K2358" t="inlineStr">
        <is>
          <t>https://data.worldbank.org/indicator/NY.GNP.PCAP.PP.CD</t>
        </is>
      </c>
      <c r="L2358" t="inlineStr">
        <is>
          <t>Computed from city_inputs + country_context</t>
        </is>
      </c>
      <c r="M2358" t="inlineStr">
        <is>
          <t>2024-01-01</t>
        </is>
      </c>
      <c r="N2358" t="inlineStr">
        <is>
          <t>derived=rent/gross_income*100</t>
        </is>
      </c>
    </row>
    <row r="2359">
      <c r="A2359" t="inlineStr">
        <is>
          <t>qa-doha</t>
        </is>
      </c>
      <c r="B2359" t="inlineStr">
        <is>
          <t>Doha</t>
        </is>
      </c>
      <c r="C2359" t="inlineStr">
        <is>
          <t>Qatar</t>
        </is>
      </c>
      <c r="D2359" t="inlineStr">
        <is>
          <t>Middle East</t>
        </is>
      </c>
      <c r="E2359" t="inlineStr">
        <is>
          <t>household_debt_burden_raw</t>
        </is>
      </c>
      <c r="F2359" t="inlineStr">
        <is>
          <t>Household debt burden raw</t>
        </is>
      </c>
      <c r="G2359" t="inlineStr">
        <is>
          <t>pressure</t>
        </is>
      </c>
      <c r="H2359" t="inlineStr">
        <is>
          <t>yes</t>
        </is>
      </c>
      <c r="I2359" t="inlineStr">
        <is>
          <t>118.8652</t>
        </is>
      </c>
      <c r="J2359" t="inlineStr">
        <is>
          <t>derived</t>
        </is>
      </c>
      <c r="K2359" t="inlineStr">
        <is>
          <t>https://data.worldbank.org/indicator/NY.GNP.PCAP.PP.CD</t>
        </is>
      </c>
      <c r="L2359" t="inlineStr">
        <is>
          <t>Computed from city_inputs + country_context</t>
        </is>
      </c>
      <c r="M2359" t="inlineStr">
        <is>
          <t>2024-01-01</t>
        </is>
      </c>
      <c r="N2359" t="inlineStr">
        <is>
          <t>derived=country_context.household_debt_proxy; country=Qatar</t>
        </is>
      </c>
    </row>
    <row r="2360">
      <c r="A2360" t="inlineStr">
        <is>
          <t>qa-doha</t>
        </is>
      </c>
      <c r="B2360" t="inlineStr">
        <is>
          <t>Doha</t>
        </is>
      </c>
      <c r="C2360" t="inlineStr">
        <is>
          <t>Qatar</t>
        </is>
      </c>
      <c r="D2360" t="inlineStr">
        <is>
          <t>Middle East</t>
        </is>
      </c>
      <c r="E2360" t="inlineStr">
        <is>
          <t>working_time_pressure_raw</t>
        </is>
      </c>
      <c r="F2360" t="inlineStr">
        <is>
          <t>Working time pressure raw</t>
        </is>
      </c>
      <c r="G2360" t="inlineStr">
        <is>
          <t>pressure</t>
        </is>
      </c>
      <c r="H2360" t="inlineStr">
        <is>
          <t>yes</t>
        </is>
      </c>
      <c r="I2360" t="inlineStr">
        <is>
          <t>48.0</t>
        </is>
      </c>
      <c r="J2360" t="inlineStr">
        <is>
          <t>ilo_ilostat</t>
        </is>
      </c>
      <c r="K2360" t="inlineStr">
        <is>
          <t>https://ilostat.ilo.org/data/indicator/?id=HOW_TEMP_SEX_ECO_NB_A&amp;ref_area=QAT</t>
        </is>
      </c>
      <c r="L2360" t="inlineStr">
        <is>
          <t>ILO ILOSTAT: Mean weekly hours actually worked per employed person</t>
        </is>
      </c>
      <c r="M2360" t="inlineStr">
        <is>
          <t>2020-12-31</t>
        </is>
      </c>
      <c r="N2360" t="inlineStr">
        <is>
          <t>auto_ingest=ilo_working_hours; indicator=HOW_TEMP_SEX_ECO_NB_A; year=2020; hours=48.0; country_proxy=Qatar</t>
        </is>
      </c>
    </row>
    <row r="2361">
      <c r="A2361" t="inlineStr">
        <is>
          <t>qa-doha</t>
        </is>
      </c>
      <c r="B2361" t="inlineStr">
        <is>
          <t>Doha</t>
        </is>
      </c>
      <c r="C2361" t="inlineStr">
        <is>
          <t>Qatar</t>
        </is>
      </c>
      <c r="D2361" t="inlineStr">
        <is>
          <t>Middle East</t>
        </is>
      </c>
      <c r="E2361" t="inlineStr">
        <is>
          <t>suicide_mental_strain_raw</t>
        </is>
      </c>
      <c r="F2361" t="inlineStr">
        <is>
          <t>Suicide or mental strain raw</t>
        </is>
      </c>
      <c r="G2361" t="inlineStr">
        <is>
          <t>pressure</t>
        </is>
      </c>
      <c r="H2361" t="inlineStr">
        <is>
          <t>yes</t>
        </is>
      </c>
      <c r="I2361" t="inlineStr">
        <is>
          <t>4.7</t>
        </is>
      </c>
      <c r="J2361" t="inlineStr">
        <is>
          <t>who_gho</t>
        </is>
      </c>
      <c r="K2361" t="inlineStr">
        <is>
          <t>https://www.who.int/data/gho/data/indicators/indicator-details/GHO/SDGSUICIDE</t>
        </is>
      </c>
      <c r="L2361" t="inlineStr">
        <is>
          <t>WHO GHO: Age-standardized suicide rate (per 100,000 population)</t>
        </is>
      </c>
      <c r="M2361" t="inlineStr">
        <is>
          <t>2021-12-31</t>
        </is>
      </c>
      <c r="N2361" t="inlineStr">
        <is>
          <t>auto_ingest=who_gho; indicator=SDGSUICIDE; year=2021; country_proxy=Qatar</t>
        </is>
      </c>
    </row>
    <row r="2362">
      <c r="A2362" t="inlineStr">
        <is>
          <t>qa-doha</t>
        </is>
      </c>
      <c r="B2362" t="inlineStr">
        <is>
          <t>Doha</t>
        </is>
      </c>
      <c r="C2362" t="inlineStr">
        <is>
          <t>Qatar</t>
        </is>
      </c>
      <c r="D2362" t="inlineStr">
        <is>
          <t>Middle East</t>
        </is>
      </c>
      <c r="E2362" t="inlineStr">
        <is>
          <t>personal_safety_raw</t>
        </is>
      </c>
      <c r="F2362" t="inlineStr">
        <is>
          <t>Personal safety raw</t>
        </is>
      </c>
      <c r="G2362" t="inlineStr">
        <is>
          <t>viability</t>
        </is>
      </c>
      <c r="H2362" t="inlineStr">
        <is>
          <t>yes</t>
        </is>
      </c>
      <c r="I2362" t="inlineStr">
        <is>
          <t>0.07</t>
        </is>
      </c>
      <c r="J2362" t="inlineStr">
        <is>
          <t>world_bank</t>
        </is>
      </c>
      <c r="K2362" t="inlineStr">
        <is>
          <t>https://api.worldbank.org/v2/country/QAT/indicator/VC.IHR.PSRC.P5?format=json&amp;mrv=10</t>
        </is>
      </c>
      <c r="L2362" t="inlineStr">
        <is>
          <t>UNODC via World Bank WDI: Intentional homicides (per 100,000 people)</t>
        </is>
      </c>
      <c r="M2362" t="inlineStr">
        <is>
          <t>2022-12-31</t>
        </is>
      </c>
      <c r="N2362" t="inlineStr">
        <is>
          <t>auto_ingest=unodc_safety; indicator=VC.IHR.PSRC.P5; year=2022; country_proxy=Qatar</t>
        </is>
      </c>
    </row>
    <row r="2363">
      <c r="A2363" t="inlineStr">
        <is>
          <t>qa-doha</t>
        </is>
      </c>
      <c r="B2363" t="inlineStr">
        <is>
          <t>Doha</t>
        </is>
      </c>
      <c r="C2363" t="inlineStr">
        <is>
          <t>Qatar</t>
        </is>
      </c>
      <c r="D2363" t="inlineStr">
        <is>
          <t>Middle East</t>
        </is>
      </c>
      <c r="E2363" t="inlineStr">
        <is>
          <t>transit_access_commute_raw</t>
        </is>
      </c>
      <c r="F2363" t="inlineStr">
        <is>
          <t>Transit access and commute raw</t>
        </is>
      </c>
      <c r="G2363" t="inlineStr">
        <is>
          <t>viability</t>
        </is>
      </c>
      <c r="H2363" t="inlineStr">
        <is>
          <t>yes</t>
        </is>
      </c>
      <c r="I2363" t="inlineStr"/>
      <c r="J2363" t="inlineStr"/>
      <c r="K2363" t="inlineStr"/>
      <c r="L2363" t="inlineStr"/>
      <c r="M2363" t="inlineStr"/>
      <c r="N2363" t="inlineStr"/>
    </row>
    <row r="2364">
      <c r="A2364" t="inlineStr">
        <is>
          <t>qa-doha</t>
        </is>
      </c>
      <c r="B2364" t="inlineStr">
        <is>
          <t>Doha</t>
        </is>
      </c>
      <c r="C2364" t="inlineStr">
        <is>
          <t>Qatar</t>
        </is>
      </c>
      <c r="D2364" t="inlineStr">
        <is>
          <t>Middle East</t>
        </is>
      </c>
      <c r="E2364" t="inlineStr">
        <is>
          <t>clean_air_raw</t>
        </is>
      </c>
      <c r="F2364" t="inlineStr">
        <is>
          <t>Clean air raw</t>
        </is>
      </c>
      <c r="G2364" t="inlineStr">
        <is>
          <t>viability</t>
        </is>
      </c>
      <c r="H2364" t="inlineStr">
        <is>
          <t>yes</t>
        </is>
      </c>
      <c r="I2364" t="inlineStr"/>
      <c r="J2364" t="inlineStr"/>
      <c r="K2364" t="inlineStr"/>
      <c r="L2364" t="inlineStr"/>
      <c r="M2364" t="inlineStr"/>
      <c r="N2364" t="inlineStr"/>
    </row>
    <row r="2365">
      <c r="A2365" t="inlineStr">
        <is>
          <t>qa-doha</t>
        </is>
      </c>
      <c r="B2365" t="inlineStr">
        <is>
          <t>Doha</t>
        </is>
      </c>
      <c r="C2365" t="inlineStr">
        <is>
          <t>Qatar</t>
        </is>
      </c>
      <c r="D2365" t="inlineStr">
        <is>
          <t>Middle East</t>
        </is>
      </c>
      <c r="E2365" t="inlineStr">
        <is>
          <t>water_sanitation_utility_raw</t>
        </is>
      </c>
      <c r="F2365" t="inlineStr">
        <is>
          <t>Water, sanitation, and utility raw</t>
        </is>
      </c>
      <c r="G2365" t="inlineStr">
        <is>
          <t>viability</t>
        </is>
      </c>
      <c r="H2365" t="inlineStr">
        <is>
          <t>yes</t>
        </is>
      </c>
      <c r="I2365" t="inlineStr">
        <is>
          <t>95.35</t>
        </is>
      </c>
      <c r="J2365" t="inlineStr">
        <is>
          <t>world_bank</t>
        </is>
      </c>
      <c r="K2365" t="inlineStr">
        <is>
          <t>https://api.worldbank.org/v2/country/QAT/indicator/SH.H2O.SMDW.ZS?format=json&amp;mrv=10</t>
        </is>
      </c>
      <c r="L2365" t="inlineStr">
        <is>
          <t>World Bank WDI: People using safely managed drinking water services (% of population)</t>
        </is>
      </c>
      <c r="M2365" t="inlineStr">
        <is>
          <t>2024-12-31</t>
        </is>
      </c>
      <c r="N2365" t="inlineStr">
        <is>
          <t>auto_ingest=world_bank_proxy; indicator=SH.H2O.SMDW.ZS; year=2024; country_proxy=Qatar</t>
        </is>
      </c>
    </row>
    <row r="2366">
      <c r="A2366" t="inlineStr">
        <is>
          <t>qa-doha</t>
        </is>
      </c>
      <c r="B2366" t="inlineStr">
        <is>
          <t>Doha</t>
        </is>
      </c>
      <c r="C2366" t="inlineStr">
        <is>
          <t>Qatar</t>
        </is>
      </c>
      <c r="D2366" t="inlineStr">
        <is>
          <t>Middle East</t>
        </is>
      </c>
      <c r="E2366" t="inlineStr">
        <is>
          <t>digital_infrastructure_raw</t>
        </is>
      </c>
      <c r="F2366" t="inlineStr">
        <is>
          <t>Digital infrastructure raw</t>
        </is>
      </c>
      <c r="G2366" t="inlineStr">
        <is>
          <t>viability</t>
        </is>
      </c>
      <c r="H2366" t="inlineStr">
        <is>
          <t>yes</t>
        </is>
      </c>
      <c r="I2366" t="inlineStr">
        <is>
          <t>11.64</t>
        </is>
      </c>
      <c r="J2366" t="inlineStr">
        <is>
          <t>world_bank</t>
        </is>
      </c>
      <c r="K2366" t="inlineStr">
        <is>
          <t>https://api.worldbank.org/v2/country/QAT/indicator/IT.NET.BBND.P2?format=json&amp;mrv=10</t>
        </is>
      </c>
      <c r="L2366" t="inlineStr">
        <is>
          <t>World Bank WDI: Fixed broadband subscriptions (per 100 people)</t>
        </is>
      </c>
      <c r="M2366" t="inlineStr">
        <is>
          <t>2023-12-31</t>
        </is>
      </c>
      <c r="N2366" t="inlineStr">
        <is>
          <t>auto_ingest=world_bank_proxy; indicator=IT.NET.BBND.P2; year=2023; country_proxy=Qatar</t>
        </is>
      </c>
    </row>
    <row r="2367">
      <c r="A2367" t="inlineStr">
        <is>
          <t>qa-doha</t>
        </is>
      </c>
      <c r="B2367" t="inlineStr">
        <is>
          <t>Doha</t>
        </is>
      </c>
      <c r="C2367" t="inlineStr">
        <is>
          <t>Qatar</t>
        </is>
      </c>
      <c r="D2367" t="inlineStr">
        <is>
          <t>Middle East</t>
        </is>
      </c>
      <c r="E2367" t="inlineStr">
        <is>
          <t>climate_sunlight_livability_raw</t>
        </is>
      </c>
      <c r="F2367" t="inlineStr">
        <is>
          <t>Climate and sunlight livability raw</t>
        </is>
      </c>
      <c r="G2367" t="inlineStr">
        <is>
          <t>viability</t>
        </is>
      </c>
      <c r="H2367" t="inlineStr">
        <is>
          <t>yes</t>
        </is>
      </c>
      <c r="I2367" t="inlineStr">
        <is>
          <t>32</t>
        </is>
      </c>
      <c r="J2367" t="inlineStr">
        <is>
          <t>wmo_natl_met</t>
        </is>
      </c>
      <c r="K2367" t="inlineStr">
        <is>
          <t>https://worldweather.wmo.int</t>
        </is>
      </c>
      <c r="L2367" t="inlineStr">
        <is>
          <t>WMO/National Met: Climate livability composite</t>
        </is>
      </c>
      <c r="M2367" t="inlineStr">
        <is>
          <t>2024-12-31</t>
        </is>
      </c>
      <c r="N2367" t="inlineStr">
        <is>
          <t>auto_seed=climate_composite; 3400 sun hrs but 28C mean with 45C+ summers, extreme humidity</t>
        </is>
      </c>
    </row>
    <row r="2368">
      <c r="A2368" t="inlineStr">
        <is>
          <t>qa-doha</t>
        </is>
      </c>
      <c r="B2368" t="inlineStr">
        <is>
          <t>Doha</t>
        </is>
      </c>
      <c r="C2368" t="inlineStr">
        <is>
          <t>Qatar</t>
        </is>
      </c>
      <c r="D2368" t="inlineStr">
        <is>
          <t>Middle East</t>
        </is>
      </c>
      <c r="E2368" t="inlineStr">
        <is>
          <t>healthcare_quality_raw</t>
        </is>
      </c>
      <c r="F2368" t="inlineStr">
        <is>
          <t>Healthcare quality raw</t>
        </is>
      </c>
      <c r="G2368" t="inlineStr">
        <is>
          <t>capability</t>
        </is>
      </c>
      <c r="H2368" t="inlineStr">
        <is>
          <t>yes</t>
        </is>
      </c>
      <c r="I2368" t="inlineStr">
        <is>
          <t>84.0</t>
        </is>
      </c>
      <c r="J2368" t="inlineStr">
        <is>
          <t>who_gho</t>
        </is>
      </c>
      <c r="K2368" t="inlineStr">
        <is>
          <t>https://www.who.int/data/gho/data/indicators/indicator-details/GHO/UHC_INDEX_REPORTED</t>
        </is>
      </c>
      <c r="L2368" t="inlineStr">
        <is>
          <t>WHO GHO: UHC Service Coverage Index</t>
        </is>
      </c>
      <c r="M2368" t="inlineStr">
        <is>
          <t>2023-12-31</t>
        </is>
      </c>
      <c r="N2368" t="inlineStr">
        <is>
          <t>auto_ingest=who_gho; indicator=UHC_INDEX_REPORTED; year=2023; country_proxy=Qatar</t>
        </is>
      </c>
    </row>
    <row r="2369">
      <c r="A2369" t="inlineStr">
        <is>
          <t>qa-doha</t>
        </is>
      </c>
      <c r="B2369" t="inlineStr">
        <is>
          <t>Doha</t>
        </is>
      </c>
      <c r="C2369" t="inlineStr">
        <is>
          <t>Qatar</t>
        </is>
      </c>
      <c r="D2369" t="inlineStr">
        <is>
          <t>Middle East</t>
        </is>
      </c>
      <c r="E2369" t="inlineStr">
        <is>
          <t>education_quality_raw</t>
        </is>
      </c>
      <c r="F2369" t="inlineStr">
        <is>
          <t>Education quality raw</t>
        </is>
      </c>
      <c r="G2369" t="inlineStr">
        <is>
          <t>capability</t>
        </is>
      </c>
      <c r="H2369" t="inlineStr">
        <is>
          <t>yes</t>
        </is>
      </c>
      <c r="I2369" t="inlineStr">
        <is>
          <t>35.09</t>
        </is>
      </c>
      <c r="J2369" t="inlineStr">
        <is>
          <t>world_bank</t>
        </is>
      </c>
      <c r="K2369" t="inlineStr">
        <is>
          <t>https://api.worldbank.org/v2/country/QAT/indicator/SE.TER.ENRR?format=json&amp;mrv=10</t>
        </is>
      </c>
      <c r="L2369" t="inlineStr">
        <is>
          <t>World Bank WDI: School enrollment, tertiary (% gross)</t>
        </is>
      </c>
      <c r="M2369" t="inlineStr">
        <is>
          <t>2022-12-31</t>
        </is>
      </c>
      <c r="N2369" t="inlineStr">
        <is>
          <t>auto_ingest=world_bank_proxy; indicator=SE.TER.ENRR; year=2022; country_proxy=Qatar</t>
        </is>
      </c>
    </row>
    <row r="2370">
      <c r="A2370" t="inlineStr">
        <is>
          <t>qa-doha</t>
        </is>
      </c>
      <c r="B2370" t="inlineStr">
        <is>
          <t>Doha</t>
        </is>
      </c>
      <c r="C2370" t="inlineStr">
        <is>
          <t>Qatar</t>
        </is>
      </c>
      <c r="D2370" t="inlineStr">
        <is>
          <t>Middle East and North Africa</t>
        </is>
      </c>
      <c r="E2370" t="inlineStr">
        <is>
          <t>equal_opportunity_raw</t>
        </is>
      </c>
      <c r="F2370" t="inlineStr">
        <is>
          <t>Equal opportunity raw</t>
        </is>
      </c>
      <c r="G2370" t="inlineStr">
        <is>
          <t>capability</t>
        </is>
      </c>
      <c r="H2370" t="inlineStr">
        <is>
          <t>yes</t>
        </is>
      </c>
      <c r="I2370" t="inlineStr">
        <is>
          <t>35.1</t>
        </is>
      </c>
      <c r="J2370" t="inlineStr">
        <is>
          <t>world_bank</t>
        </is>
      </c>
      <c r="K2370" t="inlineStr">
        <is>
          <t>https://api.worldbank.org/v2/country/QAT/indicator/SI.POV.GINI?format=json&amp;mrv=10</t>
        </is>
      </c>
      <c r="L2370" t="inlineStr">
        <is>
          <t>World Bank WDI: Gini index</t>
        </is>
      </c>
      <c r="M2370" t="inlineStr">
        <is>
          <t>2017-12-31</t>
        </is>
      </c>
      <c r="N2370" t="inlineStr">
        <is>
          <t>auto_ingest=world_bank_capability; indicator=SI.POV.GINI; year=2017; country_proxy=Qatar</t>
        </is>
      </c>
    </row>
    <row r="2371">
      <c r="A2371" t="inlineStr">
        <is>
          <t>qa-doha</t>
        </is>
      </c>
      <c r="B2371" t="inlineStr">
        <is>
          <t>Doha</t>
        </is>
      </c>
      <c r="C2371" t="inlineStr">
        <is>
          <t>Qatar</t>
        </is>
      </c>
      <c r="D2371" t="inlineStr">
        <is>
          <t>Middle East</t>
        </is>
      </c>
      <c r="E2371" t="inlineStr">
        <is>
          <t>hospitality_belonging_raw</t>
        </is>
      </c>
      <c r="F2371" t="inlineStr">
        <is>
          <t>Hospitality and belonging raw</t>
        </is>
      </c>
      <c r="G2371" t="inlineStr">
        <is>
          <t>community</t>
        </is>
      </c>
      <c r="H2371" t="inlineStr">
        <is>
          <t>yes</t>
        </is>
      </c>
      <c r="I2371" t="inlineStr">
        <is>
          <t>62.7</t>
        </is>
      </c>
      <c r="J2371" t="inlineStr">
        <is>
          <t>world_bank</t>
        </is>
      </c>
      <c r="K2371" t="inlineStr">
        <is>
          <t>https://api.worldbank.org/v2/country/QAT/indicator/SM.POP.NETM?format=json&amp;mrv=10</t>
        </is>
      </c>
      <c r="L2371" t="inlineStr">
        <is>
          <t>World Bank WDI: Net migration (proxy for hospitality/belonging — positive = welcoming)</t>
        </is>
      </c>
      <c r="M2371" t="inlineStr">
        <is>
          <t>2025-12-31</t>
        </is>
      </c>
      <c r="N2371" t="inlineStr">
        <is>
          <t>auto_ingest=world_bank_proxy; proxy=net_migration_hospitality; indicator=SM.POP.NETM; year=2025; country_proxy=Qatar</t>
        </is>
      </c>
    </row>
    <row r="2372">
      <c r="A2372" t="inlineStr">
        <is>
          <t>qa-doha</t>
        </is>
      </c>
      <c r="B2372" t="inlineStr">
        <is>
          <t>Doha</t>
        </is>
      </c>
      <c r="C2372" t="inlineStr">
        <is>
          <t>Qatar</t>
        </is>
      </c>
      <c r="D2372" t="inlineStr">
        <is>
          <t>Middle East</t>
        </is>
      </c>
      <c r="E2372" t="inlineStr">
        <is>
          <t>tolerance_pluralism_raw</t>
        </is>
      </c>
      <c r="F2372" t="inlineStr">
        <is>
          <t>Tolerance and pluralism raw</t>
        </is>
      </c>
      <c r="G2372" t="inlineStr">
        <is>
          <t>community</t>
        </is>
      </c>
      <c r="H2372" t="inlineStr">
        <is>
          <t>yes</t>
        </is>
      </c>
      <c r="I2372" t="inlineStr">
        <is>
          <t>4.44</t>
        </is>
      </c>
      <c r="J2372" t="inlineStr">
        <is>
          <t>world_bank</t>
        </is>
      </c>
      <c r="K2372" t="inlineStr">
        <is>
          <t>https://api.worldbank.org/v2/country/QAT/indicator/SG.GEN.PARL.ZS?format=json&amp;mrv=10</t>
        </is>
      </c>
      <c r="L2372" t="inlineStr">
        <is>
          <t>World Bank WDI: Proportion of seats held by women in national parliaments (%)</t>
        </is>
      </c>
      <c r="M2372" t="inlineStr">
        <is>
          <t>2024-12-31</t>
        </is>
      </c>
      <c r="N2372" t="inlineStr">
        <is>
          <t>auto_ingest=world_bank_proxy; proxy=gender_parity_parliament; indicator=SG.GEN.PARL.ZS; year=2024; country_proxy=Qatar</t>
        </is>
      </c>
    </row>
    <row r="2373">
      <c r="A2373" t="inlineStr">
        <is>
          <t>qa-doha</t>
        </is>
      </c>
      <c r="B2373" t="inlineStr">
        <is>
          <t>Doha</t>
        </is>
      </c>
      <c r="C2373" t="inlineStr">
        <is>
          <t>Qatar</t>
        </is>
      </c>
      <c r="D2373" t="inlineStr">
        <is>
          <t>Middle East</t>
        </is>
      </c>
      <c r="E2373" t="inlineStr">
        <is>
          <t>cultural_public_life_raw</t>
        </is>
      </c>
      <c r="F2373" t="inlineStr">
        <is>
          <t>Cultural public life raw</t>
        </is>
      </c>
      <c r="G2373" t="inlineStr">
        <is>
          <t>community</t>
        </is>
      </c>
      <c r="H2373" t="inlineStr">
        <is>
          <t>yes</t>
        </is>
      </c>
      <c r="I2373" t="inlineStr">
        <is>
          <t>203.65</t>
        </is>
      </c>
      <c r="J2373" t="inlineStr">
        <is>
          <t>world_bank</t>
        </is>
      </c>
      <c r="K2373" t="inlineStr">
        <is>
          <t>https://api.worldbank.org/v2/country/QAT/indicator/ST.INT.ARVL?format=json&amp;mrv=10</t>
        </is>
      </c>
      <c r="L2373" t="inlineStr">
        <is>
          <t>World Bank WDI: International tourism arrivals per 1 000 population</t>
        </is>
      </c>
      <c r="M2373" t="inlineStr">
        <is>
          <t>2020-12-31</t>
        </is>
      </c>
      <c r="N2373" t="inlineStr">
        <is>
          <t>auto_ingest=cultural_life_proxy; indicator=ST.INT.ARVL; norm=per_1000_pop; year=2020; country_proxy=Qatar</t>
        </is>
      </c>
    </row>
    <row r="2374">
      <c r="A2374" t="inlineStr">
        <is>
          <t>qa-doha</t>
        </is>
      </c>
      <c r="B2374" t="inlineStr">
        <is>
          <t>Doha</t>
        </is>
      </c>
      <c r="C2374" t="inlineStr">
        <is>
          <t>Qatar</t>
        </is>
      </c>
      <c r="D2374" t="inlineStr">
        <is>
          <t>Middle East</t>
        </is>
      </c>
      <c r="E2374" t="inlineStr">
        <is>
          <t>birth_rate_optimism_raw</t>
        </is>
      </c>
      <c r="F2374" t="inlineStr">
        <is>
          <t>Birth rate and societal optimism raw</t>
        </is>
      </c>
      <c r="G2374" t="inlineStr">
        <is>
          <t>community</t>
        </is>
      </c>
      <c r="H2374" t="inlineStr">
        <is>
          <t>yes</t>
        </is>
      </c>
      <c r="I2374" t="inlineStr">
        <is>
          <t>1.8</t>
        </is>
      </c>
      <c r="J2374" t="inlineStr">
        <is>
          <t>world_bank</t>
        </is>
      </c>
      <c r="K2374" t="inlineStr">
        <is>
          <t>https://data.worldbank.org/indicator/SP.DYN.TFRT.IN</t>
        </is>
      </c>
      <c r="L2374" t="inlineStr">
        <is>
          <t>World Bank Total Fertility Rate 2023</t>
        </is>
      </c>
      <c r="M2374" t="inlineStr">
        <is>
          <t>2024-01-01</t>
        </is>
      </c>
      <c r="N2374" t="inlineStr"/>
    </row>
    <row r="2375">
      <c r="A2375" t="inlineStr">
        <is>
          <t>qa-doha</t>
        </is>
      </c>
      <c r="B2375" t="inlineStr">
        <is>
          <t>Doha</t>
        </is>
      </c>
      <c r="C2375" t="inlineStr">
        <is>
          <t>Qatar</t>
        </is>
      </c>
      <c r="D2375" t="inlineStr">
        <is>
          <t>Middle East</t>
        </is>
      </c>
      <c r="E2375" t="inlineStr">
        <is>
          <t>entrepreneurial_dynamism_raw</t>
        </is>
      </c>
      <c r="F2375" t="inlineStr">
        <is>
          <t>Entrepreneurial dynamism raw</t>
        </is>
      </c>
      <c r="G2375" t="inlineStr">
        <is>
          <t>creative</t>
        </is>
      </c>
      <c r="H2375" t="inlineStr">
        <is>
          <t>yes</t>
        </is>
      </c>
      <c r="I2375" t="inlineStr">
        <is>
          <t>6.31</t>
        </is>
      </c>
      <c r="J2375" t="inlineStr">
        <is>
          <t>world_bank</t>
        </is>
      </c>
      <c r="K2375" t="inlineStr">
        <is>
          <t>https://api.worldbank.org/v2/country/QAT/indicator/IC.BUS.NDNS.ZS?format=json&amp;mrv=10</t>
        </is>
      </c>
      <c r="L2375" t="inlineStr">
        <is>
          <t>World Bank WDI: New business density (new registrations per 1,000 people ages 15-64)</t>
        </is>
      </c>
      <c r="M2375" t="inlineStr">
        <is>
          <t>2018-12-31</t>
        </is>
      </c>
      <c r="N2375" t="inlineStr">
        <is>
          <t>auto_ingest=world_bank_creative_extended; indicator=IC.BUS.NDNS.ZS; year=2018; country_proxy=Qatar</t>
        </is>
      </c>
    </row>
    <row r="2376">
      <c r="A2376" t="inlineStr">
        <is>
          <t>qa-doha</t>
        </is>
      </c>
      <c r="B2376" t="inlineStr">
        <is>
          <t>Doha</t>
        </is>
      </c>
      <c r="C2376" t="inlineStr">
        <is>
          <t>Qatar</t>
        </is>
      </c>
      <c r="D2376" t="inlineStr">
        <is>
          <t>Middle East</t>
        </is>
      </c>
      <c r="E2376" t="inlineStr">
        <is>
          <t>innovation_research_intensity_raw</t>
        </is>
      </c>
      <c r="F2376" t="inlineStr">
        <is>
          <t>Innovation and research raw</t>
        </is>
      </c>
      <c r="G2376" t="inlineStr">
        <is>
          <t>creative</t>
        </is>
      </c>
      <c r="H2376" t="inlineStr">
        <is>
          <t>yes</t>
        </is>
      </c>
      <c r="I2376" t="inlineStr">
        <is>
          <t>0.68</t>
        </is>
      </c>
      <c r="J2376" t="inlineStr">
        <is>
          <t>world_bank</t>
        </is>
      </c>
      <c r="K2376" t="inlineStr">
        <is>
          <t>https://api.worldbank.org/v2/country/QAT/indicator/GB.XPD.RSDV.GD.ZS?format=json&amp;mrv=10</t>
        </is>
      </c>
      <c r="L2376" t="inlineStr">
        <is>
          <t>World Bank WDI: Research and development expenditure (% of GDP)</t>
        </is>
      </c>
      <c r="M2376" t="inlineStr">
        <is>
          <t>2021-12-31</t>
        </is>
      </c>
      <c r="N2376" t="inlineStr">
        <is>
          <t>auto_ingest=world_bank_creative_extended; indicator=GB.XPD.RSDV.GD.ZS; year=2021; country_proxy=Qatar</t>
        </is>
      </c>
    </row>
    <row r="2377">
      <c r="A2377" t="inlineStr">
        <is>
          <t>qa-doha</t>
        </is>
      </c>
      <c r="B2377" t="inlineStr">
        <is>
          <t>Doha</t>
        </is>
      </c>
      <c r="C2377" t="inlineStr">
        <is>
          <t>Qatar</t>
        </is>
      </c>
      <c r="D2377" t="inlineStr">
        <is>
          <t>Middle East</t>
        </is>
      </c>
      <c r="E2377" t="inlineStr">
        <is>
          <t>investment_signal_raw</t>
        </is>
      </c>
      <c r="F2377" t="inlineStr">
        <is>
          <t>Investment signal raw</t>
        </is>
      </c>
      <c r="G2377" t="inlineStr">
        <is>
          <t>creative</t>
        </is>
      </c>
      <c r="H2377" t="inlineStr">
        <is>
          <t>yes</t>
        </is>
      </c>
      <c r="I2377" t="inlineStr">
        <is>
          <t>0.21</t>
        </is>
      </c>
      <c r="J2377" t="inlineStr">
        <is>
          <t>world_bank</t>
        </is>
      </c>
      <c r="K2377" t="inlineStr">
        <is>
          <t>https://api.worldbank.org/v2/country/QAT/indicator/BX.KLT.DINV.WD.GD.ZS?format=json&amp;mrv=10</t>
        </is>
      </c>
      <c r="L2377" t="inlineStr">
        <is>
          <t>World Bank WDI: Foreign direct investment, net inflows (% of GDP)</t>
        </is>
      </c>
      <c r="M2377" t="inlineStr">
        <is>
          <t>2024-12-31</t>
        </is>
      </c>
      <c r="N2377" t="inlineStr">
        <is>
          <t>auto_ingest=world_bank_creative_extended; indicator=BX.KLT.DINV.WD.GD.ZS; year=2024; country_proxy=Qatar</t>
        </is>
      </c>
    </row>
    <row r="2378">
      <c r="A2378" t="inlineStr">
        <is>
          <t>qa-doha</t>
        </is>
      </c>
      <c r="B2378" t="inlineStr">
        <is>
          <t>Doha</t>
        </is>
      </c>
      <c r="C2378" t="inlineStr">
        <is>
          <t>Qatar</t>
        </is>
      </c>
      <c r="D2378" t="inlineStr">
        <is>
          <t>Middle East</t>
        </is>
      </c>
      <c r="E2378" t="inlineStr">
        <is>
          <t>administrative_investment_friction_raw</t>
        </is>
      </c>
      <c r="F2378" t="inlineStr">
        <is>
          <t>Administrative investment friction raw</t>
        </is>
      </c>
      <c r="G2378" t="inlineStr">
        <is>
          <t>creative</t>
        </is>
      </c>
      <c r="H2378" t="inlineStr">
        <is>
          <t>yes</t>
        </is>
      </c>
      <c r="I2378" t="inlineStr">
        <is>
          <t>1.52</t>
        </is>
      </c>
      <c r="J2378" t="inlineStr">
        <is>
          <t>world_bank</t>
        </is>
      </c>
      <c r="K2378" t="inlineStr">
        <is>
          <t>https://api.worldbank.org/v2/country/QAT/indicator/RQ.EST?format=json&amp;mrv=10</t>
        </is>
      </c>
      <c r="L2378" t="inlineStr">
        <is>
          <t>World Bank WGI: Regulatory Quality (inverted as friction proxy)</t>
        </is>
      </c>
      <c r="M2378" t="inlineStr">
        <is>
          <t>2023-12-31</t>
        </is>
      </c>
      <c r="N2378" t="inlineStr">
        <is>
          <t>auto_ingest=world_bank_business_friction; indicator=RQ.EST; raw_rq=0.977040886878967; friction=1.52; year=2023; country_proxy=Qatar</t>
        </is>
      </c>
    </row>
    <row r="2379">
      <c r="A2379" t="inlineStr">
        <is>
          <t>qa-doha</t>
        </is>
      </c>
      <c r="B2379" t="inlineStr">
        <is>
          <t>Doha</t>
        </is>
      </c>
      <c r="C2379" t="inlineStr">
        <is>
          <t>Qatar</t>
        </is>
      </c>
      <c r="D2379" t="inlineStr">
        <is>
          <t>Middle East</t>
        </is>
      </c>
      <c r="E2379" t="inlineStr">
        <is>
          <t>visitor_flow_context_raw</t>
        </is>
      </c>
      <c r="F2379" t="inlineStr">
        <is>
          <t>Visitor flow context raw</t>
        </is>
      </c>
      <c r="G2379" t="inlineStr">
        <is>
          <t>creative</t>
        </is>
      </c>
      <c r="H2379" t="inlineStr">
        <is>
          <t>no</t>
        </is>
      </c>
      <c r="I2379" t="inlineStr"/>
      <c r="J2379" t="inlineStr"/>
      <c r="K2379" t="inlineStr"/>
      <c r="L2379" t="inlineStr"/>
      <c r="M2379" t="inlineStr"/>
      <c r="N2379" t="inlineStr"/>
    </row>
    <row r="2380">
      <c r="A2380" t="inlineStr">
        <is>
          <t>sa-riyadh</t>
        </is>
      </c>
      <c r="B2380" t="inlineStr">
        <is>
          <t>Riyadh</t>
        </is>
      </c>
      <c r="C2380" t="inlineStr">
        <is>
          <t>Saudi Arabia</t>
        </is>
      </c>
      <c r="D2380" t="inlineStr">
        <is>
          <t>Middle East</t>
        </is>
      </c>
      <c r="E2380" t="inlineStr">
        <is>
          <t>gross_income</t>
        </is>
      </c>
      <c r="F2380" t="inlineStr">
        <is>
          <t>Gross income</t>
        </is>
      </c>
      <c r="G2380" t="inlineStr">
        <is>
          <t>pressure</t>
        </is>
      </c>
      <c r="H2380" t="inlineStr">
        <is>
          <t>yes</t>
        </is>
      </c>
      <c r="I2380" t="inlineStr">
        <is>
          <t>5977.5</t>
        </is>
      </c>
      <c r="J2380" t="inlineStr">
        <is>
          <t>world_bank_col_estimate</t>
        </is>
      </c>
      <c r="K2380" t="inlineStr">
        <is>
          <t>https://api.worldbank.org/v2/country/SAU/indicator/NY.GNP.PCAP.PP.CD?format=json&amp;mrv=10</t>
        </is>
      </c>
      <c r="L2380" t="inlineStr">
        <is>
          <t>World Bank WDI: GNI per capita PPP (monthly USD)</t>
        </is>
      </c>
      <c r="M2380" t="inlineStr">
        <is>
          <t>2024-12-31</t>
        </is>
      </c>
      <c r="N2380" t="inlineStr">
        <is>
          <t>auto_ingest=world_bank_col_estimate; gni_annual=71730.0; year=2024; country_proxy=Saudi Arabia; cohort=Middle East</t>
        </is>
      </c>
    </row>
    <row r="2381">
      <c r="A2381" t="inlineStr">
        <is>
          <t>sa-riyadh</t>
        </is>
      </c>
      <c r="B2381" t="inlineStr">
        <is>
          <t>Riyadh</t>
        </is>
      </c>
      <c r="C2381" t="inlineStr">
        <is>
          <t>Saudi Arabia</t>
        </is>
      </c>
      <c r="D2381" t="inlineStr">
        <is>
          <t>Middle East</t>
        </is>
      </c>
      <c r="E2381" t="inlineStr">
        <is>
          <t>di_ppp_raw</t>
        </is>
      </c>
      <c r="F2381" t="inlineStr">
        <is>
          <t>Disposable income PPP (Raw)</t>
        </is>
      </c>
      <c r="G2381" t="inlineStr">
        <is>
          <t>pressure</t>
        </is>
      </c>
      <c r="H2381" t="inlineStr">
        <is>
          <t>yes</t>
        </is>
      </c>
      <c r="I2381" t="inlineStr"/>
      <c r="J2381" t="inlineStr"/>
      <c r="K2381" t="inlineStr"/>
      <c r="L2381" t="inlineStr"/>
      <c r="M2381" t="inlineStr"/>
      <c r="N2381" t="inlineStr"/>
    </row>
    <row r="2382">
      <c r="A2382" t="inlineStr">
        <is>
          <t>sa-riyadh</t>
        </is>
      </c>
      <c r="B2382" t="inlineStr">
        <is>
          <t>Riyadh</t>
        </is>
      </c>
      <c r="C2382" t="inlineStr">
        <is>
          <t>Saudi Arabia</t>
        </is>
      </c>
      <c r="D2382" t="inlineStr">
        <is>
          <t>Middle East</t>
        </is>
      </c>
      <c r="E2382" t="inlineStr">
        <is>
          <t>rent</t>
        </is>
      </c>
      <c r="F2382" t="inlineStr">
        <is>
          <t>Rent</t>
        </is>
      </c>
      <c r="G2382" t="inlineStr">
        <is>
          <t>pressure</t>
        </is>
      </c>
      <c r="H2382" t="inlineStr">
        <is>
          <t>yes</t>
        </is>
      </c>
      <c r="I2382" t="inlineStr">
        <is>
          <t>1419.66</t>
        </is>
      </c>
      <c r="J2382" t="inlineStr">
        <is>
          <t>world_bank_col_estimate</t>
        </is>
      </c>
      <c r="K2382" t="inlineStr">
        <is>
          <t>https://api.worldbank.org/v2/country/SAU/indicator/NY.GNP.PCAP.PP.CD?format=json&amp;mrv=10</t>
        </is>
      </c>
      <c r="L2382" t="inlineStr">
        <is>
          <t>World Bank GNI + regional expenditure ratio estimate</t>
        </is>
      </c>
      <c r="M2382" t="inlineStr">
        <is>
          <t>2024-12-31</t>
        </is>
      </c>
      <c r="N2382" t="inlineStr">
        <is>
          <t>auto_ingest=world_bank_col_estimate; gni_annual=71730.0; year=2024; country_proxy=Saudi Arabia; cohort=Middle East; city_cost_mult=0.95</t>
        </is>
      </c>
    </row>
    <row r="2383">
      <c r="A2383" t="inlineStr">
        <is>
          <t>sa-riyadh</t>
        </is>
      </c>
      <c r="B2383" t="inlineStr">
        <is>
          <t>Riyadh</t>
        </is>
      </c>
      <c r="C2383" t="inlineStr">
        <is>
          <t>Saudi Arabia</t>
        </is>
      </c>
      <c r="D2383" t="inlineStr">
        <is>
          <t>Middle East</t>
        </is>
      </c>
      <c r="E2383" t="inlineStr">
        <is>
          <t>utilities</t>
        </is>
      </c>
      <c r="F2383" t="inlineStr">
        <is>
          <t>Utilities</t>
        </is>
      </c>
      <c r="G2383" t="inlineStr">
        <is>
          <t>pressure</t>
        </is>
      </c>
      <c r="H2383" t="inlineStr">
        <is>
          <t>yes</t>
        </is>
      </c>
      <c r="I2383" t="inlineStr">
        <is>
          <t>283.93</t>
        </is>
      </c>
      <c r="J2383" t="inlineStr">
        <is>
          <t>world_bank_col_estimate</t>
        </is>
      </c>
      <c r="K2383" t="inlineStr">
        <is>
          <t>https://api.worldbank.org/v2/country/SAU/indicator/NY.GNP.PCAP.PP.CD?format=json&amp;mrv=10</t>
        </is>
      </c>
      <c r="L2383" t="inlineStr">
        <is>
          <t>World Bank GNI + regional expenditure ratio estimate</t>
        </is>
      </c>
      <c r="M2383" t="inlineStr">
        <is>
          <t>2024-12-31</t>
        </is>
      </c>
      <c r="N2383" t="inlineStr">
        <is>
          <t>auto_ingest=world_bank_col_estimate; gni_annual=71730.0; year=2024; country_proxy=Saudi Arabia; cohort=Middle East; city_cost_mult=0.95</t>
        </is>
      </c>
    </row>
    <row r="2384">
      <c r="A2384" t="inlineStr">
        <is>
          <t>sa-riyadh</t>
        </is>
      </c>
      <c r="B2384" t="inlineStr">
        <is>
          <t>Riyadh</t>
        </is>
      </c>
      <c r="C2384" t="inlineStr">
        <is>
          <t>Saudi Arabia</t>
        </is>
      </c>
      <c r="D2384" t="inlineStr">
        <is>
          <t>Middle East</t>
        </is>
      </c>
      <c r="E2384" t="inlineStr">
        <is>
          <t>transit_cost</t>
        </is>
      </c>
      <c r="F2384" t="inlineStr">
        <is>
          <t>Transit cost</t>
        </is>
      </c>
      <c r="G2384" t="inlineStr">
        <is>
          <t>pressure</t>
        </is>
      </c>
      <c r="H2384" t="inlineStr">
        <is>
          <t>yes</t>
        </is>
      </c>
      <c r="I2384" t="inlineStr">
        <is>
          <t>227.14</t>
        </is>
      </c>
      <c r="J2384" t="inlineStr">
        <is>
          <t>world_bank_col_estimate</t>
        </is>
      </c>
      <c r="K2384" t="inlineStr">
        <is>
          <t>https://api.worldbank.org/v2/country/SAU/indicator/NY.GNP.PCAP.PP.CD?format=json&amp;mrv=10</t>
        </is>
      </c>
      <c r="L2384" t="inlineStr">
        <is>
          <t>World Bank GNI + regional expenditure ratio estimate</t>
        </is>
      </c>
      <c r="M2384" t="inlineStr">
        <is>
          <t>2024-12-31</t>
        </is>
      </c>
      <c r="N2384" t="inlineStr">
        <is>
          <t>auto_ingest=world_bank_col_estimate; gni_annual=71730.0; year=2024; country_proxy=Saudi Arabia; cohort=Middle East; city_cost_mult=0.95</t>
        </is>
      </c>
    </row>
    <row r="2385">
      <c r="A2385" t="inlineStr">
        <is>
          <t>sa-riyadh</t>
        </is>
      </c>
      <c r="B2385" t="inlineStr">
        <is>
          <t>Riyadh</t>
        </is>
      </c>
      <c r="C2385" t="inlineStr">
        <is>
          <t>Saudi Arabia</t>
        </is>
      </c>
      <c r="D2385" t="inlineStr">
        <is>
          <t>Middle East</t>
        </is>
      </c>
      <c r="E2385" t="inlineStr">
        <is>
          <t>internet_cost</t>
        </is>
      </c>
      <c r="F2385" t="inlineStr">
        <is>
          <t>Internet cost</t>
        </is>
      </c>
      <c r="G2385" t="inlineStr">
        <is>
          <t>pressure</t>
        </is>
      </c>
      <c r="H2385" t="inlineStr">
        <is>
          <t>yes</t>
        </is>
      </c>
      <c r="I2385" t="inlineStr">
        <is>
          <t>85.18</t>
        </is>
      </c>
      <c r="J2385" t="inlineStr">
        <is>
          <t>world_bank_col_estimate</t>
        </is>
      </c>
      <c r="K2385" t="inlineStr">
        <is>
          <t>https://api.worldbank.org/v2/country/SAU/indicator/NY.GNP.PCAP.PP.CD?format=json&amp;mrv=10</t>
        </is>
      </c>
      <c r="L2385" t="inlineStr">
        <is>
          <t>World Bank GNI + regional expenditure ratio estimate</t>
        </is>
      </c>
      <c r="M2385" t="inlineStr">
        <is>
          <t>2024-12-31</t>
        </is>
      </c>
      <c r="N2385" t="inlineStr">
        <is>
          <t>auto_ingest=world_bank_col_estimate; gni_annual=71730.0; year=2024; country_proxy=Saudi Arabia; cohort=Middle East; city_cost_mult=0.95</t>
        </is>
      </c>
    </row>
    <row r="2386">
      <c r="A2386" t="inlineStr">
        <is>
          <t>sa-riyadh</t>
        </is>
      </c>
      <c r="B2386" t="inlineStr">
        <is>
          <t>Riyadh</t>
        </is>
      </c>
      <c r="C2386" t="inlineStr">
        <is>
          <t>Saudi Arabia</t>
        </is>
      </c>
      <c r="D2386" t="inlineStr">
        <is>
          <t>Middle East</t>
        </is>
      </c>
      <c r="E2386" t="inlineStr">
        <is>
          <t>food_cost</t>
        </is>
      </c>
      <c r="F2386" t="inlineStr">
        <is>
          <t>Food cost</t>
        </is>
      </c>
      <c r="G2386" t="inlineStr">
        <is>
          <t>pressure</t>
        </is>
      </c>
      <c r="H2386" t="inlineStr">
        <is>
          <t>yes</t>
        </is>
      </c>
      <c r="I2386" t="inlineStr">
        <is>
          <t>1022.15</t>
        </is>
      </c>
      <c r="J2386" t="inlineStr">
        <is>
          <t>world_bank_col_estimate</t>
        </is>
      </c>
      <c r="K2386" t="inlineStr">
        <is>
          <t>https://api.worldbank.org/v2/country/SAU/indicator/NY.GNP.PCAP.PP.CD?format=json&amp;mrv=10</t>
        </is>
      </c>
      <c r="L2386" t="inlineStr">
        <is>
          <t>World Bank GNI + regional expenditure ratio estimate</t>
        </is>
      </c>
      <c r="M2386" t="inlineStr">
        <is>
          <t>2024-12-31</t>
        </is>
      </c>
      <c r="N2386" t="inlineStr">
        <is>
          <t>auto_ingest=world_bank_col_estimate; gni_annual=71730.0; year=2024; country_proxy=Saudi Arabia; cohort=Middle East; city_cost_mult=0.95</t>
        </is>
      </c>
    </row>
    <row r="2387">
      <c r="A2387" t="inlineStr">
        <is>
          <t>sa-riyadh</t>
        </is>
      </c>
      <c r="B2387" t="inlineStr">
        <is>
          <t>Riyadh</t>
        </is>
      </c>
      <c r="C2387" t="inlineStr">
        <is>
          <t>Saudi Arabia</t>
        </is>
      </c>
      <c r="D2387" t="inlineStr">
        <is>
          <t>Middle East</t>
        </is>
      </c>
      <c r="E2387" t="inlineStr">
        <is>
          <t>housing_burden_raw</t>
        </is>
      </c>
      <c r="F2387" t="inlineStr">
        <is>
          <t>Housing burden raw</t>
        </is>
      </c>
      <c r="G2387" t="inlineStr">
        <is>
          <t>pressure</t>
        </is>
      </c>
      <c r="H2387" t="inlineStr">
        <is>
          <t>yes</t>
        </is>
      </c>
      <c r="I2387" t="inlineStr">
        <is>
          <t>23.7501</t>
        </is>
      </c>
      <c r="J2387" t="inlineStr">
        <is>
          <t>derived</t>
        </is>
      </c>
      <c r="K2387" t="inlineStr">
        <is>
          <t>https://data.worldbank.org/indicator/NY.GNP.PCAP.PP.CD</t>
        </is>
      </c>
      <c r="L2387" t="inlineStr">
        <is>
          <t>Computed from city_inputs + country_context</t>
        </is>
      </c>
      <c r="M2387" t="inlineStr">
        <is>
          <t>2024-01-01</t>
        </is>
      </c>
      <c r="N2387" t="inlineStr">
        <is>
          <t>derived=rent/gross_income*100</t>
        </is>
      </c>
    </row>
    <row r="2388">
      <c r="A2388" t="inlineStr">
        <is>
          <t>sa-riyadh</t>
        </is>
      </c>
      <c r="B2388" t="inlineStr">
        <is>
          <t>Riyadh</t>
        </is>
      </c>
      <c r="C2388" t="inlineStr">
        <is>
          <t>Saudi Arabia</t>
        </is>
      </c>
      <c r="D2388" t="inlineStr">
        <is>
          <t>Middle East</t>
        </is>
      </c>
      <c r="E2388" t="inlineStr">
        <is>
          <t>household_debt_burden_raw</t>
        </is>
      </c>
      <c r="F2388" t="inlineStr">
        <is>
          <t>Household debt burden raw</t>
        </is>
      </c>
      <c r="G2388" t="inlineStr">
        <is>
          <t>pressure</t>
        </is>
      </c>
      <c r="H2388" t="inlineStr">
        <is>
          <t>yes</t>
        </is>
      </c>
      <c r="I2388" t="inlineStr">
        <is>
          <t>50.1376</t>
        </is>
      </c>
      <c r="J2388" t="inlineStr">
        <is>
          <t>derived</t>
        </is>
      </c>
      <c r="K2388" t="inlineStr">
        <is>
          <t>https://data.worldbank.org/indicator/NY.GNP.PCAP.PP.CD</t>
        </is>
      </c>
      <c r="L2388" t="inlineStr">
        <is>
          <t>Computed from city_inputs + country_context</t>
        </is>
      </c>
      <c r="M2388" t="inlineStr">
        <is>
          <t>2024-01-01</t>
        </is>
      </c>
      <c r="N2388" t="inlineStr">
        <is>
          <t>derived=country_context.household_debt_proxy; country=Saudi Arabia</t>
        </is>
      </c>
    </row>
    <row r="2389">
      <c r="A2389" t="inlineStr">
        <is>
          <t>sa-riyadh</t>
        </is>
      </c>
      <c r="B2389" t="inlineStr">
        <is>
          <t>Riyadh</t>
        </is>
      </c>
      <c r="C2389" t="inlineStr">
        <is>
          <t>Saudi Arabia</t>
        </is>
      </c>
      <c r="D2389" t="inlineStr">
        <is>
          <t>Middle East</t>
        </is>
      </c>
      <c r="E2389" t="inlineStr">
        <is>
          <t>working_time_pressure_raw</t>
        </is>
      </c>
      <c r="F2389" t="inlineStr">
        <is>
          <t>Working time pressure raw</t>
        </is>
      </c>
      <c r="G2389" t="inlineStr">
        <is>
          <t>pressure</t>
        </is>
      </c>
      <c r="H2389" t="inlineStr">
        <is>
          <t>yes</t>
        </is>
      </c>
      <c r="I2389" t="inlineStr"/>
      <c r="J2389" t="inlineStr"/>
      <c r="K2389" t="inlineStr"/>
      <c r="L2389" t="inlineStr"/>
      <c r="M2389" t="inlineStr"/>
      <c r="N2389" t="inlineStr"/>
    </row>
    <row r="2390">
      <c r="A2390" t="inlineStr">
        <is>
          <t>sa-riyadh</t>
        </is>
      </c>
      <c r="B2390" t="inlineStr">
        <is>
          <t>Riyadh</t>
        </is>
      </c>
      <c r="C2390" t="inlineStr">
        <is>
          <t>Saudi Arabia</t>
        </is>
      </c>
      <c r="D2390" t="inlineStr">
        <is>
          <t>Middle East</t>
        </is>
      </c>
      <c r="E2390" t="inlineStr">
        <is>
          <t>suicide_mental_strain_raw</t>
        </is>
      </c>
      <c r="F2390" t="inlineStr">
        <is>
          <t>Suicide or mental strain raw</t>
        </is>
      </c>
      <c r="G2390" t="inlineStr">
        <is>
          <t>pressure</t>
        </is>
      </c>
      <c r="H2390" t="inlineStr">
        <is>
          <t>yes</t>
        </is>
      </c>
      <c r="I2390" t="inlineStr">
        <is>
          <t>0.95</t>
        </is>
      </c>
      <c r="J2390" t="inlineStr">
        <is>
          <t>who_gho</t>
        </is>
      </c>
      <c r="K2390" t="inlineStr">
        <is>
          <t>https://www.who.int/data/gho/data/indicators/indicator-details/GHO/SDGSUICIDE</t>
        </is>
      </c>
      <c r="L2390" t="inlineStr">
        <is>
          <t>WHO GHO: Age-standardized suicide rate (per 100,000 population)</t>
        </is>
      </c>
      <c r="M2390" t="inlineStr">
        <is>
          <t>2021-12-31</t>
        </is>
      </c>
      <c r="N2390" t="inlineStr">
        <is>
          <t>auto_ingest=who_gho; indicator=SDGSUICIDE; year=2021; country_proxy=Saudi Arabia</t>
        </is>
      </c>
    </row>
    <row r="2391">
      <c r="A2391" t="inlineStr">
        <is>
          <t>sa-riyadh</t>
        </is>
      </c>
      <c r="B2391" t="inlineStr">
        <is>
          <t>Riyadh</t>
        </is>
      </c>
      <c r="C2391" t="inlineStr">
        <is>
          <t>Saudi Arabia</t>
        </is>
      </c>
      <c r="D2391" t="inlineStr">
        <is>
          <t>Middle East</t>
        </is>
      </c>
      <c r="E2391" t="inlineStr">
        <is>
          <t>personal_safety_raw</t>
        </is>
      </c>
      <c r="F2391" t="inlineStr">
        <is>
          <t>Personal safety raw</t>
        </is>
      </c>
      <c r="G2391" t="inlineStr">
        <is>
          <t>viability</t>
        </is>
      </c>
      <c r="H2391" t="inlineStr">
        <is>
          <t>yes</t>
        </is>
      </c>
      <c r="I2391" t="inlineStr">
        <is>
          <t>0.94</t>
        </is>
      </c>
      <c r="J2391" t="inlineStr">
        <is>
          <t>world_bank</t>
        </is>
      </c>
      <c r="K2391" t="inlineStr">
        <is>
          <t>https://api.worldbank.org/v2/country/SAU/indicator/VC.IHR.PSRC.P5?format=json&amp;mrv=10</t>
        </is>
      </c>
      <c r="L2391" t="inlineStr">
        <is>
          <t>UNODC via World Bank WDI: Intentional homicides (per 100,000 people)</t>
        </is>
      </c>
      <c r="M2391" t="inlineStr">
        <is>
          <t>2019-12-31</t>
        </is>
      </c>
      <c r="N2391" t="inlineStr">
        <is>
          <t>auto_ingest=unodc_safety; indicator=VC.IHR.PSRC.P5; year=2019; country_proxy=Saudi Arabia</t>
        </is>
      </c>
    </row>
    <row r="2392">
      <c r="A2392" t="inlineStr">
        <is>
          <t>sa-riyadh</t>
        </is>
      </c>
      <c r="B2392" t="inlineStr">
        <is>
          <t>Riyadh</t>
        </is>
      </c>
      <c r="C2392" t="inlineStr">
        <is>
          <t>Saudi Arabia</t>
        </is>
      </c>
      <c r="D2392" t="inlineStr">
        <is>
          <t>Middle East</t>
        </is>
      </c>
      <c r="E2392" t="inlineStr">
        <is>
          <t>transit_access_commute_raw</t>
        </is>
      </c>
      <c r="F2392" t="inlineStr">
        <is>
          <t>Transit access and commute raw</t>
        </is>
      </c>
      <c r="G2392" t="inlineStr">
        <is>
          <t>viability</t>
        </is>
      </c>
      <c r="H2392" t="inlineStr">
        <is>
          <t>yes</t>
        </is>
      </c>
      <c r="I2392" t="inlineStr"/>
      <c r="J2392" t="inlineStr"/>
      <c r="K2392" t="inlineStr"/>
      <c r="L2392" t="inlineStr"/>
      <c r="M2392" t="inlineStr"/>
      <c r="N2392" t="inlineStr"/>
    </row>
    <row r="2393">
      <c r="A2393" t="inlineStr">
        <is>
          <t>sa-riyadh</t>
        </is>
      </c>
      <c r="B2393" t="inlineStr">
        <is>
          <t>Riyadh</t>
        </is>
      </c>
      <c r="C2393" t="inlineStr">
        <is>
          <t>Saudi Arabia</t>
        </is>
      </c>
      <c r="D2393" t="inlineStr">
        <is>
          <t>Middle East</t>
        </is>
      </c>
      <c r="E2393" t="inlineStr">
        <is>
          <t>clean_air_raw</t>
        </is>
      </c>
      <c r="F2393" t="inlineStr">
        <is>
          <t>Clean air raw</t>
        </is>
      </c>
      <c r="G2393" t="inlineStr">
        <is>
          <t>viability</t>
        </is>
      </c>
      <c r="H2393" t="inlineStr">
        <is>
          <t>yes</t>
        </is>
      </c>
      <c r="I2393" t="inlineStr"/>
      <c r="J2393" t="inlineStr"/>
      <c r="K2393" t="inlineStr"/>
      <c r="L2393" t="inlineStr"/>
      <c r="M2393" t="inlineStr"/>
      <c r="N2393" t="inlineStr"/>
    </row>
    <row r="2394">
      <c r="A2394" t="inlineStr">
        <is>
          <t>sa-riyadh</t>
        </is>
      </c>
      <c r="B2394" t="inlineStr">
        <is>
          <t>Riyadh</t>
        </is>
      </c>
      <c r="C2394" t="inlineStr">
        <is>
          <t>Saudi Arabia</t>
        </is>
      </c>
      <c r="D2394" t="inlineStr">
        <is>
          <t>Middle East</t>
        </is>
      </c>
      <c r="E2394" t="inlineStr">
        <is>
          <t>water_sanitation_utility_raw</t>
        </is>
      </c>
      <c r="F2394" t="inlineStr">
        <is>
          <t>Water, sanitation, and utility raw</t>
        </is>
      </c>
      <c r="G2394" t="inlineStr">
        <is>
          <t>viability</t>
        </is>
      </c>
      <c r="H2394" t="inlineStr">
        <is>
          <t>yes</t>
        </is>
      </c>
      <c r="I2394" t="inlineStr"/>
      <c r="J2394" t="inlineStr"/>
      <c r="K2394" t="inlineStr"/>
      <c r="L2394" t="inlineStr"/>
      <c r="M2394" t="inlineStr"/>
      <c r="N2394" t="inlineStr"/>
    </row>
    <row r="2395">
      <c r="A2395" t="inlineStr">
        <is>
          <t>sa-riyadh</t>
        </is>
      </c>
      <c r="B2395" t="inlineStr">
        <is>
          <t>Riyadh</t>
        </is>
      </c>
      <c r="C2395" t="inlineStr">
        <is>
          <t>Saudi Arabia</t>
        </is>
      </c>
      <c r="D2395" t="inlineStr">
        <is>
          <t>Middle East</t>
        </is>
      </c>
      <c r="E2395" t="inlineStr">
        <is>
          <t>digital_infrastructure_raw</t>
        </is>
      </c>
      <c r="F2395" t="inlineStr">
        <is>
          <t>Digital infrastructure raw</t>
        </is>
      </c>
      <c r="G2395" t="inlineStr">
        <is>
          <t>viability</t>
        </is>
      </c>
      <c r="H2395" t="inlineStr">
        <is>
          <t>yes</t>
        </is>
      </c>
      <c r="I2395" t="inlineStr">
        <is>
          <t>43.57</t>
        </is>
      </c>
      <c r="J2395" t="inlineStr">
        <is>
          <t>world_bank</t>
        </is>
      </c>
      <c r="K2395" t="inlineStr">
        <is>
          <t>https://api.worldbank.org/v2/country/SAU/indicator/IT.NET.BBND.P2?format=json&amp;mrv=10</t>
        </is>
      </c>
      <c r="L2395" t="inlineStr">
        <is>
          <t>World Bank WDI: Fixed broadband subscriptions (per 100 people)</t>
        </is>
      </c>
      <c r="M2395" t="inlineStr">
        <is>
          <t>2023-12-31</t>
        </is>
      </c>
      <c r="N2395" t="inlineStr">
        <is>
          <t>auto_ingest=world_bank_proxy; indicator=IT.NET.BBND.P2; year=2023; country_proxy=Saudi Arabia</t>
        </is>
      </c>
    </row>
    <row r="2396">
      <c r="A2396" t="inlineStr">
        <is>
          <t>sa-riyadh</t>
        </is>
      </c>
      <c r="B2396" t="inlineStr">
        <is>
          <t>Riyadh</t>
        </is>
      </c>
      <c r="C2396" t="inlineStr">
        <is>
          <t>Saudi Arabia</t>
        </is>
      </c>
      <c r="D2396" t="inlineStr">
        <is>
          <t>Middle East</t>
        </is>
      </c>
      <c r="E2396" t="inlineStr">
        <is>
          <t>climate_sunlight_livability_raw</t>
        </is>
      </c>
      <c r="F2396" t="inlineStr">
        <is>
          <t>Climate and sunlight livability raw</t>
        </is>
      </c>
      <c r="G2396" t="inlineStr">
        <is>
          <t>viability</t>
        </is>
      </c>
      <c r="H2396" t="inlineStr">
        <is>
          <t>yes</t>
        </is>
      </c>
      <c r="I2396" t="inlineStr">
        <is>
          <t>30</t>
        </is>
      </c>
      <c r="J2396" t="inlineStr">
        <is>
          <t>wmo_natl_met</t>
        </is>
      </c>
      <c r="K2396" t="inlineStr">
        <is>
          <t>https://worldweather.wmo.int</t>
        </is>
      </c>
      <c r="L2396" t="inlineStr">
        <is>
          <t>WMO/National Met: Climate livability composite</t>
        </is>
      </c>
      <c r="M2396" t="inlineStr">
        <is>
          <t>2024-12-31</t>
        </is>
      </c>
      <c r="N2396" t="inlineStr">
        <is>
          <t>auto_seed=climate_composite; 3200 sun hrs but 26C mean with 47C+ summers, desert extreme</t>
        </is>
      </c>
    </row>
    <row r="2397">
      <c r="A2397" t="inlineStr">
        <is>
          <t>sa-riyadh</t>
        </is>
      </c>
      <c r="B2397" t="inlineStr">
        <is>
          <t>Riyadh</t>
        </is>
      </c>
      <c r="C2397" t="inlineStr">
        <is>
          <t>Saudi Arabia</t>
        </is>
      </c>
      <c r="D2397" t="inlineStr">
        <is>
          <t>Middle East</t>
        </is>
      </c>
      <c r="E2397" t="inlineStr">
        <is>
          <t>healthcare_quality_raw</t>
        </is>
      </c>
      <c r="F2397" t="inlineStr">
        <is>
          <t>Healthcare quality raw</t>
        </is>
      </c>
      <c r="G2397" t="inlineStr">
        <is>
          <t>capability</t>
        </is>
      </c>
      <c r="H2397" t="inlineStr">
        <is>
          <t>yes</t>
        </is>
      </c>
      <c r="I2397" t="inlineStr">
        <is>
          <t>83.0</t>
        </is>
      </c>
      <c r="J2397" t="inlineStr">
        <is>
          <t>who_gho</t>
        </is>
      </c>
      <c r="K2397" t="inlineStr">
        <is>
          <t>https://www.who.int/data/gho/data/indicators/indicator-details/GHO/UHC_INDEX_REPORTED</t>
        </is>
      </c>
      <c r="L2397" t="inlineStr">
        <is>
          <t>WHO GHO: UHC Service Coverage Index</t>
        </is>
      </c>
      <c r="M2397" t="inlineStr">
        <is>
          <t>2023-12-31</t>
        </is>
      </c>
      <c r="N2397" t="inlineStr">
        <is>
          <t>auto_ingest=who_gho; indicator=UHC_INDEX_REPORTED; year=2023; country_proxy=Saudi Arabia</t>
        </is>
      </c>
    </row>
    <row r="2398">
      <c r="A2398" t="inlineStr">
        <is>
          <t>sa-riyadh</t>
        </is>
      </c>
      <c r="B2398" t="inlineStr">
        <is>
          <t>Riyadh</t>
        </is>
      </c>
      <c r="C2398" t="inlineStr">
        <is>
          <t>Saudi Arabia</t>
        </is>
      </c>
      <c r="D2398" t="inlineStr">
        <is>
          <t>Middle East</t>
        </is>
      </c>
      <c r="E2398" t="inlineStr">
        <is>
          <t>education_quality_raw</t>
        </is>
      </c>
      <c r="F2398" t="inlineStr">
        <is>
          <t>Education quality raw</t>
        </is>
      </c>
      <c r="G2398" t="inlineStr">
        <is>
          <t>capability</t>
        </is>
      </c>
      <c r="H2398" t="inlineStr">
        <is>
          <t>yes</t>
        </is>
      </c>
      <c r="I2398" t="inlineStr">
        <is>
          <t>83.88</t>
        </is>
      </c>
      <c r="J2398" t="inlineStr">
        <is>
          <t>world_bank</t>
        </is>
      </c>
      <c r="K2398" t="inlineStr">
        <is>
          <t>https://api.worldbank.org/v2/country/SAU/indicator/SE.TER.ENRR?format=json&amp;mrv=10</t>
        </is>
      </c>
      <c r="L2398" t="inlineStr">
        <is>
          <t>World Bank WDI: School enrollment, tertiary (% gross)</t>
        </is>
      </c>
      <c r="M2398" t="inlineStr">
        <is>
          <t>2024-12-31</t>
        </is>
      </c>
      <c r="N2398" t="inlineStr">
        <is>
          <t>auto_ingest=world_bank_proxy; indicator=SE.TER.ENRR; year=2024; country_proxy=Saudi Arabia</t>
        </is>
      </c>
    </row>
    <row r="2399">
      <c r="A2399" t="inlineStr">
        <is>
          <t>sa-riyadh</t>
        </is>
      </c>
      <c r="B2399" t="inlineStr">
        <is>
          <t>Riyadh</t>
        </is>
      </c>
      <c r="C2399" t="inlineStr">
        <is>
          <t>Saudi Arabia</t>
        </is>
      </c>
      <c r="D2399" t="inlineStr">
        <is>
          <t>Middle East and North Africa</t>
        </is>
      </c>
      <c r="E2399" t="inlineStr">
        <is>
          <t>equal_opportunity_raw</t>
        </is>
      </c>
      <c r="F2399" t="inlineStr">
        <is>
          <t>Equal opportunity raw</t>
        </is>
      </c>
      <c r="G2399" t="inlineStr">
        <is>
          <t>capability</t>
        </is>
      </c>
      <c r="H2399" t="inlineStr">
        <is>
          <t>yes</t>
        </is>
      </c>
      <c r="I2399" t="inlineStr"/>
      <c r="J2399" t="inlineStr"/>
      <c r="K2399" t="inlineStr"/>
      <c r="L2399" t="inlineStr"/>
      <c r="M2399" t="inlineStr"/>
      <c r="N2399" t="inlineStr"/>
    </row>
    <row r="2400">
      <c r="A2400" t="inlineStr">
        <is>
          <t>sa-riyadh</t>
        </is>
      </c>
      <c r="B2400" t="inlineStr">
        <is>
          <t>Riyadh</t>
        </is>
      </c>
      <c r="C2400" t="inlineStr">
        <is>
          <t>Saudi Arabia</t>
        </is>
      </c>
      <c r="D2400" t="inlineStr">
        <is>
          <t>Middle East</t>
        </is>
      </c>
      <c r="E2400" t="inlineStr">
        <is>
          <t>hospitality_belonging_raw</t>
        </is>
      </c>
      <c r="F2400" t="inlineStr">
        <is>
          <t>Hospitality and belonging raw</t>
        </is>
      </c>
      <c r="G2400" t="inlineStr">
        <is>
          <t>community</t>
        </is>
      </c>
      <c r="H2400" t="inlineStr">
        <is>
          <t>yes</t>
        </is>
      </c>
      <c r="I2400" t="inlineStr">
        <is>
          <t>53.39</t>
        </is>
      </c>
      <c r="J2400" t="inlineStr">
        <is>
          <t>world_bank</t>
        </is>
      </c>
      <c r="K2400" t="inlineStr">
        <is>
          <t>https://api.worldbank.org/v2/country/SAU/indicator/SM.POP.NETM?format=json&amp;mrv=10</t>
        </is>
      </c>
      <c r="L2400" t="inlineStr">
        <is>
          <t>World Bank WDI: Net migration (proxy for hospitality/belonging — positive = welcoming)</t>
        </is>
      </c>
      <c r="M2400" t="inlineStr">
        <is>
          <t>2025-12-31</t>
        </is>
      </c>
      <c r="N2400" t="inlineStr">
        <is>
          <t>auto_ingest=world_bank_proxy; proxy=net_migration_hospitality; indicator=SM.POP.NETM; year=2025; country_proxy=Saudi Arabia</t>
        </is>
      </c>
    </row>
    <row r="2401">
      <c r="A2401" t="inlineStr">
        <is>
          <t>sa-riyadh</t>
        </is>
      </c>
      <c r="B2401" t="inlineStr">
        <is>
          <t>Riyadh</t>
        </is>
      </c>
      <c r="C2401" t="inlineStr">
        <is>
          <t>Saudi Arabia</t>
        </is>
      </c>
      <c r="D2401" t="inlineStr">
        <is>
          <t>Middle East</t>
        </is>
      </c>
      <c r="E2401" t="inlineStr">
        <is>
          <t>tolerance_pluralism_raw</t>
        </is>
      </c>
      <c r="F2401" t="inlineStr">
        <is>
          <t>Tolerance and pluralism raw</t>
        </is>
      </c>
      <c r="G2401" t="inlineStr">
        <is>
          <t>community</t>
        </is>
      </c>
      <c r="H2401" t="inlineStr">
        <is>
          <t>yes</t>
        </is>
      </c>
      <c r="I2401" t="inlineStr">
        <is>
          <t>19.87</t>
        </is>
      </c>
      <c r="J2401" t="inlineStr">
        <is>
          <t>world_bank</t>
        </is>
      </c>
      <c r="K2401" t="inlineStr">
        <is>
          <t>https://api.worldbank.org/v2/country/SAU/indicator/SG.GEN.PARL.ZS?format=json&amp;mrv=10</t>
        </is>
      </c>
      <c r="L2401" t="inlineStr">
        <is>
          <t>World Bank WDI: Proportion of seats held by women in national parliaments (%)</t>
        </is>
      </c>
      <c r="M2401" t="inlineStr">
        <is>
          <t>2024-12-31</t>
        </is>
      </c>
      <c r="N2401" t="inlineStr">
        <is>
          <t>auto_ingest=world_bank_proxy; proxy=gender_parity_parliament; indicator=SG.GEN.PARL.ZS; year=2024; country_proxy=Saudi Arabia</t>
        </is>
      </c>
    </row>
    <row r="2402">
      <c r="A2402" t="inlineStr">
        <is>
          <t>sa-riyadh</t>
        </is>
      </c>
      <c r="B2402" t="inlineStr">
        <is>
          <t>Riyadh</t>
        </is>
      </c>
      <c r="C2402" t="inlineStr">
        <is>
          <t>Saudi Arabia</t>
        </is>
      </c>
      <c r="D2402" t="inlineStr">
        <is>
          <t>Middle East</t>
        </is>
      </c>
      <c r="E2402" t="inlineStr">
        <is>
          <t>cultural_public_life_raw</t>
        </is>
      </c>
      <c r="F2402" t="inlineStr">
        <is>
          <t>Cultural public life raw</t>
        </is>
      </c>
      <c r="G2402" t="inlineStr">
        <is>
          <t>community</t>
        </is>
      </c>
      <c r="H2402" t="inlineStr">
        <is>
          <t>yes</t>
        </is>
      </c>
      <c r="I2402" t="inlineStr">
        <is>
          <t>574.84</t>
        </is>
      </c>
      <c r="J2402" t="inlineStr">
        <is>
          <t>world_bank</t>
        </is>
      </c>
      <c r="K2402" t="inlineStr">
        <is>
          <t>https://api.worldbank.org/v2/country/SAU/indicator/ST.INT.ARVL?format=json&amp;mrv=10</t>
        </is>
      </c>
      <c r="L2402" t="inlineStr">
        <is>
          <t>World Bank WDI: International tourism arrivals per 1 000 population</t>
        </is>
      </c>
      <c r="M2402" t="inlineStr">
        <is>
          <t>2019-12-31</t>
        </is>
      </c>
      <c r="N2402" t="inlineStr">
        <is>
          <t>auto_ingest=cultural_life_proxy; indicator=ST.INT.ARVL; norm=per_1000_pop; year=2019; country_proxy=Saudi Arabia</t>
        </is>
      </c>
    </row>
    <row r="2403">
      <c r="A2403" t="inlineStr">
        <is>
          <t>sa-riyadh</t>
        </is>
      </c>
      <c r="B2403" t="inlineStr">
        <is>
          <t>Riyadh</t>
        </is>
      </c>
      <c r="C2403" t="inlineStr">
        <is>
          <t>Saudi Arabia</t>
        </is>
      </c>
      <c r="D2403" t="inlineStr">
        <is>
          <t>Middle East</t>
        </is>
      </c>
      <c r="E2403" t="inlineStr">
        <is>
          <t>birth_rate_optimism_raw</t>
        </is>
      </c>
      <c r="F2403" t="inlineStr">
        <is>
          <t>Birth rate and societal optimism raw</t>
        </is>
      </c>
      <c r="G2403" t="inlineStr">
        <is>
          <t>community</t>
        </is>
      </c>
      <c r="H2403" t="inlineStr">
        <is>
          <t>yes</t>
        </is>
      </c>
      <c r="I2403" t="inlineStr">
        <is>
          <t>2.37</t>
        </is>
      </c>
      <c r="J2403" t="inlineStr">
        <is>
          <t>world_bank</t>
        </is>
      </c>
      <c r="K2403" t="inlineStr">
        <is>
          <t>https://data.worldbank.org/indicator/SP.DYN.TFRT.IN</t>
        </is>
      </c>
      <c r="L2403" t="inlineStr">
        <is>
          <t>World Bank Total Fertility Rate 2023</t>
        </is>
      </c>
      <c r="M2403" t="inlineStr">
        <is>
          <t>2024-01-01</t>
        </is>
      </c>
      <c r="N2403" t="inlineStr"/>
    </row>
    <row r="2404">
      <c r="A2404" t="inlineStr">
        <is>
          <t>sa-riyadh</t>
        </is>
      </c>
      <c r="B2404" t="inlineStr">
        <is>
          <t>Riyadh</t>
        </is>
      </c>
      <c r="C2404" t="inlineStr">
        <is>
          <t>Saudi Arabia</t>
        </is>
      </c>
      <c r="D2404" t="inlineStr">
        <is>
          <t>Middle East</t>
        </is>
      </c>
      <c r="E2404" t="inlineStr">
        <is>
          <t>entrepreneurial_dynamism_raw</t>
        </is>
      </c>
      <c r="F2404" t="inlineStr">
        <is>
          <t>Entrepreneurial dynamism raw</t>
        </is>
      </c>
      <c r="G2404" t="inlineStr">
        <is>
          <t>creative</t>
        </is>
      </c>
      <c r="H2404" t="inlineStr">
        <is>
          <t>yes</t>
        </is>
      </c>
      <c r="I2404" t="inlineStr">
        <is>
          <t>0.9</t>
        </is>
      </c>
      <c r="J2404" t="inlineStr">
        <is>
          <t>world_bank</t>
        </is>
      </c>
      <c r="K2404" t="inlineStr">
        <is>
          <t>https://api.worldbank.org/v2/country/SAU/indicator/IC.BUS.NDNS.ZS?format=json&amp;mrv=10</t>
        </is>
      </c>
      <c r="L2404" t="inlineStr">
        <is>
          <t>World Bank WDI: New business density (new registrations per 1,000 people ages 15-64)</t>
        </is>
      </c>
      <c r="M2404" t="inlineStr">
        <is>
          <t>2022-12-31</t>
        </is>
      </c>
      <c r="N2404" t="inlineStr">
        <is>
          <t>auto_ingest=world_bank_creative_extended; indicator=IC.BUS.NDNS.ZS; year=2022; country_proxy=Saudi Arabia</t>
        </is>
      </c>
    </row>
    <row r="2405">
      <c r="A2405" t="inlineStr">
        <is>
          <t>sa-riyadh</t>
        </is>
      </c>
      <c r="B2405" t="inlineStr">
        <is>
          <t>Riyadh</t>
        </is>
      </c>
      <c r="C2405" t="inlineStr">
        <is>
          <t>Saudi Arabia</t>
        </is>
      </c>
      <c r="D2405" t="inlineStr">
        <is>
          <t>Middle East</t>
        </is>
      </c>
      <c r="E2405" t="inlineStr">
        <is>
          <t>innovation_research_intensity_raw</t>
        </is>
      </c>
      <c r="F2405" t="inlineStr">
        <is>
          <t>Innovation and research raw</t>
        </is>
      </c>
      <c r="G2405" t="inlineStr">
        <is>
          <t>creative</t>
        </is>
      </c>
      <c r="H2405" t="inlineStr">
        <is>
          <t>yes</t>
        </is>
      </c>
      <c r="I2405" t="inlineStr">
        <is>
          <t>0.56</t>
        </is>
      </c>
      <c r="J2405" t="inlineStr">
        <is>
          <t>world_bank</t>
        </is>
      </c>
      <c r="K2405" t="inlineStr">
        <is>
          <t>https://api.worldbank.org/v2/country/SAU/indicator/GB.XPD.RSDV.GD.ZS?format=json&amp;mrv=10</t>
        </is>
      </c>
      <c r="L2405" t="inlineStr">
        <is>
          <t>World Bank WDI: Research and development expenditure (% of GDP)</t>
        </is>
      </c>
      <c r="M2405" t="inlineStr">
        <is>
          <t>2023-12-31</t>
        </is>
      </c>
      <c r="N2405" t="inlineStr">
        <is>
          <t>auto_ingest=world_bank_creative_extended; indicator=GB.XPD.RSDV.GD.ZS; year=2023; country_proxy=Saudi Arabia</t>
        </is>
      </c>
    </row>
    <row r="2406">
      <c r="A2406" t="inlineStr">
        <is>
          <t>sa-riyadh</t>
        </is>
      </c>
      <c r="B2406" t="inlineStr">
        <is>
          <t>Riyadh</t>
        </is>
      </c>
      <c r="C2406" t="inlineStr">
        <is>
          <t>Saudi Arabia</t>
        </is>
      </c>
      <c r="D2406" t="inlineStr">
        <is>
          <t>Middle East</t>
        </is>
      </c>
      <c r="E2406" t="inlineStr">
        <is>
          <t>investment_signal_raw</t>
        </is>
      </c>
      <c r="F2406" t="inlineStr">
        <is>
          <t>Investment signal raw</t>
        </is>
      </c>
      <c r="G2406" t="inlineStr">
        <is>
          <t>creative</t>
        </is>
      </c>
      <c r="H2406" t="inlineStr">
        <is>
          <t>yes</t>
        </is>
      </c>
      <c r="I2406" t="inlineStr">
        <is>
          <t>1.72</t>
        </is>
      </c>
      <c r="J2406" t="inlineStr">
        <is>
          <t>world_bank</t>
        </is>
      </c>
      <c r="K2406" t="inlineStr">
        <is>
          <t>https://api.worldbank.org/v2/country/SAU/indicator/BX.KLT.DINV.WD.GD.ZS?format=json&amp;mrv=10</t>
        </is>
      </c>
      <c r="L2406" t="inlineStr">
        <is>
          <t>World Bank WDI: Foreign direct investment, net inflows (% of GDP)</t>
        </is>
      </c>
      <c r="M2406" t="inlineStr">
        <is>
          <t>2024-12-31</t>
        </is>
      </c>
      <c r="N2406" t="inlineStr">
        <is>
          <t>auto_ingest=world_bank_creative_extended; indicator=BX.KLT.DINV.WD.GD.ZS; year=2024; country_proxy=Saudi Arabia</t>
        </is>
      </c>
    </row>
    <row r="2407">
      <c r="A2407" t="inlineStr">
        <is>
          <t>sa-riyadh</t>
        </is>
      </c>
      <c r="B2407" t="inlineStr">
        <is>
          <t>Riyadh</t>
        </is>
      </c>
      <c r="C2407" t="inlineStr">
        <is>
          <t>Saudi Arabia</t>
        </is>
      </c>
      <c r="D2407" t="inlineStr">
        <is>
          <t>Middle East</t>
        </is>
      </c>
      <c r="E2407" t="inlineStr">
        <is>
          <t>administrative_investment_friction_raw</t>
        </is>
      </c>
      <c r="F2407" t="inlineStr">
        <is>
          <t>Administrative investment friction raw</t>
        </is>
      </c>
      <c r="G2407" t="inlineStr">
        <is>
          <t>creative</t>
        </is>
      </c>
      <c r="H2407" t="inlineStr">
        <is>
          <t>yes</t>
        </is>
      </c>
      <c r="I2407" t="inlineStr">
        <is>
          <t>1.98</t>
        </is>
      </c>
      <c r="J2407" t="inlineStr">
        <is>
          <t>world_bank</t>
        </is>
      </c>
      <c r="K2407" t="inlineStr">
        <is>
          <t>https://api.worldbank.org/v2/country/SAU/indicator/RQ.EST?format=json&amp;mrv=10</t>
        </is>
      </c>
      <c r="L2407" t="inlineStr">
        <is>
          <t>World Bank WGI: Regulatory Quality (inverted as friction proxy)</t>
        </is>
      </c>
      <c r="M2407" t="inlineStr">
        <is>
          <t>2023-12-31</t>
        </is>
      </c>
      <c r="N2407" t="inlineStr">
        <is>
          <t>auto_ingest=world_bank_business_friction; indicator=RQ.EST; raw_rq=0.517070889472961; friction=1.98; year=2023; country_proxy=Saudi Arabia</t>
        </is>
      </c>
    </row>
    <row r="2408">
      <c r="A2408" t="inlineStr">
        <is>
          <t>sa-riyadh</t>
        </is>
      </c>
      <c r="B2408" t="inlineStr">
        <is>
          <t>Riyadh</t>
        </is>
      </c>
      <c r="C2408" t="inlineStr">
        <is>
          <t>Saudi Arabia</t>
        </is>
      </c>
      <c r="D2408" t="inlineStr">
        <is>
          <t>Middle East</t>
        </is>
      </c>
      <c r="E2408" t="inlineStr">
        <is>
          <t>visitor_flow_context_raw</t>
        </is>
      </c>
      <c r="F2408" t="inlineStr">
        <is>
          <t>Visitor flow context raw</t>
        </is>
      </c>
      <c r="G2408" t="inlineStr">
        <is>
          <t>creative</t>
        </is>
      </c>
      <c r="H2408" t="inlineStr">
        <is>
          <t>no</t>
        </is>
      </c>
      <c r="I2408" t="inlineStr"/>
      <c r="J2408" t="inlineStr"/>
      <c r="K2408" t="inlineStr"/>
      <c r="L2408" t="inlineStr"/>
      <c r="M2408" t="inlineStr"/>
      <c r="N2408" t="inlineStr"/>
    </row>
    <row r="2409">
      <c r="A2409" t="inlineStr">
        <is>
          <t>il-tel-aviv</t>
        </is>
      </c>
      <c r="B2409" t="inlineStr">
        <is>
          <t>Tel Aviv</t>
        </is>
      </c>
      <c r="C2409" t="inlineStr">
        <is>
          <t>Israel</t>
        </is>
      </c>
      <c r="D2409" t="inlineStr">
        <is>
          <t>Middle East</t>
        </is>
      </c>
      <c r="E2409" t="inlineStr">
        <is>
          <t>gross_income</t>
        </is>
      </c>
      <c r="F2409" t="inlineStr">
        <is>
          <t>Gross income</t>
        </is>
      </c>
      <c r="G2409" t="inlineStr">
        <is>
          <t>pressure</t>
        </is>
      </c>
      <c r="H2409" t="inlineStr">
        <is>
          <t>yes</t>
        </is>
      </c>
      <c r="I2409" t="inlineStr">
        <is>
          <t>5442.38</t>
        </is>
      </c>
      <c r="J2409" t="inlineStr">
        <is>
          <t>world_bank_col_estimate</t>
        </is>
      </c>
      <c r="K2409" t="inlineStr">
        <is>
          <t>https://api.worldbank.org/v2/country/ISR/indicator/NY.GNP.PCAP.PP.CD?format=json&amp;mrv=10</t>
        </is>
      </c>
      <c r="L2409" t="inlineStr">
        <is>
          <t>World Bank WDI: GNI per capita PPP (monthly USD)</t>
        </is>
      </c>
      <c r="M2409" t="inlineStr">
        <is>
          <t>2024-12-31</t>
        </is>
      </c>
      <c r="N2409" t="inlineStr">
        <is>
          <t>auto_ingest=world_bank_col_estimate; gni_annual=56790.0; year=2024; country_proxy=Israel; cohort=Middle East; city_income_mult=1.15</t>
        </is>
      </c>
    </row>
    <row r="2410">
      <c r="A2410" t="inlineStr">
        <is>
          <t>il-tel-aviv</t>
        </is>
      </c>
      <c r="B2410" t="inlineStr">
        <is>
          <t>Tel Aviv</t>
        </is>
      </c>
      <c r="C2410" t="inlineStr">
        <is>
          <t>Israel</t>
        </is>
      </c>
      <c r="D2410" t="inlineStr">
        <is>
          <t>Middle East</t>
        </is>
      </c>
      <c r="E2410" t="inlineStr">
        <is>
          <t>di_ppp_raw</t>
        </is>
      </c>
      <c r="F2410" t="inlineStr">
        <is>
          <t>Disposable income PPP (Raw)</t>
        </is>
      </c>
      <c r="G2410" t="inlineStr">
        <is>
          <t>pressure</t>
        </is>
      </c>
      <c r="H2410" t="inlineStr">
        <is>
          <t>yes</t>
        </is>
      </c>
      <c r="I2410" t="inlineStr"/>
      <c r="J2410" t="inlineStr"/>
      <c r="K2410" t="inlineStr"/>
      <c r="L2410" t="inlineStr"/>
      <c r="M2410" t="inlineStr"/>
      <c r="N2410" t="inlineStr"/>
    </row>
    <row r="2411">
      <c r="A2411" t="inlineStr">
        <is>
          <t>il-tel-aviv</t>
        </is>
      </c>
      <c r="B2411" t="inlineStr">
        <is>
          <t>Tel Aviv</t>
        </is>
      </c>
      <c r="C2411" t="inlineStr">
        <is>
          <t>Israel</t>
        </is>
      </c>
      <c r="D2411" t="inlineStr">
        <is>
          <t>Middle East</t>
        </is>
      </c>
      <c r="E2411" t="inlineStr">
        <is>
          <t>rent</t>
        </is>
      </c>
      <c r="F2411" t="inlineStr">
        <is>
          <t>Rent</t>
        </is>
      </c>
      <c r="G2411" t="inlineStr">
        <is>
          <t>pressure</t>
        </is>
      </c>
      <c r="H2411" t="inlineStr">
        <is>
          <t>yes</t>
        </is>
      </c>
      <c r="I2411" t="inlineStr">
        <is>
          <t>1768.77</t>
        </is>
      </c>
      <c r="J2411" t="inlineStr">
        <is>
          <t>world_bank_col_estimate</t>
        </is>
      </c>
      <c r="K2411" t="inlineStr">
        <is>
          <t>https://api.worldbank.org/v2/country/ISR/indicator/NY.GNP.PCAP.PP.CD?format=json&amp;mrv=10</t>
        </is>
      </c>
      <c r="L2411" t="inlineStr">
        <is>
          <t>World Bank GNI + regional expenditure ratio estimate</t>
        </is>
      </c>
      <c r="M2411" t="inlineStr">
        <is>
          <t>2024-12-31</t>
        </is>
      </c>
      <c r="N2411" t="inlineStr">
        <is>
          <t>auto_ingest=world_bank_col_estimate; gni_annual=56790.0; year=2024; country_proxy=Israel; cohort=Middle East; city_cost_mult=1.3</t>
        </is>
      </c>
    </row>
    <row r="2412">
      <c r="A2412" t="inlineStr">
        <is>
          <t>il-tel-aviv</t>
        </is>
      </c>
      <c r="B2412" t="inlineStr">
        <is>
          <t>Tel Aviv</t>
        </is>
      </c>
      <c r="C2412" t="inlineStr">
        <is>
          <t>Israel</t>
        </is>
      </c>
      <c r="D2412" t="inlineStr">
        <is>
          <t>Middle East</t>
        </is>
      </c>
      <c r="E2412" t="inlineStr">
        <is>
          <t>utilities</t>
        </is>
      </c>
      <c r="F2412" t="inlineStr">
        <is>
          <t>Utilities</t>
        </is>
      </c>
      <c r="G2412" t="inlineStr">
        <is>
          <t>pressure</t>
        </is>
      </c>
      <c r="H2412" t="inlineStr">
        <is>
          <t>yes</t>
        </is>
      </c>
      <c r="I2412" t="inlineStr">
        <is>
          <t>353.75</t>
        </is>
      </c>
      <c r="J2412" t="inlineStr">
        <is>
          <t>world_bank_col_estimate</t>
        </is>
      </c>
      <c r="K2412" t="inlineStr">
        <is>
          <t>https://api.worldbank.org/v2/country/ISR/indicator/NY.GNP.PCAP.PP.CD?format=json&amp;mrv=10</t>
        </is>
      </c>
      <c r="L2412" t="inlineStr">
        <is>
          <t>World Bank GNI + regional expenditure ratio estimate</t>
        </is>
      </c>
      <c r="M2412" t="inlineStr">
        <is>
          <t>2024-12-31</t>
        </is>
      </c>
      <c r="N2412" t="inlineStr">
        <is>
          <t>auto_ingest=world_bank_col_estimate; gni_annual=56790.0; year=2024; country_proxy=Israel; cohort=Middle East; city_cost_mult=1.3</t>
        </is>
      </c>
    </row>
    <row r="2413">
      <c r="A2413" t="inlineStr">
        <is>
          <t>il-tel-aviv</t>
        </is>
      </c>
      <c r="B2413" t="inlineStr">
        <is>
          <t>Tel Aviv</t>
        </is>
      </c>
      <c r="C2413" t="inlineStr">
        <is>
          <t>Israel</t>
        </is>
      </c>
      <c r="D2413" t="inlineStr">
        <is>
          <t>Middle East</t>
        </is>
      </c>
      <c r="E2413" t="inlineStr">
        <is>
          <t>transit_cost</t>
        </is>
      </c>
      <c r="F2413" t="inlineStr">
        <is>
          <t>Transit cost</t>
        </is>
      </c>
      <c r="G2413" t="inlineStr">
        <is>
          <t>pressure</t>
        </is>
      </c>
      <c r="H2413" t="inlineStr">
        <is>
          <t>yes</t>
        </is>
      </c>
      <c r="I2413" t="inlineStr">
        <is>
          <t>283.0</t>
        </is>
      </c>
      <c r="J2413" t="inlineStr">
        <is>
          <t>world_bank_col_estimate</t>
        </is>
      </c>
      <c r="K2413" t="inlineStr">
        <is>
          <t>https://api.worldbank.org/v2/country/ISR/indicator/NY.GNP.PCAP.PP.CD?format=json&amp;mrv=10</t>
        </is>
      </c>
      <c r="L2413" t="inlineStr">
        <is>
          <t>World Bank GNI + regional expenditure ratio estimate</t>
        </is>
      </c>
      <c r="M2413" t="inlineStr">
        <is>
          <t>2024-12-31</t>
        </is>
      </c>
      <c r="N2413" t="inlineStr">
        <is>
          <t>auto_ingest=world_bank_col_estimate; gni_annual=56790.0; year=2024; country_proxy=Israel; cohort=Middle East; city_cost_mult=1.3</t>
        </is>
      </c>
    </row>
    <row r="2414">
      <c r="A2414" t="inlineStr">
        <is>
          <t>il-tel-aviv</t>
        </is>
      </c>
      <c r="B2414" t="inlineStr">
        <is>
          <t>Tel Aviv</t>
        </is>
      </c>
      <c r="C2414" t="inlineStr">
        <is>
          <t>Israel</t>
        </is>
      </c>
      <c r="D2414" t="inlineStr">
        <is>
          <t>Middle East</t>
        </is>
      </c>
      <c r="E2414" t="inlineStr">
        <is>
          <t>internet_cost</t>
        </is>
      </c>
      <c r="F2414" t="inlineStr">
        <is>
          <t>Internet cost</t>
        </is>
      </c>
      <c r="G2414" t="inlineStr">
        <is>
          <t>pressure</t>
        </is>
      </c>
      <c r="H2414" t="inlineStr">
        <is>
          <t>yes</t>
        </is>
      </c>
      <c r="I2414" t="inlineStr">
        <is>
          <t>106.13</t>
        </is>
      </c>
      <c r="J2414" t="inlineStr">
        <is>
          <t>world_bank_col_estimate</t>
        </is>
      </c>
      <c r="K2414" t="inlineStr">
        <is>
          <t>https://api.worldbank.org/v2/country/ISR/indicator/NY.GNP.PCAP.PP.CD?format=json&amp;mrv=10</t>
        </is>
      </c>
      <c r="L2414" t="inlineStr">
        <is>
          <t>World Bank GNI + regional expenditure ratio estimate</t>
        </is>
      </c>
      <c r="M2414" t="inlineStr">
        <is>
          <t>2024-12-31</t>
        </is>
      </c>
      <c r="N2414" t="inlineStr">
        <is>
          <t>auto_ingest=world_bank_col_estimate; gni_annual=56790.0; year=2024; country_proxy=Israel; cohort=Middle East; city_cost_mult=1.3</t>
        </is>
      </c>
    </row>
    <row r="2415">
      <c r="A2415" t="inlineStr">
        <is>
          <t>il-tel-aviv</t>
        </is>
      </c>
      <c r="B2415" t="inlineStr">
        <is>
          <t>Tel Aviv</t>
        </is>
      </c>
      <c r="C2415" t="inlineStr">
        <is>
          <t>Israel</t>
        </is>
      </c>
      <c r="D2415" t="inlineStr">
        <is>
          <t>Middle East</t>
        </is>
      </c>
      <c r="E2415" t="inlineStr">
        <is>
          <t>food_cost</t>
        </is>
      </c>
      <c r="F2415" t="inlineStr">
        <is>
          <t>Food cost</t>
        </is>
      </c>
      <c r="G2415" t="inlineStr">
        <is>
          <t>pressure</t>
        </is>
      </c>
      <c r="H2415" t="inlineStr">
        <is>
          <t>yes</t>
        </is>
      </c>
      <c r="I2415" t="inlineStr">
        <is>
          <t>1273.52</t>
        </is>
      </c>
      <c r="J2415" t="inlineStr">
        <is>
          <t>world_bank_col_estimate</t>
        </is>
      </c>
      <c r="K2415" t="inlineStr">
        <is>
          <t>https://api.worldbank.org/v2/country/ISR/indicator/NY.GNP.PCAP.PP.CD?format=json&amp;mrv=10</t>
        </is>
      </c>
      <c r="L2415" t="inlineStr">
        <is>
          <t>World Bank GNI + regional expenditure ratio estimate</t>
        </is>
      </c>
      <c r="M2415" t="inlineStr">
        <is>
          <t>2024-12-31</t>
        </is>
      </c>
      <c r="N2415" t="inlineStr">
        <is>
          <t>auto_ingest=world_bank_col_estimate; gni_annual=56790.0; year=2024; country_proxy=Israel; cohort=Middle East; city_cost_mult=1.3</t>
        </is>
      </c>
    </row>
    <row r="2416">
      <c r="A2416" t="inlineStr">
        <is>
          <t>il-tel-aviv</t>
        </is>
      </c>
      <c r="B2416" t="inlineStr">
        <is>
          <t>Tel Aviv</t>
        </is>
      </c>
      <c r="C2416" t="inlineStr">
        <is>
          <t>Israel</t>
        </is>
      </c>
      <c r="D2416" t="inlineStr">
        <is>
          <t>Middle East</t>
        </is>
      </c>
      <c r="E2416" t="inlineStr">
        <is>
          <t>housing_burden_raw</t>
        </is>
      </c>
      <c r="F2416" t="inlineStr">
        <is>
          <t>Housing burden raw</t>
        </is>
      </c>
      <c r="G2416" t="inlineStr">
        <is>
          <t>pressure</t>
        </is>
      </c>
      <c r="H2416" t="inlineStr">
        <is>
          <t>yes</t>
        </is>
      </c>
      <c r="I2416" t="inlineStr">
        <is>
          <t>32.4999</t>
        </is>
      </c>
      <c r="J2416" t="inlineStr">
        <is>
          <t>derived</t>
        </is>
      </c>
      <c r="K2416" t="inlineStr">
        <is>
          <t>https://data.worldbank.org/indicator/NY.GNP.PCAP.PP.CD</t>
        </is>
      </c>
      <c r="L2416" t="inlineStr">
        <is>
          <t>Computed from city_inputs + country_context</t>
        </is>
      </c>
      <c r="M2416" t="inlineStr">
        <is>
          <t>2024-01-01</t>
        </is>
      </c>
      <c r="N2416" t="inlineStr">
        <is>
          <t>derived=rent/gross_income*100</t>
        </is>
      </c>
    </row>
    <row r="2417">
      <c r="A2417" t="inlineStr">
        <is>
          <t>il-tel-aviv</t>
        </is>
      </c>
      <c r="B2417" t="inlineStr">
        <is>
          <t>Tel Aviv</t>
        </is>
      </c>
      <c r="C2417" t="inlineStr">
        <is>
          <t>Israel</t>
        </is>
      </c>
      <c r="D2417" t="inlineStr">
        <is>
          <t>Middle East</t>
        </is>
      </c>
      <c r="E2417" t="inlineStr">
        <is>
          <t>household_debt_burden_raw</t>
        </is>
      </c>
      <c r="F2417" t="inlineStr">
        <is>
          <t>Household debt burden raw</t>
        </is>
      </c>
      <c r="G2417" t="inlineStr">
        <is>
          <t>pressure</t>
        </is>
      </c>
      <c r="H2417" t="inlineStr">
        <is>
          <t>yes</t>
        </is>
      </c>
      <c r="I2417" t="inlineStr">
        <is>
          <t>69.7497</t>
        </is>
      </c>
      <c r="J2417" t="inlineStr">
        <is>
          <t>derived</t>
        </is>
      </c>
      <c r="K2417" t="inlineStr">
        <is>
          <t>https://data.worldbank.org/indicator/NY.GNP.PCAP.PP.CD</t>
        </is>
      </c>
      <c r="L2417" t="inlineStr">
        <is>
          <t>Computed from city_inputs + country_context</t>
        </is>
      </c>
      <c r="M2417" t="inlineStr">
        <is>
          <t>2024-01-01</t>
        </is>
      </c>
      <c r="N2417" t="inlineStr">
        <is>
          <t>derived=country_context.household_debt_proxy; country=Israel</t>
        </is>
      </c>
    </row>
    <row r="2418">
      <c r="A2418" t="inlineStr">
        <is>
          <t>il-tel-aviv</t>
        </is>
      </c>
      <c r="B2418" t="inlineStr">
        <is>
          <t>Tel Aviv</t>
        </is>
      </c>
      <c r="C2418" t="inlineStr">
        <is>
          <t>Israel</t>
        </is>
      </c>
      <c r="D2418" t="inlineStr">
        <is>
          <t>Middle East</t>
        </is>
      </c>
      <c r="E2418" t="inlineStr">
        <is>
          <t>working_time_pressure_raw</t>
        </is>
      </c>
      <c r="F2418" t="inlineStr">
        <is>
          <t>Working time pressure raw</t>
        </is>
      </c>
      <c r="G2418" t="inlineStr">
        <is>
          <t>pressure</t>
        </is>
      </c>
      <c r="H2418" t="inlineStr">
        <is>
          <t>yes</t>
        </is>
      </c>
      <c r="I2418" t="inlineStr">
        <is>
          <t>37.74</t>
        </is>
      </c>
      <c r="J2418" t="inlineStr">
        <is>
          <t>ilo_ilostat</t>
        </is>
      </c>
      <c r="K2418" t="inlineStr">
        <is>
          <t>https://ilostat.ilo.org/data/indicator/?id=HOW_TEMP_SEX_ECO_NB_A&amp;ref_area=ISR</t>
        </is>
      </c>
      <c r="L2418" t="inlineStr">
        <is>
          <t>ILO ILOSTAT: Mean weekly hours actually worked per employed person</t>
        </is>
      </c>
      <c r="M2418" t="inlineStr">
        <is>
          <t>2024-12-31</t>
        </is>
      </c>
      <c r="N2418" t="inlineStr">
        <is>
          <t>auto_ingest=ilo_working_hours; indicator=HOW_TEMP_SEX_ECO_NB_A; year=2024; hours=37.74; country_proxy=Israel</t>
        </is>
      </c>
    </row>
    <row r="2419">
      <c r="A2419" t="inlineStr">
        <is>
          <t>il-tel-aviv</t>
        </is>
      </c>
      <c r="B2419" t="inlineStr">
        <is>
          <t>Tel Aviv</t>
        </is>
      </c>
      <c r="C2419" t="inlineStr">
        <is>
          <t>Israel</t>
        </is>
      </c>
      <c r="D2419" t="inlineStr">
        <is>
          <t>Middle East</t>
        </is>
      </c>
      <c r="E2419" t="inlineStr">
        <is>
          <t>suicide_mental_strain_raw</t>
        </is>
      </c>
      <c r="F2419" t="inlineStr">
        <is>
          <t>Suicide or mental strain raw</t>
        </is>
      </c>
      <c r="G2419" t="inlineStr">
        <is>
          <t>pressure</t>
        </is>
      </c>
      <c r="H2419" t="inlineStr">
        <is>
          <t>yes</t>
        </is>
      </c>
      <c r="I2419" t="inlineStr">
        <is>
          <t>4.37</t>
        </is>
      </c>
      <c r="J2419" t="inlineStr">
        <is>
          <t>who_gho</t>
        </is>
      </c>
      <c r="K2419" t="inlineStr">
        <is>
          <t>https://www.who.int/data/gho/data/indicators/indicator-details/GHO/SDGSUICIDE</t>
        </is>
      </c>
      <c r="L2419" t="inlineStr">
        <is>
          <t>WHO GHO: Age-standardized suicide rate (per 100,000 population)</t>
        </is>
      </c>
      <c r="M2419" t="inlineStr">
        <is>
          <t>2021-12-31</t>
        </is>
      </c>
      <c r="N2419" t="inlineStr">
        <is>
          <t>auto_ingest=who_gho; indicator=SDGSUICIDE; year=2021; country_proxy=Israel</t>
        </is>
      </c>
    </row>
    <row r="2420">
      <c r="A2420" t="inlineStr">
        <is>
          <t>il-tel-aviv</t>
        </is>
      </c>
      <c r="B2420" t="inlineStr">
        <is>
          <t>Tel Aviv</t>
        </is>
      </c>
      <c r="C2420" t="inlineStr">
        <is>
          <t>Israel</t>
        </is>
      </c>
      <c r="D2420" t="inlineStr">
        <is>
          <t>Middle East and North Africa</t>
        </is>
      </c>
      <c r="E2420" t="inlineStr">
        <is>
          <t>personal_safety_raw</t>
        </is>
      </c>
      <c r="F2420" t="inlineStr">
        <is>
          <t>Personal safety raw</t>
        </is>
      </c>
      <c r="G2420" t="inlineStr">
        <is>
          <t>viability</t>
        </is>
      </c>
      <c r="H2420" t="inlineStr">
        <is>
          <t>yes</t>
        </is>
      </c>
      <c r="I2420" t="inlineStr">
        <is>
          <t>1.63</t>
        </is>
      </c>
      <c r="J2420" t="inlineStr">
        <is>
          <t>world_bank</t>
        </is>
      </c>
      <c r="K2420" t="inlineStr">
        <is>
          <t>https://api.worldbank.org/v2/country/ISR/indicator/VC.IHR.PSRC.P5?format=json&amp;mrv=10</t>
        </is>
      </c>
      <c r="L2420" t="inlineStr">
        <is>
          <t>UNODC via World Bank WDI: Intentional homicides (per 100,000 people)</t>
        </is>
      </c>
      <c r="M2420" t="inlineStr">
        <is>
          <t>2022-12-31</t>
        </is>
      </c>
      <c r="N2420" t="inlineStr">
        <is>
          <t>auto_ingest=unodc_safety; indicator=VC.IHR.PSRC.P5; year=2022; country_proxy=Israel</t>
        </is>
      </c>
    </row>
    <row r="2421">
      <c r="A2421" t="inlineStr">
        <is>
          <t>il-tel-aviv</t>
        </is>
      </c>
      <c r="B2421" t="inlineStr">
        <is>
          <t>Tel Aviv</t>
        </is>
      </c>
      <c r="C2421" t="inlineStr">
        <is>
          <t>Israel</t>
        </is>
      </c>
      <c r="D2421" t="inlineStr">
        <is>
          <t>Middle East</t>
        </is>
      </c>
      <c r="E2421" t="inlineStr">
        <is>
          <t>transit_access_commute_raw</t>
        </is>
      </c>
      <c r="F2421" t="inlineStr">
        <is>
          <t>Transit access and commute raw</t>
        </is>
      </c>
      <c r="G2421" t="inlineStr">
        <is>
          <t>viability</t>
        </is>
      </c>
      <c r="H2421" t="inlineStr">
        <is>
          <t>yes</t>
        </is>
      </c>
      <c r="I2421" t="inlineStr"/>
      <c r="J2421" t="inlineStr"/>
      <c r="K2421" t="inlineStr"/>
      <c r="L2421" t="inlineStr"/>
      <c r="M2421" t="inlineStr"/>
      <c r="N2421" t="inlineStr"/>
    </row>
    <row r="2422">
      <c r="A2422" t="inlineStr">
        <is>
          <t>il-tel-aviv</t>
        </is>
      </c>
      <c r="B2422" t="inlineStr">
        <is>
          <t>Tel Aviv</t>
        </is>
      </c>
      <c r="C2422" t="inlineStr">
        <is>
          <t>Israel</t>
        </is>
      </c>
      <c r="D2422" t="inlineStr">
        <is>
          <t>Middle East</t>
        </is>
      </c>
      <c r="E2422" t="inlineStr">
        <is>
          <t>clean_air_raw</t>
        </is>
      </c>
      <c r="F2422" t="inlineStr">
        <is>
          <t>Clean air raw</t>
        </is>
      </c>
      <c r="G2422" t="inlineStr">
        <is>
          <t>viability</t>
        </is>
      </c>
      <c r="H2422" t="inlineStr">
        <is>
          <t>yes</t>
        </is>
      </c>
      <c r="I2422" t="inlineStr"/>
      <c r="J2422" t="inlineStr"/>
      <c r="K2422" t="inlineStr"/>
      <c r="L2422" t="inlineStr"/>
      <c r="M2422" t="inlineStr"/>
      <c r="N2422" t="inlineStr"/>
    </row>
    <row r="2423">
      <c r="A2423" t="inlineStr">
        <is>
          <t>il-tel-aviv</t>
        </is>
      </c>
      <c r="B2423" t="inlineStr">
        <is>
          <t>Tel Aviv</t>
        </is>
      </c>
      <c r="C2423" t="inlineStr">
        <is>
          <t>Israel</t>
        </is>
      </c>
      <c r="D2423" t="inlineStr">
        <is>
          <t>Middle East</t>
        </is>
      </c>
      <c r="E2423" t="inlineStr">
        <is>
          <t>water_sanitation_utility_raw</t>
        </is>
      </c>
      <c r="F2423" t="inlineStr">
        <is>
          <t>Water, sanitation, and utility raw</t>
        </is>
      </c>
      <c r="G2423" t="inlineStr">
        <is>
          <t>viability</t>
        </is>
      </c>
      <c r="H2423" t="inlineStr">
        <is>
          <t>yes</t>
        </is>
      </c>
      <c r="I2423" t="inlineStr">
        <is>
          <t>99.46</t>
        </is>
      </c>
      <c r="J2423" t="inlineStr">
        <is>
          <t>world_bank</t>
        </is>
      </c>
      <c r="K2423" t="inlineStr">
        <is>
          <t>https://api.worldbank.org/v2/country/ISR/indicator/SH.H2O.SMDW.ZS?format=json&amp;mrv=10</t>
        </is>
      </c>
      <c r="L2423" t="inlineStr">
        <is>
          <t>World Bank WDI: People using safely managed drinking water services (% of population)</t>
        </is>
      </c>
      <c r="M2423" t="inlineStr">
        <is>
          <t>2024-12-31</t>
        </is>
      </c>
      <c r="N2423" t="inlineStr">
        <is>
          <t>auto_ingest=world_bank_proxy; indicator=SH.H2O.SMDW.ZS; year=2024; country_proxy=Israel</t>
        </is>
      </c>
    </row>
    <row r="2424">
      <c r="A2424" t="inlineStr">
        <is>
          <t>il-tel-aviv</t>
        </is>
      </c>
      <c r="B2424" t="inlineStr">
        <is>
          <t>Tel Aviv</t>
        </is>
      </c>
      <c r="C2424" t="inlineStr">
        <is>
          <t>Israel</t>
        </is>
      </c>
      <c r="D2424" t="inlineStr">
        <is>
          <t>Middle East</t>
        </is>
      </c>
      <c r="E2424" t="inlineStr">
        <is>
          <t>digital_infrastructure_raw</t>
        </is>
      </c>
      <c r="F2424" t="inlineStr">
        <is>
          <t>Digital infrastructure raw</t>
        </is>
      </c>
      <c r="G2424" t="inlineStr">
        <is>
          <t>viability</t>
        </is>
      </c>
      <c r="H2424" t="inlineStr">
        <is>
          <t>yes</t>
        </is>
      </c>
      <c r="I2424" t="inlineStr">
        <is>
          <t>29.44</t>
        </is>
      </c>
      <c r="J2424" t="inlineStr">
        <is>
          <t>world_bank</t>
        </is>
      </c>
      <c r="K2424" t="inlineStr">
        <is>
          <t>https://api.worldbank.org/v2/country/ISR/indicator/IT.NET.BBND.P2?format=json&amp;mrv=10</t>
        </is>
      </c>
      <c r="L2424" t="inlineStr">
        <is>
          <t>World Bank WDI: Fixed broadband subscriptions (per 100 people)</t>
        </is>
      </c>
      <c r="M2424" t="inlineStr">
        <is>
          <t>2023-12-31</t>
        </is>
      </c>
      <c r="N2424" t="inlineStr">
        <is>
          <t>auto_ingest=world_bank_proxy; indicator=IT.NET.BBND.P2; year=2023; country_proxy=Israel</t>
        </is>
      </c>
    </row>
    <row r="2425">
      <c r="A2425" t="inlineStr">
        <is>
          <t>il-tel-aviv</t>
        </is>
      </c>
      <c r="B2425" t="inlineStr">
        <is>
          <t>Tel Aviv</t>
        </is>
      </c>
      <c r="C2425" t="inlineStr">
        <is>
          <t>Israel</t>
        </is>
      </c>
      <c r="D2425" t="inlineStr">
        <is>
          <t>Middle East</t>
        </is>
      </c>
      <c r="E2425" t="inlineStr">
        <is>
          <t>climate_sunlight_livability_raw</t>
        </is>
      </c>
      <c r="F2425" t="inlineStr">
        <is>
          <t>Climate and sunlight livability raw</t>
        </is>
      </c>
      <c r="G2425" t="inlineStr">
        <is>
          <t>viability</t>
        </is>
      </c>
      <c r="H2425" t="inlineStr">
        <is>
          <t>yes</t>
        </is>
      </c>
      <c r="I2425" t="inlineStr">
        <is>
          <t>72</t>
        </is>
      </c>
      <c r="J2425" t="inlineStr">
        <is>
          <t>wmo_natl_met</t>
        </is>
      </c>
      <c r="K2425" t="inlineStr">
        <is>
          <t>https://worldweather.wmo.int</t>
        </is>
      </c>
      <c r="L2425" t="inlineStr">
        <is>
          <t>WMO/National Met: Climate livability composite</t>
        </is>
      </c>
      <c r="M2425" t="inlineStr">
        <is>
          <t>2024-12-31</t>
        </is>
      </c>
      <c r="N2425" t="inlineStr">
        <is>
          <t>auto_seed=climate_composite; 3300 sun hrs, 20C mean, Mediterranean ideal</t>
        </is>
      </c>
    </row>
    <row r="2426">
      <c r="A2426" t="inlineStr">
        <is>
          <t>il-tel-aviv</t>
        </is>
      </c>
      <c r="B2426" t="inlineStr">
        <is>
          <t>Tel Aviv</t>
        </is>
      </c>
      <c r="C2426" t="inlineStr">
        <is>
          <t>Israel</t>
        </is>
      </c>
      <c r="D2426" t="inlineStr">
        <is>
          <t>Middle East</t>
        </is>
      </c>
      <c r="E2426" t="inlineStr">
        <is>
          <t>healthcare_quality_raw</t>
        </is>
      </c>
      <c r="F2426" t="inlineStr">
        <is>
          <t>Healthcare quality raw</t>
        </is>
      </c>
      <c r="G2426" t="inlineStr">
        <is>
          <t>capability</t>
        </is>
      </c>
      <c r="H2426" t="inlineStr">
        <is>
          <t>yes</t>
        </is>
      </c>
      <c r="I2426" t="inlineStr">
        <is>
          <t>85.0</t>
        </is>
      </c>
      <c r="J2426" t="inlineStr">
        <is>
          <t>who_gho</t>
        </is>
      </c>
      <c r="K2426" t="inlineStr">
        <is>
          <t>https://www.who.int/data/gho/data/indicators/indicator-details/GHO/UHC_INDEX_REPORTED</t>
        </is>
      </c>
      <c r="L2426" t="inlineStr">
        <is>
          <t>WHO GHO: UHC Service Coverage Index</t>
        </is>
      </c>
      <c r="M2426" t="inlineStr">
        <is>
          <t>2023-12-31</t>
        </is>
      </c>
      <c r="N2426" t="inlineStr">
        <is>
          <t>auto_ingest=who_gho; indicator=UHC_INDEX_REPORTED; year=2023; country_proxy=Israel</t>
        </is>
      </c>
    </row>
    <row r="2427">
      <c r="A2427" t="inlineStr">
        <is>
          <t>il-tel-aviv</t>
        </is>
      </c>
      <c r="B2427" t="inlineStr">
        <is>
          <t>Tel Aviv</t>
        </is>
      </c>
      <c r="C2427" t="inlineStr">
        <is>
          <t>Israel</t>
        </is>
      </c>
      <c r="D2427" t="inlineStr">
        <is>
          <t>Middle East</t>
        </is>
      </c>
      <c r="E2427" t="inlineStr">
        <is>
          <t>education_quality_raw</t>
        </is>
      </c>
      <c r="F2427" t="inlineStr">
        <is>
          <t>Education quality raw</t>
        </is>
      </c>
      <c r="G2427" t="inlineStr">
        <is>
          <t>capability</t>
        </is>
      </c>
      <c r="H2427" t="inlineStr">
        <is>
          <t>yes</t>
        </is>
      </c>
      <c r="I2427" t="inlineStr">
        <is>
          <t>55.84</t>
        </is>
      </c>
      <c r="J2427" t="inlineStr">
        <is>
          <t>world_bank</t>
        </is>
      </c>
      <c r="K2427" t="inlineStr">
        <is>
          <t>https://api.worldbank.org/v2/country/ISR/indicator/SE.TER.ENRR?format=json&amp;mrv=10</t>
        </is>
      </c>
      <c r="L2427" t="inlineStr">
        <is>
          <t>World Bank WDI: School enrollment, tertiary (% gross)</t>
        </is>
      </c>
      <c r="M2427" t="inlineStr">
        <is>
          <t>2023-12-31</t>
        </is>
      </c>
      <c r="N2427" t="inlineStr">
        <is>
          <t>auto_ingest=world_bank_proxy; indicator=SE.TER.ENRR; year=2023; country_proxy=Israel</t>
        </is>
      </c>
    </row>
    <row r="2428">
      <c r="A2428" t="inlineStr">
        <is>
          <t>il-tel-aviv</t>
        </is>
      </c>
      <c r="B2428" t="inlineStr">
        <is>
          <t>Tel Aviv</t>
        </is>
      </c>
      <c r="C2428" t="inlineStr">
        <is>
          <t>Israel</t>
        </is>
      </c>
      <c r="D2428" t="inlineStr">
        <is>
          <t>Middle East</t>
        </is>
      </c>
      <c r="E2428" t="inlineStr">
        <is>
          <t>equal_opportunity_raw</t>
        </is>
      </c>
      <c r="F2428" t="inlineStr">
        <is>
          <t>Equal opportunity raw</t>
        </is>
      </c>
      <c r="G2428" t="inlineStr">
        <is>
          <t>capability</t>
        </is>
      </c>
      <c r="H2428" t="inlineStr">
        <is>
          <t>yes</t>
        </is>
      </c>
      <c r="I2428" t="inlineStr">
        <is>
          <t>37.9</t>
        </is>
      </c>
      <c r="J2428" t="inlineStr">
        <is>
          <t>world_bank</t>
        </is>
      </c>
      <c r="K2428" t="inlineStr">
        <is>
          <t>https://api.worldbank.org/v2/country/ISR/indicator/SI.POV.GINI?format=json&amp;mrv=10</t>
        </is>
      </c>
      <c r="L2428" t="inlineStr">
        <is>
          <t>World Bank WDI: Gini index</t>
        </is>
      </c>
      <c r="M2428" t="inlineStr">
        <is>
          <t>2021-12-31</t>
        </is>
      </c>
      <c r="N2428" t="inlineStr">
        <is>
          <t>auto_ingest=world_bank_capability; indicator=SI.POV.GINI; year=2021; country_proxy=Israel</t>
        </is>
      </c>
    </row>
    <row r="2429">
      <c r="A2429" t="inlineStr">
        <is>
          <t>il-tel-aviv</t>
        </is>
      </c>
      <c r="B2429" t="inlineStr">
        <is>
          <t>Tel Aviv</t>
        </is>
      </c>
      <c r="C2429" t="inlineStr">
        <is>
          <t>Israel</t>
        </is>
      </c>
      <c r="D2429" t="inlineStr">
        <is>
          <t>Middle East</t>
        </is>
      </c>
      <c r="E2429" t="inlineStr">
        <is>
          <t>hospitality_belonging_raw</t>
        </is>
      </c>
      <c r="F2429" t="inlineStr">
        <is>
          <t>Hospitality and belonging raw</t>
        </is>
      </c>
      <c r="G2429" t="inlineStr">
        <is>
          <t>community</t>
        </is>
      </c>
      <c r="H2429" t="inlineStr">
        <is>
          <t>yes</t>
        </is>
      </c>
      <c r="I2429" t="inlineStr">
        <is>
          <t>51.15</t>
        </is>
      </c>
      <c r="J2429" t="inlineStr">
        <is>
          <t>world_bank</t>
        </is>
      </c>
      <c r="K2429" t="inlineStr">
        <is>
          <t>https://api.worldbank.org/v2/country/ISR/indicator/SM.POP.NETM?format=json&amp;mrv=10</t>
        </is>
      </c>
      <c r="L2429" t="inlineStr">
        <is>
          <t>World Bank WDI: Net migration (proxy for hospitality/belonging — positive = welcoming)</t>
        </is>
      </c>
      <c r="M2429" t="inlineStr">
        <is>
          <t>2025-12-31</t>
        </is>
      </c>
      <c r="N2429" t="inlineStr">
        <is>
          <t>auto_ingest=world_bank_proxy; proxy=net_migration_hospitality; indicator=SM.POP.NETM; year=2025; country_proxy=Israel</t>
        </is>
      </c>
    </row>
    <row r="2430">
      <c r="A2430" t="inlineStr">
        <is>
          <t>il-tel-aviv</t>
        </is>
      </c>
      <c r="B2430" t="inlineStr">
        <is>
          <t>Tel Aviv</t>
        </is>
      </c>
      <c r="C2430" t="inlineStr">
        <is>
          <t>Israel</t>
        </is>
      </c>
      <c r="D2430" t="inlineStr">
        <is>
          <t>Middle East</t>
        </is>
      </c>
      <c r="E2430" t="inlineStr">
        <is>
          <t>tolerance_pluralism_raw</t>
        </is>
      </c>
      <c r="F2430" t="inlineStr">
        <is>
          <t>Tolerance and pluralism raw</t>
        </is>
      </c>
      <c r="G2430" t="inlineStr">
        <is>
          <t>community</t>
        </is>
      </c>
      <c r="H2430" t="inlineStr">
        <is>
          <t>yes</t>
        </is>
      </c>
      <c r="I2430" t="inlineStr">
        <is>
          <t>25.0</t>
        </is>
      </c>
      <c r="J2430" t="inlineStr">
        <is>
          <t>world_bank</t>
        </is>
      </c>
      <c r="K2430" t="inlineStr">
        <is>
          <t>https://api.worldbank.org/v2/country/ISR/indicator/SG.GEN.PARL.ZS?format=json&amp;mrv=10</t>
        </is>
      </c>
      <c r="L2430" t="inlineStr">
        <is>
          <t>World Bank WDI: Proportion of seats held by women in national parliaments (%)</t>
        </is>
      </c>
      <c r="M2430" t="inlineStr">
        <is>
          <t>2024-12-31</t>
        </is>
      </c>
      <c r="N2430" t="inlineStr">
        <is>
          <t>auto_ingest=world_bank_proxy; proxy=gender_parity_parliament; indicator=SG.GEN.PARL.ZS; year=2024; country_proxy=Israel</t>
        </is>
      </c>
    </row>
    <row r="2431">
      <c r="A2431" t="inlineStr">
        <is>
          <t>il-tel-aviv</t>
        </is>
      </c>
      <c r="B2431" t="inlineStr">
        <is>
          <t>Tel Aviv</t>
        </is>
      </c>
      <c r="C2431" t="inlineStr">
        <is>
          <t>Israel</t>
        </is>
      </c>
      <c r="D2431" t="inlineStr">
        <is>
          <t>Middle East</t>
        </is>
      </c>
      <c r="E2431" t="inlineStr">
        <is>
          <t>cultural_public_life_raw</t>
        </is>
      </c>
      <c r="F2431" t="inlineStr">
        <is>
          <t>Cultural public life raw</t>
        </is>
      </c>
      <c r="G2431" t="inlineStr">
        <is>
          <t>community</t>
        </is>
      </c>
      <c r="H2431" t="inlineStr">
        <is>
          <t>yes</t>
        </is>
      </c>
      <c r="I2431" t="inlineStr">
        <is>
          <t>491.76</t>
        </is>
      </c>
      <c r="J2431" t="inlineStr">
        <is>
          <t>world_bank</t>
        </is>
      </c>
      <c r="K2431" t="inlineStr">
        <is>
          <t>https://api.worldbank.org/v2/country/ISR/indicator/ST.INT.ARVL?format=json&amp;mrv=10</t>
        </is>
      </c>
      <c r="L2431" t="inlineStr">
        <is>
          <t>World Bank WDI: International tourism arrivals per 1 000 population</t>
        </is>
      </c>
      <c r="M2431" t="inlineStr">
        <is>
          <t>2019-12-31</t>
        </is>
      </c>
      <c r="N2431" t="inlineStr">
        <is>
          <t>auto_ingest=cultural_life_proxy; indicator=ST.INT.ARVL; norm=per_1000_pop; year=2019; country_proxy=Israel</t>
        </is>
      </c>
    </row>
    <row r="2432">
      <c r="A2432" t="inlineStr">
        <is>
          <t>il-tel-aviv</t>
        </is>
      </c>
      <c r="B2432" t="inlineStr">
        <is>
          <t>Tel Aviv</t>
        </is>
      </c>
      <c r="C2432" t="inlineStr">
        <is>
          <t>Israel</t>
        </is>
      </c>
      <c r="D2432" t="inlineStr">
        <is>
          <t>Middle East</t>
        </is>
      </c>
      <c r="E2432" t="inlineStr">
        <is>
          <t>birth_rate_optimism_raw</t>
        </is>
      </c>
      <c r="F2432" t="inlineStr">
        <is>
          <t>Birth rate and societal optimism raw</t>
        </is>
      </c>
      <c r="G2432" t="inlineStr">
        <is>
          <t>community</t>
        </is>
      </c>
      <c r="H2432" t="inlineStr">
        <is>
          <t>yes</t>
        </is>
      </c>
      <c r="I2432" t="inlineStr">
        <is>
          <t>2.9</t>
        </is>
      </c>
      <c r="J2432" t="inlineStr">
        <is>
          <t>world_bank</t>
        </is>
      </c>
      <c r="K2432" t="inlineStr">
        <is>
          <t>https://data.worldbank.org/indicator/SP.DYN.TFRT.IN</t>
        </is>
      </c>
      <c r="L2432" t="inlineStr">
        <is>
          <t>World Bank Total Fertility Rate 2023</t>
        </is>
      </c>
      <c r="M2432" t="inlineStr">
        <is>
          <t>2024-01-01</t>
        </is>
      </c>
      <c r="N2432" t="inlineStr"/>
    </row>
    <row r="2433">
      <c r="A2433" t="inlineStr">
        <is>
          <t>il-tel-aviv</t>
        </is>
      </c>
      <c r="B2433" t="inlineStr">
        <is>
          <t>Tel Aviv</t>
        </is>
      </c>
      <c r="C2433" t="inlineStr">
        <is>
          <t>Israel</t>
        </is>
      </c>
      <c r="D2433" t="inlineStr">
        <is>
          <t>Middle East</t>
        </is>
      </c>
      <c r="E2433" t="inlineStr">
        <is>
          <t>entrepreneurial_dynamism_raw</t>
        </is>
      </c>
      <c r="F2433" t="inlineStr">
        <is>
          <t>Entrepreneurial dynamism raw</t>
        </is>
      </c>
      <c r="G2433" t="inlineStr">
        <is>
          <t>creative</t>
        </is>
      </c>
      <c r="H2433" t="inlineStr">
        <is>
          <t>yes</t>
        </is>
      </c>
      <c r="I2433" t="inlineStr">
        <is>
          <t>3.06</t>
        </is>
      </c>
      <c r="J2433" t="inlineStr">
        <is>
          <t>world_bank</t>
        </is>
      </c>
      <c r="K2433" t="inlineStr">
        <is>
          <t>https://api.worldbank.org/v2/country/ISR/indicator/IC.BUS.NDNS.ZS?format=json&amp;mrv=10</t>
        </is>
      </c>
      <c r="L2433" t="inlineStr">
        <is>
          <t>World Bank WDI: New business density (new registrations per 1,000 people ages 15-64)</t>
        </is>
      </c>
      <c r="M2433" t="inlineStr">
        <is>
          <t>2020-12-31</t>
        </is>
      </c>
      <c r="N2433" t="inlineStr">
        <is>
          <t>auto_ingest=world_bank_creative_extended; indicator=IC.BUS.NDNS.ZS; year=2020; country_proxy=Israel</t>
        </is>
      </c>
    </row>
    <row r="2434">
      <c r="A2434" t="inlineStr">
        <is>
          <t>il-tel-aviv</t>
        </is>
      </c>
      <c r="B2434" t="inlineStr">
        <is>
          <t>Tel Aviv</t>
        </is>
      </c>
      <c r="C2434" t="inlineStr">
        <is>
          <t>Israel</t>
        </is>
      </c>
      <c r="D2434" t="inlineStr">
        <is>
          <t>Middle East</t>
        </is>
      </c>
      <c r="E2434" t="inlineStr">
        <is>
          <t>innovation_research_intensity_raw</t>
        </is>
      </c>
      <c r="F2434" t="inlineStr">
        <is>
          <t>Innovation and research raw</t>
        </is>
      </c>
      <c r="G2434" t="inlineStr">
        <is>
          <t>creative</t>
        </is>
      </c>
      <c r="H2434" t="inlineStr">
        <is>
          <t>yes</t>
        </is>
      </c>
      <c r="I2434" t="inlineStr">
        <is>
          <t>6.02</t>
        </is>
      </c>
      <c r="J2434" t="inlineStr">
        <is>
          <t>world_bank</t>
        </is>
      </c>
      <c r="K2434" t="inlineStr">
        <is>
          <t>https://api.worldbank.org/v2/country/ISR/indicator/GB.XPD.RSDV.GD.ZS?format=json&amp;mrv=10</t>
        </is>
      </c>
      <c r="L2434" t="inlineStr">
        <is>
          <t>World Bank WDI: Research and development expenditure (% of GDP)</t>
        </is>
      </c>
      <c r="M2434" t="inlineStr">
        <is>
          <t>2022-12-31</t>
        </is>
      </c>
      <c r="N2434" t="inlineStr">
        <is>
          <t>auto_ingest=world_bank_creative_extended; indicator=GB.XPD.RSDV.GD.ZS; year=2022; country_proxy=Israel</t>
        </is>
      </c>
    </row>
    <row r="2435">
      <c r="A2435" t="inlineStr">
        <is>
          <t>il-tel-aviv</t>
        </is>
      </c>
      <c r="B2435" t="inlineStr">
        <is>
          <t>Tel Aviv</t>
        </is>
      </c>
      <c r="C2435" t="inlineStr">
        <is>
          <t>Israel</t>
        </is>
      </c>
      <c r="D2435" t="inlineStr">
        <is>
          <t>Middle East and North Africa</t>
        </is>
      </c>
      <c r="E2435" t="inlineStr">
        <is>
          <t>investment_signal_raw</t>
        </is>
      </c>
      <c r="F2435" t="inlineStr">
        <is>
          <t>Investment signal raw</t>
        </is>
      </c>
      <c r="G2435" t="inlineStr">
        <is>
          <t>creative</t>
        </is>
      </c>
      <c r="H2435" t="inlineStr">
        <is>
          <t>yes</t>
        </is>
      </c>
      <c r="I2435" t="inlineStr">
        <is>
          <t>2.73</t>
        </is>
      </c>
      <c r="J2435" t="inlineStr">
        <is>
          <t>world_bank</t>
        </is>
      </c>
      <c r="K2435" t="inlineStr">
        <is>
          <t>https://api.worldbank.org/v2/country/ISR/indicator/BX.KLT.DINV.WD.GD.ZS?format=json&amp;mrv=10</t>
        </is>
      </c>
      <c r="L2435" t="inlineStr">
        <is>
          <t>World Bank WDI: Foreign direct investment, net inflows (% of GDP)</t>
        </is>
      </c>
      <c r="M2435" t="inlineStr">
        <is>
          <t>2024-12-31</t>
        </is>
      </c>
      <c r="N2435" t="inlineStr">
        <is>
          <t>auto_ingest=world_bank_creative_extended; indicator=BX.KLT.DINV.WD.GD.ZS; year=2024; country_proxy=Israel</t>
        </is>
      </c>
    </row>
    <row r="2436">
      <c r="A2436" t="inlineStr">
        <is>
          <t>il-tel-aviv</t>
        </is>
      </c>
      <c r="B2436" t="inlineStr">
        <is>
          <t>Tel Aviv</t>
        </is>
      </c>
      <c r="C2436" t="inlineStr">
        <is>
          <t>Israel</t>
        </is>
      </c>
      <c r="D2436" t="inlineStr">
        <is>
          <t>Middle East</t>
        </is>
      </c>
      <c r="E2436" t="inlineStr">
        <is>
          <t>administrative_investment_friction_raw</t>
        </is>
      </c>
      <c r="F2436" t="inlineStr">
        <is>
          <t>Administrative investment friction raw</t>
        </is>
      </c>
      <c r="G2436" t="inlineStr">
        <is>
          <t>creative</t>
        </is>
      </c>
      <c r="H2436" t="inlineStr">
        <is>
          <t>yes</t>
        </is>
      </c>
      <c r="I2436" t="inlineStr">
        <is>
          <t>1.38</t>
        </is>
      </c>
      <c r="J2436" t="inlineStr">
        <is>
          <t>world_bank</t>
        </is>
      </c>
      <c r="K2436" t="inlineStr">
        <is>
          <t>https://api.worldbank.org/v2/country/ISR/indicator/RQ.EST?format=json&amp;mrv=10</t>
        </is>
      </c>
      <c r="L2436" t="inlineStr">
        <is>
          <t>World Bank WGI: Regulatory Quality (inverted as friction proxy)</t>
        </is>
      </c>
      <c r="M2436" t="inlineStr">
        <is>
          <t>2023-12-31</t>
        </is>
      </c>
      <c r="N2436" t="inlineStr">
        <is>
          <t>auto_ingest=world_bank_business_friction; indicator=RQ.EST; raw_rq=1.12179791927338; friction=1.38; year=2023; country_proxy=Israel</t>
        </is>
      </c>
    </row>
    <row r="2437">
      <c r="A2437" t="inlineStr">
        <is>
          <t>il-tel-aviv</t>
        </is>
      </c>
      <c r="B2437" t="inlineStr">
        <is>
          <t>Tel Aviv</t>
        </is>
      </c>
      <c r="C2437" t="inlineStr">
        <is>
          <t>Israel</t>
        </is>
      </c>
      <c r="D2437" t="inlineStr">
        <is>
          <t>Middle East</t>
        </is>
      </c>
      <c r="E2437" t="inlineStr">
        <is>
          <t>visitor_flow_context_raw</t>
        </is>
      </c>
      <c r="F2437" t="inlineStr">
        <is>
          <t>Visitor flow context raw</t>
        </is>
      </c>
      <c r="G2437" t="inlineStr">
        <is>
          <t>creative</t>
        </is>
      </c>
      <c r="H2437" t="inlineStr">
        <is>
          <t>no</t>
        </is>
      </c>
      <c r="I2437" t="inlineStr"/>
      <c r="J2437" t="inlineStr"/>
      <c r="K2437" t="inlineStr"/>
      <c r="L2437" t="inlineStr"/>
      <c r="M2437" t="inlineStr"/>
      <c r="N2437" t="inlineStr"/>
    </row>
    <row r="2438">
      <c r="A2438" t="inlineStr">
        <is>
          <t>om-muscat</t>
        </is>
      </c>
      <c r="B2438" t="inlineStr">
        <is>
          <t>Muscat</t>
        </is>
      </c>
      <c r="C2438" t="inlineStr">
        <is>
          <t>Oman</t>
        </is>
      </c>
      <c r="D2438" t="inlineStr">
        <is>
          <t>Middle East</t>
        </is>
      </c>
      <c r="E2438" t="inlineStr">
        <is>
          <t>gross_income</t>
        </is>
      </c>
      <c r="F2438" t="inlineStr">
        <is>
          <t>Gross income</t>
        </is>
      </c>
      <c r="G2438" t="inlineStr">
        <is>
          <t>pressure</t>
        </is>
      </c>
      <c r="H2438" t="inlineStr">
        <is>
          <t>yes</t>
        </is>
      </c>
      <c r="I2438" t="inlineStr">
        <is>
          <t>3278.33</t>
        </is>
      </c>
      <c r="J2438" t="inlineStr">
        <is>
          <t>world_bank_col_estimate</t>
        </is>
      </c>
      <c r="K2438" t="inlineStr">
        <is>
          <t>https://api.worldbank.org/v2/country/OMN/indicator/NY.GNP.PCAP.PP.CD?format=json&amp;mrv=10</t>
        </is>
      </c>
      <c r="L2438" t="inlineStr">
        <is>
          <t>World Bank WDI: GNI per capita PPP (monthly USD)</t>
        </is>
      </c>
      <c r="M2438" t="inlineStr">
        <is>
          <t>2024-12-31</t>
        </is>
      </c>
      <c r="N2438" t="inlineStr">
        <is>
          <t>auto_ingest=world_bank_col_estimate; gni_annual=39340.0; year=2024; country_proxy=Oman; cohort=Middle East</t>
        </is>
      </c>
    </row>
    <row r="2439">
      <c r="A2439" t="inlineStr">
        <is>
          <t>om-muscat</t>
        </is>
      </c>
      <c r="B2439" t="inlineStr">
        <is>
          <t>Muscat</t>
        </is>
      </c>
      <c r="C2439" t="inlineStr">
        <is>
          <t>Oman</t>
        </is>
      </c>
      <c r="D2439" t="inlineStr">
        <is>
          <t>Middle East</t>
        </is>
      </c>
      <c r="E2439" t="inlineStr">
        <is>
          <t>di_ppp_raw</t>
        </is>
      </c>
      <c r="F2439" t="inlineStr">
        <is>
          <t>Disposable income PPP (Raw)</t>
        </is>
      </c>
      <c r="G2439" t="inlineStr">
        <is>
          <t>pressure</t>
        </is>
      </c>
      <c r="H2439" t="inlineStr">
        <is>
          <t>yes</t>
        </is>
      </c>
      <c r="I2439" t="inlineStr"/>
      <c r="J2439" t="inlineStr"/>
      <c r="K2439" t="inlineStr"/>
      <c r="L2439" t="inlineStr"/>
      <c r="M2439" t="inlineStr"/>
      <c r="N2439" t="inlineStr"/>
    </row>
    <row r="2440">
      <c r="A2440" t="inlineStr">
        <is>
          <t>om-muscat</t>
        </is>
      </c>
      <c r="B2440" t="inlineStr">
        <is>
          <t>Muscat</t>
        </is>
      </c>
      <c r="C2440" t="inlineStr">
        <is>
          <t>Oman</t>
        </is>
      </c>
      <c r="D2440" t="inlineStr">
        <is>
          <t>Middle East</t>
        </is>
      </c>
      <c r="E2440" t="inlineStr">
        <is>
          <t>rent</t>
        </is>
      </c>
      <c r="F2440" t="inlineStr">
        <is>
          <t>Rent</t>
        </is>
      </c>
      <c r="G2440" t="inlineStr">
        <is>
          <t>pressure</t>
        </is>
      </c>
      <c r="H2440" t="inlineStr">
        <is>
          <t>yes</t>
        </is>
      </c>
      <c r="I2440" t="inlineStr">
        <is>
          <t>737.62</t>
        </is>
      </c>
      <c r="J2440" t="inlineStr">
        <is>
          <t>world_bank_col_estimate</t>
        </is>
      </c>
      <c r="K2440" t="inlineStr">
        <is>
          <t>https://api.worldbank.org/v2/country/OMN/indicator/NY.GNP.PCAP.PP.CD?format=json&amp;mrv=10</t>
        </is>
      </c>
      <c r="L2440" t="inlineStr">
        <is>
          <t>World Bank GNI + regional expenditure ratio estimate</t>
        </is>
      </c>
      <c r="M2440" t="inlineStr">
        <is>
          <t>2024-12-31</t>
        </is>
      </c>
      <c r="N2440" t="inlineStr">
        <is>
          <t>auto_ingest=world_bank_col_estimate; gni_annual=39340.0; year=2024; country_proxy=Oman; cohort=Middle East; city_cost_mult=0.9</t>
        </is>
      </c>
    </row>
    <row r="2441">
      <c r="A2441" t="inlineStr">
        <is>
          <t>om-muscat</t>
        </is>
      </c>
      <c r="B2441" t="inlineStr">
        <is>
          <t>Muscat</t>
        </is>
      </c>
      <c r="C2441" t="inlineStr">
        <is>
          <t>Oman</t>
        </is>
      </c>
      <c r="D2441" t="inlineStr">
        <is>
          <t>Middle East</t>
        </is>
      </c>
      <c r="E2441" t="inlineStr">
        <is>
          <t>utilities</t>
        </is>
      </c>
      <c r="F2441" t="inlineStr">
        <is>
          <t>Utilities</t>
        </is>
      </c>
      <c r="G2441" t="inlineStr">
        <is>
          <t>pressure</t>
        </is>
      </c>
      <c r="H2441" t="inlineStr">
        <is>
          <t>yes</t>
        </is>
      </c>
      <c r="I2441" t="inlineStr">
        <is>
          <t>147.52</t>
        </is>
      </c>
      <c r="J2441" t="inlineStr">
        <is>
          <t>world_bank_col_estimate</t>
        </is>
      </c>
      <c r="K2441" t="inlineStr">
        <is>
          <t>https://api.worldbank.org/v2/country/OMN/indicator/NY.GNP.PCAP.PP.CD?format=json&amp;mrv=10</t>
        </is>
      </c>
      <c r="L2441" t="inlineStr">
        <is>
          <t>World Bank GNI + regional expenditure ratio estimate</t>
        </is>
      </c>
      <c r="M2441" t="inlineStr">
        <is>
          <t>2024-12-31</t>
        </is>
      </c>
      <c r="N2441" t="inlineStr">
        <is>
          <t>auto_ingest=world_bank_col_estimate; gni_annual=39340.0; year=2024; country_proxy=Oman; cohort=Middle East; city_cost_mult=0.9</t>
        </is>
      </c>
    </row>
    <row r="2442">
      <c r="A2442" t="inlineStr">
        <is>
          <t>om-muscat</t>
        </is>
      </c>
      <c r="B2442" t="inlineStr">
        <is>
          <t>Muscat</t>
        </is>
      </c>
      <c r="C2442" t="inlineStr">
        <is>
          <t>Oman</t>
        </is>
      </c>
      <c r="D2442" t="inlineStr">
        <is>
          <t>Middle East</t>
        </is>
      </c>
      <c r="E2442" t="inlineStr">
        <is>
          <t>transit_cost</t>
        </is>
      </c>
      <c r="F2442" t="inlineStr">
        <is>
          <t>Transit cost</t>
        </is>
      </c>
      <c r="G2442" t="inlineStr">
        <is>
          <t>pressure</t>
        </is>
      </c>
      <c r="H2442" t="inlineStr">
        <is>
          <t>yes</t>
        </is>
      </c>
      <c r="I2442" t="inlineStr">
        <is>
          <t>118.02</t>
        </is>
      </c>
      <c r="J2442" t="inlineStr">
        <is>
          <t>world_bank_col_estimate</t>
        </is>
      </c>
      <c r="K2442" t="inlineStr">
        <is>
          <t>https://api.worldbank.org/v2/country/OMN/indicator/NY.GNP.PCAP.PP.CD?format=json&amp;mrv=10</t>
        </is>
      </c>
      <c r="L2442" t="inlineStr">
        <is>
          <t>World Bank GNI + regional expenditure ratio estimate</t>
        </is>
      </c>
      <c r="M2442" t="inlineStr">
        <is>
          <t>2024-12-31</t>
        </is>
      </c>
      <c r="N2442" t="inlineStr">
        <is>
          <t>auto_ingest=world_bank_col_estimate; gni_annual=39340.0; year=2024; country_proxy=Oman; cohort=Middle East; city_cost_mult=0.9</t>
        </is>
      </c>
    </row>
    <row r="2443">
      <c r="A2443" t="inlineStr">
        <is>
          <t>om-muscat</t>
        </is>
      </c>
      <c r="B2443" t="inlineStr">
        <is>
          <t>Muscat</t>
        </is>
      </c>
      <c r="C2443" t="inlineStr">
        <is>
          <t>Oman</t>
        </is>
      </c>
      <c r="D2443" t="inlineStr">
        <is>
          <t>Middle East</t>
        </is>
      </c>
      <c r="E2443" t="inlineStr">
        <is>
          <t>internet_cost</t>
        </is>
      </c>
      <c r="F2443" t="inlineStr">
        <is>
          <t>Internet cost</t>
        </is>
      </c>
      <c r="G2443" t="inlineStr">
        <is>
          <t>pressure</t>
        </is>
      </c>
      <c r="H2443" t="inlineStr">
        <is>
          <t>yes</t>
        </is>
      </c>
      <c r="I2443" t="inlineStr">
        <is>
          <t>44.26</t>
        </is>
      </c>
      <c r="J2443" t="inlineStr">
        <is>
          <t>world_bank_col_estimate</t>
        </is>
      </c>
      <c r="K2443" t="inlineStr">
        <is>
          <t>https://api.worldbank.org/v2/country/OMN/indicator/NY.GNP.PCAP.PP.CD?format=json&amp;mrv=10</t>
        </is>
      </c>
      <c r="L2443" t="inlineStr">
        <is>
          <t>World Bank GNI + regional expenditure ratio estimate</t>
        </is>
      </c>
      <c r="M2443" t="inlineStr">
        <is>
          <t>2024-12-31</t>
        </is>
      </c>
      <c r="N2443" t="inlineStr">
        <is>
          <t>auto_ingest=world_bank_col_estimate; gni_annual=39340.0; year=2024; country_proxy=Oman; cohort=Middle East; city_cost_mult=0.9</t>
        </is>
      </c>
    </row>
    <row r="2444">
      <c r="A2444" t="inlineStr">
        <is>
          <t>om-muscat</t>
        </is>
      </c>
      <c r="B2444" t="inlineStr">
        <is>
          <t>Muscat</t>
        </is>
      </c>
      <c r="C2444" t="inlineStr">
        <is>
          <t>Oman</t>
        </is>
      </c>
      <c r="D2444" t="inlineStr">
        <is>
          <t>Middle East</t>
        </is>
      </c>
      <c r="E2444" t="inlineStr">
        <is>
          <t>food_cost</t>
        </is>
      </c>
      <c r="F2444" t="inlineStr">
        <is>
          <t>Food cost</t>
        </is>
      </c>
      <c r="G2444" t="inlineStr">
        <is>
          <t>pressure</t>
        </is>
      </c>
      <c r="H2444" t="inlineStr">
        <is>
          <t>yes</t>
        </is>
      </c>
      <c r="I2444" t="inlineStr">
        <is>
          <t>531.09</t>
        </is>
      </c>
      <c r="J2444" t="inlineStr">
        <is>
          <t>world_bank_col_estimate</t>
        </is>
      </c>
      <c r="K2444" t="inlineStr">
        <is>
          <t>https://api.worldbank.org/v2/country/OMN/indicator/NY.GNP.PCAP.PP.CD?format=json&amp;mrv=10</t>
        </is>
      </c>
      <c r="L2444" t="inlineStr">
        <is>
          <t>World Bank GNI + regional expenditure ratio estimate</t>
        </is>
      </c>
      <c r="M2444" t="inlineStr">
        <is>
          <t>2024-12-31</t>
        </is>
      </c>
      <c r="N2444" t="inlineStr">
        <is>
          <t>auto_ingest=world_bank_col_estimate; gni_annual=39340.0; year=2024; country_proxy=Oman; cohort=Middle East; city_cost_mult=0.9</t>
        </is>
      </c>
    </row>
    <row r="2445">
      <c r="A2445" t="inlineStr">
        <is>
          <t>om-muscat</t>
        </is>
      </c>
      <c r="B2445" t="inlineStr">
        <is>
          <t>Muscat</t>
        </is>
      </c>
      <c r="C2445" t="inlineStr">
        <is>
          <t>Oman</t>
        </is>
      </c>
      <c r="D2445" t="inlineStr">
        <is>
          <t>Middle East</t>
        </is>
      </c>
      <c r="E2445" t="inlineStr">
        <is>
          <t>housing_burden_raw</t>
        </is>
      </c>
      <c r="F2445" t="inlineStr">
        <is>
          <t>Housing burden raw</t>
        </is>
      </c>
      <c r="G2445" t="inlineStr">
        <is>
          <t>pressure</t>
        </is>
      </c>
      <c r="H2445" t="inlineStr">
        <is>
          <t>yes</t>
        </is>
      </c>
      <c r="I2445" t="inlineStr">
        <is>
          <t>22.4999</t>
        </is>
      </c>
      <c r="J2445" t="inlineStr">
        <is>
          <t>derived</t>
        </is>
      </c>
      <c r="K2445" t="inlineStr">
        <is>
          <t>https://data.worldbank.org/indicator/NY.GNP.PCAP.PP.CD</t>
        </is>
      </c>
      <c r="L2445" t="inlineStr">
        <is>
          <t>Computed from city_inputs + country_context</t>
        </is>
      </c>
      <c r="M2445" t="inlineStr">
        <is>
          <t>2024-01-01</t>
        </is>
      </c>
      <c r="N2445" t="inlineStr">
        <is>
          <t>derived=rent/gross_income*100</t>
        </is>
      </c>
    </row>
    <row r="2446">
      <c r="A2446" t="inlineStr">
        <is>
          <t>om-muscat</t>
        </is>
      </c>
      <c r="B2446" t="inlineStr">
        <is>
          <t>Muscat</t>
        </is>
      </c>
      <c r="C2446" t="inlineStr">
        <is>
          <t>Oman</t>
        </is>
      </c>
      <c r="D2446" t="inlineStr">
        <is>
          <t>Middle East</t>
        </is>
      </c>
      <c r="E2446" t="inlineStr">
        <is>
          <t>household_debt_burden_raw</t>
        </is>
      </c>
      <c r="F2446" t="inlineStr">
        <is>
          <t>Household debt burden raw</t>
        </is>
      </c>
      <c r="G2446" t="inlineStr">
        <is>
          <t>pressure</t>
        </is>
      </c>
      <c r="H2446" t="inlineStr">
        <is>
          <t>yes</t>
        </is>
      </c>
      <c r="I2446" t="inlineStr">
        <is>
          <t>59.7083</t>
        </is>
      </c>
      <c r="J2446" t="inlineStr">
        <is>
          <t>derived</t>
        </is>
      </c>
      <c r="K2446" t="inlineStr">
        <is>
          <t>https://data.worldbank.org/indicator/NY.GNP.PCAP.PP.CD</t>
        </is>
      </c>
      <c r="L2446" t="inlineStr">
        <is>
          <t>Computed from city_inputs + country_context</t>
        </is>
      </c>
      <c r="M2446" t="inlineStr">
        <is>
          <t>2024-01-01</t>
        </is>
      </c>
      <c r="N2446" t="inlineStr">
        <is>
          <t>derived=country_context.household_debt_proxy; country=Oman</t>
        </is>
      </c>
    </row>
    <row r="2447">
      <c r="A2447" t="inlineStr">
        <is>
          <t>om-muscat</t>
        </is>
      </c>
      <c r="B2447" t="inlineStr">
        <is>
          <t>Muscat</t>
        </is>
      </c>
      <c r="C2447" t="inlineStr">
        <is>
          <t>Oman</t>
        </is>
      </c>
      <c r="D2447" t="inlineStr">
        <is>
          <t>Middle East</t>
        </is>
      </c>
      <c r="E2447" t="inlineStr">
        <is>
          <t>working_time_pressure_raw</t>
        </is>
      </c>
      <c r="F2447" t="inlineStr">
        <is>
          <t>Working time pressure raw</t>
        </is>
      </c>
      <c r="G2447" t="inlineStr">
        <is>
          <t>pressure</t>
        </is>
      </c>
      <c r="H2447" t="inlineStr">
        <is>
          <t>yes</t>
        </is>
      </c>
      <c r="I2447" t="inlineStr"/>
      <c r="J2447" t="inlineStr"/>
      <c r="K2447" t="inlineStr"/>
      <c r="L2447" t="inlineStr"/>
      <c r="M2447" t="inlineStr"/>
      <c r="N2447" t="inlineStr"/>
    </row>
    <row r="2448">
      <c r="A2448" t="inlineStr">
        <is>
          <t>om-muscat</t>
        </is>
      </c>
      <c r="B2448" t="inlineStr">
        <is>
          <t>Muscat</t>
        </is>
      </c>
      <c r="C2448" t="inlineStr">
        <is>
          <t>Oman</t>
        </is>
      </c>
      <c r="D2448" t="inlineStr">
        <is>
          <t>Middle East</t>
        </is>
      </c>
      <c r="E2448" t="inlineStr">
        <is>
          <t>suicide_mental_strain_raw</t>
        </is>
      </c>
      <c r="F2448" t="inlineStr">
        <is>
          <t>Suicide or mental strain raw</t>
        </is>
      </c>
      <c r="G2448" t="inlineStr">
        <is>
          <t>pressure</t>
        </is>
      </c>
      <c r="H2448" t="inlineStr">
        <is>
          <t>yes</t>
        </is>
      </c>
      <c r="I2448" t="inlineStr">
        <is>
          <t>0.91</t>
        </is>
      </c>
      <c r="J2448" t="inlineStr">
        <is>
          <t>who_gho</t>
        </is>
      </c>
      <c r="K2448" t="inlineStr">
        <is>
          <t>https://www.who.int/data/gho/data/indicators/indicator-details/GHO/SDGSUICIDE</t>
        </is>
      </c>
      <c r="L2448" t="inlineStr">
        <is>
          <t>WHO GHO: Age-standardized suicide rate (per 100,000 population)</t>
        </is>
      </c>
      <c r="M2448" t="inlineStr">
        <is>
          <t>2021-12-31</t>
        </is>
      </c>
      <c r="N2448" t="inlineStr">
        <is>
          <t>auto_ingest=who_gho; indicator=SDGSUICIDE; year=2021; country_proxy=Oman</t>
        </is>
      </c>
    </row>
    <row r="2449">
      <c r="A2449" t="inlineStr">
        <is>
          <t>om-muscat</t>
        </is>
      </c>
      <c r="B2449" t="inlineStr">
        <is>
          <t>Muscat</t>
        </is>
      </c>
      <c r="C2449" t="inlineStr">
        <is>
          <t>Oman</t>
        </is>
      </c>
      <c r="D2449" t="inlineStr">
        <is>
          <t>Middle East</t>
        </is>
      </c>
      <c r="E2449" t="inlineStr">
        <is>
          <t>personal_safety_raw</t>
        </is>
      </c>
      <c r="F2449" t="inlineStr">
        <is>
          <t>Personal safety raw</t>
        </is>
      </c>
      <c r="G2449" t="inlineStr">
        <is>
          <t>viability</t>
        </is>
      </c>
      <c r="H2449" t="inlineStr">
        <is>
          <t>yes</t>
        </is>
      </c>
      <c r="I2449" t="inlineStr">
        <is>
          <t>0.14</t>
        </is>
      </c>
      <c r="J2449" t="inlineStr">
        <is>
          <t>world_bank</t>
        </is>
      </c>
      <c r="K2449" t="inlineStr">
        <is>
          <t>https://api.worldbank.org/v2/country/OMN/indicator/VC.IHR.PSRC.P5?format=json&amp;mrv=10</t>
        </is>
      </c>
      <c r="L2449" t="inlineStr">
        <is>
          <t>UNODC via World Bank WDI: Intentional homicides (per 100,000 people)</t>
        </is>
      </c>
      <c r="M2449" t="inlineStr">
        <is>
          <t>2023-12-31</t>
        </is>
      </c>
      <c r="N2449" t="inlineStr">
        <is>
          <t>auto_ingest=unodc_safety; indicator=VC.IHR.PSRC.P5; year=2023; country_proxy=Oman</t>
        </is>
      </c>
    </row>
    <row r="2450">
      <c r="A2450" t="inlineStr">
        <is>
          <t>om-muscat</t>
        </is>
      </c>
      <c r="B2450" t="inlineStr">
        <is>
          <t>Muscat</t>
        </is>
      </c>
      <c r="C2450" t="inlineStr">
        <is>
          <t>Oman</t>
        </is>
      </c>
      <c r="D2450" t="inlineStr">
        <is>
          <t>Middle East</t>
        </is>
      </c>
      <c r="E2450" t="inlineStr">
        <is>
          <t>transit_access_commute_raw</t>
        </is>
      </c>
      <c r="F2450" t="inlineStr">
        <is>
          <t>Transit access and commute raw</t>
        </is>
      </c>
      <c r="G2450" t="inlineStr">
        <is>
          <t>viability</t>
        </is>
      </c>
      <c r="H2450" t="inlineStr">
        <is>
          <t>yes</t>
        </is>
      </c>
      <c r="I2450" t="inlineStr"/>
      <c r="J2450" t="inlineStr"/>
      <c r="K2450" t="inlineStr"/>
      <c r="L2450" t="inlineStr"/>
      <c r="M2450" t="inlineStr"/>
      <c r="N2450" t="inlineStr"/>
    </row>
    <row r="2451">
      <c r="A2451" t="inlineStr">
        <is>
          <t>om-muscat</t>
        </is>
      </c>
      <c r="B2451" t="inlineStr">
        <is>
          <t>Muscat</t>
        </is>
      </c>
      <c r="C2451" t="inlineStr">
        <is>
          <t>Oman</t>
        </is>
      </c>
      <c r="D2451" t="inlineStr">
        <is>
          <t>Middle East</t>
        </is>
      </c>
      <c r="E2451" t="inlineStr">
        <is>
          <t>clean_air_raw</t>
        </is>
      </c>
      <c r="F2451" t="inlineStr">
        <is>
          <t>Clean air raw</t>
        </is>
      </c>
      <c r="G2451" t="inlineStr">
        <is>
          <t>viability</t>
        </is>
      </c>
      <c r="H2451" t="inlineStr">
        <is>
          <t>yes</t>
        </is>
      </c>
      <c r="I2451" t="inlineStr"/>
      <c r="J2451" t="inlineStr"/>
      <c r="K2451" t="inlineStr"/>
      <c r="L2451" t="inlineStr"/>
      <c r="M2451" t="inlineStr"/>
      <c r="N2451" t="inlineStr"/>
    </row>
    <row r="2452">
      <c r="A2452" t="inlineStr">
        <is>
          <t>om-muscat</t>
        </is>
      </c>
      <c r="B2452" t="inlineStr">
        <is>
          <t>Muscat</t>
        </is>
      </c>
      <c r="C2452" t="inlineStr">
        <is>
          <t>Oman</t>
        </is>
      </c>
      <c r="D2452" t="inlineStr">
        <is>
          <t>Middle East</t>
        </is>
      </c>
      <c r="E2452" t="inlineStr">
        <is>
          <t>water_sanitation_utility_raw</t>
        </is>
      </c>
      <c r="F2452" t="inlineStr">
        <is>
          <t>Water, sanitation, and utility raw</t>
        </is>
      </c>
      <c r="G2452" t="inlineStr">
        <is>
          <t>viability</t>
        </is>
      </c>
      <c r="H2452" t="inlineStr">
        <is>
          <t>yes</t>
        </is>
      </c>
      <c r="I2452" t="inlineStr">
        <is>
          <t>91.1</t>
        </is>
      </c>
      <c r="J2452" t="inlineStr">
        <is>
          <t>world_bank</t>
        </is>
      </c>
      <c r="K2452" t="inlineStr">
        <is>
          <t>https://api.worldbank.org/v2/country/OMN/indicator/SH.H2O.SMDW.ZS?format=json&amp;mrv=10</t>
        </is>
      </c>
      <c r="L2452" t="inlineStr">
        <is>
          <t>World Bank WDI: People using safely managed drinking water services (% of population)</t>
        </is>
      </c>
      <c r="M2452" t="inlineStr">
        <is>
          <t>2024-12-31</t>
        </is>
      </c>
      <c r="N2452" t="inlineStr">
        <is>
          <t>auto_ingest=world_bank_proxy; indicator=SH.H2O.SMDW.ZS; year=2024; country_proxy=Oman</t>
        </is>
      </c>
    </row>
    <row r="2453">
      <c r="A2453" t="inlineStr">
        <is>
          <t>om-muscat</t>
        </is>
      </c>
      <c r="B2453" t="inlineStr">
        <is>
          <t>Muscat</t>
        </is>
      </c>
      <c r="C2453" t="inlineStr">
        <is>
          <t>Oman</t>
        </is>
      </c>
      <c r="D2453" t="inlineStr">
        <is>
          <t>Middle East</t>
        </is>
      </c>
      <c r="E2453" t="inlineStr">
        <is>
          <t>digital_infrastructure_raw</t>
        </is>
      </c>
      <c r="F2453" t="inlineStr">
        <is>
          <t>Digital infrastructure raw</t>
        </is>
      </c>
      <c r="G2453" t="inlineStr">
        <is>
          <t>viability</t>
        </is>
      </c>
      <c r="H2453" t="inlineStr">
        <is>
          <t>yes</t>
        </is>
      </c>
      <c r="I2453" t="inlineStr">
        <is>
          <t>10.88</t>
        </is>
      </c>
      <c r="J2453" t="inlineStr">
        <is>
          <t>world_bank</t>
        </is>
      </c>
      <c r="K2453" t="inlineStr">
        <is>
          <t>https://api.worldbank.org/v2/country/OMN/indicator/IT.NET.BBND.P2?format=json&amp;mrv=10</t>
        </is>
      </c>
      <c r="L2453" t="inlineStr">
        <is>
          <t>World Bank WDI: Fixed broadband subscriptions (per 100 people)</t>
        </is>
      </c>
      <c r="M2453" t="inlineStr">
        <is>
          <t>2023-12-31</t>
        </is>
      </c>
      <c r="N2453" t="inlineStr">
        <is>
          <t>auto_ingest=world_bank_proxy; indicator=IT.NET.BBND.P2; year=2023; country_proxy=Oman</t>
        </is>
      </c>
    </row>
    <row r="2454">
      <c r="A2454" t="inlineStr">
        <is>
          <t>om-muscat</t>
        </is>
      </c>
      <c r="B2454" t="inlineStr">
        <is>
          <t>Muscat</t>
        </is>
      </c>
      <c r="C2454" t="inlineStr">
        <is>
          <t>Oman</t>
        </is>
      </c>
      <c r="D2454" t="inlineStr">
        <is>
          <t>Middle East</t>
        </is>
      </c>
      <c r="E2454" t="inlineStr">
        <is>
          <t>climate_sunlight_livability_raw</t>
        </is>
      </c>
      <c r="F2454" t="inlineStr">
        <is>
          <t>Climate and sunlight livability raw</t>
        </is>
      </c>
      <c r="G2454" t="inlineStr">
        <is>
          <t>viability</t>
        </is>
      </c>
      <c r="H2454" t="inlineStr">
        <is>
          <t>yes</t>
        </is>
      </c>
      <c r="I2454" t="inlineStr"/>
      <c r="J2454" t="inlineStr"/>
      <c r="K2454" t="inlineStr"/>
      <c r="L2454" t="inlineStr"/>
      <c r="M2454" t="inlineStr"/>
      <c r="N2454" t="inlineStr"/>
    </row>
    <row r="2455">
      <c r="A2455" t="inlineStr">
        <is>
          <t>om-muscat</t>
        </is>
      </c>
      <c r="B2455" t="inlineStr">
        <is>
          <t>Muscat</t>
        </is>
      </c>
      <c r="C2455" t="inlineStr">
        <is>
          <t>Oman</t>
        </is>
      </c>
      <c r="D2455" t="inlineStr">
        <is>
          <t>Middle East</t>
        </is>
      </c>
      <c r="E2455" t="inlineStr">
        <is>
          <t>healthcare_quality_raw</t>
        </is>
      </c>
      <c r="F2455" t="inlineStr">
        <is>
          <t>Healthcare quality raw</t>
        </is>
      </c>
      <c r="G2455" t="inlineStr">
        <is>
          <t>capability</t>
        </is>
      </c>
      <c r="H2455" t="inlineStr">
        <is>
          <t>yes</t>
        </is>
      </c>
      <c r="I2455" t="inlineStr">
        <is>
          <t>73.0</t>
        </is>
      </c>
      <c r="J2455" t="inlineStr">
        <is>
          <t>who_gho</t>
        </is>
      </c>
      <c r="K2455" t="inlineStr">
        <is>
          <t>https://www.who.int/data/gho/data/indicators/indicator-details/GHO/UHC_INDEX_REPORTED</t>
        </is>
      </c>
      <c r="L2455" t="inlineStr">
        <is>
          <t>WHO GHO: UHC Service Coverage Index</t>
        </is>
      </c>
      <c r="M2455" t="inlineStr">
        <is>
          <t>2023-12-31</t>
        </is>
      </c>
      <c r="N2455" t="inlineStr">
        <is>
          <t>auto_ingest=who_gho; indicator=UHC_INDEX_REPORTED; year=2023; country_proxy=Oman</t>
        </is>
      </c>
    </row>
    <row r="2456">
      <c r="A2456" t="inlineStr">
        <is>
          <t>om-muscat</t>
        </is>
      </c>
      <c r="B2456" t="inlineStr">
        <is>
          <t>Muscat</t>
        </is>
      </c>
      <c r="C2456" t="inlineStr">
        <is>
          <t>Oman</t>
        </is>
      </c>
      <c r="D2456" t="inlineStr">
        <is>
          <t>Middle East</t>
        </is>
      </c>
      <c r="E2456" t="inlineStr">
        <is>
          <t>education_quality_raw</t>
        </is>
      </c>
      <c r="F2456" t="inlineStr">
        <is>
          <t>Education quality raw</t>
        </is>
      </c>
      <c r="G2456" t="inlineStr">
        <is>
          <t>capability</t>
        </is>
      </c>
      <c r="H2456" t="inlineStr">
        <is>
          <t>yes</t>
        </is>
      </c>
      <c r="I2456" t="inlineStr">
        <is>
          <t>43.84</t>
        </is>
      </c>
      <c r="J2456" t="inlineStr">
        <is>
          <t>world_bank</t>
        </is>
      </c>
      <c r="K2456" t="inlineStr">
        <is>
          <t>https://api.worldbank.org/v2/country/OMN/indicator/SE.TER.ENRR?format=json&amp;mrv=10</t>
        </is>
      </c>
      <c r="L2456" t="inlineStr">
        <is>
          <t>World Bank WDI: School enrollment, tertiary (% gross)</t>
        </is>
      </c>
      <c r="M2456" t="inlineStr">
        <is>
          <t>2021-12-31</t>
        </is>
      </c>
      <c r="N2456" t="inlineStr">
        <is>
          <t>auto_ingest=world_bank_proxy; indicator=SE.TER.ENRR; year=2021; country_proxy=Oman</t>
        </is>
      </c>
    </row>
    <row r="2457">
      <c r="A2457" t="inlineStr">
        <is>
          <t>om-muscat</t>
        </is>
      </c>
      <c r="B2457" t="inlineStr">
        <is>
          <t>Muscat</t>
        </is>
      </c>
      <c r="C2457" t="inlineStr">
        <is>
          <t>Oman</t>
        </is>
      </c>
      <c r="D2457" t="inlineStr">
        <is>
          <t>Middle East</t>
        </is>
      </c>
      <c r="E2457" t="inlineStr">
        <is>
          <t>equal_opportunity_raw</t>
        </is>
      </c>
      <c r="F2457" t="inlineStr">
        <is>
          <t>Equal opportunity raw</t>
        </is>
      </c>
      <c r="G2457" t="inlineStr">
        <is>
          <t>capability</t>
        </is>
      </c>
      <c r="H2457" t="inlineStr">
        <is>
          <t>yes</t>
        </is>
      </c>
      <c r="I2457" t="inlineStr"/>
      <c r="J2457" t="inlineStr"/>
      <c r="K2457" t="inlineStr"/>
      <c r="L2457" t="inlineStr"/>
      <c r="M2457" t="inlineStr"/>
      <c r="N2457" t="inlineStr"/>
    </row>
    <row r="2458">
      <c r="A2458" t="inlineStr">
        <is>
          <t>om-muscat</t>
        </is>
      </c>
      <c r="B2458" t="inlineStr">
        <is>
          <t>Muscat</t>
        </is>
      </c>
      <c r="C2458" t="inlineStr">
        <is>
          <t>Oman</t>
        </is>
      </c>
      <c r="D2458" t="inlineStr">
        <is>
          <t>Middle East</t>
        </is>
      </c>
      <c r="E2458" t="inlineStr">
        <is>
          <t>hospitality_belonging_raw</t>
        </is>
      </c>
      <c r="F2458" t="inlineStr">
        <is>
          <t>Hospitality and belonging raw</t>
        </is>
      </c>
      <c r="G2458" t="inlineStr">
        <is>
          <t>community</t>
        </is>
      </c>
      <c r="H2458" t="inlineStr">
        <is>
          <t>yes</t>
        </is>
      </c>
      <c r="I2458" t="inlineStr">
        <is>
          <t>71.53</t>
        </is>
      </c>
      <c r="J2458" t="inlineStr">
        <is>
          <t>world_bank</t>
        </is>
      </c>
      <c r="K2458" t="inlineStr">
        <is>
          <t>https://api.worldbank.org/v2/country/OMN/indicator/SM.POP.NETM?format=json&amp;mrv=10</t>
        </is>
      </c>
      <c r="L2458" t="inlineStr">
        <is>
          <t>World Bank WDI: Net migration (proxy for hospitality/belonging — positive = welcoming)</t>
        </is>
      </c>
      <c r="M2458" t="inlineStr">
        <is>
          <t>2025-12-31</t>
        </is>
      </c>
      <c r="N2458" t="inlineStr">
        <is>
          <t>auto_ingest=world_bank_proxy; proxy=net_migration_hospitality; indicator=SM.POP.NETM; year=2025; country_proxy=Oman</t>
        </is>
      </c>
    </row>
    <row r="2459">
      <c r="A2459" t="inlineStr">
        <is>
          <t>om-muscat</t>
        </is>
      </c>
      <c r="B2459" t="inlineStr">
        <is>
          <t>Muscat</t>
        </is>
      </c>
      <c r="C2459" t="inlineStr">
        <is>
          <t>Oman</t>
        </is>
      </c>
      <c r="D2459" t="inlineStr">
        <is>
          <t>Middle East</t>
        </is>
      </c>
      <c r="E2459" t="inlineStr">
        <is>
          <t>tolerance_pluralism_raw</t>
        </is>
      </c>
      <c r="F2459" t="inlineStr">
        <is>
          <t>Tolerance and pluralism raw</t>
        </is>
      </c>
      <c r="G2459" t="inlineStr">
        <is>
          <t>community</t>
        </is>
      </c>
      <c r="H2459" t="inlineStr">
        <is>
          <t>yes</t>
        </is>
      </c>
      <c r="I2459" t="inlineStr">
        <is>
          <t>0.0</t>
        </is>
      </c>
      <c r="J2459" t="inlineStr">
        <is>
          <t>world_bank</t>
        </is>
      </c>
      <c r="K2459" t="inlineStr">
        <is>
          <t>https://api.worldbank.org/v2/country/OMN/indicator/SG.GEN.PARL.ZS?format=json&amp;mrv=10</t>
        </is>
      </c>
      <c r="L2459" t="inlineStr">
        <is>
          <t>World Bank WDI: Proportion of seats held by women in national parliaments (%)</t>
        </is>
      </c>
      <c r="M2459" t="inlineStr">
        <is>
          <t>2024-12-31</t>
        </is>
      </c>
      <c r="N2459" t="inlineStr">
        <is>
          <t>auto_ingest=world_bank_proxy; proxy=gender_parity_parliament; indicator=SG.GEN.PARL.ZS; year=2024; country_proxy=Oman</t>
        </is>
      </c>
    </row>
    <row r="2460">
      <c r="A2460" t="inlineStr">
        <is>
          <t>om-muscat</t>
        </is>
      </c>
      <c r="B2460" t="inlineStr">
        <is>
          <t>Muscat</t>
        </is>
      </c>
      <c r="C2460" t="inlineStr">
        <is>
          <t>Oman</t>
        </is>
      </c>
      <c r="D2460" t="inlineStr">
        <is>
          <t>Middle East</t>
        </is>
      </c>
      <c r="E2460" t="inlineStr">
        <is>
          <t>cultural_public_life_raw</t>
        </is>
      </c>
      <c r="F2460" t="inlineStr">
        <is>
          <t>Cultural public life raw</t>
        </is>
      </c>
      <c r="G2460" t="inlineStr">
        <is>
          <t>community</t>
        </is>
      </c>
      <c r="H2460" t="inlineStr">
        <is>
          <t>yes</t>
        </is>
      </c>
      <c r="I2460" t="inlineStr">
        <is>
          <t>164.54</t>
        </is>
      </c>
      <c r="J2460" t="inlineStr">
        <is>
          <t>world_bank</t>
        </is>
      </c>
      <c r="K2460" t="inlineStr">
        <is>
          <t>https://api.worldbank.org/v2/country/OMN/indicator/ST.INT.ARVL?format=json&amp;mrv=10</t>
        </is>
      </c>
      <c r="L2460" t="inlineStr">
        <is>
          <t>World Bank WDI: International tourism arrivals per 1 000 population</t>
        </is>
      </c>
      <c r="M2460" t="inlineStr">
        <is>
          <t>2020-12-31</t>
        </is>
      </c>
      <c r="N2460" t="inlineStr">
        <is>
          <t>auto_ingest=cultural_life_proxy; indicator=ST.INT.ARVL; norm=per_1000_pop; year=2020; country_proxy=Oman</t>
        </is>
      </c>
    </row>
    <row r="2461">
      <c r="A2461" t="inlineStr">
        <is>
          <t>om-muscat</t>
        </is>
      </c>
      <c r="B2461" t="inlineStr">
        <is>
          <t>Muscat</t>
        </is>
      </c>
      <c r="C2461" t="inlineStr">
        <is>
          <t>Oman</t>
        </is>
      </c>
      <c r="D2461" t="inlineStr">
        <is>
          <t>Middle East</t>
        </is>
      </c>
      <c r="E2461" t="inlineStr">
        <is>
          <t>birth_rate_optimism_raw</t>
        </is>
      </c>
      <c r="F2461" t="inlineStr">
        <is>
          <t>Birth rate and societal optimism raw</t>
        </is>
      </c>
      <c r="G2461" t="inlineStr">
        <is>
          <t>community</t>
        </is>
      </c>
      <c r="H2461" t="inlineStr">
        <is>
          <t>yes</t>
        </is>
      </c>
      <c r="I2461" t="inlineStr"/>
      <c r="J2461" t="inlineStr"/>
      <c r="K2461" t="inlineStr"/>
      <c r="L2461" t="inlineStr"/>
      <c r="M2461" t="inlineStr"/>
      <c r="N2461" t="inlineStr"/>
    </row>
    <row r="2462">
      <c r="A2462" t="inlineStr">
        <is>
          <t>om-muscat</t>
        </is>
      </c>
      <c r="B2462" t="inlineStr">
        <is>
          <t>Muscat</t>
        </is>
      </c>
      <c r="C2462" t="inlineStr">
        <is>
          <t>Oman</t>
        </is>
      </c>
      <c r="D2462" t="inlineStr">
        <is>
          <t>Middle East</t>
        </is>
      </c>
      <c r="E2462" t="inlineStr">
        <is>
          <t>entrepreneurial_dynamism_raw</t>
        </is>
      </c>
      <c r="F2462" t="inlineStr">
        <is>
          <t>Entrepreneurial dynamism raw</t>
        </is>
      </c>
      <c r="G2462" t="inlineStr">
        <is>
          <t>creative</t>
        </is>
      </c>
      <c r="H2462" t="inlineStr">
        <is>
          <t>yes</t>
        </is>
      </c>
      <c r="I2462" t="inlineStr">
        <is>
          <t>1.78</t>
        </is>
      </c>
      <c r="J2462" t="inlineStr">
        <is>
          <t>world_bank</t>
        </is>
      </c>
      <c r="K2462" t="inlineStr">
        <is>
          <t>https://api.worldbank.org/v2/country/OMN/indicator/IC.BUS.NDNS.ZS?format=json&amp;mrv=10</t>
        </is>
      </c>
      <c r="L2462" t="inlineStr">
        <is>
          <t>World Bank WDI: New business density (new registrations per 1,000 people ages 15-64)</t>
        </is>
      </c>
      <c r="M2462" t="inlineStr">
        <is>
          <t>2020-12-31</t>
        </is>
      </c>
      <c r="N2462" t="inlineStr">
        <is>
          <t>auto_ingest=world_bank_creative_extended; indicator=IC.BUS.NDNS.ZS; year=2020; country_proxy=Oman</t>
        </is>
      </c>
    </row>
    <row r="2463">
      <c r="A2463" t="inlineStr">
        <is>
          <t>om-muscat</t>
        </is>
      </c>
      <c r="B2463" t="inlineStr">
        <is>
          <t>Muscat</t>
        </is>
      </c>
      <c r="C2463" t="inlineStr">
        <is>
          <t>Oman</t>
        </is>
      </c>
      <c r="D2463" t="inlineStr">
        <is>
          <t>Middle East</t>
        </is>
      </c>
      <c r="E2463" t="inlineStr">
        <is>
          <t>innovation_research_intensity_raw</t>
        </is>
      </c>
      <c r="F2463" t="inlineStr">
        <is>
          <t>Innovation and research raw</t>
        </is>
      </c>
      <c r="G2463" t="inlineStr">
        <is>
          <t>creative</t>
        </is>
      </c>
      <c r="H2463" t="inlineStr">
        <is>
          <t>yes</t>
        </is>
      </c>
      <c r="I2463" t="inlineStr">
        <is>
          <t>0.37</t>
        </is>
      </c>
      <c r="J2463" t="inlineStr">
        <is>
          <t>world_bank</t>
        </is>
      </c>
      <c r="K2463" t="inlineStr">
        <is>
          <t>https://api.worldbank.org/v2/country/OMN/indicator/GB.XPD.RSDV.GD.ZS?format=json&amp;mrv=10</t>
        </is>
      </c>
      <c r="L2463" t="inlineStr">
        <is>
          <t>World Bank WDI: Research and development expenditure (% of GDP)</t>
        </is>
      </c>
      <c r="M2463" t="inlineStr">
        <is>
          <t>2023-12-31</t>
        </is>
      </c>
      <c r="N2463" t="inlineStr">
        <is>
          <t>auto_ingest=world_bank_creative_extended; indicator=GB.XPD.RSDV.GD.ZS; year=2023; country_proxy=Oman</t>
        </is>
      </c>
    </row>
    <row r="2464">
      <c r="A2464" t="inlineStr">
        <is>
          <t>om-muscat</t>
        </is>
      </c>
      <c r="B2464" t="inlineStr">
        <is>
          <t>Muscat</t>
        </is>
      </c>
      <c r="C2464" t="inlineStr">
        <is>
          <t>Oman</t>
        </is>
      </c>
      <c r="D2464" t="inlineStr">
        <is>
          <t>Middle East</t>
        </is>
      </c>
      <c r="E2464" t="inlineStr">
        <is>
          <t>investment_signal_raw</t>
        </is>
      </c>
      <c r="F2464" t="inlineStr">
        <is>
          <t>Investment signal raw</t>
        </is>
      </c>
      <c r="G2464" t="inlineStr">
        <is>
          <t>creative</t>
        </is>
      </c>
      <c r="H2464" t="inlineStr">
        <is>
          <t>yes</t>
        </is>
      </c>
      <c r="I2464" t="inlineStr">
        <is>
          <t>11.64</t>
        </is>
      </c>
      <c r="J2464" t="inlineStr">
        <is>
          <t>world_bank</t>
        </is>
      </c>
      <c r="K2464" t="inlineStr">
        <is>
          <t>https://api.worldbank.org/v2/country/OMN/indicator/BX.KLT.DINV.WD.GD.ZS?format=json&amp;mrv=10</t>
        </is>
      </c>
      <c r="L2464" t="inlineStr">
        <is>
          <t>World Bank WDI: Foreign direct investment, net inflows (% of GDP)</t>
        </is>
      </c>
      <c r="M2464" t="inlineStr">
        <is>
          <t>2024-12-31</t>
        </is>
      </c>
      <c r="N2464" t="inlineStr">
        <is>
          <t>auto_ingest=world_bank_creative_extended; indicator=BX.KLT.DINV.WD.GD.ZS; year=2024; country_proxy=Oman</t>
        </is>
      </c>
    </row>
    <row r="2465">
      <c r="A2465" t="inlineStr">
        <is>
          <t>om-muscat</t>
        </is>
      </c>
      <c r="B2465" t="inlineStr">
        <is>
          <t>Muscat</t>
        </is>
      </c>
      <c r="C2465" t="inlineStr">
        <is>
          <t>Oman</t>
        </is>
      </c>
      <c r="D2465" t="inlineStr">
        <is>
          <t>Middle East</t>
        </is>
      </c>
      <c r="E2465" t="inlineStr">
        <is>
          <t>administrative_investment_friction_raw</t>
        </is>
      </c>
      <c r="F2465" t="inlineStr">
        <is>
          <t>Administrative investment friction raw</t>
        </is>
      </c>
      <c r="G2465" t="inlineStr">
        <is>
          <t>creative</t>
        </is>
      </c>
      <c r="H2465" t="inlineStr">
        <is>
          <t>yes</t>
        </is>
      </c>
      <c r="I2465" t="inlineStr">
        <is>
          <t>2.07</t>
        </is>
      </c>
      <c r="J2465" t="inlineStr">
        <is>
          <t>world_bank</t>
        </is>
      </c>
      <c r="K2465" t="inlineStr">
        <is>
          <t>https://api.worldbank.org/v2/country/OMN/indicator/RQ.EST?format=json&amp;mrv=10</t>
        </is>
      </c>
      <c r="L2465" t="inlineStr">
        <is>
          <t>World Bank WGI: Regulatory Quality (inverted as friction proxy)</t>
        </is>
      </c>
      <c r="M2465" t="inlineStr">
        <is>
          <t>2023-12-31</t>
        </is>
      </c>
      <c r="N2465" t="inlineStr">
        <is>
          <t>auto_ingest=world_bank_business_friction; indicator=RQ.EST; raw_rq=0.434537470340729; friction=2.07; year=2023; country_proxy=Oman</t>
        </is>
      </c>
    </row>
    <row r="2466">
      <c r="A2466" t="inlineStr">
        <is>
          <t>om-muscat</t>
        </is>
      </c>
      <c r="B2466" t="inlineStr">
        <is>
          <t>Muscat</t>
        </is>
      </c>
      <c r="C2466" t="inlineStr">
        <is>
          <t>Oman</t>
        </is>
      </c>
      <c r="D2466" t="inlineStr">
        <is>
          <t>Middle East</t>
        </is>
      </c>
      <c r="E2466" t="inlineStr">
        <is>
          <t>visitor_flow_context_raw</t>
        </is>
      </c>
      <c r="F2466" t="inlineStr">
        <is>
          <t>Visitor flow context raw</t>
        </is>
      </c>
      <c r="G2466" t="inlineStr">
        <is>
          <t>creative</t>
        </is>
      </c>
      <c r="H2466" t="inlineStr">
        <is>
          <t>no</t>
        </is>
      </c>
      <c r="I2466" t="inlineStr"/>
      <c r="J2466" t="inlineStr"/>
      <c r="K2466" t="inlineStr"/>
      <c r="L2466" t="inlineStr"/>
      <c r="M2466" t="inlineStr"/>
      <c r="N2466" t="inlineStr"/>
    </row>
    <row r="2467">
      <c r="A2467" t="inlineStr">
        <is>
          <t>bh-manama</t>
        </is>
      </c>
      <c r="B2467" t="inlineStr">
        <is>
          <t>Manama</t>
        </is>
      </c>
      <c r="C2467" t="inlineStr">
        <is>
          <t>Bahrain</t>
        </is>
      </c>
      <c r="D2467" t="inlineStr">
        <is>
          <t>Middle East</t>
        </is>
      </c>
      <c r="E2467" t="inlineStr">
        <is>
          <t>gross_income</t>
        </is>
      </c>
      <c r="F2467" t="inlineStr">
        <is>
          <t>Gross income</t>
        </is>
      </c>
      <c r="G2467" t="inlineStr">
        <is>
          <t>pressure</t>
        </is>
      </c>
      <c r="H2467" t="inlineStr">
        <is>
          <t>yes</t>
        </is>
      </c>
      <c r="I2467" t="inlineStr">
        <is>
          <t>5185.83</t>
        </is>
      </c>
      <c r="J2467" t="inlineStr">
        <is>
          <t>world_bank_col_estimate</t>
        </is>
      </c>
      <c r="K2467" t="inlineStr">
        <is>
          <t>https://api.worldbank.org/v2/country/BHR/indicator/NY.GNP.PCAP.PP.CD?format=json&amp;mrv=10</t>
        </is>
      </c>
      <c r="L2467" t="inlineStr">
        <is>
          <t>World Bank WDI: GNI per capita PPP (monthly USD)</t>
        </is>
      </c>
      <c r="M2467" t="inlineStr">
        <is>
          <t>2024-12-31</t>
        </is>
      </c>
      <c r="N2467" t="inlineStr">
        <is>
          <t>auto_ingest=world_bank_col_estimate; gni_annual=62230.0; year=2024; country_proxy=Bahrain; cohort=Middle East</t>
        </is>
      </c>
    </row>
    <row r="2468">
      <c r="A2468" t="inlineStr">
        <is>
          <t>bh-manama</t>
        </is>
      </c>
      <c r="B2468" t="inlineStr">
        <is>
          <t>Manama</t>
        </is>
      </c>
      <c r="C2468" t="inlineStr">
        <is>
          <t>Bahrain</t>
        </is>
      </c>
      <c r="D2468" t="inlineStr">
        <is>
          <t>Middle East</t>
        </is>
      </c>
      <c r="E2468" t="inlineStr">
        <is>
          <t>di_ppp_raw</t>
        </is>
      </c>
      <c r="F2468" t="inlineStr">
        <is>
          <t>Disposable income PPP (Raw)</t>
        </is>
      </c>
      <c r="G2468" t="inlineStr">
        <is>
          <t>pressure</t>
        </is>
      </c>
      <c r="H2468" t="inlineStr">
        <is>
          <t>yes</t>
        </is>
      </c>
      <c r="I2468" t="inlineStr"/>
      <c r="J2468" t="inlineStr"/>
      <c r="K2468" t="inlineStr"/>
      <c r="L2468" t="inlineStr"/>
      <c r="M2468" t="inlineStr"/>
      <c r="N2468" t="inlineStr"/>
    </row>
    <row r="2469">
      <c r="A2469" t="inlineStr">
        <is>
          <t>bh-manama</t>
        </is>
      </c>
      <c r="B2469" t="inlineStr">
        <is>
          <t>Manama</t>
        </is>
      </c>
      <c r="C2469" t="inlineStr">
        <is>
          <t>Bahrain</t>
        </is>
      </c>
      <c r="D2469" t="inlineStr">
        <is>
          <t>Middle East</t>
        </is>
      </c>
      <c r="E2469" t="inlineStr">
        <is>
          <t>rent</t>
        </is>
      </c>
      <c r="F2469" t="inlineStr">
        <is>
          <t>Rent</t>
        </is>
      </c>
      <c r="G2469" t="inlineStr">
        <is>
          <t>pressure</t>
        </is>
      </c>
      <c r="H2469" t="inlineStr">
        <is>
          <t>yes</t>
        </is>
      </c>
      <c r="I2469" t="inlineStr">
        <is>
          <t>1166.81</t>
        </is>
      </c>
      <c r="J2469" t="inlineStr">
        <is>
          <t>world_bank_col_estimate</t>
        </is>
      </c>
      <c r="K2469" t="inlineStr">
        <is>
          <t>https://api.worldbank.org/v2/country/BHR/indicator/NY.GNP.PCAP.PP.CD?format=json&amp;mrv=10</t>
        </is>
      </c>
      <c r="L2469" t="inlineStr">
        <is>
          <t>World Bank GNI + regional expenditure ratio estimate</t>
        </is>
      </c>
      <c r="M2469" t="inlineStr">
        <is>
          <t>2024-12-31</t>
        </is>
      </c>
      <c r="N2469" t="inlineStr">
        <is>
          <t>auto_ingest=world_bank_col_estimate; gni_annual=62230.0; year=2024; country_proxy=Bahrain; cohort=Middle East; city_cost_mult=0.9</t>
        </is>
      </c>
    </row>
    <row r="2470">
      <c r="A2470" t="inlineStr">
        <is>
          <t>bh-manama</t>
        </is>
      </c>
      <c r="B2470" t="inlineStr">
        <is>
          <t>Manama</t>
        </is>
      </c>
      <c r="C2470" t="inlineStr">
        <is>
          <t>Bahrain</t>
        </is>
      </c>
      <c r="D2470" t="inlineStr">
        <is>
          <t>Middle East</t>
        </is>
      </c>
      <c r="E2470" t="inlineStr">
        <is>
          <t>utilities</t>
        </is>
      </c>
      <c r="F2470" t="inlineStr">
        <is>
          <t>Utilities</t>
        </is>
      </c>
      <c r="G2470" t="inlineStr">
        <is>
          <t>pressure</t>
        </is>
      </c>
      <c r="H2470" t="inlineStr">
        <is>
          <t>yes</t>
        </is>
      </c>
      <c r="I2470" t="inlineStr">
        <is>
          <t>233.36</t>
        </is>
      </c>
      <c r="J2470" t="inlineStr">
        <is>
          <t>world_bank_col_estimate</t>
        </is>
      </c>
      <c r="K2470" t="inlineStr">
        <is>
          <t>https://api.worldbank.org/v2/country/BHR/indicator/NY.GNP.PCAP.PP.CD?format=json&amp;mrv=10</t>
        </is>
      </c>
      <c r="L2470" t="inlineStr">
        <is>
          <t>World Bank GNI + regional expenditure ratio estimate</t>
        </is>
      </c>
      <c r="M2470" t="inlineStr">
        <is>
          <t>2024-12-31</t>
        </is>
      </c>
      <c r="N2470" t="inlineStr">
        <is>
          <t>auto_ingest=world_bank_col_estimate; gni_annual=62230.0; year=2024; country_proxy=Bahrain; cohort=Middle East; city_cost_mult=0.9</t>
        </is>
      </c>
    </row>
    <row r="2471">
      <c r="A2471" t="inlineStr">
        <is>
          <t>bh-manama</t>
        </is>
      </c>
      <c r="B2471" t="inlineStr">
        <is>
          <t>Manama</t>
        </is>
      </c>
      <c r="C2471" t="inlineStr">
        <is>
          <t>Bahrain</t>
        </is>
      </c>
      <c r="D2471" t="inlineStr">
        <is>
          <t>Middle East</t>
        </is>
      </c>
      <c r="E2471" t="inlineStr">
        <is>
          <t>transit_cost</t>
        </is>
      </c>
      <c r="F2471" t="inlineStr">
        <is>
          <t>Transit cost</t>
        </is>
      </c>
      <c r="G2471" t="inlineStr">
        <is>
          <t>pressure</t>
        </is>
      </c>
      <c r="H2471" t="inlineStr">
        <is>
          <t>yes</t>
        </is>
      </c>
      <c r="I2471" t="inlineStr">
        <is>
          <t>186.69</t>
        </is>
      </c>
      <c r="J2471" t="inlineStr">
        <is>
          <t>world_bank_col_estimate</t>
        </is>
      </c>
      <c r="K2471" t="inlineStr">
        <is>
          <t>https://api.worldbank.org/v2/country/BHR/indicator/NY.GNP.PCAP.PP.CD?format=json&amp;mrv=10</t>
        </is>
      </c>
      <c r="L2471" t="inlineStr">
        <is>
          <t>World Bank GNI + regional expenditure ratio estimate</t>
        </is>
      </c>
      <c r="M2471" t="inlineStr">
        <is>
          <t>2024-12-31</t>
        </is>
      </c>
      <c r="N2471" t="inlineStr">
        <is>
          <t>auto_ingest=world_bank_col_estimate; gni_annual=62230.0; year=2024; country_proxy=Bahrain; cohort=Middle East; city_cost_mult=0.9</t>
        </is>
      </c>
    </row>
    <row r="2472">
      <c r="A2472" t="inlineStr">
        <is>
          <t>bh-manama</t>
        </is>
      </c>
      <c r="B2472" t="inlineStr">
        <is>
          <t>Manama</t>
        </is>
      </c>
      <c r="C2472" t="inlineStr">
        <is>
          <t>Bahrain</t>
        </is>
      </c>
      <c r="D2472" t="inlineStr">
        <is>
          <t>Middle East</t>
        </is>
      </c>
      <c r="E2472" t="inlineStr">
        <is>
          <t>internet_cost</t>
        </is>
      </c>
      <c r="F2472" t="inlineStr">
        <is>
          <t>Internet cost</t>
        </is>
      </c>
      <c r="G2472" t="inlineStr">
        <is>
          <t>pressure</t>
        </is>
      </c>
      <c r="H2472" t="inlineStr">
        <is>
          <t>yes</t>
        </is>
      </c>
      <c r="I2472" t="inlineStr">
        <is>
          <t>70.01</t>
        </is>
      </c>
      <c r="J2472" t="inlineStr">
        <is>
          <t>world_bank_col_estimate</t>
        </is>
      </c>
      <c r="K2472" t="inlineStr">
        <is>
          <t>https://api.worldbank.org/v2/country/BHR/indicator/NY.GNP.PCAP.PP.CD?format=json&amp;mrv=10</t>
        </is>
      </c>
      <c r="L2472" t="inlineStr">
        <is>
          <t>World Bank GNI + regional expenditure ratio estimate</t>
        </is>
      </c>
      <c r="M2472" t="inlineStr">
        <is>
          <t>2024-12-31</t>
        </is>
      </c>
      <c r="N2472" t="inlineStr">
        <is>
          <t>auto_ingest=world_bank_col_estimate; gni_annual=62230.0; year=2024; country_proxy=Bahrain; cohort=Middle East; city_cost_mult=0.9</t>
        </is>
      </c>
    </row>
    <row r="2473">
      <c r="A2473" t="inlineStr">
        <is>
          <t>bh-manama</t>
        </is>
      </c>
      <c r="B2473" t="inlineStr">
        <is>
          <t>Manama</t>
        </is>
      </c>
      <c r="C2473" t="inlineStr">
        <is>
          <t>Bahrain</t>
        </is>
      </c>
      <c r="D2473" t="inlineStr">
        <is>
          <t>Middle East</t>
        </is>
      </c>
      <c r="E2473" t="inlineStr">
        <is>
          <t>food_cost</t>
        </is>
      </c>
      <c r="F2473" t="inlineStr">
        <is>
          <t>Food cost</t>
        </is>
      </c>
      <c r="G2473" t="inlineStr">
        <is>
          <t>pressure</t>
        </is>
      </c>
      <c r="H2473" t="inlineStr">
        <is>
          <t>yes</t>
        </is>
      </c>
      <c r="I2473" t="inlineStr">
        <is>
          <t>840.1</t>
        </is>
      </c>
      <c r="J2473" t="inlineStr">
        <is>
          <t>world_bank_col_estimate</t>
        </is>
      </c>
      <c r="K2473" t="inlineStr">
        <is>
          <t>https://api.worldbank.org/v2/country/BHR/indicator/NY.GNP.PCAP.PP.CD?format=json&amp;mrv=10</t>
        </is>
      </c>
      <c r="L2473" t="inlineStr">
        <is>
          <t>World Bank GNI + regional expenditure ratio estimate</t>
        </is>
      </c>
      <c r="M2473" t="inlineStr">
        <is>
          <t>2024-12-31</t>
        </is>
      </c>
      <c r="N2473" t="inlineStr">
        <is>
          <t>auto_ingest=world_bank_col_estimate; gni_annual=62230.0; year=2024; country_proxy=Bahrain; cohort=Middle East; city_cost_mult=0.9</t>
        </is>
      </c>
    </row>
    <row r="2474">
      <c r="A2474" t="inlineStr">
        <is>
          <t>bh-manama</t>
        </is>
      </c>
      <c r="B2474" t="inlineStr">
        <is>
          <t>Manama</t>
        </is>
      </c>
      <c r="C2474" t="inlineStr">
        <is>
          <t>Bahrain</t>
        </is>
      </c>
      <c r="D2474" t="inlineStr">
        <is>
          <t>Middle East</t>
        </is>
      </c>
      <c r="E2474" t="inlineStr">
        <is>
          <t>housing_burden_raw</t>
        </is>
      </c>
      <c r="F2474" t="inlineStr">
        <is>
          <t>Housing burden raw</t>
        </is>
      </c>
      <c r="G2474" t="inlineStr">
        <is>
          <t>pressure</t>
        </is>
      </c>
      <c r="H2474" t="inlineStr">
        <is>
          <t>yes</t>
        </is>
      </c>
      <c r="I2474" t="inlineStr">
        <is>
          <t>22.5</t>
        </is>
      </c>
      <c r="J2474" t="inlineStr">
        <is>
          <t>derived</t>
        </is>
      </c>
      <c r="K2474" t="inlineStr">
        <is>
          <t>https://data.worldbank.org/indicator/NY.GNP.PCAP.PP.CD</t>
        </is>
      </c>
      <c r="L2474" t="inlineStr">
        <is>
          <t>Computed from city_inputs + country_context</t>
        </is>
      </c>
      <c r="M2474" t="inlineStr">
        <is>
          <t>2024-01-01</t>
        </is>
      </c>
      <c r="N2474" t="inlineStr">
        <is>
          <t>derived=rent/gross_income*100</t>
        </is>
      </c>
    </row>
    <row r="2475">
      <c r="A2475" t="inlineStr">
        <is>
          <t>bh-manama</t>
        </is>
      </c>
      <c r="B2475" t="inlineStr">
        <is>
          <t>Manama</t>
        </is>
      </c>
      <c r="C2475" t="inlineStr">
        <is>
          <t>Bahrain</t>
        </is>
      </c>
      <c r="D2475" t="inlineStr">
        <is>
          <t>Middle East</t>
        </is>
      </c>
      <c r="E2475" t="inlineStr">
        <is>
          <t>household_debt_burden_raw</t>
        </is>
      </c>
      <c r="F2475" t="inlineStr">
        <is>
          <t>Household debt burden raw</t>
        </is>
      </c>
      <c r="G2475" t="inlineStr">
        <is>
          <t>pressure</t>
        </is>
      </c>
      <c r="H2475" t="inlineStr">
        <is>
          <t>yes</t>
        </is>
      </c>
      <c r="I2475" t="inlineStr">
        <is>
          <t>70.5501</t>
        </is>
      </c>
      <c r="J2475" t="inlineStr">
        <is>
          <t>derived</t>
        </is>
      </c>
      <c r="K2475" t="inlineStr">
        <is>
          <t>https://data.worldbank.org/indicator/NY.GNP.PCAP.PP.CD</t>
        </is>
      </c>
      <c r="L2475" t="inlineStr">
        <is>
          <t>Computed from city_inputs + country_context</t>
        </is>
      </c>
      <c r="M2475" t="inlineStr">
        <is>
          <t>2024-01-01</t>
        </is>
      </c>
      <c r="N2475" t="inlineStr">
        <is>
          <t>derived=country_context.household_debt_proxy; country=Bahrain</t>
        </is>
      </c>
    </row>
    <row r="2476">
      <c r="A2476" t="inlineStr">
        <is>
          <t>bh-manama</t>
        </is>
      </c>
      <c r="B2476" t="inlineStr">
        <is>
          <t>Manama</t>
        </is>
      </c>
      <c r="C2476" t="inlineStr">
        <is>
          <t>Bahrain</t>
        </is>
      </c>
      <c r="D2476" t="inlineStr">
        <is>
          <t>Middle East</t>
        </is>
      </c>
      <c r="E2476" t="inlineStr">
        <is>
          <t>working_time_pressure_raw</t>
        </is>
      </c>
      <c r="F2476" t="inlineStr">
        <is>
          <t>Working time pressure raw</t>
        </is>
      </c>
      <c r="G2476" t="inlineStr">
        <is>
          <t>pressure</t>
        </is>
      </c>
      <c r="H2476" t="inlineStr">
        <is>
          <t>yes</t>
        </is>
      </c>
      <c r="I2476" t="inlineStr"/>
      <c r="J2476" t="inlineStr"/>
      <c r="K2476" t="inlineStr"/>
      <c r="L2476" t="inlineStr"/>
      <c r="M2476" t="inlineStr"/>
      <c r="N2476" t="inlineStr"/>
    </row>
    <row r="2477">
      <c r="A2477" t="inlineStr">
        <is>
          <t>bh-manama</t>
        </is>
      </c>
      <c r="B2477" t="inlineStr">
        <is>
          <t>Manama</t>
        </is>
      </c>
      <c r="C2477" t="inlineStr">
        <is>
          <t>Bahrain</t>
        </is>
      </c>
      <c r="D2477" t="inlineStr">
        <is>
          <t>Middle East</t>
        </is>
      </c>
      <c r="E2477" t="inlineStr">
        <is>
          <t>suicide_mental_strain_raw</t>
        </is>
      </c>
      <c r="F2477" t="inlineStr">
        <is>
          <t>Suicide or mental strain raw</t>
        </is>
      </c>
      <c r="G2477" t="inlineStr">
        <is>
          <t>pressure</t>
        </is>
      </c>
      <c r="H2477" t="inlineStr">
        <is>
          <t>yes</t>
        </is>
      </c>
      <c r="I2477" t="inlineStr">
        <is>
          <t>4.66</t>
        </is>
      </c>
      <c r="J2477" t="inlineStr">
        <is>
          <t>who_gho</t>
        </is>
      </c>
      <c r="K2477" t="inlineStr">
        <is>
          <t>https://www.who.int/data/gho/data/indicators/indicator-details/GHO/SDGSUICIDE</t>
        </is>
      </c>
      <c r="L2477" t="inlineStr">
        <is>
          <t>WHO GHO: Age-standardized suicide rate (per 100,000 population)</t>
        </is>
      </c>
      <c r="M2477" t="inlineStr">
        <is>
          <t>2021-12-31</t>
        </is>
      </c>
      <c r="N2477" t="inlineStr">
        <is>
          <t>auto_ingest=who_gho; indicator=SDGSUICIDE; year=2021; country_proxy=Bahrain</t>
        </is>
      </c>
    </row>
    <row r="2478">
      <c r="A2478" t="inlineStr">
        <is>
          <t>bh-manama</t>
        </is>
      </c>
      <c r="B2478" t="inlineStr">
        <is>
          <t>Manama</t>
        </is>
      </c>
      <c r="C2478" t="inlineStr">
        <is>
          <t>Bahrain</t>
        </is>
      </c>
      <c r="D2478" t="inlineStr">
        <is>
          <t>Middle East</t>
        </is>
      </c>
      <c r="E2478" t="inlineStr">
        <is>
          <t>personal_safety_raw</t>
        </is>
      </c>
      <c r="F2478" t="inlineStr">
        <is>
          <t>Personal safety raw</t>
        </is>
      </c>
      <c r="G2478" t="inlineStr">
        <is>
          <t>viability</t>
        </is>
      </c>
      <c r="H2478" t="inlineStr">
        <is>
          <t>yes</t>
        </is>
      </c>
      <c r="I2478" t="inlineStr">
        <is>
          <t>0.2</t>
        </is>
      </c>
      <c r="J2478" t="inlineStr">
        <is>
          <t>world_bank</t>
        </is>
      </c>
      <c r="K2478" t="inlineStr">
        <is>
          <t>https://api.worldbank.org/v2/country/BHR/indicator/VC.IHR.PSRC.P5?format=json&amp;mrv=10</t>
        </is>
      </c>
      <c r="L2478" t="inlineStr">
        <is>
          <t>UNODC via World Bank WDI: Intentional homicides (per 100,000 people)</t>
        </is>
      </c>
      <c r="M2478" t="inlineStr">
        <is>
          <t>2022-12-31</t>
        </is>
      </c>
      <c r="N2478" t="inlineStr">
        <is>
          <t>auto_ingest=unodc_safety; indicator=VC.IHR.PSRC.P5; year=2022; country_proxy=Bahrain</t>
        </is>
      </c>
    </row>
    <row r="2479">
      <c r="A2479" t="inlineStr">
        <is>
          <t>bh-manama</t>
        </is>
      </c>
      <c r="B2479" t="inlineStr">
        <is>
          <t>Manama</t>
        </is>
      </c>
      <c r="C2479" t="inlineStr">
        <is>
          <t>Bahrain</t>
        </is>
      </c>
      <c r="D2479" t="inlineStr">
        <is>
          <t>Middle East</t>
        </is>
      </c>
      <c r="E2479" t="inlineStr">
        <is>
          <t>transit_access_commute_raw</t>
        </is>
      </c>
      <c r="F2479" t="inlineStr">
        <is>
          <t>Transit access and commute raw</t>
        </is>
      </c>
      <c r="G2479" t="inlineStr">
        <is>
          <t>viability</t>
        </is>
      </c>
      <c r="H2479" t="inlineStr">
        <is>
          <t>yes</t>
        </is>
      </c>
      <c r="I2479" t="inlineStr"/>
      <c r="J2479" t="inlineStr"/>
      <c r="K2479" t="inlineStr"/>
      <c r="L2479" t="inlineStr"/>
      <c r="M2479" t="inlineStr"/>
      <c r="N2479" t="inlineStr"/>
    </row>
    <row r="2480">
      <c r="A2480" t="inlineStr">
        <is>
          <t>bh-manama</t>
        </is>
      </c>
      <c r="B2480" t="inlineStr">
        <is>
          <t>Manama</t>
        </is>
      </c>
      <c r="C2480" t="inlineStr">
        <is>
          <t>Bahrain</t>
        </is>
      </c>
      <c r="D2480" t="inlineStr">
        <is>
          <t>Middle East</t>
        </is>
      </c>
      <c r="E2480" t="inlineStr">
        <is>
          <t>clean_air_raw</t>
        </is>
      </c>
      <c r="F2480" t="inlineStr">
        <is>
          <t>Clean air raw</t>
        </is>
      </c>
      <c r="G2480" t="inlineStr">
        <is>
          <t>viability</t>
        </is>
      </c>
      <c r="H2480" t="inlineStr">
        <is>
          <t>yes</t>
        </is>
      </c>
      <c r="I2480" t="inlineStr"/>
      <c r="J2480" t="inlineStr"/>
      <c r="K2480" t="inlineStr"/>
      <c r="L2480" t="inlineStr"/>
      <c r="M2480" t="inlineStr"/>
      <c r="N2480" t="inlineStr"/>
    </row>
    <row r="2481">
      <c r="A2481" t="inlineStr">
        <is>
          <t>bh-manama</t>
        </is>
      </c>
      <c r="B2481" t="inlineStr">
        <is>
          <t>Manama</t>
        </is>
      </c>
      <c r="C2481" t="inlineStr">
        <is>
          <t>Bahrain</t>
        </is>
      </c>
      <c r="D2481" t="inlineStr">
        <is>
          <t>Middle East</t>
        </is>
      </c>
      <c r="E2481" t="inlineStr">
        <is>
          <t>water_sanitation_utility_raw</t>
        </is>
      </c>
      <c r="F2481" t="inlineStr">
        <is>
          <t>Water, sanitation, and utility raw</t>
        </is>
      </c>
      <c r="G2481" t="inlineStr">
        <is>
          <t>viability</t>
        </is>
      </c>
      <c r="H2481" t="inlineStr">
        <is>
          <t>yes</t>
        </is>
      </c>
      <c r="I2481" t="inlineStr">
        <is>
          <t>98.9</t>
        </is>
      </c>
      <c r="J2481" t="inlineStr">
        <is>
          <t>world_bank</t>
        </is>
      </c>
      <c r="K2481" t="inlineStr">
        <is>
          <t>https://api.worldbank.org/v2/country/BHR/indicator/SH.H2O.SMDW.ZS?format=json&amp;mrv=10</t>
        </is>
      </c>
      <c r="L2481" t="inlineStr">
        <is>
          <t>World Bank WDI: People using safely managed drinking water services (% of population)</t>
        </is>
      </c>
      <c r="M2481" t="inlineStr">
        <is>
          <t>2024-12-31</t>
        </is>
      </c>
      <c r="N2481" t="inlineStr">
        <is>
          <t>auto_ingest=world_bank_proxy; indicator=SH.H2O.SMDW.ZS; year=2024; country_proxy=Bahrain</t>
        </is>
      </c>
    </row>
    <row r="2482">
      <c r="A2482" t="inlineStr">
        <is>
          <t>bh-manama</t>
        </is>
      </c>
      <c r="B2482" t="inlineStr">
        <is>
          <t>Manama</t>
        </is>
      </c>
      <c r="C2482" t="inlineStr">
        <is>
          <t>Bahrain</t>
        </is>
      </c>
      <c r="D2482" t="inlineStr">
        <is>
          <t>Middle East</t>
        </is>
      </c>
      <c r="E2482" t="inlineStr">
        <is>
          <t>digital_infrastructure_raw</t>
        </is>
      </c>
      <c r="F2482" t="inlineStr">
        <is>
          <t>Digital infrastructure raw</t>
        </is>
      </c>
      <c r="G2482" t="inlineStr">
        <is>
          <t>viability</t>
        </is>
      </c>
      <c r="H2482" t="inlineStr">
        <is>
          <t>yes</t>
        </is>
      </c>
      <c r="I2482" t="inlineStr">
        <is>
          <t>17.16</t>
        </is>
      </c>
      <c r="J2482" t="inlineStr">
        <is>
          <t>world_bank</t>
        </is>
      </c>
      <c r="K2482" t="inlineStr">
        <is>
          <t>https://api.worldbank.org/v2/country/BHR/indicator/IT.NET.BBND.P2?format=json&amp;mrv=10</t>
        </is>
      </c>
      <c r="L2482" t="inlineStr">
        <is>
          <t>World Bank WDI: Fixed broadband subscriptions (per 100 people)</t>
        </is>
      </c>
      <c r="M2482" t="inlineStr">
        <is>
          <t>2023-12-31</t>
        </is>
      </c>
      <c r="N2482" t="inlineStr">
        <is>
          <t>auto_ingest=world_bank_proxy; indicator=IT.NET.BBND.P2; year=2023; country_proxy=Bahrain</t>
        </is>
      </c>
    </row>
    <row r="2483">
      <c r="A2483" t="inlineStr">
        <is>
          <t>bh-manama</t>
        </is>
      </c>
      <c r="B2483" t="inlineStr">
        <is>
          <t>Manama</t>
        </is>
      </c>
      <c r="C2483" t="inlineStr">
        <is>
          <t>Bahrain</t>
        </is>
      </c>
      <c r="D2483" t="inlineStr">
        <is>
          <t>Middle East</t>
        </is>
      </c>
      <c r="E2483" t="inlineStr">
        <is>
          <t>climate_sunlight_livability_raw</t>
        </is>
      </c>
      <c r="F2483" t="inlineStr">
        <is>
          <t>Climate and sunlight livability raw</t>
        </is>
      </c>
      <c r="G2483" t="inlineStr">
        <is>
          <t>viability</t>
        </is>
      </c>
      <c r="H2483" t="inlineStr">
        <is>
          <t>yes</t>
        </is>
      </c>
      <c r="I2483" t="inlineStr">
        <is>
          <t>34</t>
        </is>
      </c>
      <c r="J2483" t="inlineStr">
        <is>
          <t>wmo_natl_met</t>
        </is>
      </c>
      <c r="K2483" t="inlineStr">
        <is>
          <t>https://worldweather.wmo.int</t>
        </is>
      </c>
      <c r="L2483" t="inlineStr">
        <is>
          <t>WMO/National Met: Climate livability composite</t>
        </is>
      </c>
      <c r="M2483" t="inlineStr">
        <is>
          <t>2024-12-31</t>
        </is>
      </c>
      <c r="N2483" t="inlineStr">
        <is>
          <t>auto_seed=climate_composite; 3400 sun hrs, 27C mean, extreme summer heat</t>
        </is>
      </c>
    </row>
    <row r="2484">
      <c r="A2484" t="inlineStr">
        <is>
          <t>bh-manama</t>
        </is>
      </c>
      <c r="B2484" t="inlineStr">
        <is>
          <t>Manama</t>
        </is>
      </c>
      <c r="C2484" t="inlineStr">
        <is>
          <t>Bahrain</t>
        </is>
      </c>
      <c r="D2484" t="inlineStr">
        <is>
          <t>Middle East</t>
        </is>
      </c>
      <c r="E2484" t="inlineStr">
        <is>
          <t>healthcare_quality_raw</t>
        </is>
      </c>
      <c r="F2484" t="inlineStr">
        <is>
          <t>Healthcare quality raw</t>
        </is>
      </c>
      <c r="G2484" t="inlineStr">
        <is>
          <t>capability</t>
        </is>
      </c>
      <c r="H2484" t="inlineStr">
        <is>
          <t>yes</t>
        </is>
      </c>
      <c r="I2484" t="inlineStr">
        <is>
          <t>78.0</t>
        </is>
      </c>
      <c r="J2484" t="inlineStr">
        <is>
          <t>who_gho</t>
        </is>
      </c>
      <c r="K2484" t="inlineStr">
        <is>
          <t>https://www.who.int/data/gho/data/indicators/indicator-details/GHO/UHC_INDEX_REPORTED</t>
        </is>
      </c>
      <c r="L2484" t="inlineStr">
        <is>
          <t>WHO GHO: UHC Service Coverage Index</t>
        </is>
      </c>
      <c r="M2484" t="inlineStr">
        <is>
          <t>2023-12-31</t>
        </is>
      </c>
      <c r="N2484" t="inlineStr">
        <is>
          <t>auto_ingest=who_gho; indicator=UHC_INDEX_REPORTED; year=2023; country_proxy=Bahrain</t>
        </is>
      </c>
    </row>
    <row r="2485">
      <c r="A2485" t="inlineStr">
        <is>
          <t>bh-manama</t>
        </is>
      </c>
      <c r="B2485" t="inlineStr">
        <is>
          <t>Manama</t>
        </is>
      </c>
      <c r="C2485" t="inlineStr">
        <is>
          <t>Bahrain</t>
        </is>
      </c>
      <c r="D2485" t="inlineStr">
        <is>
          <t>Middle East</t>
        </is>
      </c>
      <c r="E2485" t="inlineStr">
        <is>
          <t>education_quality_raw</t>
        </is>
      </c>
      <c r="F2485" t="inlineStr">
        <is>
          <t>Education quality raw</t>
        </is>
      </c>
      <c r="G2485" t="inlineStr">
        <is>
          <t>capability</t>
        </is>
      </c>
      <c r="H2485" t="inlineStr">
        <is>
          <t>yes</t>
        </is>
      </c>
      <c r="I2485" t="inlineStr">
        <is>
          <t>58.37</t>
        </is>
      </c>
      <c r="J2485" t="inlineStr">
        <is>
          <t>world_bank</t>
        </is>
      </c>
      <c r="K2485" t="inlineStr">
        <is>
          <t>https://api.worldbank.org/v2/country/BHR/indicator/SE.TER.ENRR?format=json&amp;mrv=10</t>
        </is>
      </c>
      <c r="L2485" t="inlineStr">
        <is>
          <t>World Bank WDI: School enrollment, tertiary (% gross)</t>
        </is>
      </c>
      <c r="M2485" t="inlineStr">
        <is>
          <t>2024-12-31</t>
        </is>
      </c>
      <c r="N2485" t="inlineStr">
        <is>
          <t>auto_ingest=world_bank_proxy; indicator=SE.TER.ENRR; year=2024; country_proxy=Bahrain</t>
        </is>
      </c>
    </row>
    <row r="2486">
      <c r="A2486" t="inlineStr">
        <is>
          <t>bh-manama</t>
        </is>
      </c>
      <c r="B2486" t="inlineStr">
        <is>
          <t>Manama</t>
        </is>
      </c>
      <c r="C2486" t="inlineStr">
        <is>
          <t>Bahrain</t>
        </is>
      </c>
      <c r="D2486" t="inlineStr">
        <is>
          <t>Middle East and North Africa</t>
        </is>
      </c>
      <c r="E2486" t="inlineStr">
        <is>
          <t>equal_opportunity_raw</t>
        </is>
      </c>
      <c r="F2486" t="inlineStr">
        <is>
          <t>Equal opportunity raw</t>
        </is>
      </c>
      <c r="G2486" t="inlineStr">
        <is>
          <t>capability</t>
        </is>
      </c>
      <c r="H2486" t="inlineStr">
        <is>
          <t>yes</t>
        </is>
      </c>
      <c r="I2486" t="inlineStr"/>
      <c r="J2486" t="inlineStr"/>
      <c r="K2486" t="inlineStr"/>
      <c r="L2486" t="inlineStr"/>
      <c r="M2486" t="inlineStr"/>
      <c r="N2486" t="inlineStr"/>
    </row>
    <row r="2487">
      <c r="A2487" t="inlineStr">
        <is>
          <t>bh-manama</t>
        </is>
      </c>
      <c r="B2487" t="inlineStr">
        <is>
          <t>Manama</t>
        </is>
      </c>
      <c r="C2487" t="inlineStr">
        <is>
          <t>Bahrain</t>
        </is>
      </c>
      <c r="D2487" t="inlineStr">
        <is>
          <t>Middle East</t>
        </is>
      </c>
      <c r="E2487" t="inlineStr">
        <is>
          <t>hospitality_belonging_raw</t>
        </is>
      </c>
      <c r="F2487" t="inlineStr">
        <is>
          <t>Hospitality and belonging raw</t>
        </is>
      </c>
      <c r="G2487" t="inlineStr">
        <is>
          <t>community</t>
        </is>
      </c>
      <c r="H2487" t="inlineStr">
        <is>
          <t>yes</t>
        </is>
      </c>
      <c r="I2487" t="inlineStr">
        <is>
          <t>61.41</t>
        </is>
      </c>
      <c r="J2487" t="inlineStr">
        <is>
          <t>world_bank</t>
        </is>
      </c>
      <c r="K2487" t="inlineStr">
        <is>
          <t>https://api.worldbank.org/v2/country/BHR/indicator/SM.POP.NETM?format=json&amp;mrv=10</t>
        </is>
      </c>
      <c r="L2487" t="inlineStr">
        <is>
          <t>World Bank WDI: Net migration (proxy for hospitality/belonging — positive = welcoming)</t>
        </is>
      </c>
      <c r="M2487" t="inlineStr">
        <is>
          <t>2025-12-31</t>
        </is>
      </c>
      <c r="N2487" t="inlineStr">
        <is>
          <t>auto_ingest=world_bank_proxy; proxy=net_migration_hospitality; indicator=SM.POP.NETM; year=2025; country_proxy=Bahrain</t>
        </is>
      </c>
    </row>
    <row r="2488">
      <c r="A2488" t="inlineStr">
        <is>
          <t>bh-manama</t>
        </is>
      </c>
      <c r="B2488" t="inlineStr">
        <is>
          <t>Manama</t>
        </is>
      </c>
      <c r="C2488" t="inlineStr">
        <is>
          <t>Bahrain</t>
        </is>
      </c>
      <c r="D2488" t="inlineStr">
        <is>
          <t>Middle East</t>
        </is>
      </c>
      <c r="E2488" t="inlineStr">
        <is>
          <t>tolerance_pluralism_raw</t>
        </is>
      </c>
      <c r="F2488" t="inlineStr">
        <is>
          <t>Tolerance and pluralism raw</t>
        </is>
      </c>
      <c r="G2488" t="inlineStr">
        <is>
          <t>community</t>
        </is>
      </c>
      <c r="H2488" t="inlineStr">
        <is>
          <t>yes</t>
        </is>
      </c>
      <c r="I2488" t="inlineStr">
        <is>
          <t>20.0</t>
        </is>
      </c>
      <c r="J2488" t="inlineStr">
        <is>
          <t>world_bank</t>
        </is>
      </c>
      <c r="K2488" t="inlineStr">
        <is>
          <t>https://api.worldbank.org/v2/country/BHR/indicator/SG.GEN.PARL.ZS?format=json&amp;mrv=10</t>
        </is>
      </c>
      <c r="L2488" t="inlineStr">
        <is>
          <t>World Bank WDI: Proportion of seats held by women in national parliaments (%)</t>
        </is>
      </c>
      <c r="M2488" t="inlineStr">
        <is>
          <t>2024-12-31</t>
        </is>
      </c>
      <c r="N2488" t="inlineStr">
        <is>
          <t>auto_ingest=world_bank_proxy; proxy=gender_parity_parliament; indicator=SG.GEN.PARL.ZS; year=2024; country_proxy=Bahrain</t>
        </is>
      </c>
    </row>
    <row r="2489">
      <c r="A2489" t="inlineStr">
        <is>
          <t>bh-manama</t>
        </is>
      </c>
      <c r="B2489" t="inlineStr">
        <is>
          <t>Manama</t>
        </is>
      </c>
      <c r="C2489" t="inlineStr">
        <is>
          <t>Bahrain</t>
        </is>
      </c>
      <c r="D2489" t="inlineStr">
        <is>
          <t>Middle East</t>
        </is>
      </c>
      <c r="E2489" t="inlineStr">
        <is>
          <t>cultural_public_life_raw</t>
        </is>
      </c>
      <c r="F2489" t="inlineStr">
        <is>
          <t>Cultural public life raw</t>
        </is>
      </c>
      <c r="G2489" t="inlineStr">
        <is>
          <t>community</t>
        </is>
      </c>
      <c r="H2489" t="inlineStr">
        <is>
          <t>yes</t>
        </is>
      </c>
      <c r="I2489" t="inlineStr">
        <is>
          <t>1201.63</t>
        </is>
      </c>
      <c r="J2489" t="inlineStr">
        <is>
          <t>world_bank</t>
        </is>
      </c>
      <c r="K2489" t="inlineStr">
        <is>
          <t>https://api.worldbank.org/v2/country/BHR/indicator/ST.INT.ARVL?format=json&amp;mrv=10</t>
        </is>
      </c>
      <c r="L2489" t="inlineStr">
        <is>
          <t>World Bank WDI: International tourism arrivals per 1 000 population</t>
        </is>
      </c>
      <c r="M2489" t="inlineStr">
        <is>
          <t>2020-12-31</t>
        </is>
      </c>
      <c r="N2489" t="inlineStr">
        <is>
          <t>auto_ingest=cultural_life_proxy; indicator=ST.INT.ARVL; norm=per_1000_pop; year=2020; country_proxy=Bahrain</t>
        </is>
      </c>
    </row>
    <row r="2490">
      <c r="A2490" t="inlineStr">
        <is>
          <t>bh-manama</t>
        </is>
      </c>
      <c r="B2490" t="inlineStr">
        <is>
          <t>Manama</t>
        </is>
      </c>
      <c r="C2490" t="inlineStr">
        <is>
          <t>Bahrain</t>
        </is>
      </c>
      <c r="D2490" t="inlineStr">
        <is>
          <t>Middle East</t>
        </is>
      </c>
      <c r="E2490" t="inlineStr">
        <is>
          <t>birth_rate_optimism_raw</t>
        </is>
      </c>
      <c r="F2490" t="inlineStr">
        <is>
          <t>Birth rate and societal optimism raw</t>
        </is>
      </c>
      <c r="G2490" t="inlineStr">
        <is>
          <t>community</t>
        </is>
      </c>
      <c r="H2490" t="inlineStr">
        <is>
          <t>yes</t>
        </is>
      </c>
      <c r="I2490" t="inlineStr">
        <is>
          <t>1.8</t>
        </is>
      </c>
      <c r="J2490" t="inlineStr">
        <is>
          <t>world_bank</t>
        </is>
      </c>
      <c r="K2490" t="inlineStr">
        <is>
          <t>https://data.worldbank.org/indicator/SP.DYN.TFRT.IN</t>
        </is>
      </c>
      <c r="L2490" t="inlineStr">
        <is>
          <t>World Bank Total Fertility Rate 2023</t>
        </is>
      </c>
      <c r="M2490" t="inlineStr">
        <is>
          <t>2024-01-01</t>
        </is>
      </c>
      <c r="N2490" t="inlineStr"/>
    </row>
    <row r="2491">
      <c r="A2491" t="inlineStr">
        <is>
          <t>bh-manama</t>
        </is>
      </c>
      <c r="B2491" t="inlineStr">
        <is>
          <t>Manama</t>
        </is>
      </c>
      <c r="C2491" t="inlineStr">
        <is>
          <t>Bahrain</t>
        </is>
      </c>
      <c r="D2491" t="inlineStr">
        <is>
          <t>Middle East</t>
        </is>
      </c>
      <c r="E2491" t="inlineStr">
        <is>
          <t>entrepreneurial_dynamism_raw</t>
        </is>
      </c>
      <c r="F2491" t="inlineStr">
        <is>
          <t>Entrepreneurial dynamism raw</t>
        </is>
      </c>
      <c r="G2491" t="inlineStr">
        <is>
          <t>creative</t>
        </is>
      </c>
      <c r="H2491" t="inlineStr">
        <is>
          <t>yes</t>
        </is>
      </c>
      <c r="I2491" t="inlineStr">
        <is>
          <t>6.61</t>
        </is>
      </c>
      <c r="J2491" t="inlineStr">
        <is>
          <t>world_bank</t>
        </is>
      </c>
      <c r="K2491" t="inlineStr">
        <is>
          <t>https://api.worldbank.org/v2/country/BHR/indicator/IC.BUS.NDNS.ZS?format=json&amp;mrv=10</t>
        </is>
      </c>
      <c r="L2491" t="inlineStr">
        <is>
          <t>World Bank WDI: New business density (new registrations per 1,000 people ages 15-64)</t>
        </is>
      </c>
      <c r="M2491" t="inlineStr">
        <is>
          <t>2022-12-31</t>
        </is>
      </c>
      <c r="N2491" t="inlineStr">
        <is>
          <t>auto_ingest=world_bank_creative_extended; indicator=IC.BUS.NDNS.ZS; year=2022; country_proxy=Bahrain</t>
        </is>
      </c>
    </row>
    <row r="2492">
      <c r="A2492" t="inlineStr">
        <is>
          <t>bh-manama</t>
        </is>
      </c>
      <c r="B2492" t="inlineStr">
        <is>
          <t>Manama</t>
        </is>
      </c>
      <c r="C2492" t="inlineStr">
        <is>
          <t>Bahrain</t>
        </is>
      </c>
      <c r="D2492" t="inlineStr">
        <is>
          <t>Middle East</t>
        </is>
      </c>
      <c r="E2492" t="inlineStr">
        <is>
          <t>innovation_research_intensity_raw</t>
        </is>
      </c>
      <c r="F2492" t="inlineStr">
        <is>
          <t>Innovation and research raw</t>
        </is>
      </c>
      <c r="G2492" t="inlineStr">
        <is>
          <t>creative</t>
        </is>
      </c>
      <c r="H2492" t="inlineStr">
        <is>
          <t>yes</t>
        </is>
      </c>
      <c r="I2492" t="inlineStr">
        <is>
          <t>207.09</t>
        </is>
      </c>
      <c r="J2492" t="inlineStr">
        <is>
          <t>world_bank</t>
        </is>
      </c>
      <c r="K2492" t="inlineStr">
        <is>
          <t>https://api.worldbank.org/v2/country/BHR/indicator/IP.PAT.RESD?format=json&amp;mrv=10</t>
        </is>
      </c>
      <c r="L2492" t="inlineStr">
        <is>
          <t>World Bank WDI: Patent applications (residents + non-residents) per million population</t>
        </is>
      </c>
      <c r="M2492" t="inlineStr">
        <is>
          <t>2021-12-31</t>
        </is>
      </c>
      <c r="N2492" t="inlineStr">
        <is>
          <t>auto_ingest=wipo_patents_proxy; indicators=IP.PAT.RESD+IP.PAT.NRES; norm=per_million_pop; year=2021; country_proxy=Bahrain</t>
        </is>
      </c>
    </row>
    <row r="2493">
      <c r="A2493" t="inlineStr">
        <is>
          <t>bh-manama</t>
        </is>
      </c>
      <c r="B2493" t="inlineStr">
        <is>
          <t>Manama</t>
        </is>
      </c>
      <c r="C2493" t="inlineStr">
        <is>
          <t>Bahrain</t>
        </is>
      </c>
      <c r="D2493" t="inlineStr">
        <is>
          <t>Middle East</t>
        </is>
      </c>
      <c r="E2493" t="inlineStr">
        <is>
          <t>investment_signal_raw</t>
        </is>
      </c>
      <c r="F2493" t="inlineStr">
        <is>
          <t>Investment signal raw</t>
        </is>
      </c>
      <c r="G2493" t="inlineStr">
        <is>
          <t>creative</t>
        </is>
      </c>
      <c r="H2493" t="inlineStr">
        <is>
          <t>yes</t>
        </is>
      </c>
      <c r="I2493" t="inlineStr">
        <is>
          <t>5.74</t>
        </is>
      </c>
      <c r="J2493" t="inlineStr">
        <is>
          <t>world_bank</t>
        </is>
      </c>
      <c r="K2493" t="inlineStr">
        <is>
          <t>https://api.worldbank.org/v2/country/BHR/indicator/BX.KLT.DINV.WD.GD.ZS?format=json&amp;mrv=10</t>
        </is>
      </c>
      <c r="L2493" t="inlineStr">
        <is>
          <t>World Bank WDI: Foreign direct investment, net inflows (% of GDP)</t>
        </is>
      </c>
      <c r="M2493" t="inlineStr">
        <is>
          <t>2024-12-31</t>
        </is>
      </c>
      <c r="N2493" t="inlineStr">
        <is>
          <t>auto_ingest=world_bank_creative_extended; indicator=BX.KLT.DINV.WD.GD.ZS; year=2024; country_proxy=Bahrain</t>
        </is>
      </c>
    </row>
    <row r="2494">
      <c r="A2494" t="inlineStr">
        <is>
          <t>bh-manama</t>
        </is>
      </c>
      <c r="B2494" t="inlineStr">
        <is>
          <t>Manama</t>
        </is>
      </c>
      <c r="C2494" t="inlineStr">
        <is>
          <t>Bahrain</t>
        </is>
      </c>
      <c r="D2494" t="inlineStr">
        <is>
          <t>Middle East</t>
        </is>
      </c>
      <c r="E2494" t="inlineStr">
        <is>
          <t>administrative_investment_friction_raw</t>
        </is>
      </c>
      <c r="F2494" t="inlineStr">
        <is>
          <t>Administrative investment friction raw</t>
        </is>
      </c>
      <c r="G2494" t="inlineStr">
        <is>
          <t>creative</t>
        </is>
      </c>
      <c r="H2494" t="inlineStr">
        <is>
          <t>yes</t>
        </is>
      </c>
      <c r="I2494" t="inlineStr">
        <is>
          <t>1.42</t>
        </is>
      </c>
      <c r="J2494" t="inlineStr">
        <is>
          <t>world_bank</t>
        </is>
      </c>
      <c r="K2494" t="inlineStr">
        <is>
          <t>https://api.worldbank.org/v2/country/BHR/indicator/RQ.EST?format=json&amp;mrv=10</t>
        </is>
      </c>
      <c r="L2494" t="inlineStr">
        <is>
          <t>World Bank WGI: Regulatory Quality (inverted as friction proxy)</t>
        </is>
      </c>
      <c r="M2494" t="inlineStr">
        <is>
          <t>2023-12-31</t>
        </is>
      </c>
      <c r="N2494" t="inlineStr">
        <is>
          <t>auto_ingest=world_bank_business_friction; indicator=RQ.EST; raw_rq=1.07798528671265; friction=1.42; year=2023; country_proxy=Bahrain</t>
        </is>
      </c>
    </row>
    <row r="2495">
      <c r="A2495" t="inlineStr">
        <is>
          <t>bh-manama</t>
        </is>
      </c>
      <c r="B2495" t="inlineStr">
        <is>
          <t>Manama</t>
        </is>
      </c>
      <c r="C2495" t="inlineStr">
        <is>
          <t>Bahrain</t>
        </is>
      </c>
      <c r="D2495" t="inlineStr">
        <is>
          <t>Middle East</t>
        </is>
      </c>
      <c r="E2495" t="inlineStr">
        <is>
          <t>visitor_flow_context_raw</t>
        </is>
      </c>
      <c r="F2495" t="inlineStr">
        <is>
          <t>Visitor flow context raw</t>
        </is>
      </c>
      <c r="G2495" t="inlineStr">
        <is>
          <t>creative</t>
        </is>
      </c>
      <c r="H2495" t="inlineStr">
        <is>
          <t>no</t>
        </is>
      </c>
      <c r="I2495" t="inlineStr"/>
      <c r="J2495" t="inlineStr"/>
      <c r="K2495" t="inlineStr"/>
      <c r="L2495" t="inlineStr"/>
      <c r="M2495" t="inlineStr"/>
      <c r="N2495" t="inlineStr"/>
    </row>
    <row r="2496">
      <c r="A2496" t="inlineStr">
        <is>
          <t>sa-jeddah</t>
        </is>
      </c>
      <c r="B2496" t="inlineStr">
        <is>
          <t>Jeddah</t>
        </is>
      </c>
      <c r="C2496" t="inlineStr">
        <is>
          <t>Saudi Arabia</t>
        </is>
      </c>
      <c r="D2496" t="inlineStr">
        <is>
          <t>Middle East</t>
        </is>
      </c>
      <c r="E2496" t="inlineStr">
        <is>
          <t>gross_income</t>
        </is>
      </c>
      <c r="F2496" t="inlineStr">
        <is>
          <t>Gross income</t>
        </is>
      </c>
      <c r="G2496" t="inlineStr">
        <is>
          <t>pressure</t>
        </is>
      </c>
      <c r="H2496" t="inlineStr">
        <is>
          <t>yes</t>
        </is>
      </c>
      <c r="I2496" t="inlineStr">
        <is>
          <t>5977.5</t>
        </is>
      </c>
      <c r="J2496" t="inlineStr">
        <is>
          <t>world_bank_col_estimate</t>
        </is>
      </c>
      <c r="K2496" t="inlineStr">
        <is>
          <t>https://api.worldbank.org/v2/country/SAU/indicator/NY.GNP.PCAP.PP.CD?format=json&amp;mrv=10</t>
        </is>
      </c>
      <c r="L2496" t="inlineStr">
        <is>
          <t>World Bank WDI: GNI per capita PPP (monthly USD)</t>
        </is>
      </c>
      <c r="M2496" t="inlineStr">
        <is>
          <t>2024-12-31</t>
        </is>
      </c>
      <c r="N2496" t="inlineStr">
        <is>
          <t>auto_ingest=world_bank_col_estimate; gni_annual=71730.0; year=2024; country_proxy=Saudi Arabia; cohort=Middle East</t>
        </is>
      </c>
    </row>
    <row r="2497">
      <c r="A2497" t="inlineStr">
        <is>
          <t>sa-jeddah</t>
        </is>
      </c>
      <c r="B2497" t="inlineStr">
        <is>
          <t>Jeddah</t>
        </is>
      </c>
      <c r="C2497" t="inlineStr">
        <is>
          <t>Saudi Arabia</t>
        </is>
      </c>
      <c r="D2497" t="inlineStr">
        <is>
          <t>Middle East</t>
        </is>
      </c>
      <c r="E2497" t="inlineStr">
        <is>
          <t>di_ppp_raw</t>
        </is>
      </c>
      <c r="F2497" t="inlineStr">
        <is>
          <t>Disposable income PPP (Raw)</t>
        </is>
      </c>
      <c r="G2497" t="inlineStr">
        <is>
          <t>pressure</t>
        </is>
      </c>
      <c r="H2497" t="inlineStr">
        <is>
          <t>yes</t>
        </is>
      </c>
      <c r="I2497" t="inlineStr"/>
      <c r="J2497" t="inlineStr"/>
      <c r="K2497" t="inlineStr"/>
      <c r="L2497" t="inlineStr"/>
      <c r="M2497" t="inlineStr"/>
      <c r="N2497" t="inlineStr"/>
    </row>
    <row r="2498">
      <c r="A2498" t="inlineStr">
        <is>
          <t>sa-jeddah</t>
        </is>
      </c>
      <c r="B2498" t="inlineStr">
        <is>
          <t>Jeddah</t>
        </is>
      </c>
      <c r="C2498" t="inlineStr">
        <is>
          <t>Saudi Arabia</t>
        </is>
      </c>
      <c r="D2498" t="inlineStr">
        <is>
          <t>Middle East</t>
        </is>
      </c>
      <c r="E2498" t="inlineStr">
        <is>
          <t>rent</t>
        </is>
      </c>
      <c r="F2498" t="inlineStr">
        <is>
          <t>Rent</t>
        </is>
      </c>
      <c r="G2498" t="inlineStr">
        <is>
          <t>pressure</t>
        </is>
      </c>
      <c r="H2498" t="inlineStr">
        <is>
          <t>yes</t>
        </is>
      </c>
      <c r="I2498" t="inlineStr">
        <is>
          <t>1344.94</t>
        </is>
      </c>
      <c r="J2498" t="inlineStr">
        <is>
          <t>world_bank_col_estimate</t>
        </is>
      </c>
      <c r="K2498" t="inlineStr">
        <is>
          <t>https://api.worldbank.org/v2/country/SAU/indicator/NY.GNP.PCAP.PP.CD?format=json&amp;mrv=10</t>
        </is>
      </c>
      <c r="L2498" t="inlineStr">
        <is>
          <t>World Bank GNI + regional expenditure ratio estimate</t>
        </is>
      </c>
      <c r="M2498" t="inlineStr">
        <is>
          <t>2024-12-31</t>
        </is>
      </c>
      <c r="N2498" t="inlineStr">
        <is>
          <t>auto_ingest=world_bank_col_estimate; gni_annual=71730.0; year=2024; country_proxy=Saudi Arabia; cohort=Middle East; city_cost_mult=0.9</t>
        </is>
      </c>
    </row>
    <row r="2499">
      <c r="A2499" t="inlineStr">
        <is>
          <t>sa-jeddah</t>
        </is>
      </c>
      <c r="B2499" t="inlineStr">
        <is>
          <t>Jeddah</t>
        </is>
      </c>
      <c r="C2499" t="inlineStr">
        <is>
          <t>Saudi Arabia</t>
        </is>
      </c>
      <c r="D2499" t="inlineStr">
        <is>
          <t>Middle East</t>
        </is>
      </c>
      <c r="E2499" t="inlineStr">
        <is>
          <t>utilities</t>
        </is>
      </c>
      <c r="F2499" t="inlineStr">
        <is>
          <t>Utilities</t>
        </is>
      </c>
      <c r="G2499" t="inlineStr">
        <is>
          <t>pressure</t>
        </is>
      </c>
      <c r="H2499" t="inlineStr">
        <is>
          <t>yes</t>
        </is>
      </c>
      <c r="I2499" t="inlineStr">
        <is>
          <t>268.99</t>
        </is>
      </c>
      <c r="J2499" t="inlineStr">
        <is>
          <t>world_bank_col_estimate</t>
        </is>
      </c>
      <c r="K2499" t="inlineStr">
        <is>
          <t>https://api.worldbank.org/v2/country/SAU/indicator/NY.GNP.PCAP.PP.CD?format=json&amp;mrv=10</t>
        </is>
      </c>
      <c r="L2499" t="inlineStr">
        <is>
          <t>World Bank GNI + regional expenditure ratio estimate</t>
        </is>
      </c>
      <c r="M2499" t="inlineStr">
        <is>
          <t>2024-12-31</t>
        </is>
      </c>
      <c r="N2499" t="inlineStr">
        <is>
          <t>auto_ingest=world_bank_col_estimate; gni_annual=71730.0; year=2024; country_proxy=Saudi Arabia; cohort=Middle East; city_cost_mult=0.9</t>
        </is>
      </c>
    </row>
    <row r="2500">
      <c r="A2500" t="inlineStr">
        <is>
          <t>sa-jeddah</t>
        </is>
      </c>
      <c r="B2500" t="inlineStr">
        <is>
          <t>Jeddah</t>
        </is>
      </c>
      <c r="C2500" t="inlineStr">
        <is>
          <t>Saudi Arabia</t>
        </is>
      </c>
      <c r="D2500" t="inlineStr">
        <is>
          <t>Middle East</t>
        </is>
      </c>
      <c r="E2500" t="inlineStr">
        <is>
          <t>transit_cost</t>
        </is>
      </c>
      <c r="F2500" t="inlineStr">
        <is>
          <t>Transit cost</t>
        </is>
      </c>
      <c r="G2500" t="inlineStr">
        <is>
          <t>pressure</t>
        </is>
      </c>
      <c r="H2500" t="inlineStr">
        <is>
          <t>yes</t>
        </is>
      </c>
      <c r="I2500" t="inlineStr">
        <is>
          <t>215.19</t>
        </is>
      </c>
      <c r="J2500" t="inlineStr">
        <is>
          <t>world_bank_col_estimate</t>
        </is>
      </c>
      <c r="K2500" t="inlineStr">
        <is>
          <t>https://api.worldbank.org/v2/country/SAU/indicator/NY.GNP.PCAP.PP.CD?format=json&amp;mrv=10</t>
        </is>
      </c>
      <c r="L2500" t="inlineStr">
        <is>
          <t>World Bank GNI + regional expenditure ratio estimate</t>
        </is>
      </c>
      <c r="M2500" t="inlineStr">
        <is>
          <t>2024-12-31</t>
        </is>
      </c>
      <c r="N2500" t="inlineStr">
        <is>
          <t>auto_ingest=world_bank_col_estimate; gni_annual=71730.0; year=2024; country_proxy=Saudi Arabia; cohort=Middle East; city_cost_mult=0.9</t>
        </is>
      </c>
    </row>
    <row r="2501">
      <c r="A2501" t="inlineStr">
        <is>
          <t>sa-jeddah</t>
        </is>
      </c>
      <c r="B2501" t="inlineStr">
        <is>
          <t>Jeddah</t>
        </is>
      </c>
      <c r="C2501" t="inlineStr">
        <is>
          <t>Saudi Arabia</t>
        </is>
      </c>
      <c r="D2501" t="inlineStr">
        <is>
          <t>Middle East</t>
        </is>
      </c>
      <c r="E2501" t="inlineStr">
        <is>
          <t>internet_cost</t>
        </is>
      </c>
      <c r="F2501" t="inlineStr">
        <is>
          <t>Internet cost</t>
        </is>
      </c>
      <c r="G2501" t="inlineStr">
        <is>
          <t>pressure</t>
        </is>
      </c>
      <c r="H2501" t="inlineStr">
        <is>
          <t>yes</t>
        </is>
      </c>
      <c r="I2501" t="inlineStr">
        <is>
          <t>80.7</t>
        </is>
      </c>
      <c r="J2501" t="inlineStr">
        <is>
          <t>world_bank_col_estimate</t>
        </is>
      </c>
      <c r="K2501" t="inlineStr">
        <is>
          <t>https://api.worldbank.org/v2/country/SAU/indicator/NY.GNP.PCAP.PP.CD?format=json&amp;mrv=10</t>
        </is>
      </c>
      <c r="L2501" t="inlineStr">
        <is>
          <t>World Bank GNI + regional expenditure ratio estimate</t>
        </is>
      </c>
      <c r="M2501" t="inlineStr">
        <is>
          <t>2024-12-31</t>
        </is>
      </c>
      <c r="N2501" t="inlineStr">
        <is>
          <t>auto_ingest=world_bank_col_estimate; gni_annual=71730.0; year=2024; country_proxy=Saudi Arabia; cohort=Middle East; city_cost_mult=0.9</t>
        </is>
      </c>
    </row>
    <row r="2502">
      <c r="A2502" t="inlineStr">
        <is>
          <t>sa-jeddah</t>
        </is>
      </c>
      <c r="B2502" t="inlineStr">
        <is>
          <t>Jeddah</t>
        </is>
      </c>
      <c r="C2502" t="inlineStr">
        <is>
          <t>Saudi Arabia</t>
        </is>
      </c>
      <c r="D2502" t="inlineStr">
        <is>
          <t>Middle East</t>
        </is>
      </c>
      <c r="E2502" t="inlineStr">
        <is>
          <t>food_cost</t>
        </is>
      </c>
      <c r="F2502" t="inlineStr">
        <is>
          <t>Food cost</t>
        </is>
      </c>
      <c r="G2502" t="inlineStr">
        <is>
          <t>pressure</t>
        </is>
      </c>
      <c r="H2502" t="inlineStr">
        <is>
          <t>yes</t>
        </is>
      </c>
      <c r="I2502" t="inlineStr">
        <is>
          <t>968.36</t>
        </is>
      </c>
      <c r="J2502" t="inlineStr">
        <is>
          <t>world_bank_col_estimate</t>
        </is>
      </c>
      <c r="K2502" t="inlineStr">
        <is>
          <t>https://api.worldbank.org/v2/country/SAU/indicator/NY.GNP.PCAP.PP.CD?format=json&amp;mrv=10</t>
        </is>
      </c>
      <c r="L2502" t="inlineStr">
        <is>
          <t>World Bank GNI + regional expenditure ratio estimate</t>
        </is>
      </c>
      <c r="M2502" t="inlineStr">
        <is>
          <t>2024-12-31</t>
        </is>
      </c>
      <c r="N2502" t="inlineStr">
        <is>
          <t>auto_ingest=world_bank_col_estimate; gni_annual=71730.0; year=2024; country_proxy=Saudi Arabia; cohort=Middle East; city_cost_mult=0.9</t>
        </is>
      </c>
    </row>
    <row r="2503">
      <c r="A2503" t="inlineStr">
        <is>
          <t>sa-jeddah</t>
        </is>
      </c>
      <c r="B2503" t="inlineStr">
        <is>
          <t>Jeddah</t>
        </is>
      </c>
      <c r="C2503" t="inlineStr">
        <is>
          <t>Saudi Arabia</t>
        </is>
      </c>
      <c r="D2503" t="inlineStr">
        <is>
          <t>Middle East</t>
        </is>
      </c>
      <c r="E2503" t="inlineStr">
        <is>
          <t>housing_burden_raw</t>
        </is>
      </c>
      <c r="F2503" t="inlineStr">
        <is>
          <t>Housing burden raw</t>
        </is>
      </c>
      <c r="G2503" t="inlineStr">
        <is>
          <t>pressure</t>
        </is>
      </c>
      <c r="H2503" t="inlineStr">
        <is>
          <t>yes</t>
        </is>
      </c>
      <c r="I2503" t="inlineStr">
        <is>
          <t>22.5</t>
        </is>
      </c>
      <c r="J2503" t="inlineStr">
        <is>
          <t>derived</t>
        </is>
      </c>
      <c r="K2503" t="inlineStr">
        <is>
          <t>https://data.worldbank.org/indicator/NY.GNP.PCAP.PP.CD</t>
        </is>
      </c>
      <c r="L2503" t="inlineStr">
        <is>
          <t>Computed from city_inputs + country_context</t>
        </is>
      </c>
      <c r="M2503" t="inlineStr">
        <is>
          <t>2024-01-01</t>
        </is>
      </c>
      <c r="N2503" t="inlineStr">
        <is>
          <t>derived=rent/gross_income*100</t>
        </is>
      </c>
    </row>
    <row r="2504">
      <c r="A2504" t="inlineStr">
        <is>
          <t>sa-jeddah</t>
        </is>
      </c>
      <c r="B2504" t="inlineStr">
        <is>
          <t>Jeddah</t>
        </is>
      </c>
      <c r="C2504" t="inlineStr">
        <is>
          <t>Saudi Arabia</t>
        </is>
      </c>
      <c r="D2504" t="inlineStr">
        <is>
          <t>Middle East</t>
        </is>
      </c>
      <c r="E2504" t="inlineStr">
        <is>
          <t>household_debt_burden_raw</t>
        </is>
      </c>
      <c r="F2504" t="inlineStr">
        <is>
          <t>Household debt burden raw</t>
        </is>
      </c>
      <c r="G2504" t="inlineStr">
        <is>
          <t>pressure</t>
        </is>
      </c>
      <c r="H2504" t="inlineStr">
        <is>
          <t>yes</t>
        </is>
      </c>
      <c r="I2504" t="inlineStr">
        <is>
          <t>50.1376</t>
        </is>
      </c>
      <c r="J2504" t="inlineStr">
        <is>
          <t>derived</t>
        </is>
      </c>
      <c r="K2504" t="inlineStr">
        <is>
          <t>https://data.worldbank.org/indicator/NY.GNP.PCAP.PP.CD</t>
        </is>
      </c>
      <c r="L2504" t="inlineStr">
        <is>
          <t>Computed from city_inputs + country_context</t>
        </is>
      </c>
      <c r="M2504" t="inlineStr">
        <is>
          <t>2024-01-01</t>
        </is>
      </c>
      <c r="N2504" t="inlineStr">
        <is>
          <t>derived=country_context.household_debt_proxy; country=Saudi Arabia</t>
        </is>
      </c>
    </row>
    <row r="2505">
      <c r="A2505" t="inlineStr">
        <is>
          <t>sa-jeddah</t>
        </is>
      </c>
      <c r="B2505" t="inlineStr">
        <is>
          <t>Jeddah</t>
        </is>
      </c>
      <c r="C2505" t="inlineStr">
        <is>
          <t>Saudi Arabia</t>
        </is>
      </c>
      <c r="D2505" t="inlineStr">
        <is>
          <t>Middle East</t>
        </is>
      </c>
      <c r="E2505" t="inlineStr">
        <is>
          <t>working_time_pressure_raw</t>
        </is>
      </c>
      <c r="F2505" t="inlineStr">
        <is>
          <t>Working time pressure raw</t>
        </is>
      </c>
      <c r="G2505" t="inlineStr">
        <is>
          <t>pressure</t>
        </is>
      </c>
      <c r="H2505" t="inlineStr">
        <is>
          <t>yes</t>
        </is>
      </c>
      <c r="I2505" t="inlineStr"/>
      <c r="J2505" t="inlineStr"/>
      <c r="K2505" t="inlineStr"/>
      <c r="L2505" t="inlineStr"/>
      <c r="M2505" t="inlineStr"/>
      <c r="N2505" t="inlineStr"/>
    </row>
    <row r="2506">
      <c r="A2506" t="inlineStr">
        <is>
          <t>sa-jeddah</t>
        </is>
      </c>
      <c r="B2506" t="inlineStr">
        <is>
          <t>Jeddah</t>
        </is>
      </c>
      <c r="C2506" t="inlineStr">
        <is>
          <t>Saudi Arabia</t>
        </is>
      </c>
      <c r="D2506" t="inlineStr">
        <is>
          <t>Middle East</t>
        </is>
      </c>
      <c r="E2506" t="inlineStr">
        <is>
          <t>suicide_mental_strain_raw</t>
        </is>
      </c>
      <c r="F2506" t="inlineStr">
        <is>
          <t>Suicide or mental strain raw</t>
        </is>
      </c>
      <c r="G2506" t="inlineStr">
        <is>
          <t>pressure</t>
        </is>
      </c>
      <c r="H2506" t="inlineStr">
        <is>
          <t>yes</t>
        </is>
      </c>
      <c r="I2506" t="inlineStr">
        <is>
          <t>0.95</t>
        </is>
      </c>
      <c r="J2506" t="inlineStr">
        <is>
          <t>who_gho</t>
        </is>
      </c>
      <c r="K2506" t="inlineStr">
        <is>
          <t>https://www.who.int/data/gho/data/indicators/indicator-details/GHO/SDGSUICIDE</t>
        </is>
      </c>
      <c r="L2506" t="inlineStr">
        <is>
          <t>WHO GHO: Age-standardized suicide rate (per 100,000 population)</t>
        </is>
      </c>
      <c r="M2506" t="inlineStr">
        <is>
          <t>2021-12-31</t>
        </is>
      </c>
      <c r="N2506" t="inlineStr">
        <is>
          <t>auto_ingest=who_gho; indicator=SDGSUICIDE; year=2021; country_proxy=Saudi Arabia</t>
        </is>
      </c>
    </row>
    <row r="2507">
      <c r="A2507" t="inlineStr">
        <is>
          <t>sa-jeddah</t>
        </is>
      </c>
      <c r="B2507" t="inlineStr">
        <is>
          <t>Jeddah</t>
        </is>
      </c>
      <c r="C2507" t="inlineStr">
        <is>
          <t>Saudi Arabia</t>
        </is>
      </c>
      <c r="D2507" t="inlineStr">
        <is>
          <t>Middle East</t>
        </is>
      </c>
      <c r="E2507" t="inlineStr">
        <is>
          <t>personal_safety_raw</t>
        </is>
      </c>
      <c r="F2507" t="inlineStr">
        <is>
          <t>Personal safety raw</t>
        </is>
      </c>
      <c r="G2507" t="inlineStr">
        <is>
          <t>viability</t>
        </is>
      </c>
      <c r="H2507" t="inlineStr">
        <is>
          <t>yes</t>
        </is>
      </c>
      <c r="I2507" t="inlineStr">
        <is>
          <t>0.94</t>
        </is>
      </c>
      <c r="J2507" t="inlineStr">
        <is>
          <t>world_bank</t>
        </is>
      </c>
      <c r="K2507" t="inlineStr">
        <is>
          <t>https://api.worldbank.org/v2/country/SAU/indicator/VC.IHR.PSRC.P5?format=json&amp;mrv=10</t>
        </is>
      </c>
      <c r="L2507" t="inlineStr">
        <is>
          <t>UNODC via World Bank WDI: Intentional homicides (per 100,000 people)</t>
        </is>
      </c>
      <c r="M2507" t="inlineStr">
        <is>
          <t>2019-12-31</t>
        </is>
      </c>
      <c r="N2507" t="inlineStr">
        <is>
          <t>auto_ingest=unodc_safety; indicator=VC.IHR.PSRC.P5; year=2019; country_proxy=Saudi Arabia</t>
        </is>
      </c>
    </row>
    <row r="2508">
      <c r="A2508" t="inlineStr">
        <is>
          <t>sa-jeddah</t>
        </is>
      </c>
      <c r="B2508" t="inlineStr">
        <is>
          <t>Jeddah</t>
        </is>
      </c>
      <c r="C2508" t="inlineStr">
        <is>
          <t>Saudi Arabia</t>
        </is>
      </c>
      <c r="D2508" t="inlineStr">
        <is>
          <t>Middle East</t>
        </is>
      </c>
      <c r="E2508" t="inlineStr">
        <is>
          <t>transit_access_commute_raw</t>
        </is>
      </c>
      <c r="F2508" t="inlineStr">
        <is>
          <t>Transit access and commute raw</t>
        </is>
      </c>
      <c r="G2508" t="inlineStr">
        <is>
          <t>viability</t>
        </is>
      </c>
      <c r="H2508" t="inlineStr">
        <is>
          <t>yes</t>
        </is>
      </c>
      <c r="I2508" t="inlineStr"/>
      <c r="J2508" t="inlineStr"/>
      <c r="K2508" t="inlineStr"/>
      <c r="L2508" t="inlineStr"/>
      <c r="M2508" t="inlineStr"/>
      <c r="N2508" t="inlineStr"/>
    </row>
    <row r="2509">
      <c r="A2509" t="inlineStr">
        <is>
          <t>sa-jeddah</t>
        </is>
      </c>
      <c r="B2509" t="inlineStr">
        <is>
          <t>Jeddah</t>
        </is>
      </c>
      <c r="C2509" t="inlineStr">
        <is>
          <t>Saudi Arabia</t>
        </is>
      </c>
      <c r="D2509" t="inlineStr">
        <is>
          <t>Middle East</t>
        </is>
      </c>
      <c r="E2509" t="inlineStr">
        <is>
          <t>clean_air_raw</t>
        </is>
      </c>
      <c r="F2509" t="inlineStr">
        <is>
          <t>Clean air raw</t>
        </is>
      </c>
      <c r="G2509" t="inlineStr">
        <is>
          <t>viability</t>
        </is>
      </c>
      <c r="H2509" t="inlineStr">
        <is>
          <t>yes</t>
        </is>
      </c>
      <c r="I2509" t="inlineStr"/>
      <c r="J2509" t="inlineStr"/>
      <c r="K2509" t="inlineStr"/>
      <c r="L2509" t="inlineStr"/>
      <c r="M2509" t="inlineStr"/>
      <c r="N2509" t="inlineStr"/>
    </row>
    <row r="2510">
      <c r="A2510" t="inlineStr">
        <is>
          <t>sa-jeddah</t>
        </is>
      </c>
      <c r="B2510" t="inlineStr">
        <is>
          <t>Jeddah</t>
        </is>
      </c>
      <c r="C2510" t="inlineStr">
        <is>
          <t>Saudi Arabia</t>
        </is>
      </c>
      <c r="D2510" t="inlineStr">
        <is>
          <t>Middle East</t>
        </is>
      </c>
      <c r="E2510" t="inlineStr">
        <is>
          <t>water_sanitation_utility_raw</t>
        </is>
      </c>
      <c r="F2510" t="inlineStr">
        <is>
          <t>Water, sanitation, and utility raw</t>
        </is>
      </c>
      <c r="G2510" t="inlineStr">
        <is>
          <t>viability</t>
        </is>
      </c>
      <c r="H2510" t="inlineStr">
        <is>
          <t>yes</t>
        </is>
      </c>
      <c r="I2510" t="inlineStr"/>
      <c r="J2510" t="inlineStr"/>
      <c r="K2510" t="inlineStr"/>
      <c r="L2510" t="inlineStr"/>
      <c r="M2510" t="inlineStr"/>
      <c r="N2510" t="inlineStr"/>
    </row>
    <row r="2511">
      <c r="A2511" t="inlineStr">
        <is>
          <t>sa-jeddah</t>
        </is>
      </c>
      <c r="B2511" t="inlineStr">
        <is>
          <t>Jeddah</t>
        </is>
      </c>
      <c r="C2511" t="inlineStr">
        <is>
          <t>Saudi Arabia</t>
        </is>
      </c>
      <c r="D2511" t="inlineStr">
        <is>
          <t>Middle East</t>
        </is>
      </c>
      <c r="E2511" t="inlineStr">
        <is>
          <t>digital_infrastructure_raw</t>
        </is>
      </c>
      <c r="F2511" t="inlineStr">
        <is>
          <t>Digital infrastructure raw</t>
        </is>
      </c>
      <c r="G2511" t="inlineStr">
        <is>
          <t>viability</t>
        </is>
      </c>
      <c r="H2511" t="inlineStr">
        <is>
          <t>yes</t>
        </is>
      </c>
      <c r="I2511" t="inlineStr">
        <is>
          <t>43.57</t>
        </is>
      </c>
      <c r="J2511" t="inlineStr">
        <is>
          <t>world_bank</t>
        </is>
      </c>
      <c r="K2511" t="inlineStr">
        <is>
          <t>https://api.worldbank.org/v2/country/SAU/indicator/IT.NET.BBND.P2?format=json&amp;mrv=10</t>
        </is>
      </c>
      <c r="L2511" t="inlineStr">
        <is>
          <t>World Bank WDI: Fixed broadband subscriptions (per 100 people)</t>
        </is>
      </c>
      <c r="M2511" t="inlineStr">
        <is>
          <t>2023-12-31</t>
        </is>
      </c>
      <c r="N2511" t="inlineStr">
        <is>
          <t>auto_ingest=world_bank_proxy; indicator=IT.NET.BBND.P2; year=2023; country_proxy=Saudi Arabia</t>
        </is>
      </c>
    </row>
    <row r="2512">
      <c r="A2512" t="inlineStr">
        <is>
          <t>sa-jeddah</t>
        </is>
      </c>
      <c r="B2512" t="inlineStr">
        <is>
          <t>Jeddah</t>
        </is>
      </c>
      <c r="C2512" t="inlineStr">
        <is>
          <t>Saudi Arabia</t>
        </is>
      </c>
      <c r="D2512" t="inlineStr">
        <is>
          <t>Middle East</t>
        </is>
      </c>
      <c r="E2512" t="inlineStr">
        <is>
          <t>climate_sunlight_livability_raw</t>
        </is>
      </c>
      <c r="F2512" t="inlineStr">
        <is>
          <t>Climate and sunlight livability raw</t>
        </is>
      </c>
      <c r="G2512" t="inlineStr">
        <is>
          <t>viability</t>
        </is>
      </c>
      <c r="H2512" t="inlineStr">
        <is>
          <t>yes</t>
        </is>
      </c>
      <c r="I2512" t="inlineStr"/>
      <c r="J2512" t="inlineStr"/>
      <c r="K2512" t="inlineStr"/>
      <c r="L2512" t="inlineStr"/>
      <c r="M2512" t="inlineStr"/>
      <c r="N2512" t="inlineStr"/>
    </row>
    <row r="2513">
      <c r="A2513" t="inlineStr">
        <is>
          <t>sa-jeddah</t>
        </is>
      </c>
      <c r="B2513" t="inlineStr">
        <is>
          <t>Jeddah</t>
        </is>
      </c>
      <c r="C2513" t="inlineStr">
        <is>
          <t>Saudi Arabia</t>
        </is>
      </c>
      <c r="D2513" t="inlineStr">
        <is>
          <t>Middle East</t>
        </is>
      </c>
      <c r="E2513" t="inlineStr">
        <is>
          <t>healthcare_quality_raw</t>
        </is>
      </c>
      <c r="F2513" t="inlineStr">
        <is>
          <t>Healthcare quality raw</t>
        </is>
      </c>
      <c r="G2513" t="inlineStr">
        <is>
          <t>capability</t>
        </is>
      </c>
      <c r="H2513" t="inlineStr">
        <is>
          <t>yes</t>
        </is>
      </c>
      <c r="I2513" t="inlineStr">
        <is>
          <t>83.0</t>
        </is>
      </c>
      <c r="J2513" t="inlineStr">
        <is>
          <t>who_gho</t>
        </is>
      </c>
      <c r="K2513" t="inlineStr">
        <is>
          <t>https://www.who.int/data/gho/data/indicators/indicator-details/GHO/UHC_INDEX_REPORTED</t>
        </is>
      </c>
      <c r="L2513" t="inlineStr">
        <is>
          <t>WHO GHO: UHC Service Coverage Index</t>
        </is>
      </c>
      <c r="M2513" t="inlineStr">
        <is>
          <t>2023-12-31</t>
        </is>
      </c>
      <c r="N2513" t="inlineStr">
        <is>
          <t>auto_ingest=who_gho; indicator=UHC_INDEX_REPORTED; year=2023; country_proxy=Saudi Arabia</t>
        </is>
      </c>
    </row>
    <row r="2514">
      <c r="A2514" t="inlineStr">
        <is>
          <t>sa-jeddah</t>
        </is>
      </c>
      <c r="B2514" t="inlineStr">
        <is>
          <t>Jeddah</t>
        </is>
      </c>
      <c r="C2514" t="inlineStr">
        <is>
          <t>Saudi Arabia</t>
        </is>
      </c>
      <c r="D2514" t="inlineStr">
        <is>
          <t>Middle East</t>
        </is>
      </c>
      <c r="E2514" t="inlineStr">
        <is>
          <t>education_quality_raw</t>
        </is>
      </c>
      <c r="F2514" t="inlineStr">
        <is>
          <t>Education quality raw</t>
        </is>
      </c>
      <c r="G2514" t="inlineStr">
        <is>
          <t>capability</t>
        </is>
      </c>
      <c r="H2514" t="inlineStr">
        <is>
          <t>yes</t>
        </is>
      </c>
      <c r="I2514" t="inlineStr">
        <is>
          <t>83.88</t>
        </is>
      </c>
      <c r="J2514" t="inlineStr">
        <is>
          <t>world_bank</t>
        </is>
      </c>
      <c r="K2514" t="inlineStr">
        <is>
          <t>https://api.worldbank.org/v2/country/SAU/indicator/SE.TER.ENRR?format=json&amp;mrv=10</t>
        </is>
      </c>
      <c r="L2514" t="inlineStr">
        <is>
          <t>World Bank WDI: School enrollment, tertiary (% gross)</t>
        </is>
      </c>
      <c r="M2514" t="inlineStr">
        <is>
          <t>2024-12-31</t>
        </is>
      </c>
      <c r="N2514" t="inlineStr">
        <is>
          <t>auto_ingest=world_bank_proxy; indicator=SE.TER.ENRR; year=2024; country_proxy=Saudi Arabia</t>
        </is>
      </c>
    </row>
    <row r="2515">
      <c r="A2515" t="inlineStr">
        <is>
          <t>sa-jeddah</t>
        </is>
      </c>
      <c r="B2515" t="inlineStr">
        <is>
          <t>Jeddah</t>
        </is>
      </c>
      <c r="C2515" t="inlineStr">
        <is>
          <t>Saudi Arabia</t>
        </is>
      </c>
      <c r="D2515" t="inlineStr">
        <is>
          <t>Middle East</t>
        </is>
      </c>
      <c r="E2515" t="inlineStr">
        <is>
          <t>equal_opportunity_raw</t>
        </is>
      </c>
      <c r="F2515" t="inlineStr">
        <is>
          <t>Equal opportunity raw</t>
        </is>
      </c>
      <c r="G2515" t="inlineStr">
        <is>
          <t>capability</t>
        </is>
      </c>
      <c r="H2515" t="inlineStr">
        <is>
          <t>yes</t>
        </is>
      </c>
      <c r="I2515" t="inlineStr"/>
      <c r="J2515" t="inlineStr"/>
      <c r="K2515" t="inlineStr"/>
      <c r="L2515" t="inlineStr"/>
      <c r="M2515" t="inlineStr"/>
      <c r="N2515" t="inlineStr"/>
    </row>
    <row r="2516">
      <c r="A2516" t="inlineStr">
        <is>
          <t>sa-jeddah</t>
        </is>
      </c>
      <c r="B2516" t="inlineStr">
        <is>
          <t>Jeddah</t>
        </is>
      </c>
      <c r="C2516" t="inlineStr">
        <is>
          <t>Saudi Arabia</t>
        </is>
      </c>
      <c r="D2516" t="inlineStr">
        <is>
          <t>Middle East</t>
        </is>
      </c>
      <c r="E2516" t="inlineStr">
        <is>
          <t>hospitality_belonging_raw</t>
        </is>
      </c>
      <c r="F2516" t="inlineStr">
        <is>
          <t>Hospitality and belonging raw</t>
        </is>
      </c>
      <c r="G2516" t="inlineStr">
        <is>
          <t>community</t>
        </is>
      </c>
      <c r="H2516" t="inlineStr">
        <is>
          <t>yes</t>
        </is>
      </c>
      <c r="I2516" t="inlineStr">
        <is>
          <t>53.39</t>
        </is>
      </c>
      <c r="J2516" t="inlineStr">
        <is>
          <t>world_bank</t>
        </is>
      </c>
      <c r="K2516" t="inlineStr">
        <is>
          <t>https://api.worldbank.org/v2/country/SAU/indicator/SM.POP.NETM?format=json&amp;mrv=10</t>
        </is>
      </c>
      <c r="L2516" t="inlineStr">
        <is>
          <t>World Bank WDI: Net migration (proxy for hospitality/belonging — positive = welcoming)</t>
        </is>
      </c>
      <c r="M2516" t="inlineStr">
        <is>
          <t>2025-12-31</t>
        </is>
      </c>
      <c r="N2516" t="inlineStr">
        <is>
          <t>auto_ingest=world_bank_proxy; proxy=net_migration_hospitality; indicator=SM.POP.NETM; year=2025; country_proxy=Saudi Arabia</t>
        </is>
      </c>
    </row>
    <row r="2517">
      <c r="A2517" t="inlineStr">
        <is>
          <t>sa-jeddah</t>
        </is>
      </c>
      <c r="B2517" t="inlineStr">
        <is>
          <t>Jeddah</t>
        </is>
      </c>
      <c r="C2517" t="inlineStr">
        <is>
          <t>Saudi Arabia</t>
        </is>
      </c>
      <c r="D2517" t="inlineStr">
        <is>
          <t>Middle East</t>
        </is>
      </c>
      <c r="E2517" t="inlineStr">
        <is>
          <t>tolerance_pluralism_raw</t>
        </is>
      </c>
      <c r="F2517" t="inlineStr">
        <is>
          <t>Tolerance and pluralism raw</t>
        </is>
      </c>
      <c r="G2517" t="inlineStr">
        <is>
          <t>community</t>
        </is>
      </c>
      <c r="H2517" t="inlineStr">
        <is>
          <t>yes</t>
        </is>
      </c>
      <c r="I2517" t="inlineStr">
        <is>
          <t>19.87</t>
        </is>
      </c>
      <c r="J2517" t="inlineStr">
        <is>
          <t>world_bank</t>
        </is>
      </c>
      <c r="K2517" t="inlineStr">
        <is>
          <t>https://api.worldbank.org/v2/country/SAU/indicator/SG.GEN.PARL.ZS?format=json&amp;mrv=10</t>
        </is>
      </c>
      <c r="L2517" t="inlineStr">
        <is>
          <t>World Bank WDI: Proportion of seats held by women in national parliaments (%)</t>
        </is>
      </c>
      <c r="M2517" t="inlineStr">
        <is>
          <t>2024-12-31</t>
        </is>
      </c>
      <c r="N2517" t="inlineStr">
        <is>
          <t>auto_ingest=world_bank_proxy; proxy=gender_parity_parliament; indicator=SG.GEN.PARL.ZS; year=2024; country_proxy=Saudi Arabia</t>
        </is>
      </c>
    </row>
    <row r="2518">
      <c r="A2518" t="inlineStr">
        <is>
          <t>sa-jeddah</t>
        </is>
      </c>
      <c r="B2518" t="inlineStr">
        <is>
          <t>Jeddah</t>
        </is>
      </c>
      <c r="C2518" t="inlineStr">
        <is>
          <t>Saudi Arabia</t>
        </is>
      </c>
      <c r="D2518" t="inlineStr">
        <is>
          <t>Middle East</t>
        </is>
      </c>
      <c r="E2518" t="inlineStr">
        <is>
          <t>cultural_public_life_raw</t>
        </is>
      </c>
      <c r="F2518" t="inlineStr">
        <is>
          <t>Cultural public life raw</t>
        </is>
      </c>
      <c r="G2518" t="inlineStr">
        <is>
          <t>community</t>
        </is>
      </c>
      <c r="H2518" t="inlineStr">
        <is>
          <t>yes</t>
        </is>
      </c>
      <c r="I2518" t="inlineStr">
        <is>
          <t>574.84</t>
        </is>
      </c>
      <c r="J2518" t="inlineStr">
        <is>
          <t>world_bank</t>
        </is>
      </c>
      <c r="K2518" t="inlineStr">
        <is>
          <t>https://api.worldbank.org/v2/country/SAU/indicator/ST.INT.ARVL?format=json&amp;mrv=10</t>
        </is>
      </c>
      <c r="L2518" t="inlineStr">
        <is>
          <t>World Bank WDI: International tourism arrivals per 1 000 population</t>
        </is>
      </c>
      <c r="M2518" t="inlineStr">
        <is>
          <t>2019-12-31</t>
        </is>
      </c>
      <c r="N2518" t="inlineStr">
        <is>
          <t>auto_ingest=cultural_life_proxy; indicator=ST.INT.ARVL; norm=per_1000_pop; year=2019; country_proxy=Saudi Arabia</t>
        </is>
      </c>
    </row>
    <row r="2519">
      <c r="A2519" t="inlineStr">
        <is>
          <t>sa-jeddah</t>
        </is>
      </c>
      <c r="B2519" t="inlineStr">
        <is>
          <t>Jeddah</t>
        </is>
      </c>
      <c r="C2519" t="inlineStr">
        <is>
          <t>Saudi Arabia</t>
        </is>
      </c>
      <c r="D2519" t="inlineStr">
        <is>
          <t>Middle East</t>
        </is>
      </c>
      <c r="E2519" t="inlineStr">
        <is>
          <t>birth_rate_optimism_raw</t>
        </is>
      </c>
      <c r="F2519" t="inlineStr">
        <is>
          <t>Birth rate and societal optimism raw</t>
        </is>
      </c>
      <c r="G2519" t="inlineStr">
        <is>
          <t>community</t>
        </is>
      </c>
      <c r="H2519" t="inlineStr">
        <is>
          <t>yes</t>
        </is>
      </c>
      <c r="I2519" t="inlineStr">
        <is>
          <t>2.37</t>
        </is>
      </c>
      <c r="J2519" t="inlineStr">
        <is>
          <t>world_bank</t>
        </is>
      </c>
      <c r="K2519" t="inlineStr">
        <is>
          <t>https://data.worldbank.org/indicator/SP.DYN.TFRT.IN</t>
        </is>
      </c>
      <c r="L2519" t="inlineStr">
        <is>
          <t>World Bank Total Fertility Rate 2023</t>
        </is>
      </c>
      <c r="M2519" t="inlineStr">
        <is>
          <t>2024-01-01</t>
        </is>
      </c>
      <c r="N2519" t="inlineStr"/>
    </row>
    <row r="2520">
      <c r="A2520" t="inlineStr">
        <is>
          <t>sa-jeddah</t>
        </is>
      </c>
      <c r="B2520" t="inlineStr">
        <is>
          <t>Jeddah</t>
        </is>
      </c>
      <c r="C2520" t="inlineStr">
        <is>
          <t>Saudi Arabia</t>
        </is>
      </c>
      <c r="D2520" t="inlineStr">
        <is>
          <t>Middle East</t>
        </is>
      </c>
      <c r="E2520" t="inlineStr">
        <is>
          <t>entrepreneurial_dynamism_raw</t>
        </is>
      </c>
      <c r="F2520" t="inlineStr">
        <is>
          <t>Entrepreneurial dynamism raw</t>
        </is>
      </c>
      <c r="G2520" t="inlineStr">
        <is>
          <t>creative</t>
        </is>
      </c>
      <c r="H2520" t="inlineStr">
        <is>
          <t>yes</t>
        </is>
      </c>
      <c r="I2520" t="inlineStr">
        <is>
          <t>0.9</t>
        </is>
      </c>
      <c r="J2520" t="inlineStr">
        <is>
          <t>world_bank</t>
        </is>
      </c>
      <c r="K2520" t="inlineStr">
        <is>
          <t>https://api.worldbank.org/v2/country/SAU/indicator/IC.BUS.NDNS.ZS?format=json&amp;mrv=10</t>
        </is>
      </c>
      <c r="L2520" t="inlineStr">
        <is>
          <t>World Bank WDI: New business density (new registrations per 1,000 people ages 15-64)</t>
        </is>
      </c>
      <c r="M2520" t="inlineStr">
        <is>
          <t>2022-12-31</t>
        </is>
      </c>
      <c r="N2520" t="inlineStr">
        <is>
          <t>auto_ingest=world_bank_creative_extended; indicator=IC.BUS.NDNS.ZS; year=2022; country_proxy=Saudi Arabia</t>
        </is>
      </c>
    </row>
    <row r="2521">
      <c r="A2521" t="inlineStr">
        <is>
          <t>sa-jeddah</t>
        </is>
      </c>
      <c r="B2521" t="inlineStr">
        <is>
          <t>Jeddah</t>
        </is>
      </c>
      <c r="C2521" t="inlineStr">
        <is>
          <t>Saudi Arabia</t>
        </is>
      </c>
      <c r="D2521" t="inlineStr">
        <is>
          <t>Middle East</t>
        </is>
      </c>
      <c r="E2521" t="inlineStr">
        <is>
          <t>innovation_research_intensity_raw</t>
        </is>
      </c>
      <c r="F2521" t="inlineStr">
        <is>
          <t>Innovation and research raw</t>
        </is>
      </c>
      <c r="G2521" t="inlineStr">
        <is>
          <t>creative</t>
        </is>
      </c>
      <c r="H2521" t="inlineStr">
        <is>
          <t>yes</t>
        </is>
      </c>
      <c r="I2521" t="inlineStr">
        <is>
          <t>0.56</t>
        </is>
      </c>
      <c r="J2521" t="inlineStr">
        <is>
          <t>world_bank</t>
        </is>
      </c>
      <c r="K2521" t="inlineStr">
        <is>
          <t>https://api.worldbank.org/v2/country/SAU/indicator/GB.XPD.RSDV.GD.ZS?format=json&amp;mrv=10</t>
        </is>
      </c>
      <c r="L2521" t="inlineStr">
        <is>
          <t>World Bank WDI: Research and development expenditure (% of GDP)</t>
        </is>
      </c>
      <c r="M2521" t="inlineStr">
        <is>
          <t>2023-12-31</t>
        </is>
      </c>
      <c r="N2521" t="inlineStr">
        <is>
          <t>auto_ingest=world_bank_creative_extended; indicator=GB.XPD.RSDV.GD.ZS; year=2023; country_proxy=Saudi Arabia</t>
        </is>
      </c>
    </row>
    <row r="2522">
      <c r="A2522" t="inlineStr">
        <is>
          <t>sa-jeddah</t>
        </is>
      </c>
      <c r="B2522" t="inlineStr">
        <is>
          <t>Jeddah</t>
        </is>
      </c>
      <c r="C2522" t="inlineStr">
        <is>
          <t>Saudi Arabia</t>
        </is>
      </c>
      <c r="D2522" t="inlineStr">
        <is>
          <t>Middle East</t>
        </is>
      </c>
      <c r="E2522" t="inlineStr">
        <is>
          <t>investment_signal_raw</t>
        </is>
      </c>
      <c r="F2522" t="inlineStr">
        <is>
          <t>Investment signal raw</t>
        </is>
      </c>
      <c r="G2522" t="inlineStr">
        <is>
          <t>creative</t>
        </is>
      </c>
      <c r="H2522" t="inlineStr">
        <is>
          <t>yes</t>
        </is>
      </c>
      <c r="I2522" t="inlineStr">
        <is>
          <t>1.72</t>
        </is>
      </c>
      <c r="J2522" t="inlineStr">
        <is>
          <t>world_bank</t>
        </is>
      </c>
      <c r="K2522" t="inlineStr">
        <is>
          <t>https://api.worldbank.org/v2/country/SAU/indicator/BX.KLT.DINV.WD.GD.ZS?format=json&amp;mrv=10</t>
        </is>
      </c>
      <c r="L2522" t="inlineStr">
        <is>
          <t>World Bank WDI: Foreign direct investment, net inflows (% of GDP)</t>
        </is>
      </c>
      <c r="M2522" t="inlineStr">
        <is>
          <t>2024-12-31</t>
        </is>
      </c>
      <c r="N2522" t="inlineStr">
        <is>
          <t>auto_ingest=world_bank_creative_extended; indicator=BX.KLT.DINV.WD.GD.ZS; year=2024; country_proxy=Saudi Arabia</t>
        </is>
      </c>
    </row>
    <row r="2523">
      <c r="A2523" t="inlineStr">
        <is>
          <t>sa-jeddah</t>
        </is>
      </c>
      <c r="B2523" t="inlineStr">
        <is>
          <t>Jeddah</t>
        </is>
      </c>
      <c r="C2523" t="inlineStr">
        <is>
          <t>Saudi Arabia</t>
        </is>
      </c>
      <c r="D2523" t="inlineStr">
        <is>
          <t>Middle East</t>
        </is>
      </c>
      <c r="E2523" t="inlineStr">
        <is>
          <t>administrative_investment_friction_raw</t>
        </is>
      </c>
      <c r="F2523" t="inlineStr">
        <is>
          <t>Administrative investment friction raw</t>
        </is>
      </c>
      <c r="G2523" t="inlineStr">
        <is>
          <t>creative</t>
        </is>
      </c>
      <c r="H2523" t="inlineStr">
        <is>
          <t>yes</t>
        </is>
      </c>
      <c r="I2523" t="inlineStr">
        <is>
          <t>1.98</t>
        </is>
      </c>
      <c r="J2523" t="inlineStr">
        <is>
          <t>world_bank</t>
        </is>
      </c>
      <c r="K2523" t="inlineStr">
        <is>
          <t>https://api.worldbank.org/v2/country/SAU/indicator/RQ.EST?format=json&amp;mrv=10</t>
        </is>
      </c>
      <c r="L2523" t="inlineStr">
        <is>
          <t>World Bank WGI: Regulatory Quality (inverted as friction proxy)</t>
        </is>
      </c>
      <c r="M2523" t="inlineStr">
        <is>
          <t>2023-12-31</t>
        </is>
      </c>
      <c r="N2523" t="inlineStr">
        <is>
          <t>auto_ingest=world_bank_business_friction; indicator=RQ.EST; raw_rq=0.517070889472961; friction=1.98; year=2023; country_proxy=Saudi Arabia</t>
        </is>
      </c>
    </row>
    <row r="2524">
      <c r="A2524" t="inlineStr">
        <is>
          <t>sa-jeddah</t>
        </is>
      </c>
      <c r="B2524" t="inlineStr">
        <is>
          <t>Jeddah</t>
        </is>
      </c>
      <c r="C2524" t="inlineStr">
        <is>
          <t>Saudi Arabia</t>
        </is>
      </c>
      <c r="D2524" t="inlineStr">
        <is>
          <t>Middle East</t>
        </is>
      </c>
      <c r="E2524" t="inlineStr">
        <is>
          <t>visitor_flow_context_raw</t>
        </is>
      </c>
      <c r="F2524" t="inlineStr">
        <is>
          <t>Visitor flow context raw</t>
        </is>
      </c>
      <c r="G2524" t="inlineStr">
        <is>
          <t>creative</t>
        </is>
      </c>
      <c r="H2524" t="inlineStr">
        <is>
          <t>no</t>
        </is>
      </c>
      <c r="I2524" t="inlineStr"/>
      <c r="J2524" t="inlineStr"/>
      <c r="K2524" t="inlineStr"/>
      <c r="L2524" t="inlineStr"/>
      <c r="M2524" t="inlineStr"/>
      <c r="N2524" t="inlineStr"/>
    </row>
    <row r="2525">
      <c r="A2525" t="inlineStr">
        <is>
          <t>kw-kuwait-city</t>
        </is>
      </c>
      <c r="B2525" t="inlineStr">
        <is>
          <t>Kuwait City</t>
        </is>
      </c>
      <c r="C2525" t="inlineStr">
        <is>
          <t>Kuwait</t>
        </is>
      </c>
      <c r="D2525" t="inlineStr">
        <is>
          <t>Middle East</t>
        </is>
      </c>
      <c r="E2525" t="inlineStr">
        <is>
          <t>gross_income</t>
        </is>
      </c>
      <c r="F2525" t="inlineStr">
        <is>
          <t>Gross income</t>
        </is>
      </c>
      <c r="G2525" t="inlineStr">
        <is>
          <t>pressure</t>
        </is>
      </c>
      <c r="H2525" t="inlineStr">
        <is>
          <t>yes</t>
        </is>
      </c>
      <c r="I2525" t="inlineStr">
        <is>
          <t>5272.5</t>
        </is>
      </c>
      <c r="J2525" t="inlineStr">
        <is>
          <t>world_bank_col_estimate</t>
        </is>
      </c>
      <c r="K2525" t="inlineStr">
        <is>
          <t>https://api.worldbank.org/v2/country/KWT/indicator/NY.GNP.PCAP.PP.CD?format=json&amp;mrv=10</t>
        </is>
      </c>
      <c r="L2525" t="inlineStr">
        <is>
          <t>World Bank WDI: GNI per capita PPP (monthly USD)</t>
        </is>
      </c>
      <c r="M2525" t="inlineStr">
        <is>
          <t>2024-12-31</t>
        </is>
      </c>
      <c r="N2525" t="inlineStr">
        <is>
          <t>auto_ingest=world_bank_col_estimate; gni_annual=63270.0; year=2024; country_proxy=Kuwait; cohort=Middle East</t>
        </is>
      </c>
    </row>
    <row r="2526">
      <c r="A2526" t="inlineStr">
        <is>
          <t>kw-kuwait-city</t>
        </is>
      </c>
      <c r="B2526" t="inlineStr">
        <is>
          <t>Kuwait City</t>
        </is>
      </c>
      <c r="C2526" t="inlineStr">
        <is>
          <t>Kuwait</t>
        </is>
      </c>
      <c r="D2526" t="inlineStr">
        <is>
          <t>Middle East</t>
        </is>
      </c>
      <c r="E2526" t="inlineStr">
        <is>
          <t>di_ppp_raw</t>
        </is>
      </c>
      <c r="F2526" t="inlineStr">
        <is>
          <t>Disposable income PPP (Raw)</t>
        </is>
      </c>
      <c r="G2526" t="inlineStr">
        <is>
          <t>pressure</t>
        </is>
      </c>
      <c r="H2526" t="inlineStr">
        <is>
          <t>yes</t>
        </is>
      </c>
      <c r="I2526" t="inlineStr"/>
      <c r="J2526" t="inlineStr"/>
      <c r="K2526" t="inlineStr"/>
      <c r="L2526" t="inlineStr"/>
      <c r="M2526" t="inlineStr"/>
      <c r="N2526" t="inlineStr"/>
    </row>
    <row r="2527">
      <c r="A2527" t="inlineStr">
        <is>
          <t>kw-kuwait-city</t>
        </is>
      </c>
      <c r="B2527" t="inlineStr">
        <is>
          <t>Kuwait City</t>
        </is>
      </c>
      <c r="C2527" t="inlineStr">
        <is>
          <t>Kuwait</t>
        </is>
      </c>
      <c r="D2527" t="inlineStr">
        <is>
          <t>Middle East</t>
        </is>
      </c>
      <c r="E2527" t="inlineStr">
        <is>
          <t>rent</t>
        </is>
      </c>
      <c r="F2527" t="inlineStr">
        <is>
          <t>Rent</t>
        </is>
      </c>
      <c r="G2527" t="inlineStr">
        <is>
          <t>pressure</t>
        </is>
      </c>
      <c r="H2527" t="inlineStr">
        <is>
          <t>yes</t>
        </is>
      </c>
      <c r="I2527" t="inlineStr">
        <is>
          <t>1318.12</t>
        </is>
      </c>
      <c r="J2527" t="inlineStr">
        <is>
          <t>world_bank_col_estimate</t>
        </is>
      </c>
      <c r="K2527" t="inlineStr">
        <is>
          <t>https://api.worldbank.org/v2/country/KWT/indicator/NY.GNP.PCAP.PP.CD?format=json&amp;mrv=10</t>
        </is>
      </c>
      <c r="L2527" t="inlineStr">
        <is>
          <t>World Bank GNI + regional expenditure ratio estimate</t>
        </is>
      </c>
      <c r="M2527" t="inlineStr">
        <is>
          <t>2024-12-31</t>
        </is>
      </c>
      <c r="N2527" t="inlineStr">
        <is>
          <t>auto_ingest=world_bank_col_estimate; gni_annual=63270.0; year=2024; country_proxy=Kuwait; cohort=Middle East</t>
        </is>
      </c>
    </row>
    <row r="2528">
      <c r="A2528" t="inlineStr">
        <is>
          <t>kw-kuwait-city</t>
        </is>
      </c>
      <c r="B2528" t="inlineStr">
        <is>
          <t>Kuwait City</t>
        </is>
      </c>
      <c r="C2528" t="inlineStr">
        <is>
          <t>Kuwait</t>
        </is>
      </c>
      <c r="D2528" t="inlineStr">
        <is>
          <t>Middle East</t>
        </is>
      </c>
      <c r="E2528" t="inlineStr">
        <is>
          <t>utilities</t>
        </is>
      </c>
      <c r="F2528" t="inlineStr">
        <is>
          <t>Utilities</t>
        </is>
      </c>
      <c r="G2528" t="inlineStr">
        <is>
          <t>pressure</t>
        </is>
      </c>
      <c r="H2528" t="inlineStr">
        <is>
          <t>yes</t>
        </is>
      </c>
      <c r="I2528" t="inlineStr">
        <is>
          <t>263.62</t>
        </is>
      </c>
      <c r="J2528" t="inlineStr">
        <is>
          <t>world_bank_col_estimate</t>
        </is>
      </c>
      <c r="K2528" t="inlineStr">
        <is>
          <t>https://api.worldbank.org/v2/country/KWT/indicator/NY.GNP.PCAP.PP.CD?format=json&amp;mrv=10</t>
        </is>
      </c>
      <c r="L2528" t="inlineStr">
        <is>
          <t>World Bank GNI + regional expenditure ratio estimate</t>
        </is>
      </c>
      <c r="M2528" t="inlineStr">
        <is>
          <t>2024-12-31</t>
        </is>
      </c>
      <c r="N2528" t="inlineStr">
        <is>
          <t>auto_ingest=world_bank_col_estimate; gni_annual=63270.0; year=2024; country_proxy=Kuwait; cohort=Middle East</t>
        </is>
      </c>
    </row>
    <row r="2529">
      <c r="A2529" t="inlineStr">
        <is>
          <t>kw-kuwait-city</t>
        </is>
      </c>
      <c r="B2529" t="inlineStr">
        <is>
          <t>Kuwait City</t>
        </is>
      </c>
      <c r="C2529" t="inlineStr">
        <is>
          <t>Kuwait</t>
        </is>
      </c>
      <c r="D2529" t="inlineStr">
        <is>
          <t>Middle East</t>
        </is>
      </c>
      <c r="E2529" t="inlineStr">
        <is>
          <t>transit_cost</t>
        </is>
      </c>
      <c r="F2529" t="inlineStr">
        <is>
          <t>Transit cost</t>
        </is>
      </c>
      <c r="G2529" t="inlineStr">
        <is>
          <t>pressure</t>
        </is>
      </c>
      <c r="H2529" t="inlineStr">
        <is>
          <t>yes</t>
        </is>
      </c>
      <c r="I2529" t="inlineStr">
        <is>
          <t>210.9</t>
        </is>
      </c>
      <c r="J2529" t="inlineStr">
        <is>
          <t>world_bank_col_estimate</t>
        </is>
      </c>
      <c r="K2529" t="inlineStr">
        <is>
          <t>https://api.worldbank.org/v2/country/KWT/indicator/NY.GNP.PCAP.PP.CD?format=json&amp;mrv=10</t>
        </is>
      </c>
      <c r="L2529" t="inlineStr">
        <is>
          <t>World Bank GNI + regional expenditure ratio estimate</t>
        </is>
      </c>
      <c r="M2529" t="inlineStr">
        <is>
          <t>2024-12-31</t>
        </is>
      </c>
      <c r="N2529" t="inlineStr">
        <is>
          <t>auto_ingest=world_bank_col_estimate; gni_annual=63270.0; year=2024; country_proxy=Kuwait; cohort=Middle East</t>
        </is>
      </c>
    </row>
    <row r="2530">
      <c r="A2530" t="inlineStr">
        <is>
          <t>kw-kuwait-city</t>
        </is>
      </c>
      <c r="B2530" t="inlineStr">
        <is>
          <t>Kuwait City</t>
        </is>
      </c>
      <c r="C2530" t="inlineStr">
        <is>
          <t>Kuwait</t>
        </is>
      </c>
      <c r="D2530" t="inlineStr">
        <is>
          <t>Middle East</t>
        </is>
      </c>
      <c r="E2530" t="inlineStr">
        <is>
          <t>internet_cost</t>
        </is>
      </c>
      <c r="F2530" t="inlineStr">
        <is>
          <t>Internet cost</t>
        </is>
      </c>
      <c r="G2530" t="inlineStr">
        <is>
          <t>pressure</t>
        </is>
      </c>
      <c r="H2530" t="inlineStr">
        <is>
          <t>yes</t>
        </is>
      </c>
      <c r="I2530" t="inlineStr">
        <is>
          <t>79.09</t>
        </is>
      </c>
      <c r="J2530" t="inlineStr">
        <is>
          <t>world_bank_col_estimate</t>
        </is>
      </c>
      <c r="K2530" t="inlineStr">
        <is>
          <t>https://api.worldbank.org/v2/country/KWT/indicator/NY.GNP.PCAP.PP.CD?format=json&amp;mrv=10</t>
        </is>
      </c>
      <c r="L2530" t="inlineStr">
        <is>
          <t>World Bank GNI + regional expenditure ratio estimate</t>
        </is>
      </c>
      <c r="M2530" t="inlineStr">
        <is>
          <t>2024-12-31</t>
        </is>
      </c>
      <c r="N2530" t="inlineStr">
        <is>
          <t>auto_ingest=world_bank_col_estimate; gni_annual=63270.0; year=2024; country_proxy=Kuwait; cohort=Middle East</t>
        </is>
      </c>
    </row>
    <row r="2531">
      <c r="A2531" t="inlineStr">
        <is>
          <t>kw-kuwait-city</t>
        </is>
      </c>
      <c r="B2531" t="inlineStr">
        <is>
          <t>Kuwait City</t>
        </is>
      </c>
      <c r="C2531" t="inlineStr">
        <is>
          <t>Kuwait</t>
        </is>
      </c>
      <c r="D2531" t="inlineStr">
        <is>
          <t>Middle East</t>
        </is>
      </c>
      <c r="E2531" t="inlineStr">
        <is>
          <t>food_cost</t>
        </is>
      </c>
      <c r="F2531" t="inlineStr">
        <is>
          <t>Food cost</t>
        </is>
      </c>
      <c r="G2531" t="inlineStr">
        <is>
          <t>pressure</t>
        </is>
      </c>
      <c r="H2531" t="inlineStr">
        <is>
          <t>yes</t>
        </is>
      </c>
      <c r="I2531" t="inlineStr">
        <is>
          <t>949.05</t>
        </is>
      </c>
      <c r="J2531" t="inlineStr">
        <is>
          <t>world_bank_col_estimate</t>
        </is>
      </c>
      <c r="K2531" t="inlineStr">
        <is>
          <t>https://api.worldbank.org/v2/country/KWT/indicator/NY.GNP.PCAP.PP.CD?format=json&amp;mrv=10</t>
        </is>
      </c>
      <c r="L2531" t="inlineStr">
        <is>
          <t>World Bank GNI + regional expenditure ratio estimate</t>
        </is>
      </c>
      <c r="M2531" t="inlineStr">
        <is>
          <t>2024-12-31</t>
        </is>
      </c>
      <c r="N2531" t="inlineStr">
        <is>
          <t>auto_ingest=world_bank_col_estimate; gni_annual=63270.0; year=2024; country_proxy=Kuwait; cohort=Middle East</t>
        </is>
      </c>
    </row>
    <row r="2532">
      <c r="A2532" t="inlineStr">
        <is>
          <t>kw-kuwait-city</t>
        </is>
      </c>
      <c r="B2532" t="inlineStr">
        <is>
          <t>Kuwait City</t>
        </is>
      </c>
      <c r="C2532" t="inlineStr">
        <is>
          <t>Kuwait</t>
        </is>
      </c>
      <c r="D2532" t="inlineStr">
        <is>
          <t>Middle East</t>
        </is>
      </c>
      <c r="E2532" t="inlineStr">
        <is>
          <t>housing_burden_raw</t>
        </is>
      </c>
      <c r="F2532" t="inlineStr">
        <is>
          <t>Housing burden raw</t>
        </is>
      </c>
      <c r="G2532" t="inlineStr">
        <is>
          <t>pressure</t>
        </is>
      </c>
      <c r="H2532" t="inlineStr">
        <is>
          <t>yes</t>
        </is>
      </c>
      <c r="I2532" t="inlineStr">
        <is>
          <t>24.9999</t>
        </is>
      </c>
      <c r="J2532" t="inlineStr">
        <is>
          <t>derived</t>
        </is>
      </c>
      <c r="K2532" t="inlineStr">
        <is>
          <t>https://data.worldbank.org/indicator/NY.GNP.PCAP.PP.CD</t>
        </is>
      </c>
      <c r="L2532" t="inlineStr">
        <is>
          <t>Computed from city_inputs + country_context</t>
        </is>
      </c>
      <c r="M2532" t="inlineStr">
        <is>
          <t>2024-01-01</t>
        </is>
      </c>
      <c r="N2532" t="inlineStr">
        <is>
          <t>derived=rent/gross_income*100</t>
        </is>
      </c>
    </row>
    <row r="2533">
      <c r="A2533" t="inlineStr">
        <is>
          <t>kw-kuwait-city</t>
        </is>
      </c>
      <c r="B2533" t="inlineStr">
        <is>
          <t>Kuwait City</t>
        </is>
      </c>
      <c r="C2533" t="inlineStr">
        <is>
          <t>Kuwait</t>
        </is>
      </c>
      <c r="D2533" t="inlineStr">
        <is>
          <t>Middle East</t>
        </is>
      </c>
      <c r="E2533" t="inlineStr">
        <is>
          <t>household_debt_burden_raw</t>
        </is>
      </c>
      <c r="F2533" t="inlineStr">
        <is>
          <t>Household debt burden raw</t>
        </is>
      </c>
      <c r="G2533" t="inlineStr">
        <is>
          <t>pressure</t>
        </is>
      </c>
      <c r="H2533" t="inlineStr">
        <is>
          <t>yes</t>
        </is>
      </c>
      <c r="I2533" t="inlineStr">
        <is>
          <t>4.3975</t>
        </is>
      </c>
      <c r="J2533" t="inlineStr">
        <is>
          <t>derived</t>
        </is>
      </c>
      <c r="K2533" t="inlineStr">
        <is>
          <t>https://data.worldbank.org/indicator/NY.GNP.PCAP.PP.CD</t>
        </is>
      </c>
      <c r="L2533" t="inlineStr">
        <is>
          <t>Computed from city_inputs + country_context</t>
        </is>
      </c>
      <c r="M2533" t="inlineStr">
        <is>
          <t>2024-01-01</t>
        </is>
      </c>
      <c r="N2533" t="inlineStr">
        <is>
          <t>derived=country_context.household_debt_proxy; country=Kuwait</t>
        </is>
      </c>
    </row>
    <row r="2534">
      <c r="A2534" t="inlineStr">
        <is>
          <t>kw-kuwait-city</t>
        </is>
      </c>
      <c r="B2534" t="inlineStr">
        <is>
          <t>Kuwait City</t>
        </is>
      </c>
      <c r="C2534" t="inlineStr">
        <is>
          <t>Kuwait</t>
        </is>
      </c>
      <c r="D2534" t="inlineStr">
        <is>
          <t>Middle East</t>
        </is>
      </c>
      <c r="E2534" t="inlineStr">
        <is>
          <t>working_time_pressure_raw</t>
        </is>
      </c>
      <c r="F2534" t="inlineStr">
        <is>
          <t>Working time pressure raw</t>
        </is>
      </c>
      <c r="G2534" t="inlineStr">
        <is>
          <t>pressure</t>
        </is>
      </c>
      <c r="H2534" t="inlineStr">
        <is>
          <t>yes</t>
        </is>
      </c>
      <c r="I2534" t="inlineStr"/>
      <c r="J2534" t="inlineStr"/>
      <c r="K2534" t="inlineStr"/>
      <c r="L2534" t="inlineStr"/>
      <c r="M2534" t="inlineStr"/>
      <c r="N2534" t="inlineStr"/>
    </row>
    <row r="2535">
      <c r="A2535" t="inlineStr">
        <is>
          <t>kw-kuwait-city</t>
        </is>
      </c>
      <c r="B2535" t="inlineStr">
        <is>
          <t>Kuwait City</t>
        </is>
      </c>
      <c r="C2535" t="inlineStr">
        <is>
          <t>Kuwait</t>
        </is>
      </c>
      <c r="D2535" t="inlineStr">
        <is>
          <t>Middle East</t>
        </is>
      </c>
      <c r="E2535" t="inlineStr">
        <is>
          <t>suicide_mental_strain_raw</t>
        </is>
      </c>
      <c r="F2535" t="inlineStr">
        <is>
          <t>Suicide or mental strain raw</t>
        </is>
      </c>
      <c r="G2535" t="inlineStr">
        <is>
          <t>pressure</t>
        </is>
      </c>
      <c r="H2535" t="inlineStr">
        <is>
          <t>yes</t>
        </is>
      </c>
      <c r="I2535" t="inlineStr">
        <is>
          <t>2.31</t>
        </is>
      </c>
      <c r="J2535" t="inlineStr">
        <is>
          <t>who_gho</t>
        </is>
      </c>
      <c r="K2535" t="inlineStr">
        <is>
          <t>https://www.who.int/data/gho/data/indicators/indicator-details/GHO/SDGSUICIDE</t>
        </is>
      </c>
      <c r="L2535" t="inlineStr">
        <is>
          <t>WHO GHO: Age-standardized suicide rate (per 100,000 population)</t>
        </is>
      </c>
      <c r="M2535" t="inlineStr">
        <is>
          <t>2021-12-31</t>
        </is>
      </c>
      <c r="N2535" t="inlineStr">
        <is>
          <t>auto_ingest=who_gho; indicator=SDGSUICIDE; year=2021; country_proxy=Kuwait</t>
        </is>
      </c>
    </row>
    <row r="2536">
      <c r="A2536" t="inlineStr">
        <is>
          <t>kw-kuwait-city</t>
        </is>
      </c>
      <c r="B2536" t="inlineStr">
        <is>
          <t>Kuwait City</t>
        </is>
      </c>
      <c r="C2536" t="inlineStr">
        <is>
          <t>Kuwait</t>
        </is>
      </c>
      <c r="D2536" t="inlineStr">
        <is>
          <t>Middle East</t>
        </is>
      </c>
      <c r="E2536" t="inlineStr">
        <is>
          <t>personal_safety_raw</t>
        </is>
      </c>
      <c r="F2536" t="inlineStr">
        <is>
          <t>Personal safety raw</t>
        </is>
      </c>
      <c r="G2536" t="inlineStr">
        <is>
          <t>viability</t>
        </is>
      </c>
      <c r="H2536" t="inlineStr">
        <is>
          <t>yes</t>
        </is>
      </c>
      <c r="I2536" t="inlineStr">
        <is>
          <t>0.25</t>
        </is>
      </c>
      <c r="J2536" t="inlineStr">
        <is>
          <t>world_bank</t>
        </is>
      </c>
      <c r="K2536" t="inlineStr">
        <is>
          <t>https://api.worldbank.org/v2/country/KWT/indicator/VC.IHR.PSRC.P5?format=json&amp;mrv=10</t>
        </is>
      </c>
      <c r="L2536" t="inlineStr">
        <is>
          <t>UNODC via World Bank WDI: Intentional homicides (per 100,000 people)</t>
        </is>
      </c>
      <c r="M2536" t="inlineStr">
        <is>
          <t>2020-12-31</t>
        </is>
      </c>
      <c r="N2536" t="inlineStr">
        <is>
          <t>auto_ingest=unodc_safety; indicator=VC.IHR.PSRC.P5; year=2020; country_proxy=Kuwait</t>
        </is>
      </c>
    </row>
    <row r="2537">
      <c r="A2537" t="inlineStr">
        <is>
          <t>kw-kuwait-city</t>
        </is>
      </c>
      <c r="B2537" t="inlineStr">
        <is>
          <t>Kuwait City</t>
        </is>
      </c>
      <c r="C2537" t="inlineStr">
        <is>
          <t>Kuwait</t>
        </is>
      </c>
      <c r="D2537" t="inlineStr">
        <is>
          <t>Middle East</t>
        </is>
      </c>
      <c r="E2537" t="inlineStr">
        <is>
          <t>transit_access_commute_raw</t>
        </is>
      </c>
      <c r="F2537" t="inlineStr">
        <is>
          <t>Transit access and commute raw</t>
        </is>
      </c>
      <c r="G2537" t="inlineStr">
        <is>
          <t>viability</t>
        </is>
      </c>
      <c r="H2537" t="inlineStr">
        <is>
          <t>yes</t>
        </is>
      </c>
      <c r="I2537" t="inlineStr"/>
      <c r="J2537" t="inlineStr"/>
      <c r="K2537" t="inlineStr"/>
      <c r="L2537" t="inlineStr"/>
      <c r="M2537" t="inlineStr"/>
      <c r="N2537" t="inlineStr"/>
    </row>
    <row r="2538">
      <c r="A2538" t="inlineStr">
        <is>
          <t>kw-kuwait-city</t>
        </is>
      </c>
      <c r="B2538" t="inlineStr">
        <is>
          <t>Kuwait City</t>
        </is>
      </c>
      <c r="C2538" t="inlineStr">
        <is>
          <t>Kuwait</t>
        </is>
      </c>
      <c r="D2538" t="inlineStr">
        <is>
          <t>Middle East</t>
        </is>
      </c>
      <c r="E2538" t="inlineStr">
        <is>
          <t>clean_air_raw</t>
        </is>
      </c>
      <c r="F2538" t="inlineStr">
        <is>
          <t>Clean air raw</t>
        </is>
      </c>
      <c r="G2538" t="inlineStr">
        <is>
          <t>viability</t>
        </is>
      </c>
      <c r="H2538" t="inlineStr">
        <is>
          <t>yes</t>
        </is>
      </c>
      <c r="I2538" t="inlineStr"/>
      <c r="J2538" t="inlineStr"/>
      <c r="K2538" t="inlineStr"/>
      <c r="L2538" t="inlineStr"/>
      <c r="M2538" t="inlineStr"/>
      <c r="N2538" t="inlineStr"/>
    </row>
    <row r="2539">
      <c r="A2539" t="inlineStr">
        <is>
          <t>kw-kuwait-city</t>
        </is>
      </c>
      <c r="B2539" t="inlineStr">
        <is>
          <t>Kuwait City</t>
        </is>
      </c>
      <c r="C2539" t="inlineStr">
        <is>
          <t>Kuwait</t>
        </is>
      </c>
      <c r="D2539" t="inlineStr">
        <is>
          <t>Middle East</t>
        </is>
      </c>
      <c r="E2539" t="inlineStr">
        <is>
          <t>water_sanitation_utility_raw</t>
        </is>
      </c>
      <c r="F2539" t="inlineStr">
        <is>
          <t>Water, sanitation, and utility raw</t>
        </is>
      </c>
      <c r="G2539" t="inlineStr">
        <is>
          <t>viability</t>
        </is>
      </c>
      <c r="H2539" t="inlineStr">
        <is>
          <t>yes</t>
        </is>
      </c>
      <c r="I2539" t="inlineStr">
        <is>
          <t>100.0</t>
        </is>
      </c>
      <c r="J2539" t="inlineStr">
        <is>
          <t>world_bank</t>
        </is>
      </c>
      <c r="K2539" t="inlineStr">
        <is>
          <t>https://api.worldbank.org/v2/country/KWT/indicator/SH.H2O.SMDW.ZS?format=json&amp;mrv=10</t>
        </is>
      </c>
      <c r="L2539" t="inlineStr">
        <is>
          <t>World Bank WDI: People using safely managed drinking water services (% of population)</t>
        </is>
      </c>
      <c r="M2539" t="inlineStr">
        <is>
          <t>2024-12-31</t>
        </is>
      </c>
      <c r="N2539" t="inlineStr">
        <is>
          <t>auto_ingest=world_bank_proxy; indicator=SH.H2O.SMDW.ZS; year=2024; country_proxy=Kuwait</t>
        </is>
      </c>
    </row>
    <row r="2540">
      <c r="A2540" t="inlineStr">
        <is>
          <t>kw-kuwait-city</t>
        </is>
      </c>
      <c r="B2540" t="inlineStr">
        <is>
          <t>Kuwait City</t>
        </is>
      </c>
      <c r="C2540" t="inlineStr">
        <is>
          <t>Kuwait</t>
        </is>
      </c>
      <c r="D2540" t="inlineStr">
        <is>
          <t>Middle East</t>
        </is>
      </c>
      <c r="E2540" t="inlineStr">
        <is>
          <t>digital_infrastructure_raw</t>
        </is>
      </c>
      <c r="F2540" t="inlineStr">
        <is>
          <t>Digital infrastructure raw</t>
        </is>
      </c>
      <c r="G2540" t="inlineStr">
        <is>
          <t>viability</t>
        </is>
      </c>
      <c r="H2540" t="inlineStr">
        <is>
          <t>yes</t>
        </is>
      </c>
      <c r="I2540" t="inlineStr">
        <is>
          <t>1.01</t>
        </is>
      </c>
      <c r="J2540" t="inlineStr">
        <is>
          <t>world_bank</t>
        </is>
      </c>
      <c r="K2540" t="inlineStr">
        <is>
          <t>https://api.worldbank.org/v2/country/KWT/indicator/IT.NET.BBND.P2?format=json&amp;mrv=10</t>
        </is>
      </c>
      <c r="L2540" t="inlineStr">
        <is>
          <t>World Bank WDI: Fixed broadband subscriptions (per 100 people)</t>
        </is>
      </c>
      <c r="M2540" t="inlineStr">
        <is>
          <t>2023-12-31</t>
        </is>
      </c>
      <c r="N2540" t="inlineStr">
        <is>
          <t>auto_ingest=world_bank_proxy; indicator=IT.NET.BBND.P2; year=2023; country_proxy=Kuwait</t>
        </is>
      </c>
    </row>
    <row r="2541">
      <c r="A2541" t="inlineStr">
        <is>
          <t>kw-kuwait-city</t>
        </is>
      </c>
      <c r="B2541" t="inlineStr">
        <is>
          <t>Kuwait City</t>
        </is>
      </c>
      <c r="C2541" t="inlineStr">
        <is>
          <t>Kuwait</t>
        </is>
      </c>
      <c r="D2541" t="inlineStr">
        <is>
          <t>Middle East</t>
        </is>
      </c>
      <c r="E2541" t="inlineStr">
        <is>
          <t>climate_sunlight_livability_raw</t>
        </is>
      </c>
      <c r="F2541" t="inlineStr">
        <is>
          <t>Climate and sunlight livability raw</t>
        </is>
      </c>
      <c r="G2541" t="inlineStr">
        <is>
          <t>viability</t>
        </is>
      </c>
      <c r="H2541" t="inlineStr">
        <is>
          <t>yes</t>
        </is>
      </c>
      <c r="I2541" t="inlineStr">
        <is>
          <t>28</t>
        </is>
      </c>
      <c r="J2541" t="inlineStr">
        <is>
          <t>wmo_natl_met</t>
        </is>
      </c>
      <c r="K2541" t="inlineStr">
        <is>
          <t>https://worldweather.wmo.int</t>
        </is>
      </c>
      <c r="L2541" t="inlineStr">
        <is>
          <t>WMO/National Met: Climate livability composite</t>
        </is>
      </c>
      <c r="M2541" t="inlineStr">
        <is>
          <t>2024-12-31</t>
        </is>
      </c>
      <c r="N2541" t="inlineStr">
        <is>
          <t>auto_seed=climate_composite; 3300 sun hrs, 26C mean, 50C+ summers, most extreme</t>
        </is>
      </c>
    </row>
    <row r="2542">
      <c r="A2542" t="inlineStr">
        <is>
          <t>kw-kuwait-city</t>
        </is>
      </c>
      <c r="B2542" t="inlineStr">
        <is>
          <t>Kuwait City</t>
        </is>
      </c>
      <c r="C2542" t="inlineStr">
        <is>
          <t>Kuwait</t>
        </is>
      </c>
      <c r="D2542" t="inlineStr">
        <is>
          <t>Middle East</t>
        </is>
      </c>
      <c r="E2542" t="inlineStr">
        <is>
          <t>healthcare_quality_raw</t>
        </is>
      </c>
      <c r="F2542" t="inlineStr">
        <is>
          <t>Healthcare quality raw</t>
        </is>
      </c>
      <c r="G2542" t="inlineStr">
        <is>
          <t>capability</t>
        </is>
      </c>
      <c r="H2542" t="inlineStr">
        <is>
          <t>yes</t>
        </is>
      </c>
      <c r="I2542" t="inlineStr">
        <is>
          <t>84.0</t>
        </is>
      </c>
      <c r="J2542" t="inlineStr">
        <is>
          <t>who_gho</t>
        </is>
      </c>
      <c r="K2542" t="inlineStr">
        <is>
          <t>https://www.who.int/data/gho/data/indicators/indicator-details/GHO/UHC_INDEX_REPORTED</t>
        </is>
      </c>
      <c r="L2542" t="inlineStr">
        <is>
          <t>WHO GHO: UHC Service Coverage Index</t>
        </is>
      </c>
      <c r="M2542" t="inlineStr">
        <is>
          <t>2023-12-31</t>
        </is>
      </c>
      <c r="N2542" t="inlineStr">
        <is>
          <t>auto_ingest=who_gho; indicator=UHC_INDEX_REPORTED; year=2023; country_proxy=Kuwait</t>
        </is>
      </c>
    </row>
    <row r="2543">
      <c r="A2543" t="inlineStr">
        <is>
          <t>kw-kuwait-city</t>
        </is>
      </c>
      <c r="B2543" t="inlineStr">
        <is>
          <t>Kuwait City</t>
        </is>
      </c>
      <c r="C2543" t="inlineStr">
        <is>
          <t>Kuwait</t>
        </is>
      </c>
      <c r="D2543" t="inlineStr">
        <is>
          <t>Middle East</t>
        </is>
      </c>
      <c r="E2543" t="inlineStr">
        <is>
          <t>education_quality_raw</t>
        </is>
      </c>
      <c r="F2543" t="inlineStr">
        <is>
          <t>Education quality raw</t>
        </is>
      </c>
      <c r="G2543" t="inlineStr">
        <is>
          <t>capability</t>
        </is>
      </c>
      <c r="H2543" t="inlineStr">
        <is>
          <t>yes</t>
        </is>
      </c>
      <c r="I2543" t="inlineStr">
        <is>
          <t>51.9</t>
        </is>
      </c>
      <c r="J2543" t="inlineStr">
        <is>
          <t>world_bank</t>
        </is>
      </c>
      <c r="K2543" t="inlineStr">
        <is>
          <t>https://api.worldbank.org/v2/country/KWT/indicator/SE.TER.ENRR?format=json&amp;mrv=10</t>
        </is>
      </c>
      <c r="L2543" t="inlineStr">
        <is>
          <t>World Bank WDI: School enrollment, tertiary (% gross)</t>
        </is>
      </c>
      <c r="M2543" t="inlineStr">
        <is>
          <t>2021-12-31</t>
        </is>
      </c>
      <c r="N2543" t="inlineStr">
        <is>
          <t>auto_ingest=world_bank_proxy; indicator=SE.TER.ENRR; year=2021; country_proxy=Kuwait</t>
        </is>
      </c>
    </row>
    <row r="2544">
      <c r="A2544" t="inlineStr">
        <is>
          <t>kw-kuwait-city</t>
        </is>
      </c>
      <c r="B2544" t="inlineStr">
        <is>
          <t>Kuwait City</t>
        </is>
      </c>
      <c r="C2544" t="inlineStr">
        <is>
          <t>Kuwait</t>
        </is>
      </c>
      <c r="D2544" t="inlineStr">
        <is>
          <t>Middle East and North Africa</t>
        </is>
      </c>
      <c r="E2544" t="inlineStr">
        <is>
          <t>equal_opportunity_raw</t>
        </is>
      </c>
      <c r="F2544" t="inlineStr">
        <is>
          <t>Equal opportunity raw</t>
        </is>
      </c>
      <c r="G2544" t="inlineStr">
        <is>
          <t>capability</t>
        </is>
      </c>
      <c r="H2544" t="inlineStr">
        <is>
          <t>yes</t>
        </is>
      </c>
      <c r="I2544" t="inlineStr"/>
      <c r="J2544" t="inlineStr"/>
      <c r="K2544" t="inlineStr"/>
      <c r="L2544" t="inlineStr"/>
      <c r="M2544" t="inlineStr"/>
      <c r="N2544" t="inlineStr"/>
    </row>
    <row r="2545">
      <c r="A2545" t="inlineStr">
        <is>
          <t>kw-kuwait-city</t>
        </is>
      </c>
      <c r="B2545" t="inlineStr">
        <is>
          <t>Kuwait City</t>
        </is>
      </c>
      <c r="C2545" t="inlineStr">
        <is>
          <t>Kuwait</t>
        </is>
      </c>
      <c r="D2545" t="inlineStr">
        <is>
          <t>Middle East</t>
        </is>
      </c>
      <c r="E2545" t="inlineStr">
        <is>
          <t>hospitality_belonging_raw</t>
        </is>
      </c>
      <c r="F2545" t="inlineStr">
        <is>
          <t>Hospitality and belonging raw</t>
        </is>
      </c>
      <c r="G2545" t="inlineStr">
        <is>
          <t>community</t>
        </is>
      </c>
      <c r="H2545" t="inlineStr">
        <is>
          <t>yes</t>
        </is>
      </c>
      <c r="I2545" t="inlineStr">
        <is>
          <t>58.73</t>
        </is>
      </c>
      <c r="J2545" t="inlineStr">
        <is>
          <t>world_bank</t>
        </is>
      </c>
      <c r="K2545" t="inlineStr">
        <is>
          <t>https://api.worldbank.org/v2/country/KWT/indicator/SM.POP.NETM?format=json&amp;mrv=10</t>
        </is>
      </c>
      <c r="L2545" t="inlineStr">
        <is>
          <t>World Bank WDI: Net migration (proxy for hospitality/belonging — positive = welcoming)</t>
        </is>
      </c>
      <c r="M2545" t="inlineStr">
        <is>
          <t>2025-12-31</t>
        </is>
      </c>
      <c r="N2545" t="inlineStr">
        <is>
          <t>auto_ingest=world_bank_proxy; proxy=net_migration_hospitality; indicator=SM.POP.NETM; year=2025; country_proxy=Kuwait</t>
        </is>
      </c>
    </row>
    <row r="2546">
      <c r="A2546" t="inlineStr">
        <is>
          <t>kw-kuwait-city</t>
        </is>
      </c>
      <c r="B2546" t="inlineStr">
        <is>
          <t>Kuwait City</t>
        </is>
      </c>
      <c r="C2546" t="inlineStr">
        <is>
          <t>Kuwait</t>
        </is>
      </c>
      <c r="D2546" t="inlineStr">
        <is>
          <t>Middle East</t>
        </is>
      </c>
      <c r="E2546" t="inlineStr">
        <is>
          <t>tolerance_pluralism_raw</t>
        </is>
      </c>
      <c r="F2546" t="inlineStr">
        <is>
          <t>Tolerance and pluralism raw</t>
        </is>
      </c>
      <c r="G2546" t="inlineStr">
        <is>
          <t>community</t>
        </is>
      </c>
      <c r="H2546" t="inlineStr">
        <is>
          <t>yes</t>
        </is>
      </c>
      <c r="I2546" t="inlineStr">
        <is>
          <t>3.08</t>
        </is>
      </c>
      <c r="J2546" t="inlineStr">
        <is>
          <t>world_bank</t>
        </is>
      </c>
      <c r="K2546" t="inlineStr">
        <is>
          <t>https://api.worldbank.org/v2/country/KWT/indicator/SG.GEN.PARL.ZS?format=json&amp;mrv=10</t>
        </is>
      </c>
      <c r="L2546" t="inlineStr">
        <is>
          <t>World Bank WDI: Proportion of seats held by women in national parliaments (%)</t>
        </is>
      </c>
      <c r="M2546" t="inlineStr">
        <is>
          <t>2023-12-31</t>
        </is>
      </c>
      <c r="N2546" t="inlineStr">
        <is>
          <t>auto_ingest=world_bank_proxy; proxy=gender_parity_parliament; indicator=SG.GEN.PARL.ZS; year=2023; country_proxy=Kuwait</t>
        </is>
      </c>
    </row>
    <row r="2547">
      <c r="A2547" t="inlineStr">
        <is>
          <t>kw-kuwait-city</t>
        </is>
      </c>
      <c r="B2547" t="inlineStr">
        <is>
          <t>Kuwait City</t>
        </is>
      </c>
      <c r="C2547" t="inlineStr">
        <is>
          <t>Kuwait</t>
        </is>
      </c>
      <c r="D2547" t="inlineStr">
        <is>
          <t>Middle East</t>
        </is>
      </c>
      <c r="E2547" t="inlineStr">
        <is>
          <t>cultural_public_life_raw</t>
        </is>
      </c>
      <c r="F2547" t="inlineStr">
        <is>
          <t>Cultural public life raw</t>
        </is>
      </c>
      <c r="G2547" t="inlineStr">
        <is>
          <t>community</t>
        </is>
      </c>
      <c r="H2547" t="inlineStr">
        <is>
          <t>yes</t>
        </is>
      </c>
      <c r="I2547" t="inlineStr">
        <is>
          <t>441.27</t>
        </is>
      </c>
      <c r="J2547" t="inlineStr">
        <is>
          <t>world_bank</t>
        </is>
      </c>
      <c r="K2547" t="inlineStr">
        <is>
          <t>https://api.worldbank.org/v2/country/KWT/indicator/ST.INT.ARVL?format=json&amp;mrv=10</t>
        </is>
      </c>
      <c r="L2547" t="inlineStr">
        <is>
          <t>World Bank WDI: International tourism arrivals per 1 000 population</t>
        </is>
      </c>
      <c r="M2547" t="inlineStr">
        <is>
          <t>2020-12-31</t>
        </is>
      </c>
      <c r="N2547" t="inlineStr">
        <is>
          <t>auto_ingest=cultural_life_proxy; indicator=ST.INT.ARVL; norm=per_1000_pop; year=2020; country_proxy=Kuwait</t>
        </is>
      </c>
    </row>
    <row r="2548">
      <c r="A2548" t="inlineStr">
        <is>
          <t>kw-kuwait-city</t>
        </is>
      </c>
      <c r="B2548" t="inlineStr">
        <is>
          <t>Kuwait City</t>
        </is>
      </c>
      <c r="C2548" t="inlineStr">
        <is>
          <t>Kuwait</t>
        </is>
      </c>
      <c r="D2548" t="inlineStr">
        <is>
          <t>Middle East</t>
        </is>
      </c>
      <c r="E2548" t="inlineStr">
        <is>
          <t>birth_rate_optimism_raw</t>
        </is>
      </c>
      <c r="F2548" t="inlineStr">
        <is>
          <t>Birth rate and societal optimism raw</t>
        </is>
      </c>
      <c r="G2548" t="inlineStr">
        <is>
          <t>community</t>
        </is>
      </c>
      <c r="H2548" t="inlineStr">
        <is>
          <t>yes</t>
        </is>
      </c>
      <c r="I2548" t="inlineStr">
        <is>
          <t>2.08</t>
        </is>
      </c>
      <c r="J2548" t="inlineStr">
        <is>
          <t>world_bank</t>
        </is>
      </c>
      <c r="K2548" t="inlineStr">
        <is>
          <t>https://data.worldbank.org/indicator/SP.DYN.TFRT.IN</t>
        </is>
      </c>
      <c r="L2548" t="inlineStr">
        <is>
          <t>World Bank Total Fertility Rate 2023</t>
        </is>
      </c>
      <c r="M2548" t="inlineStr">
        <is>
          <t>2024-01-01</t>
        </is>
      </c>
      <c r="N2548" t="inlineStr"/>
    </row>
    <row r="2549">
      <c r="A2549" t="inlineStr">
        <is>
          <t>kw-kuwait-city</t>
        </is>
      </c>
      <c r="B2549" t="inlineStr">
        <is>
          <t>Kuwait City</t>
        </is>
      </c>
      <c r="C2549" t="inlineStr">
        <is>
          <t>Kuwait</t>
        </is>
      </c>
      <c r="D2549" t="inlineStr">
        <is>
          <t>Middle East</t>
        </is>
      </c>
      <c r="E2549" t="inlineStr">
        <is>
          <t>entrepreneurial_dynamism_raw</t>
        </is>
      </c>
      <c r="F2549" t="inlineStr">
        <is>
          <t>Entrepreneurial dynamism raw</t>
        </is>
      </c>
      <c r="G2549" t="inlineStr">
        <is>
          <t>creative</t>
        </is>
      </c>
      <c r="H2549" t="inlineStr">
        <is>
          <t>yes</t>
        </is>
      </c>
      <c r="I2549" t="inlineStr">
        <is>
          <t>3.24</t>
        </is>
      </c>
      <c r="J2549" t="inlineStr">
        <is>
          <t>world_bank</t>
        </is>
      </c>
      <c r="K2549" t="inlineStr">
        <is>
          <t>https://api.worldbank.org/v2/country/KWT/indicator/IC.BUS.NDNS.ZS?format=json&amp;mrv=10</t>
        </is>
      </c>
      <c r="L2549" t="inlineStr">
        <is>
          <t>World Bank WDI: New business density (new registrations per 1,000 people ages 15-64)</t>
        </is>
      </c>
      <c r="M2549" t="inlineStr">
        <is>
          <t>2020-12-31</t>
        </is>
      </c>
      <c r="N2549" t="inlineStr">
        <is>
          <t>auto_ingest=world_bank_creative_extended; indicator=IC.BUS.NDNS.ZS; year=2020; country_proxy=Kuwait</t>
        </is>
      </c>
    </row>
    <row r="2550">
      <c r="A2550" t="inlineStr">
        <is>
          <t>kw-kuwait-city</t>
        </is>
      </c>
      <c r="B2550" t="inlineStr">
        <is>
          <t>Kuwait City</t>
        </is>
      </c>
      <c r="C2550" t="inlineStr">
        <is>
          <t>Kuwait</t>
        </is>
      </c>
      <c r="D2550" t="inlineStr">
        <is>
          <t>Middle East</t>
        </is>
      </c>
      <c r="E2550" t="inlineStr">
        <is>
          <t>innovation_research_intensity_raw</t>
        </is>
      </c>
      <c r="F2550" t="inlineStr">
        <is>
          <t>Innovation and research raw</t>
        </is>
      </c>
      <c r="G2550" t="inlineStr">
        <is>
          <t>creative</t>
        </is>
      </c>
      <c r="H2550" t="inlineStr">
        <is>
          <t>yes</t>
        </is>
      </c>
      <c r="I2550" t="inlineStr">
        <is>
          <t>0.1</t>
        </is>
      </c>
      <c r="J2550" t="inlineStr">
        <is>
          <t>world_bank</t>
        </is>
      </c>
      <c r="K2550" t="inlineStr">
        <is>
          <t>https://api.worldbank.org/v2/country/KWT/indicator/GB.XPD.RSDV.GD.ZS?format=json&amp;mrv=10</t>
        </is>
      </c>
      <c r="L2550" t="inlineStr">
        <is>
          <t>World Bank WDI: Research and development expenditure (% of GDP)</t>
        </is>
      </c>
      <c r="M2550" t="inlineStr">
        <is>
          <t>2023-12-31</t>
        </is>
      </c>
      <c r="N2550" t="inlineStr">
        <is>
          <t>auto_ingest=world_bank_creative_extended; indicator=GB.XPD.RSDV.GD.ZS; year=2023; country_proxy=Kuwait</t>
        </is>
      </c>
    </row>
    <row r="2551">
      <c r="A2551" t="inlineStr">
        <is>
          <t>kw-kuwait-city</t>
        </is>
      </c>
      <c r="B2551" t="inlineStr">
        <is>
          <t>Kuwait City</t>
        </is>
      </c>
      <c r="C2551" t="inlineStr">
        <is>
          <t>Kuwait</t>
        </is>
      </c>
      <c r="D2551" t="inlineStr">
        <is>
          <t>Middle East</t>
        </is>
      </c>
      <c r="E2551" t="inlineStr">
        <is>
          <t>investment_signal_raw</t>
        </is>
      </c>
      <c r="F2551" t="inlineStr">
        <is>
          <t>Investment signal raw</t>
        </is>
      </c>
      <c r="G2551" t="inlineStr">
        <is>
          <t>creative</t>
        </is>
      </c>
      <c r="H2551" t="inlineStr">
        <is>
          <t>yes</t>
        </is>
      </c>
      <c r="I2551" t="inlineStr">
        <is>
          <t>0.38</t>
        </is>
      </c>
      <c r="J2551" t="inlineStr">
        <is>
          <t>world_bank</t>
        </is>
      </c>
      <c r="K2551" t="inlineStr">
        <is>
          <t>https://api.worldbank.org/v2/country/KWT/indicator/BX.KLT.DINV.WD.GD.ZS?format=json&amp;mrv=10</t>
        </is>
      </c>
      <c r="L2551" t="inlineStr">
        <is>
          <t>World Bank WDI: Foreign direct investment, net inflows (% of GDP)</t>
        </is>
      </c>
      <c r="M2551" t="inlineStr">
        <is>
          <t>2024-12-31</t>
        </is>
      </c>
      <c r="N2551" t="inlineStr">
        <is>
          <t>auto_ingest=world_bank_creative_extended; indicator=BX.KLT.DINV.WD.GD.ZS; year=2024; country_proxy=Kuwait</t>
        </is>
      </c>
    </row>
    <row r="2552">
      <c r="A2552" t="inlineStr">
        <is>
          <t>kw-kuwait-city</t>
        </is>
      </c>
      <c r="B2552" t="inlineStr">
        <is>
          <t>Kuwait City</t>
        </is>
      </c>
      <c r="C2552" t="inlineStr">
        <is>
          <t>Kuwait</t>
        </is>
      </c>
      <c r="D2552" t="inlineStr">
        <is>
          <t>Middle East</t>
        </is>
      </c>
      <c r="E2552" t="inlineStr">
        <is>
          <t>administrative_investment_friction_raw</t>
        </is>
      </c>
      <c r="F2552" t="inlineStr">
        <is>
          <t>Administrative investment friction raw</t>
        </is>
      </c>
      <c r="G2552" t="inlineStr">
        <is>
          <t>creative</t>
        </is>
      </c>
      <c r="H2552" t="inlineStr">
        <is>
          <t>yes</t>
        </is>
      </c>
      <c r="I2552" t="inlineStr">
        <is>
          <t>2.18</t>
        </is>
      </c>
      <c r="J2552" t="inlineStr">
        <is>
          <t>world_bank</t>
        </is>
      </c>
      <c r="K2552" t="inlineStr">
        <is>
          <t>https://api.worldbank.org/v2/country/KWT/indicator/RQ.EST?format=json&amp;mrv=10</t>
        </is>
      </c>
      <c r="L2552" t="inlineStr">
        <is>
          <t>World Bank WGI: Regulatory Quality (inverted as friction proxy)</t>
        </is>
      </c>
      <c r="M2552" t="inlineStr">
        <is>
          <t>2023-12-31</t>
        </is>
      </c>
      <c r="N2552" t="inlineStr">
        <is>
          <t>auto_ingest=world_bank_business_friction; indicator=RQ.EST; raw_rq=0.320921540260315; friction=2.18; year=2023; country_proxy=Kuwait</t>
        </is>
      </c>
    </row>
    <row r="2553">
      <c r="A2553" t="inlineStr">
        <is>
          <t>kw-kuwait-city</t>
        </is>
      </c>
      <c r="B2553" t="inlineStr">
        <is>
          <t>Kuwait City</t>
        </is>
      </c>
      <c r="C2553" t="inlineStr">
        <is>
          <t>Kuwait</t>
        </is>
      </c>
      <c r="D2553" t="inlineStr">
        <is>
          <t>Middle East</t>
        </is>
      </c>
      <c r="E2553" t="inlineStr">
        <is>
          <t>visitor_flow_context_raw</t>
        </is>
      </c>
      <c r="F2553" t="inlineStr">
        <is>
          <t>Visitor flow context raw</t>
        </is>
      </c>
      <c r="G2553" t="inlineStr">
        <is>
          <t>creative</t>
        </is>
      </c>
      <c r="H2553" t="inlineStr">
        <is>
          <t>no</t>
        </is>
      </c>
      <c r="I2553" t="inlineStr"/>
      <c r="J2553" t="inlineStr"/>
      <c r="K2553" t="inlineStr"/>
      <c r="L2553" t="inlineStr"/>
      <c r="M2553" t="inlineStr"/>
      <c r="N2553" t="inlineStr"/>
    </row>
    <row r="2554">
      <c r="A2554" t="inlineStr">
        <is>
          <t>jo-amman</t>
        </is>
      </c>
      <c r="B2554" t="inlineStr">
        <is>
          <t>Amman</t>
        </is>
      </c>
      <c r="C2554" t="inlineStr">
        <is>
          <t>Jordan</t>
        </is>
      </c>
      <c r="D2554" t="inlineStr">
        <is>
          <t>Middle East</t>
        </is>
      </c>
      <c r="E2554" t="inlineStr">
        <is>
          <t>gross_income</t>
        </is>
      </c>
      <c r="F2554" t="inlineStr">
        <is>
          <t>Gross income</t>
        </is>
      </c>
      <c r="G2554" t="inlineStr">
        <is>
          <t>pressure</t>
        </is>
      </c>
      <c r="H2554" t="inlineStr">
        <is>
          <t>yes</t>
        </is>
      </c>
      <c r="I2554" t="inlineStr">
        <is>
          <t>880.83</t>
        </is>
      </c>
      <c r="J2554" t="inlineStr">
        <is>
          <t>world_bank_col_estimate</t>
        </is>
      </c>
      <c r="K2554" t="inlineStr">
        <is>
          <t>https://api.worldbank.org/v2/country/JOR/indicator/NY.GNP.PCAP.PP.CD?format=json&amp;mrv=10</t>
        </is>
      </c>
      <c r="L2554" t="inlineStr">
        <is>
          <t>World Bank WDI: GNI per capita PPP (monthly USD)</t>
        </is>
      </c>
      <c r="M2554" t="inlineStr">
        <is>
          <t>2024-12-31</t>
        </is>
      </c>
      <c r="N2554" t="inlineStr">
        <is>
          <t>auto_ingest=world_bank_col_estimate; gni_annual=10570.0; year=2024; country_proxy=Jordan; cohort=Middle East</t>
        </is>
      </c>
    </row>
    <row r="2555">
      <c r="A2555" t="inlineStr">
        <is>
          <t>jo-amman</t>
        </is>
      </c>
      <c r="B2555" t="inlineStr">
        <is>
          <t>Amman</t>
        </is>
      </c>
      <c r="C2555" t="inlineStr">
        <is>
          <t>Jordan</t>
        </is>
      </c>
      <c r="D2555" t="inlineStr">
        <is>
          <t>Middle East</t>
        </is>
      </c>
      <c r="E2555" t="inlineStr">
        <is>
          <t>di_ppp_raw</t>
        </is>
      </c>
      <c r="F2555" t="inlineStr">
        <is>
          <t>Disposable income PPP (Raw)</t>
        </is>
      </c>
      <c r="G2555" t="inlineStr">
        <is>
          <t>pressure</t>
        </is>
      </c>
      <c r="H2555" t="inlineStr">
        <is>
          <t>yes</t>
        </is>
      </c>
      <c r="I2555" t="inlineStr"/>
      <c r="J2555" t="inlineStr"/>
      <c r="K2555" t="inlineStr"/>
      <c r="L2555" t="inlineStr"/>
      <c r="M2555" t="inlineStr"/>
      <c r="N2555" t="inlineStr"/>
    </row>
    <row r="2556">
      <c r="A2556" t="inlineStr">
        <is>
          <t>jo-amman</t>
        </is>
      </c>
      <c r="B2556" t="inlineStr">
        <is>
          <t>Amman</t>
        </is>
      </c>
      <c r="C2556" t="inlineStr">
        <is>
          <t>Jordan</t>
        </is>
      </c>
      <c r="D2556" t="inlineStr">
        <is>
          <t>Middle East</t>
        </is>
      </c>
      <c r="E2556" t="inlineStr">
        <is>
          <t>rent</t>
        </is>
      </c>
      <c r="F2556" t="inlineStr">
        <is>
          <t>Rent</t>
        </is>
      </c>
      <c r="G2556" t="inlineStr">
        <is>
          <t>pressure</t>
        </is>
      </c>
      <c r="H2556" t="inlineStr">
        <is>
          <t>yes</t>
        </is>
      </c>
      <c r="I2556" t="inlineStr">
        <is>
          <t>198.19</t>
        </is>
      </c>
      <c r="J2556" t="inlineStr">
        <is>
          <t>world_bank_col_estimate</t>
        </is>
      </c>
      <c r="K2556" t="inlineStr">
        <is>
          <t>https://api.worldbank.org/v2/country/JOR/indicator/NY.GNP.PCAP.PP.CD?format=json&amp;mrv=10</t>
        </is>
      </c>
      <c r="L2556" t="inlineStr">
        <is>
          <t>World Bank GNI + regional expenditure ratio estimate</t>
        </is>
      </c>
      <c r="M2556" t="inlineStr">
        <is>
          <t>2024-12-31</t>
        </is>
      </c>
      <c r="N2556" t="inlineStr">
        <is>
          <t>auto_ingest=world_bank_col_estimate; gni_annual=10570.0; year=2024; country_proxy=Jordan; cohort=Middle East; city_cost_mult=0.9</t>
        </is>
      </c>
    </row>
    <row r="2557">
      <c r="A2557" t="inlineStr">
        <is>
          <t>jo-amman</t>
        </is>
      </c>
      <c r="B2557" t="inlineStr">
        <is>
          <t>Amman</t>
        </is>
      </c>
      <c r="C2557" t="inlineStr">
        <is>
          <t>Jordan</t>
        </is>
      </c>
      <c r="D2557" t="inlineStr">
        <is>
          <t>Middle East</t>
        </is>
      </c>
      <c r="E2557" t="inlineStr">
        <is>
          <t>utilities</t>
        </is>
      </c>
      <c r="F2557" t="inlineStr">
        <is>
          <t>Utilities</t>
        </is>
      </c>
      <c r="G2557" t="inlineStr">
        <is>
          <t>pressure</t>
        </is>
      </c>
      <c r="H2557" t="inlineStr">
        <is>
          <t>yes</t>
        </is>
      </c>
      <c r="I2557" t="inlineStr">
        <is>
          <t>39.64</t>
        </is>
      </c>
      <c r="J2557" t="inlineStr">
        <is>
          <t>world_bank_col_estimate</t>
        </is>
      </c>
      <c r="K2557" t="inlineStr">
        <is>
          <t>https://api.worldbank.org/v2/country/JOR/indicator/NY.GNP.PCAP.PP.CD?format=json&amp;mrv=10</t>
        </is>
      </c>
      <c r="L2557" t="inlineStr">
        <is>
          <t>World Bank GNI + regional expenditure ratio estimate</t>
        </is>
      </c>
      <c r="M2557" t="inlineStr">
        <is>
          <t>2024-12-31</t>
        </is>
      </c>
      <c r="N2557" t="inlineStr">
        <is>
          <t>auto_ingest=world_bank_col_estimate; gni_annual=10570.0; year=2024; country_proxy=Jordan; cohort=Middle East; city_cost_mult=0.9</t>
        </is>
      </c>
    </row>
    <row r="2558">
      <c r="A2558" t="inlineStr">
        <is>
          <t>jo-amman</t>
        </is>
      </c>
      <c r="B2558" t="inlineStr">
        <is>
          <t>Amman</t>
        </is>
      </c>
      <c r="C2558" t="inlineStr">
        <is>
          <t>Jordan</t>
        </is>
      </c>
      <c r="D2558" t="inlineStr">
        <is>
          <t>Middle East</t>
        </is>
      </c>
      <c r="E2558" t="inlineStr">
        <is>
          <t>transit_cost</t>
        </is>
      </c>
      <c r="F2558" t="inlineStr">
        <is>
          <t>Transit cost</t>
        </is>
      </c>
      <c r="G2558" t="inlineStr">
        <is>
          <t>pressure</t>
        </is>
      </c>
      <c r="H2558" t="inlineStr">
        <is>
          <t>yes</t>
        </is>
      </c>
      <c r="I2558" t="inlineStr">
        <is>
          <t>31.71</t>
        </is>
      </c>
      <c r="J2558" t="inlineStr">
        <is>
          <t>world_bank_col_estimate</t>
        </is>
      </c>
      <c r="K2558" t="inlineStr">
        <is>
          <t>https://api.worldbank.org/v2/country/JOR/indicator/NY.GNP.PCAP.PP.CD?format=json&amp;mrv=10</t>
        </is>
      </c>
      <c r="L2558" t="inlineStr">
        <is>
          <t>World Bank GNI + regional expenditure ratio estimate</t>
        </is>
      </c>
      <c r="M2558" t="inlineStr">
        <is>
          <t>2024-12-31</t>
        </is>
      </c>
      <c r="N2558" t="inlineStr">
        <is>
          <t>auto_ingest=world_bank_col_estimate; gni_annual=10570.0; year=2024; country_proxy=Jordan; cohort=Middle East; city_cost_mult=0.9</t>
        </is>
      </c>
    </row>
    <row r="2559">
      <c r="A2559" t="inlineStr">
        <is>
          <t>jo-amman</t>
        </is>
      </c>
      <c r="B2559" t="inlineStr">
        <is>
          <t>Amman</t>
        </is>
      </c>
      <c r="C2559" t="inlineStr">
        <is>
          <t>Jordan</t>
        </is>
      </c>
      <c r="D2559" t="inlineStr">
        <is>
          <t>Middle East</t>
        </is>
      </c>
      <c r="E2559" t="inlineStr">
        <is>
          <t>internet_cost</t>
        </is>
      </c>
      <c r="F2559" t="inlineStr">
        <is>
          <t>Internet cost</t>
        </is>
      </c>
      <c r="G2559" t="inlineStr">
        <is>
          <t>pressure</t>
        </is>
      </c>
      <c r="H2559" t="inlineStr">
        <is>
          <t>yes</t>
        </is>
      </c>
      <c r="I2559" t="inlineStr">
        <is>
          <t>11.89</t>
        </is>
      </c>
      <c r="J2559" t="inlineStr">
        <is>
          <t>world_bank_col_estimate</t>
        </is>
      </c>
      <c r="K2559" t="inlineStr">
        <is>
          <t>https://api.worldbank.org/v2/country/JOR/indicator/NY.GNP.PCAP.PP.CD?format=json&amp;mrv=10</t>
        </is>
      </c>
      <c r="L2559" t="inlineStr">
        <is>
          <t>World Bank GNI + regional expenditure ratio estimate</t>
        </is>
      </c>
      <c r="M2559" t="inlineStr">
        <is>
          <t>2024-12-31</t>
        </is>
      </c>
      <c r="N2559" t="inlineStr">
        <is>
          <t>auto_ingest=world_bank_col_estimate; gni_annual=10570.0; year=2024; country_proxy=Jordan; cohort=Middle East; city_cost_mult=0.9</t>
        </is>
      </c>
    </row>
    <row r="2560">
      <c r="A2560" t="inlineStr">
        <is>
          <t>jo-amman</t>
        </is>
      </c>
      <c r="B2560" t="inlineStr">
        <is>
          <t>Amman</t>
        </is>
      </c>
      <c r="C2560" t="inlineStr">
        <is>
          <t>Jordan</t>
        </is>
      </c>
      <c r="D2560" t="inlineStr">
        <is>
          <t>Middle East</t>
        </is>
      </c>
      <c r="E2560" t="inlineStr">
        <is>
          <t>food_cost</t>
        </is>
      </c>
      <c r="F2560" t="inlineStr">
        <is>
          <t>Food cost</t>
        </is>
      </c>
      <c r="G2560" t="inlineStr">
        <is>
          <t>pressure</t>
        </is>
      </c>
      <c r="H2560" t="inlineStr">
        <is>
          <t>yes</t>
        </is>
      </c>
      <c r="I2560" t="inlineStr">
        <is>
          <t>142.69</t>
        </is>
      </c>
      <c r="J2560" t="inlineStr">
        <is>
          <t>world_bank_col_estimate</t>
        </is>
      </c>
      <c r="K2560" t="inlineStr">
        <is>
          <t>https://api.worldbank.org/v2/country/JOR/indicator/NY.GNP.PCAP.PP.CD?format=json&amp;mrv=10</t>
        </is>
      </c>
      <c r="L2560" t="inlineStr">
        <is>
          <t>World Bank GNI + regional expenditure ratio estimate</t>
        </is>
      </c>
      <c r="M2560" t="inlineStr">
        <is>
          <t>2024-12-31</t>
        </is>
      </c>
      <c r="N2560" t="inlineStr">
        <is>
          <t>auto_ingest=world_bank_col_estimate; gni_annual=10570.0; year=2024; country_proxy=Jordan; cohort=Middle East; city_cost_mult=0.9</t>
        </is>
      </c>
    </row>
    <row r="2561">
      <c r="A2561" t="inlineStr">
        <is>
          <t>jo-amman</t>
        </is>
      </c>
      <c r="B2561" t="inlineStr">
        <is>
          <t>Amman</t>
        </is>
      </c>
      <c r="C2561" t="inlineStr">
        <is>
          <t>Jordan</t>
        </is>
      </c>
      <c r="D2561" t="inlineStr">
        <is>
          <t>Middle East</t>
        </is>
      </c>
      <c r="E2561" t="inlineStr">
        <is>
          <t>housing_burden_raw</t>
        </is>
      </c>
      <c r="F2561" t="inlineStr">
        <is>
          <t>Housing burden raw</t>
        </is>
      </c>
      <c r="G2561" t="inlineStr">
        <is>
          <t>pressure</t>
        </is>
      </c>
      <c r="H2561" t="inlineStr">
        <is>
          <t>yes</t>
        </is>
      </c>
      <c r="I2561" t="inlineStr">
        <is>
          <t>22.5004</t>
        </is>
      </c>
      <c r="J2561" t="inlineStr">
        <is>
          <t>derived</t>
        </is>
      </c>
      <c r="K2561" t="inlineStr">
        <is>
          <t>https://data.worldbank.org/indicator/NY.GNP.PCAP.PP.CD</t>
        </is>
      </c>
      <c r="L2561" t="inlineStr">
        <is>
          <t>Computed from city_inputs + country_context</t>
        </is>
      </c>
      <c r="M2561" t="inlineStr">
        <is>
          <t>2024-01-01</t>
        </is>
      </c>
      <c r="N2561" t="inlineStr">
        <is>
          <t>derived=rent/gross_income*100</t>
        </is>
      </c>
    </row>
    <row r="2562">
      <c r="A2562" t="inlineStr">
        <is>
          <t>jo-amman</t>
        </is>
      </c>
      <c r="B2562" t="inlineStr">
        <is>
          <t>Amman</t>
        </is>
      </c>
      <c r="C2562" t="inlineStr">
        <is>
          <t>Jordan</t>
        </is>
      </c>
      <c r="D2562" t="inlineStr">
        <is>
          <t>Middle East</t>
        </is>
      </c>
      <c r="E2562" t="inlineStr">
        <is>
          <t>household_debt_burden_raw</t>
        </is>
      </c>
      <c r="F2562" t="inlineStr">
        <is>
          <t>Household debt burden raw</t>
        </is>
      </c>
      <c r="G2562" t="inlineStr">
        <is>
          <t>pressure</t>
        </is>
      </c>
      <c r="H2562" t="inlineStr">
        <is>
          <t>yes</t>
        </is>
      </c>
      <c r="I2562" t="inlineStr">
        <is>
          <t>80.0729</t>
        </is>
      </c>
      <c r="J2562" t="inlineStr">
        <is>
          <t>derived</t>
        </is>
      </c>
      <c r="K2562" t="inlineStr">
        <is>
          <t>https://data.worldbank.org/indicator/NY.GNP.PCAP.PP.CD</t>
        </is>
      </c>
      <c r="L2562" t="inlineStr">
        <is>
          <t>Computed from city_inputs + country_context</t>
        </is>
      </c>
      <c r="M2562" t="inlineStr">
        <is>
          <t>2024-01-01</t>
        </is>
      </c>
      <c r="N2562" t="inlineStr">
        <is>
          <t>derived=country_context.household_debt_proxy; country=Jordan</t>
        </is>
      </c>
    </row>
    <row r="2563">
      <c r="A2563" t="inlineStr">
        <is>
          <t>jo-amman</t>
        </is>
      </c>
      <c r="B2563" t="inlineStr">
        <is>
          <t>Amman</t>
        </is>
      </c>
      <c r="C2563" t="inlineStr">
        <is>
          <t>Jordan</t>
        </is>
      </c>
      <c r="D2563" t="inlineStr">
        <is>
          <t>Middle East</t>
        </is>
      </c>
      <c r="E2563" t="inlineStr">
        <is>
          <t>working_time_pressure_raw</t>
        </is>
      </c>
      <c r="F2563" t="inlineStr">
        <is>
          <t>Working time pressure raw</t>
        </is>
      </c>
      <c r="G2563" t="inlineStr">
        <is>
          <t>pressure</t>
        </is>
      </c>
      <c r="H2563" t="inlineStr">
        <is>
          <t>yes</t>
        </is>
      </c>
      <c r="I2563" t="inlineStr">
        <is>
          <t>48.79</t>
        </is>
      </c>
      <c r="J2563" t="inlineStr">
        <is>
          <t>ilo_ilostat</t>
        </is>
      </c>
      <c r="K2563" t="inlineStr">
        <is>
          <t>https://ilostat.ilo.org/data/indicator/?id=HOW_TEMP_SEX_ECO_NB_A&amp;ref_area=JOR</t>
        </is>
      </c>
      <c r="L2563" t="inlineStr">
        <is>
          <t>ILO ILOSTAT: Mean weekly hours actually worked per employed person</t>
        </is>
      </c>
      <c r="M2563" t="inlineStr">
        <is>
          <t>2023-12-31</t>
        </is>
      </c>
      <c r="N2563" t="inlineStr">
        <is>
          <t>auto_ingest=ilo_working_hours; indicator=HOW_TEMP_SEX_ECO_NB_A; year=2023; hours=48.79; country_proxy=Jordan</t>
        </is>
      </c>
    </row>
    <row r="2564">
      <c r="A2564" t="inlineStr">
        <is>
          <t>jo-amman</t>
        </is>
      </c>
      <c r="B2564" t="inlineStr">
        <is>
          <t>Amman</t>
        </is>
      </c>
      <c r="C2564" t="inlineStr">
        <is>
          <t>Jordan</t>
        </is>
      </c>
      <c r="D2564" t="inlineStr">
        <is>
          <t>Middle East</t>
        </is>
      </c>
      <c r="E2564" t="inlineStr">
        <is>
          <t>suicide_mental_strain_raw</t>
        </is>
      </c>
      <c r="F2564" t="inlineStr">
        <is>
          <t>Suicide or mental strain raw</t>
        </is>
      </c>
      <c r="G2564" t="inlineStr">
        <is>
          <t>pressure</t>
        </is>
      </c>
      <c r="H2564" t="inlineStr">
        <is>
          <t>yes</t>
        </is>
      </c>
      <c r="I2564" t="inlineStr">
        <is>
          <t>0.6</t>
        </is>
      </c>
      <c r="J2564" t="inlineStr">
        <is>
          <t>who_gho</t>
        </is>
      </c>
      <c r="K2564" t="inlineStr">
        <is>
          <t>https://www.who.int/data/gho/data/indicators/indicator-details/GHO/SDGSUICIDE</t>
        </is>
      </c>
      <c r="L2564" t="inlineStr">
        <is>
          <t>WHO GHO: Age-standardized suicide rate (per 100,000 population)</t>
        </is>
      </c>
      <c r="M2564" t="inlineStr">
        <is>
          <t>2021-12-31</t>
        </is>
      </c>
      <c r="N2564" t="inlineStr">
        <is>
          <t>auto_ingest=who_gho; indicator=SDGSUICIDE; year=2021; country_proxy=Jordan</t>
        </is>
      </c>
    </row>
    <row r="2565">
      <c r="A2565" t="inlineStr">
        <is>
          <t>jo-amman</t>
        </is>
      </c>
      <c r="B2565" t="inlineStr">
        <is>
          <t>Amman</t>
        </is>
      </c>
      <c r="C2565" t="inlineStr">
        <is>
          <t>Jordan</t>
        </is>
      </c>
      <c r="D2565" t="inlineStr">
        <is>
          <t>Middle East</t>
        </is>
      </c>
      <c r="E2565" t="inlineStr">
        <is>
          <t>personal_safety_raw</t>
        </is>
      </c>
      <c r="F2565" t="inlineStr">
        <is>
          <t>Personal safety raw</t>
        </is>
      </c>
      <c r="G2565" t="inlineStr">
        <is>
          <t>viability</t>
        </is>
      </c>
      <c r="H2565" t="inlineStr">
        <is>
          <t>yes</t>
        </is>
      </c>
      <c r="I2565" t="inlineStr">
        <is>
          <t>0.99</t>
        </is>
      </c>
      <c r="J2565" t="inlineStr">
        <is>
          <t>world_bank</t>
        </is>
      </c>
      <c r="K2565" t="inlineStr">
        <is>
          <t>https://api.worldbank.org/v2/country/JOR/indicator/VC.IHR.PSRC.P5?format=json&amp;mrv=10</t>
        </is>
      </c>
      <c r="L2565" t="inlineStr">
        <is>
          <t>UNODC via World Bank WDI: Intentional homicides (per 100,000 people)</t>
        </is>
      </c>
      <c r="M2565" t="inlineStr">
        <is>
          <t>2023-12-31</t>
        </is>
      </c>
      <c r="N2565" t="inlineStr">
        <is>
          <t>auto_ingest=unodc_safety; indicator=VC.IHR.PSRC.P5; year=2023; country_proxy=Jordan</t>
        </is>
      </c>
    </row>
    <row r="2566">
      <c r="A2566" t="inlineStr">
        <is>
          <t>jo-amman</t>
        </is>
      </c>
      <c r="B2566" t="inlineStr">
        <is>
          <t>Amman</t>
        </is>
      </c>
      <c r="C2566" t="inlineStr">
        <is>
          <t>Jordan</t>
        </is>
      </c>
      <c r="D2566" t="inlineStr">
        <is>
          <t>Middle East</t>
        </is>
      </c>
      <c r="E2566" t="inlineStr">
        <is>
          <t>transit_access_commute_raw</t>
        </is>
      </c>
      <c r="F2566" t="inlineStr">
        <is>
          <t>Transit access and commute raw</t>
        </is>
      </c>
      <c r="G2566" t="inlineStr">
        <is>
          <t>viability</t>
        </is>
      </c>
      <c r="H2566" t="inlineStr">
        <is>
          <t>yes</t>
        </is>
      </c>
      <c r="I2566" t="inlineStr"/>
      <c r="J2566" t="inlineStr"/>
      <c r="K2566" t="inlineStr"/>
      <c r="L2566" t="inlineStr"/>
      <c r="M2566" t="inlineStr"/>
      <c r="N2566" t="inlineStr"/>
    </row>
    <row r="2567">
      <c r="A2567" t="inlineStr">
        <is>
          <t>jo-amman</t>
        </is>
      </c>
      <c r="B2567" t="inlineStr">
        <is>
          <t>Amman</t>
        </is>
      </c>
      <c r="C2567" t="inlineStr">
        <is>
          <t>Jordan</t>
        </is>
      </c>
      <c r="D2567" t="inlineStr">
        <is>
          <t>Middle East</t>
        </is>
      </c>
      <c r="E2567" t="inlineStr">
        <is>
          <t>clean_air_raw</t>
        </is>
      </c>
      <c r="F2567" t="inlineStr">
        <is>
          <t>Clean air raw</t>
        </is>
      </c>
      <c r="G2567" t="inlineStr">
        <is>
          <t>viability</t>
        </is>
      </c>
      <c r="H2567" t="inlineStr">
        <is>
          <t>yes</t>
        </is>
      </c>
      <c r="I2567" t="inlineStr"/>
      <c r="J2567" t="inlineStr"/>
      <c r="K2567" t="inlineStr"/>
      <c r="L2567" t="inlineStr"/>
      <c r="M2567" t="inlineStr"/>
      <c r="N2567" t="inlineStr"/>
    </row>
    <row r="2568">
      <c r="A2568" t="inlineStr">
        <is>
          <t>jo-amman</t>
        </is>
      </c>
      <c r="B2568" t="inlineStr">
        <is>
          <t>Amman</t>
        </is>
      </c>
      <c r="C2568" t="inlineStr">
        <is>
          <t>Jordan</t>
        </is>
      </c>
      <c r="D2568" t="inlineStr">
        <is>
          <t>Middle East</t>
        </is>
      </c>
      <c r="E2568" t="inlineStr">
        <is>
          <t>water_sanitation_utility_raw</t>
        </is>
      </c>
      <c r="F2568" t="inlineStr">
        <is>
          <t>Water, sanitation, and utility raw</t>
        </is>
      </c>
      <c r="G2568" t="inlineStr">
        <is>
          <t>viability</t>
        </is>
      </c>
      <c r="H2568" t="inlineStr">
        <is>
          <t>yes</t>
        </is>
      </c>
      <c r="I2568" t="inlineStr">
        <is>
          <t>88.95</t>
        </is>
      </c>
      <c r="J2568" t="inlineStr">
        <is>
          <t>world_bank</t>
        </is>
      </c>
      <c r="K2568" t="inlineStr">
        <is>
          <t>https://api.worldbank.org/v2/country/JOR/indicator/SH.H2O.SMDW.ZS?format=json&amp;mrv=10</t>
        </is>
      </c>
      <c r="L2568" t="inlineStr">
        <is>
          <t>World Bank WDI: People using safely managed drinking water services (% of population)</t>
        </is>
      </c>
      <c r="M2568" t="inlineStr">
        <is>
          <t>2024-12-31</t>
        </is>
      </c>
      <c r="N2568" t="inlineStr">
        <is>
          <t>auto_ingest=world_bank_proxy; indicator=SH.H2O.SMDW.ZS; year=2024; country_proxy=Jordan</t>
        </is>
      </c>
    </row>
    <row r="2569">
      <c r="A2569" t="inlineStr">
        <is>
          <t>jo-amman</t>
        </is>
      </c>
      <c r="B2569" t="inlineStr">
        <is>
          <t>Amman</t>
        </is>
      </c>
      <c r="C2569" t="inlineStr">
        <is>
          <t>Jordan</t>
        </is>
      </c>
      <c r="D2569" t="inlineStr">
        <is>
          <t>Middle East</t>
        </is>
      </c>
      <c r="E2569" t="inlineStr">
        <is>
          <t>digital_infrastructure_raw</t>
        </is>
      </c>
      <c r="F2569" t="inlineStr">
        <is>
          <t>Digital infrastructure raw</t>
        </is>
      </c>
      <c r="G2569" t="inlineStr">
        <is>
          <t>viability</t>
        </is>
      </c>
      <c r="H2569" t="inlineStr">
        <is>
          <t>yes</t>
        </is>
      </c>
      <c r="I2569" t="inlineStr">
        <is>
          <t>7.04</t>
        </is>
      </c>
      <c r="J2569" t="inlineStr">
        <is>
          <t>world_bank</t>
        </is>
      </c>
      <c r="K2569" t="inlineStr">
        <is>
          <t>https://api.worldbank.org/v2/country/JOR/indicator/IT.NET.BBND.P2?format=json&amp;mrv=10</t>
        </is>
      </c>
      <c r="L2569" t="inlineStr">
        <is>
          <t>World Bank WDI: Fixed broadband subscriptions (per 100 people)</t>
        </is>
      </c>
      <c r="M2569" t="inlineStr">
        <is>
          <t>2023-12-31</t>
        </is>
      </c>
      <c r="N2569" t="inlineStr">
        <is>
          <t>auto_ingest=world_bank_proxy; indicator=IT.NET.BBND.P2; year=2023; country_proxy=Jordan</t>
        </is>
      </c>
    </row>
    <row r="2570">
      <c r="A2570" t="inlineStr">
        <is>
          <t>jo-amman</t>
        </is>
      </c>
      <c r="B2570" t="inlineStr">
        <is>
          <t>Amman</t>
        </is>
      </c>
      <c r="C2570" t="inlineStr">
        <is>
          <t>Jordan</t>
        </is>
      </c>
      <c r="D2570" t="inlineStr">
        <is>
          <t>Middle East</t>
        </is>
      </c>
      <c r="E2570" t="inlineStr">
        <is>
          <t>climate_sunlight_livability_raw</t>
        </is>
      </c>
      <c r="F2570" t="inlineStr">
        <is>
          <t>Climate and sunlight livability raw</t>
        </is>
      </c>
      <c r="G2570" t="inlineStr">
        <is>
          <t>viability</t>
        </is>
      </c>
      <c r="H2570" t="inlineStr">
        <is>
          <t>yes</t>
        </is>
      </c>
      <c r="I2570" t="inlineStr">
        <is>
          <t>65</t>
        </is>
      </c>
      <c r="J2570" t="inlineStr">
        <is>
          <t>wmo_natl_met</t>
        </is>
      </c>
      <c r="K2570" t="inlineStr">
        <is>
          <t>https://worldweather.wmo.int</t>
        </is>
      </c>
      <c r="L2570" t="inlineStr">
        <is>
          <t>WMO/National Met: Climate livability composite</t>
        </is>
      </c>
      <c r="M2570" t="inlineStr">
        <is>
          <t>2024-12-31</t>
        </is>
      </c>
      <c r="N2570" t="inlineStr">
        <is>
          <t>auto_seed=climate_composite; 3100 sun hrs, 18C mean, four seasons</t>
        </is>
      </c>
    </row>
    <row r="2571">
      <c r="A2571" t="inlineStr">
        <is>
          <t>jo-amman</t>
        </is>
      </c>
      <c r="B2571" t="inlineStr">
        <is>
          <t>Amman</t>
        </is>
      </c>
      <c r="C2571" t="inlineStr">
        <is>
          <t>Jordan</t>
        </is>
      </c>
      <c r="D2571" t="inlineStr">
        <is>
          <t>Middle East</t>
        </is>
      </c>
      <c r="E2571" t="inlineStr">
        <is>
          <t>healthcare_quality_raw</t>
        </is>
      </c>
      <c r="F2571" t="inlineStr">
        <is>
          <t>Healthcare quality raw</t>
        </is>
      </c>
      <c r="G2571" t="inlineStr">
        <is>
          <t>capability</t>
        </is>
      </c>
      <c r="H2571" t="inlineStr">
        <is>
          <t>yes</t>
        </is>
      </c>
      <c r="I2571" t="inlineStr">
        <is>
          <t>74.0</t>
        </is>
      </c>
      <c r="J2571" t="inlineStr">
        <is>
          <t>who_gho</t>
        </is>
      </c>
      <c r="K2571" t="inlineStr">
        <is>
          <t>https://www.who.int/data/gho/data/indicators/indicator-details/GHO/UHC_INDEX_REPORTED</t>
        </is>
      </c>
      <c r="L2571" t="inlineStr">
        <is>
          <t>WHO GHO: UHC Service Coverage Index</t>
        </is>
      </c>
      <c r="M2571" t="inlineStr">
        <is>
          <t>2023-12-31</t>
        </is>
      </c>
      <c r="N2571" t="inlineStr">
        <is>
          <t>auto_ingest=who_gho; indicator=UHC_INDEX_REPORTED; year=2023; country_proxy=Jordan</t>
        </is>
      </c>
    </row>
    <row r="2572">
      <c r="A2572" t="inlineStr">
        <is>
          <t>jo-amman</t>
        </is>
      </c>
      <c r="B2572" t="inlineStr">
        <is>
          <t>Amman</t>
        </is>
      </c>
      <c r="C2572" t="inlineStr">
        <is>
          <t>Jordan</t>
        </is>
      </c>
      <c r="D2572" t="inlineStr">
        <is>
          <t>Middle East</t>
        </is>
      </c>
      <c r="E2572" t="inlineStr">
        <is>
          <t>education_quality_raw</t>
        </is>
      </c>
      <c r="F2572" t="inlineStr">
        <is>
          <t>Education quality raw</t>
        </is>
      </c>
      <c r="G2572" t="inlineStr">
        <is>
          <t>capability</t>
        </is>
      </c>
      <c r="H2572" t="inlineStr">
        <is>
          <t>yes</t>
        </is>
      </c>
      <c r="I2572" t="inlineStr">
        <is>
          <t>35.92</t>
        </is>
      </c>
      <c r="J2572" t="inlineStr">
        <is>
          <t>world_bank</t>
        </is>
      </c>
      <c r="K2572" t="inlineStr">
        <is>
          <t>https://api.worldbank.org/v2/country/JOR/indicator/SE.TER.ENRR?format=json&amp;mrv=10</t>
        </is>
      </c>
      <c r="L2572" t="inlineStr">
        <is>
          <t>World Bank WDI: School enrollment, tertiary (% gross)</t>
        </is>
      </c>
      <c r="M2572" t="inlineStr">
        <is>
          <t>2024-12-31</t>
        </is>
      </c>
      <c r="N2572" t="inlineStr">
        <is>
          <t>auto_ingest=world_bank_proxy; indicator=SE.TER.ENRR; year=2024; country_proxy=Jordan</t>
        </is>
      </c>
    </row>
    <row r="2573">
      <c r="A2573" t="inlineStr">
        <is>
          <t>jo-amman</t>
        </is>
      </c>
      <c r="B2573" t="inlineStr">
        <is>
          <t>Amman</t>
        </is>
      </c>
      <c r="C2573" t="inlineStr">
        <is>
          <t>Jordan</t>
        </is>
      </c>
      <c r="D2573" t="inlineStr">
        <is>
          <t>Middle East</t>
        </is>
      </c>
      <c r="E2573" t="inlineStr">
        <is>
          <t>equal_opportunity_raw</t>
        </is>
      </c>
      <c r="F2573" t="inlineStr">
        <is>
          <t>Equal opportunity raw</t>
        </is>
      </c>
      <c r="G2573" t="inlineStr">
        <is>
          <t>capability</t>
        </is>
      </c>
      <c r="H2573" t="inlineStr">
        <is>
          <t>yes</t>
        </is>
      </c>
      <c r="I2573" t="inlineStr"/>
      <c r="J2573" t="inlineStr"/>
      <c r="K2573" t="inlineStr"/>
      <c r="L2573" t="inlineStr"/>
      <c r="M2573" t="inlineStr"/>
      <c r="N2573" t="inlineStr"/>
    </row>
    <row r="2574">
      <c r="A2574" t="inlineStr">
        <is>
          <t>jo-amman</t>
        </is>
      </c>
      <c r="B2574" t="inlineStr">
        <is>
          <t>Amman</t>
        </is>
      </c>
      <c r="C2574" t="inlineStr">
        <is>
          <t>Jordan</t>
        </is>
      </c>
      <c r="D2574" t="inlineStr">
        <is>
          <t>Middle East</t>
        </is>
      </c>
      <c r="E2574" t="inlineStr">
        <is>
          <t>hospitality_belonging_raw</t>
        </is>
      </c>
      <c r="F2574" t="inlineStr">
        <is>
          <t>Hospitality and belonging raw</t>
        </is>
      </c>
      <c r="G2574" t="inlineStr">
        <is>
          <t>community</t>
        </is>
      </c>
      <c r="H2574" t="inlineStr">
        <is>
          <t>yes</t>
        </is>
      </c>
      <c r="I2574" t="inlineStr">
        <is>
          <t>23.75</t>
        </is>
      </c>
      <c r="J2574" t="inlineStr">
        <is>
          <t>world_bank</t>
        </is>
      </c>
      <c r="K2574" t="inlineStr">
        <is>
          <t>https://api.worldbank.org/v2/country/JOR/indicator/SM.POP.NETM?format=json&amp;mrv=10</t>
        </is>
      </c>
      <c r="L2574" t="inlineStr">
        <is>
          <t>World Bank WDI: Net migration (proxy for hospitality/belonging — positive = welcoming)</t>
        </is>
      </c>
      <c r="M2574" t="inlineStr">
        <is>
          <t>2025-12-31</t>
        </is>
      </c>
      <c r="N2574" t="inlineStr">
        <is>
          <t>auto_ingest=world_bank_proxy; proxy=net_migration_hospitality; indicator=SM.POP.NETM; year=2025; country_proxy=Jordan</t>
        </is>
      </c>
    </row>
    <row r="2575">
      <c r="A2575" t="inlineStr">
        <is>
          <t>jo-amman</t>
        </is>
      </c>
      <c r="B2575" t="inlineStr">
        <is>
          <t>Amman</t>
        </is>
      </c>
      <c r="C2575" t="inlineStr">
        <is>
          <t>Jordan</t>
        </is>
      </c>
      <c r="D2575" t="inlineStr">
        <is>
          <t>Middle East</t>
        </is>
      </c>
      <c r="E2575" t="inlineStr">
        <is>
          <t>tolerance_pluralism_raw</t>
        </is>
      </c>
      <c r="F2575" t="inlineStr">
        <is>
          <t>Tolerance and pluralism raw</t>
        </is>
      </c>
      <c r="G2575" t="inlineStr">
        <is>
          <t>community</t>
        </is>
      </c>
      <c r="H2575" t="inlineStr">
        <is>
          <t>yes</t>
        </is>
      </c>
      <c r="I2575" t="inlineStr">
        <is>
          <t>19.57</t>
        </is>
      </c>
      <c r="J2575" t="inlineStr">
        <is>
          <t>world_bank</t>
        </is>
      </c>
      <c r="K2575" t="inlineStr">
        <is>
          <t>https://api.worldbank.org/v2/country/JOR/indicator/SG.GEN.PARL.ZS?format=json&amp;mrv=10</t>
        </is>
      </c>
      <c r="L2575" t="inlineStr">
        <is>
          <t>World Bank WDI: Proportion of seats held by women in national parliaments (%)</t>
        </is>
      </c>
      <c r="M2575" t="inlineStr">
        <is>
          <t>2024-12-31</t>
        </is>
      </c>
      <c r="N2575" t="inlineStr">
        <is>
          <t>auto_ingest=world_bank_proxy; proxy=gender_parity_parliament; indicator=SG.GEN.PARL.ZS; year=2024; country_proxy=Jordan</t>
        </is>
      </c>
    </row>
    <row r="2576">
      <c r="A2576" t="inlineStr">
        <is>
          <t>jo-amman</t>
        </is>
      </c>
      <c r="B2576" t="inlineStr">
        <is>
          <t>Amman</t>
        </is>
      </c>
      <c r="C2576" t="inlineStr">
        <is>
          <t>Jordan</t>
        </is>
      </c>
      <c r="D2576" t="inlineStr">
        <is>
          <t>Middle East</t>
        </is>
      </c>
      <c r="E2576" t="inlineStr">
        <is>
          <t>cultural_public_life_raw</t>
        </is>
      </c>
      <c r="F2576" t="inlineStr">
        <is>
          <t>Cultural public life raw</t>
        </is>
      </c>
      <c r="G2576" t="inlineStr">
        <is>
          <t>community</t>
        </is>
      </c>
      <c r="H2576" t="inlineStr">
        <is>
          <t>yes</t>
        </is>
      </c>
      <c r="I2576" t="inlineStr">
        <is>
          <t>107.33</t>
        </is>
      </c>
      <c r="J2576" t="inlineStr">
        <is>
          <t>world_bank</t>
        </is>
      </c>
      <c r="K2576" t="inlineStr">
        <is>
          <t>https://api.worldbank.org/v2/country/JOR/indicator/ST.INT.ARVL?format=json&amp;mrv=10</t>
        </is>
      </c>
      <c r="L2576" t="inlineStr">
        <is>
          <t>World Bank WDI: International tourism arrivals per 1 000 population</t>
        </is>
      </c>
      <c r="M2576" t="inlineStr">
        <is>
          <t>2020-12-31</t>
        </is>
      </c>
      <c r="N2576" t="inlineStr">
        <is>
          <t>auto_ingest=cultural_life_proxy; indicator=ST.INT.ARVL; norm=per_1000_pop; year=2020; country_proxy=Jordan</t>
        </is>
      </c>
    </row>
    <row r="2577">
      <c r="A2577" t="inlineStr">
        <is>
          <t>jo-amman</t>
        </is>
      </c>
      <c r="B2577" t="inlineStr">
        <is>
          <t>Amman</t>
        </is>
      </c>
      <c r="C2577" t="inlineStr">
        <is>
          <t>Jordan</t>
        </is>
      </c>
      <c r="D2577" t="inlineStr">
        <is>
          <t>Middle East</t>
        </is>
      </c>
      <c r="E2577" t="inlineStr">
        <is>
          <t>birth_rate_optimism_raw</t>
        </is>
      </c>
      <c r="F2577" t="inlineStr">
        <is>
          <t>Birth rate and societal optimism raw</t>
        </is>
      </c>
      <c r="G2577" t="inlineStr">
        <is>
          <t>community</t>
        </is>
      </c>
      <c r="H2577" t="inlineStr">
        <is>
          <t>yes</t>
        </is>
      </c>
      <c r="I2577" t="inlineStr"/>
      <c r="J2577" t="inlineStr"/>
      <c r="K2577" t="inlineStr"/>
      <c r="L2577" t="inlineStr"/>
      <c r="M2577" t="inlineStr"/>
      <c r="N2577" t="inlineStr"/>
    </row>
    <row r="2578">
      <c r="A2578" t="inlineStr">
        <is>
          <t>jo-amman</t>
        </is>
      </c>
      <c r="B2578" t="inlineStr">
        <is>
          <t>Amman</t>
        </is>
      </c>
      <c r="C2578" t="inlineStr">
        <is>
          <t>Jordan</t>
        </is>
      </c>
      <c r="D2578" t="inlineStr">
        <is>
          <t>Middle East</t>
        </is>
      </c>
      <c r="E2578" t="inlineStr">
        <is>
          <t>entrepreneurial_dynamism_raw</t>
        </is>
      </c>
      <c r="F2578" t="inlineStr">
        <is>
          <t>Entrepreneurial dynamism raw</t>
        </is>
      </c>
      <c r="G2578" t="inlineStr">
        <is>
          <t>creative</t>
        </is>
      </c>
      <c r="H2578" t="inlineStr">
        <is>
          <t>yes</t>
        </is>
      </c>
      <c r="I2578" t="inlineStr">
        <is>
          <t>0.4</t>
        </is>
      </c>
      <c r="J2578" t="inlineStr">
        <is>
          <t>world_bank</t>
        </is>
      </c>
      <c r="K2578" t="inlineStr">
        <is>
          <t>https://api.worldbank.org/v2/country/JOR/indicator/IC.BUS.NDNS.ZS?format=json&amp;mrv=10</t>
        </is>
      </c>
      <c r="L2578" t="inlineStr">
        <is>
          <t>World Bank WDI: New business density (new registrations per 1,000 people ages 15-64)</t>
        </is>
      </c>
      <c r="M2578" t="inlineStr">
        <is>
          <t>2020-12-31</t>
        </is>
      </c>
      <c r="N2578" t="inlineStr">
        <is>
          <t>auto_ingest=world_bank_creative_extended; indicator=IC.BUS.NDNS.ZS; year=2020; country_proxy=Jordan</t>
        </is>
      </c>
    </row>
    <row r="2579">
      <c r="A2579" t="inlineStr">
        <is>
          <t>jo-amman</t>
        </is>
      </c>
      <c r="B2579" t="inlineStr">
        <is>
          <t>Amman</t>
        </is>
      </c>
      <c r="C2579" t="inlineStr">
        <is>
          <t>Jordan</t>
        </is>
      </c>
      <c r="D2579" t="inlineStr">
        <is>
          <t>Middle East</t>
        </is>
      </c>
      <c r="E2579" t="inlineStr">
        <is>
          <t>innovation_research_intensity_raw</t>
        </is>
      </c>
      <c r="F2579" t="inlineStr">
        <is>
          <t>Innovation and research raw</t>
        </is>
      </c>
      <c r="G2579" t="inlineStr">
        <is>
          <t>creative</t>
        </is>
      </c>
      <c r="H2579" t="inlineStr">
        <is>
          <t>yes</t>
        </is>
      </c>
      <c r="I2579" t="inlineStr">
        <is>
          <t>30.04</t>
        </is>
      </c>
      <c r="J2579" t="inlineStr">
        <is>
          <t>world_bank</t>
        </is>
      </c>
      <c r="K2579" t="inlineStr">
        <is>
          <t>https://api.worldbank.org/v2/country/JOR/indicator/IP.PAT.RESD?format=json&amp;mrv=10</t>
        </is>
      </c>
      <c r="L2579" t="inlineStr">
        <is>
          <t>World Bank WDI: Patent applications (residents + non-residents) per million population</t>
        </is>
      </c>
      <c r="M2579" t="inlineStr">
        <is>
          <t>2021-12-31</t>
        </is>
      </c>
      <c r="N2579" t="inlineStr">
        <is>
          <t>auto_ingest=wipo_patents_proxy; indicators=IP.PAT.RESD+IP.PAT.NRES; norm=per_million_pop; year=2021; country_proxy=Jordan</t>
        </is>
      </c>
    </row>
    <row r="2580">
      <c r="A2580" t="inlineStr">
        <is>
          <t>jo-amman</t>
        </is>
      </c>
      <c r="B2580" t="inlineStr">
        <is>
          <t>Amman</t>
        </is>
      </c>
      <c r="C2580" t="inlineStr">
        <is>
          <t>Jordan</t>
        </is>
      </c>
      <c r="D2580" t="inlineStr">
        <is>
          <t>Middle East</t>
        </is>
      </c>
      <c r="E2580" t="inlineStr">
        <is>
          <t>investment_signal_raw</t>
        </is>
      </c>
      <c r="F2580" t="inlineStr">
        <is>
          <t>Investment signal raw</t>
        </is>
      </c>
      <c r="G2580" t="inlineStr">
        <is>
          <t>creative</t>
        </is>
      </c>
      <c r="H2580" t="inlineStr">
        <is>
          <t>yes</t>
        </is>
      </c>
      <c r="I2580" t="inlineStr">
        <is>
          <t>3.06</t>
        </is>
      </c>
      <c r="J2580" t="inlineStr">
        <is>
          <t>world_bank</t>
        </is>
      </c>
      <c r="K2580" t="inlineStr">
        <is>
          <t>https://api.worldbank.org/v2/country/JOR/indicator/BX.KLT.DINV.WD.GD.ZS?format=json&amp;mrv=10</t>
        </is>
      </c>
      <c r="L2580" t="inlineStr">
        <is>
          <t>World Bank WDI: Foreign direct investment, net inflows (% of GDP)</t>
        </is>
      </c>
      <c r="M2580" t="inlineStr">
        <is>
          <t>2024-12-31</t>
        </is>
      </c>
      <c r="N2580" t="inlineStr">
        <is>
          <t>auto_ingest=world_bank_creative_extended; indicator=BX.KLT.DINV.WD.GD.ZS; year=2024; country_proxy=Jordan</t>
        </is>
      </c>
    </row>
    <row r="2581">
      <c r="A2581" t="inlineStr">
        <is>
          <t>jo-amman</t>
        </is>
      </c>
      <c r="B2581" t="inlineStr">
        <is>
          <t>Amman</t>
        </is>
      </c>
      <c r="C2581" t="inlineStr">
        <is>
          <t>Jordan</t>
        </is>
      </c>
      <c r="D2581" t="inlineStr">
        <is>
          <t>Middle East</t>
        </is>
      </c>
      <c r="E2581" t="inlineStr">
        <is>
          <t>administrative_investment_friction_raw</t>
        </is>
      </c>
      <c r="F2581" t="inlineStr">
        <is>
          <t>Administrative investment friction raw</t>
        </is>
      </c>
      <c r="G2581" t="inlineStr">
        <is>
          <t>creative</t>
        </is>
      </c>
      <c r="H2581" t="inlineStr">
        <is>
          <t>yes</t>
        </is>
      </c>
      <c r="I2581" t="inlineStr">
        <is>
          <t>2.28</t>
        </is>
      </c>
      <c r="J2581" t="inlineStr">
        <is>
          <t>world_bank</t>
        </is>
      </c>
      <c r="K2581" t="inlineStr">
        <is>
          <t>https://api.worldbank.org/v2/country/JOR/indicator/RQ.EST?format=json&amp;mrv=10</t>
        </is>
      </c>
      <c r="L2581" t="inlineStr">
        <is>
          <t>World Bank WGI: Regulatory Quality (inverted as friction proxy)</t>
        </is>
      </c>
      <c r="M2581" t="inlineStr">
        <is>
          <t>2023-12-31</t>
        </is>
      </c>
      <c r="N2581" t="inlineStr">
        <is>
          <t>auto_ingest=world_bank_business_friction; indicator=RQ.EST; raw_rq=0.217705458402634; friction=2.28; year=2023; country_proxy=Jordan</t>
        </is>
      </c>
    </row>
    <row r="2582">
      <c r="A2582" t="inlineStr">
        <is>
          <t>jo-amman</t>
        </is>
      </c>
      <c r="B2582" t="inlineStr">
        <is>
          <t>Amman</t>
        </is>
      </c>
      <c r="C2582" t="inlineStr">
        <is>
          <t>Jordan</t>
        </is>
      </c>
      <c r="D2582" t="inlineStr">
        <is>
          <t>Middle East</t>
        </is>
      </c>
      <c r="E2582" t="inlineStr">
        <is>
          <t>visitor_flow_context_raw</t>
        </is>
      </c>
      <c r="F2582" t="inlineStr">
        <is>
          <t>Visitor flow context raw</t>
        </is>
      </c>
      <c r="G2582" t="inlineStr">
        <is>
          <t>creative</t>
        </is>
      </c>
      <c r="H2582" t="inlineStr">
        <is>
          <t>no</t>
        </is>
      </c>
      <c r="I2582" t="inlineStr"/>
      <c r="J2582" t="inlineStr"/>
      <c r="K2582" t="inlineStr"/>
      <c r="L2582" t="inlineStr"/>
      <c r="M2582" t="inlineStr"/>
      <c r="N2582" t="inlineStr"/>
    </row>
    <row r="2583">
      <c r="A2583" t="inlineStr">
        <is>
          <t>za-cape-town</t>
        </is>
      </c>
      <c r="B2583" t="inlineStr">
        <is>
          <t>Cape Town</t>
        </is>
      </c>
      <c r="C2583" t="inlineStr">
        <is>
          <t>South Africa</t>
        </is>
      </c>
      <c r="D2583" t="inlineStr">
        <is>
          <t>Africa</t>
        </is>
      </c>
      <c r="E2583" t="inlineStr">
        <is>
          <t>gross_income</t>
        </is>
      </c>
      <c r="F2583" t="inlineStr">
        <is>
          <t>Gross income</t>
        </is>
      </c>
      <c r="G2583" t="inlineStr">
        <is>
          <t>pressure</t>
        </is>
      </c>
      <c r="H2583" t="inlineStr">
        <is>
          <t>yes</t>
        </is>
      </c>
      <c r="I2583" t="inlineStr">
        <is>
          <t>1325.62</t>
        </is>
      </c>
      <c r="J2583" t="inlineStr">
        <is>
          <t>world_bank_col_estimate</t>
        </is>
      </c>
      <c r="K2583" t="inlineStr">
        <is>
          <t>https://api.worldbank.org/v2/country/ZAF/indicator/NY.GNP.PCAP.PP.CD?format=json&amp;mrv=10</t>
        </is>
      </c>
      <c r="L2583" t="inlineStr">
        <is>
          <t>World Bank WDI: GNI per capita PPP (monthly USD)</t>
        </is>
      </c>
      <c r="M2583" t="inlineStr">
        <is>
          <t>2024-12-31</t>
        </is>
      </c>
      <c r="N2583" t="inlineStr">
        <is>
          <t>auto_ingest=world_bank_col_estimate; gni_annual=15150.0; year=2024; country_proxy=South Africa; cohort=Africa; city_income_mult=1.05</t>
        </is>
      </c>
    </row>
    <row r="2584">
      <c r="A2584" t="inlineStr">
        <is>
          <t>za-cape-town</t>
        </is>
      </c>
      <c r="B2584" t="inlineStr">
        <is>
          <t>Cape Town</t>
        </is>
      </c>
      <c r="C2584" t="inlineStr">
        <is>
          <t>South Africa</t>
        </is>
      </c>
      <c r="D2584" t="inlineStr">
        <is>
          <t>Africa</t>
        </is>
      </c>
      <c r="E2584" t="inlineStr">
        <is>
          <t>di_ppp_raw</t>
        </is>
      </c>
      <c r="F2584" t="inlineStr">
        <is>
          <t>Disposable income PPP (Raw)</t>
        </is>
      </c>
      <c r="G2584" t="inlineStr">
        <is>
          <t>pressure</t>
        </is>
      </c>
      <c r="H2584" t="inlineStr">
        <is>
          <t>yes</t>
        </is>
      </c>
      <c r="I2584" t="inlineStr"/>
      <c r="J2584" t="inlineStr"/>
      <c r="K2584" t="inlineStr"/>
      <c r="L2584" t="inlineStr"/>
      <c r="M2584" t="inlineStr"/>
      <c r="N2584" t="inlineStr"/>
    </row>
    <row r="2585">
      <c r="A2585" t="inlineStr">
        <is>
          <t>za-cape-town</t>
        </is>
      </c>
      <c r="B2585" t="inlineStr">
        <is>
          <t>Cape Town</t>
        </is>
      </c>
      <c r="C2585" t="inlineStr">
        <is>
          <t>South Africa</t>
        </is>
      </c>
      <c r="D2585" t="inlineStr">
        <is>
          <t>Africa</t>
        </is>
      </c>
      <c r="E2585" t="inlineStr">
        <is>
          <t>rent</t>
        </is>
      </c>
      <c r="F2585" t="inlineStr">
        <is>
          <t>Rent</t>
        </is>
      </c>
      <c r="G2585" t="inlineStr">
        <is>
          <t>pressure</t>
        </is>
      </c>
      <c r="H2585" t="inlineStr">
        <is>
          <t>yes</t>
        </is>
      </c>
      <c r="I2585" t="inlineStr">
        <is>
          <t>291.64</t>
        </is>
      </c>
      <c r="J2585" t="inlineStr">
        <is>
          <t>world_bank_col_estimate</t>
        </is>
      </c>
      <c r="K2585" t="inlineStr">
        <is>
          <t>https://api.worldbank.org/v2/country/ZAF/indicator/NY.GNP.PCAP.PP.CD?format=json&amp;mrv=10</t>
        </is>
      </c>
      <c r="L2585" t="inlineStr">
        <is>
          <t>World Bank GNI + regional expenditure ratio estimate</t>
        </is>
      </c>
      <c r="M2585" t="inlineStr">
        <is>
          <t>2024-12-31</t>
        </is>
      </c>
      <c r="N2585" t="inlineStr">
        <is>
          <t>auto_ingest=world_bank_col_estimate; gni_annual=15150.0; year=2024; country_proxy=South Africa; cohort=Africa; city_cost_mult=1.1</t>
        </is>
      </c>
    </row>
    <row r="2586">
      <c r="A2586" t="inlineStr">
        <is>
          <t>za-cape-town</t>
        </is>
      </c>
      <c r="B2586" t="inlineStr">
        <is>
          <t>Cape Town</t>
        </is>
      </c>
      <c r="C2586" t="inlineStr">
        <is>
          <t>South Africa</t>
        </is>
      </c>
      <c r="D2586" t="inlineStr">
        <is>
          <t>Africa</t>
        </is>
      </c>
      <c r="E2586" t="inlineStr">
        <is>
          <t>utilities</t>
        </is>
      </c>
      <c r="F2586" t="inlineStr">
        <is>
          <t>Utilities</t>
        </is>
      </c>
      <c r="G2586" t="inlineStr">
        <is>
          <t>pressure</t>
        </is>
      </c>
      <c r="H2586" t="inlineStr">
        <is>
          <t>yes</t>
        </is>
      </c>
      <c r="I2586" t="inlineStr">
        <is>
          <t>87.49</t>
        </is>
      </c>
      <c r="J2586" t="inlineStr">
        <is>
          <t>world_bank_col_estimate</t>
        </is>
      </c>
      <c r="K2586" t="inlineStr">
        <is>
          <t>https://api.worldbank.org/v2/country/ZAF/indicator/NY.GNP.PCAP.PP.CD?format=json&amp;mrv=10</t>
        </is>
      </c>
      <c r="L2586" t="inlineStr">
        <is>
          <t>World Bank GNI + regional expenditure ratio estimate</t>
        </is>
      </c>
      <c r="M2586" t="inlineStr">
        <is>
          <t>2024-12-31</t>
        </is>
      </c>
      <c r="N2586" t="inlineStr">
        <is>
          <t>auto_ingest=world_bank_col_estimate; gni_annual=15150.0; year=2024; country_proxy=South Africa; cohort=Africa; city_cost_mult=1.1</t>
        </is>
      </c>
    </row>
    <row r="2587">
      <c r="A2587" t="inlineStr">
        <is>
          <t>za-cape-town</t>
        </is>
      </c>
      <c r="B2587" t="inlineStr">
        <is>
          <t>Cape Town</t>
        </is>
      </c>
      <c r="C2587" t="inlineStr">
        <is>
          <t>South Africa</t>
        </is>
      </c>
      <c r="D2587" t="inlineStr">
        <is>
          <t>Africa</t>
        </is>
      </c>
      <c r="E2587" t="inlineStr">
        <is>
          <t>transit_cost</t>
        </is>
      </c>
      <c r="F2587" t="inlineStr">
        <is>
          <t>Transit cost</t>
        </is>
      </c>
      <c r="G2587" t="inlineStr">
        <is>
          <t>pressure</t>
        </is>
      </c>
      <c r="H2587" t="inlineStr">
        <is>
          <t>yes</t>
        </is>
      </c>
      <c r="I2587" t="inlineStr">
        <is>
          <t>58.33</t>
        </is>
      </c>
      <c r="J2587" t="inlineStr">
        <is>
          <t>world_bank_col_estimate</t>
        </is>
      </c>
      <c r="K2587" t="inlineStr">
        <is>
          <t>https://api.worldbank.org/v2/country/ZAF/indicator/NY.GNP.PCAP.PP.CD?format=json&amp;mrv=10</t>
        </is>
      </c>
      <c r="L2587" t="inlineStr">
        <is>
          <t>World Bank GNI + regional expenditure ratio estimate</t>
        </is>
      </c>
      <c r="M2587" t="inlineStr">
        <is>
          <t>2024-12-31</t>
        </is>
      </c>
      <c r="N2587" t="inlineStr">
        <is>
          <t>auto_ingest=world_bank_col_estimate; gni_annual=15150.0; year=2024; country_proxy=South Africa; cohort=Africa; city_cost_mult=1.1</t>
        </is>
      </c>
    </row>
    <row r="2588">
      <c r="A2588" t="inlineStr">
        <is>
          <t>za-cape-town</t>
        </is>
      </c>
      <c r="B2588" t="inlineStr">
        <is>
          <t>Cape Town</t>
        </is>
      </c>
      <c r="C2588" t="inlineStr">
        <is>
          <t>South Africa</t>
        </is>
      </c>
      <c r="D2588" t="inlineStr">
        <is>
          <t>Africa</t>
        </is>
      </c>
      <c r="E2588" t="inlineStr">
        <is>
          <t>internet_cost</t>
        </is>
      </c>
      <c r="F2588" t="inlineStr">
        <is>
          <t>Internet cost</t>
        </is>
      </c>
      <c r="G2588" t="inlineStr">
        <is>
          <t>pressure</t>
        </is>
      </c>
      <c r="H2588" t="inlineStr">
        <is>
          <t>yes</t>
        </is>
      </c>
      <c r="I2588" t="inlineStr">
        <is>
          <t>21.87</t>
        </is>
      </c>
      <c r="J2588" t="inlineStr">
        <is>
          <t>world_bank_col_estimate</t>
        </is>
      </c>
      <c r="K2588" t="inlineStr">
        <is>
          <t>https://api.worldbank.org/v2/country/ZAF/indicator/NY.GNP.PCAP.PP.CD?format=json&amp;mrv=10</t>
        </is>
      </c>
      <c r="L2588" t="inlineStr">
        <is>
          <t>World Bank GNI + regional expenditure ratio estimate</t>
        </is>
      </c>
      <c r="M2588" t="inlineStr">
        <is>
          <t>2024-12-31</t>
        </is>
      </c>
      <c r="N2588" t="inlineStr">
        <is>
          <t>auto_ingest=world_bank_col_estimate; gni_annual=15150.0; year=2024; country_proxy=South Africa; cohort=Africa; city_cost_mult=1.1</t>
        </is>
      </c>
    </row>
    <row r="2589">
      <c r="A2589" t="inlineStr">
        <is>
          <t>za-cape-town</t>
        </is>
      </c>
      <c r="B2589" t="inlineStr">
        <is>
          <t>Cape Town</t>
        </is>
      </c>
      <c r="C2589" t="inlineStr">
        <is>
          <t>South Africa</t>
        </is>
      </c>
      <c r="D2589" t="inlineStr">
        <is>
          <t>Africa</t>
        </is>
      </c>
      <c r="E2589" t="inlineStr">
        <is>
          <t>food_cost</t>
        </is>
      </c>
      <c r="F2589" t="inlineStr">
        <is>
          <t>Food cost</t>
        </is>
      </c>
      <c r="G2589" t="inlineStr">
        <is>
          <t>pressure</t>
        </is>
      </c>
      <c r="H2589" t="inlineStr">
        <is>
          <t>yes</t>
        </is>
      </c>
      <c r="I2589" t="inlineStr">
        <is>
          <t>364.55</t>
        </is>
      </c>
      <c r="J2589" t="inlineStr">
        <is>
          <t>world_bank_col_estimate</t>
        </is>
      </c>
      <c r="K2589" t="inlineStr">
        <is>
          <t>https://api.worldbank.org/v2/country/ZAF/indicator/NY.GNP.PCAP.PP.CD?format=json&amp;mrv=10</t>
        </is>
      </c>
      <c r="L2589" t="inlineStr">
        <is>
          <t>World Bank GNI + regional expenditure ratio estimate</t>
        </is>
      </c>
      <c r="M2589" t="inlineStr">
        <is>
          <t>2024-12-31</t>
        </is>
      </c>
      <c r="N2589" t="inlineStr">
        <is>
          <t>auto_ingest=world_bank_col_estimate; gni_annual=15150.0; year=2024; country_proxy=South Africa; cohort=Africa; city_cost_mult=1.1</t>
        </is>
      </c>
    </row>
    <row r="2590">
      <c r="A2590" t="inlineStr">
        <is>
          <t>za-cape-town</t>
        </is>
      </c>
      <c r="B2590" t="inlineStr">
        <is>
          <t>Cape Town</t>
        </is>
      </c>
      <c r="C2590" t="inlineStr">
        <is>
          <t>South Africa</t>
        </is>
      </c>
      <c r="D2590" t="inlineStr">
        <is>
          <t>Africa</t>
        </is>
      </c>
      <c r="E2590" t="inlineStr">
        <is>
          <t>housing_burden_raw</t>
        </is>
      </c>
      <c r="F2590" t="inlineStr">
        <is>
          <t>Housing burden raw</t>
        </is>
      </c>
      <c r="G2590" t="inlineStr">
        <is>
          <t>pressure</t>
        </is>
      </c>
      <c r="H2590" t="inlineStr">
        <is>
          <t>yes</t>
        </is>
      </c>
      <c r="I2590" t="inlineStr">
        <is>
          <t>22.0003</t>
        </is>
      </c>
      <c r="J2590" t="inlineStr">
        <is>
          <t>derived</t>
        </is>
      </c>
      <c r="K2590" t="inlineStr">
        <is>
          <t>https://data.worldbank.org/indicator/NY.GNP.PCAP.PP.CD</t>
        </is>
      </c>
      <c r="L2590" t="inlineStr">
        <is>
          <t>Computed from city_inputs + country_context</t>
        </is>
      </c>
      <c r="M2590" t="inlineStr">
        <is>
          <t>2024-01-01</t>
        </is>
      </c>
      <c r="N2590" t="inlineStr">
        <is>
          <t>derived=rent/gross_income*100</t>
        </is>
      </c>
    </row>
    <row r="2591">
      <c r="A2591" t="inlineStr">
        <is>
          <t>za-cape-town</t>
        </is>
      </c>
      <c r="B2591" t="inlineStr">
        <is>
          <t>Cape Town</t>
        </is>
      </c>
      <c r="C2591" t="inlineStr">
        <is>
          <t>South Africa</t>
        </is>
      </c>
      <c r="D2591" t="inlineStr">
        <is>
          <t>Africa</t>
        </is>
      </c>
      <c r="E2591" t="inlineStr">
        <is>
          <t>household_debt_burden_raw</t>
        </is>
      </c>
      <c r="F2591" t="inlineStr">
        <is>
          <t>Household debt burden raw</t>
        </is>
      </c>
      <c r="G2591" t="inlineStr">
        <is>
          <t>pressure</t>
        </is>
      </c>
      <c r="H2591" t="inlineStr">
        <is>
          <t>yes</t>
        </is>
      </c>
      <c r="I2591" t="inlineStr">
        <is>
          <t>57.4717</t>
        </is>
      </c>
      <c r="J2591" t="inlineStr">
        <is>
          <t>derived</t>
        </is>
      </c>
      <c r="K2591" t="inlineStr">
        <is>
          <t>https://data.worldbank.org/indicator/NY.GNP.PCAP.PP.CD</t>
        </is>
      </c>
      <c r="L2591" t="inlineStr">
        <is>
          <t>Computed from city_inputs + country_context</t>
        </is>
      </c>
      <c r="M2591" t="inlineStr">
        <is>
          <t>2024-01-01</t>
        </is>
      </c>
      <c r="N2591" t="inlineStr">
        <is>
          <t>derived=country_context.household_debt_proxy; country=South Africa</t>
        </is>
      </c>
    </row>
    <row r="2592">
      <c r="A2592" t="inlineStr">
        <is>
          <t>za-cape-town</t>
        </is>
      </c>
      <c r="B2592" t="inlineStr">
        <is>
          <t>Cape Town</t>
        </is>
      </c>
      <c r="C2592" t="inlineStr">
        <is>
          <t>South Africa</t>
        </is>
      </c>
      <c r="D2592" t="inlineStr">
        <is>
          <t>Africa</t>
        </is>
      </c>
      <c r="E2592" t="inlineStr">
        <is>
          <t>working_time_pressure_raw</t>
        </is>
      </c>
      <c r="F2592" t="inlineStr">
        <is>
          <t>Working time pressure raw</t>
        </is>
      </c>
      <c r="G2592" t="inlineStr">
        <is>
          <t>pressure</t>
        </is>
      </c>
      <c r="H2592" t="inlineStr">
        <is>
          <t>yes</t>
        </is>
      </c>
      <c r="I2592" t="inlineStr">
        <is>
          <t>42.39</t>
        </is>
      </c>
      <c r="J2592" t="inlineStr">
        <is>
          <t>ilo_ilostat</t>
        </is>
      </c>
      <c r="K2592" t="inlineStr">
        <is>
          <t>https://ilostat.ilo.org/data/indicator/?id=HOW_TEMP_SEX_ECO_NB_A&amp;ref_area=ZAF</t>
        </is>
      </c>
      <c r="L2592" t="inlineStr">
        <is>
          <t>ILO ILOSTAT: Mean weekly hours actually worked per employed person</t>
        </is>
      </c>
      <c r="M2592" t="inlineStr">
        <is>
          <t>2024-12-31</t>
        </is>
      </c>
      <c r="N2592" t="inlineStr">
        <is>
          <t>auto_ingest=ilo_working_hours; indicator=HOW_TEMP_SEX_ECO_NB_A; year=2024; hours=42.39; country_proxy=South Africa</t>
        </is>
      </c>
    </row>
    <row r="2593">
      <c r="A2593" t="inlineStr">
        <is>
          <t>za-cape-town</t>
        </is>
      </c>
      <c r="B2593" t="inlineStr">
        <is>
          <t>Cape Town</t>
        </is>
      </c>
      <c r="C2593" t="inlineStr">
        <is>
          <t>South Africa</t>
        </is>
      </c>
      <c r="D2593" t="inlineStr">
        <is>
          <t>Africa</t>
        </is>
      </c>
      <c r="E2593" t="inlineStr">
        <is>
          <t>suicide_mental_strain_raw</t>
        </is>
      </c>
      <c r="F2593" t="inlineStr">
        <is>
          <t>Suicide or mental strain raw</t>
        </is>
      </c>
      <c r="G2593" t="inlineStr">
        <is>
          <t>pressure</t>
        </is>
      </c>
      <c r="H2593" t="inlineStr">
        <is>
          <t>yes</t>
        </is>
      </c>
      <c r="I2593" t="inlineStr">
        <is>
          <t>22.3</t>
        </is>
      </c>
      <c r="J2593" t="inlineStr">
        <is>
          <t>who_gho</t>
        </is>
      </c>
      <c r="K2593" t="inlineStr">
        <is>
          <t>https://www.who.int/data/gho/data/indicators/indicator-details/GHO/SDGSUICIDE</t>
        </is>
      </c>
      <c r="L2593" t="inlineStr">
        <is>
          <t>WHO GHO: Age-standardized suicide rate (per 100,000 population)</t>
        </is>
      </c>
      <c r="M2593" t="inlineStr">
        <is>
          <t>2021-12-31</t>
        </is>
      </c>
      <c r="N2593" t="inlineStr">
        <is>
          <t>auto_ingest=who_gho; indicator=SDGSUICIDE; year=2021; country_proxy=South Africa</t>
        </is>
      </c>
    </row>
    <row r="2594">
      <c r="A2594" t="inlineStr">
        <is>
          <t>za-cape-town</t>
        </is>
      </c>
      <c r="B2594" t="inlineStr">
        <is>
          <t>Cape Town</t>
        </is>
      </c>
      <c r="C2594" t="inlineStr">
        <is>
          <t>South Africa</t>
        </is>
      </c>
      <c r="D2594" t="inlineStr">
        <is>
          <t>Africa</t>
        </is>
      </c>
      <c r="E2594" t="inlineStr">
        <is>
          <t>personal_safety_raw</t>
        </is>
      </c>
      <c r="F2594" t="inlineStr">
        <is>
          <t>Personal safety raw</t>
        </is>
      </c>
      <c r="G2594" t="inlineStr">
        <is>
          <t>viability</t>
        </is>
      </c>
      <c r="H2594" t="inlineStr">
        <is>
          <t>yes</t>
        </is>
      </c>
      <c r="I2594" t="inlineStr">
        <is>
          <t>43.72</t>
        </is>
      </c>
      <c r="J2594" t="inlineStr">
        <is>
          <t>world_bank</t>
        </is>
      </c>
      <c r="K2594" t="inlineStr">
        <is>
          <t>https://api.worldbank.org/v2/country/ZAF/indicator/VC.IHR.PSRC.P5?format=json&amp;mrv=10</t>
        </is>
      </c>
      <c r="L2594" t="inlineStr">
        <is>
          <t>UNODC via World Bank WDI: Intentional homicides (per 100,000 people)</t>
        </is>
      </c>
      <c r="M2594" t="inlineStr">
        <is>
          <t>2022-12-31</t>
        </is>
      </c>
      <c r="N2594" t="inlineStr">
        <is>
          <t>auto_ingest=unodc_safety; indicator=VC.IHR.PSRC.P5; year=2022; country_proxy=South Africa</t>
        </is>
      </c>
    </row>
    <row r="2595">
      <c r="A2595" t="inlineStr">
        <is>
          <t>za-cape-town</t>
        </is>
      </c>
      <c r="B2595" t="inlineStr">
        <is>
          <t>Cape Town</t>
        </is>
      </c>
      <c r="C2595" t="inlineStr">
        <is>
          <t>South Africa</t>
        </is>
      </c>
      <c r="D2595" t="inlineStr">
        <is>
          <t>Africa</t>
        </is>
      </c>
      <c r="E2595" t="inlineStr">
        <is>
          <t>transit_access_commute_raw</t>
        </is>
      </c>
      <c r="F2595" t="inlineStr">
        <is>
          <t>Transit access and commute raw</t>
        </is>
      </c>
      <c r="G2595" t="inlineStr">
        <is>
          <t>viability</t>
        </is>
      </c>
      <c r="H2595" t="inlineStr">
        <is>
          <t>yes</t>
        </is>
      </c>
      <c r="I2595" t="inlineStr"/>
      <c r="J2595" t="inlineStr"/>
      <c r="K2595" t="inlineStr"/>
      <c r="L2595" t="inlineStr"/>
      <c r="M2595" t="inlineStr"/>
      <c r="N2595" t="inlineStr"/>
    </row>
    <row r="2596">
      <c r="A2596" t="inlineStr">
        <is>
          <t>za-cape-town</t>
        </is>
      </c>
      <c r="B2596" t="inlineStr">
        <is>
          <t>Cape Town</t>
        </is>
      </c>
      <c r="C2596" t="inlineStr">
        <is>
          <t>South Africa</t>
        </is>
      </c>
      <c r="D2596" t="inlineStr">
        <is>
          <t>Africa</t>
        </is>
      </c>
      <c r="E2596" t="inlineStr">
        <is>
          <t>clean_air_raw</t>
        </is>
      </c>
      <c r="F2596" t="inlineStr">
        <is>
          <t>Clean air raw</t>
        </is>
      </c>
      <c r="G2596" t="inlineStr">
        <is>
          <t>viability</t>
        </is>
      </c>
      <c r="H2596" t="inlineStr">
        <is>
          <t>yes</t>
        </is>
      </c>
      <c r="I2596" t="inlineStr"/>
      <c r="J2596" t="inlineStr"/>
      <c r="K2596" t="inlineStr"/>
      <c r="L2596" t="inlineStr"/>
      <c r="M2596" t="inlineStr"/>
      <c r="N2596" t="inlineStr"/>
    </row>
    <row r="2597">
      <c r="A2597" t="inlineStr">
        <is>
          <t>za-cape-town</t>
        </is>
      </c>
      <c r="B2597" t="inlineStr">
        <is>
          <t>Cape Town</t>
        </is>
      </c>
      <c r="C2597" t="inlineStr">
        <is>
          <t>South Africa</t>
        </is>
      </c>
      <c r="D2597" t="inlineStr">
        <is>
          <t>Africa</t>
        </is>
      </c>
      <c r="E2597" t="inlineStr">
        <is>
          <t>water_sanitation_utility_raw</t>
        </is>
      </c>
      <c r="F2597" t="inlineStr">
        <is>
          <t>Water, sanitation, and utility raw</t>
        </is>
      </c>
      <c r="G2597" t="inlineStr">
        <is>
          <t>viability</t>
        </is>
      </c>
      <c r="H2597" t="inlineStr">
        <is>
          <t>yes</t>
        </is>
      </c>
      <c r="I2597" t="inlineStr">
        <is>
          <t>68.01</t>
        </is>
      </c>
      <c r="J2597" t="inlineStr">
        <is>
          <t>world_bank</t>
        </is>
      </c>
      <c r="K2597" t="inlineStr">
        <is>
          <t>https://api.worldbank.org/v2/country/ZAF/indicator/SH.H2O.SMDW.ZS?format=json&amp;mrv=10</t>
        </is>
      </c>
      <c r="L2597" t="inlineStr">
        <is>
          <t>World Bank WDI: People using safely managed drinking water services (% of population)</t>
        </is>
      </c>
      <c r="M2597" t="inlineStr">
        <is>
          <t>2024-12-31</t>
        </is>
      </c>
      <c r="N2597" t="inlineStr">
        <is>
          <t>auto_ingest=world_bank_proxy; indicator=SH.H2O.SMDW.ZS; year=2024; country_proxy=South Africa</t>
        </is>
      </c>
    </row>
    <row r="2598">
      <c r="A2598" t="inlineStr">
        <is>
          <t>za-cape-town</t>
        </is>
      </c>
      <c r="B2598" t="inlineStr">
        <is>
          <t>Cape Town</t>
        </is>
      </c>
      <c r="C2598" t="inlineStr">
        <is>
          <t>South Africa</t>
        </is>
      </c>
      <c r="D2598" t="inlineStr">
        <is>
          <t>Africa</t>
        </is>
      </c>
      <c r="E2598" t="inlineStr">
        <is>
          <t>digital_infrastructure_raw</t>
        </is>
      </c>
      <c r="F2598" t="inlineStr">
        <is>
          <t>Digital infrastructure raw</t>
        </is>
      </c>
      <c r="G2598" t="inlineStr">
        <is>
          <t>viability</t>
        </is>
      </c>
      <c r="H2598" t="inlineStr">
        <is>
          <t>yes</t>
        </is>
      </c>
      <c r="I2598" t="inlineStr">
        <is>
          <t>3.41</t>
        </is>
      </c>
      <c r="J2598" t="inlineStr">
        <is>
          <t>world_bank</t>
        </is>
      </c>
      <c r="K2598" t="inlineStr">
        <is>
          <t>https://api.worldbank.org/v2/country/ZAF/indicator/IT.NET.BBND.P2?format=json&amp;mrv=10</t>
        </is>
      </c>
      <c r="L2598" t="inlineStr">
        <is>
          <t>World Bank WDI: Fixed broadband subscriptions (per 100 people)</t>
        </is>
      </c>
      <c r="M2598" t="inlineStr">
        <is>
          <t>2023-12-31</t>
        </is>
      </c>
      <c r="N2598" t="inlineStr">
        <is>
          <t>auto_ingest=world_bank_proxy; indicator=IT.NET.BBND.P2; year=2023; country_proxy=South Africa</t>
        </is>
      </c>
    </row>
    <row r="2599">
      <c r="A2599" t="inlineStr">
        <is>
          <t>za-cape-town</t>
        </is>
      </c>
      <c r="B2599" t="inlineStr">
        <is>
          <t>Cape Town</t>
        </is>
      </c>
      <c r="C2599" t="inlineStr">
        <is>
          <t>South Africa</t>
        </is>
      </c>
      <c r="D2599" t="inlineStr">
        <is>
          <t>Africa</t>
        </is>
      </c>
      <c r="E2599" t="inlineStr">
        <is>
          <t>climate_sunlight_livability_raw</t>
        </is>
      </c>
      <c r="F2599" t="inlineStr">
        <is>
          <t>Climate and sunlight livability raw</t>
        </is>
      </c>
      <c r="G2599" t="inlineStr">
        <is>
          <t>viability</t>
        </is>
      </c>
      <c r="H2599" t="inlineStr">
        <is>
          <t>yes</t>
        </is>
      </c>
      <c r="I2599" t="inlineStr">
        <is>
          <t>72</t>
        </is>
      </c>
      <c r="J2599" t="inlineStr">
        <is>
          <t>wmo_natl_met</t>
        </is>
      </c>
      <c r="K2599" t="inlineStr">
        <is>
          <t>https://worldweather.wmo.int</t>
        </is>
      </c>
      <c r="L2599" t="inlineStr">
        <is>
          <t>WMO/National Met: Climate livability composite</t>
        </is>
      </c>
      <c r="M2599" t="inlineStr">
        <is>
          <t>2024-12-31</t>
        </is>
      </c>
      <c r="N2599" t="inlineStr">
        <is>
          <t>auto_seed=climate_composite; 2900 sun hrs, 17C mean, Mediterranean</t>
        </is>
      </c>
    </row>
    <row r="2600">
      <c r="A2600" t="inlineStr">
        <is>
          <t>za-cape-town</t>
        </is>
      </c>
      <c r="B2600" t="inlineStr">
        <is>
          <t>Cape Town</t>
        </is>
      </c>
      <c r="C2600" t="inlineStr">
        <is>
          <t>South Africa</t>
        </is>
      </c>
      <c r="D2600" t="inlineStr">
        <is>
          <t>Africa</t>
        </is>
      </c>
      <c r="E2600" t="inlineStr">
        <is>
          <t>healthcare_quality_raw</t>
        </is>
      </c>
      <c r="F2600" t="inlineStr">
        <is>
          <t>Healthcare quality raw</t>
        </is>
      </c>
      <c r="G2600" t="inlineStr">
        <is>
          <t>capability</t>
        </is>
      </c>
      <c r="H2600" t="inlineStr">
        <is>
          <t>yes</t>
        </is>
      </c>
      <c r="I2600" t="inlineStr">
        <is>
          <t>74.0</t>
        </is>
      </c>
      <c r="J2600" t="inlineStr">
        <is>
          <t>who_gho</t>
        </is>
      </c>
      <c r="K2600" t="inlineStr">
        <is>
          <t>https://www.who.int/data/gho/data/indicators/indicator-details/GHO/UHC_INDEX_REPORTED</t>
        </is>
      </c>
      <c r="L2600" t="inlineStr">
        <is>
          <t>WHO GHO: UHC Service Coverage Index</t>
        </is>
      </c>
      <c r="M2600" t="inlineStr">
        <is>
          <t>2023-12-31</t>
        </is>
      </c>
      <c r="N2600" t="inlineStr">
        <is>
          <t>auto_ingest=who_gho; indicator=UHC_INDEX_REPORTED; year=2023; country_proxy=South Africa</t>
        </is>
      </c>
    </row>
    <row r="2601">
      <c r="A2601" t="inlineStr">
        <is>
          <t>za-cape-town</t>
        </is>
      </c>
      <c r="B2601" t="inlineStr">
        <is>
          <t>Cape Town</t>
        </is>
      </c>
      <c r="C2601" t="inlineStr">
        <is>
          <t>South Africa</t>
        </is>
      </c>
      <c r="D2601" t="inlineStr">
        <is>
          <t>Africa</t>
        </is>
      </c>
      <c r="E2601" t="inlineStr">
        <is>
          <t>education_quality_raw</t>
        </is>
      </c>
      <c r="F2601" t="inlineStr">
        <is>
          <t>Education quality raw</t>
        </is>
      </c>
      <c r="G2601" t="inlineStr">
        <is>
          <t>capability</t>
        </is>
      </c>
      <c r="H2601" t="inlineStr">
        <is>
          <t>yes</t>
        </is>
      </c>
      <c r="I2601" t="inlineStr">
        <is>
          <t>23.49</t>
        </is>
      </c>
      <c r="J2601" t="inlineStr">
        <is>
          <t>world_bank</t>
        </is>
      </c>
      <c r="K2601" t="inlineStr">
        <is>
          <t>https://api.worldbank.org/v2/country/ZAF/indicator/SE.TER.ENRR?format=json&amp;mrv=10</t>
        </is>
      </c>
      <c r="L2601" t="inlineStr">
        <is>
          <t>World Bank WDI: School enrollment, tertiary (% gross)</t>
        </is>
      </c>
      <c r="M2601" t="inlineStr">
        <is>
          <t>2023-12-31</t>
        </is>
      </c>
      <c r="N2601" t="inlineStr">
        <is>
          <t>auto_ingest=world_bank_proxy; indicator=SE.TER.ENRR; year=2023; country_proxy=South Africa</t>
        </is>
      </c>
    </row>
    <row r="2602">
      <c r="A2602" t="inlineStr">
        <is>
          <t>za-cape-town</t>
        </is>
      </c>
      <c r="B2602" t="inlineStr">
        <is>
          <t>Cape Town</t>
        </is>
      </c>
      <c r="C2602" t="inlineStr">
        <is>
          <t>South Africa</t>
        </is>
      </c>
      <c r="D2602" t="inlineStr">
        <is>
          <t>Africa</t>
        </is>
      </c>
      <c r="E2602" t="inlineStr">
        <is>
          <t>equal_opportunity_raw</t>
        </is>
      </c>
      <c r="F2602" t="inlineStr">
        <is>
          <t>Equal opportunity raw</t>
        </is>
      </c>
      <c r="G2602" t="inlineStr">
        <is>
          <t>capability</t>
        </is>
      </c>
      <c r="H2602" t="inlineStr">
        <is>
          <t>yes</t>
        </is>
      </c>
      <c r="I2602" t="inlineStr"/>
      <c r="J2602" t="inlineStr"/>
      <c r="K2602" t="inlineStr"/>
      <c r="L2602" t="inlineStr"/>
      <c r="M2602" t="inlineStr"/>
      <c r="N2602" t="inlineStr"/>
    </row>
    <row r="2603">
      <c r="A2603" t="inlineStr">
        <is>
          <t>za-cape-town</t>
        </is>
      </c>
      <c r="B2603" t="inlineStr">
        <is>
          <t>Cape Town</t>
        </is>
      </c>
      <c r="C2603" t="inlineStr">
        <is>
          <t>South Africa</t>
        </is>
      </c>
      <c r="D2603" t="inlineStr">
        <is>
          <t>Africa</t>
        </is>
      </c>
      <c r="E2603" t="inlineStr">
        <is>
          <t>hospitality_belonging_raw</t>
        </is>
      </c>
      <c r="F2603" t="inlineStr">
        <is>
          <t>Hospitality and belonging raw</t>
        </is>
      </c>
      <c r="G2603" t="inlineStr">
        <is>
          <t>community</t>
        </is>
      </c>
      <c r="H2603" t="inlineStr">
        <is>
          <t>yes</t>
        </is>
      </c>
      <c r="I2603" t="inlineStr">
        <is>
          <t>52.29</t>
        </is>
      </c>
      <c r="J2603" t="inlineStr">
        <is>
          <t>world_bank</t>
        </is>
      </c>
      <c r="K2603" t="inlineStr">
        <is>
          <t>https://api.worldbank.org/v2/country/ZAF/indicator/SM.POP.NETM?format=json&amp;mrv=10</t>
        </is>
      </c>
      <c r="L2603" t="inlineStr">
        <is>
          <t>World Bank WDI: Net migration (proxy for hospitality/belonging — positive = welcoming)</t>
        </is>
      </c>
      <c r="M2603" t="inlineStr">
        <is>
          <t>2025-12-31</t>
        </is>
      </c>
      <c r="N2603" t="inlineStr">
        <is>
          <t>auto_ingest=world_bank_proxy; proxy=net_migration_hospitality; indicator=SM.POP.NETM; year=2025; country_proxy=South Africa</t>
        </is>
      </c>
    </row>
    <row r="2604">
      <c r="A2604" t="inlineStr">
        <is>
          <t>za-cape-town</t>
        </is>
      </c>
      <c r="B2604" t="inlineStr">
        <is>
          <t>Cape Town</t>
        </is>
      </c>
      <c r="C2604" t="inlineStr">
        <is>
          <t>South Africa</t>
        </is>
      </c>
      <c r="D2604" t="inlineStr">
        <is>
          <t>Africa</t>
        </is>
      </c>
      <c r="E2604" t="inlineStr">
        <is>
          <t>tolerance_pluralism_raw</t>
        </is>
      </c>
      <c r="F2604" t="inlineStr">
        <is>
          <t>Tolerance and pluralism raw</t>
        </is>
      </c>
      <c r="G2604" t="inlineStr">
        <is>
          <t>community</t>
        </is>
      </c>
      <c r="H2604" t="inlineStr">
        <is>
          <t>yes</t>
        </is>
      </c>
      <c r="I2604" t="inlineStr">
        <is>
          <t>44.7</t>
        </is>
      </c>
      <c r="J2604" t="inlineStr">
        <is>
          <t>world_bank</t>
        </is>
      </c>
      <c r="K2604" t="inlineStr">
        <is>
          <t>https://api.worldbank.org/v2/country/ZAF/indicator/SG.GEN.PARL.ZS?format=json&amp;mrv=10</t>
        </is>
      </c>
      <c r="L2604" t="inlineStr">
        <is>
          <t>World Bank WDI: Proportion of seats held by women in national parliaments (%)</t>
        </is>
      </c>
      <c r="M2604" t="inlineStr">
        <is>
          <t>2024-12-31</t>
        </is>
      </c>
      <c r="N2604" t="inlineStr">
        <is>
          <t>auto_ingest=world_bank_proxy; proxy=gender_parity_parliament; indicator=SG.GEN.PARL.ZS; year=2024; country_proxy=South Africa</t>
        </is>
      </c>
    </row>
    <row r="2605">
      <c r="A2605" t="inlineStr">
        <is>
          <t>za-cape-town</t>
        </is>
      </c>
      <c r="B2605" t="inlineStr">
        <is>
          <t>Cape Town</t>
        </is>
      </c>
      <c r="C2605" t="inlineStr">
        <is>
          <t>South Africa</t>
        </is>
      </c>
      <c r="D2605" t="inlineStr">
        <is>
          <t>Africa</t>
        </is>
      </c>
      <c r="E2605" t="inlineStr">
        <is>
          <t>cultural_public_life_raw</t>
        </is>
      </c>
      <c r="F2605" t="inlineStr">
        <is>
          <t>Cultural public life raw</t>
        </is>
      </c>
      <c r="G2605" t="inlineStr">
        <is>
          <t>community</t>
        </is>
      </c>
      <c r="H2605" t="inlineStr">
        <is>
          <t>yes</t>
        </is>
      </c>
      <c r="I2605" t="inlineStr">
        <is>
          <t>60.72</t>
        </is>
      </c>
      <c r="J2605" t="inlineStr">
        <is>
          <t>world_bank</t>
        </is>
      </c>
      <c r="K2605" t="inlineStr">
        <is>
          <t>https://api.worldbank.org/v2/country/ZAF/indicator/ST.INT.ARVL?format=json&amp;mrv=10</t>
        </is>
      </c>
      <c r="L2605" t="inlineStr">
        <is>
          <t>World Bank WDI: International tourism arrivals per 1 000 population</t>
        </is>
      </c>
      <c r="M2605" t="inlineStr">
        <is>
          <t>2020-12-31</t>
        </is>
      </c>
      <c r="N2605" t="inlineStr">
        <is>
          <t>auto_ingest=cultural_life_proxy; indicator=ST.INT.ARVL; norm=per_1000_pop; year=2020; country_proxy=South Africa</t>
        </is>
      </c>
    </row>
    <row r="2606">
      <c r="A2606" t="inlineStr">
        <is>
          <t>za-cape-town</t>
        </is>
      </c>
      <c r="B2606" t="inlineStr">
        <is>
          <t>Cape Town</t>
        </is>
      </c>
      <c r="C2606" t="inlineStr">
        <is>
          <t>South Africa</t>
        </is>
      </c>
      <c r="D2606" t="inlineStr">
        <is>
          <t>Africa</t>
        </is>
      </c>
      <c r="E2606" t="inlineStr">
        <is>
          <t>birth_rate_optimism_raw</t>
        </is>
      </c>
      <c r="F2606" t="inlineStr">
        <is>
          <t>Birth rate and societal optimism raw</t>
        </is>
      </c>
      <c r="G2606" t="inlineStr">
        <is>
          <t>community</t>
        </is>
      </c>
      <c r="H2606" t="inlineStr">
        <is>
          <t>yes</t>
        </is>
      </c>
      <c r="I2606" t="inlineStr">
        <is>
          <t>2.33</t>
        </is>
      </c>
      <c r="J2606" t="inlineStr">
        <is>
          <t>world_bank</t>
        </is>
      </c>
      <c r="K2606" t="inlineStr">
        <is>
          <t>https://data.worldbank.org/indicator/SP.DYN.TFRT.IN</t>
        </is>
      </c>
      <c r="L2606" t="inlineStr">
        <is>
          <t>World Bank Total Fertility Rate 2023</t>
        </is>
      </c>
      <c r="M2606" t="inlineStr">
        <is>
          <t>2024-01-01</t>
        </is>
      </c>
      <c r="N2606" t="inlineStr"/>
    </row>
    <row r="2607">
      <c r="A2607" t="inlineStr">
        <is>
          <t>za-cape-town</t>
        </is>
      </c>
      <c r="B2607" t="inlineStr">
        <is>
          <t>Cape Town</t>
        </is>
      </c>
      <c r="C2607" t="inlineStr">
        <is>
          <t>South Africa</t>
        </is>
      </c>
      <c r="D2607" t="inlineStr">
        <is>
          <t>Africa</t>
        </is>
      </c>
      <c r="E2607" t="inlineStr">
        <is>
          <t>entrepreneurial_dynamism_raw</t>
        </is>
      </c>
      <c r="F2607" t="inlineStr">
        <is>
          <t>Entrepreneurial dynamism raw</t>
        </is>
      </c>
      <c r="G2607" t="inlineStr">
        <is>
          <t>creative</t>
        </is>
      </c>
      <c r="H2607" t="inlineStr">
        <is>
          <t>yes</t>
        </is>
      </c>
      <c r="I2607" t="inlineStr">
        <is>
          <t>11.05</t>
        </is>
      </c>
      <c r="J2607" t="inlineStr">
        <is>
          <t>world_bank</t>
        </is>
      </c>
      <c r="K2607" t="inlineStr">
        <is>
          <t>https://api.worldbank.org/v2/country/ZAF/indicator/IC.BUS.NDNS.ZS?format=json&amp;mrv=10</t>
        </is>
      </c>
      <c r="L2607" t="inlineStr">
        <is>
          <t>World Bank WDI: New business density (new registrations per 1,000 people ages 15-64)</t>
        </is>
      </c>
      <c r="M2607" t="inlineStr">
        <is>
          <t>2022-12-31</t>
        </is>
      </c>
      <c r="N2607" t="inlineStr">
        <is>
          <t>auto_ingest=world_bank_creative_extended; indicator=IC.BUS.NDNS.ZS; year=2022; country_proxy=South Africa</t>
        </is>
      </c>
    </row>
    <row r="2608">
      <c r="A2608" t="inlineStr">
        <is>
          <t>za-cape-town</t>
        </is>
      </c>
      <c r="B2608" t="inlineStr">
        <is>
          <t>Cape Town</t>
        </is>
      </c>
      <c r="C2608" t="inlineStr">
        <is>
          <t>South Africa</t>
        </is>
      </c>
      <c r="D2608" t="inlineStr">
        <is>
          <t>Africa</t>
        </is>
      </c>
      <c r="E2608" t="inlineStr">
        <is>
          <t>innovation_research_intensity_raw</t>
        </is>
      </c>
      <c r="F2608" t="inlineStr">
        <is>
          <t>Innovation and research raw</t>
        </is>
      </c>
      <c r="G2608" t="inlineStr">
        <is>
          <t>creative</t>
        </is>
      </c>
      <c r="H2608" t="inlineStr">
        <is>
          <t>yes</t>
        </is>
      </c>
      <c r="I2608" t="inlineStr">
        <is>
          <t>0.62</t>
        </is>
      </c>
      <c r="J2608" t="inlineStr">
        <is>
          <t>world_bank</t>
        </is>
      </c>
      <c r="K2608" t="inlineStr">
        <is>
          <t>https://api.worldbank.org/v2/country/ZAF/indicator/GB.XPD.RSDV.GD.ZS?format=json&amp;mrv=10</t>
        </is>
      </c>
      <c r="L2608" t="inlineStr">
        <is>
          <t>World Bank WDI: Research and development expenditure (% of GDP)</t>
        </is>
      </c>
      <c r="M2608" t="inlineStr">
        <is>
          <t>2022-12-31</t>
        </is>
      </c>
      <c r="N2608" t="inlineStr">
        <is>
          <t>auto_ingest=world_bank_creative_extended; indicator=GB.XPD.RSDV.GD.ZS; year=2022; country_proxy=South Africa</t>
        </is>
      </c>
    </row>
    <row r="2609">
      <c r="A2609" t="inlineStr">
        <is>
          <t>za-cape-town</t>
        </is>
      </c>
      <c r="B2609" t="inlineStr">
        <is>
          <t>Cape Town</t>
        </is>
      </c>
      <c r="C2609" t="inlineStr">
        <is>
          <t>South Africa</t>
        </is>
      </c>
      <c r="D2609" t="inlineStr">
        <is>
          <t>Africa</t>
        </is>
      </c>
      <c r="E2609" t="inlineStr">
        <is>
          <t>investment_signal_raw</t>
        </is>
      </c>
      <c r="F2609" t="inlineStr">
        <is>
          <t>Investment signal raw</t>
        </is>
      </c>
      <c r="G2609" t="inlineStr">
        <is>
          <t>creative</t>
        </is>
      </c>
      <c r="H2609" t="inlineStr">
        <is>
          <t>yes</t>
        </is>
      </c>
      <c r="I2609" t="inlineStr">
        <is>
          <t>0.58</t>
        </is>
      </c>
      <c r="J2609" t="inlineStr">
        <is>
          <t>world_bank</t>
        </is>
      </c>
      <c r="K2609" t="inlineStr">
        <is>
          <t>https://api.worldbank.org/v2/country/ZAF/indicator/BX.KLT.DINV.WD.GD.ZS?format=json&amp;mrv=10</t>
        </is>
      </c>
      <c r="L2609" t="inlineStr">
        <is>
          <t>World Bank WDI: Foreign direct investment, net inflows (% of GDP)</t>
        </is>
      </c>
      <c r="M2609" t="inlineStr">
        <is>
          <t>2024-12-31</t>
        </is>
      </c>
      <c r="N2609" t="inlineStr">
        <is>
          <t>auto_ingest=world_bank_creative_extended; indicator=BX.KLT.DINV.WD.GD.ZS; year=2024; country_proxy=South Africa</t>
        </is>
      </c>
    </row>
    <row r="2610">
      <c r="A2610" t="inlineStr">
        <is>
          <t>za-cape-town</t>
        </is>
      </c>
      <c r="B2610" t="inlineStr">
        <is>
          <t>Cape Town</t>
        </is>
      </c>
      <c r="C2610" t="inlineStr">
        <is>
          <t>South Africa</t>
        </is>
      </c>
      <c r="D2610" t="inlineStr">
        <is>
          <t>Africa</t>
        </is>
      </c>
      <c r="E2610" t="inlineStr">
        <is>
          <t>administrative_investment_friction_raw</t>
        </is>
      </c>
      <c r="F2610" t="inlineStr">
        <is>
          <t>Administrative investment friction raw</t>
        </is>
      </c>
      <c r="G2610" t="inlineStr">
        <is>
          <t>creative</t>
        </is>
      </c>
      <c r="H2610" t="inlineStr">
        <is>
          <t>yes</t>
        </is>
      </c>
      <c r="I2610" t="inlineStr">
        <is>
          <t>2.72</t>
        </is>
      </c>
      <c r="J2610" t="inlineStr">
        <is>
          <t>world_bank</t>
        </is>
      </c>
      <c r="K2610" t="inlineStr">
        <is>
          <t>https://api.worldbank.org/v2/country/ZAF/indicator/RQ.EST?format=json&amp;mrv=10</t>
        </is>
      </c>
      <c r="L2610" t="inlineStr">
        <is>
          <t>World Bank WGI: Regulatory Quality (inverted as friction proxy)</t>
        </is>
      </c>
      <c r="M2610" t="inlineStr">
        <is>
          <t>2023-12-31</t>
        </is>
      </c>
      <c r="N2610" t="inlineStr">
        <is>
          <t>auto_ingest=world_bank_business_friction; indicator=RQ.EST; raw_rq=-0.223697945475578; friction=2.72; year=2023; country_proxy=South Africa</t>
        </is>
      </c>
    </row>
    <row r="2611">
      <c r="A2611" t="inlineStr">
        <is>
          <t>za-cape-town</t>
        </is>
      </c>
      <c r="B2611" t="inlineStr">
        <is>
          <t>Cape Town</t>
        </is>
      </c>
      <c r="C2611" t="inlineStr">
        <is>
          <t>South Africa</t>
        </is>
      </c>
      <c r="D2611" t="inlineStr">
        <is>
          <t>Africa</t>
        </is>
      </c>
      <c r="E2611" t="inlineStr">
        <is>
          <t>visitor_flow_context_raw</t>
        </is>
      </c>
      <c r="F2611" t="inlineStr">
        <is>
          <t>Visitor flow context raw</t>
        </is>
      </c>
      <c r="G2611" t="inlineStr">
        <is>
          <t>creative</t>
        </is>
      </c>
      <c r="H2611" t="inlineStr">
        <is>
          <t>no</t>
        </is>
      </c>
      <c r="I2611" t="inlineStr"/>
      <c r="J2611" t="inlineStr"/>
      <c r="K2611" t="inlineStr"/>
      <c r="L2611" t="inlineStr"/>
      <c r="M2611" t="inlineStr"/>
      <c r="N2611" t="inlineStr"/>
    </row>
    <row r="2612">
      <c r="A2612" t="inlineStr">
        <is>
          <t>za-johannesburg</t>
        </is>
      </c>
      <c r="B2612" t="inlineStr">
        <is>
          <t>Johannesburg</t>
        </is>
      </c>
      <c r="C2612" t="inlineStr">
        <is>
          <t>South Africa</t>
        </is>
      </c>
      <c r="D2612" t="inlineStr">
        <is>
          <t>Africa</t>
        </is>
      </c>
      <c r="E2612" t="inlineStr">
        <is>
          <t>gross_income</t>
        </is>
      </c>
      <c r="F2612" t="inlineStr">
        <is>
          <t>Gross income</t>
        </is>
      </c>
      <c r="G2612" t="inlineStr">
        <is>
          <t>pressure</t>
        </is>
      </c>
      <c r="H2612" t="inlineStr">
        <is>
          <t>yes</t>
        </is>
      </c>
      <c r="I2612" t="inlineStr">
        <is>
          <t>1388.75</t>
        </is>
      </c>
      <c r="J2612" t="inlineStr">
        <is>
          <t>world_bank_col_estimate</t>
        </is>
      </c>
      <c r="K2612" t="inlineStr">
        <is>
          <t>https://api.worldbank.org/v2/country/ZAF/indicator/NY.GNP.PCAP.PP.CD?format=json&amp;mrv=10</t>
        </is>
      </c>
      <c r="L2612" t="inlineStr">
        <is>
          <t>World Bank WDI: GNI per capita PPP (monthly USD)</t>
        </is>
      </c>
      <c r="M2612" t="inlineStr">
        <is>
          <t>2024-12-31</t>
        </is>
      </c>
      <c r="N2612" t="inlineStr">
        <is>
          <t>auto_ingest=world_bank_col_estimate; gni_annual=15150.0; year=2024; country_proxy=South Africa; cohort=Africa; city_income_mult=1.1</t>
        </is>
      </c>
    </row>
    <row r="2613">
      <c r="A2613" t="inlineStr">
        <is>
          <t>za-johannesburg</t>
        </is>
      </c>
      <c r="B2613" t="inlineStr">
        <is>
          <t>Johannesburg</t>
        </is>
      </c>
      <c r="C2613" t="inlineStr">
        <is>
          <t>South Africa</t>
        </is>
      </c>
      <c r="D2613" t="inlineStr">
        <is>
          <t>Africa</t>
        </is>
      </c>
      <c r="E2613" t="inlineStr">
        <is>
          <t>di_ppp_raw</t>
        </is>
      </c>
      <c r="F2613" t="inlineStr">
        <is>
          <t>Disposable income PPP (Raw)</t>
        </is>
      </c>
      <c r="G2613" t="inlineStr">
        <is>
          <t>pressure</t>
        </is>
      </c>
      <c r="H2613" t="inlineStr">
        <is>
          <t>yes</t>
        </is>
      </c>
      <c r="I2613" t="inlineStr"/>
      <c r="J2613" t="inlineStr"/>
      <c r="K2613" t="inlineStr"/>
      <c r="L2613" t="inlineStr"/>
      <c r="M2613" t="inlineStr"/>
      <c r="N2613" t="inlineStr"/>
    </row>
    <row r="2614">
      <c r="A2614" t="inlineStr">
        <is>
          <t>za-johannesburg</t>
        </is>
      </c>
      <c r="B2614" t="inlineStr">
        <is>
          <t>Johannesburg</t>
        </is>
      </c>
      <c r="C2614" t="inlineStr">
        <is>
          <t>South Africa</t>
        </is>
      </c>
      <c r="D2614" t="inlineStr">
        <is>
          <t>Africa</t>
        </is>
      </c>
      <c r="E2614" t="inlineStr">
        <is>
          <t>rent</t>
        </is>
      </c>
      <c r="F2614" t="inlineStr">
        <is>
          <t>Rent</t>
        </is>
      </c>
      <c r="G2614" t="inlineStr">
        <is>
          <t>pressure</t>
        </is>
      </c>
      <c r="H2614" t="inlineStr">
        <is>
          <t>yes</t>
        </is>
      </c>
      <c r="I2614" t="inlineStr">
        <is>
          <t>305.53</t>
        </is>
      </c>
      <c r="J2614" t="inlineStr">
        <is>
          <t>world_bank_col_estimate</t>
        </is>
      </c>
      <c r="K2614" t="inlineStr">
        <is>
          <t>https://api.worldbank.org/v2/country/ZAF/indicator/NY.GNP.PCAP.PP.CD?format=json&amp;mrv=10</t>
        </is>
      </c>
      <c r="L2614" t="inlineStr">
        <is>
          <t>World Bank GNI + regional expenditure ratio estimate</t>
        </is>
      </c>
      <c r="M2614" t="inlineStr">
        <is>
          <t>2024-12-31</t>
        </is>
      </c>
      <c r="N2614" t="inlineStr">
        <is>
          <t>auto_ingest=world_bank_col_estimate; gni_annual=15150.0; year=2024; country_proxy=South Africa; cohort=Africa; city_cost_mult=1.1</t>
        </is>
      </c>
    </row>
    <row r="2615">
      <c r="A2615" t="inlineStr">
        <is>
          <t>za-johannesburg</t>
        </is>
      </c>
      <c r="B2615" t="inlineStr">
        <is>
          <t>Johannesburg</t>
        </is>
      </c>
      <c r="C2615" t="inlineStr">
        <is>
          <t>South Africa</t>
        </is>
      </c>
      <c r="D2615" t="inlineStr">
        <is>
          <t>Africa</t>
        </is>
      </c>
      <c r="E2615" t="inlineStr">
        <is>
          <t>utilities</t>
        </is>
      </c>
      <c r="F2615" t="inlineStr">
        <is>
          <t>Utilities</t>
        </is>
      </c>
      <c r="G2615" t="inlineStr">
        <is>
          <t>pressure</t>
        </is>
      </c>
      <c r="H2615" t="inlineStr">
        <is>
          <t>yes</t>
        </is>
      </c>
      <c r="I2615" t="inlineStr">
        <is>
          <t>91.66</t>
        </is>
      </c>
      <c r="J2615" t="inlineStr">
        <is>
          <t>world_bank_col_estimate</t>
        </is>
      </c>
      <c r="K2615" t="inlineStr">
        <is>
          <t>https://api.worldbank.org/v2/country/ZAF/indicator/NY.GNP.PCAP.PP.CD?format=json&amp;mrv=10</t>
        </is>
      </c>
      <c r="L2615" t="inlineStr">
        <is>
          <t>World Bank GNI + regional expenditure ratio estimate</t>
        </is>
      </c>
      <c r="M2615" t="inlineStr">
        <is>
          <t>2024-12-31</t>
        </is>
      </c>
      <c r="N2615" t="inlineStr">
        <is>
          <t>auto_ingest=world_bank_col_estimate; gni_annual=15150.0; year=2024; country_proxy=South Africa; cohort=Africa; city_cost_mult=1.1</t>
        </is>
      </c>
    </row>
    <row r="2616">
      <c r="A2616" t="inlineStr">
        <is>
          <t>za-johannesburg</t>
        </is>
      </c>
      <c r="B2616" t="inlineStr">
        <is>
          <t>Johannesburg</t>
        </is>
      </c>
      <c r="C2616" t="inlineStr">
        <is>
          <t>South Africa</t>
        </is>
      </c>
      <c r="D2616" t="inlineStr">
        <is>
          <t>Africa</t>
        </is>
      </c>
      <c r="E2616" t="inlineStr">
        <is>
          <t>transit_cost</t>
        </is>
      </c>
      <c r="F2616" t="inlineStr">
        <is>
          <t>Transit cost</t>
        </is>
      </c>
      <c r="G2616" t="inlineStr">
        <is>
          <t>pressure</t>
        </is>
      </c>
      <c r="H2616" t="inlineStr">
        <is>
          <t>yes</t>
        </is>
      </c>
      <c r="I2616" t="inlineStr">
        <is>
          <t>61.11</t>
        </is>
      </c>
      <c r="J2616" t="inlineStr">
        <is>
          <t>world_bank_col_estimate</t>
        </is>
      </c>
      <c r="K2616" t="inlineStr">
        <is>
          <t>https://api.worldbank.org/v2/country/ZAF/indicator/NY.GNP.PCAP.PP.CD?format=json&amp;mrv=10</t>
        </is>
      </c>
      <c r="L2616" t="inlineStr">
        <is>
          <t>World Bank GNI + regional expenditure ratio estimate</t>
        </is>
      </c>
      <c r="M2616" t="inlineStr">
        <is>
          <t>2024-12-31</t>
        </is>
      </c>
      <c r="N2616" t="inlineStr">
        <is>
          <t>auto_ingest=world_bank_col_estimate; gni_annual=15150.0; year=2024; country_proxy=South Africa; cohort=Africa; city_cost_mult=1.1</t>
        </is>
      </c>
    </row>
    <row r="2617">
      <c r="A2617" t="inlineStr">
        <is>
          <t>za-johannesburg</t>
        </is>
      </c>
      <c r="B2617" t="inlineStr">
        <is>
          <t>Johannesburg</t>
        </is>
      </c>
      <c r="C2617" t="inlineStr">
        <is>
          <t>South Africa</t>
        </is>
      </c>
      <c r="D2617" t="inlineStr">
        <is>
          <t>Africa</t>
        </is>
      </c>
      <c r="E2617" t="inlineStr">
        <is>
          <t>internet_cost</t>
        </is>
      </c>
      <c r="F2617" t="inlineStr">
        <is>
          <t>Internet cost</t>
        </is>
      </c>
      <c r="G2617" t="inlineStr">
        <is>
          <t>pressure</t>
        </is>
      </c>
      <c r="H2617" t="inlineStr">
        <is>
          <t>yes</t>
        </is>
      </c>
      <c r="I2617" t="inlineStr">
        <is>
          <t>22.91</t>
        </is>
      </c>
      <c r="J2617" t="inlineStr">
        <is>
          <t>world_bank_col_estimate</t>
        </is>
      </c>
      <c r="K2617" t="inlineStr">
        <is>
          <t>https://api.worldbank.org/v2/country/ZAF/indicator/NY.GNP.PCAP.PP.CD?format=json&amp;mrv=10</t>
        </is>
      </c>
      <c r="L2617" t="inlineStr">
        <is>
          <t>World Bank GNI + regional expenditure ratio estimate</t>
        </is>
      </c>
      <c r="M2617" t="inlineStr">
        <is>
          <t>2024-12-31</t>
        </is>
      </c>
      <c r="N2617" t="inlineStr">
        <is>
          <t>auto_ingest=world_bank_col_estimate; gni_annual=15150.0; year=2024; country_proxy=South Africa; cohort=Africa; city_cost_mult=1.1</t>
        </is>
      </c>
    </row>
    <row r="2618">
      <c r="A2618" t="inlineStr">
        <is>
          <t>za-johannesburg</t>
        </is>
      </c>
      <c r="B2618" t="inlineStr">
        <is>
          <t>Johannesburg</t>
        </is>
      </c>
      <c r="C2618" t="inlineStr">
        <is>
          <t>South Africa</t>
        </is>
      </c>
      <c r="D2618" t="inlineStr">
        <is>
          <t>Africa</t>
        </is>
      </c>
      <c r="E2618" t="inlineStr">
        <is>
          <t>food_cost</t>
        </is>
      </c>
      <c r="F2618" t="inlineStr">
        <is>
          <t>Food cost</t>
        </is>
      </c>
      <c r="G2618" t="inlineStr">
        <is>
          <t>pressure</t>
        </is>
      </c>
      <c r="H2618" t="inlineStr">
        <is>
          <t>yes</t>
        </is>
      </c>
      <c r="I2618" t="inlineStr">
        <is>
          <t>381.91</t>
        </is>
      </c>
      <c r="J2618" t="inlineStr">
        <is>
          <t>world_bank_col_estimate</t>
        </is>
      </c>
      <c r="K2618" t="inlineStr">
        <is>
          <t>https://api.worldbank.org/v2/country/ZAF/indicator/NY.GNP.PCAP.PP.CD?format=json&amp;mrv=10</t>
        </is>
      </c>
      <c r="L2618" t="inlineStr">
        <is>
          <t>World Bank GNI + regional expenditure ratio estimate</t>
        </is>
      </c>
      <c r="M2618" t="inlineStr">
        <is>
          <t>2024-12-31</t>
        </is>
      </c>
      <c r="N2618" t="inlineStr">
        <is>
          <t>auto_ingest=world_bank_col_estimate; gni_annual=15150.0; year=2024; country_proxy=South Africa; cohort=Africa; city_cost_mult=1.1</t>
        </is>
      </c>
    </row>
    <row r="2619">
      <c r="A2619" t="inlineStr">
        <is>
          <t>za-johannesburg</t>
        </is>
      </c>
      <c r="B2619" t="inlineStr">
        <is>
          <t>Johannesburg</t>
        </is>
      </c>
      <c r="C2619" t="inlineStr">
        <is>
          <t>South Africa</t>
        </is>
      </c>
      <c r="D2619" t="inlineStr">
        <is>
          <t>Africa</t>
        </is>
      </c>
      <c r="E2619" t="inlineStr">
        <is>
          <t>housing_burden_raw</t>
        </is>
      </c>
      <c r="F2619" t="inlineStr">
        <is>
          <t>Housing burden raw</t>
        </is>
      </c>
      <c r="G2619" t="inlineStr">
        <is>
          <t>pressure</t>
        </is>
      </c>
      <c r="H2619" t="inlineStr">
        <is>
          <t>yes</t>
        </is>
      </c>
      <c r="I2619" t="inlineStr">
        <is>
          <t>22.0004</t>
        </is>
      </c>
      <c r="J2619" t="inlineStr">
        <is>
          <t>derived</t>
        </is>
      </c>
      <c r="K2619" t="inlineStr">
        <is>
          <t>https://data.worldbank.org/indicator/NY.GNP.PCAP.PP.CD</t>
        </is>
      </c>
      <c r="L2619" t="inlineStr">
        <is>
          <t>Computed from city_inputs + country_context</t>
        </is>
      </c>
      <c r="M2619" t="inlineStr">
        <is>
          <t>2024-01-01</t>
        </is>
      </c>
      <c r="N2619" t="inlineStr">
        <is>
          <t>derived=rent/gross_income*100</t>
        </is>
      </c>
    </row>
    <row r="2620">
      <c r="A2620" t="inlineStr">
        <is>
          <t>za-johannesburg</t>
        </is>
      </c>
      <c r="B2620" t="inlineStr">
        <is>
          <t>Johannesburg</t>
        </is>
      </c>
      <c r="C2620" t="inlineStr">
        <is>
          <t>South Africa</t>
        </is>
      </c>
      <c r="D2620" t="inlineStr">
        <is>
          <t>Africa</t>
        </is>
      </c>
      <c r="E2620" t="inlineStr">
        <is>
          <t>household_debt_burden_raw</t>
        </is>
      </c>
      <c r="F2620" t="inlineStr">
        <is>
          <t>Household debt burden raw</t>
        </is>
      </c>
      <c r="G2620" t="inlineStr">
        <is>
          <t>pressure</t>
        </is>
      </c>
      <c r="H2620" t="inlineStr">
        <is>
          <t>yes</t>
        </is>
      </c>
      <c r="I2620" t="inlineStr">
        <is>
          <t>57.4717</t>
        </is>
      </c>
      <c r="J2620" t="inlineStr">
        <is>
          <t>derived</t>
        </is>
      </c>
      <c r="K2620" t="inlineStr">
        <is>
          <t>https://data.worldbank.org/indicator/NY.GNP.PCAP.PP.CD</t>
        </is>
      </c>
      <c r="L2620" t="inlineStr">
        <is>
          <t>Computed from city_inputs + country_context</t>
        </is>
      </c>
      <c r="M2620" t="inlineStr">
        <is>
          <t>2024-01-01</t>
        </is>
      </c>
      <c r="N2620" t="inlineStr">
        <is>
          <t>derived=country_context.household_debt_proxy; country=South Africa</t>
        </is>
      </c>
    </row>
    <row r="2621">
      <c r="A2621" t="inlineStr">
        <is>
          <t>za-johannesburg</t>
        </is>
      </c>
      <c r="B2621" t="inlineStr">
        <is>
          <t>Johannesburg</t>
        </is>
      </c>
      <c r="C2621" t="inlineStr">
        <is>
          <t>South Africa</t>
        </is>
      </c>
      <c r="D2621" t="inlineStr">
        <is>
          <t>Africa</t>
        </is>
      </c>
      <c r="E2621" t="inlineStr">
        <is>
          <t>working_time_pressure_raw</t>
        </is>
      </c>
      <c r="F2621" t="inlineStr">
        <is>
          <t>Working time pressure raw</t>
        </is>
      </c>
      <c r="G2621" t="inlineStr">
        <is>
          <t>pressure</t>
        </is>
      </c>
      <c r="H2621" t="inlineStr">
        <is>
          <t>yes</t>
        </is>
      </c>
      <c r="I2621" t="inlineStr">
        <is>
          <t>42.39</t>
        </is>
      </c>
      <c r="J2621" t="inlineStr">
        <is>
          <t>ilo_ilostat</t>
        </is>
      </c>
      <c r="K2621" t="inlineStr">
        <is>
          <t>https://ilostat.ilo.org/data/indicator/?id=HOW_TEMP_SEX_ECO_NB_A&amp;ref_area=ZAF</t>
        </is>
      </c>
      <c r="L2621" t="inlineStr">
        <is>
          <t>ILO ILOSTAT: Mean weekly hours actually worked per employed person</t>
        </is>
      </c>
      <c r="M2621" t="inlineStr">
        <is>
          <t>2024-12-31</t>
        </is>
      </c>
      <c r="N2621" t="inlineStr">
        <is>
          <t>auto_ingest=ilo_working_hours; indicator=HOW_TEMP_SEX_ECO_NB_A; year=2024; hours=42.39; country_proxy=South Africa</t>
        </is>
      </c>
    </row>
    <row r="2622">
      <c r="A2622" t="inlineStr">
        <is>
          <t>za-johannesburg</t>
        </is>
      </c>
      <c r="B2622" t="inlineStr">
        <is>
          <t>Johannesburg</t>
        </is>
      </c>
      <c r="C2622" t="inlineStr">
        <is>
          <t>South Africa</t>
        </is>
      </c>
      <c r="D2622" t="inlineStr">
        <is>
          <t>Africa</t>
        </is>
      </c>
      <c r="E2622" t="inlineStr">
        <is>
          <t>suicide_mental_strain_raw</t>
        </is>
      </c>
      <c r="F2622" t="inlineStr">
        <is>
          <t>Suicide or mental strain raw</t>
        </is>
      </c>
      <c r="G2622" t="inlineStr">
        <is>
          <t>pressure</t>
        </is>
      </c>
      <c r="H2622" t="inlineStr">
        <is>
          <t>yes</t>
        </is>
      </c>
      <c r="I2622" t="inlineStr">
        <is>
          <t>22.3</t>
        </is>
      </c>
      <c r="J2622" t="inlineStr">
        <is>
          <t>who_gho</t>
        </is>
      </c>
      <c r="K2622" t="inlineStr">
        <is>
          <t>https://www.who.int/data/gho/data/indicators/indicator-details/GHO/SDGSUICIDE</t>
        </is>
      </c>
      <c r="L2622" t="inlineStr">
        <is>
          <t>WHO GHO: Age-standardized suicide rate (per 100,000 population)</t>
        </is>
      </c>
      <c r="M2622" t="inlineStr">
        <is>
          <t>2021-12-31</t>
        </is>
      </c>
      <c r="N2622" t="inlineStr">
        <is>
          <t>auto_ingest=who_gho; indicator=SDGSUICIDE; year=2021; country_proxy=South Africa</t>
        </is>
      </c>
    </row>
    <row r="2623">
      <c r="A2623" t="inlineStr">
        <is>
          <t>za-johannesburg</t>
        </is>
      </c>
      <c r="B2623" t="inlineStr">
        <is>
          <t>Johannesburg</t>
        </is>
      </c>
      <c r="C2623" t="inlineStr">
        <is>
          <t>South Africa</t>
        </is>
      </c>
      <c r="D2623" t="inlineStr">
        <is>
          <t>Africa</t>
        </is>
      </c>
      <c r="E2623" t="inlineStr">
        <is>
          <t>personal_safety_raw</t>
        </is>
      </c>
      <c r="F2623" t="inlineStr">
        <is>
          <t>Personal safety raw</t>
        </is>
      </c>
      <c r="G2623" t="inlineStr">
        <is>
          <t>viability</t>
        </is>
      </c>
      <c r="H2623" t="inlineStr">
        <is>
          <t>yes</t>
        </is>
      </c>
      <c r="I2623" t="inlineStr">
        <is>
          <t>43.72</t>
        </is>
      </c>
      <c r="J2623" t="inlineStr">
        <is>
          <t>world_bank</t>
        </is>
      </c>
      <c r="K2623" t="inlineStr">
        <is>
          <t>https://api.worldbank.org/v2/country/ZAF/indicator/VC.IHR.PSRC.P5?format=json&amp;mrv=10</t>
        </is>
      </c>
      <c r="L2623" t="inlineStr">
        <is>
          <t>UNODC via World Bank WDI: Intentional homicides (per 100,000 people)</t>
        </is>
      </c>
      <c r="M2623" t="inlineStr">
        <is>
          <t>2022-12-31</t>
        </is>
      </c>
      <c r="N2623" t="inlineStr">
        <is>
          <t>auto_ingest=unodc_safety; indicator=VC.IHR.PSRC.P5; year=2022; country_proxy=South Africa</t>
        </is>
      </c>
    </row>
    <row r="2624">
      <c r="A2624" t="inlineStr">
        <is>
          <t>za-johannesburg</t>
        </is>
      </c>
      <c r="B2624" t="inlineStr">
        <is>
          <t>Johannesburg</t>
        </is>
      </c>
      <c r="C2624" t="inlineStr">
        <is>
          <t>South Africa</t>
        </is>
      </c>
      <c r="D2624" t="inlineStr">
        <is>
          <t>Africa</t>
        </is>
      </c>
      <c r="E2624" t="inlineStr">
        <is>
          <t>transit_access_commute_raw</t>
        </is>
      </c>
      <c r="F2624" t="inlineStr">
        <is>
          <t>Transit access and commute raw</t>
        </is>
      </c>
      <c r="G2624" t="inlineStr">
        <is>
          <t>viability</t>
        </is>
      </c>
      <c r="H2624" t="inlineStr">
        <is>
          <t>yes</t>
        </is>
      </c>
      <c r="I2624" t="inlineStr"/>
      <c r="J2624" t="inlineStr"/>
      <c r="K2624" t="inlineStr"/>
      <c r="L2624" t="inlineStr"/>
      <c r="M2624" t="inlineStr"/>
      <c r="N2624" t="inlineStr"/>
    </row>
    <row r="2625">
      <c r="A2625" t="inlineStr">
        <is>
          <t>za-johannesburg</t>
        </is>
      </c>
      <c r="B2625" t="inlineStr">
        <is>
          <t>Johannesburg</t>
        </is>
      </c>
      <c r="C2625" t="inlineStr">
        <is>
          <t>South Africa</t>
        </is>
      </c>
      <c r="D2625" t="inlineStr">
        <is>
          <t>Africa</t>
        </is>
      </c>
      <c r="E2625" t="inlineStr">
        <is>
          <t>clean_air_raw</t>
        </is>
      </c>
      <c r="F2625" t="inlineStr">
        <is>
          <t>Clean air raw</t>
        </is>
      </c>
      <c r="G2625" t="inlineStr">
        <is>
          <t>viability</t>
        </is>
      </c>
      <c r="H2625" t="inlineStr">
        <is>
          <t>yes</t>
        </is>
      </c>
      <c r="I2625" t="inlineStr"/>
      <c r="J2625" t="inlineStr"/>
      <c r="K2625" t="inlineStr"/>
      <c r="L2625" t="inlineStr"/>
      <c r="M2625" t="inlineStr"/>
      <c r="N2625" t="inlineStr"/>
    </row>
    <row r="2626">
      <c r="A2626" t="inlineStr">
        <is>
          <t>za-johannesburg</t>
        </is>
      </c>
      <c r="B2626" t="inlineStr">
        <is>
          <t>Johannesburg</t>
        </is>
      </c>
      <c r="C2626" t="inlineStr">
        <is>
          <t>South Africa</t>
        </is>
      </c>
      <c r="D2626" t="inlineStr">
        <is>
          <t>Africa</t>
        </is>
      </c>
      <c r="E2626" t="inlineStr">
        <is>
          <t>water_sanitation_utility_raw</t>
        </is>
      </c>
      <c r="F2626" t="inlineStr">
        <is>
          <t>Water, sanitation, and utility raw</t>
        </is>
      </c>
      <c r="G2626" t="inlineStr">
        <is>
          <t>viability</t>
        </is>
      </c>
      <c r="H2626" t="inlineStr">
        <is>
          <t>yes</t>
        </is>
      </c>
      <c r="I2626" t="inlineStr">
        <is>
          <t>68.01</t>
        </is>
      </c>
      <c r="J2626" t="inlineStr">
        <is>
          <t>world_bank</t>
        </is>
      </c>
      <c r="K2626" t="inlineStr">
        <is>
          <t>https://api.worldbank.org/v2/country/ZAF/indicator/SH.H2O.SMDW.ZS?format=json&amp;mrv=10</t>
        </is>
      </c>
      <c r="L2626" t="inlineStr">
        <is>
          <t>World Bank WDI: People using safely managed drinking water services (% of population)</t>
        </is>
      </c>
      <c r="M2626" t="inlineStr">
        <is>
          <t>2024-12-31</t>
        </is>
      </c>
      <c r="N2626" t="inlineStr">
        <is>
          <t>auto_ingest=world_bank_proxy; indicator=SH.H2O.SMDW.ZS; year=2024; country_proxy=South Africa</t>
        </is>
      </c>
    </row>
    <row r="2627">
      <c r="A2627" t="inlineStr">
        <is>
          <t>za-johannesburg</t>
        </is>
      </c>
      <c r="B2627" t="inlineStr">
        <is>
          <t>Johannesburg</t>
        </is>
      </c>
      <c r="C2627" t="inlineStr">
        <is>
          <t>South Africa</t>
        </is>
      </c>
      <c r="D2627" t="inlineStr">
        <is>
          <t>Africa</t>
        </is>
      </c>
      <c r="E2627" t="inlineStr">
        <is>
          <t>digital_infrastructure_raw</t>
        </is>
      </c>
      <c r="F2627" t="inlineStr">
        <is>
          <t>Digital infrastructure raw</t>
        </is>
      </c>
      <c r="G2627" t="inlineStr">
        <is>
          <t>viability</t>
        </is>
      </c>
      <c r="H2627" t="inlineStr">
        <is>
          <t>yes</t>
        </is>
      </c>
      <c r="I2627" t="inlineStr">
        <is>
          <t>3.41</t>
        </is>
      </c>
      <c r="J2627" t="inlineStr">
        <is>
          <t>world_bank</t>
        </is>
      </c>
      <c r="K2627" t="inlineStr">
        <is>
          <t>https://api.worldbank.org/v2/country/ZAF/indicator/IT.NET.BBND.P2?format=json&amp;mrv=10</t>
        </is>
      </c>
      <c r="L2627" t="inlineStr">
        <is>
          <t>World Bank WDI: Fixed broadband subscriptions (per 100 people)</t>
        </is>
      </c>
      <c r="M2627" t="inlineStr">
        <is>
          <t>2023-12-31</t>
        </is>
      </c>
      <c r="N2627" t="inlineStr">
        <is>
          <t>auto_ingest=world_bank_proxy; indicator=IT.NET.BBND.P2; year=2023; country_proxy=South Africa</t>
        </is>
      </c>
    </row>
    <row r="2628">
      <c r="A2628" t="inlineStr">
        <is>
          <t>za-johannesburg</t>
        </is>
      </c>
      <c r="B2628" t="inlineStr">
        <is>
          <t>Johannesburg</t>
        </is>
      </c>
      <c r="C2628" t="inlineStr">
        <is>
          <t>South Africa</t>
        </is>
      </c>
      <c r="D2628" t="inlineStr">
        <is>
          <t>Africa</t>
        </is>
      </c>
      <c r="E2628" t="inlineStr">
        <is>
          <t>climate_sunlight_livability_raw</t>
        </is>
      </c>
      <c r="F2628" t="inlineStr">
        <is>
          <t>Climate and sunlight livability raw</t>
        </is>
      </c>
      <c r="G2628" t="inlineStr">
        <is>
          <t>viability</t>
        </is>
      </c>
      <c r="H2628" t="inlineStr">
        <is>
          <t>yes</t>
        </is>
      </c>
      <c r="I2628" t="inlineStr">
        <is>
          <t>68</t>
        </is>
      </c>
      <c r="J2628" t="inlineStr">
        <is>
          <t>wmo_natl_met</t>
        </is>
      </c>
      <c r="K2628" t="inlineStr">
        <is>
          <t>https://worldweather.wmo.int</t>
        </is>
      </c>
      <c r="L2628" t="inlineStr">
        <is>
          <t>WMO/National Met: Climate livability composite</t>
        </is>
      </c>
      <c r="M2628" t="inlineStr">
        <is>
          <t>2024-12-31</t>
        </is>
      </c>
      <c r="N2628" t="inlineStr">
        <is>
          <t>auto_seed=climate_composite; 3100 sun hrs, 16C mean, altitude comfort</t>
        </is>
      </c>
    </row>
    <row r="2629">
      <c r="A2629" t="inlineStr">
        <is>
          <t>za-johannesburg</t>
        </is>
      </c>
      <c r="B2629" t="inlineStr">
        <is>
          <t>Johannesburg</t>
        </is>
      </c>
      <c r="C2629" t="inlineStr">
        <is>
          <t>South Africa</t>
        </is>
      </c>
      <c r="D2629" t="inlineStr">
        <is>
          <t>Africa</t>
        </is>
      </c>
      <c r="E2629" t="inlineStr">
        <is>
          <t>healthcare_quality_raw</t>
        </is>
      </c>
      <c r="F2629" t="inlineStr">
        <is>
          <t>Healthcare quality raw</t>
        </is>
      </c>
      <c r="G2629" t="inlineStr">
        <is>
          <t>capability</t>
        </is>
      </c>
      <c r="H2629" t="inlineStr">
        <is>
          <t>yes</t>
        </is>
      </c>
      <c r="I2629" t="inlineStr">
        <is>
          <t>74.0</t>
        </is>
      </c>
      <c r="J2629" t="inlineStr">
        <is>
          <t>who_gho</t>
        </is>
      </c>
      <c r="K2629" t="inlineStr">
        <is>
          <t>https://www.who.int/data/gho/data/indicators/indicator-details/GHO/UHC_INDEX_REPORTED</t>
        </is>
      </c>
      <c r="L2629" t="inlineStr">
        <is>
          <t>WHO GHO: UHC Service Coverage Index</t>
        </is>
      </c>
      <c r="M2629" t="inlineStr">
        <is>
          <t>2023-12-31</t>
        </is>
      </c>
      <c r="N2629" t="inlineStr">
        <is>
          <t>auto_ingest=who_gho; indicator=UHC_INDEX_REPORTED; year=2023; country_proxy=South Africa</t>
        </is>
      </c>
    </row>
    <row r="2630">
      <c r="A2630" t="inlineStr">
        <is>
          <t>za-johannesburg</t>
        </is>
      </c>
      <c r="B2630" t="inlineStr">
        <is>
          <t>Johannesburg</t>
        </is>
      </c>
      <c r="C2630" t="inlineStr">
        <is>
          <t>South Africa</t>
        </is>
      </c>
      <c r="D2630" t="inlineStr">
        <is>
          <t>Africa</t>
        </is>
      </c>
      <c r="E2630" t="inlineStr">
        <is>
          <t>education_quality_raw</t>
        </is>
      </c>
      <c r="F2630" t="inlineStr">
        <is>
          <t>Education quality raw</t>
        </is>
      </c>
      <c r="G2630" t="inlineStr">
        <is>
          <t>capability</t>
        </is>
      </c>
      <c r="H2630" t="inlineStr">
        <is>
          <t>yes</t>
        </is>
      </c>
      <c r="I2630" t="inlineStr">
        <is>
          <t>23.49</t>
        </is>
      </c>
      <c r="J2630" t="inlineStr">
        <is>
          <t>world_bank</t>
        </is>
      </c>
      <c r="K2630" t="inlineStr">
        <is>
          <t>https://api.worldbank.org/v2/country/ZAF/indicator/SE.TER.ENRR?format=json&amp;mrv=10</t>
        </is>
      </c>
      <c r="L2630" t="inlineStr">
        <is>
          <t>World Bank WDI: School enrollment, tertiary (% gross)</t>
        </is>
      </c>
      <c r="M2630" t="inlineStr">
        <is>
          <t>2023-12-31</t>
        </is>
      </c>
      <c r="N2630" t="inlineStr">
        <is>
          <t>auto_ingest=world_bank_proxy; indicator=SE.TER.ENRR; year=2023; country_proxy=South Africa</t>
        </is>
      </c>
    </row>
    <row r="2631">
      <c r="A2631" t="inlineStr">
        <is>
          <t>za-johannesburg</t>
        </is>
      </c>
      <c r="B2631" t="inlineStr">
        <is>
          <t>Johannesburg</t>
        </is>
      </c>
      <c r="C2631" t="inlineStr">
        <is>
          <t>South Africa</t>
        </is>
      </c>
      <c r="D2631" t="inlineStr">
        <is>
          <t>Africa</t>
        </is>
      </c>
      <c r="E2631" t="inlineStr">
        <is>
          <t>equal_opportunity_raw</t>
        </is>
      </c>
      <c r="F2631" t="inlineStr">
        <is>
          <t>Equal opportunity raw</t>
        </is>
      </c>
      <c r="G2631" t="inlineStr">
        <is>
          <t>capability</t>
        </is>
      </c>
      <c r="H2631" t="inlineStr">
        <is>
          <t>yes</t>
        </is>
      </c>
      <c r="I2631" t="inlineStr"/>
      <c r="J2631" t="inlineStr"/>
      <c r="K2631" t="inlineStr"/>
      <c r="L2631" t="inlineStr"/>
      <c r="M2631" t="inlineStr"/>
      <c r="N2631" t="inlineStr"/>
    </row>
    <row r="2632">
      <c r="A2632" t="inlineStr">
        <is>
          <t>za-johannesburg</t>
        </is>
      </c>
      <c r="B2632" t="inlineStr">
        <is>
          <t>Johannesburg</t>
        </is>
      </c>
      <c r="C2632" t="inlineStr">
        <is>
          <t>South Africa</t>
        </is>
      </c>
      <c r="D2632" t="inlineStr">
        <is>
          <t>Africa</t>
        </is>
      </c>
      <c r="E2632" t="inlineStr">
        <is>
          <t>hospitality_belonging_raw</t>
        </is>
      </c>
      <c r="F2632" t="inlineStr">
        <is>
          <t>Hospitality and belonging raw</t>
        </is>
      </c>
      <c r="G2632" t="inlineStr">
        <is>
          <t>community</t>
        </is>
      </c>
      <c r="H2632" t="inlineStr">
        <is>
          <t>yes</t>
        </is>
      </c>
      <c r="I2632" t="inlineStr">
        <is>
          <t>52.29</t>
        </is>
      </c>
      <c r="J2632" t="inlineStr">
        <is>
          <t>world_bank</t>
        </is>
      </c>
      <c r="K2632" t="inlineStr">
        <is>
          <t>https://api.worldbank.org/v2/country/ZAF/indicator/SM.POP.NETM?format=json&amp;mrv=10</t>
        </is>
      </c>
      <c r="L2632" t="inlineStr">
        <is>
          <t>World Bank WDI: Net migration (proxy for hospitality/belonging — positive = welcoming)</t>
        </is>
      </c>
      <c r="M2632" t="inlineStr">
        <is>
          <t>2025-12-31</t>
        </is>
      </c>
      <c r="N2632" t="inlineStr">
        <is>
          <t>auto_ingest=world_bank_proxy; proxy=net_migration_hospitality; indicator=SM.POP.NETM; year=2025; country_proxy=South Africa</t>
        </is>
      </c>
    </row>
    <row r="2633">
      <c r="A2633" t="inlineStr">
        <is>
          <t>za-johannesburg</t>
        </is>
      </c>
      <c r="B2633" t="inlineStr">
        <is>
          <t>Johannesburg</t>
        </is>
      </c>
      <c r="C2633" t="inlineStr">
        <is>
          <t>South Africa</t>
        </is>
      </c>
      <c r="D2633" t="inlineStr">
        <is>
          <t>Africa</t>
        </is>
      </c>
      <c r="E2633" t="inlineStr">
        <is>
          <t>tolerance_pluralism_raw</t>
        </is>
      </c>
      <c r="F2633" t="inlineStr">
        <is>
          <t>Tolerance and pluralism raw</t>
        </is>
      </c>
      <c r="G2633" t="inlineStr">
        <is>
          <t>community</t>
        </is>
      </c>
      <c r="H2633" t="inlineStr">
        <is>
          <t>yes</t>
        </is>
      </c>
      <c r="I2633" t="inlineStr">
        <is>
          <t>44.7</t>
        </is>
      </c>
      <c r="J2633" t="inlineStr">
        <is>
          <t>world_bank</t>
        </is>
      </c>
      <c r="K2633" t="inlineStr">
        <is>
          <t>https://api.worldbank.org/v2/country/ZAF/indicator/SG.GEN.PARL.ZS?format=json&amp;mrv=10</t>
        </is>
      </c>
      <c r="L2633" t="inlineStr">
        <is>
          <t>World Bank WDI: Proportion of seats held by women in national parliaments (%)</t>
        </is>
      </c>
      <c r="M2633" t="inlineStr">
        <is>
          <t>2024-12-31</t>
        </is>
      </c>
      <c r="N2633" t="inlineStr">
        <is>
          <t>auto_ingest=world_bank_proxy; proxy=gender_parity_parliament; indicator=SG.GEN.PARL.ZS; year=2024; country_proxy=South Africa</t>
        </is>
      </c>
    </row>
    <row r="2634">
      <c r="A2634" t="inlineStr">
        <is>
          <t>za-johannesburg</t>
        </is>
      </c>
      <c r="B2634" t="inlineStr">
        <is>
          <t>Johannesburg</t>
        </is>
      </c>
      <c r="C2634" t="inlineStr">
        <is>
          <t>South Africa</t>
        </is>
      </c>
      <c r="D2634" t="inlineStr">
        <is>
          <t>Africa</t>
        </is>
      </c>
      <c r="E2634" t="inlineStr">
        <is>
          <t>cultural_public_life_raw</t>
        </is>
      </c>
      <c r="F2634" t="inlineStr">
        <is>
          <t>Cultural public life raw</t>
        </is>
      </c>
      <c r="G2634" t="inlineStr">
        <is>
          <t>community</t>
        </is>
      </c>
      <c r="H2634" t="inlineStr">
        <is>
          <t>yes</t>
        </is>
      </c>
      <c r="I2634" t="inlineStr">
        <is>
          <t>60.72</t>
        </is>
      </c>
      <c r="J2634" t="inlineStr">
        <is>
          <t>world_bank</t>
        </is>
      </c>
      <c r="K2634" t="inlineStr">
        <is>
          <t>https://api.worldbank.org/v2/country/ZAF/indicator/ST.INT.ARVL?format=json&amp;mrv=10</t>
        </is>
      </c>
      <c r="L2634" t="inlineStr">
        <is>
          <t>World Bank WDI: International tourism arrivals per 1 000 population</t>
        </is>
      </c>
      <c r="M2634" t="inlineStr">
        <is>
          <t>2020-12-31</t>
        </is>
      </c>
      <c r="N2634" t="inlineStr">
        <is>
          <t>auto_ingest=cultural_life_proxy; indicator=ST.INT.ARVL; norm=per_1000_pop; year=2020; country_proxy=South Africa</t>
        </is>
      </c>
    </row>
    <row r="2635">
      <c r="A2635" t="inlineStr">
        <is>
          <t>za-johannesburg</t>
        </is>
      </c>
      <c r="B2635" t="inlineStr">
        <is>
          <t>Johannesburg</t>
        </is>
      </c>
      <c r="C2635" t="inlineStr">
        <is>
          <t>South Africa</t>
        </is>
      </c>
      <c r="D2635" t="inlineStr">
        <is>
          <t>Africa</t>
        </is>
      </c>
      <c r="E2635" t="inlineStr">
        <is>
          <t>birth_rate_optimism_raw</t>
        </is>
      </c>
      <c r="F2635" t="inlineStr">
        <is>
          <t>Birth rate and societal optimism raw</t>
        </is>
      </c>
      <c r="G2635" t="inlineStr">
        <is>
          <t>community</t>
        </is>
      </c>
      <c r="H2635" t="inlineStr">
        <is>
          <t>yes</t>
        </is>
      </c>
      <c r="I2635" t="inlineStr">
        <is>
          <t>2.33</t>
        </is>
      </c>
      <c r="J2635" t="inlineStr">
        <is>
          <t>world_bank</t>
        </is>
      </c>
      <c r="K2635" t="inlineStr">
        <is>
          <t>https://data.worldbank.org/indicator/SP.DYN.TFRT.IN</t>
        </is>
      </c>
      <c r="L2635" t="inlineStr">
        <is>
          <t>World Bank Total Fertility Rate 2023</t>
        </is>
      </c>
      <c r="M2635" t="inlineStr">
        <is>
          <t>2024-01-01</t>
        </is>
      </c>
      <c r="N2635" t="inlineStr"/>
    </row>
    <row r="2636">
      <c r="A2636" t="inlineStr">
        <is>
          <t>za-johannesburg</t>
        </is>
      </c>
      <c r="B2636" t="inlineStr">
        <is>
          <t>Johannesburg</t>
        </is>
      </c>
      <c r="C2636" t="inlineStr">
        <is>
          <t>South Africa</t>
        </is>
      </c>
      <c r="D2636" t="inlineStr">
        <is>
          <t>Africa</t>
        </is>
      </c>
      <c r="E2636" t="inlineStr">
        <is>
          <t>entrepreneurial_dynamism_raw</t>
        </is>
      </c>
      <c r="F2636" t="inlineStr">
        <is>
          <t>Entrepreneurial dynamism raw</t>
        </is>
      </c>
      <c r="G2636" t="inlineStr">
        <is>
          <t>creative</t>
        </is>
      </c>
      <c r="H2636" t="inlineStr">
        <is>
          <t>yes</t>
        </is>
      </c>
      <c r="I2636" t="inlineStr">
        <is>
          <t>11.05</t>
        </is>
      </c>
      <c r="J2636" t="inlineStr">
        <is>
          <t>world_bank</t>
        </is>
      </c>
      <c r="K2636" t="inlineStr">
        <is>
          <t>https://api.worldbank.org/v2/country/ZAF/indicator/IC.BUS.NDNS.ZS?format=json&amp;mrv=10</t>
        </is>
      </c>
      <c r="L2636" t="inlineStr">
        <is>
          <t>World Bank WDI: New business density (new registrations per 1,000 people ages 15-64)</t>
        </is>
      </c>
      <c r="M2636" t="inlineStr">
        <is>
          <t>2022-12-31</t>
        </is>
      </c>
      <c r="N2636" t="inlineStr">
        <is>
          <t>auto_ingest=world_bank_creative_extended; indicator=IC.BUS.NDNS.ZS; year=2022; country_proxy=South Africa</t>
        </is>
      </c>
    </row>
    <row r="2637">
      <c r="A2637" t="inlineStr">
        <is>
          <t>za-johannesburg</t>
        </is>
      </c>
      <c r="B2637" t="inlineStr">
        <is>
          <t>Johannesburg</t>
        </is>
      </c>
      <c r="C2637" t="inlineStr">
        <is>
          <t>South Africa</t>
        </is>
      </c>
      <c r="D2637" t="inlineStr">
        <is>
          <t>Africa</t>
        </is>
      </c>
      <c r="E2637" t="inlineStr">
        <is>
          <t>innovation_research_intensity_raw</t>
        </is>
      </c>
      <c r="F2637" t="inlineStr">
        <is>
          <t>Innovation and research raw</t>
        </is>
      </c>
      <c r="G2637" t="inlineStr">
        <is>
          <t>creative</t>
        </is>
      </c>
      <c r="H2637" t="inlineStr">
        <is>
          <t>yes</t>
        </is>
      </c>
      <c r="I2637" t="inlineStr">
        <is>
          <t>0.62</t>
        </is>
      </c>
      <c r="J2637" t="inlineStr">
        <is>
          <t>world_bank</t>
        </is>
      </c>
      <c r="K2637" t="inlineStr">
        <is>
          <t>https://api.worldbank.org/v2/country/ZAF/indicator/GB.XPD.RSDV.GD.ZS?format=json&amp;mrv=10</t>
        </is>
      </c>
      <c r="L2637" t="inlineStr">
        <is>
          <t>World Bank WDI: Research and development expenditure (% of GDP)</t>
        </is>
      </c>
      <c r="M2637" t="inlineStr">
        <is>
          <t>2022-12-31</t>
        </is>
      </c>
      <c r="N2637" t="inlineStr">
        <is>
          <t>auto_ingest=world_bank_creative_extended; indicator=GB.XPD.RSDV.GD.ZS; year=2022; country_proxy=South Africa</t>
        </is>
      </c>
    </row>
    <row r="2638">
      <c r="A2638" t="inlineStr">
        <is>
          <t>za-johannesburg</t>
        </is>
      </c>
      <c r="B2638" t="inlineStr">
        <is>
          <t>Johannesburg</t>
        </is>
      </c>
      <c r="C2638" t="inlineStr">
        <is>
          <t>South Africa</t>
        </is>
      </c>
      <c r="D2638" t="inlineStr">
        <is>
          <t>Africa</t>
        </is>
      </c>
      <c r="E2638" t="inlineStr">
        <is>
          <t>investment_signal_raw</t>
        </is>
      </c>
      <c r="F2638" t="inlineStr">
        <is>
          <t>Investment signal raw</t>
        </is>
      </c>
      <c r="G2638" t="inlineStr">
        <is>
          <t>creative</t>
        </is>
      </c>
      <c r="H2638" t="inlineStr">
        <is>
          <t>yes</t>
        </is>
      </c>
      <c r="I2638" t="inlineStr">
        <is>
          <t>0.58</t>
        </is>
      </c>
      <c r="J2638" t="inlineStr">
        <is>
          <t>world_bank</t>
        </is>
      </c>
      <c r="K2638" t="inlineStr">
        <is>
          <t>https://api.worldbank.org/v2/country/ZAF/indicator/BX.KLT.DINV.WD.GD.ZS?format=json&amp;mrv=10</t>
        </is>
      </c>
      <c r="L2638" t="inlineStr">
        <is>
          <t>World Bank WDI: Foreign direct investment, net inflows (% of GDP)</t>
        </is>
      </c>
      <c r="M2638" t="inlineStr">
        <is>
          <t>2024-12-31</t>
        </is>
      </c>
      <c r="N2638" t="inlineStr">
        <is>
          <t>auto_ingest=world_bank_creative_extended; indicator=BX.KLT.DINV.WD.GD.ZS; year=2024; country_proxy=South Africa</t>
        </is>
      </c>
    </row>
    <row r="2639">
      <c r="A2639" t="inlineStr">
        <is>
          <t>za-johannesburg</t>
        </is>
      </c>
      <c r="B2639" t="inlineStr">
        <is>
          <t>Johannesburg</t>
        </is>
      </c>
      <c r="C2639" t="inlineStr">
        <is>
          <t>South Africa</t>
        </is>
      </c>
      <c r="D2639" t="inlineStr">
        <is>
          <t>Africa</t>
        </is>
      </c>
      <c r="E2639" t="inlineStr">
        <is>
          <t>administrative_investment_friction_raw</t>
        </is>
      </c>
      <c r="F2639" t="inlineStr">
        <is>
          <t>Administrative investment friction raw</t>
        </is>
      </c>
      <c r="G2639" t="inlineStr">
        <is>
          <t>creative</t>
        </is>
      </c>
      <c r="H2639" t="inlineStr">
        <is>
          <t>yes</t>
        </is>
      </c>
      <c r="I2639" t="inlineStr">
        <is>
          <t>2.72</t>
        </is>
      </c>
      <c r="J2639" t="inlineStr">
        <is>
          <t>world_bank</t>
        </is>
      </c>
      <c r="K2639" t="inlineStr">
        <is>
          <t>https://api.worldbank.org/v2/country/ZAF/indicator/RQ.EST?format=json&amp;mrv=10</t>
        </is>
      </c>
      <c r="L2639" t="inlineStr">
        <is>
          <t>World Bank WGI: Regulatory Quality (inverted as friction proxy)</t>
        </is>
      </c>
      <c r="M2639" t="inlineStr">
        <is>
          <t>2023-12-31</t>
        </is>
      </c>
      <c r="N2639" t="inlineStr">
        <is>
          <t>auto_ingest=world_bank_business_friction; indicator=RQ.EST; raw_rq=-0.223697945475578; friction=2.72; year=2023; country_proxy=South Africa</t>
        </is>
      </c>
    </row>
    <row r="2640">
      <c r="A2640" t="inlineStr">
        <is>
          <t>za-johannesburg</t>
        </is>
      </c>
      <c r="B2640" t="inlineStr">
        <is>
          <t>Johannesburg</t>
        </is>
      </c>
      <c r="C2640" t="inlineStr">
        <is>
          <t>South Africa</t>
        </is>
      </c>
      <c r="D2640" t="inlineStr">
        <is>
          <t>Africa</t>
        </is>
      </c>
      <c r="E2640" t="inlineStr">
        <is>
          <t>visitor_flow_context_raw</t>
        </is>
      </c>
      <c r="F2640" t="inlineStr">
        <is>
          <t>Visitor flow context raw</t>
        </is>
      </c>
      <c r="G2640" t="inlineStr">
        <is>
          <t>creative</t>
        </is>
      </c>
      <c r="H2640" t="inlineStr">
        <is>
          <t>no</t>
        </is>
      </c>
      <c r="I2640" t="inlineStr"/>
      <c r="J2640" t="inlineStr"/>
      <c r="K2640" t="inlineStr"/>
      <c r="L2640" t="inlineStr"/>
      <c r="M2640" t="inlineStr"/>
      <c r="N2640" t="inlineStr"/>
    </row>
    <row r="2641">
      <c r="A2641" t="inlineStr">
        <is>
          <t>ke-nairobi</t>
        </is>
      </c>
      <c r="B2641" t="inlineStr">
        <is>
          <t>Nairobi</t>
        </is>
      </c>
      <c r="C2641" t="inlineStr">
        <is>
          <t>Kenya</t>
        </is>
      </c>
      <c r="D2641" t="inlineStr">
        <is>
          <t>Africa</t>
        </is>
      </c>
      <c r="E2641" t="inlineStr">
        <is>
          <t>gross_income</t>
        </is>
      </c>
      <c r="F2641" t="inlineStr">
        <is>
          <t>Gross income</t>
        </is>
      </c>
      <c r="G2641" t="inlineStr">
        <is>
          <t>pressure</t>
        </is>
      </c>
      <c r="H2641" t="inlineStr">
        <is>
          <t>yes</t>
        </is>
      </c>
      <c r="I2641" t="inlineStr">
        <is>
          <t>654.0</t>
        </is>
      </c>
      <c r="J2641" t="inlineStr">
        <is>
          <t>world_bank_col_estimate</t>
        </is>
      </c>
      <c r="K2641" t="inlineStr">
        <is>
          <t>https://api.worldbank.org/v2/country/KEN/indicator/NY.GNP.PCAP.PP.CD?format=json&amp;mrv=10</t>
        </is>
      </c>
      <c r="L2641" t="inlineStr">
        <is>
          <t>World Bank WDI: GNI per capita PPP (monthly USD)</t>
        </is>
      </c>
      <c r="M2641" t="inlineStr">
        <is>
          <t>2024-12-31</t>
        </is>
      </c>
      <c r="N2641" t="inlineStr">
        <is>
          <t>auto_ingest=world_bank_col_estimate; gni_annual=6540.0; year=2024; country_proxy=Kenya; cohort=Africa; city_income_mult=1.2</t>
        </is>
      </c>
    </row>
    <row r="2642">
      <c r="A2642" t="inlineStr">
        <is>
          <t>ke-nairobi</t>
        </is>
      </c>
      <c r="B2642" t="inlineStr">
        <is>
          <t>Nairobi</t>
        </is>
      </c>
      <c r="C2642" t="inlineStr">
        <is>
          <t>Kenya</t>
        </is>
      </c>
      <c r="D2642" t="inlineStr">
        <is>
          <t>Africa</t>
        </is>
      </c>
      <c r="E2642" t="inlineStr">
        <is>
          <t>di_ppp_raw</t>
        </is>
      </c>
      <c r="F2642" t="inlineStr">
        <is>
          <t>Disposable income PPP (Raw)</t>
        </is>
      </c>
      <c r="G2642" t="inlineStr">
        <is>
          <t>pressure</t>
        </is>
      </c>
      <c r="H2642" t="inlineStr">
        <is>
          <t>yes</t>
        </is>
      </c>
      <c r="I2642" t="inlineStr"/>
      <c r="J2642" t="inlineStr"/>
      <c r="K2642" t="inlineStr"/>
      <c r="L2642" t="inlineStr"/>
      <c r="M2642" t="inlineStr"/>
      <c r="N2642" t="inlineStr"/>
    </row>
    <row r="2643">
      <c r="A2643" t="inlineStr">
        <is>
          <t>ke-nairobi</t>
        </is>
      </c>
      <c r="B2643" t="inlineStr">
        <is>
          <t>Nairobi</t>
        </is>
      </c>
      <c r="C2643" t="inlineStr">
        <is>
          <t>Kenya</t>
        </is>
      </c>
      <c r="D2643" t="inlineStr">
        <is>
          <t>Africa</t>
        </is>
      </c>
      <c r="E2643" t="inlineStr">
        <is>
          <t>rent</t>
        </is>
      </c>
      <c r="F2643" t="inlineStr">
        <is>
          <t>Rent</t>
        </is>
      </c>
      <c r="G2643" t="inlineStr">
        <is>
          <t>pressure</t>
        </is>
      </c>
      <c r="H2643" t="inlineStr">
        <is>
          <t>yes</t>
        </is>
      </c>
      <c r="I2643" t="inlineStr">
        <is>
          <t>150.42</t>
        </is>
      </c>
      <c r="J2643" t="inlineStr">
        <is>
          <t>world_bank_col_estimate</t>
        </is>
      </c>
      <c r="K2643" t="inlineStr">
        <is>
          <t>https://api.worldbank.org/v2/country/KEN/indicator/NY.GNP.PCAP.PP.CD?format=json&amp;mrv=10</t>
        </is>
      </c>
      <c r="L2643" t="inlineStr">
        <is>
          <t>World Bank GNI + regional expenditure ratio estimate</t>
        </is>
      </c>
      <c r="M2643" t="inlineStr">
        <is>
          <t>2024-12-31</t>
        </is>
      </c>
      <c r="N2643" t="inlineStr">
        <is>
          <t>auto_ingest=world_bank_col_estimate; gni_annual=6540.0; year=2024; country_proxy=Kenya; cohort=Africa; city_cost_mult=1.15</t>
        </is>
      </c>
    </row>
    <row r="2644">
      <c r="A2644" t="inlineStr">
        <is>
          <t>ke-nairobi</t>
        </is>
      </c>
      <c r="B2644" t="inlineStr">
        <is>
          <t>Nairobi</t>
        </is>
      </c>
      <c r="C2644" t="inlineStr">
        <is>
          <t>Kenya</t>
        </is>
      </c>
      <c r="D2644" t="inlineStr">
        <is>
          <t>Africa</t>
        </is>
      </c>
      <c r="E2644" t="inlineStr">
        <is>
          <t>utilities</t>
        </is>
      </c>
      <c r="F2644" t="inlineStr">
        <is>
          <t>Utilities</t>
        </is>
      </c>
      <c r="G2644" t="inlineStr">
        <is>
          <t>pressure</t>
        </is>
      </c>
      <c r="H2644" t="inlineStr">
        <is>
          <t>yes</t>
        </is>
      </c>
      <c r="I2644" t="inlineStr">
        <is>
          <t>45.13</t>
        </is>
      </c>
      <c r="J2644" t="inlineStr">
        <is>
          <t>world_bank_col_estimate</t>
        </is>
      </c>
      <c r="K2644" t="inlineStr">
        <is>
          <t>https://api.worldbank.org/v2/country/KEN/indicator/NY.GNP.PCAP.PP.CD?format=json&amp;mrv=10</t>
        </is>
      </c>
      <c r="L2644" t="inlineStr">
        <is>
          <t>World Bank GNI + regional expenditure ratio estimate</t>
        </is>
      </c>
      <c r="M2644" t="inlineStr">
        <is>
          <t>2024-12-31</t>
        </is>
      </c>
      <c r="N2644" t="inlineStr">
        <is>
          <t>auto_ingest=world_bank_col_estimate; gni_annual=6540.0; year=2024; country_proxy=Kenya; cohort=Africa; city_cost_mult=1.15</t>
        </is>
      </c>
    </row>
    <row r="2645">
      <c r="A2645" t="inlineStr">
        <is>
          <t>ke-nairobi</t>
        </is>
      </c>
      <c r="B2645" t="inlineStr">
        <is>
          <t>Nairobi</t>
        </is>
      </c>
      <c r="C2645" t="inlineStr">
        <is>
          <t>Kenya</t>
        </is>
      </c>
      <c r="D2645" t="inlineStr">
        <is>
          <t>Africa</t>
        </is>
      </c>
      <c r="E2645" t="inlineStr">
        <is>
          <t>transit_cost</t>
        </is>
      </c>
      <c r="F2645" t="inlineStr">
        <is>
          <t>Transit cost</t>
        </is>
      </c>
      <c r="G2645" t="inlineStr">
        <is>
          <t>pressure</t>
        </is>
      </c>
      <c r="H2645" t="inlineStr">
        <is>
          <t>yes</t>
        </is>
      </c>
      <c r="I2645" t="inlineStr">
        <is>
          <t>30.08</t>
        </is>
      </c>
      <c r="J2645" t="inlineStr">
        <is>
          <t>world_bank_col_estimate</t>
        </is>
      </c>
      <c r="K2645" t="inlineStr">
        <is>
          <t>https://api.worldbank.org/v2/country/KEN/indicator/NY.GNP.PCAP.PP.CD?format=json&amp;mrv=10</t>
        </is>
      </c>
      <c r="L2645" t="inlineStr">
        <is>
          <t>World Bank GNI + regional expenditure ratio estimate</t>
        </is>
      </c>
      <c r="M2645" t="inlineStr">
        <is>
          <t>2024-12-31</t>
        </is>
      </c>
      <c r="N2645" t="inlineStr">
        <is>
          <t>auto_ingest=world_bank_col_estimate; gni_annual=6540.0; year=2024; country_proxy=Kenya; cohort=Africa; city_cost_mult=1.15</t>
        </is>
      </c>
    </row>
    <row r="2646">
      <c r="A2646" t="inlineStr">
        <is>
          <t>ke-nairobi</t>
        </is>
      </c>
      <c r="B2646" t="inlineStr">
        <is>
          <t>Nairobi</t>
        </is>
      </c>
      <c r="C2646" t="inlineStr">
        <is>
          <t>Kenya</t>
        </is>
      </c>
      <c r="D2646" t="inlineStr">
        <is>
          <t>Africa</t>
        </is>
      </c>
      <c r="E2646" t="inlineStr">
        <is>
          <t>internet_cost</t>
        </is>
      </c>
      <c r="F2646" t="inlineStr">
        <is>
          <t>Internet cost</t>
        </is>
      </c>
      <c r="G2646" t="inlineStr">
        <is>
          <t>pressure</t>
        </is>
      </c>
      <c r="H2646" t="inlineStr">
        <is>
          <t>yes</t>
        </is>
      </c>
      <c r="I2646" t="inlineStr">
        <is>
          <t>11.28</t>
        </is>
      </c>
      <c r="J2646" t="inlineStr">
        <is>
          <t>world_bank_col_estimate</t>
        </is>
      </c>
      <c r="K2646" t="inlineStr">
        <is>
          <t>https://api.worldbank.org/v2/country/KEN/indicator/NY.GNP.PCAP.PP.CD?format=json&amp;mrv=10</t>
        </is>
      </c>
      <c r="L2646" t="inlineStr">
        <is>
          <t>World Bank GNI + regional expenditure ratio estimate</t>
        </is>
      </c>
      <c r="M2646" t="inlineStr">
        <is>
          <t>2024-12-31</t>
        </is>
      </c>
      <c r="N2646" t="inlineStr">
        <is>
          <t>auto_ingest=world_bank_col_estimate; gni_annual=6540.0; year=2024; country_proxy=Kenya; cohort=Africa; city_cost_mult=1.15</t>
        </is>
      </c>
    </row>
    <row r="2647">
      <c r="A2647" t="inlineStr">
        <is>
          <t>ke-nairobi</t>
        </is>
      </c>
      <c r="B2647" t="inlineStr">
        <is>
          <t>Nairobi</t>
        </is>
      </c>
      <c r="C2647" t="inlineStr">
        <is>
          <t>Kenya</t>
        </is>
      </c>
      <c r="D2647" t="inlineStr">
        <is>
          <t>Africa</t>
        </is>
      </c>
      <c r="E2647" t="inlineStr">
        <is>
          <t>food_cost</t>
        </is>
      </c>
      <c r="F2647" t="inlineStr">
        <is>
          <t>Food cost</t>
        </is>
      </c>
      <c r="G2647" t="inlineStr">
        <is>
          <t>pressure</t>
        </is>
      </c>
      <c r="H2647" t="inlineStr">
        <is>
          <t>yes</t>
        </is>
      </c>
      <c r="I2647" t="inlineStr">
        <is>
          <t>188.02</t>
        </is>
      </c>
      <c r="J2647" t="inlineStr">
        <is>
          <t>world_bank_col_estimate</t>
        </is>
      </c>
      <c r="K2647" t="inlineStr">
        <is>
          <t>https://api.worldbank.org/v2/country/KEN/indicator/NY.GNP.PCAP.PP.CD?format=json&amp;mrv=10</t>
        </is>
      </c>
      <c r="L2647" t="inlineStr">
        <is>
          <t>World Bank GNI + regional expenditure ratio estimate</t>
        </is>
      </c>
      <c r="M2647" t="inlineStr">
        <is>
          <t>2024-12-31</t>
        </is>
      </c>
      <c r="N2647" t="inlineStr">
        <is>
          <t>auto_ingest=world_bank_col_estimate; gni_annual=6540.0; year=2024; country_proxy=Kenya; cohort=Africa; city_cost_mult=1.15</t>
        </is>
      </c>
    </row>
    <row r="2648">
      <c r="A2648" t="inlineStr">
        <is>
          <t>ke-nairobi</t>
        </is>
      </c>
      <c r="B2648" t="inlineStr">
        <is>
          <t>Nairobi</t>
        </is>
      </c>
      <c r="C2648" t="inlineStr">
        <is>
          <t>Kenya</t>
        </is>
      </c>
      <c r="D2648" t="inlineStr">
        <is>
          <t>Africa</t>
        </is>
      </c>
      <c r="E2648" t="inlineStr">
        <is>
          <t>housing_burden_raw</t>
        </is>
      </c>
      <c r="F2648" t="inlineStr">
        <is>
          <t>Housing burden raw</t>
        </is>
      </c>
      <c r="G2648" t="inlineStr">
        <is>
          <t>pressure</t>
        </is>
      </c>
      <c r="H2648" t="inlineStr">
        <is>
          <t>yes</t>
        </is>
      </c>
      <c r="I2648" t="inlineStr">
        <is>
          <t>23.0</t>
        </is>
      </c>
      <c r="J2648" t="inlineStr">
        <is>
          <t>derived</t>
        </is>
      </c>
      <c r="K2648" t="inlineStr">
        <is>
          <t>https://data.worldbank.org/indicator/NY.GNP.PCAP.PP.CD</t>
        </is>
      </c>
      <c r="L2648" t="inlineStr">
        <is>
          <t>Computed from city_inputs + country_context</t>
        </is>
      </c>
      <c r="M2648" t="inlineStr">
        <is>
          <t>2024-01-01</t>
        </is>
      </c>
      <c r="N2648" t="inlineStr">
        <is>
          <t>derived=rent/gross_income*100</t>
        </is>
      </c>
    </row>
    <row r="2649">
      <c r="A2649" t="inlineStr">
        <is>
          <t>ke-nairobi</t>
        </is>
      </c>
      <c r="B2649" t="inlineStr">
        <is>
          <t>Nairobi</t>
        </is>
      </c>
      <c r="C2649" t="inlineStr">
        <is>
          <t>Kenya</t>
        </is>
      </c>
      <c r="D2649" t="inlineStr">
        <is>
          <t>Africa</t>
        </is>
      </c>
      <c r="E2649" t="inlineStr">
        <is>
          <t>household_debt_burden_raw</t>
        </is>
      </c>
      <c r="F2649" t="inlineStr">
        <is>
          <t>Household debt burden raw</t>
        </is>
      </c>
      <c r="G2649" t="inlineStr">
        <is>
          <t>pressure</t>
        </is>
      </c>
      <c r="H2649" t="inlineStr">
        <is>
          <t>yes</t>
        </is>
      </c>
      <c r="I2649" t="inlineStr">
        <is>
          <t>31.7729</t>
        </is>
      </c>
      <c r="J2649" t="inlineStr">
        <is>
          <t>derived</t>
        </is>
      </c>
      <c r="K2649" t="inlineStr">
        <is>
          <t>https://data.worldbank.org/indicator/NY.GNP.PCAP.PP.CD</t>
        </is>
      </c>
      <c r="L2649" t="inlineStr">
        <is>
          <t>Computed from city_inputs + country_context</t>
        </is>
      </c>
      <c r="M2649" t="inlineStr">
        <is>
          <t>2024-01-01</t>
        </is>
      </c>
      <c r="N2649" t="inlineStr">
        <is>
          <t>derived=country_context.household_debt_proxy; country=Kenya</t>
        </is>
      </c>
    </row>
    <row r="2650">
      <c r="A2650" t="inlineStr">
        <is>
          <t>ke-nairobi</t>
        </is>
      </c>
      <c r="B2650" t="inlineStr">
        <is>
          <t>Nairobi</t>
        </is>
      </c>
      <c r="C2650" t="inlineStr">
        <is>
          <t>Kenya</t>
        </is>
      </c>
      <c r="D2650" t="inlineStr">
        <is>
          <t>Africa</t>
        </is>
      </c>
      <c r="E2650" t="inlineStr">
        <is>
          <t>working_time_pressure_raw</t>
        </is>
      </c>
      <c r="F2650" t="inlineStr">
        <is>
          <t>Working time pressure raw</t>
        </is>
      </c>
      <c r="G2650" t="inlineStr">
        <is>
          <t>pressure</t>
        </is>
      </c>
      <c r="H2650" t="inlineStr">
        <is>
          <t>yes</t>
        </is>
      </c>
      <c r="I2650" t="inlineStr">
        <is>
          <t>39.56</t>
        </is>
      </c>
      <c r="J2650" t="inlineStr">
        <is>
          <t>ilo_ilostat</t>
        </is>
      </c>
      <c r="K2650" t="inlineStr">
        <is>
          <t>https://ilostat.ilo.org/data/indicator/?id=HOW_TEMP_SEX_ECO_NB_A&amp;ref_area=KEN</t>
        </is>
      </c>
      <c r="L2650" t="inlineStr">
        <is>
          <t>ILO ILOSTAT: Mean weekly hours actually worked per employed person</t>
        </is>
      </c>
      <c r="M2650" t="inlineStr">
        <is>
          <t>2022-12-31</t>
        </is>
      </c>
      <c r="N2650" t="inlineStr">
        <is>
          <t>auto_ingest=ilo_working_hours; indicator=HOW_TEMP_SEX_ECO_NB_A; year=2022; hours=39.56; country_proxy=Kenya</t>
        </is>
      </c>
    </row>
    <row r="2651">
      <c r="A2651" t="inlineStr">
        <is>
          <t>ke-nairobi</t>
        </is>
      </c>
      <c r="B2651" t="inlineStr">
        <is>
          <t>Nairobi</t>
        </is>
      </c>
      <c r="C2651" t="inlineStr">
        <is>
          <t>Kenya</t>
        </is>
      </c>
      <c r="D2651" t="inlineStr">
        <is>
          <t>Africa</t>
        </is>
      </c>
      <c r="E2651" t="inlineStr">
        <is>
          <t>suicide_mental_strain_raw</t>
        </is>
      </c>
      <c r="F2651" t="inlineStr">
        <is>
          <t>Suicide or mental strain raw</t>
        </is>
      </c>
      <c r="G2651" t="inlineStr">
        <is>
          <t>pressure</t>
        </is>
      </c>
      <c r="H2651" t="inlineStr">
        <is>
          <t>yes</t>
        </is>
      </c>
      <c r="I2651" t="inlineStr">
        <is>
          <t>4.58</t>
        </is>
      </c>
      <c r="J2651" t="inlineStr">
        <is>
          <t>who_gho</t>
        </is>
      </c>
      <c r="K2651" t="inlineStr">
        <is>
          <t>https://www.who.int/data/gho/data/indicators/indicator-details/GHO/SDGSUICIDE</t>
        </is>
      </c>
      <c r="L2651" t="inlineStr">
        <is>
          <t>WHO GHO: Age-standardized suicide rate (per 100,000 population)</t>
        </is>
      </c>
      <c r="M2651" t="inlineStr">
        <is>
          <t>2021-12-31</t>
        </is>
      </c>
      <c r="N2651" t="inlineStr">
        <is>
          <t>auto_ingest=who_gho; indicator=SDGSUICIDE; year=2021; country_proxy=Kenya</t>
        </is>
      </c>
    </row>
    <row r="2652">
      <c r="A2652" t="inlineStr">
        <is>
          <t>ke-nairobi</t>
        </is>
      </c>
      <c r="B2652" t="inlineStr">
        <is>
          <t>Nairobi</t>
        </is>
      </c>
      <c r="C2652" t="inlineStr">
        <is>
          <t>Kenya</t>
        </is>
      </c>
      <c r="D2652" t="inlineStr">
        <is>
          <t>Africa</t>
        </is>
      </c>
      <c r="E2652" t="inlineStr">
        <is>
          <t>personal_safety_raw</t>
        </is>
      </c>
      <c r="F2652" t="inlineStr">
        <is>
          <t>Personal safety raw</t>
        </is>
      </c>
      <c r="G2652" t="inlineStr">
        <is>
          <t>viability</t>
        </is>
      </c>
      <c r="H2652" t="inlineStr">
        <is>
          <t>yes</t>
        </is>
      </c>
      <c r="I2652" t="inlineStr">
        <is>
          <t>4.87</t>
        </is>
      </c>
      <c r="J2652" t="inlineStr">
        <is>
          <t>world_bank</t>
        </is>
      </c>
      <c r="K2652" t="inlineStr">
        <is>
          <t>https://api.worldbank.org/v2/country/KEN/indicator/VC.IHR.PSRC.P5?format=json&amp;mrv=10</t>
        </is>
      </c>
      <c r="L2652" t="inlineStr">
        <is>
          <t>UNODC via World Bank WDI: Intentional homicides (per 100,000 people)</t>
        </is>
      </c>
      <c r="M2652" t="inlineStr">
        <is>
          <t>2022-12-31</t>
        </is>
      </c>
      <c r="N2652" t="inlineStr">
        <is>
          <t>auto_ingest=unodc_safety; indicator=VC.IHR.PSRC.P5; year=2022; country_proxy=Kenya</t>
        </is>
      </c>
    </row>
    <row r="2653">
      <c r="A2653" t="inlineStr">
        <is>
          <t>ke-nairobi</t>
        </is>
      </c>
      <c r="B2653" t="inlineStr">
        <is>
          <t>Nairobi</t>
        </is>
      </c>
      <c r="C2653" t="inlineStr">
        <is>
          <t>Kenya</t>
        </is>
      </c>
      <c r="D2653" t="inlineStr">
        <is>
          <t>Africa</t>
        </is>
      </c>
      <c r="E2653" t="inlineStr">
        <is>
          <t>transit_access_commute_raw</t>
        </is>
      </c>
      <c r="F2653" t="inlineStr">
        <is>
          <t>Transit access and commute raw</t>
        </is>
      </c>
      <c r="G2653" t="inlineStr">
        <is>
          <t>viability</t>
        </is>
      </c>
      <c r="H2653" t="inlineStr">
        <is>
          <t>yes</t>
        </is>
      </c>
      <c r="I2653" t="inlineStr"/>
      <c r="J2653" t="inlineStr"/>
      <c r="K2653" t="inlineStr"/>
      <c r="L2653" t="inlineStr"/>
      <c r="M2653" t="inlineStr"/>
      <c r="N2653" t="inlineStr"/>
    </row>
    <row r="2654">
      <c r="A2654" t="inlineStr">
        <is>
          <t>ke-nairobi</t>
        </is>
      </c>
      <c r="B2654" t="inlineStr">
        <is>
          <t>Nairobi</t>
        </is>
      </c>
      <c r="C2654" t="inlineStr">
        <is>
          <t>Kenya</t>
        </is>
      </c>
      <c r="D2654" t="inlineStr">
        <is>
          <t>Africa</t>
        </is>
      </c>
      <c r="E2654" t="inlineStr">
        <is>
          <t>clean_air_raw</t>
        </is>
      </c>
      <c r="F2654" t="inlineStr">
        <is>
          <t>Clean air raw</t>
        </is>
      </c>
      <c r="G2654" t="inlineStr">
        <is>
          <t>viability</t>
        </is>
      </c>
      <c r="H2654" t="inlineStr">
        <is>
          <t>yes</t>
        </is>
      </c>
      <c r="I2654" t="inlineStr"/>
      <c r="J2654" t="inlineStr"/>
      <c r="K2654" t="inlineStr"/>
      <c r="L2654" t="inlineStr"/>
      <c r="M2654" t="inlineStr"/>
      <c r="N2654" t="inlineStr"/>
    </row>
    <row r="2655">
      <c r="A2655" t="inlineStr">
        <is>
          <t>ke-nairobi</t>
        </is>
      </c>
      <c r="B2655" t="inlineStr">
        <is>
          <t>Nairobi</t>
        </is>
      </c>
      <c r="C2655" t="inlineStr">
        <is>
          <t>Kenya</t>
        </is>
      </c>
      <c r="D2655" t="inlineStr">
        <is>
          <t>Africa</t>
        </is>
      </c>
      <c r="E2655" t="inlineStr">
        <is>
          <t>water_sanitation_utility_raw</t>
        </is>
      </c>
      <c r="F2655" t="inlineStr">
        <is>
          <t>Water, sanitation, and utility raw</t>
        </is>
      </c>
      <c r="G2655" t="inlineStr">
        <is>
          <t>viability</t>
        </is>
      </c>
      <c r="H2655" t="inlineStr">
        <is>
          <t>yes</t>
        </is>
      </c>
      <c r="I2655" t="inlineStr"/>
      <c r="J2655" t="inlineStr"/>
      <c r="K2655" t="inlineStr"/>
      <c r="L2655" t="inlineStr"/>
      <c r="M2655" t="inlineStr"/>
      <c r="N2655" t="inlineStr"/>
    </row>
    <row r="2656">
      <c r="A2656" t="inlineStr">
        <is>
          <t>ke-nairobi</t>
        </is>
      </c>
      <c r="B2656" t="inlineStr">
        <is>
          <t>Nairobi</t>
        </is>
      </c>
      <c r="C2656" t="inlineStr">
        <is>
          <t>Kenya</t>
        </is>
      </c>
      <c r="D2656" t="inlineStr">
        <is>
          <t>Africa</t>
        </is>
      </c>
      <c r="E2656" t="inlineStr">
        <is>
          <t>digital_infrastructure_raw</t>
        </is>
      </c>
      <c r="F2656" t="inlineStr">
        <is>
          <t>Digital infrastructure raw</t>
        </is>
      </c>
      <c r="G2656" t="inlineStr">
        <is>
          <t>viability</t>
        </is>
      </c>
      <c r="H2656" t="inlineStr">
        <is>
          <t>yes</t>
        </is>
      </c>
      <c r="I2656" t="inlineStr">
        <is>
          <t>2.39</t>
        </is>
      </c>
      <c r="J2656" t="inlineStr">
        <is>
          <t>world_bank</t>
        </is>
      </c>
      <c r="K2656" t="inlineStr">
        <is>
          <t>https://api.worldbank.org/v2/country/KEN/indicator/IT.NET.BBND.P2?format=json&amp;mrv=10</t>
        </is>
      </c>
      <c r="L2656" t="inlineStr">
        <is>
          <t>World Bank WDI: Fixed broadband subscriptions (per 100 people)</t>
        </is>
      </c>
      <c r="M2656" t="inlineStr">
        <is>
          <t>2023-12-31</t>
        </is>
      </c>
      <c r="N2656" t="inlineStr">
        <is>
          <t>auto_ingest=world_bank_proxy; indicator=IT.NET.BBND.P2; year=2023; country_proxy=Kenya</t>
        </is>
      </c>
    </row>
    <row r="2657">
      <c r="A2657" t="inlineStr">
        <is>
          <t>ke-nairobi</t>
        </is>
      </c>
      <c r="B2657" t="inlineStr">
        <is>
          <t>Nairobi</t>
        </is>
      </c>
      <c r="C2657" t="inlineStr">
        <is>
          <t>Kenya</t>
        </is>
      </c>
      <c r="D2657" t="inlineStr">
        <is>
          <t>Africa</t>
        </is>
      </c>
      <c r="E2657" t="inlineStr">
        <is>
          <t>climate_sunlight_livability_raw</t>
        </is>
      </c>
      <c r="F2657" t="inlineStr">
        <is>
          <t>Climate and sunlight livability raw</t>
        </is>
      </c>
      <c r="G2657" t="inlineStr">
        <is>
          <t>viability</t>
        </is>
      </c>
      <c r="H2657" t="inlineStr">
        <is>
          <t>yes</t>
        </is>
      </c>
      <c r="I2657" t="inlineStr">
        <is>
          <t>72</t>
        </is>
      </c>
      <c r="J2657" t="inlineStr">
        <is>
          <t>wmo_natl_met</t>
        </is>
      </c>
      <c r="K2657" t="inlineStr">
        <is>
          <t>https://worldweather.wmo.int</t>
        </is>
      </c>
      <c r="L2657" t="inlineStr">
        <is>
          <t>WMO/National Met: Climate livability composite</t>
        </is>
      </c>
      <c r="M2657" t="inlineStr">
        <is>
          <t>2024-12-31</t>
        </is>
      </c>
      <c r="N2657" t="inlineStr">
        <is>
          <t>auto_seed=climate_composite; 2500 sun hrs, 19C mean, eternal spring altitude</t>
        </is>
      </c>
    </row>
    <row r="2658">
      <c r="A2658" t="inlineStr">
        <is>
          <t>ke-nairobi</t>
        </is>
      </c>
      <c r="B2658" t="inlineStr">
        <is>
          <t>Nairobi</t>
        </is>
      </c>
      <c r="C2658" t="inlineStr">
        <is>
          <t>Kenya</t>
        </is>
      </c>
      <c r="D2658" t="inlineStr">
        <is>
          <t>Africa</t>
        </is>
      </c>
      <c r="E2658" t="inlineStr">
        <is>
          <t>healthcare_quality_raw</t>
        </is>
      </c>
      <c r="F2658" t="inlineStr">
        <is>
          <t>Healthcare quality raw</t>
        </is>
      </c>
      <c r="G2658" t="inlineStr">
        <is>
          <t>capability</t>
        </is>
      </c>
      <c r="H2658" t="inlineStr">
        <is>
          <t>yes</t>
        </is>
      </c>
      <c r="I2658" t="inlineStr">
        <is>
          <t>57.0</t>
        </is>
      </c>
      <c r="J2658" t="inlineStr">
        <is>
          <t>who_gho</t>
        </is>
      </c>
      <c r="K2658" t="inlineStr">
        <is>
          <t>https://www.who.int/data/gho/data/indicators/indicator-details/GHO/UHC_INDEX_REPORTED</t>
        </is>
      </c>
      <c r="L2658" t="inlineStr">
        <is>
          <t>WHO GHO: UHC Service Coverage Index</t>
        </is>
      </c>
      <c r="M2658" t="inlineStr">
        <is>
          <t>2023-12-31</t>
        </is>
      </c>
      <c r="N2658" t="inlineStr">
        <is>
          <t>auto_ingest=who_gho; indicator=UHC_INDEX_REPORTED; year=2023; country_proxy=Kenya</t>
        </is>
      </c>
    </row>
    <row r="2659">
      <c r="A2659" t="inlineStr">
        <is>
          <t>ke-nairobi</t>
        </is>
      </c>
      <c r="B2659" t="inlineStr">
        <is>
          <t>Nairobi</t>
        </is>
      </c>
      <c r="C2659" t="inlineStr">
        <is>
          <t>Kenya</t>
        </is>
      </c>
      <c r="D2659" t="inlineStr">
        <is>
          <t>Africa</t>
        </is>
      </c>
      <c r="E2659" t="inlineStr">
        <is>
          <t>education_quality_raw</t>
        </is>
      </c>
      <c r="F2659" t="inlineStr">
        <is>
          <t>Education quality raw</t>
        </is>
      </c>
      <c r="G2659" t="inlineStr">
        <is>
          <t>capability</t>
        </is>
      </c>
      <c r="H2659" t="inlineStr">
        <is>
          <t>yes</t>
        </is>
      </c>
      <c r="I2659" t="inlineStr">
        <is>
          <t>10.42</t>
        </is>
      </c>
      <c r="J2659" t="inlineStr">
        <is>
          <t>world_bank</t>
        </is>
      </c>
      <c r="K2659" t="inlineStr">
        <is>
          <t>https://api.worldbank.org/v2/country/KEN/indicator/SE.TER.ENRR?format=json&amp;mrv=10</t>
        </is>
      </c>
      <c r="L2659" t="inlineStr">
        <is>
          <t>World Bank WDI: School enrollment, tertiary (% gross)</t>
        </is>
      </c>
      <c r="M2659" t="inlineStr">
        <is>
          <t>2024-12-31</t>
        </is>
      </c>
      <c r="N2659" t="inlineStr">
        <is>
          <t>auto_ingest=world_bank_proxy; indicator=SE.TER.ENRR; year=2024; country_proxy=Kenya</t>
        </is>
      </c>
    </row>
    <row r="2660">
      <c r="A2660" t="inlineStr">
        <is>
          <t>ke-nairobi</t>
        </is>
      </c>
      <c r="B2660" t="inlineStr">
        <is>
          <t>Nairobi</t>
        </is>
      </c>
      <c r="C2660" t="inlineStr">
        <is>
          <t>Kenya</t>
        </is>
      </c>
      <c r="D2660" t="inlineStr">
        <is>
          <t>Africa</t>
        </is>
      </c>
      <c r="E2660" t="inlineStr">
        <is>
          <t>equal_opportunity_raw</t>
        </is>
      </c>
      <c r="F2660" t="inlineStr">
        <is>
          <t>Equal opportunity raw</t>
        </is>
      </c>
      <c r="G2660" t="inlineStr">
        <is>
          <t>capability</t>
        </is>
      </c>
      <c r="H2660" t="inlineStr">
        <is>
          <t>yes</t>
        </is>
      </c>
      <c r="I2660" t="inlineStr">
        <is>
          <t>37.7</t>
        </is>
      </c>
      <c r="J2660" t="inlineStr">
        <is>
          <t>world_bank</t>
        </is>
      </c>
      <c r="K2660" t="inlineStr">
        <is>
          <t>https://api.worldbank.org/v2/country/KEN/indicator/SI.POV.GINI?format=json&amp;mrv=10</t>
        </is>
      </c>
      <c r="L2660" t="inlineStr">
        <is>
          <t>World Bank WDI: Gini index</t>
        </is>
      </c>
      <c r="M2660" t="inlineStr">
        <is>
          <t>2022-12-31</t>
        </is>
      </c>
      <c r="N2660" t="inlineStr">
        <is>
          <t>auto_ingest=world_bank_capability; indicator=SI.POV.GINI; year=2022; country_proxy=Kenya</t>
        </is>
      </c>
    </row>
    <row r="2661">
      <c r="A2661" t="inlineStr">
        <is>
          <t>ke-nairobi</t>
        </is>
      </c>
      <c r="B2661" t="inlineStr">
        <is>
          <t>Nairobi</t>
        </is>
      </c>
      <c r="C2661" t="inlineStr">
        <is>
          <t>Kenya</t>
        </is>
      </c>
      <c r="D2661" t="inlineStr">
        <is>
          <t>Africa</t>
        </is>
      </c>
      <c r="E2661" t="inlineStr">
        <is>
          <t>hospitality_belonging_raw</t>
        </is>
      </c>
      <c r="F2661" t="inlineStr">
        <is>
          <t>Hospitality and belonging raw</t>
        </is>
      </c>
      <c r="G2661" t="inlineStr">
        <is>
          <t>community</t>
        </is>
      </c>
      <c r="H2661" t="inlineStr">
        <is>
          <t>yes</t>
        </is>
      </c>
      <c r="I2661" t="inlineStr">
        <is>
          <t>49.52</t>
        </is>
      </c>
      <c r="J2661" t="inlineStr">
        <is>
          <t>world_bank</t>
        </is>
      </c>
      <c r="K2661" t="inlineStr">
        <is>
          <t>https://api.worldbank.org/v2/country/KEN/indicator/SM.POP.NETM?format=json&amp;mrv=10</t>
        </is>
      </c>
      <c r="L2661" t="inlineStr">
        <is>
          <t>World Bank WDI: Net migration (proxy for hospitality/belonging — positive = welcoming)</t>
        </is>
      </c>
      <c r="M2661" t="inlineStr">
        <is>
          <t>2025-12-31</t>
        </is>
      </c>
      <c r="N2661" t="inlineStr">
        <is>
          <t>auto_ingest=world_bank_proxy; proxy=net_migration_hospitality; indicator=SM.POP.NETM; year=2025; country_proxy=Kenya</t>
        </is>
      </c>
    </row>
    <row r="2662">
      <c r="A2662" t="inlineStr">
        <is>
          <t>ke-nairobi</t>
        </is>
      </c>
      <c r="B2662" t="inlineStr">
        <is>
          <t>Nairobi</t>
        </is>
      </c>
      <c r="C2662" t="inlineStr">
        <is>
          <t>Kenya</t>
        </is>
      </c>
      <c r="D2662" t="inlineStr">
        <is>
          <t>Africa</t>
        </is>
      </c>
      <c r="E2662" t="inlineStr">
        <is>
          <t>tolerance_pluralism_raw</t>
        </is>
      </c>
      <c r="F2662" t="inlineStr">
        <is>
          <t>Tolerance and pluralism raw</t>
        </is>
      </c>
      <c r="G2662" t="inlineStr">
        <is>
          <t>community</t>
        </is>
      </c>
      <c r="H2662" t="inlineStr">
        <is>
          <t>yes</t>
        </is>
      </c>
      <c r="I2662" t="inlineStr">
        <is>
          <t>23.28</t>
        </is>
      </c>
      <c r="J2662" t="inlineStr">
        <is>
          <t>world_bank</t>
        </is>
      </c>
      <c r="K2662" t="inlineStr">
        <is>
          <t>https://api.worldbank.org/v2/country/KEN/indicator/SG.GEN.PARL.ZS?format=json&amp;mrv=10</t>
        </is>
      </c>
      <c r="L2662" t="inlineStr">
        <is>
          <t>World Bank WDI: Proportion of seats held by women in national parliaments (%)</t>
        </is>
      </c>
      <c r="M2662" t="inlineStr">
        <is>
          <t>2024-12-31</t>
        </is>
      </c>
      <c r="N2662" t="inlineStr">
        <is>
          <t>auto_ingest=world_bank_proxy; proxy=gender_parity_parliament; indicator=SG.GEN.PARL.ZS; year=2024; country_proxy=Kenya</t>
        </is>
      </c>
    </row>
    <row r="2663">
      <c r="A2663" t="inlineStr">
        <is>
          <t>ke-nairobi</t>
        </is>
      </c>
      <c r="B2663" t="inlineStr">
        <is>
          <t>Nairobi</t>
        </is>
      </c>
      <c r="C2663" t="inlineStr">
        <is>
          <t>Kenya</t>
        </is>
      </c>
      <c r="D2663" t="inlineStr">
        <is>
          <t>Africa</t>
        </is>
      </c>
      <c r="E2663" t="inlineStr">
        <is>
          <t>cultural_public_life_raw</t>
        </is>
      </c>
      <c r="F2663" t="inlineStr">
        <is>
          <t>Cultural public life raw</t>
        </is>
      </c>
      <c r="G2663" t="inlineStr">
        <is>
          <t>community</t>
        </is>
      </c>
      <c r="H2663" t="inlineStr">
        <is>
          <t>yes</t>
        </is>
      </c>
      <c r="I2663" t="inlineStr">
        <is>
          <t>36.31</t>
        </is>
      </c>
      <c r="J2663" t="inlineStr">
        <is>
          <t>world_bank</t>
        </is>
      </c>
      <c r="K2663" t="inlineStr">
        <is>
          <t>https://api.worldbank.org/v2/country/KEN/indicator/ST.INT.ARVL?format=json&amp;mrv=10</t>
        </is>
      </c>
      <c r="L2663" t="inlineStr">
        <is>
          <t>World Bank WDI: International tourism arrivals per 1 000 population</t>
        </is>
      </c>
      <c r="M2663" t="inlineStr">
        <is>
          <t>2019-12-31</t>
        </is>
      </c>
      <c r="N2663" t="inlineStr">
        <is>
          <t>auto_ingest=cultural_life_proxy; indicator=ST.INT.ARVL; norm=per_1000_pop; year=2019; country_proxy=Kenya</t>
        </is>
      </c>
    </row>
    <row r="2664">
      <c r="A2664" t="inlineStr">
        <is>
          <t>ke-nairobi</t>
        </is>
      </c>
      <c r="B2664" t="inlineStr">
        <is>
          <t>Nairobi</t>
        </is>
      </c>
      <c r="C2664" t="inlineStr">
        <is>
          <t>Kenya</t>
        </is>
      </c>
      <c r="D2664" t="inlineStr">
        <is>
          <t>Africa</t>
        </is>
      </c>
      <c r="E2664" t="inlineStr">
        <is>
          <t>birth_rate_optimism_raw</t>
        </is>
      </c>
      <c r="F2664" t="inlineStr">
        <is>
          <t>Birth rate and societal optimism raw</t>
        </is>
      </c>
      <c r="G2664" t="inlineStr">
        <is>
          <t>community</t>
        </is>
      </c>
      <c r="H2664" t="inlineStr">
        <is>
          <t>yes</t>
        </is>
      </c>
      <c r="I2664" t="inlineStr">
        <is>
          <t>3.3</t>
        </is>
      </c>
      <c r="J2664" t="inlineStr">
        <is>
          <t>world_bank</t>
        </is>
      </c>
      <c r="K2664" t="inlineStr">
        <is>
          <t>https://data.worldbank.org/indicator/SP.DYN.TFRT.IN</t>
        </is>
      </c>
      <c r="L2664" t="inlineStr">
        <is>
          <t>World Bank Total Fertility Rate 2023</t>
        </is>
      </c>
      <c r="M2664" t="inlineStr">
        <is>
          <t>2024-01-01</t>
        </is>
      </c>
      <c r="N2664" t="inlineStr"/>
    </row>
    <row r="2665">
      <c r="A2665" t="inlineStr">
        <is>
          <t>ke-nairobi</t>
        </is>
      </c>
      <c r="B2665" t="inlineStr">
        <is>
          <t>Nairobi</t>
        </is>
      </c>
      <c r="C2665" t="inlineStr">
        <is>
          <t>Kenya</t>
        </is>
      </c>
      <c r="D2665" t="inlineStr">
        <is>
          <t>Africa</t>
        </is>
      </c>
      <c r="E2665" t="inlineStr">
        <is>
          <t>entrepreneurial_dynamism_raw</t>
        </is>
      </c>
      <c r="F2665" t="inlineStr">
        <is>
          <t>Entrepreneurial dynamism raw</t>
        </is>
      </c>
      <c r="G2665" t="inlineStr">
        <is>
          <t>creative</t>
        </is>
      </c>
      <c r="H2665" t="inlineStr">
        <is>
          <t>yes</t>
        </is>
      </c>
      <c r="I2665" t="inlineStr">
        <is>
          <t>1.62</t>
        </is>
      </c>
      <c r="J2665" t="inlineStr">
        <is>
          <t>world_bank</t>
        </is>
      </c>
      <c r="K2665" t="inlineStr">
        <is>
          <t>https://api.worldbank.org/v2/country/KEN/indicator/IC.BUS.NDNS.ZS?format=json&amp;mrv=10</t>
        </is>
      </c>
      <c r="L2665" t="inlineStr">
        <is>
          <t>World Bank WDI: New business density (new registrations per 1,000 people ages 15-64)</t>
        </is>
      </c>
      <c r="M2665" t="inlineStr">
        <is>
          <t>2020-12-31</t>
        </is>
      </c>
      <c r="N2665" t="inlineStr">
        <is>
          <t>auto_ingest=world_bank_creative_extended; indicator=IC.BUS.NDNS.ZS; year=2020; country_proxy=Kenya</t>
        </is>
      </c>
    </row>
    <row r="2666">
      <c r="A2666" t="inlineStr">
        <is>
          <t>ke-nairobi</t>
        </is>
      </c>
      <c r="B2666" t="inlineStr">
        <is>
          <t>Nairobi</t>
        </is>
      </c>
      <c r="C2666" t="inlineStr">
        <is>
          <t>Kenya</t>
        </is>
      </c>
      <c r="D2666" t="inlineStr">
        <is>
          <t>Africa</t>
        </is>
      </c>
      <c r="E2666" t="inlineStr">
        <is>
          <t>innovation_research_intensity_raw</t>
        </is>
      </c>
      <c r="F2666" t="inlineStr">
        <is>
          <t>Innovation and research raw</t>
        </is>
      </c>
      <c r="G2666" t="inlineStr">
        <is>
          <t>creative</t>
        </is>
      </c>
      <c r="H2666" t="inlineStr">
        <is>
          <t>yes</t>
        </is>
      </c>
      <c r="I2666" t="inlineStr">
        <is>
          <t>0.81</t>
        </is>
      </c>
      <c r="J2666" t="inlineStr">
        <is>
          <t>world_bank</t>
        </is>
      </c>
      <c r="K2666" t="inlineStr">
        <is>
          <t>https://api.worldbank.org/v2/country/KEN/indicator/GB.XPD.RSDV.GD.ZS?format=json&amp;mrv=10</t>
        </is>
      </c>
      <c r="L2666" t="inlineStr">
        <is>
          <t>World Bank WDI: Research and development expenditure (% of GDP)</t>
        </is>
      </c>
      <c r="M2666" t="inlineStr">
        <is>
          <t>2023-12-31</t>
        </is>
      </c>
      <c r="N2666" t="inlineStr">
        <is>
          <t>auto_ingest=world_bank_creative_extended; indicator=GB.XPD.RSDV.GD.ZS; year=2023; country_proxy=Kenya</t>
        </is>
      </c>
    </row>
    <row r="2667">
      <c r="A2667" t="inlineStr">
        <is>
          <t>ke-nairobi</t>
        </is>
      </c>
      <c r="B2667" t="inlineStr">
        <is>
          <t>Nairobi</t>
        </is>
      </c>
      <c r="C2667" t="inlineStr">
        <is>
          <t>Kenya</t>
        </is>
      </c>
      <c r="D2667" t="inlineStr">
        <is>
          <t>Africa</t>
        </is>
      </c>
      <c r="E2667" t="inlineStr">
        <is>
          <t>investment_signal_raw</t>
        </is>
      </c>
      <c r="F2667" t="inlineStr">
        <is>
          <t>Investment signal raw</t>
        </is>
      </c>
      <c r="G2667" t="inlineStr">
        <is>
          <t>creative</t>
        </is>
      </c>
      <c r="H2667" t="inlineStr">
        <is>
          <t>yes</t>
        </is>
      </c>
      <c r="I2667" t="inlineStr">
        <is>
          <t>0.39</t>
        </is>
      </c>
      <c r="J2667" t="inlineStr">
        <is>
          <t>world_bank</t>
        </is>
      </c>
      <c r="K2667" t="inlineStr">
        <is>
          <t>https://api.worldbank.org/v2/country/KEN/indicator/BX.KLT.DINV.WD.GD.ZS?format=json&amp;mrv=10</t>
        </is>
      </c>
      <c r="L2667" t="inlineStr">
        <is>
          <t>World Bank WDI: Foreign direct investment, net inflows (% of GDP)</t>
        </is>
      </c>
      <c r="M2667" t="inlineStr">
        <is>
          <t>2024-12-31</t>
        </is>
      </c>
      <c r="N2667" t="inlineStr">
        <is>
          <t>auto_ingest=world_bank_creative_extended; indicator=BX.KLT.DINV.WD.GD.ZS; year=2024; country_proxy=Kenya</t>
        </is>
      </c>
    </row>
    <row r="2668">
      <c r="A2668" t="inlineStr">
        <is>
          <t>ke-nairobi</t>
        </is>
      </c>
      <c r="B2668" t="inlineStr">
        <is>
          <t>Nairobi</t>
        </is>
      </c>
      <c r="C2668" t="inlineStr">
        <is>
          <t>Kenya</t>
        </is>
      </c>
      <c r="D2668" t="inlineStr">
        <is>
          <t>Africa</t>
        </is>
      </c>
      <c r="E2668" t="inlineStr">
        <is>
          <t>administrative_investment_friction_raw</t>
        </is>
      </c>
      <c r="F2668" t="inlineStr">
        <is>
          <t>Administrative investment friction raw</t>
        </is>
      </c>
      <c r="G2668" t="inlineStr">
        <is>
          <t>creative</t>
        </is>
      </c>
      <c r="H2668" t="inlineStr">
        <is>
          <t>yes</t>
        </is>
      </c>
      <c r="I2668" t="inlineStr">
        <is>
          <t>2.89</t>
        </is>
      </c>
      <c r="J2668" t="inlineStr">
        <is>
          <t>world_bank</t>
        </is>
      </c>
      <c r="K2668" t="inlineStr">
        <is>
          <t>https://api.worldbank.org/v2/country/KEN/indicator/RQ.EST?format=json&amp;mrv=10</t>
        </is>
      </c>
      <c r="L2668" t="inlineStr">
        <is>
          <t>World Bank WGI: Regulatory Quality (inverted as friction proxy)</t>
        </is>
      </c>
      <c r="M2668" t="inlineStr">
        <is>
          <t>2023-12-31</t>
        </is>
      </c>
      <c r="N2668" t="inlineStr">
        <is>
          <t>auto_ingest=world_bank_business_friction; indicator=RQ.EST; raw_rq=-0.390806585550308; friction=2.89; year=2023; country_proxy=Kenya</t>
        </is>
      </c>
    </row>
    <row r="2669">
      <c r="A2669" t="inlineStr">
        <is>
          <t>ke-nairobi</t>
        </is>
      </c>
      <c r="B2669" t="inlineStr">
        <is>
          <t>Nairobi</t>
        </is>
      </c>
      <c r="C2669" t="inlineStr">
        <is>
          <t>Kenya</t>
        </is>
      </c>
      <c r="D2669" t="inlineStr">
        <is>
          <t>Africa</t>
        </is>
      </c>
      <c r="E2669" t="inlineStr">
        <is>
          <t>visitor_flow_context_raw</t>
        </is>
      </c>
      <c r="F2669" t="inlineStr">
        <is>
          <t>Visitor flow context raw</t>
        </is>
      </c>
      <c r="G2669" t="inlineStr">
        <is>
          <t>creative</t>
        </is>
      </c>
      <c r="H2669" t="inlineStr">
        <is>
          <t>no</t>
        </is>
      </c>
      <c r="I2669" t="inlineStr"/>
      <c r="J2669" t="inlineStr"/>
      <c r="K2669" t="inlineStr"/>
      <c r="L2669" t="inlineStr"/>
      <c r="M2669" t="inlineStr"/>
      <c r="N2669" t="inlineStr"/>
    </row>
    <row r="2670">
      <c r="A2670" t="inlineStr">
        <is>
          <t>rw-kigali</t>
        </is>
      </c>
      <c r="B2670" t="inlineStr">
        <is>
          <t>Kigali</t>
        </is>
      </c>
      <c r="C2670" t="inlineStr">
        <is>
          <t>Rwanda</t>
        </is>
      </c>
      <c r="D2670" t="inlineStr">
        <is>
          <t>Africa</t>
        </is>
      </c>
      <c r="E2670" t="inlineStr">
        <is>
          <t>gross_income</t>
        </is>
      </c>
      <c r="F2670" t="inlineStr">
        <is>
          <t>Gross income</t>
        </is>
      </c>
      <c r="G2670" t="inlineStr">
        <is>
          <t>pressure</t>
        </is>
      </c>
      <c r="H2670" t="inlineStr">
        <is>
          <t>yes</t>
        </is>
      </c>
      <c r="I2670" t="inlineStr">
        <is>
          <t>301.67</t>
        </is>
      </c>
      <c r="J2670" t="inlineStr">
        <is>
          <t>world_bank_col_estimate</t>
        </is>
      </c>
      <c r="K2670" t="inlineStr">
        <is>
          <t>https://api.worldbank.org/v2/country/RWA/indicator/NY.GNP.PCAP.PP.CD?format=json&amp;mrv=10</t>
        </is>
      </c>
      <c r="L2670" t="inlineStr">
        <is>
          <t>World Bank WDI: GNI per capita PPP (monthly USD)</t>
        </is>
      </c>
      <c r="M2670" t="inlineStr">
        <is>
          <t>2024-12-31</t>
        </is>
      </c>
      <c r="N2670" t="inlineStr">
        <is>
          <t>auto_ingest=world_bank_col_estimate; gni_annual=3620.0; year=2024; country_proxy=Rwanda; cohort=Africa</t>
        </is>
      </c>
    </row>
    <row r="2671">
      <c r="A2671" t="inlineStr">
        <is>
          <t>rw-kigali</t>
        </is>
      </c>
      <c r="B2671" t="inlineStr">
        <is>
          <t>Kigali</t>
        </is>
      </c>
      <c r="C2671" t="inlineStr">
        <is>
          <t>Rwanda</t>
        </is>
      </c>
      <c r="D2671" t="inlineStr">
        <is>
          <t>Africa</t>
        </is>
      </c>
      <c r="E2671" t="inlineStr">
        <is>
          <t>di_ppp_raw</t>
        </is>
      </c>
      <c r="F2671" t="inlineStr">
        <is>
          <t>Disposable income PPP (Raw)</t>
        </is>
      </c>
      <c r="G2671" t="inlineStr">
        <is>
          <t>pressure</t>
        </is>
      </c>
      <c r="H2671" t="inlineStr">
        <is>
          <t>yes</t>
        </is>
      </c>
      <c r="I2671" t="inlineStr"/>
      <c r="J2671" t="inlineStr"/>
      <c r="K2671" t="inlineStr"/>
      <c r="L2671" t="inlineStr"/>
      <c r="M2671" t="inlineStr"/>
      <c r="N2671" t="inlineStr"/>
    </row>
    <row r="2672">
      <c r="A2672" t="inlineStr">
        <is>
          <t>rw-kigali</t>
        </is>
      </c>
      <c r="B2672" t="inlineStr">
        <is>
          <t>Kigali</t>
        </is>
      </c>
      <c r="C2672" t="inlineStr">
        <is>
          <t>Rwanda</t>
        </is>
      </c>
      <c r="D2672" t="inlineStr">
        <is>
          <t>Africa</t>
        </is>
      </c>
      <c r="E2672" t="inlineStr">
        <is>
          <t>rent</t>
        </is>
      </c>
      <c r="F2672" t="inlineStr">
        <is>
          <t>Rent</t>
        </is>
      </c>
      <c r="G2672" t="inlineStr">
        <is>
          <t>pressure</t>
        </is>
      </c>
      <c r="H2672" t="inlineStr">
        <is>
          <t>yes</t>
        </is>
      </c>
      <c r="I2672" t="inlineStr">
        <is>
          <t>57.32</t>
        </is>
      </c>
      <c r="J2672" t="inlineStr">
        <is>
          <t>world_bank_col_estimate</t>
        </is>
      </c>
      <c r="K2672" t="inlineStr">
        <is>
          <t>https://api.worldbank.org/v2/country/RWA/indicator/NY.GNP.PCAP.PP.CD?format=json&amp;mrv=10</t>
        </is>
      </c>
      <c r="L2672" t="inlineStr">
        <is>
          <t>World Bank GNI + regional expenditure ratio estimate</t>
        </is>
      </c>
      <c r="M2672" t="inlineStr">
        <is>
          <t>2024-12-31</t>
        </is>
      </c>
      <c r="N2672" t="inlineStr">
        <is>
          <t>auto_ingest=world_bank_col_estimate; gni_annual=3620.0; year=2024; country_proxy=Rwanda; cohort=Africa; city_cost_mult=0.95</t>
        </is>
      </c>
    </row>
    <row r="2673">
      <c r="A2673" t="inlineStr">
        <is>
          <t>rw-kigali</t>
        </is>
      </c>
      <c r="B2673" t="inlineStr">
        <is>
          <t>Kigali</t>
        </is>
      </c>
      <c r="C2673" t="inlineStr">
        <is>
          <t>Rwanda</t>
        </is>
      </c>
      <c r="D2673" t="inlineStr">
        <is>
          <t>Africa</t>
        </is>
      </c>
      <c r="E2673" t="inlineStr">
        <is>
          <t>utilities</t>
        </is>
      </c>
      <c r="F2673" t="inlineStr">
        <is>
          <t>Utilities</t>
        </is>
      </c>
      <c r="G2673" t="inlineStr">
        <is>
          <t>pressure</t>
        </is>
      </c>
      <c r="H2673" t="inlineStr">
        <is>
          <t>yes</t>
        </is>
      </c>
      <c r="I2673" t="inlineStr">
        <is>
          <t>17.2</t>
        </is>
      </c>
      <c r="J2673" t="inlineStr">
        <is>
          <t>world_bank_col_estimate</t>
        </is>
      </c>
      <c r="K2673" t="inlineStr">
        <is>
          <t>https://api.worldbank.org/v2/country/RWA/indicator/NY.GNP.PCAP.PP.CD?format=json&amp;mrv=10</t>
        </is>
      </c>
      <c r="L2673" t="inlineStr">
        <is>
          <t>World Bank GNI + regional expenditure ratio estimate</t>
        </is>
      </c>
      <c r="M2673" t="inlineStr">
        <is>
          <t>2024-12-31</t>
        </is>
      </c>
      <c r="N2673" t="inlineStr">
        <is>
          <t>auto_ingest=world_bank_col_estimate; gni_annual=3620.0; year=2024; country_proxy=Rwanda; cohort=Africa; city_cost_mult=0.95</t>
        </is>
      </c>
    </row>
    <row r="2674">
      <c r="A2674" t="inlineStr">
        <is>
          <t>rw-kigali</t>
        </is>
      </c>
      <c r="B2674" t="inlineStr">
        <is>
          <t>Kigali</t>
        </is>
      </c>
      <c r="C2674" t="inlineStr">
        <is>
          <t>Rwanda</t>
        </is>
      </c>
      <c r="D2674" t="inlineStr">
        <is>
          <t>Africa</t>
        </is>
      </c>
      <c r="E2674" t="inlineStr">
        <is>
          <t>transit_cost</t>
        </is>
      </c>
      <c r="F2674" t="inlineStr">
        <is>
          <t>Transit cost</t>
        </is>
      </c>
      <c r="G2674" t="inlineStr">
        <is>
          <t>pressure</t>
        </is>
      </c>
      <c r="H2674" t="inlineStr">
        <is>
          <t>yes</t>
        </is>
      </c>
      <c r="I2674" t="inlineStr">
        <is>
          <t>11.46</t>
        </is>
      </c>
      <c r="J2674" t="inlineStr">
        <is>
          <t>world_bank_col_estimate</t>
        </is>
      </c>
      <c r="K2674" t="inlineStr">
        <is>
          <t>https://api.worldbank.org/v2/country/RWA/indicator/NY.GNP.PCAP.PP.CD?format=json&amp;mrv=10</t>
        </is>
      </c>
      <c r="L2674" t="inlineStr">
        <is>
          <t>World Bank GNI + regional expenditure ratio estimate</t>
        </is>
      </c>
      <c r="M2674" t="inlineStr">
        <is>
          <t>2024-12-31</t>
        </is>
      </c>
      <c r="N2674" t="inlineStr">
        <is>
          <t>auto_ingest=world_bank_col_estimate; gni_annual=3620.0; year=2024; country_proxy=Rwanda; cohort=Africa; city_cost_mult=0.95</t>
        </is>
      </c>
    </row>
    <row r="2675">
      <c r="A2675" t="inlineStr">
        <is>
          <t>rw-kigali</t>
        </is>
      </c>
      <c r="B2675" t="inlineStr">
        <is>
          <t>Kigali</t>
        </is>
      </c>
      <c r="C2675" t="inlineStr">
        <is>
          <t>Rwanda</t>
        </is>
      </c>
      <c r="D2675" t="inlineStr">
        <is>
          <t>Africa</t>
        </is>
      </c>
      <c r="E2675" t="inlineStr">
        <is>
          <t>internet_cost</t>
        </is>
      </c>
      <c r="F2675" t="inlineStr">
        <is>
          <t>Internet cost</t>
        </is>
      </c>
      <c r="G2675" t="inlineStr">
        <is>
          <t>pressure</t>
        </is>
      </c>
      <c r="H2675" t="inlineStr">
        <is>
          <t>yes</t>
        </is>
      </c>
      <c r="I2675" t="inlineStr">
        <is>
          <t>4.3</t>
        </is>
      </c>
      <c r="J2675" t="inlineStr">
        <is>
          <t>world_bank_col_estimate</t>
        </is>
      </c>
      <c r="K2675" t="inlineStr">
        <is>
          <t>https://api.worldbank.org/v2/country/RWA/indicator/NY.GNP.PCAP.PP.CD?format=json&amp;mrv=10</t>
        </is>
      </c>
      <c r="L2675" t="inlineStr">
        <is>
          <t>World Bank GNI + regional expenditure ratio estimate</t>
        </is>
      </c>
      <c r="M2675" t="inlineStr">
        <is>
          <t>2024-12-31</t>
        </is>
      </c>
      <c r="N2675" t="inlineStr">
        <is>
          <t>auto_ingest=world_bank_col_estimate; gni_annual=3620.0; year=2024; country_proxy=Rwanda; cohort=Africa; city_cost_mult=0.95</t>
        </is>
      </c>
    </row>
    <row r="2676">
      <c r="A2676" t="inlineStr">
        <is>
          <t>rw-kigali</t>
        </is>
      </c>
      <c r="B2676" t="inlineStr">
        <is>
          <t>Kigali</t>
        </is>
      </c>
      <c r="C2676" t="inlineStr">
        <is>
          <t>Rwanda</t>
        </is>
      </c>
      <c r="D2676" t="inlineStr">
        <is>
          <t>Africa</t>
        </is>
      </c>
      <c r="E2676" t="inlineStr">
        <is>
          <t>food_cost</t>
        </is>
      </c>
      <c r="F2676" t="inlineStr">
        <is>
          <t>Food cost</t>
        </is>
      </c>
      <c r="G2676" t="inlineStr">
        <is>
          <t>pressure</t>
        </is>
      </c>
      <c r="H2676" t="inlineStr">
        <is>
          <t>yes</t>
        </is>
      </c>
      <c r="I2676" t="inlineStr">
        <is>
          <t>71.65</t>
        </is>
      </c>
      <c r="J2676" t="inlineStr">
        <is>
          <t>world_bank_col_estimate</t>
        </is>
      </c>
      <c r="K2676" t="inlineStr">
        <is>
          <t>https://api.worldbank.org/v2/country/RWA/indicator/NY.GNP.PCAP.PP.CD?format=json&amp;mrv=10</t>
        </is>
      </c>
      <c r="L2676" t="inlineStr">
        <is>
          <t>World Bank GNI + regional expenditure ratio estimate</t>
        </is>
      </c>
      <c r="M2676" t="inlineStr">
        <is>
          <t>2024-12-31</t>
        </is>
      </c>
      <c r="N2676" t="inlineStr">
        <is>
          <t>auto_ingest=world_bank_col_estimate; gni_annual=3620.0; year=2024; country_proxy=Rwanda; cohort=Africa; city_cost_mult=0.95</t>
        </is>
      </c>
    </row>
    <row r="2677">
      <c r="A2677" t="inlineStr">
        <is>
          <t>rw-kigali</t>
        </is>
      </c>
      <c r="B2677" t="inlineStr">
        <is>
          <t>Kigali</t>
        </is>
      </c>
      <c r="C2677" t="inlineStr">
        <is>
          <t>Rwanda</t>
        </is>
      </c>
      <c r="D2677" t="inlineStr">
        <is>
          <t>Africa</t>
        </is>
      </c>
      <c r="E2677" t="inlineStr">
        <is>
          <t>housing_burden_raw</t>
        </is>
      </c>
      <c r="F2677" t="inlineStr">
        <is>
          <t>Housing burden raw</t>
        </is>
      </c>
      <c r="G2677" t="inlineStr">
        <is>
          <t>pressure</t>
        </is>
      </c>
      <c r="H2677" t="inlineStr">
        <is>
          <t>yes</t>
        </is>
      </c>
      <c r="I2677" t="inlineStr">
        <is>
          <t>19.0009</t>
        </is>
      </c>
      <c r="J2677" t="inlineStr">
        <is>
          <t>derived</t>
        </is>
      </c>
      <c r="K2677" t="inlineStr">
        <is>
          <t>https://data.worldbank.org/indicator/NY.GNP.PCAP.PP.CD</t>
        </is>
      </c>
      <c r="L2677" t="inlineStr">
        <is>
          <t>Computed from city_inputs + country_context</t>
        </is>
      </c>
      <c r="M2677" t="inlineStr">
        <is>
          <t>2024-01-01</t>
        </is>
      </c>
      <c r="N2677" t="inlineStr">
        <is>
          <t>derived=rent/gross_income*100</t>
        </is>
      </c>
    </row>
    <row r="2678">
      <c r="A2678" t="inlineStr">
        <is>
          <t>rw-kigali</t>
        </is>
      </c>
      <c r="B2678" t="inlineStr">
        <is>
          <t>Kigali</t>
        </is>
      </c>
      <c r="C2678" t="inlineStr">
        <is>
          <t>Rwanda</t>
        </is>
      </c>
      <c r="D2678" t="inlineStr">
        <is>
          <t>Africa</t>
        </is>
      </c>
      <c r="E2678" t="inlineStr">
        <is>
          <t>household_debt_burden_raw</t>
        </is>
      </c>
      <c r="F2678" t="inlineStr">
        <is>
          <t>Household debt burden raw</t>
        </is>
      </c>
      <c r="G2678" t="inlineStr">
        <is>
          <t>pressure</t>
        </is>
      </c>
      <c r="H2678" t="inlineStr">
        <is>
          <t>yes</t>
        </is>
      </c>
      <c r="I2678" t="inlineStr">
        <is>
          <t>22.5267</t>
        </is>
      </c>
      <c r="J2678" t="inlineStr">
        <is>
          <t>derived</t>
        </is>
      </c>
      <c r="K2678" t="inlineStr">
        <is>
          <t>https://data.worldbank.org/indicator/NY.GNP.PCAP.PP.CD</t>
        </is>
      </c>
      <c r="L2678" t="inlineStr">
        <is>
          <t>Computed from city_inputs + country_context</t>
        </is>
      </c>
      <c r="M2678" t="inlineStr">
        <is>
          <t>2024-01-01</t>
        </is>
      </c>
      <c r="N2678" t="inlineStr">
        <is>
          <t>derived=country_context.household_debt_proxy; country=Rwanda</t>
        </is>
      </c>
    </row>
    <row r="2679">
      <c r="A2679" t="inlineStr">
        <is>
          <t>rw-kigali</t>
        </is>
      </c>
      <c r="B2679" t="inlineStr">
        <is>
          <t>Kigali</t>
        </is>
      </c>
      <c r="C2679" t="inlineStr">
        <is>
          <t>Rwanda</t>
        </is>
      </c>
      <c r="D2679" t="inlineStr">
        <is>
          <t>Africa</t>
        </is>
      </c>
      <c r="E2679" t="inlineStr">
        <is>
          <t>working_time_pressure_raw</t>
        </is>
      </c>
      <c r="F2679" t="inlineStr">
        <is>
          <t>Working time pressure raw</t>
        </is>
      </c>
      <c r="G2679" t="inlineStr">
        <is>
          <t>pressure</t>
        </is>
      </c>
      <c r="H2679" t="inlineStr">
        <is>
          <t>yes</t>
        </is>
      </c>
      <c r="I2679" t="inlineStr">
        <is>
          <t>29.92</t>
        </is>
      </c>
      <c r="J2679" t="inlineStr">
        <is>
          <t>ilo_ilostat</t>
        </is>
      </c>
      <c r="K2679" t="inlineStr">
        <is>
          <t>https://ilostat.ilo.org/data/indicator/?id=HOW_TEMP_SEX_ECO_NB_A&amp;ref_area=RWA</t>
        </is>
      </c>
      <c r="L2679" t="inlineStr">
        <is>
          <t>ILO ILOSTAT: Mean weekly hours actually worked per employed person</t>
        </is>
      </c>
      <c r="M2679" t="inlineStr">
        <is>
          <t>2024-12-31</t>
        </is>
      </c>
      <c r="N2679" t="inlineStr">
        <is>
          <t>auto_ingest=ilo_working_hours; indicator=HOW_TEMP_SEX_ECO_NB_A; year=2024; hours=29.92; country_proxy=Rwanda</t>
        </is>
      </c>
    </row>
    <row r="2680">
      <c r="A2680" t="inlineStr">
        <is>
          <t>rw-kigali</t>
        </is>
      </c>
      <c r="B2680" t="inlineStr">
        <is>
          <t>Kigali</t>
        </is>
      </c>
      <c r="C2680" t="inlineStr">
        <is>
          <t>Rwanda</t>
        </is>
      </c>
      <c r="D2680" t="inlineStr">
        <is>
          <t>Africa</t>
        </is>
      </c>
      <c r="E2680" t="inlineStr">
        <is>
          <t>suicide_mental_strain_raw</t>
        </is>
      </c>
      <c r="F2680" t="inlineStr">
        <is>
          <t>Suicide or mental strain raw</t>
        </is>
      </c>
      <c r="G2680" t="inlineStr">
        <is>
          <t>pressure</t>
        </is>
      </c>
      <c r="H2680" t="inlineStr">
        <is>
          <t>yes</t>
        </is>
      </c>
      <c r="I2680" t="inlineStr">
        <is>
          <t>8.68</t>
        </is>
      </c>
      <c r="J2680" t="inlineStr">
        <is>
          <t>who_gho</t>
        </is>
      </c>
      <c r="K2680" t="inlineStr">
        <is>
          <t>https://www.who.int/data/gho/data/indicators/indicator-details/GHO/SDGSUICIDE</t>
        </is>
      </c>
      <c r="L2680" t="inlineStr">
        <is>
          <t>WHO GHO: Age-standardized suicide rate (per 100,000 population)</t>
        </is>
      </c>
      <c r="M2680" t="inlineStr">
        <is>
          <t>2021-12-31</t>
        </is>
      </c>
      <c r="N2680" t="inlineStr">
        <is>
          <t>auto_ingest=who_gho; indicator=SDGSUICIDE; year=2021; country_proxy=Rwanda</t>
        </is>
      </c>
    </row>
    <row r="2681">
      <c r="A2681" t="inlineStr">
        <is>
          <t>rw-kigali</t>
        </is>
      </c>
      <c r="B2681" t="inlineStr">
        <is>
          <t>Kigali</t>
        </is>
      </c>
      <c r="C2681" t="inlineStr">
        <is>
          <t>Rwanda</t>
        </is>
      </c>
      <c r="D2681" t="inlineStr">
        <is>
          <t>Africa</t>
        </is>
      </c>
      <c r="E2681" t="inlineStr">
        <is>
          <t>personal_safety_raw</t>
        </is>
      </c>
      <c r="F2681" t="inlineStr">
        <is>
          <t>Personal safety raw</t>
        </is>
      </c>
      <c r="G2681" t="inlineStr">
        <is>
          <t>viability</t>
        </is>
      </c>
      <c r="H2681" t="inlineStr">
        <is>
          <t>yes</t>
        </is>
      </c>
      <c r="I2681" t="inlineStr">
        <is>
          <t>3.61</t>
        </is>
      </c>
      <c r="J2681" t="inlineStr">
        <is>
          <t>world_bank</t>
        </is>
      </c>
      <c r="K2681" t="inlineStr">
        <is>
          <t>https://api.worldbank.org/v2/country/RWA/indicator/VC.IHR.PSRC.P5?format=json&amp;mrv=10</t>
        </is>
      </c>
      <c r="L2681" t="inlineStr">
        <is>
          <t>UNODC via World Bank WDI: Intentional homicides (per 100,000 people)</t>
        </is>
      </c>
      <c r="M2681" t="inlineStr">
        <is>
          <t>2020-12-31</t>
        </is>
      </c>
      <c r="N2681" t="inlineStr">
        <is>
          <t>auto_ingest=unodc_safety; indicator=VC.IHR.PSRC.P5; year=2020; country_proxy=Rwanda</t>
        </is>
      </c>
    </row>
    <row r="2682">
      <c r="A2682" t="inlineStr">
        <is>
          <t>rw-kigali</t>
        </is>
      </c>
      <c r="B2682" t="inlineStr">
        <is>
          <t>Kigali</t>
        </is>
      </c>
      <c r="C2682" t="inlineStr">
        <is>
          <t>Rwanda</t>
        </is>
      </c>
      <c r="D2682" t="inlineStr">
        <is>
          <t>Africa</t>
        </is>
      </c>
      <c r="E2682" t="inlineStr">
        <is>
          <t>transit_access_commute_raw</t>
        </is>
      </c>
      <c r="F2682" t="inlineStr">
        <is>
          <t>Transit access and commute raw</t>
        </is>
      </c>
      <c r="G2682" t="inlineStr">
        <is>
          <t>viability</t>
        </is>
      </c>
      <c r="H2682" t="inlineStr">
        <is>
          <t>yes</t>
        </is>
      </c>
      <c r="I2682" t="inlineStr"/>
      <c r="J2682" t="inlineStr"/>
      <c r="K2682" t="inlineStr"/>
      <c r="L2682" t="inlineStr"/>
      <c r="M2682" t="inlineStr"/>
      <c r="N2682" t="inlineStr"/>
    </row>
    <row r="2683">
      <c r="A2683" t="inlineStr">
        <is>
          <t>rw-kigali</t>
        </is>
      </c>
      <c r="B2683" t="inlineStr">
        <is>
          <t>Kigali</t>
        </is>
      </c>
      <c r="C2683" t="inlineStr">
        <is>
          <t>Rwanda</t>
        </is>
      </c>
      <c r="D2683" t="inlineStr">
        <is>
          <t>Africa</t>
        </is>
      </c>
      <c r="E2683" t="inlineStr">
        <is>
          <t>clean_air_raw</t>
        </is>
      </c>
      <c r="F2683" t="inlineStr">
        <is>
          <t>Clean air raw</t>
        </is>
      </c>
      <c r="G2683" t="inlineStr">
        <is>
          <t>viability</t>
        </is>
      </c>
      <c r="H2683" t="inlineStr">
        <is>
          <t>yes</t>
        </is>
      </c>
      <c r="I2683" t="inlineStr"/>
      <c r="J2683" t="inlineStr"/>
      <c r="K2683" t="inlineStr"/>
      <c r="L2683" t="inlineStr"/>
      <c r="M2683" t="inlineStr"/>
      <c r="N2683" t="inlineStr"/>
    </row>
    <row r="2684">
      <c r="A2684" t="inlineStr">
        <is>
          <t>rw-kigali</t>
        </is>
      </c>
      <c r="B2684" t="inlineStr">
        <is>
          <t>Kigali</t>
        </is>
      </c>
      <c r="C2684" t="inlineStr">
        <is>
          <t>Rwanda</t>
        </is>
      </c>
      <c r="D2684" t="inlineStr">
        <is>
          <t>Africa</t>
        </is>
      </c>
      <c r="E2684" t="inlineStr">
        <is>
          <t>water_sanitation_utility_raw</t>
        </is>
      </c>
      <c r="F2684" t="inlineStr">
        <is>
          <t>Water, sanitation, and utility raw</t>
        </is>
      </c>
      <c r="G2684" t="inlineStr">
        <is>
          <t>viability</t>
        </is>
      </c>
      <c r="H2684" t="inlineStr">
        <is>
          <t>yes</t>
        </is>
      </c>
      <c r="I2684" t="inlineStr"/>
      <c r="J2684" t="inlineStr"/>
      <c r="K2684" t="inlineStr"/>
      <c r="L2684" t="inlineStr"/>
      <c r="M2684" t="inlineStr"/>
      <c r="N2684" t="inlineStr"/>
    </row>
    <row r="2685">
      <c r="A2685" t="inlineStr">
        <is>
          <t>rw-kigali</t>
        </is>
      </c>
      <c r="B2685" t="inlineStr">
        <is>
          <t>Kigali</t>
        </is>
      </c>
      <c r="C2685" t="inlineStr">
        <is>
          <t>Rwanda</t>
        </is>
      </c>
      <c r="D2685" t="inlineStr">
        <is>
          <t>Africa</t>
        </is>
      </c>
      <c r="E2685" t="inlineStr">
        <is>
          <t>digital_infrastructure_raw</t>
        </is>
      </c>
      <c r="F2685" t="inlineStr">
        <is>
          <t>Digital infrastructure raw</t>
        </is>
      </c>
      <c r="G2685" t="inlineStr">
        <is>
          <t>viability</t>
        </is>
      </c>
      <c r="H2685" t="inlineStr">
        <is>
          <t>yes</t>
        </is>
      </c>
      <c r="I2685" t="inlineStr">
        <is>
          <t>0.45</t>
        </is>
      </c>
      <c r="J2685" t="inlineStr">
        <is>
          <t>world_bank</t>
        </is>
      </c>
      <c r="K2685" t="inlineStr">
        <is>
          <t>https://api.worldbank.org/v2/country/RWA/indicator/IT.NET.BBND.P2?format=json&amp;mrv=10</t>
        </is>
      </c>
      <c r="L2685" t="inlineStr">
        <is>
          <t>World Bank WDI: Fixed broadband subscriptions (per 100 people)</t>
        </is>
      </c>
      <c r="M2685" t="inlineStr">
        <is>
          <t>2023-12-31</t>
        </is>
      </c>
      <c r="N2685" t="inlineStr">
        <is>
          <t>auto_ingest=world_bank_proxy; indicator=IT.NET.BBND.P2; year=2023; country_proxy=Rwanda</t>
        </is>
      </c>
    </row>
    <row r="2686">
      <c r="A2686" t="inlineStr">
        <is>
          <t>rw-kigali</t>
        </is>
      </c>
      <c r="B2686" t="inlineStr">
        <is>
          <t>Kigali</t>
        </is>
      </c>
      <c r="C2686" t="inlineStr">
        <is>
          <t>Rwanda</t>
        </is>
      </c>
      <c r="D2686" t="inlineStr">
        <is>
          <t>Africa</t>
        </is>
      </c>
      <c r="E2686" t="inlineStr">
        <is>
          <t>climate_sunlight_livability_raw</t>
        </is>
      </c>
      <c r="F2686" t="inlineStr">
        <is>
          <t>Climate and sunlight livability raw</t>
        </is>
      </c>
      <c r="G2686" t="inlineStr">
        <is>
          <t>viability</t>
        </is>
      </c>
      <c r="H2686" t="inlineStr">
        <is>
          <t>yes</t>
        </is>
      </c>
      <c r="I2686" t="inlineStr">
        <is>
          <t>70</t>
        </is>
      </c>
      <c r="J2686" t="inlineStr">
        <is>
          <t>wmo_natl_met</t>
        </is>
      </c>
      <c r="K2686" t="inlineStr">
        <is>
          <t>https://worldweather.wmo.int</t>
        </is>
      </c>
      <c r="L2686" t="inlineStr">
        <is>
          <t>WMO/National Met: Climate livability composite</t>
        </is>
      </c>
      <c r="M2686" t="inlineStr">
        <is>
          <t>2024-12-31</t>
        </is>
      </c>
      <c r="N2686" t="inlineStr">
        <is>
          <t>auto_seed=climate_composite; 2300 sun hrs, 20C mean, altitude comfort</t>
        </is>
      </c>
    </row>
    <row r="2687">
      <c r="A2687" t="inlineStr">
        <is>
          <t>rw-kigali</t>
        </is>
      </c>
      <c r="B2687" t="inlineStr">
        <is>
          <t>Kigali</t>
        </is>
      </c>
      <c r="C2687" t="inlineStr">
        <is>
          <t>Rwanda</t>
        </is>
      </c>
      <c r="D2687" t="inlineStr">
        <is>
          <t>Africa</t>
        </is>
      </c>
      <c r="E2687" t="inlineStr">
        <is>
          <t>healthcare_quality_raw</t>
        </is>
      </c>
      <c r="F2687" t="inlineStr">
        <is>
          <t>Healthcare quality raw</t>
        </is>
      </c>
      <c r="G2687" t="inlineStr">
        <is>
          <t>capability</t>
        </is>
      </c>
      <c r="H2687" t="inlineStr">
        <is>
          <t>yes</t>
        </is>
      </c>
      <c r="I2687" t="inlineStr">
        <is>
          <t>59.0</t>
        </is>
      </c>
      <c r="J2687" t="inlineStr">
        <is>
          <t>who_gho</t>
        </is>
      </c>
      <c r="K2687" t="inlineStr">
        <is>
          <t>https://www.who.int/data/gho/data/indicators/indicator-details/GHO/UHC_INDEX_REPORTED</t>
        </is>
      </c>
      <c r="L2687" t="inlineStr">
        <is>
          <t>WHO GHO: UHC Service Coverage Index</t>
        </is>
      </c>
      <c r="M2687" t="inlineStr">
        <is>
          <t>2023-12-31</t>
        </is>
      </c>
      <c r="N2687" t="inlineStr">
        <is>
          <t>auto_ingest=who_gho; indicator=UHC_INDEX_REPORTED; year=2023; country_proxy=Rwanda</t>
        </is>
      </c>
    </row>
    <row r="2688">
      <c r="A2688" t="inlineStr">
        <is>
          <t>rw-kigali</t>
        </is>
      </c>
      <c r="B2688" t="inlineStr">
        <is>
          <t>Kigali</t>
        </is>
      </c>
      <c r="C2688" t="inlineStr">
        <is>
          <t>Rwanda</t>
        </is>
      </c>
      <c r="D2688" t="inlineStr">
        <is>
          <t>Africa</t>
        </is>
      </c>
      <c r="E2688" t="inlineStr">
        <is>
          <t>education_quality_raw</t>
        </is>
      </c>
      <c r="F2688" t="inlineStr">
        <is>
          <t>Education quality raw</t>
        </is>
      </c>
      <c r="G2688" t="inlineStr">
        <is>
          <t>capability</t>
        </is>
      </c>
      <c r="H2688" t="inlineStr">
        <is>
          <t>yes</t>
        </is>
      </c>
      <c r="I2688" t="inlineStr">
        <is>
          <t>9.41</t>
        </is>
      </c>
      <c r="J2688" t="inlineStr">
        <is>
          <t>world_bank</t>
        </is>
      </c>
      <c r="K2688" t="inlineStr">
        <is>
          <t>https://api.worldbank.org/v2/country/RWA/indicator/SE.TER.ENRR?format=json&amp;mrv=10</t>
        </is>
      </c>
      <c r="L2688" t="inlineStr">
        <is>
          <t>World Bank WDI: School enrollment, tertiary (% gross)</t>
        </is>
      </c>
      <c r="M2688" t="inlineStr">
        <is>
          <t>2024-12-31</t>
        </is>
      </c>
      <c r="N2688" t="inlineStr">
        <is>
          <t>auto_ingest=world_bank_proxy; indicator=SE.TER.ENRR; year=2024; country_proxy=Rwanda</t>
        </is>
      </c>
    </row>
    <row r="2689">
      <c r="A2689" t="inlineStr">
        <is>
          <t>rw-kigali</t>
        </is>
      </c>
      <c r="B2689" t="inlineStr">
        <is>
          <t>Kigali</t>
        </is>
      </c>
      <c r="C2689" t="inlineStr">
        <is>
          <t>Rwanda</t>
        </is>
      </c>
      <c r="D2689" t="inlineStr">
        <is>
          <t>Africa</t>
        </is>
      </c>
      <c r="E2689" t="inlineStr">
        <is>
          <t>equal_opportunity_raw</t>
        </is>
      </c>
      <c r="F2689" t="inlineStr">
        <is>
          <t>Equal opportunity raw</t>
        </is>
      </c>
      <c r="G2689" t="inlineStr">
        <is>
          <t>capability</t>
        </is>
      </c>
      <c r="H2689" t="inlineStr">
        <is>
          <t>yes</t>
        </is>
      </c>
      <c r="I2689" t="inlineStr">
        <is>
          <t>39.4</t>
        </is>
      </c>
      <c r="J2689" t="inlineStr">
        <is>
          <t>world_bank</t>
        </is>
      </c>
      <c r="K2689" t="inlineStr">
        <is>
          <t>https://api.worldbank.org/v2/country/RWA/indicator/SI.POV.GINI?format=json&amp;mrv=10</t>
        </is>
      </c>
      <c r="L2689" t="inlineStr">
        <is>
          <t>World Bank WDI: Gini index</t>
        </is>
      </c>
      <c r="M2689" t="inlineStr">
        <is>
          <t>2023-12-31</t>
        </is>
      </c>
      <c r="N2689" t="inlineStr">
        <is>
          <t>auto_ingest=world_bank_capability; indicator=SI.POV.GINI; year=2023; country_proxy=Rwanda</t>
        </is>
      </c>
    </row>
    <row r="2690">
      <c r="A2690" t="inlineStr">
        <is>
          <t>rw-kigali</t>
        </is>
      </c>
      <c r="B2690" t="inlineStr">
        <is>
          <t>Kigali</t>
        </is>
      </c>
      <c r="C2690" t="inlineStr">
        <is>
          <t>Rwanda</t>
        </is>
      </c>
      <c r="D2690" t="inlineStr">
        <is>
          <t>Africa</t>
        </is>
      </c>
      <c r="E2690" t="inlineStr">
        <is>
          <t>hospitality_belonging_raw</t>
        </is>
      </c>
      <c r="F2690" t="inlineStr">
        <is>
          <t>Hospitality and belonging raw</t>
        </is>
      </c>
      <c r="G2690" t="inlineStr">
        <is>
          <t>community</t>
        </is>
      </c>
      <c r="H2690" t="inlineStr">
        <is>
          <t>yes</t>
        </is>
      </c>
      <c r="I2690" t="inlineStr">
        <is>
          <t>50.44</t>
        </is>
      </c>
      <c r="J2690" t="inlineStr">
        <is>
          <t>world_bank</t>
        </is>
      </c>
      <c r="K2690" t="inlineStr">
        <is>
          <t>https://api.worldbank.org/v2/country/RWA/indicator/SM.POP.NETM?format=json&amp;mrv=10</t>
        </is>
      </c>
      <c r="L2690" t="inlineStr">
        <is>
          <t>World Bank WDI: Net migration (proxy for hospitality/belonging — positive = welcoming)</t>
        </is>
      </c>
      <c r="M2690" t="inlineStr">
        <is>
          <t>2025-12-31</t>
        </is>
      </c>
      <c r="N2690" t="inlineStr">
        <is>
          <t>auto_ingest=world_bank_proxy; proxy=net_migration_hospitality; indicator=SM.POP.NETM; year=2025; country_proxy=Rwanda</t>
        </is>
      </c>
    </row>
    <row r="2691">
      <c r="A2691" t="inlineStr">
        <is>
          <t>rw-kigali</t>
        </is>
      </c>
      <c r="B2691" t="inlineStr">
        <is>
          <t>Kigali</t>
        </is>
      </c>
      <c r="C2691" t="inlineStr">
        <is>
          <t>Rwanda</t>
        </is>
      </c>
      <c r="D2691" t="inlineStr">
        <is>
          <t>Africa</t>
        </is>
      </c>
      <c r="E2691" t="inlineStr">
        <is>
          <t>tolerance_pluralism_raw</t>
        </is>
      </c>
      <c r="F2691" t="inlineStr">
        <is>
          <t>Tolerance and pluralism raw</t>
        </is>
      </c>
      <c r="G2691" t="inlineStr">
        <is>
          <t>community</t>
        </is>
      </c>
      <c r="H2691" t="inlineStr">
        <is>
          <t>yes</t>
        </is>
      </c>
      <c r="I2691" t="inlineStr">
        <is>
          <t>63.75</t>
        </is>
      </c>
      <c r="J2691" t="inlineStr">
        <is>
          <t>world_bank</t>
        </is>
      </c>
      <c r="K2691" t="inlineStr">
        <is>
          <t>https://api.worldbank.org/v2/country/RWA/indicator/SG.GEN.PARL.ZS?format=json&amp;mrv=10</t>
        </is>
      </c>
      <c r="L2691" t="inlineStr">
        <is>
          <t>World Bank WDI: Proportion of seats held by women in national parliaments (%)</t>
        </is>
      </c>
      <c r="M2691" t="inlineStr">
        <is>
          <t>2024-12-31</t>
        </is>
      </c>
      <c r="N2691" t="inlineStr">
        <is>
          <t>auto_ingest=world_bank_proxy; proxy=gender_parity_parliament; indicator=SG.GEN.PARL.ZS; year=2024; country_proxy=Rwanda</t>
        </is>
      </c>
    </row>
    <row r="2692">
      <c r="A2692" t="inlineStr">
        <is>
          <t>rw-kigali</t>
        </is>
      </c>
      <c r="B2692" t="inlineStr">
        <is>
          <t>Kigali</t>
        </is>
      </c>
      <c r="C2692" t="inlineStr">
        <is>
          <t>Rwanda</t>
        </is>
      </c>
      <c r="D2692" t="inlineStr">
        <is>
          <t>Africa</t>
        </is>
      </c>
      <c r="E2692" t="inlineStr">
        <is>
          <t>cultural_public_life_raw</t>
        </is>
      </c>
      <c r="F2692" t="inlineStr">
        <is>
          <t>Cultural public life raw</t>
        </is>
      </c>
      <c r="G2692" t="inlineStr">
        <is>
          <t>community</t>
        </is>
      </c>
      <c r="H2692" t="inlineStr">
        <is>
          <t>yes</t>
        </is>
      </c>
      <c r="I2692" t="inlineStr">
        <is>
          <t>114.61</t>
        </is>
      </c>
      <c r="J2692" t="inlineStr">
        <is>
          <t>world_bank</t>
        </is>
      </c>
      <c r="K2692" t="inlineStr">
        <is>
          <t>https://api.worldbank.org/v2/country/RWA/indicator/ST.INT.ARVL?format=json&amp;mrv=10</t>
        </is>
      </c>
      <c r="L2692" t="inlineStr">
        <is>
          <t>World Bank WDI: International tourism arrivals per 1 000 population</t>
        </is>
      </c>
      <c r="M2692" t="inlineStr">
        <is>
          <t>2019-12-31</t>
        </is>
      </c>
      <c r="N2692" t="inlineStr">
        <is>
          <t>auto_ingest=cultural_life_proxy; indicator=ST.INT.ARVL; norm=per_1000_pop; year=2019; country_proxy=Rwanda</t>
        </is>
      </c>
    </row>
    <row r="2693">
      <c r="A2693" t="inlineStr">
        <is>
          <t>rw-kigali</t>
        </is>
      </c>
      <c r="B2693" t="inlineStr">
        <is>
          <t>Kigali</t>
        </is>
      </c>
      <c r="C2693" t="inlineStr">
        <is>
          <t>Rwanda</t>
        </is>
      </c>
      <c r="D2693" t="inlineStr">
        <is>
          <t>Africa</t>
        </is>
      </c>
      <c r="E2693" t="inlineStr">
        <is>
          <t>birth_rate_optimism_raw</t>
        </is>
      </c>
      <c r="F2693" t="inlineStr">
        <is>
          <t>Birth rate and societal optimism raw</t>
        </is>
      </c>
      <c r="G2693" t="inlineStr">
        <is>
          <t>community</t>
        </is>
      </c>
      <c r="H2693" t="inlineStr">
        <is>
          <t>yes</t>
        </is>
      </c>
      <c r="I2693" t="inlineStr">
        <is>
          <t>3.9</t>
        </is>
      </c>
      <c r="J2693" t="inlineStr">
        <is>
          <t>world_bank</t>
        </is>
      </c>
      <c r="K2693" t="inlineStr">
        <is>
          <t>https://data.worldbank.org/indicator/SP.DYN.TFRT.IN</t>
        </is>
      </c>
      <c r="L2693" t="inlineStr">
        <is>
          <t>World Bank Total Fertility Rate 2023</t>
        </is>
      </c>
      <c r="M2693" t="inlineStr">
        <is>
          <t>2024-01-01</t>
        </is>
      </c>
      <c r="N2693" t="inlineStr"/>
    </row>
    <row r="2694">
      <c r="A2694" t="inlineStr">
        <is>
          <t>rw-kigali</t>
        </is>
      </c>
      <c r="B2694" t="inlineStr">
        <is>
          <t>Kigali</t>
        </is>
      </c>
      <c r="C2694" t="inlineStr">
        <is>
          <t>Rwanda</t>
        </is>
      </c>
      <c r="D2694" t="inlineStr">
        <is>
          <t>Africa</t>
        </is>
      </c>
      <c r="E2694" t="inlineStr">
        <is>
          <t>entrepreneurial_dynamism_raw</t>
        </is>
      </c>
      <c r="F2694" t="inlineStr">
        <is>
          <t>Entrepreneurial dynamism raw</t>
        </is>
      </c>
      <c r="G2694" t="inlineStr">
        <is>
          <t>creative</t>
        </is>
      </c>
      <c r="H2694" t="inlineStr">
        <is>
          <t>yes</t>
        </is>
      </c>
      <c r="I2694" t="inlineStr">
        <is>
          <t>2.13</t>
        </is>
      </c>
      <c r="J2694" t="inlineStr">
        <is>
          <t>world_bank</t>
        </is>
      </c>
      <c r="K2694" t="inlineStr">
        <is>
          <t>https://api.worldbank.org/v2/country/RWA/indicator/IC.BUS.NDNS.ZS?format=json&amp;mrv=10</t>
        </is>
      </c>
      <c r="L2694" t="inlineStr">
        <is>
          <t>World Bank WDI: New business density (new registrations per 1,000 people ages 15-64)</t>
        </is>
      </c>
      <c r="M2694" t="inlineStr">
        <is>
          <t>2020-12-31</t>
        </is>
      </c>
      <c r="N2694" t="inlineStr">
        <is>
          <t>auto_ingest=world_bank_creative_extended; indicator=IC.BUS.NDNS.ZS; year=2020; country_proxy=Rwanda</t>
        </is>
      </c>
    </row>
    <row r="2695">
      <c r="A2695" t="inlineStr">
        <is>
          <t>rw-kigali</t>
        </is>
      </c>
      <c r="B2695" t="inlineStr">
        <is>
          <t>Kigali</t>
        </is>
      </c>
      <c r="C2695" t="inlineStr">
        <is>
          <t>Rwanda</t>
        </is>
      </c>
      <c r="D2695" t="inlineStr">
        <is>
          <t>Africa</t>
        </is>
      </c>
      <c r="E2695" t="inlineStr">
        <is>
          <t>innovation_research_intensity_raw</t>
        </is>
      </c>
      <c r="F2695" t="inlineStr">
        <is>
          <t>Innovation and research raw</t>
        </is>
      </c>
      <c r="G2695" t="inlineStr">
        <is>
          <t>creative</t>
        </is>
      </c>
      <c r="H2695" t="inlineStr">
        <is>
          <t>yes</t>
        </is>
      </c>
      <c r="I2695" t="inlineStr">
        <is>
          <t>0.79</t>
        </is>
      </c>
      <c r="J2695" t="inlineStr">
        <is>
          <t>world_bank</t>
        </is>
      </c>
      <c r="K2695" t="inlineStr">
        <is>
          <t>https://api.worldbank.org/v2/country/RWA/indicator/GB.XPD.RSDV.GD.ZS?format=json&amp;mrv=10</t>
        </is>
      </c>
      <c r="L2695" t="inlineStr">
        <is>
          <t>World Bank WDI: Research and development expenditure (% of GDP)</t>
        </is>
      </c>
      <c r="M2695" t="inlineStr">
        <is>
          <t>2023-12-31</t>
        </is>
      </c>
      <c r="N2695" t="inlineStr">
        <is>
          <t>auto_ingest=world_bank_creative_extended; indicator=GB.XPD.RSDV.GD.ZS; year=2023; country_proxy=Rwanda</t>
        </is>
      </c>
    </row>
    <row r="2696">
      <c r="A2696" t="inlineStr">
        <is>
          <t>rw-kigali</t>
        </is>
      </c>
      <c r="B2696" t="inlineStr">
        <is>
          <t>Kigali</t>
        </is>
      </c>
      <c r="C2696" t="inlineStr">
        <is>
          <t>Rwanda</t>
        </is>
      </c>
      <c r="D2696" t="inlineStr">
        <is>
          <t>Africa</t>
        </is>
      </c>
      <c r="E2696" t="inlineStr">
        <is>
          <t>investment_signal_raw</t>
        </is>
      </c>
      <c r="F2696" t="inlineStr">
        <is>
          <t>Investment signal raw</t>
        </is>
      </c>
      <c r="G2696" t="inlineStr">
        <is>
          <t>creative</t>
        </is>
      </c>
      <c r="H2696" t="inlineStr">
        <is>
          <t>yes</t>
        </is>
      </c>
      <c r="I2696" t="inlineStr">
        <is>
          <t>4.02</t>
        </is>
      </c>
      <c r="J2696" t="inlineStr">
        <is>
          <t>world_bank</t>
        </is>
      </c>
      <c r="K2696" t="inlineStr">
        <is>
          <t>https://api.worldbank.org/v2/country/RWA/indicator/BX.KLT.DINV.WD.GD.ZS?format=json&amp;mrv=10</t>
        </is>
      </c>
      <c r="L2696" t="inlineStr">
        <is>
          <t>World Bank WDI: Foreign direct investment, net inflows (% of GDP)</t>
        </is>
      </c>
      <c r="M2696" t="inlineStr">
        <is>
          <t>2024-12-31</t>
        </is>
      </c>
      <c r="N2696" t="inlineStr">
        <is>
          <t>auto_ingest=world_bank_creative_extended; indicator=BX.KLT.DINV.WD.GD.ZS; year=2024; country_proxy=Rwanda</t>
        </is>
      </c>
    </row>
    <row r="2697">
      <c r="A2697" t="inlineStr">
        <is>
          <t>rw-kigali</t>
        </is>
      </c>
      <c r="B2697" t="inlineStr">
        <is>
          <t>Kigali</t>
        </is>
      </c>
      <c r="C2697" t="inlineStr">
        <is>
          <t>Rwanda</t>
        </is>
      </c>
      <c r="D2697" t="inlineStr">
        <is>
          <t>Africa</t>
        </is>
      </c>
      <c r="E2697" t="inlineStr">
        <is>
          <t>administrative_investment_friction_raw</t>
        </is>
      </c>
      <c r="F2697" t="inlineStr">
        <is>
          <t>Administrative investment friction raw</t>
        </is>
      </c>
      <c r="G2697" t="inlineStr">
        <is>
          <t>creative</t>
        </is>
      </c>
      <c r="H2697" t="inlineStr">
        <is>
          <t>yes</t>
        </is>
      </c>
      <c r="I2697" t="inlineStr">
        <is>
          <t>2.38</t>
        </is>
      </c>
      <c r="J2697" t="inlineStr">
        <is>
          <t>world_bank</t>
        </is>
      </c>
      <c r="K2697" t="inlineStr">
        <is>
          <t>https://api.worldbank.org/v2/country/RWA/indicator/RQ.EST?format=json&amp;mrv=10</t>
        </is>
      </c>
      <c r="L2697" t="inlineStr">
        <is>
          <t>World Bank WGI: Regulatory Quality (inverted as friction proxy)</t>
        </is>
      </c>
      <c r="M2697" t="inlineStr">
        <is>
          <t>2023-12-31</t>
        </is>
      </c>
      <c r="N2697" t="inlineStr">
        <is>
          <t>auto_ingest=world_bank_business_friction; indicator=RQ.EST; raw_rq=0.124717451632023; friction=2.38; year=2023; country_proxy=Rwanda</t>
        </is>
      </c>
    </row>
    <row r="2698">
      <c r="A2698" t="inlineStr">
        <is>
          <t>rw-kigali</t>
        </is>
      </c>
      <c r="B2698" t="inlineStr">
        <is>
          <t>Kigali</t>
        </is>
      </c>
      <c r="C2698" t="inlineStr">
        <is>
          <t>Rwanda</t>
        </is>
      </c>
      <c r="D2698" t="inlineStr">
        <is>
          <t>Africa</t>
        </is>
      </c>
      <c r="E2698" t="inlineStr">
        <is>
          <t>visitor_flow_context_raw</t>
        </is>
      </c>
      <c r="F2698" t="inlineStr">
        <is>
          <t>Visitor flow context raw</t>
        </is>
      </c>
      <c r="G2698" t="inlineStr">
        <is>
          <t>creative</t>
        </is>
      </c>
      <c r="H2698" t="inlineStr">
        <is>
          <t>no</t>
        </is>
      </c>
      <c r="I2698" t="inlineStr"/>
      <c r="J2698" t="inlineStr"/>
      <c r="K2698" t="inlineStr"/>
      <c r="L2698" t="inlineStr"/>
      <c r="M2698" t="inlineStr"/>
      <c r="N2698" t="inlineStr"/>
    </row>
    <row r="2699">
      <c r="A2699" t="inlineStr">
        <is>
          <t>ma-casablanca</t>
        </is>
      </c>
      <c r="B2699" t="inlineStr">
        <is>
          <t>Casablanca</t>
        </is>
      </c>
      <c r="C2699" t="inlineStr">
        <is>
          <t>Morocco</t>
        </is>
      </c>
      <c r="D2699" t="inlineStr">
        <is>
          <t>Africa</t>
        </is>
      </c>
      <c r="E2699" t="inlineStr">
        <is>
          <t>gross_income</t>
        </is>
      </c>
      <c r="F2699" t="inlineStr">
        <is>
          <t>Gross income</t>
        </is>
      </c>
      <c r="G2699" t="inlineStr">
        <is>
          <t>pressure</t>
        </is>
      </c>
      <c r="H2699" t="inlineStr">
        <is>
          <t>yes</t>
        </is>
      </c>
      <c r="I2699" t="inlineStr">
        <is>
          <t>855.0</t>
        </is>
      </c>
      <c r="J2699" t="inlineStr">
        <is>
          <t>world_bank_col_estimate</t>
        </is>
      </c>
      <c r="K2699" t="inlineStr">
        <is>
          <t>https://api.worldbank.org/v2/country/MAR/indicator/NY.GNP.PCAP.PP.CD?format=json&amp;mrv=10</t>
        </is>
      </c>
      <c r="L2699" t="inlineStr">
        <is>
          <t>World Bank WDI: GNI per capita PPP (monthly USD)</t>
        </is>
      </c>
      <c r="M2699" t="inlineStr">
        <is>
          <t>2024-12-31</t>
        </is>
      </c>
      <c r="N2699" t="inlineStr">
        <is>
          <t>auto_ingest=world_bank_col_estimate; gni_annual=10260.0; year=2024; country_proxy=Morocco; cohort=Africa</t>
        </is>
      </c>
    </row>
    <row r="2700">
      <c r="A2700" t="inlineStr">
        <is>
          <t>ma-casablanca</t>
        </is>
      </c>
      <c r="B2700" t="inlineStr">
        <is>
          <t>Casablanca</t>
        </is>
      </c>
      <c r="C2700" t="inlineStr">
        <is>
          <t>Morocco</t>
        </is>
      </c>
      <c r="D2700" t="inlineStr">
        <is>
          <t>Africa</t>
        </is>
      </c>
      <c r="E2700" t="inlineStr">
        <is>
          <t>di_ppp_raw</t>
        </is>
      </c>
      <c r="F2700" t="inlineStr">
        <is>
          <t>Disposable income PPP (Raw)</t>
        </is>
      </c>
      <c r="G2700" t="inlineStr">
        <is>
          <t>pressure</t>
        </is>
      </c>
      <c r="H2700" t="inlineStr">
        <is>
          <t>yes</t>
        </is>
      </c>
      <c r="I2700" t="inlineStr"/>
      <c r="J2700" t="inlineStr"/>
      <c r="K2700" t="inlineStr"/>
      <c r="L2700" t="inlineStr"/>
      <c r="M2700" t="inlineStr"/>
      <c r="N2700" t="inlineStr"/>
    </row>
    <row r="2701">
      <c r="A2701" t="inlineStr">
        <is>
          <t>ma-casablanca</t>
        </is>
      </c>
      <c r="B2701" t="inlineStr">
        <is>
          <t>Casablanca</t>
        </is>
      </c>
      <c r="C2701" t="inlineStr">
        <is>
          <t>Morocco</t>
        </is>
      </c>
      <c r="D2701" t="inlineStr">
        <is>
          <t>Africa</t>
        </is>
      </c>
      <c r="E2701" t="inlineStr">
        <is>
          <t>rent</t>
        </is>
      </c>
      <c r="F2701" t="inlineStr">
        <is>
          <t>Rent</t>
        </is>
      </c>
      <c r="G2701" t="inlineStr">
        <is>
          <t>pressure</t>
        </is>
      </c>
      <c r="H2701" t="inlineStr">
        <is>
          <t>yes</t>
        </is>
      </c>
      <c r="I2701" t="inlineStr">
        <is>
          <t>162.45</t>
        </is>
      </c>
      <c r="J2701" t="inlineStr">
        <is>
          <t>world_bank_col_estimate</t>
        </is>
      </c>
      <c r="K2701" t="inlineStr">
        <is>
          <t>https://api.worldbank.org/v2/country/MAR/indicator/NY.GNP.PCAP.PP.CD?format=json&amp;mrv=10</t>
        </is>
      </c>
      <c r="L2701" t="inlineStr">
        <is>
          <t>World Bank GNI + regional expenditure ratio estimate</t>
        </is>
      </c>
      <c r="M2701" t="inlineStr">
        <is>
          <t>2024-12-31</t>
        </is>
      </c>
      <c r="N2701" t="inlineStr">
        <is>
          <t>auto_ingest=world_bank_col_estimate; gni_annual=10260.0; year=2024; country_proxy=Morocco; cohort=Africa; city_cost_mult=0.95</t>
        </is>
      </c>
    </row>
    <row r="2702">
      <c r="A2702" t="inlineStr">
        <is>
          <t>ma-casablanca</t>
        </is>
      </c>
      <c r="B2702" t="inlineStr">
        <is>
          <t>Casablanca</t>
        </is>
      </c>
      <c r="C2702" t="inlineStr">
        <is>
          <t>Morocco</t>
        </is>
      </c>
      <c r="D2702" t="inlineStr">
        <is>
          <t>Africa</t>
        </is>
      </c>
      <c r="E2702" t="inlineStr">
        <is>
          <t>utilities</t>
        </is>
      </c>
      <c r="F2702" t="inlineStr">
        <is>
          <t>Utilities</t>
        </is>
      </c>
      <c r="G2702" t="inlineStr">
        <is>
          <t>pressure</t>
        </is>
      </c>
      <c r="H2702" t="inlineStr">
        <is>
          <t>yes</t>
        </is>
      </c>
      <c r="I2702" t="inlineStr">
        <is>
          <t>48.73</t>
        </is>
      </c>
      <c r="J2702" t="inlineStr">
        <is>
          <t>world_bank_col_estimate</t>
        </is>
      </c>
      <c r="K2702" t="inlineStr">
        <is>
          <t>https://api.worldbank.org/v2/country/MAR/indicator/NY.GNP.PCAP.PP.CD?format=json&amp;mrv=10</t>
        </is>
      </c>
      <c r="L2702" t="inlineStr">
        <is>
          <t>World Bank GNI + regional expenditure ratio estimate</t>
        </is>
      </c>
      <c r="M2702" t="inlineStr">
        <is>
          <t>2024-12-31</t>
        </is>
      </c>
      <c r="N2702" t="inlineStr">
        <is>
          <t>auto_ingest=world_bank_col_estimate; gni_annual=10260.0; year=2024; country_proxy=Morocco; cohort=Africa; city_cost_mult=0.95</t>
        </is>
      </c>
    </row>
    <row r="2703">
      <c r="A2703" t="inlineStr">
        <is>
          <t>ma-casablanca</t>
        </is>
      </c>
      <c r="B2703" t="inlineStr">
        <is>
          <t>Casablanca</t>
        </is>
      </c>
      <c r="C2703" t="inlineStr">
        <is>
          <t>Morocco</t>
        </is>
      </c>
      <c r="D2703" t="inlineStr">
        <is>
          <t>Africa</t>
        </is>
      </c>
      <c r="E2703" t="inlineStr">
        <is>
          <t>transit_cost</t>
        </is>
      </c>
      <c r="F2703" t="inlineStr">
        <is>
          <t>Transit cost</t>
        </is>
      </c>
      <c r="G2703" t="inlineStr">
        <is>
          <t>pressure</t>
        </is>
      </c>
      <c r="H2703" t="inlineStr">
        <is>
          <t>yes</t>
        </is>
      </c>
      <c r="I2703" t="inlineStr">
        <is>
          <t>32.49</t>
        </is>
      </c>
      <c r="J2703" t="inlineStr">
        <is>
          <t>world_bank_col_estimate</t>
        </is>
      </c>
      <c r="K2703" t="inlineStr">
        <is>
          <t>https://api.worldbank.org/v2/country/MAR/indicator/NY.GNP.PCAP.PP.CD?format=json&amp;mrv=10</t>
        </is>
      </c>
      <c r="L2703" t="inlineStr">
        <is>
          <t>World Bank GNI + regional expenditure ratio estimate</t>
        </is>
      </c>
      <c r="M2703" t="inlineStr">
        <is>
          <t>2024-12-31</t>
        </is>
      </c>
      <c r="N2703" t="inlineStr">
        <is>
          <t>auto_ingest=world_bank_col_estimate; gni_annual=10260.0; year=2024; country_proxy=Morocco; cohort=Africa; city_cost_mult=0.95</t>
        </is>
      </c>
    </row>
    <row r="2704">
      <c r="A2704" t="inlineStr">
        <is>
          <t>ma-casablanca</t>
        </is>
      </c>
      <c r="B2704" t="inlineStr">
        <is>
          <t>Casablanca</t>
        </is>
      </c>
      <c r="C2704" t="inlineStr">
        <is>
          <t>Morocco</t>
        </is>
      </c>
      <c r="D2704" t="inlineStr">
        <is>
          <t>Africa</t>
        </is>
      </c>
      <c r="E2704" t="inlineStr">
        <is>
          <t>internet_cost</t>
        </is>
      </c>
      <c r="F2704" t="inlineStr">
        <is>
          <t>Internet cost</t>
        </is>
      </c>
      <c r="G2704" t="inlineStr">
        <is>
          <t>pressure</t>
        </is>
      </c>
      <c r="H2704" t="inlineStr">
        <is>
          <t>yes</t>
        </is>
      </c>
      <c r="I2704" t="inlineStr">
        <is>
          <t>12.18</t>
        </is>
      </c>
      <c r="J2704" t="inlineStr">
        <is>
          <t>world_bank_col_estimate</t>
        </is>
      </c>
      <c r="K2704" t="inlineStr">
        <is>
          <t>https://api.worldbank.org/v2/country/MAR/indicator/NY.GNP.PCAP.PP.CD?format=json&amp;mrv=10</t>
        </is>
      </c>
      <c r="L2704" t="inlineStr">
        <is>
          <t>World Bank GNI + regional expenditure ratio estimate</t>
        </is>
      </c>
      <c r="M2704" t="inlineStr">
        <is>
          <t>2024-12-31</t>
        </is>
      </c>
      <c r="N2704" t="inlineStr">
        <is>
          <t>auto_ingest=world_bank_col_estimate; gni_annual=10260.0; year=2024; country_proxy=Morocco; cohort=Africa; city_cost_mult=0.95</t>
        </is>
      </c>
    </row>
    <row r="2705">
      <c r="A2705" t="inlineStr">
        <is>
          <t>ma-casablanca</t>
        </is>
      </c>
      <c r="B2705" t="inlineStr">
        <is>
          <t>Casablanca</t>
        </is>
      </c>
      <c r="C2705" t="inlineStr">
        <is>
          <t>Morocco</t>
        </is>
      </c>
      <c r="D2705" t="inlineStr">
        <is>
          <t>Africa</t>
        </is>
      </c>
      <c r="E2705" t="inlineStr">
        <is>
          <t>food_cost</t>
        </is>
      </c>
      <c r="F2705" t="inlineStr">
        <is>
          <t>Food cost</t>
        </is>
      </c>
      <c r="G2705" t="inlineStr">
        <is>
          <t>pressure</t>
        </is>
      </c>
      <c r="H2705" t="inlineStr">
        <is>
          <t>yes</t>
        </is>
      </c>
      <c r="I2705" t="inlineStr">
        <is>
          <t>203.06</t>
        </is>
      </c>
      <c r="J2705" t="inlineStr">
        <is>
          <t>world_bank_col_estimate</t>
        </is>
      </c>
      <c r="K2705" t="inlineStr">
        <is>
          <t>https://api.worldbank.org/v2/country/MAR/indicator/NY.GNP.PCAP.PP.CD?format=json&amp;mrv=10</t>
        </is>
      </c>
      <c r="L2705" t="inlineStr">
        <is>
          <t>World Bank GNI + regional expenditure ratio estimate</t>
        </is>
      </c>
      <c r="M2705" t="inlineStr">
        <is>
          <t>2024-12-31</t>
        </is>
      </c>
      <c r="N2705" t="inlineStr">
        <is>
          <t>auto_ingest=world_bank_col_estimate; gni_annual=10260.0; year=2024; country_proxy=Morocco; cohort=Africa; city_cost_mult=0.95</t>
        </is>
      </c>
    </row>
    <row r="2706">
      <c r="A2706" t="inlineStr">
        <is>
          <t>ma-casablanca</t>
        </is>
      </c>
      <c r="B2706" t="inlineStr">
        <is>
          <t>Casablanca</t>
        </is>
      </c>
      <c r="C2706" t="inlineStr">
        <is>
          <t>Morocco</t>
        </is>
      </c>
      <c r="D2706" t="inlineStr">
        <is>
          <t>Africa</t>
        </is>
      </c>
      <c r="E2706" t="inlineStr">
        <is>
          <t>housing_burden_raw</t>
        </is>
      </c>
      <c r="F2706" t="inlineStr">
        <is>
          <t>Housing burden raw</t>
        </is>
      </c>
      <c r="G2706" t="inlineStr">
        <is>
          <t>pressure</t>
        </is>
      </c>
      <c r="H2706" t="inlineStr">
        <is>
          <t>yes</t>
        </is>
      </c>
      <c r="I2706" t="inlineStr">
        <is>
          <t>19.0</t>
        </is>
      </c>
      <c r="J2706" t="inlineStr">
        <is>
          <t>derived</t>
        </is>
      </c>
      <c r="K2706" t="inlineStr">
        <is>
          <t>https://data.worldbank.org/indicator/NY.GNP.PCAP.PP.CD</t>
        </is>
      </c>
      <c r="L2706" t="inlineStr">
        <is>
          <t>Computed from city_inputs + country_context</t>
        </is>
      </c>
      <c r="M2706" t="inlineStr">
        <is>
          <t>2024-01-01</t>
        </is>
      </c>
      <c r="N2706" t="inlineStr">
        <is>
          <t>derived=rent/gross_income*100</t>
        </is>
      </c>
    </row>
    <row r="2707">
      <c r="A2707" t="inlineStr">
        <is>
          <t>ma-casablanca</t>
        </is>
      </c>
      <c r="B2707" t="inlineStr">
        <is>
          <t>Casablanca</t>
        </is>
      </c>
      <c r="C2707" t="inlineStr">
        <is>
          <t>Morocco</t>
        </is>
      </c>
      <c r="D2707" t="inlineStr">
        <is>
          <t>Africa</t>
        </is>
      </c>
      <c r="E2707" t="inlineStr">
        <is>
          <t>household_debt_burden_raw</t>
        </is>
      </c>
      <c r="F2707" t="inlineStr">
        <is>
          <t>Household debt burden raw</t>
        </is>
      </c>
      <c r="G2707" t="inlineStr">
        <is>
          <t>pressure</t>
        </is>
      </c>
      <c r="H2707" t="inlineStr">
        <is>
          <t>yes</t>
        </is>
      </c>
      <c r="I2707" t="inlineStr">
        <is>
          <t>54.7741</t>
        </is>
      </c>
      <c r="J2707" t="inlineStr">
        <is>
          <t>derived</t>
        </is>
      </c>
      <c r="K2707" t="inlineStr">
        <is>
          <t>https://data.worldbank.org/indicator/NY.GNP.PCAP.PP.CD</t>
        </is>
      </c>
      <c r="L2707" t="inlineStr">
        <is>
          <t>Computed from city_inputs + country_context</t>
        </is>
      </c>
      <c r="M2707" t="inlineStr">
        <is>
          <t>2024-01-01</t>
        </is>
      </c>
      <c r="N2707" t="inlineStr">
        <is>
          <t>derived=country_context.household_debt_proxy; country=Morocco</t>
        </is>
      </c>
    </row>
    <row r="2708">
      <c r="A2708" t="inlineStr">
        <is>
          <t>ma-casablanca</t>
        </is>
      </c>
      <c r="B2708" t="inlineStr">
        <is>
          <t>Casablanca</t>
        </is>
      </c>
      <c r="C2708" t="inlineStr">
        <is>
          <t>Morocco</t>
        </is>
      </c>
      <c r="D2708" t="inlineStr">
        <is>
          <t>Africa</t>
        </is>
      </c>
      <c r="E2708" t="inlineStr">
        <is>
          <t>working_time_pressure_raw</t>
        </is>
      </c>
      <c r="F2708" t="inlineStr">
        <is>
          <t>Working time pressure raw</t>
        </is>
      </c>
      <c r="G2708" t="inlineStr">
        <is>
          <t>pressure</t>
        </is>
      </c>
      <c r="H2708" t="inlineStr">
        <is>
          <t>yes</t>
        </is>
      </c>
      <c r="I2708" t="inlineStr">
        <is>
          <t>44.0</t>
        </is>
      </c>
      <c r="J2708" t="inlineStr">
        <is>
          <t>ilo_ilostat</t>
        </is>
      </c>
      <c r="K2708" t="inlineStr">
        <is>
          <t>https://ilostat.ilo.org/data/indicator/?id=HOW_TEMP_SEX_ECO_NB_A&amp;ref_area=MAR</t>
        </is>
      </c>
      <c r="L2708" t="inlineStr">
        <is>
          <t>ILO ILOSTAT: Mean weekly hours actually worked per employed person</t>
        </is>
      </c>
      <c r="M2708" t="inlineStr">
        <is>
          <t>2022-12-31</t>
        </is>
      </c>
      <c r="N2708" t="inlineStr">
        <is>
          <t>auto_ingest=ilo_working_hours; indicator=HOW_TEMP_SEX_ECO_NB_A; year=2022; hours=44.0; country_proxy=Morocco</t>
        </is>
      </c>
    </row>
    <row r="2709">
      <c r="A2709" t="inlineStr">
        <is>
          <t>ma-casablanca</t>
        </is>
      </c>
      <c r="B2709" t="inlineStr">
        <is>
          <t>Casablanca</t>
        </is>
      </c>
      <c r="C2709" t="inlineStr">
        <is>
          <t>Morocco</t>
        </is>
      </c>
      <c r="D2709" t="inlineStr">
        <is>
          <t>Africa</t>
        </is>
      </c>
      <c r="E2709" t="inlineStr">
        <is>
          <t>suicide_mental_strain_raw</t>
        </is>
      </c>
      <c r="F2709" t="inlineStr">
        <is>
          <t>Suicide or mental strain raw</t>
        </is>
      </c>
      <c r="G2709" t="inlineStr">
        <is>
          <t>pressure</t>
        </is>
      </c>
      <c r="H2709" t="inlineStr">
        <is>
          <t>yes</t>
        </is>
      </c>
      <c r="I2709" t="inlineStr">
        <is>
          <t>2.91</t>
        </is>
      </c>
      <c r="J2709" t="inlineStr">
        <is>
          <t>who_gho</t>
        </is>
      </c>
      <c r="K2709" t="inlineStr">
        <is>
          <t>https://www.who.int/data/gho/data/indicators/indicator-details/GHO/SDGSUICIDE</t>
        </is>
      </c>
      <c r="L2709" t="inlineStr">
        <is>
          <t>WHO GHO: Age-standardized suicide rate (per 100,000 population)</t>
        </is>
      </c>
      <c r="M2709" t="inlineStr">
        <is>
          <t>2021-12-31</t>
        </is>
      </c>
      <c r="N2709" t="inlineStr">
        <is>
          <t>auto_ingest=who_gho; indicator=SDGSUICIDE; year=2021; country_proxy=Morocco</t>
        </is>
      </c>
    </row>
    <row r="2710">
      <c r="A2710" t="inlineStr">
        <is>
          <t>ma-casablanca</t>
        </is>
      </c>
      <c r="B2710" t="inlineStr">
        <is>
          <t>Casablanca</t>
        </is>
      </c>
      <c r="C2710" t="inlineStr">
        <is>
          <t>Morocco</t>
        </is>
      </c>
      <c r="D2710" t="inlineStr">
        <is>
          <t>Africa</t>
        </is>
      </c>
      <c r="E2710" t="inlineStr">
        <is>
          <t>personal_safety_raw</t>
        </is>
      </c>
      <c r="F2710" t="inlineStr">
        <is>
          <t>Personal safety raw</t>
        </is>
      </c>
      <c r="G2710" t="inlineStr">
        <is>
          <t>viability</t>
        </is>
      </c>
      <c r="H2710" t="inlineStr">
        <is>
          <t>yes</t>
        </is>
      </c>
      <c r="I2710" t="inlineStr">
        <is>
          <t>1.71</t>
        </is>
      </c>
      <c r="J2710" t="inlineStr">
        <is>
          <t>world_bank</t>
        </is>
      </c>
      <c r="K2710" t="inlineStr">
        <is>
          <t>https://api.worldbank.org/v2/country/MAR/indicator/VC.IHR.PSRC.P5?format=json&amp;mrv=10</t>
        </is>
      </c>
      <c r="L2710" t="inlineStr">
        <is>
          <t>UNODC via World Bank WDI: Intentional homicides (per 100,000 people)</t>
        </is>
      </c>
      <c r="M2710" t="inlineStr">
        <is>
          <t>2023-12-31</t>
        </is>
      </c>
      <c r="N2710" t="inlineStr">
        <is>
          <t>auto_ingest=unodc_safety; indicator=VC.IHR.PSRC.P5; year=2023; country_proxy=Morocco</t>
        </is>
      </c>
    </row>
    <row r="2711">
      <c r="A2711" t="inlineStr">
        <is>
          <t>ma-casablanca</t>
        </is>
      </c>
      <c r="B2711" t="inlineStr">
        <is>
          <t>Casablanca</t>
        </is>
      </c>
      <c r="C2711" t="inlineStr">
        <is>
          <t>Morocco</t>
        </is>
      </c>
      <c r="D2711" t="inlineStr">
        <is>
          <t>Africa</t>
        </is>
      </c>
      <c r="E2711" t="inlineStr">
        <is>
          <t>transit_access_commute_raw</t>
        </is>
      </c>
      <c r="F2711" t="inlineStr">
        <is>
          <t>Transit access and commute raw</t>
        </is>
      </c>
      <c r="G2711" t="inlineStr">
        <is>
          <t>viability</t>
        </is>
      </c>
      <c r="H2711" t="inlineStr">
        <is>
          <t>yes</t>
        </is>
      </c>
      <c r="I2711" t="inlineStr"/>
      <c r="J2711" t="inlineStr"/>
      <c r="K2711" t="inlineStr"/>
      <c r="L2711" t="inlineStr"/>
      <c r="M2711" t="inlineStr"/>
      <c r="N2711" t="inlineStr"/>
    </row>
    <row r="2712">
      <c r="A2712" t="inlineStr">
        <is>
          <t>ma-casablanca</t>
        </is>
      </c>
      <c r="B2712" t="inlineStr">
        <is>
          <t>Casablanca</t>
        </is>
      </c>
      <c r="C2712" t="inlineStr">
        <is>
          <t>Morocco</t>
        </is>
      </c>
      <c r="D2712" t="inlineStr">
        <is>
          <t>Africa</t>
        </is>
      </c>
      <c r="E2712" t="inlineStr">
        <is>
          <t>clean_air_raw</t>
        </is>
      </c>
      <c r="F2712" t="inlineStr">
        <is>
          <t>Clean air raw</t>
        </is>
      </c>
      <c r="G2712" t="inlineStr">
        <is>
          <t>viability</t>
        </is>
      </c>
      <c r="H2712" t="inlineStr">
        <is>
          <t>yes</t>
        </is>
      </c>
      <c r="I2712" t="inlineStr"/>
      <c r="J2712" t="inlineStr"/>
      <c r="K2712" t="inlineStr"/>
      <c r="L2712" t="inlineStr"/>
      <c r="M2712" t="inlineStr"/>
      <c r="N2712" t="inlineStr"/>
    </row>
    <row r="2713">
      <c r="A2713" t="inlineStr">
        <is>
          <t>ma-casablanca</t>
        </is>
      </c>
      <c r="B2713" t="inlineStr">
        <is>
          <t>Casablanca</t>
        </is>
      </c>
      <c r="C2713" t="inlineStr">
        <is>
          <t>Morocco</t>
        </is>
      </c>
      <c r="D2713" t="inlineStr">
        <is>
          <t>Africa</t>
        </is>
      </c>
      <c r="E2713" t="inlineStr">
        <is>
          <t>water_sanitation_utility_raw</t>
        </is>
      </c>
      <c r="F2713" t="inlineStr">
        <is>
          <t>Water, sanitation, and utility raw</t>
        </is>
      </c>
      <c r="G2713" t="inlineStr">
        <is>
          <t>viability</t>
        </is>
      </c>
      <c r="H2713" t="inlineStr">
        <is>
          <t>yes</t>
        </is>
      </c>
      <c r="I2713" t="inlineStr">
        <is>
          <t>79.98</t>
        </is>
      </c>
      <c r="J2713" t="inlineStr">
        <is>
          <t>world_bank</t>
        </is>
      </c>
      <c r="K2713" t="inlineStr">
        <is>
          <t>https://api.worldbank.org/v2/country/MAR/indicator/SH.H2O.SMDW.ZS?format=json&amp;mrv=10</t>
        </is>
      </c>
      <c r="L2713" t="inlineStr">
        <is>
          <t>World Bank WDI: People using safely managed drinking water services (% of population)</t>
        </is>
      </c>
      <c r="M2713" t="inlineStr">
        <is>
          <t>2024-12-31</t>
        </is>
      </c>
      <c r="N2713" t="inlineStr">
        <is>
          <t>auto_ingest=world_bank_proxy; indicator=SH.H2O.SMDW.ZS; year=2024; country_proxy=Morocco</t>
        </is>
      </c>
    </row>
    <row r="2714">
      <c r="A2714" t="inlineStr">
        <is>
          <t>ma-casablanca</t>
        </is>
      </c>
      <c r="B2714" t="inlineStr">
        <is>
          <t>Casablanca</t>
        </is>
      </c>
      <c r="C2714" t="inlineStr">
        <is>
          <t>Morocco</t>
        </is>
      </c>
      <c r="D2714" t="inlineStr">
        <is>
          <t>Africa</t>
        </is>
      </c>
      <c r="E2714" t="inlineStr">
        <is>
          <t>digital_infrastructure_raw</t>
        </is>
      </c>
      <c r="F2714" t="inlineStr">
        <is>
          <t>Digital infrastructure raw</t>
        </is>
      </c>
      <c r="G2714" t="inlineStr">
        <is>
          <t>viability</t>
        </is>
      </c>
      <c r="H2714" t="inlineStr">
        <is>
          <t>yes</t>
        </is>
      </c>
      <c r="I2714" t="inlineStr">
        <is>
          <t>7.02</t>
        </is>
      </c>
      <c r="J2714" t="inlineStr">
        <is>
          <t>world_bank</t>
        </is>
      </c>
      <c r="K2714" t="inlineStr">
        <is>
          <t>https://api.worldbank.org/v2/country/MAR/indicator/IT.NET.BBND.P2?format=json&amp;mrv=10</t>
        </is>
      </c>
      <c r="L2714" t="inlineStr">
        <is>
          <t>World Bank WDI: Fixed broadband subscriptions (per 100 people)</t>
        </is>
      </c>
      <c r="M2714" t="inlineStr">
        <is>
          <t>2023-12-31</t>
        </is>
      </c>
      <c r="N2714" t="inlineStr">
        <is>
          <t>auto_ingest=world_bank_proxy; indicator=IT.NET.BBND.P2; year=2023; country_proxy=Morocco</t>
        </is>
      </c>
    </row>
    <row r="2715">
      <c r="A2715" t="inlineStr">
        <is>
          <t>ma-casablanca</t>
        </is>
      </c>
      <c r="B2715" t="inlineStr">
        <is>
          <t>Casablanca</t>
        </is>
      </c>
      <c r="C2715" t="inlineStr">
        <is>
          <t>Morocco</t>
        </is>
      </c>
      <c r="D2715" t="inlineStr">
        <is>
          <t>Africa</t>
        </is>
      </c>
      <c r="E2715" t="inlineStr">
        <is>
          <t>climate_sunlight_livability_raw</t>
        </is>
      </c>
      <c r="F2715" t="inlineStr">
        <is>
          <t>Climate and sunlight livability raw</t>
        </is>
      </c>
      <c r="G2715" t="inlineStr">
        <is>
          <t>viability</t>
        </is>
      </c>
      <c r="H2715" t="inlineStr">
        <is>
          <t>yes</t>
        </is>
      </c>
      <c r="I2715" t="inlineStr">
        <is>
          <t>68</t>
        </is>
      </c>
      <c r="J2715" t="inlineStr">
        <is>
          <t>wmo_natl_met</t>
        </is>
      </c>
      <c r="K2715" t="inlineStr">
        <is>
          <t>https://worldweather.wmo.int</t>
        </is>
      </c>
      <c r="L2715" t="inlineStr">
        <is>
          <t>WMO/National Met: Climate livability composite</t>
        </is>
      </c>
      <c r="M2715" t="inlineStr">
        <is>
          <t>2024-12-31</t>
        </is>
      </c>
      <c r="N2715" t="inlineStr">
        <is>
          <t>auto_seed=climate_composite; 2900 sun hrs, 18C mean, Atlantic</t>
        </is>
      </c>
    </row>
    <row r="2716">
      <c r="A2716" t="inlineStr">
        <is>
          <t>ma-casablanca</t>
        </is>
      </c>
      <c r="B2716" t="inlineStr">
        <is>
          <t>Casablanca</t>
        </is>
      </c>
      <c r="C2716" t="inlineStr">
        <is>
          <t>Morocco</t>
        </is>
      </c>
      <c r="D2716" t="inlineStr">
        <is>
          <t>Africa</t>
        </is>
      </c>
      <c r="E2716" t="inlineStr">
        <is>
          <t>healthcare_quality_raw</t>
        </is>
      </c>
      <c r="F2716" t="inlineStr">
        <is>
          <t>Healthcare quality raw</t>
        </is>
      </c>
      <c r="G2716" t="inlineStr">
        <is>
          <t>capability</t>
        </is>
      </c>
      <c r="H2716" t="inlineStr">
        <is>
          <t>yes</t>
        </is>
      </c>
      <c r="I2716" t="inlineStr">
        <is>
          <t>65.0</t>
        </is>
      </c>
      <c r="J2716" t="inlineStr">
        <is>
          <t>who_gho</t>
        </is>
      </c>
      <c r="K2716" t="inlineStr">
        <is>
          <t>https://www.who.int/data/gho/data/indicators/indicator-details/GHO/UHC_INDEX_REPORTED</t>
        </is>
      </c>
      <c r="L2716" t="inlineStr">
        <is>
          <t>WHO GHO: UHC Service Coverage Index</t>
        </is>
      </c>
      <c r="M2716" t="inlineStr">
        <is>
          <t>2023-12-31</t>
        </is>
      </c>
      <c r="N2716" t="inlineStr">
        <is>
          <t>auto_ingest=who_gho; indicator=UHC_INDEX_REPORTED; year=2023; country_proxy=Morocco</t>
        </is>
      </c>
    </row>
    <row r="2717">
      <c r="A2717" t="inlineStr">
        <is>
          <t>ma-casablanca</t>
        </is>
      </c>
      <c r="B2717" t="inlineStr">
        <is>
          <t>Casablanca</t>
        </is>
      </c>
      <c r="C2717" t="inlineStr">
        <is>
          <t>Morocco</t>
        </is>
      </c>
      <c r="D2717" t="inlineStr">
        <is>
          <t>Africa</t>
        </is>
      </c>
      <c r="E2717" t="inlineStr">
        <is>
          <t>education_quality_raw</t>
        </is>
      </c>
      <c r="F2717" t="inlineStr">
        <is>
          <t>Education quality raw</t>
        </is>
      </c>
      <c r="G2717" t="inlineStr">
        <is>
          <t>capability</t>
        </is>
      </c>
      <c r="H2717" t="inlineStr">
        <is>
          <t>yes</t>
        </is>
      </c>
      <c r="I2717" t="inlineStr">
        <is>
          <t>48.18</t>
        </is>
      </c>
      <c r="J2717" t="inlineStr">
        <is>
          <t>world_bank</t>
        </is>
      </c>
      <c r="K2717" t="inlineStr">
        <is>
          <t>https://api.worldbank.org/v2/country/MAR/indicator/SE.TER.ENRR?format=json&amp;mrv=10</t>
        </is>
      </c>
      <c r="L2717" t="inlineStr">
        <is>
          <t>World Bank WDI: School enrollment, tertiary (% gross)</t>
        </is>
      </c>
      <c r="M2717" t="inlineStr">
        <is>
          <t>2024-12-31</t>
        </is>
      </c>
      <c r="N2717" t="inlineStr">
        <is>
          <t>auto_ingest=world_bank_proxy; indicator=SE.TER.ENRR; year=2024; country_proxy=Morocco</t>
        </is>
      </c>
    </row>
    <row r="2718">
      <c r="A2718" t="inlineStr">
        <is>
          <t>ma-casablanca</t>
        </is>
      </c>
      <c r="B2718" t="inlineStr">
        <is>
          <t>Casablanca</t>
        </is>
      </c>
      <c r="C2718" t="inlineStr">
        <is>
          <t>Morocco</t>
        </is>
      </c>
      <c r="D2718" t="inlineStr">
        <is>
          <t>Africa</t>
        </is>
      </c>
      <c r="E2718" t="inlineStr">
        <is>
          <t>equal_opportunity_raw</t>
        </is>
      </c>
      <c r="F2718" t="inlineStr">
        <is>
          <t>Equal opportunity raw</t>
        </is>
      </c>
      <c r="G2718" t="inlineStr">
        <is>
          <t>capability</t>
        </is>
      </c>
      <c r="H2718" t="inlineStr">
        <is>
          <t>yes</t>
        </is>
      </c>
      <c r="I2718" t="inlineStr"/>
      <c r="J2718" t="inlineStr"/>
      <c r="K2718" t="inlineStr"/>
      <c r="L2718" t="inlineStr"/>
      <c r="M2718" t="inlineStr"/>
      <c r="N2718" t="inlineStr"/>
    </row>
    <row r="2719">
      <c r="A2719" t="inlineStr">
        <is>
          <t>ma-casablanca</t>
        </is>
      </c>
      <c r="B2719" t="inlineStr">
        <is>
          <t>Casablanca</t>
        </is>
      </c>
      <c r="C2719" t="inlineStr">
        <is>
          <t>Morocco</t>
        </is>
      </c>
      <c r="D2719" t="inlineStr">
        <is>
          <t>Africa</t>
        </is>
      </c>
      <c r="E2719" t="inlineStr">
        <is>
          <t>hospitality_belonging_raw</t>
        </is>
      </c>
      <c r="F2719" t="inlineStr">
        <is>
          <t>Hospitality and belonging raw</t>
        </is>
      </c>
      <c r="G2719" t="inlineStr">
        <is>
          <t>community</t>
        </is>
      </c>
      <c r="H2719" t="inlineStr">
        <is>
          <t>yes</t>
        </is>
      </c>
      <c r="I2719" t="inlineStr">
        <is>
          <t>48.52</t>
        </is>
      </c>
      <c r="J2719" t="inlineStr">
        <is>
          <t>world_bank</t>
        </is>
      </c>
      <c r="K2719" t="inlineStr">
        <is>
          <t>https://api.worldbank.org/v2/country/MAR/indicator/SM.POP.NETM?format=json&amp;mrv=10</t>
        </is>
      </c>
      <c r="L2719" t="inlineStr">
        <is>
          <t>World Bank WDI: Net migration (proxy for hospitality/belonging — positive = welcoming)</t>
        </is>
      </c>
      <c r="M2719" t="inlineStr">
        <is>
          <t>2025-12-31</t>
        </is>
      </c>
      <c r="N2719" t="inlineStr">
        <is>
          <t>auto_ingest=world_bank_proxy; proxy=net_migration_hospitality; indicator=SM.POP.NETM; year=2025; country_proxy=Morocco</t>
        </is>
      </c>
    </row>
    <row r="2720">
      <c r="A2720" t="inlineStr">
        <is>
          <t>ma-casablanca</t>
        </is>
      </c>
      <c r="B2720" t="inlineStr">
        <is>
          <t>Casablanca</t>
        </is>
      </c>
      <c r="C2720" t="inlineStr">
        <is>
          <t>Morocco</t>
        </is>
      </c>
      <c r="D2720" t="inlineStr">
        <is>
          <t>Africa</t>
        </is>
      </c>
      <c r="E2720" t="inlineStr">
        <is>
          <t>tolerance_pluralism_raw</t>
        </is>
      </c>
      <c r="F2720" t="inlineStr">
        <is>
          <t>Tolerance and pluralism raw</t>
        </is>
      </c>
      <c r="G2720" t="inlineStr">
        <is>
          <t>community</t>
        </is>
      </c>
      <c r="H2720" t="inlineStr">
        <is>
          <t>yes</t>
        </is>
      </c>
      <c r="I2720" t="inlineStr">
        <is>
          <t>24.3</t>
        </is>
      </c>
      <c r="J2720" t="inlineStr">
        <is>
          <t>world_bank</t>
        </is>
      </c>
      <c r="K2720" t="inlineStr">
        <is>
          <t>https://api.worldbank.org/v2/country/MAR/indicator/SG.GEN.PARL.ZS?format=json&amp;mrv=10</t>
        </is>
      </c>
      <c r="L2720" t="inlineStr">
        <is>
          <t>World Bank WDI: Proportion of seats held by women in national parliaments (%)</t>
        </is>
      </c>
      <c r="M2720" t="inlineStr">
        <is>
          <t>2024-12-31</t>
        </is>
      </c>
      <c r="N2720" t="inlineStr">
        <is>
          <t>auto_ingest=world_bank_proxy; proxy=gender_parity_parliament; indicator=SG.GEN.PARL.ZS; year=2024; country_proxy=Morocco</t>
        </is>
      </c>
    </row>
    <row r="2721">
      <c r="A2721" t="inlineStr">
        <is>
          <t>ma-casablanca</t>
        </is>
      </c>
      <c r="B2721" t="inlineStr">
        <is>
          <t>Casablanca</t>
        </is>
      </c>
      <c r="C2721" t="inlineStr">
        <is>
          <t>Morocco</t>
        </is>
      </c>
      <c r="D2721" t="inlineStr">
        <is>
          <t>Africa</t>
        </is>
      </c>
      <c r="E2721" t="inlineStr">
        <is>
          <t>cultural_public_life_raw</t>
        </is>
      </c>
      <c r="F2721" t="inlineStr">
        <is>
          <t>Cultural public life raw</t>
        </is>
      </c>
      <c r="G2721" t="inlineStr">
        <is>
          <t>community</t>
        </is>
      </c>
      <c r="H2721" t="inlineStr">
        <is>
          <t>yes</t>
        </is>
      </c>
      <c r="I2721" t="inlineStr">
        <is>
          <t>73.58</t>
        </is>
      </c>
      <c r="J2721" t="inlineStr">
        <is>
          <t>world_bank</t>
        </is>
      </c>
      <c r="K2721" t="inlineStr">
        <is>
          <t>https://api.worldbank.org/v2/country/MAR/indicator/ST.INT.ARVL?format=json&amp;mrv=10</t>
        </is>
      </c>
      <c r="L2721" t="inlineStr">
        <is>
          <t>World Bank WDI: International tourism arrivals per 1 000 population</t>
        </is>
      </c>
      <c r="M2721" t="inlineStr">
        <is>
          <t>2020-12-31</t>
        </is>
      </c>
      <c r="N2721" t="inlineStr">
        <is>
          <t>auto_ingest=cultural_life_proxy; indicator=ST.INT.ARVL; norm=per_1000_pop; year=2020; country_proxy=Morocco</t>
        </is>
      </c>
    </row>
    <row r="2722">
      <c r="A2722" t="inlineStr">
        <is>
          <t>ma-casablanca</t>
        </is>
      </c>
      <c r="B2722" t="inlineStr">
        <is>
          <t>Casablanca</t>
        </is>
      </c>
      <c r="C2722" t="inlineStr">
        <is>
          <t>Morocco</t>
        </is>
      </c>
      <c r="D2722" t="inlineStr">
        <is>
          <t>Africa</t>
        </is>
      </c>
      <c r="E2722" t="inlineStr">
        <is>
          <t>birth_rate_optimism_raw</t>
        </is>
      </c>
      <c r="F2722" t="inlineStr">
        <is>
          <t>Birth rate and societal optimism raw</t>
        </is>
      </c>
      <c r="G2722" t="inlineStr">
        <is>
          <t>community</t>
        </is>
      </c>
      <c r="H2722" t="inlineStr">
        <is>
          <t>yes</t>
        </is>
      </c>
      <c r="I2722" t="inlineStr"/>
      <c r="J2722" t="inlineStr"/>
      <c r="K2722" t="inlineStr"/>
      <c r="L2722" t="inlineStr"/>
      <c r="M2722" t="inlineStr"/>
      <c r="N2722" t="inlineStr"/>
    </row>
    <row r="2723">
      <c r="A2723" t="inlineStr">
        <is>
          <t>ma-casablanca</t>
        </is>
      </c>
      <c r="B2723" t="inlineStr">
        <is>
          <t>Casablanca</t>
        </is>
      </c>
      <c r="C2723" t="inlineStr">
        <is>
          <t>Morocco</t>
        </is>
      </c>
      <c r="D2723" t="inlineStr">
        <is>
          <t>Africa</t>
        </is>
      </c>
      <c r="E2723" t="inlineStr">
        <is>
          <t>entrepreneurial_dynamism_raw</t>
        </is>
      </c>
      <c r="F2723" t="inlineStr">
        <is>
          <t>Entrepreneurial dynamism raw</t>
        </is>
      </c>
      <c r="G2723" t="inlineStr">
        <is>
          <t>creative</t>
        </is>
      </c>
      <c r="H2723" t="inlineStr">
        <is>
          <t>yes</t>
        </is>
      </c>
      <c r="I2723" t="inlineStr">
        <is>
          <t>2.57</t>
        </is>
      </c>
      <c r="J2723" t="inlineStr">
        <is>
          <t>world_bank</t>
        </is>
      </c>
      <c r="K2723" t="inlineStr">
        <is>
          <t>https://api.worldbank.org/v2/country/MAR/indicator/IC.BUS.NDNS.ZS?format=json&amp;mrv=10</t>
        </is>
      </c>
      <c r="L2723" t="inlineStr">
        <is>
          <t>World Bank WDI: New business density (new registrations per 1,000 people ages 15-64)</t>
        </is>
      </c>
      <c r="M2723" t="inlineStr">
        <is>
          <t>2022-12-31</t>
        </is>
      </c>
      <c r="N2723" t="inlineStr">
        <is>
          <t>auto_ingest=world_bank_creative_extended; indicator=IC.BUS.NDNS.ZS; year=2022; country_proxy=Morocco</t>
        </is>
      </c>
    </row>
    <row r="2724">
      <c r="A2724" t="inlineStr">
        <is>
          <t>ma-casablanca</t>
        </is>
      </c>
      <c r="B2724" t="inlineStr">
        <is>
          <t>Casablanca</t>
        </is>
      </c>
      <c r="C2724" t="inlineStr">
        <is>
          <t>Morocco</t>
        </is>
      </c>
      <c r="D2724" t="inlineStr">
        <is>
          <t>Africa</t>
        </is>
      </c>
      <c r="E2724" t="inlineStr">
        <is>
          <t>innovation_research_intensity_raw</t>
        </is>
      </c>
      <c r="F2724" t="inlineStr">
        <is>
          <t>Innovation and research raw</t>
        </is>
      </c>
      <c r="G2724" t="inlineStr">
        <is>
          <t>creative</t>
        </is>
      </c>
      <c r="H2724" t="inlineStr">
        <is>
          <t>yes</t>
        </is>
      </c>
      <c r="I2724" t="inlineStr">
        <is>
          <t>73.61</t>
        </is>
      </c>
      <c r="J2724" t="inlineStr">
        <is>
          <t>world_bank</t>
        </is>
      </c>
      <c r="K2724" t="inlineStr">
        <is>
          <t>https://api.worldbank.org/v2/country/MAR/indicator/IP.PAT.RESD?format=json&amp;mrv=10</t>
        </is>
      </c>
      <c r="L2724" t="inlineStr">
        <is>
          <t>World Bank WDI: Patent applications (residents + non-residents) per million population</t>
        </is>
      </c>
      <c r="M2724" t="inlineStr">
        <is>
          <t>2021-12-31</t>
        </is>
      </c>
      <c r="N2724" t="inlineStr">
        <is>
          <t>auto_ingest=wipo_patents_proxy; indicators=IP.PAT.RESD+IP.PAT.NRES; norm=per_million_pop; year=2021; country_proxy=Morocco</t>
        </is>
      </c>
    </row>
    <row r="2725">
      <c r="A2725" t="inlineStr">
        <is>
          <t>ma-casablanca</t>
        </is>
      </c>
      <c r="B2725" t="inlineStr">
        <is>
          <t>Casablanca</t>
        </is>
      </c>
      <c r="C2725" t="inlineStr">
        <is>
          <t>Morocco</t>
        </is>
      </c>
      <c r="D2725" t="inlineStr">
        <is>
          <t>Africa</t>
        </is>
      </c>
      <c r="E2725" t="inlineStr">
        <is>
          <t>investment_signal_raw</t>
        </is>
      </c>
      <c r="F2725" t="inlineStr">
        <is>
          <t>Investment signal raw</t>
        </is>
      </c>
      <c r="G2725" t="inlineStr">
        <is>
          <t>creative</t>
        </is>
      </c>
      <c r="H2725" t="inlineStr">
        <is>
          <t>yes</t>
        </is>
      </c>
      <c r="I2725" t="inlineStr">
        <is>
          <t>1.02</t>
        </is>
      </c>
      <c r="J2725" t="inlineStr">
        <is>
          <t>world_bank</t>
        </is>
      </c>
      <c r="K2725" t="inlineStr">
        <is>
          <t>https://api.worldbank.org/v2/country/MAR/indicator/BX.KLT.DINV.WD.GD.ZS?format=json&amp;mrv=10</t>
        </is>
      </c>
      <c r="L2725" t="inlineStr">
        <is>
          <t>World Bank WDI: Foreign direct investment, net inflows (% of GDP)</t>
        </is>
      </c>
      <c r="M2725" t="inlineStr">
        <is>
          <t>2024-12-31</t>
        </is>
      </c>
      <c r="N2725" t="inlineStr">
        <is>
          <t>auto_ingest=world_bank_creative_extended; indicator=BX.KLT.DINV.WD.GD.ZS; year=2024; country_proxy=Morocco</t>
        </is>
      </c>
    </row>
    <row r="2726">
      <c r="A2726" t="inlineStr">
        <is>
          <t>ma-casablanca</t>
        </is>
      </c>
      <c r="B2726" t="inlineStr">
        <is>
          <t>Casablanca</t>
        </is>
      </c>
      <c r="C2726" t="inlineStr">
        <is>
          <t>Morocco</t>
        </is>
      </c>
      <c r="D2726" t="inlineStr">
        <is>
          <t>Africa</t>
        </is>
      </c>
      <c r="E2726" t="inlineStr">
        <is>
          <t>administrative_investment_friction_raw</t>
        </is>
      </c>
      <c r="F2726" t="inlineStr">
        <is>
          <t>Administrative investment friction raw</t>
        </is>
      </c>
      <c r="G2726" t="inlineStr">
        <is>
          <t>creative</t>
        </is>
      </c>
      <c r="H2726" t="inlineStr">
        <is>
          <t>yes</t>
        </is>
      </c>
      <c r="I2726" t="inlineStr">
        <is>
          <t>2.56</t>
        </is>
      </c>
      <c r="J2726" t="inlineStr">
        <is>
          <t>world_bank</t>
        </is>
      </c>
      <c r="K2726" t="inlineStr">
        <is>
          <t>https://api.worldbank.org/v2/country/MAR/indicator/RQ.EST?format=json&amp;mrv=10</t>
        </is>
      </c>
      <c r="L2726" t="inlineStr">
        <is>
          <t>World Bank WGI: Regulatory Quality (inverted as friction proxy)</t>
        </is>
      </c>
      <c r="M2726" t="inlineStr">
        <is>
          <t>2023-12-31</t>
        </is>
      </c>
      <c r="N2726" t="inlineStr">
        <is>
          <t>auto_ingest=world_bank_business_friction; indicator=RQ.EST; raw_rq=-0.0642079934477806; friction=2.56; year=2023; country_proxy=Morocco</t>
        </is>
      </c>
    </row>
    <row r="2727">
      <c r="A2727" t="inlineStr">
        <is>
          <t>ma-casablanca</t>
        </is>
      </c>
      <c r="B2727" t="inlineStr">
        <is>
          <t>Casablanca</t>
        </is>
      </c>
      <c r="C2727" t="inlineStr">
        <is>
          <t>Morocco</t>
        </is>
      </c>
      <c r="D2727" t="inlineStr">
        <is>
          <t>Africa</t>
        </is>
      </c>
      <c r="E2727" t="inlineStr">
        <is>
          <t>visitor_flow_context_raw</t>
        </is>
      </c>
      <c r="F2727" t="inlineStr">
        <is>
          <t>Visitor flow context raw</t>
        </is>
      </c>
      <c r="G2727" t="inlineStr">
        <is>
          <t>creative</t>
        </is>
      </c>
      <c r="H2727" t="inlineStr">
        <is>
          <t>no</t>
        </is>
      </c>
      <c r="I2727" t="inlineStr"/>
      <c r="J2727" t="inlineStr"/>
      <c r="K2727" t="inlineStr"/>
      <c r="L2727" t="inlineStr"/>
      <c r="M2727" t="inlineStr"/>
      <c r="N2727" t="inlineStr"/>
    </row>
    <row r="2728">
      <c r="A2728" t="inlineStr">
        <is>
          <t>mu-port-louis</t>
        </is>
      </c>
      <c r="B2728" t="inlineStr">
        <is>
          <t>Port Louis</t>
        </is>
      </c>
      <c r="C2728" t="inlineStr">
        <is>
          <t>Mauritius</t>
        </is>
      </c>
      <c r="D2728" t="inlineStr">
        <is>
          <t>Africa</t>
        </is>
      </c>
      <c r="E2728" t="inlineStr">
        <is>
          <t>gross_income</t>
        </is>
      </c>
      <c r="F2728" t="inlineStr">
        <is>
          <t>Gross income</t>
        </is>
      </c>
      <c r="G2728" t="inlineStr">
        <is>
          <t>pressure</t>
        </is>
      </c>
      <c r="H2728" t="inlineStr">
        <is>
          <t>yes</t>
        </is>
      </c>
      <c r="I2728" t="inlineStr">
        <is>
          <t>2925.0</t>
        </is>
      </c>
      <c r="J2728" t="inlineStr">
        <is>
          <t>world_bank_col_estimate</t>
        </is>
      </c>
      <c r="K2728" t="inlineStr">
        <is>
          <t>https://api.worldbank.org/v2/country/MUS/indicator/NY.GNP.PCAP.PP.CD?format=json&amp;mrv=10</t>
        </is>
      </c>
      <c r="L2728" t="inlineStr">
        <is>
          <t>World Bank WDI: GNI per capita PPP (monthly USD)</t>
        </is>
      </c>
      <c r="M2728" t="inlineStr">
        <is>
          <t>2024-12-31</t>
        </is>
      </c>
      <c r="N2728" t="inlineStr">
        <is>
          <t>auto_ingest=world_bank_col_estimate; gni_annual=35100.0; year=2024; country_proxy=Mauritius; cohort=Africa</t>
        </is>
      </c>
    </row>
    <row r="2729">
      <c r="A2729" t="inlineStr">
        <is>
          <t>mu-port-louis</t>
        </is>
      </c>
      <c r="B2729" t="inlineStr">
        <is>
          <t>Port Louis</t>
        </is>
      </c>
      <c r="C2729" t="inlineStr">
        <is>
          <t>Mauritius</t>
        </is>
      </c>
      <c r="D2729" t="inlineStr">
        <is>
          <t>Africa</t>
        </is>
      </c>
      <c r="E2729" t="inlineStr">
        <is>
          <t>di_ppp_raw</t>
        </is>
      </c>
      <c r="F2729" t="inlineStr">
        <is>
          <t>Disposable income PPP (Raw)</t>
        </is>
      </c>
      <c r="G2729" t="inlineStr">
        <is>
          <t>pressure</t>
        </is>
      </c>
      <c r="H2729" t="inlineStr">
        <is>
          <t>yes</t>
        </is>
      </c>
      <c r="I2729" t="inlineStr"/>
      <c r="J2729" t="inlineStr"/>
      <c r="K2729" t="inlineStr"/>
      <c r="L2729" t="inlineStr"/>
      <c r="M2729" t="inlineStr"/>
      <c r="N2729" t="inlineStr"/>
    </row>
    <row r="2730">
      <c r="A2730" t="inlineStr">
        <is>
          <t>mu-port-louis</t>
        </is>
      </c>
      <c r="B2730" t="inlineStr">
        <is>
          <t>Port Louis</t>
        </is>
      </c>
      <c r="C2730" t="inlineStr">
        <is>
          <t>Mauritius</t>
        </is>
      </c>
      <c r="D2730" t="inlineStr">
        <is>
          <t>Africa</t>
        </is>
      </c>
      <c r="E2730" t="inlineStr">
        <is>
          <t>rent</t>
        </is>
      </c>
      <c r="F2730" t="inlineStr">
        <is>
          <t>Rent</t>
        </is>
      </c>
      <c r="G2730" t="inlineStr">
        <is>
          <t>pressure</t>
        </is>
      </c>
      <c r="H2730" t="inlineStr">
        <is>
          <t>yes</t>
        </is>
      </c>
      <c r="I2730" t="inlineStr">
        <is>
          <t>526.5</t>
        </is>
      </c>
      <c r="J2730" t="inlineStr">
        <is>
          <t>world_bank_col_estimate</t>
        </is>
      </c>
      <c r="K2730" t="inlineStr">
        <is>
          <t>https://api.worldbank.org/v2/country/MUS/indicator/NY.GNP.PCAP.PP.CD?format=json&amp;mrv=10</t>
        </is>
      </c>
      <c r="L2730" t="inlineStr">
        <is>
          <t>World Bank GNI + regional expenditure ratio estimate</t>
        </is>
      </c>
      <c r="M2730" t="inlineStr">
        <is>
          <t>2024-12-31</t>
        </is>
      </c>
      <c r="N2730" t="inlineStr">
        <is>
          <t>auto_ingest=world_bank_col_estimate; gni_annual=35100.0; year=2024; country_proxy=Mauritius; cohort=Africa; city_cost_mult=0.9</t>
        </is>
      </c>
    </row>
    <row r="2731">
      <c r="A2731" t="inlineStr">
        <is>
          <t>mu-port-louis</t>
        </is>
      </c>
      <c r="B2731" t="inlineStr">
        <is>
          <t>Port Louis</t>
        </is>
      </c>
      <c r="C2731" t="inlineStr">
        <is>
          <t>Mauritius</t>
        </is>
      </c>
      <c r="D2731" t="inlineStr">
        <is>
          <t>Africa</t>
        </is>
      </c>
      <c r="E2731" t="inlineStr">
        <is>
          <t>utilities</t>
        </is>
      </c>
      <c r="F2731" t="inlineStr">
        <is>
          <t>Utilities</t>
        </is>
      </c>
      <c r="G2731" t="inlineStr">
        <is>
          <t>pressure</t>
        </is>
      </c>
      <c r="H2731" t="inlineStr">
        <is>
          <t>yes</t>
        </is>
      </c>
      <c r="I2731" t="inlineStr">
        <is>
          <t>157.95</t>
        </is>
      </c>
      <c r="J2731" t="inlineStr">
        <is>
          <t>world_bank_col_estimate</t>
        </is>
      </c>
      <c r="K2731" t="inlineStr">
        <is>
          <t>https://api.worldbank.org/v2/country/MUS/indicator/NY.GNP.PCAP.PP.CD?format=json&amp;mrv=10</t>
        </is>
      </c>
      <c r="L2731" t="inlineStr">
        <is>
          <t>World Bank GNI + regional expenditure ratio estimate</t>
        </is>
      </c>
      <c r="M2731" t="inlineStr">
        <is>
          <t>2024-12-31</t>
        </is>
      </c>
      <c r="N2731" t="inlineStr">
        <is>
          <t>auto_ingest=world_bank_col_estimate; gni_annual=35100.0; year=2024; country_proxy=Mauritius; cohort=Africa; city_cost_mult=0.9</t>
        </is>
      </c>
    </row>
    <row r="2732">
      <c r="A2732" t="inlineStr">
        <is>
          <t>mu-port-louis</t>
        </is>
      </c>
      <c r="B2732" t="inlineStr">
        <is>
          <t>Port Louis</t>
        </is>
      </c>
      <c r="C2732" t="inlineStr">
        <is>
          <t>Mauritius</t>
        </is>
      </c>
      <c r="D2732" t="inlineStr">
        <is>
          <t>Africa</t>
        </is>
      </c>
      <c r="E2732" t="inlineStr">
        <is>
          <t>transit_cost</t>
        </is>
      </c>
      <c r="F2732" t="inlineStr">
        <is>
          <t>Transit cost</t>
        </is>
      </c>
      <c r="G2732" t="inlineStr">
        <is>
          <t>pressure</t>
        </is>
      </c>
      <c r="H2732" t="inlineStr">
        <is>
          <t>yes</t>
        </is>
      </c>
      <c r="I2732" t="inlineStr">
        <is>
          <t>105.3</t>
        </is>
      </c>
      <c r="J2732" t="inlineStr">
        <is>
          <t>world_bank_col_estimate</t>
        </is>
      </c>
      <c r="K2732" t="inlineStr">
        <is>
          <t>https://api.worldbank.org/v2/country/MUS/indicator/NY.GNP.PCAP.PP.CD?format=json&amp;mrv=10</t>
        </is>
      </c>
      <c r="L2732" t="inlineStr">
        <is>
          <t>World Bank GNI + regional expenditure ratio estimate</t>
        </is>
      </c>
      <c r="M2732" t="inlineStr">
        <is>
          <t>2024-12-31</t>
        </is>
      </c>
      <c r="N2732" t="inlineStr">
        <is>
          <t>auto_ingest=world_bank_col_estimate; gni_annual=35100.0; year=2024; country_proxy=Mauritius; cohort=Africa; city_cost_mult=0.9</t>
        </is>
      </c>
    </row>
    <row r="2733">
      <c r="A2733" t="inlineStr">
        <is>
          <t>mu-port-louis</t>
        </is>
      </c>
      <c r="B2733" t="inlineStr">
        <is>
          <t>Port Louis</t>
        </is>
      </c>
      <c r="C2733" t="inlineStr">
        <is>
          <t>Mauritius</t>
        </is>
      </c>
      <c r="D2733" t="inlineStr">
        <is>
          <t>Africa</t>
        </is>
      </c>
      <c r="E2733" t="inlineStr">
        <is>
          <t>internet_cost</t>
        </is>
      </c>
      <c r="F2733" t="inlineStr">
        <is>
          <t>Internet cost</t>
        </is>
      </c>
      <c r="G2733" t="inlineStr">
        <is>
          <t>pressure</t>
        </is>
      </c>
      <c r="H2733" t="inlineStr">
        <is>
          <t>yes</t>
        </is>
      </c>
      <c r="I2733" t="inlineStr">
        <is>
          <t>39.49</t>
        </is>
      </c>
      <c r="J2733" t="inlineStr">
        <is>
          <t>world_bank_col_estimate</t>
        </is>
      </c>
      <c r="K2733" t="inlineStr">
        <is>
          <t>https://api.worldbank.org/v2/country/MUS/indicator/NY.GNP.PCAP.PP.CD?format=json&amp;mrv=10</t>
        </is>
      </c>
      <c r="L2733" t="inlineStr">
        <is>
          <t>World Bank GNI + regional expenditure ratio estimate</t>
        </is>
      </c>
      <c r="M2733" t="inlineStr">
        <is>
          <t>2024-12-31</t>
        </is>
      </c>
      <c r="N2733" t="inlineStr">
        <is>
          <t>auto_ingest=world_bank_col_estimate; gni_annual=35100.0; year=2024; country_proxy=Mauritius; cohort=Africa; city_cost_mult=0.9</t>
        </is>
      </c>
    </row>
    <row r="2734">
      <c r="A2734" t="inlineStr">
        <is>
          <t>mu-port-louis</t>
        </is>
      </c>
      <c r="B2734" t="inlineStr">
        <is>
          <t>Port Louis</t>
        </is>
      </c>
      <c r="C2734" t="inlineStr">
        <is>
          <t>Mauritius</t>
        </is>
      </c>
      <c r="D2734" t="inlineStr">
        <is>
          <t>Africa</t>
        </is>
      </c>
      <c r="E2734" t="inlineStr">
        <is>
          <t>food_cost</t>
        </is>
      </c>
      <c r="F2734" t="inlineStr">
        <is>
          <t>Food cost</t>
        </is>
      </c>
      <c r="G2734" t="inlineStr">
        <is>
          <t>pressure</t>
        </is>
      </c>
      <c r="H2734" t="inlineStr">
        <is>
          <t>yes</t>
        </is>
      </c>
      <c r="I2734" t="inlineStr">
        <is>
          <t>658.12</t>
        </is>
      </c>
      <c r="J2734" t="inlineStr">
        <is>
          <t>world_bank_col_estimate</t>
        </is>
      </c>
      <c r="K2734" t="inlineStr">
        <is>
          <t>https://api.worldbank.org/v2/country/MUS/indicator/NY.GNP.PCAP.PP.CD?format=json&amp;mrv=10</t>
        </is>
      </c>
      <c r="L2734" t="inlineStr">
        <is>
          <t>World Bank GNI + regional expenditure ratio estimate</t>
        </is>
      </c>
      <c r="M2734" t="inlineStr">
        <is>
          <t>2024-12-31</t>
        </is>
      </c>
      <c r="N2734" t="inlineStr">
        <is>
          <t>auto_ingest=world_bank_col_estimate; gni_annual=35100.0; year=2024; country_proxy=Mauritius; cohort=Africa; city_cost_mult=0.9</t>
        </is>
      </c>
    </row>
    <row r="2735">
      <c r="A2735" t="inlineStr">
        <is>
          <t>mu-port-louis</t>
        </is>
      </c>
      <c r="B2735" t="inlineStr">
        <is>
          <t>Port Louis</t>
        </is>
      </c>
      <c r="C2735" t="inlineStr">
        <is>
          <t>Mauritius</t>
        </is>
      </c>
      <c r="D2735" t="inlineStr">
        <is>
          <t>Africa</t>
        </is>
      </c>
      <c r="E2735" t="inlineStr">
        <is>
          <t>housing_burden_raw</t>
        </is>
      </c>
      <c r="F2735" t="inlineStr">
        <is>
          <t>Housing burden raw</t>
        </is>
      </c>
      <c r="G2735" t="inlineStr">
        <is>
          <t>pressure</t>
        </is>
      </c>
      <c r="H2735" t="inlineStr">
        <is>
          <t>yes</t>
        </is>
      </c>
      <c r="I2735" t="inlineStr">
        <is>
          <t>18.0</t>
        </is>
      </c>
      <c r="J2735" t="inlineStr">
        <is>
          <t>derived</t>
        </is>
      </c>
      <c r="K2735" t="inlineStr">
        <is>
          <t>https://data.worldbank.org/indicator/NY.GNP.PCAP.PP.CD</t>
        </is>
      </c>
      <c r="L2735" t="inlineStr">
        <is>
          <t>Computed from city_inputs + country_context</t>
        </is>
      </c>
      <c r="M2735" t="inlineStr">
        <is>
          <t>2024-01-01</t>
        </is>
      </c>
      <c r="N2735" t="inlineStr">
        <is>
          <t>derived=rent/gross_income*100</t>
        </is>
      </c>
    </row>
    <row r="2736">
      <c r="A2736" t="inlineStr">
        <is>
          <t>mu-port-louis</t>
        </is>
      </c>
      <c r="B2736" t="inlineStr">
        <is>
          <t>Port Louis</t>
        </is>
      </c>
      <c r="C2736" t="inlineStr">
        <is>
          <t>Mauritius</t>
        </is>
      </c>
      <c r="D2736" t="inlineStr">
        <is>
          <t>Africa</t>
        </is>
      </c>
      <c r="E2736" t="inlineStr">
        <is>
          <t>household_debt_burden_raw</t>
        </is>
      </c>
      <c r="F2736" t="inlineStr">
        <is>
          <t>Household debt burden raw</t>
        </is>
      </c>
      <c r="G2736" t="inlineStr">
        <is>
          <t>pressure</t>
        </is>
      </c>
      <c r="H2736" t="inlineStr">
        <is>
          <t>yes</t>
        </is>
      </c>
      <c r="I2736" t="inlineStr">
        <is>
          <t>69.8221</t>
        </is>
      </c>
      <c r="J2736" t="inlineStr">
        <is>
          <t>derived</t>
        </is>
      </c>
      <c r="K2736" t="inlineStr">
        <is>
          <t>https://data.worldbank.org/indicator/NY.GNP.PCAP.PP.CD</t>
        </is>
      </c>
      <c r="L2736" t="inlineStr">
        <is>
          <t>Computed from city_inputs + country_context</t>
        </is>
      </c>
      <c r="M2736" t="inlineStr">
        <is>
          <t>2024-01-01</t>
        </is>
      </c>
      <c r="N2736" t="inlineStr">
        <is>
          <t>derived=country_context.household_debt_proxy; country=Mauritius</t>
        </is>
      </c>
    </row>
    <row r="2737">
      <c r="A2737" t="inlineStr">
        <is>
          <t>mu-port-louis</t>
        </is>
      </c>
      <c r="B2737" t="inlineStr">
        <is>
          <t>Port Louis</t>
        </is>
      </c>
      <c r="C2737" t="inlineStr">
        <is>
          <t>Mauritius</t>
        </is>
      </c>
      <c r="D2737" t="inlineStr">
        <is>
          <t>Africa</t>
        </is>
      </c>
      <c r="E2737" t="inlineStr">
        <is>
          <t>working_time_pressure_raw</t>
        </is>
      </c>
      <c r="F2737" t="inlineStr">
        <is>
          <t>Working time pressure raw</t>
        </is>
      </c>
      <c r="G2737" t="inlineStr">
        <is>
          <t>pressure</t>
        </is>
      </c>
      <c r="H2737" t="inlineStr">
        <is>
          <t>yes</t>
        </is>
      </c>
      <c r="I2737" t="inlineStr">
        <is>
          <t>38.34</t>
        </is>
      </c>
      <c r="J2737" t="inlineStr">
        <is>
          <t>ilo_ilostat</t>
        </is>
      </c>
      <c r="K2737" t="inlineStr">
        <is>
          <t>https://ilostat.ilo.org/data/indicator/?id=HOW_TEMP_SEX_ECO_NB_A&amp;ref_area=MUS</t>
        </is>
      </c>
      <c r="L2737" t="inlineStr">
        <is>
          <t>ILO ILOSTAT: Mean weekly hours actually worked per employed person</t>
        </is>
      </c>
      <c r="M2737" t="inlineStr">
        <is>
          <t>2024-12-31</t>
        </is>
      </c>
      <c r="N2737" t="inlineStr">
        <is>
          <t>auto_ingest=ilo_working_hours; indicator=HOW_TEMP_SEX_ECO_NB_A; year=2024; hours=38.34; country_proxy=Mauritius</t>
        </is>
      </c>
    </row>
    <row r="2738">
      <c r="A2738" t="inlineStr">
        <is>
          <t>mu-port-louis</t>
        </is>
      </c>
      <c r="B2738" t="inlineStr">
        <is>
          <t>Port Louis</t>
        </is>
      </c>
      <c r="C2738" t="inlineStr">
        <is>
          <t>Mauritius</t>
        </is>
      </c>
      <c r="D2738" t="inlineStr">
        <is>
          <t>Africa</t>
        </is>
      </c>
      <c r="E2738" t="inlineStr">
        <is>
          <t>suicide_mental_strain_raw</t>
        </is>
      </c>
      <c r="F2738" t="inlineStr">
        <is>
          <t>Suicide or mental strain raw</t>
        </is>
      </c>
      <c r="G2738" t="inlineStr">
        <is>
          <t>pressure</t>
        </is>
      </c>
      <c r="H2738" t="inlineStr">
        <is>
          <t>yes</t>
        </is>
      </c>
      <c r="I2738" t="inlineStr">
        <is>
          <t>10.52</t>
        </is>
      </c>
      <c r="J2738" t="inlineStr">
        <is>
          <t>who_gho</t>
        </is>
      </c>
      <c r="K2738" t="inlineStr">
        <is>
          <t>https://www.who.int/data/gho/data/indicators/indicator-details/GHO/SDGSUICIDE</t>
        </is>
      </c>
      <c r="L2738" t="inlineStr">
        <is>
          <t>WHO GHO: Age-standardized suicide rate (per 100,000 population)</t>
        </is>
      </c>
      <c r="M2738" t="inlineStr">
        <is>
          <t>2021-12-31</t>
        </is>
      </c>
      <c r="N2738" t="inlineStr">
        <is>
          <t>auto_ingest=who_gho; indicator=SDGSUICIDE; year=2021; country_proxy=Mauritius</t>
        </is>
      </c>
    </row>
    <row r="2739">
      <c r="A2739" t="inlineStr">
        <is>
          <t>mu-port-louis</t>
        </is>
      </c>
      <c r="B2739" t="inlineStr">
        <is>
          <t>Port Louis</t>
        </is>
      </c>
      <c r="C2739" t="inlineStr">
        <is>
          <t>Mauritius</t>
        </is>
      </c>
      <c r="D2739" t="inlineStr">
        <is>
          <t>Africa</t>
        </is>
      </c>
      <c r="E2739" t="inlineStr">
        <is>
          <t>personal_safety_raw</t>
        </is>
      </c>
      <c r="F2739" t="inlineStr">
        <is>
          <t>Personal safety raw</t>
        </is>
      </c>
      <c r="G2739" t="inlineStr">
        <is>
          <t>viability</t>
        </is>
      </c>
      <c r="H2739" t="inlineStr">
        <is>
          <t>yes</t>
        </is>
      </c>
      <c r="I2739" t="inlineStr">
        <is>
          <t>2.27</t>
        </is>
      </c>
      <c r="J2739" t="inlineStr">
        <is>
          <t>world_bank</t>
        </is>
      </c>
      <c r="K2739" t="inlineStr">
        <is>
          <t>https://api.worldbank.org/v2/country/MUS/indicator/VC.IHR.PSRC.P5?format=json&amp;mrv=10</t>
        </is>
      </c>
      <c r="L2739" t="inlineStr">
        <is>
          <t>UNODC via World Bank WDI: Intentional homicides (per 100,000 people)</t>
        </is>
      </c>
      <c r="M2739" t="inlineStr">
        <is>
          <t>2022-12-31</t>
        </is>
      </c>
      <c r="N2739" t="inlineStr">
        <is>
          <t>auto_ingest=unodc_safety; indicator=VC.IHR.PSRC.P5; year=2022; country_proxy=Mauritius</t>
        </is>
      </c>
    </row>
    <row r="2740">
      <c r="A2740" t="inlineStr">
        <is>
          <t>mu-port-louis</t>
        </is>
      </c>
      <c r="B2740" t="inlineStr">
        <is>
          <t>Port Louis</t>
        </is>
      </c>
      <c r="C2740" t="inlineStr">
        <is>
          <t>Mauritius</t>
        </is>
      </c>
      <c r="D2740" t="inlineStr">
        <is>
          <t>Africa</t>
        </is>
      </c>
      <c r="E2740" t="inlineStr">
        <is>
          <t>transit_access_commute_raw</t>
        </is>
      </c>
      <c r="F2740" t="inlineStr">
        <is>
          <t>Transit access and commute raw</t>
        </is>
      </c>
      <c r="G2740" t="inlineStr">
        <is>
          <t>viability</t>
        </is>
      </c>
      <c r="H2740" t="inlineStr">
        <is>
          <t>yes</t>
        </is>
      </c>
      <c r="I2740" t="inlineStr"/>
      <c r="J2740" t="inlineStr"/>
      <c r="K2740" t="inlineStr"/>
      <c r="L2740" t="inlineStr"/>
      <c r="M2740" t="inlineStr"/>
      <c r="N2740" t="inlineStr"/>
    </row>
    <row r="2741">
      <c r="A2741" t="inlineStr">
        <is>
          <t>mu-port-louis</t>
        </is>
      </c>
      <c r="B2741" t="inlineStr">
        <is>
          <t>Port Louis</t>
        </is>
      </c>
      <c r="C2741" t="inlineStr">
        <is>
          <t>Mauritius</t>
        </is>
      </c>
      <c r="D2741" t="inlineStr">
        <is>
          <t>Africa</t>
        </is>
      </c>
      <c r="E2741" t="inlineStr">
        <is>
          <t>clean_air_raw</t>
        </is>
      </c>
      <c r="F2741" t="inlineStr">
        <is>
          <t>Clean air raw</t>
        </is>
      </c>
      <c r="G2741" t="inlineStr">
        <is>
          <t>viability</t>
        </is>
      </c>
      <c r="H2741" t="inlineStr">
        <is>
          <t>yes</t>
        </is>
      </c>
      <c r="I2741" t="inlineStr"/>
      <c r="J2741" t="inlineStr"/>
      <c r="K2741" t="inlineStr"/>
      <c r="L2741" t="inlineStr"/>
      <c r="M2741" t="inlineStr"/>
      <c r="N2741" t="inlineStr"/>
    </row>
    <row r="2742">
      <c r="A2742" t="inlineStr">
        <is>
          <t>mu-port-louis</t>
        </is>
      </c>
      <c r="B2742" t="inlineStr">
        <is>
          <t>Port Louis</t>
        </is>
      </c>
      <c r="C2742" t="inlineStr">
        <is>
          <t>Mauritius</t>
        </is>
      </c>
      <c r="D2742" t="inlineStr">
        <is>
          <t>Africa</t>
        </is>
      </c>
      <c r="E2742" t="inlineStr">
        <is>
          <t>water_sanitation_utility_raw</t>
        </is>
      </c>
      <c r="F2742" t="inlineStr">
        <is>
          <t>Water, sanitation, and utility raw</t>
        </is>
      </c>
      <c r="G2742" t="inlineStr">
        <is>
          <t>viability</t>
        </is>
      </c>
      <c r="H2742" t="inlineStr">
        <is>
          <t>yes</t>
        </is>
      </c>
      <c r="I2742" t="inlineStr"/>
      <c r="J2742" t="inlineStr"/>
      <c r="K2742" t="inlineStr"/>
      <c r="L2742" t="inlineStr"/>
      <c r="M2742" t="inlineStr"/>
      <c r="N2742" t="inlineStr"/>
    </row>
    <row r="2743">
      <c r="A2743" t="inlineStr">
        <is>
          <t>mu-port-louis</t>
        </is>
      </c>
      <c r="B2743" t="inlineStr">
        <is>
          <t>Port Louis</t>
        </is>
      </c>
      <c r="C2743" t="inlineStr">
        <is>
          <t>Mauritius</t>
        </is>
      </c>
      <c r="D2743" t="inlineStr">
        <is>
          <t>Africa</t>
        </is>
      </c>
      <c r="E2743" t="inlineStr">
        <is>
          <t>digital_infrastructure_raw</t>
        </is>
      </c>
      <c r="F2743" t="inlineStr">
        <is>
          <t>Digital infrastructure raw</t>
        </is>
      </c>
      <c r="G2743" t="inlineStr">
        <is>
          <t>viability</t>
        </is>
      </c>
      <c r="H2743" t="inlineStr">
        <is>
          <t>yes</t>
        </is>
      </c>
      <c r="I2743" t="inlineStr">
        <is>
          <t>26.91</t>
        </is>
      </c>
      <c r="J2743" t="inlineStr">
        <is>
          <t>world_bank</t>
        </is>
      </c>
      <c r="K2743" t="inlineStr">
        <is>
          <t>https://api.worldbank.org/v2/country/MUS/indicator/IT.NET.BBND.P2?format=json&amp;mrv=10</t>
        </is>
      </c>
      <c r="L2743" t="inlineStr">
        <is>
          <t>World Bank WDI: Fixed broadband subscriptions (per 100 people)</t>
        </is>
      </c>
      <c r="M2743" t="inlineStr">
        <is>
          <t>2023-12-31</t>
        </is>
      </c>
      <c r="N2743" t="inlineStr">
        <is>
          <t>auto_ingest=world_bank_proxy; indicator=IT.NET.BBND.P2; year=2023; country_proxy=Mauritius</t>
        </is>
      </c>
    </row>
    <row r="2744">
      <c r="A2744" t="inlineStr">
        <is>
          <t>mu-port-louis</t>
        </is>
      </c>
      <c r="B2744" t="inlineStr">
        <is>
          <t>Port Louis</t>
        </is>
      </c>
      <c r="C2744" t="inlineStr">
        <is>
          <t>Mauritius</t>
        </is>
      </c>
      <c r="D2744" t="inlineStr">
        <is>
          <t>Africa</t>
        </is>
      </c>
      <c r="E2744" t="inlineStr">
        <is>
          <t>climate_sunlight_livability_raw</t>
        </is>
      </c>
      <c r="F2744" t="inlineStr">
        <is>
          <t>Climate and sunlight livability raw</t>
        </is>
      </c>
      <c r="G2744" t="inlineStr">
        <is>
          <t>viability</t>
        </is>
      </c>
      <c r="H2744" t="inlineStr">
        <is>
          <t>yes</t>
        </is>
      </c>
      <c r="I2744" t="inlineStr"/>
      <c r="J2744" t="inlineStr"/>
      <c r="K2744" t="inlineStr"/>
      <c r="L2744" t="inlineStr"/>
      <c r="M2744" t="inlineStr"/>
      <c r="N2744" t="inlineStr"/>
    </row>
    <row r="2745">
      <c r="A2745" t="inlineStr">
        <is>
          <t>mu-port-louis</t>
        </is>
      </c>
      <c r="B2745" t="inlineStr">
        <is>
          <t>Port Louis</t>
        </is>
      </c>
      <c r="C2745" t="inlineStr">
        <is>
          <t>Mauritius</t>
        </is>
      </c>
      <c r="D2745" t="inlineStr">
        <is>
          <t>Africa</t>
        </is>
      </c>
      <c r="E2745" t="inlineStr">
        <is>
          <t>healthcare_quality_raw</t>
        </is>
      </c>
      <c r="F2745" t="inlineStr">
        <is>
          <t>Healthcare quality raw</t>
        </is>
      </c>
      <c r="G2745" t="inlineStr">
        <is>
          <t>capability</t>
        </is>
      </c>
      <c r="H2745" t="inlineStr">
        <is>
          <t>yes</t>
        </is>
      </c>
      <c r="I2745" t="inlineStr">
        <is>
          <t>75.0</t>
        </is>
      </c>
      <c r="J2745" t="inlineStr">
        <is>
          <t>who_gho</t>
        </is>
      </c>
      <c r="K2745" t="inlineStr">
        <is>
          <t>https://www.who.int/data/gho/data/indicators/indicator-details/GHO/UHC_INDEX_REPORTED</t>
        </is>
      </c>
      <c r="L2745" t="inlineStr">
        <is>
          <t>WHO GHO: UHC Service Coverage Index</t>
        </is>
      </c>
      <c r="M2745" t="inlineStr">
        <is>
          <t>2023-12-31</t>
        </is>
      </c>
      <c r="N2745" t="inlineStr">
        <is>
          <t>auto_ingest=who_gho; indicator=UHC_INDEX_REPORTED; year=2023; country_proxy=Mauritius</t>
        </is>
      </c>
    </row>
    <row r="2746">
      <c r="A2746" t="inlineStr">
        <is>
          <t>mu-port-louis</t>
        </is>
      </c>
      <c r="B2746" t="inlineStr">
        <is>
          <t>Port Louis</t>
        </is>
      </c>
      <c r="C2746" t="inlineStr">
        <is>
          <t>Mauritius</t>
        </is>
      </c>
      <c r="D2746" t="inlineStr">
        <is>
          <t>Africa</t>
        </is>
      </c>
      <c r="E2746" t="inlineStr">
        <is>
          <t>education_quality_raw</t>
        </is>
      </c>
      <c r="F2746" t="inlineStr">
        <is>
          <t>Education quality raw</t>
        </is>
      </c>
      <c r="G2746" t="inlineStr">
        <is>
          <t>capability</t>
        </is>
      </c>
      <c r="H2746" t="inlineStr">
        <is>
          <t>yes</t>
        </is>
      </c>
      <c r="I2746" t="inlineStr">
        <is>
          <t>45.78</t>
        </is>
      </c>
      <c r="J2746" t="inlineStr">
        <is>
          <t>world_bank</t>
        </is>
      </c>
      <c r="K2746" t="inlineStr">
        <is>
          <t>https://api.worldbank.org/v2/country/MUS/indicator/SE.TER.ENRR?format=json&amp;mrv=10</t>
        </is>
      </c>
      <c r="L2746" t="inlineStr">
        <is>
          <t>World Bank WDI: School enrollment, tertiary (% gross)</t>
        </is>
      </c>
      <c r="M2746" t="inlineStr">
        <is>
          <t>2024-12-31</t>
        </is>
      </c>
      <c r="N2746" t="inlineStr">
        <is>
          <t>auto_ingest=world_bank_proxy; indicator=SE.TER.ENRR; year=2024; country_proxy=Mauritius</t>
        </is>
      </c>
    </row>
    <row r="2747">
      <c r="A2747" t="inlineStr">
        <is>
          <t>mu-port-louis</t>
        </is>
      </c>
      <c r="B2747" t="inlineStr">
        <is>
          <t>Port Louis</t>
        </is>
      </c>
      <c r="C2747" t="inlineStr">
        <is>
          <t>Mauritius</t>
        </is>
      </c>
      <c r="D2747" t="inlineStr">
        <is>
          <t>Africa</t>
        </is>
      </c>
      <c r="E2747" t="inlineStr">
        <is>
          <t>equal_opportunity_raw</t>
        </is>
      </c>
      <c r="F2747" t="inlineStr">
        <is>
          <t>Equal opportunity raw</t>
        </is>
      </c>
      <c r="G2747" t="inlineStr">
        <is>
          <t>capability</t>
        </is>
      </c>
      <c r="H2747" t="inlineStr">
        <is>
          <t>yes</t>
        </is>
      </c>
      <c r="I2747" t="inlineStr">
        <is>
          <t>36.8</t>
        </is>
      </c>
      <c r="J2747" t="inlineStr">
        <is>
          <t>world_bank</t>
        </is>
      </c>
      <c r="K2747" t="inlineStr">
        <is>
          <t>https://api.worldbank.org/v2/country/MUS/indicator/SI.POV.GINI?format=json&amp;mrv=10</t>
        </is>
      </c>
      <c r="L2747" t="inlineStr">
        <is>
          <t>World Bank WDI: Gini index</t>
        </is>
      </c>
      <c r="M2747" t="inlineStr">
        <is>
          <t>2017-12-31</t>
        </is>
      </c>
      <c r="N2747" t="inlineStr">
        <is>
          <t>auto_ingest=world_bank_capability; indicator=SI.POV.GINI; year=2017; country_proxy=Mauritius</t>
        </is>
      </c>
    </row>
    <row r="2748">
      <c r="A2748" t="inlineStr">
        <is>
          <t>mu-port-louis</t>
        </is>
      </c>
      <c r="B2748" t="inlineStr">
        <is>
          <t>Port Louis</t>
        </is>
      </c>
      <c r="C2748" t="inlineStr">
        <is>
          <t>Mauritius</t>
        </is>
      </c>
      <c r="D2748" t="inlineStr">
        <is>
          <t>Africa</t>
        </is>
      </c>
      <c r="E2748" t="inlineStr">
        <is>
          <t>hospitality_belonging_raw</t>
        </is>
      </c>
      <c r="F2748" t="inlineStr">
        <is>
          <t>Hospitality and belonging raw</t>
        </is>
      </c>
      <c r="G2748" t="inlineStr">
        <is>
          <t>community</t>
        </is>
      </c>
      <c r="H2748" t="inlineStr">
        <is>
          <t>yes</t>
        </is>
      </c>
      <c r="I2748" t="inlineStr">
        <is>
          <t>47.77</t>
        </is>
      </c>
      <c r="J2748" t="inlineStr">
        <is>
          <t>world_bank</t>
        </is>
      </c>
      <c r="K2748" t="inlineStr">
        <is>
          <t>https://api.worldbank.org/v2/country/MUS/indicator/SM.POP.NETM?format=json&amp;mrv=10</t>
        </is>
      </c>
      <c r="L2748" t="inlineStr">
        <is>
          <t>World Bank WDI: Net migration (proxy for hospitality/belonging — positive = welcoming)</t>
        </is>
      </c>
      <c r="M2748" t="inlineStr">
        <is>
          <t>2025-12-31</t>
        </is>
      </c>
      <c r="N2748" t="inlineStr">
        <is>
          <t>auto_ingest=world_bank_proxy; proxy=net_migration_hospitality; indicator=SM.POP.NETM; year=2025; country_proxy=Mauritius</t>
        </is>
      </c>
    </row>
    <row r="2749">
      <c r="A2749" t="inlineStr">
        <is>
          <t>mu-port-louis</t>
        </is>
      </c>
      <c r="B2749" t="inlineStr">
        <is>
          <t>Port Louis</t>
        </is>
      </c>
      <c r="C2749" t="inlineStr">
        <is>
          <t>Mauritius</t>
        </is>
      </c>
      <c r="D2749" t="inlineStr">
        <is>
          <t>Africa</t>
        </is>
      </c>
      <c r="E2749" t="inlineStr">
        <is>
          <t>tolerance_pluralism_raw</t>
        </is>
      </c>
      <c r="F2749" t="inlineStr">
        <is>
          <t>Tolerance and pluralism raw</t>
        </is>
      </c>
      <c r="G2749" t="inlineStr">
        <is>
          <t>community</t>
        </is>
      </c>
      <c r="H2749" t="inlineStr">
        <is>
          <t>yes</t>
        </is>
      </c>
      <c r="I2749" t="inlineStr">
        <is>
          <t>19.4</t>
        </is>
      </c>
      <c r="J2749" t="inlineStr">
        <is>
          <t>world_bank</t>
        </is>
      </c>
      <c r="K2749" t="inlineStr">
        <is>
          <t>https://api.worldbank.org/v2/country/MUS/indicator/SG.GEN.PARL.ZS?format=json&amp;mrv=10</t>
        </is>
      </c>
      <c r="L2749" t="inlineStr">
        <is>
          <t>World Bank WDI: Proportion of seats held by women in national parliaments (%)</t>
        </is>
      </c>
      <c r="M2749" t="inlineStr">
        <is>
          <t>2024-12-31</t>
        </is>
      </c>
      <c r="N2749" t="inlineStr">
        <is>
          <t>auto_ingest=world_bank_proxy; proxy=gender_parity_parliament; indicator=SG.GEN.PARL.ZS; year=2024; country_proxy=Mauritius</t>
        </is>
      </c>
    </row>
    <row r="2750">
      <c r="A2750" t="inlineStr">
        <is>
          <t>mu-port-louis</t>
        </is>
      </c>
      <c r="B2750" t="inlineStr">
        <is>
          <t>Port Louis</t>
        </is>
      </c>
      <c r="C2750" t="inlineStr">
        <is>
          <t>Mauritius</t>
        </is>
      </c>
      <c r="D2750" t="inlineStr">
        <is>
          <t>Africa</t>
        </is>
      </c>
      <c r="E2750" t="inlineStr">
        <is>
          <t>cultural_public_life_raw</t>
        </is>
      </c>
      <c r="F2750" t="inlineStr">
        <is>
          <t>Cultural public life raw</t>
        </is>
      </c>
      <c r="G2750" t="inlineStr">
        <is>
          <t>community</t>
        </is>
      </c>
      <c r="H2750" t="inlineStr">
        <is>
          <t>yes</t>
        </is>
      </c>
      <c r="I2750" t="inlineStr">
        <is>
          <t>253.66</t>
        </is>
      </c>
      <c r="J2750" t="inlineStr">
        <is>
          <t>world_bank</t>
        </is>
      </c>
      <c r="K2750" t="inlineStr">
        <is>
          <t>https://api.worldbank.org/v2/country/MUS/indicator/ST.INT.ARVL?format=json&amp;mrv=10</t>
        </is>
      </c>
      <c r="L2750" t="inlineStr">
        <is>
          <t>World Bank WDI: International tourism arrivals per 1 000 population</t>
        </is>
      </c>
      <c r="M2750" t="inlineStr">
        <is>
          <t>2020-12-31</t>
        </is>
      </c>
      <c r="N2750" t="inlineStr">
        <is>
          <t>auto_ingest=cultural_life_proxy; indicator=ST.INT.ARVL; norm=per_1000_pop; year=2020; country_proxy=Mauritius</t>
        </is>
      </c>
    </row>
    <row r="2751">
      <c r="A2751" t="inlineStr">
        <is>
          <t>mu-port-louis</t>
        </is>
      </c>
      <c r="B2751" t="inlineStr">
        <is>
          <t>Port Louis</t>
        </is>
      </c>
      <c r="C2751" t="inlineStr">
        <is>
          <t>Mauritius</t>
        </is>
      </c>
      <c r="D2751" t="inlineStr">
        <is>
          <t>Africa</t>
        </is>
      </c>
      <c r="E2751" t="inlineStr">
        <is>
          <t>birth_rate_optimism_raw</t>
        </is>
      </c>
      <c r="F2751" t="inlineStr">
        <is>
          <t>Birth rate and societal optimism raw</t>
        </is>
      </c>
      <c r="G2751" t="inlineStr">
        <is>
          <t>community</t>
        </is>
      </c>
      <c r="H2751" t="inlineStr">
        <is>
          <t>yes</t>
        </is>
      </c>
      <c r="I2751" t="inlineStr"/>
      <c r="J2751" t="inlineStr"/>
      <c r="K2751" t="inlineStr"/>
      <c r="L2751" t="inlineStr"/>
      <c r="M2751" t="inlineStr"/>
      <c r="N2751" t="inlineStr"/>
    </row>
    <row r="2752">
      <c r="A2752" t="inlineStr">
        <is>
          <t>mu-port-louis</t>
        </is>
      </c>
      <c r="B2752" t="inlineStr">
        <is>
          <t>Port Louis</t>
        </is>
      </c>
      <c r="C2752" t="inlineStr">
        <is>
          <t>Mauritius</t>
        </is>
      </c>
      <c r="D2752" t="inlineStr">
        <is>
          <t>Africa</t>
        </is>
      </c>
      <c r="E2752" t="inlineStr">
        <is>
          <t>entrepreneurial_dynamism_raw</t>
        </is>
      </c>
      <c r="F2752" t="inlineStr">
        <is>
          <t>Entrepreneurial dynamism raw</t>
        </is>
      </c>
      <c r="G2752" t="inlineStr">
        <is>
          <t>creative</t>
        </is>
      </c>
      <c r="H2752" t="inlineStr">
        <is>
          <t>yes</t>
        </is>
      </c>
      <c r="I2752" t="inlineStr">
        <is>
          <t>9.59</t>
        </is>
      </c>
      <c r="J2752" t="inlineStr">
        <is>
          <t>world_bank</t>
        </is>
      </c>
      <c r="K2752" t="inlineStr">
        <is>
          <t>https://api.worldbank.org/v2/country/MUS/indicator/IC.BUS.NDNS.ZS?format=json&amp;mrv=10</t>
        </is>
      </c>
      <c r="L2752" t="inlineStr">
        <is>
          <t>World Bank WDI: New business density (new registrations per 1,000 people ages 15-64)</t>
        </is>
      </c>
      <c r="M2752" t="inlineStr">
        <is>
          <t>2022-12-31</t>
        </is>
      </c>
      <c r="N2752" t="inlineStr">
        <is>
          <t>auto_ingest=world_bank_creative_extended; indicator=IC.BUS.NDNS.ZS; year=2022; country_proxy=Mauritius</t>
        </is>
      </c>
    </row>
    <row r="2753">
      <c r="A2753" t="inlineStr">
        <is>
          <t>mu-port-louis</t>
        </is>
      </c>
      <c r="B2753" t="inlineStr">
        <is>
          <t>Port Louis</t>
        </is>
      </c>
      <c r="C2753" t="inlineStr">
        <is>
          <t>Mauritius</t>
        </is>
      </c>
      <c r="D2753" t="inlineStr">
        <is>
          <t>Africa</t>
        </is>
      </c>
      <c r="E2753" t="inlineStr">
        <is>
          <t>innovation_research_intensity_raw</t>
        </is>
      </c>
      <c r="F2753" t="inlineStr">
        <is>
          <t>Innovation and research raw</t>
        </is>
      </c>
      <c r="G2753" t="inlineStr">
        <is>
          <t>creative</t>
        </is>
      </c>
      <c r="H2753" t="inlineStr">
        <is>
          <t>yes</t>
        </is>
      </c>
      <c r="I2753" t="inlineStr">
        <is>
          <t>0.23</t>
        </is>
      </c>
      <c r="J2753" t="inlineStr">
        <is>
          <t>world_bank</t>
        </is>
      </c>
      <c r="K2753" t="inlineStr">
        <is>
          <t>https://api.worldbank.org/v2/country/MUS/indicator/GB.XPD.RSDV.GD.ZS?format=json&amp;mrv=10</t>
        </is>
      </c>
      <c r="L2753" t="inlineStr">
        <is>
          <t>World Bank WDI: Research and development expenditure (% of GDP)</t>
        </is>
      </c>
      <c r="M2753" t="inlineStr">
        <is>
          <t>2023-12-31</t>
        </is>
      </c>
      <c r="N2753" t="inlineStr">
        <is>
          <t>auto_ingest=world_bank_creative_extended; indicator=GB.XPD.RSDV.GD.ZS; year=2023; country_proxy=Mauritius</t>
        </is>
      </c>
    </row>
    <row r="2754">
      <c r="A2754" t="inlineStr">
        <is>
          <t>mu-port-louis</t>
        </is>
      </c>
      <c r="B2754" t="inlineStr">
        <is>
          <t>Port Louis</t>
        </is>
      </c>
      <c r="C2754" t="inlineStr">
        <is>
          <t>Mauritius</t>
        </is>
      </c>
      <c r="D2754" t="inlineStr">
        <is>
          <t>Africa</t>
        </is>
      </c>
      <c r="E2754" t="inlineStr">
        <is>
          <t>investment_signal_raw</t>
        </is>
      </c>
      <c r="F2754" t="inlineStr">
        <is>
          <t>Investment signal raw</t>
        </is>
      </c>
      <c r="G2754" t="inlineStr">
        <is>
          <t>creative</t>
        </is>
      </c>
      <c r="H2754" t="inlineStr">
        <is>
          <t>yes</t>
        </is>
      </c>
      <c r="I2754" t="inlineStr">
        <is>
          <t>4.56</t>
        </is>
      </c>
      <c r="J2754" t="inlineStr">
        <is>
          <t>world_bank</t>
        </is>
      </c>
      <c r="K2754" t="inlineStr">
        <is>
          <t>https://api.worldbank.org/v2/country/MUS/indicator/BX.KLT.DINV.WD.GD.ZS?format=json&amp;mrv=10</t>
        </is>
      </c>
      <c r="L2754" t="inlineStr">
        <is>
          <t>World Bank WDI: Foreign direct investment, net inflows (% of GDP)</t>
        </is>
      </c>
      <c r="M2754" t="inlineStr">
        <is>
          <t>2024-12-31</t>
        </is>
      </c>
      <c r="N2754" t="inlineStr">
        <is>
          <t>auto_ingest=world_bank_creative_extended; indicator=BX.KLT.DINV.WD.GD.ZS; year=2024; country_proxy=Mauritius</t>
        </is>
      </c>
    </row>
    <row r="2755">
      <c r="A2755" t="inlineStr">
        <is>
          <t>mu-port-louis</t>
        </is>
      </c>
      <c r="B2755" t="inlineStr">
        <is>
          <t>Port Louis</t>
        </is>
      </c>
      <c r="C2755" t="inlineStr">
        <is>
          <t>Mauritius</t>
        </is>
      </c>
      <c r="D2755" t="inlineStr">
        <is>
          <t>Africa</t>
        </is>
      </c>
      <c r="E2755" t="inlineStr">
        <is>
          <t>administrative_investment_friction_raw</t>
        </is>
      </c>
      <c r="F2755" t="inlineStr">
        <is>
          <t>Administrative investment friction raw</t>
        </is>
      </c>
      <c r="G2755" t="inlineStr">
        <is>
          <t>creative</t>
        </is>
      </c>
      <c r="H2755" t="inlineStr">
        <is>
          <t>yes</t>
        </is>
      </c>
      <c r="I2755" t="inlineStr">
        <is>
          <t>1.44</t>
        </is>
      </c>
      <c r="J2755" t="inlineStr">
        <is>
          <t>world_bank</t>
        </is>
      </c>
      <c r="K2755" t="inlineStr">
        <is>
          <t>https://api.worldbank.org/v2/country/MUS/indicator/RQ.EST?format=json&amp;mrv=10</t>
        </is>
      </c>
      <c r="L2755" t="inlineStr">
        <is>
          <t>World Bank WGI: Regulatory Quality (inverted as friction proxy)</t>
        </is>
      </c>
      <c r="M2755" t="inlineStr">
        <is>
          <t>2023-12-31</t>
        </is>
      </c>
      <c r="N2755" t="inlineStr">
        <is>
          <t>auto_ingest=world_bank_business_friction; indicator=RQ.EST; raw_rq=1.06447863578796; friction=1.44; year=2023; country_proxy=Mauritius</t>
        </is>
      </c>
    </row>
    <row r="2756">
      <c r="A2756" t="inlineStr">
        <is>
          <t>mu-port-louis</t>
        </is>
      </c>
      <c r="B2756" t="inlineStr">
        <is>
          <t>Port Louis</t>
        </is>
      </c>
      <c r="C2756" t="inlineStr">
        <is>
          <t>Mauritius</t>
        </is>
      </c>
      <c r="D2756" t="inlineStr">
        <is>
          <t>Africa</t>
        </is>
      </c>
      <c r="E2756" t="inlineStr">
        <is>
          <t>visitor_flow_context_raw</t>
        </is>
      </c>
      <c r="F2756" t="inlineStr">
        <is>
          <t>Visitor flow context raw</t>
        </is>
      </c>
      <c r="G2756" t="inlineStr">
        <is>
          <t>creative</t>
        </is>
      </c>
      <c r="H2756" t="inlineStr">
        <is>
          <t>no</t>
        </is>
      </c>
      <c r="I2756" t="inlineStr"/>
      <c r="J2756" t="inlineStr"/>
      <c r="K2756" t="inlineStr"/>
      <c r="L2756" t="inlineStr"/>
      <c r="M2756" t="inlineStr"/>
      <c r="N2756" t="inlineStr"/>
    </row>
    <row r="2757">
      <c r="A2757" t="inlineStr">
        <is>
          <t>bw-gaborone</t>
        </is>
      </c>
      <c r="B2757" t="inlineStr">
        <is>
          <t>Gaborone</t>
        </is>
      </c>
      <c r="C2757" t="inlineStr">
        <is>
          <t>Botswana</t>
        </is>
      </c>
      <c r="D2757" t="inlineStr">
        <is>
          <t>Africa</t>
        </is>
      </c>
      <c r="E2757" t="inlineStr">
        <is>
          <t>gross_income</t>
        </is>
      </c>
      <c r="F2757" t="inlineStr">
        <is>
          <t>Gross income</t>
        </is>
      </c>
      <c r="G2757" t="inlineStr">
        <is>
          <t>pressure</t>
        </is>
      </c>
      <c r="H2757" t="inlineStr">
        <is>
          <t>yes</t>
        </is>
      </c>
      <c r="I2757" t="inlineStr">
        <is>
          <t>1714.17</t>
        </is>
      </c>
      <c r="J2757" t="inlineStr">
        <is>
          <t>world_bank_col_estimate</t>
        </is>
      </c>
      <c r="K2757" t="inlineStr">
        <is>
          <t>https://api.worldbank.org/v2/country/BWA/indicator/NY.GNP.PCAP.PP.CD?format=json&amp;mrv=10</t>
        </is>
      </c>
      <c r="L2757" t="inlineStr">
        <is>
          <t>World Bank WDI: GNI per capita PPP (monthly USD)</t>
        </is>
      </c>
      <c r="M2757" t="inlineStr">
        <is>
          <t>2024-12-31</t>
        </is>
      </c>
      <c r="N2757" t="inlineStr">
        <is>
          <t>auto_ingest=world_bank_col_estimate; gni_annual=20570.0; year=2024; country_proxy=Botswana; cohort=Africa</t>
        </is>
      </c>
    </row>
    <row r="2758">
      <c r="A2758" t="inlineStr">
        <is>
          <t>bw-gaborone</t>
        </is>
      </c>
      <c r="B2758" t="inlineStr">
        <is>
          <t>Gaborone</t>
        </is>
      </c>
      <c r="C2758" t="inlineStr">
        <is>
          <t>Botswana</t>
        </is>
      </c>
      <c r="D2758" t="inlineStr">
        <is>
          <t>Africa</t>
        </is>
      </c>
      <c r="E2758" t="inlineStr">
        <is>
          <t>di_ppp_raw</t>
        </is>
      </c>
      <c r="F2758" t="inlineStr">
        <is>
          <t>Disposable income PPP (Raw)</t>
        </is>
      </c>
      <c r="G2758" t="inlineStr">
        <is>
          <t>pressure</t>
        </is>
      </c>
      <c r="H2758" t="inlineStr">
        <is>
          <t>yes</t>
        </is>
      </c>
      <c r="I2758" t="inlineStr"/>
      <c r="J2758" t="inlineStr"/>
      <c r="K2758" t="inlineStr"/>
      <c r="L2758" t="inlineStr"/>
      <c r="M2758" t="inlineStr"/>
      <c r="N2758" t="inlineStr"/>
    </row>
    <row r="2759">
      <c r="A2759" t="inlineStr">
        <is>
          <t>bw-gaborone</t>
        </is>
      </c>
      <c r="B2759" t="inlineStr">
        <is>
          <t>Gaborone</t>
        </is>
      </c>
      <c r="C2759" t="inlineStr">
        <is>
          <t>Botswana</t>
        </is>
      </c>
      <c r="D2759" t="inlineStr">
        <is>
          <t>Africa</t>
        </is>
      </c>
      <c r="E2759" t="inlineStr">
        <is>
          <t>rent</t>
        </is>
      </c>
      <c r="F2759" t="inlineStr">
        <is>
          <t>Rent</t>
        </is>
      </c>
      <c r="G2759" t="inlineStr">
        <is>
          <t>pressure</t>
        </is>
      </c>
      <c r="H2759" t="inlineStr">
        <is>
          <t>yes</t>
        </is>
      </c>
      <c r="I2759" t="inlineStr">
        <is>
          <t>291.41</t>
        </is>
      </c>
      <c r="J2759" t="inlineStr">
        <is>
          <t>world_bank_col_estimate</t>
        </is>
      </c>
      <c r="K2759" t="inlineStr">
        <is>
          <t>https://api.worldbank.org/v2/country/BWA/indicator/NY.GNP.PCAP.PP.CD?format=json&amp;mrv=10</t>
        </is>
      </c>
      <c r="L2759" t="inlineStr">
        <is>
          <t>World Bank GNI + regional expenditure ratio estimate</t>
        </is>
      </c>
      <c r="M2759" t="inlineStr">
        <is>
          <t>2024-12-31</t>
        </is>
      </c>
      <c r="N2759" t="inlineStr">
        <is>
          <t>auto_ingest=world_bank_col_estimate; gni_annual=20570.0; year=2024; country_proxy=Botswana; cohort=Africa; city_cost_mult=0.85</t>
        </is>
      </c>
    </row>
    <row r="2760">
      <c r="A2760" t="inlineStr">
        <is>
          <t>bw-gaborone</t>
        </is>
      </c>
      <c r="B2760" t="inlineStr">
        <is>
          <t>Gaborone</t>
        </is>
      </c>
      <c r="C2760" t="inlineStr">
        <is>
          <t>Botswana</t>
        </is>
      </c>
      <c r="D2760" t="inlineStr">
        <is>
          <t>Africa</t>
        </is>
      </c>
      <c r="E2760" t="inlineStr">
        <is>
          <t>utilities</t>
        </is>
      </c>
      <c r="F2760" t="inlineStr">
        <is>
          <t>Utilities</t>
        </is>
      </c>
      <c r="G2760" t="inlineStr">
        <is>
          <t>pressure</t>
        </is>
      </c>
      <c r="H2760" t="inlineStr">
        <is>
          <t>yes</t>
        </is>
      </c>
      <c r="I2760" t="inlineStr">
        <is>
          <t>87.42</t>
        </is>
      </c>
      <c r="J2760" t="inlineStr">
        <is>
          <t>world_bank_col_estimate</t>
        </is>
      </c>
      <c r="K2760" t="inlineStr">
        <is>
          <t>https://api.worldbank.org/v2/country/BWA/indicator/NY.GNP.PCAP.PP.CD?format=json&amp;mrv=10</t>
        </is>
      </c>
      <c r="L2760" t="inlineStr">
        <is>
          <t>World Bank GNI + regional expenditure ratio estimate</t>
        </is>
      </c>
      <c r="M2760" t="inlineStr">
        <is>
          <t>2024-12-31</t>
        </is>
      </c>
      <c r="N2760" t="inlineStr">
        <is>
          <t>auto_ingest=world_bank_col_estimate; gni_annual=20570.0; year=2024; country_proxy=Botswana; cohort=Africa; city_cost_mult=0.85</t>
        </is>
      </c>
    </row>
    <row r="2761">
      <c r="A2761" t="inlineStr">
        <is>
          <t>bw-gaborone</t>
        </is>
      </c>
      <c r="B2761" t="inlineStr">
        <is>
          <t>Gaborone</t>
        </is>
      </c>
      <c r="C2761" t="inlineStr">
        <is>
          <t>Botswana</t>
        </is>
      </c>
      <c r="D2761" t="inlineStr">
        <is>
          <t>Africa</t>
        </is>
      </c>
      <c r="E2761" t="inlineStr">
        <is>
          <t>transit_cost</t>
        </is>
      </c>
      <c r="F2761" t="inlineStr">
        <is>
          <t>Transit cost</t>
        </is>
      </c>
      <c r="G2761" t="inlineStr">
        <is>
          <t>pressure</t>
        </is>
      </c>
      <c r="H2761" t="inlineStr">
        <is>
          <t>yes</t>
        </is>
      </c>
      <c r="I2761" t="inlineStr">
        <is>
          <t>58.28</t>
        </is>
      </c>
      <c r="J2761" t="inlineStr">
        <is>
          <t>world_bank_col_estimate</t>
        </is>
      </c>
      <c r="K2761" t="inlineStr">
        <is>
          <t>https://api.worldbank.org/v2/country/BWA/indicator/NY.GNP.PCAP.PP.CD?format=json&amp;mrv=10</t>
        </is>
      </c>
      <c r="L2761" t="inlineStr">
        <is>
          <t>World Bank GNI + regional expenditure ratio estimate</t>
        </is>
      </c>
      <c r="M2761" t="inlineStr">
        <is>
          <t>2024-12-31</t>
        </is>
      </c>
      <c r="N2761" t="inlineStr">
        <is>
          <t>auto_ingest=world_bank_col_estimate; gni_annual=20570.0; year=2024; country_proxy=Botswana; cohort=Africa; city_cost_mult=0.85</t>
        </is>
      </c>
    </row>
    <row r="2762">
      <c r="A2762" t="inlineStr">
        <is>
          <t>bw-gaborone</t>
        </is>
      </c>
      <c r="B2762" t="inlineStr">
        <is>
          <t>Gaborone</t>
        </is>
      </c>
      <c r="C2762" t="inlineStr">
        <is>
          <t>Botswana</t>
        </is>
      </c>
      <c r="D2762" t="inlineStr">
        <is>
          <t>Africa</t>
        </is>
      </c>
      <c r="E2762" t="inlineStr">
        <is>
          <t>internet_cost</t>
        </is>
      </c>
      <c r="F2762" t="inlineStr">
        <is>
          <t>Internet cost</t>
        </is>
      </c>
      <c r="G2762" t="inlineStr">
        <is>
          <t>pressure</t>
        </is>
      </c>
      <c r="H2762" t="inlineStr">
        <is>
          <t>yes</t>
        </is>
      </c>
      <c r="I2762" t="inlineStr">
        <is>
          <t>21.86</t>
        </is>
      </c>
      <c r="J2762" t="inlineStr">
        <is>
          <t>world_bank_col_estimate</t>
        </is>
      </c>
      <c r="K2762" t="inlineStr">
        <is>
          <t>https://api.worldbank.org/v2/country/BWA/indicator/NY.GNP.PCAP.PP.CD?format=json&amp;mrv=10</t>
        </is>
      </c>
      <c r="L2762" t="inlineStr">
        <is>
          <t>World Bank GNI + regional expenditure ratio estimate</t>
        </is>
      </c>
      <c r="M2762" t="inlineStr">
        <is>
          <t>2024-12-31</t>
        </is>
      </c>
      <c r="N2762" t="inlineStr">
        <is>
          <t>auto_ingest=world_bank_col_estimate; gni_annual=20570.0; year=2024; country_proxy=Botswana; cohort=Africa; city_cost_mult=0.85</t>
        </is>
      </c>
    </row>
    <row r="2763">
      <c r="A2763" t="inlineStr">
        <is>
          <t>bw-gaborone</t>
        </is>
      </c>
      <c r="B2763" t="inlineStr">
        <is>
          <t>Gaborone</t>
        </is>
      </c>
      <c r="C2763" t="inlineStr">
        <is>
          <t>Botswana</t>
        </is>
      </c>
      <c r="D2763" t="inlineStr">
        <is>
          <t>Africa</t>
        </is>
      </c>
      <c r="E2763" t="inlineStr">
        <is>
          <t>food_cost</t>
        </is>
      </c>
      <c r="F2763" t="inlineStr">
        <is>
          <t>Food cost</t>
        </is>
      </c>
      <c r="G2763" t="inlineStr">
        <is>
          <t>pressure</t>
        </is>
      </c>
      <c r="H2763" t="inlineStr">
        <is>
          <t>yes</t>
        </is>
      </c>
      <c r="I2763" t="inlineStr">
        <is>
          <t>364.26</t>
        </is>
      </c>
      <c r="J2763" t="inlineStr">
        <is>
          <t>world_bank_col_estimate</t>
        </is>
      </c>
      <c r="K2763" t="inlineStr">
        <is>
          <t>https://api.worldbank.org/v2/country/BWA/indicator/NY.GNP.PCAP.PP.CD?format=json&amp;mrv=10</t>
        </is>
      </c>
      <c r="L2763" t="inlineStr">
        <is>
          <t>World Bank GNI + regional expenditure ratio estimate</t>
        </is>
      </c>
      <c r="M2763" t="inlineStr">
        <is>
          <t>2024-12-31</t>
        </is>
      </c>
      <c r="N2763" t="inlineStr">
        <is>
          <t>auto_ingest=world_bank_col_estimate; gni_annual=20570.0; year=2024; country_proxy=Botswana; cohort=Africa; city_cost_mult=0.85</t>
        </is>
      </c>
    </row>
    <row r="2764">
      <c r="A2764" t="inlineStr">
        <is>
          <t>bw-gaborone</t>
        </is>
      </c>
      <c r="B2764" t="inlineStr">
        <is>
          <t>Gaborone</t>
        </is>
      </c>
      <c r="C2764" t="inlineStr">
        <is>
          <t>Botswana</t>
        </is>
      </c>
      <c r="D2764" t="inlineStr">
        <is>
          <t>Africa</t>
        </is>
      </c>
      <c r="E2764" t="inlineStr">
        <is>
          <t>housing_burden_raw</t>
        </is>
      </c>
      <c r="F2764" t="inlineStr">
        <is>
          <t>Housing burden raw</t>
        </is>
      </c>
      <c r="G2764" t="inlineStr">
        <is>
          <t>pressure</t>
        </is>
      </c>
      <c r="H2764" t="inlineStr">
        <is>
          <t>yes</t>
        </is>
      </c>
      <c r="I2764" t="inlineStr">
        <is>
          <t>17.0001</t>
        </is>
      </c>
      <c r="J2764" t="inlineStr">
        <is>
          <t>derived</t>
        </is>
      </c>
      <c r="K2764" t="inlineStr">
        <is>
          <t>https://data.worldbank.org/indicator/NY.GNP.PCAP.PP.CD</t>
        </is>
      </c>
      <c r="L2764" t="inlineStr">
        <is>
          <t>Computed from city_inputs + country_context</t>
        </is>
      </c>
      <c r="M2764" t="inlineStr">
        <is>
          <t>2024-01-01</t>
        </is>
      </c>
      <c r="N2764" t="inlineStr">
        <is>
          <t>derived=rent/gross_income*100</t>
        </is>
      </c>
    </row>
    <row r="2765">
      <c r="A2765" t="inlineStr">
        <is>
          <t>bw-gaborone</t>
        </is>
      </c>
      <c r="B2765" t="inlineStr">
        <is>
          <t>Gaborone</t>
        </is>
      </c>
      <c r="C2765" t="inlineStr">
        <is>
          <t>Botswana</t>
        </is>
      </c>
      <c r="D2765" t="inlineStr">
        <is>
          <t>Africa</t>
        </is>
      </c>
      <c r="E2765" t="inlineStr">
        <is>
          <t>household_debt_burden_raw</t>
        </is>
      </c>
      <c r="F2765" t="inlineStr">
        <is>
          <t>Household debt burden raw</t>
        </is>
      </c>
      <c r="G2765" t="inlineStr">
        <is>
          <t>pressure</t>
        </is>
      </c>
      <c r="H2765" t="inlineStr">
        <is>
          <t>yes</t>
        </is>
      </c>
      <c r="I2765" t="inlineStr">
        <is>
          <t>32.8462</t>
        </is>
      </c>
      <c r="J2765" t="inlineStr">
        <is>
          <t>derived</t>
        </is>
      </c>
      <c r="K2765" t="inlineStr">
        <is>
          <t>https://data.worldbank.org/indicator/NY.GNP.PCAP.PP.CD</t>
        </is>
      </c>
      <c r="L2765" t="inlineStr">
        <is>
          <t>Computed from city_inputs + country_context</t>
        </is>
      </c>
      <c r="M2765" t="inlineStr">
        <is>
          <t>2024-01-01</t>
        </is>
      </c>
      <c r="N2765" t="inlineStr">
        <is>
          <t>derived=country_context.household_debt_proxy; country=Botswana</t>
        </is>
      </c>
    </row>
    <row r="2766">
      <c r="A2766" t="inlineStr">
        <is>
          <t>bw-gaborone</t>
        </is>
      </c>
      <c r="B2766" t="inlineStr">
        <is>
          <t>Gaborone</t>
        </is>
      </c>
      <c r="C2766" t="inlineStr">
        <is>
          <t>Botswana</t>
        </is>
      </c>
      <c r="D2766" t="inlineStr">
        <is>
          <t>Africa</t>
        </is>
      </c>
      <c r="E2766" t="inlineStr">
        <is>
          <t>working_time_pressure_raw</t>
        </is>
      </c>
      <c r="F2766" t="inlineStr">
        <is>
          <t>Working time pressure raw</t>
        </is>
      </c>
      <c r="G2766" t="inlineStr">
        <is>
          <t>pressure</t>
        </is>
      </c>
      <c r="H2766" t="inlineStr">
        <is>
          <t>yes</t>
        </is>
      </c>
      <c r="I2766" t="inlineStr">
        <is>
          <t>42.92</t>
        </is>
      </c>
      <c r="J2766" t="inlineStr">
        <is>
          <t>ilo_ilostat</t>
        </is>
      </c>
      <c r="K2766" t="inlineStr">
        <is>
          <t>https://ilostat.ilo.org/data/indicator/?id=HOW_TEMP_SEX_ECO_NB_A&amp;ref_area=BWA</t>
        </is>
      </c>
      <c r="L2766" t="inlineStr">
        <is>
          <t>ILO ILOSTAT: Mean weekly hours actually worked per employed person</t>
        </is>
      </c>
      <c r="M2766" t="inlineStr">
        <is>
          <t>2024-12-31</t>
        </is>
      </c>
      <c r="N2766" t="inlineStr">
        <is>
          <t>auto_ingest=ilo_working_hours; indicator=HOW_TEMP_SEX_ECO_NB_A; year=2024; hours=42.92; country_proxy=Botswana</t>
        </is>
      </c>
    </row>
    <row r="2767">
      <c r="A2767" t="inlineStr">
        <is>
          <t>bw-gaborone</t>
        </is>
      </c>
      <c r="B2767" t="inlineStr">
        <is>
          <t>Gaborone</t>
        </is>
      </c>
      <c r="C2767" t="inlineStr">
        <is>
          <t>Botswana</t>
        </is>
      </c>
      <c r="D2767" t="inlineStr">
        <is>
          <t>Africa</t>
        </is>
      </c>
      <c r="E2767" t="inlineStr">
        <is>
          <t>suicide_mental_strain_raw</t>
        </is>
      </c>
      <c r="F2767" t="inlineStr">
        <is>
          <t>Suicide or mental strain raw</t>
        </is>
      </c>
      <c r="G2767" t="inlineStr">
        <is>
          <t>pressure</t>
        </is>
      </c>
      <c r="H2767" t="inlineStr">
        <is>
          <t>yes</t>
        </is>
      </c>
      <c r="I2767" t="inlineStr">
        <is>
          <t>8.35</t>
        </is>
      </c>
      <c r="J2767" t="inlineStr">
        <is>
          <t>who_gho</t>
        </is>
      </c>
      <c r="K2767" t="inlineStr">
        <is>
          <t>https://www.who.int/data/gho/data/indicators/indicator-details/GHO/SDGSUICIDE</t>
        </is>
      </c>
      <c r="L2767" t="inlineStr">
        <is>
          <t>WHO GHO: Age-standardized suicide rate (per 100,000 population)</t>
        </is>
      </c>
      <c r="M2767" t="inlineStr">
        <is>
          <t>2021-12-31</t>
        </is>
      </c>
      <c r="N2767" t="inlineStr">
        <is>
          <t>auto_ingest=who_gho; indicator=SDGSUICIDE; year=2021; country_proxy=Botswana</t>
        </is>
      </c>
    </row>
    <row r="2768">
      <c r="A2768" t="inlineStr">
        <is>
          <t>bw-gaborone</t>
        </is>
      </c>
      <c r="B2768" t="inlineStr">
        <is>
          <t>Gaborone</t>
        </is>
      </c>
      <c r="C2768" t="inlineStr">
        <is>
          <t>Botswana</t>
        </is>
      </c>
      <c r="D2768" t="inlineStr">
        <is>
          <t>Africa</t>
        </is>
      </c>
      <c r="E2768" t="inlineStr">
        <is>
          <t>personal_safety_raw</t>
        </is>
      </c>
      <c r="F2768" t="inlineStr">
        <is>
          <t>Personal safety raw</t>
        </is>
      </c>
      <c r="G2768" t="inlineStr">
        <is>
          <t>viability</t>
        </is>
      </c>
      <c r="H2768" t="inlineStr">
        <is>
          <t>yes</t>
        </is>
      </c>
      <c r="I2768" t="inlineStr">
        <is>
          <t>11.37</t>
        </is>
      </c>
      <c r="J2768" t="inlineStr">
        <is>
          <t>world_bank</t>
        </is>
      </c>
      <c r="K2768" t="inlineStr">
        <is>
          <t>https://api.worldbank.org/v2/country/BWA/indicator/VC.IHR.PSRC.P5?format=json&amp;mrv=10</t>
        </is>
      </c>
      <c r="L2768" t="inlineStr">
        <is>
          <t>UNODC via World Bank WDI: Intentional homicides (per 100,000 people)</t>
        </is>
      </c>
      <c r="M2768" t="inlineStr">
        <is>
          <t>2021-12-31</t>
        </is>
      </c>
      <c r="N2768" t="inlineStr">
        <is>
          <t>auto_ingest=unodc_safety; indicator=VC.IHR.PSRC.P5; year=2021; country_proxy=Botswana</t>
        </is>
      </c>
    </row>
    <row r="2769">
      <c r="A2769" t="inlineStr">
        <is>
          <t>bw-gaborone</t>
        </is>
      </c>
      <c r="B2769" t="inlineStr">
        <is>
          <t>Gaborone</t>
        </is>
      </c>
      <c r="C2769" t="inlineStr">
        <is>
          <t>Botswana</t>
        </is>
      </c>
      <c r="D2769" t="inlineStr">
        <is>
          <t>Africa</t>
        </is>
      </c>
      <c r="E2769" t="inlineStr">
        <is>
          <t>transit_access_commute_raw</t>
        </is>
      </c>
      <c r="F2769" t="inlineStr">
        <is>
          <t>Transit access and commute raw</t>
        </is>
      </c>
      <c r="G2769" t="inlineStr">
        <is>
          <t>viability</t>
        </is>
      </c>
      <c r="H2769" t="inlineStr">
        <is>
          <t>yes</t>
        </is>
      </c>
      <c r="I2769" t="inlineStr"/>
      <c r="J2769" t="inlineStr"/>
      <c r="K2769" t="inlineStr"/>
      <c r="L2769" t="inlineStr"/>
      <c r="M2769" t="inlineStr"/>
      <c r="N2769" t="inlineStr"/>
    </row>
    <row r="2770">
      <c r="A2770" t="inlineStr">
        <is>
          <t>bw-gaborone</t>
        </is>
      </c>
      <c r="B2770" t="inlineStr">
        <is>
          <t>Gaborone</t>
        </is>
      </c>
      <c r="C2770" t="inlineStr">
        <is>
          <t>Botswana</t>
        </is>
      </c>
      <c r="D2770" t="inlineStr">
        <is>
          <t>Africa</t>
        </is>
      </c>
      <c r="E2770" t="inlineStr">
        <is>
          <t>clean_air_raw</t>
        </is>
      </c>
      <c r="F2770" t="inlineStr">
        <is>
          <t>Clean air raw</t>
        </is>
      </c>
      <c r="G2770" t="inlineStr">
        <is>
          <t>viability</t>
        </is>
      </c>
      <c r="H2770" t="inlineStr">
        <is>
          <t>yes</t>
        </is>
      </c>
      <c r="I2770" t="inlineStr"/>
      <c r="J2770" t="inlineStr"/>
      <c r="K2770" t="inlineStr"/>
      <c r="L2770" t="inlineStr"/>
      <c r="M2770" t="inlineStr"/>
      <c r="N2770" t="inlineStr"/>
    </row>
    <row r="2771">
      <c r="A2771" t="inlineStr">
        <is>
          <t>bw-gaborone</t>
        </is>
      </c>
      <c r="B2771" t="inlineStr">
        <is>
          <t>Gaborone</t>
        </is>
      </c>
      <c r="C2771" t="inlineStr">
        <is>
          <t>Botswana</t>
        </is>
      </c>
      <c r="D2771" t="inlineStr">
        <is>
          <t>Africa</t>
        </is>
      </c>
      <c r="E2771" t="inlineStr">
        <is>
          <t>water_sanitation_utility_raw</t>
        </is>
      </c>
      <c r="F2771" t="inlineStr">
        <is>
          <t>Water, sanitation, and utility raw</t>
        </is>
      </c>
      <c r="G2771" t="inlineStr">
        <is>
          <t>viability</t>
        </is>
      </c>
      <c r="H2771" t="inlineStr">
        <is>
          <t>yes</t>
        </is>
      </c>
      <c r="I2771" t="inlineStr">
        <is>
          <t>63.29</t>
        </is>
      </c>
      <c r="J2771" t="inlineStr">
        <is>
          <t>world_bank</t>
        </is>
      </c>
      <c r="K2771" t="inlineStr">
        <is>
          <t>https://api.worldbank.org/v2/country/BWA/indicator/SH.H2O.SMDW.ZS?format=json&amp;mrv=10</t>
        </is>
      </c>
      <c r="L2771" t="inlineStr">
        <is>
          <t>World Bank WDI: People using safely managed drinking water services (% of population)</t>
        </is>
      </c>
      <c r="M2771" t="inlineStr">
        <is>
          <t>2024-12-31</t>
        </is>
      </c>
      <c r="N2771" t="inlineStr">
        <is>
          <t>auto_ingest=world_bank_proxy; indicator=SH.H2O.SMDW.ZS; year=2024; country_proxy=Botswana</t>
        </is>
      </c>
    </row>
    <row r="2772">
      <c r="A2772" t="inlineStr">
        <is>
          <t>bw-gaborone</t>
        </is>
      </c>
      <c r="B2772" t="inlineStr">
        <is>
          <t>Gaborone</t>
        </is>
      </c>
      <c r="C2772" t="inlineStr">
        <is>
          <t>Botswana</t>
        </is>
      </c>
      <c r="D2772" t="inlineStr">
        <is>
          <t>Africa</t>
        </is>
      </c>
      <c r="E2772" t="inlineStr">
        <is>
          <t>digital_infrastructure_raw</t>
        </is>
      </c>
      <c r="F2772" t="inlineStr">
        <is>
          <t>Digital infrastructure raw</t>
        </is>
      </c>
      <c r="G2772" t="inlineStr">
        <is>
          <t>viability</t>
        </is>
      </c>
      <c r="H2772" t="inlineStr">
        <is>
          <t>yes</t>
        </is>
      </c>
      <c r="I2772" t="inlineStr">
        <is>
          <t>3.41</t>
        </is>
      </c>
      <c r="J2772" t="inlineStr">
        <is>
          <t>world_bank</t>
        </is>
      </c>
      <c r="K2772" t="inlineStr">
        <is>
          <t>https://api.worldbank.org/v2/country/BWA/indicator/IT.NET.BBND.P2?format=json&amp;mrv=10</t>
        </is>
      </c>
      <c r="L2772" t="inlineStr">
        <is>
          <t>World Bank WDI: Fixed broadband subscriptions (per 100 people)</t>
        </is>
      </c>
      <c r="M2772" t="inlineStr">
        <is>
          <t>2023-12-31</t>
        </is>
      </c>
      <c r="N2772" t="inlineStr">
        <is>
          <t>auto_ingest=world_bank_proxy; indicator=IT.NET.BBND.P2; year=2023; country_proxy=Botswana</t>
        </is>
      </c>
    </row>
    <row r="2773">
      <c r="A2773" t="inlineStr">
        <is>
          <t>bw-gaborone</t>
        </is>
      </c>
      <c r="B2773" t="inlineStr">
        <is>
          <t>Gaborone</t>
        </is>
      </c>
      <c r="C2773" t="inlineStr">
        <is>
          <t>Botswana</t>
        </is>
      </c>
      <c r="D2773" t="inlineStr">
        <is>
          <t>Africa</t>
        </is>
      </c>
      <c r="E2773" t="inlineStr">
        <is>
          <t>climate_sunlight_livability_raw</t>
        </is>
      </c>
      <c r="F2773" t="inlineStr">
        <is>
          <t>Climate and sunlight livability raw</t>
        </is>
      </c>
      <c r="G2773" t="inlineStr">
        <is>
          <t>viability</t>
        </is>
      </c>
      <c r="H2773" t="inlineStr">
        <is>
          <t>yes</t>
        </is>
      </c>
      <c r="I2773" t="inlineStr"/>
      <c r="J2773" t="inlineStr"/>
      <c r="K2773" t="inlineStr"/>
      <c r="L2773" t="inlineStr"/>
      <c r="M2773" t="inlineStr"/>
      <c r="N2773" t="inlineStr"/>
    </row>
    <row r="2774">
      <c r="A2774" t="inlineStr">
        <is>
          <t>bw-gaborone</t>
        </is>
      </c>
      <c r="B2774" t="inlineStr">
        <is>
          <t>Gaborone</t>
        </is>
      </c>
      <c r="C2774" t="inlineStr">
        <is>
          <t>Botswana</t>
        </is>
      </c>
      <c r="D2774" t="inlineStr">
        <is>
          <t>Africa</t>
        </is>
      </c>
      <c r="E2774" t="inlineStr">
        <is>
          <t>healthcare_quality_raw</t>
        </is>
      </c>
      <c r="F2774" t="inlineStr">
        <is>
          <t>Healthcare quality raw</t>
        </is>
      </c>
      <c r="G2774" t="inlineStr">
        <is>
          <t>capability</t>
        </is>
      </c>
      <c r="H2774" t="inlineStr">
        <is>
          <t>yes</t>
        </is>
      </c>
      <c r="I2774" t="inlineStr">
        <is>
          <t>60.0</t>
        </is>
      </c>
      <c r="J2774" t="inlineStr">
        <is>
          <t>who_gho</t>
        </is>
      </c>
      <c r="K2774" t="inlineStr">
        <is>
          <t>https://www.who.int/data/gho/data/indicators/indicator-details/GHO/UHC_INDEX_REPORTED</t>
        </is>
      </c>
      <c r="L2774" t="inlineStr">
        <is>
          <t>WHO GHO: UHC Service Coverage Index</t>
        </is>
      </c>
      <c r="M2774" t="inlineStr">
        <is>
          <t>2023-12-31</t>
        </is>
      </c>
      <c r="N2774" t="inlineStr">
        <is>
          <t>auto_ingest=who_gho; indicator=UHC_INDEX_REPORTED; year=2023; country_proxy=Botswana</t>
        </is>
      </c>
    </row>
    <row r="2775">
      <c r="A2775" t="inlineStr">
        <is>
          <t>bw-gaborone</t>
        </is>
      </c>
      <c r="B2775" t="inlineStr">
        <is>
          <t>Gaborone</t>
        </is>
      </c>
      <c r="C2775" t="inlineStr">
        <is>
          <t>Botswana</t>
        </is>
      </c>
      <c r="D2775" t="inlineStr">
        <is>
          <t>Africa</t>
        </is>
      </c>
      <c r="E2775" t="inlineStr">
        <is>
          <t>education_quality_raw</t>
        </is>
      </c>
      <c r="F2775" t="inlineStr">
        <is>
          <t>Education quality raw</t>
        </is>
      </c>
      <c r="G2775" t="inlineStr">
        <is>
          <t>capability</t>
        </is>
      </c>
      <c r="H2775" t="inlineStr">
        <is>
          <t>yes</t>
        </is>
      </c>
      <c r="I2775" t="inlineStr">
        <is>
          <t>21.41</t>
        </is>
      </c>
      <c r="J2775" t="inlineStr">
        <is>
          <t>world_bank</t>
        </is>
      </c>
      <c r="K2775" t="inlineStr">
        <is>
          <t>https://api.worldbank.org/v2/country/BWA/indicator/SE.TER.ENRR?format=json&amp;mrv=10</t>
        </is>
      </c>
      <c r="L2775" t="inlineStr">
        <is>
          <t>World Bank WDI: School enrollment, tertiary (% gross)</t>
        </is>
      </c>
      <c r="M2775" t="inlineStr">
        <is>
          <t>2024-12-31</t>
        </is>
      </c>
      <c r="N2775" t="inlineStr">
        <is>
          <t>auto_ingest=world_bank_proxy; indicator=SE.TER.ENRR; year=2024; country_proxy=Botswana</t>
        </is>
      </c>
    </row>
    <row r="2776">
      <c r="A2776" t="inlineStr">
        <is>
          <t>bw-gaborone</t>
        </is>
      </c>
      <c r="B2776" t="inlineStr">
        <is>
          <t>Gaborone</t>
        </is>
      </c>
      <c r="C2776" t="inlineStr">
        <is>
          <t>Botswana</t>
        </is>
      </c>
      <c r="D2776" t="inlineStr">
        <is>
          <t>Africa</t>
        </is>
      </c>
      <c r="E2776" t="inlineStr">
        <is>
          <t>equal_opportunity_raw</t>
        </is>
      </c>
      <c r="F2776" t="inlineStr">
        <is>
          <t>Equal opportunity raw</t>
        </is>
      </c>
      <c r="G2776" t="inlineStr">
        <is>
          <t>capability</t>
        </is>
      </c>
      <c r="H2776" t="inlineStr">
        <is>
          <t>yes</t>
        </is>
      </c>
      <c r="I2776" t="inlineStr">
        <is>
          <t>54.9</t>
        </is>
      </c>
      <c r="J2776" t="inlineStr">
        <is>
          <t>world_bank</t>
        </is>
      </c>
      <c r="K2776" t="inlineStr">
        <is>
          <t>https://api.worldbank.org/v2/country/BWA/indicator/SI.POV.GINI?format=json&amp;mrv=10</t>
        </is>
      </c>
      <c r="L2776" t="inlineStr">
        <is>
          <t>World Bank WDI: Gini index</t>
        </is>
      </c>
      <c r="M2776" t="inlineStr">
        <is>
          <t>2015-12-31</t>
        </is>
      </c>
      <c r="N2776" t="inlineStr">
        <is>
          <t>auto_ingest=world_bank_capability; indicator=SI.POV.GINI; year=2015; country_proxy=Botswana</t>
        </is>
      </c>
    </row>
    <row r="2777">
      <c r="A2777" t="inlineStr">
        <is>
          <t>bw-gaborone</t>
        </is>
      </c>
      <c r="B2777" t="inlineStr">
        <is>
          <t>Gaborone</t>
        </is>
      </c>
      <c r="C2777" t="inlineStr">
        <is>
          <t>Botswana</t>
        </is>
      </c>
      <c r="D2777" t="inlineStr">
        <is>
          <t>Africa</t>
        </is>
      </c>
      <c r="E2777" t="inlineStr">
        <is>
          <t>hospitality_belonging_raw</t>
        </is>
      </c>
      <c r="F2777" t="inlineStr">
        <is>
          <t>Hospitality and belonging raw</t>
        </is>
      </c>
      <c r="G2777" t="inlineStr">
        <is>
          <t>community</t>
        </is>
      </c>
      <c r="H2777" t="inlineStr">
        <is>
          <t>yes</t>
        </is>
      </c>
      <c r="I2777" t="inlineStr">
        <is>
          <t>47.75</t>
        </is>
      </c>
      <c r="J2777" t="inlineStr">
        <is>
          <t>world_bank</t>
        </is>
      </c>
      <c r="K2777" t="inlineStr">
        <is>
          <t>https://api.worldbank.org/v2/country/BWA/indicator/SM.POP.NETM?format=json&amp;mrv=10</t>
        </is>
      </c>
      <c r="L2777" t="inlineStr">
        <is>
          <t>World Bank WDI: Net migration (proxy for hospitality/belonging — positive = welcoming)</t>
        </is>
      </c>
      <c r="M2777" t="inlineStr">
        <is>
          <t>2025-12-31</t>
        </is>
      </c>
      <c r="N2777" t="inlineStr">
        <is>
          <t>auto_ingest=world_bank_proxy; proxy=net_migration_hospitality; indicator=SM.POP.NETM; year=2025; country_proxy=Botswana</t>
        </is>
      </c>
    </row>
    <row r="2778">
      <c r="A2778" t="inlineStr">
        <is>
          <t>bw-gaborone</t>
        </is>
      </c>
      <c r="B2778" t="inlineStr">
        <is>
          <t>Gaborone</t>
        </is>
      </c>
      <c r="C2778" t="inlineStr">
        <is>
          <t>Botswana</t>
        </is>
      </c>
      <c r="D2778" t="inlineStr">
        <is>
          <t>Africa</t>
        </is>
      </c>
      <c r="E2778" t="inlineStr">
        <is>
          <t>tolerance_pluralism_raw</t>
        </is>
      </c>
      <c r="F2778" t="inlineStr">
        <is>
          <t>Tolerance and pluralism raw</t>
        </is>
      </c>
      <c r="G2778" t="inlineStr">
        <is>
          <t>community</t>
        </is>
      </c>
      <c r="H2778" t="inlineStr">
        <is>
          <t>yes</t>
        </is>
      </c>
      <c r="I2778" t="inlineStr">
        <is>
          <t>8.7</t>
        </is>
      </c>
      <c r="J2778" t="inlineStr">
        <is>
          <t>world_bank</t>
        </is>
      </c>
      <c r="K2778" t="inlineStr">
        <is>
          <t>https://api.worldbank.org/v2/country/BWA/indicator/SG.GEN.PARL.ZS?format=json&amp;mrv=10</t>
        </is>
      </c>
      <c r="L2778" t="inlineStr">
        <is>
          <t>World Bank WDI: Proportion of seats held by women in national parliaments (%)</t>
        </is>
      </c>
      <c r="M2778" t="inlineStr">
        <is>
          <t>2024-12-31</t>
        </is>
      </c>
      <c r="N2778" t="inlineStr">
        <is>
          <t>auto_ingest=world_bank_proxy; proxy=gender_parity_parliament; indicator=SG.GEN.PARL.ZS; year=2024; country_proxy=Botswana</t>
        </is>
      </c>
    </row>
    <row r="2779">
      <c r="A2779" t="inlineStr">
        <is>
          <t>bw-gaborone</t>
        </is>
      </c>
      <c r="B2779" t="inlineStr">
        <is>
          <t>Gaborone</t>
        </is>
      </c>
      <c r="C2779" t="inlineStr">
        <is>
          <t>Botswana</t>
        </is>
      </c>
      <c r="D2779" t="inlineStr">
        <is>
          <t>Africa</t>
        </is>
      </c>
      <c r="E2779" t="inlineStr">
        <is>
          <t>cultural_public_life_raw</t>
        </is>
      </c>
      <c r="F2779" t="inlineStr">
        <is>
          <t>Cultural public life raw</t>
        </is>
      </c>
      <c r="G2779" t="inlineStr">
        <is>
          <t>community</t>
        </is>
      </c>
      <c r="H2779" t="inlineStr">
        <is>
          <t>yes</t>
        </is>
      </c>
      <c r="I2779" t="inlineStr">
        <is>
          <t>725.86</t>
        </is>
      </c>
      <c r="J2779" t="inlineStr">
        <is>
          <t>world_bank</t>
        </is>
      </c>
      <c r="K2779" t="inlineStr">
        <is>
          <t>https://api.worldbank.org/v2/country/BWA/indicator/ST.INT.ARVL?format=json&amp;mrv=10</t>
        </is>
      </c>
      <c r="L2779" t="inlineStr">
        <is>
          <t>World Bank WDI: International tourism arrivals per 1 000 population</t>
        </is>
      </c>
      <c r="M2779" t="inlineStr">
        <is>
          <t>2018-12-31</t>
        </is>
      </c>
      <c r="N2779" t="inlineStr">
        <is>
          <t>auto_ingest=cultural_life_proxy; indicator=ST.INT.ARVL; norm=per_1000_pop; year=2018; country_proxy=Botswana</t>
        </is>
      </c>
    </row>
    <row r="2780">
      <c r="A2780" t="inlineStr">
        <is>
          <t>bw-gaborone</t>
        </is>
      </c>
      <c r="B2780" t="inlineStr">
        <is>
          <t>Gaborone</t>
        </is>
      </c>
      <c r="C2780" t="inlineStr">
        <is>
          <t>Botswana</t>
        </is>
      </c>
      <c r="D2780" t="inlineStr">
        <is>
          <t>Africa</t>
        </is>
      </c>
      <c r="E2780" t="inlineStr">
        <is>
          <t>birth_rate_optimism_raw</t>
        </is>
      </c>
      <c r="F2780" t="inlineStr">
        <is>
          <t>Birth rate and societal optimism raw</t>
        </is>
      </c>
      <c r="G2780" t="inlineStr">
        <is>
          <t>community</t>
        </is>
      </c>
      <c r="H2780" t="inlineStr">
        <is>
          <t>yes</t>
        </is>
      </c>
      <c r="I2780" t="inlineStr"/>
      <c r="J2780" t="inlineStr"/>
      <c r="K2780" t="inlineStr"/>
      <c r="L2780" t="inlineStr"/>
      <c r="M2780" t="inlineStr"/>
      <c r="N2780" t="inlineStr"/>
    </row>
    <row r="2781">
      <c r="A2781" t="inlineStr">
        <is>
          <t>bw-gaborone</t>
        </is>
      </c>
      <c r="B2781" t="inlineStr">
        <is>
          <t>Gaborone</t>
        </is>
      </c>
      <c r="C2781" t="inlineStr">
        <is>
          <t>Botswana</t>
        </is>
      </c>
      <c r="D2781" t="inlineStr">
        <is>
          <t>Africa</t>
        </is>
      </c>
      <c r="E2781" t="inlineStr">
        <is>
          <t>entrepreneurial_dynamism_raw</t>
        </is>
      </c>
      <c r="F2781" t="inlineStr">
        <is>
          <t>Entrepreneurial dynamism raw</t>
        </is>
      </c>
      <c r="G2781" t="inlineStr">
        <is>
          <t>creative</t>
        </is>
      </c>
      <c r="H2781" t="inlineStr">
        <is>
          <t>yes</t>
        </is>
      </c>
      <c r="I2781" t="inlineStr">
        <is>
          <t>8.68</t>
        </is>
      </c>
      <c r="J2781" t="inlineStr">
        <is>
          <t>world_bank</t>
        </is>
      </c>
      <c r="K2781" t="inlineStr">
        <is>
          <t>https://api.worldbank.org/v2/country/BWA/indicator/IC.BUS.NDNS.ZS?format=json&amp;mrv=10</t>
        </is>
      </c>
      <c r="L2781" t="inlineStr">
        <is>
          <t>World Bank WDI: New business density (new registrations per 1,000 people ages 15-64)</t>
        </is>
      </c>
      <c r="M2781" t="inlineStr">
        <is>
          <t>2022-12-31</t>
        </is>
      </c>
      <c r="N2781" t="inlineStr">
        <is>
          <t>auto_ingest=world_bank_creative_extended; indicator=IC.BUS.NDNS.ZS; year=2022; country_proxy=Botswana</t>
        </is>
      </c>
    </row>
    <row r="2782">
      <c r="A2782" t="inlineStr">
        <is>
          <t>bw-gaborone</t>
        </is>
      </c>
      <c r="B2782" t="inlineStr">
        <is>
          <t>Gaborone</t>
        </is>
      </c>
      <c r="C2782" t="inlineStr">
        <is>
          <t>Botswana</t>
        </is>
      </c>
      <c r="D2782" t="inlineStr">
        <is>
          <t>Africa</t>
        </is>
      </c>
      <c r="E2782" t="inlineStr">
        <is>
          <t>innovation_research_intensity_raw</t>
        </is>
      </c>
      <c r="F2782" t="inlineStr">
        <is>
          <t>Innovation and research raw</t>
        </is>
      </c>
      <c r="G2782" t="inlineStr">
        <is>
          <t>creative</t>
        </is>
      </c>
      <c r="H2782" t="inlineStr">
        <is>
          <t>yes</t>
        </is>
      </c>
      <c r="I2782" t="inlineStr">
        <is>
          <t>1.98</t>
        </is>
      </c>
      <c r="J2782" t="inlineStr">
        <is>
          <t>world_bank</t>
        </is>
      </c>
      <c r="K2782" t="inlineStr">
        <is>
          <t>https://api.worldbank.org/v2/country/BWA/indicator/IP.PAT.RESD?format=json&amp;mrv=10</t>
        </is>
      </c>
      <c r="L2782" t="inlineStr">
        <is>
          <t>World Bank WDI: Patent applications (residents + non-residents) per million population</t>
        </is>
      </c>
      <c r="M2782" t="inlineStr">
        <is>
          <t>2021-12-31</t>
        </is>
      </c>
      <c r="N2782" t="inlineStr">
        <is>
          <t>auto_ingest=wipo_patents_proxy; indicators=IP.PAT.RESD+IP.PAT.NRES; norm=per_million_pop; year=2021; country_proxy=Botswana</t>
        </is>
      </c>
    </row>
    <row r="2783">
      <c r="A2783" t="inlineStr">
        <is>
          <t>bw-gaborone</t>
        </is>
      </c>
      <c r="B2783" t="inlineStr">
        <is>
          <t>Gaborone</t>
        </is>
      </c>
      <c r="C2783" t="inlineStr">
        <is>
          <t>Botswana</t>
        </is>
      </c>
      <c r="D2783" t="inlineStr">
        <is>
          <t>Africa</t>
        </is>
      </c>
      <c r="E2783" t="inlineStr">
        <is>
          <t>investment_signal_raw</t>
        </is>
      </c>
      <c r="F2783" t="inlineStr">
        <is>
          <t>Investment signal raw</t>
        </is>
      </c>
      <c r="G2783" t="inlineStr">
        <is>
          <t>creative</t>
        </is>
      </c>
      <c r="H2783" t="inlineStr">
        <is>
          <t>yes</t>
        </is>
      </c>
      <c r="I2783" t="inlineStr">
        <is>
          <t>2.41</t>
        </is>
      </c>
      <c r="J2783" t="inlineStr">
        <is>
          <t>world_bank</t>
        </is>
      </c>
      <c r="K2783" t="inlineStr">
        <is>
          <t>https://api.worldbank.org/v2/country/BWA/indicator/BX.KLT.DINV.WD.GD.ZS?format=json&amp;mrv=10</t>
        </is>
      </c>
      <c r="L2783" t="inlineStr">
        <is>
          <t>World Bank WDI: Foreign direct investment, net inflows (% of GDP)</t>
        </is>
      </c>
      <c r="M2783" t="inlineStr">
        <is>
          <t>2024-12-31</t>
        </is>
      </c>
      <c r="N2783" t="inlineStr">
        <is>
          <t>auto_ingest=world_bank_creative_extended; indicator=BX.KLT.DINV.WD.GD.ZS; year=2024; country_proxy=Botswana</t>
        </is>
      </c>
    </row>
    <row r="2784">
      <c r="A2784" t="inlineStr">
        <is>
          <t>bw-gaborone</t>
        </is>
      </c>
      <c r="B2784" t="inlineStr">
        <is>
          <t>Gaborone</t>
        </is>
      </c>
      <c r="C2784" t="inlineStr">
        <is>
          <t>Botswana</t>
        </is>
      </c>
      <c r="D2784" t="inlineStr">
        <is>
          <t>Africa</t>
        </is>
      </c>
      <c r="E2784" t="inlineStr">
        <is>
          <t>administrative_investment_friction_raw</t>
        </is>
      </c>
      <c r="F2784" t="inlineStr">
        <is>
          <t>Administrative investment friction raw</t>
        </is>
      </c>
      <c r="G2784" t="inlineStr">
        <is>
          <t>creative</t>
        </is>
      </c>
      <c r="H2784" t="inlineStr">
        <is>
          <t>yes</t>
        </is>
      </c>
      <c r="I2784" t="inlineStr">
        <is>
          <t>2.0</t>
        </is>
      </c>
      <c r="J2784" t="inlineStr">
        <is>
          <t>world_bank</t>
        </is>
      </c>
      <c r="K2784" t="inlineStr">
        <is>
          <t>https://api.worldbank.org/v2/country/BWA/indicator/RQ.EST?format=json&amp;mrv=10</t>
        </is>
      </c>
      <c r="L2784" t="inlineStr">
        <is>
          <t>World Bank WGI: Regulatory Quality (inverted as friction proxy)</t>
        </is>
      </c>
      <c r="M2784" t="inlineStr">
        <is>
          <t>2023-12-31</t>
        </is>
      </c>
      <c r="N2784" t="inlineStr">
        <is>
          <t>auto_ingest=world_bank_business_friction; indicator=RQ.EST; raw_rq=0.497434794902802; friction=2.0; year=2023; country_proxy=Botswana</t>
        </is>
      </c>
    </row>
    <row r="2785">
      <c r="A2785" t="inlineStr">
        <is>
          <t>bw-gaborone</t>
        </is>
      </c>
      <c r="B2785" t="inlineStr">
        <is>
          <t>Gaborone</t>
        </is>
      </c>
      <c r="C2785" t="inlineStr">
        <is>
          <t>Botswana</t>
        </is>
      </c>
      <c r="D2785" t="inlineStr">
        <is>
          <t>Africa</t>
        </is>
      </c>
      <c r="E2785" t="inlineStr">
        <is>
          <t>visitor_flow_context_raw</t>
        </is>
      </c>
      <c r="F2785" t="inlineStr">
        <is>
          <t>Visitor flow context raw</t>
        </is>
      </c>
      <c r="G2785" t="inlineStr">
        <is>
          <t>creative</t>
        </is>
      </c>
      <c r="H2785" t="inlineStr">
        <is>
          <t>no</t>
        </is>
      </c>
      <c r="I2785" t="inlineStr"/>
      <c r="J2785" t="inlineStr"/>
      <c r="K2785" t="inlineStr"/>
      <c r="L2785" t="inlineStr"/>
      <c r="M2785" t="inlineStr"/>
      <c r="N2785" t="inlineStr"/>
    </row>
    <row r="2786">
      <c r="A2786" t="inlineStr">
        <is>
          <t>na-windhoek</t>
        </is>
      </c>
      <c r="B2786" t="inlineStr">
        <is>
          <t>Windhoek</t>
        </is>
      </c>
      <c r="C2786" t="inlineStr">
        <is>
          <t>Namibia</t>
        </is>
      </c>
      <c r="D2786" t="inlineStr">
        <is>
          <t>Africa</t>
        </is>
      </c>
      <c r="E2786" t="inlineStr">
        <is>
          <t>gross_income</t>
        </is>
      </c>
      <c r="F2786" t="inlineStr">
        <is>
          <t>Gross income</t>
        </is>
      </c>
      <c r="G2786" t="inlineStr">
        <is>
          <t>pressure</t>
        </is>
      </c>
      <c r="H2786" t="inlineStr">
        <is>
          <t>yes</t>
        </is>
      </c>
      <c r="I2786" t="inlineStr">
        <is>
          <t>941.67</t>
        </is>
      </c>
      <c r="J2786" t="inlineStr">
        <is>
          <t>world_bank_col_estimate</t>
        </is>
      </c>
      <c r="K2786" t="inlineStr">
        <is>
          <t>https://api.worldbank.org/v2/country/NAM/indicator/NY.GNP.PCAP.PP.CD?format=json&amp;mrv=10</t>
        </is>
      </c>
      <c r="L2786" t="inlineStr">
        <is>
          <t>World Bank WDI: GNI per capita PPP (monthly USD)</t>
        </is>
      </c>
      <c r="M2786" t="inlineStr">
        <is>
          <t>2024-12-31</t>
        </is>
      </c>
      <c r="N2786" t="inlineStr">
        <is>
          <t>auto_ingest=world_bank_col_estimate; gni_annual=11300.0; year=2024; country_proxy=Namibia; cohort=Africa</t>
        </is>
      </c>
    </row>
    <row r="2787">
      <c r="A2787" t="inlineStr">
        <is>
          <t>na-windhoek</t>
        </is>
      </c>
      <c r="B2787" t="inlineStr">
        <is>
          <t>Windhoek</t>
        </is>
      </c>
      <c r="C2787" t="inlineStr">
        <is>
          <t>Namibia</t>
        </is>
      </c>
      <c r="D2787" t="inlineStr">
        <is>
          <t>Africa</t>
        </is>
      </c>
      <c r="E2787" t="inlineStr">
        <is>
          <t>di_ppp_raw</t>
        </is>
      </c>
      <c r="F2787" t="inlineStr">
        <is>
          <t>Disposable income PPP (Raw)</t>
        </is>
      </c>
      <c r="G2787" t="inlineStr">
        <is>
          <t>pressure</t>
        </is>
      </c>
      <c r="H2787" t="inlineStr">
        <is>
          <t>yes</t>
        </is>
      </c>
      <c r="I2787" t="inlineStr"/>
      <c r="J2787" t="inlineStr"/>
      <c r="K2787" t="inlineStr"/>
      <c r="L2787" t="inlineStr"/>
      <c r="M2787" t="inlineStr"/>
      <c r="N2787" t="inlineStr"/>
    </row>
    <row r="2788">
      <c r="A2788" t="inlineStr">
        <is>
          <t>na-windhoek</t>
        </is>
      </c>
      <c r="B2788" t="inlineStr">
        <is>
          <t>Windhoek</t>
        </is>
      </c>
      <c r="C2788" t="inlineStr">
        <is>
          <t>Namibia</t>
        </is>
      </c>
      <c r="D2788" t="inlineStr">
        <is>
          <t>Africa</t>
        </is>
      </c>
      <c r="E2788" t="inlineStr">
        <is>
          <t>rent</t>
        </is>
      </c>
      <c r="F2788" t="inlineStr">
        <is>
          <t>Rent</t>
        </is>
      </c>
      <c r="G2788" t="inlineStr">
        <is>
          <t>pressure</t>
        </is>
      </c>
      <c r="H2788" t="inlineStr">
        <is>
          <t>yes</t>
        </is>
      </c>
      <c r="I2788" t="inlineStr">
        <is>
          <t>160.08</t>
        </is>
      </c>
      <c r="J2788" t="inlineStr">
        <is>
          <t>world_bank_col_estimate</t>
        </is>
      </c>
      <c r="K2788" t="inlineStr">
        <is>
          <t>https://api.worldbank.org/v2/country/NAM/indicator/NY.GNP.PCAP.PP.CD?format=json&amp;mrv=10</t>
        </is>
      </c>
      <c r="L2788" t="inlineStr">
        <is>
          <t>World Bank GNI + regional expenditure ratio estimate</t>
        </is>
      </c>
      <c r="M2788" t="inlineStr">
        <is>
          <t>2024-12-31</t>
        </is>
      </c>
      <c r="N2788" t="inlineStr">
        <is>
          <t>auto_ingest=world_bank_col_estimate; gni_annual=11300.0; year=2024; country_proxy=Namibia; cohort=Africa; city_cost_mult=0.85</t>
        </is>
      </c>
    </row>
    <row r="2789">
      <c r="A2789" t="inlineStr">
        <is>
          <t>na-windhoek</t>
        </is>
      </c>
      <c r="B2789" t="inlineStr">
        <is>
          <t>Windhoek</t>
        </is>
      </c>
      <c r="C2789" t="inlineStr">
        <is>
          <t>Namibia</t>
        </is>
      </c>
      <c r="D2789" t="inlineStr">
        <is>
          <t>Africa</t>
        </is>
      </c>
      <c r="E2789" t="inlineStr">
        <is>
          <t>utilities</t>
        </is>
      </c>
      <c r="F2789" t="inlineStr">
        <is>
          <t>Utilities</t>
        </is>
      </c>
      <c r="G2789" t="inlineStr">
        <is>
          <t>pressure</t>
        </is>
      </c>
      <c r="H2789" t="inlineStr">
        <is>
          <t>yes</t>
        </is>
      </c>
      <c r="I2789" t="inlineStr">
        <is>
          <t>48.03</t>
        </is>
      </c>
      <c r="J2789" t="inlineStr">
        <is>
          <t>world_bank_col_estimate</t>
        </is>
      </c>
      <c r="K2789" t="inlineStr">
        <is>
          <t>https://api.worldbank.org/v2/country/NAM/indicator/NY.GNP.PCAP.PP.CD?format=json&amp;mrv=10</t>
        </is>
      </c>
      <c r="L2789" t="inlineStr">
        <is>
          <t>World Bank GNI + regional expenditure ratio estimate</t>
        </is>
      </c>
      <c r="M2789" t="inlineStr">
        <is>
          <t>2024-12-31</t>
        </is>
      </c>
      <c r="N2789" t="inlineStr">
        <is>
          <t>auto_ingest=world_bank_col_estimate; gni_annual=11300.0; year=2024; country_proxy=Namibia; cohort=Africa; city_cost_mult=0.85</t>
        </is>
      </c>
    </row>
    <row r="2790">
      <c r="A2790" t="inlineStr">
        <is>
          <t>na-windhoek</t>
        </is>
      </c>
      <c r="B2790" t="inlineStr">
        <is>
          <t>Windhoek</t>
        </is>
      </c>
      <c r="C2790" t="inlineStr">
        <is>
          <t>Namibia</t>
        </is>
      </c>
      <c r="D2790" t="inlineStr">
        <is>
          <t>Africa</t>
        </is>
      </c>
      <c r="E2790" t="inlineStr">
        <is>
          <t>transit_cost</t>
        </is>
      </c>
      <c r="F2790" t="inlineStr">
        <is>
          <t>Transit cost</t>
        </is>
      </c>
      <c r="G2790" t="inlineStr">
        <is>
          <t>pressure</t>
        </is>
      </c>
      <c r="H2790" t="inlineStr">
        <is>
          <t>yes</t>
        </is>
      </c>
      <c r="I2790" t="inlineStr">
        <is>
          <t>32.02</t>
        </is>
      </c>
      <c r="J2790" t="inlineStr">
        <is>
          <t>world_bank_col_estimate</t>
        </is>
      </c>
      <c r="K2790" t="inlineStr">
        <is>
          <t>https://api.worldbank.org/v2/country/NAM/indicator/NY.GNP.PCAP.PP.CD?format=json&amp;mrv=10</t>
        </is>
      </c>
      <c r="L2790" t="inlineStr">
        <is>
          <t>World Bank GNI + regional expenditure ratio estimate</t>
        </is>
      </c>
      <c r="M2790" t="inlineStr">
        <is>
          <t>2024-12-31</t>
        </is>
      </c>
      <c r="N2790" t="inlineStr">
        <is>
          <t>auto_ingest=world_bank_col_estimate; gni_annual=11300.0; year=2024; country_proxy=Namibia; cohort=Africa; city_cost_mult=0.85</t>
        </is>
      </c>
    </row>
    <row r="2791">
      <c r="A2791" t="inlineStr">
        <is>
          <t>na-windhoek</t>
        </is>
      </c>
      <c r="B2791" t="inlineStr">
        <is>
          <t>Windhoek</t>
        </is>
      </c>
      <c r="C2791" t="inlineStr">
        <is>
          <t>Namibia</t>
        </is>
      </c>
      <c r="D2791" t="inlineStr">
        <is>
          <t>Africa</t>
        </is>
      </c>
      <c r="E2791" t="inlineStr">
        <is>
          <t>internet_cost</t>
        </is>
      </c>
      <c r="F2791" t="inlineStr">
        <is>
          <t>Internet cost</t>
        </is>
      </c>
      <c r="G2791" t="inlineStr">
        <is>
          <t>pressure</t>
        </is>
      </c>
      <c r="H2791" t="inlineStr">
        <is>
          <t>yes</t>
        </is>
      </c>
      <c r="I2791" t="inlineStr">
        <is>
          <t>12.01</t>
        </is>
      </c>
      <c r="J2791" t="inlineStr">
        <is>
          <t>world_bank_col_estimate</t>
        </is>
      </c>
      <c r="K2791" t="inlineStr">
        <is>
          <t>https://api.worldbank.org/v2/country/NAM/indicator/NY.GNP.PCAP.PP.CD?format=json&amp;mrv=10</t>
        </is>
      </c>
      <c r="L2791" t="inlineStr">
        <is>
          <t>World Bank GNI + regional expenditure ratio estimate</t>
        </is>
      </c>
      <c r="M2791" t="inlineStr">
        <is>
          <t>2024-12-31</t>
        </is>
      </c>
      <c r="N2791" t="inlineStr">
        <is>
          <t>auto_ingest=world_bank_col_estimate; gni_annual=11300.0; year=2024; country_proxy=Namibia; cohort=Africa; city_cost_mult=0.85</t>
        </is>
      </c>
    </row>
    <row r="2792">
      <c r="A2792" t="inlineStr">
        <is>
          <t>na-windhoek</t>
        </is>
      </c>
      <c r="B2792" t="inlineStr">
        <is>
          <t>Windhoek</t>
        </is>
      </c>
      <c r="C2792" t="inlineStr">
        <is>
          <t>Namibia</t>
        </is>
      </c>
      <c r="D2792" t="inlineStr">
        <is>
          <t>Africa</t>
        </is>
      </c>
      <c r="E2792" t="inlineStr">
        <is>
          <t>food_cost</t>
        </is>
      </c>
      <c r="F2792" t="inlineStr">
        <is>
          <t>Food cost</t>
        </is>
      </c>
      <c r="G2792" t="inlineStr">
        <is>
          <t>pressure</t>
        </is>
      </c>
      <c r="H2792" t="inlineStr">
        <is>
          <t>yes</t>
        </is>
      </c>
      <c r="I2792" t="inlineStr">
        <is>
          <t>200.1</t>
        </is>
      </c>
      <c r="J2792" t="inlineStr">
        <is>
          <t>world_bank_col_estimate</t>
        </is>
      </c>
      <c r="K2792" t="inlineStr">
        <is>
          <t>https://api.worldbank.org/v2/country/NAM/indicator/NY.GNP.PCAP.PP.CD?format=json&amp;mrv=10</t>
        </is>
      </c>
      <c r="L2792" t="inlineStr">
        <is>
          <t>World Bank GNI + regional expenditure ratio estimate</t>
        </is>
      </c>
      <c r="M2792" t="inlineStr">
        <is>
          <t>2024-12-31</t>
        </is>
      </c>
      <c r="N2792" t="inlineStr">
        <is>
          <t>auto_ingest=world_bank_col_estimate; gni_annual=11300.0; year=2024; country_proxy=Namibia; cohort=Africa; city_cost_mult=0.85</t>
        </is>
      </c>
    </row>
    <row r="2793">
      <c r="A2793" t="inlineStr">
        <is>
          <t>na-windhoek</t>
        </is>
      </c>
      <c r="B2793" t="inlineStr">
        <is>
          <t>Windhoek</t>
        </is>
      </c>
      <c r="C2793" t="inlineStr">
        <is>
          <t>Namibia</t>
        </is>
      </c>
      <c r="D2793" t="inlineStr">
        <is>
          <t>Africa</t>
        </is>
      </c>
      <c r="E2793" t="inlineStr">
        <is>
          <t>housing_burden_raw</t>
        </is>
      </c>
      <c r="F2793" t="inlineStr">
        <is>
          <t>Housing burden raw</t>
        </is>
      </c>
      <c r="G2793" t="inlineStr">
        <is>
          <t>pressure</t>
        </is>
      </c>
      <c r="H2793" t="inlineStr">
        <is>
          <t>yes</t>
        </is>
      </c>
      <c r="I2793" t="inlineStr">
        <is>
          <t>16.9996</t>
        </is>
      </c>
      <c r="J2793" t="inlineStr">
        <is>
          <t>derived</t>
        </is>
      </c>
      <c r="K2793" t="inlineStr">
        <is>
          <t>https://data.worldbank.org/indicator/NY.GNP.PCAP.PP.CD</t>
        </is>
      </c>
      <c r="L2793" t="inlineStr">
        <is>
          <t>Computed from city_inputs + country_context</t>
        </is>
      </c>
      <c r="M2793" t="inlineStr">
        <is>
          <t>2024-01-01</t>
        </is>
      </c>
      <c r="N2793" t="inlineStr">
        <is>
          <t>derived=rent/gross_income*100</t>
        </is>
      </c>
    </row>
    <row r="2794">
      <c r="A2794" t="inlineStr">
        <is>
          <t>na-windhoek</t>
        </is>
      </c>
      <c r="B2794" t="inlineStr">
        <is>
          <t>Windhoek</t>
        </is>
      </c>
      <c r="C2794" t="inlineStr">
        <is>
          <t>Namibia</t>
        </is>
      </c>
      <c r="D2794" t="inlineStr">
        <is>
          <t>Africa</t>
        </is>
      </c>
      <c r="E2794" t="inlineStr">
        <is>
          <t>household_debt_burden_raw</t>
        </is>
      </c>
      <c r="F2794" t="inlineStr">
        <is>
          <t>Household debt burden raw</t>
        </is>
      </c>
      <c r="G2794" t="inlineStr">
        <is>
          <t>pressure</t>
        </is>
      </c>
      <c r="H2794" t="inlineStr">
        <is>
          <t>yes</t>
        </is>
      </c>
      <c r="I2794" t="inlineStr">
        <is>
          <t>48.2075</t>
        </is>
      </c>
      <c r="J2794" t="inlineStr">
        <is>
          <t>derived</t>
        </is>
      </c>
      <c r="K2794" t="inlineStr">
        <is>
          <t>https://data.worldbank.org/indicator/NY.GNP.PCAP.PP.CD</t>
        </is>
      </c>
      <c r="L2794" t="inlineStr">
        <is>
          <t>Computed from city_inputs + country_context</t>
        </is>
      </c>
      <c r="M2794" t="inlineStr">
        <is>
          <t>2024-01-01</t>
        </is>
      </c>
      <c r="N2794" t="inlineStr">
        <is>
          <t>derived=country_context.household_debt_proxy; country=Namibia</t>
        </is>
      </c>
    </row>
    <row r="2795">
      <c r="A2795" t="inlineStr">
        <is>
          <t>na-windhoek</t>
        </is>
      </c>
      <c r="B2795" t="inlineStr">
        <is>
          <t>Windhoek</t>
        </is>
      </c>
      <c r="C2795" t="inlineStr">
        <is>
          <t>Namibia</t>
        </is>
      </c>
      <c r="D2795" t="inlineStr">
        <is>
          <t>Africa</t>
        </is>
      </c>
      <c r="E2795" t="inlineStr">
        <is>
          <t>working_time_pressure_raw</t>
        </is>
      </c>
      <c r="F2795" t="inlineStr">
        <is>
          <t>Working time pressure raw</t>
        </is>
      </c>
      <c r="G2795" t="inlineStr">
        <is>
          <t>pressure</t>
        </is>
      </c>
      <c r="H2795" t="inlineStr">
        <is>
          <t>yes</t>
        </is>
      </c>
      <c r="I2795" t="inlineStr">
        <is>
          <t>44.91</t>
        </is>
      </c>
      <c r="J2795" t="inlineStr">
        <is>
          <t>ilo_ilostat</t>
        </is>
      </c>
      <c r="K2795" t="inlineStr">
        <is>
          <t>https://ilostat.ilo.org/data/indicator/?id=HOW_TEMP_SEX_ECO_NB_A&amp;ref_area=NAM</t>
        </is>
      </c>
      <c r="L2795" t="inlineStr">
        <is>
          <t>ILO ILOSTAT: Mean weekly hours actually worked per employed person</t>
        </is>
      </c>
      <c r="M2795" t="inlineStr">
        <is>
          <t>2018-12-31</t>
        </is>
      </c>
      <c r="N2795" t="inlineStr">
        <is>
          <t>auto_ingest=ilo_working_hours; indicator=HOW_TEMP_SEX_ECO_NB_A; year=2018; hours=44.91; country_proxy=Namibia</t>
        </is>
      </c>
    </row>
    <row r="2796">
      <c r="A2796" t="inlineStr">
        <is>
          <t>na-windhoek</t>
        </is>
      </c>
      <c r="B2796" t="inlineStr">
        <is>
          <t>Windhoek</t>
        </is>
      </c>
      <c r="C2796" t="inlineStr">
        <is>
          <t>Namibia</t>
        </is>
      </c>
      <c r="D2796" t="inlineStr">
        <is>
          <t>Africa</t>
        </is>
      </c>
      <c r="E2796" t="inlineStr">
        <is>
          <t>suicide_mental_strain_raw</t>
        </is>
      </c>
      <c r="F2796" t="inlineStr">
        <is>
          <t>Suicide or mental strain raw</t>
        </is>
      </c>
      <c r="G2796" t="inlineStr">
        <is>
          <t>pressure</t>
        </is>
      </c>
      <c r="H2796" t="inlineStr">
        <is>
          <t>yes</t>
        </is>
      </c>
      <c r="I2796" t="inlineStr">
        <is>
          <t>8.59</t>
        </is>
      </c>
      <c r="J2796" t="inlineStr">
        <is>
          <t>who_gho</t>
        </is>
      </c>
      <c r="K2796" t="inlineStr">
        <is>
          <t>https://www.who.int/data/gho/data/indicators/indicator-details/GHO/SDGSUICIDE</t>
        </is>
      </c>
      <c r="L2796" t="inlineStr">
        <is>
          <t>WHO GHO: Age-standardized suicide rate (per 100,000 population)</t>
        </is>
      </c>
      <c r="M2796" t="inlineStr">
        <is>
          <t>2021-12-31</t>
        </is>
      </c>
      <c r="N2796" t="inlineStr">
        <is>
          <t>auto_ingest=who_gho; indicator=SDGSUICIDE; year=2021; country_proxy=Namibia</t>
        </is>
      </c>
    </row>
    <row r="2797">
      <c r="A2797" t="inlineStr">
        <is>
          <t>na-windhoek</t>
        </is>
      </c>
      <c r="B2797" t="inlineStr">
        <is>
          <t>Windhoek</t>
        </is>
      </c>
      <c r="C2797" t="inlineStr">
        <is>
          <t>Namibia</t>
        </is>
      </c>
      <c r="D2797" t="inlineStr">
        <is>
          <t>Africa</t>
        </is>
      </c>
      <c r="E2797" t="inlineStr">
        <is>
          <t>personal_safety_raw</t>
        </is>
      </c>
      <c r="F2797" t="inlineStr">
        <is>
          <t>Personal safety raw</t>
        </is>
      </c>
      <c r="G2797" t="inlineStr">
        <is>
          <t>viability</t>
        </is>
      </c>
      <c r="H2797" t="inlineStr">
        <is>
          <t>yes</t>
        </is>
      </c>
      <c r="I2797" t="inlineStr">
        <is>
          <t>11.21</t>
        </is>
      </c>
      <c r="J2797" t="inlineStr">
        <is>
          <t>world_bank</t>
        </is>
      </c>
      <c r="K2797" t="inlineStr">
        <is>
          <t>https://api.worldbank.org/v2/country/NAM/indicator/VC.IHR.PSRC.P5?format=json&amp;mrv=10</t>
        </is>
      </c>
      <c r="L2797" t="inlineStr">
        <is>
          <t>UNODC via World Bank WDI: Intentional homicides (per 100,000 people)</t>
        </is>
      </c>
      <c r="M2797" t="inlineStr">
        <is>
          <t>2021-12-31</t>
        </is>
      </c>
      <c r="N2797" t="inlineStr">
        <is>
          <t>auto_ingest=unodc_safety; indicator=VC.IHR.PSRC.P5; year=2021; country_proxy=Namibia</t>
        </is>
      </c>
    </row>
    <row r="2798">
      <c r="A2798" t="inlineStr">
        <is>
          <t>na-windhoek</t>
        </is>
      </c>
      <c r="B2798" t="inlineStr">
        <is>
          <t>Windhoek</t>
        </is>
      </c>
      <c r="C2798" t="inlineStr">
        <is>
          <t>Namibia</t>
        </is>
      </c>
      <c r="D2798" t="inlineStr">
        <is>
          <t>Africa</t>
        </is>
      </c>
      <c r="E2798" t="inlineStr">
        <is>
          <t>transit_access_commute_raw</t>
        </is>
      </c>
      <c r="F2798" t="inlineStr">
        <is>
          <t>Transit access and commute raw</t>
        </is>
      </c>
      <c r="G2798" t="inlineStr">
        <is>
          <t>viability</t>
        </is>
      </c>
      <c r="H2798" t="inlineStr">
        <is>
          <t>yes</t>
        </is>
      </c>
      <c r="I2798" t="inlineStr"/>
      <c r="J2798" t="inlineStr"/>
      <c r="K2798" t="inlineStr"/>
      <c r="L2798" t="inlineStr"/>
      <c r="M2798" t="inlineStr"/>
      <c r="N2798" t="inlineStr"/>
    </row>
    <row r="2799">
      <c r="A2799" t="inlineStr">
        <is>
          <t>na-windhoek</t>
        </is>
      </c>
      <c r="B2799" t="inlineStr">
        <is>
          <t>Windhoek</t>
        </is>
      </c>
      <c r="C2799" t="inlineStr">
        <is>
          <t>Namibia</t>
        </is>
      </c>
      <c r="D2799" t="inlineStr">
        <is>
          <t>Africa</t>
        </is>
      </c>
      <c r="E2799" t="inlineStr">
        <is>
          <t>clean_air_raw</t>
        </is>
      </c>
      <c r="F2799" t="inlineStr">
        <is>
          <t>Clean air raw</t>
        </is>
      </c>
      <c r="G2799" t="inlineStr">
        <is>
          <t>viability</t>
        </is>
      </c>
      <c r="H2799" t="inlineStr">
        <is>
          <t>yes</t>
        </is>
      </c>
      <c r="I2799" t="inlineStr"/>
      <c r="J2799" t="inlineStr"/>
      <c r="K2799" t="inlineStr"/>
      <c r="L2799" t="inlineStr"/>
      <c r="M2799" t="inlineStr"/>
      <c r="N2799" t="inlineStr"/>
    </row>
    <row r="2800">
      <c r="A2800" t="inlineStr">
        <is>
          <t>na-windhoek</t>
        </is>
      </c>
      <c r="B2800" t="inlineStr">
        <is>
          <t>Windhoek</t>
        </is>
      </c>
      <c r="C2800" t="inlineStr">
        <is>
          <t>Namibia</t>
        </is>
      </c>
      <c r="D2800" t="inlineStr">
        <is>
          <t>Africa</t>
        </is>
      </c>
      <c r="E2800" t="inlineStr">
        <is>
          <t>water_sanitation_utility_raw</t>
        </is>
      </c>
      <c r="F2800" t="inlineStr">
        <is>
          <t>Water, sanitation, and utility raw</t>
        </is>
      </c>
      <c r="G2800" t="inlineStr">
        <is>
          <t>viability</t>
        </is>
      </c>
      <c r="H2800" t="inlineStr">
        <is>
          <t>yes</t>
        </is>
      </c>
      <c r="I2800" t="inlineStr"/>
      <c r="J2800" t="inlineStr"/>
      <c r="K2800" t="inlineStr"/>
      <c r="L2800" t="inlineStr"/>
      <c r="M2800" t="inlineStr"/>
      <c r="N2800" t="inlineStr"/>
    </row>
    <row r="2801">
      <c r="A2801" t="inlineStr">
        <is>
          <t>na-windhoek</t>
        </is>
      </c>
      <c r="B2801" t="inlineStr">
        <is>
          <t>Windhoek</t>
        </is>
      </c>
      <c r="C2801" t="inlineStr">
        <is>
          <t>Namibia</t>
        </is>
      </c>
      <c r="D2801" t="inlineStr">
        <is>
          <t>Africa</t>
        </is>
      </c>
      <c r="E2801" t="inlineStr">
        <is>
          <t>digital_infrastructure_raw</t>
        </is>
      </c>
      <c r="F2801" t="inlineStr">
        <is>
          <t>Digital infrastructure raw</t>
        </is>
      </c>
      <c r="G2801" t="inlineStr">
        <is>
          <t>viability</t>
        </is>
      </c>
      <c r="H2801" t="inlineStr">
        <is>
          <t>yes</t>
        </is>
      </c>
      <c r="I2801" t="inlineStr">
        <is>
          <t>3.52</t>
        </is>
      </c>
      <c r="J2801" t="inlineStr">
        <is>
          <t>world_bank</t>
        </is>
      </c>
      <c r="K2801" t="inlineStr">
        <is>
          <t>https://api.worldbank.org/v2/country/NAM/indicator/IT.NET.BBND.P2?format=json&amp;mrv=10</t>
        </is>
      </c>
      <c r="L2801" t="inlineStr">
        <is>
          <t>World Bank WDI: Fixed broadband subscriptions (per 100 people)</t>
        </is>
      </c>
      <c r="M2801" t="inlineStr">
        <is>
          <t>2023-12-31</t>
        </is>
      </c>
      <c r="N2801" t="inlineStr">
        <is>
          <t>auto_ingest=world_bank_proxy; indicator=IT.NET.BBND.P2; year=2023; country_proxy=Namibia</t>
        </is>
      </c>
    </row>
    <row r="2802">
      <c r="A2802" t="inlineStr">
        <is>
          <t>na-windhoek</t>
        </is>
      </c>
      <c r="B2802" t="inlineStr">
        <is>
          <t>Windhoek</t>
        </is>
      </c>
      <c r="C2802" t="inlineStr">
        <is>
          <t>Namibia</t>
        </is>
      </c>
      <c r="D2802" t="inlineStr">
        <is>
          <t>Africa</t>
        </is>
      </c>
      <c r="E2802" t="inlineStr">
        <is>
          <t>climate_sunlight_livability_raw</t>
        </is>
      </c>
      <c r="F2802" t="inlineStr">
        <is>
          <t>Climate and sunlight livability raw</t>
        </is>
      </c>
      <c r="G2802" t="inlineStr">
        <is>
          <t>viability</t>
        </is>
      </c>
      <c r="H2802" t="inlineStr">
        <is>
          <t>yes</t>
        </is>
      </c>
      <c r="I2802" t="inlineStr"/>
      <c r="J2802" t="inlineStr"/>
      <c r="K2802" t="inlineStr"/>
      <c r="L2802" t="inlineStr"/>
      <c r="M2802" t="inlineStr"/>
      <c r="N2802" t="inlineStr"/>
    </row>
    <row r="2803">
      <c r="A2803" t="inlineStr">
        <is>
          <t>na-windhoek</t>
        </is>
      </c>
      <c r="B2803" t="inlineStr">
        <is>
          <t>Windhoek</t>
        </is>
      </c>
      <c r="C2803" t="inlineStr">
        <is>
          <t>Namibia</t>
        </is>
      </c>
      <c r="D2803" t="inlineStr">
        <is>
          <t>Africa</t>
        </is>
      </c>
      <c r="E2803" t="inlineStr">
        <is>
          <t>healthcare_quality_raw</t>
        </is>
      </c>
      <c r="F2803" t="inlineStr">
        <is>
          <t>Healthcare quality raw</t>
        </is>
      </c>
      <c r="G2803" t="inlineStr">
        <is>
          <t>capability</t>
        </is>
      </c>
      <c r="H2803" t="inlineStr">
        <is>
          <t>yes</t>
        </is>
      </c>
      <c r="I2803" t="inlineStr">
        <is>
          <t>66.0</t>
        </is>
      </c>
      <c r="J2803" t="inlineStr">
        <is>
          <t>who_gho</t>
        </is>
      </c>
      <c r="K2803" t="inlineStr">
        <is>
          <t>https://www.who.int/data/gho/data/indicators/indicator-details/GHO/UHC_INDEX_REPORTED</t>
        </is>
      </c>
      <c r="L2803" t="inlineStr">
        <is>
          <t>WHO GHO: UHC Service Coverage Index</t>
        </is>
      </c>
      <c r="M2803" t="inlineStr">
        <is>
          <t>2023-12-31</t>
        </is>
      </c>
      <c r="N2803" t="inlineStr">
        <is>
          <t>auto_ingest=who_gho; indicator=UHC_INDEX_REPORTED; year=2023; country_proxy=Namibia</t>
        </is>
      </c>
    </row>
    <row r="2804">
      <c r="A2804" t="inlineStr">
        <is>
          <t>na-windhoek</t>
        </is>
      </c>
      <c r="B2804" t="inlineStr">
        <is>
          <t>Windhoek</t>
        </is>
      </c>
      <c r="C2804" t="inlineStr">
        <is>
          <t>Namibia</t>
        </is>
      </c>
      <c r="D2804" t="inlineStr">
        <is>
          <t>Africa</t>
        </is>
      </c>
      <c r="E2804" t="inlineStr">
        <is>
          <t>education_quality_raw</t>
        </is>
      </c>
      <c r="F2804" t="inlineStr">
        <is>
          <t>Education quality raw</t>
        </is>
      </c>
      <c r="G2804" t="inlineStr">
        <is>
          <t>capability</t>
        </is>
      </c>
      <c r="H2804" t="inlineStr">
        <is>
          <t>yes</t>
        </is>
      </c>
      <c r="I2804" t="inlineStr">
        <is>
          <t>26.11</t>
        </is>
      </c>
      <c r="J2804" t="inlineStr">
        <is>
          <t>world_bank</t>
        </is>
      </c>
      <c r="K2804" t="inlineStr">
        <is>
          <t>https://api.worldbank.org/v2/country/NAM/indicator/SE.TER.ENRR?format=json&amp;mrv=10</t>
        </is>
      </c>
      <c r="L2804" t="inlineStr">
        <is>
          <t>World Bank WDI: School enrollment, tertiary (% gross)</t>
        </is>
      </c>
      <c r="M2804" t="inlineStr">
        <is>
          <t>2022-12-31</t>
        </is>
      </c>
      <c r="N2804" t="inlineStr">
        <is>
          <t>auto_ingest=world_bank_proxy; indicator=SE.TER.ENRR; year=2022; country_proxy=Namibia</t>
        </is>
      </c>
    </row>
    <row r="2805">
      <c r="A2805" t="inlineStr">
        <is>
          <t>na-windhoek</t>
        </is>
      </c>
      <c r="B2805" t="inlineStr">
        <is>
          <t>Windhoek</t>
        </is>
      </c>
      <c r="C2805" t="inlineStr">
        <is>
          <t>Namibia</t>
        </is>
      </c>
      <c r="D2805" t="inlineStr">
        <is>
          <t>Africa</t>
        </is>
      </c>
      <c r="E2805" t="inlineStr">
        <is>
          <t>equal_opportunity_raw</t>
        </is>
      </c>
      <c r="F2805" t="inlineStr">
        <is>
          <t>Equal opportunity raw</t>
        </is>
      </c>
      <c r="G2805" t="inlineStr">
        <is>
          <t>capability</t>
        </is>
      </c>
      <c r="H2805" t="inlineStr">
        <is>
          <t>yes</t>
        </is>
      </c>
      <c r="I2805" t="inlineStr">
        <is>
          <t>59.1</t>
        </is>
      </c>
      <c r="J2805" t="inlineStr">
        <is>
          <t>world_bank</t>
        </is>
      </c>
      <c r="K2805" t="inlineStr">
        <is>
          <t>https://api.worldbank.org/v2/country/NAM/indicator/SI.POV.GINI?format=json&amp;mrv=10</t>
        </is>
      </c>
      <c r="L2805" t="inlineStr">
        <is>
          <t>World Bank WDI: Gini index</t>
        </is>
      </c>
      <c r="M2805" t="inlineStr">
        <is>
          <t>2015-12-31</t>
        </is>
      </c>
      <c r="N2805" t="inlineStr">
        <is>
          <t>auto_ingest=world_bank_capability; indicator=SI.POV.GINI; year=2015; country_proxy=Namibia</t>
        </is>
      </c>
    </row>
    <row r="2806">
      <c r="A2806" t="inlineStr">
        <is>
          <t>na-windhoek</t>
        </is>
      </c>
      <c r="B2806" t="inlineStr">
        <is>
          <t>Windhoek</t>
        </is>
      </c>
      <c r="C2806" t="inlineStr">
        <is>
          <t>Namibia</t>
        </is>
      </c>
      <c r="D2806" t="inlineStr">
        <is>
          <t>Africa</t>
        </is>
      </c>
      <c r="E2806" t="inlineStr">
        <is>
          <t>hospitality_belonging_raw</t>
        </is>
      </c>
      <c r="F2806" t="inlineStr">
        <is>
          <t>Hospitality and belonging raw</t>
        </is>
      </c>
      <c r="G2806" t="inlineStr">
        <is>
          <t>community</t>
        </is>
      </c>
      <c r="H2806" t="inlineStr">
        <is>
          <t>yes</t>
        </is>
      </c>
      <c r="I2806" t="inlineStr">
        <is>
          <t>50.62</t>
        </is>
      </c>
      <c r="J2806" t="inlineStr">
        <is>
          <t>world_bank</t>
        </is>
      </c>
      <c r="K2806" t="inlineStr">
        <is>
          <t>https://api.worldbank.org/v2/country/NAM/indicator/SM.POP.NETM?format=json&amp;mrv=10</t>
        </is>
      </c>
      <c r="L2806" t="inlineStr">
        <is>
          <t>World Bank WDI: Net migration (proxy for hospitality/belonging — positive = welcoming)</t>
        </is>
      </c>
      <c r="M2806" t="inlineStr">
        <is>
          <t>2025-12-31</t>
        </is>
      </c>
      <c r="N2806" t="inlineStr">
        <is>
          <t>auto_ingest=world_bank_proxy; proxy=net_migration_hospitality; indicator=SM.POP.NETM; year=2025; country_proxy=Namibia</t>
        </is>
      </c>
    </row>
    <row r="2807">
      <c r="A2807" t="inlineStr">
        <is>
          <t>na-windhoek</t>
        </is>
      </c>
      <c r="B2807" t="inlineStr">
        <is>
          <t>Windhoek</t>
        </is>
      </c>
      <c r="C2807" t="inlineStr">
        <is>
          <t>Namibia</t>
        </is>
      </c>
      <c r="D2807" t="inlineStr">
        <is>
          <t>Africa</t>
        </is>
      </c>
      <c r="E2807" t="inlineStr">
        <is>
          <t>tolerance_pluralism_raw</t>
        </is>
      </c>
      <c r="F2807" t="inlineStr">
        <is>
          <t>Tolerance and pluralism raw</t>
        </is>
      </c>
      <c r="G2807" t="inlineStr">
        <is>
          <t>community</t>
        </is>
      </c>
      <c r="H2807" t="inlineStr">
        <is>
          <t>yes</t>
        </is>
      </c>
      <c r="I2807" t="inlineStr">
        <is>
          <t>40.62</t>
        </is>
      </c>
      <c r="J2807" t="inlineStr">
        <is>
          <t>world_bank</t>
        </is>
      </c>
      <c r="K2807" t="inlineStr">
        <is>
          <t>https://api.worldbank.org/v2/country/NAM/indicator/SG.GEN.PARL.ZS?format=json&amp;mrv=10</t>
        </is>
      </c>
      <c r="L2807" t="inlineStr">
        <is>
          <t>World Bank WDI: Proportion of seats held by women in national parliaments (%)</t>
        </is>
      </c>
      <c r="M2807" t="inlineStr">
        <is>
          <t>2024-12-31</t>
        </is>
      </c>
      <c r="N2807" t="inlineStr">
        <is>
          <t>auto_ingest=world_bank_proxy; proxy=gender_parity_parliament; indicator=SG.GEN.PARL.ZS; year=2024; country_proxy=Namibia</t>
        </is>
      </c>
    </row>
    <row r="2808">
      <c r="A2808" t="inlineStr">
        <is>
          <t>na-windhoek</t>
        </is>
      </c>
      <c r="B2808" t="inlineStr">
        <is>
          <t>Windhoek</t>
        </is>
      </c>
      <c r="C2808" t="inlineStr">
        <is>
          <t>Namibia</t>
        </is>
      </c>
      <c r="D2808" t="inlineStr">
        <is>
          <t>Africa</t>
        </is>
      </c>
      <c r="E2808" t="inlineStr">
        <is>
          <t>cultural_public_life_raw</t>
        </is>
      </c>
      <c r="F2808" t="inlineStr">
        <is>
          <t>Cultural public life raw</t>
        </is>
      </c>
      <c r="G2808" t="inlineStr">
        <is>
          <t>community</t>
        </is>
      </c>
      <c r="H2808" t="inlineStr">
        <is>
          <t>yes</t>
        </is>
      </c>
      <c r="I2808" t="inlineStr">
        <is>
          <t>61.75</t>
        </is>
      </c>
      <c r="J2808" t="inlineStr">
        <is>
          <t>world_bank</t>
        </is>
      </c>
      <c r="K2808" t="inlineStr">
        <is>
          <t>https://api.worldbank.org/v2/country/NAM/indicator/ST.INT.ARVL?format=json&amp;mrv=10</t>
        </is>
      </c>
      <c r="L2808" t="inlineStr">
        <is>
          <t>World Bank WDI: International tourism arrivals per 1 000 population</t>
        </is>
      </c>
      <c r="M2808" t="inlineStr">
        <is>
          <t>2020-12-31</t>
        </is>
      </c>
      <c r="N2808" t="inlineStr">
        <is>
          <t>auto_ingest=cultural_life_proxy; indicator=ST.INT.ARVL; norm=per_1000_pop; year=2020; country_proxy=Namibia</t>
        </is>
      </c>
    </row>
    <row r="2809">
      <c r="A2809" t="inlineStr">
        <is>
          <t>na-windhoek</t>
        </is>
      </c>
      <c r="B2809" t="inlineStr">
        <is>
          <t>Windhoek</t>
        </is>
      </c>
      <c r="C2809" t="inlineStr">
        <is>
          <t>Namibia</t>
        </is>
      </c>
      <c r="D2809" t="inlineStr">
        <is>
          <t>Africa</t>
        </is>
      </c>
      <c r="E2809" t="inlineStr">
        <is>
          <t>birth_rate_optimism_raw</t>
        </is>
      </c>
      <c r="F2809" t="inlineStr">
        <is>
          <t>Birth rate and societal optimism raw</t>
        </is>
      </c>
      <c r="G2809" t="inlineStr">
        <is>
          <t>community</t>
        </is>
      </c>
      <c r="H2809" t="inlineStr">
        <is>
          <t>yes</t>
        </is>
      </c>
      <c r="I2809" t="inlineStr"/>
      <c r="J2809" t="inlineStr"/>
      <c r="K2809" t="inlineStr"/>
      <c r="L2809" t="inlineStr"/>
      <c r="M2809" t="inlineStr"/>
      <c r="N2809" t="inlineStr"/>
    </row>
    <row r="2810">
      <c r="A2810" t="inlineStr">
        <is>
          <t>na-windhoek</t>
        </is>
      </c>
      <c r="B2810" t="inlineStr">
        <is>
          <t>Windhoek</t>
        </is>
      </c>
      <c r="C2810" t="inlineStr">
        <is>
          <t>Namibia</t>
        </is>
      </c>
      <c r="D2810" t="inlineStr">
        <is>
          <t>Africa</t>
        </is>
      </c>
      <c r="E2810" t="inlineStr">
        <is>
          <t>entrepreneurial_dynamism_raw</t>
        </is>
      </c>
      <c r="F2810" t="inlineStr">
        <is>
          <t>Entrepreneurial dynamism raw</t>
        </is>
      </c>
      <c r="G2810" t="inlineStr">
        <is>
          <t>creative</t>
        </is>
      </c>
      <c r="H2810" t="inlineStr">
        <is>
          <t>yes</t>
        </is>
      </c>
      <c r="I2810" t="inlineStr">
        <is>
          <t>0.75</t>
        </is>
      </c>
      <c r="J2810" t="inlineStr">
        <is>
          <t>world_bank</t>
        </is>
      </c>
      <c r="K2810" t="inlineStr">
        <is>
          <t>https://api.worldbank.org/v2/country/NAM/indicator/IC.BUS.NDNS.ZS?format=json&amp;mrv=10</t>
        </is>
      </c>
      <c r="L2810" t="inlineStr">
        <is>
          <t>World Bank WDI: New business density (new registrations per 1,000 people ages 15-64)</t>
        </is>
      </c>
      <c r="M2810" t="inlineStr">
        <is>
          <t>2022-12-31</t>
        </is>
      </c>
      <c r="N2810" t="inlineStr">
        <is>
          <t>auto_ingest=world_bank_creative_extended; indicator=IC.BUS.NDNS.ZS; year=2022; country_proxy=Namibia</t>
        </is>
      </c>
    </row>
    <row r="2811">
      <c r="A2811" t="inlineStr">
        <is>
          <t>na-windhoek</t>
        </is>
      </c>
      <c r="B2811" t="inlineStr">
        <is>
          <t>Windhoek</t>
        </is>
      </c>
      <c r="C2811" t="inlineStr">
        <is>
          <t>Namibia</t>
        </is>
      </c>
      <c r="D2811" t="inlineStr">
        <is>
          <t>Africa</t>
        </is>
      </c>
      <c r="E2811" t="inlineStr">
        <is>
          <t>innovation_research_intensity_raw</t>
        </is>
      </c>
      <c r="F2811" t="inlineStr">
        <is>
          <t>Innovation and research raw</t>
        </is>
      </c>
      <c r="G2811" t="inlineStr">
        <is>
          <t>creative</t>
        </is>
      </c>
      <c r="H2811" t="inlineStr">
        <is>
          <t>yes</t>
        </is>
      </c>
      <c r="I2811" t="inlineStr">
        <is>
          <t>0.65</t>
        </is>
      </c>
      <c r="J2811" t="inlineStr">
        <is>
          <t>world_bank</t>
        </is>
      </c>
      <c r="K2811" t="inlineStr">
        <is>
          <t>https://api.worldbank.org/v2/country/NAM/indicator/GB.XPD.RSDV.GD.ZS?format=json&amp;mrv=10</t>
        </is>
      </c>
      <c r="L2811" t="inlineStr">
        <is>
          <t>World Bank WDI: Research and development expenditure (% of GDP)</t>
        </is>
      </c>
      <c r="M2811" t="inlineStr">
        <is>
          <t>2022-12-31</t>
        </is>
      </c>
      <c r="N2811" t="inlineStr">
        <is>
          <t>auto_ingest=world_bank_creative_extended; indicator=GB.XPD.RSDV.GD.ZS; year=2022; country_proxy=Namibia</t>
        </is>
      </c>
    </row>
    <row r="2812">
      <c r="A2812" t="inlineStr">
        <is>
          <t>na-windhoek</t>
        </is>
      </c>
      <c r="B2812" t="inlineStr">
        <is>
          <t>Windhoek</t>
        </is>
      </c>
      <c r="C2812" t="inlineStr">
        <is>
          <t>Namibia</t>
        </is>
      </c>
      <c r="D2812" t="inlineStr">
        <is>
          <t>Africa</t>
        </is>
      </c>
      <c r="E2812" t="inlineStr">
        <is>
          <t>investment_signal_raw</t>
        </is>
      </c>
      <c r="F2812" t="inlineStr">
        <is>
          <t>Investment signal raw</t>
        </is>
      </c>
      <c r="G2812" t="inlineStr">
        <is>
          <t>creative</t>
        </is>
      </c>
      <c r="H2812" t="inlineStr">
        <is>
          <t>yes</t>
        </is>
      </c>
      <c r="I2812" t="inlineStr">
        <is>
          <t>14.76</t>
        </is>
      </c>
      <c r="J2812" t="inlineStr">
        <is>
          <t>world_bank</t>
        </is>
      </c>
      <c r="K2812" t="inlineStr">
        <is>
          <t>https://api.worldbank.org/v2/country/NAM/indicator/BX.KLT.DINV.WD.GD.ZS?format=json&amp;mrv=10</t>
        </is>
      </c>
      <c r="L2812" t="inlineStr">
        <is>
          <t>World Bank WDI: Foreign direct investment, net inflows (% of GDP)</t>
        </is>
      </c>
      <c r="M2812" t="inlineStr">
        <is>
          <t>2024-12-31</t>
        </is>
      </c>
      <c r="N2812" t="inlineStr">
        <is>
          <t>auto_ingest=world_bank_creative_extended; indicator=BX.KLT.DINV.WD.GD.ZS; year=2024; country_proxy=Namibia</t>
        </is>
      </c>
    </row>
    <row r="2813">
      <c r="A2813" t="inlineStr">
        <is>
          <t>na-windhoek</t>
        </is>
      </c>
      <c r="B2813" t="inlineStr">
        <is>
          <t>Windhoek</t>
        </is>
      </c>
      <c r="C2813" t="inlineStr">
        <is>
          <t>Namibia</t>
        </is>
      </c>
      <c r="D2813" t="inlineStr">
        <is>
          <t>Africa</t>
        </is>
      </c>
      <c r="E2813" t="inlineStr">
        <is>
          <t>administrative_investment_friction_raw</t>
        </is>
      </c>
      <c r="F2813" t="inlineStr">
        <is>
          <t>Administrative investment friction raw</t>
        </is>
      </c>
      <c r="G2813" t="inlineStr">
        <is>
          <t>creative</t>
        </is>
      </c>
      <c r="H2813" t="inlineStr">
        <is>
          <t>yes</t>
        </is>
      </c>
      <c r="I2813" t="inlineStr">
        <is>
          <t>2.56</t>
        </is>
      </c>
      <c r="J2813" t="inlineStr">
        <is>
          <t>world_bank</t>
        </is>
      </c>
      <c r="K2813" t="inlineStr">
        <is>
          <t>https://api.worldbank.org/v2/country/NAM/indicator/RQ.EST?format=json&amp;mrv=10</t>
        </is>
      </c>
      <c r="L2813" t="inlineStr">
        <is>
          <t>World Bank WGI: Regulatory Quality (inverted as friction proxy)</t>
        </is>
      </c>
      <c r="M2813" t="inlineStr">
        <is>
          <t>2023-12-31</t>
        </is>
      </c>
      <c r="N2813" t="inlineStr">
        <is>
          <t>auto_ingest=world_bank_business_friction; indicator=RQ.EST; raw_rq=-0.0622607916593552; friction=2.56; year=2023; country_proxy=Namibia</t>
        </is>
      </c>
    </row>
    <row r="2814">
      <c r="A2814" t="inlineStr">
        <is>
          <t>na-windhoek</t>
        </is>
      </c>
      <c r="B2814" t="inlineStr">
        <is>
          <t>Windhoek</t>
        </is>
      </c>
      <c r="C2814" t="inlineStr">
        <is>
          <t>Namibia</t>
        </is>
      </c>
      <c r="D2814" t="inlineStr">
        <is>
          <t>Africa</t>
        </is>
      </c>
      <c r="E2814" t="inlineStr">
        <is>
          <t>visitor_flow_context_raw</t>
        </is>
      </c>
      <c r="F2814" t="inlineStr">
        <is>
          <t>Visitor flow context raw</t>
        </is>
      </c>
      <c r="G2814" t="inlineStr">
        <is>
          <t>creative</t>
        </is>
      </c>
      <c r="H2814" t="inlineStr">
        <is>
          <t>no</t>
        </is>
      </c>
      <c r="I2814" t="inlineStr"/>
      <c r="J2814" t="inlineStr"/>
      <c r="K2814" t="inlineStr"/>
      <c r="L2814" t="inlineStr"/>
      <c r="M2814" t="inlineStr"/>
      <c r="N2814" t="inlineStr"/>
    </row>
    <row r="2815">
      <c r="A2815" t="inlineStr">
        <is>
          <t>gh-accra</t>
        </is>
      </c>
      <c r="B2815" t="inlineStr">
        <is>
          <t>Accra</t>
        </is>
      </c>
      <c r="C2815" t="inlineStr">
        <is>
          <t>Ghana</t>
        </is>
      </c>
      <c r="D2815" t="inlineStr">
        <is>
          <t>Africa</t>
        </is>
      </c>
      <c r="E2815" t="inlineStr">
        <is>
          <t>gross_income</t>
        </is>
      </c>
      <c r="F2815" t="inlineStr">
        <is>
          <t>Gross income</t>
        </is>
      </c>
      <c r="G2815" t="inlineStr">
        <is>
          <t>pressure</t>
        </is>
      </c>
      <c r="H2815" t="inlineStr">
        <is>
          <t>yes</t>
        </is>
      </c>
      <c r="I2815" t="inlineStr">
        <is>
          <t>643.33</t>
        </is>
      </c>
      <c r="J2815" t="inlineStr">
        <is>
          <t>world_bank_col_estimate</t>
        </is>
      </c>
      <c r="K2815" t="inlineStr">
        <is>
          <t>https://api.worldbank.org/v2/country/GHA/indicator/NY.GNP.PCAP.PP.CD?format=json&amp;mrv=10</t>
        </is>
      </c>
      <c r="L2815" t="inlineStr">
        <is>
          <t>World Bank WDI: GNI per capita PPP (monthly USD)</t>
        </is>
      </c>
      <c r="M2815" t="inlineStr">
        <is>
          <t>2024-12-31</t>
        </is>
      </c>
      <c r="N2815" t="inlineStr">
        <is>
          <t>auto_ingest=world_bank_col_estimate; gni_annual=7720.0; year=2024; country_proxy=Ghana; cohort=Africa</t>
        </is>
      </c>
    </row>
    <row r="2816">
      <c r="A2816" t="inlineStr">
        <is>
          <t>gh-accra</t>
        </is>
      </c>
      <c r="B2816" t="inlineStr">
        <is>
          <t>Accra</t>
        </is>
      </c>
      <c r="C2816" t="inlineStr">
        <is>
          <t>Ghana</t>
        </is>
      </c>
      <c r="D2816" t="inlineStr">
        <is>
          <t>Africa</t>
        </is>
      </c>
      <c r="E2816" t="inlineStr">
        <is>
          <t>di_ppp_raw</t>
        </is>
      </c>
      <c r="F2816" t="inlineStr">
        <is>
          <t>Disposable income PPP (Raw)</t>
        </is>
      </c>
      <c r="G2816" t="inlineStr">
        <is>
          <t>pressure</t>
        </is>
      </c>
      <c r="H2816" t="inlineStr">
        <is>
          <t>yes</t>
        </is>
      </c>
      <c r="I2816" t="inlineStr"/>
      <c r="J2816" t="inlineStr"/>
      <c r="K2816" t="inlineStr"/>
      <c r="L2816" t="inlineStr"/>
      <c r="M2816" t="inlineStr"/>
      <c r="N2816" t="inlineStr"/>
    </row>
    <row r="2817">
      <c r="A2817" t="inlineStr">
        <is>
          <t>gh-accra</t>
        </is>
      </c>
      <c r="B2817" t="inlineStr">
        <is>
          <t>Accra</t>
        </is>
      </c>
      <c r="C2817" t="inlineStr">
        <is>
          <t>Ghana</t>
        </is>
      </c>
      <c r="D2817" t="inlineStr">
        <is>
          <t>Africa</t>
        </is>
      </c>
      <c r="E2817" t="inlineStr">
        <is>
          <t>rent</t>
        </is>
      </c>
      <c r="F2817" t="inlineStr">
        <is>
          <t>Rent</t>
        </is>
      </c>
      <c r="G2817" t="inlineStr">
        <is>
          <t>pressure</t>
        </is>
      </c>
      <c r="H2817" t="inlineStr">
        <is>
          <t>yes</t>
        </is>
      </c>
      <c r="I2817" t="inlineStr">
        <is>
          <t>135.1</t>
        </is>
      </c>
      <c r="J2817" t="inlineStr">
        <is>
          <t>world_bank_col_estimate</t>
        </is>
      </c>
      <c r="K2817" t="inlineStr">
        <is>
          <t>https://api.worldbank.org/v2/country/GHA/indicator/NY.GNP.PCAP.PP.CD?format=json&amp;mrv=10</t>
        </is>
      </c>
      <c r="L2817" t="inlineStr">
        <is>
          <t>World Bank GNI + regional expenditure ratio estimate</t>
        </is>
      </c>
      <c r="M2817" t="inlineStr">
        <is>
          <t>2024-12-31</t>
        </is>
      </c>
      <c r="N2817" t="inlineStr">
        <is>
          <t>auto_ingest=world_bank_col_estimate; gni_annual=7720.0; year=2024; country_proxy=Ghana; cohort=Africa; city_cost_mult=1.05</t>
        </is>
      </c>
    </row>
    <row r="2818">
      <c r="A2818" t="inlineStr">
        <is>
          <t>gh-accra</t>
        </is>
      </c>
      <c r="B2818" t="inlineStr">
        <is>
          <t>Accra</t>
        </is>
      </c>
      <c r="C2818" t="inlineStr">
        <is>
          <t>Ghana</t>
        </is>
      </c>
      <c r="D2818" t="inlineStr">
        <is>
          <t>Africa</t>
        </is>
      </c>
      <c r="E2818" t="inlineStr">
        <is>
          <t>utilities</t>
        </is>
      </c>
      <c r="F2818" t="inlineStr">
        <is>
          <t>Utilities</t>
        </is>
      </c>
      <c r="G2818" t="inlineStr">
        <is>
          <t>pressure</t>
        </is>
      </c>
      <c r="H2818" t="inlineStr">
        <is>
          <t>yes</t>
        </is>
      </c>
      <c r="I2818" t="inlineStr">
        <is>
          <t>40.53</t>
        </is>
      </c>
      <c r="J2818" t="inlineStr">
        <is>
          <t>world_bank_col_estimate</t>
        </is>
      </c>
      <c r="K2818" t="inlineStr">
        <is>
          <t>https://api.worldbank.org/v2/country/GHA/indicator/NY.GNP.PCAP.PP.CD?format=json&amp;mrv=10</t>
        </is>
      </c>
      <c r="L2818" t="inlineStr">
        <is>
          <t>World Bank GNI + regional expenditure ratio estimate</t>
        </is>
      </c>
      <c r="M2818" t="inlineStr">
        <is>
          <t>2024-12-31</t>
        </is>
      </c>
      <c r="N2818" t="inlineStr">
        <is>
          <t>auto_ingest=world_bank_col_estimate; gni_annual=7720.0; year=2024; country_proxy=Ghana; cohort=Africa; city_cost_mult=1.05</t>
        </is>
      </c>
    </row>
    <row r="2819">
      <c r="A2819" t="inlineStr">
        <is>
          <t>gh-accra</t>
        </is>
      </c>
      <c r="B2819" t="inlineStr">
        <is>
          <t>Accra</t>
        </is>
      </c>
      <c r="C2819" t="inlineStr">
        <is>
          <t>Ghana</t>
        </is>
      </c>
      <c r="D2819" t="inlineStr">
        <is>
          <t>Africa</t>
        </is>
      </c>
      <c r="E2819" t="inlineStr">
        <is>
          <t>transit_cost</t>
        </is>
      </c>
      <c r="F2819" t="inlineStr">
        <is>
          <t>Transit cost</t>
        </is>
      </c>
      <c r="G2819" t="inlineStr">
        <is>
          <t>pressure</t>
        </is>
      </c>
      <c r="H2819" t="inlineStr">
        <is>
          <t>yes</t>
        </is>
      </c>
      <c r="I2819" t="inlineStr">
        <is>
          <t>27.02</t>
        </is>
      </c>
      <c r="J2819" t="inlineStr">
        <is>
          <t>world_bank_col_estimate</t>
        </is>
      </c>
      <c r="K2819" t="inlineStr">
        <is>
          <t>https://api.worldbank.org/v2/country/GHA/indicator/NY.GNP.PCAP.PP.CD?format=json&amp;mrv=10</t>
        </is>
      </c>
      <c r="L2819" t="inlineStr">
        <is>
          <t>World Bank GNI + regional expenditure ratio estimate</t>
        </is>
      </c>
      <c r="M2819" t="inlineStr">
        <is>
          <t>2024-12-31</t>
        </is>
      </c>
      <c r="N2819" t="inlineStr">
        <is>
          <t>auto_ingest=world_bank_col_estimate; gni_annual=7720.0; year=2024; country_proxy=Ghana; cohort=Africa; city_cost_mult=1.05</t>
        </is>
      </c>
    </row>
    <row r="2820">
      <c r="A2820" t="inlineStr">
        <is>
          <t>gh-accra</t>
        </is>
      </c>
      <c r="B2820" t="inlineStr">
        <is>
          <t>Accra</t>
        </is>
      </c>
      <c r="C2820" t="inlineStr">
        <is>
          <t>Ghana</t>
        </is>
      </c>
      <c r="D2820" t="inlineStr">
        <is>
          <t>Africa</t>
        </is>
      </c>
      <c r="E2820" t="inlineStr">
        <is>
          <t>internet_cost</t>
        </is>
      </c>
      <c r="F2820" t="inlineStr">
        <is>
          <t>Internet cost</t>
        </is>
      </c>
      <c r="G2820" t="inlineStr">
        <is>
          <t>pressure</t>
        </is>
      </c>
      <c r="H2820" t="inlineStr">
        <is>
          <t>yes</t>
        </is>
      </c>
      <c r="I2820" t="inlineStr">
        <is>
          <t>10.13</t>
        </is>
      </c>
      <c r="J2820" t="inlineStr">
        <is>
          <t>world_bank_col_estimate</t>
        </is>
      </c>
      <c r="K2820" t="inlineStr">
        <is>
          <t>https://api.worldbank.org/v2/country/GHA/indicator/NY.GNP.PCAP.PP.CD?format=json&amp;mrv=10</t>
        </is>
      </c>
      <c r="L2820" t="inlineStr">
        <is>
          <t>World Bank GNI + regional expenditure ratio estimate</t>
        </is>
      </c>
      <c r="M2820" t="inlineStr">
        <is>
          <t>2024-12-31</t>
        </is>
      </c>
      <c r="N2820" t="inlineStr">
        <is>
          <t>auto_ingest=world_bank_col_estimate; gni_annual=7720.0; year=2024; country_proxy=Ghana; cohort=Africa; city_cost_mult=1.05</t>
        </is>
      </c>
    </row>
    <row r="2821">
      <c r="A2821" t="inlineStr">
        <is>
          <t>gh-accra</t>
        </is>
      </c>
      <c r="B2821" t="inlineStr">
        <is>
          <t>Accra</t>
        </is>
      </c>
      <c r="C2821" t="inlineStr">
        <is>
          <t>Ghana</t>
        </is>
      </c>
      <c r="D2821" t="inlineStr">
        <is>
          <t>Africa</t>
        </is>
      </c>
      <c r="E2821" t="inlineStr">
        <is>
          <t>food_cost</t>
        </is>
      </c>
      <c r="F2821" t="inlineStr">
        <is>
          <t>Food cost</t>
        </is>
      </c>
      <c r="G2821" t="inlineStr">
        <is>
          <t>pressure</t>
        </is>
      </c>
      <c r="H2821" t="inlineStr">
        <is>
          <t>yes</t>
        </is>
      </c>
      <c r="I2821" t="inlineStr">
        <is>
          <t>168.87</t>
        </is>
      </c>
      <c r="J2821" t="inlineStr">
        <is>
          <t>world_bank_col_estimate</t>
        </is>
      </c>
      <c r="K2821" t="inlineStr">
        <is>
          <t>https://api.worldbank.org/v2/country/GHA/indicator/NY.GNP.PCAP.PP.CD?format=json&amp;mrv=10</t>
        </is>
      </c>
      <c r="L2821" t="inlineStr">
        <is>
          <t>World Bank GNI + regional expenditure ratio estimate</t>
        </is>
      </c>
      <c r="M2821" t="inlineStr">
        <is>
          <t>2024-12-31</t>
        </is>
      </c>
      <c r="N2821" t="inlineStr">
        <is>
          <t>auto_ingest=world_bank_col_estimate; gni_annual=7720.0; year=2024; country_proxy=Ghana; cohort=Africa; city_cost_mult=1.05</t>
        </is>
      </c>
    </row>
    <row r="2822">
      <c r="A2822" t="inlineStr">
        <is>
          <t>gh-accra</t>
        </is>
      </c>
      <c r="B2822" t="inlineStr">
        <is>
          <t>Accra</t>
        </is>
      </c>
      <c r="C2822" t="inlineStr">
        <is>
          <t>Ghana</t>
        </is>
      </c>
      <c r="D2822" t="inlineStr">
        <is>
          <t>Africa</t>
        </is>
      </c>
      <c r="E2822" t="inlineStr">
        <is>
          <t>housing_burden_raw</t>
        </is>
      </c>
      <c r="F2822" t="inlineStr">
        <is>
          <t>Housing burden raw</t>
        </is>
      </c>
      <c r="G2822" t="inlineStr">
        <is>
          <t>pressure</t>
        </is>
      </c>
      <c r="H2822" t="inlineStr">
        <is>
          <t>yes</t>
        </is>
      </c>
      <c r="I2822" t="inlineStr">
        <is>
          <t>21.0001</t>
        </is>
      </c>
      <c r="J2822" t="inlineStr">
        <is>
          <t>derived</t>
        </is>
      </c>
      <c r="K2822" t="inlineStr">
        <is>
          <t>https://data.worldbank.org/indicator/NY.GNP.PCAP.PP.CD</t>
        </is>
      </c>
      <c r="L2822" t="inlineStr">
        <is>
          <t>Computed from city_inputs + country_context</t>
        </is>
      </c>
      <c r="M2822" t="inlineStr">
        <is>
          <t>2024-01-01</t>
        </is>
      </c>
      <c r="N2822" t="inlineStr">
        <is>
          <t>derived=rent/gross_income*100</t>
        </is>
      </c>
    </row>
    <row r="2823">
      <c r="A2823" t="inlineStr">
        <is>
          <t>gh-accra</t>
        </is>
      </c>
      <c r="B2823" t="inlineStr">
        <is>
          <t>Accra</t>
        </is>
      </c>
      <c r="C2823" t="inlineStr">
        <is>
          <t>Ghana</t>
        </is>
      </c>
      <c r="D2823" t="inlineStr">
        <is>
          <t>Africa</t>
        </is>
      </c>
      <c r="E2823" t="inlineStr">
        <is>
          <t>household_debt_burden_raw</t>
        </is>
      </c>
      <c r="F2823" t="inlineStr">
        <is>
          <t>Household debt burden raw</t>
        </is>
      </c>
      <c r="G2823" t="inlineStr">
        <is>
          <t>pressure</t>
        </is>
      </c>
      <c r="H2823" t="inlineStr">
        <is>
          <t>yes</t>
        </is>
      </c>
      <c r="I2823" t="inlineStr">
        <is>
          <t>8.6512</t>
        </is>
      </c>
      <c r="J2823" t="inlineStr">
        <is>
          <t>derived</t>
        </is>
      </c>
      <c r="K2823" t="inlineStr">
        <is>
          <t>https://data.worldbank.org/indicator/NY.GNP.PCAP.PP.CD</t>
        </is>
      </c>
      <c r="L2823" t="inlineStr">
        <is>
          <t>Computed from city_inputs + country_context</t>
        </is>
      </c>
      <c r="M2823" t="inlineStr">
        <is>
          <t>2024-01-01</t>
        </is>
      </c>
      <c r="N2823" t="inlineStr">
        <is>
          <t>derived=country_context.household_debt_proxy; country=Ghana</t>
        </is>
      </c>
    </row>
    <row r="2824">
      <c r="A2824" t="inlineStr">
        <is>
          <t>gh-accra</t>
        </is>
      </c>
      <c r="B2824" t="inlineStr">
        <is>
          <t>Accra</t>
        </is>
      </c>
      <c r="C2824" t="inlineStr">
        <is>
          <t>Ghana</t>
        </is>
      </c>
      <c r="D2824" t="inlineStr">
        <is>
          <t>Africa</t>
        </is>
      </c>
      <c r="E2824" t="inlineStr">
        <is>
          <t>working_time_pressure_raw</t>
        </is>
      </c>
      <c r="F2824" t="inlineStr">
        <is>
          <t>Working time pressure raw</t>
        </is>
      </c>
      <c r="G2824" t="inlineStr">
        <is>
          <t>pressure</t>
        </is>
      </c>
      <c r="H2824" t="inlineStr">
        <is>
          <t>yes</t>
        </is>
      </c>
      <c r="I2824" t="inlineStr">
        <is>
          <t>35.53</t>
        </is>
      </c>
      <c r="J2824" t="inlineStr">
        <is>
          <t>ilo_ilostat</t>
        </is>
      </c>
      <c r="K2824" t="inlineStr">
        <is>
          <t>https://ilostat.ilo.org/data/indicator/?id=HOW_TEMP_SEX_ECO_NB_A&amp;ref_area=GHA</t>
        </is>
      </c>
      <c r="L2824" t="inlineStr">
        <is>
          <t>ILO ILOSTAT: Mean weekly hours actually worked per employed person</t>
        </is>
      </c>
      <c r="M2824" t="inlineStr">
        <is>
          <t>2024-12-31</t>
        </is>
      </c>
      <c r="N2824" t="inlineStr">
        <is>
          <t>auto_ingest=ilo_working_hours; indicator=HOW_TEMP_SEX_ECO_NB_A; year=2024; hours=35.53; country_proxy=Ghana</t>
        </is>
      </c>
    </row>
    <row r="2825">
      <c r="A2825" t="inlineStr">
        <is>
          <t>gh-accra</t>
        </is>
      </c>
      <c r="B2825" t="inlineStr">
        <is>
          <t>Accra</t>
        </is>
      </c>
      <c r="C2825" t="inlineStr">
        <is>
          <t>Ghana</t>
        </is>
      </c>
      <c r="D2825" t="inlineStr">
        <is>
          <t>Africa</t>
        </is>
      </c>
      <c r="E2825" t="inlineStr">
        <is>
          <t>suicide_mental_strain_raw</t>
        </is>
      </c>
      <c r="F2825" t="inlineStr">
        <is>
          <t>Suicide or mental strain raw</t>
        </is>
      </c>
      <c r="G2825" t="inlineStr">
        <is>
          <t>pressure</t>
        </is>
      </c>
      <c r="H2825" t="inlineStr">
        <is>
          <t>yes</t>
        </is>
      </c>
      <c r="I2825" t="inlineStr">
        <is>
          <t>5.32</t>
        </is>
      </c>
      <c r="J2825" t="inlineStr">
        <is>
          <t>who_gho</t>
        </is>
      </c>
      <c r="K2825" t="inlineStr">
        <is>
          <t>https://www.who.int/data/gho/data/indicators/indicator-details/GHO/SDGSUICIDE</t>
        </is>
      </c>
      <c r="L2825" t="inlineStr">
        <is>
          <t>WHO GHO: Age-standardized suicide rate (per 100,000 population)</t>
        </is>
      </c>
      <c r="M2825" t="inlineStr">
        <is>
          <t>2021-12-31</t>
        </is>
      </c>
      <c r="N2825" t="inlineStr">
        <is>
          <t>auto_ingest=who_gho; indicator=SDGSUICIDE; year=2021; country_proxy=Ghana</t>
        </is>
      </c>
    </row>
    <row r="2826">
      <c r="A2826" t="inlineStr">
        <is>
          <t>gh-accra</t>
        </is>
      </c>
      <c r="B2826" t="inlineStr">
        <is>
          <t>Accra</t>
        </is>
      </c>
      <c r="C2826" t="inlineStr">
        <is>
          <t>Ghana</t>
        </is>
      </c>
      <c r="D2826" t="inlineStr">
        <is>
          <t>Africa</t>
        </is>
      </c>
      <c r="E2826" t="inlineStr">
        <is>
          <t>personal_safety_raw</t>
        </is>
      </c>
      <c r="F2826" t="inlineStr">
        <is>
          <t>Personal safety raw</t>
        </is>
      </c>
      <c r="G2826" t="inlineStr">
        <is>
          <t>viability</t>
        </is>
      </c>
      <c r="H2826" t="inlineStr">
        <is>
          <t>yes</t>
        </is>
      </c>
      <c r="I2826" t="inlineStr">
        <is>
          <t>1.83</t>
        </is>
      </c>
      <c r="J2826" t="inlineStr">
        <is>
          <t>world_bank</t>
        </is>
      </c>
      <c r="K2826" t="inlineStr">
        <is>
          <t>https://api.worldbank.org/v2/country/GHA/indicator/VC.IHR.PSRC.P5?format=json&amp;mrv=10</t>
        </is>
      </c>
      <c r="L2826" t="inlineStr">
        <is>
          <t>UNODC via World Bank WDI: Intentional homicides (per 100,000 people)</t>
        </is>
      </c>
      <c r="M2826" t="inlineStr">
        <is>
          <t>2022-12-31</t>
        </is>
      </c>
      <c r="N2826" t="inlineStr">
        <is>
          <t>auto_ingest=unodc_safety; indicator=VC.IHR.PSRC.P5; year=2022; country_proxy=Ghana</t>
        </is>
      </c>
    </row>
    <row r="2827">
      <c r="A2827" t="inlineStr">
        <is>
          <t>gh-accra</t>
        </is>
      </c>
      <c r="B2827" t="inlineStr">
        <is>
          <t>Accra</t>
        </is>
      </c>
      <c r="C2827" t="inlineStr">
        <is>
          <t>Ghana</t>
        </is>
      </c>
      <c r="D2827" t="inlineStr">
        <is>
          <t>Africa</t>
        </is>
      </c>
      <c r="E2827" t="inlineStr">
        <is>
          <t>transit_access_commute_raw</t>
        </is>
      </c>
      <c r="F2827" t="inlineStr">
        <is>
          <t>Transit access and commute raw</t>
        </is>
      </c>
      <c r="G2827" t="inlineStr">
        <is>
          <t>viability</t>
        </is>
      </c>
      <c r="H2827" t="inlineStr">
        <is>
          <t>yes</t>
        </is>
      </c>
      <c r="I2827" t="inlineStr"/>
      <c r="J2827" t="inlineStr"/>
      <c r="K2827" t="inlineStr"/>
      <c r="L2827" t="inlineStr"/>
      <c r="M2827" t="inlineStr"/>
      <c r="N2827" t="inlineStr"/>
    </row>
    <row r="2828">
      <c r="A2828" t="inlineStr">
        <is>
          <t>gh-accra</t>
        </is>
      </c>
      <c r="B2828" t="inlineStr">
        <is>
          <t>Accra</t>
        </is>
      </c>
      <c r="C2828" t="inlineStr">
        <is>
          <t>Ghana</t>
        </is>
      </c>
      <c r="D2828" t="inlineStr">
        <is>
          <t>Africa</t>
        </is>
      </c>
      <c r="E2828" t="inlineStr">
        <is>
          <t>clean_air_raw</t>
        </is>
      </c>
      <c r="F2828" t="inlineStr">
        <is>
          <t>Clean air raw</t>
        </is>
      </c>
      <c r="G2828" t="inlineStr">
        <is>
          <t>viability</t>
        </is>
      </c>
      <c r="H2828" t="inlineStr">
        <is>
          <t>yes</t>
        </is>
      </c>
      <c r="I2828" t="inlineStr"/>
      <c r="J2828" t="inlineStr"/>
      <c r="K2828" t="inlineStr"/>
      <c r="L2828" t="inlineStr"/>
      <c r="M2828" t="inlineStr"/>
      <c r="N2828" t="inlineStr"/>
    </row>
    <row r="2829">
      <c r="A2829" t="inlineStr">
        <is>
          <t>gh-accra</t>
        </is>
      </c>
      <c r="B2829" t="inlineStr">
        <is>
          <t>Accra</t>
        </is>
      </c>
      <c r="C2829" t="inlineStr">
        <is>
          <t>Ghana</t>
        </is>
      </c>
      <c r="D2829" t="inlineStr">
        <is>
          <t>Africa</t>
        </is>
      </c>
      <c r="E2829" t="inlineStr">
        <is>
          <t>water_sanitation_utility_raw</t>
        </is>
      </c>
      <c r="F2829" t="inlineStr">
        <is>
          <t>Water, sanitation, and utility raw</t>
        </is>
      </c>
      <c r="G2829" t="inlineStr">
        <is>
          <t>viability</t>
        </is>
      </c>
      <c r="H2829" t="inlineStr">
        <is>
          <t>yes</t>
        </is>
      </c>
      <c r="I2829" t="inlineStr">
        <is>
          <t>42.94</t>
        </is>
      </c>
      <c r="J2829" t="inlineStr">
        <is>
          <t>world_bank</t>
        </is>
      </c>
      <c r="K2829" t="inlineStr">
        <is>
          <t>https://api.worldbank.org/v2/country/GHA/indicator/SH.H2O.SMDW.ZS?format=json&amp;mrv=10</t>
        </is>
      </c>
      <c r="L2829" t="inlineStr">
        <is>
          <t>World Bank WDI: People using safely managed drinking water services (% of population)</t>
        </is>
      </c>
      <c r="M2829" t="inlineStr">
        <is>
          <t>2024-12-31</t>
        </is>
      </c>
      <c r="N2829" t="inlineStr">
        <is>
          <t>auto_ingest=world_bank_proxy; indicator=SH.H2O.SMDW.ZS; year=2024; country_proxy=Ghana</t>
        </is>
      </c>
    </row>
    <row r="2830">
      <c r="A2830" t="inlineStr">
        <is>
          <t>gh-accra</t>
        </is>
      </c>
      <c r="B2830" t="inlineStr">
        <is>
          <t>Accra</t>
        </is>
      </c>
      <c r="C2830" t="inlineStr">
        <is>
          <t>Ghana</t>
        </is>
      </c>
      <c r="D2830" t="inlineStr">
        <is>
          <t>Africa</t>
        </is>
      </c>
      <c r="E2830" t="inlineStr">
        <is>
          <t>digital_infrastructure_raw</t>
        </is>
      </c>
      <c r="F2830" t="inlineStr">
        <is>
          <t>Digital infrastructure raw</t>
        </is>
      </c>
      <c r="G2830" t="inlineStr">
        <is>
          <t>viability</t>
        </is>
      </c>
      <c r="H2830" t="inlineStr">
        <is>
          <t>yes</t>
        </is>
      </c>
      <c r="I2830" t="inlineStr">
        <is>
          <t>0.56</t>
        </is>
      </c>
      <c r="J2830" t="inlineStr">
        <is>
          <t>world_bank</t>
        </is>
      </c>
      <c r="K2830" t="inlineStr">
        <is>
          <t>https://api.worldbank.org/v2/country/GHA/indicator/IT.NET.BBND.P2?format=json&amp;mrv=10</t>
        </is>
      </c>
      <c r="L2830" t="inlineStr">
        <is>
          <t>World Bank WDI: Fixed broadband subscriptions (per 100 people)</t>
        </is>
      </c>
      <c r="M2830" t="inlineStr">
        <is>
          <t>2023-12-31</t>
        </is>
      </c>
      <c r="N2830" t="inlineStr">
        <is>
          <t>auto_ingest=world_bank_proxy; indicator=IT.NET.BBND.P2; year=2023; country_proxy=Ghana</t>
        </is>
      </c>
    </row>
    <row r="2831">
      <c r="A2831" t="inlineStr">
        <is>
          <t>gh-accra</t>
        </is>
      </c>
      <c r="B2831" t="inlineStr">
        <is>
          <t>Accra</t>
        </is>
      </c>
      <c r="C2831" t="inlineStr">
        <is>
          <t>Ghana</t>
        </is>
      </c>
      <c r="D2831" t="inlineStr">
        <is>
          <t>Africa</t>
        </is>
      </c>
      <c r="E2831" t="inlineStr">
        <is>
          <t>climate_sunlight_livability_raw</t>
        </is>
      </c>
      <c r="F2831" t="inlineStr">
        <is>
          <t>Climate and sunlight livability raw</t>
        </is>
      </c>
      <c r="G2831" t="inlineStr">
        <is>
          <t>viability</t>
        </is>
      </c>
      <c r="H2831" t="inlineStr">
        <is>
          <t>yes</t>
        </is>
      </c>
      <c r="I2831" t="inlineStr">
        <is>
          <t>56</t>
        </is>
      </c>
      <c r="J2831" t="inlineStr">
        <is>
          <t>wmo_natl_met</t>
        </is>
      </c>
      <c r="K2831" t="inlineStr">
        <is>
          <t>https://worldweather.wmo.int</t>
        </is>
      </c>
      <c r="L2831" t="inlineStr">
        <is>
          <t>WMO/National Met: Climate livability composite</t>
        </is>
      </c>
      <c r="M2831" t="inlineStr">
        <is>
          <t>2024-12-31</t>
        </is>
      </c>
      <c r="N2831" t="inlineStr">
        <is>
          <t>auto_seed=climate_composite; 2200 sun hrs, 27C mean, coastal humid</t>
        </is>
      </c>
    </row>
    <row r="2832">
      <c r="A2832" t="inlineStr">
        <is>
          <t>gh-accra</t>
        </is>
      </c>
      <c r="B2832" t="inlineStr">
        <is>
          <t>Accra</t>
        </is>
      </c>
      <c r="C2832" t="inlineStr">
        <is>
          <t>Ghana</t>
        </is>
      </c>
      <c r="D2832" t="inlineStr">
        <is>
          <t>Africa</t>
        </is>
      </c>
      <c r="E2832" t="inlineStr">
        <is>
          <t>healthcare_quality_raw</t>
        </is>
      </c>
      <c r="F2832" t="inlineStr">
        <is>
          <t>Healthcare quality raw</t>
        </is>
      </c>
      <c r="G2832" t="inlineStr">
        <is>
          <t>capability</t>
        </is>
      </c>
      <c r="H2832" t="inlineStr">
        <is>
          <t>yes</t>
        </is>
      </c>
      <c r="I2832" t="inlineStr">
        <is>
          <t>56.0</t>
        </is>
      </c>
      <c r="J2832" t="inlineStr">
        <is>
          <t>who_gho</t>
        </is>
      </c>
      <c r="K2832" t="inlineStr">
        <is>
          <t>https://www.who.int/data/gho/data/indicators/indicator-details/GHO/UHC_INDEX_REPORTED</t>
        </is>
      </c>
      <c r="L2832" t="inlineStr">
        <is>
          <t>WHO GHO: UHC Service Coverage Index</t>
        </is>
      </c>
      <c r="M2832" t="inlineStr">
        <is>
          <t>2023-12-31</t>
        </is>
      </c>
      <c r="N2832" t="inlineStr">
        <is>
          <t>auto_ingest=who_gho; indicator=UHC_INDEX_REPORTED; year=2023; country_proxy=Ghana</t>
        </is>
      </c>
    </row>
    <row r="2833">
      <c r="A2833" t="inlineStr">
        <is>
          <t>gh-accra</t>
        </is>
      </c>
      <c r="B2833" t="inlineStr">
        <is>
          <t>Accra</t>
        </is>
      </c>
      <c r="C2833" t="inlineStr">
        <is>
          <t>Ghana</t>
        </is>
      </c>
      <c r="D2833" t="inlineStr">
        <is>
          <t>Africa</t>
        </is>
      </c>
      <c r="E2833" t="inlineStr">
        <is>
          <t>education_quality_raw</t>
        </is>
      </c>
      <c r="F2833" t="inlineStr">
        <is>
          <t>Education quality raw</t>
        </is>
      </c>
      <c r="G2833" t="inlineStr">
        <is>
          <t>capability</t>
        </is>
      </c>
      <c r="H2833" t="inlineStr">
        <is>
          <t>yes</t>
        </is>
      </c>
      <c r="I2833" t="inlineStr">
        <is>
          <t>22.1</t>
        </is>
      </c>
      <c r="J2833" t="inlineStr">
        <is>
          <t>world_bank</t>
        </is>
      </c>
      <c r="K2833" t="inlineStr">
        <is>
          <t>https://api.worldbank.org/v2/country/GHA/indicator/SE.TER.ENRR?format=json&amp;mrv=10</t>
        </is>
      </c>
      <c r="L2833" t="inlineStr">
        <is>
          <t>World Bank WDI: School enrollment, tertiary (% gross)</t>
        </is>
      </c>
      <c r="M2833" t="inlineStr">
        <is>
          <t>2023-12-31</t>
        </is>
      </c>
      <c r="N2833" t="inlineStr">
        <is>
          <t>auto_ingest=world_bank_proxy; indicator=SE.TER.ENRR; year=2023; country_proxy=Ghana</t>
        </is>
      </c>
    </row>
    <row r="2834">
      <c r="A2834" t="inlineStr">
        <is>
          <t>gh-accra</t>
        </is>
      </c>
      <c r="B2834" t="inlineStr">
        <is>
          <t>Accra</t>
        </is>
      </c>
      <c r="C2834" t="inlineStr">
        <is>
          <t>Ghana</t>
        </is>
      </c>
      <c r="D2834" t="inlineStr">
        <is>
          <t>Africa</t>
        </is>
      </c>
      <c r="E2834" t="inlineStr">
        <is>
          <t>equal_opportunity_raw</t>
        </is>
      </c>
      <c r="F2834" t="inlineStr">
        <is>
          <t>Equal opportunity raw</t>
        </is>
      </c>
      <c r="G2834" t="inlineStr">
        <is>
          <t>capability</t>
        </is>
      </c>
      <c r="H2834" t="inlineStr">
        <is>
          <t>yes</t>
        </is>
      </c>
      <c r="I2834" t="inlineStr">
        <is>
          <t>43.5</t>
        </is>
      </c>
      <c r="J2834" t="inlineStr">
        <is>
          <t>world_bank</t>
        </is>
      </c>
      <c r="K2834" t="inlineStr">
        <is>
          <t>https://api.worldbank.org/v2/country/GHA/indicator/SI.POV.GINI?format=json&amp;mrv=10</t>
        </is>
      </c>
      <c r="L2834" t="inlineStr">
        <is>
          <t>World Bank WDI: Gini index</t>
        </is>
      </c>
      <c r="M2834" t="inlineStr">
        <is>
          <t>2016-12-31</t>
        </is>
      </c>
      <c r="N2834" t="inlineStr">
        <is>
          <t>auto_ingest=world_bank_capability; indicator=SI.POV.GINI; year=2016; country_proxy=Ghana</t>
        </is>
      </c>
    </row>
    <row r="2835">
      <c r="A2835" t="inlineStr">
        <is>
          <t>gh-accra</t>
        </is>
      </c>
      <c r="B2835" t="inlineStr">
        <is>
          <t>Accra</t>
        </is>
      </c>
      <c r="C2835" t="inlineStr">
        <is>
          <t>Ghana</t>
        </is>
      </c>
      <c r="D2835" t="inlineStr">
        <is>
          <t>Africa</t>
        </is>
      </c>
      <c r="E2835" t="inlineStr">
        <is>
          <t>hospitality_belonging_raw</t>
        </is>
      </c>
      <c r="F2835" t="inlineStr">
        <is>
          <t>Hospitality and belonging raw</t>
        </is>
      </c>
      <c r="G2835" t="inlineStr">
        <is>
          <t>community</t>
        </is>
      </c>
      <c r="H2835" t="inlineStr">
        <is>
          <t>yes</t>
        </is>
      </c>
      <c r="I2835" t="inlineStr">
        <is>
          <t>49.5</t>
        </is>
      </c>
      <c r="J2835" t="inlineStr">
        <is>
          <t>world_bank</t>
        </is>
      </c>
      <c r="K2835" t="inlineStr">
        <is>
          <t>https://api.worldbank.org/v2/country/GHA/indicator/SM.POP.NETM?format=json&amp;mrv=10</t>
        </is>
      </c>
      <c r="L2835" t="inlineStr">
        <is>
          <t>World Bank WDI: Net migration (proxy for hospitality/belonging — positive = welcoming)</t>
        </is>
      </c>
      <c r="M2835" t="inlineStr">
        <is>
          <t>2025-12-31</t>
        </is>
      </c>
      <c r="N2835" t="inlineStr">
        <is>
          <t>auto_ingest=world_bank_proxy; proxy=net_migration_hospitality; indicator=SM.POP.NETM; year=2025; country_proxy=Ghana</t>
        </is>
      </c>
    </row>
    <row r="2836">
      <c r="A2836" t="inlineStr">
        <is>
          <t>gh-accra</t>
        </is>
      </c>
      <c r="B2836" t="inlineStr">
        <is>
          <t>Accra</t>
        </is>
      </c>
      <c r="C2836" t="inlineStr">
        <is>
          <t>Ghana</t>
        </is>
      </c>
      <c r="D2836" t="inlineStr">
        <is>
          <t>Africa</t>
        </is>
      </c>
      <c r="E2836" t="inlineStr">
        <is>
          <t>tolerance_pluralism_raw</t>
        </is>
      </c>
      <c r="F2836" t="inlineStr">
        <is>
          <t>Tolerance and pluralism raw</t>
        </is>
      </c>
      <c r="G2836" t="inlineStr">
        <is>
          <t>community</t>
        </is>
      </c>
      <c r="H2836" t="inlineStr">
        <is>
          <t>yes</t>
        </is>
      </c>
      <c r="I2836" t="inlineStr">
        <is>
          <t>14.55</t>
        </is>
      </c>
      <c r="J2836" t="inlineStr">
        <is>
          <t>world_bank</t>
        </is>
      </c>
      <c r="K2836" t="inlineStr">
        <is>
          <t>https://api.worldbank.org/v2/country/GHA/indicator/SG.GEN.PARL.ZS?format=json&amp;mrv=10</t>
        </is>
      </c>
      <c r="L2836" t="inlineStr">
        <is>
          <t>World Bank WDI: Proportion of seats held by women in national parliaments (%)</t>
        </is>
      </c>
      <c r="M2836" t="inlineStr">
        <is>
          <t>2024-12-31</t>
        </is>
      </c>
      <c r="N2836" t="inlineStr">
        <is>
          <t>auto_ingest=world_bank_proxy; proxy=gender_parity_parliament; indicator=SG.GEN.PARL.ZS; year=2024; country_proxy=Ghana</t>
        </is>
      </c>
    </row>
    <row r="2837">
      <c r="A2837" t="inlineStr">
        <is>
          <t>gh-accra</t>
        </is>
      </c>
      <c r="B2837" t="inlineStr">
        <is>
          <t>Accra</t>
        </is>
      </c>
      <c r="C2837" t="inlineStr">
        <is>
          <t>Ghana</t>
        </is>
      </c>
      <c r="D2837" t="inlineStr">
        <is>
          <t>Africa</t>
        </is>
      </c>
      <c r="E2837" t="inlineStr">
        <is>
          <t>cultural_public_life_raw</t>
        </is>
      </c>
      <c r="F2837" t="inlineStr">
        <is>
          <t>Cultural public life raw</t>
        </is>
      </c>
      <c r="G2837" t="inlineStr">
        <is>
          <t>community</t>
        </is>
      </c>
      <c r="H2837" t="inlineStr">
        <is>
          <t>yes</t>
        </is>
      </c>
      <c r="I2837" t="inlineStr">
        <is>
          <t>34.64</t>
        </is>
      </c>
      <c r="J2837" t="inlineStr">
        <is>
          <t>world_bank</t>
        </is>
      </c>
      <c r="K2837" t="inlineStr">
        <is>
          <t>https://api.worldbank.org/v2/country/GHA/indicator/SP.POP.DPND?format=json&amp;mrv=10</t>
        </is>
      </c>
      <c r="L2837" t="inlineStr">
        <is>
          <t>World Bank WDI: Age dependency ratio (% of working-age population), inverted as social vitality proxy</t>
        </is>
      </c>
      <c r="M2837" t="inlineStr">
        <is>
          <t>2024-12-31</t>
        </is>
      </c>
      <c r="N2837" t="inlineStr">
        <is>
          <t>auto_ingest=world_bank_proxy; proxy=inverse_dependency_ratio_social_vitality; indicator=SP.POP.DPND; year=2024; country_proxy=Ghana</t>
        </is>
      </c>
    </row>
    <row r="2838">
      <c r="A2838" t="inlineStr">
        <is>
          <t>gh-accra</t>
        </is>
      </c>
      <c r="B2838" t="inlineStr">
        <is>
          <t>Accra</t>
        </is>
      </c>
      <c r="C2838" t="inlineStr">
        <is>
          <t>Ghana</t>
        </is>
      </c>
      <c r="D2838" t="inlineStr">
        <is>
          <t>Africa</t>
        </is>
      </c>
      <c r="E2838" t="inlineStr">
        <is>
          <t>birth_rate_optimism_raw</t>
        </is>
      </c>
      <c r="F2838" t="inlineStr">
        <is>
          <t>Birth rate and societal optimism raw</t>
        </is>
      </c>
      <c r="G2838" t="inlineStr">
        <is>
          <t>community</t>
        </is>
      </c>
      <c r="H2838" t="inlineStr">
        <is>
          <t>yes</t>
        </is>
      </c>
      <c r="I2838" t="inlineStr">
        <is>
          <t>3.6</t>
        </is>
      </c>
      <c r="J2838" t="inlineStr">
        <is>
          <t>world_bank</t>
        </is>
      </c>
      <c r="K2838" t="inlineStr">
        <is>
          <t>https://data.worldbank.org/indicator/SP.DYN.TFRT.IN</t>
        </is>
      </c>
      <c r="L2838" t="inlineStr">
        <is>
          <t>World Bank Total Fertility Rate 2023</t>
        </is>
      </c>
      <c r="M2838" t="inlineStr">
        <is>
          <t>2024-01-01</t>
        </is>
      </c>
      <c r="N2838" t="inlineStr"/>
    </row>
    <row r="2839">
      <c r="A2839" t="inlineStr">
        <is>
          <t>gh-accra</t>
        </is>
      </c>
      <c r="B2839" t="inlineStr">
        <is>
          <t>Accra</t>
        </is>
      </c>
      <c r="C2839" t="inlineStr">
        <is>
          <t>Ghana</t>
        </is>
      </c>
      <c r="D2839" t="inlineStr">
        <is>
          <t>Africa</t>
        </is>
      </c>
      <c r="E2839" t="inlineStr">
        <is>
          <t>entrepreneurial_dynamism_raw</t>
        </is>
      </c>
      <c r="F2839" t="inlineStr">
        <is>
          <t>Entrepreneurial dynamism raw</t>
        </is>
      </c>
      <c r="G2839" t="inlineStr">
        <is>
          <t>creative</t>
        </is>
      </c>
      <c r="H2839" t="inlineStr">
        <is>
          <t>yes</t>
        </is>
      </c>
      <c r="I2839" t="inlineStr">
        <is>
          <t>1.32</t>
        </is>
      </c>
      <c r="J2839" t="inlineStr">
        <is>
          <t>world_bank</t>
        </is>
      </c>
      <c r="K2839" t="inlineStr">
        <is>
          <t>https://api.worldbank.org/v2/country/GHA/indicator/IC.BUS.NDNS.ZS?format=json&amp;mrv=10</t>
        </is>
      </c>
      <c r="L2839" t="inlineStr">
        <is>
          <t>World Bank WDI: New business density (new registrations per 1,000 people ages 15-64)</t>
        </is>
      </c>
      <c r="M2839" t="inlineStr">
        <is>
          <t>2022-12-31</t>
        </is>
      </c>
      <c r="N2839" t="inlineStr">
        <is>
          <t>auto_ingest=world_bank_creative_extended; indicator=IC.BUS.NDNS.ZS; year=2022; country_proxy=Ghana</t>
        </is>
      </c>
    </row>
    <row r="2840">
      <c r="A2840" t="inlineStr">
        <is>
          <t>gh-accra</t>
        </is>
      </c>
      <c r="B2840" t="inlineStr">
        <is>
          <t>Accra</t>
        </is>
      </c>
      <c r="C2840" t="inlineStr">
        <is>
          <t>Ghana</t>
        </is>
      </c>
      <c r="D2840" t="inlineStr">
        <is>
          <t>Africa</t>
        </is>
      </c>
      <c r="E2840" t="inlineStr">
        <is>
          <t>innovation_research_intensity_raw</t>
        </is>
      </c>
      <c r="F2840" t="inlineStr">
        <is>
          <t>Innovation and research raw</t>
        </is>
      </c>
      <c r="G2840" t="inlineStr">
        <is>
          <t>creative</t>
        </is>
      </c>
      <c r="H2840" t="inlineStr">
        <is>
          <t>yes</t>
        </is>
      </c>
      <c r="I2840" t="inlineStr">
        <is>
          <t>0.58</t>
        </is>
      </c>
      <c r="J2840" t="inlineStr">
        <is>
          <t>world_bank</t>
        </is>
      </c>
      <c r="K2840" t="inlineStr">
        <is>
          <t>https://api.worldbank.org/v2/country/GHA/indicator/IP.PAT.RESD?format=json&amp;mrv=10</t>
        </is>
      </c>
      <c r="L2840" t="inlineStr">
        <is>
          <t>World Bank WDI: Patent applications (residents + non-residents) per million population</t>
        </is>
      </c>
      <c r="M2840" t="inlineStr">
        <is>
          <t>2020-12-31</t>
        </is>
      </c>
      <c r="N2840" t="inlineStr">
        <is>
          <t>auto_ingest=wipo_patents_proxy; indicators=IP.PAT.RESD+IP.PAT.NRES; norm=per_million_pop; year=2020; country_proxy=Ghana</t>
        </is>
      </c>
    </row>
    <row r="2841">
      <c r="A2841" t="inlineStr">
        <is>
          <t>gh-accra</t>
        </is>
      </c>
      <c r="B2841" t="inlineStr">
        <is>
          <t>Accra</t>
        </is>
      </c>
      <c r="C2841" t="inlineStr">
        <is>
          <t>Ghana</t>
        </is>
      </c>
      <c r="D2841" t="inlineStr">
        <is>
          <t>Africa</t>
        </is>
      </c>
      <c r="E2841" t="inlineStr">
        <is>
          <t>investment_signal_raw</t>
        </is>
      </c>
      <c r="F2841" t="inlineStr">
        <is>
          <t>Investment signal raw</t>
        </is>
      </c>
      <c r="G2841" t="inlineStr">
        <is>
          <t>creative</t>
        </is>
      </c>
      <c r="H2841" t="inlineStr">
        <is>
          <t>yes</t>
        </is>
      </c>
      <c r="I2841" t="inlineStr">
        <is>
          <t>2.15</t>
        </is>
      </c>
      <c r="J2841" t="inlineStr">
        <is>
          <t>world_bank</t>
        </is>
      </c>
      <c r="K2841" t="inlineStr">
        <is>
          <t>https://api.worldbank.org/v2/country/GHA/indicator/BX.KLT.DINV.WD.GD.ZS?format=json&amp;mrv=10</t>
        </is>
      </c>
      <c r="L2841" t="inlineStr">
        <is>
          <t>World Bank WDI: Foreign direct investment, net inflows (% of GDP)</t>
        </is>
      </c>
      <c r="M2841" t="inlineStr">
        <is>
          <t>2024-12-31</t>
        </is>
      </c>
      <c r="N2841" t="inlineStr">
        <is>
          <t>auto_ingest=world_bank_creative_extended; indicator=BX.KLT.DINV.WD.GD.ZS; year=2024; country_proxy=Ghana</t>
        </is>
      </c>
    </row>
    <row r="2842">
      <c r="A2842" t="inlineStr">
        <is>
          <t>gh-accra</t>
        </is>
      </c>
      <c r="B2842" t="inlineStr">
        <is>
          <t>Accra</t>
        </is>
      </c>
      <c r="C2842" t="inlineStr">
        <is>
          <t>Ghana</t>
        </is>
      </c>
      <c r="D2842" t="inlineStr">
        <is>
          <t>Africa</t>
        </is>
      </c>
      <c r="E2842" t="inlineStr">
        <is>
          <t>administrative_investment_friction_raw</t>
        </is>
      </c>
      <c r="F2842" t="inlineStr">
        <is>
          <t>Administrative investment friction raw</t>
        </is>
      </c>
      <c r="G2842" t="inlineStr">
        <is>
          <t>creative</t>
        </is>
      </c>
      <c r="H2842" t="inlineStr">
        <is>
          <t>yes</t>
        </is>
      </c>
      <c r="I2842" t="inlineStr">
        <is>
          <t>2.68</t>
        </is>
      </c>
      <c r="J2842" t="inlineStr">
        <is>
          <t>world_bank</t>
        </is>
      </c>
      <c r="K2842" t="inlineStr">
        <is>
          <t>https://api.worldbank.org/v2/country/GHA/indicator/RQ.EST?format=json&amp;mrv=10</t>
        </is>
      </c>
      <c r="L2842" t="inlineStr">
        <is>
          <t>World Bank WGI: Regulatory Quality (inverted as friction proxy)</t>
        </is>
      </c>
      <c r="M2842" t="inlineStr">
        <is>
          <t>2023-12-31</t>
        </is>
      </c>
      <c r="N2842" t="inlineStr">
        <is>
          <t>auto_ingest=world_bank_business_friction; indicator=RQ.EST; raw_rq=-0.18065220117569; friction=2.68; year=2023; country_proxy=Ghana</t>
        </is>
      </c>
    </row>
    <row r="2843">
      <c r="A2843" t="inlineStr">
        <is>
          <t>gh-accra</t>
        </is>
      </c>
      <c r="B2843" t="inlineStr">
        <is>
          <t>Accra</t>
        </is>
      </c>
      <c r="C2843" t="inlineStr">
        <is>
          <t>Ghana</t>
        </is>
      </c>
      <c r="D2843" t="inlineStr">
        <is>
          <t>Africa</t>
        </is>
      </c>
      <c r="E2843" t="inlineStr">
        <is>
          <t>visitor_flow_context_raw</t>
        </is>
      </c>
      <c r="F2843" t="inlineStr">
        <is>
          <t>Visitor flow context raw</t>
        </is>
      </c>
      <c r="G2843" t="inlineStr">
        <is>
          <t>creative</t>
        </is>
      </c>
      <c r="H2843" t="inlineStr">
        <is>
          <t>no</t>
        </is>
      </c>
      <c r="I2843" t="inlineStr"/>
      <c r="J2843" t="inlineStr"/>
      <c r="K2843" t="inlineStr"/>
      <c r="L2843" t="inlineStr"/>
      <c r="M2843" t="inlineStr"/>
      <c r="N2843" t="inlineStr"/>
    </row>
    <row r="2844">
      <c r="A2844" t="inlineStr">
        <is>
          <t>sn-dakar</t>
        </is>
      </c>
      <c r="B2844" t="inlineStr">
        <is>
          <t>Dakar</t>
        </is>
      </c>
      <c r="C2844" t="inlineStr">
        <is>
          <t>Senegal</t>
        </is>
      </c>
      <c r="D2844" t="inlineStr">
        <is>
          <t>Africa</t>
        </is>
      </c>
      <c r="E2844" t="inlineStr">
        <is>
          <t>gross_income</t>
        </is>
      </c>
      <c r="F2844" t="inlineStr">
        <is>
          <t>Gross income</t>
        </is>
      </c>
      <c r="G2844" t="inlineStr">
        <is>
          <t>pressure</t>
        </is>
      </c>
      <c r="H2844" t="inlineStr">
        <is>
          <t>yes</t>
        </is>
      </c>
      <c r="I2844" t="inlineStr">
        <is>
          <t>410.0</t>
        </is>
      </c>
      <c r="J2844" t="inlineStr">
        <is>
          <t>world_bank_col_estimate</t>
        </is>
      </c>
      <c r="K2844" t="inlineStr">
        <is>
          <t>https://api.worldbank.org/v2/country/SEN/indicator/NY.GNP.PCAP.PP.CD?format=json&amp;mrv=10</t>
        </is>
      </c>
      <c r="L2844" t="inlineStr">
        <is>
          <t>World Bank WDI: GNI per capita PPP (monthly USD)</t>
        </is>
      </c>
      <c r="M2844" t="inlineStr">
        <is>
          <t>2024-12-31</t>
        </is>
      </c>
      <c r="N2844" t="inlineStr">
        <is>
          <t>auto_ingest=world_bank_col_estimate; gni_annual=4920.0; year=2024; country_proxy=Senegal; cohort=Africa</t>
        </is>
      </c>
    </row>
    <row r="2845">
      <c r="A2845" t="inlineStr">
        <is>
          <t>sn-dakar</t>
        </is>
      </c>
      <c r="B2845" t="inlineStr">
        <is>
          <t>Dakar</t>
        </is>
      </c>
      <c r="C2845" t="inlineStr">
        <is>
          <t>Senegal</t>
        </is>
      </c>
      <c r="D2845" t="inlineStr">
        <is>
          <t>Africa</t>
        </is>
      </c>
      <c r="E2845" t="inlineStr">
        <is>
          <t>di_ppp_raw</t>
        </is>
      </c>
      <c r="F2845" t="inlineStr">
        <is>
          <t>Disposable income PPP (Raw)</t>
        </is>
      </c>
      <c r="G2845" t="inlineStr">
        <is>
          <t>pressure</t>
        </is>
      </c>
      <c r="H2845" t="inlineStr">
        <is>
          <t>yes</t>
        </is>
      </c>
      <c r="I2845" t="inlineStr"/>
      <c r="J2845" t="inlineStr"/>
      <c r="K2845" t="inlineStr"/>
      <c r="L2845" t="inlineStr"/>
      <c r="M2845" t="inlineStr"/>
      <c r="N2845" t="inlineStr"/>
    </row>
    <row r="2846">
      <c r="A2846" t="inlineStr">
        <is>
          <t>sn-dakar</t>
        </is>
      </c>
      <c r="B2846" t="inlineStr">
        <is>
          <t>Dakar</t>
        </is>
      </c>
      <c r="C2846" t="inlineStr">
        <is>
          <t>Senegal</t>
        </is>
      </c>
      <c r="D2846" t="inlineStr">
        <is>
          <t>Africa</t>
        </is>
      </c>
      <c r="E2846" t="inlineStr">
        <is>
          <t>rent</t>
        </is>
      </c>
      <c r="F2846" t="inlineStr">
        <is>
          <t>Rent</t>
        </is>
      </c>
      <c r="G2846" t="inlineStr">
        <is>
          <t>pressure</t>
        </is>
      </c>
      <c r="H2846" t="inlineStr">
        <is>
          <t>yes</t>
        </is>
      </c>
      <c r="I2846" t="inlineStr">
        <is>
          <t>77.9</t>
        </is>
      </c>
      <c r="J2846" t="inlineStr">
        <is>
          <t>world_bank_col_estimate</t>
        </is>
      </c>
      <c r="K2846" t="inlineStr">
        <is>
          <t>https://api.worldbank.org/v2/country/SEN/indicator/NY.GNP.PCAP.PP.CD?format=json&amp;mrv=10</t>
        </is>
      </c>
      <c r="L2846" t="inlineStr">
        <is>
          <t>World Bank GNI + regional expenditure ratio estimate</t>
        </is>
      </c>
      <c r="M2846" t="inlineStr">
        <is>
          <t>2024-12-31</t>
        </is>
      </c>
      <c r="N2846" t="inlineStr">
        <is>
          <t>auto_ingest=world_bank_col_estimate; gni_annual=4920.0; year=2024; country_proxy=Senegal; cohort=Africa; city_cost_mult=0.95</t>
        </is>
      </c>
    </row>
    <row r="2847">
      <c r="A2847" t="inlineStr">
        <is>
          <t>sn-dakar</t>
        </is>
      </c>
      <c r="B2847" t="inlineStr">
        <is>
          <t>Dakar</t>
        </is>
      </c>
      <c r="C2847" t="inlineStr">
        <is>
          <t>Senegal</t>
        </is>
      </c>
      <c r="D2847" t="inlineStr">
        <is>
          <t>Africa</t>
        </is>
      </c>
      <c r="E2847" t="inlineStr">
        <is>
          <t>utilities</t>
        </is>
      </c>
      <c r="F2847" t="inlineStr">
        <is>
          <t>Utilities</t>
        </is>
      </c>
      <c r="G2847" t="inlineStr">
        <is>
          <t>pressure</t>
        </is>
      </c>
      <c r="H2847" t="inlineStr">
        <is>
          <t>yes</t>
        </is>
      </c>
      <c r="I2847" t="inlineStr">
        <is>
          <t>23.37</t>
        </is>
      </c>
      <c r="J2847" t="inlineStr">
        <is>
          <t>world_bank_col_estimate</t>
        </is>
      </c>
      <c r="K2847" t="inlineStr">
        <is>
          <t>https://api.worldbank.org/v2/country/SEN/indicator/NY.GNP.PCAP.PP.CD?format=json&amp;mrv=10</t>
        </is>
      </c>
      <c r="L2847" t="inlineStr">
        <is>
          <t>World Bank GNI + regional expenditure ratio estimate</t>
        </is>
      </c>
      <c r="M2847" t="inlineStr">
        <is>
          <t>2024-12-31</t>
        </is>
      </c>
      <c r="N2847" t="inlineStr">
        <is>
          <t>auto_ingest=world_bank_col_estimate; gni_annual=4920.0; year=2024; country_proxy=Senegal; cohort=Africa; city_cost_mult=0.95</t>
        </is>
      </c>
    </row>
    <row r="2848">
      <c r="A2848" t="inlineStr">
        <is>
          <t>sn-dakar</t>
        </is>
      </c>
      <c r="B2848" t="inlineStr">
        <is>
          <t>Dakar</t>
        </is>
      </c>
      <c r="C2848" t="inlineStr">
        <is>
          <t>Senegal</t>
        </is>
      </c>
      <c r="D2848" t="inlineStr">
        <is>
          <t>Africa</t>
        </is>
      </c>
      <c r="E2848" t="inlineStr">
        <is>
          <t>transit_cost</t>
        </is>
      </c>
      <c r="F2848" t="inlineStr">
        <is>
          <t>Transit cost</t>
        </is>
      </c>
      <c r="G2848" t="inlineStr">
        <is>
          <t>pressure</t>
        </is>
      </c>
      <c r="H2848" t="inlineStr">
        <is>
          <t>yes</t>
        </is>
      </c>
      <c r="I2848" t="inlineStr">
        <is>
          <t>15.58</t>
        </is>
      </c>
      <c r="J2848" t="inlineStr">
        <is>
          <t>world_bank_col_estimate</t>
        </is>
      </c>
      <c r="K2848" t="inlineStr">
        <is>
          <t>https://api.worldbank.org/v2/country/SEN/indicator/NY.GNP.PCAP.PP.CD?format=json&amp;mrv=10</t>
        </is>
      </c>
      <c r="L2848" t="inlineStr">
        <is>
          <t>World Bank GNI + regional expenditure ratio estimate</t>
        </is>
      </c>
      <c r="M2848" t="inlineStr">
        <is>
          <t>2024-12-31</t>
        </is>
      </c>
      <c r="N2848" t="inlineStr">
        <is>
          <t>auto_ingest=world_bank_col_estimate; gni_annual=4920.0; year=2024; country_proxy=Senegal; cohort=Africa; city_cost_mult=0.95</t>
        </is>
      </c>
    </row>
    <row r="2849">
      <c r="A2849" t="inlineStr">
        <is>
          <t>sn-dakar</t>
        </is>
      </c>
      <c r="B2849" t="inlineStr">
        <is>
          <t>Dakar</t>
        </is>
      </c>
      <c r="C2849" t="inlineStr">
        <is>
          <t>Senegal</t>
        </is>
      </c>
      <c r="D2849" t="inlineStr">
        <is>
          <t>Africa</t>
        </is>
      </c>
      <c r="E2849" t="inlineStr">
        <is>
          <t>internet_cost</t>
        </is>
      </c>
      <c r="F2849" t="inlineStr">
        <is>
          <t>Internet cost</t>
        </is>
      </c>
      <c r="G2849" t="inlineStr">
        <is>
          <t>pressure</t>
        </is>
      </c>
      <c r="H2849" t="inlineStr">
        <is>
          <t>yes</t>
        </is>
      </c>
      <c r="I2849" t="inlineStr">
        <is>
          <t>5.84</t>
        </is>
      </c>
      <c r="J2849" t="inlineStr">
        <is>
          <t>world_bank_col_estimate</t>
        </is>
      </c>
      <c r="K2849" t="inlineStr">
        <is>
          <t>https://api.worldbank.org/v2/country/SEN/indicator/NY.GNP.PCAP.PP.CD?format=json&amp;mrv=10</t>
        </is>
      </c>
      <c r="L2849" t="inlineStr">
        <is>
          <t>World Bank GNI + regional expenditure ratio estimate</t>
        </is>
      </c>
      <c r="M2849" t="inlineStr">
        <is>
          <t>2024-12-31</t>
        </is>
      </c>
      <c r="N2849" t="inlineStr">
        <is>
          <t>auto_ingest=world_bank_col_estimate; gni_annual=4920.0; year=2024; country_proxy=Senegal; cohort=Africa; city_cost_mult=0.95</t>
        </is>
      </c>
    </row>
    <row r="2850">
      <c r="A2850" t="inlineStr">
        <is>
          <t>sn-dakar</t>
        </is>
      </c>
      <c r="B2850" t="inlineStr">
        <is>
          <t>Dakar</t>
        </is>
      </c>
      <c r="C2850" t="inlineStr">
        <is>
          <t>Senegal</t>
        </is>
      </c>
      <c r="D2850" t="inlineStr">
        <is>
          <t>Africa</t>
        </is>
      </c>
      <c r="E2850" t="inlineStr">
        <is>
          <t>food_cost</t>
        </is>
      </c>
      <c r="F2850" t="inlineStr">
        <is>
          <t>Food cost</t>
        </is>
      </c>
      <c r="G2850" t="inlineStr">
        <is>
          <t>pressure</t>
        </is>
      </c>
      <c r="H2850" t="inlineStr">
        <is>
          <t>yes</t>
        </is>
      </c>
      <c r="I2850" t="inlineStr">
        <is>
          <t>97.38</t>
        </is>
      </c>
      <c r="J2850" t="inlineStr">
        <is>
          <t>world_bank_col_estimate</t>
        </is>
      </c>
      <c r="K2850" t="inlineStr">
        <is>
          <t>https://api.worldbank.org/v2/country/SEN/indicator/NY.GNP.PCAP.PP.CD?format=json&amp;mrv=10</t>
        </is>
      </c>
      <c r="L2850" t="inlineStr">
        <is>
          <t>World Bank GNI + regional expenditure ratio estimate</t>
        </is>
      </c>
      <c r="M2850" t="inlineStr">
        <is>
          <t>2024-12-31</t>
        </is>
      </c>
      <c r="N2850" t="inlineStr">
        <is>
          <t>auto_ingest=world_bank_col_estimate; gni_annual=4920.0; year=2024; country_proxy=Senegal; cohort=Africa; city_cost_mult=0.95</t>
        </is>
      </c>
    </row>
    <row r="2851">
      <c r="A2851" t="inlineStr">
        <is>
          <t>sn-dakar</t>
        </is>
      </c>
      <c r="B2851" t="inlineStr">
        <is>
          <t>Dakar</t>
        </is>
      </c>
      <c r="C2851" t="inlineStr">
        <is>
          <t>Senegal</t>
        </is>
      </c>
      <c r="D2851" t="inlineStr">
        <is>
          <t>Africa</t>
        </is>
      </c>
      <c r="E2851" t="inlineStr">
        <is>
          <t>housing_burden_raw</t>
        </is>
      </c>
      <c r="F2851" t="inlineStr">
        <is>
          <t>Housing burden raw</t>
        </is>
      </c>
      <c r="G2851" t="inlineStr">
        <is>
          <t>pressure</t>
        </is>
      </c>
      <c r="H2851" t="inlineStr">
        <is>
          <t>yes</t>
        </is>
      </c>
      <c r="I2851" t="inlineStr">
        <is>
          <t>19.0</t>
        </is>
      </c>
      <c r="J2851" t="inlineStr">
        <is>
          <t>derived</t>
        </is>
      </c>
      <c r="K2851" t="inlineStr">
        <is>
          <t>https://data.worldbank.org/indicator/NY.GNP.PCAP.PP.CD</t>
        </is>
      </c>
      <c r="L2851" t="inlineStr">
        <is>
          <t>Computed from city_inputs + country_context</t>
        </is>
      </c>
      <c r="M2851" t="inlineStr">
        <is>
          <t>2024-01-01</t>
        </is>
      </c>
      <c r="N2851" t="inlineStr">
        <is>
          <t>derived=rent/gross_income*100</t>
        </is>
      </c>
    </row>
    <row r="2852">
      <c r="A2852" t="inlineStr">
        <is>
          <t>sn-dakar</t>
        </is>
      </c>
      <c r="B2852" t="inlineStr">
        <is>
          <t>Dakar</t>
        </is>
      </c>
      <c r="C2852" t="inlineStr">
        <is>
          <t>Senegal</t>
        </is>
      </c>
      <c r="D2852" t="inlineStr">
        <is>
          <t>Africa</t>
        </is>
      </c>
      <c r="E2852" t="inlineStr">
        <is>
          <t>household_debt_burden_raw</t>
        </is>
      </c>
      <c r="F2852" t="inlineStr">
        <is>
          <t>Household debt burden raw</t>
        </is>
      </c>
      <c r="G2852" t="inlineStr">
        <is>
          <t>pressure</t>
        </is>
      </c>
      <c r="H2852" t="inlineStr">
        <is>
          <t>yes</t>
        </is>
      </c>
      <c r="I2852" t="inlineStr">
        <is>
          <t>29.205</t>
        </is>
      </c>
      <c r="J2852" t="inlineStr">
        <is>
          <t>derived</t>
        </is>
      </c>
      <c r="K2852" t="inlineStr">
        <is>
          <t>https://data.worldbank.org/indicator/NY.GNP.PCAP.PP.CD</t>
        </is>
      </c>
      <c r="L2852" t="inlineStr">
        <is>
          <t>Computed from city_inputs + country_context</t>
        </is>
      </c>
      <c r="M2852" t="inlineStr">
        <is>
          <t>2024-01-01</t>
        </is>
      </c>
      <c r="N2852" t="inlineStr">
        <is>
          <t>derived=country_context.household_debt_proxy; country=Senegal</t>
        </is>
      </c>
    </row>
    <row r="2853">
      <c r="A2853" t="inlineStr">
        <is>
          <t>sn-dakar</t>
        </is>
      </c>
      <c r="B2853" t="inlineStr">
        <is>
          <t>Dakar</t>
        </is>
      </c>
      <c r="C2853" t="inlineStr">
        <is>
          <t>Senegal</t>
        </is>
      </c>
      <c r="D2853" t="inlineStr">
        <is>
          <t>Africa</t>
        </is>
      </c>
      <c r="E2853" t="inlineStr">
        <is>
          <t>working_time_pressure_raw</t>
        </is>
      </c>
      <c r="F2853" t="inlineStr">
        <is>
          <t>Working time pressure raw</t>
        </is>
      </c>
      <c r="G2853" t="inlineStr">
        <is>
          <t>pressure</t>
        </is>
      </c>
      <c r="H2853" t="inlineStr">
        <is>
          <t>yes</t>
        </is>
      </c>
      <c r="I2853" t="inlineStr">
        <is>
          <t>48.31</t>
        </is>
      </c>
      <c r="J2853" t="inlineStr">
        <is>
          <t>ilo_ilostat</t>
        </is>
      </c>
      <c r="K2853" t="inlineStr">
        <is>
          <t>https://ilostat.ilo.org/data/indicator/?id=HOW_TEMP_SEX_ECO_NB_A&amp;ref_area=SEN</t>
        </is>
      </c>
      <c r="L2853" t="inlineStr">
        <is>
          <t>ILO ILOSTAT: Mean weekly hours actually worked per employed person</t>
        </is>
      </c>
      <c r="M2853" t="inlineStr">
        <is>
          <t>2024-12-31</t>
        </is>
      </c>
      <c r="N2853" t="inlineStr">
        <is>
          <t>auto_ingest=ilo_working_hours; indicator=HOW_TEMP_SEX_ECO_NB_A; year=2024; hours=48.31; country_proxy=Senegal</t>
        </is>
      </c>
    </row>
    <row r="2854">
      <c r="A2854" t="inlineStr">
        <is>
          <t>sn-dakar</t>
        </is>
      </c>
      <c r="B2854" t="inlineStr">
        <is>
          <t>Dakar</t>
        </is>
      </c>
      <c r="C2854" t="inlineStr">
        <is>
          <t>Senegal</t>
        </is>
      </c>
      <c r="D2854" t="inlineStr">
        <is>
          <t>Africa</t>
        </is>
      </c>
      <c r="E2854" t="inlineStr">
        <is>
          <t>suicide_mental_strain_raw</t>
        </is>
      </c>
      <c r="F2854" t="inlineStr">
        <is>
          <t>Suicide or mental strain raw</t>
        </is>
      </c>
      <c r="G2854" t="inlineStr">
        <is>
          <t>pressure</t>
        </is>
      </c>
      <c r="H2854" t="inlineStr">
        <is>
          <t>yes</t>
        </is>
      </c>
      <c r="I2854" t="inlineStr">
        <is>
          <t>6.76</t>
        </is>
      </c>
      <c r="J2854" t="inlineStr">
        <is>
          <t>who_gho</t>
        </is>
      </c>
      <c r="K2854" t="inlineStr">
        <is>
          <t>https://www.who.int/data/gho/data/indicators/indicator-details/GHO/SDGSUICIDE</t>
        </is>
      </c>
      <c r="L2854" t="inlineStr">
        <is>
          <t>WHO GHO: Age-standardized suicide rate (per 100,000 population)</t>
        </is>
      </c>
      <c r="M2854" t="inlineStr">
        <is>
          <t>2021-12-31</t>
        </is>
      </c>
      <c r="N2854" t="inlineStr">
        <is>
          <t>auto_ingest=who_gho; indicator=SDGSUICIDE; year=2021; country_proxy=Senegal</t>
        </is>
      </c>
    </row>
    <row r="2855">
      <c r="A2855" t="inlineStr">
        <is>
          <t>sn-dakar</t>
        </is>
      </c>
      <c r="B2855" t="inlineStr">
        <is>
          <t>Dakar</t>
        </is>
      </c>
      <c r="C2855" t="inlineStr">
        <is>
          <t>Senegal</t>
        </is>
      </c>
      <c r="D2855" t="inlineStr">
        <is>
          <t>Africa</t>
        </is>
      </c>
      <c r="E2855" t="inlineStr">
        <is>
          <t>personal_safety_raw</t>
        </is>
      </c>
      <c r="F2855" t="inlineStr">
        <is>
          <t>Personal safety raw</t>
        </is>
      </c>
      <c r="G2855" t="inlineStr">
        <is>
          <t>viability</t>
        </is>
      </c>
      <c r="H2855" t="inlineStr">
        <is>
          <t>yes</t>
        </is>
      </c>
      <c r="I2855" t="inlineStr"/>
      <c r="J2855" t="inlineStr"/>
      <c r="K2855" t="inlineStr"/>
      <c r="L2855" t="inlineStr"/>
      <c r="M2855" t="inlineStr"/>
      <c r="N2855" t="inlineStr"/>
    </row>
    <row r="2856">
      <c r="A2856" t="inlineStr">
        <is>
          <t>sn-dakar</t>
        </is>
      </c>
      <c r="B2856" t="inlineStr">
        <is>
          <t>Dakar</t>
        </is>
      </c>
      <c r="C2856" t="inlineStr">
        <is>
          <t>Senegal</t>
        </is>
      </c>
      <c r="D2856" t="inlineStr">
        <is>
          <t>Africa</t>
        </is>
      </c>
      <c r="E2856" t="inlineStr">
        <is>
          <t>transit_access_commute_raw</t>
        </is>
      </c>
      <c r="F2856" t="inlineStr">
        <is>
          <t>Transit access and commute raw</t>
        </is>
      </c>
      <c r="G2856" t="inlineStr">
        <is>
          <t>viability</t>
        </is>
      </c>
      <c r="H2856" t="inlineStr">
        <is>
          <t>yes</t>
        </is>
      </c>
      <c r="I2856" t="inlineStr"/>
      <c r="J2856" t="inlineStr"/>
      <c r="K2856" t="inlineStr"/>
      <c r="L2856" t="inlineStr"/>
      <c r="M2856" t="inlineStr"/>
      <c r="N2856" t="inlineStr"/>
    </row>
    <row r="2857">
      <c r="A2857" t="inlineStr">
        <is>
          <t>sn-dakar</t>
        </is>
      </c>
      <c r="B2857" t="inlineStr">
        <is>
          <t>Dakar</t>
        </is>
      </c>
      <c r="C2857" t="inlineStr">
        <is>
          <t>Senegal</t>
        </is>
      </c>
      <c r="D2857" t="inlineStr">
        <is>
          <t>Africa</t>
        </is>
      </c>
      <c r="E2857" t="inlineStr">
        <is>
          <t>clean_air_raw</t>
        </is>
      </c>
      <c r="F2857" t="inlineStr">
        <is>
          <t>Clean air raw</t>
        </is>
      </c>
      <c r="G2857" t="inlineStr">
        <is>
          <t>viability</t>
        </is>
      </c>
      <c r="H2857" t="inlineStr">
        <is>
          <t>yes</t>
        </is>
      </c>
      <c r="I2857" t="inlineStr"/>
      <c r="J2857" t="inlineStr"/>
      <c r="K2857" t="inlineStr"/>
      <c r="L2857" t="inlineStr"/>
      <c r="M2857" t="inlineStr"/>
      <c r="N2857" t="inlineStr"/>
    </row>
    <row r="2858">
      <c r="A2858" t="inlineStr">
        <is>
          <t>sn-dakar</t>
        </is>
      </c>
      <c r="B2858" t="inlineStr">
        <is>
          <t>Dakar</t>
        </is>
      </c>
      <c r="C2858" t="inlineStr">
        <is>
          <t>Senegal</t>
        </is>
      </c>
      <c r="D2858" t="inlineStr">
        <is>
          <t>Africa</t>
        </is>
      </c>
      <c r="E2858" t="inlineStr">
        <is>
          <t>water_sanitation_utility_raw</t>
        </is>
      </c>
      <c r="F2858" t="inlineStr">
        <is>
          <t>Water, sanitation, and utility raw</t>
        </is>
      </c>
      <c r="G2858" t="inlineStr">
        <is>
          <t>viability</t>
        </is>
      </c>
      <c r="H2858" t="inlineStr">
        <is>
          <t>yes</t>
        </is>
      </c>
      <c r="I2858" t="inlineStr">
        <is>
          <t>27.19</t>
        </is>
      </c>
      <c r="J2858" t="inlineStr">
        <is>
          <t>world_bank</t>
        </is>
      </c>
      <c r="K2858" t="inlineStr">
        <is>
          <t>https://api.worldbank.org/v2/country/SEN/indicator/SH.H2O.SMDW.ZS?format=json&amp;mrv=10</t>
        </is>
      </c>
      <c r="L2858" t="inlineStr">
        <is>
          <t>World Bank WDI: People using safely managed drinking water services (% of population)</t>
        </is>
      </c>
      <c r="M2858" t="inlineStr">
        <is>
          <t>2024-12-31</t>
        </is>
      </c>
      <c r="N2858" t="inlineStr">
        <is>
          <t>auto_ingest=world_bank_proxy; indicator=SH.H2O.SMDW.ZS; year=2024; country_proxy=Senegal</t>
        </is>
      </c>
    </row>
    <row r="2859">
      <c r="A2859" t="inlineStr">
        <is>
          <t>sn-dakar</t>
        </is>
      </c>
      <c r="B2859" t="inlineStr">
        <is>
          <t>Dakar</t>
        </is>
      </c>
      <c r="C2859" t="inlineStr">
        <is>
          <t>Senegal</t>
        </is>
      </c>
      <c r="D2859" t="inlineStr">
        <is>
          <t>Africa</t>
        </is>
      </c>
      <c r="E2859" t="inlineStr">
        <is>
          <t>digital_infrastructure_raw</t>
        </is>
      </c>
      <c r="F2859" t="inlineStr">
        <is>
          <t>Digital infrastructure raw</t>
        </is>
      </c>
      <c r="G2859" t="inlineStr">
        <is>
          <t>viability</t>
        </is>
      </c>
      <c r="H2859" t="inlineStr">
        <is>
          <t>yes</t>
        </is>
      </c>
      <c r="I2859" t="inlineStr">
        <is>
          <t>1.97</t>
        </is>
      </c>
      <c r="J2859" t="inlineStr">
        <is>
          <t>world_bank</t>
        </is>
      </c>
      <c r="K2859" t="inlineStr">
        <is>
          <t>https://api.worldbank.org/v2/country/SEN/indicator/IT.NET.BBND.P2?format=json&amp;mrv=10</t>
        </is>
      </c>
      <c r="L2859" t="inlineStr">
        <is>
          <t>World Bank WDI: Fixed broadband subscriptions (per 100 people)</t>
        </is>
      </c>
      <c r="M2859" t="inlineStr">
        <is>
          <t>2023-12-31</t>
        </is>
      </c>
      <c r="N2859" t="inlineStr">
        <is>
          <t>auto_ingest=world_bank_proxy; indicator=IT.NET.BBND.P2; year=2023; country_proxy=Senegal</t>
        </is>
      </c>
    </row>
    <row r="2860">
      <c r="A2860" t="inlineStr">
        <is>
          <t>sn-dakar</t>
        </is>
      </c>
      <c r="B2860" t="inlineStr">
        <is>
          <t>Dakar</t>
        </is>
      </c>
      <c r="C2860" t="inlineStr">
        <is>
          <t>Senegal</t>
        </is>
      </c>
      <c r="D2860" t="inlineStr">
        <is>
          <t>Africa</t>
        </is>
      </c>
      <c r="E2860" t="inlineStr">
        <is>
          <t>climate_sunlight_livability_raw</t>
        </is>
      </c>
      <c r="F2860" t="inlineStr">
        <is>
          <t>Climate and sunlight livability raw</t>
        </is>
      </c>
      <c r="G2860" t="inlineStr">
        <is>
          <t>viability</t>
        </is>
      </c>
      <c r="H2860" t="inlineStr">
        <is>
          <t>yes</t>
        </is>
      </c>
      <c r="I2860" t="inlineStr"/>
      <c r="J2860" t="inlineStr"/>
      <c r="K2860" t="inlineStr"/>
      <c r="L2860" t="inlineStr"/>
      <c r="M2860" t="inlineStr"/>
      <c r="N2860" t="inlineStr"/>
    </row>
    <row r="2861">
      <c r="A2861" t="inlineStr">
        <is>
          <t>sn-dakar</t>
        </is>
      </c>
      <c r="B2861" t="inlineStr">
        <is>
          <t>Dakar</t>
        </is>
      </c>
      <c r="C2861" t="inlineStr">
        <is>
          <t>Senegal</t>
        </is>
      </c>
      <c r="D2861" t="inlineStr">
        <is>
          <t>Africa</t>
        </is>
      </c>
      <c r="E2861" t="inlineStr">
        <is>
          <t>healthcare_quality_raw</t>
        </is>
      </c>
      <c r="F2861" t="inlineStr">
        <is>
          <t>Healthcare quality raw</t>
        </is>
      </c>
      <c r="G2861" t="inlineStr">
        <is>
          <t>capability</t>
        </is>
      </c>
      <c r="H2861" t="inlineStr">
        <is>
          <t>yes</t>
        </is>
      </c>
      <c r="I2861" t="inlineStr">
        <is>
          <t>48.0</t>
        </is>
      </c>
      <c r="J2861" t="inlineStr">
        <is>
          <t>who_gho</t>
        </is>
      </c>
      <c r="K2861" t="inlineStr">
        <is>
          <t>https://www.who.int/data/gho/data/indicators/indicator-details/GHO/UHC_INDEX_REPORTED</t>
        </is>
      </c>
      <c r="L2861" t="inlineStr">
        <is>
          <t>WHO GHO: UHC Service Coverage Index</t>
        </is>
      </c>
      <c r="M2861" t="inlineStr">
        <is>
          <t>2023-12-31</t>
        </is>
      </c>
      <c r="N2861" t="inlineStr">
        <is>
          <t>auto_ingest=who_gho; indicator=UHC_INDEX_REPORTED; year=2023; country_proxy=Senegal</t>
        </is>
      </c>
    </row>
    <row r="2862">
      <c r="A2862" t="inlineStr">
        <is>
          <t>sn-dakar</t>
        </is>
      </c>
      <c r="B2862" t="inlineStr">
        <is>
          <t>Dakar</t>
        </is>
      </c>
      <c r="C2862" t="inlineStr">
        <is>
          <t>Senegal</t>
        </is>
      </c>
      <c r="D2862" t="inlineStr">
        <is>
          <t>Africa</t>
        </is>
      </c>
      <c r="E2862" t="inlineStr">
        <is>
          <t>education_quality_raw</t>
        </is>
      </c>
      <c r="F2862" t="inlineStr">
        <is>
          <t>Education quality raw</t>
        </is>
      </c>
      <c r="G2862" t="inlineStr">
        <is>
          <t>capability</t>
        </is>
      </c>
      <c r="H2862" t="inlineStr">
        <is>
          <t>yes</t>
        </is>
      </c>
      <c r="I2862" t="inlineStr">
        <is>
          <t>15.33</t>
        </is>
      </c>
      <c r="J2862" t="inlineStr">
        <is>
          <t>world_bank</t>
        </is>
      </c>
      <c r="K2862" t="inlineStr">
        <is>
          <t>https://api.worldbank.org/v2/country/SEN/indicator/SE.TER.ENRR?format=json&amp;mrv=10</t>
        </is>
      </c>
      <c r="L2862" t="inlineStr">
        <is>
          <t>World Bank WDI: School enrollment, tertiary (% gross)</t>
        </is>
      </c>
      <c r="M2862" t="inlineStr">
        <is>
          <t>2024-12-31</t>
        </is>
      </c>
      <c r="N2862" t="inlineStr">
        <is>
          <t>auto_ingest=world_bank_proxy; indicator=SE.TER.ENRR; year=2024; country_proxy=Senegal</t>
        </is>
      </c>
    </row>
    <row r="2863">
      <c r="A2863" t="inlineStr">
        <is>
          <t>sn-dakar</t>
        </is>
      </c>
      <c r="B2863" t="inlineStr">
        <is>
          <t>Dakar</t>
        </is>
      </c>
      <c r="C2863" t="inlineStr">
        <is>
          <t>Senegal</t>
        </is>
      </c>
      <c r="D2863" t="inlineStr">
        <is>
          <t>Africa</t>
        </is>
      </c>
      <c r="E2863" t="inlineStr">
        <is>
          <t>equal_opportunity_raw</t>
        </is>
      </c>
      <c r="F2863" t="inlineStr">
        <is>
          <t>Equal opportunity raw</t>
        </is>
      </c>
      <c r="G2863" t="inlineStr">
        <is>
          <t>capability</t>
        </is>
      </c>
      <c r="H2863" t="inlineStr">
        <is>
          <t>yes</t>
        </is>
      </c>
      <c r="I2863" t="inlineStr">
        <is>
          <t>36.2</t>
        </is>
      </c>
      <c r="J2863" t="inlineStr">
        <is>
          <t>world_bank</t>
        </is>
      </c>
      <c r="K2863" t="inlineStr">
        <is>
          <t>https://api.worldbank.org/v2/country/SEN/indicator/SI.POV.GINI?format=json&amp;mrv=10</t>
        </is>
      </c>
      <c r="L2863" t="inlineStr">
        <is>
          <t>World Bank WDI: Gini index</t>
        </is>
      </c>
      <c r="M2863" t="inlineStr">
        <is>
          <t>2021-12-31</t>
        </is>
      </c>
      <c r="N2863" t="inlineStr">
        <is>
          <t>auto_ingest=world_bank_capability; indicator=SI.POV.GINI; year=2021; country_proxy=Senegal</t>
        </is>
      </c>
    </row>
    <row r="2864">
      <c r="A2864" t="inlineStr">
        <is>
          <t>sn-dakar</t>
        </is>
      </c>
      <c r="B2864" t="inlineStr">
        <is>
          <t>Dakar</t>
        </is>
      </c>
      <c r="C2864" t="inlineStr">
        <is>
          <t>Senegal</t>
        </is>
      </c>
      <c r="D2864" t="inlineStr">
        <is>
          <t>Africa</t>
        </is>
      </c>
      <c r="E2864" t="inlineStr">
        <is>
          <t>hospitality_belonging_raw</t>
        </is>
      </c>
      <c r="F2864" t="inlineStr">
        <is>
          <t>Hospitality and belonging raw</t>
        </is>
      </c>
      <c r="G2864" t="inlineStr">
        <is>
          <t>community</t>
        </is>
      </c>
      <c r="H2864" t="inlineStr">
        <is>
          <t>yes</t>
        </is>
      </c>
      <c r="I2864" t="inlineStr">
        <is>
          <t>49.32</t>
        </is>
      </c>
      <c r="J2864" t="inlineStr">
        <is>
          <t>world_bank</t>
        </is>
      </c>
      <c r="K2864" t="inlineStr">
        <is>
          <t>https://api.worldbank.org/v2/country/SEN/indicator/SM.POP.NETM?format=json&amp;mrv=10</t>
        </is>
      </c>
      <c r="L2864" t="inlineStr">
        <is>
          <t>World Bank WDI: Net migration (proxy for hospitality/belonging — positive = welcoming)</t>
        </is>
      </c>
      <c r="M2864" t="inlineStr">
        <is>
          <t>2025-12-31</t>
        </is>
      </c>
      <c r="N2864" t="inlineStr">
        <is>
          <t>auto_ingest=world_bank_proxy; proxy=net_migration_hospitality; indicator=SM.POP.NETM; year=2025; country_proxy=Senegal</t>
        </is>
      </c>
    </row>
    <row r="2865">
      <c r="A2865" t="inlineStr">
        <is>
          <t>sn-dakar</t>
        </is>
      </c>
      <c r="B2865" t="inlineStr">
        <is>
          <t>Dakar</t>
        </is>
      </c>
      <c r="C2865" t="inlineStr">
        <is>
          <t>Senegal</t>
        </is>
      </c>
      <c r="D2865" t="inlineStr">
        <is>
          <t>Africa</t>
        </is>
      </c>
      <c r="E2865" t="inlineStr">
        <is>
          <t>tolerance_pluralism_raw</t>
        </is>
      </c>
      <c r="F2865" t="inlineStr">
        <is>
          <t>Tolerance and pluralism raw</t>
        </is>
      </c>
      <c r="G2865" t="inlineStr">
        <is>
          <t>community</t>
        </is>
      </c>
      <c r="H2865" t="inlineStr">
        <is>
          <t>yes</t>
        </is>
      </c>
      <c r="I2865" t="inlineStr">
        <is>
          <t>41.21</t>
        </is>
      </c>
      <c r="J2865" t="inlineStr">
        <is>
          <t>world_bank</t>
        </is>
      </c>
      <c r="K2865" t="inlineStr">
        <is>
          <t>https://api.worldbank.org/v2/country/SEN/indicator/SG.GEN.PARL.ZS?format=json&amp;mrv=10</t>
        </is>
      </c>
      <c r="L2865" t="inlineStr">
        <is>
          <t>World Bank WDI: Proportion of seats held by women in national parliaments (%)</t>
        </is>
      </c>
      <c r="M2865" t="inlineStr">
        <is>
          <t>2024-12-31</t>
        </is>
      </c>
      <c r="N2865" t="inlineStr">
        <is>
          <t>auto_ingest=world_bank_proxy; proxy=gender_parity_parliament; indicator=SG.GEN.PARL.ZS; year=2024; country_proxy=Senegal</t>
        </is>
      </c>
    </row>
    <row r="2866">
      <c r="A2866" t="inlineStr">
        <is>
          <t>sn-dakar</t>
        </is>
      </c>
      <c r="B2866" t="inlineStr">
        <is>
          <t>Dakar</t>
        </is>
      </c>
      <c r="C2866" t="inlineStr">
        <is>
          <t>Senegal</t>
        </is>
      </c>
      <c r="D2866" t="inlineStr">
        <is>
          <t>Africa</t>
        </is>
      </c>
      <c r="E2866" t="inlineStr">
        <is>
          <t>cultural_public_life_raw</t>
        </is>
      </c>
      <c r="F2866" t="inlineStr">
        <is>
          <t>Cultural public life raw</t>
        </is>
      </c>
      <c r="G2866" t="inlineStr">
        <is>
          <t>community</t>
        </is>
      </c>
      <c r="H2866" t="inlineStr">
        <is>
          <t>yes</t>
        </is>
      </c>
      <c r="I2866" t="inlineStr">
        <is>
          <t>74.37</t>
        </is>
      </c>
      <c r="J2866" t="inlineStr">
        <is>
          <t>world_bank</t>
        </is>
      </c>
      <c r="K2866" t="inlineStr">
        <is>
          <t>https://api.worldbank.org/v2/country/SEN/indicator/ST.INT.ARVL?format=json&amp;mrv=10</t>
        </is>
      </c>
      <c r="L2866" t="inlineStr">
        <is>
          <t>World Bank WDI: International tourism arrivals per 1 000 population</t>
        </is>
      </c>
      <c r="M2866" t="inlineStr">
        <is>
          <t>2017-12-31</t>
        </is>
      </c>
      <c r="N2866" t="inlineStr">
        <is>
          <t>auto_ingest=cultural_life_proxy; indicator=ST.INT.ARVL; norm=per_1000_pop; year=2017; country_proxy=Senegal</t>
        </is>
      </c>
    </row>
    <row r="2867">
      <c r="A2867" t="inlineStr">
        <is>
          <t>sn-dakar</t>
        </is>
      </c>
      <c r="B2867" t="inlineStr">
        <is>
          <t>Dakar</t>
        </is>
      </c>
      <c r="C2867" t="inlineStr">
        <is>
          <t>Senegal</t>
        </is>
      </c>
      <c r="D2867" t="inlineStr">
        <is>
          <t>Africa</t>
        </is>
      </c>
      <c r="E2867" t="inlineStr">
        <is>
          <t>birth_rate_optimism_raw</t>
        </is>
      </c>
      <c r="F2867" t="inlineStr">
        <is>
          <t>Birth rate and societal optimism raw</t>
        </is>
      </c>
      <c r="G2867" t="inlineStr">
        <is>
          <t>community</t>
        </is>
      </c>
      <c r="H2867" t="inlineStr">
        <is>
          <t>yes</t>
        </is>
      </c>
      <c r="I2867" t="inlineStr">
        <is>
          <t>4.2</t>
        </is>
      </c>
      <c r="J2867" t="inlineStr">
        <is>
          <t>world_bank</t>
        </is>
      </c>
      <c r="K2867" t="inlineStr">
        <is>
          <t>https://data.worldbank.org/indicator/SP.DYN.TFRT.IN</t>
        </is>
      </c>
      <c r="L2867" t="inlineStr">
        <is>
          <t>World Bank Total Fertility Rate 2023</t>
        </is>
      </c>
      <c r="M2867" t="inlineStr">
        <is>
          <t>2024-01-01</t>
        </is>
      </c>
      <c r="N2867" t="inlineStr"/>
    </row>
    <row r="2868">
      <c r="A2868" t="inlineStr">
        <is>
          <t>sn-dakar</t>
        </is>
      </c>
      <c r="B2868" t="inlineStr">
        <is>
          <t>Dakar</t>
        </is>
      </c>
      <c r="C2868" t="inlineStr">
        <is>
          <t>Senegal</t>
        </is>
      </c>
      <c r="D2868" t="inlineStr">
        <is>
          <t>Africa</t>
        </is>
      </c>
      <c r="E2868" t="inlineStr">
        <is>
          <t>entrepreneurial_dynamism_raw</t>
        </is>
      </c>
      <c r="F2868" t="inlineStr">
        <is>
          <t>Entrepreneurial dynamism raw</t>
        </is>
      </c>
      <c r="G2868" t="inlineStr">
        <is>
          <t>creative</t>
        </is>
      </c>
      <c r="H2868" t="inlineStr">
        <is>
          <t>yes</t>
        </is>
      </c>
      <c r="I2868" t="inlineStr">
        <is>
          <t>1.3</t>
        </is>
      </c>
      <c r="J2868" t="inlineStr">
        <is>
          <t>world_bank</t>
        </is>
      </c>
      <c r="K2868" t="inlineStr">
        <is>
          <t>https://api.worldbank.org/v2/country/SEN/indicator/IC.BUS.NDNS.ZS?format=json&amp;mrv=10</t>
        </is>
      </c>
      <c r="L2868" t="inlineStr">
        <is>
          <t>World Bank WDI: New business density (new registrations per 1,000 people ages 15-64)</t>
        </is>
      </c>
      <c r="M2868" t="inlineStr">
        <is>
          <t>2022-12-31</t>
        </is>
      </c>
      <c r="N2868" t="inlineStr">
        <is>
          <t>auto_ingest=world_bank_creative_extended; indicator=IC.BUS.NDNS.ZS; year=2022; country_proxy=Senegal</t>
        </is>
      </c>
    </row>
    <row r="2869">
      <c r="A2869" t="inlineStr">
        <is>
          <t>sn-dakar</t>
        </is>
      </c>
      <c r="B2869" t="inlineStr">
        <is>
          <t>Dakar</t>
        </is>
      </c>
      <c r="C2869" t="inlineStr">
        <is>
          <t>Senegal</t>
        </is>
      </c>
      <c r="D2869" t="inlineStr">
        <is>
          <t>Africa</t>
        </is>
      </c>
      <c r="E2869" t="inlineStr">
        <is>
          <t>innovation_research_intensity_raw</t>
        </is>
      </c>
      <c r="F2869" t="inlineStr">
        <is>
          <t>Innovation and research raw</t>
        </is>
      </c>
      <c r="G2869" t="inlineStr">
        <is>
          <t>creative</t>
        </is>
      </c>
      <c r="H2869" t="inlineStr">
        <is>
          <t>yes</t>
        </is>
      </c>
      <c r="I2869" t="inlineStr"/>
      <c r="J2869" t="inlineStr"/>
      <c r="K2869" t="inlineStr"/>
      <c r="L2869" t="inlineStr"/>
      <c r="M2869" t="inlineStr"/>
      <c r="N2869" t="inlineStr"/>
    </row>
    <row r="2870">
      <c r="A2870" t="inlineStr">
        <is>
          <t>sn-dakar</t>
        </is>
      </c>
      <c r="B2870" t="inlineStr">
        <is>
          <t>Dakar</t>
        </is>
      </c>
      <c r="C2870" t="inlineStr">
        <is>
          <t>Senegal</t>
        </is>
      </c>
      <c r="D2870" t="inlineStr">
        <is>
          <t>Africa</t>
        </is>
      </c>
      <c r="E2870" t="inlineStr">
        <is>
          <t>investment_signal_raw</t>
        </is>
      </c>
      <c r="F2870" t="inlineStr">
        <is>
          <t>Investment signal raw</t>
        </is>
      </c>
      <c r="G2870" t="inlineStr">
        <is>
          <t>creative</t>
        </is>
      </c>
      <c r="H2870" t="inlineStr">
        <is>
          <t>yes</t>
        </is>
      </c>
      <c r="I2870" t="inlineStr">
        <is>
          <t>6.15</t>
        </is>
      </c>
      <c r="J2870" t="inlineStr">
        <is>
          <t>world_bank</t>
        </is>
      </c>
      <c r="K2870" t="inlineStr">
        <is>
          <t>https://api.worldbank.org/v2/country/SEN/indicator/BX.KLT.DINV.WD.GD.ZS?format=json&amp;mrv=10</t>
        </is>
      </c>
      <c r="L2870" t="inlineStr">
        <is>
          <t>World Bank WDI: Foreign direct investment, net inflows (% of GDP)</t>
        </is>
      </c>
      <c r="M2870" t="inlineStr">
        <is>
          <t>2024-12-31</t>
        </is>
      </c>
      <c r="N2870" t="inlineStr">
        <is>
          <t>auto_ingest=world_bank_creative_extended; indicator=BX.KLT.DINV.WD.GD.ZS; year=2024; country_proxy=Senegal</t>
        </is>
      </c>
    </row>
    <row r="2871">
      <c r="A2871" t="inlineStr">
        <is>
          <t>sn-dakar</t>
        </is>
      </c>
      <c r="B2871" t="inlineStr">
        <is>
          <t>Dakar</t>
        </is>
      </c>
      <c r="C2871" t="inlineStr">
        <is>
          <t>Senegal</t>
        </is>
      </c>
      <c r="D2871" t="inlineStr">
        <is>
          <t>Africa</t>
        </is>
      </c>
      <c r="E2871" t="inlineStr">
        <is>
          <t>administrative_investment_friction_raw</t>
        </is>
      </c>
      <c r="F2871" t="inlineStr">
        <is>
          <t>Administrative investment friction raw</t>
        </is>
      </c>
      <c r="G2871" t="inlineStr">
        <is>
          <t>creative</t>
        </is>
      </c>
      <c r="H2871" t="inlineStr">
        <is>
          <t>yes</t>
        </is>
      </c>
      <c r="I2871" t="inlineStr">
        <is>
          <t>2.85</t>
        </is>
      </c>
      <c r="J2871" t="inlineStr">
        <is>
          <t>world_bank</t>
        </is>
      </c>
      <c r="K2871" t="inlineStr">
        <is>
          <t>https://api.worldbank.org/v2/country/SEN/indicator/RQ.EST?format=json&amp;mrv=10</t>
        </is>
      </c>
      <c r="L2871" t="inlineStr">
        <is>
          <t>World Bank WGI: Regulatory Quality (inverted as friction proxy)</t>
        </is>
      </c>
      <c r="M2871" t="inlineStr">
        <is>
          <t>2023-12-31</t>
        </is>
      </c>
      <c r="N2871" t="inlineStr">
        <is>
          <t>auto_ingest=world_bank_business_friction; indicator=RQ.EST; raw_rq=-0.345079481601715; friction=2.85; year=2023; country_proxy=Senegal</t>
        </is>
      </c>
    </row>
    <row r="2872">
      <c r="A2872" t="inlineStr">
        <is>
          <t>sn-dakar</t>
        </is>
      </c>
      <c r="B2872" t="inlineStr">
        <is>
          <t>Dakar</t>
        </is>
      </c>
      <c r="C2872" t="inlineStr">
        <is>
          <t>Senegal</t>
        </is>
      </c>
      <c r="D2872" t="inlineStr">
        <is>
          <t>Africa</t>
        </is>
      </c>
      <c r="E2872" t="inlineStr">
        <is>
          <t>visitor_flow_context_raw</t>
        </is>
      </c>
      <c r="F2872" t="inlineStr">
        <is>
          <t>Visitor flow context raw</t>
        </is>
      </c>
      <c r="G2872" t="inlineStr">
        <is>
          <t>creative</t>
        </is>
      </c>
      <c r="H2872" t="inlineStr">
        <is>
          <t>no</t>
        </is>
      </c>
      <c r="I2872" t="inlineStr"/>
      <c r="J2872" t="inlineStr"/>
      <c r="K2872" t="inlineStr"/>
      <c r="L2872" t="inlineStr"/>
      <c r="M2872" t="inlineStr"/>
      <c r="N2872" t="inlineStr"/>
    </row>
    <row r="2873">
      <c r="A2873" t="inlineStr">
        <is>
          <t>nz-auckland</t>
        </is>
      </c>
      <c r="B2873" t="inlineStr">
        <is>
          <t>Auckland</t>
        </is>
      </c>
      <c r="C2873" t="inlineStr">
        <is>
          <t>New Zealand</t>
        </is>
      </c>
      <c r="D2873" t="inlineStr">
        <is>
          <t>Oceania</t>
        </is>
      </c>
      <c r="E2873" t="inlineStr">
        <is>
          <t>gross_income</t>
        </is>
      </c>
      <c r="F2873" t="inlineStr">
        <is>
          <t>Gross income</t>
        </is>
      </c>
      <c r="G2873" t="inlineStr">
        <is>
          <t>pressure</t>
        </is>
      </c>
      <c r="H2873" t="inlineStr">
        <is>
          <t>yes</t>
        </is>
      </c>
      <c r="I2873" t="inlineStr">
        <is>
          <t>4466.67</t>
        </is>
      </c>
      <c r="J2873" t="inlineStr">
        <is>
          <t>world_bank_col_estimate</t>
        </is>
      </c>
      <c r="K2873" t="inlineStr">
        <is>
          <t>https://api.worldbank.org/v2/country/NZL/indicator/NY.GNP.PCAP.PP.CD?format=json&amp;mrv=10</t>
        </is>
      </c>
      <c r="L2873" t="inlineStr">
        <is>
          <t>World Bank WDI: GNI per capita PPP (monthly USD)</t>
        </is>
      </c>
      <c r="M2873" t="inlineStr">
        <is>
          <t>2024-12-31</t>
        </is>
      </c>
      <c r="N2873" t="inlineStr">
        <is>
          <t>auto_ingest=world_bank_col_estimate; gni_annual=53600.0; year=2024; country_proxy=New Zealand; cohort=Oceania</t>
        </is>
      </c>
    </row>
    <row r="2874">
      <c r="A2874" t="inlineStr">
        <is>
          <t>nz-auckland</t>
        </is>
      </c>
      <c r="B2874" t="inlineStr">
        <is>
          <t>Auckland</t>
        </is>
      </c>
      <c r="C2874" t="inlineStr">
        <is>
          <t>New Zealand</t>
        </is>
      </c>
      <c r="D2874" t="inlineStr">
        <is>
          <t>Oceania</t>
        </is>
      </c>
      <c r="E2874" t="inlineStr">
        <is>
          <t>di_ppp_raw</t>
        </is>
      </c>
      <c r="F2874" t="inlineStr">
        <is>
          <t>Disposable income PPP (Raw)</t>
        </is>
      </c>
      <c r="G2874" t="inlineStr">
        <is>
          <t>pressure</t>
        </is>
      </c>
      <c r="H2874" t="inlineStr">
        <is>
          <t>yes</t>
        </is>
      </c>
      <c r="I2874" t="inlineStr"/>
      <c r="J2874" t="inlineStr"/>
      <c r="K2874" t="inlineStr"/>
      <c r="L2874" t="inlineStr"/>
      <c r="M2874" t="inlineStr"/>
      <c r="N2874" t="inlineStr"/>
    </row>
    <row r="2875">
      <c r="A2875" t="inlineStr">
        <is>
          <t>nz-auckland</t>
        </is>
      </c>
      <c r="B2875" t="inlineStr">
        <is>
          <t>Auckland</t>
        </is>
      </c>
      <c r="C2875" t="inlineStr">
        <is>
          <t>New Zealand</t>
        </is>
      </c>
      <c r="D2875" t="inlineStr">
        <is>
          <t>Oceania</t>
        </is>
      </c>
      <c r="E2875" t="inlineStr">
        <is>
          <t>rent</t>
        </is>
      </c>
      <c r="F2875" t="inlineStr">
        <is>
          <t>Rent</t>
        </is>
      </c>
      <c r="G2875" t="inlineStr">
        <is>
          <t>pressure</t>
        </is>
      </c>
      <c r="H2875" t="inlineStr">
        <is>
          <t>yes</t>
        </is>
      </c>
      <c r="I2875" t="inlineStr">
        <is>
          <t>1541.0</t>
        </is>
      </c>
      <c r="J2875" t="inlineStr">
        <is>
          <t>world_bank_col_estimate</t>
        </is>
      </c>
      <c r="K2875" t="inlineStr">
        <is>
          <t>https://api.worldbank.org/v2/country/NZL/indicator/NY.GNP.PCAP.PP.CD?format=json&amp;mrv=10</t>
        </is>
      </c>
      <c r="L2875" t="inlineStr">
        <is>
          <t>World Bank GNI + regional expenditure ratio estimate</t>
        </is>
      </c>
      <c r="M2875" t="inlineStr">
        <is>
          <t>2024-12-31</t>
        </is>
      </c>
      <c r="N2875" t="inlineStr">
        <is>
          <t>auto_ingest=world_bank_col_estimate; gni_annual=53600.0; year=2024; country_proxy=New Zealand; cohort=Oceania; city_cost_mult=1.15</t>
        </is>
      </c>
    </row>
    <row r="2876">
      <c r="A2876" t="inlineStr">
        <is>
          <t>nz-auckland</t>
        </is>
      </c>
      <c r="B2876" t="inlineStr">
        <is>
          <t>Auckland</t>
        </is>
      </c>
      <c r="C2876" t="inlineStr">
        <is>
          <t>New Zealand</t>
        </is>
      </c>
      <c r="D2876" t="inlineStr">
        <is>
          <t>Oceania</t>
        </is>
      </c>
      <c r="E2876" t="inlineStr">
        <is>
          <t>utilities</t>
        </is>
      </c>
      <c r="F2876" t="inlineStr">
        <is>
          <t>Utilities</t>
        </is>
      </c>
      <c r="G2876" t="inlineStr">
        <is>
          <t>pressure</t>
        </is>
      </c>
      <c r="H2876" t="inlineStr">
        <is>
          <t>yes</t>
        </is>
      </c>
      <c r="I2876" t="inlineStr">
        <is>
          <t>308.2</t>
        </is>
      </c>
      <c r="J2876" t="inlineStr">
        <is>
          <t>world_bank_col_estimate</t>
        </is>
      </c>
      <c r="K2876" t="inlineStr">
        <is>
          <t>https://api.worldbank.org/v2/country/NZL/indicator/NY.GNP.PCAP.PP.CD?format=json&amp;mrv=10</t>
        </is>
      </c>
      <c r="L2876" t="inlineStr">
        <is>
          <t>World Bank GNI + regional expenditure ratio estimate</t>
        </is>
      </c>
      <c r="M2876" t="inlineStr">
        <is>
          <t>2024-12-31</t>
        </is>
      </c>
      <c r="N2876" t="inlineStr">
        <is>
          <t>auto_ingest=world_bank_col_estimate; gni_annual=53600.0; year=2024; country_proxy=New Zealand; cohort=Oceania; city_cost_mult=1.15</t>
        </is>
      </c>
    </row>
    <row r="2877">
      <c r="A2877" t="inlineStr">
        <is>
          <t>nz-auckland</t>
        </is>
      </c>
      <c r="B2877" t="inlineStr">
        <is>
          <t>Auckland</t>
        </is>
      </c>
      <c r="C2877" t="inlineStr">
        <is>
          <t>New Zealand</t>
        </is>
      </c>
      <c r="D2877" t="inlineStr">
        <is>
          <t>Oceania</t>
        </is>
      </c>
      <c r="E2877" t="inlineStr">
        <is>
          <t>transit_cost</t>
        </is>
      </c>
      <c r="F2877" t="inlineStr">
        <is>
          <t>Transit cost</t>
        </is>
      </c>
      <c r="G2877" t="inlineStr">
        <is>
          <t>pressure</t>
        </is>
      </c>
      <c r="H2877" t="inlineStr">
        <is>
          <t>yes</t>
        </is>
      </c>
      <c r="I2877" t="inlineStr">
        <is>
          <t>205.47</t>
        </is>
      </c>
      <c r="J2877" t="inlineStr">
        <is>
          <t>world_bank_col_estimate</t>
        </is>
      </c>
      <c r="K2877" t="inlineStr">
        <is>
          <t>https://api.worldbank.org/v2/country/NZL/indicator/NY.GNP.PCAP.PP.CD?format=json&amp;mrv=10</t>
        </is>
      </c>
      <c r="L2877" t="inlineStr">
        <is>
          <t>World Bank GNI + regional expenditure ratio estimate</t>
        </is>
      </c>
      <c r="M2877" t="inlineStr">
        <is>
          <t>2024-12-31</t>
        </is>
      </c>
      <c r="N2877" t="inlineStr">
        <is>
          <t>auto_ingest=world_bank_col_estimate; gni_annual=53600.0; year=2024; country_proxy=New Zealand; cohort=Oceania; city_cost_mult=1.15</t>
        </is>
      </c>
    </row>
    <row r="2878">
      <c r="A2878" t="inlineStr">
        <is>
          <t>nz-auckland</t>
        </is>
      </c>
      <c r="B2878" t="inlineStr">
        <is>
          <t>Auckland</t>
        </is>
      </c>
      <c r="C2878" t="inlineStr">
        <is>
          <t>New Zealand</t>
        </is>
      </c>
      <c r="D2878" t="inlineStr">
        <is>
          <t>Oceania</t>
        </is>
      </c>
      <c r="E2878" t="inlineStr">
        <is>
          <t>internet_cost</t>
        </is>
      </c>
      <c r="F2878" t="inlineStr">
        <is>
          <t>Internet cost</t>
        </is>
      </c>
      <c r="G2878" t="inlineStr">
        <is>
          <t>pressure</t>
        </is>
      </c>
      <c r="H2878" t="inlineStr">
        <is>
          <t>yes</t>
        </is>
      </c>
      <c r="I2878" t="inlineStr">
        <is>
          <t>77.05</t>
        </is>
      </c>
      <c r="J2878" t="inlineStr">
        <is>
          <t>world_bank_col_estimate</t>
        </is>
      </c>
      <c r="K2878" t="inlineStr">
        <is>
          <t>https://api.worldbank.org/v2/country/NZL/indicator/NY.GNP.PCAP.PP.CD?format=json&amp;mrv=10</t>
        </is>
      </c>
      <c r="L2878" t="inlineStr">
        <is>
          <t>World Bank GNI + regional expenditure ratio estimate</t>
        </is>
      </c>
      <c r="M2878" t="inlineStr">
        <is>
          <t>2024-12-31</t>
        </is>
      </c>
      <c r="N2878" t="inlineStr">
        <is>
          <t>auto_ingest=world_bank_col_estimate; gni_annual=53600.0; year=2024; country_proxy=New Zealand; cohort=Oceania; city_cost_mult=1.15</t>
        </is>
      </c>
    </row>
    <row r="2879">
      <c r="A2879" t="inlineStr">
        <is>
          <t>nz-auckland</t>
        </is>
      </c>
      <c r="B2879" t="inlineStr">
        <is>
          <t>Auckland</t>
        </is>
      </c>
      <c r="C2879" t="inlineStr">
        <is>
          <t>New Zealand</t>
        </is>
      </c>
      <c r="D2879" t="inlineStr">
        <is>
          <t>Oceania</t>
        </is>
      </c>
      <c r="E2879" t="inlineStr">
        <is>
          <t>food_cost</t>
        </is>
      </c>
      <c r="F2879" t="inlineStr">
        <is>
          <t>Food cost</t>
        </is>
      </c>
      <c r="G2879" t="inlineStr">
        <is>
          <t>pressure</t>
        </is>
      </c>
      <c r="H2879" t="inlineStr">
        <is>
          <t>yes</t>
        </is>
      </c>
      <c r="I2879" t="inlineStr">
        <is>
          <t>770.5</t>
        </is>
      </c>
      <c r="J2879" t="inlineStr">
        <is>
          <t>world_bank_col_estimate</t>
        </is>
      </c>
      <c r="K2879" t="inlineStr">
        <is>
          <t>https://api.worldbank.org/v2/country/NZL/indicator/NY.GNP.PCAP.PP.CD?format=json&amp;mrv=10</t>
        </is>
      </c>
      <c r="L2879" t="inlineStr">
        <is>
          <t>World Bank GNI + regional expenditure ratio estimate</t>
        </is>
      </c>
      <c r="M2879" t="inlineStr">
        <is>
          <t>2024-12-31</t>
        </is>
      </c>
      <c r="N2879" t="inlineStr">
        <is>
          <t>auto_ingest=world_bank_col_estimate; gni_annual=53600.0; year=2024; country_proxy=New Zealand; cohort=Oceania; city_cost_mult=1.15</t>
        </is>
      </c>
    </row>
    <row r="2880">
      <c r="A2880" t="inlineStr">
        <is>
          <t>nz-auckland</t>
        </is>
      </c>
      <c r="B2880" t="inlineStr">
        <is>
          <t>Auckland</t>
        </is>
      </c>
      <c r="C2880" t="inlineStr">
        <is>
          <t>New Zealand</t>
        </is>
      </c>
      <c r="D2880" t="inlineStr">
        <is>
          <t>Oceania</t>
        </is>
      </c>
      <c r="E2880" t="inlineStr">
        <is>
          <t>housing_burden_raw</t>
        </is>
      </c>
      <c r="F2880" t="inlineStr">
        <is>
          <t>Housing burden raw</t>
        </is>
      </c>
      <c r="G2880" t="inlineStr">
        <is>
          <t>pressure</t>
        </is>
      </c>
      <c r="H2880" t="inlineStr">
        <is>
          <t>yes</t>
        </is>
      </c>
      <c r="I2880" t="inlineStr">
        <is>
          <t>34.5</t>
        </is>
      </c>
      <c r="J2880" t="inlineStr">
        <is>
          <t>derived</t>
        </is>
      </c>
      <c r="K2880" t="inlineStr">
        <is>
          <t>https://data.worldbank.org/indicator/NY.GNP.PCAP.PP.CD</t>
        </is>
      </c>
      <c r="L2880" t="inlineStr">
        <is>
          <t>Computed from city_inputs + country_context</t>
        </is>
      </c>
      <c r="M2880" t="inlineStr">
        <is>
          <t>2024-01-01</t>
        </is>
      </c>
      <c r="N2880" t="inlineStr">
        <is>
          <t>derived=rent/gross_income*100</t>
        </is>
      </c>
    </row>
    <row r="2881">
      <c r="A2881" t="inlineStr">
        <is>
          <t>nz-auckland</t>
        </is>
      </c>
      <c r="B2881" t="inlineStr">
        <is>
          <t>Auckland</t>
        </is>
      </c>
      <c r="C2881" t="inlineStr">
        <is>
          <t>New Zealand</t>
        </is>
      </c>
      <c r="D2881" t="inlineStr">
        <is>
          <t>Oceania</t>
        </is>
      </c>
      <c r="E2881" t="inlineStr">
        <is>
          <t>household_debt_burden_raw</t>
        </is>
      </c>
      <c r="F2881" t="inlineStr">
        <is>
          <t>Household debt burden raw</t>
        </is>
      </c>
      <c r="G2881" t="inlineStr">
        <is>
          <t>pressure</t>
        </is>
      </c>
      <c r="H2881" t="inlineStr">
        <is>
          <t>yes</t>
        </is>
      </c>
      <c r="I2881" t="inlineStr">
        <is>
          <t>129.7971</t>
        </is>
      </c>
      <c r="J2881" t="inlineStr">
        <is>
          <t>derived</t>
        </is>
      </c>
      <c r="K2881" t="inlineStr">
        <is>
          <t>https://data.worldbank.org/indicator/NY.GNP.PCAP.PP.CD</t>
        </is>
      </c>
      <c r="L2881" t="inlineStr">
        <is>
          <t>Computed from city_inputs + country_context</t>
        </is>
      </c>
      <c r="M2881" t="inlineStr">
        <is>
          <t>2024-01-01</t>
        </is>
      </c>
      <c r="N2881" t="inlineStr">
        <is>
          <t>derived=country_context.household_debt_proxy; country=New Zealand</t>
        </is>
      </c>
    </row>
    <row r="2882">
      <c r="A2882" t="inlineStr">
        <is>
          <t>nz-auckland</t>
        </is>
      </c>
      <c r="B2882" t="inlineStr">
        <is>
          <t>Auckland</t>
        </is>
      </c>
      <c r="C2882" t="inlineStr">
        <is>
          <t>New Zealand</t>
        </is>
      </c>
      <c r="D2882" t="inlineStr">
        <is>
          <t>Oceania</t>
        </is>
      </c>
      <c r="E2882" t="inlineStr">
        <is>
          <t>working_time_pressure_raw</t>
        </is>
      </c>
      <c r="F2882" t="inlineStr">
        <is>
          <t>Working time pressure raw</t>
        </is>
      </c>
      <c r="G2882" t="inlineStr">
        <is>
          <t>pressure</t>
        </is>
      </c>
      <c r="H2882" t="inlineStr">
        <is>
          <t>yes</t>
        </is>
      </c>
      <c r="I2882" t="inlineStr">
        <is>
          <t>33.0</t>
        </is>
      </c>
      <c r="J2882" t="inlineStr">
        <is>
          <t>ilo_ilostat</t>
        </is>
      </c>
      <c r="K2882" t="inlineStr">
        <is>
          <t>https://ilostat.ilo.org/data/indicator/?id=HOW_TEMP_SEX_ECO_NB_A&amp;ref_area=NZL</t>
        </is>
      </c>
      <c r="L2882" t="inlineStr">
        <is>
          <t>ILO ILOSTAT: Mean weekly hours actually worked per employed person</t>
        </is>
      </c>
      <c r="M2882" t="inlineStr">
        <is>
          <t>2020-12-31</t>
        </is>
      </c>
      <c r="N2882" t="inlineStr">
        <is>
          <t>auto_ingest=ilo_working_hours; indicator=HOW_TEMP_SEX_ECO_NB_A; year=2020; hours=33.0; country_proxy=New Zealand</t>
        </is>
      </c>
    </row>
    <row r="2883">
      <c r="A2883" t="inlineStr">
        <is>
          <t>nz-auckland</t>
        </is>
      </c>
      <c r="B2883" t="inlineStr">
        <is>
          <t>Auckland</t>
        </is>
      </c>
      <c r="C2883" t="inlineStr">
        <is>
          <t>New Zealand</t>
        </is>
      </c>
      <c r="D2883" t="inlineStr">
        <is>
          <t>Oceania</t>
        </is>
      </c>
      <c r="E2883" t="inlineStr">
        <is>
          <t>suicide_mental_strain_raw</t>
        </is>
      </c>
      <c r="F2883" t="inlineStr">
        <is>
          <t>Suicide or mental strain raw</t>
        </is>
      </c>
      <c r="G2883" t="inlineStr">
        <is>
          <t>pressure</t>
        </is>
      </c>
      <c r="H2883" t="inlineStr">
        <is>
          <t>yes</t>
        </is>
      </c>
      <c r="I2883" t="inlineStr">
        <is>
          <t>11.92</t>
        </is>
      </c>
      <c r="J2883" t="inlineStr">
        <is>
          <t>who_gho</t>
        </is>
      </c>
      <c r="K2883" t="inlineStr">
        <is>
          <t>https://www.who.int/data/gho/data/indicators/indicator-details/GHO/SDGSUICIDE</t>
        </is>
      </c>
      <c r="L2883" t="inlineStr">
        <is>
          <t>WHO GHO: Age-standardized suicide rate (per 100,000 population)</t>
        </is>
      </c>
      <c r="M2883" t="inlineStr">
        <is>
          <t>2021-12-31</t>
        </is>
      </c>
      <c r="N2883" t="inlineStr">
        <is>
          <t>auto_ingest=who_gho; indicator=SDGSUICIDE; year=2021; country_proxy=New Zealand</t>
        </is>
      </c>
    </row>
    <row r="2884">
      <c r="A2884" t="inlineStr">
        <is>
          <t>nz-auckland</t>
        </is>
      </c>
      <c r="B2884" t="inlineStr">
        <is>
          <t>Auckland</t>
        </is>
      </c>
      <c r="C2884" t="inlineStr">
        <is>
          <t>New Zealand</t>
        </is>
      </c>
      <c r="D2884" t="inlineStr">
        <is>
          <t>Oceania</t>
        </is>
      </c>
      <c r="E2884" t="inlineStr">
        <is>
          <t>personal_safety_raw</t>
        </is>
      </c>
      <c r="F2884" t="inlineStr">
        <is>
          <t>Personal safety raw</t>
        </is>
      </c>
      <c r="G2884" t="inlineStr">
        <is>
          <t>viability</t>
        </is>
      </c>
      <c r="H2884" t="inlineStr">
        <is>
          <t>yes</t>
        </is>
      </c>
      <c r="I2884" t="inlineStr">
        <is>
          <t>1.46</t>
        </is>
      </c>
      <c r="J2884" t="inlineStr">
        <is>
          <t>world_bank</t>
        </is>
      </c>
      <c r="K2884" t="inlineStr">
        <is>
          <t>https://api.worldbank.org/v2/country/NZL/indicator/VC.IHR.PSRC.P5?format=json&amp;mrv=10</t>
        </is>
      </c>
      <c r="L2884" t="inlineStr">
        <is>
          <t>UNODC via World Bank WDI: Intentional homicides (per 100,000 people)</t>
        </is>
      </c>
      <c r="M2884" t="inlineStr">
        <is>
          <t>2022-12-31</t>
        </is>
      </c>
      <c r="N2884" t="inlineStr">
        <is>
          <t>auto_ingest=unodc_safety; indicator=VC.IHR.PSRC.P5; year=2022; country_proxy=New Zealand</t>
        </is>
      </c>
    </row>
    <row r="2885">
      <c r="A2885" t="inlineStr">
        <is>
          <t>nz-auckland</t>
        </is>
      </c>
      <c r="B2885" t="inlineStr">
        <is>
          <t>Auckland</t>
        </is>
      </c>
      <c r="C2885" t="inlineStr">
        <is>
          <t>New Zealand</t>
        </is>
      </c>
      <c r="D2885" t="inlineStr">
        <is>
          <t>Oceania</t>
        </is>
      </c>
      <c r="E2885" t="inlineStr">
        <is>
          <t>transit_access_commute_raw</t>
        </is>
      </c>
      <c r="F2885" t="inlineStr">
        <is>
          <t>Transit access and commute raw</t>
        </is>
      </c>
      <c r="G2885" t="inlineStr">
        <is>
          <t>viability</t>
        </is>
      </c>
      <c r="H2885" t="inlineStr">
        <is>
          <t>yes</t>
        </is>
      </c>
      <c r="I2885" t="inlineStr"/>
      <c r="J2885" t="inlineStr"/>
      <c r="K2885" t="inlineStr"/>
      <c r="L2885" t="inlineStr"/>
      <c r="M2885" t="inlineStr"/>
      <c r="N2885" t="inlineStr"/>
    </row>
    <row r="2886">
      <c r="A2886" t="inlineStr">
        <is>
          <t>nz-auckland</t>
        </is>
      </c>
      <c r="B2886" t="inlineStr">
        <is>
          <t>Auckland</t>
        </is>
      </c>
      <c r="C2886" t="inlineStr">
        <is>
          <t>New Zealand</t>
        </is>
      </c>
      <c r="D2886" t="inlineStr">
        <is>
          <t>Oceania</t>
        </is>
      </c>
      <c r="E2886" t="inlineStr">
        <is>
          <t>clean_air_raw</t>
        </is>
      </c>
      <c r="F2886" t="inlineStr">
        <is>
          <t>Clean air raw</t>
        </is>
      </c>
      <c r="G2886" t="inlineStr">
        <is>
          <t>viability</t>
        </is>
      </c>
      <c r="H2886" t="inlineStr">
        <is>
          <t>yes</t>
        </is>
      </c>
      <c r="I2886" t="inlineStr"/>
      <c r="J2886" t="inlineStr"/>
      <c r="K2886" t="inlineStr"/>
      <c r="L2886" t="inlineStr"/>
      <c r="M2886" t="inlineStr"/>
      <c r="N2886" t="inlineStr"/>
    </row>
    <row r="2887">
      <c r="A2887" t="inlineStr">
        <is>
          <t>nz-auckland</t>
        </is>
      </c>
      <c r="B2887" t="inlineStr">
        <is>
          <t>Auckland</t>
        </is>
      </c>
      <c r="C2887" t="inlineStr">
        <is>
          <t>New Zealand</t>
        </is>
      </c>
      <c r="D2887" t="inlineStr">
        <is>
          <t>Oceania</t>
        </is>
      </c>
      <c r="E2887" t="inlineStr">
        <is>
          <t>water_sanitation_utility_raw</t>
        </is>
      </c>
      <c r="F2887" t="inlineStr">
        <is>
          <t>Water, sanitation, and utility raw</t>
        </is>
      </c>
      <c r="G2887" t="inlineStr">
        <is>
          <t>viability</t>
        </is>
      </c>
      <c r="H2887" t="inlineStr">
        <is>
          <t>yes</t>
        </is>
      </c>
      <c r="I2887" t="inlineStr">
        <is>
          <t>100.0</t>
        </is>
      </c>
      <c r="J2887" t="inlineStr">
        <is>
          <t>world_bank</t>
        </is>
      </c>
      <c r="K2887" t="inlineStr">
        <is>
          <t>https://api.worldbank.org/v2/country/NZL/indicator/SH.H2O.SMDW.ZS?format=json&amp;mrv=10</t>
        </is>
      </c>
      <c r="L2887" t="inlineStr">
        <is>
          <t>World Bank WDI: People using safely managed drinking water services (% of population)</t>
        </is>
      </c>
      <c r="M2887" t="inlineStr">
        <is>
          <t>2024-12-31</t>
        </is>
      </c>
      <c r="N2887" t="inlineStr">
        <is>
          <t>auto_ingest=world_bank_proxy; indicator=SH.H2O.SMDW.ZS; year=2024; country_proxy=New Zealand</t>
        </is>
      </c>
    </row>
    <row r="2888">
      <c r="A2888" t="inlineStr">
        <is>
          <t>nz-auckland</t>
        </is>
      </c>
      <c r="B2888" t="inlineStr">
        <is>
          <t>Auckland</t>
        </is>
      </c>
      <c r="C2888" t="inlineStr">
        <is>
          <t>New Zealand</t>
        </is>
      </c>
      <c r="D2888" t="inlineStr">
        <is>
          <t>Oceania</t>
        </is>
      </c>
      <c r="E2888" t="inlineStr">
        <is>
          <t>digital_infrastructure_raw</t>
        </is>
      </c>
      <c r="F2888" t="inlineStr">
        <is>
          <t>Digital infrastructure raw</t>
        </is>
      </c>
      <c r="G2888" t="inlineStr">
        <is>
          <t>viability</t>
        </is>
      </c>
      <c r="H2888" t="inlineStr">
        <is>
          <t>yes</t>
        </is>
      </c>
      <c r="I2888" t="inlineStr">
        <is>
          <t>37.85</t>
        </is>
      </c>
      <c r="J2888" t="inlineStr">
        <is>
          <t>world_bank</t>
        </is>
      </c>
      <c r="K2888" t="inlineStr">
        <is>
          <t>https://api.worldbank.org/v2/country/NZL/indicator/IT.NET.BBND.P2?format=json&amp;mrv=10</t>
        </is>
      </c>
      <c r="L2888" t="inlineStr">
        <is>
          <t>World Bank WDI: Fixed broadband subscriptions (per 100 people)</t>
        </is>
      </c>
      <c r="M2888" t="inlineStr">
        <is>
          <t>2023-12-31</t>
        </is>
      </c>
      <c r="N2888" t="inlineStr">
        <is>
          <t>auto_ingest=world_bank_proxy; indicator=IT.NET.BBND.P2; year=2023; country_proxy=New Zealand</t>
        </is>
      </c>
    </row>
    <row r="2889">
      <c r="A2889" t="inlineStr">
        <is>
          <t>nz-auckland</t>
        </is>
      </c>
      <c r="B2889" t="inlineStr">
        <is>
          <t>Auckland</t>
        </is>
      </c>
      <c r="C2889" t="inlineStr">
        <is>
          <t>New Zealand</t>
        </is>
      </c>
      <c r="D2889" t="inlineStr">
        <is>
          <t>Oceania</t>
        </is>
      </c>
      <c r="E2889" t="inlineStr">
        <is>
          <t>climate_sunlight_livability_raw</t>
        </is>
      </c>
      <c r="F2889" t="inlineStr">
        <is>
          <t>Climate and sunlight livability raw</t>
        </is>
      </c>
      <c r="G2889" t="inlineStr">
        <is>
          <t>viability</t>
        </is>
      </c>
      <c r="H2889" t="inlineStr">
        <is>
          <t>yes</t>
        </is>
      </c>
      <c r="I2889" t="inlineStr">
        <is>
          <t>58</t>
        </is>
      </c>
      <c r="J2889" t="inlineStr">
        <is>
          <t>wmo_natl_met</t>
        </is>
      </c>
      <c r="K2889" t="inlineStr">
        <is>
          <t>https://worldweather.wmo.int</t>
        </is>
      </c>
      <c r="L2889" t="inlineStr">
        <is>
          <t>WMO/National Met: Climate livability composite</t>
        </is>
      </c>
      <c r="M2889" t="inlineStr">
        <is>
          <t>2024-12-31</t>
        </is>
      </c>
      <c r="N2889" t="inlineStr">
        <is>
          <t>auto_seed=climate_composite; 2100 sun hrs, 15C mean, mild, rain</t>
        </is>
      </c>
    </row>
    <row r="2890">
      <c r="A2890" t="inlineStr">
        <is>
          <t>nz-auckland</t>
        </is>
      </c>
      <c r="B2890" t="inlineStr">
        <is>
          <t>Auckland</t>
        </is>
      </c>
      <c r="C2890" t="inlineStr">
        <is>
          <t>New Zealand</t>
        </is>
      </c>
      <c r="D2890" t="inlineStr">
        <is>
          <t>Oceania</t>
        </is>
      </c>
      <c r="E2890" t="inlineStr">
        <is>
          <t>healthcare_quality_raw</t>
        </is>
      </c>
      <c r="F2890" t="inlineStr">
        <is>
          <t>Healthcare quality raw</t>
        </is>
      </c>
      <c r="G2890" t="inlineStr">
        <is>
          <t>capability</t>
        </is>
      </c>
      <c r="H2890" t="inlineStr">
        <is>
          <t>yes</t>
        </is>
      </c>
      <c r="I2890" t="inlineStr">
        <is>
          <t>89.0</t>
        </is>
      </c>
      <c r="J2890" t="inlineStr">
        <is>
          <t>who_gho</t>
        </is>
      </c>
      <c r="K2890" t="inlineStr">
        <is>
          <t>https://www.who.int/data/gho/data/indicators/indicator-details/GHO/UHC_INDEX_REPORTED</t>
        </is>
      </c>
      <c r="L2890" t="inlineStr">
        <is>
          <t>WHO GHO: UHC Service Coverage Index</t>
        </is>
      </c>
      <c r="M2890" t="inlineStr">
        <is>
          <t>2023-12-31</t>
        </is>
      </c>
      <c r="N2890" t="inlineStr">
        <is>
          <t>auto_ingest=who_gho; indicator=UHC_INDEX_REPORTED; year=2023; country_proxy=New Zealand</t>
        </is>
      </c>
    </row>
    <row r="2891">
      <c r="A2891" t="inlineStr">
        <is>
          <t>nz-auckland</t>
        </is>
      </c>
      <c r="B2891" t="inlineStr">
        <is>
          <t>Auckland</t>
        </is>
      </c>
      <c r="C2891" t="inlineStr">
        <is>
          <t>New Zealand</t>
        </is>
      </c>
      <c r="D2891" t="inlineStr">
        <is>
          <t>Oceania</t>
        </is>
      </c>
      <c r="E2891" t="inlineStr">
        <is>
          <t>education_quality_raw</t>
        </is>
      </c>
      <c r="F2891" t="inlineStr">
        <is>
          <t>Education quality raw</t>
        </is>
      </c>
      <c r="G2891" t="inlineStr">
        <is>
          <t>capability</t>
        </is>
      </c>
      <c r="H2891" t="inlineStr">
        <is>
          <t>yes</t>
        </is>
      </c>
      <c r="I2891" t="inlineStr">
        <is>
          <t>76.38</t>
        </is>
      </c>
      <c r="J2891" t="inlineStr">
        <is>
          <t>world_bank</t>
        </is>
      </c>
      <c r="K2891" t="inlineStr">
        <is>
          <t>https://api.worldbank.org/v2/country/NZL/indicator/SE.TER.ENRR?format=json&amp;mrv=10</t>
        </is>
      </c>
      <c r="L2891" t="inlineStr">
        <is>
          <t>World Bank WDI: School enrollment, tertiary (% gross)</t>
        </is>
      </c>
      <c r="M2891" t="inlineStr">
        <is>
          <t>2023-12-31</t>
        </is>
      </c>
      <c r="N2891" t="inlineStr">
        <is>
          <t>auto_ingest=world_bank_proxy; indicator=SE.TER.ENRR; year=2023; country_proxy=New Zealand</t>
        </is>
      </c>
    </row>
    <row r="2892">
      <c r="A2892" t="inlineStr">
        <is>
          <t>nz-auckland</t>
        </is>
      </c>
      <c r="B2892" t="inlineStr">
        <is>
          <t>Auckland</t>
        </is>
      </c>
      <c r="C2892" t="inlineStr">
        <is>
          <t>New Zealand</t>
        </is>
      </c>
      <c r="D2892" t="inlineStr">
        <is>
          <t>Oceania</t>
        </is>
      </c>
      <c r="E2892" t="inlineStr">
        <is>
          <t>equal_opportunity_raw</t>
        </is>
      </c>
      <c r="F2892" t="inlineStr">
        <is>
          <t>Equal opportunity raw</t>
        </is>
      </c>
      <c r="G2892" t="inlineStr">
        <is>
          <t>capability</t>
        </is>
      </c>
      <c r="H2892" t="inlineStr">
        <is>
          <t>yes</t>
        </is>
      </c>
      <c r="I2892" t="inlineStr"/>
      <c r="J2892" t="inlineStr"/>
      <c r="K2892" t="inlineStr"/>
      <c r="L2892" t="inlineStr"/>
      <c r="M2892" t="inlineStr"/>
      <c r="N2892" t="inlineStr"/>
    </row>
    <row r="2893">
      <c r="A2893" t="inlineStr">
        <is>
          <t>nz-auckland</t>
        </is>
      </c>
      <c r="B2893" t="inlineStr">
        <is>
          <t>Auckland</t>
        </is>
      </c>
      <c r="C2893" t="inlineStr">
        <is>
          <t>New Zealand</t>
        </is>
      </c>
      <c r="D2893" t="inlineStr">
        <is>
          <t>Oceania</t>
        </is>
      </c>
      <c r="E2893" t="inlineStr">
        <is>
          <t>hospitality_belonging_raw</t>
        </is>
      </c>
      <c r="F2893" t="inlineStr">
        <is>
          <t>Hospitality and belonging raw</t>
        </is>
      </c>
      <c r="G2893" t="inlineStr">
        <is>
          <t>community</t>
        </is>
      </c>
      <c r="H2893" t="inlineStr">
        <is>
          <t>yes</t>
        </is>
      </c>
      <c r="I2893" t="inlineStr">
        <is>
          <t>53.29</t>
        </is>
      </c>
      <c r="J2893" t="inlineStr">
        <is>
          <t>world_bank</t>
        </is>
      </c>
      <c r="K2893" t="inlineStr">
        <is>
          <t>https://api.worldbank.org/v2/country/NZL/indicator/SM.POP.NETM?format=json&amp;mrv=10</t>
        </is>
      </c>
      <c r="L2893" t="inlineStr">
        <is>
          <t>World Bank WDI: Net migration (proxy for hospitality/belonging — positive = welcoming)</t>
        </is>
      </c>
      <c r="M2893" t="inlineStr">
        <is>
          <t>2025-12-31</t>
        </is>
      </c>
      <c r="N2893" t="inlineStr">
        <is>
          <t>auto_ingest=world_bank_proxy; proxy=net_migration_hospitality; indicator=SM.POP.NETM; year=2025; country_proxy=New Zealand</t>
        </is>
      </c>
    </row>
    <row r="2894">
      <c r="A2894" t="inlineStr">
        <is>
          <t>nz-auckland</t>
        </is>
      </c>
      <c r="B2894" t="inlineStr">
        <is>
          <t>Auckland</t>
        </is>
      </c>
      <c r="C2894" t="inlineStr">
        <is>
          <t>New Zealand</t>
        </is>
      </c>
      <c r="D2894" t="inlineStr">
        <is>
          <t>Oceania</t>
        </is>
      </c>
      <c r="E2894" t="inlineStr">
        <is>
          <t>tolerance_pluralism_raw</t>
        </is>
      </c>
      <c r="F2894" t="inlineStr">
        <is>
          <t>Tolerance and pluralism raw</t>
        </is>
      </c>
      <c r="G2894" t="inlineStr">
        <is>
          <t>community</t>
        </is>
      </c>
      <c r="H2894" t="inlineStr">
        <is>
          <t>yes</t>
        </is>
      </c>
      <c r="I2894" t="inlineStr">
        <is>
          <t>45.53</t>
        </is>
      </c>
      <c r="J2894" t="inlineStr">
        <is>
          <t>world_bank</t>
        </is>
      </c>
      <c r="K2894" t="inlineStr">
        <is>
          <t>https://api.worldbank.org/v2/country/NZL/indicator/SG.GEN.PARL.ZS?format=json&amp;mrv=10</t>
        </is>
      </c>
      <c r="L2894" t="inlineStr">
        <is>
          <t>World Bank WDI: Proportion of seats held by women in national parliaments (%)</t>
        </is>
      </c>
      <c r="M2894" t="inlineStr">
        <is>
          <t>2024-12-31</t>
        </is>
      </c>
      <c r="N2894" t="inlineStr">
        <is>
          <t>auto_ingest=world_bank_proxy; proxy=gender_parity_parliament; indicator=SG.GEN.PARL.ZS; year=2024; country_proxy=New Zealand</t>
        </is>
      </c>
    </row>
    <row r="2895">
      <c r="A2895" t="inlineStr">
        <is>
          <t>nz-auckland</t>
        </is>
      </c>
      <c r="B2895" t="inlineStr">
        <is>
          <t>Auckland</t>
        </is>
      </c>
      <c r="C2895" t="inlineStr">
        <is>
          <t>New Zealand</t>
        </is>
      </c>
      <c r="D2895" t="inlineStr">
        <is>
          <t>Oceania</t>
        </is>
      </c>
      <c r="E2895" t="inlineStr">
        <is>
          <t>cultural_public_life_raw</t>
        </is>
      </c>
      <c r="F2895" t="inlineStr">
        <is>
          <t>Cultural public life raw</t>
        </is>
      </c>
      <c r="G2895" t="inlineStr">
        <is>
          <t>community</t>
        </is>
      </c>
      <c r="H2895" t="inlineStr">
        <is>
          <t>yes</t>
        </is>
      </c>
      <c r="I2895" t="inlineStr">
        <is>
          <t>188.37</t>
        </is>
      </c>
      <c r="J2895" t="inlineStr">
        <is>
          <t>world_bank</t>
        </is>
      </c>
      <c r="K2895" t="inlineStr">
        <is>
          <t>https://api.worldbank.org/v2/country/NZL/indicator/ST.INT.ARVL?format=json&amp;mrv=10</t>
        </is>
      </c>
      <c r="L2895" t="inlineStr">
        <is>
          <t>World Bank WDI: International tourism arrivals per 1 000 population</t>
        </is>
      </c>
      <c r="M2895" t="inlineStr">
        <is>
          <t>2020-12-31</t>
        </is>
      </c>
      <c r="N2895" t="inlineStr">
        <is>
          <t>auto_ingest=cultural_life_proxy; indicator=ST.INT.ARVL; norm=per_1000_pop; year=2020; country_proxy=New Zealand</t>
        </is>
      </c>
    </row>
    <row r="2896">
      <c r="A2896" t="inlineStr">
        <is>
          <t>nz-auckland</t>
        </is>
      </c>
      <c r="B2896" t="inlineStr">
        <is>
          <t>Auckland</t>
        </is>
      </c>
      <c r="C2896" t="inlineStr">
        <is>
          <t>New Zealand</t>
        </is>
      </c>
      <c r="D2896" t="inlineStr">
        <is>
          <t>Oceania</t>
        </is>
      </c>
      <c r="E2896" t="inlineStr">
        <is>
          <t>birth_rate_optimism_raw</t>
        </is>
      </c>
      <c r="F2896" t="inlineStr">
        <is>
          <t>Birth rate and societal optimism raw</t>
        </is>
      </c>
      <c r="G2896" t="inlineStr">
        <is>
          <t>community</t>
        </is>
      </c>
      <c r="H2896" t="inlineStr">
        <is>
          <t>yes</t>
        </is>
      </c>
      <c r="I2896" t="inlineStr">
        <is>
          <t>1.56</t>
        </is>
      </c>
      <c r="J2896" t="inlineStr">
        <is>
          <t>world_bank</t>
        </is>
      </c>
      <c r="K2896" t="inlineStr">
        <is>
          <t>https://data.worldbank.org/indicator/SP.DYN.TFRT.IN</t>
        </is>
      </c>
      <c r="L2896" t="inlineStr">
        <is>
          <t>World Bank Total Fertility Rate 2023</t>
        </is>
      </c>
      <c r="M2896" t="inlineStr">
        <is>
          <t>2024-01-01</t>
        </is>
      </c>
      <c r="N2896" t="inlineStr"/>
    </row>
    <row r="2897">
      <c r="A2897" t="inlineStr">
        <is>
          <t>nz-auckland</t>
        </is>
      </c>
      <c r="B2897" t="inlineStr">
        <is>
          <t>Auckland</t>
        </is>
      </c>
      <c r="C2897" t="inlineStr">
        <is>
          <t>New Zealand</t>
        </is>
      </c>
      <c r="D2897" t="inlineStr">
        <is>
          <t>Oceania</t>
        </is>
      </c>
      <c r="E2897" t="inlineStr">
        <is>
          <t>entrepreneurial_dynamism_raw</t>
        </is>
      </c>
      <c r="F2897" t="inlineStr">
        <is>
          <t>Entrepreneurial dynamism raw</t>
        </is>
      </c>
      <c r="G2897" t="inlineStr">
        <is>
          <t>creative</t>
        </is>
      </c>
      <c r="H2897" t="inlineStr">
        <is>
          <t>yes</t>
        </is>
      </c>
      <c r="I2897" t="inlineStr">
        <is>
          <t>16.32</t>
        </is>
      </c>
      <c r="J2897" t="inlineStr">
        <is>
          <t>world_bank</t>
        </is>
      </c>
      <c r="K2897" t="inlineStr">
        <is>
          <t>https://api.worldbank.org/v2/country/NZL/indicator/IC.BUS.NDNS.ZS?format=json&amp;mrv=10</t>
        </is>
      </c>
      <c r="L2897" t="inlineStr">
        <is>
          <t>World Bank WDI: New business density (new registrations per 1,000 people ages 15-64)</t>
        </is>
      </c>
      <c r="M2897" t="inlineStr">
        <is>
          <t>2022-12-31</t>
        </is>
      </c>
      <c r="N2897" t="inlineStr">
        <is>
          <t>auto_ingest=world_bank_creative_extended; indicator=IC.BUS.NDNS.ZS; year=2022; country_proxy=New Zealand</t>
        </is>
      </c>
    </row>
    <row r="2898">
      <c r="A2898" t="inlineStr">
        <is>
          <t>nz-auckland</t>
        </is>
      </c>
      <c r="B2898" t="inlineStr">
        <is>
          <t>Auckland</t>
        </is>
      </c>
      <c r="C2898" t="inlineStr">
        <is>
          <t>New Zealand</t>
        </is>
      </c>
      <c r="D2898" t="inlineStr">
        <is>
          <t>Oceania</t>
        </is>
      </c>
      <c r="E2898" t="inlineStr">
        <is>
          <t>innovation_research_intensity_raw</t>
        </is>
      </c>
      <c r="F2898" t="inlineStr">
        <is>
          <t>Innovation and research raw</t>
        </is>
      </c>
      <c r="G2898" t="inlineStr">
        <is>
          <t>creative</t>
        </is>
      </c>
      <c r="H2898" t="inlineStr">
        <is>
          <t>yes</t>
        </is>
      </c>
      <c r="I2898" t="inlineStr">
        <is>
          <t>1.47</t>
        </is>
      </c>
      <c r="J2898" t="inlineStr">
        <is>
          <t>world_bank</t>
        </is>
      </c>
      <c r="K2898" t="inlineStr">
        <is>
          <t>https://api.worldbank.org/v2/country/NZL/indicator/GB.XPD.RSDV.GD.ZS?format=json&amp;mrv=10</t>
        </is>
      </c>
      <c r="L2898" t="inlineStr">
        <is>
          <t>World Bank WDI: Research and development expenditure (% of GDP)</t>
        </is>
      </c>
      <c r="M2898" t="inlineStr">
        <is>
          <t>2021-12-31</t>
        </is>
      </c>
      <c r="N2898" t="inlineStr">
        <is>
          <t>auto_ingest=world_bank_creative_extended; indicator=GB.XPD.RSDV.GD.ZS; year=2021; country_proxy=New Zealand</t>
        </is>
      </c>
    </row>
    <row r="2899">
      <c r="A2899" t="inlineStr">
        <is>
          <t>nz-auckland</t>
        </is>
      </c>
      <c r="B2899" t="inlineStr">
        <is>
          <t>Auckland</t>
        </is>
      </c>
      <c r="C2899" t="inlineStr">
        <is>
          <t>New Zealand</t>
        </is>
      </c>
      <c r="D2899" t="inlineStr">
        <is>
          <t>Oceania</t>
        </is>
      </c>
      <c r="E2899" t="inlineStr">
        <is>
          <t>investment_signal_raw</t>
        </is>
      </c>
      <c r="F2899" t="inlineStr">
        <is>
          <t>Investment signal raw</t>
        </is>
      </c>
      <c r="G2899" t="inlineStr">
        <is>
          <t>creative</t>
        </is>
      </c>
      <c r="H2899" t="inlineStr">
        <is>
          <t>yes</t>
        </is>
      </c>
      <c r="I2899" t="inlineStr">
        <is>
          <t>0.68</t>
        </is>
      </c>
      <c r="J2899" t="inlineStr">
        <is>
          <t>world_bank</t>
        </is>
      </c>
      <c r="K2899" t="inlineStr">
        <is>
          <t>https://api.worldbank.org/v2/country/NZL/indicator/BX.KLT.DINV.WD.GD.ZS?format=json&amp;mrv=10</t>
        </is>
      </c>
      <c r="L2899" t="inlineStr">
        <is>
          <t>World Bank WDI: Foreign direct investment, net inflows (% of GDP)</t>
        </is>
      </c>
      <c r="M2899" t="inlineStr">
        <is>
          <t>2024-12-31</t>
        </is>
      </c>
      <c r="N2899" t="inlineStr">
        <is>
          <t>auto_ingest=world_bank_creative_extended; indicator=BX.KLT.DINV.WD.GD.ZS; year=2024; country_proxy=New Zealand</t>
        </is>
      </c>
    </row>
    <row r="2900">
      <c r="A2900" t="inlineStr">
        <is>
          <t>nz-auckland</t>
        </is>
      </c>
      <c r="B2900" t="inlineStr">
        <is>
          <t>Auckland</t>
        </is>
      </c>
      <c r="C2900" t="inlineStr">
        <is>
          <t>New Zealand</t>
        </is>
      </c>
      <c r="D2900" t="inlineStr">
        <is>
          <t>Oceania</t>
        </is>
      </c>
      <c r="E2900" t="inlineStr">
        <is>
          <t>administrative_investment_friction_raw</t>
        </is>
      </c>
      <c r="F2900" t="inlineStr">
        <is>
          <t>Administrative investment friction raw</t>
        </is>
      </c>
      <c r="G2900" t="inlineStr">
        <is>
          <t>creative</t>
        </is>
      </c>
      <c r="H2900" t="inlineStr">
        <is>
          <t>yes</t>
        </is>
      </c>
      <c r="I2900" t="inlineStr">
        <is>
          <t>0.59</t>
        </is>
      </c>
      <c r="J2900" t="inlineStr">
        <is>
          <t>world_bank</t>
        </is>
      </c>
      <c r="K2900" t="inlineStr">
        <is>
          <t>https://api.worldbank.org/v2/country/NZL/indicator/RQ.EST?format=json&amp;mrv=10</t>
        </is>
      </c>
      <c r="L2900" t="inlineStr">
        <is>
          <t>World Bank WGI: Regulatory Quality (inverted as friction proxy)</t>
        </is>
      </c>
      <c r="M2900" t="inlineStr">
        <is>
          <t>2023-12-31</t>
        </is>
      </c>
      <c r="N2900" t="inlineStr">
        <is>
          <t>auto_ingest=world_bank_business_friction; indicator=RQ.EST; raw_rq=1.91022837162018; friction=0.59; year=2023; country_proxy=New Zealand</t>
        </is>
      </c>
    </row>
    <row r="2901">
      <c r="A2901" t="inlineStr">
        <is>
          <t>nz-auckland</t>
        </is>
      </c>
      <c r="B2901" t="inlineStr">
        <is>
          <t>Auckland</t>
        </is>
      </c>
      <c r="C2901" t="inlineStr">
        <is>
          <t>New Zealand</t>
        </is>
      </c>
      <c r="D2901" t="inlineStr">
        <is>
          <t>Oceania</t>
        </is>
      </c>
      <c r="E2901" t="inlineStr">
        <is>
          <t>visitor_flow_context_raw</t>
        </is>
      </c>
      <c r="F2901" t="inlineStr">
        <is>
          <t>Visitor flow context raw</t>
        </is>
      </c>
      <c r="G2901" t="inlineStr">
        <is>
          <t>creative</t>
        </is>
      </c>
      <c r="H2901" t="inlineStr">
        <is>
          <t>no</t>
        </is>
      </c>
      <c r="I2901" t="inlineStr"/>
      <c r="J2901" t="inlineStr"/>
      <c r="K2901" t="inlineStr"/>
      <c r="L2901" t="inlineStr"/>
      <c r="M2901" t="inlineStr"/>
      <c r="N2901" t="inlineStr"/>
    </row>
    <row r="2902">
      <c r="A2902" t="inlineStr">
        <is>
          <t>au-sydney</t>
        </is>
      </c>
      <c r="B2902" t="inlineStr">
        <is>
          <t>Sydney</t>
        </is>
      </c>
      <c r="C2902" t="inlineStr">
        <is>
          <t>Australia</t>
        </is>
      </c>
      <c r="D2902" t="inlineStr">
        <is>
          <t>Oceania</t>
        </is>
      </c>
      <c r="E2902" t="inlineStr">
        <is>
          <t>gross_income</t>
        </is>
      </c>
      <c r="F2902" t="inlineStr">
        <is>
          <t>Gross income</t>
        </is>
      </c>
      <c r="G2902" t="inlineStr">
        <is>
          <t>pressure</t>
        </is>
      </c>
      <c r="H2902" t="inlineStr">
        <is>
          <t>yes</t>
        </is>
      </c>
      <c r="I2902" t="inlineStr">
        <is>
          <t>6380.0</t>
        </is>
      </c>
      <c r="J2902" t="inlineStr">
        <is>
          <t>world_bank_col_estimate</t>
        </is>
      </c>
      <c r="K2902" t="inlineStr">
        <is>
          <t>https://api.worldbank.org/v2/country/AUS/indicator/NY.GNP.PCAP.PP.CD?format=json&amp;mrv=10</t>
        </is>
      </c>
      <c r="L2902" t="inlineStr">
        <is>
          <t>World Bank WDI: GNI per capita PPP (monthly USD)</t>
        </is>
      </c>
      <c r="M2902" t="inlineStr">
        <is>
          <t>2024-12-31</t>
        </is>
      </c>
      <c r="N2902" t="inlineStr">
        <is>
          <t>auto_ingest=world_bank_col_estimate; gni_annual=69600.0; year=2024; country_proxy=Australia; cohort=Oceania; city_income_mult=1.1</t>
        </is>
      </c>
    </row>
    <row r="2903">
      <c r="A2903" t="inlineStr">
        <is>
          <t>au-sydney</t>
        </is>
      </c>
      <c r="B2903" t="inlineStr">
        <is>
          <t>Sydney</t>
        </is>
      </c>
      <c r="C2903" t="inlineStr">
        <is>
          <t>Australia</t>
        </is>
      </c>
      <c r="D2903" t="inlineStr">
        <is>
          <t>Oceania</t>
        </is>
      </c>
      <c r="E2903" t="inlineStr">
        <is>
          <t>di_ppp_raw</t>
        </is>
      </c>
      <c r="F2903" t="inlineStr">
        <is>
          <t>Disposable income PPP (Raw)</t>
        </is>
      </c>
      <c r="G2903" t="inlineStr">
        <is>
          <t>pressure</t>
        </is>
      </c>
      <c r="H2903" t="inlineStr">
        <is>
          <t>yes</t>
        </is>
      </c>
      <c r="I2903" t="inlineStr"/>
      <c r="J2903" t="inlineStr"/>
      <c r="K2903" t="inlineStr"/>
      <c r="L2903" t="inlineStr"/>
      <c r="M2903" t="inlineStr"/>
      <c r="N2903" t="inlineStr"/>
    </row>
    <row r="2904">
      <c r="A2904" t="inlineStr">
        <is>
          <t>au-sydney</t>
        </is>
      </c>
      <c r="B2904" t="inlineStr">
        <is>
          <t>Sydney</t>
        </is>
      </c>
      <c r="C2904" t="inlineStr">
        <is>
          <t>Australia</t>
        </is>
      </c>
      <c r="D2904" t="inlineStr">
        <is>
          <t>Oceania</t>
        </is>
      </c>
      <c r="E2904" t="inlineStr">
        <is>
          <t>rent</t>
        </is>
      </c>
      <c r="F2904" t="inlineStr">
        <is>
          <t>Rent</t>
        </is>
      </c>
      <c r="G2904" t="inlineStr">
        <is>
          <t>pressure</t>
        </is>
      </c>
      <c r="H2904" t="inlineStr">
        <is>
          <t>yes</t>
        </is>
      </c>
      <c r="I2904" t="inlineStr">
        <is>
          <t>2392.5</t>
        </is>
      </c>
      <c r="J2904" t="inlineStr">
        <is>
          <t>world_bank_col_estimate</t>
        </is>
      </c>
      <c r="K2904" t="inlineStr">
        <is>
          <t>https://api.worldbank.org/v2/country/AUS/indicator/NY.GNP.PCAP.PP.CD?format=json&amp;mrv=10</t>
        </is>
      </c>
      <c r="L2904" t="inlineStr">
        <is>
          <t>World Bank GNI + regional expenditure ratio estimate</t>
        </is>
      </c>
      <c r="M2904" t="inlineStr">
        <is>
          <t>2024-12-31</t>
        </is>
      </c>
      <c r="N2904" t="inlineStr">
        <is>
          <t>auto_ingest=world_bank_col_estimate; gni_annual=69600.0; year=2024; country_proxy=Australia; cohort=Oceania; city_cost_mult=1.25</t>
        </is>
      </c>
    </row>
    <row r="2905">
      <c r="A2905" t="inlineStr">
        <is>
          <t>au-sydney</t>
        </is>
      </c>
      <c r="B2905" t="inlineStr">
        <is>
          <t>Sydney</t>
        </is>
      </c>
      <c r="C2905" t="inlineStr">
        <is>
          <t>Australia</t>
        </is>
      </c>
      <c r="D2905" t="inlineStr">
        <is>
          <t>Oceania</t>
        </is>
      </c>
      <c r="E2905" t="inlineStr">
        <is>
          <t>utilities</t>
        </is>
      </c>
      <c r="F2905" t="inlineStr">
        <is>
          <t>Utilities</t>
        </is>
      </c>
      <c r="G2905" t="inlineStr">
        <is>
          <t>pressure</t>
        </is>
      </c>
      <c r="H2905" t="inlineStr">
        <is>
          <t>yes</t>
        </is>
      </c>
      <c r="I2905" t="inlineStr">
        <is>
          <t>478.5</t>
        </is>
      </c>
      <c r="J2905" t="inlineStr">
        <is>
          <t>world_bank_col_estimate</t>
        </is>
      </c>
      <c r="K2905" t="inlineStr">
        <is>
          <t>https://api.worldbank.org/v2/country/AUS/indicator/NY.GNP.PCAP.PP.CD?format=json&amp;mrv=10</t>
        </is>
      </c>
      <c r="L2905" t="inlineStr">
        <is>
          <t>World Bank GNI + regional expenditure ratio estimate</t>
        </is>
      </c>
      <c r="M2905" t="inlineStr">
        <is>
          <t>2024-12-31</t>
        </is>
      </c>
      <c r="N2905" t="inlineStr">
        <is>
          <t>auto_ingest=world_bank_col_estimate; gni_annual=69600.0; year=2024; country_proxy=Australia; cohort=Oceania; city_cost_mult=1.25</t>
        </is>
      </c>
    </row>
    <row r="2906">
      <c r="A2906" t="inlineStr">
        <is>
          <t>au-sydney</t>
        </is>
      </c>
      <c r="B2906" t="inlineStr">
        <is>
          <t>Sydney</t>
        </is>
      </c>
      <c r="C2906" t="inlineStr">
        <is>
          <t>Australia</t>
        </is>
      </c>
      <c r="D2906" t="inlineStr">
        <is>
          <t>Oceania</t>
        </is>
      </c>
      <c r="E2906" t="inlineStr">
        <is>
          <t>transit_cost</t>
        </is>
      </c>
      <c r="F2906" t="inlineStr">
        <is>
          <t>Transit cost</t>
        </is>
      </c>
      <c r="G2906" t="inlineStr">
        <is>
          <t>pressure</t>
        </is>
      </c>
      <c r="H2906" t="inlineStr">
        <is>
          <t>yes</t>
        </is>
      </c>
      <c r="I2906" t="inlineStr">
        <is>
          <t>319.0</t>
        </is>
      </c>
      <c r="J2906" t="inlineStr">
        <is>
          <t>world_bank_col_estimate</t>
        </is>
      </c>
      <c r="K2906" t="inlineStr">
        <is>
          <t>https://api.worldbank.org/v2/country/AUS/indicator/NY.GNP.PCAP.PP.CD?format=json&amp;mrv=10</t>
        </is>
      </c>
      <c r="L2906" t="inlineStr">
        <is>
          <t>World Bank GNI + regional expenditure ratio estimate</t>
        </is>
      </c>
      <c r="M2906" t="inlineStr">
        <is>
          <t>2024-12-31</t>
        </is>
      </c>
      <c r="N2906" t="inlineStr">
        <is>
          <t>auto_ingest=world_bank_col_estimate; gni_annual=69600.0; year=2024; country_proxy=Australia; cohort=Oceania; city_cost_mult=1.25</t>
        </is>
      </c>
    </row>
    <row r="2907">
      <c r="A2907" t="inlineStr">
        <is>
          <t>au-sydney</t>
        </is>
      </c>
      <c r="B2907" t="inlineStr">
        <is>
          <t>Sydney</t>
        </is>
      </c>
      <c r="C2907" t="inlineStr">
        <is>
          <t>Australia</t>
        </is>
      </c>
      <c r="D2907" t="inlineStr">
        <is>
          <t>Oceania</t>
        </is>
      </c>
      <c r="E2907" t="inlineStr">
        <is>
          <t>internet_cost</t>
        </is>
      </c>
      <c r="F2907" t="inlineStr">
        <is>
          <t>Internet cost</t>
        </is>
      </c>
      <c r="G2907" t="inlineStr">
        <is>
          <t>pressure</t>
        </is>
      </c>
      <c r="H2907" t="inlineStr">
        <is>
          <t>yes</t>
        </is>
      </c>
      <c r="I2907" t="inlineStr">
        <is>
          <t>119.62</t>
        </is>
      </c>
      <c r="J2907" t="inlineStr">
        <is>
          <t>world_bank_col_estimate</t>
        </is>
      </c>
      <c r="K2907" t="inlineStr">
        <is>
          <t>https://api.worldbank.org/v2/country/AUS/indicator/NY.GNP.PCAP.PP.CD?format=json&amp;mrv=10</t>
        </is>
      </c>
      <c r="L2907" t="inlineStr">
        <is>
          <t>World Bank GNI + regional expenditure ratio estimate</t>
        </is>
      </c>
      <c r="M2907" t="inlineStr">
        <is>
          <t>2024-12-31</t>
        </is>
      </c>
      <c r="N2907" t="inlineStr">
        <is>
          <t>auto_ingest=world_bank_col_estimate; gni_annual=69600.0; year=2024; country_proxy=Australia; cohort=Oceania; city_cost_mult=1.25</t>
        </is>
      </c>
    </row>
    <row r="2908">
      <c r="A2908" t="inlineStr">
        <is>
          <t>au-sydney</t>
        </is>
      </c>
      <c r="B2908" t="inlineStr">
        <is>
          <t>Sydney</t>
        </is>
      </c>
      <c r="C2908" t="inlineStr">
        <is>
          <t>Australia</t>
        </is>
      </c>
      <c r="D2908" t="inlineStr">
        <is>
          <t>Oceania</t>
        </is>
      </c>
      <c r="E2908" t="inlineStr">
        <is>
          <t>food_cost</t>
        </is>
      </c>
      <c r="F2908" t="inlineStr">
        <is>
          <t>Food cost</t>
        </is>
      </c>
      <c r="G2908" t="inlineStr">
        <is>
          <t>pressure</t>
        </is>
      </c>
      <c r="H2908" t="inlineStr">
        <is>
          <t>yes</t>
        </is>
      </c>
      <c r="I2908" t="inlineStr">
        <is>
          <t>1196.25</t>
        </is>
      </c>
      <c r="J2908" t="inlineStr">
        <is>
          <t>world_bank_col_estimate</t>
        </is>
      </c>
      <c r="K2908" t="inlineStr">
        <is>
          <t>https://api.worldbank.org/v2/country/AUS/indicator/NY.GNP.PCAP.PP.CD?format=json&amp;mrv=10</t>
        </is>
      </c>
      <c r="L2908" t="inlineStr">
        <is>
          <t>World Bank GNI + regional expenditure ratio estimate</t>
        </is>
      </c>
      <c r="M2908" t="inlineStr">
        <is>
          <t>2024-12-31</t>
        </is>
      </c>
      <c r="N2908" t="inlineStr">
        <is>
          <t>auto_ingest=world_bank_col_estimate; gni_annual=69600.0; year=2024; country_proxy=Australia; cohort=Oceania; city_cost_mult=1.25</t>
        </is>
      </c>
    </row>
    <row r="2909">
      <c r="A2909" t="inlineStr">
        <is>
          <t>au-sydney</t>
        </is>
      </c>
      <c r="B2909" t="inlineStr">
        <is>
          <t>Sydney</t>
        </is>
      </c>
      <c r="C2909" t="inlineStr">
        <is>
          <t>Australia</t>
        </is>
      </c>
      <c r="D2909" t="inlineStr">
        <is>
          <t>Oceania</t>
        </is>
      </c>
      <c r="E2909" t="inlineStr">
        <is>
          <t>housing_burden_raw</t>
        </is>
      </c>
      <c r="F2909" t="inlineStr">
        <is>
          <t>Housing burden raw</t>
        </is>
      </c>
      <c r="G2909" t="inlineStr">
        <is>
          <t>pressure</t>
        </is>
      </c>
      <c r="H2909" t="inlineStr">
        <is>
          <t>yes</t>
        </is>
      </c>
      <c r="I2909" t="inlineStr">
        <is>
          <t>37.5</t>
        </is>
      </c>
      <c r="J2909" t="inlineStr">
        <is>
          <t>derived</t>
        </is>
      </c>
      <c r="K2909" t="inlineStr">
        <is>
          <t>https://data.worldbank.org/indicator/NY.GNP.PCAP.PP.CD</t>
        </is>
      </c>
      <c r="L2909" t="inlineStr">
        <is>
          <t>Computed from city_inputs + country_context</t>
        </is>
      </c>
      <c r="M2909" t="inlineStr">
        <is>
          <t>2024-01-01</t>
        </is>
      </c>
      <c r="N2909" t="inlineStr">
        <is>
          <t>derived=rent/gross_income*100</t>
        </is>
      </c>
    </row>
    <row r="2910">
      <c r="A2910" t="inlineStr">
        <is>
          <t>au-sydney</t>
        </is>
      </c>
      <c r="B2910" t="inlineStr">
        <is>
          <t>Sydney</t>
        </is>
      </c>
      <c r="C2910" t="inlineStr">
        <is>
          <t>Australia</t>
        </is>
      </c>
      <c r="D2910" t="inlineStr">
        <is>
          <t>Oceania</t>
        </is>
      </c>
      <c r="E2910" t="inlineStr">
        <is>
          <t>household_debt_burden_raw</t>
        </is>
      </c>
      <c r="F2910" t="inlineStr">
        <is>
          <t>Household debt burden raw</t>
        </is>
      </c>
      <c r="G2910" t="inlineStr">
        <is>
          <t>pressure</t>
        </is>
      </c>
      <c r="H2910" t="inlineStr">
        <is>
          <t>yes</t>
        </is>
      </c>
      <c r="I2910" t="inlineStr">
        <is>
          <t>129.3173</t>
        </is>
      </c>
      <c r="J2910" t="inlineStr">
        <is>
          <t>derived</t>
        </is>
      </c>
      <c r="K2910" t="inlineStr">
        <is>
          <t>https://data.worldbank.org/indicator/NY.GNP.PCAP.PP.CD</t>
        </is>
      </c>
      <c r="L2910" t="inlineStr">
        <is>
          <t>Computed from city_inputs + country_context</t>
        </is>
      </c>
      <c r="M2910" t="inlineStr">
        <is>
          <t>2024-01-01</t>
        </is>
      </c>
      <c r="N2910" t="inlineStr">
        <is>
          <t>derived=country_context.household_debt_proxy; country=Australia</t>
        </is>
      </c>
    </row>
    <row r="2911">
      <c r="A2911" t="inlineStr">
        <is>
          <t>au-sydney</t>
        </is>
      </c>
      <c r="B2911" t="inlineStr">
        <is>
          <t>Sydney</t>
        </is>
      </c>
      <c r="C2911" t="inlineStr">
        <is>
          <t>Australia</t>
        </is>
      </c>
      <c r="D2911" t="inlineStr">
        <is>
          <t>Oceania</t>
        </is>
      </c>
      <c r="E2911" t="inlineStr">
        <is>
          <t>working_time_pressure_raw</t>
        </is>
      </c>
      <c r="F2911" t="inlineStr">
        <is>
          <t>Working time pressure raw</t>
        </is>
      </c>
      <c r="G2911" t="inlineStr">
        <is>
          <t>pressure</t>
        </is>
      </c>
      <c r="H2911" t="inlineStr">
        <is>
          <t>yes</t>
        </is>
      </c>
      <c r="I2911" t="inlineStr">
        <is>
          <t>32.29</t>
        </is>
      </c>
      <c r="J2911" t="inlineStr">
        <is>
          <t>ilo_ilostat</t>
        </is>
      </c>
      <c r="K2911" t="inlineStr">
        <is>
          <t>https://ilostat.ilo.org/data/indicator/?id=HOW_TEMP_SEX_ECO_NB_A&amp;ref_area=AUS</t>
        </is>
      </c>
      <c r="L2911" t="inlineStr">
        <is>
          <t>ILO ILOSTAT: Mean weekly hours actually worked per employed person</t>
        </is>
      </c>
      <c r="M2911" t="inlineStr">
        <is>
          <t>2020-12-31</t>
        </is>
      </c>
      <c r="N2911" t="inlineStr">
        <is>
          <t>auto_ingest=ilo_working_hours; indicator=HOW_TEMP_SEX_ECO_NB_A; year=2020; hours=32.29; country_proxy=Australia</t>
        </is>
      </c>
    </row>
    <row r="2912">
      <c r="A2912" t="inlineStr">
        <is>
          <t>au-sydney</t>
        </is>
      </c>
      <c r="B2912" t="inlineStr">
        <is>
          <t>Sydney</t>
        </is>
      </c>
      <c r="C2912" t="inlineStr">
        <is>
          <t>Australia</t>
        </is>
      </c>
      <c r="D2912" t="inlineStr">
        <is>
          <t>Oceania</t>
        </is>
      </c>
      <c r="E2912" t="inlineStr">
        <is>
          <t>suicide_mental_strain_raw</t>
        </is>
      </c>
      <c r="F2912" t="inlineStr">
        <is>
          <t>Suicide or mental strain raw</t>
        </is>
      </c>
      <c r="G2912" t="inlineStr">
        <is>
          <t>pressure</t>
        </is>
      </c>
      <c r="H2912" t="inlineStr">
        <is>
          <t>yes</t>
        </is>
      </c>
      <c r="I2912" t="inlineStr">
        <is>
          <t>13.08</t>
        </is>
      </c>
      <c r="J2912" t="inlineStr">
        <is>
          <t>who_gho</t>
        </is>
      </c>
      <c r="K2912" t="inlineStr">
        <is>
          <t>https://www.who.int/data/gho/data/indicators/indicator-details/GHO/SDGSUICIDE</t>
        </is>
      </c>
      <c r="L2912" t="inlineStr">
        <is>
          <t>WHO GHO: Age-standardized suicide rate (per 100,000 population)</t>
        </is>
      </c>
      <c r="M2912" t="inlineStr">
        <is>
          <t>2021-12-31</t>
        </is>
      </c>
      <c r="N2912" t="inlineStr">
        <is>
          <t>auto_ingest=who_gho; indicator=SDGSUICIDE; year=2021; country_proxy=Australia</t>
        </is>
      </c>
    </row>
    <row r="2913">
      <c r="A2913" t="inlineStr">
        <is>
          <t>au-sydney</t>
        </is>
      </c>
      <c r="B2913" t="inlineStr">
        <is>
          <t>Sydney</t>
        </is>
      </c>
      <c r="C2913" t="inlineStr">
        <is>
          <t>Australia</t>
        </is>
      </c>
      <c r="D2913" t="inlineStr">
        <is>
          <t>Oceania</t>
        </is>
      </c>
      <c r="E2913" t="inlineStr">
        <is>
          <t>personal_safety_raw</t>
        </is>
      </c>
      <c r="F2913" t="inlineStr">
        <is>
          <t>Personal safety raw</t>
        </is>
      </c>
      <c r="G2913" t="inlineStr">
        <is>
          <t>viability</t>
        </is>
      </c>
      <c r="H2913" t="inlineStr">
        <is>
          <t>yes</t>
        </is>
      </c>
      <c r="I2913" t="inlineStr">
        <is>
          <t>0.85</t>
        </is>
      </c>
      <c r="J2913" t="inlineStr">
        <is>
          <t>world_bank</t>
        </is>
      </c>
      <c r="K2913" t="inlineStr">
        <is>
          <t>https://api.worldbank.org/v2/country/AUS/indicator/VC.IHR.PSRC.P5?format=json&amp;mrv=10</t>
        </is>
      </c>
      <c r="L2913" t="inlineStr">
        <is>
          <t>UNODC via World Bank WDI: Intentional homicides (per 100,000 people)</t>
        </is>
      </c>
      <c r="M2913" t="inlineStr">
        <is>
          <t>2023-12-31</t>
        </is>
      </c>
      <c r="N2913" t="inlineStr">
        <is>
          <t>auto_ingest=unodc_safety; indicator=VC.IHR.PSRC.P5; year=2023; country_proxy=Australia</t>
        </is>
      </c>
    </row>
    <row r="2914">
      <c r="A2914" t="inlineStr">
        <is>
          <t>au-sydney</t>
        </is>
      </c>
      <c r="B2914" t="inlineStr">
        <is>
          <t>Sydney</t>
        </is>
      </c>
      <c r="C2914" t="inlineStr">
        <is>
          <t>Australia</t>
        </is>
      </c>
      <c r="D2914" t="inlineStr">
        <is>
          <t>Oceania</t>
        </is>
      </c>
      <c r="E2914" t="inlineStr">
        <is>
          <t>transit_access_commute_raw</t>
        </is>
      </c>
      <c r="F2914" t="inlineStr">
        <is>
          <t>Transit access and commute raw</t>
        </is>
      </c>
      <c r="G2914" t="inlineStr">
        <is>
          <t>viability</t>
        </is>
      </c>
      <c r="H2914" t="inlineStr">
        <is>
          <t>yes</t>
        </is>
      </c>
      <c r="I2914" t="inlineStr"/>
      <c r="J2914" t="inlineStr"/>
      <c r="K2914" t="inlineStr"/>
      <c r="L2914" t="inlineStr"/>
      <c r="M2914" t="inlineStr"/>
      <c r="N2914" t="inlineStr"/>
    </row>
    <row r="2915">
      <c r="A2915" t="inlineStr">
        <is>
          <t>au-sydney</t>
        </is>
      </c>
      <c r="B2915" t="inlineStr">
        <is>
          <t>Sydney</t>
        </is>
      </c>
      <c r="C2915" t="inlineStr">
        <is>
          <t>Australia</t>
        </is>
      </c>
      <c r="D2915" t="inlineStr">
        <is>
          <t>Oceania</t>
        </is>
      </c>
      <c r="E2915" t="inlineStr">
        <is>
          <t>clean_air_raw</t>
        </is>
      </c>
      <c r="F2915" t="inlineStr">
        <is>
          <t>Clean air raw</t>
        </is>
      </c>
      <c r="G2915" t="inlineStr">
        <is>
          <t>viability</t>
        </is>
      </c>
      <c r="H2915" t="inlineStr">
        <is>
          <t>yes</t>
        </is>
      </c>
      <c r="I2915" t="inlineStr"/>
      <c r="J2915" t="inlineStr"/>
      <c r="K2915" t="inlineStr"/>
      <c r="L2915" t="inlineStr"/>
      <c r="M2915" t="inlineStr"/>
      <c r="N2915" t="inlineStr"/>
    </row>
    <row r="2916">
      <c r="A2916" t="inlineStr">
        <is>
          <t>au-sydney</t>
        </is>
      </c>
      <c r="B2916" t="inlineStr">
        <is>
          <t>Sydney</t>
        </is>
      </c>
      <c r="C2916" t="inlineStr">
        <is>
          <t>Australia</t>
        </is>
      </c>
      <c r="D2916" t="inlineStr">
        <is>
          <t>Oceania</t>
        </is>
      </c>
      <c r="E2916" t="inlineStr">
        <is>
          <t>water_sanitation_utility_raw</t>
        </is>
      </c>
      <c r="F2916" t="inlineStr">
        <is>
          <t>Water, sanitation, and utility raw</t>
        </is>
      </c>
      <c r="G2916" t="inlineStr">
        <is>
          <t>viability</t>
        </is>
      </c>
      <c r="H2916" t="inlineStr">
        <is>
          <t>yes</t>
        </is>
      </c>
      <c r="I2916" t="inlineStr"/>
      <c r="J2916" t="inlineStr"/>
      <c r="K2916" t="inlineStr"/>
      <c r="L2916" t="inlineStr"/>
      <c r="M2916" t="inlineStr"/>
      <c r="N2916" t="inlineStr"/>
    </row>
    <row r="2917">
      <c r="A2917" t="inlineStr">
        <is>
          <t>au-sydney</t>
        </is>
      </c>
      <c r="B2917" t="inlineStr">
        <is>
          <t>Sydney</t>
        </is>
      </c>
      <c r="C2917" t="inlineStr">
        <is>
          <t>Australia</t>
        </is>
      </c>
      <c r="D2917" t="inlineStr">
        <is>
          <t>Oceania</t>
        </is>
      </c>
      <c r="E2917" t="inlineStr">
        <is>
          <t>digital_infrastructure_raw</t>
        </is>
      </c>
      <c r="F2917" t="inlineStr">
        <is>
          <t>Digital infrastructure raw</t>
        </is>
      </c>
      <c r="G2917" t="inlineStr">
        <is>
          <t>viability</t>
        </is>
      </c>
      <c r="H2917" t="inlineStr">
        <is>
          <t>yes</t>
        </is>
      </c>
      <c r="I2917" t="inlineStr">
        <is>
          <t>36.6</t>
        </is>
      </c>
      <c r="J2917" t="inlineStr">
        <is>
          <t>world_bank</t>
        </is>
      </c>
      <c r="K2917" t="inlineStr">
        <is>
          <t>https://api.worldbank.org/v2/country/AUS/indicator/IT.NET.BBND.P2?format=json&amp;mrv=10</t>
        </is>
      </c>
      <c r="L2917" t="inlineStr">
        <is>
          <t>World Bank WDI: Fixed broadband subscriptions (per 100 people)</t>
        </is>
      </c>
      <c r="M2917" t="inlineStr">
        <is>
          <t>2023-12-31</t>
        </is>
      </c>
      <c r="N2917" t="inlineStr">
        <is>
          <t>auto_ingest=world_bank_proxy; indicator=IT.NET.BBND.P2; year=2023; country_proxy=Australia</t>
        </is>
      </c>
    </row>
    <row r="2918">
      <c r="A2918" t="inlineStr">
        <is>
          <t>au-sydney</t>
        </is>
      </c>
      <c r="B2918" t="inlineStr">
        <is>
          <t>Sydney</t>
        </is>
      </c>
      <c r="C2918" t="inlineStr">
        <is>
          <t>Australia</t>
        </is>
      </c>
      <c r="D2918" t="inlineStr">
        <is>
          <t>Oceania</t>
        </is>
      </c>
      <c r="E2918" t="inlineStr">
        <is>
          <t>climate_sunlight_livability_raw</t>
        </is>
      </c>
      <c r="F2918" t="inlineStr">
        <is>
          <t>Climate and sunlight livability raw</t>
        </is>
      </c>
      <c r="G2918" t="inlineStr">
        <is>
          <t>viability</t>
        </is>
      </c>
      <c r="H2918" t="inlineStr">
        <is>
          <t>yes</t>
        </is>
      </c>
      <c r="I2918" t="inlineStr">
        <is>
          <t>72</t>
        </is>
      </c>
      <c r="J2918" t="inlineStr">
        <is>
          <t>wmo_natl_met</t>
        </is>
      </c>
      <c r="K2918" t="inlineStr">
        <is>
          <t>https://worldweather.wmo.int</t>
        </is>
      </c>
      <c r="L2918" t="inlineStr">
        <is>
          <t>WMO/National Met: Climate livability composite</t>
        </is>
      </c>
      <c r="M2918" t="inlineStr">
        <is>
          <t>2024-12-31</t>
        </is>
      </c>
      <c r="N2918" t="inlineStr">
        <is>
          <t>auto_seed=climate_composite; 2500 sun hrs, 18C mean, temperate ideal</t>
        </is>
      </c>
    </row>
    <row r="2919">
      <c r="A2919" t="inlineStr">
        <is>
          <t>au-sydney</t>
        </is>
      </c>
      <c r="B2919" t="inlineStr">
        <is>
          <t>Sydney</t>
        </is>
      </c>
      <c r="C2919" t="inlineStr">
        <is>
          <t>Australia</t>
        </is>
      </c>
      <c r="D2919" t="inlineStr">
        <is>
          <t>Oceania</t>
        </is>
      </c>
      <c r="E2919" t="inlineStr">
        <is>
          <t>healthcare_quality_raw</t>
        </is>
      </c>
      <c r="F2919" t="inlineStr">
        <is>
          <t>Healthcare quality raw</t>
        </is>
      </c>
      <c r="G2919" t="inlineStr">
        <is>
          <t>capability</t>
        </is>
      </c>
      <c r="H2919" t="inlineStr">
        <is>
          <t>yes</t>
        </is>
      </c>
      <c r="I2919" t="inlineStr">
        <is>
          <t>89.0</t>
        </is>
      </c>
      <c r="J2919" t="inlineStr">
        <is>
          <t>who_gho</t>
        </is>
      </c>
      <c r="K2919" t="inlineStr">
        <is>
          <t>https://www.who.int/data/gho/data/indicators/indicator-details/GHO/UHC_INDEX_REPORTED</t>
        </is>
      </c>
      <c r="L2919" t="inlineStr">
        <is>
          <t>WHO GHO: UHC Service Coverage Index</t>
        </is>
      </c>
      <c r="M2919" t="inlineStr">
        <is>
          <t>2023-12-31</t>
        </is>
      </c>
      <c r="N2919" t="inlineStr">
        <is>
          <t>auto_ingest=who_gho; indicator=UHC_INDEX_REPORTED; year=2023; country_proxy=Australia</t>
        </is>
      </c>
    </row>
    <row r="2920">
      <c r="A2920" t="inlineStr">
        <is>
          <t>au-sydney</t>
        </is>
      </c>
      <c r="B2920" t="inlineStr">
        <is>
          <t>Sydney</t>
        </is>
      </c>
      <c r="C2920" t="inlineStr">
        <is>
          <t>Australia</t>
        </is>
      </c>
      <c r="D2920" t="inlineStr">
        <is>
          <t>Oceania</t>
        </is>
      </c>
      <c r="E2920" t="inlineStr">
        <is>
          <t>education_quality_raw</t>
        </is>
      </c>
      <c r="F2920" t="inlineStr">
        <is>
          <t>Education quality raw</t>
        </is>
      </c>
      <c r="G2920" t="inlineStr">
        <is>
          <t>capability</t>
        </is>
      </c>
      <c r="H2920" t="inlineStr">
        <is>
          <t>yes</t>
        </is>
      </c>
      <c r="I2920" t="inlineStr">
        <is>
          <t>104.65</t>
        </is>
      </c>
      <c r="J2920" t="inlineStr">
        <is>
          <t>world_bank</t>
        </is>
      </c>
      <c r="K2920" t="inlineStr">
        <is>
          <t>https://api.worldbank.org/v2/country/AUS/indicator/SE.TER.ENRR?format=json&amp;mrv=10</t>
        </is>
      </c>
      <c r="L2920" t="inlineStr">
        <is>
          <t>World Bank WDI: School enrollment, tertiary (% gross)</t>
        </is>
      </c>
      <c r="M2920" t="inlineStr">
        <is>
          <t>2023-12-31</t>
        </is>
      </c>
      <c r="N2920" t="inlineStr">
        <is>
          <t>auto_ingest=world_bank_proxy; indicator=SE.TER.ENRR; year=2023; country_proxy=Australia</t>
        </is>
      </c>
    </row>
    <row r="2921">
      <c r="A2921" t="inlineStr">
        <is>
          <t>au-sydney</t>
        </is>
      </c>
      <c r="B2921" t="inlineStr">
        <is>
          <t>Sydney</t>
        </is>
      </c>
      <c r="C2921" t="inlineStr">
        <is>
          <t>Australia</t>
        </is>
      </c>
      <c r="D2921" t="inlineStr">
        <is>
          <t>Oceania</t>
        </is>
      </c>
      <c r="E2921" t="inlineStr">
        <is>
          <t>equal_opportunity_raw</t>
        </is>
      </c>
      <c r="F2921" t="inlineStr">
        <is>
          <t>Equal opportunity raw</t>
        </is>
      </c>
      <c r="G2921" t="inlineStr">
        <is>
          <t>capability</t>
        </is>
      </c>
      <c r="H2921" t="inlineStr">
        <is>
          <t>yes</t>
        </is>
      </c>
      <c r="I2921" t="inlineStr">
        <is>
          <t>33.8</t>
        </is>
      </c>
      <c r="J2921" t="inlineStr">
        <is>
          <t>world_bank</t>
        </is>
      </c>
      <c r="K2921" t="inlineStr">
        <is>
          <t>https://api.worldbank.org/v2/country/AUS/indicator/SI.POV.GINI?format=json&amp;mrv=10</t>
        </is>
      </c>
      <c r="L2921" t="inlineStr">
        <is>
          <t>World Bank WDI: Gini index</t>
        </is>
      </c>
      <c r="M2921" t="inlineStr">
        <is>
          <t>2020-12-31</t>
        </is>
      </c>
      <c r="N2921" t="inlineStr">
        <is>
          <t>auto_ingest=world_bank_capability; indicator=SI.POV.GINI; year=2020; country_proxy=Australia</t>
        </is>
      </c>
    </row>
    <row r="2922">
      <c r="A2922" t="inlineStr">
        <is>
          <t>au-sydney</t>
        </is>
      </c>
      <c r="B2922" t="inlineStr">
        <is>
          <t>Sydney</t>
        </is>
      </c>
      <c r="C2922" t="inlineStr">
        <is>
          <t>Australia</t>
        </is>
      </c>
      <c r="D2922" t="inlineStr">
        <is>
          <t>Oceania</t>
        </is>
      </c>
      <c r="E2922" t="inlineStr">
        <is>
          <t>hospitality_belonging_raw</t>
        </is>
      </c>
      <c r="F2922" t="inlineStr">
        <is>
          <t>Hospitality and belonging raw</t>
        </is>
      </c>
      <c r="G2922" t="inlineStr">
        <is>
          <t>community</t>
        </is>
      </c>
      <c r="H2922" t="inlineStr">
        <is>
          <t>yes</t>
        </is>
      </c>
      <c r="I2922" t="inlineStr">
        <is>
          <t>55.04</t>
        </is>
      </c>
      <c r="J2922" t="inlineStr">
        <is>
          <t>world_bank</t>
        </is>
      </c>
      <c r="K2922" t="inlineStr">
        <is>
          <t>https://api.worldbank.org/v2/country/AUS/indicator/SM.POP.NETM?format=json&amp;mrv=10</t>
        </is>
      </c>
      <c r="L2922" t="inlineStr">
        <is>
          <t>World Bank WDI: Net migration (proxy for hospitality/belonging — positive = welcoming)</t>
        </is>
      </c>
      <c r="M2922" t="inlineStr">
        <is>
          <t>2025-12-31</t>
        </is>
      </c>
      <c r="N2922" t="inlineStr">
        <is>
          <t>auto_ingest=world_bank_proxy; proxy=net_migration_hospitality; indicator=SM.POP.NETM; year=2025; country_proxy=Australia</t>
        </is>
      </c>
    </row>
    <row r="2923">
      <c r="A2923" t="inlineStr">
        <is>
          <t>au-sydney</t>
        </is>
      </c>
      <c r="B2923" t="inlineStr">
        <is>
          <t>Sydney</t>
        </is>
      </c>
      <c r="C2923" t="inlineStr">
        <is>
          <t>Australia</t>
        </is>
      </c>
      <c r="D2923" t="inlineStr">
        <is>
          <t>Oceania</t>
        </is>
      </c>
      <c r="E2923" t="inlineStr">
        <is>
          <t>tolerance_pluralism_raw</t>
        </is>
      </c>
      <c r="F2923" t="inlineStr">
        <is>
          <t>Tolerance and pluralism raw</t>
        </is>
      </c>
      <c r="G2923" t="inlineStr">
        <is>
          <t>community</t>
        </is>
      </c>
      <c r="H2923" t="inlineStr">
        <is>
          <t>yes</t>
        </is>
      </c>
      <c r="I2923" t="inlineStr">
        <is>
          <t>38.0</t>
        </is>
      </c>
      <c r="J2923" t="inlineStr">
        <is>
          <t>world_bank</t>
        </is>
      </c>
      <c r="K2923" t="inlineStr">
        <is>
          <t>https://api.worldbank.org/v2/country/AUS/indicator/SG.GEN.PARL.ZS?format=json&amp;mrv=10</t>
        </is>
      </c>
      <c r="L2923" t="inlineStr">
        <is>
          <t>World Bank WDI: Proportion of seats held by women in national parliaments (%)</t>
        </is>
      </c>
      <c r="M2923" t="inlineStr">
        <is>
          <t>2024-12-31</t>
        </is>
      </c>
      <c r="N2923" t="inlineStr">
        <is>
          <t>auto_ingest=world_bank_proxy; proxy=gender_parity_parliament; indicator=SG.GEN.PARL.ZS; year=2024; country_proxy=Australia</t>
        </is>
      </c>
    </row>
    <row r="2924">
      <c r="A2924" t="inlineStr">
        <is>
          <t>au-sydney</t>
        </is>
      </c>
      <c r="B2924" t="inlineStr">
        <is>
          <t>Sydney</t>
        </is>
      </c>
      <c r="C2924" t="inlineStr">
        <is>
          <t>Australia</t>
        </is>
      </c>
      <c r="D2924" t="inlineStr">
        <is>
          <t>Oceania</t>
        </is>
      </c>
      <c r="E2924" t="inlineStr">
        <is>
          <t>cultural_public_life_raw</t>
        </is>
      </c>
      <c r="F2924" t="inlineStr">
        <is>
          <t>Cultural public life raw</t>
        </is>
      </c>
      <c r="G2924" t="inlineStr">
        <is>
          <t>community</t>
        </is>
      </c>
      <c r="H2924" t="inlineStr">
        <is>
          <t>yes</t>
        </is>
      </c>
      <c r="I2924" t="inlineStr">
        <is>
          <t>67.21</t>
        </is>
      </c>
      <c r="J2924" t="inlineStr">
        <is>
          <t>world_bank</t>
        </is>
      </c>
      <c r="K2924" t="inlineStr">
        <is>
          <t>https://api.worldbank.org/v2/country/AUS/indicator/ST.INT.ARVL?format=json&amp;mrv=10</t>
        </is>
      </c>
      <c r="L2924" t="inlineStr">
        <is>
          <t>World Bank WDI: International tourism arrivals per 1 000 population</t>
        </is>
      </c>
      <c r="M2924" t="inlineStr">
        <is>
          <t>2020-12-31</t>
        </is>
      </c>
      <c r="N2924" t="inlineStr">
        <is>
          <t>auto_ingest=cultural_life_proxy; indicator=ST.INT.ARVL; norm=per_1000_pop; year=2020; country_proxy=Australia</t>
        </is>
      </c>
    </row>
    <row r="2925">
      <c r="A2925" t="inlineStr">
        <is>
          <t>au-sydney</t>
        </is>
      </c>
      <c r="B2925" t="inlineStr">
        <is>
          <t>Sydney</t>
        </is>
      </c>
      <c r="C2925" t="inlineStr">
        <is>
          <t>Australia</t>
        </is>
      </c>
      <c r="D2925" t="inlineStr">
        <is>
          <t>Oceania</t>
        </is>
      </c>
      <c r="E2925" t="inlineStr">
        <is>
          <t>birth_rate_optimism_raw</t>
        </is>
      </c>
      <c r="F2925" t="inlineStr">
        <is>
          <t>Birth rate and societal optimism raw</t>
        </is>
      </c>
      <c r="G2925" t="inlineStr">
        <is>
          <t>community</t>
        </is>
      </c>
      <c r="H2925" t="inlineStr">
        <is>
          <t>yes</t>
        </is>
      </c>
      <c r="I2925" t="inlineStr">
        <is>
          <t>1.58</t>
        </is>
      </c>
      <c r="J2925" t="inlineStr">
        <is>
          <t>world_bank</t>
        </is>
      </c>
      <c r="K2925" t="inlineStr">
        <is>
          <t>https://data.worldbank.org/indicator/SP.DYN.TFRT.IN</t>
        </is>
      </c>
      <c r="L2925" t="inlineStr">
        <is>
          <t>World Bank Total Fertility Rate 2023</t>
        </is>
      </c>
      <c r="M2925" t="inlineStr">
        <is>
          <t>2024-01-01</t>
        </is>
      </c>
      <c r="N2925" t="inlineStr"/>
    </row>
    <row r="2926">
      <c r="A2926" t="inlineStr">
        <is>
          <t>au-sydney</t>
        </is>
      </c>
      <c r="B2926" t="inlineStr">
        <is>
          <t>Sydney</t>
        </is>
      </c>
      <c r="C2926" t="inlineStr">
        <is>
          <t>Australia</t>
        </is>
      </c>
      <c r="D2926" t="inlineStr">
        <is>
          <t>Oceania</t>
        </is>
      </c>
      <c r="E2926" t="inlineStr">
        <is>
          <t>entrepreneurial_dynamism_raw</t>
        </is>
      </c>
      <c r="F2926" t="inlineStr">
        <is>
          <t>Entrepreneurial dynamism raw</t>
        </is>
      </c>
      <c r="G2926" t="inlineStr">
        <is>
          <t>creative</t>
        </is>
      </c>
      <c r="H2926" t="inlineStr">
        <is>
          <t>yes</t>
        </is>
      </c>
      <c r="I2926" t="inlineStr">
        <is>
          <t>17.26</t>
        </is>
      </c>
      <c r="J2926" t="inlineStr">
        <is>
          <t>world_bank</t>
        </is>
      </c>
      <c r="K2926" t="inlineStr">
        <is>
          <t>https://api.worldbank.org/v2/country/AUS/indicator/IC.BUS.NDNS.ZS?format=json&amp;mrv=10</t>
        </is>
      </c>
      <c r="L2926" t="inlineStr">
        <is>
          <t>World Bank WDI: New business density (new registrations per 1,000 people ages 15-64)</t>
        </is>
      </c>
      <c r="M2926" t="inlineStr">
        <is>
          <t>2022-12-31</t>
        </is>
      </c>
      <c r="N2926" t="inlineStr">
        <is>
          <t>auto_ingest=world_bank_creative_extended; indicator=IC.BUS.NDNS.ZS; year=2022; country_proxy=Australia</t>
        </is>
      </c>
    </row>
    <row r="2927">
      <c r="A2927" t="inlineStr">
        <is>
          <t>au-sydney</t>
        </is>
      </c>
      <c r="B2927" t="inlineStr">
        <is>
          <t>Sydney</t>
        </is>
      </c>
      <c r="C2927" t="inlineStr">
        <is>
          <t>Australia</t>
        </is>
      </c>
      <c r="D2927" t="inlineStr">
        <is>
          <t>Oceania</t>
        </is>
      </c>
      <c r="E2927" t="inlineStr">
        <is>
          <t>innovation_research_intensity_raw</t>
        </is>
      </c>
      <c r="F2927" t="inlineStr">
        <is>
          <t>Innovation and research raw</t>
        </is>
      </c>
      <c r="G2927" t="inlineStr">
        <is>
          <t>creative</t>
        </is>
      </c>
      <c r="H2927" t="inlineStr">
        <is>
          <t>yes</t>
        </is>
      </c>
      <c r="I2927" t="inlineStr">
        <is>
          <t>1.86</t>
        </is>
      </c>
      <c r="J2927" t="inlineStr">
        <is>
          <t>world_bank</t>
        </is>
      </c>
      <c r="K2927" t="inlineStr">
        <is>
          <t>https://api.worldbank.org/v2/country/AUS/indicator/GB.XPD.RSDV.GD.ZS?format=json&amp;mrv=10</t>
        </is>
      </c>
      <c r="L2927" t="inlineStr">
        <is>
          <t>World Bank WDI: Research and development expenditure (% of GDP)</t>
        </is>
      </c>
      <c r="M2927" t="inlineStr">
        <is>
          <t>2021-12-31</t>
        </is>
      </c>
      <c r="N2927" t="inlineStr">
        <is>
          <t>auto_ingest=world_bank_creative_extended; indicator=GB.XPD.RSDV.GD.ZS; year=2021; country_proxy=Australia</t>
        </is>
      </c>
    </row>
    <row r="2928">
      <c r="A2928" t="inlineStr">
        <is>
          <t>au-sydney</t>
        </is>
      </c>
      <c r="B2928" t="inlineStr">
        <is>
          <t>Sydney</t>
        </is>
      </c>
      <c r="C2928" t="inlineStr">
        <is>
          <t>Australia</t>
        </is>
      </c>
      <c r="D2928" t="inlineStr">
        <is>
          <t>Oceania</t>
        </is>
      </c>
      <c r="E2928" t="inlineStr">
        <is>
          <t>investment_signal_raw</t>
        </is>
      </c>
      <c r="F2928" t="inlineStr">
        <is>
          <t>Investment signal raw</t>
        </is>
      </c>
      <c r="G2928" t="inlineStr">
        <is>
          <t>creative</t>
        </is>
      </c>
      <c r="H2928" t="inlineStr">
        <is>
          <t>yes</t>
        </is>
      </c>
      <c r="I2928" t="inlineStr">
        <is>
          <t>3.04</t>
        </is>
      </c>
      <c r="J2928" t="inlineStr">
        <is>
          <t>world_bank</t>
        </is>
      </c>
      <c r="K2928" t="inlineStr">
        <is>
          <t>https://api.worldbank.org/v2/country/AUS/indicator/BX.KLT.DINV.WD.GD.ZS?format=json&amp;mrv=10</t>
        </is>
      </c>
      <c r="L2928" t="inlineStr">
        <is>
          <t>World Bank WDI: Foreign direct investment, net inflows (% of GDP)</t>
        </is>
      </c>
      <c r="M2928" t="inlineStr">
        <is>
          <t>2024-12-31</t>
        </is>
      </c>
      <c r="N2928" t="inlineStr">
        <is>
          <t>auto_ingest=world_bank_creative_extended; indicator=BX.KLT.DINV.WD.GD.ZS; year=2024; country_proxy=Australia</t>
        </is>
      </c>
    </row>
    <row r="2929">
      <c r="A2929" t="inlineStr">
        <is>
          <t>au-sydney</t>
        </is>
      </c>
      <c r="B2929" t="inlineStr">
        <is>
          <t>Sydney</t>
        </is>
      </c>
      <c r="C2929" t="inlineStr">
        <is>
          <t>Australia</t>
        </is>
      </c>
      <c r="D2929" t="inlineStr">
        <is>
          <t>Oceania</t>
        </is>
      </c>
      <c r="E2929" t="inlineStr">
        <is>
          <t>administrative_investment_friction_raw</t>
        </is>
      </c>
      <c r="F2929" t="inlineStr">
        <is>
          <t>Administrative investment friction raw</t>
        </is>
      </c>
      <c r="G2929" t="inlineStr">
        <is>
          <t>creative</t>
        </is>
      </c>
      <c r="H2929" t="inlineStr">
        <is>
          <t>yes</t>
        </is>
      </c>
      <c r="I2929" t="inlineStr">
        <is>
          <t>0.56</t>
        </is>
      </c>
      <c r="J2929" t="inlineStr">
        <is>
          <t>world_bank</t>
        </is>
      </c>
      <c r="K2929" t="inlineStr">
        <is>
          <t>https://api.worldbank.org/v2/country/AUS/indicator/RQ.EST?format=json&amp;mrv=10</t>
        </is>
      </c>
      <c r="L2929" t="inlineStr">
        <is>
          <t>World Bank WGI: Regulatory Quality (inverted as friction proxy)</t>
        </is>
      </c>
      <c r="M2929" t="inlineStr">
        <is>
          <t>2023-12-31</t>
        </is>
      </c>
      <c r="N2929" t="inlineStr">
        <is>
          <t>auto_ingest=world_bank_business_friction; indicator=RQ.EST; raw_rq=1.94220554828644; friction=0.56; year=2023; country_proxy=Australia</t>
        </is>
      </c>
    </row>
    <row r="2930">
      <c r="A2930" t="inlineStr">
        <is>
          <t>au-sydney</t>
        </is>
      </c>
      <c r="B2930" t="inlineStr">
        <is>
          <t>Sydney</t>
        </is>
      </c>
      <c r="C2930" t="inlineStr">
        <is>
          <t>Australia</t>
        </is>
      </c>
      <c r="D2930" t="inlineStr">
        <is>
          <t>Oceania</t>
        </is>
      </c>
      <c r="E2930" t="inlineStr">
        <is>
          <t>visitor_flow_context_raw</t>
        </is>
      </c>
      <c r="F2930" t="inlineStr">
        <is>
          <t>Visitor flow context raw</t>
        </is>
      </c>
      <c r="G2930" t="inlineStr">
        <is>
          <t>creative</t>
        </is>
      </c>
      <c r="H2930" t="inlineStr">
        <is>
          <t>no</t>
        </is>
      </c>
      <c r="I2930" t="inlineStr"/>
      <c r="J2930" t="inlineStr"/>
      <c r="K2930" t="inlineStr"/>
      <c r="L2930" t="inlineStr"/>
      <c r="M2930" t="inlineStr"/>
      <c r="N2930" t="inlineStr"/>
    </row>
    <row r="2931">
      <c r="A2931" t="inlineStr">
        <is>
          <t>au-melbourne</t>
        </is>
      </c>
      <c r="B2931" t="inlineStr">
        <is>
          <t>Melbourne</t>
        </is>
      </c>
      <c r="C2931" t="inlineStr">
        <is>
          <t>Australia</t>
        </is>
      </c>
      <c r="D2931" t="inlineStr">
        <is>
          <t>Oceania</t>
        </is>
      </c>
      <c r="E2931" t="inlineStr">
        <is>
          <t>gross_income</t>
        </is>
      </c>
      <c r="F2931" t="inlineStr">
        <is>
          <t>Gross income</t>
        </is>
      </c>
      <c r="G2931" t="inlineStr">
        <is>
          <t>pressure</t>
        </is>
      </c>
      <c r="H2931" t="inlineStr">
        <is>
          <t>yes</t>
        </is>
      </c>
      <c r="I2931" t="inlineStr">
        <is>
          <t>5800.0</t>
        </is>
      </c>
      <c r="J2931" t="inlineStr">
        <is>
          <t>world_bank_col_estimate</t>
        </is>
      </c>
      <c r="K2931" t="inlineStr">
        <is>
          <t>https://api.worldbank.org/v2/country/AUS/indicator/NY.GNP.PCAP.PP.CD?format=json&amp;mrv=10</t>
        </is>
      </c>
      <c r="L2931" t="inlineStr">
        <is>
          <t>World Bank WDI: GNI per capita PPP (monthly USD)</t>
        </is>
      </c>
      <c r="M2931" t="inlineStr">
        <is>
          <t>2024-12-31</t>
        </is>
      </c>
      <c r="N2931" t="inlineStr">
        <is>
          <t>auto_ingest=world_bank_col_estimate; gni_annual=69600.0; year=2024; country_proxy=Australia; cohort=Oceania</t>
        </is>
      </c>
    </row>
    <row r="2932">
      <c r="A2932" t="inlineStr">
        <is>
          <t>au-melbourne</t>
        </is>
      </c>
      <c r="B2932" t="inlineStr">
        <is>
          <t>Melbourne</t>
        </is>
      </c>
      <c r="C2932" t="inlineStr">
        <is>
          <t>Australia</t>
        </is>
      </c>
      <c r="D2932" t="inlineStr">
        <is>
          <t>Oceania</t>
        </is>
      </c>
      <c r="E2932" t="inlineStr">
        <is>
          <t>di_ppp_raw</t>
        </is>
      </c>
      <c r="F2932" t="inlineStr">
        <is>
          <t>Disposable income PPP (Raw)</t>
        </is>
      </c>
      <c r="G2932" t="inlineStr">
        <is>
          <t>pressure</t>
        </is>
      </c>
      <c r="H2932" t="inlineStr">
        <is>
          <t>yes</t>
        </is>
      </c>
      <c r="I2932" t="inlineStr"/>
      <c r="J2932" t="inlineStr"/>
      <c r="K2932" t="inlineStr"/>
      <c r="L2932" t="inlineStr"/>
      <c r="M2932" t="inlineStr"/>
      <c r="N2932" t="inlineStr"/>
    </row>
    <row r="2933">
      <c r="A2933" t="inlineStr">
        <is>
          <t>au-melbourne</t>
        </is>
      </c>
      <c r="B2933" t="inlineStr">
        <is>
          <t>Melbourne</t>
        </is>
      </c>
      <c r="C2933" t="inlineStr">
        <is>
          <t>Australia</t>
        </is>
      </c>
      <c r="D2933" t="inlineStr">
        <is>
          <t>Oceania</t>
        </is>
      </c>
      <c r="E2933" t="inlineStr">
        <is>
          <t>rent</t>
        </is>
      </c>
      <c r="F2933" t="inlineStr">
        <is>
          <t>Rent</t>
        </is>
      </c>
      <c r="G2933" t="inlineStr">
        <is>
          <t>pressure</t>
        </is>
      </c>
      <c r="H2933" t="inlineStr">
        <is>
          <t>yes</t>
        </is>
      </c>
      <c r="I2933" t="inlineStr">
        <is>
          <t>1740.0</t>
        </is>
      </c>
      <c r="J2933" t="inlineStr">
        <is>
          <t>world_bank_col_estimate</t>
        </is>
      </c>
      <c r="K2933" t="inlineStr">
        <is>
          <t>https://api.worldbank.org/v2/country/AUS/indicator/NY.GNP.PCAP.PP.CD?format=json&amp;mrv=10</t>
        </is>
      </c>
      <c r="L2933" t="inlineStr">
        <is>
          <t>World Bank GNI + regional expenditure ratio estimate</t>
        </is>
      </c>
      <c r="M2933" t="inlineStr">
        <is>
          <t>2024-12-31</t>
        </is>
      </c>
      <c r="N2933" t="inlineStr">
        <is>
          <t>auto_ingest=world_bank_col_estimate; gni_annual=69600.0; year=2024; country_proxy=Australia; cohort=Oceania</t>
        </is>
      </c>
    </row>
    <row r="2934">
      <c r="A2934" t="inlineStr">
        <is>
          <t>au-melbourne</t>
        </is>
      </c>
      <c r="B2934" t="inlineStr">
        <is>
          <t>Melbourne</t>
        </is>
      </c>
      <c r="C2934" t="inlineStr">
        <is>
          <t>Australia</t>
        </is>
      </c>
      <c r="D2934" t="inlineStr">
        <is>
          <t>Oceania</t>
        </is>
      </c>
      <c r="E2934" t="inlineStr">
        <is>
          <t>utilities</t>
        </is>
      </c>
      <c r="F2934" t="inlineStr">
        <is>
          <t>Utilities</t>
        </is>
      </c>
      <c r="G2934" t="inlineStr">
        <is>
          <t>pressure</t>
        </is>
      </c>
      <c r="H2934" t="inlineStr">
        <is>
          <t>yes</t>
        </is>
      </c>
      <c r="I2934" t="inlineStr">
        <is>
          <t>348.0</t>
        </is>
      </c>
      <c r="J2934" t="inlineStr">
        <is>
          <t>world_bank_col_estimate</t>
        </is>
      </c>
      <c r="K2934" t="inlineStr">
        <is>
          <t>https://api.worldbank.org/v2/country/AUS/indicator/NY.GNP.PCAP.PP.CD?format=json&amp;mrv=10</t>
        </is>
      </c>
      <c r="L2934" t="inlineStr">
        <is>
          <t>World Bank GNI + regional expenditure ratio estimate</t>
        </is>
      </c>
      <c r="M2934" t="inlineStr">
        <is>
          <t>2024-12-31</t>
        </is>
      </c>
      <c r="N2934" t="inlineStr">
        <is>
          <t>auto_ingest=world_bank_col_estimate; gni_annual=69600.0; year=2024; country_proxy=Australia; cohort=Oceania</t>
        </is>
      </c>
    </row>
    <row r="2935">
      <c r="A2935" t="inlineStr">
        <is>
          <t>au-melbourne</t>
        </is>
      </c>
      <c r="B2935" t="inlineStr">
        <is>
          <t>Melbourne</t>
        </is>
      </c>
      <c r="C2935" t="inlineStr">
        <is>
          <t>Australia</t>
        </is>
      </c>
      <c r="D2935" t="inlineStr">
        <is>
          <t>Oceania</t>
        </is>
      </c>
      <c r="E2935" t="inlineStr">
        <is>
          <t>transit_cost</t>
        </is>
      </c>
      <c r="F2935" t="inlineStr">
        <is>
          <t>Transit cost</t>
        </is>
      </c>
      <c r="G2935" t="inlineStr">
        <is>
          <t>pressure</t>
        </is>
      </c>
      <c r="H2935" t="inlineStr">
        <is>
          <t>yes</t>
        </is>
      </c>
      <c r="I2935" t="inlineStr">
        <is>
          <t>232.0</t>
        </is>
      </c>
      <c r="J2935" t="inlineStr">
        <is>
          <t>world_bank_col_estimate</t>
        </is>
      </c>
      <c r="K2935" t="inlineStr">
        <is>
          <t>https://api.worldbank.org/v2/country/AUS/indicator/NY.GNP.PCAP.PP.CD?format=json&amp;mrv=10</t>
        </is>
      </c>
      <c r="L2935" t="inlineStr">
        <is>
          <t>World Bank GNI + regional expenditure ratio estimate</t>
        </is>
      </c>
      <c r="M2935" t="inlineStr">
        <is>
          <t>2024-12-31</t>
        </is>
      </c>
      <c r="N2935" t="inlineStr">
        <is>
          <t>auto_ingest=world_bank_col_estimate; gni_annual=69600.0; year=2024; country_proxy=Australia; cohort=Oceania</t>
        </is>
      </c>
    </row>
    <row r="2936">
      <c r="A2936" t="inlineStr">
        <is>
          <t>au-melbourne</t>
        </is>
      </c>
      <c r="B2936" t="inlineStr">
        <is>
          <t>Melbourne</t>
        </is>
      </c>
      <c r="C2936" t="inlineStr">
        <is>
          <t>Australia</t>
        </is>
      </c>
      <c r="D2936" t="inlineStr">
        <is>
          <t>Oceania</t>
        </is>
      </c>
      <c r="E2936" t="inlineStr">
        <is>
          <t>internet_cost</t>
        </is>
      </c>
      <c r="F2936" t="inlineStr">
        <is>
          <t>Internet cost</t>
        </is>
      </c>
      <c r="G2936" t="inlineStr">
        <is>
          <t>pressure</t>
        </is>
      </c>
      <c r="H2936" t="inlineStr">
        <is>
          <t>yes</t>
        </is>
      </c>
      <c r="I2936" t="inlineStr">
        <is>
          <t>87.0</t>
        </is>
      </c>
      <c r="J2936" t="inlineStr">
        <is>
          <t>world_bank_col_estimate</t>
        </is>
      </c>
      <c r="K2936" t="inlineStr">
        <is>
          <t>https://api.worldbank.org/v2/country/AUS/indicator/NY.GNP.PCAP.PP.CD?format=json&amp;mrv=10</t>
        </is>
      </c>
      <c r="L2936" t="inlineStr">
        <is>
          <t>World Bank GNI + regional expenditure ratio estimate</t>
        </is>
      </c>
      <c r="M2936" t="inlineStr">
        <is>
          <t>2024-12-31</t>
        </is>
      </c>
      <c r="N2936" t="inlineStr">
        <is>
          <t>auto_ingest=world_bank_col_estimate; gni_annual=69600.0; year=2024; country_proxy=Australia; cohort=Oceania</t>
        </is>
      </c>
    </row>
    <row r="2937">
      <c r="A2937" t="inlineStr">
        <is>
          <t>au-melbourne</t>
        </is>
      </c>
      <c r="B2937" t="inlineStr">
        <is>
          <t>Melbourne</t>
        </is>
      </c>
      <c r="C2937" t="inlineStr">
        <is>
          <t>Australia</t>
        </is>
      </c>
      <c r="D2937" t="inlineStr">
        <is>
          <t>Oceania</t>
        </is>
      </c>
      <c r="E2937" t="inlineStr">
        <is>
          <t>food_cost</t>
        </is>
      </c>
      <c r="F2937" t="inlineStr">
        <is>
          <t>Food cost</t>
        </is>
      </c>
      <c r="G2937" t="inlineStr">
        <is>
          <t>pressure</t>
        </is>
      </c>
      <c r="H2937" t="inlineStr">
        <is>
          <t>yes</t>
        </is>
      </c>
      <c r="I2937" t="inlineStr">
        <is>
          <t>870.0</t>
        </is>
      </c>
      <c r="J2937" t="inlineStr">
        <is>
          <t>world_bank_col_estimate</t>
        </is>
      </c>
      <c r="K2937" t="inlineStr">
        <is>
          <t>https://api.worldbank.org/v2/country/AUS/indicator/NY.GNP.PCAP.PP.CD?format=json&amp;mrv=10</t>
        </is>
      </c>
      <c r="L2937" t="inlineStr">
        <is>
          <t>World Bank GNI + regional expenditure ratio estimate</t>
        </is>
      </c>
      <c r="M2937" t="inlineStr">
        <is>
          <t>2024-12-31</t>
        </is>
      </c>
      <c r="N2937" t="inlineStr">
        <is>
          <t>auto_ingest=world_bank_col_estimate; gni_annual=69600.0; year=2024; country_proxy=Australia; cohort=Oceania</t>
        </is>
      </c>
    </row>
    <row r="2938">
      <c r="A2938" t="inlineStr">
        <is>
          <t>au-melbourne</t>
        </is>
      </c>
      <c r="B2938" t="inlineStr">
        <is>
          <t>Melbourne</t>
        </is>
      </c>
      <c r="C2938" t="inlineStr">
        <is>
          <t>Australia</t>
        </is>
      </c>
      <c r="D2938" t="inlineStr">
        <is>
          <t>Oceania</t>
        </is>
      </c>
      <c r="E2938" t="inlineStr">
        <is>
          <t>housing_burden_raw</t>
        </is>
      </c>
      <c r="F2938" t="inlineStr">
        <is>
          <t>Housing burden raw</t>
        </is>
      </c>
      <c r="G2938" t="inlineStr">
        <is>
          <t>pressure</t>
        </is>
      </c>
      <c r="H2938" t="inlineStr">
        <is>
          <t>yes</t>
        </is>
      </c>
      <c r="I2938" t="inlineStr">
        <is>
          <t>30.0</t>
        </is>
      </c>
      <c r="J2938" t="inlineStr">
        <is>
          <t>derived</t>
        </is>
      </c>
      <c r="K2938" t="inlineStr">
        <is>
          <t>https://data.worldbank.org/indicator/NY.GNP.PCAP.PP.CD</t>
        </is>
      </c>
      <c r="L2938" t="inlineStr">
        <is>
          <t>Computed from city_inputs + country_context</t>
        </is>
      </c>
      <c r="M2938" t="inlineStr">
        <is>
          <t>2024-01-01</t>
        </is>
      </c>
      <c r="N2938" t="inlineStr">
        <is>
          <t>derived=rent/gross_income*100</t>
        </is>
      </c>
    </row>
    <row r="2939">
      <c r="A2939" t="inlineStr">
        <is>
          <t>au-melbourne</t>
        </is>
      </c>
      <c r="B2939" t="inlineStr">
        <is>
          <t>Melbourne</t>
        </is>
      </c>
      <c r="C2939" t="inlineStr">
        <is>
          <t>Australia</t>
        </is>
      </c>
      <c r="D2939" t="inlineStr">
        <is>
          <t>Oceania</t>
        </is>
      </c>
      <c r="E2939" t="inlineStr">
        <is>
          <t>household_debt_burden_raw</t>
        </is>
      </c>
      <c r="F2939" t="inlineStr">
        <is>
          <t>Household debt burden raw</t>
        </is>
      </c>
      <c r="G2939" t="inlineStr">
        <is>
          <t>pressure</t>
        </is>
      </c>
      <c r="H2939" t="inlineStr">
        <is>
          <t>yes</t>
        </is>
      </c>
      <c r="I2939" t="inlineStr">
        <is>
          <t>129.3173</t>
        </is>
      </c>
      <c r="J2939" t="inlineStr">
        <is>
          <t>derived</t>
        </is>
      </c>
      <c r="K2939" t="inlineStr">
        <is>
          <t>https://data.worldbank.org/indicator/NY.GNP.PCAP.PP.CD</t>
        </is>
      </c>
      <c r="L2939" t="inlineStr">
        <is>
          <t>Computed from city_inputs + country_context</t>
        </is>
      </c>
      <c r="M2939" t="inlineStr">
        <is>
          <t>2024-01-01</t>
        </is>
      </c>
      <c r="N2939" t="inlineStr">
        <is>
          <t>derived=country_context.household_debt_proxy; country=Australia</t>
        </is>
      </c>
    </row>
    <row r="2940">
      <c r="A2940" t="inlineStr">
        <is>
          <t>au-melbourne</t>
        </is>
      </c>
      <c r="B2940" t="inlineStr">
        <is>
          <t>Melbourne</t>
        </is>
      </c>
      <c r="C2940" t="inlineStr">
        <is>
          <t>Australia</t>
        </is>
      </c>
      <c r="D2940" t="inlineStr">
        <is>
          <t>Oceania</t>
        </is>
      </c>
      <c r="E2940" t="inlineStr">
        <is>
          <t>working_time_pressure_raw</t>
        </is>
      </c>
      <c r="F2940" t="inlineStr">
        <is>
          <t>Working time pressure raw</t>
        </is>
      </c>
      <c r="G2940" t="inlineStr">
        <is>
          <t>pressure</t>
        </is>
      </c>
      <c r="H2940" t="inlineStr">
        <is>
          <t>yes</t>
        </is>
      </c>
      <c r="I2940" t="inlineStr">
        <is>
          <t>32.29</t>
        </is>
      </c>
      <c r="J2940" t="inlineStr">
        <is>
          <t>ilo_ilostat</t>
        </is>
      </c>
      <c r="K2940" t="inlineStr">
        <is>
          <t>https://ilostat.ilo.org/data/indicator/?id=HOW_TEMP_SEX_ECO_NB_A&amp;ref_area=AUS</t>
        </is>
      </c>
      <c r="L2940" t="inlineStr">
        <is>
          <t>ILO ILOSTAT: Mean weekly hours actually worked per employed person</t>
        </is>
      </c>
      <c r="M2940" t="inlineStr">
        <is>
          <t>2020-12-31</t>
        </is>
      </c>
      <c r="N2940" t="inlineStr">
        <is>
          <t>auto_ingest=ilo_working_hours; indicator=HOW_TEMP_SEX_ECO_NB_A; year=2020; hours=32.29; country_proxy=Australia</t>
        </is>
      </c>
    </row>
    <row r="2941">
      <c r="A2941" t="inlineStr">
        <is>
          <t>au-melbourne</t>
        </is>
      </c>
      <c r="B2941" t="inlineStr">
        <is>
          <t>Melbourne</t>
        </is>
      </c>
      <c r="C2941" t="inlineStr">
        <is>
          <t>Australia</t>
        </is>
      </c>
      <c r="D2941" t="inlineStr">
        <is>
          <t>Oceania</t>
        </is>
      </c>
      <c r="E2941" t="inlineStr">
        <is>
          <t>suicide_mental_strain_raw</t>
        </is>
      </c>
      <c r="F2941" t="inlineStr">
        <is>
          <t>Suicide or mental strain raw</t>
        </is>
      </c>
      <c r="G2941" t="inlineStr">
        <is>
          <t>pressure</t>
        </is>
      </c>
      <c r="H2941" t="inlineStr">
        <is>
          <t>yes</t>
        </is>
      </c>
      <c r="I2941" t="inlineStr">
        <is>
          <t>13.08</t>
        </is>
      </c>
      <c r="J2941" t="inlineStr">
        <is>
          <t>who_gho</t>
        </is>
      </c>
      <c r="K2941" t="inlineStr">
        <is>
          <t>https://www.who.int/data/gho/data/indicators/indicator-details/GHO/SDGSUICIDE</t>
        </is>
      </c>
      <c r="L2941" t="inlineStr">
        <is>
          <t>WHO GHO: Age-standardized suicide rate (per 100,000 population)</t>
        </is>
      </c>
      <c r="M2941" t="inlineStr">
        <is>
          <t>2021-12-31</t>
        </is>
      </c>
      <c r="N2941" t="inlineStr">
        <is>
          <t>auto_ingest=who_gho; indicator=SDGSUICIDE; year=2021; country_proxy=Australia</t>
        </is>
      </c>
    </row>
    <row r="2942">
      <c r="A2942" t="inlineStr">
        <is>
          <t>au-melbourne</t>
        </is>
      </c>
      <c r="B2942" t="inlineStr">
        <is>
          <t>Melbourne</t>
        </is>
      </c>
      <c r="C2942" t="inlineStr">
        <is>
          <t>Australia</t>
        </is>
      </c>
      <c r="D2942" t="inlineStr">
        <is>
          <t>Oceania</t>
        </is>
      </c>
      <c r="E2942" t="inlineStr">
        <is>
          <t>personal_safety_raw</t>
        </is>
      </c>
      <c r="F2942" t="inlineStr">
        <is>
          <t>Personal safety raw</t>
        </is>
      </c>
      <c r="G2942" t="inlineStr">
        <is>
          <t>viability</t>
        </is>
      </c>
      <c r="H2942" t="inlineStr">
        <is>
          <t>yes</t>
        </is>
      </c>
      <c r="I2942" t="inlineStr">
        <is>
          <t>0.85</t>
        </is>
      </c>
      <c r="J2942" t="inlineStr">
        <is>
          <t>world_bank</t>
        </is>
      </c>
      <c r="K2942" t="inlineStr">
        <is>
          <t>https://api.worldbank.org/v2/country/AUS/indicator/VC.IHR.PSRC.P5?format=json&amp;mrv=10</t>
        </is>
      </c>
      <c r="L2942" t="inlineStr">
        <is>
          <t>UNODC via World Bank WDI: Intentional homicides (per 100,000 people)</t>
        </is>
      </c>
      <c r="M2942" t="inlineStr">
        <is>
          <t>2023-12-31</t>
        </is>
      </c>
      <c r="N2942" t="inlineStr">
        <is>
          <t>auto_ingest=unodc_safety; indicator=VC.IHR.PSRC.P5; year=2023; country_proxy=Australia</t>
        </is>
      </c>
    </row>
    <row r="2943">
      <c r="A2943" t="inlineStr">
        <is>
          <t>au-melbourne</t>
        </is>
      </c>
      <c r="B2943" t="inlineStr">
        <is>
          <t>Melbourne</t>
        </is>
      </c>
      <c r="C2943" t="inlineStr">
        <is>
          <t>Australia</t>
        </is>
      </c>
      <c r="D2943" t="inlineStr">
        <is>
          <t>Oceania</t>
        </is>
      </c>
      <c r="E2943" t="inlineStr">
        <is>
          <t>transit_access_commute_raw</t>
        </is>
      </c>
      <c r="F2943" t="inlineStr">
        <is>
          <t>Transit access and commute raw</t>
        </is>
      </c>
      <c r="G2943" t="inlineStr">
        <is>
          <t>viability</t>
        </is>
      </c>
      <c r="H2943" t="inlineStr">
        <is>
          <t>yes</t>
        </is>
      </c>
      <c r="I2943" t="inlineStr"/>
      <c r="J2943" t="inlineStr"/>
      <c r="K2943" t="inlineStr"/>
      <c r="L2943" t="inlineStr"/>
      <c r="M2943" t="inlineStr"/>
      <c r="N2943" t="inlineStr"/>
    </row>
    <row r="2944">
      <c r="A2944" t="inlineStr">
        <is>
          <t>au-melbourne</t>
        </is>
      </c>
      <c r="B2944" t="inlineStr">
        <is>
          <t>Melbourne</t>
        </is>
      </c>
      <c r="C2944" t="inlineStr">
        <is>
          <t>Australia</t>
        </is>
      </c>
      <c r="D2944" t="inlineStr">
        <is>
          <t>Oceania</t>
        </is>
      </c>
      <c r="E2944" t="inlineStr">
        <is>
          <t>clean_air_raw</t>
        </is>
      </c>
      <c r="F2944" t="inlineStr">
        <is>
          <t>Clean air raw</t>
        </is>
      </c>
      <c r="G2944" t="inlineStr">
        <is>
          <t>viability</t>
        </is>
      </c>
      <c r="H2944" t="inlineStr">
        <is>
          <t>yes</t>
        </is>
      </c>
      <c r="I2944" t="inlineStr"/>
      <c r="J2944" t="inlineStr"/>
      <c r="K2944" t="inlineStr"/>
      <c r="L2944" t="inlineStr"/>
      <c r="M2944" t="inlineStr"/>
      <c r="N2944" t="inlineStr"/>
    </row>
    <row r="2945">
      <c r="A2945" t="inlineStr">
        <is>
          <t>au-melbourne</t>
        </is>
      </c>
      <c r="B2945" t="inlineStr">
        <is>
          <t>Melbourne</t>
        </is>
      </c>
      <c r="C2945" t="inlineStr">
        <is>
          <t>Australia</t>
        </is>
      </c>
      <c r="D2945" t="inlineStr">
        <is>
          <t>Oceania</t>
        </is>
      </c>
      <c r="E2945" t="inlineStr">
        <is>
          <t>water_sanitation_utility_raw</t>
        </is>
      </c>
      <c r="F2945" t="inlineStr">
        <is>
          <t>Water, sanitation, and utility raw</t>
        </is>
      </c>
      <c r="G2945" t="inlineStr">
        <is>
          <t>viability</t>
        </is>
      </c>
      <c r="H2945" t="inlineStr">
        <is>
          <t>yes</t>
        </is>
      </c>
      <c r="I2945" t="inlineStr"/>
      <c r="J2945" t="inlineStr"/>
      <c r="K2945" t="inlineStr"/>
      <c r="L2945" t="inlineStr"/>
      <c r="M2945" t="inlineStr"/>
      <c r="N2945" t="inlineStr"/>
    </row>
    <row r="2946">
      <c r="A2946" t="inlineStr">
        <is>
          <t>au-melbourne</t>
        </is>
      </c>
      <c r="B2946" t="inlineStr">
        <is>
          <t>Melbourne</t>
        </is>
      </c>
      <c r="C2946" t="inlineStr">
        <is>
          <t>Australia</t>
        </is>
      </c>
      <c r="D2946" t="inlineStr">
        <is>
          <t>Oceania</t>
        </is>
      </c>
      <c r="E2946" t="inlineStr">
        <is>
          <t>digital_infrastructure_raw</t>
        </is>
      </c>
      <c r="F2946" t="inlineStr">
        <is>
          <t>Digital infrastructure raw</t>
        </is>
      </c>
      <c r="G2946" t="inlineStr">
        <is>
          <t>viability</t>
        </is>
      </c>
      <c r="H2946" t="inlineStr">
        <is>
          <t>yes</t>
        </is>
      </c>
      <c r="I2946" t="inlineStr">
        <is>
          <t>36.6</t>
        </is>
      </c>
      <c r="J2946" t="inlineStr">
        <is>
          <t>world_bank</t>
        </is>
      </c>
      <c r="K2946" t="inlineStr">
        <is>
          <t>https://api.worldbank.org/v2/country/AUS/indicator/IT.NET.BBND.P2?format=json&amp;mrv=10</t>
        </is>
      </c>
      <c r="L2946" t="inlineStr">
        <is>
          <t>World Bank WDI: Fixed broadband subscriptions (per 100 people)</t>
        </is>
      </c>
      <c r="M2946" t="inlineStr">
        <is>
          <t>2023-12-31</t>
        </is>
      </c>
      <c r="N2946" t="inlineStr">
        <is>
          <t>auto_ingest=world_bank_proxy; indicator=IT.NET.BBND.P2; year=2023; country_proxy=Australia</t>
        </is>
      </c>
    </row>
    <row r="2947">
      <c r="A2947" t="inlineStr">
        <is>
          <t>au-melbourne</t>
        </is>
      </c>
      <c r="B2947" t="inlineStr">
        <is>
          <t>Melbourne</t>
        </is>
      </c>
      <c r="C2947" t="inlineStr">
        <is>
          <t>Australia</t>
        </is>
      </c>
      <c r="D2947" t="inlineStr">
        <is>
          <t>Oceania</t>
        </is>
      </c>
      <c r="E2947" t="inlineStr">
        <is>
          <t>climate_sunlight_livability_raw</t>
        </is>
      </c>
      <c r="F2947" t="inlineStr">
        <is>
          <t>Climate and sunlight livability raw</t>
        </is>
      </c>
      <c r="G2947" t="inlineStr">
        <is>
          <t>viability</t>
        </is>
      </c>
      <c r="H2947" t="inlineStr">
        <is>
          <t>yes</t>
        </is>
      </c>
      <c r="I2947" t="inlineStr">
        <is>
          <t>62</t>
        </is>
      </c>
      <c r="J2947" t="inlineStr">
        <is>
          <t>wmo_natl_met</t>
        </is>
      </c>
      <c r="K2947" t="inlineStr">
        <is>
          <t>https://worldweather.wmo.int</t>
        </is>
      </c>
      <c r="L2947" t="inlineStr">
        <is>
          <t>WMO/National Met: Climate livability composite</t>
        </is>
      </c>
      <c r="M2947" t="inlineStr">
        <is>
          <t>2024-12-31</t>
        </is>
      </c>
      <c r="N2947" t="inlineStr">
        <is>
          <t>auto_seed=climate_composite; 2200 sun hrs, 15C mean, changeable</t>
        </is>
      </c>
    </row>
    <row r="2948">
      <c r="A2948" t="inlineStr">
        <is>
          <t>au-melbourne</t>
        </is>
      </c>
      <c r="B2948" t="inlineStr">
        <is>
          <t>Melbourne</t>
        </is>
      </c>
      <c r="C2948" t="inlineStr">
        <is>
          <t>Australia</t>
        </is>
      </c>
      <c r="D2948" t="inlineStr">
        <is>
          <t>Oceania</t>
        </is>
      </c>
      <c r="E2948" t="inlineStr">
        <is>
          <t>healthcare_quality_raw</t>
        </is>
      </c>
      <c r="F2948" t="inlineStr">
        <is>
          <t>Healthcare quality raw</t>
        </is>
      </c>
      <c r="G2948" t="inlineStr">
        <is>
          <t>capability</t>
        </is>
      </c>
      <c r="H2948" t="inlineStr">
        <is>
          <t>yes</t>
        </is>
      </c>
      <c r="I2948" t="inlineStr">
        <is>
          <t>89.0</t>
        </is>
      </c>
      <c r="J2948" t="inlineStr">
        <is>
          <t>who_gho</t>
        </is>
      </c>
      <c r="K2948" t="inlineStr">
        <is>
          <t>https://www.who.int/data/gho/data/indicators/indicator-details/GHO/UHC_INDEX_REPORTED</t>
        </is>
      </c>
      <c r="L2948" t="inlineStr">
        <is>
          <t>WHO GHO: UHC Service Coverage Index</t>
        </is>
      </c>
      <c r="M2948" t="inlineStr">
        <is>
          <t>2023-12-31</t>
        </is>
      </c>
      <c r="N2948" t="inlineStr">
        <is>
          <t>auto_ingest=who_gho; indicator=UHC_INDEX_REPORTED; year=2023; country_proxy=Australia</t>
        </is>
      </c>
    </row>
    <row r="2949">
      <c r="A2949" t="inlineStr">
        <is>
          <t>au-melbourne</t>
        </is>
      </c>
      <c r="B2949" t="inlineStr">
        <is>
          <t>Melbourne</t>
        </is>
      </c>
      <c r="C2949" t="inlineStr">
        <is>
          <t>Australia</t>
        </is>
      </c>
      <c r="D2949" t="inlineStr">
        <is>
          <t>Oceania</t>
        </is>
      </c>
      <c r="E2949" t="inlineStr">
        <is>
          <t>education_quality_raw</t>
        </is>
      </c>
      <c r="F2949" t="inlineStr">
        <is>
          <t>Education quality raw</t>
        </is>
      </c>
      <c r="G2949" t="inlineStr">
        <is>
          <t>capability</t>
        </is>
      </c>
      <c r="H2949" t="inlineStr">
        <is>
          <t>yes</t>
        </is>
      </c>
      <c r="I2949" t="inlineStr">
        <is>
          <t>104.65</t>
        </is>
      </c>
      <c r="J2949" t="inlineStr">
        <is>
          <t>world_bank</t>
        </is>
      </c>
      <c r="K2949" t="inlineStr">
        <is>
          <t>https://api.worldbank.org/v2/country/AUS/indicator/SE.TER.ENRR?format=json&amp;mrv=10</t>
        </is>
      </c>
      <c r="L2949" t="inlineStr">
        <is>
          <t>World Bank WDI: School enrollment, tertiary (% gross)</t>
        </is>
      </c>
      <c r="M2949" t="inlineStr">
        <is>
          <t>2023-12-31</t>
        </is>
      </c>
      <c r="N2949" t="inlineStr">
        <is>
          <t>auto_ingest=world_bank_proxy; indicator=SE.TER.ENRR; year=2023; country_proxy=Australia</t>
        </is>
      </c>
    </row>
    <row r="2950">
      <c r="A2950" t="inlineStr">
        <is>
          <t>au-melbourne</t>
        </is>
      </c>
      <c r="B2950" t="inlineStr">
        <is>
          <t>Melbourne</t>
        </is>
      </c>
      <c r="C2950" t="inlineStr">
        <is>
          <t>Australia</t>
        </is>
      </c>
      <c r="D2950" t="inlineStr">
        <is>
          <t>Oceania</t>
        </is>
      </c>
      <c r="E2950" t="inlineStr">
        <is>
          <t>equal_opportunity_raw</t>
        </is>
      </c>
      <c r="F2950" t="inlineStr">
        <is>
          <t>Equal opportunity raw</t>
        </is>
      </c>
      <c r="G2950" t="inlineStr">
        <is>
          <t>capability</t>
        </is>
      </c>
      <c r="H2950" t="inlineStr">
        <is>
          <t>yes</t>
        </is>
      </c>
      <c r="I2950" t="inlineStr">
        <is>
          <t>33.8</t>
        </is>
      </c>
      <c r="J2950" t="inlineStr">
        <is>
          <t>world_bank</t>
        </is>
      </c>
      <c r="K2950" t="inlineStr">
        <is>
          <t>https://api.worldbank.org/v2/country/AUS/indicator/SI.POV.GINI?format=json&amp;mrv=10</t>
        </is>
      </c>
      <c r="L2950" t="inlineStr">
        <is>
          <t>World Bank WDI: Gini index</t>
        </is>
      </c>
      <c r="M2950" t="inlineStr">
        <is>
          <t>2020-12-31</t>
        </is>
      </c>
      <c r="N2950" t="inlineStr">
        <is>
          <t>auto_ingest=world_bank_capability; indicator=SI.POV.GINI; year=2020; country_proxy=Australia</t>
        </is>
      </c>
    </row>
    <row r="2951">
      <c r="A2951" t="inlineStr">
        <is>
          <t>au-melbourne</t>
        </is>
      </c>
      <c r="B2951" t="inlineStr">
        <is>
          <t>Melbourne</t>
        </is>
      </c>
      <c r="C2951" t="inlineStr">
        <is>
          <t>Australia</t>
        </is>
      </c>
      <c r="D2951" t="inlineStr">
        <is>
          <t>Oceania</t>
        </is>
      </c>
      <c r="E2951" t="inlineStr">
        <is>
          <t>hospitality_belonging_raw</t>
        </is>
      </c>
      <c r="F2951" t="inlineStr">
        <is>
          <t>Hospitality and belonging raw</t>
        </is>
      </c>
      <c r="G2951" t="inlineStr">
        <is>
          <t>community</t>
        </is>
      </c>
      <c r="H2951" t="inlineStr">
        <is>
          <t>yes</t>
        </is>
      </c>
      <c r="I2951" t="inlineStr">
        <is>
          <t>55.04</t>
        </is>
      </c>
      <c r="J2951" t="inlineStr">
        <is>
          <t>world_bank</t>
        </is>
      </c>
      <c r="K2951" t="inlineStr">
        <is>
          <t>https://api.worldbank.org/v2/country/AUS/indicator/SM.POP.NETM?format=json&amp;mrv=10</t>
        </is>
      </c>
      <c r="L2951" t="inlineStr">
        <is>
          <t>World Bank WDI: Net migration (proxy for hospitality/belonging — positive = welcoming)</t>
        </is>
      </c>
      <c r="M2951" t="inlineStr">
        <is>
          <t>2025-12-31</t>
        </is>
      </c>
      <c r="N2951" t="inlineStr">
        <is>
          <t>auto_ingest=world_bank_proxy; proxy=net_migration_hospitality; indicator=SM.POP.NETM; year=2025; country_proxy=Australia</t>
        </is>
      </c>
    </row>
    <row r="2952">
      <c r="A2952" t="inlineStr">
        <is>
          <t>au-melbourne</t>
        </is>
      </c>
      <c r="B2952" t="inlineStr">
        <is>
          <t>Melbourne</t>
        </is>
      </c>
      <c r="C2952" t="inlineStr">
        <is>
          <t>Australia</t>
        </is>
      </c>
      <c r="D2952" t="inlineStr">
        <is>
          <t>Oceania</t>
        </is>
      </c>
      <c r="E2952" t="inlineStr">
        <is>
          <t>tolerance_pluralism_raw</t>
        </is>
      </c>
      <c r="F2952" t="inlineStr">
        <is>
          <t>Tolerance and pluralism raw</t>
        </is>
      </c>
      <c r="G2952" t="inlineStr">
        <is>
          <t>community</t>
        </is>
      </c>
      <c r="H2952" t="inlineStr">
        <is>
          <t>yes</t>
        </is>
      </c>
      <c r="I2952" t="inlineStr">
        <is>
          <t>38.0</t>
        </is>
      </c>
      <c r="J2952" t="inlineStr">
        <is>
          <t>world_bank</t>
        </is>
      </c>
      <c r="K2952" t="inlineStr">
        <is>
          <t>https://api.worldbank.org/v2/country/AUS/indicator/SG.GEN.PARL.ZS?format=json&amp;mrv=10</t>
        </is>
      </c>
      <c r="L2952" t="inlineStr">
        <is>
          <t>World Bank WDI: Proportion of seats held by women in national parliaments (%)</t>
        </is>
      </c>
      <c r="M2952" t="inlineStr">
        <is>
          <t>2024-12-31</t>
        </is>
      </c>
      <c r="N2952" t="inlineStr">
        <is>
          <t>auto_ingest=world_bank_proxy; proxy=gender_parity_parliament; indicator=SG.GEN.PARL.ZS; year=2024; country_proxy=Australia</t>
        </is>
      </c>
    </row>
    <row r="2953">
      <c r="A2953" t="inlineStr">
        <is>
          <t>au-melbourne</t>
        </is>
      </c>
      <c r="B2953" t="inlineStr">
        <is>
          <t>Melbourne</t>
        </is>
      </c>
      <c r="C2953" t="inlineStr">
        <is>
          <t>Australia</t>
        </is>
      </c>
      <c r="D2953" t="inlineStr">
        <is>
          <t>Oceania</t>
        </is>
      </c>
      <c r="E2953" t="inlineStr">
        <is>
          <t>cultural_public_life_raw</t>
        </is>
      </c>
      <c r="F2953" t="inlineStr">
        <is>
          <t>Cultural public life raw</t>
        </is>
      </c>
      <c r="G2953" t="inlineStr">
        <is>
          <t>community</t>
        </is>
      </c>
      <c r="H2953" t="inlineStr">
        <is>
          <t>yes</t>
        </is>
      </c>
      <c r="I2953" t="inlineStr">
        <is>
          <t>67.21</t>
        </is>
      </c>
      <c r="J2953" t="inlineStr">
        <is>
          <t>world_bank</t>
        </is>
      </c>
      <c r="K2953" t="inlineStr">
        <is>
          <t>https://api.worldbank.org/v2/country/AUS/indicator/ST.INT.ARVL?format=json&amp;mrv=10</t>
        </is>
      </c>
      <c r="L2953" t="inlineStr">
        <is>
          <t>World Bank WDI: International tourism arrivals per 1 000 population</t>
        </is>
      </c>
      <c r="M2953" t="inlineStr">
        <is>
          <t>2020-12-31</t>
        </is>
      </c>
      <c r="N2953" t="inlineStr">
        <is>
          <t>auto_ingest=cultural_life_proxy; indicator=ST.INT.ARVL; norm=per_1000_pop; year=2020; country_proxy=Australia</t>
        </is>
      </c>
    </row>
    <row r="2954">
      <c r="A2954" t="inlineStr">
        <is>
          <t>au-melbourne</t>
        </is>
      </c>
      <c r="B2954" t="inlineStr">
        <is>
          <t>Melbourne</t>
        </is>
      </c>
      <c r="C2954" t="inlineStr">
        <is>
          <t>Australia</t>
        </is>
      </c>
      <c r="D2954" t="inlineStr">
        <is>
          <t>Oceania</t>
        </is>
      </c>
      <c r="E2954" t="inlineStr">
        <is>
          <t>birth_rate_optimism_raw</t>
        </is>
      </c>
      <c r="F2954" t="inlineStr">
        <is>
          <t>Birth rate and societal optimism raw</t>
        </is>
      </c>
      <c r="G2954" t="inlineStr">
        <is>
          <t>community</t>
        </is>
      </c>
      <c r="H2954" t="inlineStr">
        <is>
          <t>yes</t>
        </is>
      </c>
      <c r="I2954" t="inlineStr">
        <is>
          <t>1.58</t>
        </is>
      </c>
      <c r="J2954" t="inlineStr">
        <is>
          <t>world_bank</t>
        </is>
      </c>
      <c r="K2954" t="inlineStr">
        <is>
          <t>https://data.worldbank.org/indicator/SP.DYN.TFRT.IN</t>
        </is>
      </c>
      <c r="L2954" t="inlineStr">
        <is>
          <t>World Bank Total Fertility Rate 2023</t>
        </is>
      </c>
      <c r="M2954" t="inlineStr">
        <is>
          <t>2024-01-01</t>
        </is>
      </c>
      <c r="N2954" t="inlineStr"/>
    </row>
    <row r="2955">
      <c r="A2955" t="inlineStr">
        <is>
          <t>au-melbourne</t>
        </is>
      </c>
      <c r="B2955" t="inlineStr">
        <is>
          <t>Melbourne</t>
        </is>
      </c>
      <c r="C2955" t="inlineStr">
        <is>
          <t>Australia</t>
        </is>
      </c>
      <c r="D2955" t="inlineStr">
        <is>
          <t>Oceania</t>
        </is>
      </c>
      <c r="E2955" t="inlineStr">
        <is>
          <t>entrepreneurial_dynamism_raw</t>
        </is>
      </c>
      <c r="F2955" t="inlineStr">
        <is>
          <t>Entrepreneurial dynamism raw</t>
        </is>
      </c>
      <c r="G2955" t="inlineStr">
        <is>
          <t>creative</t>
        </is>
      </c>
      <c r="H2955" t="inlineStr">
        <is>
          <t>yes</t>
        </is>
      </c>
      <c r="I2955" t="inlineStr">
        <is>
          <t>17.26</t>
        </is>
      </c>
      <c r="J2955" t="inlineStr">
        <is>
          <t>world_bank</t>
        </is>
      </c>
      <c r="K2955" t="inlineStr">
        <is>
          <t>https://api.worldbank.org/v2/country/AUS/indicator/IC.BUS.NDNS.ZS?format=json&amp;mrv=10</t>
        </is>
      </c>
      <c r="L2955" t="inlineStr">
        <is>
          <t>World Bank WDI: New business density (new registrations per 1,000 people ages 15-64)</t>
        </is>
      </c>
      <c r="M2955" t="inlineStr">
        <is>
          <t>2022-12-31</t>
        </is>
      </c>
      <c r="N2955" t="inlineStr">
        <is>
          <t>auto_ingest=world_bank_creative_extended; indicator=IC.BUS.NDNS.ZS; year=2022; country_proxy=Australia</t>
        </is>
      </c>
    </row>
    <row r="2956">
      <c r="A2956" t="inlineStr">
        <is>
          <t>au-melbourne</t>
        </is>
      </c>
      <c r="B2956" t="inlineStr">
        <is>
          <t>Melbourne</t>
        </is>
      </c>
      <c r="C2956" t="inlineStr">
        <is>
          <t>Australia</t>
        </is>
      </c>
      <c r="D2956" t="inlineStr">
        <is>
          <t>Oceania</t>
        </is>
      </c>
      <c r="E2956" t="inlineStr">
        <is>
          <t>innovation_research_intensity_raw</t>
        </is>
      </c>
      <c r="F2956" t="inlineStr">
        <is>
          <t>Innovation and research raw</t>
        </is>
      </c>
      <c r="G2956" t="inlineStr">
        <is>
          <t>creative</t>
        </is>
      </c>
      <c r="H2956" t="inlineStr">
        <is>
          <t>yes</t>
        </is>
      </c>
      <c r="I2956" t="inlineStr">
        <is>
          <t>1.86</t>
        </is>
      </c>
      <c r="J2956" t="inlineStr">
        <is>
          <t>world_bank</t>
        </is>
      </c>
      <c r="K2956" t="inlineStr">
        <is>
          <t>https://api.worldbank.org/v2/country/AUS/indicator/GB.XPD.RSDV.GD.ZS?format=json&amp;mrv=10</t>
        </is>
      </c>
      <c r="L2956" t="inlineStr">
        <is>
          <t>World Bank WDI: Research and development expenditure (% of GDP)</t>
        </is>
      </c>
      <c r="M2956" t="inlineStr">
        <is>
          <t>2021-12-31</t>
        </is>
      </c>
      <c r="N2956" t="inlineStr">
        <is>
          <t>auto_ingest=world_bank_creative_extended; indicator=GB.XPD.RSDV.GD.ZS; year=2021; country_proxy=Australia</t>
        </is>
      </c>
    </row>
    <row r="2957">
      <c r="A2957" t="inlineStr">
        <is>
          <t>au-melbourne</t>
        </is>
      </c>
      <c r="B2957" t="inlineStr">
        <is>
          <t>Melbourne</t>
        </is>
      </c>
      <c r="C2957" t="inlineStr">
        <is>
          <t>Australia</t>
        </is>
      </c>
      <c r="D2957" t="inlineStr">
        <is>
          <t>Oceania</t>
        </is>
      </c>
      <c r="E2957" t="inlineStr">
        <is>
          <t>investment_signal_raw</t>
        </is>
      </c>
      <c r="F2957" t="inlineStr">
        <is>
          <t>Investment signal raw</t>
        </is>
      </c>
      <c r="G2957" t="inlineStr">
        <is>
          <t>creative</t>
        </is>
      </c>
      <c r="H2957" t="inlineStr">
        <is>
          <t>yes</t>
        </is>
      </c>
      <c r="I2957" t="inlineStr">
        <is>
          <t>3.04</t>
        </is>
      </c>
      <c r="J2957" t="inlineStr">
        <is>
          <t>world_bank</t>
        </is>
      </c>
      <c r="K2957" t="inlineStr">
        <is>
          <t>https://api.worldbank.org/v2/country/AUS/indicator/BX.KLT.DINV.WD.GD.ZS?format=json&amp;mrv=10</t>
        </is>
      </c>
      <c r="L2957" t="inlineStr">
        <is>
          <t>World Bank WDI: Foreign direct investment, net inflows (% of GDP)</t>
        </is>
      </c>
      <c r="M2957" t="inlineStr">
        <is>
          <t>2024-12-31</t>
        </is>
      </c>
      <c r="N2957" t="inlineStr">
        <is>
          <t>auto_ingest=world_bank_creative_extended; indicator=BX.KLT.DINV.WD.GD.ZS; year=2024; country_proxy=Australia</t>
        </is>
      </c>
    </row>
    <row r="2958">
      <c r="A2958" t="inlineStr">
        <is>
          <t>au-melbourne</t>
        </is>
      </c>
      <c r="B2958" t="inlineStr">
        <is>
          <t>Melbourne</t>
        </is>
      </c>
      <c r="C2958" t="inlineStr">
        <is>
          <t>Australia</t>
        </is>
      </c>
      <c r="D2958" t="inlineStr">
        <is>
          <t>Oceania</t>
        </is>
      </c>
      <c r="E2958" t="inlineStr">
        <is>
          <t>administrative_investment_friction_raw</t>
        </is>
      </c>
      <c r="F2958" t="inlineStr">
        <is>
          <t>Administrative investment friction raw</t>
        </is>
      </c>
      <c r="G2958" t="inlineStr">
        <is>
          <t>creative</t>
        </is>
      </c>
      <c r="H2958" t="inlineStr">
        <is>
          <t>yes</t>
        </is>
      </c>
      <c r="I2958" t="inlineStr">
        <is>
          <t>0.56</t>
        </is>
      </c>
      <c r="J2958" t="inlineStr">
        <is>
          <t>world_bank</t>
        </is>
      </c>
      <c r="K2958" t="inlineStr">
        <is>
          <t>https://api.worldbank.org/v2/country/AUS/indicator/RQ.EST?format=json&amp;mrv=10</t>
        </is>
      </c>
      <c r="L2958" t="inlineStr">
        <is>
          <t>World Bank WGI: Regulatory Quality (inverted as friction proxy)</t>
        </is>
      </c>
      <c r="M2958" t="inlineStr">
        <is>
          <t>2023-12-31</t>
        </is>
      </c>
      <c r="N2958" t="inlineStr">
        <is>
          <t>auto_ingest=world_bank_business_friction; indicator=RQ.EST; raw_rq=1.94220554828644; friction=0.56; year=2023; country_proxy=Australia</t>
        </is>
      </c>
    </row>
    <row r="2959">
      <c r="A2959" t="inlineStr">
        <is>
          <t>au-melbourne</t>
        </is>
      </c>
      <c r="B2959" t="inlineStr">
        <is>
          <t>Melbourne</t>
        </is>
      </c>
      <c r="C2959" t="inlineStr">
        <is>
          <t>Australia</t>
        </is>
      </c>
      <c r="D2959" t="inlineStr">
        <is>
          <t>Oceania</t>
        </is>
      </c>
      <c r="E2959" t="inlineStr">
        <is>
          <t>visitor_flow_context_raw</t>
        </is>
      </c>
      <c r="F2959" t="inlineStr">
        <is>
          <t>Visitor flow context raw</t>
        </is>
      </c>
      <c r="G2959" t="inlineStr">
        <is>
          <t>creative</t>
        </is>
      </c>
      <c r="H2959" t="inlineStr">
        <is>
          <t>no</t>
        </is>
      </c>
      <c r="I2959" t="inlineStr"/>
      <c r="J2959" t="inlineStr"/>
      <c r="K2959" t="inlineStr"/>
      <c r="L2959" t="inlineStr"/>
      <c r="M2959" t="inlineStr"/>
      <c r="N2959" t="inlineStr"/>
    </row>
    <row r="2960">
      <c r="A2960" t="inlineStr">
        <is>
          <t>au-brisbane</t>
        </is>
      </c>
      <c r="B2960" t="inlineStr">
        <is>
          <t>Brisbane</t>
        </is>
      </c>
      <c r="C2960" t="inlineStr">
        <is>
          <t>Australia</t>
        </is>
      </c>
      <c r="D2960" t="inlineStr">
        <is>
          <t>Oceania</t>
        </is>
      </c>
      <c r="E2960" t="inlineStr">
        <is>
          <t>gross_income</t>
        </is>
      </c>
      <c r="F2960" t="inlineStr">
        <is>
          <t>Gross income</t>
        </is>
      </c>
      <c r="G2960" t="inlineStr">
        <is>
          <t>pressure</t>
        </is>
      </c>
      <c r="H2960" t="inlineStr">
        <is>
          <t>yes</t>
        </is>
      </c>
      <c r="I2960" t="inlineStr">
        <is>
          <t>5800.0</t>
        </is>
      </c>
      <c r="J2960" t="inlineStr">
        <is>
          <t>world_bank_col_estimate</t>
        </is>
      </c>
      <c r="K2960" t="inlineStr">
        <is>
          <t>https://api.worldbank.org/v2/country/AUS/indicator/NY.GNP.PCAP.PP.CD?format=json&amp;mrv=10</t>
        </is>
      </c>
      <c r="L2960" t="inlineStr">
        <is>
          <t>World Bank WDI: GNI per capita PPP (monthly USD)</t>
        </is>
      </c>
      <c r="M2960" t="inlineStr">
        <is>
          <t>2024-12-31</t>
        </is>
      </c>
      <c r="N2960" t="inlineStr">
        <is>
          <t>auto_ingest=world_bank_col_estimate; gni_annual=69600.0; year=2024; country_proxy=Australia; cohort=Oceania</t>
        </is>
      </c>
    </row>
    <row r="2961">
      <c r="A2961" t="inlineStr">
        <is>
          <t>au-brisbane</t>
        </is>
      </c>
      <c r="B2961" t="inlineStr">
        <is>
          <t>Brisbane</t>
        </is>
      </c>
      <c r="C2961" t="inlineStr">
        <is>
          <t>Australia</t>
        </is>
      </c>
      <c r="D2961" t="inlineStr">
        <is>
          <t>Oceania</t>
        </is>
      </c>
      <c r="E2961" t="inlineStr">
        <is>
          <t>di_ppp_raw</t>
        </is>
      </c>
      <c r="F2961" t="inlineStr">
        <is>
          <t>Disposable income PPP (Raw)</t>
        </is>
      </c>
      <c r="G2961" t="inlineStr">
        <is>
          <t>pressure</t>
        </is>
      </c>
      <c r="H2961" t="inlineStr">
        <is>
          <t>yes</t>
        </is>
      </c>
      <c r="I2961" t="inlineStr"/>
      <c r="J2961" t="inlineStr"/>
      <c r="K2961" t="inlineStr"/>
      <c r="L2961" t="inlineStr"/>
      <c r="M2961" t="inlineStr"/>
      <c r="N2961" t="inlineStr"/>
    </row>
    <row r="2962">
      <c r="A2962" t="inlineStr">
        <is>
          <t>au-brisbane</t>
        </is>
      </c>
      <c r="B2962" t="inlineStr">
        <is>
          <t>Brisbane</t>
        </is>
      </c>
      <c r="C2962" t="inlineStr">
        <is>
          <t>Australia</t>
        </is>
      </c>
      <c r="D2962" t="inlineStr">
        <is>
          <t>Oceania</t>
        </is>
      </c>
      <c r="E2962" t="inlineStr">
        <is>
          <t>rent</t>
        </is>
      </c>
      <c r="F2962" t="inlineStr">
        <is>
          <t>Rent</t>
        </is>
      </c>
      <c r="G2962" t="inlineStr">
        <is>
          <t>pressure</t>
        </is>
      </c>
      <c r="H2962" t="inlineStr">
        <is>
          <t>yes</t>
        </is>
      </c>
      <c r="I2962" t="inlineStr">
        <is>
          <t>1740.0</t>
        </is>
      </c>
      <c r="J2962" t="inlineStr">
        <is>
          <t>world_bank_col_estimate</t>
        </is>
      </c>
      <c r="K2962" t="inlineStr">
        <is>
          <t>https://api.worldbank.org/v2/country/AUS/indicator/NY.GNP.PCAP.PP.CD?format=json&amp;mrv=10</t>
        </is>
      </c>
      <c r="L2962" t="inlineStr">
        <is>
          <t>World Bank GNI + regional expenditure ratio estimate</t>
        </is>
      </c>
      <c r="M2962" t="inlineStr">
        <is>
          <t>2024-12-31</t>
        </is>
      </c>
      <c r="N2962" t="inlineStr">
        <is>
          <t>auto_ingest=world_bank_col_estimate; gni_annual=69600.0; year=2024; country_proxy=Australia; cohort=Oceania</t>
        </is>
      </c>
    </row>
    <row r="2963">
      <c r="A2963" t="inlineStr">
        <is>
          <t>au-brisbane</t>
        </is>
      </c>
      <c r="B2963" t="inlineStr">
        <is>
          <t>Brisbane</t>
        </is>
      </c>
      <c r="C2963" t="inlineStr">
        <is>
          <t>Australia</t>
        </is>
      </c>
      <c r="D2963" t="inlineStr">
        <is>
          <t>Oceania</t>
        </is>
      </c>
      <c r="E2963" t="inlineStr">
        <is>
          <t>utilities</t>
        </is>
      </c>
      <c r="F2963" t="inlineStr">
        <is>
          <t>Utilities</t>
        </is>
      </c>
      <c r="G2963" t="inlineStr">
        <is>
          <t>pressure</t>
        </is>
      </c>
      <c r="H2963" t="inlineStr">
        <is>
          <t>yes</t>
        </is>
      </c>
      <c r="I2963" t="inlineStr">
        <is>
          <t>348.0</t>
        </is>
      </c>
      <c r="J2963" t="inlineStr">
        <is>
          <t>world_bank_col_estimate</t>
        </is>
      </c>
      <c r="K2963" t="inlineStr">
        <is>
          <t>https://api.worldbank.org/v2/country/AUS/indicator/NY.GNP.PCAP.PP.CD?format=json&amp;mrv=10</t>
        </is>
      </c>
      <c r="L2963" t="inlineStr">
        <is>
          <t>World Bank GNI + regional expenditure ratio estimate</t>
        </is>
      </c>
      <c r="M2963" t="inlineStr">
        <is>
          <t>2024-12-31</t>
        </is>
      </c>
      <c r="N2963" t="inlineStr">
        <is>
          <t>auto_ingest=world_bank_col_estimate; gni_annual=69600.0; year=2024; country_proxy=Australia; cohort=Oceania</t>
        </is>
      </c>
    </row>
    <row r="2964">
      <c r="A2964" t="inlineStr">
        <is>
          <t>au-brisbane</t>
        </is>
      </c>
      <c r="B2964" t="inlineStr">
        <is>
          <t>Brisbane</t>
        </is>
      </c>
      <c r="C2964" t="inlineStr">
        <is>
          <t>Australia</t>
        </is>
      </c>
      <c r="D2964" t="inlineStr">
        <is>
          <t>Oceania</t>
        </is>
      </c>
      <c r="E2964" t="inlineStr">
        <is>
          <t>transit_cost</t>
        </is>
      </c>
      <c r="F2964" t="inlineStr">
        <is>
          <t>Transit cost</t>
        </is>
      </c>
      <c r="G2964" t="inlineStr">
        <is>
          <t>pressure</t>
        </is>
      </c>
      <c r="H2964" t="inlineStr">
        <is>
          <t>yes</t>
        </is>
      </c>
      <c r="I2964" t="inlineStr">
        <is>
          <t>232.0</t>
        </is>
      </c>
      <c r="J2964" t="inlineStr">
        <is>
          <t>world_bank_col_estimate</t>
        </is>
      </c>
      <c r="K2964" t="inlineStr">
        <is>
          <t>https://api.worldbank.org/v2/country/AUS/indicator/NY.GNP.PCAP.PP.CD?format=json&amp;mrv=10</t>
        </is>
      </c>
      <c r="L2964" t="inlineStr">
        <is>
          <t>World Bank GNI + regional expenditure ratio estimate</t>
        </is>
      </c>
      <c r="M2964" t="inlineStr">
        <is>
          <t>2024-12-31</t>
        </is>
      </c>
      <c r="N2964" t="inlineStr">
        <is>
          <t>auto_ingest=world_bank_col_estimate; gni_annual=69600.0; year=2024; country_proxy=Australia; cohort=Oceania</t>
        </is>
      </c>
    </row>
    <row r="2965">
      <c r="A2965" t="inlineStr">
        <is>
          <t>au-brisbane</t>
        </is>
      </c>
      <c r="B2965" t="inlineStr">
        <is>
          <t>Brisbane</t>
        </is>
      </c>
      <c r="C2965" t="inlineStr">
        <is>
          <t>Australia</t>
        </is>
      </c>
      <c r="D2965" t="inlineStr">
        <is>
          <t>Oceania</t>
        </is>
      </c>
      <c r="E2965" t="inlineStr">
        <is>
          <t>internet_cost</t>
        </is>
      </c>
      <c r="F2965" t="inlineStr">
        <is>
          <t>Internet cost</t>
        </is>
      </c>
      <c r="G2965" t="inlineStr">
        <is>
          <t>pressure</t>
        </is>
      </c>
      <c r="H2965" t="inlineStr">
        <is>
          <t>yes</t>
        </is>
      </c>
      <c r="I2965" t="inlineStr">
        <is>
          <t>87.0</t>
        </is>
      </c>
      <c r="J2965" t="inlineStr">
        <is>
          <t>world_bank_col_estimate</t>
        </is>
      </c>
      <c r="K2965" t="inlineStr">
        <is>
          <t>https://api.worldbank.org/v2/country/AUS/indicator/NY.GNP.PCAP.PP.CD?format=json&amp;mrv=10</t>
        </is>
      </c>
      <c r="L2965" t="inlineStr">
        <is>
          <t>World Bank GNI + regional expenditure ratio estimate</t>
        </is>
      </c>
      <c r="M2965" t="inlineStr">
        <is>
          <t>2024-12-31</t>
        </is>
      </c>
      <c r="N2965" t="inlineStr">
        <is>
          <t>auto_ingest=world_bank_col_estimate; gni_annual=69600.0; year=2024; country_proxy=Australia; cohort=Oceania</t>
        </is>
      </c>
    </row>
    <row r="2966">
      <c r="A2966" t="inlineStr">
        <is>
          <t>au-brisbane</t>
        </is>
      </c>
      <c r="B2966" t="inlineStr">
        <is>
          <t>Brisbane</t>
        </is>
      </c>
      <c r="C2966" t="inlineStr">
        <is>
          <t>Australia</t>
        </is>
      </c>
      <c r="D2966" t="inlineStr">
        <is>
          <t>Oceania</t>
        </is>
      </c>
      <c r="E2966" t="inlineStr">
        <is>
          <t>food_cost</t>
        </is>
      </c>
      <c r="F2966" t="inlineStr">
        <is>
          <t>Food cost</t>
        </is>
      </c>
      <c r="G2966" t="inlineStr">
        <is>
          <t>pressure</t>
        </is>
      </c>
      <c r="H2966" t="inlineStr">
        <is>
          <t>yes</t>
        </is>
      </c>
      <c r="I2966" t="inlineStr">
        <is>
          <t>870.0</t>
        </is>
      </c>
      <c r="J2966" t="inlineStr">
        <is>
          <t>world_bank_col_estimate</t>
        </is>
      </c>
      <c r="K2966" t="inlineStr">
        <is>
          <t>https://api.worldbank.org/v2/country/AUS/indicator/NY.GNP.PCAP.PP.CD?format=json&amp;mrv=10</t>
        </is>
      </c>
      <c r="L2966" t="inlineStr">
        <is>
          <t>World Bank GNI + regional expenditure ratio estimate</t>
        </is>
      </c>
      <c r="M2966" t="inlineStr">
        <is>
          <t>2024-12-31</t>
        </is>
      </c>
      <c r="N2966" t="inlineStr">
        <is>
          <t>auto_ingest=world_bank_col_estimate; gni_annual=69600.0; year=2024; country_proxy=Australia; cohort=Oceania</t>
        </is>
      </c>
    </row>
    <row r="2967">
      <c r="A2967" t="inlineStr">
        <is>
          <t>au-brisbane</t>
        </is>
      </c>
      <c r="B2967" t="inlineStr">
        <is>
          <t>Brisbane</t>
        </is>
      </c>
      <c r="C2967" t="inlineStr">
        <is>
          <t>Australia</t>
        </is>
      </c>
      <c r="D2967" t="inlineStr">
        <is>
          <t>Oceania</t>
        </is>
      </c>
      <c r="E2967" t="inlineStr">
        <is>
          <t>housing_burden_raw</t>
        </is>
      </c>
      <c r="F2967" t="inlineStr">
        <is>
          <t>Housing burden raw</t>
        </is>
      </c>
      <c r="G2967" t="inlineStr">
        <is>
          <t>pressure</t>
        </is>
      </c>
      <c r="H2967" t="inlineStr">
        <is>
          <t>yes</t>
        </is>
      </c>
      <c r="I2967" t="inlineStr">
        <is>
          <t>30.0</t>
        </is>
      </c>
      <c r="J2967" t="inlineStr">
        <is>
          <t>derived</t>
        </is>
      </c>
      <c r="K2967" t="inlineStr">
        <is>
          <t>https://data.worldbank.org/indicator/NY.GNP.PCAP.PP.CD</t>
        </is>
      </c>
      <c r="L2967" t="inlineStr">
        <is>
          <t>Computed from city_inputs + country_context</t>
        </is>
      </c>
      <c r="M2967" t="inlineStr">
        <is>
          <t>2024-01-01</t>
        </is>
      </c>
      <c r="N2967" t="inlineStr">
        <is>
          <t>derived=rent/gross_income*100</t>
        </is>
      </c>
    </row>
    <row r="2968">
      <c r="A2968" t="inlineStr">
        <is>
          <t>au-brisbane</t>
        </is>
      </c>
      <c r="B2968" t="inlineStr">
        <is>
          <t>Brisbane</t>
        </is>
      </c>
      <c r="C2968" t="inlineStr">
        <is>
          <t>Australia</t>
        </is>
      </c>
      <c r="D2968" t="inlineStr">
        <is>
          <t>Oceania</t>
        </is>
      </c>
      <c r="E2968" t="inlineStr">
        <is>
          <t>household_debt_burden_raw</t>
        </is>
      </c>
      <c r="F2968" t="inlineStr">
        <is>
          <t>Household debt burden raw</t>
        </is>
      </c>
      <c r="G2968" t="inlineStr">
        <is>
          <t>pressure</t>
        </is>
      </c>
      <c r="H2968" t="inlineStr">
        <is>
          <t>yes</t>
        </is>
      </c>
      <c r="I2968" t="inlineStr">
        <is>
          <t>129.3173</t>
        </is>
      </c>
      <c r="J2968" t="inlineStr">
        <is>
          <t>derived</t>
        </is>
      </c>
      <c r="K2968" t="inlineStr">
        <is>
          <t>https://data.worldbank.org/indicator/NY.GNP.PCAP.PP.CD</t>
        </is>
      </c>
      <c r="L2968" t="inlineStr">
        <is>
          <t>Computed from city_inputs + country_context</t>
        </is>
      </c>
      <c r="M2968" t="inlineStr">
        <is>
          <t>2024-01-01</t>
        </is>
      </c>
      <c r="N2968" t="inlineStr">
        <is>
          <t>derived=country_context.household_debt_proxy; country=Australia</t>
        </is>
      </c>
    </row>
    <row r="2969">
      <c r="A2969" t="inlineStr">
        <is>
          <t>au-brisbane</t>
        </is>
      </c>
      <c r="B2969" t="inlineStr">
        <is>
          <t>Brisbane</t>
        </is>
      </c>
      <c r="C2969" t="inlineStr">
        <is>
          <t>Australia</t>
        </is>
      </c>
      <c r="D2969" t="inlineStr">
        <is>
          <t>Oceania</t>
        </is>
      </c>
      <c r="E2969" t="inlineStr">
        <is>
          <t>working_time_pressure_raw</t>
        </is>
      </c>
      <c r="F2969" t="inlineStr">
        <is>
          <t>Working time pressure raw</t>
        </is>
      </c>
      <c r="G2969" t="inlineStr">
        <is>
          <t>pressure</t>
        </is>
      </c>
      <c r="H2969" t="inlineStr">
        <is>
          <t>yes</t>
        </is>
      </c>
      <c r="I2969" t="inlineStr">
        <is>
          <t>32.29</t>
        </is>
      </c>
      <c r="J2969" t="inlineStr">
        <is>
          <t>ilo_ilostat</t>
        </is>
      </c>
      <c r="K2969" t="inlineStr">
        <is>
          <t>https://ilostat.ilo.org/data/indicator/?id=HOW_TEMP_SEX_ECO_NB_A&amp;ref_area=AUS</t>
        </is>
      </c>
      <c r="L2969" t="inlineStr">
        <is>
          <t>ILO ILOSTAT: Mean weekly hours actually worked per employed person</t>
        </is>
      </c>
      <c r="M2969" t="inlineStr">
        <is>
          <t>2020-12-31</t>
        </is>
      </c>
      <c r="N2969" t="inlineStr">
        <is>
          <t>auto_ingest=ilo_working_hours; indicator=HOW_TEMP_SEX_ECO_NB_A; year=2020; hours=32.29; country_proxy=Australia</t>
        </is>
      </c>
    </row>
    <row r="2970">
      <c r="A2970" t="inlineStr">
        <is>
          <t>au-brisbane</t>
        </is>
      </c>
      <c r="B2970" t="inlineStr">
        <is>
          <t>Brisbane</t>
        </is>
      </c>
      <c r="C2970" t="inlineStr">
        <is>
          <t>Australia</t>
        </is>
      </c>
      <c r="D2970" t="inlineStr">
        <is>
          <t>Oceania</t>
        </is>
      </c>
      <c r="E2970" t="inlineStr">
        <is>
          <t>suicide_mental_strain_raw</t>
        </is>
      </c>
      <c r="F2970" t="inlineStr">
        <is>
          <t>Suicide or mental strain raw</t>
        </is>
      </c>
      <c r="G2970" t="inlineStr">
        <is>
          <t>pressure</t>
        </is>
      </c>
      <c r="H2970" t="inlineStr">
        <is>
          <t>yes</t>
        </is>
      </c>
      <c r="I2970" t="inlineStr">
        <is>
          <t>13.08</t>
        </is>
      </c>
      <c r="J2970" t="inlineStr">
        <is>
          <t>who_gho</t>
        </is>
      </c>
      <c r="K2970" t="inlineStr">
        <is>
          <t>https://www.who.int/data/gho/data/indicators/indicator-details/GHO/SDGSUICIDE</t>
        </is>
      </c>
      <c r="L2970" t="inlineStr">
        <is>
          <t>WHO GHO: Age-standardized suicide rate (per 100,000 population)</t>
        </is>
      </c>
      <c r="M2970" t="inlineStr">
        <is>
          <t>2021-12-31</t>
        </is>
      </c>
      <c r="N2970" t="inlineStr">
        <is>
          <t>auto_ingest=who_gho; indicator=SDGSUICIDE; year=2021; country_proxy=Australia</t>
        </is>
      </c>
    </row>
    <row r="2971">
      <c r="A2971" t="inlineStr">
        <is>
          <t>au-brisbane</t>
        </is>
      </c>
      <c r="B2971" t="inlineStr">
        <is>
          <t>Brisbane</t>
        </is>
      </c>
      <c r="C2971" t="inlineStr">
        <is>
          <t>Australia</t>
        </is>
      </c>
      <c r="D2971" t="inlineStr">
        <is>
          <t>Oceania</t>
        </is>
      </c>
      <c r="E2971" t="inlineStr">
        <is>
          <t>personal_safety_raw</t>
        </is>
      </c>
      <c r="F2971" t="inlineStr">
        <is>
          <t>Personal safety raw</t>
        </is>
      </c>
      <c r="G2971" t="inlineStr">
        <is>
          <t>viability</t>
        </is>
      </c>
      <c r="H2971" t="inlineStr">
        <is>
          <t>yes</t>
        </is>
      </c>
      <c r="I2971" t="inlineStr">
        <is>
          <t>0.85</t>
        </is>
      </c>
      <c r="J2971" t="inlineStr">
        <is>
          <t>world_bank</t>
        </is>
      </c>
      <c r="K2971" t="inlineStr">
        <is>
          <t>https://api.worldbank.org/v2/country/AUS/indicator/VC.IHR.PSRC.P5?format=json&amp;mrv=10</t>
        </is>
      </c>
      <c r="L2971" t="inlineStr">
        <is>
          <t>UNODC via World Bank WDI: Intentional homicides (per 100,000 people)</t>
        </is>
      </c>
      <c r="M2971" t="inlineStr">
        <is>
          <t>2023-12-31</t>
        </is>
      </c>
      <c r="N2971" t="inlineStr">
        <is>
          <t>auto_ingest=unodc_safety; indicator=VC.IHR.PSRC.P5; year=2023; country_proxy=Australia</t>
        </is>
      </c>
    </row>
    <row r="2972">
      <c r="A2972" t="inlineStr">
        <is>
          <t>au-brisbane</t>
        </is>
      </c>
      <c r="B2972" t="inlineStr">
        <is>
          <t>Brisbane</t>
        </is>
      </c>
      <c r="C2972" t="inlineStr">
        <is>
          <t>Australia</t>
        </is>
      </c>
      <c r="D2972" t="inlineStr">
        <is>
          <t>Oceania</t>
        </is>
      </c>
      <c r="E2972" t="inlineStr">
        <is>
          <t>transit_access_commute_raw</t>
        </is>
      </c>
      <c r="F2972" t="inlineStr">
        <is>
          <t>Transit access and commute raw</t>
        </is>
      </c>
      <c r="G2972" t="inlineStr">
        <is>
          <t>viability</t>
        </is>
      </c>
      <c r="H2972" t="inlineStr">
        <is>
          <t>yes</t>
        </is>
      </c>
      <c r="I2972" t="inlineStr"/>
      <c r="J2972" t="inlineStr"/>
      <c r="K2972" t="inlineStr"/>
      <c r="L2972" t="inlineStr"/>
      <c r="M2972" t="inlineStr"/>
      <c r="N2972" t="inlineStr"/>
    </row>
    <row r="2973">
      <c r="A2973" t="inlineStr">
        <is>
          <t>au-brisbane</t>
        </is>
      </c>
      <c r="B2973" t="inlineStr">
        <is>
          <t>Brisbane</t>
        </is>
      </c>
      <c r="C2973" t="inlineStr">
        <is>
          <t>Australia</t>
        </is>
      </c>
      <c r="D2973" t="inlineStr">
        <is>
          <t>Oceania</t>
        </is>
      </c>
      <c r="E2973" t="inlineStr">
        <is>
          <t>clean_air_raw</t>
        </is>
      </c>
      <c r="F2973" t="inlineStr">
        <is>
          <t>Clean air raw</t>
        </is>
      </c>
      <c r="G2973" t="inlineStr">
        <is>
          <t>viability</t>
        </is>
      </c>
      <c r="H2973" t="inlineStr">
        <is>
          <t>yes</t>
        </is>
      </c>
      <c r="I2973" t="inlineStr"/>
      <c r="J2973" t="inlineStr"/>
      <c r="K2973" t="inlineStr"/>
      <c r="L2973" t="inlineStr"/>
      <c r="M2973" t="inlineStr"/>
      <c r="N2973" t="inlineStr"/>
    </row>
    <row r="2974">
      <c r="A2974" t="inlineStr">
        <is>
          <t>au-brisbane</t>
        </is>
      </c>
      <c r="B2974" t="inlineStr">
        <is>
          <t>Brisbane</t>
        </is>
      </c>
      <c r="C2974" t="inlineStr">
        <is>
          <t>Australia</t>
        </is>
      </c>
      <c r="D2974" t="inlineStr">
        <is>
          <t>Oceania</t>
        </is>
      </c>
      <c r="E2974" t="inlineStr">
        <is>
          <t>water_sanitation_utility_raw</t>
        </is>
      </c>
      <c r="F2974" t="inlineStr">
        <is>
          <t>Water, sanitation, and utility raw</t>
        </is>
      </c>
      <c r="G2974" t="inlineStr">
        <is>
          <t>viability</t>
        </is>
      </c>
      <c r="H2974" t="inlineStr">
        <is>
          <t>yes</t>
        </is>
      </c>
      <c r="I2974" t="inlineStr"/>
      <c r="J2974" t="inlineStr"/>
      <c r="K2974" t="inlineStr"/>
      <c r="L2974" t="inlineStr"/>
      <c r="M2974" t="inlineStr"/>
      <c r="N2974" t="inlineStr"/>
    </row>
    <row r="2975">
      <c r="A2975" t="inlineStr">
        <is>
          <t>au-brisbane</t>
        </is>
      </c>
      <c r="B2975" t="inlineStr">
        <is>
          <t>Brisbane</t>
        </is>
      </c>
      <c r="C2975" t="inlineStr">
        <is>
          <t>Australia</t>
        </is>
      </c>
      <c r="D2975" t="inlineStr">
        <is>
          <t>Oceania</t>
        </is>
      </c>
      <c r="E2975" t="inlineStr">
        <is>
          <t>digital_infrastructure_raw</t>
        </is>
      </c>
      <c r="F2975" t="inlineStr">
        <is>
          <t>Digital infrastructure raw</t>
        </is>
      </c>
      <c r="G2975" t="inlineStr">
        <is>
          <t>viability</t>
        </is>
      </c>
      <c r="H2975" t="inlineStr">
        <is>
          <t>yes</t>
        </is>
      </c>
      <c r="I2975" t="inlineStr">
        <is>
          <t>36.6</t>
        </is>
      </c>
      <c r="J2975" t="inlineStr">
        <is>
          <t>world_bank</t>
        </is>
      </c>
      <c r="K2975" t="inlineStr">
        <is>
          <t>https://api.worldbank.org/v2/country/AUS/indicator/IT.NET.BBND.P2?format=json&amp;mrv=10</t>
        </is>
      </c>
      <c r="L2975" t="inlineStr">
        <is>
          <t>World Bank WDI: Fixed broadband subscriptions (per 100 people)</t>
        </is>
      </c>
      <c r="M2975" t="inlineStr">
        <is>
          <t>2023-12-31</t>
        </is>
      </c>
      <c r="N2975" t="inlineStr">
        <is>
          <t>auto_ingest=world_bank_proxy; indicator=IT.NET.BBND.P2; year=2023; country_proxy=Australia</t>
        </is>
      </c>
    </row>
    <row r="2976">
      <c r="A2976" t="inlineStr">
        <is>
          <t>au-brisbane</t>
        </is>
      </c>
      <c r="B2976" t="inlineStr">
        <is>
          <t>Brisbane</t>
        </is>
      </c>
      <c r="C2976" t="inlineStr">
        <is>
          <t>Australia</t>
        </is>
      </c>
      <c r="D2976" t="inlineStr">
        <is>
          <t>Oceania</t>
        </is>
      </c>
      <c r="E2976" t="inlineStr">
        <is>
          <t>climate_sunlight_livability_raw</t>
        </is>
      </c>
      <c r="F2976" t="inlineStr">
        <is>
          <t>Climate and sunlight livability raw</t>
        </is>
      </c>
      <c r="G2976" t="inlineStr">
        <is>
          <t>viability</t>
        </is>
      </c>
      <c r="H2976" t="inlineStr">
        <is>
          <t>yes</t>
        </is>
      </c>
      <c r="I2976" t="inlineStr">
        <is>
          <t>72</t>
        </is>
      </c>
      <c r="J2976" t="inlineStr">
        <is>
          <t>wmo_natl_met</t>
        </is>
      </c>
      <c r="K2976" t="inlineStr">
        <is>
          <t>https://worldweather.wmo.int</t>
        </is>
      </c>
      <c r="L2976" t="inlineStr">
        <is>
          <t>WMO/National Met: Climate livability composite</t>
        </is>
      </c>
      <c r="M2976" t="inlineStr">
        <is>
          <t>2024-12-31</t>
        </is>
      </c>
      <c r="N2976" t="inlineStr">
        <is>
          <t>auto_seed=climate_composite; 2900 sun hrs, 21C mean, subtropical</t>
        </is>
      </c>
    </row>
    <row r="2977">
      <c r="A2977" t="inlineStr">
        <is>
          <t>au-brisbane</t>
        </is>
      </c>
      <c r="B2977" t="inlineStr">
        <is>
          <t>Brisbane</t>
        </is>
      </c>
      <c r="C2977" t="inlineStr">
        <is>
          <t>Australia</t>
        </is>
      </c>
      <c r="D2977" t="inlineStr">
        <is>
          <t>Oceania</t>
        </is>
      </c>
      <c r="E2977" t="inlineStr">
        <is>
          <t>healthcare_quality_raw</t>
        </is>
      </c>
      <c r="F2977" t="inlineStr">
        <is>
          <t>Healthcare quality raw</t>
        </is>
      </c>
      <c r="G2977" t="inlineStr">
        <is>
          <t>capability</t>
        </is>
      </c>
      <c r="H2977" t="inlineStr">
        <is>
          <t>yes</t>
        </is>
      </c>
      <c r="I2977" t="inlineStr">
        <is>
          <t>89.0</t>
        </is>
      </c>
      <c r="J2977" t="inlineStr">
        <is>
          <t>who_gho</t>
        </is>
      </c>
      <c r="K2977" t="inlineStr">
        <is>
          <t>https://www.who.int/data/gho/data/indicators/indicator-details/GHO/UHC_INDEX_REPORTED</t>
        </is>
      </c>
      <c r="L2977" t="inlineStr">
        <is>
          <t>WHO GHO: UHC Service Coverage Index</t>
        </is>
      </c>
      <c r="M2977" t="inlineStr">
        <is>
          <t>2023-12-31</t>
        </is>
      </c>
      <c r="N2977" t="inlineStr">
        <is>
          <t>auto_ingest=who_gho; indicator=UHC_INDEX_REPORTED; year=2023; country_proxy=Australia</t>
        </is>
      </c>
    </row>
    <row r="2978">
      <c r="A2978" t="inlineStr">
        <is>
          <t>au-brisbane</t>
        </is>
      </c>
      <c r="B2978" t="inlineStr">
        <is>
          <t>Brisbane</t>
        </is>
      </c>
      <c r="C2978" t="inlineStr">
        <is>
          <t>Australia</t>
        </is>
      </c>
      <c r="D2978" t="inlineStr">
        <is>
          <t>Oceania</t>
        </is>
      </c>
      <c r="E2978" t="inlineStr">
        <is>
          <t>education_quality_raw</t>
        </is>
      </c>
      <c r="F2978" t="inlineStr">
        <is>
          <t>Education quality raw</t>
        </is>
      </c>
      <c r="G2978" t="inlineStr">
        <is>
          <t>capability</t>
        </is>
      </c>
      <c r="H2978" t="inlineStr">
        <is>
          <t>yes</t>
        </is>
      </c>
      <c r="I2978" t="inlineStr">
        <is>
          <t>104.65</t>
        </is>
      </c>
      <c r="J2978" t="inlineStr">
        <is>
          <t>world_bank</t>
        </is>
      </c>
      <c r="K2978" t="inlineStr">
        <is>
          <t>https://api.worldbank.org/v2/country/AUS/indicator/SE.TER.ENRR?format=json&amp;mrv=10</t>
        </is>
      </c>
      <c r="L2978" t="inlineStr">
        <is>
          <t>World Bank WDI: School enrollment, tertiary (% gross)</t>
        </is>
      </c>
      <c r="M2978" t="inlineStr">
        <is>
          <t>2023-12-31</t>
        </is>
      </c>
      <c r="N2978" t="inlineStr">
        <is>
          <t>auto_ingest=world_bank_proxy; indicator=SE.TER.ENRR; year=2023; country_proxy=Australia</t>
        </is>
      </c>
    </row>
    <row r="2979">
      <c r="A2979" t="inlineStr">
        <is>
          <t>au-brisbane</t>
        </is>
      </c>
      <c r="B2979" t="inlineStr">
        <is>
          <t>Brisbane</t>
        </is>
      </c>
      <c r="C2979" t="inlineStr">
        <is>
          <t>Australia</t>
        </is>
      </c>
      <c r="D2979" t="inlineStr">
        <is>
          <t>Oceania</t>
        </is>
      </c>
      <c r="E2979" t="inlineStr">
        <is>
          <t>equal_opportunity_raw</t>
        </is>
      </c>
      <c r="F2979" t="inlineStr">
        <is>
          <t>Equal opportunity raw</t>
        </is>
      </c>
      <c r="G2979" t="inlineStr">
        <is>
          <t>capability</t>
        </is>
      </c>
      <c r="H2979" t="inlineStr">
        <is>
          <t>yes</t>
        </is>
      </c>
      <c r="I2979" t="inlineStr">
        <is>
          <t>33.8</t>
        </is>
      </c>
      <c r="J2979" t="inlineStr">
        <is>
          <t>world_bank</t>
        </is>
      </c>
      <c r="K2979" t="inlineStr">
        <is>
          <t>https://api.worldbank.org/v2/country/AUS/indicator/SI.POV.GINI?format=json&amp;mrv=10</t>
        </is>
      </c>
      <c r="L2979" t="inlineStr">
        <is>
          <t>World Bank WDI: Gini index</t>
        </is>
      </c>
      <c r="M2979" t="inlineStr">
        <is>
          <t>2020-12-31</t>
        </is>
      </c>
      <c r="N2979" t="inlineStr">
        <is>
          <t>auto_ingest=world_bank_capability; indicator=SI.POV.GINI; year=2020; country_proxy=Australia</t>
        </is>
      </c>
    </row>
    <row r="2980">
      <c r="A2980" t="inlineStr">
        <is>
          <t>au-brisbane</t>
        </is>
      </c>
      <c r="B2980" t="inlineStr">
        <is>
          <t>Brisbane</t>
        </is>
      </c>
      <c r="C2980" t="inlineStr">
        <is>
          <t>Australia</t>
        </is>
      </c>
      <c r="D2980" t="inlineStr">
        <is>
          <t>Oceania</t>
        </is>
      </c>
      <c r="E2980" t="inlineStr">
        <is>
          <t>hospitality_belonging_raw</t>
        </is>
      </c>
      <c r="F2980" t="inlineStr">
        <is>
          <t>Hospitality and belonging raw</t>
        </is>
      </c>
      <c r="G2980" t="inlineStr">
        <is>
          <t>community</t>
        </is>
      </c>
      <c r="H2980" t="inlineStr">
        <is>
          <t>yes</t>
        </is>
      </c>
      <c r="I2980" t="inlineStr">
        <is>
          <t>55.04</t>
        </is>
      </c>
      <c r="J2980" t="inlineStr">
        <is>
          <t>world_bank</t>
        </is>
      </c>
      <c r="K2980" t="inlineStr">
        <is>
          <t>https://api.worldbank.org/v2/country/AUS/indicator/SM.POP.NETM?format=json&amp;mrv=10</t>
        </is>
      </c>
      <c r="L2980" t="inlineStr">
        <is>
          <t>World Bank WDI: Net migration (proxy for hospitality/belonging — positive = welcoming)</t>
        </is>
      </c>
      <c r="M2980" t="inlineStr">
        <is>
          <t>2025-12-31</t>
        </is>
      </c>
      <c r="N2980" t="inlineStr">
        <is>
          <t>auto_ingest=world_bank_proxy; proxy=net_migration_hospitality; indicator=SM.POP.NETM; year=2025; country_proxy=Australia</t>
        </is>
      </c>
    </row>
    <row r="2981">
      <c r="A2981" t="inlineStr">
        <is>
          <t>au-brisbane</t>
        </is>
      </c>
      <c r="B2981" t="inlineStr">
        <is>
          <t>Brisbane</t>
        </is>
      </c>
      <c r="C2981" t="inlineStr">
        <is>
          <t>Australia</t>
        </is>
      </c>
      <c r="D2981" t="inlineStr">
        <is>
          <t>Oceania</t>
        </is>
      </c>
      <c r="E2981" t="inlineStr">
        <is>
          <t>tolerance_pluralism_raw</t>
        </is>
      </c>
      <c r="F2981" t="inlineStr">
        <is>
          <t>Tolerance and pluralism raw</t>
        </is>
      </c>
      <c r="G2981" t="inlineStr">
        <is>
          <t>community</t>
        </is>
      </c>
      <c r="H2981" t="inlineStr">
        <is>
          <t>yes</t>
        </is>
      </c>
      <c r="I2981" t="inlineStr">
        <is>
          <t>38.0</t>
        </is>
      </c>
      <c r="J2981" t="inlineStr">
        <is>
          <t>world_bank</t>
        </is>
      </c>
      <c r="K2981" t="inlineStr">
        <is>
          <t>https://api.worldbank.org/v2/country/AUS/indicator/SG.GEN.PARL.ZS?format=json&amp;mrv=10</t>
        </is>
      </c>
      <c r="L2981" t="inlineStr">
        <is>
          <t>World Bank WDI: Proportion of seats held by women in national parliaments (%)</t>
        </is>
      </c>
      <c r="M2981" t="inlineStr">
        <is>
          <t>2024-12-31</t>
        </is>
      </c>
      <c r="N2981" t="inlineStr">
        <is>
          <t>auto_ingest=world_bank_proxy; proxy=gender_parity_parliament; indicator=SG.GEN.PARL.ZS; year=2024; country_proxy=Australia</t>
        </is>
      </c>
    </row>
    <row r="2982">
      <c r="A2982" t="inlineStr">
        <is>
          <t>au-brisbane</t>
        </is>
      </c>
      <c r="B2982" t="inlineStr">
        <is>
          <t>Brisbane</t>
        </is>
      </c>
      <c r="C2982" t="inlineStr">
        <is>
          <t>Australia</t>
        </is>
      </c>
      <c r="D2982" t="inlineStr">
        <is>
          <t>Oceania</t>
        </is>
      </c>
      <c r="E2982" t="inlineStr">
        <is>
          <t>cultural_public_life_raw</t>
        </is>
      </c>
      <c r="F2982" t="inlineStr">
        <is>
          <t>Cultural public life raw</t>
        </is>
      </c>
      <c r="G2982" t="inlineStr">
        <is>
          <t>community</t>
        </is>
      </c>
      <c r="H2982" t="inlineStr">
        <is>
          <t>yes</t>
        </is>
      </c>
      <c r="I2982" t="inlineStr">
        <is>
          <t>67.21</t>
        </is>
      </c>
      <c r="J2982" t="inlineStr">
        <is>
          <t>world_bank</t>
        </is>
      </c>
      <c r="K2982" t="inlineStr">
        <is>
          <t>https://api.worldbank.org/v2/country/AUS/indicator/ST.INT.ARVL?format=json&amp;mrv=10</t>
        </is>
      </c>
      <c r="L2982" t="inlineStr">
        <is>
          <t>World Bank WDI: International tourism arrivals per 1 000 population</t>
        </is>
      </c>
      <c r="M2982" t="inlineStr">
        <is>
          <t>2020-12-31</t>
        </is>
      </c>
      <c r="N2982" t="inlineStr">
        <is>
          <t>auto_ingest=cultural_life_proxy; indicator=ST.INT.ARVL; norm=per_1000_pop; year=2020; country_proxy=Australia</t>
        </is>
      </c>
    </row>
    <row r="2983">
      <c r="A2983" t="inlineStr">
        <is>
          <t>au-brisbane</t>
        </is>
      </c>
      <c r="B2983" t="inlineStr">
        <is>
          <t>Brisbane</t>
        </is>
      </c>
      <c r="C2983" t="inlineStr">
        <is>
          <t>Australia</t>
        </is>
      </c>
      <c r="D2983" t="inlineStr">
        <is>
          <t>Oceania</t>
        </is>
      </c>
      <c r="E2983" t="inlineStr">
        <is>
          <t>birth_rate_optimism_raw</t>
        </is>
      </c>
      <c r="F2983" t="inlineStr">
        <is>
          <t>Birth rate and societal optimism raw</t>
        </is>
      </c>
      <c r="G2983" t="inlineStr">
        <is>
          <t>community</t>
        </is>
      </c>
      <c r="H2983" t="inlineStr">
        <is>
          <t>yes</t>
        </is>
      </c>
      <c r="I2983" t="inlineStr">
        <is>
          <t>1.58</t>
        </is>
      </c>
      <c r="J2983" t="inlineStr">
        <is>
          <t>world_bank</t>
        </is>
      </c>
      <c r="K2983" t="inlineStr">
        <is>
          <t>https://data.worldbank.org/indicator/SP.DYN.TFRT.IN</t>
        </is>
      </c>
      <c r="L2983" t="inlineStr">
        <is>
          <t>World Bank Total Fertility Rate 2023</t>
        </is>
      </c>
      <c r="M2983" t="inlineStr">
        <is>
          <t>2024-01-01</t>
        </is>
      </c>
      <c r="N2983" t="inlineStr"/>
    </row>
    <row r="2984">
      <c r="A2984" t="inlineStr">
        <is>
          <t>au-brisbane</t>
        </is>
      </c>
      <c r="B2984" t="inlineStr">
        <is>
          <t>Brisbane</t>
        </is>
      </c>
      <c r="C2984" t="inlineStr">
        <is>
          <t>Australia</t>
        </is>
      </c>
      <c r="D2984" t="inlineStr">
        <is>
          <t>Oceania</t>
        </is>
      </c>
      <c r="E2984" t="inlineStr">
        <is>
          <t>entrepreneurial_dynamism_raw</t>
        </is>
      </c>
      <c r="F2984" t="inlineStr">
        <is>
          <t>Entrepreneurial dynamism raw</t>
        </is>
      </c>
      <c r="G2984" t="inlineStr">
        <is>
          <t>creative</t>
        </is>
      </c>
      <c r="H2984" t="inlineStr">
        <is>
          <t>yes</t>
        </is>
      </c>
      <c r="I2984" t="inlineStr">
        <is>
          <t>17.26</t>
        </is>
      </c>
      <c r="J2984" t="inlineStr">
        <is>
          <t>world_bank</t>
        </is>
      </c>
      <c r="K2984" t="inlineStr">
        <is>
          <t>https://api.worldbank.org/v2/country/AUS/indicator/IC.BUS.NDNS.ZS?format=json&amp;mrv=10</t>
        </is>
      </c>
      <c r="L2984" t="inlineStr">
        <is>
          <t>World Bank WDI: New business density (new registrations per 1,000 people ages 15-64)</t>
        </is>
      </c>
      <c r="M2984" t="inlineStr">
        <is>
          <t>2022-12-31</t>
        </is>
      </c>
      <c r="N2984" t="inlineStr">
        <is>
          <t>auto_ingest=world_bank_creative_extended; indicator=IC.BUS.NDNS.ZS; year=2022; country_proxy=Australia</t>
        </is>
      </c>
    </row>
    <row r="2985">
      <c r="A2985" t="inlineStr">
        <is>
          <t>au-brisbane</t>
        </is>
      </c>
      <c r="B2985" t="inlineStr">
        <is>
          <t>Brisbane</t>
        </is>
      </c>
      <c r="C2985" t="inlineStr">
        <is>
          <t>Australia</t>
        </is>
      </c>
      <c r="D2985" t="inlineStr">
        <is>
          <t>Oceania</t>
        </is>
      </c>
      <c r="E2985" t="inlineStr">
        <is>
          <t>innovation_research_intensity_raw</t>
        </is>
      </c>
      <c r="F2985" t="inlineStr">
        <is>
          <t>Innovation and research raw</t>
        </is>
      </c>
      <c r="G2985" t="inlineStr">
        <is>
          <t>creative</t>
        </is>
      </c>
      <c r="H2985" t="inlineStr">
        <is>
          <t>yes</t>
        </is>
      </c>
      <c r="I2985" t="inlineStr">
        <is>
          <t>1.86</t>
        </is>
      </c>
      <c r="J2985" t="inlineStr">
        <is>
          <t>world_bank</t>
        </is>
      </c>
      <c r="K2985" t="inlineStr">
        <is>
          <t>https://api.worldbank.org/v2/country/AUS/indicator/GB.XPD.RSDV.GD.ZS?format=json&amp;mrv=10</t>
        </is>
      </c>
      <c r="L2985" t="inlineStr">
        <is>
          <t>World Bank WDI: Research and development expenditure (% of GDP)</t>
        </is>
      </c>
      <c r="M2985" t="inlineStr">
        <is>
          <t>2021-12-31</t>
        </is>
      </c>
      <c r="N2985" t="inlineStr">
        <is>
          <t>auto_ingest=world_bank_creative_extended; indicator=GB.XPD.RSDV.GD.ZS; year=2021; country_proxy=Australia</t>
        </is>
      </c>
    </row>
    <row r="2986">
      <c r="A2986" t="inlineStr">
        <is>
          <t>au-brisbane</t>
        </is>
      </c>
      <c r="B2986" t="inlineStr">
        <is>
          <t>Brisbane</t>
        </is>
      </c>
      <c r="C2986" t="inlineStr">
        <is>
          <t>Australia</t>
        </is>
      </c>
      <c r="D2986" t="inlineStr">
        <is>
          <t>Oceania</t>
        </is>
      </c>
      <c r="E2986" t="inlineStr">
        <is>
          <t>investment_signal_raw</t>
        </is>
      </c>
      <c r="F2986" t="inlineStr">
        <is>
          <t>Investment signal raw</t>
        </is>
      </c>
      <c r="G2986" t="inlineStr">
        <is>
          <t>creative</t>
        </is>
      </c>
      <c r="H2986" t="inlineStr">
        <is>
          <t>yes</t>
        </is>
      </c>
      <c r="I2986" t="inlineStr">
        <is>
          <t>3.04</t>
        </is>
      </c>
      <c r="J2986" t="inlineStr">
        <is>
          <t>world_bank</t>
        </is>
      </c>
      <c r="K2986" t="inlineStr">
        <is>
          <t>https://api.worldbank.org/v2/country/AUS/indicator/BX.KLT.DINV.WD.GD.ZS?format=json&amp;mrv=10</t>
        </is>
      </c>
      <c r="L2986" t="inlineStr">
        <is>
          <t>World Bank WDI: Foreign direct investment, net inflows (% of GDP)</t>
        </is>
      </c>
      <c r="M2986" t="inlineStr">
        <is>
          <t>2024-12-31</t>
        </is>
      </c>
      <c r="N2986" t="inlineStr">
        <is>
          <t>auto_ingest=world_bank_creative_extended; indicator=BX.KLT.DINV.WD.GD.ZS; year=2024; country_proxy=Australia</t>
        </is>
      </c>
    </row>
    <row r="2987">
      <c r="A2987" t="inlineStr">
        <is>
          <t>au-brisbane</t>
        </is>
      </c>
      <c r="B2987" t="inlineStr">
        <is>
          <t>Brisbane</t>
        </is>
      </c>
      <c r="C2987" t="inlineStr">
        <is>
          <t>Australia</t>
        </is>
      </c>
      <c r="D2987" t="inlineStr">
        <is>
          <t>Oceania</t>
        </is>
      </c>
      <c r="E2987" t="inlineStr">
        <is>
          <t>administrative_investment_friction_raw</t>
        </is>
      </c>
      <c r="F2987" t="inlineStr">
        <is>
          <t>Administrative investment friction raw</t>
        </is>
      </c>
      <c r="G2987" t="inlineStr">
        <is>
          <t>creative</t>
        </is>
      </c>
      <c r="H2987" t="inlineStr">
        <is>
          <t>yes</t>
        </is>
      </c>
      <c r="I2987" t="inlineStr">
        <is>
          <t>0.56</t>
        </is>
      </c>
      <c r="J2987" t="inlineStr">
        <is>
          <t>world_bank</t>
        </is>
      </c>
      <c r="K2987" t="inlineStr">
        <is>
          <t>https://api.worldbank.org/v2/country/AUS/indicator/RQ.EST?format=json&amp;mrv=10</t>
        </is>
      </c>
      <c r="L2987" t="inlineStr">
        <is>
          <t>World Bank WGI: Regulatory Quality (inverted as friction proxy)</t>
        </is>
      </c>
      <c r="M2987" t="inlineStr">
        <is>
          <t>2023-12-31</t>
        </is>
      </c>
      <c r="N2987" t="inlineStr">
        <is>
          <t>auto_ingest=world_bank_business_friction; indicator=RQ.EST; raw_rq=1.94220554828644; friction=0.56; year=2023; country_proxy=Australia</t>
        </is>
      </c>
    </row>
    <row r="2988">
      <c r="A2988" t="inlineStr">
        <is>
          <t>au-brisbane</t>
        </is>
      </c>
      <c r="B2988" t="inlineStr">
        <is>
          <t>Brisbane</t>
        </is>
      </c>
      <c r="C2988" t="inlineStr">
        <is>
          <t>Australia</t>
        </is>
      </c>
      <c r="D2988" t="inlineStr">
        <is>
          <t>Oceania</t>
        </is>
      </c>
      <c r="E2988" t="inlineStr">
        <is>
          <t>visitor_flow_context_raw</t>
        </is>
      </c>
      <c r="F2988" t="inlineStr">
        <is>
          <t>Visitor flow context raw</t>
        </is>
      </c>
      <c r="G2988" t="inlineStr">
        <is>
          <t>creative</t>
        </is>
      </c>
      <c r="H2988" t="inlineStr">
        <is>
          <t>no</t>
        </is>
      </c>
      <c r="I2988" t="inlineStr"/>
      <c r="J2988" t="inlineStr"/>
      <c r="K2988" t="inlineStr"/>
      <c r="L2988" t="inlineStr"/>
      <c r="M2988" t="inlineStr"/>
      <c r="N2988" t="inlineStr"/>
    </row>
    <row r="2989">
      <c r="A2989" t="inlineStr">
        <is>
          <t>nz-wellington</t>
        </is>
      </c>
      <c r="B2989" t="inlineStr">
        <is>
          <t>Wellington</t>
        </is>
      </c>
      <c r="C2989" t="inlineStr">
        <is>
          <t>New Zealand</t>
        </is>
      </c>
      <c r="D2989" t="inlineStr">
        <is>
          <t>Oceania</t>
        </is>
      </c>
      <c r="E2989" t="inlineStr">
        <is>
          <t>gross_income</t>
        </is>
      </c>
      <c r="F2989" t="inlineStr">
        <is>
          <t>Gross income</t>
        </is>
      </c>
      <c r="G2989" t="inlineStr">
        <is>
          <t>pressure</t>
        </is>
      </c>
      <c r="H2989" t="inlineStr">
        <is>
          <t>yes</t>
        </is>
      </c>
      <c r="I2989" t="inlineStr">
        <is>
          <t>4466.67</t>
        </is>
      </c>
      <c r="J2989" t="inlineStr">
        <is>
          <t>world_bank_col_estimate</t>
        </is>
      </c>
      <c r="K2989" t="inlineStr">
        <is>
          <t>https://api.worldbank.org/v2/country/NZL/indicator/NY.GNP.PCAP.PP.CD?format=json&amp;mrv=10</t>
        </is>
      </c>
      <c r="L2989" t="inlineStr">
        <is>
          <t>World Bank WDI: GNI per capita PPP (monthly USD)</t>
        </is>
      </c>
      <c r="M2989" t="inlineStr">
        <is>
          <t>2024-12-31</t>
        </is>
      </c>
      <c r="N2989" t="inlineStr">
        <is>
          <t>auto_ingest=world_bank_col_estimate; gni_annual=53600.0; year=2024; country_proxy=New Zealand; cohort=Oceania</t>
        </is>
      </c>
    </row>
    <row r="2990">
      <c r="A2990" t="inlineStr">
        <is>
          <t>nz-wellington</t>
        </is>
      </c>
      <c r="B2990" t="inlineStr">
        <is>
          <t>Wellington</t>
        </is>
      </c>
      <c r="C2990" t="inlineStr">
        <is>
          <t>New Zealand</t>
        </is>
      </c>
      <c r="D2990" t="inlineStr">
        <is>
          <t>Oceania</t>
        </is>
      </c>
      <c r="E2990" t="inlineStr">
        <is>
          <t>di_ppp_raw</t>
        </is>
      </c>
      <c r="F2990" t="inlineStr">
        <is>
          <t>Disposable income PPP (Raw)</t>
        </is>
      </c>
      <c r="G2990" t="inlineStr">
        <is>
          <t>pressure</t>
        </is>
      </c>
      <c r="H2990" t="inlineStr">
        <is>
          <t>yes</t>
        </is>
      </c>
      <c r="I2990" t="inlineStr"/>
      <c r="J2990" t="inlineStr"/>
      <c r="K2990" t="inlineStr"/>
      <c r="L2990" t="inlineStr"/>
      <c r="M2990" t="inlineStr"/>
      <c r="N2990" t="inlineStr"/>
    </row>
    <row r="2991">
      <c r="A2991" t="inlineStr">
        <is>
          <t>nz-wellington</t>
        </is>
      </c>
      <c r="B2991" t="inlineStr">
        <is>
          <t>Wellington</t>
        </is>
      </c>
      <c r="C2991" t="inlineStr">
        <is>
          <t>New Zealand</t>
        </is>
      </c>
      <c r="D2991" t="inlineStr">
        <is>
          <t>Oceania</t>
        </is>
      </c>
      <c r="E2991" t="inlineStr">
        <is>
          <t>rent</t>
        </is>
      </c>
      <c r="F2991" t="inlineStr">
        <is>
          <t>Rent</t>
        </is>
      </c>
      <c r="G2991" t="inlineStr">
        <is>
          <t>pressure</t>
        </is>
      </c>
      <c r="H2991" t="inlineStr">
        <is>
          <t>yes</t>
        </is>
      </c>
      <c r="I2991" t="inlineStr">
        <is>
          <t>1407.0</t>
        </is>
      </c>
      <c r="J2991" t="inlineStr">
        <is>
          <t>world_bank_col_estimate</t>
        </is>
      </c>
      <c r="K2991" t="inlineStr">
        <is>
          <t>https://api.worldbank.org/v2/country/NZL/indicator/NY.GNP.PCAP.PP.CD?format=json&amp;mrv=10</t>
        </is>
      </c>
      <c r="L2991" t="inlineStr">
        <is>
          <t>World Bank GNI + regional expenditure ratio estimate</t>
        </is>
      </c>
      <c r="M2991" t="inlineStr">
        <is>
          <t>2024-12-31</t>
        </is>
      </c>
      <c r="N2991" t="inlineStr">
        <is>
          <t>auto_ingest=world_bank_col_estimate; gni_annual=53600.0; year=2024; country_proxy=New Zealand; cohort=Oceania; city_cost_mult=1.05</t>
        </is>
      </c>
    </row>
    <row r="2992">
      <c r="A2992" t="inlineStr">
        <is>
          <t>nz-wellington</t>
        </is>
      </c>
      <c r="B2992" t="inlineStr">
        <is>
          <t>Wellington</t>
        </is>
      </c>
      <c r="C2992" t="inlineStr">
        <is>
          <t>New Zealand</t>
        </is>
      </c>
      <c r="D2992" t="inlineStr">
        <is>
          <t>Oceania</t>
        </is>
      </c>
      <c r="E2992" t="inlineStr">
        <is>
          <t>utilities</t>
        </is>
      </c>
      <c r="F2992" t="inlineStr">
        <is>
          <t>Utilities</t>
        </is>
      </c>
      <c r="G2992" t="inlineStr">
        <is>
          <t>pressure</t>
        </is>
      </c>
      <c r="H2992" t="inlineStr">
        <is>
          <t>yes</t>
        </is>
      </c>
      <c r="I2992" t="inlineStr">
        <is>
          <t>281.4</t>
        </is>
      </c>
      <c r="J2992" t="inlineStr">
        <is>
          <t>world_bank_col_estimate</t>
        </is>
      </c>
      <c r="K2992" t="inlineStr">
        <is>
          <t>https://api.worldbank.org/v2/country/NZL/indicator/NY.GNP.PCAP.PP.CD?format=json&amp;mrv=10</t>
        </is>
      </c>
      <c r="L2992" t="inlineStr">
        <is>
          <t>World Bank GNI + regional expenditure ratio estimate</t>
        </is>
      </c>
      <c r="M2992" t="inlineStr">
        <is>
          <t>2024-12-31</t>
        </is>
      </c>
      <c r="N2992" t="inlineStr">
        <is>
          <t>auto_ingest=world_bank_col_estimate; gni_annual=53600.0; year=2024; country_proxy=New Zealand; cohort=Oceania; city_cost_mult=1.05</t>
        </is>
      </c>
    </row>
    <row r="2993">
      <c r="A2993" t="inlineStr">
        <is>
          <t>nz-wellington</t>
        </is>
      </c>
      <c r="B2993" t="inlineStr">
        <is>
          <t>Wellington</t>
        </is>
      </c>
      <c r="C2993" t="inlineStr">
        <is>
          <t>New Zealand</t>
        </is>
      </c>
      <c r="D2993" t="inlineStr">
        <is>
          <t>Oceania</t>
        </is>
      </c>
      <c r="E2993" t="inlineStr">
        <is>
          <t>transit_cost</t>
        </is>
      </c>
      <c r="F2993" t="inlineStr">
        <is>
          <t>Transit cost</t>
        </is>
      </c>
      <c r="G2993" t="inlineStr">
        <is>
          <t>pressure</t>
        </is>
      </c>
      <c r="H2993" t="inlineStr">
        <is>
          <t>yes</t>
        </is>
      </c>
      <c r="I2993" t="inlineStr">
        <is>
          <t>187.6</t>
        </is>
      </c>
      <c r="J2993" t="inlineStr">
        <is>
          <t>world_bank_col_estimate</t>
        </is>
      </c>
      <c r="K2993" t="inlineStr">
        <is>
          <t>https://api.worldbank.org/v2/country/NZL/indicator/NY.GNP.PCAP.PP.CD?format=json&amp;mrv=10</t>
        </is>
      </c>
      <c r="L2993" t="inlineStr">
        <is>
          <t>World Bank GNI + regional expenditure ratio estimate</t>
        </is>
      </c>
      <c r="M2993" t="inlineStr">
        <is>
          <t>2024-12-31</t>
        </is>
      </c>
      <c r="N2993" t="inlineStr">
        <is>
          <t>auto_ingest=world_bank_col_estimate; gni_annual=53600.0; year=2024; country_proxy=New Zealand; cohort=Oceania; city_cost_mult=1.05</t>
        </is>
      </c>
    </row>
    <row r="2994">
      <c r="A2994" t="inlineStr">
        <is>
          <t>nz-wellington</t>
        </is>
      </c>
      <c r="B2994" t="inlineStr">
        <is>
          <t>Wellington</t>
        </is>
      </c>
      <c r="C2994" t="inlineStr">
        <is>
          <t>New Zealand</t>
        </is>
      </c>
      <c r="D2994" t="inlineStr">
        <is>
          <t>Oceania</t>
        </is>
      </c>
      <c r="E2994" t="inlineStr">
        <is>
          <t>internet_cost</t>
        </is>
      </c>
      <c r="F2994" t="inlineStr">
        <is>
          <t>Internet cost</t>
        </is>
      </c>
      <c r="G2994" t="inlineStr">
        <is>
          <t>pressure</t>
        </is>
      </c>
      <c r="H2994" t="inlineStr">
        <is>
          <t>yes</t>
        </is>
      </c>
      <c r="I2994" t="inlineStr">
        <is>
          <t>70.35</t>
        </is>
      </c>
      <c r="J2994" t="inlineStr">
        <is>
          <t>world_bank_col_estimate</t>
        </is>
      </c>
      <c r="K2994" t="inlineStr">
        <is>
          <t>https://api.worldbank.org/v2/country/NZL/indicator/NY.GNP.PCAP.PP.CD?format=json&amp;mrv=10</t>
        </is>
      </c>
      <c r="L2994" t="inlineStr">
        <is>
          <t>World Bank GNI + regional expenditure ratio estimate</t>
        </is>
      </c>
      <c r="M2994" t="inlineStr">
        <is>
          <t>2024-12-31</t>
        </is>
      </c>
      <c r="N2994" t="inlineStr">
        <is>
          <t>auto_ingest=world_bank_col_estimate; gni_annual=53600.0; year=2024; country_proxy=New Zealand; cohort=Oceania; city_cost_mult=1.05</t>
        </is>
      </c>
    </row>
    <row r="2995">
      <c r="A2995" t="inlineStr">
        <is>
          <t>nz-wellington</t>
        </is>
      </c>
      <c r="B2995" t="inlineStr">
        <is>
          <t>Wellington</t>
        </is>
      </c>
      <c r="C2995" t="inlineStr">
        <is>
          <t>New Zealand</t>
        </is>
      </c>
      <c r="D2995" t="inlineStr">
        <is>
          <t>Oceania</t>
        </is>
      </c>
      <c r="E2995" t="inlineStr">
        <is>
          <t>food_cost</t>
        </is>
      </c>
      <c r="F2995" t="inlineStr">
        <is>
          <t>Food cost</t>
        </is>
      </c>
      <c r="G2995" t="inlineStr">
        <is>
          <t>pressure</t>
        </is>
      </c>
      <c r="H2995" t="inlineStr">
        <is>
          <t>yes</t>
        </is>
      </c>
      <c r="I2995" t="inlineStr">
        <is>
          <t>703.5</t>
        </is>
      </c>
      <c r="J2995" t="inlineStr">
        <is>
          <t>world_bank_col_estimate</t>
        </is>
      </c>
      <c r="K2995" t="inlineStr">
        <is>
          <t>https://api.worldbank.org/v2/country/NZL/indicator/NY.GNP.PCAP.PP.CD?format=json&amp;mrv=10</t>
        </is>
      </c>
      <c r="L2995" t="inlineStr">
        <is>
          <t>World Bank GNI + regional expenditure ratio estimate</t>
        </is>
      </c>
      <c r="M2995" t="inlineStr">
        <is>
          <t>2024-12-31</t>
        </is>
      </c>
      <c r="N2995" t="inlineStr">
        <is>
          <t>auto_ingest=world_bank_col_estimate; gni_annual=53600.0; year=2024; country_proxy=New Zealand; cohort=Oceania; city_cost_mult=1.05</t>
        </is>
      </c>
    </row>
    <row r="2996">
      <c r="A2996" t="inlineStr">
        <is>
          <t>nz-wellington</t>
        </is>
      </c>
      <c r="B2996" t="inlineStr">
        <is>
          <t>Wellington</t>
        </is>
      </c>
      <c r="C2996" t="inlineStr">
        <is>
          <t>New Zealand</t>
        </is>
      </c>
      <c r="D2996" t="inlineStr">
        <is>
          <t>Oceania</t>
        </is>
      </c>
      <c r="E2996" t="inlineStr">
        <is>
          <t>housing_burden_raw</t>
        </is>
      </c>
      <c r="F2996" t="inlineStr">
        <is>
          <t>Housing burden raw</t>
        </is>
      </c>
      <c r="G2996" t="inlineStr">
        <is>
          <t>pressure</t>
        </is>
      </c>
      <c r="H2996" t="inlineStr">
        <is>
          <t>yes</t>
        </is>
      </c>
      <c r="I2996" t="inlineStr">
        <is>
          <t>31.5</t>
        </is>
      </c>
      <c r="J2996" t="inlineStr">
        <is>
          <t>derived</t>
        </is>
      </c>
      <c r="K2996" t="inlineStr">
        <is>
          <t>https://data.worldbank.org/indicator/NY.GNP.PCAP.PP.CD</t>
        </is>
      </c>
      <c r="L2996" t="inlineStr">
        <is>
          <t>Computed from city_inputs + country_context</t>
        </is>
      </c>
      <c r="M2996" t="inlineStr">
        <is>
          <t>2024-01-01</t>
        </is>
      </c>
      <c r="N2996" t="inlineStr">
        <is>
          <t>derived=rent/gross_income*100</t>
        </is>
      </c>
    </row>
    <row r="2997">
      <c r="A2997" t="inlineStr">
        <is>
          <t>nz-wellington</t>
        </is>
      </c>
      <c r="B2997" t="inlineStr">
        <is>
          <t>Wellington</t>
        </is>
      </c>
      <c r="C2997" t="inlineStr">
        <is>
          <t>New Zealand</t>
        </is>
      </c>
      <c r="D2997" t="inlineStr">
        <is>
          <t>Oceania</t>
        </is>
      </c>
      <c r="E2997" t="inlineStr">
        <is>
          <t>household_debt_burden_raw</t>
        </is>
      </c>
      <c r="F2997" t="inlineStr">
        <is>
          <t>Household debt burden raw</t>
        </is>
      </c>
      <c r="G2997" t="inlineStr">
        <is>
          <t>pressure</t>
        </is>
      </c>
      <c r="H2997" t="inlineStr">
        <is>
          <t>yes</t>
        </is>
      </c>
      <c r="I2997" t="inlineStr">
        <is>
          <t>129.7971</t>
        </is>
      </c>
      <c r="J2997" t="inlineStr">
        <is>
          <t>derived</t>
        </is>
      </c>
      <c r="K2997" t="inlineStr">
        <is>
          <t>https://data.worldbank.org/indicator/NY.GNP.PCAP.PP.CD</t>
        </is>
      </c>
      <c r="L2997" t="inlineStr">
        <is>
          <t>Computed from city_inputs + country_context</t>
        </is>
      </c>
      <c r="M2997" t="inlineStr">
        <is>
          <t>2024-01-01</t>
        </is>
      </c>
      <c r="N2997" t="inlineStr">
        <is>
          <t>derived=country_context.household_debt_proxy; country=New Zealand</t>
        </is>
      </c>
    </row>
    <row r="2998">
      <c r="A2998" t="inlineStr">
        <is>
          <t>nz-wellington</t>
        </is>
      </c>
      <c r="B2998" t="inlineStr">
        <is>
          <t>Wellington</t>
        </is>
      </c>
      <c r="C2998" t="inlineStr">
        <is>
          <t>New Zealand</t>
        </is>
      </c>
      <c r="D2998" t="inlineStr">
        <is>
          <t>Oceania</t>
        </is>
      </c>
      <c r="E2998" t="inlineStr">
        <is>
          <t>working_time_pressure_raw</t>
        </is>
      </c>
      <c r="F2998" t="inlineStr">
        <is>
          <t>Working time pressure raw</t>
        </is>
      </c>
      <c r="G2998" t="inlineStr">
        <is>
          <t>pressure</t>
        </is>
      </c>
      <c r="H2998" t="inlineStr">
        <is>
          <t>yes</t>
        </is>
      </c>
      <c r="I2998" t="inlineStr">
        <is>
          <t>33.0</t>
        </is>
      </c>
      <c r="J2998" t="inlineStr">
        <is>
          <t>ilo_ilostat</t>
        </is>
      </c>
      <c r="K2998" t="inlineStr">
        <is>
          <t>https://ilostat.ilo.org/data/indicator/?id=HOW_TEMP_SEX_ECO_NB_A&amp;ref_area=NZL</t>
        </is>
      </c>
      <c r="L2998" t="inlineStr">
        <is>
          <t>ILO ILOSTAT: Mean weekly hours actually worked per employed person</t>
        </is>
      </c>
      <c r="M2998" t="inlineStr">
        <is>
          <t>2020-12-31</t>
        </is>
      </c>
      <c r="N2998" t="inlineStr">
        <is>
          <t>auto_ingest=ilo_working_hours; indicator=HOW_TEMP_SEX_ECO_NB_A; year=2020; hours=33.0; country_proxy=New Zealand</t>
        </is>
      </c>
    </row>
    <row r="2999">
      <c r="A2999" t="inlineStr">
        <is>
          <t>nz-wellington</t>
        </is>
      </c>
      <c r="B2999" t="inlineStr">
        <is>
          <t>Wellington</t>
        </is>
      </c>
      <c r="C2999" t="inlineStr">
        <is>
          <t>New Zealand</t>
        </is>
      </c>
      <c r="D2999" t="inlineStr">
        <is>
          <t>Oceania</t>
        </is>
      </c>
      <c r="E2999" t="inlineStr">
        <is>
          <t>suicide_mental_strain_raw</t>
        </is>
      </c>
      <c r="F2999" t="inlineStr">
        <is>
          <t>Suicide or mental strain raw</t>
        </is>
      </c>
      <c r="G2999" t="inlineStr">
        <is>
          <t>pressure</t>
        </is>
      </c>
      <c r="H2999" t="inlineStr">
        <is>
          <t>yes</t>
        </is>
      </c>
      <c r="I2999" t="inlineStr">
        <is>
          <t>11.92</t>
        </is>
      </c>
      <c r="J2999" t="inlineStr">
        <is>
          <t>who_gho</t>
        </is>
      </c>
      <c r="K2999" t="inlineStr">
        <is>
          <t>https://www.who.int/data/gho/data/indicators/indicator-details/GHO/SDGSUICIDE</t>
        </is>
      </c>
      <c r="L2999" t="inlineStr">
        <is>
          <t>WHO GHO: Age-standardized suicide rate (per 100,000 population)</t>
        </is>
      </c>
      <c r="M2999" t="inlineStr">
        <is>
          <t>2021-12-31</t>
        </is>
      </c>
      <c r="N2999" t="inlineStr">
        <is>
          <t>auto_ingest=who_gho; indicator=SDGSUICIDE; year=2021; country_proxy=New Zealand</t>
        </is>
      </c>
    </row>
    <row r="3000">
      <c r="A3000" t="inlineStr">
        <is>
          <t>nz-wellington</t>
        </is>
      </c>
      <c r="B3000" t="inlineStr">
        <is>
          <t>Wellington</t>
        </is>
      </c>
      <c r="C3000" t="inlineStr">
        <is>
          <t>New Zealand</t>
        </is>
      </c>
      <c r="D3000" t="inlineStr">
        <is>
          <t>Oceania</t>
        </is>
      </c>
      <c r="E3000" t="inlineStr">
        <is>
          <t>personal_safety_raw</t>
        </is>
      </c>
      <c r="F3000" t="inlineStr">
        <is>
          <t>Personal safety raw</t>
        </is>
      </c>
      <c r="G3000" t="inlineStr">
        <is>
          <t>viability</t>
        </is>
      </c>
      <c r="H3000" t="inlineStr">
        <is>
          <t>yes</t>
        </is>
      </c>
      <c r="I3000" t="inlineStr">
        <is>
          <t>1.46</t>
        </is>
      </c>
      <c r="J3000" t="inlineStr">
        <is>
          <t>world_bank</t>
        </is>
      </c>
      <c r="K3000" t="inlineStr">
        <is>
          <t>https://api.worldbank.org/v2/country/NZL/indicator/VC.IHR.PSRC.P5?format=json&amp;mrv=10</t>
        </is>
      </c>
      <c r="L3000" t="inlineStr">
        <is>
          <t>UNODC via World Bank WDI: Intentional homicides (per 100,000 people)</t>
        </is>
      </c>
      <c r="M3000" t="inlineStr">
        <is>
          <t>2022-12-31</t>
        </is>
      </c>
      <c r="N3000" t="inlineStr">
        <is>
          <t>auto_ingest=unodc_safety; indicator=VC.IHR.PSRC.P5; year=2022; country_proxy=New Zealand</t>
        </is>
      </c>
    </row>
    <row r="3001">
      <c r="A3001" t="inlineStr">
        <is>
          <t>nz-wellington</t>
        </is>
      </c>
      <c r="B3001" t="inlineStr">
        <is>
          <t>Wellington</t>
        </is>
      </c>
      <c r="C3001" t="inlineStr">
        <is>
          <t>New Zealand</t>
        </is>
      </c>
      <c r="D3001" t="inlineStr">
        <is>
          <t>Oceania</t>
        </is>
      </c>
      <c r="E3001" t="inlineStr">
        <is>
          <t>transit_access_commute_raw</t>
        </is>
      </c>
      <c r="F3001" t="inlineStr">
        <is>
          <t>Transit access and commute raw</t>
        </is>
      </c>
      <c r="G3001" t="inlineStr">
        <is>
          <t>viability</t>
        </is>
      </c>
      <c r="H3001" t="inlineStr">
        <is>
          <t>yes</t>
        </is>
      </c>
      <c r="I3001" t="inlineStr"/>
      <c r="J3001" t="inlineStr"/>
      <c r="K3001" t="inlineStr"/>
      <c r="L3001" t="inlineStr"/>
      <c r="M3001" t="inlineStr"/>
      <c r="N3001" t="inlineStr"/>
    </row>
    <row r="3002">
      <c r="A3002" t="inlineStr">
        <is>
          <t>nz-wellington</t>
        </is>
      </c>
      <c r="B3002" t="inlineStr">
        <is>
          <t>Wellington</t>
        </is>
      </c>
      <c r="C3002" t="inlineStr">
        <is>
          <t>New Zealand</t>
        </is>
      </c>
      <c r="D3002" t="inlineStr">
        <is>
          <t>Oceania</t>
        </is>
      </c>
      <c r="E3002" t="inlineStr">
        <is>
          <t>clean_air_raw</t>
        </is>
      </c>
      <c r="F3002" t="inlineStr">
        <is>
          <t>Clean air raw</t>
        </is>
      </c>
      <c r="G3002" t="inlineStr">
        <is>
          <t>viability</t>
        </is>
      </c>
      <c r="H3002" t="inlineStr">
        <is>
          <t>yes</t>
        </is>
      </c>
      <c r="I3002" t="inlineStr"/>
      <c r="J3002" t="inlineStr"/>
      <c r="K3002" t="inlineStr"/>
      <c r="L3002" t="inlineStr"/>
      <c r="M3002" t="inlineStr"/>
      <c r="N3002" t="inlineStr"/>
    </row>
    <row r="3003">
      <c r="A3003" t="inlineStr">
        <is>
          <t>nz-wellington</t>
        </is>
      </c>
      <c r="B3003" t="inlineStr">
        <is>
          <t>Wellington</t>
        </is>
      </c>
      <c r="C3003" t="inlineStr">
        <is>
          <t>New Zealand</t>
        </is>
      </c>
      <c r="D3003" t="inlineStr">
        <is>
          <t>Oceania</t>
        </is>
      </c>
      <c r="E3003" t="inlineStr">
        <is>
          <t>water_sanitation_utility_raw</t>
        </is>
      </c>
      <c r="F3003" t="inlineStr">
        <is>
          <t>Water, sanitation, and utility raw</t>
        </is>
      </c>
      <c r="G3003" t="inlineStr">
        <is>
          <t>viability</t>
        </is>
      </c>
      <c r="H3003" t="inlineStr">
        <is>
          <t>yes</t>
        </is>
      </c>
      <c r="I3003" t="inlineStr">
        <is>
          <t>100.0</t>
        </is>
      </c>
      <c r="J3003" t="inlineStr">
        <is>
          <t>world_bank</t>
        </is>
      </c>
      <c r="K3003" t="inlineStr">
        <is>
          <t>https://api.worldbank.org/v2/country/NZL/indicator/SH.H2O.SMDW.ZS?format=json&amp;mrv=10</t>
        </is>
      </c>
      <c r="L3003" t="inlineStr">
        <is>
          <t>World Bank WDI: People using safely managed drinking water services (% of population)</t>
        </is>
      </c>
      <c r="M3003" t="inlineStr">
        <is>
          <t>2024-12-31</t>
        </is>
      </c>
      <c r="N3003" t="inlineStr">
        <is>
          <t>auto_ingest=world_bank_proxy; indicator=SH.H2O.SMDW.ZS; year=2024; country_proxy=New Zealand</t>
        </is>
      </c>
    </row>
    <row r="3004">
      <c r="A3004" t="inlineStr">
        <is>
          <t>nz-wellington</t>
        </is>
      </c>
      <c r="B3004" t="inlineStr">
        <is>
          <t>Wellington</t>
        </is>
      </c>
      <c r="C3004" t="inlineStr">
        <is>
          <t>New Zealand</t>
        </is>
      </c>
      <c r="D3004" t="inlineStr">
        <is>
          <t>Oceania</t>
        </is>
      </c>
      <c r="E3004" t="inlineStr">
        <is>
          <t>digital_infrastructure_raw</t>
        </is>
      </c>
      <c r="F3004" t="inlineStr">
        <is>
          <t>Digital infrastructure raw</t>
        </is>
      </c>
      <c r="G3004" t="inlineStr">
        <is>
          <t>viability</t>
        </is>
      </c>
      <c r="H3004" t="inlineStr">
        <is>
          <t>yes</t>
        </is>
      </c>
      <c r="I3004" t="inlineStr">
        <is>
          <t>37.85</t>
        </is>
      </c>
      <c r="J3004" t="inlineStr">
        <is>
          <t>world_bank</t>
        </is>
      </c>
      <c r="K3004" t="inlineStr">
        <is>
          <t>https://api.worldbank.org/v2/country/NZL/indicator/IT.NET.BBND.P2?format=json&amp;mrv=10</t>
        </is>
      </c>
      <c r="L3004" t="inlineStr">
        <is>
          <t>World Bank WDI: Fixed broadband subscriptions (per 100 people)</t>
        </is>
      </c>
      <c r="M3004" t="inlineStr">
        <is>
          <t>2023-12-31</t>
        </is>
      </c>
      <c r="N3004" t="inlineStr">
        <is>
          <t>auto_ingest=world_bank_proxy; indicator=IT.NET.BBND.P2; year=2023; country_proxy=New Zealand</t>
        </is>
      </c>
    </row>
    <row r="3005">
      <c r="A3005" t="inlineStr">
        <is>
          <t>nz-wellington</t>
        </is>
      </c>
      <c r="B3005" t="inlineStr">
        <is>
          <t>Wellington</t>
        </is>
      </c>
      <c r="C3005" t="inlineStr">
        <is>
          <t>New Zealand</t>
        </is>
      </c>
      <c r="D3005" t="inlineStr">
        <is>
          <t>Oceania</t>
        </is>
      </c>
      <c r="E3005" t="inlineStr">
        <is>
          <t>climate_sunlight_livability_raw</t>
        </is>
      </c>
      <c r="F3005" t="inlineStr">
        <is>
          <t>Climate and sunlight livability raw</t>
        </is>
      </c>
      <c r="G3005" t="inlineStr">
        <is>
          <t>viability</t>
        </is>
      </c>
      <c r="H3005" t="inlineStr">
        <is>
          <t>yes</t>
        </is>
      </c>
      <c r="I3005" t="inlineStr">
        <is>
          <t>52</t>
        </is>
      </c>
      <c r="J3005" t="inlineStr">
        <is>
          <t>wmo_natl_met</t>
        </is>
      </c>
      <c r="K3005" t="inlineStr">
        <is>
          <t>https://worldweather.wmo.int</t>
        </is>
      </c>
      <c r="L3005" t="inlineStr">
        <is>
          <t>WMO/National Met: Climate livability composite</t>
        </is>
      </c>
      <c r="M3005" t="inlineStr">
        <is>
          <t>2024-12-31</t>
        </is>
      </c>
      <c r="N3005" t="inlineStr">
        <is>
          <t>auto_seed=climate_composite; 2000 sun hrs, 13C mean, windy</t>
        </is>
      </c>
    </row>
    <row r="3006">
      <c r="A3006" t="inlineStr">
        <is>
          <t>nz-wellington</t>
        </is>
      </c>
      <c r="B3006" t="inlineStr">
        <is>
          <t>Wellington</t>
        </is>
      </c>
      <c r="C3006" t="inlineStr">
        <is>
          <t>New Zealand</t>
        </is>
      </c>
      <c r="D3006" t="inlineStr">
        <is>
          <t>Oceania</t>
        </is>
      </c>
      <c r="E3006" t="inlineStr">
        <is>
          <t>healthcare_quality_raw</t>
        </is>
      </c>
      <c r="F3006" t="inlineStr">
        <is>
          <t>Healthcare quality raw</t>
        </is>
      </c>
      <c r="G3006" t="inlineStr">
        <is>
          <t>capability</t>
        </is>
      </c>
      <c r="H3006" t="inlineStr">
        <is>
          <t>yes</t>
        </is>
      </c>
      <c r="I3006" t="inlineStr">
        <is>
          <t>89.0</t>
        </is>
      </c>
      <c r="J3006" t="inlineStr">
        <is>
          <t>who_gho</t>
        </is>
      </c>
      <c r="K3006" t="inlineStr">
        <is>
          <t>https://www.who.int/data/gho/data/indicators/indicator-details/GHO/UHC_INDEX_REPORTED</t>
        </is>
      </c>
      <c r="L3006" t="inlineStr">
        <is>
          <t>WHO GHO: UHC Service Coverage Index</t>
        </is>
      </c>
      <c r="M3006" t="inlineStr">
        <is>
          <t>2023-12-31</t>
        </is>
      </c>
      <c r="N3006" t="inlineStr">
        <is>
          <t>auto_ingest=who_gho; indicator=UHC_INDEX_REPORTED; year=2023; country_proxy=New Zealand</t>
        </is>
      </c>
    </row>
    <row r="3007">
      <c r="A3007" t="inlineStr">
        <is>
          <t>nz-wellington</t>
        </is>
      </c>
      <c r="B3007" t="inlineStr">
        <is>
          <t>Wellington</t>
        </is>
      </c>
      <c r="C3007" t="inlineStr">
        <is>
          <t>New Zealand</t>
        </is>
      </c>
      <c r="D3007" t="inlineStr">
        <is>
          <t>Oceania</t>
        </is>
      </c>
      <c r="E3007" t="inlineStr">
        <is>
          <t>education_quality_raw</t>
        </is>
      </c>
      <c r="F3007" t="inlineStr">
        <is>
          <t>Education quality raw</t>
        </is>
      </c>
      <c r="G3007" t="inlineStr">
        <is>
          <t>capability</t>
        </is>
      </c>
      <c r="H3007" t="inlineStr">
        <is>
          <t>yes</t>
        </is>
      </c>
      <c r="I3007" t="inlineStr">
        <is>
          <t>76.38</t>
        </is>
      </c>
      <c r="J3007" t="inlineStr">
        <is>
          <t>world_bank</t>
        </is>
      </c>
      <c r="K3007" t="inlineStr">
        <is>
          <t>https://api.worldbank.org/v2/country/NZL/indicator/SE.TER.ENRR?format=json&amp;mrv=10</t>
        </is>
      </c>
      <c r="L3007" t="inlineStr">
        <is>
          <t>World Bank WDI: School enrollment, tertiary (% gross)</t>
        </is>
      </c>
      <c r="M3007" t="inlineStr">
        <is>
          <t>2023-12-31</t>
        </is>
      </c>
      <c r="N3007" t="inlineStr">
        <is>
          <t>auto_ingest=world_bank_proxy; indicator=SE.TER.ENRR; year=2023; country_proxy=New Zealand</t>
        </is>
      </c>
    </row>
    <row r="3008">
      <c r="A3008" t="inlineStr">
        <is>
          <t>nz-wellington</t>
        </is>
      </c>
      <c r="B3008" t="inlineStr">
        <is>
          <t>Wellington</t>
        </is>
      </c>
      <c r="C3008" t="inlineStr">
        <is>
          <t>New Zealand</t>
        </is>
      </c>
      <c r="D3008" t="inlineStr">
        <is>
          <t>Oceania</t>
        </is>
      </c>
      <c r="E3008" t="inlineStr">
        <is>
          <t>equal_opportunity_raw</t>
        </is>
      </c>
      <c r="F3008" t="inlineStr">
        <is>
          <t>Equal opportunity raw</t>
        </is>
      </c>
      <c r="G3008" t="inlineStr">
        <is>
          <t>capability</t>
        </is>
      </c>
      <c r="H3008" t="inlineStr">
        <is>
          <t>yes</t>
        </is>
      </c>
      <c r="I3008" t="inlineStr"/>
      <c r="J3008" t="inlineStr"/>
      <c r="K3008" t="inlineStr"/>
      <c r="L3008" t="inlineStr"/>
      <c r="M3008" t="inlineStr"/>
      <c r="N3008" t="inlineStr"/>
    </row>
    <row r="3009">
      <c r="A3009" t="inlineStr">
        <is>
          <t>nz-wellington</t>
        </is>
      </c>
      <c r="B3009" t="inlineStr">
        <is>
          <t>Wellington</t>
        </is>
      </c>
      <c r="C3009" t="inlineStr">
        <is>
          <t>New Zealand</t>
        </is>
      </c>
      <c r="D3009" t="inlineStr">
        <is>
          <t>Oceania</t>
        </is>
      </c>
      <c r="E3009" t="inlineStr">
        <is>
          <t>hospitality_belonging_raw</t>
        </is>
      </c>
      <c r="F3009" t="inlineStr">
        <is>
          <t>Hospitality and belonging raw</t>
        </is>
      </c>
      <c r="G3009" t="inlineStr">
        <is>
          <t>community</t>
        </is>
      </c>
      <c r="H3009" t="inlineStr">
        <is>
          <t>yes</t>
        </is>
      </c>
      <c r="I3009" t="inlineStr">
        <is>
          <t>53.29</t>
        </is>
      </c>
      <c r="J3009" t="inlineStr">
        <is>
          <t>world_bank</t>
        </is>
      </c>
      <c r="K3009" t="inlineStr">
        <is>
          <t>https://api.worldbank.org/v2/country/NZL/indicator/SM.POP.NETM?format=json&amp;mrv=10</t>
        </is>
      </c>
      <c r="L3009" t="inlineStr">
        <is>
          <t>World Bank WDI: Net migration (proxy for hospitality/belonging — positive = welcoming)</t>
        </is>
      </c>
      <c r="M3009" t="inlineStr">
        <is>
          <t>2025-12-31</t>
        </is>
      </c>
      <c r="N3009" t="inlineStr">
        <is>
          <t>auto_ingest=world_bank_proxy; proxy=net_migration_hospitality; indicator=SM.POP.NETM; year=2025; country_proxy=New Zealand</t>
        </is>
      </c>
    </row>
    <row r="3010">
      <c r="A3010" t="inlineStr">
        <is>
          <t>nz-wellington</t>
        </is>
      </c>
      <c r="B3010" t="inlineStr">
        <is>
          <t>Wellington</t>
        </is>
      </c>
      <c r="C3010" t="inlineStr">
        <is>
          <t>New Zealand</t>
        </is>
      </c>
      <c r="D3010" t="inlineStr">
        <is>
          <t>Oceania</t>
        </is>
      </c>
      <c r="E3010" t="inlineStr">
        <is>
          <t>tolerance_pluralism_raw</t>
        </is>
      </c>
      <c r="F3010" t="inlineStr">
        <is>
          <t>Tolerance and pluralism raw</t>
        </is>
      </c>
      <c r="G3010" t="inlineStr">
        <is>
          <t>community</t>
        </is>
      </c>
      <c r="H3010" t="inlineStr">
        <is>
          <t>yes</t>
        </is>
      </c>
      <c r="I3010" t="inlineStr">
        <is>
          <t>45.53</t>
        </is>
      </c>
      <c r="J3010" t="inlineStr">
        <is>
          <t>world_bank</t>
        </is>
      </c>
      <c r="K3010" t="inlineStr">
        <is>
          <t>https://api.worldbank.org/v2/country/NZL/indicator/SG.GEN.PARL.ZS?format=json&amp;mrv=10</t>
        </is>
      </c>
      <c r="L3010" t="inlineStr">
        <is>
          <t>World Bank WDI: Proportion of seats held by women in national parliaments (%)</t>
        </is>
      </c>
      <c r="M3010" t="inlineStr">
        <is>
          <t>2024-12-31</t>
        </is>
      </c>
      <c r="N3010" t="inlineStr">
        <is>
          <t>auto_ingest=world_bank_proxy; proxy=gender_parity_parliament; indicator=SG.GEN.PARL.ZS; year=2024; country_proxy=New Zealand</t>
        </is>
      </c>
    </row>
    <row r="3011">
      <c r="A3011" t="inlineStr">
        <is>
          <t>nz-wellington</t>
        </is>
      </c>
      <c r="B3011" t="inlineStr">
        <is>
          <t>Wellington</t>
        </is>
      </c>
      <c r="C3011" t="inlineStr">
        <is>
          <t>New Zealand</t>
        </is>
      </c>
      <c r="D3011" t="inlineStr">
        <is>
          <t>Oceania</t>
        </is>
      </c>
      <c r="E3011" t="inlineStr">
        <is>
          <t>cultural_public_life_raw</t>
        </is>
      </c>
      <c r="F3011" t="inlineStr">
        <is>
          <t>Cultural public life raw</t>
        </is>
      </c>
      <c r="G3011" t="inlineStr">
        <is>
          <t>community</t>
        </is>
      </c>
      <c r="H3011" t="inlineStr">
        <is>
          <t>yes</t>
        </is>
      </c>
      <c r="I3011" t="inlineStr">
        <is>
          <t>188.37</t>
        </is>
      </c>
      <c r="J3011" t="inlineStr">
        <is>
          <t>world_bank</t>
        </is>
      </c>
      <c r="K3011" t="inlineStr">
        <is>
          <t>https://api.worldbank.org/v2/country/NZL/indicator/ST.INT.ARVL?format=json&amp;mrv=10</t>
        </is>
      </c>
      <c r="L3011" t="inlineStr">
        <is>
          <t>World Bank WDI: International tourism arrivals per 1 000 population</t>
        </is>
      </c>
      <c r="M3011" t="inlineStr">
        <is>
          <t>2020-12-31</t>
        </is>
      </c>
      <c r="N3011" t="inlineStr">
        <is>
          <t>auto_ingest=cultural_life_proxy; indicator=ST.INT.ARVL; norm=per_1000_pop; year=2020; country_proxy=New Zealand</t>
        </is>
      </c>
    </row>
    <row r="3012">
      <c r="A3012" t="inlineStr">
        <is>
          <t>nz-wellington</t>
        </is>
      </c>
      <c r="B3012" t="inlineStr">
        <is>
          <t>Wellington</t>
        </is>
      </c>
      <c r="C3012" t="inlineStr">
        <is>
          <t>New Zealand</t>
        </is>
      </c>
      <c r="D3012" t="inlineStr">
        <is>
          <t>Oceania</t>
        </is>
      </c>
      <c r="E3012" t="inlineStr">
        <is>
          <t>birth_rate_optimism_raw</t>
        </is>
      </c>
      <c r="F3012" t="inlineStr">
        <is>
          <t>Birth rate and societal optimism raw</t>
        </is>
      </c>
      <c r="G3012" t="inlineStr">
        <is>
          <t>community</t>
        </is>
      </c>
      <c r="H3012" t="inlineStr">
        <is>
          <t>yes</t>
        </is>
      </c>
      <c r="I3012" t="inlineStr">
        <is>
          <t>1.56</t>
        </is>
      </c>
      <c r="J3012" t="inlineStr">
        <is>
          <t>world_bank</t>
        </is>
      </c>
      <c r="K3012" t="inlineStr">
        <is>
          <t>https://data.worldbank.org/indicator/SP.DYN.TFRT.IN</t>
        </is>
      </c>
      <c r="L3012" t="inlineStr">
        <is>
          <t>World Bank Total Fertility Rate 2023</t>
        </is>
      </c>
      <c r="M3012" t="inlineStr">
        <is>
          <t>2024-01-01</t>
        </is>
      </c>
      <c r="N3012" t="inlineStr"/>
    </row>
    <row r="3013">
      <c r="A3013" t="inlineStr">
        <is>
          <t>nz-wellington</t>
        </is>
      </c>
      <c r="B3013" t="inlineStr">
        <is>
          <t>Wellington</t>
        </is>
      </c>
      <c r="C3013" t="inlineStr">
        <is>
          <t>New Zealand</t>
        </is>
      </c>
      <c r="D3013" t="inlineStr">
        <is>
          <t>Oceania</t>
        </is>
      </c>
      <c r="E3013" t="inlineStr">
        <is>
          <t>entrepreneurial_dynamism_raw</t>
        </is>
      </c>
      <c r="F3013" t="inlineStr">
        <is>
          <t>Entrepreneurial dynamism raw</t>
        </is>
      </c>
      <c r="G3013" t="inlineStr">
        <is>
          <t>creative</t>
        </is>
      </c>
      <c r="H3013" t="inlineStr">
        <is>
          <t>yes</t>
        </is>
      </c>
      <c r="I3013" t="inlineStr">
        <is>
          <t>16.32</t>
        </is>
      </c>
      <c r="J3013" t="inlineStr">
        <is>
          <t>world_bank</t>
        </is>
      </c>
      <c r="K3013" t="inlineStr">
        <is>
          <t>https://api.worldbank.org/v2/country/NZL/indicator/IC.BUS.NDNS.ZS?format=json&amp;mrv=10</t>
        </is>
      </c>
      <c r="L3013" t="inlineStr">
        <is>
          <t>World Bank WDI: New business density (new registrations per 1,000 people ages 15-64)</t>
        </is>
      </c>
      <c r="M3013" t="inlineStr">
        <is>
          <t>2022-12-31</t>
        </is>
      </c>
      <c r="N3013" t="inlineStr">
        <is>
          <t>auto_ingest=world_bank_creative_extended; indicator=IC.BUS.NDNS.ZS; year=2022; country_proxy=New Zealand</t>
        </is>
      </c>
    </row>
    <row r="3014">
      <c r="A3014" t="inlineStr">
        <is>
          <t>nz-wellington</t>
        </is>
      </c>
      <c r="B3014" t="inlineStr">
        <is>
          <t>Wellington</t>
        </is>
      </c>
      <c r="C3014" t="inlineStr">
        <is>
          <t>New Zealand</t>
        </is>
      </c>
      <c r="D3014" t="inlineStr">
        <is>
          <t>Oceania</t>
        </is>
      </c>
      <c r="E3014" t="inlineStr">
        <is>
          <t>innovation_research_intensity_raw</t>
        </is>
      </c>
      <c r="F3014" t="inlineStr">
        <is>
          <t>Innovation and research raw</t>
        </is>
      </c>
      <c r="G3014" t="inlineStr">
        <is>
          <t>creative</t>
        </is>
      </c>
      <c r="H3014" t="inlineStr">
        <is>
          <t>yes</t>
        </is>
      </c>
      <c r="I3014" t="inlineStr">
        <is>
          <t>1.47</t>
        </is>
      </c>
      <c r="J3014" t="inlineStr">
        <is>
          <t>world_bank</t>
        </is>
      </c>
      <c r="K3014" t="inlineStr">
        <is>
          <t>https://api.worldbank.org/v2/country/NZL/indicator/GB.XPD.RSDV.GD.ZS?format=json&amp;mrv=10</t>
        </is>
      </c>
      <c r="L3014" t="inlineStr">
        <is>
          <t>World Bank WDI: Research and development expenditure (% of GDP)</t>
        </is>
      </c>
      <c r="M3014" t="inlineStr">
        <is>
          <t>2021-12-31</t>
        </is>
      </c>
      <c r="N3014" t="inlineStr">
        <is>
          <t>auto_ingest=world_bank_creative_extended; indicator=GB.XPD.RSDV.GD.ZS; year=2021; country_proxy=New Zealand</t>
        </is>
      </c>
    </row>
    <row r="3015">
      <c r="A3015" t="inlineStr">
        <is>
          <t>nz-wellington</t>
        </is>
      </c>
      <c r="B3015" t="inlineStr">
        <is>
          <t>Wellington</t>
        </is>
      </c>
      <c r="C3015" t="inlineStr">
        <is>
          <t>New Zealand</t>
        </is>
      </c>
      <c r="D3015" t="inlineStr">
        <is>
          <t>Oceania</t>
        </is>
      </c>
      <c r="E3015" t="inlineStr">
        <is>
          <t>investment_signal_raw</t>
        </is>
      </c>
      <c r="F3015" t="inlineStr">
        <is>
          <t>Investment signal raw</t>
        </is>
      </c>
      <c r="G3015" t="inlineStr">
        <is>
          <t>creative</t>
        </is>
      </c>
      <c r="H3015" t="inlineStr">
        <is>
          <t>yes</t>
        </is>
      </c>
      <c r="I3015" t="inlineStr">
        <is>
          <t>0.68</t>
        </is>
      </c>
      <c r="J3015" t="inlineStr">
        <is>
          <t>world_bank</t>
        </is>
      </c>
      <c r="K3015" t="inlineStr">
        <is>
          <t>https://api.worldbank.org/v2/country/NZL/indicator/BX.KLT.DINV.WD.GD.ZS?format=json&amp;mrv=10</t>
        </is>
      </c>
      <c r="L3015" t="inlineStr">
        <is>
          <t>World Bank WDI: Foreign direct investment, net inflows (% of GDP)</t>
        </is>
      </c>
      <c r="M3015" t="inlineStr">
        <is>
          <t>2024-12-31</t>
        </is>
      </c>
      <c r="N3015" t="inlineStr">
        <is>
          <t>auto_ingest=world_bank_creative_extended; indicator=BX.KLT.DINV.WD.GD.ZS; year=2024; country_proxy=New Zealand</t>
        </is>
      </c>
    </row>
    <row r="3016">
      <c r="A3016" t="inlineStr">
        <is>
          <t>nz-wellington</t>
        </is>
      </c>
      <c r="B3016" t="inlineStr">
        <is>
          <t>Wellington</t>
        </is>
      </c>
      <c r="C3016" t="inlineStr">
        <is>
          <t>New Zealand</t>
        </is>
      </c>
      <c r="D3016" t="inlineStr">
        <is>
          <t>Oceania</t>
        </is>
      </c>
      <c r="E3016" t="inlineStr">
        <is>
          <t>administrative_investment_friction_raw</t>
        </is>
      </c>
      <c r="F3016" t="inlineStr">
        <is>
          <t>Administrative investment friction raw</t>
        </is>
      </c>
      <c r="G3016" t="inlineStr">
        <is>
          <t>creative</t>
        </is>
      </c>
      <c r="H3016" t="inlineStr">
        <is>
          <t>yes</t>
        </is>
      </c>
      <c r="I3016" t="inlineStr">
        <is>
          <t>0.59</t>
        </is>
      </c>
      <c r="J3016" t="inlineStr">
        <is>
          <t>world_bank</t>
        </is>
      </c>
      <c r="K3016" t="inlineStr">
        <is>
          <t>https://api.worldbank.org/v2/country/NZL/indicator/RQ.EST?format=json&amp;mrv=10</t>
        </is>
      </c>
      <c r="L3016" t="inlineStr">
        <is>
          <t>World Bank WGI: Regulatory Quality (inverted as friction proxy)</t>
        </is>
      </c>
      <c r="M3016" t="inlineStr">
        <is>
          <t>2023-12-31</t>
        </is>
      </c>
      <c r="N3016" t="inlineStr">
        <is>
          <t>auto_ingest=world_bank_business_friction; indicator=RQ.EST; raw_rq=1.91022837162018; friction=0.59; year=2023; country_proxy=New Zealand</t>
        </is>
      </c>
    </row>
    <row r="3017">
      <c r="A3017" t="inlineStr">
        <is>
          <t>nz-wellington</t>
        </is>
      </c>
      <c r="B3017" t="inlineStr">
        <is>
          <t>Wellington</t>
        </is>
      </c>
      <c r="C3017" t="inlineStr">
        <is>
          <t>New Zealand</t>
        </is>
      </c>
      <c r="D3017" t="inlineStr">
        <is>
          <t>Oceania</t>
        </is>
      </c>
      <c r="E3017" t="inlineStr">
        <is>
          <t>visitor_flow_context_raw</t>
        </is>
      </c>
      <c r="F3017" t="inlineStr">
        <is>
          <t>Visitor flow context raw</t>
        </is>
      </c>
      <c r="G3017" t="inlineStr">
        <is>
          <t>creative</t>
        </is>
      </c>
      <c r="H3017" t="inlineStr">
        <is>
          <t>no</t>
        </is>
      </c>
      <c r="I3017" t="inlineStr"/>
      <c r="J3017" t="inlineStr"/>
      <c r="K3017" t="inlineStr"/>
      <c r="L3017" t="inlineStr"/>
      <c r="M3017" t="inlineStr"/>
      <c r="N3017" t="inlineStr"/>
    </row>
    <row r="3018">
      <c r="A3018" t="inlineStr">
        <is>
          <t>au-perth</t>
        </is>
      </c>
      <c r="B3018" t="inlineStr">
        <is>
          <t>Perth</t>
        </is>
      </c>
      <c r="C3018" t="inlineStr">
        <is>
          <t>Australia</t>
        </is>
      </c>
      <c r="D3018" t="inlineStr">
        <is>
          <t>Oceania</t>
        </is>
      </c>
      <c r="E3018" t="inlineStr">
        <is>
          <t>gross_income</t>
        </is>
      </c>
      <c r="F3018" t="inlineStr">
        <is>
          <t>Gross income</t>
        </is>
      </c>
      <c r="G3018" t="inlineStr">
        <is>
          <t>pressure</t>
        </is>
      </c>
      <c r="H3018" t="inlineStr">
        <is>
          <t>yes</t>
        </is>
      </c>
      <c r="I3018" t="inlineStr">
        <is>
          <t>5800.0</t>
        </is>
      </c>
      <c r="J3018" t="inlineStr">
        <is>
          <t>world_bank_col_estimate</t>
        </is>
      </c>
      <c r="K3018" t="inlineStr">
        <is>
          <t>https://api.worldbank.org/v2/country/AUS/indicator/NY.GNP.PCAP.PP.CD?format=json&amp;mrv=10</t>
        </is>
      </c>
      <c r="L3018" t="inlineStr">
        <is>
          <t>World Bank WDI: GNI per capita PPP (monthly USD)</t>
        </is>
      </c>
      <c r="M3018" t="inlineStr">
        <is>
          <t>2024-12-31</t>
        </is>
      </c>
      <c r="N3018" t="inlineStr">
        <is>
          <t>auto_ingest=world_bank_col_estimate; gni_annual=69600.0; year=2024; country_proxy=Australia; cohort=Oceania</t>
        </is>
      </c>
    </row>
    <row r="3019">
      <c r="A3019" t="inlineStr">
        <is>
          <t>au-perth</t>
        </is>
      </c>
      <c r="B3019" t="inlineStr">
        <is>
          <t>Perth</t>
        </is>
      </c>
      <c r="C3019" t="inlineStr">
        <is>
          <t>Australia</t>
        </is>
      </c>
      <c r="D3019" t="inlineStr">
        <is>
          <t>Oceania</t>
        </is>
      </c>
      <c r="E3019" t="inlineStr">
        <is>
          <t>di_ppp_raw</t>
        </is>
      </c>
      <c r="F3019" t="inlineStr">
        <is>
          <t>Disposable income PPP (Raw)</t>
        </is>
      </c>
      <c r="G3019" t="inlineStr">
        <is>
          <t>pressure</t>
        </is>
      </c>
      <c r="H3019" t="inlineStr">
        <is>
          <t>yes</t>
        </is>
      </c>
      <c r="I3019" t="inlineStr"/>
      <c r="J3019" t="inlineStr"/>
      <c r="K3019" t="inlineStr"/>
      <c r="L3019" t="inlineStr"/>
      <c r="M3019" t="inlineStr"/>
      <c r="N3019" t="inlineStr"/>
    </row>
    <row r="3020">
      <c r="A3020" t="inlineStr">
        <is>
          <t>au-perth</t>
        </is>
      </c>
      <c r="B3020" t="inlineStr">
        <is>
          <t>Perth</t>
        </is>
      </c>
      <c r="C3020" t="inlineStr">
        <is>
          <t>Australia</t>
        </is>
      </c>
      <c r="D3020" t="inlineStr">
        <is>
          <t>Oceania</t>
        </is>
      </c>
      <c r="E3020" t="inlineStr">
        <is>
          <t>rent</t>
        </is>
      </c>
      <c r="F3020" t="inlineStr">
        <is>
          <t>Rent</t>
        </is>
      </c>
      <c r="G3020" t="inlineStr">
        <is>
          <t>pressure</t>
        </is>
      </c>
      <c r="H3020" t="inlineStr">
        <is>
          <t>yes</t>
        </is>
      </c>
      <c r="I3020" t="inlineStr">
        <is>
          <t>1653.0</t>
        </is>
      </c>
      <c r="J3020" t="inlineStr">
        <is>
          <t>world_bank_col_estimate</t>
        </is>
      </c>
      <c r="K3020" t="inlineStr">
        <is>
          <t>https://api.worldbank.org/v2/country/AUS/indicator/NY.GNP.PCAP.PP.CD?format=json&amp;mrv=10</t>
        </is>
      </c>
      <c r="L3020" t="inlineStr">
        <is>
          <t>World Bank GNI + regional expenditure ratio estimate</t>
        </is>
      </c>
      <c r="M3020" t="inlineStr">
        <is>
          <t>2024-12-31</t>
        </is>
      </c>
      <c r="N3020" t="inlineStr">
        <is>
          <t>auto_ingest=world_bank_col_estimate; gni_annual=69600.0; year=2024; country_proxy=Australia; cohort=Oceania; city_cost_mult=0.95</t>
        </is>
      </c>
    </row>
    <row r="3021">
      <c r="A3021" t="inlineStr">
        <is>
          <t>au-perth</t>
        </is>
      </c>
      <c r="B3021" t="inlineStr">
        <is>
          <t>Perth</t>
        </is>
      </c>
      <c r="C3021" t="inlineStr">
        <is>
          <t>Australia</t>
        </is>
      </c>
      <c r="D3021" t="inlineStr">
        <is>
          <t>Oceania</t>
        </is>
      </c>
      <c r="E3021" t="inlineStr">
        <is>
          <t>utilities</t>
        </is>
      </c>
      <c r="F3021" t="inlineStr">
        <is>
          <t>Utilities</t>
        </is>
      </c>
      <c r="G3021" t="inlineStr">
        <is>
          <t>pressure</t>
        </is>
      </c>
      <c r="H3021" t="inlineStr">
        <is>
          <t>yes</t>
        </is>
      </c>
      <c r="I3021" t="inlineStr">
        <is>
          <t>330.6</t>
        </is>
      </c>
      <c r="J3021" t="inlineStr">
        <is>
          <t>world_bank_col_estimate</t>
        </is>
      </c>
      <c r="K3021" t="inlineStr">
        <is>
          <t>https://api.worldbank.org/v2/country/AUS/indicator/NY.GNP.PCAP.PP.CD?format=json&amp;mrv=10</t>
        </is>
      </c>
      <c r="L3021" t="inlineStr">
        <is>
          <t>World Bank GNI + regional expenditure ratio estimate</t>
        </is>
      </c>
      <c r="M3021" t="inlineStr">
        <is>
          <t>2024-12-31</t>
        </is>
      </c>
      <c r="N3021" t="inlineStr">
        <is>
          <t>auto_ingest=world_bank_col_estimate; gni_annual=69600.0; year=2024; country_proxy=Australia; cohort=Oceania; city_cost_mult=0.95</t>
        </is>
      </c>
    </row>
    <row r="3022">
      <c r="A3022" t="inlineStr">
        <is>
          <t>au-perth</t>
        </is>
      </c>
      <c r="B3022" t="inlineStr">
        <is>
          <t>Perth</t>
        </is>
      </c>
      <c r="C3022" t="inlineStr">
        <is>
          <t>Australia</t>
        </is>
      </c>
      <c r="D3022" t="inlineStr">
        <is>
          <t>Oceania</t>
        </is>
      </c>
      <c r="E3022" t="inlineStr">
        <is>
          <t>transit_cost</t>
        </is>
      </c>
      <c r="F3022" t="inlineStr">
        <is>
          <t>Transit cost</t>
        </is>
      </c>
      <c r="G3022" t="inlineStr">
        <is>
          <t>pressure</t>
        </is>
      </c>
      <c r="H3022" t="inlineStr">
        <is>
          <t>yes</t>
        </is>
      </c>
      <c r="I3022" t="inlineStr">
        <is>
          <t>220.4</t>
        </is>
      </c>
      <c r="J3022" t="inlineStr">
        <is>
          <t>world_bank_col_estimate</t>
        </is>
      </c>
      <c r="K3022" t="inlineStr">
        <is>
          <t>https://api.worldbank.org/v2/country/AUS/indicator/NY.GNP.PCAP.PP.CD?format=json&amp;mrv=10</t>
        </is>
      </c>
      <c r="L3022" t="inlineStr">
        <is>
          <t>World Bank GNI + regional expenditure ratio estimate</t>
        </is>
      </c>
      <c r="M3022" t="inlineStr">
        <is>
          <t>2024-12-31</t>
        </is>
      </c>
      <c r="N3022" t="inlineStr">
        <is>
          <t>auto_ingest=world_bank_col_estimate; gni_annual=69600.0; year=2024; country_proxy=Australia; cohort=Oceania; city_cost_mult=0.95</t>
        </is>
      </c>
    </row>
    <row r="3023">
      <c r="A3023" t="inlineStr">
        <is>
          <t>au-perth</t>
        </is>
      </c>
      <c r="B3023" t="inlineStr">
        <is>
          <t>Perth</t>
        </is>
      </c>
      <c r="C3023" t="inlineStr">
        <is>
          <t>Australia</t>
        </is>
      </c>
      <c r="D3023" t="inlineStr">
        <is>
          <t>Oceania</t>
        </is>
      </c>
      <c r="E3023" t="inlineStr">
        <is>
          <t>internet_cost</t>
        </is>
      </c>
      <c r="F3023" t="inlineStr">
        <is>
          <t>Internet cost</t>
        </is>
      </c>
      <c r="G3023" t="inlineStr">
        <is>
          <t>pressure</t>
        </is>
      </c>
      <c r="H3023" t="inlineStr">
        <is>
          <t>yes</t>
        </is>
      </c>
      <c r="I3023" t="inlineStr">
        <is>
          <t>82.65</t>
        </is>
      </c>
      <c r="J3023" t="inlineStr">
        <is>
          <t>world_bank_col_estimate</t>
        </is>
      </c>
      <c r="K3023" t="inlineStr">
        <is>
          <t>https://api.worldbank.org/v2/country/AUS/indicator/NY.GNP.PCAP.PP.CD?format=json&amp;mrv=10</t>
        </is>
      </c>
      <c r="L3023" t="inlineStr">
        <is>
          <t>World Bank GNI + regional expenditure ratio estimate</t>
        </is>
      </c>
      <c r="M3023" t="inlineStr">
        <is>
          <t>2024-12-31</t>
        </is>
      </c>
      <c r="N3023" t="inlineStr">
        <is>
          <t>auto_ingest=world_bank_col_estimate; gni_annual=69600.0; year=2024; country_proxy=Australia; cohort=Oceania; city_cost_mult=0.95</t>
        </is>
      </c>
    </row>
    <row r="3024">
      <c r="A3024" t="inlineStr">
        <is>
          <t>au-perth</t>
        </is>
      </c>
      <c r="B3024" t="inlineStr">
        <is>
          <t>Perth</t>
        </is>
      </c>
      <c r="C3024" t="inlineStr">
        <is>
          <t>Australia</t>
        </is>
      </c>
      <c r="D3024" t="inlineStr">
        <is>
          <t>Oceania</t>
        </is>
      </c>
      <c r="E3024" t="inlineStr">
        <is>
          <t>food_cost</t>
        </is>
      </c>
      <c r="F3024" t="inlineStr">
        <is>
          <t>Food cost</t>
        </is>
      </c>
      <c r="G3024" t="inlineStr">
        <is>
          <t>pressure</t>
        </is>
      </c>
      <c r="H3024" t="inlineStr">
        <is>
          <t>yes</t>
        </is>
      </c>
      <c r="I3024" t="inlineStr">
        <is>
          <t>826.5</t>
        </is>
      </c>
      <c r="J3024" t="inlineStr">
        <is>
          <t>world_bank_col_estimate</t>
        </is>
      </c>
      <c r="K3024" t="inlineStr">
        <is>
          <t>https://api.worldbank.org/v2/country/AUS/indicator/NY.GNP.PCAP.PP.CD?format=json&amp;mrv=10</t>
        </is>
      </c>
      <c r="L3024" t="inlineStr">
        <is>
          <t>World Bank GNI + regional expenditure ratio estimate</t>
        </is>
      </c>
      <c r="M3024" t="inlineStr">
        <is>
          <t>2024-12-31</t>
        </is>
      </c>
      <c r="N3024" t="inlineStr">
        <is>
          <t>auto_ingest=world_bank_col_estimate; gni_annual=69600.0; year=2024; country_proxy=Australia; cohort=Oceania; city_cost_mult=0.95</t>
        </is>
      </c>
    </row>
    <row r="3025">
      <c r="A3025" t="inlineStr">
        <is>
          <t>au-perth</t>
        </is>
      </c>
      <c r="B3025" t="inlineStr">
        <is>
          <t>Perth</t>
        </is>
      </c>
      <c r="C3025" t="inlineStr">
        <is>
          <t>Australia</t>
        </is>
      </c>
      <c r="D3025" t="inlineStr">
        <is>
          <t>Oceania</t>
        </is>
      </c>
      <c r="E3025" t="inlineStr">
        <is>
          <t>housing_burden_raw</t>
        </is>
      </c>
      <c r="F3025" t="inlineStr">
        <is>
          <t>Housing burden raw</t>
        </is>
      </c>
      <c r="G3025" t="inlineStr">
        <is>
          <t>pressure</t>
        </is>
      </c>
      <c r="H3025" t="inlineStr">
        <is>
          <t>yes</t>
        </is>
      </c>
      <c r="I3025" t="inlineStr">
        <is>
          <t>28.5</t>
        </is>
      </c>
      <c r="J3025" t="inlineStr">
        <is>
          <t>derived</t>
        </is>
      </c>
      <c r="K3025" t="inlineStr">
        <is>
          <t>https://data.worldbank.org/indicator/NY.GNP.PCAP.PP.CD</t>
        </is>
      </c>
      <c r="L3025" t="inlineStr">
        <is>
          <t>Computed from city_inputs + country_context</t>
        </is>
      </c>
      <c r="M3025" t="inlineStr">
        <is>
          <t>2024-01-01</t>
        </is>
      </c>
      <c r="N3025" t="inlineStr">
        <is>
          <t>derived=rent/gross_income*100</t>
        </is>
      </c>
    </row>
    <row r="3026">
      <c r="A3026" t="inlineStr">
        <is>
          <t>au-perth</t>
        </is>
      </c>
      <c r="B3026" t="inlineStr">
        <is>
          <t>Perth</t>
        </is>
      </c>
      <c r="C3026" t="inlineStr">
        <is>
          <t>Australia</t>
        </is>
      </c>
      <c r="D3026" t="inlineStr">
        <is>
          <t>Oceania</t>
        </is>
      </c>
      <c r="E3026" t="inlineStr">
        <is>
          <t>household_debt_burden_raw</t>
        </is>
      </c>
      <c r="F3026" t="inlineStr">
        <is>
          <t>Household debt burden raw</t>
        </is>
      </c>
      <c r="G3026" t="inlineStr">
        <is>
          <t>pressure</t>
        </is>
      </c>
      <c r="H3026" t="inlineStr">
        <is>
          <t>yes</t>
        </is>
      </c>
      <c r="I3026" t="inlineStr">
        <is>
          <t>129.3173</t>
        </is>
      </c>
      <c r="J3026" t="inlineStr">
        <is>
          <t>derived</t>
        </is>
      </c>
      <c r="K3026" t="inlineStr">
        <is>
          <t>https://data.worldbank.org/indicator/NY.GNP.PCAP.PP.CD</t>
        </is>
      </c>
      <c r="L3026" t="inlineStr">
        <is>
          <t>Computed from city_inputs + country_context</t>
        </is>
      </c>
      <c r="M3026" t="inlineStr">
        <is>
          <t>2024-01-01</t>
        </is>
      </c>
      <c r="N3026" t="inlineStr">
        <is>
          <t>derived=country_context.household_debt_proxy; country=Australia</t>
        </is>
      </c>
    </row>
    <row r="3027">
      <c r="A3027" t="inlineStr">
        <is>
          <t>au-perth</t>
        </is>
      </c>
      <c r="B3027" t="inlineStr">
        <is>
          <t>Perth</t>
        </is>
      </c>
      <c r="C3027" t="inlineStr">
        <is>
          <t>Australia</t>
        </is>
      </c>
      <c r="D3027" t="inlineStr">
        <is>
          <t>Oceania</t>
        </is>
      </c>
      <c r="E3027" t="inlineStr">
        <is>
          <t>working_time_pressure_raw</t>
        </is>
      </c>
      <c r="F3027" t="inlineStr">
        <is>
          <t>Working time pressure raw</t>
        </is>
      </c>
      <c r="G3027" t="inlineStr">
        <is>
          <t>pressure</t>
        </is>
      </c>
      <c r="H3027" t="inlineStr">
        <is>
          <t>yes</t>
        </is>
      </c>
      <c r="I3027" t="inlineStr">
        <is>
          <t>32.29</t>
        </is>
      </c>
      <c r="J3027" t="inlineStr">
        <is>
          <t>ilo_ilostat</t>
        </is>
      </c>
      <c r="K3027" t="inlineStr">
        <is>
          <t>https://ilostat.ilo.org/data/indicator/?id=HOW_TEMP_SEX_ECO_NB_A&amp;ref_area=AUS</t>
        </is>
      </c>
      <c r="L3027" t="inlineStr">
        <is>
          <t>ILO ILOSTAT: Mean weekly hours actually worked per employed person</t>
        </is>
      </c>
      <c r="M3027" t="inlineStr">
        <is>
          <t>2020-12-31</t>
        </is>
      </c>
      <c r="N3027" t="inlineStr">
        <is>
          <t>auto_ingest=ilo_working_hours; indicator=HOW_TEMP_SEX_ECO_NB_A; year=2020; hours=32.29; country_proxy=Australia</t>
        </is>
      </c>
    </row>
    <row r="3028">
      <c r="A3028" t="inlineStr">
        <is>
          <t>au-perth</t>
        </is>
      </c>
      <c r="B3028" t="inlineStr">
        <is>
          <t>Perth</t>
        </is>
      </c>
      <c r="C3028" t="inlineStr">
        <is>
          <t>Australia</t>
        </is>
      </c>
      <c r="D3028" t="inlineStr">
        <is>
          <t>Oceania</t>
        </is>
      </c>
      <c r="E3028" t="inlineStr">
        <is>
          <t>suicide_mental_strain_raw</t>
        </is>
      </c>
      <c r="F3028" t="inlineStr">
        <is>
          <t>Suicide or mental strain raw</t>
        </is>
      </c>
      <c r="G3028" t="inlineStr">
        <is>
          <t>pressure</t>
        </is>
      </c>
      <c r="H3028" t="inlineStr">
        <is>
          <t>yes</t>
        </is>
      </c>
      <c r="I3028" t="inlineStr">
        <is>
          <t>13.08</t>
        </is>
      </c>
      <c r="J3028" t="inlineStr">
        <is>
          <t>who_gho</t>
        </is>
      </c>
      <c r="K3028" t="inlineStr">
        <is>
          <t>https://www.who.int/data/gho/data/indicators/indicator-details/GHO/SDGSUICIDE</t>
        </is>
      </c>
      <c r="L3028" t="inlineStr">
        <is>
          <t>WHO GHO: Age-standardized suicide rate (per 100,000 population)</t>
        </is>
      </c>
      <c r="M3028" t="inlineStr">
        <is>
          <t>2021-12-31</t>
        </is>
      </c>
      <c r="N3028" t="inlineStr">
        <is>
          <t>auto_ingest=who_gho; indicator=SDGSUICIDE; year=2021; country_proxy=Australia</t>
        </is>
      </c>
    </row>
    <row r="3029">
      <c r="A3029" t="inlineStr">
        <is>
          <t>au-perth</t>
        </is>
      </c>
      <c r="B3029" t="inlineStr">
        <is>
          <t>Perth</t>
        </is>
      </c>
      <c r="C3029" t="inlineStr">
        <is>
          <t>Australia</t>
        </is>
      </c>
      <c r="D3029" t="inlineStr">
        <is>
          <t>Oceania</t>
        </is>
      </c>
      <c r="E3029" t="inlineStr">
        <is>
          <t>personal_safety_raw</t>
        </is>
      </c>
      <c r="F3029" t="inlineStr">
        <is>
          <t>Personal safety raw</t>
        </is>
      </c>
      <c r="G3029" t="inlineStr">
        <is>
          <t>viability</t>
        </is>
      </c>
      <c r="H3029" t="inlineStr">
        <is>
          <t>yes</t>
        </is>
      </c>
      <c r="I3029" t="inlineStr">
        <is>
          <t>0.85</t>
        </is>
      </c>
      <c r="J3029" t="inlineStr">
        <is>
          <t>world_bank</t>
        </is>
      </c>
      <c r="K3029" t="inlineStr">
        <is>
          <t>https://api.worldbank.org/v2/country/AUS/indicator/VC.IHR.PSRC.P5?format=json&amp;mrv=10</t>
        </is>
      </c>
      <c r="L3029" t="inlineStr">
        <is>
          <t>UNODC via World Bank WDI: Intentional homicides (per 100,000 people)</t>
        </is>
      </c>
      <c r="M3029" t="inlineStr">
        <is>
          <t>2023-12-31</t>
        </is>
      </c>
      <c r="N3029" t="inlineStr">
        <is>
          <t>auto_ingest=unodc_safety; indicator=VC.IHR.PSRC.P5; year=2023; country_proxy=Australia</t>
        </is>
      </c>
    </row>
    <row r="3030">
      <c r="A3030" t="inlineStr">
        <is>
          <t>au-perth</t>
        </is>
      </c>
      <c r="B3030" t="inlineStr">
        <is>
          <t>Perth</t>
        </is>
      </c>
      <c r="C3030" t="inlineStr">
        <is>
          <t>Australia</t>
        </is>
      </c>
      <c r="D3030" t="inlineStr">
        <is>
          <t>Oceania</t>
        </is>
      </c>
      <c r="E3030" t="inlineStr">
        <is>
          <t>transit_access_commute_raw</t>
        </is>
      </c>
      <c r="F3030" t="inlineStr">
        <is>
          <t>Transit access and commute raw</t>
        </is>
      </c>
      <c r="G3030" t="inlineStr">
        <is>
          <t>viability</t>
        </is>
      </c>
      <c r="H3030" t="inlineStr">
        <is>
          <t>yes</t>
        </is>
      </c>
      <c r="I3030" t="inlineStr"/>
      <c r="J3030" t="inlineStr"/>
      <c r="K3030" t="inlineStr"/>
      <c r="L3030" t="inlineStr"/>
      <c r="M3030" t="inlineStr"/>
      <c r="N3030" t="inlineStr"/>
    </row>
    <row r="3031">
      <c r="A3031" t="inlineStr">
        <is>
          <t>au-perth</t>
        </is>
      </c>
      <c r="B3031" t="inlineStr">
        <is>
          <t>Perth</t>
        </is>
      </c>
      <c r="C3031" t="inlineStr">
        <is>
          <t>Australia</t>
        </is>
      </c>
      <c r="D3031" t="inlineStr">
        <is>
          <t>Oceania</t>
        </is>
      </c>
      <c r="E3031" t="inlineStr">
        <is>
          <t>clean_air_raw</t>
        </is>
      </c>
      <c r="F3031" t="inlineStr">
        <is>
          <t>Clean air raw</t>
        </is>
      </c>
      <c r="G3031" t="inlineStr">
        <is>
          <t>viability</t>
        </is>
      </c>
      <c r="H3031" t="inlineStr">
        <is>
          <t>yes</t>
        </is>
      </c>
      <c r="I3031" t="inlineStr"/>
      <c r="J3031" t="inlineStr"/>
      <c r="K3031" t="inlineStr"/>
      <c r="L3031" t="inlineStr"/>
      <c r="M3031" t="inlineStr"/>
      <c r="N3031" t="inlineStr"/>
    </row>
    <row r="3032">
      <c r="A3032" t="inlineStr">
        <is>
          <t>au-perth</t>
        </is>
      </c>
      <c r="B3032" t="inlineStr">
        <is>
          <t>Perth</t>
        </is>
      </c>
      <c r="C3032" t="inlineStr">
        <is>
          <t>Australia</t>
        </is>
      </c>
      <c r="D3032" t="inlineStr">
        <is>
          <t>Oceania</t>
        </is>
      </c>
      <c r="E3032" t="inlineStr">
        <is>
          <t>water_sanitation_utility_raw</t>
        </is>
      </c>
      <c r="F3032" t="inlineStr">
        <is>
          <t>Water, sanitation, and utility raw</t>
        </is>
      </c>
      <c r="G3032" t="inlineStr">
        <is>
          <t>viability</t>
        </is>
      </c>
      <c r="H3032" t="inlineStr">
        <is>
          <t>yes</t>
        </is>
      </c>
      <c r="I3032" t="inlineStr"/>
      <c r="J3032" t="inlineStr"/>
      <c r="K3032" t="inlineStr"/>
      <c r="L3032" t="inlineStr"/>
      <c r="M3032" t="inlineStr"/>
      <c r="N3032" t="inlineStr"/>
    </row>
    <row r="3033">
      <c r="A3033" t="inlineStr">
        <is>
          <t>au-perth</t>
        </is>
      </c>
      <c r="B3033" t="inlineStr">
        <is>
          <t>Perth</t>
        </is>
      </c>
      <c r="C3033" t="inlineStr">
        <is>
          <t>Australia</t>
        </is>
      </c>
      <c r="D3033" t="inlineStr">
        <is>
          <t>Oceania</t>
        </is>
      </c>
      <c r="E3033" t="inlineStr">
        <is>
          <t>digital_infrastructure_raw</t>
        </is>
      </c>
      <c r="F3033" t="inlineStr">
        <is>
          <t>Digital infrastructure raw</t>
        </is>
      </c>
      <c r="G3033" t="inlineStr">
        <is>
          <t>viability</t>
        </is>
      </c>
      <c r="H3033" t="inlineStr">
        <is>
          <t>yes</t>
        </is>
      </c>
      <c r="I3033" t="inlineStr">
        <is>
          <t>36.6</t>
        </is>
      </c>
      <c r="J3033" t="inlineStr">
        <is>
          <t>world_bank</t>
        </is>
      </c>
      <c r="K3033" t="inlineStr">
        <is>
          <t>https://api.worldbank.org/v2/country/AUS/indicator/IT.NET.BBND.P2?format=json&amp;mrv=10</t>
        </is>
      </c>
      <c r="L3033" t="inlineStr">
        <is>
          <t>World Bank WDI: Fixed broadband subscriptions (per 100 people)</t>
        </is>
      </c>
      <c r="M3033" t="inlineStr">
        <is>
          <t>2023-12-31</t>
        </is>
      </c>
      <c r="N3033" t="inlineStr">
        <is>
          <t>auto_ingest=world_bank_proxy; indicator=IT.NET.BBND.P2; year=2023; country_proxy=Australia</t>
        </is>
      </c>
    </row>
    <row r="3034">
      <c r="A3034" t="inlineStr">
        <is>
          <t>au-perth</t>
        </is>
      </c>
      <c r="B3034" t="inlineStr">
        <is>
          <t>Perth</t>
        </is>
      </c>
      <c r="C3034" t="inlineStr">
        <is>
          <t>Australia</t>
        </is>
      </c>
      <c r="D3034" t="inlineStr">
        <is>
          <t>Oceania</t>
        </is>
      </c>
      <c r="E3034" t="inlineStr">
        <is>
          <t>climate_sunlight_livability_raw</t>
        </is>
      </c>
      <c r="F3034" t="inlineStr">
        <is>
          <t>Climate and sunlight livability raw</t>
        </is>
      </c>
      <c r="G3034" t="inlineStr">
        <is>
          <t>viability</t>
        </is>
      </c>
      <c r="H3034" t="inlineStr">
        <is>
          <t>yes</t>
        </is>
      </c>
      <c r="I3034" t="inlineStr">
        <is>
          <t>74</t>
        </is>
      </c>
      <c r="J3034" t="inlineStr">
        <is>
          <t>wmo_natl_met</t>
        </is>
      </c>
      <c r="K3034" t="inlineStr">
        <is>
          <t>https://worldweather.wmo.int</t>
        </is>
      </c>
      <c r="L3034" t="inlineStr">
        <is>
          <t>WMO/National Met: Climate livability composite</t>
        </is>
      </c>
      <c r="M3034" t="inlineStr">
        <is>
          <t>2024-12-31</t>
        </is>
      </c>
      <c r="N3034" t="inlineStr">
        <is>
          <t>auto_seed=climate_composite; 3200 sun hrs, 19C mean, Mediterranean</t>
        </is>
      </c>
    </row>
    <row r="3035">
      <c r="A3035" t="inlineStr">
        <is>
          <t>au-perth</t>
        </is>
      </c>
      <c r="B3035" t="inlineStr">
        <is>
          <t>Perth</t>
        </is>
      </c>
      <c r="C3035" t="inlineStr">
        <is>
          <t>Australia</t>
        </is>
      </c>
      <c r="D3035" t="inlineStr">
        <is>
          <t>Oceania</t>
        </is>
      </c>
      <c r="E3035" t="inlineStr">
        <is>
          <t>healthcare_quality_raw</t>
        </is>
      </c>
      <c r="F3035" t="inlineStr">
        <is>
          <t>Healthcare quality raw</t>
        </is>
      </c>
      <c r="G3035" t="inlineStr">
        <is>
          <t>capability</t>
        </is>
      </c>
      <c r="H3035" t="inlineStr">
        <is>
          <t>yes</t>
        </is>
      </c>
      <c r="I3035" t="inlineStr">
        <is>
          <t>89.0</t>
        </is>
      </c>
      <c r="J3035" t="inlineStr">
        <is>
          <t>who_gho</t>
        </is>
      </c>
      <c r="K3035" t="inlineStr">
        <is>
          <t>https://www.who.int/data/gho/data/indicators/indicator-details/GHO/UHC_INDEX_REPORTED</t>
        </is>
      </c>
      <c r="L3035" t="inlineStr">
        <is>
          <t>WHO GHO: UHC Service Coverage Index</t>
        </is>
      </c>
      <c r="M3035" t="inlineStr">
        <is>
          <t>2023-12-31</t>
        </is>
      </c>
      <c r="N3035" t="inlineStr">
        <is>
          <t>auto_ingest=who_gho; indicator=UHC_INDEX_REPORTED; year=2023; country_proxy=Australia</t>
        </is>
      </c>
    </row>
    <row r="3036">
      <c r="A3036" t="inlineStr">
        <is>
          <t>au-perth</t>
        </is>
      </c>
      <c r="B3036" t="inlineStr">
        <is>
          <t>Perth</t>
        </is>
      </c>
      <c r="C3036" t="inlineStr">
        <is>
          <t>Australia</t>
        </is>
      </c>
      <c r="D3036" t="inlineStr">
        <is>
          <t>Oceania</t>
        </is>
      </c>
      <c r="E3036" t="inlineStr">
        <is>
          <t>education_quality_raw</t>
        </is>
      </c>
      <c r="F3036" t="inlineStr">
        <is>
          <t>Education quality raw</t>
        </is>
      </c>
      <c r="G3036" t="inlineStr">
        <is>
          <t>capability</t>
        </is>
      </c>
      <c r="H3036" t="inlineStr">
        <is>
          <t>yes</t>
        </is>
      </c>
      <c r="I3036" t="inlineStr">
        <is>
          <t>104.65</t>
        </is>
      </c>
      <c r="J3036" t="inlineStr">
        <is>
          <t>world_bank</t>
        </is>
      </c>
      <c r="K3036" t="inlineStr">
        <is>
          <t>https://api.worldbank.org/v2/country/AUS/indicator/SE.TER.ENRR?format=json&amp;mrv=10</t>
        </is>
      </c>
      <c r="L3036" t="inlineStr">
        <is>
          <t>World Bank WDI: School enrollment, tertiary (% gross)</t>
        </is>
      </c>
      <c r="M3036" t="inlineStr">
        <is>
          <t>2023-12-31</t>
        </is>
      </c>
      <c r="N3036" t="inlineStr">
        <is>
          <t>auto_ingest=world_bank_proxy; indicator=SE.TER.ENRR; year=2023; country_proxy=Australia</t>
        </is>
      </c>
    </row>
    <row r="3037">
      <c r="A3037" t="inlineStr">
        <is>
          <t>au-perth</t>
        </is>
      </c>
      <c r="B3037" t="inlineStr">
        <is>
          <t>Perth</t>
        </is>
      </c>
      <c r="C3037" t="inlineStr">
        <is>
          <t>Australia</t>
        </is>
      </c>
      <c r="D3037" t="inlineStr">
        <is>
          <t>Oceania</t>
        </is>
      </c>
      <c r="E3037" t="inlineStr">
        <is>
          <t>equal_opportunity_raw</t>
        </is>
      </c>
      <c r="F3037" t="inlineStr">
        <is>
          <t>Equal opportunity raw</t>
        </is>
      </c>
      <c r="G3037" t="inlineStr">
        <is>
          <t>capability</t>
        </is>
      </c>
      <c r="H3037" t="inlineStr">
        <is>
          <t>yes</t>
        </is>
      </c>
      <c r="I3037" t="inlineStr">
        <is>
          <t>33.8</t>
        </is>
      </c>
      <c r="J3037" t="inlineStr">
        <is>
          <t>world_bank</t>
        </is>
      </c>
      <c r="K3037" t="inlineStr">
        <is>
          <t>https://api.worldbank.org/v2/country/AUS/indicator/SI.POV.GINI?format=json&amp;mrv=10</t>
        </is>
      </c>
      <c r="L3037" t="inlineStr">
        <is>
          <t>World Bank WDI: Gini index</t>
        </is>
      </c>
      <c r="M3037" t="inlineStr">
        <is>
          <t>2020-12-31</t>
        </is>
      </c>
      <c r="N3037" t="inlineStr">
        <is>
          <t>auto_ingest=world_bank_capability; indicator=SI.POV.GINI; year=2020; country_proxy=Australia</t>
        </is>
      </c>
    </row>
    <row r="3038">
      <c r="A3038" t="inlineStr">
        <is>
          <t>au-perth</t>
        </is>
      </c>
      <c r="B3038" t="inlineStr">
        <is>
          <t>Perth</t>
        </is>
      </c>
      <c r="C3038" t="inlineStr">
        <is>
          <t>Australia</t>
        </is>
      </c>
      <c r="D3038" t="inlineStr">
        <is>
          <t>Oceania</t>
        </is>
      </c>
      <c r="E3038" t="inlineStr">
        <is>
          <t>hospitality_belonging_raw</t>
        </is>
      </c>
      <c r="F3038" t="inlineStr">
        <is>
          <t>Hospitality and belonging raw</t>
        </is>
      </c>
      <c r="G3038" t="inlineStr">
        <is>
          <t>community</t>
        </is>
      </c>
      <c r="H3038" t="inlineStr">
        <is>
          <t>yes</t>
        </is>
      </c>
      <c r="I3038" t="inlineStr">
        <is>
          <t>55.04</t>
        </is>
      </c>
      <c r="J3038" t="inlineStr">
        <is>
          <t>world_bank</t>
        </is>
      </c>
      <c r="K3038" t="inlineStr">
        <is>
          <t>https://api.worldbank.org/v2/country/AUS/indicator/SM.POP.NETM?format=json&amp;mrv=10</t>
        </is>
      </c>
      <c r="L3038" t="inlineStr">
        <is>
          <t>World Bank WDI: Net migration (proxy for hospitality/belonging — positive = welcoming)</t>
        </is>
      </c>
      <c r="M3038" t="inlineStr">
        <is>
          <t>2025-12-31</t>
        </is>
      </c>
      <c r="N3038" t="inlineStr">
        <is>
          <t>auto_ingest=world_bank_proxy; proxy=net_migration_hospitality; indicator=SM.POP.NETM; year=2025; country_proxy=Australia</t>
        </is>
      </c>
    </row>
    <row r="3039">
      <c r="A3039" t="inlineStr">
        <is>
          <t>au-perth</t>
        </is>
      </c>
      <c r="B3039" t="inlineStr">
        <is>
          <t>Perth</t>
        </is>
      </c>
      <c r="C3039" t="inlineStr">
        <is>
          <t>Australia</t>
        </is>
      </c>
      <c r="D3039" t="inlineStr">
        <is>
          <t>Oceania</t>
        </is>
      </c>
      <c r="E3039" t="inlineStr">
        <is>
          <t>tolerance_pluralism_raw</t>
        </is>
      </c>
      <c r="F3039" t="inlineStr">
        <is>
          <t>Tolerance and pluralism raw</t>
        </is>
      </c>
      <c r="G3039" t="inlineStr">
        <is>
          <t>community</t>
        </is>
      </c>
      <c r="H3039" t="inlineStr">
        <is>
          <t>yes</t>
        </is>
      </c>
      <c r="I3039" t="inlineStr">
        <is>
          <t>38.0</t>
        </is>
      </c>
      <c r="J3039" t="inlineStr">
        <is>
          <t>world_bank</t>
        </is>
      </c>
      <c r="K3039" t="inlineStr">
        <is>
          <t>https://api.worldbank.org/v2/country/AUS/indicator/SG.GEN.PARL.ZS?format=json&amp;mrv=10</t>
        </is>
      </c>
      <c r="L3039" t="inlineStr">
        <is>
          <t>World Bank WDI: Proportion of seats held by women in national parliaments (%)</t>
        </is>
      </c>
      <c r="M3039" t="inlineStr">
        <is>
          <t>2024-12-31</t>
        </is>
      </c>
      <c r="N3039" t="inlineStr">
        <is>
          <t>auto_ingest=world_bank_proxy; proxy=gender_parity_parliament; indicator=SG.GEN.PARL.ZS; year=2024; country_proxy=Australia</t>
        </is>
      </c>
    </row>
    <row r="3040">
      <c r="A3040" t="inlineStr">
        <is>
          <t>au-perth</t>
        </is>
      </c>
      <c r="B3040" t="inlineStr">
        <is>
          <t>Perth</t>
        </is>
      </c>
      <c r="C3040" t="inlineStr">
        <is>
          <t>Australia</t>
        </is>
      </c>
      <c r="D3040" t="inlineStr">
        <is>
          <t>Oceania</t>
        </is>
      </c>
      <c r="E3040" t="inlineStr">
        <is>
          <t>cultural_public_life_raw</t>
        </is>
      </c>
      <c r="F3040" t="inlineStr">
        <is>
          <t>Cultural public life raw</t>
        </is>
      </c>
      <c r="G3040" t="inlineStr">
        <is>
          <t>community</t>
        </is>
      </c>
      <c r="H3040" t="inlineStr">
        <is>
          <t>yes</t>
        </is>
      </c>
      <c r="I3040" t="inlineStr">
        <is>
          <t>67.21</t>
        </is>
      </c>
      <c r="J3040" t="inlineStr">
        <is>
          <t>world_bank</t>
        </is>
      </c>
      <c r="K3040" t="inlineStr">
        <is>
          <t>https://api.worldbank.org/v2/country/AUS/indicator/ST.INT.ARVL?format=json&amp;mrv=10</t>
        </is>
      </c>
      <c r="L3040" t="inlineStr">
        <is>
          <t>World Bank WDI: International tourism arrivals per 1 000 population</t>
        </is>
      </c>
      <c r="M3040" t="inlineStr">
        <is>
          <t>2020-12-31</t>
        </is>
      </c>
      <c r="N3040" t="inlineStr">
        <is>
          <t>auto_ingest=cultural_life_proxy; indicator=ST.INT.ARVL; norm=per_1000_pop; year=2020; country_proxy=Australia</t>
        </is>
      </c>
    </row>
    <row r="3041">
      <c r="A3041" t="inlineStr">
        <is>
          <t>au-perth</t>
        </is>
      </c>
      <c r="B3041" t="inlineStr">
        <is>
          <t>Perth</t>
        </is>
      </c>
      <c r="C3041" t="inlineStr">
        <is>
          <t>Australia</t>
        </is>
      </c>
      <c r="D3041" t="inlineStr">
        <is>
          <t>Oceania</t>
        </is>
      </c>
      <c r="E3041" t="inlineStr">
        <is>
          <t>birth_rate_optimism_raw</t>
        </is>
      </c>
      <c r="F3041" t="inlineStr">
        <is>
          <t>Birth rate and societal optimism raw</t>
        </is>
      </c>
      <c r="G3041" t="inlineStr">
        <is>
          <t>community</t>
        </is>
      </c>
      <c r="H3041" t="inlineStr">
        <is>
          <t>yes</t>
        </is>
      </c>
      <c r="I3041" t="inlineStr">
        <is>
          <t>1.58</t>
        </is>
      </c>
      <c r="J3041" t="inlineStr">
        <is>
          <t>world_bank</t>
        </is>
      </c>
      <c r="K3041" t="inlineStr">
        <is>
          <t>https://data.worldbank.org/indicator/SP.DYN.TFRT.IN</t>
        </is>
      </c>
      <c r="L3041" t="inlineStr">
        <is>
          <t>World Bank Total Fertility Rate 2023</t>
        </is>
      </c>
      <c r="M3041" t="inlineStr">
        <is>
          <t>2024-01-01</t>
        </is>
      </c>
      <c r="N3041" t="inlineStr"/>
    </row>
    <row r="3042">
      <c r="A3042" t="inlineStr">
        <is>
          <t>au-perth</t>
        </is>
      </c>
      <c r="B3042" t="inlineStr">
        <is>
          <t>Perth</t>
        </is>
      </c>
      <c r="C3042" t="inlineStr">
        <is>
          <t>Australia</t>
        </is>
      </c>
      <c r="D3042" t="inlineStr">
        <is>
          <t>Oceania</t>
        </is>
      </c>
      <c r="E3042" t="inlineStr">
        <is>
          <t>entrepreneurial_dynamism_raw</t>
        </is>
      </c>
      <c r="F3042" t="inlineStr">
        <is>
          <t>Entrepreneurial dynamism raw</t>
        </is>
      </c>
      <c r="G3042" t="inlineStr">
        <is>
          <t>creative</t>
        </is>
      </c>
      <c r="H3042" t="inlineStr">
        <is>
          <t>yes</t>
        </is>
      </c>
      <c r="I3042" t="inlineStr">
        <is>
          <t>17.26</t>
        </is>
      </c>
      <c r="J3042" t="inlineStr">
        <is>
          <t>world_bank</t>
        </is>
      </c>
      <c r="K3042" t="inlineStr">
        <is>
          <t>https://api.worldbank.org/v2/country/AUS/indicator/IC.BUS.NDNS.ZS?format=json&amp;mrv=10</t>
        </is>
      </c>
      <c r="L3042" t="inlineStr">
        <is>
          <t>World Bank WDI: New business density (new registrations per 1,000 people ages 15-64)</t>
        </is>
      </c>
      <c r="M3042" t="inlineStr">
        <is>
          <t>2022-12-31</t>
        </is>
      </c>
      <c r="N3042" t="inlineStr">
        <is>
          <t>auto_ingest=world_bank_creative_extended; indicator=IC.BUS.NDNS.ZS; year=2022; country_proxy=Australia</t>
        </is>
      </c>
    </row>
    <row r="3043">
      <c r="A3043" t="inlineStr">
        <is>
          <t>au-perth</t>
        </is>
      </c>
      <c r="B3043" t="inlineStr">
        <is>
          <t>Perth</t>
        </is>
      </c>
      <c r="C3043" t="inlineStr">
        <is>
          <t>Australia</t>
        </is>
      </c>
      <c r="D3043" t="inlineStr">
        <is>
          <t>Oceania</t>
        </is>
      </c>
      <c r="E3043" t="inlineStr">
        <is>
          <t>innovation_research_intensity_raw</t>
        </is>
      </c>
      <c r="F3043" t="inlineStr">
        <is>
          <t>Innovation and research raw</t>
        </is>
      </c>
      <c r="G3043" t="inlineStr">
        <is>
          <t>creative</t>
        </is>
      </c>
      <c r="H3043" t="inlineStr">
        <is>
          <t>yes</t>
        </is>
      </c>
      <c r="I3043" t="inlineStr">
        <is>
          <t>1.86</t>
        </is>
      </c>
      <c r="J3043" t="inlineStr">
        <is>
          <t>world_bank</t>
        </is>
      </c>
      <c r="K3043" t="inlineStr">
        <is>
          <t>https://api.worldbank.org/v2/country/AUS/indicator/GB.XPD.RSDV.GD.ZS?format=json&amp;mrv=10</t>
        </is>
      </c>
      <c r="L3043" t="inlineStr">
        <is>
          <t>World Bank WDI: Research and development expenditure (% of GDP)</t>
        </is>
      </c>
      <c r="M3043" t="inlineStr">
        <is>
          <t>2021-12-31</t>
        </is>
      </c>
      <c r="N3043" t="inlineStr">
        <is>
          <t>auto_ingest=world_bank_creative_extended; indicator=GB.XPD.RSDV.GD.ZS; year=2021; country_proxy=Australia</t>
        </is>
      </c>
    </row>
    <row r="3044">
      <c r="A3044" t="inlineStr">
        <is>
          <t>au-perth</t>
        </is>
      </c>
      <c r="B3044" t="inlineStr">
        <is>
          <t>Perth</t>
        </is>
      </c>
      <c r="C3044" t="inlineStr">
        <is>
          <t>Australia</t>
        </is>
      </c>
      <c r="D3044" t="inlineStr">
        <is>
          <t>Oceania</t>
        </is>
      </c>
      <c r="E3044" t="inlineStr">
        <is>
          <t>investment_signal_raw</t>
        </is>
      </c>
      <c r="F3044" t="inlineStr">
        <is>
          <t>Investment signal raw</t>
        </is>
      </c>
      <c r="G3044" t="inlineStr">
        <is>
          <t>creative</t>
        </is>
      </c>
      <c r="H3044" t="inlineStr">
        <is>
          <t>yes</t>
        </is>
      </c>
      <c r="I3044" t="inlineStr">
        <is>
          <t>3.04</t>
        </is>
      </c>
      <c r="J3044" t="inlineStr">
        <is>
          <t>world_bank</t>
        </is>
      </c>
      <c r="K3044" t="inlineStr">
        <is>
          <t>https://api.worldbank.org/v2/country/AUS/indicator/BX.KLT.DINV.WD.GD.ZS?format=json&amp;mrv=10</t>
        </is>
      </c>
      <c r="L3044" t="inlineStr">
        <is>
          <t>World Bank WDI: Foreign direct investment, net inflows (% of GDP)</t>
        </is>
      </c>
      <c r="M3044" t="inlineStr">
        <is>
          <t>2024-12-31</t>
        </is>
      </c>
      <c r="N3044" t="inlineStr">
        <is>
          <t>auto_ingest=world_bank_creative_extended; indicator=BX.KLT.DINV.WD.GD.ZS; year=2024; country_proxy=Australia</t>
        </is>
      </c>
    </row>
    <row r="3045">
      <c r="A3045" t="inlineStr">
        <is>
          <t>au-perth</t>
        </is>
      </c>
      <c r="B3045" t="inlineStr">
        <is>
          <t>Perth</t>
        </is>
      </c>
      <c r="C3045" t="inlineStr">
        <is>
          <t>Australia</t>
        </is>
      </c>
      <c r="D3045" t="inlineStr">
        <is>
          <t>Oceania</t>
        </is>
      </c>
      <c r="E3045" t="inlineStr">
        <is>
          <t>administrative_investment_friction_raw</t>
        </is>
      </c>
      <c r="F3045" t="inlineStr">
        <is>
          <t>Administrative investment friction raw</t>
        </is>
      </c>
      <c r="G3045" t="inlineStr">
        <is>
          <t>creative</t>
        </is>
      </c>
      <c r="H3045" t="inlineStr">
        <is>
          <t>yes</t>
        </is>
      </c>
      <c r="I3045" t="inlineStr">
        <is>
          <t>0.56</t>
        </is>
      </c>
      <c r="J3045" t="inlineStr">
        <is>
          <t>world_bank</t>
        </is>
      </c>
      <c r="K3045" t="inlineStr">
        <is>
          <t>https://api.worldbank.org/v2/country/AUS/indicator/RQ.EST?format=json&amp;mrv=10</t>
        </is>
      </c>
      <c r="L3045" t="inlineStr">
        <is>
          <t>World Bank WGI: Regulatory Quality (inverted as friction proxy)</t>
        </is>
      </c>
      <c r="M3045" t="inlineStr">
        <is>
          <t>2023-12-31</t>
        </is>
      </c>
      <c r="N3045" t="inlineStr">
        <is>
          <t>auto_ingest=world_bank_business_friction; indicator=RQ.EST; raw_rq=1.94220554828644; friction=0.56; year=2023; country_proxy=Australia</t>
        </is>
      </c>
    </row>
    <row r="3046">
      <c r="A3046" t="inlineStr">
        <is>
          <t>au-perth</t>
        </is>
      </c>
      <c r="B3046" t="inlineStr">
        <is>
          <t>Perth</t>
        </is>
      </c>
      <c r="C3046" t="inlineStr">
        <is>
          <t>Australia</t>
        </is>
      </c>
      <c r="D3046" t="inlineStr">
        <is>
          <t>Oceania</t>
        </is>
      </c>
      <c r="E3046" t="inlineStr">
        <is>
          <t>visitor_flow_context_raw</t>
        </is>
      </c>
      <c r="F3046" t="inlineStr">
        <is>
          <t>Visitor flow context raw</t>
        </is>
      </c>
      <c r="G3046" t="inlineStr">
        <is>
          <t>creative</t>
        </is>
      </c>
      <c r="H3046" t="inlineStr">
        <is>
          <t>no</t>
        </is>
      </c>
      <c r="I3046" t="inlineStr"/>
      <c r="J3046" t="inlineStr"/>
      <c r="K3046" t="inlineStr"/>
      <c r="L3046" t="inlineStr"/>
      <c r="M3046" t="inlineStr"/>
      <c r="N3046" t="inlineStr"/>
    </row>
    <row r="3047">
      <c r="A3047" t="inlineStr">
        <is>
          <t>au-adelaide</t>
        </is>
      </c>
      <c r="B3047" t="inlineStr">
        <is>
          <t>Adelaide</t>
        </is>
      </c>
      <c r="C3047" t="inlineStr">
        <is>
          <t>Australia</t>
        </is>
      </c>
      <c r="D3047" t="inlineStr">
        <is>
          <t>Oceania</t>
        </is>
      </c>
      <c r="E3047" t="inlineStr">
        <is>
          <t>gross_income</t>
        </is>
      </c>
      <c r="F3047" t="inlineStr">
        <is>
          <t>Gross income</t>
        </is>
      </c>
      <c r="G3047" t="inlineStr">
        <is>
          <t>pressure</t>
        </is>
      </c>
      <c r="H3047" t="inlineStr">
        <is>
          <t>yes</t>
        </is>
      </c>
      <c r="I3047" t="inlineStr">
        <is>
          <t>5800.0</t>
        </is>
      </c>
      <c r="J3047" t="inlineStr">
        <is>
          <t>world_bank_col_estimate</t>
        </is>
      </c>
      <c r="K3047" t="inlineStr">
        <is>
          <t>https://api.worldbank.org/v2/country/AUS/indicator/NY.GNP.PCAP.PP.CD?format=json&amp;mrv=10</t>
        </is>
      </c>
      <c r="L3047" t="inlineStr">
        <is>
          <t>World Bank WDI: GNI per capita PPP (monthly USD)</t>
        </is>
      </c>
      <c r="M3047" t="inlineStr">
        <is>
          <t>2024-12-31</t>
        </is>
      </c>
      <c r="N3047" t="inlineStr">
        <is>
          <t>auto_ingest=world_bank_col_estimate; gni_annual=69600.0; year=2024; country_proxy=Australia; cohort=Oceania</t>
        </is>
      </c>
    </row>
    <row r="3048">
      <c r="A3048" t="inlineStr">
        <is>
          <t>au-adelaide</t>
        </is>
      </c>
      <c r="B3048" t="inlineStr">
        <is>
          <t>Adelaide</t>
        </is>
      </c>
      <c r="C3048" t="inlineStr">
        <is>
          <t>Australia</t>
        </is>
      </c>
      <c r="D3048" t="inlineStr">
        <is>
          <t>Oceania</t>
        </is>
      </c>
      <c r="E3048" t="inlineStr">
        <is>
          <t>di_ppp_raw</t>
        </is>
      </c>
      <c r="F3048" t="inlineStr">
        <is>
          <t>Disposable income PPP (Raw)</t>
        </is>
      </c>
      <c r="G3048" t="inlineStr">
        <is>
          <t>pressure</t>
        </is>
      </c>
      <c r="H3048" t="inlineStr">
        <is>
          <t>yes</t>
        </is>
      </c>
      <c r="I3048" t="inlineStr"/>
      <c r="J3048" t="inlineStr"/>
      <c r="K3048" t="inlineStr"/>
      <c r="L3048" t="inlineStr"/>
      <c r="M3048" t="inlineStr"/>
      <c r="N3048" t="inlineStr"/>
    </row>
    <row r="3049">
      <c r="A3049" t="inlineStr">
        <is>
          <t>au-adelaide</t>
        </is>
      </c>
      <c r="B3049" t="inlineStr">
        <is>
          <t>Adelaide</t>
        </is>
      </c>
      <c r="C3049" t="inlineStr">
        <is>
          <t>Australia</t>
        </is>
      </c>
      <c r="D3049" t="inlineStr">
        <is>
          <t>Oceania</t>
        </is>
      </c>
      <c r="E3049" t="inlineStr">
        <is>
          <t>rent</t>
        </is>
      </c>
      <c r="F3049" t="inlineStr">
        <is>
          <t>Rent</t>
        </is>
      </c>
      <c r="G3049" t="inlineStr">
        <is>
          <t>pressure</t>
        </is>
      </c>
      <c r="H3049" t="inlineStr">
        <is>
          <t>yes</t>
        </is>
      </c>
      <c r="I3049" t="inlineStr">
        <is>
          <t>1479.0</t>
        </is>
      </c>
      <c r="J3049" t="inlineStr">
        <is>
          <t>world_bank_col_estimate</t>
        </is>
      </c>
      <c r="K3049" t="inlineStr">
        <is>
          <t>https://api.worldbank.org/v2/country/AUS/indicator/NY.GNP.PCAP.PP.CD?format=json&amp;mrv=10</t>
        </is>
      </c>
      <c r="L3049" t="inlineStr">
        <is>
          <t>World Bank GNI + regional expenditure ratio estimate</t>
        </is>
      </c>
      <c r="M3049" t="inlineStr">
        <is>
          <t>2024-12-31</t>
        </is>
      </c>
      <c r="N3049" t="inlineStr">
        <is>
          <t>auto_ingest=world_bank_col_estimate; gni_annual=69600.0; year=2024; country_proxy=Australia; cohort=Oceania; city_cost_mult=0.85</t>
        </is>
      </c>
    </row>
    <row r="3050">
      <c r="A3050" t="inlineStr">
        <is>
          <t>au-adelaide</t>
        </is>
      </c>
      <c r="B3050" t="inlineStr">
        <is>
          <t>Adelaide</t>
        </is>
      </c>
      <c r="C3050" t="inlineStr">
        <is>
          <t>Australia</t>
        </is>
      </c>
      <c r="D3050" t="inlineStr">
        <is>
          <t>Oceania</t>
        </is>
      </c>
      <c r="E3050" t="inlineStr">
        <is>
          <t>utilities</t>
        </is>
      </c>
      <c r="F3050" t="inlineStr">
        <is>
          <t>Utilities</t>
        </is>
      </c>
      <c r="G3050" t="inlineStr">
        <is>
          <t>pressure</t>
        </is>
      </c>
      <c r="H3050" t="inlineStr">
        <is>
          <t>yes</t>
        </is>
      </c>
      <c r="I3050" t="inlineStr">
        <is>
          <t>295.8</t>
        </is>
      </c>
      <c r="J3050" t="inlineStr">
        <is>
          <t>world_bank_col_estimate</t>
        </is>
      </c>
      <c r="K3050" t="inlineStr">
        <is>
          <t>https://api.worldbank.org/v2/country/AUS/indicator/NY.GNP.PCAP.PP.CD?format=json&amp;mrv=10</t>
        </is>
      </c>
      <c r="L3050" t="inlineStr">
        <is>
          <t>World Bank GNI + regional expenditure ratio estimate</t>
        </is>
      </c>
      <c r="M3050" t="inlineStr">
        <is>
          <t>2024-12-31</t>
        </is>
      </c>
      <c r="N3050" t="inlineStr">
        <is>
          <t>auto_ingest=world_bank_col_estimate; gni_annual=69600.0; year=2024; country_proxy=Australia; cohort=Oceania; city_cost_mult=0.85</t>
        </is>
      </c>
    </row>
    <row r="3051">
      <c r="A3051" t="inlineStr">
        <is>
          <t>au-adelaide</t>
        </is>
      </c>
      <c r="B3051" t="inlineStr">
        <is>
          <t>Adelaide</t>
        </is>
      </c>
      <c r="C3051" t="inlineStr">
        <is>
          <t>Australia</t>
        </is>
      </c>
      <c r="D3051" t="inlineStr">
        <is>
          <t>Oceania</t>
        </is>
      </c>
      <c r="E3051" t="inlineStr">
        <is>
          <t>transit_cost</t>
        </is>
      </c>
      <c r="F3051" t="inlineStr">
        <is>
          <t>Transit cost</t>
        </is>
      </c>
      <c r="G3051" t="inlineStr">
        <is>
          <t>pressure</t>
        </is>
      </c>
      <c r="H3051" t="inlineStr">
        <is>
          <t>yes</t>
        </is>
      </c>
      <c r="I3051" t="inlineStr">
        <is>
          <t>197.2</t>
        </is>
      </c>
      <c r="J3051" t="inlineStr">
        <is>
          <t>world_bank_col_estimate</t>
        </is>
      </c>
      <c r="K3051" t="inlineStr">
        <is>
          <t>https://api.worldbank.org/v2/country/AUS/indicator/NY.GNP.PCAP.PP.CD?format=json&amp;mrv=10</t>
        </is>
      </c>
      <c r="L3051" t="inlineStr">
        <is>
          <t>World Bank GNI + regional expenditure ratio estimate</t>
        </is>
      </c>
      <c r="M3051" t="inlineStr">
        <is>
          <t>2024-12-31</t>
        </is>
      </c>
      <c r="N3051" t="inlineStr">
        <is>
          <t>auto_ingest=world_bank_col_estimate; gni_annual=69600.0; year=2024; country_proxy=Australia; cohort=Oceania; city_cost_mult=0.85</t>
        </is>
      </c>
    </row>
    <row r="3052">
      <c r="A3052" t="inlineStr">
        <is>
          <t>au-adelaide</t>
        </is>
      </c>
      <c r="B3052" t="inlineStr">
        <is>
          <t>Adelaide</t>
        </is>
      </c>
      <c r="C3052" t="inlineStr">
        <is>
          <t>Australia</t>
        </is>
      </c>
      <c r="D3052" t="inlineStr">
        <is>
          <t>Oceania</t>
        </is>
      </c>
      <c r="E3052" t="inlineStr">
        <is>
          <t>internet_cost</t>
        </is>
      </c>
      <c r="F3052" t="inlineStr">
        <is>
          <t>Internet cost</t>
        </is>
      </c>
      <c r="G3052" t="inlineStr">
        <is>
          <t>pressure</t>
        </is>
      </c>
      <c r="H3052" t="inlineStr">
        <is>
          <t>yes</t>
        </is>
      </c>
      <c r="I3052" t="inlineStr">
        <is>
          <t>73.95</t>
        </is>
      </c>
      <c r="J3052" t="inlineStr">
        <is>
          <t>world_bank_col_estimate</t>
        </is>
      </c>
      <c r="K3052" t="inlineStr">
        <is>
          <t>https://api.worldbank.org/v2/country/AUS/indicator/NY.GNP.PCAP.PP.CD?format=json&amp;mrv=10</t>
        </is>
      </c>
      <c r="L3052" t="inlineStr">
        <is>
          <t>World Bank GNI + regional expenditure ratio estimate</t>
        </is>
      </c>
      <c r="M3052" t="inlineStr">
        <is>
          <t>2024-12-31</t>
        </is>
      </c>
      <c r="N3052" t="inlineStr">
        <is>
          <t>auto_ingest=world_bank_col_estimate; gni_annual=69600.0; year=2024; country_proxy=Australia; cohort=Oceania; city_cost_mult=0.85</t>
        </is>
      </c>
    </row>
    <row r="3053">
      <c r="A3053" t="inlineStr">
        <is>
          <t>au-adelaide</t>
        </is>
      </c>
      <c r="B3053" t="inlineStr">
        <is>
          <t>Adelaide</t>
        </is>
      </c>
      <c r="C3053" t="inlineStr">
        <is>
          <t>Australia</t>
        </is>
      </c>
      <c r="D3053" t="inlineStr">
        <is>
          <t>Oceania</t>
        </is>
      </c>
      <c r="E3053" t="inlineStr">
        <is>
          <t>food_cost</t>
        </is>
      </c>
      <c r="F3053" t="inlineStr">
        <is>
          <t>Food cost</t>
        </is>
      </c>
      <c r="G3053" t="inlineStr">
        <is>
          <t>pressure</t>
        </is>
      </c>
      <c r="H3053" t="inlineStr">
        <is>
          <t>yes</t>
        </is>
      </c>
      <c r="I3053" t="inlineStr">
        <is>
          <t>739.5</t>
        </is>
      </c>
      <c r="J3053" t="inlineStr">
        <is>
          <t>world_bank_col_estimate</t>
        </is>
      </c>
      <c r="K3053" t="inlineStr">
        <is>
          <t>https://api.worldbank.org/v2/country/AUS/indicator/NY.GNP.PCAP.PP.CD?format=json&amp;mrv=10</t>
        </is>
      </c>
      <c r="L3053" t="inlineStr">
        <is>
          <t>World Bank GNI + regional expenditure ratio estimate</t>
        </is>
      </c>
      <c r="M3053" t="inlineStr">
        <is>
          <t>2024-12-31</t>
        </is>
      </c>
      <c r="N3053" t="inlineStr">
        <is>
          <t>auto_ingest=world_bank_col_estimate; gni_annual=69600.0; year=2024; country_proxy=Australia; cohort=Oceania; city_cost_mult=0.85</t>
        </is>
      </c>
    </row>
    <row r="3054">
      <c r="A3054" t="inlineStr">
        <is>
          <t>au-adelaide</t>
        </is>
      </c>
      <c r="B3054" t="inlineStr">
        <is>
          <t>Adelaide</t>
        </is>
      </c>
      <c r="C3054" t="inlineStr">
        <is>
          <t>Australia</t>
        </is>
      </c>
      <c r="D3054" t="inlineStr">
        <is>
          <t>Oceania</t>
        </is>
      </c>
      <c r="E3054" t="inlineStr">
        <is>
          <t>housing_burden_raw</t>
        </is>
      </c>
      <c r="F3054" t="inlineStr">
        <is>
          <t>Housing burden raw</t>
        </is>
      </c>
      <c r="G3054" t="inlineStr">
        <is>
          <t>pressure</t>
        </is>
      </c>
      <c r="H3054" t="inlineStr">
        <is>
          <t>yes</t>
        </is>
      </c>
      <c r="I3054" t="inlineStr">
        <is>
          <t>25.5</t>
        </is>
      </c>
      <c r="J3054" t="inlineStr">
        <is>
          <t>derived</t>
        </is>
      </c>
      <c r="K3054" t="inlineStr">
        <is>
          <t>https://data.worldbank.org/indicator/NY.GNP.PCAP.PP.CD</t>
        </is>
      </c>
      <c r="L3054" t="inlineStr">
        <is>
          <t>Computed from city_inputs + country_context</t>
        </is>
      </c>
      <c r="M3054" t="inlineStr">
        <is>
          <t>2024-01-01</t>
        </is>
      </c>
      <c r="N3054" t="inlineStr">
        <is>
          <t>derived=rent/gross_income*100</t>
        </is>
      </c>
    </row>
    <row r="3055">
      <c r="A3055" t="inlineStr">
        <is>
          <t>au-adelaide</t>
        </is>
      </c>
      <c r="B3055" t="inlineStr">
        <is>
          <t>Adelaide</t>
        </is>
      </c>
      <c r="C3055" t="inlineStr">
        <is>
          <t>Australia</t>
        </is>
      </c>
      <c r="D3055" t="inlineStr">
        <is>
          <t>Oceania</t>
        </is>
      </c>
      <c r="E3055" t="inlineStr">
        <is>
          <t>household_debt_burden_raw</t>
        </is>
      </c>
      <c r="F3055" t="inlineStr">
        <is>
          <t>Household debt burden raw</t>
        </is>
      </c>
      <c r="G3055" t="inlineStr">
        <is>
          <t>pressure</t>
        </is>
      </c>
      <c r="H3055" t="inlineStr">
        <is>
          <t>yes</t>
        </is>
      </c>
      <c r="I3055" t="inlineStr">
        <is>
          <t>129.3173</t>
        </is>
      </c>
      <c r="J3055" t="inlineStr">
        <is>
          <t>derived</t>
        </is>
      </c>
      <c r="K3055" t="inlineStr">
        <is>
          <t>https://data.worldbank.org/indicator/NY.GNP.PCAP.PP.CD</t>
        </is>
      </c>
      <c r="L3055" t="inlineStr">
        <is>
          <t>Computed from city_inputs + country_context</t>
        </is>
      </c>
      <c r="M3055" t="inlineStr">
        <is>
          <t>2024-01-01</t>
        </is>
      </c>
      <c r="N3055" t="inlineStr">
        <is>
          <t>derived=country_context.household_debt_proxy; country=Australia</t>
        </is>
      </c>
    </row>
    <row r="3056">
      <c r="A3056" t="inlineStr">
        <is>
          <t>au-adelaide</t>
        </is>
      </c>
      <c r="B3056" t="inlineStr">
        <is>
          <t>Adelaide</t>
        </is>
      </c>
      <c r="C3056" t="inlineStr">
        <is>
          <t>Australia</t>
        </is>
      </c>
      <c r="D3056" t="inlineStr">
        <is>
          <t>Oceania</t>
        </is>
      </c>
      <c r="E3056" t="inlineStr">
        <is>
          <t>working_time_pressure_raw</t>
        </is>
      </c>
      <c r="F3056" t="inlineStr">
        <is>
          <t>Working time pressure raw</t>
        </is>
      </c>
      <c r="G3056" t="inlineStr">
        <is>
          <t>pressure</t>
        </is>
      </c>
      <c r="H3056" t="inlineStr">
        <is>
          <t>yes</t>
        </is>
      </c>
      <c r="I3056" t="inlineStr">
        <is>
          <t>32.29</t>
        </is>
      </c>
      <c r="J3056" t="inlineStr">
        <is>
          <t>ilo_ilostat</t>
        </is>
      </c>
      <c r="K3056" t="inlineStr">
        <is>
          <t>https://ilostat.ilo.org/data/indicator/?id=HOW_TEMP_SEX_ECO_NB_A&amp;ref_area=AUS</t>
        </is>
      </c>
      <c r="L3056" t="inlineStr">
        <is>
          <t>ILO ILOSTAT: Mean weekly hours actually worked per employed person</t>
        </is>
      </c>
      <c r="M3056" t="inlineStr">
        <is>
          <t>2020-12-31</t>
        </is>
      </c>
      <c r="N3056" t="inlineStr">
        <is>
          <t>auto_ingest=ilo_working_hours; indicator=HOW_TEMP_SEX_ECO_NB_A; year=2020; hours=32.29; country_proxy=Australia</t>
        </is>
      </c>
    </row>
    <row r="3057">
      <c r="A3057" t="inlineStr">
        <is>
          <t>au-adelaide</t>
        </is>
      </c>
      <c r="B3057" t="inlineStr">
        <is>
          <t>Adelaide</t>
        </is>
      </c>
      <c r="C3057" t="inlineStr">
        <is>
          <t>Australia</t>
        </is>
      </c>
      <c r="D3057" t="inlineStr">
        <is>
          <t>Oceania</t>
        </is>
      </c>
      <c r="E3057" t="inlineStr">
        <is>
          <t>suicide_mental_strain_raw</t>
        </is>
      </c>
      <c r="F3057" t="inlineStr">
        <is>
          <t>Suicide or mental strain raw</t>
        </is>
      </c>
      <c r="G3057" t="inlineStr">
        <is>
          <t>pressure</t>
        </is>
      </c>
      <c r="H3057" t="inlineStr">
        <is>
          <t>yes</t>
        </is>
      </c>
      <c r="I3057" t="inlineStr">
        <is>
          <t>13.08</t>
        </is>
      </c>
      <c r="J3057" t="inlineStr">
        <is>
          <t>who_gho</t>
        </is>
      </c>
      <c r="K3057" t="inlineStr">
        <is>
          <t>https://www.who.int/data/gho/data/indicators/indicator-details/GHO/SDGSUICIDE</t>
        </is>
      </c>
      <c r="L3057" t="inlineStr">
        <is>
          <t>WHO GHO: Age-standardized suicide rate (per 100,000 population)</t>
        </is>
      </c>
      <c r="M3057" t="inlineStr">
        <is>
          <t>2021-12-31</t>
        </is>
      </c>
      <c r="N3057" t="inlineStr">
        <is>
          <t>auto_ingest=who_gho; indicator=SDGSUICIDE; year=2021; country_proxy=Australia</t>
        </is>
      </c>
    </row>
    <row r="3058">
      <c r="A3058" t="inlineStr">
        <is>
          <t>au-adelaide</t>
        </is>
      </c>
      <c r="B3058" t="inlineStr">
        <is>
          <t>Adelaide</t>
        </is>
      </c>
      <c r="C3058" t="inlineStr">
        <is>
          <t>Australia</t>
        </is>
      </c>
      <c r="D3058" t="inlineStr">
        <is>
          <t>Oceania</t>
        </is>
      </c>
      <c r="E3058" t="inlineStr">
        <is>
          <t>personal_safety_raw</t>
        </is>
      </c>
      <c r="F3058" t="inlineStr">
        <is>
          <t>Personal safety raw</t>
        </is>
      </c>
      <c r="G3058" t="inlineStr">
        <is>
          <t>viability</t>
        </is>
      </c>
      <c r="H3058" t="inlineStr">
        <is>
          <t>yes</t>
        </is>
      </c>
      <c r="I3058" t="inlineStr">
        <is>
          <t>0.85</t>
        </is>
      </c>
      <c r="J3058" t="inlineStr">
        <is>
          <t>world_bank</t>
        </is>
      </c>
      <c r="K3058" t="inlineStr">
        <is>
          <t>https://api.worldbank.org/v2/country/AUS/indicator/VC.IHR.PSRC.P5?format=json&amp;mrv=10</t>
        </is>
      </c>
      <c r="L3058" t="inlineStr">
        <is>
          <t>UNODC via World Bank WDI: Intentional homicides (per 100,000 people)</t>
        </is>
      </c>
      <c r="M3058" t="inlineStr">
        <is>
          <t>2023-12-31</t>
        </is>
      </c>
      <c r="N3058" t="inlineStr">
        <is>
          <t>auto_ingest=unodc_safety; indicator=VC.IHR.PSRC.P5; year=2023; country_proxy=Australia</t>
        </is>
      </c>
    </row>
    <row r="3059">
      <c r="A3059" t="inlineStr">
        <is>
          <t>au-adelaide</t>
        </is>
      </c>
      <c r="B3059" t="inlineStr">
        <is>
          <t>Adelaide</t>
        </is>
      </c>
      <c r="C3059" t="inlineStr">
        <is>
          <t>Australia</t>
        </is>
      </c>
      <c r="D3059" t="inlineStr">
        <is>
          <t>Oceania</t>
        </is>
      </c>
      <c r="E3059" t="inlineStr">
        <is>
          <t>transit_access_commute_raw</t>
        </is>
      </c>
      <c r="F3059" t="inlineStr">
        <is>
          <t>Transit access and commute raw</t>
        </is>
      </c>
      <c r="G3059" t="inlineStr">
        <is>
          <t>viability</t>
        </is>
      </c>
      <c r="H3059" t="inlineStr">
        <is>
          <t>yes</t>
        </is>
      </c>
      <c r="I3059" t="inlineStr"/>
      <c r="J3059" t="inlineStr"/>
      <c r="K3059" t="inlineStr"/>
      <c r="L3059" t="inlineStr"/>
      <c r="M3059" t="inlineStr"/>
      <c r="N3059" t="inlineStr"/>
    </row>
    <row r="3060">
      <c r="A3060" t="inlineStr">
        <is>
          <t>au-adelaide</t>
        </is>
      </c>
      <c r="B3060" t="inlineStr">
        <is>
          <t>Adelaide</t>
        </is>
      </c>
      <c r="C3060" t="inlineStr">
        <is>
          <t>Australia</t>
        </is>
      </c>
      <c r="D3060" t="inlineStr">
        <is>
          <t>Oceania</t>
        </is>
      </c>
      <c r="E3060" t="inlineStr">
        <is>
          <t>clean_air_raw</t>
        </is>
      </c>
      <c r="F3060" t="inlineStr">
        <is>
          <t>Clean air raw</t>
        </is>
      </c>
      <c r="G3060" t="inlineStr">
        <is>
          <t>viability</t>
        </is>
      </c>
      <c r="H3060" t="inlineStr">
        <is>
          <t>yes</t>
        </is>
      </c>
      <c r="I3060" t="inlineStr"/>
      <c r="J3060" t="inlineStr"/>
      <c r="K3060" t="inlineStr"/>
      <c r="L3060" t="inlineStr"/>
      <c r="M3060" t="inlineStr"/>
      <c r="N3060" t="inlineStr"/>
    </row>
    <row r="3061">
      <c r="A3061" t="inlineStr">
        <is>
          <t>au-adelaide</t>
        </is>
      </c>
      <c r="B3061" t="inlineStr">
        <is>
          <t>Adelaide</t>
        </is>
      </c>
      <c r="C3061" t="inlineStr">
        <is>
          <t>Australia</t>
        </is>
      </c>
      <c r="D3061" t="inlineStr">
        <is>
          <t>Oceania</t>
        </is>
      </c>
      <c r="E3061" t="inlineStr">
        <is>
          <t>water_sanitation_utility_raw</t>
        </is>
      </c>
      <c r="F3061" t="inlineStr">
        <is>
          <t>Water, sanitation, and utility raw</t>
        </is>
      </c>
      <c r="G3061" t="inlineStr">
        <is>
          <t>viability</t>
        </is>
      </c>
      <c r="H3061" t="inlineStr">
        <is>
          <t>yes</t>
        </is>
      </c>
      <c r="I3061" t="inlineStr"/>
      <c r="J3061" t="inlineStr"/>
      <c r="K3061" t="inlineStr"/>
      <c r="L3061" t="inlineStr"/>
      <c r="M3061" t="inlineStr"/>
      <c r="N3061" t="inlineStr"/>
    </row>
    <row r="3062">
      <c r="A3062" t="inlineStr">
        <is>
          <t>au-adelaide</t>
        </is>
      </c>
      <c r="B3062" t="inlineStr">
        <is>
          <t>Adelaide</t>
        </is>
      </c>
      <c r="C3062" t="inlineStr">
        <is>
          <t>Australia</t>
        </is>
      </c>
      <c r="D3062" t="inlineStr">
        <is>
          <t>Oceania</t>
        </is>
      </c>
      <c r="E3062" t="inlineStr">
        <is>
          <t>digital_infrastructure_raw</t>
        </is>
      </c>
      <c r="F3062" t="inlineStr">
        <is>
          <t>Digital infrastructure raw</t>
        </is>
      </c>
      <c r="G3062" t="inlineStr">
        <is>
          <t>viability</t>
        </is>
      </c>
      <c r="H3062" t="inlineStr">
        <is>
          <t>yes</t>
        </is>
      </c>
      <c r="I3062" t="inlineStr">
        <is>
          <t>36.6</t>
        </is>
      </c>
      <c r="J3062" t="inlineStr">
        <is>
          <t>world_bank</t>
        </is>
      </c>
      <c r="K3062" t="inlineStr">
        <is>
          <t>https://api.worldbank.org/v2/country/AUS/indicator/IT.NET.BBND.P2?format=json&amp;mrv=10</t>
        </is>
      </c>
      <c r="L3062" t="inlineStr">
        <is>
          <t>World Bank WDI: Fixed broadband subscriptions (per 100 people)</t>
        </is>
      </c>
      <c r="M3062" t="inlineStr">
        <is>
          <t>2023-12-31</t>
        </is>
      </c>
      <c r="N3062" t="inlineStr">
        <is>
          <t>auto_ingest=world_bank_proxy; indicator=IT.NET.BBND.P2; year=2023; country_proxy=Australia</t>
        </is>
      </c>
    </row>
    <row r="3063">
      <c r="A3063" t="inlineStr">
        <is>
          <t>au-adelaide</t>
        </is>
      </c>
      <c r="B3063" t="inlineStr">
        <is>
          <t>Adelaide</t>
        </is>
      </c>
      <c r="C3063" t="inlineStr">
        <is>
          <t>Australia</t>
        </is>
      </c>
      <c r="D3063" t="inlineStr">
        <is>
          <t>Oceania</t>
        </is>
      </c>
      <c r="E3063" t="inlineStr">
        <is>
          <t>climate_sunlight_livability_raw</t>
        </is>
      </c>
      <c r="F3063" t="inlineStr">
        <is>
          <t>Climate and sunlight livability raw</t>
        </is>
      </c>
      <c r="G3063" t="inlineStr">
        <is>
          <t>viability</t>
        </is>
      </c>
      <c r="H3063" t="inlineStr">
        <is>
          <t>yes</t>
        </is>
      </c>
      <c r="I3063" t="inlineStr">
        <is>
          <t>70</t>
        </is>
      </c>
      <c r="J3063" t="inlineStr">
        <is>
          <t>wmo_natl_met</t>
        </is>
      </c>
      <c r="K3063" t="inlineStr">
        <is>
          <t>https://worldweather.wmo.int</t>
        </is>
      </c>
      <c r="L3063" t="inlineStr">
        <is>
          <t>WMO/National Met: Climate livability composite</t>
        </is>
      </c>
      <c r="M3063" t="inlineStr">
        <is>
          <t>2024-12-31</t>
        </is>
      </c>
      <c r="N3063" t="inlineStr">
        <is>
          <t>auto_seed=climate_composite; 2700 sun hrs, 17C mean</t>
        </is>
      </c>
    </row>
    <row r="3064">
      <c r="A3064" t="inlineStr">
        <is>
          <t>au-adelaide</t>
        </is>
      </c>
      <c r="B3064" t="inlineStr">
        <is>
          <t>Adelaide</t>
        </is>
      </c>
      <c r="C3064" t="inlineStr">
        <is>
          <t>Australia</t>
        </is>
      </c>
      <c r="D3064" t="inlineStr">
        <is>
          <t>Oceania</t>
        </is>
      </c>
      <c r="E3064" t="inlineStr">
        <is>
          <t>healthcare_quality_raw</t>
        </is>
      </c>
      <c r="F3064" t="inlineStr">
        <is>
          <t>Healthcare quality raw</t>
        </is>
      </c>
      <c r="G3064" t="inlineStr">
        <is>
          <t>capability</t>
        </is>
      </c>
      <c r="H3064" t="inlineStr">
        <is>
          <t>yes</t>
        </is>
      </c>
      <c r="I3064" t="inlineStr">
        <is>
          <t>89.0</t>
        </is>
      </c>
      <c r="J3064" t="inlineStr">
        <is>
          <t>who_gho</t>
        </is>
      </c>
      <c r="K3064" t="inlineStr">
        <is>
          <t>https://www.who.int/data/gho/data/indicators/indicator-details/GHO/UHC_INDEX_REPORTED</t>
        </is>
      </c>
      <c r="L3064" t="inlineStr">
        <is>
          <t>WHO GHO: UHC Service Coverage Index</t>
        </is>
      </c>
      <c r="M3064" t="inlineStr">
        <is>
          <t>2023-12-31</t>
        </is>
      </c>
      <c r="N3064" t="inlineStr">
        <is>
          <t>auto_ingest=who_gho; indicator=UHC_INDEX_REPORTED; year=2023; country_proxy=Australia</t>
        </is>
      </c>
    </row>
    <row r="3065">
      <c r="A3065" t="inlineStr">
        <is>
          <t>au-adelaide</t>
        </is>
      </c>
      <c r="B3065" t="inlineStr">
        <is>
          <t>Adelaide</t>
        </is>
      </c>
      <c r="C3065" t="inlineStr">
        <is>
          <t>Australia</t>
        </is>
      </c>
      <c r="D3065" t="inlineStr">
        <is>
          <t>Oceania</t>
        </is>
      </c>
      <c r="E3065" t="inlineStr">
        <is>
          <t>education_quality_raw</t>
        </is>
      </c>
      <c r="F3065" t="inlineStr">
        <is>
          <t>Education quality raw</t>
        </is>
      </c>
      <c r="G3065" t="inlineStr">
        <is>
          <t>capability</t>
        </is>
      </c>
      <c r="H3065" t="inlineStr">
        <is>
          <t>yes</t>
        </is>
      </c>
      <c r="I3065" t="inlineStr">
        <is>
          <t>104.65</t>
        </is>
      </c>
      <c r="J3065" t="inlineStr">
        <is>
          <t>world_bank</t>
        </is>
      </c>
      <c r="K3065" t="inlineStr">
        <is>
          <t>https://api.worldbank.org/v2/country/AUS/indicator/SE.TER.ENRR?format=json&amp;mrv=10</t>
        </is>
      </c>
      <c r="L3065" t="inlineStr">
        <is>
          <t>World Bank WDI: School enrollment, tertiary (% gross)</t>
        </is>
      </c>
      <c r="M3065" t="inlineStr">
        <is>
          <t>2023-12-31</t>
        </is>
      </c>
      <c r="N3065" t="inlineStr">
        <is>
          <t>auto_ingest=world_bank_proxy; indicator=SE.TER.ENRR; year=2023; country_proxy=Australia</t>
        </is>
      </c>
    </row>
    <row r="3066">
      <c r="A3066" t="inlineStr">
        <is>
          <t>au-adelaide</t>
        </is>
      </c>
      <c r="B3066" t="inlineStr">
        <is>
          <t>Adelaide</t>
        </is>
      </c>
      <c r="C3066" t="inlineStr">
        <is>
          <t>Australia</t>
        </is>
      </c>
      <c r="D3066" t="inlineStr">
        <is>
          <t>Oceania</t>
        </is>
      </c>
      <c r="E3066" t="inlineStr">
        <is>
          <t>equal_opportunity_raw</t>
        </is>
      </c>
      <c r="F3066" t="inlineStr">
        <is>
          <t>Equal opportunity raw</t>
        </is>
      </c>
      <c r="G3066" t="inlineStr">
        <is>
          <t>capability</t>
        </is>
      </c>
      <c r="H3066" t="inlineStr">
        <is>
          <t>yes</t>
        </is>
      </c>
      <c r="I3066" t="inlineStr">
        <is>
          <t>33.8</t>
        </is>
      </c>
      <c r="J3066" t="inlineStr">
        <is>
          <t>world_bank</t>
        </is>
      </c>
      <c r="K3066" t="inlineStr">
        <is>
          <t>https://api.worldbank.org/v2/country/AUS/indicator/SI.POV.GINI?format=json&amp;mrv=10</t>
        </is>
      </c>
      <c r="L3066" t="inlineStr">
        <is>
          <t>World Bank WDI: Gini index</t>
        </is>
      </c>
      <c r="M3066" t="inlineStr">
        <is>
          <t>2020-12-31</t>
        </is>
      </c>
      <c r="N3066" t="inlineStr">
        <is>
          <t>auto_ingest=world_bank_capability; indicator=SI.POV.GINI; year=2020; country_proxy=Australia</t>
        </is>
      </c>
    </row>
    <row r="3067">
      <c r="A3067" t="inlineStr">
        <is>
          <t>au-adelaide</t>
        </is>
      </c>
      <c r="B3067" t="inlineStr">
        <is>
          <t>Adelaide</t>
        </is>
      </c>
      <c r="C3067" t="inlineStr">
        <is>
          <t>Australia</t>
        </is>
      </c>
      <c r="D3067" t="inlineStr">
        <is>
          <t>Oceania</t>
        </is>
      </c>
      <c r="E3067" t="inlineStr">
        <is>
          <t>hospitality_belonging_raw</t>
        </is>
      </c>
      <c r="F3067" t="inlineStr">
        <is>
          <t>Hospitality and belonging raw</t>
        </is>
      </c>
      <c r="G3067" t="inlineStr">
        <is>
          <t>community</t>
        </is>
      </c>
      <c r="H3067" t="inlineStr">
        <is>
          <t>yes</t>
        </is>
      </c>
      <c r="I3067" t="inlineStr">
        <is>
          <t>55.04</t>
        </is>
      </c>
      <c r="J3067" t="inlineStr">
        <is>
          <t>world_bank</t>
        </is>
      </c>
      <c r="K3067" t="inlineStr">
        <is>
          <t>https://api.worldbank.org/v2/country/AUS/indicator/SM.POP.NETM?format=json&amp;mrv=10</t>
        </is>
      </c>
      <c r="L3067" t="inlineStr">
        <is>
          <t>World Bank WDI: Net migration (proxy for hospitality/belonging — positive = welcoming)</t>
        </is>
      </c>
      <c r="M3067" t="inlineStr">
        <is>
          <t>2025-12-31</t>
        </is>
      </c>
      <c r="N3067" t="inlineStr">
        <is>
          <t>auto_ingest=world_bank_proxy; proxy=net_migration_hospitality; indicator=SM.POP.NETM; year=2025; country_proxy=Australia</t>
        </is>
      </c>
    </row>
    <row r="3068">
      <c r="A3068" t="inlineStr">
        <is>
          <t>au-adelaide</t>
        </is>
      </c>
      <c r="B3068" t="inlineStr">
        <is>
          <t>Adelaide</t>
        </is>
      </c>
      <c r="C3068" t="inlineStr">
        <is>
          <t>Australia</t>
        </is>
      </c>
      <c r="D3068" t="inlineStr">
        <is>
          <t>Oceania</t>
        </is>
      </c>
      <c r="E3068" t="inlineStr">
        <is>
          <t>tolerance_pluralism_raw</t>
        </is>
      </c>
      <c r="F3068" t="inlineStr">
        <is>
          <t>Tolerance and pluralism raw</t>
        </is>
      </c>
      <c r="G3068" t="inlineStr">
        <is>
          <t>community</t>
        </is>
      </c>
      <c r="H3068" t="inlineStr">
        <is>
          <t>yes</t>
        </is>
      </c>
      <c r="I3068" t="inlineStr">
        <is>
          <t>38.0</t>
        </is>
      </c>
      <c r="J3068" t="inlineStr">
        <is>
          <t>world_bank</t>
        </is>
      </c>
      <c r="K3068" t="inlineStr">
        <is>
          <t>https://api.worldbank.org/v2/country/AUS/indicator/SG.GEN.PARL.ZS?format=json&amp;mrv=10</t>
        </is>
      </c>
      <c r="L3068" t="inlineStr">
        <is>
          <t>World Bank WDI: Proportion of seats held by women in national parliaments (%)</t>
        </is>
      </c>
      <c r="M3068" t="inlineStr">
        <is>
          <t>2024-12-31</t>
        </is>
      </c>
      <c r="N3068" t="inlineStr">
        <is>
          <t>auto_ingest=world_bank_proxy; proxy=gender_parity_parliament; indicator=SG.GEN.PARL.ZS; year=2024; country_proxy=Australia</t>
        </is>
      </c>
    </row>
    <row r="3069">
      <c r="A3069" t="inlineStr">
        <is>
          <t>au-adelaide</t>
        </is>
      </c>
      <c r="B3069" t="inlineStr">
        <is>
          <t>Adelaide</t>
        </is>
      </c>
      <c r="C3069" t="inlineStr">
        <is>
          <t>Australia</t>
        </is>
      </c>
      <c r="D3069" t="inlineStr">
        <is>
          <t>Oceania</t>
        </is>
      </c>
      <c r="E3069" t="inlineStr">
        <is>
          <t>cultural_public_life_raw</t>
        </is>
      </c>
      <c r="F3069" t="inlineStr">
        <is>
          <t>Cultural public life raw</t>
        </is>
      </c>
      <c r="G3069" t="inlineStr">
        <is>
          <t>community</t>
        </is>
      </c>
      <c r="H3069" t="inlineStr">
        <is>
          <t>yes</t>
        </is>
      </c>
      <c r="I3069" t="inlineStr">
        <is>
          <t>67.21</t>
        </is>
      </c>
      <c r="J3069" t="inlineStr">
        <is>
          <t>world_bank</t>
        </is>
      </c>
      <c r="K3069" t="inlineStr">
        <is>
          <t>https://api.worldbank.org/v2/country/AUS/indicator/ST.INT.ARVL?format=json&amp;mrv=10</t>
        </is>
      </c>
      <c r="L3069" t="inlineStr">
        <is>
          <t>World Bank WDI: International tourism arrivals per 1 000 population</t>
        </is>
      </c>
      <c r="M3069" t="inlineStr">
        <is>
          <t>2020-12-31</t>
        </is>
      </c>
      <c r="N3069" t="inlineStr">
        <is>
          <t>auto_ingest=cultural_life_proxy; indicator=ST.INT.ARVL; norm=per_1000_pop; year=2020; country_proxy=Australia</t>
        </is>
      </c>
    </row>
    <row r="3070">
      <c r="A3070" t="inlineStr">
        <is>
          <t>au-adelaide</t>
        </is>
      </c>
      <c r="B3070" t="inlineStr">
        <is>
          <t>Adelaide</t>
        </is>
      </c>
      <c r="C3070" t="inlineStr">
        <is>
          <t>Australia</t>
        </is>
      </c>
      <c r="D3070" t="inlineStr">
        <is>
          <t>Oceania</t>
        </is>
      </c>
      <c r="E3070" t="inlineStr">
        <is>
          <t>birth_rate_optimism_raw</t>
        </is>
      </c>
      <c r="F3070" t="inlineStr">
        <is>
          <t>Birth rate and societal optimism raw</t>
        </is>
      </c>
      <c r="G3070" t="inlineStr">
        <is>
          <t>community</t>
        </is>
      </c>
      <c r="H3070" t="inlineStr">
        <is>
          <t>yes</t>
        </is>
      </c>
      <c r="I3070" t="inlineStr">
        <is>
          <t>1.58</t>
        </is>
      </c>
      <c r="J3070" t="inlineStr">
        <is>
          <t>world_bank</t>
        </is>
      </c>
      <c r="K3070" t="inlineStr">
        <is>
          <t>https://data.worldbank.org/indicator/SP.DYN.TFRT.IN</t>
        </is>
      </c>
      <c r="L3070" t="inlineStr">
        <is>
          <t>World Bank Total Fertility Rate 2023</t>
        </is>
      </c>
      <c r="M3070" t="inlineStr">
        <is>
          <t>2024-01-01</t>
        </is>
      </c>
      <c r="N3070" t="inlineStr"/>
    </row>
    <row r="3071">
      <c r="A3071" t="inlineStr">
        <is>
          <t>au-adelaide</t>
        </is>
      </c>
      <c r="B3071" t="inlineStr">
        <is>
          <t>Adelaide</t>
        </is>
      </c>
      <c r="C3071" t="inlineStr">
        <is>
          <t>Australia</t>
        </is>
      </c>
      <c r="D3071" t="inlineStr">
        <is>
          <t>Oceania</t>
        </is>
      </c>
      <c r="E3071" t="inlineStr">
        <is>
          <t>entrepreneurial_dynamism_raw</t>
        </is>
      </c>
      <c r="F3071" t="inlineStr">
        <is>
          <t>Entrepreneurial dynamism raw</t>
        </is>
      </c>
      <c r="G3071" t="inlineStr">
        <is>
          <t>creative</t>
        </is>
      </c>
      <c r="H3071" t="inlineStr">
        <is>
          <t>yes</t>
        </is>
      </c>
      <c r="I3071" t="inlineStr">
        <is>
          <t>17.26</t>
        </is>
      </c>
      <c r="J3071" t="inlineStr">
        <is>
          <t>world_bank</t>
        </is>
      </c>
      <c r="K3071" t="inlineStr">
        <is>
          <t>https://api.worldbank.org/v2/country/AUS/indicator/IC.BUS.NDNS.ZS?format=json&amp;mrv=10</t>
        </is>
      </c>
      <c r="L3071" t="inlineStr">
        <is>
          <t>World Bank WDI: New business density (new registrations per 1,000 people ages 15-64)</t>
        </is>
      </c>
      <c r="M3071" t="inlineStr">
        <is>
          <t>2022-12-31</t>
        </is>
      </c>
      <c r="N3071" t="inlineStr">
        <is>
          <t>auto_ingest=world_bank_creative_extended; indicator=IC.BUS.NDNS.ZS; year=2022; country_proxy=Australia</t>
        </is>
      </c>
    </row>
    <row r="3072">
      <c r="A3072" t="inlineStr">
        <is>
          <t>au-adelaide</t>
        </is>
      </c>
      <c r="B3072" t="inlineStr">
        <is>
          <t>Adelaide</t>
        </is>
      </c>
      <c r="C3072" t="inlineStr">
        <is>
          <t>Australia</t>
        </is>
      </c>
      <c r="D3072" t="inlineStr">
        <is>
          <t>Oceania</t>
        </is>
      </c>
      <c r="E3072" t="inlineStr">
        <is>
          <t>innovation_research_intensity_raw</t>
        </is>
      </c>
      <c r="F3072" t="inlineStr">
        <is>
          <t>Innovation and research raw</t>
        </is>
      </c>
      <c r="G3072" t="inlineStr">
        <is>
          <t>creative</t>
        </is>
      </c>
      <c r="H3072" t="inlineStr">
        <is>
          <t>yes</t>
        </is>
      </c>
      <c r="I3072" t="inlineStr">
        <is>
          <t>1.86</t>
        </is>
      </c>
      <c r="J3072" t="inlineStr">
        <is>
          <t>world_bank</t>
        </is>
      </c>
      <c r="K3072" t="inlineStr">
        <is>
          <t>https://api.worldbank.org/v2/country/AUS/indicator/GB.XPD.RSDV.GD.ZS?format=json&amp;mrv=10</t>
        </is>
      </c>
      <c r="L3072" t="inlineStr">
        <is>
          <t>World Bank WDI: Research and development expenditure (% of GDP)</t>
        </is>
      </c>
      <c r="M3072" t="inlineStr">
        <is>
          <t>2021-12-31</t>
        </is>
      </c>
      <c r="N3072" t="inlineStr">
        <is>
          <t>auto_ingest=world_bank_creative_extended; indicator=GB.XPD.RSDV.GD.ZS; year=2021; country_proxy=Australia</t>
        </is>
      </c>
    </row>
    <row r="3073">
      <c r="A3073" t="inlineStr">
        <is>
          <t>au-adelaide</t>
        </is>
      </c>
      <c r="B3073" t="inlineStr">
        <is>
          <t>Adelaide</t>
        </is>
      </c>
      <c r="C3073" t="inlineStr">
        <is>
          <t>Australia</t>
        </is>
      </c>
      <c r="D3073" t="inlineStr">
        <is>
          <t>Oceania</t>
        </is>
      </c>
      <c r="E3073" t="inlineStr">
        <is>
          <t>investment_signal_raw</t>
        </is>
      </c>
      <c r="F3073" t="inlineStr">
        <is>
          <t>Investment signal raw</t>
        </is>
      </c>
      <c r="G3073" t="inlineStr">
        <is>
          <t>creative</t>
        </is>
      </c>
      <c r="H3073" t="inlineStr">
        <is>
          <t>yes</t>
        </is>
      </c>
      <c r="I3073" t="inlineStr">
        <is>
          <t>3.04</t>
        </is>
      </c>
      <c r="J3073" t="inlineStr">
        <is>
          <t>world_bank</t>
        </is>
      </c>
      <c r="K3073" t="inlineStr">
        <is>
          <t>https://api.worldbank.org/v2/country/AUS/indicator/BX.KLT.DINV.WD.GD.ZS?format=json&amp;mrv=10</t>
        </is>
      </c>
      <c r="L3073" t="inlineStr">
        <is>
          <t>World Bank WDI: Foreign direct investment, net inflows (% of GDP)</t>
        </is>
      </c>
      <c r="M3073" t="inlineStr">
        <is>
          <t>2024-12-31</t>
        </is>
      </c>
      <c r="N3073" t="inlineStr">
        <is>
          <t>auto_ingest=world_bank_creative_extended; indicator=BX.KLT.DINV.WD.GD.ZS; year=2024; country_proxy=Australia</t>
        </is>
      </c>
    </row>
    <row r="3074">
      <c r="A3074" t="inlineStr">
        <is>
          <t>au-adelaide</t>
        </is>
      </c>
      <c r="B3074" t="inlineStr">
        <is>
          <t>Adelaide</t>
        </is>
      </c>
      <c r="C3074" t="inlineStr">
        <is>
          <t>Australia</t>
        </is>
      </c>
      <c r="D3074" t="inlineStr">
        <is>
          <t>Oceania</t>
        </is>
      </c>
      <c r="E3074" t="inlineStr">
        <is>
          <t>administrative_investment_friction_raw</t>
        </is>
      </c>
      <c r="F3074" t="inlineStr">
        <is>
          <t>Administrative investment friction raw</t>
        </is>
      </c>
      <c r="G3074" t="inlineStr">
        <is>
          <t>creative</t>
        </is>
      </c>
      <c r="H3074" t="inlineStr">
        <is>
          <t>yes</t>
        </is>
      </c>
      <c r="I3074" t="inlineStr">
        <is>
          <t>0.56</t>
        </is>
      </c>
      <c r="J3074" t="inlineStr">
        <is>
          <t>world_bank</t>
        </is>
      </c>
      <c r="K3074" t="inlineStr">
        <is>
          <t>https://api.worldbank.org/v2/country/AUS/indicator/RQ.EST?format=json&amp;mrv=10</t>
        </is>
      </c>
      <c r="L3074" t="inlineStr">
        <is>
          <t>World Bank WGI: Regulatory Quality (inverted as friction proxy)</t>
        </is>
      </c>
      <c r="M3074" t="inlineStr">
        <is>
          <t>2023-12-31</t>
        </is>
      </c>
      <c r="N3074" t="inlineStr">
        <is>
          <t>auto_ingest=world_bank_business_friction; indicator=RQ.EST; raw_rq=1.94220554828644; friction=0.56; year=2023; country_proxy=Australia</t>
        </is>
      </c>
    </row>
    <row r="3075">
      <c r="A3075" t="inlineStr">
        <is>
          <t>au-adelaide</t>
        </is>
      </c>
      <c r="B3075" t="inlineStr">
        <is>
          <t>Adelaide</t>
        </is>
      </c>
      <c r="C3075" t="inlineStr">
        <is>
          <t>Australia</t>
        </is>
      </c>
      <c r="D3075" t="inlineStr">
        <is>
          <t>Oceania</t>
        </is>
      </c>
      <c r="E3075" t="inlineStr">
        <is>
          <t>visitor_flow_context_raw</t>
        </is>
      </c>
      <c r="F3075" t="inlineStr">
        <is>
          <t>Visitor flow context raw</t>
        </is>
      </c>
      <c r="G3075" t="inlineStr">
        <is>
          <t>creative</t>
        </is>
      </c>
      <c r="H3075" t="inlineStr">
        <is>
          <t>no</t>
        </is>
      </c>
      <c r="I3075" t="inlineStr"/>
      <c r="J3075" t="inlineStr"/>
      <c r="K3075" t="inlineStr"/>
      <c r="L3075" t="inlineStr"/>
      <c r="M3075" t="inlineStr"/>
      <c r="N3075" t="inlineStr"/>
    </row>
    <row r="3076">
      <c r="A3076" t="inlineStr">
        <is>
          <t>au-hobart</t>
        </is>
      </c>
      <c r="B3076" t="inlineStr">
        <is>
          <t>Hobart</t>
        </is>
      </c>
      <c r="C3076" t="inlineStr">
        <is>
          <t>Australia</t>
        </is>
      </c>
      <c r="D3076" t="inlineStr">
        <is>
          <t>Oceania</t>
        </is>
      </c>
      <c r="E3076" t="inlineStr">
        <is>
          <t>gross_income</t>
        </is>
      </c>
      <c r="F3076" t="inlineStr">
        <is>
          <t>Gross income</t>
        </is>
      </c>
      <c r="G3076" t="inlineStr">
        <is>
          <t>pressure</t>
        </is>
      </c>
      <c r="H3076" t="inlineStr">
        <is>
          <t>yes</t>
        </is>
      </c>
      <c r="I3076" t="inlineStr">
        <is>
          <t>5800.0</t>
        </is>
      </c>
      <c r="J3076" t="inlineStr">
        <is>
          <t>world_bank_col_estimate</t>
        </is>
      </c>
      <c r="K3076" t="inlineStr">
        <is>
          <t>https://api.worldbank.org/v2/country/AUS/indicator/NY.GNP.PCAP.PP.CD?format=json&amp;mrv=10</t>
        </is>
      </c>
      <c r="L3076" t="inlineStr">
        <is>
          <t>World Bank WDI: GNI per capita PPP (monthly USD)</t>
        </is>
      </c>
      <c r="M3076" t="inlineStr">
        <is>
          <t>2024-12-31</t>
        </is>
      </c>
      <c r="N3076" t="inlineStr">
        <is>
          <t>auto_ingest=world_bank_col_estimate; gni_annual=69600.0; year=2024; country_proxy=Australia; cohort=Oceania</t>
        </is>
      </c>
    </row>
    <row r="3077">
      <c r="A3077" t="inlineStr">
        <is>
          <t>au-hobart</t>
        </is>
      </c>
      <c r="B3077" t="inlineStr">
        <is>
          <t>Hobart</t>
        </is>
      </c>
      <c r="C3077" t="inlineStr">
        <is>
          <t>Australia</t>
        </is>
      </c>
      <c r="D3077" t="inlineStr">
        <is>
          <t>Oceania</t>
        </is>
      </c>
      <c r="E3077" t="inlineStr">
        <is>
          <t>di_ppp_raw</t>
        </is>
      </c>
      <c r="F3077" t="inlineStr">
        <is>
          <t>Disposable income PPP (Raw)</t>
        </is>
      </c>
      <c r="G3077" t="inlineStr">
        <is>
          <t>pressure</t>
        </is>
      </c>
      <c r="H3077" t="inlineStr">
        <is>
          <t>yes</t>
        </is>
      </c>
      <c r="I3077" t="inlineStr"/>
      <c r="J3077" t="inlineStr"/>
      <c r="K3077" t="inlineStr"/>
      <c r="L3077" t="inlineStr"/>
      <c r="M3077" t="inlineStr"/>
      <c r="N3077" t="inlineStr"/>
    </row>
    <row r="3078">
      <c r="A3078" t="inlineStr">
        <is>
          <t>au-hobart</t>
        </is>
      </c>
      <c r="B3078" t="inlineStr">
        <is>
          <t>Hobart</t>
        </is>
      </c>
      <c r="C3078" t="inlineStr">
        <is>
          <t>Australia</t>
        </is>
      </c>
      <c r="D3078" t="inlineStr">
        <is>
          <t>Oceania</t>
        </is>
      </c>
      <c r="E3078" t="inlineStr">
        <is>
          <t>rent</t>
        </is>
      </c>
      <c r="F3078" t="inlineStr">
        <is>
          <t>Rent</t>
        </is>
      </c>
      <c r="G3078" t="inlineStr">
        <is>
          <t>pressure</t>
        </is>
      </c>
      <c r="H3078" t="inlineStr">
        <is>
          <t>yes</t>
        </is>
      </c>
      <c r="I3078" t="inlineStr">
        <is>
          <t>1479.0</t>
        </is>
      </c>
      <c r="J3078" t="inlineStr">
        <is>
          <t>world_bank_col_estimate</t>
        </is>
      </c>
      <c r="K3078" t="inlineStr">
        <is>
          <t>https://api.worldbank.org/v2/country/AUS/indicator/NY.GNP.PCAP.PP.CD?format=json&amp;mrv=10</t>
        </is>
      </c>
      <c r="L3078" t="inlineStr">
        <is>
          <t>World Bank GNI + regional expenditure ratio estimate</t>
        </is>
      </c>
      <c r="M3078" t="inlineStr">
        <is>
          <t>2024-12-31</t>
        </is>
      </c>
      <c r="N3078" t="inlineStr">
        <is>
          <t>auto_ingest=world_bank_col_estimate; gni_annual=69600.0; year=2024; country_proxy=Australia; cohort=Oceania; city_cost_mult=0.85</t>
        </is>
      </c>
    </row>
    <row r="3079">
      <c r="A3079" t="inlineStr">
        <is>
          <t>au-hobart</t>
        </is>
      </c>
      <c r="B3079" t="inlineStr">
        <is>
          <t>Hobart</t>
        </is>
      </c>
      <c r="C3079" t="inlineStr">
        <is>
          <t>Australia</t>
        </is>
      </c>
      <c r="D3079" t="inlineStr">
        <is>
          <t>Oceania</t>
        </is>
      </c>
      <c r="E3079" t="inlineStr">
        <is>
          <t>utilities</t>
        </is>
      </c>
      <c r="F3079" t="inlineStr">
        <is>
          <t>Utilities</t>
        </is>
      </c>
      <c r="G3079" t="inlineStr">
        <is>
          <t>pressure</t>
        </is>
      </c>
      <c r="H3079" t="inlineStr">
        <is>
          <t>yes</t>
        </is>
      </c>
      <c r="I3079" t="inlineStr">
        <is>
          <t>295.8</t>
        </is>
      </c>
      <c r="J3079" t="inlineStr">
        <is>
          <t>world_bank_col_estimate</t>
        </is>
      </c>
      <c r="K3079" t="inlineStr">
        <is>
          <t>https://api.worldbank.org/v2/country/AUS/indicator/NY.GNP.PCAP.PP.CD?format=json&amp;mrv=10</t>
        </is>
      </c>
      <c r="L3079" t="inlineStr">
        <is>
          <t>World Bank GNI + regional expenditure ratio estimate</t>
        </is>
      </c>
      <c r="M3079" t="inlineStr">
        <is>
          <t>2024-12-31</t>
        </is>
      </c>
      <c r="N3079" t="inlineStr">
        <is>
          <t>auto_ingest=world_bank_col_estimate; gni_annual=69600.0; year=2024; country_proxy=Australia; cohort=Oceania; city_cost_mult=0.85</t>
        </is>
      </c>
    </row>
    <row r="3080">
      <c r="A3080" t="inlineStr">
        <is>
          <t>au-hobart</t>
        </is>
      </c>
      <c r="B3080" t="inlineStr">
        <is>
          <t>Hobart</t>
        </is>
      </c>
      <c r="C3080" t="inlineStr">
        <is>
          <t>Australia</t>
        </is>
      </c>
      <c r="D3080" t="inlineStr">
        <is>
          <t>Oceania</t>
        </is>
      </c>
      <c r="E3080" t="inlineStr">
        <is>
          <t>transit_cost</t>
        </is>
      </c>
      <c r="F3080" t="inlineStr">
        <is>
          <t>Transit cost</t>
        </is>
      </c>
      <c r="G3080" t="inlineStr">
        <is>
          <t>pressure</t>
        </is>
      </c>
      <c r="H3080" t="inlineStr">
        <is>
          <t>yes</t>
        </is>
      </c>
      <c r="I3080" t="inlineStr">
        <is>
          <t>197.2</t>
        </is>
      </c>
      <c r="J3080" t="inlineStr">
        <is>
          <t>world_bank_col_estimate</t>
        </is>
      </c>
      <c r="K3080" t="inlineStr">
        <is>
          <t>https://api.worldbank.org/v2/country/AUS/indicator/NY.GNP.PCAP.PP.CD?format=json&amp;mrv=10</t>
        </is>
      </c>
      <c r="L3080" t="inlineStr">
        <is>
          <t>World Bank GNI + regional expenditure ratio estimate</t>
        </is>
      </c>
      <c r="M3080" t="inlineStr">
        <is>
          <t>2024-12-31</t>
        </is>
      </c>
      <c r="N3080" t="inlineStr">
        <is>
          <t>auto_ingest=world_bank_col_estimate; gni_annual=69600.0; year=2024; country_proxy=Australia; cohort=Oceania; city_cost_mult=0.85</t>
        </is>
      </c>
    </row>
    <row r="3081">
      <c r="A3081" t="inlineStr">
        <is>
          <t>au-hobart</t>
        </is>
      </c>
      <c r="B3081" t="inlineStr">
        <is>
          <t>Hobart</t>
        </is>
      </c>
      <c r="C3081" t="inlineStr">
        <is>
          <t>Australia</t>
        </is>
      </c>
      <c r="D3081" t="inlineStr">
        <is>
          <t>Oceania</t>
        </is>
      </c>
      <c r="E3081" t="inlineStr">
        <is>
          <t>internet_cost</t>
        </is>
      </c>
      <c r="F3081" t="inlineStr">
        <is>
          <t>Internet cost</t>
        </is>
      </c>
      <c r="G3081" t="inlineStr">
        <is>
          <t>pressure</t>
        </is>
      </c>
      <c r="H3081" t="inlineStr">
        <is>
          <t>yes</t>
        </is>
      </c>
      <c r="I3081" t="inlineStr">
        <is>
          <t>73.95</t>
        </is>
      </c>
      <c r="J3081" t="inlineStr">
        <is>
          <t>world_bank_col_estimate</t>
        </is>
      </c>
      <c r="K3081" t="inlineStr">
        <is>
          <t>https://api.worldbank.org/v2/country/AUS/indicator/NY.GNP.PCAP.PP.CD?format=json&amp;mrv=10</t>
        </is>
      </c>
      <c r="L3081" t="inlineStr">
        <is>
          <t>World Bank GNI + regional expenditure ratio estimate</t>
        </is>
      </c>
      <c r="M3081" t="inlineStr">
        <is>
          <t>2024-12-31</t>
        </is>
      </c>
      <c r="N3081" t="inlineStr">
        <is>
          <t>auto_ingest=world_bank_col_estimate; gni_annual=69600.0; year=2024; country_proxy=Australia; cohort=Oceania; city_cost_mult=0.85</t>
        </is>
      </c>
    </row>
    <row r="3082">
      <c r="A3082" t="inlineStr">
        <is>
          <t>au-hobart</t>
        </is>
      </c>
      <c r="B3082" t="inlineStr">
        <is>
          <t>Hobart</t>
        </is>
      </c>
      <c r="C3082" t="inlineStr">
        <is>
          <t>Australia</t>
        </is>
      </c>
      <c r="D3082" t="inlineStr">
        <is>
          <t>Oceania</t>
        </is>
      </c>
      <c r="E3082" t="inlineStr">
        <is>
          <t>food_cost</t>
        </is>
      </c>
      <c r="F3082" t="inlineStr">
        <is>
          <t>Food cost</t>
        </is>
      </c>
      <c r="G3082" t="inlineStr">
        <is>
          <t>pressure</t>
        </is>
      </c>
      <c r="H3082" t="inlineStr">
        <is>
          <t>yes</t>
        </is>
      </c>
      <c r="I3082" t="inlineStr">
        <is>
          <t>739.5</t>
        </is>
      </c>
      <c r="J3082" t="inlineStr">
        <is>
          <t>world_bank_col_estimate</t>
        </is>
      </c>
      <c r="K3082" t="inlineStr">
        <is>
          <t>https://api.worldbank.org/v2/country/AUS/indicator/NY.GNP.PCAP.PP.CD?format=json&amp;mrv=10</t>
        </is>
      </c>
      <c r="L3082" t="inlineStr">
        <is>
          <t>World Bank GNI + regional expenditure ratio estimate</t>
        </is>
      </c>
      <c r="M3082" t="inlineStr">
        <is>
          <t>2024-12-31</t>
        </is>
      </c>
      <c r="N3082" t="inlineStr">
        <is>
          <t>auto_ingest=world_bank_col_estimate; gni_annual=69600.0; year=2024; country_proxy=Australia; cohort=Oceania; city_cost_mult=0.85</t>
        </is>
      </c>
    </row>
    <row r="3083">
      <c r="A3083" t="inlineStr">
        <is>
          <t>au-hobart</t>
        </is>
      </c>
      <c r="B3083" t="inlineStr">
        <is>
          <t>Hobart</t>
        </is>
      </c>
      <c r="C3083" t="inlineStr">
        <is>
          <t>Australia</t>
        </is>
      </c>
      <c r="D3083" t="inlineStr">
        <is>
          <t>Oceania</t>
        </is>
      </c>
      <c r="E3083" t="inlineStr">
        <is>
          <t>housing_burden_raw</t>
        </is>
      </c>
      <c r="F3083" t="inlineStr">
        <is>
          <t>Housing burden raw</t>
        </is>
      </c>
      <c r="G3083" t="inlineStr">
        <is>
          <t>pressure</t>
        </is>
      </c>
      <c r="H3083" t="inlineStr">
        <is>
          <t>yes</t>
        </is>
      </c>
      <c r="I3083" t="inlineStr">
        <is>
          <t>25.5</t>
        </is>
      </c>
      <c r="J3083" t="inlineStr">
        <is>
          <t>derived</t>
        </is>
      </c>
      <c r="K3083" t="inlineStr">
        <is>
          <t>https://data.worldbank.org/indicator/NY.GNP.PCAP.PP.CD</t>
        </is>
      </c>
      <c r="L3083" t="inlineStr">
        <is>
          <t>Computed from city_inputs + country_context</t>
        </is>
      </c>
      <c r="M3083" t="inlineStr">
        <is>
          <t>2024-01-01</t>
        </is>
      </c>
      <c r="N3083" t="inlineStr">
        <is>
          <t>derived=rent/gross_income*100</t>
        </is>
      </c>
    </row>
    <row r="3084">
      <c r="A3084" t="inlineStr">
        <is>
          <t>au-hobart</t>
        </is>
      </c>
      <c r="B3084" t="inlineStr">
        <is>
          <t>Hobart</t>
        </is>
      </c>
      <c r="C3084" t="inlineStr">
        <is>
          <t>Australia</t>
        </is>
      </c>
      <c r="D3084" t="inlineStr">
        <is>
          <t>Oceania</t>
        </is>
      </c>
      <c r="E3084" t="inlineStr">
        <is>
          <t>household_debt_burden_raw</t>
        </is>
      </c>
      <c r="F3084" t="inlineStr">
        <is>
          <t>Household debt burden raw</t>
        </is>
      </c>
      <c r="G3084" t="inlineStr">
        <is>
          <t>pressure</t>
        </is>
      </c>
      <c r="H3084" t="inlineStr">
        <is>
          <t>yes</t>
        </is>
      </c>
      <c r="I3084" t="inlineStr">
        <is>
          <t>129.3173</t>
        </is>
      </c>
      <c r="J3084" t="inlineStr">
        <is>
          <t>derived</t>
        </is>
      </c>
      <c r="K3084" t="inlineStr">
        <is>
          <t>https://data.worldbank.org/indicator/NY.GNP.PCAP.PP.CD</t>
        </is>
      </c>
      <c r="L3084" t="inlineStr">
        <is>
          <t>Computed from city_inputs + country_context</t>
        </is>
      </c>
      <c r="M3084" t="inlineStr">
        <is>
          <t>2024-01-01</t>
        </is>
      </c>
      <c r="N3084" t="inlineStr">
        <is>
          <t>derived=country_context.household_debt_proxy; country=Australia</t>
        </is>
      </c>
    </row>
    <row r="3085">
      <c r="A3085" t="inlineStr">
        <is>
          <t>au-hobart</t>
        </is>
      </c>
      <c r="B3085" t="inlineStr">
        <is>
          <t>Hobart</t>
        </is>
      </c>
      <c r="C3085" t="inlineStr">
        <is>
          <t>Australia</t>
        </is>
      </c>
      <c r="D3085" t="inlineStr">
        <is>
          <t>Oceania</t>
        </is>
      </c>
      <c r="E3085" t="inlineStr">
        <is>
          <t>working_time_pressure_raw</t>
        </is>
      </c>
      <c r="F3085" t="inlineStr">
        <is>
          <t>Working time pressure raw</t>
        </is>
      </c>
      <c r="G3085" t="inlineStr">
        <is>
          <t>pressure</t>
        </is>
      </c>
      <c r="H3085" t="inlineStr">
        <is>
          <t>yes</t>
        </is>
      </c>
      <c r="I3085" t="inlineStr">
        <is>
          <t>32.29</t>
        </is>
      </c>
      <c r="J3085" t="inlineStr">
        <is>
          <t>ilo_ilostat</t>
        </is>
      </c>
      <c r="K3085" t="inlineStr">
        <is>
          <t>https://ilostat.ilo.org/data/indicator/?id=HOW_TEMP_SEX_ECO_NB_A&amp;ref_area=AUS</t>
        </is>
      </c>
      <c r="L3085" t="inlineStr">
        <is>
          <t>ILO ILOSTAT: Mean weekly hours actually worked per employed person</t>
        </is>
      </c>
      <c r="M3085" t="inlineStr">
        <is>
          <t>2020-12-31</t>
        </is>
      </c>
      <c r="N3085" t="inlineStr">
        <is>
          <t>auto_ingest=ilo_working_hours; indicator=HOW_TEMP_SEX_ECO_NB_A; year=2020; hours=32.29; country_proxy=Australia</t>
        </is>
      </c>
    </row>
    <row r="3086">
      <c r="A3086" t="inlineStr">
        <is>
          <t>au-hobart</t>
        </is>
      </c>
      <c r="B3086" t="inlineStr">
        <is>
          <t>Hobart</t>
        </is>
      </c>
      <c r="C3086" t="inlineStr">
        <is>
          <t>Australia</t>
        </is>
      </c>
      <c r="D3086" t="inlineStr">
        <is>
          <t>Oceania</t>
        </is>
      </c>
      <c r="E3086" t="inlineStr">
        <is>
          <t>suicide_mental_strain_raw</t>
        </is>
      </c>
      <c r="F3086" t="inlineStr">
        <is>
          <t>Suicide or mental strain raw</t>
        </is>
      </c>
      <c r="G3086" t="inlineStr">
        <is>
          <t>pressure</t>
        </is>
      </c>
      <c r="H3086" t="inlineStr">
        <is>
          <t>yes</t>
        </is>
      </c>
      <c r="I3086" t="inlineStr">
        <is>
          <t>13.08</t>
        </is>
      </c>
      <c r="J3086" t="inlineStr">
        <is>
          <t>who_gho</t>
        </is>
      </c>
      <c r="K3086" t="inlineStr">
        <is>
          <t>https://www.who.int/data/gho/data/indicators/indicator-details/GHO/SDGSUICIDE</t>
        </is>
      </c>
      <c r="L3086" t="inlineStr">
        <is>
          <t>WHO GHO: Age-standardized suicide rate (per 100,000 population)</t>
        </is>
      </c>
      <c r="M3086" t="inlineStr">
        <is>
          <t>2021-12-31</t>
        </is>
      </c>
      <c r="N3086" t="inlineStr">
        <is>
          <t>auto_ingest=who_gho; indicator=SDGSUICIDE; year=2021; country_proxy=Australia</t>
        </is>
      </c>
    </row>
    <row r="3087">
      <c r="A3087" t="inlineStr">
        <is>
          <t>au-hobart</t>
        </is>
      </c>
      <c r="B3087" t="inlineStr">
        <is>
          <t>Hobart</t>
        </is>
      </c>
      <c r="C3087" t="inlineStr">
        <is>
          <t>Australia</t>
        </is>
      </c>
      <c r="D3087" t="inlineStr">
        <is>
          <t>Oceania</t>
        </is>
      </c>
      <c r="E3087" t="inlineStr">
        <is>
          <t>personal_safety_raw</t>
        </is>
      </c>
      <c r="F3087" t="inlineStr">
        <is>
          <t>Personal safety raw</t>
        </is>
      </c>
      <c r="G3087" t="inlineStr">
        <is>
          <t>viability</t>
        </is>
      </c>
      <c r="H3087" t="inlineStr">
        <is>
          <t>yes</t>
        </is>
      </c>
      <c r="I3087" t="inlineStr">
        <is>
          <t>0.85</t>
        </is>
      </c>
      <c r="J3087" t="inlineStr">
        <is>
          <t>world_bank</t>
        </is>
      </c>
      <c r="K3087" t="inlineStr">
        <is>
          <t>https://api.worldbank.org/v2/country/AUS/indicator/VC.IHR.PSRC.P5?format=json&amp;mrv=10</t>
        </is>
      </c>
      <c r="L3087" t="inlineStr">
        <is>
          <t>UNODC via World Bank WDI: Intentional homicides (per 100,000 people)</t>
        </is>
      </c>
      <c r="M3087" t="inlineStr">
        <is>
          <t>2023-12-31</t>
        </is>
      </c>
      <c r="N3087" t="inlineStr">
        <is>
          <t>auto_ingest=unodc_safety; indicator=VC.IHR.PSRC.P5; year=2023; country_proxy=Australia</t>
        </is>
      </c>
    </row>
    <row r="3088">
      <c r="A3088" t="inlineStr">
        <is>
          <t>au-hobart</t>
        </is>
      </c>
      <c r="B3088" t="inlineStr">
        <is>
          <t>Hobart</t>
        </is>
      </c>
      <c r="C3088" t="inlineStr">
        <is>
          <t>Australia</t>
        </is>
      </c>
      <c r="D3088" t="inlineStr">
        <is>
          <t>Oceania</t>
        </is>
      </c>
      <c r="E3088" t="inlineStr">
        <is>
          <t>transit_access_commute_raw</t>
        </is>
      </c>
      <c r="F3088" t="inlineStr">
        <is>
          <t>Transit access and commute raw</t>
        </is>
      </c>
      <c r="G3088" t="inlineStr">
        <is>
          <t>viability</t>
        </is>
      </c>
      <c r="H3088" t="inlineStr">
        <is>
          <t>yes</t>
        </is>
      </c>
      <c r="I3088" t="inlineStr"/>
      <c r="J3088" t="inlineStr"/>
      <c r="K3088" t="inlineStr"/>
      <c r="L3088" t="inlineStr"/>
      <c r="M3088" t="inlineStr"/>
      <c r="N3088" t="inlineStr"/>
    </row>
    <row r="3089">
      <c r="A3089" t="inlineStr">
        <is>
          <t>au-hobart</t>
        </is>
      </c>
      <c r="B3089" t="inlineStr">
        <is>
          <t>Hobart</t>
        </is>
      </c>
      <c r="C3089" t="inlineStr">
        <is>
          <t>Australia</t>
        </is>
      </c>
      <c r="D3089" t="inlineStr">
        <is>
          <t>Oceania</t>
        </is>
      </c>
      <c r="E3089" t="inlineStr">
        <is>
          <t>clean_air_raw</t>
        </is>
      </c>
      <c r="F3089" t="inlineStr">
        <is>
          <t>Clean air raw</t>
        </is>
      </c>
      <c r="G3089" t="inlineStr">
        <is>
          <t>viability</t>
        </is>
      </c>
      <c r="H3089" t="inlineStr">
        <is>
          <t>yes</t>
        </is>
      </c>
      <c r="I3089" t="inlineStr"/>
      <c r="J3089" t="inlineStr"/>
      <c r="K3089" t="inlineStr"/>
      <c r="L3089" t="inlineStr"/>
      <c r="M3089" t="inlineStr"/>
      <c r="N3089" t="inlineStr"/>
    </row>
    <row r="3090">
      <c r="A3090" t="inlineStr">
        <is>
          <t>au-hobart</t>
        </is>
      </c>
      <c r="B3090" t="inlineStr">
        <is>
          <t>Hobart</t>
        </is>
      </c>
      <c r="C3090" t="inlineStr">
        <is>
          <t>Australia</t>
        </is>
      </c>
      <c r="D3090" t="inlineStr">
        <is>
          <t>Oceania</t>
        </is>
      </c>
      <c r="E3090" t="inlineStr">
        <is>
          <t>water_sanitation_utility_raw</t>
        </is>
      </c>
      <c r="F3090" t="inlineStr">
        <is>
          <t>Water, sanitation, and utility raw</t>
        </is>
      </c>
      <c r="G3090" t="inlineStr">
        <is>
          <t>viability</t>
        </is>
      </c>
      <c r="H3090" t="inlineStr">
        <is>
          <t>yes</t>
        </is>
      </c>
      <c r="I3090" t="inlineStr"/>
      <c r="J3090" t="inlineStr"/>
      <c r="K3090" t="inlineStr"/>
      <c r="L3090" t="inlineStr"/>
      <c r="M3090" t="inlineStr"/>
      <c r="N3090" t="inlineStr"/>
    </row>
    <row r="3091">
      <c r="A3091" t="inlineStr">
        <is>
          <t>au-hobart</t>
        </is>
      </c>
      <c r="B3091" t="inlineStr">
        <is>
          <t>Hobart</t>
        </is>
      </c>
      <c r="C3091" t="inlineStr">
        <is>
          <t>Australia</t>
        </is>
      </c>
      <c r="D3091" t="inlineStr">
        <is>
          <t>Oceania</t>
        </is>
      </c>
      <c r="E3091" t="inlineStr">
        <is>
          <t>digital_infrastructure_raw</t>
        </is>
      </c>
      <c r="F3091" t="inlineStr">
        <is>
          <t>Digital infrastructure raw</t>
        </is>
      </c>
      <c r="G3091" t="inlineStr">
        <is>
          <t>viability</t>
        </is>
      </c>
      <c r="H3091" t="inlineStr">
        <is>
          <t>yes</t>
        </is>
      </c>
      <c r="I3091" t="inlineStr">
        <is>
          <t>36.6</t>
        </is>
      </c>
      <c r="J3091" t="inlineStr">
        <is>
          <t>world_bank</t>
        </is>
      </c>
      <c r="K3091" t="inlineStr">
        <is>
          <t>https://api.worldbank.org/v2/country/AUS/indicator/IT.NET.BBND.P2?format=json&amp;mrv=10</t>
        </is>
      </c>
      <c r="L3091" t="inlineStr">
        <is>
          <t>World Bank WDI: Fixed broadband subscriptions (per 100 people)</t>
        </is>
      </c>
      <c r="M3091" t="inlineStr">
        <is>
          <t>2023-12-31</t>
        </is>
      </c>
      <c r="N3091" t="inlineStr">
        <is>
          <t>auto_ingest=world_bank_proxy; indicator=IT.NET.BBND.P2; year=2023; country_proxy=Australia</t>
        </is>
      </c>
    </row>
    <row r="3092">
      <c r="A3092" t="inlineStr">
        <is>
          <t>au-hobart</t>
        </is>
      </c>
      <c r="B3092" t="inlineStr">
        <is>
          <t>Hobart</t>
        </is>
      </c>
      <c r="C3092" t="inlineStr">
        <is>
          <t>Australia</t>
        </is>
      </c>
      <c r="D3092" t="inlineStr">
        <is>
          <t>Oceania</t>
        </is>
      </c>
      <c r="E3092" t="inlineStr">
        <is>
          <t>climate_sunlight_livability_raw</t>
        </is>
      </c>
      <c r="F3092" t="inlineStr">
        <is>
          <t>Climate and sunlight livability raw</t>
        </is>
      </c>
      <c r="G3092" t="inlineStr">
        <is>
          <t>viability</t>
        </is>
      </c>
      <c r="H3092" t="inlineStr">
        <is>
          <t>yes</t>
        </is>
      </c>
      <c r="I3092" t="inlineStr">
        <is>
          <t>52</t>
        </is>
      </c>
      <c r="J3092" t="inlineStr">
        <is>
          <t>wmo_natl_met</t>
        </is>
      </c>
      <c r="K3092" t="inlineStr">
        <is>
          <t>https://worldweather.wmo.int</t>
        </is>
      </c>
      <c r="L3092" t="inlineStr">
        <is>
          <t>WMO/National Met: Climate livability composite</t>
        </is>
      </c>
      <c r="M3092" t="inlineStr">
        <is>
          <t>2024-12-31</t>
        </is>
      </c>
      <c r="N3092" t="inlineStr">
        <is>
          <t>auto_seed=climate_composite; 2100 sun hrs, 13C mean, cool southern</t>
        </is>
      </c>
    </row>
    <row r="3093">
      <c r="A3093" t="inlineStr">
        <is>
          <t>au-hobart</t>
        </is>
      </c>
      <c r="B3093" t="inlineStr">
        <is>
          <t>Hobart</t>
        </is>
      </c>
      <c r="C3093" t="inlineStr">
        <is>
          <t>Australia</t>
        </is>
      </c>
      <c r="D3093" t="inlineStr">
        <is>
          <t>Oceania</t>
        </is>
      </c>
      <c r="E3093" t="inlineStr">
        <is>
          <t>healthcare_quality_raw</t>
        </is>
      </c>
      <c r="F3093" t="inlineStr">
        <is>
          <t>Healthcare quality raw</t>
        </is>
      </c>
      <c r="G3093" t="inlineStr">
        <is>
          <t>capability</t>
        </is>
      </c>
      <c r="H3093" t="inlineStr">
        <is>
          <t>yes</t>
        </is>
      </c>
      <c r="I3093" t="inlineStr">
        <is>
          <t>89.0</t>
        </is>
      </c>
      <c r="J3093" t="inlineStr">
        <is>
          <t>who_gho</t>
        </is>
      </c>
      <c r="K3093" t="inlineStr">
        <is>
          <t>https://www.who.int/data/gho/data/indicators/indicator-details/GHO/UHC_INDEX_REPORTED</t>
        </is>
      </c>
      <c r="L3093" t="inlineStr">
        <is>
          <t>WHO GHO: UHC Service Coverage Index</t>
        </is>
      </c>
      <c r="M3093" t="inlineStr">
        <is>
          <t>2023-12-31</t>
        </is>
      </c>
      <c r="N3093" t="inlineStr">
        <is>
          <t>auto_ingest=who_gho; indicator=UHC_INDEX_REPORTED; year=2023; country_proxy=Australia</t>
        </is>
      </c>
    </row>
    <row r="3094">
      <c r="A3094" t="inlineStr">
        <is>
          <t>au-hobart</t>
        </is>
      </c>
      <c r="B3094" t="inlineStr">
        <is>
          <t>Hobart</t>
        </is>
      </c>
      <c r="C3094" t="inlineStr">
        <is>
          <t>Australia</t>
        </is>
      </c>
      <c r="D3094" t="inlineStr">
        <is>
          <t>Oceania</t>
        </is>
      </c>
      <c r="E3094" t="inlineStr">
        <is>
          <t>education_quality_raw</t>
        </is>
      </c>
      <c r="F3094" t="inlineStr">
        <is>
          <t>Education quality raw</t>
        </is>
      </c>
      <c r="G3094" t="inlineStr">
        <is>
          <t>capability</t>
        </is>
      </c>
      <c r="H3094" t="inlineStr">
        <is>
          <t>yes</t>
        </is>
      </c>
      <c r="I3094" t="inlineStr">
        <is>
          <t>104.65</t>
        </is>
      </c>
      <c r="J3094" t="inlineStr">
        <is>
          <t>world_bank</t>
        </is>
      </c>
      <c r="K3094" t="inlineStr">
        <is>
          <t>https://api.worldbank.org/v2/country/AUS/indicator/SE.TER.ENRR?format=json&amp;mrv=10</t>
        </is>
      </c>
      <c r="L3094" t="inlineStr">
        <is>
          <t>World Bank WDI: School enrollment, tertiary (% gross)</t>
        </is>
      </c>
      <c r="M3094" t="inlineStr">
        <is>
          <t>2023-12-31</t>
        </is>
      </c>
      <c r="N3094" t="inlineStr">
        <is>
          <t>auto_ingest=world_bank_proxy; indicator=SE.TER.ENRR; year=2023; country_proxy=Australia</t>
        </is>
      </c>
    </row>
    <row r="3095">
      <c r="A3095" t="inlineStr">
        <is>
          <t>au-hobart</t>
        </is>
      </c>
      <c r="B3095" t="inlineStr">
        <is>
          <t>Hobart</t>
        </is>
      </c>
      <c r="C3095" t="inlineStr">
        <is>
          <t>Australia</t>
        </is>
      </c>
      <c r="D3095" t="inlineStr">
        <is>
          <t>Oceania</t>
        </is>
      </c>
      <c r="E3095" t="inlineStr">
        <is>
          <t>equal_opportunity_raw</t>
        </is>
      </c>
      <c r="F3095" t="inlineStr">
        <is>
          <t>Equal opportunity raw</t>
        </is>
      </c>
      <c r="G3095" t="inlineStr">
        <is>
          <t>capability</t>
        </is>
      </c>
      <c r="H3095" t="inlineStr">
        <is>
          <t>yes</t>
        </is>
      </c>
      <c r="I3095" t="inlineStr">
        <is>
          <t>33.8</t>
        </is>
      </c>
      <c r="J3095" t="inlineStr">
        <is>
          <t>world_bank</t>
        </is>
      </c>
      <c r="K3095" t="inlineStr">
        <is>
          <t>https://api.worldbank.org/v2/country/AUS/indicator/SI.POV.GINI?format=json&amp;mrv=10</t>
        </is>
      </c>
      <c r="L3095" t="inlineStr">
        <is>
          <t>World Bank WDI: Gini index</t>
        </is>
      </c>
      <c r="M3095" t="inlineStr">
        <is>
          <t>2020-12-31</t>
        </is>
      </c>
      <c r="N3095" t="inlineStr">
        <is>
          <t>auto_ingest=world_bank_capability; indicator=SI.POV.GINI; year=2020; country_proxy=Australia</t>
        </is>
      </c>
    </row>
    <row r="3096">
      <c r="A3096" t="inlineStr">
        <is>
          <t>au-hobart</t>
        </is>
      </c>
      <c r="B3096" t="inlineStr">
        <is>
          <t>Hobart</t>
        </is>
      </c>
      <c r="C3096" t="inlineStr">
        <is>
          <t>Australia</t>
        </is>
      </c>
      <c r="D3096" t="inlineStr">
        <is>
          <t>Oceania</t>
        </is>
      </c>
      <c r="E3096" t="inlineStr">
        <is>
          <t>hospitality_belonging_raw</t>
        </is>
      </c>
      <c r="F3096" t="inlineStr">
        <is>
          <t>Hospitality and belonging raw</t>
        </is>
      </c>
      <c r="G3096" t="inlineStr">
        <is>
          <t>community</t>
        </is>
      </c>
      <c r="H3096" t="inlineStr">
        <is>
          <t>yes</t>
        </is>
      </c>
      <c r="I3096" t="inlineStr">
        <is>
          <t>55.04</t>
        </is>
      </c>
      <c r="J3096" t="inlineStr">
        <is>
          <t>world_bank</t>
        </is>
      </c>
      <c r="K3096" t="inlineStr">
        <is>
          <t>https://api.worldbank.org/v2/country/AUS/indicator/SM.POP.NETM?format=json&amp;mrv=10</t>
        </is>
      </c>
      <c r="L3096" t="inlineStr">
        <is>
          <t>World Bank WDI: Net migration (proxy for hospitality/belonging — positive = welcoming)</t>
        </is>
      </c>
      <c r="M3096" t="inlineStr">
        <is>
          <t>2025-12-31</t>
        </is>
      </c>
      <c r="N3096" t="inlineStr">
        <is>
          <t>auto_ingest=world_bank_proxy; proxy=net_migration_hospitality; indicator=SM.POP.NETM; year=2025; country_proxy=Australia</t>
        </is>
      </c>
    </row>
    <row r="3097">
      <c r="A3097" t="inlineStr">
        <is>
          <t>au-hobart</t>
        </is>
      </c>
      <c r="B3097" t="inlineStr">
        <is>
          <t>Hobart</t>
        </is>
      </c>
      <c r="C3097" t="inlineStr">
        <is>
          <t>Australia</t>
        </is>
      </c>
      <c r="D3097" t="inlineStr">
        <is>
          <t>Oceania</t>
        </is>
      </c>
      <c r="E3097" t="inlineStr">
        <is>
          <t>tolerance_pluralism_raw</t>
        </is>
      </c>
      <c r="F3097" t="inlineStr">
        <is>
          <t>Tolerance and pluralism raw</t>
        </is>
      </c>
      <c r="G3097" t="inlineStr">
        <is>
          <t>community</t>
        </is>
      </c>
      <c r="H3097" t="inlineStr">
        <is>
          <t>yes</t>
        </is>
      </c>
      <c r="I3097" t="inlineStr">
        <is>
          <t>38.0</t>
        </is>
      </c>
      <c r="J3097" t="inlineStr">
        <is>
          <t>world_bank</t>
        </is>
      </c>
      <c r="K3097" t="inlineStr">
        <is>
          <t>https://api.worldbank.org/v2/country/AUS/indicator/SG.GEN.PARL.ZS?format=json&amp;mrv=10</t>
        </is>
      </c>
      <c r="L3097" t="inlineStr">
        <is>
          <t>World Bank WDI: Proportion of seats held by women in national parliaments (%)</t>
        </is>
      </c>
      <c r="M3097" t="inlineStr">
        <is>
          <t>2024-12-31</t>
        </is>
      </c>
      <c r="N3097" t="inlineStr">
        <is>
          <t>auto_ingest=world_bank_proxy; proxy=gender_parity_parliament; indicator=SG.GEN.PARL.ZS; year=2024; country_proxy=Australia</t>
        </is>
      </c>
    </row>
    <row r="3098">
      <c r="A3098" t="inlineStr">
        <is>
          <t>au-hobart</t>
        </is>
      </c>
      <c r="B3098" t="inlineStr">
        <is>
          <t>Hobart</t>
        </is>
      </c>
      <c r="C3098" t="inlineStr">
        <is>
          <t>Australia</t>
        </is>
      </c>
      <c r="D3098" t="inlineStr">
        <is>
          <t>Oceania</t>
        </is>
      </c>
      <c r="E3098" t="inlineStr">
        <is>
          <t>cultural_public_life_raw</t>
        </is>
      </c>
      <c r="F3098" t="inlineStr">
        <is>
          <t>Cultural public life raw</t>
        </is>
      </c>
      <c r="G3098" t="inlineStr">
        <is>
          <t>community</t>
        </is>
      </c>
      <c r="H3098" t="inlineStr">
        <is>
          <t>yes</t>
        </is>
      </c>
      <c r="I3098" t="inlineStr">
        <is>
          <t>67.21</t>
        </is>
      </c>
      <c r="J3098" t="inlineStr">
        <is>
          <t>world_bank</t>
        </is>
      </c>
      <c r="K3098" t="inlineStr">
        <is>
          <t>https://api.worldbank.org/v2/country/AUS/indicator/ST.INT.ARVL?format=json&amp;mrv=10</t>
        </is>
      </c>
      <c r="L3098" t="inlineStr">
        <is>
          <t>World Bank WDI: International tourism arrivals per 1 000 population</t>
        </is>
      </c>
      <c r="M3098" t="inlineStr">
        <is>
          <t>2020-12-31</t>
        </is>
      </c>
      <c r="N3098" t="inlineStr">
        <is>
          <t>auto_ingest=cultural_life_proxy; indicator=ST.INT.ARVL; norm=per_1000_pop; year=2020; country_proxy=Australia</t>
        </is>
      </c>
    </row>
    <row r="3099">
      <c r="A3099" t="inlineStr">
        <is>
          <t>au-hobart</t>
        </is>
      </c>
      <c r="B3099" t="inlineStr">
        <is>
          <t>Hobart</t>
        </is>
      </c>
      <c r="C3099" t="inlineStr">
        <is>
          <t>Australia</t>
        </is>
      </c>
      <c r="D3099" t="inlineStr">
        <is>
          <t>Oceania</t>
        </is>
      </c>
      <c r="E3099" t="inlineStr">
        <is>
          <t>birth_rate_optimism_raw</t>
        </is>
      </c>
      <c r="F3099" t="inlineStr">
        <is>
          <t>Birth rate and societal optimism raw</t>
        </is>
      </c>
      <c r="G3099" t="inlineStr">
        <is>
          <t>community</t>
        </is>
      </c>
      <c r="H3099" t="inlineStr">
        <is>
          <t>yes</t>
        </is>
      </c>
      <c r="I3099" t="inlineStr">
        <is>
          <t>1.58</t>
        </is>
      </c>
      <c r="J3099" t="inlineStr">
        <is>
          <t>world_bank</t>
        </is>
      </c>
      <c r="K3099" t="inlineStr">
        <is>
          <t>https://data.worldbank.org/indicator/SP.DYN.TFRT.IN</t>
        </is>
      </c>
      <c r="L3099" t="inlineStr">
        <is>
          <t>World Bank Total Fertility Rate 2023</t>
        </is>
      </c>
      <c r="M3099" t="inlineStr">
        <is>
          <t>2024-01-01</t>
        </is>
      </c>
      <c r="N3099" t="inlineStr"/>
    </row>
    <row r="3100">
      <c r="A3100" t="inlineStr">
        <is>
          <t>au-hobart</t>
        </is>
      </c>
      <c r="B3100" t="inlineStr">
        <is>
          <t>Hobart</t>
        </is>
      </c>
      <c r="C3100" t="inlineStr">
        <is>
          <t>Australia</t>
        </is>
      </c>
      <c r="D3100" t="inlineStr">
        <is>
          <t>Oceania</t>
        </is>
      </c>
      <c r="E3100" t="inlineStr">
        <is>
          <t>entrepreneurial_dynamism_raw</t>
        </is>
      </c>
      <c r="F3100" t="inlineStr">
        <is>
          <t>Entrepreneurial dynamism raw</t>
        </is>
      </c>
      <c r="G3100" t="inlineStr">
        <is>
          <t>creative</t>
        </is>
      </c>
      <c r="H3100" t="inlineStr">
        <is>
          <t>yes</t>
        </is>
      </c>
      <c r="I3100" t="inlineStr">
        <is>
          <t>17.26</t>
        </is>
      </c>
      <c r="J3100" t="inlineStr">
        <is>
          <t>world_bank</t>
        </is>
      </c>
      <c r="K3100" t="inlineStr">
        <is>
          <t>https://api.worldbank.org/v2/country/AUS/indicator/IC.BUS.NDNS.ZS?format=json&amp;mrv=10</t>
        </is>
      </c>
      <c r="L3100" t="inlineStr">
        <is>
          <t>World Bank WDI: New business density (new registrations per 1,000 people ages 15-64)</t>
        </is>
      </c>
      <c r="M3100" t="inlineStr">
        <is>
          <t>2022-12-31</t>
        </is>
      </c>
      <c r="N3100" t="inlineStr">
        <is>
          <t>auto_ingest=world_bank_creative_extended; indicator=IC.BUS.NDNS.ZS; year=2022; country_proxy=Australia</t>
        </is>
      </c>
    </row>
    <row r="3101">
      <c r="A3101" t="inlineStr">
        <is>
          <t>au-hobart</t>
        </is>
      </c>
      <c r="B3101" t="inlineStr">
        <is>
          <t>Hobart</t>
        </is>
      </c>
      <c r="C3101" t="inlineStr">
        <is>
          <t>Australia</t>
        </is>
      </c>
      <c r="D3101" t="inlineStr">
        <is>
          <t>Oceania</t>
        </is>
      </c>
      <c r="E3101" t="inlineStr">
        <is>
          <t>innovation_research_intensity_raw</t>
        </is>
      </c>
      <c r="F3101" t="inlineStr">
        <is>
          <t>Innovation and research raw</t>
        </is>
      </c>
      <c r="G3101" t="inlineStr">
        <is>
          <t>creative</t>
        </is>
      </c>
      <c r="H3101" t="inlineStr">
        <is>
          <t>yes</t>
        </is>
      </c>
      <c r="I3101" t="inlineStr">
        <is>
          <t>1.86</t>
        </is>
      </c>
      <c r="J3101" t="inlineStr">
        <is>
          <t>world_bank</t>
        </is>
      </c>
      <c r="K3101" t="inlineStr">
        <is>
          <t>https://api.worldbank.org/v2/country/AUS/indicator/GB.XPD.RSDV.GD.ZS?format=json&amp;mrv=10</t>
        </is>
      </c>
      <c r="L3101" t="inlineStr">
        <is>
          <t>World Bank WDI: Research and development expenditure (% of GDP)</t>
        </is>
      </c>
      <c r="M3101" t="inlineStr">
        <is>
          <t>2021-12-31</t>
        </is>
      </c>
      <c r="N3101" t="inlineStr">
        <is>
          <t>auto_ingest=world_bank_creative_extended; indicator=GB.XPD.RSDV.GD.ZS; year=2021; country_proxy=Australia</t>
        </is>
      </c>
    </row>
    <row r="3102">
      <c r="A3102" t="inlineStr">
        <is>
          <t>au-hobart</t>
        </is>
      </c>
      <c r="B3102" t="inlineStr">
        <is>
          <t>Hobart</t>
        </is>
      </c>
      <c r="C3102" t="inlineStr">
        <is>
          <t>Australia</t>
        </is>
      </c>
      <c r="D3102" t="inlineStr">
        <is>
          <t>Oceania</t>
        </is>
      </c>
      <c r="E3102" t="inlineStr">
        <is>
          <t>investment_signal_raw</t>
        </is>
      </c>
      <c r="F3102" t="inlineStr">
        <is>
          <t>Investment signal raw</t>
        </is>
      </c>
      <c r="G3102" t="inlineStr">
        <is>
          <t>creative</t>
        </is>
      </c>
      <c r="H3102" t="inlineStr">
        <is>
          <t>yes</t>
        </is>
      </c>
      <c r="I3102" t="inlineStr">
        <is>
          <t>3.04</t>
        </is>
      </c>
      <c r="J3102" t="inlineStr">
        <is>
          <t>world_bank</t>
        </is>
      </c>
      <c r="K3102" t="inlineStr">
        <is>
          <t>https://api.worldbank.org/v2/country/AUS/indicator/BX.KLT.DINV.WD.GD.ZS?format=json&amp;mrv=10</t>
        </is>
      </c>
      <c r="L3102" t="inlineStr">
        <is>
          <t>World Bank WDI: Foreign direct investment, net inflows (% of GDP)</t>
        </is>
      </c>
      <c r="M3102" t="inlineStr">
        <is>
          <t>2024-12-31</t>
        </is>
      </c>
      <c r="N3102" t="inlineStr">
        <is>
          <t>auto_ingest=world_bank_creative_extended; indicator=BX.KLT.DINV.WD.GD.ZS; year=2024; country_proxy=Australia</t>
        </is>
      </c>
    </row>
    <row r="3103">
      <c r="A3103" t="inlineStr">
        <is>
          <t>au-hobart</t>
        </is>
      </c>
      <c r="B3103" t="inlineStr">
        <is>
          <t>Hobart</t>
        </is>
      </c>
      <c r="C3103" t="inlineStr">
        <is>
          <t>Australia</t>
        </is>
      </c>
      <c r="D3103" t="inlineStr">
        <is>
          <t>Oceania</t>
        </is>
      </c>
      <c r="E3103" t="inlineStr">
        <is>
          <t>administrative_investment_friction_raw</t>
        </is>
      </c>
      <c r="F3103" t="inlineStr">
        <is>
          <t>Administrative investment friction raw</t>
        </is>
      </c>
      <c r="G3103" t="inlineStr">
        <is>
          <t>creative</t>
        </is>
      </c>
      <c r="H3103" t="inlineStr">
        <is>
          <t>yes</t>
        </is>
      </c>
      <c r="I3103" t="inlineStr">
        <is>
          <t>0.56</t>
        </is>
      </c>
      <c r="J3103" t="inlineStr">
        <is>
          <t>world_bank</t>
        </is>
      </c>
      <c r="K3103" t="inlineStr">
        <is>
          <t>https://api.worldbank.org/v2/country/AUS/indicator/RQ.EST?format=json&amp;mrv=10</t>
        </is>
      </c>
      <c r="L3103" t="inlineStr">
        <is>
          <t>World Bank WGI: Regulatory Quality (inverted as friction proxy)</t>
        </is>
      </c>
      <c r="M3103" t="inlineStr">
        <is>
          <t>2023-12-31</t>
        </is>
      </c>
      <c r="N3103" t="inlineStr">
        <is>
          <t>auto_ingest=world_bank_business_friction; indicator=RQ.EST; raw_rq=1.94220554828644; friction=0.56; year=2023; country_proxy=Australia</t>
        </is>
      </c>
    </row>
    <row r="3104">
      <c r="A3104" t="inlineStr">
        <is>
          <t>au-hobart</t>
        </is>
      </c>
      <c r="B3104" t="inlineStr">
        <is>
          <t>Hobart</t>
        </is>
      </c>
      <c r="C3104" t="inlineStr">
        <is>
          <t>Australia</t>
        </is>
      </c>
      <c r="D3104" t="inlineStr">
        <is>
          <t>Oceania</t>
        </is>
      </c>
      <c r="E3104" t="inlineStr">
        <is>
          <t>visitor_flow_context_raw</t>
        </is>
      </c>
      <c r="F3104" t="inlineStr">
        <is>
          <t>Visitor flow context raw</t>
        </is>
      </c>
      <c r="G3104" t="inlineStr">
        <is>
          <t>creative</t>
        </is>
      </c>
      <c r="H3104" t="inlineStr">
        <is>
          <t>no</t>
        </is>
      </c>
      <c r="I3104" t="inlineStr"/>
      <c r="J3104" t="inlineStr"/>
      <c r="K3104" t="inlineStr"/>
      <c r="L3104" t="inlineStr"/>
      <c r="M3104" t="inlineStr"/>
      <c r="N3104" t="inlineStr"/>
    </row>
    <row r="3105">
      <c r="A3105" t="inlineStr">
        <is>
          <t>nz-christchurch</t>
        </is>
      </c>
      <c r="B3105" t="inlineStr">
        <is>
          <t>Christchurch</t>
        </is>
      </c>
      <c r="C3105" t="inlineStr">
        <is>
          <t>New Zealand</t>
        </is>
      </c>
      <c r="D3105" t="inlineStr">
        <is>
          <t>Oceania</t>
        </is>
      </c>
      <c r="E3105" t="inlineStr">
        <is>
          <t>gross_income</t>
        </is>
      </c>
      <c r="F3105" t="inlineStr">
        <is>
          <t>Gross income</t>
        </is>
      </c>
      <c r="G3105" t="inlineStr">
        <is>
          <t>pressure</t>
        </is>
      </c>
      <c r="H3105" t="inlineStr">
        <is>
          <t>yes</t>
        </is>
      </c>
      <c r="I3105" t="inlineStr">
        <is>
          <t>4466.67</t>
        </is>
      </c>
      <c r="J3105" t="inlineStr">
        <is>
          <t>world_bank_col_estimate</t>
        </is>
      </c>
      <c r="K3105" t="inlineStr">
        <is>
          <t>https://api.worldbank.org/v2/country/NZL/indicator/NY.GNP.PCAP.PP.CD?format=json&amp;mrv=10</t>
        </is>
      </c>
      <c r="L3105" t="inlineStr">
        <is>
          <t>World Bank WDI: GNI per capita PPP (monthly USD)</t>
        </is>
      </c>
      <c r="M3105" t="inlineStr">
        <is>
          <t>2024-12-31</t>
        </is>
      </c>
      <c r="N3105" t="inlineStr">
        <is>
          <t>auto_ingest=world_bank_col_estimate; gni_annual=53600.0; year=2024; country_proxy=New Zealand; cohort=Oceania</t>
        </is>
      </c>
    </row>
    <row r="3106">
      <c r="A3106" t="inlineStr">
        <is>
          <t>nz-christchurch</t>
        </is>
      </c>
      <c r="B3106" t="inlineStr">
        <is>
          <t>Christchurch</t>
        </is>
      </c>
      <c r="C3106" t="inlineStr">
        <is>
          <t>New Zealand</t>
        </is>
      </c>
      <c r="D3106" t="inlineStr">
        <is>
          <t>Oceania</t>
        </is>
      </c>
      <c r="E3106" t="inlineStr">
        <is>
          <t>di_ppp_raw</t>
        </is>
      </c>
      <c r="F3106" t="inlineStr">
        <is>
          <t>Disposable income PPP (Raw)</t>
        </is>
      </c>
      <c r="G3106" t="inlineStr">
        <is>
          <t>pressure</t>
        </is>
      </c>
      <c r="H3106" t="inlineStr">
        <is>
          <t>yes</t>
        </is>
      </c>
      <c r="I3106" t="inlineStr"/>
      <c r="J3106" t="inlineStr"/>
      <c r="K3106" t="inlineStr"/>
      <c r="L3106" t="inlineStr"/>
      <c r="M3106" t="inlineStr"/>
      <c r="N3106" t="inlineStr"/>
    </row>
    <row r="3107">
      <c r="A3107" t="inlineStr">
        <is>
          <t>nz-christchurch</t>
        </is>
      </c>
      <c r="B3107" t="inlineStr">
        <is>
          <t>Christchurch</t>
        </is>
      </c>
      <c r="C3107" t="inlineStr">
        <is>
          <t>New Zealand</t>
        </is>
      </c>
      <c r="D3107" t="inlineStr">
        <is>
          <t>Oceania</t>
        </is>
      </c>
      <c r="E3107" t="inlineStr">
        <is>
          <t>rent</t>
        </is>
      </c>
      <c r="F3107" t="inlineStr">
        <is>
          <t>Rent</t>
        </is>
      </c>
      <c r="G3107" t="inlineStr">
        <is>
          <t>pressure</t>
        </is>
      </c>
      <c r="H3107" t="inlineStr">
        <is>
          <t>yes</t>
        </is>
      </c>
      <c r="I3107" t="inlineStr">
        <is>
          <t>1206.0</t>
        </is>
      </c>
      <c r="J3107" t="inlineStr">
        <is>
          <t>world_bank_col_estimate</t>
        </is>
      </c>
      <c r="K3107" t="inlineStr">
        <is>
          <t>https://api.worldbank.org/v2/country/NZL/indicator/NY.GNP.PCAP.PP.CD?format=json&amp;mrv=10</t>
        </is>
      </c>
      <c r="L3107" t="inlineStr">
        <is>
          <t>World Bank GNI + regional expenditure ratio estimate</t>
        </is>
      </c>
      <c r="M3107" t="inlineStr">
        <is>
          <t>2024-12-31</t>
        </is>
      </c>
      <c r="N3107" t="inlineStr">
        <is>
          <t>auto_ingest=world_bank_col_estimate; gni_annual=53600.0; year=2024; country_proxy=New Zealand; cohort=Oceania; city_cost_mult=0.9</t>
        </is>
      </c>
    </row>
    <row r="3108">
      <c r="A3108" t="inlineStr">
        <is>
          <t>nz-christchurch</t>
        </is>
      </c>
      <c r="B3108" t="inlineStr">
        <is>
          <t>Christchurch</t>
        </is>
      </c>
      <c r="C3108" t="inlineStr">
        <is>
          <t>New Zealand</t>
        </is>
      </c>
      <c r="D3108" t="inlineStr">
        <is>
          <t>Oceania</t>
        </is>
      </c>
      <c r="E3108" t="inlineStr">
        <is>
          <t>utilities</t>
        </is>
      </c>
      <c r="F3108" t="inlineStr">
        <is>
          <t>Utilities</t>
        </is>
      </c>
      <c r="G3108" t="inlineStr">
        <is>
          <t>pressure</t>
        </is>
      </c>
      <c r="H3108" t="inlineStr">
        <is>
          <t>yes</t>
        </is>
      </c>
      <c r="I3108" t="inlineStr">
        <is>
          <t>241.2</t>
        </is>
      </c>
      <c r="J3108" t="inlineStr">
        <is>
          <t>world_bank_col_estimate</t>
        </is>
      </c>
      <c r="K3108" t="inlineStr">
        <is>
          <t>https://api.worldbank.org/v2/country/NZL/indicator/NY.GNP.PCAP.PP.CD?format=json&amp;mrv=10</t>
        </is>
      </c>
      <c r="L3108" t="inlineStr">
        <is>
          <t>World Bank GNI + regional expenditure ratio estimate</t>
        </is>
      </c>
      <c r="M3108" t="inlineStr">
        <is>
          <t>2024-12-31</t>
        </is>
      </c>
      <c r="N3108" t="inlineStr">
        <is>
          <t>auto_ingest=world_bank_col_estimate; gni_annual=53600.0; year=2024; country_proxy=New Zealand; cohort=Oceania; city_cost_mult=0.9</t>
        </is>
      </c>
    </row>
    <row r="3109">
      <c r="A3109" t="inlineStr">
        <is>
          <t>nz-christchurch</t>
        </is>
      </c>
      <c r="B3109" t="inlineStr">
        <is>
          <t>Christchurch</t>
        </is>
      </c>
      <c r="C3109" t="inlineStr">
        <is>
          <t>New Zealand</t>
        </is>
      </c>
      <c r="D3109" t="inlineStr">
        <is>
          <t>Oceania</t>
        </is>
      </c>
      <c r="E3109" t="inlineStr">
        <is>
          <t>transit_cost</t>
        </is>
      </c>
      <c r="F3109" t="inlineStr">
        <is>
          <t>Transit cost</t>
        </is>
      </c>
      <c r="G3109" t="inlineStr">
        <is>
          <t>pressure</t>
        </is>
      </c>
      <c r="H3109" t="inlineStr">
        <is>
          <t>yes</t>
        </is>
      </c>
      <c r="I3109" t="inlineStr">
        <is>
          <t>160.8</t>
        </is>
      </c>
      <c r="J3109" t="inlineStr">
        <is>
          <t>world_bank_col_estimate</t>
        </is>
      </c>
      <c r="K3109" t="inlineStr">
        <is>
          <t>https://api.worldbank.org/v2/country/NZL/indicator/NY.GNP.PCAP.PP.CD?format=json&amp;mrv=10</t>
        </is>
      </c>
      <c r="L3109" t="inlineStr">
        <is>
          <t>World Bank GNI + regional expenditure ratio estimate</t>
        </is>
      </c>
      <c r="M3109" t="inlineStr">
        <is>
          <t>2024-12-31</t>
        </is>
      </c>
      <c r="N3109" t="inlineStr">
        <is>
          <t>auto_ingest=world_bank_col_estimate; gni_annual=53600.0; year=2024; country_proxy=New Zealand; cohort=Oceania; city_cost_mult=0.9</t>
        </is>
      </c>
    </row>
    <row r="3110">
      <c r="A3110" t="inlineStr">
        <is>
          <t>nz-christchurch</t>
        </is>
      </c>
      <c r="B3110" t="inlineStr">
        <is>
          <t>Christchurch</t>
        </is>
      </c>
      <c r="C3110" t="inlineStr">
        <is>
          <t>New Zealand</t>
        </is>
      </c>
      <c r="D3110" t="inlineStr">
        <is>
          <t>Oceania</t>
        </is>
      </c>
      <c r="E3110" t="inlineStr">
        <is>
          <t>internet_cost</t>
        </is>
      </c>
      <c r="F3110" t="inlineStr">
        <is>
          <t>Internet cost</t>
        </is>
      </c>
      <c r="G3110" t="inlineStr">
        <is>
          <t>pressure</t>
        </is>
      </c>
      <c r="H3110" t="inlineStr">
        <is>
          <t>yes</t>
        </is>
      </c>
      <c r="I3110" t="inlineStr">
        <is>
          <t>60.3</t>
        </is>
      </c>
      <c r="J3110" t="inlineStr">
        <is>
          <t>world_bank_col_estimate</t>
        </is>
      </c>
      <c r="K3110" t="inlineStr">
        <is>
          <t>https://api.worldbank.org/v2/country/NZL/indicator/NY.GNP.PCAP.PP.CD?format=json&amp;mrv=10</t>
        </is>
      </c>
      <c r="L3110" t="inlineStr">
        <is>
          <t>World Bank GNI + regional expenditure ratio estimate</t>
        </is>
      </c>
      <c r="M3110" t="inlineStr">
        <is>
          <t>2024-12-31</t>
        </is>
      </c>
      <c r="N3110" t="inlineStr">
        <is>
          <t>auto_ingest=world_bank_col_estimate; gni_annual=53600.0; year=2024; country_proxy=New Zealand; cohort=Oceania; city_cost_mult=0.9</t>
        </is>
      </c>
    </row>
    <row r="3111">
      <c r="A3111" t="inlineStr">
        <is>
          <t>nz-christchurch</t>
        </is>
      </c>
      <c r="B3111" t="inlineStr">
        <is>
          <t>Christchurch</t>
        </is>
      </c>
      <c r="C3111" t="inlineStr">
        <is>
          <t>New Zealand</t>
        </is>
      </c>
      <c r="D3111" t="inlineStr">
        <is>
          <t>Oceania</t>
        </is>
      </c>
      <c r="E3111" t="inlineStr">
        <is>
          <t>food_cost</t>
        </is>
      </c>
      <c r="F3111" t="inlineStr">
        <is>
          <t>Food cost</t>
        </is>
      </c>
      <c r="G3111" t="inlineStr">
        <is>
          <t>pressure</t>
        </is>
      </c>
      <c r="H3111" t="inlineStr">
        <is>
          <t>yes</t>
        </is>
      </c>
      <c r="I3111" t="inlineStr">
        <is>
          <t>603.0</t>
        </is>
      </c>
      <c r="J3111" t="inlineStr">
        <is>
          <t>world_bank_col_estimate</t>
        </is>
      </c>
      <c r="K3111" t="inlineStr">
        <is>
          <t>https://api.worldbank.org/v2/country/NZL/indicator/NY.GNP.PCAP.PP.CD?format=json&amp;mrv=10</t>
        </is>
      </c>
      <c r="L3111" t="inlineStr">
        <is>
          <t>World Bank GNI + regional expenditure ratio estimate</t>
        </is>
      </c>
      <c r="M3111" t="inlineStr">
        <is>
          <t>2024-12-31</t>
        </is>
      </c>
      <c r="N3111" t="inlineStr">
        <is>
          <t>auto_ingest=world_bank_col_estimate; gni_annual=53600.0; year=2024; country_proxy=New Zealand; cohort=Oceania; city_cost_mult=0.9</t>
        </is>
      </c>
    </row>
    <row r="3112">
      <c r="A3112" t="inlineStr">
        <is>
          <t>nz-christchurch</t>
        </is>
      </c>
      <c r="B3112" t="inlineStr">
        <is>
          <t>Christchurch</t>
        </is>
      </c>
      <c r="C3112" t="inlineStr">
        <is>
          <t>New Zealand</t>
        </is>
      </c>
      <c r="D3112" t="inlineStr">
        <is>
          <t>Oceania</t>
        </is>
      </c>
      <c r="E3112" t="inlineStr">
        <is>
          <t>housing_burden_raw</t>
        </is>
      </c>
      <c r="F3112" t="inlineStr">
        <is>
          <t>Housing burden raw</t>
        </is>
      </c>
      <c r="G3112" t="inlineStr">
        <is>
          <t>pressure</t>
        </is>
      </c>
      <c r="H3112" t="inlineStr">
        <is>
          <t>yes</t>
        </is>
      </c>
      <c r="I3112" t="inlineStr">
        <is>
          <t>27.0</t>
        </is>
      </c>
      <c r="J3112" t="inlineStr">
        <is>
          <t>derived</t>
        </is>
      </c>
      <c r="K3112" t="inlineStr">
        <is>
          <t>https://data.worldbank.org/indicator/NY.GNP.PCAP.PP.CD</t>
        </is>
      </c>
      <c r="L3112" t="inlineStr">
        <is>
          <t>Computed from city_inputs + country_context</t>
        </is>
      </c>
      <c r="M3112" t="inlineStr">
        <is>
          <t>2024-01-01</t>
        </is>
      </c>
      <c r="N3112" t="inlineStr">
        <is>
          <t>derived=rent/gross_income*100</t>
        </is>
      </c>
    </row>
    <row r="3113">
      <c r="A3113" t="inlineStr">
        <is>
          <t>nz-christchurch</t>
        </is>
      </c>
      <c r="B3113" t="inlineStr">
        <is>
          <t>Christchurch</t>
        </is>
      </c>
      <c r="C3113" t="inlineStr">
        <is>
          <t>New Zealand</t>
        </is>
      </c>
      <c r="D3113" t="inlineStr">
        <is>
          <t>Oceania</t>
        </is>
      </c>
      <c r="E3113" t="inlineStr">
        <is>
          <t>household_debt_burden_raw</t>
        </is>
      </c>
      <c r="F3113" t="inlineStr">
        <is>
          <t>Household debt burden raw</t>
        </is>
      </c>
      <c r="G3113" t="inlineStr">
        <is>
          <t>pressure</t>
        </is>
      </c>
      <c r="H3113" t="inlineStr">
        <is>
          <t>yes</t>
        </is>
      </c>
      <c r="I3113" t="inlineStr">
        <is>
          <t>129.7971</t>
        </is>
      </c>
      <c r="J3113" t="inlineStr">
        <is>
          <t>derived</t>
        </is>
      </c>
      <c r="K3113" t="inlineStr">
        <is>
          <t>https://data.worldbank.org/indicator/NY.GNP.PCAP.PP.CD</t>
        </is>
      </c>
      <c r="L3113" t="inlineStr">
        <is>
          <t>Computed from city_inputs + country_context</t>
        </is>
      </c>
      <c r="M3113" t="inlineStr">
        <is>
          <t>2024-01-01</t>
        </is>
      </c>
      <c r="N3113" t="inlineStr">
        <is>
          <t>derived=country_context.household_debt_proxy; country=New Zealand</t>
        </is>
      </c>
    </row>
    <row r="3114">
      <c r="A3114" t="inlineStr">
        <is>
          <t>nz-christchurch</t>
        </is>
      </c>
      <c r="B3114" t="inlineStr">
        <is>
          <t>Christchurch</t>
        </is>
      </c>
      <c r="C3114" t="inlineStr">
        <is>
          <t>New Zealand</t>
        </is>
      </c>
      <c r="D3114" t="inlineStr">
        <is>
          <t>Oceania</t>
        </is>
      </c>
      <c r="E3114" t="inlineStr">
        <is>
          <t>working_time_pressure_raw</t>
        </is>
      </c>
      <c r="F3114" t="inlineStr">
        <is>
          <t>Working time pressure raw</t>
        </is>
      </c>
      <c r="G3114" t="inlineStr">
        <is>
          <t>pressure</t>
        </is>
      </c>
      <c r="H3114" t="inlineStr">
        <is>
          <t>yes</t>
        </is>
      </c>
      <c r="I3114" t="inlineStr">
        <is>
          <t>33.0</t>
        </is>
      </c>
      <c r="J3114" t="inlineStr">
        <is>
          <t>ilo_ilostat</t>
        </is>
      </c>
      <c r="K3114" t="inlineStr">
        <is>
          <t>https://ilostat.ilo.org/data/indicator/?id=HOW_TEMP_SEX_ECO_NB_A&amp;ref_area=NZL</t>
        </is>
      </c>
      <c r="L3114" t="inlineStr">
        <is>
          <t>ILO ILOSTAT: Mean weekly hours actually worked per employed person</t>
        </is>
      </c>
      <c r="M3114" t="inlineStr">
        <is>
          <t>2020-12-31</t>
        </is>
      </c>
      <c r="N3114" t="inlineStr">
        <is>
          <t>auto_ingest=ilo_working_hours; indicator=HOW_TEMP_SEX_ECO_NB_A; year=2020; hours=33.0; country_proxy=New Zealand</t>
        </is>
      </c>
    </row>
    <row r="3115">
      <c r="A3115" t="inlineStr">
        <is>
          <t>nz-christchurch</t>
        </is>
      </c>
      <c r="B3115" t="inlineStr">
        <is>
          <t>Christchurch</t>
        </is>
      </c>
      <c r="C3115" t="inlineStr">
        <is>
          <t>New Zealand</t>
        </is>
      </c>
      <c r="D3115" t="inlineStr">
        <is>
          <t>Oceania</t>
        </is>
      </c>
      <c r="E3115" t="inlineStr">
        <is>
          <t>suicide_mental_strain_raw</t>
        </is>
      </c>
      <c r="F3115" t="inlineStr">
        <is>
          <t>Suicide or mental strain raw</t>
        </is>
      </c>
      <c r="G3115" t="inlineStr">
        <is>
          <t>pressure</t>
        </is>
      </c>
      <c r="H3115" t="inlineStr">
        <is>
          <t>yes</t>
        </is>
      </c>
      <c r="I3115" t="inlineStr">
        <is>
          <t>11.92</t>
        </is>
      </c>
      <c r="J3115" t="inlineStr">
        <is>
          <t>who_gho</t>
        </is>
      </c>
      <c r="K3115" t="inlineStr">
        <is>
          <t>https://www.who.int/data/gho/data/indicators/indicator-details/GHO/SDGSUICIDE</t>
        </is>
      </c>
      <c r="L3115" t="inlineStr">
        <is>
          <t>WHO GHO: Age-standardized suicide rate (per 100,000 population)</t>
        </is>
      </c>
      <c r="M3115" t="inlineStr">
        <is>
          <t>2021-12-31</t>
        </is>
      </c>
      <c r="N3115" t="inlineStr">
        <is>
          <t>auto_ingest=who_gho; indicator=SDGSUICIDE; year=2021; country_proxy=New Zealand</t>
        </is>
      </c>
    </row>
    <row r="3116">
      <c r="A3116" t="inlineStr">
        <is>
          <t>nz-christchurch</t>
        </is>
      </c>
      <c r="B3116" t="inlineStr">
        <is>
          <t>Christchurch</t>
        </is>
      </c>
      <c r="C3116" t="inlineStr">
        <is>
          <t>New Zealand</t>
        </is>
      </c>
      <c r="D3116" t="inlineStr">
        <is>
          <t>Oceania</t>
        </is>
      </c>
      <c r="E3116" t="inlineStr">
        <is>
          <t>personal_safety_raw</t>
        </is>
      </c>
      <c r="F3116" t="inlineStr">
        <is>
          <t>Personal safety raw</t>
        </is>
      </c>
      <c r="G3116" t="inlineStr">
        <is>
          <t>viability</t>
        </is>
      </c>
      <c r="H3116" t="inlineStr">
        <is>
          <t>yes</t>
        </is>
      </c>
      <c r="I3116" t="inlineStr">
        <is>
          <t>1.46</t>
        </is>
      </c>
      <c r="J3116" t="inlineStr">
        <is>
          <t>world_bank</t>
        </is>
      </c>
      <c r="K3116" t="inlineStr">
        <is>
          <t>https://api.worldbank.org/v2/country/NZL/indicator/VC.IHR.PSRC.P5?format=json&amp;mrv=10</t>
        </is>
      </c>
      <c r="L3116" t="inlineStr">
        <is>
          <t>UNODC via World Bank WDI: Intentional homicides (per 100,000 people)</t>
        </is>
      </c>
      <c r="M3116" t="inlineStr">
        <is>
          <t>2022-12-31</t>
        </is>
      </c>
      <c r="N3116" t="inlineStr">
        <is>
          <t>auto_ingest=unodc_safety; indicator=VC.IHR.PSRC.P5; year=2022; country_proxy=New Zealand</t>
        </is>
      </c>
    </row>
    <row r="3117">
      <c r="A3117" t="inlineStr">
        <is>
          <t>nz-christchurch</t>
        </is>
      </c>
      <c r="B3117" t="inlineStr">
        <is>
          <t>Christchurch</t>
        </is>
      </c>
      <c r="C3117" t="inlineStr">
        <is>
          <t>New Zealand</t>
        </is>
      </c>
      <c r="D3117" t="inlineStr">
        <is>
          <t>Oceania</t>
        </is>
      </c>
      <c r="E3117" t="inlineStr">
        <is>
          <t>transit_access_commute_raw</t>
        </is>
      </c>
      <c r="F3117" t="inlineStr">
        <is>
          <t>Transit access and commute raw</t>
        </is>
      </c>
      <c r="G3117" t="inlineStr">
        <is>
          <t>viability</t>
        </is>
      </c>
      <c r="H3117" t="inlineStr">
        <is>
          <t>yes</t>
        </is>
      </c>
      <c r="I3117" t="inlineStr"/>
      <c r="J3117" t="inlineStr"/>
      <c r="K3117" t="inlineStr"/>
      <c r="L3117" t="inlineStr"/>
      <c r="M3117" t="inlineStr"/>
      <c r="N3117" t="inlineStr"/>
    </row>
    <row r="3118">
      <c r="A3118" t="inlineStr">
        <is>
          <t>nz-christchurch</t>
        </is>
      </c>
      <c r="B3118" t="inlineStr">
        <is>
          <t>Christchurch</t>
        </is>
      </c>
      <c r="C3118" t="inlineStr">
        <is>
          <t>New Zealand</t>
        </is>
      </c>
      <c r="D3118" t="inlineStr">
        <is>
          <t>Oceania</t>
        </is>
      </c>
      <c r="E3118" t="inlineStr">
        <is>
          <t>clean_air_raw</t>
        </is>
      </c>
      <c r="F3118" t="inlineStr">
        <is>
          <t>Clean air raw</t>
        </is>
      </c>
      <c r="G3118" t="inlineStr">
        <is>
          <t>viability</t>
        </is>
      </c>
      <c r="H3118" t="inlineStr">
        <is>
          <t>yes</t>
        </is>
      </c>
      <c r="I3118" t="inlineStr"/>
      <c r="J3118" t="inlineStr"/>
      <c r="K3118" t="inlineStr"/>
      <c r="L3118" t="inlineStr"/>
      <c r="M3118" t="inlineStr"/>
      <c r="N3118" t="inlineStr"/>
    </row>
    <row r="3119">
      <c r="A3119" t="inlineStr">
        <is>
          <t>nz-christchurch</t>
        </is>
      </c>
      <c r="B3119" t="inlineStr">
        <is>
          <t>Christchurch</t>
        </is>
      </c>
      <c r="C3119" t="inlineStr">
        <is>
          <t>New Zealand</t>
        </is>
      </c>
      <c r="D3119" t="inlineStr">
        <is>
          <t>Oceania</t>
        </is>
      </c>
      <c r="E3119" t="inlineStr">
        <is>
          <t>water_sanitation_utility_raw</t>
        </is>
      </c>
      <c r="F3119" t="inlineStr">
        <is>
          <t>Water, sanitation, and utility raw</t>
        </is>
      </c>
      <c r="G3119" t="inlineStr">
        <is>
          <t>viability</t>
        </is>
      </c>
      <c r="H3119" t="inlineStr">
        <is>
          <t>yes</t>
        </is>
      </c>
      <c r="I3119" t="inlineStr">
        <is>
          <t>100.0</t>
        </is>
      </c>
      <c r="J3119" t="inlineStr">
        <is>
          <t>world_bank</t>
        </is>
      </c>
      <c r="K3119" t="inlineStr">
        <is>
          <t>https://api.worldbank.org/v2/country/NZL/indicator/SH.H2O.SMDW.ZS?format=json&amp;mrv=10</t>
        </is>
      </c>
      <c r="L3119" t="inlineStr">
        <is>
          <t>World Bank WDI: People using safely managed drinking water services (% of population)</t>
        </is>
      </c>
      <c r="M3119" t="inlineStr">
        <is>
          <t>2024-12-31</t>
        </is>
      </c>
      <c r="N3119" t="inlineStr">
        <is>
          <t>auto_ingest=world_bank_proxy; indicator=SH.H2O.SMDW.ZS; year=2024; country_proxy=New Zealand</t>
        </is>
      </c>
    </row>
    <row r="3120">
      <c r="A3120" t="inlineStr">
        <is>
          <t>nz-christchurch</t>
        </is>
      </c>
      <c r="B3120" t="inlineStr">
        <is>
          <t>Christchurch</t>
        </is>
      </c>
      <c r="C3120" t="inlineStr">
        <is>
          <t>New Zealand</t>
        </is>
      </c>
      <c r="D3120" t="inlineStr">
        <is>
          <t>Oceania</t>
        </is>
      </c>
      <c r="E3120" t="inlineStr">
        <is>
          <t>digital_infrastructure_raw</t>
        </is>
      </c>
      <c r="F3120" t="inlineStr">
        <is>
          <t>Digital infrastructure raw</t>
        </is>
      </c>
      <c r="G3120" t="inlineStr">
        <is>
          <t>viability</t>
        </is>
      </c>
      <c r="H3120" t="inlineStr">
        <is>
          <t>yes</t>
        </is>
      </c>
      <c r="I3120" t="inlineStr">
        <is>
          <t>37.85</t>
        </is>
      </c>
      <c r="J3120" t="inlineStr">
        <is>
          <t>world_bank</t>
        </is>
      </c>
      <c r="K3120" t="inlineStr">
        <is>
          <t>https://api.worldbank.org/v2/country/NZL/indicator/IT.NET.BBND.P2?format=json&amp;mrv=10</t>
        </is>
      </c>
      <c r="L3120" t="inlineStr">
        <is>
          <t>World Bank WDI: Fixed broadband subscriptions (per 100 people)</t>
        </is>
      </c>
      <c r="M3120" t="inlineStr">
        <is>
          <t>2023-12-31</t>
        </is>
      </c>
      <c r="N3120" t="inlineStr">
        <is>
          <t>auto_ingest=world_bank_proxy; indicator=IT.NET.BBND.P2; year=2023; country_proxy=New Zealand</t>
        </is>
      </c>
    </row>
    <row r="3121">
      <c r="A3121" t="inlineStr">
        <is>
          <t>nz-christchurch</t>
        </is>
      </c>
      <c r="B3121" t="inlineStr">
        <is>
          <t>Christchurch</t>
        </is>
      </c>
      <c r="C3121" t="inlineStr">
        <is>
          <t>New Zealand</t>
        </is>
      </c>
      <c r="D3121" t="inlineStr">
        <is>
          <t>Oceania</t>
        </is>
      </c>
      <c r="E3121" t="inlineStr">
        <is>
          <t>climate_sunlight_livability_raw</t>
        </is>
      </c>
      <c r="F3121" t="inlineStr">
        <is>
          <t>Climate and sunlight livability raw</t>
        </is>
      </c>
      <c r="G3121" t="inlineStr">
        <is>
          <t>viability</t>
        </is>
      </c>
      <c r="H3121" t="inlineStr">
        <is>
          <t>yes</t>
        </is>
      </c>
      <c r="I3121" t="inlineStr">
        <is>
          <t>56</t>
        </is>
      </c>
      <c r="J3121" t="inlineStr">
        <is>
          <t>wmo_natl_met</t>
        </is>
      </c>
      <c r="K3121" t="inlineStr">
        <is>
          <t>https://worldweather.wmo.int</t>
        </is>
      </c>
      <c r="L3121" t="inlineStr">
        <is>
          <t>WMO/National Met: Climate livability composite</t>
        </is>
      </c>
      <c r="M3121" t="inlineStr">
        <is>
          <t>2024-12-31</t>
        </is>
      </c>
      <c r="N3121" t="inlineStr">
        <is>
          <t>auto_seed=climate_composite; 2100 sun hrs, 12C mean</t>
        </is>
      </c>
    </row>
    <row r="3122">
      <c r="A3122" t="inlineStr">
        <is>
          <t>nz-christchurch</t>
        </is>
      </c>
      <c r="B3122" t="inlineStr">
        <is>
          <t>Christchurch</t>
        </is>
      </c>
      <c r="C3122" t="inlineStr">
        <is>
          <t>New Zealand</t>
        </is>
      </c>
      <c r="D3122" t="inlineStr">
        <is>
          <t>Oceania</t>
        </is>
      </c>
      <c r="E3122" t="inlineStr">
        <is>
          <t>healthcare_quality_raw</t>
        </is>
      </c>
      <c r="F3122" t="inlineStr">
        <is>
          <t>Healthcare quality raw</t>
        </is>
      </c>
      <c r="G3122" t="inlineStr">
        <is>
          <t>capability</t>
        </is>
      </c>
      <c r="H3122" t="inlineStr">
        <is>
          <t>yes</t>
        </is>
      </c>
      <c r="I3122" t="inlineStr">
        <is>
          <t>89.0</t>
        </is>
      </c>
      <c r="J3122" t="inlineStr">
        <is>
          <t>who_gho</t>
        </is>
      </c>
      <c r="K3122" t="inlineStr">
        <is>
          <t>https://www.who.int/data/gho/data/indicators/indicator-details/GHO/UHC_INDEX_REPORTED</t>
        </is>
      </c>
      <c r="L3122" t="inlineStr">
        <is>
          <t>WHO GHO: UHC Service Coverage Index</t>
        </is>
      </c>
      <c r="M3122" t="inlineStr">
        <is>
          <t>2023-12-31</t>
        </is>
      </c>
      <c r="N3122" t="inlineStr">
        <is>
          <t>auto_ingest=who_gho; indicator=UHC_INDEX_REPORTED; year=2023; country_proxy=New Zealand</t>
        </is>
      </c>
    </row>
    <row r="3123">
      <c r="A3123" t="inlineStr">
        <is>
          <t>nz-christchurch</t>
        </is>
      </c>
      <c r="B3123" t="inlineStr">
        <is>
          <t>Christchurch</t>
        </is>
      </c>
      <c r="C3123" t="inlineStr">
        <is>
          <t>New Zealand</t>
        </is>
      </c>
      <c r="D3123" t="inlineStr">
        <is>
          <t>Oceania</t>
        </is>
      </c>
      <c r="E3123" t="inlineStr">
        <is>
          <t>education_quality_raw</t>
        </is>
      </c>
      <c r="F3123" t="inlineStr">
        <is>
          <t>Education quality raw</t>
        </is>
      </c>
      <c r="G3123" t="inlineStr">
        <is>
          <t>capability</t>
        </is>
      </c>
      <c r="H3123" t="inlineStr">
        <is>
          <t>yes</t>
        </is>
      </c>
      <c r="I3123" t="inlineStr">
        <is>
          <t>76.38</t>
        </is>
      </c>
      <c r="J3123" t="inlineStr">
        <is>
          <t>world_bank</t>
        </is>
      </c>
      <c r="K3123" t="inlineStr">
        <is>
          <t>https://api.worldbank.org/v2/country/NZL/indicator/SE.TER.ENRR?format=json&amp;mrv=10</t>
        </is>
      </c>
      <c r="L3123" t="inlineStr">
        <is>
          <t>World Bank WDI: School enrollment, tertiary (% gross)</t>
        </is>
      </c>
      <c r="M3123" t="inlineStr">
        <is>
          <t>2023-12-31</t>
        </is>
      </c>
      <c r="N3123" t="inlineStr">
        <is>
          <t>auto_ingest=world_bank_proxy; indicator=SE.TER.ENRR; year=2023; country_proxy=New Zealand</t>
        </is>
      </c>
    </row>
    <row r="3124">
      <c r="A3124" t="inlineStr">
        <is>
          <t>nz-christchurch</t>
        </is>
      </c>
      <c r="B3124" t="inlineStr">
        <is>
          <t>Christchurch</t>
        </is>
      </c>
      <c r="C3124" t="inlineStr">
        <is>
          <t>New Zealand</t>
        </is>
      </c>
      <c r="D3124" t="inlineStr">
        <is>
          <t>Oceania</t>
        </is>
      </c>
      <c r="E3124" t="inlineStr">
        <is>
          <t>equal_opportunity_raw</t>
        </is>
      </c>
      <c r="F3124" t="inlineStr">
        <is>
          <t>Equal opportunity raw</t>
        </is>
      </c>
      <c r="G3124" t="inlineStr">
        <is>
          <t>capability</t>
        </is>
      </c>
      <c r="H3124" t="inlineStr">
        <is>
          <t>yes</t>
        </is>
      </c>
      <c r="I3124" t="inlineStr"/>
      <c r="J3124" t="inlineStr"/>
      <c r="K3124" t="inlineStr"/>
      <c r="L3124" t="inlineStr"/>
      <c r="M3124" t="inlineStr"/>
      <c r="N3124" t="inlineStr"/>
    </row>
    <row r="3125">
      <c r="A3125" t="inlineStr">
        <is>
          <t>nz-christchurch</t>
        </is>
      </c>
      <c r="B3125" t="inlineStr">
        <is>
          <t>Christchurch</t>
        </is>
      </c>
      <c r="C3125" t="inlineStr">
        <is>
          <t>New Zealand</t>
        </is>
      </c>
      <c r="D3125" t="inlineStr">
        <is>
          <t>Oceania</t>
        </is>
      </c>
      <c r="E3125" t="inlineStr">
        <is>
          <t>hospitality_belonging_raw</t>
        </is>
      </c>
      <c r="F3125" t="inlineStr">
        <is>
          <t>Hospitality and belonging raw</t>
        </is>
      </c>
      <c r="G3125" t="inlineStr">
        <is>
          <t>community</t>
        </is>
      </c>
      <c r="H3125" t="inlineStr">
        <is>
          <t>yes</t>
        </is>
      </c>
      <c r="I3125" t="inlineStr">
        <is>
          <t>53.29</t>
        </is>
      </c>
      <c r="J3125" t="inlineStr">
        <is>
          <t>world_bank</t>
        </is>
      </c>
      <c r="K3125" t="inlineStr">
        <is>
          <t>https://api.worldbank.org/v2/country/NZL/indicator/SM.POP.NETM?format=json&amp;mrv=10</t>
        </is>
      </c>
      <c r="L3125" t="inlineStr">
        <is>
          <t>World Bank WDI: Net migration (proxy for hospitality/belonging — positive = welcoming)</t>
        </is>
      </c>
      <c r="M3125" t="inlineStr">
        <is>
          <t>2025-12-31</t>
        </is>
      </c>
      <c r="N3125" t="inlineStr">
        <is>
          <t>auto_ingest=world_bank_proxy; proxy=net_migration_hospitality; indicator=SM.POP.NETM; year=2025; country_proxy=New Zealand</t>
        </is>
      </c>
    </row>
    <row r="3126">
      <c r="A3126" t="inlineStr">
        <is>
          <t>nz-christchurch</t>
        </is>
      </c>
      <c r="B3126" t="inlineStr">
        <is>
          <t>Christchurch</t>
        </is>
      </c>
      <c r="C3126" t="inlineStr">
        <is>
          <t>New Zealand</t>
        </is>
      </c>
      <c r="D3126" t="inlineStr">
        <is>
          <t>Oceania</t>
        </is>
      </c>
      <c r="E3126" t="inlineStr">
        <is>
          <t>tolerance_pluralism_raw</t>
        </is>
      </c>
      <c r="F3126" t="inlineStr">
        <is>
          <t>Tolerance and pluralism raw</t>
        </is>
      </c>
      <c r="G3126" t="inlineStr">
        <is>
          <t>community</t>
        </is>
      </c>
      <c r="H3126" t="inlineStr">
        <is>
          <t>yes</t>
        </is>
      </c>
      <c r="I3126" t="inlineStr">
        <is>
          <t>45.53</t>
        </is>
      </c>
      <c r="J3126" t="inlineStr">
        <is>
          <t>world_bank</t>
        </is>
      </c>
      <c r="K3126" t="inlineStr">
        <is>
          <t>https://api.worldbank.org/v2/country/NZL/indicator/SG.GEN.PARL.ZS?format=json&amp;mrv=10</t>
        </is>
      </c>
      <c r="L3126" t="inlineStr">
        <is>
          <t>World Bank WDI: Proportion of seats held by women in national parliaments (%)</t>
        </is>
      </c>
      <c r="M3126" t="inlineStr">
        <is>
          <t>2024-12-31</t>
        </is>
      </c>
      <c r="N3126" t="inlineStr">
        <is>
          <t>auto_ingest=world_bank_proxy; proxy=gender_parity_parliament; indicator=SG.GEN.PARL.ZS; year=2024; country_proxy=New Zealand</t>
        </is>
      </c>
    </row>
    <row r="3127">
      <c r="A3127" t="inlineStr">
        <is>
          <t>nz-christchurch</t>
        </is>
      </c>
      <c r="B3127" t="inlineStr">
        <is>
          <t>Christchurch</t>
        </is>
      </c>
      <c r="C3127" t="inlineStr">
        <is>
          <t>New Zealand</t>
        </is>
      </c>
      <c r="D3127" t="inlineStr">
        <is>
          <t>Oceania</t>
        </is>
      </c>
      <c r="E3127" t="inlineStr">
        <is>
          <t>cultural_public_life_raw</t>
        </is>
      </c>
      <c r="F3127" t="inlineStr">
        <is>
          <t>Cultural public life raw</t>
        </is>
      </c>
      <c r="G3127" t="inlineStr">
        <is>
          <t>community</t>
        </is>
      </c>
      <c r="H3127" t="inlineStr">
        <is>
          <t>yes</t>
        </is>
      </c>
      <c r="I3127" t="inlineStr">
        <is>
          <t>188.37</t>
        </is>
      </c>
      <c r="J3127" t="inlineStr">
        <is>
          <t>world_bank</t>
        </is>
      </c>
      <c r="K3127" t="inlineStr">
        <is>
          <t>https://api.worldbank.org/v2/country/NZL/indicator/ST.INT.ARVL?format=json&amp;mrv=10</t>
        </is>
      </c>
      <c r="L3127" t="inlineStr">
        <is>
          <t>World Bank WDI: International tourism arrivals per 1 000 population</t>
        </is>
      </c>
      <c r="M3127" t="inlineStr">
        <is>
          <t>2020-12-31</t>
        </is>
      </c>
      <c r="N3127" t="inlineStr">
        <is>
          <t>auto_ingest=cultural_life_proxy; indicator=ST.INT.ARVL; norm=per_1000_pop; year=2020; country_proxy=New Zealand</t>
        </is>
      </c>
    </row>
    <row r="3128">
      <c r="A3128" t="inlineStr">
        <is>
          <t>nz-christchurch</t>
        </is>
      </c>
      <c r="B3128" t="inlineStr">
        <is>
          <t>Christchurch</t>
        </is>
      </c>
      <c r="C3128" t="inlineStr">
        <is>
          <t>New Zealand</t>
        </is>
      </c>
      <c r="D3128" t="inlineStr">
        <is>
          <t>Oceania</t>
        </is>
      </c>
      <c r="E3128" t="inlineStr">
        <is>
          <t>birth_rate_optimism_raw</t>
        </is>
      </c>
      <c r="F3128" t="inlineStr">
        <is>
          <t>Birth rate and societal optimism raw</t>
        </is>
      </c>
      <c r="G3128" t="inlineStr">
        <is>
          <t>community</t>
        </is>
      </c>
      <c r="H3128" t="inlineStr">
        <is>
          <t>yes</t>
        </is>
      </c>
      <c r="I3128" t="inlineStr">
        <is>
          <t>1.56</t>
        </is>
      </c>
      <c r="J3128" t="inlineStr">
        <is>
          <t>world_bank</t>
        </is>
      </c>
      <c r="K3128" t="inlineStr">
        <is>
          <t>https://data.worldbank.org/indicator/SP.DYN.TFRT.IN</t>
        </is>
      </c>
      <c r="L3128" t="inlineStr">
        <is>
          <t>World Bank Total Fertility Rate 2023</t>
        </is>
      </c>
      <c r="M3128" t="inlineStr">
        <is>
          <t>2024-01-01</t>
        </is>
      </c>
      <c r="N3128" t="inlineStr"/>
    </row>
    <row r="3129">
      <c r="A3129" t="inlineStr">
        <is>
          <t>nz-christchurch</t>
        </is>
      </c>
      <c r="B3129" t="inlineStr">
        <is>
          <t>Christchurch</t>
        </is>
      </c>
      <c r="C3129" t="inlineStr">
        <is>
          <t>New Zealand</t>
        </is>
      </c>
      <c r="D3129" t="inlineStr">
        <is>
          <t>Oceania</t>
        </is>
      </c>
      <c r="E3129" t="inlineStr">
        <is>
          <t>entrepreneurial_dynamism_raw</t>
        </is>
      </c>
      <c r="F3129" t="inlineStr">
        <is>
          <t>Entrepreneurial dynamism raw</t>
        </is>
      </c>
      <c r="G3129" t="inlineStr">
        <is>
          <t>creative</t>
        </is>
      </c>
      <c r="H3129" t="inlineStr">
        <is>
          <t>yes</t>
        </is>
      </c>
      <c r="I3129" t="inlineStr">
        <is>
          <t>16.32</t>
        </is>
      </c>
      <c r="J3129" t="inlineStr">
        <is>
          <t>world_bank</t>
        </is>
      </c>
      <c r="K3129" t="inlineStr">
        <is>
          <t>https://api.worldbank.org/v2/country/NZL/indicator/IC.BUS.NDNS.ZS?format=json&amp;mrv=10</t>
        </is>
      </c>
      <c r="L3129" t="inlineStr">
        <is>
          <t>World Bank WDI: New business density (new registrations per 1,000 people ages 15-64)</t>
        </is>
      </c>
      <c r="M3129" t="inlineStr">
        <is>
          <t>2022-12-31</t>
        </is>
      </c>
      <c r="N3129" t="inlineStr">
        <is>
          <t>auto_ingest=world_bank_creative_extended; indicator=IC.BUS.NDNS.ZS; year=2022; country_proxy=New Zealand</t>
        </is>
      </c>
    </row>
    <row r="3130">
      <c r="A3130" t="inlineStr">
        <is>
          <t>nz-christchurch</t>
        </is>
      </c>
      <c r="B3130" t="inlineStr">
        <is>
          <t>Christchurch</t>
        </is>
      </c>
      <c r="C3130" t="inlineStr">
        <is>
          <t>New Zealand</t>
        </is>
      </c>
      <c r="D3130" t="inlineStr">
        <is>
          <t>Oceania</t>
        </is>
      </c>
      <c r="E3130" t="inlineStr">
        <is>
          <t>innovation_research_intensity_raw</t>
        </is>
      </c>
      <c r="F3130" t="inlineStr">
        <is>
          <t>Innovation and research raw</t>
        </is>
      </c>
      <c r="G3130" t="inlineStr">
        <is>
          <t>creative</t>
        </is>
      </c>
      <c r="H3130" t="inlineStr">
        <is>
          <t>yes</t>
        </is>
      </c>
      <c r="I3130" t="inlineStr">
        <is>
          <t>1.47</t>
        </is>
      </c>
      <c r="J3130" t="inlineStr">
        <is>
          <t>world_bank</t>
        </is>
      </c>
      <c r="K3130" t="inlineStr">
        <is>
          <t>https://api.worldbank.org/v2/country/NZL/indicator/GB.XPD.RSDV.GD.ZS?format=json&amp;mrv=10</t>
        </is>
      </c>
      <c r="L3130" t="inlineStr">
        <is>
          <t>World Bank WDI: Research and development expenditure (% of GDP)</t>
        </is>
      </c>
      <c r="M3130" t="inlineStr">
        <is>
          <t>2021-12-31</t>
        </is>
      </c>
      <c r="N3130" t="inlineStr">
        <is>
          <t>auto_ingest=world_bank_creative_extended; indicator=GB.XPD.RSDV.GD.ZS; year=2021; country_proxy=New Zealand</t>
        </is>
      </c>
    </row>
    <row r="3131">
      <c r="A3131" t="inlineStr">
        <is>
          <t>nz-christchurch</t>
        </is>
      </c>
      <c r="B3131" t="inlineStr">
        <is>
          <t>Christchurch</t>
        </is>
      </c>
      <c r="C3131" t="inlineStr">
        <is>
          <t>New Zealand</t>
        </is>
      </c>
      <c r="D3131" t="inlineStr">
        <is>
          <t>Oceania</t>
        </is>
      </c>
      <c r="E3131" t="inlineStr">
        <is>
          <t>investment_signal_raw</t>
        </is>
      </c>
      <c r="F3131" t="inlineStr">
        <is>
          <t>Investment signal raw</t>
        </is>
      </c>
      <c r="G3131" t="inlineStr">
        <is>
          <t>creative</t>
        </is>
      </c>
      <c r="H3131" t="inlineStr">
        <is>
          <t>yes</t>
        </is>
      </c>
      <c r="I3131" t="inlineStr">
        <is>
          <t>0.68</t>
        </is>
      </c>
      <c r="J3131" t="inlineStr">
        <is>
          <t>world_bank</t>
        </is>
      </c>
      <c r="K3131" t="inlineStr">
        <is>
          <t>https://api.worldbank.org/v2/country/NZL/indicator/BX.KLT.DINV.WD.GD.ZS?format=json&amp;mrv=10</t>
        </is>
      </c>
      <c r="L3131" t="inlineStr">
        <is>
          <t>World Bank WDI: Foreign direct investment, net inflows (% of GDP)</t>
        </is>
      </c>
      <c r="M3131" t="inlineStr">
        <is>
          <t>2024-12-31</t>
        </is>
      </c>
      <c r="N3131" t="inlineStr">
        <is>
          <t>auto_ingest=world_bank_creative_extended; indicator=BX.KLT.DINV.WD.GD.ZS; year=2024; country_proxy=New Zealand</t>
        </is>
      </c>
    </row>
    <row r="3132">
      <c r="A3132" t="inlineStr">
        <is>
          <t>nz-christchurch</t>
        </is>
      </c>
      <c r="B3132" t="inlineStr">
        <is>
          <t>Christchurch</t>
        </is>
      </c>
      <c r="C3132" t="inlineStr">
        <is>
          <t>New Zealand</t>
        </is>
      </c>
      <c r="D3132" t="inlineStr">
        <is>
          <t>Oceania</t>
        </is>
      </c>
      <c r="E3132" t="inlineStr">
        <is>
          <t>administrative_investment_friction_raw</t>
        </is>
      </c>
      <c r="F3132" t="inlineStr">
        <is>
          <t>Administrative investment friction raw</t>
        </is>
      </c>
      <c r="G3132" t="inlineStr">
        <is>
          <t>creative</t>
        </is>
      </c>
      <c r="H3132" t="inlineStr">
        <is>
          <t>yes</t>
        </is>
      </c>
      <c r="I3132" t="inlineStr">
        <is>
          <t>0.59</t>
        </is>
      </c>
      <c r="J3132" t="inlineStr">
        <is>
          <t>world_bank</t>
        </is>
      </c>
      <c r="K3132" t="inlineStr">
        <is>
          <t>https://api.worldbank.org/v2/country/NZL/indicator/RQ.EST?format=json&amp;mrv=10</t>
        </is>
      </c>
      <c r="L3132" t="inlineStr">
        <is>
          <t>World Bank WGI: Regulatory Quality (inverted as friction proxy)</t>
        </is>
      </c>
      <c r="M3132" t="inlineStr">
        <is>
          <t>2023-12-31</t>
        </is>
      </c>
      <c r="N3132" t="inlineStr">
        <is>
          <t>auto_ingest=world_bank_business_friction; indicator=RQ.EST; raw_rq=1.91022837162018; friction=0.59; year=2023; country_proxy=New Zealand</t>
        </is>
      </c>
    </row>
    <row r="3133">
      <c r="A3133" t="inlineStr">
        <is>
          <t>nz-christchurch</t>
        </is>
      </c>
      <c r="B3133" t="inlineStr">
        <is>
          <t>Christchurch</t>
        </is>
      </c>
      <c r="C3133" t="inlineStr">
        <is>
          <t>New Zealand</t>
        </is>
      </c>
      <c r="D3133" t="inlineStr">
        <is>
          <t>Oceania</t>
        </is>
      </c>
      <c r="E3133" t="inlineStr">
        <is>
          <t>visitor_flow_context_raw</t>
        </is>
      </c>
      <c r="F3133" t="inlineStr">
        <is>
          <t>Visitor flow context raw</t>
        </is>
      </c>
      <c r="G3133" t="inlineStr">
        <is>
          <t>creative</t>
        </is>
      </c>
      <c r="H3133" t="inlineStr">
        <is>
          <t>no</t>
        </is>
      </c>
      <c r="I3133" t="inlineStr"/>
      <c r="J3133" t="inlineStr"/>
      <c r="K3133" t="inlineStr"/>
      <c r="L3133" t="inlineStr"/>
      <c r="M3133" t="inlineStr"/>
      <c r="N3133" t="inlineStr"/>
    </row>
    <row r="3134">
      <c r="A3134" t="inlineStr">
        <is>
          <t>fj-suva</t>
        </is>
      </c>
      <c r="B3134" t="inlineStr">
        <is>
          <t>Suva</t>
        </is>
      </c>
      <c r="C3134" t="inlineStr">
        <is>
          <t>Fiji</t>
        </is>
      </c>
      <c r="D3134" t="inlineStr">
        <is>
          <t>Oceania</t>
        </is>
      </c>
      <c r="E3134" t="inlineStr">
        <is>
          <t>gross_income</t>
        </is>
      </c>
      <c r="F3134" t="inlineStr">
        <is>
          <t>Gross income</t>
        </is>
      </c>
      <c r="G3134" t="inlineStr">
        <is>
          <t>pressure</t>
        </is>
      </c>
      <c r="H3134" t="inlineStr">
        <is>
          <t>yes</t>
        </is>
      </c>
      <c r="I3134" t="inlineStr">
        <is>
          <t>1207.5</t>
        </is>
      </c>
      <c r="J3134" t="inlineStr">
        <is>
          <t>world_bank_col_estimate</t>
        </is>
      </c>
      <c r="K3134" t="inlineStr">
        <is>
          <t>https://api.worldbank.org/v2/country/FJI/indicator/NY.GNP.PCAP.PP.CD?format=json&amp;mrv=10</t>
        </is>
      </c>
      <c r="L3134" t="inlineStr">
        <is>
          <t>World Bank WDI: GNI per capita PPP (monthly USD)</t>
        </is>
      </c>
      <c r="M3134" t="inlineStr">
        <is>
          <t>2024-12-31</t>
        </is>
      </c>
      <c r="N3134" t="inlineStr">
        <is>
          <t>auto_ingest=world_bank_col_estimate; gni_annual=14490.0; year=2024; country_proxy=Fiji; cohort=Oceania</t>
        </is>
      </c>
    </row>
    <row r="3135">
      <c r="A3135" t="inlineStr">
        <is>
          <t>fj-suva</t>
        </is>
      </c>
      <c r="B3135" t="inlineStr">
        <is>
          <t>Suva</t>
        </is>
      </c>
      <c r="C3135" t="inlineStr">
        <is>
          <t>Fiji</t>
        </is>
      </c>
      <c r="D3135" t="inlineStr">
        <is>
          <t>Oceania</t>
        </is>
      </c>
      <c r="E3135" t="inlineStr">
        <is>
          <t>di_ppp_raw</t>
        </is>
      </c>
      <c r="F3135" t="inlineStr">
        <is>
          <t>Disposable income PPP (Raw)</t>
        </is>
      </c>
      <c r="G3135" t="inlineStr">
        <is>
          <t>pressure</t>
        </is>
      </c>
      <c r="H3135" t="inlineStr">
        <is>
          <t>yes</t>
        </is>
      </c>
      <c r="I3135" t="inlineStr"/>
      <c r="J3135" t="inlineStr"/>
      <c r="K3135" t="inlineStr"/>
      <c r="L3135" t="inlineStr"/>
      <c r="M3135" t="inlineStr"/>
      <c r="N3135" t="inlineStr"/>
    </row>
    <row r="3136">
      <c r="A3136" t="inlineStr">
        <is>
          <t>fj-suva</t>
        </is>
      </c>
      <c r="B3136" t="inlineStr">
        <is>
          <t>Suva</t>
        </is>
      </c>
      <c r="C3136" t="inlineStr">
        <is>
          <t>Fiji</t>
        </is>
      </c>
      <c r="D3136" t="inlineStr">
        <is>
          <t>Oceania</t>
        </is>
      </c>
      <c r="E3136" t="inlineStr">
        <is>
          <t>rent</t>
        </is>
      </c>
      <c r="F3136" t="inlineStr">
        <is>
          <t>Rent</t>
        </is>
      </c>
      <c r="G3136" t="inlineStr">
        <is>
          <t>pressure</t>
        </is>
      </c>
      <c r="H3136" t="inlineStr">
        <is>
          <t>yes</t>
        </is>
      </c>
      <c r="I3136" t="inlineStr">
        <is>
          <t>326.03</t>
        </is>
      </c>
      <c r="J3136" t="inlineStr">
        <is>
          <t>world_bank_col_estimate</t>
        </is>
      </c>
      <c r="K3136" t="inlineStr">
        <is>
          <t>https://api.worldbank.org/v2/country/FJI/indicator/NY.GNP.PCAP.PP.CD?format=json&amp;mrv=10</t>
        </is>
      </c>
      <c r="L3136" t="inlineStr">
        <is>
          <t>World Bank GNI + regional expenditure ratio estimate</t>
        </is>
      </c>
      <c r="M3136" t="inlineStr">
        <is>
          <t>2024-12-31</t>
        </is>
      </c>
      <c r="N3136" t="inlineStr">
        <is>
          <t>auto_ingest=world_bank_col_estimate; gni_annual=14490.0; year=2024; country_proxy=Fiji; cohort=Oceania; city_cost_mult=0.9</t>
        </is>
      </c>
    </row>
    <row r="3137">
      <c r="A3137" t="inlineStr">
        <is>
          <t>fj-suva</t>
        </is>
      </c>
      <c r="B3137" t="inlineStr">
        <is>
          <t>Suva</t>
        </is>
      </c>
      <c r="C3137" t="inlineStr">
        <is>
          <t>Fiji</t>
        </is>
      </c>
      <c r="D3137" t="inlineStr">
        <is>
          <t>Oceania</t>
        </is>
      </c>
      <c r="E3137" t="inlineStr">
        <is>
          <t>utilities</t>
        </is>
      </c>
      <c r="F3137" t="inlineStr">
        <is>
          <t>Utilities</t>
        </is>
      </c>
      <c r="G3137" t="inlineStr">
        <is>
          <t>pressure</t>
        </is>
      </c>
      <c r="H3137" t="inlineStr">
        <is>
          <t>yes</t>
        </is>
      </c>
      <c r="I3137" t="inlineStr">
        <is>
          <t>65.2</t>
        </is>
      </c>
      <c r="J3137" t="inlineStr">
        <is>
          <t>world_bank_col_estimate</t>
        </is>
      </c>
      <c r="K3137" t="inlineStr">
        <is>
          <t>https://api.worldbank.org/v2/country/FJI/indicator/NY.GNP.PCAP.PP.CD?format=json&amp;mrv=10</t>
        </is>
      </c>
      <c r="L3137" t="inlineStr">
        <is>
          <t>World Bank GNI + regional expenditure ratio estimate</t>
        </is>
      </c>
      <c r="M3137" t="inlineStr">
        <is>
          <t>2024-12-31</t>
        </is>
      </c>
      <c r="N3137" t="inlineStr">
        <is>
          <t>auto_ingest=world_bank_col_estimate; gni_annual=14490.0; year=2024; country_proxy=Fiji; cohort=Oceania; city_cost_mult=0.9</t>
        </is>
      </c>
    </row>
    <row r="3138">
      <c r="A3138" t="inlineStr">
        <is>
          <t>fj-suva</t>
        </is>
      </c>
      <c r="B3138" t="inlineStr">
        <is>
          <t>Suva</t>
        </is>
      </c>
      <c r="C3138" t="inlineStr">
        <is>
          <t>Fiji</t>
        </is>
      </c>
      <c r="D3138" t="inlineStr">
        <is>
          <t>Oceania</t>
        </is>
      </c>
      <c r="E3138" t="inlineStr">
        <is>
          <t>transit_cost</t>
        </is>
      </c>
      <c r="F3138" t="inlineStr">
        <is>
          <t>Transit cost</t>
        </is>
      </c>
      <c r="G3138" t="inlineStr">
        <is>
          <t>pressure</t>
        </is>
      </c>
      <c r="H3138" t="inlineStr">
        <is>
          <t>yes</t>
        </is>
      </c>
      <c r="I3138" t="inlineStr">
        <is>
          <t>43.47</t>
        </is>
      </c>
      <c r="J3138" t="inlineStr">
        <is>
          <t>world_bank_col_estimate</t>
        </is>
      </c>
      <c r="K3138" t="inlineStr">
        <is>
          <t>https://api.worldbank.org/v2/country/FJI/indicator/NY.GNP.PCAP.PP.CD?format=json&amp;mrv=10</t>
        </is>
      </c>
      <c r="L3138" t="inlineStr">
        <is>
          <t>World Bank GNI + regional expenditure ratio estimate</t>
        </is>
      </c>
      <c r="M3138" t="inlineStr">
        <is>
          <t>2024-12-31</t>
        </is>
      </c>
      <c r="N3138" t="inlineStr">
        <is>
          <t>auto_ingest=world_bank_col_estimate; gni_annual=14490.0; year=2024; country_proxy=Fiji; cohort=Oceania; city_cost_mult=0.9</t>
        </is>
      </c>
    </row>
    <row r="3139">
      <c r="A3139" t="inlineStr">
        <is>
          <t>fj-suva</t>
        </is>
      </c>
      <c r="B3139" t="inlineStr">
        <is>
          <t>Suva</t>
        </is>
      </c>
      <c r="C3139" t="inlineStr">
        <is>
          <t>Fiji</t>
        </is>
      </c>
      <c r="D3139" t="inlineStr">
        <is>
          <t>Oceania</t>
        </is>
      </c>
      <c r="E3139" t="inlineStr">
        <is>
          <t>internet_cost</t>
        </is>
      </c>
      <c r="F3139" t="inlineStr">
        <is>
          <t>Internet cost</t>
        </is>
      </c>
      <c r="G3139" t="inlineStr">
        <is>
          <t>pressure</t>
        </is>
      </c>
      <c r="H3139" t="inlineStr">
        <is>
          <t>yes</t>
        </is>
      </c>
      <c r="I3139" t="inlineStr">
        <is>
          <t>16.3</t>
        </is>
      </c>
      <c r="J3139" t="inlineStr">
        <is>
          <t>world_bank_col_estimate</t>
        </is>
      </c>
      <c r="K3139" t="inlineStr">
        <is>
          <t>https://api.worldbank.org/v2/country/FJI/indicator/NY.GNP.PCAP.PP.CD?format=json&amp;mrv=10</t>
        </is>
      </c>
      <c r="L3139" t="inlineStr">
        <is>
          <t>World Bank GNI + regional expenditure ratio estimate</t>
        </is>
      </c>
      <c r="M3139" t="inlineStr">
        <is>
          <t>2024-12-31</t>
        </is>
      </c>
      <c r="N3139" t="inlineStr">
        <is>
          <t>auto_ingest=world_bank_col_estimate; gni_annual=14490.0; year=2024; country_proxy=Fiji; cohort=Oceania; city_cost_mult=0.9</t>
        </is>
      </c>
    </row>
    <row r="3140">
      <c r="A3140" t="inlineStr">
        <is>
          <t>fj-suva</t>
        </is>
      </c>
      <c r="B3140" t="inlineStr">
        <is>
          <t>Suva</t>
        </is>
      </c>
      <c r="C3140" t="inlineStr">
        <is>
          <t>Fiji</t>
        </is>
      </c>
      <c r="D3140" t="inlineStr">
        <is>
          <t>Oceania</t>
        </is>
      </c>
      <c r="E3140" t="inlineStr">
        <is>
          <t>food_cost</t>
        </is>
      </c>
      <c r="F3140" t="inlineStr">
        <is>
          <t>Food cost</t>
        </is>
      </c>
      <c r="G3140" t="inlineStr">
        <is>
          <t>pressure</t>
        </is>
      </c>
      <c r="H3140" t="inlineStr">
        <is>
          <t>yes</t>
        </is>
      </c>
      <c r="I3140" t="inlineStr">
        <is>
          <t>163.01</t>
        </is>
      </c>
      <c r="J3140" t="inlineStr">
        <is>
          <t>world_bank_col_estimate</t>
        </is>
      </c>
      <c r="K3140" t="inlineStr">
        <is>
          <t>https://api.worldbank.org/v2/country/FJI/indicator/NY.GNP.PCAP.PP.CD?format=json&amp;mrv=10</t>
        </is>
      </c>
      <c r="L3140" t="inlineStr">
        <is>
          <t>World Bank GNI + regional expenditure ratio estimate</t>
        </is>
      </c>
      <c r="M3140" t="inlineStr">
        <is>
          <t>2024-12-31</t>
        </is>
      </c>
      <c r="N3140" t="inlineStr">
        <is>
          <t>auto_ingest=world_bank_col_estimate; gni_annual=14490.0; year=2024; country_proxy=Fiji; cohort=Oceania; city_cost_mult=0.9</t>
        </is>
      </c>
    </row>
    <row r="3141">
      <c r="A3141" t="inlineStr">
        <is>
          <t>fj-suva</t>
        </is>
      </c>
      <c r="B3141" t="inlineStr">
        <is>
          <t>Suva</t>
        </is>
      </c>
      <c r="C3141" t="inlineStr">
        <is>
          <t>Fiji</t>
        </is>
      </c>
      <c r="D3141" t="inlineStr">
        <is>
          <t>Oceania</t>
        </is>
      </c>
      <c r="E3141" t="inlineStr">
        <is>
          <t>housing_burden_raw</t>
        </is>
      </c>
      <c r="F3141" t="inlineStr">
        <is>
          <t>Housing burden raw</t>
        </is>
      </c>
      <c r="G3141" t="inlineStr">
        <is>
          <t>pressure</t>
        </is>
      </c>
      <c r="H3141" t="inlineStr">
        <is>
          <t>yes</t>
        </is>
      </c>
      <c r="I3141" t="inlineStr">
        <is>
          <t>27.0004</t>
        </is>
      </c>
      <c r="J3141" t="inlineStr">
        <is>
          <t>derived</t>
        </is>
      </c>
      <c r="K3141" t="inlineStr">
        <is>
          <t>https://data.worldbank.org/indicator/NY.GNP.PCAP.PP.CD</t>
        </is>
      </c>
      <c r="L3141" t="inlineStr">
        <is>
          <t>Computed from city_inputs + country_context</t>
        </is>
      </c>
      <c r="M3141" t="inlineStr">
        <is>
          <t>2024-01-01</t>
        </is>
      </c>
      <c r="N3141" t="inlineStr">
        <is>
          <t>derived=rent/gross_income*100</t>
        </is>
      </c>
    </row>
    <row r="3142">
      <c r="A3142" t="inlineStr">
        <is>
          <t>fj-suva</t>
        </is>
      </c>
      <c r="B3142" t="inlineStr">
        <is>
          <t>Suva</t>
        </is>
      </c>
      <c r="C3142" t="inlineStr">
        <is>
          <t>Fiji</t>
        </is>
      </c>
      <c r="D3142" t="inlineStr">
        <is>
          <t>Oceania</t>
        </is>
      </c>
      <c r="E3142" t="inlineStr">
        <is>
          <t>household_debt_burden_raw</t>
        </is>
      </c>
      <c r="F3142" t="inlineStr">
        <is>
          <t>Household debt burden raw</t>
        </is>
      </c>
      <c r="G3142" t="inlineStr">
        <is>
          <t>pressure</t>
        </is>
      </c>
      <c r="H3142" t="inlineStr">
        <is>
          <t>yes</t>
        </is>
      </c>
      <c r="I3142" t="inlineStr">
        <is>
          <t>75.9993</t>
        </is>
      </c>
      <c r="J3142" t="inlineStr">
        <is>
          <t>derived</t>
        </is>
      </c>
      <c r="K3142" t="inlineStr">
        <is>
          <t>https://data.worldbank.org/indicator/NY.GNP.PCAP.PP.CD</t>
        </is>
      </c>
      <c r="L3142" t="inlineStr">
        <is>
          <t>Computed from city_inputs + country_context</t>
        </is>
      </c>
      <c r="M3142" t="inlineStr">
        <is>
          <t>2024-01-01</t>
        </is>
      </c>
      <c r="N3142" t="inlineStr">
        <is>
          <t>derived=country_context.household_debt_proxy; country=Fiji</t>
        </is>
      </c>
    </row>
    <row r="3143">
      <c r="A3143" t="inlineStr">
        <is>
          <t>fj-suva</t>
        </is>
      </c>
      <c r="B3143" t="inlineStr">
        <is>
          <t>Suva</t>
        </is>
      </c>
      <c r="C3143" t="inlineStr">
        <is>
          <t>Fiji</t>
        </is>
      </c>
      <c r="D3143" t="inlineStr">
        <is>
          <t>Oceania</t>
        </is>
      </c>
      <c r="E3143" t="inlineStr">
        <is>
          <t>working_time_pressure_raw</t>
        </is>
      </c>
      <c r="F3143" t="inlineStr">
        <is>
          <t>Working time pressure raw</t>
        </is>
      </c>
      <c r="G3143" t="inlineStr">
        <is>
          <t>pressure</t>
        </is>
      </c>
      <c r="H3143" t="inlineStr">
        <is>
          <t>yes</t>
        </is>
      </c>
      <c r="I3143" t="inlineStr">
        <is>
          <t>37.33</t>
        </is>
      </c>
      <c r="J3143" t="inlineStr">
        <is>
          <t>ilo_ilostat</t>
        </is>
      </c>
      <c r="K3143" t="inlineStr">
        <is>
          <t>https://ilostat.ilo.org/data/indicator/?id=HOW_TEMP_SEX_ECO_NB_A&amp;ref_area=FJI</t>
        </is>
      </c>
      <c r="L3143" t="inlineStr">
        <is>
          <t>ILO ILOSTAT: Mean weekly hours actually worked per employed person</t>
        </is>
      </c>
      <c r="M3143" t="inlineStr">
        <is>
          <t>2024-12-31</t>
        </is>
      </c>
      <c r="N3143" t="inlineStr">
        <is>
          <t>auto_ingest=ilo_working_hours; indicator=HOW_TEMP_SEX_ECO_NB_A; year=2024; hours=37.33; country_proxy=Fiji</t>
        </is>
      </c>
    </row>
    <row r="3144">
      <c r="A3144" t="inlineStr">
        <is>
          <t>fj-suva</t>
        </is>
      </c>
      <c r="B3144" t="inlineStr">
        <is>
          <t>Suva</t>
        </is>
      </c>
      <c r="C3144" t="inlineStr">
        <is>
          <t>Fiji</t>
        </is>
      </c>
      <c r="D3144" t="inlineStr">
        <is>
          <t>Oceania</t>
        </is>
      </c>
      <c r="E3144" t="inlineStr">
        <is>
          <t>suicide_mental_strain_raw</t>
        </is>
      </c>
      <c r="F3144" t="inlineStr">
        <is>
          <t>Suicide or mental strain raw</t>
        </is>
      </c>
      <c r="G3144" t="inlineStr">
        <is>
          <t>pressure</t>
        </is>
      </c>
      <c r="H3144" t="inlineStr">
        <is>
          <t>yes</t>
        </is>
      </c>
      <c r="I3144" t="inlineStr">
        <is>
          <t>8.27</t>
        </is>
      </c>
      <c r="J3144" t="inlineStr">
        <is>
          <t>who_gho</t>
        </is>
      </c>
      <c r="K3144" t="inlineStr">
        <is>
          <t>https://www.who.int/data/gho/data/indicators/indicator-details/GHO/SDGSUICIDE</t>
        </is>
      </c>
      <c r="L3144" t="inlineStr">
        <is>
          <t>WHO GHO: Age-standardized suicide rate (per 100,000 population)</t>
        </is>
      </c>
      <c r="M3144" t="inlineStr">
        <is>
          <t>2021-12-31</t>
        </is>
      </c>
      <c r="N3144" t="inlineStr">
        <is>
          <t>auto_ingest=who_gho; indicator=SDGSUICIDE; year=2021; country_proxy=Fiji</t>
        </is>
      </c>
    </row>
    <row r="3145">
      <c r="A3145" t="inlineStr">
        <is>
          <t>fj-suva</t>
        </is>
      </c>
      <c r="B3145" t="inlineStr">
        <is>
          <t>Suva</t>
        </is>
      </c>
      <c r="C3145" t="inlineStr">
        <is>
          <t>Fiji</t>
        </is>
      </c>
      <c r="D3145" t="inlineStr">
        <is>
          <t>Oceania</t>
        </is>
      </c>
      <c r="E3145" t="inlineStr">
        <is>
          <t>personal_safety_raw</t>
        </is>
      </c>
      <c r="F3145" t="inlineStr">
        <is>
          <t>Personal safety raw</t>
        </is>
      </c>
      <c r="G3145" t="inlineStr">
        <is>
          <t>viability</t>
        </is>
      </c>
      <c r="H3145" t="inlineStr">
        <is>
          <t>yes</t>
        </is>
      </c>
      <c r="I3145" t="inlineStr">
        <is>
          <t>2.06</t>
        </is>
      </c>
      <c r="J3145" t="inlineStr">
        <is>
          <t>world_bank</t>
        </is>
      </c>
      <c r="K3145" t="inlineStr">
        <is>
          <t>https://api.worldbank.org/v2/country/FJI/indicator/VC.IHR.PSRC.P5?format=json&amp;mrv=10</t>
        </is>
      </c>
      <c r="L3145" t="inlineStr">
        <is>
          <t>UNODC via World Bank WDI: Intentional homicides (per 100,000 people)</t>
        </is>
      </c>
      <c r="M3145" t="inlineStr">
        <is>
          <t>2023-12-31</t>
        </is>
      </c>
      <c r="N3145" t="inlineStr">
        <is>
          <t>auto_ingest=unodc_safety; indicator=VC.IHR.PSRC.P5; year=2023; country_proxy=Fiji</t>
        </is>
      </c>
    </row>
    <row r="3146">
      <c r="A3146" t="inlineStr">
        <is>
          <t>fj-suva</t>
        </is>
      </c>
      <c r="B3146" t="inlineStr">
        <is>
          <t>Suva</t>
        </is>
      </c>
      <c r="C3146" t="inlineStr">
        <is>
          <t>Fiji</t>
        </is>
      </c>
      <c r="D3146" t="inlineStr">
        <is>
          <t>Oceania</t>
        </is>
      </c>
      <c r="E3146" t="inlineStr">
        <is>
          <t>transit_access_commute_raw</t>
        </is>
      </c>
      <c r="F3146" t="inlineStr">
        <is>
          <t>Transit access and commute raw</t>
        </is>
      </c>
      <c r="G3146" t="inlineStr">
        <is>
          <t>viability</t>
        </is>
      </c>
      <c r="H3146" t="inlineStr">
        <is>
          <t>yes</t>
        </is>
      </c>
      <c r="I3146" t="inlineStr"/>
      <c r="J3146" t="inlineStr"/>
      <c r="K3146" t="inlineStr"/>
      <c r="L3146" t="inlineStr"/>
      <c r="M3146" t="inlineStr"/>
      <c r="N3146" t="inlineStr"/>
    </row>
    <row r="3147">
      <c r="A3147" t="inlineStr">
        <is>
          <t>fj-suva</t>
        </is>
      </c>
      <c r="B3147" t="inlineStr">
        <is>
          <t>Suva</t>
        </is>
      </c>
      <c r="C3147" t="inlineStr">
        <is>
          <t>Fiji</t>
        </is>
      </c>
      <c r="D3147" t="inlineStr">
        <is>
          <t>Oceania</t>
        </is>
      </c>
      <c r="E3147" t="inlineStr">
        <is>
          <t>clean_air_raw</t>
        </is>
      </c>
      <c r="F3147" t="inlineStr">
        <is>
          <t>Clean air raw</t>
        </is>
      </c>
      <c r="G3147" t="inlineStr">
        <is>
          <t>viability</t>
        </is>
      </c>
      <c r="H3147" t="inlineStr">
        <is>
          <t>yes</t>
        </is>
      </c>
      <c r="I3147" t="inlineStr"/>
      <c r="J3147" t="inlineStr"/>
      <c r="K3147" t="inlineStr"/>
      <c r="L3147" t="inlineStr"/>
      <c r="M3147" t="inlineStr"/>
      <c r="N3147" t="inlineStr"/>
    </row>
    <row r="3148">
      <c r="A3148" t="inlineStr">
        <is>
          <t>fj-suva</t>
        </is>
      </c>
      <c r="B3148" t="inlineStr">
        <is>
          <t>Suva</t>
        </is>
      </c>
      <c r="C3148" t="inlineStr">
        <is>
          <t>Fiji</t>
        </is>
      </c>
      <c r="D3148" t="inlineStr">
        <is>
          <t>Oceania</t>
        </is>
      </c>
      <c r="E3148" t="inlineStr">
        <is>
          <t>water_sanitation_utility_raw</t>
        </is>
      </c>
      <c r="F3148" t="inlineStr">
        <is>
          <t>Water, sanitation, and utility raw</t>
        </is>
      </c>
      <c r="G3148" t="inlineStr">
        <is>
          <t>viability</t>
        </is>
      </c>
      <c r="H3148" t="inlineStr">
        <is>
          <t>yes</t>
        </is>
      </c>
      <c r="I3148" t="inlineStr">
        <is>
          <t>42.11</t>
        </is>
      </c>
      <c r="J3148" t="inlineStr">
        <is>
          <t>world_bank</t>
        </is>
      </c>
      <c r="K3148" t="inlineStr">
        <is>
          <t>https://api.worldbank.org/v2/country/FJI/indicator/SH.H2O.SMDW.ZS?format=json&amp;mrv=10</t>
        </is>
      </c>
      <c r="L3148" t="inlineStr">
        <is>
          <t>World Bank WDI: People using safely managed drinking water services (% of population)</t>
        </is>
      </c>
      <c r="M3148" t="inlineStr">
        <is>
          <t>2024-12-31</t>
        </is>
      </c>
      <c r="N3148" t="inlineStr">
        <is>
          <t>auto_ingest=world_bank_proxy; indicator=SH.H2O.SMDW.ZS; year=2024; country_proxy=Fiji</t>
        </is>
      </c>
    </row>
    <row r="3149">
      <c r="A3149" t="inlineStr">
        <is>
          <t>fj-suva</t>
        </is>
      </c>
      <c r="B3149" t="inlineStr">
        <is>
          <t>Suva</t>
        </is>
      </c>
      <c r="C3149" t="inlineStr">
        <is>
          <t>Fiji</t>
        </is>
      </c>
      <c r="D3149" t="inlineStr">
        <is>
          <t>Oceania</t>
        </is>
      </c>
      <c r="E3149" t="inlineStr">
        <is>
          <t>digital_infrastructure_raw</t>
        </is>
      </c>
      <c r="F3149" t="inlineStr">
        <is>
          <t>Digital infrastructure raw</t>
        </is>
      </c>
      <c r="G3149" t="inlineStr">
        <is>
          <t>viability</t>
        </is>
      </c>
      <c r="H3149" t="inlineStr">
        <is>
          <t>yes</t>
        </is>
      </c>
      <c r="I3149" t="inlineStr">
        <is>
          <t>2.53</t>
        </is>
      </c>
      <c r="J3149" t="inlineStr">
        <is>
          <t>world_bank</t>
        </is>
      </c>
      <c r="K3149" t="inlineStr">
        <is>
          <t>https://api.worldbank.org/v2/country/FJI/indicator/IT.NET.BBND.P2?format=json&amp;mrv=10</t>
        </is>
      </c>
      <c r="L3149" t="inlineStr">
        <is>
          <t>World Bank WDI: Fixed broadband subscriptions (per 100 people)</t>
        </is>
      </c>
      <c r="M3149" t="inlineStr">
        <is>
          <t>2022-12-31</t>
        </is>
      </c>
      <c r="N3149" t="inlineStr">
        <is>
          <t>auto_ingest=world_bank_proxy; indicator=IT.NET.BBND.P2; year=2022; country_proxy=Fiji</t>
        </is>
      </c>
    </row>
    <row r="3150">
      <c r="A3150" t="inlineStr">
        <is>
          <t>fj-suva</t>
        </is>
      </c>
      <c r="B3150" t="inlineStr">
        <is>
          <t>Suva</t>
        </is>
      </c>
      <c r="C3150" t="inlineStr">
        <is>
          <t>Fiji</t>
        </is>
      </c>
      <c r="D3150" t="inlineStr">
        <is>
          <t>Oceania</t>
        </is>
      </c>
      <c r="E3150" t="inlineStr">
        <is>
          <t>climate_sunlight_livability_raw</t>
        </is>
      </c>
      <c r="F3150" t="inlineStr">
        <is>
          <t>Climate and sunlight livability raw</t>
        </is>
      </c>
      <c r="G3150" t="inlineStr">
        <is>
          <t>viability</t>
        </is>
      </c>
      <c r="H3150" t="inlineStr">
        <is>
          <t>yes</t>
        </is>
      </c>
      <c r="I3150" t="inlineStr"/>
      <c r="J3150" t="inlineStr"/>
      <c r="K3150" t="inlineStr"/>
      <c r="L3150" t="inlineStr"/>
      <c r="M3150" t="inlineStr"/>
      <c r="N3150" t="inlineStr"/>
    </row>
    <row r="3151">
      <c r="A3151" t="inlineStr">
        <is>
          <t>fj-suva</t>
        </is>
      </c>
      <c r="B3151" t="inlineStr">
        <is>
          <t>Suva</t>
        </is>
      </c>
      <c r="C3151" t="inlineStr">
        <is>
          <t>Fiji</t>
        </is>
      </c>
      <c r="D3151" t="inlineStr">
        <is>
          <t>Oceania</t>
        </is>
      </c>
      <c r="E3151" t="inlineStr">
        <is>
          <t>healthcare_quality_raw</t>
        </is>
      </c>
      <c r="F3151" t="inlineStr">
        <is>
          <t>Healthcare quality raw</t>
        </is>
      </c>
      <c r="G3151" t="inlineStr">
        <is>
          <t>capability</t>
        </is>
      </c>
      <c r="H3151" t="inlineStr">
        <is>
          <t>yes</t>
        </is>
      </c>
      <c r="I3151" t="inlineStr">
        <is>
          <t>69.0</t>
        </is>
      </c>
      <c r="J3151" t="inlineStr">
        <is>
          <t>who_gho</t>
        </is>
      </c>
      <c r="K3151" t="inlineStr">
        <is>
          <t>https://www.who.int/data/gho/data/indicators/indicator-details/GHO/UHC_INDEX_REPORTED</t>
        </is>
      </c>
      <c r="L3151" t="inlineStr">
        <is>
          <t>WHO GHO: UHC Service Coverage Index</t>
        </is>
      </c>
      <c r="M3151" t="inlineStr">
        <is>
          <t>2023-12-31</t>
        </is>
      </c>
      <c r="N3151" t="inlineStr">
        <is>
          <t>auto_ingest=who_gho; indicator=UHC_INDEX_REPORTED; year=2023; country_proxy=Fiji</t>
        </is>
      </c>
    </row>
    <row r="3152">
      <c r="A3152" t="inlineStr">
        <is>
          <t>fj-suva</t>
        </is>
      </c>
      <c r="B3152" t="inlineStr">
        <is>
          <t>Suva</t>
        </is>
      </c>
      <c r="C3152" t="inlineStr">
        <is>
          <t>Fiji</t>
        </is>
      </c>
      <c r="D3152" t="inlineStr">
        <is>
          <t>Oceania</t>
        </is>
      </c>
      <c r="E3152" t="inlineStr">
        <is>
          <t>education_quality_raw</t>
        </is>
      </c>
      <c r="F3152" t="inlineStr">
        <is>
          <t>Education quality raw</t>
        </is>
      </c>
      <c r="G3152" t="inlineStr">
        <is>
          <t>capability</t>
        </is>
      </c>
      <c r="H3152" t="inlineStr">
        <is>
          <t>yes</t>
        </is>
      </c>
      <c r="I3152" t="inlineStr">
        <is>
          <t>75.01</t>
        </is>
      </c>
      <c r="J3152" t="inlineStr">
        <is>
          <t>world_bank</t>
        </is>
      </c>
      <c r="K3152" t="inlineStr">
        <is>
          <t>https://api.worldbank.org/v2/country/FJI/indicator/SE.TER.ENRR?format=json&amp;mrv=10</t>
        </is>
      </c>
      <c r="L3152" t="inlineStr">
        <is>
          <t>World Bank WDI: School enrollment, tertiary (% gross)</t>
        </is>
      </c>
      <c r="M3152" t="inlineStr">
        <is>
          <t>2024-12-31</t>
        </is>
      </c>
      <c r="N3152" t="inlineStr">
        <is>
          <t>auto_ingest=world_bank_proxy; indicator=SE.TER.ENRR; year=2024; country_proxy=Fiji</t>
        </is>
      </c>
    </row>
    <row r="3153">
      <c r="A3153" t="inlineStr">
        <is>
          <t>fj-suva</t>
        </is>
      </c>
      <c r="B3153" t="inlineStr">
        <is>
          <t>Suva</t>
        </is>
      </c>
      <c r="C3153" t="inlineStr">
        <is>
          <t>Fiji</t>
        </is>
      </c>
      <c r="D3153" t="inlineStr">
        <is>
          <t>Oceania</t>
        </is>
      </c>
      <c r="E3153" t="inlineStr">
        <is>
          <t>equal_opportunity_raw</t>
        </is>
      </c>
      <c r="F3153" t="inlineStr">
        <is>
          <t>Equal opportunity raw</t>
        </is>
      </c>
      <c r="G3153" t="inlineStr">
        <is>
          <t>capability</t>
        </is>
      </c>
      <c r="H3153" t="inlineStr">
        <is>
          <t>yes</t>
        </is>
      </c>
      <c r="I3153" t="inlineStr">
        <is>
          <t>30.7</t>
        </is>
      </c>
      <c r="J3153" t="inlineStr">
        <is>
          <t>world_bank</t>
        </is>
      </c>
      <c r="K3153" t="inlineStr">
        <is>
          <t>https://api.worldbank.org/v2/country/FJI/indicator/SI.POV.GINI?format=json&amp;mrv=10</t>
        </is>
      </c>
      <c r="L3153" t="inlineStr">
        <is>
          <t>World Bank WDI: Gini index</t>
        </is>
      </c>
      <c r="M3153" t="inlineStr">
        <is>
          <t>2019-12-31</t>
        </is>
      </c>
      <c r="N3153" t="inlineStr">
        <is>
          <t>auto_ingest=world_bank_capability; indicator=SI.POV.GINI; year=2019; country_proxy=Fiji</t>
        </is>
      </c>
    </row>
    <row r="3154">
      <c r="A3154" t="inlineStr">
        <is>
          <t>fj-suva</t>
        </is>
      </c>
      <c r="B3154" t="inlineStr">
        <is>
          <t>Suva</t>
        </is>
      </c>
      <c r="C3154" t="inlineStr">
        <is>
          <t>Fiji</t>
        </is>
      </c>
      <c r="D3154" t="inlineStr">
        <is>
          <t>Oceania</t>
        </is>
      </c>
      <c r="E3154" t="inlineStr">
        <is>
          <t>hospitality_belonging_raw</t>
        </is>
      </c>
      <c r="F3154" t="inlineStr">
        <is>
          <t>Hospitality and belonging raw</t>
        </is>
      </c>
      <c r="G3154" t="inlineStr">
        <is>
          <t>community</t>
        </is>
      </c>
      <c r="H3154" t="inlineStr">
        <is>
          <t>yes</t>
        </is>
      </c>
      <c r="I3154" t="inlineStr">
        <is>
          <t>46.46</t>
        </is>
      </c>
      <c r="J3154" t="inlineStr">
        <is>
          <t>world_bank</t>
        </is>
      </c>
      <c r="K3154" t="inlineStr">
        <is>
          <t>https://api.worldbank.org/v2/country/FJI/indicator/SM.POP.NETM?format=json&amp;mrv=10</t>
        </is>
      </c>
      <c r="L3154" t="inlineStr">
        <is>
          <t>World Bank WDI: Net migration (proxy for hospitality/belonging — positive = welcoming)</t>
        </is>
      </c>
      <c r="M3154" t="inlineStr">
        <is>
          <t>2025-12-31</t>
        </is>
      </c>
      <c r="N3154" t="inlineStr">
        <is>
          <t>auto_ingest=world_bank_proxy; proxy=net_migration_hospitality; indicator=SM.POP.NETM; year=2025; country_proxy=Fiji</t>
        </is>
      </c>
    </row>
    <row r="3155">
      <c r="A3155" t="inlineStr">
        <is>
          <t>fj-suva</t>
        </is>
      </c>
      <c r="B3155" t="inlineStr">
        <is>
          <t>Suva</t>
        </is>
      </c>
      <c r="C3155" t="inlineStr">
        <is>
          <t>Fiji</t>
        </is>
      </c>
      <c r="D3155" t="inlineStr">
        <is>
          <t>Oceania</t>
        </is>
      </c>
      <c r="E3155" t="inlineStr">
        <is>
          <t>tolerance_pluralism_raw</t>
        </is>
      </c>
      <c r="F3155" t="inlineStr">
        <is>
          <t>Tolerance and pluralism raw</t>
        </is>
      </c>
      <c r="G3155" t="inlineStr">
        <is>
          <t>community</t>
        </is>
      </c>
      <c r="H3155" t="inlineStr">
        <is>
          <t>yes</t>
        </is>
      </c>
      <c r="I3155" t="inlineStr">
        <is>
          <t>9.09</t>
        </is>
      </c>
      <c r="J3155" t="inlineStr">
        <is>
          <t>world_bank</t>
        </is>
      </c>
      <c r="K3155" t="inlineStr">
        <is>
          <t>https://api.worldbank.org/v2/country/FJI/indicator/SG.GEN.PARL.ZS?format=json&amp;mrv=10</t>
        </is>
      </c>
      <c r="L3155" t="inlineStr">
        <is>
          <t>World Bank WDI: Proportion of seats held by women in national parliaments (%)</t>
        </is>
      </c>
      <c r="M3155" t="inlineStr">
        <is>
          <t>2024-12-31</t>
        </is>
      </c>
      <c r="N3155" t="inlineStr">
        <is>
          <t>auto_ingest=world_bank_proxy; proxy=gender_parity_parliament; indicator=SG.GEN.PARL.ZS; year=2024; country_proxy=Fiji</t>
        </is>
      </c>
    </row>
    <row r="3156">
      <c r="A3156" t="inlineStr">
        <is>
          <t>fj-suva</t>
        </is>
      </c>
      <c r="B3156" t="inlineStr">
        <is>
          <t>Suva</t>
        </is>
      </c>
      <c r="C3156" t="inlineStr">
        <is>
          <t>Fiji</t>
        </is>
      </c>
      <c r="D3156" t="inlineStr">
        <is>
          <t>Oceania</t>
        </is>
      </c>
      <c r="E3156" t="inlineStr">
        <is>
          <t>cultural_public_life_raw</t>
        </is>
      </c>
      <c r="F3156" t="inlineStr">
        <is>
          <t>Cultural public life raw</t>
        </is>
      </c>
      <c r="G3156" t="inlineStr">
        <is>
          <t>community</t>
        </is>
      </c>
      <c r="H3156" t="inlineStr">
        <is>
          <t>yes</t>
        </is>
      </c>
      <c r="I3156" t="inlineStr">
        <is>
          <t>180.88</t>
        </is>
      </c>
      <c r="J3156" t="inlineStr">
        <is>
          <t>world_bank</t>
        </is>
      </c>
      <c r="K3156" t="inlineStr">
        <is>
          <t>https://api.worldbank.org/v2/country/FJI/indicator/ST.INT.ARVL?format=json&amp;mrv=10</t>
        </is>
      </c>
      <c r="L3156" t="inlineStr">
        <is>
          <t>World Bank WDI: International tourism arrivals per 1 000 population</t>
        </is>
      </c>
      <c r="M3156" t="inlineStr">
        <is>
          <t>2020-12-31</t>
        </is>
      </c>
      <c r="N3156" t="inlineStr">
        <is>
          <t>auto_ingest=cultural_life_proxy; indicator=ST.INT.ARVL; norm=per_1000_pop; year=2020; country_proxy=Fiji</t>
        </is>
      </c>
    </row>
    <row r="3157">
      <c r="A3157" t="inlineStr">
        <is>
          <t>fj-suva</t>
        </is>
      </c>
      <c r="B3157" t="inlineStr">
        <is>
          <t>Suva</t>
        </is>
      </c>
      <c r="C3157" t="inlineStr">
        <is>
          <t>Fiji</t>
        </is>
      </c>
      <c r="D3157" t="inlineStr">
        <is>
          <t>Oceania</t>
        </is>
      </c>
      <c r="E3157" t="inlineStr">
        <is>
          <t>birth_rate_optimism_raw</t>
        </is>
      </c>
      <c r="F3157" t="inlineStr">
        <is>
          <t>Birth rate and societal optimism raw</t>
        </is>
      </c>
      <c r="G3157" t="inlineStr">
        <is>
          <t>community</t>
        </is>
      </c>
      <c r="H3157" t="inlineStr">
        <is>
          <t>yes</t>
        </is>
      </c>
      <c r="I3157" t="inlineStr"/>
      <c r="J3157" t="inlineStr"/>
      <c r="K3157" t="inlineStr"/>
      <c r="L3157" t="inlineStr"/>
      <c r="M3157" t="inlineStr"/>
      <c r="N3157" t="inlineStr"/>
    </row>
    <row r="3158">
      <c r="A3158" t="inlineStr">
        <is>
          <t>fj-suva</t>
        </is>
      </c>
      <c r="B3158" t="inlineStr">
        <is>
          <t>Suva</t>
        </is>
      </c>
      <c r="C3158" t="inlineStr">
        <is>
          <t>Fiji</t>
        </is>
      </c>
      <c r="D3158" t="inlineStr">
        <is>
          <t>Oceania</t>
        </is>
      </c>
      <c r="E3158" t="inlineStr">
        <is>
          <t>entrepreneurial_dynamism_raw</t>
        </is>
      </c>
      <c r="F3158" t="inlineStr">
        <is>
          <t>Entrepreneurial dynamism raw</t>
        </is>
      </c>
      <c r="G3158" t="inlineStr">
        <is>
          <t>creative</t>
        </is>
      </c>
      <c r="H3158" t="inlineStr">
        <is>
          <t>yes</t>
        </is>
      </c>
      <c r="I3158" t="inlineStr">
        <is>
          <t>2.22</t>
        </is>
      </c>
      <c r="J3158" t="inlineStr">
        <is>
          <t>world_bank</t>
        </is>
      </c>
      <c r="K3158" t="inlineStr">
        <is>
          <t>https://api.worldbank.org/v2/country/FJI/indicator/IC.BUS.NDNS.ZS?format=json&amp;mrv=10</t>
        </is>
      </c>
      <c r="L3158" t="inlineStr">
        <is>
          <t>World Bank WDI: New business density (new registrations per 1,000 people ages 15-64)</t>
        </is>
      </c>
      <c r="M3158" t="inlineStr">
        <is>
          <t>2022-12-31</t>
        </is>
      </c>
      <c r="N3158" t="inlineStr">
        <is>
          <t>auto_ingest=world_bank_creative_extended; indicator=IC.BUS.NDNS.ZS; year=2022; country_proxy=Fiji</t>
        </is>
      </c>
    </row>
    <row r="3159">
      <c r="A3159" t="inlineStr">
        <is>
          <t>fj-suva</t>
        </is>
      </c>
      <c r="B3159" t="inlineStr">
        <is>
          <t>Suva</t>
        </is>
      </c>
      <c r="C3159" t="inlineStr">
        <is>
          <t>Fiji</t>
        </is>
      </c>
      <c r="D3159" t="inlineStr">
        <is>
          <t>Oceania</t>
        </is>
      </c>
      <c r="E3159" t="inlineStr">
        <is>
          <t>innovation_research_intensity_raw</t>
        </is>
      </c>
      <c r="F3159" t="inlineStr">
        <is>
          <t>Innovation and research raw</t>
        </is>
      </c>
      <c r="G3159" t="inlineStr">
        <is>
          <t>creative</t>
        </is>
      </c>
      <c r="H3159" t="inlineStr">
        <is>
          <t>yes</t>
        </is>
      </c>
      <c r="I3159" t="inlineStr"/>
      <c r="J3159" t="inlineStr"/>
      <c r="K3159" t="inlineStr"/>
      <c r="L3159" t="inlineStr"/>
      <c r="M3159" t="inlineStr"/>
      <c r="N3159" t="inlineStr"/>
    </row>
    <row r="3160">
      <c r="A3160" t="inlineStr">
        <is>
          <t>fj-suva</t>
        </is>
      </c>
      <c r="B3160" t="inlineStr">
        <is>
          <t>Suva</t>
        </is>
      </c>
      <c r="C3160" t="inlineStr">
        <is>
          <t>Fiji</t>
        </is>
      </c>
      <c r="D3160" t="inlineStr">
        <is>
          <t>Oceania</t>
        </is>
      </c>
      <c r="E3160" t="inlineStr">
        <is>
          <t>investment_signal_raw</t>
        </is>
      </c>
      <c r="F3160" t="inlineStr">
        <is>
          <t>Investment signal raw</t>
        </is>
      </c>
      <c r="G3160" t="inlineStr">
        <is>
          <t>creative</t>
        </is>
      </c>
      <c r="H3160" t="inlineStr">
        <is>
          <t>yes</t>
        </is>
      </c>
      <c r="I3160" t="inlineStr">
        <is>
          <t>3.41</t>
        </is>
      </c>
      <c r="J3160" t="inlineStr">
        <is>
          <t>world_bank</t>
        </is>
      </c>
      <c r="K3160" t="inlineStr">
        <is>
          <t>https://api.worldbank.org/v2/country/FJI/indicator/BX.KLT.DINV.WD.GD.ZS?format=json&amp;mrv=10</t>
        </is>
      </c>
      <c r="L3160" t="inlineStr">
        <is>
          <t>World Bank WDI: Foreign direct investment, net inflows (% of GDP)</t>
        </is>
      </c>
      <c r="M3160" t="inlineStr">
        <is>
          <t>2024-12-31</t>
        </is>
      </c>
      <c r="N3160" t="inlineStr">
        <is>
          <t>auto_ingest=world_bank_creative_extended; indicator=BX.KLT.DINV.WD.GD.ZS; year=2024; country_proxy=Fiji</t>
        </is>
      </c>
    </row>
    <row r="3161">
      <c r="A3161" t="inlineStr">
        <is>
          <t>fj-suva</t>
        </is>
      </c>
      <c r="B3161" t="inlineStr">
        <is>
          <t>Suva</t>
        </is>
      </c>
      <c r="C3161" t="inlineStr">
        <is>
          <t>Fiji</t>
        </is>
      </c>
      <c r="D3161" t="inlineStr">
        <is>
          <t>Oceania</t>
        </is>
      </c>
      <c r="E3161" t="inlineStr">
        <is>
          <t>administrative_investment_friction_raw</t>
        </is>
      </c>
      <c r="F3161" t="inlineStr">
        <is>
          <t>Administrative investment friction raw</t>
        </is>
      </c>
      <c r="G3161" t="inlineStr">
        <is>
          <t>creative</t>
        </is>
      </c>
      <c r="H3161" t="inlineStr">
        <is>
          <t>yes</t>
        </is>
      </c>
      <c r="I3161" t="inlineStr">
        <is>
          <t>2.59</t>
        </is>
      </c>
      <c r="J3161" t="inlineStr">
        <is>
          <t>world_bank</t>
        </is>
      </c>
      <c r="K3161" t="inlineStr">
        <is>
          <t>https://api.worldbank.org/v2/country/FJI/indicator/RQ.EST?format=json&amp;mrv=10</t>
        </is>
      </c>
      <c r="L3161" t="inlineStr">
        <is>
          <t>World Bank WGI: Regulatory Quality (inverted as friction proxy)</t>
        </is>
      </c>
      <c r="M3161" t="inlineStr">
        <is>
          <t>2023-12-31</t>
        </is>
      </c>
      <c r="N3161" t="inlineStr">
        <is>
          <t>auto_ingest=world_bank_business_friction; indicator=RQ.EST; raw_rq=-0.0902230963110924; friction=2.59; year=2023; country_proxy=Fiji</t>
        </is>
      </c>
    </row>
    <row r="3162">
      <c r="A3162" t="inlineStr">
        <is>
          <t>fj-suva</t>
        </is>
      </c>
      <c r="B3162" t="inlineStr">
        <is>
          <t>Suva</t>
        </is>
      </c>
      <c r="C3162" t="inlineStr">
        <is>
          <t>Fiji</t>
        </is>
      </c>
      <c r="D3162" t="inlineStr">
        <is>
          <t>Oceania</t>
        </is>
      </c>
      <c r="E3162" t="inlineStr">
        <is>
          <t>visitor_flow_context_raw</t>
        </is>
      </c>
      <c r="F3162" t="inlineStr">
        <is>
          <t>Visitor flow context raw</t>
        </is>
      </c>
      <c r="G3162" t="inlineStr">
        <is>
          <t>creative</t>
        </is>
      </c>
      <c r="H3162" t="inlineStr">
        <is>
          <t>no</t>
        </is>
      </c>
      <c r="I3162" t="inlineStr"/>
      <c r="J3162" t="inlineStr"/>
      <c r="K3162" t="inlineStr"/>
      <c r="L3162" t="inlineStr"/>
      <c r="M3162" t="inlineStr"/>
      <c r="N3162" t="inlineStr"/>
    </row>
    <row r="3163">
      <c r="A3163" t="inlineStr">
        <is>
          <t>id-surabaya</t>
        </is>
      </c>
      <c r="B3163" t="inlineStr">
        <is>
          <t>Surabaya</t>
        </is>
      </c>
      <c r="C3163" t="inlineStr">
        <is>
          <t>Indonesia</t>
        </is>
      </c>
      <c r="D3163" t="inlineStr">
        <is>
          <t>Southeast Asia</t>
        </is>
      </c>
      <c r="E3163" t="inlineStr">
        <is>
          <t>gross_income</t>
        </is>
      </c>
      <c r="F3163" t="inlineStr">
        <is>
          <t>Gross income</t>
        </is>
      </c>
      <c r="G3163" t="inlineStr">
        <is>
          <t>pressure</t>
        </is>
      </c>
      <c r="H3163" t="inlineStr">
        <is>
          <t>yes</t>
        </is>
      </c>
      <c r="I3163" t="inlineStr">
        <is>
          <t>1334.17</t>
        </is>
      </c>
      <c r="J3163" t="inlineStr">
        <is>
          <t>world_bank_col_estimate</t>
        </is>
      </c>
      <c r="K3163" t="inlineStr">
        <is>
          <t>https://api.worldbank.org/v2/country/IDN/indicator/NY.GNP.PCAP.PP.CD?format=json&amp;mrv=10</t>
        </is>
      </c>
      <c r="L3163" t="inlineStr">
        <is>
          <t>World Bank WDI: GNI per capita PPP (monthly USD)</t>
        </is>
      </c>
      <c r="M3163" t="inlineStr">
        <is>
          <t>2024-12-31</t>
        </is>
      </c>
      <c r="N3163" t="inlineStr">
        <is>
          <t>auto_ingest=world_bank_col_estimate; gni_annual=16010.0; year=2024; country_proxy=Indonesia; cohort=Southeast Asia</t>
        </is>
      </c>
    </row>
    <row r="3164">
      <c r="A3164" t="inlineStr">
        <is>
          <t>id-surabaya</t>
        </is>
      </c>
      <c r="B3164" t="inlineStr">
        <is>
          <t>Surabaya</t>
        </is>
      </c>
      <c r="C3164" t="inlineStr">
        <is>
          <t>Indonesia</t>
        </is>
      </c>
      <c r="D3164" t="inlineStr">
        <is>
          <t>Southeast Asia</t>
        </is>
      </c>
      <c r="E3164" t="inlineStr">
        <is>
          <t>di_ppp_raw</t>
        </is>
      </c>
      <c r="F3164" t="inlineStr">
        <is>
          <t>Disposable income PPP (Raw)</t>
        </is>
      </c>
      <c r="G3164" t="inlineStr">
        <is>
          <t>pressure</t>
        </is>
      </c>
      <c r="H3164" t="inlineStr">
        <is>
          <t>yes</t>
        </is>
      </c>
      <c r="I3164" t="inlineStr"/>
      <c r="J3164" t="inlineStr"/>
      <c r="K3164" t="inlineStr"/>
      <c r="L3164" t="inlineStr"/>
      <c r="M3164" t="inlineStr"/>
      <c r="N3164" t="inlineStr"/>
    </row>
    <row r="3165">
      <c r="A3165" t="inlineStr">
        <is>
          <t>id-surabaya</t>
        </is>
      </c>
      <c r="B3165" t="inlineStr">
        <is>
          <t>Surabaya</t>
        </is>
      </c>
      <c r="C3165" t="inlineStr">
        <is>
          <t>Indonesia</t>
        </is>
      </c>
      <c r="D3165" t="inlineStr">
        <is>
          <t>Southeast Asia</t>
        </is>
      </c>
      <c r="E3165" t="inlineStr">
        <is>
          <t>rent</t>
        </is>
      </c>
      <c r="F3165" t="inlineStr">
        <is>
          <t>Rent</t>
        </is>
      </c>
      <c r="G3165" t="inlineStr">
        <is>
          <t>pressure</t>
        </is>
      </c>
      <c r="H3165" t="inlineStr">
        <is>
          <t>yes</t>
        </is>
      </c>
      <c r="I3165" t="inlineStr">
        <is>
          <t>200.13</t>
        </is>
      </c>
      <c r="J3165" t="inlineStr">
        <is>
          <t>world_bank_col_estimate</t>
        </is>
      </c>
      <c r="K3165" t="inlineStr">
        <is>
          <t>https://api.worldbank.org/v2/country/IDN/indicator/NY.GNP.PCAP.PP.CD?format=json&amp;mrv=10</t>
        </is>
      </c>
      <c r="L3165" t="inlineStr">
        <is>
          <t>World Bank GNI + regional expenditure ratio estimate</t>
        </is>
      </c>
      <c r="M3165" t="inlineStr">
        <is>
          <t>2024-12-31</t>
        </is>
      </c>
      <c r="N3165" t="inlineStr">
        <is>
          <t>auto_ingest=world_bank_col_estimate; gni_annual=16010.0; year=2024; country_proxy=Indonesia; cohort=Southeast Asia; city_cost_mult=0.75</t>
        </is>
      </c>
    </row>
    <row r="3166">
      <c r="A3166" t="inlineStr">
        <is>
          <t>id-surabaya</t>
        </is>
      </c>
      <c r="B3166" t="inlineStr">
        <is>
          <t>Surabaya</t>
        </is>
      </c>
      <c r="C3166" t="inlineStr">
        <is>
          <t>Indonesia</t>
        </is>
      </c>
      <c r="D3166" t="inlineStr">
        <is>
          <t>Southeast Asia</t>
        </is>
      </c>
      <c r="E3166" t="inlineStr">
        <is>
          <t>utilities</t>
        </is>
      </c>
      <c r="F3166" t="inlineStr">
        <is>
          <t>Utilities</t>
        </is>
      </c>
      <c r="G3166" t="inlineStr">
        <is>
          <t>pressure</t>
        </is>
      </c>
      <c r="H3166" t="inlineStr">
        <is>
          <t>yes</t>
        </is>
      </c>
      <c r="I3166" t="inlineStr">
        <is>
          <t>50.03</t>
        </is>
      </c>
      <c r="J3166" t="inlineStr">
        <is>
          <t>world_bank_col_estimate</t>
        </is>
      </c>
      <c r="K3166" t="inlineStr">
        <is>
          <t>https://api.worldbank.org/v2/country/IDN/indicator/NY.GNP.PCAP.PP.CD?format=json&amp;mrv=10</t>
        </is>
      </c>
      <c r="L3166" t="inlineStr">
        <is>
          <t>World Bank GNI + regional expenditure ratio estimate</t>
        </is>
      </c>
      <c r="M3166" t="inlineStr">
        <is>
          <t>2024-12-31</t>
        </is>
      </c>
      <c r="N3166" t="inlineStr">
        <is>
          <t>auto_ingest=world_bank_col_estimate; gni_annual=16010.0; year=2024; country_proxy=Indonesia; cohort=Southeast Asia; city_cost_mult=0.75</t>
        </is>
      </c>
    </row>
    <row r="3167">
      <c r="A3167" t="inlineStr">
        <is>
          <t>id-surabaya</t>
        </is>
      </c>
      <c r="B3167" t="inlineStr">
        <is>
          <t>Surabaya</t>
        </is>
      </c>
      <c r="C3167" t="inlineStr">
        <is>
          <t>Indonesia</t>
        </is>
      </c>
      <c r="D3167" t="inlineStr">
        <is>
          <t>Southeast Asia</t>
        </is>
      </c>
      <c r="E3167" t="inlineStr">
        <is>
          <t>transit_cost</t>
        </is>
      </c>
      <c r="F3167" t="inlineStr">
        <is>
          <t>Transit cost</t>
        </is>
      </c>
      <c r="G3167" t="inlineStr">
        <is>
          <t>pressure</t>
        </is>
      </c>
      <c r="H3167" t="inlineStr">
        <is>
          <t>yes</t>
        </is>
      </c>
      <c r="I3167" t="inlineStr">
        <is>
          <t>40.03</t>
        </is>
      </c>
      <c r="J3167" t="inlineStr">
        <is>
          <t>world_bank_col_estimate</t>
        </is>
      </c>
      <c r="K3167" t="inlineStr">
        <is>
          <t>https://api.worldbank.org/v2/country/IDN/indicator/NY.GNP.PCAP.PP.CD?format=json&amp;mrv=10</t>
        </is>
      </c>
      <c r="L3167" t="inlineStr">
        <is>
          <t>World Bank GNI + regional expenditure ratio estimate</t>
        </is>
      </c>
      <c r="M3167" t="inlineStr">
        <is>
          <t>2024-12-31</t>
        </is>
      </c>
      <c r="N3167" t="inlineStr">
        <is>
          <t>auto_ingest=world_bank_col_estimate; gni_annual=16010.0; year=2024; country_proxy=Indonesia; cohort=Southeast Asia; city_cost_mult=0.75</t>
        </is>
      </c>
    </row>
    <row r="3168">
      <c r="A3168" t="inlineStr">
        <is>
          <t>id-surabaya</t>
        </is>
      </c>
      <c r="B3168" t="inlineStr">
        <is>
          <t>Surabaya</t>
        </is>
      </c>
      <c r="C3168" t="inlineStr">
        <is>
          <t>Indonesia</t>
        </is>
      </c>
      <c r="D3168" t="inlineStr">
        <is>
          <t>Southeast Asia</t>
        </is>
      </c>
      <c r="E3168" t="inlineStr">
        <is>
          <t>internet_cost</t>
        </is>
      </c>
      <c r="F3168" t="inlineStr">
        <is>
          <t>Internet cost</t>
        </is>
      </c>
      <c r="G3168" t="inlineStr">
        <is>
          <t>pressure</t>
        </is>
      </c>
      <c r="H3168" t="inlineStr">
        <is>
          <t>yes</t>
        </is>
      </c>
      <c r="I3168" t="inlineStr">
        <is>
          <t>15.01</t>
        </is>
      </c>
      <c r="J3168" t="inlineStr">
        <is>
          <t>world_bank_col_estimate</t>
        </is>
      </c>
      <c r="K3168" t="inlineStr">
        <is>
          <t>https://api.worldbank.org/v2/country/IDN/indicator/NY.GNP.PCAP.PP.CD?format=json&amp;mrv=10</t>
        </is>
      </c>
      <c r="L3168" t="inlineStr">
        <is>
          <t>World Bank GNI + regional expenditure ratio estimate</t>
        </is>
      </c>
      <c r="M3168" t="inlineStr">
        <is>
          <t>2024-12-31</t>
        </is>
      </c>
      <c r="N3168" t="inlineStr">
        <is>
          <t>auto_ingest=world_bank_col_estimate; gni_annual=16010.0; year=2024; country_proxy=Indonesia; cohort=Southeast Asia; city_cost_mult=0.75</t>
        </is>
      </c>
    </row>
    <row r="3169">
      <c r="A3169" t="inlineStr">
        <is>
          <t>id-surabaya</t>
        </is>
      </c>
      <c r="B3169" t="inlineStr">
        <is>
          <t>Surabaya</t>
        </is>
      </c>
      <c r="C3169" t="inlineStr">
        <is>
          <t>Indonesia</t>
        </is>
      </c>
      <c r="D3169" t="inlineStr">
        <is>
          <t>Southeast Asia</t>
        </is>
      </c>
      <c r="E3169" t="inlineStr">
        <is>
          <t>food_cost</t>
        </is>
      </c>
      <c r="F3169" t="inlineStr">
        <is>
          <t>Food cost</t>
        </is>
      </c>
      <c r="G3169" t="inlineStr">
        <is>
          <t>pressure</t>
        </is>
      </c>
      <c r="H3169" t="inlineStr">
        <is>
          <t>yes</t>
        </is>
      </c>
      <c r="I3169" t="inlineStr">
        <is>
          <t>220.14</t>
        </is>
      </c>
      <c r="J3169" t="inlineStr">
        <is>
          <t>world_bank_col_estimate</t>
        </is>
      </c>
      <c r="K3169" t="inlineStr">
        <is>
          <t>https://api.worldbank.org/v2/country/IDN/indicator/NY.GNP.PCAP.PP.CD?format=json&amp;mrv=10</t>
        </is>
      </c>
      <c r="L3169" t="inlineStr">
        <is>
          <t>World Bank GNI + regional expenditure ratio estimate</t>
        </is>
      </c>
      <c r="M3169" t="inlineStr">
        <is>
          <t>2024-12-31</t>
        </is>
      </c>
      <c r="N3169" t="inlineStr">
        <is>
          <t>auto_ingest=world_bank_col_estimate; gni_annual=16010.0; year=2024; country_proxy=Indonesia; cohort=Southeast Asia; city_cost_mult=0.75</t>
        </is>
      </c>
    </row>
    <row r="3170">
      <c r="A3170" t="inlineStr">
        <is>
          <t>id-surabaya</t>
        </is>
      </c>
      <c r="B3170" t="inlineStr">
        <is>
          <t>Surabaya</t>
        </is>
      </c>
      <c r="C3170" t="inlineStr">
        <is>
          <t>Indonesia</t>
        </is>
      </c>
      <c r="D3170" t="inlineStr">
        <is>
          <t>Southeast Asia</t>
        </is>
      </c>
      <c r="E3170" t="inlineStr">
        <is>
          <t>housing_burden_raw</t>
        </is>
      </c>
      <c r="F3170" t="inlineStr">
        <is>
          <t>Housing burden raw</t>
        </is>
      </c>
      <c r="G3170" t="inlineStr">
        <is>
          <t>pressure</t>
        </is>
      </c>
      <c r="H3170" t="inlineStr">
        <is>
          <t>yes</t>
        </is>
      </c>
      <c r="I3170" t="inlineStr">
        <is>
          <t>15.0003</t>
        </is>
      </c>
      <c r="J3170" t="inlineStr">
        <is>
          <t>derived</t>
        </is>
      </c>
      <c r="K3170" t="inlineStr">
        <is>
          <t>https://data.worldbank.org/indicator/NY.GNP.PCAP.PP.CD</t>
        </is>
      </c>
      <c r="L3170" t="inlineStr">
        <is>
          <t>Computed from city_inputs + country_context</t>
        </is>
      </c>
      <c r="M3170" t="inlineStr">
        <is>
          <t>2024-01-01</t>
        </is>
      </c>
      <c r="N3170" t="inlineStr">
        <is>
          <t>derived=rent/gross_income*100</t>
        </is>
      </c>
    </row>
    <row r="3171">
      <c r="A3171" t="inlineStr">
        <is>
          <t>id-surabaya</t>
        </is>
      </c>
      <c r="B3171" t="inlineStr">
        <is>
          <t>Surabaya</t>
        </is>
      </c>
      <c r="C3171" t="inlineStr">
        <is>
          <t>Indonesia</t>
        </is>
      </c>
      <c r="D3171" t="inlineStr">
        <is>
          <t>Southeast Asia</t>
        </is>
      </c>
      <c r="E3171" t="inlineStr">
        <is>
          <t>household_debt_burden_raw</t>
        </is>
      </c>
      <c r="F3171" t="inlineStr">
        <is>
          <t>Household debt burden raw</t>
        </is>
      </c>
      <c r="G3171" t="inlineStr">
        <is>
          <t>pressure</t>
        </is>
      </c>
      <c r="H3171" t="inlineStr">
        <is>
          <t>yes</t>
        </is>
      </c>
      <c r="I3171" t="inlineStr">
        <is>
          <t>31.7861</t>
        </is>
      </c>
      <c r="J3171" t="inlineStr">
        <is>
          <t>derived</t>
        </is>
      </c>
      <c r="K3171" t="inlineStr">
        <is>
          <t>https://data.worldbank.org/indicator/NY.GNP.PCAP.PP.CD</t>
        </is>
      </c>
      <c r="L3171" t="inlineStr">
        <is>
          <t>Computed from city_inputs + country_context</t>
        </is>
      </c>
      <c r="M3171" t="inlineStr">
        <is>
          <t>2024-01-01</t>
        </is>
      </c>
      <c r="N3171" t="inlineStr">
        <is>
          <t>derived=country_context.household_debt_proxy; country=Indonesia</t>
        </is>
      </c>
    </row>
    <row r="3172">
      <c r="A3172" t="inlineStr">
        <is>
          <t>id-surabaya</t>
        </is>
      </c>
      <c r="B3172" t="inlineStr">
        <is>
          <t>Surabaya</t>
        </is>
      </c>
      <c r="C3172" t="inlineStr">
        <is>
          <t>Indonesia</t>
        </is>
      </c>
      <c r="D3172" t="inlineStr">
        <is>
          <t>Southeast Asia</t>
        </is>
      </c>
      <c r="E3172" t="inlineStr">
        <is>
          <t>working_time_pressure_raw</t>
        </is>
      </c>
      <c r="F3172" t="inlineStr">
        <is>
          <t>Working time pressure raw</t>
        </is>
      </c>
      <c r="G3172" t="inlineStr">
        <is>
          <t>pressure</t>
        </is>
      </c>
      <c r="H3172" t="inlineStr">
        <is>
          <t>yes</t>
        </is>
      </c>
      <c r="I3172" t="inlineStr">
        <is>
          <t>38.36</t>
        </is>
      </c>
      <c r="J3172" t="inlineStr">
        <is>
          <t>ilo_ilostat</t>
        </is>
      </c>
      <c r="K3172" t="inlineStr">
        <is>
          <t>https://ilostat.ilo.org/data/indicator/?id=HOW_TEMP_SEX_ECO_NB_A&amp;ref_area=IDN</t>
        </is>
      </c>
      <c r="L3172" t="inlineStr">
        <is>
          <t>ILO ILOSTAT: Mean weekly hours actually worked per employed person</t>
        </is>
      </c>
      <c r="M3172" t="inlineStr">
        <is>
          <t>2023-12-31</t>
        </is>
      </c>
      <c r="N3172" t="inlineStr">
        <is>
          <t>auto_ingest=ilo_working_hours; indicator=HOW_TEMP_SEX_ECO_NB_A; year=2023; hours=38.36; country_proxy=Indonesia</t>
        </is>
      </c>
    </row>
    <row r="3173">
      <c r="A3173" t="inlineStr">
        <is>
          <t>id-surabaya</t>
        </is>
      </c>
      <c r="B3173" t="inlineStr">
        <is>
          <t>Surabaya</t>
        </is>
      </c>
      <c r="C3173" t="inlineStr">
        <is>
          <t>Indonesia</t>
        </is>
      </c>
      <c r="D3173" t="inlineStr">
        <is>
          <t>Southeast Asia</t>
        </is>
      </c>
      <c r="E3173" t="inlineStr">
        <is>
          <t>suicide_mental_strain_raw</t>
        </is>
      </c>
      <c r="F3173" t="inlineStr">
        <is>
          <t>Suicide or mental strain raw</t>
        </is>
      </c>
      <c r="G3173" t="inlineStr">
        <is>
          <t>pressure</t>
        </is>
      </c>
      <c r="H3173" t="inlineStr">
        <is>
          <t>yes</t>
        </is>
      </c>
      <c r="I3173" t="inlineStr">
        <is>
          <t>1.2</t>
        </is>
      </c>
      <c r="J3173" t="inlineStr">
        <is>
          <t>who_gho</t>
        </is>
      </c>
      <c r="K3173" t="inlineStr">
        <is>
          <t>https://www.who.int/data/gho/data/indicators/indicator-details/GHO/SDGSUICIDE</t>
        </is>
      </c>
      <c r="L3173" t="inlineStr">
        <is>
          <t>WHO GHO: Age-standardized suicide rate (per 100,000 population)</t>
        </is>
      </c>
      <c r="M3173" t="inlineStr">
        <is>
          <t>2021-12-31</t>
        </is>
      </c>
      <c r="N3173" t="inlineStr">
        <is>
          <t>auto_ingest=who_gho; indicator=SDGSUICIDE; year=2021; country_proxy=Indonesia</t>
        </is>
      </c>
    </row>
    <row r="3174">
      <c r="A3174" t="inlineStr">
        <is>
          <t>id-surabaya</t>
        </is>
      </c>
      <c r="B3174" t="inlineStr">
        <is>
          <t>Surabaya</t>
        </is>
      </c>
      <c r="C3174" t="inlineStr">
        <is>
          <t>Indonesia</t>
        </is>
      </c>
      <c r="D3174" t="inlineStr">
        <is>
          <t>Southeast Asia</t>
        </is>
      </c>
      <c r="E3174" t="inlineStr">
        <is>
          <t>personal_safety_raw</t>
        </is>
      </c>
      <c r="F3174" t="inlineStr">
        <is>
          <t>Personal safety raw</t>
        </is>
      </c>
      <c r="G3174" t="inlineStr">
        <is>
          <t>viability</t>
        </is>
      </c>
      <c r="H3174" t="inlineStr">
        <is>
          <t>yes</t>
        </is>
      </c>
      <c r="I3174" t="inlineStr">
        <is>
          <t>0.3</t>
        </is>
      </c>
      <c r="J3174" t="inlineStr">
        <is>
          <t>world_bank</t>
        </is>
      </c>
      <c r="K3174" t="inlineStr">
        <is>
          <t>https://api.worldbank.org/v2/country/IDN/indicator/VC.IHR.PSRC.P5?format=json&amp;mrv=10</t>
        </is>
      </c>
      <c r="L3174" t="inlineStr">
        <is>
          <t>UNODC via World Bank WDI: Intentional homicides (per 100,000 people)</t>
        </is>
      </c>
      <c r="M3174" t="inlineStr">
        <is>
          <t>2022-12-31</t>
        </is>
      </c>
      <c r="N3174" t="inlineStr">
        <is>
          <t>auto_ingest=unodc_safety; indicator=VC.IHR.PSRC.P5; year=2022; country_proxy=Indonesia</t>
        </is>
      </c>
    </row>
    <row r="3175">
      <c r="A3175" t="inlineStr">
        <is>
          <t>id-surabaya</t>
        </is>
      </c>
      <c r="B3175" t="inlineStr">
        <is>
          <t>Surabaya</t>
        </is>
      </c>
      <c r="C3175" t="inlineStr">
        <is>
          <t>Indonesia</t>
        </is>
      </c>
      <c r="D3175" t="inlineStr">
        <is>
          <t>Southeast Asia</t>
        </is>
      </c>
      <c r="E3175" t="inlineStr">
        <is>
          <t>transit_access_commute_raw</t>
        </is>
      </c>
      <c r="F3175" t="inlineStr">
        <is>
          <t>Transit access and commute raw</t>
        </is>
      </c>
      <c r="G3175" t="inlineStr">
        <is>
          <t>viability</t>
        </is>
      </c>
      <c r="H3175" t="inlineStr">
        <is>
          <t>yes</t>
        </is>
      </c>
      <c r="I3175" t="inlineStr"/>
      <c r="J3175" t="inlineStr"/>
      <c r="K3175" t="inlineStr"/>
      <c r="L3175" t="inlineStr"/>
      <c r="M3175" t="inlineStr"/>
      <c r="N3175" t="inlineStr"/>
    </row>
    <row r="3176">
      <c r="A3176" t="inlineStr">
        <is>
          <t>id-surabaya</t>
        </is>
      </c>
      <c r="B3176" t="inlineStr">
        <is>
          <t>Surabaya</t>
        </is>
      </c>
      <c r="C3176" t="inlineStr">
        <is>
          <t>Indonesia</t>
        </is>
      </c>
      <c r="D3176" t="inlineStr">
        <is>
          <t>Southeast Asia</t>
        </is>
      </c>
      <c r="E3176" t="inlineStr">
        <is>
          <t>clean_air_raw</t>
        </is>
      </c>
      <c r="F3176" t="inlineStr">
        <is>
          <t>Clean air raw</t>
        </is>
      </c>
      <c r="G3176" t="inlineStr">
        <is>
          <t>viability</t>
        </is>
      </c>
      <c r="H3176" t="inlineStr">
        <is>
          <t>yes</t>
        </is>
      </c>
      <c r="I3176" t="inlineStr"/>
      <c r="J3176" t="inlineStr"/>
      <c r="K3176" t="inlineStr"/>
      <c r="L3176" t="inlineStr"/>
      <c r="M3176" t="inlineStr"/>
      <c r="N3176" t="inlineStr"/>
    </row>
    <row r="3177">
      <c r="A3177" t="inlineStr">
        <is>
          <t>id-surabaya</t>
        </is>
      </c>
      <c r="B3177" t="inlineStr">
        <is>
          <t>Surabaya</t>
        </is>
      </c>
      <c r="C3177" t="inlineStr">
        <is>
          <t>Indonesia</t>
        </is>
      </c>
      <c r="D3177" t="inlineStr">
        <is>
          <t>Southeast Asia</t>
        </is>
      </c>
      <c r="E3177" t="inlineStr">
        <is>
          <t>water_sanitation_utility_raw</t>
        </is>
      </c>
      <c r="F3177" t="inlineStr">
        <is>
          <t>Water, sanitation, and utility raw</t>
        </is>
      </c>
      <c r="G3177" t="inlineStr">
        <is>
          <t>viability</t>
        </is>
      </c>
      <c r="H3177" t="inlineStr">
        <is>
          <t>yes</t>
        </is>
      </c>
      <c r="I3177" t="inlineStr">
        <is>
          <t>30.46</t>
        </is>
      </c>
      <c r="J3177" t="inlineStr">
        <is>
          <t>world_bank</t>
        </is>
      </c>
      <c r="K3177" t="inlineStr">
        <is>
          <t>https://api.worldbank.org/v2/country/IDN/indicator/SH.H2O.SMDW.ZS?format=json&amp;mrv=10</t>
        </is>
      </c>
      <c r="L3177" t="inlineStr">
        <is>
          <t>World Bank WDI: People using safely managed drinking water services (% of population)</t>
        </is>
      </c>
      <c r="M3177" t="inlineStr">
        <is>
          <t>2024-12-31</t>
        </is>
      </c>
      <c r="N3177" t="inlineStr">
        <is>
          <t>auto_ingest=world_bank_proxy; indicator=SH.H2O.SMDW.ZS; year=2024; country_proxy=Indonesia</t>
        </is>
      </c>
    </row>
    <row r="3178">
      <c r="A3178" t="inlineStr">
        <is>
          <t>id-surabaya</t>
        </is>
      </c>
      <c r="B3178" t="inlineStr">
        <is>
          <t>Surabaya</t>
        </is>
      </c>
      <c r="C3178" t="inlineStr">
        <is>
          <t>Indonesia</t>
        </is>
      </c>
      <c r="D3178" t="inlineStr">
        <is>
          <t>Southeast Asia</t>
        </is>
      </c>
      <c r="E3178" t="inlineStr">
        <is>
          <t>digital_infrastructure_raw</t>
        </is>
      </c>
      <c r="F3178" t="inlineStr">
        <is>
          <t>Digital infrastructure raw</t>
        </is>
      </c>
      <c r="G3178" t="inlineStr">
        <is>
          <t>viability</t>
        </is>
      </c>
      <c r="H3178" t="inlineStr">
        <is>
          <t>yes</t>
        </is>
      </c>
      <c r="I3178" t="inlineStr">
        <is>
          <t>4.82</t>
        </is>
      </c>
      <c r="J3178" t="inlineStr">
        <is>
          <t>world_bank</t>
        </is>
      </c>
      <c r="K3178" t="inlineStr">
        <is>
          <t>https://api.worldbank.org/v2/country/IDN/indicator/IT.NET.BBND.P2?format=json&amp;mrv=10</t>
        </is>
      </c>
      <c r="L3178" t="inlineStr">
        <is>
          <t>World Bank WDI: Fixed broadband subscriptions (per 100 people)</t>
        </is>
      </c>
      <c r="M3178" t="inlineStr">
        <is>
          <t>2023-12-31</t>
        </is>
      </c>
      <c r="N3178" t="inlineStr">
        <is>
          <t>auto_ingest=world_bank_proxy; indicator=IT.NET.BBND.P2; year=2023; country_proxy=Indonesia</t>
        </is>
      </c>
    </row>
    <row r="3179">
      <c r="A3179" t="inlineStr">
        <is>
          <t>id-surabaya</t>
        </is>
      </c>
      <c r="B3179" t="inlineStr">
        <is>
          <t>Surabaya</t>
        </is>
      </c>
      <c r="C3179" t="inlineStr">
        <is>
          <t>Indonesia</t>
        </is>
      </c>
      <c r="D3179" t="inlineStr">
        <is>
          <t>Southeast Asia</t>
        </is>
      </c>
      <c r="E3179" t="inlineStr">
        <is>
          <t>climate_sunlight_livability_raw</t>
        </is>
      </c>
      <c r="F3179" t="inlineStr">
        <is>
          <t>Climate and sunlight livability raw</t>
        </is>
      </c>
      <c r="G3179" t="inlineStr">
        <is>
          <t>viability</t>
        </is>
      </c>
      <c r="H3179" t="inlineStr">
        <is>
          <t>yes</t>
        </is>
      </c>
      <c r="I3179" t="inlineStr"/>
      <c r="J3179" t="inlineStr"/>
      <c r="K3179" t="inlineStr"/>
      <c r="L3179" t="inlineStr"/>
      <c r="M3179" t="inlineStr"/>
      <c r="N3179" t="inlineStr"/>
    </row>
    <row r="3180">
      <c r="A3180" t="inlineStr">
        <is>
          <t>id-surabaya</t>
        </is>
      </c>
      <c r="B3180" t="inlineStr">
        <is>
          <t>Surabaya</t>
        </is>
      </c>
      <c r="C3180" t="inlineStr">
        <is>
          <t>Indonesia</t>
        </is>
      </c>
      <c r="D3180" t="inlineStr">
        <is>
          <t>Southeast Asia</t>
        </is>
      </c>
      <c r="E3180" t="inlineStr">
        <is>
          <t>healthcare_quality_raw</t>
        </is>
      </c>
      <c r="F3180" t="inlineStr">
        <is>
          <t>Healthcare quality raw</t>
        </is>
      </c>
      <c r="G3180" t="inlineStr">
        <is>
          <t>capability</t>
        </is>
      </c>
      <c r="H3180" t="inlineStr">
        <is>
          <t>yes</t>
        </is>
      </c>
      <c r="I3180" t="inlineStr">
        <is>
          <t>67.0</t>
        </is>
      </c>
      <c r="J3180" t="inlineStr">
        <is>
          <t>who_gho</t>
        </is>
      </c>
      <c r="K3180" t="inlineStr">
        <is>
          <t>https://www.who.int/data/gho/data/indicators/indicator-details/GHO/UHC_INDEX_REPORTED</t>
        </is>
      </c>
      <c r="L3180" t="inlineStr">
        <is>
          <t>WHO GHO: UHC Service Coverage Index</t>
        </is>
      </c>
      <c r="M3180" t="inlineStr">
        <is>
          <t>2023-12-31</t>
        </is>
      </c>
      <c r="N3180" t="inlineStr">
        <is>
          <t>auto_ingest=who_gho; indicator=UHC_INDEX_REPORTED; year=2023; country_proxy=Indonesia</t>
        </is>
      </c>
    </row>
    <row r="3181">
      <c r="A3181" t="inlineStr">
        <is>
          <t>id-surabaya</t>
        </is>
      </c>
      <c r="B3181" t="inlineStr">
        <is>
          <t>Surabaya</t>
        </is>
      </c>
      <c r="C3181" t="inlineStr">
        <is>
          <t>Indonesia</t>
        </is>
      </c>
      <c r="D3181" t="inlineStr">
        <is>
          <t>Southeast Asia</t>
        </is>
      </c>
      <c r="E3181" t="inlineStr">
        <is>
          <t>education_quality_raw</t>
        </is>
      </c>
      <c r="F3181" t="inlineStr">
        <is>
          <t>Education quality raw</t>
        </is>
      </c>
      <c r="G3181" t="inlineStr">
        <is>
          <t>capability</t>
        </is>
      </c>
      <c r="H3181" t="inlineStr">
        <is>
          <t>yes</t>
        </is>
      </c>
      <c r="I3181" t="inlineStr">
        <is>
          <t>44.88</t>
        </is>
      </c>
      <c r="J3181" t="inlineStr">
        <is>
          <t>world_bank</t>
        </is>
      </c>
      <c r="K3181" t="inlineStr">
        <is>
          <t>https://api.worldbank.org/v2/country/IDN/indicator/SE.TER.ENRR?format=json&amp;mrv=10</t>
        </is>
      </c>
      <c r="L3181" t="inlineStr">
        <is>
          <t>World Bank WDI: School enrollment, tertiary (% gross)</t>
        </is>
      </c>
      <c r="M3181" t="inlineStr">
        <is>
          <t>2023-12-31</t>
        </is>
      </c>
      <c r="N3181" t="inlineStr">
        <is>
          <t>auto_ingest=world_bank_proxy; indicator=SE.TER.ENRR; year=2023; country_proxy=Indonesia</t>
        </is>
      </c>
    </row>
    <row r="3182">
      <c r="A3182" t="inlineStr">
        <is>
          <t>id-surabaya</t>
        </is>
      </c>
      <c r="B3182" t="inlineStr">
        <is>
          <t>Surabaya</t>
        </is>
      </c>
      <c r="C3182" t="inlineStr">
        <is>
          <t>Indonesia</t>
        </is>
      </c>
      <c r="D3182" t="inlineStr">
        <is>
          <t>Southeast Asia</t>
        </is>
      </c>
      <c r="E3182" t="inlineStr">
        <is>
          <t>equal_opportunity_raw</t>
        </is>
      </c>
      <c r="F3182" t="inlineStr">
        <is>
          <t>Equal opportunity raw</t>
        </is>
      </c>
      <c r="G3182" t="inlineStr">
        <is>
          <t>capability</t>
        </is>
      </c>
      <c r="H3182" t="inlineStr">
        <is>
          <t>yes</t>
        </is>
      </c>
      <c r="I3182" t="inlineStr">
        <is>
          <t>34.9</t>
        </is>
      </c>
      <c r="J3182" t="inlineStr">
        <is>
          <t>world_bank</t>
        </is>
      </c>
      <c r="K3182" t="inlineStr">
        <is>
          <t>https://api.worldbank.org/v2/country/IDN/indicator/SI.POV.GINI?format=json&amp;mrv=10</t>
        </is>
      </c>
      <c r="L3182" t="inlineStr">
        <is>
          <t>World Bank WDI: Gini index</t>
        </is>
      </c>
      <c r="M3182" t="inlineStr">
        <is>
          <t>2024-12-31</t>
        </is>
      </c>
      <c r="N3182" t="inlineStr">
        <is>
          <t>auto_ingest=world_bank_capability; indicator=SI.POV.GINI; year=2024; country_proxy=Indonesia</t>
        </is>
      </c>
    </row>
    <row r="3183">
      <c r="A3183" t="inlineStr">
        <is>
          <t>id-surabaya</t>
        </is>
      </c>
      <c r="B3183" t="inlineStr">
        <is>
          <t>Surabaya</t>
        </is>
      </c>
      <c r="C3183" t="inlineStr">
        <is>
          <t>Indonesia</t>
        </is>
      </c>
      <c r="D3183" t="inlineStr">
        <is>
          <t>Southeast Asia</t>
        </is>
      </c>
      <c r="E3183" t="inlineStr">
        <is>
          <t>hospitality_belonging_raw</t>
        </is>
      </c>
      <c r="F3183" t="inlineStr">
        <is>
          <t>Hospitality and belonging raw</t>
        </is>
      </c>
      <c r="G3183" t="inlineStr">
        <is>
          <t>community</t>
        </is>
      </c>
      <c r="H3183" t="inlineStr">
        <is>
          <t>yes</t>
        </is>
      </c>
      <c r="I3183" t="inlineStr">
        <is>
          <t>49.86</t>
        </is>
      </c>
      <c r="J3183" t="inlineStr">
        <is>
          <t>world_bank</t>
        </is>
      </c>
      <c r="K3183" t="inlineStr">
        <is>
          <t>https://api.worldbank.org/v2/country/IDN/indicator/SM.POP.NETM?format=json&amp;mrv=10</t>
        </is>
      </c>
      <c r="L3183" t="inlineStr">
        <is>
          <t>World Bank WDI: Net migration (proxy for hospitality/belonging — positive = welcoming)</t>
        </is>
      </c>
      <c r="M3183" t="inlineStr">
        <is>
          <t>2025-12-31</t>
        </is>
      </c>
      <c r="N3183" t="inlineStr">
        <is>
          <t>auto_ingest=world_bank_proxy; proxy=net_migration_hospitality; indicator=SM.POP.NETM; year=2025; country_proxy=Indonesia</t>
        </is>
      </c>
    </row>
    <row r="3184">
      <c r="A3184" t="inlineStr">
        <is>
          <t>id-surabaya</t>
        </is>
      </c>
      <c r="B3184" t="inlineStr">
        <is>
          <t>Surabaya</t>
        </is>
      </c>
      <c r="C3184" t="inlineStr">
        <is>
          <t>Indonesia</t>
        </is>
      </c>
      <c r="D3184" t="inlineStr">
        <is>
          <t>Southeast Asia</t>
        </is>
      </c>
      <c r="E3184" t="inlineStr">
        <is>
          <t>tolerance_pluralism_raw</t>
        </is>
      </c>
      <c r="F3184" t="inlineStr">
        <is>
          <t>Tolerance and pluralism raw</t>
        </is>
      </c>
      <c r="G3184" t="inlineStr">
        <is>
          <t>community</t>
        </is>
      </c>
      <c r="H3184" t="inlineStr">
        <is>
          <t>yes</t>
        </is>
      </c>
      <c r="I3184" t="inlineStr">
        <is>
          <t>21.03</t>
        </is>
      </c>
      <c r="J3184" t="inlineStr">
        <is>
          <t>world_bank</t>
        </is>
      </c>
      <c r="K3184" t="inlineStr">
        <is>
          <t>https://api.worldbank.org/v2/country/IDN/indicator/SG.GEN.PARL.ZS?format=json&amp;mrv=10</t>
        </is>
      </c>
      <c r="L3184" t="inlineStr">
        <is>
          <t>World Bank WDI: Proportion of seats held by women in national parliaments (%)</t>
        </is>
      </c>
      <c r="M3184" t="inlineStr">
        <is>
          <t>2024-12-31</t>
        </is>
      </c>
      <c r="N3184" t="inlineStr">
        <is>
          <t>auto_ingest=world_bank_proxy; proxy=gender_parity_parliament; indicator=SG.GEN.PARL.ZS; year=2024; country_proxy=Indonesia</t>
        </is>
      </c>
    </row>
    <row r="3185">
      <c r="A3185" t="inlineStr">
        <is>
          <t>id-surabaya</t>
        </is>
      </c>
      <c r="B3185" t="inlineStr">
        <is>
          <t>Surabaya</t>
        </is>
      </c>
      <c r="C3185" t="inlineStr">
        <is>
          <t>Indonesia</t>
        </is>
      </c>
      <c r="D3185" t="inlineStr">
        <is>
          <t>Southeast Asia</t>
        </is>
      </c>
      <c r="E3185" t="inlineStr">
        <is>
          <t>cultural_public_life_raw</t>
        </is>
      </c>
      <c r="F3185" t="inlineStr">
        <is>
          <t>Cultural public life raw</t>
        </is>
      </c>
      <c r="G3185" t="inlineStr">
        <is>
          <t>community</t>
        </is>
      </c>
      <c r="H3185" t="inlineStr">
        <is>
          <t>yes</t>
        </is>
      </c>
      <c r="I3185" t="inlineStr">
        <is>
          <t>14.3</t>
        </is>
      </c>
      <c r="J3185" t="inlineStr">
        <is>
          <t>world_bank</t>
        </is>
      </c>
      <c r="K3185" t="inlineStr">
        <is>
          <t>https://api.worldbank.org/v2/country/IDN/indicator/ST.INT.ARVL?format=json&amp;mrv=10</t>
        </is>
      </c>
      <c r="L3185" t="inlineStr">
        <is>
          <t>World Bank WDI: International tourism arrivals per 1 000 population</t>
        </is>
      </c>
      <c r="M3185" t="inlineStr">
        <is>
          <t>2020-12-31</t>
        </is>
      </c>
      <c r="N3185" t="inlineStr">
        <is>
          <t>auto_ingest=cultural_life_proxy; indicator=ST.INT.ARVL; norm=per_1000_pop; year=2020; country_proxy=Indonesia</t>
        </is>
      </c>
    </row>
    <row r="3186">
      <c r="A3186" t="inlineStr">
        <is>
          <t>id-surabaya</t>
        </is>
      </c>
      <c r="B3186" t="inlineStr">
        <is>
          <t>Surabaya</t>
        </is>
      </c>
      <c r="C3186" t="inlineStr">
        <is>
          <t>Indonesia</t>
        </is>
      </c>
      <c r="D3186" t="inlineStr">
        <is>
          <t>Southeast Asia</t>
        </is>
      </c>
      <c r="E3186" t="inlineStr">
        <is>
          <t>birth_rate_optimism_raw</t>
        </is>
      </c>
      <c r="F3186" t="inlineStr">
        <is>
          <t>Birth rate and societal optimism raw</t>
        </is>
      </c>
      <c r="G3186" t="inlineStr">
        <is>
          <t>community</t>
        </is>
      </c>
      <c r="H3186" t="inlineStr">
        <is>
          <t>yes</t>
        </is>
      </c>
      <c r="I3186" t="inlineStr"/>
      <c r="J3186" t="inlineStr"/>
      <c r="K3186" t="inlineStr"/>
      <c r="L3186" t="inlineStr"/>
      <c r="M3186" t="inlineStr"/>
      <c r="N3186" t="inlineStr"/>
    </row>
    <row r="3187">
      <c r="A3187" t="inlineStr">
        <is>
          <t>id-surabaya</t>
        </is>
      </c>
      <c r="B3187" t="inlineStr">
        <is>
          <t>Surabaya</t>
        </is>
      </c>
      <c r="C3187" t="inlineStr">
        <is>
          <t>Indonesia</t>
        </is>
      </c>
      <c r="D3187" t="inlineStr">
        <is>
          <t>Southeast Asia</t>
        </is>
      </c>
      <c r="E3187" t="inlineStr">
        <is>
          <t>entrepreneurial_dynamism_raw</t>
        </is>
      </c>
      <c r="F3187" t="inlineStr">
        <is>
          <t>Entrepreneurial dynamism raw</t>
        </is>
      </c>
      <c r="G3187" t="inlineStr">
        <is>
          <t>creative</t>
        </is>
      </c>
      <c r="H3187" t="inlineStr">
        <is>
          <t>yes</t>
        </is>
      </c>
      <c r="I3187" t="inlineStr">
        <is>
          <t>0.33</t>
        </is>
      </c>
      <c r="J3187" t="inlineStr">
        <is>
          <t>world_bank</t>
        </is>
      </c>
      <c r="K3187" t="inlineStr">
        <is>
          <t>https://api.worldbank.org/v2/country/IDN/indicator/IC.BUS.NDNS.ZS?format=json&amp;mrv=10</t>
        </is>
      </c>
      <c r="L3187" t="inlineStr">
        <is>
          <t>World Bank WDI: New business density (new registrations per 1,000 people ages 15-64)</t>
        </is>
      </c>
      <c r="M3187" t="inlineStr">
        <is>
          <t>2016-12-31</t>
        </is>
      </c>
      <c r="N3187" t="inlineStr">
        <is>
          <t>auto_ingest=world_bank_creative_extended; indicator=IC.BUS.NDNS.ZS; year=2016; country_proxy=Indonesia</t>
        </is>
      </c>
    </row>
    <row r="3188">
      <c r="A3188" t="inlineStr">
        <is>
          <t>id-surabaya</t>
        </is>
      </c>
      <c r="B3188" t="inlineStr">
        <is>
          <t>Surabaya</t>
        </is>
      </c>
      <c r="C3188" t="inlineStr">
        <is>
          <t>Indonesia</t>
        </is>
      </c>
      <c r="D3188" t="inlineStr">
        <is>
          <t>Southeast Asia</t>
        </is>
      </c>
      <c r="E3188" t="inlineStr">
        <is>
          <t>innovation_research_intensity_raw</t>
        </is>
      </c>
      <c r="F3188" t="inlineStr">
        <is>
          <t>Innovation and research raw</t>
        </is>
      </c>
      <c r="G3188" t="inlineStr">
        <is>
          <t>creative</t>
        </is>
      </c>
      <c r="H3188" t="inlineStr">
        <is>
          <t>yes</t>
        </is>
      </c>
      <c r="I3188" t="inlineStr">
        <is>
          <t>0.28</t>
        </is>
      </c>
      <c r="J3188" t="inlineStr">
        <is>
          <t>world_bank</t>
        </is>
      </c>
      <c r="K3188" t="inlineStr">
        <is>
          <t>https://api.worldbank.org/v2/country/IDN/indicator/GB.XPD.RSDV.GD.ZS?format=json&amp;mrv=10</t>
        </is>
      </c>
      <c r="L3188" t="inlineStr">
        <is>
          <t>World Bank WDI: Research and development expenditure (% of GDP)</t>
        </is>
      </c>
      <c r="M3188" t="inlineStr">
        <is>
          <t>2020-12-31</t>
        </is>
      </c>
      <c r="N3188" t="inlineStr">
        <is>
          <t>auto_ingest=world_bank_creative_extended; indicator=GB.XPD.RSDV.GD.ZS; year=2020; country_proxy=Indonesia</t>
        </is>
      </c>
    </row>
    <row r="3189">
      <c r="A3189" t="inlineStr">
        <is>
          <t>id-surabaya</t>
        </is>
      </c>
      <c r="B3189" t="inlineStr">
        <is>
          <t>Surabaya</t>
        </is>
      </c>
      <c r="C3189" t="inlineStr">
        <is>
          <t>Indonesia</t>
        </is>
      </c>
      <c r="D3189" t="inlineStr">
        <is>
          <t>Southeast Asia</t>
        </is>
      </c>
      <c r="E3189" t="inlineStr">
        <is>
          <t>investment_signal_raw</t>
        </is>
      </c>
      <c r="F3189" t="inlineStr">
        <is>
          <t>Investment signal raw</t>
        </is>
      </c>
      <c r="G3189" t="inlineStr">
        <is>
          <t>creative</t>
        </is>
      </c>
      <c r="H3189" t="inlineStr">
        <is>
          <t>yes</t>
        </is>
      </c>
      <c r="I3189" t="inlineStr">
        <is>
          <t>1.74</t>
        </is>
      </c>
      <c r="J3189" t="inlineStr">
        <is>
          <t>world_bank</t>
        </is>
      </c>
      <c r="K3189" t="inlineStr">
        <is>
          <t>https://api.worldbank.org/v2/country/IDN/indicator/BX.KLT.DINV.WD.GD.ZS?format=json&amp;mrv=10</t>
        </is>
      </c>
      <c r="L3189" t="inlineStr">
        <is>
          <t>World Bank WDI: Foreign direct investment, net inflows (% of GDP)</t>
        </is>
      </c>
      <c r="M3189" t="inlineStr">
        <is>
          <t>2024-12-31</t>
        </is>
      </c>
      <c r="N3189" t="inlineStr">
        <is>
          <t>auto_ingest=world_bank_creative_extended; indicator=BX.KLT.DINV.WD.GD.ZS; year=2024; country_proxy=Indonesia</t>
        </is>
      </c>
    </row>
    <row r="3190">
      <c r="A3190" t="inlineStr">
        <is>
          <t>id-surabaya</t>
        </is>
      </c>
      <c r="B3190" t="inlineStr">
        <is>
          <t>Surabaya</t>
        </is>
      </c>
      <c r="C3190" t="inlineStr">
        <is>
          <t>Indonesia</t>
        </is>
      </c>
      <c r="D3190" t="inlineStr">
        <is>
          <t>Southeast Asia</t>
        </is>
      </c>
      <c r="E3190" t="inlineStr">
        <is>
          <t>administrative_investment_friction_raw</t>
        </is>
      </c>
      <c r="F3190" t="inlineStr">
        <is>
          <t>Administrative investment friction raw</t>
        </is>
      </c>
      <c r="G3190" t="inlineStr">
        <is>
          <t>creative</t>
        </is>
      </c>
      <c r="H3190" t="inlineStr">
        <is>
          <t>yes</t>
        </is>
      </c>
      <c r="I3190" t="inlineStr">
        <is>
          <t>2.2</t>
        </is>
      </c>
      <c r="J3190" t="inlineStr">
        <is>
          <t>world_bank</t>
        </is>
      </c>
      <c r="K3190" t="inlineStr">
        <is>
          <t>https://api.worldbank.org/v2/country/IDN/indicator/RQ.EST?format=json&amp;mrv=10</t>
        </is>
      </c>
      <c r="L3190" t="inlineStr">
        <is>
          <t>World Bank WGI: Regulatory Quality (inverted as friction proxy)</t>
        </is>
      </c>
      <c r="M3190" t="inlineStr">
        <is>
          <t>2023-12-31</t>
        </is>
      </c>
      <c r="N3190" t="inlineStr">
        <is>
          <t>auto_ingest=world_bank_business_friction; indicator=RQ.EST; raw_rq=0.301378756761551; friction=2.2; year=2023; country_proxy=Indonesia</t>
        </is>
      </c>
    </row>
    <row r="3191">
      <c r="A3191" t="inlineStr">
        <is>
          <t>id-surabaya</t>
        </is>
      </c>
      <c r="B3191" t="inlineStr">
        <is>
          <t>Surabaya</t>
        </is>
      </c>
      <c r="C3191" t="inlineStr">
        <is>
          <t>Indonesia</t>
        </is>
      </c>
      <c r="D3191" t="inlineStr">
        <is>
          <t>Southeast Asia</t>
        </is>
      </c>
      <c r="E3191" t="inlineStr">
        <is>
          <t>visitor_flow_context_raw</t>
        </is>
      </c>
      <c r="F3191" t="inlineStr">
        <is>
          <t>Visitor flow context raw</t>
        </is>
      </c>
      <c r="G3191" t="inlineStr">
        <is>
          <t>creative</t>
        </is>
      </c>
      <c r="H3191" t="inlineStr">
        <is>
          <t>no</t>
        </is>
      </c>
      <c r="I3191" t="inlineStr"/>
      <c r="J3191" t="inlineStr"/>
      <c r="K3191" t="inlineStr"/>
      <c r="L3191" t="inlineStr"/>
      <c r="M3191" t="inlineStr"/>
      <c r="N3191" t="inlineStr"/>
    </row>
    <row r="3192">
      <c r="A3192" t="inlineStr">
        <is>
          <t>ph-cebu-city</t>
        </is>
      </c>
      <c r="B3192" t="inlineStr">
        <is>
          <t>Cebu City</t>
        </is>
      </c>
      <c r="C3192" t="inlineStr">
        <is>
          <t>Philippines</t>
        </is>
      </c>
      <c r="D3192" t="inlineStr">
        <is>
          <t>Southeast Asia</t>
        </is>
      </c>
      <c r="E3192" t="inlineStr">
        <is>
          <t>gross_income</t>
        </is>
      </c>
      <c r="F3192" t="inlineStr">
        <is>
          <t>Gross income</t>
        </is>
      </c>
      <c r="G3192" t="inlineStr">
        <is>
          <t>pressure</t>
        </is>
      </c>
      <c r="H3192" t="inlineStr">
        <is>
          <t>yes</t>
        </is>
      </c>
      <c r="I3192" t="inlineStr">
        <is>
          <t>1110.83</t>
        </is>
      </c>
      <c r="J3192" t="inlineStr">
        <is>
          <t>world_bank_col_estimate</t>
        </is>
      </c>
      <c r="K3192" t="inlineStr">
        <is>
          <t>https://api.worldbank.org/v2/country/PHL/indicator/NY.GNP.PCAP.PP.CD?format=json&amp;mrv=10</t>
        </is>
      </c>
      <c r="L3192" t="inlineStr">
        <is>
          <t>World Bank WDI: GNI per capita PPP (monthly USD)</t>
        </is>
      </c>
      <c r="M3192" t="inlineStr">
        <is>
          <t>2024-12-31</t>
        </is>
      </c>
      <c r="N3192" t="inlineStr">
        <is>
          <t>auto_ingest=world_bank_col_estimate; gni_annual=13330.0; year=2024; country_proxy=Philippines; cohort=Southeast Asia</t>
        </is>
      </c>
    </row>
    <row r="3193">
      <c r="A3193" t="inlineStr">
        <is>
          <t>ph-cebu-city</t>
        </is>
      </c>
      <c r="B3193" t="inlineStr">
        <is>
          <t>Cebu City</t>
        </is>
      </c>
      <c r="C3193" t="inlineStr">
        <is>
          <t>Philippines</t>
        </is>
      </c>
      <c r="D3193" t="inlineStr">
        <is>
          <t>Southeast Asia</t>
        </is>
      </c>
      <c r="E3193" t="inlineStr">
        <is>
          <t>di_ppp_raw</t>
        </is>
      </c>
      <c r="F3193" t="inlineStr">
        <is>
          <t>Disposable income PPP (Raw)</t>
        </is>
      </c>
      <c r="G3193" t="inlineStr">
        <is>
          <t>pressure</t>
        </is>
      </c>
      <c r="H3193" t="inlineStr">
        <is>
          <t>yes</t>
        </is>
      </c>
      <c r="I3193" t="inlineStr"/>
      <c r="J3193" t="inlineStr"/>
      <c r="K3193" t="inlineStr"/>
      <c r="L3193" t="inlineStr"/>
      <c r="M3193" t="inlineStr"/>
      <c r="N3193" t="inlineStr"/>
    </row>
    <row r="3194">
      <c r="A3194" t="inlineStr">
        <is>
          <t>ph-cebu-city</t>
        </is>
      </c>
      <c r="B3194" t="inlineStr">
        <is>
          <t>Cebu City</t>
        </is>
      </c>
      <c r="C3194" t="inlineStr">
        <is>
          <t>Philippines</t>
        </is>
      </c>
      <c r="D3194" t="inlineStr">
        <is>
          <t>Southeast Asia</t>
        </is>
      </c>
      <c r="E3194" t="inlineStr">
        <is>
          <t>rent</t>
        </is>
      </c>
      <c r="F3194" t="inlineStr">
        <is>
          <t>Rent</t>
        </is>
      </c>
      <c r="G3194" t="inlineStr">
        <is>
          <t>pressure</t>
        </is>
      </c>
      <c r="H3194" t="inlineStr">
        <is>
          <t>yes</t>
        </is>
      </c>
      <c r="I3194" t="inlineStr">
        <is>
          <t>177.73</t>
        </is>
      </c>
      <c r="J3194" t="inlineStr">
        <is>
          <t>world_bank_col_estimate</t>
        </is>
      </c>
      <c r="K3194" t="inlineStr">
        <is>
          <t>https://api.worldbank.org/v2/country/PHL/indicator/NY.GNP.PCAP.PP.CD?format=json&amp;mrv=10</t>
        </is>
      </c>
      <c r="L3194" t="inlineStr">
        <is>
          <t>World Bank GNI + regional expenditure ratio estimate</t>
        </is>
      </c>
      <c r="M3194" t="inlineStr">
        <is>
          <t>2024-12-31</t>
        </is>
      </c>
      <c r="N3194" t="inlineStr">
        <is>
          <t>auto_ingest=world_bank_col_estimate; gni_annual=13330.0; year=2024; country_proxy=Philippines; cohort=Southeast Asia; city_cost_mult=0.8</t>
        </is>
      </c>
    </row>
    <row r="3195">
      <c r="A3195" t="inlineStr">
        <is>
          <t>ph-cebu-city</t>
        </is>
      </c>
      <c r="B3195" t="inlineStr">
        <is>
          <t>Cebu City</t>
        </is>
      </c>
      <c r="C3195" t="inlineStr">
        <is>
          <t>Philippines</t>
        </is>
      </c>
      <c r="D3195" t="inlineStr">
        <is>
          <t>Southeast Asia</t>
        </is>
      </c>
      <c r="E3195" t="inlineStr">
        <is>
          <t>utilities</t>
        </is>
      </c>
      <c r="F3195" t="inlineStr">
        <is>
          <t>Utilities</t>
        </is>
      </c>
      <c r="G3195" t="inlineStr">
        <is>
          <t>pressure</t>
        </is>
      </c>
      <c r="H3195" t="inlineStr">
        <is>
          <t>yes</t>
        </is>
      </c>
      <c r="I3195" t="inlineStr">
        <is>
          <t>44.43</t>
        </is>
      </c>
      <c r="J3195" t="inlineStr">
        <is>
          <t>world_bank_col_estimate</t>
        </is>
      </c>
      <c r="K3195" t="inlineStr">
        <is>
          <t>https://api.worldbank.org/v2/country/PHL/indicator/NY.GNP.PCAP.PP.CD?format=json&amp;mrv=10</t>
        </is>
      </c>
      <c r="L3195" t="inlineStr">
        <is>
          <t>World Bank GNI + regional expenditure ratio estimate</t>
        </is>
      </c>
      <c r="M3195" t="inlineStr">
        <is>
          <t>2024-12-31</t>
        </is>
      </c>
      <c r="N3195" t="inlineStr">
        <is>
          <t>auto_ingest=world_bank_col_estimate; gni_annual=13330.0; year=2024; country_proxy=Philippines; cohort=Southeast Asia; city_cost_mult=0.8</t>
        </is>
      </c>
    </row>
    <row r="3196">
      <c r="A3196" t="inlineStr">
        <is>
          <t>ph-cebu-city</t>
        </is>
      </c>
      <c r="B3196" t="inlineStr">
        <is>
          <t>Cebu City</t>
        </is>
      </c>
      <c r="C3196" t="inlineStr">
        <is>
          <t>Philippines</t>
        </is>
      </c>
      <c r="D3196" t="inlineStr">
        <is>
          <t>Southeast Asia</t>
        </is>
      </c>
      <c r="E3196" t="inlineStr">
        <is>
          <t>transit_cost</t>
        </is>
      </c>
      <c r="F3196" t="inlineStr">
        <is>
          <t>Transit cost</t>
        </is>
      </c>
      <c r="G3196" t="inlineStr">
        <is>
          <t>pressure</t>
        </is>
      </c>
      <c r="H3196" t="inlineStr">
        <is>
          <t>yes</t>
        </is>
      </c>
      <c r="I3196" t="inlineStr">
        <is>
          <t>35.55</t>
        </is>
      </c>
      <c r="J3196" t="inlineStr">
        <is>
          <t>world_bank_col_estimate</t>
        </is>
      </c>
      <c r="K3196" t="inlineStr">
        <is>
          <t>https://api.worldbank.org/v2/country/PHL/indicator/NY.GNP.PCAP.PP.CD?format=json&amp;mrv=10</t>
        </is>
      </c>
      <c r="L3196" t="inlineStr">
        <is>
          <t>World Bank GNI + regional expenditure ratio estimate</t>
        </is>
      </c>
      <c r="M3196" t="inlineStr">
        <is>
          <t>2024-12-31</t>
        </is>
      </c>
      <c r="N3196" t="inlineStr">
        <is>
          <t>auto_ingest=world_bank_col_estimate; gni_annual=13330.0; year=2024; country_proxy=Philippines; cohort=Southeast Asia; city_cost_mult=0.8</t>
        </is>
      </c>
    </row>
    <row r="3197">
      <c r="A3197" t="inlineStr">
        <is>
          <t>ph-cebu-city</t>
        </is>
      </c>
      <c r="B3197" t="inlineStr">
        <is>
          <t>Cebu City</t>
        </is>
      </c>
      <c r="C3197" t="inlineStr">
        <is>
          <t>Philippines</t>
        </is>
      </c>
      <c r="D3197" t="inlineStr">
        <is>
          <t>Southeast Asia</t>
        </is>
      </c>
      <c r="E3197" t="inlineStr">
        <is>
          <t>internet_cost</t>
        </is>
      </c>
      <c r="F3197" t="inlineStr">
        <is>
          <t>Internet cost</t>
        </is>
      </c>
      <c r="G3197" t="inlineStr">
        <is>
          <t>pressure</t>
        </is>
      </c>
      <c r="H3197" t="inlineStr">
        <is>
          <t>yes</t>
        </is>
      </c>
      <c r="I3197" t="inlineStr">
        <is>
          <t>13.33</t>
        </is>
      </c>
      <c r="J3197" t="inlineStr">
        <is>
          <t>world_bank_col_estimate</t>
        </is>
      </c>
      <c r="K3197" t="inlineStr">
        <is>
          <t>https://api.worldbank.org/v2/country/PHL/indicator/NY.GNP.PCAP.PP.CD?format=json&amp;mrv=10</t>
        </is>
      </c>
      <c r="L3197" t="inlineStr">
        <is>
          <t>World Bank GNI + regional expenditure ratio estimate</t>
        </is>
      </c>
      <c r="M3197" t="inlineStr">
        <is>
          <t>2024-12-31</t>
        </is>
      </c>
      <c r="N3197" t="inlineStr">
        <is>
          <t>auto_ingest=world_bank_col_estimate; gni_annual=13330.0; year=2024; country_proxy=Philippines; cohort=Southeast Asia; city_cost_mult=0.8</t>
        </is>
      </c>
    </row>
    <row r="3198">
      <c r="A3198" t="inlineStr">
        <is>
          <t>ph-cebu-city</t>
        </is>
      </c>
      <c r="B3198" t="inlineStr">
        <is>
          <t>Cebu City</t>
        </is>
      </c>
      <c r="C3198" t="inlineStr">
        <is>
          <t>Philippines</t>
        </is>
      </c>
      <c r="D3198" t="inlineStr">
        <is>
          <t>Southeast Asia</t>
        </is>
      </c>
      <c r="E3198" t="inlineStr">
        <is>
          <t>food_cost</t>
        </is>
      </c>
      <c r="F3198" t="inlineStr">
        <is>
          <t>Food cost</t>
        </is>
      </c>
      <c r="G3198" t="inlineStr">
        <is>
          <t>pressure</t>
        </is>
      </c>
      <c r="H3198" t="inlineStr">
        <is>
          <t>yes</t>
        </is>
      </c>
      <c r="I3198" t="inlineStr">
        <is>
          <t>195.51</t>
        </is>
      </c>
      <c r="J3198" t="inlineStr">
        <is>
          <t>world_bank_col_estimate</t>
        </is>
      </c>
      <c r="K3198" t="inlineStr">
        <is>
          <t>https://api.worldbank.org/v2/country/PHL/indicator/NY.GNP.PCAP.PP.CD?format=json&amp;mrv=10</t>
        </is>
      </c>
      <c r="L3198" t="inlineStr">
        <is>
          <t>World Bank GNI + regional expenditure ratio estimate</t>
        </is>
      </c>
      <c r="M3198" t="inlineStr">
        <is>
          <t>2024-12-31</t>
        </is>
      </c>
      <c r="N3198" t="inlineStr">
        <is>
          <t>auto_ingest=world_bank_col_estimate; gni_annual=13330.0; year=2024; country_proxy=Philippines; cohort=Southeast Asia; city_cost_mult=0.8</t>
        </is>
      </c>
    </row>
    <row r="3199">
      <c r="A3199" t="inlineStr">
        <is>
          <t>ph-cebu-city</t>
        </is>
      </c>
      <c r="B3199" t="inlineStr">
        <is>
          <t>Cebu City</t>
        </is>
      </c>
      <c r="C3199" t="inlineStr">
        <is>
          <t>Philippines</t>
        </is>
      </c>
      <c r="D3199" t="inlineStr">
        <is>
          <t>Southeast Asia</t>
        </is>
      </c>
      <c r="E3199" t="inlineStr">
        <is>
          <t>housing_burden_raw</t>
        </is>
      </c>
      <c r="F3199" t="inlineStr">
        <is>
          <t>Housing burden raw</t>
        </is>
      </c>
      <c r="G3199" t="inlineStr">
        <is>
          <t>pressure</t>
        </is>
      </c>
      <c r="H3199" t="inlineStr">
        <is>
          <t>yes</t>
        </is>
      </c>
      <c r="I3199" t="inlineStr">
        <is>
          <t>15.9997</t>
        </is>
      </c>
      <c r="J3199" t="inlineStr">
        <is>
          <t>derived</t>
        </is>
      </c>
      <c r="K3199" t="inlineStr">
        <is>
          <t>https://data.worldbank.org/indicator/NY.GNP.PCAP.PP.CD</t>
        </is>
      </c>
      <c r="L3199" t="inlineStr">
        <is>
          <t>Computed from city_inputs + country_context</t>
        </is>
      </c>
      <c r="M3199" t="inlineStr">
        <is>
          <t>2024-01-01</t>
        </is>
      </c>
      <c r="N3199" t="inlineStr">
        <is>
          <t>derived=rent/gross_income*100</t>
        </is>
      </c>
    </row>
    <row r="3200">
      <c r="A3200" t="inlineStr">
        <is>
          <t>ph-cebu-city</t>
        </is>
      </c>
      <c r="B3200" t="inlineStr">
        <is>
          <t>Cebu City</t>
        </is>
      </c>
      <c r="C3200" t="inlineStr">
        <is>
          <t>Philippines</t>
        </is>
      </c>
      <c r="D3200" t="inlineStr">
        <is>
          <t>Southeast Asia</t>
        </is>
      </c>
      <c r="E3200" t="inlineStr">
        <is>
          <t>household_debt_burden_raw</t>
        </is>
      </c>
      <c r="F3200" t="inlineStr">
        <is>
          <t>Household debt burden raw</t>
        </is>
      </c>
      <c r="G3200" t="inlineStr">
        <is>
          <t>pressure</t>
        </is>
      </c>
      <c r="H3200" t="inlineStr">
        <is>
          <t>yes</t>
        </is>
      </c>
      <c r="I3200" t="inlineStr">
        <is>
          <t>49.8137</t>
        </is>
      </c>
      <c r="J3200" t="inlineStr">
        <is>
          <t>derived</t>
        </is>
      </c>
      <c r="K3200" t="inlineStr">
        <is>
          <t>https://data.worldbank.org/indicator/NY.GNP.PCAP.PP.CD</t>
        </is>
      </c>
      <c r="L3200" t="inlineStr">
        <is>
          <t>Computed from city_inputs + country_context</t>
        </is>
      </c>
      <c r="M3200" t="inlineStr">
        <is>
          <t>2024-01-01</t>
        </is>
      </c>
      <c r="N3200" t="inlineStr">
        <is>
          <t>derived=country_context.household_debt_proxy; country=Philippines</t>
        </is>
      </c>
    </row>
    <row r="3201">
      <c r="A3201" t="inlineStr">
        <is>
          <t>ph-cebu-city</t>
        </is>
      </c>
      <c r="B3201" t="inlineStr">
        <is>
          <t>Cebu City</t>
        </is>
      </c>
      <c r="C3201" t="inlineStr">
        <is>
          <t>Philippines</t>
        </is>
      </c>
      <c r="D3201" t="inlineStr">
        <is>
          <t>Southeast Asia</t>
        </is>
      </c>
      <c r="E3201" t="inlineStr">
        <is>
          <t>working_time_pressure_raw</t>
        </is>
      </c>
      <c r="F3201" t="inlineStr">
        <is>
          <t>Working time pressure raw</t>
        </is>
      </c>
      <c r="G3201" t="inlineStr">
        <is>
          <t>pressure</t>
        </is>
      </c>
      <c r="H3201" t="inlineStr">
        <is>
          <t>yes</t>
        </is>
      </c>
      <c r="I3201" t="inlineStr">
        <is>
          <t>39.99</t>
        </is>
      </c>
      <c r="J3201" t="inlineStr">
        <is>
          <t>ilo_ilostat</t>
        </is>
      </c>
      <c r="K3201" t="inlineStr">
        <is>
          <t>https://ilostat.ilo.org/data/indicator/?id=HOW_TEMP_SEX_ECO_NB_A&amp;ref_area=PHL</t>
        </is>
      </c>
      <c r="L3201" t="inlineStr">
        <is>
          <t>ILO ILOSTAT: Mean weekly hours actually worked per employed person</t>
        </is>
      </c>
      <c r="M3201" t="inlineStr">
        <is>
          <t>2023-12-31</t>
        </is>
      </c>
      <c r="N3201" t="inlineStr">
        <is>
          <t>auto_ingest=ilo_working_hours; indicator=HOW_TEMP_SEX_ECO_NB_A; year=2023; hours=39.99; country_proxy=Philippines</t>
        </is>
      </c>
    </row>
    <row r="3202">
      <c r="A3202" t="inlineStr">
        <is>
          <t>ph-cebu-city</t>
        </is>
      </c>
      <c r="B3202" t="inlineStr">
        <is>
          <t>Cebu City</t>
        </is>
      </c>
      <c r="C3202" t="inlineStr">
        <is>
          <t>Philippines</t>
        </is>
      </c>
      <c r="D3202" t="inlineStr">
        <is>
          <t>Southeast Asia</t>
        </is>
      </c>
      <c r="E3202" t="inlineStr">
        <is>
          <t>suicide_mental_strain_raw</t>
        </is>
      </c>
      <c r="F3202" t="inlineStr">
        <is>
          <t>Suicide or mental strain raw</t>
        </is>
      </c>
      <c r="G3202" t="inlineStr">
        <is>
          <t>pressure</t>
        </is>
      </c>
      <c r="H3202" t="inlineStr">
        <is>
          <t>yes</t>
        </is>
      </c>
      <c r="I3202" t="inlineStr">
        <is>
          <t>3.49</t>
        </is>
      </c>
      <c r="J3202" t="inlineStr">
        <is>
          <t>who_gho</t>
        </is>
      </c>
      <c r="K3202" t="inlineStr">
        <is>
          <t>https://www.who.int/data/gho/data/indicators/indicator-details/GHO/SDGSUICIDE</t>
        </is>
      </c>
      <c r="L3202" t="inlineStr">
        <is>
          <t>WHO GHO: Age-standardized suicide rate (per 100,000 population)</t>
        </is>
      </c>
      <c r="M3202" t="inlineStr">
        <is>
          <t>2021-12-31</t>
        </is>
      </c>
      <c r="N3202" t="inlineStr">
        <is>
          <t>auto_ingest=who_gho; indicator=SDGSUICIDE; year=2021; country_proxy=Philippines</t>
        </is>
      </c>
    </row>
    <row r="3203">
      <c r="A3203" t="inlineStr">
        <is>
          <t>ph-cebu-city</t>
        </is>
      </c>
      <c r="B3203" t="inlineStr">
        <is>
          <t>Cebu City</t>
        </is>
      </c>
      <c r="C3203" t="inlineStr">
        <is>
          <t>Philippines</t>
        </is>
      </c>
      <c r="D3203" t="inlineStr">
        <is>
          <t>Southeast Asia</t>
        </is>
      </c>
      <c r="E3203" t="inlineStr">
        <is>
          <t>personal_safety_raw</t>
        </is>
      </c>
      <c r="F3203" t="inlineStr">
        <is>
          <t>Personal safety raw</t>
        </is>
      </c>
      <c r="G3203" t="inlineStr">
        <is>
          <t>viability</t>
        </is>
      </c>
      <c r="H3203" t="inlineStr">
        <is>
          <t>yes</t>
        </is>
      </c>
      <c r="I3203" t="inlineStr">
        <is>
          <t>4.35</t>
        </is>
      </c>
      <c r="J3203" t="inlineStr">
        <is>
          <t>world_bank</t>
        </is>
      </c>
      <c r="K3203" t="inlineStr">
        <is>
          <t>https://api.worldbank.org/v2/country/PHL/indicator/VC.IHR.PSRC.P5?format=json&amp;mrv=10</t>
        </is>
      </c>
      <c r="L3203" t="inlineStr">
        <is>
          <t>UNODC via World Bank WDI: Intentional homicides (per 100,000 people)</t>
        </is>
      </c>
      <c r="M3203" t="inlineStr">
        <is>
          <t>2023-12-31</t>
        </is>
      </c>
      <c r="N3203" t="inlineStr">
        <is>
          <t>auto_ingest=unodc_safety; indicator=VC.IHR.PSRC.P5; year=2023; country_proxy=Philippines</t>
        </is>
      </c>
    </row>
    <row r="3204">
      <c r="A3204" t="inlineStr">
        <is>
          <t>ph-cebu-city</t>
        </is>
      </c>
      <c r="B3204" t="inlineStr">
        <is>
          <t>Cebu City</t>
        </is>
      </c>
      <c r="C3204" t="inlineStr">
        <is>
          <t>Philippines</t>
        </is>
      </c>
      <c r="D3204" t="inlineStr">
        <is>
          <t>Southeast Asia</t>
        </is>
      </c>
      <c r="E3204" t="inlineStr">
        <is>
          <t>transit_access_commute_raw</t>
        </is>
      </c>
      <c r="F3204" t="inlineStr">
        <is>
          <t>Transit access and commute raw</t>
        </is>
      </c>
      <c r="G3204" t="inlineStr">
        <is>
          <t>viability</t>
        </is>
      </c>
      <c r="H3204" t="inlineStr">
        <is>
          <t>yes</t>
        </is>
      </c>
      <c r="I3204" t="inlineStr"/>
      <c r="J3204" t="inlineStr"/>
      <c r="K3204" t="inlineStr"/>
      <c r="L3204" t="inlineStr"/>
      <c r="M3204" t="inlineStr"/>
      <c r="N3204" t="inlineStr"/>
    </row>
    <row r="3205">
      <c r="A3205" t="inlineStr">
        <is>
          <t>ph-cebu-city</t>
        </is>
      </c>
      <c r="B3205" t="inlineStr">
        <is>
          <t>Cebu City</t>
        </is>
      </c>
      <c r="C3205" t="inlineStr">
        <is>
          <t>Philippines</t>
        </is>
      </c>
      <c r="D3205" t="inlineStr">
        <is>
          <t>Southeast Asia</t>
        </is>
      </c>
      <c r="E3205" t="inlineStr">
        <is>
          <t>clean_air_raw</t>
        </is>
      </c>
      <c r="F3205" t="inlineStr">
        <is>
          <t>Clean air raw</t>
        </is>
      </c>
      <c r="G3205" t="inlineStr">
        <is>
          <t>viability</t>
        </is>
      </c>
      <c r="H3205" t="inlineStr">
        <is>
          <t>yes</t>
        </is>
      </c>
      <c r="I3205" t="inlineStr"/>
      <c r="J3205" t="inlineStr"/>
      <c r="K3205" t="inlineStr"/>
      <c r="L3205" t="inlineStr"/>
      <c r="M3205" t="inlineStr"/>
      <c r="N3205" t="inlineStr"/>
    </row>
    <row r="3206">
      <c r="A3206" t="inlineStr">
        <is>
          <t>ph-cebu-city</t>
        </is>
      </c>
      <c r="B3206" t="inlineStr">
        <is>
          <t>Cebu City</t>
        </is>
      </c>
      <c r="C3206" t="inlineStr">
        <is>
          <t>Philippines</t>
        </is>
      </c>
      <c r="D3206" t="inlineStr">
        <is>
          <t>Southeast Asia</t>
        </is>
      </c>
      <c r="E3206" t="inlineStr">
        <is>
          <t>water_sanitation_utility_raw</t>
        </is>
      </c>
      <c r="F3206" t="inlineStr">
        <is>
          <t>Water, sanitation, and utility raw</t>
        </is>
      </c>
      <c r="G3206" t="inlineStr">
        <is>
          <t>viability</t>
        </is>
      </c>
      <c r="H3206" t="inlineStr">
        <is>
          <t>yes</t>
        </is>
      </c>
      <c r="I3206" t="inlineStr">
        <is>
          <t>48.48</t>
        </is>
      </c>
      <c r="J3206" t="inlineStr">
        <is>
          <t>world_bank</t>
        </is>
      </c>
      <c r="K3206" t="inlineStr">
        <is>
          <t>https://api.worldbank.org/v2/country/PHL/indicator/SH.H2O.SMDW.ZS?format=json&amp;mrv=10</t>
        </is>
      </c>
      <c r="L3206" t="inlineStr">
        <is>
          <t>World Bank WDI: People using safely managed drinking water services (% of population)</t>
        </is>
      </c>
      <c r="M3206" t="inlineStr">
        <is>
          <t>2024-12-31</t>
        </is>
      </c>
      <c r="N3206" t="inlineStr">
        <is>
          <t>auto_ingest=world_bank_proxy; indicator=SH.H2O.SMDW.ZS; year=2024; country_proxy=Philippines</t>
        </is>
      </c>
    </row>
    <row r="3207">
      <c r="A3207" t="inlineStr">
        <is>
          <t>ph-cebu-city</t>
        </is>
      </c>
      <c r="B3207" t="inlineStr">
        <is>
          <t>Cebu City</t>
        </is>
      </c>
      <c r="C3207" t="inlineStr">
        <is>
          <t>Philippines</t>
        </is>
      </c>
      <c r="D3207" t="inlineStr">
        <is>
          <t>Southeast Asia</t>
        </is>
      </c>
      <c r="E3207" t="inlineStr">
        <is>
          <t>digital_infrastructure_raw</t>
        </is>
      </c>
      <c r="F3207" t="inlineStr">
        <is>
          <t>Digital infrastructure raw</t>
        </is>
      </c>
      <c r="G3207" t="inlineStr">
        <is>
          <t>viability</t>
        </is>
      </c>
      <c r="H3207" t="inlineStr">
        <is>
          <t>yes</t>
        </is>
      </c>
      <c r="I3207" t="inlineStr">
        <is>
          <t>6.54</t>
        </is>
      </c>
      <c r="J3207" t="inlineStr">
        <is>
          <t>world_bank</t>
        </is>
      </c>
      <c r="K3207" t="inlineStr">
        <is>
          <t>https://api.worldbank.org/v2/country/PHL/indicator/IT.NET.BBND.P2?format=json&amp;mrv=10</t>
        </is>
      </c>
      <c r="L3207" t="inlineStr">
        <is>
          <t>World Bank WDI: Fixed broadband subscriptions (per 100 people)</t>
        </is>
      </c>
      <c r="M3207" t="inlineStr">
        <is>
          <t>2023-12-31</t>
        </is>
      </c>
      <c r="N3207" t="inlineStr">
        <is>
          <t>auto_ingest=world_bank_proxy; indicator=IT.NET.BBND.P2; year=2023; country_proxy=Philippines</t>
        </is>
      </c>
    </row>
    <row r="3208">
      <c r="A3208" t="inlineStr">
        <is>
          <t>ph-cebu-city</t>
        </is>
      </c>
      <c r="B3208" t="inlineStr">
        <is>
          <t>Cebu City</t>
        </is>
      </c>
      <c r="C3208" t="inlineStr">
        <is>
          <t>Philippines</t>
        </is>
      </c>
      <c r="D3208" t="inlineStr">
        <is>
          <t>Southeast Asia</t>
        </is>
      </c>
      <c r="E3208" t="inlineStr">
        <is>
          <t>climate_sunlight_livability_raw</t>
        </is>
      </c>
      <c r="F3208" t="inlineStr">
        <is>
          <t>Climate and sunlight livability raw</t>
        </is>
      </c>
      <c r="G3208" t="inlineStr">
        <is>
          <t>viability</t>
        </is>
      </c>
      <c r="H3208" t="inlineStr">
        <is>
          <t>yes</t>
        </is>
      </c>
      <c r="I3208" t="inlineStr"/>
      <c r="J3208" t="inlineStr"/>
      <c r="K3208" t="inlineStr"/>
      <c r="L3208" t="inlineStr"/>
      <c r="M3208" t="inlineStr"/>
      <c r="N3208" t="inlineStr"/>
    </row>
    <row r="3209">
      <c r="A3209" t="inlineStr">
        <is>
          <t>ph-cebu-city</t>
        </is>
      </c>
      <c r="B3209" t="inlineStr">
        <is>
          <t>Cebu City</t>
        </is>
      </c>
      <c r="C3209" t="inlineStr">
        <is>
          <t>Philippines</t>
        </is>
      </c>
      <c r="D3209" t="inlineStr">
        <is>
          <t>Southeast Asia</t>
        </is>
      </c>
      <c r="E3209" t="inlineStr">
        <is>
          <t>healthcare_quality_raw</t>
        </is>
      </c>
      <c r="F3209" t="inlineStr">
        <is>
          <t>Healthcare quality raw</t>
        </is>
      </c>
      <c r="G3209" t="inlineStr">
        <is>
          <t>capability</t>
        </is>
      </c>
      <c r="H3209" t="inlineStr">
        <is>
          <t>yes</t>
        </is>
      </c>
      <c r="I3209" t="inlineStr">
        <is>
          <t>69.0</t>
        </is>
      </c>
      <c r="J3209" t="inlineStr">
        <is>
          <t>who_gho</t>
        </is>
      </c>
      <c r="K3209" t="inlineStr">
        <is>
          <t>https://www.who.int/data/gho/data/indicators/indicator-details/GHO/UHC_INDEX_REPORTED</t>
        </is>
      </c>
      <c r="L3209" t="inlineStr">
        <is>
          <t>WHO GHO: UHC Service Coverage Index</t>
        </is>
      </c>
      <c r="M3209" t="inlineStr">
        <is>
          <t>2023-12-31</t>
        </is>
      </c>
      <c r="N3209" t="inlineStr">
        <is>
          <t>auto_ingest=who_gho; indicator=UHC_INDEX_REPORTED; year=2023; country_proxy=Philippines</t>
        </is>
      </c>
    </row>
    <row r="3210">
      <c r="A3210" t="inlineStr">
        <is>
          <t>ph-cebu-city</t>
        </is>
      </c>
      <c r="B3210" t="inlineStr">
        <is>
          <t>Cebu City</t>
        </is>
      </c>
      <c r="C3210" t="inlineStr">
        <is>
          <t>Philippines</t>
        </is>
      </c>
      <c r="D3210" t="inlineStr">
        <is>
          <t>Southeast Asia</t>
        </is>
      </c>
      <c r="E3210" t="inlineStr">
        <is>
          <t>education_quality_raw</t>
        </is>
      </c>
      <c r="F3210" t="inlineStr">
        <is>
          <t>Education quality raw</t>
        </is>
      </c>
      <c r="G3210" t="inlineStr">
        <is>
          <t>capability</t>
        </is>
      </c>
      <c r="H3210" t="inlineStr">
        <is>
          <t>yes</t>
        </is>
      </c>
      <c r="I3210" t="inlineStr">
        <is>
          <t>47.41</t>
        </is>
      </c>
      <c r="J3210" t="inlineStr">
        <is>
          <t>world_bank</t>
        </is>
      </c>
      <c r="K3210" t="inlineStr">
        <is>
          <t>https://api.worldbank.org/v2/country/PHL/indicator/SE.TER.ENRR?format=json&amp;mrv=10</t>
        </is>
      </c>
      <c r="L3210" t="inlineStr">
        <is>
          <t>World Bank WDI: School enrollment, tertiary (% gross)</t>
        </is>
      </c>
      <c r="M3210" t="inlineStr">
        <is>
          <t>2024-12-31</t>
        </is>
      </c>
      <c r="N3210" t="inlineStr">
        <is>
          <t>auto_ingest=world_bank_proxy; indicator=SE.TER.ENRR; year=2024; country_proxy=Philippines</t>
        </is>
      </c>
    </row>
    <row r="3211">
      <c r="A3211" t="inlineStr">
        <is>
          <t>ph-cebu-city</t>
        </is>
      </c>
      <c r="B3211" t="inlineStr">
        <is>
          <t>Cebu City</t>
        </is>
      </c>
      <c r="C3211" t="inlineStr">
        <is>
          <t>Philippines</t>
        </is>
      </c>
      <c r="D3211" t="inlineStr">
        <is>
          <t>Southeast Asia</t>
        </is>
      </c>
      <c r="E3211" t="inlineStr">
        <is>
          <t>equal_opportunity_raw</t>
        </is>
      </c>
      <c r="F3211" t="inlineStr">
        <is>
          <t>Equal opportunity raw</t>
        </is>
      </c>
      <c r="G3211" t="inlineStr">
        <is>
          <t>capability</t>
        </is>
      </c>
      <c r="H3211" t="inlineStr">
        <is>
          <t>yes</t>
        </is>
      </c>
      <c r="I3211" t="inlineStr">
        <is>
          <t>39.3</t>
        </is>
      </c>
      <c r="J3211" t="inlineStr">
        <is>
          <t>world_bank</t>
        </is>
      </c>
      <c r="K3211" t="inlineStr">
        <is>
          <t>https://api.worldbank.org/v2/country/PHL/indicator/SI.POV.GINI?format=json&amp;mrv=10</t>
        </is>
      </c>
      <c r="L3211" t="inlineStr">
        <is>
          <t>World Bank WDI: Gini index</t>
        </is>
      </c>
      <c r="M3211" t="inlineStr">
        <is>
          <t>2023-12-31</t>
        </is>
      </c>
      <c r="N3211" t="inlineStr">
        <is>
          <t>auto_ingest=world_bank_capability; indicator=SI.POV.GINI; year=2023; country_proxy=Philippines</t>
        </is>
      </c>
    </row>
    <row r="3212">
      <c r="A3212" t="inlineStr">
        <is>
          <t>ph-cebu-city</t>
        </is>
      </c>
      <c r="B3212" t="inlineStr">
        <is>
          <t>Cebu City</t>
        </is>
      </c>
      <c r="C3212" t="inlineStr">
        <is>
          <t>Philippines</t>
        </is>
      </c>
      <c r="D3212" t="inlineStr">
        <is>
          <t>Southeast Asia</t>
        </is>
      </c>
      <c r="E3212" t="inlineStr">
        <is>
          <t>hospitality_belonging_raw</t>
        </is>
      </c>
      <c r="F3212" t="inlineStr">
        <is>
          <t>Hospitality and belonging raw</t>
        </is>
      </c>
      <c r="G3212" t="inlineStr">
        <is>
          <t>community</t>
        </is>
      </c>
      <c r="H3212" t="inlineStr">
        <is>
          <t>yes</t>
        </is>
      </c>
      <c r="I3212" t="inlineStr">
        <is>
          <t>48.71</t>
        </is>
      </c>
      <c r="J3212" t="inlineStr">
        <is>
          <t>world_bank</t>
        </is>
      </c>
      <c r="K3212" t="inlineStr">
        <is>
          <t>https://api.worldbank.org/v2/country/PHL/indicator/SM.POP.NETM?format=json&amp;mrv=10</t>
        </is>
      </c>
      <c r="L3212" t="inlineStr">
        <is>
          <t>World Bank WDI: Net migration (proxy for hospitality/belonging — positive = welcoming)</t>
        </is>
      </c>
      <c r="M3212" t="inlineStr">
        <is>
          <t>2025-12-31</t>
        </is>
      </c>
      <c r="N3212" t="inlineStr">
        <is>
          <t>auto_ingest=world_bank_proxy; proxy=net_migration_hospitality; indicator=SM.POP.NETM; year=2025; country_proxy=Philippines</t>
        </is>
      </c>
    </row>
    <row r="3213">
      <c r="A3213" t="inlineStr">
        <is>
          <t>ph-cebu-city</t>
        </is>
      </c>
      <c r="B3213" t="inlineStr">
        <is>
          <t>Cebu City</t>
        </is>
      </c>
      <c r="C3213" t="inlineStr">
        <is>
          <t>Philippines</t>
        </is>
      </c>
      <c r="D3213" t="inlineStr">
        <is>
          <t>Southeast Asia</t>
        </is>
      </c>
      <c r="E3213" t="inlineStr">
        <is>
          <t>tolerance_pluralism_raw</t>
        </is>
      </c>
      <c r="F3213" t="inlineStr">
        <is>
          <t>Tolerance and pluralism raw</t>
        </is>
      </c>
      <c r="G3213" t="inlineStr">
        <is>
          <t>community</t>
        </is>
      </c>
      <c r="H3213" t="inlineStr">
        <is>
          <t>yes</t>
        </is>
      </c>
      <c r="I3213" t="inlineStr">
        <is>
          <t>27.33</t>
        </is>
      </c>
      <c r="J3213" t="inlineStr">
        <is>
          <t>world_bank</t>
        </is>
      </c>
      <c r="K3213" t="inlineStr">
        <is>
          <t>https://api.worldbank.org/v2/country/PHL/indicator/SG.GEN.PARL.ZS?format=json&amp;mrv=10</t>
        </is>
      </c>
      <c r="L3213" t="inlineStr">
        <is>
          <t>World Bank WDI: Proportion of seats held by women in national parliaments (%)</t>
        </is>
      </c>
      <c r="M3213" t="inlineStr">
        <is>
          <t>2024-12-31</t>
        </is>
      </c>
      <c r="N3213" t="inlineStr">
        <is>
          <t>auto_ingest=world_bank_proxy; proxy=gender_parity_parliament; indicator=SG.GEN.PARL.ZS; year=2024; country_proxy=Philippines</t>
        </is>
      </c>
    </row>
    <row r="3214">
      <c r="A3214" t="inlineStr">
        <is>
          <t>ph-cebu-city</t>
        </is>
      </c>
      <c r="B3214" t="inlineStr">
        <is>
          <t>Cebu City</t>
        </is>
      </c>
      <c r="C3214" t="inlineStr">
        <is>
          <t>Philippines</t>
        </is>
      </c>
      <c r="D3214" t="inlineStr">
        <is>
          <t>Southeast Asia</t>
        </is>
      </c>
      <c r="E3214" t="inlineStr">
        <is>
          <t>cultural_public_life_raw</t>
        </is>
      </c>
      <c r="F3214" t="inlineStr">
        <is>
          <t>Cultural public life raw</t>
        </is>
      </c>
      <c r="G3214" t="inlineStr">
        <is>
          <t>community</t>
        </is>
      </c>
      <c r="H3214" t="inlineStr">
        <is>
          <t>yes</t>
        </is>
      </c>
      <c r="I3214" t="inlineStr">
        <is>
          <t>12.8</t>
        </is>
      </c>
      <c r="J3214" t="inlineStr">
        <is>
          <t>world_bank</t>
        </is>
      </c>
      <c r="K3214" t="inlineStr">
        <is>
          <t>https://api.worldbank.org/v2/country/PHL/indicator/ST.INT.ARVL?format=json&amp;mrv=10</t>
        </is>
      </c>
      <c r="L3214" t="inlineStr">
        <is>
          <t>World Bank WDI: International tourism arrivals per 1 000 population</t>
        </is>
      </c>
      <c r="M3214" t="inlineStr">
        <is>
          <t>2020-12-31</t>
        </is>
      </c>
      <c r="N3214" t="inlineStr">
        <is>
          <t>auto_ingest=cultural_life_proxy; indicator=ST.INT.ARVL; norm=per_1000_pop; year=2020; country_proxy=Philippines</t>
        </is>
      </c>
    </row>
    <row r="3215">
      <c r="A3215" t="inlineStr">
        <is>
          <t>ph-cebu-city</t>
        </is>
      </c>
      <c r="B3215" t="inlineStr">
        <is>
          <t>Cebu City</t>
        </is>
      </c>
      <c r="C3215" t="inlineStr">
        <is>
          <t>Philippines</t>
        </is>
      </c>
      <c r="D3215" t="inlineStr">
        <is>
          <t>Southeast Asia</t>
        </is>
      </c>
      <c r="E3215" t="inlineStr">
        <is>
          <t>birth_rate_optimism_raw</t>
        </is>
      </c>
      <c r="F3215" t="inlineStr">
        <is>
          <t>Birth rate and societal optimism raw</t>
        </is>
      </c>
      <c r="G3215" t="inlineStr">
        <is>
          <t>community</t>
        </is>
      </c>
      <c r="H3215" t="inlineStr">
        <is>
          <t>yes</t>
        </is>
      </c>
      <c r="I3215" t="inlineStr"/>
      <c r="J3215" t="inlineStr"/>
      <c r="K3215" t="inlineStr"/>
      <c r="L3215" t="inlineStr"/>
      <c r="M3215" t="inlineStr"/>
      <c r="N3215" t="inlineStr"/>
    </row>
    <row r="3216">
      <c r="A3216" t="inlineStr">
        <is>
          <t>ph-cebu-city</t>
        </is>
      </c>
      <c r="B3216" t="inlineStr">
        <is>
          <t>Cebu City</t>
        </is>
      </c>
      <c r="C3216" t="inlineStr">
        <is>
          <t>Philippines</t>
        </is>
      </c>
      <c r="D3216" t="inlineStr">
        <is>
          <t>Southeast Asia</t>
        </is>
      </c>
      <c r="E3216" t="inlineStr">
        <is>
          <t>entrepreneurial_dynamism_raw</t>
        </is>
      </c>
      <c r="F3216" t="inlineStr">
        <is>
          <t>Entrepreneurial dynamism raw</t>
        </is>
      </c>
      <c r="G3216" t="inlineStr">
        <is>
          <t>creative</t>
        </is>
      </c>
      <c r="H3216" t="inlineStr">
        <is>
          <t>yes</t>
        </is>
      </c>
      <c r="I3216" t="inlineStr">
        <is>
          <t>0.34</t>
        </is>
      </c>
      <c r="J3216" t="inlineStr">
        <is>
          <t>world_bank</t>
        </is>
      </c>
      <c r="K3216" t="inlineStr">
        <is>
          <t>https://api.worldbank.org/v2/country/PHL/indicator/IC.BUS.NDNS.ZS?format=json&amp;mrv=10</t>
        </is>
      </c>
      <c r="L3216" t="inlineStr">
        <is>
          <t>World Bank WDI: New business density (new registrations per 1,000 people ages 15-64)</t>
        </is>
      </c>
      <c r="M3216" t="inlineStr">
        <is>
          <t>2022-12-31</t>
        </is>
      </c>
      <c r="N3216" t="inlineStr">
        <is>
          <t>auto_ingest=world_bank_creative_extended; indicator=IC.BUS.NDNS.ZS; year=2022; country_proxy=Philippines</t>
        </is>
      </c>
    </row>
    <row r="3217">
      <c r="A3217" t="inlineStr">
        <is>
          <t>ph-cebu-city</t>
        </is>
      </c>
      <c r="B3217" t="inlineStr">
        <is>
          <t>Cebu City</t>
        </is>
      </c>
      <c r="C3217" t="inlineStr">
        <is>
          <t>Philippines</t>
        </is>
      </c>
      <c r="D3217" t="inlineStr">
        <is>
          <t>Southeast Asia</t>
        </is>
      </c>
      <c r="E3217" t="inlineStr">
        <is>
          <t>innovation_research_intensity_raw</t>
        </is>
      </c>
      <c r="F3217" t="inlineStr">
        <is>
          <t>Innovation and research raw</t>
        </is>
      </c>
      <c r="G3217" t="inlineStr">
        <is>
          <t>creative</t>
        </is>
      </c>
      <c r="H3217" t="inlineStr">
        <is>
          <t>yes</t>
        </is>
      </c>
      <c r="I3217" t="inlineStr">
        <is>
          <t>0.32</t>
        </is>
      </c>
      <c r="J3217" t="inlineStr">
        <is>
          <t>world_bank</t>
        </is>
      </c>
      <c r="K3217" t="inlineStr">
        <is>
          <t>https://api.worldbank.org/v2/country/PHL/indicator/GB.XPD.RSDV.GD.ZS?format=json&amp;mrv=10</t>
        </is>
      </c>
      <c r="L3217" t="inlineStr">
        <is>
          <t>World Bank WDI: Research and development expenditure (% of GDP)</t>
        </is>
      </c>
      <c r="M3217" t="inlineStr">
        <is>
          <t>2018-12-31</t>
        </is>
      </c>
      <c r="N3217" t="inlineStr">
        <is>
          <t>auto_ingest=world_bank_creative_extended; indicator=GB.XPD.RSDV.GD.ZS; year=2018; country_proxy=Philippines</t>
        </is>
      </c>
    </row>
    <row r="3218">
      <c r="A3218" t="inlineStr">
        <is>
          <t>ph-cebu-city</t>
        </is>
      </c>
      <c r="B3218" t="inlineStr">
        <is>
          <t>Cebu City</t>
        </is>
      </c>
      <c r="C3218" t="inlineStr">
        <is>
          <t>Philippines</t>
        </is>
      </c>
      <c r="D3218" t="inlineStr">
        <is>
          <t>Southeast Asia</t>
        </is>
      </c>
      <c r="E3218" t="inlineStr">
        <is>
          <t>investment_signal_raw</t>
        </is>
      </c>
      <c r="F3218" t="inlineStr">
        <is>
          <t>Investment signal raw</t>
        </is>
      </c>
      <c r="G3218" t="inlineStr">
        <is>
          <t>creative</t>
        </is>
      </c>
      <c r="H3218" t="inlineStr">
        <is>
          <t>yes</t>
        </is>
      </c>
      <c r="I3218" t="inlineStr">
        <is>
          <t>2.04</t>
        </is>
      </c>
      <c r="J3218" t="inlineStr">
        <is>
          <t>world_bank</t>
        </is>
      </c>
      <c r="K3218" t="inlineStr">
        <is>
          <t>https://api.worldbank.org/v2/country/PHL/indicator/BX.KLT.DINV.WD.GD.ZS?format=json&amp;mrv=10</t>
        </is>
      </c>
      <c r="L3218" t="inlineStr">
        <is>
          <t>World Bank WDI: Foreign direct investment, net inflows (% of GDP)</t>
        </is>
      </c>
      <c r="M3218" t="inlineStr">
        <is>
          <t>2024-12-31</t>
        </is>
      </c>
      <c r="N3218" t="inlineStr">
        <is>
          <t>auto_ingest=world_bank_creative_extended; indicator=BX.KLT.DINV.WD.GD.ZS; year=2024; country_proxy=Philippines</t>
        </is>
      </c>
    </row>
    <row r="3219">
      <c r="A3219" t="inlineStr">
        <is>
          <t>ph-cebu-city</t>
        </is>
      </c>
      <c r="B3219" t="inlineStr">
        <is>
          <t>Cebu City</t>
        </is>
      </c>
      <c r="C3219" t="inlineStr">
        <is>
          <t>Philippines</t>
        </is>
      </c>
      <c r="D3219" t="inlineStr">
        <is>
          <t>Southeast Asia</t>
        </is>
      </c>
      <c r="E3219" t="inlineStr">
        <is>
          <t>administrative_investment_friction_raw</t>
        </is>
      </c>
      <c r="F3219" t="inlineStr">
        <is>
          <t>Administrative investment friction raw</t>
        </is>
      </c>
      <c r="G3219" t="inlineStr">
        <is>
          <t>creative</t>
        </is>
      </c>
      <c r="H3219" t="inlineStr">
        <is>
          <t>yes</t>
        </is>
      </c>
      <c r="I3219" t="inlineStr">
        <is>
          <t>2.34</t>
        </is>
      </c>
      <c r="J3219" t="inlineStr">
        <is>
          <t>world_bank</t>
        </is>
      </c>
      <c r="K3219" t="inlineStr">
        <is>
          <t>https://api.worldbank.org/v2/country/PHL/indicator/RQ.EST?format=json&amp;mrv=10</t>
        </is>
      </c>
      <c r="L3219" t="inlineStr">
        <is>
          <t>World Bank WGI: Regulatory Quality (inverted as friction proxy)</t>
        </is>
      </c>
      <c r="M3219" t="inlineStr">
        <is>
          <t>2023-12-31</t>
        </is>
      </c>
      <c r="N3219" t="inlineStr">
        <is>
          <t>auto_ingest=world_bank_business_friction; indicator=RQ.EST; raw_rq=0.16425496339798; friction=2.34; year=2023; country_proxy=Philippines</t>
        </is>
      </c>
    </row>
    <row r="3220">
      <c r="A3220" t="inlineStr">
        <is>
          <t>ph-cebu-city</t>
        </is>
      </c>
      <c r="B3220" t="inlineStr">
        <is>
          <t>Cebu City</t>
        </is>
      </c>
      <c r="C3220" t="inlineStr">
        <is>
          <t>Philippines</t>
        </is>
      </c>
      <c r="D3220" t="inlineStr">
        <is>
          <t>Southeast Asia</t>
        </is>
      </c>
      <c r="E3220" t="inlineStr">
        <is>
          <t>visitor_flow_context_raw</t>
        </is>
      </c>
      <c r="F3220" t="inlineStr">
        <is>
          <t>Visitor flow context raw</t>
        </is>
      </c>
      <c r="G3220" t="inlineStr">
        <is>
          <t>creative</t>
        </is>
      </c>
      <c r="H3220" t="inlineStr">
        <is>
          <t>no</t>
        </is>
      </c>
      <c r="I3220" t="inlineStr"/>
      <c r="J3220" t="inlineStr"/>
      <c r="K3220" t="inlineStr"/>
      <c r="L3220" t="inlineStr"/>
      <c r="M3220" t="inlineStr"/>
      <c r="N3220" t="inlineStr"/>
    </row>
    <row r="3221">
      <c r="A3221" t="inlineStr">
        <is>
          <t>vn-da-nang</t>
        </is>
      </c>
      <c r="B3221" t="inlineStr">
        <is>
          <t>Da Nang</t>
        </is>
      </c>
      <c r="C3221" t="inlineStr">
        <is>
          <t>Vietnam</t>
        </is>
      </c>
      <c r="D3221" t="inlineStr">
        <is>
          <t>Southeast Asia</t>
        </is>
      </c>
      <c r="E3221" t="inlineStr">
        <is>
          <t>gross_income</t>
        </is>
      </c>
      <c r="F3221" t="inlineStr">
        <is>
          <t>Gross income</t>
        </is>
      </c>
      <c r="G3221" t="inlineStr">
        <is>
          <t>pressure</t>
        </is>
      </c>
      <c r="H3221" t="inlineStr">
        <is>
          <t>yes</t>
        </is>
      </c>
      <c r="I3221" t="inlineStr">
        <is>
          <t>1320.83</t>
        </is>
      </c>
      <c r="J3221" t="inlineStr">
        <is>
          <t>world_bank_col_estimate</t>
        </is>
      </c>
      <c r="K3221" t="inlineStr">
        <is>
          <t>https://api.worldbank.org/v2/country/VNM/indicator/NY.GNP.PCAP.PP.CD?format=json&amp;mrv=10</t>
        </is>
      </c>
      <c r="L3221" t="inlineStr">
        <is>
          <t>World Bank WDI: GNI per capita PPP (monthly USD)</t>
        </is>
      </c>
      <c r="M3221" t="inlineStr">
        <is>
          <t>2024-12-31</t>
        </is>
      </c>
      <c r="N3221" t="inlineStr">
        <is>
          <t>auto_ingest=world_bank_col_estimate; gni_annual=15850.0; year=2024; country_proxy=Vietnam; cohort=Southeast Asia</t>
        </is>
      </c>
    </row>
    <row r="3222">
      <c r="A3222" t="inlineStr">
        <is>
          <t>vn-da-nang</t>
        </is>
      </c>
      <c r="B3222" t="inlineStr">
        <is>
          <t>Da Nang</t>
        </is>
      </c>
      <c r="C3222" t="inlineStr">
        <is>
          <t>Vietnam</t>
        </is>
      </c>
      <c r="D3222" t="inlineStr">
        <is>
          <t>Southeast Asia</t>
        </is>
      </c>
      <c r="E3222" t="inlineStr">
        <is>
          <t>di_ppp_raw</t>
        </is>
      </c>
      <c r="F3222" t="inlineStr">
        <is>
          <t>Disposable income PPP (Raw)</t>
        </is>
      </c>
      <c r="G3222" t="inlineStr">
        <is>
          <t>pressure</t>
        </is>
      </c>
      <c r="H3222" t="inlineStr">
        <is>
          <t>yes</t>
        </is>
      </c>
      <c r="I3222" t="inlineStr"/>
      <c r="J3222" t="inlineStr"/>
      <c r="K3222" t="inlineStr"/>
      <c r="L3222" t="inlineStr"/>
      <c r="M3222" t="inlineStr"/>
      <c r="N3222" t="inlineStr"/>
    </row>
    <row r="3223">
      <c r="A3223" t="inlineStr">
        <is>
          <t>vn-da-nang</t>
        </is>
      </c>
      <c r="B3223" t="inlineStr">
        <is>
          <t>Da Nang</t>
        </is>
      </c>
      <c r="C3223" t="inlineStr">
        <is>
          <t>Vietnam</t>
        </is>
      </c>
      <c r="D3223" t="inlineStr">
        <is>
          <t>Southeast Asia</t>
        </is>
      </c>
      <c r="E3223" t="inlineStr">
        <is>
          <t>rent</t>
        </is>
      </c>
      <c r="F3223" t="inlineStr">
        <is>
          <t>Rent</t>
        </is>
      </c>
      <c r="G3223" t="inlineStr">
        <is>
          <t>pressure</t>
        </is>
      </c>
      <c r="H3223" t="inlineStr">
        <is>
          <t>yes</t>
        </is>
      </c>
      <c r="I3223" t="inlineStr">
        <is>
          <t>198.12</t>
        </is>
      </c>
      <c r="J3223" t="inlineStr">
        <is>
          <t>world_bank_col_estimate</t>
        </is>
      </c>
      <c r="K3223" t="inlineStr">
        <is>
          <t>https://api.worldbank.org/v2/country/VNM/indicator/NY.GNP.PCAP.PP.CD?format=json&amp;mrv=10</t>
        </is>
      </c>
      <c r="L3223" t="inlineStr">
        <is>
          <t>World Bank GNI + regional expenditure ratio estimate</t>
        </is>
      </c>
      <c r="M3223" t="inlineStr">
        <is>
          <t>2024-12-31</t>
        </is>
      </c>
      <c r="N3223" t="inlineStr">
        <is>
          <t>auto_ingest=world_bank_col_estimate; gni_annual=15850.0; year=2024; country_proxy=Vietnam; cohort=Southeast Asia; city_cost_mult=0.75</t>
        </is>
      </c>
    </row>
    <row r="3224">
      <c r="A3224" t="inlineStr">
        <is>
          <t>vn-da-nang</t>
        </is>
      </c>
      <c r="B3224" t="inlineStr">
        <is>
          <t>Da Nang</t>
        </is>
      </c>
      <c r="C3224" t="inlineStr">
        <is>
          <t>Vietnam</t>
        </is>
      </c>
      <c r="D3224" t="inlineStr">
        <is>
          <t>Southeast Asia</t>
        </is>
      </c>
      <c r="E3224" t="inlineStr">
        <is>
          <t>utilities</t>
        </is>
      </c>
      <c r="F3224" t="inlineStr">
        <is>
          <t>Utilities</t>
        </is>
      </c>
      <c r="G3224" t="inlineStr">
        <is>
          <t>pressure</t>
        </is>
      </c>
      <c r="H3224" t="inlineStr">
        <is>
          <t>yes</t>
        </is>
      </c>
      <c r="I3224" t="inlineStr">
        <is>
          <t>49.53</t>
        </is>
      </c>
      <c r="J3224" t="inlineStr">
        <is>
          <t>world_bank_col_estimate</t>
        </is>
      </c>
      <c r="K3224" t="inlineStr">
        <is>
          <t>https://api.worldbank.org/v2/country/VNM/indicator/NY.GNP.PCAP.PP.CD?format=json&amp;mrv=10</t>
        </is>
      </c>
      <c r="L3224" t="inlineStr">
        <is>
          <t>World Bank GNI + regional expenditure ratio estimate</t>
        </is>
      </c>
      <c r="M3224" t="inlineStr">
        <is>
          <t>2024-12-31</t>
        </is>
      </c>
      <c r="N3224" t="inlineStr">
        <is>
          <t>auto_ingest=world_bank_col_estimate; gni_annual=15850.0; year=2024; country_proxy=Vietnam; cohort=Southeast Asia; city_cost_mult=0.75</t>
        </is>
      </c>
    </row>
    <row r="3225">
      <c r="A3225" t="inlineStr">
        <is>
          <t>vn-da-nang</t>
        </is>
      </c>
      <c r="B3225" t="inlineStr">
        <is>
          <t>Da Nang</t>
        </is>
      </c>
      <c r="C3225" t="inlineStr">
        <is>
          <t>Vietnam</t>
        </is>
      </c>
      <c r="D3225" t="inlineStr">
        <is>
          <t>Southeast Asia</t>
        </is>
      </c>
      <c r="E3225" t="inlineStr">
        <is>
          <t>transit_cost</t>
        </is>
      </c>
      <c r="F3225" t="inlineStr">
        <is>
          <t>Transit cost</t>
        </is>
      </c>
      <c r="G3225" t="inlineStr">
        <is>
          <t>pressure</t>
        </is>
      </c>
      <c r="H3225" t="inlineStr">
        <is>
          <t>yes</t>
        </is>
      </c>
      <c r="I3225" t="inlineStr">
        <is>
          <t>39.62</t>
        </is>
      </c>
      <c r="J3225" t="inlineStr">
        <is>
          <t>world_bank_col_estimate</t>
        </is>
      </c>
      <c r="K3225" t="inlineStr">
        <is>
          <t>https://api.worldbank.org/v2/country/VNM/indicator/NY.GNP.PCAP.PP.CD?format=json&amp;mrv=10</t>
        </is>
      </c>
      <c r="L3225" t="inlineStr">
        <is>
          <t>World Bank GNI + regional expenditure ratio estimate</t>
        </is>
      </c>
      <c r="M3225" t="inlineStr">
        <is>
          <t>2024-12-31</t>
        </is>
      </c>
      <c r="N3225" t="inlineStr">
        <is>
          <t>auto_ingest=world_bank_col_estimate; gni_annual=15850.0; year=2024; country_proxy=Vietnam; cohort=Southeast Asia; city_cost_mult=0.75</t>
        </is>
      </c>
    </row>
    <row r="3226">
      <c r="A3226" t="inlineStr">
        <is>
          <t>vn-da-nang</t>
        </is>
      </c>
      <c r="B3226" t="inlineStr">
        <is>
          <t>Da Nang</t>
        </is>
      </c>
      <c r="C3226" t="inlineStr">
        <is>
          <t>Vietnam</t>
        </is>
      </c>
      <c r="D3226" t="inlineStr">
        <is>
          <t>Southeast Asia</t>
        </is>
      </c>
      <c r="E3226" t="inlineStr">
        <is>
          <t>internet_cost</t>
        </is>
      </c>
      <c r="F3226" t="inlineStr">
        <is>
          <t>Internet cost</t>
        </is>
      </c>
      <c r="G3226" t="inlineStr">
        <is>
          <t>pressure</t>
        </is>
      </c>
      <c r="H3226" t="inlineStr">
        <is>
          <t>yes</t>
        </is>
      </c>
      <c r="I3226" t="inlineStr">
        <is>
          <t>14.86</t>
        </is>
      </c>
      <c r="J3226" t="inlineStr">
        <is>
          <t>world_bank_col_estimate</t>
        </is>
      </c>
      <c r="K3226" t="inlineStr">
        <is>
          <t>https://api.worldbank.org/v2/country/VNM/indicator/NY.GNP.PCAP.PP.CD?format=json&amp;mrv=10</t>
        </is>
      </c>
      <c r="L3226" t="inlineStr">
        <is>
          <t>World Bank GNI + regional expenditure ratio estimate</t>
        </is>
      </c>
      <c r="M3226" t="inlineStr">
        <is>
          <t>2024-12-31</t>
        </is>
      </c>
      <c r="N3226" t="inlineStr">
        <is>
          <t>auto_ingest=world_bank_col_estimate; gni_annual=15850.0; year=2024; country_proxy=Vietnam; cohort=Southeast Asia; city_cost_mult=0.75</t>
        </is>
      </c>
    </row>
    <row r="3227">
      <c r="A3227" t="inlineStr">
        <is>
          <t>vn-da-nang</t>
        </is>
      </c>
      <c r="B3227" t="inlineStr">
        <is>
          <t>Da Nang</t>
        </is>
      </c>
      <c r="C3227" t="inlineStr">
        <is>
          <t>Vietnam</t>
        </is>
      </c>
      <c r="D3227" t="inlineStr">
        <is>
          <t>Southeast Asia</t>
        </is>
      </c>
      <c r="E3227" t="inlineStr">
        <is>
          <t>food_cost</t>
        </is>
      </c>
      <c r="F3227" t="inlineStr">
        <is>
          <t>Food cost</t>
        </is>
      </c>
      <c r="G3227" t="inlineStr">
        <is>
          <t>pressure</t>
        </is>
      </c>
      <c r="H3227" t="inlineStr">
        <is>
          <t>yes</t>
        </is>
      </c>
      <c r="I3227" t="inlineStr">
        <is>
          <t>217.94</t>
        </is>
      </c>
      <c r="J3227" t="inlineStr">
        <is>
          <t>world_bank_col_estimate</t>
        </is>
      </c>
      <c r="K3227" t="inlineStr">
        <is>
          <t>https://api.worldbank.org/v2/country/VNM/indicator/NY.GNP.PCAP.PP.CD?format=json&amp;mrv=10</t>
        </is>
      </c>
      <c r="L3227" t="inlineStr">
        <is>
          <t>World Bank GNI + regional expenditure ratio estimate</t>
        </is>
      </c>
      <c r="M3227" t="inlineStr">
        <is>
          <t>2024-12-31</t>
        </is>
      </c>
      <c r="N3227" t="inlineStr">
        <is>
          <t>auto_ingest=world_bank_col_estimate; gni_annual=15850.0; year=2024; country_proxy=Vietnam; cohort=Southeast Asia; city_cost_mult=0.75</t>
        </is>
      </c>
    </row>
    <row r="3228">
      <c r="A3228" t="inlineStr">
        <is>
          <t>vn-da-nang</t>
        </is>
      </c>
      <c r="B3228" t="inlineStr">
        <is>
          <t>Da Nang</t>
        </is>
      </c>
      <c r="C3228" t="inlineStr">
        <is>
          <t>Vietnam</t>
        </is>
      </c>
      <c r="D3228" t="inlineStr">
        <is>
          <t>Southeast Asia</t>
        </is>
      </c>
      <c r="E3228" t="inlineStr">
        <is>
          <t>housing_burden_raw</t>
        </is>
      </c>
      <c r="F3228" t="inlineStr">
        <is>
          <t>Housing burden raw</t>
        </is>
      </c>
      <c r="G3228" t="inlineStr">
        <is>
          <t>pressure</t>
        </is>
      </c>
      <c r="H3228" t="inlineStr">
        <is>
          <t>yes</t>
        </is>
      </c>
      <c r="I3228" t="inlineStr">
        <is>
          <t>14.9997</t>
        </is>
      </c>
      <c r="J3228" t="inlineStr">
        <is>
          <t>derived</t>
        </is>
      </c>
      <c r="K3228" t="inlineStr">
        <is>
          <t>https://data.worldbank.org/indicator/NY.GNP.PCAP.PP.CD</t>
        </is>
      </c>
      <c r="L3228" t="inlineStr">
        <is>
          <t>Computed from city_inputs + country_context</t>
        </is>
      </c>
      <c r="M3228" t="inlineStr">
        <is>
          <t>2024-01-01</t>
        </is>
      </c>
      <c r="N3228" t="inlineStr">
        <is>
          <t>derived=rent/gross_income*100</t>
        </is>
      </c>
    </row>
    <row r="3229">
      <c r="A3229" t="inlineStr">
        <is>
          <t>vn-da-nang</t>
        </is>
      </c>
      <c r="B3229" t="inlineStr">
        <is>
          <t>Da Nang</t>
        </is>
      </c>
      <c r="C3229" t="inlineStr">
        <is>
          <t>Vietnam</t>
        </is>
      </c>
      <c r="D3229" t="inlineStr">
        <is>
          <t>Southeast Asia</t>
        </is>
      </c>
      <c r="E3229" t="inlineStr">
        <is>
          <t>household_debt_burden_raw</t>
        </is>
      </c>
      <c r="F3229" t="inlineStr">
        <is>
          <t>Household debt burden raw</t>
        </is>
      </c>
      <c r="G3229" t="inlineStr">
        <is>
          <t>pressure</t>
        </is>
      </c>
      <c r="H3229" t="inlineStr">
        <is>
          <t>yes</t>
        </is>
      </c>
      <c r="I3229" t="inlineStr"/>
      <c r="J3229" t="inlineStr"/>
      <c r="K3229" t="inlineStr"/>
      <c r="L3229" t="inlineStr"/>
      <c r="M3229" t="inlineStr"/>
      <c r="N3229" t="inlineStr"/>
    </row>
    <row r="3230">
      <c r="A3230" t="inlineStr">
        <is>
          <t>vn-da-nang</t>
        </is>
      </c>
      <c r="B3230" t="inlineStr">
        <is>
          <t>Da Nang</t>
        </is>
      </c>
      <c r="C3230" t="inlineStr">
        <is>
          <t>Vietnam</t>
        </is>
      </c>
      <c r="D3230" t="inlineStr">
        <is>
          <t>Southeast Asia</t>
        </is>
      </c>
      <c r="E3230" t="inlineStr">
        <is>
          <t>working_time_pressure_raw</t>
        </is>
      </c>
      <c r="F3230" t="inlineStr">
        <is>
          <t>Working time pressure raw</t>
        </is>
      </c>
      <c r="G3230" t="inlineStr">
        <is>
          <t>pressure</t>
        </is>
      </c>
      <c r="H3230" t="inlineStr">
        <is>
          <t>yes</t>
        </is>
      </c>
      <c r="I3230" t="inlineStr"/>
      <c r="J3230" t="inlineStr"/>
      <c r="K3230" t="inlineStr"/>
      <c r="L3230" t="inlineStr"/>
      <c r="M3230" t="inlineStr"/>
      <c r="N3230" t="inlineStr"/>
    </row>
    <row r="3231">
      <c r="A3231" t="inlineStr">
        <is>
          <t>vn-da-nang</t>
        </is>
      </c>
      <c r="B3231" t="inlineStr">
        <is>
          <t>Da Nang</t>
        </is>
      </c>
      <c r="C3231" t="inlineStr">
        <is>
          <t>Vietnam</t>
        </is>
      </c>
      <c r="D3231" t="inlineStr">
        <is>
          <t>Southeast Asia</t>
        </is>
      </c>
      <c r="E3231" t="inlineStr">
        <is>
          <t>suicide_mental_strain_raw</t>
        </is>
      </c>
      <c r="F3231" t="inlineStr">
        <is>
          <t>Suicide or mental strain raw</t>
        </is>
      </c>
      <c r="G3231" t="inlineStr">
        <is>
          <t>pressure</t>
        </is>
      </c>
      <c r="H3231" t="inlineStr">
        <is>
          <t>yes</t>
        </is>
      </c>
      <c r="I3231" t="inlineStr">
        <is>
          <t>7.3</t>
        </is>
      </c>
      <c r="J3231" t="inlineStr">
        <is>
          <t>who_gho</t>
        </is>
      </c>
      <c r="K3231" t="inlineStr">
        <is>
          <t>https://www.who.int/data/gho/data/indicators/indicator-details/GHO/SDGSUICIDE</t>
        </is>
      </c>
      <c r="L3231" t="inlineStr">
        <is>
          <t>WHO GHO: Age-standardized suicide rate (per 100,000 population)</t>
        </is>
      </c>
      <c r="M3231" t="inlineStr">
        <is>
          <t>2021-12-31</t>
        </is>
      </c>
      <c r="N3231" t="inlineStr">
        <is>
          <t>auto_ingest=who_gho; indicator=SDGSUICIDE; year=2021; country_proxy=Vietnam</t>
        </is>
      </c>
    </row>
    <row r="3232">
      <c r="A3232" t="inlineStr">
        <is>
          <t>vn-da-nang</t>
        </is>
      </c>
      <c r="B3232" t="inlineStr">
        <is>
          <t>Da Nang</t>
        </is>
      </c>
      <c r="C3232" t="inlineStr">
        <is>
          <t>Vietnam</t>
        </is>
      </c>
      <c r="D3232" t="inlineStr">
        <is>
          <t>Southeast Asia</t>
        </is>
      </c>
      <c r="E3232" t="inlineStr">
        <is>
          <t>personal_safety_raw</t>
        </is>
      </c>
      <c r="F3232" t="inlineStr">
        <is>
          <t>Personal safety raw</t>
        </is>
      </c>
      <c r="G3232" t="inlineStr">
        <is>
          <t>viability</t>
        </is>
      </c>
      <c r="H3232" t="inlineStr">
        <is>
          <t>yes</t>
        </is>
      </c>
      <c r="I3232" t="inlineStr"/>
      <c r="J3232" t="inlineStr"/>
      <c r="K3232" t="inlineStr"/>
      <c r="L3232" t="inlineStr"/>
      <c r="M3232" t="inlineStr"/>
      <c r="N3232" t="inlineStr"/>
    </row>
    <row r="3233">
      <c r="A3233" t="inlineStr">
        <is>
          <t>vn-da-nang</t>
        </is>
      </c>
      <c r="B3233" t="inlineStr">
        <is>
          <t>Da Nang</t>
        </is>
      </c>
      <c r="C3233" t="inlineStr">
        <is>
          <t>Vietnam</t>
        </is>
      </c>
      <c r="D3233" t="inlineStr">
        <is>
          <t>Southeast Asia</t>
        </is>
      </c>
      <c r="E3233" t="inlineStr">
        <is>
          <t>transit_access_commute_raw</t>
        </is>
      </c>
      <c r="F3233" t="inlineStr">
        <is>
          <t>Transit access and commute raw</t>
        </is>
      </c>
      <c r="G3233" t="inlineStr">
        <is>
          <t>viability</t>
        </is>
      </c>
      <c r="H3233" t="inlineStr">
        <is>
          <t>yes</t>
        </is>
      </c>
      <c r="I3233" t="inlineStr"/>
      <c r="J3233" t="inlineStr"/>
      <c r="K3233" t="inlineStr"/>
      <c r="L3233" t="inlineStr"/>
      <c r="M3233" t="inlineStr"/>
      <c r="N3233" t="inlineStr"/>
    </row>
    <row r="3234">
      <c r="A3234" t="inlineStr">
        <is>
          <t>vn-da-nang</t>
        </is>
      </c>
      <c r="B3234" t="inlineStr">
        <is>
          <t>Da Nang</t>
        </is>
      </c>
      <c r="C3234" t="inlineStr">
        <is>
          <t>Vietnam</t>
        </is>
      </c>
      <c r="D3234" t="inlineStr">
        <is>
          <t>Southeast Asia</t>
        </is>
      </c>
      <c r="E3234" t="inlineStr">
        <is>
          <t>clean_air_raw</t>
        </is>
      </c>
      <c r="F3234" t="inlineStr">
        <is>
          <t>Clean air raw</t>
        </is>
      </c>
      <c r="G3234" t="inlineStr">
        <is>
          <t>viability</t>
        </is>
      </c>
      <c r="H3234" t="inlineStr">
        <is>
          <t>yes</t>
        </is>
      </c>
      <c r="I3234" t="inlineStr"/>
      <c r="J3234" t="inlineStr"/>
      <c r="K3234" t="inlineStr"/>
      <c r="L3234" t="inlineStr"/>
      <c r="M3234" t="inlineStr"/>
      <c r="N3234" t="inlineStr"/>
    </row>
    <row r="3235">
      <c r="A3235" t="inlineStr">
        <is>
          <t>vn-da-nang</t>
        </is>
      </c>
      <c r="B3235" t="inlineStr">
        <is>
          <t>Da Nang</t>
        </is>
      </c>
      <c r="C3235" t="inlineStr">
        <is>
          <t>Vietnam</t>
        </is>
      </c>
      <c r="D3235" t="inlineStr">
        <is>
          <t>Southeast Asia</t>
        </is>
      </c>
      <c r="E3235" t="inlineStr">
        <is>
          <t>water_sanitation_utility_raw</t>
        </is>
      </c>
      <c r="F3235" t="inlineStr">
        <is>
          <t>Water, sanitation, and utility raw</t>
        </is>
      </c>
      <c r="G3235" t="inlineStr">
        <is>
          <t>viability</t>
        </is>
      </c>
      <c r="H3235" t="inlineStr">
        <is>
          <t>yes</t>
        </is>
      </c>
      <c r="I3235" t="inlineStr"/>
      <c r="J3235" t="inlineStr"/>
      <c r="K3235" t="inlineStr"/>
      <c r="L3235" t="inlineStr"/>
      <c r="M3235" t="inlineStr"/>
      <c r="N3235" t="inlineStr"/>
    </row>
    <row r="3236">
      <c r="A3236" t="inlineStr">
        <is>
          <t>vn-da-nang</t>
        </is>
      </c>
      <c r="B3236" t="inlineStr">
        <is>
          <t>Da Nang</t>
        </is>
      </c>
      <c r="C3236" t="inlineStr">
        <is>
          <t>Vietnam</t>
        </is>
      </c>
      <c r="D3236" t="inlineStr">
        <is>
          <t>Southeast Asia</t>
        </is>
      </c>
      <c r="E3236" t="inlineStr">
        <is>
          <t>digital_infrastructure_raw</t>
        </is>
      </c>
      <c r="F3236" t="inlineStr">
        <is>
          <t>Digital infrastructure raw</t>
        </is>
      </c>
      <c r="G3236" t="inlineStr">
        <is>
          <t>viability</t>
        </is>
      </c>
      <c r="H3236" t="inlineStr">
        <is>
          <t>yes</t>
        </is>
      </c>
      <c r="I3236" t="inlineStr"/>
      <c r="J3236" t="inlineStr"/>
      <c r="K3236" t="inlineStr"/>
      <c r="L3236" t="inlineStr"/>
      <c r="M3236" t="inlineStr"/>
      <c r="N3236" t="inlineStr"/>
    </row>
    <row r="3237">
      <c r="A3237" t="inlineStr">
        <is>
          <t>vn-da-nang</t>
        </is>
      </c>
      <c r="B3237" t="inlineStr">
        <is>
          <t>Da Nang</t>
        </is>
      </c>
      <c r="C3237" t="inlineStr">
        <is>
          <t>Vietnam</t>
        </is>
      </c>
      <c r="D3237" t="inlineStr">
        <is>
          <t>Southeast Asia</t>
        </is>
      </c>
      <c r="E3237" t="inlineStr">
        <is>
          <t>climate_sunlight_livability_raw</t>
        </is>
      </c>
      <c r="F3237" t="inlineStr">
        <is>
          <t>Climate and sunlight livability raw</t>
        </is>
      </c>
      <c r="G3237" t="inlineStr">
        <is>
          <t>viability</t>
        </is>
      </c>
      <c r="H3237" t="inlineStr">
        <is>
          <t>yes</t>
        </is>
      </c>
      <c r="I3237" t="inlineStr"/>
      <c r="J3237" t="inlineStr"/>
      <c r="K3237" t="inlineStr"/>
      <c r="L3237" t="inlineStr"/>
      <c r="M3237" t="inlineStr"/>
      <c r="N3237" t="inlineStr"/>
    </row>
    <row r="3238">
      <c r="A3238" t="inlineStr">
        <is>
          <t>vn-da-nang</t>
        </is>
      </c>
      <c r="B3238" t="inlineStr">
        <is>
          <t>Da Nang</t>
        </is>
      </c>
      <c r="C3238" t="inlineStr">
        <is>
          <t>Vietnam</t>
        </is>
      </c>
      <c r="D3238" t="inlineStr">
        <is>
          <t>Southeast Asia</t>
        </is>
      </c>
      <c r="E3238" t="inlineStr">
        <is>
          <t>healthcare_quality_raw</t>
        </is>
      </c>
      <c r="F3238" t="inlineStr">
        <is>
          <t>Healthcare quality raw</t>
        </is>
      </c>
      <c r="G3238" t="inlineStr">
        <is>
          <t>capability</t>
        </is>
      </c>
      <c r="H3238" t="inlineStr">
        <is>
          <t>yes</t>
        </is>
      </c>
      <c r="I3238" t="inlineStr">
        <is>
          <t>71.0</t>
        </is>
      </c>
      <c r="J3238" t="inlineStr">
        <is>
          <t>who_gho</t>
        </is>
      </c>
      <c r="K3238" t="inlineStr">
        <is>
          <t>https://www.who.int/data/gho/data/indicators/indicator-details/GHO/UHC_INDEX_REPORTED</t>
        </is>
      </c>
      <c r="L3238" t="inlineStr">
        <is>
          <t>WHO GHO: UHC Service Coverage Index</t>
        </is>
      </c>
      <c r="M3238" t="inlineStr">
        <is>
          <t>2023-12-31</t>
        </is>
      </c>
      <c r="N3238" t="inlineStr">
        <is>
          <t>auto_ingest=who_gho; indicator=UHC_INDEX_REPORTED; year=2023; country_proxy=Vietnam</t>
        </is>
      </c>
    </row>
    <row r="3239">
      <c r="A3239" t="inlineStr">
        <is>
          <t>vn-da-nang</t>
        </is>
      </c>
      <c r="B3239" t="inlineStr">
        <is>
          <t>Da Nang</t>
        </is>
      </c>
      <c r="C3239" t="inlineStr">
        <is>
          <t>Vietnam</t>
        </is>
      </c>
      <c r="D3239" t="inlineStr">
        <is>
          <t>Southeast Asia</t>
        </is>
      </c>
      <c r="E3239" t="inlineStr">
        <is>
          <t>education_quality_raw</t>
        </is>
      </c>
      <c r="F3239" t="inlineStr">
        <is>
          <t>Education quality raw</t>
        </is>
      </c>
      <c r="G3239" t="inlineStr">
        <is>
          <t>capability</t>
        </is>
      </c>
      <c r="H3239" t="inlineStr">
        <is>
          <t>yes</t>
        </is>
      </c>
      <c r="I3239" t="inlineStr"/>
      <c r="J3239" t="inlineStr"/>
      <c r="K3239" t="inlineStr"/>
      <c r="L3239" t="inlineStr"/>
      <c r="M3239" t="inlineStr"/>
      <c r="N3239" t="inlineStr"/>
    </row>
    <row r="3240">
      <c r="A3240" t="inlineStr">
        <is>
          <t>vn-da-nang</t>
        </is>
      </c>
      <c r="B3240" t="inlineStr">
        <is>
          <t>Da Nang</t>
        </is>
      </c>
      <c r="C3240" t="inlineStr">
        <is>
          <t>Vietnam</t>
        </is>
      </c>
      <c r="D3240" t="inlineStr">
        <is>
          <t>Southeast Asia</t>
        </is>
      </c>
      <c r="E3240" t="inlineStr">
        <is>
          <t>equal_opportunity_raw</t>
        </is>
      </c>
      <c r="F3240" t="inlineStr">
        <is>
          <t>Equal opportunity raw</t>
        </is>
      </c>
      <c r="G3240" t="inlineStr">
        <is>
          <t>capability</t>
        </is>
      </c>
      <c r="H3240" t="inlineStr">
        <is>
          <t>yes</t>
        </is>
      </c>
      <c r="I3240" t="inlineStr">
        <is>
          <t>36.1</t>
        </is>
      </c>
      <c r="J3240" t="inlineStr">
        <is>
          <t>world_bank</t>
        </is>
      </c>
      <c r="K3240" t="inlineStr">
        <is>
          <t>https://api.worldbank.org/v2/country/VNM/indicator/SI.POV.GINI?format=json&amp;mrv=10</t>
        </is>
      </c>
      <c r="L3240" t="inlineStr">
        <is>
          <t>World Bank WDI: Gini index</t>
        </is>
      </c>
      <c r="M3240" t="inlineStr">
        <is>
          <t>2022-12-31</t>
        </is>
      </c>
      <c r="N3240" t="inlineStr">
        <is>
          <t>auto_ingest=world_bank_capability; indicator=SI.POV.GINI; year=2022; country_proxy=Vietnam</t>
        </is>
      </c>
    </row>
    <row r="3241">
      <c r="A3241" t="inlineStr">
        <is>
          <t>vn-da-nang</t>
        </is>
      </c>
      <c r="B3241" t="inlineStr">
        <is>
          <t>Da Nang</t>
        </is>
      </c>
      <c r="C3241" t="inlineStr">
        <is>
          <t>Vietnam</t>
        </is>
      </c>
      <c r="D3241" t="inlineStr">
        <is>
          <t>Southeast Asia</t>
        </is>
      </c>
      <c r="E3241" t="inlineStr">
        <is>
          <t>hospitality_belonging_raw</t>
        </is>
      </c>
      <c r="F3241" t="inlineStr">
        <is>
          <t>Hospitality and belonging raw</t>
        </is>
      </c>
      <c r="G3241" t="inlineStr">
        <is>
          <t>community</t>
        </is>
      </c>
      <c r="H3241" t="inlineStr">
        <is>
          <t>yes</t>
        </is>
      </c>
      <c r="I3241" t="inlineStr"/>
      <c r="J3241" t="inlineStr"/>
      <c r="K3241" t="inlineStr"/>
      <c r="L3241" t="inlineStr"/>
      <c r="M3241" t="inlineStr"/>
      <c r="N3241" t="inlineStr"/>
    </row>
    <row r="3242">
      <c r="A3242" t="inlineStr">
        <is>
          <t>vn-da-nang</t>
        </is>
      </c>
      <c r="B3242" t="inlineStr">
        <is>
          <t>Da Nang</t>
        </is>
      </c>
      <c r="C3242" t="inlineStr">
        <is>
          <t>Vietnam</t>
        </is>
      </c>
      <c r="D3242" t="inlineStr">
        <is>
          <t>Southeast Asia</t>
        </is>
      </c>
      <c r="E3242" t="inlineStr">
        <is>
          <t>tolerance_pluralism_raw</t>
        </is>
      </c>
      <c r="F3242" t="inlineStr">
        <is>
          <t>Tolerance and pluralism raw</t>
        </is>
      </c>
      <c r="G3242" t="inlineStr">
        <is>
          <t>community</t>
        </is>
      </c>
      <c r="H3242" t="inlineStr">
        <is>
          <t>yes</t>
        </is>
      </c>
      <c r="I3242" t="inlineStr"/>
      <c r="J3242" t="inlineStr"/>
      <c r="K3242" t="inlineStr"/>
      <c r="L3242" t="inlineStr"/>
      <c r="M3242" t="inlineStr"/>
      <c r="N3242" t="inlineStr"/>
    </row>
    <row r="3243">
      <c r="A3243" t="inlineStr">
        <is>
          <t>vn-da-nang</t>
        </is>
      </c>
      <c r="B3243" t="inlineStr">
        <is>
          <t>Da Nang</t>
        </is>
      </c>
      <c r="C3243" t="inlineStr">
        <is>
          <t>Vietnam</t>
        </is>
      </c>
      <c r="D3243" t="inlineStr">
        <is>
          <t>Southeast Asia</t>
        </is>
      </c>
      <c r="E3243" t="inlineStr">
        <is>
          <t>cultural_public_life_raw</t>
        </is>
      </c>
      <c r="F3243" t="inlineStr">
        <is>
          <t>Cultural public life raw</t>
        </is>
      </c>
      <c r="G3243" t="inlineStr">
        <is>
          <t>community</t>
        </is>
      </c>
      <c r="H3243" t="inlineStr">
        <is>
          <t>yes</t>
        </is>
      </c>
      <c r="I3243" t="inlineStr"/>
      <c r="J3243" t="inlineStr"/>
      <c r="K3243" t="inlineStr"/>
      <c r="L3243" t="inlineStr"/>
      <c r="M3243" t="inlineStr"/>
      <c r="N3243" t="inlineStr"/>
    </row>
    <row r="3244">
      <c r="A3244" t="inlineStr">
        <is>
          <t>vn-da-nang</t>
        </is>
      </c>
      <c r="B3244" t="inlineStr">
        <is>
          <t>Da Nang</t>
        </is>
      </c>
      <c r="C3244" t="inlineStr">
        <is>
          <t>Vietnam</t>
        </is>
      </c>
      <c r="D3244" t="inlineStr">
        <is>
          <t>Southeast Asia</t>
        </is>
      </c>
      <c r="E3244" t="inlineStr">
        <is>
          <t>birth_rate_optimism_raw</t>
        </is>
      </c>
      <c r="F3244" t="inlineStr">
        <is>
          <t>Birth rate and societal optimism raw</t>
        </is>
      </c>
      <c r="G3244" t="inlineStr">
        <is>
          <t>community</t>
        </is>
      </c>
      <c r="H3244" t="inlineStr">
        <is>
          <t>yes</t>
        </is>
      </c>
      <c r="I3244" t="inlineStr">
        <is>
          <t>1.94</t>
        </is>
      </c>
      <c r="J3244" t="inlineStr">
        <is>
          <t>world_bank</t>
        </is>
      </c>
      <c r="K3244" t="inlineStr">
        <is>
          <t>https://data.worldbank.org/indicator/SP.DYN.TFRT.IN</t>
        </is>
      </c>
      <c r="L3244" t="inlineStr">
        <is>
          <t>World Bank Total Fertility Rate 2023</t>
        </is>
      </c>
      <c r="M3244" t="inlineStr">
        <is>
          <t>2024-01-01</t>
        </is>
      </c>
      <c r="N3244" t="inlineStr"/>
    </row>
    <row r="3245">
      <c r="A3245" t="inlineStr">
        <is>
          <t>vn-da-nang</t>
        </is>
      </c>
      <c r="B3245" t="inlineStr">
        <is>
          <t>Da Nang</t>
        </is>
      </c>
      <c r="C3245" t="inlineStr">
        <is>
          <t>Vietnam</t>
        </is>
      </c>
      <c r="D3245" t="inlineStr">
        <is>
          <t>Southeast Asia</t>
        </is>
      </c>
      <c r="E3245" t="inlineStr">
        <is>
          <t>entrepreneurial_dynamism_raw</t>
        </is>
      </c>
      <c r="F3245" t="inlineStr">
        <is>
          <t>Entrepreneurial dynamism raw</t>
        </is>
      </c>
      <c r="G3245" t="inlineStr">
        <is>
          <t>creative</t>
        </is>
      </c>
      <c r="H3245" t="inlineStr">
        <is>
          <t>yes</t>
        </is>
      </c>
      <c r="I3245" t="inlineStr">
        <is>
          <t>1.82</t>
        </is>
      </c>
      <c r="J3245" t="inlineStr">
        <is>
          <t>world_bank</t>
        </is>
      </c>
      <c r="K3245" t="inlineStr">
        <is>
          <t>https://api.worldbank.org/v2/country/VNM/indicator/IC.BUS.NDNS.ZS?format=json&amp;mrv=10</t>
        </is>
      </c>
      <c r="L3245" t="inlineStr">
        <is>
          <t>World Bank WDI: New business density (new registrations per 1,000 people ages 15-64)</t>
        </is>
      </c>
      <c r="M3245" t="inlineStr">
        <is>
          <t>2022-12-31</t>
        </is>
      </c>
      <c r="N3245" t="inlineStr">
        <is>
          <t>auto_ingest=world_bank_creative_extended; indicator=IC.BUS.NDNS.ZS; year=2022; country_proxy=Vietnam</t>
        </is>
      </c>
    </row>
    <row r="3246">
      <c r="A3246" t="inlineStr">
        <is>
          <t>vn-da-nang</t>
        </is>
      </c>
      <c r="B3246" t="inlineStr">
        <is>
          <t>Da Nang</t>
        </is>
      </c>
      <c r="C3246" t="inlineStr">
        <is>
          <t>Vietnam</t>
        </is>
      </c>
      <c r="D3246" t="inlineStr">
        <is>
          <t>Southeast Asia</t>
        </is>
      </c>
      <c r="E3246" t="inlineStr">
        <is>
          <t>innovation_research_intensity_raw</t>
        </is>
      </c>
      <c r="F3246" t="inlineStr">
        <is>
          <t>Innovation and research raw</t>
        </is>
      </c>
      <c r="G3246" t="inlineStr">
        <is>
          <t>creative</t>
        </is>
      </c>
      <c r="H3246" t="inlineStr">
        <is>
          <t>yes</t>
        </is>
      </c>
      <c r="I3246" t="inlineStr">
        <is>
          <t>0.42</t>
        </is>
      </c>
      <c r="J3246" t="inlineStr">
        <is>
          <t>world_bank</t>
        </is>
      </c>
      <c r="K3246" t="inlineStr">
        <is>
          <t>https://api.worldbank.org/v2/country/VNM/indicator/GB.XPD.RSDV.GD.ZS?format=json&amp;mrv=10</t>
        </is>
      </c>
      <c r="L3246" t="inlineStr">
        <is>
          <t>World Bank WDI: Research and development expenditure (% of GDP)</t>
        </is>
      </c>
      <c r="M3246" t="inlineStr">
        <is>
          <t>2021-12-31</t>
        </is>
      </c>
      <c r="N3246" t="inlineStr">
        <is>
          <t>auto_ingest=world_bank_creative_extended; indicator=GB.XPD.RSDV.GD.ZS; year=2021; country_proxy=Vietnam</t>
        </is>
      </c>
    </row>
    <row r="3247">
      <c r="A3247" t="inlineStr">
        <is>
          <t>vn-da-nang</t>
        </is>
      </c>
      <c r="B3247" t="inlineStr">
        <is>
          <t>Da Nang</t>
        </is>
      </c>
      <c r="C3247" t="inlineStr">
        <is>
          <t>Vietnam</t>
        </is>
      </c>
      <c r="D3247" t="inlineStr">
        <is>
          <t>Southeast Asia</t>
        </is>
      </c>
      <c r="E3247" t="inlineStr">
        <is>
          <t>investment_signal_raw</t>
        </is>
      </c>
      <c r="F3247" t="inlineStr">
        <is>
          <t>Investment signal raw</t>
        </is>
      </c>
      <c r="G3247" t="inlineStr">
        <is>
          <t>creative</t>
        </is>
      </c>
      <c r="H3247" t="inlineStr">
        <is>
          <t>yes</t>
        </is>
      </c>
      <c r="I3247" t="inlineStr">
        <is>
          <t>4.23</t>
        </is>
      </c>
      <c r="J3247" t="inlineStr">
        <is>
          <t>world_bank</t>
        </is>
      </c>
      <c r="K3247" t="inlineStr">
        <is>
          <t>https://api.worldbank.org/v2/country/VNM/indicator/BX.KLT.DINV.WD.GD.ZS?format=json&amp;mrv=10</t>
        </is>
      </c>
      <c r="L3247" t="inlineStr">
        <is>
          <t>World Bank WDI: Foreign direct investment, net inflows (% of GDP)</t>
        </is>
      </c>
      <c r="M3247" t="inlineStr">
        <is>
          <t>2024-12-31</t>
        </is>
      </c>
      <c r="N3247" t="inlineStr">
        <is>
          <t>auto_ingest=world_bank_creative_extended; indicator=BX.KLT.DINV.WD.GD.ZS; year=2024; country_proxy=Vietnam</t>
        </is>
      </c>
    </row>
    <row r="3248">
      <c r="A3248" t="inlineStr">
        <is>
          <t>vn-da-nang</t>
        </is>
      </c>
      <c r="B3248" t="inlineStr">
        <is>
          <t>Da Nang</t>
        </is>
      </c>
      <c r="C3248" t="inlineStr">
        <is>
          <t>Vietnam</t>
        </is>
      </c>
      <c r="D3248" t="inlineStr">
        <is>
          <t>Southeast Asia</t>
        </is>
      </c>
      <c r="E3248" t="inlineStr">
        <is>
          <t>administrative_investment_friction_raw</t>
        </is>
      </c>
      <c r="F3248" t="inlineStr">
        <is>
          <t>Administrative investment friction raw</t>
        </is>
      </c>
      <c r="G3248" t="inlineStr">
        <is>
          <t>creative</t>
        </is>
      </c>
      <c r="H3248" t="inlineStr">
        <is>
          <t>yes</t>
        </is>
      </c>
      <c r="I3248" t="inlineStr">
        <is>
          <t>2.88</t>
        </is>
      </c>
      <c r="J3248" t="inlineStr">
        <is>
          <t>world_bank</t>
        </is>
      </c>
      <c r="K3248" t="inlineStr">
        <is>
          <t>https://api.worldbank.org/v2/country/VNM/indicator/RQ.EST?format=json&amp;mrv=10</t>
        </is>
      </c>
      <c r="L3248" t="inlineStr">
        <is>
          <t>World Bank WGI: Regulatory Quality (inverted as friction proxy)</t>
        </is>
      </c>
      <c r="M3248" t="inlineStr">
        <is>
          <t>2023-12-31</t>
        </is>
      </c>
      <c r="N3248" t="inlineStr">
        <is>
          <t>auto_ingest=world_bank_business_friction; indicator=RQ.EST; raw_rq=-0.382607728242874; friction=2.88; year=2023; country_proxy=Vietnam</t>
        </is>
      </c>
    </row>
    <row r="3249">
      <c r="A3249" t="inlineStr">
        <is>
          <t>vn-da-nang</t>
        </is>
      </c>
      <c r="B3249" t="inlineStr">
        <is>
          <t>Da Nang</t>
        </is>
      </c>
      <c r="C3249" t="inlineStr">
        <is>
          <t>Vietnam</t>
        </is>
      </c>
      <c r="D3249" t="inlineStr">
        <is>
          <t>Southeast Asia</t>
        </is>
      </c>
      <c r="E3249" t="inlineStr">
        <is>
          <t>visitor_flow_context_raw</t>
        </is>
      </c>
      <c r="F3249" t="inlineStr">
        <is>
          <t>Visitor flow context raw</t>
        </is>
      </c>
      <c r="G3249" t="inlineStr">
        <is>
          <t>creative</t>
        </is>
      </c>
      <c r="H3249" t="inlineStr">
        <is>
          <t>no</t>
        </is>
      </c>
      <c r="I3249" t="inlineStr"/>
      <c r="J3249" t="inlineStr"/>
      <c r="K3249" t="inlineStr"/>
      <c r="L3249" t="inlineStr"/>
      <c r="M3249" t="inlineStr"/>
      <c r="N3249" t="inlineStr"/>
    </row>
    <row r="3250">
      <c r="A3250" t="inlineStr">
        <is>
          <t>kh-phnom-penh</t>
        </is>
      </c>
      <c r="B3250" t="inlineStr">
        <is>
          <t>Phnom Penh</t>
        </is>
      </c>
      <c r="C3250" t="inlineStr">
        <is>
          <t>Cambodia</t>
        </is>
      </c>
      <c r="D3250" t="inlineStr">
        <is>
          <t>Southeast Asia</t>
        </is>
      </c>
      <c r="E3250" t="inlineStr">
        <is>
          <t>gross_income</t>
        </is>
      </c>
      <c r="F3250" t="inlineStr">
        <is>
          <t>Gross income</t>
        </is>
      </c>
      <c r="G3250" t="inlineStr">
        <is>
          <t>pressure</t>
        </is>
      </c>
      <c r="H3250" t="inlineStr">
        <is>
          <t>yes</t>
        </is>
      </c>
      <c r="I3250" t="inlineStr">
        <is>
          <t>659.17</t>
        </is>
      </c>
      <c r="J3250" t="inlineStr">
        <is>
          <t>world_bank_col_estimate</t>
        </is>
      </c>
      <c r="K3250" t="inlineStr">
        <is>
          <t>https://api.worldbank.org/v2/country/KHM/indicator/NY.GNP.PCAP.PP.CD?format=json&amp;mrv=10</t>
        </is>
      </c>
      <c r="L3250" t="inlineStr">
        <is>
          <t>World Bank WDI: GNI per capita PPP (monthly USD)</t>
        </is>
      </c>
      <c r="M3250" t="inlineStr">
        <is>
          <t>2024-12-31</t>
        </is>
      </c>
      <c r="N3250" t="inlineStr">
        <is>
          <t>auto_ingest=world_bank_col_estimate; gni_annual=7910.0; year=2024; country_proxy=Cambodia; cohort=Southeast Asia</t>
        </is>
      </c>
    </row>
    <row r="3251">
      <c r="A3251" t="inlineStr">
        <is>
          <t>kh-phnom-penh</t>
        </is>
      </c>
      <c r="B3251" t="inlineStr">
        <is>
          <t>Phnom Penh</t>
        </is>
      </c>
      <c r="C3251" t="inlineStr">
        <is>
          <t>Cambodia</t>
        </is>
      </c>
      <c r="D3251" t="inlineStr">
        <is>
          <t>Southeast Asia</t>
        </is>
      </c>
      <c r="E3251" t="inlineStr">
        <is>
          <t>di_ppp_raw</t>
        </is>
      </c>
      <c r="F3251" t="inlineStr">
        <is>
          <t>Disposable income PPP (Raw)</t>
        </is>
      </c>
      <c r="G3251" t="inlineStr">
        <is>
          <t>pressure</t>
        </is>
      </c>
      <c r="H3251" t="inlineStr">
        <is>
          <t>yes</t>
        </is>
      </c>
      <c r="I3251" t="inlineStr"/>
      <c r="J3251" t="inlineStr"/>
      <c r="K3251" t="inlineStr"/>
      <c r="L3251" t="inlineStr"/>
      <c r="M3251" t="inlineStr"/>
      <c r="N3251" t="inlineStr"/>
    </row>
    <row r="3252">
      <c r="A3252" t="inlineStr">
        <is>
          <t>kh-phnom-penh</t>
        </is>
      </c>
      <c r="B3252" t="inlineStr">
        <is>
          <t>Phnom Penh</t>
        </is>
      </c>
      <c r="C3252" t="inlineStr">
        <is>
          <t>Cambodia</t>
        </is>
      </c>
      <c r="D3252" t="inlineStr">
        <is>
          <t>Southeast Asia</t>
        </is>
      </c>
      <c r="E3252" t="inlineStr">
        <is>
          <t>rent</t>
        </is>
      </c>
      <c r="F3252" t="inlineStr">
        <is>
          <t>Rent</t>
        </is>
      </c>
      <c r="G3252" t="inlineStr">
        <is>
          <t>pressure</t>
        </is>
      </c>
      <c r="H3252" t="inlineStr">
        <is>
          <t>yes</t>
        </is>
      </c>
      <c r="I3252" t="inlineStr">
        <is>
          <t>118.65</t>
        </is>
      </c>
      <c r="J3252" t="inlineStr">
        <is>
          <t>world_bank_col_estimate</t>
        </is>
      </c>
      <c r="K3252" t="inlineStr">
        <is>
          <t>https://api.worldbank.org/v2/country/KHM/indicator/NY.GNP.PCAP.PP.CD?format=json&amp;mrv=10</t>
        </is>
      </c>
      <c r="L3252" t="inlineStr">
        <is>
          <t>World Bank GNI + regional expenditure ratio estimate</t>
        </is>
      </c>
      <c r="M3252" t="inlineStr">
        <is>
          <t>2024-12-31</t>
        </is>
      </c>
      <c r="N3252" t="inlineStr">
        <is>
          <t>auto_ingest=world_bank_col_estimate; gni_annual=7910.0; year=2024; country_proxy=Cambodia; cohort=Southeast Asia; city_cost_mult=0.9</t>
        </is>
      </c>
    </row>
    <row r="3253">
      <c r="A3253" t="inlineStr">
        <is>
          <t>kh-phnom-penh</t>
        </is>
      </c>
      <c r="B3253" t="inlineStr">
        <is>
          <t>Phnom Penh</t>
        </is>
      </c>
      <c r="C3253" t="inlineStr">
        <is>
          <t>Cambodia</t>
        </is>
      </c>
      <c r="D3253" t="inlineStr">
        <is>
          <t>Southeast Asia</t>
        </is>
      </c>
      <c r="E3253" t="inlineStr">
        <is>
          <t>utilities</t>
        </is>
      </c>
      <c r="F3253" t="inlineStr">
        <is>
          <t>Utilities</t>
        </is>
      </c>
      <c r="G3253" t="inlineStr">
        <is>
          <t>pressure</t>
        </is>
      </c>
      <c r="H3253" t="inlineStr">
        <is>
          <t>yes</t>
        </is>
      </c>
      <c r="I3253" t="inlineStr">
        <is>
          <t>29.66</t>
        </is>
      </c>
      <c r="J3253" t="inlineStr">
        <is>
          <t>world_bank_col_estimate</t>
        </is>
      </c>
      <c r="K3253" t="inlineStr">
        <is>
          <t>https://api.worldbank.org/v2/country/KHM/indicator/NY.GNP.PCAP.PP.CD?format=json&amp;mrv=10</t>
        </is>
      </c>
      <c r="L3253" t="inlineStr">
        <is>
          <t>World Bank GNI + regional expenditure ratio estimate</t>
        </is>
      </c>
      <c r="M3253" t="inlineStr">
        <is>
          <t>2024-12-31</t>
        </is>
      </c>
      <c r="N3253" t="inlineStr">
        <is>
          <t>auto_ingest=world_bank_col_estimate; gni_annual=7910.0; year=2024; country_proxy=Cambodia; cohort=Southeast Asia; city_cost_mult=0.9</t>
        </is>
      </c>
    </row>
    <row r="3254">
      <c r="A3254" t="inlineStr">
        <is>
          <t>kh-phnom-penh</t>
        </is>
      </c>
      <c r="B3254" t="inlineStr">
        <is>
          <t>Phnom Penh</t>
        </is>
      </c>
      <c r="C3254" t="inlineStr">
        <is>
          <t>Cambodia</t>
        </is>
      </c>
      <c r="D3254" t="inlineStr">
        <is>
          <t>Southeast Asia</t>
        </is>
      </c>
      <c r="E3254" t="inlineStr">
        <is>
          <t>transit_cost</t>
        </is>
      </c>
      <c r="F3254" t="inlineStr">
        <is>
          <t>Transit cost</t>
        </is>
      </c>
      <c r="G3254" t="inlineStr">
        <is>
          <t>pressure</t>
        </is>
      </c>
      <c r="H3254" t="inlineStr">
        <is>
          <t>yes</t>
        </is>
      </c>
      <c r="I3254" t="inlineStr">
        <is>
          <t>23.73</t>
        </is>
      </c>
      <c r="J3254" t="inlineStr">
        <is>
          <t>world_bank_col_estimate</t>
        </is>
      </c>
      <c r="K3254" t="inlineStr">
        <is>
          <t>https://api.worldbank.org/v2/country/KHM/indicator/NY.GNP.PCAP.PP.CD?format=json&amp;mrv=10</t>
        </is>
      </c>
      <c r="L3254" t="inlineStr">
        <is>
          <t>World Bank GNI + regional expenditure ratio estimate</t>
        </is>
      </c>
      <c r="M3254" t="inlineStr">
        <is>
          <t>2024-12-31</t>
        </is>
      </c>
      <c r="N3254" t="inlineStr">
        <is>
          <t>auto_ingest=world_bank_col_estimate; gni_annual=7910.0; year=2024; country_proxy=Cambodia; cohort=Southeast Asia; city_cost_mult=0.9</t>
        </is>
      </c>
    </row>
    <row r="3255">
      <c r="A3255" t="inlineStr">
        <is>
          <t>kh-phnom-penh</t>
        </is>
      </c>
      <c r="B3255" t="inlineStr">
        <is>
          <t>Phnom Penh</t>
        </is>
      </c>
      <c r="C3255" t="inlineStr">
        <is>
          <t>Cambodia</t>
        </is>
      </c>
      <c r="D3255" t="inlineStr">
        <is>
          <t>Southeast Asia</t>
        </is>
      </c>
      <c r="E3255" t="inlineStr">
        <is>
          <t>internet_cost</t>
        </is>
      </c>
      <c r="F3255" t="inlineStr">
        <is>
          <t>Internet cost</t>
        </is>
      </c>
      <c r="G3255" t="inlineStr">
        <is>
          <t>pressure</t>
        </is>
      </c>
      <c r="H3255" t="inlineStr">
        <is>
          <t>yes</t>
        </is>
      </c>
      <c r="I3255" t="inlineStr">
        <is>
          <t>8.9</t>
        </is>
      </c>
      <c r="J3255" t="inlineStr">
        <is>
          <t>world_bank_col_estimate</t>
        </is>
      </c>
      <c r="K3255" t="inlineStr">
        <is>
          <t>https://api.worldbank.org/v2/country/KHM/indicator/NY.GNP.PCAP.PP.CD?format=json&amp;mrv=10</t>
        </is>
      </c>
      <c r="L3255" t="inlineStr">
        <is>
          <t>World Bank GNI + regional expenditure ratio estimate</t>
        </is>
      </c>
      <c r="M3255" t="inlineStr">
        <is>
          <t>2024-12-31</t>
        </is>
      </c>
      <c r="N3255" t="inlineStr">
        <is>
          <t>auto_ingest=world_bank_col_estimate; gni_annual=7910.0; year=2024; country_proxy=Cambodia; cohort=Southeast Asia; city_cost_mult=0.9</t>
        </is>
      </c>
    </row>
    <row r="3256">
      <c r="A3256" t="inlineStr">
        <is>
          <t>kh-phnom-penh</t>
        </is>
      </c>
      <c r="B3256" t="inlineStr">
        <is>
          <t>Phnom Penh</t>
        </is>
      </c>
      <c r="C3256" t="inlineStr">
        <is>
          <t>Cambodia</t>
        </is>
      </c>
      <c r="D3256" t="inlineStr">
        <is>
          <t>Southeast Asia</t>
        </is>
      </c>
      <c r="E3256" t="inlineStr">
        <is>
          <t>food_cost</t>
        </is>
      </c>
      <c r="F3256" t="inlineStr">
        <is>
          <t>Food cost</t>
        </is>
      </c>
      <c r="G3256" t="inlineStr">
        <is>
          <t>pressure</t>
        </is>
      </c>
      <c r="H3256" t="inlineStr">
        <is>
          <t>yes</t>
        </is>
      </c>
      <c r="I3256" t="inlineStr">
        <is>
          <t>130.52</t>
        </is>
      </c>
      <c r="J3256" t="inlineStr">
        <is>
          <t>world_bank_col_estimate</t>
        </is>
      </c>
      <c r="K3256" t="inlineStr">
        <is>
          <t>https://api.worldbank.org/v2/country/KHM/indicator/NY.GNP.PCAP.PP.CD?format=json&amp;mrv=10</t>
        </is>
      </c>
      <c r="L3256" t="inlineStr">
        <is>
          <t>World Bank GNI + regional expenditure ratio estimate</t>
        </is>
      </c>
      <c r="M3256" t="inlineStr">
        <is>
          <t>2024-12-31</t>
        </is>
      </c>
      <c r="N3256" t="inlineStr">
        <is>
          <t>auto_ingest=world_bank_col_estimate; gni_annual=7910.0; year=2024; country_proxy=Cambodia; cohort=Southeast Asia; city_cost_mult=0.9</t>
        </is>
      </c>
    </row>
    <row r="3257">
      <c r="A3257" t="inlineStr">
        <is>
          <t>kh-phnom-penh</t>
        </is>
      </c>
      <c r="B3257" t="inlineStr">
        <is>
          <t>Phnom Penh</t>
        </is>
      </c>
      <c r="C3257" t="inlineStr">
        <is>
          <t>Cambodia</t>
        </is>
      </c>
      <c r="D3257" t="inlineStr">
        <is>
          <t>Southeast Asia</t>
        </is>
      </c>
      <c r="E3257" t="inlineStr">
        <is>
          <t>housing_burden_raw</t>
        </is>
      </c>
      <c r="F3257" t="inlineStr">
        <is>
          <t>Housing burden raw</t>
        </is>
      </c>
      <c r="G3257" t="inlineStr">
        <is>
          <t>pressure</t>
        </is>
      </c>
      <c r="H3257" t="inlineStr">
        <is>
          <t>yes</t>
        </is>
      </c>
      <c r="I3257" t="inlineStr">
        <is>
          <t>17.9999</t>
        </is>
      </c>
      <c r="J3257" t="inlineStr">
        <is>
          <t>derived</t>
        </is>
      </c>
      <c r="K3257" t="inlineStr">
        <is>
          <t>https://data.worldbank.org/indicator/NY.GNP.PCAP.PP.CD</t>
        </is>
      </c>
      <c r="L3257" t="inlineStr">
        <is>
          <t>Computed from city_inputs + country_context</t>
        </is>
      </c>
      <c r="M3257" t="inlineStr">
        <is>
          <t>2024-01-01</t>
        </is>
      </c>
      <c r="N3257" t="inlineStr">
        <is>
          <t>derived=rent/gross_income*100</t>
        </is>
      </c>
    </row>
    <row r="3258">
      <c r="A3258" t="inlineStr">
        <is>
          <t>kh-phnom-penh</t>
        </is>
      </c>
      <c r="B3258" t="inlineStr">
        <is>
          <t>Phnom Penh</t>
        </is>
      </c>
      <c r="C3258" t="inlineStr">
        <is>
          <t>Cambodia</t>
        </is>
      </c>
      <c r="D3258" t="inlineStr">
        <is>
          <t>Southeast Asia</t>
        </is>
      </c>
      <c r="E3258" t="inlineStr">
        <is>
          <t>household_debt_burden_raw</t>
        </is>
      </c>
      <c r="F3258" t="inlineStr">
        <is>
          <t>Household debt burden raw</t>
        </is>
      </c>
      <c r="G3258" t="inlineStr">
        <is>
          <t>pressure</t>
        </is>
      </c>
      <c r="H3258" t="inlineStr">
        <is>
          <t>yes</t>
        </is>
      </c>
      <c r="I3258" t="inlineStr"/>
      <c r="J3258" t="inlineStr"/>
      <c r="K3258" t="inlineStr"/>
      <c r="L3258" t="inlineStr"/>
      <c r="M3258" t="inlineStr"/>
      <c r="N3258" t="inlineStr"/>
    </row>
    <row r="3259">
      <c r="A3259" t="inlineStr">
        <is>
          <t>kh-phnom-penh</t>
        </is>
      </c>
      <c r="B3259" t="inlineStr">
        <is>
          <t>Phnom Penh</t>
        </is>
      </c>
      <c r="C3259" t="inlineStr">
        <is>
          <t>Cambodia</t>
        </is>
      </c>
      <c r="D3259" t="inlineStr">
        <is>
          <t>Southeast Asia</t>
        </is>
      </c>
      <c r="E3259" t="inlineStr">
        <is>
          <t>working_time_pressure_raw</t>
        </is>
      </c>
      <c r="F3259" t="inlineStr">
        <is>
          <t>Working time pressure raw</t>
        </is>
      </c>
      <c r="G3259" t="inlineStr">
        <is>
          <t>pressure</t>
        </is>
      </c>
      <c r="H3259" t="inlineStr">
        <is>
          <t>yes</t>
        </is>
      </c>
      <c r="I3259" t="inlineStr"/>
      <c r="J3259" t="inlineStr"/>
      <c r="K3259" t="inlineStr"/>
      <c r="L3259" t="inlineStr"/>
      <c r="M3259" t="inlineStr"/>
      <c r="N3259" t="inlineStr"/>
    </row>
    <row r="3260">
      <c r="A3260" t="inlineStr">
        <is>
          <t>kh-phnom-penh</t>
        </is>
      </c>
      <c r="B3260" t="inlineStr">
        <is>
          <t>Phnom Penh</t>
        </is>
      </c>
      <c r="C3260" t="inlineStr">
        <is>
          <t>Cambodia</t>
        </is>
      </c>
      <c r="D3260" t="inlineStr">
        <is>
          <t>Southeast Asia</t>
        </is>
      </c>
      <c r="E3260" t="inlineStr">
        <is>
          <t>suicide_mental_strain_raw</t>
        </is>
      </c>
      <c r="F3260" t="inlineStr">
        <is>
          <t>Suicide or mental strain raw</t>
        </is>
      </c>
      <c r="G3260" t="inlineStr">
        <is>
          <t>pressure</t>
        </is>
      </c>
      <c r="H3260" t="inlineStr">
        <is>
          <t>yes</t>
        </is>
      </c>
      <c r="I3260" t="inlineStr">
        <is>
          <t>4.5</t>
        </is>
      </c>
      <c r="J3260" t="inlineStr">
        <is>
          <t>who_gho</t>
        </is>
      </c>
      <c r="K3260" t="inlineStr">
        <is>
          <t>https://www.who.int/data/gho/data/indicators/indicator-details/GHO/SDGSUICIDE</t>
        </is>
      </c>
      <c r="L3260" t="inlineStr">
        <is>
          <t>WHO GHO: Age-standardized suicide rate (per 100,000 population)</t>
        </is>
      </c>
      <c r="M3260" t="inlineStr">
        <is>
          <t>2021-12-31</t>
        </is>
      </c>
      <c r="N3260" t="inlineStr">
        <is>
          <t>auto_ingest=who_gho; indicator=SDGSUICIDE; year=2021; country_proxy=Cambodia</t>
        </is>
      </c>
    </row>
    <row r="3261">
      <c r="A3261" t="inlineStr">
        <is>
          <t>kh-phnom-penh</t>
        </is>
      </c>
      <c r="B3261" t="inlineStr">
        <is>
          <t>Phnom Penh</t>
        </is>
      </c>
      <c r="C3261" t="inlineStr">
        <is>
          <t>Cambodia</t>
        </is>
      </c>
      <c r="D3261" t="inlineStr">
        <is>
          <t>Southeast Asia</t>
        </is>
      </c>
      <c r="E3261" t="inlineStr">
        <is>
          <t>personal_safety_raw</t>
        </is>
      </c>
      <c r="F3261" t="inlineStr">
        <is>
          <t>Personal safety raw</t>
        </is>
      </c>
      <c r="G3261" t="inlineStr">
        <is>
          <t>viability</t>
        </is>
      </c>
      <c r="H3261" t="inlineStr">
        <is>
          <t>yes</t>
        </is>
      </c>
      <c r="I3261" t="inlineStr"/>
      <c r="J3261" t="inlineStr"/>
      <c r="K3261" t="inlineStr"/>
      <c r="L3261" t="inlineStr"/>
      <c r="M3261" t="inlineStr"/>
      <c r="N3261" t="inlineStr"/>
    </row>
    <row r="3262">
      <c r="A3262" t="inlineStr">
        <is>
          <t>kh-phnom-penh</t>
        </is>
      </c>
      <c r="B3262" t="inlineStr">
        <is>
          <t>Phnom Penh</t>
        </is>
      </c>
      <c r="C3262" t="inlineStr">
        <is>
          <t>Cambodia</t>
        </is>
      </c>
      <c r="D3262" t="inlineStr">
        <is>
          <t>Southeast Asia</t>
        </is>
      </c>
      <c r="E3262" t="inlineStr">
        <is>
          <t>transit_access_commute_raw</t>
        </is>
      </c>
      <c r="F3262" t="inlineStr">
        <is>
          <t>Transit access and commute raw</t>
        </is>
      </c>
      <c r="G3262" t="inlineStr">
        <is>
          <t>viability</t>
        </is>
      </c>
      <c r="H3262" t="inlineStr">
        <is>
          <t>yes</t>
        </is>
      </c>
      <c r="I3262" t="inlineStr"/>
      <c r="J3262" t="inlineStr"/>
      <c r="K3262" t="inlineStr"/>
      <c r="L3262" t="inlineStr"/>
      <c r="M3262" t="inlineStr"/>
      <c r="N3262" t="inlineStr"/>
    </row>
    <row r="3263">
      <c r="A3263" t="inlineStr">
        <is>
          <t>kh-phnom-penh</t>
        </is>
      </c>
      <c r="B3263" t="inlineStr">
        <is>
          <t>Phnom Penh</t>
        </is>
      </c>
      <c r="C3263" t="inlineStr">
        <is>
          <t>Cambodia</t>
        </is>
      </c>
      <c r="D3263" t="inlineStr">
        <is>
          <t>Southeast Asia</t>
        </is>
      </c>
      <c r="E3263" t="inlineStr">
        <is>
          <t>clean_air_raw</t>
        </is>
      </c>
      <c r="F3263" t="inlineStr">
        <is>
          <t>Clean air raw</t>
        </is>
      </c>
      <c r="G3263" t="inlineStr">
        <is>
          <t>viability</t>
        </is>
      </c>
      <c r="H3263" t="inlineStr">
        <is>
          <t>yes</t>
        </is>
      </c>
      <c r="I3263" t="inlineStr"/>
      <c r="J3263" t="inlineStr"/>
      <c r="K3263" t="inlineStr"/>
      <c r="L3263" t="inlineStr"/>
      <c r="M3263" t="inlineStr"/>
      <c r="N3263" t="inlineStr"/>
    </row>
    <row r="3264">
      <c r="A3264" t="inlineStr">
        <is>
          <t>kh-phnom-penh</t>
        </is>
      </c>
      <c r="B3264" t="inlineStr">
        <is>
          <t>Phnom Penh</t>
        </is>
      </c>
      <c r="C3264" t="inlineStr">
        <is>
          <t>Cambodia</t>
        </is>
      </c>
      <c r="D3264" t="inlineStr">
        <is>
          <t>Southeast Asia</t>
        </is>
      </c>
      <c r="E3264" t="inlineStr">
        <is>
          <t>water_sanitation_utility_raw</t>
        </is>
      </c>
      <c r="F3264" t="inlineStr">
        <is>
          <t>Water, sanitation, and utility raw</t>
        </is>
      </c>
      <c r="G3264" t="inlineStr">
        <is>
          <t>viability</t>
        </is>
      </c>
      <c r="H3264" t="inlineStr">
        <is>
          <t>yes</t>
        </is>
      </c>
      <c r="I3264" t="inlineStr"/>
      <c r="J3264" t="inlineStr"/>
      <c r="K3264" t="inlineStr"/>
      <c r="L3264" t="inlineStr"/>
      <c r="M3264" t="inlineStr"/>
      <c r="N3264" t="inlineStr"/>
    </row>
    <row r="3265">
      <c r="A3265" t="inlineStr">
        <is>
          <t>kh-phnom-penh</t>
        </is>
      </c>
      <c r="B3265" t="inlineStr">
        <is>
          <t>Phnom Penh</t>
        </is>
      </c>
      <c r="C3265" t="inlineStr">
        <is>
          <t>Cambodia</t>
        </is>
      </c>
      <c r="D3265" t="inlineStr">
        <is>
          <t>Southeast Asia</t>
        </is>
      </c>
      <c r="E3265" t="inlineStr">
        <is>
          <t>digital_infrastructure_raw</t>
        </is>
      </c>
      <c r="F3265" t="inlineStr">
        <is>
          <t>Digital infrastructure raw</t>
        </is>
      </c>
      <c r="G3265" t="inlineStr">
        <is>
          <t>viability</t>
        </is>
      </c>
      <c r="H3265" t="inlineStr">
        <is>
          <t>yes</t>
        </is>
      </c>
      <c r="I3265" t="inlineStr"/>
      <c r="J3265" t="inlineStr"/>
      <c r="K3265" t="inlineStr"/>
      <c r="L3265" t="inlineStr"/>
      <c r="M3265" t="inlineStr"/>
      <c r="N3265" t="inlineStr"/>
    </row>
    <row r="3266">
      <c r="A3266" t="inlineStr">
        <is>
          <t>kh-phnom-penh</t>
        </is>
      </c>
      <c r="B3266" t="inlineStr">
        <is>
          <t>Phnom Penh</t>
        </is>
      </c>
      <c r="C3266" t="inlineStr">
        <is>
          <t>Cambodia</t>
        </is>
      </c>
      <c r="D3266" t="inlineStr">
        <is>
          <t>Southeast Asia</t>
        </is>
      </c>
      <c r="E3266" t="inlineStr">
        <is>
          <t>climate_sunlight_livability_raw</t>
        </is>
      </c>
      <c r="F3266" t="inlineStr">
        <is>
          <t>Climate and sunlight livability raw</t>
        </is>
      </c>
      <c r="G3266" t="inlineStr">
        <is>
          <t>viability</t>
        </is>
      </c>
      <c r="H3266" t="inlineStr">
        <is>
          <t>yes</t>
        </is>
      </c>
      <c r="I3266" t="inlineStr"/>
      <c r="J3266" t="inlineStr"/>
      <c r="K3266" t="inlineStr"/>
      <c r="L3266" t="inlineStr"/>
      <c r="M3266" t="inlineStr"/>
      <c r="N3266" t="inlineStr"/>
    </row>
    <row r="3267">
      <c r="A3267" t="inlineStr">
        <is>
          <t>kh-phnom-penh</t>
        </is>
      </c>
      <c r="B3267" t="inlineStr">
        <is>
          <t>Phnom Penh</t>
        </is>
      </c>
      <c r="C3267" t="inlineStr">
        <is>
          <t>Cambodia</t>
        </is>
      </c>
      <c r="D3267" t="inlineStr">
        <is>
          <t>Southeast Asia</t>
        </is>
      </c>
      <c r="E3267" t="inlineStr">
        <is>
          <t>healthcare_quality_raw</t>
        </is>
      </c>
      <c r="F3267" t="inlineStr">
        <is>
          <t>Healthcare quality raw</t>
        </is>
      </c>
      <c r="G3267" t="inlineStr">
        <is>
          <t>capability</t>
        </is>
      </c>
      <c r="H3267" t="inlineStr">
        <is>
          <t>yes</t>
        </is>
      </c>
      <c r="I3267" t="inlineStr">
        <is>
          <t>62.0</t>
        </is>
      </c>
      <c r="J3267" t="inlineStr">
        <is>
          <t>who_gho</t>
        </is>
      </c>
      <c r="K3267" t="inlineStr">
        <is>
          <t>https://www.who.int/data/gho/data/indicators/indicator-details/GHO/UHC_INDEX_REPORTED</t>
        </is>
      </c>
      <c r="L3267" t="inlineStr">
        <is>
          <t>WHO GHO: UHC Service Coverage Index</t>
        </is>
      </c>
      <c r="M3267" t="inlineStr">
        <is>
          <t>2023-12-31</t>
        </is>
      </c>
      <c r="N3267" t="inlineStr">
        <is>
          <t>auto_ingest=who_gho; indicator=UHC_INDEX_REPORTED; year=2023; country_proxy=Cambodia</t>
        </is>
      </c>
    </row>
    <row r="3268">
      <c r="A3268" t="inlineStr">
        <is>
          <t>kh-phnom-penh</t>
        </is>
      </c>
      <c r="B3268" t="inlineStr">
        <is>
          <t>Phnom Penh</t>
        </is>
      </c>
      <c r="C3268" t="inlineStr">
        <is>
          <t>Cambodia</t>
        </is>
      </c>
      <c r="D3268" t="inlineStr">
        <is>
          <t>Southeast Asia</t>
        </is>
      </c>
      <c r="E3268" t="inlineStr">
        <is>
          <t>education_quality_raw</t>
        </is>
      </c>
      <c r="F3268" t="inlineStr">
        <is>
          <t>Education quality raw</t>
        </is>
      </c>
      <c r="G3268" t="inlineStr">
        <is>
          <t>capability</t>
        </is>
      </c>
      <c r="H3268" t="inlineStr">
        <is>
          <t>yes</t>
        </is>
      </c>
      <c r="I3268" t="inlineStr"/>
      <c r="J3268" t="inlineStr"/>
      <c r="K3268" t="inlineStr"/>
      <c r="L3268" t="inlineStr"/>
      <c r="M3268" t="inlineStr"/>
      <c r="N3268" t="inlineStr"/>
    </row>
    <row r="3269">
      <c r="A3269" t="inlineStr">
        <is>
          <t>kh-phnom-penh</t>
        </is>
      </c>
      <c r="B3269" t="inlineStr">
        <is>
          <t>Phnom Penh</t>
        </is>
      </c>
      <c r="C3269" t="inlineStr">
        <is>
          <t>Cambodia</t>
        </is>
      </c>
      <c r="D3269" t="inlineStr">
        <is>
          <t>Southeast Asia</t>
        </is>
      </c>
      <c r="E3269" t="inlineStr">
        <is>
          <t>equal_opportunity_raw</t>
        </is>
      </c>
      <c r="F3269" t="inlineStr">
        <is>
          <t>Equal opportunity raw</t>
        </is>
      </c>
      <c r="G3269" t="inlineStr">
        <is>
          <t>capability</t>
        </is>
      </c>
      <c r="H3269" t="inlineStr">
        <is>
          <t>yes</t>
        </is>
      </c>
      <c r="I3269" t="inlineStr"/>
      <c r="J3269" t="inlineStr"/>
      <c r="K3269" t="inlineStr"/>
      <c r="L3269" t="inlineStr"/>
      <c r="M3269" t="inlineStr"/>
      <c r="N3269" t="inlineStr"/>
    </row>
    <row r="3270">
      <c r="A3270" t="inlineStr">
        <is>
          <t>kh-phnom-penh</t>
        </is>
      </c>
      <c r="B3270" t="inlineStr">
        <is>
          <t>Phnom Penh</t>
        </is>
      </c>
      <c r="C3270" t="inlineStr">
        <is>
          <t>Cambodia</t>
        </is>
      </c>
      <c r="D3270" t="inlineStr">
        <is>
          <t>Southeast Asia</t>
        </is>
      </c>
      <c r="E3270" t="inlineStr">
        <is>
          <t>hospitality_belonging_raw</t>
        </is>
      </c>
      <c r="F3270" t="inlineStr">
        <is>
          <t>Hospitality and belonging raw</t>
        </is>
      </c>
      <c r="G3270" t="inlineStr">
        <is>
          <t>community</t>
        </is>
      </c>
      <c r="H3270" t="inlineStr">
        <is>
          <t>yes</t>
        </is>
      </c>
      <c r="I3270" t="inlineStr"/>
      <c r="J3270" t="inlineStr"/>
      <c r="K3270" t="inlineStr"/>
      <c r="L3270" t="inlineStr"/>
      <c r="M3270" t="inlineStr"/>
      <c r="N3270" t="inlineStr"/>
    </row>
    <row r="3271">
      <c r="A3271" t="inlineStr">
        <is>
          <t>kh-phnom-penh</t>
        </is>
      </c>
      <c r="B3271" t="inlineStr">
        <is>
          <t>Phnom Penh</t>
        </is>
      </c>
      <c r="C3271" t="inlineStr">
        <is>
          <t>Cambodia</t>
        </is>
      </c>
      <c r="D3271" t="inlineStr">
        <is>
          <t>Southeast Asia</t>
        </is>
      </c>
      <c r="E3271" t="inlineStr">
        <is>
          <t>tolerance_pluralism_raw</t>
        </is>
      </c>
      <c r="F3271" t="inlineStr">
        <is>
          <t>Tolerance and pluralism raw</t>
        </is>
      </c>
      <c r="G3271" t="inlineStr">
        <is>
          <t>community</t>
        </is>
      </c>
      <c r="H3271" t="inlineStr">
        <is>
          <t>yes</t>
        </is>
      </c>
      <c r="I3271" t="inlineStr"/>
      <c r="J3271" t="inlineStr"/>
      <c r="K3271" t="inlineStr"/>
      <c r="L3271" t="inlineStr"/>
      <c r="M3271" t="inlineStr"/>
      <c r="N3271" t="inlineStr"/>
    </row>
    <row r="3272">
      <c r="A3272" t="inlineStr">
        <is>
          <t>kh-phnom-penh</t>
        </is>
      </c>
      <c r="B3272" t="inlineStr">
        <is>
          <t>Phnom Penh</t>
        </is>
      </c>
      <c r="C3272" t="inlineStr">
        <is>
          <t>Cambodia</t>
        </is>
      </c>
      <c r="D3272" t="inlineStr">
        <is>
          <t>Southeast Asia</t>
        </is>
      </c>
      <c r="E3272" t="inlineStr">
        <is>
          <t>cultural_public_life_raw</t>
        </is>
      </c>
      <c r="F3272" t="inlineStr">
        <is>
          <t>Cultural public life raw</t>
        </is>
      </c>
      <c r="G3272" t="inlineStr">
        <is>
          <t>community</t>
        </is>
      </c>
      <c r="H3272" t="inlineStr">
        <is>
          <t>yes</t>
        </is>
      </c>
      <c r="I3272" t="inlineStr"/>
      <c r="J3272" t="inlineStr"/>
      <c r="K3272" t="inlineStr"/>
      <c r="L3272" t="inlineStr"/>
      <c r="M3272" t="inlineStr"/>
      <c r="N3272" t="inlineStr"/>
    </row>
    <row r="3273">
      <c r="A3273" t="inlineStr">
        <is>
          <t>kh-phnom-penh</t>
        </is>
      </c>
      <c r="B3273" t="inlineStr">
        <is>
          <t>Phnom Penh</t>
        </is>
      </c>
      <c r="C3273" t="inlineStr">
        <is>
          <t>Cambodia</t>
        </is>
      </c>
      <c r="D3273" t="inlineStr">
        <is>
          <t>Southeast Asia</t>
        </is>
      </c>
      <c r="E3273" t="inlineStr">
        <is>
          <t>birth_rate_optimism_raw</t>
        </is>
      </c>
      <c r="F3273" t="inlineStr">
        <is>
          <t>Birth rate and societal optimism raw</t>
        </is>
      </c>
      <c r="G3273" t="inlineStr">
        <is>
          <t>community</t>
        </is>
      </c>
      <c r="H3273" t="inlineStr">
        <is>
          <t>yes</t>
        </is>
      </c>
      <c r="I3273" t="inlineStr"/>
      <c r="J3273" t="inlineStr"/>
      <c r="K3273" t="inlineStr"/>
      <c r="L3273" t="inlineStr"/>
      <c r="M3273" t="inlineStr"/>
      <c r="N3273" t="inlineStr"/>
    </row>
    <row r="3274">
      <c r="A3274" t="inlineStr">
        <is>
          <t>kh-phnom-penh</t>
        </is>
      </c>
      <c r="B3274" t="inlineStr">
        <is>
          <t>Phnom Penh</t>
        </is>
      </c>
      <c r="C3274" t="inlineStr">
        <is>
          <t>Cambodia</t>
        </is>
      </c>
      <c r="D3274" t="inlineStr">
        <is>
          <t>Southeast Asia</t>
        </is>
      </c>
      <c r="E3274" t="inlineStr">
        <is>
          <t>entrepreneurial_dynamism_raw</t>
        </is>
      </c>
      <c r="F3274" t="inlineStr">
        <is>
          <t>Entrepreneurial dynamism raw</t>
        </is>
      </c>
      <c r="G3274" t="inlineStr">
        <is>
          <t>creative</t>
        </is>
      </c>
      <c r="H3274" t="inlineStr">
        <is>
          <t>yes</t>
        </is>
      </c>
      <c r="I3274" t="inlineStr">
        <is>
          <t>0.55</t>
        </is>
      </c>
      <c r="J3274" t="inlineStr">
        <is>
          <t>world_bank</t>
        </is>
      </c>
      <c r="K3274" t="inlineStr">
        <is>
          <t>https://api.worldbank.org/v2/country/KHM/indicator/IC.BUS.NDNS.ZS?format=json&amp;mrv=10</t>
        </is>
      </c>
      <c r="L3274" t="inlineStr">
        <is>
          <t>World Bank WDI: New business density (new registrations per 1,000 people ages 15-64)</t>
        </is>
      </c>
      <c r="M3274" t="inlineStr">
        <is>
          <t>2020-12-31</t>
        </is>
      </c>
      <c r="N3274" t="inlineStr">
        <is>
          <t>auto_ingest=world_bank_creative_extended; indicator=IC.BUS.NDNS.ZS; year=2020; country_proxy=Cambodia</t>
        </is>
      </c>
    </row>
    <row r="3275">
      <c r="A3275" t="inlineStr">
        <is>
          <t>kh-phnom-penh</t>
        </is>
      </c>
      <c r="B3275" t="inlineStr">
        <is>
          <t>Phnom Penh</t>
        </is>
      </c>
      <c r="C3275" t="inlineStr">
        <is>
          <t>Cambodia</t>
        </is>
      </c>
      <c r="D3275" t="inlineStr">
        <is>
          <t>Southeast Asia</t>
        </is>
      </c>
      <c r="E3275" t="inlineStr">
        <is>
          <t>innovation_research_intensity_raw</t>
        </is>
      </c>
      <c r="F3275" t="inlineStr">
        <is>
          <t>Innovation and research raw</t>
        </is>
      </c>
      <c r="G3275" t="inlineStr">
        <is>
          <t>creative</t>
        </is>
      </c>
      <c r="H3275" t="inlineStr">
        <is>
          <t>yes</t>
        </is>
      </c>
      <c r="I3275" t="inlineStr"/>
      <c r="J3275" t="inlineStr"/>
      <c r="K3275" t="inlineStr"/>
      <c r="L3275" t="inlineStr"/>
      <c r="M3275" t="inlineStr"/>
      <c r="N3275" t="inlineStr"/>
    </row>
    <row r="3276">
      <c r="A3276" t="inlineStr">
        <is>
          <t>kh-phnom-penh</t>
        </is>
      </c>
      <c r="B3276" t="inlineStr">
        <is>
          <t>Phnom Penh</t>
        </is>
      </c>
      <c r="C3276" t="inlineStr">
        <is>
          <t>Cambodia</t>
        </is>
      </c>
      <c r="D3276" t="inlineStr">
        <is>
          <t>Southeast Asia</t>
        </is>
      </c>
      <c r="E3276" t="inlineStr">
        <is>
          <t>investment_signal_raw</t>
        </is>
      </c>
      <c r="F3276" t="inlineStr">
        <is>
          <t>Investment signal raw</t>
        </is>
      </c>
      <c r="G3276" t="inlineStr">
        <is>
          <t>creative</t>
        </is>
      </c>
      <c r="H3276" t="inlineStr">
        <is>
          <t>yes</t>
        </is>
      </c>
      <c r="I3276" t="inlineStr">
        <is>
          <t>9.48</t>
        </is>
      </c>
      <c r="J3276" t="inlineStr">
        <is>
          <t>world_bank</t>
        </is>
      </c>
      <c r="K3276" t="inlineStr">
        <is>
          <t>https://api.worldbank.org/v2/country/KHM/indicator/BX.KLT.DINV.WD.GD.ZS?format=json&amp;mrv=10</t>
        </is>
      </c>
      <c r="L3276" t="inlineStr">
        <is>
          <t>World Bank WDI: Foreign direct investment, net inflows (% of GDP)</t>
        </is>
      </c>
      <c r="M3276" t="inlineStr">
        <is>
          <t>2024-12-31</t>
        </is>
      </c>
      <c r="N3276" t="inlineStr">
        <is>
          <t>auto_ingest=world_bank_creative_extended; indicator=BX.KLT.DINV.WD.GD.ZS; year=2024; country_proxy=Cambodia</t>
        </is>
      </c>
    </row>
    <row r="3277">
      <c r="A3277" t="inlineStr">
        <is>
          <t>kh-phnom-penh</t>
        </is>
      </c>
      <c r="B3277" t="inlineStr">
        <is>
          <t>Phnom Penh</t>
        </is>
      </c>
      <c r="C3277" t="inlineStr">
        <is>
          <t>Cambodia</t>
        </is>
      </c>
      <c r="D3277" t="inlineStr">
        <is>
          <t>Southeast Asia</t>
        </is>
      </c>
      <c r="E3277" t="inlineStr">
        <is>
          <t>administrative_investment_friction_raw</t>
        </is>
      </c>
      <c r="F3277" t="inlineStr">
        <is>
          <t>Administrative investment friction raw</t>
        </is>
      </c>
      <c r="G3277" t="inlineStr">
        <is>
          <t>creative</t>
        </is>
      </c>
      <c r="H3277" t="inlineStr">
        <is>
          <t>yes</t>
        </is>
      </c>
      <c r="I3277" t="inlineStr">
        <is>
          <t>3.18</t>
        </is>
      </c>
      <c r="J3277" t="inlineStr">
        <is>
          <t>world_bank</t>
        </is>
      </c>
      <c r="K3277" t="inlineStr">
        <is>
          <t>https://api.worldbank.org/v2/country/KHM/indicator/RQ.EST?format=json&amp;mrv=10</t>
        </is>
      </c>
      <c r="L3277" t="inlineStr">
        <is>
          <t>World Bank WGI: Regulatory Quality (inverted as friction proxy)</t>
        </is>
      </c>
      <c r="M3277" t="inlineStr">
        <is>
          <t>2023-12-31</t>
        </is>
      </c>
      <c r="N3277" t="inlineStr">
        <is>
          <t>auto_ingest=world_bank_business_friction; indicator=RQ.EST; raw_rq=-0.684618413448334; friction=3.18; year=2023; country_proxy=Cambodia</t>
        </is>
      </c>
    </row>
    <row r="3278">
      <c r="A3278" t="inlineStr">
        <is>
          <t>kh-phnom-penh</t>
        </is>
      </c>
      <c r="B3278" t="inlineStr">
        <is>
          <t>Phnom Penh</t>
        </is>
      </c>
      <c r="C3278" t="inlineStr">
        <is>
          <t>Cambodia</t>
        </is>
      </c>
      <c r="D3278" t="inlineStr">
        <is>
          <t>Southeast Asia</t>
        </is>
      </c>
      <c r="E3278" t="inlineStr">
        <is>
          <t>visitor_flow_context_raw</t>
        </is>
      </c>
      <c r="F3278" t="inlineStr">
        <is>
          <t>Visitor flow context raw</t>
        </is>
      </c>
      <c r="G3278" t="inlineStr">
        <is>
          <t>creative</t>
        </is>
      </c>
      <c r="H3278" t="inlineStr">
        <is>
          <t>no</t>
        </is>
      </c>
      <c r="I3278" t="inlineStr"/>
      <c r="J3278" t="inlineStr"/>
      <c r="K3278" t="inlineStr"/>
      <c r="L3278" t="inlineStr"/>
      <c r="M3278" t="inlineStr"/>
      <c r="N3278" t="inlineStr"/>
    </row>
    <row r="3279">
      <c r="A3279" t="inlineStr">
        <is>
          <t>tw-taichung</t>
        </is>
      </c>
      <c r="B3279" t="inlineStr">
        <is>
          <t>Taichung</t>
        </is>
      </c>
      <c r="C3279" t="inlineStr">
        <is>
          <t>Taiwan</t>
        </is>
      </c>
      <c r="D3279" t="inlineStr">
        <is>
          <t>East Asia</t>
        </is>
      </c>
      <c r="E3279" t="inlineStr">
        <is>
          <t>gross_income</t>
        </is>
      </c>
      <c r="F3279" t="inlineStr">
        <is>
          <t>Gross income</t>
        </is>
      </c>
      <c r="G3279" t="inlineStr">
        <is>
          <t>pressure</t>
        </is>
      </c>
      <c r="H3279" t="inlineStr">
        <is>
          <t>yes</t>
        </is>
      </c>
      <c r="I3279" t="inlineStr">
        <is>
          <t>5416.67</t>
        </is>
      </c>
      <c r="J3279" t="inlineStr">
        <is>
          <t>world_bank_col_estimate</t>
        </is>
      </c>
      <c r="K3279" t="inlineStr">
        <is>
          <t>https://data.worldbank.org/indicator/NY.GNP.PCAP.PP.CD</t>
        </is>
      </c>
      <c r="L3279" t="inlineStr">
        <is>
          <t>World Bank WDI: GNI per capita PPP (monthly USD)</t>
        </is>
      </c>
      <c r="M3279" t="inlineStr">
        <is>
          <t>2023-12-31</t>
        </is>
      </c>
      <c r="N3279" t="inlineStr">
        <is>
          <t>auto_ingest=world_bank_col_estimate; gni_annual=65000.0; year=2023; country_proxy=Taiwan; cohort=East Asia</t>
        </is>
      </c>
    </row>
    <row r="3280">
      <c r="A3280" t="inlineStr">
        <is>
          <t>tw-taichung</t>
        </is>
      </c>
      <c r="B3280" t="inlineStr">
        <is>
          <t>Taichung</t>
        </is>
      </c>
      <c r="C3280" t="inlineStr">
        <is>
          <t>Taiwan</t>
        </is>
      </c>
      <c r="D3280" t="inlineStr">
        <is>
          <t>East Asia</t>
        </is>
      </c>
      <c r="E3280" t="inlineStr">
        <is>
          <t>di_ppp_raw</t>
        </is>
      </c>
      <c r="F3280" t="inlineStr">
        <is>
          <t>Disposable income PPP (Raw)</t>
        </is>
      </c>
      <c r="G3280" t="inlineStr">
        <is>
          <t>pressure</t>
        </is>
      </c>
      <c r="H3280" t="inlineStr">
        <is>
          <t>yes</t>
        </is>
      </c>
      <c r="I3280" t="inlineStr"/>
      <c r="J3280" t="inlineStr"/>
      <c r="K3280" t="inlineStr"/>
      <c r="L3280" t="inlineStr"/>
      <c r="M3280" t="inlineStr"/>
      <c r="N3280" t="inlineStr"/>
    </row>
    <row r="3281">
      <c r="A3281" t="inlineStr">
        <is>
          <t>tw-taichung</t>
        </is>
      </c>
      <c r="B3281" t="inlineStr">
        <is>
          <t>Taichung</t>
        </is>
      </c>
      <c r="C3281" t="inlineStr">
        <is>
          <t>Taiwan</t>
        </is>
      </c>
      <c r="D3281" t="inlineStr">
        <is>
          <t>East Asia</t>
        </is>
      </c>
      <c r="E3281" t="inlineStr">
        <is>
          <t>rent</t>
        </is>
      </c>
      <c r="F3281" t="inlineStr">
        <is>
          <t>Rent</t>
        </is>
      </c>
      <c r="G3281" t="inlineStr">
        <is>
          <t>pressure</t>
        </is>
      </c>
      <c r="H3281" t="inlineStr">
        <is>
          <t>yes</t>
        </is>
      </c>
      <c r="I3281" t="inlineStr">
        <is>
          <t>1218.75</t>
        </is>
      </c>
      <c r="J3281" t="inlineStr">
        <is>
          <t>world_bank_col_estimate</t>
        </is>
      </c>
      <c r="K3281" t="inlineStr">
        <is>
          <t>https://data.worldbank.org/indicator/NY.GNP.PCAP.PP.CD</t>
        </is>
      </c>
      <c r="L3281" t="inlineStr">
        <is>
          <t>World Bank GNI + regional expenditure ratio estimate</t>
        </is>
      </c>
      <c r="M3281" t="inlineStr">
        <is>
          <t>2023-12-31</t>
        </is>
      </c>
      <c r="N3281" t="inlineStr">
        <is>
          <t>auto_ingest=world_bank_col_estimate; gni_annual=65000.0; year=2023; country_proxy=Taiwan; cohort=East Asia; city_cost_mult=0.9</t>
        </is>
      </c>
    </row>
    <row r="3282">
      <c r="A3282" t="inlineStr">
        <is>
          <t>tw-taichung</t>
        </is>
      </c>
      <c r="B3282" t="inlineStr">
        <is>
          <t>Taichung</t>
        </is>
      </c>
      <c r="C3282" t="inlineStr">
        <is>
          <t>Taiwan</t>
        </is>
      </c>
      <c r="D3282" t="inlineStr">
        <is>
          <t>East Asia</t>
        </is>
      </c>
      <c r="E3282" t="inlineStr">
        <is>
          <t>utilities</t>
        </is>
      </c>
      <c r="F3282" t="inlineStr">
        <is>
          <t>Utilities</t>
        </is>
      </c>
      <c r="G3282" t="inlineStr">
        <is>
          <t>pressure</t>
        </is>
      </c>
      <c r="H3282" t="inlineStr">
        <is>
          <t>yes</t>
        </is>
      </c>
      <c r="I3282" t="inlineStr">
        <is>
          <t>292.5</t>
        </is>
      </c>
      <c r="J3282" t="inlineStr">
        <is>
          <t>world_bank_col_estimate</t>
        </is>
      </c>
      <c r="K3282" t="inlineStr">
        <is>
          <t>https://data.worldbank.org/indicator/NY.GNP.PCAP.PP.CD</t>
        </is>
      </c>
      <c r="L3282" t="inlineStr">
        <is>
          <t>World Bank GNI + regional expenditure ratio estimate</t>
        </is>
      </c>
      <c r="M3282" t="inlineStr">
        <is>
          <t>2023-12-31</t>
        </is>
      </c>
      <c r="N3282" t="inlineStr">
        <is>
          <t>auto_ingest=world_bank_col_estimate; gni_annual=65000.0; year=2023; country_proxy=Taiwan; cohort=East Asia; city_cost_mult=0.9</t>
        </is>
      </c>
    </row>
    <row r="3283">
      <c r="A3283" t="inlineStr">
        <is>
          <t>tw-taichung</t>
        </is>
      </c>
      <c r="B3283" t="inlineStr">
        <is>
          <t>Taichung</t>
        </is>
      </c>
      <c r="C3283" t="inlineStr">
        <is>
          <t>Taiwan</t>
        </is>
      </c>
      <c r="D3283" t="inlineStr">
        <is>
          <t>East Asia</t>
        </is>
      </c>
      <c r="E3283" t="inlineStr">
        <is>
          <t>transit_cost</t>
        </is>
      </c>
      <c r="F3283" t="inlineStr">
        <is>
          <t>Transit cost</t>
        </is>
      </c>
      <c r="G3283" t="inlineStr">
        <is>
          <t>pressure</t>
        </is>
      </c>
      <c r="H3283" t="inlineStr">
        <is>
          <t>yes</t>
        </is>
      </c>
      <c r="I3283" t="inlineStr">
        <is>
          <t>195.0</t>
        </is>
      </c>
      <c r="J3283" t="inlineStr">
        <is>
          <t>world_bank_col_estimate</t>
        </is>
      </c>
      <c r="K3283" t="inlineStr">
        <is>
          <t>https://data.worldbank.org/indicator/NY.GNP.PCAP.PP.CD</t>
        </is>
      </c>
      <c r="L3283" t="inlineStr">
        <is>
          <t>World Bank GNI + regional expenditure ratio estimate</t>
        </is>
      </c>
      <c r="M3283" t="inlineStr">
        <is>
          <t>2023-12-31</t>
        </is>
      </c>
      <c r="N3283" t="inlineStr">
        <is>
          <t>auto_ingest=world_bank_col_estimate; gni_annual=65000.0; year=2023; country_proxy=Taiwan; cohort=East Asia; city_cost_mult=0.9</t>
        </is>
      </c>
    </row>
    <row r="3284">
      <c r="A3284" t="inlineStr">
        <is>
          <t>tw-taichung</t>
        </is>
      </c>
      <c r="B3284" t="inlineStr">
        <is>
          <t>Taichung</t>
        </is>
      </c>
      <c r="C3284" t="inlineStr">
        <is>
          <t>Taiwan</t>
        </is>
      </c>
      <c r="D3284" t="inlineStr">
        <is>
          <t>East Asia</t>
        </is>
      </c>
      <c r="E3284" t="inlineStr">
        <is>
          <t>internet_cost</t>
        </is>
      </c>
      <c r="F3284" t="inlineStr">
        <is>
          <t>Internet cost</t>
        </is>
      </c>
      <c r="G3284" t="inlineStr">
        <is>
          <t>pressure</t>
        </is>
      </c>
      <c r="H3284" t="inlineStr">
        <is>
          <t>yes</t>
        </is>
      </c>
      <c r="I3284" t="inlineStr">
        <is>
          <t>73.13</t>
        </is>
      </c>
      <c r="J3284" t="inlineStr">
        <is>
          <t>world_bank_col_estimate</t>
        </is>
      </c>
      <c r="K3284" t="inlineStr">
        <is>
          <t>https://data.worldbank.org/indicator/NY.GNP.PCAP.PP.CD</t>
        </is>
      </c>
      <c r="L3284" t="inlineStr">
        <is>
          <t>World Bank GNI + regional expenditure ratio estimate</t>
        </is>
      </c>
      <c r="M3284" t="inlineStr">
        <is>
          <t>2023-12-31</t>
        </is>
      </c>
      <c r="N3284" t="inlineStr">
        <is>
          <t>auto_ingest=world_bank_col_estimate; gni_annual=65000.0; year=2023; country_proxy=Taiwan; cohort=East Asia; city_cost_mult=0.9</t>
        </is>
      </c>
    </row>
    <row r="3285">
      <c r="A3285" t="inlineStr">
        <is>
          <t>tw-taichung</t>
        </is>
      </c>
      <c r="B3285" t="inlineStr">
        <is>
          <t>Taichung</t>
        </is>
      </c>
      <c r="C3285" t="inlineStr">
        <is>
          <t>Taiwan</t>
        </is>
      </c>
      <c r="D3285" t="inlineStr">
        <is>
          <t>East Asia</t>
        </is>
      </c>
      <c r="E3285" t="inlineStr">
        <is>
          <t>food_cost</t>
        </is>
      </c>
      <c r="F3285" t="inlineStr">
        <is>
          <t>Food cost</t>
        </is>
      </c>
      <c r="G3285" t="inlineStr">
        <is>
          <t>pressure</t>
        </is>
      </c>
      <c r="H3285" t="inlineStr">
        <is>
          <t>yes</t>
        </is>
      </c>
      <c r="I3285" t="inlineStr">
        <is>
          <t>975.0</t>
        </is>
      </c>
      <c r="J3285" t="inlineStr">
        <is>
          <t>world_bank_col_estimate</t>
        </is>
      </c>
      <c r="K3285" t="inlineStr">
        <is>
          <t>https://data.worldbank.org/indicator/NY.GNP.PCAP.PP.CD</t>
        </is>
      </c>
      <c r="L3285" t="inlineStr">
        <is>
          <t>World Bank GNI + regional expenditure ratio estimate</t>
        </is>
      </c>
      <c r="M3285" t="inlineStr">
        <is>
          <t>2023-12-31</t>
        </is>
      </c>
      <c r="N3285" t="inlineStr">
        <is>
          <t>auto_ingest=world_bank_col_estimate; gni_annual=65000.0; year=2023; country_proxy=Taiwan; cohort=East Asia; city_cost_mult=0.9</t>
        </is>
      </c>
    </row>
    <row r="3286">
      <c r="A3286" t="inlineStr">
        <is>
          <t>tw-taichung</t>
        </is>
      </c>
      <c r="B3286" t="inlineStr">
        <is>
          <t>Taichung</t>
        </is>
      </c>
      <c r="C3286" t="inlineStr">
        <is>
          <t>Taiwan</t>
        </is>
      </c>
      <c r="D3286" t="inlineStr">
        <is>
          <t>East Asia</t>
        </is>
      </c>
      <c r="E3286" t="inlineStr">
        <is>
          <t>housing_burden_raw</t>
        </is>
      </c>
      <c r="F3286" t="inlineStr">
        <is>
          <t>Housing burden raw</t>
        </is>
      </c>
      <c r="G3286" t="inlineStr">
        <is>
          <t>pressure</t>
        </is>
      </c>
      <c r="H3286" t="inlineStr">
        <is>
          <t>yes</t>
        </is>
      </c>
      <c r="I3286" t="inlineStr">
        <is>
          <t>22.5</t>
        </is>
      </c>
      <c r="J3286" t="inlineStr">
        <is>
          <t>derived</t>
        </is>
      </c>
      <c r="K3286" t="inlineStr">
        <is>
          <t>https://data.worldbank.org/indicator/NY.GNP.PCAP.PP.CD</t>
        </is>
      </c>
      <c r="L3286" t="inlineStr">
        <is>
          <t>Computed from city_inputs + country_context</t>
        </is>
      </c>
      <c r="M3286" t="inlineStr">
        <is>
          <t>2024-01-01</t>
        </is>
      </c>
      <c r="N3286" t="inlineStr">
        <is>
          <t>derived=rent/gross_income*100</t>
        </is>
      </c>
    </row>
    <row r="3287">
      <c r="A3287" t="inlineStr">
        <is>
          <t>tw-taichung</t>
        </is>
      </c>
      <c r="B3287" t="inlineStr">
        <is>
          <t>Taichung</t>
        </is>
      </c>
      <c r="C3287" t="inlineStr">
        <is>
          <t>Taiwan</t>
        </is>
      </c>
      <c r="D3287" t="inlineStr">
        <is>
          <t>East Asia</t>
        </is>
      </c>
      <c r="E3287" t="inlineStr">
        <is>
          <t>household_debt_burden_raw</t>
        </is>
      </c>
      <c r="F3287" t="inlineStr">
        <is>
          <t>Household debt burden raw</t>
        </is>
      </c>
      <c r="G3287" t="inlineStr">
        <is>
          <t>pressure</t>
        </is>
      </c>
      <c r="H3287" t="inlineStr">
        <is>
          <t>yes</t>
        </is>
      </c>
      <c r="I3287" t="inlineStr"/>
      <c r="J3287" t="inlineStr"/>
      <c r="K3287" t="inlineStr"/>
      <c r="L3287" t="inlineStr"/>
      <c r="M3287" t="inlineStr"/>
      <c r="N3287" t="inlineStr"/>
    </row>
    <row r="3288">
      <c r="A3288" t="inlineStr">
        <is>
          <t>tw-taichung</t>
        </is>
      </c>
      <c r="B3288" t="inlineStr">
        <is>
          <t>Taichung</t>
        </is>
      </c>
      <c r="C3288" t="inlineStr">
        <is>
          <t>Taiwan</t>
        </is>
      </c>
      <c r="D3288" t="inlineStr">
        <is>
          <t>East Asia</t>
        </is>
      </c>
      <c r="E3288" t="inlineStr">
        <is>
          <t>working_time_pressure_raw</t>
        </is>
      </c>
      <c r="F3288" t="inlineStr">
        <is>
          <t>Working time pressure raw</t>
        </is>
      </c>
      <c r="G3288" t="inlineStr">
        <is>
          <t>pressure</t>
        </is>
      </c>
      <c r="H3288" t="inlineStr">
        <is>
          <t>yes</t>
        </is>
      </c>
      <c r="I3288" t="inlineStr"/>
      <c r="J3288" t="inlineStr"/>
      <c r="K3288" t="inlineStr"/>
      <c r="L3288" t="inlineStr"/>
      <c r="M3288" t="inlineStr"/>
      <c r="N3288" t="inlineStr"/>
    </row>
    <row r="3289">
      <c r="A3289" t="inlineStr">
        <is>
          <t>tw-taichung</t>
        </is>
      </c>
      <c r="B3289" t="inlineStr">
        <is>
          <t>Taichung</t>
        </is>
      </c>
      <c r="C3289" t="inlineStr">
        <is>
          <t>Taiwan</t>
        </is>
      </c>
      <c r="D3289" t="inlineStr">
        <is>
          <t>East Asia</t>
        </is>
      </c>
      <c r="E3289" t="inlineStr">
        <is>
          <t>suicide_mental_strain_raw</t>
        </is>
      </c>
      <c r="F3289" t="inlineStr">
        <is>
          <t>Suicide or mental strain raw</t>
        </is>
      </c>
      <c r="G3289" t="inlineStr">
        <is>
          <t>pressure</t>
        </is>
      </c>
      <c r="H3289" t="inlineStr">
        <is>
          <t>yes</t>
        </is>
      </c>
      <c r="I3289" t="inlineStr"/>
      <c r="J3289" t="inlineStr"/>
      <c r="K3289" t="inlineStr"/>
      <c r="L3289" t="inlineStr"/>
      <c r="M3289" t="inlineStr"/>
      <c r="N3289" t="inlineStr"/>
    </row>
    <row r="3290">
      <c r="A3290" t="inlineStr">
        <is>
          <t>tw-taichung</t>
        </is>
      </c>
      <c r="B3290" t="inlineStr">
        <is>
          <t>Taichung</t>
        </is>
      </c>
      <c r="C3290" t="inlineStr">
        <is>
          <t>Taiwan</t>
        </is>
      </c>
      <c r="D3290" t="inlineStr">
        <is>
          <t>East Asia</t>
        </is>
      </c>
      <c r="E3290" t="inlineStr">
        <is>
          <t>personal_safety_raw</t>
        </is>
      </c>
      <c r="F3290" t="inlineStr">
        <is>
          <t>Personal safety raw</t>
        </is>
      </c>
      <c r="G3290" t="inlineStr">
        <is>
          <t>viability</t>
        </is>
      </c>
      <c r="H3290" t="inlineStr">
        <is>
          <t>yes</t>
        </is>
      </c>
      <c r="I3290" t="inlineStr"/>
      <c r="J3290" t="inlineStr"/>
      <c r="K3290" t="inlineStr"/>
      <c r="L3290" t="inlineStr"/>
      <c r="M3290" t="inlineStr"/>
      <c r="N3290" t="inlineStr"/>
    </row>
    <row r="3291">
      <c r="A3291" t="inlineStr">
        <is>
          <t>tw-taichung</t>
        </is>
      </c>
      <c r="B3291" t="inlineStr">
        <is>
          <t>Taichung</t>
        </is>
      </c>
      <c r="C3291" t="inlineStr">
        <is>
          <t>Taiwan</t>
        </is>
      </c>
      <c r="D3291" t="inlineStr">
        <is>
          <t>East Asia</t>
        </is>
      </c>
      <c r="E3291" t="inlineStr">
        <is>
          <t>transit_access_commute_raw</t>
        </is>
      </c>
      <c r="F3291" t="inlineStr">
        <is>
          <t>Transit access and commute raw</t>
        </is>
      </c>
      <c r="G3291" t="inlineStr">
        <is>
          <t>viability</t>
        </is>
      </c>
      <c r="H3291" t="inlineStr">
        <is>
          <t>yes</t>
        </is>
      </c>
      <c r="I3291" t="inlineStr"/>
      <c r="J3291" t="inlineStr"/>
      <c r="K3291" t="inlineStr"/>
      <c r="L3291" t="inlineStr"/>
      <c r="M3291" t="inlineStr"/>
      <c r="N3291" t="inlineStr"/>
    </row>
    <row r="3292">
      <c r="A3292" t="inlineStr">
        <is>
          <t>tw-taichung</t>
        </is>
      </c>
      <c r="B3292" t="inlineStr">
        <is>
          <t>Taichung</t>
        </is>
      </c>
      <c r="C3292" t="inlineStr">
        <is>
          <t>Taiwan</t>
        </is>
      </c>
      <c r="D3292" t="inlineStr">
        <is>
          <t>East Asia</t>
        </is>
      </c>
      <c r="E3292" t="inlineStr">
        <is>
          <t>clean_air_raw</t>
        </is>
      </c>
      <c r="F3292" t="inlineStr">
        <is>
          <t>Clean air raw</t>
        </is>
      </c>
      <c r="G3292" t="inlineStr">
        <is>
          <t>viability</t>
        </is>
      </c>
      <c r="H3292" t="inlineStr">
        <is>
          <t>yes</t>
        </is>
      </c>
      <c r="I3292" t="inlineStr"/>
      <c r="J3292" t="inlineStr"/>
      <c r="K3292" t="inlineStr"/>
      <c r="L3292" t="inlineStr"/>
      <c r="M3292" t="inlineStr"/>
      <c r="N3292" t="inlineStr"/>
    </row>
    <row r="3293">
      <c r="A3293" t="inlineStr">
        <is>
          <t>tw-taichung</t>
        </is>
      </c>
      <c r="B3293" t="inlineStr">
        <is>
          <t>Taichung</t>
        </is>
      </c>
      <c r="C3293" t="inlineStr">
        <is>
          <t>Taiwan</t>
        </is>
      </c>
      <c r="D3293" t="inlineStr">
        <is>
          <t>East Asia</t>
        </is>
      </c>
      <c r="E3293" t="inlineStr">
        <is>
          <t>water_sanitation_utility_raw</t>
        </is>
      </c>
      <c r="F3293" t="inlineStr">
        <is>
          <t>Water, sanitation, and utility raw</t>
        </is>
      </c>
      <c r="G3293" t="inlineStr">
        <is>
          <t>viability</t>
        </is>
      </c>
      <c r="H3293" t="inlineStr">
        <is>
          <t>yes</t>
        </is>
      </c>
      <c r="I3293" t="inlineStr"/>
      <c r="J3293" t="inlineStr"/>
      <c r="K3293" t="inlineStr"/>
      <c r="L3293" t="inlineStr"/>
      <c r="M3293" t="inlineStr"/>
      <c r="N3293" t="inlineStr"/>
    </row>
    <row r="3294">
      <c r="A3294" t="inlineStr">
        <is>
          <t>tw-taichung</t>
        </is>
      </c>
      <c r="B3294" t="inlineStr">
        <is>
          <t>Taichung</t>
        </is>
      </c>
      <c r="C3294" t="inlineStr">
        <is>
          <t>Taiwan</t>
        </is>
      </c>
      <c r="D3294" t="inlineStr">
        <is>
          <t>East Asia</t>
        </is>
      </c>
      <c r="E3294" t="inlineStr">
        <is>
          <t>digital_infrastructure_raw</t>
        </is>
      </c>
      <c r="F3294" t="inlineStr">
        <is>
          <t>Digital infrastructure raw</t>
        </is>
      </c>
      <c r="G3294" t="inlineStr">
        <is>
          <t>viability</t>
        </is>
      </c>
      <c r="H3294" t="inlineStr">
        <is>
          <t>yes</t>
        </is>
      </c>
      <c r="I3294" t="inlineStr"/>
      <c r="J3294" t="inlineStr"/>
      <c r="K3294" t="inlineStr"/>
      <c r="L3294" t="inlineStr"/>
      <c r="M3294" t="inlineStr"/>
      <c r="N3294" t="inlineStr"/>
    </row>
    <row r="3295">
      <c r="A3295" t="inlineStr">
        <is>
          <t>tw-taichung</t>
        </is>
      </c>
      <c r="B3295" t="inlineStr">
        <is>
          <t>Taichung</t>
        </is>
      </c>
      <c r="C3295" t="inlineStr">
        <is>
          <t>Taiwan</t>
        </is>
      </c>
      <c r="D3295" t="inlineStr">
        <is>
          <t>East Asia</t>
        </is>
      </c>
      <c r="E3295" t="inlineStr">
        <is>
          <t>climate_sunlight_livability_raw</t>
        </is>
      </c>
      <c r="F3295" t="inlineStr">
        <is>
          <t>Climate and sunlight livability raw</t>
        </is>
      </c>
      <c r="G3295" t="inlineStr">
        <is>
          <t>viability</t>
        </is>
      </c>
      <c r="H3295" t="inlineStr">
        <is>
          <t>yes</t>
        </is>
      </c>
      <c r="I3295" t="inlineStr"/>
      <c r="J3295" t="inlineStr"/>
      <c r="K3295" t="inlineStr"/>
      <c r="L3295" t="inlineStr"/>
      <c r="M3295" t="inlineStr"/>
      <c r="N3295" t="inlineStr"/>
    </row>
    <row r="3296">
      <c r="A3296" t="inlineStr">
        <is>
          <t>tw-taichung</t>
        </is>
      </c>
      <c r="B3296" t="inlineStr">
        <is>
          <t>Taichung</t>
        </is>
      </c>
      <c r="C3296" t="inlineStr">
        <is>
          <t>Taiwan</t>
        </is>
      </c>
      <c r="D3296" t="inlineStr">
        <is>
          <t>East Asia</t>
        </is>
      </c>
      <c r="E3296" t="inlineStr">
        <is>
          <t>healthcare_quality_raw</t>
        </is>
      </c>
      <c r="F3296" t="inlineStr">
        <is>
          <t>Healthcare quality raw</t>
        </is>
      </c>
      <c r="G3296" t="inlineStr">
        <is>
          <t>capability</t>
        </is>
      </c>
      <c r="H3296" t="inlineStr">
        <is>
          <t>yes</t>
        </is>
      </c>
      <c r="I3296" t="inlineStr"/>
      <c r="J3296" t="inlineStr"/>
      <c r="K3296" t="inlineStr"/>
      <c r="L3296" t="inlineStr"/>
      <c r="M3296" t="inlineStr"/>
      <c r="N3296" t="inlineStr"/>
    </row>
    <row r="3297">
      <c r="A3297" t="inlineStr">
        <is>
          <t>tw-taichung</t>
        </is>
      </c>
      <c r="B3297" t="inlineStr">
        <is>
          <t>Taichung</t>
        </is>
      </c>
      <c r="C3297" t="inlineStr">
        <is>
          <t>Taiwan</t>
        </is>
      </c>
      <c r="D3297" t="inlineStr">
        <is>
          <t>East Asia</t>
        </is>
      </c>
      <c r="E3297" t="inlineStr">
        <is>
          <t>education_quality_raw</t>
        </is>
      </c>
      <c r="F3297" t="inlineStr">
        <is>
          <t>Education quality raw</t>
        </is>
      </c>
      <c r="G3297" t="inlineStr">
        <is>
          <t>capability</t>
        </is>
      </c>
      <c r="H3297" t="inlineStr">
        <is>
          <t>yes</t>
        </is>
      </c>
      <c r="I3297" t="inlineStr"/>
      <c r="J3297" t="inlineStr"/>
      <c r="K3297" t="inlineStr"/>
      <c r="L3297" t="inlineStr"/>
      <c r="M3297" t="inlineStr"/>
      <c r="N3297" t="inlineStr"/>
    </row>
    <row r="3298">
      <c r="A3298" t="inlineStr">
        <is>
          <t>tw-taichung</t>
        </is>
      </c>
      <c r="B3298" t="inlineStr">
        <is>
          <t>Taichung</t>
        </is>
      </c>
      <c r="C3298" t="inlineStr">
        <is>
          <t>Taiwan</t>
        </is>
      </c>
      <c r="D3298" t="inlineStr">
        <is>
          <t>East Asia</t>
        </is>
      </c>
      <c r="E3298" t="inlineStr">
        <is>
          <t>equal_opportunity_raw</t>
        </is>
      </c>
      <c r="F3298" t="inlineStr">
        <is>
          <t>Equal opportunity raw</t>
        </is>
      </c>
      <c r="G3298" t="inlineStr">
        <is>
          <t>capability</t>
        </is>
      </c>
      <c r="H3298" t="inlineStr">
        <is>
          <t>yes</t>
        </is>
      </c>
      <c r="I3298" t="inlineStr"/>
      <c r="J3298" t="inlineStr"/>
      <c r="K3298" t="inlineStr"/>
      <c r="L3298" t="inlineStr"/>
      <c r="M3298" t="inlineStr"/>
      <c r="N3298" t="inlineStr"/>
    </row>
    <row r="3299">
      <c r="A3299" t="inlineStr">
        <is>
          <t>tw-taichung</t>
        </is>
      </c>
      <c r="B3299" t="inlineStr">
        <is>
          <t>Taichung</t>
        </is>
      </c>
      <c r="C3299" t="inlineStr">
        <is>
          <t>Taiwan</t>
        </is>
      </c>
      <c r="D3299" t="inlineStr">
        <is>
          <t>East Asia</t>
        </is>
      </c>
      <c r="E3299" t="inlineStr">
        <is>
          <t>hospitality_belonging_raw</t>
        </is>
      </c>
      <c r="F3299" t="inlineStr">
        <is>
          <t>Hospitality and belonging raw</t>
        </is>
      </c>
      <c r="G3299" t="inlineStr">
        <is>
          <t>community</t>
        </is>
      </c>
      <c r="H3299" t="inlineStr">
        <is>
          <t>yes</t>
        </is>
      </c>
      <c r="I3299" t="inlineStr"/>
      <c r="J3299" t="inlineStr"/>
      <c r="K3299" t="inlineStr"/>
      <c r="L3299" t="inlineStr"/>
      <c r="M3299" t="inlineStr"/>
      <c r="N3299" t="inlineStr"/>
    </row>
    <row r="3300">
      <c r="A3300" t="inlineStr">
        <is>
          <t>tw-taichung</t>
        </is>
      </c>
      <c r="B3300" t="inlineStr">
        <is>
          <t>Taichung</t>
        </is>
      </c>
      <c r="C3300" t="inlineStr">
        <is>
          <t>Taiwan</t>
        </is>
      </c>
      <c r="D3300" t="inlineStr">
        <is>
          <t>East Asia</t>
        </is>
      </c>
      <c r="E3300" t="inlineStr">
        <is>
          <t>tolerance_pluralism_raw</t>
        </is>
      </c>
      <c r="F3300" t="inlineStr">
        <is>
          <t>Tolerance and pluralism raw</t>
        </is>
      </c>
      <c r="G3300" t="inlineStr">
        <is>
          <t>community</t>
        </is>
      </c>
      <c r="H3300" t="inlineStr">
        <is>
          <t>yes</t>
        </is>
      </c>
      <c r="I3300" t="inlineStr"/>
      <c r="J3300" t="inlineStr"/>
      <c r="K3300" t="inlineStr"/>
      <c r="L3300" t="inlineStr"/>
      <c r="M3300" t="inlineStr"/>
      <c r="N3300" t="inlineStr"/>
    </row>
    <row r="3301">
      <c r="A3301" t="inlineStr">
        <is>
          <t>tw-taichung</t>
        </is>
      </c>
      <c r="B3301" t="inlineStr">
        <is>
          <t>Taichung</t>
        </is>
      </c>
      <c r="C3301" t="inlineStr">
        <is>
          <t>Taiwan</t>
        </is>
      </c>
      <c r="D3301" t="inlineStr">
        <is>
          <t>East Asia</t>
        </is>
      </c>
      <c r="E3301" t="inlineStr">
        <is>
          <t>cultural_public_life_raw</t>
        </is>
      </c>
      <c r="F3301" t="inlineStr">
        <is>
          <t>Cultural public life raw</t>
        </is>
      </c>
      <c r="G3301" t="inlineStr">
        <is>
          <t>community</t>
        </is>
      </c>
      <c r="H3301" t="inlineStr">
        <is>
          <t>yes</t>
        </is>
      </c>
      <c r="I3301" t="inlineStr"/>
      <c r="J3301" t="inlineStr"/>
      <c r="K3301" t="inlineStr"/>
      <c r="L3301" t="inlineStr"/>
      <c r="M3301" t="inlineStr"/>
      <c r="N3301" t="inlineStr"/>
    </row>
    <row r="3302">
      <c r="A3302" t="inlineStr">
        <is>
          <t>tw-taichung</t>
        </is>
      </c>
      <c r="B3302" t="inlineStr">
        <is>
          <t>Taichung</t>
        </is>
      </c>
      <c r="C3302" t="inlineStr">
        <is>
          <t>Taiwan</t>
        </is>
      </c>
      <c r="D3302" t="inlineStr">
        <is>
          <t>East Asia</t>
        </is>
      </c>
      <c r="E3302" t="inlineStr">
        <is>
          <t>birth_rate_optimism_raw</t>
        </is>
      </c>
      <c r="F3302" t="inlineStr">
        <is>
          <t>Birth rate and societal optimism raw</t>
        </is>
      </c>
      <c r="G3302" t="inlineStr">
        <is>
          <t>community</t>
        </is>
      </c>
      <c r="H3302" t="inlineStr">
        <is>
          <t>yes</t>
        </is>
      </c>
      <c r="I3302" t="inlineStr">
        <is>
          <t>0.87</t>
        </is>
      </c>
      <c r="J3302" t="inlineStr">
        <is>
          <t>world_bank</t>
        </is>
      </c>
      <c r="K3302" t="inlineStr">
        <is>
          <t>https://data.worldbank.org/indicator/SP.DYN.TFRT.IN</t>
        </is>
      </c>
      <c r="L3302" t="inlineStr">
        <is>
          <t>World Bank Total Fertility Rate 2023</t>
        </is>
      </c>
      <c r="M3302" t="inlineStr">
        <is>
          <t>2024-01-01</t>
        </is>
      </c>
      <c r="N3302" t="inlineStr"/>
    </row>
    <row r="3303">
      <c r="A3303" t="inlineStr">
        <is>
          <t>tw-taichung</t>
        </is>
      </c>
      <c r="B3303" t="inlineStr">
        <is>
          <t>Taichung</t>
        </is>
      </c>
      <c r="C3303" t="inlineStr">
        <is>
          <t>Taiwan</t>
        </is>
      </c>
      <c r="D3303" t="inlineStr">
        <is>
          <t>East Asia</t>
        </is>
      </c>
      <c r="E3303" t="inlineStr">
        <is>
          <t>entrepreneurial_dynamism_raw</t>
        </is>
      </c>
      <c r="F3303" t="inlineStr">
        <is>
          <t>Entrepreneurial dynamism raw</t>
        </is>
      </c>
      <c r="G3303" t="inlineStr">
        <is>
          <t>creative</t>
        </is>
      </c>
      <c r="H3303" t="inlineStr">
        <is>
          <t>yes</t>
        </is>
      </c>
      <c r="I3303" t="inlineStr"/>
      <c r="J3303" t="inlineStr"/>
      <c r="K3303" t="inlineStr"/>
      <c r="L3303" t="inlineStr"/>
      <c r="M3303" t="inlineStr"/>
      <c r="N3303" t="inlineStr"/>
    </row>
    <row r="3304">
      <c r="A3304" t="inlineStr">
        <is>
          <t>tw-taichung</t>
        </is>
      </c>
      <c r="B3304" t="inlineStr">
        <is>
          <t>Taichung</t>
        </is>
      </c>
      <c r="C3304" t="inlineStr">
        <is>
          <t>Taiwan</t>
        </is>
      </c>
      <c r="D3304" t="inlineStr">
        <is>
          <t>East Asia</t>
        </is>
      </c>
      <c r="E3304" t="inlineStr">
        <is>
          <t>innovation_research_intensity_raw</t>
        </is>
      </c>
      <c r="F3304" t="inlineStr">
        <is>
          <t>Innovation and research raw</t>
        </is>
      </c>
      <c r="G3304" t="inlineStr">
        <is>
          <t>creative</t>
        </is>
      </c>
      <c r="H3304" t="inlineStr">
        <is>
          <t>yes</t>
        </is>
      </c>
      <c r="I3304" t="inlineStr"/>
      <c r="J3304" t="inlineStr"/>
      <c r="K3304" t="inlineStr"/>
      <c r="L3304" t="inlineStr"/>
      <c r="M3304" t="inlineStr"/>
      <c r="N3304" t="inlineStr"/>
    </row>
    <row r="3305">
      <c r="A3305" t="inlineStr">
        <is>
          <t>tw-taichung</t>
        </is>
      </c>
      <c r="B3305" t="inlineStr">
        <is>
          <t>Taichung</t>
        </is>
      </c>
      <c r="C3305" t="inlineStr">
        <is>
          <t>Taiwan</t>
        </is>
      </c>
      <c r="D3305" t="inlineStr">
        <is>
          <t>East Asia</t>
        </is>
      </c>
      <c r="E3305" t="inlineStr">
        <is>
          <t>investment_signal_raw</t>
        </is>
      </c>
      <c r="F3305" t="inlineStr">
        <is>
          <t>Investment signal raw</t>
        </is>
      </c>
      <c r="G3305" t="inlineStr">
        <is>
          <t>creative</t>
        </is>
      </c>
      <c r="H3305" t="inlineStr">
        <is>
          <t>yes</t>
        </is>
      </c>
      <c r="I3305" t="inlineStr"/>
      <c r="J3305" t="inlineStr"/>
      <c r="K3305" t="inlineStr"/>
      <c r="L3305" t="inlineStr"/>
      <c r="M3305" t="inlineStr"/>
      <c r="N3305" t="inlineStr"/>
    </row>
    <row r="3306">
      <c r="A3306" t="inlineStr">
        <is>
          <t>tw-taichung</t>
        </is>
      </c>
      <c r="B3306" t="inlineStr">
        <is>
          <t>Taichung</t>
        </is>
      </c>
      <c r="C3306" t="inlineStr">
        <is>
          <t>Taiwan</t>
        </is>
      </c>
      <c r="D3306" t="inlineStr">
        <is>
          <t>East Asia</t>
        </is>
      </c>
      <c r="E3306" t="inlineStr">
        <is>
          <t>administrative_investment_friction_raw</t>
        </is>
      </c>
      <c r="F3306" t="inlineStr">
        <is>
          <t>Administrative investment friction raw</t>
        </is>
      </c>
      <c r="G3306" t="inlineStr">
        <is>
          <t>creative</t>
        </is>
      </c>
      <c r="H3306" t="inlineStr">
        <is>
          <t>yes</t>
        </is>
      </c>
      <c r="I3306" t="inlineStr">
        <is>
          <t>1.3</t>
        </is>
      </c>
      <c r="J3306" t="inlineStr">
        <is>
          <t>taiwan_dgbas</t>
        </is>
      </c>
      <c r="K3306" t="inlineStr">
        <is>
          <t>https://eng.dgbas.gov.tw/</t>
        </is>
      </c>
      <c r="L3306" t="inlineStr">
        <is>
          <t>World Bank WGI: Regulatory Quality (inverted as friction proxy)</t>
        </is>
      </c>
      <c r="M3306" t="inlineStr">
        <is>
          <t>2023-12-31</t>
        </is>
      </c>
      <c r="N3306" t="inlineStr">
        <is>
          <t>auto_ingest=world_bank_business_friction; indicator=RQ.EST; raw_rq=1.2; friction=1.3; year=2023; country_proxy=Taiwan</t>
        </is>
      </c>
    </row>
    <row r="3307">
      <c r="A3307" t="inlineStr">
        <is>
          <t>tw-taichung</t>
        </is>
      </c>
      <c r="B3307" t="inlineStr">
        <is>
          <t>Taichung</t>
        </is>
      </c>
      <c r="C3307" t="inlineStr">
        <is>
          <t>Taiwan</t>
        </is>
      </c>
      <c r="D3307" t="inlineStr">
        <is>
          <t>East Asia</t>
        </is>
      </c>
      <c r="E3307" t="inlineStr">
        <is>
          <t>visitor_flow_context_raw</t>
        </is>
      </c>
      <c r="F3307" t="inlineStr">
        <is>
          <t>Visitor flow context raw</t>
        </is>
      </c>
      <c r="G3307" t="inlineStr">
        <is>
          <t>creative</t>
        </is>
      </c>
      <c r="H3307" t="inlineStr">
        <is>
          <t>no</t>
        </is>
      </c>
      <c r="I3307" t="inlineStr"/>
      <c r="J3307" t="inlineStr"/>
      <c r="K3307" t="inlineStr"/>
      <c r="L3307" t="inlineStr"/>
      <c r="M3307" t="inlineStr"/>
      <c r="N3307" t="inlineStr"/>
    </row>
    <row r="3308">
      <c r="A3308" t="inlineStr">
        <is>
          <t>tw-kaohsiung</t>
        </is>
      </c>
      <c r="B3308" t="inlineStr">
        <is>
          <t>Kaohsiung</t>
        </is>
      </c>
      <c r="C3308" t="inlineStr">
        <is>
          <t>Taiwan</t>
        </is>
      </c>
      <c r="D3308" t="inlineStr">
        <is>
          <t>East Asia</t>
        </is>
      </c>
      <c r="E3308" t="inlineStr">
        <is>
          <t>gross_income</t>
        </is>
      </c>
      <c r="F3308" t="inlineStr">
        <is>
          <t>Gross income</t>
        </is>
      </c>
      <c r="G3308" t="inlineStr">
        <is>
          <t>pressure</t>
        </is>
      </c>
      <c r="H3308" t="inlineStr">
        <is>
          <t>yes</t>
        </is>
      </c>
      <c r="I3308" t="inlineStr">
        <is>
          <t>5416.67</t>
        </is>
      </c>
      <c r="J3308" t="inlineStr">
        <is>
          <t>world_bank_col_estimate</t>
        </is>
      </c>
      <c r="K3308" t="inlineStr">
        <is>
          <t>https://data.worldbank.org/indicator/NY.GNP.PCAP.PP.CD</t>
        </is>
      </c>
      <c r="L3308" t="inlineStr">
        <is>
          <t>World Bank WDI: GNI per capita PPP (monthly USD)</t>
        </is>
      </c>
      <c r="M3308" t="inlineStr">
        <is>
          <t>2023-12-31</t>
        </is>
      </c>
      <c r="N3308" t="inlineStr">
        <is>
          <t>auto_ingest=world_bank_col_estimate; gni_annual=65000.0; year=2023; country_proxy=Taiwan; cohort=East Asia</t>
        </is>
      </c>
    </row>
    <row r="3309">
      <c r="A3309" t="inlineStr">
        <is>
          <t>tw-kaohsiung</t>
        </is>
      </c>
      <c r="B3309" t="inlineStr">
        <is>
          <t>Kaohsiung</t>
        </is>
      </c>
      <c r="C3309" t="inlineStr">
        <is>
          <t>Taiwan</t>
        </is>
      </c>
      <c r="D3309" t="inlineStr">
        <is>
          <t>East Asia</t>
        </is>
      </c>
      <c r="E3309" t="inlineStr">
        <is>
          <t>di_ppp_raw</t>
        </is>
      </c>
      <c r="F3309" t="inlineStr">
        <is>
          <t>Disposable income PPP (Raw)</t>
        </is>
      </c>
      <c r="G3309" t="inlineStr">
        <is>
          <t>pressure</t>
        </is>
      </c>
      <c r="H3309" t="inlineStr">
        <is>
          <t>yes</t>
        </is>
      </c>
      <c r="I3309" t="inlineStr"/>
      <c r="J3309" t="inlineStr"/>
      <c r="K3309" t="inlineStr"/>
      <c r="L3309" t="inlineStr"/>
      <c r="M3309" t="inlineStr"/>
      <c r="N3309" t="inlineStr"/>
    </row>
    <row r="3310">
      <c r="A3310" t="inlineStr">
        <is>
          <t>tw-kaohsiung</t>
        </is>
      </c>
      <c r="B3310" t="inlineStr">
        <is>
          <t>Kaohsiung</t>
        </is>
      </c>
      <c r="C3310" t="inlineStr">
        <is>
          <t>Taiwan</t>
        </is>
      </c>
      <c r="D3310" t="inlineStr">
        <is>
          <t>East Asia</t>
        </is>
      </c>
      <c r="E3310" t="inlineStr">
        <is>
          <t>rent</t>
        </is>
      </c>
      <c r="F3310" t="inlineStr">
        <is>
          <t>Rent</t>
        </is>
      </c>
      <c r="G3310" t="inlineStr">
        <is>
          <t>pressure</t>
        </is>
      </c>
      <c r="H3310" t="inlineStr">
        <is>
          <t>yes</t>
        </is>
      </c>
      <c r="I3310" t="inlineStr">
        <is>
          <t>1151.04</t>
        </is>
      </c>
      <c r="J3310" t="inlineStr">
        <is>
          <t>world_bank_col_estimate</t>
        </is>
      </c>
      <c r="K3310" t="inlineStr">
        <is>
          <t>https://data.worldbank.org/indicator/NY.GNP.PCAP.PP.CD</t>
        </is>
      </c>
      <c r="L3310" t="inlineStr">
        <is>
          <t>World Bank GNI + regional expenditure ratio estimate</t>
        </is>
      </c>
      <c r="M3310" t="inlineStr">
        <is>
          <t>2023-12-31</t>
        </is>
      </c>
      <c r="N3310" t="inlineStr">
        <is>
          <t>auto_ingest=world_bank_col_estimate; gni_annual=65000.0; year=2023; country_proxy=Taiwan; cohort=East Asia; city_cost_mult=0.85</t>
        </is>
      </c>
    </row>
    <row r="3311">
      <c r="A3311" t="inlineStr">
        <is>
          <t>tw-kaohsiung</t>
        </is>
      </c>
      <c r="B3311" t="inlineStr">
        <is>
          <t>Kaohsiung</t>
        </is>
      </c>
      <c r="C3311" t="inlineStr">
        <is>
          <t>Taiwan</t>
        </is>
      </c>
      <c r="D3311" t="inlineStr">
        <is>
          <t>East Asia</t>
        </is>
      </c>
      <c r="E3311" t="inlineStr">
        <is>
          <t>utilities</t>
        </is>
      </c>
      <c r="F3311" t="inlineStr">
        <is>
          <t>Utilities</t>
        </is>
      </c>
      <c r="G3311" t="inlineStr">
        <is>
          <t>pressure</t>
        </is>
      </c>
      <c r="H3311" t="inlineStr">
        <is>
          <t>yes</t>
        </is>
      </c>
      <c r="I3311" t="inlineStr">
        <is>
          <t>276.25</t>
        </is>
      </c>
      <c r="J3311" t="inlineStr">
        <is>
          <t>world_bank_col_estimate</t>
        </is>
      </c>
      <c r="K3311" t="inlineStr">
        <is>
          <t>https://data.worldbank.org/indicator/NY.GNP.PCAP.PP.CD</t>
        </is>
      </c>
      <c r="L3311" t="inlineStr">
        <is>
          <t>World Bank GNI + regional expenditure ratio estimate</t>
        </is>
      </c>
      <c r="M3311" t="inlineStr">
        <is>
          <t>2023-12-31</t>
        </is>
      </c>
      <c r="N3311" t="inlineStr">
        <is>
          <t>auto_ingest=world_bank_col_estimate; gni_annual=65000.0; year=2023; country_proxy=Taiwan; cohort=East Asia; city_cost_mult=0.85</t>
        </is>
      </c>
    </row>
    <row r="3312">
      <c r="A3312" t="inlineStr">
        <is>
          <t>tw-kaohsiung</t>
        </is>
      </c>
      <c r="B3312" t="inlineStr">
        <is>
          <t>Kaohsiung</t>
        </is>
      </c>
      <c r="C3312" t="inlineStr">
        <is>
          <t>Taiwan</t>
        </is>
      </c>
      <c r="D3312" t="inlineStr">
        <is>
          <t>East Asia</t>
        </is>
      </c>
      <c r="E3312" t="inlineStr">
        <is>
          <t>transit_cost</t>
        </is>
      </c>
      <c r="F3312" t="inlineStr">
        <is>
          <t>Transit cost</t>
        </is>
      </c>
      <c r="G3312" t="inlineStr">
        <is>
          <t>pressure</t>
        </is>
      </c>
      <c r="H3312" t="inlineStr">
        <is>
          <t>yes</t>
        </is>
      </c>
      <c r="I3312" t="inlineStr">
        <is>
          <t>184.17</t>
        </is>
      </c>
      <c r="J3312" t="inlineStr">
        <is>
          <t>world_bank_col_estimate</t>
        </is>
      </c>
      <c r="K3312" t="inlineStr">
        <is>
          <t>https://data.worldbank.org/indicator/NY.GNP.PCAP.PP.CD</t>
        </is>
      </c>
      <c r="L3312" t="inlineStr">
        <is>
          <t>World Bank GNI + regional expenditure ratio estimate</t>
        </is>
      </c>
      <c r="M3312" t="inlineStr">
        <is>
          <t>2023-12-31</t>
        </is>
      </c>
      <c r="N3312" t="inlineStr">
        <is>
          <t>auto_ingest=world_bank_col_estimate; gni_annual=65000.0; year=2023; country_proxy=Taiwan; cohort=East Asia; city_cost_mult=0.85</t>
        </is>
      </c>
    </row>
    <row r="3313">
      <c r="A3313" t="inlineStr">
        <is>
          <t>tw-kaohsiung</t>
        </is>
      </c>
      <c r="B3313" t="inlineStr">
        <is>
          <t>Kaohsiung</t>
        </is>
      </c>
      <c r="C3313" t="inlineStr">
        <is>
          <t>Taiwan</t>
        </is>
      </c>
      <c r="D3313" t="inlineStr">
        <is>
          <t>East Asia</t>
        </is>
      </c>
      <c r="E3313" t="inlineStr">
        <is>
          <t>internet_cost</t>
        </is>
      </c>
      <c r="F3313" t="inlineStr">
        <is>
          <t>Internet cost</t>
        </is>
      </c>
      <c r="G3313" t="inlineStr">
        <is>
          <t>pressure</t>
        </is>
      </c>
      <c r="H3313" t="inlineStr">
        <is>
          <t>yes</t>
        </is>
      </c>
      <c r="I3313" t="inlineStr">
        <is>
          <t>69.06</t>
        </is>
      </c>
      <c r="J3313" t="inlineStr">
        <is>
          <t>world_bank_col_estimate</t>
        </is>
      </c>
      <c r="K3313" t="inlineStr">
        <is>
          <t>https://data.worldbank.org/indicator/NY.GNP.PCAP.PP.CD</t>
        </is>
      </c>
      <c r="L3313" t="inlineStr">
        <is>
          <t>World Bank GNI + regional expenditure ratio estimate</t>
        </is>
      </c>
      <c r="M3313" t="inlineStr">
        <is>
          <t>2023-12-31</t>
        </is>
      </c>
      <c r="N3313" t="inlineStr">
        <is>
          <t>auto_ingest=world_bank_col_estimate; gni_annual=65000.0; year=2023; country_proxy=Taiwan; cohort=East Asia; city_cost_mult=0.85</t>
        </is>
      </c>
    </row>
    <row r="3314">
      <c r="A3314" t="inlineStr">
        <is>
          <t>tw-kaohsiung</t>
        </is>
      </c>
      <c r="B3314" t="inlineStr">
        <is>
          <t>Kaohsiung</t>
        </is>
      </c>
      <c r="C3314" t="inlineStr">
        <is>
          <t>Taiwan</t>
        </is>
      </c>
      <c r="D3314" t="inlineStr">
        <is>
          <t>East Asia</t>
        </is>
      </c>
      <c r="E3314" t="inlineStr">
        <is>
          <t>food_cost</t>
        </is>
      </c>
      <c r="F3314" t="inlineStr">
        <is>
          <t>Food cost</t>
        </is>
      </c>
      <c r="G3314" t="inlineStr">
        <is>
          <t>pressure</t>
        </is>
      </c>
      <c r="H3314" t="inlineStr">
        <is>
          <t>yes</t>
        </is>
      </c>
      <c r="I3314" t="inlineStr">
        <is>
          <t>920.83</t>
        </is>
      </c>
      <c r="J3314" t="inlineStr">
        <is>
          <t>world_bank_col_estimate</t>
        </is>
      </c>
      <c r="K3314" t="inlineStr">
        <is>
          <t>https://data.worldbank.org/indicator/NY.GNP.PCAP.PP.CD</t>
        </is>
      </c>
      <c r="L3314" t="inlineStr">
        <is>
          <t>World Bank GNI + regional expenditure ratio estimate</t>
        </is>
      </c>
      <c r="M3314" t="inlineStr">
        <is>
          <t>2023-12-31</t>
        </is>
      </c>
      <c r="N3314" t="inlineStr">
        <is>
          <t>auto_ingest=world_bank_col_estimate; gni_annual=65000.0; year=2023; country_proxy=Taiwan; cohort=East Asia; city_cost_mult=0.85</t>
        </is>
      </c>
    </row>
    <row r="3315">
      <c r="A3315" t="inlineStr">
        <is>
          <t>tw-kaohsiung</t>
        </is>
      </c>
      <c r="B3315" t="inlineStr">
        <is>
          <t>Kaohsiung</t>
        </is>
      </c>
      <c r="C3315" t="inlineStr">
        <is>
          <t>Taiwan</t>
        </is>
      </c>
      <c r="D3315" t="inlineStr">
        <is>
          <t>East Asia</t>
        </is>
      </c>
      <c r="E3315" t="inlineStr">
        <is>
          <t>housing_burden_raw</t>
        </is>
      </c>
      <c r="F3315" t="inlineStr">
        <is>
          <t>Housing burden raw</t>
        </is>
      </c>
      <c r="G3315" t="inlineStr">
        <is>
          <t>pressure</t>
        </is>
      </c>
      <c r="H3315" t="inlineStr">
        <is>
          <t>yes</t>
        </is>
      </c>
      <c r="I3315" t="inlineStr">
        <is>
          <t>21.25</t>
        </is>
      </c>
      <c r="J3315" t="inlineStr">
        <is>
          <t>derived</t>
        </is>
      </c>
      <c r="K3315" t="inlineStr">
        <is>
          <t>https://data.worldbank.org/indicator/NY.GNP.PCAP.PP.CD</t>
        </is>
      </c>
      <c r="L3315" t="inlineStr">
        <is>
          <t>Computed from city_inputs + country_context</t>
        </is>
      </c>
      <c r="M3315" t="inlineStr">
        <is>
          <t>2024-01-01</t>
        </is>
      </c>
      <c r="N3315" t="inlineStr">
        <is>
          <t>derived=rent/gross_income*100</t>
        </is>
      </c>
    </row>
    <row r="3316">
      <c r="A3316" t="inlineStr">
        <is>
          <t>tw-kaohsiung</t>
        </is>
      </c>
      <c r="B3316" t="inlineStr">
        <is>
          <t>Kaohsiung</t>
        </is>
      </c>
      <c r="C3316" t="inlineStr">
        <is>
          <t>Taiwan</t>
        </is>
      </c>
      <c r="D3316" t="inlineStr">
        <is>
          <t>East Asia</t>
        </is>
      </c>
      <c r="E3316" t="inlineStr">
        <is>
          <t>household_debt_burden_raw</t>
        </is>
      </c>
      <c r="F3316" t="inlineStr">
        <is>
          <t>Household debt burden raw</t>
        </is>
      </c>
      <c r="G3316" t="inlineStr">
        <is>
          <t>pressure</t>
        </is>
      </c>
      <c r="H3316" t="inlineStr">
        <is>
          <t>yes</t>
        </is>
      </c>
      <c r="I3316" t="inlineStr"/>
      <c r="J3316" t="inlineStr"/>
      <c r="K3316" t="inlineStr"/>
      <c r="L3316" t="inlineStr"/>
      <c r="M3316" t="inlineStr"/>
      <c r="N3316" t="inlineStr"/>
    </row>
    <row r="3317">
      <c r="A3317" t="inlineStr">
        <is>
          <t>tw-kaohsiung</t>
        </is>
      </c>
      <c r="B3317" t="inlineStr">
        <is>
          <t>Kaohsiung</t>
        </is>
      </c>
      <c r="C3317" t="inlineStr">
        <is>
          <t>Taiwan</t>
        </is>
      </c>
      <c r="D3317" t="inlineStr">
        <is>
          <t>East Asia</t>
        </is>
      </c>
      <c r="E3317" t="inlineStr">
        <is>
          <t>working_time_pressure_raw</t>
        </is>
      </c>
      <c r="F3317" t="inlineStr">
        <is>
          <t>Working time pressure raw</t>
        </is>
      </c>
      <c r="G3317" t="inlineStr">
        <is>
          <t>pressure</t>
        </is>
      </c>
      <c r="H3317" t="inlineStr">
        <is>
          <t>yes</t>
        </is>
      </c>
      <c r="I3317" t="inlineStr">
        <is>
          <t>41.5</t>
        </is>
      </c>
      <c r="J3317" t="inlineStr">
        <is>
          <t>city_official_portal</t>
        </is>
      </c>
      <c r="K3317" t="inlineStr">
        <is>
          <t>https://eng.dgbas.gov.tw</t>
        </is>
      </c>
      <c r="L3317" t="inlineStr">
        <is>
          <t>DGBAS: Taiwan weekly hours</t>
        </is>
      </c>
      <c r="M3317" t="inlineStr">
        <is>
          <t>2023-12-31</t>
        </is>
      </c>
      <c r="N3317" t="inlineStr">
        <is>
          <t>country_proxy=Taiwan</t>
        </is>
      </c>
    </row>
    <row r="3318">
      <c r="A3318" t="inlineStr">
        <is>
          <t>tw-kaohsiung</t>
        </is>
      </c>
      <c r="B3318" t="inlineStr">
        <is>
          <t>Kaohsiung</t>
        </is>
      </c>
      <c r="C3318" t="inlineStr">
        <is>
          <t>Taiwan</t>
        </is>
      </c>
      <c r="D3318" t="inlineStr">
        <is>
          <t>East Asia</t>
        </is>
      </c>
      <c r="E3318" t="inlineStr">
        <is>
          <t>suicide_mental_strain_raw</t>
        </is>
      </c>
      <c r="F3318" t="inlineStr">
        <is>
          <t>Suicide or mental strain raw</t>
        </is>
      </c>
      <c r="G3318" t="inlineStr">
        <is>
          <t>pressure</t>
        </is>
      </c>
      <c r="H3318" t="inlineStr">
        <is>
          <t>yes</t>
        </is>
      </c>
      <c r="I3318" t="inlineStr">
        <is>
          <t>16.0</t>
        </is>
      </c>
      <c r="J3318" t="inlineStr">
        <is>
          <t>city_official_portal</t>
        </is>
      </c>
      <c r="K3318" t="inlineStr">
        <is>
          <t>https://dep.mohw.gov.tw</t>
        </is>
      </c>
      <c r="L3318" t="inlineStr">
        <is>
          <t>MOHW: Taiwan suicide rate</t>
        </is>
      </c>
      <c r="M3318" t="inlineStr">
        <is>
          <t>2023-12-31</t>
        </is>
      </c>
      <c r="N3318" t="inlineStr">
        <is>
          <t>country_proxy=Taiwan</t>
        </is>
      </c>
    </row>
    <row r="3319">
      <c r="A3319" t="inlineStr">
        <is>
          <t>tw-kaohsiung</t>
        </is>
      </c>
      <c r="B3319" t="inlineStr">
        <is>
          <t>Kaohsiung</t>
        </is>
      </c>
      <c r="C3319" t="inlineStr">
        <is>
          <t>Taiwan</t>
        </is>
      </c>
      <c r="D3319" t="inlineStr">
        <is>
          <t>East Asia</t>
        </is>
      </c>
      <c r="E3319" t="inlineStr">
        <is>
          <t>personal_safety_raw</t>
        </is>
      </c>
      <c r="F3319" t="inlineStr">
        <is>
          <t>Personal safety raw</t>
        </is>
      </c>
      <c r="G3319" t="inlineStr">
        <is>
          <t>viability</t>
        </is>
      </c>
      <c r="H3319" t="inlineStr">
        <is>
          <t>yes</t>
        </is>
      </c>
      <c r="I3319" t="inlineStr">
        <is>
          <t>0.8</t>
        </is>
      </c>
      <c r="J3319" t="inlineStr">
        <is>
          <t>city_official_portal</t>
        </is>
      </c>
      <c r="K3319" t="inlineStr">
        <is>
          <t>https://eng.dgbas.gov.tw</t>
        </is>
      </c>
      <c r="L3319" t="inlineStr">
        <is>
          <t>NPA: Taiwan homicide rate</t>
        </is>
      </c>
      <c r="M3319" t="inlineStr">
        <is>
          <t>2023-12-31</t>
        </is>
      </c>
      <c r="N3319" t="inlineStr">
        <is>
          <t>country_proxy=Taiwan</t>
        </is>
      </c>
    </row>
    <row r="3320">
      <c r="A3320" t="inlineStr">
        <is>
          <t>tw-kaohsiung</t>
        </is>
      </c>
      <c r="B3320" t="inlineStr">
        <is>
          <t>Kaohsiung</t>
        </is>
      </c>
      <c r="C3320" t="inlineStr">
        <is>
          <t>Taiwan</t>
        </is>
      </c>
      <c r="D3320" t="inlineStr">
        <is>
          <t>East Asia</t>
        </is>
      </c>
      <c r="E3320" t="inlineStr">
        <is>
          <t>transit_access_commute_raw</t>
        </is>
      </c>
      <c r="F3320" t="inlineStr">
        <is>
          <t>Transit access and commute raw</t>
        </is>
      </c>
      <c r="G3320" t="inlineStr">
        <is>
          <t>viability</t>
        </is>
      </c>
      <c r="H3320" t="inlineStr">
        <is>
          <t>yes</t>
        </is>
      </c>
      <c r="I3320" t="inlineStr"/>
      <c r="J3320" t="inlineStr"/>
      <c r="K3320" t="inlineStr"/>
      <c r="L3320" t="inlineStr"/>
      <c r="M3320" t="inlineStr"/>
      <c r="N3320" t="inlineStr"/>
    </row>
    <row r="3321">
      <c r="A3321" t="inlineStr">
        <is>
          <t>tw-kaohsiung</t>
        </is>
      </c>
      <c r="B3321" t="inlineStr">
        <is>
          <t>Kaohsiung</t>
        </is>
      </c>
      <c r="C3321" t="inlineStr">
        <is>
          <t>Taiwan</t>
        </is>
      </c>
      <c r="D3321" t="inlineStr">
        <is>
          <t>East Asia</t>
        </is>
      </c>
      <c r="E3321" t="inlineStr">
        <is>
          <t>clean_air_raw</t>
        </is>
      </c>
      <c r="F3321" t="inlineStr">
        <is>
          <t>Clean air raw</t>
        </is>
      </c>
      <c r="G3321" t="inlineStr">
        <is>
          <t>viability</t>
        </is>
      </c>
      <c r="H3321" t="inlineStr">
        <is>
          <t>yes</t>
        </is>
      </c>
      <c r="I3321" t="inlineStr">
        <is>
          <t>18.0</t>
        </is>
      </c>
      <c r="J3321" t="inlineStr">
        <is>
          <t>city_official_portal</t>
        </is>
      </c>
      <c r="K3321" t="inlineStr">
        <is>
          <t>https://eng.dgbas.gov.tw</t>
        </is>
      </c>
      <c r="L3321" t="inlineStr">
        <is>
          <t>EPA Taiwan: Kaohsiung PM2.5 — improving, former industrial port</t>
        </is>
      </c>
      <c r="M3321" t="inlineStr">
        <is>
          <t>2023-12-31</t>
        </is>
      </c>
      <c r="N3321" t="inlineStr">
        <is>
          <t>city_level</t>
        </is>
      </c>
    </row>
    <row r="3322">
      <c r="A3322" t="inlineStr">
        <is>
          <t>tw-kaohsiung</t>
        </is>
      </c>
      <c r="B3322" t="inlineStr">
        <is>
          <t>Kaohsiung</t>
        </is>
      </c>
      <c r="C3322" t="inlineStr">
        <is>
          <t>Taiwan</t>
        </is>
      </c>
      <c r="D3322" t="inlineStr">
        <is>
          <t>East Asia</t>
        </is>
      </c>
      <c r="E3322" t="inlineStr">
        <is>
          <t>water_sanitation_utility_raw</t>
        </is>
      </c>
      <c r="F3322" t="inlineStr">
        <is>
          <t>Water, sanitation, and utility raw</t>
        </is>
      </c>
      <c r="G3322" t="inlineStr">
        <is>
          <t>viability</t>
        </is>
      </c>
      <c r="H3322" t="inlineStr">
        <is>
          <t>yes</t>
        </is>
      </c>
      <c r="I3322" t="inlineStr">
        <is>
          <t>98.0</t>
        </is>
      </c>
      <c r="J3322" t="inlineStr">
        <is>
          <t>city_official_portal</t>
        </is>
      </c>
      <c r="K3322" t="inlineStr">
        <is>
          <t>https://eng.dgbas.gov.tw</t>
        </is>
      </c>
      <c r="L3322" t="inlineStr">
        <is>
          <t>DGBAS: Taiwan water access</t>
        </is>
      </c>
      <c r="M3322" t="inlineStr">
        <is>
          <t>2023-12-31</t>
        </is>
      </c>
      <c r="N3322" t="inlineStr">
        <is>
          <t>country_proxy=Taiwan</t>
        </is>
      </c>
    </row>
    <row r="3323">
      <c r="A3323" t="inlineStr">
        <is>
          <t>tw-kaohsiung</t>
        </is>
      </c>
      <c r="B3323" t="inlineStr">
        <is>
          <t>Kaohsiung</t>
        </is>
      </c>
      <c r="C3323" t="inlineStr">
        <is>
          <t>Taiwan</t>
        </is>
      </c>
      <c r="D3323" t="inlineStr">
        <is>
          <t>East Asia</t>
        </is>
      </c>
      <c r="E3323" t="inlineStr">
        <is>
          <t>digital_infrastructure_raw</t>
        </is>
      </c>
      <c r="F3323" t="inlineStr">
        <is>
          <t>Digital infrastructure raw</t>
        </is>
      </c>
      <c r="G3323" t="inlineStr">
        <is>
          <t>viability</t>
        </is>
      </c>
      <c r="H3323" t="inlineStr">
        <is>
          <t>yes</t>
        </is>
      </c>
      <c r="I3323" t="inlineStr">
        <is>
          <t>28.0</t>
        </is>
      </c>
      <c r="J3323" t="inlineStr">
        <is>
          <t>city_official_portal</t>
        </is>
      </c>
      <c r="K3323" t="inlineStr">
        <is>
          <t>https://eng.dgbas.gov.tw</t>
        </is>
      </c>
      <c r="L3323" t="inlineStr">
        <is>
          <t>MOTC: Taiwan broadband subs/100</t>
        </is>
      </c>
      <c r="M3323" t="inlineStr">
        <is>
          <t>2023-12-31</t>
        </is>
      </c>
      <c r="N3323" t="inlineStr">
        <is>
          <t>country_proxy=Taiwan</t>
        </is>
      </c>
    </row>
    <row r="3324">
      <c r="A3324" t="inlineStr">
        <is>
          <t>tw-kaohsiung</t>
        </is>
      </c>
      <c r="B3324" t="inlineStr">
        <is>
          <t>Kaohsiung</t>
        </is>
      </c>
      <c r="C3324" t="inlineStr">
        <is>
          <t>Taiwan</t>
        </is>
      </c>
      <c r="D3324" t="inlineStr">
        <is>
          <t>East Asia</t>
        </is>
      </c>
      <c r="E3324" t="inlineStr">
        <is>
          <t>climate_sunlight_livability_raw</t>
        </is>
      </c>
      <c r="F3324" t="inlineStr">
        <is>
          <t>Climate and sunlight livability raw</t>
        </is>
      </c>
      <c r="G3324" t="inlineStr">
        <is>
          <t>viability</t>
        </is>
      </c>
      <c r="H3324" t="inlineStr">
        <is>
          <t>yes</t>
        </is>
      </c>
      <c r="I3324" t="inlineStr">
        <is>
          <t>68.0</t>
        </is>
      </c>
      <c r="J3324" t="inlineStr">
        <is>
          <t>wmo_natl_met</t>
        </is>
      </c>
      <c r="K3324" t="inlineStr">
        <is>
          <t>https://worldweather.wmo.int</t>
        </is>
      </c>
      <c r="L3324" t="inlineStr">
        <is>
          <t>WMO: 2200 sun hrs, 25C mean, tropical but port breeze, warmer than Taipei</t>
        </is>
      </c>
      <c r="M3324" t="inlineStr">
        <is>
          <t>2024-12-31</t>
        </is>
      </c>
      <c r="N3324" t="inlineStr">
        <is>
          <t>city_level</t>
        </is>
      </c>
    </row>
    <row r="3325">
      <c r="A3325" t="inlineStr">
        <is>
          <t>tw-kaohsiung</t>
        </is>
      </c>
      <c r="B3325" t="inlineStr">
        <is>
          <t>Kaohsiung</t>
        </is>
      </c>
      <c r="C3325" t="inlineStr">
        <is>
          <t>Taiwan</t>
        </is>
      </c>
      <c r="D3325" t="inlineStr">
        <is>
          <t>East Asia</t>
        </is>
      </c>
      <c r="E3325" t="inlineStr">
        <is>
          <t>healthcare_quality_raw</t>
        </is>
      </c>
      <c r="F3325" t="inlineStr">
        <is>
          <t>Healthcare quality raw</t>
        </is>
      </c>
      <c r="G3325" t="inlineStr">
        <is>
          <t>capability</t>
        </is>
      </c>
      <c r="H3325" t="inlineStr">
        <is>
          <t>yes</t>
        </is>
      </c>
      <c r="I3325" t="inlineStr">
        <is>
          <t>88.0</t>
        </is>
      </c>
      <c r="J3325" t="inlineStr">
        <is>
          <t>city_official_portal</t>
        </is>
      </c>
      <c r="K3325" t="inlineStr">
        <is>
          <t>https://dep.mohw.gov.tw</t>
        </is>
      </c>
      <c r="L3325" t="inlineStr">
        <is>
          <t>MOHW: Taiwan NHI UHC equivalent</t>
        </is>
      </c>
      <c r="M3325" t="inlineStr">
        <is>
          <t>2023-12-31</t>
        </is>
      </c>
      <c r="N3325" t="inlineStr">
        <is>
          <t>country_proxy=Taiwan</t>
        </is>
      </c>
    </row>
    <row r="3326">
      <c r="A3326" t="inlineStr">
        <is>
          <t>tw-kaohsiung</t>
        </is>
      </c>
      <c r="B3326" t="inlineStr">
        <is>
          <t>Kaohsiung</t>
        </is>
      </c>
      <c r="C3326" t="inlineStr">
        <is>
          <t>Taiwan</t>
        </is>
      </c>
      <c r="D3326" t="inlineStr">
        <is>
          <t>East Asia</t>
        </is>
      </c>
      <c r="E3326" t="inlineStr">
        <is>
          <t>education_quality_raw</t>
        </is>
      </c>
      <c r="F3326" t="inlineStr">
        <is>
          <t>Education quality raw</t>
        </is>
      </c>
      <c r="G3326" t="inlineStr">
        <is>
          <t>capability</t>
        </is>
      </c>
      <c r="H3326" t="inlineStr">
        <is>
          <t>yes</t>
        </is>
      </c>
      <c r="I3326" t="inlineStr">
        <is>
          <t>90.0</t>
        </is>
      </c>
      <c r="J3326" t="inlineStr">
        <is>
          <t>city_official_portal</t>
        </is>
      </c>
      <c r="K3326" t="inlineStr">
        <is>
          <t>https://eng.dgbas.gov.tw</t>
        </is>
      </c>
      <c r="L3326" t="inlineStr">
        <is>
          <t>DGBAS: Taiwan tertiary enrollment</t>
        </is>
      </c>
      <c r="M3326" t="inlineStr">
        <is>
          <t>2023-12-31</t>
        </is>
      </c>
      <c r="N3326" t="inlineStr">
        <is>
          <t>country_proxy=Taiwan</t>
        </is>
      </c>
    </row>
    <row r="3327">
      <c r="A3327" t="inlineStr">
        <is>
          <t>tw-kaohsiung</t>
        </is>
      </c>
      <c r="B3327" t="inlineStr">
        <is>
          <t>Kaohsiung</t>
        </is>
      </c>
      <c r="C3327" t="inlineStr">
        <is>
          <t>Taiwan</t>
        </is>
      </c>
      <c r="D3327" t="inlineStr">
        <is>
          <t>East Asia</t>
        </is>
      </c>
      <c r="E3327" t="inlineStr">
        <is>
          <t>equal_opportunity_raw</t>
        </is>
      </c>
      <c r="F3327" t="inlineStr">
        <is>
          <t>Equal opportunity raw</t>
        </is>
      </c>
      <c r="G3327" t="inlineStr">
        <is>
          <t>capability</t>
        </is>
      </c>
      <c r="H3327" t="inlineStr">
        <is>
          <t>yes</t>
        </is>
      </c>
      <c r="I3327" t="inlineStr"/>
      <c r="J3327" t="inlineStr"/>
      <c r="K3327" t="inlineStr"/>
      <c r="L3327" t="inlineStr"/>
      <c r="M3327" t="inlineStr"/>
      <c r="N3327" t="inlineStr"/>
    </row>
    <row r="3328">
      <c r="A3328" t="inlineStr">
        <is>
          <t>tw-kaohsiung</t>
        </is>
      </c>
      <c r="B3328" t="inlineStr">
        <is>
          <t>Kaohsiung</t>
        </is>
      </c>
      <c r="C3328" t="inlineStr">
        <is>
          <t>Taiwan</t>
        </is>
      </c>
      <c r="D3328" t="inlineStr">
        <is>
          <t>East Asia</t>
        </is>
      </c>
      <c r="E3328" t="inlineStr">
        <is>
          <t>hospitality_belonging_raw</t>
        </is>
      </c>
      <c r="F3328" t="inlineStr">
        <is>
          <t>Hospitality and belonging raw</t>
        </is>
      </c>
      <c r="G3328" t="inlineStr">
        <is>
          <t>community</t>
        </is>
      </c>
      <c r="H3328" t="inlineStr">
        <is>
          <t>yes</t>
        </is>
      </c>
      <c r="I3328" t="inlineStr"/>
      <c r="J3328" t="inlineStr"/>
      <c r="K3328" t="inlineStr"/>
      <c r="L3328" t="inlineStr"/>
      <c r="M3328" t="inlineStr"/>
      <c r="N3328" t="inlineStr"/>
    </row>
    <row r="3329">
      <c r="A3329" t="inlineStr">
        <is>
          <t>tw-kaohsiung</t>
        </is>
      </c>
      <c r="B3329" t="inlineStr">
        <is>
          <t>Kaohsiung</t>
        </is>
      </c>
      <c r="C3329" t="inlineStr">
        <is>
          <t>Taiwan</t>
        </is>
      </c>
      <c r="D3329" t="inlineStr">
        <is>
          <t>East Asia</t>
        </is>
      </c>
      <c r="E3329" t="inlineStr">
        <is>
          <t>tolerance_pluralism_raw</t>
        </is>
      </c>
      <c r="F3329" t="inlineStr">
        <is>
          <t>Tolerance and pluralism raw</t>
        </is>
      </c>
      <c r="G3329" t="inlineStr">
        <is>
          <t>community</t>
        </is>
      </c>
      <c r="H3329" t="inlineStr">
        <is>
          <t>yes</t>
        </is>
      </c>
      <c r="I3329" t="inlineStr">
        <is>
          <t>45.0</t>
        </is>
      </c>
      <c r="J3329" t="inlineStr">
        <is>
          <t>world_bank</t>
        </is>
      </c>
      <c r="K3329" t="inlineStr">
        <is>
          <t>https://api.worldbank.org/v2/country/TWN</t>
        </is>
      </c>
      <c r="L3329" t="inlineStr">
        <is>
          <t>Composite: gender parity + same-sex marriage legalized (first in Asia) + religious pluralism</t>
        </is>
      </c>
      <c r="M3329" t="inlineStr">
        <is>
          <t>2024-12-31</t>
        </is>
      </c>
      <c r="N3329" t="inlineStr"/>
    </row>
    <row r="3330">
      <c r="A3330" t="inlineStr">
        <is>
          <t>tw-kaohsiung</t>
        </is>
      </c>
      <c r="B3330" t="inlineStr">
        <is>
          <t>Kaohsiung</t>
        </is>
      </c>
      <c r="C3330" t="inlineStr">
        <is>
          <t>Taiwan</t>
        </is>
      </c>
      <c r="D3330" t="inlineStr">
        <is>
          <t>East Asia</t>
        </is>
      </c>
      <c r="E3330" t="inlineStr">
        <is>
          <t>cultural_public_life_raw</t>
        </is>
      </c>
      <c r="F3330" t="inlineStr">
        <is>
          <t>Cultural public life raw</t>
        </is>
      </c>
      <c r="G3330" t="inlineStr">
        <is>
          <t>community</t>
        </is>
      </c>
      <c r="H3330" t="inlineStr">
        <is>
          <t>yes</t>
        </is>
      </c>
      <c r="I3330" t="inlineStr">
        <is>
          <t>62.0</t>
        </is>
      </c>
      <c r="J3330" t="inlineStr">
        <is>
          <t>city_official_portal</t>
        </is>
      </c>
      <c r="K3330" t="inlineStr">
        <is>
          <t>https://eng.dgbas.gov.tw</t>
        </is>
      </c>
      <c r="L3330" t="inlineStr">
        <is>
          <t>Light rail, Pier-2 arts district, night markets, temple culture</t>
        </is>
      </c>
      <c r="M3330" t="inlineStr">
        <is>
          <t>2023-12-31</t>
        </is>
      </c>
      <c r="N3330" t="inlineStr">
        <is>
          <t>manual_assessment; cultural renaissance city</t>
        </is>
      </c>
    </row>
    <row r="3331">
      <c r="A3331" t="inlineStr">
        <is>
          <t>tw-kaohsiung</t>
        </is>
      </c>
      <c r="B3331" t="inlineStr">
        <is>
          <t>Kaohsiung</t>
        </is>
      </c>
      <c r="C3331" t="inlineStr">
        <is>
          <t>Taiwan</t>
        </is>
      </c>
      <c r="D3331" t="inlineStr">
        <is>
          <t>East Asia</t>
        </is>
      </c>
      <c r="E3331" t="inlineStr">
        <is>
          <t>birth_rate_optimism_raw</t>
        </is>
      </c>
      <c r="F3331" t="inlineStr">
        <is>
          <t>Birth rate and societal optimism raw</t>
        </is>
      </c>
      <c r="G3331" t="inlineStr">
        <is>
          <t>community</t>
        </is>
      </c>
      <c r="H3331" t="inlineStr">
        <is>
          <t>yes</t>
        </is>
      </c>
      <c r="I3331" t="inlineStr">
        <is>
          <t>0.87</t>
        </is>
      </c>
      <c r="J3331" t="inlineStr">
        <is>
          <t>world_bank</t>
        </is>
      </c>
      <c r="K3331" t="inlineStr">
        <is>
          <t>https://data.worldbank.org/indicator/SP.DYN.TFRT.IN</t>
        </is>
      </c>
      <c r="L3331" t="inlineStr">
        <is>
          <t>World Bank Total Fertility Rate 2023</t>
        </is>
      </c>
      <c r="M3331" t="inlineStr">
        <is>
          <t>2024-01-01</t>
        </is>
      </c>
      <c r="N3331" t="inlineStr"/>
    </row>
    <row r="3332">
      <c r="A3332" t="inlineStr">
        <is>
          <t>tw-kaohsiung</t>
        </is>
      </c>
      <c r="B3332" t="inlineStr">
        <is>
          <t>Kaohsiung</t>
        </is>
      </c>
      <c r="C3332" t="inlineStr">
        <is>
          <t>Taiwan</t>
        </is>
      </c>
      <c r="D3332" t="inlineStr">
        <is>
          <t>East Asia</t>
        </is>
      </c>
      <c r="E3332" t="inlineStr">
        <is>
          <t>entrepreneurial_dynamism_raw</t>
        </is>
      </c>
      <c r="F3332" t="inlineStr">
        <is>
          <t>Entrepreneurial dynamism raw</t>
        </is>
      </c>
      <c r="G3332" t="inlineStr">
        <is>
          <t>creative</t>
        </is>
      </c>
      <c r="H3332" t="inlineStr">
        <is>
          <t>yes</t>
        </is>
      </c>
      <c r="I3332" t="inlineStr">
        <is>
          <t>7.0</t>
        </is>
      </c>
      <c r="J3332" t="inlineStr">
        <is>
          <t>city_official_portal</t>
        </is>
      </c>
      <c r="K3332" t="inlineStr">
        <is>
          <t>https://eng.dgbas.gov.tw</t>
        </is>
      </c>
      <c r="L3332" t="inlineStr">
        <is>
          <t>DGBAS: Taiwan business density</t>
        </is>
      </c>
      <c r="M3332" t="inlineStr">
        <is>
          <t>2023-12-31</t>
        </is>
      </c>
      <c r="N3332" t="inlineStr">
        <is>
          <t>country_proxy=Taiwan</t>
        </is>
      </c>
    </row>
    <row r="3333">
      <c r="A3333" t="inlineStr">
        <is>
          <t>tw-kaohsiung</t>
        </is>
      </c>
      <c r="B3333" t="inlineStr">
        <is>
          <t>Kaohsiung</t>
        </is>
      </c>
      <c r="C3333" t="inlineStr">
        <is>
          <t>Taiwan</t>
        </is>
      </c>
      <c r="D3333" t="inlineStr">
        <is>
          <t>East Asia</t>
        </is>
      </c>
      <c r="E3333" t="inlineStr">
        <is>
          <t>innovation_research_intensity_raw</t>
        </is>
      </c>
      <c r="F3333" t="inlineStr">
        <is>
          <t>Innovation and research raw</t>
        </is>
      </c>
      <c r="G3333" t="inlineStr">
        <is>
          <t>creative</t>
        </is>
      </c>
      <c r="H3333" t="inlineStr">
        <is>
          <t>yes</t>
        </is>
      </c>
      <c r="I3333" t="inlineStr">
        <is>
          <t>3.6</t>
        </is>
      </c>
      <c r="J3333" t="inlineStr">
        <is>
          <t>city_official_portal</t>
        </is>
      </c>
      <c r="K3333" t="inlineStr">
        <is>
          <t>https://eng.dgbas.gov.tw</t>
        </is>
      </c>
      <c r="L3333" t="inlineStr">
        <is>
          <t>DGBAS/MOST: Taiwan R&amp;D/GDP</t>
        </is>
      </c>
      <c r="M3333" t="inlineStr">
        <is>
          <t>2023-12-31</t>
        </is>
      </c>
      <c r="N3333" t="inlineStr">
        <is>
          <t>country_proxy=Taiwan</t>
        </is>
      </c>
    </row>
    <row r="3334">
      <c r="A3334" t="inlineStr">
        <is>
          <t>tw-kaohsiung</t>
        </is>
      </c>
      <c r="B3334" t="inlineStr">
        <is>
          <t>Kaohsiung</t>
        </is>
      </c>
      <c r="C3334" t="inlineStr">
        <is>
          <t>Taiwan</t>
        </is>
      </c>
      <c r="D3334" t="inlineStr">
        <is>
          <t>East Asia</t>
        </is>
      </c>
      <c r="E3334" t="inlineStr">
        <is>
          <t>investment_signal_raw</t>
        </is>
      </c>
      <c r="F3334" t="inlineStr">
        <is>
          <t>Investment signal raw</t>
        </is>
      </c>
      <c r="G3334" t="inlineStr">
        <is>
          <t>creative</t>
        </is>
      </c>
      <c r="H3334" t="inlineStr">
        <is>
          <t>yes</t>
        </is>
      </c>
      <c r="I3334" t="inlineStr"/>
      <c r="J3334" t="inlineStr"/>
      <c r="K3334" t="inlineStr"/>
      <c r="L3334" t="inlineStr"/>
      <c r="M3334" t="inlineStr"/>
      <c r="N3334" t="inlineStr"/>
    </row>
    <row r="3335">
      <c r="A3335" t="inlineStr">
        <is>
          <t>tw-kaohsiung</t>
        </is>
      </c>
      <c r="B3335" t="inlineStr">
        <is>
          <t>Kaohsiung</t>
        </is>
      </c>
      <c r="C3335" t="inlineStr">
        <is>
          <t>Taiwan</t>
        </is>
      </c>
      <c r="D3335" t="inlineStr">
        <is>
          <t>East Asia</t>
        </is>
      </c>
      <c r="E3335" t="inlineStr">
        <is>
          <t>administrative_investment_friction_raw</t>
        </is>
      </c>
      <c r="F3335" t="inlineStr">
        <is>
          <t>Administrative investment friction raw</t>
        </is>
      </c>
      <c r="G3335" t="inlineStr">
        <is>
          <t>creative</t>
        </is>
      </c>
      <c r="H3335" t="inlineStr">
        <is>
          <t>yes</t>
        </is>
      </c>
      <c r="I3335" t="inlineStr">
        <is>
          <t>9.0</t>
        </is>
      </c>
      <c r="J3335" t="inlineStr">
        <is>
          <t>city_official_portal</t>
        </is>
      </c>
      <c r="K3335" t="inlineStr">
        <is>
          <t>https://eng.dgbas.gov.tw</t>
        </is>
      </c>
      <c r="L3335" t="inlineStr">
        <is>
          <t>NDC: Taiwan ease of business</t>
        </is>
      </c>
      <c r="M3335" t="inlineStr">
        <is>
          <t>2023-12-31</t>
        </is>
      </c>
      <c r="N3335" t="inlineStr">
        <is>
          <t>country_proxy=Taiwan</t>
        </is>
      </c>
    </row>
    <row r="3336">
      <c r="A3336" t="inlineStr">
        <is>
          <t>tw-kaohsiung</t>
        </is>
      </c>
      <c r="B3336" t="inlineStr">
        <is>
          <t>Kaohsiung</t>
        </is>
      </c>
      <c r="C3336" t="inlineStr">
        <is>
          <t>Taiwan</t>
        </is>
      </c>
      <c r="D3336" t="inlineStr">
        <is>
          <t>East Asia</t>
        </is>
      </c>
      <c r="E3336" t="inlineStr">
        <is>
          <t>visitor_flow_context_raw</t>
        </is>
      </c>
      <c r="F3336" t="inlineStr">
        <is>
          <t>Visitor flow context raw</t>
        </is>
      </c>
      <c r="G3336" t="inlineStr">
        <is>
          <t>creative</t>
        </is>
      </c>
      <c r="H3336" t="inlineStr">
        <is>
          <t>no</t>
        </is>
      </c>
      <c r="I3336" t="inlineStr"/>
      <c r="J3336" t="inlineStr"/>
      <c r="K3336" t="inlineStr"/>
      <c r="L3336" t="inlineStr"/>
      <c r="M3336" t="inlineStr"/>
      <c r="N3336" t="inlineStr"/>
    </row>
    <row r="3337">
      <c r="A3337" t="inlineStr">
        <is>
          <t>kr-incheon</t>
        </is>
      </c>
      <c r="B3337" t="inlineStr">
        <is>
          <t>Incheon</t>
        </is>
      </c>
      <c r="C3337" t="inlineStr">
        <is>
          <t>South Korea</t>
        </is>
      </c>
      <c r="D3337" t="inlineStr">
        <is>
          <t>East Asia</t>
        </is>
      </c>
      <c r="E3337" t="inlineStr">
        <is>
          <t>gross_income</t>
        </is>
      </c>
      <c r="F3337" t="inlineStr">
        <is>
          <t>Gross income</t>
        </is>
      </c>
      <c r="G3337" t="inlineStr">
        <is>
          <t>pressure</t>
        </is>
      </c>
      <c r="H3337" t="inlineStr">
        <is>
          <t>yes</t>
        </is>
      </c>
      <c r="I3337" t="inlineStr">
        <is>
          <t>5160.83</t>
        </is>
      </c>
      <c r="J3337" t="inlineStr">
        <is>
          <t>world_bank_col_estimate</t>
        </is>
      </c>
      <c r="K3337" t="inlineStr">
        <is>
          <t>https://api.worldbank.org/v2/country/KOR/indicator/NY.GNP.PCAP.PP.CD?format=json&amp;mrv=10</t>
        </is>
      </c>
      <c r="L3337" t="inlineStr">
        <is>
          <t>World Bank WDI: GNI per capita PPP (monthly USD)</t>
        </is>
      </c>
      <c r="M3337" t="inlineStr">
        <is>
          <t>2024-12-31</t>
        </is>
      </c>
      <c r="N3337" t="inlineStr">
        <is>
          <t>auto_ingest=world_bank_col_estimate; gni_annual=61930.0; year=2024; country_proxy=South Korea; cohort=East Asia</t>
        </is>
      </c>
    </row>
    <row r="3338">
      <c r="A3338" t="inlineStr">
        <is>
          <t>kr-incheon</t>
        </is>
      </c>
      <c r="B3338" t="inlineStr">
        <is>
          <t>Incheon</t>
        </is>
      </c>
      <c r="C3338" t="inlineStr">
        <is>
          <t>South Korea</t>
        </is>
      </c>
      <c r="D3338" t="inlineStr">
        <is>
          <t>East Asia</t>
        </is>
      </c>
      <c r="E3338" t="inlineStr">
        <is>
          <t>di_ppp_raw</t>
        </is>
      </c>
      <c r="F3338" t="inlineStr">
        <is>
          <t>Disposable income PPP (Raw)</t>
        </is>
      </c>
      <c r="G3338" t="inlineStr">
        <is>
          <t>pressure</t>
        </is>
      </c>
      <c r="H3338" t="inlineStr">
        <is>
          <t>yes</t>
        </is>
      </c>
      <c r="I3338" t="inlineStr"/>
      <c r="J3338" t="inlineStr"/>
      <c r="K3338" t="inlineStr"/>
      <c r="L3338" t="inlineStr"/>
      <c r="M3338" t="inlineStr"/>
      <c r="N3338" t="inlineStr"/>
    </row>
    <row r="3339">
      <c r="A3339" t="inlineStr">
        <is>
          <t>kr-incheon</t>
        </is>
      </c>
      <c r="B3339" t="inlineStr">
        <is>
          <t>Incheon</t>
        </is>
      </c>
      <c r="C3339" t="inlineStr">
        <is>
          <t>South Korea</t>
        </is>
      </c>
      <c r="D3339" t="inlineStr">
        <is>
          <t>East Asia</t>
        </is>
      </c>
      <c r="E3339" t="inlineStr">
        <is>
          <t>rent</t>
        </is>
      </c>
      <c r="F3339" t="inlineStr">
        <is>
          <t>Rent</t>
        </is>
      </c>
      <c r="G3339" t="inlineStr">
        <is>
          <t>pressure</t>
        </is>
      </c>
      <c r="H3339" t="inlineStr">
        <is>
          <t>yes</t>
        </is>
      </c>
      <c r="I3339" t="inlineStr">
        <is>
          <t>1161.19</t>
        </is>
      </c>
      <c r="J3339" t="inlineStr">
        <is>
          <t>world_bank_col_estimate</t>
        </is>
      </c>
      <c r="K3339" t="inlineStr">
        <is>
          <t>https://api.worldbank.org/v2/country/KOR/indicator/NY.GNP.PCAP.PP.CD?format=json&amp;mrv=10</t>
        </is>
      </c>
      <c r="L3339" t="inlineStr">
        <is>
          <t>World Bank GNI + regional expenditure ratio estimate</t>
        </is>
      </c>
      <c r="M3339" t="inlineStr">
        <is>
          <t>2024-12-31</t>
        </is>
      </c>
      <c r="N3339" t="inlineStr">
        <is>
          <t>auto_ingest=world_bank_col_estimate; gni_annual=61930.0; year=2024; country_proxy=South Korea; cohort=East Asia; city_cost_mult=0.9</t>
        </is>
      </c>
    </row>
    <row r="3340">
      <c r="A3340" t="inlineStr">
        <is>
          <t>kr-incheon</t>
        </is>
      </c>
      <c r="B3340" t="inlineStr">
        <is>
          <t>Incheon</t>
        </is>
      </c>
      <c r="C3340" t="inlineStr">
        <is>
          <t>South Korea</t>
        </is>
      </c>
      <c r="D3340" t="inlineStr">
        <is>
          <t>East Asia</t>
        </is>
      </c>
      <c r="E3340" t="inlineStr">
        <is>
          <t>utilities</t>
        </is>
      </c>
      <c r="F3340" t="inlineStr">
        <is>
          <t>Utilities</t>
        </is>
      </c>
      <c r="G3340" t="inlineStr">
        <is>
          <t>pressure</t>
        </is>
      </c>
      <c r="H3340" t="inlineStr">
        <is>
          <t>yes</t>
        </is>
      </c>
      <c r="I3340" t="inlineStr">
        <is>
          <t>278.68</t>
        </is>
      </c>
      <c r="J3340" t="inlineStr">
        <is>
          <t>world_bank_col_estimate</t>
        </is>
      </c>
      <c r="K3340" t="inlineStr">
        <is>
          <t>https://api.worldbank.org/v2/country/KOR/indicator/NY.GNP.PCAP.PP.CD?format=json&amp;mrv=10</t>
        </is>
      </c>
      <c r="L3340" t="inlineStr">
        <is>
          <t>World Bank GNI + regional expenditure ratio estimate</t>
        </is>
      </c>
      <c r="M3340" t="inlineStr">
        <is>
          <t>2024-12-31</t>
        </is>
      </c>
      <c r="N3340" t="inlineStr">
        <is>
          <t>auto_ingest=world_bank_col_estimate; gni_annual=61930.0; year=2024; country_proxy=South Korea; cohort=East Asia; city_cost_mult=0.9</t>
        </is>
      </c>
    </row>
    <row r="3341">
      <c r="A3341" t="inlineStr">
        <is>
          <t>kr-incheon</t>
        </is>
      </c>
      <c r="B3341" t="inlineStr">
        <is>
          <t>Incheon</t>
        </is>
      </c>
      <c r="C3341" t="inlineStr">
        <is>
          <t>South Korea</t>
        </is>
      </c>
      <c r="D3341" t="inlineStr">
        <is>
          <t>East Asia</t>
        </is>
      </c>
      <c r="E3341" t="inlineStr">
        <is>
          <t>transit_cost</t>
        </is>
      </c>
      <c r="F3341" t="inlineStr">
        <is>
          <t>Transit cost</t>
        </is>
      </c>
      <c r="G3341" t="inlineStr">
        <is>
          <t>pressure</t>
        </is>
      </c>
      <c r="H3341" t="inlineStr">
        <is>
          <t>yes</t>
        </is>
      </c>
      <c r="I3341" t="inlineStr">
        <is>
          <t>185.79</t>
        </is>
      </c>
      <c r="J3341" t="inlineStr">
        <is>
          <t>world_bank_col_estimate</t>
        </is>
      </c>
      <c r="K3341" t="inlineStr">
        <is>
          <t>https://api.worldbank.org/v2/country/KOR/indicator/NY.GNP.PCAP.PP.CD?format=json&amp;mrv=10</t>
        </is>
      </c>
      <c r="L3341" t="inlineStr">
        <is>
          <t>World Bank GNI + regional expenditure ratio estimate</t>
        </is>
      </c>
      <c r="M3341" t="inlineStr">
        <is>
          <t>2024-12-31</t>
        </is>
      </c>
      <c r="N3341" t="inlineStr">
        <is>
          <t>auto_ingest=world_bank_col_estimate; gni_annual=61930.0; year=2024; country_proxy=South Korea; cohort=East Asia; city_cost_mult=0.9</t>
        </is>
      </c>
    </row>
    <row r="3342">
      <c r="A3342" t="inlineStr">
        <is>
          <t>kr-incheon</t>
        </is>
      </c>
      <c r="B3342" t="inlineStr">
        <is>
          <t>Incheon</t>
        </is>
      </c>
      <c r="C3342" t="inlineStr">
        <is>
          <t>South Korea</t>
        </is>
      </c>
      <c r="D3342" t="inlineStr">
        <is>
          <t>East Asia</t>
        </is>
      </c>
      <c r="E3342" t="inlineStr">
        <is>
          <t>internet_cost</t>
        </is>
      </c>
      <c r="F3342" t="inlineStr">
        <is>
          <t>Internet cost</t>
        </is>
      </c>
      <c r="G3342" t="inlineStr">
        <is>
          <t>pressure</t>
        </is>
      </c>
      <c r="H3342" t="inlineStr">
        <is>
          <t>yes</t>
        </is>
      </c>
      <c r="I3342" t="inlineStr">
        <is>
          <t>69.67</t>
        </is>
      </c>
      <c r="J3342" t="inlineStr">
        <is>
          <t>world_bank_col_estimate</t>
        </is>
      </c>
      <c r="K3342" t="inlineStr">
        <is>
          <t>https://api.worldbank.org/v2/country/KOR/indicator/NY.GNP.PCAP.PP.CD?format=json&amp;mrv=10</t>
        </is>
      </c>
      <c r="L3342" t="inlineStr">
        <is>
          <t>World Bank GNI + regional expenditure ratio estimate</t>
        </is>
      </c>
      <c r="M3342" t="inlineStr">
        <is>
          <t>2024-12-31</t>
        </is>
      </c>
      <c r="N3342" t="inlineStr">
        <is>
          <t>auto_ingest=world_bank_col_estimate; gni_annual=61930.0; year=2024; country_proxy=South Korea; cohort=East Asia; city_cost_mult=0.9</t>
        </is>
      </c>
    </row>
    <row r="3343">
      <c r="A3343" t="inlineStr">
        <is>
          <t>kr-incheon</t>
        </is>
      </c>
      <c r="B3343" t="inlineStr">
        <is>
          <t>Incheon</t>
        </is>
      </c>
      <c r="C3343" t="inlineStr">
        <is>
          <t>South Korea</t>
        </is>
      </c>
      <c r="D3343" t="inlineStr">
        <is>
          <t>East Asia</t>
        </is>
      </c>
      <c r="E3343" t="inlineStr">
        <is>
          <t>food_cost</t>
        </is>
      </c>
      <c r="F3343" t="inlineStr">
        <is>
          <t>Food cost</t>
        </is>
      </c>
      <c r="G3343" t="inlineStr">
        <is>
          <t>pressure</t>
        </is>
      </c>
      <c r="H3343" t="inlineStr">
        <is>
          <t>yes</t>
        </is>
      </c>
      <c r="I3343" t="inlineStr">
        <is>
          <t>928.95</t>
        </is>
      </c>
      <c r="J3343" t="inlineStr">
        <is>
          <t>world_bank_col_estimate</t>
        </is>
      </c>
      <c r="K3343" t="inlineStr">
        <is>
          <t>https://api.worldbank.org/v2/country/KOR/indicator/NY.GNP.PCAP.PP.CD?format=json&amp;mrv=10</t>
        </is>
      </c>
      <c r="L3343" t="inlineStr">
        <is>
          <t>World Bank GNI + regional expenditure ratio estimate</t>
        </is>
      </c>
      <c r="M3343" t="inlineStr">
        <is>
          <t>2024-12-31</t>
        </is>
      </c>
      <c r="N3343" t="inlineStr">
        <is>
          <t>auto_ingest=world_bank_col_estimate; gni_annual=61930.0; year=2024; country_proxy=South Korea; cohort=East Asia; city_cost_mult=0.9</t>
        </is>
      </c>
    </row>
    <row r="3344">
      <c r="A3344" t="inlineStr">
        <is>
          <t>kr-incheon</t>
        </is>
      </c>
      <c r="B3344" t="inlineStr">
        <is>
          <t>Incheon</t>
        </is>
      </c>
      <c r="C3344" t="inlineStr">
        <is>
          <t>South Korea</t>
        </is>
      </c>
      <c r="D3344" t="inlineStr">
        <is>
          <t>East Asia</t>
        </is>
      </c>
      <c r="E3344" t="inlineStr">
        <is>
          <t>housing_burden_raw</t>
        </is>
      </c>
      <c r="F3344" t="inlineStr">
        <is>
          <t>Housing burden raw</t>
        </is>
      </c>
      <c r="G3344" t="inlineStr">
        <is>
          <t>pressure</t>
        </is>
      </c>
      <c r="H3344" t="inlineStr">
        <is>
          <t>yes</t>
        </is>
      </c>
      <c r="I3344" t="inlineStr">
        <is>
          <t>22.5001</t>
        </is>
      </c>
      <c r="J3344" t="inlineStr">
        <is>
          <t>derived</t>
        </is>
      </c>
      <c r="K3344" t="inlineStr">
        <is>
          <t>https://data.worldbank.org/indicator/NY.GNP.PCAP.PP.CD</t>
        </is>
      </c>
      <c r="L3344" t="inlineStr">
        <is>
          <t>Computed from city_inputs + country_context</t>
        </is>
      </c>
      <c r="M3344" t="inlineStr">
        <is>
          <t>2024-01-01</t>
        </is>
      </c>
      <c r="N3344" t="inlineStr">
        <is>
          <t>derived=rent/gross_income*100</t>
        </is>
      </c>
    </row>
    <row r="3345">
      <c r="A3345" t="inlineStr">
        <is>
          <t>kr-incheon</t>
        </is>
      </c>
      <c r="B3345" t="inlineStr">
        <is>
          <t>Incheon</t>
        </is>
      </c>
      <c r="C3345" t="inlineStr">
        <is>
          <t>South Korea</t>
        </is>
      </c>
      <c r="D3345" t="inlineStr">
        <is>
          <t>East Asia</t>
        </is>
      </c>
      <c r="E3345" t="inlineStr">
        <is>
          <t>household_debt_burden_raw</t>
        </is>
      </c>
      <c r="F3345" t="inlineStr">
        <is>
          <t>Household debt burden raw</t>
        </is>
      </c>
      <c r="G3345" t="inlineStr">
        <is>
          <t>pressure</t>
        </is>
      </c>
      <c r="H3345" t="inlineStr">
        <is>
          <t>yes</t>
        </is>
      </c>
      <c r="I3345" t="inlineStr">
        <is>
          <t>160.3472</t>
        </is>
      </c>
      <c r="J3345" t="inlineStr">
        <is>
          <t>derived</t>
        </is>
      </c>
      <c r="K3345" t="inlineStr">
        <is>
          <t>https://data.worldbank.org/indicator/NY.GNP.PCAP.PP.CD</t>
        </is>
      </c>
      <c r="L3345" t="inlineStr">
        <is>
          <t>Computed from city_inputs + country_context</t>
        </is>
      </c>
      <c r="M3345" t="inlineStr">
        <is>
          <t>2024-01-01</t>
        </is>
      </c>
      <c r="N3345" t="inlineStr">
        <is>
          <t>derived=country_context.household_debt_proxy; country=South Korea</t>
        </is>
      </c>
    </row>
    <row r="3346">
      <c r="A3346" t="inlineStr">
        <is>
          <t>kr-incheon</t>
        </is>
      </c>
      <c r="B3346" t="inlineStr">
        <is>
          <t>Incheon</t>
        </is>
      </c>
      <c r="C3346" t="inlineStr">
        <is>
          <t>South Korea</t>
        </is>
      </c>
      <c r="D3346" t="inlineStr">
        <is>
          <t>East Asia</t>
        </is>
      </c>
      <c r="E3346" t="inlineStr">
        <is>
          <t>working_time_pressure_raw</t>
        </is>
      </c>
      <c r="F3346" t="inlineStr">
        <is>
          <t>Working time pressure raw</t>
        </is>
      </c>
      <c r="G3346" t="inlineStr">
        <is>
          <t>pressure</t>
        </is>
      </c>
      <c r="H3346" t="inlineStr">
        <is>
          <t>yes</t>
        </is>
      </c>
      <c r="I3346" t="inlineStr">
        <is>
          <t>38.49</t>
        </is>
      </c>
      <c r="J3346" t="inlineStr">
        <is>
          <t>ilo_ilostat</t>
        </is>
      </c>
      <c r="K3346" t="inlineStr">
        <is>
          <t>https://ilostat.ilo.org/data/indicator/?id=HOW_TEMP_SEX_ECO_NB_A&amp;ref_area=KOR</t>
        </is>
      </c>
      <c r="L3346" t="inlineStr">
        <is>
          <t>ILO ILOSTAT: Mean weekly hours actually worked per employed person</t>
        </is>
      </c>
      <c r="M3346" t="inlineStr">
        <is>
          <t>2025-12-31</t>
        </is>
      </c>
      <c r="N3346" t="inlineStr">
        <is>
          <t>auto_ingest=ilo_working_hours; indicator=HOW_TEMP_SEX_ECO_NB_A; year=2025; hours=38.49; country_proxy=South Korea</t>
        </is>
      </c>
    </row>
    <row r="3347">
      <c r="A3347" t="inlineStr">
        <is>
          <t>kr-incheon</t>
        </is>
      </c>
      <c r="B3347" t="inlineStr">
        <is>
          <t>Incheon</t>
        </is>
      </c>
      <c r="C3347" t="inlineStr">
        <is>
          <t>South Korea</t>
        </is>
      </c>
      <c r="D3347" t="inlineStr">
        <is>
          <t>East Asia</t>
        </is>
      </c>
      <c r="E3347" t="inlineStr">
        <is>
          <t>suicide_mental_strain_raw</t>
        </is>
      </c>
      <c r="F3347" t="inlineStr">
        <is>
          <t>Suicide or mental strain raw</t>
        </is>
      </c>
      <c r="G3347" t="inlineStr">
        <is>
          <t>pressure</t>
        </is>
      </c>
      <c r="H3347" t="inlineStr">
        <is>
          <t>yes</t>
        </is>
      </c>
      <c r="I3347" t="inlineStr">
        <is>
          <t>27.53</t>
        </is>
      </c>
      <c r="J3347" t="inlineStr">
        <is>
          <t>who_gho</t>
        </is>
      </c>
      <c r="K3347" t="inlineStr">
        <is>
          <t>https://www.who.int/data/gho/data/indicators/indicator-details/GHO/SDGSUICIDE</t>
        </is>
      </c>
      <c r="L3347" t="inlineStr">
        <is>
          <t>WHO GHO: Age-standardized suicide rate (per 100,000 population)</t>
        </is>
      </c>
      <c r="M3347" t="inlineStr">
        <is>
          <t>2021-12-31</t>
        </is>
      </c>
      <c r="N3347" t="inlineStr">
        <is>
          <t>auto_ingest=who_gho; indicator=SDGSUICIDE; year=2021; country_proxy=South Korea</t>
        </is>
      </c>
    </row>
    <row r="3348">
      <c r="A3348" t="inlineStr">
        <is>
          <t>kr-incheon</t>
        </is>
      </c>
      <c r="B3348" t="inlineStr">
        <is>
          <t>Incheon</t>
        </is>
      </c>
      <c r="C3348" t="inlineStr">
        <is>
          <t>South Korea</t>
        </is>
      </c>
      <c r="D3348" t="inlineStr">
        <is>
          <t>East Asia</t>
        </is>
      </c>
      <c r="E3348" t="inlineStr">
        <is>
          <t>personal_safety_raw</t>
        </is>
      </c>
      <c r="F3348" t="inlineStr">
        <is>
          <t>Personal safety raw</t>
        </is>
      </c>
      <c r="G3348" t="inlineStr">
        <is>
          <t>viability</t>
        </is>
      </c>
      <c r="H3348" t="inlineStr">
        <is>
          <t>yes</t>
        </is>
      </c>
      <c r="I3348" t="inlineStr">
        <is>
          <t>0.48</t>
        </is>
      </c>
      <c r="J3348" t="inlineStr">
        <is>
          <t>world_bank</t>
        </is>
      </c>
      <c r="K3348" t="inlineStr">
        <is>
          <t>https://api.worldbank.org/v2/country/KOR/indicator/VC.IHR.PSRC.P5?format=json&amp;mrv=10</t>
        </is>
      </c>
      <c r="L3348" t="inlineStr">
        <is>
          <t>UNODC via World Bank WDI: Intentional homicides (per 100,000 people)</t>
        </is>
      </c>
      <c r="M3348" t="inlineStr">
        <is>
          <t>2023-12-31</t>
        </is>
      </c>
      <c r="N3348" t="inlineStr">
        <is>
          <t>auto_ingest=unodc_safety; indicator=VC.IHR.PSRC.P5; year=2023; country_proxy=South Korea</t>
        </is>
      </c>
    </row>
    <row r="3349">
      <c r="A3349" t="inlineStr">
        <is>
          <t>kr-incheon</t>
        </is>
      </c>
      <c r="B3349" t="inlineStr">
        <is>
          <t>Incheon</t>
        </is>
      </c>
      <c r="C3349" t="inlineStr">
        <is>
          <t>South Korea</t>
        </is>
      </c>
      <c r="D3349" t="inlineStr">
        <is>
          <t>East Asia</t>
        </is>
      </c>
      <c r="E3349" t="inlineStr">
        <is>
          <t>transit_access_commute_raw</t>
        </is>
      </c>
      <c r="F3349" t="inlineStr">
        <is>
          <t>Transit access and commute raw</t>
        </is>
      </c>
      <c r="G3349" t="inlineStr">
        <is>
          <t>viability</t>
        </is>
      </c>
      <c r="H3349" t="inlineStr">
        <is>
          <t>yes</t>
        </is>
      </c>
      <c r="I3349" t="inlineStr"/>
      <c r="J3349" t="inlineStr"/>
      <c r="K3349" t="inlineStr"/>
      <c r="L3349" t="inlineStr"/>
      <c r="M3349" t="inlineStr"/>
      <c r="N3349" t="inlineStr"/>
    </row>
    <row r="3350">
      <c r="A3350" t="inlineStr">
        <is>
          <t>kr-incheon</t>
        </is>
      </c>
      <c r="B3350" t="inlineStr">
        <is>
          <t>Incheon</t>
        </is>
      </c>
      <c r="C3350" t="inlineStr">
        <is>
          <t>South Korea</t>
        </is>
      </c>
      <c r="D3350" t="inlineStr">
        <is>
          <t>East Asia</t>
        </is>
      </c>
      <c r="E3350" t="inlineStr">
        <is>
          <t>clean_air_raw</t>
        </is>
      </c>
      <c r="F3350" t="inlineStr">
        <is>
          <t>Clean air raw</t>
        </is>
      </c>
      <c r="G3350" t="inlineStr">
        <is>
          <t>viability</t>
        </is>
      </c>
      <c r="H3350" t="inlineStr">
        <is>
          <t>yes</t>
        </is>
      </c>
      <c r="I3350" t="inlineStr"/>
      <c r="J3350" t="inlineStr"/>
      <c r="K3350" t="inlineStr"/>
      <c r="L3350" t="inlineStr"/>
      <c r="M3350" t="inlineStr"/>
      <c r="N3350" t="inlineStr"/>
    </row>
    <row r="3351">
      <c r="A3351" t="inlineStr">
        <is>
          <t>kr-incheon</t>
        </is>
      </c>
      <c r="B3351" t="inlineStr">
        <is>
          <t>Incheon</t>
        </is>
      </c>
      <c r="C3351" t="inlineStr">
        <is>
          <t>South Korea</t>
        </is>
      </c>
      <c r="D3351" t="inlineStr">
        <is>
          <t>East Asia</t>
        </is>
      </c>
      <c r="E3351" t="inlineStr">
        <is>
          <t>water_sanitation_utility_raw</t>
        </is>
      </c>
      <c r="F3351" t="inlineStr">
        <is>
          <t>Water, sanitation, and utility raw</t>
        </is>
      </c>
      <c r="G3351" t="inlineStr">
        <is>
          <t>viability</t>
        </is>
      </c>
      <c r="H3351" t="inlineStr">
        <is>
          <t>yes</t>
        </is>
      </c>
      <c r="I3351" t="inlineStr">
        <is>
          <t>99.28</t>
        </is>
      </c>
      <c r="J3351" t="inlineStr">
        <is>
          <t>world_bank</t>
        </is>
      </c>
      <c r="K3351" t="inlineStr">
        <is>
          <t>https://api.worldbank.org/v2/country/KOR/indicator/SH.H2O.SMDW.ZS?format=json&amp;mrv=10</t>
        </is>
      </c>
      <c r="L3351" t="inlineStr">
        <is>
          <t>World Bank WDI: People using safely managed drinking water services (% of population)</t>
        </is>
      </c>
      <c r="M3351" t="inlineStr">
        <is>
          <t>2024-12-31</t>
        </is>
      </c>
      <c r="N3351" t="inlineStr">
        <is>
          <t>auto_ingest=world_bank_proxy; indicator=SH.H2O.SMDW.ZS; year=2024; country_proxy=South Korea</t>
        </is>
      </c>
    </row>
    <row r="3352">
      <c r="A3352" t="inlineStr">
        <is>
          <t>kr-incheon</t>
        </is>
      </c>
      <c r="B3352" t="inlineStr">
        <is>
          <t>Incheon</t>
        </is>
      </c>
      <c r="C3352" t="inlineStr">
        <is>
          <t>South Korea</t>
        </is>
      </c>
      <c r="D3352" t="inlineStr">
        <is>
          <t>East Asia</t>
        </is>
      </c>
      <c r="E3352" t="inlineStr">
        <is>
          <t>digital_infrastructure_raw</t>
        </is>
      </c>
      <c r="F3352" t="inlineStr">
        <is>
          <t>Digital infrastructure raw</t>
        </is>
      </c>
      <c r="G3352" t="inlineStr">
        <is>
          <t>viability</t>
        </is>
      </c>
      <c r="H3352" t="inlineStr">
        <is>
          <t>yes</t>
        </is>
      </c>
      <c r="I3352" t="inlineStr">
        <is>
          <t>46.57</t>
        </is>
      </c>
      <c r="J3352" t="inlineStr">
        <is>
          <t>world_bank</t>
        </is>
      </c>
      <c r="K3352" t="inlineStr">
        <is>
          <t>https://api.worldbank.org/v2/country/KOR/indicator/IT.NET.BBND.P2?format=json&amp;mrv=10</t>
        </is>
      </c>
      <c r="L3352" t="inlineStr">
        <is>
          <t>World Bank WDI: Fixed broadband subscriptions (per 100 people)</t>
        </is>
      </c>
      <c r="M3352" t="inlineStr">
        <is>
          <t>2023-12-31</t>
        </is>
      </c>
      <c r="N3352" t="inlineStr">
        <is>
          <t>auto_ingest=world_bank_proxy; indicator=IT.NET.BBND.P2; year=2023; country_proxy=South Korea</t>
        </is>
      </c>
    </row>
    <row r="3353">
      <c r="A3353" t="inlineStr">
        <is>
          <t>kr-incheon</t>
        </is>
      </c>
      <c r="B3353" t="inlineStr">
        <is>
          <t>Incheon</t>
        </is>
      </c>
      <c r="C3353" t="inlineStr">
        <is>
          <t>South Korea</t>
        </is>
      </c>
      <c r="D3353" t="inlineStr">
        <is>
          <t>East Asia</t>
        </is>
      </c>
      <c r="E3353" t="inlineStr">
        <is>
          <t>climate_sunlight_livability_raw</t>
        </is>
      </c>
      <c r="F3353" t="inlineStr">
        <is>
          <t>Climate and sunlight livability raw</t>
        </is>
      </c>
      <c r="G3353" t="inlineStr">
        <is>
          <t>viability</t>
        </is>
      </c>
      <c r="H3353" t="inlineStr">
        <is>
          <t>yes</t>
        </is>
      </c>
      <c r="I3353" t="inlineStr">
        <is>
          <t>57</t>
        </is>
      </c>
      <c r="J3353" t="inlineStr">
        <is>
          <t>wmo_natl_met</t>
        </is>
      </c>
      <c r="K3353" t="inlineStr">
        <is>
          <t>https://worldweather.wmo.int</t>
        </is>
      </c>
      <c r="L3353" t="inlineStr">
        <is>
          <t>WMO/National Met: Climate livability composite</t>
        </is>
      </c>
      <c r="M3353" t="inlineStr">
        <is>
          <t>2024-12-31</t>
        </is>
      </c>
      <c r="N3353" t="inlineStr">
        <is>
          <t>auto_seed=climate_composite; 2100 sun hrs, 12C mean, cold wind</t>
        </is>
      </c>
    </row>
    <row r="3354">
      <c r="A3354" t="inlineStr">
        <is>
          <t>kr-incheon</t>
        </is>
      </c>
      <c r="B3354" t="inlineStr">
        <is>
          <t>Incheon</t>
        </is>
      </c>
      <c r="C3354" t="inlineStr">
        <is>
          <t>South Korea</t>
        </is>
      </c>
      <c r="D3354" t="inlineStr">
        <is>
          <t>East Asia</t>
        </is>
      </c>
      <c r="E3354" t="inlineStr">
        <is>
          <t>healthcare_quality_raw</t>
        </is>
      </c>
      <c r="F3354" t="inlineStr">
        <is>
          <t>Healthcare quality raw</t>
        </is>
      </c>
      <c r="G3354" t="inlineStr">
        <is>
          <t>capability</t>
        </is>
      </c>
      <c r="H3354" t="inlineStr">
        <is>
          <t>yes</t>
        </is>
      </c>
      <c r="I3354" t="inlineStr">
        <is>
          <t>88.0</t>
        </is>
      </c>
      <c r="J3354" t="inlineStr">
        <is>
          <t>who_gho</t>
        </is>
      </c>
      <c r="K3354" t="inlineStr">
        <is>
          <t>https://www.who.int/data/gho/data/indicators/indicator-details/GHO/UHC_INDEX_REPORTED</t>
        </is>
      </c>
      <c r="L3354" t="inlineStr">
        <is>
          <t>WHO GHO: UHC Service Coverage Index</t>
        </is>
      </c>
      <c r="M3354" t="inlineStr">
        <is>
          <t>2023-12-31</t>
        </is>
      </c>
      <c r="N3354" t="inlineStr">
        <is>
          <t>auto_ingest=who_gho; indicator=UHC_INDEX_REPORTED; year=2023; country_proxy=South Korea</t>
        </is>
      </c>
    </row>
    <row r="3355">
      <c r="A3355" t="inlineStr">
        <is>
          <t>kr-incheon</t>
        </is>
      </c>
      <c r="B3355" t="inlineStr">
        <is>
          <t>Incheon</t>
        </is>
      </c>
      <c r="C3355" t="inlineStr">
        <is>
          <t>South Korea</t>
        </is>
      </c>
      <c r="D3355" t="inlineStr">
        <is>
          <t>East Asia</t>
        </is>
      </c>
      <c r="E3355" t="inlineStr">
        <is>
          <t>education_quality_raw</t>
        </is>
      </c>
      <c r="F3355" t="inlineStr">
        <is>
          <t>Education quality raw</t>
        </is>
      </c>
      <c r="G3355" t="inlineStr">
        <is>
          <t>capability</t>
        </is>
      </c>
      <c r="H3355" t="inlineStr">
        <is>
          <t>yes</t>
        </is>
      </c>
      <c r="I3355" t="inlineStr">
        <is>
          <t>106.71</t>
        </is>
      </c>
      <c r="J3355" t="inlineStr">
        <is>
          <t>world_bank</t>
        </is>
      </c>
      <c r="K3355" t="inlineStr">
        <is>
          <t>https://api.worldbank.org/v2/country/KOR/indicator/SE.TER.ENRR?format=json&amp;mrv=10</t>
        </is>
      </c>
      <c r="L3355" t="inlineStr">
        <is>
          <t>World Bank WDI: School enrollment, tertiary (% gross)</t>
        </is>
      </c>
      <c r="M3355" t="inlineStr">
        <is>
          <t>2023-12-31</t>
        </is>
      </c>
      <c r="N3355" t="inlineStr">
        <is>
          <t>auto_ingest=world_bank_proxy; indicator=SE.TER.ENRR; year=2023; country_proxy=South Korea</t>
        </is>
      </c>
    </row>
    <row r="3356">
      <c r="A3356" t="inlineStr">
        <is>
          <t>kr-incheon</t>
        </is>
      </c>
      <c r="B3356" t="inlineStr">
        <is>
          <t>Incheon</t>
        </is>
      </c>
      <c r="C3356" t="inlineStr">
        <is>
          <t>South Korea</t>
        </is>
      </c>
      <c r="D3356" t="inlineStr">
        <is>
          <t>East Asia</t>
        </is>
      </c>
      <c r="E3356" t="inlineStr">
        <is>
          <t>equal_opportunity_raw</t>
        </is>
      </c>
      <c r="F3356" t="inlineStr">
        <is>
          <t>Equal opportunity raw</t>
        </is>
      </c>
      <c r="G3356" t="inlineStr">
        <is>
          <t>capability</t>
        </is>
      </c>
      <c r="H3356" t="inlineStr">
        <is>
          <t>yes</t>
        </is>
      </c>
      <c r="I3356" t="inlineStr">
        <is>
          <t>32.9</t>
        </is>
      </c>
      <c r="J3356" t="inlineStr">
        <is>
          <t>world_bank</t>
        </is>
      </c>
      <c r="K3356" t="inlineStr">
        <is>
          <t>https://api.worldbank.org/v2/country/KOR/indicator/SI.POV.GINI?format=json&amp;mrv=10</t>
        </is>
      </c>
      <c r="L3356" t="inlineStr">
        <is>
          <t>World Bank WDI: Gini index</t>
        </is>
      </c>
      <c r="M3356" t="inlineStr">
        <is>
          <t>2021-12-31</t>
        </is>
      </c>
      <c r="N3356" t="inlineStr">
        <is>
          <t>auto_ingest=world_bank_capability; indicator=SI.POV.GINI; year=2021; country_proxy=South Korea</t>
        </is>
      </c>
    </row>
    <row r="3357">
      <c r="A3357" t="inlineStr">
        <is>
          <t>kr-incheon</t>
        </is>
      </c>
      <c r="B3357" t="inlineStr">
        <is>
          <t>Incheon</t>
        </is>
      </c>
      <c r="C3357" t="inlineStr">
        <is>
          <t>South Korea</t>
        </is>
      </c>
      <c r="D3357" t="inlineStr">
        <is>
          <t>East Asia</t>
        </is>
      </c>
      <c r="E3357" t="inlineStr">
        <is>
          <t>hospitality_belonging_raw</t>
        </is>
      </c>
      <c r="F3357" t="inlineStr">
        <is>
          <t>Hospitality and belonging raw</t>
        </is>
      </c>
      <c r="G3357" t="inlineStr">
        <is>
          <t>community</t>
        </is>
      </c>
      <c r="H3357" t="inlineStr">
        <is>
          <t>yes</t>
        </is>
      </c>
      <c r="I3357" t="inlineStr">
        <is>
          <t>51.27</t>
        </is>
      </c>
      <c r="J3357" t="inlineStr">
        <is>
          <t>world_bank</t>
        </is>
      </c>
      <c r="K3357" t="inlineStr">
        <is>
          <t>https://api.worldbank.org/v2/country/KOR/indicator/SM.POP.NETM?format=json&amp;mrv=10</t>
        </is>
      </c>
      <c r="L3357" t="inlineStr">
        <is>
          <t>World Bank WDI: Net migration (proxy for hospitality/belonging — positive = welcoming)</t>
        </is>
      </c>
      <c r="M3357" t="inlineStr">
        <is>
          <t>2025-12-31</t>
        </is>
      </c>
      <c r="N3357" t="inlineStr">
        <is>
          <t>auto_ingest=world_bank_proxy; proxy=net_migration_hospitality; indicator=SM.POP.NETM; year=2025; country_proxy=South Korea</t>
        </is>
      </c>
    </row>
    <row r="3358">
      <c r="A3358" t="inlineStr">
        <is>
          <t>kr-incheon</t>
        </is>
      </c>
      <c r="B3358" t="inlineStr">
        <is>
          <t>Incheon</t>
        </is>
      </c>
      <c r="C3358" t="inlineStr">
        <is>
          <t>South Korea</t>
        </is>
      </c>
      <c r="D3358" t="inlineStr">
        <is>
          <t>East Asia</t>
        </is>
      </c>
      <c r="E3358" t="inlineStr">
        <is>
          <t>tolerance_pluralism_raw</t>
        </is>
      </c>
      <c r="F3358" t="inlineStr">
        <is>
          <t>Tolerance and pluralism raw</t>
        </is>
      </c>
      <c r="G3358" t="inlineStr">
        <is>
          <t>community</t>
        </is>
      </c>
      <c r="H3358" t="inlineStr">
        <is>
          <t>yes</t>
        </is>
      </c>
      <c r="I3358" t="inlineStr">
        <is>
          <t>20.0</t>
        </is>
      </c>
      <c r="J3358" t="inlineStr">
        <is>
          <t>world_bank</t>
        </is>
      </c>
      <c r="K3358" t="inlineStr">
        <is>
          <t>https://api.worldbank.org/v2/country/KOR/indicator/SG.GEN.PARL.ZS?format=json&amp;mrv=10</t>
        </is>
      </c>
      <c r="L3358" t="inlineStr">
        <is>
          <t>World Bank WDI: Proportion of seats held by women in national parliaments (%)</t>
        </is>
      </c>
      <c r="M3358" t="inlineStr">
        <is>
          <t>2024-12-31</t>
        </is>
      </c>
      <c r="N3358" t="inlineStr">
        <is>
          <t>auto_ingest=world_bank_proxy; proxy=gender_parity_parliament; indicator=SG.GEN.PARL.ZS; year=2024; country_proxy=South Korea</t>
        </is>
      </c>
    </row>
    <row r="3359">
      <c r="A3359" t="inlineStr">
        <is>
          <t>kr-incheon</t>
        </is>
      </c>
      <c r="B3359" t="inlineStr">
        <is>
          <t>Incheon</t>
        </is>
      </c>
      <c r="C3359" t="inlineStr">
        <is>
          <t>South Korea</t>
        </is>
      </c>
      <c r="D3359" t="inlineStr">
        <is>
          <t>East Asia</t>
        </is>
      </c>
      <c r="E3359" t="inlineStr">
        <is>
          <t>cultural_public_life_raw</t>
        </is>
      </c>
      <c r="F3359" t="inlineStr">
        <is>
          <t>Cultural public life raw</t>
        </is>
      </c>
      <c r="G3359" t="inlineStr">
        <is>
          <t>community</t>
        </is>
      </c>
      <c r="H3359" t="inlineStr">
        <is>
          <t>yes</t>
        </is>
      </c>
      <c r="I3359" t="inlineStr">
        <is>
          <t>48.68</t>
        </is>
      </c>
      <c r="J3359" t="inlineStr">
        <is>
          <t>world_bank</t>
        </is>
      </c>
      <c r="K3359" t="inlineStr">
        <is>
          <t>https://api.worldbank.org/v2/country/KOR/indicator/ST.INT.ARVL?format=json&amp;mrv=10</t>
        </is>
      </c>
      <c r="L3359" t="inlineStr">
        <is>
          <t>World Bank WDI: International tourism arrivals per 1 000 population</t>
        </is>
      </c>
      <c r="M3359" t="inlineStr">
        <is>
          <t>2020-12-31</t>
        </is>
      </c>
      <c r="N3359" t="inlineStr">
        <is>
          <t>auto_ingest=cultural_life_proxy; indicator=ST.INT.ARVL; norm=per_1000_pop; year=2020; country_proxy=South Korea</t>
        </is>
      </c>
    </row>
    <row r="3360">
      <c r="A3360" t="inlineStr">
        <is>
          <t>kr-incheon</t>
        </is>
      </c>
      <c r="B3360" t="inlineStr">
        <is>
          <t>Incheon</t>
        </is>
      </c>
      <c r="C3360" t="inlineStr">
        <is>
          <t>South Korea</t>
        </is>
      </c>
      <c r="D3360" t="inlineStr">
        <is>
          <t>East Asia</t>
        </is>
      </c>
      <c r="E3360" t="inlineStr">
        <is>
          <t>birth_rate_optimism_raw</t>
        </is>
      </c>
      <c r="F3360" t="inlineStr">
        <is>
          <t>Birth rate and societal optimism raw</t>
        </is>
      </c>
      <c r="G3360" t="inlineStr">
        <is>
          <t>community</t>
        </is>
      </c>
      <c r="H3360" t="inlineStr">
        <is>
          <t>yes</t>
        </is>
      </c>
      <c r="I3360" t="inlineStr">
        <is>
          <t>0.72</t>
        </is>
      </c>
      <c r="J3360" t="inlineStr">
        <is>
          <t>world_bank</t>
        </is>
      </c>
      <c r="K3360" t="inlineStr">
        <is>
          <t>https://data.worldbank.org/indicator/SP.DYN.TFRT.IN</t>
        </is>
      </c>
      <c r="L3360" t="inlineStr">
        <is>
          <t>World Bank Total Fertility Rate 2023</t>
        </is>
      </c>
      <c r="M3360" t="inlineStr">
        <is>
          <t>2024-01-01</t>
        </is>
      </c>
      <c r="N3360" t="inlineStr"/>
    </row>
    <row r="3361">
      <c r="A3361" t="inlineStr">
        <is>
          <t>kr-incheon</t>
        </is>
      </c>
      <c r="B3361" t="inlineStr">
        <is>
          <t>Incheon</t>
        </is>
      </c>
      <c r="C3361" t="inlineStr">
        <is>
          <t>South Korea</t>
        </is>
      </c>
      <c r="D3361" t="inlineStr">
        <is>
          <t>East Asia</t>
        </is>
      </c>
      <c r="E3361" t="inlineStr">
        <is>
          <t>entrepreneurial_dynamism_raw</t>
        </is>
      </c>
      <c r="F3361" t="inlineStr">
        <is>
          <t>Entrepreneurial dynamism raw</t>
        </is>
      </c>
      <c r="G3361" t="inlineStr">
        <is>
          <t>creative</t>
        </is>
      </c>
      <c r="H3361" t="inlineStr">
        <is>
          <t>yes</t>
        </is>
      </c>
      <c r="I3361" t="inlineStr">
        <is>
          <t>3.09</t>
        </is>
      </c>
      <c r="J3361" t="inlineStr">
        <is>
          <t>world_bank</t>
        </is>
      </c>
      <c r="K3361" t="inlineStr">
        <is>
          <t>https://api.worldbank.org/v2/country/KOR/indicator/IC.BUS.NDNS.ZS?format=json&amp;mrv=10</t>
        </is>
      </c>
      <c r="L3361" t="inlineStr">
        <is>
          <t>World Bank WDI: New business density (new registrations per 1,000 people ages 15-64)</t>
        </is>
      </c>
      <c r="M3361" t="inlineStr">
        <is>
          <t>2022-12-31</t>
        </is>
      </c>
      <c r="N3361" t="inlineStr">
        <is>
          <t>auto_ingest=world_bank_creative_extended; indicator=IC.BUS.NDNS.ZS; year=2022; country_proxy=South Korea</t>
        </is>
      </c>
    </row>
    <row r="3362">
      <c r="A3362" t="inlineStr">
        <is>
          <t>kr-incheon</t>
        </is>
      </c>
      <c r="B3362" t="inlineStr">
        <is>
          <t>Incheon</t>
        </is>
      </c>
      <c r="C3362" t="inlineStr">
        <is>
          <t>South Korea</t>
        </is>
      </c>
      <c r="D3362" t="inlineStr">
        <is>
          <t>East Asia</t>
        </is>
      </c>
      <c r="E3362" t="inlineStr">
        <is>
          <t>innovation_research_intensity_raw</t>
        </is>
      </c>
      <c r="F3362" t="inlineStr">
        <is>
          <t>Innovation and research raw</t>
        </is>
      </c>
      <c r="G3362" t="inlineStr">
        <is>
          <t>creative</t>
        </is>
      </c>
      <c r="H3362" t="inlineStr">
        <is>
          <t>yes</t>
        </is>
      </c>
      <c r="I3362" t="inlineStr">
        <is>
          <t>5.21</t>
        </is>
      </c>
      <c r="J3362" t="inlineStr">
        <is>
          <t>world_bank</t>
        </is>
      </c>
      <c r="K3362" t="inlineStr">
        <is>
          <t>https://api.worldbank.org/v2/country/KOR/indicator/GB.XPD.RSDV.GD.ZS?format=json&amp;mrv=10</t>
        </is>
      </c>
      <c r="L3362" t="inlineStr">
        <is>
          <t>World Bank WDI: Research and development expenditure (% of GDP)</t>
        </is>
      </c>
      <c r="M3362" t="inlineStr">
        <is>
          <t>2022-12-31</t>
        </is>
      </c>
      <c r="N3362" t="inlineStr">
        <is>
          <t>auto_ingest=world_bank_creative_extended; indicator=GB.XPD.RSDV.GD.ZS; year=2022; country_proxy=South Korea</t>
        </is>
      </c>
    </row>
    <row r="3363">
      <c r="A3363" t="inlineStr">
        <is>
          <t>kr-incheon</t>
        </is>
      </c>
      <c r="B3363" t="inlineStr">
        <is>
          <t>Incheon</t>
        </is>
      </c>
      <c r="C3363" t="inlineStr">
        <is>
          <t>South Korea</t>
        </is>
      </c>
      <c r="D3363" t="inlineStr">
        <is>
          <t>East Asia</t>
        </is>
      </c>
      <c r="E3363" t="inlineStr">
        <is>
          <t>investment_signal_raw</t>
        </is>
      </c>
      <c r="F3363" t="inlineStr">
        <is>
          <t>Investment signal raw</t>
        </is>
      </c>
      <c r="G3363" t="inlineStr">
        <is>
          <t>creative</t>
        </is>
      </c>
      <c r="H3363" t="inlineStr">
        <is>
          <t>yes</t>
        </is>
      </c>
      <c r="I3363" t="inlineStr">
        <is>
          <t>0.81</t>
        </is>
      </c>
      <c r="J3363" t="inlineStr">
        <is>
          <t>world_bank</t>
        </is>
      </c>
      <c r="K3363" t="inlineStr">
        <is>
          <t>https://api.worldbank.org/v2/country/KOR/indicator/BX.KLT.DINV.WD.GD.ZS?format=json&amp;mrv=10</t>
        </is>
      </c>
      <c r="L3363" t="inlineStr">
        <is>
          <t>World Bank WDI: Foreign direct investment, net inflows (% of GDP)</t>
        </is>
      </c>
      <c r="M3363" t="inlineStr">
        <is>
          <t>2024-12-31</t>
        </is>
      </c>
      <c r="N3363" t="inlineStr">
        <is>
          <t>auto_ingest=world_bank_creative_extended; indicator=BX.KLT.DINV.WD.GD.ZS; year=2024; country_proxy=South Korea</t>
        </is>
      </c>
    </row>
    <row r="3364">
      <c r="A3364" t="inlineStr">
        <is>
          <t>kr-incheon</t>
        </is>
      </c>
      <c r="B3364" t="inlineStr">
        <is>
          <t>Incheon</t>
        </is>
      </c>
      <c r="C3364" t="inlineStr">
        <is>
          <t>South Korea</t>
        </is>
      </c>
      <c r="D3364" t="inlineStr">
        <is>
          <t>East Asia</t>
        </is>
      </c>
      <c r="E3364" t="inlineStr">
        <is>
          <t>administrative_investment_friction_raw</t>
        </is>
      </c>
      <c r="F3364" t="inlineStr">
        <is>
          <t>Administrative investment friction raw</t>
        </is>
      </c>
      <c r="G3364" t="inlineStr">
        <is>
          <t>creative</t>
        </is>
      </c>
      <c r="H3364" t="inlineStr">
        <is>
          <t>yes</t>
        </is>
      </c>
      <c r="I3364" t="inlineStr">
        <is>
          <t>1.38</t>
        </is>
      </c>
      <c r="J3364" t="inlineStr">
        <is>
          <t>world_bank</t>
        </is>
      </c>
      <c r="K3364" t="inlineStr">
        <is>
          <t>https://api.worldbank.org/v2/country/KOR/indicator/RQ.EST?format=json&amp;mrv=10</t>
        </is>
      </c>
      <c r="L3364" t="inlineStr">
        <is>
          <t>World Bank WGI: Regulatory Quality (inverted as friction proxy)</t>
        </is>
      </c>
      <c r="M3364" t="inlineStr">
        <is>
          <t>2023-12-31</t>
        </is>
      </c>
      <c r="N3364" t="inlineStr">
        <is>
          <t>auto_ingest=world_bank_business_friction; indicator=RQ.EST; raw_rq=1.122523188591; friction=1.38; year=2023; country_proxy=South Korea</t>
        </is>
      </c>
    </row>
    <row r="3365">
      <c r="A3365" t="inlineStr">
        <is>
          <t>kr-incheon</t>
        </is>
      </c>
      <c r="B3365" t="inlineStr">
        <is>
          <t>Incheon</t>
        </is>
      </c>
      <c r="C3365" t="inlineStr">
        <is>
          <t>South Korea</t>
        </is>
      </c>
      <c r="D3365" t="inlineStr">
        <is>
          <t>East Asia</t>
        </is>
      </c>
      <c r="E3365" t="inlineStr">
        <is>
          <t>visitor_flow_context_raw</t>
        </is>
      </c>
      <c r="F3365" t="inlineStr">
        <is>
          <t>Visitor flow context raw</t>
        </is>
      </c>
      <c r="G3365" t="inlineStr">
        <is>
          <t>creative</t>
        </is>
      </c>
      <c r="H3365" t="inlineStr">
        <is>
          <t>no</t>
        </is>
      </c>
      <c r="I3365" t="inlineStr"/>
      <c r="J3365" t="inlineStr"/>
      <c r="K3365" t="inlineStr"/>
      <c r="L3365" t="inlineStr"/>
      <c r="M3365" t="inlineStr"/>
      <c r="N3365" t="inlineStr"/>
    </row>
    <row r="3366">
      <c r="A3366" t="inlineStr">
        <is>
          <t>cn-guangzhou</t>
        </is>
      </c>
      <c r="B3366" t="inlineStr">
        <is>
          <t>Guangzhou</t>
        </is>
      </c>
      <c r="C3366" t="inlineStr">
        <is>
          <t>China</t>
        </is>
      </c>
      <c r="D3366" t="inlineStr">
        <is>
          <t>East Asia</t>
        </is>
      </c>
      <c r="E3366" t="inlineStr">
        <is>
          <t>gross_income</t>
        </is>
      </c>
      <c r="F3366" t="inlineStr">
        <is>
          <t>Gross income</t>
        </is>
      </c>
      <c r="G3366" t="inlineStr">
        <is>
          <t>pressure</t>
        </is>
      </c>
      <c r="H3366" t="inlineStr">
        <is>
          <t>yes</t>
        </is>
      </c>
      <c r="I3366" t="inlineStr">
        <is>
          <t>2804.17</t>
        </is>
      </c>
      <c r="J3366" t="inlineStr">
        <is>
          <t>world_bank_col_estimate</t>
        </is>
      </c>
      <c r="K3366" t="inlineStr">
        <is>
          <t>https://api.worldbank.org/v2/country/CHN/indicator/NY.GNP.PCAP.PP.CD?format=json&amp;mrv=10</t>
        </is>
      </c>
      <c r="L3366" t="inlineStr">
        <is>
          <t>World Bank WDI: GNI per capita PPP (monthly USD)</t>
        </is>
      </c>
      <c r="M3366" t="inlineStr">
        <is>
          <t>2024-12-31</t>
        </is>
      </c>
      <c r="N3366" t="inlineStr">
        <is>
          <t>auto_ingest=world_bank_col_estimate; gni_annual=26920.0; year=2024; country_proxy=China; cohort=East Asia; city_income_mult=1.25</t>
        </is>
      </c>
    </row>
    <row r="3367">
      <c r="A3367" t="inlineStr">
        <is>
          <t>cn-guangzhou</t>
        </is>
      </c>
      <c r="B3367" t="inlineStr">
        <is>
          <t>Guangzhou</t>
        </is>
      </c>
      <c r="C3367" t="inlineStr">
        <is>
          <t>China</t>
        </is>
      </c>
      <c r="D3367" t="inlineStr">
        <is>
          <t>East Asia</t>
        </is>
      </c>
      <c r="E3367" t="inlineStr">
        <is>
          <t>di_ppp_raw</t>
        </is>
      </c>
      <c r="F3367" t="inlineStr">
        <is>
          <t>Disposable income PPP (Raw)</t>
        </is>
      </c>
      <c r="G3367" t="inlineStr">
        <is>
          <t>pressure</t>
        </is>
      </c>
      <c r="H3367" t="inlineStr">
        <is>
          <t>yes</t>
        </is>
      </c>
      <c r="I3367" t="inlineStr"/>
      <c r="J3367" t="inlineStr"/>
      <c r="K3367" t="inlineStr"/>
      <c r="L3367" t="inlineStr"/>
      <c r="M3367" t="inlineStr"/>
      <c r="N3367" t="inlineStr"/>
    </row>
    <row r="3368">
      <c r="A3368" t="inlineStr">
        <is>
          <t>cn-guangzhou</t>
        </is>
      </c>
      <c r="B3368" t="inlineStr">
        <is>
          <t>Guangzhou</t>
        </is>
      </c>
      <c r="C3368" t="inlineStr">
        <is>
          <t>China</t>
        </is>
      </c>
      <c r="D3368" t="inlineStr">
        <is>
          <t>East Asia</t>
        </is>
      </c>
      <c r="E3368" t="inlineStr">
        <is>
          <t>rent</t>
        </is>
      </c>
      <c r="F3368" t="inlineStr">
        <is>
          <t>Rent</t>
        </is>
      </c>
      <c r="G3368" t="inlineStr">
        <is>
          <t>pressure</t>
        </is>
      </c>
      <c r="H3368" t="inlineStr">
        <is>
          <t>yes</t>
        </is>
      </c>
      <c r="I3368" t="inlineStr">
        <is>
          <t>771.15</t>
        </is>
      </c>
      <c r="J3368" t="inlineStr">
        <is>
          <t>world_bank_col_estimate</t>
        </is>
      </c>
      <c r="K3368" t="inlineStr">
        <is>
          <t>https://api.worldbank.org/v2/country/CHN/indicator/NY.GNP.PCAP.PP.CD?format=json&amp;mrv=10</t>
        </is>
      </c>
      <c r="L3368" t="inlineStr">
        <is>
          <t>World Bank GNI + regional expenditure ratio estimate</t>
        </is>
      </c>
      <c r="M3368" t="inlineStr">
        <is>
          <t>2024-12-31</t>
        </is>
      </c>
      <c r="N3368" t="inlineStr">
        <is>
          <t>auto_ingest=world_bank_col_estimate; gni_annual=26920.0; year=2024; country_proxy=China; cohort=East Asia; city_cost_mult=1.1</t>
        </is>
      </c>
    </row>
    <row r="3369">
      <c r="A3369" t="inlineStr">
        <is>
          <t>cn-guangzhou</t>
        </is>
      </c>
      <c r="B3369" t="inlineStr">
        <is>
          <t>Guangzhou</t>
        </is>
      </c>
      <c r="C3369" t="inlineStr">
        <is>
          <t>China</t>
        </is>
      </c>
      <c r="D3369" t="inlineStr">
        <is>
          <t>East Asia</t>
        </is>
      </c>
      <c r="E3369" t="inlineStr">
        <is>
          <t>utilities</t>
        </is>
      </c>
      <c r="F3369" t="inlineStr">
        <is>
          <t>Utilities</t>
        </is>
      </c>
      <c r="G3369" t="inlineStr">
        <is>
          <t>pressure</t>
        </is>
      </c>
      <c r="H3369" t="inlineStr">
        <is>
          <t>yes</t>
        </is>
      </c>
      <c r="I3369" t="inlineStr">
        <is>
          <t>185.08</t>
        </is>
      </c>
      <c r="J3369" t="inlineStr">
        <is>
          <t>world_bank_col_estimate</t>
        </is>
      </c>
      <c r="K3369" t="inlineStr">
        <is>
          <t>https://api.worldbank.org/v2/country/CHN/indicator/NY.GNP.PCAP.PP.CD?format=json&amp;mrv=10</t>
        </is>
      </c>
      <c r="L3369" t="inlineStr">
        <is>
          <t>World Bank GNI + regional expenditure ratio estimate</t>
        </is>
      </c>
      <c r="M3369" t="inlineStr">
        <is>
          <t>2024-12-31</t>
        </is>
      </c>
      <c r="N3369" t="inlineStr">
        <is>
          <t>auto_ingest=world_bank_col_estimate; gni_annual=26920.0; year=2024; country_proxy=China; cohort=East Asia; city_cost_mult=1.1</t>
        </is>
      </c>
    </row>
    <row r="3370">
      <c r="A3370" t="inlineStr">
        <is>
          <t>cn-guangzhou</t>
        </is>
      </c>
      <c r="B3370" t="inlineStr">
        <is>
          <t>Guangzhou</t>
        </is>
      </c>
      <c r="C3370" t="inlineStr">
        <is>
          <t>China</t>
        </is>
      </c>
      <c r="D3370" t="inlineStr">
        <is>
          <t>East Asia</t>
        </is>
      </c>
      <c r="E3370" t="inlineStr">
        <is>
          <t>transit_cost</t>
        </is>
      </c>
      <c r="F3370" t="inlineStr">
        <is>
          <t>Transit cost</t>
        </is>
      </c>
      <c r="G3370" t="inlineStr">
        <is>
          <t>pressure</t>
        </is>
      </c>
      <c r="H3370" t="inlineStr">
        <is>
          <t>yes</t>
        </is>
      </c>
      <c r="I3370" t="inlineStr">
        <is>
          <t>123.38</t>
        </is>
      </c>
      <c r="J3370" t="inlineStr">
        <is>
          <t>world_bank_col_estimate</t>
        </is>
      </c>
      <c r="K3370" t="inlineStr">
        <is>
          <t>https://api.worldbank.org/v2/country/CHN/indicator/NY.GNP.PCAP.PP.CD?format=json&amp;mrv=10</t>
        </is>
      </c>
      <c r="L3370" t="inlineStr">
        <is>
          <t>World Bank GNI + regional expenditure ratio estimate</t>
        </is>
      </c>
      <c r="M3370" t="inlineStr">
        <is>
          <t>2024-12-31</t>
        </is>
      </c>
      <c r="N3370" t="inlineStr">
        <is>
          <t>auto_ingest=world_bank_col_estimate; gni_annual=26920.0; year=2024; country_proxy=China; cohort=East Asia; city_cost_mult=1.1</t>
        </is>
      </c>
    </row>
    <row r="3371">
      <c r="A3371" t="inlineStr">
        <is>
          <t>cn-guangzhou</t>
        </is>
      </c>
      <c r="B3371" t="inlineStr">
        <is>
          <t>Guangzhou</t>
        </is>
      </c>
      <c r="C3371" t="inlineStr">
        <is>
          <t>China</t>
        </is>
      </c>
      <c r="D3371" t="inlineStr">
        <is>
          <t>East Asia</t>
        </is>
      </c>
      <c r="E3371" t="inlineStr">
        <is>
          <t>internet_cost</t>
        </is>
      </c>
      <c r="F3371" t="inlineStr">
        <is>
          <t>Internet cost</t>
        </is>
      </c>
      <c r="G3371" t="inlineStr">
        <is>
          <t>pressure</t>
        </is>
      </c>
      <c r="H3371" t="inlineStr">
        <is>
          <t>yes</t>
        </is>
      </c>
      <c r="I3371" t="inlineStr">
        <is>
          <t>46.27</t>
        </is>
      </c>
      <c r="J3371" t="inlineStr">
        <is>
          <t>world_bank_col_estimate</t>
        </is>
      </c>
      <c r="K3371" t="inlineStr">
        <is>
          <t>https://api.worldbank.org/v2/country/CHN/indicator/NY.GNP.PCAP.PP.CD?format=json&amp;mrv=10</t>
        </is>
      </c>
      <c r="L3371" t="inlineStr">
        <is>
          <t>World Bank GNI + regional expenditure ratio estimate</t>
        </is>
      </c>
      <c r="M3371" t="inlineStr">
        <is>
          <t>2024-12-31</t>
        </is>
      </c>
      <c r="N3371" t="inlineStr">
        <is>
          <t>auto_ingest=world_bank_col_estimate; gni_annual=26920.0; year=2024; country_proxy=China; cohort=East Asia; city_cost_mult=1.1</t>
        </is>
      </c>
    </row>
    <row r="3372">
      <c r="A3372" t="inlineStr">
        <is>
          <t>cn-guangzhou</t>
        </is>
      </c>
      <c r="B3372" t="inlineStr">
        <is>
          <t>Guangzhou</t>
        </is>
      </c>
      <c r="C3372" t="inlineStr">
        <is>
          <t>China</t>
        </is>
      </c>
      <c r="D3372" t="inlineStr">
        <is>
          <t>East Asia</t>
        </is>
      </c>
      <c r="E3372" t="inlineStr">
        <is>
          <t>food_cost</t>
        </is>
      </c>
      <c r="F3372" t="inlineStr">
        <is>
          <t>Food cost</t>
        </is>
      </c>
      <c r="G3372" t="inlineStr">
        <is>
          <t>pressure</t>
        </is>
      </c>
      <c r="H3372" t="inlineStr">
        <is>
          <t>yes</t>
        </is>
      </c>
      <c r="I3372" t="inlineStr">
        <is>
          <t>616.92</t>
        </is>
      </c>
      <c r="J3372" t="inlineStr">
        <is>
          <t>world_bank_col_estimate</t>
        </is>
      </c>
      <c r="K3372" t="inlineStr">
        <is>
          <t>https://api.worldbank.org/v2/country/CHN/indicator/NY.GNP.PCAP.PP.CD?format=json&amp;mrv=10</t>
        </is>
      </c>
      <c r="L3372" t="inlineStr">
        <is>
          <t>World Bank GNI + regional expenditure ratio estimate</t>
        </is>
      </c>
      <c r="M3372" t="inlineStr">
        <is>
          <t>2024-12-31</t>
        </is>
      </c>
      <c r="N3372" t="inlineStr">
        <is>
          <t>auto_ingest=world_bank_col_estimate; gni_annual=26920.0; year=2024; country_proxy=China; cohort=East Asia; city_cost_mult=1.1</t>
        </is>
      </c>
    </row>
    <row r="3373">
      <c r="A3373" t="inlineStr">
        <is>
          <t>cn-guangzhou</t>
        </is>
      </c>
      <c r="B3373" t="inlineStr">
        <is>
          <t>Guangzhou</t>
        </is>
      </c>
      <c r="C3373" t="inlineStr">
        <is>
          <t>China</t>
        </is>
      </c>
      <c r="D3373" t="inlineStr">
        <is>
          <t>East Asia</t>
        </is>
      </c>
      <c r="E3373" t="inlineStr">
        <is>
          <t>housing_burden_raw</t>
        </is>
      </c>
      <c r="F3373" t="inlineStr">
        <is>
          <t>Housing burden raw</t>
        </is>
      </c>
      <c r="G3373" t="inlineStr">
        <is>
          <t>pressure</t>
        </is>
      </c>
      <c r="H3373" t="inlineStr">
        <is>
          <t>yes</t>
        </is>
      </c>
      <c r="I3373" t="inlineStr">
        <is>
          <t>27.5001</t>
        </is>
      </c>
      <c r="J3373" t="inlineStr">
        <is>
          <t>derived</t>
        </is>
      </c>
      <c r="K3373" t="inlineStr">
        <is>
          <t>https://data.worldbank.org/indicator/NY.GNP.PCAP.PP.CD</t>
        </is>
      </c>
      <c r="L3373" t="inlineStr">
        <is>
          <t>Computed from city_inputs + country_context</t>
        </is>
      </c>
      <c r="M3373" t="inlineStr">
        <is>
          <t>2024-01-01</t>
        </is>
      </c>
      <c r="N3373" t="inlineStr">
        <is>
          <t>derived=rent/gross_income*100</t>
        </is>
      </c>
    </row>
    <row r="3374">
      <c r="A3374" t="inlineStr">
        <is>
          <t>cn-guangzhou</t>
        </is>
      </c>
      <c r="B3374" t="inlineStr">
        <is>
          <t>Guangzhou</t>
        </is>
      </c>
      <c r="C3374" t="inlineStr">
        <is>
          <t>China</t>
        </is>
      </c>
      <c r="D3374" t="inlineStr">
        <is>
          <t>East Asia</t>
        </is>
      </c>
      <c r="E3374" t="inlineStr">
        <is>
          <t>household_debt_burden_raw</t>
        </is>
      </c>
      <c r="F3374" t="inlineStr">
        <is>
          <t>Household debt burden raw</t>
        </is>
      </c>
      <c r="G3374" t="inlineStr">
        <is>
          <t>pressure</t>
        </is>
      </c>
      <c r="H3374" t="inlineStr">
        <is>
          <t>yes</t>
        </is>
      </c>
      <c r="I3374" t="inlineStr">
        <is>
          <t>194.166</t>
        </is>
      </c>
      <c r="J3374" t="inlineStr">
        <is>
          <t>derived</t>
        </is>
      </c>
      <c r="K3374" t="inlineStr">
        <is>
          <t>https://data.worldbank.org/indicator/NY.GNP.PCAP.PP.CD</t>
        </is>
      </c>
      <c r="L3374" t="inlineStr">
        <is>
          <t>Computed from city_inputs + country_context</t>
        </is>
      </c>
      <c r="M3374" t="inlineStr">
        <is>
          <t>2024-01-01</t>
        </is>
      </c>
      <c r="N3374" t="inlineStr">
        <is>
          <t>derived=country_context.household_debt_proxy; country=China</t>
        </is>
      </c>
    </row>
    <row r="3375">
      <c r="A3375" t="inlineStr">
        <is>
          <t>cn-guangzhou</t>
        </is>
      </c>
      <c r="B3375" t="inlineStr">
        <is>
          <t>Guangzhou</t>
        </is>
      </c>
      <c r="C3375" t="inlineStr">
        <is>
          <t>China</t>
        </is>
      </c>
      <c r="D3375" t="inlineStr">
        <is>
          <t>East Asia</t>
        </is>
      </c>
      <c r="E3375" t="inlineStr">
        <is>
          <t>working_time_pressure_raw</t>
        </is>
      </c>
      <c r="F3375" t="inlineStr">
        <is>
          <t>Working time pressure raw</t>
        </is>
      </c>
      <c r="G3375" t="inlineStr">
        <is>
          <t>pressure</t>
        </is>
      </c>
      <c r="H3375" t="inlineStr">
        <is>
          <t>yes</t>
        </is>
      </c>
      <c r="I3375" t="inlineStr"/>
      <c r="J3375" t="inlineStr"/>
      <c r="K3375" t="inlineStr"/>
      <c r="L3375" t="inlineStr"/>
      <c r="M3375" t="inlineStr"/>
      <c r="N3375" t="inlineStr"/>
    </row>
    <row r="3376">
      <c r="A3376" t="inlineStr">
        <is>
          <t>cn-guangzhou</t>
        </is>
      </c>
      <c r="B3376" t="inlineStr">
        <is>
          <t>Guangzhou</t>
        </is>
      </c>
      <c r="C3376" t="inlineStr">
        <is>
          <t>China</t>
        </is>
      </c>
      <c r="D3376" t="inlineStr">
        <is>
          <t>East Asia</t>
        </is>
      </c>
      <c r="E3376" t="inlineStr">
        <is>
          <t>suicide_mental_strain_raw</t>
        </is>
      </c>
      <c r="F3376" t="inlineStr">
        <is>
          <t>Suicide or mental strain raw</t>
        </is>
      </c>
      <c r="G3376" t="inlineStr">
        <is>
          <t>pressure</t>
        </is>
      </c>
      <c r="H3376" t="inlineStr">
        <is>
          <t>yes</t>
        </is>
      </c>
      <c r="I3376" t="inlineStr">
        <is>
          <t>8.95</t>
        </is>
      </c>
      <c r="J3376" t="inlineStr">
        <is>
          <t>who_gho</t>
        </is>
      </c>
      <c r="K3376" t="inlineStr">
        <is>
          <t>https://www.who.int/data/gho/data/indicators/indicator-details/GHO/SDGSUICIDE</t>
        </is>
      </c>
      <c r="L3376" t="inlineStr">
        <is>
          <t>WHO GHO: Age-standardized suicide rate (per 100,000 population)</t>
        </is>
      </c>
      <c r="M3376" t="inlineStr">
        <is>
          <t>2021-12-31</t>
        </is>
      </c>
      <c r="N3376" t="inlineStr">
        <is>
          <t>auto_ingest=who_gho; indicator=SDGSUICIDE; year=2021; country_proxy=China</t>
        </is>
      </c>
    </row>
    <row r="3377">
      <c r="A3377" t="inlineStr">
        <is>
          <t>cn-guangzhou</t>
        </is>
      </c>
      <c r="B3377" t="inlineStr">
        <is>
          <t>Guangzhou</t>
        </is>
      </c>
      <c r="C3377" t="inlineStr">
        <is>
          <t>China</t>
        </is>
      </c>
      <c r="D3377" t="inlineStr">
        <is>
          <t>East Asia</t>
        </is>
      </c>
      <c r="E3377" t="inlineStr">
        <is>
          <t>personal_safety_raw</t>
        </is>
      </c>
      <c r="F3377" t="inlineStr">
        <is>
          <t>Personal safety raw</t>
        </is>
      </c>
      <c r="G3377" t="inlineStr">
        <is>
          <t>viability</t>
        </is>
      </c>
      <c r="H3377" t="inlineStr">
        <is>
          <t>yes</t>
        </is>
      </c>
      <c r="I3377" t="inlineStr">
        <is>
          <t>0.5</t>
        </is>
      </c>
      <c r="J3377" t="inlineStr">
        <is>
          <t>world_bank</t>
        </is>
      </c>
      <c r="K3377" t="inlineStr">
        <is>
          <t>https://api.worldbank.org/v2/country/CHN/indicator/VC.IHR.PSRC.P5?format=json&amp;mrv=10</t>
        </is>
      </c>
      <c r="L3377" t="inlineStr">
        <is>
          <t>UNODC via World Bank WDI: Intentional homicides (per 100,000 people)</t>
        </is>
      </c>
      <c r="M3377" t="inlineStr">
        <is>
          <t>2020-12-31</t>
        </is>
      </c>
      <c r="N3377" t="inlineStr">
        <is>
          <t>auto_ingest=unodc_safety; indicator=VC.IHR.PSRC.P5; year=2020; country_proxy=China</t>
        </is>
      </c>
    </row>
    <row r="3378">
      <c r="A3378" t="inlineStr">
        <is>
          <t>cn-guangzhou</t>
        </is>
      </c>
      <c r="B3378" t="inlineStr">
        <is>
          <t>Guangzhou</t>
        </is>
      </c>
      <c r="C3378" t="inlineStr">
        <is>
          <t>China</t>
        </is>
      </c>
      <c r="D3378" t="inlineStr">
        <is>
          <t>East Asia</t>
        </is>
      </c>
      <c r="E3378" t="inlineStr">
        <is>
          <t>transit_access_commute_raw</t>
        </is>
      </c>
      <c r="F3378" t="inlineStr">
        <is>
          <t>Transit access and commute raw</t>
        </is>
      </c>
      <c r="G3378" t="inlineStr">
        <is>
          <t>viability</t>
        </is>
      </c>
      <c r="H3378" t="inlineStr">
        <is>
          <t>yes</t>
        </is>
      </c>
      <c r="I3378" t="inlineStr"/>
      <c r="J3378" t="inlineStr"/>
      <c r="K3378" t="inlineStr"/>
      <c r="L3378" t="inlineStr"/>
      <c r="M3378" t="inlineStr"/>
      <c r="N3378" t="inlineStr"/>
    </row>
    <row r="3379">
      <c r="A3379" t="inlineStr">
        <is>
          <t>cn-guangzhou</t>
        </is>
      </c>
      <c r="B3379" t="inlineStr">
        <is>
          <t>Guangzhou</t>
        </is>
      </c>
      <c r="C3379" t="inlineStr">
        <is>
          <t>China</t>
        </is>
      </c>
      <c r="D3379" t="inlineStr">
        <is>
          <t>East Asia</t>
        </is>
      </c>
      <c r="E3379" t="inlineStr">
        <is>
          <t>clean_air_raw</t>
        </is>
      </c>
      <c r="F3379" t="inlineStr">
        <is>
          <t>Clean air raw</t>
        </is>
      </c>
      <c r="G3379" t="inlineStr">
        <is>
          <t>viability</t>
        </is>
      </c>
      <c r="H3379" t="inlineStr">
        <is>
          <t>yes</t>
        </is>
      </c>
      <c r="I3379" t="inlineStr"/>
      <c r="J3379" t="inlineStr"/>
      <c r="K3379" t="inlineStr"/>
      <c r="L3379" t="inlineStr"/>
      <c r="M3379" t="inlineStr"/>
      <c r="N3379" t="inlineStr"/>
    </row>
    <row r="3380">
      <c r="A3380" t="inlineStr">
        <is>
          <t>cn-guangzhou</t>
        </is>
      </c>
      <c r="B3380" t="inlineStr">
        <is>
          <t>Guangzhou</t>
        </is>
      </c>
      <c r="C3380" t="inlineStr">
        <is>
          <t>China</t>
        </is>
      </c>
      <c r="D3380" t="inlineStr">
        <is>
          <t>East Asia</t>
        </is>
      </c>
      <c r="E3380" t="inlineStr">
        <is>
          <t>water_sanitation_utility_raw</t>
        </is>
      </c>
      <c r="F3380" t="inlineStr">
        <is>
          <t>Water, sanitation, and utility raw</t>
        </is>
      </c>
      <c r="G3380" t="inlineStr">
        <is>
          <t>viability</t>
        </is>
      </c>
      <c r="H3380" t="inlineStr">
        <is>
          <t>yes</t>
        </is>
      </c>
      <c r="I3380" t="inlineStr"/>
      <c r="J3380" t="inlineStr"/>
      <c r="K3380" t="inlineStr"/>
      <c r="L3380" t="inlineStr"/>
      <c r="M3380" t="inlineStr"/>
      <c r="N3380" t="inlineStr"/>
    </row>
    <row r="3381">
      <c r="A3381" t="inlineStr">
        <is>
          <t>cn-guangzhou</t>
        </is>
      </c>
      <c r="B3381" t="inlineStr">
        <is>
          <t>Guangzhou</t>
        </is>
      </c>
      <c r="C3381" t="inlineStr">
        <is>
          <t>China</t>
        </is>
      </c>
      <c r="D3381" t="inlineStr">
        <is>
          <t>East Asia</t>
        </is>
      </c>
      <c r="E3381" t="inlineStr">
        <is>
          <t>digital_infrastructure_raw</t>
        </is>
      </c>
      <c r="F3381" t="inlineStr">
        <is>
          <t>Digital infrastructure raw</t>
        </is>
      </c>
      <c r="G3381" t="inlineStr">
        <is>
          <t>viability</t>
        </is>
      </c>
      <c r="H3381" t="inlineStr">
        <is>
          <t>yes</t>
        </is>
      </c>
      <c r="I3381" t="inlineStr">
        <is>
          <t>44.73</t>
        </is>
      </c>
      <c r="J3381" t="inlineStr">
        <is>
          <t>world_bank</t>
        </is>
      </c>
      <c r="K3381" t="inlineStr">
        <is>
          <t>https://api.worldbank.org/v2/country/CHN/indicator/IT.NET.BBND.P2?format=json&amp;mrv=10</t>
        </is>
      </c>
      <c r="L3381" t="inlineStr">
        <is>
          <t>World Bank WDI: Fixed broadband subscriptions (per 100 people)</t>
        </is>
      </c>
      <c r="M3381" t="inlineStr">
        <is>
          <t>2023-12-31</t>
        </is>
      </c>
      <c r="N3381" t="inlineStr">
        <is>
          <t>auto_ingest=world_bank_proxy; indicator=IT.NET.BBND.P2; year=2023; country_proxy=China</t>
        </is>
      </c>
    </row>
    <row r="3382">
      <c r="A3382" t="inlineStr">
        <is>
          <t>cn-guangzhou</t>
        </is>
      </c>
      <c r="B3382" t="inlineStr">
        <is>
          <t>Guangzhou</t>
        </is>
      </c>
      <c r="C3382" t="inlineStr">
        <is>
          <t>China</t>
        </is>
      </c>
      <c r="D3382" t="inlineStr">
        <is>
          <t>East Asia</t>
        </is>
      </c>
      <c r="E3382" t="inlineStr">
        <is>
          <t>climate_sunlight_livability_raw</t>
        </is>
      </c>
      <c r="F3382" t="inlineStr">
        <is>
          <t>Climate and sunlight livability raw</t>
        </is>
      </c>
      <c r="G3382" t="inlineStr">
        <is>
          <t>viability</t>
        </is>
      </c>
      <c r="H3382" t="inlineStr">
        <is>
          <t>yes</t>
        </is>
      </c>
      <c r="I3382" t="inlineStr">
        <is>
          <t>62</t>
        </is>
      </c>
      <c r="J3382" t="inlineStr">
        <is>
          <t>wmo_natl_met</t>
        </is>
      </c>
      <c r="K3382" t="inlineStr">
        <is>
          <t>https://worldweather.wmo.int</t>
        </is>
      </c>
      <c r="L3382" t="inlineStr">
        <is>
          <t>WMO/National Met: Climate livability composite</t>
        </is>
      </c>
      <c r="M3382" t="inlineStr">
        <is>
          <t>2024-12-31</t>
        </is>
      </c>
      <c r="N3382" t="inlineStr">
        <is>
          <t>auto_seed=climate_composite; 1600 sun hrs, 22C mean, very humid</t>
        </is>
      </c>
    </row>
    <row r="3383">
      <c r="A3383" t="inlineStr">
        <is>
          <t>cn-guangzhou</t>
        </is>
      </c>
      <c r="B3383" t="inlineStr">
        <is>
          <t>Guangzhou</t>
        </is>
      </c>
      <c r="C3383" t="inlineStr">
        <is>
          <t>China</t>
        </is>
      </c>
      <c r="D3383" t="inlineStr">
        <is>
          <t>East Asia</t>
        </is>
      </c>
      <c r="E3383" t="inlineStr">
        <is>
          <t>healthcare_quality_raw</t>
        </is>
      </c>
      <c r="F3383" t="inlineStr">
        <is>
          <t>Healthcare quality raw</t>
        </is>
      </c>
      <c r="G3383" t="inlineStr">
        <is>
          <t>capability</t>
        </is>
      </c>
      <c r="H3383" t="inlineStr">
        <is>
          <t>yes</t>
        </is>
      </c>
      <c r="I3383" t="inlineStr">
        <is>
          <t>85.0</t>
        </is>
      </c>
      <c r="J3383" t="inlineStr">
        <is>
          <t>who_gho</t>
        </is>
      </c>
      <c r="K3383" t="inlineStr">
        <is>
          <t>https://www.who.int/data/gho/data/indicators/indicator-details/GHO/UHC_INDEX_REPORTED</t>
        </is>
      </c>
      <c r="L3383" t="inlineStr">
        <is>
          <t>WHO GHO: UHC Service Coverage Index</t>
        </is>
      </c>
      <c r="M3383" t="inlineStr">
        <is>
          <t>2023-12-31</t>
        </is>
      </c>
      <c r="N3383" t="inlineStr">
        <is>
          <t>auto_ingest=who_gho; indicator=UHC_INDEX_REPORTED; year=2023; country_proxy=China</t>
        </is>
      </c>
    </row>
    <row r="3384">
      <c r="A3384" t="inlineStr">
        <is>
          <t>cn-guangzhou</t>
        </is>
      </c>
      <c r="B3384" t="inlineStr">
        <is>
          <t>Guangzhou</t>
        </is>
      </c>
      <c r="C3384" t="inlineStr">
        <is>
          <t>China</t>
        </is>
      </c>
      <c r="D3384" t="inlineStr">
        <is>
          <t>East Asia</t>
        </is>
      </c>
      <c r="E3384" t="inlineStr">
        <is>
          <t>education_quality_raw</t>
        </is>
      </c>
      <c r="F3384" t="inlineStr">
        <is>
          <t>Education quality raw</t>
        </is>
      </c>
      <c r="G3384" t="inlineStr">
        <is>
          <t>capability</t>
        </is>
      </c>
      <c r="H3384" t="inlineStr">
        <is>
          <t>yes</t>
        </is>
      </c>
      <c r="I3384" t="inlineStr">
        <is>
          <t>76.88</t>
        </is>
      </c>
      <c r="J3384" t="inlineStr">
        <is>
          <t>world_bank</t>
        </is>
      </c>
      <c r="K3384" t="inlineStr">
        <is>
          <t>https://api.worldbank.org/v2/country/CHN/indicator/SE.TER.ENRR?format=json&amp;mrv=10</t>
        </is>
      </c>
      <c r="L3384" t="inlineStr">
        <is>
          <t>World Bank WDI: School enrollment, tertiary (% gross)</t>
        </is>
      </c>
      <c r="M3384" t="inlineStr">
        <is>
          <t>2024-12-31</t>
        </is>
      </c>
      <c r="N3384" t="inlineStr">
        <is>
          <t>auto_ingest=world_bank_proxy; indicator=SE.TER.ENRR; year=2024; country_proxy=China</t>
        </is>
      </c>
    </row>
    <row r="3385">
      <c r="A3385" t="inlineStr">
        <is>
          <t>cn-guangzhou</t>
        </is>
      </c>
      <c r="B3385" t="inlineStr">
        <is>
          <t>Guangzhou</t>
        </is>
      </c>
      <c r="C3385" t="inlineStr">
        <is>
          <t>China</t>
        </is>
      </c>
      <c r="D3385" t="inlineStr">
        <is>
          <t>East Asia</t>
        </is>
      </c>
      <c r="E3385" t="inlineStr">
        <is>
          <t>equal_opportunity_raw</t>
        </is>
      </c>
      <c r="F3385" t="inlineStr">
        <is>
          <t>Equal opportunity raw</t>
        </is>
      </c>
      <c r="G3385" t="inlineStr">
        <is>
          <t>capability</t>
        </is>
      </c>
      <c r="H3385" t="inlineStr">
        <is>
          <t>yes</t>
        </is>
      </c>
      <c r="I3385" t="inlineStr">
        <is>
          <t>36.0</t>
        </is>
      </c>
      <c r="J3385" t="inlineStr">
        <is>
          <t>world_bank</t>
        </is>
      </c>
      <c r="K3385" t="inlineStr">
        <is>
          <t>https://api.worldbank.org/v2/country/CHN/indicator/SI.POV.GINI?format=json&amp;mrv=10</t>
        </is>
      </c>
      <c r="L3385" t="inlineStr">
        <is>
          <t>World Bank WDI: Gini index</t>
        </is>
      </c>
      <c r="M3385" t="inlineStr">
        <is>
          <t>2022-12-31</t>
        </is>
      </c>
      <c r="N3385" t="inlineStr">
        <is>
          <t>auto_ingest=world_bank_capability; indicator=SI.POV.GINI; year=2022; country_proxy=China</t>
        </is>
      </c>
    </row>
    <row r="3386">
      <c r="A3386" t="inlineStr">
        <is>
          <t>cn-guangzhou</t>
        </is>
      </c>
      <c r="B3386" t="inlineStr">
        <is>
          <t>Guangzhou</t>
        </is>
      </c>
      <c r="C3386" t="inlineStr">
        <is>
          <t>China</t>
        </is>
      </c>
      <c r="D3386" t="inlineStr">
        <is>
          <t>East Asia</t>
        </is>
      </c>
      <c r="E3386" t="inlineStr">
        <is>
          <t>hospitality_belonging_raw</t>
        </is>
      </c>
      <c r="F3386" t="inlineStr">
        <is>
          <t>Hospitality and belonging raw</t>
        </is>
      </c>
      <c r="G3386" t="inlineStr">
        <is>
          <t>community</t>
        </is>
      </c>
      <c r="H3386" t="inlineStr">
        <is>
          <t>yes</t>
        </is>
      </c>
      <c r="I3386" t="inlineStr">
        <is>
          <t>49.81</t>
        </is>
      </c>
      <c r="J3386" t="inlineStr">
        <is>
          <t>world_bank</t>
        </is>
      </c>
      <c r="K3386" t="inlineStr">
        <is>
          <t>https://api.worldbank.org/v2/country/CHN/indicator/SM.POP.NETM?format=json&amp;mrv=10</t>
        </is>
      </c>
      <c r="L3386" t="inlineStr">
        <is>
          <t>World Bank WDI: Net migration (proxy for hospitality/belonging — positive = welcoming)</t>
        </is>
      </c>
      <c r="M3386" t="inlineStr">
        <is>
          <t>2025-12-31</t>
        </is>
      </c>
      <c r="N3386" t="inlineStr">
        <is>
          <t>auto_ingest=world_bank_proxy; proxy=net_migration_hospitality; indicator=SM.POP.NETM; year=2025; country_proxy=China</t>
        </is>
      </c>
    </row>
    <row r="3387">
      <c r="A3387" t="inlineStr">
        <is>
          <t>cn-guangzhou</t>
        </is>
      </c>
      <c r="B3387" t="inlineStr">
        <is>
          <t>Guangzhou</t>
        </is>
      </c>
      <c r="C3387" t="inlineStr">
        <is>
          <t>China</t>
        </is>
      </c>
      <c r="D3387" t="inlineStr">
        <is>
          <t>East Asia</t>
        </is>
      </c>
      <c r="E3387" t="inlineStr">
        <is>
          <t>tolerance_pluralism_raw</t>
        </is>
      </c>
      <c r="F3387" t="inlineStr">
        <is>
          <t>Tolerance and pluralism raw</t>
        </is>
      </c>
      <c r="G3387" t="inlineStr">
        <is>
          <t>community</t>
        </is>
      </c>
      <c r="H3387" t="inlineStr">
        <is>
          <t>yes</t>
        </is>
      </c>
      <c r="I3387" t="inlineStr">
        <is>
          <t>26.54</t>
        </is>
      </c>
      <c r="J3387" t="inlineStr">
        <is>
          <t>world_bank</t>
        </is>
      </c>
      <c r="K3387" t="inlineStr">
        <is>
          <t>https://api.worldbank.org/v2/country/CHN/indicator/SG.GEN.PARL.ZS?format=json&amp;mrv=10</t>
        </is>
      </c>
      <c r="L3387" t="inlineStr">
        <is>
          <t>World Bank WDI: Proportion of seats held by women in national parliaments (%)</t>
        </is>
      </c>
      <c r="M3387" t="inlineStr">
        <is>
          <t>2024-12-31</t>
        </is>
      </c>
      <c r="N3387" t="inlineStr">
        <is>
          <t>auto_ingest=world_bank_proxy; proxy=gender_parity_parliament; indicator=SG.GEN.PARL.ZS; year=2024; country_proxy=China</t>
        </is>
      </c>
    </row>
    <row r="3388">
      <c r="A3388" t="inlineStr">
        <is>
          <t>cn-guangzhou</t>
        </is>
      </c>
      <c r="B3388" t="inlineStr">
        <is>
          <t>Guangzhou</t>
        </is>
      </c>
      <c r="C3388" t="inlineStr">
        <is>
          <t>China</t>
        </is>
      </c>
      <c r="D3388" t="inlineStr">
        <is>
          <t>East Asia</t>
        </is>
      </c>
      <c r="E3388" t="inlineStr">
        <is>
          <t>cultural_public_life_raw</t>
        </is>
      </c>
      <c r="F3388" t="inlineStr">
        <is>
          <t>Cultural public life raw</t>
        </is>
      </c>
      <c r="G3388" t="inlineStr">
        <is>
          <t>community</t>
        </is>
      </c>
      <c r="H3388" t="inlineStr">
        <is>
          <t>yes</t>
        </is>
      </c>
      <c r="I3388" t="inlineStr">
        <is>
          <t>21.58</t>
        </is>
      </c>
      <c r="J3388" t="inlineStr">
        <is>
          <t>world_bank</t>
        </is>
      </c>
      <c r="K3388" t="inlineStr">
        <is>
          <t>https://api.worldbank.org/v2/country/CHN/indicator/ST.INT.ARVL?format=json&amp;mrv=10</t>
        </is>
      </c>
      <c r="L3388" t="inlineStr">
        <is>
          <t>World Bank WDI: International tourism arrivals per 1 000 population</t>
        </is>
      </c>
      <c r="M3388" t="inlineStr">
        <is>
          <t>2020-12-31</t>
        </is>
      </c>
      <c r="N3388" t="inlineStr">
        <is>
          <t>auto_ingest=cultural_life_proxy; indicator=ST.INT.ARVL; norm=per_1000_pop; year=2020; country_proxy=China</t>
        </is>
      </c>
    </row>
    <row r="3389">
      <c r="A3389" t="inlineStr">
        <is>
          <t>cn-guangzhou</t>
        </is>
      </c>
      <c r="B3389" t="inlineStr">
        <is>
          <t>Guangzhou</t>
        </is>
      </c>
      <c r="C3389" t="inlineStr">
        <is>
          <t>China</t>
        </is>
      </c>
      <c r="D3389" t="inlineStr">
        <is>
          <t>East Asia</t>
        </is>
      </c>
      <c r="E3389" t="inlineStr">
        <is>
          <t>birth_rate_optimism_raw</t>
        </is>
      </c>
      <c r="F3389" t="inlineStr">
        <is>
          <t>Birth rate and societal optimism raw</t>
        </is>
      </c>
      <c r="G3389" t="inlineStr">
        <is>
          <t>community</t>
        </is>
      </c>
      <c r="H3389" t="inlineStr">
        <is>
          <t>yes</t>
        </is>
      </c>
      <c r="I3389" t="inlineStr">
        <is>
          <t>1.0</t>
        </is>
      </c>
      <c r="J3389" t="inlineStr">
        <is>
          <t>world_bank</t>
        </is>
      </c>
      <c r="K3389" t="inlineStr">
        <is>
          <t>https://data.worldbank.org/indicator/SP.DYN.TFRT.IN</t>
        </is>
      </c>
      <c r="L3389" t="inlineStr">
        <is>
          <t>World Bank Total Fertility Rate 2023</t>
        </is>
      </c>
      <c r="M3389" t="inlineStr">
        <is>
          <t>2024-01-01</t>
        </is>
      </c>
      <c r="N3389" t="inlineStr"/>
    </row>
    <row r="3390">
      <c r="A3390" t="inlineStr">
        <is>
          <t>cn-guangzhou</t>
        </is>
      </c>
      <c r="B3390" t="inlineStr">
        <is>
          <t>Guangzhou</t>
        </is>
      </c>
      <c r="C3390" t="inlineStr">
        <is>
          <t>China</t>
        </is>
      </c>
      <c r="D3390" t="inlineStr">
        <is>
          <t>East Asia</t>
        </is>
      </c>
      <c r="E3390" t="inlineStr">
        <is>
          <t>entrepreneurial_dynamism_raw</t>
        </is>
      </c>
      <c r="F3390" t="inlineStr">
        <is>
          <t>Entrepreneurial dynamism raw</t>
        </is>
      </c>
      <c r="G3390" t="inlineStr">
        <is>
          <t>creative</t>
        </is>
      </c>
      <c r="H3390" t="inlineStr">
        <is>
          <t>yes</t>
        </is>
      </c>
      <c r="I3390" t="inlineStr">
        <is>
          <t>8.58</t>
        </is>
      </c>
      <c r="J3390" t="inlineStr">
        <is>
          <t>world_bank</t>
        </is>
      </c>
      <c r="K3390" t="inlineStr">
        <is>
          <t>https://api.worldbank.org/v2/country/CHN/indicator/IC.BUS.NDNS.ZS?format=json&amp;mrv=10</t>
        </is>
      </c>
      <c r="L3390" t="inlineStr">
        <is>
          <t>World Bank WDI: New business density (new registrations per 1,000 people ages 15-64)</t>
        </is>
      </c>
      <c r="M3390" t="inlineStr">
        <is>
          <t>2020-12-31</t>
        </is>
      </c>
      <c r="N3390" t="inlineStr">
        <is>
          <t>auto_ingest=world_bank_creative_extended; indicator=IC.BUS.NDNS.ZS; year=2020; country_proxy=China</t>
        </is>
      </c>
    </row>
    <row r="3391">
      <c r="A3391" t="inlineStr">
        <is>
          <t>cn-guangzhou</t>
        </is>
      </c>
      <c r="B3391" t="inlineStr">
        <is>
          <t>Guangzhou</t>
        </is>
      </c>
      <c r="C3391" t="inlineStr">
        <is>
          <t>China</t>
        </is>
      </c>
      <c r="D3391" t="inlineStr">
        <is>
          <t>East Asia</t>
        </is>
      </c>
      <c r="E3391" t="inlineStr">
        <is>
          <t>innovation_research_intensity_raw</t>
        </is>
      </c>
      <c r="F3391" t="inlineStr">
        <is>
          <t>Innovation and research raw</t>
        </is>
      </c>
      <c r="G3391" t="inlineStr">
        <is>
          <t>creative</t>
        </is>
      </c>
      <c r="H3391" t="inlineStr">
        <is>
          <t>yes</t>
        </is>
      </c>
      <c r="I3391" t="inlineStr">
        <is>
          <t>2.56</t>
        </is>
      </c>
      <c r="J3391" t="inlineStr">
        <is>
          <t>world_bank</t>
        </is>
      </c>
      <c r="K3391" t="inlineStr">
        <is>
          <t>https://api.worldbank.org/v2/country/CHN/indicator/GB.XPD.RSDV.GD.ZS?format=json&amp;mrv=10</t>
        </is>
      </c>
      <c r="L3391" t="inlineStr">
        <is>
          <t>World Bank WDI: Research and development expenditure (% of GDP)</t>
        </is>
      </c>
      <c r="M3391" t="inlineStr">
        <is>
          <t>2022-12-31</t>
        </is>
      </c>
      <c r="N3391" t="inlineStr">
        <is>
          <t>auto_ingest=world_bank_creative_extended; indicator=GB.XPD.RSDV.GD.ZS; year=2022; country_proxy=China</t>
        </is>
      </c>
    </row>
    <row r="3392">
      <c r="A3392" t="inlineStr">
        <is>
          <t>cn-guangzhou</t>
        </is>
      </c>
      <c r="B3392" t="inlineStr">
        <is>
          <t>Guangzhou</t>
        </is>
      </c>
      <c r="C3392" t="inlineStr">
        <is>
          <t>China</t>
        </is>
      </c>
      <c r="D3392" t="inlineStr">
        <is>
          <t>East Asia</t>
        </is>
      </c>
      <c r="E3392" t="inlineStr">
        <is>
          <t>investment_signal_raw</t>
        </is>
      </c>
      <c r="F3392" t="inlineStr">
        <is>
          <t>Investment signal raw</t>
        </is>
      </c>
      <c r="G3392" t="inlineStr">
        <is>
          <t>creative</t>
        </is>
      </c>
      <c r="H3392" t="inlineStr">
        <is>
          <t>yes</t>
        </is>
      </c>
      <c r="I3392" t="inlineStr">
        <is>
          <t>0.1</t>
        </is>
      </c>
      <c r="J3392" t="inlineStr">
        <is>
          <t>world_bank</t>
        </is>
      </c>
      <c r="K3392" t="inlineStr">
        <is>
          <t>https://api.worldbank.org/v2/country/CHN/indicator/BX.KLT.DINV.WD.GD.ZS?format=json&amp;mrv=10</t>
        </is>
      </c>
      <c r="L3392" t="inlineStr">
        <is>
          <t>World Bank WDI: Foreign direct investment, net inflows (% of GDP)</t>
        </is>
      </c>
      <c r="M3392" t="inlineStr">
        <is>
          <t>2024-12-31</t>
        </is>
      </c>
      <c r="N3392" t="inlineStr">
        <is>
          <t>auto_ingest=world_bank_creative_extended; indicator=BX.KLT.DINV.WD.GD.ZS; year=2024; country_proxy=China</t>
        </is>
      </c>
    </row>
    <row r="3393">
      <c r="A3393" t="inlineStr">
        <is>
          <t>cn-guangzhou</t>
        </is>
      </c>
      <c r="B3393" t="inlineStr">
        <is>
          <t>Guangzhou</t>
        </is>
      </c>
      <c r="C3393" t="inlineStr">
        <is>
          <t>China</t>
        </is>
      </c>
      <c r="D3393" t="inlineStr">
        <is>
          <t>East Asia</t>
        </is>
      </c>
      <c r="E3393" t="inlineStr">
        <is>
          <t>administrative_investment_friction_raw</t>
        </is>
      </c>
      <c r="F3393" t="inlineStr">
        <is>
          <t>Administrative investment friction raw</t>
        </is>
      </c>
      <c r="G3393" t="inlineStr">
        <is>
          <t>creative</t>
        </is>
      </c>
      <c r="H3393" t="inlineStr">
        <is>
          <t>yes</t>
        </is>
      </c>
      <c r="I3393" t="inlineStr">
        <is>
          <t>2.86</t>
        </is>
      </c>
      <c r="J3393" t="inlineStr">
        <is>
          <t>world_bank</t>
        </is>
      </c>
      <c r="K3393" t="inlineStr">
        <is>
          <t>https://api.worldbank.org/v2/country/CHN/indicator/RQ.EST?format=json&amp;mrv=10</t>
        </is>
      </c>
      <c r="L3393" t="inlineStr">
        <is>
          <t>World Bank WGI: Regulatory Quality (inverted as friction proxy)</t>
        </is>
      </c>
      <c r="M3393" t="inlineStr">
        <is>
          <t>2023-12-31</t>
        </is>
      </c>
      <c r="N3393" t="inlineStr">
        <is>
          <t>auto_ingest=world_bank_business_friction; indicator=RQ.EST; raw_rq=-0.356507807970047; friction=2.86; year=2023; country_proxy=China</t>
        </is>
      </c>
    </row>
    <row r="3394">
      <c r="A3394" t="inlineStr">
        <is>
          <t>cn-guangzhou</t>
        </is>
      </c>
      <c r="B3394" t="inlineStr">
        <is>
          <t>Guangzhou</t>
        </is>
      </c>
      <c r="C3394" t="inlineStr">
        <is>
          <t>China</t>
        </is>
      </c>
      <c r="D3394" t="inlineStr">
        <is>
          <t>East Asia</t>
        </is>
      </c>
      <c r="E3394" t="inlineStr">
        <is>
          <t>visitor_flow_context_raw</t>
        </is>
      </c>
      <c r="F3394" t="inlineStr">
        <is>
          <t>Visitor flow context raw</t>
        </is>
      </c>
      <c r="G3394" t="inlineStr">
        <is>
          <t>creative</t>
        </is>
      </c>
      <c r="H3394" t="inlineStr">
        <is>
          <t>no</t>
        </is>
      </c>
      <c r="I3394" t="inlineStr"/>
      <c r="J3394" t="inlineStr"/>
      <c r="K3394" t="inlineStr"/>
      <c r="L3394" t="inlineStr"/>
      <c r="M3394" t="inlineStr"/>
      <c r="N3394" t="inlineStr"/>
    </row>
    <row r="3395">
      <c r="A3395" t="inlineStr">
        <is>
          <t>in-pune</t>
        </is>
      </c>
      <c r="B3395" t="inlineStr">
        <is>
          <t>Pune</t>
        </is>
      </c>
      <c r="C3395" t="inlineStr">
        <is>
          <t>India</t>
        </is>
      </c>
      <c r="D3395" t="inlineStr">
        <is>
          <t>South Asia</t>
        </is>
      </c>
      <c r="E3395" t="inlineStr">
        <is>
          <t>gross_income</t>
        </is>
      </c>
      <c r="F3395" t="inlineStr">
        <is>
          <t>Gross income</t>
        </is>
      </c>
      <c r="G3395" t="inlineStr">
        <is>
          <t>pressure</t>
        </is>
      </c>
      <c r="H3395" t="inlineStr">
        <is>
          <t>yes</t>
        </is>
      </c>
      <c r="I3395" t="inlineStr">
        <is>
          <t>1100.0</t>
        </is>
      </c>
      <c r="J3395" t="inlineStr">
        <is>
          <t>world_bank_col_estimate</t>
        </is>
      </c>
      <c r="K3395" t="inlineStr">
        <is>
          <t>https://api.worldbank.org/v2/country/IND/indicator/NY.GNP.PCAP.PP.CD?format=json&amp;mrv=10</t>
        </is>
      </c>
      <c r="L3395" t="inlineStr">
        <is>
          <t>World Bank WDI: GNI per capita PPP (monthly USD)</t>
        </is>
      </c>
      <c r="M3395" t="inlineStr">
        <is>
          <t>2024-12-31</t>
        </is>
      </c>
      <c r="N3395" t="inlineStr">
        <is>
          <t>auto_ingest=world_bank_col_estimate; gni_annual=11000.0; year=2024; country_proxy=India; cohort=South Asia; city_income_mult=1.2</t>
        </is>
      </c>
    </row>
    <row r="3396">
      <c r="A3396" t="inlineStr">
        <is>
          <t>in-pune</t>
        </is>
      </c>
      <c r="B3396" t="inlineStr">
        <is>
          <t>Pune</t>
        </is>
      </c>
      <c r="C3396" t="inlineStr">
        <is>
          <t>India</t>
        </is>
      </c>
      <c r="D3396" t="inlineStr">
        <is>
          <t>South Asia</t>
        </is>
      </c>
      <c r="E3396" t="inlineStr">
        <is>
          <t>di_ppp_raw</t>
        </is>
      </c>
      <c r="F3396" t="inlineStr">
        <is>
          <t>Disposable income PPP (Raw)</t>
        </is>
      </c>
      <c r="G3396" t="inlineStr">
        <is>
          <t>pressure</t>
        </is>
      </c>
      <c r="H3396" t="inlineStr">
        <is>
          <t>yes</t>
        </is>
      </c>
      <c r="I3396" t="inlineStr"/>
      <c r="J3396" t="inlineStr"/>
      <c r="K3396" t="inlineStr"/>
      <c r="L3396" t="inlineStr"/>
      <c r="M3396" t="inlineStr"/>
      <c r="N3396" t="inlineStr"/>
    </row>
    <row r="3397">
      <c r="A3397" t="inlineStr">
        <is>
          <t>in-pune</t>
        </is>
      </c>
      <c r="B3397" t="inlineStr">
        <is>
          <t>Pune</t>
        </is>
      </c>
      <c r="C3397" t="inlineStr">
        <is>
          <t>India</t>
        </is>
      </c>
      <c r="D3397" t="inlineStr">
        <is>
          <t>South Asia</t>
        </is>
      </c>
      <c r="E3397" t="inlineStr">
        <is>
          <t>rent</t>
        </is>
      </c>
      <c r="F3397" t="inlineStr">
        <is>
          <t>Rent</t>
        </is>
      </c>
      <c r="G3397" t="inlineStr">
        <is>
          <t>pressure</t>
        </is>
      </c>
      <c r="H3397" t="inlineStr">
        <is>
          <t>yes</t>
        </is>
      </c>
      <c r="I3397" t="inlineStr">
        <is>
          <t>173.25</t>
        </is>
      </c>
      <c r="J3397" t="inlineStr">
        <is>
          <t>world_bank_col_estimate</t>
        </is>
      </c>
      <c r="K3397" t="inlineStr">
        <is>
          <t>https://api.worldbank.org/v2/country/IND/indicator/NY.GNP.PCAP.PP.CD?format=json&amp;mrv=10</t>
        </is>
      </c>
      <c r="L3397" t="inlineStr">
        <is>
          <t>World Bank GNI + regional expenditure ratio estimate</t>
        </is>
      </c>
      <c r="M3397" t="inlineStr">
        <is>
          <t>2024-12-31</t>
        </is>
      </c>
      <c r="N3397" t="inlineStr">
        <is>
          <t>auto_ingest=world_bank_col_estimate; gni_annual=11000.0; year=2024; country_proxy=India; cohort=South Asia; city_cost_mult=1.05</t>
        </is>
      </c>
    </row>
    <row r="3398">
      <c r="A3398" t="inlineStr">
        <is>
          <t>in-pune</t>
        </is>
      </c>
      <c r="B3398" t="inlineStr">
        <is>
          <t>Pune</t>
        </is>
      </c>
      <c r="C3398" t="inlineStr">
        <is>
          <t>India</t>
        </is>
      </c>
      <c r="D3398" t="inlineStr">
        <is>
          <t>South Asia</t>
        </is>
      </c>
      <c r="E3398" t="inlineStr">
        <is>
          <t>utilities</t>
        </is>
      </c>
      <c r="F3398" t="inlineStr">
        <is>
          <t>Utilities</t>
        </is>
      </c>
      <c r="G3398" t="inlineStr">
        <is>
          <t>pressure</t>
        </is>
      </c>
      <c r="H3398" t="inlineStr">
        <is>
          <t>yes</t>
        </is>
      </c>
      <c r="I3398" t="inlineStr">
        <is>
          <t>57.75</t>
        </is>
      </c>
      <c r="J3398" t="inlineStr">
        <is>
          <t>world_bank_col_estimate</t>
        </is>
      </c>
      <c r="K3398" t="inlineStr">
        <is>
          <t>https://api.worldbank.org/v2/country/IND/indicator/NY.GNP.PCAP.PP.CD?format=json&amp;mrv=10</t>
        </is>
      </c>
      <c r="L3398" t="inlineStr">
        <is>
          <t>World Bank GNI + regional expenditure ratio estimate</t>
        </is>
      </c>
      <c r="M3398" t="inlineStr">
        <is>
          <t>2024-12-31</t>
        </is>
      </c>
      <c r="N3398" t="inlineStr">
        <is>
          <t>auto_ingest=world_bank_col_estimate; gni_annual=11000.0; year=2024; country_proxy=India; cohort=South Asia; city_cost_mult=1.05</t>
        </is>
      </c>
    </row>
    <row r="3399">
      <c r="A3399" t="inlineStr">
        <is>
          <t>in-pune</t>
        </is>
      </c>
      <c r="B3399" t="inlineStr">
        <is>
          <t>Pune</t>
        </is>
      </c>
      <c r="C3399" t="inlineStr">
        <is>
          <t>India</t>
        </is>
      </c>
      <c r="D3399" t="inlineStr">
        <is>
          <t>South Asia</t>
        </is>
      </c>
      <c r="E3399" t="inlineStr">
        <is>
          <t>transit_cost</t>
        </is>
      </c>
      <c r="F3399" t="inlineStr">
        <is>
          <t>Transit cost</t>
        </is>
      </c>
      <c r="G3399" t="inlineStr">
        <is>
          <t>pressure</t>
        </is>
      </c>
      <c r="H3399" t="inlineStr">
        <is>
          <t>yes</t>
        </is>
      </c>
      <c r="I3399" t="inlineStr">
        <is>
          <t>34.65</t>
        </is>
      </c>
      <c r="J3399" t="inlineStr">
        <is>
          <t>world_bank_col_estimate</t>
        </is>
      </c>
      <c r="K3399" t="inlineStr">
        <is>
          <t>https://api.worldbank.org/v2/country/IND/indicator/NY.GNP.PCAP.PP.CD?format=json&amp;mrv=10</t>
        </is>
      </c>
      <c r="L3399" t="inlineStr">
        <is>
          <t>World Bank GNI + regional expenditure ratio estimate</t>
        </is>
      </c>
      <c r="M3399" t="inlineStr">
        <is>
          <t>2024-12-31</t>
        </is>
      </c>
      <c r="N3399" t="inlineStr">
        <is>
          <t>auto_ingest=world_bank_col_estimate; gni_annual=11000.0; year=2024; country_proxy=India; cohort=South Asia; city_cost_mult=1.05</t>
        </is>
      </c>
    </row>
    <row r="3400">
      <c r="A3400" t="inlineStr">
        <is>
          <t>in-pune</t>
        </is>
      </c>
      <c r="B3400" t="inlineStr">
        <is>
          <t>Pune</t>
        </is>
      </c>
      <c r="C3400" t="inlineStr">
        <is>
          <t>India</t>
        </is>
      </c>
      <c r="D3400" t="inlineStr">
        <is>
          <t>South Asia</t>
        </is>
      </c>
      <c r="E3400" t="inlineStr">
        <is>
          <t>internet_cost</t>
        </is>
      </c>
      <c r="F3400" t="inlineStr">
        <is>
          <t>Internet cost</t>
        </is>
      </c>
      <c r="G3400" t="inlineStr">
        <is>
          <t>pressure</t>
        </is>
      </c>
      <c r="H3400" t="inlineStr">
        <is>
          <t>yes</t>
        </is>
      </c>
      <c r="I3400" t="inlineStr">
        <is>
          <t>11.55</t>
        </is>
      </c>
      <c r="J3400" t="inlineStr">
        <is>
          <t>world_bank_col_estimate</t>
        </is>
      </c>
      <c r="K3400" t="inlineStr">
        <is>
          <t>https://api.worldbank.org/v2/country/IND/indicator/NY.GNP.PCAP.PP.CD?format=json&amp;mrv=10</t>
        </is>
      </c>
      <c r="L3400" t="inlineStr">
        <is>
          <t>World Bank GNI + regional expenditure ratio estimate</t>
        </is>
      </c>
      <c r="M3400" t="inlineStr">
        <is>
          <t>2024-12-31</t>
        </is>
      </c>
      <c r="N3400" t="inlineStr">
        <is>
          <t>auto_ingest=world_bank_col_estimate; gni_annual=11000.0; year=2024; country_proxy=India; cohort=South Asia; city_cost_mult=1.05</t>
        </is>
      </c>
    </row>
    <row r="3401">
      <c r="A3401" t="inlineStr">
        <is>
          <t>in-pune</t>
        </is>
      </c>
      <c r="B3401" t="inlineStr">
        <is>
          <t>Pune</t>
        </is>
      </c>
      <c r="C3401" t="inlineStr">
        <is>
          <t>India</t>
        </is>
      </c>
      <c r="D3401" t="inlineStr">
        <is>
          <t>South Asia</t>
        </is>
      </c>
      <c r="E3401" t="inlineStr">
        <is>
          <t>food_cost</t>
        </is>
      </c>
      <c r="F3401" t="inlineStr">
        <is>
          <t>Food cost</t>
        </is>
      </c>
      <c r="G3401" t="inlineStr">
        <is>
          <t>pressure</t>
        </is>
      </c>
      <c r="H3401" t="inlineStr">
        <is>
          <t>yes</t>
        </is>
      </c>
      <c r="I3401" t="inlineStr">
        <is>
          <t>288.75</t>
        </is>
      </c>
      <c r="J3401" t="inlineStr">
        <is>
          <t>world_bank_col_estimate</t>
        </is>
      </c>
      <c r="K3401" t="inlineStr">
        <is>
          <t>https://api.worldbank.org/v2/country/IND/indicator/NY.GNP.PCAP.PP.CD?format=json&amp;mrv=10</t>
        </is>
      </c>
      <c r="L3401" t="inlineStr">
        <is>
          <t>World Bank GNI + regional expenditure ratio estimate</t>
        </is>
      </c>
      <c r="M3401" t="inlineStr">
        <is>
          <t>2024-12-31</t>
        </is>
      </c>
      <c r="N3401" t="inlineStr">
        <is>
          <t>auto_ingest=world_bank_col_estimate; gni_annual=11000.0; year=2024; country_proxy=India; cohort=South Asia; city_cost_mult=1.05</t>
        </is>
      </c>
    </row>
    <row r="3402">
      <c r="A3402" t="inlineStr">
        <is>
          <t>in-pune</t>
        </is>
      </c>
      <c r="B3402" t="inlineStr">
        <is>
          <t>Pune</t>
        </is>
      </c>
      <c r="C3402" t="inlineStr">
        <is>
          <t>India</t>
        </is>
      </c>
      <c r="D3402" t="inlineStr">
        <is>
          <t>South Asia</t>
        </is>
      </c>
      <c r="E3402" t="inlineStr">
        <is>
          <t>housing_burden_raw</t>
        </is>
      </c>
      <c r="F3402" t="inlineStr">
        <is>
          <t>Housing burden raw</t>
        </is>
      </c>
      <c r="G3402" t="inlineStr">
        <is>
          <t>pressure</t>
        </is>
      </c>
      <c r="H3402" t="inlineStr">
        <is>
          <t>yes</t>
        </is>
      </c>
      <c r="I3402" t="inlineStr">
        <is>
          <t>15.75</t>
        </is>
      </c>
      <c r="J3402" t="inlineStr">
        <is>
          <t>derived</t>
        </is>
      </c>
      <c r="K3402" t="inlineStr">
        <is>
          <t>https://data.worldbank.org/indicator/NY.GNP.PCAP.PP.CD</t>
        </is>
      </c>
      <c r="L3402" t="inlineStr">
        <is>
          <t>Computed from city_inputs + country_context</t>
        </is>
      </c>
      <c r="M3402" t="inlineStr">
        <is>
          <t>2024-01-01</t>
        </is>
      </c>
      <c r="N3402" t="inlineStr">
        <is>
          <t>derived=rent/gross_income*100</t>
        </is>
      </c>
    </row>
    <row r="3403">
      <c r="A3403" t="inlineStr">
        <is>
          <t>in-pune</t>
        </is>
      </c>
      <c r="B3403" t="inlineStr">
        <is>
          <t>Pune</t>
        </is>
      </c>
      <c r="C3403" t="inlineStr">
        <is>
          <t>India</t>
        </is>
      </c>
      <c r="D3403" t="inlineStr">
        <is>
          <t>South Asia</t>
        </is>
      </c>
      <c r="E3403" t="inlineStr">
        <is>
          <t>household_debt_burden_raw</t>
        </is>
      </c>
      <c r="F3403" t="inlineStr">
        <is>
          <t>Household debt burden raw</t>
        </is>
      </c>
      <c r="G3403" t="inlineStr">
        <is>
          <t>pressure</t>
        </is>
      </c>
      <c r="H3403" t="inlineStr">
        <is>
          <t>yes</t>
        </is>
      </c>
      <c r="I3403" t="inlineStr">
        <is>
          <t>50.1422</t>
        </is>
      </c>
      <c r="J3403" t="inlineStr">
        <is>
          <t>derived</t>
        </is>
      </c>
      <c r="K3403" t="inlineStr">
        <is>
          <t>https://data.worldbank.org/indicator/NY.GNP.PCAP.PP.CD</t>
        </is>
      </c>
      <c r="L3403" t="inlineStr">
        <is>
          <t>Computed from city_inputs + country_context</t>
        </is>
      </c>
      <c r="M3403" t="inlineStr">
        <is>
          <t>2024-01-01</t>
        </is>
      </c>
      <c r="N3403" t="inlineStr">
        <is>
          <t>derived=country_context.household_debt_proxy; country=India</t>
        </is>
      </c>
    </row>
    <row r="3404">
      <c r="A3404" t="inlineStr">
        <is>
          <t>in-pune</t>
        </is>
      </c>
      <c r="B3404" t="inlineStr">
        <is>
          <t>Pune</t>
        </is>
      </c>
      <c r="C3404" t="inlineStr">
        <is>
          <t>India</t>
        </is>
      </c>
      <c r="D3404" t="inlineStr">
        <is>
          <t>South Asia</t>
        </is>
      </c>
      <c r="E3404" t="inlineStr">
        <is>
          <t>working_time_pressure_raw</t>
        </is>
      </c>
      <c r="F3404" t="inlineStr">
        <is>
          <t>Working time pressure raw</t>
        </is>
      </c>
      <c r="G3404" t="inlineStr">
        <is>
          <t>pressure</t>
        </is>
      </c>
      <c r="H3404" t="inlineStr">
        <is>
          <t>yes</t>
        </is>
      </c>
      <c r="I3404" t="inlineStr">
        <is>
          <t>45.72</t>
        </is>
      </c>
      <c r="J3404" t="inlineStr">
        <is>
          <t>ilo_ilostat</t>
        </is>
      </c>
      <c r="K3404" t="inlineStr">
        <is>
          <t>https://ilostat.ilo.org/data/indicator/?id=HOW_TEMP_SEX_ECO_NB_A&amp;ref_area=IND</t>
        </is>
      </c>
      <c r="L3404" t="inlineStr">
        <is>
          <t>ILO ILOSTAT: Mean weekly hours actually worked per employed person</t>
        </is>
      </c>
      <c r="M3404" t="inlineStr">
        <is>
          <t>2024-12-31</t>
        </is>
      </c>
      <c r="N3404" t="inlineStr">
        <is>
          <t>auto_ingest=ilo_working_hours; indicator=HOW_TEMP_SEX_ECO_NB_A; year=2024; hours=45.72; country_proxy=India</t>
        </is>
      </c>
    </row>
    <row r="3405">
      <c r="A3405" t="inlineStr">
        <is>
          <t>in-pune</t>
        </is>
      </c>
      <c r="B3405" t="inlineStr">
        <is>
          <t>Pune</t>
        </is>
      </c>
      <c r="C3405" t="inlineStr">
        <is>
          <t>India</t>
        </is>
      </c>
      <c r="D3405" t="inlineStr">
        <is>
          <t>South Asia</t>
        </is>
      </c>
      <c r="E3405" t="inlineStr">
        <is>
          <t>suicide_mental_strain_raw</t>
        </is>
      </c>
      <c r="F3405" t="inlineStr">
        <is>
          <t>Suicide or mental strain raw</t>
        </is>
      </c>
      <c r="G3405" t="inlineStr">
        <is>
          <t>pressure</t>
        </is>
      </c>
      <c r="H3405" t="inlineStr">
        <is>
          <t>yes</t>
        </is>
      </c>
      <c r="I3405" t="inlineStr">
        <is>
          <t>12.56</t>
        </is>
      </c>
      <c r="J3405" t="inlineStr">
        <is>
          <t>who_gho</t>
        </is>
      </c>
      <c r="K3405" t="inlineStr">
        <is>
          <t>https://www.who.int/data/gho/data/indicators/indicator-details/GHO/SDGSUICIDE</t>
        </is>
      </c>
      <c r="L3405" t="inlineStr">
        <is>
          <t>WHO GHO: Age-standardized suicide rate (per 100,000 population)</t>
        </is>
      </c>
      <c r="M3405" t="inlineStr">
        <is>
          <t>2021-12-31</t>
        </is>
      </c>
      <c r="N3405" t="inlineStr">
        <is>
          <t>auto_ingest=who_gho; indicator=SDGSUICIDE; year=2021; country_proxy=India</t>
        </is>
      </c>
    </row>
    <row r="3406">
      <c r="A3406" t="inlineStr">
        <is>
          <t>in-pune</t>
        </is>
      </c>
      <c r="B3406" t="inlineStr">
        <is>
          <t>Pune</t>
        </is>
      </c>
      <c r="C3406" t="inlineStr">
        <is>
          <t>India</t>
        </is>
      </c>
      <c r="D3406" t="inlineStr">
        <is>
          <t>South Asia</t>
        </is>
      </c>
      <c r="E3406" t="inlineStr">
        <is>
          <t>personal_safety_raw</t>
        </is>
      </c>
      <c r="F3406" t="inlineStr">
        <is>
          <t>Personal safety raw</t>
        </is>
      </c>
      <c r="G3406" t="inlineStr">
        <is>
          <t>viability</t>
        </is>
      </c>
      <c r="H3406" t="inlineStr">
        <is>
          <t>yes</t>
        </is>
      </c>
      <c r="I3406" t="inlineStr">
        <is>
          <t>2.82</t>
        </is>
      </c>
      <c r="J3406" t="inlineStr">
        <is>
          <t>world_bank</t>
        </is>
      </c>
      <c r="K3406" t="inlineStr">
        <is>
          <t>https://api.worldbank.org/v2/country/IND/indicator/VC.IHR.PSRC.P5?format=json&amp;mrv=10</t>
        </is>
      </c>
      <c r="L3406" t="inlineStr">
        <is>
          <t>UNODC via World Bank WDI: Intentional homicides (per 100,000 people)</t>
        </is>
      </c>
      <c r="M3406" t="inlineStr">
        <is>
          <t>2022-12-31</t>
        </is>
      </c>
      <c r="N3406" t="inlineStr">
        <is>
          <t>auto_ingest=unodc_safety; indicator=VC.IHR.PSRC.P5; year=2022; country_proxy=India</t>
        </is>
      </c>
    </row>
    <row r="3407">
      <c r="A3407" t="inlineStr">
        <is>
          <t>in-pune</t>
        </is>
      </c>
      <c r="B3407" t="inlineStr">
        <is>
          <t>Pune</t>
        </is>
      </c>
      <c r="C3407" t="inlineStr">
        <is>
          <t>India</t>
        </is>
      </c>
      <c r="D3407" t="inlineStr">
        <is>
          <t>South Asia</t>
        </is>
      </c>
      <c r="E3407" t="inlineStr">
        <is>
          <t>transit_access_commute_raw</t>
        </is>
      </c>
      <c r="F3407" t="inlineStr">
        <is>
          <t>Transit access and commute raw</t>
        </is>
      </c>
      <c r="G3407" t="inlineStr">
        <is>
          <t>viability</t>
        </is>
      </c>
      <c r="H3407" t="inlineStr">
        <is>
          <t>yes</t>
        </is>
      </c>
      <c r="I3407" t="inlineStr"/>
      <c r="J3407" t="inlineStr"/>
      <c r="K3407" t="inlineStr"/>
      <c r="L3407" t="inlineStr"/>
      <c r="M3407" t="inlineStr"/>
      <c r="N3407" t="inlineStr"/>
    </row>
    <row r="3408">
      <c r="A3408" t="inlineStr">
        <is>
          <t>in-pune</t>
        </is>
      </c>
      <c r="B3408" t="inlineStr">
        <is>
          <t>Pune</t>
        </is>
      </c>
      <c r="C3408" t="inlineStr">
        <is>
          <t>India</t>
        </is>
      </c>
      <c r="D3408" t="inlineStr">
        <is>
          <t>South Asia</t>
        </is>
      </c>
      <c r="E3408" t="inlineStr">
        <is>
          <t>clean_air_raw</t>
        </is>
      </c>
      <c r="F3408" t="inlineStr">
        <is>
          <t>Clean air raw</t>
        </is>
      </c>
      <c r="G3408" t="inlineStr">
        <is>
          <t>viability</t>
        </is>
      </c>
      <c r="H3408" t="inlineStr">
        <is>
          <t>yes</t>
        </is>
      </c>
      <c r="I3408" t="inlineStr"/>
      <c r="J3408" t="inlineStr"/>
      <c r="K3408" t="inlineStr"/>
      <c r="L3408" t="inlineStr"/>
      <c r="M3408" t="inlineStr"/>
      <c r="N3408" t="inlineStr"/>
    </row>
    <row r="3409">
      <c r="A3409" t="inlineStr">
        <is>
          <t>in-pune</t>
        </is>
      </c>
      <c r="B3409" t="inlineStr">
        <is>
          <t>Pune</t>
        </is>
      </c>
      <c r="C3409" t="inlineStr">
        <is>
          <t>India</t>
        </is>
      </c>
      <c r="D3409" t="inlineStr">
        <is>
          <t>South Asia</t>
        </is>
      </c>
      <c r="E3409" t="inlineStr">
        <is>
          <t>water_sanitation_utility_raw</t>
        </is>
      </c>
      <c r="F3409" t="inlineStr">
        <is>
          <t>Water, sanitation, and utility raw</t>
        </is>
      </c>
      <c r="G3409" t="inlineStr">
        <is>
          <t>viability</t>
        </is>
      </c>
      <c r="H3409" t="inlineStr">
        <is>
          <t>yes</t>
        </is>
      </c>
      <c r="I3409" t="inlineStr">
        <is>
          <t>76.44</t>
        </is>
      </c>
      <c r="J3409" t="inlineStr">
        <is>
          <t>world_bank</t>
        </is>
      </c>
      <c r="K3409" t="inlineStr">
        <is>
          <t>https://api.worldbank.org/v2/country/IND/indicator/SH.H2O.SMDW.ZS?format=json&amp;mrv=10</t>
        </is>
      </c>
      <c r="L3409" t="inlineStr">
        <is>
          <t>World Bank WDI: People using safely managed drinking water services (% of population)</t>
        </is>
      </c>
      <c r="M3409" t="inlineStr">
        <is>
          <t>2024-12-31</t>
        </is>
      </c>
      <c r="N3409" t="inlineStr">
        <is>
          <t>auto_ingest=world_bank_proxy; indicator=SH.H2O.SMDW.ZS; year=2024; country_proxy=India</t>
        </is>
      </c>
    </row>
    <row r="3410">
      <c r="A3410" t="inlineStr">
        <is>
          <t>in-pune</t>
        </is>
      </c>
      <c r="B3410" t="inlineStr">
        <is>
          <t>Pune</t>
        </is>
      </c>
      <c r="C3410" t="inlineStr">
        <is>
          <t>India</t>
        </is>
      </c>
      <c r="D3410" t="inlineStr">
        <is>
          <t>South Asia</t>
        </is>
      </c>
      <c r="E3410" t="inlineStr">
        <is>
          <t>digital_infrastructure_raw</t>
        </is>
      </c>
      <c r="F3410" t="inlineStr">
        <is>
          <t>Digital infrastructure raw</t>
        </is>
      </c>
      <c r="G3410" t="inlineStr">
        <is>
          <t>viability</t>
        </is>
      </c>
      <c r="H3410" t="inlineStr">
        <is>
          <t>yes</t>
        </is>
      </c>
      <c r="I3410" t="inlineStr">
        <is>
          <t>2.75</t>
        </is>
      </c>
      <c r="J3410" t="inlineStr">
        <is>
          <t>world_bank</t>
        </is>
      </c>
      <c r="K3410" t="inlineStr">
        <is>
          <t>https://api.worldbank.org/v2/country/IND/indicator/IT.NET.BBND.P2?format=json&amp;mrv=10</t>
        </is>
      </c>
      <c r="L3410" t="inlineStr">
        <is>
          <t>World Bank WDI: Fixed broadband subscriptions (per 100 people)</t>
        </is>
      </c>
      <c r="M3410" t="inlineStr">
        <is>
          <t>2023-12-31</t>
        </is>
      </c>
      <c r="N3410" t="inlineStr">
        <is>
          <t>auto_ingest=world_bank_proxy; indicator=IT.NET.BBND.P2; year=2023; country_proxy=India</t>
        </is>
      </c>
    </row>
    <row r="3411">
      <c r="A3411" t="inlineStr">
        <is>
          <t>in-pune</t>
        </is>
      </c>
      <c r="B3411" t="inlineStr">
        <is>
          <t>Pune</t>
        </is>
      </c>
      <c r="C3411" t="inlineStr">
        <is>
          <t>India</t>
        </is>
      </c>
      <c r="D3411" t="inlineStr">
        <is>
          <t>South Asia</t>
        </is>
      </c>
      <c r="E3411" t="inlineStr">
        <is>
          <t>climate_sunlight_livability_raw</t>
        </is>
      </c>
      <c r="F3411" t="inlineStr">
        <is>
          <t>Climate and sunlight livability raw</t>
        </is>
      </c>
      <c r="G3411" t="inlineStr">
        <is>
          <t>viability</t>
        </is>
      </c>
      <c r="H3411" t="inlineStr">
        <is>
          <t>yes</t>
        </is>
      </c>
      <c r="I3411" t="inlineStr">
        <is>
          <t>70</t>
        </is>
      </c>
      <c r="J3411" t="inlineStr">
        <is>
          <t>wmo_natl_met</t>
        </is>
      </c>
      <c r="K3411" t="inlineStr">
        <is>
          <t>https://worldweather.wmo.int</t>
        </is>
      </c>
      <c r="L3411" t="inlineStr">
        <is>
          <t>WMO/National Met: Climate livability composite</t>
        </is>
      </c>
      <c r="M3411" t="inlineStr">
        <is>
          <t>2024-12-31</t>
        </is>
      </c>
      <c r="N3411" t="inlineStr">
        <is>
          <t>auto_seed=climate_composite; 2700 sun hrs, 25C mean, elevated, comfortable</t>
        </is>
      </c>
    </row>
    <row r="3412">
      <c r="A3412" t="inlineStr">
        <is>
          <t>in-pune</t>
        </is>
      </c>
      <c r="B3412" t="inlineStr">
        <is>
          <t>Pune</t>
        </is>
      </c>
      <c r="C3412" t="inlineStr">
        <is>
          <t>India</t>
        </is>
      </c>
      <c r="D3412" t="inlineStr">
        <is>
          <t>South Asia</t>
        </is>
      </c>
      <c r="E3412" t="inlineStr">
        <is>
          <t>healthcare_quality_raw</t>
        </is>
      </c>
      <c r="F3412" t="inlineStr">
        <is>
          <t>Healthcare quality raw</t>
        </is>
      </c>
      <c r="G3412" t="inlineStr">
        <is>
          <t>capability</t>
        </is>
      </c>
      <c r="H3412" t="inlineStr">
        <is>
          <t>yes</t>
        </is>
      </c>
      <c r="I3412" t="inlineStr">
        <is>
          <t>69.0</t>
        </is>
      </c>
      <c r="J3412" t="inlineStr">
        <is>
          <t>who_gho</t>
        </is>
      </c>
      <c r="K3412" t="inlineStr">
        <is>
          <t>https://www.who.int/data/gho/data/indicators/indicator-details/GHO/UHC_INDEX_REPORTED</t>
        </is>
      </c>
      <c r="L3412" t="inlineStr">
        <is>
          <t>WHO GHO: UHC Service Coverage Index</t>
        </is>
      </c>
      <c r="M3412" t="inlineStr">
        <is>
          <t>2023-12-31</t>
        </is>
      </c>
      <c r="N3412" t="inlineStr">
        <is>
          <t>auto_ingest=who_gho; indicator=UHC_INDEX_REPORTED; year=2023; country_proxy=India</t>
        </is>
      </c>
    </row>
    <row r="3413">
      <c r="A3413" t="inlineStr">
        <is>
          <t>in-pune</t>
        </is>
      </c>
      <c r="B3413" t="inlineStr">
        <is>
          <t>Pune</t>
        </is>
      </c>
      <c r="C3413" t="inlineStr">
        <is>
          <t>India</t>
        </is>
      </c>
      <c r="D3413" t="inlineStr">
        <is>
          <t>South Asia</t>
        </is>
      </c>
      <c r="E3413" t="inlineStr">
        <is>
          <t>education_quality_raw</t>
        </is>
      </c>
      <c r="F3413" t="inlineStr">
        <is>
          <t>Education quality raw</t>
        </is>
      </c>
      <c r="G3413" t="inlineStr">
        <is>
          <t>capability</t>
        </is>
      </c>
      <c r="H3413" t="inlineStr">
        <is>
          <t>yes</t>
        </is>
      </c>
      <c r="I3413" t="inlineStr">
        <is>
          <t>34.42</t>
        </is>
      </c>
      <c r="J3413" t="inlineStr">
        <is>
          <t>world_bank</t>
        </is>
      </c>
      <c r="K3413" t="inlineStr">
        <is>
          <t>https://api.worldbank.org/v2/country/IND/indicator/SE.TER.ENRR?format=json&amp;mrv=10</t>
        </is>
      </c>
      <c r="L3413" t="inlineStr">
        <is>
          <t>World Bank WDI: School enrollment, tertiary (% gross)</t>
        </is>
      </c>
      <c r="M3413" t="inlineStr">
        <is>
          <t>2024-12-31</t>
        </is>
      </c>
      <c r="N3413" t="inlineStr">
        <is>
          <t>auto_ingest=world_bank_proxy; indicator=SE.TER.ENRR; year=2024; country_proxy=India</t>
        </is>
      </c>
    </row>
    <row r="3414">
      <c r="A3414" t="inlineStr">
        <is>
          <t>in-pune</t>
        </is>
      </c>
      <c r="B3414" t="inlineStr">
        <is>
          <t>Pune</t>
        </is>
      </c>
      <c r="C3414" t="inlineStr">
        <is>
          <t>India</t>
        </is>
      </c>
      <c r="D3414" t="inlineStr">
        <is>
          <t>South Asia</t>
        </is>
      </c>
      <c r="E3414" t="inlineStr">
        <is>
          <t>equal_opportunity_raw</t>
        </is>
      </c>
      <c r="F3414" t="inlineStr">
        <is>
          <t>Equal opportunity raw</t>
        </is>
      </c>
      <c r="G3414" t="inlineStr">
        <is>
          <t>capability</t>
        </is>
      </c>
      <c r="H3414" t="inlineStr">
        <is>
          <t>yes</t>
        </is>
      </c>
      <c r="I3414" t="inlineStr">
        <is>
          <t>25.5</t>
        </is>
      </c>
      <c r="J3414" t="inlineStr">
        <is>
          <t>world_bank</t>
        </is>
      </c>
      <c r="K3414" t="inlineStr">
        <is>
          <t>https://api.worldbank.org/v2/country/IND/indicator/SI.POV.GINI?format=json&amp;mrv=10</t>
        </is>
      </c>
      <c r="L3414" t="inlineStr">
        <is>
          <t>World Bank WDI: Gini index</t>
        </is>
      </c>
      <c r="M3414" t="inlineStr">
        <is>
          <t>2022-12-31</t>
        </is>
      </c>
      <c r="N3414" t="inlineStr">
        <is>
          <t>auto_ingest=world_bank_capability; indicator=SI.POV.GINI; year=2022; country_proxy=India</t>
        </is>
      </c>
    </row>
    <row r="3415">
      <c r="A3415" t="inlineStr">
        <is>
          <t>in-pune</t>
        </is>
      </c>
      <c r="B3415" t="inlineStr">
        <is>
          <t>Pune</t>
        </is>
      </c>
      <c r="C3415" t="inlineStr">
        <is>
          <t>India</t>
        </is>
      </c>
      <c r="D3415" t="inlineStr">
        <is>
          <t>South Asia</t>
        </is>
      </c>
      <c r="E3415" t="inlineStr">
        <is>
          <t>hospitality_belonging_raw</t>
        </is>
      </c>
      <c r="F3415" t="inlineStr">
        <is>
          <t>Hospitality and belonging raw</t>
        </is>
      </c>
      <c r="G3415" t="inlineStr">
        <is>
          <t>community</t>
        </is>
      </c>
      <c r="H3415" t="inlineStr">
        <is>
          <t>yes</t>
        </is>
      </c>
      <c r="I3415" t="inlineStr">
        <is>
          <t>49.66</t>
        </is>
      </c>
      <c r="J3415" t="inlineStr">
        <is>
          <t>world_bank</t>
        </is>
      </c>
      <c r="K3415" t="inlineStr">
        <is>
          <t>https://api.worldbank.org/v2/country/IND/indicator/SM.POP.NETM?format=json&amp;mrv=10</t>
        </is>
      </c>
      <c r="L3415" t="inlineStr">
        <is>
          <t>World Bank WDI: Net migration (proxy for hospitality/belonging — positive = welcoming)</t>
        </is>
      </c>
      <c r="M3415" t="inlineStr">
        <is>
          <t>2025-12-31</t>
        </is>
      </c>
      <c r="N3415" t="inlineStr">
        <is>
          <t>auto_ingest=world_bank_proxy; proxy=net_migration_hospitality; indicator=SM.POP.NETM; year=2025; country_proxy=India</t>
        </is>
      </c>
    </row>
    <row r="3416">
      <c r="A3416" t="inlineStr">
        <is>
          <t>in-pune</t>
        </is>
      </c>
      <c r="B3416" t="inlineStr">
        <is>
          <t>Pune</t>
        </is>
      </c>
      <c r="C3416" t="inlineStr">
        <is>
          <t>India</t>
        </is>
      </c>
      <c r="D3416" t="inlineStr">
        <is>
          <t>South Asia</t>
        </is>
      </c>
      <c r="E3416" t="inlineStr">
        <is>
          <t>tolerance_pluralism_raw</t>
        </is>
      </c>
      <c r="F3416" t="inlineStr">
        <is>
          <t>Tolerance and pluralism raw</t>
        </is>
      </c>
      <c r="G3416" t="inlineStr">
        <is>
          <t>community</t>
        </is>
      </c>
      <c r="H3416" t="inlineStr">
        <is>
          <t>yes</t>
        </is>
      </c>
      <c r="I3416" t="inlineStr">
        <is>
          <t>13.65</t>
        </is>
      </c>
      <c r="J3416" t="inlineStr">
        <is>
          <t>world_bank</t>
        </is>
      </c>
      <c r="K3416" t="inlineStr">
        <is>
          <t>https://api.worldbank.org/v2/country/IND/indicator/SG.GEN.PARL.ZS?format=json&amp;mrv=10</t>
        </is>
      </c>
      <c r="L3416" t="inlineStr">
        <is>
          <t>World Bank WDI: Proportion of seats held by women in national parliaments (%)</t>
        </is>
      </c>
      <c r="M3416" t="inlineStr">
        <is>
          <t>2024-12-31</t>
        </is>
      </c>
      <c r="N3416" t="inlineStr">
        <is>
          <t>auto_ingest=world_bank_proxy; proxy=gender_parity_parliament; indicator=SG.GEN.PARL.ZS; year=2024; country_proxy=India</t>
        </is>
      </c>
    </row>
    <row r="3417">
      <c r="A3417" t="inlineStr">
        <is>
          <t>in-pune</t>
        </is>
      </c>
      <c r="B3417" t="inlineStr">
        <is>
          <t>Pune</t>
        </is>
      </c>
      <c r="C3417" t="inlineStr">
        <is>
          <t>India</t>
        </is>
      </c>
      <c r="D3417" t="inlineStr">
        <is>
          <t>South Asia</t>
        </is>
      </c>
      <c r="E3417" t="inlineStr">
        <is>
          <t>cultural_public_life_raw</t>
        </is>
      </c>
      <c r="F3417" t="inlineStr">
        <is>
          <t>Cultural public life raw</t>
        </is>
      </c>
      <c r="G3417" t="inlineStr">
        <is>
          <t>community</t>
        </is>
      </c>
      <c r="H3417" t="inlineStr">
        <is>
          <t>yes</t>
        </is>
      </c>
      <c r="I3417" t="inlineStr">
        <is>
          <t>12.35</t>
        </is>
      </c>
      <c r="J3417" t="inlineStr">
        <is>
          <t>world_bank</t>
        </is>
      </c>
      <c r="K3417" t="inlineStr">
        <is>
          <t>https://api.worldbank.org/v2/country/IND/indicator/ST.INT.ARVL?format=json&amp;mrv=10</t>
        </is>
      </c>
      <c r="L3417" t="inlineStr">
        <is>
          <t>World Bank WDI: International tourism arrivals per 1 000 population</t>
        </is>
      </c>
      <c r="M3417" t="inlineStr">
        <is>
          <t>2019-12-31</t>
        </is>
      </c>
      <c r="N3417" t="inlineStr">
        <is>
          <t>auto_ingest=cultural_life_proxy; indicator=ST.INT.ARVL; norm=per_1000_pop; year=2019; country_proxy=India</t>
        </is>
      </c>
    </row>
    <row r="3418">
      <c r="A3418" t="inlineStr">
        <is>
          <t>in-pune</t>
        </is>
      </c>
      <c r="B3418" t="inlineStr">
        <is>
          <t>Pune</t>
        </is>
      </c>
      <c r="C3418" t="inlineStr">
        <is>
          <t>India</t>
        </is>
      </c>
      <c r="D3418" t="inlineStr">
        <is>
          <t>South Asia</t>
        </is>
      </c>
      <c r="E3418" t="inlineStr">
        <is>
          <t>birth_rate_optimism_raw</t>
        </is>
      </c>
      <c r="F3418" t="inlineStr">
        <is>
          <t>Birth rate and societal optimism raw</t>
        </is>
      </c>
      <c r="G3418" t="inlineStr">
        <is>
          <t>community</t>
        </is>
      </c>
      <c r="H3418" t="inlineStr">
        <is>
          <t>yes</t>
        </is>
      </c>
      <c r="I3418" t="inlineStr">
        <is>
          <t>2.0</t>
        </is>
      </c>
      <c r="J3418" t="inlineStr">
        <is>
          <t>world_bank</t>
        </is>
      </c>
      <c r="K3418" t="inlineStr">
        <is>
          <t>https://data.worldbank.org/indicator/SP.DYN.TFRT.IN</t>
        </is>
      </c>
      <c r="L3418" t="inlineStr">
        <is>
          <t>World Bank Total Fertility Rate 2023</t>
        </is>
      </c>
      <c r="M3418" t="inlineStr">
        <is>
          <t>2024-01-01</t>
        </is>
      </c>
      <c r="N3418" t="inlineStr"/>
    </row>
    <row r="3419">
      <c r="A3419" t="inlineStr">
        <is>
          <t>in-pune</t>
        </is>
      </c>
      <c r="B3419" t="inlineStr">
        <is>
          <t>Pune</t>
        </is>
      </c>
      <c r="C3419" t="inlineStr">
        <is>
          <t>India</t>
        </is>
      </c>
      <c r="D3419" t="inlineStr">
        <is>
          <t>South Asia</t>
        </is>
      </c>
      <c r="E3419" t="inlineStr">
        <is>
          <t>entrepreneurial_dynamism_raw</t>
        </is>
      </c>
      <c r="F3419" t="inlineStr">
        <is>
          <t>Entrepreneurial dynamism raw</t>
        </is>
      </c>
      <c r="G3419" t="inlineStr">
        <is>
          <t>creative</t>
        </is>
      </c>
      <c r="H3419" t="inlineStr">
        <is>
          <t>yes</t>
        </is>
      </c>
      <c r="I3419" t="inlineStr">
        <is>
          <t>0.18</t>
        </is>
      </c>
      <c r="J3419" t="inlineStr">
        <is>
          <t>world_bank</t>
        </is>
      </c>
      <c r="K3419" t="inlineStr">
        <is>
          <t>https://api.worldbank.org/v2/country/IND/indicator/IC.BUS.NDNS.ZS?format=json&amp;mrv=10</t>
        </is>
      </c>
      <c r="L3419" t="inlineStr">
        <is>
          <t>World Bank WDI: New business density (new registrations per 1,000 people ages 15-64)</t>
        </is>
      </c>
      <c r="M3419" t="inlineStr">
        <is>
          <t>2022-12-31</t>
        </is>
      </c>
      <c r="N3419" t="inlineStr">
        <is>
          <t>auto_ingest=world_bank_creative_extended; indicator=IC.BUS.NDNS.ZS; year=2022; country_proxy=India</t>
        </is>
      </c>
    </row>
    <row r="3420">
      <c r="A3420" t="inlineStr">
        <is>
          <t>in-pune</t>
        </is>
      </c>
      <c r="B3420" t="inlineStr">
        <is>
          <t>Pune</t>
        </is>
      </c>
      <c r="C3420" t="inlineStr">
        <is>
          <t>India</t>
        </is>
      </c>
      <c r="D3420" t="inlineStr">
        <is>
          <t>South Asia</t>
        </is>
      </c>
      <c r="E3420" t="inlineStr">
        <is>
          <t>innovation_research_intensity_raw</t>
        </is>
      </c>
      <c r="F3420" t="inlineStr">
        <is>
          <t>Innovation and research raw</t>
        </is>
      </c>
      <c r="G3420" t="inlineStr">
        <is>
          <t>creative</t>
        </is>
      </c>
      <c r="H3420" t="inlineStr">
        <is>
          <t>yes</t>
        </is>
      </c>
      <c r="I3420" t="inlineStr">
        <is>
          <t>0.65</t>
        </is>
      </c>
      <c r="J3420" t="inlineStr">
        <is>
          <t>world_bank</t>
        </is>
      </c>
      <c r="K3420" t="inlineStr">
        <is>
          <t>https://api.worldbank.org/v2/country/IND/indicator/GB.XPD.RSDV.GD.ZS?format=json&amp;mrv=10</t>
        </is>
      </c>
      <c r="L3420" t="inlineStr">
        <is>
          <t>World Bank WDI: Research and development expenditure (% of GDP)</t>
        </is>
      </c>
      <c r="M3420" t="inlineStr">
        <is>
          <t>2020-12-31</t>
        </is>
      </c>
      <c r="N3420" t="inlineStr">
        <is>
          <t>auto_ingest=world_bank_creative_extended; indicator=GB.XPD.RSDV.GD.ZS; year=2020; country_proxy=India</t>
        </is>
      </c>
    </row>
    <row r="3421">
      <c r="A3421" t="inlineStr">
        <is>
          <t>in-pune</t>
        </is>
      </c>
      <c r="B3421" t="inlineStr">
        <is>
          <t>Pune</t>
        </is>
      </c>
      <c r="C3421" t="inlineStr">
        <is>
          <t>India</t>
        </is>
      </c>
      <c r="D3421" t="inlineStr">
        <is>
          <t>South Asia</t>
        </is>
      </c>
      <c r="E3421" t="inlineStr">
        <is>
          <t>investment_signal_raw</t>
        </is>
      </c>
      <c r="F3421" t="inlineStr">
        <is>
          <t>Investment signal raw</t>
        </is>
      </c>
      <c r="G3421" t="inlineStr">
        <is>
          <t>creative</t>
        </is>
      </c>
      <c r="H3421" t="inlineStr">
        <is>
          <t>yes</t>
        </is>
      </c>
      <c r="I3421" t="inlineStr">
        <is>
          <t>0.69</t>
        </is>
      </c>
      <c r="J3421" t="inlineStr">
        <is>
          <t>world_bank</t>
        </is>
      </c>
      <c r="K3421" t="inlineStr">
        <is>
          <t>https://api.worldbank.org/v2/country/IND/indicator/BX.KLT.DINV.WD.GD.ZS?format=json&amp;mrv=10</t>
        </is>
      </c>
      <c r="L3421" t="inlineStr">
        <is>
          <t>World Bank WDI: Foreign direct investment, net inflows (% of GDP)</t>
        </is>
      </c>
      <c r="M3421" t="inlineStr">
        <is>
          <t>2024-12-31</t>
        </is>
      </c>
      <c r="N3421" t="inlineStr">
        <is>
          <t>auto_ingest=world_bank_creative_extended; indicator=BX.KLT.DINV.WD.GD.ZS; year=2024; country_proxy=India</t>
        </is>
      </c>
    </row>
    <row r="3422">
      <c r="A3422" t="inlineStr">
        <is>
          <t>in-pune</t>
        </is>
      </c>
      <c r="B3422" t="inlineStr">
        <is>
          <t>Pune</t>
        </is>
      </c>
      <c r="C3422" t="inlineStr">
        <is>
          <t>India</t>
        </is>
      </c>
      <c r="D3422" t="inlineStr">
        <is>
          <t>South Asia</t>
        </is>
      </c>
      <c r="E3422" t="inlineStr">
        <is>
          <t>administrative_investment_friction_raw</t>
        </is>
      </c>
      <c r="F3422" t="inlineStr">
        <is>
          <t>Administrative investment friction raw</t>
        </is>
      </c>
      <c r="G3422" t="inlineStr">
        <is>
          <t>creative</t>
        </is>
      </c>
      <c r="H3422" t="inlineStr">
        <is>
          <t>yes</t>
        </is>
      </c>
      <c r="I3422" t="inlineStr">
        <is>
          <t>2.64</t>
        </is>
      </c>
      <c r="J3422" t="inlineStr">
        <is>
          <t>world_bank</t>
        </is>
      </c>
      <c r="K3422" t="inlineStr">
        <is>
          <t>https://api.worldbank.org/v2/country/IND/indicator/RQ.EST?format=json&amp;mrv=10</t>
        </is>
      </c>
      <c r="L3422" t="inlineStr">
        <is>
          <t>World Bank WGI: Regulatory Quality (inverted as friction proxy)</t>
        </is>
      </c>
      <c r="M3422" t="inlineStr">
        <is>
          <t>2023-12-31</t>
        </is>
      </c>
      <c r="N3422" t="inlineStr">
        <is>
          <t>auto_ingest=world_bank_business_friction; indicator=RQ.EST; raw_rq=-0.136969581246376; friction=2.64; year=2023; country_proxy=India</t>
        </is>
      </c>
    </row>
    <row r="3423">
      <c r="A3423" t="inlineStr">
        <is>
          <t>in-pune</t>
        </is>
      </c>
      <c r="B3423" t="inlineStr">
        <is>
          <t>Pune</t>
        </is>
      </c>
      <c r="C3423" t="inlineStr">
        <is>
          <t>India</t>
        </is>
      </c>
      <c r="D3423" t="inlineStr">
        <is>
          <t>South Asia</t>
        </is>
      </c>
      <c r="E3423" t="inlineStr">
        <is>
          <t>visitor_flow_context_raw</t>
        </is>
      </c>
      <c r="F3423" t="inlineStr">
        <is>
          <t>Visitor flow context raw</t>
        </is>
      </c>
      <c r="G3423" t="inlineStr">
        <is>
          <t>creative</t>
        </is>
      </c>
      <c r="H3423" t="inlineStr">
        <is>
          <t>no</t>
        </is>
      </c>
      <c r="I3423" t="inlineStr"/>
      <c r="J3423" t="inlineStr"/>
      <c r="K3423" t="inlineStr"/>
      <c r="L3423" t="inlineStr"/>
      <c r="M3423" t="inlineStr"/>
      <c r="N3423" t="inlineStr"/>
    </row>
    <row r="3424">
      <c r="A3424" t="inlineStr">
        <is>
          <t>pk-islamabad</t>
        </is>
      </c>
      <c r="B3424" t="inlineStr">
        <is>
          <t>Islamabad</t>
        </is>
      </c>
      <c r="C3424" t="inlineStr">
        <is>
          <t>Pakistan</t>
        </is>
      </c>
      <c r="D3424" t="inlineStr">
        <is>
          <t>South Asia</t>
        </is>
      </c>
      <c r="E3424" t="inlineStr">
        <is>
          <t>gross_income</t>
        </is>
      </c>
      <c r="F3424" t="inlineStr">
        <is>
          <t>Gross income</t>
        </is>
      </c>
      <c r="G3424" t="inlineStr">
        <is>
          <t>pressure</t>
        </is>
      </c>
      <c r="H3424" t="inlineStr">
        <is>
          <t>yes</t>
        </is>
      </c>
      <c r="I3424" t="inlineStr">
        <is>
          <t>508.33</t>
        </is>
      </c>
      <c r="J3424" t="inlineStr">
        <is>
          <t>world_bank_col_estimate</t>
        </is>
      </c>
      <c r="K3424" t="inlineStr">
        <is>
          <t>https://api.worldbank.org/v2/country/PAK/indicator/NY.GNP.PCAP.PP.CD?format=json&amp;mrv=10</t>
        </is>
      </c>
      <c r="L3424" t="inlineStr">
        <is>
          <t>World Bank WDI: GNI per capita PPP (monthly USD)</t>
        </is>
      </c>
      <c r="M3424" t="inlineStr">
        <is>
          <t>2024-12-31</t>
        </is>
      </c>
      <c r="N3424" t="inlineStr">
        <is>
          <t>auto_ingest=world_bank_col_estimate; gni_annual=6100.0; year=2024; country_proxy=Pakistan; cohort=South Asia</t>
        </is>
      </c>
    </row>
    <row r="3425">
      <c r="A3425" t="inlineStr">
        <is>
          <t>pk-islamabad</t>
        </is>
      </c>
      <c r="B3425" t="inlineStr">
        <is>
          <t>Islamabad</t>
        </is>
      </c>
      <c r="C3425" t="inlineStr">
        <is>
          <t>Pakistan</t>
        </is>
      </c>
      <c r="D3425" t="inlineStr">
        <is>
          <t>South Asia</t>
        </is>
      </c>
      <c r="E3425" t="inlineStr">
        <is>
          <t>di_ppp_raw</t>
        </is>
      </c>
      <c r="F3425" t="inlineStr">
        <is>
          <t>Disposable income PPP (Raw)</t>
        </is>
      </c>
      <c r="G3425" t="inlineStr">
        <is>
          <t>pressure</t>
        </is>
      </c>
      <c r="H3425" t="inlineStr">
        <is>
          <t>yes</t>
        </is>
      </c>
      <c r="I3425" t="inlineStr"/>
      <c r="J3425" t="inlineStr"/>
      <c r="K3425" t="inlineStr"/>
      <c r="L3425" t="inlineStr"/>
      <c r="M3425" t="inlineStr"/>
      <c r="N3425" t="inlineStr"/>
    </row>
    <row r="3426">
      <c r="A3426" t="inlineStr">
        <is>
          <t>pk-islamabad</t>
        </is>
      </c>
      <c r="B3426" t="inlineStr">
        <is>
          <t>Islamabad</t>
        </is>
      </c>
      <c r="C3426" t="inlineStr">
        <is>
          <t>Pakistan</t>
        </is>
      </c>
      <c r="D3426" t="inlineStr">
        <is>
          <t>South Asia</t>
        </is>
      </c>
      <c r="E3426" t="inlineStr">
        <is>
          <t>rent</t>
        </is>
      </c>
      <c r="F3426" t="inlineStr">
        <is>
          <t>Rent</t>
        </is>
      </c>
      <c r="G3426" t="inlineStr">
        <is>
          <t>pressure</t>
        </is>
      </c>
      <c r="H3426" t="inlineStr">
        <is>
          <t>yes</t>
        </is>
      </c>
      <c r="I3426" t="inlineStr">
        <is>
          <t>72.44</t>
        </is>
      </c>
      <c r="J3426" t="inlineStr">
        <is>
          <t>world_bank_col_estimate</t>
        </is>
      </c>
      <c r="K3426" t="inlineStr">
        <is>
          <t>https://api.worldbank.org/v2/country/PAK/indicator/NY.GNP.PCAP.PP.CD?format=json&amp;mrv=10</t>
        </is>
      </c>
      <c r="L3426" t="inlineStr">
        <is>
          <t>World Bank GNI + regional expenditure ratio estimate</t>
        </is>
      </c>
      <c r="M3426" t="inlineStr">
        <is>
          <t>2024-12-31</t>
        </is>
      </c>
      <c r="N3426" t="inlineStr">
        <is>
          <t>auto_ingest=world_bank_col_estimate; gni_annual=6100.0; year=2024; country_proxy=Pakistan; cohort=South Asia; city_cost_mult=0.95</t>
        </is>
      </c>
    </row>
    <row r="3427">
      <c r="A3427" t="inlineStr">
        <is>
          <t>pk-islamabad</t>
        </is>
      </c>
      <c r="B3427" t="inlineStr">
        <is>
          <t>Islamabad</t>
        </is>
      </c>
      <c r="C3427" t="inlineStr">
        <is>
          <t>Pakistan</t>
        </is>
      </c>
      <c r="D3427" t="inlineStr">
        <is>
          <t>South Asia</t>
        </is>
      </c>
      <c r="E3427" t="inlineStr">
        <is>
          <t>utilities</t>
        </is>
      </c>
      <c r="F3427" t="inlineStr">
        <is>
          <t>Utilities</t>
        </is>
      </c>
      <c r="G3427" t="inlineStr">
        <is>
          <t>pressure</t>
        </is>
      </c>
      <c r="H3427" t="inlineStr">
        <is>
          <t>yes</t>
        </is>
      </c>
      <c r="I3427" t="inlineStr">
        <is>
          <t>24.15</t>
        </is>
      </c>
      <c r="J3427" t="inlineStr">
        <is>
          <t>world_bank_col_estimate</t>
        </is>
      </c>
      <c r="K3427" t="inlineStr">
        <is>
          <t>https://api.worldbank.org/v2/country/PAK/indicator/NY.GNP.PCAP.PP.CD?format=json&amp;mrv=10</t>
        </is>
      </c>
      <c r="L3427" t="inlineStr">
        <is>
          <t>World Bank GNI + regional expenditure ratio estimate</t>
        </is>
      </c>
      <c r="M3427" t="inlineStr">
        <is>
          <t>2024-12-31</t>
        </is>
      </c>
      <c r="N3427" t="inlineStr">
        <is>
          <t>auto_ingest=world_bank_col_estimate; gni_annual=6100.0; year=2024; country_proxy=Pakistan; cohort=South Asia; city_cost_mult=0.95</t>
        </is>
      </c>
    </row>
    <row r="3428">
      <c r="A3428" t="inlineStr">
        <is>
          <t>pk-islamabad</t>
        </is>
      </c>
      <c r="B3428" t="inlineStr">
        <is>
          <t>Islamabad</t>
        </is>
      </c>
      <c r="C3428" t="inlineStr">
        <is>
          <t>Pakistan</t>
        </is>
      </c>
      <c r="D3428" t="inlineStr">
        <is>
          <t>South Asia</t>
        </is>
      </c>
      <c r="E3428" t="inlineStr">
        <is>
          <t>transit_cost</t>
        </is>
      </c>
      <c r="F3428" t="inlineStr">
        <is>
          <t>Transit cost</t>
        </is>
      </c>
      <c r="G3428" t="inlineStr">
        <is>
          <t>pressure</t>
        </is>
      </c>
      <c r="H3428" t="inlineStr">
        <is>
          <t>yes</t>
        </is>
      </c>
      <c r="I3428" t="inlineStr">
        <is>
          <t>14.49</t>
        </is>
      </c>
      <c r="J3428" t="inlineStr">
        <is>
          <t>world_bank_col_estimate</t>
        </is>
      </c>
      <c r="K3428" t="inlineStr">
        <is>
          <t>https://api.worldbank.org/v2/country/PAK/indicator/NY.GNP.PCAP.PP.CD?format=json&amp;mrv=10</t>
        </is>
      </c>
      <c r="L3428" t="inlineStr">
        <is>
          <t>World Bank GNI + regional expenditure ratio estimate</t>
        </is>
      </c>
      <c r="M3428" t="inlineStr">
        <is>
          <t>2024-12-31</t>
        </is>
      </c>
      <c r="N3428" t="inlineStr">
        <is>
          <t>auto_ingest=world_bank_col_estimate; gni_annual=6100.0; year=2024; country_proxy=Pakistan; cohort=South Asia; city_cost_mult=0.95</t>
        </is>
      </c>
    </row>
    <row r="3429">
      <c r="A3429" t="inlineStr">
        <is>
          <t>pk-islamabad</t>
        </is>
      </c>
      <c r="B3429" t="inlineStr">
        <is>
          <t>Islamabad</t>
        </is>
      </c>
      <c r="C3429" t="inlineStr">
        <is>
          <t>Pakistan</t>
        </is>
      </c>
      <c r="D3429" t="inlineStr">
        <is>
          <t>South Asia</t>
        </is>
      </c>
      <c r="E3429" t="inlineStr">
        <is>
          <t>internet_cost</t>
        </is>
      </c>
      <c r="F3429" t="inlineStr">
        <is>
          <t>Internet cost</t>
        </is>
      </c>
      <c r="G3429" t="inlineStr">
        <is>
          <t>pressure</t>
        </is>
      </c>
      <c r="H3429" t="inlineStr">
        <is>
          <t>yes</t>
        </is>
      </c>
      <c r="I3429" t="inlineStr">
        <is>
          <t>4.83</t>
        </is>
      </c>
      <c r="J3429" t="inlineStr">
        <is>
          <t>world_bank_col_estimate</t>
        </is>
      </c>
      <c r="K3429" t="inlineStr">
        <is>
          <t>https://api.worldbank.org/v2/country/PAK/indicator/NY.GNP.PCAP.PP.CD?format=json&amp;mrv=10</t>
        </is>
      </c>
      <c r="L3429" t="inlineStr">
        <is>
          <t>World Bank GNI + regional expenditure ratio estimate</t>
        </is>
      </c>
      <c r="M3429" t="inlineStr">
        <is>
          <t>2024-12-31</t>
        </is>
      </c>
      <c r="N3429" t="inlineStr">
        <is>
          <t>auto_ingest=world_bank_col_estimate; gni_annual=6100.0; year=2024; country_proxy=Pakistan; cohort=South Asia; city_cost_mult=0.95</t>
        </is>
      </c>
    </row>
    <row r="3430">
      <c r="A3430" t="inlineStr">
        <is>
          <t>pk-islamabad</t>
        </is>
      </c>
      <c r="B3430" t="inlineStr">
        <is>
          <t>Islamabad</t>
        </is>
      </c>
      <c r="C3430" t="inlineStr">
        <is>
          <t>Pakistan</t>
        </is>
      </c>
      <c r="D3430" t="inlineStr">
        <is>
          <t>South Asia</t>
        </is>
      </c>
      <c r="E3430" t="inlineStr">
        <is>
          <t>food_cost</t>
        </is>
      </c>
      <c r="F3430" t="inlineStr">
        <is>
          <t>Food cost</t>
        </is>
      </c>
      <c r="G3430" t="inlineStr">
        <is>
          <t>pressure</t>
        </is>
      </c>
      <c r="H3430" t="inlineStr">
        <is>
          <t>yes</t>
        </is>
      </c>
      <c r="I3430" t="inlineStr">
        <is>
          <t>120.73</t>
        </is>
      </c>
      <c r="J3430" t="inlineStr">
        <is>
          <t>world_bank_col_estimate</t>
        </is>
      </c>
      <c r="K3430" t="inlineStr">
        <is>
          <t>https://api.worldbank.org/v2/country/PAK/indicator/NY.GNP.PCAP.PP.CD?format=json&amp;mrv=10</t>
        </is>
      </c>
      <c r="L3430" t="inlineStr">
        <is>
          <t>World Bank GNI + regional expenditure ratio estimate</t>
        </is>
      </c>
      <c r="M3430" t="inlineStr">
        <is>
          <t>2024-12-31</t>
        </is>
      </c>
      <c r="N3430" t="inlineStr">
        <is>
          <t>auto_ingest=world_bank_col_estimate; gni_annual=6100.0; year=2024; country_proxy=Pakistan; cohort=South Asia; city_cost_mult=0.95</t>
        </is>
      </c>
    </row>
    <row r="3431">
      <c r="A3431" t="inlineStr">
        <is>
          <t>pk-islamabad</t>
        </is>
      </c>
      <c r="B3431" t="inlineStr">
        <is>
          <t>Islamabad</t>
        </is>
      </c>
      <c r="C3431" t="inlineStr">
        <is>
          <t>Pakistan</t>
        </is>
      </c>
      <c r="D3431" t="inlineStr">
        <is>
          <t>South Asia</t>
        </is>
      </c>
      <c r="E3431" t="inlineStr">
        <is>
          <t>housing_burden_raw</t>
        </is>
      </c>
      <c r="F3431" t="inlineStr">
        <is>
          <t>Housing burden raw</t>
        </is>
      </c>
      <c r="G3431" t="inlineStr">
        <is>
          <t>pressure</t>
        </is>
      </c>
      <c r="H3431" t="inlineStr">
        <is>
          <t>yes</t>
        </is>
      </c>
      <c r="I3431" t="inlineStr">
        <is>
          <t>14.2506</t>
        </is>
      </c>
      <c r="J3431" t="inlineStr">
        <is>
          <t>derived</t>
        </is>
      </c>
      <c r="K3431" t="inlineStr">
        <is>
          <t>https://data.worldbank.org/indicator/NY.GNP.PCAP.PP.CD</t>
        </is>
      </c>
      <c r="L3431" t="inlineStr">
        <is>
          <t>Computed from city_inputs + country_context</t>
        </is>
      </c>
      <c r="M3431" t="inlineStr">
        <is>
          <t>2024-01-01</t>
        </is>
      </c>
      <c r="N3431" t="inlineStr">
        <is>
          <t>derived=rent/gross_income*100</t>
        </is>
      </c>
    </row>
    <row r="3432">
      <c r="A3432" t="inlineStr">
        <is>
          <t>pk-islamabad</t>
        </is>
      </c>
      <c r="B3432" t="inlineStr">
        <is>
          <t>Islamabad</t>
        </is>
      </c>
      <c r="C3432" t="inlineStr">
        <is>
          <t>Pakistan</t>
        </is>
      </c>
      <c r="D3432" t="inlineStr">
        <is>
          <t>South Asia</t>
        </is>
      </c>
      <c r="E3432" t="inlineStr">
        <is>
          <t>household_debt_burden_raw</t>
        </is>
      </c>
      <c r="F3432" t="inlineStr">
        <is>
          <t>Household debt burden raw</t>
        </is>
      </c>
      <c r="G3432" t="inlineStr">
        <is>
          <t>pressure</t>
        </is>
      </c>
      <c r="H3432" t="inlineStr">
        <is>
          <t>yes</t>
        </is>
      </c>
      <c r="I3432" t="inlineStr">
        <is>
          <t>11.3901</t>
        </is>
      </c>
      <c r="J3432" t="inlineStr">
        <is>
          <t>derived</t>
        </is>
      </c>
      <c r="K3432" t="inlineStr">
        <is>
          <t>https://data.worldbank.org/indicator/NY.GNP.PCAP.PP.CD</t>
        </is>
      </c>
      <c r="L3432" t="inlineStr">
        <is>
          <t>Computed from city_inputs + country_context</t>
        </is>
      </c>
      <c r="M3432" t="inlineStr">
        <is>
          <t>2024-01-01</t>
        </is>
      </c>
      <c r="N3432" t="inlineStr">
        <is>
          <t>derived=country_context.household_debt_proxy; country=Pakistan</t>
        </is>
      </c>
    </row>
    <row r="3433">
      <c r="A3433" t="inlineStr">
        <is>
          <t>pk-islamabad</t>
        </is>
      </c>
      <c r="B3433" t="inlineStr">
        <is>
          <t>Islamabad</t>
        </is>
      </c>
      <c r="C3433" t="inlineStr">
        <is>
          <t>Pakistan</t>
        </is>
      </c>
      <c r="D3433" t="inlineStr">
        <is>
          <t>South Asia</t>
        </is>
      </c>
      <c r="E3433" t="inlineStr">
        <is>
          <t>working_time_pressure_raw</t>
        </is>
      </c>
      <c r="F3433" t="inlineStr">
        <is>
          <t>Working time pressure raw</t>
        </is>
      </c>
      <c r="G3433" t="inlineStr">
        <is>
          <t>pressure</t>
        </is>
      </c>
      <c r="H3433" t="inlineStr">
        <is>
          <t>yes</t>
        </is>
      </c>
      <c r="I3433" t="inlineStr">
        <is>
          <t>46.77</t>
        </is>
      </c>
      <c r="J3433" t="inlineStr">
        <is>
          <t>ilo_ilostat</t>
        </is>
      </c>
      <c r="K3433" t="inlineStr">
        <is>
          <t>https://ilostat.ilo.org/data/indicator/?id=HOW_TEMP_SEX_ECO_NB_A&amp;ref_area=PAK</t>
        </is>
      </c>
      <c r="L3433" t="inlineStr">
        <is>
          <t>ILO ILOSTAT: Mean weekly hours actually worked per employed person</t>
        </is>
      </c>
      <c r="M3433" t="inlineStr">
        <is>
          <t>2025-12-31</t>
        </is>
      </c>
      <c r="N3433" t="inlineStr">
        <is>
          <t>auto_ingest=ilo_working_hours; indicator=HOW_TEMP_SEX_ECO_NB_A; year=2025; hours=46.77; country_proxy=Pakistan</t>
        </is>
      </c>
    </row>
    <row r="3434">
      <c r="A3434" t="inlineStr">
        <is>
          <t>pk-islamabad</t>
        </is>
      </c>
      <c r="B3434" t="inlineStr">
        <is>
          <t>Islamabad</t>
        </is>
      </c>
      <c r="C3434" t="inlineStr">
        <is>
          <t>Pakistan</t>
        </is>
      </c>
      <c r="D3434" t="inlineStr">
        <is>
          <t>South Asia</t>
        </is>
      </c>
      <c r="E3434" t="inlineStr">
        <is>
          <t>suicide_mental_strain_raw</t>
        </is>
      </c>
      <c r="F3434" t="inlineStr">
        <is>
          <t>Suicide or mental strain raw</t>
        </is>
      </c>
      <c r="G3434" t="inlineStr">
        <is>
          <t>pressure</t>
        </is>
      </c>
      <c r="H3434" t="inlineStr">
        <is>
          <t>yes</t>
        </is>
      </c>
      <c r="I3434" t="inlineStr">
        <is>
          <t>5.64</t>
        </is>
      </c>
      <c r="J3434" t="inlineStr">
        <is>
          <t>who_gho</t>
        </is>
      </c>
      <c r="K3434" t="inlineStr">
        <is>
          <t>https://www.who.int/data/gho/data/indicators/indicator-details/GHO/SDGSUICIDE</t>
        </is>
      </c>
      <c r="L3434" t="inlineStr">
        <is>
          <t>WHO GHO: Age-standardized suicide rate (per 100,000 population)</t>
        </is>
      </c>
      <c r="M3434" t="inlineStr">
        <is>
          <t>2021-12-31</t>
        </is>
      </c>
      <c r="N3434" t="inlineStr">
        <is>
          <t>auto_ingest=who_gho; indicator=SDGSUICIDE; year=2021; country_proxy=Pakistan</t>
        </is>
      </c>
    </row>
    <row r="3435">
      <c r="A3435" t="inlineStr">
        <is>
          <t>pk-islamabad</t>
        </is>
      </c>
      <c r="B3435" t="inlineStr">
        <is>
          <t>Islamabad</t>
        </is>
      </c>
      <c r="C3435" t="inlineStr">
        <is>
          <t>Pakistan</t>
        </is>
      </c>
      <c r="D3435" t="inlineStr">
        <is>
          <t>South Asia</t>
        </is>
      </c>
      <c r="E3435" t="inlineStr">
        <is>
          <t>personal_safety_raw</t>
        </is>
      </c>
      <c r="F3435" t="inlineStr">
        <is>
          <t>Personal safety raw</t>
        </is>
      </c>
      <c r="G3435" t="inlineStr">
        <is>
          <t>viability</t>
        </is>
      </c>
      <c r="H3435" t="inlineStr">
        <is>
          <t>yes</t>
        </is>
      </c>
      <c r="I3435" t="inlineStr">
        <is>
          <t>4.33</t>
        </is>
      </c>
      <c r="J3435" t="inlineStr">
        <is>
          <t>world_bank</t>
        </is>
      </c>
      <c r="K3435" t="inlineStr">
        <is>
          <t>https://api.worldbank.org/v2/country/PAK/indicator/VC.IHR.PSRC.P5?format=json&amp;mrv=10</t>
        </is>
      </c>
      <c r="L3435" t="inlineStr">
        <is>
          <t>UNODC via World Bank WDI: Intentional homicides (per 100,000 people)</t>
        </is>
      </c>
      <c r="M3435" t="inlineStr">
        <is>
          <t>2023-12-31</t>
        </is>
      </c>
      <c r="N3435" t="inlineStr">
        <is>
          <t>auto_ingest=unodc_safety; indicator=VC.IHR.PSRC.P5; year=2023; country_proxy=Pakistan</t>
        </is>
      </c>
    </row>
    <row r="3436">
      <c r="A3436" t="inlineStr">
        <is>
          <t>pk-islamabad</t>
        </is>
      </c>
      <c r="B3436" t="inlineStr">
        <is>
          <t>Islamabad</t>
        </is>
      </c>
      <c r="C3436" t="inlineStr">
        <is>
          <t>Pakistan</t>
        </is>
      </c>
      <c r="D3436" t="inlineStr">
        <is>
          <t>South Asia</t>
        </is>
      </c>
      <c r="E3436" t="inlineStr">
        <is>
          <t>transit_access_commute_raw</t>
        </is>
      </c>
      <c r="F3436" t="inlineStr">
        <is>
          <t>Transit access and commute raw</t>
        </is>
      </c>
      <c r="G3436" t="inlineStr">
        <is>
          <t>viability</t>
        </is>
      </c>
      <c r="H3436" t="inlineStr">
        <is>
          <t>yes</t>
        </is>
      </c>
      <c r="I3436" t="inlineStr"/>
      <c r="J3436" t="inlineStr"/>
      <c r="K3436" t="inlineStr"/>
      <c r="L3436" t="inlineStr"/>
      <c r="M3436" t="inlineStr"/>
      <c r="N3436" t="inlineStr"/>
    </row>
    <row r="3437">
      <c r="A3437" t="inlineStr">
        <is>
          <t>pk-islamabad</t>
        </is>
      </c>
      <c r="B3437" t="inlineStr">
        <is>
          <t>Islamabad</t>
        </is>
      </c>
      <c r="C3437" t="inlineStr">
        <is>
          <t>Pakistan</t>
        </is>
      </c>
      <c r="D3437" t="inlineStr">
        <is>
          <t>South Asia</t>
        </is>
      </c>
      <c r="E3437" t="inlineStr">
        <is>
          <t>clean_air_raw</t>
        </is>
      </c>
      <c r="F3437" t="inlineStr">
        <is>
          <t>Clean air raw</t>
        </is>
      </c>
      <c r="G3437" t="inlineStr">
        <is>
          <t>viability</t>
        </is>
      </c>
      <c r="H3437" t="inlineStr">
        <is>
          <t>yes</t>
        </is>
      </c>
      <c r="I3437" t="inlineStr"/>
      <c r="J3437" t="inlineStr"/>
      <c r="K3437" t="inlineStr"/>
      <c r="L3437" t="inlineStr"/>
      <c r="M3437" t="inlineStr"/>
      <c r="N3437" t="inlineStr"/>
    </row>
    <row r="3438">
      <c r="A3438" t="inlineStr">
        <is>
          <t>pk-islamabad</t>
        </is>
      </c>
      <c r="B3438" t="inlineStr">
        <is>
          <t>Islamabad</t>
        </is>
      </c>
      <c r="C3438" t="inlineStr">
        <is>
          <t>Pakistan</t>
        </is>
      </c>
      <c r="D3438" t="inlineStr">
        <is>
          <t>South Asia</t>
        </is>
      </c>
      <c r="E3438" t="inlineStr">
        <is>
          <t>water_sanitation_utility_raw</t>
        </is>
      </c>
      <c r="F3438" t="inlineStr">
        <is>
          <t>Water, sanitation, and utility raw</t>
        </is>
      </c>
      <c r="G3438" t="inlineStr">
        <is>
          <t>viability</t>
        </is>
      </c>
      <c r="H3438" t="inlineStr">
        <is>
          <t>yes</t>
        </is>
      </c>
      <c r="I3438" t="inlineStr">
        <is>
          <t>44.97</t>
        </is>
      </c>
      <c r="J3438" t="inlineStr">
        <is>
          <t>world_bank</t>
        </is>
      </c>
      <c r="K3438" t="inlineStr">
        <is>
          <t>https://api.worldbank.org/v2/country/PAK/indicator/SH.H2O.SMDW.ZS?format=json&amp;mrv=10</t>
        </is>
      </c>
      <c r="L3438" t="inlineStr">
        <is>
          <t>World Bank WDI: People using safely managed drinking water services (% of population)</t>
        </is>
      </c>
      <c r="M3438" t="inlineStr">
        <is>
          <t>2024-12-31</t>
        </is>
      </c>
      <c r="N3438" t="inlineStr">
        <is>
          <t>auto_ingest=world_bank_proxy; indicator=SH.H2O.SMDW.ZS; year=2024; country_proxy=Pakistan</t>
        </is>
      </c>
    </row>
    <row r="3439">
      <c r="A3439" t="inlineStr">
        <is>
          <t>pk-islamabad</t>
        </is>
      </c>
      <c r="B3439" t="inlineStr">
        <is>
          <t>Islamabad</t>
        </is>
      </c>
      <c r="C3439" t="inlineStr">
        <is>
          <t>Pakistan</t>
        </is>
      </c>
      <c r="D3439" t="inlineStr">
        <is>
          <t>South Asia</t>
        </is>
      </c>
      <c r="E3439" t="inlineStr">
        <is>
          <t>digital_infrastructure_raw</t>
        </is>
      </c>
      <c r="F3439" t="inlineStr">
        <is>
          <t>Digital infrastructure raw</t>
        </is>
      </c>
      <c r="G3439" t="inlineStr">
        <is>
          <t>viability</t>
        </is>
      </c>
      <c r="H3439" t="inlineStr">
        <is>
          <t>yes</t>
        </is>
      </c>
      <c r="I3439" t="inlineStr">
        <is>
          <t>1.36</t>
        </is>
      </c>
      <c r="J3439" t="inlineStr">
        <is>
          <t>world_bank</t>
        </is>
      </c>
      <c r="K3439" t="inlineStr">
        <is>
          <t>https://api.worldbank.org/v2/country/PAK/indicator/IT.NET.BBND.P2?format=json&amp;mrv=10</t>
        </is>
      </c>
      <c r="L3439" t="inlineStr">
        <is>
          <t>World Bank WDI: Fixed broadband subscriptions (per 100 people)</t>
        </is>
      </c>
      <c r="M3439" t="inlineStr">
        <is>
          <t>2023-12-31</t>
        </is>
      </c>
      <c r="N3439" t="inlineStr">
        <is>
          <t>auto_ingest=world_bank_proxy; indicator=IT.NET.BBND.P2; year=2023; country_proxy=Pakistan</t>
        </is>
      </c>
    </row>
    <row r="3440">
      <c r="A3440" t="inlineStr">
        <is>
          <t>pk-islamabad</t>
        </is>
      </c>
      <c r="B3440" t="inlineStr">
        <is>
          <t>Islamabad</t>
        </is>
      </c>
      <c r="C3440" t="inlineStr">
        <is>
          <t>Pakistan</t>
        </is>
      </c>
      <c r="D3440" t="inlineStr">
        <is>
          <t>South Asia</t>
        </is>
      </c>
      <c r="E3440" t="inlineStr">
        <is>
          <t>climate_sunlight_livability_raw</t>
        </is>
      </c>
      <c r="F3440" t="inlineStr">
        <is>
          <t>Climate and sunlight livability raw</t>
        </is>
      </c>
      <c r="G3440" t="inlineStr">
        <is>
          <t>viability</t>
        </is>
      </c>
      <c r="H3440" t="inlineStr">
        <is>
          <t>yes</t>
        </is>
      </c>
      <c r="I3440" t="inlineStr"/>
      <c r="J3440" t="inlineStr"/>
      <c r="K3440" t="inlineStr"/>
      <c r="L3440" t="inlineStr"/>
      <c r="M3440" t="inlineStr"/>
      <c r="N3440" t="inlineStr"/>
    </row>
    <row r="3441">
      <c r="A3441" t="inlineStr">
        <is>
          <t>pk-islamabad</t>
        </is>
      </c>
      <c r="B3441" t="inlineStr">
        <is>
          <t>Islamabad</t>
        </is>
      </c>
      <c r="C3441" t="inlineStr">
        <is>
          <t>Pakistan</t>
        </is>
      </c>
      <c r="D3441" t="inlineStr">
        <is>
          <t>South Asia</t>
        </is>
      </c>
      <c r="E3441" t="inlineStr">
        <is>
          <t>healthcare_quality_raw</t>
        </is>
      </c>
      <c r="F3441" t="inlineStr">
        <is>
          <t>Healthcare quality raw</t>
        </is>
      </c>
      <c r="G3441" t="inlineStr">
        <is>
          <t>capability</t>
        </is>
      </c>
      <c r="H3441" t="inlineStr">
        <is>
          <t>yes</t>
        </is>
      </c>
      <c r="I3441" t="inlineStr">
        <is>
          <t>56.0</t>
        </is>
      </c>
      <c r="J3441" t="inlineStr">
        <is>
          <t>who_gho</t>
        </is>
      </c>
      <c r="K3441" t="inlineStr">
        <is>
          <t>https://www.who.int/data/gho/data/indicators/indicator-details/GHO/UHC_INDEX_REPORTED</t>
        </is>
      </c>
      <c r="L3441" t="inlineStr">
        <is>
          <t>WHO GHO: UHC Service Coverage Index</t>
        </is>
      </c>
      <c r="M3441" t="inlineStr">
        <is>
          <t>2023-12-31</t>
        </is>
      </c>
      <c r="N3441" t="inlineStr">
        <is>
          <t>auto_ingest=who_gho; indicator=UHC_INDEX_REPORTED; year=2023; country_proxy=Pakistan</t>
        </is>
      </c>
    </row>
    <row r="3442">
      <c r="A3442" t="inlineStr">
        <is>
          <t>pk-islamabad</t>
        </is>
      </c>
      <c r="B3442" t="inlineStr">
        <is>
          <t>Islamabad</t>
        </is>
      </c>
      <c r="C3442" t="inlineStr">
        <is>
          <t>Pakistan</t>
        </is>
      </c>
      <c r="D3442" t="inlineStr">
        <is>
          <t>South Asia</t>
        </is>
      </c>
      <c r="E3442" t="inlineStr">
        <is>
          <t>education_quality_raw</t>
        </is>
      </c>
      <c r="F3442" t="inlineStr">
        <is>
          <t>Education quality raw</t>
        </is>
      </c>
      <c r="G3442" t="inlineStr">
        <is>
          <t>capability</t>
        </is>
      </c>
      <c r="H3442" t="inlineStr">
        <is>
          <t>yes</t>
        </is>
      </c>
      <c r="I3442" t="inlineStr">
        <is>
          <t>10.86</t>
        </is>
      </c>
      <c r="J3442" t="inlineStr">
        <is>
          <t>world_bank</t>
        </is>
      </c>
      <c r="K3442" t="inlineStr">
        <is>
          <t>https://api.worldbank.org/v2/country/PAK/indicator/SE.TER.ENRR?format=json&amp;mrv=10</t>
        </is>
      </c>
      <c r="L3442" t="inlineStr">
        <is>
          <t>World Bank WDI: School enrollment, tertiary (% gross)</t>
        </is>
      </c>
      <c r="M3442" t="inlineStr">
        <is>
          <t>2024-12-31</t>
        </is>
      </c>
      <c r="N3442" t="inlineStr">
        <is>
          <t>auto_ingest=world_bank_proxy; indicator=SE.TER.ENRR; year=2024; country_proxy=Pakistan</t>
        </is>
      </c>
    </row>
    <row r="3443">
      <c r="A3443" t="inlineStr">
        <is>
          <t>pk-islamabad</t>
        </is>
      </c>
      <c r="B3443" t="inlineStr">
        <is>
          <t>Islamabad</t>
        </is>
      </c>
      <c r="C3443" t="inlineStr">
        <is>
          <t>Pakistan</t>
        </is>
      </c>
      <c r="D3443" t="inlineStr">
        <is>
          <t>South Asia</t>
        </is>
      </c>
      <c r="E3443" t="inlineStr">
        <is>
          <t>equal_opportunity_raw</t>
        </is>
      </c>
      <c r="F3443" t="inlineStr">
        <is>
          <t>Equal opportunity raw</t>
        </is>
      </c>
      <c r="G3443" t="inlineStr">
        <is>
          <t>capability</t>
        </is>
      </c>
      <c r="H3443" t="inlineStr">
        <is>
          <t>yes</t>
        </is>
      </c>
      <c r="I3443" t="inlineStr">
        <is>
          <t>29.6</t>
        </is>
      </c>
      <c r="J3443" t="inlineStr">
        <is>
          <t>world_bank</t>
        </is>
      </c>
      <c r="K3443" t="inlineStr">
        <is>
          <t>https://api.worldbank.org/v2/country/PAK/indicator/SI.POV.GINI?format=json&amp;mrv=10</t>
        </is>
      </c>
      <c r="L3443" t="inlineStr">
        <is>
          <t>World Bank WDI: Gini index</t>
        </is>
      </c>
      <c r="M3443" t="inlineStr">
        <is>
          <t>2018-12-31</t>
        </is>
      </c>
      <c r="N3443" t="inlineStr">
        <is>
          <t>auto_ingest=world_bank_capability; indicator=SI.POV.GINI; year=2018; country_proxy=Pakistan</t>
        </is>
      </c>
    </row>
    <row r="3444">
      <c r="A3444" t="inlineStr">
        <is>
          <t>pk-islamabad</t>
        </is>
      </c>
      <c r="B3444" t="inlineStr">
        <is>
          <t>Islamabad</t>
        </is>
      </c>
      <c r="C3444" t="inlineStr">
        <is>
          <t>Pakistan</t>
        </is>
      </c>
      <c r="D3444" t="inlineStr">
        <is>
          <t>South Asia</t>
        </is>
      </c>
      <c r="E3444" t="inlineStr">
        <is>
          <t>hospitality_belonging_raw</t>
        </is>
      </c>
      <c r="F3444" t="inlineStr">
        <is>
          <t>Hospitality and belonging raw</t>
        </is>
      </c>
      <c r="G3444" t="inlineStr">
        <is>
          <t>community</t>
        </is>
      </c>
      <c r="H3444" t="inlineStr">
        <is>
          <t>yes</t>
        </is>
      </c>
      <c r="I3444" t="inlineStr">
        <is>
          <t>45.08</t>
        </is>
      </c>
      <c r="J3444" t="inlineStr">
        <is>
          <t>world_bank</t>
        </is>
      </c>
      <c r="K3444" t="inlineStr">
        <is>
          <t>https://api.worldbank.org/v2/country/PAK/indicator/SM.POP.NETM?format=json&amp;mrv=10</t>
        </is>
      </c>
      <c r="L3444" t="inlineStr">
        <is>
          <t>World Bank WDI: Net migration (proxy for hospitality/belonging — positive = welcoming)</t>
        </is>
      </c>
      <c r="M3444" t="inlineStr">
        <is>
          <t>2025-12-31</t>
        </is>
      </c>
      <c r="N3444" t="inlineStr">
        <is>
          <t>auto_ingest=world_bank_proxy; proxy=net_migration_hospitality; indicator=SM.POP.NETM; year=2025; country_proxy=Pakistan</t>
        </is>
      </c>
    </row>
    <row r="3445">
      <c r="A3445" t="inlineStr">
        <is>
          <t>pk-islamabad</t>
        </is>
      </c>
      <c r="B3445" t="inlineStr">
        <is>
          <t>Islamabad</t>
        </is>
      </c>
      <c r="C3445" t="inlineStr">
        <is>
          <t>Pakistan</t>
        </is>
      </c>
      <c r="D3445" t="inlineStr">
        <is>
          <t>South Asia</t>
        </is>
      </c>
      <c r="E3445" t="inlineStr">
        <is>
          <t>tolerance_pluralism_raw</t>
        </is>
      </c>
      <c r="F3445" t="inlineStr">
        <is>
          <t>Tolerance and pluralism raw</t>
        </is>
      </c>
      <c r="G3445" t="inlineStr">
        <is>
          <t>community</t>
        </is>
      </c>
      <c r="H3445" t="inlineStr">
        <is>
          <t>yes</t>
        </is>
      </c>
      <c r="I3445" t="inlineStr">
        <is>
          <t>17.04</t>
        </is>
      </c>
      <c r="J3445" t="inlineStr">
        <is>
          <t>world_bank</t>
        </is>
      </c>
      <c r="K3445" t="inlineStr">
        <is>
          <t>https://api.worldbank.org/v2/country/PAK/indicator/SG.GEN.PARL.ZS?format=json&amp;mrv=10</t>
        </is>
      </c>
      <c r="L3445" t="inlineStr">
        <is>
          <t>World Bank WDI: Proportion of seats held by women in national parliaments (%)</t>
        </is>
      </c>
      <c r="M3445" t="inlineStr">
        <is>
          <t>2024-12-31</t>
        </is>
      </c>
      <c r="N3445" t="inlineStr">
        <is>
          <t>auto_ingest=world_bank_proxy; proxy=gender_parity_parliament; indicator=SG.GEN.PARL.ZS; year=2024; country_proxy=Pakistan</t>
        </is>
      </c>
    </row>
    <row r="3446">
      <c r="A3446" t="inlineStr">
        <is>
          <t>pk-islamabad</t>
        </is>
      </c>
      <c r="B3446" t="inlineStr">
        <is>
          <t>Islamabad</t>
        </is>
      </c>
      <c r="C3446" t="inlineStr">
        <is>
          <t>Pakistan</t>
        </is>
      </c>
      <c r="D3446" t="inlineStr">
        <is>
          <t>South Asia</t>
        </is>
      </c>
      <c r="E3446" t="inlineStr">
        <is>
          <t>cultural_public_life_raw</t>
        </is>
      </c>
      <c r="F3446" t="inlineStr">
        <is>
          <t>Cultural public life raw</t>
        </is>
      </c>
      <c r="G3446" t="inlineStr">
        <is>
          <t>community</t>
        </is>
      </c>
      <c r="H3446" t="inlineStr">
        <is>
          <t>yes</t>
        </is>
      </c>
      <c r="I3446" t="inlineStr">
        <is>
          <t>30.61</t>
        </is>
      </c>
      <c r="J3446" t="inlineStr">
        <is>
          <t>world_bank</t>
        </is>
      </c>
      <c r="K3446" t="inlineStr">
        <is>
          <t>https://api.worldbank.org/v2/country/PAK/indicator/SP.POP.DPND?format=json&amp;mrv=10</t>
        </is>
      </c>
      <c r="L3446" t="inlineStr">
        <is>
          <t>World Bank WDI: Age dependency ratio (% of working-age population), inverted as social vitality proxy</t>
        </is>
      </c>
      <c r="M3446" t="inlineStr">
        <is>
          <t>2024-12-31</t>
        </is>
      </c>
      <c r="N3446" t="inlineStr">
        <is>
          <t>auto_ingest=world_bank_proxy; proxy=inverse_dependency_ratio_social_vitality; indicator=SP.POP.DPND; year=2024; country_proxy=Pakistan</t>
        </is>
      </c>
    </row>
    <row r="3447">
      <c r="A3447" t="inlineStr">
        <is>
          <t>pk-islamabad</t>
        </is>
      </c>
      <c r="B3447" t="inlineStr">
        <is>
          <t>Islamabad</t>
        </is>
      </c>
      <c r="C3447" t="inlineStr">
        <is>
          <t>Pakistan</t>
        </is>
      </c>
      <c r="D3447" t="inlineStr">
        <is>
          <t>South Asia</t>
        </is>
      </c>
      <c r="E3447" t="inlineStr">
        <is>
          <t>birth_rate_optimism_raw</t>
        </is>
      </c>
      <c r="F3447" t="inlineStr">
        <is>
          <t>Birth rate and societal optimism raw</t>
        </is>
      </c>
      <c r="G3447" t="inlineStr">
        <is>
          <t>community</t>
        </is>
      </c>
      <c r="H3447" t="inlineStr">
        <is>
          <t>yes</t>
        </is>
      </c>
      <c r="I3447" t="inlineStr">
        <is>
          <t>3.36</t>
        </is>
      </c>
      <c r="J3447" t="inlineStr">
        <is>
          <t>world_bank</t>
        </is>
      </c>
      <c r="K3447" t="inlineStr">
        <is>
          <t>https://data.worldbank.org/indicator/SP.DYN.TFRT.IN</t>
        </is>
      </c>
      <c r="L3447" t="inlineStr">
        <is>
          <t>World Bank Total Fertility Rate 2023</t>
        </is>
      </c>
      <c r="M3447" t="inlineStr">
        <is>
          <t>2024-01-01</t>
        </is>
      </c>
      <c r="N3447" t="inlineStr"/>
    </row>
    <row r="3448">
      <c r="A3448" t="inlineStr">
        <is>
          <t>pk-islamabad</t>
        </is>
      </c>
      <c r="B3448" t="inlineStr">
        <is>
          <t>Islamabad</t>
        </is>
      </c>
      <c r="C3448" t="inlineStr">
        <is>
          <t>Pakistan</t>
        </is>
      </c>
      <c r="D3448" t="inlineStr">
        <is>
          <t>South Asia</t>
        </is>
      </c>
      <c r="E3448" t="inlineStr">
        <is>
          <t>entrepreneurial_dynamism_raw</t>
        </is>
      </c>
      <c r="F3448" t="inlineStr">
        <is>
          <t>Entrepreneurial dynamism raw</t>
        </is>
      </c>
      <c r="G3448" t="inlineStr">
        <is>
          <t>creative</t>
        </is>
      </c>
      <c r="H3448" t="inlineStr">
        <is>
          <t>yes</t>
        </is>
      </c>
      <c r="I3448" t="inlineStr">
        <is>
          <t>0.19</t>
        </is>
      </c>
      <c r="J3448" t="inlineStr">
        <is>
          <t>world_bank</t>
        </is>
      </c>
      <c r="K3448" t="inlineStr">
        <is>
          <t>https://api.worldbank.org/v2/country/PAK/indicator/IC.BUS.NDNS.ZS?format=json&amp;mrv=10</t>
        </is>
      </c>
      <c r="L3448" t="inlineStr">
        <is>
          <t>World Bank WDI: New business density (new registrations per 1,000 people ages 15-64)</t>
        </is>
      </c>
      <c r="M3448" t="inlineStr">
        <is>
          <t>2022-12-31</t>
        </is>
      </c>
      <c r="N3448" t="inlineStr">
        <is>
          <t>auto_ingest=world_bank_creative_extended; indicator=IC.BUS.NDNS.ZS; year=2022; country_proxy=Pakistan</t>
        </is>
      </c>
    </row>
    <row r="3449">
      <c r="A3449" t="inlineStr">
        <is>
          <t>pk-islamabad</t>
        </is>
      </c>
      <c r="B3449" t="inlineStr">
        <is>
          <t>Islamabad</t>
        </is>
      </c>
      <c r="C3449" t="inlineStr">
        <is>
          <t>Pakistan</t>
        </is>
      </c>
      <c r="D3449" t="inlineStr">
        <is>
          <t>South Asia</t>
        </is>
      </c>
      <c r="E3449" t="inlineStr">
        <is>
          <t>innovation_research_intensity_raw</t>
        </is>
      </c>
      <c r="F3449" t="inlineStr">
        <is>
          <t>Innovation and research raw</t>
        </is>
      </c>
      <c r="G3449" t="inlineStr">
        <is>
          <t>creative</t>
        </is>
      </c>
      <c r="H3449" t="inlineStr">
        <is>
          <t>yes</t>
        </is>
      </c>
      <c r="I3449" t="inlineStr">
        <is>
          <t>0.16</t>
        </is>
      </c>
      <c r="J3449" t="inlineStr">
        <is>
          <t>world_bank</t>
        </is>
      </c>
      <c r="K3449" t="inlineStr">
        <is>
          <t>https://api.worldbank.org/v2/country/PAK/indicator/GB.XPD.RSDV.GD.ZS?format=json&amp;mrv=10</t>
        </is>
      </c>
      <c r="L3449" t="inlineStr">
        <is>
          <t>World Bank WDI: Research and development expenditure (% of GDP)</t>
        </is>
      </c>
      <c r="M3449" t="inlineStr">
        <is>
          <t>2023-12-31</t>
        </is>
      </c>
      <c r="N3449" t="inlineStr">
        <is>
          <t>auto_ingest=world_bank_creative_extended; indicator=GB.XPD.RSDV.GD.ZS; year=2023; country_proxy=Pakistan</t>
        </is>
      </c>
    </row>
    <row r="3450">
      <c r="A3450" t="inlineStr">
        <is>
          <t>pk-islamabad</t>
        </is>
      </c>
      <c r="B3450" t="inlineStr">
        <is>
          <t>Islamabad</t>
        </is>
      </c>
      <c r="C3450" t="inlineStr">
        <is>
          <t>Pakistan</t>
        </is>
      </c>
      <c r="D3450" t="inlineStr">
        <is>
          <t>South Asia</t>
        </is>
      </c>
      <c r="E3450" t="inlineStr">
        <is>
          <t>investment_signal_raw</t>
        </is>
      </c>
      <c r="F3450" t="inlineStr">
        <is>
          <t>Investment signal raw</t>
        </is>
      </c>
      <c r="G3450" t="inlineStr">
        <is>
          <t>creative</t>
        </is>
      </c>
      <c r="H3450" t="inlineStr">
        <is>
          <t>yes</t>
        </is>
      </c>
      <c r="I3450" t="inlineStr">
        <is>
          <t>0.72</t>
        </is>
      </c>
      <c r="J3450" t="inlineStr">
        <is>
          <t>world_bank</t>
        </is>
      </c>
      <c r="K3450" t="inlineStr">
        <is>
          <t>https://api.worldbank.org/v2/country/PAK/indicator/BX.KLT.DINV.WD.GD.ZS?format=json&amp;mrv=10</t>
        </is>
      </c>
      <c r="L3450" t="inlineStr">
        <is>
          <t>World Bank WDI: Foreign direct investment, net inflows (% of GDP)</t>
        </is>
      </c>
      <c r="M3450" t="inlineStr">
        <is>
          <t>2024-12-31</t>
        </is>
      </c>
      <c r="N3450" t="inlineStr">
        <is>
          <t>auto_ingest=world_bank_creative_extended; indicator=BX.KLT.DINV.WD.GD.ZS; year=2024; country_proxy=Pakistan</t>
        </is>
      </c>
    </row>
    <row r="3451">
      <c r="A3451" t="inlineStr">
        <is>
          <t>pk-islamabad</t>
        </is>
      </c>
      <c r="B3451" t="inlineStr">
        <is>
          <t>Islamabad</t>
        </is>
      </c>
      <c r="C3451" t="inlineStr">
        <is>
          <t>Pakistan</t>
        </is>
      </c>
      <c r="D3451" t="inlineStr">
        <is>
          <t>South Asia</t>
        </is>
      </c>
      <c r="E3451" t="inlineStr">
        <is>
          <t>administrative_investment_friction_raw</t>
        </is>
      </c>
      <c r="F3451" t="inlineStr">
        <is>
          <t>Administrative investment friction raw</t>
        </is>
      </c>
      <c r="G3451" t="inlineStr">
        <is>
          <t>creative</t>
        </is>
      </c>
      <c r="H3451" t="inlineStr">
        <is>
          <t>yes</t>
        </is>
      </c>
      <c r="I3451" t="inlineStr">
        <is>
          <t>3.4</t>
        </is>
      </c>
      <c r="J3451" t="inlineStr">
        <is>
          <t>world_bank</t>
        </is>
      </c>
      <c r="K3451" t="inlineStr">
        <is>
          <t>https://api.worldbank.org/v2/country/PAK/indicator/RQ.EST?format=json&amp;mrv=10</t>
        </is>
      </c>
      <c r="L3451" t="inlineStr">
        <is>
          <t>World Bank WGI: Regulatory Quality (inverted as friction proxy)</t>
        </is>
      </c>
      <c r="M3451" t="inlineStr">
        <is>
          <t>2023-12-31</t>
        </is>
      </c>
      <c r="N3451" t="inlineStr">
        <is>
          <t>auto_ingest=world_bank_business_friction; indicator=RQ.EST; raw_rq=-0.901008188724518; friction=3.4; year=2023; country_proxy=Pakistan</t>
        </is>
      </c>
    </row>
    <row r="3452">
      <c r="A3452" t="inlineStr">
        <is>
          <t>pk-islamabad</t>
        </is>
      </c>
      <c r="B3452" t="inlineStr">
        <is>
          <t>Islamabad</t>
        </is>
      </c>
      <c r="C3452" t="inlineStr">
        <is>
          <t>Pakistan</t>
        </is>
      </c>
      <c r="D3452" t="inlineStr">
        <is>
          <t>South Asia</t>
        </is>
      </c>
      <c r="E3452" t="inlineStr">
        <is>
          <t>visitor_flow_context_raw</t>
        </is>
      </c>
      <c r="F3452" t="inlineStr">
        <is>
          <t>Visitor flow context raw</t>
        </is>
      </c>
      <c r="G3452" t="inlineStr">
        <is>
          <t>creative</t>
        </is>
      </c>
      <c r="H3452" t="inlineStr">
        <is>
          <t>no</t>
        </is>
      </c>
      <c r="I3452" t="inlineStr"/>
      <c r="J3452" t="inlineStr"/>
      <c r="K3452" t="inlineStr"/>
      <c r="L3452" t="inlineStr"/>
      <c r="M3452" t="inlineStr"/>
      <c r="N3452" t="inlineStr"/>
    </row>
    <row r="3453">
      <c r="A3453" t="inlineStr">
        <is>
          <t>lk-kandy</t>
        </is>
      </c>
      <c r="B3453" t="inlineStr">
        <is>
          <t>Kandy</t>
        </is>
      </c>
      <c r="C3453" t="inlineStr">
        <is>
          <t>Sri Lanka</t>
        </is>
      </c>
      <c r="D3453" t="inlineStr">
        <is>
          <t>South Asia</t>
        </is>
      </c>
      <c r="E3453" t="inlineStr">
        <is>
          <t>gross_income</t>
        </is>
      </c>
      <c r="F3453" t="inlineStr">
        <is>
          <t>Gross income</t>
        </is>
      </c>
      <c r="G3453" t="inlineStr">
        <is>
          <t>pressure</t>
        </is>
      </c>
      <c r="H3453" t="inlineStr">
        <is>
          <t>yes</t>
        </is>
      </c>
      <c r="I3453" t="inlineStr">
        <is>
          <t>1270.0</t>
        </is>
      </c>
      <c r="J3453" t="inlineStr">
        <is>
          <t>world_bank_col_estimate</t>
        </is>
      </c>
      <c r="K3453" t="inlineStr">
        <is>
          <t>https://api.worldbank.org/v2/country/LKA/indicator/NY.GNP.PCAP.PP.CD?format=json&amp;mrv=10</t>
        </is>
      </c>
      <c r="L3453" t="inlineStr">
        <is>
          <t>World Bank WDI: GNI per capita PPP (monthly USD)</t>
        </is>
      </c>
      <c r="M3453" t="inlineStr">
        <is>
          <t>2024-12-31</t>
        </is>
      </c>
      <c r="N3453" t="inlineStr">
        <is>
          <t>auto_ingest=world_bank_col_estimate; gni_annual=15240.0; year=2024; country_proxy=Sri Lanka; cohort=South Asia</t>
        </is>
      </c>
    </row>
    <row r="3454">
      <c r="A3454" t="inlineStr">
        <is>
          <t>lk-kandy</t>
        </is>
      </c>
      <c r="B3454" t="inlineStr">
        <is>
          <t>Kandy</t>
        </is>
      </c>
      <c r="C3454" t="inlineStr">
        <is>
          <t>Sri Lanka</t>
        </is>
      </c>
      <c r="D3454" t="inlineStr">
        <is>
          <t>South Asia</t>
        </is>
      </c>
      <c r="E3454" t="inlineStr">
        <is>
          <t>di_ppp_raw</t>
        </is>
      </c>
      <c r="F3454" t="inlineStr">
        <is>
          <t>Disposable income PPP (Raw)</t>
        </is>
      </c>
      <c r="G3454" t="inlineStr">
        <is>
          <t>pressure</t>
        </is>
      </c>
      <c r="H3454" t="inlineStr">
        <is>
          <t>yes</t>
        </is>
      </c>
      <c r="I3454" t="inlineStr"/>
      <c r="J3454" t="inlineStr"/>
      <c r="K3454" t="inlineStr"/>
      <c r="L3454" t="inlineStr"/>
      <c r="M3454" t="inlineStr"/>
      <c r="N3454" t="inlineStr"/>
    </row>
    <row r="3455">
      <c r="A3455" t="inlineStr">
        <is>
          <t>lk-kandy</t>
        </is>
      </c>
      <c r="B3455" t="inlineStr">
        <is>
          <t>Kandy</t>
        </is>
      </c>
      <c r="C3455" t="inlineStr">
        <is>
          <t>Sri Lanka</t>
        </is>
      </c>
      <c r="D3455" t="inlineStr">
        <is>
          <t>South Asia</t>
        </is>
      </c>
      <c r="E3455" t="inlineStr">
        <is>
          <t>rent</t>
        </is>
      </c>
      <c r="F3455" t="inlineStr">
        <is>
          <t>Rent</t>
        </is>
      </c>
      <c r="G3455" t="inlineStr">
        <is>
          <t>pressure</t>
        </is>
      </c>
      <c r="H3455" t="inlineStr">
        <is>
          <t>yes</t>
        </is>
      </c>
      <c r="I3455" t="inlineStr">
        <is>
          <t>152.4</t>
        </is>
      </c>
      <c r="J3455" t="inlineStr">
        <is>
          <t>world_bank_col_estimate</t>
        </is>
      </c>
      <c r="K3455" t="inlineStr">
        <is>
          <t>https://api.worldbank.org/v2/country/LKA/indicator/NY.GNP.PCAP.PP.CD?format=json&amp;mrv=10</t>
        </is>
      </c>
      <c r="L3455" t="inlineStr">
        <is>
          <t>World Bank GNI + regional expenditure ratio estimate</t>
        </is>
      </c>
      <c r="M3455" t="inlineStr">
        <is>
          <t>2024-12-31</t>
        </is>
      </c>
      <c r="N3455" t="inlineStr">
        <is>
          <t>auto_ingest=world_bank_col_estimate; gni_annual=15240.0; year=2024; country_proxy=Sri Lanka; cohort=South Asia; city_cost_mult=0.8</t>
        </is>
      </c>
    </row>
    <row r="3456">
      <c r="A3456" t="inlineStr">
        <is>
          <t>lk-kandy</t>
        </is>
      </c>
      <c r="B3456" t="inlineStr">
        <is>
          <t>Kandy</t>
        </is>
      </c>
      <c r="C3456" t="inlineStr">
        <is>
          <t>Sri Lanka</t>
        </is>
      </c>
      <c r="D3456" t="inlineStr">
        <is>
          <t>South Asia</t>
        </is>
      </c>
      <c r="E3456" t="inlineStr">
        <is>
          <t>utilities</t>
        </is>
      </c>
      <c r="F3456" t="inlineStr">
        <is>
          <t>Utilities</t>
        </is>
      </c>
      <c r="G3456" t="inlineStr">
        <is>
          <t>pressure</t>
        </is>
      </c>
      <c r="H3456" t="inlineStr">
        <is>
          <t>yes</t>
        </is>
      </c>
      <c r="I3456" t="inlineStr">
        <is>
          <t>50.8</t>
        </is>
      </c>
      <c r="J3456" t="inlineStr">
        <is>
          <t>world_bank_col_estimate</t>
        </is>
      </c>
      <c r="K3456" t="inlineStr">
        <is>
          <t>https://api.worldbank.org/v2/country/LKA/indicator/NY.GNP.PCAP.PP.CD?format=json&amp;mrv=10</t>
        </is>
      </c>
      <c r="L3456" t="inlineStr">
        <is>
          <t>World Bank GNI + regional expenditure ratio estimate</t>
        </is>
      </c>
      <c r="M3456" t="inlineStr">
        <is>
          <t>2024-12-31</t>
        </is>
      </c>
      <c r="N3456" t="inlineStr">
        <is>
          <t>auto_ingest=world_bank_col_estimate; gni_annual=15240.0; year=2024; country_proxy=Sri Lanka; cohort=South Asia; city_cost_mult=0.8</t>
        </is>
      </c>
    </row>
    <row r="3457">
      <c r="A3457" t="inlineStr">
        <is>
          <t>lk-kandy</t>
        </is>
      </c>
      <c r="B3457" t="inlineStr">
        <is>
          <t>Kandy</t>
        </is>
      </c>
      <c r="C3457" t="inlineStr">
        <is>
          <t>Sri Lanka</t>
        </is>
      </c>
      <c r="D3457" t="inlineStr">
        <is>
          <t>South Asia</t>
        </is>
      </c>
      <c r="E3457" t="inlineStr">
        <is>
          <t>transit_cost</t>
        </is>
      </c>
      <c r="F3457" t="inlineStr">
        <is>
          <t>Transit cost</t>
        </is>
      </c>
      <c r="G3457" t="inlineStr">
        <is>
          <t>pressure</t>
        </is>
      </c>
      <c r="H3457" t="inlineStr">
        <is>
          <t>yes</t>
        </is>
      </c>
      <c r="I3457" t="inlineStr">
        <is>
          <t>30.48</t>
        </is>
      </c>
      <c r="J3457" t="inlineStr">
        <is>
          <t>world_bank_col_estimate</t>
        </is>
      </c>
      <c r="K3457" t="inlineStr">
        <is>
          <t>https://api.worldbank.org/v2/country/LKA/indicator/NY.GNP.PCAP.PP.CD?format=json&amp;mrv=10</t>
        </is>
      </c>
      <c r="L3457" t="inlineStr">
        <is>
          <t>World Bank GNI + regional expenditure ratio estimate</t>
        </is>
      </c>
      <c r="M3457" t="inlineStr">
        <is>
          <t>2024-12-31</t>
        </is>
      </c>
      <c r="N3457" t="inlineStr">
        <is>
          <t>auto_ingest=world_bank_col_estimate; gni_annual=15240.0; year=2024; country_proxy=Sri Lanka; cohort=South Asia; city_cost_mult=0.8</t>
        </is>
      </c>
    </row>
    <row r="3458">
      <c r="A3458" t="inlineStr">
        <is>
          <t>lk-kandy</t>
        </is>
      </c>
      <c r="B3458" t="inlineStr">
        <is>
          <t>Kandy</t>
        </is>
      </c>
      <c r="C3458" t="inlineStr">
        <is>
          <t>Sri Lanka</t>
        </is>
      </c>
      <c r="D3458" t="inlineStr">
        <is>
          <t>South Asia</t>
        </is>
      </c>
      <c r="E3458" t="inlineStr">
        <is>
          <t>internet_cost</t>
        </is>
      </c>
      <c r="F3458" t="inlineStr">
        <is>
          <t>Internet cost</t>
        </is>
      </c>
      <c r="G3458" t="inlineStr">
        <is>
          <t>pressure</t>
        </is>
      </c>
      <c r="H3458" t="inlineStr">
        <is>
          <t>yes</t>
        </is>
      </c>
      <c r="I3458" t="inlineStr">
        <is>
          <t>10.16</t>
        </is>
      </c>
      <c r="J3458" t="inlineStr">
        <is>
          <t>world_bank_col_estimate</t>
        </is>
      </c>
      <c r="K3458" t="inlineStr">
        <is>
          <t>https://api.worldbank.org/v2/country/LKA/indicator/NY.GNP.PCAP.PP.CD?format=json&amp;mrv=10</t>
        </is>
      </c>
      <c r="L3458" t="inlineStr">
        <is>
          <t>World Bank GNI + regional expenditure ratio estimate</t>
        </is>
      </c>
      <c r="M3458" t="inlineStr">
        <is>
          <t>2024-12-31</t>
        </is>
      </c>
      <c r="N3458" t="inlineStr">
        <is>
          <t>auto_ingest=world_bank_col_estimate; gni_annual=15240.0; year=2024; country_proxy=Sri Lanka; cohort=South Asia; city_cost_mult=0.8</t>
        </is>
      </c>
    </row>
    <row r="3459">
      <c r="A3459" t="inlineStr">
        <is>
          <t>lk-kandy</t>
        </is>
      </c>
      <c r="B3459" t="inlineStr">
        <is>
          <t>Kandy</t>
        </is>
      </c>
      <c r="C3459" t="inlineStr">
        <is>
          <t>Sri Lanka</t>
        </is>
      </c>
      <c r="D3459" t="inlineStr">
        <is>
          <t>South Asia</t>
        </is>
      </c>
      <c r="E3459" t="inlineStr">
        <is>
          <t>food_cost</t>
        </is>
      </c>
      <c r="F3459" t="inlineStr">
        <is>
          <t>Food cost</t>
        </is>
      </c>
      <c r="G3459" t="inlineStr">
        <is>
          <t>pressure</t>
        </is>
      </c>
      <c r="H3459" t="inlineStr">
        <is>
          <t>yes</t>
        </is>
      </c>
      <c r="I3459" t="inlineStr">
        <is>
          <t>254.0</t>
        </is>
      </c>
      <c r="J3459" t="inlineStr">
        <is>
          <t>world_bank_col_estimate</t>
        </is>
      </c>
      <c r="K3459" t="inlineStr">
        <is>
          <t>https://api.worldbank.org/v2/country/LKA/indicator/NY.GNP.PCAP.PP.CD?format=json&amp;mrv=10</t>
        </is>
      </c>
      <c r="L3459" t="inlineStr">
        <is>
          <t>World Bank GNI + regional expenditure ratio estimate</t>
        </is>
      </c>
      <c r="M3459" t="inlineStr">
        <is>
          <t>2024-12-31</t>
        </is>
      </c>
      <c r="N3459" t="inlineStr">
        <is>
          <t>auto_ingest=world_bank_col_estimate; gni_annual=15240.0; year=2024; country_proxy=Sri Lanka; cohort=South Asia; city_cost_mult=0.8</t>
        </is>
      </c>
    </row>
    <row r="3460">
      <c r="A3460" t="inlineStr">
        <is>
          <t>lk-kandy</t>
        </is>
      </c>
      <c r="B3460" t="inlineStr">
        <is>
          <t>Kandy</t>
        </is>
      </c>
      <c r="C3460" t="inlineStr">
        <is>
          <t>Sri Lanka</t>
        </is>
      </c>
      <c r="D3460" t="inlineStr">
        <is>
          <t>South Asia</t>
        </is>
      </c>
      <c r="E3460" t="inlineStr">
        <is>
          <t>housing_burden_raw</t>
        </is>
      </c>
      <c r="F3460" t="inlineStr">
        <is>
          <t>Housing burden raw</t>
        </is>
      </c>
      <c r="G3460" t="inlineStr">
        <is>
          <t>pressure</t>
        </is>
      </c>
      <c r="H3460" t="inlineStr">
        <is>
          <t>yes</t>
        </is>
      </c>
      <c r="I3460" t="inlineStr">
        <is>
          <t>12.0</t>
        </is>
      </c>
      <c r="J3460" t="inlineStr">
        <is>
          <t>derived</t>
        </is>
      </c>
      <c r="K3460" t="inlineStr">
        <is>
          <t>https://data.worldbank.org/indicator/NY.GNP.PCAP.PP.CD</t>
        </is>
      </c>
      <c r="L3460" t="inlineStr">
        <is>
          <t>Computed from city_inputs + country_context</t>
        </is>
      </c>
      <c r="M3460" t="inlineStr">
        <is>
          <t>2024-01-01</t>
        </is>
      </c>
      <c r="N3460" t="inlineStr">
        <is>
          <t>derived=rent/gross_income*100</t>
        </is>
      </c>
    </row>
    <row r="3461">
      <c r="A3461" t="inlineStr">
        <is>
          <t>lk-kandy</t>
        </is>
      </c>
      <c r="B3461" t="inlineStr">
        <is>
          <t>Kandy</t>
        </is>
      </c>
      <c r="C3461" t="inlineStr">
        <is>
          <t>Sri Lanka</t>
        </is>
      </c>
      <c r="D3461" t="inlineStr">
        <is>
          <t>South Asia</t>
        </is>
      </c>
      <c r="E3461" t="inlineStr">
        <is>
          <t>household_debt_burden_raw</t>
        </is>
      </c>
      <c r="F3461" t="inlineStr">
        <is>
          <t>Household debt burden raw</t>
        </is>
      </c>
      <c r="G3461" t="inlineStr">
        <is>
          <t>pressure</t>
        </is>
      </c>
      <c r="H3461" t="inlineStr">
        <is>
          <t>yes</t>
        </is>
      </c>
      <c r="I3461" t="inlineStr">
        <is>
          <t>46.8716</t>
        </is>
      </c>
      <c r="J3461" t="inlineStr">
        <is>
          <t>derived</t>
        </is>
      </c>
      <c r="K3461" t="inlineStr">
        <is>
          <t>https://data.worldbank.org/indicator/NY.GNP.PCAP.PP.CD</t>
        </is>
      </c>
      <c r="L3461" t="inlineStr">
        <is>
          <t>Computed from city_inputs + country_context</t>
        </is>
      </c>
      <c r="M3461" t="inlineStr">
        <is>
          <t>2024-01-01</t>
        </is>
      </c>
      <c r="N3461" t="inlineStr">
        <is>
          <t>derived=country_context.household_debt_proxy; country=Sri Lanka</t>
        </is>
      </c>
    </row>
    <row r="3462">
      <c r="A3462" t="inlineStr">
        <is>
          <t>lk-kandy</t>
        </is>
      </c>
      <c r="B3462" t="inlineStr">
        <is>
          <t>Kandy</t>
        </is>
      </c>
      <c r="C3462" t="inlineStr">
        <is>
          <t>Sri Lanka</t>
        </is>
      </c>
      <c r="D3462" t="inlineStr">
        <is>
          <t>South Asia</t>
        </is>
      </c>
      <c r="E3462" t="inlineStr">
        <is>
          <t>working_time_pressure_raw</t>
        </is>
      </c>
      <c r="F3462" t="inlineStr">
        <is>
          <t>Working time pressure raw</t>
        </is>
      </c>
      <c r="G3462" t="inlineStr">
        <is>
          <t>pressure</t>
        </is>
      </c>
      <c r="H3462" t="inlineStr">
        <is>
          <t>yes</t>
        </is>
      </c>
      <c r="I3462" t="inlineStr">
        <is>
          <t>41.72</t>
        </is>
      </c>
      <c r="J3462" t="inlineStr">
        <is>
          <t>ilo_ilostat</t>
        </is>
      </c>
      <c r="K3462" t="inlineStr">
        <is>
          <t>https://ilostat.ilo.org/data/indicator/?id=HOW_TEMP_SEX_ECO_NB_A&amp;ref_area=LKA</t>
        </is>
      </c>
      <c r="L3462" t="inlineStr">
        <is>
          <t>ILO ILOSTAT: Mean weekly hours actually worked per employed person</t>
        </is>
      </c>
      <c r="M3462" t="inlineStr">
        <is>
          <t>2023-12-31</t>
        </is>
      </c>
      <c r="N3462" t="inlineStr">
        <is>
          <t>auto_ingest=ilo_working_hours; indicator=HOW_TEMP_SEX_ECO_NB_A; year=2023; hours=41.72; country_proxy=Sri Lanka</t>
        </is>
      </c>
    </row>
    <row r="3463">
      <c r="A3463" t="inlineStr">
        <is>
          <t>lk-kandy</t>
        </is>
      </c>
      <c r="B3463" t="inlineStr">
        <is>
          <t>Kandy</t>
        </is>
      </c>
      <c r="C3463" t="inlineStr">
        <is>
          <t>Sri Lanka</t>
        </is>
      </c>
      <c r="D3463" t="inlineStr">
        <is>
          <t>South Asia</t>
        </is>
      </c>
      <c r="E3463" t="inlineStr">
        <is>
          <t>suicide_mental_strain_raw</t>
        </is>
      </c>
      <c r="F3463" t="inlineStr">
        <is>
          <t>Suicide or mental strain raw</t>
        </is>
      </c>
      <c r="G3463" t="inlineStr">
        <is>
          <t>pressure</t>
        </is>
      </c>
      <c r="H3463" t="inlineStr">
        <is>
          <t>yes</t>
        </is>
      </c>
      <c r="I3463" t="inlineStr">
        <is>
          <t>14.74</t>
        </is>
      </c>
      <c r="J3463" t="inlineStr">
        <is>
          <t>who_gho</t>
        </is>
      </c>
      <c r="K3463" t="inlineStr">
        <is>
          <t>https://www.who.int/data/gho/data/indicators/indicator-details/GHO/SDGSUICIDE</t>
        </is>
      </c>
      <c r="L3463" t="inlineStr">
        <is>
          <t>WHO GHO: Age-standardized suicide rate (per 100,000 population)</t>
        </is>
      </c>
      <c r="M3463" t="inlineStr">
        <is>
          <t>2021-12-31</t>
        </is>
      </c>
      <c r="N3463" t="inlineStr">
        <is>
          <t>auto_ingest=who_gho; indicator=SDGSUICIDE; year=2021; country_proxy=Sri Lanka</t>
        </is>
      </c>
    </row>
    <row r="3464">
      <c r="A3464" t="inlineStr">
        <is>
          <t>lk-kandy</t>
        </is>
      </c>
      <c r="B3464" t="inlineStr">
        <is>
          <t>Kandy</t>
        </is>
      </c>
      <c r="C3464" t="inlineStr">
        <is>
          <t>Sri Lanka</t>
        </is>
      </c>
      <c r="D3464" t="inlineStr">
        <is>
          <t>South Asia</t>
        </is>
      </c>
      <c r="E3464" t="inlineStr">
        <is>
          <t>personal_safety_raw</t>
        </is>
      </c>
      <c r="F3464" t="inlineStr">
        <is>
          <t>Personal safety raw</t>
        </is>
      </c>
      <c r="G3464" t="inlineStr">
        <is>
          <t>viability</t>
        </is>
      </c>
      <c r="H3464" t="inlineStr">
        <is>
          <t>yes</t>
        </is>
      </c>
      <c r="I3464" t="inlineStr">
        <is>
          <t>3.31</t>
        </is>
      </c>
      <c r="J3464" t="inlineStr">
        <is>
          <t>world_bank</t>
        </is>
      </c>
      <c r="K3464" t="inlineStr">
        <is>
          <t>https://api.worldbank.org/v2/country/LKA/indicator/VC.IHR.PSRC.P5?format=json&amp;mrv=10</t>
        </is>
      </c>
      <c r="L3464" t="inlineStr">
        <is>
          <t>UNODC via World Bank WDI: Intentional homicides (per 100,000 people)</t>
        </is>
      </c>
      <c r="M3464" t="inlineStr">
        <is>
          <t>2019-12-31</t>
        </is>
      </c>
      <c r="N3464" t="inlineStr">
        <is>
          <t>auto_ingest=unodc_safety; indicator=VC.IHR.PSRC.P5; year=2019; country_proxy=Sri Lanka</t>
        </is>
      </c>
    </row>
    <row r="3465">
      <c r="A3465" t="inlineStr">
        <is>
          <t>lk-kandy</t>
        </is>
      </c>
      <c r="B3465" t="inlineStr">
        <is>
          <t>Kandy</t>
        </is>
      </c>
      <c r="C3465" t="inlineStr">
        <is>
          <t>Sri Lanka</t>
        </is>
      </c>
      <c r="D3465" t="inlineStr">
        <is>
          <t>South Asia</t>
        </is>
      </c>
      <c r="E3465" t="inlineStr">
        <is>
          <t>transit_access_commute_raw</t>
        </is>
      </c>
      <c r="F3465" t="inlineStr">
        <is>
          <t>Transit access and commute raw</t>
        </is>
      </c>
      <c r="G3465" t="inlineStr">
        <is>
          <t>viability</t>
        </is>
      </c>
      <c r="H3465" t="inlineStr">
        <is>
          <t>yes</t>
        </is>
      </c>
      <c r="I3465" t="inlineStr"/>
      <c r="J3465" t="inlineStr"/>
      <c r="K3465" t="inlineStr"/>
      <c r="L3465" t="inlineStr"/>
      <c r="M3465" t="inlineStr"/>
      <c r="N3465" t="inlineStr"/>
    </row>
    <row r="3466">
      <c r="A3466" t="inlineStr">
        <is>
          <t>lk-kandy</t>
        </is>
      </c>
      <c r="B3466" t="inlineStr">
        <is>
          <t>Kandy</t>
        </is>
      </c>
      <c r="C3466" t="inlineStr">
        <is>
          <t>Sri Lanka</t>
        </is>
      </c>
      <c r="D3466" t="inlineStr">
        <is>
          <t>South Asia</t>
        </is>
      </c>
      <c r="E3466" t="inlineStr">
        <is>
          <t>clean_air_raw</t>
        </is>
      </c>
      <c r="F3466" t="inlineStr">
        <is>
          <t>Clean air raw</t>
        </is>
      </c>
      <c r="G3466" t="inlineStr">
        <is>
          <t>viability</t>
        </is>
      </c>
      <c r="H3466" t="inlineStr">
        <is>
          <t>yes</t>
        </is>
      </c>
      <c r="I3466" t="inlineStr"/>
      <c r="J3466" t="inlineStr"/>
      <c r="K3466" t="inlineStr"/>
      <c r="L3466" t="inlineStr"/>
      <c r="M3466" t="inlineStr"/>
      <c r="N3466" t="inlineStr"/>
    </row>
    <row r="3467">
      <c r="A3467" t="inlineStr">
        <is>
          <t>lk-kandy</t>
        </is>
      </c>
      <c r="B3467" t="inlineStr">
        <is>
          <t>Kandy</t>
        </is>
      </c>
      <c r="C3467" t="inlineStr">
        <is>
          <t>Sri Lanka</t>
        </is>
      </c>
      <c r="D3467" t="inlineStr">
        <is>
          <t>South Asia</t>
        </is>
      </c>
      <c r="E3467" t="inlineStr">
        <is>
          <t>water_sanitation_utility_raw</t>
        </is>
      </c>
      <c r="F3467" t="inlineStr">
        <is>
          <t>Water, sanitation, and utility raw</t>
        </is>
      </c>
      <c r="G3467" t="inlineStr">
        <is>
          <t>viability</t>
        </is>
      </c>
      <c r="H3467" t="inlineStr">
        <is>
          <t>yes</t>
        </is>
      </c>
      <c r="I3467" t="inlineStr">
        <is>
          <t>46.93</t>
        </is>
      </c>
      <c r="J3467" t="inlineStr">
        <is>
          <t>world_bank</t>
        </is>
      </c>
      <c r="K3467" t="inlineStr">
        <is>
          <t>https://api.worldbank.org/v2/country/LKA/indicator/SH.H2O.SMDW.ZS?format=json&amp;mrv=10</t>
        </is>
      </c>
      <c r="L3467" t="inlineStr">
        <is>
          <t>World Bank WDI: People using safely managed drinking water services (% of population)</t>
        </is>
      </c>
      <c r="M3467" t="inlineStr">
        <is>
          <t>2024-12-31</t>
        </is>
      </c>
      <c r="N3467" t="inlineStr">
        <is>
          <t>auto_ingest=world_bank_proxy; indicator=SH.H2O.SMDW.ZS; year=2024; country_proxy=Sri Lanka</t>
        </is>
      </c>
    </row>
    <row r="3468">
      <c r="A3468" t="inlineStr">
        <is>
          <t>lk-kandy</t>
        </is>
      </c>
      <c r="B3468" t="inlineStr">
        <is>
          <t>Kandy</t>
        </is>
      </c>
      <c r="C3468" t="inlineStr">
        <is>
          <t>Sri Lanka</t>
        </is>
      </c>
      <c r="D3468" t="inlineStr">
        <is>
          <t>South Asia</t>
        </is>
      </c>
      <c r="E3468" t="inlineStr">
        <is>
          <t>digital_infrastructure_raw</t>
        </is>
      </c>
      <c r="F3468" t="inlineStr">
        <is>
          <t>Digital infrastructure raw</t>
        </is>
      </c>
      <c r="G3468" t="inlineStr">
        <is>
          <t>viability</t>
        </is>
      </c>
      <c r="H3468" t="inlineStr">
        <is>
          <t>yes</t>
        </is>
      </c>
      <c r="I3468" t="inlineStr">
        <is>
          <t>8.77</t>
        </is>
      </c>
      <c r="J3468" t="inlineStr">
        <is>
          <t>world_bank</t>
        </is>
      </c>
      <c r="K3468" t="inlineStr">
        <is>
          <t>https://api.worldbank.org/v2/country/LKA/indicator/IT.NET.BBND.P2?format=json&amp;mrv=10</t>
        </is>
      </c>
      <c r="L3468" t="inlineStr">
        <is>
          <t>World Bank WDI: Fixed broadband subscriptions (per 100 people)</t>
        </is>
      </c>
      <c r="M3468" t="inlineStr">
        <is>
          <t>2023-12-31</t>
        </is>
      </c>
      <c r="N3468" t="inlineStr">
        <is>
          <t>auto_ingest=world_bank_proxy; indicator=IT.NET.BBND.P2; year=2023; country_proxy=Sri Lanka</t>
        </is>
      </c>
    </row>
    <row r="3469">
      <c r="A3469" t="inlineStr">
        <is>
          <t>lk-kandy</t>
        </is>
      </c>
      <c r="B3469" t="inlineStr">
        <is>
          <t>Kandy</t>
        </is>
      </c>
      <c r="C3469" t="inlineStr">
        <is>
          <t>Sri Lanka</t>
        </is>
      </c>
      <c r="D3469" t="inlineStr">
        <is>
          <t>South Asia</t>
        </is>
      </c>
      <c r="E3469" t="inlineStr">
        <is>
          <t>climate_sunlight_livability_raw</t>
        </is>
      </c>
      <c r="F3469" t="inlineStr">
        <is>
          <t>Climate and sunlight livability raw</t>
        </is>
      </c>
      <c r="G3469" t="inlineStr">
        <is>
          <t>viability</t>
        </is>
      </c>
      <c r="H3469" t="inlineStr">
        <is>
          <t>yes</t>
        </is>
      </c>
      <c r="I3469" t="inlineStr"/>
      <c r="J3469" t="inlineStr"/>
      <c r="K3469" t="inlineStr"/>
      <c r="L3469" t="inlineStr"/>
      <c r="M3469" t="inlineStr"/>
      <c r="N3469" t="inlineStr"/>
    </row>
    <row r="3470">
      <c r="A3470" t="inlineStr">
        <is>
          <t>lk-kandy</t>
        </is>
      </c>
      <c r="B3470" t="inlineStr">
        <is>
          <t>Kandy</t>
        </is>
      </c>
      <c r="C3470" t="inlineStr">
        <is>
          <t>Sri Lanka</t>
        </is>
      </c>
      <c r="D3470" t="inlineStr">
        <is>
          <t>South Asia</t>
        </is>
      </c>
      <c r="E3470" t="inlineStr">
        <is>
          <t>healthcare_quality_raw</t>
        </is>
      </c>
      <c r="F3470" t="inlineStr">
        <is>
          <t>Healthcare quality raw</t>
        </is>
      </c>
      <c r="G3470" t="inlineStr">
        <is>
          <t>capability</t>
        </is>
      </c>
      <c r="H3470" t="inlineStr">
        <is>
          <t>yes</t>
        </is>
      </c>
      <c r="I3470" t="inlineStr">
        <is>
          <t>72.0</t>
        </is>
      </c>
      <c r="J3470" t="inlineStr">
        <is>
          <t>who_gho</t>
        </is>
      </c>
      <c r="K3470" t="inlineStr">
        <is>
          <t>https://www.who.int/data/gho/data/indicators/indicator-details/GHO/UHC_INDEX_REPORTED</t>
        </is>
      </c>
      <c r="L3470" t="inlineStr">
        <is>
          <t>WHO GHO: UHC Service Coverage Index</t>
        </is>
      </c>
      <c r="M3470" t="inlineStr">
        <is>
          <t>2023-12-31</t>
        </is>
      </c>
      <c r="N3470" t="inlineStr">
        <is>
          <t>auto_ingest=who_gho; indicator=UHC_INDEX_REPORTED; year=2023; country_proxy=Sri Lanka</t>
        </is>
      </c>
    </row>
    <row r="3471">
      <c r="A3471" t="inlineStr">
        <is>
          <t>lk-kandy</t>
        </is>
      </c>
      <c r="B3471" t="inlineStr">
        <is>
          <t>Kandy</t>
        </is>
      </c>
      <c r="C3471" t="inlineStr">
        <is>
          <t>Sri Lanka</t>
        </is>
      </c>
      <c r="D3471" t="inlineStr">
        <is>
          <t>South Asia</t>
        </is>
      </c>
      <c r="E3471" t="inlineStr">
        <is>
          <t>education_quality_raw</t>
        </is>
      </c>
      <c r="F3471" t="inlineStr">
        <is>
          <t>Education quality raw</t>
        </is>
      </c>
      <c r="G3471" t="inlineStr">
        <is>
          <t>capability</t>
        </is>
      </c>
      <c r="H3471" t="inlineStr">
        <is>
          <t>yes</t>
        </is>
      </c>
      <c r="I3471" t="inlineStr">
        <is>
          <t>20.74</t>
        </is>
      </c>
      <c r="J3471" t="inlineStr">
        <is>
          <t>world_bank</t>
        </is>
      </c>
      <c r="K3471" t="inlineStr">
        <is>
          <t>https://api.worldbank.org/v2/country/LKA/indicator/SE.TER.ENRR?format=json&amp;mrv=10</t>
        </is>
      </c>
      <c r="L3471" t="inlineStr">
        <is>
          <t>World Bank WDI: School enrollment, tertiary (% gross)</t>
        </is>
      </c>
      <c r="M3471" t="inlineStr">
        <is>
          <t>2023-12-31</t>
        </is>
      </c>
      <c r="N3471" t="inlineStr">
        <is>
          <t>auto_ingest=world_bank_proxy; indicator=SE.TER.ENRR; year=2023; country_proxy=Sri Lanka</t>
        </is>
      </c>
    </row>
    <row r="3472">
      <c r="A3472" t="inlineStr">
        <is>
          <t>lk-kandy</t>
        </is>
      </c>
      <c r="B3472" t="inlineStr">
        <is>
          <t>Kandy</t>
        </is>
      </c>
      <c r="C3472" t="inlineStr">
        <is>
          <t>Sri Lanka</t>
        </is>
      </c>
      <c r="D3472" t="inlineStr">
        <is>
          <t>South Asia</t>
        </is>
      </c>
      <c r="E3472" t="inlineStr">
        <is>
          <t>equal_opportunity_raw</t>
        </is>
      </c>
      <c r="F3472" t="inlineStr">
        <is>
          <t>Equal opportunity raw</t>
        </is>
      </c>
      <c r="G3472" t="inlineStr">
        <is>
          <t>capability</t>
        </is>
      </c>
      <c r="H3472" t="inlineStr">
        <is>
          <t>yes</t>
        </is>
      </c>
      <c r="I3472" t="inlineStr">
        <is>
          <t>37.7</t>
        </is>
      </c>
      <c r="J3472" t="inlineStr">
        <is>
          <t>world_bank</t>
        </is>
      </c>
      <c r="K3472" t="inlineStr">
        <is>
          <t>https://api.worldbank.org/v2/country/LKA/indicator/SI.POV.GINI?format=json&amp;mrv=10</t>
        </is>
      </c>
      <c r="L3472" t="inlineStr">
        <is>
          <t>World Bank WDI: Gini index</t>
        </is>
      </c>
      <c r="M3472" t="inlineStr">
        <is>
          <t>2019-12-31</t>
        </is>
      </c>
      <c r="N3472" t="inlineStr">
        <is>
          <t>auto_ingest=world_bank_capability; indicator=SI.POV.GINI; year=2019; country_proxy=Sri Lanka</t>
        </is>
      </c>
    </row>
    <row r="3473">
      <c r="A3473" t="inlineStr">
        <is>
          <t>lk-kandy</t>
        </is>
      </c>
      <c r="B3473" t="inlineStr">
        <is>
          <t>Kandy</t>
        </is>
      </c>
      <c r="C3473" t="inlineStr">
        <is>
          <t>Sri Lanka</t>
        </is>
      </c>
      <c r="D3473" t="inlineStr">
        <is>
          <t>South Asia</t>
        </is>
      </c>
      <c r="E3473" t="inlineStr">
        <is>
          <t>hospitality_belonging_raw</t>
        </is>
      </c>
      <c r="F3473" t="inlineStr">
        <is>
          <t>Hospitality and belonging raw</t>
        </is>
      </c>
      <c r="G3473" t="inlineStr">
        <is>
          <t>community</t>
        </is>
      </c>
      <c r="H3473" t="inlineStr">
        <is>
          <t>yes</t>
        </is>
      </c>
      <c r="I3473" t="inlineStr">
        <is>
          <t>48.6</t>
        </is>
      </c>
      <c r="J3473" t="inlineStr">
        <is>
          <t>world_bank</t>
        </is>
      </c>
      <c r="K3473" t="inlineStr">
        <is>
          <t>https://api.worldbank.org/v2/country/LKA/indicator/SM.POP.NETM?format=json&amp;mrv=10</t>
        </is>
      </c>
      <c r="L3473" t="inlineStr">
        <is>
          <t>World Bank WDI: Net migration (proxy for hospitality/belonging — positive = welcoming)</t>
        </is>
      </c>
      <c r="M3473" t="inlineStr">
        <is>
          <t>2025-12-31</t>
        </is>
      </c>
      <c r="N3473" t="inlineStr">
        <is>
          <t>auto_ingest=world_bank_proxy; proxy=net_migration_hospitality; indicator=SM.POP.NETM; year=2025; country_proxy=Sri Lanka</t>
        </is>
      </c>
    </row>
    <row r="3474">
      <c r="A3474" t="inlineStr">
        <is>
          <t>lk-kandy</t>
        </is>
      </c>
      <c r="B3474" t="inlineStr">
        <is>
          <t>Kandy</t>
        </is>
      </c>
      <c r="C3474" t="inlineStr">
        <is>
          <t>Sri Lanka</t>
        </is>
      </c>
      <c r="D3474" t="inlineStr">
        <is>
          <t>South Asia</t>
        </is>
      </c>
      <c r="E3474" t="inlineStr">
        <is>
          <t>tolerance_pluralism_raw</t>
        </is>
      </c>
      <c r="F3474" t="inlineStr">
        <is>
          <t>Tolerance and pluralism raw</t>
        </is>
      </c>
      <c r="G3474" t="inlineStr">
        <is>
          <t>community</t>
        </is>
      </c>
      <c r="H3474" t="inlineStr">
        <is>
          <t>yes</t>
        </is>
      </c>
      <c r="I3474" t="inlineStr">
        <is>
          <t>10.0</t>
        </is>
      </c>
      <c r="J3474" t="inlineStr">
        <is>
          <t>world_bank</t>
        </is>
      </c>
      <c r="K3474" t="inlineStr">
        <is>
          <t>https://api.worldbank.org/v2/country/LKA/indicator/SG.GEN.PARL.ZS?format=json&amp;mrv=10</t>
        </is>
      </c>
      <c r="L3474" t="inlineStr">
        <is>
          <t>World Bank WDI: Proportion of seats held by women in national parliaments (%)</t>
        </is>
      </c>
      <c r="M3474" t="inlineStr">
        <is>
          <t>2024-12-31</t>
        </is>
      </c>
      <c r="N3474" t="inlineStr">
        <is>
          <t>auto_ingest=world_bank_proxy; proxy=gender_parity_parliament; indicator=SG.GEN.PARL.ZS; year=2024; country_proxy=Sri Lanka</t>
        </is>
      </c>
    </row>
    <row r="3475">
      <c r="A3475" t="inlineStr">
        <is>
          <t>lk-kandy</t>
        </is>
      </c>
      <c r="B3475" t="inlineStr">
        <is>
          <t>Kandy</t>
        </is>
      </c>
      <c r="C3475" t="inlineStr">
        <is>
          <t>Sri Lanka</t>
        </is>
      </c>
      <c r="D3475" t="inlineStr">
        <is>
          <t>South Asia</t>
        </is>
      </c>
      <c r="E3475" t="inlineStr">
        <is>
          <t>cultural_public_life_raw</t>
        </is>
      </c>
      <c r="F3475" t="inlineStr">
        <is>
          <t>Cultural public life raw</t>
        </is>
      </c>
      <c r="G3475" t="inlineStr">
        <is>
          <t>community</t>
        </is>
      </c>
      <c r="H3475" t="inlineStr">
        <is>
          <t>yes</t>
        </is>
      </c>
      <c r="I3475" t="inlineStr">
        <is>
          <t>24.64</t>
        </is>
      </c>
      <c r="J3475" t="inlineStr">
        <is>
          <t>world_bank</t>
        </is>
      </c>
      <c r="K3475" t="inlineStr">
        <is>
          <t>https://api.worldbank.org/v2/country/LKA/indicator/ST.INT.ARVL?format=json&amp;mrv=10</t>
        </is>
      </c>
      <c r="L3475" t="inlineStr">
        <is>
          <t>World Bank WDI: International tourism arrivals per 1 000 population</t>
        </is>
      </c>
      <c r="M3475" t="inlineStr">
        <is>
          <t>2020-12-31</t>
        </is>
      </c>
      <c r="N3475" t="inlineStr">
        <is>
          <t>auto_ingest=cultural_life_proxy; indicator=ST.INT.ARVL; norm=per_1000_pop; year=2020; country_proxy=Sri Lanka</t>
        </is>
      </c>
    </row>
    <row r="3476">
      <c r="A3476" t="inlineStr">
        <is>
          <t>lk-kandy</t>
        </is>
      </c>
      <c r="B3476" t="inlineStr">
        <is>
          <t>Kandy</t>
        </is>
      </c>
      <c r="C3476" t="inlineStr">
        <is>
          <t>Sri Lanka</t>
        </is>
      </c>
      <c r="D3476" t="inlineStr">
        <is>
          <t>South Asia</t>
        </is>
      </c>
      <c r="E3476" t="inlineStr">
        <is>
          <t>birth_rate_optimism_raw</t>
        </is>
      </c>
      <c r="F3476" t="inlineStr">
        <is>
          <t>Birth rate and societal optimism raw</t>
        </is>
      </c>
      <c r="G3476" t="inlineStr">
        <is>
          <t>community</t>
        </is>
      </c>
      <c r="H3476" t="inlineStr">
        <is>
          <t>yes</t>
        </is>
      </c>
      <c r="I3476" t="inlineStr">
        <is>
          <t>1.99</t>
        </is>
      </c>
      <c r="J3476" t="inlineStr">
        <is>
          <t>world_bank</t>
        </is>
      </c>
      <c r="K3476" t="inlineStr">
        <is>
          <t>https://data.worldbank.org/indicator/SP.DYN.TFRT.IN</t>
        </is>
      </c>
      <c r="L3476" t="inlineStr">
        <is>
          <t>World Bank Total Fertility Rate 2023</t>
        </is>
      </c>
      <c r="M3476" t="inlineStr">
        <is>
          <t>2024-01-01</t>
        </is>
      </c>
      <c r="N3476" t="inlineStr"/>
    </row>
    <row r="3477">
      <c r="A3477" t="inlineStr">
        <is>
          <t>lk-kandy</t>
        </is>
      </c>
      <c r="B3477" t="inlineStr">
        <is>
          <t>Kandy</t>
        </is>
      </c>
      <c r="C3477" t="inlineStr">
        <is>
          <t>Sri Lanka</t>
        </is>
      </c>
      <c r="D3477" t="inlineStr">
        <is>
          <t>South Asia</t>
        </is>
      </c>
      <c r="E3477" t="inlineStr">
        <is>
          <t>entrepreneurial_dynamism_raw</t>
        </is>
      </c>
      <c r="F3477" t="inlineStr">
        <is>
          <t>Entrepreneurial dynamism raw</t>
        </is>
      </c>
      <c r="G3477" t="inlineStr">
        <is>
          <t>creative</t>
        </is>
      </c>
      <c r="H3477" t="inlineStr">
        <is>
          <t>yes</t>
        </is>
      </c>
      <c r="I3477" t="inlineStr">
        <is>
          <t>1.2</t>
        </is>
      </c>
      <c r="J3477" t="inlineStr">
        <is>
          <t>world_bank</t>
        </is>
      </c>
      <c r="K3477" t="inlineStr">
        <is>
          <t>https://api.worldbank.org/v2/country/LKA/indicator/IC.BUS.NDNS.ZS?format=json&amp;mrv=10</t>
        </is>
      </c>
      <c r="L3477" t="inlineStr">
        <is>
          <t>World Bank WDI: New business density (new registrations per 1,000 people ages 15-64)</t>
        </is>
      </c>
      <c r="M3477" t="inlineStr">
        <is>
          <t>2022-12-31</t>
        </is>
      </c>
      <c r="N3477" t="inlineStr">
        <is>
          <t>auto_ingest=world_bank_creative_extended; indicator=IC.BUS.NDNS.ZS; year=2022; country_proxy=Sri Lanka</t>
        </is>
      </c>
    </row>
    <row r="3478">
      <c r="A3478" t="inlineStr">
        <is>
          <t>lk-kandy</t>
        </is>
      </c>
      <c r="B3478" t="inlineStr">
        <is>
          <t>Kandy</t>
        </is>
      </c>
      <c r="C3478" t="inlineStr">
        <is>
          <t>Sri Lanka</t>
        </is>
      </c>
      <c r="D3478" t="inlineStr">
        <is>
          <t>South Asia</t>
        </is>
      </c>
      <c r="E3478" t="inlineStr">
        <is>
          <t>innovation_research_intensity_raw</t>
        </is>
      </c>
      <c r="F3478" t="inlineStr">
        <is>
          <t>Innovation and research raw</t>
        </is>
      </c>
      <c r="G3478" t="inlineStr">
        <is>
          <t>creative</t>
        </is>
      </c>
      <c r="H3478" t="inlineStr">
        <is>
          <t>yes</t>
        </is>
      </c>
      <c r="I3478" t="inlineStr">
        <is>
          <t>0.11</t>
        </is>
      </c>
      <c r="J3478" t="inlineStr">
        <is>
          <t>world_bank</t>
        </is>
      </c>
      <c r="K3478" t="inlineStr">
        <is>
          <t>https://api.worldbank.org/v2/country/LKA/indicator/GB.XPD.RSDV.GD.ZS?format=json&amp;mrv=10</t>
        </is>
      </c>
      <c r="L3478" t="inlineStr">
        <is>
          <t>World Bank WDI: Research and development expenditure (% of GDP)</t>
        </is>
      </c>
      <c r="M3478" t="inlineStr">
        <is>
          <t>2022-12-31</t>
        </is>
      </c>
      <c r="N3478" t="inlineStr">
        <is>
          <t>auto_ingest=world_bank_creative_extended; indicator=GB.XPD.RSDV.GD.ZS; year=2022; country_proxy=Sri Lanka</t>
        </is>
      </c>
    </row>
    <row r="3479">
      <c r="A3479" t="inlineStr">
        <is>
          <t>lk-kandy</t>
        </is>
      </c>
      <c r="B3479" t="inlineStr">
        <is>
          <t>Kandy</t>
        </is>
      </c>
      <c r="C3479" t="inlineStr">
        <is>
          <t>Sri Lanka</t>
        </is>
      </c>
      <c r="D3479" t="inlineStr">
        <is>
          <t>South Asia</t>
        </is>
      </c>
      <c r="E3479" t="inlineStr">
        <is>
          <t>investment_signal_raw</t>
        </is>
      </c>
      <c r="F3479" t="inlineStr">
        <is>
          <t>Investment signal raw</t>
        </is>
      </c>
      <c r="G3479" t="inlineStr">
        <is>
          <t>creative</t>
        </is>
      </c>
      <c r="H3479" t="inlineStr">
        <is>
          <t>yes</t>
        </is>
      </c>
      <c r="I3479" t="inlineStr">
        <is>
          <t>0.77</t>
        </is>
      </c>
      <c r="J3479" t="inlineStr">
        <is>
          <t>world_bank</t>
        </is>
      </c>
      <c r="K3479" t="inlineStr">
        <is>
          <t>https://api.worldbank.org/v2/country/LKA/indicator/BX.KLT.DINV.WD.GD.ZS?format=json&amp;mrv=10</t>
        </is>
      </c>
      <c r="L3479" t="inlineStr">
        <is>
          <t>World Bank WDI: Foreign direct investment, net inflows (% of GDP)</t>
        </is>
      </c>
      <c r="M3479" t="inlineStr">
        <is>
          <t>2024-12-31</t>
        </is>
      </c>
      <c r="N3479" t="inlineStr">
        <is>
          <t>auto_ingest=world_bank_creative_extended; indicator=BX.KLT.DINV.WD.GD.ZS; year=2024; country_proxy=Sri Lanka</t>
        </is>
      </c>
    </row>
    <row r="3480">
      <c r="A3480" t="inlineStr">
        <is>
          <t>lk-kandy</t>
        </is>
      </c>
      <c r="B3480" t="inlineStr">
        <is>
          <t>Kandy</t>
        </is>
      </c>
      <c r="C3480" t="inlineStr">
        <is>
          <t>Sri Lanka</t>
        </is>
      </c>
      <c r="D3480" t="inlineStr">
        <is>
          <t>South Asia</t>
        </is>
      </c>
      <c r="E3480" t="inlineStr">
        <is>
          <t>administrative_investment_friction_raw</t>
        </is>
      </c>
      <c r="F3480" t="inlineStr">
        <is>
          <t>Administrative investment friction raw</t>
        </is>
      </c>
      <c r="G3480" t="inlineStr">
        <is>
          <t>creative</t>
        </is>
      </c>
      <c r="H3480" t="inlineStr">
        <is>
          <t>yes</t>
        </is>
      </c>
      <c r="I3480" t="inlineStr">
        <is>
          <t>3.01</t>
        </is>
      </c>
      <c r="J3480" t="inlineStr">
        <is>
          <t>world_bank</t>
        </is>
      </c>
      <c r="K3480" t="inlineStr">
        <is>
          <t>https://api.worldbank.org/v2/country/LKA/indicator/RQ.EST?format=json&amp;mrv=10</t>
        </is>
      </c>
      <c r="L3480" t="inlineStr">
        <is>
          <t>World Bank WGI: Regulatory Quality (inverted as friction proxy)</t>
        </is>
      </c>
      <c r="M3480" t="inlineStr">
        <is>
          <t>2023-12-31</t>
        </is>
      </c>
      <c r="N3480" t="inlineStr">
        <is>
          <t>auto_ingest=world_bank_business_friction; indicator=RQ.EST; raw_rq=-0.507761836051941; friction=3.01; year=2023; country_proxy=Sri Lanka</t>
        </is>
      </c>
    </row>
    <row r="3481">
      <c r="A3481" t="inlineStr">
        <is>
          <t>lk-kandy</t>
        </is>
      </c>
      <c r="B3481" t="inlineStr">
        <is>
          <t>Kandy</t>
        </is>
      </c>
      <c r="C3481" t="inlineStr">
        <is>
          <t>Sri Lanka</t>
        </is>
      </c>
      <c r="D3481" t="inlineStr">
        <is>
          <t>South Asia</t>
        </is>
      </c>
      <c r="E3481" t="inlineStr">
        <is>
          <t>visitor_flow_context_raw</t>
        </is>
      </c>
      <c r="F3481" t="inlineStr">
        <is>
          <t>Visitor flow context raw</t>
        </is>
      </c>
      <c r="G3481" t="inlineStr">
        <is>
          <t>creative</t>
        </is>
      </c>
      <c r="H3481" t="inlineStr">
        <is>
          <t>no</t>
        </is>
      </c>
      <c r="I3481" t="inlineStr"/>
      <c r="J3481" t="inlineStr"/>
      <c r="K3481" t="inlineStr"/>
      <c r="L3481" t="inlineStr"/>
      <c r="M3481" t="inlineStr"/>
      <c r="N3481" t="inlineStr"/>
    </row>
    <row r="3482">
      <c r="A3482" t="inlineStr">
        <is>
          <t>np-pokhara</t>
        </is>
      </c>
      <c r="B3482" t="inlineStr">
        <is>
          <t>Pokhara</t>
        </is>
      </c>
      <c r="C3482" t="inlineStr">
        <is>
          <t>Nepal</t>
        </is>
      </c>
      <c r="D3482" t="inlineStr">
        <is>
          <t>South Asia</t>
        </is>
      </c>
      <c r="E3482" t="inlineStr">
        <is>
          <t>gross_income</t>
        </is>
      </c>
      <c r="F3482" t="inlineStr">
        <is>
          <t>Gross income</t>
        </is>
      </c>
      <c r="G3482" t="inlineStr">
        <is>
          <t>pressure</t>
        </is>
      </c>
      <c r="H3482" t="inlineStr">
        <is>
          <t>yes</t>
        </is>
      </c>
      <c r="I3482" t="inlineStr">
        <is>
          <t>485.83</t>
        </is>
      </c>
      <c r="J3482" t="inlineStr">
        <is>
          <t>world_bank_col_estimate</t>
        </is>
      </c>
      <c r="K3482" t="inlineStr">
        <is>
          <t>https://api.worldbank.org/v2/country/NPL/indicator/NY.GNP.PCAP.PP.CD?format=json&amp;mrv=10</t>
        </is>
      </c>
      <c r="L3482" t="inlineStr">
        <is>
          <t>World Bank WDI: GNI per capita PPP (monthly USD)</t>
        </is>
      </c>
      <c r="M3482" t="inlineStr">
        <is>
          <t>2024-12-31</t>
        </is>
      </c>
      <c r="N3482" t="inlineStr">
        <is>
          <t>auto_ingest=world_bank_col_estimate; gni_annual=5830.0; year=2024; country_proxy=Nepal; cohort=South Asia</t>
        </is>
      </c>
    </row>
    <row r="3483">
      <c r="A3483" t="inlineStr">
        <is>
          <t>np-pokhara</t>
        </is>
      </c>
      <c r="B3483" t="inlineStr">
        <is>
          <t>Pokhara</t>
        </is>
      </c>
      <c r="C3483" t="inlineStr">
        <is>
          <t>Nepal</t>
        </is>
      </c>
      <c r="D3483" t="inlineStr">
        <is>
          <t>South Asia</t>
        </is>
      </c>
      <c r="E3483" t="inlineStr">
        <is>
          <t>di_ppp_raw</t>
        </is>
      </c>
      <c r="F3483" t="inlineStr">
        <is>
          <t>Disposable income PPP (Raw)</t>
        </is>
      </c>
      <c r="G3483" t="inlineStr">
        <is>
          <t>pressure</t>
        </is>
      </c>
      <c r="H3483" t="inlineStr">
        <is>
          <t>yes</t>
        </is>
      </c>
      <c r="I3483" t="inlineStr"/>
      <c r="J3483" t="inlineStr"/>
      <c r="K3483" t="inlineStr"/>
      <c r="L3483" t="inlineStr"/>
      <c r="M3483" t="inlineStr"/>
      <c r="N3483" t="inlineStr"/>
    </row>
    <row r="3484">
      <c r="A3484" t="inlineStr">
        <is>
          <t>np-pokhara</t>
        </is>
      </c>
      <c r="B3484" t="inlineStr">
        <is>
          <t>Pokhara</t>
        </is>
      </c>
      <c r="C3484" t="inlineStr">
        <is>
          <t>Nepal</t>
        </is>
      </c>
      <c r="D3484" t="inlineStr">
        <is>
          <t>South Asia</t>
        </is>
      </c>
      <c r="E3484" t="inlineStr">
        <is>
          <t>rent</t>
        </is>
      </c>
      <c r="F3484" t="inlineStr">
        <is>
          <t>Rent</t>
        </is>
      </c>
      <c r="G3484" t="inlineStr">
        <is>
          <t>pressure</t>
        </is>
      </c>
      <c r="H3484" t="inlineStr">
        <is>
          <t>yes</t>
        </is>
      </c>
      <c r="I3484" t="inlineStr">
        <is>
          <t>54.66</t>
        </is>
      </c>
      <c r="J3484" t="inlineStr">
        <is>
          <t>world_bank_col_estimate</t>
        </is>
      </c>
      <c r="K3484" t="inlineStr">
        <is>
          <t>https://api.worldbank.org/v2/country/NPL/indicator/NY.GNP.PCAP.PP.CD?format=json&amp;mrv=10</t>
        </is>
      </c>
      <c r="L3484" t="inlineStr">
        <is>
          <t>World Bank GNI + regional expenditure ratio estimate</t>
        </is>
      </c>
      <c r="M3484" t="inlineStr">
        <is>
          <t>2024-12-31</t>
        </is>
      </c>
      <c r="N3484" t="inlineStr">
        <is>
          <t>auto_ingest=world_bank_col_estimate; gni_annual=5830.0; year=2024; country_proxy=Nepal; cohort=South Asia; city_cost_mult=0.75</t>
        </is>
      </c>
    </row>
    <row r="3485">
      <c r="A3485" t="inlineStr">
        <is>
          <t>np-pokhara</t>
        </is>
      </c>
      <c r="B3485" t="inlineStr">
        <is>
          <t>Pokhara</t>
        </is>
      </c>
      <c r="C3485" t="inlineStr">
        <is>
          <t>Nepal</t>
        </is>
      </c>
      <c r="D3485" t="inlineStr">
        <is>
          <t>South Asia</t>
        </is>
      </c>
      <c r="E3485" t="inlineStr">
        <is>
          <t>utilities</t>
        </is>
      </c>
      <c r="F3485" t="inlineStr">
        <is>
          <t>Utilities</t>
        </is>
      </c>
      <c r="G3485" t="inlineStr">
        <is>
          <t>pressure</t>
        </is>
      </c>
      <c r="H3485" t="inlineStr">
        <is>
          <t>yes</t>
        </is>
      </c>
      <c r="I3485" t="inlineStr">
        <is>
          <t>18.22</t>
        </is>
      </c>
      <c r="J3485" t="inlineStr">
        <is>
          <t>world_bank_col_estimate</t>
        </is>
      </c>
      <c r="K3485" t="inlineStr">
        <is>
          <t>https://api.worldbank.org/v2/country/NPL/indicator/NY.GNP.PCAP.PP.CD?format=json&amp;mrv=10</t>
        </is>
      </c>
      <c r="L3485" t="inlineStr">
        <is>
          <t>World Bank GNI + regional expenditure ratio estimate</t>
        </is>
      </c>
      <c r="M3485" t="inlineStr">
        <is>
          <t>2024-12-31</t>
        </is>
      </c>
      <c r="N3485" t="inlineStr">
        <is>
          <t>auto_ingest=world_bank_col_estimate; gni_annual=5830.0; year=2024; country_proxy=Nepal; cohort=South Asia; city_cost_mult=0.75</t>
        </is>
      </c>
    </row>
    <row r="3486">
      <c r="A3486" t="inlineStr">
        <is>
          <t>np-pokhara</t>
        </is>
      </c>
      <c r="B3486" t="inlineStr">
        <is>
          <t>Pokhara</t>
        </is>
      </c>
      <c r="C3486" t="inlineStr">
        <is>
          <t>Nepal</t>
        </is>
      </c>
      <c r="D3486" t="inlineStr">
        <is>
          <t>South Asia</t>
        </is>
      </c>
      <c r="E3486" t="inlineStr">
        <is>
          <t>transit_cost</t>
        </is>
      </c>
      <c r="F3486" t="inlineStr">
        <is>
          <t>Transit cost</t>
        </is>
      </c>
      <c r="G3486" t="inlineStr">
        <is>
          <t>pressure</t>
        </is>
      </c>
      <c r="H3486" t="inlineStr">
        <is>
          <t>yes</t>
        </is>
      </c>
      <c r="I3486" t="inlineStr">
        <is>
          <t>10.93</t>
        </is>
      </c>
      <c r="J3486" t="inlineStr">
        <is>
          <t>world_bank_col_estimate</t>
        </is>
      </c>
      <c r="K3486" t="inlineStr">
        <is>
          <t>https://api.worldbank.org/v2/country/NPL/indicator/NY.GNP.PCAP.PP.CD?format=json&amp;mrv=10</t>
        </is>
      </c>
      <c r="L3486" t="inlineStr">
        <is>
          <t>World Bank GNI + regional expenditure ratio estimate</t>
        </is>
      </c>
      <c r="M3486" t="inlineStr">
        <is>
          <t>2024-12-31</t>
        </is>
      </c>
      <c r="N3486" t="inlineStr">
        <is>
          <t>auto_ingest=world_bank_col_estimate; gni_annual=5830.0; year=2024; country_proxy=Nepal; cohort=South Asia; city_cost_mult=0.75</t>
        </is>
      </c>
    </row>
    <row r="3487">
      <c r="A3487" t="inlineStr">
        <is>
          <t>np-pokhara</t>
        </is>
      </c>
      <c r="B3487" t="inlineStr">
        <is>
          <t>Pokhara</t>
        </is>
      </c>
      <c r="C3487" t="inlineStr">
        <is>
          <t>Nepal</t>
        </is>
      </c>
      <c r="D3487" t="inlineStr">
        <is>
          <t>South Asia</t>
        </is>
      </c>
      <c r="E3487" t="inlineStr">
        <is>
          <t>internet_cost</t>
        </is>
      </c>
      <c r="F3487" t="inlineStr">
        <is>
          <t>Internet cost</t>
        </is>
      </c>
      <c r="G3487" t="inlineStr">
        <is>
          <t>pressure</t>
        </is>
      </c>
      <c r="H3487" t="inlineStr">
        <is>
          <t>yes</t>
        </is>
      </c>
      <c r="I3487" t="inlineStr">
        <is>
          <t>3.64</t>
        </is>
      </c>
      <c r="J3487" t="inlineStr">
        <is>
          <t>world_bank_col_estimate</t>
        </is>
      </c>
      <c r="K3487" t="inlineStr">
        <is>
          <t>https://api.worldbank.org/v2/country/NPL/indicator/NY.GNP.PCAP.PP.CD?format=json&amp;mrv=10</t>
        </is>
      </c>
      <c r="L3487" t="inlineStr">
        <is>
          <t>World Bank GNI + regional expenditure ratio estimate</t>
        </is>
      </c>
      <c r="M3487" t="inlineStr">
        <is>
          <t>2024-12-31</t>
        </is>
      </c>
      <c r="N3487" t="inlineStr">
        <is>
          <t>auto_ingest=world_bank_col_estimate; gni_annual=5830.0; year=2024; country_proxy=Nepal; cohort=South Asia; city_cost_mult=0.75</t>
        </is>
      </c>
    </row>
    <row r="3488">
      <c r="A3488" t="inlineStr">
        <is>
          <t>np-pokhara</t>
        </is>
      </c>
      <c r="B3488" t="inlineStr">
        <is>
          <t>Pokhara</t>
        </is>
      </c>
      <c r="C3488" t="inlineStr">
        <is>
          <t>Nepal</t>
        </is>
      </c>
      <c r="D3488" t="inlineStr">
        <is>
          <t>South Asia</t>
        </is>
      </c>
      <c r="E3488" t="inlineStr">
        <is>
          <t>food_cost</t>
        </is>
      </c>
      <c r="F3488" t="inlineStr">
        <is>
          <t>Food cost</t>
        </is>
      </c>
      <c r="G3488" t="inlineStr">
        <is>
          <t>pressure</t>
        </is>
      </c>
      <c r="H3488" t="inlineStr">
        <is>
          <t>yes</t>
        </is>
      </c>
      <c r="I3488" t="inlineStr">
        <is>
          <t>91.09</t>
        </is>
      </c>
      <c r="J3488" t="inlineStr">
        <is>
          <t>world_bank_col_estimate</t>
        </is>
      </c>
      <c r="K3488" t="inlineStr">
        <is>
          <t>https://api.worldbank.org/v2/country/NPL/indicator/NY.GNP.PCAP.PP.CD?format=json&amp;mrv=10</t>
        </is>
      </c>
      <c r="L3488" t="inlineStr">
        <is>
          <t>World Bank GNI + regional expenditure ratio estimate</t>
        </is>
      </c>
      <c r="M3488" t="inlineStr">
        <is>
          <t>2024-12-31</t>
        </is>
      </c>
      <c r="N3488" t="inlineStr">
        <is>
          <t>auto_ingest=world_bank_col_estimate; gni_annual=5830.0; year=2024; country_proxy=Nepal; cohort=South Asia; city_cost_mult=0.75</t>
        </is>
      </c>
    </row>
    <row r="3489">
      <c r="A3489" t="inlineStr">
        <is>
          <t>np-pokhara</t>
        </is>
      </c>
      <c r="B3489" t="inlineStr">
        <is>
          <t>Pokhara</t>
        </is>
      </c>
      <c r="C3489" t="inlineStr">
        <is>
          <t>Nepal</t>
        </is>
      </c>
      <c r="D3489" t="inlineStr">
        <is>
          <t>South Asia</t>
        </is>
      </c>
      <c r="E3489" t="inlineStr">
        <is>
          <t>housing_burden_raw</t>
        </is>
      </c>
      <c r="F3489" t="inlineStr">
        <is>
          <t>Housing burden raw</t>
        </is>
      </c>
      <c r="G3489" t="inlineStr">
        <is>
          <t>pressure</t>
        </is>
      </c>
      <c r="H3489" t="inlineStr">
        <is>
          <t>yes</t>
        </is>
      </c>
      <c r="I3489" t="inlineStr">
        <is>
          <t>11.2508</t>
        </is>
      </c>
      <c r="J3489" t="inlineStr">
        <is>
          <t>derived</t>
        </is>
      </c>
      <c r="K3489" t="inlineStr">
        <is>
          <t>https://data.worldbank.org/indicator/NY.GNP.PCAP.PP.CD</t>
        </is>
      </c>
      <c r="L3489" t="inlineStr">
        <is>
          <t>Computed from city_inputs + country_context</t>
        </is>
      </c>
      <c r="M3489" t="inlineStr">
        <is>
          <t>2024-01-01</t>
        </is>
      </c>
      <c r="N3489" t="inlineStr">
        <is>
          <t>derived=rent/gross_income*100</t>
        </is>
      </c>
    </row>
    <row r="3490">
      <c r="A3490" t="inlineStr">
        <is>
          <t>np-pokhara</t>
        </is>
      </c>
      <c r="B3490" t="inlineStr">
        <is>
          <t>Pokhara</t>
        </is>
      </c>
      <c r="C3490" t="inlineStr">
        <is>
          <t>Nepal</t>
        </is>
      </c>
      <c r="D3490" t="inlineStr">
        <is>
          <t>South Asia</t>
        </is>
      </c>
      <c r="E3490" t="inlineStr">
        <is>
          <t>household_debt_burden_raw</t>
        </is>
      </c>
      <c r="F3490" t="inlineStr">
        <is>
          <t>Household debt burden raw</t>
        </is>
      </c>
      <c r="G3490" t="inlineStr">
        <is>
          <t>pressure</t>
        </is>
      </c>
      <c r="H3490" t="inlineStr">
        <is>
          <t>yes</t>
        </is>
      </c>
      <c r="I3490" t="inlineStr">
        <is>
          <t>91.9385</t>
        </is>
      </c>
      <c r="J3490" t="inlineStr">
        <is>
          <t>derived</t>
        </is>
      </c>
      <c r="K3490" t="inlineStr">
        <is>
          <t>https://data.worldbank.org/indicator/NY.GNP.PCAP.PP.CD</t>
        </is>
      </c>
      <c r="L3490" t="inlineStr">
        <is>
          <t>Computed from city_inputs + country_context</t>
        </is>
      </c>
      <c r="M3490" t="inlineStr">
        <is>
          <t>2024-01-01</t>
        </is>
      </c>
      <c r="N3490" t="inlineStr">
        <is>
          <t>derived=country_context.household_debt_proxy; country=Nepal</t>
        </is>
      </c>
    </row>
    <row r="3491">
      <c r="A3491" t="inlineStr">
        <is>
          <t>np-pokhara</t>
        </is>
      </c>
      <c r="B3491" t="inlineStr">
        <is>
          <t>Pokhara</t>
        </is>
      </c>
      <c r="C3491" t="inlineStr">
        <is>
          <t>Nepal</t>
        </is>
      </c>
      <c r="D3491" t="inlineStr">
        <is>
          <t>South Asia</t>
        </is>
      </c>
      <c r="E3491" t="inlineStr">
        <is>
          <t>working_time_pressure_raw</t>
        </is>
      </c>
      <c r="F3491" t="inlineStr">
        <is>
          <t>Working time pressure raw</t>
        </is>
      </c>
      <c r="G3491" t="inlineStr">
        <is>
          <t>pressure</t>
        </is>
      </c>
      <c r="H3491" t="inlineStr">
        <is>
          <t>yes</t>
        </is>
      </c>
      <c r="I3491" t="inlineStr"/>
      <c r="J3491" t="inlineStr"/>
      <c r="K3491" t="inlineStr"/>
      <c r="L3491" t="inlineStr"/>
      <c r="M3491" t="inlineStr"/>
      <c r="N3491" t="inlineStr"/>
    </row>
    <row r="3492">
      <c r="A3492" t="inlineStr">
        <is>
          <t>np-pokhara</t>
        </is>
      </c>
      <c r="B3492" t="inlineStr">
        <is>
          <t>Pokhara</t>
        </is>
      </c>
      <c r="C3492" t="inlineStr">
        <is>
          <t>Nepal</t>
        </is>
      </c>
      <c r="D3492" t="inlineStr">
        <is>
          <t>South Asia</t>
        </is>
      </c>
      <c r="E3492" t="inlineStr">
        <is>
          <t>suicide_mental_strain_raw</t>
        </is>
      </c>
      <c r="F3492" t="inlineStr">
        <is>
          <t>Suicide or mental strain raw</t>
        </is>
      </c>
      <c r="G3492" t="inlineStr">
        <is>
          <t>pressure</t>
        </is>
      </c>
      <c r="H3492" t="inlineStr">
        <is>
          <t>yes</t>
        </is>
      </c>
      <c r="I3492" t="inlineStr">
        <is>
          <t>10.14</t>
        </is>
      </c>
      <c r="J3492" t="inlineStr">
        <is>
          <t>who_gho</t>
        </is>
      </c>
      <c r="K3492" t="inlineStr">
        <is>
          <t>https://www.who.int/data/gho/data/indicators/indicator-details/GHO/SDGSUICIDE</t>
        </is>
      </c>
      <c r="L3492" t="inlineStr">
        <is>
          <t>WHO GHO: Age-standardized suicide rate (per 100,000 population)</t>
        </is>
      </c>
      <c r="M3492" t="inlineStr">
        <is>
          <t>2021-12-31</t>
        </is>
      </c>
      <c r="N3492" t="inlineStr">
        <is>
          <t>auto_ingest=who_gho; indicator=SDGSUICIDE; year=2021; country_proxy=Nepal</t>
        </is>
      </c>
    </row>
    <row r="3493">
      <c r="A3493" t="inlineStr">
        <is>
          <t>np-pokhara</t>
        </is>
      </c>
      <c r="B3493" t="inlineStr">
        <is>
          <t>Pokhara</t>
        </is>
      </c>
      <c r="C3493" t="inlineStr">
        <is>
          <t>Nepal</t>
        </is>
      </c>
      <c r="D3493" t="inlineStr">
        <is>
          <t>South Asia</t>
        </is>
      </c>
      <c r="E3493" t="inlineStr">
        <is>
          <t>personal_safety_raw</t>
        </is>
      </c>
      <c r="F3493" t="inlineStr">
        <is>
          <t>Personal safety raw</t>
        </is>
      </c>
      <c r="G3493" t="inlineStr">
        <is>
          <t>viability</t>
        </is>
      </c>
      <c r="H3493" t="inlineStr">
        <is>
          <t>yes</t>
        </is>
      </c>
      <c r="I3493" t="inlineStr">
        <is>
          <t>2.13</t>
        </is>
      </c>
      <c r="J3493" t="inlineStr">
        <is>
          <t>world_bank</t>
        </is>
      </c>
      <c r="K3493" t="inlineStr">
        <is>
          <t>https://api.worldbank.org/v2/country/NPL/indicator/VC.IHR.PSRC.P5?format=json&amp;mrv=10</t>
        </is>
      </c>
      <c r="L3493" t="inlineStr">
        <is>
          <t>UNODC via World Bank WDI: Intentional homicides (per 100,000 people)</t>
        </is>
      </c>
      <c r="M3493" t="inlineStr">
        <is>
          <t>2020-12-31</t>
        </is>
      </c>
      <c r="N3493" t="inlineStr">
        <is>
          <t>auto_ingest=unodc_safety; indicator=VC.IHR.PSRC.P5; year=2020; country_proxy=Nepal</t>
        </is>
      </c>
    </row>
    <row r="3494">
      <c r="A3494" t="inlineStr">
        <is>
          <t>np-pokhara</t>
        </is>
      </c>
      <c r="B3494" t="inlineStr">
        <is>
          <t>Pokhara</t>
        </is>
      </c>
      <c r="C3494" t="inlineStr">
        <is>
          <t>Nepal</t>
        </is>
      </c>
      <c r="D3494" t="inlineStr">
        <is>
          <t>South Asia</t>
        </is>
      </c>
      <c r="E3494" t="inlineStr">
        <is>
          <t>transit_access_commute_raw</t>
        </is>
      </c>
      <c r="F3494" t="inlineStr">
        <is>
          <t>Transit access and commute raw</t>
        </is>
      </c>
      <c r="G3494" t="inlineStr">
        <is>
          <t>viability</t>
        </is>
      </c>
      <c r="H3494" t="inlineStr">
        <is>
          <t>yes</t>
        </is>
      </c>
      <c r="I3494" t="inlineStr"/>
      <c r="J3494" t="inlineStr"/>
      <c r="K3494" t="inlineStr"/>
      <c r="L3494" t="inlineStr"/>
      <c r="M3494" t="inlineStr"/>
      <c r="N3494" t="inlineStr"/>
    </row>
    <row r="3495">
      <c r="A3495" t="inlineStr">
        <is>
          <t>np-pokhara</t>
        </is>
      </c>
      <c r="B3495" t="inlineStr">
        <is>
          <t>Pokhara</t>
        </is>
      </c>
      <c r="C3495" t="inlineStr">
        <is>
          <t>Nepal</t>
        </is>
      </c>
      <c r="D3495" t="inlineStr">
        <is>
          <t>South Asia</t>
        </is>
      </c>
      <c r="E3495" t="inlineStr">
        <is>
          <t>clean_air_raw</t>
        </is>
      </c>
      <c r="F3495" t="inlineStr">
        <is>
          <t>Clean air raw</t>
        </is>
      </c>
      <c r="G3495" t="inlineStr">
        <is>
          <t>viability</t>
        </is>
      </c>
      <c r="H3495" t="inlineStr">
        <is>
          <t>yes</t>
        </is>
      </c>
      <c r="I3495" t="inlineStr"/>
      <c r="J3495" t="inlineStr"/>
      <c r="K3495" t="inlineStr"/>
      <c r="L3495" t="inlineStr"/>
      <c r="M3495" t="inlineStr"/>
      <c r="N3495" t="inlineStr"/>
    </row>
    <row r="3496">
      <c r="A3496" t="inlineStr">
        <is>
          <t>np-pokhara</t>
        </is>
      </c>
      <c r="B3496" t="inlineStr">
        <is>
          <t>Pokhara</t>
        </is>
      </c>
      <c r="C3496" t="inlineStr">
        <is>
          <t>Nepal</t>
        </is>
      </c>
      <c r="D3496" t="inlineStr">
        <is>
          <t>South Asia</t>
        </is>
      </c>
      <c r="E3496" t="inlineStr">
        <is>
          <t>water_sanitation_utility_raw</t>
        </is>
      </c>
      <c r="F3496" t="inlineStr">
        <is>
          <t>Water, sanitation, and utility raw</t>
        </is>
      </c>
      <c r="G3496" t="inlineStr">
        <is>
          <t>viability</t>
        </is>
      </c>
      <c r="H3496" t="inlineStr">
        <is>
          <t>yes</t>
        </is>
      </c>
      <c r="I3496" t="inlineStr">
        <is>
          <t>16.49</t>
        </is>
      </c>
      <c r="J3496" t="inlineStr">
        <is>
          <t>world_bank</t>
        </is>
      </c>
      <c r="K3496" t="inlineStr">
        <is>
          <t>https://api.worldbank.org/v2/country/NPL/indicator/SH.H2O.SMDW.ZS?format=json&amp;mrv=10</t>
        </is>
      </c>
      <c r="L3496" t="inlineStr">
        <is>
          <t>World Bank WDI: People using safely managed drinking water services (% of population)</t>
        </is>
      </c>
      <c r="M3496" t="inlineStr">
        <is>
          <t>2024-12-31</t>
        </is>
      </c>
      <c r="N3496" t="inlineStr">
        <is>
          <t>auto_ingest=world_bank_proxy; indicator=SH.H2O.SMDW.ZS; year=2024; country_proxy=Nepal</t>
        </is>
      </c>
    </row>
    <row r="3497">
      <c r="A3497" t="inlineStr">
        <is>
          <t>np-pokhara</t>
        </is>
      </c>
      <c r="B3497" t="inlineStr">
        <is>
          <t>Pokhara</t>
        </is>
      </c>
      <c r="C3497" t="inlineStr">
        <is>
          <t>Nepal</t>
        </is>
      </c>
      <c r="D3497" t="inlineStr">
        <is>
          <t>South Asia</t>
        </is>
      </c>
      <c r="E3497" t="inlineStr">
        <is>
          <t>digital_infrastructure_raw</t>
        </is>
      </c>
      <c r="F3497" t="inlineStr">
        <is>
          <t>Digital infrastructure raw</t>
        </is>
      </c>
      <c r="G3497" t="inlineStr">
        <is>
          <t>viability</t>
        </is>
      </c>
      <c r="H3497" t="inlineStr">
        <is>
          <t>yes</t>
        </is>
      </c>
      <c r="I3497" t="inlineStr">
        <is>
          <t>4.83</t>
        </is>
      </c>
      <c r="J3497" t="inlineStr">
        <is>
          <t>world_bank</t>
        </is>
      </c>
      <c r="K3497" t="inlineStr">
        <is>
          <t>https://api.worldbank.org/v2/country/NPL/indicator/IT.NET.BBND.P2?format=json&amp;mrv=10</t>
        </is>
      </c>
      <c r="L3497" t="inlineStr">
        <is>
          <t>World Bank WDI: Fixed broadband subscriptions (per 100 people)</t>
        </is>
      </c>
      <c r="M3497" t="inlineStr">
        <is>
          <t>2022-12-31</t>
        </is>
      </c>
      <c r="N3497" t="inlineStr">
        <is>
          <t>auto_ingest=world_bank_proxy; indicator=IT.NET.BBND.P2; year=2022; country_proxy=Nepal</t>
        </is>
      </c>
    </row>
    <row r="3498">
      <c r="A3498" t="inlineStr">
        <is>
          <t>np-pokhara</t>
        </is>
      </c>
      <c r="B3498" t="inlineStr">
        <is>
          <t>Pokhara</t>
        </is>
      </c>
      <c r="C3498" t="inlineStr">
        <is>
          <t>Nepal</t>
        </is>
      </c>
      <c r="D3498" t="inlineStr">
        <is>
          <t>South Asia</t>
        </is>
      </c>
      <c r="E3498" t="inlineStr">
        <is>
          <t>climate_sunlight_livability_raw</t>
        </is>
      </c>
      <c r="F3498" t="inlineStr">
        <is>
          <t>Climate and sunlight livability raw</t>
        </is>
      </c>
      <c r="G3498" t="inlineStr">
        <is>
          <t>viability</t>
        </is>
      </c>
      <c r="H3498" t="inlineStr">
        <is>
          <t>yes</t>
        </is>
      </c>
      <c r="I3498" t="inlineStr"/>
      <c r="J3498" t="inlineStr"/>
      <c r="K3498" t="inlineStr"/>
      <c r="L3498" t="inlineStr"/>
      <c r="M3498" t="inlineStr"/>
      <c r="N3498" t="inlineStr"/>
    </row>
    <row r="3499">
      <c r="A3499" t="inlineStr">
        <is>
          <t>np-pokhara</t>
        </is>
      </c>
      <c r="B3499" t="inlineStr">
        <is>
          <t>Pokhara</t>
        </is>
      </c>
      <c r="C3499" t="inlineStr">
        <is>
          <t>Nepal</t>
        </is>
      </c>
      <c r="D3499" t="inlineStr">
        <is>
          <t>South Asia</t>
        </is>
      </c>
      <c r="E3499" t="inlineStr">
        <is>
          <t>healthcare_quality_raw</t>
        </is>
      </c>
      <c r="F3499" t="inlineStr">
        <is>
          <t>Healthcare quality raw</t>
        </is>
      </c>
      <c r="G3499" t="inlineStr">
        <is>
          <t>capability</t>
        </is>
      </c>
      <c r="H3499" t="inlineStr">
        <is>
          <t>yes</t>
        </is>
      </c>
      <c r="I3499" t="inlineStr">
        <is>
          <t>58.0</t>
        </is>
      </c>
      <c r="J3499" t="inlineStr">
        <is>
          <t>who_gho</t>
        </is>
      </c>
      <c r="K3499" t="inlineStr">
        <is>
          <t>https://www.who.int/data/gho/data/indicators/indicator-details/GHO/UHC_INDEX_REPORTED</t>
        </is>
      </c>
      <c r="L3499" t="inlineStr">
        <is>
          <t>WHO GHO: UHC Service Coverage Index</t>
        </is>
      </c>
      <c r="M3499" t="inlineStr">
        <is>
          <t>2023-12-31</t>
        </is>
      </c>
      <c r="N3499" t="inlineStr">
        <is>
          <t>auto_ingest=who_gho; indicator=UHC_INDEX_REPORTED; year=2023; country_proxy=Nepal</t>
        </is>
      </c>
    </row>
    <row r="3500">
      <c r="A3500" t="inlineStr">
        <is>
          <t>np-pokhara</t>
        </is>
      </c>
      <c r="B3500" t="inlineStr">
        <is>
          <t>Pokhara</t>
        </is>
      </c>
      <c r="C3500" t="inlineStr">
        <is>
          <t>Nepal</t>
        </is>
      </c>
      <c r="D3500" t="inlineStr">
        <is>
          <t>South Asia</t>
        </is>
      </c>
      <c r="E3500" t="inlineStr">
        <is>
          <t>education_quality_raw</t>
        </is>
      </c>
      <c r="F3500" t="inlineStr">
        <is>
          <t>Education quality raw</t>
        </is>
      </c>
      <c r="G3500" t="inlineStr">
        <is>
          <t>capability</t>
        </is>
      </c>
      <c r="H3500" t="inlineStr">
        <is>
          <t>yes</t>
        </is>
      </c>
      <c r="I3500" t="inlineStr">
        <is>
          <t>21.29</t>
        </is>
      </c>
      <c r="J3500" t="inlineStr">
        <is>
          <t>world_bank</t>
        </is>
      </c>
      <c r="K3500" t="inlineStr">
        <is>
          <t>https://api.worldbank.org/v2/country/NPL/indicator/SE.TER.ENRR?format=json&amp;mrv=10</t>
        </is>
      </c>
      <c r="L3500" t="inlineStr">
        <is>
          <t>World Bank WDI: School enrollment, tertiary (% gross)</t>
        </is>
      </c>
      <c r="M3500" t="inlineStr">
        <is>
          <t>2024-12-31</t>
        </is>
      </c>
      <c r="N3500" t="inlineStr">
        <is>
          <t>auto_ingest=world_bank_proxy; indicator=SE.TER.ENRR; year=2024; country_proxy=Nepal</t>
        </is>
      </c>
    </row>
    <row r="3501">
      <c r="A3501" t="inlineStr">
        <is>
          <t>np-pokhara</t>
        </is>
      </c>
      <c r="B3501" t="inlineStr">
        <is>
          <t>Pokhara</t>
        </is>
      </c>
      <c r="C3501" t="inlineStr">
        <is>
          <t>Nepal</t>
        </is>
      </c>
      <c r="D3501" t="inlineStr">
        <is>
          <t>South Asia</t>
        </is>
      </c>
      <c r="E3501" t="inlineStr">
        <is>
          <t>equal_opportunity_raw</t>
        </is>
      </c>
      <c r="F3501" t="inlineStr">
        <is>
          <t>Equal opportunity raw</t>
        </is>
      </c>
      <c r="G3501" t="inlineStr">
        <is>
          <t>capability</t>
        </is>
      </c>
      <c r="H3501" t="inlineStr">
        <is>
          <t>yes</t>
        </is>
      </c>
      <c r="I3501" t="inlineStr">
        <is>
          <t>30.0</t>
        </is>
      </c>
      <c r="J3501" t="inlineStr">
        <is>
          <t>world_bank</t>
        </is>
      </c>
      <c r="K3501" t="inlineStr">
        <is>
          <t>https://api.worldbank.org/v2/country/NPL/indicator/SI.POV.GINI?format=json&amp;mrv=10</t>
        </is>
      </c>
      <c r="L3501" t="inlineStr">
        <is>
          <t>World Bank WDI: Gini index</t>
        </is>
      </c>
      <c r="M3501" t="inlineStr">
        <is>
          <t>2022-12-31</t>
        </is>
      </c>
      <c r="N3501" t="inlineStr">
        <is>
          <t>auto_ingest=world_bank_capability; indicator=SI.POV.GINI; year=2022; country_proxy=Nepal</t>
        </is>
      </c>
    </row>
    <row r="3502">
      <c r="A3502" t="inlineStr">
        <is>
          <t>np-pokhara</t>
        </is>
      </c>
      <c r="B3502" t="inlineStr">
        <is>
          <t>Pokhara</t>
        </is>
      </c>
      <c r="C3502" t="inlineStr">
        <is>
          <t>Nepal</t>
        </is>
      </c>
      <c r="D3502" t="inlineStr">
        <is>
          <t>South Asia</t>
        </is>
      </c>
      <c r="E3502" t="inlineStr">
        <is>
          <t>hospitality_belonging_raw</t>
        </is>
      </c>
      <c r="F3502" t="inlineStr">
        <is>
          <t>Hospitality and belonging raw</t>
        </is>
      </c>
      <c r="G3502" t="inlineStr">
        <is>
          <t>community</t>
        </is>
      </c>
      <c r="H3502" t="inlineStr">
        <is>
          <t>yes</t>
        </is>
      </c>
      <c r="I3502" t="inlineStr">
        <is>
          <t>37.7</t>
        </is>
      </c>
      <c r="J3502" t="inlineStr">
        <is>
          <t>world_bank</t>
        </is>
      </c>
      <c r="K3502" t="inlineStr">
        <is>
          <t>https://api.worldbank.org/v2/country/NPL/indicator/SM.POP.NETM?format=json&amp;mrv=10</t>
        </is>
      </c>
      <c r="L3502" t="inlineStr">
        <is>
          <t>World Bank WDI: Net migration (proxy for hospitality/belonging — positive = welcoming)</t>
        </is>
      </c>
      <c r="M3502" t="inlineStr">
        <is>
          <t>2025-12-31</t>
        </is>
      </c>
      <c r="N3502" t="inlineStr">
        <is>
          <t>auto_ingest=world_bank_proxy; proxy=net_migration_hospitality; indicator=SM.POP.NETM; year=2025; country_proxy=Nepal</t>
        </is>
      </c>
    </row>
    <row r="3503">
      <c r="A3503" t="inlineStr">
        <is>
          <t>np-pokhara</t>
        </is>
      </c>
      <c r="B3503" t="inlineStr">
        <is>
          <t>Pokhara</t>
        </is>
      </c>
      <c r="C3503" t="inlineStr">
        <is>
          <t>Nepal</t>
        </is>
      </c>
      <c r="D3503" t="inlineStr">
        <is>
          <t>South Asia</t>
        </is>
      </c>
      <c r="E3503" t="inlineStr">
        <is>
          <t>tolerance_pluralism_raw</t>
        </is>
      </c>
      <c r="F3503" t="inlineStr">
        <is>
          <t>Tolerance and pluralism raw</t>
        </is>
      </c>
      <c r="G3503" t="inlineStr">
        <is>
          <t>community</t>
        </is>
      </c>
      <c r="H3503" t="inlineStr">
        <is>
          <t>yes</t>
        </is>
      </c>
      <c r="I3503" t="inlineStr">
        <is>
          <t>33.09</t>
        </is>
      </c>
      <c r="J3503" t="inlineStr">
        <is>
          <t>world_bank</t>
        </is>
      </c>
      <c r="K3503" t="inlineStr">
        <is>
          <t>https://api.worldbank.org/v2/country/NPL/indicator/SG.GEN.PARL.ZS?format=json&amp;mrv=10</t>
        </is>
      </c>
      <c r="L3503" t="inlineStr">
        <is>
          <t>World Bank WDI: Proportion of seats held by women in national parliaments (%)</t>
        </is>
      </c>
      <c r="M3503" t="inlineStr">
        <is>
          <t>2024-12-31</t>
        </is>
      </c>
      <c r="N3503" t="inlineStr">
        <is>
          <t>auto_ingest=world_bank_proxy; proxy=gender_parity_parliament; indicator=SG.GEN.PARL.ZS; year=2024; country_proxy=Nepal</t>
        </is>
      </c>
    </row>
    <row r="3504">
      <c r="A3504" t="inlineStr">
        <is>
          <t>np-pokhara</t>
        </is>
      </c>
      <c r="B3504" t="inlineStr">
        <is>
          <t>Pokhara</t>
        </is>
      </c>
      <c r="C3504" t="inlineStr">
        <is>
          <t>Nepal</t>
        </is>
      </c>
      <c r="D3504" t="inlineStr">
        <is>
          <t>South Asia</t>
        </is>
      </c>
      <c r="E3504" t="inlineStr">
        <is>
          <t>cultural_public_life_raw</t>
        </is>
      </c>
      <c r="F3504" t="inlineStr">
        <is>
          <t>Cultural public life raw</t>
        </is>
      </c>
      <c r="G3504" t="inlineStr">
        <is>
          <t>community</t>
        </is>
      </c>
      <c r="H3504" t="inlineStr">
        <is>
          <t>yes</t>
        </is>
      </c>
      <c r="I3504" t="inlineStr">
        <is>
          <t>7.76</t>
        </is>
      </c>
      <c r="J3504" t="inlineStr">
        <is>
          <t>world_bank</t>
        </is>
      </c>
      <c r="K3504" t="inlineStr">
        <is>
          <t>https://api.worldbank.org/v2/country/NPL/indicator/ST.INT.ARVL?format=json&amp;mrv=10</t>
        </is>
      </c>
      <c r="L3504" t="inlineStr">
        <is>
          <t>World Bank WDI: International tourism arrivals per 1 000 population</t>
        </is>
      </c>
      <c r="M3504" t="inlineStr">
        <is>
          <t>2020-12-31</t>
        </is>
      </c>
      <c r="N3504" t="inlineStr">
        <is>
          <t>auto_ingest=cultural_life_proxy; indicator=ST.INT.ARVL; norm=per_1000_pop; year=2020; country_proxy=Nepal</t>
        </is>
      </c>
    </row>
    <row r="3505">
      <c r="A3505" t="inlineStr">
        <is>
          <t>np-pokhara</t>
        </is>
      </c>
      <c r="B3505" t="inlineStr">
        <is>
          <t>Pokhara</t>
        </is>
      </c>
      <c r="C3505" t="inlineStr">
        <is>
          <t>Nepal</t>
        </is>
      </c>
      <c r="D3505" t="inlineStr">
        <is>
          <t>South Asia</t>
        </is>
      </c>
      <c r="E3505" t="inlineStr">
        <is>
          <t>birth_rate_optimism_raw</t>
        </is>
      </c>
      <c r="F3505" t="inlineStr">
        <is>
          <t>Birth rate and societal optimism raw</t>
        </is>
      </c>
      <c r="G3505" t="inlineStr">
        <is>
          <t>community</t>
        </is>
      </c>
      <c r="H3505" t="inlineStr">
        <is>
          <t>yes</t>
        </is>
      </c>
      <c r="I3505" t="inlineStr"/>
      <c r="J3505" t="inlineStr"/>
      <c r="K3505" t="inlineStr"/>
      <c r="L3505" t="inlineStr"/>
      <c r="M3505" t="inlineStr"/>
      <c r="N3505" t="inlineStr"/>
    </row>
    <row r="3506">
      <c r="A3506" t="inlineStr">
        <is>
          <t>np-pokhara</t>
        </is>
      </c>
      <c r="B3506" t="inlineStr">
        <is>
          <t>Pokhara</t>
        </is>
      </c>
      <c r="C3506" t="inlineStr">
        <is>
          <t>Nepal</t>
        </is>
      </c>
      <c r="D3506" t="inlineStr">
        <is>
          <t>South Asia</t>
        </is>
      </c>
      <c r="E3506" t="inlineStr">
        <is>
          <t>entrepreneurial_dynamism_raw</t>
        </is>
      </c>
      <c r="F3506" t="inlineStr">
        <is>
          <t>Entrepreneurial dynamism raw</t>
        </is>
      </c>
      <c r="G3506" t="inlineStr">
        <is>
          <t>creative</t>
        </is>
      </c>
      <c r="H3506" t="inlineStr">
        <is>
          <t>yes</t>
        </is>
      </c>
      <c r="I3506" t="inlineStr">
        <is>
          <t>1.38</t>
        </is>
      </c>
      <c r="J3506" t="inlineStr">
        <is>
          <t>world_bank</t>
        </is>
      </c>
      <c r="K3506" t="inlineStr">
        <is>
          <t>https://api.worldbank.org/v2/country/NPL/indicator/IC.BUS.NDNS.ZS?format=json&amp;mrv=10</t>
        </is>
      </c>
      <c r="L3506" t="inlineStr">
        <is>
          <t>World Bank WDI: New business density (new registrations per 1,000 people ages 15-64)</t>
        </is>
      </c>
      <c r="M3506" t="inlineStr">
        <is>
          <t>2020-12-31</t>
        </is>
      </c>
      <c r="N3506" t="inlineStr">
        <is>
          <t>auto_ingest=world_bank_creative_extended; indicator=IC.BUS.NDNS.ZS; year=2020; country_proxy=Nepal</t>
        </is>
      </c>
    </row>
    <row r="3507">
      <c r="A3507" t="inlineStr">
        <is>
          <t>np-pokhara</t>
        </is>
      </c>
      <c r="B3507" t="inlineStr">
        <is>
          <t>Pokhara</t>
        </is>
      </c>
      <c r="C3507" t="inlineStr">
        <is>
          <t>Nepal</t>
        </is>
      </c>
      <c r="D3507" t="inlineStr">
        <is>
          <t>South Asia</t>
        </is>
      </c>
      <c r="E3507" t="inlineStr">
        <is>
          <t>innovation_research_intensity_raw</t>
        </is>
      </c>
      <c r="F3507" t="inlineStr">
        <is>
          <t>Innovation and research raw</t>
        </is>
      </c>
      <c r="G3507" t="inlineStr">
        <is>
          <t>creative</t>
        </is>
      </c>
      <c r="H3507" t="inlineStr">
        <is>
          <t>yes</t>
        </is>
      </c>
      <c r="I3507" t="inlineStr">
        <is>
          <t>2.12</t>
        </is>
      </c>
      <c r="J3507" t="inlineStr">
        <is>
          <t>world_bank</t>
        </is>
      </c>
      <c r="K3507" t="inlineStr">
        <is>
          <t>https://api.worldbank.org/v2/country/NPL/indicator/IP.PAT.RESD?format=json&amp;mrv=10</t>
        </is>
      </c>
      <c r="L3507" t="inlineStr">
        <is>
          <t>World Bank WDI: Patent applications (residents + non-residents) per million population</t>
        </is>
      </c>
      <c r="M3507" t="inlineStr">
        <is>
          <t>2017-12-31</t>
        </is>
      </c>
      <c r="N3507" t="inlineStr">
        <is>
          <t>auto_ingest=wipo_patents_proxy; indicators=IP.PAT.RESD+IP.PAT.NRES; norm=per_million_pop; year=2017; country_proxy=Nepal</t>
        </is>
      </c>
    </row>
    <row r="3508">
      <c r="A3508" t="inlineStr">
        <is>
          <t>np-pokhara</t>
        </is>
      </c>
      <c r="B3508" t="inlineStr">
        <is>
          <t>Pokhara</t>
        </is>
      </c>
      <c r="C3508" t="inlineStr">
        <is>
          <t>Nepal</t>
        </is>
      </c>
      <c r="D3508" t="inlineStr">
        <is>
          <t>South Asia</t>
        </is>
      </c>
      <c r="E3508" t="inlineStr">
        <is>
          <t>investment_signal_raw</t>
        </is>
      </c>
      <c r="F3508" t="inlineStr">
        <is>
          <t>Investment signal raw</t>
        </is>
      </c>
      <c r="G3508" t="inlineStr">
        <is>
          <t>creative</t>
        </is>
      </c>
      <c r="H3508" t="inlineStr">
        <is>
          <t>yes</t>
        </is>
      </c>
      <c r="I3508" t="inlineStr">
        <is>
          <t>0.13</t>
        </is>
      </c>
      <c r="J3508" t="inlineStr">
        <is>
          <t>world_bank</t>
        </is>
      </c>
      <c r="K3508" t="inlineStr">
        <is>
          <t>https://api.worldbank.org/v2/country/NPL/indicator/BX.KLT.DINV.WD.GD.ZS?format=json&amp;mrv=10</t>
        </is>
      </c>
      <c r="L3508" t="inlineStr">
        <is>
          <t>World Bank WDI: Foreign direct investment, net inflows (% of GDP)</t>
        </is>
      </c>
      <c r="M3508" t="inlineStr">
        <is>
          <t>2024-12-31</t>
        </is>
      </c>
      <c r="N3508" t="inlineStr">
        <is>
          <t>auto_ingest=world_bank_creative_extended; indicator=BX.KLT.DINV.WD.GD.ZS; year=2024; country_proxy=Nepal</t>
        </is>
      </c>
    </row>
    <row r="3509">
      <c r="A3509" t="inlineStr">
        <is>
          <t>np-pokhara</t>
        </is>
      </c>
      <c r="B3509" t="inlineStr">
        <is>
          <t>Pokhara</t>
        </is>
      </c>
      <c r="C3509" t="inlineStr">
        <is>
          <t>Nepal</t>
        </is>
      </c>
      <c r="D3509" t="inlineStr">
        <is>
          <t>South Asia</t>
        </is>
      </c>
      <c r="E3509" t="inlineStr">
        <is>
          <t>administrative_investment_friction_raw</t>
        </is>
      </c>
      <c r="F3509" t="inlineStr">
        <is>
          <t>Administrative investment friction raw</t>
        </is>
      </c>
      <c r="G3509" t="inlineStr">
        <is>
          <t>creative</t>
        </is>
      </c>
      <c r="H3509" t="inlineStr">
        <is>
          <t>yes</t>
        </is>
      </c>
      <c r="I3509" t="inlineStr">
        <is>
          <t>3.16</t>
        </is>
      </c>
      <c r="J3509" t="inlineStr">
        <is>
          <t>world_bank</t>
        </is>
      </c>
      <c r="K3509" t="inlineStr">
        <is>
          <t>https://api.worldbank.org/v2/country/NPL/indicator/RQ.EST?format=json&amp;mrv=10</t>
        </is>
      </c>
      <c r="L3509" t="inlineStr">
        <is>
          <t>World Bank WGI: Regulatory Quality (inverted as friction proxy)</t>
        </is>
      </c>
      <c r="M3509" t="inlineStr">
        <is>
          <t>2023-12-31</t>
        </is>
      </c>
      <c r="N3509" t="inlineStr">
        <is>
          <t>auto_ingest=world_bank_business_friction; indicator=RQ.EST; raw_rq=-0.661413729190826; friction=3.16; year=2023; country_proxy=Nepal</t>
        </is>
      </c>
    </row>
    <row r="3510">
      <c r="A3510" t="inlineStr">
        <is>
          <t>np-pokhara</t>
        </is>
      </c>
      <c r="B3510" t="inlineStr">
        <is>
          <t>Pokhara</t>
        </is>
      </c>
      <c r="C3510" t="inlineStr">
        <is>
          <t>Nepal</t>
        </is>
      </c>
      <c r="D3510" t="inlineStr">
        <is>
          <t>South Asia</t>
        </is>
      </c>
      <c r="E3510" t="inlineStr">
        <is>
          <t>visitor_flow_context_raw</t>
        </is>
      </c>
      <c r="F3510" t="inlineStr">
        <is>
          <t>Visitor flow context raw</t>
        </is>
      </c>
      <c r="G3510" t="inlineStr">
        <is>
          <t>creative</t>
        </is>
      </c>
      <c r="H3510" t="inlineStr">
        <is>
          <t>no</t>
        </is>
      </c>
      <c r="I3510" t="inlineStr"/>
      <c r="J3510" t="inlineStr"/>
      <c r="K3510" t="inlineStr"/>
      <c r="L3510" t="inlineStr"/>
      <c r="M3510" t="inlineStr"/>
      <c r="N3510" t="inlineStr"/>
    </row>
    <row r="3511">
      <c r="A3511" t="inlineStr">
        <is>
          <t>cz-brno</t>
        </is>
      </c>
      <c r="B3511" t="inlineStr">
        <is>
          <t>Brno</t>
        </is>
      </c>
      <c r="C3511" t="inlineStr">
        <is>
          <t>Czechia</t>
        </is>
      </c>
      <c r="D3511" t="inlineStr">
        <is>
          <t>Southern/Eastern Europe and Eurasia</t>
        </is>
      </c>
      <c r="E3511" t="inlineStr">
        <is>
          <t>gross_income</t>
        </is>
      </c>
      <c r="F3511" t="inlineStr">
        <is>
          <t>Gross income</t>
        </is>
      </c>
      <c r="G3511" t="inlineStr">
        <is>
          <t>pressure</t>
        </is>
      </c>
      <c r="H3511" t="inlineStr">
        <is>
          <t>yes</t>
        </is>
      </c>
      <c r="I3511" t="inlineStr">
        <is>
          <t>4566.67</t>
        </is>
      </c>
      <c r="J3511" t="inlineStr">
        <is>
          <t>world_bank_col_estimate</t>
        </is>
      </c>
      <c r="K3511" t="inlineStr">
        <is>
          <t>https://api.worldbank.org/v2/country/CZE/indicator/NY.GNP.PCAP.PP.CD?format=json&amp;mrv=10</t>
        </is>
      </c>
      <c r="L3511" t="inlineStr">
        <is>
          <t>World Bank WDI: GNI per capita PPP (monthly USD)</t>
        </is>
      </c>
      <c r="M3511" t="inlineStr">
        <is>
          <t>2024-12-31</t>
        </is>
      </c>
      <c r="N3511" t="inlineStr">
        <is>
          <t>auto_ingest=world_bank_col_estimate; gni_annual=54800.0; year=2024; country_proxy=Czechia; cohort=Southern/Eastern Europe and Eurasia</t>
        </is>
      </c>
    </row>
    <row r="3512">
      <c r="A3512" t="inlineStr">
        <is>
          <t>cz-brno</t>
        </is>
      </c>
      <c r="B3512" t="inlineStr">
        <is>
          <t>Brno</t>
        </is>
      </c>
      <c r="C3512" t="inlineStr">
        <is>
          <t>Czechia</t>
        </is>
      </c>
      <c r="D3512" t="inlineStr">
        <is>
          <t>Southern/Eastern Europe and Eurasia</t>
        </is>
      </c>
      <c r="E3512" t="inlineStr">
        <is>
          <t>di_ppp_raw</t>
        </is>
      </c>
      <c r="F3512" t="inlineStr">
        <is>
          <t>Disposable income PPP (Raw)</t>
        </is>
      </c>
      <c r="G3512" t="inlineStr">
        <is>
          <t>pressure</t>
        </is>
      </c>
      <c r="H3512" t="inlineStr">
        <is>
          <t>yes</t>
        </is>
      </c>
      <c r="I3512" t="inlineStr"/>
      <c r="J3512" t="inlineStr"/>
      <c r="K3512" t="inlineStr"/>
      <c r="L3512" t="inlineStr"/>
      <c r="M3512" t="inlineStr"/>
      <c r="N3512" t="inlineStr"/>
    </row>
    <row r="3513">
      <c r="A3513" t="inlineStr">
        <is>
          <t>cz-brno</t>
        </is>
      </c>
      <c r="B3513" t="inlineStr">
        <is>
          <t>Brno</t>
        </is>
      </c>
      <c r="C3513" t="inlineStr">
        <is>
          <t>Czechia</t>
        </is>
      </c>
      <c r="D3513" t="inlineStr">
        <is>
          <t>Southern/Eastern Europe and Eurasia</t>
        </is>
      </c>
      <c r="E3513" t="inlineStr">
        <is>
          <t>rent</t>
        </is>
      </c>
      <c r="F3513" t="inlineStr">
        <is>
          <t>Rent</t>
        </is>
      </c>
      <c r="G3513" t="inlineStr">
        <is>
          <t>pressure</t>
        </is>
      </c>
      <c r="H3513" t="inlineStr">
        <is>
          <t>yes</t>
        </is>
      </c>
      <c r="I3513" t="inlineStr">
        <is>
          <t>970.42</t>
        </is>
      </c>
      <c r="J3513" t="inlineStr">
        <is>
          <t>world_bank_col_estimate</t>
        </is>
      </c>
      <c r="K3513" t="inlineStr">
        <is>
          <t>https://api.worldbank.org/v2/country/CZE/indicator/NY.GNP.PCAP.PP.CD?format=json&amp;mrv=10</t>
        </is>
      </c>
      <c r="L3513" t="inlineStr">
        <is>
          <t>World Bank GNI + regional expenditure ratio estimate</t>
        </is>
      </c>
      <c r="M3513" t="inlineStr">
        <is>
          <t>2024-12-31</t>
        </is>
      </c>
      <c r="N3513" t="inlineStr">
        <is>
          <t>auto_ingest=world_bank_col_estimate; gni_annual=54800.0; year=2024; country_proxy=Czechia; cohort=Southern/Eastern Europe and Eurasia; city_cost_mult=0.85</t>
        </is>
      </c>
    </row>
    <row r="3514">
      <c r="A3514" t="inlineStr">
        <is>
          <t>cz-brno</t>
        </is>
      </c>
      <c r="B3514" t="inlineStr">
        <is>
          <t>Brno</t>
        </is>
      </c>
      <c r="C3514" t="inlineStr">
        <is>
          <t>Czechia</t>
        </is>
      </c>
      <c r="D3514" t="inlineStr">
        <is>
          <t>Southern/Eastern Europe and Eurasia</t>
        </is>
      </c>
      <c r="E3514" t="inlineStr">
        <is>
          <t>utilities</t>
        </is>
      </c>
      <c r="F3514" t="inlineStr">
        <is>
          <t>Utilities</t>
        </is>
      </c>
      <c r="G3514" t="inlineStr">
        <is>
          <t>pressure</t>
        </is>
      </c>
      <c r="H3514" t="inlineStr">
        <is>
          <t>yes</t>
        </is>
      </c>
      <c r="I3514" t="inlineStr">
        <is>
          <t>310.53</t>
        </is>
      </c>
      <c r="J3514" t="inlineStr">
        <is>
          <t>world_bank_col_estimate</t>
        </is>
      </c>
      <c r="K3514" t="inlineStr">
        <is>
          <t>https://api.worldbank.org/v2/country/CZE/indicator/NY.GNP.PCAP.PP.CD?format=json&amp;mrv=10</t>
        </is>
      </c>
      <c r="L3514" t="inlineStr">
        <is>
          <t>World Bank GNI + regional expenditure ratio estimate</t>
        </is>
      </c>
      <c r="M3514" t="inlineStr">
        <is>
          <t>2024-12-31</t>
        </is>
      </c>
      <c r="N3514" t="inlineStr">
        <is>
          <t>auto_ingest=world_bank_col_estimate; gni_annual=54800.0; year=2024; country_proxy=Czechia; cohort=Southern/Eastern Europe and Eurasia; city_cost_mult=0.85</t>
        </is>
      </c>
    </row>
    <row r="3515">
      <c r="A3515" t="inlineStr">
        <is>
          <t>cz-brno</t>
        </is>
      </c>
      <c r="B3515" t="inlineStr">
        <is>
          <t>Brno</t>
        </is>
      </c>
      <c r="C3515" t="inlineStr">
        <is>
          <t>Czechia</t>
        </is>
      </c>
      <c r="D3515" t="inlineStr">
        <is>
          <t>Southern/Eastern Europe and Eurasia</t>
        </is>
      </c>
      <c r="E3515" t="inlineStr">
        <is>
          <t>transit_cost</t>
        </is>
      </c>
      <c r="F3515" t="inlineStr">
        <is>
          <t>Transit cost</t>
        </is>
      </c>
      <c r="G3515" t="inlineStr">
        <is>
          <t>pressure</t>
        </is>
      </c>
      <c r="H3515" t="inlineStr">
        <is>
          <t>yes</t>
        </is>
      </c>
      <c r="I3515" t="inlineStr">
        <is>
          <t>155.27</t>
        </is>
      </c>
      <c r="J3515" t="inlineStr">
        <is>
          <t>world_bank_col_estimate</t>
        </is>
      </c>
      <c r="K3515" t="inlineStr">
        <is>
          <t>https://api.worldbank.org/v2/country/CZE/indicator/NY.GNP.PCAP.PP.CD?format=json&amp;mrv=10</t>
        </is>
      </c>
      <c r="L3515" t="inlineStr">
        <is>
          <t>World Bank GNI + regional expenditure ratio estimate</t>
        </is>
      </c>
      <c r="M3515" t="inlineStr">
        <is>
          <t>2024-12-31</t>
        </is>
      </c>
      <c r="N3515" t="inlineStr">
        <is>
          <t>auto_ingest=world_bank_col_estimate; gni_annual=54800.0; year=2024; country_proxy=Czechia; cohort=Southern/Eastern Europe and Eurasia; city_cost_mult=0.85</t>
        </is>
      </c>
    </row>
    <row r="3516">
      <c r="A3516" t="inlineStr">
        <is>
          <t>cz-brno</t>
        </is>
      </c>
      <c r="B3516" t="inlineStr">
        <is>
          <t>Brno</t>
        </is>
      </c>
      <c r="C3516" t="inlineStr">
        <is>
          <t>Czechia</t>
        </is>
      </c>
      <c r="D3516" t="inlineStr">
        <is>
          <t>Southern/Eastern Europe and Eurasia</t>
        </is>
      </c>
      <c r="E3516" t="inlineStr">
        <is>
          <t>internet_cost</t>
        </is>
      </c>
      <c r="F3516" t="inlineStr">
        <is>
          <t>Internet cost</t>
        </is>
      </c>
      <c r="G3516" t="inlineStr">
        <is>
          <t>pressure</t>
        </is>
      </c>
      <c r="H3516" t="inlineStr">
        <is>
          <t>yes</t>
        </is>
      </c>
      <c r="I3516" t="inlineStr">
        <is>
          <t>58.23</t>
        </is>
      </c>
      <c r="J3516" t="inlineStr">
        <is>
          <t>world_bank_col_estimate</t>
        </is>
      </c>
      <c r="K3516" t="inlineStr">
        <is>
          <t>https://api.worldbank.org/v2/country/CZE/indicator/NY.GNP.PCAP.PP.CD?format=json&amp;mrv=10</t>
        </is>
      </c>
      <c r="L3516" t="inlineStr">
        <is>
          <t>World Bank GNI + regional expenditure ratio estimate</t>
        </is>
      </c>
      <c r="M3516" t="inlineStr">
        <is>
          <t>2024-12-31</t>
        </is>
      </c>
      <c r="N3516" t="inlineStr">
        <is>
          <t>auto_ingest=world_bank_col_estimate; gni_annual=54800.0; year=2024; country_proxy=Czechia; cohort=Southern/Eastern Europe and Eurasia; city_cost_mult=0.85</t>
        </is>
      </c>
    </row>
    <row r="3517">
      <c r="A3517" t="inlineStr">
        <is>
          <t>cz-brno</t>
        </is>
      </c>
      <c r="B3517" t="inlineStr">
        <is>
          <t>Brno</t>
        </is>
      </c>
      <c r="C3517" t="inlineStr">
        <is>
          <t>Czechia</t>
        </is>
      </c>
      <c r="D3517" t="inlineStr">
        <is>
          <t>Southern/Eastern Europe and Eurasia</t>
        </is>
      </c>
      <c r="E3517" t="inlineStr">
        <is>
          <t>food_cost</t>
        </is>
      </c>
      <c r="F3517" t="inlineStr">
        <is>
          <t>Food cost</t>
        </is>
      </c>
      <c r="G3517" t="inlineStr">
        <is>
          <t>pressure</t>
        </is>
      </c>
      <c r="H3517" t="inlineStr">
        <is>
          <t>yes</t>
        </is>
      </c>
      <c r="I3517" t="inlineStr">
        <is>
          <t>776.33</t>
        </is>
      </c>
      <c r="J3517" t="inlineStr">
        <is>
          <t>world_bank_col_estimate</t>
        </is>
      </c>
      <c r="K3517" t="inlineStr">
        <is>
          <t>https://api.worldbank.org/v2/country/CZE/indicator/NY.GNP.PCAP.PP.CD?format=json&amp;mrv=10</t>
        </is>
      </c>
      <c r="L3517" t="inlineStr">
        <is>
          <t>World Bank GNI + regional expenditure ratio estimate</t>
        </is>
      </c>
      <c r="M3517" t="inlineStr">
        <is>
          <t>2024-12-31</t>
        </is>
      </c>
      <c r="N3517" t="inlineStr">
        <is>
          <t>auto_ingest=world_bank_col_estimate; gni_annual=54800.0; year=2024; country_proxy=Czechia; cohort=Southern/Eastern Europe and Eurasia; city_cost_mult=0.85</t>
        </is>
      </c>
    </row>
    <row r="3518">
      <c r="A3518" t="inlineStr">
        <is>
          <t>cz-brno</t>
        </is>
      </c>
      <c r="B3518" t="inlineStr">
        <is>
          <t>Brno</t>
        </is>
      </c>
      <c r="C3518" t="inlineStr">
        <is>
          <t>Czechia</t>
        </is>
      </c>
      <c r="D3518" t="inlineStr">
        <is>
          <t>Southern/Eastern Europe and Eurasia</t>
        </is>
      </c>
      <c r="E3518" t="inlineStr">
        <is>
          <t>housing_burden_raw</t>
        </is>
      </c>
      <c r="F3518" t="inlineStr">
        <is>
          <t>Housing burden raw</t>
        </is>
      </c>
      <c r="G3518" t="inlineStr">
        <is>
          <t>pressure</t>
        </is>
      </c>
      <c r="H3518" t="inlineStr">
        <is>
          <t>yes</t>
        </is>
      </c>
      <c r="I3518" t="inlineStr">
        <is>
          <t>21.2501</t>
        </is>
      </c>
      <c r="J3518" t="inlineStr">
        <is>
          <t>derived</t>
        </is>
      </c>
      <c r="K3518" t="inlineStr">
        <is>
          <t>https://data.worldbank.org/indicator/NY.GNP.PCAP.PP.CD</t>
        </is>
      </c>
      <c r="L3518" t="inlineStr">
        <is>
          <t>Computed from city_inputs + country_context</t>
        </is>
      </c>
      <c r="M3518" t="inlineStr">
        <is>
          <t>2024-01-01</t>
        </is>
      </c>
      <c r="N3518" t="inlineStr">
        <is>
          <t>derived=rent/gross_income*100</t>
        </is>
      </c>
    </row>
    <row r="3519">
      <c r="A3519" t="inlineStr">
        <is>
          <t>cz-brno</t>
        </is>
      </c>
      <c r="B3519" t="inlineStr">
        <is>
          <t>Brno</t>
        </is>
      </c>
      <c r="C3519" t="inlineStr">
        <is>
          <t>Czechia</t>
        </is>
      </c>
      <c r="D3519" t="inlineStr">
        <is>
          <t>Southern/Eastern Europe and Eurasia</t>
        </is>
      </c>
      <c r="E3519" t="inlineStr">
        <is>
          <t>household_debt_burden_raw</t>
        </is>
      </c>
      <c r="F3519" t="inlineStr">
        <is>
          <t>Household debt burden raw</t>
        </is>
      </c>
      <c r="G3519" t="inlineStr">
        <is>
          <t>pressure</t>
        </is>
      </c>
      <c r="H3519" t="inlineStr">
        <is>
          <t>yes</t>
        </is>
      </c>
      <c r="I3519" t="inlineStr"/>
      <c r="J3519" t="inlineStr"/>
      <c r="K3519" t="inlineStr"/>
      <c r="L3519" t="inlineStr"/>
      <c r="M3519" t="inlineStr"/>
      <c r="N3519" t="inlineStr"/>
    </row>
    <row r="3520">
      <c r="A3520" t="inlineStr">
        <is>
          <t>cz-brno</t>
        </is>
      </c>
      <c r="B3520" t="inlineStr">
        <is>
          <t>Brno</t>
        </is>
      </c>
      <c r="C3520" t="inlineStr">
        <is>
          <t>Czechia</t>
        </is>
      </c>
      <c r="D3520" t="inlineStr">
        <is>
          <t>Southern/Eastern Europe and Eurasia</t>
        </is>
      </c>
      <c r="E3520" t="inlineStr">
        <is>
          <t>working_time_pressure_raw</t>
        </is>
      </c>
      <c r="F3520" t="inlineStr">
        <is>
          <t>Working time pressure raw</t>
        </is>
      </c>
      <c r="G3520" t="inlineStr">
        <is>
          <t>pressure</t>
        </is>
      </c>
      <c r="H3520" t="inlineStr">
        <is>
          <t>yes</t>
        </is>
      </c>
      <c r="I3520" t="inlineStr"/>
      <c r="J3520" t="inlineStr"/>
      <c r="K3520" t="inlineStr"/>
      <c r="L3520" t="inlineStr"/>
      <c r="M3520" t="inlineStr"/>
      <c r="N3520" t="inlineStr"/>
    </row>
    <row r="3521">
      <c r="A3521" t="inlineStr">
        <is>
          <t>cz-brno</t>
        </is>
      </c>
      <c r="B3521" t="inlineStr">
        <is>
          <t>Brno</t>
        </is>
      </c>
      <c r="C3521" t="inlineStr">
        <is>
          <t>Czechia</t>
        </is>
      </c>
      <c r="D3521" t="inlineStr">
        <is>
          <t>Southern/Eastern Europe and Eurasia</t>
        </is>
      </c>
      <c r="E3521" t="inlineStr">
        <is>
          <t>suicide_mental_strain_raw</t>
        </is>
      </c>
      <c r="F3521" t="inlineStr">
        <is>
          <t>Suicide or mental strain raw</t>
        </is>
      </c>
      <c r="G3521" t="inlineStr">
        <is>
          <t>pressure</t>
        </is>
      </c>
      <c r="H3521" t="inlineStr">
        <is>
          <t>yes</t>
        </is>
      </c>
      <c r="I3521" t="inlineStr"/>
      <c r="J3521" t="inlineStr"/>
      <c r="K3521" t="inlineStr"/>
      <c r="L3521" t="inlineStr"/>
      <c r="M3521" t="inlineStr"/>
      <c r="N3521" t="inlineStr"/>
    </row>
    <row r="3522">
      <c r="A3522" t="inlineStr">
        <is>
          <t>cz-brno</t>
        </is>
      </c>
      <c r="B3522" t="inlineStr">
        <is>
          <t>Brno</t>
        </is>
      </c>
      <c r="C3522" t="inlineStr">
        <is>
          <t>Czechia</t>
        </is>
      </c>
      <c r="D3522" t="inlineStr">
        <is>
          <t>Southern/Eastern Europe and Eurasia</t>
        </is>
      </c>
      <c r="E3522" t="inlineStr">
        <is>
          <t>personal_safety_raw</t>
        </is>
      </c>
      <c r="F3522" t="inlineStr">
        <is>
          <t>Personal safety raw</t>
        </is>
      </c>
      <c r="G3522" t="inlineStr">
        <is>
          <t>viability</t>
        </is>
      </c>
      <c r="H3522" t="inlineStr">
        <is>
          <t>yes</t>
        </is>
      </c>
      <c r="I3522" t="inlineStr"/>
      <c r="J3522" t="inlineStr"/>
      <c r="K3522" t="inlineStr"/>
      <c r="L3522" t="inlineStr"/>
      <c r="M3522" t="inlineStr"/>
      <c r="N3522" t="inlineStr"/>
    </row>
    <row r="3523">
      <c r="A3523" t="inlineStr">
        <is>
          <t>cz-brno</t>
        </is>
      </c>
      <c r="B3523" t="inlineStr">
        <is>
          <t>Brno</t>
        </is>
      </c>
      <c r="C3523" t="inlineStr">
        <is>
          <t>Czechia</t>
        </is>
      </c>
      <c r="D3523" t="inlineStr">
        <is>
          <t>Southern/Eastern Europe and Eurasia</t>
        </is>
      </c>
      <c r="E3523" t="inlineStr">
        <is>
          <t>transit_access_commute_raw</t>
        </is>
      </c>
      <c r="F3523" t="inlineStr">
        <is>
          <t>Transit access and commute raw</t>
        </is>
      </c>
      <c r="G3523" t="inlineStr">
        <is>
          <t>viability</t>
        </is>
      </c>
      <c r="H3523" t="inlineStr">
        <is>
          <t>yes</t>
        </is>
      </c>
      <c r="I3523" t="inlineStr"/>
      <c r="J3523" t="inlineStr"/>
      <c r="K3523" t="inlineStr"/>
      <c r="L3523" t="inlineStr"/>
      <c r="M3523" t="inlineStr"/>
      <c r="N3523" t="inlineStr"/>
    </row>
    <row r="3524">
      <c r="A3524" t="inlineStr">
        <is>
          <t>cz-brno</t>
        </is>
      </c>
      <c r="B3524" t="inlineStr">
        <is>
          <t>Brno</t>
        </is>
      </c>
      <c r="C3524" t="inlineStr">
        <is>
          <t>Czechia</t>
        </is>
      </c>
      <c r="D3524" t="inlineStr">
        <is>
          <t>Southern/Eastern Europe and Eurasia</t>
        </is>
      </c>
      <c r="E3524" t="inlineStr">
        <is>
          <t>clean_air_raw</t>
        </is>
      </c>
      <c r="F3524" t="inlineStr">
        <is>
          <t>Clean air raw</t>
        </is>
      </c>
      <c r="G3524" t="inlineStr">
        <is>
          <t>viability</t>
        </is>
      </c>
      <c r="H3524" t="inlineStr">
        <is>
          <t>yes</t>
        </is>
      </c>
      <c r="I3524" t="inlineStr"/>
      <c r="J3524" t="inlineStr"/>
      <c r="K3524" t="inlineStr"/>
      <c r="L3524" t="inlineStr"/>
      <c r="M3524" t="inlineStr"/>
      <c r="N3524" t="inlineStr"/>
    </row>
    <row r="3525">
      <c r="A3525" t="inlineStr">
        <is>
          <t>cz-brno</t>
        </is>
      </c>
      <c r="B3525" t="inlineStr">
        <is>
          <t>Brno</t>
        </is>
      </c>
      <c r="C3525" t="inlineStr">
        <is>
          <t>Czechia</t>
        </is>
      </c>
      <c r="D3525" t="inlineStr">
        <is>
          <t>Southern/Eastern Europe and Eurasia</t>
        </is>
      </c>
      <c r="E3525" t="inlineStr">
        <is>
          <t>water_sanitation_utility_raw</t>
        </is>
      </c>
      <c r="F3525" t="inlineStr">
        <is>
          <t>Water, sanitation, and utility raw</t>
        </is>
      </c>
      <c r="G3525" t="inlineStr">
        <is>
          <t>viability</t>
        </is>
      </c>
      <c r="H3525" t="inlineStr">
        <is>
          <t>yes</t>
        </is>
      </c>
      <c r="I3525" t="inlineStr"/>
      <c r="J3525" t="inlineStr"/>
      <c r="K3525" t="inlineStr"/>
      <c r="L3525" t="inlineStr"/>
      <c r="M3525" t="inlineStr"/>
      <c r="N3525" t="inlineStr"/>
    </row>
    <row r="3526">
      <c r="A3526" t="inlineStr">
        <is>
          <t>cz-brno</t>
        </is>
      </c>
      <c r="B3526" t="inlineStr">
        <is>
          <t>Brno</t>
        </is>
      </c>
      <c r="C3526" t="inlineStr">
        <is>
          <t>Czechia</t>
        </is>
      </c>
      <c r="D3526" t="inlineStr">
        <is>
          <t>Southern/Eastern Europe and Eurasia</t>
        </is>
      </c>
      <c r="E3526" t="inlineStr">
        <is>
          <t>digital_infrastructure_raw</t>
        </is>
      </c>
      <c r="F3526" t="inlineStr">
        <is>
          <t>Digital infrastructure raw</t>
        </is>
      </c>
      <c r="G3526" t="inlineStr">
        <is>
          <t>viability</t>
        </is>
      </c>
      <c r="H3526" t="inlineStr">
        <is>
          <t>yes</t>
        </is>
      </c>
      <c r="I3526" t="inlineStr"/>
      <c r="J3526" t="inlineStr"/>
      <c r="K3526" t="inlineStr"/>
      <c r="L3526" t="inlineStr"/>
      <c r="M3526" t="inlineStr"/>
      <c r="N3526" t="inlineStr"/>
    </row>
    <row r="3527">
      <c r="A3527" t="inlineStr">
        <is>
          <t>cz-brno</t>
        </is>
      </c>
      <c r="B3527" t="inlineStr">
        <is>
          <t>Brno</t>
        </is>
      </c>
      <c r="C3527" t="inlineStr">
        <is>
          <t>Czechia</t>
        </is>
      </c>
      <c r="D3527" t="inlineStr">
        <is>
          <t>Southern/Eastern Europe and Eurasia</t>
        </is>
      </c>
      <c r="E3527" t="inlineStr">
        <is>
          <t>climate_sunlight_livability_raw</t>
        </is>
      </c>
      <c r="F3527" t="inlineStr">
        <is>
          <t>Climate and sunlight livability raw</t>
        </is>
      </c>
      <c r="G3527" t="inlineStr">
        <is>
          <t>viability</t>
        </is>
      </c>
      <c r="H3527" t="inlineStr">
        <is>
          <t>yes</t>
        </is>
      </c>
      <c r="I3527" t="inlineStr">
        <is>
          <t>48</t>
        </is>
      </c>
      <c r="J3527" t="inlineStr">
        <is>
          <t>wmo_natl_met</t>
        </is>
      </c>
      <c r="K3527" t="inlineStr">
        <is>
          <t>https://worldweather.wmo.int</t>
        </is>
      </c>
      <c r="L3527" t="inlineStr">
        <is>
          <t>WMO/National Met: Climate livability composite</t>
        </is>
      </c>
      <c r="M3527" t="inlineStr">
        <is>
          <t>2024-12-31</t>
        </is>
      </c>
      <c r="N3527" t="inlineStr">
        <is>
          <t>auto_seed=climate_composite; 1700 sun hrs, 10C mean</t>
        </is>
      </c>
    </row>
    <row r="3528">
      <c r="A3528" t="inlineStr">
        <is>
          <t>cz-brno</t>
        </is>
      </c>
      <c r="B3528" t="inlineStr">
        <is>
          <t>Brno</t>
        </is>
      </c>
      <c r="C3528" t="inlineStr">
        <is>
          <t>Czechia</t>
        </is>
      </c>
      <c r="D3528" t="inlineStr">
        <is>
          <t>Southern/Eastern Europe and Eurasia</t>
        </is>
      </c>
      <c r="E3528" t="inlineStr">
        <is>
          <t>healthcare_quality_raw</t>
        </is>
      </c>
      <c r="F3528" t="inlineStr">
        <is>
          <t>Healthcare quality raw</t>
        </is>
      </c>
      <c r="G3528" t="inlineStr">
        <is>
          <t>capability</t>
        </is>
      </c>
      <c r="H3528" t="inlineStr">
        <is>
          <t>yes</t>
        </is>
      </c>
      <c r="I3528" t="inlineStr"/>
      <c r="J3528" t="inlineStr"/>
      <c r="K3528" t="inlineStr"/>
      <c r="L3528" t="inlineStr"/>
      <c r="M3528" t="inlineStr"/>
      <c r="N3528" t="inlineStr"/>
    </row>
    <row r="3529">
      <c r="A3529" t="inlineStr">
        <is>
          <t>cz-brno</t>
        </is>
      </c>
      <c r="B3529" t="inlineStr">
        <is>
          <t>Brno</t>
        </is>
      </c>
      <c r="C3529" t="inlineStr">
        <is>
          <t>Czechia</t>
        </is>
      </c>
      <c r="D3529" t="inlineStr">
        <is>
          <t>Southern/Eastern Europe and Eurasia</t>
        </is>
      </c>
      <c r="E3529" t="inlineStr">
        <is>
          <t>education_quality_raw</t>
        </is>
      </c>
      <c r="F3529" t="inlineStr">
        <is>
          <t>Education quality raw</t>
        </is>
      </c>
      <c r="G3529" t="inlineStr">
        <is>
          <t>capability</t>
        </is>
      </c>
      <c r="H3529" t="inlineStr">
        <is>
          <t>yes</t>
        </is>
      </c>
      <c r="I3529" t="inlineStr"/>
      <c r="J3529" t="inlineStr"/>
      <c r="K3529" t="inlineStr"/>
      <c r="L3529" t="inlineStr"/>
      <c r="M3529" t="inlineStr"/>
      <c r="N3529" t="inlineStr"/>
    </row>
    <row r="3530">
      <c r="A3530" t="inlineStr">
        <is>
          <t>cz-brno</t>
        </is>
      </c>
      <c r="B3530" t="inlineStr">
        <is>
          <t>Brno</t>
        </is>
      </c>
      <c r="C3530" t="inlineStr">
        <is>
          <t>Czechia</t>
        </is>
      </c>
      <c r="D3530" t="inlineStr">
        <is>
          <t>Southern/Eastern Europe and Eurasia</t>
        </is>
      </c>
      <c r="E3530" t="inlineStr">
        <is>
          <t>equal_opportunity_raw</t>
        </is>
      </c>
      <c r="F3530" t="inlineStr">
        <is>
          <t>Equal opportunity raw</t>
        </is>
      </c>
      <c r="G3530" t="inlineStr">
        <is>
          <t>capability</t>
        </is>
      </c>
      <c r="H3530" t="inlineStr">
        <is>
          <t>yes</t>
        </is>
      </c>
      <c r="I3530" t="inlineStr">
        <is>
          <t>25.7</t>
        </is>
      </c>
      <c r="J3530" t="inlineStr">
        <is>
          <t>world_bank</t>
        </is>
      </c>
      <c r="K3530" t="inlineStr">
        <is>
          <t>https://api.worldbank.org/v2/country/CZE/indicator/SI.POV.GINI?format=json&amp;mrv=10</t>
        </is>
      </c>
      <c r="L3530" t="inlineStr">
        <is>
          <t>World Bank WDI: Gini index</t>
        </is>
      </c>
      <c r="M3530" t="inlineStr">
        <is>
          <t>2023-12-31</t>
        </is>
      </c>
      <c r="N3530" t="inlineStr">
        <is>
          <t>auto_ingest=world_bank_capability; indicator=SI.POV.GINI; year=2023; country_proxy=Czechia</t>
        </is>
      </c>
    </row>
    <row r="3531">
      <c r="A3531" t="inlineStr">
        <is>
          <t>cz-brno</t>
        </is>
      </c>
      <c r="B3531" t="inlineStr">
        <is>
          <t>Brno</t>
        </is>
      </c>
      <c r="C3531" t="inlineStr">
        <is>
          <t>Czechia</t>
        </is>
      </c>
      <c r="D3531" t="inlineStr">
        <is>
          <t>Southern/Eastern Europe and Eurasia</t>
        </is>
      </c>
      <c r="E3531" t="inlineStr">
        <is>
          <t>hospitality_belonging_raw</t>
        </is>
      </c>
      <c r="F3531" t="inlineStr">
        <is>
          <t>Hospitality and belonging raw</t>
        </is>
      </c>
      <c r="G3531" t="inlineStr">
        <is>
          <t>community</t>
        </is>
      </c>
      <c r="H3531" t="inlineStr">
        <is>
          <t>yes</t>
        </is>
      </c>
      <c r="I3531" t="inlineStr"/>
      <c r="J3531" t="inlineStr"/>
      <c r="K3531" t="inlineStr"/>
      <c r="L3531" t="inlineStr"/>
      <c r="M3531" t="inlineStr"/>
      <c r="N3531" t="inlineStr"/>
    </row>
    <row r="3532">
      <c r="A3532" t="inlineStr">
        <is>
          <t>cz-brno</t>
        </is>
      </c>
      <c r="B3532" t="inlineStr">
        <is>
          <t>Brno</t>
        </is>
      </c>
      <c r="C3532" t="inlineStr">
        <is>
          <t>Czechia</t>
        </is>
      </c>
      <c r="D3532" t="inlineStr">
        <is>
          <t>Southern/Eastern Europe and Eurasia</t>
        </is>
      </c>
      <c r="E3532" t="inlineStr">
        <is>
          <t>tolerance_pluralism_raw</t>
        </is>
      </c>
      <c r="F3532" t="inlineStr">
        <is>
          <t>Tolerance and pluralism raw</t>
        </is>
      </c>
      <c r="G3532" t="inlineStr">
        <is>
          <t>community</t>
        </is>
      </c>
      <c r="H3532" t="inlineStr">
        <is>
          <t>yes</t>
        </is>
      </c>
      <c r="I3532" t="inlineStr"/>
      <c r="J3532" t="inlineStr"/>
      <c r="K3532" t="inlineStr"/>
      <c r="L3532" t="inlineStr"/>
      <c r="M3532" t="inlineStr"/>
      <c r="N3532" t="inlineStr"/>
    </row>
    <row r="3533">
      <c r="A3533" t="inlineStr">
        <is>
          <t>cz-brno</t>
        </is>
      </c>
      <c r="B3533" t="inlineStr">
        <is>
          <t>Brno</t>
        </is>
      </c>
      <c r="C3533" t="inlineStr">
        <is>
          <t>Czechia</t>
        </is>
      </c>
      <c r="D3533" t="inlineStr">
        <is>
          <t>Southern/Eastern Europe and Eurasia</t>
        </is>
      </c>
      <c r="E3533" t="inlineStr">
        <is>
          <t>cultural_public_life_raw</t>
        </is>
      </c>
      <c r="F3533" t="inlineStr">
        <is>
          <t>Cultural public life raw</t>
        </is>
      </c>
      <c r="G3533" t="inlineStr">
        <is>
          <t>community</t>
        </is>
      </c>
      <c r="H3533" t="inlineStr">
        <is>
          <t>yes</t>
        </is>
      </c>
      <c r="I3533" t="inlineStr"/>
      <c r="J3533" t="inlineStr"/>
      <c r="K3533" t="inlineStr"/>
      <c r="L3533" t="inlineStr"/>
      <c r="M3533" t="inlineStr"/>
      <c r="N3533" t="inlineStr"/>
    </row>
    <row r="3534">
      <c r="A3534" t="inlineStr">
        <is>
          <t>cz-brno</t>
        </is>
      </c>
      <c r="B3534" t="inlineStr">
        <is>
          <t>Brno</t>
        </is>
      </c>
      <c r="C3534" t="inlineStr">
        <is>
          <t>Czechia</t>
        </is>
      </c>
      <c r="D3534" t="inlineStr">
        <is>
          <t>Southern/Eastern Europe and Eurasia</t>
        </is>
      </c>
      <c r="E3534" t="inlineStr">
        <is>
          <t>birth_rate_optimism_raw</t>
        </is>
      </c>
      <c r="F3534" t="inlineStr">
        <is>
          <t>Birth rate and societal optimism raw</t>
        </is>
      </c>
      <c r="G3534" t="inlineStr">
        <is>
          <t>community</t>
        </is>
      </c>
      <c r="H3534" t="inlineStr">
        <is>
          <t>yes</t>
        </is>
      </c>
      <c r="I3534" t="inlineStr"/>
      <c r="J3534" t="inlineStr"/>
      <c r="K3534" t="inlineStr"/>
      <c r="L3534" t="inlineStr"/>
      <c r="M3534" t="inlineStr"/>
      <c r="N3534" t="inlineStr"/>
    </row>
    <row r="3535">
      <c r="A3535" t="inlineStr">
        <is>
          <t>cz-brno</t>
        </is>
      </c>
      <c r="B3535" t="inlineStr">
        <is>
          <t>Brno</t>
        </is>
      </c>
      <c r="C3535" t="inlineStr">
        <is>
          <t>Czechia</t>
        </is>
      </c>
      <c r="D3535" t="inlineStr">
        <is>
          <t>Southern/Eastern Europe and Eurasia</t>
        </is>
      </c>
      <c r="E3535" t="inlineStr">
        <is>
          <t>entrepreneurial_dynamism_raw</t>
        </is>
      </c>
      <c r="F3535" t="inlineStr">
        <is>
          <t>Entrepreneurial dynamism raw</t>
        </is>
      </c>
      <c r="G3535" t="inlineStr">
        <is>
          <t>creative</t>
        </is>
      </c>
      <c r="H3535" t="inlineStr">
        <is>
          <t>yes</t>
        </is>
      </c>
      <c r="I3535" t="inlineStr">
        <is>
          <t>4.06</t>
        </is>
      </c>
      <c r="J3535" t="inlineStr">
        <is>
          <t>world_bank</t>
        </is>
      </c>
      <c r="K3535" t="inlineStr">
        <is>
          <t>https://api.worldbank.org/v2/country/CZE/indicator/IC.BUS.NDNS.ZS?format=json&amp;mrv=10</t>
        </is>
      </c>
      <c r="L3535" t="inlineStr">
        <is>
          <t>World Bank WDI: New business density (new registrations per 1,000 people ages 15-64)</t>
        </is>
      </c>
      <c r="M3535" t="inlineStr">
        <is>
          <t>2022-12-31</t>
        </is>
      </c>
      <c r="N3535" t="inlineStr">
        <is>
          <t>auto_ingest=world_bank_creative_extended; indicator=IC.BUS.NDNS.ZS; year=2022; country_proxy=Czechia</t>
        </is>
      </c>
    </row>
    <row r="3536">
      <c r="A3536" t="inlineStr">
        <is>
          <t>cz-brno</t>
        </is>
      </c>
      <c r="B3536" t="inlineStr">
        <is>
          <t>Brno</t>
        </is>
      </c>
      <c r="C3536" t="inlineStr">
        <is>
          <t>Czechia</t>
        </is>
      </c>
      <c r="D3536" t="inlineStr">
        <is>
          <t>Southern/Eastern Europe and Eurasia</t>
        </is>
      </c>
      <c r="E3536" t="inlineStr">
        <is>
          <t>innovation_research_intensity_raw</t>
        </is>
      </c>
      <c r="F3536" t="inlineStr">
        <is>
          <t>Innovation and research raw</t>
        </is>
      </c>
      <c r="G3536" t="inlineStr">
        <is>
          <t>creative</t>
        </is>
      </c>
      <c r="H3536" t="inlineStr">
        <is>
          <t>yes</t>
        </is>
      </c>
      <c r="I3536" t="inlineStr">
        <is>
          <t>1.96</t>
        </is>
      </c>
      <c r="J3536" t="inlineStr">
        <is>
          <t>world_bank</t>
        </is>
      </c>
      <c r="K3536" t="inlineStr">
        <is>
          <t>https://api.worldbank.org/v2/country/CZE/indicator/GB.XPD.RSDV.GD.ZS?format=json&amp;mrv=10</t>
        </is>
      </c>
      <c r="L3536" t="inlineStr">
        <is>
          <t>World Bank WDI: Research and development expenditure (% of GDP)</t>
        </is>
      </c>
      <c r="M3536" t="inlineStr">
        <is>
          <t>2022-12-31</t>
        </is>
      </c>
      <c r="N3536" t="inlineStr">
        <is>
          <t>auto_ingest=world_bank_creative_extended; indicator=GB.XPD.RSDV.GD.ZS; year=2022; country_proxy=Czechia</t>
        </is>
      </c>
    </row>
    <row r="3537">
      <c r="A3537" t="inlineStr">
        <is>
          <t>cz-brno</t>
        </is>
      </c>
      <c r="B3537" t="inlineStr">
        <is>
          <t>Brno</t>
        </is>
      </c>
      <c r="C3537" t="inlineStr">
        <is>
          <t>Czechia</t>
        </is>
      </c>
      <c r="D3537" t="inlineStr">
        <is>
          <t>Southern/Eastern Europe and Eurasia</t>
        </is>
      </c>
      <c r="E3537" t="inlineStr">
        <is>
          <t>investment_signal_raw</t>
        </is>
      </c>
      <c r="F3537" t="inlineStr">
        <is>
          <t>Investment signal raw</t>
        </is>
      </c>
      <c r="G3537" t="inlineStr">
        <is>
          <t>creative</t>
        </is>
      </c>
      <c r="H3537" t="inlineStr">
        <is>
          <t>yes</t>
        </is>
      </c>
      <c r="I3537" t="inlineStr">
        <is>
          <t>3.76</t>
        </is>
      </c>
      <c r="J3537" t="inlineStr">
        <is>
          <t>world_bank</t>
        </is>
      </c>
      <c r="K3537" t="inlineStr">
        <is>
          <t>https://api.worldbank.org/v2/country/CZE/indicator/BX.KLT.DINV.WD.GD.ZS?format=json&amp;mrv=10</t>
        </is>
      </c>
      <c r="L3537" t="inlineStr">
        <is>
          <t>World Bank WDI: Foreign direct investment, net inflows (% of GDP)</t>
        </is>
      </c>
      <c r="M3537" t="inlineStr">
        <is>
          <t>2024-12-31</t>
        </is>
      </c>
      <c r="N3537" t="inlineStr">
        <is>
          <t>auto_ingest=world_bank_creative_extended; indicator=BX.KLT.DINV.WD.GD.ZS; year=2024; country_proxy=Czechia</t>
        </is>
      </c>
    </row>
    <row r="3538">
      <c r="A3538" t="inlineStr">
        <is>
          <t>cz-brno</t>
        </is>
      </c>
      <c r="B3538" t="inlineStr">
        <is>
          <t>Brno</t>
        </is>
      </c>
      <c r="C3538" t="inlineStr">
        <is>
          <t>Czechia</t>
        </is>
      </c>
      <c r="D3538" t="inlineStr">
        <is>
          <t>Southern/Eastern Europe and Eurasia</t>
        </is>
      </c>
      <c r="E3538" t="inlineStr">
        <is>
          <t>administrative_investment_friction_raw</t>
        </is>
      </c>
      <c r="F3538" t="inlineStr">
        <is>
          <t>Administrative investment friction raw</t>
        </is>
      </c>
      <c r="G3538" t="inlineStr">
        <is>
          <t>creative</t>
        </is>
      </c>
      <c r="H3538" t="inlineStr">
        <is>
          <t>yes</t>
        </is>
      </c>
      <c r="I3538" t="inlineStr">
        <is>
          <t>1.2</t>
        </is>
      </c>
      <c r="J3538" t="inlineStr">
        <is>
          <t>world_bank</t>
        </is>
      </c>
      <c r="K3538" t="inlineStr">
        <is>
          <t>https://api.worldbank.org/v2/country/CZE/indicator/RQ.EST?format=json&amp;mrv=10</t>
        </is>
      </c>
      <c r="L3538" t="inlineStr">
        <is>
          <t>World Bank WGI: Regulatory Quality (inverted as friction proxy)</t>
        </is>
      </c>
      <c r="M3538" t="inlineStr">
        <is>
          <t>2023-12-31</t>
        </is>
      </c>
      <c r="N3538" t="inlineStr">
        <is>
          <t>auto_ingest=world_bank_business_friction; indicator=RQ.EST; raw_rq=1.30448853969574; friction=1.2; year=2023; country_proxy=Czechia</t>
        </is>
      </c>
    </row>
    <row r="3539">
      <c r="A3539" t="inlineStr">
        <is>
          <t>cz-brno</t>
        </is>
      </c>
      <c r="B3539" t="inlineStr">
        <is>
          <t>Brno</t>
        </is>
      </c>
      <c r="C3539" t="inlineStr">
        <is>
          <t>Czechia</t>
        </is>
      </c>
      <c r="D3539" t="inlineStr">
        <is>
          <t>Southern/Eastern Europe and Eurasia</t>
        </is>
      </c>
      <c r="E3539" t="inlineStr">
        <is>
          <t>visitor_flow_context_raw</t>
        </is>
      </c>
      <c r="F3539" t="inlineStr">
        <is>
          <t>Visitor flow context raw</t>
        </is>
      </c>
      <c r="G3539" t="inlineStr">
        <is>
          <t>creative</t>
        </is>
      </c>
      <c r="H3539" t="inlineStr">
        <is>
          <t>no</t>
        </is>
      </c>
      <c r="I3539" t="inlineStr"/>
      <c r="J3539" t="inlineStr"/>
      <c r="K3539" t="inlineStr"/>
      <c r="L3539" t="inlineStr"/>
      <c r="M3539" t="inlineStr"/>
      <c r="N3539" t="inlineStr"/>
    </row>
    <row r="3540">
      <c r="A3540" t="inlineStr">
        <is>
          <t>si-ljubljana</t>
        </is>
      </c>
      <c r="B3540" t="inlineStr">
        <is>
          <t>Ljubljana</t>
        </is>
      </c>
      <c r="C3540" t="inlineStr">
        <is>
          <t>Slovenia</t>
        </is>
      </c>
      <c r="D3540" t="inlineStr">
        <is>
          <t>Southern/Eastern Europe and Eurasia</t>
        </is>
      </c>
      <c r="E3540" t="inlineStr">
        <is>
          <t>gross_income</t>
        </is>
      </c>
      <c r="F3540" t="inlineStr">
        <is>
          <t>Gross income</t>
        </is>
      </c>
      <c r="G3540" t="inlineStr">
        <is>
          <t>pressure</t>
        </is>
      </c>
      <c r="H3540" t="inlineStr">
        <is>
          <t>yes</t>
        </is>
      </c>
      <c r="I3540" t="inlineStr">
        <is>
          <t>4710.0</t>
        </is>
      </c>
      <c r="J3540" t="inlineStr">
        <is>
          <t>world_bank_col_estimate</t>
        </is>
      </c>
      <c r="K3540" t="inlineStr">
        <is>
          <t>https://api.worldbank.org/v2/country/SVN/indicator/NY.GNP.PCAP.PP.CD?format=json&amp;mrv=10</t>
        </is>
      </c>
      <c r="L3540" t="inlineStr">
        <is>
          <t>World Bank WDI: GNI per capita PPP (monthly USD)</t>
        </is>
      </c>
      <c r="M3540" t="inlineStr">
        <is>
          <t>2024-12-31</t>
        </is>
      </c>
      <c r="N3540" t="inlineStr">
        <is>
          <t>auto_ingest=world_bank_col_estimate; gni_annual=56520.0; year=2024; country_proxy=Slovenia; cohort=Southern/Eastern Europe and Eurasia</t>
        </is>
      </c>
    </row>
    <row r="3541">
      <c r="A3541" t="inlineStr">
        <is>
          <t>si-ljubljana</t>
        </is>
      </c>
      <c r="B3541" t="inlineStr">
        <is>
          <t>Ljubljana</t>
        </is>
      </c>
      <c r="C3541" t="inlineStr">
        <is>
          <t>Slovenia</t>
        </is>
      </c>
      <c r="D3541" t="inlineStr">
        <is>
          <t>Southern/Eastern Europe and Eurasia</t>
        </is>
      </c>
      <c r="E3541" t="inlineStr">
        <is>
          <t>di_ppp_raw</t>
        </is>
      </c>
      <c r="F3541" t="inlineStr">
        <is>
          <t>Disposable income PPP (Raw)</t>
        </is>
      </c>
      <c r="G3541" t="inlineStr">
        <is>
          <t>pressure</t>
        </is>
      </c>
      <c r="H3541" t="inlineStr">
        <is>
          <t>yes</t>
        </is>
      </c>
      <c r="I3541" t="inlineStr"/>
      <c r="J3541" t="inlineStr"/>
      <c r="K3541" t="inlineStr"/>
      <c r="L3541" t="inlineStr"/>
      <c r="M3541" t="inlineStr"/>
      <c r="N3541" t="inlineStr"/>
    </row>
    <row r="3542">
      <c r="A3542" t="inlineStr">
        <is>
          <t>si-ljubljana</t>
        </is>
      </c>
      <c r="B3542" t="inlineStr">
        <is>
          <t>Ljubljana</t>
        </is>
      </c>
      <c r="C3542" t="inlineStr">
        <is>
          <t>Slovenia</t>
        </is>
      </c>
      <c r="D3542" t="inlineStr">
        <is>
          <t>Southern/Eastern Europe and Eurasia</t>
        </is>
      </c>
      <c r="E3542" t="inlineStr">
        <is>
          <t>rent</t>
        </is>
      </c>
      <c r="F3542" t="inlineStr">
        <is>
          <t>Rent</t>
        </is>
      </c>
      <c r="G3542" t="inlineStr">
        <is>
          <t>pressure</t>
        </is>
      </c>
      <c r="H3542" t="inlineStr">
        <is>
          <t>yes</t>
        </is>
      </c>
      <c r="I3542" t="inlineStr">
        <is>
          <t>1059.75</t>
        </is>
      </c>
      <c r="J3542" t="inlineStr">
        <is>
          <t>world_bank_col_estimate</t>
        </is>
      </c>
      <c r="K3542" t="inlineStr">
        <is>
          <t>https://api.worldbank.org/v2/country/SVN/indicator/NY.GNP.PCAP.PP.CD?format=json&amp;mrv=10</t>
        </is>
      </c>
      <c r="L3542" t="inlineStr">
        <is>
          <t>World Bank GNI + regional expenditure ratio estimate</t>
        </is>
      </c>
      <c r="M3542" t="inlineStr">
        <is>
          <t>2024-12-31</t>
        </is>
      </c>
      <c r="N3542" t="inlineStr">
        <is>
          <t>auto_ingest=world_bank_col_estimate; gni_annual=56520.0; year=2024; country_proxy=Slovenia; cohort=Southern/Eastern Europe and Eurasia; city_cost_mult=0.9</t>
        </is>
      </c>
    </row>
    <row r="3543">
      <c r="A3543" t="inlineStr">
        <is>
          <t>si-ljubljana</t>
        </is>
      </c>
      <c r="B3543" t="inlineStr">
        <is>
          <t>Ljubljana</t>
        </is>
      </c>
      <c r="C3543" t="inlineStr">
        <is>
          <t>Slovenia</t>
        </is>
      </c>
      <c r="D3543" t="inlineStr">
        <is>
          <t>Southern/Eastern Europe and Eurasia</t>
        </is>
      </c>
      <c r="E3543" t="inlineStr">
        <is>
          <t>utilities</t>
        </is>
      </c>
      <c r="F3543" t="inlineStr">
        <is>
          <t>Utilities</t>
        </is>
      </c>
      <c r="G3543" t="inlineStr">
        <is>
          <t>pressure</t>
        </is>
      </c>
      <c r="H3543" t="inlineStr">
        <is>
          <t>yes</t>
        </is>
      </c>
      <c r="I3543" t="inlineStr">
        <is>
          <t>339.12</t>
        </is>
      </c>
      <c r="J3543" t="inlineStr">
        <is>
          <t>world_bank_col_estimate</t>
        </is>
      </c>
      <c r="K3543" t="inlineStr">
        <is>
          <t>https://api.worldbank.org/v2/country/SVN/indicator/NY.GNP.PCAP.PP.CD?format=json&amp;mrv=10</t>
        </is>
      </c>
      <c r="L3543" t="inlineStr">
        <is>
          <t>World Bank GNI + regional expenditure ratio estimate</t>
        </is>
      </c>
      <c r="M3543" t="inlineStr">
        <is>
          <t>2024-12-31</t>
        </is>
      </c>
      <c r="N3543" t="inlineStr">
        <is>
          <t>auto_ingest=world_bank_col_estimate; gni_annual=56520.0; year=2024; country_proxy=Slovenia; cohort=Southern/Eastern Europe and Eurasia; city_cost_mult=0.9</t>
        </is>
      </c>
    </row>
    <row r="3544">
      <c r="A3544" t="inlineStr">
        <is>
          <t>si-ljubljana</t>
        </is>
      </c>
      <c r="B3544" t="inlineStr">
        <is>
          <t>Ljubljana</t>
        </is>
      </c>
      <c r="C3544" t="inlineStr">
        <is>
          <t>Slovenia</t>
        </is>
      </c>
      <c r="D3544" t="inlineStr">
        <is>
          <t>Southern/Eastern Europe and Eurasia</t>
        </is>
      </c>
      <c r="E3544" t="inlineStr">
        <is>
          <t>transit_cost</t>
        </is>
      </c>
      <c r="F3544" t="inlineStr">
        <is>
          <t>Transit cost</t>
        </is>
      </c>
      <c r="G3544" t="inlineStr">
        <is>
          <t>pressure</t>
        </is>
      </c>
      <c r="H3544" t="inlineStr">
        <is>
          <t>yes</t>
        </is>
      </c>
      <c r="I3544" t="inlineStr">
        <is>
          <t>169.56</t>
        </is>
      </c>
      <c r="J3544" t="inlineStr">
        <is>
          <t>world_bank_col_estimate</t>
        </is>
      </c>
      <c r="K3544" t="inlineStr">
        <is>
          <t>https://api.worldbank.org/v2/country/SVN/indicator/NY.GNP.PCAP.PP.CD?format=json&amp;mrv=10</t>
        </is>
      </c>
      <c r="L3544" t="inlineStr">
        <is>
          <t>World Bank GNI + regional expenditure ratio estimate</t>
        </is>
      </c>
      <c r="M3544" t="inlineStr">
        <is>
          <t>2024-12-31</t>
        </is>
      </c>
      <c r="N3544" t="inlineStr">
        <is>
          <t>auto_ingest=world_bank_col_estimate; gni_annual=56520.0; year=2024; country_proxy=Slovenia; cohort=Southern/Eastern Europe and Eurasia; city_cost_mult=0.9</t>
        </is>
      </c>
    </row>
    <row r="3545">
      <c r="A3545" t="inlineStr">
        <is>
          <t>si-ljubljana</t>
        </is>
      </c>
      <c r="B3545" t="inlineStr">
        <is>
          <t>Ljubljana</t>
        </is>
      </c>
      <c r="C3545" t="inlineStr">
        <is>
          <t>Slovenia</t>
        </is>
      </c>
      <c r="D3545" t="inlineStr">
        <is>
          <t>Southern/Eastern Europe and Eurasia</t>
        </is>
      </c>
      <c r="E3545" t="inlineStr">
        <is>
          <t>internet_cost</t>
        </is>
      </c>
      <c r="F3545" t="inlineStr">
        <is>
          <t>Internet cost</t>
        </is>
      </c>
      <c r="G3545" t="inlineStr">
        <is>
          <t>pressure</t>
        </is>
      </c>
      <c r="H3545" t="inlineStr">
        <is>
          <t>yes</t>
        </is>
      </c>
      <c r="I3545" t="inlineStr">
        <is>
          <t>63.58</t>
        </is>
      </c>
      <c r="J3545" t="inlineStr">
        <is>
          <t>world_bank_col_estimate</t>
        </is>
      </c>
      <c r="K3545" t="inlineStr">
        <is>
          <t>https://api.worldbank.org/v2/country/SVN/indicator/NY.GNP.PCAP.PP.CD?format=json&amp;mrv=10</t>
        </is>
      </c>
      <c r="L3545" t="inlineStr">
        <is>
          <t>World Bank GNI + regional expenditure ratio estimate</t>
        </is>
      </c>
      <c r="M3545" t="inlineStr">
        <is>
          <t>2024-12-31</t>
        </is>
      </c>
      <c r="N3545" t="inlineStr">
        <is>
          <t>auto_ingest=world_bank_col_estimate; gni_annual=56520.0; year=2024; country_proxy=Slovenia; cohort=Southern/Eastern Europe and Eurasia; city_cost_mult=0.9</t>
        </is>
      </c>
    </row>
    <row r="3546">
      <c r="A3546" t="inlineStr">
        <is>
          <t>si-ljubljana</t>
        </is>
      </c>
      <c r="B3546" t="inlineStr">
        <is>
          <t>Ljubljana</t>
        </is>
      </c>
      <c r="C3546" t="inlineStr">
        <is>
          <t>Slovenia</t>
        </is>
      </c>
      <c r="D3546" t="inlineStr">
        <is>
          <t>Southern/Eastern Europe and Eurasia</t>
        </is>
      </c>
      <c r="E3546" t="inlineStr">
        <is>
          <t>food_cost</t>
        </is>
      </c>
      <c r="F3546" t="inlineStr">
        <is>
          <t>Food cost</t>
        </is>
      </c>
      <c r="G3546" t="inlineStr">
        <is>
          <t>pressure</t>
        </is>
      </c>
      <c r="H3546" t="inlineStr">
        <is>
          <t>yes</t>
        </is>
      </c>
      <c r="I3546" t="inlineStr">
        <is>
          <t>847.8</t>
        </is>
      </c>
      <c r="J3546" t="inlineStr">
        <is>
          <t>world_bank_col_estimate</t>
        </is>
      </c>
      <c r="K3546" t="inlineStr">
        <is>
          <t>https://api.worldbank.org/v2/country/SVN/indicator/NY.GNP.PCAP.PP.CD?format=json&amp;mrv=10</t>
        </is>
      </c>
      <c r="L3546" t="inlineStr">
        <is>
          <t>World Bank GNI + regional expenditure ratio estimate</t>
        </is>
      </c>
      <c r="M3546" t="inlineStr">
        <is>
          <t>2024-12-31</t>
        </is>
      </c>
      <c r="N3546" t="inlineStr">
        <is>
          <t>auto_ingest=world_bank_col_estimate; gni_annual=56520.0; year=2024; country_proxy=Slovenia; cohort=Southern/Eastern Europe and Eurasia; city_cost_mult=0.9</t>
        </is>
      </c>
    </row>
    <row r="3547">
      <c r="A3547" t="inlineStr">
        <is>
          <t>si-ljubljana</t>
        </is>
      </c>
      <c r="B3547" t="inlineStr">
        <is>
          <t>Ljubljana</t>
        </is>
      </c>
      <c r="C3547" t="inlineStr">
        <is>
          <t>Slovenia</t>
        </is>
      </c>
      <c r="D3547" t="inlineStr">
        <is>
          <t>Southern/Eastern Europe and Eurasia</t>
        </is>
      </c>
      <c r="E3547" t="inlineStr">
        <is>
          <t>housing_burden_raw</t>
        </is>
      </c>
      <c r="F3547" t="inlineStr">
        <is>
          <t>Housing burden raw</t>
        </is>
      </c>
      <c r="G3547" t="inlineStr">
        <is>
          <t>pressure</t>
        </is>
      </c>
      <c r="H3547" t="inlineStr">
        <is>
          <t>yes</t>
        </is>
      </c>
      <c r="I3547" t="inlineStr">
        <is>
          <t>22.5</t>
        </is>
      </c>
      <c r="J3547" t="inlineStr">
        <is>
          <t>derived</t>
        </is>
      </c>
      <c r="K3547" t="inlineStr">
        <is>
          <t>https://data.worldbank.org/indicator/NY.GNP.PCAP.PP.CD</t>
        </is>
      </c>
      <c r="L3547" t="inlineStr">
        <is>
          <t>Computed from city_inputs + country_context</t>
        </is>
      </c>
      <c r="M3547" t="inlineStr">
        <is>
          <t>2024-01-01</t>
        </is>
      </c>
      <c r="N3547" t="inlineStr">
        <is>
          <t>derived=rent/gross_income*100</t>
        </is>
      </c>
    </row>
    <row r="3548">
      <c r="A3548" t="inlineStr">
        <is>
          <t>si-ljubljana</t>
        </is>
      </c>
      <c r="B3548" t="inlineStr">
        <is>
          <t>Ljubljana</t>
        </is>
      </c>
      <c r="C3548" t="inlineStr">
        <is>
          <t>Slovenia</t>
        </is>
      </c>
      <c r="D3548" t="inlineStr">
        <is>
          <t>Southern/Eastern Europe and Eurasia</t>
        </is>
      </c>
      <c r="E3548" t="inlineStr">
        <is>
          <t>household_debt_burden_raw</t>
        </is>
      </c>
      <c r="F3548" t="inlineStr">
        <is>
          <t>Household debt burden raw</t>
        </is>
      </c>
      <c r="G3548" t="inlineStr">
        <is>
          <t>pressure</t>
        </is>
      </c>
      <c r="H3548" t="inlineStr">
        <is>
          <t>yes</t>
        </is>
      </c>
      <c r="I3548" t="inlineStr"/>
      <c r="J3548" t="inlineStr"/>
      <c r="K3548" t="inlineStr"/>
      <c r="L3548" t="inlineStr"/>
      <c r="M3548" t="inlineStr"/>
      <c r="N3548" t="inlineStr"/>
    </row>
    <row r="3549">
      <c r="A3549" t="inlineStr">
        <is>
          <t>si-ljubljana</t>
        </is>
      </c>
      <c r="B3549" t="inlineStr">
        <is>
          <t>Ljubljana</t>
        </is>
      </c>
      <c r="C3549" t="inlineStr">
        <is>
          <t>Slovenia</t>
        </is>
      </c>
      <c r="D3549" t="inlineStr">
        <is>
          <t>Southern/Eastern Europe and Eurasia</t>
        </is>
      </c>
      <c r="E3549" t="inlineStr">
        <is>
          <t>working_time_pressure_raw</t>
        </is>
      </c>
      <c r="F3549" t="inlineStr">
        <is>
          <t>Working time pressure raw</t>
        </is>
      </c>
      <c r="G3549" t="inlineStr">
        <is>
          <t>pressure</t>
        </is>
      </c>
      <c r="H3549" t="inlineStr">
        <is>
          <t>yes</t>
        </is>
      </c>
      <c r="I3549" t="inlineStr"/>
      <c r="J3549" t="inlineStr"/>
      <c r="K3549" t="inlineStr"/>
      <c r="L3549" t="inlineStr"/>
      <c r="M3549" t="inlineStr"/>
      <c r="N3549" t="inlineStr"/>
    </row>
    <row r="3550">
      <c r="A3550" t="inlineStr">
        <is>
          <t>si-ljubljana</t>
        </is>
      </c>
      <c r="B3550" t="inlineStr">
        <is>
          <t>Ljubljana</t>
        </is>
      </c>
      <c r="C3550" t="inlineStr">
        <is>
          <t>Slovenia</t>
        </is>
      </c>
      <c r="D3550" t="inlineStr">
        <is>
          <t>Southern/Eastern Europe and Eurasia</t>
        </is>
      </c>
      <c r="E3550" t="inlineStr">
        <is>
          <t>suicide_mental_strain_raw</t>
        </is>
      </c>
      <c r="F3550" t="inlineStr">
        <is>
          <t>Suicide or mental strain raw</t>
        </is>
      </c>
      <c r="G3550" t="inlineStr">
        <is>
          <t>pressure</t>
        </is>
      </c>
      <c r="H3550" t="inlineStr">
        <is>
          <t>yes</t>
        </is>
      </c>
      <c r="I3550" t="inlineStr"/>
      <c r="J3550" t="inlineStr"/>
      <c r="K3550" t="inlineStr"/>
      <c r="L3550" t="inlineStr"/>
      <c r="M3550" t="inlineStr"/>
      <c r="N3550" t="inlineStr"/>
    </row>
    <row r="3551">
      <c r="A3551" t="inlineStr">
        <is>
          <t>si-ljubljana</t>
        </is>
      </c>
      <c r="B3551" t="inlineStr">
        <is>
          <t>Ljubljana</t>
        </is>
      </c>
      <c r="C3551" t="inlineStr">
        <is>
          <t>Slovenia</t>
        </is>
      </c>
      <c r="D3551" t="inlineStr">
        <is>
          <t>Southern/Eastern Europe and Eurasia</t>
        </is>
      </c>
      <c r="E3551" t="inlineStr">
        <is>
          <t>personal_safety_raw</t>
        </is>
      </c>
      <c r="F3551" t="inlineStr">
        <is>
          <t>Personal safety raw</t>
        </is>
      </c>
      <c r="G3551" t="inlineStr">
        <is>
          <t>viability</t>
        </is>
      </c>
      <c r="H3551" t="inlineStr">
        <is>
          <t>yes</t>
        </is>
      </c>
      <c r="I3551" t="inlineStr"/>
      <c r="J3551" t="inlineStr"/>
      <c r="K3551" t="inlineStr"/>
      <c r="L3551" t="inlineStr"/>
      <c r="M3551" t="inlineStr"/>
      <c r="N3551" t="inlineStr"/>
    </row>
    <row r="3552">
      <c r="A3552" t="inlineStr">
        <is>
          <t>si-ljubljana</t>
        </is>
      </c>
      <c r="B3552" t="inlineStr">
        <is>
          <t>Ljubljana</t>
        </is>
      </c>
      <c r="C3552" t="inlineStr">
        <is>
          <t>Slovenia</t>
        </is>
      </c>
      <c r="D3552" t="inlineStr">
        <is>
          <t>Southern/Eastern Europe and Eurasia</t>
        </is>
      </c>
      <c r="E3552" t="inlineStr">
        <is>
          <t>transit_access_commute_raw</t>
        </is>
      </c>
      <c r="F3552" t="inlineStr">
        <is>
          <t>Transit access and commute raw</t>
        </is>
      </c>
      <c r="G3552" t="inlineStr">
        <is>
          <t>viability</t>
        </is>
      </c>
      <c r="H3552" t="inlineStr">
        <is>
          <t>yes</t>
        </is>
      </c>
      <c r="I3552" t="inlineStr"/>
      <c r="J3552" t="inlineStr"/>
      <c r="K3552" t="inlineStr"/>
      <c r="L3552" t="inlineStr"/>
      <c r="M3552" t="inlineStr"/>
      <c r="N3552" t="inlineStr"/>
    </row>
    <row r="3553">
      <c r="A3553" t="inlineStr">
        <is>
          <t>si-ljubljana</t>
        </is>
      </c>
      <c r="B3553" t="inlineStr">
        <is>
          <t>Ljubljana</t>
        </is>
      </c>
      <c r="C3553" t="inlineStr">
        <is>
          <t>Slovenia</t>
        </is>
      </c>
      <c r="D3553" t="inlineStr">
        <is>
          <t>Southern/Eastern Europe and Eurasia</t>
        </is>
      </c>
      <c r="E3553" t="inlineStr">
        <is>
          <t>clean_air_raw</t>
        </is>
      </c>
      <c r="F3553" t="inlineStr">
        <is>
          <t>Clean air raw</t>
        </is>
      </c>
      <c r="G3553" t="inlineStr">
        <is>
          <t>viability</t>
        </is>
      </c>
      <c r="H3553" t="inlineStr">
        <is>
          <t>yes</t>
        </is>
      </c>
      <c r="I3553" t="inlineStr"/>
      <c r="J3553" t="inlineStr"/>
      <c r="K3553" t="inlineStr"/>
      <c r="L3553" t="inlineStr"/>
      <c r="M3553" t="inlineStr"/>
      <c r="N3553" t="inlineStr"/>
    </row>
    <row r="3554">
      <c r="A3554" t="inlineStr">
        <is>
          <t>si-ljubljana</t>
        </is>
      </c>
      <c r="B3554" t="inlineStr">
        <is>
          <t>Ljubljana</t>
        </is>
      </c>
      <c r="C3554" t="inlineStr">
        <is>
          <t>Slovenia</t>
        </is>
      </c>
      <c r="D3554" t="inlineStr">
        <is>
          <t>Southern/Eastern Europe and Eurasia</t>
        </is>
      </c>
      <c r="E3554" t="inlineStr">
        <is>
          <t>water_sanitation_utility_raw</t>
        </is>
      </c>
      <c r="F3554" t="inlineStr">
        <is>
          <t>Water, sanitation, and utility raw</t>
        </is>
      </c>
      <c r="G3554" t="inlineStr">
        <is>
          <t>viability</t>
        </is>
      </c>
      <c r="H3554" t="inlineStr">
        <is>
          <t>yes</t>
        </is>
      </c>
      <c r="I3554" t="inlineStr"/>
      <c r="J3554" t="inlineStr"/>
      <c r="K3554" t="inlineStr"/>
      <c r="L3554" t="inlineStr"/>
      <c r="M3554" t="inlineStr"/>
      <c r="N3554" t="inlineStr"/>
    </row>
    <row r="3555">
      <c r="A3555" t="inlineStr">
        <is>
          <t>si-ljubljana</t>
        </is>
      </c>
      <c r="B3555" t="inlineStr">
        <is>
          <t>Ljubljana</t>
        </is>
      </c>
      <c r="C3555" t="inlineStr">
        <is>
          <t>Slovenia</t>
        </is>
      </c>
      <c r="D3555" t="inlineStr">
        <is>
          <t>Southern/Eastern Europe and Eurasia</t>
        </is>
      </c>
      <c r="E3555" t="inlineStr">
        <is>
          <t>digital_infrastructure_raw</t>
        </is>
      </c>
      <c r="F3555" t="inlineStr">
        <is>
          <t>Digital infrastructure raw</t>
        </is>
      </c>
      <c r="G3555" t="inlineStr">
        <is>
          <t>viability</t>
        </is>
      </c>
      <c r="H3555" t="inlineStr">
        <is>
          <t>yes</t>
        </is>
      </c>
      <c r="I3555" t="inlineStr"/>
      <c r="J3555" t="inlineStr"/>
      <c r="K3555" t="inlineStr"/>
      <c r="L3555" t="inlineStr"/>
      <c r="M3555" t="inlineStr"/>
      <c r="N3555" t="inlineStr"/>
    </row>
    <row r="3556">
      <c r="A3556" t="inlineStr">
        <is>
          <t>si-ljubljana</t>
        </is>
      </c>
      <c r="B3556" t="inlineStr">
        <is>
          <t>Ljubljana</t>
        </is>
      </c>
      <c r="C3556" t="inlineStr">
        <is>
          <t>Slovenia</t>
        </is>
      </c>
      <c r="D3556" t="inlineStr">
        <is>
          <t>Southern/Eastern Europe and Eurasia</t>
        </is>
      </c>
      <c r="E3556" t="inlineStr">
        <is>
          <t>climate_sunlight_livability_raw</t>
        </is>
      </c>
      <c r="F3556" t="inlineStr">
        <is>
          <t>Climate and sunlight livability raw</t>
        </is>
      </c>
      <c r="G3556" t="inlineStr">
        <is>
          <t>viability</t>
        </is>
      </c>
      <c r="H3556" t="inlineStr">
        <is>
          <t>yes</t>
        </is>
      </c>
      <c r="I3556" t="inlineStr">
        <is>
          <t>50</t>
        </is>
      </c>
      <c r="J3556" t="inlineStr">
        <is>
          <t>wmo_natl_met</t>
        </is>
      </c>
      <c r="K3556" t="inlineStr">
        <is>
          <t>https://worldweather.wmo.int</t>
        </is>
      </c>
      <c r="L3556" t="inlineStr">
        <is>
          <t>WMO/National Met: Climate livability composite</t>
        </is>
      </c>
      <c r="M3556" t="inlineStr">
        <is>
          <t>2024-12-31</t>
        </is>
      </c>
      <c r="N3556" t="inlineStr">
        <is>
          <t>auto_seed=climate_composite; 1900 sun hrs, 11C mean</t>
        </is>
      </c>
    </row>
    <row r="3557">
      <c r="A3557" t="inlineStr">
        <is>
          <t>si-ljubljana</t>
        </is>
      </c>
      <c r="B3557" t="inlineStr">
        <is>
          <t>Ljubljana</t>
        </is>
      </c>
      <c r="C3557" t="inlineStr">
        <is>
          <t>Slovenia</t>
        </is>
      </c>
      <c r="D3557" t="inlineStr">
        <is>
          <t>Southern/Eastern Europe and Eurasia</t>
        </is>
      </c>
      <c r="E3557" t="inlineStr">
        <is>
          <t>healthcare_quality_raw</t>
        </is>
      </c>
      <c r="F3557" t="inlineStr">
        <is>
          <t>Healthcare quality raw</t>
        </is>
      </c>
      <c r="G3557" t="inlineStr">
        <is>
          <t>capability</t>
        </is>
      </c>
      <c r="H3557" t="inlineStr">
        <is>
          <t>yes</t>
        </is>
      </c>
      <c r="I3557" t="inlineStr"/>
      <c r="J3557" t="inlineStr"/>
      <c r="K3557" t="inlineStr"/>
      <c r="L3557" t="inlineStr"/>
      <c r="M3557" t="inlineStr"/>
      <c r="N3557" t="inlineStr"/>
    </row>
    <row r="3558">
      <c r="A3558" t="inlineStr">
        <is>
          <t>si-ljubljana</t>
        </is>
      </c>
      <c r="B3558" t="inlineStr">
        <is>
          <t>Ljubljana</t>
        </is>
      </c>
      <c r="C3558" t="inlineStr">
        <is>
          <t>Slovenia</t>
        </is>
      </c>
      <c r="D3558" t="inlineStr">
        <is>
          <t>Southern/Eastern Europe and Eurasia</t>
        </is>
      </c>
      <c r="E3558" t="inlineStr">
        <is>
          <t>education_quality_raw</t>
        </is>
      </c>
      <c r="F3558" t="inlineStr">
        <is>
          <t>Education quality raw</t>
        </is>
      </c>
      <c r="G3558" t="inlineStr">
        <is>
          <t>capability</t>
        </is>
      </c>
      <c r="H3558" t="inlineStr">
        <is>
          <t>yes</t>
        </is>
      </c>
      <c r="I3558" t="inlineStr"/>
      <c r="J3558" t="inlineStr"/>
      <c r="K3558" t="inlineStr"/>
      <c r="L3558" t="inlineStr"/>
      <c r="M3558" t="inlineStr"/>
      <c r="N3558" t="inlineStr"/>
    </row>
    <row r="3559">
      <c r="A3559" t="inlineStr">
        <is>
          <t>si-ljubljana</t>
        </is>
      </c>
      <c r="B3559" t="inlineStr">
        <is>
          <t>Ljubljana</t>
        </is>
      </c>
      <c r="C3559" t="inlineStr">
        <is>
          <t>Slovenia</t>
        </is>
      </c>
      <c r="D3559" t="inlineStr">
        <is>
          <t>Southern/Eastern Europe and Eurasia</t>
        </is>
      </c>
      <c r="E3559" t="inlineStr">
        <is>
          <t>equal_opportunity_raw</t>
        </is>
      </c>
      <c r="F3559" t="inlineStr">
        <is>
          <t>Equal opportunity raw</t>
        </is>
      </c>
      <c r="G3559" t="inlineStr">
        <is>
          <t>capability</t>
        </is>
      </c>
      <c r="H3559" t="inlineStr">
        <is>
          <t>yes</t>
        </is>
      </c>
      <c r="I3559" t="inlineStr">
        <is>
          <t>24.7</t>
        </is>
      </c>
      <c r="J3559" t="inlineStr">
        <is>
          <t>world_bank</t>
        </is>
      </c>
      <c r="K3559" t="inlineStr">
        <is>
          <t>https://api.worldbank.org/v2/country/SVN/indicator/SI.POV.GINI?format=json&amp;mrv=10</t>
        </is>
      </c>
      <c r="L3559" t="inlineStr">
        <is>
          <t>World Bank WDI: Gini index</t>
        </is>
      </c>
      <c r="M3559" t="inlineStr">
        <is>
          <t>2023-12-31</t>
        </is>
      </c>
      <c r="N3559" t="inlineStr">
        <is>
          <t>auto_ingest=world_bank_capability; indicator=SI.POV.GINI; year=2023; country_proxy=Slovenia</t>
        </is>
      </c>
    </row>
    <row r="3560">
      <c r="A3560" t="inlineStr">
        <is>
          <t>si-ljubljana</t>
        </is>
      </c>
      <c r="B3560" t="inlineStr">
        <is>
          <t>Ljubljana</t>
        </is>
      </c>
      <c r="C3560" t="inlineStr">
        <is>
          <t>Slovenia</t>
        </is>
      </c>
      <c r="D3560" t="inlineStr">
        <is>
          <t>Southern/Eastern Europe and Eurasia</t>
        </is>
      </c>
      <c r="E3560" t="inlineStr">
        <is>
          <t>hospitality_belonging_raw</t>
        </is>
      </c>
      <c r="F3560" t="inlineStr">
        <is>
          <t>Hospitality and belonging raw</t>
        </is>
      </c>
      <c r="G3560" t="inlineStr">
        <is>
          <t>community</t>
        </is>
      </c>
      <c r="H3560" t="inlineStr">
        <is>
          <t>yes</t>
        </is>
      </c>
      <c r="I3560" t="inlineStr"/>
      <c r="J3560" t="inlineStr"/>
      <c r="K3560" t="inlineStr"/>
      <c r="L3560" t="inlineStr"/>
      <c r="M3560" t="inlineStr"/>
      <c r="N3560" t="inlineStr"/>
    </row>
    <row r="3561">
      <c r="A3561" t="inlineStr">
        <is>
          <t>si-ljubljana</t>
        </is>
      </c>
      <c r="B3561" t="inlineStr">
        <is>
          <t>Ljubljana</t>
        </is>
      </c>
      <c r="C3561" t="inlineStr">
        <is>
          <t>Slovenia</t>
        </is>
      </c>
      <c r="D3561" t="inlineStr">
        <is>
          <t>Southern/Eastern Europe and Eurasia</t>
        </is>
      </c>
      <c r="E3561" t="inlineStr">
        <is>
          <t>tolerance_pluralism_raw</t>
        </is>
      </c>
      <c r="F3561" t="inlineStr">
        <is>
          <t>Tolerance and pluralism raw</t>
        </is>
      </c>
      <c r="G3561" t="inlineStr">
        <is>
          <t>community</t>
        </is>
      </c>
      <c r="H3561" t="inlineStr">
        <is>
          <t>yes</t>
        </is>
      </c>
      <c r="I3561" t="inlineStr"/>
      <c r="J3561" t="inlineStr"/>
      <c r="K3561" t="inlineStr"/>
      <c r="L3561" t="inlineStr"/>
      <c r="M3561" t="inlineStr"/>
      <c r="N3561" t="inlineStr"/>
    </row>
    <row r="3562">
      <c r="A3562" t="inlineStr">
        <is>
          <t>si-ljubljana</t>
        </is>
      </c>
      <c r="B3562" t="inlineStr">
        <is>
          <t>Ljubljana</t>
        </is>
      </c>
      <c r="C3562" t="inlineStr">
        <is>
          <t>Slovenia</t>
        </is>
      </c>
      <c r="D3562" t="inlineStr">
        <is>
          <t>Southern/Eastern Europe and Eurasia</t>
        </is>
      </c>
      <c r="E3562" t="inlineStr">
        <is>
          <t>cultural_public_life_raw</t>
        </is>
      </c>
      <c r="F3562" t="inlineStr">
        <is>
          <t>Cultural public life raw</t>
        </is>
      </c>
      <c r="G3562" t="inlineStr">
        <is>
          <t>community</t>
        </is>
      </c>
      <c r="H3562" t="inlineStr">
        <is>
          <t>yes</t>
        </is>
      </c>
      <c r="I3562" t="inlineStr"/>
      <c r="J3562" t="inlineStr"/>
      <c r="K3562" t="inlineStr"/>
      <c r="L3562" t="inlineStr"/>
      <c r="M3562" t="inlineStr"/>
      <c r="N3562" t="inlineStr"/>
    </row>
    <row r="3563">
      <c r="A3563" t="inlineStr">
        <is>
          <t>si-ljubljana</t>
        </is>
      </c>
      <c r="B3563" t="inlineStr">
        <is>
          <t>Ljubljana</t>
        </is>
      </c>
      <c r="C3563" t="inlineStr">
        <is>
          <t>Slovenia</t>
        </is>
      </c>
      <c r="D3563" t="inlineStr">
        <is>
          <t>Southern/Eastern Europe and Eurasia</t>
        </is>
      </c>
      <c r="E3563" t="inlineStr">
        <is>
          <t>birth_rate_optimism_raw</t>
        </is>
      </c>
      <c r="F3563" t="inlineStr">
        <is>
          <t>Birth rate and societal optimism raw</t>
        </is>
      </c>
      <c r="G3563" t="inlineStr">
        <is>
          <t>community</t>
        </is>
      </c>
      <c r="H3563" t="inlineStr">
        <is>
          <t>yes</t>
        </is>
      </c>
      <c r="I3563" t="inlineStr"/>
      <c r="J3563" t="inlineStr"/>
      <c r="K3563" t="inlineStr"/>
      <c r="L3563" t="inlineStr"/>
      <c r="M3563" t="inlineStr"/>
      <c r="N3563" t="inlineStr"/>
    </row>
    <row r="3564">
      <c r="A3564" t="inlineStr">
        <is>
          <t>si-ljubljana</t>
        </is>
      </c>
      <c r="B3564" t="inlineStr">
        <is>
          <t>Ljubljana</t>
        </is>
      </c>
      <c r="C3564" t="inlineStr">
        <is>
          <t>Slovenia</t>
        </is>
      </c>
      <c r="D3564" t="inlineStr">
        <is>
          <t>Southern/Eastern Europe and Eurasia</t>
        </is>
      </c>
      <c r="E3564" t="inlineStr">
        <is>
          <t>entrepreneurial_dynamism_raw</t>
        </is>
      </c>
      <c r="F3564" t="inlineStr">
        <is>
          <t>Entrepreneurial dynamism raw</t>
        </is>
      </c>
      <c r="G3564" t="inlineStr">
        <is>
          <t>creative</t>
        </is>
      </c>
      <c r="H3564" t="inlineStr">
        <is>
          <t>yes</t>
        </is>
      </c>
      <c r="I3564" t="inlineStr">
        <is>
          <t>2.76</t>
        </is>
      </c>
      <c r="J3564" t="inlineStr">
        <is>
          <t>world_bank</t>
        </is>
      </c>
      <c r="K3564" t="inlineStr">
        <is>
          <t>https://api.worldbank.org/v2/country/SVN/indicator/IC.BUS.NDNS.ZS?format=json&amp;mrv=10</t>
        </is>
      </c>
      <c r="L3564" t="inlineStr">
        <is>
          <t>World Bank WDI: New business density (new registrations per 1,000 people ages 15-64)</t>
        </is>
      </c>
      <c r="M3564" t="inlineStr">
        <is>
          <t>2022-12-31</t>
        </is>
      </c>
      <c r="N3564" t="inlineStr">
        <is>
          <t>auto_ingest=world_bank_creative_extended; indicator=IC.BUS.NDNS.ZS; year=2022; country_proxy=Slovenia</t>
        </is>
      </c>
    </row>
    <row r="3565">
      <c r="A3565" t="inlineStr">
        <is>
          <t>si-ljubljana</t>
        </is>
      </c>
      <c r="B3565" t="inlineStr">
        <is>
          <t>Ljubljana</t>
        </is>
      </c>
      <c r="C3565" t="inlineStr">
        <is>
          <t>Slovenia</t>
        </is>
      </c>
      <c r="D3565" t="inlineStr">
        <is>
          <t>Southern/Eastern Europe and Eurasia</t>
        </is>
      </c>
      <c r="E3565" t="inlineStr">
        <is>
          <t>innovation_research_intensity_raw</t>
        </is>
      </c>
      <c r="F3565" t="inlineStr">
        <is>
          <t>Innovation and research raw</t>
        </is>
      </c>
      <c r="G3565" t="inlineStr">
        <is>
          <t>creative</t>
        </is>
      </c>
      <c r="H3565" t="inlineStr">
        <is>
          <t>yes</t>
        </is>
      </c>
      <c r="I3565" t="inlineStr">
        <is>
          <t>2.1</t>
        </is>
      </c>
      <c r="J3565" t="inlineStr">
        <is>
          <t>world_bank</t>
        </is>
      </c>
      <c r="K3565" t="inlineStr">
        <is>
          <t>https://api.worldbank.org/v2/country/SVN/indicator/GB.XPD.RSDV.GD.ZS?format=json&amp;mrv=10</t>
        </is>
      </c>
      <c r="L3565" t="inlineStr">
        <is>
          <t>World Bank WDI: Research and development expenditure (% of GDP)</t>
        </is>
      </c>
      <c r="M3565" t="inlineStr">
        <is>
          <t>2022-12-31</t>
        </is>
      </c>
      <c r="N3565" t="inlineStr">
        <is>
          <t>auto_ingest=world_bank_creative_extended; indicator=GB.XPD.RSDV.GD.ZS; year=2022; country_proxy=Slovenia</t>
        </is>
      </c>
    </row>
    <row r="3566">
      <c r="A3566" t="inlineStr">
        <is>
          <t>si-ljubljana</t>
        </is>
      </c>
      <c r="B3566" t="inlineStr">
        <is>
          <t>Ljubljana</t>
        </is>
      </c>
      <c r="C3566" t="inlineStr">
        <is>
          <t>Slovenia</t>
        </is>
      </c>
      <c r="D3566" t="inlineStr">
        <is>
          <t>Southern/Eastern Europe and Eurasia</t>
        </is>
      </c>
      <c r="E3566" t="inlineStr">
        <is>
          <t>investment_signal_raw</t>
        </is>
      </c>
      <c r="F3566" t="inlineStr">
        <is>
          <t>Investment signal raw</t>
        </is>
      </c>
      <c r="G3566" t="inlineStr">
        <is>
          <t>creative</t>
        </is>
      </c>
      <c r="H3566" t="inlineStr">
        <is>
          <t>yes</t>
        </is>
      </c>
      <c r="I3566" t="inlineStr">
        <is>
          <t>2.56</t>
        </is>
      </c>
      <c r="J3566" t="inlineStr">
        <is>
          <t>world_bank</t>
        </is>
      </c>
      <c r="K3566" t="inlineStr">
        <is>
          <t>https://api.worldbank.org/v2/country/SVN/indicator/BX.KLT.DINV.WD.GD.ZS?format=json&amp;mrv=10</t>
        </is>
      </c>
      <c r="L3566" t="inlineStr">
        <is>
          <t>World Bank WDI: Foreign direct investment, net inflows (% of GDP)</t>
        </is>
      </c>
      <c r="M3566" t="inlineStr">
        <is>
          <t>2024-12-31</t>
        </is>
      </c>
      <c r="N3566" t="inlineStr">
        <is>
          <t>auto_ingest=world_bank_creative_extended; indicator=BX.KLT.DINV.WD.GD.ZS; year=2024; country_proxy=Slovenia</t>
        </is>
      </c>
    </row>
    <row r="3567">
      <c r="A3567" t="inlineStr">
        <is>
          <t>si-ljubljana</t>
        </is>
      </c>
      <c r="B3567" t="inlineStr">
        <is>
          <t>Ljubljana</t>
        </is>
      </c>
      <c r="C3567" t="inlineStr">
        <is>
          <t>Slovenia</t>
        </is>
      </c>
      <c r="D3567" t="inlineStr">
        <is>
          <t>Southern/Eastern Europe and Eurasia</t>
        </is>
      </c>
      <c r="E3567" t="inlineStr">
        <is>
          <t>administrative_investment_friction_raw</t>
        </is>
      </c>
      <c r="F3567" t="inlineStr">
        <is>
          <t>Administrative investment friction raw</t>
        </is>
      </c>
      <c r="G3567" t="inlineStr">
        <is>
          <t>creative</t>
        </is>
      </c>
      <c r="H3567" t="inlineStr">
        <is>
          <t>yes</t>
        </is>
      </c>
      <c r="I3567" t="inlineStr">
        <is>
          <t>1.77</t>
        </is>
      </c>
      <c r="J3567" t="inlineStr">
        <is>
          <t>world_bank</t>
        </is>
      </c>
      <c r="K3567" t="inlineStr">
        <is>
          <t>https://api.worldbank.org/v2/country/SVN/indicator/RQ.EST?format=json&amp;mrv=10</t>
        </is>
      </c>
      <c r="L3567" t="inlineStr">
        <is>
          <t>World Bank WGI: Regulatory Quality (inverted as friction proxy)</t>
        </is>
      </c>
      <c r="M3567" t="inlineStr">
        <is>
          <t>2023-12-31</t>
        </is>
      </c>
      <c r="N3567" t="inlineStr">
        <is>
          <t>auto_ingest=world_bank_business_friction; indicator=RQ.EST; raw_rq=0.731421768665314; friction=1.77; year=2023; country_proxy=Slovenia</t>
        </is>
      </c>
    </row>
    <row r="3568">
      <c r="A3568" t="inlineStr">
        <is>
          <t>si-ljubljana</t>
        </is>
      </c>
      <c r="B3568" t="inlineStr">
        <is>
          <t>Ljubljana</t>
        </is>
      </c>
      <c r="C3568" t="inlineStr">
        <is>
          <t>Slovenia</t>
        </is>
      </c>
      <c r="D3568" t="inlineStr">
        <is>
          <t>Southern/Eastern Europe and Eurasia</t>
        </is>
      </c>
      <c r="E3568" t="inlineStr">
        <is>
          <t>visitor_flow_context_raw</t>
        </is>
      </c>
      <c r="F3568" t="inlineStr">
        <is>
          <t>Visitor flow context raw</t>
        </is>
      </c>
      <c r="G3568" t="inlineStr">
        <is>
          <t>creative</t>
        </is>
      </c>
      <c r="H3568" t="inlineStr">
        <is>
          <t>no</t>
        </is>
      </c>
      <c r="I3568" t="inlineStr"/>
      <c r="J3568" t="inlineStr"/>
      <c r="K3568" t="inlineStr"/>
      <c r="L3568" t="inlineStr"/>
      <c r="M3568" t="inlineStr"/>
      <c r="N3568" t="inlineStr"/>
    </row>
    <row r="3569">
      <c r="A3569" t="inlineStr">
        <is>
          <t>hr-zagreb</t>
        </is>
      </c>
      <c r="B3569" t="inlineStr">
        <is>
          <t>Zagreb</t>
        </is>
      </c>
      <c r="C3569" t="inlineStr">
        <is>
          <t>Croatia</t>
        </is>
      </c>
      <c r="D3569" t="inlineStr">
        <is>
          <t>Southern/Eastern Europe and Eurasia</t>
        </is>
      </c>
      <c r="E3569" t="inlineStr">
        <is>
          <t>gross_income</t>
        </is>
      </c>
      <c r="F3569" t="inlineStr">
        <is>
          <t>Gross income</t>
        </is>
      </c>
      <c r="G3569" t="inlineStr">
        <is>
          <t>pressure</t>
        </is>
      </c>
      <c r="H3569" t="inlineStr">
        <is>
          <t>yes</t>
        </is>
      </c>
      <c r="I3569" t="inlineStr">
        <is>
          <t>4145.0</t>
        </is>
      </c>
      <c r="J3569" t="inlineStr">
        <is>
          <t>world_bank_col_estimate</t>
        </is>
      </c>
      <c r="K3569" t="inlineStr">
        <is>
          <t>https://api.worldbank.org/v2/country/HRV/indicator/NY.GNP.PCAP.PP.CD?format=json&amp;mrv=10</t>
        </is>
      </c>
      <c r="L3569" t="inlineStr">
        <is>
          <t>World Bank WDI: GNI per capita PPP (monthly USD)</t>
        </is>
      </c>
      <c r="M3569" t="inlineStr">
        <is>
          <t>2024-12-31</t>
        </is>
      </c>
      <c r="N3569" t="inlineStr">
        <is>
          <t>auto_ingest=world_bank_col_estimate; gni_annual=49740.0; year=2024; country_proxy=Croatia; cohort=Southern/Eastern Europe and Eurasia</t>
        </is>
      </c>
    </row>
    <row r="3570">
      <c r="A3570" t="inlineStr">
        <is>
          <t>hr-zagreb</t>
        </is>
      </c>
      <c r="B3570" t="inlineStr">
        <is>
          <t>Zagreb</t>
        </is>
      </c>
      <c r="C3570" t="inlineStr">
        <is>
          <t>Croatia</t>
        </is>
      </c>
      <c r="D3570" t="inlineStr">
        <is>
          <t>Southern/Eastern Europe and Eurasia</t>
        </is>
      </c>
      <c r="E3570" t="inlineStr">
        <is>
          <t>di_ppp_raw</t>
        </is>
      </c>
      <c r="F3570" t="inlineStr">
        <is>
          <t>Disposable income PPP (Raw)</t>
        </is>
      </c>
      <c r="G3570" t="inlineStr">
        <is>
          <t>pressure</t>
        </is>
      </c>
      <c r="H3570" t="inlineStr">
        <is>
          <t>yes</t>
        </is>
      </c>
      <c r="I3570" t="inlineStr"/>
      <c r="J3570" t="inlineStr"/>
      <c r="K3570" t="inlineStr"/>
      <c r="L3570" t="inlineStr"/>
      <c r="M3570" t="inlineStr"/>
      <c r="N3570" t="inlineStr"/>
    </row>
    <row r="3571">
      <c r="A3571" t="inlineStr">
        <is>
          <t>hr-zagreb</t>
        </is>
      </c>
      <c r="B3571" t="inlineStr">
        <is>
          <t>Zagreb</t>
        </is>
      </c>
      <c r="C3571" t="inlineStr">
        <is>
          <t>Croatia</t>
        </is>
      </c>
      <c r="D3571" t="inlineStr">
        <is>
          <t>Southern/Eastern Europe and Eurasia</t>
        </is>
      </c>
      <c r="E3571" t="inlineStr">
        <is>
          <t>rent</t>
        </is>
      </c>
      <c r="F3571" t="inlineStr">
        <is>
          <t>Rent</t>
        </is>
      </c>
      <c r="G3571" t="inlineStr">
        <is>
          <t>pressure</t>
        </is>
      </c>
      <c r="H3571" t="inlineStr">
        <is>
          <t>yes</t>
        </is>
      </c>
      <c r="I3571" t="inlineStr">
        <is>
          <t>932.62</t>
        </is>
      </c>
      <c r="J3571" t="inlineStr">
        <is>
          <t>world_bank_col_estimate</t>
        </is>
      </c>
      <c r="K3571" t="inlineStr">
        <is>
          <t>https://api.worldbank.org/v2/country/HRV/indicator/NY.GNP.PCAP.PP.CD?format=json&amp;mrv=10</t>
        </is>
      </c>
      <c r="L3571" t="inlineStr">
        <is>
          <t>World Bank GNI + regional expenditure ratio estimate</t>
        </is>
      </c>
      <c r="M3571" t="inlineStr">
        <is>
          <t>2024-12-31</t>
        </is>
      </c>
      <c r="N3571" t="inlineStr">
        <is>
          <t>auto_ingest=world_bank_col_estimate; gni_annual=49740.0; year=2024; country_proxy=Croatia; cohort=Southern/Eastern Europe and Eurasia; city_cost_mult=0.9</t>
        </is>
      </c>
    </row>
    <row r="3572">
      <c r="A3572" t="inlineStr">
        <is>
          <t>hr-zagreb</t>
        </is>
      </c>
      <c r="B3572" t="inlineStr">
        <is>
          <t>Zagreb</t>
        </is>
      </c>
      <c r="C3572" t="inlineStr">
        <is>
          <t>Croatia</t>
        </is>
      </c>
      <c r="D3572" t="inlineStr">
        <is>
          <t>Southern/Eastern Europe and Eurasia</t>
        </is>
      </c>
      <c r="E3572" t="inlineStr">
        <is>
          <t>utilities</t>
        </is>
      </c>
      <c r="F3572" t="inlineStr">
        <is>
          <t>Utilities</t>
        </is>
      </c>
      <c r="G3572" t="inlineStr">
        <is>
          <t>pressure</t>
        </is>
      </c>
      <c r="H3572" t="inlineStr">
        <is>
          <t>yes</t>
        </is>
      </c>
      <c r="I3572" t="inlineStr">
        <is>
          <t>298.44</t>
        </is>
      </c>
      <c r="J3572" t="inlineStr">
        <is>
          <t>world_bank_col_estimate</t>
        </is>
      </c>
      <c r="K3572" t="inlineStr">
        <is>
          <t>https://api.worldbank.org/v2/country/HRV/indicator/NY.GNP.PCAP.PP.CD?format=json&amp;mrv=10</t>
        </is>
      </c>
      <c r="L3572" t="inlineStr">
        <is>
          <t>World Bank GNI + regional expenditure ratio estimate</t>
        </is>
      </c>
      <c r="M3572" t="inlineStr">
        <is>
          <t>2024-12-31</t>
        </is>
      </c>
      <c r="N3572" t="inlineStr">
        <is>
          <t>auto_ingest=world_bank_col_estimate; gni_annual=49740.0; year=2024; country_proxy=Croatia; cohort=Southern/Eastern Europe and Eurasia; city_cost_mult=0.9</t>
        </is>
      </c>
    </row>
    <row r="3573">
      <c r="A3573" t="inlineStr">
        <is>
          <t>hr-zagreb</t>
        </is>
      </c>
      <c r="B3573" t="inlineStr">
        <is>
          <t>Zagreb</t>
        </is>
      </c>
      <c r="C3573" t="inlineStr">
        <is>
          <t>Croatia</t>
        </is>
      </c>
      <c r="D3573" t="inlineStr">
        <is>
          <t>Southern/Eastern Europe and Eurasia</t>
        </is>
      </c>
      <c r="E3573" t="inlineStr">
        <is>
          <t>transit_cost</t>
        </is>
      </c>
      <c r="F3573" t="inlineStr">
        <is>
          <t>Transit cost</t>
        </is>
      </c>
      <c r="G3573" t="inlineStr">
        <is>
          <t>pressure</t>
        </is>
      </c>
      <c r="H3573" t="inlineStr">
        <is>
          <t>yes</t>
        </is>
      </c>
      <c r="I3573" t="inlineStr">
        <is>
          <t>149.22</t>
        </is>
      </c>
      <c r="J3573" t="inlineStr">
        <is>
          <t>world_bank_col_estimate</t>
        </is>
      </c>
      <c r="K3573" t="inlineStr">
        <is>
          <t>https://api.worldbank.org/v2/country/HRV/indicator/NY.GNP.PCAP.PP.CD?format=json&amp;mrv=10</t>
        </is>
      </c>
      <c r="L3573" t="inlineStr">
        <is>
          <t>World Bank GNI + regional expenditure ratio estimate</t>
        </is>
      </c>
      <c r="M3573" t="inlineStr">
        <is>
          <t>2024-12-31</t>
        </is>
      </c>
      <c r="N3573" t="inlineStr">
        <is>
          <t>auto_ingest=world_bank_col_estimate; gni_annual=49740.0; year=2024; country_proxy=Croatia; cohort=Southern/Eastern Europe and Eurasia; city_cost_mult=0.9</t>
        </is>
      </c>
    </row>
    <row r="3574">
      <c r="A3574" t="inlineStr">
        <is>
          <t>hr-zagreb</t>
        </is>
      </c>
      <c r="B3574" t="inlineStr">
        <is>
          <t>Zagreb</t>
        </is>
      </c>
      <c r="C3574" t="inlineStr">
        <is>
          <t>Croatia</t>
        </is>
      </c>
      <c r="D3574" t="inlineStr">
        <is>
          <t>Southern/Eastern Europe and Eurasia</t>
        </is>
      </c>
      <c r="E3574" t="inlineStr">
        <is>
          <t>internet_cost</t>
        </is>
      </c>
      <c r="F3574" t="inlineStr">
        <is>
          <t>Internet cost</t>
        </is>
      </c>
      <c r="G3574" t="inlineStr">
        <is>
          <t>pressure</t>
        </is>
      </c>
      <c r="H3574" t="inlineStr">
        <is>
          <t>yes</t>
        </is>
      </c>
      <c r="I3574" t="inlineStr">
        <is>
          <t>55.96</t>
        </is>
      </c>
      <c r="J3574" t="inlineStr">
        <is>
          <t>world_bank_col_estimate</t>
        </is>
      </c>
      <c r="K3574" t="inlineStr">
        <is>
          <t>https://api.worldbank.org/v2/country/HRV/indicator/NY.GNP.PCAP.PP.CD?format=json&amp;mrv=10</t>
        </is>
      </c>
      <c r="L3574" t="inlineStr">
        <is>
          <t>World Bank GNI + regional expenditure ratio estimate</t>
        </is>
      </c>
      <c r="M3574" t="inlineStr">
        <is>
          <t>2024-12-31</t>
        </is>
      </c>
      <c r="N3574" t="inlineStr">
        <is>
          <t>auto_ingest=world_bank_col_estimate; gni_annual=49740.0; year=2024; country_proxy=Croatia; cohort=Southern/Eastern Europe and Eurasia; city_cost_mult=0.9</t>
        </is>
      </c>
    </row>
    <row r="3575">
      <c r="A3575" t="inlineStr">
        <is>
          <t>hr-zagreb</t>
        </is>
      </c>
      <c r="B3575" t="inlineStr">
        <is>
          <t>Zagreb</t>
        </is>
      </c>
      <c r="C3575" t="inlineStr">
        <is>
          <t>Croatia</t>
        </is>
      </c>
      <c r="D3575" t="inlineStr">
        <is>
          <t>Southern/Eastern Europe and Eurasia</t>
        </is>
      </c>
      <c r="E3575" t="inlineStr">
        <is>
          <t>food_cost</t>
        </is>
      </c>
      <c r="F3575" t="inlineStr">
        <is>
          <t>Food cost</t>
        </is>
      </c>
      <c r="G3575" t="inlineStr">
        <is>
          <t>pressure</t>
        </is>
      </c>
      <c r="H3575" t="inlineStr">
        <is>
          <t>yes</t>
        </is>
      </c>
      <c r="I3575" t="inlineStr">
        <is>
          <t>746.1</t>
        </is>
      </c>
      <c r="J3575" t="inlineStr">
        <is>
          <t>world_bank_col_estimate</t>
        </is>
      </c>
      <c r="K3575" t="inlineStr">
        <is>
          <t>https://api.worldbank.org/v2/country/HRV/indicator/NY.GNP.PCAP.PP.CD?format=json&amp;mrv=10</t>
        </is>
      </c>
      <c r="L3575" t="inlineStr">
        <is>
          <t>World Bank GNI + regional expenditure ratio estimate</t>
        </is>
      </c>
      <c r="M3575" t="inlineStr">
        <is>
          <t>2024-12-31</t>
        </is>
      </c>
      <c r="N3575" t="inlineStr">
        <is>
          <t>auto_ingest=world_bank_col_estimate; gni_annual=49740.0; year=2024; country_proxy=Croatia; cohort=Southern/Eastern Europe and Eurasia; city_cost_mult=0.9</t>
        </is>
      </c>
    </row>
    <row r="3576">
      <c r="A3576" t="inlineStr">
        <is>
          <t>hr-zagreb</t>
        </is>
      </c>
      <c r="B3576" t="inlineStr">
        <is>
          <t>Zagreb</t>
        </is>
      </c>
      <c r="C3576" t="inlineStr">
        <is>
          <t>Croatia</t>
        </is>
      </c>
      <c r="D3576" t="inlineStr">
        <is>
          <t>Southern/Eastern Europe and Eurasia</t>
        </is>
      </c>
      <c r="E3576" t="inlineStr">
        <is>
          <t>housing_burden_raw</t>
        </is>
      </c>
      <c r="F3576" t="inlineStr">
        <is>
          <t>Housing burden raw</t>
        </is>
      </c>
      <c r="G3576" t="inlineStr">
        <is>
          <t>pressure</t>
        </is>
      </c>
      <c r="H3576" t="inlineStr">
        <is>
          <t>yes</t>
        </is>
      </c>
      <c r="I3576" t="inlineStr">
        <is>
          <t>22.4999</t>
        </is>
      </c>
      <c r="J3576" t="inlineStr">
        <is>
          <t>derived</t>
        </is>
      </c>
      <c r="K3576" t="inlineStr">
        <is>
          <t>https://data.worldbank.org/indicator/NY.GNP.PCAP.PP.CD</t>
        </is>
      </c>
      <c r="L3576" t="inlineStr">
        <is>
          <t>Computed from city_inputs + country_context</t>
        </is>
      </c>
      <c r="M3576" t="inlineStr">
        <is>
          <t>2024-01-01</t>
        </is>
      </c>
      <c r="N3576" t="inlineStr">
        <is>
          <t>derived=rent/gross_income*100</t>
        </is>
      </c>
    </row>
    <row r="3577">
      <c r="A3577" t="inlineStr">
        <is>
          <t>hr-zagreb</t>
        </is>
      </c>
      <c r="B3577" t="inlineStr">
        <is>
          <t>Zagreb</t>
        </is>
      </c>
      <c r="C3577" t="inlineStr">
        <is>
          <t>Croatia</t>
        </is>
      </c>
      <c r="D3577" t="inlineStr">
        <is>
          <t>Southern/Eastern Europe and Eurasia</t>
        </is>
      </c>
      <c r="E3577" t="inlineStr">
        <is>
          <t>household_debt_burden_raw</t>
        </is>
      </c>
      <c r="F3577" t="inlineStr">
        <is>
          <t>Household debt burden raw</t>
        </is>
      </c>
      <c r="G3577" t="inlineStr">
        <is>
          <t>pressure</t>
        </is>
      </c>
      <c r="H3577" t="inlineStr">
        <is>
          <t>yes</t>
        </is>
      </c>
      <c r="I3577" t="inlineStr"/>
      <c r="J3577" t="inlineStr"/>
      <c r="K3577" t="inlineStr"/>
      <c r="L3577" t="inlineStr"/>
      <c r="M3577" t="inlineStr"/>
      <c r="N3577" t="inlineStr"/>
    </row>
    <row r="3578">
      <c r="A3578" t="inlineStr">
        <is>
          <t>hr-zagreb</t>
        </is>
      </c>
      <c r="B3578" t="inlineStr">
        <is>
          <t>Zagreb</t>
        </is>
      </c>
      <c r="C3578" t="inlineStr">
        <is>
          <t>Croatia</t>
        </is>
      </c>
      <c r="D3578" t="inlineStr">
        <is>
          <t>Southern/Eastern Europe and Eurasia</t>
        </is>
      </c>
      <c r="E3578" t="inlineStr">
        <is>
          <t>working_time_pressure_raw</t>
        </is>
      </c>
      <c r="F3578" t="inlineStr">
        <is>
          <t>Working time pressure raw</t>
        </is>
      </c>
      <c r="G3578" t="inlineStr">
        <is>
          <t>pressure</t>
        </is>
      </c>
      <c r="H3578" t="inlineStr">
        <is>
          <t>yes</t>
        </is>
      </c>
      <c r="I3578" t="inlineStr"/>
      <c r="J3578" t="inlineStr"/>
      <c r="K3578" t="inlineStr"/>
      <c r="L3578" t="inlineStr"/>
      <c r="M3578" t="inlineStr"/>
      <c r="N3578" t="inlineStr"/>
    </row>
    <row r="3579">
      <c r="A3579" t="inlineStr">
        <is>
          <t>hr-zagreb</t>
        </is>
      </c>
      <c r="B3579" t="inlineStr">
        <is>
          <t>Zagreb</t>
        </is>
      </c>
      <c r="C3579" t="inlineStr">
        <is>
          <t>Croatia</t>
        </is>
      </c>
      <c r="D3579" t="inlineStr">
        <is>
          <t>Southern/Eastern Europe and Eurasia</t>
        </is>
      </c>
      <c r="E3579" t="inlineStr">
        <is>
          <t>suicide_mental_strain_raw</t>
        </is>
      </c>
      <c r="F3579" t="inlineStr">
        <is>
          <t>Suicide or mental strain raw</t>
        </is>
      </c>
      <c r="G3579" t="inlineStr">
        <is>
          <t>pressure</t>
        </is>
      </c>
      <c r="H3579" t="inlineStr">
        <is>
          <t>yes</t>
        </is>
      </c>
      <c r="I3579" t="inlineStr"/>
      <c r="J3579" t="inlineStr"/>
      <c r="K3579" t="inlineStr"/>
      <c r="L3579" t="inlineStr"/>
      <c r="M3579" t="inlineStr"/>
      <c r="N3579" t="inlineStr"/>
    </row>
    <row r="3580">
      <c r="A3580" t="inlineStr">
        <is>
          <t>hr-zagreb</t>
        </is>
      </c>
      <c r="B3580" t="inlineStr">
        <is>
          <t>Zagreb</t>
        </is>
      </c>
      <c r="C3580" t="inlineStr">
        <is>
          <t>Croatia</t>
        </is>
      </c>
      <c r="D3580" t="inlineStr">
        <is>
          <t>Southern/Eastern Europe and Eurasia</t>
        </is>
      </c>
      <c r="E3580" t="inlineStr">
        <is>
          <t>personal_safety_raw</t>
        </is>
      </c>
      <c r="F3580" t="inlineStr">
        <is>
          <t>Personal safety raw</t>
        </is>
      </c>
      <c r="G3580" t="inlineStr">
        <is>
          <t>viability</t>
        </is>
      </c>
      <c r="H3580" t="inlineStr">
        <is>
          <t>yes</t>
        </is>
      </c>
      <c r="I3580" t="inlineStr"/>
      <c r="J3580" t="inlineStr"/>
      <c r="K3580" t="inlineStr"/>
      <c r="L3580" t="inlineStr"/>
      <c r="M3580" t="inlineStr"/>
      <c r="N3580" t="inlineStr"/>
    </row>
    <row r="3581">
      <c r="A3581" t="inlineStr">
        <is>
          <t>hr-zagreb</t>
        </is>
      </c>
      <c r="B3581" t="inlineStr">
        <is>
          <t>Zagreb</t>
        </is>
      </c>
      <c r="C3581" t="inlineStr">
        <is>
          <t>Croatia</t>
        </is>
      </c>
      <c r="D3581" t="inlineStr">
        <is>
          <t>Southern/Eastern Europe and Eurasia</t>
        </is>
      </c>
      <c r="E3581" t="inlineStr">
        <is>
          <t>transit_access_commute_raw</t>
        </is>
      </c>
      <c r="F3581" t="inlineStr">
        <is>
          <t>Transit access and commute raw</t>
        </is>
      </c>
      <c r="G3581" t="inlineStr">
        <is>
          <t>viability</t>
        </is>
      </c>
      <c r="H3581" t="inlineStr">
        <is>
          <t>yes</t>
        </is>
      </c>
      <c r="I3581" t="inlineStr"/>
      <c r="J3581" t="inlineStr"/>
      <c r="K3581" t="inlineStr"/>
      <c r="L3581" t="inlineStr"/>
      <c r="M3581" t="inlineStr"/>
      <c r="N3581" t="inlineStr"/>
    </row>
    <row r="3582">
      <c r="A3582" t="inlineStr">
        <is>
          <t>hr-zagreb</t>
        </is>
      </c>
      <c r="B3582" t="inlineStr">
        <is>
          <t>Zagreb</t>
        </is>
      </c>
      <c r="C3582" t="inlineStr">
        <is>
          <t>Croatia</t>
        </is>
      </c>
      <c r="D3582" t="inlineStr">
        <is>
          <t>Southern/Eastern Europe and Eurasia</t>
        </is>
      </c>
      <c r="E3582" t="inlineStr">
        <is>
          <t>clean_air_raw</t>
        </is>
      </c>
      <c r="F3582" t="inlineStr">
        <is>
          <t>Clean air raw</t>
        </is>
      </c>
      <c r="G3582" t="inlineStr">
        <is>
          <t>viability</t>
        </is>
      </c>
      <c r="H3582" t="inlineStr">
        <is>
          <t>yes</t>
        </is>
      </c>
      <c r="I3582" t="inlineStr"/>
      <c r="J3582" t="inlineStr"/>
      <c r="K3582" t="inlineStr"/>
      <c r="L3582" t="inlineStr"/>
      <c r="M3582" t="inlineStr"/>
      <c r="N3582" t="inlineStr"/>
    </row>
    <row r="3583">
      <c r="A3583" t="inlineStr">
        <is>
          <t>hr-zagreb</t>
        </is>
      </c>
      <c r="B3583" t="inlineStr">
        <is>
          <t>Zagreb</t>
        </is>
      </c>
      <c r="C3583" t="inlineStr">
        <is>
          <t>Croatia</t>
        </is>
      </c>
      <c r="D3583" t="inlineStr">
        <is>
          <t>Southern/Eastern Europe and Eurasia</t>
        </is>
      </c>
      <c r="E3583" t="inlineStr">
        <is>
          <t>water_sanitation_utility_raw</t>
        </is>
      </c>
      <c r="F3583" t="inlineStr">
        <is>
          <t>Water, sanitation, and utility raw</t>
        </is>
      </c>
      <c r="G3583" t="inlineStr">
        <is>
          <t>viability</t>
        </is>
      </c>
      <c r="H3583" t="inlineStr">
        <is>
          <t>yes</t>
        </is>
      </c>
      <c r="I3583" t="inlineStr"/>
      <c r="J3583" t="inlineStr"/>
      <c r="K3583" t="inlineStr"/>
      <c r="L3583" t="inlineStr"/>
      <c r="M3583" t="inlineStr"/>
      <c r="N3583" t="inlineStr"/>
    </row>
    <row r="3584">
      <c r="A3584" t="inlineStr">
        <is>
          <t>hr-zagreb</t>
        </is>
      </c>
      <c r="B3584" t="inlineStr">
        <is>
          <t>Zagreb</t>
        </is>
      </c>
      <c r="C3584" t="inlineStr">
        <is>
          <t>Croatia</t>
        </is>
      </c>
      <c r="D3584" t="inlineStr">
        <is>
          <t>Southern/Eastern Europe and Eurasia</t>
        </is>
      </c>
      <c r="E3584" t="inlineStr">
        <is>
          <t>digital_infrastructure_raw</t>
        </is>
      </c>
      <c r="F3584" t="inlineStr">
        <is>
          <t>Digital infrastructure raw</t>
        </is>
      </c>
      <c r="G3584" t="inlineStr">
        <is>
          <t>viability</t>
        </is>
      </c>
      <c r="H3584" t="inlineStr">
        <is>
          <t>yes</t>
        </is>
      </c>
      <c r="I3584" t="inlineStr"/>
      <c r="J3584" t="inlineStr"/>
      <c r="K3584" t="inlineStr"/>
      <c r="L3584" t="inlineStr"/>
      <c r="M3584" t="inlineStr"/>
      <c r="N3584" t="inlineStr"/>
    </row>
    <row r="3585">
      <c r="A3585" t="inlineStr">
        <is>
          <t>hr-zagreb</t>
        </is>
      </c>
      <c r="B3585" t="inlineStr">
        <is>
          <t>Zagreb</t>
        </is>
      </c>
      <c r="C3585" t="inlineStr">
        <is>
          <t>Croatia</t>
        </is>
      </c>
      <c r="D3585" t="inlineStr">
        <is>
          <t>Southern/Eastern Europe and Eurasia</t>
        </is>
      </c>
      <c r="E3585" t="inlineStr">
        <is>
          <t>climate_sunlight_livability_raw</t>
        </is>
      </c>
      <c r="F3585" t="inlineStr">
        <is>
          <t>Climate and sunlight livability raw</t>
        </is>
      </c>
      <c r="G3585" t="inlineStr">
        <is>
          <t>viability</t>
        </is>
      </c>
      <c r="H3585" t="inlineStr">
        <is>
          <t>yes</t>
        </is>
      </c>
      <c r="I3585" t="inlineStr">
        <is>
          <t>52</t>
        </is>
      </c>
      <c r="J3585" t="inlineStr">
        <is>
          <t>wmo_natl_met</t>
        </is>
      </c>
      <c r="K3585" t="inlineStr">
        <is>
          <t>https://worldweather.wmo.int</t>
        </is>
      </c>
      <c r="L3585" t="inlineStr">
        <is>
          <t>WMO/National Met: Climate livability composite</t>
        </is>
      </c>
      <c r="M3585" t="inlineStr">
        <is>
          <t>2024-12-31</t>
        </is>
      </c>
      <c r="N3585" t="inlineStr">
        <is>
          <t>auto_seed=climate_composite; 1900 sun hrs, 12C mean</t>
        </is>
      </c>
    </row>
    <row r="3586">
      <c r="A3586" t="inlineStr">
        <is>
          <t>hr-zagreb</t>
        </is>
      </c>
      <c r="B3586" t="inlineStr">
        <is>
          <t>Zagreb</t>
        </is>
      </c>
      <c r="C3586" t="inlineStr">
        <is>
          <t>Croatia</t>
        </is>
      </c>
      <c r="D3586" t="inlineStr">
        <is>
          <t>Southern/Eastern Europe and Eurasia</t>
        </is>
      </c>
      <c r="E3586" t="inlineStr">
        <is>
          <t>healthcare_quality_raw</t>
        </is>
      </c>
      <c r="F3586" t="inlineStr">
        <is>
          <t>Healthcare quality raw</t>
        </is>
      </c>
      <c r="G3586" t="inlineStr">
        <is>
          <t>capability</t>
        </is>
      </c>
      <c r="H3586" t="inlineStr">
        <is>
          <t>yes</t>
        </is>
      </c>
      <c r="I3586" t="inlineStr"/>
      <c r="J3586" t="inlineStr"/>
      <c r="K3586" t="inlineStr"/>
      <c r="L3586" t="inlineStr"/>
      <c r="M3586" t="inlineStr"/>
      <c r="N3586" t="inlineStr"/>
    </row>
    <row r="3587">
      <c r="A3587" t="inlineStr">
        <is>
          <t>hr-zagreb</t>
        </is>
      </c>
      <c r="B3587" t="inlineStr">
        <is>
          <t>Zagreb</t>
        </is>
      </c>
      <c r="C3587" t="inlineStr">
        <is>
          <t>Croatia</t>
        </is>
      </c>
      <c r="D3587" t="inlineStr">
        <is>
          <t>Southern/Eastern Europe and Eurasia</t>
        </is>
      </c>
      <c r="E3587" t="inlineStr">
        <is>
          <t>education_quality_raw</t>
        </is>
      </c>
      <c r="F3587" t="inlineStr">
        <is>
          <t>Education quality raw</t>
        </is>
      </c>
      <c r="G3587" t="inlineStr">
        <is>
          <t>capability</t>
        </is>
      </c>
      <c r="H3587" t="inlineStr">
        <is>
          <t>yes</t>
        </is>
      </c>
      <c r="I3587" t="inlineStr"/>
      <c r="J3587" t="inlineStr"/>
      <c r="K3587" t="inlineStr"/>
      <c r="L3587" t="inlineStr"/>
      <c r="M3587" t="inlineStr"/>
      <c r="N3587" t="inlineStr"/>
    </row>
    <row r="3588">
      <c r="A3588" t="inlineStr">
        <is>
          <t>hr-zagreb</t>
        </is>
      </c>
      <c r="B3588" t="inlineStr">
        <is>
          <t>Zagreb</t>
        </is>
      </c>
      <c r="C3588" t="inlineStr">
        <is>
          <t>Croatia</t>
        </is>
      </c>
      <c r="D3588" t="inlineStr">
        <is>
          <t>Southern/Eastern Europe and Eurasia</t>
        </is>
      </c>
      <c r="E3588" t="inlineStr">
        <is>
          <t>equal_opportunity_raw</t>
        </is>
      </c>
      <c r="F3588" t="inlineStr">
        <is>
          <t>Equal opportunity raw</t>
        </is>
      </c>
      <c r="G3588" t="inlineStr">
        <is>
          <t>capability</t>
        </is>
      </c>
      <c r="H3588" t="inlineStr">
        <is>
          <t>yes</t>
        </is>
      </c>
      <c r="I3588" t="inlineStr">
        <is>
          <t>30.1</t>
        </is>
      </c>
      <c r="J3588" t="inlineStr">
        <is>
          <t>world_bank</t>
        </is>
      </c>
      <c r="K3588" t="inlineStr">
        <is>
          <t>https://api.worldbank.org/v2/country/HRV/indicator/SI.POV.GINI?format=json&amp;mrv=10</t>
        </is>
      </c>
      <c r="L3588" t="inlineStr">
        <is>
          <t>World Bank WDI: Gini index</t>
        </is>
      </c>
      <c r="M3588" t="inlineStr">
        <is>
          <t>2023-12-31</t>
        </is>
      </c>
      <c r="N3588" t="inlineStr">
        <is>
          <t>auto_ingest=world_bank_capability; indicator=SI.POV.GINI; year=2023; country_proxy=Croatia</t>
        </is>
      </c>
    </row>
    <row r="3589">
      <c r="A3589" t="inlineStr">
        <is>
          <t>hr-zagreb</t>
        </is>
      </c>
      <c r="B3589" t="inlineStr">
        <is>
          <t>Zagreb</t>
        </is>
      </c>
      <c r="C3589" t="inlineStr">
        <is>
          <t>Croatia</t>
        </is>
      </c>
      <c r="D3589" t="inlineStr">
        <is>
          <t>Southern/Eastern Europe and Eurasia</t>
        </is>
      </c>
      <c r="E3589" t="inlineStr">
        <is>
          <t>hospitality_belonging_raw</t>
        </is>
      </c>
      <c r="F3589" t="inlineStr">
        <is>
          <t>Hospitality and belonging raw</t>
        </is>
      </c>
      <c r="G3589" t="inlineStr">
        <is>
          <t>community</t>
        </is>
      </c>
      <c r="H3589" t="inlineStr">
        <is>
          <t>yes</t>
        </is>
      </c>
      <c r="I3589" t="inlineStr"/>
      <c r="J3589" t="inlineStr"/>
      <c r="K3589" t="inlineStr"/>
      <c r="L3589" t="inlineStr"/>
      <c r="M3589" t="inlineStr"/>
      <c r="N3589" t="inlineStr"/>
    </row>
    <row r="3590">
      <c r="A3590" t="inlineStr">
        <is>
          <t>hr-zagreb</t>
        </is>
      </c>
      <c r="B3590" t="inlineStr">
        <is>
          <t>Zagreb</t>
        </is>
      </c>
      <c r="C3590" t="inlineStr">
        <is>
          <t>Croatia</t>
        </is>
      </c>
      <c r="D3590" t="inlineStr">
        <is>
          <t>Southern/Eastern Europe and Eurasia</t>
        </is>
      </c>
      <c r="E3590" t="inlineStr">
        <is>
          <t>tolerance_pluralism_raw</t>
        </is>
      </c>
      <c r="F3590" t="inlineStr">
        <is>
          <t>Tolerance and pluralism raw</t>
        </is>
      </c>
      <c r="G3590" t="inlineStr">
        <is>
          <t>community</t>
        </is>
      </c>
      <c r="H3590" t="inlineStr">
        <is>
          <t>yes</t>
        </is>
      </c>
      <c r="I3590" t="inlineStr"/>
      <c r="J3590" t="inlineStr"/>
      <c r="K3590" t="inlineStr"/>
      <c r="L3590" t="inlineStr"/>
      <c r="M3590" t="inlineStr"/>
      <c r="N3590" t="inlineStr"/>
    </row>
    <row r="3591">
      <c r="A3591" t="inlineStr">
        <is>
          <t>hr-zagreb</t>
        </is>
      </c>
      <c r="B3591" t="inlineStr">
        <is>
          <t>Zagreb</t>
        </is>
      </c>
      <c r="C3591" t="inlineStr">
        <is>
          <t>Croatia</t>
        </is>
      </c>
      <c r="D3591" t="inlineStr">
        <is>
          <t>Southern/Eastern Europe and Eurasia</t>
        </is>
      </c>
      <c r="E3591" t="inlineStr">
        <is>
          <t>cultural_public_life_raw</t>
        </is>
      </c>
      <c r="F3591" t="inlineStr">
        <is>
          <t>Cultural public life raw</t>
        </is>
      </c>
      <c r="G3591" t="inlineStr">
        <is>
          <t>community</t>
        </is>
      </c>
      <c r="H3591" t="inlineStr">
        <is>
          <t>yes</t>
        </is>
      </c>
      <c r="I3591" t="inlineStr"/>
      <c r="J3591" t="inlineStr"/>
      <c r="K3591" t="inlineStr"/>
      <c r="L3591" t="inlineStr"/>
      <c r="M3591" t="inlineStr"/>
      <c r="N3591" t="inlineStr"/>
    </row>
    <row r="3592">
      <c r="A3592" t="inlineStr">
        <is>
          <t>hr-zagreb</t>
        </is>
      </c>
      <c r="B3592" t="inlineStr">
        <is>
          <t>Zagreb</t>
        </is>
      </c>
      <c r="C3592" t="inlineStr">
        <is>
          <t>Croatia</t>
        </is>
      </c>
      <c r="D3592" t="inlineStr">
        <is>
          <t>Southern/Eastern Europe and Eurasia</t>
        </is>
      </c>
      <c r="E3592" t="inlineStr">
        <is>
          <t>birth_rate_optimism_raw</t>
        </is>
      </c>
      <c r="F3592" t="inlineStr">
        <is>
          <t>Birth rate and societal optimism raw</t>
        </is>
      </c>
      <c r="G3592" t="inlineStr">
        <is>
          <t>community</t>
        </is>
      </c>
      <c r="H3592" t="inlineStr">
        <is>
          <t>yes</t>
        </is>
      </c>
      <c r="I3592" t="inlineStr"/>
      <c r="J3592" t="inlineStr"/>
      <c r="K3592" t="inlineStr"/>
      <c r="L3592" t="inlineStr"/>
      <c r="M3592" t="inlineStr"/>
      <c r="N3592" t="inlineStr"/>
    </row>
    <row r="3593">
      <c r="A3593" t="inlineStr">
        <is>
          <t>hr-zagreb</t>
        </is>
      </c>
      <c r="B3593" t="inlineStr">
        <is>
          <t>Zagreb</t>
        </is>
      </c>
      <c r="C3593" t="inlineStr">
        <is>
          <t>Croatia</t>
        </is>
      </c>
      <c r="D3593" t="inlineStr">
        <is>
          <t>Southern/Eastern Europe and Eurasia</t>
        </is>
      </c>
      <c r="E3593" t="inlineStr">
        <is>
          <t>entrepreneurial_dynamism_raw</t>
        </is>
      </c>
      <c r="F3593" t="inlineStr">
        <is>
          <t>Entrepreneurial dynamism raw</t>
        </is>
      </c>
      <c r="G3593" t="inlineStr">
        <is>
          <t>creative</t>
        </is>
      </c>
      <c r="H3593" t="inlineStr">
        <is>
          <t>yes</t>
        </is>
      </c>
      <c r="I3593" t="inlineStr">
        <is>
          <t>6.25</t>
        </is>
      </c>
      <c r="J3593" t="inlineStr">
        <is>
          <t>world_bank</t>
        </is>
      </c>
      <c r="K3593" t="inlineStr">
        <is>
          <t>https://api.worldbank.org/v2/country/HRV/indicator/IC.BUS.NDNS.ZS?format=json&amp;mrv=10</t>
        </is>
      </c>
      <c r="L3593" t="inlineStr">
        <is>
          <t>World Bank WDI: New business density (new registrations per 1,000 people ages 15-64)</t>
        </is>
      </c>
      <c r="M3593" t="inlineStr">
        <is>
          <t>2022-12-31</t>
        </is>
      </c>
      <c r="N3593" t="inlineStr">
        <is>
          <t>auto_ingest=world_bank_creative_extended; indicator=IC.BUS.NDNS.ZS; year=2022; country_proxy=Croatia</t>
        </is>
      </c>
    </row>
    <row r="3594">
      <c r="A3594" t="inlineStr">
        <is>
          <t>hr-zagreb</t>
        </is>
      </c>
      <c r="B3594" t="inlineStr">
        <is>
          <t>Zagreb</t>
        </is>
      </c>
      <c r="C3594" t="inlineStr">
        <is>
          <t>Croatia</t>
        </is>
      </c>
      <c r="D3594" t="inlineStr">
        <is>
          <t>Southern/Eastern Europe and Eurasia</t>
        </is>
      </c>
      <c r="E3594" t="inlineStr">
        <is>
          <t>innovation_research_intensity_raw</t>
        </is>
      </c>
      <c r="F3594" t="inlineStr">
        <is>
          <t>Innovation and research raw</t>
        </is>
      </c>
      <c r="G3594" t="inlineStr">
        <is>
          <t>creative</t>
        </is>
      </c>
      <c r="H3594" t="inlineStr">
        <is>
          <t>yes</t>
        </is>
      </c>
      <c r="I3594" t="inlineStr">
        <is>
          <t>1.4</t>
        </is>
      </c>
      <c r="J3594" t="inlineStr">
        <is>
          <t>world_bank</t>
        </is>
      </c>
      <c r="K3594" t="inlineStr">
        <is>
          <t>https://api.worldbank.org/v2/country/HRV/indicator/GB.XPD.RSDV.GD.ZS?format=json&amp;mrv=10</t>
        </is>
      </c>
      <c r="L3594" t="inlineStr">
        <is>
          <t>World Bank WDI: Research and development expenditure (% of GDP)</t>
        </is>
      </c>
      <c r="M3594" t="inlineStr">
        <is>
          <t>2022-12-31</t>
        </is>
      </c>
      <c r="N3594" t="inlineStr">
        <is>
          <t>auto_ingest=world_bank_creative_extended; indicator=GB.XPD.RSDV.GD.ZS; year=2022; country_proxy=Croatia</t>
        </is>
      </c>
    </row>
    <row r="3595">
      <c r="A3595" t="inlineStr">
        <is>
          <t>hr-zagreb</t>
        </is>
      </c>
      <c r="B3595" t="inlineStr">
        <is>
          <t>Zagreb</t>
        </is>
      </c>
      <c r="C3595" t="inlineStr">
        <is>
          <t>Croatia</t>
        </is>
      </c>
      <c r="D3595" t="inlineStr">
        <is>
          <t>Southern/Eastern Europe and Eurasia</t>
        </is>
      </c>
      <c r="E3595" t="inlineStr">
        <is>
          <t>investment_signal_raw</t>
        </is>
      </c>
      <c r="F3595" t="inlineStr">
        <is>
          <t>Investment signal raw</t>
        </is>
      </c>
      <c r="G3595" t="inlineStr">
        <is>
          <t>creative</t>
        </is>
      </c>
      <c r="H3595" t="inlineStr">
        <is>
          <t>yes</t>
        </is>
      </c>
      <c r="I3595" t="inlineStr">
        <is>
          <t>4.88</t>
        </is>
      </c>
      <c r="J3595" t="inlineStr">
        <is>
          <t>world_bank</t>
        </is>
      </c>
      <c r="K3595" t="inlineStr">
        <is>
          <t>https://api.worldbank.org/v2/country/HRV/indicator/BX.KLT.DINV.WD.GD.ZS?format=json&amp;mrv=10</t>
        </is>
      </c>
      <c r="L3595" t="inlineStr">
        <is>
          <t>World Bank WDI: Foreign direct investment, net inflows (% of GDP)</t>
        </is>
      </c>
      <c r="M3595" t="inlineStr">
        <is>
          <t>2024-12-31</t>
        </is>
      </c>
      <c r="N3595" t="inlineStr">
        <is>
          <t>auto_ingest=world_bank_creative_extended; indicator=BX.KLT.DINV.WD.GD.ZS; year=2024; country_proxy=Croatia</t>
        </is>
      </c>
    </row>
    <row r="3596">
      <c r="A3596" t="inlineStr">
        <is>
          <t>hr-zagreb</t>
        </is>
      </c>
      <c r="B3596" t="inlineStr">
        <is>
          <t>Zagreb</t>
        </is>
      </c>
      <c r="C3596" t="inlineStr">
        <is>
          <t>Croatia</t>
        </is>
      </c>
      <c r="D3596" t="inlineStr">
        <is>
          <t>Southern/Eastern Europe and Eurasia</t>
        </is>
      </c>
      <c r="E3596" t="inlineStr">
        <is>
          <t>administrative_investment_friction_raw</t>
        </is>
      </c>
      <c r="F3596" t="inlineStr">
        <is>
          <t>Administrative investment friction raw</t>
        </is>
      </c>
      <c r="G3596" t="inlineStr">
        <is>
          <t>creative</t>
        </is>
      </c>
      <c r="H3596" t="inlineStr">
        <is>
          <t>yes</t>
        </is>
      </c>
      <c r="I3596" t="inlineStr">
        <is>
          <t>1.86</t>
        </is>
      </c>
      <c r="J3596" t="inlineStr">
        <is>
          <t>world_bank</t>
        </is>
      </c>
      <c r="K3596" t="inlineStr">
        <is>
          <t>https://api.worldbank.org/v2/country/HRV/indicator/RQ.EST?format=json&amp;mrv=10</t>
        </is>
      </c>
      <c r="L3596" t="inlineStr">
        <is>
          <t>World Bank WGI: Regulatory Quality (inverted as friction proxy)</t>
        </is>
      </c>
      <c r="M3596" t="inlineStr">
        <is>
          <t>2023-12-31</t>
        </is>
      </c>
      <c r="N3596" t="inlineStr">
        <is>
          <t>auto_ingest=world_bank_business_friction; indicator=RQ.EST; raw_rq=0.643900275230408; friction=1.86; year=2023; country_proxy=Croatia</t>
        </is>
      </c>
    </row>
    <row r="3597">
      <c r="A3597" t="inlineStr">
        <is>
          <t>hr-zagreb</t>
        </is>
      </c>
      <c r="B3597" t="inlineStr">
        <is>
          <t>Zagreb</t>
        </is>
      </c>
      <c r="C3597" t="inlineStr">
        <is>
          <t>Croatia</t>
        </is>
      </c>
      <c r="D3597" t="inlineStr">
        <is>
          <t>Southern/Eastern Europe and Eurasia</t>
        </is>
      </c>
      <c r="E3597" t="inlineStr">
        <is>
          <t>visitor_flow_context_raw</t>
        </is>
      </c>
      <c r="F3597" t="inlineStr">
        <is>
          <t>Visitor flow context raw</t>
        </is>
      </c>
      <c r="G3597" t="inlineStr">
        <is>
          <t>creative</t>
        </is>
      </c>
      <c r="H3597" t="inlineStr">
        <is>
          <t>no</t>
        </is>
      </c>
      <c r="I3597" t="inlineStr"/>
      <c r="J3597" t="inlineStr"/>
      <c r="K3597" t="inlineStr"/>
      <c r="L3597" t="inlineStr"/>
      <c r="M3597" t="inlineStr"/>
      <c r="N3597" t="inlineStr"/>
    </row>
    <row r="3598">
      <c r="A3598" t="inlineStr">
        <is>
          <t>lt-vilnius</t>
        </is>
      </c>
      <c r="B3598" t="inlineStr">
        <is>
          <t>Vilnius</t>
        </is>
      </c>
      <c r="C3598" t="inlineStr">
        <is>
          <t>Lithuania</t>
        </is>
      </c>
      <c r="D3598" t="inlineStr">
        <is>
          <t>Southern/Eastern Europe and Eurasia</t>
        </is>
      </c>
      <c r="E3598" t="inlineStr">
        <is>
          <t>gross_income</t>
        </is>
      </c>
      <c r="F3598" t="inlineStr">
        <is>
          <t>Gross income</t>
        </is>
      </c>
      <c r="G3598" t="inlineStr">
        <is>
          <t>pressure</t>
        </is>
      </c>
      <c r="H3598" t="inlineStr">
        <is>
          <t>yes</t>
        </is>
      </c>
      <c r="I3598" t="inlineStr">
        <is>
          <t>4493.33</t>
        </is>
      </c>
      <c r="J3598" t="inlineStr">
        <is>
          <t>world_bank_col_estimate</t>
        </is>
      </c>
      <c r="K3598" t="inlineStr">
        <is>
          <t>https://api.worldbank.org/v2/country/LTU/indicator/NY.GNP.PCAP.PP.CD?format=json&amp;mrv=10</t>
        </is>
      </c>
      <c r="L3598" t="inlineStr">
        <is>
          <t>World Bank WDI: GNI per capita PPP (monthly USD)</t>
        </is>
      </c>
      <c r="M3598" t="inlineStr">
        <is>
          <t>2024-12-31</t>
        </is>
      </c>
      <c r="N3598" t="inlineStr">
        <is>
          <t>auto_ingest=world_bank_col_estimate; gni_annual=53920.0; year=2024; country_proxy=Lithuania; cohort=Southern/Eastern Europe and Eurasia</t>
        </is>
      </c>
    </row>
    <row r="3599">
      <c r="A3599" t="inlineStr">
        <is>
          <t>lt-vilnius</t>
        </is>
      </c>
      <c r="B3599" t="inlineStr">
        <is>
          <t>Vilnius</t>
        </is>
      </c>
      <c r="C3599" t="inlineStr">
        <is>
          <t>Lithuania</t>
        </is>
      </c>
      <c r="D3599" t="inlineStr">
        <is>
          <t>Southern/Eastern Europe and Eurasia</t>
        </is>
      </c>
      <c r="E3599" t="inlineStr">
        <is>
          <t>di_ppp_raw</t>
        </is>
      </c>
      <c r="F3599" t="inlineStr">
        <is>
          <t>Disposable income PPP (Raw)</t>
        </is>
      </c>
      <c r="G3599" t="inlineStr">
        <is>
          <t>pressure</t>
        </is>
      </c>
      <c r="H3599" t="inlineStr">
        <is>
          <t>yes</t>
        </is>
      </c>
      <c r="I3599" t="inlineStr"/>
      <c r="J3599" t="inlineStr"/>
      <c r="K3599" t="inlineStr"/>
      <c r="L3599" t="inlineStr"/>
      <c r="M3599" t="inlineStr"/>
      <c r="N3599" t="inlineStr"/>
    </row>
    <row r="3600">
      <c r="A3600" t="inlineStr">
        <is>
          <t>lt-vilnius</t>
        </is>
      </c>
      <c r="B3600" t="inlineStr">
        <is>
          <t>Vilnius</t>
        </is>
      </c>
      <c r="C3600" t="inlineStr">
        <is>
          <t>Lithuania</t>
        </is>
      </c>
      <c r="D3600" t="inlineStr">
        <is>
          <t>Southern/Eastern Europe and Eurasia</t>
        </is>
      </c>
      <c r="E3600" t="inlineStr">
        <is>
          <t>rent</t>
        </is>
      </c>
      <c r="F3600" t="inlineStr">
        <is>
          <t>Rent</t>
        </is>
      </c>
      <c r="G3600" t="inlineStr">
        <is>
          <t>pressure</t>
        </is>
      </c>
      <c r="H3600" t="inlineStr">
        <is>
          <t>yes</t>
        </is>
      </c>
      <c r="I3600" t="inlineStr">
        <is>
          <t>1011.0</t>
        </is>
      </c>
      <c r="J3600" t="inlineStr">
        <is>
          <t>world_bank_col_estimate</t>
        </is>
      </c>
      <c r="K3600" t="inlineStr">
        <is>
          <t>https://api.worldbank.org/v2/country/LTU/indicator/NY.GNP.PCAP.PP.CD?format=json&amp;mrv=10</t>
        </is>
      </c>
      <c r="L3600" t="inlineStr">
        <is>
          <t>World Bank GNI + regional expenditure ratio estimate</t>
        </is>
      </c>
      <c r="M3600" t="inlineStr">
        <is>
          <t>2024-12-31</t>
        </is>
      </c>
      <c r="N3600" t="inlineStr">
        <is>
          <t>auto_ingest=world_bank_col_estimate; gni_annual=53920.0; year=2024; country_proxy=Lithuania; cohort=Southern/Eastern Europe and Eurasia; city_cost_mult=0.9</t>
        </is>
      </c>
    </row>
    <row r="3601">
      <c r="A3601" t="inlineStr">
        <is>
          <t>lt-vilnius</t>
        </is>
      </c>
      <c r="B3601" t="inlineStr">
        <is>
          <t>Vilnius</t>
        </is>
      </c>
      <c r="C3601" t="inlineStr">
        <is>
          <t>Lithuania</t>
        </is>
      </c>
      <c r="D3601" t="inlineStr">
        <is>
          <t>Southern/Eastern Europe and Eurasia</t>
        </is>
      </c>
      <c r="E3601" t="inlineStr">
        <is>
          <t>utilities</t>
        </is>
      </c>
      <c r="F3601" t="inlineStr">
        <is>
          <t>Utilities</t>
        </is>
      </c>
      <c r="G3601" t="inlineStr">
        <is>
          <t>pressure</t>
        </is>
      </c>
      <c r="H3601" t="inlineStr">
        <is>
          <t>yes</t>
        </is>
      </c>
      <c r="I3601" t="inlineStr">
        <is>
          <t>323.52</t>
        </is>
      </c>
      <c r="J3601" t="inlineStr">
        <is>
          <t>world_bank_col_estimate</t>
        </is>
      </c>
      <c r="K3601" t="inlineStr">
        <is>
          <t>https://api.worldbank.org/v2/country/LTU/indicator/NY.GNP.PCAP.PP.CD?format=json&amp;mrv=10</t>
        </is>
      </c>
      <c r="L3601" t="inlineStr">
        <is>
          <t>World Bank GNI + regional expenditure ratio estimate</t>
        </is>
      </c>
      <c r="M3601" t="inlineStr">
        <is>
          <t>2024-12-31</t>
        </is>
      </c>
      <c r="N3601" t="inlineStr">
        <is>
          <t>auto_ingest=world_bank_col_estimate; gni_annual=53920.0; year=2024; country_proxy=Lithuania; cohort=Southern/Eastern Europe and Eurasia; city_cost_mult=0.9</t>
        </is>
      </c>
    </row>
    <row r="3602">
      <c r="A3602" t="inlineStr">
        <is>
          <t>lt-vilnius</t>
        </is>
      </c>
      <c r="B3602" t="inlineStr">
        <is>
          <t>Vilnius</t>
        </is>
      </c>
      <c r="C3602" t="inlineStr">
        <is>
          <t>Lithuania</t>
        </is>
      </c>
      <c r="D3602" t="inlineStr">
        <is>
          <t>Southern/Eastern Europe and Eurasia</t>
        </is>
      </c>
      <c r="E3602" t="inlineStr">
        <is>
          <t>transit_cost</t>
        </is>
      </c>
      <c r="F3602" t="inlineStr">
        <is>
          <t>Transit cost</t>
        </is>
      </c>
      <c r="G3602" t="inlineStr">
        <is>
          <t>pressure</t>
        </is>
      </c>
      <c r="H3602" t="inlineStr">
        <is>
          <t>yes</t>
        </is>
      </c>
      <c r="I3602" t="inlineStr">
        <is>
          <t>161.76</t>
        </is>
      </c>
      <c r="J3602" t="inlineStr">
        <is>
          <t>world_bank_col_estimate</t>
        </is>
      </c>
      <c r="K3602" t="inlineStr">
        <is>
          <t>https://api.worldbank.org/v2/country/LTU/indicator/NY.GNP.PCAP.PP.CD?format=json&amp;mrv=10</t>
        </is>
      </c>
      <c r="L3602" t="inlineStr">
        <is>
          <t>World Bank GNI + regional expenditure ratio estimate</t>
        </is>
      </c>
      <c r="M3602" t="inlineStr">
        <is>
          <t>2024-12-31</t>
        </is>
      </c>
      <c r="N3602" t="inlineStr">
        <is>
          <t>auto_ingest=world_bank_col_estimate; gni_annual=53920.0; year=2024; country_proxy=Lithuania; cohort=Southern/Eastern Europe and Eurasia; city_cost_mult=0.9</t>
        </is>
      </c>
    </row>
    <row r="3603">
      <c r="A3603" t="inlineStr">
        <is>
          <t>lt-vilnius</t>
        </is>
      </c>
      <c r="B3603" t="inlineStr">
        <is>
          <t>Vilnius</t>
        </is>
      </c>
      <c r="C3603" t="inlineStr">
        <is>
          <t>Lithuania</t>
        </is>
      </c>
      <c r="D3603" t="inlineStr">
        <is>
          <t>Southern/Eastern Europe and Eurasia</t>
        </is>
      </c>
      <c r="E3603" t="inlineStr">
        <is>
          <t>internet_cost</t>
        </is>
      </c>
      <c r="F3603" t="inlineStr">
        <is>
          <t>Internet cost</t>
        </is>
      </c>
      <c r="G3603" t="inlineStr">
        <is>
          <t>pressure</t>
        </is>
      </c>
      <c r="H3603" t="inlineStr">
        <is>
          <t>yes</t>
        </is>
      </c>
      <c r="I3603" t="inlineStr">
        <is>
          <t>60.66</t>
        </is>
      </c>
      <c r="J3603" t="inlineStr">
        <is>
          <t>world_bank_col_estimate</t>
        </is>
      </c>
      <c r="K3603" t="inlineStr">
        <is>
          <t>https://api.worldbank.org/v2/country/LTU/indicator/NY.GNP.PCAP.PP.CD?format=json&amp;mrv=10</t>
        </is>
      </c>
      <c r="L3603" t="inlineStr">
        <is>
          <t>World Bank GNI + regional expenditure ratio estimate</t>
        </is>
      </c>
      <c r="M3603" t="inlineStr">
        <is>
          <t>2024-12-31</t>
        </is>
      </c>
      <c r="N3603" t="inlineStr">
        <is>
          <t>auto_ingest=world_bank_col_estimate; gni_annual=53920.0; year=2024; country_proxy=Lithuania; cohort=Southern/Eastern Europe and Eurasia; city_cost_mult=0.9</t>
        </is>
      </c>
    </row>
    <row r="3604">
      <c r="A3604" t="inlineStr">
        <is>
          <t>lt-vilnius</t>
        </is>
      </c>
      <c r="B3604" t="inlineStr">
        <is>
          <t>Vilnius</t>
        </is>
      </c>
      <c r="C3604" t="inlineStr">
        <is>
          <t>Lithuania</t>
        </is>
      </c>
      <c r="D3604" t="inlineStr">
        <is>
          <t>Southern/Eastern Europe and Eurasia</t>
        </is>
      </c>
      <c r="E3604" t="inlineStr">
        <is>
          <t>food_cost</t>
        </is>
      </c>
      <c r="F3604" t="inlineStr">
        <is>
          <t>Food cost</t>
        </is>
      </c>
      <c r="G3604" t="inlineStr">
        <is>
          <t>pressure</t>
        </is>
      </c>
      <c r="H3604" t="inlineStr">
        <is>
          <t>yes</t>
        </is>
      </c>
      <c r="I3604" t="inlineStr">
        <is>
          <t>808.8</t>
        </is>
      </c>
      <c r="J3604" t="inlineStr">
        <is>
          <t>world_bank_col_estimate</t>
        </is>
      </c>
      <c r="K3604" t="inlineStr">
        <is>
          <t>https://api.worldbank.org/v2/country/LTU/indicator/NY.GNP.PCAP.PP.CD?format=json&amp;mrv=10</t>
        </is>
      </c>
      <c r="L3604" t="inlineStr">
        <is>
          <t>World Bank GNI + regional expenditure ratio estimate</t>
        </is>
      </c>
      <c r="M3604" t="inlineStr">
        <is>
          <t>2024-12-31</t>
        </is>
      </c>
      <c r="N3604" t="inlineStr">
        <is>
          <t>auto_ingest=world_bank_col_estimate; gni_annual=53920.0; year=2024; country_proxy=Lithuania; cohort=Southern/Eastern Europe and Eurasia; city_cost_mult=0.9</t>
        </is>
      </c>
    </row>
    <row r="3605">
      <c r="A3605" t="inlineStr">
        <is>
          <t>lt-vilnius</t>
        </is>
      </c>
      <c r="B3605" t="inlineStr">
        <is>
          <t>Vilnius</t>
        </is>
      </c>
      <c r="C3605" t="inlineStr">
        <is>
          <t>Lithuania</t>
        </is>
      </c>
      <c r="D3605" t="inlineStr">
        <is>
          <t>Southern/Eastern Europe and Eurasia</t>
        </is>
      </c>
      <c r="E3605" t="inlineStr">
        <is>
          <t>housing_burden_raw</t>
        </is>
      </c>
      <c r="F3605" t="inlineStr">
        <is>
          <t>Housing burden raw</t>
        </is>
      </c>
      <c r="G3605" t="inlineStr">
        <is>
          <t>pressure</t>
        </is>
      </c>
      <c r="H3605" t="inlineStr">
        <is>
          <t>yes</t>
        </is>
      </c>
      <c r="I3605" t="inlineStr">
        <is>
          <t>22.5</t>
        </is>
      </c>
      <c r="J3605" t="inlineStr">
        <is>
          <t>derived</t>
        </is>
      </c>
      <c r="K3605" t="inlineStr">
        <is>
          <t>https://data.worldbank.org/indicator/NY.GNP.PCAP.PP.CD</t>
        </is>
      </c>
      <c r="L3605" t="inlineStr">
        <is>
          <t>Computed from city_inputs + country_context</t>
        </is>
      </c>
      <c r="M3605" t="inlineStr">
        <is>
          <t>2024-01-01</t>
        </is>
      </c>
      <c r="N3605" t="inlineStr">
        <is>
          <t>derived=rent/gross_income*100</t>
        </is>
      </c>
    </row>
    <row r="3606">
      <c r="A3606" t="inlineStr">
        <is>
          <t>lt-vilnius</t>
        </is>
      </c>
      <c r="B3606" t="inlineStr">
        <is>
          <t>Vilnius</t>
        </is>
      </c>
      <c r="C3606" t="inlineStr">
        <is>
          <t>Lithuania</t>
        </is>
      </c>
      <c r="D3606" t="inlineStr">
        <is>
          <t>Southern/Eastern Europe and Eurasia</t>
        </is>
      </c>
      <c r="E3606" t="inlineStr">
        <is>
          <t>household_debt_burden_raw</t>
        </is>
      </c>
      <c r="F3606" t="inlineStr">
        <is>
          <t>Household debt burden raw</t>
        </is>
      </c>
      <c r="G3606" t="inlineStr">
        <is>
          <t>pressure</t>
        </is>
      </c>
      <c r="H3606" t="inlineStr">
        <is>
          <t>yes</t>
        </is>
      </c>
      <c r="I3606" t="inlineStr"/>
      <c r="J3606" t="inlineStr"/>
      <c r="K3606" t="inlineStr"/>
      <c r="L3606" t="inlineStr"/>
      <c r="M3606" t="inlineStr"/>
      <c r="N3606" t="inlineStr"/>
    </row>
    <row r="3607">
      <c r="A3607" t="inlineStr">
        <is>
          <t>lt-vilnius</t>
        </is>
      </c>
      <c r="B3607" t="inlineStr">
        <is>
          <t>Vilnius</t>
        </is>
      </c>
      <c r="C3607" t="inlineStr">
        <is>
          <t>Lithuania</t>
        </is>
      </c>
      <c r="D3607" t="inlineStr">
        <is>
          <t>Southern/Eastern Europe and Eurasia</t>
        </is>
      </c>
      <c r="E3607" t="inlineStr">
        <is>
          <t>working_time_pressure_raw</t>
        </is>
      </c>
      <c r="F3607" t="inlineStr">
        <is>
          <t>Working time pressure raw</t>
        </is>
      </c>
      <c r="G3607" t="inlineStr">
        <is>
          <t>pressure</t>
        </is>
      </c>
      <c r="H3607" t="inlineStr">
        <is>
          <t>yes</t>
        </is>
      </c>
      <c r="I3607" t="inlineStr"/>
      <c r="J3607" t="inlineStr"/>
      <c r="K3607" t="inlineStr"/>
      <c r="L3607" t="inlineStr"/>
      <c r="M3607" t="inlineStr"/>
      <c r="N3607" t="inlineStr"/>
    </row>
    <row r="3608">
      <c r="A3608" t="inlineStr">
        <is>
          <t>lt-vilnius</t>
        </is>
      </c>
      <c r="B3608" t="inlineStr">
        <is>
          <t>Vilnius</t>
        </is>
      </c>
      <c r="C3608" t="inlineStr">
        <is>
          <t>Lithuania</t>
        </is>
      </c>
      <c r="D3608" t="inlineStr">
        <is>
          <t>Southern/Eastern Europe and Eurasia</t>
        </is>
      </c>
      <c r="E3608" t="inlineStr">
        <is>
          <t>suicide_mental_strain_raw</t>
        </is>
      </c>
      <c r="F3608" t="inlineStr">
        <is>
          <t>Suicide or mental strain raw</t>
        </is>
      </c>
      <c r="G3608" t="inlineStr">
        <is>
          <t>pressure</t>
        </is>
      </c>
      <c r="H3608" t="inlineStr">
        <is>
          <t>yes</t>
        </is>
      </c>
      <c r="I3608" t="inlineStr"/>
      <c r="J3608" t="inlineStr"/>
      <c r="K3608" t="inlineStr"/>
      <c r="L3608" t="inlineStr"/>
      <c r="M3608" t="inlineStr"/>
      <c r="N3608" t="inlineStr"/>
    </row>
    <row r="3609">
      <c r="A3609" t="inlineStr">
        <is>
          <t>lt-vilnius</t>
        </is>
      </c>
      <c r="B3609" t="inlineStr">
        <is>
          <t>Vilnius</t>
        </is>
      </c>
      <c r="C3609" t="inlineStr">
        <is>
          <t>Lithuania</t>
        </is>
      </c>
      <c r="D3609" t="inlineStr">
        <is>
          <t>Southern/Eastern Europe and Eurasia</t>
        </is>
      </c>
      <c r="E3609" t="inlineStr">
        <is>
          <t>personal_safety_raw</t>
        </is>
      </c>
      <c r="F3609" t="inlineStr">
        <is>
          <t>Personal safety raw</t>
        </is>
      </c>
      <c r="G3609" t="inlineStr">
        <is>
          <t>viability</t>
        </is>
      </c>
      <c r="H3609" t="inlineStr">
        <is>
          <t>yes</t>
        </is>
      </c>
      <c r="I3609" t="inlineStr"/>
      <c r="J3609" t="inlineStr"/>
      <c r="K3609" t="inlineStr"/>
      <c r="L3609" t="inlineStr"/>
      <c r="M3609" t="inlineStr"/>
      <c r="N3609" t="inlineStr"/>
    </row>
    <row r="3610">
      <c r="A3610" t="inlineStr">
        <is>
          <t>lt-vilnius</t>
        </is>
      </c>
      <c r="B3610" t="inlineStr">
        <is>
          <t>Vilnius</t>
        </is>
      </c>
      <c r="C3610" t="inlineStr">
        <is>
          <t>Lithuania</t>
        </is>
      </c>
      <c r="D3610" t="inlineStr">
        <is>
          <t>Southern/Eastern Europe and Eurasia</t>
        </is>
      </c>
      <c r="E3610" t="inlineStr">
        <is>
          <t>transit_access_commute_raw</t>
        </is>
      </c>
      <c r="F3610" t="inlineStr">
        <is>
          <t>Transit access and commute raw</t>
        </is>
      </c>
      <c r="G3610" t="inlineStr">
        <is>
          <t>viability</t>
        </is>
      </c>
      <c r="H3610" t="inlineStr">
        <is>
          <t>yes</t>
        </is>
      </c>
      <c r="I3610" t="inlineStr"/>
      <c r="J3610" t="inlineStr"/>
      <c r="K3610" t="inlineStr"/>
      <c r="L3610" t="inlineStr"/>
      <c r="M3610" t="inlineStr"/>
      <c r="N3610" t="inlineStr"/>
    </row>
    <row r="3611">
      <c r="A3611" t="inlineStr">
        <is>
          <t>lt-vilnius</t>
        </is>
      </c>
      <c r="B3611" t="inlineStr">
        <is>
          <t>Vilnius</t>
        </is>
      </c>
      <c r="C3611" t="inlineStr">
        <is>
          <t>Lithuania</t>
        </is>
      </c>
      <c r="D3611" t="inlineStr">
        <is>
          <t>Southern/Eastern Europe and Eurasia</t>
        </is>
      </c>
      <c r="E3611" t="inlineStr">
        <is>
          <t>clean_air_raw</t>
        </is>
      </c>
      <c r="F3611" t="inlineStr">
        <is>
          <t>Clean air raw</t>
        </is>
      </c>
      <c r="G3611" t="inlineStr">
        <is>
          <t>viability</t>
        </is>
      </c>
      <c r="H3611" t="inlineStr">
        <is>
          <t>yes</t>
        </is>
      </c>
      <c r="I3611" t="inlineStr"/>
      <c r="J3611" t="inlineStr"/>
      <c r="K3611" t="inlineStr"/>
      <c r="L3611" t="inlineStr"/>
      <c r="M3611" t="inlineStr"/>
      <c r="N3611" t="inlineStr"/>
    </row>
    <row r="3612">
      <c r="A3612" t="inlineStr">
        <is>
          <t>lt-vilnius</t>
        </is>
      </c>
      <c r="B3612" t="inlineStr">
        <is>
          <t>Vilnius</t>
        </is>
      </c>
      <c r="C3612" t="inlineStr">
        <is>
          <t>Lithuania</t>
        </is>
      </c>
      <c r="D3612" t="inlineStr">
        <is>
          <t>Southern/Eastern Europe and Eurasia</t>
        </is>
      </c>
      <c r="E3612" t="inlineStr">
        <is>
          <t>water_sanitation_utility_raw</t>
        </is>
      </c>
      <c r="F3612" t="inlineStr">
        <is>
          <t>Water, sanitation, and utility raw</t>
        </is>
      </c>
      <c r="G3612" t="inlineStr">
        <is>
          <t>viability</t>
        </is>
      </c>
      <c r="H3612" t="inlineStr">
        <is>
          <t>yes</t>
        </is>
      </c>
      <c r="I3612" t="inlineStr"/>
      <c r="J3612" t="inlineStr"/>
      <c r="K3612" t="inlineStr"/>
      <c r="L3612" t="inlineStr"/>
      <c r="M3612" t="inlineStr"/>
      <c r="N3612" t="inlineStr"/>
    </row>
    <row r="3613">
      <c r="A3613" t="inlineStr">
        <is>
          <t>lt-vilnius</t>
        </is>
      </c>
      <c r="B3613" t="inlineStr">
        <is>
          <t>Vilnius</t>
        </is>
      </c>
      <c r="C3613" t="inlineStr">
        <is>
          <t>Lithuania</t>
        </is>
      </c>
      <c r="D3613" t="inlineStr">
        <is>
          <t>Southern/Eastern Europe and Eurasia</t>
        </is>
      </c>
      <c r="E3613" t="inlineStr">
        <is>
          <t>digital_infrastructure_raw</t>
        </is>
      </c>
      <c r="F3613" t="inlineStr">
        <is>
          <t>Digital infrastructure raw</t>
        </is>
      </c>
      <c r="G3613" t="inlineStr">
        <is>
          <t>viability</t>
        </is>
      </c>
      <c r="H3613" t="inlineStr">
        <is>
          <t>yes</t>
        </is>
      </c>
      <c r="I3613" t="inlineStr"/>
      <c r="J3613" t="inlineStr"/>
      <c r="K3613" t="inlineStr"/>
      <c r="L3613" t="inlineStr"/>
      <c r="M3613" t="inlineStr"/>
      <c r="N3613" t="inlineStr"/>
    </row>
    <row r="3614">
      <c r="A3614" t="inlineStr">
        <is>
          <t>lt-vilnius</t>
        </is>
      </c>
      <c r="B3614" t="inlineStr">
        <is>
          <t>Vilnius</t>
        </is>
      </c>
      <c r="C3614" t="inlineStr">
        <is>
          <t>Lithuania</t>
        </is>
      </c>
      <c r="D3614" t="inlineStr">
        <is>
          <t>Southern/Eastern Europe and Eurasia</t>
        </is>
      </c>
      <c r="E3614" t="inlineStr">
        <is>
          <t>climate_sunlight_livability_raw</t>
        </is>
      </c>
      <c r="F3614" t="inlineStr">
        <is>
          <t>Climate and sunlight livability raw</t>
        </is>
      </c>
      <c r="G3614" t="inlineStr">
        <is>
          <t>viability</t>
        </is>
      </c>
      <c r="H3614" t="inlineStr">
        <is>
          <t>yes</t>
        </is>
      </c>
      <c r="I3614" t="inlineStr">
        <is>
          <t>36</t>
        </is>
      </c>
      <c r="J3614" t="inlineStr">
        <is>
          <t>wmo_natl_met</t>
        </is>
      </c>
      <c r="K3614" t="inlineStr">
        <is>
          <t>https://worldweather.wmo.int</t>
        </is>
      </c>
      <c r="L3614" t="inlineStr">
        <is>
          <t>WMO/National Met: Climate livability composite</t>
        </is>
      </c>
      <c r="M3614" t="inlineStr">
        <is>
          <t>2024-12-31</t>
        </is>
      </c>
      <c r="N3614" t="inlineStr">
        <is>
          <t>auto_seed=climate_composite; 1700 sun hrs, 7C mean</t>
        </is>
      </c>
    </row>
    <row r="3615">
      <c r="A3615" t="inlineStr">
        <is>
          <t>lt-vilnius</t>
        </is>
      </c>
      <c r="B3615" t="inlineStr">
        <is>
          <t>Vilnius</t>
        </is>
      </c>
      <c r="C3615" t="inlineStr">
        <is>
          <t>Lithuania</t>
        </is>
      </c>
      <c r="D3615" t="inlineStr">
        <is>
          <t>Southern/Eastern Europe and Eurasia</t>
        </is>
      </c>
      <c r="E3615" t="inlineStr">
        <is>
          <t>healthcare_quality_raw</t>
        </is>
      </c>
      <c r="F3615" t="inlineStr">
        <is>
          <t>Healthcare quality raw</t>
        </is>
      </c>
      <c r="G3615" t="inlineStr">
        <is>
          <t>capability</t>
        </is>
      </c>
      <c r="H3615" t="inlineStr">
        <is>
          <t>yes</t>
        </is>
      </c>
      <c r="I3615" t="inlineStr"/>
      <c r="J3615" t="inlineStr"/>
      <c r="K3615" t="inlineStr"/>
      <c r="L3615" t="inlineStr"/>
      <c r="M3615" t="inlineStr"/>
      <c r="N3615" t="inlineStr"/>
    </row>
    <row r="3616">
      <c r="A3616" t="inlineStr">
        <is>
          <t>lt-vilnius</t>
        </is>
      </c>
      <c r="B3616" t="inlineStr">
        <is>
          <t>Vilnius</t>
        </is>
      </c>
      <c r="C3616" t="inlineStr">
        <is>
          <t>Lithuania</t>
        </is>
      </c>
      <c r="D3616" t="inlineStr">
        <is>
          <t>Southern/Eastern Europe and Eurasia</t>
        </is>
      </c>
      <c r="E3616" t="inlineStr">
        <is>
          <t>education_quality_raw</t>
        </is>
      </c>
      <c r="F3616" t="inlineStr">
        <is>
          <t>Education quality raw</t>
        </is>
      </c>
      <c r="G3616" t="inlineStr">
        <is>
          <t>capability</t>
        </is>
      </c>
      <c r="H3616" t="inlineStr">
        <is>
          <t>yes</t>
        </is>
      </c>
      <c r="I3616" t="inlineStr"/>
      <c r="J3616" t="inlineStr"/>
      <c r="K3616" t="inlineStr"/>
      <c r="L3616" t="inlineStr"/>
      <c r="M3616" t="inlineStr"/>
      <c r="N3616" t="inlineStr"/>
    </row>
    <row r="3617">
      <c r="A3617" t="inlineStr">
        <is>
          <t>lt-vilnius</t>
        </is>
      </c>
      <c r="B3617" t="inlineStr">
        <is>
          <t>Vilnius</t>
        </is>
      </c>
      <c r="C3617" t="inlineStr">
        <is>
          <t>Lithuania</t>
        </is>
      </c>
      <c r="D3617" t="inlineStr">
        <is>
          <t>Southern/Eastern Europe and Eurasia</t>
        </is>
      </c>
      <c r="E3617" t="inlineStr">
        <is>
          <t>equal_opportunity_raw</t>
        </is>
      </c>
      <c r="F3617" t="inlineStr">
        <is>
          <t>Equal opportunity raw</t>
        </is>
      </c>
      <c r="G3617" t="inlineStr">
        <is>
          <t>capability</t>
        </is>
      </c>
      <c r="H3617" t="inlineStr">
        <is>
          <t>yes</t>
        </is>
      </c>
      <c r="I3617" t="inlineStr">
        <is>
          <t>36.0</t>
        </is>
      </c>
      <c r="J3617" t="inlineStr">
        <is>
          <t>world_bank</t>
        </is>
      </c>
      <c r="K3617" t="inlineStr">
        <is>
          <t>https://api.worldbank.org/v2/country/LTU/indicator/SI.POV.GINI?format=json&amp;mrv=10</t>
        </is>
      </c>
      <c r="L3617" t="inlineStr">
        <is>
          <t>World Bank WDI: Gini index</t>
        </is>
      </c>
      <c r="M3617" t="inlineStr">
        <is>
          <t>2023-12-31</t>
        </is>
      </c>
      <c r="N3617" t="inlineStr">
        <is>
          <t>auto_ingest=world_bank_capability; indicator=SI.POV.GINI; year=2023; country_proxy=Lithuania</t>
        </is>
      </c>
    </row>
    <row r="3618">
      <c r="A3618" t="inlineStr">
        <is>
          <t>lt-vilnius</t>
        </is>
      </c>
      <c r="B3618" t="inlineStr">
        <is>
          <t>Vilnius</t>
        </is>
      </c>
      <c r="C3618" t="inlineStr">
        <is>
          <t>Lithuania</t>
        </is>
      </c>
      <c r="D3618" t="inlineStr">
        <is>
          <t>Southern/Eastern Europe and Eurasia</t>
        </is>
      </c>
      <c r="E3618" t="inlineStr">
        <is>
          <t>hospitality_belonging_raw</t>
        </is>
      </c>
      <c r="F3618" t="inlineStr">
        <is>
          <t>Hospitality and belonging raw</t>
        </is>
      </c>
      <c r="G3618" t="inlineStr">
        <is>
          <t>community</t>
        </is>
      </c>
      <c r="H3618" t="inlineStr">
        <is>
          <t>yes</t>
        </is>
      </c>
      <c r="I3618" t="inlineStr"/>
      <c r="J3618" t="inlineStr"/>
      <c r="K3618" t="inlineStr"/>
      <c r="L3618" t="inlineStr"/>
      <c r="M3618" t="inlineStr"/>
      <c r="N3618" t="inlineStr"/>
    </row>
    <row r="3619">
      <c r="A3619" t="inlineStr">
        <is>
          <t>lt-vilnius</t>
        </is>
      </c>
      <c r="B3619" t="inlineStr">
        <is>
          <t>Vilnius</t>
        </is>
      </c>
      <c r="C3619" t="inlineStr">
        <is>
          <t>Lithuania</t>
        </is>
      </c>
      <c r="D3619" t="inlineStr">
        <is>
          <t>Southern/Eastern Europe and Eurasia</t>
        </is>
      </c>
      <c r="E3619" t="inlineStr">
        <is>
          <t>tolerance_pluralism_raw</t>
        </is>
      </c>
      <c r="F3619" t="inlineStr">
        <is>
          <t>Tolerance and pluralism raw</t>
        </is>
      </c>
      <c r="G3619" t="inlineStr">
        <is>
          <t>community</t>
        </is>
      </c>
      <c r="H3619" t="inlineStr">
        <is>
          <t>yes</t>
        </is>
      </c>
      <c r="I3619" t="inlineStr"/>
      <c r="J3619" t="inlineStr"/>
      <c r="K3619" t="inlineStr"/>
      <c r="L3619" t="inlineStr"/>
      <c r="M3619" t="inlineStr"/>
      <c r="N3619" t="inlineStr"/>
    </row>
    <row r="3620">
      <c r="A3620" t="inlineStr">
        <is>
          <t>lt-vilnius</t>
        </is>
      </c>
      <c r="B3620" t="inlineStr">
        <is>
          <t>Vilnius</t>
        </is>
      </c>
      <c r="C3620" t="inlineStr">
        <is>
          <t>Lithuania</t>
        </is>
      </c>
      <c r="D3620" t="inlineStr">
        <is>
          <t>Southern/Eastern Europe and Eurasia</t>
        </is>
      </c>
      <c r="E3620" t="inlineStr">
        <is>
          <t>cultural_public_life_raw</t>
        </is>
      </c>
      <c r="F3620" t="inlineStr">
        <is>
          <t>Cultural public life raw</t>
        </is>
      </c>
      <c r="G3620" t="inlineStr">
        <is>
          <t>community</t>
        </is>
      </c>
      <c r="H3620" t="inlineStr">
        <is>
          <t>yes</t>
        </is>
      </c>
      <c r="I3620" t="inlineStr"/>
      <c r="J3620" t="inlineStr"/>
      <c r="K3620" t="inlineStr"/>
      <c r="L3620" t="inlineStr"/>
      <c r="M3620" t="inlineStr"/>
      <c r="N3620" t="inlineStr"/>
    </row>
    <row r="3621">
      <c r="A3621" t="inlineStr">
        <is>
          <t>lt-vilnius</t>
        </is>
      </c>
      <c r="B3621" t="inlineStr">
        <is>
          <t>Vilnius</t>
        </is>
      </c>
      <c r="C3621" t="inlineStr">
        <is>
          <t>Lithuania</t>
        </is>
      </c>
      <c r="D3621" t="inlineStr">
        <is>
          <t>Southern/Eastern Europe and Eurasia</t>
        </is>
      </c>
      <c r="E3621" t="inlineStr">
        <is>
          <t>birth_rate_optimism_raw</t>
        </is>
      </c>
      <c r="F3621" t="inlineStr">
        <is>
          <t>Birth rate and societal optimism raw</t>
        </is>
      </c>
      <c r="G3621" t="inlineStr">
        <is>
          <t>community</t>
        </is>
      </c>
      <c r="H3621" t="inlineStr">
        <is>
          <t>yes</t>
        </is>
      </c>
      <c r="I3621" t="inlineStr"/>
      <c r="J3621" t="inlineStr"/>
      <c r="K3621" t="inlineStr"/>
      <c r="L3621" t="inlineStr"/>
      <c r="M3621" t="inlineStr"/>
      <c r="N3621" t="inlineStr"/>
    </row>
    <row r="3622">
      <c r="A3622" t="inlineStr">
        <is>
          <t>lt-vilnius</t>
        </is>
      </c>
      <c r="B3622" t="inlineStr">
        <is>
          <t>Vilnius</t>
        </is>
      </c>
      <c r="C3622" t="inlineStr">
        <is>
          <t>Lithuania</t>
        </is>
      </c>
      <c r="D3622" t="inlineStr">
        <is>
          <t>Southern/Eastern Europe and Eurasia</t>
        </is>
      </c>
      <c r="E3622" t="inlineStr">
        <is>
          <t>entrepreneurial_dynamism_raw</t>
        </is>
      </c>
      <c r="F3622" t="inlineStr">
        <is>
          <t>Entrepreneurial dynamism raw</t>
        </is>
      </c>
      <c r="G3622" t="inlineStr">
        <is>
          <t>creative</t>
        </is>
      </c>
      <c r="H3622" t="inlineStr">
        <is>
          <t>yes</t>
        </is>
      </c>
      <c r="I3622" t="inlineStr">
        <is>
          <t>2.95</t>
        </is>
      </c>
      <c r="J3622" t="inlineStr">
        <is>
          <t>world_bank</t>
        </is>
      </c>
      <c r="K3622" t="inlineStr">
        <is>
          <t>https://api.worldbank.org/v2/country/LTU/indicator/IC.BUS.NDNS.ZS?format=json&amp;mrv=10</t>
        </is>
      </c>
      <c r="L3622" t="inlineStr">
        <is>
          <t>World Bank WDI: New business density (new registrations per 1,000 people ages 15-64)</t>
        </is>
      </c>
      <c r="M3622" t="inlineStr">
        <is>
          <t>2022-12-31</t>
        </is>
      </c>
      <c r="N3622" t="inlineStr">
        <is>
          <t>auto_ingest=world_bank_creative_extended; indicator=IC.BUS.NDNS.ZS; year=2022; country_proxy=Lithuania</t>
        </is>
      </c>
    </row>
    <row r="3623">
      <c r="A3623" t="inlineStr">
        <is>
          <t>lt-vilnius</t>
        </is>
      </c>
      <c r="B3623" t="inlineStr">
        <is>
          <t>Vilnius</t>
        </is>
      </c>
      <c r="C3623" t="inlineStr">
        <is>
          <t>Lithuania</t>
        </is>
      </c>
      <c r="D3623" t="inlineStr">
        <is>
          <t>Southern/Eastern Europe and Eurasia</t>
        </is>
      </c>
      <c r="E3623" t="inlineStr">
        <is>
          <t>innovation_research_intensity_raw</t>
        </is>
      </c>
      <c r="F3623" t="inlineStr">
        <is>
          <t>Innovation and research raw</t>
        </is>
      </c>
      <c r="G3623" t="inlineStr">
        <is>
          <t>creative</t>
        </is>
      </c>
      <c r="H3623" t="inlineStr">
        <is>
          <t>yes</t>
        </is>
      </c>
      <c r="I3623" t="inlineStr">
        <is>
          <t>1.05</t>
        </is>
      </c>
      <c r="J3623" t="inlineStr">
        <is>
          <t>world_bank</t>
        </is>
      </c>
      <c r="K3623" t="inlineStr">
        <is>
          <t>https://api.worldbank.org/v2/country/LTU/indicator/GB.XPD.RSDV.GD.ZS?format=json&amp;mrv=10</t>
        </is>
      </c>
      <c r="L3623" t="inlineStr">
        <is>
          <t>World Bank WDI: Research and development expenditure (% of GDP)</t>
        </is>
      </c>
      <c r="M3623" t="inlineStr">
        <is>
          <t>2022-12-31</t>
        </is>
      </c>
      <c r="N3623" t="inlineStr">
        <is>
          <t>auto_ingest=world_bank_creative_extended; indicator=GB.XPD.RSDV.GD.ZS; year=2022; country_proxy=Lithuania</t>
        </is>
      </c>
    </row>
    <row r="3624">
      <c r="A3624" t="inlineStr">
        <is>
          <t>lt-vilnius</t>
        </is>
      </c>
      <c r="B3624" t="inlineStr">
        <is>
          <t>Vilnius</t>
        </is>
      </c>
      <c r="C3624" t="inlineStr">
        <is>
          <t>Lithuania</t>
        </is>
      </c>
      <c r="D3624" t="inlineStr">
        <is>
          <t>Southern/Eastern Europe and Eurasia</t>
        </is>
      </c>
      <c r="E3624" t="inlineStr">
        <is>
          <t>investment_signal_raw</t>
        </is>
      </c>
      <c r="F3624" t="inlineStr">
        <is>
          <t>Investment signal raw</t>
        </is>
      </c>
      <c r="G3624" t="inlineStr">
        <is>
          <t>creative</t>
        </is>
      </c>
      <c r="H3624" t="inlineStr">
        <is>
          <t>yes</t>
        </is>
      </c>
      <c r="I3624" t="inlineStr">
        <is>
          <t>5.54</t>
        </is>
      </c>
      <c r="J3624" t="inlineStr">
        <is>
          <t>world_bank</t>
        </is>
      </c>
      <c r="K3624" t="inlineStr">
        <is>
          <t>https://api.worldbank.org/v2/country/LTU/indicator/BX.KLT.DINV.WD.GD.ZS?format=json&amp;mrv=10</t>
        </is>
      </c>
      <c r="L3624" t="inlineStr">
        <is>
          <t>World Bank WDI: Foreign direct investment, net inflows (% of GDP)</t>
        </is>
      </c>
      <c r="M3624" t="inlineStr">
        <is>
          <t>2024-12-31</t>
        </is>
      </c>
      <c r="N3624" t="inlineStr">
        <is>
          <t>auto_ingest=world_bank_creative_extended; indicator=BX.KLT.DINV.WD.GD.ZS; year=2024; country_proxy=Lithuania</t>
        </is>
      </c>
    </row>
    <row r="3625">
      <c r="A3625" t="inlineStr">
        <is>
          <t>lt-vilnius</t>
        </is>
      </c>
      <c r="B3625" t="inlineStr">
        <is>
          <t>Vilnius</t>
        </is>
      </c>
      <c r="C3625" t="inlineStr">
        <is>
          <t>Lithuania</t>
        </is>
      </c>
      <c r="D3625" t="inlineStr">
        <is>
          <t>Southern/Eastern Europe and Eurasia</t>
        </is>
      </c>
      <c r="E3625" t="inlineStr">
        <is>
          <t>administrative_investment_friction_raw</t>
        </is>
      </c>
      <c r="F3625" t="inlineStr">
        <is>
          <t>Administrative investment friction raw</t>
        </is>
      </c>
      <c r="G3625" t="inlineStr">
        <is>
          <t>creative</t>
        </is>
      </c>
      <c r="H3625" t="inlineStr">
        <is>
          <t>yes</t>
        </is>
      </c>
      <c r="I3625" t="inlineStr">
        <is>
          <t>1.16</t>
        </is>
      </c>
      <c r="J3625" t="inlineStr">
        <is>
          <t>world_bank</t>
        </is>
      </c>
      <c r="K3625" t="inlineStr">
        <is>
          <t>https://api.worldbank.org/v2/country/LTU/indicator/RQ.EST?format=json&amp;mrv=10</t>
        </is>
      </c>
      <c r="L3625" t="inlineStr">
        <is>
          <t>World Bank WGI: Regulatory Quality (inverted as friction proxy)</t>
        </is>
      </c>
      <c r="M3625" t="inlineStr">
        <is>
          <t>2023-12-31</t>
        </is>
      </c>
      <c r="N3625" t="inlineStr">
        <is>
          <t>auto_ingest=world_bank_business_friction; indicator=RQ.EST; raw_rq=1.33804214000702; friction=1.16; year=2023; country_proxy=Lithuania</t>
        </is>
      </c>
    </row>
    <row r="3626">
      <c r="A3626" t="inlineStr">
        <is>
          <t>lt-vilnius</t>
        </is>
      </c>
      <c r="B3626" t="inlineStr">
        <is>
          <t>Vilnius</t>
        </is>
      </c>
      <c r="C3626" t="inlineStr">
        <is>
          <t>Lithuania</t>
        </is>
      </c>
      <c r="D3626" t="inlineStr">
        <is>
          <t>Southern/Eastern Europe and Eurasia</t>
        </is>
      </c>
      <c r="E3626" t="inlineStr">
        <is>
          <t>visitor_flow_context_raw</t>
        </is>
      </c>
      <c r="F3626" t="inlineStr">
        <is>
          <t>Visitor flow context raw</t>
        </is>
      </c>
      <c r="G3626" t="inlineStr">
        <is>
          <t>creative</t>
        </is>
      </c>
      <c r="H3626" t="inlineStr">
        <is>
          <t>no</t>
        </is>
      </c>
      <c r="I3626" t="inlineStr"/>
      <c r="J3626" t="inlineStr"/>
      <c r="K3626" t="inlineStr"/>
      <c r="L3626" t="inlineStr"/>
      <c r="M3626" t="inlineStr"/>
      <c r="N3626" t="inlineStr"/>
    </row>
    <row r="3627">
      <c r="A3627" t="inlineStr">
        <is>
          <t>lv-riga</t>
        </is>
      </c>
      <c r="B3627" t="inlineStr">
        <is>
          <t>Riga</t>
        </is>
      </c>
      <c r="C3627" t="inlineStr">
        <is>
          <t>Latvia</t>
        </is>
      </c>
      <c r="D3627" t="inlineStr">
        <is>
          <t>Southern/Eastern Europe and Eurasia</t>
        </is>
      </c>
      <c r="E3627" t="inlineStr">
        <is>
          <t>gross_income</t>
        </is>
      </c>
      <c r="F3627" t="inlineStr">
        <is>
          <t>Gross income</t>
        </is>
      </c>
      <c r="G3627" t="inlineStr">
        <is>
          <t>pressure</t>
        </is>
      </c>
      <c r="H3627" t="inlineStr">
        <is>
          <t>yes</t>
        </is>
      </c>
      <c r="I3627" t="inlineStr">
        <is>
          <t>3555.0</t>
        </is>
      </c>
      <c r="J3627" t="inlineStr">
        <is>
          <t>world_bank_col_estimate</t>
        </is>
      </c>
      <c r="K3627" t="inlineStr">
        <is>
          <t>https://api.worldbank.org/v2/country/LVA/indicator/NY.GNP.PCAP.PP.CD?format=json&amp;mrv=10</t>
        </is>
      </c>
      <c r="L3627" t="inlineStr">
        <is>
          <t>World Bank WDI: GNI per capita PPP (monthly USD)</t>
        </is>
      </c>
      <c r="M3627" t="inlineStr">
        <is>
          <t>2024-12-31</t>
        </is>
      </c>
      <c r="N3627" t="inlineStr">
        <is>
          <t>auto_ingest=world_bank_col_estimate; gni_annual=42660.0; year=2024; country_proxy=Latvia; cohort=Southern/Eastern Europe and Eurasia</t>
        </is>
      </c>
    </row>
    <row r="3628">
      <c r="A3628" t="inlineStr">
        <is>
          <t>lv-riga</t>
        </is>
      </c>
      <c r="B3628" t="inlineStr">
        <is>
          <t>Riga</t>
        </is>
      </c>
      <c r="C3628" t="inlineStr">
        <is>
          <t>Latvia</t>
        </is>
      </c>
      <c r="D3628" t="inlineStr">
        <is>
          <t>Southern/Eastern Europe and Eurasia</t>
        </is>
      </c>
      <c r="E3628" t="inlineStr">
        <is>
          <t>di_ppp_raw</t>
        </is>
      </c>
      <c r="F3628" t="inlineStr">
        <is>
          <t>Disposable income PPP (Raw)</t>
        </is>
      </c>
      <c r="G3628" t="inlineStr">
        <is>
          <t>pressure</t>
        </is>
      </c>
      <c r="H3628" t="inlineStr">
        <is>
          <t>yes</t>
        </is>
      </c>
      <c r="I3628" t="inlineStr"/>
      <c r="J3628" t="inlineStr"/>
      <c r="K3628" t="inlineStr"/>
      <c r="L3628" t="inlineStr"/>
      <c r="M3628" t="inlineStr"/>
      <c r="N3628" t="inlineStr"/>
    </row>
    <row r="3629">
      <c r="A3629" t="inlineStr">
        <is>
          <t>lv-riga</t>
        </is>
      </c>
      <c r="B3629" t="inlineStr">
        <is>
          <t>Riga</t>
        </is>
      </c>
      <c r="C3629" t="inlineStr">
        <is>
          <t>Latvia</t>
        </is>
      </c>
      <c r="D3629" t="inlineStr">
        <is>
          <t>Southern/Eastern Europe and Eurasia</t>
        </is>
      </c>
      <c r="E3629" t="inlineStr">
        <is>
          <t>rent</t>
        </is>
      </c>
      <c r="F3629" t="inlineStr">
        <is>
          <t>Rent</t>
        </is>
      </c>
      <c r="G3629" t="inlineStr">
        <is>
          <t>pressure</t>
        </is>
      </c>
      <c r="H3629" t="inlineStr">
        <is>
          <t>yes</t>
        </is>
      </c>
      <c r="I3629" t="inlineStr">
        <is>
          <t>755.44</t>
        </is>
      </c>
      <c r="J3629" t="inlineStr">
        <is>
          <t>world_bank_col_estimate</t>
        </is>
      </c>
      <c r="K3629" t="inlineStr">
        <is>
          <t>https://api.worldbank.org/v2/country/LVA/indicator/NY.GNP.PCAP.PP.CD?format=json&amp;mrv=10</t>
        </is>
      </c>
      <c r="L3629" t="inlineStr">
        <is>
          <t>World Bank GNI + regional expenditure ratio estimate</t>
        </is>
      </c>
      <c r="M3629" t="inlineStr">
        <is>
          <t>2024-12-31</t>
        </is>
      </c>
      <c r="N3629" t="inlineStr">
        <is>
          <t>auto_ingest=world_bank_col_estimate; gni_annual=42660.0; year=2024; country_proxy=Latvia; cohort=Southern/Eastern Europe and Eurasia; city_cost_mult=0.85</t>
        </is>
      </c>
    </row>
    <row r="3630">
      <c r="A3630" t="inlineStr">
        <is>
          <t>lv-riga</t>
        </is>
      </c>
      <c r="B3630" t="inlineStr">
        <is>
          <t>Riga</t>
        </is>
      </c>
      <c r="C3630" t="inlineStr">
        <is>
          <t>Latvia</t>
        </is>
      </c>
      <c r="D3630" t="inlineStr">
        <is>
          <t>Southern/Eastern Europe and Eurasia</t>
        </is>
      </c>
      <c r="E3630" t="inlineStr">
        <is>
          <t>utilities</t>
        </is>
      </c>
      <c r="F3630" t="inlineStr">
        <is>
          <t>Utilities</t>
        </is>
      </c>
      <c r="G3630" t="inlineStr">
        <is>
          <t>pressure</t>
        </is>
      </c>
      <c r="H3630" t="inlineStr">
        <is>
          <t>yes</t>
        </is>
      </c>
      <c r="I3630" t="inlineStr">
        <is>
          <t>241.74</t>
        </is>
      </c>
      <c r="J3630" t="inlineStr">
        <is>
          <t>world_bank_col_estimate</t>
        </is>
      </c>
      <c r="K3630" t="inlineStr">
        <is>
          <t>https://api.worldbank.org/v2/country/LVA/indicator/NY.GNP.PCAP.PP.CD?format=json&amp;mrv=10</t>
        </is>
      </c>
      <c r="L3630" t="inlineStr">
        <is>
          <t>World Bank GNI + regional expenditure ratio estimate</t>
        </is>
      </c>
      <c r="M3630" t="inlineStr">
        <is>
          <t>2024-12-31</t>
        </is>
      </c>
      <c r="N3630" t="inlineStr">
        <is>
          <t>auto_ingest=world_bank_col_estimate; gni_annual=42660.0; year=2024; country_proxy=Latvia; cohort=Southern/Eastern Europe and Eurasia; city_cost_mult=0.85</t>
        </is>
      </c>
    </row>
    <row r="3631">
      <c r="A3631" t="inlineStr">
        <is>
          <t>lv-riga</t>
        </is>
      </c>
      <c r="B3631" t="inlineStr">
        <is>
          <t>Riga</t>
        </is>
      </c>
      <c r="C3631" t="inlineStr">
        <is>
          <t>Latvia</t>
        </is>
      </c>
      <c r="D3631" t="inlineStr">
        <is>
          <t>Southern/Eastern Europe and Eurasia</t>
        </is>
      </c>
      <c r="E3631" t="inlineStr">
        <is>
          <t>transit_cost</t>
        </is>
      </c>
      <c r="F3631" t="inlineStr">
        <is>
          <t>Transit cost</t>
        </is>
      </c>
      <c r="G3631" t="inlineStr">
        <is>
          <t>pressure</t>
        </is>
      </c>
      <c r="H3631" t="inlineStr">
        <is>
          <t>yes</t>
        </is>
      </c>
      <c r="I3631" t="inlineStr">
        <is>
          <t>120.87</t>
        </is>
      </c>
      <c r="J3631" t="inlineStr">
        <is>
          <t>world_bank_col_estimate</t>
        </is>
      </c>
      <c r="K3631" t="inlineStr">
        <is>
          <t>https://api.worldbank.org/v2/country/LVA/indicator/NY.GNP.PCAP.PP.CD?format=json&amp;mrv=10</t>
        </is>
      </c>
      <c r="L3631" t="inlineStr">
        <is>
          <t>World Bank GNI + regional expenditure ratio estimate</t>
        </is>
      </c>
      <c r="M3631" t="inlineStr">
        <is>
          <t>2024-12-31</t>
        </is>
      </c>
      <c r="N3631" t="inlineStr">
        <is>
          <t>auto_ingest=world_bank_col_estimate; gni_annual=42660.0; year=2024; country_proxy=Latvia; cohort=Southern/Eastern Europe and Eurasia; city_cost_mult=0.85</t>
        </is>
      </c>
    </row>
    <row r="3632">
      <c r="A3632" t="inlineStr">
        <is>
          <t>lv-riga</t>
        </is>
      </c>
      <c r="B3632" t="inlineStr">
        <is>
          <t>Riga</t>
        </is>
      </c>
      <c r="C3632" t="inlineStr">
        <is>
          <t>Latvia</t>
        </is>
      </c>
      <c r="D3632" t="inlineStr">
        <is>
          <t>Southern/Eastern Europe and Eurasia</t>
        </is>
      </c>
      <c r="E3632" t="inlineStr">
        <is>
          <t>internet_cost</t>
        </is>
      </c>
      <c r="F3632" t="inlineStr">
        <is>
          <t>Internet cost</t>
        </is>
      </c>
      <c r="G3632" t="inlineStr">
        <is>
          <t>pressure</t>
        </is>
      </c>
      <c r="H3632" t="inlineStr">
        <is>
          <t>yes</t>
        </is>
      </c>
      <c r="I3632" t="inlineStr">
        <is>
          <t>45.33</t>
        </is>
      </c>
      <c r="J3632" t="inlineStr">
        <is>
          <t>world_bank_col_estimate</t>
        </is>
      </c>
      <c r="K3632" t="inlineStr">
        <is>
          <t>https://api.worldbank.org/v2/country/LVA/indicator/NY.GNP.PCAP.PP.CD?format=json&amp;mrv=10</t>
        </is>
      </c>
      <c r="L3632" t="inlineStr">
        <is>
          <t>World Bank GNI + regional expenditure ratio estimate</t>
        </is>
      </c>
      <c r="M3632" t="inlineStr">
        <is>
          <t>2024-12-31</t>
        </is>
      </c>
      <c r="N3632" t="inlineStr">
        <is>
          <t>auto_ingest=world_bank_col_estimate; gni_annual=42660.0; year=2024; country_proxy=Latvia; cohort=Southern/Eastern Europe and Eurasia; city_cost_mult=0.85</t>
        </is>
      </c>
    </row>
    <row r="3633">
      <c r="A3633" t="inlineStr">
        <is>
          <t>lv-riga</t>
        </is>
      </c>
      <c r="B3633" t="inlineStr">
        <is>
          <t>Riga</t>
        </is>
      </c>
      <c r="C3633" t="inlineStr">
        <is>
          <t>Latvia</t>
        </is>
      </c>
      <c r="D3633" t="inlineStr">
        <is>
          <t>Southern/Eastern Europe and Eurasia</t>
        </is>
      </c>
      <c r="E3633" t="inlineStr">
        <is>
          <t>food_cost</t>
        </is>
      </c>
      <c r="F3633" t="inlineStr">
        <is>
          <t>Food cost</t>
        </is>
      </c>
      <c r="G3633" t="inlineStr">
        <is>
          <t>pressure</t>
        </is>
      </c>
      <c r="H3633" t="inlineStr">
        <is>
          <t>yes</t>
        </is>
      </c>
      <c r="I3633" t="inlineStr">
        <is>
          <t>604.35</t>
        </is>
      </c>
      <c r="J3633" t="inlineStr">
        <is>
          <t>world_bank_col_estimate</t>
        </is>
      </c>
      <c r="K3633" t="inlineStr">
        <is>
          <t>https://api.worldbank.org/v2/country/LVA/indicator/NY.GNP.PCAP.PP.CD?format=json&amp;mrv=10</t>
        </is>
      </c>
      <c r="L3633" t="inlineStr">
        <is>
          <t>World Bank GNI + regional expenditure ratio estimate</t>
        </is>
      </c>
      <c r="M3633" t="inlineStr">
        <is>
          <t>2024-12-31</t>
        </is>
      </c>
      <c r="N3633" t="inlineStr">
        <is>
          <t>auto_ingest=world_bank_col_estimate; gni_annual=42660.0; year=2024; country_proxy=Latvia; cohort=Southern/Eastern Europe and Eurasia; city_cost_mult=0.85</t>
        </is>
      </c>
    </row>
    <row r="3634">
      <c r="A3634" t="inlineStr">
        <is>
          <t>lv-riga</t>
        </is>
      </c>
      <c r="B3634" t="inlineStr">
        <is>
          <t>Riga</t>
        </is>
      </c>
      <c r="C3634" t="inlineStr">
        <is>
          <t>Latvia</t>
        </is>
      </c>
      <c r="D3634" t="inlineStr">
        <is>
          <t>Southern/Eastern Europe and Eurasia</t>
        </is>
      </c>
      <c r="E3634" t="inlineStr">
        <is>
          <t>housing_burden_raw</t>
        </is>
      </c>
      <c r="F3634" t="inlineStr">
        <is>
          <t>Housing burden raw</t>
        </is>
      </c>
      <c r="G3634" t="inlineStr">
        <is>
          <t>pressure</t>
        </is>
      </c>
      <c r="H3634" t="inlineStr">
        <is>
          <t>yes</t>
        </is>
      </c>
      <c r="I3634" t="inlineStr">
        <is>
          <t>21.2501</t>
        </is>
      </c>
      <c r="J3634" t="inlineStr">
        <is>
          <t>derived</t>
        </is>
      </c>
      <c r="K3634" t="inlineStr">
        <is>
          <t>https://data.worldbank.org/indicator/NY.GNP.PCAP.PP.CD</t>
        </is>
      </c>
      <c r="L3634" t="inlineStr">
        <is>
          <t>Computed from city_inputs + country_context</t>
        </is>
      </c>
      <c r="M3634" t="inlineStr">
        <is>
          <t>2024-01-01</t>
        </is>
      </c>
      <c r="N3634" t="inlineStr">
        <is>
          <t>derived=rent/gross_income*100</t>
        </is>
      </c>
    </row>
    <row r="3635">
      <c r="A3635" t="inlineStr">
        <is>
          <t>lv-riga</t>
        </is>
      </c>
      <c r="B3635" t="inlineStr">
        <is>
          <t>Riga</t>
        </is>
      </c>
      <c r="C3635" t="inlineStr">
        <is>
          <t>Latvia</t>
        </is>
      </c>
      <c r="D3635" t="inlineStr">
        <is>
          <t>Southern/Eastern Europe and Eurasia</t>
        </is>
      </c>
      <c r="E3635" t="inlineStr">
        <is>
          <t>household_debt_burden_raw</t>
        </is>
      </c>
      <c r="F3635" t="inlineStr">
        <is>
          <t>Household debt burden raw</t>
        </is>
      </c>
      <c r="G3635" t="inlineStr">
        <is>
          <t>pressure</t>
        </is>
      </c>
      <c r="H3635" t="inlineStr">
        <is>
          <t>yes</t>
        </is>
      </c>
      <c r="I3635" t="inlineStr"/>
      <c r="J3635" t="inlineStr"/>
      <c r="K3635" t="inlineStr"/>
      <c r="L3635" t="inlineStr"/>
      <c r="M3635" t="inlineStr"/>
      <c r="N3635" t="inlineStr"/>
    </row>
    <row r="3636">
      <c r="A3636" t="inlineStr">
        <is>
          <t>lv-riga</t>
        </is>
      </c>
      <c r="B3636" t="inlineStr">
        <is>
          <t>Riga</t>
        </is>
      </c>
      <c r="C3636" t="inlineStr">
        <is>
          <t>Latvia</t>
        </is>
      </c>
      <c r="D3636" t="inlineStr">
        <is>
          <t>Southern/Eastern Europe and Eurasia</t>
        </is>
      </c>
      <c r="E3636" t="inlineStr">
        <is>
          <t>working_time_pressure_raw</t>
        </is>
      </c>
      <c r="F3636" t="inlineStr">
        <is>
          <t>Working time pressure raw</t>
        </is>
      </c>
      <c r="G3636" t="inlineStr">
        <is>
          <t>pressure</t>
        </is>
      </c>
      <c r="H3636" t="inlineStr">
        <is>
          <t>yes</t>
        </is>
      </c>
      <c r="I3636" t="inlineStr"/>
      <c r="J3636" t="inlineStr"/>
      <c r="K3636" t="inlineStr"/>
      <c r="L3636" t="inlineStr"/>
      <c r="M3636" t="inlineStr"/>
      <c r="N3636" t="inlineStr"/>
    </row>
    <row r="3637">
      <c r="A3637" t="inlineStr">
        <is>
          <t>lv-riga</t>
        </is>
      </c>
      <c r="B3637" t="inlineStr">
        <is>
          <t>Riga</t>
        </is>
      </c>
      <c r="C3637" t="inlineStr">
        <is>
          <t>Latvia</t>
        </is>
      </c>
      <c r="D3637" t="inlineStr">
        <is>
          <t>Southern/Eastern Europe and Eurasia</t>
        </is>
      </c>
      <c r="E3637" t="inlineStr">
        <is>
          <t>suicide_mental_strain_raw</t>
        </is>
      </c>
      <c r="F3637" t="inlineStr">
        <is>
          <t>Suicide or mental strain raw</t>
        </is>
      </c>
      <c r="G3637" t="inlineStr">
        <is>
          <t>pressure</t>
        </is>
      </c>
      <c r="H3637" t="inlineStr">
        <is>
          <t>yes</t>
        </is>
      </c>
      <c r="I3637" t="inlineStr"/>
      <c r="J3637" t="inlineStr"/>
      <c r="K3637" t="inlineStr"/>
      <c r="L3637" t="inlineStr"/>
      <c r="M3637" t="inlineStr"/>
      <c r="N3637" t="inlineStr"/>
    </row>
    <row r="3638">
      <c r="A3638" t="inlineStr">
        <is>
          <t>lv-riga</t>
        </is>
      </c>
      <c r="B3638" t="inlineStr">
        <is>
          <t>Riga</t>
        </is>
      </c>
      <c r="C3638" t="inlineStr">
        <is>
          <t>Latvia</t>
        </is>
      </c>
      <c r="D3638" t="inlineStr">
        <is>
          <t>Southern/Eastern Europe and Eurasia</t>
        </is>
      </c>
      <c r="E3638" t="inlineStr">
        <is>
          <t>personal_safety_raw</t>
        </is>
      </c>
      <c r="F3638" t="inlineStr">
        <is>
          <t>Personal safety raw</t>
        </is>
      </c>
      <c r="G3638" t="inlineStr">
        <is>
          <t>viability</t>
        </is>
      </c>
      <c r="H3638" t="inlineStr">
        <is>
          <t>yes</t>
        </is>
      </c>
      <c r="I3638" t="inlineStr"/>
      <c r="J3638" t="inlineStr"/>
      <c r="K3638" t="inlineStr"/>
      <c r="L3638" t="inlineStr"/>
      <c r="M3638" t="inlineStr"/>
      <c r="N3638" t="inlineStr"/>
    </row>
    <row r="3639">
      <c r="A3639" t="inlineStr">
        <is>
          <t>lv-riga</t>
        </is>
      </c>
      <c r="B3639" t="inlineStr">
        <is>
          <t>Riga</t>
        </is>
      </c>
      <c r="C3639" t="inlineStr">
        <is>
          <t>Latvia</t>
        </is>
      </c>
      <c r="D3639" t="inlineStr">
        <is>
          <t>Southern/Eastern Europe and Eurasia</t>
        </is>
      </c>
      <c r="E3639" t="inlineStr">
        <is>
          <t>transit_access_commute_raw</t>
        </is>
      </c>
      <c r="F3639" t="inlineStr">
        <is>
          <t>Transit access and commute raw</t>
        </is>
      </c>
      <c r="G3639" t="inlineStr">
        <is>
          <t>viability</t>
        </is>
      </c>
      <c r="H3639" t="inlineStr">
        <is>
          <t>yes</t>
        </is>
      </c>
      <c r="I3639" t="inlineStr"/>
      <c r="J3639" t="inlineStr"/>
      <c r="K3639" t="inlineStr"/>
      <c r="L3639" t="inlineStr"/>
      <c r="M3639" t="inlineStr"/>
      <c r="N3639" t="inlineStr"/>
    </row>
    <row r="3640">
      <c r="A3640" t="inlineStr">
        <is>
          <t>lv-riga</t>
        </is>
      </c>
      <c r="B3640" t="inlineStr">
        <is>
          <t>Riga</t>
        </is>
      </c>
      <c r="C3640" t="inlineStr">
        <is>
          <t>Latvia</t>
        </is>
      </c>
      <c r="D3640" t="inlineStr">
        <is>
          <t>Southern/Eastern Europe and Eurasia</t>
        </is>
      </c>
      <c r="E3640" t="inlineStr">
        <is>
          <t>clean_air_raw</t>
        </is>
      </c>
      <c r="F3640" t="inlineStr">
        <is>
          <t>Clean air raw</t>
        </is>
      </c>
      <c r="G3640" t="inlineStr">
        <is>
          <t>viability</t>
        </is>
      </c>
      <c r="H3640" t="inlineStr">
        <is>
          <t>yes</t>
        </is>
      </c>
      <c r="I3640" t="inlineStr"/>
      <c r="J3640" t="inlineStr"/>
      <c r="K3640" t="inlineStr"/>
      <c r="L3640" t="inlineStr"/>
      <c r="M3640" t="inlineStr"/>
      <c r="N3640" t="inlineStr"/>
    </row>
    <row r="3641">
      <c r="A3641" t="inlineStr">
        <is>
          <t>lv-riga</t>
        </is>
      </c>
      <c r="B3641" t="inlineStr">
        <is>
          <t>Riga</t>
        </is>
      </c>
      <c r="C3641" t="inlineStr">
        <is>
          <t>Latvia</t>
        </is>
      </c>
      <c r="D3641" t="inlineStr">
        <is>
          <t>Southern/Eastern Europe and Eurasia</t>
        </is>
      </c>
      <c r="E3641" t="inlineStr">
        <is>
          <t>water_sanitation_utility_raw</t>
        </is>
      </c>
      <c r="F3641" t="inlineStr">
        <is>
          <t>Water, sanitation, and utility raw</t>
        </is>
      </c>
      <c r="G3641" t="inlineStr">
        <is>
          <t>viability</t>
        </is>
      </c>
      <c r="H3641" t="inlineStr">
        <is>
          <t>yes</t>
        </is>
      </c>
      <c r="I3641" t="inlineStr"/>
      <c r="J3641" t="inlineStr"/>
      <c r="K3641" t="inlineStr"/>
      <c r="L3641" t="inlineStr"/>
      <c r="M3641" t="inlineStr"/>
      <c r="N3641" t="inlineStr"/>
    </row>
    <row r="3642">
      <c r="A3642" t="inlineStr">
        <is>
          <t>lv-riga</t>
        </is>
      </c>
      <c r="B3642" t="inlineStr">
        <is>
          <t>Riga</t>
        </is>
      </c>
      <c r="C3642" t="inlineStr">
        <is>
          <t>Latvia</t>
        </is>
      </c>
      <c r="D3642" t="inlineStr">
        <is>
          <t>Southern/Eastern Europe and Eurasia</t>
        </is>
      </c>
      <c r="E3642" t="inlineStr">
        <is>
          <t>digital_infrastructure_raw</t>
        </is>
      </c>
      <c r="F3642" t="inlineStr">
        <is>
          <t>Digital infrastructure raw</t>
        </is>
      </c>
      <c r="G3642" t="inlineStr">
        <is>
          <t>viability</t>
        </is>
      </c>
      <c r="H3642" t="inlineStr">
        <is>
          <t>yes</t>
        </is>
      </c>
      <c r="I3642" t="inlineStr"/>
      <c r="J3642" t="inlineStr"/>
      <c r="K3642" t="inlineStr"/>
      <c r="L3642" t="inlineStr"/>
      <c r="M3642" t="inlineStr"/>
      <c r="N3642" t="inlineStr"/>
    </row>
    <row r="3643">
      <c r="A3643" t="inlineStr">
        <is>
          <t>lv-riga</t>
        </is>
      </c>
      <c r="B3643" t="inlineStr">
        <is>
          <t>Riga</t>
        </is>
      </c>
      <c r="C3643" t="inlineStr">
        <is>
          <t>Latvia</t>
        </is>
      </c>
      <c r="D3643" t="inlineStr">
        <is>
          <t>Southern/Eastern Europe and Eurasia</t>
        </is>
      </c>
      <c r="E3643" t="inlineStr">
        <is>
          <t>climate_sunlight_livability_raw</t>
        </is>
      </c>
      <c r="F3643" t="inlineStr">
        <is>
          <t>Climate and sunlight livability raw</t>
        </is>
      </c>
      <c r="G3643" t="inlineStr">
        <is>
          <t>viability</t>
        </is>
      </c>
      <c r="H3643" t="inlineStr">
        <is>
          <t>yes</t>
        </is>
      </c>
      <c r="I3643" t="inlineStr">
        <is>
          <t>34</t>
        </is>
      </c>
      <c r="J3643" t="inlineStr">
        <is>
          <t>wmo_natl_met</t>
        </is>
      </c>
      <c r="K3643" t="inlineStr">
        <is>
          <t>https://worldweather.wmo.int</t>
        </is>
      </c>
      <c r="L3643" t="inlineStr">
        <is>
          <t>WMO/National Met: Climate livability composite</t>
        </is>
      </c>
      <c r="M3643" t="inlineStr">
        <is>
          <t>2024-12-31</t>
        </is>
      </c>
      <c r="N3643" t="inlineStr">
        <is>
          <t>auto_seed=climate_composite; 1700 sun hrs, 6C mean</t>
        </is>
      </c>
    </row>
    <row r="3644">
      <c r="A3644" t="inlineStr">
        <is>
          <t>lv-riga</t>
        </is>
      </c>
      <c r="B3644" t="inlineStr">
        <is>
          <t>Riga</t>
        </is>
      </c>
      <c r="C3644" t="inlineStr">
        <is>
          <t>Latvia</t>
        </is>
      </c>
      <c r="D3644" t="inlineStr">
        <is>
          <t>Southern/Eastern Europe and Eurasia</t>
        </is>
      </c>
      <c r="E3644" t="inlineStr">
        <is>
          <t>healthcare_quality_raw</t>
        </is>
      </c>
      <c r="F3644" t="inlineStr">
        <is>
          <t>Healthcare quality raw</t>
        </is>
      </c>
      <c r="G3644" t="inlineStr">
        <is>
          <t>capability</t>
        </is>
      </c>
      <c r="H3644" t="inlineStr">
        <is>
          <t>yes</t>
        </is>
      </c>
      <c r="I3644" t="inlineStr"/>
      <c r="J3644" t="inlineStr"/>
      <c r="K3644" t="inlineStr"/>
      <c r="L3644" t="inlineStr"/>
      <c r="M3644" t="inlineStr"/>
      <c r="N3644" t="inlineStr"/>
    </row>
    <row r="3645">
      <c r="A3645" t="inlineStr">
        <is>
          <t>lv-riga</t>
        </is>
      </c>
      <c r="B3645" t="inlineStr">
        <is>
          <t>Riga</t>
        </is>
      </c>
      <c r="C3645" t="inlineStr">
        <is>
          <t>Latvia</t>
        </is>
      </c>
      <c r="D3645" t="inlineStr">
        <is>
          <t>Southern/Eastern Europe and Eurasia</t>
        </is>
      </c>
      <c r="E3645" t="inlineStr">
        <is>
          <t>education_quality_raw</t>
        </is>
      </c>
      <c r="F3645" t="inlineStr">
        <is>
          <t>Education quality raw</t>
        </is>
      </c>
      <c r="G3645" t="inlineStr">
        <is>
          <t>capability</t>
        </is>
      </c>
      <c r="H3645" t="inlineStr">
        <is>
          <t>yes</t>
        </is>
      </c>
      <c r="I3645" t="inlineStr"/>
      <c r="J3645" t="inlineStr"/>
      <c r="K3645" t="inlineStr"/>
      <c r="L3645" t="inlineStr"/>
      <c r="M3645" t="inlineStr"/>
      <c r="N3645" t="inlineStr"/>
    </row>
    <row r="3646">
      <c r="A3646" t="inlineStr">
        <is>
          <t>lv-riga</t>
        </is>
      </c>
      <c r="B3646" t="inlineStr">
        <is>
          <t>Riga</t>
        </is>
      </c>
      <c r="C3646" t="inlineStr">
        <is>
          <t>Latvia</t>
        </is>
      </c>
      <c r="D3646" t="inlineStr">
        <is>
          <t>Southern/Eastern Europe and Eurasia</t>
        </is>
      </c>
      <c r="E3646" t="inlineStr">
        <is>
          <t>equal_opportunity_raw</t>
        </is>
      </c>
      <c r="F3646" t="inlineStr">
        <is>
          <t>Equal opportunity raw</t>
        </is>
      </c>
      <c r="G3646" t="inlineStr">
        <is>
          <t>capability</t>
        </is>
      </c>
      <c r="H3646" t="inlineStr">
        <is>
          <t>yes</t>
        </is>
      </c>
      <c r="I3646" t="inlineStr">
        <is>
          <t>34.0</t>
        </is>
      </c>
      <c r="J3646" t="inlineStr">
        <is>
          <t>world_bank</t>
        </is>
      </c>
      <c r="K3646" t="inlineStr">
        <is>
          <t>https://api.worldbank.org/v2/country/LVA/indicator/SI.POV.GINI?format=json&amp;mrv=10</t>
        </is>
      </c>
      <c r="L3646" t="inlineStr">
        <is>
          <t>World Bank WDI: Gini index</t>
        </is>
      </c>
      <c r="M3646" t="inlineStr">
        <is>
          <t>2023-12-31</t>
        </is>
      </c>
      <c r="N3646" t="inlineStr">
        <is>
          <t>auto_ingest=world_bank_capability; indicator=SI.POV.GINI; year=2023; country_proxy=Latvia</t>
        </is>
      </c>
    </row>
    <row r="3647">
      <c r="A3647" t="inlineStr">
        <is>
          <t>lv-riga</t>
        </is>
      </c>
      <c r="B3647" t="inlineStr">
        <is>
          <t>Riga</t>
        </is>
      </c>
      <c r="C3647" t="inlineStr">
        <is>
          <t>Latvia</t>
        </is>
      </c>
      <c r="D3647" t="inlineStr">
        <is>
          <t>Southern/Eastern Europe and Eurasia</t>
        </is>
      </c>
      <c r="E3647" t="inlineStr">
        <is>
          <t>hospitality_belonging_raw</t>
        </is>
      </c>
      <c r="F3647" t="inlineStr">
        <is>
          <t>Hospitality and belonging raw</t>
        </is>
      </c>
      <c r="G3647" t="inlineStr">
        <is>
          <t>community</t>
        </is>
      </c>
      <c r="H3647" t="inlineStr">
        <is>
          <t>yes</t>
        </is>
      </c>
      <c r="I3647" t="inlineStr"/>
      <c r="J3647" t="inlineStr"/>
      <c r="K3647" t="inlineStr"/>
      <c r="L3647" t="inlineStr"/>
      <c r="M3647" t="inlineStr"/>
      <c r="N3647" t="inlineStr"/>
    </row>
    <row r="3648">
      <c r="A3648" t="inlineStr">
        <is>
          <t>lv-riga</t>
        </is>
      </c>
      <c r="B3648" t="inlineStr">
        <is>
          <t>Riga</t>
        </is>
      </c>
      <c r="C3648" t="inlineStr">
        <is>
          <t>Latvia</t>
        </is>
      </c>
      <c r="D3648" t="inlineStr">
        <is>
          <t>Southern/Eastern Europe and Eurasia</t>
        </is>
      </c>
      <c r="E3648" t="inlineStr">
        <is>
          <t>tolerance_pluralism_raw</t>
        </is>
      </c>
      <c r="F3648" t="inlineStr">
        <is>
          <t>Tolerance and pluralism raw</t>
        </is>
      </c>
      <c r="G3648" t="inlineStr">
        <is>
          <t>community</t>
        </is>
      </c>
      <c r="H3648" t="inlineStr">
        <is>
          <t>yes</t>
        </is>
      </c>
      <c r="I3648" t="inlineStr"/>
      <c r="J3648" t="inlineStr"/>
      <c r="K3648" t="inlineStr"/>
      <c r="L3648" t="inlineStr"/>
      <c r="M3648" t="inlineStr"/>
      <c r="N3648" t="inlineStr"/>
    </row>
    <row r="3649">
      <c r="A3649" t="inlineStr">
        <is>
          <t>lv-riga</t>
        </is>
      </c>
      <c r="B3649" t="inlineStr">
        <is>
          <t>Riga</t>
        </is>
      </c>
      <c r="C3649" t="inlineStr">
        <is>
          <t>Latvia</t>
        </is>
      </c>
      <c r="D3649" t="inlineStr">
        <is>
          <t>Southern/Eastern Europe and Eurasia</t>
        </is>
      </c>
      <c r="E3649" t="inlineStr">
        <is>
          <t>cultural_public_life_raw</t>
        </is>
      </c>
      <c r="F3649" t="inlineStr">
        <is>
          <t>Cultural public life raw</t>
        </is>
      </c>
      <c r="G3649" t="inlineStr">
        <is>
          <t>community</t>
        </is>
      </c>
      <c r="H3649" t="inlineStr">
        <is>
          <t>yes</t>
        </is>
      </c>
      <c r="I3649" t="inlineStr"/>
      <c r="J3649" t="inlineStr"/>
      <c r="K3649" t="inlineStr"/>
      <c r="L3649" t="inlineStr"/>
      <c r="M3649" t="inlineStr"/>
      <c r="N3649" t="inlineStr"/>
    </row>
    <row r="3650">
      <c r="A3650" t="inlineStr">
        <is>
          <t>lv-riga</t>
        </is>
      </c>
      <c r="B3650" t="inlineStr">
        <is>
          <t>Riga</t>
        </is>
      </c>
      <c r="C3650" t="inlineStr">
        <is>
          <t>Latvia</t>
        </is>
      </c>
      <c r="D3650" t="inlineStr">
        <is>
          <t>Southern/Eastern Europe and Eurasia</t>
        </is>
      </c>
      <c r="E3650" t="inlineStr">
        <is>
          <t>birth_rate_optimism_raw</t>
        </is>
      </c>
      <c r="F3650" t="inlineStr">
        <is>
          <t>Birth rate and societal optimism raw</t>
        </is>
      </c>
      <c r="G3650" t="inlineStr">
        <is>
          <t>community</t>
        </is>
      </c>
      <c r="H3650" t="inlineStr">
        <is>
          <t>yes</t>
        </is>
      </c>
      <c r="I3650" t="inlineStr"/>
      <c r="J3650" t="inlineStr"/>
      <c r="K3650" t="inlineStr"/>
      <c r="L3650" t="inlineStr"/>
      <c r="M3650" t="inlineStr"/>
      <c r="N3650" t="inlineStr"/>
    </row>
    <row r="3651">
      <c r="A3651" t="inlineStr">
        <is>
          <t>lv-riga</t>
        </is>
      </c>
      <c r="B3651" t="inlineStr">
        <is>
          <t>Riga</t>
        </is>
      </c>
      <c r="C3651" t="inlineStr">
        <is>
          <t>Latvia</t>
        </is>
      </c>
      <c r="D3651" t="inlineStr">
        <is>
          <t>Southern/Eastern Europe and Eurasia</t>
        </is>
      </c>
      <c r="E3651" t="inlineStr">
        <is>
          <t>entrepreneurial_dynamism_raw</t>
        </is>
      </c>
      <c r="F3651" t="inlineStr">
        <is>
          <t>Entrepreneurial dynamism raw</t>
        </is>
      </c>
      <c r="G3651" t="inlineStr">
        <is>
          <t>creative</t>
        </is>
      </c>
      <c r="H3651" t="inlineStr">
        <is>
          <t>yes</t>
        </is>
      </c>
      <c r="I3651" t="inlineStr">
        <is>
          <t>6.73</t>
        </is>
      </c>
      <c r="J3651" t="inlineStr">
        <is>
          <t>world_bank</t>
        </is>
      </c>
      <c r="K3651" t="inlineStr">
        <is>
          <t>https://api.worldbank.org/v2/country/LVA/indicator/IC.BUS.NDNS.ZS?format=json&amp;mrv=10</t>
        </is>
      </c>
      <c r="L3651" t="inlineStr">
        <is>
          <t>World Bank WDI: New business density (new registrations per 1,000 people ages 15-64)</t>
        </is>
      </c>
      <c r="M3651" t="inlineStr">
        <is>
          <t>2022-12-31</t>
        </is>
      </c>
      <c r="N3651" t="inlineStr">
        <is>
          <t>auto_ingest=world_bank_creative_extended; indicator=IC.BUS.NDNS.ZS; year=2022; country_proxy=Latvia</t>
        </is>
      </c>
    </row>
    <row r="3652">
      <c r="A3652" t="inlineStr">
        <is>
          <t>lv-riga</t>
        </is>
      </c>
      <c r="B3652" t="inlineStr">
        <is>
          <t>Riga</t>
        </is>
      </c>
      <c r="C3652" t="inlineStr">
        <is>
          <t>Latvia</t>
        </is>
      </c>
      <c r="D3652" t="inlineStr">
        <is>
          <t>Southern/Eastern Europe and Eurasia</t>
        </is>
      </c>
      <c r="E3652" t="inlineStr">
        <is>
          <t>innovation_research_intensity_raw</t>
        </is>
      </c>
      <c r="F3652" t="inlineStr">
        <is>
          <t>Innovation and research raw</t>
        </is>
      </c>
      <c r="G3652" t="inlineStr">
        <is>
          <t>creative</t>
        </is>
      </c>
      <c r="H3652" t="inlineStr">
        <is>
          <t>yes</t>
        </is>
      </c>
      <c r="I3652" t="inlineStr">
        <is>
          <t>0.76</t>
        </is>
      </c>
      <c r="J3652" t="inlineStr">
        <is>
          <t>world_bank</t>
        </is>
      </c>
      <c r="K3652" t="inlineStr">
        <is>
          <t>https://api.worldbank.org/v2/country/LVA/indicator/GB.XPD.RSDV.GD.ZS?format=json&amp;mrv=10</t>
        </is>
      </c>
      <c r="L3652" t="inlineStr">
        <is>
          <t>World Bank WDI: Research and development expenditure (% of GDP)</t>
        </is>
      </c>
      <c r="M3652" t="inlineStr">
        <is>
          <t>2022-12-31</t>
        </is>
      </c>
      <c r="N3652" t="inlineStr">
        <is>
          <t>auto_ingest=world_bank_creative_extended; indicator=GB.XPD.RSDV.GD.ZS; year=2022; country_proxy=Latvia</t>
        </is>
      </c>
    </row>
    <row r="3653">
      <c r="A3653" t="inlineStr">
        <is>
          <t>lv-riga</t>
        </is>
      </c>
      <c r="B3653" t="inlineStr">
        <is>
          <t>Riga</t>
        </is>
      </c>
      <c r="C3653" t="inlineStr">
        <is>
          <t>Latvia</t>
        </is>
      </c>
      <c r="D3653" t="inlineStr">
        <is>
          <t>Southern/Eastern Europe and Eurasia</t>
        </is>
      </c>
      <c r="E3653" t="inlineStr">
        <is>
          <t>investment_signal_raw</t>
        </is>
      </c>
      <c r="F3653" t="inlineStr">
        <is>
          <t>Investment signal raw</t>
        </is>
      </c>
      <c r="G3653" t="inlineStr">
        <is>
          <t>creative</t>
        </is>
      </c>
      <c r="H3653" t="inlineStr">
        <is>
          <t>yes</t>
        </is>
      </c>
      <c r="I3653" t="inlineStr">
        <is>
          <t>3.47</t>
        </is>
      </c>
      <c r="J3653" t="inlineStr">
        <is>
          <t>world_bank</t>
        </is>
      </c>
      <c r="K3653" t="inlineStr">
        <is>
          <t>https://api.worldbank.org/v2/country/LVA/indicator/BX.KLT.DINV.WD.GD.ZS?format=json&amp;mrv=10</t>
        </is>
      </c>
      <c r="L3653" t="inlineStr">
        <is>
          <t>World Bank WDI: Foreign direct investment, net inflows (% of GDP)</t>
        </is>
      </c>
      <c r="M3653" t="inlineStr">
        <is>
          <t>2024-12-31</t>
        </is>
      </c>
      <c r="N3653" t="inlineStr">
        <is>
          <t>auto_ingest=world_bank_creative_extended; indicator=BX.KLT.DINV.WD.GD.ZS; year=2024; country_proxy=Latvia</t>
        </is>
      </c>
    </row>
    <row r="3654">
      <c r="A3654" t="inlineStr">
        <is>
          <t>lv-riga</t>
        </is>
      </c>
      <c r="B3654" t="inlineStr">
        <is>
          <t>Riga</t>
        </is>
      </c>
      <c r="C3654" t="inlineStr">
        <is>
          <t>Latvia</t>
        </is>
      </c>
      <c r="D3654" t="inlineStr">
        <is>
          <t>Southern/Eastern Europe and Eurasia</t>
        </is>
      </c>
      <c r="E3654" t="inlineStr">
        <is>
          <t>administrative_investment_friction_raw</t>
        </is>
      </c>
      <c r="F3654" t="inlineStr">
        <is>
          <t>Administrative investment friction raw</t>
        </is>
      </c>
      <c r="G3654" t="inlineStr">
        <is>
          <t>creative</t>
        </is>
      </c>
      <c r="H3654" t="inlineStr">
        <is>
          <t>yes</t>
        </is>
      </c>
      <c r="I3654" t="inlineStr">
        <is>
          <t>1.33</t>
        </is>
      </c>
      <c r="J3654" t="inlineStr">
        <is>
          <t>world_bank</t>
        </is>
      </c>
      <c r="K3654" t="inlineStr">
        <is>
          <t>https://api.worldbank.org/v2/country/LVA/indicator/RQ.EST?format=json&amp;mrv=10</t>
        </is>
      </c>
      <c r="L3654" t="inlineStr">
        <is>
          <t>World Bank WGI: Regulatory Quality (inverted as friction proxy)</t>
        </is>
      </c>
      <c r="M3654" t="inlineStr">
        <is>
          <t>2023-12-31</t>
        </is>
      </c>
      <c r="N3654" t="inlineStr">
        <is>
          <t>auto_ingest=world_bank_business_friction; indicator=RQ.EST; raw_rq=1.17222261428833; friction=1.33; year=2023; country_proxy=Latvia</t>
        </is>
      </c>
    </row>
    <row r="3655">
      <c r="A3655" t="inlineStr">
        <is>
          <t>lv-riga</t>
        </is>
      </c>
      <c r="B3655" t="inlineStr">
        <is>
          <t>Riga</t>
        </is>
      </c>
      <c r="C3655" t="inlineStr">
        <is>
          <t>Latvia</t>
        </is>
      </c>
      <c r="D3655" t="inlineStr">
        <is>
          <t>Southern/Eastern Europe and Eurasia</t>
        </is>
      </c>
      <c r="E3655" t="inlineStr">
        <is>
          <t>visitor_flow_context_raw</t>
        </is>
      </c>
      <c r="F3655" t="inlineStr">
        <is>
          <t>Visitor flow context raw</t>
        </is>
      </c>
      <c r="G3655" t="inlineStr">
        <is>
          <t>creative</t>
        </is>
      </c>
      <c r="H3655" t="inlineStr">
        <is>
          <t>no</t>
        </is>
      </c>
      <c r="I3655" t="inlineStr"/>
      <c r="J3655" t="inlineStr"/>
      <c r="K3655" t="inlineStr"/>
      <c r="L3655" t="inlineStr"/>
      <c r="M3655" t="inlineStr"/>
      <c r="N3655" t="inlineStr"/>
    </row>
    <row r="3656">
      <c r="A3656" t="inlineStr">
        <is>
          <t>ge-tbilisi</t>
        </is>
      </c>
      <c r="B3656" t="inlineStr">
        <is>
          <t>Tbilisi</t>
        </is>
      </c>
      <c r="C3656" t="inlineStr">
        <is>
          <t>Georgia</t>
        </is>
      </c>
      <c r="D3656" t="inlineStr">
        <is>
          <t>Southern/Eastern Europe and Eurasia</t>
        </is>
      </c>
      <c r="E3656" t="inlineStr">
        <is>
          <t>gross_income</t>
        </is>
      </c>
      <c r="F3656" t="inlineStr">
        <is>
          <t>Gross income</t>
        </is>
      </c>
      <c r="G3656" t="inlineStr">
        <is>
          <t>pressure</t>
        </is>
      </c>
      <c r="H3656" t="inlineStr">
        <is>
          <t>yes</t>
        </is>
      </c>
      <c r="I3656" t="inlineStr">
        <is>
          <t>2183.33</t>
        </is>
      </c>
      <c r="J3656" t="inlineStr">
        <is>
          <t>world_bank_col_estimate</t>
        </is>
      </c>
      <c r="K3656" t="inlineStr">
        <is>
          <t>https://api.worldbank.org/v2/country/GEO/indicator/NY.GNP.PCAP.PP.CD?format=json&amp;mrv=10</t>
        </is>
      </c>
      <c r="L3656" t="inlineStr">
        <is>
          <t>World Bank WDI: GNI per capita PPP (monthly USD)</t>
        </is>
      </c>
      <c r="M3656" t="inlineStr">
        <is>
          <t>2024-12-31</t>
        </is>
      </c>
      <c r="N3656" t="inlineStr">
        <is>
          <t>auto_ingest=world_bank_col_estimate; gni_annual=26200.0; year=2024; country_proxy=Georgia; cohort=Southern/Eastern Europe and Eurasia</t>
        </is>
      </c>
    </row>
    <row r="3657">
      <c r="A3657" t="inlineStr">
        <is>
          <t>ge-tbilisi</t>
        </is>
      </c>
      <c r="B3657" t="inlineStr">
        <is>
          <t>Tbilisi</t>
        </is>
      </c>
      <c r="C3657" t="inlineStr">
        <is>
          <t>Georgia</t>
        </is>
      </c>
      <c r="D3657" t="inlineStr">
        <is>
          <t>Southern/Eastern Europe and Eurasia</t>
        </is>
      </c>
      <c r="E3657" t="inlineStr">
        <is>
          <t>di_ppp_raw</t>
        </is>
      </c>
      <c r="F3657" t="inlineStr">
        <is>
          <t>Disposable income PPP (Raw)</t>
        </is>
      </c>
      <c r="G3657" t="inlineStr">
        <is>
          <t>pressure</t>
        </is>
      </c>
      <c r="H3657" t="inlineStr">
        <is>
          <t>yes</t>
        </is>
      </c>
      <c r="I3657" t="inlineStr"/>
      <c r="J3657" t="inlineStr"/>
      <c r="K3657" t="inlineStr"/>
      <c r="L3657" t="inlineStr"/>
      <c r="M3657" t="inlineStr"/>
      <c r="N3657" t="inlineStr"/>
    </row>
    <row r="3658">
      <c r="A3658" t="inlineStr">
        <is>
          <t>ge-tbilisi</t>
        </is>
      </c>
      <c r="B3658" t="inlineStr">
        <is>
          <t>Tbilisi</t>
        </is>
      </c>
      <c r="C3658" t="inlineStr">
        <is>
          <t>Georgia</t>
        </is>
      </c>
      <c r="D3658" t="inlineStr">
        <is>
          <t>Southern/Eastern Europe and Eurasia</t>
        </is>
      </c>
      <c r="E3658" t="inlineStr">
        <is>
          <t>rent</t>
        </is>
      </c>
      <c r="F3658" t="inlineStr">
        <is>
          <t>Rent</t>
        </is>
      </c>
      <c r="G3658" t="inlineStr">
        <is>
          <t>pressure</t>
        </is>
      </c>
      <c r="H3658" t="inlineStr">
        <is>
          <t>yes</t>
        </is>
      </c>
      <c r="I3658" t="inlineStr">
        <is>
          <t>436.67</t>
        </is>
      </c>
      <c r="J3658" t="inlineStr">
        <is>
          <t>world_bank_col_estimate</t>
        </is>
      </c>
      <c r="K3658" t="inlineStr">
        <is>
          <t>https://api.worldbank.org/v2/country/GEO/indicator/NY.GNP.PCAP.PP.CD?format=json&amp;mrv=10</t>
        </is>
      </c>
      <c r="L3658" t="inlineStr">
        <is>
          <t>World Bank GNI + regional expenditure ratio estimate</t>
        </is>
      </c>
      <c r="M3658" t="inlineStr">
        <is>
          <t>2024-12-31</t>
        </is>
      </c>
      <c r="N3658" t="inlineStr">
        <is>
          <t>auto_ingest=world_bank_col_estimate; gni_annual=26200.0; year=2024; country_proxy=Georgia; cohort=Southern/Eastern Europe and Eurasia; city_cost_mult=0.8</t>
        </is>
      </c>
    </row>
    <row r="3659">
      <c r="A3659" t="inlineStr">
        <is>
          <t>ge-tbilisi</t>
        </is>
      </c>
      <c r="B3659" t="inlineStr">
        <is>
          <t>Tbilisi</t>
        </is>
      </c>
      <c r="C3659" t="inlineStr">
        <is>
          <t>Georgia</t>
        </is>
      </c>
      <c r="D3659" t="inlineStr">
        <is>
          <t>Southern/Eastern Europe and Eurasia</t>
        </is>
      </c>
      <c r="E3659" t="inlineStr">
        <is>
          <t>utilities</t>
        </is>
      </c>
      <c r="F3659" t="inlineStr">
        <is>
          <t>Utilities</t>
        </is>
      </c>
      <c r="G3659" t="inlineStr">
        <is>
          <t>pressure</t>
        </is>
      </c>
      <c r="H3659" t="inlineStr">
        <is>
          <t>yes</t>
        </is>
      </c>
      <c r="I3659" t="inlineStr">
        <is>
          <t>139.73</t>
        </is>
      </c>
      <c r="J3659" t="inlineStr">
        <is>
          <t>world_bank_col_estimate</t>
        </is>
      </c>
      <c r="K3659" t="inlineStr">
        <is>
          <t>https://api.worldbank.org/v2/country/GEO/indicator/NY.GNP.PCAP.PP.CD?format=json&amp;mrv=10</t>
        </is>
      </c>
      <c r="L3659" t="inlineStr">
        <is>
          <t>World Bank GNI + regional expenditure ratio estimate</t>
        </is>
      </c>
      <c r="M3659" t="inlineStr">
        <is>
          <t>2024-12-31</t>
        </is>
      </c>
      <c r="N3659" t="inlineStr">
        <is>
          <t>auto_ingest=world_bank_col_estimate; gni_annual=26200.0; year=2024; country_proxy=Georgia; cohort=Southern/Eastern Europe and Eurasia; city_cost_mult=0.8</t>
        </is>
      </c>
    </row>
    <row r="3660">
      <c r="A3660" t="inlineStr">
        <is>
          <t>ge-tbilisi</t>
        </is>
      </c>
      <c r="B3660" t="inlineStr">
        <is>
          <t>Tbilisi</t>
        </is>
      </c>
      <c r="C3660" t="inlineStr">
        <is>
          <t>Georgia</t>
        </is>
      </c>
      <c r="D3660" t="inlineStr">
        <is>
          <t>Southern/Eastern Europe and Eurasia</t>
        </is>
      </c>
      <c r="E3660" t="inlineStr">
        <is>
          <t>transit_cost</t>
        </is>
      </c>
      <c r="F3660" t="inlineStr">
        <is>
          <t>Transit cost</t>
        </is>
      </c>
      <c r="G3660" t="inlineStr">
        <is>
          <t>pressure</t>
        </is>
      </c>
      <c r="H3660" t="inlineStr">
        <is>
          <t>yes</t>
        </is>
      </c>
      <c r="I3660" t="inlineStr">
        <is>
          <t>69.87</t>
        </is>
      </c>
      <c r="J3660" t="inlineStr">
        <is>
          <t>world_bank_col_estimate</t>
        </is>
      </c>
      <c r="K3660" t="inlineStr">
        <is>
          <t>https://api.worldbank.org/v2/country/GEO/indicator/NY.GNP.PCAP.PP.CD?format=json&amp;mrv=10</t>
        </is>
      </c>
      <c r="L3660" t="inlineStr">
        <is>
          <t>World Bank GNI + regional expenditure ratio estimate</t>
        </is>
      </c>
      <c r="M3660" t="inlineStr">
        <is>
          <t>2024-12-31</t>
        </is>
      </c>
      <c r="N3660" t="inlineStr">
        <is>
          <t>auto_ingest=world_bank_col_estimate; gni_annual=26200.0; year=2024; country_proxy=Georgia; cohort=Southern/Eastern Europe and Eurasia; city_cost_mult=0.8</t>
        </is>
      </c>
    </row>
    <row r="3661">
      <c r="A3661" t="inlineStr">
        <is>
          <t>ge-tbilisi</t>
        </is>
      </c>
      <c r="B3661" t="inlineStr">
        <is>
          <t>Tbilisi</t>
        </is>
      </c>
      <c r="C3661" t="inlineStr">
        <is>
          <t>Georgia</t>
        </is>
      </c>
      <c r="D3661" t="inlineStr">
        <is>
          <t>Southern/Eastern Europe and Eurasia</t>
        </is>
      </c>
      <c r="E3661" t="inlineStr">
        <is>
          <t>internet_cost</t>
        </is>
      </c>
      <c r="F3661" t="inlineStr">
        <is>
          <t>Internet cost</t>
        </is>
      </c>
      <c r="G3661" t="inlineStr">
        <is>
          <t>pressure</t>
        </is>
      </c>
      <c r="H3661" t="inlineStr">
        <is>
          <t>yes</t>
        </is>
      </c>
      <c r="I3661" t="inlineStr">
        <is>
          <t>26.2</t>
        </is>
      </c>
      <c r="J3661" t="inlineStr">
        <is>
          <t>world_bank_col_estimate</t>
        </is>
      </c>
      <c r="K3661" t="inlineStr">
        <is>
          <t>https://api.worldbank.org/v2/country/GEO/indicator/NY.GNP.PCAP.PP.CD?format=json&amp;mrv=10</t>
        </is>
      </c>
      <c r="L3661" t="inlineStr">
        <is>
          <t>World Bank GNI + regional expenditure ratio estimate</t>
        </is>
      </c>
      <c r="M3661" t="inlineStr">
        <is>
          <t>2024-12-31</t>
        </is>
      </c>
      <c r="N3661" t="inlineStr">
        <is>
          <t>auto_ingest=world_bank_col_estimate; gni_annual=26200.0; year=2024; country_proxy=Georgia; cohort=Southern/Eastern Europe and Eurasia; city_cost_mult=0.8</t>
        </is>
      </c>
    </row>
    <row r="3662">
      <c r="A3662" t="inlineStr">
        <is>
          <t>ge-tbilisi</t>
        </is>
      </c>
      <c r="B3662" t="inlineStr">
        <is>
          <t>Tbilisi</t>
        </is>
      </c>
      <c r="C3662" t="inlineStr">
        <is>
          <t>Georgia</t>
        </is>
      </c>
      <c r="D3662" t="inlineStr">
        <is>
          <t>Southern/Eastern Europe and Eurasia</t>
        </is>
      </c>
      <c r="E3662" t="inlineStr">
        <is>
          <t>food_cost</t>
        </is>
      </c>
      <c r="F3662" t="inlineStr">
        <is>
          <t>Food cost</t>
        </is>
      </c>
      <c r="G3662" t="inlineStr">
        <is>
          <t>pressure</t>
        </is>
      </c>
      <c r="H3662" t="inlineStr">
        <is>
          <t>yes</t>
        </is>
      </c>
      <c r="I3662" t="inlineStr">
        <is>
          <t>349.33</t>
        </is>
      </c>
      <c r="J3662" t="inlineStr">
        <is>
          <t>world_bank_col_estimate</t>
        </is>
      </c>
      <c r="K3662" t="inlineStr">
        <is>
          <t>https://api.worldbank.org/v2/country/GEO/indicator/NY.GNP.PCAP.PP.CD?format=json&amp;mrv=10</t>
        </is>
      </c>
      <c r="L3662" t="inlineStr">
        <is>
          <t>World Bank GNI + regional expenditure ratio estimate</t>
        </is>
      </c>
      <c r="M3662" t="inlineStr">
        <is>
          <t>2024-12-31</t>
        </is>
      </c>
      <c r="N3662" t="inlineStr">
        <is>
          <t>auto_ingest=world_bank_col_estimate; gni_annual=26200.0; year=2024; country_proxy=Georgia; cohort=Southern/Eastern Europe and Eurasia; city_cost_mult=0.8</t>
        </is>
      </c>
    </row>
    <row r="3663">
      <c r="A3663" t="inlineStr">
        <is>
          <t>ge-tbilisi</t>
        </is>
      </c>
      <c r="B3663" t="inlineStr">
        <is>
          <t>Tbilisi</t>
        </is>
      </c>
      <c r="C3663" t="inlineStr">
        <is>
          <t>Georgia</t>
        </is>
      </c>
      <c r="D3663" t="inlineStr">
        <is>
          <t>Southern/Eastern Europe and Eurasia</t>
        </is>
      </c>
      <c r="E3663" t="inlineStr">
        <is>
          <t>housing_burden_raw</t>
        </is>
      </c>
      <c r="F3663" t="inlineStr">
        <is>
          <t>Housing burden raw</t>
        </is>
      </c>
      <c r="G3663" t="inlineStr">
        <is>
          <t>pressure</t>
        </is>
      </c>
      <c r="H3663" t="inlineStr">
        <is>
          <t>yes</t>
        </is>
      </c>
      <c r="I3663" t="inlineStr">
        <is>
          <t>20.0002</t>
        </is>
      </c>
      <c r="J3663" t="inlineStr">
        <is>
          <t>derived</t>
        </is>
      </c>
      <c r="K3663" t="inlineStr">
        <is>
          <t>https://data.worldbank.org/indicator/NY.GNP.PCAP.PP.CD</t>
        </is>
      </c>
      <c r="L3663" t="inlineStr">
        <is>
          <t>Computed from city_inputs + country_context</t>
        </is>
      </c>
      <c r="M3663" t="inlineStr">
        <is>
          <t>2024-01-01</t>
        </is>
      </c>
      <c r="N3663" t="inlineStr">
        <is>
          <t>derived=rent/gross_income*100</t>
        </is>
      </c>
    </row>
    <row r="3664">
      <c r="A3664" t="inlineStr">
        <is>
          <t>ge-tbilisi</t>
        </is>
      </c>
      <c r="B3664" t="inlineStr">
        <is>
          <t>Tbilisi</t>
        </is>
      </c>
      <c r="C3664" t="inlineStr">
        <is>
          <t>Georgia</t>
        </is>
      </c>
      <c r="D3664" t="inlineStr">
        <is>
          <t>Southern/Eastern Europe and Eurasia</t>
        </is>
      </c>
      <c r="E3664" t="inlineStr">
        <is>
          <t>household_debt_burden_raw</t>
        </is>
      </c>
      <c r="F3664" t="inlineStr">
        <is>
          <t>Household debt burden raw</t>
        </is>
      </c>
      <c r="G3664" t="inlineStr">
        <is>
          <t>pressure</t>
        </is>
      </c>
      <c r="H3664" t="inlineStr">
        <is>
          <t>yes</t>
        </is>
      </c>
      <c r="I3664" t="inlineStr"/>
      <c r="J3664" t="inlineStr"/>
      <c r="K3664" t="inlineStr"/>
      <c r="L3664" t="inlineStr"/>
      <c r="M3664" t="inlineStr"/>
      <c r="N3664" t="inlineStr"/>
    </row>
    <row r="3665">
      <c r="A3665" t="inlineStr">
        <is>
          <t>ge-tbilisi</t>
        </is>
      </c>
      <c r="B3665" t="inlineStr">
        <is>
          <t>Tbilisi</t>
        </is>
      </c>
      <c r="C3665" t="inlineStr">
        <is>
          <t>Georgia</t>
        </is>
      </c>
      <c r="D3665" t="inlineStr">
        <is>
          <t>Southern/Eastern Europe and Eurasia</t>
        </is>
      </c>
      <c r="E3665" t="inlineStr">
        <is>
          <t>working_time_pressure_raw</t>
        </is>
      </c>
      <c r="F3665" t="inlineStr">
        <is>
          <t>Working time pressure raw</t>
        </is>
      </c>
      <c r="G3665" t="inlineStr">
        <is>
          <t>pressure</t>
        </is>
      </c>
      <c r="H3665" t="inlineStr">
        <is>
          <t>yes</t>
        </is>
      </c>
      <c r="I3665" t="inlineStr"/>
      <c r="J3665" t="inlineStr"/>
      <c r="K3665" t="inlineStr"/>
      <c r="L3665" t="inlineStr"/>
      <c r="M3665" t="inlineStr"/>
      <c r="N3665" t="inlineStr"/>
    </row>
    <row r="3666">
      <c r="A3666" t="inlineStr">
        <is>
          <t>ge-tbilisi</t>
        </is>
      </c>
      <c r="B3666" t="inlineStr">
        <is>
          <t>Tbilisi</t>
        </is>
      </c>
      <c r="C3666" t="inlineStr">
        <is>
          <t>Georgia</t>
        </is>
      </c>
      <c r="D3666" t="inlineStr">
        <is>
          <t>Southern/Eastern Europe and Eurasia</t>
        </is>
      </c>
      <c r="E3666" t="inlineStr">
        <is>
          <t>suicide_mental_strain_raw</t>
        </is>
      </c>
      <c r="F3666" t="inlineStr">
        <is>
          <t>Suicide or mental strain raw</t>
        </is>
      </c>
      <c r="G3666" t="inlineStr">
        <is>
          <t>pressure</t>
        </is>
      </c>
      <c r="H3666" t="inlineStr">
        <is>
          <t>yes</t>
        </is>
      </c>
      <c r="I3666" t="inlineStr"/>
      <c r="J3666" t="inlineStr"/>
      <c r="K3666" t="inlineStr"/>
      <c r="L3666" t="inlineStr"/>
      <c r="M3666" t="inlineStr"/>
      <c r="N3666" t="inlineStr"/>
    </row>
    <row r="3667">
      <c r="A3667" t="inlineStr">
        <is>
          <t>ge-tbilisi</t>
        </is>
      </c>
      <c r="B3667" t="inlineStr">
        <is>
          <t>Tbilisi</t>
        </is>
      </c>
      <c r="C3667" t="inlineStr">
        <is>
          <t>Georgia</t>
        </is>
      </c>
      <c r="D3667" t="inlineStr">
        <is>
          <t>Southern/Eastern Europe and Eurasia</t>
        </is>
      </c>
      <c r="E3667" t="inlineStr">
        <is>
          <t>personal_safety_raw</t>
        </is>
      </c>
      <c r="F3667" t="inlineStr">
        <is>
          <t>Personal safety raw</t>
        </is>
      </c>
      <c r="G3667" t="inlineStr">
        <is>
          <t>viability</t>
        </is>
      </c>
      <c r="H3667" t="inlineStr">
        <is>
          <t>yes</t>
        </is>
      </c>
      <c r="I3667" t="inlineStr"/>
      <c r="J3667" t="inlineStr"/>
      <c r="K3667" t="inlineStr"/>
      <c r="L3667" t="inlineStr"/>
      <c r="M3667" t="inlineStr"/>
      <c r="N3667" t="inlineStr"/>
    </row>
    <row r="3668">
      <c r="A3668" t="inlineStr">
        <is>
          <t>ge-tbilisi</t>
        </is>
      </c>
      <c r="B3668" t="inlineStr">
        <is>
          <t>Tbilisi</t>
        </is>
      </c>
      <c r="C3668" t="inlineStr">
        <is>
          <t>Georgia</t>
        </is>
      </c>
      <c r="D3668" t="inlineStr">
        <is>
          <t>Southern/Eastern Europe and Eurasia</t>
        </is>
      </c>
      <c r="E3668" t="inlineStr">
        <is>
          <t>transit_access_commute_raw</t>
        </is>
      </c>
      <c r="F3668" t="inlineStr">
        <is>
          <t>Transit access and commute raw</t>
        </is>
      </c>
      <c r="G3668" t="inlineStr">
        <is>
          <t>viability</t>
        </is>
      </c>
      <c r="H3668" t="inlineStr">
        <is>
          <t>yes</t>
        </is>
      </c>
      <c r="I3668" t="inlineStr"/>
      <c r="J3668" t="inlineStr"/>
      <c r="K3668" t="inlineStr"/>
      <c r="L3668" t="inlineStr"/>
      <c r="M3668" t="inlineStr"/>
      <c r="N3668" t="inlineStr"/>
    </row>
    <row r="3669">
      <c r="A3669" t="inlineStr">
        <is>
          <t>ge-tbilisi</t>
        </is>
      </c>
      <c r="B3669" t="inlineStr">
        <is>
          <t>Tbilisi</t>
        </is>
      </c>
      <c r="C3669" t="inlineStr">
        <is>
          <t>Georgia</t>
        </is>
      </c>
      <c r="D3669" t="inlineStr">
        <is>
          <t>Southern/Eastern Europe and Eurasia</t>
        </is>
      </c>
      <c r="E3669" t="inlineStr">
        <is>
          <t>clean_air_raw</t>
        </is>
      </c>
      <c r="F3669" t="inlineStr">
        <is>
          <t>Clean air raw</t>
        </is>
      </c>
      <c r="G3669" t="inlineStr">
        <is>
          <t>viability</t>
        </is>
      </c>
      <c r="H3669" t="inlineStr">
        <is>
          <t>yes</t>
        </is>
      </c>
      <c r="I3669" t="inlineStr"/>
      <c r="J3669" t="inlineStr"/>
      <c r="K3669" t="inlineStr"/>
      <c r="L3669" t="inlineStr"/>
      <c r="M3669" t="inlineStr"/>
      <c r="N3669" t="inlineStr"/>
    </row>
    <row r="3670">
      <c r="A3670" t="inlineStr">
        <is>
          <t>ge-tbilisi</t>
        </is>
      </c>
      <c r="B3670" t="inlineStr">
        <is>
          <t>Tbilisi</t>
        </is>
      </c>
      <c r="C3670" t="inlineStr">
        <is>
          <t>Georgia</t>
        </is>
      </c>
      <c r="D3670" t="inlineStr">
        <is>
          <t>Southern/Eastern Europe and Eurasia</t>
        </is>
      </c>
      <c r="E3670" t="inlineStr">
        <is>
          <t>water_sanitation_utility_raw</t>
        </is>
      </c>
      <c r="F3670" t="inlineStr">
        <is>
          <t>Water, sanitation, and utility raw</t>
        </is>
      </c>
      <c r="G3670" t="inlineStr">
        <is>
          <t>viability</t>
        </is>
      </c>
      <c r="H3670" t="inlineStr">
        <is>
          <t>yes</t>
        </is>
      </c>
      <c r="I3670" t="inlineStr"/>
      <c r="J3670" t="inlineStr"/>
      <c r="K3670" t="inlineStr"/>
      <c r="L3670" t="inlineStr"/>
      <c r="M3670" t="inlineStr"/>
      <c r="N3670" t="inlineStr"/>
    </row>
    <row r="3671">
      <c r="A3671" t="inlineStr">
        <is>
          <t>ge-tbilisi</t>
        </is>
      </c>
      <c r="B3671" t="inlineStr">
        <is>
          <t>Tbilisi</t>
        </is>
      </c>
      <c r="C3671" t="inlineStr">
        <is>
          <t>Georgia</t>
        </is>
      </c>
      <c r="D3671" t="inlineStr">
        <is>
          <t>Southern/Eastern Europe and Eurasia</t>
        </is>
      </c>
      <c r="E3671" t="inlineStr">
        <is>
          <t>digital_infrastructure_raw</t>
        </is>
      </c>
      <c r="F3671" t="inlineStr">
        <is>
          <t>Digital infrastructure raw</t>
        </is>
      </c>
      <c r="G3671" t="inlineStr">
        <is>
          <t>viability</t>
        </is>
      </c>
      <c r="H3671" t="inlineStr">
        <is>
          <t>yes</t>
        </is>
      </c>
      <c r="I3671" t="inlineStr"/>
      <c r="J3671" t="inlineStr"/>
      <c r="K3671" t="inlineStr"/>
      <c r="L3671" t="inlineStr"/>
      <c r="M3671" t="inlineStr"/>
      <c r="N3671" t="inlineStr"/>
    </row>
    <row r="3672">
      <c r="A3672" t="inlineStr">
        <is>
          <t>ge-tbilisi</t>
        </is>
      </c>
      <c r="B3672" t="inlineStr">
        <is>
          <t>Tbilisi</t>
        </is>
      </c>
      <c r="C3672" t="inlineStr">
        <is>
          <t>Georgia</t>
        </is>
      </c>
      <c r="D3672" t="inlineStr">
        <is>
          <t>Southern/Eastern Europe and Eurasia</t>
        </is>
      </c>
      <c r="E3672" t="inlineStr">
        <is>
          <t>climate_sunlight_livability_raw</t>
        </is>
      </c>
      <c r="F3672" t="inlineStr">
        <is>
          <t>Climate and sunlight livability raw</t>
        </is>
      </c>
      <c r="G3672" t="inlineStr">
        <is>
          <t>viability</t>
        </is>
      </c>
      <c r="H3672" t="inlineStr">
        <is>
          <t>yes</t>
        </is>
      </c>
      <c r="I3672" t="inlineStr">
        <is>
          <t>56</t>
        </is>
      </c>
      <c r="J3672" t="inlineStr">
        <is>
          <t>wmo_natl_met</t>
        </is>
      </c>
      <c r="K3672" t="inlineStr">
        <is>
          <t>https://worldweather.wmo.int</t>
        </is>
      </c>
      <c r="L3672" t="inlineStr">
        <is>
          <t>WMO/National Met: Climate livability composite</t>
        </is>
      </c>
      <c r="M3672" t="inlineStr">
        <is>
          <t>2024-12-31</t>
        </is>
      </c>
      <c r="N3672" t="inlineStr">
        <is>
          <t>auto_seed=climate_composite; 2100 sun hrs, 13C mean</t>
        </is>
      </c>
    </row>
    <row r="3673">
      <c r="A3673" t="inlineStr">
        <is>
          <t>ge-tbilisi</t>
        </is>
      </c>
      <c r="B3673" t="inlineStr">
        <is>
          <t>Tbilisi</t>
        </is>
      </c>
      <c r="C3673" t="inlineStr">
        <is>
          <t>Georgia</t>
        </is>
      </c>
      <c r="D3673" t="inlineStr">
        <is>
          <t>Southern/Eastern Europe and Eurasia</t>
        </is>
      </c>
      <c r="E3673" t="inlineStr">
        <is>
          <t>healthcare_quality_raw</t>
        </is>
      </c>
      <c r="F3673" t="inlineStr">
        <is>
          <t>Healthcare quality raw</t>
        </is>
      </c>
      <c r="G3673" t="inlineStr">
        <is>
          <t>capability</t>
        </is>
      </c>
      <c r="H3673" t="inlineStr">
        <is>
          <t>yes</t>
        </is>
      </c>
      <c r="I3673" t="inlineStr"/>
      <c r="J3673" t="inlineStr"/>
      <c r="K3673" t="inlineStr"/>
      <c r="L3673" t="inlineStr"/>
      <c r="M3673" t="inlineStr"/>
      <c r="N3673" t="inlineStr"/>
    </row>
    <row r="3674">
      <c r="A3674" t="inlineStr">
        <is>
          <t>ge-tbilisi</t>
        </is>
      </c>
      <c r="B3674" t="inlineStr">
        <is>
          <t>Tbilisi</t>
        </is>
      </c>
      <c r="C3674" t="inlineStr">
        <is>
          <t>Georgia</t>
        </is>
      </c>
      <c r="D3674" t="inlineStr">
        <is>
          <t>Southern/Eastern Europe and Eurasia</t>
        </is>
      </c>
      <c r="E3674" t="inlineStr">
        <is>
          <t>education_quality_raw</t>
        </is>
      </c>
      <c r="F3674" t="inlineStr">
        <is>
          <t>Education quality raw</t>
        </is>
      </c>
      <c r="G3674" t="inlineStr">
        <is>
          <t>capability</t>
        </is>
      </c>
      <c r="H3674" t="inlineStr">
        <is>
          <t>yes</t>
        </is>
      </c>
      <c r="I3674" t="inlineStr"/>
      <c r="J3674" t="inlineStr"/>
      <c r="K3674" t="inlineStr"/>
      <c r="L3674" t="inlineStr"/>
      <c r="M3674" t="inlineStr"/>
      <c r="N3674" t="inlineStr"/>
    </row>
    <row r="3675">
      <c r="A3675" t="inlineStr">
        <is>
          <t>ge-tbilisi</t>
        </is>
      </c>
      <c r="B3675" t="inlineStr">
        <is>
          <t>Tbilisi</t>
        </is>
      </c>
      <c r="C3675" t="inlineStr">
        <is>
          <t>Georgia</t>
        </is>
      </c>
      <c r="D3675" t="inlineStr">
        <is>
          <t>Southern/Eastern Europe and Eurasia</t>
        </is>
      </c>
      <c r="E3675" t="inlineStr">
        <is>
          <t>equal_opportunity_raw</t>
        </is>
      </c>
      <c r="F3675" t="inlineStr">
        <is>
          <t>Equal opportunity raw</t>
        </is>
      </c>
      <c r="G3675" t="inlineStr">
        <is>
          <t>capability</t>
        </is>
      </c>
      <c r="H3675" t="inlineStr">
        <is>
          <t>yes</t>
        </is>
      </c>
      <c r="I3675" t="inlineStr">
        <is>
          <t>33.9</t>
        </is>
      </c>
      <c r="J3675" t="inlineStr">
        <is>
          <t>world_bank</t>
        </is>
      </c>
      <c r="K3675" t="inlineStr">
        <is>
          <t>https://api.worldbank.org/v2/country/GEO/indicator/SI.POV.GINI?format=json&amp;mrv=10</t>
        </is>
      </c>
      <c r="L3675" t="inlineStr">
        <is>
          <t>World Bank WDI: Gini index</t>
        </is>
      </c>
      <c r="M3675" t="inlineStr">
        <is>
          <t>2024-12-31</t>
        </is>
      </c>
      <c r="N3675" t="inlineStr">
        <is>
          <t>auto_ingest=world_bank_capability; indicator=SI.POV.GINI; year=2024; country_proxy=Georgia</t>
        </is>
      </c>
    </row>
    <row r="3676">
      <c r="A3676" t="inlineStr">
        <is>
          <t>ge-tbilisi</t>
        </is>
      </c>
      <c r="B3676" t="inlineStr">
        <is>
          <t>Tbilisi</t>
        </is>
      </c>
      <c r="C3676" t="inlineStr">
        <is>
          <t>Georgia</t>
        </is>
      </c>
      <c r="D3676" t="inlineStr">
        <is>
          <t>Southern/Eastern Europe and Eurasia</t>
        </is>
      </c>
      <c r="E3676" t="inlineStr">
        <is>
          <t>hospitality_belonging_raw</t>
        </is>
      </c>
      <c r="F3676" t="inlineStr">
        <is>
          <t>Hospitality and belonging raw</t>
        </is>
      </c>
      <c r="G3676" t="inlineStr">
        <is>
          <t>community</t>
        </is>
      </c>
      <c r="H3676" t="inlineStr">
        <is>
          <t>yes</t>
        </is>
      </c>
      <c r="I3676" t="inlineStr"/>
      <c r="J3676" t="inlineStr"/>
      <c r="K3676" t="inlineStr"/>
      <c r="L3676" t="inlineStr"/>
      <c r="M3676" t="inlineStr"/>
      <c r="N3676" t="inlineStr"/>
    </row>
    <row r="3677">
      <c r="A3677" t="inlineStr">
        <is>
          <t>ge-tbilisi</t>
        </is>
      </c>
      <c r="B3677" t="inlineStr">
        <is>
          <t>Tbilisi</t>
        </is>
      </c>
      <c r="C3677" t="inlineStr">
        <is>
          <t>Georgia</t>
        </is>
      </c>
      <c r="D3677" t="inlineStr">
        <is>
          <t>Southern/Eastern Europe and Eurasia</t>
        </is>
      </c>
      <c r="E3677" t="inlineStr">
        <is>
          <t>tolerance_pluralism_raw</t>
        </is>
      </c>
      <c r="F3677" t="inlineStr">
        <is>
          <t>Tolerance and pluralism raw</t>
        </is>
      </c>
      <c r="G3677" t="inlineStr">
        <is>
          <t>community</t>
        </is>
      </c>
      <c r="H3677" t="inlineStr">
        <is>
          <t>yes</t>
        </is>
      </c>
      <c r="I3677" t="inlineStr"/>
      <c r="J3677" t="inlineStr"/>
      <c r="K3677" t="inlineStr"/>
      <c r="L3677" t="inlineStr"/>
      <c r="M3677" t="inlineStr"/>
      <c r="N3677" t="inlineStr"/>
    </row>
    <row r="3678">
      <c r="A3678" t="inlineStr">
        <is>
          <t>ge-tbilisi</t>
        </is>
      </c>
      <c r="B3678" t="inlineStr">
        <is>
          <t>Tbilisi</t>
        </is>
      </c>
      <c r="C3678" t="inlineStr">
        <is>
          <t>Georgia</t>
        </is>
      </c>
      <c r="D3678" t="inlineStr">
        <is>
          <t>Southern/Eastern Europe and Eurasia</t>
        </is>
      </c>
      <c r="E3678" t="inlineStr">
        <is>
          <t>cultural_public_life_raw</t>
        </is>
      </c>
      <c r="F3678" t="inlineStr">
        <is>
          <t>Cultural public life raw</t>
        </is>
      </c>
      <c r="G3678" t="inlineStr">
        <is>
          <t>community</t>
        </is>
      </c>
      <c r="H3678" t="inlineStr">
        <is>
          <t>yes</t>
        </is>
      </c>
      <c r="I3678" t="inlineStr"/>
      <c r="J3678" t="inlineStr"/>
      <c r="K3678" t="inlineStr"/>
      <c r="L3678" t="inlineStr"/>
      <c r="M3678" t="inlineStr"/>
      <c r="N3678" t="inlineStr"/>
    </row>
    <row r="3679">
      <c r="A3679" t="inlineStr">
        <is>
          <t>ge-tbilisi</t>
        </is>
      </c>
      <c r="B3679" t="inlineStr">
        <is>
          <t>Tbilisi</t>
        </is>
      </c>
      <c r="C3679" t="inlineStr">
        <is>
          <t>Georgia</t>
        </is>
      </c>
      <c r="D3679" t="inlineStr">
        <is>
          <t>Southern/Eastern Europe and Eurasia</t>
        </is>
      </c>
      <c r="E3679" t="inlineStr">
        <is>
          <t>birth_rate_optimism_raw</t>
        </is>
      </c>
      <c r="F3679" t="inlineStr">
        <is>
          <t>Birth rate and societal optimism raw</t>
        </is>
      </c>
      <c r="G3679" t="inlineStr">
        <is>
          <t>community</t>
        </is>
      </c>
      <c r="H3679" t="inlineStr">
        <is>
          <t>yes</t>
        </is>
      </c>
      <c r="I3679" t="inlineStr"/>
      <c r="J3679" t="inlineStr"/>
      <c r="K3679" t="inlineStr"/>
      <c r="L3679" t="inlineStr"/>
      <c r="M3679" t="inlineStr"/>
      <c r="N3679" t="inlineStr"/>
    </row>
    <row r="3680">
      <c r="A3680" t="inlineStr">
        <is>
          <t>ge-tbilisi</t>
        </is>
      </c>
      <c r="B3680" t="inlineStr">
        <is>
          <t>Tbilisi</t>
        </is>
      </c>
      <c r="C3680" t="inlineStr">
        <is>
          <t>Georgia</t>
        </is>
      </c>
      <c r="D3680" t="inlineStr">
        <is>
          <t>Southern/Eastern Europe and Eurasia</t>
        </is>
      </c>
      <c r="E3680" t="inlineStr">
        <is>
          <t>entrepreneurial_dynamism_raw</t>
        </is>
      </c>
      <c r="F3680" t="inlineStr">
        <is>
          <t>Entrepreneurial dynamism raw</t>
        </is>
      </c>
      <c r="G3680" t="inlineStr">
        <is>
          <t>creative</t>
        </is>
      </c>
      <c r="H3680" t="inlineStr">
        <is>
          <t>yes</t>
        </is>
      </c>
      <c r="I3680" t="inlineStr">
        <is>
          <t>8.5</t>
        </is>
      </c>
      <c r="J3680" t="inlineStr">
        <is>
          <t>world_bank</t>
        </is>
      </c>
      <c r="K3680" t="inlineStr">
        <is>
          <t>https://api.worldbank.org/v2/country/GEO/indicator/IC.BUS.NDNS.ZS?format=json&amp;mrv=10</t>
        </is>
      </c>
      <c r="L3680" t="inlineStr">
        <is>
          <t>World Bank WDI: New business density (new registrations per 1,000 people ages 15-64)</t>
        </is>
      </c>
      <c r="M3680" t="inlineStr">
        <is>
          <t>2022-12-31</t>
        </is>
      </c>
      <c r="N3680" t="inlineStr">
        <is>
          <t>auto_ingest=world_bank_creative_extended; indicator=IC.BUS.NDNS.ZS; year=2022; country_proxy=Georgia</t>
        </is>
      </c>
    </row>
    <row r="3681">
      <c r="A3681" t="inlineStr">
        <is>
          <t>ge-tbilisi</t>
        </is>
      </c>
      <c r="B3681" t="inlineStr">
        <is>
          <t>Tbilisi</t>
        </is>
      </c>
      <c r="C3681" t="inlineStr">
        <is>
          <t>Georgia</t>
        </is>
      </c>
      <c r="D3681" t="inlineStr">
        <is>
          <t>Southern/Eastern Europe and Eurasia</t>
        </is>
      </c>
      <c r="E3681" t="inlineStr">
        <is>
          <t>innovation_research_intensity_raw</t>
        </is>
      </c>
      <c r="F3681" t="inlineStr">
        <is>
          <t>Innovation and research raw</t>
        </is>
      </c>
      <c r="G3681" t="inlineStr">
        <is>
          <t>creative</t>
        </is>
      </c>
      <c r="H3681" t="inlineStr">
        <is>
          <t>yes</t>
        </is>
      </c>
      <c r="I3681" t="inlineStr">
        <is>
          <t>0.25</t>
        </is>
      </c>
      <c r="J3681" t="inlineStr">
        <is>
          <t>world_bank</t>
        </is>
      </c>
      <c r="K3681" t="inlineStr">
        <is>
          <t>https://api.worldbank.org/v2/country/GEO/indicator/GB.XPD.RSDV.GD.ZS?format=json&amp;mrv=10</t>
        </is>
      </c>
      <c r="L3681" t="inlineStr">
        <is>
          <t>World Bank WDI: Research and development expenditure (% of GDP)</t>
        </is>
      </c>
      <c r="M3681" t="inlineStr">
        <is>
          <t>2023-12-31</t>
        </is>
      </c>
      <c r="N3681" t="inlineStr">
        <is>
          <t>auto_ingest=world_bank_creative_extended; indicator=GB.XPD.RSDV.GD.ZS; year=2023; country_proxy=Georgia</t>
        </is>
      </c>
    </row>
    <row r="3682">
      <c r="A3682" t="inlineStr">
        <is>
          <t>ge-tbilisi</t>
        </is>
      </c>
      <c r="B3682" t="inlineStr">
        <is>
          <t>Tbilisi</t>
        </is>
      </c>
      <c r="C3682" t="inlineStr">
        <is>
          <t>Georgia</t>
        </is>
      </c>
      <c r="D3682" t="inlineStr">
        <is>
          <t>Southern/Eastern Europe and Eurasia</t>
        </is>
      </c>
      <c r="E3682" t="inlineStr">
        <is>
          <t>investment_signal_raw</t>
        </is>
      </c>
      <c r="F3682" t="inlineStr">
        <is>
          <t>Investment signal raw</t>
        </is>
      </c>
      <c r="G3682" t="inlineStr">
        <is>
          <t>creative</t>
        </is>
      </c>
      <c r="H3682" t="inlineStr">
        <is>
          <t>yes</t>
        </is>
      </c>
      <c r="I3682" t="inlineStr">
        <is>
          <t>4.69</t>
        </is>
      </c>
      <c r="J3682" t="inlineStr">
        <is>
          <t>world_bank</t>
        </is>
      </c>
      <c r="K3682" t="inlineStr">
        <is>
          <t>https://api.worldbank.org/v2/country/GEO/indicator/BX.KLT.DINV.WD.GD.ZS?format=json&amp;mrv=10</t>
        </is>
      </c>
      <c r="L3682" t="inlineStr">
        <is>
          <t>World Bank WDI: Foreign direct investment, net inflows (% of GDP)</t>
        </is>
      </c>
      <c r="M3682" t="inlineStr">
        <is>
          <t>2024-12-31</t>
        </is>
      </c>
      <c r="N3682" t="inlineStr">
        <is>
          <t>auto_ingest=world_bank_creative_extended; indicator=BX.KLT.DINV.WD.GD.ZS; year=2024; country_proxy=Georgia</t>
        </is>
      </c>
    </row>
    <row r="3683">
      <c r="A3683" t="inlineStr">
        <is>
          <t>ge-tbilisi</t>
        </is>
      </c>
      <c r="B3683" t="inlineStr">
        <is>
          <t>Tbilisi</t>
        </is>
      </c>
      <c r="C3683" t="inlineStr">
        <is>
          <t>Georgia</t>
        </is>
      </c>
      <c r="D3683" t="inlineStr">
        <is>
          <t>Southern/Eastern Europe and Eurasia</t>
        </is>
      </c>
      <c r="E3683" t="inlineStr">
        <is>
          <t>administrative_investment_friction_raw</t>
        </is>
      </c>
      <c r="F3683" t="inlineStr">
        <is>
          <t>Administrative investment friction raw</t>
        </is>
      </c>
      <c r="G3683" t="inlineStr">
        <is>
          <t>creative</t>
        </is>
      </c>
      <c r="H3683" t="inlineStr">
        <is>
          <t>yes</t>
        </is>
      </c>
      <c r="I3683" t="inlineStr">
        <is>
          <t>1.55</t>
        </is>
      </c>
      <c r="J3683" t="inlineStr">
        <is>
          <t>world_bank</t>
        </is>
      </c>
      <c r="K3683" t="inlineStr">
        <is>
          <t>https://api.worldbank.org/v2/country/GEO/indicator/RQ.EST?format=json&amp;mrv=10</t>
        </is>
      </c>
      <c r="L3683" t="inlineStr">
        <is>
          <t>World Bank WGI: Regulatory Quality (inverted as friction proxy)</t>
        </is>
      </c>
      <c r="M3683" t="inlineStr">
        <is>
          <t>2023-12-31</t>
        </is>
      </c>
      <c r="N3683" t="inlineStr">
        <is>
          <t>auto_ingest=world_bank_business_friction; indicator=RQ.EST; raw_rq=0.946578145027161; friction=1.55; year=2023; country_proxy=Georgia</t>
        </is>
      </c>
    </row>
    <row r="3684">
      <c r="A3684" t="inlineStr">
        <is>
          <t>ge-tbilisi</t>
        </is>
      </c>
      <c r="B3684" t="inlineStr">
        <is>
          <t>Tbilisi</t>
        </is>
      </c>
      <c r="C3684" t="inlineStr">
        <is>
          <t>Georgia</t>
        </is>
      </c>
      <c r="D3684" t="inlineStr">
        <is>
          <t>Southern/Eastern Europe and Eurasia</t>
        </is>
      </c>
      <c r="E3684" t="inlineStr">
        <is>
          <t>visitor_flow_context_raw</t>
        </is>
      </c>
      <c r="F3684" t="inlineStr">
        <is>
          <t>Visitor flow context raw</t>
        </is>
      </c>
      <c r="G3684" t="inlineStr">
        <is>
          <t>creative</t>
        </is>
      </c>
      <c r="H3684" t="inlineStr">
        <is>
          <t>no</t>
        </is>
      </c>
      <c r="I3684" t="inlineStr"/>
      <c r="J3684" t="inlineStr"/>
      <c r="K3684" t="inlineStr"/>
      <c r="L3684" t="inlineStr"/>
      <c r="M3684" t="inlineStr"/>
      <c r="N3684" t="inlineStr"/>
    </row>
    <row r="3685">
      <c r="A3685" t="inlineStr">
        <is>
          <t>fr-lyon</t>
        </is>
      </c>
      <c r="B3685" t="inlineStr">
        <is>
          <t>Lyon</t>
        </is>
      </c>
      <c r="C3685" t="inlineStr">
        <is>
          <t>France</t>
        </is>
      </c>
      <c r="D3685" t="inlineStr">
        <is>
          <t>Western, Northern, and Southern Europe</t>
        </is>
      </c>
      <c r="E3685" t="inlineStr">
        <is>
          <t>gross_income</t>
        </is>
      </c>
      <c r="F3685" t="inlineStr">
        <is>
          <t>Gross income</t>
        </is>
      </c>
      <c r="G3685" t="inlineStr">
        <is>
          <t>pressure</t>
        </is>
      </c>
      <c r="H3685" t="inlineStr">
        <is>
          <t>yes</t>
        </is>
      </c>
      <c r="I3685" t="inlineStr">
        <is>
          <t>5323.33</t>
        </is>
      </c>
      <c r="J3685" t="inlineStr">
        <is>
          <t>world_bank_col_estimate</t>
        </is>
      </c>
      <c r="K3685" t="inlineStr">
        <is>
          <t>https://api.worldbank.org/v2/country/FRA/indicator/NY.GNP.PCAP.PP.CD?format=json&amp;mrv=10</t>
        </is>
      </c>
      <c r="L3685" t="inlineStr">
        <is>
          <t>World Bank WDI: GNI per capita PPP (monthly USD)</t>
        </is>
      </c>
      <c r="M3685" t="inlineStr">
        <is>
          <t>2024-12-31</t>
        </is>
      </c>
      <c r="N3685" t="inlineStr">
        <is>
          <t>auto_ingest=world_bank_col_estimate; gni_annual=63880.0; year=2024; country_proxy=France; cohort=Western, Northern, and Southern Europe</t>
        </is>
      </c>
    </row>
    <row r="3686">
      <c r="A3686" t="inlineStr">
        <is>
          <t>fr-lyon</t>
        </is>
      </c>
      <c r="B3686" t="inlineStr">
        <is>
          <t>Lyon</t>
        </is>
      </c>
      <c r="C3686" t="inlineStr">
        <is>
          <t>France</t>
        </is>
      </c>
      <c r="D3686" t="inlineStr">
        <is>
          <t>Western, Northern, and Southern Europe</t>
        </is>
      </c>
      <c r="E3686" t="inlineStr">
        <is>
          <t>di_ppp_raw</t>
        </is>
      </c>
      <c r="F3686" t="inlineStr">
        <is>
          <t>Disposable income PPP (Raw)</t>
        </is>
      </c>
      <c r="G3686" t="inlineStr">
        <is>
          <t>pressure</t>
        </is>
      </c>
      <c r="H3686" t="inlineStr">
        <is>
          <t>yes</t>
        </is>
      </c>
      <c r="I3686" t="inlineStr"/>
      <c r="J3686" t="inlineStr"/>
      <c r="K3686" t="inlineStr"/>
      <c r="L3686" t="inlineStr"/>
      <c r="M3686" t="inlineStr"/>
      <c r="N3686" t="inlineStr"/>
    </row>
    <row r="3687">
      <c r="A3687" t="inlineStr">
        <is>
          <t>fr-lyon</t>
        </is>
      </c>
      <c r="B3687" t="inlineStr">
        <is>
          <t>Lyon</t>
        </is>
      </c>
      <c r="C3687" t="inlineStr">
        <is>
          <t>France</t>
        </is>
      </c>
      <c r="D3687" t="inlineStr">
        <is>
          <t>Western, Northern, and Southern Europe</t>
        </is>
      </c>
      <c r="E3687" t="inlineStr">
        <is>
          <t>rent</t>
        </is>
      </c>
      <c r="F3687" t="inlineStr">
        <is>
          <t>Rent</t>
        </is>
      </c>
      <c r="G3687" t="inlineStr">
        <is>
          <t>pressure</t>
        </is>
      </c>
      <c r="H3687" t="inlineStr">
        <is>
          <t>yes</t>
        </is>
      </c>
      <c r="I3687" t="inlineStr">
        <is>
          <t>1583.69</t>
        </is>
      </c>
      <c r="J3687" t="inlineStr">
        <is>
          <t>world_bank_col_estimate</t>
        </is>
      </c>
      <c r="K3687" t="inlineStr">
        <is>
          <t>https://api.worldbank.org/v2/country/FRA/indicator/NY.GNP.PCAP.PP.CD?format=json&amp;mrv=10</t>
        </is>
      </c>
      <c r="L3687" t="inlineStr">
        <is>
          <t>World Bank GNI + regional expenditure ratio estimate</t>
        </is>
      </c>
      <c r="M3687" t="inlineStr">
        <is>
          <t>2024-12-31</t>
        </is>
      </c>
      <c r="N3687" t="inlineStr">
        <is>
          <t>auto_ingest=world_bank_col_estimate; gni_annual=63880.0; year=2024; country_proxy=France; cohort=Western, Northern, and Southern Europe; city_cost_mult=0.85</t>
        </is>
      </c>
    </row>
    <row r="3688">
      <c r="A3688" t="inlineStr">
        <is>
          <t>fr-lyon</t>
        </is>
      </c>
      <c r="B3688" t="inlineStr">
        <is>
          <t>Lyon</t>
        </is>
      </c>
      <c r="C3688" t="inlineStr">
        <is>
          <t>France</t>
        </is>
      </c>
      <c r="D3688" t="inlineStr">
        <is>
          <t>Western, Northern, and Southern Europe</t>
        </is>
      </c>
      <c r="E3688" t="inlineStr">
        <is>
          <t>utilities</t>
        </is>
      </c>
      <c r="F3688" t="inlineStr">
        <is>
          <t>Utilities</t>
        </is>
      </c>
      <c r="G3688" t="inlineStr">
        <is>
          <t>pressure</t>
        </is>
      </c>
      <c r="H3688" t="inlineStr">
        <is>
          <t>yes</t>
        </is>
      </c>
      <c r="I3688" t="inlineStr">
        <is>
          <t>316.74</t>
        </is>
      </c>
      <c r="J3688" t="inlineStr">
        <is>
          <t>world_bank_col_estimate</t>
        </is>
      </c>
      <c r="K3688" t="inlineStr">
        <is>
          <t>https://api.worldbank.org/v2/country/FRA/indicator/NY.GNP.PCAP.PP.CD?format=json&amp;mrv=10</t>
        </is>
      </c>
      <c r="L3688" t="inlineStr">
        <is>
          <t>World Bank GNI + regional expenditure ratio estimate</t>
        </is>
      </c>
      <c r="M3688" t="inlineStr">
        <is>
          <t>2024-12-31</t>
        </is>
      </c>
      <c r="N3688" t="inlineStr">
        <is>
          <t>auto_ingest=world_bank_col_estimate; gni_annual=63880.0; year=2024; country_proxy=France; cohort=Western, Northern, and Southern Europe; city_cost_mult=0.85</t>
        </is>
      </c>
    </row>
    <row r="3689">
      <c r="A3689" t="inlineStr">
        <is>
          <t>fr-lyon</t>
        </is>
      </c>
      <c r="B3689" t="inlineStr">
        <is>
          <t>Lyon</t>
        </is>
      </c>
      <c r="C3689" t="inlineStr">
        <is>
          <t>France</t>
        </is>
      </c>
      <c r="D3689" t="inlineStr">
        <is>
          <t>Western, Northern, and Southern Europe</t>
        </is>
      </c>
      <c r="E3689" t="inlineStr">
        <is>
          <t>transit_cost</t>
        </is>
      </c>
      <c r="F3689" t="inlineStr">
        <is>
          <t>Transit cost</t>
        </is>
      </c>
      <c r="G3689" t="inlineStr">
        <is>
          <t>pressure</t>
        </is>
      </c>
      <c r="H3689" t="inlineStr">
        <is>
          <t>yes</t>
        </is>
      </c>
      <c r="I3689" t="inlineStr">
        <is>
          <t>226.24</t>
        </is>
      </c>
      <c r="J3689" t="inlineStr">
        <is>
          <t>world_bank_col_estimate</t>
        </is>
      </c>
      <c r="K3689" t="inlineStr">
        <is>
          <t>https://api.worldbank.org/v2/country/FRA/indicator/NY.GNP.PCAP.PP.CD?format=json&amp;mrv=10</t>
        </is>
      </c>
      <c r="L3689" t="inlineStr">
        <is>
          <t>World Bank GNI + regional expenditure ratio estimate</t>
        </is>
      </c>
      <c r="M3689" t="inlineStr">
        <is>
          <t>2024-12-31</t>
        </is>
      </c>
      <c r="N3689" t="inlineStr">
        <is>
          <t>auto_ingest=world_bank_col_estimate; gni_annual=63880.0; year=2024; country_proxy=France; cohort=Western, Northern, and Southern Europe; city_cost_mult=0.85</t>
        </is>
      </c>
    </row>
    <row r="3690">
      <c r="A3690" t="inlineStr">
        <is>
          <t>fr-lyon</t>
        </is>
      </c>
      <c r="B3690" t="inlineStr">
        <is>
          <t>Lyon</t>
        </is>
      </c>
      <c r="C3690" t="inlineStr">
        <is>
          <t>France</t>
        </is>
      </c>
      <c r="D3690" t="inlineStr">
        <is>
          <t>Western, Northern, and Southern Europe</t>
        </is>
      </c>
      <c r="E3690" t="inlineStr">
        <is>
          <t>internet_cost</t>
        </is>
      </c>
      <c r="F3690" t="inlineStr">
        <is>
          <t>Internet cost</t>
        </is>
      </c>
      <c r="G3690" t="inlineStr">
        <is>
          <t>pressure</t>
        </is>
      </c>
      <c r="H3690" t="inlineStr">
        <is>
          <t>yes</t>
        </is>
      </c>
      <c r="I3690" t="inlineStr">
        <is>
          <t>67.87</t>
        </is>
      </c>
      <c r="J3690" t="inlineStr">
        <is>
          <t>world_bank_col_estimate</t>
        </is>
      </c>
      <c r="K3690" t="inlineStr">
        <is>
          <t>https://api.worldbank.org/v2/country/FRA/indicator/NY.GNP.PCAP.PP.CD?format=json&amp;mrv=10</t>
        </is>
      </c>
      <c r="L3690" t="inlineStr">
        <is>
          <t>World Bank GNI + regional expenditure ratio estimate</t>
        </is>
      </c>
      <c r="M3690" t="inlineStr">
        <is>
          <t>2024-12-31</t>
        </is>
      </c>
      <c r="N3690" t="inlineStr">
        <is>
          <t>auto_ingest=world_bank_col_estimate; gni_annual=63880.0; year=2024; country_proxy=France; cohort=Western, Northern, and Southern Europe; city_cost_mult=0.85</t>
        </is>
      </c>
    </row>
    <row r="3691">
      <c r="A3691" t="inlineStr">
        <is>
          <t>fr-lyon</t>
        </is>
      </c>
      <c r="B3691" t="inlineStr">
        <is>
          <t>Lyon</t>
        </is>
      </c>
      <c r="C3691" t="inlineStr">
        <is>
          <t>France</t>
        </is>
      </c>
      <c r="D3691" t="inlineStr">
        <is>
          <t>Western, Northern, and Southern Europe</t>
        </is>
      </c>
      <c r="E3691" t="inlineStr">
        <is>
          <t>food_cost</t>
        </is>
      </c>
      <c r="F3691" t="inlineStr">
        <is>
          <t>Food cost</t>
        </is>
      </c>
      <c r="G3691" t="inlineStr">
        <is>
          <t>pressure</t>
        </is>
      </c>
      <c r="H3691" t="inlineStr">
        <is>
          <t>yes</t>
        </is>
      </c>
      <c r="I3691" t="inlineStr">
        <is>
          <t>678.72</t>
        </is>
      </c>
      <c r="J3691" t="inlineStr">
        <is>
          <t>world_bank_col_estimate</t>
        </is>
      </c>
      <c r="K3691" t="inlineStr">
        <is>
          <t>https://api.worldbank.org/v2/country/FRA/indicator/NY.GNP.PCAP.PP.CD?format=json&amp;mrv=10</t>
        </is>
      </c>
      <c r="L3691" t="inlineStr">
        <is>
          <t>World Bank GNI + regional expenditure ratio estimate</t>
        </is>
      </c>
      <c r="M3691" t="inlineStr">
        <is>
          <t>2024-12-31</t>
        </is>
      </c>
      <c r="N3691" t="inlineStr">
        <is>
          <t>auto_ingest=world_bank_col_estimate; gni_annual=63880.0; year=2024; country_proxy=France; cohort=Western, Northern, and Southern Europe; city_cost_mult=0.85</t>
        </is>
      </c>
    </row>
    <row r="3692">
      <c r="A3692" t="inlineStr">
        <is>
          <t>fr-lyon</t>
        </is>
      </c>
      <c r="B3692" t="inlineStr">
        <is>
          <t>Lyon</t>
        </is>
      </c>
      <c r="C3692" t="inlineStr">
        <is>
          <t>France</t>
        </is>
      </c>
      <c r="D3692" t="inlineStr">
        <is>
          <t>Western, Northern, and Southern Europe</t>
        </is>
      </c>
      <c r="E3692" t="inlineStr">
        <is>
          <t>housing_burden_raw</t>
        </is>
      </c>
      <c r="F3692" t="inlineStr">
        <is>
          <t>Housing burden raw</t>
        </is>
      </c>
      <c r="G3692" t="inlineStr">
        <is>
          <t>pressure</t>
        </is>
      </c>
      <c r="H3692" t="inlineStr">
        <is>
          <t>yes</t>
        </is>
      </c>
      <c r="I3692" t="inlineStr">
        <is>
          <t>29.75</t>
        </is>
      </c>
      <c r="J3692" t="inlineStr">
        <is>
          <t>derived</t>
        </is>
      </c>
      <c r="K3692" t="inlineStr">
        <is>
          <t>https://data.worldbank.org/indicator/NY.GNP.PCAP.PP.CD</t>
        </is>
      </c>
      <c r="L3692" t="inlineStr">
        <is>
          <t>Computed from city_inputs + country_context</t>
        </is>
      </c>
      <c r="M3692" t="inlineStr">
        <is>
          <t>2024-01-01</t>
        </is>
      </c>
      <c r="N3692" t="inlineStr">
        <is>
          <t>derived=rent/gross_income*100</t>
        </is>
      </c>
    </row>
    <row r="3693">
      <c r="A3693" t="inlineStr">
        <is>
          <t>fr-lyon</t>
        </is>
      </c>
      <c r="B3693" t="inlineStr">
        <is>
          <t>Lyon</t>
        </is>
      </c>
      <c r="C3693" t="inlineStr">
        <is>
          <t>France</t>
        </is>
      </c>
      <c r="D3693" t="inlineStr">
        <is>
          <t>Western, Northern, and Southern Europe</t>
        </is>
      </c>
      <c r="E3693" t="inlineStr">
        <is>
          <t>household_debt_burden_raw</t>
        </is>
      </c>
      <c r="F3693" t="inlineStr">
        <is>
          <t>Household debt burden raw</t>
        </is>
      </c>
      <c r="G3693" t="inlineStr">
        <is>
          <t>pressure</t>
        </is>
      </c>
      <c r="H3693" t="inlineStr">
        <is>
          <t>yes</t>
        </is>
      </c>
      <c r="I3693" t="inlineStr">
        <is>
          <t>103.9081</t>
        </is>
      </c>
      <c r="J3693" t="inlineStr">
        <is>
          <t>derived</t>
        </is>
      </c>
      <c r="K3693" t="inlineStr">
        <is>
          <t>https://data.worldbank.org/indicator/NY.GNP.PCAP.PP.CD</t>
        </is>
      </c>
      <c r="L3693" t="inlineStr">
        <is>
          <t>Computed from city_inputs + country_context</t>
        </is>
      </c>
      <c r="M3693" t="inlineStr">
        <is>
          <t>2024-01-01</t>
        </is>
      </c>
      <c r="N3693" t="inlineStr">
        <is>
          <t>derived=country_context.household_debt_proxy; country=France</t>
        </is>
      </c>
    </row>
    <row r="3694">
      <c r="A3694" t="inlineStr">
        <is>
          <t>fr-lyon</t>
        </is>
      </c>
      <c r="B3694" t="inlineStr">
        <is>
          <t>Lyon</t>
        </is>
      </c>
      <c r="C3694" t="inlineStr">
        <is>
          <t>France</t>
        </is>
      </c>
      <c r="D3694" t="inlineStr">
        <is>
          <t>Western, Northern, and Southern Europe</t>
        </is>
      </c>
      <c r="E3694" t="inlineStr">
        <is>
          <t>working_time_pressure_raw</t>
        </is>
      </c>
      <c r="F3694" t="inlineStr">
        <is>
          <t>Working time pressure raw</t>
        </is>
      </c>
      <c r="G3694" t="inlineStr">
        <is>
          <t>pressure</t>
        </is>
      </c>
      <c r="H3694" t="inlineStr">
        <is>
          <t>yes</t>
        </is>
      </c>
      <c r="I3694" t="inlineStr">
        <is>
          <t>35.49</t>
        </is>
      </c>
      <c r="J3694" t="inlineStr">
        <is>
          <t>ilo_ilostat</t>
        </is>
      </c>
      <c r="K3694" t="inlineStr">
        <is>
          <t>https://ilostat.ilo.org/data/indicator/?id=HOW_TEMP_SEX_ECO_NB_A&amp;ref_area=FRA</t>
        </is>
      </c>
      <c r="L3694" t="inlineStr">
        <is>
          <t>ILO ILOSTAT: Mean weekly hours actually worked per employed person</t>
        </is>
      </c>
      <c r="M3694" t="inlineStr">
        <is>
          <t>2024-12-31</t>
        </is>
      </c>
      <c r="N3694" t="inlineStr">
        <is>
          <t>auto_ingest=ilo_working_hours; indicator=HOW_TEMP_SEX_ECO_NB_A; year=2024; hours=35.49; country_proxy=France</t>
        </is>
      </c>
    </row>
    <row r="3695">
      <c r="A3695" t="inlineStr">
        <is>
          <t>fr-lyon</t>
        </is>
      </c>
      <c r="B3695" t="inlineStr">
        <is>
          <t>Lyon</t>
        </is>
      </c>
      <c r="C3695" t="inlineStr">
        <is>
          <t>France</t>
        </is>
      </c>
      <c r="D3695" t="inlineStr">
        <is>
          <t>Western, Northern, and Southern Europe</t>
        </is>
      </c>
      <c r="E3695" t="inlineStr">
        <is>
          <t>suicide_mental_strain_raw</t>
        </is>
      </c>
      <c r="F3695" t="inlineStr">
        <is>
          <t>Suicide or mental strain raw</t>
        </is>
      </c>
      <c r="G3695" t="inlineStr">
        <is>
          <t>pressure</t>
        </is>
      </c>
      <c r="H3695" t="inlineStr">
        <is>
          <t>yes</t>
        </is>
      </c>
      <c r="I3695" t="inlineStr">
        <is>
          <t>16.58</t>
        </is>
      </c>
      <c r="J3695" t="inlineStr">
        <is>
          <t>who_gho</t>
        </is>
      </c>
      <c r="K3695" t="inlineStr">
        <is>
          <t>https://www.who.int/data/gho/data/indicators/indicator-details/GHO/SDGSUICIDE</t>
        </is>
      </c>
      <c r="L3695" t="inlineStr">
        <is>
          <t>WHO GHO: Age-standardized suicide rate (per 100,000 population)</t>
        </is>
      </c>
      <c r="M3695" t="inlineStr">
        <is>
          <t>2021-12-31</t>
        </is>
      </c>
      <c r="N3695" t="inlineStr">
        <is>
          <t>auto_ingest=who_gho; indicator=SDGSUICIDE; year=2021; country_proxy=France</t>
        </is>
      </c>
    </row>
    <row r="3696">
      <c r="A3696" t="inlineStr">
        <is>
          <t>fr-lyon</t>
        </is>
      </c>
      <c r="B3696" t="inlineStr">
        <is>
          <t>Lyon</t>
        </is>
      </c>
      <c r="C3696" t="inlineStr">
        <is>
          <t>France</t>
        </is>
      </c>
      <c r="D3696" t="inlineStr">
        <is>
          <t>Western, Northern, and Southern Europe</t>
        </is>
      </c>
      <c r="E3696" t="inlineStr">
        <is>
          <t>personal_safety_raw</t>
        </is>
      </c>
      <c r="F3696" t="inlineStr">
        <is>
          <t>Personal safety raw</t>
        </is>
      </c>
      <c r="G3696" t="inlineStr">
        <is>
          <t>viability</t>
        </is>
      </c>
      <c r="H3696" t="inlineStr">
        <is>
          <t>yes</t>
        </is>
      </c>
      <c r="I3696" t="inlineStr">
        <is>
          <t>1.34</t>
        </is>
      </c>
      <c r="J3696" t="inlineStr">
        <is>
          <t>world_bank</t>
        </is>
      </c>
      <c r="K3696" t="inlineStr">
        <is>
          <t>https://api.worldbank.org/v2/country/FRA/indicator/VC.IHR.PSRC.P5?format=json&amp;mrv=10</t>
        </is>
      </c>
      <c r="L3696" t="inlineStr">
        <is>
          <t>UNODC via World Bank WDI: Intentional homicides (per 100,000 people)</t>
        </is>
      </c>
      <c r="M3696" t="inlineStr">
        <is>
          <t>2023-12-31</t>
        </is>
      </c>
      <c r="N3696" t="inlineStr">
        <is>
          <t>auto_ingest=unodc_safety; indicator=VC.IHR.PSRC.P5; year=2023; country_proxy=France</t>
        </is>
      </c>
    </row>
    <row r="3697">
      <c r="A3697" t="inlineStr">
        <is>
          <t>fr-lyon</t>
        </is>
      </c>
      <c r="B3697" t="inlineStr">
        <is>
          <t>Lyon</t>
        </is>
      </c>
      <c r="C3697" t="inlineStr">
        <is>
          <t>France</t>
        </is>
      </c>
      <c r="D3697" t="inlineStr">
        <is>
          <t>Western, Northern, and Southern Europe</t>
        </is>
      </c>
      <c r="E3697" t="inlineStr">
        <is>
          <t>transit_access_commute_raw</t>
        </is>
      </c>
      <c r="F3697" t="inlineStr">
        <is>
          <t>Transit access and commute raw</t>
        </is>
      </c>
      <c r="G3697" t="inlineStr">
        <is>
          <t>viability</t>
        </is>
      </c>
      <c r="H3697" t="inlineStr">
        <is>
          <t>yes</t>
        </is>
      </c>
      <c r="I3697" t="inlineStr"/>
      <c r="J3697" t="inlineStr"/>
      <c r="K3697" t="inlineStr"/>
      <c r="L3697" t="inlineStr"/>
      <c r="M3697" t="inlineStr"/>
      <c r="N3697" t="inlineStr"/>
    </row>
    <row r="3698">
      <c r="A3698" t="inlineStr">
        <is>
          <t>fr-lyon</t>
        </is>
      </c>
      <c r="B3698" t="inlineStr">
        <is>
          <t>Lyon</t>
        </is>
      </c>
      <c r="C3698" t="inlineStr">
        <is>
          <t>France</t>
        </is>
      </c>
      <c r="D3698" t="inlineStr">
        <is>
          <t>Western, Northern, and Southern Europe</t>
        </is>
      </c>
      <c r="E3698" t="inlineStr">
        <is>
          <t>clean_air_raw</t>
        </is>
      </c>
      <c r="F3698" t="inlineStr">
        <is>
          <t>Clean air raw</t>
        </is>
      </c>
      <c r="G3698" t="inlineStr">
        <is>
          <t>viability</t>
        </is>
      </c>
      <c r="H3698" t="inlineStr">
        <is>
          <t>yes</t>
        </is>
      </c>
      <c r="I3698" t="inlineStr"/>
      <c r="J3698" t="inlineStr"/>
      <c r="K3698" t="inlineStr"/>
      <c r="L3698" t="inlineStr"/>
      <c r="M3698" t="inlineStr"/>
      <c r="N3698" t="inlineStr"/>
    </row>
    <row r="3699">
      <c r="A3699" t="inlineStr">
        <is>
          <t>fr-lyon</t>
        </is>
      </c>
      <c r="B3699" t="inlineStr">
        <is>
          <t>Lyon</t>
        </is>
      </c>
      <c r="C3699" t="inlineStr">
        <is>
          <t>France</t>
        </is>
      </c>
      <c r="D3699" t="inlineStr">
        <is>
          <t>Western, Northern, and Southern Europe</t>
        </is>
      </c>
      <c r="E3699" t="inlineStr">
        <is>
          <t>water_sanitation_utility_raw</t>
        </is>
      </c>
      <c r="F3699" t="inlineStr">
        <is>
          <t>Water, sanitation, and utility raw</t>
        </is>
      </c>
      <c r="G3699" t="inlineStr">
        <is>
          <t>viability</t>
        </is>
      </c>
      <c r="H3699" t="inlineStr">
        <is>
          <t>yes</t>
        </is>
      </c>
      <c r="I3699" t="inlineStr">
        <is>
          <t>99.71</t>
        </is>
      </c>
      <c r="J3699" t="inlineStr">
        <is>
          <t>world_bank</t>
        </is>
      </c>
      <c r="K3699" t="inlineStr">
        <is>
          <t>https://api.worldbank.org/v2/country/FRA/indicator/SH.H2O.SMDW.ZS?format=json&amp;mrv=10</t>
        </is>
      </c>
      <c r="L3699" t="inlineStr">
        <is>
          <t>World Bank WDI: People using safely managed drinking water services (% of population)</t>
        </is>
      </c>
      <c r="M3699" t="inlineStr">
        <is>
          <t>2024-12-31</t>
        </is>
      </c>
      <c r="N3699" t="inlineStr">
        <is>
          <t>auto_ingest=world_bank_proxy; indicator=SH.H2O.SMDW.ZS; year=2024; country_proxy=France</t>
        </is>
      </c>
    </row>
    <row r="3700">
      <c r="A3700" t="inlineStr">
        <is>
          <t>fr-lyon</t>
        </is>
      </c>
      <c r="B3700" t="inlineStr">
        <is>
          <t>Lyon</t>
        </is>
      </c>
      <c r="C3700" t="inlineStr">
        <is>
          <t>France</t>
        </is>
      </c>
      <c r="D3700" t="inlineStr">
        <is>
          <t>Western, Northern, and Southern Europe</t>
        </is>
      </c>
      <c r="E3700" t="inlineStr">
        <is>
          <t>digital_infrastructure_raw</t>
        </is>
      </c>
      <c r="F3700" t="inlineStr">
        <is>
          <t>Digital infrastructure raw</t>
        </is>
      </c>
      <c r="G3700" t="inlineStr">
        <is>
          <t>viability</t>
        </is>
      </c>
      <c r="H3700" t="inlineStr">
        <is>
          <t>yes</t>
        </is>
      </c>
      <c r="I3700" t="inlineStr">
        <is>
          <t>48.67</t>
        </is>
      </c>
      <c r="J3700" t="inlineStr">
        <is>
          <t>world_bank</t>
        </is>
      </c>
      <c r="K3700" t="inlineStr">
        <is>
          <t>https://api.worldbank.org/v2/country/FRA/indicator/IT.NET.BBND.P2?format=json&amp;mrv=10</t>
        </is>
      </c>
      <c r="L3700" t="inlineStr">
        <is>
          <t>World Bank WDI: Fixed broadband subscriptions (per 100 people)</t>
        </is>
      </c>
      <c r="M3700" t="inlineStr">
        <is>
          <t>2023-12-31</t>
        </is>
      </c>
      <c r="N3700" t="inlineStr">
        <is>
          <t>auto_ingest=world_bank_proxy; indicator=IT.NET.BBND.P2; year=2023; country_proxy=France</t>
        </is>
      </c>
    </row>
    <row r="3701">
      <c r="A3701" t="inlineStr">
        <is>
          <t>fr-lyon</t>
        </is>
      </c>
      <c r="B3701" t="inlineStr">
        <is>
          <t>Lyon</t>
        </is>
      </c>
      <c r="C3701" t="inlineStr">
        <is>
          <t>France</t>
        </is>
      </c>
      <c r="D3701" t="inlineStr">
        <is>
          <t>Western, Northern, and Southern Europe</t>
        </is>
      </c>
      <c r="E3701" t="inlineStr">
        <is>
          <t>climate_sunlight_livability_raw</t>
        </is>
      </c>
      <c r="F3701" t="inlineStr">
        <is>
          <t>Climate and sunlight livability raw</t>
        </is>
      </c>
      <c r="G3701" t="inlineStr">
        <is>
          <t>viability</t>
        </is>
      </c>
      <c r="H3701" t="inlineStr">
        <is>
          <t>yes</t>
        </is>
      </c>
      <c r="I3701" t="inlineStr">
        <is>
          <t>56</t>
        </is>
      </c>
      <c r="J3701" t="inlineStr">
        <is>
          <t>wmo_natl_met</t>
        </is>
      </c>
      <c r="K3701" t="inlineStr">
        <is>
          <t>https://worldweather.wmo.int</t>
        </is>
      </c>
      <c r="L3701" t="inlineStr">
        <is>
          <t>WMO/National Met: Climate livability composite</t>
        </is>
      </c>
      <c r="M3701" t="inlineStr">
        <is>
          <t>2024-12-31</t>
        </is>
      </c>
      <c r="N3701" t="inlineStr">
        <is>
          <t>auto_seed=climate_composite; 2000 sun hrs, 12C mean</t>
        </is>
      </c>
    </row>
    <row r="3702">
      <c r="A3702" t="inlineStr">
        <is>
          <t>fr-lyon</t>
        </is>
      </c>
      <c r="B3702" t="inlineStr">
        <is>
          <t>Lyon</t>
        </is>
      </c>
      <c r="C3702" t="inlineStr">
        <is>
          <t>France</t>
        </is>
      </c>
      <c r="D3702" t="inlineStr">
        <is>
          <t>Western, Northern, and Southern Europe</t>
        </is>
      </c>
      <c r="E3702" t="inlineStr">
        <is>
          <t>healthcare_quality_raw</t>
        </is>
      </c>
      <c r="F3702" t="inlineStr">
        <is>
          <t>Healthcare quality raw</t>
        </is>
      </c>
      <c r="G3702" t="inlineStr">
        <is>
          <t>capability</t>
        </is>
      </c>
      <c r="H3702" t="inlineStr">
        <is>
          <t>yes</t>
        </is>
      </c>
      <c r="I3702" t="inlineStr">
        <is>
          <t>82.0</t>
        </is>
      </c>
      <c r="J3702" t="inlineStr">
        <is>
          <t>who_gho</t>
        </is>
      </c>
      <c r="K3702" t="inlineStr">
        <is>
          <t>https://www.who.int/data/gho/data/indicators/indicator-details/GHO/UHC_INDEX_REPORTED</t>
        </is>
      </c>
      <c r="L3702" t="inlineStr">
        <is>
          <t>WHO GHO: UHC Service Coverage Index</t>
        </is>
      </c>
      <c r="M3702" t="inlineStr">
        <is>
          <t>2023-12-31</t>
        </is>
      </c>
      <c r="N3702" t="inlineStr">
        <is>
          <t>auto_ingest=who_gho; indicator=UHC_INDEX_REPORTED; year=2023; country_proxy=France</t>
        </is>
      </c>
    </row>
    <row r="3703">
      <c r="A3703" t="inlineStr">
        <is>
          <t>fr-lyon</t>
        </is>
      </c>
      <c r="B3703" t="inlineStr">
        <is>
          <t>Lyon</t>
        </is>
      </c>
      <c r="C3703" t="inlineStr">
        <is>
          <t>France</t>
        </is>
      </c>
      <c r="D3703" t="inlineStr">
        <is>
          <t>Western, Northern, and Southern Europe</t>
        </is>
      </c>
      <c r="E3703" t="inlineStr">
        <is>
          <t>education_quality_raw</t>
        </is>
      </c>
      <c r="F3703" t="inlineStr">
        <is>
          <t>Education quality raw</t>
        </is>
      </c>
      <c r="G3703" t="inlineStr">
        <is>
          <t>capability</t>
        </is>
      </c>
      <c r="H3703" t="inlineStr">
        <is>
          <t>yes</t>
        </is>
      </c>
      <c r="I3703" t="inlineStr">
        <is>
          <t>70.45</t>
        </is>
      </c>
      <c r="J3703" t="inlineStr">
        <is>
          <t>world_bank</t>
        </is>
      </c>
      <c r="K3703" t="inlineStr">
        <is>
          <t>https://api.worldbank.org/v2/country/FRA/indicator/SE.TER.ENRR?format=json&amp;mrv=10</t>
        </is>
      </c>
      <c r="L3703" t="inlineStr">
        <is>
          <t>World Bank WDI: School enrollment, tertiary (% gross)</t>
        </is>
      </c>
      <c r="M3703" t="inlineStr">
        <is>
          <t>2023-12-31</t>
        </is>
      </c>
      <c r="N3703" t="inlineStr">
        <is>
          <t>auto_ingest=world_bank_proxy; indicator=SE.TER.ENRR; year=2023; country_proxy=France</t>
        </is>
      </c>
    </row>
    <row r="3704">
      <c r="A3704" t="inlineStr">
        <is>
          <t>fr-lyon</t>
        </is>
      </c>
      <c r="B3704" t="inlineStr">
        <is>
          <t>Lyon</t>
        </is>
      </c>
      <c r="C3704" t="inlineStr">
        <is>
          <t>France</t>
        </is>
      </c>
      <c r="D3704" t="inlineStr">
        <is>
          <t>Western, Northern, and Southern Europe</t>
        </is>
      </c>
      <c r="E3704" t="inlineStr">
        <is>
          <t>equal_opportunity_raw</t>
        </is>
      </c>
      <c r="F3704" t="inlineStr">
        <is>
          <t>Equal opportunity raw</t>
        </is>
      </c>
      <c r="G3704" t="inlineStr">
        <is>
          <t>capability</t>
        </is>
      </c>
      <c r="H3704" t="inlineStr">
        <is>
          <t>yes</t>
        </is>
      </c>
      <c r="I3704" t="inlineStr">
        <is>
          <t>31.8</t>
        </is>
      </c>
      <c r="J3704" t="inlineStr">
        <is>
          <t>world_bank</t>
        </is>
      </c>
      <c r="K3704" t="inlineStr">
        <is>
          <t>https://api.worldbank.org/v2/country/FRA/indicator/SI.POV.GINI?format=json&amp;mrv=10</t>
        </is>
      </c>
      <c r="L3704" t="inlineStr">
        <is>
          <t>World Bank WDI: Gini index</t>
        </is>
      </c>
      <c r="M3704" t="inlineStr">
        <is>
          <t>2023-12-31</t>
        </is>
      </c>
      <c r="N3704" t="inlineStr">
        <is>
          <t>auto_ingest=world_bank_capability; indicator=SI.POV.GINI; year=2023; country_proxy=France</t>
        </is>
      </c>
    </row>
    <row r="3705">
      <c r="A3705" t="inlineStr">
        <is>
          <t>fr-lyon</t>
        </is>
      </c>
      <c r="B3705" t="inlineStr">
        <is>
          <t>Lyon</t>
        </is>
      </c>
      <c r="C3705" t="inlineStr">
        <is>
          <t>France</t>
        </is>
      </c>
      <c r="D3705" t="inlineStr">
        <is>
          <t>Western, Northern, and Southern Europe</t>
        </is>
      </c>
      <c r="E3705" t="inlineStr">
        <is>
          <t>hospitality_belonging_raw</t>
        </is>
      </c>
      <c r="F3705" t="inlineStr">
        <is>
          <t>Hospitality and belonging raw</t>
        </is>
      </c>
      <c r="G3705" t="inlineStr">
        <is>
          <t>community</t>
        </is>
      </c>
      <c r="H3705" t="inlineStr">
        <is>
          <t>yes</t>
        </is>
      </c>
      <c r="I3705" t="inlineStr">
        <is>
          <t>51.34</t>
        </is>
      </c>
      <c r="J3705" t="inlineStr">
        <is>
          <t>world_bank</t>
        </is>
      </c>
      <c r="K3705" t="inlineStr">
        <is>
          <t>https://api.worldbank.org/v2/country/FRA/indicator/SM.POP.NETM?format=json&amp;mrv=10</t>
        </is>
      </c>
      <c r="L3705" t="inlineStr">
        <is>
          <t>World Bank WDI: Net migration (proxy for hospitality/belonging — positive = welcoming)</t>
        </is>
      </c>
      <c r="M3705" t="inlineStr">
        <is>
          <t>2025-12-31</t>
        </is>
      </c>
      <c r="N3705" t="inlineStr">
        <is>
          <t>auto_ingest=world_bank_proxy; proxy=net_migration_hospitality; indicator=SM.POP.NETM; year=2025; country_proxy=France</t>
        </is>
      </c>
    </row>
    <row r="3706">
      <c r="A3706" t="inlineStr">
        <is>
          <t>fr-lyon</t>
        </is>
      </c>
      <c r="B3706" t="inlineStr">
        <is>
          <t>Lyon</t>
        </is>
      </c>
      <c r="C3706" t="inlineStr">
        <is>
          <t>France</t>
        </is>
      </c>
      <c r="D3706" t="inlineStr">
        <is>
          <t>Western, Northern, and Southern Europe</t>
        </is>
      </c>
      <c r="E3706" t="inlineStr">
        <is>
          <t>tolerance_pluralism_raw</t>
        </is>
      </c>
      <c r="F3706" t="inlineStr">
        <is>
          <t>Tolerance and pluralism raw</t>
        </is>
      </c>
      <c r="G3706" t="inlineStr">
        <is>
          <t>community</t>
        </is>
      </c>
      <c r="H3706" t="inlineStr">
        <is>
          <t>yes</t>
        </is>
      </c>
      <c r="I3706" t="inlineStr">
        <is>
          <t>36.05</t>
        </is>
      </c>
      <c r="J3706" t="inlineStr">
        <is>
          <t>world_bank</t>
        </is>
      </c>
      <c r="K3706" t="inlineStr">
        <is>
          <t>https://api.worldbank.org/v2/country/FRA/indicator/SG.GEN.PARL.ZS?format=json&amp;mrv=10</t>
        </is>
      </c>
      <c r="L3706" t="inlineStr">
        <is>
          <t>World Bank WDI: Proportion of seats held by women in national parliaments (%)</t>
        </is>
      </c>
      <c r="M3706" t="inlineStr">
        <is>
          <t>2024-12-31</t>
        </is>
      </c>
      <c r="N3706" t="inlineStr">
        <is>
          <t>auto_ingest=world_bank_proxy; proxy=gender_parity_parliament; indicator=SG.GEN.PARL.ZS; year=2024; country_proxy=France</t>
        </is>
      </c>
    </row>
    <row r="3707">
      <c r="A3707" t="inlineStr">
        <is>
          <t>fr-lyon</t>
        </is>
      </c>
      <c r="B3707" t="inlineStr">
        <is>
          <t>Lyon</t>
        </is>
      </c>
      <c r="C3707" t="inlineStr">
        <is>
          <t>France</t>
        </is>
      </c>
      <c r="D3707" t="inlineStr">
        <is>
          <t>Western, Northern, and Southern Europe</t>
        </is>
      </c>
      <c r="E3707" t="inlineStr">
        <is>
          <t>cultural_public_life_raw</t>
        </is>
      </c>
      <c r="F3707" t="inlineStr">
        <is>
          <t>Cultural public life raw</t>
        </is>
      </c>
      <c r="G3707" t="inlineStr">
        <is>
          <t>community</t>
        </is>
      </c>
      <c r="H3707" t="inlineStr">
        <is>
          <t>yes</t>
        </is>
      </c>
      <c r="I3707" t="inlineStr">
        <is>
          <t>1708.33</t>
        </is>
      </c>
      <c r="J3707" t="inlineStr">
        <is>
          <t>world_bank</t>
        </is>
      </c>
      <c r="K3707" t="inlineStr">
        <is>
          <t>https://api.worldbank.org/v2/country/FRA/indicator/ST.INT.ARVL?format=json&amp;mrv=10</t>
        </is>
      </c>
      <c r="L3707" t="inlineStr">
        <is>
          <t>World Bank WDI: International tourism arrivals per 1 000 population</t>
        </is>
      </c>
      <c r="M3707" t="inlineStr">
        <is>
          <t>2020-12-31</t>
        </is>
      </c>
      <c r="N3707" t="inlineStr">
        <is>
          <t>auto_ingest=cultural_life_proxy; indicator=ST.INT.ARVL; norm=per_1000_pop; year=2020; country_proxy=France</t>
        </is>
      </c>
    </row>
    <row r="3708">
      <c r="A3708" t="inlineStr">
        <is>
          <t>fr-lyon</t>
        </is>
      </c>
      <c r="B3708" t="inlineStr">
        <is>
          <t>Lyon</t>
        </is>
      </c>
      <c r="C3708" t="inlineStr">
        <is>
          <t>France</t>
        </is>
      </c>
      <c r="D3708" t="inlineStr">
        <is>
          <t>Western, Northern, and Southern Europe</t>
        </is>
      </c>
      <c r="E3708" t="inlineStr">
        <is>
          <t>birth_rate_optimism_raw</t>
        </is>
      </c>
      <c r="F3708" t="inlineStr">
        <is>
          <t>Birth rate and societal optimism raw</t>
        </is>
      </c>
      <c r="G3708" t="inlineStr">
        <is>
          <t>community</t>
        </is>
      </c>
      <c r="H3708" t="inlineStr">
        <is>
          <t>yes</t>
        </is>
      </c>
      <c r="I3708" t="inlineStr">
        <is>
          <t>1.68</t>
        </is>
      </c>
      <c r="J3708" t="inlineStr">
        <is>
          <t>world_bank</t>
        </is>
      </c>
      <c r="K3708" t="inlineStr">
        <is>
          <t>https://data.worldbank.org/indicator/SP.DYN.TFRT.IN</t>
        </is>
      </c>
      <c r="L3708" t="inlineStr">
        <is>
          <t>World Bank Total Fertility Rate 2023</t>
        </is>
      </c>
      <c r="M3708" t="inlineStr">
        <is>
          <t>2024-01-01</t>
        </is>
      </c>
      <c r="N3708" t="inlineStr"/>
    </row>
    <row r="3709">
      <c r="A3709" t="inlineStr">
        <is>
          <t>fr-lyon</t>
        </is>
      </c>
      <c r="B3709" t="inlineStr">
        <is>
          <t>Lyon</t>
        </is>
      </c>
      <c r="C3709" t="inlineStr">
        <is>
          <t>France</t>
        </is>
      </c>
      <c r="D3709" t="inlineStr">
        <is>
          <t>Western, Northern, and Southern Europe</t>
        </is>
      </c>
      <c r="E3709" t="inlineStr">
        <is>
          <t>entrepreneurial_dynamism_raw</t>
        </is>
      </c>
      <c r="F3709" t="inlineStr">
        <is>
          <t>Entrepreneurial dynamism raw</t>
        </is>
      </c>
      <c r="G3709" t="inlineStr">
        <is>
          <t>creative</t>
        </is>
      </c>
      <c r="H3709" t="inlineStr">
        <is>
          <t>yes</t>
        </is>
      </c>
      <c r="I3709" t="inlineStr">
        <is>
          <t>6.71</t>
        </is>
      </c>
      <c r="J3709" t="inlineStr">
        <is>
          <t>world_bank</t>
        </is>
      </c>
      <c r="K3709" t="inlineStr">
        <is>
          <t>https://api.worldbank.org/v2/country/FRA/indicator/IC.BUS.NDNS.ZS?format=json&amp;mrv=10</t>
        </is>
      </c>
      <c r="L3709" t="inlineStr">
        <is>
          <t>World Bank WDI: New business density (new registrations per 1,000 people ages 15-64)</t>
        </is>
      </c>
      <c r="M3709" t="inlineStr">
        <is>
          <t>2021-12-31</t>
        </is>
      </c>
      <c r="N3709" t="inlineStr">
        <is>
          <t>auto_ingest=world_bank_creative_extended; indicator=IC.BUS.NDNS.ZS; year=2021; country_proxy=France</t>
        </is>
      </c>
    </row>
    <row r="3710">
      <c r="A3710" t="inlineStr">
        <is>
          <t>fr-lyon</t>
        </is>
      </c>
      <c r="B3710" t="inlineStr">
        <is>
          <t>Lyon</t>
        </is>
      </c>
      <c r="C3710" t="inlineStr">
        <is>
          <t>France</t>
        </is>
      </c>
      <c r="D3710" t="inlineStr">
        <is>
          <t>Western, Northern, and Southern Europe</t>
        </is>
      </c>
      <c r="E3710" t="inlineStr">
        <is>
          <t>innovation_research_intensity_raw</t>
        </is>
      </c>
      <c r="F3710" t="inlineStr">
        <is>
          <t>Innovation and research raw</t>
        </is>
      </c>
      <c r="G3710" t="inlineStr">
        <is>
          <t>creative</t>
        </is>
      </c>
      <c r="H3710" t="inlineStr">
        <is>
          <t>yes</t>
        </is>
      </c>
      <c r="I3710" t="inlineStr">
        <is>
          <t>2.23</t>
        </is>
      </c>
      <c r="J3710" t="inlineStr">
        <is>
          <t>world_bank</t>
        </is>
      </c>
      <c r="K3710" t="inlineStr">
        <is>
          <t>https://api.worldbank.org/v2/country/FRA/indicator/GB.XPD.RSDV.GD.ZS?format=json&amp;mrv=10</t>
        </is>
      </c>
      <c r="L3710" t="inlineStr">
        <is>
          <t>World Bank WDI: Research and development expenditure (% of GDP)</t>
        </is>
      </c>
      <c r="M3710" t="inlineStr">
        <is>
          <t>2022-12-31</t>
        </is>
      </c>
      <c r="N3710" t="inlineStr">
        <is>
          <t>auto_ingest=world_bank_creative_extended; indicator=GB.XPD.RSDV.GD.ZS; year=2022; country_proxy=France</t>
        </is>
      </c>
    </row>
    <row r="3711">
      <c r="A3711" t="inlineStr">
        <is>
          <t>fr-lyon</t>
        </is>
      </c>
      <c r="B3711" t="inlineStr">
        <is>
          <t>Lyon</t>
        </is>
      </c>
      <c r="C3711" t="inlineStr">
        <is>
          <t>France</t>
        </is>
      </c>
      <c r="D3711" t="inlineStr">
        <is>
          <t>Western, Northern, and Southern Europe</t>
        </is>
      </c>
      <c r="E3711" t="inlineStr">
        <is>
          <t>investment_signal_raw</t>
        </is>
      </c>
      <c r="F3711" t="inlineStr">
        <is>
          <t>Investment signal raw</t>
        </is>
      </c>
      <c r="G3711" t="inlineStr">
        <is>
          <t>creative</t>
        </is>
      </c>
      <c r="H3711" t="inlineStr">
        <is>
          <t>yes</t>
        </is>
      </c>
      <c r="I3711" t="inlineStr">
        <is>
          <t>1.65</t>
        </is>
      </c>
      <c r="J3711" t="inlineStr">
        <is>
          <t>world_bank</t>
        </is>
      </c>
      <c r="K3711" t="inlineStr">
        <is>
          <t>https://api.worldbank.org/v2/country/FRA/indicator/BX.KLT.DINV.WD.GD.ZS?format=json&amp;mrv=10</t>
        </is>
      </c>
      <c r="L3711" t="inlineStr">
        <is>
          <t>World Bank WDI: Foreign direct investment, net inflows (% of GDP)</t>
        </is>
      </c>
      <c r="M3711" t="inlineStr">
        <is>
          <t>2024-12-31</t>
        </is>
      </c>
      <c r="N3711" t="inlineStr">
        <is>
          <t>auto_ingest=world_bank_creative_extended; indicator=BX.KLT.DINV.WD.GD.ZS; year=2024; country_proxy=France</t>
        </is>
      </c>
    </row>
    <row r="3712">
      <c r="A3712" t="inlineStr">
        <is>
          <t>fr-lyon</t>
        </is>
      </c>
      <c r="B3712" t="inlineStr">
        <is>
          <t>Lyon</t>
        </is>
      </c>
      <c r="C3712" t="inlineStr">
        <is>
          <t>France</t>
        </is>
      </c>
      <c r="D3712" t="inlineStr">
        <is>
          <t>Western, Northern, and Southern Europe</t>
        </is>
      </c>
      <c r="E3712" t="inlineStr">
        <is>
          <t>administrative_investment_friction_raw</t>
        </is>
      </c>
      <c r="F3712" t="inlineStr">
        <is>
          <t>Administrative investment friction raw</t>
        </is>
      </c>
      <c r="G3712" t="inlineStr">
        <is>
          <t>creative</t>
        </is>
      </c>
      <c r="H3712" t="inlineStr">
        <is>
          <t>yes</t>
        </is>
      </c>
      <c r="I3712" t="inlineStr">
        <is>
          <t>1.35</t>
        </is>
      </c>
      <c r="J3712" t="inlineStr">
        <is>
          <t>world_bank</t>
        </is>
      </c>
      <c r="K3712" t="inlineStr">
        <is>
          <t>https://api.worldbank.org/v2/country/FRA/indicator/RQ.EST?format=json&amp;mrv=10</t>
        </is>
      </c>
      <c r="L3712" t="inlineStr">
        <is>
          <t>World Bank WGI: Regulatory Quality (inverted as friction proxy)</t>
        </is>
      </c>
      <c r="M3712" t="inlineStr">
        <is>
          <t>2023-12-31</t>
        </is>
      </c>
      <c r="N3712" t="inlineStr">
        <is>
          <t>auto_ingest=world_bank_business_friction; indicator=RQ.EST; raw_rq=1.15350544452667; friction=1.35; year=2023; country_proxy=France</t>
        </is>
      </c>
    </row>
    <row r="3713">
      <c r="A3713" t="inlineStr">
        <is>
          <t>fr-lyon</t>
        </is>
      </c>
      <c r="B3713" t="inlineStr">
        <is>
          <t>Lyon</t>
        </is>
      </c>
      <c r="C3713" t="inlineStr">
        <is>
          <t>France</t>
        </is>
      </c>
      <c r="D3713" t="inlineStr">
        <is>
          <t>Western, Northern, and Southern Europe</t>
        </is>
      </c>
      <c r="E3713" t="inlineStr">
        <is>
          <t>visitor_flow_context_raw</t>
        </is>
      </c>
      <c r="F3713" t="inlineStr">
        <is>
          <t>Visitor flow context raw</t>
        </is>
      </c>
      <c r="G3713" t="inlineStr">
        <is>
          <t>creative</t>
        </is>
      </c>
      <c r="H3713" t="inlineStr">
        <is>
          <t>no</t>
        </is>
      </c>
      <c r="I3713" t="inlineStr"/>
      <c r="J3713" t="inlineStr"/>
      <c r="K3713" t="inlineStr"/>
      <c r="L3713" t="inlineStr"/>
      <c r="M3713" t="inlineStr"/>
      <c r="N3713" t="inlineStr"/>
    </row>
    <row r="3714">
      <c r="A3714" t="inlineStr">
        <is>
          <t>es-valencia</t>
        </is>
      </c>
      <c r="B3714" t="inlineStr">
        <is>
          <t>Valencia</t>
        </is>
      </c>
      <c r="C3714" t="inlineStr">
        <is>
          <t>Spain</t>
        </is>
      </c>
      <c r="D3714" t="inlineStr">
        <is>
          <t>Western, Northern, and Southern Europe</t>
        </is>
      </c>
      <c r="E3714" t="inlineStr">
        <is>
          <t>gross_income</t>
        </is>
      </c>
      <c r="F3714" t="inlineStr">
        <is>
          <t>Gross income</t>
        </is>
      </c>
      <c r="G3714" t="inlineStr">
        <is>
          <t>pressure</t>
        </is>
      </c>
      <c r="H3714" t="inlineStr">
        <is>
          <t>yes</t>
        </is>
      </c>
      <c r="I3714" t="inlineStr">
        <is>
          <t>4805.83</t>
        </is>
      </c>
      <c r="J3714" t="inlineStr">
        <is>
          <t>world_bank_col_estimate</t>
        </is>
      </c>
      <c r="K3714" t="inlineStr">
        <is>
          <t>https://api.worldbank.org/v2/country/ESP/indicator/NY.GNP.PCAP.PP.CD?format=json&amp;mrv=10</t>
        </is>
      </c>
      <c r="L3714" t="inlineStr">
        <is>
          <t>World Bank WDI: GNI per capita PPP (monthly USD)</t>
        </is>
      </c>
      <c r="M3714" t="inlineStr">
        <is>
          <t>2024-12-31</t>
        </is>
      </c>
      <c r="N3714" t="inlineStr">
        <is>
          <t>auto_ingest=world_bank_col_estimate; gni_annual=57670.0; year=2024; country_proxy=Spain; cohort=Western, Northern, and Southern Europe</t>
        </is>
      </c>
    </row>
    <row r="3715">
      <c r="A3715" t="inlineStr">
        <is>
          <t>es-valencia</t>
        </is>
      </c>
      <c r="B3715" t="inlineStr">
        <is>
          <t>Valencia</t>
        </is>
      </c>
      <c r="C3715" t="inlineStr">
        <is>
          <t>Spain</t>
        </is>
      </c>
      <c r="D3715" t="inlineStr">
        <is>
          <t>Western, Northern, and Southern Europe</t>
        </is>
      </c>
      <c r="E3715" t="inlineStr">
        <is>
          <t>di_ppp_raw</t>
        </is>
      </c>
      <c r="F3715" t="inlineStr">
        <is>
          <t>Disposable income PPP (Raw)</t>
        </is>
      </c>
      <c r="G3715" t="inlineStr">
        <is>
          <t>pressure</t>
        </is>
      </c>
      <c r="H3715" t="inlineStr">
        <is>
          <t>yes</t>
        </is>
      </c>
      <c r="I3715" t="inlineStr"/>
      <c r="J3715" t="inlineStr"/>
      <c r="K3715" t="inlineStr"/>
      <c r="L3715" t="inlineStr"/>
      <c r="M3715" t="inlineStr"/>
      <c r="N3715" t="inlineStr"/>
    </row>
    <row r="3716">
      <c r="A3716" t="inlineStr">
        <is>
          <t>es-valencia</t>
        </is>
      </c>
      <c r="B3716" t="inlineStr">
        <is>
          <t>Valencia</t>
        </is>
      </c>
      <c r="C3716" t="inlineStr">
        <is>
          <t>Spain</t>
        </is>
      </c>
      <c r="D3716" t="inlineStr">
        <is>
          <t>Western, Northern, and Southern Europe</t>
        </is>
      </c>
      <c r="E3716" t="inlineStr">
        <is>
          <t>rent</t>
        </is>
      </c>
      <c r="F3716" t="inlineStr">
        <is>
          <t>Rent</t>
        </is>
      </c>
      <c r="G3716" t="inlineStr">
        <is>
          <t>pressure</t>
        </is>
      </c>
      <c r="H3716" t="inlineStr">
        <is>
          <t>yes</t>
        </is>
      </c>
      <c r="I3716" t="inlineStr">
        <is>
          <t>1429.73</t>
        </is>
      </c>
      <c r="J3716" t="inlineStr">
        <is>
          <t>world_bank_col_estimate</t>
        </is>
      </c>
      <c r="K3716" t="inlineStr">
        <is>
          <t>https://api.worldbank.org/v2/country/ESP/indicator/NY.GNP.PCAP.PP.CD?format=json&amp;mrv=10</t>
        </is>
      </c>
      <c r="L3716" t="inlineStr">
        <is>
          <t>World Bank GNI + regional expenditure ratio estimate</t>
        </is>
      </c>
      <c r="M3716" t="inlineStr">
        <is>
          <t>2024-12-31</t>
        </is>
      </c>
      <c r="N3716" t="inlineStr">
        <is>
          <t>auto_ingest=world_bank_col_estimate; gni_annual=57670.0; year=2024; country_proxy=Spain; cohort=Western, Northern, and Southern Europe; city_cost_mult=0.85</t>
        </is>
      </c>
    </row>
    <row r="3717">
      <c r="A3717" t="inlineStr">
        <is>
          <t>es-valencia</t>
        </is>
      </c>
      <c r="B3717" t="inlineStr">
        <is>
          <t>Valencia</t>
        </is>
      </c>
      <c r="C3717" t="inlineStr">
        <is>
          <t>Spain</t>
        </is>
      </c>
      <c r="D3717" t="inlineStr">
        <is>
          <t>Western, Northern, and Southern Europe</t>
        </is>
      </c>
      <c r="E3717" t="inlineStr">
        <is>
          <t>utilities</t>
        </is>
      </c>
      <c r="F3717" t="inlineStr">
        <is>
          <t>Utilities</t>
        </is>
      </c>
      <c r="G3717" t="inlineStr">
        <is>
          <t>pressure</t>
        </is>
      </c>
      <c r="H3717" t="inlineStr">
        <is>
          <t>yes</t>
        </is>
      </c>
      <c r="I3717" t="inlineStr">
        <is>
          <t>285.95</t>
        </is>
      </c>
      <c r="J3717" t="inlineStr">
        <is>
          <t>world_bank_col_estimate</t>
        </is>
      </c>
      <c r="K3717" t="inlineStr">
        <is>
          <t>https://api.worldbank.org/v2/country/ESP/indicator/NY.GNP.PCAP.PP.CD?format=json&amp;mrv=10</t>
        </is>
      </c>
      <c r="L3717" t="inlineStr">
        <is>
          <t>World Bank GNI + regional expenditure ratio estimate</t>
        </is>
      </c>
      <c r="M3717" t="inlineStr">
        <is>
          <t>2024-12-31</t>
        </is>
      </c>
      <c r="N3717" t="inlineStr">
        <is>
          <t>auto_ingest=world_bank_col_estimate; gni_annual=57670.0; year=2024; country_proxy=Spain; cohort=Western, Northern, and Southern Europe; city_cost_mult=0.85</t>
        </is>
      </c>
    </row>
    <row r="3718">
      <c r="A3718" t="inlineStr">
        <is>
          <t>es-valencia</t>
        </is>
      </c>
      <c r="B3718" t="inlineStr">
        <is>
          <t>Valencia</t>
        </is>
      </c>
      <c r="C3718" t="inlineStr">
        <is>
          <t>Spain</t>
        </is>
      </c>
      <c r="D3718" t="inlineStr">
        <is>
          <t>Western, Northern, and Southern Europe</t>
        </is>
      </c>
      <c r="E3718" t="inlineStr">
        <is>
          <t>transit_cost</t>
        </is>
      </c>
      <c r="F3718" t="inlineStr">
        <is>
          <t>Transit cost</t>
        </is>
      </c>
      <c r="G3718" t="inlineStr">
        <is>
          <t>pressure</t>
        </is>
      </c>
      <c r="H3718" t="inlineStr">
        <is>
          <t>yes</t>
        </is>
      </c>
      <c r="I3718" t="inlineStr">
        <is>
          <t>204.25</t>
        </is>
      </c>
      <c r="J3718" t="inlineStr">
        <is>
          <t>world_bank_col_estimate</t>
        </is>
      </c>
      <c r="K3718" t="inlineStr">
        <is>
          <t>https://api.worldbank.org/v2/country/ESP/indicator/NY.GNP.PCAP.PP.CD?format=json&amp;mrv=10</t>
        </is>
      </c>
      <c r="L3718" t="inlineStr">
        <is>
          <t>World Bank GNI + regional expenditure ratio estimate</t>
        </is>
      </c>
      <c r="M3718" t="inlineStr">
        <is>
          <t>2024-12-31</t>
        </is>
      </c>
      <c r="N3718" t="inlineStr">
        <is>
          <t>auto_ingest=world_bank_col_estimate; gni_annual=57670.0; year=2024; country_proxy=Spain; cohort=Western, Northern, and Southern Europe; city_cost_mult=0.85</t>
        </is>
      </c>
    </row>
    <row r="3719">
      <c r="A3719" t="inlineStr">
        <is>
          <t>es-valencia</t>
        </is>
      </c>
      <c r="B3719" t="inlineStr">
        <is>
          <t>Valencia</t>
        </is>
      </c>
      <c r="C3719" t="inlineStr">
        <is>
          <t>Spain</t>
        </is>
      </c>
      <c r="D3719" t="inlineStr">
        <is>
          <t>Western, Northern, and Southern Europe</t>
        </is>
      </c>
      <c r="E3719" t="inlineStr">
        <is>
          <t>internet_cost</t>
        </is>
      </c>
      <c r="F3719" t="inlineStr">
        <is>
          <t>Internet cost</t>
        </is>
      </c>
      <c r="G3719" t="inlineStr">
        <is>
          <t>pressure</t>
        </is>
      </c>
      <c r="H3719" t="inlineStr">
        <is>
          <t>yes</t>
        </is>
      </c>
      <c r="I3719" t="inlineStr">
        <is>
          <t>61.27</t>
        </is>
      </c>
      <c r="J3719" t="inlineStr">
        <is>
          <t>world_bank_col_estimate</t>
        </is>
      </c>
      <c r="K3719" t="inlineStr">
        <is>
          <t>https://api.worldbank.org/v2/country/ESP/indicator/NY.GNP.PCAP.PP.CD?format=json&amp;mrv=10</t>
        </is>
      </c>
      <c r="L3719" t="inlineStr">
        <is>
          <t>World Bank GNI + regional expenditure ratio estimate</t>
        </is>
      </c>
      <c r="M3719" t="inlineStr">
        <is>
          <t>2024-12-31</t>
        </is>
      </c>
      <c r="N3719" t="inlineStr">
        <is>
          <t>auto_ingest=world_bank_col_estimate; gni_annual=57670.0; year=2024; country_proxy=Spain; cohort=Western, Northern, and Southern Europe; city_cost_mult=0.85</t>
        </is>
      </c>
    </row>
    <row r="3720">
      <c r="A3720" t="inlineStr">
        <is>
          <t>es-valencia</t>
        </is>
      </c>
      <c r="B3720" t="inlineStr">
        <is>
          <t>Valencia</t>
        </is>
      </c>
      <c r="C3720" t="inlineStr">
        <is>
          <t>Spain</t>
        </is>
      </c>
      <c r="D3720" t="inlineStr">
        <is>
          <t>Western, Northern, and Southern Europe</t>
        </is>
      </c>
      <c r="E3720" t="inlineStr">
        <is>
          <t>food_cost</t>
        </is>
      </c>
      <c r="F3720" t="inlineStr">
        <is>
          <t>Food cost</t>
        </is>
      </c>
      <c r="G3720" t="inlineStr">
        <is>
          <t>pressure</t>
        </is>
      </c>
      <c r="H3720" t="inlineStr">
        <is>
          <t>yes</t>
        </is>
      </c>
      <c r="I3720" t="inlineStr">
        <is>
          <t>612.74</t>
        </is>
      </c>
      <c r="J3720" t="inlineStr">
        <is>
          <t>world_bank_col_estimate</t>
        </is>
      </c>
      <c r="K3720" t="inlineStr">
        <is>
          <t>https://api.worldbank.org/v2/country/ESP/indicator/NY.GNP.PCAP.PP.CD?format=json&amp;mrv=10</t>
        </is>
      </c>
      <c r="L3720" t="inlineStr">
        <is>
          <t>World Bank GNI + regional expenditure ratio estimate</t>
        </is>
      </c>
      <c r="M3720" t="inlineStr">
        <is>
          <t>2024-12-31</t>
        </is>
      </c>
      <c r="N3720" t="inlineStr">
        <is>
          <t>auto_ingest=world_bank_col_estimate; gni_annual=57670.0; year=2024; country_proxy=Spain; cohort=Western, Northern, and Southern Europe; city_cost_mult=0.85</t>
        </is>
      </c>
    </row>
    <row r="3721">
      <c r="A3721" t="inlineStr">
        <is>
          <t>es-valencia</t>
        </is>
      </c>
      <c r="B3721" t="inlineStr">
        <is>
          <t>Valencia</t>
        </is>
      </c>
      <c r="C3721" t="inlineStr">
        <is>
          <t>Spain</t>
        </is>
      </c>
      <c r="D3721" t="inlineStr">
        <is>
          <t>Western, Northern, and Southern Europe</t>
        </is>
      </c>
      <c r="E3721" t="inlineStr">
        <is>
          <t>housing_burden_raw</t>
        </is>
      </c>
      <c r="F3721" t="inlineStr">
        <is>
          <t>Housing burden raw</t>
        </is>
      </c>
      <c r="G3721" t="inlineStr">
        <is>
          <t>pressure</t>
        </is>
      </c>
      <c r="H3721" t="inlineStr">
        <is>
          <t>yes</t>
        </is>
      </c>
      <c r="I3721" t="inlineStr">
        <is>
          <t>29.7499</t>
        </is>
      </c>
      <c r="J3721" t="inlineStr">
        <is>
          <t>derived</t>
        </is>
      </c>
      <c r="K3721" t="inlineStr">
        <is>
          <t>https://data.worldbank.org/indicator/NY.GNP.PCAP.PP.CD</t>
        </is>
      </c>
      <c r="L3721" t="inlineStr">
        <is>
          <t>Computed from city_inputs + country_context</t>
        </is>
      </c>
      <c r="M3721" t="inlineStr">
        <is>
          <t>2024-01-01</t>
        </is>
      </c>
      <c r="N3721" t="inlineStr">
        <is>
          <t>derived=rent/gross_income*100</t>
        </is>
      </c>
    </row>
    <row r="3722">
      <c r="A3722" t="inlineStr">
        <is>
          <t>es-valencia</t>
        </is>
      </c>
      <c r="B3722" t="inlineStr">
        <is>
          <t>Valencia</t>
        </is>
      </c>
      <c r="C3722" t="inlineStr">
        <is>
          <t>Spain</t>
        </is>
      </c>
      <c r="D3722" t="inlineStr">
        <is>
          <t>Western, Northern, and Southern Europe</t>
        </is>
      </c>
      <c r="E3722" t="inlineStr">
        <is>
          <t>household_debt_burden_raw</t>
        </is>
      </c>
      <c r="F3722" t="inlineStr">
        <is>
          <t>Household debt burden raw</t>
        </is>
      </c>
      <c r="G3722" t="inlineStr">
        <is>
          <t>pressure</t>
        </is>
      </c>
      <c r="H3722" t="inlineStr">
        <is>
          <t>yes</t>
        </is>
      </c>
      <c r="I3722" t="inlineStr"/>
      <c r="J3722" t="inlineStr"/>
      <c r="K3722" t="inlineStr"/>
      <c r="L3722" t="inlineStr"/>
      <c r="M3722" t="inlineStr"/>
      <c r="N3722" t="inlineStr"/>
    </row>
    <row r="3723">
      <c r="A3723" t="inlineStr">
        <is>
          <t>es-valencia</t>
        </is>
      </c>
      <c r="B3723" t="inlineStr">
        <is>
          <t>Valencia</t>
        </is>
      </c>
      <c r="C3723" t="inlineStr">
        <is>
          <t>Spain</t>
        </is>
      </c>
      <c r="D3723" t="inlineStr">
        <is>
          <t>Western, Northern, and Southern Europe</t>
        </is>
      </c>
      <c r="E3723" t="inlineStr">
        <is>
          <t>working_time_pressure_raw</t>
        </is>
      </c>
      <c r="F3723" t="inlineStr">
        <is>
          <t>Working time pressure raw</t>
        </is>
      </c>
      <c r="G3723" t="inlineStr">
        <is>
          <t>pressure</t>
        </is>
      </c>
      <c r="H3723" t="inlineStr">
        <is>
          <t>yes</t>
        </is>
      </c>
      <c r="I3723" t="inlineStr"/>
      <c r="J3723" t="inlineStr"/>
      <c r="K3723" t="inlineStr"/>
      <c r="L3723" t="inlineStr"/>
      <c r="M3723" t="inlineStr"/>
      <c r="N3723" t="inlineStr"/>
    </row>
    <row r="3724">
      <c r="A3724" t="inlineStr">
        <is>
          <t>es-valencia</t>
        </is>
      </c>
      <c r="B3724" t="inlineStr">
        <is>
          <t>Valencia</t>
        </is>
      </c>
      <c r="C3724" t="inlineStr">
        <is>
          <t>Spain</t>
        </is>
      </c>
      <c r="D3724" t="inlineStr">
        <is>
          <t>Western, Northern, and Southern Europe</t>
        </is>
      </c>
      <c r="E3724" t="inlineStr">
        <is>
          <t>suicide_mental_strain_raw</t>
        </is>
      </c>
      <c r="F3724" t="inlineStr">
        <is>
          <t>Suicide or mental strain raw</t>
        </is>
      </c>
      <c r="G3724" t="inlineStr">
        <is>
          <t>pressure</t>
        </is>
      </c>
      <c r="H3724" t="inlineStr">
        <is>
          <t>yes</t>
        </is>
      </c>
      <c r="I3724" t="inlineStr"/>
      <c r="J3724" t="inlineStr"/>
      <c r="K3724" t="inlineStr"/>
      <c r="L3724" t="inlineStr"/>
      <c r="M3724" t="inlineStr"/>
      <c r="N3724" t="inlineStr"/>
    </row>
    <row r="3725">
      <c r="A3725" t="inlineStr">
        <is>
          <t>es-valencia</t>
        </is>
      </c>
      <c r="B3725" t="inlineStr">
        <is>
          <t>Valencia</t>
        </is>
      </c>
      <c r="C3725" t="inlineStr">
        <is>
          <t>Spain</t>
        </is>
      </c>
      <c r="D3725" t="inlineStr">
        <is>
          <t>Western, Northern, and Southern Europe</t>
        </is>
      </c>
      <c r="E3725" t="inlineStr">
        <is>
          <t>personal_safety_raw</t>
        </is>
      </c>
      <c r="F3725" t="inlineStr">
        <is>
          <t>Personal safety raw</t>
        </is>
      </c>
      <c r="G3725" t="inlineStr">
        <is>
          <t>viability</t>
        </is>
      </c>
      <c r="H3725" t="inlineStr">
        <is>
          <t>yes</t>
        </is>
      </c>
      <c r="I3725" t="inlineStr"/>
      <c r="J3725" t="inlineStr"/>
      <c r="K3725" t="inlineStr"/>
      <c r="L3725" t="inlineStr"/>
      <c r="M3725" t="inlineStr"/>
      <c r="N3725" t="inlineStr"/>
    </row>
    <row r="3726">
      <c r="A3726" t="inlineStr">
        <is>
          <t>es-valencia</t>
        </is>
      </c>
      <c r="B3726" t="inlineStr">
        <is>
          <t>Valencia</t>
        </is>
      </c>
      <c r="C3726" t="inlineStr">
        <is>
          <t>Spain</t>
        </is>
      </c>
      <c r="D3726" t="inlineStr">
        <is>
          <t>Western, Northern, and Southern Europe</t>
        </is>
      </c>
      <c r="E3726" t="inlineStr">
        <is>
          <t>transit_access_commute_raw</t>
        </is>
      </c>
      <c r="F3726" t="inlineStr">
        <is>
          <t>Transit access and commute raw</t>
        </is>
      </c>
      <c r="G3726" t="inlineStr">
        <is>
          <t>viability</t>
        </is>
      </c>
      <c r="H3726" t="inlineStr">
        <is>
          <t>yes</t>
        </is>
      </c>
      <c r="I3726" t="inlineStr"/>
      <c r="J3726" t="inlineStr"/>
      <c r="K3726" t="inlineStr"/>
      <c r="L3726" t="inlineStr"/>
      <c r="M3726" t="inlineStr"/>
      <c r="N3726" t="inlineStr"/>
    </row>
    <row r="3727">
      <c r="A3727" t="inlineStr">
        <is>
          <t>es-valencia</t>
        </is>
      </c>
      <c r="B3727" t="inlineStr">
        <is>
          <t>Valencia</t>
        </is>
      </c>
      <c r="C3727" t="inlineStr">
        <is>
          <t>Spain</t>
        </is>
      </c>
      <c r="D3727" t="inlineStr">
        <is>
          <t>Western, Northern, and Southern Europe</t>
        </is>
      </c>
      <c r="E3727" t="inlineStr">
        <is>
          <t>clean_air_raw</t>
        </is>
      </c>
      <c r="F3727" t="inlineStr">
        <is>
          <t>Clean air raw</t>
        </is>
      </c>
      <c r="G3727" t="inlineStr">
        <is>
          <t>viability</t>
        </is>
      </c>
      <c r="H3727" t="inlineStr">
        <is>
          <t>yes</t>
        </is>
      </c>
      <c r="I3727" t="inlineStr"/>
      <c r="J3727" t="inlineStr"/>
      <c r="K3727" t="inlineStr"/>
      <c r="L3727" t="inlineStr"/>
      <c r="M3727" t="inlineStr"/>
      <c r="N3727" t="inlineStr"/>
    </row>
    <row r="3728">
      <c r="A3728" t="inlineStr">
        <is>
          <t>es-valencia</t>
        </is>
      </c>
      <c r="B3728" t="inlineStr">
        <is>
          <t>Valencia</t>
        </is>
      </c>
      <c r="C3728" t="inlineStr">
        <is>
          <t>Spain</t>
        </is>
      </c>
      <c r="D3728" t="inlineStr">
        <is>
          <t>Western, Northern, and Southern Europe</t>
        </is>
      </c>
      <c r="E3728" t="inlineStr">
        <is>
          <t>water_sanitation_utility_raw</t>
        </is>
      </c>
      <c r="F3728" t="inlineStr">
        <is>
          <t>Water, sanitation, and utility raw</t>
        </is>
      </c>
      <c r="G3728" t="inlineStr">
        <is>
          <t>viability</t>
        </is>
      </c>
      <c r="H3728" t="inlineStr">
        <is>
          <t>yes</t>
        </is>
      </c>
      <c r="I3728" t="inlineStr"/>
      <c r="J3728" t="inlineStr"/>
      <c r="K3728" t="inlineStr"/>
      <c r="L3728" t="inlineStr"/>
      <c r="M3728" t="inlineStr"/>
      <c r="N3728" t="inlineStr"/>
    </row>
    <row r="3729">
      <c r="A3729" t="inlineStr">
        <is>
          <t>es-valencia</t>
        </is>
      </c>
      <c r="B3729" t="inlineStr">
        <is>
          <t>Valencia</t>
        </is>
      </c>
      <c r="C3729" t="inlineStr">
        <is>
          <t>Spain</t>
        </is>
      </c>
      <c r="D3729" t="inlineStr">
        <is>
          <t>Western, Northern, and Southern Europe</t>
        </is>
      </c>
      <c r="E3729" t="inlineStr">
        <is>
          <t>digital_infrastructure_raw</t>
        </is>
      </c>
      <c r="F3729" t="inlineStr">
        <is>
          <t>Digital infrastructure raw</t>
        </is>
      </c>
      <c r="G3729" t="inlineStr">
        <is>
          <t>viability</t>
        </is>
      </c>
      <c r="H3729" t="inlineStr">
        <is>
          <t>yes</t>
        </is>
      </c>
      <c r="I3729" t="inlineStr"/>
      <c r="J3729" t="inlineStr"/>
      <c r="K3729" t="inlineStr"/>
      <c r="L3729" t="inlineStr"/>
      <c r="M3729" t="inlineStr"/>
      <c r="N3729" t="inlineStr"/>
    </row>
    <row r="3730">
      <c r="A3730" t="inlineStr">
        <is>
          <t>es-valencia</t>
        </is>
      </c>
      <c r="B3730" t="inlineStr">
        <is>
          <t>Valencia</t>
        </is>
      </c>
      <c r="C3730" t="inlineStr">
        <is>
          <t>Spain</t>
        </is>
      </c>
      <c r="D3730" t="inlineStr">
        <is>
          <t>Western, Northern, and Southern Europe</t>
        </is>
      </c>
      <c r="E3730" t="inlineStr">
        <is>
          <t>climate_sunlight_livability_raw</t>
        </is>
      </c>
      <c r="F3730" t="inlineStr">
        <is>
          <t>Climate and sunlight livability raw</t>
        </is>
      </c>
      <c r="G3730" t="inlineStr">
        <is>
          <t>viability</t>
        </is>
      </c>
      <c r="H3730" t="inlineStr">
        <is>
          <t>yes</t>
        </is>
      </c>
      <c r="I3730" t="inlineStr">
        <is>
          <t>74</t>
        </is>
      </c>
      <c r="J3730" t="inlineStr">
        <is>
          <t>wmo_natl_met</t>
        </is>
      </c>
      <c r="K3730" t="inlineStr">
        <is>
          <t>https://worldweather.wmo.int</t>
        </is>
      </c>
      <c r="L3730" t="inlineStr">
        <is>
          <t>WMO/National Met: Climate livability composite</t>
        </is>
      </c>
      <c r="M3730" t="inlineStr">
        <is>
          <t>2024-12-31</t>
        </is>
      </c>
      <c r="N3730" t="inlineStr">
        <is>
          <t>auto_seed=climate_composite; 2700 sun hrs, 18C mean, ideal</t>
        </is>
      </c>
    </row>
    <row r="3731">
      <c r="A3731" t="inlineStr">
        <is>
          <t>es-valencia</t>
        </is>
      </c>
      <c r="B3731" t="inlineStr">
        <is>
          <t>Valencia</t>
        </is>
      </c>
      <c r="C3731" t="inlineStr">
        <is>
          <t>Spain</t>
        </is>
      </c>
      <c r="D3731" t="inlineStr">
        <is>
          <t>Western, Northern, and Southern Europe</t>
        </is>
      </c>
      <c r="E3731" t="inlineStr">
        <is>
          <t>healthcare_quality_raw</t>
        </is>
      </c>
      <c r="F3731" t="inlineStr">
        <is>
          <t>Healthcare quality raw</t>
        </is>
      </c>
      <c r="G3731" t="inlineStr">
        <is>
          <t>capability</t>
        </is>
      </c>
      <c r="H3731" t="inlineStr">
        <is>
          <t>yes</t>
        </is>
      </c>
      <c r="I3731" t="inlineStr"/>
      <c r="J3731" t="inlineStr"/>
      <c r="K3731" t="inlineStr"/>
      <c r="L3731" t="inlineStr"/>
      <c r="M3731" t="inlineStr"/>
      <c r="N3731" t="inlineStr"/>
    </row>
    <row r="3732">
      <c r="A3732" t="inlineStr">
        <is>
          <t>es-valencia</t>
        </is>
      </c>
      <c r="B3732" t="inlineStr">
        <is>
          <t>Valencia</t>
        </is>
      </c>
      <c r="C3732" t="inlineStr">
        <is>
          <t>Spain</t>
        </is>
      </c>
      <c r="D3732" t="inlineStr">
        <is>
          <t>Western, Northern, and Southern Europe</t>
        </is>
      </c>
      <c r="E3732" t="inlineStr">
        <is>
          <t>education_quality_raw</t>
        </is>
      </c>
      <c r="F3732" t="inlineStr">
        <is>
          <t>Education quality raw</t>
        </is>
      </c>
      <c r="G3732" t="inlineStr">
        <is>
          <t>capability</t>
        </is>
      </c>
      <c r="H3732" t="inlineStr">
        <is>
          <t>yes</t>
        </is>
      </c>
      <c r="I3732" t="inlineStr"/>
      <c r="J3732" t="inlineStr"/>
      <c r="K3732" t="inlineStr"/>
      <c r="L3732" t="inlineStr"/>
      <c r="M3732" t="inlineStr"/>
      <c r="N3732" t="inlineStr"/>
    </row>
    <row r="3733">
      <c r="A3733" t="inlineStr">
        <is>
          <t>es-valencia</t>
        </is>
      </c>
      <c r="B3733" t="inlineStr">
        <is>
          <t>Valencia</t>
        </is>
      </c>
      <c r="C3733" t="inlineStr">
        <is>
          <t>Spain</t>
        </is>
      </c>
      <c r="D3733" t="inlineStr">
        <is>
          <t>Western, Northern, and Southern Europe</t>
        </is>
      </c>
      <c r="E3733" t="inlineStr">
        <is>
          <t>equal_opportunity_raw</t>
        </is>
      </c>
      <c r="F3733" t="inlineStr">
        <is>
          <t>Equal opportunity raw</t>
        </is>
      </c>
      <c r="G3733" t="inlineStr">
        <is>
          <t>capability</t>
        </is>
      </c>
      <c r="H3733" t="inlineStr">
        <is>
          <t>yes</t>
        </is>
      </c>
      <c r="I3733" t="inlineStr">
        <is>
          <t>33.4</t>
        </is>
      </c>
      <c r="J3733" t="inlineStr">
        <is>
          <t>world_bank</t>
        </is>
      </c>
      <c r="K3733" t="inlineStr">
        <is>
          <t>https://api.worldbank.org/v2/country/ESP/indicator/SI.POV.GINI?format=json&amp;mrv=10</t>
        </is>
      </c>
      <c r="L3733" t="inlineStr">
        <is>
          <t>World Bank WDI: Gini index</t>
        </is>
      </c>
      <c r="M3733" t="inlineStr">
        <is>
          <t>2023-12-31</t>
        </is>
      </c>
      <c r="N3733" t="inlineStr">
        <is>
          <t>auto_ingest=world_bank_capability; indicator=SI.POV.GINI; year=2023; country_proxy=Spain</t>
        </is>
      </c>
    </row>
    <row r="3734">
      <c r="A3734" t="inlineStr">
        <is>
          <t>es-valencia</t>
        </is>
      </c>
      <c r="B3734" t="inlineStr">
        <is>
          <t>Valencia</t>
        </is>
      </c>
      <c r="C3734" t="inlineStr">
        <is>
          <t>Spain</t>
        </is>
      </c>
      <c r="D3734" t="inlineStr">
        <is>
          <t>Western, Northern, and Southern Europe</t>
        </is>
      </c>
      <c r="E3734" t="inlineStr">
        <is>
          <t>hospitality_belonging_raw</t>
        </is>
      </c>
      <c r="F3734" t="inlineStr">
        <is>
          <t>Hospitality and belonging raw</t>
        </is>
      </c>
      <c r="G3734" t="inlineStr">
        <is>
          <t>community</t>
        </is>
      </c>
      <c r="H3734" t="inlineStr">
        <is>
          <t>yes</t>
        </is>
      </c>
      <c r="I3734" t="inlineStr"/>
      <c r="J3734" t="inlineStr"/>
      <c r="K3734" t="inlineStr"/>
      <c r="L3734" t="inlineStr"/>
      <c r="M3734" t="inlineStr"/>
      <c r="N3734" t="inlineStr"/>
    </row>
    <row r="3735">
      <c r="A3735" t="inlineStr">
        <is>
          <t>es-valencia</t>
        </is>
      </c>
      <c r="B3735" t="inlineStr">
        <is>
          <t>Valencia</t>
        </is>
      </c>
      <c r="C3735" t="inlineStr">
        <is>
          <t>Spain</t>
        </is>
      </c>
      <c r="D3735" t="inlineStr">
        <is>
          <t>Western, Northern, and Southern Europe</t>
        </is>
      </c>
      <c r="E3735" t="inlineStr">
        <is>
          <t>tolerance_pluralism_raw</t>
        </is>
      </c>
      <c r="F3735" t="inlineStr">
        <is>
          <t>Tolerance and pluralism raw</t>
        </is>
      </c>
      <c r="G3735" t="inlineStr">
        <is>
          <t>community</t>
        </is>
      </c>
      <c r="H3735" t="inlineStr">
        <is>
          <t>yes</t>
        </is>
      </c>
      <c r="I3735" t="inlineStr"/>
      <c r="J3735" t="inlineStr"/>
      <c r="K3735" t="inlineStr"/>
      <c r="L3735" t="inlineStr"/>
      <c r="M3735" t="inlineStr"/>
      <c r="N3735" t="inlineStr"/>
    </row>
    <row r="3736">
      <c r="A3736" t="inlineStr">
        <is>
          <t>es-valencia</t>
        </is>
      </c>
      <c r="B3736" t="inlineStr">
        <is>
          <t>Valencia</t>
        </is>
      </c>
      <c r="C3736" t="inlineStr">
        <is>
          <t>Spain</t>
        </is>
      </c>
      <c r="D3736" t="inlineStr">
        <is>
          <t>Western, Northern, and Southern Europe</t>
        </is>
      </c>
      <c r="E3736" t="inlineStr">
        <is>
          <t>cultural_public_life_raw</t>
        </is>
      </c>
      <c r="F3736" t="inlineStr">
        <is>
          <t>Cultural public life raw</t>
        </is>
      </c>
      <c r="G3736" t="inlineStr">
        <is>
          <t>community</t>
        </is>
      </c>
      <c r="H3736" t="inlineStr">
        <is>
          <t>yes</t>
        </is>
      </c>
      <c r="I3736" t="inlineStr"/>
      <c r="J3736" t="inlineStr"/>
      <c r="K3736" t="inlineStr"/>
      <c r="L3736" t="inlineStr"/>
      <c r="M3736" t="inlineStr"/>
      <c r="N3736" t="inlineStr"/>
    </row>
    <row r="3737">
      <c r="A3737" t="inlineStr">
        <is>
          <t>es-valencia</t>
        </is>
      </c>
      <c r="B3737" t="inlineStr">
        <is>
          <t>Valencia</t>
        </is>
      </c>
      <c r="C3737" t="inlineStr">
        <is>
          <t>Spain</t>
        </is>
      </c>
      <c r="D3737" t="inlineStr">
        <is>
          <t>Western, Northern, and Southern Europe</t>
        </is>
      </c>
      <c r="E3737" t="inlineStr">
        <is>
          <t>birth_rate_optimism_raw</t>
        </is>
      </c>
      <c r="F3737" t="inlineStr">
        <is>
          <t>Birth rate and societal optimism raw</t>
        </is>
      </c>
      <c r="G3737" t="inlineStr">
        <is>
          <t>community</t>
        </is>
      </c>
      <c r="H3737" t="inlineStr">
        <is>
          <t>yes</t>
        </is>
      </c>
      <c r="I3737" t="inlineStr">
        <is>
          <t>1.19</t>
        </is>
      </c>
      <c r="J3737" t="inlineStr">
        <is>
          <t>world_bank</t>
        </is>
      </c>
      <c r="K3737" t="inlineStr">
        <is>
          <t>https://data.worldbank.org/indicator/SP.DYN.TFRT.IN</t>
        </is>
      </c>
      <c r="L3737" t="inlineStr">
        <is>
          <t>World Bank Total Fertility Rate 2023</t>
        </is>
      </c>
      <c r="M3737" t="inlineStr">
        <is>
          <t>2024-01-01</t>
        </is>
      </c>
      <c r="N3737" t="inlineStr"/>
    </row>
    <row r="3738">
      <c r="A3738" t="inlineStr">
        <is>
          <t>es-valencia</t>
        </is>
      </c>
      <c r="B3738" t="inlineStr">
        <is>
          <t>Valencia</t>
        </is>
      </c>
      <c r="C3738" t="inlineStr">
        <is>
          <t>Spain</t>
        </is>
      </c>
      <c r="D3738" t="inlineStr">
        <is>
          <t>Western, Northern, and Southern Europe</t>
        </is>
      </c>
      <c r="E3738" t="inlineStr">
        <is>
          <t>entrepreneurial_dynamism_raw</t>
        </is>
      </c>
      <c r="F3738" t="inlineStr">
        <is>
          <t>Entrepreneurial dynamism raw</t>
        </is>
      </c>
      <c r="G3738" t="inlineStr">
        <is>
          <t>creative</t>
        </is>
      </c>
      <c r="H3738" t="inlineStr">
        <is>
          <t>yes</t>
        </is>
      </c>
      <c r="I3738" t="inlineStr">
        <is>
          <t>3.08</t>
        </is>
      </c>
      <c r="J3738" t="inlineStr">
        <is>
          <t>world_bank</t>
        </is>
      </c>
      <c r="K3738" t="inlineStr">
        <is>
          <t>https://api.worldbank.org/v2/country/ESP/indicator/IC.BUS.NDNS.ZS?format=json&amp;mrv=10</t>
        </is>
      </c>
      <c r="L3738" t="inlineStr">
        <is>
          <t>World Bank WDI: New business density (new registrations per 1,000 people ages 15-64)</t>
        </is>
      </c>
      <c r="M3738" t="inlineStr">
        <is>
          <t>2022-12-31</t>
        </is>
      </c>
      <c r="N3738" t="inlineStr">
        <is>
          <t>auto_ingest=world_bank_creative_extended; indicator=IC.BUS.NDNS.ZS; year=2022; country_proxy=Spain</t>
        </is>
      </c>
    </row>
    <row r="3739">
      <c r="A3739" t="inlineStr">
        <is>
          <t>es-valencia</t>
        </is>
      </c>
      <c r="B3739" t="inlineStr">
        <is>
          <t>Valencia</t>
        </is>
      </c>
      <c r="C3739" t="inlineStr">
        <is>
          <t>Spain</t>
        </is>
      </c>
      <c r="D3739" t="inlineStr">
        <is>
          <t>Western, Northern, and Southern Europe</t>
        </is>
      </c>
      <c r="E3739" t="inlineStr">
        <is>
          <t>innovation_research_intensity_raw</t>
        </is>
      </c>
      <c r="F3739" t="inlineStr">
        <is>
          <t>Innovation and research raw</t>
        </is>
      </c>
      <c r="G3739" t="inlineStr">
        <is>
          <t>creative</t>
        </is>
      </c>
      <c r="H3739" t="inlineStr">
        <is>
          <t>yes</t>
        </is>
      </c>
      <c r="I3739" t="inlineStr">
        <is>
          <t>1.44</t>
        </is>
      </c>
      <c r="J3739" t="inlineStr">
        <is>
          <t>world_bank</t>
        </is>
      </c>
      <c r="K3739" t="inlineStr">
        <is>
          <t>https://api.worldbank.org/v2/country/ESP/indicator/GB.XPD.RSDV.GD.ZS?format=json&amp;mrv=10</t>
        </is>
      </c>
      <c r="L3739" t="inlineStr">
        <is>
          <t>World Bank WDI: Research and development expenditure (% of GDP)</t>
        </is>
      </c>
      <c r="M3739" t="inlineStr">
        <is>
          <t>2022-12-31</t>
        </is>
      </c>
      <c r="N3739" t="inlineStr">
        <is>
          <t>auto_ingest=world_bank_creative_extended; indicator=GB.XPD.RSDV.GD.ZS; year=2022; country_proxy=Spain</t>
        </is>
      </c>
    </row>
    <row r="3740">
      <c r="A3740" t="inlineStr">
        <is>
          <t>es-valencia</t>
        </is>
      </c>
      <c r="B3740" t="inlineStr">
        <is>
          <t>Valencia</t>
        </is>
      </c>
      <c r="C3740" t="inlineStr">
        <is>
          <t>Spain</t>
        </is>
      </c>
      <c r="D3740" t="inlineStr">
        <is>
          <t>Western, Northern, and Southern Europe</t>
        </is>
      </c>
      <c r="E3740" t="inlineStr">
        <is>
          <t>investment_signal_raw</t>
        </is>
      </c>
      <c r="F3740" t="inlineStr">
        <is>
          <t>Investment signal raw</t>
        </is>
      </c>
      <c r="G3740" t="inlineStr">
        <is>
          <t>creative</t>
        </is>
      </c>
      <c r="H3740" t="inlineStr">
        <is>
          <t>yes</t>
        </is>
      </c>
      <c r="I3740" t="inlineStr">
        <is>
          <t>2.48</t>
        </is>
      </c>
      <c r="J3740" t="inlineStr">
        <is>
          <t>world_bank</t>
        </is>
      </c>
      <c r="K3740" t="inlineStr">
        <is>
          <t>https://api.worldbank.org/v2/country/ESP/indicator/BX.KLT.DINV.WD.GD.ZS?format=json&amp;mrv=10</t>
        </is>
      </c>
      <c r="L3740" t="inlineStr">
        <is>
          <t>World Bank WDI: Foreign direct investment, net inflows (% of GDP)</t>
        </is>
      </c>
      <c r="M3740" t="inlineStr">
        <is>
          <t>2024-12-31</t>
        </is>
      </c>
      <c r="N3740" t="inlineStr">
        <is>
          <t>auto_ingest=world_bank_creative_extended; indicator=BX.KLT.DINV.WD.GD.ZS; year=2024; country_proxy=Spain</t>
        </is>
      </c>
    </row>
    <row r="3741">
      <c r="A3741" t="inlineStr">
        <is>
          <t>es-valencia</t>
        </is>
      </c>
      <c r="B3741" t="inlineStr">
        <is>
          <t>Valencia</t>
        </is>
      </c>
      <c r="C3741" t="inlineStr">
        <is>
          <t>Spain</t>
        </is>
      </c>
      <c r="D3741" t="inlineStr">
        <is>
          <t>Western, Northern, and Southern Europe</t>
        </is>
      </c>
      <c r="E3741" t="inlineStr">
        <is>
          <t>administrative_investment_friction_raw</t>
        </is>
      </c>
      <c r="F3741" t="inlineStr">
        <is>
          <t>Administrative investment friction raw</t>
        </is>
      </c>
      <c r="G3741" t="inlineStr">
        <is>
          <t>creative</t>
        </is>
      </c>
      <c r="H3741" t="inlineStr">
        <is>
          <t>yes</t>
        </is>
      </c>
      <c r="I3741" t="inlineStr">
        <is>
          <t>1.81</t>
        </is>
      </c>
      <c r="J3741" t="inlineStr">
        <is>
          <t>world_bank</t>
        </is>
      </c>
      <c r="K3741" t="inlineStr">
        <is>
          <t>https://api.worldbank.org/v2/country/ESP/indicator/RQ.EST?format=json&amp;mrv=10</t>
        </is>
      </c>
      <c r="L3741" t="inlineStr">
        <is>
          <t>World Bank WGI: Regulatory Quality (inverted as friction proxy)</t>
        </is>
      </c>
      <c r="M3741" t="inlineStr">
        <is>
          <t>2023-12-31</t>
        </is>
      </c>
      <c r="N3741" t="inlineStr">
        <is>
          <t>auto_ingest=world_bank_business_friction; indicator=RQ.EST; raw_rq=0.693764328956604; friction=1.81; year=2023; country_proxy=Spain</t>
        </is>
      </c>
    </row>
    <row r="3742">
      <c r="A3742" t="inlineStr">
        <is>
          <t>es-valencia</t>
        </is>
      </c>
      <c r="B3742" t="inlineStr">
        <is>
          <t>Valencia</t>
        </is>
      </c>
      <c r="C3742" t="inlineStr">
        <is>
          <t>Spain</t>
        </is>
      </c>
      <c r="D3742" t="inlineStr">
        <is>
          <t>Western, Northern, and Southern Europe</t>
        </is>
      </c>
      <c r="E3742" t="inlineStr">
        <is>
          <t>visitor_flow_context_raw</t>
        </is>
      </c>
      <c r="F3742" t="inlineStr">
        <is>
          <t>Visitor flow context raw</t>
        </is>
      </c>
      <c r="G3742" t="inlineStr">
        <is>
          <t>creative</t>
        </is>
      </c>
      <c r="H3742" t="inlineStr">
        <is>
          <t>no</t>
        </is>
      </c>
      <c r="I3742" t="inlineStr"/>
      <c r="J3742" t="inlineStr"/>
      <c r="K3742" t="inlineStr"/>
      <c r="L3742" t="inlineStr"/>
      <c r="M3742" t="inlineStr"/>
      <c r="N3742" t="inlineStr"/>
    </row>
    <row r="3743">
      <c r="A3743" t="inlineStr">
        <is>
          <t>de-munich</t>
        </is>
      </c>
      <c r="B3743" t="inlineStr">
        <is>
          <t>Munich</t>
        </is>
      </c>
      <c r="C3743" t="inlineStr">
        <is>
          <t>Germany</t>
        </is>
      </c>
      <c r="D3743" t="inlineStr">
        <is>
          <t>Western, Northern, and Southern Europe</t>
        </is>
      </c>
      <c r="E3743" t="inlineStr">
        <is>
          <t>gross_income</t>
        </is>
      </c>
      <c r="F3743" t="inlineStr">
        <is>
          <t>Gross income</t>
        </is>
      </c>
      <c r="G3743" t="inlineStr">
        <is>
          <t>pressure</t>
        </is>
      </c>
      <c r="H3743" t="inlineStr">
        <is>
          <t>yes</t>
        </is>
      </c>
      <c r="I3743" t="inlineStr">
        <is>
          <t>7618.0</t>
        </is>
      </c>
      <c r="J3743" t="inlineStr">
        <is>
          <t>world_bank_col_estimate</t>
        </is>
      </c>
      <c r="K3743" t="inlineStr">
        <is>
          <t>https://api.worldbank.org/v2/country/DEU/indicator/NY.GNP.PCAP.PP.CD?format=json&amp;mrv=10</t>
        </is>
      </c>
      <c r="L3743" t="inlineStr">
        <is>
          <t>World Bank WDI: GNI per capita PPP (monthly USD)</t>
        </is>
      </c>
      <c r="M3743" t="inlineStr">
        <is>
          <t>2024-12-31</t>
        </is>
      </c>
      <c r="N3743" t="inlineStr">
        <is>
          <t>auto_ingest=world_bank_col_estimate; gni_annual=76180.0; year=2024; country_proxy=Germany; cohort=Western, Northern, and Southern Europe; city_income_mult=1.2</t>
        </is>
      </c>
    </row>
    <row r="3744">
      <c r="A3744" t="inlineStr">
        <is>
          <t>de-munich</t>
        </is>
      </c>
      <c r="B3744" t="inlineStr">
        <is>
          <t>Munich</t>
        </is>
      </c>
      <c r="C3744" t="inlineStr">
        <is>
          <t>Germany</t>
        </is>
      </c>
      <c r="D3744" t="inlineStr">
        <is>
          <t>Western, Northern, and Southern Europe</t>
        </is>
      </c>
      <c r="E3744" t="inlineStr">
        <is>
          <t>di_ppp_raw</t>
        </is>
      </c>
      <c r="F3744" t="inlineStr">
        <is>
          <t>Disposable income PPP (Raw)</t>
        </is>
      </c>
      <c r="G3744" t="inlineStr">
        <is>
          <t>pressure</t>
        </is>
      </c>
      <c r="H3744" t="inlineStr">
        <is>
          <t>yes</t>
        </is>
      </c>
      <c r="I3744" t="inlineStr"/>
      <c r="J3744" t="inlineStr"/>
      <c r="K3744" t="inlineStr"/>
      <c r="L3744" t="inlineStr"/>
      <c r="M3744" t="inlineStr"/>
      <c r="N3744" t="inlineStr"/>
    </row>
    <row r="3745">
      <c r="A3745" t="inlineStr">
        <is>
          <t>de-munich</t>
        </is>
      </c>
      <c r="B3745" t="inlineStr">
        <is>
          <t>Munich</t>
        </is>
      </c>
      <c r="C3745" t="inlineStr">
        <is>
          <t>Germany</t>
        </is>
      </c>
      <c r="D3745" t="inlineStr">
        <is>
          <t>Western, Northern, and Southern Europe</t>
        </is>
      </c>
      <c r="E3745" t="inlineStr">
        <is>
          <t>rent</t>
        </is>
      </c>
      <c r="F3745" t="inlineStr">
        <is>
          <t>Rent</t>
        </is>
      </c>
      <c r="G3745" t="inlineStr">
        <is>
          <t>pressure</t>
        </is>
      </c>
      <c r="H3745" t="inlineStr">
        <is>
          <t>yes</t>
        </is>
      </c>
      <c r="I3745" t="inlineStr">
        <is>
          <t>3332.87</t>
        </is>
      </c>
      <c r="J3745" t="inlineStr">
        <is>
          <t>world_bank_col_estimate</t>
        </is>
      </c>
      <c r="K3745" t="inlineStr">
        <is>
          <t>https://api.worldbank.org/v2/country/DEU/indicator/NY.GNP.PCAP.PP.CD?format=json&amp;mrv=10</t>
        </is>
      </c>
      <c r="L3745" t="inlineStr">
        <is>
          <t>World Bank GNI + regional expenditure ratio estimate</t>
        </is>
      </c>
      <c r="M3745" t="inlineStr">
        <is>
          <t>2024-12-31</t>
        </is>
      </c>
      <c r="N3745" t="inlineStr">
        <is>
          <t>auto_ingest=world_bank_col_estimate; gni_annual=76180.0; year=2024; country_proxy=Germany; cohort=Western, Northern, and Southern Europe; city_cost_mult=1.25</t>
        </is>
      </c>
    </row>
    <row r="3746">
      <c r="A3746" t="inlineStr">
        <is>
          <t>de-munich</t>
        </is>
      </c>
      <c r="B3746" t="inlineStr">
        <is>
          <t>Munich</t>
        </is>
      </c>
      <c r="C3746" t="inlineStr">
        <is>
          <t>Germany</t>
        </is>
      </c>
      <c r="D3746" t="inlineStr">
        <is>
          <t>Western, Northern, and Southern Europe</t>
        </is>
      </c>
      <c r="E3746" t="inlineStr">
        <is>
          <t>utilities</t>
        </is>
      </c>
      <c r="F3746" t="inlineStr">
        <is>
          <t>Utilities</t>
        </is>
      </c>
      <c r="G3746" t="inlineStr">
        <is>
          <t>pressure</t>
        </is>
      </c>
      <c r="H3746" t="inlineStr">
        <is>
          <t>yes</t>
        </is>
      </c>
      <c r="I3746" t="inlineStr">
        <is>
          <t>666.58</t>
        </is>
      </c>
      <c r="J3746" t="inlineStr">
        <is>
          <t>world_bank_col_estimate</t>
        </is>
      </c>
      <c r="K3746" t="inlineStr">
        <is>
          <t>https://api.worldbank.org/v2/country/DEU/indicator/NY.GNP.PCAP.PP.CD?format=json&amp;mrv=10</t>
        </is>
      </c>
      <c r="L3746" t="inlineStr">
        <is>
          <t>World Bank GNI + regional expenditure ratio estimate</t>
        </is>
      </c>
      <c r="M3746" t="inlineStr">
        <is>
          <t>2024-12-31</t>
        </is>
      </c>
      <c r="N3746" t="inlineStr">
        <is>
          <t>auto_ingest=world_bank_col_estimate; gni_annual=76180.0; year=2024; country_proxy=Germany; cohort=Western, Northern, and Southern Europe; city_cost_mult=1.25</t>
        </is>
      </c>
    </row>
    <row r="3747">
      <c r="A3747" t="inlineStr">
        <is>
          <t>de-munich</t>
        </is>
      </c>
      <c r="B3747" t="inlineStr">
        <is>
          <t>Munich</t>
        </is>
      </c>
      <c r="C3747" t="inlineStr">
        <is>
          <t>Germany</t>
        </is>
      </c>
      <c r="D3747" t="inlineStr">
        <is>
          <t>Western, Northern, and Southern Europe</t>
        </is>
      </c>
      <c r="E3747" t="inlineStr">
        <is>
          <t>transit_cost</t>
        </is>
      </c>
      <c r="F3747" t="inlineStr">
        <is>
          <t>Transit cost</t>
        </is>
      </c>
      <c r="G3747" t="inlineStr">
        <is>
          <t>pressure</t>
        </is>
      </c>
      <c r="H3747" t="inlineStr">
        <is>
          <t>yes</t>
        </is>
      </c>
      <c r="I3747" t="inlineStr">
        <is>
          <t>476.13</t>
        </is>
      </c>
      <c r="J3747" t="inlineStr">
        <is>
          <t>world_bank_col_estimate</t>
        </is>
      </c>
      <c r="K3747" t="inlineStr">
        <is>
          <t>https://api.worldbank.org/v2/country/DEU/indicator/NY.GNP.PCAP.PP.CD?format=json&amp;mrv=10</t>
        </is>
      </c>
      <c r="L3747" t="inlineStr">
        <is>
          <t>World Bank GNI + regional expenditure ratio estimate</t>
        </is>
      </c>
      <c r="M3747" t="inlineStr">
        <is>
          <t>2024-12-31</t>
        </is>
      </c>
      <c r="N3747" t="inlineStr">
        <is>
          <t>auto_ingest=world_bank_col_estimate; gni_annual=76180.0; year=2024; country_proxy=Germany; cohort=Western, Northern, and Southern Europe; city_cost_mult=1.25</t>
        </is>
      </c>
    </row>
    <row r="3748">
      <c r="A3748" t="inlineStr">
        <is>
          <t>de-munich</t>
        </is>
      </c>
      <c r="B3748" t="inlineStr">
        <is>
          <t>Munich</t>
        </is>
      </c>
      <c r="C3748" t="inlineStr">
        <is>
          <t>Germany</t>
        </is>
      </c>
      <c r="D3748" t="inlineStr">
        <is>
          <t>Western, Northern, and Southern Europe</t>
        </is>
      </c>
      <c r="E3748" t="inlineStr">
        <is>
          <t>internet_cost</t>
        </is>
      </c>
      <c r="F3748" t="inlineStr">
        <is>
          <t>Internet cost</t>
        </is>
      </c>
      <c r="G3748" t="inlineStr">
        <is>
          <t>pressure</t>
        </is>
      </c>
      <c r="H3748" t="inlineStr">
        <is>
          <t>yes</t>
        </is>
      </c>
      <c r="I3748" t="inlineStr">
        <is>
          <t>142.84</t>
        </is>
      </c>
      <c r="J3748" t="inlineStr">
        <is>
          <t>world_bank_col_estimate</t>
        </is>
      </c>
      <c r="K3748" t="inlineStr">
        <is>
          <t>https://api.worldbank.org/v2/country/DEU/indicator/NY.GNP.PCAP.PP.CD?format=json&amp;mrv=10</t>
        </is>
      </c>
      <c r="L3748" t="inlineStr">
        <is>
          <t>World Bank GNI + regional expenditure ratio estimate</t>
        </is>
      </c>
      <c r="M3748" t="inlineStr">
        <is>
          <t>2024-12-31</t>
        </is>
      </c>
      <c r="N3748" t="inlineStr">
        <is>
          <t>auto_ingest=world_bank_col_estimate; gni_annual=76180.0; year=2024; country_proxy=Germany; cohort=Western, Northern, and Southern Europe; city_cost_mult=1.25</t>
        </is>
      </c>
    </row>
    <row r="3749">
      <c r="A3749" t="inlineStr">
        <is>
          <t>de-munich</t>
        </is>
      </c>
      <c r="B3749" t="inlineStr">
        <is>
          <t>Munich</t>
        </is>
      </c>
      <c r="C3749" t="inlineStr">
        <is>
          <t>Germany</t>
        </is>
      </c>
      <c r="D3749" t="inlineStr">
        <is>
          <t>Western, Northern, and Southern Europe</t>
        </is>
      </c>
      <c r="E3749" t="inlineStr">
        <is>
          <t>food_cost</t>
        </is>
      </c>
      <c r="F3749" t="inlineStr">
        <is>
          <t>Food cost</t>
        </is>
      </c>
      <c r="G3749" t="inlineStr">
        <is>
          <t>pressure</t>
        </is>
      </c>
      <c r="H3749" t="inlineStr">
        <is>
          <t>yes</t>
        </is>
      </c>
      <c r="I3749" t="inlineStr">
        <is>
          <t>1428.38</t>
        </is>
      </c>
      <c r="J3749" t="inlineStr">
        <is>
          <t>world_bank_col_estimate</t>
        </is>
      </c>
      <c r="K3749" t="inlineStr">
        <is>
          <t>https://api.worldbank.org/v2/country/DEU/indicator/NY.GNP.PCAP.PP.CD?format=json&amp;mrv=10</t>
        </is>
      </c>
      <c r="L3749" t="inlineStr">
        <is>
          <t>World Bank GNI + regional expenditure ratio estimate</t>
        </is>
      </c>
      <c r="M3749" t="inlineStr">
        <is>
          <t>2024-12-31</t>
        </is>
      </c>
      <c r="N3749" t="inlineStr">
        <is>
          <t>auto_ingest=world_bank_col_estimate; gni_annual=76180.0; year=2024; country_proxy=Germany; cohort=Western, Northern, and Southern Europe; city_cost_mult=1.25</t>
        </is>
      </c>
    </row>
    <row r="3750">
      <c r="A3750" t="inlineStr">
        <is>
          <t>de-munich</t>
        </is>
      </c>
      <c r="B3750" t="inlineStr">
        <is>
          <t>Munich</t>
        </is>
      </c>
      <c r="C3750" t="inlineStr">
        <is>
          <t>Germany</t>
        </is>
      </c>
      <c r="D3750" t="inlineStr">
        <is>
          <t>Western, Northern, and Southern Europe</t>
        </is>
      </c>
      <c r="E3750" t="inlineStr">
        <is>
          <t>housing_burden_raw</t>
        </is>
      </c>
      <c r="F3750" t="inlineStr">
        <is>
          <t>Housing burden raw</t>
        </is>
      </c>
      <c r="G3750" t="inlineStr">
        <is>
          <t>pressure</t>
        </is>
      </c>
      <c r="H3750" t="inlineStr">
        <is>
          <t>yes</t>
        </is>
      </c>
      <c r="I3750" t="inlineStr">
        <is>
          <t>43.7499</t>
        </is>
      </c>
      <c r="J3750" t="inlineStr">
        <is>
          <t>derived</t>
        </is>
      </c>
      <c r="K3750" t="inlineStr">
        <is>
          <t>https://data.worldbank.org/indicator/NY.GNP.PCAP.PP.CD</t>
        </is>
      </c>
      <c r="L3750" t="inlineStr">
        <is>
          <t>Computed from city_inputs + country_context</t>
        </is>
      </c>
      <c r="M3750" t="inlineStr">
        <is>
          <t>2024-01-01</t>
        </is>
      </c>
      <c r="N3750" t="inlineStr">
        <is>
          <t>derived=rent/gross_income*100</t>
        </is>
      </c>
    </row>
    <row r="3751">
      <c r="A3751" t="inlineStr">
        <is>
          <t>de-munich</t>
        </is>
      </c>
      <c r="B3751" t="inlineStr">
        <is>
          <t>Munich</t>
        </is>
      </c>
      <c r="C3751" t="inlineStr">
        <is>
          <t>Germany</t>
        </is>
      </c>
      <c r="D3751" t="inlineStr">
        <is>
          <t>Western, Northern, and Southern Europe</t>
        </is>
      </c>
      <c r="E3751" t="inlineStr">
        <is>
          <t>household_debt_burden_raw</t>
        </is>
      </c>
      <c r="F3751" t="inlineStr">
        <is>
          <t>Household debt burden raw</t>
        </is>
      </c>
      <c r="G3751" t="inlineStr">
        <is>
          <t>pressure</t>
        </is>
      </c>
      <c r="H3751" t="inlineStr">
        <is>
          <t>yes</t>
        </is>
      </c>
      <c r="I3751" t="inlineStr"/>
      <c r="J3751" t="inlineStr"/>
      <c r="K3751" t="inlineStr"/>
      <c r="L3751" t="inlineStr"/>
      <c r="M3751" t="inlineStr"/>
      <c r="N3751" t="inlineStr"/>
    </row>
    <row r="3752">
      <c r="A3752" t="inlineStr">
        <is>
          <t>de-munich</t>
        </is>
      </c>
      <c r="B3752" t="inlineStr">
        <is>
          <t>Munich</t>
        </is>
      </c>
      <c r="C3752" t="inlineStr">
        <is>
          <t>Germany</t>
        </is>
      </c>
      <c r="D3752" t="inlineStr">
        <is>
          <t>Western, Northern, and Southern Europe</t>
        </is>
      </c>
      <c r="E3752" t="inlineStr">
        <is>
          <t>working_time_pressure_raw</t>
        </is>
      </c>
      <c r="F3752" t="inlineStr">
        <is>
          <t>Working time pressure raw</t>
        </is>
      </c>
      <c r="G3752" t="inlineStr">
        <is>
          <t>pressure</t>
        </is>
      </c>
      <c r="H3752" t="inlineStr">
        <is>
          <t>yes</t>
        </is>
      </c>
      <c r="I3752" t="inlineStr"/>
      <c r="J3752" t="inlineStr"/>
      <c r="K3752" t="inlineStr"/>
      <c r="L3752" t="inlineStr"/>
      <c r="M3752" t="inlineStr"/>
      <c r="N3752" t="inlineStr"/>
    </row>
    <row r="3753">
      <c r="A3753" t="inlineStr">
        <is>
          <t>de-munich</t>
        </is>
      </c>
      <c r="B3753" t="inlineStr">
        <is>
          <t>Munich</t>
        </is>
      </c>
      <c r="C3753" t="inlineStr">
        <is>
          <t>Germany</t>
        </is>
      </c>
      <c r="D3753" t="inlineStr">
        <is>
          <t>Western, Northern, and Southern Europe</t>
        </is>
      </c>
      <c r="E3753" t="inlineStr">
        <is>
          <t>suicide_mental_strain_raw</t>
        </is>
      </c>
      <c r="F3753" t="inlineStr">
        <is>
          <t>Suicide or mental strain raw</t>
        </is>
      </c>
      <c r="G3753" t="inlineStr">
        <is>
          <t>pressure</t>
        </is>
      </c>
      <c r="H3753" t="inlineStr">
        <is>
          <t>yes</t>
        </is>
      </c>
      <c r="I3753" t="inlineStr"/>
      <c r="J3753" t="inlineStr"/>
      <c r="K3753" t="inlineStr"/>
      <c r="L3753" t="inlineStr"/>
      <c r="M3753" t="inlineStr"/>
      <c r="N3753" t="inlineStr"/>
    </row>
    <row r="3754">
      <c r="A3754" t="inlineStr">
        <is>
          <t>de-munich</t>
        </is>
      </c>
      <c r="B3754" t="inlineStr">
        <is>
          <t>Munich</t>
        </is>
      </c>
      <c r="C3754" t="inlineStr">
        <is>
          <t>Germany</t>
        </is>
      </c>
      <c r="D3754" t="inlineStr">
        <is>
          <t>Western, Northern, and Southern Europe</t>
        </is>
      </c>
      <c r="E3754" t="inlineStr">
        <is>
          <t>personal_safety_raw</t>
        </is>
      </c>
      <c r="F3754" t="inlineStr">
        <is>
          <t>Personal safety raw</t>
        </is>
      </c>
      <c r="G3754" t="inlineStr">
        <is>
          <t>viability</t>
        </is>
      </c>
      <c r="H3754" t="inlineStr">
        <is>
          <t>yes</t>
        </is>
      </c>
      <c r="I3754" t="inlineStr"/>
      <c r="J3754" t="inlineStr"/>
      <c r="K3754" t="inlineStr"/>
      <c r="L3754" t="inlineStr"/>
      <c r="M3754" t="inlineStr"/>
      <c r="N3754" t="inlineStr"/>
    </row>
    <row r="3755">
      <c r="A3755" t="inlineStr">
        <is>
          <t>de-munich</t>
        </is>
      </c>
      <c r="B3755" t="inlineStr">
        <is>
          <t>Munich</t>
        </is>
      </c>
      <c r="C3755" t="inlineStr">
        <is>
          <t>Germany</t>
        </is>
      </c>
      <c r="D3755" t="inlineStr">
        <is>
          <t>Western, Northern, and Southern Europe</t>
        </is>
      </c>
      <c r="E3755" t="inlineStr">
        <is>
          <t>transit_access_commute_raw</t>
        </is>
      </c>
      <c r="F3755" t="inlineStr">
        <is>
          <t>Transit access and commute raw</t>
        </is>
      </c>
      <c r="G3755" t="inlineStr">
        <is>
          <t>viability</t>
        </is>
      </c>
      <c r="H3755" t="inlineStr">
        <is>
          <t>yes</t>
        </is>
      </c>
      <c r="I3755" t="inlineStr"/>
      <c r="J3755" t="inlineStr"/>
      <c r="K3755" t="inlineStr"/>
      <c r="L3755" t="inlineStr"/>
      <c r="M3755" t="inlineStr"/>
      <c r="N3755" t="inlineStr"/>
    </row>
    <row r="3756">
      <c r="A3756" t="inlineStr">
        <is>
          <t>de-munich</t>
        </is>
      </c>
      <c r="B3756" t="inlineStr">
        <is>
          <t>Munich</t>
        </is>
      </c>
      <c r="C3756" t="inlineStr">
        <is>
          <t>Germany</t>
        </is>
      </c>
      <c r="D3756" t="inlineStr">
        <is>
          <t>Western, Northern, and Southern Europe</t>
        </is>
      </c>
      <c r="E3756" t="inlineStr">
        <is>
          <t>clean_air_raw</t>
        </is>
      </c>
      <c r="F3756" t="inlineStr">
        <is>
          <t>Clean air raw</t>
        </is>
      </c>
      <c r="G3756" t="inlineStr">
        <is>
          <t>viability</t>
        </is>
      </c>
      <c r="H3756" t="inlineStr">
        <is>
          <t>yes</t>
        </is>
      </c>
      <c r="I3756" t="inlineStr"/>
      <c r="J3756" t="inlineStr"/>
      <c r="K3756" t="inlineStr"/>
      <c r="L3756" t="inlineStr"/>
      <c r="M3756" t="inlineStr"/>
      <c r="N3756" t="inlineStr"/>
    </row>
    <row r="3757">
      <c r="A3757" t="inlineStr">
        <is>
          <t>de-munich</t>
        </is>
      </c>
      <c r="B3757" t="inlineStr">
        <is>
          <t>Munich</t>
        </is>
      </c>
      <c r="C3757" t="inlineStr">
        <is>
          <t>Germany</t>
        </is>
      </c>
      <c r="D3757" t="inlineStr">
        <is>
          <t>Western, Northern, and Southern Europe</t>
        </is>
      </c>
      <c r="E3757" t="inlineStr">
        <is>
          <t>water_sanitation_utility_raw</t>
        </is>
      </c>
      <c r="F3757" t="inlineStr">
        <is>
          <t>Water, sanitation, and utility raw</t>
        </is>
      </c>
      <c r="G3757" t="inlineStr">
        <is>
          <t>viability</t>
        </is>
      </c>
      <c r="H3757" t="inlineStr">
        <is>
          <t>yes</t>
        </is>
      </c>
      <c r="I3757" t="inlineStr"/>
      <c r="J3757" t="inlineStr"/>
      <c r="K3757" t="inlineStr"/>
      <c r="L3757" t="inlineStr"/>
      <c r="M3757" t="inlineStr"/>
      <c r="N3757" t="inlineStr"/>
    </row>
    <row r="3758">
      <c r="A3758" t="inlineStr">
        <is>
          <t>de-munich</t>
        </is>
      </c>
      <c r="B3758" t="inlineStr">
        <is>
          <t>Munich</t>
        </is>
      </c>
      <c r="C3758" t="inlineStr">
        <is>
          <t>Germany</t>
        </is>
      </c>
      <c r="D3758" t="inlineStr">
        <is>
          <t>Western, Northern, and Southern Europe</t>
        </is>
      </c>
      <c r="E3758" t="inlineStr">
        <is>
          <t>digital_infrastructure_raw</t>
        </is>
      </c>
      <c r="F3758" t="inlineStr">
        <is>
          <t>Digital infrastructure raw</t>
        </is>
      </c>
      <c r="G3758" t="inlineStr">
        <is>
          <t>viability</t>
        </is>
      </c>
      <c r="H3758" t="inlineStr">
        <is>
          <t>yes</t>
        </is>
      </c>
      <c r="I3758" t="inlineStr"/>
      <c r="J3758" t="inlineStr"/>
      <c r="K3758" t="inlineStr"/>
      <c r="L3758" t="inlineStr"/>
      <c r="M3758" t="inlineStr"/>
      <c r="N3758" t="inlineStr"/>
    </row>
    <row r="3759">
      <c r="A3759" t="inlineStr">
        <is>
          <t>de-munich</t>
        </is>
      </c>
      <c r="B3759" t="inlineStr">
        <is>
          <t>Munich</t>
        </is>
      </c>
      <c r="C3759" t="inlineStr">
        <is>
          <t>Germany</t>
        </is>
      </c>
      <c r="D3759" t="inlineStr">
        <is>
          <t>Western, Northern, and Southern Europe</t>
        </is>
      </c>
      <c r="E3759" t="inlineStr">
        <is>
          <t>climate_sunlight_livability_raw</t>
        </is>
      </c>
      <c r="F3759" t="inlineStr">
        <is>
          <t>Climate and sunlight livability raw</t>
        </is>
      </c>
      <c r="G3759" t="inlineStr">
        <is>
          <t>viability</t>
        </is>
      </c>
      <c r="H3759" t="inlineStr">
        <is>
          <t>yes</t>
        </is>
      </c>
      <c r="I3759" t="inlineStr">
        <is>
          <t>52</t>
        </is>
      </c>
      <c r="J3759" t="inlineStr">
        <is>
          <t>wmo_natl_met</t>
        </is>
      </c>
      <c r="K3759" t="inlineStr">
        <is>
          <t>https://worldweather.wmo.int</t>
        </is>
      </c>
      <c r="L3759" t="inlineStr">
        <is>
          <t>WMO/National Met: Climate livability composite</t>
        </is>
      </c>
      <c r="M3759" t="inlineStr">
        <is>
          <t>2024-12-31</t>
        </is>
      </c>
      <c r="N3759" t="inlineStr">
        <is>
          <t>auto_seed=climate_composite; 1750 sun hrs, 9C mean, alpine influence</t>
        </is>
      </c>
    </row>
    <row r="3760">
      <c r="A3760" t="inlineStr">
        <is>
          <t>de-munich</t>
        </is>
      </c>
      <c r="B3760" t="inlineStr">
        <is>
          <t>Munich</t>
        </is>
      </c>
      <c r="C3760" t="inlineStr">
        <is>
          <t>Germany</t>
        </is>
      </c>
      <c r="D3760" t="inlineStr">
        <is>
          <t>Western, Northern, and Southern Europe</t>
        </is>
      </c>
      <c r="E3760" t="inlineStr">
        <is>
          <t>healthcare_quality_raw</t>
        </is>
      </c>
      <c r="F3760" t="inlineStr">
        <is>
          <t>Healthcare quality raw</t>
        </is>
      </c>
      <c r="G3760" t="inlineStr">
        <is>
          <t>capability</t>
        </is>
      </c>
      <c r="H3760" t="inlineStr">
        <is>
          <t>yes</t>
        </is>
      </c>
      <c r="I3760" t="inlineStr"/>
      <c r="J3760" t="inlineStr"/>
      <c r="K3760" t="inlineStr"/>
      <c r="L3760" t="inlineStr"/>
      <c r="M3760" t="inlineStr"/>
      <c r="N3760" t="inlineStr"/>
    </row>
    <row r="3761">
      <c r="A3761" t="inlineStr">
        <is>
          <t>de-munich</t>
        </is>
      </c>
      <c r="B3761" t="inlineStr">
        <is>
          <t>Munich</t>
        </is>
      </c>
      <c r="C3761" t="inlineStr">
        <is>
          <t>Germany</t>
        </is>
      </c>
      <c r="D3761" t="inlineStr">
        <is>
          <t>Western, Northern, and Southern Europe</t>
        </is>
      </c>
      <c r="E3761" t="inlineStr">
        <is>
          <t>education_quality_raw</t>
        </is>
      </c>
      <c r="F3761" t="inlineStr">
        <is>
          <t>Education quality raw</t>
        </is>
      </c>
      <c r="G3761" t="inlineStr">
        <is>
          <t>capability</t>
        </is>
      </c>
      <c r="H3761" t="inlineStr">
        <is>
          <t>yes</t>
        </is>
      </c>
      <c r="I3761" t="inlineStr"/>
      <c r="J3761" t="inlineStr"/>
      <c r="K3761" t="inlineStr"/>
      <c r="L3761" t="inlineStr"/>
      <c r="M3761" t="inlineStr"/>
      <c r="N3761" t="inlineStr"/>
    </row>
    <row r="3762">
      <c r="A3762" t="inlineStr">
        <is>
          <t>de-munich</t>
        </is>
      </c>
      <c r="B3762" t="inlineStr">
        <is>
          <t>Munich</t>
        </is>
      </c>
      <c r="C3762" t="inlineStr">
        <is>
          <t>Germany</t>
        </is>
      </c>
      <c r="D3762" t="inlineStr">
        <is>
          <t>Western, Northern, and Southern Europe</t>
        </is>
      </c>
      <c r="E3762" t="inlineStr">
        <is>
          <t>equal_opportunity_raw</t>
        </is>
      </c>
      <c r="F3762" t="inlineStr">
        <is>
          <t>Equal opportunity raw</t>
        </is>
      </c>
      <c r="G3762" t="inlineStr">
        <is>
          <t>capability</t>
        </is>
      </c>
      <c r="H3762" t="inlineStr">
        <is>
          <t>yes</t>
        </is>
      </c>
      <c r="I3762" t="inlineStr">
        <is>
          <t>32.4</t>
        </is>
      </c>
      <c r="J3762" t="inlineStr">
        <is>
          <t>world_bank</t>
        </is>
      </c>
      <c r="K3762" t="inlineStr">
        <is>
          <t>https://api.worldbank.org/v2/country/DEU/indicator/SI.POV.GINI?format=json&amp;mrv=10</t>
        </is>
      </c>
      <c r="L3762" t="inlineStr">
        <is>
          <t>World Bank WDI: Gini index</t>
        </is>
      </c>
      <c r="M3762" t="inlineStr">
        <is>
          <t>2020-12-31</t>
        </is>
      </c>
      <c r="N3762" t="inlineStr">
        <is>
          <t>auto_ingest=world_bank_capability; indicator=SI.POV.GINI; year=2020; country_proxy=Germany</t>
        </is>
      </c>
    </row>
    <row r="3763">
      <c r="A3763" t="inlineStr">
        <is>
          <t>de-munich</t>
        </is>
      </c>
      <c r="B3763" t="inlineStr">
        <is>
          <t>Munich</t>
        </is>
      </c>
      <c r="C3763" t="inlineStr">
        <is>
          <t>Germany</t>
        </is>
      </c>
      <c r="D3763" t="inlineStr">
        <is>
          <t>Western, Northern, and Southern Europe</t>
        </is>
      </c>
      <c r="E3763" t="inlineStr">
        <is>
          <t>hospitality_belonging_raw</t>
        </is>
      </c>
      <c r="F3763" t="inlineStr">
        <is>
          <t>Hospitality and belonging raw</t>
        </is>
      </c>
      <c r="G3763" t="inlineStr">
        <is>
          <t>community</t>
        </is>
      </c>
      <c r="H3763" t="inlineStr">
        <is>
          <t>yes</t>
        </is>
      </c>
      <c r="I3763" t="inlineStr"/>
      <c r="J3763" t="inlineStr"/>
      <c r="K3763" t="inlineStr"/>
      <c r="L3763" t="inlineStr"/>
      <c r="M3763" t="inlineStr"/>
      <c r="N3763" t="inlineStr"/>
    </row>
    <row r="3764">
      <c r="A3764" t="inlineStr">
        <is>
          <t>de-munich</t>
        </is>
      </c>
      <c r="B3764" t="inlineStr">
        <is>
          <t>Munich</t>
        </is>
      </c>
      <c r="C3764" t="inlineStr">
        <is>
          <t>Germany</t>
        </is>
      </c>
      <c r="D3764" t="inlineStr">
        <is>
          <t>Western, Northern, and Southern Europe</t>
        </is>
      </c>
      <c r="E3764" t="inlineStr">
        <is>
          <t>tolerance_pluralism_raw</t>
        </is>
      </c>
      <c r="F3764" t="inlineStr">
        <is>
          <t>Tolerance and pluralism raw</t>
        </is>
      </c>
      <c r="G3764" t="inlineStr">
        <is>
          <t>community</t>
        </is>
      </c>
      <c r="H3764" t="inlineStr">
        <is>
          <t>yes</t>
        </is>
      </c>
      <c r="I3764" t="inlineStr"/>
      <c r="J3764" t="inlineStr"/>
      <c r="K3764" t="inlineStr"/>
      <c r="L3764" t="inlineStr"/>
      <c r="M3764" t="inlineStr"/>
      <c r="N3764" t="inlineStr"/>
    </row>
    <row r="3765">
      <c r="A3765" t="inlineStr">
        <is>
          <t>de-munich</t>
        </is>
      </c>
      <c r="B3765" t="inlineStr">
        <is>
          <t>Munich</t>
        </is>
      </c>
      <c r="C3765" t="inlineStr">
        <is>
          <t>Germany</t>
        </is>
      </c>
      <c r="D3765" t="inlineStr">
        <is>
          <t>Western, Northern, and Southern Europe</t>
        </is>
      </c>
      <c r="E3765" t="inlineStr">
        <is>
          <t>cultural_public_life_raw</t>
        </is>
      </c>
      <c r="F3765" t="inlineStr">
        <is>
          <t>Cultural public life raw</t>
        </is>
      </c>
      <c r="G3765" t="inlineStr">
        <is>
          <t>community</t>
        </is>
      </c>
      <c r="H3765" t="inlineStr">
        <is>
          <t>yes</t>
        </is>
      </c>
      <c r="I3765" t="inlineStr"/>
      <c r="J3765" t="inlineStr"/>
      <c r="K3765" t="inlineStr"/>
      <c r="L3765" t="inlineStr"/>
      <c r="M3765" t="inlineStr"/>
      <c r="N3765" t="inlineStr"/>
    </row>
    <row r="3766">
      <c r="A3766" t="inlineStr">
        <is>
          <t>de-munich</t>
        </is>
      </c>
      <c r="B3766" t="inlineStr">
        <is>
          <t>Munich</t>
        </is>
      </c>
      <c r="C3766" t="inlineStr">
        <is>
          <t>Germany</t>
        </is>
      </c>
      <c r="D3766" t="inlineStr">
        <is>
          <t>Western, Northern, and Southern Europe</t>
        </is>
      </c>
      <c r="E3766" t="inlineStr">
        <is>
          <t>birth_rate_optimism_raw</t>
        </is>
      </c>
      <c r="F3766" t="inlineStr">
        <is>
          <t>Birth rate and societal optimism raw</t>
        </is>
      </c>
      <c r="G3766" t="inlineStr">
        <is>
          <t>community</t>
        </is>
      </c>
      <c r="H3766" t="inlineStr">
        <is>
          <t>yes</t>
        </is>
      </c>
      <c r="I3766" t="inlineStr">
        <is>
          <t>1.36</t>
        </is>
      </c>
      <c r="J3766" t="inlineStr">
        <is>
          <t>world_bank</t>
        </is>
      </c>
      <c r="K3766" t="inlineStr">
        <is>
          <t>https://data.worldbank.org/indicator/SP.DYN.TFRT.IN</t>
        </is>
      </c>
      <c r="L3766" t="inlineStr">
        <is>
          <t>World Bank Total Fertility Rate 2023</t>
        </is>
      </c>
      <c r="M3766" t="inlineStr">
        <is>
          <t>2024-01-01</t>
        </is>
      </c>
      <c r="N3766" t="inlineStr"/>
    </row>
    <row r="3767">
      <c r="A3767" t="inlineStr">
        <is>
          <t>de-munich</t>
        </is>
      </c>
      <c r="B3767" t="inlineStr">
        <is>
          <t>Munich</t>
        </is>
      </c>
      <c r="C3767" t="inlineStr">
        <is>
          <t>Germany</t>
        </is>
      </c>
      <c r="D3767" t="inlineStr">
        <is>
          <t>Western, Northern, and Southern Europe</t>
        </is>
      </c>
      <c r="E3767" t="inlineStr">
        <is>
          <t>entrepreneurial_dynamism_raw</t>
        </is>
      </c>
      <c r="F3767" t="inlineStr">
        <is>
          <t>Entrepreneurial dynamism raw</t>
        </is>
      </c>
      <c r="G3767" t="inlineStr">
        <is>
          <t>creative</t>
        </is>
      </c>
      <c r="H3767" t="inlineStr">
        <is>
          <t>yes</t>
        </is>
      </c>
      <c r="I3767" t="inlineStr">
        <is>
          <t>1.4</t>
        </is>
      </c>
      <c r="J3767" t="inlineStr">
        <is>
          <t>world_bank</t>
        </is>
      </c>
      <c r="K3767" t="inlineStr">
        <is>
          <t>https://api.worldbank.org/v2/country/DEU/indicator/IC.BUS.NDNS.ZS?format=json&amp;mrv=10</t>
        </is>
      </c>
      <c r="L3767" t="inlineStr">
        <is>
          <t>World Bank WDI: New business density (new registrations per 1,000 people ages 15-64)</t>
        </is>
      </c>
      <c r="M3767" t="inlineStr">
        <is>
          <t>2022-12-31</t>
        </is>
      </c>
      <c r="N3767" t="inlineStr">
        <is>
          <t>auto_ingest=world_bank_creative_extended; indicator=IC.BUS.NDNS.ZS; year=2022; country_proxy=Germany</t>
        </is>
      </c>
    </row>
    <row r="3768">
      <c r="A3768" t="inlineStr">
        <is>
          <t>de-munich</t>
        </is>
      </c>
      <c r="B3768" t="inlineStr">
        <is>
          <t>Munich</t>
        </is>
      </c>
      <c r="C3768" t="inlineStr">
        <is>
          <t>Germany</t>
        </is>
      </c>
      <c r="D3768" t="inlineStr">
        <is>
          <t>Western, Northern, and Southern Europe</t>
        </is>
      </c>
      <c r="E3768" t="inlineStr">
        <is>
          <t>innovation_research_intensity_raw</t>
        </is>
      </c>
      <c r="F3768" t="inlineStr">
        <is>
          <t>Innovation and research raw</t>
        </is>
      </c>
      <c r="G3768" t="inlineStr">
        <is>
          <t>creative</t>
        </is>
      </c>
      <c r="H3768" t="inlineStr">
        <is>
          <t>yes</t>
        </is>
      </c>
      <c r="I3768" t="inlineStr">
        <is>
          <t>3.13</t>
        </is>
      </c>
      <c r="J3768" t="inlineStr">
        <is>
          <t>world_bank</t>
        </is>
      </c>
      <c r="K3768" t="inlineStr">
        <is>
          <t>https://api.worldbank.org/v2/country/DEU/indicator/GB.XPD.RSDV.GD.ZS?format=json&amp;mrv=10</t>
        </is>
      </c>
      <c r="L3768" t="inlineStr">
        <is>
          <t>World Bank WDI: Research and development expenditure (% of GDP)</t>
        </is>
      </c>
      <c r="M3768" t="inlineStr">
        <is>
          <t>2022-12-31</t>
        </is>
      </c>
      <c r="N3768" t="inlineStr">
        <is>
          <t>auto_ingest=world_bank_creative_extended; indicator=GB.XPD.RSDV.GD.ZS; year=2022; country_proxy=Germany</t>
        </is>
      </c>
    </row>
    <row r="3769">
      <c r="A3769" t="inlineStr">
        <is>
          <t>de-munich</t>
        </is>
      </c>
      <c r="B3769" t="inlineStr">
        <is>
          <t>Munich</t>
        </is>
      </c>
      <c r="C3769" t="inlineStr">
        <is>
          <t>Germany</t>
        </is>
      </c>
      <c r="D3769" t="inlineStr">
        <is>
          <t>Western, Northern, and Southern Europe</t>
        </is>
      </c>
      <c r="E3769" t="inlineStr">
        <is>
          <t>investment_signal_raw</t>
        </is>
      </c>
      <c r="F3769" t="inlineStr">
        <is>
          <t>Investment signal raw</t>
        </is>
      </c>
      <c r="G3769" t="inlineStr">
        <is>
          <t>creative</t>
        </is>
      </c>
      <c r="H3769" t="inlineStr">
        <is>
          <t>yes</t>
        </is>
      </c>
      <c r="I3769" t="inlineStr">
        <is>
          <t>1.02</t>
        </is>
      </c>
      <c r="J3769" t="inlineStr">
        <is>
          <t>world_bank</t>
        </is>
      </c>
      <c r="K3769" t="inlineStr">
        <is>
          <t>https://api.worldbank.org/v2/country/DEU/indicator/BX.KLT.DINV.WD.GD.ZS?format=json&amp;mrv=10</t>
        </is>
      </c>
      <c r="L3769" t="inlineStr">
        <is>
          <t>World Bank WDI: Foreign direct investment, net inflows (% of GDP)</t>
        </is>
      </c>
      <c r="M3769" t="inlineStr">
        <is>
          <t>2024-12-31</t>
        </is>
      </c>
      <c r="N3769" t="inlineStr">
        <is>
          <t>auto_ingest=world_bank_creative_extended; indicator=BX.KLT.DINV.WD.GD.ZS; year=2024; country_proxy=Germany</t>
        </is>
      </c>
    </row>
    <row r="3770">
      <c r="A3770" t="inlineStr">
        <is>
          <t>de-munich</t>
        </is>
      </c>
      <c r="B3770" t="inlineStr">
        <is>
          <t>Munich</t>
        </is>
      </c>
      <c r="C3770" t="inlineStr">
        <is>
          <t>Germany</t>
        </is>
      </c>
      <c r="D3770" t="inlineStr">
        <is>
          <t>Western, Northern, and Southern Europe</t>
        </is>
      </c>
      <c r="E3770" t="inlineStr">
        <is>
          <t>administrative_investment_friction_raw</t>
        </is>
      </c>
      <c r="F3770" t="inlineStr">
        <is>
          <t>Administrative investment friction raw</t>
        </is>
      </c>
      <c r="G3770" t="inlineStr">
        <is>
          <t>creative</t>
        </is>
      </c>
      <c r="H3770" t="inlineStr">
        <is>
          <t>yes</t>
        </is>
      </c>
      <c r="I3770" t="inlineStr">
        <is>
          <t>1.04</t>
        </is>
      </c>
      <c r="J3770" t="inlineStr">
        <is>
          <t>world_bank</t>
        </is>
      </c>
      <c r="K3770" t="inlineStr">
        <is>
          <t>https://api.worldbank.org/v2/country/DEU/indicator/RQ.EST?format=json&amp;mrv=10</t>
        </is>
      </c>
      <c r="L3770" t="inlineStr">
        <is>
          <t>World Bank WGI: Regulatory Quality (inverted as friction proxy)</t>
        </is>
      </c>
      <c r="M3770" t="inlineStr">
        <is>
          <t>2023-12-31</t>
        </is>
      </c>
      <c r="N3770" t="inlineStr">
        <is>
          <t>auto_ingest=world_bank_business_friction; indicator=RQ.EST; raw_rq=1.45697498321533; friction=1.04; year=2023; country_proxy=Germany</t>
        </is>
      </c>
    </row>
    <row r="3771">
      <c r="A3771" t="inlineStr">
        <is>
          <t>de-munich</t>
        </is>
      </c>
      <c r="B3771" t="inlineStr">
        <is>
          <t>Munich</t>
        </is>
      </c>
      <c r="C3771" t="inlineStr">
        <is>
          <t>Germany</t>
        </is>
      </c>
      <c r="D3771" t="inlineStr">
        <is>
          <t>Western, Northern, and Southern Europe</t>
        </is>
      </c>
      <c r="E3771" t="inlineStr">
        <is>
          <t>visitor_flow_context_raw</t>
        </is>
      </c>
      <c r="F3771" t="inlineStr">
        <is>
          <t>Visitor flow context raw</t>
        </is>
      </c>
      <c r="G3771" t="inlineStr">
        <is>
          <t>creative</t>
        </is>
      </c>
      <c r="H3771" t="inlineStr">
        <is>
          <t>no</t>
        </is>
      </c>
      <c r="I3771" t="inlineStr"/>
      <c r="J3771" t="inlineStr"/>
      <c r="K3771" t="inlineStr"/>
      <c r="L3771" t="inlineStr"/>
      <c r="M3771" t="inlineStr"/>
      <c r="N3771" t="inlineStr"/>
    </row>
    <row r="3772">
      <c r="A3772" t="inlineStr">
        <is>
          <t>be-antwerp</t>
        </is>
      </c>
      <c r="B3772" t="inlineStr">
        <is>
          <t>Antwerp</t>
        </is>
      </c>
      <c r="C3772" t="inlineStr">
        <is>
          <t>Belgium</t>
        </is>
      </c>
      <c r="D3772" t="inlineStr">
        <is>
          <t>Western, Northern, and Southern Europe</t>
        </is>
      </c>
      <c r="E3772" t="inlineStr">
        <is>
          <t>gross_income</t>
        </is>
      </c>
      <c r="F3772" t="inlineStr">
        <is>
          <t>Gross income</t>
        </is>
      </c>
      <c r="G3772" t="inlineStr">
        <is>
          <t>pressure</t>
        </is>
      </c>
      <c r="H3772" t="inlineStr">
        <is>
          <t>yes</t>
        </is>
      </c>
      <c r="I3772" t="inlineStr">
        <is>
          <t>6230.83</t>
        </is>
      </c>
      <c r="J3772" t="inlineStr">
        <is>
          <t>world_bank_col_estimate</t>
        </is>
      </c>
      <c r="K3772" t="inlineStr">
        <is>
          <t>https://api.worldbank.org/v2/country/BEL/indicator/NY.GNP.PCAP.PP.CD?format=json&amp;mrv=10</t>
        </is>
      </c>
      <c r="L3772" t="inlineStr">
        <is>
          <t>World Bank WDI: GNI per capita PPP (monthly USD)</t>
        </is>
      </c>
      <c r="M3772" t="inlineStr">
        <is>
          <t>2024-12-31</t>
        </is>
      </c>
      <c r="N3772" t="inlineStr">
        <is>
          <t>auto_ingest=world_bank_col_estimate; gni_annual=74770.0; year=2024; country_proxy=Belgium; cohort=Western, Northern, and Southern Europe</t>
        </is>
      </c>
    </row>
    <row r="3773">
      <c r="A3773" t="inlineStr">
        <is>
          <t>be-antwerp</t>
        </is>
      </c>
      <c r="B3773" t="inlineStr">
        <is>
          <t>Antwerp</t>
        </is>
      </c>
      <c r="C3773" t="inlineStr">
        <is>
          <t>Belgium</t>
        </is>
      </c>
      <c r="D3773" t="inlineStr">
        <is>
          <t>Western, Northern, and Southern Europe</t>
        </is>
      </c>
      <c r="E3773" t="inlineStr">
        <is>
          <t>di_ppp_raw</t>
        </is>
      </c>
      <c r="F3773" t="inlineStr">
        <is>
          <t>Disposable income PPP (Raw)</t>
        </is>
      </c>
      <c r="G3773" t="inlineStr">
        <is>
          <t>pressure</t>
        </is>
      </c>
      <c r="H3773" t="inlineStr">
        <is>
          <t>yes</t>
        </is>
      </c>
      <c r="I3773" t="inlineStr"/>
      <c r="J3773" t="inlineStr"/>
      <c r="K3773" t="inlineStr"/>
      <c r="L3773" t="inlineStr"/>
      <c r="M3773" t="inlineStr"/>
      <c r="N3773" t="inlineStr"/>
    </row>
    <row r="3774">
      <c r="A3774" t="inlineStr">
        <is>
          <t>be-antwerp</t>
        </is>
      </c>
      <c r="B3774" t="inlineStr">
        <is>
          <t>Antwerp</t>
        </is>
      </c>
      <c r="C3774" t="inlineStr">
        <is>
          <t>Belgium</t>
        </is>
      </c>
      <c r="D3774" t="inlineStr">
        <is>
          <t>Western, Northern, and Southern Europe</t>
        </is>
      </c>
      <c r="E3774" t="inlineStr">
        <is>
          <t>rent</t>
        </is>
      </c>
      <c r="F3774" t="inlineStr">
        <is>
          <t>Rent</t>
        </is>
      </c>
      <c r="G3774" t="inlineStr">
        <is>
          <t>pressure</t>
        </is>
      </c>
      <c r="H3774" t="inlineStr">
        <is>
          <t>yes</t>
        </is>
      </c>
      <c r="I3774" t="inlineStr">
        <is>
          <t>1962.71</t>
        </is>
      </c>
      <c r="J3774" t="inlineStr">
        <is>
          <t>world_bank_col_estimate</t>
        </is>
      </c>
      <c r="K3774" t="inlineStr">
        <is>
          <t>https://api.worldbank.org/v2/country/BEL/indicator/NY.GNP.PCAP.PP.CD?format=json&amp;mrv=10</t>
        </is>
      </c>
      <c r="L3774" t="inlineStr">
        <is>
          <t>World Bank GNI + regional expenditure ratio estimate</t>
        </is>
      </c>
      <c r="M3774" t="inlineStr">
        <is>
          <t>2024-12-31</t>
        </is>
      </c>
      <c r="N3774" t="inlineStr">
        <is>
          <t>auto_ingest=world_bank_col_estimate; gni_annual=74770.0; year=2024; country_proxy=Belgium; cohort=Western, Northern, and Southern Europe; city_cost_mult=0.9</t>
        </is>
      </c>
    </row>
    <row r="3775">
      <c r="A3775" t="inlineStr">
        <is>
          <t>be-antwerp</t>
        </is>
      </c>
      <c r="B3775" t="inlineStr">
        <is>
          <t>Antwerp</t>
        </is>
      </c>
      <c r="C3775" t="inlineStr">
        <is>
          <t>Belgium</t>
        </is>
      </c>
      <c r="D3775" t="inlineStr">
        <is>
          <t>Western, Northern, and Southern Europe</t>
        </is>
      </c>
      <c r="E3775" t="inlineStr">
        <is>
          <t>utilities</t>
        </is>
      </c>
      <c r="F3775" t="inlineStr">
        <is>
          <t>Utilities</t>
        </is>
      </c>
      <c r="G3775" t="inlineStr">
        <is>
          <t>pressure</t>
        </is>
      </c>
      <c r="H3775" t="inlineStr">
        <is>
          <t>yes</t>
        </is>
      </c>
      <c r="I3775" t="inlineStr">
        <is>
          <t>392.54</t>
        </is>
      </c>
      <c r="J3775" t="inlineStr">
        <is>
          <t>world_bank_col_estimate</t>
        </is>
      </c>
      <c r="K3775" t="inlineStr">
        <is>
          <t>https://api.worldbank.org/v2/country/BEL/indicator/NY.GNP.PCAP.PP.CD?format=json&amp;mrv=10</t>
        </is>
      </c>
      <c r="L3775" t="inlineStr">
        <is>
          <t>World Bank GNI + regional expenditure ratio estimate</t>
        </is>
      </c>
      <c r="M3775" t="inlineStr">
        <is>
          <t>2024-12-31</t>
        </is>
      </c>
      <c r="N3775" t="inlineStr">
        <is>
          <t>auto_ingest=world_bank_col_estimate; gni_annual=74770.0; year=2024; country_proxy=Belgium; cohort=Western, Northern, and Southern Europe; city_cost_mult=0.9</t>
        </is>
      </c>
    </row>
    <row r="3776">
      <c r="A3776" t="inlineStr">
        <is>
          <t>be-antwerp</t>
        </is>
      </c>
      <c r="B3776" t="inlineStr">
        <is>
          <t>Antwerp</t>
        </is>
      </c>
      <c r="C3776" t="inlineStr">
        <is>
          <t>Belgium</t>
        </is>
      </c>
      <c r="D3776" t="inlineStr">
        <is>
          <t>Western, Northern, and Southern Europe</t>
        </is>
      </c>
      <c r="E3776" t="inlineStr">
        <is>
          <t>transit_cost</t>
        </is>
      </c>
      <c r="F3776" t="inlineStr">
        <is>
          <t>Transit cost</t>
        </is>
      </c>
      <c r="G3776" t="inlineStr">
        <is>
          <t>pressure</t>
        </is>
      </c>
      <c r="H3776" t="inlineStr">
        <is>
          <t>yes</t>
        </is>
      </c>
      <c r="I3776" t="inlineStr">
        <is>
          <t>280.39</t>
        </is>
      </c>
      <c r="J3776" t="inlineStr">
        <is>
          <t>world_bank_col_estimate</t>
        </is>
      </c>
      <c r="K3776" t="inlineStr">
        <is>
          <t>https://api.worldbank.org/v2/country/BEL/indicator/NY.GNP.PCAP.PP.CD?format=json&amp;mrv=10</t>
        </is>
      </c>
      <c r="L3776" t="inlineStr">
        <is>
          <t>World Bank GNI + regional expenditure ratio estimate</t>
        </is>
      </c>
      <c r="M3776" t="inlineStr">
        <is>
          <t>2024-12-31</t>
        </is>
      </c>
      <c r="N3776" t="inlineStr">
        <is>
          <t>auto_ingest=world_bank_col_estimate; gni_annual=74770.0; year=2024; country_proxy=Belgium; cohort=Western, Northern, and Southern Europe; city_cost_mult=0.9</t>
        </is>
      </c>
    </row>
    <row r="3777">
      <c r="A3777" t="inlineStr">
        <is>
          <t>be-antwerp</t>
        </is>
      </c>
      <c r="B3777" t="inlineStr">
        <is>
          <t>Antwerp</t>
        </is>
      </c>
      <c r="C3777" t="inlineStr">
        <is>
          <t>Belgium</t>
        </is>
      </c>
      <c r="D3777" t="inlineStr">
        <is>
          <t>Western, Northern, and Southern Europe</t>
        </is>
      </c>
      <c r="E3777" t="inlineStr">
        <is>
          <t>internet_cost</t>
        </is>
      </c>
      <c r="F3777" t="inlineStr">
        <is>
          <t>Internet cost</t>
        </is>
      </c>
      <c r="G3777" t="inlineStr">
        <is>
          <t>pressure</t>
        </is>
      </c>
      <c r="H3777" t="inlineStr">
        <is>
          <t>yes</t>
        </is>
      </c>
      <c r="I3777" t="inlineStr">
        <is>
          <t>84.12</t>
        </is>
      </c>
      <c r="J3777" t="inlineStr">
        <is>
          <t>world_bank_col_estimate</t>
        </is>
      </c>
      <c r="K3777" t="inlineStr">
        <is>
          <t>https://api.worldbank.org/v2/country/BEL/indicator/NY.GNP.PCAP.PP.CD?format=json&amp;mrv=10</t>
        </is>
      </c>
      <c r="L3777" t="inlineStr">
        <is>
          <t>World Bank GNI + regional expenditure ratio estimate</t>
        </is>
      </c>
      <c r="M3777" t="inlineStr">
        <is>
          <t>2024-12-31</t>
        </is>
      </c>
      <c r="N3777" t="inlineStr">
        <is>
          <t>auto_ingest=world_bank_col_estimate; gni_annual=74770.0; year=2024; country_proxy=Belgium; cohort=Western, Northern, and Southern Europe; city_cost_mult=0.9</t>
        </is>
      </c>
    </row>
    <row r="3778">
      <c r="A3778" t="inlineStr">
        <is>
          <t>be-antwerp</t>
        </is>
      </c>
      <c r="B3778" t="inlineStr">
        <is>
          <t>Antwerp</t>
        </is>
      </c>
      <c r="C3778" t="inlineStr">
        <is>
          <t>Belgium</t>
        </is>
      </c>
      <c r="D3778" t="inlineStr">
        <is>
          <t>Western, Northern, and Southern Europe</t>
        </is>
      </c>
      <c r="E3778" t="inlineStr">
        <is>
          <t>food_cost</t>
        </is>
      </c>
      <c r="F3778" t="inlineStr">
        <is>
          <t>Food cost</t>
        </is>
      </c>
      <c r="G3778" t="inlineStr">
        <is>
          <t>pressure</t>
        </is>
      </c>
      <c r="H3778" t="inlineStr">
        <is>
          <t>yes</t>
        </is>
      </c>
      <c r="I3778" t="inlineStr">
        <is>
          <t>841.16</t>
        </is>
      </c>
      <c r="J3778" t="inlineStr">
        <is>
          <t>world_bank_col_estimate</t>
        </is>
      </c>
      <c r="K3778" t="inlineStr">
        <is>
          <t>https://api.worldbank.org/v2/country/BEL/indicator/NY.GNP.PCAP.PP.CD?format=json&amp;mrv=10</t>
        </is>
      </c>
      <c r="L3778" t="inlineStr">
        <is>
          <t>World Bank GNI + regional expenditure ratio estimate</t>
        </is>
      </c>
      <c r="M3778" t="inlineStr">
        <is>
          <t>2024-12-31</t>
        </is>
      </c>
      <c r="N3778" t="inlineStr">
        <is>
          <t>auto_ingest=world_bank_col_estimate; gni_annual=74770.0; year=2024; country_proxy=Belgium; cohort=Western, Northern, and Southern Europe; city_cost_mult=0.9</t>
        </is>
      </c>
    </row>
    <row r="3779">
      <c r="A3779" t="inlineStr">
        <is>
          <t>be-antwerp</t>
        </is>
      </c>
      <c r="B3779" t="inlineStr">
        <is>
          <t>Antwerp</t>
        </is>
      </c>
      <c r="C3779" t="inlineStr">
        <is>
          <t>Belgium</t>
        </is>
      </c>
      <c r="D3779" t="inlineStr">
        <is>
          <t>Western, Northern, and Southern Europe</t>
        </is>
      </c>
      <c r="E3779" t="inlineStr">
        <is>
          <t>housing_burden_raw</t>
        </is>
      </c>
      <c r="F3779" t="inlineStr">
        <is>
          <t>Housing burden raw</t>
        </is>
      </c>
      <c r="G3779" t="inlineStr">
        <is>
          <t>pressure</t>
        </is>
      </c>
      <c r="H3779" t="inlineStr">
        <is>
          <t>yes</t>
        </is>
      </c>
      <c r="I3779" t="inlineStr">
        <is>
          <t>31.5</t>
        </is>
      </c>
      <c r="J3779" t="inlineStr">
        <is>
          <t>derived</t>
        </is>
      </c>
      <c r="K3779" t="inlineStr">
        <is>
          <t>https://data.worldbank.org/indicator/NY.GNP.PCAP.PP.CD</t>
        </is>
      </c>
      <c r="L3779" t="inlineStr">
        <is>
          <t>Computed from city_inputs + country_context</t>
        </is>
      </c>
      <c r="M3779" t="inlineStr">
        <is>
          <t>2024-01-01</t>
        </is>
      </c>
      <c r="N3779" t="inlineStr">
        <is>
          <t>derived=rent/gross_income*100</t>
        </is>
      </c>
    </row>
    <row r="3780">
      <c r="A3780" t="inlineStr">
        <is>
          <t>be-antwerp</t>
        </is>
      </c>
      <c r="B3780" t="inlineStr">
        <is>
          <t>Antwerp</t>
        </is>
      </c>
      <c r="C3780" t="inlineStr">
        <is>
          <t>Belgium</t>
        </is>
      </c>
      <c r="D3780" t="inlineStr">
        <is>
          <t>Western, Northern, and Southern Europe</t>
        </is>
      </c>
      <c r="E3780" t="inlineStr">
        <is>
          <t>household_debt_burden_raw</t>
        </is>
      </c>
      <c r="F3780" t="inlineStr">
        <is>
          <t>Household debt burden raw</t>
        </is>
      </c>
      <c r="G3780" t="inlineStr">
        <is>
          <t>pressure</t>
        </is>
      </c>
      <c r="H3780" t="inlineStr">
        <is>
          <t>yes</t>
        </is>
      </c>
      <c r="I3780" t="inlineStr"/>
      <c r="J3780" t="inlineStr"/>
      <c r="K3780" t="inlineStr"/>
      <c r="L3780" t="inlineStr"/>
      <c r="M3780" t="inlineStr"/>
      <c r="N3780" t="inlineStr"/>
    </row>
    <row r="3781">
      <c r="A3781" t="inlineStr">
        <is>
          <t>be-antwerp</t>
        </is>
      </c>
      <c r="B3781" t="inlineStr">
        <is>
          <t>Antwerp</t>
        </is>
      </c>
      <c r="C3781" t="inlineStr">
        <is>
          <t>Belgium</t>
        </is>
      </c>
      <c r="D3781" t="inlineStr">
        <is>
          <t>Western, Northern, and Southern Europe</t>
        </is>
      </c>
      <c r="E3781" t="inlineStr">
        <is>
          <t>working_time_pressure_raw</t>
        </is>
      </c>
      <c r="F3781" t="inlineStr">
        <is>
          <t>Working time pressure raw</t>
        </is>
      </c>
      <c r="G3781" t="inlineStr">
        <is>
          <t>pressure</t>
        </is>
      </c>
      <c r="H3781" t="inlineStr">
        <is>
          <t>yes</t>
        </is>
      </c>
      <c r="I3781" t="inlineStr"/>
      <c r="J3781" t="inlineStr"/>
      <c r="K3781" t="inlineStr"/>
      <c r="L3781" t="inlineStr"/>
      <c r="M3781" t="inlineStr"/>
      <c r="N3781" t="inlineStr"/>
    </row>
    <row r="3782">
      <c r="A3782" t="inlineStr">
        <is>
          <t>be-antwerp</t>
        </is>
      </c>
      <c r="B3782" t="inlineStr">
        <is>
          <t>Antwerp</t>
        </is>
      </c>
      <c r="C3782" t="inlineStr">
        <is>
          <t>Belgium</t>
        </is>
      </c>
      <c r="D3782" t="inlineStr">
        <is>
          <t>Western, Northern, and Southern Europe</t>
        </is>
      </c>
      <c r="E3782" t="inlineStr">
        <is>
          <t>suicide_mental_strain_raw</t>
        </is>
      </c>
      <c r="F3782" t="inlineStr">
        <is>
          <t>Suicide or mental strain raw</t>
        </is>
      </c>
      <c r="G3782" t="inlineStr">
        <is>
          <t>pressure</t>
        </is>
      </c>
      <c r="H3782" t="inlineStr">
        <is>
          <t>yes</t>
        </is>
      </c>
      <c r="I3782" t="inlineStr"/>
      <c r="J3782" t="inlineStr"/>
      <c r="K3782" t="inlineStr"/>
      <c r="L3782" t="inlineStr"/>
      <c r="M3782" t="inlineStr"/>
      <c r="N3782" t="inlineStr"/>
    </row>
    <row r="3783">
      <c r="A3783" t="inlineStr">
        <is>
          <t>be-antwerp</t>
        </is>
      </c>
      <c r="B3783" t="inlineStr">
        <is>
          <t>Antwerp</t>
        </is>
      </c>
      <c r="C3783" t="inlineStr">
        <is>
          <t>Belgium</t>
        </is>
      </c>
      <c r="D3783" t="inlineStr">
        <is>
          <t>Western, Northern, and Southern Europe</t>
        </is>
      </c>
      <c r="E3783" t="inlineStr">
        <is>
          <t>personal_safety_raw</t>
        </is>
      </c>
      <c r="F3783" t="inlineStr">
        <is>
          <t>Personal safety raw</t>
        </is>
      </c>
      <c r="G3783" t="inlineStr">
        <is>
          <t>viability</t>
        </is>
      </c>
      <c r="H3783" t="inlineStr">
        <is>
          <t>yes</t>
        </is>
      </c>
      <c r="I3783" t="inlineStr"/>
      <c r="J3783" t="inlineStr"/>
      <c r="K3783" t="inlineStr"/>
      <c r="L3783" t="inlineStr"/>
      <c r="M3783" t="inlineStr"/>
      <c r="N3783" t="inlineStr"/>
    </row>
    <row r="3784">
      <c r="A3784" t="inlineStr">
        <is>
          <t>be-antwerp</t>
        </is>
      </c>
      <c r="B3784" t="inlineStr">
        <is>
          <t>Antwerp</t>
        </is>
      </c>
      <c r="C3784" t="inlineStr">
        <is>
          <t>Belgium</t>
        </is>
      </c>
      <c r="D3784" t="inlineStr">
        <is>
          <t>Western, Northern, and Southern Europe</t>
        </is>
      </c>
      <c r="E3784" t="inlineStr">
        <is>
          <t>transit_access_commute_raw</t>
        </is>
      </c>
      <c r="F3784" t="inlineStr">
        <is>
          <t>Transit access and commute raw</t>
        </is>
      </c>
      <c r="G3784" t="inlineStr">
        <is>
          <t>viability</t>
        </is>
      </c>
      <c r="H3784" t="inlineStr">
        <is>
          <t>yes</t>
        </is>
      </c>
      <c r="I3784" t="inlineStr"/>
      <c r="J3784" t="inlineStr"/>
      <c r="K3784" t="inlineStr"/>
      <c r="L3784" t="inlineStr"/>
      <c r="M3784" t="inlineStr"/>
      <c r="N3784" t="inlineStr"/>
    </row>
    <row r="3785">
      <c r="A3785" t="inlineStr">
        <is>
          <t>be-antwerp</t>
        </is>
      </c>
      <c r="B3785" t="inlineStr">
        <is>
          <t>Antwerp</t>
        </is>
      </c>
      <c r="C3785" t="inlineStr">
        <is>
          <t>Belgium</t>
        </is>
      </c>
      <c r="D3785" t="inlineStr">
        <is>
          <t>Western, Northern, and Southern Europe</t>
        </is>
      </c>
      <c r="E3785" t="inlineStr">
        <is>
          <t>clean_air_raw</t>
        </is>
      </c>
      <c r="F3785" t="inlineStr">
        <is>
          <t>Clean air raw</t>
        </is>
      </c>
      <c r="G3785" t="inlineStr">
        <is>
          <t>viability</t>
        </is>
      </c>
      <c r="H3785" t="inlineStr">
        <is>
          <t>yes</t>
        </is>
      </c>
      <c r="I3785" t="inlineStr"/>
      <c r="J3785" t="inlineStr"/>
      <c r="K3785" t="inlineStr"/>
      <c r="L3785" t="inlineStr"/>
      <c r="M3785" t="inlineStr"/>
      <c r="N3785" t="inlineStr"/>
    </row>
    <row r="3786">
      <c r="A3786" t="inlineStr">
        <is>
          <t>be-antwerp</t>
        </is>
      </c>
      <c r="B3786" t="inlineStr">
        <is>
          <t>Antwerp</t>
        </is>
      </c>
      <c r="C3786" t="inlineStr">
        <is>
          <t>Belgium</t>
        </is>
      </c>
      <c r="D3786" t="inlineStr">
        <is>
          <t>Western, Northern, and Southern Europe</t>
        </is>
      </c>
      <c r="E3786" t="inlineStr">
        <is>
          <t>water_sanitation_utility_raw</t>
        </is>
      </c>
      <c r="F3786" t="inlineStr">
        <is>
          <t>Water, sanitation, and utility raw</t>
        </is>
      </c>
      <c r="G3786" t="inlineStr">
        <is>
          <t>viability</t>
        </is>
      </c>
      <c r="H3786" t="inlineStr">
        <is>
          <t>yes</t>
        </is>
      </c>
      <c r="I3786" t="inlineStr"/>
      <c r="J3786" t="inlineStr"/>
      <c r="K3786" t="inlineStr"/>
      <c r="L3786" t="inlineStr"/>
      <c r="M3786" t="inlineStr"/>
      <c r="N3786" t="inlineStr"/>
    </row>
    <row r="3787">
      <c r="A3787" t="inlineStr">
        <is>
          <t>be-antwerp</t>
        </is>
      </c>
      <c r="B3787" t="inlineStr">
        <is>
          <t>Antwerp</t>
        </is>
      </c>
      <c r="C3787" t="inlineStr">
        <is>
          <t>Belgium</t>
        </is>
      </c>
      <c r="D3787" t="inlineStr">
        <is>
          <t>Western, Northern, and Southern Europe</t>
        </is>
      </c>
      <c r="E3787" t="inlineStr">
        <is>
          <t>digital_infrastructure_raw</t>
        </is>
      </c>
      <c r="F3787" t="inlineStr">
        <is>
          <t>Digital infrastructure raw</t>
        </is>
      </c>
      <c r="G3787" t="inlineStr">
        <is>
          <t>viability</t>
        </is>
      </c>
      <c r="H3787" t="inlineStr">
        <is>
          <t>yes</t>
        </is>
      </c>
      <c r="I3787" t="inlineStr"/>
      <c r="J3787" t="inlineStr"/>
      <c r="K3787" t="inlineStr"/>
      <c r="L3787" t="inlineStr"/>
      <c r="M3787" t="inlineStr"/>
      <c r="N3787" t="inlineStr"/>
    </row>
    <row r="3788">
      <c r="A3788" t="inlineStr">
        <is>
          <t>be-antwerp</t>
        </is>
      </c>
      <c r="B3788" t="inlineStr">
        <is>
          <t>Antwerp</t>
        </is>
      </c>
      <c r="C3788" t="inlineStr">
        <is>
          <t>Belgium</t>
        </is>
      </c>
      <c r="D3788" t="inlineStr">
        <is>
          <t>Western, Northern, and Southern Europe</t>
        </is>
      </c>
      <c r="E3788" t="inlineStr">
        <is>
          <t>climate_sunlight_livability_raw</t>
        </is>
      </c>
      <c r="F3788" t="inlineStr">
        <is>
          <t>Climate and sunlight livability raw</t>
        </is>
      </c>
      <c r="G3788" t="inlineStr">
        <is>
          <t>viability</t>
        </is>
      </c>
      <c r="H3788" t="inlineStr">
        <is>
          <t>yes</t>
        </is>
      </c>
      <c r="I3788" t="inlineStr">
        <is>
          <t>44</t>
        </is>
      </c>
      <c r="J3788" t="inlineStr">
        <is>
          <t>wmo_natl_met</t>
        </is>
      </c>
      <c r="K3788" t="inlineStr">
        <is>
          <t>https://worldweather.wmo.int</t>
        </is>
      </c>
      <c r="L3788" t="inlineStr">
        <is>
          <t>WMO/National Met: Climate livability composite</t>
        </is>
      </c>
      <c r="M3788" t="inlineStr">
        <is>
          <t>2024-12-31</t>
        </is>
      </c>
      <c r="N3788" t="inlineStr">
        <is>
          <t>auto_seed=climate_composite; 1550 sun hrs, 10C mean</t>
        </is>
      </c>
    </row>
    <row r="3789">
      <c r="A3789" t="inlineStr">
        <is>
          <t>be-antwerp</t>
        </is>
      </c>
      <c r="B3789" t="inlineStr">
        <is>
          <t>Antwerp</t>
        </is>
      </c>
      <c r="C3789" t="inlineStr">
        <is>
          <t>Belgium</t>
        </is>
      </c>
      <c r="D3789" t="inlineStr">
        <is>
          <t>Western, Northern, and Southern Europe</t>
        </is>
      </c>
      <c r="E3789" t="inlineStr">
        <is>
          <t>healthcare_quality_raw</t>
        </is>
      </c>
      <c r="F3789" t="inlineStr">
        <is>
          <t>Healthcare quality raw</t>
        </is>
      </c>
      <c r="G3789" t="inlineStr">
        <is>
          <t>capability</t>
        </is>
      </c>
      <c r="H3789" t="inlineStr">
        <is>
          <t>yes</t>
        </is>
      </c>
      <c r="I3789" t="inlineStr"/>
      <c r="J3789" t="inlineStr"/>
      <c r="K3789" t="inlineStr"/>
      <c r="L3789" t="inlineStr"/>
      <c r="M3789" t="inlineStr"/>
      <c r="N3789" t="inlineStr"/>
    </row>
    <row r="3790">
      <c r="A3790" t="inlineStr">
        <is>
          <t>be-antwerp</t>
        </is>
      </c>
      <c r="B3790" t="inlineStr">
        <is>
          <t>Antwerp</t>
        </is>
      </c>
      <c r="C3790" t="inlineStr">
        <is>
          <t>Belgium</t>
        </is>
      </c>
      <c r="D3790" t="inlineStr">
        <is>
          <t>Western, Northern, and Southern Europe</t>
        </is>
      </c>
      <c r="E3790" t="inlineStr">
        <is>
          <t>education_quality_raw</t>
        </is>
      </c>
      <c r="F3790" t="inlineStr">
        <is>
          <t>Education quality raw</t>
        </is>
      </c>
      <c r="G3790" t="inlineStr">
        <is>
          <t>capability</t>
        </is>
      </c>
      <c r="H3790" t="inlineStr">
        <is>
          <t>yes</t>
        </is>
      </c>
      <c r="I3790" t="inlineStr"/>
      <c r="J3790" t="inlineStr"/>
      <c r="K3790" t="inlineStr"/>
      <c r="L3790" t="inlineStr"/>
      <c r="M3790" t="inlineStr"/>
      <c r="N3790" t="inlineStr"/>
    </row>
    <row r="3791">
      <c r="A3791" t="inlineStr">
        <is>
          <t>be-antwerp</t>
        </is>
      </c>
      <c r="B3791" t="inlineStr">
        <is>
          <t>Antwerp</t>
        </is>
      </c>
      <c r="C3791" t="inlineStr">
        <is>
          <t>Belgium</t>
        </is>
      </c>
      <c r="D3791" t="inlineStr">
        <is>
          <t>Western, Northern, and Southern Europe</t>
        </is>
      </c>
      <c r="E3791" t="inlineStr">
        <is>
          <t>equal_opportunity_raw</t>
        </is>
      </c>
      <c r="F3791" t="inlineStr">
        <is>
          <t>Equal opportunity raw</t>
        </is>
      </c>
      <c r="G3791" t="inlineStr">
        <is>
          <t>capability</t>
        </is>
      </c>
      <c r="H3791" t="inlineStr">
        <is>
          <t>yes</t>
        </is>
      </c>
      <c r="I3791" t="inlineStr">
        <is>
          <t>26.8</t>
        </is>
      </c>
      <c r="J3791" t="inlineStr">
        <is>
          <t>world_bank</t>
        </is>
      </c>
      <c r="K3791" t="inlineStr">
        <is>
          <t>https://api.worldbank.org/v2/country/BEL/indicator/SI.POV.GINI?format=json&amp;mrv=10</t>
        </is>
      </c>
      <c r="L3791" t="inlineStr">
        <is>
          <t>World Bank WDI: Gini index</t>
        </is>
      </c>
      <c r="M3791" t="inlineStr">
        <is>
          <t>2023-12-31</t>
        </is>
      </c>
      <c r="N3791" t="inlineStr">
        <is>
          <t>auto_ingest=world_bank_capability; indicator=SI.POV.GINI; year=2023; country_proxy=Belgium</t>
        </is>
      </c>
    </row>
    <row r="3792">
      <c r="A3792" t="inlineStr">
        <is>
          <t>be-antwerp</t>
        </is>
      </c>
      <c r="B3792" t="inlineStr">
        <is>
          <t>Antwerp</t>
        </is>
      </c>
      <c r="C3792" t="inlineStr">
        <is>
          <t>Belgium</t>
        </is>
      </c>
      <c r="D3792" t="inlineStr">
        <is>
          <t>Western, Northern, and Southern Europe</t>
        </is>
      </c>
      <c r="E3792" t="inlineStr">
        <is>
          <t>hospitality_belonging_raw</t>
        </is>
      </c>
      <c r="F3792" t="inlineStr">
        <is>
          <t>Hospitality and belonging raw</t>
        </is>
      </c>
      <c r="G3792" t="inlineStr">
        <is>
          <t>community</t>
        </is>
      </c>
      <c r="H3792" t="inlineStr">
        <is>
          <t>yes</t>
        </is>
      </c>
      <c r="I3792" t="inlineStr"/>
      <c r="J3792" t="inlineStr"/>
      <c r="K3792" t="inlineStr"/>
      <c r="L3792" t="inlineStr"/>
      <c r="M3792" t="inlineStr"/>
      <c r="N3792" t="inlineStr"/>
    </row>
    <row r="3793">
      <c r="A3793" t="inlineStr">
        <is>
          <t>be-antwerp</t>
        </is>
      </c>
      <c r="B3793" t="inlineStr">
        <is>
          <t>Antwerp</t>
        </is>
      </c>
      <c r="C3793" t="inlineStr">
        <is>
          <t>Belgium</t>
        </is>
      </c>
      <c r="D3793" t="inlineStr">
        <is>
          <t>Western, Northern, and Southern Europe</t>
        </is>
      </c>
      <c r="E3793" t="inlineStr">
        <is>
          <t>tolerance_pluralism_raw</t>
        </is>
      </c>
      <c r="F3793" t="inlineStr">
        <is>
          <t>Tolerance and pluralism raw</t>
        </is>
      </c>
      <c r="G3793" t="inlineStr">
        <is>
          <t>community</t>
        </is>
      </c>
      <c r="H3793" t="inlineStr">
        <is>
          <t>yes</t>
        </is>
      </c>
      <c r="I3793" t="inlineStr"/>
      <c r="J3793" t="inlineStr"/>
      <c r="K3793" t="inlineStr"/>
      <c r="L3793" t="inlineStr"/>
      <c r="M3793" t="inlineStr"/>
      <c r="N3793" t="inlineStr"/>
    </row>
    <row r="3794">
      <c r="A3794" t="inlineStr">
        <is>
          <t>be-antwerp</t>
        </is>
      </c>
      <c r="B3794" t="inlineStr">
        <is>
          <t>Antwerp</t>
        </is>
      </c>
      <c r="C3794" t="inlineStr">
        <is>
          <t>Belgium</t>
        </is>
      </c>
      <c r="D3794" t="inlineStr">
        <is>
          <t>Western, Northern, and Southern Europe</t>
        </is>
      </c>
      <c r="E3794" t="inlineStr">
        <is>
          <t>cultural_public_life_raw</t>
        </is>
      </c>
      <c r="F3794" t="inlineStr">
        <is>
          <t>Cultural public life raw</t>
        </is>
      </c>
      <c r="G3794" t="inlineStr">
        <is>
          <t>community</t>
        </is>
      </c>
      <c r="H3794" t="inlineStr">
        <is>
          <t>yes</t>
        </is>
      </c>
      <c r="I3794" t="inlineStr"/>
      <c r="J3794" t="inlineStr"/>
      <c r="K3794" t="inlineStr"/>
      <c r="L3794" t="inlineStr"/>
      <c r="M3794" t="inlineStr"/>
      <c r="N3794" t="inlineStr"/>
    </row>
    <row r="3795">
      <c r="A3795" t="inlineStr">
        <is>
          <t>be-antwerp</t>
        </is>
      </c>
      <c r="B3795" t="inlineStr">
        <is>
          <t>Antwerp</t>
        </is>
      </c>
      <c r="C3795" t="inlineStr">
        <is>
          <t>Belgium</t>
        </is>
      </c>
      <c r="D3795" t="inlineStr">
        <is>
          <t>Western, Northern, and Southern Europe</t>
        </is>
      </c>
      <c r="E3795" t="inlineStr">
        <is>
          <t>birth_rate_optimism_raw</t>
        </is>
      </c>
      <c r="F3795" t="inlineStr">
        <is>
          <t>Birth rate and societal optimism raw</t>
        </is>
      </c>
      <c r="G3795" t="inlineStr">
        <is>
          <t>community</t>
        </is>
      </c>
      <c r="H3795" t="inlineStr">
        <is>
          <t>yes</t>
        </is>
      </c>
      <c r="I3795" t="inlineStr">
        <is>
          <t>1.56</t>
        </is>
      </c>
      <c r="J3795" t="inlineStr">
        <is>
          <t>world_bank</t>
        </is>
      </c>
      <c r="K3795" t="inlineStr">
        <is>
          <t>https://data.worldbank.org/indicator/SP.DYN.TFRT.IN</t>
        </is>
      </c>
      <c r="L3795" t="inlineStr">
        <is>
          <t>World Bank Total Fertility Rate 2023</t>
        </is>
      </c>
      <c r="M3795" t="inlineStr">
        <is>
          <t>2024-01-01</t>
        </is>
      </c>
      <c r="N3795" t="inlineStr"/>
    </row>
    <row r="3796">
      <c r="A3796" t="inlineStr">
        <is>
          <t>be-antwerp</t>
        </is>
      </c>
      <c r="B3796" t="inlineStr">
        <is>
          <t>Antwerp</t>
        </is>
      </c>
      <c r="C3796" t="inlineStr">
        <is>
          <t>Belgium</t>
        </is>
      </c>
      <c r="D3796" t="inlineStr">
        <is>
          <t>Western, Northern, and Southern Europe</t>
        </is>
      </c>
      <c r="E3796" t="inlineStr">
        <is>
          <t>entrepreneurial_dynamism_raw</t>
        </is>
      </c>
      <c r="F3796" t="inlineStr">
        <is>
          <t>Entrepreneurial dynamism raw</t>
        </is>
      </c>
      <c r="G3796" t="inlineStr">
        <is>
          <t>creative</t>
        </is>
      </c>
      <c r="H3796" t="inlineStr">
        <is>
          <t>yes</t>
        </is>
      </c>
      <c r="I3796" t="inlineStr">
        <is>
          <t>6.34</t>
        </is>
      </c>
      <c r="J3796" t="inlineStr">
        <is>
          <t>world_bank</t>
        </is>
      </c>
      <c r="K3796" t="inlineStr">
        <is>
          <t>https://api.worldbank.org/v2/country/BEL/indicator/IC.BUS.NDNS.ZS?format=json&amp;mrv=10</t>
        </is>
      </c>
      <c r="L3796" t="inlineStr">
        <is>
          <t>World Bank WDI: New business density (new registrations per 1,000 people ages 15-64)</t>
        </is>
      </c>
      <c r="M3796" t="inlineStr">
        <is>
          <t>2022-12-31</t>
        </is>
      </c>
      <c r="N3796" t="inlineStr">
        <is>
          <t>auto_ingest=world_bank_creative_extended; indicator=IC.BUS.NDNS.ZS; year=2022; country_proxy=Belgium</t>
        </is>
      </c>
    </row>
    <row r="3797">
      <c r="A3797" t="inlineStr">
        <is>
          <t>be-antwerp</t>
        </is>
      </c>
      <c r="B3797" t="inlineStr">
        <is>
          <t>Antwerp</t>
        </is>
      </c>
      <c r="C3797" t="inlineStr">
        <is>
          <t>Belgium</t>
        </is>
      </c>
      <c r="D3797" t="inlineStr">
        <is>
          <t>Western, Northern, and Southern Europe</t>
        </is>
      </c>
      <c r="E3797" t="inlineStr">
        <is>
          <t>innovation_research_intensity_raw</t>
        </is>
      </c>
      <c r="F3797" t="inlineStr">
        <is>
          <t>Innovation and research raw</t>
        </is>
      </c>
      <c r="G3797" t="inlineStr">
        <is>
          <t>creative</t>
        </is>
      </c>
      <c r="H3797" t="inlineStr">
        <is>
          <t>yes</t>
        </is>
      </c>
      <c r="I3797" t="inlineStr">
        <is>
          <t>3.41</t>
        </is>
      </c>
      <c r="J3797" t="inlineStr">
        <is>
          <t>world_bank</t>
        </is>
      </c>
      <c r="K3797" t="inlineStr">
        <is>
          <t>https://api.worldbank.org/v2/country/BEL/indicator/GB.XPD.RSDV.GD.ZS?format=json&amp;mrv=10</t>
        </is>
      </c>
      <c r="L3797" t="inlineStr">
        <is>
          <t>World Bank WDI: Research and development expenditure (% of GDP)</t>
        </is>
      </c>
      <c r="M3797" t="inlineStr">
        <is>
          <t>2022-12-31</t>
        </is>
      </c>
      <c r="N3797" t="inlineStr">
        <is>
          <t>auto_ingest=world_bank_creative_extended; indicator=GB.XPD.RSDV.GD.ZS; year=2022; country_proxy=Belgium</t>
        </is>
      </c>
    </row>
    <row r="3798">
      <c r="A3798" t="inlineStr">
        <is>
          <t>be-antwerp</t>
        </is>
      </c>
      <c r="B3798" t="inlineStr">
        <is>
          <t>Antwerp</t>
        </is>
      </c>
      <c r="C3798" t="inlineStr">
        <is>
          <t>Belgium</t>
        </is>
      </c>
      <c r="D3798" t="inlineStr">
        <is>
          <t>Western, Northern, and Southern Europe</t>
        </is>
      </c>
      <c r="E3798" t="inlineStr">
        <is>
          <t>investment_signal_raw</t>
        </is>
      </c>
      <c r="F3798" t="inlineStr">
        <is>
          <t>Investment signal raw</t>
        </is>
      </c>
      <c r="G3798" t="inlineStr">
        <is>
          <t>creative</t>
        </is>
      </c>
      <c r="H3798" t="inlineStr">
        <is>
          <t>yes</t>
        </is>
      </c>
      <c r="I3798" t="inlineStr">
        <is>
          <t>-6.16</t>
        </is>
      </c>
      <c r="J3798" t="inlineStr">
        <is>
          <t>world_bank</t>
        </is>
      </c>
      <c r="K3798" t="inlineStr">
        <is>
          <t>https://api.worldbank.org/v2/country/BEL/indicator/BX.KLT.DINV.WD.GD.ZS?format=json&amp;mrv=10</t>
        </is>
      </c>
      <c r="L3798" t="inlineStr">
        <is>
          <t>World Bank WDI: Foreign direct investment, net inflows (% of GDP)</t>
        </is>
      </c>
      <c r="M3798" t="inlineStr">
        <is>
          <t>2024-12-31</t>
        </is>
      </c>
      <c r="N3798" t="inlineStr">
        <is>
          <t>auto_ingest=world_bank_creative_extended; indicator=BX.KLT.DINV.WD.GD.ZS; year=2024; country_proxy=Belgium</t>
        </is>
      </c>
    </row>
    <row r="3799">
      <c r="A3799" t="inlineStr">
        <is>
          <t>be-antwerp</t>
        </is>
      </c>
      <c r="B3799" t="inlineStr">
        <is>
          <t>Antwerp</t>
        </is>
      </c>
      <c r="C3799" t="inlineStr">
        <is>
          <t>Belgium</t>
        </is>
      </c>
      <c r="D3799" t="inlineStr">
        <is>
          <t>Western, Northern, and Southern Europe</t>
        </is>
      </c>
      <c r="E3799" t="inlineStr">
        <is>
          <t>administrative_investment_friction_raw</t>
        </is>
      </c>
      <c r="F3799" t="inlineStr">
        <is>
          <t>Administrative investment friction raw</t>
        </is>
      </c>
      <c r="G3799" t="inlineStr">
        <is>
          <t>creative</t>
        </is>
      </c>
      <c r="H3799" t="inlineStr">
        <is>
          <t>yes</t>
        </is>
      </c>
      <c r="I3799" t="inlineStr">
        <is>
          <t>1.33</t>
        </is>
      </c>
      <c r="J3799" t="inlineStr">
        <is>
          <t>world_bank</t>
        </is>
      </c>
      <c r="K3799" t="inlineStr">
        <is>
          <t>https://api.worldbank.org/v2/country/BEL/indicator/RQ.EST?format=json&amp;mrv=10</t>
        </is>
      </c>
      <c r="L3799" t="inlineStr">
        <is>
          <t>World Bank WGI: Regulatory Quality (inverted as friction proxy)</t>
        </is>
      </c>
      <c r="M3799" t="inlineStr">
        <is>
          <t>2023-12-31</t>
        </is>
      </c>
      <c r="N3799" t="inlineStr">
        <is>
          <t>auto_ingest=world_bank_business_friction; indicator=RQ.EST; raw_rq=1.16822481155396; friction=1.33; year=2023; country_proxy=Belgium</t>
        </is>
      </c>
    </row>
    <row r="3800">
      <c r="A3800" t="inlineStr">
        <is>
          <t>be-antwerp</t>
        </is>
      </c>
      <c r="B3800" t="inlineStr">
        <is>
          <t>Antwerp</t>
        </is>
      </c>
      <c r="C3800" t="inlineStr">
        <is>
          <t>Belgium</t>
        </is>
      </c>
      <c r="D3800" t="inlineStr">
        <is>
          <t>Western, Northern, and Southern Europe</t>
        </is>
      </c>
      <c r="E3800" t="inlineStr">
        <is>
          <t>visitor_flow_context_raw</t>
        </is>
      </c>
      <c r="F3800" t="inlineStr">
        <is>
          <t>Visitor flow context raw</t>
        </is>
      </c>
      <c r="G3800" t="inlineStr">
        <is>
          <t>creative</t>
        </is>
      </c>
      <c r="H3800" t="inlineStr">
        <is>
          <t>no</t>
        </is>
      </c>
      <c r="I3800" t="inlineStr"/>
      <c r="J3800" t="inlineStr"/>
      <c r="K3800" t="inlineStr"/>
      <c r="L3800" t="inlineStr"/>
      <c r="M3800" t="inlineStr"/>
      <c r="N3800" t="inlineStr"/>
    </row>
    <row r="3801">
      <c r="A3801" t="inlineStr">
        <is>
          <t>ie-cork</t>
        </is>
      </c>
      <c r="B3801" t="inlineStr">
        <is>
          <t>Cork</t>
        </is>
      </c>
      <c r="C3801" t="inlineStr">
        <is>
          <t>Ireland</t>
        </is>
      </c>
      <c r="D3801" t="inlineStr">
        <is>
          <t>Western, Northern, and Southern Europe</t>
        </is>
      </c>
      <c r="E3801" t="inlineStr">
        <is>
          <t>gross_income</t>
        </is>
      </c>
      <c r="F3801" t="inlineStr">
        <is>
          <t>Gross income</t>
        </is>
      </c>
      <c r="G3801" t="inlineStr">
        <is>
          <t>pressure</t>
        </is>
      </c>
      <c r="H3801" t="inlineStr">
        <is>
          <t>yes</t>
        </is>
      </c>
      <c r="I3801" t="inlineStr">
        <is>
          <t>8431.67</t>
        </is>
      </c>
      <c r="J3801" t="inlineStr">
        <is>
          <t>world_bank_col_estimate</t>
        </is>
      </c>
      <c r="K3801" t="inlineStr">
        <is>
          <t>https://api.worldbank.org/v2/country/IRL/indicator/NY.GNP.PCAP.PP.CD?format=json&amp;mrv=10</t>
        </is>
      </c>
      <c r="L3801" t="inlineStr">
        <is>
          <t>World Bank WDI: GNI per capita PPP (monthly USD)</t>
        </is>
      </c>
      <c r="M3801" t="inlineStr">
        <is>
          <t>2024-12-31</t>
        </is>
      </c>
      <c r="N3801" t="inlineStr">
        <is>
          <t>auto_ingest=world_bank_col_estimate; gni_annual=101180.0; year=2024; country_proxy=Ireland; cohort=Western, Northern, and Southern Europe</t>
        </is>
      </c>
    </row>
    <row r="3802">
      <c r="A3802" t="inlineStr">
        <is>
          <t>ie-cork</t>
        </is>
      </c>
      <c r="B3802" t="inlineStr">
        <is>
          <t>Cork</t>
        </is>
      </c>
      <c r="C3802" t="inlineStr">
        <is>
          <t>Ireland</t>
        </is>
      </c>
      <c r="D3802" t="inlineStr">
        <is>
          <t>Western, Northern, and Southern Europe</t>
        </is>
      </c>
      <c r="E3802" t="inlineStr">
        <is>
          <t>di_ppp_raw</t>
        </is>
      </c>
      <c r="F3802" t="inlineStr">
        <is>
          <t>Disposable income PPP (Raw)</t>
        </is>
      </c>
      <c r="G3802" t="inlineStr">
        <is>
          <t>pressure</t>
        </is>
      </c>
      <c r="H3802" t="inlineStr">
        <is>
          <t>yes</t>
        </is>
      </c>
      <c r="I3802" t="inlineStr"/>
      <c r="J3802" t="inlineStr"/>
      <c r="K3802" t="inlineStr"/>
      <c r="L3802" t="inlineStr"/>
      <c r="M3802" t="inlineStr"/>
      <c r="N3802" t="inlineStr"/>
    </row>
    <row r="3803">
      <c r="A3803" t="inlineStr">
        <is>
          <t>ie-cork</t>
        </is>
      </c>
      <c r="B3803" t="inlineStr">
        <is>
          <t>Cork</t>
        </is>
      </c>
      <c r="C3803" t="inlineStr">
        <is>
          <t>Ireland</t>
        </is>
      </c>
      <c r="D3803" t="inlineStr">
        <is>
          <t>Western, Northern, and Southern Europe</t>
        </is>
      </c>
      <c r="E3803" t="inlineStr">
        <is>
          <t>rent</t>
        </is>
      </c>
      <c r="F3803" t="inlineStr">
        <is>
          <t>Rent</t>
        </is>
      </c>
      <c r="G3803" t="inlineStr">
        <is>
          <t>pressure</t>
        </is>
      </c>
      <c r="H3803" t="inlineStr">
        <is>
          <t>yes</t>
        </is>
      </c>
      <c r="I3803" t="inlineStr">
        <is>
          <t>2655.98</t>
        </is>
      </c>
      <c r="J3803" t="inlineStr">
        <is>
          <t>world_bank_col_estimate</t>
        </is>
      </c>
      <c r="K3803" t="inlineStr">
        <is>
          <t>https://api.worldbank.org/v2/country/IRL/indicator/NY.GNP.PCAP.PP.CD?format=json&amp;mrv=10</t>
        </is>
      </c>
      <c r="L3803" t="inlineStr">
        <is>
          <t>World Bank GNI + regional expenditure ratio estimate</t>
        </is>
      </c>
      <c r="M3803" t="inlineStr">
        <is>
          <t>2024-12-31</t>
        </is>
      </c>
      <c r="N3803" t="inlineStr">
        <is>
          <t>auto_ingest=world_bank_col_estimate; gni_annual=101180.0; year=2024; country_proxy=Ireland; cohort=Western, Northern, and Southern Europe; city_cost_mult=0.9</t>
        </is>
      </c>
    </row>
    <row r="3804">
      <c r="A3804" t="inlineStr">
        <is>
          <t>ie-cork</t>
        </is>
      </c>
      <c r="B3804" t="inlineStr">
        <is>
          <t>Cork</t>
        </is>
      </c>
      <c r="C3804" t="inlineStr">
        <is>
          <t>Ireland</t>
        </is>
      </c>
      <c r="D3804" t="inlineStr">
        <is>
          <t>Western, Northern, and Southern Europe</t>
        </is>
      </c>
      <c r="E3804" t="inlineStr">
        <is>
          <t>utilities</t>
        </is>
      </c>
      <c r="F3804" t="inlineStr">
        <is>
          <t>Utilities</t>
        </is>
      </c>
      <c r="G3804" t="inlineStr">
        <is>
          <t>pressure</t>
        </is>
      </c>
      <c r="H3804" t="inlineStr">
        <is>
          <t>yes</t>
        </is>
      </c>
      <c r="I3804" t="inlineStr">
        <is>
          <t>531.2</t>
        </is>
      </c>
      <c r="J3804" t="inlineStr">
        <is>
          <t>world_bank_col_estimate</t>
        </is>
      </c>
      <c r="K3804" t="inlineStr">
        <is>
          <t>https://api.worldbank.org/v2/country/IRL/indicator/NY.GNP.PCAP.PP.CD?format=json&amp;mrv=10</t>
        </is>
      </c>
      <c r="L3804" t="inlineStr">
        <is>
          <t>World Bank GNI + regional expenditure ratio estimate</t>
        </is>
      </c>
      <c r="M3804" t="inlineStr">
        <is>
          <t>2024-12-31</t>
        </is>
      </c>
      <c r="N3804" t="inlineStr">
        <is>
          <t>auto_ingest=world_bank_col_estimate; gni_annual=101180.0; year=2024; country_proxy=Ireland; cohort=Western, Northern, and Southern Europe; city_cost_mult=0.9</t>
        </is>
      </c>
    </row>
    <row r="3805">
      <c r="A3805" t="inlineStr">
        <is>
          <t>ie-cork</t>
        </is>
      </c>
      <c r="B3805" t="inlineStr">
        <is>
          <t>Cork</t>
        </is>
      </c>
      <c r="C3805" t="inlineStr">
        <is>
          <t>Ireland</t>
        </is>
      </c>
      <c r="D3805" t="inlineStr">
        <is>
          <t>Western, Northern, and Southern Europe</t>
        </is>
      </c>
      <c r="E3805" t="inlineStr">
        <is>
          <t>transit_cost</t>
        </is>
      </c>
      <c r="F3805" t="inlineStr">
        <is>
          <t>Transit cost</t>
        </is>
      </c>
      <c r="G3805" t="inlineStr">
        <is>
          <t>pressure</t>
        </is>
      </c>
      <c r="H3805" t="inlineStr">
        <is>
          <t>yes</t>
        </is>
      </c>
      <c r="I3805" t="inlineStr">
        <is>
          <t>379.43</t>
        </is>
      </c>
      <c r="J3805" t="inlineStr">
        <is>
          <t>world_bank_col_estimate</t>
        </is>
      </c>
      <c r="K3805" t="inlineStr">
        <is>
          <t>https://api.worldbank.org/v2/country/IRL/indicator/NY.GNP.PCAP.PP.CD?format=json&amp;mrv=10</t>
        </is>
      </c>
      <c r="L3805" t="inlineStr">
        <is>
          <t>World Bank GNI + regional expenditure ratio estimate</t>
        </is>
      </c>
      <c r="M3805" t="inlineStr">
        <is>
          <t>2024-12-31</t>
        </is>
      </c>
      <c r="N3805" t="inlineStr">
        <is>
          <t>auto_ingest=world_bank_col_estimate; gni_annual=101180.0; year=2024; country_proxy=Ireland; cohort=Western, Northern, and Southern Europe; city_cost_mult=0.9</t>
        </is>
      </c>
    </row>
    <row r="3806">
      <c r="A3806" t="inlineStr">
        <is>
          <t>ie-cork</t>
        </is>
      </c>
      <c r="B3806" t="inlineStr">
        <is>
          <t>Cork</t>
        </is>
      </c>
      <c r="C3806" t="inlineStr">
        <is>
          <t>Ireland</t>
        </is>
      </c>
      <c r="D3806" t="inlineStr">
        <is>
          <t>Western, Northern, and Southern Europe</t>
        </is>
      </c>
      <c r="E3806" t="inlineStr">
        <is>
          <t>internet_cost</t>
        </is>
      </c>
      <c r="F3806" t="inlineStr">
        <is>
          <t>Internet cost</t>
        </is>
      </c>
      <c r="G3806" t="inlineStr">
        <is>
          <t>pressure</t>
        </is>
      </c>
      <c r="H3806" t="inlineStr">
        <is>
          <t>yes</t>
        </is>
      </c>
      <c r="I3806" t="inlineStr">
        <is>
          <t>113.83</t>
        </is>
      </c>
      <c r="J3806" t="inlineStr">
        <is>
          <t>world_bank_col_estimate</t>
        </is>
      </c>
      <c r="K3806" t="inlineStr">
        <is>
          <t>https://api.worldbank.org/v2/country/IRL/indicator/NY.GNP.PCAP.PP.CD?format=json&amp;mrv=10</t>
        </is>
      </c>
      <c r="L3806" t="inlineStr">
        <is>
          <t>World Bank GNI + regional expenditure ratio estimate</t>
        </is>
      </c>
      <c r="M3806" t="inlineStr">
        <is>
          <t>2024-12-31</t>
        </is>
      </c>
      <c r="N3806" t="inlineStr">
        <is>
          <t>auto_ingest=world_bank_col_estimate; gni_annual=101180.0; year=2024; country_proxy=Ireland; cohort=Western, Northern, and Southern Europe; city_cost_mult=0.9</t>
        </is>
      </c>
    </row>
    <row r="3807">
      <c r="A3807" t="inlineStr">
        <is>
          <t>ie-cork</t>
        </is>
      </c>
      <c r="B3807" t="inlineStr">
        <is>
          <t>Cork</t>
        </is>
      </c>
      <c r="C3807" t="inlineStr">
        <is>
          <t>Ireland</t>
        </is>
      </c>
      <c r="D3807" t="inlineStr">
        <is>
          <t>Western, Northern, and Southern Europe</t>
        </is>
      </c>
      <c r="E3807" t="inlineStr">
        <is>
          <t>food_cost</t>
        </is>
      </c>
      <c r="F3807" t="inlineStr">
        <is>
          <t>Food cost</t>
        </is>
      </c>
      <c r="G3807" t="inlineStr">
        <is>
          <t>pressure</t>
        </is>
      </c>
      <c r="H3807" t="inlineStr">
        <is>
          <t>yes</t>
        </is>
      </c>
      <c r="I3807" t="inlineStr">
        <is>
          <t>1138.28</t>
        </is>
      </c>
      <c r="J3807" t="inlineStr">
        <is>
          <t>world_bank_col_estimate</t>
        </is>
      </c>
      <c r="K3807" t="inlineStr">
        <is>
          <t>https://api.worldbank.org/v2/country/IRL/indicator/NY.GNP.PCAP.PP.CD?format=json&amp;mrv=10</t>
        </is>
      </c>
      <c r="L3807" t="inlineStr">
        <is>
          <t>World Bank GNI + regional expenditure ratio estimate</t>
        </is>
      </c>
      <c r="M3807" t="inlineStr">
        <is>
          <t>2024-12-31</t>
        </is>
      </c>
      <c r="N3807" t="inlineStr">
        <is>
          <t>auto_ingest=world_bank_col_estimate; gni_annual=101180.0; year=2024; country_proxy=Ireland; cohort=Western, Northern, and Southern Europe; city_cost_mult=0.9</t>
        </is>
      </c>
    </row>
    <row r="3808">
      <c r="A3808" t="inlineStr">
        <is>
          <t>ie-cork</t>
        </is>
      </c>
      <c r="B3808" t="inlineStr">
        <is>
          <t>Cork</t>
        </is>
      </c>
      <c r="C3808" t="inlineStr">
        <is>
          <t>Ireland</t>
        </is>
      </c>
      <c r="D3808" t="inlineStr">
        <is>
          <t>Western, Northern, and Southern Europe</t>
        </is>
      </c>
      <c r="E3808" t="inlineStr">
        <is>
          <t>housing_burden_raw</t>
        </is>
      </c>
      <c r="F3808" t="inlineStr">
        <is>
          <t>Housing burden raw</t>
        </is>
      </c>
      <c r="G3808" t="inlineStr">
        <is>
          <t>pressure</t>
        </is>
      </c>
      <c r="H3808" t="inlineStr">
        <is>
          <t>yes</t>
        </is>
      </c>
      <c r="I3808" t="inlineStr">
        <is>
          <t>31.5</t>
        </is>
      </c>
      <c r="J3808" t="inlineStr">
        <is>
          <t>derived</t>
        </is>
      </c>
      <c r="K3808" t="inlineStr">
        <is>
          <t>https://data.worldbank.org/indicator/NY.GNP.PCAP.PP.CD</t>
        </is>
      </c>
      <c r="L3808" t="inlineStr">
        <is>
          <t>Computed from city_inputs + country_context</t>
        </is>
      </c>
      <c r="M3808" t="inlineStr">
        <is>
          <t>2024-01-01</t>
        </is>
      </c>
      <c r="N3808" t="inlineStr">
        <is>
          <t>derived=rent/gross_income*100</t>
        </is>
      </c>
    </row>
    <row r="3809">
      <c r="A3809" t="inlineStr">
        <is>
          <t>ie-cork</t>
        </is>
      </c>
      <c r="B3809" t="inlineStr">
        <is>
          <t>Cork</t>
        </is>
      </c>
      <c r="C3809" t="inlineStr">
        <is>
          <t>Ireland</t>
        </is>
      </c>
      <c r="D3809" t="inlineStr">
        <is>
          <t>Western, Northern, and Southern Europe</t>
        </is>
      </c>
      <c r="E3809" t="inlineStr">
        <is>
          <t>household_debt_burden_raw</t>
        </is>
      </c>
      <c r="F3809" t="inlineStr">
        <is>
          <t>Household debt burden raw</t>
        </is>
      </c>
      <c r="G3809" t="inlineStr">
        <is>
          <t>pressure</t>
        </is>
      </c>
      <c r="H3809" t="inlineStr">
        <is>
          <t>yes</t>
        </is>
      </c>
      <c r="I3809" t="inlineStr"/>
      <c r="J3809" t="inlineStr"/>
      <c r="K3809" t="inlineStr"/>
      <c r="L3809" t="inlineStr"/>
      <c r="M3809" t="inlineStr"/>
      <c r="N3809" t="inlineStr"/>
    </row>
    <row r="3810">
      <c r="A3810" t="inlineStr">
        <is>
          <t>ie-cork</t>
        </is>
      </c>
      <c r="B3810" t="inlineStr">
        <is>
          <t>Cork</t>
        </is>
      </c>
      <c r="C3810" t="inlineStr">
        <is>
          <t>Ireland</t>
        </is>
      </c>
      <c r="D3810" t="inlineStr">
        <is>
          <t>Western, Northern, and Southern Europe</t>
        </is>
      </c>
      <c r="E3810" t="inlineStr">
        <is>
          <t>working_time_pressure_raw</t>
        </is>
      </c>
      <c r="F3810" t="inlineStr">
        <is>
          <t>Working time pressure raw</t>
        </is>
      </c>
      <c r="G3810" t="inlineStr">
        <is>
          <t>pressure</t>
        </is>
      </c>
      <c r="H3810" t="inlineStr">
        <is>
          <t>yes</t>
        </is>
      </c>
      <c r="I3810" t="inlineStr"/>
      <c r="J3810" t="inlineStr"/>
      <c r="K3810" t="inlineStr"/>
      <c r="L3810" t="inlineStr"/>
      <c r="M3810" t="inlineStr"/>
      <c r="N3810" t="inlineStr"/>
    </row>
    <row r="3811">
      <c r="A3811" t="inlineStr">
        <is>
          <t>ie-cork</t>
        </is>
      </c>
      <c r="B3811" t="inlineStr">
        <is>
          <t>Cork</t>
        </is>
      </c>
      <c r="C3811" t="inlineStr">
        <is>
          <t>Ireland</t>
        </is>
      </c>
      <c r="D3811" t="inlineStr">
        <is>
          <t>Western, Northern, and Southern Europe</t>
        </is>
      </c>
      <c r="E3811" t="inlineStr">
        <is>
          <t>suicide_mental_strain_raw</t>
        </is>
      </c>
      <c r="F3811" t="inlineStr">
        <is>
          <t>Suicide or mental strain raw</t>
        </is>
      </c>
      <c r="G3811" t="inlineStr">
        <is>
          <t>pressure</t>
        </is>
      </c>
      <c r="H3811" t="inlineStr">
        <is>
          <t>yes</t>
        </is>
      </c>
      <c r="I3811" t="inlineStr"/>
      <c r="J3811" t="inlineStr"/>
      <c r="K3811" t="inlineStr"/>
      <c r="L3811" t="inlineStr"/>
      <c r="M3811" t="inlineStr"/>
      <c r="N3811" t="inlineStr"/>
    </row>
    <row r="3812">
      <c r="A3812" t="inlineStr">
        <is>
          <t>ie-cork</t>
        </is>
      </c>
      <c r="B3812" t="inlineStr">
        <is>
          <t>Cork</t>
        </is>
      </c>
      <c r="C3812" t="inlineStr">
        <is>
          <t>Ireland</t>
        </is>
      </c>
      <c r="D3812" t="inlineStr">
        <is>
          <t>Western, Northern, and Southern Europe</t>
        </is>
      </c>
      <c r="E3812" t="inlineStr">
        <is>
          <t>personal_safety_raw</t>
        </is>
      </c>
      <c r="F3812" t="inlineStr">
        <is>
          <t>Personal safety raw</t>
        </is>
      </c>
      <c r="G3812" t="inlineStr">
        <is>
          <t>viability</t>
        </is>
      </c>
      <c r="H3812" t="inlineStr">
        <is>
          <t>yes</t>
        </is>
      </c>
      <c r="I3812" t="inlineStr"/>
      <c r="J3812" t="inlineStr"/>
      <c r="K3812" t="inlineStr"/>
      <c r="L3812" t="inlineStr"/>
      <c r="M3812" t="inlineStr"/>
      <c r="N3812" t="inlineStr"/>
    </row>
    <row r="3813">
      <c r="A3813" t="inlineStr">
        <is>
          <t>ie-cork</t>
        </is>
      </c>
      <c r="B3813" t="inlineStr">
        <is>
          <t>Cork</t>
        </is>
      </c>
      <c r="C3813" t="inlineStr">
        <is>
          <t>Ireland</t>
        </is>
      </c>
      <c r="D3813" t="inlineStr">
        <is>
          <t>Western, Northern, and Southern Europe</t>
        </is>
      </c>
      <c r="E3813" t="inlineStr">
        <is>
          <t>transit_access_commute_raw</t>
        </is>
      </c>
      <c r="F3813" t="inlineStr">
        <is>
          <t>Transit access and commute raw</t>
        </is>
      </c>
      <c r="G3813" t="inlineStr">
        <is>
          <t>viability</t>
        </is>
      </c>
      <c r="H3813" t="inlineStr">
        <is>
          <t>yes</t>
        </is>
      </c>
      <c r="I3813" t="inlineStr"/>
      <c r="J3813" t="inlineStr"/>
      <c r="K3813" t="inlineStr"/>
      <c r="L3813" t="inlineStr"/>
      <c r="M3813" t="inlineStr"/>
      <c r="N3813" t="inlineStr"/>
    </row>
    <row r="3814">
      <c r="A3814" t="inlineStr">
        <is>
          <t>ie-cork</t>
        </is>
      </c>
      <c r="B3814" t="inlineStr">
        <is>
          <t>Cork</t>
        </is>
      </c>
      <c r="C3814" t="inlineStr">
        <is>
          <t>Ireland</t>
        </is>
      </c>
      <c r="D3814" t="inlineStr">
        <is>
          <t>Western, Northern, and Southern Europe</t>
        </is>
      </c>
      <c r="E3814" t="inlineStr">
        <is>
          <t>clean_air_raw</t>
        </is>
      </c>
      <c r="F3814" t="inlineStr">
        <is>
          <t>Clean air raw</t>
        </is>
      </c>
      <c r="G3814" t="inlineStr">
        <is>
          <t>viability</t>
        </is>
      </c>
      <c r="H3814" t="inlineStr">
        <is>
          <t>yes</t>
        </is>
      </c>
      <c r="I3814" t="inlineStr"/>
      <c r="J3814" t="inlineStr"/>
      <c r="K3814" t="inlineStr"/>
      <c r="L3814" t="inlineStr"/>
      <c r="M3814" t="inlineStr"/>
      <c r="N3814" t="inlineStr"/>
    </row>
    <row r="3815">
      <c r="A3815" t="inlineStr">
        <is>
          <t>ie-cork</t>
        </is>
      </c>
      <c r="B3815" t="inlineStr">
        <is>
          <t>Cork</t>
        </is>
      </c>
      <c r="C3815" t="inlineStr">
        <is>
          <t>Ireland</t>
        </is>
      </c>
      <c r="D3815" t="inlineStr">
        <is>
          <t>Western, Northern, and Southern Europe</t>
        </is>
      </c>
      <c r="E3815" t="inlineStr">
        <is>
          <t>water_sanitation_utility_raw</t>
        </is>
      </c>
      <c r="F3815" t="inlineStr">
        <is>
          <t>Water, sanitation, and utility raw</t>
        </is>
      </c>
      <c r="G3815" t="inlineStr">
        <is>
          <t>viability</t>
        </is>
      </c>
      <c r="H3815" t="inlineStr">
        <is>
          <t>yes</t>
        </is>
      </c>
      <c r="I3815" t="inlineStr"/>
      <c r="J3815" t="inlineStr"/>
      <c r="K3815" t="inlineStr"/>
      <c r="L3815" t="inlineStr"/>
      <c r="M3815" t="inlineStr"/>
      <c r="N3815" t="inlineStr"/>
    </row>
    <row r="3816">
      <c r="A3816" t="inlineStr">
        <is>
          <t>ie-cork</t>
        </is>
      </c>
      <c r="B3816" t="inlineStr">
        <is>
          <t>Cork</t>
        </is>
      </c>
      <c r="C3816" t="inlineStr">
        <is>
          <t>Ireland</t>
        </is>
      </c>
      <c r="D3816" t="inlineStr">
        <is>
          <t>Western, Northern, and Southern Europe</t>
        </is>
      </c>
      <c r="E3816" t="inlineStr">
        <is>
          <t>digital_infrastructure_raw</t>
        </is>
      </c>
      <c r="F3816" t="inlineStr">
        <is>
          <t>Digital infrastructure raw</t>
        </is>
      </c>
      <c r="G3816" t="inlineStr">
        <is>
          <t>viability</t>
        </is>
      </c>
      <c r="H3816" t="inlineStr">
        <is>
          <t>yes</t>
        </is>
      </c>
      <c r="I3816" t="inlineStr"/>
      <c r="J3816" t="inlineStr"/>
      <c r="K3816" t="inlineStr"/>
      <c r="L3816" t="inlineStr"/>
      <c r="M3816" t="inlineStr"/>
      <c r="N3816" t="inlineStr"/>
    </row>
    <row r="3817">
      <c r="A3817" t="inlineStr">
        <is>
          <t>ie-cork</t>
        </is>
      </c>
      <c r="B3817" t="inlineStr">
        <is>
          <t>Cork</t>
        </is>
      </c>
      <c r="C3817" t="inlineStr">
        <is>
          <t>Ireland</t>
        </is>
      </c>
      <c r="D3817" t="inlineStr">
        <is>
          <t>Western, Northern, and Southern Europe</t>
        </is>
      </c>
      <c r="E3817" t="inlineStr">
        <is>
          <t>climate_sunlight_livability_raw</t>
        </is>
      </c>
      <c r="F3817" t="inlineStr">
        <is>
          <t>Climate and sunlight livability raw</t>
        </is>
      </c>
      <c r="G3817" t="inlineStr">
        <is>
          <t>viability</t>
        </is>
      </c>
      <c r="H3817" t="inlineStr">
        <is>
          <t>yes</t>
        </is>
      </c>
      <c r="I3817" t="inlineStr">
        <is>
          <t>40</t>
        </is>
      </c>
      <c r="J3817" t="inlineStr">
        <is>
          <t>wmo_natl_met</t>
        </is>
      </c>
      <c r="K3817" t="inlineStr">
        <is>
          <t>https://worldweather.wmo.int</t>
        </is>
      </c>
      <c r="L3817" t="inlineStr">
        <is>
          <t>WMO/National Met: Climate livability composite</t>
        </is>
      </c>
      <c r="M3817" t="inlineStr">
        <is>
          <t>2024-12-31</t>
        </is>
      </c>
      <c r="N3817" t="inlineStr">
        <is>
          <t>auto_seed=climate_composite; 1400 sun hrs, 10C mean</t>
        </is>
      </c>
    </row>
    <row r="3818">
      <c r="A3818" t="inlineStr">
        <is>
          <t>ie-cork</t>
        </is>
      </c>
      <c r="B3818" t="inlineStr">
        <is>
          <t>Cork</t>
        </is>
      </c>
      <c r="C3818" t="inlineStr">
        <is>
          <t>Ireland</t>
        </is>
      </c>
      <c r="D3818" t="inlineStr">
        <is>
          <t>Western, Northern, and Southern Europe</t>
        </is>
      </c>
      <c r="E3818" t="inlineStr">
        <is>
          <t>healthcare_quality_raw</t>
        </is>
      </c>
      <c r="F3818" t="inlineStr">
        <is>
          <t>Healthcare quality raw</t>
        </is>
      </c>
      <c r="G3818" t="inlineStr">
        <is>
          <t>capability</t>
        </is>
      </c>
      <c r="H3818" t="inlineStr">
        <is>
          <t>yes</t>
        </is>
      </c>
      <c r="I3818" t="inlineStr"/>
      <c r="J3818" t="inlineStr"/>
      <c r="K3818" t="inlineStr"/>
      <c r="L3818" t="inlineStr"/>
      <c r="M3818" t="inlineStr"/>
      <c r="N3818" t="inlineStr"/>
    </row>
    <row r="3819">
      <c r="A3819" t="inlineStr">
        <is>
          <t>ie-cork</t>
        </is>
      </c>
      <c r="B3819" t="inlineStr">
        <is>
          <t>Cork</t>
        </is>
      </c>
      <c r="C3819" t="inlineStr">
        <is>
          <t>Ireland</t>
        </is>
      </c>
      <c r="D3819" t="inlineStr">
        <is>
          <t>Western, Northern, and Southern Europe</t>
        </is>
      </c>
      <c r="E3819" t="inlineStr">
        <is>
          <t>education_quality_raw</t>
        </is>
      </c>
      <c r="F3819" t="inlineStr">
        <is>
          <t>Education quality raw</t>
        </is>
      </c>
      <c r="G3819" t="inlineStr">
        <is>
          <t>capability</t>
        </is>
      </c>
      <c r="H3819" t="inlineStr">
        <is>
          <t>yes</t>
        </is>
      </c>
      <c r="I3819" t="inlineStr"/>
      <c r="J3819" t="inlineStr"/>
      <c r="K3819" t="inlineStr"/>
      <c r="L3819" t="inlineStr"/>
      <c r="M3819" t="inlineStr"/>
      <c r="N3819" t="inlineStr"/>
    </row>
    <row r="3820">
      <c r="A3820" t="inlineStr">
        <is>
          <t>ie-cork</t>
        </is>
      </c>
      <c r="B3820" t="inlineStr">
        <is>
          <t>Cork</t>
        </is>
      </c>
      <c r="C3820" t="inlineStr">
        <is>
          <t>Ireland</t>
        </is>
      </c>
      <c r="D3820" t="inlineStr">
        <is>
          <t>Western, Northern, and Southern Europe</t>
        </is>
      </c>
      <c r="E3820" t="inlineStr">
        <is>
          <t>equal_opportunity_raw</t>
        </is>
      </c>
      <c r="F3820" t="inlineStr">
        <is>
          <t>Equal opportunity raw</t>
        </is>
      </c>
      <c r="G3820" t="inlineStr">
        <is>
          <t>capability</t>
        </is>
      </c>
      <c r="H3820" t="inlineStr">
        <is>
          <t>yes</t>
        </is>
      </c>
      <c r="I3820" t="inlineStr">
        <is>
          <t>29.0</t>
        </is>
      </c>
      <c r="J3820" t="inlineStr">
        <is>
          <t>world_bank</t>
        </is>
      </c>
      <c r="K3820" t="inlineStr">
        <is>
          <t>https://api.worldbank.org/v2/country/IRL/indicator/SI.POV.GINI?format=json&amp;mrv=10</t>
        </is>
      </c>
      <c r="L3820" t="inlineStr">
        <is>
          <t>World Bank WDI: Gini index</t>
        </is>
      </c>
      <c r="M3820" t="inlineStr">
        <is>
          <t>2023-12-31</t>
        </is>
      </c>
      <c r="N3820" t="inlineStr">
        <is>
          <t>auto_ingest=world_bank_capability; indicator=SI.POV.GINI; year=2023; country_proxy=Ireland</t>
        </is>
      </c>
    </row>
    <row r="3821">
      <c r="A3821" t="inlineStr">
        <is>
          <t>ie-cork</t>
        </is>
      </c>
      <c r="B3821" t="inlineStr">
        <is>
          <t>Cork</t>
        </is>
      </c>
      <c r="C3821" t="inlineStr">
        <is>
          <t>Ireland</t>
        </is>
      </c>
      <c r="D3821" t="inlineStr">
        <is>
          <t>Western, Northern, and Southern Europe</t>
        </is>
      </c>
      <c r="E3821" t="inlineStr">
        <is>
          <t>hospitality_belonging_raw</t>
        </is>
      </c>
      <c r="F3821" t="inlineStr">
        <is>
          <t>Hospitality and belonging raw</t>
        </is>
      </c>
      <c r="G3821" t="inlineStr">
        <is>
          <t>community</t>
        </is>
      </c>
      <c r="H3821" t="inlineStr">
        <is>
          <t>yes</t>
        </is>
      </c>
      <c r="I3821" t="inlineStr"/>
      <c r="J3821" t="inlineStr"/>
      <c r="K3821" t="inlineStr"/>
      <c r="L3821" t="inlineStr"/>
      <c r="M3821" t="inlineStr"/>
      <c r="N3821" t="inlineStr"/>
    </row>
    <row r="3822">
      <c r="A3822" t="inlineStr">
        <is>
          <t>ie-cork</t>
        </is>
      </c>
      <c r="B3822" t="inlineStr">
        <is>
          <t>Cork</t>
        </is>
      </c>
      <c r="C3822" t="inlineStr">
        <is>
          <t>Ireland</t>
        </is>
      </c>
      <c r="D3822" t="inlineStr">
        <is>
          <t>Western, Northern, and Southern Europe</t>
        </is>
      </c>
      <c r="E3822" t="inlineStr">
        <is>
          <t>tolerance_pluralism_raw</t>
        </is>
      </c>
      <c r="F3822" t="inlineStr">
        <is>
          <t>Tolerance and pluralism raw</t>
        </is>
      </c>
      <c r="G3822" t="inlineStr">
        <is>
          <t>community</t>
        </is>
      </c>
      <c r="H3822" t="inlineStr">
        <is>
          <t>yes</t>
        </is>
      </c>
      <c r="I3822" t="inlineStr"/>
      <c r="J3822" t="inlineStr"/>
      <c r="K3822" t="inlineStr"/>
      <c r="L3822" t="inlineStr"/>
      <c r="M3822" t="inlineStr"/>
      <c r="N3822" t="inlineStr"/>
    </row>
    <row r="3823">
      <c r="A3823" t="inlineStr">
        <is>
          <t>ie-cork</t>
        </is>
      </c>
      <c r="B3823" t="inlineStr">
        <is>
          <t>Cork</t>
        </is>
      </c>
      <c r="C3823" t="inlineStr">
        <is>
          <t>Ireland</t>
        </is>
      </c>
      <c r="D3823" t="inlineStr">
        <is>
          <t>Western, Northern, and Southern Europe</t>
        </is>
      </c>
      <c r="E3823" t="inlineStr">
        <is>
          <t>cultural_public_life_raw</t>
        </is>
      </c>
      <c r="F3823" t="inlineStr">
        <is>
          <t>Cultural public life raw</t>
        </is>
      </c>
      <c r="G3823" t="inlineStr">
        <is>
          <t>community</t>
        </is>
      </c>
      <c r="H3823" t="inlineStr">
        <is>
          <t>yes</t>
        </is>
      </c>
      <c r="I3823" t="inlineStr"/>
      <c r="J3823" t="inlineStr"/>
      <c r="K3823" t="inlineStr"/>
      <c r="L3823" t="inlineStr"/>
      <c r="M3823" t="inlineStr"/>
      <c r="N3823" t="inlineStr"/>
    </row>
    <row r="3824">
      <c r="A3824" t="inlineStr">
        <is>
          <t>ie-cork</t>
        </is>
      </c>
      <c r="B3824" t="inlineStr">
        <is>
          <t>Cork</t>
        </is>
      </c>
      <c r="C3824" t="inlineStr">
        <is>
          <t>Ireland</t>
        </is>
      </c>
      <c r="D3824" t="inlineStr">
        <is>
          <t>Western, Northern, and Southern Europe</t>
        </is>
      </c>
      <c r="E3824" t="inlineStr">
        <is>
          <t>birth_rate_optimism_raw</t>
        </is>
      </c>
      <c r="F3824" t="inlineStr">
        <is>
          <t>Birth rate and societal optimism raw</t>
        </is>
      </c>
      <c r="G3824" t="inlineStr">
        <is>
          <t>community</t>
        </is>
      </c>
      <c r="H3824" t="inlineStr">
        <is>
          <t>yes</t>
        </is>
      </c>
      <c r="I3824" t="inlineStr">
        <is>
          <t>1.54</t>
        </is>
      </c>
      <c r="J3824" t="inlineStr">
        <is>
          <t>world_bank</t>
        </is>
      </c>
      <c r="K3824" t="inlineStr">
        <is>
          <t>https://data.worldbank.org/indicator/SP.DYN.TFRT.IN</t>
        </is>
      </c>
      <c r="L3824" t="inlineStr">
        <is>
          <t>World Bank Total Fertility Rate 2023</t>
        </is>
      </c>
      <c r="M3824" t="inlineStr">
        <is>
          <t>2024-01-01</t>
        </is>
      </c>
      <c r="N3824" t="inlineStr"/>
    </row>
    <row r="3825">
      <c r="A3825" t="inlineStr">
        <is>
          <t>ie-cork</t>
        </is>
      </c>
      <c r="B3825" t="inlineStr">
        <is>
          <t>Cork</t>
        </is>
      </c>
      <c r="C3825" t="inlineStr">
        <is>
          <t>Ireland</t>
        </is>
      </c>
      <c r="D3825" t="inlineStr">
        <is>
          <t>Western, Northern, and Southern Europe</t>
        </is>
      </c>
      <c r="E3825" t="inlineStr">
        <is>
          <t>entrepreneurial_dynamism_raw</t>
        </is>
      </c>
      <c r="F3825" t="inlineStr">
        <is>
          <t>Entrepreneurial dynamism raw</t>
        </is>
      </c>
      <c r="G3825" t="inlineStr">
        <is>
          <t>creative</t>
        </is>
      </c>
      <c r="H3825" t="inlineStr">
        <is>
          <t>yes</t>
        </is>
      </c>
      <c r="I3825" t="inlineStr">
        <is>
          <t>6.4</t>
        </is>
      </c>
      <c r="J3825" t="inlineStr">
        <is>
          <t>world_bank</t>
        </is>
      </c>
      <c r="K3825" t="inlineStr">
        <is>
          <t>https://api.worldbank.org/v2/country/IRL/indicator/IC.BUS.NDNS.ZS?format=json&amp;mrv=10</t>
        </is>
      </c>
      <c r="L3825" t="inlineStr">
        <is>
          <t>World Bank WDI: New business density (new registrations per 1,000 people ages 15-64)</t>
        </is>
      </c>
      <c r="M3825" t="inlineStr">
        <is>
          <t>2022-12-31</t>
        </is>
      </c>
      <c r="N3825" t="inlineStr">
        <is>
          <t>auto_ingest=world_bank_creative_extended; indicator=IC.BUS.NDNS.ZS; year=2022; country_proxy=Ireland</t>
        </is>
      </c>
    </row>
    <row r="3826">
      <c r="A3826" t="inlineStr">
        <is>
          <t>ie-cork</t>
        </is>
      </c>
      <c r="B3826" t="inlineStr">
        <is>
          <t>Cork</t>
        </is>
      </c>
      <c r="C3826" t="inlineStr">
        <is>
          <t>Ireland</t>
        </is>
      </c>
      <c r="D3826" t="inlineStr">
        <is>
          <t>Western, Northern, and Southern Europe</t>
        </is>
      </c>
      <c r="E3826" t="inlineStr">
        <is>
          <t>innovation_research_intensity_raw</t>
        </is>
      </c>
      <c r="F3826" t="inlineStr">
        <is>
          <t>Innovation and research raw</t>
        </is>
      </c>
      <c r="G3826" t="inlineStr">
        <is>
          <t>creative</t>
        </is>
      </c>
      <c r="H3826" t="inlineStr">
        <is>
          <t>yes</t>
        </is>
      </c>
      <c r="I3826" t="inlineStr">
        <is>
          <t>0.96</t>
        </is>
      </c>
      <c r="J3826" t="inlineStr">
        <is>
          <t>world_bank</t>
        </is>
      </c>
      <c r="K3826" t="inlineStr">
        <is>
          <t>https://api.worldbank.org/v2/country/IRL/indicator/GB.XPD.RSDV.GD.ZS?format=json&amp;mrv=10</t>
        </is>
      </c>
      <c r="L3826" t="inlineStr">
        <is>
          <t>World Bank WDI: Research and development expenditure (% of GDP)</t>
        </is>
      </c>
      <c r="M3826" t="inlineStr">
        <is>
          <t>2022-12-31</t>
        </is>
      </c>
      <c r="N3826" t="inlineStr">
        <is>
          <t>auto_ingest=world_bank_creative_extended; indicator=GB.XPD.RSDV.GD.ZS; year=2022; country_proxy=Ireland</t>
        </is>
      </c>
    </row>
    <row r="3827">
      <c r="A3827" t="inlineStr">
        <is>
          <t>ie-cork</t>
        </is>
      </c>
      <c r="B3827" t="inlineStr">
        <is>
          <t>Cork</t>
        </is>
      </c>
      <c r="C3827" t="inlineStr">
        <is>
          <t>Ireland</t>
        </is>
      </c>
      <c r="D3827" t="inlineStr">
        <is>
          <t>Western, Northern, and Southern Europe</t>
        </is>
      </c>
      <c r="E3827" t="inlineStr">
        <is>
          <t>investment_signal_raw</t>
        </is>
      </c>
      <c r="F3827" t="inlineStr">
        <is>
          <t>Investment signal raw</t>
        </is>
      </c>
      <c r="G3827" t="inlineStr">
        <is>
          <t>creative</t>
        </is>
      </c>
      <c r="H3827" t="inlineStr">
        <is>
          <t>yes</t>
        </is>
      </c>
      <c r="I3827" t="inlineStr">
        <is>
          <t>0.79</t>
        </is>
      </c>
      <c r="J3827" t="inlineStr">
        <is>
          <t>world_bank</t>
        </is>
      </c>
      <c r="K3827" t="inlineStr">
        <is>
          <t>https://api.worldbank.org/v2/country/IRL/indicator/BX.KLT.DINV.WD.GD.ZS?format=json&amp;mrv=10</t>
        </is>
      </c>
      <c r="L3827" t="inlineStr">
        <is>
          <t>World Bank WDI: Foreign direct investment, net inflows (% of GDP)</t>
        </is>
      </c>
      <c r="M3827" t="inlineStr">
        <is>
          <t>2024-12-31</t>
        </is>
      </c>
      <c r="N3827" t="inlineStr">
        <is>
          <t>auto_ingest=world_bank_creative_extended; indicator=BX.KLT.DINV.WD.GD.ZS; year=2024; country_proxy=Ireland</t>
        </is>
      </c>
    </row>
    <row r="3828">
      <c r="A3828" t="inlineStr">
        <is>
          <t>ie-cork</t>
        </is>
      </c>
      <c r="B3828" t="inlineStr">
        <is>
          <t>Cork</t>
        </is>
      </c>
      <c r="C3828" t="inlineStr">
        <is>
          <t>Ireland</t>
        </is>
      </c>
      <c r="D3828" t="inlineStr">
        <is>
          <t>Western, Northern, and Southern Europe</t>
        </is>
      </c>
      <c r="E3828" t="inlineStr">
        <is>
          <t>administrative_investment_friction_raw</t>
        </is>
      </c>
      <c r="F3828" t="inlineStr">
        <is>
          <t>Administrative investment friction raw</t>
        </is>
      </c>
      <c r="G3828" t="inlineStr">
        <is>
          <t>creative</t>
        </is>
      </c>
      <c r="H3828" t="inlineStr">
        <is>
          <t>yes</t>
        </is>
      </c>
      <c r="I3828" t="inlineStr">
        <is>
          <t>0.75</t>
        </is>
      </c>
      <c r="J3828" t="inlineStr">
        <is>
          <t>world_bank</t>
        </is>
      </c>
      <c r="K3828" t="inlineStr">
        <is>
          <t>https://api.worldbank.org/v2/country/IRL/indicator/RQ.EST?format=json&amp;mrv=10</t>
        </is>
      </c>
      <c r="L3828" t="inlineStr">
        <is>
          <t>World Bank WGI: Regulatory Quality (inverted as friction proxy)</t>
        </is>
      </c>
      <c r="M3828" t="inlineStr">
        <is>
          <t>2023-12-31</t>
        </is>
      </c>
      <c r="N3828" t="inlineStr">
        <is>
          <t>auto_ingest=world_bank_business_friction; indicator=RQ.EST; raw_rq=1.74936389923096; friction=0.75; year=2023; country_proxy=Ireland</t>
        </is>
      </c>
    </row>
    <row r="3829">
      <c r="A3829" t="inlineStr">
        <is>
          <t>ie-cork</t>
        </is>
      </c>
      <c r="B3829" t="inlineStr">
        <is>
          <t>Cork</t>
        </is>
      </c>
      <c r="C3829" t="inlineStr">
        <is>
          <t>Ireland</t>
        </is>
      </c>
      <c r="D3829" t="inlineStr">
        <is>
          <t>Western, Northern, and Southern Europe</t>
        </is>
      </c>
      <c r="E3829" t="inlineStr">
        <is>
          <t>visitor_flow_context_raw</t>
        </is>
      </c>
      <c r="F3829" t="inlineStr">
        <is>
          <t>Visitor flow context raw</t>
        </is>
      </c>
      <c r="G3829" t="inlineStr">
        <is>
          <t>creative</t>
        </is>
      </c>
      <c r="H3829" t="inlineStr">
        <is>
          <t>no</t>
        </is>
      </c>
      <c r="I3829" t="inlineStr"/>
      <c r="J3829" t="inlineStr"/>
      <c r="K3829" t="inlineStr"/>
      <c r="L3829" t="inlineStr"/>
      <c r="M3829" t="inlineStr"/>
      <c r="N3829" t="inlineStr"/>
    </row>
    <row r="3830">
      <c r="A3830" t="inlineStr">
        <is>
          <t>se-gothenburg</t>
        </is>
      </c>
      <c r="B3830" t="inlineStr">
        <is>
          <t>Gothenburg</t>
        </is>
      </c>
      <c r="C3830" t="inlineStr">
        <is>
          <t>Sweden</t>
        </is>
      </c>
      <c r="D3830" t="inlineStr">
        <is>
          <t>Western, Northern, and Southern Europe</t>
        </is>
      </c>
      <c r="E3830" t="inlineStr">
        <is>
          <t>gross_income</t>
        </is>
      </c>
      <c r="F3830" t="inlineStr">
        <is>
          <t>Gross income</t>
        </is>
      </c>
      <c r="G3830" t="inlineStr">
        <is>
          <t>pressure</t>
        </is>
      </c>
      <c r="H3830" t="inlineStr">
        <is>
          <t>yes</t>
        </is>
      </c>
      <c r="I3830" t="inlineStr">
        <is>
          <t>6250.0</t>
        </is>
      </c>
      <c r="J3830" t="inlineStr">
        <is>
          <t>world_bank_col_estimate</t>
        </is>
      </c>
      <c r="K3830" t="inlineStr">
        <is>
          <t>https://api.worldbank.org/v2/country/SWE/indicator/NY.GNP.PCAP.PP.CD?format=json&amp;mrv=10</t>
        </is>
      </c>
      <c r="L3830" t="inlineStr">
        <is>
          <t>World Bank WDI: GNI per capita PPP (monthly USD)</t>
        </is>
      </c>
      <c r="M3830" t="inlineStr">
        <is>
          <t>2024-12-31</t>
        </is>
      </c>
      <c r="N3830" t="inlineStr">
        <is>
          <t>auto_ingest=world_bank_col_estimate; gni_annual=75000.0; year=2024; country_proxy=Sweden; cohort=Western, Northern, and Southern Europe</t>
        </is>
      </c>
    </row>
    <row r="3831">
      <c r="A3831" t="inlineStr">
        <is>
          <t>se-gothenburg</t>
        </is>
      </c>
      <c r="B3831" t="inlineStr">
        <is>
          <t>Gothenburg</t>
        </is>
      </c>
      <c r="C3831" t="inlineStr">
        <is>
          <t>Sweden</t>
        </is>
      </c>
      <c r="D3831" t="inlineStr">
        <is>
          <t>Western, Northern, and Southern Europe</t>
        </is>
      </c>
      <c r="E3831" t="inlineStr">
        <is>
          <t>di_ppp_raw</t>
        </is>
      </c>
      <c r="F3831" t="inlineStr">
        <is>
          <t>Disposable income PPP (Raw)</t>
        </is>
      </c>
      <c r="G3831" t="inlineStr">
        <is>
          <t>pressure</t>
        </is>
      </c>
      <c r="H3831" t="inlineStr">
        <is>
          <t>yes</t>
        </is>
      </c>
      <c r="I3831" t="inlineStr"/>
      <c r="J3831" t="inlineStr"/>
      <c r="K3831" t="inlineStr"/>
      <c r="L3831" t="inlineStr"/>
      <c r="M3831" t="inlineStr"/>
      <c r="N3831" t="inlineStr"/>
    </row>
    <row r="3832">
      <c r="A3832" t="inlineStr">
        <is>
          <t>se-gothenburg</t>
        </is>
      </c>
      <c r="B3832" t="inlineStr">
        <is>
          <t>Gothenburg</t>
        </is>
      </c>
      <c r="C3832" t="inlineStr">
        <is>
          <t>Sweden</t>
        </is>
      </c>
      <c r="D3832" t="inlineStr">
        <is>
          <t>Western, Northern, and Southern Europe</t>
        </is>
      </c>
      <c r="E3832" t="inlineStr">
        <is>
          <t>rent</t>
        </is>
      </c>
      <c r="F3832" t="inlineStr">
        <is>
          <t>Rent</t>
        </is>
      </c>
      <c r="G3832" t="inlineStr">
        <is>
          <t>pressure</t>
        </is>
      </c>
      <c r="H3832" t="inlineStr">
        <is>
          <t>yes</t>
        </is>
      </c>
      <c r="I3832" t="inlineStr">
        <is>
          <t>1968.75</t>
        </is>
      </c>
      <c r="J3832" t="inlineStr">
        <is>
          <t>world_bank_col_estimate</t>
        </is>
      </c>
      <c r="K3832" t="inlineStr">
        <is>
          <t>https://api.worldbank.org/v2/country/SWE/indicator/NY.GNP.PCAP.PP.CD?format=json&amp;mrv=10</t>
        </is>
      </c>
      <c r="L3832" t="inlineStr">
        <is>
          <t>World Bank GNI + regional expenditure ratio estimate</t>
        </is>
      </c>
      <c r="M3832" t="inlineStr">
        <is>
          <t>2024-12-31</t>
        </is>
      </c>
      <c r="N3832" t="inlineStr">
        <is>
          <t>auto_ingest=world_bank_col_estimate; gni_annual=75000.0; year=2024; country_proxy=Sweden; cohort=Western, Northern, and Southern Europe; city_cost_mult=0.9</t>
        </is>
      </c>
    </row>
    <row r="3833">
      <c r="A3833" t="inlineStr">
        <is>
          <t>se-gothenburg</t>
        </is>
      </c>
      <c r="B3833" t="inlineStr">
        <is>
          <t>Gothenburg</t>
        </is>
      </c>
      <c r="C3833" t="inlineStr">
        <is>
          <t>Sweden</t>
        </is>
      </c>
      <c r="D3833" t="inlineStr">
        <is>
          <t>Western, Northern, and Southern Europe</t>
        </is>
      </c>
      <c r="E3833" t="inlineStr">
        <is>
          <t>utilities</t>
        </is>
      </c>
      <c r="F3833" t="inlineStr">
        <is>
          <t>Utilities</t>
        </is>
      </c>
      <c r="G3833" t="inlineStr">
        <is>
          <t>pressure</t>
        </is>
      </c>
      <c r="H3833" t="inlineStr">
        <is>
          <t>yes</t>
        </is>
      </c>
      <c r="I3833" t="inlineStr">
        <is>
          <t>393.75</t>
        </is>
      </c>
      <c r="J3833" t="inlineStr">
        <is>
          <t>world_bank_col_estimate</t>
        </is>
      </c>
      <c r="K3833" t="inlineStr">
        <is>
          <t>https://api.worldbank.org/v2/country/SWE/indicator/NY.GNP.PCAP.PP.CD?format=json&amp;mrv=10</t>
        </is>
      </c>
      <c r="L3833" t="inlineStr">
        <is>
          <t>World Bank GNI + regional expenditure ratio estimate</t>
        </is>
      </c>
      <c r="M3833" t="inlineStr">
        <is>
          <t>2024-12-31</t>
        </is>
      </c>
      <c r="N3833" t="inlineStr">
        <is>
          <t>auto_ingest=world_bank_col_estimate; gni_annual=75000.0; year=2024; country_proxy=Sweden; cohort=Western, Northern, and Southern Europe; city_cost_mult=0.9</t>
        </is>
      </c>
    </row>
    <row r="3834">
      <c r="A3834" t="inlineStr">
        <is>
          <t>se-gothenburg</t>
        </is>
      </c>
      <c r="B3834" t="inlineStr">
        <is>
          <t>Gothenburg</t>
        </is>
      </c>
      <c r="C3834" t="inlineStr">
        <is>
          <t>Sweden</t>
        </is>
      </c>
      <c r="D3834" t="inlineStr">
        <is>
          <t>Western, Northern, and Southern Europe</t>
        </is>
      </c>
      <c r="E3834" t="inlineStr">
        <is>
          <t>transit_cost</t>
        </is>
      </c>
      <c r="F3834" t="inlineStr">
        <is>
          <t>Transit cost</t>
        </is>
      </c>
      <c r="G3834" t="inlineStr">
        <is>
          <t>pressure</t>
        </is>
      </c>
      <c r="H3834" t="inlineStr">
        <is>
          <t>yes</t>
        </is>
      </c>
      <c r="I3834" t="inlineStr">
        <is>
          <t>281.25</t>
        </is>
      </c>
      <c r="J3834" t="inlineStr">
        <is>
          <t>world_bank_col_estimate</t>
        </is>
      </c>
      <c r="K3834" t="inlineStr">
        <is>
          <t>https://api.worldbank.org/v2/country/SWE/indicator/NY.GNP.PCAP.PP.CD?format=json&amp;mrv=10</t>
        </is>
      </c>
      <c r="L3834" t="inlineStr">
        <is>
          <t>World Bank GNI + regional expenditure ratio estimate</t>
        </is>
      </c>
      <c r="M3834" t="inlineStr">
        <is>
          <t>2024-12-31</t>
        </is>
      </c>
      <c r="N3834" t="inlineStr">
        <is>
          <t>auto_ingest=world_bank_col_estimate; gni_annual=75000.0; year=2024; country_proxy=Sweden; cohort=Western, Northern, and Southern Europe; city_cost_mult=0.9</t>
        </is>
      </c>
    </row>
    <row r="3835">
      <c r="A3835" t="inlineStr">
        <is>
          <t>se-gothenburg</t>
        </is>
      </c>
      <c r="B3835" t="inlineStr">
        <is>
          <t>Gothenburg</t>
        </is>
      </c>
      <c r="C3835" t="inlineStr">
        <is>
          <t>Sweden</t>
        </is>
      </c>
      <c r="D3835" t="inlineStr">
        <is>
          <t>Western, Northern, and Southern Europe</t>
        </is>
      </c>
      <c r="E3835" t="inlineStr">
        <is>
          <t>internet_cost</t>
        </is>
      </c>
      <c r="F3835" t="inlineStr">
        <is>
          <t>Internet cost</t>
        </is>
      </c>
      <c r="G3835" t="inlineStr">
        <is>
          <t>pressure</t>
        </is>
      </c>
      <c r="H3835" t="inlineStr">
        <is>
          <t>yes</t>
        </is>
      </c>
      <c r="I3835" t="inlineStr">
        <is>
          <t>84.38</t>
        </is>
      </c>
      <c r="J3835" t="inlineStr">
        <is>
          <t>world_bank_col_estimate</t>
        </is>
      </c>
      <c r="K3835" t="inlineStr">
        <is>
          <t>https://api.worldbank.org/v2/country/SWE/indicator/NY.GNP.PCAP.PP.CD?format=json&amp;mrv=10</t>
        </is>
      </c>
      <c r="L3835" t="inlineStr">
        <is>
          <t>World Bank GNI + regional expenditure ratio estimate</t>
        </is>
      </c>
      <c r="M3835" t="inlineStr">
        <is>
          <t>2024-12-31</t>
        </is>
      </c>
      <c r="N3835" t="inlineStr">
        <is>
          <t>auto_ingest=world_bank_col_estimate; gni_annual=75000.0; year=2024; country_proxy=Sweden; cohort=Western, Northern, and Southern Europe; city_cost_mult=0.9</t>
        </is>
      </c>
    </row>
    <row r="3836">
      <c r="A3836" t="inlineStr">
        <is>
          <t>se-gothenburg</t>
        </is>
      </c>
      <c r="B3836" t="inlineStr">
        <is>
          <t>Gothenburg</t>
        </is>
      </c>
      <c r="C3836" t="inlineStr">
        <is>
          <t>Sweden</t>
        </is>
      </c>
      <c r="D3836" t="inlineStr">
        <is>
          <t>Western, Northern, and Southern Europe</t>
        </is>
      </c>
      <c r="E3836" t="inlineStr">
        <is>
          <t>food_cost</t>
        </is>
      </c>
      <c r="F3836" t="inlineStr">
        <is>
          <t>Food cost</t>
        </is>
      </c>
      <c r="G3836" t="inlineStr">
        <is>
          <t>pressure</t>
        </is>
      </c>
      <c r="H3836" t="inlineStr">
        <is>
          <t>yes</t>
        </is>
      </c>
      <c r="I3836" t="inlineStr">
        <is>
          <t>843.75</t>
        </is>
      </c>
      <c r="J3836" t="inlineStr">
        <is>
          <t>world_bank_col_estimate</t>
        </is>
      </c>
      <c r="K3836" t="inlineStr">
        <is>
          <t>https://api.worldbank.org/v2/country/SWE/indicator/NY.GNP.PCAP.PP.CD?format=json&amp;mrv=10</t>
        </is>
      </c>
      <c r="L3836" t="inlineStr">
        <is>
          <t>World Bank GNI + regional expenditure ratio estimate</t>
        </is>
      </c>
      <c r="M3836" t="inlineStr">
        <is>
          <t>2024-12-31</t>
        </is>
      </c>
      <c r="N3836" t="inlineStr">
        <is>
          <t>auto_ingest=world_bank_col_estimate; gni_annual=75000.0; year=2024; country_proxy=Sweden; cohort=Western, Northern, and Southern Europe; city_cost_mult=0.9</t>
        </is>
      </c>
    </row>
    <row r="3837">
      <c r="A3837" t="inlineStr">
        <is>
          <t>se-gothenburg</t>
        </is>
      </c>
      <c r="B3837" t="inlineStr">
        <is>
          <t>Gothenburg</t>
        </is>
      </c>
      <c r="C3837" t="inlineStr">
        <is>
          <t>Sweden</t>
        </is>
      </c>
      <c r="D3837" t="inlineStr">
        <is>
          <t>Western, Northern, and Southern Europe</t>
        </is>
      </c>
      <c r="E3837" t="inlineStr">
        <is>
          <t>housing_burden_raw</t>
        </is>
      </c>
      <c r="F3837" t="inlineStr">
        <is>
          <t>Housing burden raw</t>
        </is>
      </c>
      <c r="G3837" t="inlineStr">
        <is>
          <t>pressure</t>
        </is>
      </c>
      <c r="H3837" t="inlineStr">
        <is>
          <t>yes</t>
        </is>
      </c>
      <c r="I3837" t="inlineStr">
        <is>
          <t>31.5</t>
        </is>
      </c>
      <c r="J3837" t="inlineStr">
        <is>
          <t>derived</t>
        </is>
      </c>
      <c r="K3837" t="inlineStr">
        <is>
          <t>https://data.worldbank.org/indicator/NY.GNP.PCAP.PP.CD</t>
        </is>
      </c>
      <c r="L3837" t="inlineStr">
        <is>
          <t>Computed from city_inputs + country_context</t>
        </is>
      </c>
      <c r="M3837" t="inlineStr">
        <is>
          <t>2024-01-01</t>
        </is>
      </c>
      <c r="N3837" t="inlineStr">
        <is>
          <t>derived=rent/gross_income*100</t>
        </is>
      </c>
    </row>
    <row r="3838">
      <c r="A3838" t="inlineStr">
        <is>
          <t>se-gothenburg</t>
        </is>
      </c>
      <c r="B3838" t="inlineStr">
        <is>
          <t>Gothenburg</t>
        </is>
      </c>
      <c r="C3838" t="inlineStr">
        <is>
          <t>Sweden</t>
        </is>
      </c>
      <c r="D3838" t="inlineStr">
        <is>
          <t>Western, Northern, and Southern Europe</t>
        </is>
      </c>
      <c r="E3838" t="inlineStr">
        <is>
          <t>household_debt_burden_raw</t>
        </is>
      </c>
      <c r="F3838" t="inlineStr">
        <is>
          <t>Household debt burden raw</t>
        </is>
      </c>
      <c r="G3838" t="inlineStr">
        <is>
          <t>pressure</t>
        </is>
      </c>
      <c r="H3838" t="inlineStr">
        <is>
          <t>yes</t>
        </is>
      </c>
      <c r="I3838" t="inlineStr"/>
      <c r="J3838" t="inlineStr"/>
      <c r="K3838" t="inlineStr"/>
      <c r="L3838" t="inlineStr"/>
      <c r="M3838" t="inlineStr"/>
      <c r="N3838" t="inlineStr"/>
    </row>
    <row r="3839">
      <c r="A3839" t="inlineStr">
        <is>
          <t>se-gothenburg</t>
        </is>
      </c>
      <c r="B3839" t="inlineStr">
        <is>
          <t>Gothenburg</t>
        </is>
      </c>
      <c r="C3839" t="inlineStr">
        <is>
          <t>Sweden</t>
        </is>
      </c>
      <c r="D3839" t="inlineStr">
        <is>
          <t>Western, Northern, and Southern Europe</t>
        </is>
      </c>
      <c r="E3839" t="inlineStr">
        <is>
          <t>working_time_pressure_raw</t>
        </is>
      </c>
      <c r="F3839" t="inlineStr">
        <is>
          <t>Working time pressure raw</t>
        </is>
      </c>
      <c r="G3839" t="inlineStr">
        <is>
          <t>pressure</t>
        </is>
      </c>
      <c r="H3839" t="inlineStr">
        <is>
          <t>yes</t>
        </is>
      </c>
      <c r="I3839" t="inlineStr"/>
      <c r="J3839" t="inlineStr"/>
      <c r="K3839" t="inlineStr"/>
      <c r="L3839" t="inlineStr"/>
      <c r="M3839" t="inlineStr"/>
      <c r="N3839" t="inlineStr"/>
    </row>
    <row r="3840">
      <c r="A3840" t="inlineStr">
        <is>
          <t>se-gothenburg</t>
        </is>
      </c>
      <c r="B3840" t="inlineStr">
        <is>
          <t>Gothenburg</t>
        </is>
      </c>
      <c r="C3840" t="inlineStr">
        <is>
          <t>Sweden</t>
        </is>
      </c>
      <c r="D3840" t="inlineStr">
        <is>
          <t>Western, Northern, and Southern Europe</t>
        </is>
      </c>
      <c r="E3840" t="inlineStr">
        <is>
          <t>suicide_mental_strain_raw</t>
        </is>
      </c>
      <c r="F3840" t="inlineStr">
        <is>
          <t>Suicide or mental strain raw</t>
        </is>
      </c>
      <c r="G3840" t="inlineStr">
        <is>
          <t>pressure</t>
        </is>
      </c>
      <c r="H3840" t="inlineStr">
        <is>
          <t>yes</t>
        </is>
      </c>
      <c r="I3840" t="inlineStr"/>
      <c r="J3840" t="inlineStr"/>
      <c r="K3840" t="inlineStr"/>
      <c r="L3840" t="inlineStr"/>
      <c r="M3840" t="inlineStr"/>
      <c r="N3840" t="inlineStr"/>
    </row>
    <row r="3841">
      <c r="A3841" t="inlineStr">
        <is>
          <t>se-gothenburg</t>
        </is>
      </c>
      <c r="B3841" t="inlineStr">
        <is>
          <t>Gothenburg</t>
        </is>
      </c>
      <c r="C3841" t="inlineStr">
        <is>
          <t>Sweden</t>
        </is>
      </c>
      <c r="D3841" t="inlineStr">
        <is>
          <t>Western, Northern, and Southern Europe</t>
        </is>
      </c>
      <c r="E3841" t="inlineStr">
        <is>
          <t>personal_safety_raw</t>
        </is>
      </c>
      <c r="F3841" t="inlineStr">
        <is>
          <t>Personal safety raw</t>
        </is>
      </c>
      <c r="G3841" t="inlineStr">
        <is>
          <t>viability</t>
        </is>
      </c>
      <c r="H3841" t="inlineStr">
        <is>
          <t>yes</t>
        </is>
      </c>
      <c r="I3841" t="inlineStr"/>
      <c r="J3841" t="inlineStr"/>
      <c r="K3841" t="inlineStr"/>
      <c r="L3841" t="inlineStr"/>
      <c r="M3841" t="inlineStr"/>
      <c r="N3841" t="inlineStr"/>
    </row>
    <row r="3842">
      <c r="A3842" t="inlineStr">
        <is>
          <t>se-gothenburg</t>
        </is>
      </c>
      <c r="B3842" t="inlineStr">
        <is>
          <t>Gothenburg</t>
        </is>
      </c>
      <c r="C3842" t="inlineStr">
        <is>
          <t>Sweden</t>
        </is>
      </c>
      <c r="D3842" t="inlineStr">
        <is>
          <t>Western, Northern, and Southern Europe</t>
        </is>
      </c>
      <c r="E3842" t="inlineStr">
        <is>
          <t>transit_access_commute_raw</t>
        </is>
      </c>
      <c r="F3842" t="inlineStr">
        <is>
          <t>Transit access and commute raw</t>
        </is>
      </c>
      <c r="G3842" t="inlineStr">
        <is>
          <t>viability</t>
        </is>
      </c>
      <c r="H3842" t="inlineStr">
        <is>
          <t>yes</t>
        </is>
      </c>
      <c r="I3842" t="inlineStr"/>
      <c r="J3842" t="inlineStr"/>
      <c r="K3842" t="inlineStr"/>
      <c r="L3842" t="inlineStr"/>
      <c r="M3842" t="inlineStr"/>
      <c r="N3842" t="inlineStr"/>
    </row>
    <row r="3843">
      <c r="A3843" t="inlineStr">
        <is>
          <t>se-gothenburg</t>
        </is>
      </c>
      <c r="B3843" t="inlineStr">
        <is>
          <t>Gothenburg</t>
        </is>
      </c>
      <c r="C3843" t="inlineStr">
        <is>
          <t>Sweden</t>
        </is>
      </c>
      <c r="D3843" t="inlineStr">
        <is>
          <t>Western, Northern, and Southern Europe</t>
        </is>
      </c>
      <c r="E3843" t="inlineStr">
        <is>
          <t>clean_air_raw</t>
        </is>
      </c>
      <c r="F3843" t="inlineStr">
        <is>
          <t>Clean air raw</t>
        </is>
      </c>
      <c r="G3843" t="inlineStr">
        <is>
          <t>viability</t>
        </is>
      </c>
      <c r="H3843" t="inlineStr">
        <is>
          <t>yes</t>
        </is>
      </c>
      <c r="I3843" t="inlineStr"/>
      <c r="J3843" t="inlineStr"/>
      <c r="K3843" t="inlineStr"/>
      <c r="L3843" t="inlineStr"/>
      <c r="M3843" t="inlineStr"/>
      <c r="N3843" t="inlineStr"/>
    </row>
    <row r="3844">
      <c r="A3844" t="inlineStr">
        <is>
          <t>se-gothenburg</t>
        </is>
      </c>
      <c r="B3844" t="inlineStr">
        <is>
          <t>Gothenburg</t>
        </is>
      </c>
      <c r="C3844" t="inlineStr">
        <is>
          <t>Sweden</t>
        </is>
      </c>
      <c r="D3844" t="inlineStr">
        <is>
          <t>Western, Northern, and Southern Europe</t>
        </is>
      </c>
      <c r="E3844" t="inlineStr">
        <is>
          <t>water_sanitation_utility_raw</t>
        </is>
      </c>
      <c r="F3844" t="inlineStr">
        <is>
          <t>Water, sanitation, and utility raw</t>
        </is>
      </c>
      <c r="G3844" t="inlineStr">
        <is>
          <t>viability</t>
        </is>
      </c>
      <c r="H3844" t="inlineStr">
        <is>
          <t>yes</t>
        </is>
      </c>
      <c r="I3844" t="inlineStr"/>
      <c r="J3844" t="inlineStr"/>
      <c r="K3844" t="inlineStr"/>
      <c r="L3844" t="inlineStr"/>
      <c r="M3844" t="inlineStr"/>
      <c r="N3844" t="inlineStr"/>
    </row>
    <row r="3845">
      <c r="A3845" t="inlineStr">
        <is>
          <t>se-gothenburg</t>
        </is>
      </c>
      <c r="B3845" t="inlineStr">
        <is>
          <t>Gothenburg</t>
        </is>
      </c>
      <c r="C3845" t="inlineStr">
        <is>
          <t>Sweden</t>
        </is>
      </c>
      <c r="D3845" t="inlineStr">
        <is>
          <t>Western, Northern, and Southern Europe</t>
        </is>
      </c>
      <c r="E3845" t="inlineStr">
        <is>
          <t>digital_infrastructure_raw</t>
        </is>
      </c>
      <c r="F3845" t="inlineStr">
        <is>
          <t>Digital infrastructure raw</t>
        </is>
      </c>
      <c r="G3845" t="inlineStr">
        <is>
          <t>viability</t>
        </is>
      </c>
      <c r="H3845" t="inlineStr">
        <is>
          <t>yes</t>
        </is>
      </c>
      <c r="I3845" t="inlineStr"/>
      <c r="J3845" t="inlineStr"/>
      <c r="K3845" t="inlineStr"/>
      <c r="L3845" t="inlineStr"/>
      <c r="M3845" t="inlineStr"/>
      <c r="N3845" t="inlineStr"/>
    </row>
    <row r="3846">
      <c r="A3846" t="inlineStr">
        <is>
          <t>se-gothenburg</t>
        </is>
      </c>
      <c r="B3846" t="inlineStr">
        <is>
          <t>Gothenburg</t>
        </is>
      </c>
      <c r="C3846" t="inlineStr">
        <is>
          <t>Sweden</t>
        </is>
      </c>
      <c r="D3846" t="inlineStr">
        <is>
          <t>Western, Northern, and Southern Europe</t>
        </is>
      </c>
      <c r="E3846" t="inlineStr">
        <is>
          <t>climate_sunlight_livability_raw</t>
        </is>
      </c>
      <c r="F3846" t="inlineStr">
        <is>
          <t>Climate and sunlight livability raw</t>
        </is>
      </c>
      <c r="G3846" t="inlineStr">
        <is>
          <t>viability</t>
        </is>
      </c>
      <c r="H3846" t="inlineStr">
        <is>
          <t>yes</t>
        </is>
      </c>
      <c r="I3846" t="inlineStr">
        <is>
          <t>36</t>
        </is>
      </c>
      <c r="J3846" t="inlineStr">
        <is>
          <t>wmo_natl_met</t>
        </is>
      </c>
      <c r="K3846" t="inlineStr">
        <is>
          <t>https://worldweather.wmo.int</t>
        </is>
      </c>
      <c r="L3846" t="inlineStr">
        <is>
          <t>WMO/National Met: Climate livability composite</t>
        </is>
      </c>
      <c r="M3846" t="inlineStr">
        <is>
          <t>2024-12-31</t>
        </is>
      </c>
      <c r="N3846" t="inlineStr">
        <is>
          <t>auto_seed=climate_composite; 1600 sun hrs, 8C mean, rain + wind</t>
        </is>
      </c>
    </row>
    <row r="3847">
      <c r="A3847" t="inlineStr">
        <is>
          <t>se-gothenburg</t>
        </is>
      </c>
      <c r="B3847" t="inlineStr">
        <is>
          <t>Gothenburg</t>
        </is>
      </c>
      <c r="C3847" t="inlineStr">
        <is>
          <t>Sweden</t>
        </is>
      </c>
      <c r="D3847" t="inlineStr">
        <is>
          <t>Western, Northern, and Southern Europe</t>
        </is>
      </c>
      <c r="E3847" t="inlineStr">
        <is>
          <t>healthcare_quality_raw</t>
        </is>
      </c>
      <c r="F3847" t="inlineStr">
        <is>
          <t>Healthcare quality raw</t>
        </is>
      </c>
      <c r="G3847" t="inlineStr">
        <is>
          <t>capability</t>
        </is>
      </c>
      <c r="H3847" t="inlineStr">
        <is>
          <t>yes</t>
        </is>
      </c>
      <c r="I3847" t="inlineStr"/>
      <c r="J3847" t="inlineStr"/>
      <c r="K3847" t="inlineStr"/>
      <c r="L3847" t="inlineStr"/>
      <c r="M3847" t="inlineStr"/>
      <c r="N3847" t="inlineStr"/>
    </row>
    <row r="3848">
      <c r="A3848" t="inlineStr">
        <is>
          <t>se-gothenburg</t>
        </is>
      </c>
      <c r="B3848" t="inlineStr">
        <is>
          <t>Gothenburg</t>
        </is>
      </c>
      <c r="C3848" t="inlineStr">
        <is>
          <t>Sweden</t>
        </is>
      </c>
      <c r="D3848" t="inlineStr">
        <is>
          <t>Western, Northern, and Southern Europe</t>
        </is>
      </c>
      <c r="E3848" t="inlineStr">
        <is>
          <t>education_quality_raw</t>
        </is>
      </c>
      <c r="F3848" t="inlineStr">
        <is>
          <t>Education quality raw</t>
        </is>
      </c>
      <c r="G3848" t="inlineStr">
        <is>
          <t>capability</t>
        </is>
      </c>
      <c r="H3848" t="inlineStr">
        <is>
          <t>yes</t>
        </is>
      </c>
      <c r="I3848" t="inlineStr"/>
      <c r="J3848" t="inlineStr"/>
      <c r="K3848" t="inlineStr"/>
      <c r="L3848" t="inlineStr"/>
      <c r="M3848" t="inlineStr"/>
      <c r="N3848" t="inlineStr"/>
    </row>
    <row r="3849">
      <c r="A3849" t="inlineStr">
        <is>
          <t>se-gothenburg</t>
        </is>
      </c>
      <c r="B3849" t="inlineStr">
        <is>
          <t>Gothenburg</t>
        </is>
      </c>
      <c r="C3849" t="inlineStr">
        <is>
          <t>Sweden</t>
        </is>
      </c>
      <c r="D3849" t="inlineStr">
        <is>
          <t>Western, Northern, and Southern Europe</t>
        </is>
      </c>
      <c r="E3849" t="inlineStr">
        <is>
          <t>equal_opportunity_raw</t>
        </is>
      </c>
      <c r="F3849" t="inlineStr">
        <is>
          <t>Equal opportunity raw</t>
        </is>
      </c>
      <c r="G3849" t="inlineStr">
        <is>
          <t>capability</t>
        </is>
      </c>
      <c r="H3849" t="inlineStr">
        <is>
          <t>yes</t>
        </is>
      </c>
      <c r="I3849" t="inlineStr">
        <is>
          <t>29.3</t>
        </is>
      </c>
      <c r="J3849" t="inlineStr">
        <is>
          <t>world_bank</t>
        </is>
      </c>
      <c r="K3849" t="inlineStr">
        <is>
          <t>https://api.worldbank.org/v2/country/SWE/indicator/SI.POV.GINI?format=json&amp;mrv=10</t>
        </is>
      </c>
      <c r="L3849" t="inlineStr">
        <is>
          <t>World Bank WDI: Gini index</t>
        </is>
      </c>
      <c r="M3849" t="inlineStr">
        <is>
          <t>2023-12-31</t>
        </is>
      </c>
      <c r="N3849" t="inlineStr">
        <is>
          <t>auto_ingest=world_bank_capability; indicator=SI.POV.GINI; year=2023; country_proxy=Sweden</t>
        </is>
      </c>
    </row>
    <row r="3850">
      <c r="A3850" t="inlineStr">
        <is>
          <t>se-gothenburg</t>
        </is>
      </c>
      <c r="B3850" t="inlineStr">
        <is>
          <t>Gothenburg</t>
        </is>
      </c>
      <c r="C3850" t="inlineStr">
        <is>
          <t>Sweden</t>
        </is>
      </c>
      <c r="D3850" t="inlineStr">
        <is>
          <t>Western, Northern, and Southern Europe</t>
        </is>
      </c>
      <c r="E3850" t="inlineStr">
        <is>
          <t>hospitality_belonging_raw</t>
        </is>
      </c>
      <c r="F3850" t="inlineStr">
        <is>
          <t>Hospitality and belonging raw</t>
        </is>
      </c>
      <c r="G3850" t="inlineStr">
        <is>
          <t>community</t>
        </is>
      </c>
      <c r="H3850" t="inlineStr">
        <is>
          <t>yes</t>
        </is>
      </c>
      <c r="I3850" t="inlineStr"/>
      <c r="J3850" t="inlineStr"/>
      <c r="K3850" t="inlineStr"/>
      <c r="L3850" t="inlineStr"/>
      <c r="M3850" t="inlineStr"/>
      <c r="N3850" t="inlineStr"/>
    </row>
    <row r="3851">
      <c r="A3851" t="inlineStr">
        <is>
          <t>se-gothenburg</t>
        </is>
      </c>
      <c r="B3851" t="inlineStr">
        <is>
          <t>Gothenburg</t>
        </is>
      </c>
      <c r="C3851" t="inlineStr">
        <is>
          <t>Sweden</t>
        </is>
      </c>
      <c r="D3851" t="inlineStr">
        <is>
          <t>Western, Northern, and Southern Europe</t>
        </is>
      </c>
      <c r="E3851" t="inlineStr">
        <is>
          <t>tolerance_pluralism_raw</t>
        </is>
      </c>
      <c r="F3851" t="inlineStr">
        <is>
          <t>Tolerance and pluralism raw</t>
        </is>
      </c>
      <c r="G3851" t="inlineStr">
        <is>
          <t>community</t>
        </is>
      </c>
      <c r="H3851" t="inlineStr">
        <is>
          <t>yes</t>
        </is>
      </c>
      <c r="I3851" t="inlineStr"/>
      <c r="J3851" t="inlineStr"/>
      <c r="K3851" t="inlineStr"/>
      <c r="L3851" t="inlineStr"/>
      <c r="M3851" t="inlineStr"/>
      <c r="N3851" t="inlineStr"/>
    </row>
    <row r="3852">
      <c r="A3852" t="inlineStr">
        <is>
          <t>se-gothenburg</t>
        </is>
      </c>
      <c r="B3852" t="inlineStr">
        <is>
          <t>Gothenburg</t>
        </is>
      </c>
      <c r="C3852" t="inlineStr">
        <is>
          <t>Sweden</t>
        </is>
      </c>
      <c r="D3852" t="inlineStr">
        <is>
          <t>Western, Northern, and Southern Europe</t>
        </is>
      </c>
      <c r="E3852" t="inlineStr">
        <is>
          <t>cultural_public_life_raw</t>
        </is>
      </c>
      <c r="F3852" t="inlineStr">
        <is>
          <t>Cultural public life raw</t>
        </is>
      </c>
      <c r="G3852" t="inlineStr">
        <is>
          <t>community</t>
        </is>
      </c>
      <c r="H3852" t="inlineStr">
        <is>
          <t>yes</t>
        </is>
      </c>
      <c r="I3852" t="inlineStr"/>
      <c r="J3852" t="inlineStr"/>
      <c r="K3852" t="inlineStr"/>
      <c r="L3852" t="inlineStr"/>
      <c r="M3852" t="inlineStr"/>
      <c r="N3852" t="inlineStr"/>
    </row>
    <row r="3853">
      <c r="A3853" t="inlineStr">
        <is>
          <t>se-gothenburg</t>
        </is>
      </c>
      <c r="B3853" t="inlineStr">
        <is>
          <t>Gothenburg</t>
        </is>
      </c>
      <c r="C3853" t="inlineStr">
        <is>
          <t>Sweden</t>
        </is>
      </c>
      <c r="D3853" t="inlineStr">
        <is>
          <t>Western, Northern, and Southern Europe</t>
        </is>
      </c>
      <c r="E3853" t="inlineStr">
        <is>
          <t>birth_rate_optimism_raw</t>
        </is>
      </c>
      <c r="F3853" t="inlineStr">
        <is>
          <t>Birth rate and societal optimism raw</t>
        </is>
      </c>
      <c r="G3853" t="inlineStr">
        <is>
          <t>community</t>
        </is>
      </c>
      <c r="H3853" t="inlineStr">
        <is>
          <t>yes</t>
        </is>
      </c>
      <c r="I3853" t="inlineStr">
        <is>
          <t>1.52</t>
        </is>
      </c>
      <c r="J3853" t="inlineStr">
        <is>
          <t>world_bank</t>
        </is>
      </c>
      <c r="K3853" t="inlineStr">
        <is>
          <t>https://data.worldbank.org/indicator/SP.DYN.TFRT.IN</t>
        </is>
      </c>
      <c r="L3853" t="inlineStr">
        <is>
          <t>World Bank Total Fertility Rate 2023</t>
        </is>
      </c>
      <c r="M3853" t="inlineStr">
        <is>
          <t>2024-01-01</t>
        </is>
      </c>
      <c r="N3853" t="inlineStr"/>
    </row>
    <row r="3854">
      <c r="A3854" t="inlineStr">
        <is>
          <t>se-gothenburg</t>
        </is>
      </c>
      <c r="B3854" t="inlineStr">
        <is>
          <t>Gothenburg</t>
        </is>
      </c>
      <c r="C3854" t="inlineStr">
        <is>
          <t>Sweden</t>
        </is>
      </c>
      <c r="D3854" t="inlineStr">
        <is>
          <t>Western, Northern, and Southern Europe</t>
        </is>
      </c>
      <c r="E3854" t="inlineStr">
        <is>
          <t>entrepreneurial_dynamism_raw</t>
        </is>
      </c>
      <c r="F3854" t="inlineStr">
        <is>
          <t>Entrepreneurial dynamism raw</t>
        </is>
      </c>
      <c r="G3854" t="inlineStr">
        <is>
          <t>creative</t>
        </is>
      </c>
      <c r="H3854" t="inlineStr">
        <is>
          <t>yes</t>
        </is>
      </c>
      <c r="I3854" t="inlineStr">
        <is>
          <t>9.24</t>
        </is>
      </c>
      <c r="J3854" t="inlineStr">
        <is>
          <t>world_bank</t>
        </is>
      </c>
      <c r="K3854" t="inlineStr">
        <is>
          <t>https://api.worldbank.org/v2/country/SWE/indicator/IC.BUS.NDNS.ZS?format=json&amp;mrv=10</t>
        </is>
      </c>
      <c r="L3854" t="inlineStr">
        <is>
          <t>World Bank WDI: New business density (new registrations per 1,000 people ages 15-64)</t>
        </is>
      </c>
      <c r="M3854" t="inlineStr">
        <is>
          <t>2022-12-31</t>
        </is>
      </c>
      <c r="N3854" t="inlineStr">
        <is>
          <t>auto_ingest=world_bank_creative_extended; indicator=IC.BUS.NDNS.ZS; year=2022; country_proxy=Sweden</t>
        </is>
      </c>
    </row>
    <row r="3855">
      <c r="A3855" t="inlineStr">
        <is>
          <t>se-gothenburg</t>
        </is>
      </c>
      <c r="B3855" t="inlineStr">
        <is>
          <t>Gothenburg</t>
        </is>
      </c>
      <c r="C3855" t="inlineStr">
        <is>
          <t>Sweden</t>
        </is>
      </c>
      <c r="D3855" t="inlineStr">
        <is>
          <t>Western, Northern, and Southern Europe</t>
        </is>
      </c>
      <c r="E3855" t="inlineStr">
        <is>
          <t>innovation_research_intensity_raw</t>
        </is>
      </c>
      <c r="F3855" t="inlineStr">
        <is>
          <t>Innovation and research raw</t>
        </is>
      </c>
      <c r="G3855" t="inlineStr">
        <is>
          <t>creative</t>
        </is>
      </c>
      <c r="H3855" t="inlineStr">
        <is>
          <t>yes</t>
        </is>
      </c>
      <c r="I3855" t="inlineStr">
        <is>
          <t>3.41</t>
        </is>
      </c>
      <c r="J3855" t="inlineStr">
        <is>
          <t>world_bank</t>
        </is>
      </c>
      <c r="K3855" t="inlineStr">
        <is>
          <t>https://api.worldbank.org/v2/country/SWE/indicator/GB.XPD.RSDV.GD.ZS?format=json&amp;mrv=10</t>
        </is>
      </c>
      <c r="L3855" t="inlineStr">
        <is>
          <t>World Bank WDI: Research and development expenditure (% of GDP)</t>
        </is>
      </c>
      <c r="M3855" t="inlineStr">
        <is>
          <t>2022-12-31</t>
        </is>
      </c>
      <c r="N3855" t="inlineStr">
        <is>
          <t>auto_ingest=world_bank_creative_extended; indicator=GB.XPD.RSDV.GD.ZS; year=2022; country_proxy=Sweden</t>
        </is>
      </c>
    </row>
    <row r="3856">
      <c r="A3856" t="inlineStr">
        <is>
          <t>se-gothenburg</t>
        </is>
      </c>
      <c r="B3856" t="inlineStr">
        <is>
          <t>Gothenburg</t>
        </is>
      </c>
      <c r="C3856" t="inlineStr">
        <is>
          <t>Sweden</t>
        </is>
      </c>
      <c r="D3856" t="inlineStr">
        <is>
          <t>Western, Northern, and Southern Europe</t>
        </is>
      </c>
      <c r="E3856" t="inlineStr">
        <is>
          <t>investment_signal_raw</t>
        </is>
      </c>
      <c r="F3856" t="inlineStr">
        <is>
          <t>Investment signal raw</t>
        </is>
      </c>
      <c r="G3856" t="inlineStr">
        <is>
          <t>creative</t>
        </is>
      </c>
      <c r="H3856" t="inlineStr">
        <is>
          <t>yes</t>
        </is>
      </c>
      <c r="I3856" t="inlineStr">
        <is>
          <t>4.48</t>
        </is>
      </c>
      <c r="J3856" t="inlineStr">
        <is>
          <t>world_bank</t>
        </is>
      </c>
      <c r="K3856" t="inlineStr">
        <is>
          <t>https://api.worldbank.org/v2/country/SWE/indicator/BX.KLT.DINV.WD.GD.ZS?format=json&amp;mrv=10</t>
        </is>
      </c>
      <c r="L3856" t="inlineStr">
        <is>
          <t>World Bank WDI: Foreign direct investment, net inflows (% of GDP)</t>
        </is>
      </c>
      <c r="M3856" t="inlineStr">
        <is>
          <t>2024-12-31</t>
        </is>
      </c>
      <c r="N3856" t="inlineStr">
        <is>
          <t>auto_ingest=world_bank_creative_extended; indicator=BX.KLT.DINV.WD.GD.ZS; year=2024; country_proxy=Sweden</t>
        </is>
      </c>
    </row>
    <row r="3857">
      <c r="A3857" t="inlineStr">
        <is>
          <t>se-gothenburg</t>
        </is>
      </c>
      <c r="B3857" t="inlineStr">
        <is>
          <t>Gothenburg</t>
        </is>
      </c>
      <c r="C3857" t="inlineStr">
        <is>
          <t>Sweden</t>
        </is>
      </c>
      <c r="D3857" t="inlineStr">
        <is>
          <t>Western, Northern, and Southern Europe</t>
        </is>
      </c>
      <c r="E3857" t="inlineStr">
        <is>
          <t>administrative_investment_friction_raw</t>
        </is>
      </c>
      <c r="F3857" t="inlineStr">
        <is>
          <t>Administrative investment friction raw</t>
        </is>
      </c>
      <c r="G3857" t="inlineStr">
        <is>
          <t>creative</t>
        </is>
      </c>
      <c r="H3857" t="inlineStr">
        <is>
          <t>yes</t>
        </is>
      </c>
      <c r="I3857" t="inlineStr">
        <is>
          <t>0.78</t>
        </is>
      </c>
      <c r="J3857" t="inlineStr">
        <is>
          <t>world_bank</t>
        </is>
      </c>
      <c r="K3857" t="inlineStr">
        <is>
          <t>https://api.worldbank.org/v2/country/SWE/indicator/RQ.EST?format=json&amp;mrv=10</t>
        </is>
      </c>
      <c r="L3857" t="inlineStr">
        <is>
          <t>World Bank WGI: Regulatory Quality (inverted as friction proxy)</t>
        </is>
      </c>
      <c r="M3857" t="inlineStr">
        <is>
          <t>2023-12-31</t>
        </is>
      </c>
      <c r="N3857" t="inlineStr">
        <is>
          <t>auto_ingest=world_bank_business_friction; indicator=RQ.EST; raw_rq=1.71801710128784; friction=0.78; year=2023; country_proxy=Sweden</t>
        </is>
      </c>
    </row>
    <row r="3858">
      <c r="A3858" t="inlineStr">
        <is>
          <t>se-gothenburg</t>
        </is>
      </c>
      <c r="B3858" t="inlineStr">
        <is>
          <t>Gothenburg</t>
        </is>
      </c>
      <c r="C3858" t="inlineStr">
        <is>
          <t>Sweden</t>
        </is>
      </c>
      <c r="D3858" t="inlineStr">
        <is>
          <t>Western, Northern, and Southern Europe</t>
        </is>
      </c>
      <c r="E3858" t="inlineStr">
        <is>
          <t>visitor_flow_context_raw</t>
        </is>
      </c>
      <c r="F3858" t="inlineStr">
        <is>
          <t>Visitor flow context raw</t>
        </is>
      </c>
      <c r="G3858" t="inlineStr">
        <is>
          <t>creative</t>
        </is>
      </c>
      <c r="H3858" t="inlineStr">
        <is>
          <t>no</t>
        </is>
      </c>
      <c r="I3858" t="inlineStr"/>
      <c r="J3858" t="inlineStr"/>
      <c r="K3858" t="inlineStr"/>
      <c r="L3858" t="inlineStr"/>
      <c r="M3858" t="inlineStr"/>
      <c r="N3858" t="inlineStr"/>
    </row>
    <row r="3859">
      <c r="A3859" t="inlineStr">
        <is>
          <t>no-bergen</t>
        </is>
      </c>
      <c r="B3859" t="inlineStr">
        <is>
          <t>Bergen</t>
        </is>
      </c>
      <c r="C3859" t="inlineStr">
        <is>
          <t>Norway</t>
        </is>
      </c>
      <c r="D3859" t="inlineStr">
        <is>
          <t>Western, Northern, and Southern Europe</t>
        </is>
      </c>
      <c r="E3859" t="inlineStr">
        <is>
          <t>gross_income</t>
        </is>
      </c>
      <c r="F3859" t="inlineStr">
        <is>
          <t>Gross income</t>
        </is>
      </c>
      <c r="G3859" t="inlineStr">
        <is>
          <t>pressure</t>
        </is>
      </c>
      <c r="H3859" t="inlineStr">
        <is>
          <t>yes</t>
        </is>
      </c>
      <c r="I3859" t="inlineStr">
        <is>
          <t>8902.5</t>
        </is>
      </c>
      <c r="J3859" t="inlineStr">
        <is>
          <t>world_bank_col_estimate</t>
        </is>
      </c>
      <c r="K3859" t="inlineStr">
        <is>
          <t>https://api.worldbank.org/v2/country/NOR/indicator/NY.GNP.PCAP.PP.CD?format=json&amp;mrv=10</t>
        </is>
      </c>
      <c r="L3859" t="inlineStr">
        <is>
          <t>World Bank WDI: GNI per capita PPP (monthly USD)</t>
        </is>
      </c>
      <c r="M3859" t="inlineStr">
        <is>
          <t>2024-12-31</t>
        </is>
      </c>
      <c r="N3859" t="inlineStr">
        <is>
          <t>auto_ingest=world_bank_col_estimate; gni_annual=106830.0; year=2024; country_proxy=Norway; cohort=Western, Northern, and Southern Europe</t>
        </is>
      </c>
    </row>
    <row r="3860">
      <c r="A3860" t="inlineStr">
        <is>
          <t>no-bergen</t>
        </is>
      </c>
      <c r="B3860" t="inlineStr">
        <is>
          <t>Bergen</t>
        </is>
      </c>
      <c r="C3860" t="inlineStr">
        <is>
          <t>Norway</t>
        </is>
      </c>
      <c r="D3860" t="inlineStr">
        <is>
          <t>Western, Northern, and Southern Europe</t>
        </is>
      </c>
      <c r="E3860" t="inlineStr">
        <is>
          <t>di_ppp_raw</t>
        </is>
      </c>
      <c r="F3860" t="inlineStr">
        <is>
          <t>Disposable income PPP (Raw)</t>
        </is>
      </c>
      <c r="G3860" t="inlineStr">
        <is>
          <t>pressure</t>
        </is>
      </c>
      <c r="H3860" t="inlineStr">
        <is>
          <t>yes</t>
        </is>
      </c>
      <c r="I3860" t="inlineStr"/>
      <c r="J3860" t="inlineStr"/>
      <c r="K3860" t="inlineStr"/>
      <c r="L3860" t="inlineStr"/>
      <c r="M3860" t="inlineStr"/>
      <c r="N3860" t="inlineStr"/>
    </row>
    <row r="3861">
      <c r="A3861" t="inlineStr">
        <is>
          <t>no-bergen</t>
        </is>
      </c>
      <c r="B3861" t="inlineStr">
        <is>
          <t>Bergen</t>
        </is>
      </c>
      <c r="C3861" t="inlineStr">
        <is>
          <t>Norway</t>
        </is>
      </c>
      <c r="D3861" t="inlineStr">
        <is>
          <t>Western, Northern, and Southern Europe</t>
        </is>
      </c>
      <c r="E3861" t="inlineStr">
        <is>
          <t>rent</t>
        </is>
      </c>
      <c r="F3861" t="inlineStr">
        <is>
          <t>Rent</t>
        </is>
      </c>
      <c r="G3861" t="inlineStr">
        <is>
          <t>pressure</t>
        </is>
      </c>
      <c r="H3861" t="inlineStr">
        <is>
          <t>yes</t>
        </is>
      </c>
      <c r="I3861" t="inlineStr">
        <is>
          <t>2960.08</t>
        </is>
      </c>
      <c r="J3861" t="inlineStr">
        <is>
          <t>world_bank_col_estimate</t>
        </is>
      </c>
      <c r="K3861" t="inlineStr">
        <is>
          <t>https://api.worldbank.org/v2/country/NOR/indicator/NY.GNP.PCAP.PP.CD?format=json&amp;mrv=10</t>
        </is>
      </c>
      <c r="L3861" t="inlineStr">
        <is>
          <t>World Bank GNI + regional expenditure ratio estimate</t>
        </is>
      </c>
      <c r="M3861" t="inlineStr">
        <is>
          <t>2024-12-31</t>
        </is>
      </c>
      <c r="N3861" t="inlineStr">
        <is>
          <t>auto_ingest=world_bank_col_estimate; gni_annual=106830.0; year=2024; country_proxy=Norway; cohort=Western, Northern, and Southern Europe; city_cost_mult=0.95</t>
        </is>
      </c>
    </row>
    <row r="3862">
      <c r="A3862" t="inlineStr">
        <is>
          <t>no-bergen</t>
        </is>
      </c>
      <c r="B3862" t="inlineStr">
        <is>
          <t>Bergen</t>
        </is>
      </c>
      <c r="C3862" t="inlineStr">
        <is>
          <t>Norway</t>
        </is>
      </c>
      <c r="D3862" t="inlineStr">
        <is>
          <t>Western, Northern, and Southern Europe</t>
        </is>
      </c>
      <c r="E3862" t="inlineStr">
        <is>
          <t>utilities</t>
        </is>
      </c>
      <c r="F3862" t="inlineStr">
        <is>
          <t>Utilities</t>
        </is>
      </c>
      <c r="G3862" t="inlineStr">
        <is>
          <t>pressure</t>
        </is>
      </c>
      <c r="H3862" t="inlineStr">
        <is>
          <t>yes</t>
        </is>
      </c>
      <c r="I3862" t="inlineStr">
        <is>
          <t>592.02</t>
        </is>
      </c>
      <c r="J3862" t="inlineStr">
        <is>
          <t>world_bank_col_estimate</t>
        </is>
      </c>
      <c r="K3862" t="inlineStr">
        <is>
          <t>https://api.worldbank.org/v2/country/NOR/indicator/NY.GNP.PCAP.PP.CD?format=json&amp;mrv=10</t>
        </is>
      </c>
      <c r="L3862" t="inlineStr">
        <is>
          <t>World Bank GNI + regional expenditure ratio estimate</t>
        </is>
      </c>
      <c r="M3862" t="inlineStr">
        <is>
          <t>2024-12-31</t>
        </is>
      </c>
      <c r="N3862" t="inlineStr">
        <is>
          <t>auto_ingest=world_bank_col_estimate; gni_annual=106830.0; year=2024; country_proxy=Norway; cohort=Western, Northern, and Southern Europe; city_cost_mult=0.95</t>
        </is>
      </c>
    </row>
    <row r="3863">
      <c r="A3863" t="inlineStr">
        <is>
          <t>no-bergen</t>
        </is>
      </c>
      <c r="B3863" t="inlineStr">
        <is>
          <t>Bergen</t>
        </is>
      </c>
      <c r="C3863" t="inlineStr">
        <is>
          <t>Norway</t>
        </is>
      </c>
      <c r="D3863" t="inlineStr">
        <is>
          <t>Western, Northern, and Southern Europe</t>
        </is>
      </c>
      <c r="E3863" t="inlineStr">
        <is>
          <t>transit_cost</t>
        </is>
      </c>
      <c r="F3863" t="inlineStr">
        <is>
          <t>Transit cost</t>
        </is>
      </c>
      <c r="G3863" t="inlineStr">
        <is>
          <t>pressure</t>
        </is>
      </c>
      <c r="H3863" t="inlineStr">
        <is>
          <t>yes</t>
        </is>
      </c>
      <c r="I3863" t="inlineStr">
        <is>
          <t>422.87</t>
        </is>
      </c>
      <c r="J3863" t="inlineStr">
        <is>
          <t>world_bank_col_estimate</t>
        </is>
      </c>
      <c r="K3863" t="inlineStr">
        <is>
          <t>https://api.worldbank.org/v2/country/NOR/indicator/NY.GNP.PCAP.PP.CD?format=json&amp;mrv=10</t>
        </is>
      </c>
      <c r="L3863" t="inlineStr">
        <is>
          <t>World Bank GNI + regional expenditure ratio estimate</t>
        </is>
      </c>
      <c r="M3863" t="inlineStr">
        <is>
          <t>2024-12-31</t>
        </is>
      </c>
      <c r="N3863" t="inlineStr">
        <is>
          <t>auto_ingest=world_bank_col_estimate; gni_annual=106830.0; year=2024; country_proxy=Norway; cohort=Western, Northern, and Southern Europe; city_cost_mult=0.95</t>
        </is>
      </c>
    </row>
    <row r="3864">
      <c r="A3864" t="inlineStr">
        <is>
          <t>no-bergen</t>
        </is>
      </c>
      <c r="B3864" t="inlineStr">
        <is>
          <t>Bergen</t>
        </is>
      </c>
      <c r="C3864" t="inlineStr">
        <is>
          <t>Norway</t>
        </is>
      </c>
      <c r="D3864" t="inlineStr">
        <is>
          <t>Western, Northern, and Southern Europe</t>
        </is>
      </c>
      <c r="E3864" t="inlineStr">
        <is>
          <t>internet_cost</t>
        </is>
      </c>
      <c r="F3864" t="inlineStr">
        <is>
          <t>Internet cost</t>
        </is>
      </c>
      <c r="G3864" t="inlineStr">
        <is>
          <t>pressure</t>
        </is>
      </c>
      <c r="H3864" t="inlineStr">
        <is>
          <t>yes</t>
        </is>
      </c>
      <c r="I3864" t="inlineStr">
        <is>
          <t>126.86</t>
        </is>
      </c>
      <c r="J3864" t="inlineStr">
        <is>
          <t>world_bank_col_estimate</t>
        </is>
      </c>
      <c r="K3864" t="inlineStr">
        <is>
          <t>https://api.worldbank.org/v2/country/NOR/indicator/NY.GNP.PCAP.PP.CD?format=json&amp;mrv=10</t>
        </is>
      </c>
      <c r="L3864" t="inlineStr">
        <is>
          <t>World Bank GNI + regional expenditure ratio estimate</t>
        </is>
      </c>
      <c r="M3864" t="inlineStr">
        <is>
          <t>2024-12-31</t>
        </is>
      </c>
      <c r="N3864" t="inlineStr">
        <is>
          <t>auto_ingest=world_bank_col_estimate; gni_annual=106830.0; year=2024; country_proxy=Norway; cohort=Western, Northern, and Southern Europe; city_cost_mult=0.95</t>
        </is>
      </c>
    </row>
    <row r="3865">
      <c r="A3865" t="inlineStr">
        <is>
          <t>no-bergen</t>
        </is>
      </c>
      <c r="B3865" t="inlineStr">
        <is>
          <t>Bergen</t>
        </is>
      </c>
      <c r="C3865" t="inlineStr">
        <is>
          <t>Norway</t>
        </is>
      </c>
      <c r="D3865" t="inlineStr">
        <is>
          <t>Western, Northern, and Southern Europe</t>
        </is>
      </c>
      <c r="E3865" t="inlineStr">
        <is>
          <t>food_cost</t>
        </is>
      </c>
      <c r="F3865" t="inlineStr">
        <is>
          <t>Food cost</t>
        </is>
      </c>
      <c r="G3865" t="inlineStr">
        <is>
          <t>pressure</t>
        </is>
      </c>
      <c r="H3865" t="inlineStr">
        <is>
          <t>yes</t>
        </is>
      </c>
      <c r="I3865" t="inlineStr">
        <is>
          <t>1268.61</t>
        </is>
      </c>
      <c r="J3865" t="inlineStr">
        <is>
          <t>world_bank_col_estimate</t>
        </is>
      </c>
      <c r="K3865" t="inlineStr">
        <is>
          <t>https://api.worldbank.org/v2/country/NOR/indicator/NY.GNP.PCAP.PP.CD?format=json&amp;mrv=10</t>
        </is>
      </c>
      <c r="L3865" t="inlineStr">
        <is>
          <t>World Bank GNI + regional expenditure ratio estimate</t>
        </is>
      </c>
      <c r="M3865" t="inlineStr">
        <is>
          <t>2024-12-31</t>
        </is>
      </c>
      <c r="N3865" t="inlineStr">
        <is>
          <t>auto_ingest=world_bank_col_estimate; gni_annual=106830.0; year=2024; country_proxy=Norway; cohort=Western, Northern, and Southern Europe; city_cost_mult=0.95</t>
        </is>
      </c>
    </row>
    <row r="3866">
      <c r="A3866" t="inlineStr">
        <is>
          <t>no-bergen</t>
        </is>
      </c>
      <c r="B3866" t="inlineStr">
        <is>
          <t>Bergen</t>
        </is>
      </c>
      <c r="C3866" t="inlineStr">
        <is>
          <t>Norway</t>
        </is>
      </c>
      <c r="D3866" t="inlineStr">
        <is>
          <t>Western, Northern, and Southern Europe</t>
        </is>
      </c>
      <c r="E3866" t="inlineStr">
        <is>
          <t>housing_burden_raw</t>
        </is>
      </c>
      <c r="F3866" t="inlineStr">
        <is>
          <t>Housing burden raw</t>
        </is>
      </c>
      <c r="G3866" t="inlineStr">
        <is>
          <t>pressure</t>
        </is>
      </c>
      <c r="H3866" t="inlineStr">
        <is>
          <t>yes</t>
        </is>
      </c>
      <c r="I3866" t="inlineStr">
        <is>
          <t>33.25</t>
        </is>
      </c>
      <c r="J3866" t="inlineStr">
        <is>
          <t>derived</t>
        </is>
      </c>
      <c r="K3866" t="inlineStr">
        <is>
          <t>https://data.worldbank.org/indicator/NY.GNP.PCAP.PP.CD</t>
        </is>
      </c>
      <c r="L3866" t="inlineStr">
        <is>
          <t>Computed from city_inputs + country_context</t>
        </is>
      </c>
      <c r="M3866" t="inlineStr">
        <is>
          <t>2024-01-01</t>
        </is>
      </c>
      <c r="N3866" t="inlineStr">
        <is>
          <t>derived=rent/gross_income*100</t>
        </is>
      </c>
    </row>
    <row r="3867">
      <c r="A3867" t="inlineStr">
        <is>
          <t>no-bergen</t>
        </is>
      </c>
      <c r="B3867" t="inlineStr">
        <is>
          <t>Bergen</t>
        </is>
      </c>
      <c r="C3867" t="inlineStr">
        <is>
          <t>Norway</t>
        </is>
      </c>
      <c r="D3867" t="inlineStr">
        <is>
          <t>Western, Northern, and Southern Europe</t>
        </is>
      </c>
      <c r="E3867" t="inlineStr">
        <is>
          <t>household_debt_burden_raw</t>
        </is>
      </c>
      <c r="F3867" t="inlineStr">
        <is>
          <t>Household debt burden raw</t>
        </is>
      </c>
      <c r="G3867" t="inlineStr">
        <is>
          <t>pressure</t>
        </is>
      </c>
      <c r="H3867" t="inlineStr">
        <is>
          <t>yes</t>
        </is>
      </c>
      <c r="I3867" t="inlineStr"/>
      <c r="J3867" t="inlineStr"/>
      <c r="K3867" t="inlineStr"/>
      <c r="L3867" t="inlineStr"/>
      <c r="M3867" t="inlineStr"/>
      <c r="N3867" t="inlineStr"/>
    </row>
    <row r="3868">
      <c r="A3868" t="inlineStr">
        <is>
          <t>no-bergen</t>
        </is>
      </c>
      <c r="B3868" t="inlineStr">
        <is>
          <t>Bergen</t>
        </is>
      </c>
      <c r="C3868" t="inlineStr">
        <is>
          <t>Norway</t>
        </is>
      </c>
      <c r="D3868" t="inlineStr">
        <is>
          <t>Western, Northern, and Southern Europe</t>
        </is>
      </c>
      <c r="E3868" t="inlineStr">
        <is>
          <t>working_time_pressure_raw</t>
        </is>
      </c>
      <c r="F3868" t="inlineStr">
        <is>
          <t>Working time pressure raw</t>
        </is>
      </c>
      <c r="G3868" t="inlineStr">
        <is>
          <t>pressure</t>
        </is>
      </c>
      <c r="H3868" t="inlineStr">
        <is>
          <t>yes</t>
        </is>
      </c>
      <c r="I3868" t="inlineStr"/>
      <c r="J3868" t="inlineStr"/>
      <c r="K3868" t="inlineStr"/>
      <c r="L3868" t="inlineStr"/>
      <c r="M3868" t="inlineStr"/>
      <c r="N3868" t="inlineStr"/>
    </row>
    <row r="3869">
      <c r="A3869" t="inlineStr">
        <is>
          <t>no-bergen</t>
        </is>
      </c>
      <c r="B3869" t="inlineStr">
        <is>
          <t>Bergen</t>
        </is>
      </c>
      <c r="C3869" t="inlineStr">
        <is>
          <t>Norway</t>
        </is>
      </c>
      <c r="D3869" t="inlineStr">
        <is>
          <t>Western, Northern, and Southern Europe</t>
        </is>
      </c>
      <c r="E3869" t="inlineStr">
        <is>
          <t>suicide_mental_strain_raw</t>
        </is>
      </c>
      <c r="F3869" t="inlineStr">
        <is>
          <t>Suicide or mental strain raw</t>
        </is>
      </c>
      <c r="G3869" t="inlineStr">
        <is>
          <t>pressure</t>
        </is>
      </c>
      <c r="H3869" t="inlineStr">
        <is>
          <t>yes</t>
        </is>
      </c>
      <c r="I3869" t="inlineStr"/>
      <c r="J3869" t="inlineStr"/>
      <c r="K3869" t="inlineStr"/>
      <c r="L3869" t="inlineStr"/>
      <c r="M3869" t="inlineStr"/>
      <c r="N3869" t="inlineStr"/>
    </row>
    <row r="3870">
      <c r="A3870" t="inlineStr">
        <is>
          <t>no-bergen</t>
        </is>
      </c>
      <c r="B3870" t="inlineStr">
        <is>
          <t>Bergen</t>
        </is>
      </c>
      <c r="C3870" t="inlineStr">
        <is>
          <t>Norway</t>
        </is>
      </c>
      <c r="D3870" t="inlineStr">
        <is>
          <t>Western, Northern, and Southern Europe</t>
        </is>
      </c>
      <c r="E3870" t="inlineStr">
        <is>
          <t>personal_safety_raw</t>
        </is>
      </c>
      <c r="F3870" t="inlineStr">
        <is>
          <t>Personal safety raw</t>
        </is>
      </c>
      <c r="G3870" t="inlineStr">
        <is>
          <t>viability</t>
        </is>
      </c>
      <c r="H3870" t="inlineStr">
        <is>
          <t>yes</t>
        </is>
      </c>
      <c r="I3870" t="inlineStr"/>
      <c r="J3870" t="inlineStr"/>
      <c r="K3870" t="inlineStr"/>
      <c r="L3870" t="inlineStr"/>
      <c r="M3870" t="inlineStr"/>
      <c r="N3870" t="inlineStr"/>
    </row>
    <row r="3871">
      <c r="A3871" t="inlineStr">
        <is>
          <t>no-bergen</t>
        </is>
      </c>
      <c r="B3871" t="inlineStr">
        <is>
          <t>Bergen</t>
        </is>
      </c>
      <c r="C3871" t="inlineStr">
        <is>
          <t>Norway</t>
        </is>
      </c>
      <c r="D3871" t="inlineStr">
        <is>
          <t>Western, Northern, and Southern Europe</t>
        </is>
      </c>
      <c r="E3871" t="inlineStr">
        <is>
          <t>transit_access_commute_raw</t>
        </is>
      </c>
      <c r="F3871" t="inlineStr">
        <is>
          <t>Transit access and commute raw</t>
        </is>
      </c>
      <c r="G3871" t="inlineStr">
        <is>
          <t>viability</t>
        </is>
      </c>
      <c r="H3871" t="inlineStr">
        <is>
          <t>yes</t>
        </is>
      </c>
      <c r="I3871" t="inlineStr"/>
      <c r="J3871" t="inlineStr"/>
      <c r="K3871" t="inlineStr"/>
      <c r="L3871" t="inlineStr"/>
      <c r="M3871" t="inlineStr"/>
      <c r="N3871" t="inlineStr"/>
    </row>
    <row r="3872">
      <c r="A3872" t="inlineStr">
        <is>
          <t>no-bergen</t>
        </is>
      </c>
      <c r="B3872" t="inlineStr">
        <is>
          <t>Bergen</t>
        </is>
      </c>
      <c r="C3872" t="inlineStr">
        <is>
          <t>Norway</t>
        </is>
      </c>
      <c r="D3872" t="inlineStr">
        <is>
          <t>Western, Northern, and Southern Europe</t>
        </is>
      </c>
      <c r="E3872" t="inlineStr">
        <is>
          <t>clean_air_raw</t>
        </is>
      </c>
      <c r="F3872" t="inlineStr">
        <is>
          <t>Clean air raw</t>
        </is>
      </c>
      <c r="G3872" t="inlineStr">
        <is>
          <t>viability</t>
        </is>
      </c>
      <c r="H3872" t="inlineStr">
        <is>
          <t>yes</t>
        </is>
      </c>
      <c r="I3872" t="inlineStr"/>
      <c r="J3872" t="inlineStr"/>
      <c r="K3872" t="inlineStr"/>
      <c r="L3872" t="inlineStr"/>
      <c r="M3872" t="inlineStr"/>
      <c r="N3872" t="inlineStr"/>
    </row>
    <row r="3873">
      <c r="A3873" t="inlineStr">
        <is>
          <t>no-bergen</t>
        </is>
      </c>
      <c r="B3873" t="inlineStr">
        <is>
          <t>Bergen</t>
        </is>
      </c>
      <c r="C3873" t="inlineStr">
        <is>
          <t>Norway</t>
        </is>
      </c>
      <c r="D3873" t="inlineStr">
        <is>
          <t>Western, Northern, and Southern Europe</t>
        </is>
      </c>
      <c r="E3873" t="inlineStr">
        <is>
          <t>water_sanitation_utility_raw</t>
        </is>
      </c>
      <c r="F3873" t="inlineStr">
        <is>
          <t>Water, sanitation, and utility raw</t>
        </is>
      </c>
      <c r="G3873" t="inlineStr">
        <is>
          <t>viability</t>
        </is>
      </c>
      <c r="H3873" t="inlineStr">
        <is>
          <t>yes</t>
        </is>
      </c>
      <c r="I3873" t="inlineStr"/>
      <c r="J3873" t="inlineStr"/>
      <c r="K3873" t="inlineStr"/>
      <c r="L3873" t="inlineStr"/>
      <c r="M3873" t="inlineStr"/>
      <c r="N3873" t="inlineStr"/>
    </row>
    <row r="3874">
      <c r="A3874" t="inlineStr">
        <is>
          <t>no-bergen</t>
        </is>
      </c>
      <c r="B3874" t="inlineStr">
        <is>
          <t>Bergen</t>
        </is>
      </c>
      <c r="C3874" t="inlineStr">
        <is>
          <t>Norway</t>
        </is>
      </c>
      <c r="D3874" t="inlineStr">
        <is>
          <t>Western, Northern, and Southern Europe</t>
        </is>
      </c>
      <c r="E3874" t="inlineStr">
        <is>
          <t>digital_infrastructure_raw</t>
        </is>
      </c>
      <c r="F3874" t="inlineStr">
        <is>
          <t>Digital infrastructure raw</t>
        </is>
      </c>
      <c r="G3874" t="inlineStr">
        <is>
          <t>viability</t>
        </is>
      </c>
      <c r="H3874" t="inlineStr">
        <is>
          <t>yes</t>
        </is>
      </c>
      <c r="I3874" t="inlineStr"/>
      <c r="J3874" t="inlineStr"/>
      <c r="K3874" t="inlineStr"/>
      <c r="L3874" t="inlineStr"/>
      <c r="M3874" t="inlineStr"/>
      <c r="N3874" t="inlineStr"/>
    </row>
    <row r="3875">
      <c r="A3875" t="inlineStr">
        <is>
          <t>no-bergen</t>
        </is>
      </c>
      <c r="B3875" t="inlineStr">
        <is>
          <t>Bergen</t>
        </is>
      </c>
      <c r="C3875" t="inlineStr">
        <is>
          <t>Norway</t>
        </is>
      </c>
      <c r="D3875" t="inlineStr">
        <is>
          <t>Western, Northern, and Southern Europe</t>
        </is>
      </c>
      <c r="E3875" t="inlineStr">
        <is>
          <t>climate_sunlight_livability_raw</t>
        </is>
      </c>
      <c r="F3875" t="inlineStr">
        <is>
          <t>Climate and sunlight livability raw</t>
        </is>
      </c>
      <c r="G3875" t="inlineStr">
        <is>
          <t>viability</t>
        </is>
      </c>
      <c r="H3875" t="inlineStr">
        <is>
          <t>yes</t>
        </is>
      </c>
      <c r="I3875" t="inlineStr">
        <is>
          <t>28</t>
        </is>
      </c>
      <c r="J3875" t="inlineStr">
        <is>
          <t>wmo_natl_met</t>
        </is>
      </c>
      <c r="K3875" t="inlineStr">
        <is>
          <t>https://worldweather.wmo.int</t>
        </is>
      </c>
      <c r="L3875" t="inlineStr">
        <is>
          <t>WMO/National Met: Climate livability composite</t>
        </is>
      </c>
      <c r="M3875" t="inlineStr">
        <is>
          <t>2024-12-31</t>
        </is>
      </c>
      <c r="N3875" t="inlineStr">
        <is>
          <t>auto_seed=climate_composite; 1100 sun hrs, 8C mean, rain capital of Europe</t>
        </is>
      </c>
    </row>
    <row r="3876">
      <c r="A3876" t="inlineStr">
        <is>
          <t>no-bergen</t>
        </is>
      </c>
      <c r="B3876" t="inlineStr">
        <is>
          <t>Bergen</t>
        </is>
      </c>
      <c r="C3876" t="inlineStr">
        <is>
          <t>Norway</t>
        </is>
      </c>
      <c r="D3876" t="inlineStr">
        <is>
          <t>Western, Northern, and Southern Europe</t>
        </is>
      </c>
      <c r="E3876" t="inlineStr">
        <is>
          <t>healthcare_quality_raw</t>
        </is>
      </c>
      <c r="F3876" t="inlineStr">
        <is>
          <t>Healthcare quality raw</t>
        </is>
      </c>
      <c r="G3876" t="inlineStr">
        <is>
          <t>capability</t>
        </is>
      </c>
      <c r="H3876" t="inlineStr">
        <is>
          <t>yes</t>
        </is>
      </c>
      <c r="I3876" t="inlineStr"/>
      <c r="J3876" t="inlineStr"/>
      <c r="K3876" t="inlineStr"/>
      <c r="L3876" t="inlineStr"/>
      <c r="M3876" t="inlineStr"/>
      <c r="N3876" t="inlineStr"/>
    </row>
    <row r="3877">
      <c r="A3877" t="inlineStr">
        <is>
          <t>no-bergen</t>
        </is>
      </c>
      <c r="B3877" t="inlineStr">
        <is>
          <t>Bergen</t>
        </is>
      </c>
      <c r="C3877" t="inlineStr">
        <is>
          <t>Norway</t>
        </is>
      </c>
      <c r="D3877" t="inlineStr">
        <is>
          <t>Western, Northern, and Southern Europe</t>
        </is>
      </c>
      <c r="E3877" t="inlineStr">
        <is>
          <t>education_quality_raw</t>
        </is>
      </c>
      <c r="F3877" t="inlineStr">
        <is>
          <t>Education quality raw</t>
        </is>
      </c>
      <c r="G3877" t="inlineStr">
        <is>
          <t>capability</t>
        </is>
      </c>
      <c r="H3877" t="inlineStr">
        <is>
          <t>yes</t>
        </is>
      </c>
      <c r="I3877" t="inlineStr"/>
      <c r="J3877" t="inlineStr"/>
      <c r="K3877" t="inlineStr"/>
      <c r="L3877" t="inlineStr"/>
      <c r="M3877" t="inlineStr"/>
      <c r="N3877" t="inlineStr"/>
    </row>
    <row r="3878">
      <c r="A3878" t="inlineStr">
        <is>
          <t>no-bergen</t>
        </is>
      </c>
      <c r="B3878" t="inlineStr">
        <is>
          <t>Bergen</t>
        </is>
      </c>
      <c r="C3878" t="inlineStr">
        <is>
          <t>Norway</t>
        </is>
      </c>
      <c r="D3878" t="inlineStr">
        <is>
          <t>Western, Northern, and Southern Europe</t>
        </is>
      </c>
      <c r="E3878" t="inlineStr">
        <is>
          <t>equal_opportunity_raw</t>
        </is>
      </c>
      <c r="F3878" t="inlineStr">
        <is>
          <t>Equal opportunity raw</t>
        </is>
      </c>
      <c r="G3878" t="inlineStr">
        <is>
          <t>capability</t>
        </is>
      </c>
      <c r="H3878" t="inlineStr">
        <is>
          <t>yes</t>
        </is>
      </c>
      <c r="I3878" t="inlineStr">
        <is>
          <t>26.5</t>
        </is>
      </c>
      <c r="J3878" t="inlineStr">
        <is>
          <t>world_bank</t>
        </is>
      </c>
      <c r="K3878" t="inlineStr">
        <is>
          <t>https://api.worldbank.org/v2/country/NOR/indicator/SI.POV.GINI?format=json&amp;mrv=10</t>
        </is>
      </c>
      <c r="L3878" t="inlineStr">
        <is>
          <t>World Bank WDI: Gini index</t>
        </is>
      </c>
      <c r="M3878" t="inlineStr">
        <is>
          <t>2023-12-31</t>
        </is>
      </c>
      <c r="N3878" t="inlineStr">
        <is>
          <t>auto_ingest=world_bank_capability; indicator=SI.POV.GINI; year=2023; country_proxy=Norway</t>
        </is>
      </c>
    </row>
    <row r="3879">
      <c r="A3879" t="inlineStr">
        <is>
          <t>no-bergen</t>
        </is>
      </c>
      <c r="B3879" t="inlineStr">
        <is>
          <t>Bergen</t>
        </is>
      </c>
      <c r="C3879" t="inlineStr">
        <is>
          <t>Norway</t>
        </is>
      </c>
      <c r="D3879" t="inlineStr">
        <is>
          <t>Western, Northern, and Southern Europe</t>
        </is>
      </c>
      <c r="E3879" t="inlineStr">
        <is>
          <t>hospitality_belonging_raw</t>
        </is>
      </c>
      <c r="F3879" t="inlineStr">
        <is>
          <t>Hospitality and belonging raw</t>
        </is>
      </c>
      <c r="G3879" t="inlineStr">
        <is>
          <t>community</t>
        </is>
      </c>
      <c r="H3879" t="inlineStr">
        <is>
          <t>yes</t>
        </is>
      </c>
      <c r="I3879" t="inlineStr"/>
      <c r="J3879" t="inlineStr"/>
      <c r="K3879" t="inlineStr"/>
      <c r="L3879" t="inlineStr"/>
      <c r="M3879" t="inlineStr"/>
      <c r="N3879" t="inlineStr"/>
    </row>
    <row r="3880">
      <c r="A3880" t="inlineStr">
        <is>
          <t>no-bergen</t>
        </is>
      </c>
      <c r="B3880" t="inlineStr">
        <is>
          <t>Bergen</t>
        </is>
      </c>
      <c r="C3880" t="inlineStr">
        <is>
          <t>Norway</t>
        </is>
      </c>
      <c r="D3880" t="inlineStr">
        <is>
          <t>Western, Northern, and Southern Europe</t>
        </is>
      </c>
      <c r="E3880" t="inlineStr">
        <is>
          <t>tolerance_pluralism_raw</t>
        </is>
      </c>
      <c r="F3880" t="inlineStr">
        <is>
          <t>Tolerance and pluralism raw</t>
        </is>
      </c>
      <c r="G3880" t="inlineStr">
        <is>
          <t>community</t>
        </is>
      </c>
      <c r="H3880" t="inlineStr">
        <is>
          <t>yes</t>
        </is>
      </c>
      <c r="I3880" t="inlineStr"/>
      <c r="J3880" t="inlineStr"/>
      <c r="K3880" t="inlineStr"/>
      <c r="L3880" t="inlineStr"/>
      <c r="M3880" t="inlineStr"/>
      <c r="N3880" t="inlineStr"/>
    </row>
    <row r="3881">
      <c r="A3881" t="inlineStr">
        <is>
          <t>no-bergen</t>
        </is>
      </c>
      <c r="B3881" t="inlineStr">
        <is>
          <t>Bergen</t>
        </is>
      </c>
      <c r="C3881" t="inlineStr">
        <is>
          <t>Norway</t>
        </is>
      </c>
      <c r="D3881" t="inlineStr">
        <is>
          <t>Western, Northern, and Southern Europe</t>
        </is>
      </c>
      <c r="E3881" t="inlineStr">
        <is>
          <t>cultural_public_life_raw</t>
        </is>
      </c>
      <c r="F3881" t="inlineStr">
        <is>
          <t>Cultural public life raw</t>
        </is>
      </c>
      <c r="G3881" t="inlineStr">
        <is>
          <t>community</t>
        </is>
      </c>
      <c r="H3881" t="inlineStr">
        <is>
          <t>yes</t>
        </is>
      </c>
      <c r="I3881" t="inlineStr"/>
      <c r="J3881" t="inlineStr"/>
      <c r="K3881" t="inlineStr"/>
      <c r="L3881" t="inlineStr"/>
      <c r="M3881" t="inlineStr"/>
      <c r="N3881" t="inlineStr"/>
    </row>
    <row r="3882">
      <c r="A3882" t="inlineStr">
        <is>
          <t>no-bergen</t>
        </is>
      </c>
      <c r="B3882" t="inlineStr">
        <is>
          <t>Bergen</t>
        </is>
      </c>
      <c r="C3882" t="inlineStr">
        <is>
          <t>Norway</t>
        </is>
      </c>
      <c r="D3882" t="inlineStr">
        <is>
          <t>Western, Northern, and Southern Europe</t>
        </is>
      </c>
      <c r="E3882" t="inlineStr">
        <is>
          <t>birth_rate_optimism_raw</t>
        </is>
      </c>
      <c r="F3882" t="inlineStr">
        <is>
          <t>Birth rate and societal optimism raw</t>
        </is>
      </c>
      <c r="G3882" t="inlineStr">
        <is>
          <t>community</t>
        </is>
      </c>
      <c r="H3882" t="inlineStr">
        <is>
          <t>yes</t>
        </is>
      </c>
      <c r="I3882" t="inlineStr">
        <is>
          <t>1.41</t>
        </is>
      </c>
      <c r="J3882" t="inlineStr">
        <is>
          <t>world_bank</t>
        </is>
      </c>
      <c r="K3882" t="inlineStr">
        <is>
          <t>https://data.worldbank.org/indicator/SP.DYN.TFRT.IN</t>
        </is>
      </c>
      <c r="L3882" t="inlineStr">
        <is>
          <t>World Bank Total Fertility Rate 2023</t>
        </is>
      </c>
      <c r="M3882" t="inlineStr">
        <is>
          <t>2024-01-01</t>
        </is>
      </c>
      <c r="N3882" t="inlineStr"/>
    </row>
    <row r="3883">
      <c r="A3883" t="inlineStr">
        <is>
          <t>no-bergen</t>
        </is>
      </c>
      <c r="B3883" t="inlineStr">
        <is>
          <t>Bergen</t>
        </is>
      </c>
      <c r="C3883" t="inlineStr">
        <is>
          <t>Norway</t>
        </is>
      </c>
      <c r="D3883" t="inlineStr">
        <is>
          <t>Western, Northern, and Southern Europe</t>
        </is>
      </c>
      <c r="E3883" t="inlineStr">
        <is>
          <t>entrepreneurial_dynamism_raw</t>
        </is>
      </c>
      <c r="F3883" t="inlineStr">
        <is>
          <t>Entrepreneurial dynamism raw</t>
        </is>
      </c>
      <c r="G3883" t="inlineStr">
        <is>
          <t>creative</t>
        </is>
      </c>
      <c r="H3883" t="inlineStr">
        <is>
          <t>yes</t>
        </is>
      </c>
      <c r="I3883" t="inlineStr">
        <is>
          <t>9.17</t>
        </is>
      </c>
      <c r="J3883" t="inlineStr">
        <is>
          <t>world_bank</t>
        </is>
      </c>
      <c r="K3883" t="inlineStr">
        <is>
          <t>https://api.worldbank.org/v2/country/NOR/indicator/IC.BUS.NDNS.ZS?format=json&amp;mrv=10</t>
        </is>
      </c>
      <c r="L3883" t="inlineStr">
        <is>
          <t>World Bank WDI: New business density (new registrations per 1,000 people ages 15-64)</t>
        </is>
      </c>
      <c r="M3883" t="inlineStr">
        <is>
          <t>2022-12-31</t>
        </is>
      </c>
      <c r="N3883" t="inlineStr">
        <is>
          <t>auto_ingest=world_bank_creative_extended; indicator=IC.BUS.NDNS.ZS; year=2022; country_proxy=Norway</t>
        </is>
      </c>
    </row>
    <row r="3884">
      <c r="A3884" t="inlineStr">
        <is>
          <t>no-bergen</t>
        </is>
      </c>
      <c r="B3884" t="inlineStr">
        <is>
          <t>Bergen</t>
        </is>
      </c>
      <c r="C3884" t="inlineStr">
        <is>
          <t>Norway</t>
        </is>
      </c>
      <c r="D3884" t="inlineStr">
        <is>
          <t>Western, Northern, and Southern Europe</t>
        </is>
      </c>
      <c r="E3884" t="inlineStr">
        <is>
          <t>innovation_research_intensity_raw</t>
        </is>
      </c>
      <c r="F3884" t="inlineStr">
        <is>
          <t>Innovation and research raw</t>
        </is>
      </c>
      <c r="G3884" t="inlineStr">
        <is>
          <t>creative</t>
        </is>
      </c>
      <c r="H3884" t="inlineStr">
        <is>
          <t>yes</t>
        </is>
      </c>
      <c r="I3884" t="inlineStr">
        <is>
          <t>1.56</t>
        </is>
      </c>
      <c r="J3884" t="inlineStr">
        <is>
          <t>world_bank</t>
        </is>
      </c>
      <c r="K3884" t="inlineStr">
        <is>
          <t>https://api.worldbank.org/v2/country/NOR/indicator/GB.XPD.RSDV.GD.ZS?format=json&amp;mrv=10</t>
        </is>
      </c>
      <c r="L3884" t="inlineStr">
        <is>
          <t>World Bank WDI: Research and development expenditure (% of GDP)</t>
        </is>
      </c>
      <c r="M3884" t="inlineStr">
        <is>
          <t>2022-12-31</t>
        </is>
      </c>
      <c r="N3884" t="inlineStr">
        <is>
          <t>auto_ingest=world_bank_creative_extended; indicator=GB.XPD.RSDV.GD.ZS; year=2022; country_proxy=Norway</t>
        </is>
      </c>
    </row>
    <row r="3885">
      <c r="A3885" t="inlineStr">
        <is>
          <t>no-bergen</t>
        </is>
      </c>
      <c r="B3885" t="inlineStr">
        <is>
          <t>Bergen</t>
        </is>
      </c>
      <c r="C3885" t="inlineStr">
        <is>
          <t>Norway</t>
        </is>
      </c>
      <c r="D3885" t="inlineStr">
        <is>
          <t>Western, Northern, and Southern Europe</t>
        </is>
      </c>
      <c r="E3885" t="inlineStr">
        <is>
          <t>investment_signal_raw</t>
        </is>
      </c>
      <c r="F3885" t="inlineStr">
        <is>
          <t>Investment signal raw</t>
        </is>
      </c>
      <c r="G3885" t="inlineStr">
        <is>
          <t>creative</t>
        </is>
      </c>
      <c r="H3885" t="inlineStr">
        <is>
          <t>yes</t>
        </is>
      </c>
      <c r="I3885" t="inlineStr">
        <is>
          <t>2.49</t>
        </is>
      </c>
      <c r="J3885" t="inlineStr">
        <is>
          <t>world_bank</t>
        </is>
      </c>
      <c r="K3885" t="inlineStr">
        <is>
          <t>https://api.worldbank.org/v2/country/NOR/indicator/BX.KLT.DINV.WD.GD.ZS?format=json&amp;mrv=10</t>
        </is>
      </c>
      <c r="L3885" t="inlineStr">
        <is>
          <t>World Bank WDI: Foreign direct investment, net inflows (% of GDP)</t>
        </is>
      </c>
      <c r="M3885" t="inlineStr">
        <is>
          <t>2024-12-31</t>
        </is>
      </c>
      <c r="N3885" t="inlineStr">
        <is>
          <t>auto_ingest=world_bank_creative_extended; indicator=BX.KLT.DINV.WD.GD.ZS; year=2024; country_proxy=Norway</t>
        </is>
      </c>
    </row>
    <row r="3886">
      <c r="A3886" t="inlineStr">
        <is>
          <t>no-bergen</t>
        </is>
      </c>
      <c r="B3886" t="inlineStr">
        <is>
          <t>Bergen</t>
        </is>
      </c>
      <c r="C3886" t="inlineStr">
        <is>
          <t>Norway</t>
        </is>
      </c>
      <c r="D3886" t="inlineStr">
        <is>
          <t>Western, Northern, and Southern Europe</t>
        </is>
      </c>
      <c r="E3886" t="inlineStr">
        <is>
          <t>administrative_investment_friction_raw</t>
        </is>
      </c>
      <c r="F3886" t="inlineStr">
        <is>
          <t>Administrative investment friction raw</t>
        </is>
      </c>
      <c r="G3886" t="inlineStr">
        <is>
          <t>creative</t>
        </is>
      </c>
      <c r="H3886" t="inlineStr">
        <is>
          <t>yes</t>
        </is>
      </c>
      <c r="I3886" t="inlineStr">
        <is>
          <t>0.9</t>
        </is>
      </c>
      <c r="J3886" t="inlineStr">
        <is>
          <t>world_bank</t>
        </is>
      </c>
      <c r="K3886" t="inlineStr">
        <is>
          <t>https://api.worldbank.org/v2/country/NOR/indicator/RQ.EST?format=json&amp;mrv=10</t>
        </is>
      </c>
      <c r="L3886" t="inlineStr">
        <is>
          <t>World Bank WGI: Regulatory Quality (inverted as friction proxy)</t>
        </is>
      </c>
      <c r="M3886" t="inlineStr">
        <is>
          <t>2023-12-31</t>
        </is>
      </c>
      <c r="N3886" t="inlineStr">
        <is>
          <t>auto_ingest=world_bank_business_friction; indicator=RQ.EST; raw_rq=1.59752345085144; friction=0.9; year=2023; country_proxy=Norway</t>
        </is>
      </c>
    </row>
    <row r="3887">
      <c r="A3887" t="inlineStr">
        <is>
          <t>no-bergen</t>
        </is>
      </c>
      <c r="B3887" t="inlineStr">
        <is>
          <t>Bergen</t>
        </is>
      </c>
      <c r="C3887" t="inlineStr">
        <is>
          <t>Norway</t>
        </is>
      </c>
      <c r="D3887" t="inlineStr">
        <is>
          <t>Western, Northern, and Southern Europe</t>
        </is>
      </c>
      <c r="E3887" t="inlineStr">
        <is>
          <t>visitor_flow_context_raw</t>
        </is>
      </c>
      <c r="F3887" t="inlineStr">
        <is>
          <t>Visitor flow context raw</t>
        </is>
      </c>
      <c r="G3887" t="inlineStr">
        <is>
          <t>creative</t>
        </is>
      </c>
      <c r="H3887" t="inlineStr">
        <is>
          <t>no</t>
        </is>
      </c>
      <c r="I3887" t="inlineStr"/>
      <c r="J3887" t="inlineStr"/>
      <c r="K3887" t="inlineStr"/>
      <c r="L3887" t="inlineStr"/>
      <c r="M3887" t="inlineStr"/>
      <c r="N3887" t="inlineStr"/>
    </row>
    <row r="3888">
      <c r="A3888" t="inlineStr">
        <is>
          <t>nl-eindhoven</t>
        </is>
      </c>
      <c r="B3888" t="inlineStr">
        <is>
          <t>Eindhoven</t>
        </is>
      </c>
      <c r="C3888" t="inlineStr">
        <is>
          <t>Netherlands</t>
        </is>
      </c>
      <c r="D3888" t="inlineStr">
        <is>
          <t>Western, Northern, and Southern Europe</t>
        </is>
      </c>
      <c r="E3888" t="inlineStr">
        <is>
          <t>gross_income</t>
        </is>
      </c>
      <c r="F3888" t="inlineStr">
        <is>
          <t>Gross income</t>
        </is>
      </c>
      <c r="G3888" t="inlineStr">
        <is>
          <t>pressure</t>
        </is>
      </c>
      <c r="H3888" t="inlineStr">
        <is>
          <t>yes</t>
        </is>
      </c>
      <c r="I3888" t="inlineStr">
        <is>
          <t>7080.83</t>
        </is>
      </c>
      <c r="J3888" t="inlineStr">
        <is>
          <t>world_bank_col_estimate</t>
        </is>
      </c>
      <c r="K3888" t="inlineStr">
        <is>
          <t>https://api.worldbank.org/v2/country/NLD/indicator/NY.GNP.PCAP.PP.CD?format=json&amp;mrv=10</t>
        </is>
      </c>
      <c r="L3888" t="inlineStr">
        <is>
          <t>World Bank WDI: GNI per capita PPP (monthly USD)</t>
        </is>
      </c>
      <c r="M3888" t="inlineStr">
        <is>
          <t>2024-12-31</t>
        </is>
      </c>
      <c r="N3888" t="inlineStr">
        <is>
          <t>auto_ingest=world_bank_col_estimate; gni_annual=84970.0; year=2024; country_proxy=Netherlands; cohort=Western, Northern, and Southern Europe</t>
        </is>
      </c>
    </row>
    <row r="3889">
      <c r="A3889" t="inlineStr">
        <is>
          <t>nl-eindhoven</t>
        </is>
      </c>
      <c r="B3889" t="inlineStr">
        <is>
          <t>Eindhoven</t>
        </is>
      </c>
      <c r="C3889" t="inlineStr">
        <is>
          <t>Netherlands</t>
        </is>
      </c>
      <c r="D3889" t="inlineStr">
        <is>
          <t>Western, Northern, and Southern Europe</t>
        </is>
      </c>
      <c r="E3889" t="inlineStr">
        <is>
          <t>di_ppp_raw</t>
        </is>
      </c>
      <c r="F3889" t="inlineStr">
        <is>
          <t>Disposable income PPP (Raw)</t>
        </is>
      </c>
      <c r="G3889" t="inlineStr">
        <is>
          <t>pressure</t>
        </is>
      </c>
      <c r="H3889" t="inlineStr">
        <is>
          <t>yes</t>
        </is>
      </c>
      <c r="I3889" t="inlineStr"/>
      <c r="J3889" t="inlineStr"/>
      <c r="K3889" t="inlineStr"/>
      <c r="L3889" t="inlineStr"/>
      <c r="M3889" t="inlineStr"/>
      <c r="N3889" t="inlineStr"/>
    </row>
    <row r="3890">
      <c r="A3890" t="inlineStr">
        <is>
          <t>nl-eindhoven</t>
        </is>
      </c>
      <c r="B3890" t="inlineStr">
        <is>
          <t>Eindhoven</t>
        </is>
      </c>
      <c r="C3890" t="inlineStr">
        <is>
          <t>Netherlands</t>
        </is>
      </c>
      <c r="D3890" t="inlineStr">
        <is>
          <t>Western, Northern, and Southern Europe</t>
        </is>
      </c>
      <c r="E3890" t="inlineStr">
        <is>
          <t>rent</t>
        </is>
      </c>
      <c r="F3890" t="inlineStr">
        <is>
          <t>Rent</t>
        </is>
      </c>
      <c r="G3890" t="inlineStr">
        <is>
          <t>pressure</t>
        </is>
      </c>
      <c r="H3890" t="inlineStr">
        <is>
          <t>yes</t>
        </is>
      </c>
      <c r="I3890" t="inlineStr">
        <is>
          <t>2106.55</t>
        </is>
      </c>
      <c r="J3890" t="inlineStr">
        <is>
          <t>world_bank_col_estimate</t>
        </is>
      </c>
      <c r="K3890" t="inlineStr">
        <is>
          <t>https://api.worldbank.org/v2/country/NLD/indicator/NY.GNP.PCAP.PP.CD?format=json&amp;mrv=10</t>
        </is>
      </c>
      <c r="L3890" t="inlineStr">
        <is>
          <t>World Bank GNI + regional expenditure ratio estimate</t>
        </is>
      </c>
      <c r="M3890" t="inlineStr">
        <is>
          <t>2024-12-31</t>
        </is>
      </c>
      <c r="N3890" t="inlineStr">
        <is>
          <t>auto_ingest=world_bank_col_estimate; gni_annual=84970.0; year=2024; country_proxy=Netherlands; cohort=Western, Northern, and Southern Europe; city_cost_mult=0.85</t>
        </is>
      </c>
    </row>
    <row r="3891">
      <c r="A3891" t="inlineStr">
        <is>
          <t>nl-eindhoven</t>
        </is>
      </c>
      <c r="B3891" t="inlineStr">
        <is>
          <t>Eindhoven</t>
        </is>
      </c>
      <c r="C3891" t="inlineStr">
        <is>
          <t>Netherlands</t>
        </is>
      </c>
      <c r="D3891" t="inlineStr">
        <is>
          <t>Western, Northern, and Southern Europe</t>
        </is>
      </c>
      <c r="E3891" t="inlineStr">
        <is>
          <t>utilities</t>
        </is>
      </c>
      <c r="F3891" t="inlineStr">
        <is>
          <t>Utilities</t>
        </is>
      </c>
      <c r="G3891" t="inlineStr">
        <is>
          <t>pressure</t>
        </is>
      </c>
      <c r="H3891" t="inlineStr">
        <is>
          <t>yes</t>
        </is>
      </c>
      <c r="I3891" t="inlineStr">
        <is>
          <t>421.31</t>
        </is>
      </c>
      <c r="J3891" t="inlineStr">
        <is>
          <t>world_bank_col_estimate</t>
        </is>
      </c>
      <c r="K3891" t="inlineStr">
        <is>
          <t>https://api.worldbank.org/v2/country/NLD/indicator/NY.GNP.PCAP.PP.CD?format=json&amp;mrv=10</t>
        </is>
      </c>
      <c r="L3891" t="inlineStr">
        <is>
          <t>World Bank GNI + regional expenditure ratio estimate</t>
        </is>
      </c>
      <c r="M3891" t="inlineStr">
        <is>
          <t>2024-12-31</t>
        </is>
      </c>
      <c r="N3891" t="inlineStr">
        <is>
          <t>auto_ingest=world_bank_col_estimate; gni_annual=84970.0; year=2024; country_proxy=Netherlands; cohort=Western, Northern, and Southern Europe; city_cost_mult=0.85</t>
        </is>
      </c>
    </row>
    <row r="3892">
      <c r="A3892" t="inlineStr">
        <is>
          <t>nl-eindhoven</t>
        </is>
      </c>
      <c r="B3892" t="inlineStr">
        <is>
          <t>Eindhoven</t>
        </is>
      </c>
      <c r="C3892" t="inlineStr">
        <is>
          <t>Netherlands</t>
        </is>
      </c>
      <c r="D3892" t="inlineStr">
        <is>
          <t>Western, Northern, and Southern Europe</t>
        </is>
      </c>
      <c r="E3892" t="inlineStr">
        <is>
          <t>transit_cost</t>
        </is>
      </c>
      <c r="F3892" t="inlineStr">
        <is>
          <t>Transit cost</t>
        </is>
      </c>
      <c r="G3892" t="inlineStr">
        <is>
          <t>pressure</t>
        </is>
      </c>
      <c r="H3892" t="inlineStr">
        <is>
          <t>yes</t>
        </is>
      </c>
      <c r="I3892" t="inlineStr">
        <is>
          <t>300.94</t>
        </is>
      </c>
      <c r="J3892" t="inlineStr">
        <is>
          <t>world_bank_col_estimate</t>
        </is>
      </c>
      <c r="K3892" t="inlineStr">
        <is>
          <t>https://api.worldbank.org/v2/country/NLD/indicator/NY.GNP.PCAP.PP.CD?format=json&amp;mrv=10</t>
        </is>
      </c>
      <c r="L3892" t="inlineStr">
        <is>
          <t>World Bank GNI + regional expenditure ratio estimate</t>
        </is>
      </c>
      <c r="M3892" t="inlineStr">
        <is>
          <t>2024-12-31</t>
        </is>
      </c>
      <c r="N3892" t="inlineStr">
        <is>
          <t>auto_ingest=world_bank_col_estimate; gni_annual=84970.0; year=2024; country_proxy=Netherlands; cohort=Western, Northern, and Southern Europe; city_cost_mult=0.85</t>
        </is>
      </c>
    </row>
    <row r="3893">
      <c r="A3893" t="inlineStr">
        <is>
          <t>nl-eindhoven</t>
        </is>
      </c>
      <c r="B3893" t="inlineStr">
        <is>
          <t>Eindhoven</t>
        </is>
      </c>
      <c r="C3893" t="inlineStr">
        <is>
          <t>Netherlands</t>
        </is>
      </c>
      <c r="D3893" t="inlineStr">
        <is>
          <t>Western, Northern, and Southern Europe</t>
        </is>
      </c>
      <c r="E3893" t="inlineStr">
        <is>
          <t>internet_cost</t>
        </is>
      </c>
      <c r="F3893" t="inlineStr">
        <is>
          <t>Internet cost</t>
        </is>
      </c>
      <c r="G3893" t="inlineStr">
        <is>
          <t>pressure</t>
        </is>
      </c>
      <c r="H3893" t="inlineStr">
        <is>
          <t>yes</t>
        </is>
      </c>
      <c r="I3893" t="inlineStr">
        <is>
          <t>90.28</t>
        </is>
      </c>
      <c r="J3893" t="inlineStr">
        <is>
          <t>world_bank_col_estimate</t>
        </is>
      </c>
      <c r="K3893" t="inlineStr">
        <is>
          <t>https://api.worldbank.org/v2/country/NLD/indicator/NY.GNP.PCAP.PP.CD?format=json&amp;mrv=10</t>
        </is>
      </c>
      <c r="L3893" t="inlineStr">
        <is>
          <t>World Bank GNI + regional expenditure ratio estimate</t>
        </is>
      </c>
      <c r="M3893" t="inlineStr">
        <is>
          <t>2024-12-31</t>
        </is>
      </c>
      <c r="N3893" t="inlineStr">
        <is>
          <t>auto_ingest=world_bank_col_estimate; gni_annual=84970.0; year=2024; country_proxy=Netherlands; cohort=Western, Northern, and Southern Europe; city_cost_mult=0.85</t>
        </is>
      </c>
    </row>
    <row r="3894">
      <c r="A3894" t="inlineStr">
        <is>
          <t>nl-eindhoven</t>
        </is>
      </c>
      <c r="B3894" t="inlineStr">
        <is>
          <t>Eindhoven</t>
        </is>
      </c>
      <c r="C3894" t="inlineStr">
        <is>
          <t>Netherlands</t>
        </is>
      </c>
      <c r="D3894" t="inlineStr">
        <is>
          <t>Western, Northern, and Southern Europe</t>
        </is>
      </c>
      <c r="E3894" t="inlineStr">
        <is>
          <t>food_cost</t>
        </is>
      </c>
      <c r="F3894" t="inlineStr">
        <is>
          <t>Food cost</t>
        </is>
      </c>
      <c r="G3894" t="inlineStr">
        <is>
          <t>pressure</t>
        </is>
      </c>
      <c r="H3894" t="inlineStr">
        <is>
          <t>yes</t>
        </is>
      </c>
      <c r="I3894" t="inlineStr">
        <is>
          <t>902.81</t>
        </is>
      </c>
      <c r="J3894" t="inlineStr">
        <is>
          <t>world_bank_col_estimate</t>
        </is>
      </c>
      <c r="K3894" t="inlineStr">
        <is>
          <t>https://api.worldbank.org/v2/country/NLD/indicator/NY.GNP.PCAP.PP.CD?format=json&amp;mrv=10</t>
        </is>
      </c>
      <c r="L3894" t="inlineStr">
        <is>
          <t>World Bank GNI + regional expenditure ratio estimate</t>
        </is>
      </c>
      <c r="M3894" t="inlineStr">
        <is>
          <t>2024-12-31</t>
        </is>
      </c>
      <c r="N3894" t="inlineStr">
        <is>
          <t>auto_ingest=world_bank_col_estimate; gni_annual=84970.0; year=2024; country_proxy=Netherlands; cohort=Western, Northern, and Southern Europe; city_cost_mult=0.85</t>
        </is>
      </c>
    </row>
    <row r="3895">
      <c r="A3895" t="inlineStr">
        <is>
          <t>nl-eindhoven</t>
        </is>
      </c>
      <c r="B3895" t="inlineStr">
        <is>
          <t>Eindhoven</t>
        </is>
      </c>
      <c r="C3895" t="inlineStr">
        <is>
          <t>Netherlands</t>
        </is>
      </c>
      <c r="D3895" t="inlineStr">
        <is>
          <t>Western, Northern, and Southern Europe</t>
        </is>
      </c>
      <c r="E3895" t="inlineStr">
        <is>
          <t>housing_burden_raw</t>
        </is>
      </c>
      <c r="F3895" t="inlineStr">
        <is>
          <t>Housing burden raw</t>
        </is>
      </c>
      <c r="G3895" t="inlineStr">
        <is>
          <t>pressure</t>
        </is>
      </c>
      <c r="H3895" t="inlineStr">
        <is>
          <t>yes</t>
        </is>
      </c>
      <c r="I3895" t="inlineStr">
        <is>
          <t>29.75</t>
        </is>
      </c>
      <c r="J3895" t="inlineStr">
        <is>
          <t>derived</t>
        </is>
      </c>
      <c r="K3895" t="inlineStr">
        <is>
          <t>https://data.worldbank.org/indicator/NY.GNP.PCAP.PP.CD</t>
        </is>
      </c>
      <c r="L3895" t="inlineStr">
        <is>
          <t>Computed from city_inputs + country_context</t>
        </is>
      </c>
      <c r="M3895" t="inlineStr">
        <is>
          <t>2024-01-01</t>
        </is>
      </c>
      <c r="N3895" t="inlineStr">
        <is>
          <t>derived=rent/gross_income*100</t>
        </is>
      </c>
    </row>
    <row r="3896">
      <c r="A3896" t="inlineStr">
        <is>
          <t>nl-eindhoven</t>
        </is>
      </c>
      <c r="B3896" t="inlineStr">
        <is>
          <t>Eindhoven</t>
        </is>
      </c>
      <c r="C3896" t="inlineStr">
        <is>
          <t>Netherlands</t>
        </is>
      </c>
      <c r="D3896" t="inlineStr">
        <is>
          <t>Western, Northern, and Southern Europe</t>
        </is>
      </c>
      <c r="E3896" t="inlineStr">
        <is>
          <t>household_debt_burden_raw</t>
        </is>
      </c>
      <c r="F3896" t="inlineStr">
        <is>
          <t>Household debt burden raw</t>
        </is>
      </c>
      <c r="G3896" t="inlineStr">
        <is>
          <t>pressure</t>
        </is>
      </c>
      <c r="H3896" t="inlineStr">
        <is>
          <t>yes</t>
        </is>
      </c>
      <c r="I3896" t="inlineStr">
        <is>
          <t>82.3297</t>
        </is>
      </c>
      <c r="J3896" t="inlineStr">
        <is>
          <t>derived</t>
        </is>
      </c>
      <c r="K3896" t="inlineStr">
        <is>
          <t>https://data.worldbank.org/indicator/NY.GNP.PCAP.PP.CD</t>
        </is>
      </c>
      <c r="L3896" t="inlineStr">
        <is>
          <t>Computed from city_inputs + country_context</t>
        </is>
      </c>
      <c r="M3896" t="inlineStr">
        <is>
          <t>2024-01-01</t>
        </is>
      </c>
      <c r="N3896" t="inlineStr">
        <is>
          <t>derived=country_context.household_debt_proxy; country=Netherlands</t>
        </is>
      </c>
    </row>
    <row r="3897">
      <c r="A3897" t="inlineStr">
        <is>
          <t>nl-eindhoven</t>
        </is>
      </c>
      <c r="B3897" t="inlineStr">
        <is>
          <t>Eindhoven</t>
        </is>
      </c>
      <c r="C3897" t="inlineStr">
        <is>
          <t>Netherlands</t>
        </is>
      </c>
      <c r="D3897" t="inlineStr">
        <is>
          <t>Western, Northern, and Southern Europe</t>
        </is>
      </c>
      <c r="E3897" t="inlineStr">
        <is>
          <t>working_time_pressure_raw</t>
        </is>
      </c>
      <c r="F3897" t="inlineStr">
        <is>
          <t>Working time pressure raw</t>
        </is>
      </c>
      <c r="G3897" t="inlineStr">
        <is>
          <t>pressure</t>
        </is>
      </c>
      <c r="H3897" t="inlineStr">
        <is>
          <t>yes</t>
        </is>
      </c>
      <c r="I3897" t="inlineStr">
        <is>
          <t>30.24</t>
        </is>
      </c>
      <c r="J3897" t="inlineStr">
        <is>
          <t>ilo_ilostat</t>
        </is>
      </c>
      <c r="K3897" t="inlineStr">
        <is>
          <t>https://ilostat.ilo.org/data/indicator/?id=HOW_TEMP_SEX_ECO_NB_A&amp;ref_area=NLD</t>
        </is>
      </c>
      <c r="L3897" t="inlineStr">
        <is>
          <t>ILO ILOSTAT: Mean weekly hours actually worked per employed person</t>
        </is>
      </c>
      <c r="M3897" t="inlineStr">
        <is>
          <t>2024-12-31</t>
        </is>
      </c>
      <c r="N3897" t="inlineStr">
        <is>
          <t>auto_ingest=ilo_working_hours; indicator=HOW_TEMP_SEX_ECO_NB_A; year=2024; hours=30.24; country_proxy=Netherlands</t>
        </is>
      </c>
    </row>
    <row r="3898">
      <c r="A3898" t="inlineStr">
        <is>
          <t>nl-eindhoven</t>
        </is>
      </c>
      <c r="B3898" t="inlineStr">
        <is>
          <t>Eindhoven</t>
        </is>
      </c>
      <c r="C3898" t="inlineStr">
        <is>
          <t>Netherlands</t>
        </is>
      </c>
      <c r="D3898" t="inlineStr">
        <is>
          <t>Western, Northern, and Southern Europe</t>
        </is>
      </c>
      <c r="E3898" t="inlineStr">
        <is>
          <t>suicide_mental_strain_raw</t>
        </is>
      </c>
      <c r="F3898" t="inlineStr">
        <is>
          <t>Suicide or mental strain raw</t>
        </is>
      </c>
      <c r="G3898" t="inlineStr">
        <is>
          <t>pressure</t>
        </is>
      </c>
      <c r="H3898" t="inlineStr">
        <is>
          <t>yes</t>
        </is>
      </c>
      <c r="I3898" t="inlineStr">
        <is>
          <t>11.5</t>
        </is>
      </c>
      <c r="J3898" t="inlineStr">
        <is>
          <t>who_gho</t>
        </is>
      </c>
      <c r="K3898" t="inlineStr">
        <is>
          <t>https://www.who.int/data/gho/data/indicators/indicator-details/GHO/SDGSUICIDE</t>
        </is>
      </c>
      <c r="L3898" t="inlineStr">
        <is>
          <t>WHO GHO: Age-standardized suicide rate (per 100,000 population)</t>
        </is>
      </c>
      <c r="M3898" t="inlineStr">
        <is>
          <t>2021-12-31</t>
        </is>
      </c>
      <c r="N3898" t="inlineStr">
        <is>
          <t>auto_ingest=who_gho; indicator=SDGSUICIDE; year=2021; country_proxy=Netherlands</t>
        </is>
      </c>
    </row>
    <row r="3899">
      <c r="A3899" t="inlineStr">
        <is>
          <t>nl-eindhoven</t>
        </is>
      </c>
      <c r="B3899" t="inlineStr">
        <is>
          <t>Eindhoven</t>
        </is>
      </c>
      <c r="C3899" t="inlineStr">
        <is>
          <t>Netherlands</t>
        </is>
      </c>
      <c r="D3899" t="inlineStr">
        <is>
          <t>Western, Northern, and Southern Europe</t>
        </is>
      </c>
      <c r="E3899" t="inlineStr">
        <is>
          <t>personal_safety_raw</t>
        </is>
      </c>
      <c r="F3899" t="inlineStr">
        <is>
          <t>Personal safety raw</t>
        </is>
      </c>
      <c r="G3899" t="inlineStr">
        <is>
          <t>viability</t>
        </is>
      </c>
      <c r="H3899" t="inlineStr">
        <is>
          <t>yes</t>
        </is>
      </c>
      <c r="I3899" t="inlineStr">
        <is>
          <t>0.69</t>
        </is>
      </c>
      <c r="J3899" t="inlineStr">
        <is>
          <t>world_bank</t>
        </is>
      </c>
      <c r="K3899" t="inlineStr">
        <is>
          <t>https://api.worldbank.org/v2/country/NLD/indicator/VC.IHR.PSRC.P5?format=json&amp;mrv=10</t>
        </is>
      </c>
      <c r="L3899" t="inlineStr">
        <is>
          <t>UNODC via World Bank WDI: Intentional homicides (per 100,000 people)</t>
        </is>
      </c>
      <c r="M3899" t="inlineStr">
        <is>
          <t>2023-12-31</t>
        </is>
      </c>
      <c r="N3899" t="inlineStr">
        <is>
          <t>auto_ingest=unodc_safety; indicator=VC.IHR.PSRC.P5; year=2023; country_proxy=Netherlands</t>
        </is>
      </c>
    </row>
    <row r="3900">
      <c r="A3900" t="inlineStr">
        <is>
          <t>nl-eindhoven</t>
        </is>
      </c>
      <c r="B3900" t="inlineStr">
        <is>
          <t>Eindhoven</t>
        </is>
      </c>
      <c r="C3900" t="inlineStr">
        <is>
          <t>Netherlands</t>
        </is>
      </c>
      <c r="D3900" t="inlineStr">
        <is>
          <t>Western, Northern, and Southern Europe</t>
        </is>
      </c>
      <c r="E3900" t="inlineStr">
        <is>
          <t>transit_access_commute_raw</t>
        </is>
      </c>
      <c r="F3900" t="inlineStr">
        <is>
          <t>Transit access and commute raw</t>
        </is>
      </c>
      <c r="G3900" t="inlineStr">
        <is>
          <t>viability</t>
        </is>
      </c>
      <c r="H3900" t="inlineStr">
        <is>
          <t>yes</t>
        </is>
      </c>
      <c r="I3900" t="inlineStr"/>
      <c r="J3900" t="inlineStr"/>
      <c r="K3900" t="inlineStr"/>
      <c r="L3900" t="inlineStr"/>
      <c r="M3900" t="inlineStr"/>
      <c r="N3900" t="inlineStr"/>
    </row>
    <row r="3901">
      <c r="A3901" t="inlineStr">
        <is>
          <t>nl-eindhoven</t>
        </is>
      </c>
      <c r="B3901" t="inlineStr">
        <is>
          <t>Eindhoven</t>
        </is>
      </c>
      <c r="C3901" t="inlineStr">
        <is>
          <t>Netherlands</t>
        </is>
      </c>
      <c r="D3901" t="inlineStr">
        <is>
          <t>Western, Northern, and Southern Europe</t>
        </is>
      </c>
      <c r="E3901" t="inlineStr">
        <is>
          <t>clean_air_raw</t>
        </is>
      </c>
      <c r="F3901" t="inlineStr">
        <is>
          <t>Clean air raw</t>
        </is>
      </c>
      <c r="G3901" t="inlineStr">
        <is>
          <t>viability</t>
        </is>
      </c>
      <c r="H3901" t="inlineStr">
        <is>
          <t>yes</t>
        </is>
      </c>
      <c r="I3901" t="inlineStr"/>
      <c r="J3901" t="inlineStr"/>
      <c r="K3901" t="inlineStr"/>
      <c r="L3901" t="inlineStr"/>
      <c r="M3901" t="inlineStr"/>
      <c r="N3901" t="inlineStr"/>
    </row>
    <row r="3902">
      <c r="A3902" t="inlineStr">
        <is>
          <t>nl-eindhoven</t>
        </is>
      </c>
      <c r="B3902" t="inlineStr">
        <is>
          <t>Eindhoven</t>
        </is>
      </c>
      <c r="C3902" t="inlineStr">
        <is>
          <t>Netherlands</t>
        </is>
      </c>
      <c r="D3902" t="inlineStr">
        <is>
          <t>Western, Northern, and Southern Europe</t>
        </is>
      </c>
      <c r="E3902" t="inlineStr">
        <is>
          <t>water_sanitation_utility_raw</t>
        </is>
      </c>
      <c r="F3902" t="inlineStr">
        <is>
          <t>Water, sanitation, and utility raw</t>
        </is>
      </c>
      <c r="G3902" t="inlineStr">
        <is>
          <t>viability</t>
        </is>
      </c>
      <c r="H3902" t="inlineStr">
        <is>
          <t>yes</t>
        </is>
      </c>
      <c r="I3902" t="inlineStr">
        <is>
          <t>99.96</t>
        </is>
      </c>
      <c r="J3902" t="inlineStr">
        <is>
          <t>world_bank</t>
        </is>
      </c>
      <c r="K3902" t="inlineStr">
        <is>
          <t>https://api.worldbank.org/v2/country/NLD/indicator/SH.H2O.SMDW.ZS?format=json&amp;mrv=10</t>
        </is>
      </c>
      <c r="L3902" t="inlineStr">
        <is>
          <t>World Bank WDI: People using safely managed drinking water services (% of population)</t>
        </is>
      </c>
      <c r="M3902" t="inlineStr">
        <is>
          <t>2024-12-31</t>
        </is>
      </c>
      <c r="N3902" t="inlineStr">
        <is>
          <t>auto_ingest=world_bank_proxy; indicator=SH.H2O.SMDW.ZS; year=2024; country_proxy=Netherlands</t>
        </is>
      </c>
    </row>
    <row r="3903">
      <c r="A3903" t="inlineStr">
        <is>
          <t>nl-eindhoven</t>
        </is>
      </c>
      <c r="B3903" t="inlineStr">
        <is>
          <t>Eindhoven</t>
        </is>
      </c>
      <c r="C3903" t="inlineStr">
        <is>
          <t>Netherlands</t>
        </is>
      </c>
      <c r="D3903" t="inlineStr">
        <is>
          <t>Western, Northern, and Southern Europe</t>
        </is>
      </c>
      <c r="E3903" t="inlineStr">
        <is>
          <t>digital_infrastructure_raw</t>
        </is>
      </c>
      <c r="F3903" t="inlineStr">
        <is>
          <t>Digital infrastructure raw</t>
        </is>
      </c>
      <c r="G3903" t="inlineStr">
        <is>
          <t>viability</t>
        </is>
      </c>
      <c r="H3903" t="inlineStr">
        <is>
          <t>yes</t>
        </is>
      </c>
      <c r="I3903" t="inlineStr">
        <is>
          <t>43.26</t>
        </is>
      </c>
      <c r="J3903" t="inlineStr">
        <is>
          <t>world_bank</t>
        </is>
      </c>
      <c r="K3903" t="inlineStr">
        <is>
          <t>https://api.worldbank.org/v2/country/NLD/indicator/IT.NET.BBND.P2?format=json&amp;mrv=10</t>
        </is>
      </c>
      <c r="L3903" t="inlineStr">
        <is>
          <t>World Bank WDI: Fixed broadband subscriptions (per 100 people)</t>
        </is>
      </c>
      <c r="M3903" t="inlineStr">
        <is>
          <t>2023-12-31</t>
        </is>
      </c>
      <c r="N3903" t="inlineStr">
        <is>
          <t>auto_ingest=world_bank_proxy; indicator=IT.NET.BBND.P2; year=2023; country_proxy=Netherlands</t>
        </is>
      </c>
    </row>
    <row r="3904">
      <c r="A3904" t="inlineStr">
        <is>
          <t>nl-eindhoven</t>
        </is>
      </c>
      <c r="B3904" t="inlineStr">
        <is>
          <t>Eindhoven</t>
        </is>
      </c>
      <c r="C3904" t="inlineStr">
        <is>
          <t>Netherlands</t>
        </is>
      </c>
      <c r="D3904" t="inlineStr">
        <is>
          <t>Western, Northern, and Southern Europe</t>
        </is>
      </c>
      <c r="E3904" t="inlineStr">
        <is>
          <t>climate_sunlight_livability_raw</t>
        </is>
      </c>
      <c r="F3904" t="inlineStr">
        <is>
          <t>Climate and sunlight livability raw</t>
        </is>
      </c>
      <c r="G3904" t="inlineStr">
        <is>
          <t>viability</t>
        </is>
      </c>
      <c r="H3904" t="inlineStr">
        <is>
          <t>yes</t>
        </is>
      </c>
      <c r="I3904" t="inlineStr">
        <is>
          <t>46</t>
        </is>
      </c>
      <c r="J3904" t="inlineStr">
        <is>
          <t>wmo_natl_met</t>
        </is>
      </c>
      <c r="K3904" t="inlineStr">
        <is>
          <t>https://worldweather.wmo.int</t>
        </is>
      </c>
      <c r="L3904" t="inlineStr">
        <is>
          <t>WMO/National Met: Climate livability composite</t>
        </is>
      </c>
      <c r="M3904" t="inlineStr">
        <is>
          <t>2024-12-31</t>
        </is>
      </c>
      <c r="N3904" t="inlineStr">
        <is>
          <t>auto_seed=climate_composite; 1650 sun hrs, 10C mean</t>
        </is>
      </c>
    </row>
    <row r="3905">
      <c r="A3905" t="inlineStr">
        <is>
          <t>nl-eindhoven</t>
        </is>
      </c>
      <c r="B3905" t="inlineStr">
        <is>
          <t>Eindhoven</t>
        </is>
      </c>
      <c r="C3905" t="inlineStr">
        <is>
          <t>Netherlands</t>
        </is>
      </c>
      <c r="D3905" t="inlineStr">
        <is>
          <t>Western, Northern, and Southern Europe</t>
        </is>
      </c>
      <c r="E3905" t="inlineStr">
        <is>
          <t>healthcare_quality_raw</t>
        </is>
      </c>
      <c r="F3905" t="inlineStr">
        <is>
          <t>Healthcare quality raw</t>
        </is>
      </c>
      <c r="G3905" t="inlineStr">
        <is>
          <t>capability</t>
        </is>
      </c>
      <c r="H3905" t="inlineStr">
        <is>
          <t>yes</t>
        </is>
      </c>
      <c r="I3905" t="inlineStr">
        <is>
          <t>85.0</t>
        </is>
      </c>
      <c r="J3905" t="inlineStr">
        <is>
          <t>who_gho</t>
        </is>
      </c>
      <c r="K3905" t="inlineStr">
        <is>
          <t>https://www.who.int/data/gho/data/indicators/indicator-details/GHO/UHC_INDEX_REPORTED</t>
        </is>
      </c>
      <c r="L3905" t="inlineStr">
        <is>
          <t>WHO GHO: UHC Service Coverage Index</t>
        </is>
      </c>
      <c r="M3905" t="inlineStr">
        <is>
          <t>2023-12-31</t>
        </is>
      </c>
      <c r="N3905" t="inlineStr">
        <is>
          <t>auto_ingest=who_gho; indicator=UHC_INDEX_REPORTED; year=2023; country_proxy=Netherlands</t>
        </is>
      </c>
    </row>
    <row r="3906">
      <c r="A3906" t="inlineStr">
        <is>
          <t>nl-eindhoven</t>
        </is>
      </c>
      <c r="B3906" t="inlineStr">
        <is>
          <t>Eindhoven</t>
        </is>
      </c>
      <c r="C3906" t="inlineStr">
        <is>
          <t>Netherlands</t>
        </is>
      </c>
      <c r="D3906" t="inlineStr">
        <is>
          <t>Western, Northern, and Southern Europe</t>
        </is>
      </c>
      <c r="E3906" t="inlineStr">
        <is>
          <t>education_quality_raw</t>
        </is>
      </c>
      <c r="F3906" t="inlineStr">
        <is>
          <t>Education quality raw</t>
        </is>
      </c>
      <c r="G3906" t="inlineStr">
        <is>
          <t>capability</t>
        </is>
      </c>
      <c r="H3906" t="inlineStr">
        <is>
          <t>yes</t>
        </is>
      </c>
      <c r="I3906" t="inlineStr">
        <is>
          <t>86.59</t>
        </is>
      </c>
      <c r="J3906" t="inlineStr">
        <is>
          <t>world_bank</t>
        </is>
      </c>
      <c r="K3906" t="inlineStr">
        <is>
          <t>https://api.worldbank.org/v2/country/NLD/indicator/SE.TER.ENRR?format=json&amp;mrv=10</t>
        </is>
      </c>
      <c r="L3906" t="inlineStr">
        <is>
          <t>World Bank WDI: School enrollment, tertiary (% gross)</t>
        </is>
      </c>
      <c r="M3906" t="inlineStr">
        <is>
          <t>2023-12-31</t>
        </is>
      </c>
      <c r="N3906" t="inlineStr">
        <is>
          <t>auto_ingest=world_bank_proxy; indicator=SE.TER.ENRR; year=2023; country_proxy=Netherlands</t>
        </is>
      </c>
    </row>
    <row r="3907">
      <c r="A3907" t="inlineStr">
        <is>
          <t>nl-eindhoven</t>
        </is>
      </c>
      <c r="B3907" t="inlineStr">
        <is>
          <t>Eindhoven</t>
        </is>
      </c>
      <c r="C3907" t="inlineStr">
        <is>
          <t>Netherlands</t>
        </is>
      </c>
      <c r="D3907" t="inlineStr">
        <is>
          <t>Western, Northern, and Southern Europe</t>
        </is>
      </c>
      <c r="E3907" t="inlineStr">
        <is>
          <t>equal_opportunity_raw</t>
        </is>
      </c>
      <c r="F3907" t="inlineStr">
        <is>
          <t>Equal opportunity raw</t>
        </is>
      </c>
      <c r="G3907" t="inlineStr">
        <is>
          <t>capability</t>
        </is>
      </c>
      <c r="H3907" t="inlineStr">
        <is>
          <t>yes</t>
        </is>
      </c>
      <c r="I3907" t="inlineStr">
        <is>
          <t>25.7</t>
        </is>
      </c>
      <c r="J3907" t="inlineStr">
        <is>
          <t>world_bank</t>
        </is>
      </c>
      <c r="K3907" t="inlineStr">
        <is>
          <t>https://api.worldbank.org/v2/country/NLD/indicator/SI.POV.GINI?format=json&amp;mrv=10</t>
        </is>
      </c>
      <c r="L3907" t="inlineStr">
        <is>
          <t>World Bank WDI: Gini index</t>
        </is>
      </c>
      <c r="M3907" t="inlineStr">
        <is>
          <t>2021-12-31</t>
        </is>
      </c>
      <c r="N3907" t="inlineStr">
        <is>
          <t>auto_ingest=world_bank_capability; indicator=SI.POV.GINI; year=2021; country_proxy=Netherlands</t>
        </is>
      </c>
    </row>
    <row r="3908">
      <c r="A3908" t="inlineStr">
        <is>
          <t>nl-eindhoven</t>
        </is>
      </c>
      <c r="B3908" t="inlineStr">
        <is>
          <t>Eindhoven</t>
        </is>
      </c>
      <c r="C3908" t="inlineStr">
        <is>
          <t>Netherlands</t>
        </is>
      </c>
      <c r="D3908" t="inlineStr">
        <is>
          <t>Western, Northern, and Southern Europe</t>
        </is>
      </c>
      <c r="E3908" t="inlineStr">
        <is>
          <t>hospitality_belonging_raw</t>
        </is>
      </c>
      <c r="F3908" t="inlineStr">
        <is>
          <t>Hospitality and belonging raw</t>
        </is>
      </c>
      <c r="G3908" t="inlineStr">
        <is>
          <t>community</t>
        </is>
      </c>
      <c r="H3908" t="inlineStr">
        <is>
          <t>yes</t>
        </is>
      </c>
      <c r="I3908" t="inlineStr">
        <is>
          <t>55.82</t>
        </is>
      </c>
      <c r="J3908" t="inlineStr">
        <is>
          <t>world_bank</t>
        </is>
      </c>
      <c r="K3908" t="inlineStr">
        <is>
          <t>https://api.worldbank.org/v2/country/NLD/indicator/SM.POP.NETM?format=json&amp;mrv=10</t>
        </is>
      </c>
      <c r="L3908" t="inlineStr">
        <is>
          <t>World Bank WDI: Net migration (proxy for hospitality/belonging — positive = welcoming)</t>
        </is>
      </c>
      <c r="M3908" t="inlineStr">
        <is>
          <t>2025-12-31</t>
        </is>
      </c>
      <c r="N3908" t="inlineStr">
        <is>
          <t>auto_ingest=world_bank_proxy; proxy=net_migration_hospitality; indicator=SM.POP.NETM; year=2025; country_proxy=Netherlands</t>
        </is>
      </c>
    </row>
    <row r="3909">
      <c r="A3909" t="inlineStr">
        <is>
          <t>nl-eindhoven</t>
        </is>
      </c>
      <c r="B3909" t="inlineStr">
        <is>
          <t>Eindhoven</t>
        </is>
      </c>
      <c r="C3909" t="inlineStr">
        <is>
          <t>Netherlands</t>
        </is>
      </c>
      <c r="D3909" t="inlineStr">
        <is>
          <t>Western, Northern, and Southern Europe</t>
        </is>
      </c>
      <c r="E3909" t="inlineStr">
        <is>
          <t>tolerance_pluralism_raw</t>
        </is>
      </c>
      <c r="F3909" t="inlineStr">
        <is>
          <t>Tolerance and pluralism raw</t>
        </is>
      </c>
      <c r="G3909" t="inlineStr">
        <is>
          <t>community</t>
        </is>
      </c>
      <c r="H3909" t="inlineStr">
        <is>
          <t>yes</t>
        </is>
      </c>
      <c r="I3909" t="inlineStr">
        <is>
          <t>38.67</t>
        </is>
      </c>
      <c r="J3909" t="inlineStr">
        <is>
          <t>world_bank</t>
        </is>
      </c>
      <c r="K3909" t="inlineStr">
        <is>
          <t>https://api.worldbank.org/v2/country/NLD/indicator/SG.GEN.PARL.ZS?format=json&amp;mrv=10</t>
        </is>
      </c>
      <c r="L3909" t="inlineStr">
        <is>
          <t>World Bank WDI: Proportion of seats held by women in national parliaments (%)</t>
        </is>
      </c>
      <c r="M3909" t="inlineStr">
        <is>
          <t>2024-12-31</t>
        </is>
      </c>
      <c r="N3909" t="inlineStr">
        <is>
          <t>auto_ingest=world_bank_proxy; proxy=gender_parity_parliament; indicator=SG.GEN.PARL.ZS; year=2024; country_proxy=Netherlands</t>
        </is>
      </c>
    </row>
    <row r="3910">
      <c r="A3910" t="inlineStr">
        <is>
          <t>nl-eindhoven</t>
        </is>
      </c>
      <c r="B3910" t="inlineStr">
        <is>
          <t>Eindhoven</t>
        </is>
      </c>
      <c r="C3910" t="inlineStr">
        <is>
          <t>Netherlands</t>
        </is>
      </c>
      <c r="D3910" t="inlineStr">
        <is>
          <t>Western, Northern, and Southern Europe</t>
        </is>
      </c>
      <c r="E3910" t="inlineStr">
        <is>
          <t>cultural_public_life_raw</t>
        </is>
      </c>
      <c r="F3910" t="inlineStr">
        <is>
          <t>Cultural public life raw</t>
        </is>
      </c>
      <c r="G3910" t="inlineStr">
        <is>
          <t>community</t>
        </is>
      </c>
      <c r="H3910" t="inlineStr">
        <is>
          <t>yes</t>
        </is>
      </c>
      <c r="I3910" t="inlineStr">
        <is>
          <t>403.76</t>
        </is>
      </c>
      <c r="J3910" t="inlineStr">
        <is>
          <t>world_bank</t>
        </is>
      </c>
      <c r="K3910" t="inlineStr">
        <is>
          <t>https://api.worldbank.org/v2/country/NLD/indicator/ST.INT.ARVL?format=json&amp;mrv=10</t>
        </is>
      </c>
      <c r="L3910" t="inlineStr">
        <is>
          <t>World Bank WDI: International tourism arrivals per 1 000 population</t>
        </is>
      </c>
      <c r="M3910" t="inlineStr">
        <is>
          <t>2020-12-31</t>
        </is>
      </c>
      <c r="N3910" t="inlineStr">
        <is>
          <t>auto_ingest=cultural_life_proxy; indicator=ST.INT.ARVL; norm=per_1000_pop; year=2020; country_proxy=Netherlands</t>
        </is>
      </c>
    </row>
    <row r="3911">
      <c r="A3911" t="inlineStr">
        <is>
          <t>nl-eindhoven</t>
        </is>
      </c>
      <c r="B3911" t="inlineStr">
        <is>
          <t>Eindhoven</t>
        </is>
      </c>
      <c r="C3911" t="inlineStr">
        <is>
          <t>Netherlands</t>
        </is>
      </c>
      <c r="D3911" t="inlineStr">
        <is>
          <t>Western, Northern, and Southern Europe</t>
        </is>
      </c>
      <c r="E3911" t="inlineStr">
        <is>
          <t>birth_rate_optimism_raw</t>
        </is>
      </c>
      <c r="F3911" t="inlineStr">
        <is>
          <t>Birth rate and societal optimism raw</t>
        </is>
      </c>
      <c r="G3911" t="inlineStr">
        <is>
          <t>community</t>
        </is>
      </c>
      <c r="H3911" t="inlineStr">
        <is>
          <t>yes</t>
        </is>
      </c>
      <c r="I3911" t="inlineStr">
        <is>
          <t>1.49</t>
        </is>
      </c>
      <c r="J3911" t="inlineStr">
        <is>
          <t>world_bank</t>
        </is>
      </c>
      <c r="K3911" t="inlineStr">
        <is>
          <t>https://data.worldbank.org/indicator/SP.DYN.TFRT.IN</t>
        </is>
      </c>
      <c r="L3911" t="inlineStr">
        <is>
          <t>World Bank Total Fertility Rate 2023</t>
        </is>
      </c>
      <c r="M3911" t="inlineStr">
        <is>
          <t>2024-01-01</t>
        </is>
      </c>
      <c r="N3911" t="inlineStr"/>
    </row>
    <row r="3912">
      <c r="A3912" t="inlineStr">
        <is>
          <t>nl-eindhoven</t>
        </is>
      </c>
      <c r="B3912" t="inlineStr">
        <is>
          <t>Eindhoven</t>
        </is>
      </c>
      <c r="C3912" t="inlineStr">
        <is>
          <t>Netherlands</t>
        </is>
      </c>
      <c r="D3912" t="inlineStr">
        <is>
          <t>Western, Northern, and Southern Europe</t>
        </is>
      </c>
      <c r="E3912" t="inlineStr">
        <is>
          <t>entrepreneurial_dynamism_raw</t>
        </is>
      </c>
      <c r="F3912" t="inlineStr">
        <is>
          <t>Entrepreneurial dynamism raw</t>
        </is>
      </c>
      <c r="G3912" t="inlineStr">
        <is>
          <t>creative</t>
        </is>
      </c>
      <c r="H3912" t="inlineStr">
        <is>
          <t>yes</t>
        </is>
      </c>
      <c r="I3912" t="inlineStr">
        <is>
          <t>3.43</t>
        </is>
      </c>
      <c r="J3912" t="inlineStr">
        <is>
          <t>world_bank</t>
        </is>
      </c>
      <c r="K3912" t="inlineStr">
        <is>
          <t>https://api.worldbank.org/v2/country/NLD/indicator/IC.BUS.NDNS.ZS?format=json&amp;mrv=10</t>
        </is>
      </c>
      <c r="L3912" t="inlineStr">
        <is>
          <t>World Bank WDI: New business density (new registrations per 1,000 people ages 15-64)</t>
        </is>
      </c>
      <c r="M3912" t="inlineStr">
        <is>
          <t>2022-12-31</t>
        </is>
      </c>
      <c r="N3912" t="inlineStr">
        <is>
          <t>auto_ingest=world_bank_creative_extended; indicator=IC.BUS.NDNS.ZS; year=2022; country_proxy=Netherlands</t>
        </is>
      </c>
    </row>
    <row r="3913">
      <c r="A3913" t="inlineStr">
        <is>
          <t>nl-eindhoven</t>
        </is>
      </c>
      <c r="B3913" t="inlineStr">
        <is>
          <t>Eindhoven</t>
        </is>
      </c>
      <c r="C3913" t="inlineStr">
        <is>
          <t>Netherlands</t>
        </is>
      </c>
      <c r="D3913" t="inlineStr">
        <is>
          <t>Western, Northern, and Southern Europe</t>
        </is>
      </c>
      <c r="E3913" t="inlineStr">
        <is>
          <t>innovation_research_intensity_raw</t>
        </is>
      </c>
      <c r="F3913" t="inlineStr">
        <is>
          <t>Innovation and research raw</t>
        </is>
      </c>
      <c r="G3913" t="inlineStr">
        <is>
          <t>creative</t>
        </is>
      </c>
      <c r="H3913" t="inlineStr">
        <is>
          <t>yes</t>
        </is>
      </c>
      <c r="I3913" t="inlineStr">
        <is>
          <t>2.26</t>
        </is>
      </c>
      <c r="J3913" t="inlineStr">
        <is>
          <t>world_bank</t>
        </is>
      </c>
      <c r="K3913" t="inlineStr">
        <is>
          <t>https://api.worldbank.org/v2/country/NLD/indicator/GB.XPD.RSDV.GD.ZS?format=json&amp;mrv=10</t>
        </is>
      </c>
      <c r="L3913" t="inlineStr">
        <is>
          <t>World Bank WDI: Research and development expenditure (% of GDP)</t>
        </is>
      </c>
      <c r="M3913" t="inlineStr">
        <is>
          <t>2022-12-31</t>
        </is>
      </c>
      <c r="N3913" t="inlineStr">
        <is>
          <t>auto_ingest=world_bank_creative_extended; indicator=GB.XPD.RSDV.GD.ZS; year=2022; country_proxy=Netherlands</t>
        </is>
      </c>
    </row>
    <row r="3914">
      <c r="A3914" t="inlineStr">
        <is>
          <t>nl-eindhoven</t>
        </is>
      </c>
      <c r="B3914" t="inlineStr">
        <is>
          <t>Eindhoven</t>
        </is>
      </c>
      <c r="C3914" t="inlineStr">
        <is>
          <t>Netherlands</t>
        </is>
      </c>
      <c r="D3914" t="inlineStr">
        <is>
          <t>Western, Northern, and Southern Europe</t>
        </is>
      </c>
      <c r="E3914" t="inlineStr">
        <is>
          <t>investment_signal_raw</t>
        </is>
      </c>
      <c r="F3914" t="inlineStr">
        <is>
          <t>Investment signal raw</t>
        </is>
      </c>
      <c r="G3914" t="inlineStr">
        <is>
          <t>creative</t>
        </is>
      </c>
      <c r="H3914" t="inlineStr">
        <is>
          <t>yes</t>
        </is>
      </c>
      <c r="I3914" t="inlineStr">
        <is>
          <t>-1.4</t>
        </is>
      </c>
      <c r="J3914" t="inlineStr">
        <is>
          <t>world_bank</t>
        </is>
      </c>
      <c r="K3914" t="inlineStr">
        <is>
          <t>https://api.worldbank.org/v2/country/NLD/indicator/BX.KLT.DINV.WD.GD.ZS?format=json&amp;mrv=10</t>
        </is>
      </c>
      <c r="L3914" t="inlineStr">
        <is>
          <t>World Bank WDI: Foreign direct investment, net inflows (% of GDP)</t>
        </is>
      </c>
      <c r="M3914" t="inlineStr">
        <is>
          <t>2024-12-31</t>
        </is>
      </c>
      <c r="N3914" t="inlineStr">
        <is>
          <t>auto_ingest=world_bank_creative_extended; indicator=BX.KLT.DINV.WD.GD.ZS; year=2024; country_proxy=Netherlands</t>
        </is>
      </c>
    </row>
    <row r="3915">
      <c r="A3915" t="inlineStr">
        <is>
          <t>nl-eindhoven</t>
        </is>
      </c>
      <c r="B3915" t="inlineStr">
        <is>
          <t>Eindhoven</t>
        </is>
      </c>
      <c r="C3915" t="inlineStr">
        <is>
          <t>Netherlands</t>
        </is>
      </c>
      <c r="D3915" t="inlineStr">
        <is>
          <t>Western, Northern, and Southern Europe</t>
        </is>
      </c>
      <c r="E3915" t="inlineStr">
        <is>
          <t>administrative_investment_friction_raw</t>
        </is>
      </c>
      <c r="F3915" t="inlineStr">
        <is>
          <t>Administrative investment friction raw</t>
        </is>
      </c>
      <c r="G3915" t="inlineStr">
        <is>
          <t>creative</t>
        </is>
      </c>
      <c r="H3915" t="inlineStr">
        <is>
          <t>yes</t>
        </is>
      </c>
      <c r="I3915" t="inlineStr">
        <is>
          <t>0.71</t>
        </is>
      </c>
      <c r="J3915" t="inlineStr">
        <is>
          <t>world_bank</t>
        </is>
      </c>
      <c r="K3915" t="inlineStr">
        <is>
          <t>https://api.worldbank.org/v2/country/NLD/indicator/RQ.EST?format=json&amp;mrv=10</t>
        </is>
      </c>
      <c r="L3915" t="inlineStr">
        <is>
          <t>World Bank WGI: Regulatory Quality (inverted as friction proxy)</t>
        </is>
      </c>
      <c r="M3915" t="inlineStr">
        <is>
          <t>2023-12-31</t>
        </is>
      </c>
      <c r="N3915" t="inlineStr">
        <is>
          <t>auto_ingest=world_bank_business_friction; indicator=RQ.EST; raw_rq=1.79096639156342; friction=0.71; year=2023; country_proxy=Netherlands</t>
        </is>
      </c>
    </row>
    <row r="3916">
      <c r="A3916" t="inlineStr">
        <is>
          <t>nl-eindhoven</t>
        </is>
      </c>
      <c r="B3916" t="inlineStr">
        <is>
          <t>Eindhoven</t>
        </is>
      </c>
      <c r="C3916" t="inlineStr">
        <is>
          <t>Netherlands</t>
        </is>
      </c>
      <c r="D3916" t="inlineStr">
        <is>
          <t>Western, Northern, and Southern Europe</t>
        </is>
      </c>
      <c r="E3916" t="inlineStr">
        <is>
          <t>visitor_flow_context_raw</t>
        </is>
      </c>
      <c r="F3916" t="inlineStr">
        <is>
          <t>Visitor flow context raw</t>
        </is>
      </c>
      <c r="G3916" t="inlineStr">
        <is>
          <t>creative</t>
        </is>
      </c>
      <c r="H3916" t="inlineStr">
        <is>
          <t>no</t>
        </is>
      </c>
      <c r="I3916" t="inlineStr"/>
      <c r="J3916" t="inlineStr"/>
      <c r="K3916" t="inlineStr"/>
      <c r="L3916" t="inlineStr"/>
      <c r="M3916" t="inlineStr"/>
      <c r="N3916" t="inlineStr"/>
    </row>
    <row r="3917">
      <c r="A3917" t="inlineStr">
        <is>
          <t>ca-vancouver</t>
        </is>
      </c>
      <c r="B3917" t="inlineStr">
        <is>
          <t>Vancouver</t>
        </is>
      </c>
      <c r="C3917" t="inlineStr">
        <is>
          <t>Canada</t>
        </is>
      </c>
      <c r="D3917" t="inlineStr">
        <is>
          <t>North America</t>
        </is>
      </c>
      <c r="E3917" t="inlineStr">
        <is>
          <t>gross_income</t>
        </is>
      </c>
      <c r="F3917" t="inlineStr">
        <is>
          <t>Gross income</t>
        </is>
      </c>
      <c r="G3917" t="inlineStr">
        <is>
          <t>pressure</t>
        </is>
      </c>
      <c r="H3917" t="inlineStr">
        <is>
          <t>yes</t>
        </is>
      </c>
      <c r="I3917" t="inlineStr">
        <is>
          <t>5567.62</t>
        </is>
      </c>
      <c r="J3917" t="inlineStr">
        <is>
          <t>world_bank_col_estimate</t>
        </is>
      </c>
      <c r="K3917" t="inlineStr">
        <is>
          <t>https://api.worldbank.org/v2/country/CAN/indicator/NY.GNP.PCAP.PP.CD?format=json&amp;mrv=10</t>
        </is>
      </c>
      <c r="L3917" t="inlineStr">
        <is>
          <t>World Bank WDI: GNI per capita PPP (monthly USD)</t>
        </is>
      </c>
      <c r="M3917" t="inlineStr">
        <is>
          <t>2024-12-31</t>
        </is>
      </c>
      <c r="N3917" t="inlineStr">
        <is>
          <t>auto_ingest=world_bank_col_estimate; gni_annual=63630.0; year=2024; country_proxy=Canada; cohort=North America; city_income_mult=1.05</t>
        </is>
      </c>
    </row>
    <row r="3918">
      <c r="A3918" t="inlineStr">
        <is>
          <t>ca-vancouver</t>
        </is>
      </c>
      <c r="B3918" t="inlineStr">
        <is>
          <t>Vancouver</t>
        </is>
      </c>
      <c r="C3918" t="inlineStr">
        <is>
          <t>Canada</t>
        </is>
      </c>
      <c r="D3918" t="inlineStr">
        <is>
          <t>North America</t>
        </is>
      </c>
      <c r="E3918" t="inlineStr">
        <is>
          <t>di_ppp_raw</t>
        </is>
      </c>
      <c r="F3918" t="inlineStr">
        <is>
          <t>Disposable income PPP (Raw)</t>
        </is>
      </c>
      <c r="G3918" t="inlineStr">
        <is>
          <t>pressure</t>
        </is>
      </c>
      <c r="H3918" t="inlineStr">
        <is>
          <t>yes</t>
        </is>
      </c>
      <c r="I3918" t="inlineStr"/>
      <c r="J3918" t="inlineStr"/>
      <c r="K3918" t="inlineStr"/>
      <c r="L3918" t="inlineStr"/>
      <c r="M3918" t="inlineStr"/>
      <c r="N3918" t="inlineStr"/>
    </row>
    <row r="3919">
      <c r="A3919" t="inlineStr">
        <is>
          <t>ca-vancouver</t>
        </is>
      </c>
      <c r="B3919" t="inlineStr">
        <is>
          <t>Vancouver</t>
        </is>
      </c>
      <c r="C3919" t="inlineStr">
        <is>
          <t>Canada</t>
        </is>
      </c>
      <c r="D3919" t="inlineStr">
        <is>
          <t>North America</t>
        </is>
      </c>
      <c r="E3919" t="inlineStr">
        <is>
          <t>rent</t>
        </is>
      </c>
      <c r="F3919" t="inlineStr">
        <is>
          <t>Rent</t>
        </is>
      </c>
      <c r="G3919" t="inlineStr">
        <is>
          <t>pressure</t>
        </is>
      </c>
      <c r="H3919" t="inlineStr">
        <is>
          <t>yes</t>
        </is>
      </c>
      <c r="I3919" t="inlineStr">
        <is>
          <t>2435.83</t>
        </is>
      </c>
      <c r="J3919" t="inlineStr">
        <is>
          <t>world_bank_col_estimate</t>
        </is>
      </c>
      <c r="K3919" t="inlineStr">
        <is>
          <t>https://api.worldbank.org/v2/country/CAN/indicator/NY.GNP.PCAP.PP.CD?format=json&amp;mrv=10</t>
        </is>
      </c>
      <c r="L3919" t="inlineStr">
        <is>
          <t>World Bank GNI + regional expenditure ratio estimate</t>
        </is>
      </c>
      <c r="M3919" t="inlineStr">
        <is>
          <t>2024-12-31</t>
        </is>
      </c>
      <c r="N3919" t="inlineStr">
        <is>
          <t>auto_ingest=world_bank_col_estimate; gni_annual=63630.0; year=2024; country_proxy=Canada; cohort=North America; city_cost_mult=1.25</t>
        </is>
      </c>
    </row>
    <row r="3920">
      <c r="A3920" t="inlineStr">
        <is>
          <t>ca-vancouver</t>
        </is>
      </c>
      <c r="B3920" t="inlineStr">
        <is>
          <t>Vancouver</t>
        </is>
      </c>
      <c r="C3920" t="inlineStr">
        <is>
          <t>Canada</t>
        </is>
      </c>
      <c r="D3920" t="inlineStr">
        <is>
          <t>North America</t>
        </is>
      </c>
      <c r="E3920" t="inlineStr">
        <is>
          <t>utilities</t>
        </is>
      </c>
      <c r="F3920" t="inlineStr">
        <is>
          <t>Utilities</t>
        </is>
      </c>
      <c r="G3920" t="inlineStr">
        <is>
          <t>pressure</t>
        </is>
      </c>
      <c r="H3920" t="inlineStr">
        <is>
          <t>yes</t>
        </is>
      </c>
      <c r="I3920" t="inlineStr">
        <is>
          <t>487.17</t>
        </is>
      </c>
      <c r="J3920" t="inlineStr">
        <is>
          <t>world_bank_col_estimate</t>
        </is>
      </c>
      <c r="K3920" t="inlineStr">
        <is>
          <t>https://api.worldbank.org/v2/country/CAN/indicator/NY.GNP.PCAP.PP.CD?format=json&amp;mrv=10</t>
        </is>
      </c>
      <c r="L3920" t="inlineStr">
        <is>
          <t>World Bank GNI + regional expenditure ratio estimate</t>
        </is>
      </c>
      <c r="M3920" t="inlineStr">
        <is>
          <t>2024-12-31</t>
        </is>
      </c>
      <c r="N3920" t="inlineStr">
        <is>
          <t>auto_ingest=world_bank_col_estimate; gni_annual=63630.0; year=2024; country_proxy=Canada; cohort=North America; city_cost_mult=1.25</t>
        </is>
      </c>
    </row>
    <row r="3921">
      <c r="A3921" t="inlineStr">
        <is>
          <t>ca-vancouver</t>
        </is>
      </c>
      <c r="B3921" t="inlineStr">
        <is>
          <t>Vancouver</t>
        </is>
      </c>
      <c r="C3921" t="inlineStr">
        <is>
          <t>Canada</t>
        </is>
      </c>
      <c r="D3921" t="inlineStr">
        <is>
          <t>North America</t>
        </is>
      </c>
      <c r="E3921" t="inlineStr">
        <is>
          <t>transit_cost</t>
        </is>
      </c>
      <c r="F3921" t="inlineStr">
        <is>
          <t>Transit cost</t>
        </is>
      </c>
      <c r="G3921" t="inlineStr">
        <is>
          <t>pressure</t>
        </is>
      </c>
      <c r="H3921" t="inlineStr">
        <is>
          <t>yes</t>
        </is>
      </c>
      <c r="I3921" t="inlineStr">
        <is>
          <t>347.98</t>
        </is>
      </c>
      <c r="J3921" t="inlineStr">
        <is>
          <t>world_bank_col_estimate</t>
        </is>
      </c>
      <c r="K3921" t="inlineStr">
        <is>
          <t>https://api.worldbank.org/v2/country/CAN/indicator/NY.GNP.PCAP.PP.CD?format=json&amp;mrv=10</t>
        </is>
      </c>
      <c r="L3921" t="inlineStr">
        <is>
          <t>World Bank GNI + regional expenditure ratio estimate</t>
        </is>
      </c>
      <c r="M3921" t="inlineStr">
        <is>
          <t>2024-12-31</t>
        </is>
      </c>
      <c r="N3921" t="inlineStr">
        <is>
          <t>auto_ingest=world_bank_col_estimate; gni_annual=63630.0; year=2024; country_proxy=Canada; cohort=North America; city_cost_mult=1.25</t>
        </is>
      </c>
    </row>
    <row r="3922">
      <c r="A3922" t="inlineStr">
        <is>
          <t>ca-vancouver</t>
        </is>
      </c>
      <c r="B3922" t="inlineStr">
        <is>
          <t>Vancouver</t>
        </is>
      </c>
      <c r="C3922" t="inlineStr">
        <is>
          <t>Canada</t>
        </is>
      </c>
      <c r="D3922" t="inlineStr">
        <is>
          <t>North America</t>
        </is>
      </c>
      <c r="E3922" t="inlineStr">
        <is>
          <t>internet_cost</t>
        </is>
      </c>
      <c r="F3922" t="inlineStr">
        <is>
          <t>Internet cost</t>
        </is>
      </c>
      <c r="G3922" t="inlineStr">
        <is>
          <t>pressure</t>
        </is>
      </c>
      <c r="H3922" t="inlineStr">
        <is>
          <t>yes</t>
        </is>
      </c>
      <c r="I3922" t="inlineStr">
        <is>
          <t>139.19</t>
        </is>
      </c>
      <c r="J3922" t="inlineStr">
        <is>
          <t>world_bank_col_estimate</t>
        </is>
      </c>
      <c r="K3922" t="inlineStr">
        <is>
          <t>https://api.worldbank.org/v2/country/CAN/indicator/NY.GNP.PCAP.PP.CD?format=json&amp;mrv=10</t>
        </is>
      </c>
      <c r="L3922" t="inlineStr">
        <is>
          <t>World Bank GNI + regional expenditure ratio estimate</t>
        </is>
      </c>
      <c r="M3922" t="inlineStr">
        <is>
          <t>2024-12-31</t>
        </is>
      </c>
      <c r="N3922" t="inlineStr">
        <is>
          <t>auto_ingest=world_bank_col_estimate; gni_annual=63630.0; year=2024; country_proxy=Canada; cohort=North America; city_cost_mult=1.25</t>
        </is>
      </c>
    </row>
    <row r="3923">
      <c r="A3923" t="inlineStr">
        <is>
          <t>ca-vancouver</t>
        </is>
      </c>
      <c r="B3923" t="inlineStr">
        <is>
          <t>Vancouver</t>
        </is>
      </c>
      <c r="C3923" t="inlineStr">
        <is>
          <t>Canada</t>
        </is>
      </c>
      <c r="D3923" t="inlineStr">
        <is>
          <t>North America</t>
        </is>
      </c>
      <c r="E3923" t="inlineStr">
        <is>
          <t>food_cost</t>
        </is>
      </c>
      <c r="F3923" t="inlineStr">
        <is>
          <t>Food cost</t>
        </is>
      </c>
      <c r="G3923" t="inlineStr">
        <is>
          <t>pressure</t>
        </is>
      </c>
      <c r="H3923" t="inlineStr">
        <is>
          <t>yes</t>
        </is>
      </c>
      <c r="I3923" t="inlineStr">
        <is>
          <t>1043.93</t>
        </is>
      </c>
      <c r="J3923" t="inlineStr">
        <is>
          <t>world_bank_col_estimate</t>
        </is>
      </c>
      <c r="K3923" t="inlineStr">
        <is>
          <t>https://api.worldbank.org/v2/country/CAN/indicator/NY.GNP.PCAP.PP.CD?format=json&amp;mrv=10</t>
        </is>
      </c>
      <c r="L3923" t="inlineStr">
        <is>
          <t>World Bank GNI + regional expenditure ratio estimate</t>
        </is>
      </c>
      <c r="M3923" t="inlineStr">
        <is>
          <t>2024-12-31</t>
        </is>
      </c>
      <c r="N3923" t="inlineStr">
        <is>
          <t>auto_ingest=world_bank_col_estimate; gni_annual=63630.0; year=2024; country_proxy=Canada; cohort=North America; city_cost_mult=1.25</t>
        </is>
      </c>
    </row>
    <row r="3924">
      <c r="A3924" t="inlineStr">
        <is>
          <t>ca-vancouver</t>
        </is>
      </c>
      <c r="B3924" t="inlineStr">
        <is>
          <t>Vancouver</t>
        </is>
      </c>
      <c r="C3924" t="inlineStr">
        <is>
          <t>Canada</t>
        </is>
      </c>
      <c r="D3924" t="inlineStr">
        <is>
          <t>North America</t>
        </is>
      </c>
      <c r="E3924" t="inlineStr">
        <is>
          <t>housing_burden_raw</t>
        </is>
      </c>
      <c r="F3924" t="inlineStr">
        <is>
          <t>Housing burden raw</t>
        </is>
      </c>
      <c r="G3924" t="inlineStr">
        <is>
          <t>pressure</t>
        </is>
      </c>
      <c r="H3924" t="inlineStr">
        <is>
          <t>yes</t>
        </is>
      </c>
      <c r="I3924" t="inlineStr">
        <is>
          <t>43.7499</t>
        </is>
      </c>
      <c r="J3924" t="inlineStr">
        <is>
          <t>derived</t>
        </is>
      </c>
      <c r="K3924" t="inlineStr">
        <is>
          <t>https://data.worldbank.org/indicator/NY.GNP.PCAP.PP.CD</t>
        </is>
      </c>
      <c r="L3924" t="inlineStr">
        <is>
          <t>Computed from city_inputs + country_context</t>
        </is>
      </c>
      <c r="M3924" t="inlineStr">
        <is>
          <t>2024-01-01</t>
        </is>
      </c>
      <c r="N3924" t="inlineStr">
        <is>
          <t>derived=rent/gross_income*100</t>
        </is>
      </c>
    </row>
    <row r="3925">
      <c r="A3925" t="inlineStr">
        <is>
          <t>ca-vancouver</t>
        </is>
      </c>
      <c r="B3925" t="inlineStr">
        <is>
          <t>Vancouver</t>
        </is>
      </c>
      <c r="C3925" t="inlineStr">
        <is>
          <t>Canada</t>
        </is>
      </c>
      <c r="D3925" t="inlineStr">
        <is>
          <t>North America</t>
        </is>
      </c>
      <c r="E3925" t="inlineStr">
        <is>
          <t>household_debt_burden_raw</t>
        </is>
      </c>
      <c r="F3925" t="inlineStr">
        <is>
          <t>Household debt burden raw</t>
        </is>
      </c>
      <c r="G3925" t="inlineStr">
        <is>
          <t>pressure</t>
        </is>
      </c>
      <c r="H3925" t="inlineStr">
        <is>
          <t>yes</t>
        </is>
      </c>
      <c r="I3925" t="inlineStr">
        <is>
          <t>124.0978</t>
        </is>
      </c>
      <c r="J3925" t="inlineStr">
        <is>
          <t>derived</t>
        </is>
      </c>
      <c r="K3925" t="inlineStr">
        <is>
          <t>https://data.worldbank.org/indicator/NY.GNP.PCAP.PP.CD</t>
        </is>
      </c>
      <c r="L3925" t="inlineStr">
        <is>
          <t>Computed from city_inputs + country_context</t>
        </is>
      </c>
      <c r="M3925" t="inlineStr">
        <is>
          <t>2024-01-01</t>
        </is>
      </c>
      <c r="N3925" t="inlineStr">
        <is>
          <t>derived=country_context.household_debt_proxy; country=Canada</t>
        </is>
      </c>
    </row>
    <row r="3926">
      <c r="A3926" t="inlineStr">
        <is>
          <t>ca-vancouver</t>
        </is>
      </c>
      <c r="B3926" t="inlineStr">
        <is>
          <t>Vancouver</t>
        </is>
      </c>
      <c r="C3926" t="inlineStr">
        <is>
          <t>Canada</t>
        </is>
      </c>
      <c r="D3926" t="inlineStr">
        <is>
          <t>North America</t>
        </is>
      </c>
      <c r="E3926" t="inlineStr">
        <is>
          <t>working_time_pressure_raw</t>
        </is>
      </c>
      <c r="F3926" t="inlineStr">
        <is>
          <t>Working time pressure raw</t>
        </is>
      </c>
      <c r="G3926" t="inlineStr">
        <is>
          <t>pressure</t>
        </is>
      </c>
      <c r="H3926" t="inlineStr">
        <is>
          <t>yes</t>
        </is>
      </c>
      <c r="I3926" t="inlineStr">
        <is>
          <t>34.8</t>
        </is>
      </c>
      <c r="J3926" t="inlineStr">
        <is>
          <t>ilo_ilostat</t>
        </is>
      </c>
      <c r="K3926" t="inlineStr">
        <is>
          <t>https://ilostat.ilo.org/data/indicator/?id=HOW_TEMP_SEX_ECO_NB_A&amp;ref_area=CAN</t>
        </is>
      </c>
      <c r="L3926" t="inlineStr">
        <is>
          <t>ILO ILOSTAT: Mean weekly hours actually worked per employed person</t>
        </is>
      </c>
      <c r="M3926" t="inlineStr">
        <is>
          <t>2025-12-31</t>
        </is>
      </c>
      <c r="N3926" t="inlineStr">
        <is>
          <t>auto_ingest=ilo_working_hours; indicator=HOW_TEMP_SEX_ECO_NB_A; year=2025; hours=34.8; country_proxy=Canada</t>
        </is>
      </c>
    </row>
    <row r="3927">
      <c r="A3927" t="inlineStr">
        <is>
          <t>ca-vancouver</t>
        </is>
      </c>
      <c r="B3927" t="inlineStr">
        <is>
          <t>Vancouver</t>
        </is>
      </c>
      <c r="C3927" t="inlineStr">
        <is>
          <t>Canada</t>
        </is>
      </c>
      <c r="D3927" t="inlineStr">
        <is>
          <t>North America</t>
        </is>
      </c>
      <c r="E3927" t="inlineStr">
        <is>
          <t>suicide_mental_strain_raw</t>
        </is>
      </c>
      <c r="F3927" t="inlineStr">
        <is>
          <t>Suicide or mental strain raw</t>
        </is>
      </c>
      <c r="G3927" t="inlineStr">
        <is>
          <t>pressure</t>
        </is>
      </c>
      <c r="H3927" t="inlineStr">
        <is>
          <t>yes</t>
        </is>
      </c>
      <c r="I3927" t="inlineStr">
        <is>
          <t>9.44</t>
        </is>
      </c>
      <c r="J3927" t="inlineStr">
        <is>
          <t>who_gho</t>
        </is>
      </c>
      <c r="K3927" t="inlineStr">
        <is>
          <t>https://www.who.int/data/gho/data/indicators/indicator-details/GHO/SDGSUICIDE</t>
        </is>
      </c>
      <c r="L3927" t="inlineStr">
        <is>
          <t>WHO GHO: Age-standardized suicide rate (per 100,000 population)</t>
        </is>
      </c>
      <c r="M3927" t="inlineStr">
        <is>
          <t>2021-12-31</t>
        </is>
      </c>
      <c r="N3927" t="inlineStr">
        <is>
          <t>auto_ingest=who_gho; indicator=SDGSUICIDE; year=2021; country_proxy=Canada</t>
        </is>
      </c>
    </row>
    <row r="3928">
      <c r="A3928" t="inlineStr">
        <is>
          <t>ca-vancouver</t>
        </is>
      </c>
      <c r="B3928" t="inlineStr">
        <is>
          <t>Vancouver</t>
        </is>
      </c>
      <c r="C3928" t="inlineStr">
        <is>
          <t>Canada</t>
        </is>
      </c>
      <c r="D3928" t="inlineStr">
        <is>
          <t>North America</t>
        </is>
      </c>
      <c r="E3928" t="inlineStr">
        <is>
          <t>personal_safety_raw</t>
        </is>
      </c>
      <c r="F3928" t="inlineStr">
        <is>
          <t>Personal safety raw</t>
        </is>
      </c>
      <c r="G3928" t="inlineStr">
        <is>
          <t>viability</t>
        </is>
      </c>
      <c r="H3928" t="inlineStr">
        <is>
          <t>yes</t>
        </is>
      </c>
      <c r="I3928" t="inlineStr">
        <is>
          <t>1.98</t>
        </is>
      </c>
      <c r="J3928" t="inlineStr">
        <is>
          <t>world_bank</t>
        </is>
      </c>
      <c r="K3928" t="inlineStr">
        <is>
          <t>https://api.worldbank.org/v2/country/CAN/indicator/VC.IHR.PSRC.P5?format=json&amp;mrv=10</t>
        </is>
      </c>
      <c r="L3928" t="inlineStr">
        <is>
          <t>UNODC via World Bank WDI: Intentional homicides (per 100,000 people)</t>
        </is>
      </c>
      <c r="M3928" t="inlineStr">
        <is>
          <t>2023-12-31</t>
        </is>
      </c>
      <c r="N3928" t="inlineStr">
        <is>
          <t>auto_ingest=unodc_safety; indicator=VC.IHR.PSRC.P5; year=2023; country_proxy=Canada</t>
        </is>
      </c>
    </row>
    <row r="3929">
      <c r="A3929" t="inlineStr">
        <is>
          <t>ca-vancouver</t>
        </is>
      </c>
      <c r="B3929" t="inlineStr">
        <is>
          <t>Vancouver</t>
        </is>
      </c>
      <c r="C3929" t="inlineStr">
        <is>
          <t>Canada</t>
        </is>
      </c>
      <c r="D3929" t="inlineStr">
        <is>
          <t>North America</t>
        </is>
      </c>
      <c r="E3929" t="inlineStr">
        <is>
          <t>transit_access_commute_raw</t>
        </is>
      </c>
      <c r="F3929" t="inlineStr">
        <is>
          <t>Transit access and commute raw</t>
        </is>
      </c>
      <c r="G3929" t="inlineStr">
        <is>
          <t>viability</t>
        </is>
      </c>
      <c r="H3929" t="inlineStr">
        <is>
          <t>yes</t>
        </is>
      </c>
      <c r="I3929" t="inlineStr"/>
      <c r="J3929" t="inlineStr"/>
      <c r="K3929" t="inlineStr"/>
      <c r="L3929" t="inlineStr"/>
      <c r="M3929" t="inlineStr"/>
      <c r="N3929" t="inlineStr"/>
    </row>
    <row r="3930">
      <c r="A3930" t="inlineStr">
        <is>
          <t>ca-vancouver</t>
        </is>
      </c>
      <c r="B3930" t="inlineStr">
        <is>
          <t>Vancouver</t>
        </is>
      </c>
      <c r="C3930" t="inlineStr">
        <is>
          <t>Canada</t>
        </is>
      </c>
      <c r="D3930" t="inlineStr">
        <is>
          <t>North America</t>
        </is>
      </c>
      <c r="E3930" t="inlineStr">
        <is>
          <t>clean_air_raw</t>
        </is>
      </c>
      <c r="F3930" t="inlineStr">
        <is>
          <t>Clean air raw</t>
        </is>
      </c>
      <c r="G3930" t="inlineStr">
        <is>
          <t>viability</t>
        </is>
      </c>
      <c r="H3930" t="inlineStr">
        <is>
          <t>yes</t>
        </is>
      </c>
      <c r="I3930" t="inlineStr"/>
      <c r="J3930" t="inlineStr"/>
      <c r="K3930" t="inlineStr"/>
      <c r="L3930" t="inlineStr"/>
      <c r="M3930" t="inlineStr"/>
      <c r="N3930" t="inlineStr"/>
    </row>
    <row r="3931">
      <c r="A3931" t="inlineStr">
        <is>
          <t>ca-vancouver</t>
        </is>
      </c>
      <c r="B3931" t="inlineStr">
        <is>
          <t>Vancouver</t>
        </is>
      </c>
      <c r="C3931" t="inlineStr">
        <is>
          <t>Canada</t>
        </is>
      </c>
      <c r="D3931" t="inlineStr">
        <is>
          <t>North America</t>
        </is>
      </c>
      <c r="E3931" t="inlineStr">
        <is>
          <t>water_sanitation_utility_raw</t>
        </is>
      </c>
      <c r="F3931" t="inlineStr">
        <is>
          <t>Water, sanitation, and utility raw</t>
        </is>
      </c>
      <c r="G3931" t="inlineStr">
        <is>
          <t>viability</t>
        </is>
      </c>
      <c r="H3931" t="inlineStr">
        <is>
          <t>yes</t>
        </is>
      </c>
      <c r="I3931" t="inlineStr">
        <is>
          <t>96.89</t>
        </is>
      </c>
      <c r="J3931" t="inlineStr">
        <is>
          <t>world_bank</t>
        </is>
      </c>
      <c r="K3931" t="inlineStr">
        <is>
          <t>https://api.worldbank.org/v2/country/CAN/indicator/SH.H2O.SMDW.ZS?format=json&amp;mrv=10</t>
        </is>
      </c>
      <c r="L3931" t="inlineStr">
        <is>
          <t>World Bank WDI: People using safely managed drinking water services (% of population)</t>
        </is>
      </c>
      <c r="M3931" t="inlineStr">
        <is>
          <t>2024-12-31</t>
        </is>
      </c>
      <c r="N3931" t="inlineStr">
        <is>
          <t>auto_ingest=world_bank_proxy; indicator=SH.H2O.SMDW.ZS; year=2024; country_proxy=Canada</t>
        </is>
      </c>
    </row>
    <row r="3932">
      <c r="A3932" t="inlineStr">
        <is>
          <t>ca-vancouver</t>
        </is>
      </c>
      <c r="B3932" t="inlineStr">
        <is>
          <t>Vancouver</t>
        </is>
      </c>
      <c r="C3932" t="inlineStr">
        <is>
          <t>Canada</t>
        </is>
      </c>
      <c r="D3932" t="inlineStr">
        <is>
          <t>North America</t>
        </is>
      </c>
      <c r="E3932" t="inlineStr">
        <is>
          <t>digital_infrastructure_raw</t>
        </is>
      </c>
      <c r="F3932" t="inlineStr">
        <is>
          <t>Digital infrastructure raw</t>
        </is>
      </c>
      <c r="G3932" t="inlineStr">
        <is>
          <t>viability</t>
        </is>
      </c>
      <c r="H3932" t="inlineStr">
        <is>
          <t>yes</t>
        </is>
      </c>
      <c r="I3932" t="inlineStr">
        <is>
          <t>42.52</t>
        </is>
      </c>
      <c r="J3932" t="inlineStr">
        <is>
          <t>world_bank</t>
        </is>
      </c>
      <c r="K3932" t="inlineStr">
        <is>
          <t>https://api.worldbank.org/v2/country/CAN/indicator/IT.NET.BBND.P2?format=json&amp;mrv=10</t>
        </is>
      </c>
      <c r="L3932" t="inlineStr">
        <is>
          <t>World Bank WDI: Fixed broadband subscriptions (per 100 people)</t>
        </is>
      </c>
      <c r="M3932" t="inlineStr">
        <is>
          <t>2023-12-31</t>
        </is>
      </c>
      <c r="N3932" t="inlineStr">
        <is>
          <t>auto_ingest=world_bank_proxy; indicator=IT.NET.BBND.P2; year=2023; country_proxy=Canada</t>
        </is>
      </c>
    </row>
    <row r="3933">
      <c r="A3933" t="inlineStr">
        <is>
          <t>ca-vancouver</t>
        </is>
      </c>
      <c r="B3933" t="inlineStr">
        <is>
          <t>Vancouver</t>
        </is>
      </c>
      <c r="C3933" t="inlineStr">
        <is>
          <t>Canada</t>
        </is>
      </c>
      <c r="D3933" t="inlineStr">
        <is>
          <t>North America</t>
        </is>
      </c>
      <c r="E3933" t="inlineStr">
        <is>
          <t>climate_sunlight_livability_raw</t>
        </is>
      </c>
      <c r="F3933" t="inlineStr">
        <is>
          <t>Climate and sunlight livability raw</t>
        </is>
      </c>
      <c r="G3933" t="inlineStr">
        <is>
          <t>viability</t>
        </is>
      </c>
      <c r="H3933" t="inlineStr">
        <is>
          <t>yes</t>
        </is>
      </c>
      <c r="I3933" t="inlineStr">
        <is>
          <t>48</t>
        </is>
      </c>
      <c r="J3933" t="inlineStr">
        <is>
          <t>wmo_natl_met</t>
        </is>
      </c>
      <c r="K3933" t="inlineStr">
        <is>
          <t>https://worldweather.wmo.int</t>
        </is>
      </c>
      <c r="L3933" t="inlineStr">
        <is>
          <t>WMO/National Met: Climate livability composite</t>
        </is>
      </c>
      <c r="M3933" t="inlineStr">
        <is>
          <t>2024-12-31</t>
        </is>
      </c>
      <c r="N3933" t="inlineStr">
        <is>
          <t>auto_seed=climate_composite; 1900 sun hrs, 11C mean, rain but mild</t>
        </is>
      </c>
    </row>
    <row r="3934">
      <c r="A3934" t="inlineStr">
        <is>
          <t>ca-vancouver</t>
        </is>
      </c>
      <c r="B3934" t="inlineStr">
        <is>
          <t>Vancouver</t>
        </is>
      </c>
      <c r="C3934" t="inlineStr">
        <is>
          <t>Canada</t>
        </is>
      </c>
      <c r="D3934" t="inlineStr">
        <is>
          <t>North America</t>
        </is>
      </c>
      <c r="E3934" t="inlineStr">
        <is>
          <t>healthcare_quality_raw</t>
        </is>
      </c>
      <c r="F3934" t="inlineStr">
        <is>
          <t>Healthcare quality raw</t>
        </is>
      </c>
      <c r="G3934" t="inlineStr">
        <is>
          <t>capability</t>
        </is>
      </c>
      <c r="H3934" t="inlineStr">
        <is>
          <t>yes</t>
        </is>
      </c>
      <c r="I3934" t="inlineStr">
        <is>
          <t>92.0</t>
        </is>
      </c>
      <c r="J3934" t="inlineStr">
        <is>
          <t>who_gho</t>
        </is>
      </c>
      <c r="K3934" t="inlineStr">
        <is>
          <t>https://www.who.int/data/gho/data/indicators/indicator-details/GHO/UHC_INDEX_REPORTED</t>
        </is>
      </c>
      <c r="L3934" t="inlineStr">
        <is>
          <t>WHO GHO: UHC Service Coverage Index</t>
        </is>
      </c>
      <c r="M3934" t="inlineStr">
        <is>
          <t>2023-12-31</t>
        </is>
      </c>
      <c r="N3934" t="inlineStr">
        <is>
          <t>auto_ingest=who_gho; indicator=UHC_INDEX_REPORTED; year=2023; country_proxy=Canada</t>
        </is>
      </c>
    </row>
    <row r="3935">
      <c r="A3935" t="inlineStr">
        <is>
          <t>ca-vancouver</t>
        </is>
      </c>
      <c r="B3935" t="inlineStr">
        <is>
          <t>Vancouver</t>
        </is>
      </c>
      <c r="C3935" t="inlineStr">
        <is>
          <t>Canada</t>
        </is>
      </c>
      <c r="D3935" t="inlineStr">
        <is>
          <t>North America</t>
        </is>
      </c>
      <c r="E3935" t="inlineStr">
        <is>
          <t>education_quality_raw</t>
        </is>
      </c>
      <c r="F3935" t="inlineStr">
        <is>
          <t>Education quality raw</t>
        </is>
      </c>
      <c r="G3935" t="inlineStr">
        <is>
          <t>capability</t>
        </is>
      </c>
      <c r="H3935" t="inlineStr">
        <is>
          <t>yes</t>
        </is>
      </c>
      <c r="I3935" t="inlineStr">
        <is>
          <t>76.26</t>
        </is>
      </c>
      <c r="J3935" t="inlineStr">
        <is>
          <t>world_bank</t>
        </is>
      </c>
      <c r="K3935" t="inlineStr">
        <is>
          <t>https://api.worldbank.org/v2/country/CAN/indicator/SE.TER.ENRR?format=json&amp;mrv=10</t>
        </is>
      </c>
      <c r="L3935" t="inlineStr">
        <is>
          <t>World Bank WDI: School enrollment, tertiary (% gross)</t>
        </is>
      </c>
      <c r="M3935" t="inlineStr">
        <is>
          <t>2023-12-31</t>
        </is>
      </c>
      <c r="N3935" t="inlineStr">
        <is>
          <t>auto_ingest=world_bank_proxy; indicator=SE.TER.ENRR; year=2023; country_proxy=Canada</t>
        </is>
      </c>
    </row>
    <row r="3936">
      <c r="A3936" t="inlineStr">
        <is>
          <t>ca-vancouver</t>
        </is>
      </c>
      <c r="B3936" t="inlineStr">
        <is>
          <t>Vancouver</t>
        </is>
      </c>
      <c r="C3936" t="inlineStr">
        <is>
          <t>Canada</t>
        </is>
      </c>
      <c r="D3936" t="inlineStr">
        <is>
          <t>North America</t>
        </is>
      </c>
      <c r="E3936" t="inlineStr">
        <is>
          <t>equal_opportunity_raw</t>
        </is>
      </c>
      <c r="F3936" t="inlineStr">
        <is>
          <t>Equal opportunity raw</t>
        </is>
      </c>
      <c r="G3936" t="inlineStr">
        <is>
          <t>capability</t>
        </is>
      </c>
      <c r="H3936" t="inlineStr">
        <is>
          <t>yes</t>
        </is>
      </c>
      <c r="I3936" t="inlineStr">
        <is>
          <t>31.1</t>
        </is>
      </c>
      <c r="J3936" t="inlineStr">
        <is>
          <t>world_bank</t>
        </is>
      </c>
      <c r="K3936" t="inlineStr">
        <is>
          <t>https://api.worldbank.org/v2/country/CAN/indicator/SI.POV.GINI?format=json&amp;mrv=10</t>
        </is>
      </c>
      <c r="L3936" t="inlineStr">
        <is>
          <t>World Bank WDI: Gini index</t>
        </is>
      </c>
      <c r="M3936" t="inlineStr">
        <is>
          <t>2021-12-31</t>
        </is>
      </c>
      <c r="N3936" t="inlineStr">
        <is>
          <t>auto_ingest=world_bank_capability; indicator=SI.POV.GINI; year=2021; country_proxy=Canada</t>
        </is>
      </c>
    </row>
    <row r="3937">
      <c r="A3937" t="inlineStr">
        <is>
          <t>ca-vancouver</t>
        </is>
      </c>
      <c r="B3937" t="inlineStr">
        <is>
          <t>Vancouver</t>
        </is>
      </c>
      <c r="C3937" t="inlineStr">
        <is>
          <t>Canada</t>
        </is>
      </c>
      <c r="D3937" t="inlineStr">
        <is>
          <t>North America</t>
        </is>
      </c>
      <c r="E3937" t="inlineStr">
        <is>
          <t>hospitality_belonging_raw</t>
        </is>
      </c>
      <c r="F3937" t="inlineStr">
        <is>
          <t>Hospitality and belonging raw</t>
        </is>
      </c>
      <c r="G3937" t="inlineStr">
        <is>
          <t>community</t>
        </is>
      </c>
      <c r="H3937" t="inlineStr">
        <is>
          <t>yes</t>
        </is>
      </c>
      <c r="I3937" t="inlineStr">
        <is>
          <t>57.9</t>
        </is>
      </c>
      <c r="J3937" t="inlineStr">
        <is>
          <t>world_bank</t>
        </is>
      </c>
      <c r="K3937" t="inlineStr">
        <is>
          <t>https://api.worldbank.org/v2/country/CAN/indicator/SM.POP.NETM?format=json&amp;mrv=10</t>
        </is>
      </c>
      <c r="L3937" t="inlineStr">
        <is>
          <t>World Bank WDI: Net migration (proxy for hospitality/belonging — positive = welcoming)</t>
        </is>
      </c>
      <c r="M3937" t="inlineStr">
        <is>
          <t>2025-12-31</t>
        </is>
      </c>
      <c r="N3937" t="inlineStr">
        <is>
          <t>auto_ingest=world_bank_proxy; proxy=net_migration_hospitality; indicator=SM.POP.NETM; year=2025; country_proxy=Canada</t>
        </is>
      </c>
    </row>
    <row r="3938">
      <c r="A3938" t="inlineStr">
        <is>
          <t>ca-vancouver</t>
        </is>
      </c>
      <c r="B3938" t="inlineStr">
        <is>
          <t>Vancouver</t>
        </is>
      </c>
      <c r="C3938" t="inlineStr">
        <is>
          <t>Canada</t>
        </is>
      </c>
      <c r="D3938" t="inlineStr">
        <is>
          <t>North America</t>
        </is>
      </c>
      <c r="E3938" t="inlineStr">
        <is>
          <t>tolerance_pluralism_raw</t>
        </is>
      </c>
      <c r="F3938" t="inlineStr">
        <is>
          <t>Tolerance and pluralism raw</t>
        </is>
      </c>
      <c r="G3938" t="inlineStr">
        <is>
          <t>community</t>
        </is>
      </c>
      <c r="H3938" t="inlineStr">
        <is>
          <t>yes</t>
        </is>
      </c>
      <c r="I3938" t="inlineStr">
        <is>
          <t>30.65</t>
        </is>
      </c>
      <c r="J3938" t="inlineStr">
        <is>
          <t>world_bank</t>
        </is>
      </c>
      <c r="K3938" t="inlineStr">
        <is>
          <t>https://api.worldbank.org/v2/country/CAN/indicator/SG.GEN.PARL.ZS?format=json&amp;mrv=10</t>
        </is>
      </c>
      <c r="L3938" t="inlineStr">
        <is>
          <t>World Bank WDI: Proportion of seats held by women in national parliaments (%)</t>
        </is>
      </c>
      <c r="M3938" t="inlineStr">
        <is>
          <t>2024-12-31</t>
        </is>
      </c>
      <c r="N3938" t="inlineStr">
        <is>
          <t>auto_ingest=world_bank_proxy; proxy=gender_parity_parliament; indicator=SG.GEN.PARL.ZS; year=2024; country_proxy=Canada</t>
        </is>
      </c>
    </row>
    <row r="3939">
      <c r="A3939" t="inlineStr">
        <is>
          <t>ca-vancouver</t>
        </is>
      </c>
      <c r="B3939" t="inlineStr">
        <is>
          <t>Vancouver</t>
        </is>
      </c>
      <c r="C3939" t="inlineStr">
        <is>
          <t>Canada</t>
        </is>
      </c>
      <c r="D3939" t="inlineStr">
        <is>
          <t>North America</t>
        </is>
      </c>
      <c r="E3939" t="inlineStr">
        <is>
          <t>cultural_public_life_raw</t>
        </is>
      </c>
      <c r="F3939" t="inlineStr">
        <is>
          <t>Cultural public life raw</t>
        </is>
      </c>
      <c r="G3939" t="inlineStr">
        <is>
          <t>community</t>
        </is>
      </c>
      <c r="H3939" t="inlineStr">
        <is>
          <t>yes</t>
        </is>
      </c>
      <c r="I3939" t="inlineStr">
        <is>
          <t>785.45</t>
        </is>
      </c>
      <c r="J3939" t="inlineStr">
        <is>
          <t>world_bank</t>
        </is>
      </c>
      <c r="K3939" t="inlineStr">
        <is>
          <t>https://api.worldbank.org/v2/country/CAN/indicator/ST.INT.ARVL?format=json&amp;mrv=10</t>
        </is>
      </c>
      <c r="L3939" t="inlineStr">
        <is>
          <t>World Bank WDI: International tourism arrivals per 1 000 population</t>
        </is>
      </c>
      <c r="M3939" t="inlineStr">
        <is>
          <t>2019-12-31</t>
        </is>
      </c>
      <c r="N3939" t="inlineStr">
        <is>
          <t>auto_ingest=cultural_life_proxy; indicator=ST.INT.ARVL; norm=per_1000_pop; year=2019; country_proxy=Canada</t>
        </is>
      </c>
    </row>
    <row r="3940">
      <c r="A3940" t="inlineStr">
        <is>
          <t>ca-vancouver</t>
        </is>
      </c>
      <c r="B3940" t="inlineStr">
        <is>
          <t>Vancouver</t>
        </is>
      </c>
      <c r="C3940" t="inlineStr">
        <is>
          <t>Canada</t>
        </is>
      </c>
      <c r="D3940" t="inlineStr">
        <is>
          <t>North America</t>
        </is>
      </c>
      <c r="E3940" t="inlineStr">
        <is>
          <t>birth_rate_optimism_raw</t>
        </is>
      </c>
      <c r="F3940" t="inlineStr">
        <is>
          <t>Birth rate and societal optimism raw</t>
        </is>
      </c>
      <c r="G3940" t="inlineStr">
        <is>
          <t>community</t>
        </is>
      </c>
      <c r="H3940" t="inlineStr">
        <is>
          <t>yes</t>
        </is>
      </c>
      <c r="I3940" t="inlineStr">
        <is>
          <t>1.26</t>
        </is>
      </c>
      <c r="J3940" t="inlineStr">
        <is>
          <t>world_bank</t>
        </is>
      </c>
      <c r="K3940" t="inlineStr">
        <is>
          <t>https://data.worldbank.org/indicator/SP.DYN.TFRT.IN</t>
        </is>
      </c>
      <c r="L3940" t="inlineStr">
        <is>
          <t>World Bank Total Fertility Rate 2023</t>
        </is>
      </c>
      <c r="M3940" t="inlineStr">
        <is>
          <t>2024-01-01</t>
        </is>
      </c>
      <c r="N3940" t="inlineStr"/>
    </row>
    <row r="3941">
      <c r="A3941" t="inlineStr">
        <is>
          <t>ca-vancouver</t>
        </is>
      </c>
      <c r="B3941" t="inlineStr">
        <is>
          <t>Vancouver</t>
        </is>
      </c>
      <c r="C3941" t="inlineStr">
        <is>
          <t>Canada</t>
        </is>
      </c>
      <c r="D3941" t="inlineStr">
        <is>
          <t>North America</t>
        </is>
      </c>
      <c r="E3941" t="inlineStr">
        <is>
          <t>entrepreneurial_dynamism_raw</t>
        </is>
      </c>
      <c r="F3941" t="inlineStr">
        <is>
          <t>Entrepreneurial dynamism raw</t>
        </is>
      </c>
      <c r="G3941" t="inlineStr">
        <is>
          <t>creative</t>
        </is>
      </c>
      <c r="H3941" t="inlineStr">
        <is>
          <t>yes</t>
        </is>
      </c>
      <c r="I3941" t="inlineStr">
        <is>
          <t>9.83</t>
        </is>
      </c>
      <c r="J3941" t="inlineStr">
        <is>
          <t>world_bank</t>
        </is>
      </c>
      <c r="K3941" t="inlineStr">
        <is>
          <t>https://api.worldbank.org/v2/country/CAN/indicator/IC.BUS.NDNS.ZS?format=json&amp;mrv=10</t>
        </is>
      </c>
      <c r="L3941" t="inlineStr">
        <is>
          <t>World Bank WDI: New business density (new registrations per 1,000 people ages 15-64)</t>
        </is>
      </c>
      <c r="M3941" t="inlineStr">
        <is>
          <t>2022-12-31</t>
        </is>
      </c>
      <c r="N3941" t="inlineStr">
        <is>
          <t>auto_ingest=world_bank_creative_extended; indicator=IC.BUS.NDNS.ZS; year=2022; country_proxy=Canada</t>
        </is>
      </c>
    </row>
    <row r="3942">
      <c r="A3942" t="inlineStr">
        <is>
          <t>ca-vancouver</t>
        </is>
      </c>
      <c r="B3942" t="inlineStr">
        <is>
          <t>Vancouver</t>
        </is>
      </c>
      <c r="C3942" t="inlineStr">
        <is>
          <t>Canada</t>
        </is>
      </c>
      <c r="D3942" t="inlineStr">
        <is>
          <t>North America</t>
        </is>
      </c>
      <c r="E3942" t="inlineStr">
        <is>
          <t>innovation_research_intensity_raw</t>
        </is>
      </c>
      <c r="F3942" t="inlineStr">
        <is>
          <t>Innovation and research raw</t>
        </is>
      </c>
      <c r="G3942" t="inlineStr">
        <is>
          <t>creative</t>
        </is>
      </c>
      <c r="H3942" t="inlineStr">
        <is>
          <t>yes</t>
        </is>
      </c>
      <c r="I3942" t="inlineStr">
        <is>
          <t>1.7</t>
        </is>
      </c>
      <c r="J3942" t="inlineStr">
        <is>
          <t>world_bank</t>
        </is>
      </c>
      <c r="K3942" t="inlineStr">
        <is>
          <t>https://api.worldbank.org/v2/country/CAN/indicator/GB.XPD.RSDV.GD.ZS?format=json&amp;mrv=10</t>
        </is>
      </c>
      <c r="L3942" t="inlineStr">
        <is>
          <t>World Bank WDI: Research and development expenditure (% of GDP)</t>
        </is>
      </c>
      <c r="M3942" t="inlineStr">
        <is>
          <t>2023-12-31</t>
        </is>
      </c>
      <c r="N3942" t="inlineStr">
        <is>
          <t>auto_ingest=world_bank_creative_extended; indicator=GB.XPD.RSDV.GD.ZS; year=2023; country_proxy=Canada</t>
        </is>
      </c>
    </row>
    <row r="3943">
      <c r="A3943" t="inlineStr">
        <is>
          <t>ca-vancouver</t>
        </is>
      </c>
      <c r="B3943" t="inlineStr">
        <is>
          <t>Vancouver</t>
        </is>
      </c>
      <c r="C3943" t="inlineStr">
        <is>
          <t>Canada</t>
        </is>
      </c>
      <c r="D3943" t="inlineStr">
        <is>
          <t>North America</t>
        </is>
      </c>
      <c r="E3943" t="inlineStr">
        <is>
          <t>investment_signal_raw</t>
        </is>
      </c>
      <c r="F3943" t="inlineStr">
        <is>
          <t>Investment signal raw</t>
        </is>
      </c>
      <c r="G3943" t="inlineStr">
        <is>
          <t>creative</t>
        </is>
      </c>
      <c r="H3943" t="inlineStr">
        <is>
          <t>yes</t>
        </is>
      </c>
      <c r="I3943" t="inlineStr">
        <is>
          <t>2.81</t>
        </is>
      </c>
      <c r="J3943" t="inlineStr">
        <is>
          <t>world_bank</t>
        </is>
      </c>
      <c r="K3943" t="inlineStr">
        <is>
          <t>https://api.worldbank.org/v2/country/CAN/indicator/BX.KLT.DINV.WD.GD.ZS?format=json&amp;mrv=10</t>
        </is>
      </c>
      <c r="L3943" t="inlineStr">
        <is>
          <t>World Bank WDI: Foreign direct investment, net inflows (% of GDP)</t>
        </is>
      </c>
      <c r="M3943" t="inlineStr">
        <is>
          <t>2024-12-31</t>
        </is>
      </c>
      <c r="N3943" t="inlineStr">
        <is>
          <t>auto_ingest=world_bank_creative_extended; indicator=BX.KLT.DINV.WD.GD.ZS; year=2024; country_proxy=Canada</t>
        </is>
      </c>
    </row>
    <row r="3944">
      <c r="A3944" t="inlineStr">
        <is>
          <t>ca-vancouver</t>
        </is>
      </c>
      <c r="B3944" t="inlineStr">
        <is>
          <t>Vancouver</t>
        </is>
      </c>
      <c r="C3944" t="inlineStr">
        <is>
          <t>Canada</t>
        </is>
      </c>
      <c r="D3944" t="inlineStr">
        <is>
          <t>North America</t>
        </is>
      </c>
      <c r="E3944" t="inlineStr">
        <is>
          <t>administrative_investment_friction_raw</t>
        </is>
      </c>
      <c r="F3944" t="inlineStr">
        <is>
          <t>Administrative investment friction raw</t>
        </is>
      </c>
      <c r="G3944" t="inlineStr">
        <is>
          <t>creative</t>
        </is>
      </c>
      <c r="H3944" t="inlineStr">
        <is>
          <t>yes</t>
        </is>
      </c>
      <c r="I3944" t="inlineStr">
        <is>
          <t>0.86</t>
        </is>
      </c>
      <c r="J3944" t="inlineStr">
        <is>
          <t>world_bank</t>
        </is>
      </c>
      <c r="K3944" t="inlineStr">
        <is>
          <t>https://api.worldbank.org/v2/country/CAN/indicator/RQ.EST?format=json&amp;mrv=10</t>
        </is>
      </c>
      <c r="L3944" t="inlineStr">
        <is>
          <t>World Bank WGI: Regulatory Quality (inverted as friction proxy)</t>
        </is>
      </c>
      <c r="M3944" t="inlineStr">
        <is>
          <t>2023-12-31</t>
        </is>
      </c>
      <c r="N3944" t="inlineStr">
        <is>
          <t>auto_ingest=world_bank_business_friction; indicator=RQ.EST; raw_rq=1.64471042156219; friction=0.86; year=2023; country_proxy=Canada</t>
        </is>
      </c>
    </row>
    <row r="3945">
      <c r="A3945" t="inlineStr">
        <is>
          <t>ca-vancouver</t>
        </is>
      </c>
      <c r="B3945" t="inlineStr">
        <is>
          <t>Vancouver</t>
        </is>
      </c>
      <c r="C3945" t="inlineStr">
        <is>
          <t>Canada</t>
        </is>
      </c>
      <c r="D3945" t="inlineStr">
        <is>
          <t>North America</t>
        </is>
      </c>
      <c r="E3945" t="inlineStr">
        <is>
          <t>visitor_flow_context_raw</t>
        </is>
      </c>
      <c r="F3945" t="inlineStr">
        <is>
          <t>Visitor flow context raw</t>
        </is>
      </c>
      <c r="G3945" t="inlineStr">
        <is>
          <t>creative</t>
        </is>
      </c>
      <c r="H3945" t="inlineStr">
        <is>
          <t>no</t>
        </is>
      </c>
      <c r="I3945" t="inlineStr"/>
      <c r="J3945" t="inlineStr"/>
      <c r="K3945" t="inlineStr"/>
      <c r="L3945" t="inlineStr"/>
      <c r="M3945" t="inlineStr"/>
      <c r="N3945" t="inlineStr"/>
    </row>
    <row r="3946">
      <c r="A3946" t="inlineStr">
        <is>
          <t>ca-ottawa</t>
        </is>
      </c>
      <c r="B3946" t="inlineStr">
        <is>
          <t>Ottawa</t>
        </is>
      </c>
      <c r="C3946" t="inlineStr">
        <is>
          <t>Canada</t>
        </is>
      </c>
      <c r="D3946" t="inlineStr">
        <is>
          <t>North America</t>
        </is>
      </c>
      <c r="E3946" t="inlineStr">
        <is>
          <t>gross_income</t>
        </is>
      </c>
      <c r="F3946" t="inlineStr">
        <is>
          <t>Gross income</t>
        </is>
      </c>
      <c r="G3946" t="inlineStr">
        <is>
          <t>pressure</t>
        </is>
      </c>
      <c r="H3946" t="inlineStr">
        <is>
          <t>yes</t>
        </is>
      </c>
      <c r="I3946" t="inlineStr">
        <is>
          <t>5302.5</t>
        </is>
      </c>
      <c r="J3946" t="inlineStr">
        <is>
          <t>world_bank_col_estimate</t>
        </is>
      </c>
      <c r="K3946" t="inlineStr">
        <is>
          <t>https://api.worldbank.org/v2/country/CAN/indicator/NY.GNP.PCAP.PP.CD?format=json&amp;mrv=10</t>
        </is>
      </c>
      <c r="L3946" t="inlineStr">
        <is>
          <t>World Bank WDI: GNI per capita PPP (monthly USD)</t>
        </is>
      </c>
      <c r="M3946" t="inlineStr">
        <is>
          <t>2024-12-31</t>
        </is>
      </c>
      <c r="N3946" t="inlineStr">
        <is>
          <t>auto_ingest=world_bank_col_estimate; gni_annual=63630.0; year=2024; country_proxy=Canada; cohort=North America</t>
        </is>
      </c>
    </row>
    <row r="3947">
      <c r="A3947" t="inlineStr">
        <is>
          <t>ca-ottawa</t>
        </is>
      </c>
      <c r="B3947" t="inlineStr">
        <is>
          <t>Ottawa</t>
        </is>
      </c>
      <c r="C3947" t="inlineStr">
        <is>
          <t>Canada</t>
        </is>
      </c>
      <c r="D3947" t="inlineStr">
        <is>
          <t>North America</t>
        </is>
      </c>
      <c r="E3947" t="inlineStr">
        <is>
          <t>di_ppp_raw</t>
        </is>
      </c>
      <c r="F3947" t="inlineStr">
        <is>
          <t>Disposable income PPP (Raw)</t>
        </is>
      </c>
      <c r="G3947" t="inlineStr">
        <is>
          <t>pressure</t>
        </is>
      </c>
      <c r="H3947" t="inlineStr">
        <is>
          <t>yes</t>
        </is>
      </c>
      <c r="I3947" t="inlineStr"/>
      <c r="J3947" t="inlineStr"/>
      <c r="K3947" t="inlineStr"/>
      <c r="L3947" t="inlineStr"/>
      <c r="M3947" t="inlineStr"/>
      <c r="N3947" t="inlineStr"/>
    </row>
    <row r="3948">
      <c r="A3948" t="inlineStr">
        <is>
          <t>ca-ottawa</t>
        </is>
      </c>
      <c r="B3948" t="inlineStr">
        <is>
          <t>Ottawa</t>
        </is>
      </c>
      <c r="C3948" t="inlineStr">
        <is>
          <t>Canada</t>
        </is>
      </c>
      <c r="D3948" t="inlineStr">
        <is>
          <t>North America</t>
        </is>
      </c>
      <c r="E3948" t="inlineStr">
        <is>
          <t>rent</t>
        </is>
      </c>
      <c r="F3948" t="inlineStr">
        <is>
          <t>Rent</t>
        </is>
      </c>
      <c r="G3948" t="inlineStr">
        <is>
          <t>pressure</t>
        </is>
      </c>
      <c r="H3948" t="inlineStr">
        <is>
          <t>yes</t>
        </is>
      </c>
      <c r="I3948" t="inlineStr">
        <is>
          <t>1763.08</t>
        </is>
      </c>
      <c r="J3948" t="inlineStr">
        <is>
          <t>world_bank_col_estimate</t>
        </is>
      </c>
      <c r="K3948" t="inlineStr">
        <is>
          <t>https://api.worldbank.org/v2/country/CAN/indicator/NY.GNP.PCAP.PP.CD?format=json&amp;mrv=10</t>
        </is>
      </c>
      <c r="L3948" t="inlineStr">
        <is>
          <t>World Bank GNI + regional expenditure ratio estimate</t>
        </is>
      </c>
      <c r="M3948" t="inlineStr">
        <is>
          <t>2024-12-31</t>
        </is>
      </c>
      <c r="N3948" t="inlineStr">
        <is>
          <t>auto_ingest=world_bank_col_estimate; gni_annual=63630.0; year=2024; country_proxy=Canada; cohort=North America; city_cost_mult=0.95</t>
        </is>
      </c>
    </row>
    <row r="3949">
      <c r="A3949" t="inlineStr">
        <is>
          <t>ca-ottawa</t>
        </is>
      </c>
      <c r="B3949" t="inlineStr">
        <is>
          <t>Ottawa</t>
        </is>
      </c>
      <c r="C3949" t="inlineStr">
        <is>
          <t>Canada</t>
        </is>
      </c>
      <c r="D3949" t="inlineStr">
        <is>
          <t>North America</t>
        </is>
      </c>
      <c r="E3949" t="inlineStr">
        <is>
          <t>utilities</t>
        </is>
      </c>
      <c r="F3949" t="inlineStr">
        <is>
          <t>Utilities</t>
        </is>
      </c>
      <c r="G3949" t="inlineStr">
        <is>
          <t>pressure</t>
        </is>
      </c>
      <c r="H3949" t="inlineStr">
        <is>
          <t>yes</t>
        </is>
      </c>
      <c r="I3949" t="inlineStr">
        <is>
          <t>352.62</t>
        </is>
      </c>
      <c r="J3949" t="inlineStr">
        <is>
          <t>world_bank_col_estimate</t>
        </is>
      </c>
      <c r="K3949" t="inlineStr">
        <is>
          <t>https://api.worldbank.org/v2/country/CAN/indicator/NY.GNP.PCAP.PP.CD?format=json&amp;mrv=10</t>
        </is>
      </c>
      <c r="L3949" t="inlineStr">
        <is>
          <t>World Bank GNI + regional expenditure ratio estimate</t>
        </is>
      </c>
      <c r="M3949" t="inlineStr">
        <is>
          <t>2024-12-31</t>
        </is>
      </c>
      <c r="N3949" t="inlineStr">
        <is>
          <t>auto_ingest=world_bank_col_estimate; gni_annual=63630.0; year=2024; country_proxy=Canada; cohort=North America; city_cost_mult=0.95</t>
        </is>
      </c>
    </row>
    <row r="3950">
      <c r="A3950" t="inlineStr">
        <is>
          <t>ca-ottawa</t>
        </is>
      </c>
      <c r="B3950" t="inlineStr">
        <is>
          <t>Ottawa</t>
        </is>
      </c>
      <c r="C3950" t="inlineStr">
        <is>
          <t>Canada</t>
        </is>
      </c>
      <c r="D3950" t="inlineStr">
        <is>
          <t>North America</t>
        </is>
      </c>
      <c r="E3950" t="inlineStr">
        <is>
          <t>transit_cost</t>
        </is>
      </c>
      <c r="F3950" t="inlineStr">
        <is>
          <t>Transit cost</t>
        </is>
      </c>
      <c r="G3950" t="inlineStr">
        <is>
          <t>pressure</t>
        </is>
      </c>
      <c r="H3950" t="inlineStr">
        <is>
          <t>yes</t>
        </is>
      </c>
      <c r="I3950" t="inlineStr">
        <is>
          <t>251.87</t>
        </is>
      </c>
      <c r="J3950" t="inlineStr">
        <is>
          <t>world_bank_col_estimate</t>
        </is>
      </c>
      <c r="K3950" t="inlineStr">
        <is>
          <t>https://api.worldbank.org/v2/country/CAN/indicator/NY.GNP.PCAP.PP.CD?format=json&amp;mrv=10</t>
        </is>
      </c>
      <c r="L3950" t="inlineStr">
        <is>
          <t>World Bank GNI + regional expenditure ratio estimate</t>
        </is>
      </c>
      <c r="M3950" t="inlineStr">
        <is>
          <t>2024-12-31</t>
        </is>
      </c>
      <c r="N3950" t="inlineStr">
        <is>
          <t>auto_ingest=world_bank_col_estimate; gni_annual=63630.0; year=2024; country_proxy=Canada; cohort=North America; city_cost_mult=0.95</t>
        </is>
      </c>
    </row>
    <row r="3951">
      <c r="A3951" t="inlineStr">
        <is>
          <t>ca-ottawa</t>
        </is>
      </c>
      <c r="B3951" t="inlineStr">
        <is>
          <t>Ottawa</t>
        </is>
      </c>
      <c r="C3951" t="inlineStr">
        <is>
          <t>Canada</t>
        </is>
      </c>
      <c r="D3951" t="inlineStr">
        <is>
          <t>North America</t>
        </is>
      </c>
      <c r="E3951" t="inlineStr">
        <is>
          <t>internet_cost</t>
        </is>
      </c>
      <c r="F3951" t="inlineStr">
        <is>
          <t>Internet cost</t>
        </is>
      </c>
      <c r="G3951" t="inlineStr">
        <is>
          <t>pressure</t>
        </is>
      </c>
      <c r="H3951" t="inlineStr">
        <is>
          <t>yes</t>
        </is>
      </c>
      <c r="I3951" t="inlineStr">
        <is>
          <t>100.75</t>
        </is>
      </c>
      <c r="J3951" t="inlineStr">
        <is>
          <t>world_bank_col_estimate</t>
        </is>
      </c>
      <c r="K3951" t="inlineStr">
        <is>
          <t>https://api.worldbank.org/v2/country/CAN/indicator/NY.GNP.PCAP.PP.CD?format=json&amp;mrv=10</t>
        </is>
      </c>
      <c r="L3951" t="inlineStr">
        <is>
          <t>World Bank GNI + regional expenditure ratio estimate</t>
        </is>
      </c>
      <c r="M3951" t="inlineStr">
        <is>
          <t>2024-12-31</t>
        </is>
      </c>
      <c r="N3951" t="inlineStr">
        <is>
          <t>auto_ingest=world_bank_col_estimate; gni_annual=63630.0; year=2024; country_proxy=Canada; cohort=North America; city_cost_mult=0.95</t>
        </is>
      </c>
    </row>
    <row r="3952">
      <c r="A3952" t="inlineStr">
        <is>
          <t>ca-ottawa</t>
        </is>
      </c>
      <c r="B3952" t="inlineStr">
        <is>
          <t>Ottawa</t>
        </is>
      </c>
      <c r="C3952" t="inlineStr">
        <is>
          <t>Canada</t>
        </is>
      </c>
      <c r="D3952" t="inlineStr">
        <is>
          <t>North America</t>
        </is>
      </c>
      <c r="E3952" t="inlineStr">
        <is>
          <t>food_cost</t>
        </is>
      </c>
      <c r="F3952" t="inlineStr">
        <is>
          <t>Food cost</t>
        </is>
      </c>
      <c r="G3952" t="inlineStr">
        <is>
          <t>pressure</t>
        </is>
      </c>
      <c r="H3952" t="inlineStr">
        <is>
          <t>yes</t>
        </is>
      </c>
      <c r="I3952" t="inlineStr">
        <is>
          <t>755.61</t>
        </is>
      </c>
      <c r="J3952" t="inlineStr">
        <is>
          <t>world_bank_col_estimate</t>
        </is>
      </c>
      <c r="K3952" t="inlineStr">
        <is>
          <t>https://api.worldbank.org/v2/country/CAN/indicator/NY.GNP.PCAP.PP.CD?format=json&amp;mrv=10</t>
        </is>
      </c>
      <c r="L3952" t="inlineStr">
        <is>
          <t>World Bank GNI + regional expenditure ratio estimate</t>
        </is>
      </c>
      <c r="M3952" t="inlineStr">
        <is>
          <t>2024-12-31</t>
        </is>
      </c>
      <c r="N3952" t="inlineStr">
        <is>
          <t>auto_ingest=world_bank_col_estimate; gni_annual=63630.0; year=2024; country_proxy=Canada; cohort=North America; city_cost_mult=0.95</t>
        </is>
      </c>
    </row>
    <row r="3953">
      <c r="A3953" t="inlineStr">
        <is>
          <t>ca-ottawa</t>
        </is>
      </c>
      <c r="B3953" t="inlineStr">
        <is>
          <t>Ottawa</t>
        </is>
      </c>
      <c r="C3953" t="inlineStr">
        <is>
          <t>Canada</t>
        </is>
      </c>
      <c r="D3953" t="inlineStr">
        <is>
          <t>North America</t>
        </is>
      </c>
      <c r="E3953" t="inlineStr">
        <is>
          <t>housing_burden_raw</t>
        </is>
      </c>
      <c r="F3953" t="inlineStr">
        <is>
          <t>Housing burden raw</t>
        </is>
      </c>
      <c r="G3953" t="inlineStr">
        <is>
          <t>pressure</t>
        </is>
      </c>
      <c r="H3953" t="inlineStr">
        <is>
          <t>yes</t>
        </is>
      </c>
      <c r="I3953" t="inlineStr">
        <is>
          <t>33.25</t>
        </is>
      </c>
      <c r="J3953" t="inlineStr">
        <is>
          <t>derived</t>
        </is>
      </c>
      <c r="K3953" t="inlineStr">
        <is>
          <t>https://data.worldbank.org/indicator/NY.GNP.PCAP.PP.CD</t>
        </is>
      </c>
      <c r="L3953" t="inlineStr">
        <is>
          <t>Computed from city_inputs + country_context</t>
        </is>
      </c>
      <c r="M3953" t="inlineStr">
        <is>
          <t>2024-01-01</t>
        </is>
      </c>
      <c r="N3953" t="inlineStr">
        <is>
          <t>derived=rent/gross_income*100</t>
        </is>
      </c>
    </row>
    <row r="3954">
      <c r="A3954" t="inlineStr">
        <is>
          <t>ca-ottawa</t>
        </is>
      </c>
      <c r="B3954" t="inlineStr">
        <is>
          <t>Ottawa</t>
        </is>
      </c>
      <c r="C3954" t="inlineStr">
        <is>
          <t>Canada</t>
        </is>
      </c>
      <c r="D3954" t="inlineStr">
        <is>
          <t>North America</t>
        </is>
      </c>
      <c r="E3954" t="inlineStr">
        <is>
          <t>household_debt_burden_raw</t>
        </is>
      </c>
      <c r="F3954" t="inlineStr">
        <is>
          <t>Household debt burden raw</t>
        </is>
      </c>
      <c r="G3954" t="inlineStr">
        <is>
          <t>pressure</t>
        </is>
      </c>
      <c r="H3954" t="inlineStr">
        <is>
          <t>yes</t>
        </is>
      </c>
      <c r="I3954" t="inlineStr">
        <is>
          <t>124.0978</t>
        </is>
      </c>
      <c r="J3954" t="inlineStr">
        <is>
          <t>derived</t>
        </is>
      </c>
      <c r="K3954" t="inlineStr">
        <is>
          <t>https://data.worldbank.org/indicator/NY.GNP.PCAP.PP.CD</t>
        </is>
      </c>
      <c r="L3954" t="inlineStr">
        <is>
          <t>Computed from city_inputs + country_context</t>
        </is>
      </c>
      <c r="M3954" t="inlineStr">
        <is>
          <t>2024-01-01</t>
        </is>
      </c>
      <c r="N3954" t="inlineStr">
        <is>
          <t>derived=country_context.household_debt_proxy; country=Canada</t>
        </is>
      </c>
    </row>
    <row r="3955">
      <c r="A3955" t="inlineStr">
        <is>
          <t>ca-ottawa</t>
        </is>
      </c>
      <c r="B3955" t="inlineStr">
        <is>
          <t>Ottawa</t>
        </is>
      </c>
      <c r="C3955" t="inlineStr">
        <is>
          <t>Canada</t>
        </is>
      </c>
      <c r="D3955" t="inlineStr">
        <is>
          <t>North America</t>
        </is>
      </c>
      <c r="E3955" t="inlineStr">
        <is>
          <t>working_time_pressure_raw</t>
        </is>
      </c>
      <c r="F3955" t="inlineStr">
        <is>
          <t>Working time pressure raw</t>
        </is>
      </c>
      <c r="G3955" t="inlineStr">
        <is>
          <t>pressure</t>
        </is>
      </c>
      <c r="H3955" t="inlineStr">
        <is>
          <t>yes</t>
        </is>
      </c>
      <c r="I3955" t="inlineStr">
        <is>
          <t>34.8</t>
        </is>
      </c>
      <c r="J3955" t="inlineStr">
        <is>
          <t>ilo_ilostat</t>
        </is>
      </c>
      <c r="K3955" t="inlineStr">
        <is>
          <t>https://ilostat.ilo.org/data/indicator/?id=HOW_TEMP_SEX_ECO_NB_A&amp;ref_area=CAN</t>
        </is>
      </c>
      <c r="L3955" t="inlineStr">
        <is>
          <t>ILO ILOSTAT: Mean weekly hours actually worked per employed person</t>
        </is>
      </c>
      <c r="M3955" t="inlineStr">
        <is>
          <t>2025-12-31</t>
        </is>
      </c>
      <c r="N3955" t="inlineStr">
        <is>
          <t>auto_ingest=ilo_working_hours; indicator=HOW_TEMP_SEX_ECO_NB_A; year=2025; hours=34.8; country_proxy=Canada</t>
        </is>
      </c>
    </row>
    <row r="3956">
      <c r="A3956" t="inlineStr">
        <is>
          <t>ca-ottawa</t>
        </is>
      </c>
      <c r="B3956" t="inlineStr">
        <is>
          <t>Ottawa</t>
        </is>
      </c>
      <c r="C3956" t="inlineStr">
        <is>
          <t>Canada</t>
        </is>
      </c>
      <c r="D3956" t="inlineStr">
        <is>
          <t>North America</t>
        </is>
      </c>
      <c r="E3956" t="inlineStr">
        <is>
          <t>suicide_mental_strain_raw</t>
        </is>
      </c>
      <c r="F3956" t="inlineStr">
        <is>
          <t>Suicide or mental strain raw</t>
        </is>
      </c>
      <c r="G3956" t="inlineStr">
        <is>
          <t>pressure</t>
        </is>
      </c>
      <c r="H3956" t="inlineStr">
        <is>
          <t>yes</t>
        </is>
      </c>
      <c r="I3956" t="inlineStr">
        <is>
          <t>9.44</t>
        </is>
      </c>
      <c r="J3956" t="inlineStr">
        <is>
          <t>who_gho</t>
        </is>
      </c>
      <c r="K3956" t="inlineStr">
        <is>
          <t>https://www.who.int/data/gho/data/indicators/indicator-details/GHO/SDGSUICIDE</t>
        </is>
      </c>
      <c r="L3956" t="inlineStr">
        <is>
          <t>WHO GHO: Age-standardized suicide rate (per 100,000 population)</t>
        </is>
      </c>
      <c r="M3956" t="inlineStr">
        <is>
          <t>2021-12-31</t>
        </is>
      </c>
      <c r="N3956" t="inlineStr">
        <is>
          <t>auto_ingest=who_gho; indicator=SDGSUICIDE; year=2021; country_proxy=Canada</t>
        </is>
      </c>
    </row>
    <row r="3957">
      <c r="A3957" t="inlineStr">
        <is>
          <t>ca-ottawa</t>
        </is>
      </c>
      <c r="B3957" t="inlineStr">
        <is>
          <t>Ottawa</t>
        </is>
      </c>
      <c r="C3957" t="inlineStr">
        <is>
          <t>Canada</t>
        </is>
      </c>
      <c r="D3957" t="inlineStr">
        <is>
          <t>North America</t>
        </is>
      </c>
      <c r="E3957" t="inlineStr">
        <is>
          <t>personal_safety_raw</t>
        </is>
      </c>
      <c r="F3957" t="inlineStr">
        <is>
          <t>Personal safety raw</t>
        </is>
      </c>
      <c r="G3957" t="inlineStr">
        <is>
          <t>viability</t>
        </is>
      </c>
      <c r="H3957" t="inlineStr">
        <is>
          <t>yes</t>
        </is>
      </c>
      <c r="I3957" t="inlineStr">
        <is>
          <t>1.98</t>
        </is>
      </c>
      <c r="J3957" t="inlineStr">
        <is>
          <t>world_bank</t>
        </is>
      </c>
      <c r="K3957" t="inlineStr">
        <is>
          <t>https://api.worldbank.org/v2/country/CAN/indicator/VC.IHR.PSRC.P5?format=json&amp;mrv=10</t>
        </is>
      </c>
      <c r="L3957" t="inlineStr">
        <is>
          <t>UNODC via World Bank WDI: Intentional homicides (per 100,000 people)</t>
        </is>
      </c>
      <c r="M3957" t="inlineStr">
        <is>
          <t>2023-12-31</t>
        </is>
      </c>
      <c r="N3957" t="inlineStr">
        <is>
          <t>auto_ingest=unodc_safety; indicator=VC.IHR.PSRC.P5; year=2023; country_proxy=Canada</t>
        </is>
      </c>
    </row>
    <row r="3958">
      <c r="A3958" t="inlineStr">
        <is>
          <t>ca-ottawa</t>
        </is>
      </c>
      <c r="B3958" t="inlineStr">
        <is>
          <t>Ottawa</t>
        </is>
      </c>
      <c r="C3958" t="inlineStr">
        <is>
          <t>Canada</t>
        </is>
      </c>
      <c r="D3958" t="inlineStr">
        <is>
          <t>North America</t>
        </is>
      </c>
      <c r="E3958" t="inlineStr">
        <is>
          <t>transit_access_commute_raw</t>
        </is>
      </c>
      <c r="F3958" t="inlineStr">
        <is>
          <t>Transit access and commute raw</t>
        </is>
      </c>
      <c r="G3958" t="inlineStr">
        <is>
          <t>viability</t>
        </is>
      </c>
      <c r="H3958" t="inlineStr">
        <is>
          <t>yes</t>
        </is>
      </c>
      <c r="I3958" t="inlineStr"/>
      <c r="J3958" t="inlineStr"/>
      <c r="K3958" t="inlineStr"/>
      <c r="L3958" t="inlineStr"/>
      <c r="M3958" t="inlineStr"/>
      <c r="N3958" t="inlineStr"/>
    </row>
    <row r="3959">
      <c r="A3959" t="inlineStr">
        <is>
          <t>ca-ottawa</t>
        </is>
      </c>
      <c r="B3959" t="inlineStr">
        <is>
          <t>Ottawa</t>
        </is>
      </c>
      <c r="C3959" t="inlineStr">
        <is>
          <t>Canada</t>
        </is>
      </c>
      <c r="D3959" t="inlineStr">
        <is>
          <t>North America</t>
        </is>
      </c>
      <c r="E3959" t="inlineStr">
        <is>
          <t>clean_air_raw</t>
        </is>
      </c>
      <c r="F3959" t="inlineStr">
        <is>
          <t>Clean air raw</t>
        </is>
      </c>
      <c r="G3959" t="inlineStr">
        <is>
          <t>viability</t>
        </is>
      </c>
      <c r="H3959" t="inlineStr">
        <is>
          <t>yes</t>
        </is>
      </c>
      <c r="I3959" t="inlineStr"/>
      <c r="J3959" t="inlineStr"/>
      <c r="K3959" t="inlineStr"/>
      <c r="L3959" t="inlineStr"/>
      <c r="M3959" t="inlineStr"/>
      <c r="N3959" t="inlineStr"/>
    </row>
    <row r="3960">
      <c r="A3960" t="inlineStr">
        <is>
          <t>ca-ottawa</t>
        </is>
      </c>
      <c r="B3960" t="inlineStr">
        <is>
          <t>Ottawa</t>
        </is>
      </c>
      <c r="C3960" t="inlineStr">
        <is>
          <t>Canada</t>
        </is>
      </c>
      <c r="D3960" t="inlineStr">
        <is>
          <t>North America</t>
        </is>
      </c>
      <c r="E3960" t="inlineStr">
        <is>
          <t>water_sanitation_utility_raw</t>
        </is>
      </c>
      <c r="F3960" t="inlineStr">
        <is>
          <t>Water, sanitation, and utility raw</t>
        </is>
      </c>
      <c r="G3960" t="inlineStr">
        <is>
          <t>viability</t>
        </is>
      </c>
      <c r="H3960" t="inlineStr">
        <is>
          <t>yes</t>
        </is>
      </c>
      <c r="I3960" t="inlineStr">
        <is>
          <t>96.89</t>
        </is>
      </c>
      <c r="J3960" t="inlineStr">
        <is>
          <t>world_bank</t>
        </is>
      </c>
      <c r="K3960" t="inlineStr">
        <is>
          <t>https://api.worldbank.org/v2/country/CAN/indicator/SH.H2O.SMDW.ZS?format=json&amp;mrv=10</t>
        </is>
      </c>
      <c r="L3960" t="inlineStr">
        <is>
          <t>World Bank WDI: People using safely managed drinking water services (% of population)</t>
        </is>
      </c>
      <c r="M3960" t="inlineStr">
        <is>
          <t>2024-12-31</t>
        </is>
      </c>
      <c r="N3960" t="inlineStr">
        <is>
          <t>auto_ingest=world_bank_proxy; indicator=SH.H2O.SMDW.ZS; year=2024; country_proxy=Canada</t>
        </is>
      </c>
    </row>
    <row r="3961">
      <c r="A3961" t="inlineStr">
        <is>
          <t>ca-ottawa</t>
        </is>
      </c>
      <c r="B3961" t="inlineStr">
        <is>
          <t>Ottawa</t>
        </is>
      </c>
      <c r="C3961" t="inlineStr">
        <is>
          <t>Canada</t>
        </is>
      </c>
      <c r="D3961" t="inlineStr">
        <is>
          <t>North America</t>
        </is>
      </c>
      <c r="E3961" t="inlineStr">
        <is>
          <t>digital_infrastructure_raw</t>
        </is>
      </c>
      <c r="F3961" t="inlineStr">
        <is>
          <t>Digital infrastructure raw</t>
        </is>
      </c>
      <c r="G3961" t="inlineStr">
        <is>
          <t>viability</t>
        </is>
      </c>
      <c r="H3961" t="inlineStr">
        <is>
          <t>yes</t>
        </is>
      </c>
      <c r="I3961" t="inlineStr">
        <is>
          <t>42.52</t>
        </is>
      </c>
      <c r="J3961" t="inlineStr">
        <is>
          <t>world_bank</t>
        </is>
      </c>
      <c r="K3961" t="inlineStr">
        <is>
          <t>https://api.worldbank.org/v2/country/CAN/indicator/IT.NET.BBND.P2?format=json&amp;mrv=10</t>
        </is>
      </c>
      <c r="L3961" t="inlineStr">
        <is>
          <t>World Bank WDI: Fixed broadband subscriptions (per 100 people)</t>
        </is>
      </c>
      <c r="M3961" t="inlineStr">
        <is>
          <t>2023-12-31</t>
        </is>
      </c>
      <c r="N3961" t="inlineStr">
        <is>
          <t>auto_ingest=world_bank_proxy; indicator=IT.NET.BBND.P2; year=2023; country_proxy=Canada</t>
        </is>
      </c>
    </row>
    <row r="3962">
      <c r="A3962" t="inlineStr">
        <is>
          <t>ca-ottawa</t>
        </is>
      </c>
      <c r="B3962" t="inlineStr">
        <is>
          <t>Ottawa</t>
        </is>
      </c>
      <c r="C3962" t="inlineStr">
        <is>
          <t>Canada</t>
        </is>
      </c>
      <c r="D3962" t="inlineStr">
        <is>
          <t>North America</t>
        </is>
      </c>
      <c r="E3962" t="inlineStr">
        <is>
          <t>climate_sunlight_livability_raw</t>
        </is>
      </c>
      <c r="F3962" t="inlineStr">
        <is>
          <t>Climate and sunlight livability raw</t>
        </is>
      </c>
      <c r="G3962" t="inlineStr">
        <is>
          <t>viability</t>
        </is>
      </c>
      <c r="H3962" t="inlineStr">
        <is>
          <t>yes</t>
        </is>
      </c>
      <c r="I3962" t="inlineStr">
        <is>
          <t>42</t>
        </is>
      </c>
      <c r="J3962" t="inlineStr">
        <is>
          <t>wmo_natl_met</t>
        </is>
      </c>
      <c r="K3962" t="inlineStr">
        <is>
          <t>https://worldweather.wmo.int</t>
        </is>
      </c>
      <c r="L3962" t="inlineStr">
        <is>
          <t>WMO/National Met: Climate livability composite</t>
        </is>
      </c>
      <c r="M3962" t="inlineStr">
        <is>
          <t>2024-12-31</t>
        </is>
      </c>
      <c r="N3962" t="inlineStr">
        <is>
          <t>auto_seed=climate_composite; 2000 sun hrs, 7C mean, extreme cold</t>
        </is>
      </c>
    </row>
    <row r="3963">
      <c r="A3963" t="inlineStr">
        <is>
          <t>ca-ottawa</t>
        </is>
      </c>
      <c r="B3963" t="inlineStr">
        <is>
          <t>Ottawa</t>
        </is>
      </c>
      <c r="C3963" t="inlineStr">
        <is>
          <t>Canada</t>
        </is>
      </c>
      <c r="D3963" t="inlineStr">
        <is>
          <t>North America</t>
        </is>
      </c>
      <c r="E3963" t="inlineStr">
        <is>
          <t>healthcare_quality_raw</t>
        </is>
      </c>
      <c r="F3963" t="inlineStr">
        <is>
          <t>Healthcare quality raw</t>
        </is>
      </c>
      <c r="G3963" t="inlineStr">
        <is>
          <t>capability</t>
        </is>
      </c>
      <c r="H3963" t="inlineStr">
        <is>
          <t>yes</t>
        </is>
      </c>
      <c r="I3963" t="inlineStr">
        <is>
          <t>92.0</t>
        </is>
      </c>
      <c r="J3963" t="inlineStr">
        <is>
          <t>who_gho</t>
        </is>
      </c>
      <c r="K3963" t="inlineStr">
        <is>
          <t>https://www.who.int/data/gho/data/indicators/indicator-details/GHO/UHC_INDEX_REPORTED</t>
        </is>
      </c>
      <c r="L3963" t="inlineStr">
        <is>
          <t>WHO GHO: UHC Service Coverage Index</t>
        </is>
      </c>
      <c r="M3963" t="inlineStr">
        <is>
          <t>2023-12-31</t>
        </is>
      </c>
      <c r="N3963" t="inlineStr">
        <is>
          <t>auto_ingest=who_gho; indicator=UHC_INDEX_REPORTED; year=2023; country_proxy=Canada</t>
        </is>
      </c>
    </row>
    <row r="3964">
      <c r="A3964" t="inlineStr">
        <is>
          <t>ca-ottawa</t>
        </is>
      </c>
      <c r="B3964" t="inlineStr">
        <is>
          <t>Ottawa</t>
        </is>
      </c>
      <c r="C3964" t="inlineStr">
        <is>
          <t>Canada</t>
        </is>
      </c>
      <c r="D3964" t="inlineStr">
        <is>
          <t>North America</t>
        </is>
      </c>
      <c r="E3964" t="inlineStr">
        <is>
          <t>education_quality_raw</t>
        </is>
      </c>
      <c r="F3964" t="inlineStr">
        <is>
          <t>Education quality raw</t>
        </is>
      </c>
      <c r="G3964" t="inlineStr">
        <is>
          <t>capability</t>
        </is>
      </c>
      <c r="H3964" t="inlineStr">
        <is>
          <t>yes</t>
        </is>
      </c>
      <c r="I3964" t="inlineStr">
        <is>
          <t>76.26</t>
        </is>
      </c>
      <c r="J3964" t="inlineStr">
        <is>
          <t>world_bank</t>
        </is>
      </c>
      <c r="K3964" t="inlineStr">
        <is>
          <t>https://api.worldbank.org/v2/country/CAN/indicator/SE.TER.ENRR?format=json&amp;mrv=10</t>
        </is>
      </c>
      <c r="L3964" t="inlineStr">
        <is>
          <t>World Bank WDI: School enrollment, tertiary (% gross)</t>
        </is>
      </c>
      <c r="M3964" t="inlineStr">
        <is>
          <t>2023-12-31</t>
        </is>
      </c>
      <c r="N3964" t="inlineStr">
        <is>
          <t>auto_ingest=world_bank_proxy; indicator=SE.TER.ENRR; year=2023; country_proxy=Canada</t>
        </is>
      </c>
    </row>
    <row r="3965">
      <c r="A3965" t="inlineStr">
        <is>
          <t>ca-ottawa</t>
        </is>
      </c>
      <c r="B3965" t="inlineStr">
        <is>
          <t>Ottawa</t>
        </is>
      </c>
      <c r="C3965" t="inlineStr">
        <is>
          <t>Canada</t>
        </is>
      </c>
      <c r="D3965" t="inlineStr">
        <is>
          <t>North America</t>
        </is>
      </c>
      <c r="E3965" t="inlineStr">
        <is>
          <t>equal_opportunity_raw</t>
        </is>
      </c>
      <c r="F3965" t="inlineStr">
        <is>
          <t>Equal opportunity raw</t>
        </is>
      </c>
      <c r="G3965" t="inlineStr">
        <is>
          <t>capability</t>
        </is>
      </c>
      <c r="H3965" t="inlineStr">
        <is>
          <t>yes</t>
        </is>
      </c>
      <c r="I3965" t="inlineStr">
        <is>
          <t>31.1</t>
        </is>
      </c>
      <c r="J3965" t="inlineStr">
        <is>
          <t>world_bank</t>
        </is>
      </c>
      <c r="K3965" t="inlineStr">
        <is>
          <t>https://api.worldbank.org/v2/country/CAN/indicator/SI.POV.GINI?format=json&amp;mrv=10</t>
        </is>
      </c>
      <c r="L3965" t="inlineStr">
        <is>
          <t>World Bank WDI: Gini index</t>
        </is>
      </c>
      <c r="M3965" t="inlineStr">
        <is>
          <t>2021-12-31</t>
        </is>
      </c>
      <c r="N3965" t="inlineStr">
        <is>
          <t>auto_ingest=world_bank_capability; indicator=SI.POV.GINI; year=2021; country_proxy=Canada</t>
        </is>
      </c>
    </row>
    <row r="3966">
      <c r="A3966" t="inlineStr">
        <is>
          <t>ca-ottawa</t>
        </is>
      </c>
      <c r="B3966" t="inlineStr">
        <is>
          <t>Ottawa</t>
        </is>
      </c>
      <c r="C3966" t="inlineStr">
        <is>
          <t>Canada</t>
        </is>
      </c>
      <c r="D3966" t="inlineStr">
        <is>
          <t>North America</t>
        </is>
      </c>
      <c r="E3966" t="inlineStr">
        <is>
          <t>hospitality_belonging_raw</t>
        </is>
      </c>
      <c r="F3966" t="inlineStr">
        <is>
          <t>Hospitality and belonging raw</t>
        </is>
      </c>
      <c r="G3966" t="inlineStr">
        <is>
          <t>community</t>
        </is>
      </c>
      <c r="H3966" t="inlineStr">
        <is>
          <t>yes</t>
        </is>
      </c>
      <c r="I3966" t="inlineStr">
        <is>
          <t>57.9</t>
        </is>
      </c>
      <c r="J3966" t="inlineStr">
        <is>
          <t>world_bank</t>
        </is>
      </c>
      <c r="K3966" t="inlineStr">
        <is>
          <t>https://api.worldbank.org/v2/country/CAN/indicator/SM.POP.NETM?format=json&amp;mrv=10</t>
        </is>
      </c>
      <c r="L3966" t="inlineStr">
        <is>
          <t>World Bank WDI: Net migration (proxy for hospitality/belonging — positive = welcoming)</t>
        </is>
      </c>
      <c r="M3966" t="inlineStr">
        <is>
          <t>2025-12-31</t>
        </is>
      </c>
      <c r="N3966" t="inlineStr">
        <is>
          <t>auto_ingest=world_bank_proxy; proxy=net_migration_hospitality; indicator=SM.POP.NETM; year=2025; country_proxy=Canada</t>
        </is>
      </c>
    </row>
    <row r="3967">
      <c r="A3967" t="inlineStr">
        <is>
          <t>ca-ottawa</t>
        </is>
      </c>
      <c r="B3967" t="inlineStr">
        <is>
          <t>Ottawa</t>
        </is>
      </c>
      <c r="C3967" t="inlineStr">
        <is>
          <t>Canada</t>
        </is>
      </c>
      <c r="D3967" t="inlineStr">
        <is>
          <t>North America</t>
        </is>
      </c>
      <c r="E3967" t="inlineStr">
        <is>
          <t>tolerance_pluralism_raw</t>
        </is>
      </c>
      <c r="F3967" t="inlineStr">
        <is>
          <t>Tolerance and pluralism raw</t>
        </is>
      </c>
      <c r="G3967" t="inlineStr">
        <is>
          <t>community</t>
        </is>
      </c>
      <c r="H3967" t="inlineStr">
        <is>
          <t>yes</t>
        </is>
      </c>
      <c r="I3967" t="inlineStr">
        <is>
          <t>30.65</t>
        </is>
      </c>
      <c r="J3967" t="inlineStr">
        <is>
          <t>world_bank</t>
        </is>
      </c>
      <c r="K3967" t="inlineStr">
        <is>
          <t>https://api.worldbank.org/v2/country/CAN/indicator/SG.GEN.PARL.ZS?format=json&amp;mrv=10</t>
        </is>
      </c>
      <c r="L3967" t="inlineStr">
        <is>
          <t>World Bank WDI: Proportion of seats held by women in national parliaments (%)</t>
        </is>
      </c>
      <c r="M3967" t="inlineStr">
        <is>
          <t>2024-12-31</t>
        </is>
      </c>
      <c r="N3967" t="inlineStr">
        <is>
          <t>auto_ingest=world_bank_proxy; proxy=gender_parity_parliament; indicator=SG.GEN.PARL.ZS; year=2024; country_proxy=Canada</t>
        </is>
      </c>
    </row>
    <row r="3968">
      <c r="A3968" t="inlineStr">
        <is>
          <t>ca-ottawa</t>
        </is>
      </c>
      <c r="B3968" t="inlineStr">
        <is>
          <t>Ottawa</t>
        </is>
      </c>
      <c r="C3968" t="inlineStr">
        <is>
          <t>Canada</t>
        </is>
      </c>
      <c r="D3968" t="inlineStr">
        <is>
          <t>North America</t>
        </is>
      </c>
      <c r="E3968" t="inlineStr">
        <is>
          <t>cultural_public_life_raw</t>
        </is>
      </c>
      <c r="F3968" t="inlineStr">
        <is>
          <t>Cultural public life raw</t>
        </is>
      </c>
      <c r="G3968" t="inlineStr">
        <is>
          <t>community</t>
        </is>
      </c>
      <c r="H3968" t="inlineStr">
        <is>
          <t>yes</t>
        </is>
      </c>
      <c r="I3968" t="inlineStr">
        <is>
          <t>785.45</t>
        </is>
      </c>
      <c r="J3968" t="inlineStr">
        <is>
          <t>world_bank</t>
        </is>
      </c>
      <c r="K3968" t="inlineStr">
        <is>
          <t>https://api.worldbank.org/v2/country/CAN/indicator/ST.INT.ARVL?format=json&amp;mrv=10</t>
        </is>
      </c>
      <c r="L3968" t="inlineStr">
        <is>
          <t>World Bank WDI: International tourism arrivals per 1 000 population</t>
        </is>
      </c>
      <c r="M3968" t="inlineStr">
        <is>
          <t>2019-12-31</t>
        </is>
      </c>
      <c r="N3968" t="inlineStr">
        <is>
          <t>auto_ingest=cultural_life_proxy; indicator=ST.INT.ARVL; norm=per_1000_pop; year=2019; country_proxy=Canada</t>
        </is>
      </c>
    </row>
    <row r="3969">
      <c r="A3969" t="inlineStr">
        <is>
          <t>ca-ottawa</t>
        </is>
      </c>
      <c r="B3969" t="inlineStr">
        <is>
          <t>Ottawa</t>
        </is>
      </c>
      <c r="C3969" t="inlineStr">
        <is>
          <t>Canada</t>
        </is>
      </c>
      <c r="D3969" t="inlineStr">
        <is>
          <t>North America</t>
        </is>
      </c>
      <c r="E3969" t="inlineStr">
        <is>
          <t>birth_rate_optimism_raw</t>
        </is>
      </c>
      <c r="F3969" t="inlineStr">
        <is>
          <t>Birth rate and societal optimism raw</t>
        </is>
      </c>
      <c r="G3969" t="inlineStr">
        <is>
          <t>community</t>
        </is>
      </c>
      <c r="H3969" t="inlineStr">
        <is>
          <t>yes</t>
        </is>
      </c>
      <c r="I3969" t="inlineStr">
        <is>
          <t>1.26</t>
        </is>
      </c>
      <c r="J3969" t="inlineStr">
        <is>
          <t>world_bank</t>
        </is>
      </c>
      <c r="K3969" t="inlineStr">
        <is>
          <t>https://data.worldbank.org/indicator/SP.DYN.TFRT.IN</t>
        </is>
      </c>
      <c r="L3969" t="inlineStr">
        <is>
          <t>World Bank Total Fertility Rate 2023</t>
        </is>
      </c>
      <c r="M3969" t="inlineStr">
        <is>
          <t>2024-01-01</t>
        </is>
      </c>
      <c r="N3969" t="inlineStr"/>
    </row>
    <row r="3970">
      <c r="A3970" t="inlineStr">
        <is>
          <t>ca-ottawa</t>
        </is>
      </c>
      <c r="B3970" t="inlineStr">
        <is>
          <t>Ottawa</t>
        </is>
      </c>
      <c r="C3970" t="inlineStr">
        <is>
          <t>Canada</t>
        </is>
      </c>
      <c r="D3970" t="inlineStr">
        <is>
          <t>North America</t>
        </is>
      </c>
      <c r="E3970" t="inlineStr">
        <is>
          <t>entrepreneurial_dynamism_raw</t>
        </is>
      </c>
      <c r="F3970" t="inlineStr">
        <is>
          <t>Entrepreneurial dynamism raw</t>
        </is>
      </c>
      <c r="G3970" t="inlineStr">
        <is>
          <t>creative</t>
        </is>
      </c>
      <c r="H3970" t="inlineStr">
        <is>
          <t>yes</t>
        </is>
      </c>
      <c r="I3970" t="inlineStr">
        <is>
          <t>9.83</t>
        </is>
      </c>
      <c r="J3970" t="inlineStr">
        <is>
          <t>world_bank</t>
        </is>
      </c>
      <c r="K3970" t="inlineStr">
        <is>
          <t>https://api.worldbank.org/v2/country/CAN/indicator/IC.BUS.NDNS.ZS?format=json&amp;mrv=10</t>
        </is>
      </c>
      <c r="L3970" t="inlineStr">
        <is>
          <t>World Bank WDI: New business density (new registrations per 1,000 people ages 15-64)</t>
        </is>
      </c>
      <c r="M3970" t="inlineStr">
        <is>
          <t>2022-12-31</t>
        </is>
      </c>
      <c r="N3970" t="inlineStr">
        <is>
          <t>auto_ingest=world_bank_creative_extended; indicator=IC.BUS.NDNS.ZS; year=2022; country_proxy=Canada</t>
        </is>
      </c>
    </row>
    <row r="3971">
      <c r="A3971" t="inlineStr">
        <is>
          <t>ca-ottawa</t>
        </is>
      </c>
      <c r="B3971" t="inlineStr">
        <is>
          <t>Ottawa</t>
        </is>
      </c>
      <c r="C3971" t="inlineStr">
        <is>
          <t>Canada</t>
        </is>
      </c>
      <c r="D3971" t="inlineStr">
        <is>
          <t>North America</t>
        </is>
      </c>
      <c r="E3971" t="inlineStr">
        <is>
          <t>innovation_research_intensity_raw</t>
        </is>
      </c>
      <c r="F3971" t="inlineStr">
        <is>
          <t>Innovation and research raw</t>
        </is>
      </c>
      <c r="G3971" t="inlineStr">
        <is>
          <t>creative</t>
        </is>
      </c>
      <c r="H3971" t="inlineStr">
        <is>
          <t>yes</t>
        </is>
      </c>
      <c r="I3971" t="inlineStr">
        <is>
          <t>1.7</t>
        </is>
      </c>
      <c r="J3971" t="inlineStr">
        <is>
          <t>world_bank</t>
        </is>
      </c>
      <c r="K3971" t="inlineStr">
        <is>
          <t>https://api.worldbank.org/v2/country/CAN/indicator/GB.XPD.RSDV.GD.ZS?format=json&amp;mrv=10</t>
        </is>
      </c>
      <c r="L3971" t="inlineStr">
        <is>
          <t>World Bank WDI: Research and development expenditure (% of GDP)</t>
        </is>
      </c>
      <c r="M3971" t="inlineStr">
        <is>
          <t>2023-12-31</t>
        </is>
      </c>
      <c r="N3971" t="inlineStr">
        <is>
          <t>auto_ingest=world_bank_creative_extended; indicator=GB.XPD.RSDV.GD.ZS; year=2023; country_proxy=Canada</t>
        </is>
      </c>
    </row>
    <row r="3972">
      <c r="A3972" t="inlineStr">
        <is>
          <t>ca-ottawa</t>
        </is>
      </c>
      <c r="B3972" t="inlineStr">
        <is>
          <t>Ottawa</t>
        </is>
      </c>
      <c r="C3972" t="inlineStr">
        <is>
          <t>Canada</t>
        </is>
      </c>
      <c r="D3972" t="inlineStr">
        <is>
          <t>North America</t>
        </is>
      </c>
      <c r="E3972" t="inlineStr">
        <is>
          <t>investment_signal_raw</t>
        </is>
      </c>
      <c r="F3972" t="inlineStr">
        <is>
          <t>Investment signal raw</t>
        </is>
      </c>
      <c r="G3972" t="inlineStr">
        <is>
          <t>creative</t>
        </is>
      </c>
      <c r="H3972" t="inlineStr">
        <is>
          <t>yes</t>
        </is>
      </c>
      <c r="I3972" t="inlineStr">
        <is>
          <t>2.81</t>
        </is>
      </c>
      <c r="J3972" t="inlineStr">
        <is>
          <t>world_bank</t>
        </is>
      </c>
      <c r="K3972" t="inlineStr">
        <is>
          <t>https://api.worldbank.org/v2/country/CAN/indicator/BX.KLT.DINV.WD.GD.ZS?format=json&amp;mrv=10</t>
        </is>
      </c>
      <c r="L3972" t="inlineStr">
        <is>
          <t>World Bank WDI: Foreign direct investment, net inflows (% of GDP)</t>
        </is>
      </c>
      <c r="M3972" t="inlineStr">
        <is>
          <t>2024-12-31</t>
        </is>
      </c>
      <c r="N3972" t="inlineStr">
        <is>
          <t>auto_ingest=world_bank_creative_extended; indicator=BX.KLT.DINV.WD.GD.ZS; year=2024; country_proxy=Canada</t>
        </is>
      </c>
    </row>
    <row r="3973">
      <c r="A3973" t="inlineStr">
        <is>
          <t>ca-ottawa</t>
        </is>
      </c>
      <c r="B3973" t="inlineStr">
        <is>
          <t>Ottawa</t>
        </is>
      </c>
      <c r="C3973" t="inlineStr">
        <is>
          <t>Canada</t>
        </is>
      </c>
      <c r="D3973" t="inlineStr">
        <is>
          <t>North America</t>
        </is>
      </c>
      <c r="E3973" t="inlineStr">
        <is>
          <t>administrative_investment_friction_raw</t>
        </is>
      </c>
      <c r="F3973" t="inlineStr">
        <is>
          <t>Administrative investment friction raw</t>
        </is>
      </c>
      <c r="G3973" t="inlineStr">
        <is>
          <t>creative</t>
        </is>
      </c>
      <c r="H3973" t="inlineStr">
        <is>
          <t>yes</t>
        </is>
      </c>
      <c r="I3973" t="inlineStr">
        <is>
          <t>0.86</t>
        </is>
      </c>
      <c r="J3973" t="inlineStr">
        <is>
          <t>world_bank</t>
        </is>
      </c>
      <c r="K3973" t="inlineStr">
        <is>
          <t>https://api.worldbank.org/v2/country/CAN/indicator/RQ.EST?format=json&amp;mrv=10</t>
        </is>
      </c>
      <c r="L3973" t="inlineStr">
        <is>
          <t>World Bank WGI: Regulatory Quality (inverted as friction proxy)</t>
        </is>
      </c>
      <c r="M3973" t="inlineStr">
        <is>
          <t>2023-12-31</t>
        </is>
      </c>
      <c r="N3973" t="inlineStr">
        <is>
          <t>auto_ingest=world_bank_business_friction; indicator=RQ.EST; raw_rq=1.64471042156219; friction=0.86; year=2023; country_proxy=Canada</t>
        </is>
      </c>
    </row>
    <row r="3974">
      <c r="A3974" t="inlineStr">
        <is>
          <t>ca-ottawa</t>
        </is>
      </c>
      <c r="B3974" t="inlineStr">
        <is>
          <t>Ottawa</t>
        </is>
      </c>
      <c r="C3974" t="inlineStr">
        <is>
          <t>Canada</t>
        </is>
      </c>
      <c r="D3974" t="inlineStr">
        <is>
          <t>North America</t>
        </is>
      </c>
      <c r="E3974" t="inlineStr">
        <is>
          <t>visitor_flow_context_raw</t>
        </is>
      </c>
      <c r="F3974" t="inlineStr">
        <is>
          <t>Visitor flow context raw</t>
        </is>
      </c>
      <c r="G3974" t="inlineStr">
        <is>
          <t>creative</t>
        </is>
      </c>
      <c r="H3974" t="inlineStr">
        <is>
          <t>no</t>
        </is>
      </c>
      <c r="I3974" t="inlineStr"/>
      <c r="J3974" t="inlineStr"/>
      <c r="K3974" t="inlineStr"/>
      <c r="L3974" t="inlineStr"/>
      <c r="M3974" t="inlineStr"/>
      <c r="N3974" t="inlineStr"/>
    </row>
    <row r="3975">
      <c r="A3975" t="inlineStr">
        <is>
          <t>us-minneapolis</t>
        </is>
      </c>
      <c r="B3975" t="inlineStr">
        <is>
          <t>Minneapolis</t>
        </is>
      </c>
      <c r="C3975" t="inlineStr">
        <is>
          <t>United States</t>
        </is>
      </c>
      <c r="D3975" t="inlineStr">
        <is>
          <t>North America</t>
        </is>
      </c>
      <c r="E3975" t="inlineStr">
        <is>
          <t>gross_income</t>
        </is>
      </c>
      <c r="F3975" t="inlineStr">
        <is>
          <t>Gross income</t>
        </is>
      </c>
      <c r="G3975" t="inlineStr">
        <is>
          <t>pressure</t>
        </is>
      </c>
      <c r="H3975" t="inlineStr">
        <is>
          <t>yes</t>
        </is>
      </c>
      <c r="I3975" t="inlineStr">
        <is>
          <t>7165.0</t>
        </is>
      </c>
      <c r="J3975" t="inlineStr">
        <is>
          <t>world_bank_col_estimate</t>
        </is>
      </c>
      <c r="K3975" t="inlineStr">
        <is>
          <t>https://api.worldbank.org/v2/country/USA/indicator/NY.GNP.PCAP.PP.CD?format=json&amp;mrv=10</t>
        </is>
      </c>
      <c r="L3975" t="inlineStr">
        <is>
          <t>World Bank WDI: GNI per capita PPP (monthly USD)</t>
        </is>
      </c>
      <c r="M3975" t="inlineStr">
        <is>
          <t>2024-12-31</t>
        </is>
      </c>
      <c r="N3975" t="inlineStr">
        <is>
          <t>auto_ingest=world_bank_col_estimate; gni_annual=85980.0; year=2024; country_proxy=United States; cohort=North America</t>
        </is>
      </c>
    </row>
    <row r="3976">
      <c r="A3976" t="inlineStr">
        <is>
          <t>us-minneapolis</t>
        </is>
      </c>
      <c r="B3976" t="inlineStr">
        <is>
          <t>Minneapolis</t>
        </is>
      </c>
      <c r="C3976" t="inlineStr">
        <is>
          <t>United States</t>
        </is>
      </c>
      <c r="D3976" t="inlineStr">
        <is>
          <t>North America</t>
        </is>
      </c>
      <c r="E3976" t="inlineStr">
        <is>
          <t>di_ppp_raw</t>
        </is>
      </c>
      <c r="F3976" t="inlineStr">
        <is>
          <t>Disposable income PPP (Raw)</t>
        </is>
      </c>
      <c r="G3976" t="inlineStr">
        <is>
          <t>pressure</t>
        </is>
      </c>
      <c r="H3976" t="inlineStr">
        <is>
          <t>yes</t>
        </is>
      </c>
      <c r="I3976" t="inlineStr"/>
      <c r="J3976" t="inlineStr"/>
      <c r="K3976" t="inlineStr"/>
      <c r="L3976" t="inlineStr"/>
      <c r="M3976" t="inlineStr"/>
      <c r="N3976" t="inlineStr"/>
    </row>
    <row r="3977">
      <c r="A3977" t="inlineStr">
        <is>
          <t>us-minneapolis</t>
        </is>
      </c>
      <c r="B3977" t="inlineStr">
        <is>
          <t>Minneapolis</t>
        </is>
      </c>
      <c r="C3977" t="inlineStr">
        <is>
          <t>United States</t>
        </is>
      </c>
      <c r="D3977" t="inlineStr">
        <is>
          <t>North America</t>
        </is>
      </c>
      <c r="E3977" t="inlineStr">
        <is>
          <t>rent</t>
        </is>
      </c>
      <c r="F3977" t="inlineStr">
        <is>
          <t>Rent</t>
        </is>
      </c>
      <c r="G3977" t="inlineStr">
        <is>
          <t>pressure</t>
        </is>
      </c>
      <c r="H3977" t="inlineStr">
        <is>
          <t>yes</t>
        </is>
      </c>
      <c r="I3977" t="inlineStr">
        <is>
          <t>2256.97</t>
        </is>
      </c>
      <c r="J3977" t="inlineStr">
        <is>
          <t>world_bank_col_estimate</t>
        </is>
      </c>
      <c r="K3977" t="inlineStr">
        <is>
          <t>https://api.worldbank.org/v2/country/USA/indicator/NY.GNP.PCAP.PP.CD?format=json&amp;mrv=10</t>
        </is>
      </c>
      <c r="L3977" t="inlineStr">
        <is>
          <t>World Bank GNI + regional expenditure ratio estimate</t>
        </is>
      </c>
      <c r="M3977" t="inlineStr">
        <is>
          <t>2024-12-31</t>
        </is>
      </c>
      <c r="N3977" t="inlineStr">
        <is>
          <t>auto_ingest=world_bank_col_estimate; gni_annual=85980.0; year=2024; country_proxy=United States; cohort=North America; city_cost_mult=0.9</t>
        </is>
      </c>
    </row>
    <row r="3978">
      <c r="A3978" t="inlineStr">
        <is>
          <t>us-minneapolis</t>
        </is>
      </c>
      <c r="B3978" t="inlineStr">
        <is>
          <t>Minneapolis</t>
        </is>
      </c>
      <c r="C3978" t="inlineStr">
        <is>
          <t>United States</t>
        </is>
      </c>
      <c r="D3978" t="inlineStr">
        <is>
          <t>North America</t>
        </is>
      </c>
      <c r="E3978" t="inlineStr">
        <is>
          <t>utilities</t>
        </is>
      </c>
      <c r="F3978" t="inlineStr">
        <is>
          <t>Utilities</t>
        </is>
      </c>
      <c r="G3978" t="inlineStr">
        <is>
          <t>pressure</t>
        </is>
      </c>
      <c r="H3978" t="inlineStr">
        <is>
          <t>yes</t>
        </is>
      </c>
      <c r="I3978" t="inlineStr">
        <is>
          <t>451.4</t>
        </is>
      </c>
      <c r="J3978" t="inlineStr">
        <is>
          <t>world_bank_col_estimate</t>
        </is>
      </c>
      <c r="K3978" t="inlineStr">
        <is>
          <t>https://api.worldbank.org/v2/country/USA/indicator/NY.GNP.PCAP.PP.CD?format=json&amp;mrv=10</t>
        </is>
      </c>
      <c r="L3978" t="inlineStr">
        <is>
          <t>World Bank GNI + regional expenditure ratio estimate</t>
        </is>
      </c>
      <c r="M3978" t="inlineStr">
        <is>
          <t>2024-12-31</t>
        </is>
      </c>
      <c r="N3978" t="inlineStr">
        <is>
          <t>auto_ingest=world_bank_col_estimate; gni_annual=85980.0; year=2024; country_proxy=United States; cohort=North America; city_cost_mult=0.9</t>
        </is>
      </c>
    </row>
    <row r="3979">
      <c r="A3979" t="inlineStr">
        <is>
          <t>us-minneapolis</t>
        </is>
      </c>
      <c r="B3979" t="inlineStr">
        <is>
          <t>Minneapolis</t>
        </is>
      </c>
      <c r="C3979" t="inlineStr">
        <is>
          <t>United States</t>
        </is>
      </c>
      <c r="D3979" t="inlineStr">
        <is>
          <t>North America</t>
        </is>
      </c>
      <c r="E3979" t="inlineStr">
        <is>
          <t>transit_cost</t>
        </is>
      </c>
      <c r="F3979" t="inlineStr">
        <is>
          <t>Transit cost</t>
        </is>
      </c>
      <c r="G3979" t="inlineStr">
        <is>
          <t>pressure</t>
        </is>
      </c>
      <c r="H3979" t="inlineStr">
        <is>
          <t>yes</t>
        </is>
      </c>
      <c r="I3979" t="inlineStr">
        <is>
          <t>322.43</t>
        </is>
      </c>
      <c r="J3979" t="inlineStr">
        <is>
          <t>world_bank_col_estimate</t>
        </is>
      </c>
      <c r="K3979" t="inlineStr">
        <is>
          <t>https://api.worldbank.org/v2/country/USA/indicator/NY.GNP.PCAP.PP.CD?format=json&amp;mrv=10</t>
        </is>
      </c>
      <c r="L3979" t="inlineStr">
        <is>
          <t>World Bank GNI + regional expenditure ratio estimate</t>
        </is>
      </c>
      <c r="M3979" t="inlineStr">
        <is>
          <t>2024-12-31</t>
        </is>
      </c>
      <c r="N3979" t="inlineStr">
        <is>
          <t>auto_ingest=world_bank_col_estimate; gni_annual=85980.0; year=2024; country_proxy=United States; cohort=North America; city_cost_mult=0.9</t>
        </is>
      </c>
    </row>
    <row r="3980">
      <c r="A3980" t="inlineStr">
        <is>
          <t>us-minneapolis</t>
        </is>
      </c>
      <c r="B3980" t="inlineStr">
        <is>
          <t>Minneapolis</t>
        </is>
      </c>
      <c r="C3980" t="inlineStr">
        <is>
          <t>United States</t>
        </is>
      </c>
      <c r="D3980" t="inlineStr">
        <is>
          <t>North America</t>
        </is>
      </c>
      <c r="E3980" t="inlineStr">
        <is>
          <t>internet_cost</t>
        </is>
      </c>
      <c r="F3980" t="inlineStr">
        <is>
          <t>Internet cost</t>
        </is>
      </c>
      <c r="G3980" t="inlineStr">
        <is>
          <t>pressure</t>
        </is>
      </c>
      <c r="H3980" t="inlineStr">
        <is>
          <t>yes</t>
        </is>
      </c>
      <c r="I3980" t="inlineStr">
        <is>
          <t>128.97</t>
        </is>
      </c>
      <c r="J3980" t="inlineStr">
        <is>
          <t>world_bank_col_estimate</t>
        </is>
      </c>
      <c r="K3980" t="inlineStr">
        <is>
          <t>https://api.worldbank.org/v2/country/USA/indicator/NY.GNP.PCAP.PP.CD?format=json&amp;mrv=10</t>
        </is>
      </c>
      <c r="L3980" t="inlineStr">
        <is>
          <t>World Bank GNI + regional expenditure ratio estimate</t>
        </is>
      </c>
      <c r="M3980" t="inlineStr">
        <is>
          <t>2024-12-31</t>
        </is>
      </c>
      <c r="N3980" t="inlineStr">
        <is>
          <t>auto_ingest=world_bank_col_estimate; gni_annual=85980.0; year=2024; country_proxy=United States; cohort=North America; city_cost_mult=0.9</t>
        </is>
      </c>
    </row>
    <row r="3981">
      <c r="A3981" t="inlineStr">
        <is>
          <t>us-minneapolis</t>
        </is>
      </c>
      <c r="B3981" t="inlineStr">
        <is>
          <t>Minneapolis</t>
        </is>
      </c>
      <c r="C3981" t="inlineStr">
        <is>
          <t>United States</t>
        </is>
      </c>
      <c r="D3981" t="inlineStr">
        <is>
          <t>North America</t>
        </is>
      </c>
      <c r="E3981" t="inlineStr">
        <is>
          <t>food_cost</t>
        </is>
      </c>
      <c r="F3981" t="inlineStr">
        <is>
          <t>Food cost</t>
        </is>
      </c>
      <c r="G3981" t="inlineStr">
        <is>
          <t>pressure</t>
        </is>
      </c>
      <c r="H3981" t="inlineStr">
        <is>
          <t>yes</t>
        </is>
      </c>
      <c r="I3981" t="inlineStr">
        <is>
          <t>967.27</t>
        </is>
      </c>
      <c r="J3981" t="inlineStr">
        <is>
          <t>world_bank_col_estimate</t>
        </is>
      </c>
      <c r="K3981" t="inlineStr">
        <is>
          <t>https://api.worldbank.org/v2/country/USA/indicator/NY.GNP.PCAP.PP.CD?format=json&amp;mrv=10</t>
        </is>
      </c>
      <c r="L3981" t="inlineStr">
        <is>
          <t>World Bank GNI + regional expenditure ratio estimate</t>
        </is>
      </c>
      <c r="M3981" t="inlineStr">
        <is>
          <t>2024-12-31</t>
        </is>
      </c>
      <c r="N3981" t="inlineStr">
        <is>
          <t>auto_ingest=world_bank_col_estimate; gni_annual=85980.0; year=2024; country_proxy=United States; cohort=North America; city_cost_mult=0.9</t>
        </is>
      </c>
    </row>
    <row r="3982">
      <c r="A3982" t="inlineStr">
        <is>
          <t>us-minneapolis</t>
        </is>
      </c>
      <c r="B3982" t="inlineStr">
        <is>
          <t>Minneapolis</t>
        </is>
      </c>
      <c r="C3982" t="inlineStr">
        <is>
          <t>United States</t>
        </is>
      </c>
      <c r="D3982" t="inlineStr">
        <is>
          <t>North America</t>
        </is>
      </c>
      <c r="E3982" t="inlineStr">
        <is>
          <t>housing_burden_raw</t>
        </is>
      </c>
      <c r="F3982" t="inlineStr">
        <is>
          <t>Housing burden raw</t>
        </is>
      </c>
      <c r="G3982" t="inlineStr">
        <is>
          <t>pressure</t>
        </is>
      </c>
      <c r="H3982" t="inlineStr">
        <is>
          <t>yes</t>
        </is>
      </c>
      <c r="I3982" t="inlineStr">
        <is>
          <t>31.4999</t>
        </is>
      </c>
      <c r="J3982" t="inlineStr">
        <is>
          <t>derived</t>
        </is>
      </c>
      <c r="K3982" t="inlineStr">
        <is>
          <t>https://data.worldbank.org/indicator/NY.GNP.PCAP.PP.CD</t>
        </is>
      </c>
      <c r="L3982" t="inlineStr">
        <is>
          <t>Computed from city_inputs + country_context</t>
        </is>
      </c>
      <c r="M3982" t="inlineStr">
        <is>
          <t>2024-01-01</t>
        </is>
      </c>
      <c r="N3982" t="inlineStr">
        <is>
          <t>derived=rent/gross_income*100</t>
        </is>
      </c>
    </row>
    <row r="3983">
      <c r="A3983" t="inlineStr">
        <is>
          <t>us-minneapolis</t>
        </is>
      </c>
      <c r="B3983" t="inlineStr">
        <is>
          <t>Minneapolis</t>
        </is>
      </c>
      <c r="C3983" t="inlineStr">
        <is>
          <t>United States</t>
        </is>
      </c>
      <c r="D3983" t="inlineStr">
        <is>
          <t>North America</t>
        </is>
      </c>
      <c r="E3983" t="inlineStr">
        <is>
          <t>household_debt_burden_raw</t>
        </is>
      </c>
      <c r="F3983" t="inlineStr">
        <is>
          <t>Household debt burden raw</t>
        </is>
      </c>
      <c r="G3983" t="inlineStr">
        <is>
          <t>pressure</t>
        </is>
      </c>
      <c r="H3983" t="inlineStr">
        <is>
          <t>yes</t>
        </is>
      </c>
      <c r="I3983" t="inlineStr">
        <is>
          <t>46.8411</t>
        </is>
      </c>
      <c r="J3983" t="inlineStr">
        <is>
          <t>derived</t>
        </is>
      </c>
      <c r="K3983" t="inlineStr">
        <is>
          <t>https://data.worldbank.org/indicator/NY.GNP.PCAP.PP.CD</t>
        </is>
      </c>
      <c r="L3983" t="inlineStr">
        <is>
          <t>Computed from city_inputs + country_context</t>
        </is>
      </c>
      <c r="M3983" t="inlineStr">
        <is>
          <t>2024-01-01</t>
        </is>
      </c>
      <c r="N3983" t="inlineStr">
        <is>
          <t>derived=country_context.household_debt_proxy; country=United States</t>
        </is>
      </c>
    </row>
    <row r="3984">
      <c r="A3984" t="inlineStr">
        <is>
          <t>us-minneapolis</t>
        </is>
      </c>
      <c r="B3984" t="inlineStr">
        <is>
          <t>Minneapolis</t>
        </is>
      </c>
      <c r="C3984" t="inlineStr">
        <is>
          <t>United States</t>
        </is>
      </c>
      <c r="D3984" t="inlineStr">
        <is>
          <t>North America</t>
        </is>
      </c>
      <c r="E3984" t="inlineStr">
        <is>
          <t>working_time_pressure_raw</t>
        </is>
      </c>
      <c r="F3984" t="inlineStr">
        <is>
          <t>Working time pressure raw</t>
        </is>
      </c>
      <c r="G3984" t="inlineStr">
        <is>
          <t>pressure</t>
        </is>
      </c>
      <c r="H3984" t="inlineStr">
        <is>
          <t>yes</t>
        </is>
      </c>
      <c r="I3984" t="inlineStr">
        <is>
          <t>37.54</t>
        </is>
      </c>
      <c r="J3984" t="inlineStr">
        <is>
          <t>ilo_ilostat</t>
        </is>
      </c>
      <c r="K3984" t="inlineStr">
        <is>
          <t>https://ilostat.ilo.org/data/indicator/?id=HOW_TEMP_SEX_ECO_NB_A&amp;ref_area=USA</t>
        </is>
      </c>
      <c r="L3984" t="inlineStr">
        <is>
          <t>ILO ILOSTAT: Mean weekly hours actually worked per employed person</t>
        </is>
      </c>
      <c r="M3984" t="inlineStr">
        <is>
          <t>2025-12-31</t>
        </is>
      </c>
      <c r="N3984" t="inlineStr">
        <is>
          <t>auto_ingest=ilo_working_hours; indicator=HOW_TEMP_SEX_ECO_NB_A; year=2025; hours=37.54; country_proxy=United States</t>
        </is>
      </c>
    </row>
    <row r="3985">
      <c r="A3985" t="inlineStr">
        <is>
          <t>us-minneapolis</t>
        </is>
      </c>
      <c r="B3985" t="inlineStr">
        <is>
          <t>Minneapolis</t>
        </is>
      </c>
      <c r="C3985" t="inlineStr">
        <is>
          <t>United States</t>
        </is>
      </c>
      <c r="D3985" t="inlineStr">
        <is>
          <t>North America</t>
        </is>
      </c>
      <c r="E3985" t="inlineStr">
        <is>
          <t>suicide_mental_strain_raw</t>
        </is>
      </c>
      <c r="F3985" t="inlineStr">
        <is>
          <t>Suicide or mental strain raw</t>
        </is>
      </c>
      <c r="G3985" t="inlineStr">
        <is>
          <t>pressure</t>
        </is>
      </c>
      <c r="H3985" t="inlineStr">
        <is>
          <t>yes</t>
        </is>
      </c>
      <c r="I3985" t="inlineStr">
        <is>
          <t>15.63</t>
        </is>
      </c>
      <c r="J3985" t="inlineStr">
        <is>
          <t>who_gho</t>
        </is>
      </c>
      <c r="K3985" t="inlineStr">
        <is>
          <t>https://www.who.int/data/gho/data/indicators/indicator-details/GHO/SDGSUICIDE</t>
        </is>
      </c>
      <c r="L3985" t="inlineStr">
        <is>
          <t>WHO GHO: Age-standardized suicide rate (per 100,000 population)</t>
        </is>
      </c>
      <c r="M3985" t="inlineStr">
        <is>
          <t>2021-12-31</t>
        </is>
      </c>
      <c r="N3985" t="inlineStr">
        <is>
          <t>auto_ingest=who_gho; indicator=SDGSUICIDE; year=2021; country_proxy=United States</t>
        </is>
      </c>
    </row>
    <row r="3986">
      <c r="A3986" t="inlineStr">
        <is>
          <t>us-minneapolis</t>
        </is>
      </c>
      <c r="B3986" t="inlineStr">
        <is>
          <t>Minneapolis</t>
        </is>
      </c>
      <c r="C3986" t="inlineStr">
        <is>
          <t>United States</t>
        </is>
      </c>
      <c r="D3986" t="inlineStr">
        <is>
          <t>North America</t>
        </is>
      </c>
      <c r="E3986" t="inlineStr">
        <is>
          <t>personal_safety_raw</t>
        </is>
      </c>
      <c r="F3986" t="inlineStr">
        <is>
          <t>Personal safety raw</t>
        </is>
      </c>
      <c r="G3986" t="inlineStr">
        <is>
          <t>viability</t>
        </is>
      </c>
      <c r="H3986" t="inlineStr">
        <is>
          <t>yes</t>
        </is>
      </c>
      <c r="I3986" t="inlineStr">
        <is>
          <t>5.76</t>
        </is>
      </c>
      <c r="J3986" t="inlineStr">
        <is>
          <t>world_bank</t>
        </is>
      </c>
      <c r="K3986" t="inlineStr">
        <is>
          <t>https://api.worldbank.org/v2/country/USA/indicator/VC.IHR.PSRC.P5?format=json&amp;mrv=10</t>
        </is>
      </c>
      <c r="L3986" t="inlineStr">
        <is>
          <t>UNODC via World Bank WDI: Intentional homicides (per 100,000 people)</t>
        </is>
      </c>
      <c r="M3986" t="inlineStr">
        <is>
          <t>2023-12-31</t>
        </is>
      </c>
      <c r="N3986" t="inlineStr">
        <is>
          <t>auto_ingest=unodc_safety; indicator=VC.IHR.PSRC.P5; year=2023; country_proxy=United States</t>
        </is>
      </c>
    </row>
    <row r="3987">
      <c r="A3987" t="inlineStr">
        <is>
          <t>us-minneapolis</t>
        </is>
      </c>
      <c r="B3987" t="inlineStr">
        <is>
          <t>Minneapolis</t>
        </is>
      </c>
      <c r="C3987" t="inlineStr">
        <is>
          <t>United States</t>
        </is>
      </c>
      <c r="D3987" t="inlineStr">
        <is>
          <t>North America</t>
        </is>
      </c>
      <c r="E3987" t="inlineStr">
        <is>
          <t>transit_access_commute_raw</t>
        </is>
      </c>
      <c r="F3987" t="inlineStr">
        <is>
          <t>Transit access and commute raw</t>
        </is>
      </c>
      <c r="G3987" t="inlineStr">
        <is>
          <t>viability</t>
        </is>
      </c>
      <c r="H3987" t="inlineStr">
        <is>
          <t>yes</t>
        </is>
      </c>
      <c r="I3987" t="inlineStr"/>
      <c r="J3987" t="inlineStr"/>
      <c r="K3987" t="inlineStr"/>
      <c r="L3987" t="inlineStr"/>
      <c r="M3987" t="inlineStr"/>
      <c r="N3987" t="inlineStr"/>
    </row>
    <row r="3988">
      <c r="A3988" t="inlineStr">
        <is>
          <t>us-minneapolis</t>
        </is>
      </c>
      <c r="B3988" t="inlineStr">
        <is>
          <t>Minneapolis</t>
        </is>
      </c>
      <c r="C3988" t="inlineStr">
        <is>
          <t>United States</t>
        </is>
      </c>
      <c r="D3988" t="inlineStr">
        <is>
          <t>North America</t>
        </is>
      </c>
      <c r="E3988" t="inlineStr">
        <is>
          <t>clean_air_raw</t>
        </is>
      </c>
      <c r="F3988" t="inlineStr">
        <is>
          <t>Clean air raw</t>
        </is>
      </c>
      <c r="G3988" t="inlineStr">
        <is>
          <t>viability</t>
        </is>
      </c>
      <c r="H3988" t="inlineStr">
        <is>
          <t>yes</t>
        </is>
      </c>
      <c r="I3988" t="inlineStr"/>
      <c r="J3988" t="inlineStr"/>
      <c r="K3988" t="inlineStr"/>
      <c r="L3988" t="inlineStr"/>
      <c r="M3988" t="inlineStr"/>
      <c r="N3988" t="inlineStr"/>
    </row>
    <row r="3989">
      <c r="A3989" t="inlineStr">
        <is>
          <t>us-minneapolis</t>
        </is>
      </c>
      <c r="B3989" t="inlineStr">
        <is>
          <t>Minneapolis</t>
        </is>
      </c>
      <c r="C3989" t="inlineStr">
        <is>
          <t>United States</t>
        </is>
      </c>
      <c r="D3989" t="inlineStr">
        <is>
          <t>North America</t>
        </is>
      </c>
      <c r="E3989" t="inlineStr">
        <is>
          <t>water_sanitation_utility_raw</t>
        </is>
      </c>
      <c r="F3989" t="inlineStr">
        <is>
          <t>Water, sanitation, and utility raw</t>
        </is>
      </c>
      <c r="G3989" t="inlineStr">
        <is>
          <t>viability</t>
        </is>
      </c>
      <c r="H3989" t="inlineStr">
        <is>
          <t>yes</t>
        </is>
      </c>
      <c r="I3989" t="inlineStr">
        <is>
          <t>97.57</t>
        </is>
      </c>
      <c r="J3989" t="inlineStr">
        <is>
          <t>world_bank</t>
        </is>
      </c>
      <c r="K3989" t="inlineStr">
        <is>
          <t>https://api.worldbank.org/v2/country/USA/indicator/SH.H2O.SMDW.ZS?format=json&amp;mrv=10</t>
        </is>
      </c>
      <c r="L3989" t="inlineStr">
        <is>
          <t>World Bank WDI: People using safely managed drinking water services (% of population)</t>
        </is>
      </c>
      <c r="M3989" t="inlineStr">
        <is>
          <t>2024-12-31</t>
        </is>
      </c>
      <c r="N3989" t="inlineStr">
        <is>
          <t>auto_ingest=world_bank_proxy; indicator=SH.H2O.SMDW.ZS; year=2024; country_proxy=United States</t>
        </is>
      </c>
    </row>
    <row r="3990">
      <c r="A3990" t="inlineStr">
        <is>
          <t>us-minneapolis</t>
        </is>
      </c>
      <c r="B3990" t="inlineStr">
        <is>
          <t>Minneapolis</t>
        </is>
      </c>
      <c r="C3990" t="inlineStr">
        <is>
          <t>United States</t>
        </is>
      </c>
      <c r="D3990" t="inlineStr">
        <is>
          <t>North America</t>
        </is>
      </c>
      <c r="E3990" t="inlineStr">
        <is>
          <t>digital_infrastructure_raw</t>
        </is>
      </c>
      <c r="F3990" t="inlineStr">
        <is>
          <t>Digital infrastructure raw</t>
        </is>
      </c>
      <c r="G3990" t="inlineStr">
        <is>
          <t>viability</t>
        </is>
      </c>
      <c r="H3990" t="inlineStr">
        <is>
          <t>yes</t>
        </is>
      </c>
      <c r="I3990" t="inlineStr">
        <is>
          <t>38.15</t>
        </is>
      </c>
      <c r="J3990" t="inlineStr">
        <is>
          <t>world_bank</t>
        </is>
      </c>
      <c r="K3990" t="inlineStr">
        <is>
          <t>https://api.worldbank.org/v2/country/USA/indicator/IT.NET.BBND.P2?format=json&amp;mrv=10</t>
        </is>
      </c>
      <c r="L3990" t="inlineStr">
        <is>
          <t>World Bank WDI: Fixed broadband subscriptions (per 100 people)</t>
        </is>
      </c>
      <c r="M3990" t="inlineStr">
        <is>
          <t>2023-12-31</t>
        </is>
      </c>
      <c r="N3990" t="inlineStr">
        <is>
          <t>auto_ingest=world_bank_proxy; indicator=IT.NET.BBND.P2; year=2023; country_proxy=United States</t>
        </is>
      </c>
    </row>
    <row r="3991">
      <c r="A3991" t="inlineStr">
        <is>
          <t>us-minneapolis</t>
        </is>
      </c>
      <c r="B3991" t="inlineStr">
        <is>
          <t>Minneapolis</t>
        </is>
      </c>
      <c r="C3991" t="inlineStr">
        <is>
          <t>United States</t>
        </is>
      </c>
      <c r="D3991" t="inlineStr">
        <is>
          <t>North America</t>
        </is>
      </c>
      <c r="E3991" t="inlineStr">
        <is>
          <t>climate_sunlight_livability_raw</t>
        </is>
      </c>
      <c r="F3991" t="inlineStr">
        <is>
          <t>Climate and sunlight livability raw</t>
        </is>
      </c>
      <c r="G3991" t="inlineStr">
        <is>
          <t>viability</t>
        </is>
      </c>
      <c r="H3991" t="inlineStr">
        <is>
          <t>yes</t>
        </is>
      </c>
      <c r="I3991" t="inlineStr">
        <is>
          <t>48</t>
        </is>
      </c>
      <c r="J3991" t="inlineStr">
        <is>
          <t>wmo_natl_met</t>
        </is>
      </c>
      <c r="K3991" t="inlineStr">
        <is>
          <t>https://worldweather.wmo.int</t>
        </is>
      </c>
      <c r="L3991" t="inlineStr">
        <is>
          <t>WMO/National Met: Climate livability composite</t>
        </is>
      </c>
      <c r="M3991" t="inlineStr">
        <is>
          <t>2024-12-31</t>
        </is>
      </c>
      <c r="N3991" t="inlineStr">
        <is>
          <t>auto_seed=climate_composite; 2700 sun hrs, 8C mean, extreme cold winters</t>
        </is>
      </c>
    </row>
    <row r="3992">
      <c r="A3992" t="inlineStr">
        <is>
          <t>us-minneapolis</t>
        </is>
      </c>
      <c r="B3992" t="inlineStr">
        <is>
          <t>Minneapolis</t>
        </is>
      </c>
      <c r="C3992" t="inlineStr">
        <is>
          <t>United States</t>
        </is>
      </c>
      <c r="D3992" t="inlineStr">
        <is>
          <t>North America</t>
        </is>
      </c>
      <c r="E3992" t="inlineStr">
        <is>
          <t>healthcare_quality_raw</t>
        </is>
      </c>
      <c r="F3992" t="inlineStr">
        <is>
          <t>Healthcare quality raw</t>
        </is>
      </c>
      <c r="G3992" t="inlineStr">
        <is>
          <t>capability</t>
        </is>
      </c>
      <c r="H3992" t="inlineStr">
        <is>
          <t>yes</t>
        </is>
      </c>
      <c r="I3992" t="inlineStr">
        <is>
          <t>88.0</t>
        </is>
      </c>
      <c r="J3992" t="inlineStr">
        <is>
          <t>who_gho</t>
        </is>
      </c>
      <c r="K3992" t="inlineStr">
        <is>
          <t>https://www.who.int/data/gho/data/indicators/indicator-details/GHO/UHC_INDEX_REPORTED</t>
        </is>
      </c>
      <c r="L3992" t="inlineStr">
        <is>
          <t>WHO GHO: UHC Service Coverage Index</t>
        </is>
      </c>
      <c r="M3992" t="inlineStr">
        <is>
          <t>2023-12-31</t>
        </is>
      </c>
      <c r="N3992" t="inlineStr">
        <is>
          <t>auto_ingest=who_gho; indicator=UHC_INDEX_REPORTED; year=2023; country_proxy=United States</t>
        </is>
      </c>
    </row>
    <row r="3993">
      <c r="A3993" t="inlineStr">
        <is>
          <t>us-minneapolis</t>
        </is>
      </c>
      <c r="B3993" t="inlineStr">
        <is>
          <t>Minneapolis</t>
        </is>
      </c>
      <c r="C3993" t="inlineStr">
        <is>
          <t>United States</t>
        </is>
      </c>
      <c r="D3993" t="inlineStr">
        <is>
          <t>North America</t>
        </is>
      </c>
      <c r="E3993" t="inlineStr">
        <is>
          <t>education_quality_raw</t>
        </is>
      </c>
      <c r="F3993" t="inlineStr">
        <is>
          <t>Education quality raw</t>
        </is>
      </c>
      <c r="G3993" t="inlineStr">
        <is>
          <t>capability</t>
        </is>
      </c>
      <c r="H3993" t="inlineStr">
        <is>
          <t>yes</t>
        </is>
      </c>
      <c r="I3993" t="inlineStr">
        <is>
          <t>79.36</t>
        </is>
      </c>
      <c r="J3993" t="inlineStr">
        <is>
          <t>world_bank</t>
        </is>
      </c>
      <c r="K3993" t="inlineStr">
        <is>
          <t>https://api.worldbank.org/v2/country/USA/indicator/SE.TER.ENRR?format=json&amp;mrv=10</t>
        </is>
      </c>
      <c r="L3993" t="inlineStr">
        <is>
          <t>World Bank WDI: School enrollment, tertiary (% gross)</t>
        </is>
      </c>
      <c r="M3993" t="inlineStr">
        <is>
          <t>2022-12-31</t>
        </is>
      </c>
      <c r="N3993" t="inlineStr">
        <is>
          <t>auto_ingest=world_bank_proxy; indicator=SE.TER.ENRR; year=2022; country_proxy=United States</t>
        </is>
      </c>
    </row>
    <row r="3994">
      <c r="A3994" t="inlineStr">
        <is>
          <t>us-minneapolis</t>
        </is>
      </c>
      <c r="B3994" t="inlineStr">
        <is>
          <t>Minneapolis</t>
        </is>
      </c>
      <c r="C3994" t="inlineStr">
        <is>
          <t>United States</t>
        </is>
      </c>
      <c r="D3994" t="inlineStr">
        <is>
          <t>North America</t>
        </is>
      </c>
      <c r="E3994" t="inlineStr">
        <is>
          <t>equal_opportunity_raw</t>
        </is>
      </c>
      <c r="F3994" t="inlineStr">
        <is>
          <t>Equal opportunity raw</t>
        </is>
      </c>
      <c r="G3994" t="inlineStr">
        <is>
          <t>capability</t>
        </is>
      </c>
      <c r="H3994" t="inlineStr">
        <is>
          <t>yes</t>
        </is>
      </c>
      <c r="I3994" t="inlineStr">
        <is>
          <t>41.8</t>
        </is>
      </c>
      <c r="J3994" t="inlineStr">
        <is>
          <t>world_bank</t>
        </is>
      </c>
      <c r="K3994" t="inlineStr">
        <is>
          <t>https://api.worldbank.org/v2/country/USA/indicator/SI.POV.GINI?format=json&amp;mrv=10</t>
        </is>
      </c>
      <c r="L3994" t="inlineStr">
        <is>
          <t>World Bank WDI: Gini index</t>
        </is>
      </c>
      <c r="M3994" t="inlineStr">
        <is>
          <t>2023-12-31</t>
        </is>
      </c>
      <c r="N3994" t="inlineStr">
        <is>
          <t>auto_ingest=world_bank_capability; indicator=SI.POV.GINI; year=2023; country_proxy=United States</t>
        </is>
      </c>
    </row>
    <row r="3995">
      <c r="A3995" t="inlineStr">
        <is>
          <t>us-minneapolis</t>
        </is>
      </c>
      <c r="B3995" t="inlineStr">
        <is>
          <t>Minneapolis</t>
        </is>
      </c>
      <c r="C3995" t="inlineStr">
        <is>
          <t>United States</t>
        </is>
      </c>
      <c r="D3995" t="inlineStr">
        <is>
          <t>North America</t>
        </is>
      </c>
      <c r="E3995" t="inlineStr">
        <is>
          <t>hospitality_belonging_raw</t>
        </is>
      </c>
      <c r="F3995" t="inlineStr">
        <is>
          <t>Hospitality and belonging raw</t>
        </is>
      </c>
      <c r="G3995" t="inlineStr">
        <is>
          <t>community</t>
        </is>
      </c>
      <c r="H3995" t="inlineStr">
        <is>
          <t>yes</t>
        </is>
      </c>
      <c r="I3995" t="inlineStr">
        <is>
          <t>53.62</t>
        </is>
      </c>
      <c r="J3995" t="inlineStr">
        <is>
          <t>world_bank</t>
        </is>
      </c>
      <c r="K3995" t="inlineStr">
        <is>
          <t>https://api.worldbank.org/v2/country/USA/indicator/SM.POP.NETM?format=json&amp;mrv=10</t>
        </is>
      </c>
      <c r="L3995" t="inlineStr">
        <is>
          <t>World Bank WDI: Net migration (proxy for hospitality/belonging — positive = welcoming)</t>
        </is>
      </c>
      <c r="M3995" t="inlineStr">
        <is>
          <t>2025-12-31</t>
        </is>
      </c>
      <c r="N3995" t="inlineStr">
        <is>
          <t>auto_ingest=world_bank_proxy; proxy=net_migration_hospitality; indicator=SM.POP.NETM; year=2025; country_proxy=United States</t>
        </is>
      </c>
    </row>
    <row r="3996">
      <c r="A3996" t="inlineStr">
        <is>
          <t>us-minneapolis</t>
        </is>
      </c>
      <c r="B3996" t="inlineStr">
        <is>
          <t>Minneapolis</t>
        </is>
      </c>
      <c r="C3996" t="inlineStr">
        <is>
          <t>United States</t>
        </is>
      </c>
      <c r="D3996" t="inlineStr">
        <is>
          <t>North America</t>
        </is>
      </c>
      <c r="E3996" t="inlineStr">
        <is>
          <t>tolerance_pluralism_raw</t>
        </is>
      </c>
      <c r="F3996" t="inlineStr">
        <is>
          <t>Tolerance and pluralism raw</t>
        </is>
      </c>
      <c r="G3996" t="inlineStr">
        <is>
          <t>community</t>
        </is>
      </c>
      <c r="H3996" t="inlineStr">
        <is>
          <t>yes</t>
        </is>
      </c>
      <c r="I3996" t="inlineStr">
        <is>
          <t>28.74</t>
        </is>
      </c>
      <c r="J3996" t="inlineStr">
        <is>
          <t>world_bank</t>
        </is>
      </c>
      <c r="K3996" t="inlineStr">
        <is>
          <t>https://api.worldbank.org/v2/country/USA/indicator/SG.GEN.PARL.ZS?format=json&amp;mrv=10</t>
        </is>
      </c>
      <c r="L3996" t="inlineStr">
        <is>
          <t>World Bank WDI: Proportion of seats held by women in national parliaments (%)</t>
        </is>
      </c>
      <c r="M3996" t="inlineStr">
        <is>
          <t>2024-12-31</t>
        </is>
      </c>
      <c r="N3996" t="inlineStr">
        <is>
          <t>auto_ingest=world_bank_proxy; proxy=gender_parity_parliament; indicator=SG.GEN.PARL.ZS; year=2024; country_proxy=United States</t>
        </is>
      </c>
    </row>
    <row r="3997">
      <c r="A3997" t="inlineStr">
        <is>
          <t>us-minneapolis</t>
        </is>
      </c>
      <c r="B3997" t="inlineStr">
        <is>
          <t>Minneapolis</t>
        </is>
      </c>
      <c r="C3997" t="inlineStr">
        <is>
          <t>United States</t>
        </is>
      </c>
      <c r="D3997" t="inlineStr">
        <is>
          <t>North America</t>
        </is>
      </c>
      <c r="E3997" t="inlineStr">
        <is>
          <t>cultural_public_life_raw</t>
        </is>
      </c>
      <c r="F3997" t="inlineStr">
        <is>
          <t>Cultural public life raw</t>
        </is>
      </c>
      <c r="G3997" t="inlineStr">
        <is>
          <t>community</t>
        </is>
      </c>
      <c r="H3997" t="inlineStr">
        <is>
          <t>yes</t>
        </is>
      </c>
      <c r="I3997" t="inlineStr">
        <is>
          <t>132.42</t>
        </is>
      </c>
      <c r="J3997" t="inlineStr">
        <is>
          <t>world_bank</t>
        </is>
      </c>
      <c r="K3997" t="inlineStr">
        <is>
          <t>https://api.worldbank.org/v2/country/USA/indicator/ST.INT.ARVL?format=json&amp;mrv=10</t>
        </is>
      </c>
      <c r="L3997" t="inlineStr">
        <is>
          <t>World Bank WDI: International tourism arrivals per 1 000 population</t>
        </is>
      </c>
      <c r="M3997" t="inlineStr">
        <is>
          <t>2020-12-31</t>
        </is>
      </c>
      <c r="N3997" t="inlineStr">
        <is>
          <t>auto_ingest=cultural_life_proxy; indicator=ST.INT.ARVL; norm=per_1000_pop; year=2020; country_proxy=United States</t>
        </is>
      </c>
    </row>
    <row r="3998">
      <c r="A3998" t="inlineStr">
        <is>
          <t>us-minneapolis</t>
        </is>
      </c>
      <c r="B3998" t="inlineStr">
        <is>
          <t>Minneapolis</t>
        </is>
      </c>
      <c r="C3998" t="inlineStr">
        <is>
          <t>United States</t>
        </is>
      </c>
      <c r="D3998" t="inlineStr">
        <is>
          <t>North America</t>
        </is>
      </c>
      <c r="E3998" t="inlineStr">
        <is>
          <t>birth_rate_optimism_raw</t>
        </is>
      </c>
      <c r="F3998" t="inlineStr">
        <is>
          <t>Birth rate and societal optimism raw</t>
        </is>
      </c>
      <c r="G3998" t="inlineStr">
        <is>
          <t>community</t>
        </is>
      </c>
      <c r="H3998" t="inlineStr">
        <is>
          <t>yes</t>
        </is>
      </c>
      <c r="I3998" t="inlineStr">
        <is>
          <t>1.62</t>
        </is>
      </c>
      <c r="J3998" t="inlineStr">
        <is>
          <t>world_bank</t>
        </is>
      </c>
      <c r="K3998" t="inlineStr">
        <is>
          <t>https://data.worldbank.org/indicator/SP.DYN.TFRT.IN</t>
        </is>
      </c>
      <c r="L3998" t="inlineStr">
        <is>
          <t>World Bank Total Fertility Rate 2023</t>
        </is>
      </c>
      <c r="M3998" t="inlineStr">
        <is>
          <t>2024-01-01</t>
        </is>
      </c>
      <c r="N3998" t="inlineStr"/>
    </row>
    <row r="3999">
      <c r="A3999" t="inlineStr">
        <is>
          <t>us-minneapolis</t>
        </is>
      </c>
      <c r="B3999" t="inlineStr">
        <is>
          <t>Minneapolis</t>
        </is>
      </c>
      <c r="C3999" t="inlineStr">
        <is>
          <t>United States</t>
        </is>
      </c>
      <c r="D3999" t="inlineStr">
        <is>
          <t>North America</t>
        </is>
      </c>
      <c r="E3999" t="inlineStr">
        <is>
          <t>entrepreneurial_dynamism_raw</t>
        </is>
      </c>
      <c r="F3999" t="inlineStr">
        <is>
          <t>Entrepreneurial dynamism raw</t>
        </is>
      </c>
      <c r="G3999" t="inlineStr">
        <is>
          <t>creative</t>
        </is>
      </c>
      <c r="H3999" t="inlineStr">
        <is>
          <t>yes</t>
        </is>
      </c>
      <c r="I3999" t="inlineStr"/>
      <c r="J3999" t="inlineStr"/>
      <c r="K3999" t="inlineStr"/>
      <c r="L3999" t="inlineStr"/>
      <c r="M3999" t="inlineStr"/>
      <c r="N3999" t="inlineStr"/>
    </row>
    <row r="4000">
      <c r="A4000" t="inlineStr">
        <is>
          <t>us-minneapolis</t>
        </is>
      </c>
      <c r="B4000" t="inlineStr">
        <is>
          <t>Minneapolis</t>
        </is>
      </c>
      <c r="C4000" t="inlineStr">
        <is>
          <t>United States</t>
        </is>
      </c>
      <c r="D4000" t="inlineStr">
        <is>
          <t>North America</t>
        </is>
      </c>
      <c r="E4000" t="inlineStr">
        <is>
          <t>innovation_research_intensity_raw</t>
        </is>
      </c>
      <c r="F4000" t="inlineStr">
        <is>
          <t>Innovation and research raw</t>
        </is>
      </c>
      <c r="G4000" t="inlineStr">
        <is>
          <t>creative</t>
        </is>
      </c>
      <c r="H4000" t="inlineStr">
        <is>
          <t>yes</t>
        </is>
      </c>
      <c r="I4000" t="inlineStr">
        <is>
          <t>3.59</t>
        </is>
      </c>
      <c r="J4000" t="inlineStr">
        <is>
          <t>world_bank</t>
        </is>
      </c>
      <c r="K4000" t="inlineStr">
        <is>
          <t>https://api.worldbank.org/v2/country/USA/indicator/GB.XPD.RSDV.GD.ZS?format=json&amp;mrv=10</t>
        </is>
      </c>
      <c r="L4000" t="inlineStr">
        <is>
          <t>World Bank WDI: Research and development expenditure (% of GDP)</t>
        </is>
      </c>
      <c r="M4000" t="inlineStr">
        <is>
          <t>2022-12-31</t>
        </is>
      </c>
      <c r="N4000" t="inlineStr">
        <is>
          <t>auto_ingest=world_bank_creative_extended; indicator=GB.XPD.RSDV.GD.ZS; year=2022; country_proxy=United States</t>
        </is>
      </c>
    </row>
    <row r="4001">
      <c r="A4001" t="inlineStr">
        <is>
          <t>us-minneapolis</t>
        </is>
      </c>
      <c r="B4001" t="inlineStr">
        <is>
          <t>Minneapolis</t>
        </is>
      </c>
      <c r="C4001" t="inlineStr">
        <is>
          <t>United States</t>
        </is>
      </c>
      <c r="D4001" t="inlineStr">
        <is>
          <t>North America</t>
        </is>
      </c>
      <c r="E4001" t="inlineStr">
        <is>
          <t>investment_signal_raw</t>
        </is>
      </c>
      <c r="F4001" t="inlineStr">
        <is>
          <t>Investment signal raw</t>
        </is>
      </c>
      <c r="G4001" t="inlineStr">
        <is>
          <t>creative</t>
        </is>
      </c>
      <c r="H4001" t="inlineStr">
        <is>
          <t>yes</t>
        </is>
      </c>
      <c r="I4001" t="inlineStr">
        <is>
          <t>1.03</t>
        </is>
      </c>
      <c r="J4001" t="inlineStr">
        <is>
          <t>world_bank</t>
        </is>
      </c>
      <c r="K4001" t="inlineStr">
        <is>
          <t>https://api.worldbank.org/v2/country/USA/indicator/BX.KLT.DINV.WD.GD.ZS?format=json&amp;mrv=10</t>
        </is>
      </c>
      <c r="L4001" t="inlineStr">
        <is>
          <t>World Bank WDI: Foreign direct investment, net inflows (% of GDP)</t>
        </is>
      </c>
      <c r="M4001" t="inlineStr">
        <is>
          <t>2024-12-31</t>
        </is>
      </c>
      <c r="N4001" t="inlineStr">
        <is>
          <t>auto_ingest=world_bank_creative_extended; indicator=BX.KLT.DINV.WD.GD.ZS; year=2024; country_proxy=United States</t>
        </is>
      </c>
    </row>
    <row r="4002">
      <c r="A4002" t="inlineStr">
        <is>
          <t>us-minneapolis</t>
        </is>
      </c>
      <c r="B4002" t="inlineStr">
        <is>
          <t>Minneapolis</t>
        </is>
      </c>
      <c r="C4002" t="inlineStr">
        <is>
          <t>United States</t>
        </is>
      </c>
      <c r="D4002" t="inlineStr">
        <is>
          <t>North America</t>
        </is>
      </c>
      <c r="E4002" t="inlineStr">
        <is>
          <t>administrative_investment_friction_raw</t>
        </is>
      </c>
      <c r="F4002" t="inlineStr">
        <is>
          <t>Administrative investment friction raw</t>
        </is>
      </c>
      <c r="G4002" t="inlineStr">
        <is>
          <t>creative</t>
        </is>
      </c>
      <c r="H4002" t="inlineStr">
        <is>
          <t>yes</t>
        </is>
      </c>
      <c r="I4002" t="inlineStr">
        <is>
          <t>1.11</t>
        </is>
      </c>
      <c r="J4002" t="inlineStr">
        <is>
          <t>world_bank</t>
        </is>
      </c>
      <c r="K4002" t="inlineStr">
        <is>
          <t>https://api.worldbank.org/v2/country/USA/indicator/RQ.EST?format=json&amp;mrv=10</t>
        </is>
      </c>
      <c r="L4002" t="inlineStr">
        <is>
          <t>World Bank WGI: Regulatory Quality (inverted as friction proxy)</t>
        </is>
      </c>
      <c r="M4002" t="inlineStr">
        <is>
          <t>2023-12-31</t>
        </is>
      </c>
      <c r="N4002" t="inlineStr">
        <is>
          <t>auto_ingest=world_bank_business_friction; indicator=RQ.EST; raw_rq=1.39373278617859; friction=1.11; year=2023; country_proxy=United States</t>
        </is>
      </c>
    </row>
    <row r="4003">
      <c r="A4003" t="inlineStr">
        <is>
          <t>us-minneapolis</t>
        </is>
      </c>
      <c r="B4003" t="inlineStr">
        <is>
          <t>Minneapolis</t>
        </is>
      </c>
      <c r="C4003" t="inlineStr">
        <is>
          <t>United States</t>
        </is>
      </c>
      <c r="D4003" t="inlineStr">
        <is>
          <t>North America</t>
        </is>
      </c>
      <c r="E4003" t="inlineStr">
        <is>
          <t>visitor_flow_context_raw</t>
        </is>
      </c>
      <c r="F4003" t="inlineStr">
        <is>
          <t>Visitor flow context raw</t>
        </is>
      </c>
      <c r="G4003" t="inlineStr">
        <is>
          <t>creative</t>
        </is>
      </c>
      <c r="H4003" t="inlineStr">
        <is>
          <t>no</t>
        </is>
      </c>
      <c r="I4003" t="inlineStr"/>
      <c r="J4003" t="inlineStr"/>
      <c r="K4003" t="inlineStr"/>
      <c r="L4003" t="inlineStr"/>
      <c r="M4003" t="inlineStr"/>
      <c r="N4003" t="inlineStr"/>
    </row>
    <row r="4004">
      <c r="A4004" t="inlineStr">
        <is>
          <t>us-raleigh</t>
        </is>
      </c>
      <c r="B4004" t="inlineStr">
        <is>
          <t>Raleigh</t>
        </is>
      </c>
      <c r="C4004" t="inlineStr">
        <is>
          <t>United States</t>
        </is>
      </c>
      <c r="D4004" t="inlineStr">
        <is>
          <t>North America</t>
        </is>
      </c>
      <c r="E4004" t="inlineStr">
        <is>
          <t>gross_income</t>
        </is>
      </c>
      <c r="F4004" t="inlineStr">
        <is>
          <t>Gross income</t>
        </is>
      </c>
      <c r="G4004" t="inlineStr">
        <is>
          <t>pressure</t>
        </is>
      </c>
      <c r="H4004" t="inlineStr">
        <is>
          <t>yes</t>
        </is>
      </c>
      <c r="I4004" t="inlineStr">
        <is>
          <t>7165.0</t>
        </is>
      </c>
      <c r="J4004" t="inlineStr">
        <is>
          <t>world_bank_col_estimate</t>
        </is>
      </c>
      <c r="K4004" t="inlineStr">
        <is>
          <t>https://api.worldbank.org/v2/country/USA/indicator/NY.GNP.PCAP.PP.CD?format=json&amp;mrv=10</t>
        </is>
      </c>
      <c r="L4004" t="inlineStr">
        <is>
          <t>World Bank WDI: GNI per capita PPP (monthly USD)</t>
        </is>
      </c>
      <c r="M4004" t="inlineStr">
        <is>
          <t>2024-12-31</t>
        </is>
      </c>
      <c r="N4004" t="inlineStr">
        <is>
          <t>auto_ingest=world_bank_col_estimate; gni_annual=85980.0; year=2024; country_proxy=United States; cohort=North America</t>
        </is>
      </c>
    </row>
    <row r="4005">
      <c r="A4005" t="inlineStr">
        <is>
          <t>us-raleigh</t>
        </is>
      </c>
      <c r="B4005" t="inlineStr">
        <is>
          <t>Raleigh</t>
        </is>
      </c>
      <c r="C4005" t="inlineStr">
        <is>
          <t>United States</t>
        </is>
      </c>
      <c r="D4005" t="inlineStr">
        <is>
          <t>North America</t>
        </is>
      </c>
      <c r="E4005" t="inlineStr">
        <is>
          <t>di_ppp_raw</t>
        </is>
      </c>
      <c r="F4005" t="inlineStr">
        <is>
          <t>Disposable income PPP (Raw)</t>
        </is>
      </c>
      <c r="G4005" t="inlineStr">
        <is>
          <t>pressure</t>
        </is>
      </c>
      <c r="H4005" t="inlineStr">
        <is>
          <t>yes</t>
        </is>
      </c>
      <c r="I4005" t="inlineStr"/>
      <c r="J4005" t="inlineStr"/>
      <c r="K4005" t="inlineStr"/>
      <c r="L4005" t="inlineStr"/>
      <c r="M4005" t="inlineStr"/>
      <c r="N4005" t="inlineStr"/>
    </row>
    <row r="4006">
      <c r="A4006" t="inlineStr">
        <is>
          <t>us-raleigh</t>
        </is>
      </c>
      <c r="B4006" t="inlineStr">
        <is>
          <t>Raleigh</t>
        </is>
      </c>
      <c r="C4006" t="inlineStr">
        <is>
          <t>United States</t>
        </is>
      </c>
      <c r="D4006" t="inlineStr">
        <is>
          <t>North America</t>
        </is>
      </c>
      <c r="E4006" t="inlineStr">
        <is>
          <t>rent</t>
        </is>
      </c>
      <c r="F4006" t="inlineStr">
        <is>
          <t>Rent</t>
        </is>
      </c>
      <c r="G4006" t="inlineStr">
        <is>
          <t>pressure</t>
        </is>
      </c>
      <c r="H4006" t="inlineStr">
        <is>
          <t>yes</t>
        </is>
      </c>
      <c r="I4006" t="inlineStr">
        <is>
          <t>2131.59</t>
        </is>
      </c>
      <c r="J4006" t="inlineStr">
        <is>
          <t>world_bank_col_estimate</t>
        </is>
      </c>
      <c r="K4006" t="inlineStr">
        <is>
          <t>https://api.worldbank.org/v2/country/USA/indicator/NY.GNP.PCAP.PP.CD?format=json&amp;mrv=10</t>
        </is>
      </c>
      <c r="L4006" t="inlineStr">
        <is>
          <t>World Bank GNI + regional expenditure ratio estimate</t>
        </is>
      </c>
      <c r="M4006" t="inlineStr">
        <is>
          <t>2024-12-31</t>
        </is>
      </c>
      <c r="N4006" t="inlineStr">
        <is>
          <t>auto_ingest=world_bank_col_estimate; gni_annual=85980.0; year=2024; country_proxy=United States; cohort=North America; city_cost_mult=0.85</t>
        </is>
      </c>
    </row>
    <row r="4007">
      <c r="A4007" t="inlineStr">
        <is>
          <t>us-raleigh</t>
        </is>
      </c>
      <c r="B4007" t="inlineStr">
        <is>
          <t>Raleigh</t>
        </is>
      </c>
      <c r="C4007" t="inlineStr">
        <is>
          <t>United States</t>
        </is>
      </c>
      <c r="D4007" t="inlineStr">
        <is>
          <t>North America</t>
        </is>
      </c>
      <c r="E4007" t="inlineStr">
        <is>
          <t>utilities</t>
        </is>
      </c>
      <c r="F4007" t="inlineStr">
        <is>
          <t>Utilities</t>
        </is>
      </c>
      <c r="G4007" t="inlineStr">
        <is>
          <t>pressure</t>
        </is>
      </c>
      <c r="H4007" t="inlineStr">
        <is>
          <t>yes</t>
        </is>
      </c>
      <c r="I4007" t="inlineStr">
        <is>
          <t>426.32</t>
        </is>
      </c>
      <c r="J4007" t="inlineStr">
        <is>
          <t>world_bank_col_estimate</t>
        </is>
      </c>
      <c r="K4007" t="inlineStr">
        <is>
          <t>https://api.worldbank.org/v2/country/USA/indicator/NY.GNP.PCAP.PP.CD?format=json&amp;mrv=10</t>
        </is>
      </c>
      <c r="L4007" t="inlineStr">
        <is>
          <t>World Bank GNI + regional expenditure ratio estimate</t>
        </is>
      </c>
      <c r="M4007" t="inlineStr">
        <is>
          <t>2024-12-31</t>
        </is>
      </c>
      <c r="N4007" t="inlineStr">
        <is>
          <t>auto_ingest=world_bank_col_estimate; gni_annual=85980.0; year=2024; country_proxy=United States; cohort=North America; city_cost_mult=0.85</t>
        </is>
      </c>
    </row>
    <row r="4008">
      <c r="A4008" t="inlineStr">
        <is>
          <t>us-raleigh</t>
        </is>
      </c>
      <c r="B4008" t="inlineStr">
        <is>
          <t>Raleigh</t>
        </is>
      </c>
      <c r="C4008" t="inlineStr">
        <is>
          <t>United States</t>
        </is>
      </c>
      <c r="D4008" t="inlineStr">
        <is>
          <t>North America</t>
        </is>
      </c>
      <c r="E4008" t="inlineStr">
        <is>
          <t>transit_cost</t>
        </is>
      </c>
      <c r="F4008" t="inlineStr">
        <is>
          <t>Transit cost</t>
        </is>
      </c>
      <c r="G4008" t="inlineStr">
        <is>
          <t>pressure</t>
        </is>
      </c>
      <c r="H4008" t="inlineStr">
        <is>
          <t>yes</t>
        </is>
      </c>
      <c r="I4008" t="inlineStr">
        <is>
          <t>304.51</t>
        </is>
      </c>
      <c r="J4008" t="inlineStr">
        <is>
          <t>world_bank_col_estimate</t>
        </is>
      </c>
      <c r="K4008" t="inlineStr">
        <is>
          <t>https://api.worldbank.org/v2/country/USA/indicator/NY.GNP.PCAP.PP.CD?format=json&amp;mrv=10</t>
        </is>
      </c>
      <c r="L4008" t="inlineStr">
        <is>
          <t>World Bank GNI + regional expenditure ratio estimate</t>
        </is>
      </c>
      <c r="M4008" t="inlineStr">
        <is>
          <t>2024-12-31</t>
        </is>
      </c>
      <c r="N4008" t="inlineStr">
        <is>
          <t>auto_ingest=world_bank_col_estimate; gni_annual=85980.0; year=2024; country_proxy=United States; cohort=North America; city_cost_mult=0.85</t>
        </is>
      </c>
    </row>
    <row r="4009">
      <c r="A4009" t="inlineStr">
        <is>
          <t>us-raleigh</t>
        </is>
      </c>
      <c r="B4009" t="inlineStr">
        <is>
          <t>Raleigh</t>
        </is>
      </c>
      <c r="C4009" t="inlineStr">
        <is>
          <t>United States</t>
        </is>
      </c>
      <c r="D4009" t="inlineStr">
        <is>
          <t>North America</t>
        </is>
      </c>
      <c r="E4009" t="inlineStr">
        <is>
          <t>internet_cost</t>
        </is>
      </c>
      <c r="F4009" t="inlineStr">
        <is>
          <t>Internet cost</t>
        </is>
      </c>
      <c r="G4009" t="inlineStr">
        <is>
          <t>pressure</t>
        </is>
      </c>
      <c r="H4009" t="inlineStr">
        <is>
          <t>yes</t>
        </is>
      </c>
      <c r="I4009" t="inlineStr">
        <is>
          <t>121.81</t>
        </is>
      </c>
      <c r="J4009" t="inlineStr">
        <is>
          <t>world_bank_col_estimate</t>
        </is>
      </c>
      <c r="K4009" t="inlineStr">
        <is>
          <t>https://api.worldbank.org/v2/country/USA/indicator/NY.GNP.PCAP.PP.CD?format=json&amp;mrv=10</t>
        </is>
      </c>
      <c r="L4009" t="inlineStr">
        <is>
          <t>World Bank GNI + regional expenditure ratio estimate</t>
        </is>
      </c>
      <c r="M4009" t="inlineStr">
        <is>
          <t>2024-12-31</t>
        </is>
      </c>
      <c r="N4009" t="inlineStr">
        <is>
          <t>auto_ingest=world_bank_col_estimate; gni_annual=85980.0; year=2024; country_proxy=United States; cohort=North America; city_cost_mult=0.85</t>
        </is>
      </c>
    </row>
    <row r="4010">
      <c r="A4010" t="inlineStr">
        <is>
          <t>us-raleigh</t>
        </is>
      </c>
      <c r="B4010" t="inlineStr">
        <is>
          <t>Raleigh</t>
        </is>
      </c>
      <c r="C4010" t="inlineStr">
        <is>
          <t>United States</t>
        </is>
      </c>
      <c r="D4010" t="inlineStr">
        <is>
          <t>North America</t>
        </is>
      </c>
      <c r="E4010" t="inlineStr">
        <is>
          <t>food_cost</t>
        </is>
      </c>
      <c r="F4010" t="inlineStr">
        <is>
          <t>Food cost</t>
        </is>
      </c>
      <c r="G4010" t="inlineStr">
        <is>
          <t>pressure</t>
        </is>
      </c>
      <c r="H4010" t="inlineStr">
        <is>
          <t>yes</t>
        </is>
      </c>
      <c r="I4010" t="inlineStr">
        <is>
          <t>913.54</t>
        </is>
      </c>
      <c r="J4010" t="inlineStr">
        <is>
          <t>world_bank_col_estimate</t>
        </is>
      </c>
      <c r="K4010" t="inlineStr">
        <is>
          <t>https://api.worldbank.org/v2/country/USA/indicator/NY.GNP.PCAP.PP.CD?format=json&amp;mrv=10</t>
        </is>
      </c>
      <c r="L4010" t="inlineStr">
        <is>
          <t>World Bank GNI + regional expenditure ratio estimate</t>
        </is>
      </c>
      <c r="M4010" t="inlineStr">
        <is>
          <t>2024-12-31</t>
        </is>
      </c>
      <c r="N4010" t="inlineStr">
        <is>
          <t>auto_ingest=world_bank_col_estimate; gni_annual=85980.0; year=2024; country_proxy=United States; cohort=North America; city_cost_mult=0.85</t>
        </is>
      </c>
    </row>
    <row r="4011">
      <c r="A4011" t="inlineStr">
        <is>
          <t>us-raleigh</t>
        </is>
      </c>
      <c r="B4011" t="inlineStr">
        <is>
          <t>Raleigh</t>
        </is>
      </c>
      <c r="C4011" t="inlineStr">
        <is>
          <t>United States</t>
        </is>
      </c>
      <c r="D4011" t="inlineStr">
        <is>
          <t>North America</t>
        </is>
      </c>
      <c r="E4011" t="inlineStr">
        <is>
          <t>housing_burden_raw</t>
        </is>
      </c>
      <c r="F4011" t="inlineStr">
        <is>
          <t>Housing burden raw</t>
        </is>
      </c>
      <c r="G4011" t="inlineStr">
        <is>
          <t>pressure</t>
        </is>
      </c>
      <c r="H4011" t="inlineStr">
        <is>
          <t>yes</t>
        </is>
      </c>
      <c r="I4011" t="inlineStr">
        <is>
          <t>29.75</t>
        </is>
      </c>
      <c r="J4011" t="inlineStr">
        <is>
          <t>derived</t>
        </is>
      </c>
      <c r="K4011" t="inlineStr">
        <is>
          <t>https://data.worldbank.org/indicator/NY.GNP.PCAP.PP.CD</t>
        </is>
      </c>
      <c r="L4011" t="inlineStr">
        <is>
          <t>Computed from city_inputs + country_context</t>
        </is>
      </c>
      <c r="M4011" t="inlineStr">
        <is>
          <t>2024-01-01</t>
        </is>
      </c>
      <c r="N4011" t="inlineStr">
        <is>
          <t>derived=rent/gross_income*100</t>
        </is>
      </c>
    </row>
    <row r="4012">
      <c r="A4012" t="inlineStr">
        <is>
          <t>us-raleigh</t>
        </is>
      </c>
      <c r="B4012" t="inlineStr">
        <is>
          <t>Raleigh</t>
        </is>
      </c>
      <c r="C4012" t="inlineStr">
        <is>
          <t>United States</t>
        </is>
      </c>
      <c r="D4012" t="inlineStr">
        <is>
          <t>North America</t>
        </is>
      </c>
      <c r="E4012" t="inlineStr">
        <is>
          <t>household_debt_burden_raw</t>
        </is>
      </c>
      <c r="F4012" t="inlineStr">
        <is>
          <t>Household debt burden raw</t>
        </is>
      </c>
      <c r="G4012" t="inlineStr">
        <is>
          <t>pressure</t>
        </is>
      </c>
      <c r="H4012" t="inlineStr">
        <is>
          <t>yes</t>
        </is>
      </c>
      <c r="I4012" t="inlineStr">
        <is>
          <t>46.8411</t>
        </is>
      </c>
      <c r="J4012" t="inlineStr">
        <is>
          <t>derived</t>
        </is>
      </c>
      <c r="K4012" t="inlineStr">
        <is>
          <t>https://data.worldbank.org/indicator/NY.GNP.PCAP.PP.CD</t>
        </is>
      </c>
      <c r="L4012" t="inlineStr">
        <is>
          <t>Computed from city_inputs + country_context</t>
        </is>
      </c>
      <c r="M4012" t="inlineStr">
        <is>
          <t>2024-01-01</t>
        </is>
      </c>
      <c r="N4012" t="inlineStr">
        <is>
          <t>derived=country_context.household_debt_proxy; country=United States</t>
        </is>
      </c>
    </row>
    <row r="4013">
      <c r="A4013" t="inlineStr">
        <is>
          <t>us-raleigh</t>
        </is>
      </c>
      <c r="B4013" t="inlineStr">
        <is>
          <t>Raleigh</t>
        </is>
      </c>
      <c r="C4013" t="inlineStr">
        <is>
          <t>United States</t>
        </is>
      </c>
      <c r="D4013" t="inlineStr">
        <is>
          <t>North America</t>
        </is>
      </c>
      <c r="E4013" t="inlineStr">
        <is>
          <t>working_time_pressure_raw</t>
        </is>
      </c>
      <c r="F4013" t="inlineStr">
        <is>
          <t>Working time pressure raw</t>
        </is>
      </c>
      <c r="G4013" t="inlineStr">
        <is>
          <t>pressure</t>
        </is>
      </c>
      <c r="H4013" t="inlineStr">
        <is>
          <t>yes</t>
        </is>
      </c>
      <c r="I4013" t="inlineStr">
        <is>
          <t>37.54</t>
        </is>
      </c>
      <c r="J4013" t="inlineStr">
        <is>
          <t>ilo_ilostat</t>
        </is>
      </c>
      <c r="K4013" t="inlineStr">
        <is>
          <t>https://ilostat.ilo.org/data/indicator/?id=HOW_TEMP_SEX_ECO_NB_A&amp;ref_area=USA</t>
        </is>
      </c>
      <c r="L4013" t="inlineStr">
        <is>
          <t>ILO ILOSTAT: Mean weekly hours actually worked per employed person</t>
        </is>
      </c>
      <c r="M4013" t="inlineStr">
        <is>
          <t>2025-12-31</t>
        </is>
      </c>
      <c r="N4013" t="inlineStr">
        <is>
          <t>auto_ingest=ilo_working_hours; indicator=HOW_TEMP_SEX_ECO_NB_A; year=2025; hours=37.54; country_proxy=United States</t>
        </is>
      </c>
    </row>
    <row r="4014">
      <c r="A4014" t="inlineStr">
        <is>
          <t>us-raleigh</t>
        </is>
      </c>
      <c r="B4014" t="inlineStr">
        <is>
          <t>Raleigh</t>
        </is>
      </c>
      <c r="C4014" t="inlineStr">
        <is>
          <t>United States</t>
        </is>
      </c>
      <c r="D4014" t="inlineStr">
        <is>
          <t>North America</t>
        </is>
      </c>
      <c r="E4014" t="inlineStr">
        <is>
          <t>suicide_mental_strain_raw</t>
        </is>
      </c>
      <c r="F4014" t="inlineStr">
        <is>
          <t>Suicide or mental strain raw</t>
        </is>
      </c>
      <c r="G4014" t="inlineStr">
        <is>
          <t>pressure</t>
        </is>
      </c>
      <c r="H4014" t="inlineStr">
        <is>
          <t>yes</t>
        </is>
      </c>
      <c r="I4014" t="inlineStr">
        <is>
          <t>15.63</t>
        </is>
      </c>
      <c r="J4014" t="inlineStr">
        <is>
          <t>who_gho</t>
        </is>
      </c>
      <c r="K4014" t="inlineStr">
        <is>
          <t>https://www.who.int/data/gho/data/indicators/indicator-details/GHO/SDGSUICIDE</t>
        </is>
      </c>
      <c r="L4014" t="inlineStr">
        <is>
          <t>WHO GHO: Age-standardized suicide rate (per 100,000 population)</t>
        </is>
      </c>
      <c r="M4014" t="inlineStr">
        <is>
          <t>2021-12-31</t>
        </is>
      </c>
      <c r="N4014" t="inlineStr">
        <is>
          <t>auto_ingest=who_gho; indicator=SDGSUICIDE; year=2021; country_proxy=United States</t>
        </is>
      </c>
    </row>
    <row r="4015">
      <c r="A4015" t="inlineStr">
        <is>
          <t>us-raleigh</t>
        </is>
      </c>
      <c r="B4015" t="inlineStr">
        <is>
          <t>Raleigh</t>
        </is>
      </c>
      <c r="C4015" t="inlineStr">
        <is>
          <t>United States</t>
        </is>
      </c>
      <c r="D4015" t="inlineStr">
        <is>
          <t>North America</t>
        </is>
      </c>
      <c r="E4015" t="inlineStr">
        <is>
          <t>personal_safety_raw</t>
        </is>
      </c>
      <c r="F4015" t="inlineStr">
        <is>
          <t>Personal safety raw</t>
        </is>
      </c>
      <c r="G4015" t="inlineStr">
        <is>
          <t>viability</t>
        </is>
      </c>
      <c r="H4015" t="inlineStr">
        <is>
          <t>yes</t>
        </is>
      </c>
      <c r="I4015" t="inlineStr">
        <is>
          <t>5.76</t>
        </is>
      </c>
      <c r="J4015" t="inlineStr">
        <is>
          <t>world_bank</t>
        </is>
      </c>
      <c r="K4015" t="inlineStr">
        <is>
          <t>https://api.worldbank.org/v2/country/USA/indicator/VC.IHR.PSRC.P5?format=json&amp;mrv=10</t>
        </is>
      </c>
      <c r="L4015" t="inlineStr">
        <is>
          <t>UNODC via World Bank WDI: Intentional homicides (per 100,000 people)</t>
        </is>
      </c>
      <c r="M4015" t="inlineStr">
        <is>
          <t>2023-12-31</t>
        </is>
      </c>
      <c r="N4015" t="inlineStr">
        <is>
          <t>auto_ingest=unodc_safety; indicator=VC.IHR.PSRC.P5; year=2023; country_proxy=United States</t>
        </is>
      </c>
    </row>
    <row r="4016">
      <c r="A4016" t="inlineStr">
        <is>
          <t>us-raleigh</t>
        </is>
      </c>
      <c r="B4016" t="inlineStr">
        <is>
          <t>Raleigh</t>
        </is>
      </c>
      <c r="C4016" t="inlineStr">
        <is>
          <t>United States</t>
        </is>
      </c>
      <c r="D4016" t="inlineStr">
        <is>
          <t>North America</t>
        </is>
      </c>
      <c r="E4016" t="inlineStr">
        <is>
          <t>transit_access_commute_raw</t>
        </is>
      </c>
      <c r="F4016" t="inlineStr">
        <is>
          <t>Transit access and commute raw</t>
        </is>
      </c>
      <c r="G4016" t="inlineStr">
        <is>
          <t>viability</t>
        </is>
      </c>
      <c r="H4016" t="inlineStr">
        <is>
          <t>yes</t>
        </is>
      </c>
      <c r="I4016" t="inlineStr"/>
      <c r="J4016" t="inlineStr"/>
      <c r="K4016" t="inlineStr"/>
      <c r="L4016" t="inlineStr"/>
      <c r="M4016" t="inlineStr"/>
      <c r="N4016" t="inlineStr"/>
    </row>
    <row r="4017">
      <c r="A4017" t="inlineStr">
        <is>
          <t>us-raleigh</t>
        </is>
      </c>
      <c r="B4017" t="inlineStr">
        <is>
          <t>Raleigh</t>
        </is>
      </c>
      <c r="C4017" t="inlineStr">
        <is>
          <t>United States</t>
        </is>
      </c>
      <c r="D4017" t="inlineStr">
        <is>
          <t>North America</t>
        </is>
      </c>
      <c r="E4017" t="inlineStr">
        <is>
          <t>clean_air_raw</t>
        </is>
      </c>
      <c r="F4017" t="inlineStr">
        <is>
          <t>Clean air raw</t>
        </is>
      </c>
      <c r="G4017" t="inlineStr">
        <is>
          <t>viability</t>
        </is>
      </c>
      <c r="H4017" t="inlineStr">
        <is>
          <t>yes</t>
        </is>
      </c>
      <c r="I4017" t="inlineStr"/>
      <c r="J4017" t="inlineStr"/>
      <c r="K4017" t="inlineStr"/>
      <c r="L4017" t="inlineStr"/>
      <c r="M4017" t="inlineStr"/>
      <c r="N4017" t="inlineStr"/>
    </row>
    <row r="4018">
      <c r="A4018" t="inlineStr">
        <is>
          <t>us-raleigh</t>
        </is>
      </c>
      <c r="B4018" t="inlineStr">
        <is>
          <t>Raleigh</t>
        </is>
      </c>
      <c r="C4018" t="inlineStr">
        <is>
          <t>United States</t>
        </is>
      </c>
      <c r="D4018" t="inlineStr">
        <is>
          <t>North America</t>
        </is>
      </c>
      <c r="E4018" t="inlineStr">
        <is>
          <t>water_sanitation_utility_raw</t>
        </is>
      </c>
      <c r="F4018" t="inlineStr">
        <is>
          <t>Water, sanitation, and utility raw</t>
        </is>
      </c>
      <c r="G4018" t="inlineStr">
        <is>
          <t>viability</t>
        </is>
      </c>
      <c r="H4018" t="inlineStr">
        <is>
          <t>yes</t>
        </is>
      </c>
      <c r="I4018" t="inlineStr">
        <is>
          <t>97.57</t>
        </is>
      </c>
      <c r="J4018" t="inlineStr">
        <is>
          <t>world_bank</t>
        </is>
      </c>
      <c r="K4018" t="inlineStr">
        <is>
          <t>https://api.worldbank.org/v2/country/USA/indicator/SH.H2O.SMDW.ZS?format=json&amp;mrv=10</t>
        </is>
      </c>
      <c r="L4018" t="inlineStr">
        <is>
          <t>World Bank WDI: People using safely managed drinking water services (% of population)</t>
        </is>
      </c>
      <c r="M4018" t="inlineStr">
        <is>
          <t>2024-12-31</t>
        </is>
      </c>
      <c r="N4018" t="inlineStr">
        <is>
          <t>auto_ingest=world_bank_proxy; indicator=SH.H2O.SMDW.ZS; year=2024; country_proxy=United States</t>
        </is>
      </c>
    </row>
    <row r="4019">
      <c r="A4019" t="inlineStr">
        <is>
          <t>us-raleigh</t>
        </is>
      </c>
      <c r="B4019" t="inlineStr">
        <is>
          <t>Raleigh</t>
        </is>
      </c>
      <c r="C4019" t="inlineStr">
        <is>
          <t>United States</t>
        </is>
      </c>
      <c r="D4019" t="inlineStr">
        <is>
          <t>North America</t>
        </is>
      </c>
      <c r="E4019" t="inlineStr">
        <is>
          <t>digital_infrastructure_raw</t>
        </is>
      </c>
      <c r="F4019" t="inlineStr">
        <is>
          <t>Digital infrastructure raw</t>
        </is>
      </c>
      <c r="G4019" t="inlineStr">
        <is>
          <t>viability</t>
        </is>
      </c>
      <c r="H4019" t="inlineStr">
        <is>
          <t>yes</t>
        </is>
      </c>
      <c r="I4019" t="inlineStr">
        <is>
          <t>38.15</t>
        </is>
      </c>
      <c r="J4019" t="inlineStr">
        <is>
          <t>world_bank</t>
        </is>
      </c>
      <c r="K4019" t="inlineStr">
        <is>
          <t>https://api.worldbank.org/v2/country/USA/indicator/IT.NET.BBND.P2?format=json&amp;mrv=10</t>
        </is>
      </c>
      <c r="L4019" t="inlineStr">
        <is>
          <t>World Bank WDI: Fixed broadband subscriptions (per 100 people)</t>
        </is>
      </c>
      <c r="M4019" t="inlineStr">
        <is>
          <t>2023-12-31</t>
        </is>
      </c>
      <c r="N4019" t="inlineStr">
        <is>
          <t>auto_ingest=world_bank_proxy; indicator=IT.NET.BBND.P2; year=2023; country_proxy=United States</t>
        </is>
      </c>
    </row>
    <row r="4020">
      <c r="A4020" t="inlineStr">
        <is>
          <t>us-raleigh</t>
        </is>
      </c>
      <c r="B4020" t="inlineStr">
        <is>
          <t>Raleigh</t>
        </is>
      </c>
      <c r="C4020" t="inlineStr">
        <is>
          <t>United States</t>
        </is>
      </c>
      <c r="D4020" t="inlineStr">
        <is>
          <t>North America</t>
        </is>
      </c>
      <c r="E4020" t="inlineStr">
        <is>
          <t>climate_sunlight_livability_raw</t>
        </is>
      </c>
      <c r="F4020" t="inlineStr">
        <is>
          <t>Climate and sunlight livability raw</t>
        </is>
      </c>
      <c r="G4020" t="inlineStr">
        <is>
          <t>viability</t>
        </is>
      </c>
      <c r="H4020" t="inlineStr">
        <is>
          <t>yes</t>
        </is>
      </c>
      <c r="I4020" t="inlineStr">
        <is>
          <t>62</t>
        </is>
      </c>
      <c r="J4020" t="inlineStr">
        <is>
          <t>wmo_natl_met</t>
        </is>
      </c>
      <c r="K4020" t="inlineStr">
        <is>
          <t>https://worldweather.wmo.int</t>
        </is>
      </c>
      <c r="L4020" t="inlineStr">
        <is>
          <t>WMO/National Met: Climate livability composite</t>
        </is>
      </c>
      <c r="M4020" t="inlineStr">
        <is>
          <t>2024-12-31</t>
        </is>
      </c>
      <c r="N4020" t="inlineStr">
        <is>
          <t>auto_seed=climate_composite; 2800 sun hrs, 16C mean, mild</t>
        </is>
      </c>
    </row>
    <row r="4021">
      <c r="A4021" t="inlineStr">
        <is>
          <t>us-raleigh</t>
        </is>
      </c>
      <c r="B4021" t="inlineStr">
        <is>
          <t>Raleigh</t>
        </is>
      </c>
      <c r="C4021" t="inlineStr">
        <is>
          <t>United States</t>
        </is>
      </c>
      <c r="D4021" t="inlineStr">
        <is>
          <t>North America</t>
        </is>
      </c>
      <c r="E4021" t="inlineStr">
        <is>
          <t>healthcare_quality_raw</t>
        </is>
      </c>
      <c r="F4021" t="inlineStr">
        <is>
          <t>Healthcare quality raw</t>
        </is>
      </c>
      <c r="G4021" t="inlineStr">
        <is>
          <t>capability</t>
        </is>
      </c>
      <c r="H4021" t="inlineStr">
        <is>
          <t>yes</t>
        </is>
      </c>
      <c r="I4021" t="inlineStr">
        <is>
          <t>88.0</t>
        </is>
      </c>
      <c r="J4021" t="inlineStr">
        <is>
          <t>who_gho</t>
        </is>
      </c>
      <c r="K4021" t="inlineStr">
        <is>
          <t>https://www.who.int/data/gho/data/indicators/indicator-details/GHO/UHC_INDEX_REPORTED</t>
        </is>
      </c>
      <c r="L4021" t="inlineStr">
        <is>
          <t>WHO GHO: UHC Service Coverage Index</t>
        </is>
      </c>
      <c r="M4021" t="inlineStr">
        <is>
          <t>2023-12-31</t>
        </is>
      </c>
      <c r="N4021" t="inlineStr">
        <is>
          <t>auto_ingest=who_gho; indicator=UHC_INDEX_REPORTED; year=2023; country_proxy=United States</t>
        </is>
      </c>
    </row>
    <row r="4022">
      <c r="A4022" t="inlineStr">
        <is>
          <t>us-raleigh</t>
        </is>
      </c>
      <c r="B4022" t="inlineStr">
        <is>
          <t>Raleigh</t>
        </is>
      </c>
      <c r="C4022" t="inlineStr">
        <is>
          <t>United States</t>
        </is>
      </c>
      <c r="D4022" t="inlineStr">
        <is>
          <t>North America</t>
        </is>
      </c>
      <c r="E4022" t="inlineStr">
        <is>
          <t>education_quality_raw</t>
        </is>
      </c>
      <c r="F4022" t="inlineStr">
        <is>
          <t>Education quality raw</t>
        </is>
      </c>
      <c r="G4022" t="inlineStr">
        <is>
          <t>capability</t>
        </is>
      </c>
      <c r="H4022" t="inlineStr">
        <is>
          <t>yes</t>
        </is>
      </c>
      <c r="I4022" t="inlineStr">
        <is>
          <t>79.36</t>
        </is>
      </c>
      <c r="J4022" t="inlineStr">
        <is>
          <t>world_bank</t>
        </is>
      </c>
      <c r="K4022" t="inlineStr">
        <is>
          <t>https://api.worldbank.org/v2/country/USA/indicator/SE.TER.ENRR?format=json&amp;mrv=10</t>
        </is>
      </c>
      <c r="L4022" t="inlineStr">
        <is>
          <t>World Bank WDI: School enrollment, tertiary (% gross)</t>
        </is>
      </c>
      <c r="M4022" t="inlineStr">
        <is>
          <t>2022-12-31</t>
        </is>
      </c>
      <c r="N4022" t="inlineStr">
        <is>
          <t>auto_ingest=world_bank_proxy; indicator=SE.TER.ENRR; year=2022; country_proxy=United States</t>
        </is>
      </c>
    </row>
    <row r="4023">
      <c r="A4023" t="inlineStr">
        <is>
          <t>us-raleigh</t>
        </is>
      </c>
      <c r="B4023" t="inlineStr">
        <is>
          <t>Raleigh</t>
        </is>
      </c>
      <c r="C4023" t="inlineStr">
        <is>
          <t>United States</t>
        </is>
      </c>
      <c r="D4023" t="inlineStr">
        <is>
          <t>North America</t>
        </is>
      </c>
      <c r="E4023" t="inlineStr">
        <is>
          <t>equal_opportunity_raw</t>
        </is>
      </c>
      <c r="F4023" t="inlineStr">
        <is>
          <t>Equal opportunity raw</t>
        </is>
      </c>
      <c r="G4023" t="inlineStr">
        <is>
          <t>capability</t>
        </is>
      </c>
      <c r="H4023" t="inlineStr">
        <is>
          <t>yes</t>
        </is>
      </c>
      <c r="I4023" t="inlineStr">
        <is>
          <t>41.8</t>
        </is>
      </c>
      <c r="J4023" t="inlineStr">
        <is>
          <t>world_bank</t>
        </is>
      </c>
      <c r="K4023" t="inlineStr">
        <is>
          <t>https://api.worldbank.org/v2/country/USA/indicator/SI.POV.GINI?format=json&amp;mrv=10</t>
        </is>
      </c>
      <c r="L4023" t="inlineStr">
        <is>
          <t>World Bank WDI: Gini index</t>
        </is>
      </c>
      <c r="M4023" t="inlineStr">
        <is>
          <t>2023-12-31</t>
        </is>
      </c>
      <c r="N4023" t="inlineStr">
        <is>
          <t>auto_ingest=world_bank_capability; indicator=SI.POV.GINI; year=2023; country_proxy=United States</t>
        </is>
      </c>
    </row>
    <row r="4024">
      <c r="A4024" t="inlineStr">
        <is>
          <t>us-raleigh</t>
        </is>
      </c>
      <c r="B4024" t="inlineStr">
        <is>
          <t>Raleigh</t>
        </is>
      </c>
      <c r="C4024" t="inlineStr">
        <is>
          <t>United States</t>
        </is>
      </c>
      <c r="D4024" t="inlineStr">
        <is>
          <t>North America</t>
        </is>
      </c>
      <c r="E4024" t="inlineStr">
        <is>
          <t>hospitality_belonging_raw</t>
        </is>
      </c>
      <c r="F4024" t="inlineStr">
        <is>
          <t>Hospitality and belonging raw</t>
        </is>
      </c>
      <c r="G4024" t="inlineStr">
        <is>
          <t>community</t>
        </is>
      </c>
      <c r="H4024" t="inlineStr">
        <is>
          <t>yes</t>
        </is>
      </c>
      <c r="I4024" t="inlineStr">
        <is>
          <t>53.62</t>
        </is>
      </c>
      <c r="J4024" t="inlineStr">
        <is>
          <t>world_bank</t>
        </is>
      </c>
      <c r="K4024" t="inlineStr">
        <is>
          <t>https://api.worldbank.org/v2/country/USA/indicator/SM.POP.NETM?format=json&amp;mrv=10</t>
        </is>
      </c>
      <c r="L4024" t="inlineStr">
        <is>
          <t>World Bank WDI: Net migration (proxy for hospitality/belonging — positive = welcoming)</t>
        </is>
      </c>
      <c r="M4024" t="inlineStr">
        <is>
          <t>2025-12-31</t>
        </is>
      </c>
      <c r="N4024" t="inlineStr">
        <is>
          <t>auto_ingest=world_bank_proxy; proxy=net_migration_hospitality; indicator=SM.POP.NETM; year=2025; country_proxy=United States</t>
        </is>
      </c>
    </row>
    <row r="4025">
      <c r="A4025" t="inlineStr">
        <is>
          <t>us-raleigh</t>
        </is>
      </c>
      <c r="B4025" t="inlineStr">
        <is>
          <t>Raleigh</t>
        </is>
      </c>
      <c r="C4025" t="inlineStr">
        <is>
          <t>United States</t>
        </is>
      </c>
      <c r="D4025" t="inlineStr">
        <is>
          <t>North America</t>
        </is>
      </c>
      <c r="E4025" t="inlineStr">
        <is>
          <t>tolerance_pluralism_raw</t>
        </is>
      </c>
      <c r="F4025" t="inlineStr">
        <is>
          <t>Tolerance and pluralism raw</t>
        </is>
      </c>
      <c r="G4025" t="inlineStr">
        <is>
          <t>community</t>
        </is>
      </c>
      <c r="H4025" t="inlineStr">
        <is>
          <t>yes</t>
        </is>
      </c>
      <c r="I4025" t="inlineStr">
        <is>
          <t>28.74</t>
        </is>
      </c>
      <c r="J4025" t="inlineStr">
        <is>
          <t>world_bank</t>
        </is>
      </c>
      <c r="K4025" t="inlineStr">
        <is>
          <t>https://api.worldbank.org/v2/country/USA/indicator/SG.GEN.PARL.ZS?format=json&amp;mrv=10</t>
        </is>
      </c>
      <c r="L4025" t="inlineStr">
        <is>
          <t>World Bank WDI: Proportion of seats held by women in national parliaments (%)</t>
        </is>
      </c>
      <c r="M4025" t="inlineStr">
        <is>
          <t>2024-12-31</t>
        </is>
      </c>
      <c r="N4025" t="inlineStr">
        <is>
          <t>auto_ingest=world_bank_proxy; proxy=gender_parity_parliament; indicator=SG.GEN.PARL.ZS; year=2024; country_proxy=United States</t>
        </is>
      </c>
    </row>
    <row r="4026">
      <c r="A4026" t="inlineStr">
        <is>
          <t>us-raleigh</t>
        </is>
      </c>
      <c r="B4026" t="inlineStr">
        <is>
          <t>Raleigh</t>
        </is>
      </c>
      <c r="C4026" t="inlineStr">
        <is>
          <t>United States</t>
        </is>
      </c>
      <c r="D4026" t="inlineStr">
        <is>
          <t>North America</t>
        </is>
      </c>
      <c r="E4026" t="inlineStr">
        <is>
          <t>cultural_public_life_raw</t>
        </is>
      </c>
      <c r="F4026" t="inlineStr">
        <is>
          <t>Cultural public life raw</t>
        </is>
      </c>
      <c r="G4026" t="inlineStr">
        <is>
          <t>community</t>
        </is>
      </c>
      <c r="H4026" t="inlineStr">
        <is>
          <t>yes</t>
        </is>
      </c>
      <c r="I4026" t="inlineStr">
        <is>
          <t>132.42</t>
        </is>
      </c>
      <c r="J4026" t="inlineStr">
        <is>
          <t>world_bank</t>
        </is>
      </c>
      <c r="K4026" t="inlineStr">
        <is>
          <t>https://api.worldbank.org/v2/country/USA/indicator/ST.INT.ARVL?format=json&amp;mrv=10</t>
        </is>
      </c>
      <c r="L4026" t="inlineStr">
        <is>
          <t>World Bank WDI: International tourism arrivals per 1 000 population</t>
        </is>
      </c>
      <c r="M4026" t="inlineStr">
        <is>
          <t>2020-12-31</t>
        </is>
      </c>
      <c r="N4026" t="inlineStr">
        <is>
          <t>auto_ingest=cultural_life_proxy; indicator=ST.INT.ARVL; norm=per_1000_pop; year=2020; country_proxy=United States</t>
        </is>
      </c>
    </row>
    <row r="4027">
      <c r="A4027" t="inlineStr">
        <is>
          <t>us-raleigh</t>
        </is>
      </c>
      <c r="B4027" t="inlineStr">
        <is>
          <t>Raleigh</t>
        </is>
      </c>
      <c r="C4027" t="inlineStr">
        <is>
          <t>United States</t>
        </is>
      </c>
      <c r="D4027" t="inlineStr">
        <is>
          <t>North America</t>
        </is>
      </c>
      <c r="E4027" t="inlineStr">
        <is>
          <t>birth_rate_optimism_raw</t>
        </is>
      </c>
      <c r="F4027" t="inlineStr">
        <is>
          <t>Birth rate and societal optimism raw</t>
        </is>
      </c>
      <c r="G4027" t="inlineStr">
        <is>
          <t>community</t>
        </is>
      </c>
      <c r="H4027" t="inlineStr">
        <is>
          <t>yes</t>
        </is>
      </c>
      <c r="I4027" t="inlineStr">
        <is>
          <t>1.62</t>
        </is>
      </c>
      <c r="J4027" t="inlineStr">
        <is>
          <t>world_bank</t>
        </is>
      </c>
      <c r="K4027" t="inlineStr">
        <is>
          <t>https://data.worldbank.org/indicator/SP.DYN.TFRT.IN</t>
        </is>
      </c>
      <c r="L4027" t="inlineStr">
        <is>
          <t>World Bank Total Fertility Rate 2023</t>
        </is>
      </c>
      <c r="M4027" t="inlineStr">
        <is>
          <t>2024-01-01</t>
        </is>
      </c>
      <c r="N4027" t="inlineStr"/>
    </row>
    <row r="4028">
      <c r="A4028" t="inlineStr">
        <is>
          <t>us-raleigh</t>
        </is>
      </c>
      <c r="B4028" t="inlineStr">
        <is>
          <t>Raleigh</t>
        </is>
      </c>
      <c r="C4028" t="inlineStr">
        <is>
          <t>United States</t>
        </is>
      </c>
      <c r="D4028" t="inlineStr">
        <is>
          <t>North America</t>
        </is>
      </c>
      <c r="E4028" t="inlineStr">
        <is>
          <t>entrepreneurial_dynamism_raw</t>
        </is>
      </c>
      <c r="F4028" t="inlineStr">
        <is>
          <t>Entrepreneurial dynamism raw</t>
        </is>
      </c>
      <c r="G4028" t="inlineStr">
        <is>
          <t>creative</t>
        </is>
      </c>
      <c r="H4028" t="inlineStr">
        <is>
          <t>yes</t>
        </is>
      </c>
      <c r="I4028" t="inlineStr"/>
      <c r="J4028" t="inlineStr"/>
      <c r="K4028" t="inlineStr"/>
      <c r="L4028" t="inlineStr"/>
      <c r="M4028" t="inlineStr"/>
      <c r="N4028" t="inlineStr"/>
    </row>
    <row r="4029">
      <c r="A4029" t="inlineStr">
        <is>
          <t>us-raleigh</t>
        </is>
      </c>
      <c r="B4029" t="inlineStr">
        <is>
          <t>Raleigh</t>
        </is>
      </c>
      <c r="C4029" t="inlineStr">
        <is>
          <t>United States</t>
        </is>
      </c>
      <c r="D4029" t="inlineStr">
        <is>
          <t>North America</t>
        </is>
      </c>
      <c r="E4029" t="inlineStr">
        <is>
          <t>innovation_research_intensity_raw</t>
        </is>
      </c>
      <c r="F4029" t="inlineStr">
        <is>
          <t>Innovation and research raw</t>
        </is>
      </c>
      <c r="G4029" t="inlineStr">
        <is>
          <t>creative</t>
        </is>
      </c>
      <c r="H4029" t="inlineStr">
        <is>
          <t>yes</t>
        </is>
      </c>
      <c r="I4029" t="inlineStr">
        <is>
          <t>3.59</t>
        </is>
      </c>
      <c r="J4029" t="inlineStr">
        <is>
          <t>world_bank</t>
        </is>
      </c>
      <c r="K4029" t="inlineStr">
        <is>
          <t>https://api.worldbank.org/v2/country/USA/indicator/GB.XPD.RSDV.GD.ZS?format=json&amp;mrv=10</t>
        </is>
      </c>
      <c r="L4029" t="inlineStr">
        <is>
          <t>World Bank WDI: Research and development expenditure (% of GDP)</t>
        </is>
      </c>
      <c r="M4029" t="inlineStr">
        <is>
          <t>2022-12-31</t>
        </is>
      </c>
      <c r="N4029" t="inlineStr">
        <is>
          <t>auto_ingest=world_bank_creative_extended; indicator=GB.XPD.RSDV.GD.ZS; year=2022; country_proxy=United States</t>
        </is>
      </c>
    </row>
    <row r="4030">
      <c r="A4030" t="inlineStr">
        <is>
          <t>us-raleigh</t>
        </is>
      </c>
      <c r="B4030" t="inlineStr">
        <is>
          <t>Raleigh</t>
        </is>
      </c>
      <c r="C4030" t="inlineStr">
        <is>
          <t>United States</t>
        </is>
      </c>
      <c r="D4030" t="inlineStr">
        <is>
          <t>North America</t>
        </is>
      </c>
      <c r="E4030" t="inlineStr">
        <is>
          <t>investment_signal_raw</t>
        </is>
      </c>
      <c r="F4030" t="inlineStr">
        <is>
          <t>Investment signal raw</t>
        </is>
      </c>
      <c r="G4030" t="inlineStr">
        <is>
          <t>creative</t>
        </is>
      </c>
      <c r="H4030" t="inlineStr">
        <is>
          <t>yes</t>
        </is>
      </c>
      <c r="I4030" t="inlineStr">
        <is>
          <t>1.03</t>
        </is>
      </c>
      <c r="J4030" t="inlineStr">
        <is>
          <t>world_bank</t>
        </is>
      </c>
      <c r="K4030" t="inlineStr">
        <is>
          <t>https://api.worldbank.org/v2/country/USA/indicator/BX.KLT.DINV.WD.GD.ZS?format=json&amp;mrv=10</t>
        </is>
      </c>
      <c r="L4030" t="inlineStr">
        <is>
          <t>World Bank WDI: Foreign direct investment, net inflows (% of GDP)</t>
        </is>
      </c>
      <c r="M4030" t="inlineStr">
        <is>
          <t>2024-12-31</t>
        </is>
      </c>
      <c r="N4030" t="inlineStr">
        <is>
          <t>auto_ingest=world_bank_creative_extended; indicator=BX.KLT.DINV.WD.GD.ZS; year=2024; country_proxy=United States</t>
        </is>
      </c>
    </row>
    <row r="4031">
      <c r="A4031" t="inlineStr">
        <is>
          <t>us-raleigh</t>
        </is>
      </c>
      <c r="B4031" t="inlineStr">
        <is>
          <t>Raleigh</t>
        </is>
      </c>
      <c r="C4031" t="inlineStr">
        <is>
          <t>United States</t>
        </is>
      </c>
      <c r="D4031" t="inlineStr">
        <is>
          <t>North America</t>
        </is>
      </c>
      <c r="E4031" t="inlineStr">
        <is>
          <t>administrative_investment_friction_raw</t>
        </is>
      </c>
      <c r="F4031" t="inlineStr">
        <is>
          <t>Administrative investment friction raw</t>
        </is>
      </c>
      <c r="G4031" t="inlineStr">
        <is>
          <t>creative</t>
        </is>
      </c>
      <c r="H4031" t="inlineStr">
        <is>
          <t>yes</t>
        </is>
      </c>
      <c r="I4031" t="inlineStr">
        <is>
          <t>1.11</t>
        </is>
      </c>
      <c r="J4031" t="inlineStr">
        <is>
          <t>world_bank</t>
        </is>
      </c>
      <c r="K4031" t="inlineStr">
        <is>
          <t>https://api.worldbank.org/v2/country/USA/indicator/RQ.EST?format=json&amp;mrv=10</t>
        </is>
      </c>
      <c r="L4031" t="inlineStr">
        <is>
          <t>World Bank WGI: Regulatory Quality (inverted as friction proxy)</t>
        </is>
      </c>
      <c r="M4031" t="inlineStr">
        <is>
          <t>2023-12-31</t>
        </is>
      </c>
      <c r="N4031" t="inlineStr">
        <is>
          <t>auto_ingest=world_bank_business_friction; indicator=RQ.EST; raw_rq=1.39373278617859; friction=1.11; year=2023; country_proxy=United States</t>
        </is>
      </c>
    </row>
    <row r="4032">
      <c r="A4032" t="inlineStr">
        <is>
          <t>us-raleigh</t>
        </is>
      </c>
      <c r="B4032" t="inlineStr">
        <is>
          <t>Raleigh</t>
        </is>
      </c>
      <c r="C4032" t="inlineStr">
        <is>
          <t>United States</t>
        </is>
      </c>
      <c r="D4032" t="inlineStr">
        <is>
          <t>North America</t>
        </is>
      </c>
      <c r="E4032" t="inlineStr">
        <is>
          <t>visitor_flow_context_raw</t>
        </is>
      </c>
      <c r="F4032" t="inlineStr">
        <is>
          <t>Visitor flow context raw</t>
        </is>
      </c>
      <c r="G4032" t="inlineStr">
        <is>
          <t>creative</t>
        </is>
      </c>
      <c r="H4032" t="inlineStr">
        <is>
          <t>no</t>
        </is>
      </c>
      <c r="I4032" t="inlineStr"/>
      <c r="J4032" t="inlineStr"/>
      <c r="K4032" t="inlineStr"/>
      <c r="L4032" t="inlineStr"/>
      <c r="M4032" t="inlineStr"/>
      <c r="N4032" t="inlineStr"/>
    </row>
    <row r="4033">
      <c r="A4033" t="inlineStr">
        <is>
          <t>do-santo-domingo</t>
        </is>
      </c>
      <c r="B4033" t="inlineStr">
        <is>
          <t>Santo Domingo</t>
        </is>
      </c>
      <c r="C4033" t="inlineStr">
        <is>
          <t>Dominican Republic</t>
        </is>
      </c>
      <c r="D4033" t="inlineStr">
        <is>
          <t>North America</t>
        </is>
      </c>
      <c r="E4033" t="inlineStr">
        <is>
          <t>gross_income</t>
        </is>
      </c>
      <c r="F4033" t="inlineStr">
        <is>
          <t>Gross income</t>
        </is>
      </c>
      <c r="G4033" t="inlineStr">
        <is>
          <t>pressure</t>
        </is>
      </c>
      <c r="H4033" t="inlineStr">
        <is>
          <t>yes</t>
        </is>
      </c>
      <c r="I4033" t="inlineStr">
        <is>
          <t>2170.83</t>
        </is>
      </c>
      <c r="J4033" t="inlineStr">
        <is>
          <t>world_bank_col_estimate</t>
        </is>
      </c>
      <c r="K4033" t="inlineStr">
        <is>
          <t>https://api.worldbank.org/v2/country/DOM/indicator/NY.GNP.PCAP.PP.CD?format=json&amp;mrv=10</t>
        </is>
      </c>
      <c r="L4033" t="inlineStr">
        <is>
          <t>World Bank WDI: GNI per capita PPP (monthly USD)</t>
        </is>
      </c>
      <c r="M4033" t="inlineStr">
        <is>
          <t>2024-12-31</t>
        </is>
      </c>
      <c r="N4033" t="inlineStr">
        <is>
          <t>auto_ingest=world_bank_col_estimate; gni_annual=26050.0; year=2024; country_proxy=Dominican Republic; cohort=North America</t>
        </is>
      </c>
    </row>
    <row r="4034">
      <c r="A4034" t="inlineStr">
        <is>
          <t>do-santo-domingo</t>
        </is>
      </c>
      <c r="B4034" t="inlineStr">
        <is>
          <t>Santo Domingo</t>
        </is>
      </c>
      <c r="C4034" t="inlineStr">
        <is>
          <t>Dominican Republic</t>
        </is>
      </c>
      <c r="D4034" t="inlineStr">
        <is>
          <t>North America</t>
        </is>
      </c>
      <c r="E4034" t="inlineStr">
        <is>
          <t>di_ppp_raw</t>
        </is>
      </c>
      <c r="F4034" t="inlineStr">
        <is>
          <t>Disposable income PPP (Raw)</t>
        </is>
      </c>
      <c r="G4034" t="inlineStr">
        <is>
          <t>pressure</t>
        </is>
      </c>
      <c r="H4034" t="inlineStr">
        <is>
          <t>yes</t>
        </is>
      </c>
      <c r="I4034" t="inlineStr"/>
      <c r="J4034" t="inlineStr"/>
      <c r="K4034" t="inlineStr"/>
      <c r="L4034" t="inlineStr"/>
      <c r="M4034" t="inlineStr"/>
      <c r="N4034" t="inlineStr"/>
    </row>
    <row r="4035">
      <c r="A4035" t="inlineStr">
        <is>
          <t>do-santo-domingo</t>
        </is>
      </c>
      <c r="B4035" t="inlineStr">
        <is>
          <t>Santo Domingo</t>
        </is>
      </c>
      <c r="C4035" t="inlineStr">
        <is>
          <t>Dominican Republic</t>
        </is>
      </c>
      <c r="D4035" t="inlineStr">
        <is>
          <t>North America</t>
        </is>
      </c>
      <c r="E4035" t="inlineStr">
        <is>
          <t>rent</t>
        </is>
      </c>
      <c r="F4035" t="inlineStr">
        <is>
          <t>Rent</t>
        </is>
      </c>
      <c r="G4035" t="inlineStr">
        <is>
          <t>pressure</t>
        </is>
      </c>
      <c r="H4035" t="inlineStr">
        <is>
          <t>yes</t>
        </is>
      </c>
      <c r="I4035" t="inlineStr">
        <is>
          <t>645.82</t>
        </is>
      </c>
      <c r="J4035" t="inlineStr">
        <is>
          <t>world_bank_col_estimate</t>
        </is>
      </c>
      <c r="K4035" t="inlineStr">
        <is>
          <t>https://api.worldbank.org/v2/country/DOM/indicator/NY.GNP.PCAP.PP.CD?format=json&amp;mrv=10</t>
        </is>
      </c>
      <c r="L4035" t="inlineStr">
        <is>
          <t>World Bank GNI + regional expenditure ratio estimate</t>
        </is>
      </c>
      <c r="M4035" t="inlineStr">
        <is>
          <t>2024-12-31</t>
        </is>
      </c>
      <c r="N4035" t="inlineStr">
        <is>
          <t>auto_ingest=world_bank_col_estimate; gni_annual=26050.0; year=2024; country_proxy=Dominican Republic; cohort=North America; city_cost_mult=0.85</t>
        </is>
      </c>
    </row>
    <row r="4036">
      <c r="A4036" t="inlineStr">
        <is>
          <t>do-santo-domingo</t>
        </is>
      </c>
      <c r="B4036" t="inlineStr">
        <is>
          <t>Santo Domingo</t>
        </is>
      </c>
      <c r="C4036" t="inlineStr">
        <is>
          <t>Dominican Republic</t>
        </is>
      </c>
      <c r="D4036" t="inlineStr">
        <is>
          <t>North America</t>
        </is>
      </c>
      <c r="E4036" t="inlineStr">
        <is>
          <t>utilities</t>
        </is>
      </c>
      <c r="F4036" t="inlineStr">
        <is>
          <t>Utilities</t>
        </is>
      </c>
      <c r="G4036" t="inlineStr">
        <is>
          <t>pressure</t>
        </is>
      </c>
      <c r="H4036" t="inlineStr">
        <is>
          <t>yes</t>
        </is>
      </c>
      <c r="I4036" t="inlineStr">
        <is>
          <t>129.16</t>
        </is>
      </c>
      <c r="J4036" t="inlineStr">
        <is>
          <t>world_bank_col_estimate</t>
        </is>
      </c>
      <c r="K4036" t="inlineStr">
        <is>
          <t>https://api.worldbank.org/v2/country/DOM/indicator/NY.GNP.PCAP.PP.CD?format=json&amp;mrv=10</t>
        </is>
      </c>
      <c r="L4036" t="inlineStr">
        <is>
          <t>World Bank GNI + regional expenditure ratio estimate</t>
        </is>
      </c>
      <c r="M4036" t="inlineStr">
        <is>
          <t>2024-12-31</t>
        </is>
      </c>
      <c r="N4036" t="inlineStr">
        <is>
          <t>auto_ingest=world_bank_col_estimate; gni_annual=26050.0; year=2024; country_proxy=Dominican Republic; cohort=North America; city_cost_mult=0.85</t>
        </is>
      </c>
    </row>
    <row r="4037">
      <c r="A4037" t="inlineStr">
        <is>
          <t>do-santo-domingo</t>
        </is>
      </c>
      <c r="B4037" t="inlineStr">
        <is>
          <t>Santo Domingo</t>
        </is>
      </c>
      <c r="C4037" t="inlineStr">
        <is>
          <t>Dominican Republic</t>
        </is>
      </c>
      <c r="D4037" t="inlineStr">
        <is>
          <t>North America</t>
        </is>
      </c>
      <c r="E4037" t="inlineStr">
        <is>
          <t>transit_cost</t>
        </is>
      </c>
      <c r="F4037" t="inlineStr">
        <is>
          <t>Transit cost</t>
        </is>
      </c>
      <c r="G4037" t="inlineStr">
        <is>
          <t>pressure</t>
        </is>
      </c>
      <c r="H4037" t="inlineStr">
        <is>
          <t>yes</t>
        </is>
      </c>
      <c r="I4037" t="inlineStr">
        <is>
          <t>92.26</t>
        </is>
      </c>
      <c r="J4037" t="inlineStr">
        <is>
          <t>world_bank_col_estimate</t>
        </is>
      </c>
      <c r="K4037" t="inlineStr">
        <is>
          <t>https://api.worldbank.org/v2/country/DOM/indicator/NY.GNP.PCAP.PP.CD?format=json&amp;mrv=10</t>
        </is>
      </c>
      <c r="L4037" t="inlineStr">
        <is>
          <t>World Bank GNI + regional expenditure ratio estimate</t>
        </is>
      </c>
      <c r="M4037" t="inlineStr">
        <is>
          <t>2024-12-31</t>
        </is>
      </c>
      <c r="N4037" t="inlineStr">
        <is>
          <t>auto_ingest=world_bank_col_estimate; gni_annual=26050.0; year=2024; country_proxy=Dominican Republic; cohort=North America; city_cost_mult=0.85</t>
        </is>
      </c>
    </row>
    <row r="4038">
      <c r="A4038" t="inlineStr">
        <is>
          <t>do-santo-domingo</t>
        </is>
      </c>
      <c r="B4038" t="inlineStr">
        <is>
          <t>Santo Domingo</t>
        </is>
      </c>
      <c r="C4038" t="inlineStr">
        <is>
          <t>Dominican Republic</t>
        </is>
      </c>
      <c r="D4038" t="inlineStr">
        <is>
          <t>North America</t>
        </is>
      </c>
      <c r="E4038" t="inlineStr">
        <is>
          <t>internet_cost</t>
        </is>
      </c>
      <c r="F4038" t="inlineStr">
        <is>
          <t>Internet cost</t>
        </is>
      </c>
      <c r="G4038" t="inlineStr">
        <is>
          <t>pressure</t>
        </is>
      </c>
      <c r="H4038" t="inlineStr">
        <is>
          <t>yes</t>
        </is>
      </c>
      <c r="I4038" t="inlineStr">
        <is>
          <t>36.9</t>
        </is>
      </c>
      <c r="J4038" t="inlineStr">
        <is>
          <t>world_bank_col_estimate</t>
        </is>
      </c>
      <c r="K4038" t="inlineStr">
        <is>
          <t>https://api.worldbank.org/v2/country/DOM/indicator/NY.GNP.PCAP.PP.CD?format=json&amp;mrv=10</t>
        </is>
      </c>
      <c r="L4038" t="inlineStr">
        <is>
          <t>World Bank GNI + regional expenditure ratio estimate</t>
        </is>
      </c>
      <c r="M4038" t="inlineStr">
        <is>
          <t>2024-12-31</t>
        </is>
      </c>
      <c r="N4038" t="inlineStr">
        <is>
          <t>auto_ingest=world_bank_col_estimate; gni_annual=26050.0; year=2024; country_proxy=Dominican Republic; cohort=North America; city_cost_mult=0.85</t>
        </is>
      </c>
    </row>
    <row r="4039">
      <c r="A4039" t="inlineStr">
        <is>
          <t>do-santo-domingo</t>
        </is>
      </c>
      <c r="B4039" t="inlineStr">
        <is>
          <t>Santo Domingo</t>
        </is>
      </c>
      <c r="C4039" t="inlineStr">
        <is>
          <t>Dominican Republic</t>
        </is>
      </c>
      <c r="D4039" t="inlineStr">
        <is>
          <t>North America</t>
        </is>
      </c>
      <c r="E4039" t="inlineStr">
        <is>
          <t>food_cost</t>
        </is>
      </c>
      <c r="F4039" t="inlineStr">
        <is>
          <t>Food cost</t>
        </is>
      </c>
      <c r="G4039" t="inlineStr">
        <is>
          <t>pressure</t>
        </is>
      </c>
      <c r="H4039" t="inlineStr">
        <is>
          <t>yes</t>
        </is>
      </c>
      <c r="I4039" t="inlineStr">
        <is>
          <t>276.78</t>
        </is>
      </c>
      <c r="J4039" t="inlineStr">
        <is>
          <t>world_bank_col_estimate</t>
        </is>
      </c>
      <c r="K4039" t="inlineStr">
        <is>
          <t>https://api.worldbank.org/v2/country/DOM/indicator/NY.GNP.PCAP.PP.CD?format=json&amp;mrv=10</t>
        </is>
      </c>
      <c r="L4039" t="inlineStr">
        <is>
          <t>World Bank GNI + regional expenditure ratio estimate</t>
        </is>
      </c>
      <c r="M4039" t="inlineStr">
        <is>
          <t>2024-12-31</t>
        </is>
      </c>
      <c r="N4039" t="inlineStr">
        <is>
          <t>auto_ingest=world_bank_col_estimate; gni_annual=26050.0; year=2024; country_proxy=Dominican Republic; cohort=North America; city_cost_mult=0.85</t>
        </is>
      </c>
    </row>
    <row r="4040">
      <c r="A4040" t="inlineStr">
        <is>
          <t>do-santo-domingo</t>
        </is>
      </c>
      <c r="B4040" t="inlineStr">
        <is>
          <t>Santo Domingo</t>
        </is>
      </c>
      <c r="C4040" t="inlineStr">
        <is>
          <t>Dominican Republic</t>
        </is>
      </c>
      <c r="D4040" t="inlineStr">
        <is>
          <t>North America</t>
        </is>
      </c>
      <c r="E4040" t="inlineStr">
        <is>
          <t>housing_burden_raw</t>
        </is>
      </c>
      <c r="F4040" t="inlineStr">
        <is>
          <t>Housing burden raw</t>
        </is>
      </c>
      <c r="G4040" t="inlineStr">
        <is>
          <t>pressure</t>
        </is>
      </c>
      <c r="H4040" t="inlineStr">
        <is>
          <t>yes</t>
        </is>
      </c>
      <c r="I4040" t="inlineStr">
        <is>
          <t>29.7499</t>
        </is>
      </c>
      <c r="J4040" t="inlineStr">
        <is>
          <t>derived</t>
        </is>
      </c>
      <c r="K4040" t="inlineStr">
        <is>
          <t>https://data.worldbank.org/indicator/NY.GNP.PCAP.PP.CD</t>
        </is>
      </c>
      <c r="L4040" t="inlineStr">
        <is>
          <t>Computed from city_inputs + country_context</t>
        </is>
      </c>
      <c r="M4040" t="inlineStr">
        <is>
          <t>2024-01-01</t>
        </is>
      </c>
      <c r="N4040" t="inlineStr">
        <is>
          <t>derived=rent/gross_income*100</t>
        </is>
      </c>
    </row>
    <row r="4041">
      <c r="A4041" t="inlineStr">
        <is>
          <t>do-santo-domingo</t>
        </is>
      </c>
      <c r="B4041" t="inlineStr">
        <is>
          <t>Santo Domingo</t>
        </is>
      </c>
      <c r="C4041" t="inlineStr">
        <is>
          <t>Dominican Republic</t>
        </is>
      </c>
      <c r="D4041" t="inlineStr">
        <is>
          <t>North America</t>
        </is>
      </c>
      <c r="E4041" t="inlineStr">
        <is>
          <t>household_debt_burden_raw</t>
        </is>
      </c>
      <c r="F4041" t="inlineStr">
        <is>
          <t>Household debt burden raw</t>
        </is>
      </c>
      <c r="G4041" t="inlineStr">
        <is>
          <t>pressure</t>
        </is>
      </c>
      <c r="H4041" t="inlineStr">
        <is>
          <t>yes</t>
        </is>
      </c>
      <c r="I4041" t="inlineStr"/>
      <c r="J4041" t="inlineStr"/>
      <c r="K4041" t="inlineStr"/>
      <c r="L4041" t="inlineStr"/>
      <c r="M4041" t="inlineStr"/>
      <c r="N4041" t="inlineStr"/>
    </row>
    <row r="4042">
      <c r="A4042" t="inlineStr">
        <is>
          <t>do-santo-domingo</t>
        </is>
      </c>
      <c r="B4042" t="inlineStr">
        <is>
          <t>Santo Domingo</t>
        </is>
      </c>
      <c r="C4042" t="inlineStr">
        <is>
          <t>Dominican Republic</t>
        </is>
      </c>
      <c r="D4042" t="inlineStr">
        <is>
          <t>North America</t>
        </is>
      </c>
      <c r="E4042" t="inlineStr">
        <is>
          <t>working_time_pressure_raw</t>
        </is>
      </c>
      <c r="F4042" t="inlineStr">
        <is>
          <t>Working time pressure raw</t>
        </is>
      </c>
      <c r="G4042" t="inlineStr">
        <is>
          <t>pressure</t>
        </is>
      </c>
      <c r="H4042" t="inlineStr">
        <is>
          <t>yes</t>
        </is>
      </c>
      <c r="I4042" t="inlineStr"/>
      <c r="J4042" t="inlineStr"/>
      <c r="K4042" t="inlineStr"/>
      <c r="L4042" t="inlineStr"/>
      <c r="M4042" t="inlineStr"/>
      <c r="N4042" t="inlineStr"/>
    </row>
    <row r="4043">
      <c r="A4043" t="inlineStr">
        <is>
          <t>do-santo-domingo</t>
        </is>
      </c>
      <c r="B4043" t="inlineStr">
        <is>
          <t>Santo Domingo</t>
        </is>
      </c>
      <c r="C4043" t="inlineStr">
        <is>
          <t>Dominican Republic</t>
        </is>
      </c>
      <c r="D4043" t="inlineStr">
        <is>
          <t>North America</t>
        </is>
      </c>
      <c r="E4043" t="inlineStr">
        <is>
          <t>suicide_mental_strain_raw</t>
        </is>
      </c>
      <c r="F4043" t="inlineStr">
        <is>
          <t>Suicide or mental strain raw</t>
        </is>
      </c>
      <c r="G4043" t="inlineStr">
        <is>
          <t>pressure</t>
        </is>
      </c>
      <c r="H4043" t="inlineStr">
        <is>
          <t>yes</t>
        </is>
      </c>
      <c r="I4043" t="inlineStr"/>
      <c r="J4043" t="inlineStr"/>
      <c r="K4043" t="inlineStr"/>
      <c r="L4043" t="inlineStr"/>
      <c r="M4043" t="inlineStr"/>
      <c r="N4043" t="inlineStr"/>
    </row>
    <row r="4044">
      <c r="A4044" t="inlineStr">
        <is>
          <t>do-santo-domingo</t>
        </is>
      </c>
      <c r="B4044" t="inlineStr">
        <is>
          <t>Santo Domingo</t>
        </is>
      </c>
      <c r="C4044" t="inlineStr">
        <is>
          <t>Dominican Republic</t>
        </is>
      </c>
      <c r="D4044" t="inlineStr">
        <is>
          <t>North America</t>
        </is>
      </c>
      <c r="E4044" t="inlineStr">
        <is>
          <t>personal_safety_raw</t>
        </is>
      </c>
      <c r="F4044" t="inlineStr">
        <is>
          <t>Personal safety raw</t>
        </is>
      </c>
      <c r="G4044" t="inlineStr">
        <is>
          <t>viability</t>
        </is>
      </c>
      <c r="H4044" t="inlineStr">
        <is>
          <t>yes</t>
        </is>
      </c>
      <c r="I4044" t="inlineStr"/>
      <c r="J4044" t="inlineStr"/>
      <c r="K4044" t="inlineStr"/>
      <c r="L4044" t="inlineStr"/>
      <c r="M4044" t="inlineStr"/>
      <c r="N4044" t="inlineStr"/>
    </row>
    <row r="4045">
      <c r="A4045" t="inlineStr">
        <is>
          <t>do-santo-domingo</t>
        </is>
      </c>
      <c r="B4045" t="inlineStr">
        <is>
          <t>Santo Domingo</t>
        </is>
      </c>
      <c r="C4045" t="inlineStr">
        <is>
          <t>Dominican Republic</t>
        </is>
      </c>
      <c r="D4045" t="inlineStr">
        <is>
          <t>North America</t>
        </is>
      </c>
      <c r="E4045" t="inlineStr">
        <is>
          <t>transit_access_commute_raw</t>
        </is>
      </c>
      <c r="F4045" t="inlineStr">
        <is>
          <t>Transit access and commute raw</t>
        </is>
      </c>
      <c r="G4045" t="inlineStr">
        <is>
          <t>viability</t>
        </is>
      </c>
      <c r="H4045" t="inlineStr">
        <is>
          <t>yes</t>
        </is>
      </c>
      <c r="I4045" t="inlineStr"/>
      <c r="J4045" t="inlineStr"/>
      <c r="K4045" t="inlineStr"/>
      <c r="L4045" t="inlineStr"/>
      <c r="M4045" t="inlineStr"/>
      <c r="N4045" t="inlineStr"/>
    </row>
    <row r="4046">
      <c r="A4046" t="inlineStr">
        <is>
          <t>do-santo-domingo</t>
        </is>
      </c>
      <c r="B4046" t="inlineStr">
        <is>
          <t>Santo Domingo</t>
        </is>
      </c>
      <c r="C4046" t="inlineStr">
        <is>
          <t>Dominican Republic</t>
        </is>
      </c>
      <c r="D4046" t="inlineStr">
        <is>
          <t>North America</t>
        </is>
      </c>
      <c r="E4046" t="inlineStr">
        <is>
          <t>clean_air_raw</t>
        </is>
      </c>
      <c r="F4046" t="inlineStr">
        <is>
          <t>Clean air raw</t>
        </is>
      </c>
      <c r="G4046" t="inlineStr">
        <is>
          <t>viability</t>
        </is>
      </c>
      <c r="H4046" t="inlineStr">
        <is>
          <t>yes</t>
        </is>
      </c>
      <c r="I4046" t="inlineStr"/>
      <c r="J4046" t="inlineStr"/>
      <c r="K4046" t="inlineStr"/>
      <c r="L4046" t="inlineStr"/>
      <c r="M4046" t="inlineStr"/>
      <c r="N4046" t="inlineStr"/>
    </row>
    <row r="4047">
      <c r="A4047" t="inlineStr">
        <is>
          <t>do-santo-domingo</t>
        </is>
      </c>
      <c r="B4047" t="inlineStr">
        <is>
          <t>Santo Domingo</t>
        </is>
      </c>
      <c r="C4047" t="inlineStr">
        <is>
          <t>Dominican Republic</t>
        </is>
      </c>
      <c r="D4047" t="inlineStr">
        <is>
          <t>North America</t>
        </is>
      </c>
      <c r="E4047" t="inlineStr">
        <is>
          <t>water_sanitation_utility_raw</t>
        </is>
      </c>
      <c r="F4047" t="inlineStr">
        <is>
          <t>Water, sanitation, and utility raw</t>
        </is>
      </c>
      <c r="G4047" t="inlineStr">
        <is>
          <t>viability</t>
        </is>
      </c>
      <c r="H4047" t="inlineStr">
        <is>
          <t>yes</t>
        </is>
      </c>
      <c r="I4047" t="inlineStr"/>
      <c r="J4047" t="inlineStr"/>
      <c r="K4047" t="inlineStr"/>
      <c r="L4047" t="inlineStr"/>
      <c r="M4047" t="inlineStr"/>
      <c r="N4047" t="inlineStr"/>
    </row>
    <row r="4048">
      <c r="A4048" t="inlineStr">
        <is>
          <t>do-santo-domingo</t>
        </is>
      </c>
      <c r="B4048" t="inlineStr">
        <is>
          <t>Santo Domingo</t>
        </is>
      </c>
      <c r="C4048" t="inlineStr">
        <is>
          <t>Dominican Republic</t>
        </is>
      </c>
      <c r="D4048" t="inlineStr">
        <is>
          <t>North America</t>
        </is>
      </c>
      <c r="E4048" t="inlineStr">
        <is>
          <t>digital_infrastructure_raw</t>
        </is>
      </c>
      <c r="F4048" t="inlineStr">
        <is>
          <t>Digital infrastructure raw</t>
        </is>
      </c>
      <c r="G4048" t="inlineStr">
        <is>
          <t>viability</t>
        </is>
      </c>
      <c r="H4048" t="inlineStr">
        <is>
          <t>yes</t>
        </is>
      </c>
      <c r="I4048" t="inlineStr"/>
      <c r="J4048" t="inlineStr"/>
      <c r="K4048" t="inlineStr"/>
      <c r="L4048" t="inlineStr"/>
      <c r="M4048" t="inlineStr"/>
      <c r="N4048" t="inlineStr"/>
    </row>
    <row r="4049">
      <c r="A4049" t="inlineStr">
        <is>
          <t>do-santo-domingo</t>
        </is>
      </c>
      <c r="B4049" t="inlineStr">
        <is>
          <t>Santo Domingo</t>
        </is>
      </c>
      <c r="C4049" t="inlineStr">
        <is>
          <t>Dominican Republic</t>
        </is>
      </c>
      <c r="D4049" t="inlineStr">
        <is>
          <t>North America</t>
        </is>
      </c>
      <c r="E4049" t="inlineStr">
        <is>
          <t>climate_sunlight_livability_raw</t>
        </is>
      </c>
      <c r="F4049" t="inlineStr">
        <is>
          <t>Climate and sunlight livability raw</t>
        </is>
      </c>
      <c r="G4049" t="inlineStr">
        <is>
          <t>viability</t>
        </is>
      </c>
      <c r="H4049" t="inlineStr">
        <is>
          <t>yes</t>
        </is>
      </c>
      <c r="I4049" t="inlineStr"/>
      <c r="J4049" t="inlineStr"/>
      <c r="K4049" t="inlineStr"/>
      <c r="L4049" t="inlineStr"/>
      <c r="M4049" t="inlineStr"/>
      <c r="N4049" t="inlineStr"/>
    </row>
    <row r="4050">
      <c r="A4050" t="inlineStr">
        <is>
          <t>do-santo-domingo</t>
        </is>
      </c>
      <c r="B4050" t="inlineStr">
        <is>
          <t>Santo Domingo</t>
        </is>
      </c>
      <c r="C4050" t="inlineStr">
        <is>
          <t>Dominican Republic</t>
        </is>
      </c>
      <c r="D4050" t="inlineStr">
        <is>
          <t>North America</t>
        </is>
      </c>
      <c r="E4050" t="inlineStr">
        <is>
          <t>healthcare_quality_raw</t>
        </is>
      </c>
      <c r="F4050" t="inlineStr">
        <is>
          <t>Healthcare quality raw</t>
        </is>
      </c>
      <c r="G4050" t="inlineStr">
        <is>
          <t>capability</t>
        </is>
      </c>
      <c r="H4050" t="inlineStr">
        <is>
          <t>yes</t>
        </is>
      </c>
      <c r="I4050" t="inlineStr"/>
      <c r="J4050" t="inlineStr"/>
      <c r="K4050" t="inlineStr"/>
      <c r="L4050" t="inlineStr"/>
      <c r="M4050" t="inlineStr"/>
      <c r="N4050" t="inlineStr"/>
    </row>
    <row r="4051">
      <c r="A4051" t="inlineStr">
        <is>
          <t>do-santo-domingo</t>
        </is>
      </c>
      <c r="B4051" t="inlineStr">
        <is>
          <t>Santo Domingo</t>
        </is>
      </c>
      <c r="C4051" t="inlineStr">
        <is>
          <t>Dominican Republic</t>
        </is>
      </c>
      <c r="D4051" t="inlineStr">
        <is>
          <t>North America</t>
        </is>
      </c>
      <c r="E4051" t="inlineStr">
        <is>
          <t>education_quality_raw</t>
        </is>
      </c>
      <c r="F4051" t="inlineStr">
        <is>
          <t>Education quality raw</t>
        </is>
      </c>
      <c r="G4051" t="inlineStr">
        <is>
          <t>capability</t>
        </is>
      </c>
      <c r="H4051" t="inlineStr">
        <is>
          <t>yes</t>
        </is>
      </c>
      <c r="I4051" t="inlineStr"/>
      <c r="J4051" t="inlineStr"/>
      <c r="K4051" t="inlineStr"/>
      <c r="L4051" t="inlineStr"/>
      <c r="M4051" t="inlineStr"/>
      <c r="N4051" t="inlineStr"/>
    </row>
    <row r="4052">
      <c r="A4052" t="inlineStr">
        <is>
          <t>do-santo-domingo</t>
        </is>
      </c>
      <c r="B4052" t="inlineStr">
        <is>
          <t>Santo Domingo</t>
        </is>
      </c>
      <c r="C4052" t="inlineStr">
        <is>
          <t>Dominican Republic</t>
        </is>
      </c>
      <c r="D4052" t="inlineStr">
        <is>
          <t>North America</t>
        </is>
      </c>
      <c r="E4052" t="inlineStr">
        <is>
          <t>equal_opportunity_raw</t>
        </is>
      </c>
      <c r="F4052" t="inlineStr">
        <is>
          <t>Equal opportunity raw</t>
        </is>
      </c>
      <c r="G4052" t="inlineStr">
        <is>
          <t>capability</t>
        </is>
      </c>
      <c r="H4052" t="inlineStr">
        <is>
          <t>yes</t>
        </is>
      </c>
      <c r="I4052" t="inlineStr">
        <is>
          <t>39.0</t>
        </is>
      </c>
      <c r="J4052" t="inlineStr">
        <is>
          <t>world_bank</t>
        </is>
      </c>
      <c r="K4052" t="inlineStr">
        <is>
          <t>https://api.worldbank.org/v2/country/DOM/indicator/SI.POV.GINI?format=json&amp;mrv=10</t>
        </is>
      </c>
      <c r="L4052" t="inlineStr">
        <is>
          <t>World Bank WDI: Gini index</t>
        </is>
      </c>
      <c r="M4052" t="inlineStr">
        <is>
          <t>2024-12-31</t>
        </is>
      </c>
      <c r="N4052" t="inlineStr">
        <is>
          <t>auto_ingest=world_bank_capability; indicator=SI.POV.GINI; year=2024; country_proxy=Dominican Republic</t>
        </is>
      </c>
    </row>
    <row r="4053">
      <c r="A4053" t="inlineStr">
        <is>
          <t>do-santo-domingo</t>
        </is>
      </c>
      <c r="B4053" t="inlineStr">
        <is>
          <t>Santo Domingo</t>
        </is>
      </c>
      <c r="C4053" t="inlineStr">
        <is>
          <t>Dominican Republic</t>
        </is>
      </c>
      <c r="D4053" t="inlineStr">
        <is>
          <t>North America</t>
        </is>
      </c>
      <c r="E4053" t="inlineStr">
        <is>
          <t>hospitality_belonging_raw</t>
        </is>
      </c>
      <c r="F4053" t="inlineStr">
        <is>
          <t>Hospitality and belonging raw</t>
        </is>
      </c>
      <c r="G4053" t="inlineStr">
        <is>
          <t>community</t>
        </is>
      </c>
      <c r="H4053" t="inlineStr">
        <is>
          <t>yes</t>
        </is>
      </c>
      <c r="I4053" t="inlineStr"/>
      <c r="J4053" t="inlineStr"/>
      <c r="K4053" t="inlineStr"/>
      <c r="L4053" t="inlineStr"/>
      <c r="M4053" t="inlineStr"/>
      <c r="N4053" t="inlineStr"/>
    </row>
    <row r="4054">
      <c r="A4054" t="inlineStr">
        <is>
          <t>do-santo-domingo</t>
        </is>
      </c>
      <c r="B4054" t="inlineStr">
        <is>
          <t>Santo Domingo</t>
        </is>
      </c>
      <c r="C4054" t="inlineStr">
        <is>
          <t>Dominican Republic</t>
        </is>
      </c>
      <c r="D4054" t="inlineStr">
        <is>
          <t>North America</t>
        </is>
      </c>
      <c r="E4054" t="inlineStr">
        <is>
          <t>tolerance_pluralism_raw</t>
        </is>
      </c>
      <c r="F4054" t="inlineStr">
        <is>
          <t>Tolerance and pluralism raw</t>
        </is>
      </c>
      <c r="G4054" t="inlineStr">
        <is>
          <t>community</t>
        </is>
      </c>
      <c r="H4054" t="inlineStr">
        <is>
          <t>yes</t>
        </is>
      </c>
      <c r="I4054" t="inlineStr"/>
      <c r="J4054" t="inlineStr"/>
      <c r="K4054" t="inlineStr"/>
      <c r="L4054" t="inlineStr"/>
      <c r="M4054" t="inlineStr"/>
      <c r="N4054" t="inlineStr"/>
    </row>
    <row r="4055">
      <c r="A4055" t="inlineStr">
        <is>
          <t>do-santo-domingo</t>
        </is>
      </c>
      <c r="B4055" t="inlineStr">
        <is>
          <t>Santo Domingo</t>
        </is>
      </c>
      <c r="C4055" t="inlineStr">
        <is>
          <t>Dominican Republic</t>
        </is>
      </c>
      <c r="D4055" t="inlineStr">
        <is>
          <t>North America</t>
        </is>
      </c>
      <c r="E4055" t="inlineStr">
        <is>
          <t>cultural_public_life_raw</t>
        </is>
      </c>
      <c r="F4055" t="inlineStr">
        <is>
          <t>Cultural public life raw</t>
        </is>
      </c>
      <c r="G4055" t="inlineStr">
        <is>
          <t>community</t>
        </is>
      </c>
      <c r="H4055" t="inlineStr">
        <is>
          <t>yes</t>
        </is>
      </c>
      <c r="I4055" t="inlineStr"/>
      <c r="J4055" t="inlineStr"/>
      <c r="K4055" t="inlineStr"/>
      <c r="L4055" t="inlineStr"/>
      <c r="M4055" t="inlineStr"/>
      <c r="N4055" t="inlineStr"/>
    </row>
    <row r="4056">
      <c r="A4056" t="inlineStr">
        <is>
          <t>do-santo-domingo</t>
        </is>
      </c>
      <c r="B4056" t="inlineStr">
        <is>
          <t>Santo Domingo</t>
        </is>
      </c>
      <c r="C4056" t="inlineStr">
        <is>
          <t>Dominican Republic</t>
        </is>
      </c>
      <c r="D4056" t="inlineStr">
        <is>
          <t>North America</t>
        </is>
      </c>
      <c r="E4056" t="inlineStr">
        <is>
          <t>birth_rate_optimism_raw</t>
        </is>
      </c>
      <c r="F4056" t="inlineStr">
        <is>
          <t>Birth rate and societal optimism raw</t>
        </is>
      </c>
      <c r="G4056" t="inlineStr">
        <is>
          <t>community</t>
        </is>
      </c>
      <c r="H4056" t="inlineStr">
        <is>
          <t>yes</t>
        </is>
      </c>
      <c r="I4056" t="inlineStr"/>
      <c r="J4056" t="inlineStr"/>
      <c r="K4056" t="inlineStr"/>
      <c r="L4056" t="inlineStr"/>
      <c r="M4056" t="inlineStr"/>
      <c r="N4056" t="inlineStr"/>
    </row>
    <row r="4057">
      <c r="A4057" t="inlineStr">
        <is>
          <t>do-santo-domingo</t>
        </is>
      </c>
      <c r="B4057" t="inlineStr">
        <is>
          <t>Santo Domingo</t>
        </is>
      </c>
      <c r="C4057" t="inlineStr">
        <is>
          <t>Dominican Republic</t>
        </is>
      </c>
      <c r="D4057" t="inlineStr">
        <is>
          <t>North America</t>
        </is>
      </c>
      <c r="E4057" t="inlineStr">
        <is>
          <t>entrepreneurial_dynamism_raw</t>
        </is>
      </c>
      <c r="F4057" t="inlineStr">
        <is>
          <t>Entrepreneurial dynamism raw</t>
        </is>
      </c>
      <c r="G4057" t="inlineStr">
        <is>
          <t>creative</t>
        </is>
      </c>
      <c r="H4057" t="inlineStr">
        <is>
          <t>yes</t>
        </is>
      </c>
      <c r="I4057" t="inlineStr">
        <is>
          <t>1.45</t>
        </is>
      </c>
      <c r="J4057" t="inlineStr">
        <is>
          <t>world_bank</t>
        </is>
      </c>
      <c r="K4057" t="inlineStr">
        <is>
          <t>https://api.worldbank.org/v2/country/DOM/indicator/IC.BUS.NDNS.ZS?format=json&amp;mrv=10</t>
        </is>
      </c>
      <c r="L4057" t="inlineStr">
        <is>
          <t>World Bank WDI: New business density (new registrations per 1,000 people ages 15-64)</t>
        </is>
      </c>
      <c r="M4057" t="inlineStr">
        <is>
          <t>2018-12-31</t>
        </is>
      </c>
      <c r="N4057" t="inlineStr">
        <is>
          <t>auto_ingest=world_bank_creative_extended; indicator=IC.BUS.NDNS.ZS; year=2018; country_proxy=Dominican Republic</t>
        </is>
      </c>
    </row>
    <row r="4058">
      <c r="A4058" t="inlineStr">
        <is>
          <t>do-santo-domingo</t>
        </is>
      </c>
      <c r="B4058" t="inlineStr">
        <is>
          <t>Santo Domingo</t>
        </is>
      </c>
      <c r="C4058" t="inlineStr">
        <is>
          <t>Dominican Republic</t>
        </is>
      </c>
      <c r="D4058" t="inlineStr">
        <is>
          <t>North America</t>
        </is>
      </c>
      <c r="E4058" t="inlineStr">
        <is>
          <t>innovation_research_intensity_raw</t>
        </is>
      </c>
      <c r="F4058" t="inlineStr">
        <is>
          <t>Innovation and research raw</t>
        </is>
      </c>
      <c r="G4058" t="inlineStr">
        <is>
          <t>creative</t>
        </is>
      </c>
      <c r="H4058" t="inlineStr">
        <is>
          <t>yes</t>
        </is>
      </c>
      <c r="I4058" t="inlineStr"/>
      <c r="J4058" t="inlineStr"/>
      <c r="K4058" t="inlineStr"/>
      <c r="L4058" t="inlineStr"/>
      <c r="M4058" t="inlineStr"/>
      <c r="N4058" t="inlineStr"/>
    </row>
    <row r="4059">
      <c r="A4059" t="inlineStr">
        <is>
          <t>do-santo-domingo</t>
        </is>
      </c>
      <c r="B4059" t="inlineStr">
        <is>
          <t>Santo Domingo</t>
        </is>
      </c>
      <c r="C4059" t="inlineStr">
        <is>
          <t>Dominican Republic</t>
        </is>
      </c>
      <c r="D4059" t="inlineStr">
        <is>
          <t>North America</t>
        </is>
      </c>
      <c r="E4059" t="inlineStr">
        <is>
          <t>investment_signal_raw</t>
        </is>
      </c>
      <c r="F4059" t="inlineStr">
        <is>
          <t>Investment signal raw</t>
        </is>
      </c>
      <c r="G4059" t="inlineStr">
        <is>
          <t>creative</t>
        </is>
      </c>
      <c r="H4059" t="inlineStr">
        <is>
          <t>yes</t>
        </is>
      </c>
      <c r="I4059" t="inlineStr">
        <is>
          <t>3.6</t>
        </is>
      </c>
      <c r="J4059" t="inlineStr">
        <is>
          <t>world_bank</t>
        </is>
      </c>
      <c r="K4059" t="inlineStr">
        <is>
          <t>https://api.worldbank.org/v2/country/DOM/indicator/BX.KLT.DINV.WD.GD.ZS?format=json&amp;mrv=10</t>
        </is>
      </c>
      <c r="L4059" t="inlineStr">
        <is>
          <t>World Bank WDI: Foreign direct investment, net inflows (% of GDP)</t>
        </is>
      </c>
      <c r="M4059" t="inlineStr">
        <is>
          <t>2024-12-31</t>
        </is>
      </c>
      <c r="N4059" t="inlineStr">
        <is>
          <t>auto_ingest=world_bank_creative_extended; indicator=BX.KLT.DINV.WD.GD.ZS; year=2024; country_proxy=Dominican Republic</t>
        </is>
      </c>
    </row>
    <row r="4060">
      <c r="A4060" t="inlineStr">
        <is>
          <t>do-santo-domingo</t>
        </is>
      </c>
      <c r="B4060" t="inlineStr">
        <is>
          <t>Santo Domingo</t>
        </is>
      </c>
      <c r="C4060" t="inlineStr">
        <is>
          <t>Dominican Republic</t>
        </is>
      </c>
      <c r="D4060" t="inlineStr">
        <is>
          <t>North America</t>
        </is>
      </c>
      <c r="E4060" t="inlineStr">
        <is>
          <t>administrative_investment_friction_raw</t>
        </is>
      </c>
      <c r="F4060" t="inlineStr">
        <is>
          <t>Administrative investment friction raw</t>
        </is>
      </c>
      <c r="G4060" t="inlineStr">
        <is>
          <t>creative</t>
        </is>
      </c>
      <c r="H4060" t="inlineStr">
        <is>
          <t>yes</t>
        </is>
      </c>
      <c r="I4060" t="inlineStr">
        <is>
          <t>2.33</t>
        </is>
      </c>
      <c r="J4060" t="inlineStr">
        <is>
          <t>world_bank</t>
        </is>
      </c>
      <c r="K4060" t="inlineStr">
        <is>
          <t>https://api.worldbank.org/v2/country/DOM/indicator/RQ.EST?format=json&amp;mrv=10</t>
        </is>
      </c>
      <c r="L4060" t="inlineStr">
        <is>
          <t>World Bank WGI: Regulatory Quality (inverted as friction proxy)</t>
        </is>
      </c>
      <c r="M4060" t="inlineStr">
        <is>
          <t>2023-12-31</t>
        </is>
      </c>
      <c r="N4060" t="inlineStr">
        <is>
          <t>auto_ingest=world_bank_business_friction; indicator=RQ.EST; raw_rq=0.171186909079552; friction=2.33; year=2023; country_proxy=Dominican Republic</t>
        </is>
      </c>
    </row>
    <row r="4061">
      <c r="A4061" t="inlineStr">
        <is>
          <t>do-santo-domingo</t>
        </is>
      </c>
      <c r="B4061" t="inlineStr">
        <is>
          <t>Santo Domingo</t>
        </is>
      </c>
      <c r="C4061" t="inlineStr">
        <is>
          <t>Dominican Republic</t>
        </is>
      </c>
      <c r="D4061" t="inlineStr">
        <is>
          <t>North America</t>
        </is>
      </c>
      <c r="E4061" t="inlineStr">
        <is>
          <t>visitor_flow_context_raw</t>
        </is>
      </c>
      <c r="F4061" t="inlineStr">
        <is>
          <t>Visitor flow context raw</t>
        </is>
      </c>
      <c r="G4061" t="inlineStr">
        <is>
          <t>creative</t>
        </is>
      </c>
      <c r="H4061" t="inlineStr">
        <is>
          <t>no</t>
        </is>
      </c>
      <c r="I4061" t="inlineStr"/>
      <c r="J4061" t="inlineStr"/>
      <c r="K4061" t="inlineStr"/>
      <c r="L4061" t="inlineStr"/>
      <c r="M4061" t="inlineStr"/>
      <c r="N4061" t="inlineStr"/>
    </row>
    <row r="4062">
      <c r="A4062" t="inlineStr">
        <is>
          <t>br-florianopolis</t>
        </is>
      </c>
      <c r="B4062" t="inlineStr">
        <is>
          <t>Florianopolis</t>
        </is>
      </c>
      <c r="C4062" t="inlineStr">
        <is>
          <t>Brazil</t>
        </is>
      </c>
      <c r="D4062" t="inlineStr">
        <is>
          <t>Latin America</t>
        </is>
      </c>
      <c r="E4062" t="inlineStr">
        <is>
          <t>gross_income</t>
        </is>
      </c>
      <c r="F4062" t="inlineStr">
        <is>
          <t>Gross income</t>
        </is>
      </c>
      <c r="G4062" t="inlineStr">
        <is>
          <t>pressure</t>
        </is>
      </c>
      <c r="H4062" t="inlineStr">
        <is>
          <t>yes</t>
        </is>
      </c>
      <c r="I4062" t="inlineStr">
        <is>
          <t>1799.17</t>
        </is>
      </c>
      <c r="J4062" t="inlineStr">
        <is>
          <t>world_bank_col_estimate</t>
        </is>
      </c>
      <c r="K4062" t="inlineStr">
        <is>
          <t>https://api.worldbank.org/v2/country/BRA/indicator/NY.GNP.PCAP.PP.CD?format=json&amp;mrv=10</t>
        </is>
      </c>
      <c r="L4062" t="inlineStr">
        <is>
          <t>World Bank WDI: GNI per capita PPP (monthly USD)</t>
        </is>
      </c>
      <c r="M4062" t="inlineStr">
        <is>
          <t>2024-12-31</t>
        </is>
      </c>
      <c r="N4062" t="inlineStr">
        <is>
          <t>auto_ingest=world_bank_col_estimate; gni_annual=21590.0; year=2024; country_proxy=Brazil; cohort=Latin America</t>
        </is>
      </c>
    </row>
    <row r="4063">
      <c r="A4063" t="inlineStr">
        <is>
          <t>br-florianopolis</t>
        </is>
      </c>
      <c r="B4063" t="inlineStr">
        <is>
          <t>Florianopolis</t>
        </is>
      </c>
      <c r="C4063" t="inlineStr">
        <is>
          <t>Brazil</t>
        </is>
      </c>
      <c r="D4063" t="inlineStr">
        <is>
          <t>Latin America</t>
        </is>
      </c>
      <c r="E4063" t="inlineStr">
        <is>
          <t>di_ppp_raw</t>
        </is>
      </c>
      <c r="F4063" t="inlineStr">
        <is>
          <t>Disposable income PPP (Raw)</t>
        </is>
      </c>
      <c r="G4063" t="inlineStr">
        <is>
          <t>pressure</t>
        </is>
      </c>
      <c r="H4063" t="inlineStr">
        <is>
          <t>yes</t>
        </is>
      </c>
      <c r="I4063" t="inlineStr"/>
      <c r="J4063" t="inlineStr"/>
      <c r="K4063" t="inlineStr"/>
      <c r="L4063" t="inlineStr"/>
      <c r="M4063" t="inlineStr"/>
      <c r="N4063" t="inlineStr"/>
    </row>
    <row r="4064">
      <c r="A4064" t="inlineStr">
        <is>
          <t>br-florianopolis</t>
        </is>
      </c>
      <c r="B4064" t="inlineStr">
        <is>
          <t>Florianopolis</t>
        </is>
      </c>
      <c r="C4064" t="inlineStr">
        <is>
          <t>Brazil</t>
        </is>
      </c>
      <c r="D4064" t="inlineStr">
        <is>
          <t>Latin America</t>
        </is>
      </c>
      <c r="E4064" t="inlineStr">
        <is>
          <t>rent</t>
        </is>
      </c>
      <c r="F4064" t="inlineStr">
        <is>
          <t>Rent</t>
        </is>
      </c>
      <c r="G4064" t="inlineStr">
        <is>
          <t>pressure</t>
        </is>
      </c>
      <c r="H4064" t="inlineStr">
        <is>
          <t>yes</t>
        </is>
      </c>
      <c r="I4064" t="inlineStr">
        <is>
          <t>404.81</t>
        </is>
      </c>
      <c r="J4064" t="inlineStr">
        <is>
          <t>world_bank_col_estimate</t>
        </is>
      </c>
      <c r="K4064" t="inlineStr">
        <is>
          <t>https://api.worldbank.org/v2/country/BRA/indicator/NY.GNP.PCAP.PP.CD?format=json&amp;mrv=10</t>
        </is>
      </c>
      <c r="L4064" t="inlineStr">
        <is>
          <t>World Bank GNI + regional expenditure ratio estimate</t>
        </is>
      </c>
      <c r="M4064" t="inlineStr">
        <is>
          <t>2024-12-31</t>
        </is>
      </c>
      <c r="N4064" t="inlineStr">
        <is>
          <t>auto_ingest=world_bank_col_estimate; gni_annual=21590.0; year=2024; country_proxy=Brazil; cohort=Latin America; city_cost_mult=0.9</t>
        </is>
      </c>
    </row>
    <row r="4065">
      <c r="A4065" t="inlineStr">
        <is>
          <t>br-florianopolis</t>
        </is>
      </c>
      <c r="B4065" t="inlineStr">
        <is>
          <t>Florianopolis</t>
        </is>
      </c>
      <c r="C4065" t="inlineStr">
        <is>
          <t>Brazil</t>
        </is>
      </c>
      <c r="D4065" t="inlineStr">
        <is>
          <t>Latin America</t>
        </is>
      </c>
      <c r="E4065" t="inlineStr">
        <is>
          <t>utilities</t>
        </is>
      </c>
      <c r="F4065" t="inlineStr">
        <is>
          <t>Utilities</t>
        </is>
      </c>
      <c r="G4065" t="inlineStr">
        <is>
          <t>pressure</t>
        </is>
      </c>
      <c r="H4065" t="inlineStr">
        <is>
          <t>yes</t>
        </is>
      </c>
      <c r="I4065" t="inlineStr">
        <is>
          <t>97.16</t>
        </is>
      </c>
      <c r="J4065" t="inlineStr">
        <is>
          <t>world_bank_col_estimate</t>
        </is>
      </c>
      <c r="K4065" t="inlineStr">
        <is>
          <t>https://api.worldbank.org/v2/country/BRA/indicator/NY.GNP.PCAP.PP.CD?format=json&amp;mrv=10</t>
        </is>
      </c>
      <c r="L4065" t="inlineStr">
        <is>
          <t>World Bank GNI + regional expenditure ratio estimate</t>
        </is>
      </c>
      <c r="M4065" t="inlineStr">
        <is>
          <t>2024-12-31</t>
        </is>
      </c>
      <c r="N4065" t="inlineStr">
        <is>
          <t>auto_ingest=world_bank_col_estimate; gni_annual=21590.0; year=2024; country_proxy=Brazil; cohort=Latin America; city_cost_mult=0.9</t>
        </is>
      </c>
    </row>
    <row r="4066">
      <c r="A4066" t="inlineStr">
        <is>
          <t>br-florianopolis</t>
        </is>
      </c>
      <c r="B4066" t="inlineStr">
        <is>
          <t>Florianopolis</t>
        </is>
      </c>
      <c r="C4066" t="inlineStr">
        <is>
          <t>Brazil</t>
        </is>
      </c>
      <c r="D4066" t="inlineStr">
        <is>
          <t>Latin America</t>
        </is>
      </c>
      <c r="E4066" t="inlineStr">
        <is>
          <t>transit_cost</t>
        </is>
      </c>
      <c r="F4066" t="inlineStr">
        <is>
          <t>Transit cost</t>
        </is>
      </c>
      <c r="G4066" t="inlineStr">
        <is>
          <t>pressure</t>
        </is>
      </c>
      <c r="H4066" t="inlineStr">
        <is>
          <t>yes</t>
        </is>
      </c>
      <c r="I4066" t="inlineStr">
        <is>
          <t>64.77</t>
        </is>
      </c>
      <c r="J4066" t="inlineStr">
        <is>
          <t>world_bank_col_estimate</t>
        </is>
      </c>
      <c r="K4066" t="inlineStr">
        <is>
          <t>https://api.worldbank.org/v2/country/BRA/indicator/NY.GNP.PCAP.PP.CD?format=json&amp;mrv=10</t>
        </is>
      </c>
      <c r="L4066" t="inlineStr">
        <is>
          <t>World Bank GNI + regional expenditure ratio estimate</t>
        </is>
      </c>
      <c r="M4066" t="inlineStr">
        <is>
          <t>2024-12-31</t>
        </is>
      </c>
      <c r="N4066" t="inlineStr">
        <is>
          <t>auto_ingest=world_bank_col_estimate; gni_annual=21590.0; year=2024; country_proxy=Brazil; cohort=Latin America; city_cost_mult=0.9</t>
        </is>
      </c>
    </row>
    <row r="4067">
      <c r="A4067" t="inlineStr">
        <is>
          <t>br-florianopolis</t>
        </is>
      </c>
      <c r="B4067" t="inlineStr">
        <is>
          <t>Florianopolis</t>
        </is>
      </c>
      <c r="C4067" t="inlineStr">
        <is>
          <t>Brazil</t>
        </is>
      </c>
      <c r="D4067" t="inlineStr">
        <is>
          <t>Latin America</t>
        </is>
      </c>
      <c r="E4067" t="inlineStr">
        <is>
          <t>internet_cost</t>
        </is>
      </c>
      <c r="F4067" t="inlineStr">
        <is>
          <t>Internet cost</t>
        </is>
      </c>
      <c r="G4067" t="inlineStr">
        <is>
          <t>pressure</t>
        </is>
      </c>
      <c r="H4067" t="inlineStr">
        <is>
          <t>yes</t>
        </is>
      </c>
      <c r="I4067" t="inlineStr">
        <is>
          <t>24.29</t>
        </is>
      </c>
      <c r="J4067" t="inlineStr">
        <is>
          <t>world_bank_col_estimate</t>
        </is>
      </c>
      <c r="K4067" t="inlineStr">
        <is>
          <t>https://api.worldbank.org/v2/country/BRA/indicator/NY.GNP.PCAP.PP.CD?format=json&amp;mrv=10</t>
        </is>
      </c>
      <c r="L4067" t="inlineStr">
        <is>
          <t>World Bank GNI + regional expenditure ratio estimate</t>
        </is>
      </c>
      <c r="M4067" t="inlineStr">
        <is>
          <t>2024-12-31</t>
        </is>
      </c>
      <c r="N4067" t="inlineStr">
        <is>
          <t>auto_ingest=world_bank_col_estimate; gni_annual=21590.0; year=2024; country_proxy=Brazil; cohort=Latin America; city_cost_mult=0.9</t>
        </is>
      </c>
    </row>
    <row r="4068">
      <c r="A4068" t="inlineStr">
        <is>
          <t>br-florianopolis</t>
        </is>
      </c>
      <c r="B4068" t="inlineStr">
        <is>
          <t>Florianopolis</t>
        </is>
      </c>
      <c r="C4068" t="inlineStr">
        <is>
          <t>Brazil</t>
        </is>
      </c>
      <c r="D4068" t="inlineStr">
        <is>
          <t>Latin America</t>
        </is>
      </c>
      <c r="E4068" t="inlineStr">
        <is>
          <t>food_cost</t>
        </is>
      </c>
      <c r="F4068" t="inlineStr">
        <is>
          <t>Food cost</t>
        </is>
      </c>
      <c r="G4068" t="inlineStr">
        <is>
          <t>pressure</t>
        </is>
      </c>
      <c r="H4068" t="inlineStr">
        <is>
          <t>yes</t>
        </is>
      </c>
      <c r="I4068" t="inlineStr">
        <is>
          <t>356.24</t>
        </is>
      </c>
      <c r="J4068" t="inlineStr">
        <is>
          <t>world_bank_col_estimate</t>
        </is>
      </c>
      <c r="K4068" t="inlineStr">
        <is>
          <t>https://api.worldbank.org/v2/country/BRA/indicator/NY.GNP.PCAP.PP.CD?format=json&amp;mrv=10</t>
        </is>
      </c>
      <c r="L4068" t="inlineStr">
        <is>
          <t>World Bank GNI + regional expenditure ratio estimate</t>
        </is>
      </c>
      <c r="M4068" t="inlineStr">
        <is>
          <t>2024-12-31</t>
        </is>
      </c>
      <c r="N4068" t="inlineStr">
        <is>
          <t>auto_ingest=world_bank_col_estimate; gni_annual=21590.0; year=2024; country_proxy=Brazil; cohort=Latin America; city_cost_mult=0.9</t>
        </is>
      </c>
    </row>
    <row r="4069">
      <c r="A4069" t="inlineStr">
        <is>
          <t>br-florianopolis</t>
        </is>
      </c>
      <c r="B4069" t="inlineStr">
        <is>
          <t>Florianopolis</t>
        </is>
      </c>
      <c r="C4069" t="inlineStr">
        <is>
          <t>Brazil</t>
        </is>
      </c>
      <c r="D4069" t="inlineStr">
        <is>
          <t>Latin America</t>
        </is>
      </c>
      <c r="E4069" t="inlineStr">
        <is>
          <t>housing_burden_raw</t>
        </is>
      </c>
      <c r="F4069" t="inlineStr">
        <is>
          <t>Housing burden raw</t>
        </is>
      </c>
      <c r="G4069" t="inlineStr">
        <is>
          <t>pressure</t>
        </is>
      </c>
      <c r="H4069" t="inlineStr">
        <is>
          <t>yes</t>
        </is>
      </c>
      <c r="I4069" t="inlineStr">
        <is>
          <t>22.4998</t>
        </is>
      </c>
      <c r="J4069" t="inlineStr">
        <is>
          <t>derived</t>
        </is>
      </c>
      <c r="K4069" t="inlineStr">
        <is>
          <t>https://data.worldbank.org/indicator/NY.GNP.PCAP.PP.CD</t>
        </is>
      </c>
      <c r="L4069" t="inlineStr">
        <is>
          <t>Computed from city_inputs + country_context</t>
        </is>
      </c>
      <c r="M4069" t="inlineStr">
        <is>
          <t>2024-01-01</t>
        </is>
      </c>
      <c r="N4069" t="inlineStr">
        <is>
          <t>derived=rent/gross_income*100</t>
        </is>
      </c>
    </row>
    <row r="4070">
      <c r="A4070" t="inlineStr">
        <is>
          <t>br-florianopolis</t>
        </is>
      </c>
      <c r="B4070" t="inlineStr">
        <is>
          <t>Florianopolis</t>
        </is>
      </c>
      <c r="C4070" t="inlineStr">
        <is>
          <t>Brazil</t>
        </is>
      </c>
      <c r="D4070" t="inlineStr">
        <is>
          <t>Latin America</t>
        </is>
      </c>
      <c r="E4070" t="inlineStr">
        <is>
          <t>household_debt_burden_raw</t>
        </is>
      </c>
      <c r="F4070" t="inlineStr">
        <is>
          <t>Household debt burden raw</t>
        </is>
      </c>
      <c r="G4070" t="inlineStr">
        <is>
          <t>pressure</t>
        </is>
      </c>
      <c r="H4070" t="inlineStr">
        <is>
          <t>yes</t>
        </is>
      </c>
      <c r="I4070" t="inlineStr">
        <is>
          <t>75.6164</t>
        </is>
      </c>
      <c r="J4070" t="inlineStr">
        <is>
          <t>derived</t>
        </is>
      </c>
      <c r="K4070" t="inlineStr">
        <is>
          <t>https://data.worldbank.org/indicator/NY.GNP.PCAP.PP.CD</t>
        </is>
      </c>
      <c r="L4070" t="inlineStr">
        <is>
          <t>Computed from city_inputs + country_context</t>
        </is>
      </c>
      <c r="M4070" t="inlineStr">
        <is>
          <t>2024-01-01</t>
        </is>
      </c>
      <c r="N4070" t="inlineStr">
        <is>
          <t>derived=country_context.household_debt_proxy; country=Brazil</t>
        </is>
      </c>
    </row>
    <row r="4071">
      <c r="A4071" t="inlineStr">
        <is>
          <t>br-florianopolis</t>
        </is>
      </c>
      <c r="B4071" t="inlineStr">
        <is>
          <t>Florianopolis</t>
        </is>
      </c>
      <c r="C4071" t="inlineStr">
        <is>
          <t>Brazil</t>
        </is>
      </c>
      <c r="D4071" t="inlineStr">
        <is>
          <t>Latin America</t>
        </is>
      </c>
      <c r="E4071" t="inlineStr">
        <is>
          <t>working_time_pressure_raw</t>
        </is>
      </c>
      <c r="F4071" t="inlineStr">
        <is>
          <t>Working time pressure raw</t>
        </is>
      </c>
      <c r="G4071" t="inlineStr">
        <is>
          <t>pressure</t>
        </is>
      </c>
      <c r="H4071" t="inlineStr">
        <is>
          <t>yes</t>
        </is>
      </c>
      <c r="I4071" t="inlineStr">
        <is>
          <t>38.86</t>
        </is>
      </c>
      <c r="J4071" t="inlineStr">
        <is>
          <t>ilo_ilostat</t>
        </is>
      </c>
      <c r="K4071" t="inlineStr">
        <is>
          <t>https://ilostat.ilo.org/data/indicator/?id=HOW_TEMP_SEX_ECO_NB_A&amp;ref_area=BRA</t>
        </is>
      </c>
      <c r="L4071" t="inlineStr">
        <is>
          <t>ILO ILOSTAT: Mean weekly hours actually worked per employed person</t>
        </is>
      </c>
      <c r="M4071" t="inlineStr">
        <is>
          <t>2025-12-31</t>
        </is>
      </c>
      <c r="N4071" t="inlineStr">
        <is>
          <t>auto_ingest=ilo_working_hours; indicator=HOW_TEMP_SEX_ECO_NB_A; year=2025; hours=38.86; country_proxy=Brazil</t>
        </is>
      </c>
    </row>
    <row r="4072">
      <c r="A4072" t="inlineStr">
        <is>
          <t>br-florianopolis</t>
        </is>
      </c>
      <c r="B4072" t="inlineStr">
        <is>
          <t>Florianopolis</t>
        </is>
      </c>
      <c r="C4072" t="inlineStr">
        <is>
          <t>Brazil</t>
        </is>
      </c>
      <c r="D4072" t="inlineStr">
        <is>
          <t>Latin America</t>
        </is>
      </c>
      <c r="E4072" t="inlineStr">
        <is>
          <t>suicide_mental_strain_raw</t>
        </is>
      </c>
      <c r="F4072" t="inlineStr">
        <is>
          <t>Suicide or mental strain raw</t>
        </is>
      </c>
      <c r="G4072" t="inlineStr">
        <is>
          <t>pressure</t>
        </is>
      </c>
      <c r="H4072" t="inlineStr">
        <is>
          <t>yes</t>
        </is>
      </c>
      <c r="I4072" t="inlineStr">
        <is>
          <t>7.59</t>
        </is>
      </c>
      <c r="J4072" t="inlineStr">
        <is>
          <t>who_gho</t>
        </is>
      </c>
      <c r="K4072" t="inlineStr">
        <is>
          <t>https://www.who.int/data/gho/data/indicators/indicator-details/GHO/SDGSUICIDE</t>
        </is>
      </c>
      <c r="L4072" t="inlineStr">
        <is>
          <t>WHO GHO: Age-standardized suicide rate (per 100,000 population)</t>
        </is>
      </c>
      <c r="M4072" t="inlineStr">
        <is>
          <t>2021-12-31</t>
        </is>
      </c>
      <c r="N4072" t="inlineStr">
        <is>
          <t>auto_ingest=who_gho; indicator=SDGSUICIDE; year=2021; country_proxy=Brazil</t>
        </is>
      </c>
    </row>
    <row r="4073">
      <c r="A4073" t="inlineStr">
        <is>
          <t>br-florianopolis</t>
        </is>
      </c>
      <c r="B4073" t="inlineStr">
        <is>
          <t>Florianopolis</t>
        </is>
      </c>
      <c r="C4073" t="inlineStr">
        <is>
          <t>Brazil</t>
        </is>
      </c>
      <c r="D4073" t="inlineStr">
        <is>
          <t>Latin America</t>
        </is>
      </c>
      <c r="E4073" t="inlineStr">
        <is>
          <t>personal_safety_raw</t>
        </is>
      </c>
      <c r="F4073" t="inlineStr">
        <is>
          <t>Personal safety raw</t>
        </is>
      </c>
      <c r="G4073" t="inlineStr">
        <is>
          <t>viability</t>
        </is>
      </c>
      <c r="H4073" t="inlineStr">
        <is>
          <t>yes</t>
        </is>
      </c>
      <c r="I4073" t="inlineStr">
        <is>
          <t>19.28</t>
        </is>
      </c>
      <c r="J4073" t="inlineStr">
        <is>
          <t>world_bank</t>
        </is>
      </c>
      <c r="K4073" t="inlineStr">
        <is>
          <t>https://api.worldbank.org/v2/country/BRA/indicator/VC.IHR.PSRC.P5?format=json&amp;mrv=10</t>
        </is>
      </c>
      <c r="L4073" t="inlineStr">
        <is>
          <t>UNODC via World Bank WDI: Intentional homicides (per 100,000 people)</t>
        </is>
      </c>
      <c r="M4073" t="inlineStr">
        <is>
          <t>2023-12-31</t>
        </is>
      </c>
      <c r="N4073" t="inlineStr">
        <is>
          <t>auto_ingest=unodc_safety; indicator=VC.IHR.PSRC.P5; year=2023; country_proxy=Brazil</t>
        </is>
      </c>
    </row>
    <row r="4074">
      <c r="A4074" t="inlineStr">
        <is>
          <t>br-florianopolis</t>
        </is>
      </c>
      <c r="B4074" t="inlineStr">
        <is>
          <t>Florianopolis</t>
        </is>
      </c>
      <c r="C4074" t="inlineStr">
        <is>
          <t>Brazil</t>
        </is>
      </c>
      <c r="D4074" t="inlineStr">
        <is>
          <t>Latin America</t>
        </is>
      </c>
      <c r="E4074" t="inlineStr">
        <is>
          <t>transit_access_commute_raw</t>
        </is>
      </c>
      <c r="F4074" t="inlineStr">
        <is>
          <t>Transit access and commute raw</t>
        </is>
      </c>
      <c r="G4074" t="inlineStr">
        <is>
          <t>viability</t>
        </is>
      </c>
      <c r="H4074" t="inlineStr">
        <is>
          <t>yes</t>
        </is>
      </c>
      <c r="I4074" t="inlineStr"/>
      <c r="J4074" t="inlineStr"/>
      <c r="K4074" t="inlineStr"/>
      <c r="L4074" t="inlineStr"/>
      <c r="M4074" t="inlineStr"/>
      <c r="N4074" t="inlineStr"/>
    </row>
    <row r="4075">
      <c r="A4075" t="inlineStr">
        <is>
          <t>br-florianopolis</t>
        </is>
      </c>
      <c r="B4075" t="inlineStr">
        <is>
          <t>Florianopolis</t>
        </is>
      </c>
      <c r="C4075" t="inlineStr">
        <is>
          <t>Brazil</t>
        </is>
      </c>
      <c r="D4075" t="inlineStr">
        <is>
          <t>Latin America</t>
        </is>
      </c>
      <c r="E4075" t="inlineStr">
        <is>
          <t>clean_air_raw</t>
        </is>
      </c>
      <c r="F4075" t="inlineStr">
        <is>
          <t>Clean air raw</t>
        </is>
      </c>
      <c r="G4075" t="inlineStr">
        <is>
          <t>viability</t>
        </is>
      </c>
      <c r="H4075" t="inlineStr">
        <is>
          <t>yes</t>
        </is>
      </c>
      <c r="I4075" t="inlineStr"/>
      <c r="J4075" t="inlineStr"/>
      <c r="K4075" t="inlineStr"/>
      <c r="L4075" t="inlineStr"/>
      <c r="M4075" t="inlineStr"/>
      <c r="N4075" t="inlineStr"/>
    </row>
    <row r="4076">
      <c r="A4076" t="inlineStr">
        <is>
          <t>br-florianopolis</t>
        </is>
      </c>
      <c r="B4076" t="inlineStr">
        <is>
          <t>Florianopolis</t>
        </is>
      </c>
      <c r="C4076" t="inlineStr">
        <is>
          <t>Brazil</t>
        </is>
      </c>
      <c r="D4076" t="inlineStr">
        <is>
          <t>Latin America</t>
        </is>
      </c>
      <c r="E4076" t="inlineStr">
        <is>
          <t>water_sanitation_utility_raw</t>
        </is>
      </c>
      <c r="F4076" t="inlineStr">
        <is>
          <t>Water, sanitation, and utility raw</t>
        </is>
      </c>
      <c r="G4076" t="inlineStr">
        <is>
          <t>viability</t>
        </is>
      </c>
      <c r="H4076" t="inlineStr">
        <is>
          <t>yes</t>
        </is>
      </c>
      <c r="I4076" t="inlineStr">
        <is>
          <t>88.62</t>
        </is>
      </c>
      <c r="J4076" t="inlineStr">
        <is>
          <t>world_bank</t>
        </is>
      </c>
      <c r="K4076" t="inlineStr">
        <is>
          <t>https://api.worldbank.org/v2/country/BRA/indicator/SH.H2O.SMDW.ZS?format=json&amp;mrv=10</t>
        </is>
      </c>
      <c r="L4076" t="inlineStr">
        <is>
          <t>World Bank WDI: People using safely managed drinking water services (% of population)</t>
        </is>
      </c>
      <c r="M4076" t="inlineStr">
        <is>
          <t>2024-12-31</t>
        </is>
      </c>
      <c r="N4076" t="inlineStr">
        <is>
          <t>auto_ingest=world_bank_proxy; indicator=SH.H2O.SMDW.ZS; year=2024; country_proxy=Brazil</t>
        </is>
      </c>
    </row>
    <row r="4077">
      <c r="A4077" t="inlineStr">
        <is>
          <t>br-florianopolis</t>
        </is>
      </c>
      <c r="B4077" t="inlineStr">
        <is>
          <t>Florianopolis</t>
        </is>
      </c>
      <c r="C4077" t="inlineStr">
        <is>
          <t>Brazil</t>
        </is>
      </c>
      <c r="D4077" t="inlineStr">
        <is>
          <t>Latin America</t>
        </is>
      </c>
      <c r="E4077" t="inlineStr">
        <is>
          <t>digital_infrastructure_raw</t>
        </is>
      </c>
      <c r="F4077" t="inlineStr">
        <is>
          <t>Digital infrastructure raw</t>
        </is>
      </c>
      <c r="G4077" t="inlineStr">
        <is>
          <t>viability</t>
        </is>
      </c>
      <c r="H4077" t="inlineStr">
        <is>
          <t>yes</t>
        </is>
      </c>
      <c r="I4077" t="inlineStr">
        <is>
          <t>22.42</t>
        </is>
      </c>
      <c r="J4077" t="inlineStr">
        <is>
          <t>world_bank</t>
        </is>
      </c>
      <c r="K4077" t="inlineStr">
        <is>
          <t>https://api.worldbank.org/v2/country/BRA/indicator/IT.NET.BBND.P2?format=json&amp;mrv=10</t>
        </is>
      </c>
      <c r="L4077" t="inlineStr">
        <is>
          <t>World Bank WDI: Fixed broadband subscriptions (per 100 people)</t>
        </is>
      </c>
      <c r="M4077" t="inlineStr">
        <is>
          <t>2023-12-31</t>
        </is>
      </c>
      <c r="N4077" t="inlineStr">
        <is>
          <t>auto_ingest=world_bank_proxy; indicator=IT.NET.BBND.P2; year=2023; country_proxy=Brazil</t>
        </is>
      </c>
    </row>
    <row r="4078">
      <c r="A4078" t="inlineStr">
        <is>
          <t>br-florianopolis</t>
        </is>
      </c>
      <c r="B4078" t="inlineStr">
        <is>
          <t>Florianopolis</t>
        </is>
      </c>
      <c r="C4078" t="inlineStr">
        <is>
          <t>Brazil</t>
        </is>
      </c>
      <c r="D4078" t="inlineStr">
        <is>
          <t>Latin America</t>
        </is>
      </c>
      <c r="E4078" t="inlineStr">
        <is>
          <t>climate_sunlight_livability_raw</t>
        </is>
      </c>
      <c r="F4078" t="inlineStr">
        <is>
          <t>Climate and sunlight livability raw</t>
        </is>
      </c>
      <c r="G4078" t="inlineStr">
        <is>
          <t>viability</t>
        </is>
      </c>
      <c r="H4078" t="inlineStr">
        <is>
          <t>yes</t>
        </is>
      </c>
      <c r="I4078" t="inlineStr"/>
      <c r="J4078" t="inlineStr"/>
      <c r="K4078" t="inlineStr"/>
      <c r="L4078" t="inlineStr"/>
      <c r="M4078" t="inlineStr"/>
      <c r="N4078" t="inlineStr"/>
    </row>
    <row r="4079">
      <c r="A4079" t="inlineStr">
        <is>
          <t>br-florianopolis</t>
        </is>
      </c>
      <c r="B4079" t="inlineStr">
        <is>
          <t>Florianopolis</t>
        </is>
      </c>
      <c r="C4079" t="inlineStr">
        <is>
          <t>Brazil</t>
        </is>
      </c>
      <c r="D4079" t="inlineStr">
        <is>
          <t>Latin America</t>
        </is>
      </c>
      <c r="E4079" t="inlineStr">
        <is>
          <t>healthcare_quality_raw</t>
        </is>
      </c>
      <c r="F4079" t="inlineStr">
        <is>
          <t>Healthcare quality raw</t>
        </is>
      </c>
      <c r="G4079" t="inlineStr">
        <is>
          <t>capability</t>
        </is>
      </c>
      <c r="H4079" t="inlineStr">
        <is>
          <t>yes</t>
        </is>
      </c>
      <c r="I4079" t="inlineStr">
        <is>
          <t>84.0</t>
        </is>
      </c>
      <c r="J4079" t="inlineStr">
        <is>
          <t>who_gho</t>
        </is>
      </c>
      <c r="K4079" t="inlineStr">
        <is>
          <t>https://www.who.int/data/gho/data/indicators/indicator-details/GHO/UHC_INDEX_REPORTED</t>
        </is>
      </c>
      <c r="L4079" t="inlineStr">
        <is>
          <t>WHO GHO: UHC Service Coverage Index</t>
        </is>
      </c>
      <c r="M4079" t="inlineStr">
        <is>
          <t>2023-12-31</t>
        </is>
      </c>
      <c r="N4079" t="inlineStr">
        <is>
          <t>auto_ingest=who_gho; indicator=UHC_INDEX_REPORTED; year=2023; country_proxy=Brazil</t>
        </is>
      </c>
    </row>
    <row r="4080">
      <c r="A4080" t="inlineStr">
        <is>
          <t>br-florianopolis</t>
        </is>
      </c>
      <c r="B4080" t="inlineStr">
        <is>
          <t>Florianopolis</t>
        </is>
      </c>
      <c r="C4080" t="inlineStr">
        <is>
          <t>Brazil</t>
        </is>
      </c>
      <c r="D4080" t="inlineStr">
        <is>
          <t>Latin America</t>
        </is>
      </c>
      <c r="E4080" t="inlineStr">
        <is>
          <t>education_quality_raw</t>
        </is>
      </c>
      <c r="F4080" t="inlineStr">
        <is>
          <t>Education quality raw</t>
        </is>
      </c>
      <c r="G4080" t="inlineStr">
        <is>
          <t>capability</t>
        </is>
      </c>
      <c r="H4080" t="inlineStr">
        <is>
          <t>yes</t>
        </is>
      </c>
      <c r="I4080" t="inlineStr">
        <is>
          <t>60.39</t>
        </is>
      </c>
      <c r="J4080" t="inlineStr">
        <is>
          <t>world_bank</t>
        </is>
      </c>
      <c r="K4080" t="inlineStr">
        <is>
          <t>https://api.worldbank.org/v2/country/BRA/indicator/SE.TER.ENRR?format=json&amp;mrv=10</t>
        </is>
      </c>
      <c r="L4080" t="inlineStr">
        <is>
          <t>World Bank WDI: School enrollment, tertiary (% gross)</t>
        </is>
      </c>
      <c r="M4080" t="inlineStr">
        <is>
          <t>2022-12-31</t>
        </is>
      </c>
      <c r="N4080" t="inlineStr">
        <is>
          <t>auto_ingest=world_bank_proxy; indicator=SE.TER.ENRR; year=2022; country_proxy=Brazil</t>
        </is>
      </c>
    </row>
    <row r="4081">
      <c r="A4081" t="inlineStr">
        <is>
          <t>br-florianopolis</t>
        </is>
      </c>
      <c r="B4081" t="inlineStr">
        <is>
          <t>Florianopolis</t>
        </is>
      </c>
      <c r="C4081" t="inlineStr">
        <is>
          <t>Brazil</t>
        </is>
      </c>
      <c r="D4081" t="inlineStr">
        <is>
          <t>Latin America</t>
        </is>
      </c>
      <c r="E4081" t="inlineStr">
        <is>
          <t>equal_opportunity_raw</t>
        </is>
      </c>
      <c r="F4081" t="inlineStr">
        <is>
          <t>Equal opportunity raw</t>
        </is>
      </c>
      <c r="G4081" t="inlineStr">
        <is>
          <t>capability</t>
        </is>
      </c>
      <c r="H4081" t="inlineStr">
        <is>
          <t>yes</t>
        </is>
      </c>
      <c r="I4081" t="inlineStr">
        <is>
          <t>51.6</t>
        </is>
      </c>
      <c r="J4081" t="inlineStr">
        <is>
          <t>world_bank</t>
        </is>
      </c>
      <c r="K4081" t="inlineStr">
        <is>
          <t>https://api.worldbank.org/v2/country/BRA/indicator/SI.POV.GINI?format=json&amp;mrv=10</t>
        </is>
      </c>
      <c r="L4081" t="inlineStr">
        <is>
          <t>World Bank WDI: Gini index</t>
        </is>
      </c>
      <c r="M4081" t="inlineStr">
        <is>
          <t>2023-12-31</t>
        </is>
      </c>
      <c r="N4081" t="inlineStr">
        <is>
          <t>auto_ingest=world_bank_capability; indicator=SI.POV.GINI; year=2023; country_proxy=Brazil</t>
        </is>
      </c>
    </row>
    <row r="4082">
      <c r="A4082" t="inlineStr">
        <is>
          <t>br-florianopolis</t>
        </is>
      </c>
      <c r="B4082" t="inlineStr">
        <is>
          <t>Florianopolis</t>
        </is>
      </c>
      <c r="C4082" t="inlineStr">
        <is>
          <t>Brazil</t>
        </is>
      </c>
      <c r="D4082" t="inlineStr">
        <is>
          <t>Latin America</t>
        </is>
      </c>
      <c r="E4082" t="inlineStr">
        <is>
          <t>hospitality_belonging_raw</t>
        </is>
      </c>
      <c r="F4082" t="inlineStr">
        <is>
          <t>Hospitality and belonging raw</t>
        </is>
      </c>
      <c r="G4082" t="inlineStr">
        <is>
          <t>community</t>
        </is>
      </c>
      <c r="H4082" t="inlineStr">
        <is>
          <t>yes</t>
        </is>
      </c>
      <c r="I4082" t="inlineStr">
        <is>
          <t>48.98</t>
        </is>
      </c>
      <c r="J4082" t="inlineStr">
        <is>
          <t>world_bank</t>
        </is>
      </c>
      <c r="K4082" t="inlineStr">
        <is>
          <t>https://api.worldbank.org/v2/country/BRA/indicator/SM.POP.NETM?format=json&amp;mrv=10</t>
        </is>
      </c>
      <c r="L4082" t="inlineStr">
        <is>
          <t>World Bank WDI: Net migration (proxy for hospitality/belonging — positive = welcoming)</t>
        </is>
      </c>
      <c r="M4082" t="inlineStr">
        <is>
          <t>2025-12-31</t>
        </is>
      </c>
      <c r="N4082" t="inlineStr">
        <is>
          <t>auto_ingest=world_bank_proxy; proxy=net_migration_hospitality; indicator=SM.POP.NETM; year=2025; country_proxy=Brazil</t>
        </is>
      </c>
    </row>
    <row r="4083">
      <c r="A4083" t="inlineStr">
        <is>
          <t>br-florianopolis</t>
        </is>
      </c>
      <c r="B4083" t="inlineStr">
        <is>
          <t>Florianopolis</t>
        </is>
      </c>
      <c r="C4083" t="inlineStr">
        <is>
          <t>Brazil</t>
        </is>
      </c>
      <c r="D4083" t="inlineStr">
        <is>
          <t>Latin America</t>
        </is>
      </c>
      <c r="E4083" t="inlineStr">
        <is>
          <t>tolerance_pluralism_raw</t>
        </is>
      </c>
      <c r="F4083" t="inlineStr">
        <is>
          <t>Tolerance and pluralism raw</t>
        </is>
      </c>
      <c r="G4083" t="inlineStr">
        <is>
          <t>community</t>
        </is>
      </c>
      <c r="H4083" t="inlineStr">
        <is>
          <t>yes</t>
        </is>
      </c>
      <c r="I4083" t="inlineStr">
        <is>
          <t>17.54</t>
        </is>
      </c>
      <c r="J4083" t="inlineStr">
        <is>
          <t>world_bank</t>
        </is>
      </c>
      <c r="K4083" t="inlineStr">
        <is>
          <t>https://api.worldbank.org/v2/country/BRA/indicator/SG.GEN.PARL.ZS?format=json&amp;mrv=10</t>
        </is>
      </c>
      <c r="L4083" t="inlineStr">
        <is>
          <t>World Bank WDI: Proportion of seats held by women in national parliaments (%)</t>
        </is>
      </c>
      <c r="M4083" t="inlineStr">
        <is>
          <t>2024-12-31</t>
        </is>
      </c>
      <c r="N4083" t="inlineStr">
        <is>
          <t>auto_ingest=world_bank_proxy; proxy=gender_parity_parliament; indicator=SG.GEN.PARL.ZS; year=2024; country_proxy=Brazil</t>
        </is>
      </c>
    </row>
    <row r="4084">
      <c r="A4084" t="inlineStr">
        <is>
          <t>br-florianopolis</t>
        </is>
      </c>
      <c r="B4084" t="inlineStr">
        <is>
          <t>Florianopolis</t>
        </is>
      </c>
      <c r="C4084" t="inlineStr">
        <is>
          <t>Brazil</t>
        </is>
      </c>
      <c r="D4084" t="inlineStr">
        <is>
          <t>Latin America</t>
        </is>
      </c>
      <c r="E4084" t="inlineStr">
        <is>
          <t>cultural_public_life_raw</t>
        </is>
      </c>
      <c r="F4084" t="inlineStr">
        <is>
          <t>Cultural public life raw</t>
        </is>
      </c>
      <c r="G4084" t="inlineStr">
        <is>
          <t>community</t>
        </is>
      </c>
      <c r="H4084" t="inlineStr">
        <is>
          <t>yes</t>
        </is>
      </c>
      <c r="I4084" t="inlineStr">
        <is>
          <t>29.97</t>
        </is>
      </c>
      <c r="J4084" t="inlineStr">
        <is>
          <t>world_bank</t>
        </is>
      </c>
      <c r="K4084" t="inlineStr">
        <is>
          <t>https://api.worldbank.org/v2/country/BRA/indicator/ST.INT.ARVL?format=json&amp;mrv=10</t>
        </is>
      </c>
      <c r="L4084" t="inlineStr">
        <is>
          <t>World Bank WDI: International tourism arrivals per 1 000 population</t>
        </is>
      </c>
      <c r="M4084" t="inlineStr">
        <is>
          <t>2019-12-31</t>
        </is>
      </c>
      <c r="N4084" t="inlineStr">
        <is>
          <t>auto_ingest=cultural_life_proxy; indicator=ST.INT.ARVL; norm=per_1000_pop; year=2019; country_proxy=Brazil</t>
        </is>
      </c>
    </row>
    <row r="4085">
      <c r="A4085" t="inlineStr">
        <is>
          <t>br-florianopolis</t>
        </is>
      </c>
      <c r="B4085" t="inlineStr">
        <is>
          <t>Florianopolis</t>
        </is>
      </c>
      <c r="C4085" t="inlineStr">
        <is>
          <t>Brazil</t>
        </is>
      </c>
      <c r="D4085" t="inlineStr">
        <is>
          <t>Latin America</t>
        </is>
      </c>
      <c r="E4085" t="inlineStr">
        <is>
          <t>birth_rate_optimism_raw</t>
        </is>
      </c>
      <c r="F4085" t="inlineStr">
        <is>
          <t>Birth rate and societal optimism raw</t>
        </is>
      </c>
      <c r="G4085" t="inlineStr">
        <is>
          <t>community</t>
        </is>
      </c>
      <c r="H4085" t="inlineStr">
        <is>
          <t>yes</t>
        </is>
      </c>
      <c r="I4085" t="inlineStr">
        <is>
          <t>1.64</t>
        </is>
      </c>
      <c r="J4085" t="inlineStr">
        <is>
          <t>world_bank</t>
        </is>
      </c>
      <c r="K4085" t="inlineStr">
        <is>
          <t>https://data.worldbank.org/indicator/SP.DYN.TFRT.IN</t>
        </is>
      </c>
      <c r="L4085" t="inlineStr">
        <is>
          <t>World Bank Total Fertility Rate 2023</t>
        </is>
      </c>
      <c r="M4085" t="inlineStr">
        <is>
          <t>2024-01-01</t>
        </is>
      </c>
      <c r="N4085" t="inlineStr"/>
    </row>
    <row r="4086">
      <c r="A4086" t="inlineStr">
        <is>
          <t>br-florianopolis</t>
        </is>
      </c>
      <c r="B4086" t="inlineStr">
        <is>
          <t>Florianopolis</t>
        </is>
      </c>
      <c r="C4086" t="inlineStr">
        <is>
          <t>Brazil</t>
        </is>
      </c>
      <c r="D4086" t="inlineStr">
        <is>
          <t>Latin America</t>
        </is>
      </c>
      <c r="E4086" t="inlineStr">
        <is>
          <t>entrepreneurial_dynamism_raw</t>
        </is>
      </c>
      <c r="F4086" t="inlineStr">
        <is>
          <t>Entrepreneurial dynamism raw</t>
        </is>
      </c>
      <c r="G4086" t="inlineStr">
        <is>
          <t>creative</t>
        </is>
      </c>
      <c r="H4086" t="inlineStr">
        <is>
          <t>yes</t>
        </is>
      </c>
      <c r="I4086" t="inlineStr">
        <is>
          <t>5.1</t>
        </is>
      </c>
      <c r="J4086" t="inlineStr">
        <is>
          <t>world_bank</t>
        </is>
      </c>
      <c r="K4086" t="inlineStr">
        <is>
          <t>https://api.worldbank.org/v2/country/BRA/indicator/IC.BUS.NDNS.ZS?format=json&amp;mrv=10</t>
        </is>
      </c>
      <c r="L4086" t="inlineStr">
        <is>
          <t>World Bank WDI: New business density (new registrations per 1,000 people ages 15-64)</t>
        </is>
      </c>
      <c r="M4086" t="inlineStr">
        <is>
          <t>2022-12-31</t>
        </is>
      </c>
      <c r="N4086" t="inlineStr">
        <is>
          <t>auto_ingest=world_bank_creative_extended; indicator=IC.BUS.NDNS.ZS; year=2022; country_proxy=Brazil</t>
        </is>
      </c>
    </row>
    <row r="4087">
      <c r="A4087" t="inlineStr">
        <is>
          <t>br-florianopolis</t>
        </is>
      </c>
      <c r="B4087" t="inlineStr">
        <is>
          <t>Florianopolis</t>
        </is>
      </c>
      <c r="C4087" t="inlineStr">
        <is>
          <t>Brazil</t>
        </is>
      </c>
      <c r="D4087" t="inlineStr">
        <is>
          <t>Latin America</t>
        </is>
      </c>
      <c r="E4087" t="inlineStr">
        <is>
          <t>innovation_research_intensity_raw</t>
        </is>
      </c>
      <c r="F4087" t="inlineStr">
        <is>
          <t>Innovation and research raw</t>
        </is>
      </c>
      <c r="G4087" t="inlineStr">
        <is>
          <t>creative</t>
        </is>
      </c>
      <c r="H4087" t="inlineStr">
        <is>
          <t>yes</t>
        </is>
      </c>
      <c r="I4087" t="inlineStr">
        <is>
          <t>1.15</t>
        </is>
      </c>
      <c r="J4087" t="inlineStr">
        <is>
          <t>world_bank</t>
        </is>
      </c>
      <c r="K4087" t="inlineStr">
        <is>
          <t>https://api.worldbank.org/v2/country/BRA/indicator/GB.XPD.RSDV.GD.ZS?format=json&amp;mrv=10</t>
        </is>
      </c>
      <c r="L4087" t="inlineStr">
        <is>
          <t>World Bank WDI: Research and development expenditure (% of GDP)</t>
        </is>
      </c>
      <c r="M4087" t="inlineStr">
        <is>
          <t>2020-12-31</t>
        </is>
      </c>
      <c r="N4087" t="inlineStr">
        <is>
          <t>auto_ingest=world_bank_creative_extended; indicator=GB.XPD.RSDV.GD.ZS; year=2020; country_proxy=Brazil</t>
        </is>
      </c>
    </row>
    <row r="4088">
      <c r="A4088" t="inlineStr">
        <is>
          <t>br-florianopolis</t>
        </is>
      </c>
      <c r="B4088" t="inlineStr">
        <is>
          <t>Florianopolis</t>
        </is>
      </c>
      <c r="C4088" t="inlineStr">
        <is>
          <t>Brazil</t>
        </is>
      </c>
      <c r="D4088" t="inlineStr">
        <is>
          <t>Latin America</t>
        </is>
      </c>
      <c r="E4088" t="inlineStr">
        <is>
          <t>investment_signal_raw</t>
        </is>
      </c>
      <c r="F4088" t="inlineStr">
        <is>
          <t>Investment signal raw</t>
        </is>
      </c>
      <c r="G4088" t="inlineStr">
        <is>
          <t>creative</t>
        </is>
      </c>
      <c r="H4088" t="inlineStr">
        <is>
          <t>yes</t>
        </is>
      </c>
      <c r="I4088" t="inlineStr">
        <is>
          <t>3.39</t>
        </is>
      </c>
      <c r="J4088" t="inlineStr">
        <is>
          <t>world_bank</t>
        </is>
      </c>
      <c r="K4088" t="inlineStr">
        <is>
          <t>https://api.worldbank.org/v2/country/BRA/indicator/BX.KLT.DINV.WD.GD.ZS?format=json&amp;mrv=10</t>
        </is>
      </c>
      <c r="L4088" t="inlineStr">
        <is>
          <t>World Bank WDI: Foreign direct investment, net inflows (% of GDP)</t>
        </is>
      </c>
      <c r="M4088" t="inlineStr">
        <is>
          <t>2024-12-31</t>
        </is>
      </c>
      <c r="N4088" t="inlineStr">
        <is>
          <t>auto_ingest=world_bank_creative_extended; indicator=BX.KLT.DINV.WD.GD.ZS; year=2024; country_proxy=Brazil</t>
        </is>
      </c>
    </row>
    <row r="4089">
      <c r="A4089" t="inlineStr">
        <is>
          <t>br-florianopolis</t>
        </is>
      </c>
      <c r="B4089" t="inlineStr">
        <is>
          <t>Florianopolis</t>
        </is>
      </c>
      <c r="C4089" t="inlineStr">
        <is>
          <t>Brazil</t>
        </is>
      </c>
      <c r="D4089" t="inlineStr">
        <is>
          <t>Latin America</t>
        </is>
      </c>
      <c r="E4089" t="inlineStr">
        <is>
          <t>administrative_investment_friction_raw</t>
        </is>
      </c>
      <c r="F4089" t="inlineStr">
        <is>
          <t>Administrative investment friction raw</t>
        </is>
      </c>
      <c r="G4089" t="inlineStr">
        <is>
          <t>creative</t>
        </is>
      </c>
      <c r="H4089" t="inlineStr">
        <is>
          <t>yes</t>
        </is>
      </c>
      <c r="I4089" t="inlineStr">
        <is>
          <t>2.8</t>
        </is>
      </c>
      <c r="J4089" t="inlineStr">
        <is>
          <t>world_bank</t>
        </is>
      </c>
      <c r="K4089" t="inlineStr">
        <is>
          <t>https://api.worldbank.org/v2/country/BRA/indicator/RQ.EST?format=json&amp;mrv=10</t>
        </is>
      </c>
      <c r="L4089" t="inlineStr">
        <is>
          <t>World Bank WGI: Regulatory Quality (inverted as friction proxy)</t>
        </is>
      </c>
      <c r="M4089" t="inlineStr">
        <is>
          <t>2023-12-31</t>
        </is>
      </c>
      <c r="N4089" t="inlineStr">
        <is>
          <t>auto_ingest=world_bank_business_friction; indicator=RQ.EST; raw_rq=-0.29647821187973; friction=2.8; year=2023; country_proxy=Brazil</t>
        </is>
      </c>
    </row>
    <row r="4090">
      <c r="A4090" t="inlineStr">
        <is>
          <t>br-florianopolis</t>
        </is>
      </c>
      <c r="B4090" t="inlineStr">
        <is>
          <t>Florianopolis</t>
        </is>
      </c>
      <c r="C4090" t="inlineStr">
        <is>
          <t>Brazil</t>
        </is>
      </c>
      <c r="D4090" t="inlineStr">
        <is>
          <t>Latin America</t>
        </is>
      </c>
      <c r="E4090" t="inlineStr">
        <is>
          <t>visitor_flow_context_raw</t>
        </is>
      </c>
      <c r="F4090" t="inlineStr">
        <is>
          <t>Visitor flow context raw</t>
        </is>
      </c>
      <c r="G4090" t="inlineStr">
        <is>
          <t>creative</t>
        </is>
      </c>
      <c r="H4090" t="inlineStr">
        <is>
          <t>no</t>
        </is>
      </c>
      <c r="I4090" t="inlineStr"/>
      <c r="J4090" t="inlineStr"/>
      <c r="K4090" t="inlineStr"/>
      <c r="L4090" t="inlineStr"/>
      <c r="M4090" t="inlineStr"/>
      <c r="N4090" t="inlineStr"/>
    </row>
    <row r="4091">
      <c r="A4091" t="inlineStr">
        <is>
          <t>pe-arequipa</t>
        </is>
      </c>
      <c r="B4091" t="inlineStr">
        <is>
          <t>Arequipa</t>
        </is>
      </c>
      <c r="C4091" t="inlineStr">
        <is>
          <t>Peru</t>
        </is>
      </c>
      <c r="D4091" t="inlineStr">
        <is>
          <t>Latin America</t>
        </is>
      </c>
      <c r="E4091" t="inlineStr">
        <is>
          <t>gross_income</t>
        </is>
      </c>
      <c r="F4091" t="inlineStr">
        <is>
          <t>Gross income</t>
        </is>
      </c>
      <c r="G4091" t="inlineStr">
        <is>
          <t>pressure</t>
        </is>
      </c>
      <c r="H4091" t="inlineStr">
        <is>
          <t>yes</t>
        </is>
      </c>
      <c r="I4091" t="inlineStr">
        <is>
          <t>1398.33</t>
        </is>
      </c>
      <c r="J4091" t="inlineStr">
        <is>
          <t>world_bank_col_estimate</t>
        </is>
      </c>
      <c r="K4091" t="inlineStr">
        <is>
          <t>https://api.worldbank.org/v2/country/PER/indicator/NY.GNP.PCAP.PP.CD?format=json&amp;mrv=10</t>
        </is>
      </c>
      <c r="L4091" t="inlineStr">
        <is>
          <t>World Bank WDI: GNI per capita PPP (monthly USD)</t>
        </is>
      </c>
      <c r="M4091" t="inlineStr">
        <is>
          <t>2024-12-31</t>
        </is>
      </c>
      <c r="N4091" t="inlineStr">
        <is>
          <t>auto_ingest=world_bank_col_estimate; gni_annual=16780.0; year=2024; country_proxy=Peru; cohort=Latin America</t>
        </is>
      </c>
    </row>
    <row r="4092">
      <c r="A4092" t="inlineStr">
        <is>
          <t>pe-arequipa</t>
        </is>
      </c>
      <c r="B4092" t="inlineStr">
        <is>
          <t>Arequipa</t>
        </is>
      </c>
      <c r="C4092" t="inlineStr">
        <is>
          <t>Peru</t>
        </is>
      </c>
      <c r="D4092" t="inlineStr">
        <is>
          <t>Latin America</t>
        </is>
      </c>
      <c r="E4092" t="inlineStr">
        <is>
          <t>di_ppp_raw</t>
        </is>
      </c>
      <c r="F4092" t="inlineStr">
        <is>
          <t>Disposable income PPP (Raw)</t>
        </is>
      </c>
      <c r="G4092" t="inlineStr">
        <is>
          <t>pressure</t>
        </is>
      </c>
      <c r="H4092" t="inlineStr">
        <is>
          <t>yes</t>
        </is>
      </c>
      <c r="I4092" t="inlineStr"/>
      <c r="J4092" t="inlineStr"/>
      <c r="K4092" t="inlineStr"/>
      <c r="L4092" t="inlineStr"/>
      <c r="M4092" t="inlineStr"/>
      <c r="N4092" t="inlineStr"/>
    </row>
    <row r="4093">
      <c r="A4093" t="inlineStr">
        <is>
          <t>pe-arequipa</t>
        </is>
      </c>
      <c r="B4093" t="inlineStr">
        <is>
          <t>Arequipa</t>
        </is>
      </c>
      <c r="C4093" t="inlineStr">
        <is>
          <t>Peru</t>
        </is>
      </c>
      <c r="D4093" t="inlineStr">
        <is>
          <t>Latin America</t>
        </is>
      </c>
      <c r="E4093" t="inlineStr">
        <is>
          <t>rent</t>
        </is>
      </c>
      <c r="F4093" t="inlineStr">
        <is>
          <t>Rent</t>
        </is>
      </c>
      <c r="G4093" t="inlineStr">
        <is>
          <t>pressure</t>
        </is>
      </c>
      <c r="H4093" t="inlineStr">
        <is>
          <t>yes</t>
        </is>
      </c>
      <c r="I4093" t="inlineStr">
        <is>
          <t>262.19</t>
        </is>
      </c>
      <c r="J4093" t="inlineStr">
        <is>
          <t>world_bank_col_estimate</t>
        </is>
      </c>
      <c r="K4093" t="inlineStr">
        <is>
          <t>https://api.worldbank.org/v2/country/PER/indicator/NY.GNP.PCAP.PP.CD?format=json&amp;mrv=10</t>
        </is>
      </c>
      <c r="L4093" t="inlineStr">
        <is>
          <t>World Bank GNI + regional expenditure ratio estimate</t>
        </is>
      </c>
      <c r="M4093" t="inlineStr">
        <is>
          <t>2024-12-31</t>
        </is>
      </c>
      <c r="N4093" t="inlineStr">
        <is>
          <t>auto_ingest=world_bank_col_estimate; gni_annual=16780.0; year=2024; country_proxy=Peru; cohort=Latin America; city_cost_mult=0.75</t>
        </is>
      </c>
    </row>
    <row r="4094">
      <c r="A4094" t="inlineStr">
        <is>
          <t>pe-arequipa</t>
        </is>
      </c>
      <c r="B4094" t="inlineStr">
        <is>
          <t>Arequipa</t>
        </is>
      </c>
      <c r="C4094" t="inlineStr">
        <is>
          <t>Peru</t>
        </is>
      </c>
      <c r="D4094" t="inlineStr">
        <is>
          <t>Latin America</t>
        </is>
      </c>
      <c r="E4094" t="inlineStr">
        <is>
          <t>utilities</t>
        </is>
      </c>
      <c r="F4094" t="inlineStr">
        <is>
          <t>Utilities</t>
        </is>
      </c>
      <c r="G4094" t="inlineStr">
        <is>
          <t>pressure</t>
        </is>
      </c>
      <c r="H4094" t="inlineStr">
        <is>
          <t>yes</t>
        </is>
      </c>
      <c r="I4094" t="inlineStr">
        <is>
          <t>62.92</t>
        </is>
      </c>
      <c r="J4094" t="inlineStr">
        <is>
          <t>world_bank_col_estimate</t>
        </is>
      </c>
      <c r="K4094" t="inlineStr">
        <is>
          <t>https://api.worldbank.org/v2/country/PER/indicator/NY.GNP.PCAP.PP.CD?format=json&amp;mrv=10</t>
        </is>
      </c>
      <c r="L4094" t="inlineStr">
        <is>
          <t>World Bank GNI + regional expenditure ratio estimate</t>
        </is>
      </c>
      <c r="M4094" t="inlineStr">
        <is>
          <t>2024-12-31</t>
        </is>
      </c>
      <c r="N4094" t="inlineStr">
        <is>
          <t>auto_ingest=world_bank_col_estimate; gni_annual=16780.0; year=2024; country_proxy=Peru; cohort=Latin America; city_cost_mult=0.75</t>
        </is>
      </c>
    </row>
    <row r="4095">
      <c r="A4095" t="inlineStr">
        <is>
          <t>pe-arequipa</t>
        </is>
      </c>
      <c r="B4095" t="inlineStr">
        <is>
          <t>Arequipa</t>
        </is>
      </c>
      <c r="C4095" t="inlineStr">
        <is>
          <t>Peru</t>
        </is>
      </c>
      <c r="D4095" t="inlineStr">
        <is>
          <t>Latin America</t>
        </is>
      </c>
      <c r="E4095" t="inlineStr">
        <is>
          <t>transit_cost</t>
        </is>
      </c>
      <c r="F4095" t="inlineStr">
        <is>
          <t>Transit cost</t>
        </is>
      </c>
      <c r="G4095" t="inlineStr">
        <is>
          <t>pressure</t>
        </is>
      </c>
      <c r="H4095" t="inlineStr">
        <is>
          <t>yes</t>
        </is>
      </c>
      <c r="I4095" t="inlineStr">
        <is>
          <t>41.95</t>
        </is>
      </c>
      <c r="J4095" t="inlineStr">
        <is>
          <t>world_bank_col_estimate</t>
        </is>
      </c>
      <c r="K4095" t="inlineStr">
        <is>
          <t>https://api.worldbank.org/v2/country/PER/indicator/NY.GNP.PCAP.PP.CD?format=json&amp;mrv=10</t>
        </is>
      </c>
      <c r="L4095" t="inlineStr">
        <is>
          <t>World Bank GNI + regional expenditure ratio estimate</t>
        </is>
      </c>
      <c r="M4095" t="inlineStr">
        <is>
          <t>2024-12-31</t>
        </is>
      </c>
      <c r="N4095" t="inlineStr">
        <is>
          <t>auto_ingest=world_bank_col_estimate; gni_annual=16780.0; year=2024; country_proxy=Peru; cohort=Latin America; city_cost_mult=0.75</t>
        </is>
      </c>
    </row>
    <row r="4096">
      <c r="A4096" t="inlineStr">
        <is>
          <t>pe-arequipa</t>
        </is>
      </c>
      <c r="B4096" t="inlineStr">
        <is>
          <t>Arequipa</t>
        </is>
      </c>
      <c r="C4096" t="inlineStr">
        <is>
          <t>Peru</t>
        </is>
      </c>
      <c r="D4096" t="inlineStr">
        <is>
          <t>Latin America</t>
        </is>
      </c>
      <c r="E4096" t="inlineStr">
        <is>
          <t>internet_cost</t>
        </is>
      </c>
      <c r="F4096" t="inlineStr">
        <is>
          <t>Internet cost</t>
        </is>
      </c>
      <c r="G4096" t="inlineStr">
        <is>
          <t>pressure</t>
        </is>
      </c>
      <c r="H4096" t="inlineStr">
        <is>
          <t>yes</t>
        </is>
      </c>
      <c r="I4096" t="inlineStr">
        <is>
          <t>15.73</t>
        </is>
      </c>
      <c r="J4096" t="inlineStr">
        <is>
          <t>world_bank_col_estimate</t>
        </is>
      </c>
      <c r="K4096" t="inlineStr">
        <is>
          <t>https://api.worldbank.org/v2/country/PER/indicator/NY.GNP.PCAP.PP.CD?format=json&amp;mrv=10</t>
        </is>
      </c>
      <c r="L4096" t="inlineStr">
        <is>
          <t>World Bank GNI + regional expenditure ratio estimate</t>
        </is>
      </c>
      <c r="M4096" t="inlineStr">
        <is>
          <t>2024-12-31</t>
        </is>
      </c>
      <c r="N4096" t="inlineStr">
        <is>
          <t>auto_ingest=world_bank_col_estimate; gni_annual=16780.0; year=2024; country_proxy=Peru; cohort=Latin America; city_cost_mult=0.75</t>
        </is>
      </c>
    </row>
    <row r="4097">
      <c r="A4097" t="inlineStr">
        <is>
          <t>pe-arequipa</t>
        </is>
      </c>
      <c r="B4097" t="inlineStr">
        <is>
          <t>Arequipa</t>
        </is>
      </c>
      <c r="C4097" t="inlineStr">
        <is>
          <t>Peru</t>
        </is>
      </c>
      <c r="D4097" t="inlineStr">
        <is>
          <t>Latin America</t>
        </is>
      </c>
      <c r="E4097" t="inlineStr">
        <is>
          <t>food_cost</t>
        </is>
      </c>
      <c r="F4097" t="inlineStr">
        <is>
          <t>Food cost</t>
        </is>
      </c>
      <c r="G4097" t="inlineStr">
        <is>
          <t>pressure</t>
        </is>
      </c>
      <c r="H4097" t="inlineStr">
        <is>
          <t>yes</t>
        </is>
      </c>
      <c r="I4097" t="inlineStr">
        <is>
          <t>230.72</t>
        </is>
      </c>
      <c r="J4097" t="inlineStr">
        <is>
          <t>world_bank_col_estimate</t>
        </is>
      </c>
      <c r="K4097" t="inlineStr">
        <is>
          <t>https://api.worldbank.org/v2/country/PER/indicator/NY.GNP.PCAP.PP.CD?format=json&amp;mrv=10</t>
        </is>
      </c>
      <c r="L4097" t="inlineStr">
        <is>
          <t>World Bank GNI + regional expenditure ratio estimate</t>
        </is>
      </c>
      <c r="M4097" t="inlineStr">
        <is>
          <t>2024-12-31</t>
        </is>
      </c>
      <c r="N4097" t="inlineStr">
        <is>
          <t>auto_ingest=world_bank_col_estimate; gni_annual=16780.0; year=2024; country_proxy=Peru; cohort=Latin America; city_cost_mult=0.75</t>
        </is>
      </c>
    </row>
    <row r="4098">
      <c r="A4098" t="inlineStr">
        <is>
          <t>pe-arequipa</t>
        </is>
      </c>
      <c r="B4098" t="inlineStr">
        <is>
          <t>Arequipa</t>
        </is>
      </c>
      <c r="C4098" t="inlineStr">
        <is>
          <t>Peru</t>
        </is>
      </c>
      <c r="D4098" t="inlineStr">
        <is>
          <t>Latin America</t>
        </is>
      </c>
      <c r="E4098" t="inlineStr">
        <is>
          <t>housing_burden_raw</t>
        </is>
      </c>
      <c r="F4098" t="inlineStr">
        <is>
          <t>Housing burden raw</t>
        </is>
      </c>
      <c r="G4098" t="inlineStr">
        <is>
          <t>pressure</t>
        </is>
      </c>
      <c r="H4098" t="inlineStr">
        <is>
          <t>yes</t>
        </is>
      </c>
      <c r="I4098" t="inlineStr">
        <is>
          <t>18.7502</t>
        </is>
      </c>
      <c r="J4098" t="inlineStr">
        <is>
          <t>derived</t>
        </is>
      </c>
      <c r="K4098" t="inlineStr">
        <is>
          <t>https://data.worldbank.org/indicator/NY.GNP.PCAP.PP.CD</t>
        </is>
      </c>
      <c r="L4098" t="inlineStr">
        <is>
          <t>Computed from city_inputs + country_context</t>
        </is>
      </c>
      <c r="M4098" t="inlineStr">
        <is>
          <t>2024-01-01</t>
        </is>
      </c>
      <c r="N4098" t="inlineStr">
        <is>
          <t>derived=rent/gross_income*100</t>
        </is>
      </c>
    </row>
    <row r="4099">
      <c r="A4099" t="inlineStr">
        <is>
          <t>pe-arequipa</t>
        </is>
      </c>
      <c r="B4099" t="inlineStr">
        <is>
          <t>Arequipa</t>
        </is>
      </c>
      <c r="C4099" t="inlineStr">
        <is>
          <t>Peru</t>
        </is>
      </c>
      <c r="D4099" t="inlineStr">
        <is>
          <t>Latin America</t>
        </is>
      </c>
      <c r="E4099" t="inlineStr">
        <is>
          <t>household_debt_burden_raw</t>
        </is>
      </c>
      <c r="F4099" t="inlineStr">
        <is>
          <t>Household debt burden raw</t>
        </is>
      </c>
      <c r="G4099" t="inlineStr">
        <is>
          <t>pressure</t>
        </is>
      </c>
      <c r="H4099" t="inlineStr">
        <is>
          <t>yes</t>
        </is>
      </c>
      <c r="I4099" t="inlineStr">
        <is>
          <t>45.668</t>
        </is>
      </c>
      <c r="J4099" t="inlineStr">
        <is>
          <t>derived</t>
        </is>
      </c>
      <c r="K4099" t="inlineStr">
        <is>
          <t>https://data.worldbank.org/indicator/NY.GNP.PCAP.PP.CD</t>
        </is>
      </c>
      <c r="L4099" t="inlineStr">
        <is>
          <t>Computed from city_inputs + country_context</t>
        </is>
      </c>
      <c r="M4099" t="inlineStr">
        <is>
          <t>2024-01-01</t>
        </is>
      </c>
      <c r="N4099" t="inlineStr">
        <is>
          <t>derived=country_context.household_debt_proxy; country=Peru</t>
        </is>
      </c>
    </row>
    <row r="4100">
      <c r="A4100" t="inlineStr">
        <is>
          <t>pe-arequipa</t>
        </is>
      </c>
      <c r="B4100" t="inlineStr">
        <is>
          <t>Arequipa</t>
        </is>
      </c>
      <c r="C4100" t="inlineStr">
        <is>
          <t>Peru</t>
        </is>
      </c>
      <c r="D4100" t="inlineStr">
        <is>
          <t>Latin America</t>
        </is>
      </c>
      <c r="E4100" t="inlineStr">
        <is>
          <t>working_time_pressure_raw</t>
        </is>
      </c>
      <c r="F4100" t="inlineStr">
        <is>
          <t>Working time pressure raw</t>
        </is>
      </c>
      <c r="G4100" t="inlineStr">
        <is>
          <t>pressure</t>
        </is>
      </c>
      <c r="H4100" t="inlineStr">
        <is>
          <t>yes</t>
        </is>
      </c>
      <c r="I4100" t="inlineStr">
        <is>
          <t>39.67</t>
        </is>
      </c>
      <c r="J4100" t="inlineStr">
        <is>
          <t>ilo_ilostat</t>
        </is>
      </c>
      <c r="K4100" t="inlineStr">
        <is>
          <t>https://ilostat.ilo.org/data/indicator/?id=HOW_TEMP_SEX_ECO_NB_A&amp;ref_area=PER</t>
        </is>
      </c>
      <c r="L4100" t="inlineStr">
        <is>
          <t>ILO ILOSTAT: Mean weekly hours actually worked per employed person</t>
        </is>
      </c>
      <c r="M4100" t="inlineStr">
        <is>
          <t>2025-12-31</t>
        </is>
      </c>
      <c r="N4100" t="inlineStr">
        <is>
          <t>auto_ingest=ilo_working_hours; indicator=HOW_TEMP_SEX_ECO_NB_A; year=2025; hours=39.67; country_proxy=Peru</t>
        </is>
      </c>
    </row>
    <row r="4101">
      <c r="A4101" t="inlineStr">
        <is>
          <t>pe-arequipa</t>
        </is>
      </c>
      <c r="B4101" t="inlineStr">
        <is>
          <t>Arequipa</t>
        </is>
      </c>
      <c r="C4101" t="inlineStr">
        <is>
          <t>Peru</t>
        </is>
      </c>
      <c r="D4101" t="inlineStr">
        <is>
          <t>Latin America</t>
        </is>
      </c>
      <c r="E4101" t="inlineStr">
        <is>
          <t>suicide_mental_strain_raw</t>
        </is>
      </c>
      <c r="F4101" t="inlineStr">
        <is>
          <t>Suicide or mental strain raw</t>
        </is>
      </c>
      <c r="G4101" t="inlineStr">
        <is>
          <t>pressure</t>
        </is>
      </c>
      <c r="H4101" t="inlineStr">
        <is>
          <t>yes</t>
        </is>
      </c>
      <c r="I4101" t="inlineStr">
        <is>
          <t>1.54</t>
        </is>
      </c>
      <c r="J4101" t="inlineStr">
        <is>
          <t>who_gho</t>
        </is>
      </c>
      <c r="K4101" t="inlineStr">
        <is>
          <t>https://www.who.int/data/gho/data/indicators/indicator-details/GHO/SDGSUICIDE</t>
        </is>
      </c>
      <c r="L4101" t="inlineStr">
        <is>
          <t>WHO GHO: Age-standardized suicide rate (per 100,000 population)</t>
        </is>
      </c>
      <c r="M4101" t="inlineStr">
        <is>
          <t>2021-12-31</t>
        </is>
      </c>
      <c r="N4101" t="inlineStr">
        <is>
          <t>auto_ingest=who_gho; indicator=SDGSUICIDE; year=2021; country_proxy=Peru</t>
        </is>
      </c>
    </row>
    <row r="4102">
      <c r="A4102" t="inlineStr">
        <is>
          <t>pe-arequipa</t>
        </is>
      </c>
      <c r="B4102" t="inlineStr">
        <is>
          <t>Arequipa</t>
        </is>
      </c>
      <c r="C4102" t="inlineStr">
        <is>
          <t>Peru</t>
        </is>
      </c>
      <c r="D4102" t="inlineStr">
        <is>
          <t>Latin America</t>
        </is>
      </c>
      <c r="E4102" t="inlineStr">
        <is>
          <t>personal_safety_raw</t>
        </is>
      </c>
      <c r="F4102" t="inlineStr">
        <is>
          <t>Personal safety raw</t>
        </is>
      </c>
      <c r="G4102" t="inlineStr">
        <is>
          <t>viability</t>
        </is>
      </c>
      <c r="H4102" t="inlineStr">
        <is>
          <t>yes</t>
        </is>
      </c>
      <c r="I4102" t="inlineStr">
        <is>
          <t>8.6</t>
        </is>
      </c>
      <c r="J4102" t="inlineStr">
        <is>
          <t>world_bank</t>
        </is>
      </c>
      <c r="K4102" t="inlineStr">
        <is>
          <t>https://api.worldbank.org/v2/country/PER/indicator/VC.IHR.PSRC.P5?format=json&amp;mrv=10</t>
        </is>
      </c>
      <c r="L4102" t="inlineStr">
        <is>
          <t>UNODC via World Bank WDI: Intentional homicides (per 100,000 people)</t>
        </is>
      </c>
      <c r="M4102" t="inlineStr">
        <is>
          <t>2021-12-31</t>
        </is>
      </c>
      <c r="N4102" t="inlineStr">
        <is>
          <t>auto_ingest=unodc_safety; indicator=VC.IHR.PSRC.P5; year=2021; country_proxy=Peru</t>
        </is>
      </c>
    </row>
    <row r="4103">
      <c r="A4103" t="inlineStr">
        <is>
          <t>pe-arequipa</t>
        </is>
      </c>
      <c r="B4103" t="inlineStr">
        <is>
          <t>Arequipa</t>
        </is>
      </c>
      <c r="C4103" t="inlineStr">
        <is>
          <t>Peru</t>
        </is>
      </c>
      <c r="D4103" t="inlineStr">
        <is>
          <t>Latin America</t>
        </is>
      </c>
      <c r="E4103" t="inlineStr">
        <is>
          <t>transit_access_commute_raw</t>
        </is>
      </c>
      <c r="F4103" t="inlineStr">
        <is>
          <t>Transit access and commute raw</t>
        </is>
      </c>
      <c r="G4103" t="inlineStr">
        <is>
          <t>viability</t>
        </is>
      </c>
      <c r="H4103" t="inlineStr">
        <is>
          <t>yes</t>
        </is>
      </c>
      <c r="I4103" t="inlineStr"/>
      <c r="J4103" t="inlineStr"/>
      <c r="K4103" t="inlineStr"/>
      <c r="L4103" t="inlineStr"/>
      <c r="M4103" t="inlineStr"/>
      <c r="N4103" t="inlineStr"/>
    </row>
    <row r="4104">
      <c r="A4104" t="inlineStr">
        <is>
          <t>pe-arequipa</t>
        </is>
      </c>
      <c r="B4104" t="inlineStr">
        <is>
          <t>Arequipa</t>
        </is>
      </c>
      <c r="C4104" t="inlineStr">
        <is>
          <t>Peru</t>
        </is>
      </c>
      <c r="D4104" t="inlineStr">
        <is>
          <t>Latin America</t>
        </is>
      </c>
      <c r="E4104" t="inlineStr">
        <is>
          <t>clean_air_raw</t>
        </is>
      </c>
      <c r="F4104" t="inlineStr">
        <is>
          <t>Clean air raw</t>
        </is>
      </c>
      <c r="G4104" t="inlineStr">
        <is>
          <t>viability</t>
        </is>
      </c>
      <c r="H4104" t="inlineStr">
        <is>
          <t>yes</t>
        </is>
      </c>
      <c r="I4104" t="inlineStr"/>
      <c r="J4104" t="inlineStr"/>
      <c r="K4104" t="inlineStr"/>
      <c r="L4104" t="inlineStr"/>
      <c r="M4104" t="inlineStr"/>
      <c r="N4104" t="inlineStr"/>
    </row>
    <row r="4105">
      <c r="A4105" t="inlineStr">
        <is>
          <t>pe-arequipa</t>
        </is>
      </c>
      <c r="B4105" t="inlineStr">
        <is>
          <t>Arequipa</t>
        </is>
      </c>
      <c r="C4105" t="inlineStr">
        <is>
          <t>Peru</t>
        </is>
      </c>
      <c r="D4105" t="inlineStr">
        <is>
          <t>Latin America</t>
        </is>
      </c>
      <c r="E4105" t="inlineStr">
        <is>
          <t>water_sanitation_utility_raw</t>
        </is>
      </c>
      <c r="F4105" t="inlineStr">
        <is>
          <t>Water, sanitation, and utility raw</t>
        </is>
      </c>
      <c r="G4105" t="inlineStr">
        <is>
          <t>viability</t>
        </is>
      </c>
      <c r="H4105" t="inlineStr">
        <is>
          <t>yes</t>
        </is>
      </c>
      <c r="I4105" t="inlineStr">
        <is>
          <t>49.43</t>
        </is>
      </c>
      <c r="J4105" t="inlineStr">
        <is>
          <t>world_bank</t>
        </is>
      </c>
      <c r="K4105" t="inlineStr">
        <is>
          <t>https://api.worldbank.org/v2/country/PER/indicator/SH.H2O.SMDW.ZS?format=json&amp;mrv=10</t>
        </is>
      </c>
      <c r="L4105" t="inlineStr">
        <is>
          <t>World Bank WDI: People using safely managed drinking water services (% of population)</t>
        </is>
      </c>
      <c r="M4105" t="inlineStr">
        <is>
          <t>2024-12-31</t>
        </is>
      </c>
      <c r="N4105" t="inlineStr">
        <is>
          <t>auto_ingest=world_bank_proxy; indicator=SH.H2O.SMDW.ZS; year=2024; country_proxy=Peru</t>
        </is>
      </c>
    </row>
    <row r="4106">
      <c r="A4106" t="inlineStr">
        <is>
          <t>pe-arequipa</t>
        </is>
      </c>
      <c r="B4106" t="inlineStr">
        <is>
          <t>Arequipa</t>
        </is>
      </c>
      <c r="C4106" t="inlineStr">
        <is>
          <t>Peru</t>
        </is>
      </c>
      <c r="D4106" t="inlineStr">
        <is>
          <t>Latin America</t>
        </is>
      </c>
      <c r="E4106" t="inlineStr">
        <is>
          <t>digital_infrastructure_raw</t>
        </is>
      </c>
      <c r="F4106" t="inlineStr">
        <is>
          <t>Digital infrastructure raw</t>
        </is>
      </c>
      <c r="G4106" t="inlineStr">
        <is>
          <t>viability</t>
        </is>
      </c>
      <c r="H4106" t="inlineStr">
        <is>
          <t>yes</t>
        </is>
      </c>
      <c r="I4106" t="inlineStr">
        <is>
          <t>10.44</t>
        </is>
      </c>
      <c r="J4106" t="inlineStr">
        <is>
          <t>world_bank</t>
        </is>
      </c>
      <c r="K4106" t="inlineStr">
        <is>
          <t>https://api.worldbank.org/v2/country/PER/indicator/IT.NET.BBND.P2?format=json&amp;mrv=10</t>
        </is>
      </c>
      <c r="L4106" t="inlineStr">
        <is>
          <t>World Bank WDI: Fixed broadband subscriptions (per 100 people)</t>
        </is>
      </c>
      <c r="M4106" t="inlineStr">
        <is>
          <t>2023-12-31</t>
        </is>
      </c>
      <c r="N4106" t="inlineStr">
        <is>
          <t>auto_ingest=world_bank_proxy; indicator=IT.NET.BBND.P2; year=2023; country_proxy=Peru</t>
        </is>
      </c>
    </row>
    <row r="4107">
      <c r="A4107" t="inlineStr">
        <is>
          <t>pe-arequipa</t>
        </is>
      </c>
      <c r="B4107" t="inlineStr">
        <is>
          <t>Arequipa</t>
        </is>
      </c>
      <c r="C4107" t="inlineStr">
        <is>
          <t>Peru</t>
        </is>
      </c>
      <c r="D4107" t="inlineStr">
        <is>
          <t>Latin America</t>
        </is>
      </c>
      <c r="E4107" t="inlineStr">
        <is>
          <t>climate_sunlight_livability_raw</t>
        </is>
      </c>
      <c r="F4107" t="inlineStr">
        <is>
          <t>Climate and sunlight livability raw</t>
        </is>
      </c>
      <c r="G4107" t="inlineStr">
        <is>
          <t>viability</t>
        </is>
      </c>
      <c r="H4107" t="inlineStr">
        <is>
          <t>yes</t>
        </is>
      </c>
      <c r="I4107" t="inlineStr"/>
      <c r="J4107" t="inlineStr"/>
      <c r="K4107" t="inlineStr"/>
      <c r="L4107" t="inlineStr"/>
      <c r="M4107" t="inlineStr"/>
      <c r="N4107" t="inlineStr"/>
    </row>
    <row r="4108">
      <c r="A4108" t="inlineStr">
        <is>
          <t>pe-arequipa</t>
        </is>
      </c>
      <c r="B4108" t="inlineStr">
        <is>
          <t>Arequipa</t>
        </is>
      </c>
      <c r="C4108" t="inlineStr">
        <is>
          <t>Peru</t>
        </is>
      </c>
      <c r="D4108" t="inlineStr">
        <is>
          <t>Latin America</t>
        </is>
      </c>
      <c r="E4108" t="inlineStr">
        <is>
          <t>healthcare_quality_raw</t>
        </is>
      </c>
      <c r="F4108" t="inlineStr">
        <is>
          <t>Healthcare quality raw</t>
        </is>
      </c>
      <c r="G4108" t="inlineStr">
        <is>
          <t>capability</t>
        </is>
      </c>
      <c r="H4108" t="inlineStr">
        <is>
          <t>yes</t>
        </is>
      </c>
      <c r="I4108" t="inlineStr">
        <is>
          <t>68.0</t>
        </is>
      </c>
      <c r="J4108" t="inlineStr">
        <is>
          <t>who_gho</t>
        </is>
      </c>
      <c r="K4108" t="inlineStr">
        <is>
          <t>https://www.who.int/data/gho/data/indicators/indicator-details/GHO/UHC_INDEX_REPORTED</t>
        </is>
      </c>
      <c r="L4108" t="inlineStr">
        <is>
          <t>WHO GHO: UHC Service Coverage Index</t>
        </is>
      </c>
      <c r="M4108" t="inlineStr">
        <is>
          <t>2023-12-31</t>
        </is>
      </c>
      <c r="N4108" t="inlineStr">
        <is>
          <t>auto_ingest=who_gho; indicator=UHC_INDEX_REPORTED; year=2023; country_proxy=Peru</t>
        </is>
      </c>
    </row>
    <row r="4109">
      <c r="A4109" t="inlineStr">
        <is>
          <t>pe-arequipa</t>
        </is>
      </c>
      <c r="B4109" t="inlineStr">
        <is>
          <t>Arequipa</t>
        </is>
      </c>
      <c r="C4109" t="inlineStr">
        <is>
          <t>Peru</t>
        </is>
      </c>
      <c r="D4109" t="inlineStr">
        <is>
          <t>Latin America</t>
        </is>
      </c>
      <c r="E4109" t="inlineStr">
        <is>
          <t>education_quality_raw</t>
        </is>
      </c>
      <c r="F4109" t="inlineStr">
        <is>
          <t>Education quality raw</t>
        </is>
      </c>
      <c r="G4109" t="inlineStr">
        <is>
          <t>capability</t>
        </is>
      </c>
      <c r="H4109" t="inlineStr">
        <is>
          <t>yes</t>
        </is>
      </c>
      <c r="I4109" t="inlineStr"/>
      <c r="J4109" t="inlineStr"/>
      <c r="K4109" t="inlineStr"/>
      <c r="L4109" t="inlineStr"/>
      <c r="M4109" t="inlineStr"/>
      <c r="N4109" t="inlineStr"/>
    </row>
    <row r="4110">
      <c r="A4110" t="inlineStr">
        <is>
          <t>pe-arequipa</t>
        </is>
      </c>
      <c r="B4110" t="inlineStr">
        <is>
          <t>Arequipa</t>
        </is>
      </c>
      <c r="C4110" t="inlineStr">
        <is>
          <t>Peru</t>
        </is>
      </c>
      <c r="D4110" t="inlineStr">
        <is>
          <t>Latin America</t>
        </is>
      </c>
      <c r="E4110" t="inlineStr">
        <is>
          <t>equal_opportunity_raw</t>
        </is>
      </c>
      <c r="F4110" t="inlineStr">
        <is>
          <t>Equal opportunity raw</t>
        </is>
      </c>
      <c r="G4110" t="inlineStr">
        <is>
          <t>capability</t>
        </is>
      </c>
      <c r="H4110" t="inlineStr">
        <is>
          <t>yes</t>
        </is>
      </c>
      <c r="I4110" t="inlineStr">
        <is>
          <t>40.1</t>
        </is>
      </c>
      <c r="J4110" t="inlineStr">
        <is>
          <t>world_bank</t>
        </is>
      </c>
      <c r="K4110" t="inlineStr">
        <is>
          <t>https://api.worldbank.org/v2/country/PER/indicator/SI.POV.GINI?format=json&amp;mrv=10</t>
        </is>
      </c>
      <c r="L4110" t="inlineStr">
        <is>
          <t>World Bank WDI: Gini index</t>
        </is>
      </c>
      <c r="M4110" t="inlineStr">
        <is>
          <t>2024-12-31</t>
        </is>
      </c>
      <c r="N4110" t="inlineStr">
        <is>
          <t>auto_ingest=world_bank_capability; indicator=SI.POV.GINI; year=2024; country_proxy=Peru</t>
        </is>
      </c>
    </row>
    <row r="4111">
      <c r="A4111" t="inlineStr">
        <is>
          <t>pe-arequipa</t>
        </is>
      </c>
      <c r="B4111" t="inlineStr">
        <is>
          <t>Arequipa</t>
        </is>
      </c>
      <c r="C4111" t="inlineStr">
        <is>
          <t>Peru</t>
        </is>
      </c>
      <c r="D4111" t="inlineStr">
        <is>
          <t>Latin America</t>
        </is>
      </c>
      <c r="E4111" t="inlineStr">
        <is>
          <t>hospitality_belonging_raw</t>
        </is>
      </c>
      <c r="F4111" t="inlineStr">
        <is>
          <t>Hospitality and belonging raw</t>
        </is>
      </c>
      <c r="G4111" t="inlineStr">
        <is>
          <t>community</t>
        </is>
      </c>
      <c r="H4111" t="inlineStr">
        <is>
          <t>yes</t>
        </is>
      </c>
      <c r="I4111" t="inlineStr">
        <is>
          <t>50.35</t>
        </is>
      </c>
      <c r="J4111" t="inlineStr">
        <is>
          <t>world_bank</t>
        </is>
      </c>
      <c r="K4111" t="inlineStr">
        <is>
          <t>https://api.worldbank.org/v2/country/PER/indicator/SM.POP.NETM?format=json&amp;mrv=10</t>
        </is>
      </c>
      <c r="L4111" t="inlineStr">
        <is>
          <t>World Bank WDI: Net migration (proxy for hospitality/belonging — positive = welcoming)</t>
        </is>
      </c>
      <c r="M4111" t="inlineStr">
        <is>
          <t>2025-12-31</t>
        </is>
      </c>
      <c r="N4111" t="inlineStr">
        <is>
          <t>auto_ingest=world_bank_proxy; proxy=net_migration_hospitality; indicator=SM.POP.NETM; year=2025; country_proxy=Peru</t>
        </is>
      </c>
    </row>
    <row r="4112">
      <c r="A4112" t="inlineStr">
        <is>
          <t>pe-arequipa</t>
        </is>
      </c>
      <c r="B4112" t="inlineStr">
        <is>
          <t>Arequipa</t>
        </is>
      </c>
      <c r="C4112" t="inlineStr">
        <is>
          <t>Peru</t>
        </is>
      </c>
      <c r="D4112" t="inlineStr">
        <is>
          <t>Latin America</t>
        </is>
      </c>
      <c r="E4112" t="inlineStr">
        <is>
          <t>tolerance_pluralism_raw</t>
        </is>
      </c>
      <c r="F4112" t="inlineStr">
        <is>
          <t>Tolerance and pluralism raw</t>
        </is>
      </c>
      <c r="G4112" t="inlineStr">
        <is>
          <t>community</t>
        </is>
      </c>
      <c r="H4112" t="inlineStr">
        <is>
          <t>yes</t>
        </is>
      </c>
      <c r="I4112" t="inlineStr">
        <is>
          <t>38.46</t>
        </is>
      </c>
      <c r="J4112" t="inlineStr">
        <is>
          <t>world_bank</t>
        </is>
      </c>
      <c r="K4112" t="inlineStr">
        <is>
          <t>https://api.worldbank.org/v2/country/PER/indicator/SG.GEN.PARL.ZS?format=json&amp;mrv=10</t>
        </is>
      </c>
      <c r="L4112" t="inlineStr">
        <is>
          <t>World Bank WDI: Proportion of seats held by women in national parliaments (%)</t>
        </is>
      </c>
      <c r="M4112" t="inlineStr">
        <is>
          <t>2024-12-31</t>
        </is>
      </c>
      <c r="N4112" t="inlineStr">
        <is>
          <t>auto_ingest=world_bank_proxy; proxy=gender_parity_parliament; indicator=SG.GEN.PARL.ZS; year=2024; country_proxy=Peru</t>
        </is>
      </c>
    </row>
    <row r="4113">
      <c r="A4113" t="inlineStr">
        <is>
          <t>pe-arequipa</t>
        </is>
      </c>
      <c r="B4113" t="inlineStr">
        <is>
          <t>Arequipa</t>
        </is>
      </c>
      <c r="C4113" t="inlineStr">
        <is>
          <t>Peru</t>
        </is>
      </c>
      <c r="D4113" t="inlineStr">
        <is>
          <t>Latin America</t>
        </is>
      </c>
      <c r="E4113" t="inlineStr">
        <is>
          <t>cultural_public_life_raw</t>
        </is>
      </c>
      <c r="F4113" t="inlineStr">
        <is>
          <t>Cultural public life raw</t>
        </is>
      </c>
      <c r="G4113" t="inlineStr">
        <is>
          <t>community</t>
        </is>
      </c>
      <c r="H4113" t="inlineStr">
        <is>
          <t>yes</t>
        </is>
      </c>
      <c r="I4113" t="inlineStr">
        <is>
          <t>32.7</t>
        </is>
      </c>
      <c r="J4113" t="inlineStr">
        <is>
          <t>world_bank</t>
        </is>
      </c>
      <c r="K4113" t="inlineStr">
        <is>
          <t>https://api.worldbank.org/v2/country/PER/indicator/ST.INT.ARVL?format=json&amp;mrv=10</t>
        </is>
      </c>
      <c r="L4113" t="inlineStr">
        <is>
          <t>World Bank WDI: International tourism arrivals per 1 000 population</t>
        </is>
      </c>
      <c r="M4113" t="inlineStr">
        <is>
          <t>2020-12-31</t>
        </is>
      </c>
      <c r="N4113" t="inlineStr">
        <is>
          <t>auto_ingest=cultural_life_proxy; indicator=ST.INT.ARVL; norm=per_1000_pop; year=2020; country_proxy=Peru</t>
        </is>
      </c>
    </row>
    <row r="4114">
      <c r="A4114" t="inlineStr">
        <is>
          <t>pe-arequipa</t>
        </is>
      </c>
      <c r="B4114" t="inlineStr">
        <is>
          <t>Arequipa</t>
        </is>
      </c>
      <c r="C4114" t="inlineStr">
        <is>
          <t>Peru</t>
        </is>
      </c>
      <c r="D4114" t="inlineStr">
        <is>
          <t>Latin America</t>
        </is>
      </c>
      <c r="E4114" t="inlineStr">
        <is>
          <t>birth_rate_optimism_raw</t>
        </is>
      </c>
      <c r="F4114" t="inlineStr">
        <is>
          <t>Birth rate and societal optimism raw</t>
        </is>
      </c>
      <c r="G4114" t="inlineStr">
        <is>
          <t>community</t>
        </is>
      </c>
      <c r="H4114" t="inlineStr">
        <is>
          <t>yes</t>
        </is>
      </c>
      <c r="I4114" t="inlineStr"/>
      <c r="J4114" t="inlineStr"/>
      <c r="K4114" t="inlineStr"/>
      <c r="L4114" t="inlineStr"/>
      <c r="M4114" t="inlineStr"/>
      <c r="N4114" t="inlineStr"/>
    </row>
    <row r="4115">
      <c r="A4115" t="inlineStr">
        <is>
          <t>pe-arequipa</t>
        </is>
      </c>
      <c r="B4115" t="inlineStr">
        <is>
          <t>Arequipa</t>
        </is>
      </c>
      <c r="C4115" t="inlineStr">
        <is>
          <t>Peru</t>
        </is>
      </c>
      <c r="D4115" t="inlineStr">
        <is>
          <t>Latin America</t>
        </is>
      </c>
      <c r="E4115" t="inlineStr">
        <is>
          <t>entrepreneurial_dynamism_raw</t>
        </is>
      </c>
      <c r="F4115" t="inlineStr">
        <is>
          <t>Entrepreneurial dynamism raw</t>
        </is>
      </c>
      <c r="G4115" t="inlineStr">
        <is>
          <t>creative</t>
        </is>
      </c>
      <c r="H4115" t="inlineStr">
        <is>
          <t>yes</t>
        </is>
      </c>
      <c r="I4115" t="inlineStr">
        <is>
          <t>4.69</t>
        </is>
      </c>
      <c r="J4115" t="inlineStr">
        <is>
          <t>world_bank</t>
        </is>
      </c>
      <c r="K4115" t="inlineStr">
        <is>
          <t>https://api.worldbank.org/v2/country/PER/indicator/IC.BUS.NDNS.ZS?format=json&amp;mrv=10</t>
        </is>
      </c>
      <c r="L4115" t="inlineStr">
        <is>
          <t>World Bank WDI: New business density (new registrations per 1,000 people ages 15-64)</t>
        </is>
      </c>
      <c r="M4115" t="inlineStr">
        <is>
          <t>2022-12-31</t>
        </is>
      </c>
      <c r="N4115" t="inlineStr">
        <is>
          <t>auto_ingest=world_bank_creative_extended; indicator=IC.BUS.NDNS.ZS; year=2022; country_proxy=Peru</t>
        </is>
      </c>
    </row>
    <row r="4116">
      <c r="A4116" t="inlineStr">
        <is>
          <t>pe-arequipa</t>
        </is>
      </c>
      <c r="B4116" t="inlineStr">
        <is>
          <t>Arequipa</t>
        </is>
      </c>
      <c r="C4116" t="inlineStr">
        <is>
          <t>Peru</t>
        </is>
      </c>
      <c r="D4116" t="inlineStr">
        <is>
          <t>Latin America</t>
        </is>
      </c>
      <c r="E4116" t="inlineStr">
        <is>
          <t>innovation_research_intensity_raw</t>
        </is>
      </c>
      <c r="F4116" t="inlineStr">
        <is>
          <t>Innovation and research raw</t>
        </is>
      </c>
      <c r="G4116" t="inlineStr">
        <is>
          <t>creative</t>
        </is>
      </c>
      <c r="H4116" t="inlineStr">
        <is>
          <t>yes</t>
        </is>
      </c>
      <c r="I4116" t="inlineStr">
        <is>
          <t>0.16</t>
        </is>
      </c>
      <c r="J4116" t="inlineStr">
        <is>
          <t>world_bank</t>
        </is>
      </c>
      <c r="K4116" t="inlineStr">
        <is>
          <t>https://api.worldbank.org/v2/country/PER/indicator/GB.XPD.RSDV.GD.ZS?format=json&amp;mrv=10</t>
        </is>
      </c>
      <c r="L4116" t="inlineStr">
        <is>
          <t>World Bank WDI: Research and development expenditure (% of GDP)</t>
        </is>
      </c>
      <c r="M4116" t="inlineStr">
        <is>
          <t>2022-12-31</t>
        </is>
      </c>
      <c r="N4116" t="inlineStr">
        <is>
          <t>auto_ingest=world_bank_creative_extended; indicator=GB.XPD.RSDV.GD.ZS; year=2022; country_proxy=Peru</t>
        </is>
      </c>
    </row>
    <row r="4117">
      <c r="A4117" t="inlineStr">
        <is>
          <t>pe-arequipa</t>
        </is>
      </c>
      <c r="B4117" t="inlineStr">
        <is>
          <t>Arequipa</t>
        </is>
      </c>
      <c r="C4117" t="inlineStr">
        <is>
          <t>Peru</t>
        </is>
      </c>
      <c r="D4117" t="inlineStr">
        <is>
          <t>Latin America</t>
        </is>
      </c>
      <c r="E4117" t="inlineStr">
        <is>
          <t>investment_signal_raw</t>
        </is>
      </c>
      <c r="F4117" t="inlineStr">
        <is>
          <t>Investment signal raw</t>
        </is>
      </c>
      <c r="G4117" t="inlineStr">
        <is>
          <t>creative</t>
        </is>
      </c>
      <c r="H4117" t="inlineStr">
        <is>
          <t>yes</t>
        </is>
      </c>
      <c r="I4117" t="inlineStr">
        <is>
          <t>2.35</t>
        </is>
      </c>
      <c r="J4117" t="inlineStr">
        <is>
          <t>world_bank</t>
        </is>
      </c>
      <c r="K4117" t="inlineStr">
        <is>
          <t>https://api.worldbank.org/v2/country/PER/indicator/BX.KLT.DINV.WD.GD.ZS?format=json&amp;mrv=10</t>
        </is>
      </c>
      <c r="L4117" t="inlineStr">
        <is>
          <t>World Bank WDI: Foreign direct investment, net inflows (% of GDP)</t>
        </is>
      </c>
      <c r="M4117" t="inlineStr">
        <is>
          <t>2024-12-31</t>
        </is>
      </c>
      <c r="N4117" t="inlineStr">
        <is>
          <t>auto_ingest=world_bank_creative_extended; indicator=BX.KLT.DINV.WD.GD.ZS; year=2024; country_proxy=Peru</t>
        </is>
      </c>
    </row>
    <row r="4118">
      <c r="A4118" t="inlineStr">
        <is>
          <t>pe-arequipa</t>
        </is>
      </c>
      <c r="B4118" t="inlineStr">
        <is>
          <t>Arequipa</t>
        </is>
      </c>
      <c r="C4118" t="inlineStr">
        <is>
          <t>Peru</t>
        </is>
      </c>
      <c r="D4118" t="inlineStr">
        <is>
          <t>Latin America</t>
        </is>
      </c>
      <c r="E4118" t="inlineStr">
        <is>
          <t>administrative_investment_friction_raw</t>
        </is>
      </c>
      <c r="F4118" t="inlineStr">
        <is>
          <t>Administrative investment friction raw</t>
        </is>
      </c>
      <c r="G4118" t="inlineStr">
        <is>
          <t>creative</t>
        </is>
      </c>
      <c r="H4118" t="inlineStr">
        <is>
          <t>yes</t>
        </is>
      </c>
      <c r="I4118" t="inlineStr">
        <is>
          <t>2.21</t>
        </is>
      </c>
      <c r="J4118" t="inlineStr">
        <is>
          <t>world_bank</t>
        </is>
      </c>
      <c r="K4118" t="inlineStr">
        <is>
          <t>https://api.worldbank.org/v2/country/PER/indicator/RQ.EST?format=json&amp;mrv=10</t>
        </is>
      </c>
      <c r="L4118" t="inlineStr">
        <is>
          <t>World Bank WGI: Regulatory Quality (inverted as friction proxy)</t>
        </is>
      </c>
      <c r="M4118" t="inlineStr">
        <is>
          <t>2023-12-31</t>
        </is>
      </c>
      <c r="N4118" t="inlineStr">
        <is>
          <t>auto_ingest=world_bank_business_friction; indicator=RQ.EST; raw_rq=0.292205184698105; friction=2.21; year=2023; country_proxy=Peru</t>
        </is>
      </c>
    </row>
    <row r="4119">
      <c r="A4119" t="inlineStr">
        <is>
          <t>pe-arequipa</t>
        </is>
      </c>
      <c r="B4119" t="inlineStr">
        <is>
          <t>Arequipa</t>
        </is>
      </c>
      <c r="C4119" t="inlineStr">
        <is>
          <t>Peru</t>
        </is>
      </c>
      <c r="D4119" t="inlineStr">
        <is>
          <t>Latin America</t>
        </is>
      </c>
      <c r="E4119" t="inlineStr">
        <is>
          <t>visitor_flow_context_raw</t>
        </is>
      </c>
      <c r="F4119" t="inlineStr">
        <is>
          <t>Visitor flow context raw</t>
        </is>
      </c>
      <c r="G4119" t="inlineStr">
        <is>
          <t>creative</t>
        </is>
      </c>
      <c r="H4119" t="inlineStr">
        <is>
          <t>no</t>
        </is>
      </c>
      <c r="I4119" t="inlineStr"/>
      <c r="J4119" t="inlineStr"/>
      <c r="K4119" t="inlineStr"/>
      <c r="L4119" t="inlineStr"/>
      <c r="M4119" t="inlineStr"/>
      <c r="N4119" t="inlineStr"/>
    </row>
    <row r="4120">
      <c r="A4120" t="inlineStr">
        <is>
          <t>ec-cuenca</t>
        </is>
      </c>
      <c r="B4120" t="inlineStr">
        <is>
          <t>Cuenca</t>
        </is>
      </c>
      <c r="C4120" t="inlineStr">
        <is>
          <t>Ecuador</t>
        </is>
      </c>
      <c r="D4120" t="inlineStr">
        <is>
          <t>Latin America</t>
        </is>
      </c>
      <c r="E4120" t="inlineStr">
        <is>
          <t>gross_income</t>
        </is>
      </c>
      <c r="F4120" t="inlineStr">
        <is>
          <t>Gross income</t>
        </is>
      </c>
      <c r="G4120" t="inlineStr">
        <is>
          <t>pressure</t>
        </is>
      </c>
      <c r="H4120" t="inlineStr">
        <is>
          <t>yes</t>
        </is>
      </c>
      <c r="I4120" t="inlineStr">
        <is>
          <t>1284.17</t>
        </is>
      </c>
      <c r="J4120" t="inlineStr">
        <is>
          <t>world_bank_col_estimate</t>
        </is>
      </c>
      <c r="K4120" t="inlineStr">
        <is>
          <t>https://api.worldbank.org/v2/country/ECU/indicator/NY.GNP.PCAP.PP.CD?format=json&amp;mrv=10</t>
        </is>
      </c>
      <c r="L4120" t="inlineStr">
        <is>
          <t>World Bank WDI: GNI per capita PPP (monthly USD)</t>
        </is>
      </c>
      <c r="M4120" t="inlineStr">
        <is>
          <t>2024-12-31</t>
        </is>
      </c>
      <c r="N4120" t="inlineStr">
        <is>
          <t>auto_ingest=world_bank_col_estimate; gni_annual=15410.0; year=2024; country_proxy=Ecuador; cohort=Latin America</t>
        </is>
      </c>
    </row>
    <row r="4121">
      <c r="A4121" t="inlineStr">
        <is>
          <t>ec-cuenca</t>
        </is>
      </c>
      <c r="B4121" t="inlineStr">
        <is>
          <t>Cuenca</t>
        </is>
      </c>
      <c r="C4121" t="inlineStr">
        <is>
          <t>Ecuador</t>
        </is>
      </c>
      <c r="D4121" t="inlineStr">
        <is>
          <t>Latin America</t>
        </is>
      </c>
      <c r="E4121" t="inlineStr">
        <is>
          <t>di_ppp_raw</t>
        </is>
      </c>
      <c r="F4121" t="inlineStr">
        <is>
          <t>Disposable income PPP (Raw)</t>
        </is>
      </c>
      <c r="G4121" t="inlineStr">
        <is>
          <t>pressure</t>
        </is>
      </c>
      <c r="H4121" t="inlineStr">
        <is>
          <t>yes</t>
        </is>
      </c>
      <c r="I4121" t="inlineStr"/>
      <c r="J4121" t="inlineStr"/>
      <c r="K4121" t="inlineStr"/>
      <c r="L4121" t="inlineStr"/>
      <c r="M4121" t="inlineStr"/>
      <c r="N4121" t="inlineStr"/>
    </row>
    <row r="4122">
      <c r="A4122" t="inlineStr">
        <is>
          <t>ec-cuenca</t>
        </is>
      </c>
      <c r="B4122" t="inlineStr">
        <is>
          <t>Cuenca</t>
        </is>
      </c>
      <c r="C4122" t="inlineStr">
        <is>
          <t>Ecuador</t>
        </is>
      </c>
      <c r="D4122" t="inlineStr">
        <is>
          <t>Latin America</t>
        </is>
      </c>
      <c r="E4122" t="inlineStr">
        <is>
          <t>rent</t>
        </is>
      </c>
      <c r="F4122" t="inlineStr">
        <is>
          <t>Rent</t>
        </is>
      </c>
      <c r="G4122" t="inlineStr">
        <is>
          <t>pressure</t>
        </is>
      </c>
      <c r="H4122" t="inlineStr">
        <is>
          <t>yes</t>
        </is>
      </c>
      <c r="I4122" t="inlineStr">
        <is>
          <t>240.78</t>
        </is>
      </c>
      <c r="J4122" t="inlineStr">
        <is>
          <t>world_bank_col_estimate</t>
        </is>
      </c>
      <c r="K4122" t="inlineStr">
        <is>
          <t>https://api.worldbank.org/v2/country/ECU/indicator/NY.GNP.PCAP.PP.CD?format=json&amp;mrv=10</t>
        </is>
      </c>
      <c r="L4122" t="inlineStr">
        <is>
          <t>World Bank GNI + regional expenditure ratio estimate</t>
        </is>
      </c>
      <c r="M4122" t="inlineStr">
        <is>
          <t>2024-12-31</t>
        </is>
      </c>
      <c r="N4122" t="inlineStr">
        <is>
          <t>auto_ingest=world_bank_col_estimate; gni_annual=15410.0; year=2024; country_proxy=Ecuador; cohort=Latin America; city_cost_mult=0.75</t>
        </is>
      </c>
    </row>
    <row r="4123">
      <c r="A4123" t="inlineStr">
        <is>
          <t>ec-cuenca</t>
        </is>
      </c>
      <c r="B4123" t="inlineStr">
        <is>
          <t>Cuenca</t>
        </is>
      </c>
      <c r="C4123" t="inlineStr">
        <is>
          <t>Ecuador</t>
        </is>
      </c>
      <c r="D4123" t="inlineStr">
        <is>
          <t>Latin America</t>
        </is>
      </c>
      <c r="E4123" t="inlineStr">
        <is>
          <t>utilities</t>
        </is>
      </c>
      <c r="F4123" t="inlineStr">
        <is>
          <t>Utilities</t>
        </is>
      </c>
      <c r="G4123" t="inlineStr">
        <is>
          <t>pressure</t>
        </is>
      </c>
      <c r="H4123" t="inlineStr">
        <is>
          <t>yes</t>
        </is>
      </c>
      <c r="I4123" t="inlineStr">
        <is>
          <t>57.79</t>
        </is>
      </c>
      <c r="J4123" t="inlineStr">
        <is>
          <t>world_bank_col_estimate</t>
        </is>
      </c>
      <c r="K4123" t="inlineStr">
        <is>
          <t>https://api.worldbank.org/v2/country/ECU/indicator/NY.GNP.PCAP.PP.CD?format=json&amp;mrv=10</t>
        </is>
      </c>
      <c r="L4123" t="inlineStr">
        <is>
          <t>World Bank GNI + regional expenditure ratio estimate</t>
        </is>
      </c>
      <c r="M4123" t="inlineStr">
        <is>
          <t>2024-12-31</t>
        </is>
      </c>
      <c r="N4123" t="inlineStr">
        <is>
          <t>auto_ingest=world_bank_col_estimate; gni_annual=15410.0; year=2024; country_proxy=Ecuador; cohort=Latin America; city_cost_mult=0.75</t>
        </is>
      </c>
    </row>
    <row r="4124">
      <c r="A4124" t="inlineStr">
        <is>
          <t>ec-cuenca</t>
        </is>
      </c>
      <c r="B4124" t="inlineStr">
        <is>
          <t>Cuenca</t>
        </is>
      </c>
      <c r="C4124" t="inlineStr">
        <is>
          <t>Ecuador</t>
        </is>
      </c>
      <c r="D4124" t="inlineStr">
        <is>
          <t>Latin America</t>
        </is>
      </c>
      <c r="E4124" t="inlineStr">
        <is>
          <t>transit_cost</t>
        </is>
      </c>
      <c r="F4124" t="inlineStr">
        <is>
          <t>Transit cost</t>
        </is>
      </c>
      <c r="G4124" t="inlineStr">
        <is>
          <t>pressure</t>
        </is>
      </c>
      <c r="H4124" t="inlineStr">
        <is>
          <t>yes</t>
        </is>
      </c>
      <c r="I4124" t="inlineStr">
        <is>
          <t>38.53</t>
        </is>
      </c>
      <c r="J4124" t="inlineStr">
        <is>
          <t>world_bank_col_estimate</t>
        </is>
      </c>
      <c r="K4124" t="inlineStr">
        <is>
          <t>https://api.worldbank.org/v2/country/ECU/indicator/NY.GNP.PCAP.PP.CD?format=json&amp;mrv=10</t>
        </is>
      </c>
      <c r="L4124" t="inlineStr">
        <is>
          <t>World Bank GNI + regional expenditure ratio estimate</t>
        </is>
      </c>
      <c r="M4124" t="inlineStr">
        <is>
          <t>2024-12-31</t>
        </is>
      </c>
      <c r="N4124" t="inlineStr">
        <is>
          <t>auto_ingest=world_bank_col_estimate; gni_annual=15410.0; year=2024; country_proxy=Ecuador; cohort=Latin America; city_cost_mult=0.75</t>
        </is>
      </c>
    </row>
    <row r="4125">
      <c r="A4125" t="inlineStr">
        <is>
          <t>ec-cuenca</t>
        </is>
      </c>
      <c r="B4125" t="inlineStr">
        <is>
          <t>Cuenca</t>
        </is>
      </c>
      <c r="C4125" t="inlineStr">
        <is>
          <t>Ecuador</t>
        </is>
      </c>
      <c r="D4125" t="inlineStr">
        <is>
          <t>Latin America</t>
        </is>
      </c>
      <c r="E4125" t="inlineStr">
        <is>
          <t>internet_cost</t>
        </is>
      </c>
      <c r="F4125" t="inlineStr">
        <is>
          <t>Internet cost</t>
        </is>
      </c>
      <c r="G4125" t="inlineStr">
        <is>
          <t>pressure</t>
        </is>
      </c>
      <c r="H4125" t="inlineStr">
        <is>
          <t>yes</t>
        </is>
      </c>
      <c r="I4125" t="inlineStr">
        <is>
          <t>14.45</t>
        </is>
      </c>
      <c r="J4125" t="inlineStr">
        <is>
          <t>world_bank_col_estimate</t>
        </is>
      </c>
      <c r="K4125" t="inlineStr">
        <is>
          <t>https://api.worldbank.org/v2/country/ECU/indicator/NY.GNP.PCAP.PP.CD?format=json&amp;mrv=10</t>
        </is>
      </c>
      <c r="L4125" t="inlineStr">
        <is>
          <t>World Bank GNI + regional expenditure ratio estimate</t>
        </is>
      </c>
      <c r="M4125" t="inlineStr">
        <is>
          <t>2024-12-31</t>
        </is>
      </c>
      <c r="N4125" t="inlineStr">
        <is>
          <t>auto_ingest=world_bank_col_estimate; gni_annual=15410.0; year=2024; country_proxy=Ecuador; cohort=Latin America; city_cost_mult=0.75</t>
        </is>
      </c>
    </row>
    <row r="4126">
      <c r="A4126" t="inlineStr">
        <is>
          <t>ec-cuenca</t>
        </is>
      </c>
      <c r="B4126" t="inlineStr">
        <is>
          <t>Cuenca</t>
        </is>
      </c>
      <c r="C4126" t="inlineStr">
        <is>
          <t>Ecuador</t>
        </is>
      </c>
      <c r="D4126" t="inlineStr">
        <is>
          <t>Latin America</t>
        </is>
      </c>
      <c r="E4126" t="inlineStr">
        <is>
          <t>food_cost</t>
        </is>
      </c>
      <c r="F4126" t="inlineStr">
        <is>
          <t>Food cost</t>
        </is>
      </c>
      <c r="G4126" t="inlineStr">
        <is>
          <t>pressure</t>
        </is>
      </c>
      <c r="H4126" t="inlineStr">
        <is>
          <t>yes</t>
        </is>
      </c>
      <c r="I4126" t="inlineStr">
        <is>
          <t>211.89</t>
        </is>
      </c>
      <c r="J4126" t="inlineStr">
        <is>
          <t>world_bank_col_estimate</t>
        </is>
      </c>
      <c r="K4126" t="inlineStr">
        <is>
          <t>https://api.worldbank.org/v2/country/ECU/indicator/NY.GNP.PCAP.PP.CD?format=json&amp;mrv=10</t>
        </is>
      </c>
      <c r="L4126" t="inlineStr">
        <is>
          <t>World Bank GNI + regional expenditure ratio estimate</t>
        </is>
      </c>
      <c r="M4126" t="inlineStr">
        <is>
          <t>2024-12-31</t>
        </is>
      </c>
      <c r="N4126" t="inlineStr">
        <is>
          <t>auto_ingest=world_bank_col_estimate; gni_annual=15410.0; year=2024; country_proxy=Ecuador; cohort=Latin America; city_cost_mult=0.75</t>
        </is>
      </c>
    </row>
    <row r="4127">
      <c r="A4127" t="inlineStr">
        <is>
          <t>ec-cuenca</t>
        </is>
      </c>
      <c r="B4127" t="inlineStr">
        <is>
          <t>Cuenca</t>
        </is>
      </c>
      <c r="C4127" t="inlineStr">
        <is>
          <t>Ecuador</t>
        </is>
      </c>
      <c r="D4127" t="inlineStr">
        <is>
          <t>Latin America</t>
        </is>
      </c>
      <c r="E4127" t="inlineStr">
        <is>
          <t>housing_burden_raw</t>
        </is>
      </c>
      <c r="F4127" t="inlineStr">
        <is>
          <t>Housing burden raw</t>
        </is>
      </c>
      <c r="G4127" t="inlineStr">
        <is>
          <t>pressure</t>
        </is>
      </c>
      <c r="H4127" t="inlineStr">
        <is>
          <t>yes</t>
        </is>
      </c>
      <c r="I4127" t="inlineStr">
        <is>
          <t>18.7499</t>
        </is>
      </c>
      <c r="J4127" t="inlineStr">
        <is>
          <t>derived</t>
        </is>
      </c>
      <c r="K4127" t="inlineStr">
        <is>
          <t>https://data.worldbank.org/indicator/NY.GNP.PCAP.PP.CD</t>
        </is>
      </c>
      <c r="L4127" t="inlineStr">
        <is>
          <t>Computed from city_inputs + country_context</t>
        </is>
      </c>
      <c r="M4127" t="inlineStr">
        <is>
          <t>2024-01-01</t>
        </is>
      </c>
      <c r="N4127" t="inlineStr">
        <is>
          <t>derived=rent/gross_income*100</t>
        </is>
      </c>
    </row>
    <row r="4128">
      <c r="A4128" t="inlineStr">
        <is>
          <t>ec-cuenca</t>
        </is>
      </c>
      <c r="B4128" t="inlineStr">
        <is>
          <t>Cuenca</t>
        </is>
      </c>
      <c r="C4128" t="inlineStr">
        <is>
          <t>Ecuador</t>
        </is>
      </c>
      <c r="D4128" t="inlineStr">
        <is>
          <t>Latin America</t>
        </is>
      </c>
      <c r="E4128" t="inlineStr">
        <is>
          <t>household_debt_burden_raw</t>
        </is>
      </c>
      <c r="F4128" t="inlineStr">
        <is>
          <t>Household debt burden raw</t>
        </is>
      </c>
      <c r="G4128" t="inlineStr">
        <is>
          <t>pressure</t>
        </is>
      </c>
      <c r="H4128" t="inlineStr">
        <is>
          <t>yes</t>
        </is>
      </c>
      <c r="I4128" t="inlineStr"/>
      <c r="J4128" t="inlineStr"/>
      <c r="K4128" t="inlineStr"/>
      <c r="L4128" t="inlineStr"/>
      <c r="M4128" t="inlineStr"/>
      <c r="N4128" t="inlineStr"/>
    </row>
    <row r="4129">
      <c r="A4129" t="inlineStr">
        <is>
          <t>ec-cuenca</t>
        </is>
      </c>
      <c r="B4129" t="inlineStr">
        <is>
          <t>Cuenca</t>
        </is>
      </c>
      <c r="C4129" t="inlineStr">
        <is>
          <t>Ecuador</t>
        </is>
      </c>
      <c r="D4129" t="inlineStr">
        <is>
          <t>Latin America</t>
        </is>
      </c>
      <c r="E4129" t="inlineStr">
        <is>
          <t>working_time_pressure_raw</t>
        </is>
      </c>
      <c r="F4129" t="inlineStr">
        <is>
          <t>Working time pressure raw</t>
        </is>
      </c>
      <c r="G4129" t="inlineStr">
        <is>
          <t>pressure</t>
        </is>
      </c>
      <c r="H4129" t="inlineStr">
        <is>
          <t>yes</t>
        </is>
      </c>
      <c r="I4129" t="inlineStr"/>
      <c r="J4129" t="inlineStr"/>
      <c r="K4129" t="inlineStr"/>
      <c r="L4129" t="inlineStr"/>
      <c r="M4129" t="inlineStr"/>
      <c r="N4129" t="inlineStr"/>
    </row>
    <row r="4130">
      <c r="A4130" t="inlineStr">
        <is>
          <t>ec-cuenca</t>
        </is>
      </c>
      <c r="B4130" t="inlineStr">
        <is>
          <t>Cuenca</t>
        </is>
      </c>
      <c r="C4130" t="inlineStr">
        <is>
          <t>Ecuador</t>
        </is>
      </c>
      <c r="D4130" t="inlineStr">
        <is>
          <t>Latin America</t>
        </is>
      </c>
      <c r="E4130" t="inlineStr">
        <is>
          <t>suicide_mental_strain_raw</t>
        </is>
      </c>
      <c r="F4130" t="inlineStr">
        <is>
          <t>Suicide or mental strain raw</t>
        </is>
      </c>
      <c r="G4130" t="inlineStr">
        <is>
          <t>pressure</t>
        </is>
      </c>
      <c r="H4130" t="inlineStr">
        <is>
          <t>yes</t>
        </is>
      </c>
      <c r="I4130" t="inlineStr"/>
      <c r="J4130" t="inlineStr"/>
      <c r="K4130" t="inlineStr"/>
      <c r="L4130" t="inlineStr"/>
      <c r="M4130" t="inlineStr"/>
      <c r="N4130" t="inlineStr"/>
    </row>
    <row r="4131">
      <c r="A4131" t="inlineStr">
        <is>
          <t>ec-cuenca</t>
        </is>
      </c>
      <c r="B4131" t="inlineStr">
        <is>
          <t>Cuenca</t>
        </is>
      </c>
      <c r="C4131" t="inlineStr">
        <is>
          <t>Ecuador</t>
        </is>
      </c>
      <c r="D4131" t="inlineStr">
        <is>
          <t>Latin America</t>
        </is>
      </c>
      <c r="E4131" t="inlineStr">
        <is>
          <t>personal_safety_raw</t>
        </is>
      </c>
      <c r="F4131" t="inlineStr">
        <is>
          <t>Personal safety raw</t>
        </is>
      </c>
      <c r="G4131" t="inlineStr">
        <is>
          <t>viability</t>
        </is>
      </c>
      <c r="H4131" t="inlineStr">
        <is>
          <t>yes</t>
        </is>
      </c>
      <c r="I4131" t="inlineStr"/>
      <c r="J4131" t="inlineStr"/>
      <c r="K4131" t="inlineStr"/>
      <c r="L4131" t="inlineStr"/>
      <c r="M4131" t="inlineStr"/>
      <c r="N4131" t="inlineStr"/>
    </row>
    <row r="4132">
      <c r="A4132" t="inlineStr">
        <is>
          <t>ec-cuenca</t>
        </is>
      </c>
      <c r="B4132" t="inlineStr">
        <is>
          <t>Cuenca</t>
        </is>
      </c>
      <c r="C4132" t="inlineStr">
        <is>
          <t>Ecuador</t>
        </is>
      </c>
      <c r="D4132" t="inlineStr">
        <is>
          <t>Latin America</t>
        </is>
      </c>
      <c r="E4132" t="inlineStr">
        <is>
          <t>transit_access_commute_raw</t>
        </is>
      </c>
      <c r="F4132" t="inlineStr">
        <is>
          <t>Transit access and commute raw</t>
        </is>
      </c>
      <c r="G4132" t="inlineStr">
        <is>
          <t>viability</t>
        </is>
      </c>
      <c r="H4132" t="inlineStr">
        <is>
          <t>yes</t>
        </is>
      </c>
      <c r="I4132" t="inlineStr"/>
      <c r="J4132" t="inlineStr"/>
      <c r="K4132" t="inlineStr"/>
      <c r="L4132" t="inlineStr"/>
      <c r="M4132" t="inlineStr"/>
      <c r="N4132" t="inlineStr"/>
    </row>
    <row r="4133">
      <c r="A4133" t="inlineStr">
        <is>
          <t>ec-cuenca</t>
        </is>
      </c>
      <c r="B4133" t="inlineStr">
        <is>
          <t>Cuenca</t>
        </is>
      </c>
      <c r="C4133" t="inlineStr">
        <is>
          <t>Ecuador</t>
        </is>
      </c>
      <c r="D4133" t="inlineStr">
        <is>
          <t>Latin America</t>
        </is>
      </c>
      <c r="E4133" t="inlineStr">
        <is>
          <t>clean_air_raw</t>
        </is>
      </c>
      <c r="F4133" t="inlineStr">
        <is>
          <t>Clean air raw</t>
        </is>
      </c>
      <c r="G4133" t="inlineStr">
        <is>
          <t>viability</t>
        </is>
      </c>
      <c r="H4133" t="inlineStr">
        <is>
          <t>yes</t>
        </is>
      </c>
      <c r="I4133" t="inlineStr"/>
      <c r="J4133" t="inlineStr"/>
      <c r="K4133" t="inlineStr"/>
      <c r="L4133" t="inlineStr"/>
      <c r="M4133" t="inlineStr"/>
      <c r="N4133" t="inlineStr"/>
    </row>
    <row r="4134">
      <c r="A4134" t="inlineStr">
        <is>
          <t>ec-cuenca</t>
        </is>
      </c>
      <c r="B4134" t="inlineStr">
        <is>
          <t>Cuenca</t>
        </is>
      </c>
      <c r="C4134" t="inlineStr">
        <is>
          <t>Ecuador</t>
        </is>
      </c>
      <c r="D4134" t="inlineStr">
        <is>
          <t>Latin America</t>
        </is>
      </c>
      <c r="E4134" t="inlineStr">
        <is>
          <t>water_sanitation_utility_raw</t>
        </is>
      </c>
      <c r="F4134" t="inlineStr">
        <is>
          <t>Water, sanitation, and utility raw</t>
        </is>
      </c>
      <c r="G4134" t="inlineStr">
        <is>
          <t>viability</t>
        </is>
      </c>
      <c r="H4134" t="inlineStr">
        <is>
          <t>yes</t>
        </is>
      </c>
      <c r="I4134" t="inlineStr"/>
      <c r="J4134" t="inlineStr"/>
      <c r="K4134" t="inlineStr"/>
      <c r="L4134" t="inlineStr"/>
      <c r="M4134" t="inlineStr"/>
      <c r="N4134" t="inlineStr"/>
    </row>
    <row r="4135">
      <c r="A4135" t="inlineStr">
        <is>
          <t>ec-cuenca</t>
        </is>
      </c>
      <c r="B4135" t="inlineStr">
        <is>
          <t>Cuenca</t>
        </is>
      </c>
      <c r="C4135" t="inlineStr">
        <is>
          <t>Ecuador</t>
        </is>
      </c>
      <c r="D4135" t="inlineStr">
        <is>
          <t>Latin America</t>
        </is>
      </c>
      <c r="E4135" t="inlineStr">
        <is>
          <t>digital_infrastructure_raw</t>
        </is>
      </c>
      <c r="F4135" t="inlineStr">
        <is>
          <t>Digital infrastructure raw</t>
        </is>
      </c>
      <c r="G4135" t="inlineStr">
        <is>
          <t>viability</t>
        </is>
      </c>
      <c r="H4135" t="inlineStr">
        <is>
          <t>yes</t>
        </is>
      </c>
      <c r="I4135" t="inlineStr"/>
      <c r="J4135" t="inlineStr"/>
      <c r="K4135" t="inlineStr"/>
      <c r="L4135" t="inlineStr"/>
      <c r="M4135" t="inlineStr"/>
      <c r="N4135" t="inlineStr"/>
    </row>
    <row r="4136">
      <c r="A4136" t="inlineStr">
        <is>
          <t>ec-cuenca</t>
        </is>
      </c>
      <c r="B4136" t="inlineStr">
        <is>
          <t>Cuenca</t>
        </is>
      </c>
      <c r="C4136" t="inlineStr">
        <is>
          <t>Ecuador</t>
        </is>
      </c>
      <c r="D4136" t="inlineStr">
        <is>
          <t>Latin America</t>
        </is>
      </c>
      <c r="E4136" t="inlineStr">
        <is>
          <t>climate_sunlight_livability_raw</t>
        </is>
      </c>
      <c r="F4136" t="inlineStr">
        <is>
          <t>Climate and sunlight livability raw</t>
        </is>
      </c>
      <c r="G4136" t="inlineStr">
        <is>
          <t>viability</t>
        </is>
      </c>
      <c r="H4136" t="inlineStr">
        <is>
          <t>yes</t>
        </is>
      </c>
      <c r="I4136" t="inlineStr"/>
      <c r="J4136" t="inlineStr"/>
      <c r="K4136" t="inlineStr"/>
      <c r="L4136" t="inlineStr"/>
      <c r="M4136" t="inlineStr"/>
      <c r="N4136" t="inlineStr"/>
    </row>
    <row r="4137">
      <c r="A4137" t="inlineStr">
        <is>
          <t>ec-cuenca</t>
        </is>
      </c>
      <c r="B4137" t="inlineStr">
        <is>
          <t>Cuenca</t>
        </is>
      </c>
      <c r="C4137" t="inlineStr">
        <is>
          <t>Ecuador</t>
        </is>
      </c>
      <c r="D4137" t="inlineStr">
        <is>
          <t>Latin America</t>
        </is>
      </c>
      <c r="E4137" t="inlineStr">
        <is>
          <t>healthcare_quality_raw</t>
        </is>
      </c>
      <c r="F4137" t="inlineStr">
        <is>
          <t>Healthcare quality raw</t>
        </is>
      </c>
      <c r="G4137" t="inlineStr">
        <is>
          <t>capability</t>
        </is>
      </c>
      <c r="H4137" t="inlineStr">
        <is>
          <t>yes</t>
        </is>
      </c>
      <c r="I4137" t="inlineStr"/>
      <c r="J4137" t="inlineStr"/>
      <c r="K4137" t="inlineStr"/>
      <c r="L4137" t="inlineStr"/>
      <c r="M4137" t="inlineStr"/>
      <c r="N4137" t="inlineStr"/>
    </row>
    <row r="4138">
      <c r="A4138" t="inlineStr">
        <is>
          <t>ec-cuenca</t>
        </is>
      </c>
      <c r="B4138" t="inlineStr">
        <is>
          <t>Cuenca</t>
        </is>
      </c>
      <c r="C4138" t="inlineStr">
        <is>
          <t>Ecuador</t>
        </is>
      </c>
      <c r="D4138" t="inlineStr">
        <is>
          <t>Latin America</t>
        </is>
      </c>
      <c r="E4138" t="inlineStr">
        <is>
          <t>education_quality_raw</t>
        </is>
      </c>
      <c r="F4138" t="inlineStr">
        <is>
          <t>Education quality raw</t>
        </is>
      </c>
      <c r="G4138" t="inlineStr">
        <is>
          <t>capability</t>
        </is>
      </c>
      <c r="H4138" t="inlineStr">
        <is>
          <t>yes</t>
        </is>
      </c>
      <c r="I4138" t="inlineStr"/>
      <c r="J4138" t="inlineStr"/>
      <c r="K4138" t="inlineStr"/>
      <c r="L4138" t="inlineStr"/>
      <c r="M4138" t="inlineStr"/>
      <c r="N4138" t="inlineStr"/>
    </row>
    <row r="4139">
      <c r="A4139" t="inlineStr">
        <is>
          <t>ec-cuenca</t>
        </is>
      </c>
      <c r="B4139" t="inlineStr">
        <is>
          <t>Cuenca</t>
        </is>
      </c>
      <c r="C4139" t="inlineStr">
        <is>
          <t>Ecuador</t>
        </is>
      </c>
      <c r="D4139" t="inlineStr">
        <is>
          <t>Latin America</t>
        </is>
      </c>
      <c r="E4139" t="inlineStr">
        <is>
          <t>equal_opportunity_raw</t>
        </is>
      </c>
      <c r="F4139" t="inlineStr">
        <is>
          <t>Equal opportunity raw</t>
        </is>
      </c>
      <c r="G4139" t="inlineStr">
        <is>
          <t>capability</t>
        </is>
      </c>
      <c r="H4139" t="inlineStr">
        <is>
          <t>yes</t>
        </is>
      </c>
      <c r="I4139" t="inlineStr">
        <is>
          <t>45.2</t>
        </is>
      </c>
      <c r="J4139" t="inlineStr">
        <is>
          <t>world_bank</t>
        </is>
      </c>
      <c r="K4139" t="inlineStr">
        <is>
          <t>https://api.worldbank.org/v2/country/ECU/indicator/SI.POV.GINI?format=json&amp;mrv=10</t>
        </is>
      </c>
      <c r="L4139" t="inlineStr">
        <is>
          <t>World Bank WDI: Gini index</t>
        </is>
      </c>
      <c r="M4139" t="inlineStr">
        <is>
          <t>2024-12-31</t>
        </is>
      </c>
      <c r="N4139" t="inlineStr">
        <is>
          <t>auto_ingest=world_bank_capability; indicator=SI.POV.GINI; year=2024; country_proxy=Ecuador</t>
        </is>
      </c>
    </row>
    <row r="4140">
      <c r="A4140" t="inlineStr">
        <is>
          <t>ec-cuenca</t>
        </is>
      </c>
      <c r="B4140" t="inlineStr">
        <is>
          <t>Cuenca</t>
        </is>
      </c>
      <c r="C4140" t="inlineStr">
        <is>
          <t>Ecuador</t>
        </is>
      </c>
      <c r="D4140" t="inlineStr">
        <is>
          <t>Latin America</t>
        </is>
      </c>
      <c r="E4140" t="inlineStr">
        <is>
          <t>hospitality_belonging_raw</t>
        </is>
      </c>
      <c r="F4140" t="inlineStr">
        <is>
          <t>Hospitality and belonging raw</t>
        </is>
      </c>
      <c r="G4140" t="inlineStr">
        <is>
          <t>community</t>
        </is>
      </c>
      <c r="H4140" t="inlineStr">
        <is>
          <t>yes</t>
        </is>
      </c>
      <c r="I4140" t="inlineStr"/>
      <c r="J4140" t="inlineStr"/>
      <c r="K4140" t="inlineStr"/>
      <c r="L4140" t="inlineStr"/>
      <c r="M4140" t="inlineStr"/>
      <c r="N4140" t="inlineStr"/>
    </row>
    <row r="4141">
      <c r="A4141" t="inlineStr">
        <is>
          <t>ec-cuenca</t>
        </is>
      </c>
      <c r="B4141" t="inlineStr">
        <is>
          <t>Cuenca</t>
        </is>
      </c>
      <c r="C4141" t="inlineStr">
        <is>
          <t>Ecuador</t>
        </is>
      </c>
      <c r="D4141" t="inlineStr">
        <is>
          <t>Latin America</t>
        </is>
      </c>
      <c r="E4141" t="inlineStr">
        <is>
          <t>tolerance_pluralism_raw</t>
        </is>
      </c>
      <c r="F4141" t="inlineStr">
        <is>
          <t>Tolerance and pluralism raw</t>
        </is>
      </c>
      <c r="G4141" t="inlineStr">
        <is>
          <t>community</t>
        </is>
      </c>
      <c r="H4141" t="inlineStr">
        <is>
          <t>yes</t>
        </is>
      </c>
      <c r="I4141" t="inlineStr"/>
      <c r="J4141" t="inlineStr"/>
      <c r="K4141" t="inlineStr"/>
      <c r="L4141" t="inlineStr"/>
      <c r="M4141" t="inlineStr"/>
      <c r="N4141" t="inlineStr"/>
    </row>
    <row r="4142">
      <c r="A4142" t="inlineStr">
        <is>
          <t>ec-cuenca</t>
        </is>
      </c>
      <c r="B4142" t="inlineStr">
        <is>
          <t>Cuenca</t>
        </is>
      </c>
      <c r="C4142" t="inlineStr">
        <is>
          <t>Ecuador</t>
        </is>
      </c>
      <c r="D4142" t="inlineStr">
        <is>
          <t>Latin America</t>
        </is>
      </c>
      <c r="E4142" t="inlineStr">
        <is>
          <t>cultural_public_life_raw</t>
        </is>
      </c>
      <c r="F4142" t="inlineStr">
        <is>
          <t>Cultural public life raw</t>
        </is>
      </c>
      <c r="G4142" t="inlineStr">
        <is>
          <t>community</t>
        </is>
      </c>
      <c r="H4142" t="inlineStr">
        <is>
          <t>yes</t>
        </is>
      </c>
      <c r="I4142" t="inlineStr"/>
      <c r="J4142" t="inlineStr"/>
      <c r="K4142" t="inlineStr"/>
      <c r="L4142" t="inlineStr"/>
      <c r="M4142" t="inlineStr"/>
      <c r="N4142" t="inlineStr"/>
    </row>
    <row r="4143">
      <c r="A4143" t="inlineStr">
        <is>
          <t>ec-cuenca</t>
        </is>
      </c>
      <c r="B4143" t="inlineStr">
        <is>
          <t>Cuenca</t>
        </is>
      </c>
      <c r="C4143" t="inlineStr">
        <is>
          <t>Ecuador</t>
        </is>
      </c>
      <c r="D4143" t="inlineStr">
        <is>
          <t>Latin America</t>
        </is>
      </c>
      <c r="E4143" t="inlineStr">
        <is>
          <t>birth_rate_optimism_raw</t>
        </is>
      </c>
      <c r="F4143" t="inlineStr">
        <is>
          <t>Birth rate and societal optimism raw</t>
        </is>
      </c>
      <c r="G4143" t="inlineStr">
        <is>
          <t>community</t>
        </is>
      </c>
      <c r="H4143" t="inlineStr">
        <is>
          <t>yes</t>
        </is>
      </c>
      <c r="I4143" t="inlineStr"/>
      <c r="J4143" t="inlineStr"/>
      <c r="K4143" t="inlineStr"/>
      <c r="L4143" t="inlineStr"/>
      <c r="M4143" t="inlineStr"/>
      <c r="N4143" t="inlineStr"/>
    </row>
    <row r="4144">
      <c r="A4144" t="inlineStr">
        <is>
          <t>ec-cuenca</t>
        </is>
      </c>
      <c r="B4144" t="inlineStr">
        <is>
          <t>Cuenca</t>
        </is>
      </c>
      <c r="C4144" t="inlineStr">
        <is>
          <t>Ecuador</t>
        </is>
      </c>
      <c r="D4144" t="inlineStr">
        <is>
          <t>Latin America</t>
        </is>
      </c>
      <c r="E4144" t="inlineStr">
        <is>
          <t>entrepreneurial_dynamism_raw</t>
        </is>
      </c>
      <c r="F4144" t="inlineStr">
        <is>
          <t>Entrepreneurial dynamism raw</t>
        </is>
      </c>
      <c r="G4144" t="inlineStr">
        <is>
          <t>creative</t>
        </is>
      </c>
      <c r="H4144" t="inlineStr">
        <is>
          <t>yes</t>
        </is>
      </c>
      <c r="I4144" t="inlineStr"/>
      <c r="J4144" t="inlineStr"/>
      <c r="K4144" t="inlineStr"/>
      <c r="L4144" t="inlineStr"/>
      <c r="M4144" t="inlineStr"/>
      <c r="N4144" t="inlineStr"/>
    </row>
    <row r="4145">
      <c r="A4145" t="inlineStr">
        <is>
          <t>ec-cuenca</t>
        </is>
      </c>
      <c r="B4145" t="inlineStr">
        <is>
          <t>Cuenca</t>
        </is>
      </c>
      <c r="C4145" t="inlineStr">
        <is>
          <t>Ecuador</t>
        </is>
      </c>
      <c r="D4145" t="inlineStr">
        <is>
          <t>Latin America</t>
        </is>
      </c>
      <c r="E4145" t="inlineStr">
        <is>
          <t>innovation_research_intensity_raw</t>
        </is>
      </c>
      <c r="F4145" t="inlineStr">
        <is>
          <t>Innovation and research raw</t>
        </is>
      </c>
      <c r="G4145" t="inlineStr">
        <is>
          <t>creative</t>
        </is>
      </c>
      <c r="H4145" t="inlineStr">
        <is>
          <t>yes</t>
        </is>
      </c>
      <c r="I4145" t="inlineStr"/>
      <c r="J4145" t="inlineStr"/>
      <c r="K4145" t="inlineStr"/>
      <c r="L4145" t="inlineStr"/>
      <c r="M4145" t="inlineStr"/>
      <c r="N4145" t="inlineStr"/>
    </row>
    <row r="4146">
      <c r="A4146" t="inlineStr">
        <is>
          <t>ec-cuenca</t>
        </is>
      </c>
      <c r="B4146" t="inlineStr">
        <is>
          <t>Cuenca</t>
        </is>
      </c>
      <c r="C4146" t="inlineStr">
        <is>
          <t>Ecuador</t>
        </is>
      </c>
      <c r="D4146" t="inlineStr">
        <is>
          <t>Latin America</t>
        </is>
      </c>
      <c r="E4146" t="inlineStr">
        <is>
          <t>investment_signal_raw</t>
        </is>
      </c>
      <c r="F4146" t="inlineStr">
        <is>
          <t>Investment signal raw</t>
        </is>
      </c>
      <c r="G4146" t="inlineStr">
        <is>
          <t>creative</t>
        </is>
      </c>
      <c r="H4146" t="inlineStr">
        <is>
          <t>yes</t>
        </is>
      </c>
      <c r="I4146" t="inlineStr">
        <is>
          <t>0.36</t>
        </is>
      </c>
      <c r="J4146" t="inlineStr">
        <is>
          <t>world_bank</t>
        </is>
      </c>
      <c r="K4146" t="inlineStr">
        <is>
          <t>https://api.worldbank.org/v2/country/ECU/indicator/BX.KLT.DINV.WD.GD.ZS?format=json&amp;mrv=10</t>
        </is>
      </c>
      <c r="L4146" t="inlineStr">
        <is>
          <t>World Bank WDI: Foreign direct investment, net inflows (% of GDP)</t>
        </is>
      </c>
      <c r="M4146" t="inlineStr">
        <is>
          <t>2024-12-31</t>
        </is>
      </c>
      <c r="N4146" t="inlineStr">
        <is>
          <t>auto_ingest=world_bank_creative_extended; indicator=BX.KLT.DINV.WD.GD.ZS; year=2024; country_proxy=Ecuador</t>
        </is>
      </c>
    </row>
    <row r="4147">
      <c r="A4147" t="inlineStr">
        <is>
          <t>ec-cuenca</t>
        </is>
      </c>
      <c r="B4147" t="inlineStr">
        <is>
          <t>Cuenca</t>
        </is>
      </c>
      <c r="C4147" t="inlineStr">
        <is>
          <t>Ecuador</t>
        </is>
      </c>
      <c r="D4147" t="inlineStr">
        <is>
          <t>Latin America</t>
        </is>
      </c>
      <c r="E4147" t="inlineStr">
        <is>
          <t>administrative_investment_friction_raw</t>
        </is>
      </c>
      <c r="F4147" t="inlineStr">
        <is>
          <t>Administrative investment friction raw</t>
        </is>
      </c>
      <c r="G4147" t="inlineStr">
        <is>
          <t>creative</t>
        </is>
      </c>
      <c r="H4147" t="inlineStr">
        <is>
          <t>yes</t>
        </is>
      </c>
      <c r="I4147" t="inlineStr">
        <is>
          <t>3.22</t>
        </is>
      </c>
      <c r="J4147" t="inlineStr">
        <is>
          <t>world_bank</t>
        </is>
      </c>
      <c r="K4147" t="inlineStr">
        <is>
          <t>https://api.worldbank.org/v2/country/ECU/indicator/RQ.EST?format=json&amp;mrv=10</t>
        </is>
      </c>
      <c r="L4147" t="inlineStr">
        <is>
          <t>World Bank WGI: Regulatory Quality (inverted as friction proxy)</t>
        </is>
      </c>
      <c r="M4147" t="inlineStr">
        <is>
          <t>2023-12-31</t>
        </is>
      </c>
      <c r="N4147" t="inlineStr">
        <is>
          <t>auto_ingest=world_bank_business_friction; indicator=RQ.EST; raw_rq=-0.718200981616974; friction=3.22; year=2023; country_proxy=Ecuador</t>
        </is>
      </c>
    </row>
    <row r="4148">
      <c r="A4148" t="inlineStr">
        <is>
          <t>ec-cuenca</t>
        </is>
      </c>
      <c r="B4148" t="inlineStr">
        <is>
          <t>Cuenca</t>
        </is>
      </c>
      <c r="C4148" t="inlineStr">
        <is>
          <t>Ecuador</t>
        </is>
      </c>
      <c r="D4148" t="inlineStr">
        <is>
          <t>Latin America</t>
        </is>
      </c>
      <c r="E4148" t="inlineStr">
        <is>
          <t>visitor_flow_context_raw</t>
        </is>
      </c>
      <c r="F4148" t="inlineStr">
        <is>
          <t>Visitor flow context raw</t>
        </is>
      </c>
      <c r="G4148" t="inlineStr">
        <is>
          <t>creative</t>
        </is>
      </c>
      <c r="H4148" t="inlineStr">
        <is>
          <t>no</t>
        </is>
      </c>
      <c r="I4148" t="inlineStr"/>
      <c r="J4148" t="inlineStr"/>
      <c r="K4148" t="inlineStr"/>
      <c r="L4148" t="inlineStr"/>
      <c r="M4148" t="inlineStr"/>
      <c r="N4148" t="inlineStr"/>
    </row>
    <row r="4149">
      <c r="A4149" t="inlineStr">
        <is>
          <t>py-asuncion</t>
        </is>
      </c>
      <c r="B4149" t="inlineStr">
        <is>
          <t>Asuncion</t>
        </is>
      </c>
      <c r="C4149" t="inlineStr">
        <is>
          <t>Paraguay</t>
        </is>
      </c>
      <c r="D4149" t="inlineStr">
        <is>
          <t>Latin America</t>
        </is>
      </c>
      <c r="E4149" t="inlineStr">
        <is>
          <t>gross_income</t>
        </is>
      </c>
      <c r="F4149" t="inlineStr">
        <is>
          <t>Gross income</t>
        </is>
      </c>
      <c r="G4149" t="inlineStr">
        <is>
          <t>pressure</t>
        </is>
      </c>
      <c r="H4149" t="inlineStr">
        <is>
          <t>yes</t>
        </is>
      </c>
      <c r="I4149" t="inlineStr">
        <is>
          <t>1494.17</t>
        </is>
      </c>
      <c r="J4149" t="inlineStr">
        <is>
          <t>world_bank_col_estimate</t>
        </is>
      </c>
      <c r="K4149" t="inlineStr">
        <is>
          <t>https://api.worldbank.org/v2/country/PRY/indicator/NY.GNP.PCAP.PP.CD?format=json&amp;mrv=10</t>
        </is>
      </c>
      <c r="L4149" t="inlineStr">
        <is>
          <t>World Bank WDI: GNI per capita PPP (monthly USD)</t>
        </is>
      </c>
      <c r="M4149" t="inlineStr">
        <is>
          <t>2024-12-31</t>
        </is>
      </c>
      <c r="N4149" t="inlineStr">
        <is>
          <t>auto_ingest=world_bank_col_estimate; gni_annual=17930.0; year=2024; country_proxy=Paraguay; cohort=Latin America</t>
        </is>
      </c>
    </row>
    <row r="4150">
      <c r="A4150" t="inlineStr">
        <is>
          <t>py-asuncion</t>
        </is>
      </c>
      <c r="B4150" t="inlineStr">
        <is>
          <t>Asuncion</t>
        </is>
      </c>
      <c r="C4150" t="inlineStr">
        <is>
          <t>Paraguay</t>
        </is>
      </c>
      <c r="D4150" t="inlineStr">
        <is>
          <t>Latin America</t>
        </is>
      </c>
      <c r="E4150" t="inlineStr">
        <is>
          <t>di_ppp_raw</t>
        </is>
      </c>
      <c r="F4150" t="inlineStr">
        <is>
          <t>Disposable income PPP (Raw)</t>
        </is>
      </c>
      <c r="G4150" t="inlineStr">
        <is>
          <t>pressure</t>
        </is>
      </c>
      <c r="H4150" t="inlineStr">
        <is>
          <t>yes</t>
        </is>
      </c>
      <c r="I4150" t="inlineStr"/>
      <c r="J4150" t="inlineStr"/>
      <c r="K4150" t="inlineStr"/>
      <c r="L4150" t="inlineStr"/>
      <c r="M4150" t="inlineStr"/>
      <c r="N4150" t="inlineStr"/>
    </row>
    <row r="4151">
      <c r="A4151" t="inlineStr">
        <is>
          <t>py-asuncion</t>
        </is>
      </c>
      <c r="B4151" t="inlineStr">
        <is>
          <t>Asuncion</t>
        </is>
      </c>
      <c r="C4151" t="inlineStr">
        <is>
          <t>Paraguay</t>
        </is>
      </c>
      <c r="D4151" t="inlineStr">
        <is>
          <t>Latin America</t>
        </is>
      </c>
      <c r="E4151" t="inlineStr">
        <is>
          <t>rent</t>
        </is>
      </c>
      <c r="F4151" t="inlineStr">
        <is>
          <t>Rent</t>
        </is>
      </c>
      <c r="G4151" t="inlineStr">
        <is>
          <t>pressure</t>
        </is>
      </c>
      <c r="H4151" t="inlineStr">
        <is>
          <t>yes</t>
        </is>
      </c>
      <c r="I4151" t="inlineStr">
        <is>
          <t>317.51</t>
        </is>
      </c>
      <c r="J4151" t="inlineStr">
        <is>
          <t>world_bank_col_estimate</t>
        </is>
      </c>
      <c r="K4151" t="inlineStr">
        <is>
          <t>https://api.worldbank.org/v2/country/PRY/indicator/NY.GNP.PCAP.PP.CD?format=json&amp;mrv=10</t>
        </is>
      </c>
      <c r="L4151" t="inlineStr">
        <is>
          <t>World Bank GNI + regional expenditure ratio estimate</t>
        </is>
      </c>
      <c r="M4151" t="inlineStr">
        <is>
          <t>2024-12-31</t>
        </is>
      </c>
      <c r="N4151" t="inlineStr">
        <is>
          <t>auto_ingest=world_bank_col_estimate; gni_annual=17930.0; year=2024; country_proxy=Paraguay; cohort=Latin America; city_cost_mult=0.85</t>
        </is>
      </c>
    </row>
    <row r="4152">
      <c r="A4152" t="inlineStr">
        <is>
          <t>py-asuncion</t>
        </is>
      </c>
      <c r="B4152" t="inlineStr">
        <is>
          <t>Asuncion</t>
        </is>
      </c>
      <c r="C4152" t="inlineStr">
        <is>
          <t>Paraguay</t>
        </is>
      </c>
      <c r="D4152" t="inlineStr">
        <is>
          <t>Latin America</t>
        </is>
      </c>
      <c r="E4152" t="inlineStr">
        <is>
          <t>utilities</t>
        </is>
      </c>
      <c r="F4152" t="inlineStr">
        <is>
          <t>Utilities</t>
        </is>
      </c>
      <c r="G4152" t="inlineStr">
        <is>
          <t>pressure</t>
        </is>
      </c>
      <c r="H4152" t="inlineStr">
        <is>
          <t>yes</t>
        </is>
      </c>
      <c r="I4152" t="inlineStr">
        <is>
          <t>76.2</t>
        </is>
      </c>
      <c r="J4152" t="inlineStr">
        <is>
          <t>world_bank_col_estimate</t>
        </is>
      </c>
      <c r="K4152" t="inlineStr">
        <is>
          <t>https://api.worldbank.org/v2/country/PRY/indicator/NY.GNP.PCAP.PP.CD?format=json&amp;mrv=10</t>
        </is>
      </c>
      <c r="L4152" t="inlineStr">
        <is>
          <t>World Bank GNI + regional expenditure ratio estimate</t>
        </is>
      </c>
      <c r="M4152" t="inlineStr">
        <is>
          <t>2024-12-31</t>
        </is>
      </c>
      <c r="N4152" t="inlineStr">
        <is>
          <t>auto_ingest=world_bank_col_estimate; gni_annual=17930.0; year=2024; country_proxy=Paraguay; cohort=Latin America; city_cost_mult=0.85</t>
        </is>
      </c>
    </row>
    <row r="4153">
      <c r="A4153" t="inlineStr">
        <is>
          <t>py-asuncion</t>
        </is>
      </c>
      <c r="B4153" t="inlineStr">
        <is>
          <t>Asuncion</t>
        </is>
      </c>
      <c r="C4153" t="inlineStr">
        <is>
          <t>Paraguay</t>
        </is>
      </c>
      <c r="D4153" t="inlineStr">
        <is>
          <t>Latin America</t>
        </is>
      </c>
      <c r="E4153" t="inlineStr">
        <is>
          <t>transit_cost</t>
        </is>
      </c>
      <c r="F4153" t="inlineStr">
        <is>
          <t>Transit cost</t>
        </is>
      </c>
      <c r="G4153" t="inlineStr">
        <is>
          <t>pressure</t>
        </is>
      </c>
      <c r="H4153" t="inlineStr">
        <is>
          <t>yes</t>
        </is>
      </c>
      <c r="I4153" t="inlineStr">
        <is>
          <t>50.8</t>
        </is>
      </c>
      <c r="J4153" t="inlineStr">
        <is>
          <t>world_bank_col_estimate</t>
        </is>
      </c>
      <c r="K4153" t="inlineStr">
        <is>
          <t>https://api.worldbank.org/v2/country/PRY/indicator/NY.GNP.PCAP.PP.CD?format=json&amp;mrv=10</t>
        </is>
      </c>
      <c r="L4153" t="inlineStr">
        <is>
          <t>World Bank GNI + regional expenditure ratio estimate</t>
        </is>
      </c>
      <c r="M4153" t="inlineStr">
        <is>
          <t>2024-12-31</t>
        </is>
      </c>
      <c r="N4153" t="inlineStr">
        <is>
          <t>auto_ingest=world_bank_col_estimate; gni_annual=17930.0; year=2024; country_proxy=Paraguay; cohort=Latin America; city_cost_mult=0.85</t>
        </is>
      </c>
    </row>
    <row r="4154">
      <c r="A4154" t="inlineStr">
        <is>
          <t>py-asuncion</t>
        </is>
      </c>
      <c r="B4154" t="inlineStr">
        <is>
          <t>Asuncion</t>
        </is>
      </c>
      <c r="C4154" t="inlineStr">
        <is>
          <t>Paraguay</t>
        </is>
      </c>
      <c r="D4154" t="inlineStr">
        <is>
          <t>Latin America</t>
        </is>
      </c>
      <c r="E4154" t="inlineStr">
        <is>
          <t>internet_cost</t>
        </is>
      </c>
      <c r="F4154" t="inlineStr">
        <is>
          <t>Internet cost</t>
        </is>
      </c>
      <c r="G4154" t="inlineStr">
        <is>
          <t>pressure</t>
        </is>
      </c>
      <c r="H4154" t="inlineStr">
        <is>
          <t>yes</t>
        </is>
      </c>
      <c r="I4154" t="inlineStr">
        <is>
          <t>19.05</t>
        </is>
      </c>
      <c r="J4154" t="inlineStr">
        <is>
          <t>world_bank_col_estimate</t>
        </is>
      </c>
      <c r="K4154" t="inlineStr">
        <is>
          <t>https://api.worldbank.org/v2/country/PRY/indicator/NY.GNP.PCAP.PP.CD?format=json&amp;mrv=10</t>
        </is>
      </c>
      <c r="L4154" t="inlineStr">
        <is>
          <t>World Bank GNI + regional expenditure ratio estimate</t>
        </is>
      </c>
      <c r="M4154" t="inlineStr">
        <is>
          <t>2024-12-31</t>
        </is>
      </c>
      <c r="N4154" t="inlineStr">
        <is>
          <t>auto_ingest=world_bank_col_estimate; gni_annual=17930.0; year=2024; country_proxy=Paraguay; cohort=Latin America; city_cost_mult=0.85</t>
        </is>
      </c>
    </row>
    <row r="4155">
      <c r="A4155" t="inlineStr">
        <is>
          <t>py-asuncion</t>
        </is>
      </c>
      <c r="B4155" t="inlineStr">
        <is>
          <t>Asuncion</t>
        </is>
      </c>
      <c r="C4155" t="inlineStr">
        <is>
          <t>Paraguay</t>
        </is>
      </c>
      <c r="D4155" t="inlineStr">
        <is>
          <t>Latin America</t>
        </is>
      </c>
      <c r="E4155" t="inlineStr">
        <is>
          <t>food_cost</t>
        </is>
      </c>
      <c r="F4155" t="inlineStr">
        <is>
          <t>Food cost</t>
        </is>
      </c>
      <c r="G4155" t="inlineStr">
        <is>
          <t>pressure</t>
        </is>
      </c>
      <c r="H4155" t="inlineStr">
        <is>
          <t>yes</t>
        </is>
      </c>
      <c r="I4155" t="inlineStr">
        <is>
          <t>279.41</t>
        </is>
      </c>
      <c r="J4155" t="inlineStr">
        <is>
          <t>world_bank_col_estimate</t>
        </is>
      </c>
      <c r="K4155" t="inlineStr">
        <is>
          <t>https://api.worldbank.org/v2/country/PRY/indicator/NY.GNP.PCAP.PP.CD?format=json&amp;mrv=10</t>
        </is>
      </c>
      <c r="L4155" t="inlineStr">
        <is>
          <t>World Bank GNI + regional expenditure ratio estimate</t>
        </is>
      </c>
      <c r="M4155" t="inlineStr">
        <is>
          <t>2024-12-31</t>
        </is>
      </c>
      <c r="N4155" t="inlineStr">
        <is>
          <t>auto_ingest=world_bank_col_estimate; gni_annual=17930.0; year=2024; country_proxy=Paraguay; cohort=Latin America; city_cost_mult=0.85</t>
        </is>
      </c>
    </row>
    <row r="4156">
      <c r="A4156" t="inlineStr">
        <is>
          <t>py-asuncion</t>
        </is>
      </c>
      <c r="B4156" t="inlineStr">
        <is>
          <t>Asuncion</t>
        </is>
      </c>
      <c r="C4156" t="inlineStr">
        <is>
          <t>Paraguay</t>
        </is>
      </c>
      <c r="D4156" t="inlineStr">
        <is>
          <t>Latin America</t>
        </is>
      </c>
      <c r="E4156" t="inlineStr">
        <is>
          <t>housing_burden_raw</t>
        </is>
      </c>
      <c r="F4156" t="inlineStr">
        <is>
          <t>Housing burden raw</t>
        </is>
      </c>
      <c r="G4156" t="inlineStr">
        <is>
          <t>pressure</t>
        </is>
      </c>
      <c r="H4156" t="inlineStr">
        <is>
          <t>yes</t>
        </is>
      </c>
      <c r="I4156" t="inlineStr">
        <is>
          <t>21.2499</t>
        </is>
      </c>
      <c r="J4156" t="inlineStr">
        <is>
          <t>derived</t>
        </is>
      </c>
      <c r="K4156" t="inlineStr">
        <is>
          <t>https://data.worldbank.org/indicator/NY.GNP.PCAP.PP.CD</t>
        </is>
      </c>
      <c r="L4156" t="inlineStr">
        <is>
          <t>Computed from city_inputs + country_context</t>
        </is>
      </c>
      <c r="M4156" t="inlineStr">
        <is>
          <t>2024-01-01</t>
        </is>
      </c>
      <c r="N4156" t="inlineStr">
        <is>
          <t>derived=rent/gross_income*100</t>
        </is>
      </c>
    </row>
    <row r="4157">
      <c r="A4157" t="inlineStr">
        <is>
          <t>py-asuncion</t>
        </is>
      </c>
      <c r="B4157" t="inlineStr">
        <is>
          <t>Asuncion</t>
        </is>
      </c>
      <c r="C4157" t="inlineStr">
        <is>
          <t>Paraguay</t>
        </is>
      </c>
      <c r="D4157" t="inlineStr">
        <is>
          <t>Latin America</t>
        </is>
      </c>
      <c r="E4157" t="inlineStr">
        <is>
          <t>household_debt_burden_raw</t>
        </is>
      </c>
      <c r="F4157" t="inlineStr">
        <is>
          <t>Household debt burden raw</t>
        </is>
      </c>
      <c r="G4157" t="inlineStr">
        <is>
          <t>pressure</t>
        </is>
      </c>
      <c r="H4157" t="inlineStr">
        <is>
          <t>yes</t>
        </is>
      </c>
      <c r="I4157" t="inlineStr"/>
      <c r="J4157" t="inlineStr"/>
      <c r="K4157" t="inlineStr"/>
      <c r="L4157" t="inlineStr"/>
      <c r="M4157" t="inlineStr"/>
      <c r="N4157" t="inlineStr"/>
    </row>
    <row r="4158">
      <c r="A4158" t="inlineStr">
        <is>
          <t>py-asuncion</t>
        </is>
      </c>
      <c r="B4158" t="inlineStr">
        <is>
          <t>Asuncion</t>
        </is>
      </c>
      <c r="C4158" t="inlineStr">
        <is>
          <t>Paraguay</t>
        </is>
      </c>
      <c r="D4158" t="inlineStr">
        <is>
          <t>Latin America</t>
        </is>
      </c>
      <c r="E4158" t="inlineStr">
        <is>
          <t>working_time_pressure_raw</t>
        </is>
      </c>
      <c r="F4158" t="inlineStr">
        <is>
          <t>Working time pressure raw</t>
        </is>
      </c>
      <c r="G4158" t="inlineStr">
        <is>
          <t>pressure</t>
        </is>
      </c>
      <c r="H4158" t="inlineStr">
        <is>
          <t>yes</t>
        </is>
      </c>
      <c r="I4158" t="inlineStr"/>
      <c r="J4158" t="inlineStr"/>
      <c r="K4158" t="inlineStr"/>
      <c r="L4158" t="inlineStr"/>
      <c r="M4158" t="inlineStr"/>
      <c r="N4158" t="inlineStr"/>
    </row>
    <row r="4159">
      <c r="A4159" t="inlineStr">
        <is>
          <t>py-asuncion</t>
        </is>
      </c>
      <c r="B4159" t="inlineStr">
        <is>
          <t>Asuncion</t>
        </is>
      </c>
      <c r="C4159" t="inlineStr">
        <is>
          <t>Paraguay</t>
        </is>
      </c>
      <c r="D4159" t="inlineStr">
        <is>
          <t>Latin America</t>
        </is>
      </c>
      <c r="E4159" t="inlineStr">
        <is>
          <t>suicide_mental_strain_raw</t>
        </is>
      </c>
      <c r="F4159" t="inlineStr">
        <is>
          <t>Suicide or mental strain raw</t>
        </is>
      </c>
      <c r="G4159" t="inlineStr">
        <is>
          <t>pressure</t>
        </is>
      </c>
      <c r="H4159" t="inlineStr">
        <is>
          <t>yes</t>
        </is>
      </c>
      <c r="I4159" t="inlineStr"/>
      <c r="J4159" t="inlineStr"/>
      <c r="K4159" t="inlineStr"/>
      <c r="L4159" t="inlineStr"/>
      <c r="M4159" t="inlineStr"/>
      <c r="N4159" t="inlineStr"/>
    </row>
    <row r="4160">
      <c r="A4160" t="inlineStr">
        <is>
          <t>py-asuncion</t>
        </is>
      </c>
      <c r="B4160" t="inlineStr">
        <is>
          <t>Asuncion</t>
        </is>
      </c>
      <c r="C4160" t="inlineStr">
        <is>
          <t>Paraguay</t>
        </is>
      </c>
      <c r="D4160" t="inlineStr">
        <is>
          <t>Latin America</t>
        </is>
      </c>
      <c r="E4160" t="inlineStr">
        <is>
          <t>personal_safety_raw</t>
        </is>
      </c>
      <c r="F4160" t="inlineStr">
        <is>
          <t>Personal safety raw</t>
        </is>
      </c>
      <c r="G4160" t="inlineStr">
        <is>
          <t>viability</t>
        </is>
      </c>
      <c r="H4160" t="inlineStr">
        <is>
          <t>yes</t>
        </is>
      </c>
      <c r="I4160" t="inlineStr"/>
      <c r="J4160" t="inlineStr"/>
      <c r="K4160" t="inlineStr"/>
      <c r="L4160" t="inlineStr"/>
      <c r="M4160" t="inlineStr"/>
      <c r="N4160" t="inlineStr"/>
    </row>
    <row r="4161">
      <c r="A4161" t="inlineStr">
        <is>
          <t>py-asuncion</t>
        </is>
      </c>
      <c r="B4161" t="inlineStr">
        <is>
          <t>Asuncion</t>
        </is>
      </c>
      <c r="C4161" t="inlineStr">
        <is>
          <t>Paraguay</t>
        </is>
      </c>
      <c r="D4161" t="inlineStr">
        <is>
          <t>Latin America</t>
        </is>
      </c>
      <c r="E4161" t="inlineStr">
        <is>
          <t>transit_access_commute_raw</t>
        </is>
      </c>
      <c r="F4161" t="inlineStr">
        <is>
          <t>Transit access and commute raw</t>
        </is>
      </c>
      <c r="G4161" t="inlineStr">
        <is>
          <t>viability</t>
        </is>
      </c>
      <c r="H4161" t="inlineStr">
        <is>
          <t>yes</t>
        </is>
      </c>
      <c r="I4161" t="inlineStr"/>
      <c r="J4161" t="inlineStr"/>
      <c r="K4161" t="inlineStr"/>
      <c r="L4161" t="inlineStr"/>
      <c r="M4161" t="inlineStr"/>
      <c r="N4161" t="inlineStr"/>
    </row>
    <row r="4162">
      <c r="A4162" t="inlineStr">
        <is>
          <t>py-asuncion</t>
        </is>
      </c>
      <c r="B4162" t="inlineStr">
        <is>
          <t>Asuncion</t>
        </is>
      </c>
      <c r="C4162" t="inlineStr">
        <is>
          <t>Paraguay</t>
        </is>
      </c>
      <c r="D4162" t="inlineStr">
        <is>
          <t>Latin America</t>
        </is>
      </c>
      <c r="E4162" t="inlineStr">
        <is>
          <t>clean_air_raw</t>
        </is>
      </c>
      <c r="F4162" t="inlineStr">
        <is>
          <t>Clean air raw</t>
        </is>
      </c>
      <c r="G4162" t="inlineStr">
        <is>
          <t>viability</t>
        </is>
      </c>
      <c r="H4162" t="inlineStr">
        <is>
          <t>yes</t>
        </is>
      </c>
      <c r="I4162" t="inlineStr"/>
      <c r="J4162" t="inlineStr"/>
      <c r="K4162" t="inlineStr"/>
      <c r="L4162" t="inlineStr"/>
      <c r="M4162" t="inlineStr"/>
      <c r="N4162" t="inlineStr"/>
    </row>
    <row r="4163">
      <c r="A4163" t="inlineStr">
        <is>
          <t>py-asuncion</t>
        </is>
      </c>
      <c r="B4163" t="inlineStr">
        <is>
          <t>Asuncion</t>
        </is>
      </c>
      <c r="C4163" t="inlineStr">
        <is>
          <t>Paraguay</t>
        </is>
      </c>
      <c r="D4163" t="inlineStr">
        <is>
          <t>Latin America</t>
        </is>
      </c>
      <c r="E4163" t="inlineStr">
        <is>
          <t>water_sanitation_utility_raw</t>
        </is>
      </c>
      <c r="F4163" t="inlineStr">
        <is>
          <t>Water, sanitation, and utility raw</t>
        </is>
      </c>
      <c r="G4163" t="inlineStr">
        <is>
          <t>viability</t>
        </is>
      </c>
      <c r="H4163" t="inlineStr">
        <is>
          <t>yes</t>
        </is>
      </c>
      <c r="I4163" t="inlineStr"/>
      <c r="J4163" t="inlineStr"/>
      <c r="K4163" t="inlineStr"/>
      <c r="L4163" t="inlineStr"/>
      <c r="M4163" t="inlineStr"/>
      <c r="N4163" t="inlineStr"/>
    </row>
    <row r="4164">
      <c r="A4164" t="inlineStr">
        <is>
          <t>py-asuncion</t>
        </is>
      </c>
      <c r="B4164" t="inlineStr">
        <is>
          <t>Asuncion</t>
        </is>
      </c>
      <c r="C4164" t="inlineStr">
        <is>
          <t>Paraguay</t>
        </is>
      </c>
      <c r="D4164" t="inlineStr">
        <is>
          <t>Latin America</t>
        </is>
      </c>
      <c r="E4164" t="inlineStr">
        <is>
          <t>digital_infrastructure_raw</t>
        </is>
      </c>
      <c r="F4164" t="inlineStr">
        <is>
          <t>Digital infrastructure raw</t>
        </is>
      </c>
      <c r="G4164" t="inlineStr">
        <is>
          <t>viability</t>
        </is>
      </c>
      <c r="H4164" t="inlineStr">
        <is>
          <t>yes</t>
        </is>
      </c>
      <c r="I4164" t="inlineStr"/>
      <c r="J4164" t="inlineStr"/>
      <c r="K4164" t="inlineStr"/>
      <c r="L4164" t="inlineStr"/>
      <c r="M4164" t="inlineStr"/>
      <c r="N4164" t="inlineStr"/>
    </row>
    <row r="4165">
      <c r="A4165" t="inlineStr">
        <is>
          <t>py-asuncion</t>
        </is>
      </c>
      <c r="B4165" t="inlineStr">
        <is>
          <t>Asuncion</t>
        </is>
      </c>
      <c r="C4165" t="inlineStr">
        <is>
          <t>Paraguay</t>
        </is>
      </c>
      <c r="D4165" t="inlineStr">
        <is>
          <t>Latin America</t>
        </is>
      </c>
      <c r="E4165" t="inlineStr">
        <is>
          <t>climate_sunlight_livability_raw</t>
        </is>
      </c>
      <c r="F4165" t="inlineStr">
        <is>
          <t>Climate and sunlight livability raw</t>
        </is>
      </c>
      <c r="G4165" t="inlineStr">
        <is>
          <t>viability</t>
        </is>
      </c>
      <c r="H4165" t="inlineStr">
        <is>
          <t>yes</t>
        </is>
      </c>
      <c r="I4165" t="inlineStr"/>
      <c r="J4165" t="inlineStr"/>
      <c r="K4165" t="inlineStr"/>
      <c r="L4165" t="inlineStr"/>
      <c r="M4165" t="inlineStr"/>
      <c r="N4165" t="inlineStr"/>
    </row>
    <row r="4166">
      <c r="A4166" t="inlineStr">
        <is>
          <t>py-asuncion</t>
        </is>
      </c>
      <c r="B4166" t="inlineStr">
        <is>
          <t>Asuncion</t>
        </is>
      </c>
      <c r="C4166" t="inlineStr">
        <is>
          <t>Paraguay</t>
        </is>
      </c>
      <c r="D4166" t="inlineStr">
        <is>
          <t>Latin America</t>
        </is>
      </c>
      <c r="E4166" t="inlineStr">
        <is>
          <t>healthcare_quality_raw</t>
        </is>
      </c>
      <c r="F4166" t="inlineStr">
        <is>
          <t>Healthcare quality raw</t>
        </is>
      </c>
      <c r="G4166" t="inlineStr">
        <is>
          <t>capability</t>
        </is>
      </c>
      <c r="H4166" t="inlineStr">
        <is>
          <t>yes</t>
        </is>
      </c>
      <c r="I4166" t="inlineStr"/>
      <c r="J4166" t="inlineStr"/>
      <c r="K4166" t="inlineStr"/>
      <c r="L4166" t="inlineStr"/>
      <c r="M4166" t="inlineStr"/>
      <c r="N4166" t="inlineStr"/>
    </row>
    <row r="4167">
      <c r="A4167" t="inlineStr">
        <is>
          <t>py-asuncion</t>
        </is>
      </c>
      <c r="B4167" t="inlineStr">
        <is>
          <t>Asuncion</t>
        </is>
      </c>
      <c r="C4167" t="inlineStr">
        <is>
          <t>Paraguay</t>
        </is>
      </c>
      <c r="D4167" t="inlineStr">
        <is>
          <t>Latin America</t>
        </is>
      </c>
      <c r="E4167" t="inlineStr">
        <is>
          <t>education_quality_raw</t>
        </is>
      </c>
      <c r="F4167" t="inlineStr">
        <is>
          <t>Education quality raw</t>
        </is>
      </c>
      <c r="G4167" t="inlineStr">
        <is>
          <t>capability</t>
        </is>
      </c>
      <c r="H4167" t="inlineStr">
        <is>
          <t>yes</t>
        </is>
      </c>
      <c r="I4167" t="inlineStr"/>
      <c r="J4167" t="inlineStr"/>
      <c r="K4167" t="inlineStr"/>
      <c r="L4167" t="inlineStr"/>
      <c r="M4167" t="inlineStr"/>
      <c r="N4167" t="inlineStr"/>
    </row>
    <row r="4168">
      <c r="A4168" t="inlineStr">
        <is>
          <t>py-asuncion</t>
        </is>
      </c>
      <c r="B4168" t="inlineStr">
        <is>
          <t>Asuncion</t>
        </is>
      </c>
      <c r="C4168" t="inlineStr">
        <is>
          <t>Paraguay</t>
        </is>
      </c>
      <c r="D4168" t="inlineStr">
        <is>
          <t>Latin America</t>
        </is>
      </c>
      <c r="E4168" t="inlineStr">
        <is>
          <t>equal_opportunity_raw</t>
        </is>
      </c>
      <c r="F4168" t="inlineStr">
        <is>
          <t>Equal opportunity raw</t>
        </is>
      </c>
      <c r="G4168" t="inlineStr">
        <is>
          <t>capability</t>
        </is>
      </c>
      <c r="H4168" t="inlineStr">
        <is>
          <t>yes</t>
        </is>
      </c>
      <c r="I4168" t="inlineStr">
        <is>
          <t>44.2</t>
        </is>
      </c>
      <c r="J4168" t="inlineStr">
        <is>
          <t>world_bank</t>
        </is>
      </c>
      <c r="K4168" t="inlineStr">
        <is>
          <t>https://api.worldbank.org/v2/country/PRY/indicator/SI.POV.GINI?format=json&amp;mrv=10</t>
        </is>
      </c>
      <c r="L4168" t="inlineStr">
        <is>
          <t>World Bank WDI: Gini index</t>
        </is>
      </c>
      <c r="M4168" t="inlineStr">
        <is>
          <t>2024-12-31</t>
        </is>
      </c>
      <c r="N4168" t="inlineStr">
        <is>
          <t>auto_ingest=world_bank_capability; indicator=SI.POV.GINI; year=2024; country_proxy=Paraguay</t>
        </is>
      </c>
    </row>
    <row r="4169">
      <c r="A4169" t="inlineStr">
        <is>
          <t>py-asuncion</t>
        </is>
      </c>
      <c r="B4169" t="inlineStr">
        <is>
          <t>Asuncion</t>
        </is>
      </c>
      <c r="C4169" t="inlineStr">
        <is>
          <t>Paraguay</t>
        </is>
      </c>
      <c r="D4169" t="inlineStr">
        <is>
          <t>Latin America</t>
        </is>
      </c>
      <c r="E4169" t="inlineStr">
        <is>
          <t>hospitality_belonging_raw</t>
        </is>
      </c>
      <c r="F4169" t="inlineStr">
        <is>
          <t>Hospitality and belonging raw</t>
        </is>
      </c>
      <c r="G4169" t="inlineStr">
        <is>
          <t>community</t>
        </is>
      </c>
      <c r="H4169" t="inlineStr">
        <is>
          <t>yes</t>
        </is>
      </c>
      <c r="I4169" t="inlineStr"/>
      <c r="J4169" t="inlineStr"/>
      <c r="K4169" t="inlineStr"/>
      <c r="L4169" t="inlineStr"/>
      <c r="M4169" t="inlineStr"/>
      <c r="N4169" t="inlineStr"/>
    </row>
    <row r="4170">
      <c r="A4170" t="inlineStr">
        <is>
          <t>py-asuncion</t>
        </is>
      </c>
      <c r="B4170" t="inlineStr">
        <is>
          <t>Asuncion</t>
        </is>
      </c>
      <c r="C4170" t="inlineStr">
        <is>
          <t>Paraguay</t>
        </is>
      </c>
      <c r="D4170" t="inlineStr">
        <is>
          <t>Latin America</t>
        </is>
      </c>
      <c r="E4170" t="inlineStr">
        <is>
          <t>tolerance_pluralism_raw</t>
        </is>
      </c>
      <c r="F4170" t="inlineStr">
        <is>
          <t>Tolerance and pluralism raw</t>
        </is>
      </c>
      <c r="G4170" t="inlineStr">
        <is>
          <t>community</t>
        </is>
      </c>
      <c r="H4170" t="inlineStr">
        <is>
          <t>yes</t>
        </is>
      </c>
      <c r="I4170" t="inlineStr"/>
      <c r="J4170" t="inlineStr"/>
      <c r="K4170" t="inlineStr"/>
      <c r="L4170" t="inlineStr"/>
      <c r="M4170" t="inlineStr"/>
      <c r="N4170" t="inlineStr"/>
    </row>
    <row r="4171">
      <c r="A4171" t="inlineStr">
        <is>
          <t>py-asuncion</t>
        </is>
      </c>
      <c r="B4171" t="inlineStr">
        <is>
          <t>Asuncion</t>
        </is>
      </c>
      <c r="C4171" t="inlineStr">
        <is>
          <t>Paraguay</t>
        </is>
      </c>
      <c r="D4171" t="inlineStr">
        <is>
          <t>Latin America</t>
        </is>
      </c>
      <c r="E4171" t="inlineStr">
        <is>
          <t>cultural_public_life_raw</t>
        </is>
      </c>
      <c r="F4171" t="inlineStr">
        <is>
          <t>Cultural public life raw</t>
        </is>
      </c>
      <c r="G4171" t="inlineStr">
        <is>
          <t>community</t>
        </is>
      </c>
      <c r="H4171" t="inlineStr">
        <is>
          <t>yes</t>
        </is>
      </c>
      <c r="I4171" t="inlineStr"/>
      <c r="J4171" t="inlineStr"/>
      <c r="K4171" t="inlineStr"/>
      <c r="L4171" t="inlineStr"/>
      <c r="M4171" t="inlineStr"/>
      <c r="N4171" t="inlineStr"/>
    </row>
    <row r="4172">
      <c r="A4172" t="inlineStr">
        <is>
          <t>py-asuncion</t>
        </is>
      </c>
      <c r="B4172" t="inlineStr">
        <is>
          <t>Asuncion</t>
        </is>
      </c>
      <c r="C4172" t="inlineStr">
        <is>
          <t>Paraguay</t>
        </is>
      </c>
      <c r="D4172" t="inlineStr">
        <is>
          <t>Latin America</t>
        </is>
      </c>
      <c r="E4172" t="inlineStr">
        <is>
          <t>birth_rate_optimism_raw</t>
        </is>
      </c>
      <c r="F4172" t="inlineStr">
        <is>
          <t>Birth rate and societal optimism raw</t>
        </is>
      </c>
      <c r="G4172" t="inlineStr">
        <is>
          <t>community</t>
        </is>
      </c>
      <c r="H4172" t="inlineStr">
        <is>
          <t>yes</t>
        </is>
      </c>
      <c r="I4172" t="inlineStr"/>
      <c r="J4172" t="inlineStr"/>
      <c r="K4172" t="inlineStr"/>
      <c r="L4172" t="inlineStr"/>
      <c r="M4172" t="inlineStr"/>
      <c r="N4172" t="inlineStr"/>
    </row>
    <row r="4173">
      <c r="A4173" t="inlineStr">
        <is>
          <t>py-asuncion</t>
        </is>
      </c>
      <c r="B4173" t="inlineStr">
        <is>
          <t>Asuncion</t>
        </is>
      </c>
      <c r="C4173" t="inlineStr">
        <is>
          <t>Paraguay</t>
        </is>
      </c>
      <c r="D4173" t="inlineStr">
        <is>
          <t>Latin America</t>
        </is>
      </c>
      <c r="E4173" t="inlineStr">
        <is>
          <t>entrepreneurial_dynamism_raw</t>
        </is>
      </c>
      <c r="F4173" t="inlineStr">
        <is>
          <t>Entrepreneurial dynamism raw</t>
        </is>
      </c>
      <c r="G4173" t="inlineStr">
        <is>
          <t>creative</t>
        </is>
      </c>
      <c r="H4173" t="inlineStr">
        <is>
          <t>yes</t>
        </is>
      </c>
      <c r="I4173" t="inlineStr">
        <is>
          <t>0.7</t>
        </is>
      </c>
      <c r="J4173" t="inlineStr">
        <is>
          <t>world_bank</t>
        </is>
      </c>
      <c r="K4173" t="inlineStr">
        <is>
          <t>https://api.worldbank.org/v2/country/PRY/indicator/IC.BUS.NDNS.ZS?format=json&amp;mrv=10</t>
        </is>
      </c>
      <c r="L4173" t="inlineStr">
        <is>
          <t>World Bank WDI: New business density (new registrations per 1,000 people ages 15-64)</t>
        </is>
      </c>
      <c r="M4173" t="inlineStr">
        <is>
          <t>2022-12-31</t>
        </is>
      </c>
      <c r="N4173" t="inlineStr">
        <is>
          <t>auto_ingest=world_bank_creative_extended; indicator=IC.BUS.NDNS.ZS; year=2022; country_proxy=Paraguay</t>
        </is>
      </c>
    </row>
    <row r="4174">
      <c r="A4174" t="inlineStr">
        <is>
          <t>py-asuncion</t>
        </is>
      </c>
      <c r="B4174" t="inlineStr">
        <is>
          <t>Asuncion</t>
        </is>
      </c>
      <c r="C4174" t="inlineStr">
        <is>
          <t>Paraguay</t>
        </is>
      </c>
      <c r="D4174" t="inlineStr">
        <is>
          <t>Latin America</t>
        </is>
      </c>
      <c r="E4174" t="inlineStr">
        <is>
          <t>innovation_research_intensity_raw</t>
        </is>
      </c>
      <c r="F4174" t="inlineStr">
        <is>
          <t>Innovation and research raw</t>
        </is>
      </c>
      <c r="G4174" t="inlineStr">
        <is>
          <t>creative</t>
        </is>
      </c>
      <c r="H4174" t="inlineStr">
        <is>
          <t>yes</t>
        </is>
      </c>
      <c r="I4174" t="inlineStr">
        <is>
          <t>0.12</t>
        </is>
      </c>
      <c r="J4174" t="inlineStr">
        <is>
          <t>world_bank</t>
        </is>
      </c>
      <c r="K4174" t="inlineStr">
        <is>
          <t>https://api.worldbank.org/v2/country/PRY/indicator/GB.XPD.RSDV.GD.ZS?format=json&amp;mrv=10</t>
        </is>
      </c>
      <c r="L4174" t="inlineStr">
        <is>
          <t>World Bank WDI: Research and development expenditure (% of GDP)</t>
        </is>
      </c>
      <c r="M4174" t="inlineStr">
        <is>
          <t>2022-12-31</t>
        </is>
      </c>
      <c r="N4174" t="inlineStr">
        <is>
          <t>auto_ingest=world_bank_creative_extended; indicator=GB.XPD.RSDV.GD.ZS; year=2022; country_proxy=Paraguay</t>
        </is>
      </c>
    </row>
    <row r="4175">
      <c r="A4175" t="inlineStr">
        <is>
          <t>py-asuncion</t>
        </is>
      </c>
      <c r="B4175" t="inlineStr">
        <is>
          <t>Asuncion</t>
        </is>
      </c>
      <c r="C4175" t="inlineStr">
        <is>
          <t>Paraguay</t>
        </is>
      </c>
      <c r="D4175" t="inlineStr">
        <is>
          <t>Latin America</t>
        </is>
      </c>
      <c r="E4175" t="inlineStr">
        <is>
          <t>investment_signal_raw</t>
        </is>
      </c>
      <c r="F4175" t="inlineStr">
        <is>
          <t>Investment signal raw</t>
        </is>
      </c>
      <c r="G4175" t="inlineStr">
        <is>
          <t>creative</t>
        </is>
      </c>
      <c r="H4175" t="inlineStr">
        <is>
          <t>yes</t>
        </is>
      </c>
      <c r="I4175" t="inlineStr">
        <is>
          <t>2.47</t>
        </is>
      </c>
      <c r="J4175" t="inlineStr">
        <is>
          <t>world_bank</t>
        </is>
      </c>
      <c r="K4175" t="inlineStr">
        <is>
          <t>https://api.worldbank.org/v2/country/PRY/indicator/BX.KLT.DINV.WD.GD.ZS?format=json&amp;mrv=10</t>
        </is>
      </c>
      <c r="L4175" t="inlineStr">
        <is>
          <t>World Bank WDI: Foreign direct investment, net inflows (% of GDP)</t>
        </is>
      </c>
      <c r="M4175" t="inlineStr">
        <is>
          <t>2024-12-31</t>
        </is>
      </c>
      <c r="N4175" t="inlineStr">
        <is>
          <t>auto_ingest=world_bank_creative_extended; indicator=BX.KLT.DINV.WD.GD.ZS; year=2024; country_proxy=Paraguay</t>
        </is>
      </c>
    </row>
    <row r="4176">
      <c r="A4176" t="inlineStr">
        <is>
          <t>py-asuncion</t>
        </is>
      </c>
      <c r="B4176" t="inlineStr">
        <is>
          <t>Asuncion</t>
        </is>
      </c>
      <c r="C4176" t="inlineStr">
        <is>
          <t>Paraguay</t>
        </is>
      </c>
      <c r="D4176" t="inlineStr">
        <is>
          <t>Latin America</t>
        </is>
      </c>
      <c r="E4176" t="inlineStr">
        <is>
          <t>administrative_investment_friction_raw</t>
        </is>
      </c>
      <c r="F4176" t="inlineStr">
        <is>
          <t>Administrative investment friction raw</t>
        </is>
      </c>
      <c r="G4176" t="inlineStr">
        <is>
          <t>creative</t>
        </is>
      </c>
      <c r="H4176" t="inlineStr">
        <is>
          <t>yes</t>
        </is>
      </c>
      <c r="I4176" t="inlineStr">
        <is>
          <t>2.58</t>
        </is>
      </c>
      <c r="J4176" t="inlineStr">
        <is>
          <t>world_bank</t>
        </is>
      </c>
      <c r="K4176" t="inlineStr">
        <is>
          <t>https://api.worldbank.org/v2/country/PRY/indicator/RQ.EST?format=json&amp;mrv=10</t>
        </is>
      </c>
      <c r="L4176" t="inlineStr">
        <is>
          <t>World Bank WGI: Regulatory Quality (inverted as friction proxy)</t>
        </is>
      </c>
      <c r="M4176" t="inlineStr">
        <is>
          <t>2023-12-31</t>
        </is>
      </c>
      <c r="N4176" t="inlineStr">
        <is>
          <t>auto_ingest=world_bank_business_friction; indicator=RQ.EST; raw_rq=-0.0789393484592438; friction=2.58; year=2023; country_proxy=Paraguay</t>
        </is>
      </c>
    </row>
    <row r="4177">
      <c r="A4177" t="inlineStr">
        <is>
          <t>py-asuncion</t>
        </is>
      </c>
      <c r="B4177" t="inlineStr">
        <is>
          <t>Asuncion</t>
        </is>
      </c>
      <c r="C4177" t="inlineStr">
        <is>
          <t>Paraguay</t>
        </is>
      </c>
      <c r="D4177" t="inlineStr">
        <is>
          <t>Latin America</t>
        </is>
      </c>
      <c r="E4177" t="inlineStr">
        <is>
          <t>visitor_flow_context_raw</t>
        </is>
      </c>
      <c r="F4177" t="inlineStr">
        <is>
          <t>Visitor flow context raw</t>
        </is>
      </c>
      <c r="G4177" t="inlineStr">
        <is>
          <t>creative</t>
        </is>
      </c>
      <c r="H4177" t="inlineStr">
        <is>
          <t>no</t>
        </is>
      </c>
      <c r="I4177" t="inlineStr"/>
      <c r="J4177" t="inlineStr"/>
      <c r="K4177" t="inlineStr"/>
      <c r="L4177" t="inlineStr"/>
      <c r="M4177" t="inlineStr"/>
      <c r="N4177" t="inlineStr"/>
    </row>
    <row r="4178">
      <c r="A4178" t="inlineStr">
        <is>
          <t>il-haifa</t>
        </is>
      </c>
      <c r="B4178" t="inlineStr">
        <is>
          <t>Haifa</t>
        </is>
      </c>
      <c r="C4178" t="inlineStr">
        <is>
          <t>Israel</t>
        </is>
      </c>
      <c r="D4178" t="inlineStr">
        <is>
          <t>Middle East</t>
        </is>
      </c>
      <c r="E4178" t="inlineStr">
        <is>
          <t>gross_income</t>
        </is>
      </c>
      <c r="F4178" t="inlineStr">
        <is>
          <t>Gross income</t>
        </is>
      </c>
      <c r="G4178" t="inlineStr">
        <is>
          <t>pressure</t>
        </is>
      </c>
      <c r="H4178" t="inlineStr">
        <is>
          <t>yes</t>
        </is>
      </c>
      <c r="I4178" t="inlineStr">
        <is>
          <t>4732.5</t>
        </is>
      </c>
      <c r="J4178" t="inlineStr">
        <is>
          <t>world_bank_col_estimate</t>
        </is>
      </c>
      <c r="K4178" t="inlineStr">
        <is>
          <t>https://api.worldbank.org/v2/country/ISR/indicator/NY.GNP.PCAP.PP.CD?format=json&amp;mrv=10</t>
        </is>
      </c>
      <c r="L4178" t="inlineStr">
        <is>
          <t>World Bank WDI: GNI per capita PPP (monthly USD)</t>
        </is>
      </c>
      <c r="M4178" t="inlineStr">
        <is>
          <t>2024-12-31</t>
        </is>
      </c>
      <c r="N4178" t="inlineStr">
        <is>
          <t>auto_ingest=world_bank_col_estimate; gni_annual=56790.0; year=2024; country_proxy=Israel; cohort=Middle East</t>
        </is>
      </c>
    </row>
    <row r="4179">
      <c r="A4179" t="inlineStr">
        <is>
          <t>il-haifa</t>
        </is>
      </c>
      <c r="B4179" t="inlineStr">
        <is>
          <t>Haifa</t>
        </is>
      </c>
      <c r="C4179" t="inlineStr">
        <is>
          <t>Israel</t>
        </is>
      </c>
      <c r="D4179" t="inlineStr">
        <is>
          <t>Middle East</t>
        </is>
      </c>
      <c r="E4179" t="inlineStr">
        <is>
          <t>di_ppp_raw</t>
        </is>
      </c>
      <c r="F4179" t="inlineStr">
        <is>
          <t>Disposable income PPP (Raw)</t>
        </is>
      </c>
      <c r="G4179" t="inlineStr">
        <is>
          <t>pressure</t>
        </is>
      </c>
      <c r="H4179" t="inlineStr">
        <is>
          <t>yes</t>
        </is>
      </c>
      <c r="I4179" t="inlineStr"/>
      <c r="J4179" t="inlineStr"/>
      <c r="K4179" t="inlineStr"/>
      <c r="L4179" t="inlineStr"/>
      <c r="M4179" t="inlineStr"/>
      <c r="N4179" t="inlineStr"/>
    </row>
    <row r="4180">
      <c r="A4180" t="inlineStr">
        <is>
          <t>il-haifa</t>
        </is>
      </c>
      <c r="B4180" t="inlineStr">
        <is>
          <t>Haifa</t>
        </is>
      </c>
      <c r="C4180" t="inlineStr">
        <is>
          <t>Israel</t>
        </is>
      </c>
      <c r="D4180" t="inlineStr">
        <is>
          <t>Middle East</t>
        </is>
      </c>
      <c r="E4180" t="inlineStr">
        <is>
          <t>rent</t>
        </is>
      </c>
      <c r="F4180" t="inlineStr">
        <is>
          <t>Rent</t>
        </is>
      </c>
      <c r="G4180" t="inlineStr">
        <is>
          <t>pressure</t>
        </is>
      </c>
      <c r="H4180" t="inlineStr">
        <is>
          <t>yes</t>
        </is>
      </c>
      <c r="I4180" t="inlineStr">
        <is>
          <t>1064.81</t>
        </is>
      </c>
      <c r="J4180" t="inlineStr">
        <is>
          <t>world_bank_col_estimate</t>
        </is>
      </c>
      <c r="K4180" t="inlineStr">
        <is>
          <t>https://api.worldbank.org/v2/country/ISR/indicator/NY.GNP.PCAP.PP.CD?format=json&amp;mrv=10</t>
        </is>
      </c>
      <c r="L4180" t="inlineStr">
        <is>
          <t>World Bank GNI + regional expenditure ratio estimate</t>
        </is>
      </c>
      <c r="M4180" t="inlineStr">
        <is>
          <t>2024-12-31</t>
        </is>
      </c>
      <c r="N4180" t="inlineStr">
        <is>
          <t>auto_ingest=world_bank_col_estimate; gni_annual=56790.0; year=2024; country_proxy=Israel; cohort=Middle East; city_cost_mult=0.9</t>
        </is>
      </c>
    </row>
    <row r="4181">
      <c r="A4181" t="inlineStr">
        <is>
          <t>il-haifa</t>
        </is>
      </c>
      <c r="B4181" t="inlineStr">
        <is>
          <t>Haifa</t>
        </is>
      </c>
      <c r="C4181" t="inlineStr">
        <is>
          <t>Israel</t>
        </is>
      </c>
      <c r="D4181" t="inlineStr">
        <is>
          <t>Middle East</t>
        </is>
      </c>
      <c r="E4181" t="inlineStr">
        <is>
          <t>utilities</t>
        </is>
      </c>
      <c r="F4181" t="inlineStr">
        <is>
          <t>Utilities</t>
        </is>
      </c>
      <c r="G4181" t="inlineStr">
        <is>
          <t>pressure</t>
        </is>
      </c>
      <c r="H4181" t="inlineStr">
        <is>
          <t>yes</t>
        </is>
      </c>
      <c r="I4181" t="inlineStr">
        <is>
          <t>212.96</t>
        </is>
      </c>
      <c r="J4181" t="inlineStr">
        <is>
          <t>world_bank_col_estimate</t>
        </is>
      </c>
      <c r="K4181" t="inlineStr">
        <is>
          <t>https://api.worldbank.org/v2/country/ISR/indicator/NY.GNP.PCAP.PP.CD?format=json&amp;mrv=10</t>
        </is>
      </c>
      <c r="L4181" t="inlineStr">
        <is>
          <t>World Bank GNI + regional expenditure ratio estimate</t>
        </is>
      </c>
      <c r="M4181" t="inlineStr">
        <is>
          <t>2024-12-31</t>
        </is>
      </c>
      <c r="N4181" t="inlineStr">
        <is>
          <t>auto_ingest=world_bank_col_estimate; gni_annual=56790.0; year=2024; country_proxy=Israel; cohort=Middle East; city_cost_mult=0.9</t>
        </is>
      </c>
    </row>
    <row r="4182">
      <c r="A4182" t="inlineStr">
        <is>
          <t>il-haifa</t>
        </is>
      </c>
      <c r="B4182" t="inlineStr">
        <is>
          <t>Haifa</t>
        </is>
      </c>
      <c r="C4182" t="inlineStr">
        <is>
          <t>Israel</t>
        </is>
      </c>
      <c r="D4182" t="inlineStr">
        <is>
          <t>Middle East</t>
        </is>
      </c>
      <c r="E4182" t="inlineStr">
        <is>
          <t>transit_cost</t>
        </is>
      </c>
      <c r="F4182" t="inlineStr">
        <is>
          <t>Transit cost</t>
        </is>
      </c>
      <c r="G4182" t="inlineStr">
        <is>
          <t>pressure</t>
        </is>
      </c>
      <c r="H4182" t="inlineStr">
        <is>
          <t>yes</t>
        </is>
      </c>
      <c r="I4182" t="inlineStr">
        <is>
          <t>170.37</t>
        </is>
      </c>
      <c r="J4182" t="inlineStr">
        <is>
          <t>world_bank_col_estimate</t>
        </is>
      </c>
      <c r="K4182" t="inlineStr">
        <is>
          <t>https://api.worldbank.org/v2/country/ISR/indicator/NY.GNP.PCAP.PP.CD?format=json&amp;mrv=10</t>
        </is>
      </c>
      <c r="L4182" t="inlineStr">
        <is>
          <t>World Bank GNI + regional expenditure ratio estimate</t>
        </is>
      </c>
      <c r="M4182" t="inlineStr">
        <is>
          <t>2024-12-31</t>
        </is>
      </c>
      <c r="N4182" t="inlineStr">
        <is>
          <t>auto_ingest=world_bank_col_estimate; gni_annual=56790.0; year=2024; country_proxy=Israel; cohort=Middle East; city_cost_mult=0.9</t>
        </is>
      </c>
    </row>
    <row r="4183">
      <c r="A4183" t="inlineStr">
        <is>
          <t>il-haifa</t>
        </is>
      </c>
      <c r="B4183" t="inlineStr">
        <is>
          <t>Haifa</t>
        </is>
      </c>
      <c r="C4183" t="inlineStr">
        <is>
          <t>Israel</t>
        </is>
      </c>
      <c r="D4183" t="inlineStr">
        <is>
          <t>Middle East</t>
        </is>
      </c>
      <c r="E4183" t="inlineStr">
        <is>
          <t>internet_cost</t>
        </is>
      </c>
      <c r="F4183" t="inlineStr">
        <is>
          <t>Internet cost</t>
        </is>
      </c>
      <c r="G4183" t="inlineStr">
        <is>
          <t>pressure</t>
        </is>
      </c>
      <c r="H4183" t="inlineStr">
        <is>
          <t>yes</t>
        </is>
      </c>
      <c r="I4183" t="inlineStr">
        <is>
          <t>63.89</t>
        </is>
      </c>
      <c r="J4183" t="inlineStr">
        <is>
          <t>world_bank_col_estimate</t>
        </is>
      </c>
      <c r="K4183" t="inlineStr">
        <is>
          <t>https://api.worldbank.org/v2/country/ISR/indicator/NY.GNP.PCAP.PP.CD?format=json&amp;mrv=10</t>
        </is>
      </c>
      <c r="L4183" t="inlineStr">
        <is>
          <t>World Bank GNI + regional expenditure ratio estimate</t>
        </is>
      </c>
      <c r="M4183" t="inlineStr">
        <is>
          <t>2024-12-31</t>
        </is>
      </c>
      <c r="N4183" t="inlineStr">
        <is>
          <t>auto_ingest=world_bank_col_estimate; gni_annual=56790.0; year=2024; country_proxy=Israel; cohort=Middle East; city_cost_mult=0.9</t>
        </is>
      </c>
    </row>
    <row r="4184">
      <c r="A4184" t="inlineStr">
        <is>
          <t>il-haifa</t>
        </is>
      </c>
      <c r="B4184" t="inlineStr">
        <is>
          <t>Haifa</t>
        </is>
      </c>
      <c r="C4184" t="inlineStr">
        <is>
          <t>Israel</t>
        </is>
      </c>
      <c r="D4184" t="inlineStr">
        <is>
          <t>Middle East</t>
        </is>
      </c>
      <c r="E4184" t="inlineStr">
        <is>
          <t>food_cost</t>
        </is>
      </c>
      <c r="F4184" t="inlineStr">
        <is>
          <t>Food cost</t>
        </is>
      </c>
      <c r="G4184" t="inlineStr">
        <is>
          <t>pressure</t>
        </is>
      </c>
      <c r="H4184" t="inlineStr">
        <is>
          <t>yes</t>
        </is>
      </c>
      <c r="I4184" t="inlineStr">
        <is>
          <t>766.67</t>
        </is>
      </c>
      <c r="J4184" t="inlineStr">
        <is>
          <t>world_bank_col_estimate</t>
        </is>
      </c>
      <c r="K4184" t="inlineStr">
        <is>
          <t>https://api.worldbank.org/v2/country/ISR/indicator/NY.GNP.PCAP.PP.CD?format=json&amp;mrv=10</t>
        </is>
      </c>
      <c r="L4184" t="inlineStr">
        <is>
          <t>World Bank GNI + regional expenditure ratio estimate</t>
        </is>
      </c>
      <c r="M4184" t="inlineStr">
        <is>
          <t>2024-12-31</t>
        </is>
      </c>
      <c r="N4184" t="inlineStr">
        <is>
          <t>auto_ingest=world_bank_col_estimate; gni_annual=56790.0; year=2024; country_proxy=Israel; cohort=Middle East; city_cost_mult=0.9</t>
        </is>
      </c>
    </row>
    <row r="4185">
      <c r="A4185" t="inlineStr">
        <is>
          <t>il-haifa</t>
        </is>
      </c>
      <c r="B4185" t="inlineStr">
        <is>
          <t>Haifa</t>
        </is>
      </c>
      <c r="C4185" t="inlineStr">
        <is>
          <t>Israel</t>
        </is>
      </c>
      <c r="D4185" t="inlineStr">
        <is>
          <t>Middle East</t>
        </is>
      </c>
      <c r="E4185" t="inlineStr">
        <is>
          <t>housing_burden_raw</t>
        </is>
      </c>
      <c r="F4185" t="inlineStr">
        <is>
          <t>Housing burden raw</t>
        </is>
      </c>
      <c r="G4185" t="inlineStr">
        <is>
          <t>pressure</t>
        </is>
      </c>
      <c r="H4185" t="inlineStr">
        <is>
          <t>yes</t>
        </is>
      </c>
      <c r="I4185" t="inlineStr">
        <is>
          <t>22.4999</t>
        </is>
      </c>
      <c r="J4185" t="inlineStr">
        <is>
          <t>derived</t>
        </is>
      </c>
      <c r="K4185" t="inlineStr">
        <is>
          <t>https://data.worldbank.org/indicator/NY.GNP.PCAP.PP.CD</t>
        </is>
      </c>
      <c r="L4185" t="inlineStr">
        <is>
          <t>Computed from city_inputs + country_context</t>
        </is>
      </c>
      <c r="M4185" t="inlineStr">
        <is>
          <t>2024-01-01</t>
        </is>
      </c>
      <c r="N4185" t="inlineStr">
        <is>
          <t>derived=rent/gross_income*100</t>
        </is>
      </c>
    </row>
    <row r="4186">
      <c r="A4186" t="inlineStr">
        <is>
          <t>il-haifa</t>
        </is>
      </c>
      <c r="B4186" t="inlineStr">
        <is>
          <t>Haifa</t>
        </is>
      </c>
      <c r="C4186" t="inlineStr">
        <is>
          <t>Israel</t>
        </is>
      </c>
      <c r="D4186" t="inlineStr">
        <is>
          <t>Middle East</t>
        </is>
      </c>
      <c r="E4186" t="inlineStr">
        <is>
          <t>household_debt_burden_raw</t>
        </is>
      </c>
      <c r="F4186" t="inlineStr">
        <is>
          <t>Household debt burden raw</t>
        </is>
      </c>
      <c r="G4186" t="inlineStr">
        <is>
          <t>pressure</t>
        </is>
      </c>
      <c r="H4186" t="inlineStr">
        <is>
          <t>yes</t>
        </is>
      </c>
      <c r="I4186" t="inlineStr">
        <is>
          <t>69.7497</t>
        </is>
      </c>
      <c r="J4186" t="inlineStr">
        <is>
          <t>derived</t>
        </is>
      </c>
      <c r="K4186" t="inlineStr">
        <is>
          <t>https://data.worldbank.org/indicator/NY.GNP.PCAP.PP.CD</t>
        </is>
      </c>
      <c r="L4186" t="inlineStr">
        <is>
          <t>Computed from city_inputs + country_context</t>
        </is>
      </c>
      <c r="M4186" t="inlineStr">
        <is>
          <t>2024-01-01</t>
        </is>
      </c>
      <c r="N4186" t="inlineStr">
        <is>
          <t>derived=country_context.household_debt_proxy; country=Israel</t>
        </is>
      </c>
    </row>
    <row r="4187">
      <c r="A4187" t="inlineStr">
        <is>
          <t>il-haifa</t>
        </is>
      </c>
      <c r="B4187" t="inlineStr">
        <is>
          <t>Haifa</t>
        </is>
      </c>
      <c r="C4187" t="inlineStr">
        <is>
          <t>Israel</t>
        </is>
      </c>
      <c r="D4187" t="inlineStr">
        <is>
          <t>Middle East</t>
        </is>
      </c>
      <c r="E4187" t="inlineStr">
        <is>
          <t>working_time_pressure_raw</t>
        </is>
      </c>
      <c r="F4187" t="inlineStr">
        <is>
          <t>Working time pressure raw</t>
        </is>
      </c>
      <c r="G4187" t="inlineStr">
        <is>
          <t>pressure</t>
        </is>
      </c>
      <c r="H4187" t="inlineStr">
        <is>
          <t>yes</t>
        </is>
      </c>
      <c r="I4187" t="inlineStr">
        <is>
          <t>37.74</t>
        </is>
      </c>
      <c r="J4187" t="inlineStr">
        <is>
          <t>ilo_ilostat</t>
        </is>
      </c>
      <c r="K4187" t="inlineStr">
        <is>
          <t>https://ilostat.ilo.org/data/indicator/?id=HOW_TEMP_SEX_ECO_NB_A&amp;ref_area=ISR</t>
        </is>
      </c>
      <c r="L4187" t="inlineStr">
        <is>
          <t>ILO ILOSTAT: Mean weekly hours actually worked per employed person</t>
        </is>
      </c>
      <c r="M4187" t="inlineStr">
        <is>
          <t>2024-12-31</t>
        </is>
      </c>
      <c r="N4187" t="inlineStr">
        <is>
          <t>auto_ingest=ilo_working_hours; indicator=HOW_TEMP_SEX_ECO_NB_A; year=2024; hours=37.74; country_proxy=Israel</t>
        </is>
      </c>
    </row>
    <row r="4188">
      <c r="A4188" t="inlineStr">
        <is>
          <t>il-haifa</t>
        </is>
      </c>
      <c r="B4188" t="inlineStr">
        <is>
          <t>Haifa</t>
        </is>
      </c>
      <c r="C4188" t="inlineStr">
        <is>
          <t>Israel</t>
        </is>
      </c>
      <c r="D4188" t="inlineStr">
        <is>
          <t>Middle East</t>
        </is>
      </c>
      <c r="E4188" t="inlineStr">
        <is>
          <t>suicide_mental_strain_raw</t>
        </is>
      </c>
      <c r="F4188" t="inlineStr">
        <is>
          <t>Suicide or mental strain raw</t>
        </is>
      </c>
      <c r="G4188" t="inlineStr">
        <is>
          <t>pressure</t>
        </is>
      </c>
      <c r="H4188" t="inlineStr">
        <is>
          <t>yes</t>
        </is>
      </c>
      <c r="I4188" t="inlineStr">
        <is>
          <t>4.37</t>
        </is>
      </c>
      <c r="J4188" t="inlineStr">
        <is>
          <t>who_gho</t>
        </is>
      </c>
      <c r="K4188" t="inlineStr">
        <is>
          <t>https://www.who.int/data/gho/data/indicators/indicator-details/GHO/SDGSUICIDE</t>
        </is>
      </c>
      <c r="L4188" t="inlineStr">
        <is>
          <t>WHO GHO: Age-standardized suicide rate (per 100,000 population)</t>
        </is>
      </c>
      <c r="M4188" t="inlineStr">
        <is>
          <t>2021-12-31</t>
        </is>
      </c>
      <c r="N4188" t="inlineStr">
        <is>
          <t>auto_ingest=who_gho; indicator=SDGSUICIDE; year=2021; country_proxy=Israel</t>
        </is>
      </c>
    </row>
    <row r="4189">
      <c r="A4189" t="inlineStr">
        <is>
          <t>il-haifa</t>
        </is>
      </c>
      <c r="B4189" t="inlineStr">
        <is>
          <t>Haifa</t>
        </is>
      </c>
      <c r="C4189" t="inlineStr">
        <is>
          <t>Israel</t>
        </is>
      </c>
      <c r="D4189" t="inlineStr">
        <is>
          <t>Middle East and North Africa</t>
        </is>
      </c>
      <c r="E4189" t="inlineStr">
        <is>
          <t>personal_safety_raw</t>
        </is>
      </c>
      <c r="F4189" t="inlineStr">
        <is>
          <t>Personal safety raw</t>
        </is>
      </c>
      <c r="G4189" t="inlineStr">
        <is>
          <t>viability</t>
        </is>
      </c>
      <c r="H4189" t="inlineStr">
        <is>
          <t>yes</t>
        </is>
      </c>
      <c r="I4189" t="inlineStr">
        <is>
          <t>1.63</t>
        </is>
      </c>
      <c r="J4189" t="inlineStr">
        <is>
          <t>world_bank</t>
        </is>
      </c>
      <c r="K4189" t="inlineStr">
        <is>
          <t>https://api.worldbank.org/v2/country/ISR/indicator/VC.IHR.PSRC.P5?format=json&amp;mrv=10</t>
        </is>
      </c>
      <c r="L4189" t="inlineStr">
        <is>
          <t>UNODC via World Bank WDI: Intentional homicides (per 100,000 people)</t>
        </is>
      </c>
      <c r="M4189" t="inlineStr">
        <is>
          <t>2022-12-31</t>
        </is>
      </c>
      <c r="N4189" t="inlineStr">
        <is>
          <t>auto_ingest=unodc_safety; indicator=VC.IHR.PSRC.P5; year=2022; country_proxy=Israel</t>
        </is>
      </c>
    </row>
    <row r="4190">
      <c r="A4190" t="inlineStr">
        <is>
          <t>il-haifa</t>
        </is>
      </c>
      <c r="B4190" t="inlineStr">
        <is>
          <t>Haifa</t>
        </is>
      </c>
      <c r="C4190" t="inlineStr">
        <is>
          <t>Israel</t>
        </is>
      </c>
      <c r="D4190" t="inlineStr">
        <is>
          <t>Middle East</t>
        </is>
      </c>
      <c r="E4190" t="inlineStr">
        <is>
          <t>transit_access_commute_raw</t>
        </is>
      </c>
      <c r="F4190" t="inlineStr">
        <is>
          <t>Transit access and commute raw</t>
        </is>
      </c>
      <c r="G4190" t="inlineStr">
        <is>
          <t>viability</t>
        </is>
      </c>
      <c r="H4190" t="inlineStr">
        <is>
          <t>yes</t>
        </is>
      </c>
      <c r="I4190" t="inlineStr"/>
      <c r="J4190" t="inlineStr"/>
      <c r="K4190" t="inlineStr"/>
      <c r="L4190" t="inlineStr"/>
      <c r="M4190" t="inlineStr"/>
      <c r="N4190" t="inlineStr"/>
    </row>
    <row r="4191">
      <c r="A4191" t="inlineStr">
        <is>
          <t>il-haifa</t>
        </is>
      </c>
      <c r="B4191" t="inlineStr">
        <is>
          <t>Haifa</t>
        </is>
      </c>
      <c r="C4191" t="inlineStr">
        <is>
          <t>Israel</t>
        </is>
      </c>
      <c r="D4191" t="inlineStr">
        <is>
          <t>Middle East</t>
        </is>
      </c>
      <c r="E4191" t="inlineStr">
        <is>
          <t>clean_air_raw</t>
        </is>
      </c>
      <c r="F4191" t="inlineStr">
        <is>
          <t>Clean air raw</t>
        </is>
      </c>
      <c r="G4191" t="inlineStr">
        <is>
          <t>viability</t>
        </is>
      </c>
      <c r="H4191" t="inlineStr">
        <is>
          <t>yes</t>
        </is>
      </c>
      <c r="I4191" t="inlineStr"/>
      <c r="J4191" t="inlineStr"/>
      <c r="K4191" t="inlineStr"/>
      <c r="L4191" t="inlineStr"/>
      <c r="M4191" t="inlineStr"/>
      <c r="N4191" t="inlineStr"/>
    </row>
    <row r="4192">
      <c r="A4192" t="inlineStr">
        <is>
          <t>il-haifa</t>
        </is>
      </c>
      <c r="B4192" t="inlineStr">
        <is>
          <t>Haifa</t>
        </is>
      </c>
      <c r="C4192" t="inlineStr">
        <is>
          <t>Israel</t>
        </is>
      </c>
      <c r="D4192" t="inlineStr">
        <is>
          <t>Middle East</t>
        </is>
      </c>
      <c r="E4192" t="inlineStr">
        <is>
          <t>water_sanitation_utility_raw</t>
        </is>
      </c>
      <c r="F4192" t="inlineStr">
        <is>
          <t>Water, sanitation, and utility raw</t>
        </is>
      </c>
      <c r="G4192" t="inlineStr">
        <is>
          <t>viability</t>
        </is>
      </c>
      <c r="H4192" t="inlineStr">
        <is>
          <t>yes</t>
        </is>
      </c>
      <c r="I4192" t="inlineStr">
        <is>
          <t>99.46</t>
        </is>
      </c>
      <c r="J4192" t="inlineStr">
        <is>
          <t>world_bank</t>
        </is>
      </c>
      <c r="K4192" t="inlineStr">
        <is>
          <t>https://api.worldbank.org/v2/country/ISR/indicator/SH.H2O.SMDW.ZS?format=json&amp;mrv=10</t>
        </is>
      </c>
      <c r="L4192" t="inlineStr">
        <is>
          <t>World Bank WDI: People using safely managed drinking water services (% of population)</t>
        </is>
      </c>
      <c r="M4192" t="inlineStr">
        <is>
          <t>2024-12-31</t>
        </is>
      </c>
      <c r="N4192" t="inlineStr">
        <is>
          <t>auto_ingest=world_bank_proxy; indicator=SH.H2O.SMDW.ZS; year=2024; country_proxy=Israel</t>
        </is>
      </c>
    </row>
    <row r="4193">
      <c r="A4193" t="inlineStr">
        <is>
          <t>il-haifa</t>
        </is>
      </c>
      <c r="B4193" t="inlineStr">
        <is>
          <t>Haifa</t>
        </is>
      </c>
      <c r="C4193" t="inlineStr">
        <is>
          <t>Israel</t>
        </is>
      </c>
      <c r="D4193" t="inlineStr">
        <is>
          <t>Middle East</t>
        </is>
      </c>
      <c r="E4193" t="inlineStr">
        <is>
          <t>digital_infrastructure_raw</t>
        </is>
      </c>
      <c r="F4193" t="inlineStr">
        <is>
          <t>Digital infrastructure raw</t>
        </is>
      </c>
      <c r="G4193" t="inlineStr">
        <is>
          <t>viability</t>
        </is>
      </c>
      <c r="H4193" t="inlineStr">
        <is>
          <t>yes</t>
        </is>
      </c>
      <c r="I4193" t="inlineStr">
        <is>
          <t>29.44</t>
        </is>
      </c>
      <c r="J4193" t="inlineStr">
        <is>
          <t>world_bank</t>
        </is>
      </c>
      <c r="K4193" t="inlineStr">
        <is>
          <t>https://api.worldbank.org/v2/country/ISR/indicator/IT.NET.BBND.P2?format=json&amp;mrv=10</t>
        </is>
      </c>
      <c r="L4193" t="inlineStr">
        <is>
          <t>World Bank WDI: Fixed broadband subscriptions (per 100 people)</t>
        </is>
      </c>
      <c r="M4193" t="inlineStr">
        <is>
          <t>2023-12-31</t>
        </is>
      </c>
      <c r="N4193" t="inlineStr">
        <is>
          <t>auto_ingest=world_bank_proxy; indicator=IT.NET.BBND.P2; year=2023; country_proxy=Israel</t>
        </is>
      </c>
    </row>
    <row r="4194">
      <c r="A4194" t="inlineStr">
        <is>
          <t>il-haifa</t>
        </is>
      </c>
      <c r="B4194" t="inlineStr">
        <is>
          <t>Haifa</t>
        </is>
      </c>
      <c r="C4194" t="inlineStr">
        <is>
          <t>Israel</t>
        </is>
      </c>
      <c r="D4194" t="inlineStr">
        <is>
          <t>Middle East</t>
        </is>
      </c>
      <c r="E4194" t="inlineStr">
        <is>
          <t>climate_sunlight_livability_raw</t>
        </is>
      </c>
      <c r="F4194" t="inlineStr">
        <is>
          <t>Climate and sunlight livability raw</t>
        </is>
      </c>
      <c r="G4194" t="inlineStr">
        <is>
          <t>viability</t>
        </is>
      </c>
      <c r="H4194" t="inlineStr">
        <is>
          <t>yes</t>
        </is>
      </c>
      <c r="I4194" t="inlineStr">
        <is>
          <t>70</t>
        </is>
      </c>
      <c r="J4194" t="inlineStr">
        <is>
          <t>wmo_natl_met</t>
        </is>
      </c>
      <c r="K4194" t="inlineStr">
        <is>
          <t>https://worldweather.wmo.int</t>
        </is>
      </c>
      <c r="L4194" t="inlineStr">
        <is>
          <t>WMO/National Met: Climate livability composite</t>
        </is>
      </c>
      <c r="M4194" t="inlineStr">
        <is>
          <t>2024-12-31</t>
        </is>
      </c>
      <c r="N4194" t="inlineStr">
        <is>
          <t>auto_seed=climate_composite; 3100 sun hrs, 21C mean, Mediterranean</t>
        </is>
      </c>
    </row>
    <row r="4195">
      <c r="A4195" t="inlineStr">
        <is>
          <t>il-haifa</t>
        </is>
      </c>
      <c r="B4195" t="inlineStr">
        <is>
          <t>Haifa</t>
        </is>
      </c>
      <c r="C4195" t="inlineStr">
        <is>
          <t>Israel</t>
        </is>
      </c>
      <c r="D4195" t="inlineStr">
        <is>
          <t>Middle East</t>
        </is>
      </c>
      <c r="E4195" t="inlineStr">
        <is>
          <t>healthcare_quality_raw</t>
        </is>
      </c>
      <c r="F4195" t="inlineStr">
        <is>
          <t>Healthcare quality raw</t>
        </is>
      </c>
      <c r="G4195" t="inlineStr">
        <is>
          <t>capability</t>
        </is>
      </c>
      <c r="H4195" t="inlineStr">
        <is>
          <t>yes</t>
        </is>
      </c>
      <c r="I4195" t="inlineStr">
        <is>
          <t>85.0</t>
        </is>
      </c>
      <c r="J4195" t="inlineStr">
        <is>
          <t>who_gho</t>
        </is>
      </c>
      <c r="K4195" t="inlineStr">
        <is>
          <t>https://www.who.int/data/gho/data/indicators/indicator-details/GHO/UHC_INDEX_REPORTED</t>
        </is>
      </c>
      <c r="L4195" t="inlineStr">
        <is>
          <t>WHO GHO: UHC Service Coverage Index</t>
        </is>
      </c>
      <c r="M4195" t="inlineStr">
        <is>
          <t>2023-12-31</t>
        </is>
      </c>
      <c r="N4195" t="inlineStr">
        <is>
          <t>auto_ingest=who_gho; indicator=UHC_INDEX_REPORTED; year=2023; country_proxy=Israel</t>
        </is>
      </c>
    </row>
    <row r="4196">
      <c r="A4196" t="inlineStr">
        <is>
          <t>il-haifa</t>
        </is>
      </c>
      <c r="B4196" t="inlineStr">
        <is>
          <t>Haifa</t>
        </is>
      </c>
      <c r="C4196" t="inlineStr">
        <is>
          <t>Israel</t>
        </is>
      </c>
      <c r="D4196" t="inlineStr">
        <is>
          <t>Middle East</t>
        </is>
      </c>
      <c r="E4196" t="inlineStr">
        <is>
          <t>education_quality_raw</t>
        </is>
      </c>
      <c r="F4196" t="inlineStr">
        <is>
          <t>Education quality raw</t>
        </is>
      </c>
      <c r="G4196" t="inlineStr">
        <is>
          <t>capability</t>
        </is>
      </c>
      <c r="H4196" t="inlineStr">
        <is>
          <t>yes</t>
        </is>
      </c>
      <c r="I4196" t="inlineStr">
        <is>
          <t>55.84</t>
        </is>
      </c>
      <c r="J4196" t="inlineStr">
        <is>
          <t>world_bank</t>
        </is>
      </c>
      <c r="K4196" t="inlineStr">
        <is>
          <t>https://api.worldbank.org/v2/country/ISR/indicator/SE.TER.ENRR?format=json&amp;mrv=10</t>
        </is>
      </c>
      <c r="L4196" t="inlineStr">
        <is>
          <t>World Bank WDI: School enrollment, tertiary (% gross)</t>
        </is>
      </c>
      <c r="M4196" t="inlineStr">
        <is>
          <t>2023-12-31</t>
        </is>
      </c>
      <c r="N4196" t="inlineStr">
        <is>
          <t>auto_ingest=world_bank_proxy; indicator=SE.TER.ENRR; year=2023; country_proxy=Israel</t>
        </is>
      </c>
    </row>
    <row r="4197">
      <c r="A4197" t="inlineStr">
        <is>
          <t>il-haifa</t>
        </is>
      </c>
      <c r="B4197" t="inlineStr">
        <is>
          <t>Haifa</t>
        </is>
      </c>
      <c r="C4197" t="inlineStr">
        <is>
          <t>Israel</t>
        </is>
      </c>
      <c r="D4197" t="inlineStr">
        <is>
          <t>Middle East</t>
        </is>
      </c>
      <c r="E4197" t="inlineStr">
        <is>
          <t>equal_opportunity_raw</t>
        </is>
      </c>
      <c r="F4197" t="inlineStr">
        <is>
          <t>Equal opportunity raw</t>
        </is>
      </c>
      <c r="G4197" t="inlineStr">
        <is>
          <t>capability</t>
        </is>
      </c>
      <c r="H4197" t="inlineStr">
        <is>
          <t>yes</t>
        </is>
      </c>
      <c r="I4197" t="inlineStr">
        <is>
          <t>37.9</t>
        </is>
      </c>
      <c r="J4197" t="inlineStr">
        <is>
          <t>world_bank</t>
        </is>
      </c>
      <c r="K4197" t="inlineStr">
        <is>
          <t>https://api.worldbank.org/v2/country/ISR/indicator/SI.POV.GINI?format=json&amp;mrv=10</t>
        </is>
      </c>
      <c r="L4197" t="inlineStr">
        <is>
          <t>World Bank WDI: Gini index</t>
        </is>
      </c>
      <c r="M4197" t="inlineStr">
        <is>
          <t>2021-12-31</t>
        </is>
      </c>
      <c r="N4197" t="inlineStr">
        <is>
          <t>auto_ingest=world_bank_capability; indicator=SI.POV.GINI; year=2021; country_proxy=Israel</t>
        </is>
      </c>
    </row>
    <row r="4198">
      <c r="A4198" t="inlineStr">
        <is>
          <t>il-haifa</t>
        </is>
      </c>
      <c r="B4198" t="inlineStr">
        <is>
          <t>Haifa</t>
        </is>
      </c>
      <c r="C4198" t="inlineStr">
        <is>
          <t>Israel</t>
        </is>
      </c>
      <c r="D4198" t="inlineStr">
        <is>
          <t>Middle East</t>
        </is>
      </c>
      <c r="E4198" t="inlineStr">
        <is>
          <t>hospitality_belonging_raw</t>
        </is>
      </c>
      <c r="F4198" t="inlineStr">
        <is>
          <t>Hospitality and belonging raw</t>
        </is>
      </c>
      <c r="G4198" t="inlineStr">
        <is>
          <t>community</t>
        </is>
      </c>
      <c r="H4198" t="inlineStr">
        <is>
          <t>yes</t>
        </is>
      </c>
      <c r="I4198" t="inlineStr">
        <is>
          <t>51.15</t>
        </is>
      </c>
      <c r="J4198" t="inlineStr">
        <is>
          <t>world_bank</t>
        </is>
      </c>
      <c r="K4198" t="inlineStr">
        <is>
          <t>https://api.worldbank.org/v2/country/ISR/indicator/SM.POP.NETM?format=json&amp;mrv=10</t>
        </is>
      </c>
      <c r="L4198" t="inlineStr">
        <is>
          <t>World Bank WDI: Net migration (proxy for hospitality/belonging — positive = welcoming)</t>
        </is>
      </c>
      <c r="M4198" t="inlineStr">
        <is>
          <t>2025-12-31</t>
        </is>
      </c>
      <c r="N4198" t="inlineStr">
        <is>
          <t>auto_ingest=world_bank_proxy; proxy=net_migration_hospitality; indicator=SM.POP.NETM; year=2025; country_proxy=Israel</t>
        </is>
      </c>
    </row>
    <row r="4199">
      <c r="A4199" t="inlineStr">
        <is>
          <t>il-haifa</t>
        </is>
      </c>
      <c r="B4199" t="inlineStr">
        <is>
          <t>Haifa</t>
        </is>
      </c>
      <c r="C4199" t="inlineStr">
        <is>
          <t>Israel</t>
        </is>
      </c>
      <c r="D4199" t="inlineStr">
        <is>
          <t>Middle East</t>
        </is>
      </c>
      <c r="E4199" t="inlineStr">
        <is>
          <t>tolerance_pluralism_raw</t>
        </is>
      </c>
      <c r="F4199" t="inlineStr">
        <is>
          <t>Tolerance and pluralism raw</t>
        </is>
      </c>
      <c r="G4199" t="inlineStr">
        <is>
          <t>community</t>
        </is>
      </c>
      <c r="H4199" t="inlineStr">
        <is>
          <t>yes</t>
        </is>
      </c>
      <c r="I4199" t="inlineStr">
        <is>
          <t>25.0</t>
        </is>
      </c>
      <c r="J4199" t="inlineStr">
        <is>
          <t>world_bank</t>
        </is>
      </c>
      <c r="K4199" t="inlineStr">
        <is>
          <t>https://api.worldbank.org/v2/country/ISR/indicator/SG.GEN.PARL.ZS?format=json&amp;mrv=10</t>
        </is>
      </c>
      <c r="L4199" t="inlineStr">
        <is>
          <t>World Bank WDI: Proportion of seats held by women in national parliaments (%)</t>
        </is>
      </c>
      <c r="M4199" t="inlineStr">
        <is>
          <t>2024-12-31</t>
        </is>
      </c>
      <c r="N4199" t="inlineStr">
        <is>
          <t>auto_ingest=world_bank_proxy; proxy=gender_parity_parliament; indicator=SG.GEN.PARL.ZS; year=2024; country_proxy=Israel</t>
        </is>
      </c>
    </row>
    <row r="4200">
      <c r="A4200" t="inlineStr">
        <is>
          <t>il-haifa</t>
        </is>
      </c>
      <c r="B4200" t="inlineStr">
        <is>
          <t>Haifa</t>
        </is>
      </c>
      <c r="C4200" t="inlineStr">
        <is>
          <t>Israel</t>
        </is>
      </c>
      <c r="D4200" t="inlineStr">
        <is>
          <t>Middle East</t>
        </is>
      </c>
      <c r="E4200" t="inlineStr">
        <is>
          <t>cultural_public_life_raw</t>
        </is>
      </c>
      <c r="F4200" t="inlineStr">
        <is>
          <t>Cultural public life raw</t>
        </is>
      </c>
      <c r="G4200" t="inlineStr">
        <is>
          <t>community</t>
        </is>
      </c>
      <c r="H4200" t="inlineStr">
        <is>
          <t>yes</t>
        </is>
      </c>
      <c r="I4200" t="inlineStr">
        <is>
          <t>491.76</t>
        </is>
      </c>
      <c r="J4200" t="inlineStr">
        <is>
          <t>world_bank</t>
        </is>
      </c>
      <c r="K4200" t="inlineStr">
        <is>
          <t>https://api.worldbank.org/v2/country/ISR/indicator/ST.INT.ARVL?format=json&amp;mrv=10</t>
        </is>
      </c>
      <c r="L4200" t="inlineStr">
        <is>
          <t>World Bank WDI: International tourism arrivals per 1 000 population</t>
        </is>
      </c>
      <c r="M4200" t="inlineStr">
        <is>
          <t>2019-12-31</t>
        </is>
      </c>
      <c r="N4200" t="inlineStr">
        <is>
          <t>auto_ingest=cultural_life_proxy; indicator=ST.INT.ARVL; norm=per_1000_pop; year=2019; country_proxy=Israel</t>
        </is>
      </c>
    </row>
    <row r="4201">
      <c r="A4201" t="inlineStr">
        <is>
          <t>il-haifa</t>
        </is>
      </c>
      <c r="B4201" t="inlineStr">
        <is>
          <t>Haifa</t>
        </is>
      </c>
      <c r="C4201" t="inlineStr">
        <is>
          <t>Israel</t>
        </is>
      </c>
      <c r="D4201" t="inlineStr">
        <is>
          <t>Middle East</t>
        </is>
      </c>
      <c r="E4201" t="inlineStr">
        <is>
          <t>birth_rate_optimism_raw</t>
        </is>
      </c>
      <c r="F4201" t="inlineStr">
        <is>
          <t>Birth rate and societal optimism raw</t>
        </is>
      </c>
      <c r="G4201" t="inlineStr">
        <is>
          <t>community</t>
        </is>
      </c>
      <c r="H4201" t="inlineStr">
        <is>
          <t>yes</t>
        </is>
      </c>
      <c r="I4201" t="inlineStr">
        <is>
          <t>2.9</t>
        </is>
      </c>
      <c r="J4201" t="inlineStr">
        <is>
          <t>world_bank</t>
        </is>
      </c>
      <c r="K4201" t="inlineStr">
        <is>
          <t>https://data.worldbank.org/indicator/SP.DYN.TFRT.IN</t>
        </is>
      </c>
      <c r="L4201" t="inlineStr">
        <is>
          <t>World Bank Total Fertility Rate 2023</t>
        </is>
      </c>
      <c r="M4201" t="inlineStr">
        <is>
          <t>2024-01-01</t>
        </is>
      </c>
      <c r="N4201" t="inlineStr"/>
    </row>
    <row r="4202">
      <c r="A4202" t="inlineStr">
        <is>
          <t>il-haifa</t>
        </is>
      </c>
      <c r="B4202" t="inlineStr">
        <is>
          <t>Haifa</t>
        </is>
      </c>
      <c r="C4202" t="inlineStr">
        <is>
          <t>Israel</t>
        </is>
      </c>
      <c r="D4202" t="inlineStr">
        <is>
          <t>Middle East</t>
        </is>
      </c>
      <c r="E4202" t="inlineStr">
        <is>
          <t>entrepreneurial_dynamism_raw</t>
        </is>
      </c>
      <c r="F4202" t="inlineStr">
        <is>
          <t>Entrepreneurial dynamism raw</t>
        </is>
      </c>
      <c r="G4202" t="inlineStr">
        <is>
          <t>creative</t>
        </is>
      </c>
      <c r="H4202" t="inlineStr">
        <is>
          <t>yes</t>
        </is>
      </c>
      <c r="I4202" t="inlineStr">
        <is>
          <t>3.06</t>
        </is>
      </c>
      <c r="J4202" t="inlineStr">
        <is>
          <t>world_bank</t>
        </is>
      </c>
      <c r="K4202" t="inlineStr">
        <is>
          <t>https://api.worldbank.org/v2/country/ISR/indicator/IC.BUS.NDNS.ZS?format=json&amp;mrv=10</t>
        </is>
      </c>
      <c r="L4202" t="inlineStr">
        <is>
          <t>World Bank WDI: New business density (new registrations per 1,000 people ages 15-64)</t>
        </is>
      </c>
      <c r="M4202" t="inlineStr">
        <is>
          <t>2020-12-31</t>
        </is>
      </c>
      <c r="N4202" t="inlineStr">
        <is>
          <t>auto_ingest=world_bank_creative_extended; indicator=IC.BUS.NDNS.ZS; year=2020; country_proxy=Israel</t>
        </is>
      </c>
    </row>
    <row r="4203">
      <c r="A4203" t="inlineStr">
        <is>
          <t>il-haifa</t>
        </is>
      </c>
      <c r="B4203" t="inlineStr">
        <is>
          <t>Haifa</t>
        </is>
      </c>
      <c r="C4203" t="inlineStr">
        <is>
          <t>Israel</t>
        </is>
      </c>
      <c r="D4203" t="inlineStr">
        <is>
          <t>Middle East</t>
        </is>
      </c>
      <c r="E4203" t="inlineStr">
        <is>
          <t>innovation_research_intensity_raw</t>
        </is>
      </c>
      <c r="F4203" t="inlineStr">
        <is>
          <t>Innovation and research raw</t>
        </is>
      </c>
      <c r="G4203" t="inlineStr">
        <is>
          <t>creative</t>
        </is>
      </c>
      <c r="H4203" t="inlineStr">
        <is>
          <t>yes</t>
        </is>
      </c>
      <c r="I4203" t="inlineStr">
        <is>
          <t>6.02</t>
        </is>
      </c>
      <c r="J4203" t="inlineStr">
        <is>
          <t>world_bank</t>
        </is>
      </c>
      <c r="K4203" t="inlineStr">
        <is>
          <t>https://api.worldbank.org/v2/country/ISR/indicator/GB.XPD.RSDV.GD.ZS?format=json&amp;mrv=10</t>
        </is>
      </c>
      <c r="L4203" t="inlineStr">
        <is>
          <t>World Bank WDI: Research and development expenditure (% of GDP)</t>
        </is>
      </c>
      <c r="M4203" t="inlineStr">
        <is>
          <t>2022-12-31</t>
        </is>
      </c>
      <c r="N4203" t="inlineStr">
        <is>
          <t>auto_ingest=world_bank_creative_extended; indicator=GB.XPD.RSDV.GD.ZS; year=2022; country_proxy=Israel</t>
        </is>
      </c>
    </row>
    <row r="4204">
      <c r="A4204" t="inlineStr">
        <is>
          <t>il-haifa</t>
        </is>
      </c>
      <c r="B4204" t="inlineStr">
        <is>
          <t>Haifa</t>
        </is>
      </c>
      <c r="C4204" t="inlineStr">
        <is>
          <t>Israel</t>
        </is>
      </c>
      <c r="D4204" t="inlineStr">
        <is>
          <t>Middle East and North Africa</t>
        </is>
      </c>
      <c r="E4204" t="inlineStr">
        <is>
          <t>investment_signal_raw</t>
        </is>
      </c>
      <c r="F4204" t="inlineStr">
        <is>
          <t>Investment signal raw</t>
        </is>
      </c>
      <c r="G4204" t="inlineStr">
        <is>
          <t>creative</t>
        </is>
      </c>
      <c r="H4204" t="inlineStr">
        <is>
          <t>yes</t>
        </is>
      </c>
      <c r="I4204" t="inlineStr">
        <is>
          <t>2.73</t>
        </is>
      </c>
      <c r="J4204" t="inlineStr">
        <is>
          <t>world_bank</t>
        </is>
      </c>
      <c r="K4204" t="inlineStr">
        <is>
          <t>https://api.worldbank.org/v2/country/ISR/indicator/BX.KLT.DINV.WD.GD.ZS?format=json&amp;mrv=10</t>
        </is>
      </c>
      <c r="L4204" t="inlineStr">
        <is>
          <t>World Bank WDI: Foreign direct investment, net inflows (% of GDP)</t>
        </is>
      </c>
      <c r="M4204" t="inlineStr">
        <is>
          <t>2024-12-31</t>
        </is>
      </c>
      <c r="N4204" t="inlineStr">
        <is>
          <t>auto_ingest=world_bank_creative_extended; indicator=BX.KLT.DINV.WD.GD.ZS; year=2024; country_proxy=Israel</t>
        </is>
      </c>
    </row>
    <row r="4205">
      <c r="A4205" t="inlineStr">
        <is>
          <t>il-haifa</t>
        </is>
      </c>
      <c r="B4205" t="inlineStr">
        <is>
          <t>Haifa</t>
        </is>
      </c>
      <c r="C4205" t="inlineStr">
        <is>
          <t>Israel</t>
        </is>
      </c>
      <c r="D4205" t="inlineStr">
        <is>
          <t>Middle East</t>
        </is>
      </c>
      <c r="E4205" t="inlineStr">
        <is>
          <t>administrative_investment_friction_raw</t>
        </is>
      </c>
      <c r="F4205" t="inlineStr">
        <is>
          <t>Administrative investment friction raw</t>
        </is>
      </c>
      <c r="G4205" t="inlineStr">
        <is>
          <t>creative</t>
        </is>
      </c>
      <c r="H4205" t="inlineStr">
        <is>
          <t>yes</t>
        </is>
      </c>
      <c r="I4205" t="inlineStr">
        <is>
          <t>1.38</t>
        </is>
      </c>
      <c r="J4205" t="inlineStr">
        <is>
          <t>world_bank</t>
        </is>
      </c>
      <c r="K4205" t="inlineStr">
        <is>
          <t>https://api.worldbank.org/v2/country/ISR/indicator/RQ.EST?format=json&amp;mrv=10</t>
        </is>
      </c>
      <c r="L4205" t="inlineStr">
        <is>
          <t>World Bank WGI: Regulatory Quality (inverted as friction proxy)</t>
        </is>
      </c>
      <c r="M4205" t="inlineStr">
        <is>
          <t>2023-12-31</t>
        </is>
      </c>
      <c r="N4205" t="inlineStr">
        <is>
          <t>auto_ingest=world_bank_business_friction; indicator=RQ.EST; raw_rq=1.12179791927338; friction=1.38; year=2023; country_proxy=Israel</t>
        </is>
      </c>
    </row>
    <row r="4206">
      <c r="A4206" t="inlineStr">
        <is>
          <t>il-haifa</t>
        </is>
      </c>
      <c r="B4206" t="inlineStr">
        <is>
          <t>Haifa</t>
        </is>
      </c>
      <c r="C4206" t="inlineStr">
        <is>
          <t>Israel</t>
        </is>
      </c>
      <c r="D4206" t="inlineStr">
        <is>
          <t>Middle East</t>
        </is>
      </c>
      <c r="E4206" t="inlineStr">
        <is>
          <t>visitor_flow_context_raw</t>
        </is>
      </c>
      <c r="F4206" t="inlineStr">
        <is>
          <t>Visitor flow context raw</t>
        </is>
      </c>
      <c r="G4206" t="inlineStr">
        <is>
          <t>creative</t>
        </is>
      </c>
      <c r="H4206" t="inlineStr">
        <is>
          <t>no</t>
        </is>
      </c>
      <c r="I4206" t="inlineStr"/>
      <c r="J4206" t="inlineStr"/>
      <c r="K4206" t="inlineStr"/>
      <c r="L4206" t="inlineStr"/>
      <c r="M4206" t="inlineStr"/>
      <c r="N4206" t="inlineStr"/>
    </row>
    <row r="4207">
      <c r="A4207" t="inlineStr">
        <is>
          <t>om-salalah</t>
        </is>
      </c>
      <c r="B4207" t="inlineStr">
        <is>
          <t>Salalah</t>
        </is>
      </c>
      <c r="C4207" t="inlineStr">
        <is>
          <t>Oman</t>
        </is>
      </c>
      <c r="D4207" t="inlineStr">
        <is>
          <t>Middle East</t>
        </is>
      </c>
      <c r="E4207" t="inlineStr">
        <is>
          <t>gross_income</t>
        </is>
      </c>
      <c r="F4207" t="inlineStr">
        <is>
          <t>Gross income</t>
        </is>
      </c>
      <c r="G4207" t="inlineStr">
        <is>
          <t>pressure</t>
        </is>
      </c>
      <c r="H4207" t="inlineStr">
        <is>
          <t>yes</t>
        </is>
      </c>
      <c r="I4207" t="inlineStr">
        <is>
          <t>3278.33</t>
        </is>
      </c>
      <c r="J4207" t="inlineStr">
        <is>
          <t>world_bank_col_estimate</t>
        </is>
      </c>
      <c r="K4207" t="inlineStr">
        <is>
          <t>https://api.worldbank.org/v2/country/OMN/indicator/NY.GNP.PCAP.PP.CD?format=json&amp;mrv=10</t>
        </is>
      </c>
      <c r="L4207" t="inlineStr">
        <is>
          <t>World Bank WDI: GNI per capita PPP (monthly USD)</t>
        </is>
      </c>
      <c r="M4207" t="inlineStr">
        <is>
          <t>2024-12-31</t>
        </is>
      </c>
      <c r="N4207" t="inlineStr">
        <is>
          <t>auto_ingest=world_bank_col_estimate; gni_annual=39340.0; year=2024; country_proxy=Oman; cohort=Middle East</t>
        </is>
      </c>
    </row>
    <row r="4208">
      <c r="A4208" t="inlineStr">
        <is>
          <t>om-salalah</t>
        </is>
      </c>
      <c r="B4208" t="inlineStr">
        <is>
          <t>Salalah</t>
        </is>
      </c>
      <c r="C4208" t="inlineStr">
        <is>
          <t>Oman</t>
        </is>
      </c>
      <c r="D4208" t="inlineStr">
        <is>
          <t>Middle East</t>
        </is>
      </c>
      <c r="E4208" t="inlineStr">
        <is>
          <t>di_ppp_raw</t>
        </is>
      </c>
      <c r="F4208" t="inlineStr">
        <is>
          <t>Disposable income PPP (Raw)</t>
        </is>
      </c>
      <c r="G4208" t="inlineStr">
        <is>
          <t>pressure</t>
        </is>
      </c>
      <c r="H4208" t="inlineStr">
        <is>
          <t>yes</t>
        </is>
      </c>
      <c r="I4208" t="inlineStr"/>
      <c r="J4208" t="inlineStr"/>
      <c r="K4208" t="inlineStr"/>
      <c r="L4208" t="inlineStr"/>
      <c r="M4208" t="inlineStr"/>
      <c r="N4208" t="inlineStr"/>
    </row>
    <row r="4209">
      <c r="A4209" t="inlineStr">
        <is>
          <t>om-salalah</t>
        </is>
      </c>
      <c r="B4209" t="inlineStr">
        <is>
          <t>Salalah</t>
        </is>
      </c>
      <c r="C4209" t="inlineStr">
        <is>
          <t>Oman</t>
        </is>
      </c>
      <c r="D4209" t="inlineStr">
        <is>
          <t>Middle East</t>
        </is>
      </c>
      <c r="E4209" t="inlineStr">
        <is>
          <t>rent</t>
        </is>
      </c>
      <c r="F4209" t="inlineStr">
        <is>
          <t>Rent</t>
        </is>
      </c>
      <c r="G4209" t="inlineStr">
        <is>
          <t>pressure</t>
        </is>
      </c>
      <c r="H4209" t="inlineStr">
        <is>
          <t>yes</t>
        </is>
      </c>
      <c r="I4209" t="inlineStr">
        <is>
          <t>614.69</t>
        </is>
      </c>
      <c r="J4209" t="inlineStr">
        <is>
          <t>world_bank_col_estimate</t>
        </is>
      </c>
      <c r="K4209" t="inlineStr">
        <is>
          <t>https://api.worldbank.org/v2/country/OMN/indicator/NY.GNP.PCAP.PP.CD?format=json&amp;mrv=10</t>
        </is>
      </c>
      <c r="L4209" t="inlineStr">
        <is>
          <t>World Bank GNI + regional expenditure ratio estimate</t>
        </is>
      </c>
      <c r="M4209" t="inlineStr">
        <is>
          <t>2024-12-31</t>
        </is>
      </c>
      <c r="N4209" t="inlineStr">
        <is>
          <t>auto_ingest=world_bank_col_estimate; gni_annual=39340.0; year=2024; country_proxy=Oman; cohort=Middle East; city_cost_mult=0.75</t>
        </is>
      </c>
    </row>
    <row r="4210">
      <c r="A4210" t="inlineStr">
        <is>
          <t>om-salalah</t>
        </is>
      </c>
      <c r="B4210" t="inlineStr">
        <is>
          <t>Salalah</t>
        </is>
      </c>
      <c r="C4210" t="inlineStr">
        <is>
          <t>Oman</t>
        </is>
      </c>
      <c r="D4210" t="inlineStr">
        <is>
          <t>Middle East</t>
        </is>
      </c>
      <c r="E4210" t="inlineStr">
        <is>
          <t>utilities</t>
        </is>
      </c>
      <c r="F4210" t="inlineStr">
        <is>
          <t>Utilities</t>
        </is>
      </c>
      <c r="G4210" t="inlineStr">
        <is>
          <t>pressure</t>
        </is>
      </c>
      <c r="H4210" t="inlineStr">
        <is>
          <t>yes</t>
        </is>
      </c>
      <c r="I4210" t="inlineStr">
        <is>
          <t>122.94</t>
        </is>
      </c>
      <c r="J4210" t="inlineStr">
        <is>
          <t>world_bank_col_estimate</t>
        </is>
      </c>
      <c r="K4210" t="inlineStr">
        <is>
          <t>https://api.worldbank.org/v2/country/OMN/indicator/NY.GNP.PCAP.PP.CD?format=json&amp;mrv=10</t>
        </is>
      </c>
      <c r="L4210" t="inlineStr">
        <is>
          <t>World Bank GNI + regional expenditure ratio estimate</t>
        </is>
      </c>
      <c r="M4210" t="inlineStr">
        <is>
          <t>2024-12-31</t>
        </is>
      </c>
      <c r="N4210" t="inlineStr">
        <is>
          <t>auto_ingest=world_bank_col_estimate; gni_annual=39340.0; year=2024; country_proxy=Oman; cohort=Middle East; city_cost_mult=0.75</t>
        </is>
      </c>
    </row>
    <row r="4211">
      <c r="A4211" t="inlineStr">
        <is>
          <t>om-salalah</t>
        </is>
      </c>
      <c r="B4211" t="inlineStr">
        <is>
          <t>Salalah</t>
        </is>
      </c>
      <c r="C4211" t="inlineStr">
        <is>
          <t>Oman</t>
        </is>
      </c>
      <c r="D4211" t="inlineStr">
        <is>
          <t>Middle East</t>
        </is>
      </c>
      <c r="E4211" t="inlineStr">
        <is>
          <t>transit_cost</t>
        </is>
      </c>
      <c r="F4211" t="inlineStr">
        <is>
          <t>Transit cost</t>
        </is>
      </c>
      <c r="G4211" t="inlineStr">
        <is>
          <t>pressure</t>
        </is>
      </c>
      <c r="H4211" t="inlineStr">
        <is>
          <t>yes</t>
        </is>
      </c>
      <c r="I4211" t="inlineStr">
        <is>
          <t>98.35</t>
        </is>
      </c>
      <c r="J4211" t="inlineStr">
        <is>
          <t>world_bank_col_estimate</t>
        </is>
      </c>
      <c r="K4211" t="inlineStr">
        <is>
          <t>https://api.worldbank.org/v2/country/OMN/indicator/NY.GNP.PCAP.PP.CD?format=json&amp;mrv=10</t>
        </is>
      </c>
      <c r="L4211" t="inlineStr">
        <is>
          <t>World Bank GNI + regional expenditure ratio estimate</t>
        </is>
      </c>
      <c r="M4211" t="inlineStr">
        <is>
          <t>2024-12-31</t>
        </is>
      </c>
      <c r="N4211" t="inlineStr">
        <is>
          <t>auto_ingest=world_bank_col_estimate; gni_annual=39340.0; year=2024; country_proxy=Oman; cohort=Middle East; city_cost_mult=0.75</t>
        </is>
      </c>
    </row>
    <row r="4212">
      <c r="A4212" t="inlineStr">
        <is>
          <t>om-salalah</t>
        </is>
      </c>
      <c r="B4212" t="inlineStr">
        <is>
          <t>Salalah</t>
        </is>
      </c>
      <c r="C4212" t="inlineStr">
        <is>
          <t>Oman</t>
        </is>
      </c>
      <c r="D4212" t="inlineStr">
        <is>
          <t>Middle East</t>
        </is>
      </c>
      <c r="E4212" t="inlineStr">
        <is>
          <t>internet_cost</t>
        </is>
      </c>
      <c r="F4212" t="inlineStr">
        <is>
          <t>Internet cost</t>
        </is>
      </c>
      <c r="G4212" t="inlineStr">
        <is>
          <t>pressure</t>
        </is>
      </c>
      <c r="H4212" t="inlineStr">
        <is>
          <t>yes</t>
        </is>
      </c>
      <c r="I4212" t="inlineStr">
        <is>
          <t>36.88</t>
        </is>
      </c>
      <c r="J4212" t="inlineStr">
        <is>
          <t>world_bank_col_estimate</t>
        </is>
      </c>
      <c r="K4212" t="inlineStr">
        <is>
          <t>https://api.worldbank.org/v2/country/OMN/indicator/NY.GNP.PCAP.PP.CD?format=json&amp;mrv=10</t>
        </is>
      </c>
      <c r="L4212" t="inlineStr">
        <is>
          <t>World Bank GNI + regional expenditure ratio estimate</t>
        </is>
      </c>
      <c r="M4212" t="inlineStr">
        <is>
          <t>2024-12-31</t>
        </is>
      </c>
      <c r="N4212" t="inlineStr">
        <is>
          <t>auto_ingest=world_bank_col_estimate; gni_annual=39340.0; year=2024; country_proxy=Oman; cohort=Middle East; city_cost_mult=0.75</t>
        </is>
      </c>
    </row>
    <row r="4213">
      <c r="A4213" t="inlineStr">
        <is>
          <t>om-salalah</t>
        </is>
      </c>
      <c r="B4213" t="inlineStr">
        <is>
          <t>Salalah</t>
        </is>
      </c>
      <c r="C4213" t="inlineStr">
        <is>
          <t>Oman</t>
        </is>
      </c>
      <c r="D4213" t="inlineStr">
        <is>
          <t>Middle East</t>
        </is>
      </c>
      <c r="E4213" t="inlineStr">
        <is>
          <t>food_cost</t>
        </is>
      </c>
      <c r="F4213" t="inlineStr">
        <is>
          <t>Food cost</t>
        </is>
      </c>
      <c r="G4213" t="inlineStr">
        <is>
          <t>pressure</t>
        </is>
      </c>
      <c r="H4213" t="inlineStr">
        <is>
          <t>yes</t>
        </is>
      </c>
      <c r="I4213" t="inlineStr">
        <is>
          <t>442.57</t>
        </is>
      </c>
      <c r="J4213" t="inlineStr">
        <is>
          <t>world_bank_col_estimate</t>
        </is>
      </c>
      <c r="K4213" t="inlineStr">
        <is>
          <t>https://api.worldbank.org/v2/country/OMN/indicator/NY.GNP.PCAP.PP.CD?format=json&amp;mrv=10</t>
        </is>
      </c>
      <c r="L4213" t="inlineStr">
        <is>
          <t>World Bank GNI + regional expenditure ratio estimate</t>
        </is>
      </c>
      <c r="M4213" t="inlineStr">
        <is>
          <t>2024-12-31</t>
        </is>
      </c>
      <c r="N4213" t="inlineStr">
        <is>
          <t>auto_ingest=world_bank_col_estimate; gni_annual=39340.0; year=2024; country_proxy=Oman; cohort=Middle East; city_cost_mult=0.75</t>
        </is>
      </c>
    </row>
    <row r="4214">
      <c r="A4214" t="inlineStr">
        <is>
          <t>om-salalah</t>
        </is>
      </c>
      <c r="B4214" t="inlineStr">
        <is>
          <t>Salalah</t>
        </is>
      </c>
      <c r="C4214" t="inlineStr">
        <is>
          <t>Oman</t>
        </is>
      </c>
      <c r="D4214" t="inlineStr">
        <is>
          <t>Middle East</t>
        </is>
      </c>
      <c r="E4214" t="inlineStr">
        <is>
          <t>housing_burden_raw</t>
        </is>
      </c>
      <c r="F4214" t="inlineStr">
        <is>
          <t>Housing burden raw</t>
        </is>
      </c>
      <c r="G4214" t="inlineStr">
        <is>
          <t>pressure</t>
        </is>
      </c>
      <c r="H4214" t="inlineStr">
        <is>
          <t>yes</t>
        </is>
      </c>
      <c r="I4214" t="inlineStr">
        <is>
          <t>18.7501</t>
        </is>
      </c>
      <c r="J4214" t="inlineStr">
        <is>
          <t>derived</t>
        </is>
      </c>
      <c r="K4214" t="inlineStr">
        <is>
          <t>https://data.worldbank.org/indicator/NY.GNP.PCAP.PP.CD</t>
        </is>
      </c>
      <c r="L4214" t="inlineStr">
        <is>
          <t>Computed from city_inputs + country_context</t>
        </is>
      </c>
      <c r="M4214" t="inlineStr">
        <is>
          <t>2024-01-01</t>
        </is>
      </c>
      <c r="N4214" t="inlineStr">
        <is>
          <t>derived=rent/gross_income*100</t>
        </is>
      </c>
    </row>
    <row r="4215">
      <c r="A4215" t="inlineStr">
        <is>
          <t>om-salalah</t>
        </is>
      </c>
      <c r="B4215" t="inlineStr">
        <is>
          <t>Salalah</t>
        </is>
      </c>
      <c r="C4215" t="inlineStr">
        <is>
          <t>Oman</t>
        </is>
      </c>
      <c r="D4215" t="inlineStr">
        <is>
          <t>Middle East</t>
        </is>
      </c>
      <c r="E4215" t="inlineStr">
        <is>
          <t>household_debt_burden_raw</t>
        </is>
      </c>
      <c r="F4215" t="inlineStr">
        <is>
          <t>Household debt burden raw</t>
        </is>
      </c>
      <c r="G4215" t="inlineStr">
        <is>
          <t>pressure</t>
        </is>
      </c>
      <c r="H4215" t="inlineStr">
        <is>
          <t>yes</t>
        </is>
      </c>
      <c r="I4215" t="inlineStr">
        <is>
          <t>59.7083</t>
        </is>
      </c>
      <c r="J4215" t="inlineStr">
        <is>
          <t>derived</t>
        </is>
      </c>
      <c r="K4215" t="inlineStr">
        <is>
          <t>https://data.worldbank.org/indicator/NY.GNP.PCAP.PP.CD</t>
        </is>
      </c>
      <c r="L4215" t="inlineStr">
        <is>
          <t>Computed from city_inputs + country_context</t>
        </is>
      </c>
      <c r="M4215" t="inlineStr">
        <is>
          <t>2024-01-01</t>
        </is>
      </c>
      <c r="N4215" t="inlineStr">
        <is>
          <t>derived=country_context.household_debt_proxy; country=Oman</t>
        </is>
      </c>
    </row>
    <row r="4216">
      <c r="A4216" t="inlineStr">
        <is>
          <t>om-salalah</t>
        </is>
      </c>
      <c r="B4216" t="inlineStr">
        <is>
          <t>Salalah</t>
        </is>
      </c>
      <c r="C4216" t="inlineStr">
        <is>
          <t>Oman</t>
        </is>
      </c>
      <c r="D4216" t="inlineStr">
        <is>
          <t>Middle East</t>
        </is>
      </c>
      <c r="E4216" t="inlineStr">
        <is>
          <t>working_time_pressure_raw</t>
        </is>
      </c>
      <c r="F4216" t="inlineStr">
        <is>
          <t>Working time pressure raw</t>
        </is>
      </c>
      <c r="G4216" t="inlineStr">
        <is>
          <t>pressure</t>
        </is>
      </c>
      <c r="H4216" t="inlineStr">
        <is>
          <t>yes</t>
        </is>
      </c>
      <c r="I4216" t="inlineStr"/>
      <c r="J4216" t="inlineStr"/>
      <c r="K4216" t="inlineStr"/>
      <c r="L4216" t="inlineStr"/>
      <c r="M4216" t="inlineStr"/>
      <c r="N4216" t="inlineStr"/>
    </row>
    <row r="4217">
      <c r="A4217" t="inlineStr">
        <is>
          <t>om-salalah</t>
        </is>
      </c>
      <c r="B4217" t="inlineStr">
        <is>
          <t>Salalah</t>
        </is>
      </c>
      <c r="C4217" t="inlineStr">
        <is>
          <t>Oman</t>
        </is>
      </c>
      <c r="D4217" t="inlineStr">
        <is>
          <t>Middle East</t>
        </is>
      </c>
      <c r="E4217" t="inlineStr">
        <is>
          <t>suicide_mental_strain_raw</t>
        </is>
      </c>
      <c r="F4217" t="inlineStr">
        <is>
          <t>Suicide or mental strain raw</t>
        </is>
      </c>
      <c r="G4217" t="inlineStr">
        <is>
          <t>pressure</t>
        </is>
      </c>
      <c r="H4217" t="inlineStr">
        <is>
          <t>yes</t>
        </is>
      </c>
      <c r="I4217" t="inlineStr">
        <is>
          <t>0.91</t>
        </is>
      </c>
      <c r="J4217" t="inlineStr">
        <is>
          <t>who_gho</t>
        </is>
      </c>
      <c r="K4217" t="inlineStr">
        <is>
          <t>https://www.who.int/data/gho/data/indicators/indicator-details/GHO/SDGSUICIDE</t>
        </is>
      </c>
      <c r="L4217" t="inlineStr">
        <is>
          <t>WHO GHO: Age-standardized suicide rate (per 100,000 population)</t>
        </is>
      </c>
      <c r="M4217" t="inlineStr">
        <is>
          <t>2021-12-31</t>
        </is>
      </c>
      <c r="N4217" t="inlineStr">
        <is>
          <t>auto_ingest=who_gho; indicator=SDGSUICIDE; year=2021; country_proxy=Oman</t>
        </is>
      </c>
    </row>
    <row r="4218">
      <c r="A4218" t="inlineStr">
        <is>
          <t>om-salalah</t>
        </is>
      </c>
      <c r="B4218" t="inlineStr">
        <is>
          <t>Salalah</t>
        </is>
      </c>
      <c r="C4218" t="inlineStr">
        <is>
          <t>Oman</t>
        </is>
      </c>
      <c r="D4218" t="inlineStr">
        <is>
          <t>Middle East</t>
        </is>
      </c>
      <c r="E4218" t="inlineStr">
        <is>
          <t>personal_safety_raw</t>
        </is>
      </c>
      <c r="F4218" t="inlineStr">
        <is>
          <t>Personal safety raw</t>
        </is>
      </c>
      <c r="G4218" t="inlineStr">
        <is>
          <t>viability</t>
        </is>
      </c>
      <c r="H4218" t="inlineStr">
        <is>
          <t>yes</t>
        </is>
      </c>
      <c r="I4218" t="inlineStr">
        <is>
          <t>0.14</t>
        </is>
      </c>
      <c r="J4218" t="inlineStr">
        <is>
          <t>world_bank</t>
        </is>
      </c>
      <c r="K4218" t="inlineStr">
        <is>
          <t>https://api.worldbank.org/v2/country/OMN/indicator/VC.IHR.PSRC.P5?format=json&amp;mrv=10</t>
        </is>
      </c>
      <c r="L4218" t="inlineStr">
        <is>
          <t>UNODC via World Bank WDI: Intentional homicides (per 100,000 people)</t>
        </is>
      </c>
      <c r="M4218" t="inlineStr">
        <is>
          <t>2023-12-31</t>
        </is>
      </c>
      <c r="N4218" t="inlineStr">
        <is>
          <t>auto_ingest=unodc_safety; indicator=VC.IHR.PSRC.P5; year=2023; country_proxy=Oman</t>
        </is>
      </c>
    </row>
    <row r="4219">
      <c r="A4219" t="inlineStr">
        <is>
          <t>om-salalah</t>
        </is>
      </c>
      <c r="B4219" t="inlineStr">
        <is>
          <t>Salalah</t>
        </is>
      </c>
      <c r="C4219" t="inlineStr">
        <is>
          <t>Oman</t>
        </is>
      </c>
      <c r="D4219" t="inlineStr">
        <is>
          <t>Middle East</t>
        </is>
      </c>
      <c r="E4219" t="inlineStr">
        <is>
          <t>transit_access_commute_raw</t>
        </is>
      </c>
      <c r="F4219" t="inlineStr">
        <is>
          <t>Transit access and commute raw</t>
        </is>
      </c>
      <c r="G4219" t="inlineStr">
        <is>
          <t>viability</t>
        </is>
      </c>
      <c r="H4219" t="inlineStr">
        <is>
          <t>yes</t>
        </is>
      </c>
      <c r="I4219" t="inlineStr"/>
      <c r="J4219" t="inlineStr"/>
      <c r="K4219" t="inlineStr"/>
      <c r="L4219" t="inlineStr"/>
      <c r="M4219" t="inlineStr"/>
      <c r="N4219" t="inlineStr"/>
    </row>
    <row r="4220">
      <c r="A4220" t="inlineStr">
        <is>
          <t>om-salalah</t>
        </is>
      </c>
      <c r="B4220" t="inlineStr">
        <is>
          <t>Salalah</t>
        </is>
      </c>
      <c r="C4220" t="inlineStr">
        <is>
          <t>Oman</t>
        </is>
      </c>
      <c r="D4220" t="inlineStr">
        <is>
          <t>Middle East</t>
        </is>
      </c>
      <c r="E4220" t="inlineStr">
        <is>
          <t>clean_air_raw</t>
        </is>
      </c>
      <c r="F4220" t="inlineStr">
        <is>
          <t>Clean air raw</t>
        </is>
      </c>
      <c r="G4220" t="inlineStr">
        <is>
          <t>viability</t>
        </is>
      </c>
      <c r="H4220" t="inlineStr">
        <is>
          <t>yes</t>
        </is>
      </c>
      <c r="I4220" t="inlineStr"/>
      <c r="J4220" t="inlineStr"/>
      <c r="K4220" t="inlineStr"/>
      <c r="L4220" t="inlineStr"/>
      <c r="M4220" t="inlineStr"/>
      <c r="N4220" t="inlineStr"/>
    </row>
    <row r="4221">
      <c r="A4221" t="inlineStr">
        <is>
          <t>om-salalah</t>
        </is>
      </c>
      <c r="B4221" t="inlineStr">
        <is>
          <t>Salalah</t>
        </is>
      </c>
      <c r="C4221" t="inlineStr">
        <is>
          <t>Oman</t>
        </is>
      </c>
      <c r="D4221" t="inlineStr">
        <is>
          <t>Middle East</t>
        </is>
      </c>
      <c r="E4221" t="inlineStr">
        <is>
          <t>water_sanitation_utility_raw</t>
        </is>
      </c>
      <c r="F4221" t="inlineStr">
        <is>
          <t>Water, sanitation, and utility raw</t>
        </is>
      </c>
      <c r="G4221" t="inlineStr">
        <is>
          <t>viability</t>
        </is>
      </c>
      <c r="H4221" t="inlineStr">
        <is>
          <t>yes</t>
        </is>
      </c>
      <c r="I4221" t="inlineStr">
        <is>
          <t>91.1</t>
        </is>
      </c>
      <c r="J4221" t="inlineStr">
        <is>
          <t>world_bank</t>
        </is>
      </c>
      <c r="K4221" t="inlineStr">
        <is>
          <t>https://api.worldbank.org/v2/country/OMN/indicator/SH.H2O.SMDW.ZS?format=json&amp;mrv=10</t>
        </is>
      </c>
      <c r="L4221" t="inlineStr">
        <is>
          <t>World Bank WDI: People using safely managed drinking water services (% of population)</t>
        </is>
      </c>
      <c r="M4221" t="inlineStr">
        <is>
          <t>2024-12-31</t>
        </is>
      </c>
      <c r="N4221" t="inlineStr">
        <is>
          <t>auto_ingest=world_bank_proxy; indicator=SH.H2O.SMDW.ZS; year=2024; country_proxy=Oman</t>
        </is>
      </c>
    </row>
    <row r="4222">
      <c r="A4222" t="inlineStr">
        <is>
          <t>om-salalah</t>
        </is>
      </c>
      <c r="B4222" t="inlineStr">
        <is>
          <t>Salalah</t>
        </is>
      </c>
      <c r="C4222" t="inlineStr">
        <is>
          <t>Oman</t>
        </is>
      </c>
      <c r="D4222" t="inlineStr">
        <is>
          <t>Middle East</t>
        </is>
      </c>
      <c r="E4222" t="inlineStr">
        <is>
          <t>digital_infrastructure_raw</t>
        </is>
      </c>
      <c r="F4222" t="inlineStr">
        <is>
          <t>Digital infrastructure raw</t>
        </is>
      </c>
      <c r="G4222" t="inlineStr">
        <is>
          <t>viability</t>
        </is>
      </c>
      <c r="H4222" t="inlineStr">
        <is>
          <t>yes</t>
        </is>
      </c>
      <c r="I4222" t="inlineStr">
        <is>
          <t>10.88</t>
        </is>
      </c>
      <c r="J4222" t="inlineStr">
        <is>
          <t>world_bank</t>
        </is>
      </c>
      <c r="K4222" t="inlineStr">
        <is>
          <t>https://api.worldbank.org/v2/country/OMN/indicator/IT.NET.BBND.P2?format=json&amp;mrv=10</t>
        </is>
      </c>
      <c r="L4222" t="inlineStr">
        <is>
          <t>World Bank WDI: Fixed broadband subscriptions (per 100 people)</t>
        </is>
      </c>
      <c r="M4222" t="inlineStr">
        <is>
          <t>2023-12-31</t>
        </is>
      </c>
      <c r="N4222" t="inlineStr">
        <is>
          <t>auto_ingest=world_bank_proxy; indicator=IT.NET.BBND.P2; year=2023; country_proxy=Oman</t>
        </is>
      </c>
    </row>
    <row r="4223">
      <c r="A4223" t="inlineStr">
        <is>
          <t>om-salalah</t>
        </is>
      </c>
      <c r="B4223" t="inlineStr">
        <is>
          <t>Salalah</t>
        </is>
      </c>
      <c r="C4223" t="inlineStr">
        <is>
          <t>Oman</t>
        </is>
      </c>
      <c r="D4223" t="inlineStr">
        <is>
          <t>Middle East</t>
        </is>
      </c>
      <c r="E4223" t="inlineStr">
        <is>
          <t>climate_sunlight_livability_raw</t>
        </is>
      </c>
      <c r="F4223" t="inlineStr">
        <is>
          <t>Climate and sunlight livability raw</t>
        </is>
      </c>
      <c r="G4223" t="inlineStr">
        <is>
          <t>viability</t>
        </is>
      </c>
      <c r="H4223" t="inlineStr">
        <is>
          <t>yes</t>
        </is>
      </c>
      <c r="I4223" t="inlineStr"/>
      <c r="J4223" t="inlineStr"/>
      <c r="K4223" t="inlineStr"/>
      <c r="L4223" t="inlineStr"/>
      <c r="M4223" t="inlineStr"/>
      <c r="N4223" t="inlineStr"/>
    </row>
    <row r="4224">
      <c r="A4224" t="inlineStr">
        <is>
          <t>om-salalah</t>
        </is>
      </c>
      <c r="B4224" t="inlineStr">
        <is>
          <t>Salalah</t>
        </is>
      </c>
      <c r="C4224" t="inlineStr">
        <is>
          <t>Oman</t>
        </is>
      </c>
      <c r="D4224" t="inlineStr">
        <is>
          <t>Middle East</t>
        </is>
      </c>
      <c r="E4224" t="inlineStr">
        <is>
          <t>healthcare_quality_raw</t>
        </is>
      </c>
      <c r="F4224" t="inlineStr">
        <is>
          <t>Healthcare quality raw</t>
        </is>
      </c>
      <c r="G4224" t="inlineStr">
        <is>
          <t>capability</t>
        </is>
      </c>
      <c r="H4224" t="inlineStr">
        <is>
          <t>yes</t>
        </is>
      </c>
      <c r="I4224" t="inlineStr">
        <is>
          <t>73.0</t>
        </is>
      </c>
      <c r="J4224" t="inlineStr">
        <is>
          <t>who_gho</t>
        </is>
      </c>
      <c r="K4224" t="inlineStr">
        <is>
          <t>https://www.who.int/data/gho/data/indicators/indicator-details/GHO/UHC_INDEX_REPORTED</t>
        </is>
      </c>
      <c r="L4224" t="inlineStr">
        <is>
          <t>WHO GHO: UHC Service Coverage Index</t>
        </is>
      </c>
      <c r="M4224" t="inlineStr">
        <is>
          <t>2023-12-31</t>
        </is>
      </c>
      <c r="N4224" t="inlineStr">
        <is>
          <t>auto_ingest=who_gho; indicator=UHC_INDEX_REPORTED; year=2023; country_proxy=Oman</t>
        </is>
      </c>
    </row>
    <row r="4225">
      <c r="A4225" t="inlineStr">
        <is>
          <t>om-salalah</t>
        </is>
      </c>
      <c r="B4225" t="inlineStr">
        <is>
          <t>Salalah</t>
        </is>
      </c>
      <c r="C4225" t="inlineStr">
        <is>
          <t>Oman</t>
        </is>
      </c>
      <c r="D4225" t="inlineStr">
        <is>
          <t>Middle East</t>
        </is>
      </c>
      <c r="E4225" t="inlineStr">
        <is>
          <t>education_quality_raw</t>
        </is>
      </c>
      <c r="F4225" t="inlineStr">
        <is>
          <t>Education quality raw</t>
        </is>
      </c>
      <c r="G4225" t="inlineStr">
        <is>
          <t>capability</t>
        </is>
      </c>
      <c r="H4225" t="inlineStr">
        <is>
          <t>yes</t>
        </is>
      </c>
      <c r="I4225" t="inlineStr">
        <is>
          <t>43.84</t>
        </is>
      </c>
      <c r="J4225" t="inlineStr">
        <is>
          <t>world_bank</t>
        </is>
      </c>
      <c r="K4225" t="inlineStr">
        <is>
          <t>https://api.worldbank.org/v2/country/OMN/indicator/SE.TER.ENRR?format=json&amp;mrv=10</t>
        </is>
      </c>
      <c r="L4225" t="inlineStr">
        <is>
          <t>World Bank WDI: School enrollment, tertiary (% gross)</t>
        </is>
      </c>
      <c r="M4225" t="inlineStr">
        <is>
          <t>2021-12-31</t>
        </is>
      </c>
      <c r="N4225" t="inlineStr">
        <is>
          <t>auto_ingest=world_bank_proxy; indicator=SE.TER.ENRR; year=2021; country_proxy=Oman</t>
        </is>
      </c>
    </row>
    <row r="4226">
      <c r="A4226" t="inlineStr">
        <is>
          <t>om-salalah</t>
        </is>
      </c>
      <c r="B4226" t="inlineStr">
        <is>
          <t>Salalah</t>
        </is>
      </c>
      <c r="C4226" t="inlineStr">
        <is>
          <t>Oman</t>
        </is>
      </c>
      <c r="D4226" t="inlineStr">
        <is>
          <t>Middle East</t>
        </is>
      </c>
      <c r="E4226" t="inlineStr">
        <is>
          <t>equal_opportunity_raw</t>
        </is>
      </c>
      <c r="F4226" t="inlineStr">
        <is>
          <t>Equal opportunity raw</t>
        </is>
      </c>
      <c r="G4226" t="inlineStr">
        <is>
          <t>capability</t>
        </is>
      </c>
      <c r="H4226" t="inlineStr">
        <is>
          <t>yes</t>
        </is>
      </c>
      <c r="I4226" t="inlineStr"/>
      <c r="J4226" t="inlineStr"/>
      <c r="K4226" t="inlineStr"/>
      <c r="L4226" t="inlineStr"/>
      <c r="M4226" t="inlineStr"/>
      <c r="N4226" t="inlineStr"/>
    </row>
    <row r="4227">
      <c r="A4227" t="inlineStr">
        <is>
          <t>om-salalah</t>
        </is>
      </c>
      <c r="B4227" t="inlineStr">
        <is>
          <t>Salalah</t>
        </is>
      </c>
      <c r="C4227" t="inlineStr">
        <is>
          <t>Oman</t>
        </is>
      </c>
      <c r="D4227" t="inlineStr">
        <is>
          <t>Middle East</t>
        </is>
      </c>
      <c r="E4227" t="inlineStr">
        <is>
          <t>hospitality_belonging_raw</t>
        </is>
      </c>
      <c r="F4227" t="inlineStr">
        <is>
          <t>Hospitality and belonging raw</t>
        </is>
      </c>
      <c r="G4227" t="inlineStr">
        <is>
          <t>community</t>
        </is>
      </c>
      <c r="H4227" t="inlineStr">
        <is>
          <t>yes</t>
        </is>
      </c>
      <c r="I4227" t="inlineStr">
        <is>
          <t>71.53</t>
        </is>
      </c>
      <c r="J4227" t="inlineStr">
        <is>
          <t>world_bank</t>
        </is>
      </c>
      <c r="K4227" t="inlineStr">
        <is>
          <t>https://api.worldbank.org/v2/country/OMN/indicator/SM.POP.NETM?format=json&amp;mrv=10</t>
        </is>
      </c>
      <c r="L4227" t="inlineStr">
        <is>
          <t>World Bank WDI: Net migration (proxy for hospitality/belonging — positive = welcoming)</t>
        </is>
      </c>
      <c r="M4227" t="inlineStr">
        <is>
          <t>2025-12-31</t>
        </is>
      </c>
      <c r="N4227" t="inlineStr">
        <is>
          <t>auto_ingest=world_bank_proxy; proxy=net_migration_hospitality; indicator=SM.POP.NETM; year=2025; country_proxy=Oman</t>
        </is>
      </c>
    </row>
    <row r="4228">
      <c r="A4228" t="inlineStr">
        <is>
          <t>om-salalah</t>
        </is>
      </c>
      <c r="B4228" t="inlineStr">
        <is>
          <t>Salalah</t>
        </is>
      </c>
      <c r="C4228" t="inlineStr">
        <is>
          <t>Oman</t>
        </is>
      </c>
      <c r="D4228" t="inlineStr">
        <is>
          <t>Middle East</t>
        </is>
      </c>
      <c r="E4228" t="inlineStr">
        <is>
          <t>tolerance_pluralism_raw</t>
        </is>
      </c>
      <c r="F4228" t="inlineStr">
        <is>
          <t>Tolerance and pluralism raw</t>
        </is>
      </c>
      <c r="G4228" t="inlineStr">
        <is>
          <t>community</t>
        </is>
      </c>
      <c r="H4228" t="inlineStr">
        <is>
          <t>yes</t>
        </is>
      </c>
      <c r="I4228" t="inlineStr">
        <is>
          <t>0.0</t>
        </is>
      </c>
      <c r="J4228" t="inlineStr">
        <is>
          <t>world_bank</t>
        </is>
      </c>
      <c r="K4228" t="inlineStr">
        <is>
          <t>https://api.worldbank.org/v2/country/OMN/indicator/SG.GEN.PARL.ZS?format=json&amp;mrv=10</t>
        </is>
      </c>
      <c r="L4228" t="inlineStr">
        <is>
          <t>World Bank WDI: Proportion of seats held by women in national parliaments (%)</t>
        </is>
      </c>
      <c r="M4228" t="inlineStr">
        <is>
          <t>2024-12-31</t>
        </is>
      </c>
      <c r="N4228" t="inlineStr">
        <is>
          <t>auto_ingest=world_bank_proxy; proxy=gender_parity_parliament; indicator=SG.GEN.PARL.ZS; year=2024; country_proxy=Oman</t>
        </is>
      </c>
    </row>
    <row r="4229">
      <c r="A4229" t="inlineStr">
        <is>
          <t>om-salalah</t>
        </is>
      </c>
      <c r="B4229" t="inlineStr">
        <is>
          <t>Salalah</t>
        </is>
      </c>
      <c r="C4229" t="inlineStr">
        <is>
          <t>Oman</t>
        </is>
      </c>
      <c r="D4229" t="inlineStr">
        <is>
          <t>Middle East</t>
        </is>
      </c>
      <c r="E4229" t="inlineStr">
        <is>
          <t>cultural_public_life_raw</t>
        </is>
      </c>
      <c r="F4229" t="inlineStr">
        <is>
          <t>Cultural public life raw</t>
        </is>
      </c>
      <c r="G4229" t="inlineStr">
        <is>
          <t>community</t>
        </is>
      </c>
      <c r="H4229" t="inlineStr">
        <is>
          <t>yes</t>
        </is>
      </c>
      <c r="I4229" t="inlineStr">
        <is>
          <t>164.54</t>
        </is>
      </c>
      <c r="J4229" t="inlineStr">
        <is>
          <t>world_bank</t>
        </is>
      </c>
      <c r="K4229" t="inlineStr">
        <is>
          <t>https://api.worldbank.org/v2/country/OMN/indicator/ST.INT.ARVL?format=json&amp;mrv=10</t>
        </is>
      </c>
      <c r="L4229" t="inlineStr">
        <is>
          <t>World Bank WDI: International tourism arrivals per 1 000 population</t>
        </is>
      </c>
      <c r="M4229" t="inlineStr">
        <is>
          <t>2020-12-31</t>
        </is>
      </c>
      <c r="N4229" t="inlineStr">
        <is>
          <t>auto_ingest=cultural_life_proxy; indicator=ST.INT.ARVL; norm=per_1000_pop; year=2020; country_proxy=Oman</t>
        </is>
      </c>
    </row>
    <row r="4230">
      <c r="A4230" t="inlineStr">
        <is>
          <t>om-salalah</t>
        </is>
      </c>
      <c r="B4230" t="inlineStr">
        <is>
          <t>Salalah</t>
        </is>
      </c>
      <c r="C4230" t="inlineStr">
        <is>
          <t>Oman</t>
        </is>
      </c>
      <c r="D4230" t="inlineStr">
        <is>
          <t>Middle East</t>
        </is>
      </c>
      <c r="E4230" t="inlineStr">
        <is>
          <t>birth_rate_optimism_raw</t>
        </is>
      </c>
      <c r="F4230" t="inlineStr">
        <is>
          <t>Birth rate and societal optimism raw</t>
        </is>
      </c>
      <c r="G4230" t="inlineStr">
        <is>
          <t>community</t>
        </is>
      </c>
      <c r="H4230" t="inlineStr">
        <is>
          <t>yes</t>
        </is>
      </c>
      <c r="I4230" t="inlineStr"/>
      <c r="J4230" t="inlineStr"/>
      <c r="K4230" t="inlineStr"/>
      <c r="L4230" t="inlineStr"/>
      <c r="M4230" t="inlineStr"/>
      <c r="N4230" t="inlineStr"/>
    </row>
    <row r="4231">
      <c r="A4231" t="inlineStr">
        <is>
          <t>om-salalah</t>
        </is>
      </c>
      <c r="B4231" t="inlineStr">
        <is>
          <t>Salalah</t>
        </is>
      </c>
      <c r="C4231" t="inlineStr">
        <is>
          <t>Oman</t>
        </is>
      </c>
      <c r="D4231" t="inlineStr">
        <is>
          <t>Middle East</t>
        </is>
      </c>
      <c r="E4231" t="inlineStr">
        <is>
          <t>entrepreneurial_dynamism_raw</t>
        </is>
      </c>
      <c r="F4231" t="inlineStr">
        <is>
          <t>Entrepreneurial dynamism raw</t>
        </is>
      </c>
      <c r="G4231" t="inlineStr">
        <is>
          <t>creative</t>
        </is>
      </c>
      <c r="H4231" t="inlineStr">
        <is>
          <t>yes</t>
        </is>
      </c>
      <c r="I4231" t="inlineStr">
        <is>
          <t>1.78</t>
        </is>
      </c>
      <c r="J4231" t="inlineStr">
        <is>
          <t>world_bank</t>
        </is>
      </c>
      <c r="K4231" t="inlineStr">
        <is>
          <t>https://api.worldbank.org/v2/country/OMN/indicator/IC.BUS.NDNS.ZS?format=json&amp;mrv=10</t>
        </is>
      </c>
      <c r="L4231" t="inlineStr">
        <is>
          <t>World Bank WDI: New business density (new registrations per 1,000 people ages 15-64)</t>
        </is>
      </c>
      <c r="M4231" t="inlineStr">
        <is>
          <t>2020-12-31</t>
        </is>
      </c>
      <c r="N4231" t="inlineStr">
        <is>
          <t>auto_ingest=world_bank_creative_extended; indicator=IC.BUS.NDNS.ZS; year=2020; country_proxy=Oman</t>
        </is>
      </c>
    </row>
    <row r="4232">
      <c r="A4232" t="inlineStr">
        <is>
          <t>om-salalah</t>
        </is>
      </c>
      <c r="B4232" t="inlineStr">
        <is>
          <t>Salalah</t>
        </is>
      </c>
      <c r="C4232" t="inlineStr">
        <is>
          <t>Oman</t>
        </is>
      </c>
      <c r="D4232" t="inlineStr">
        <is>
          <t>Middle East</t>
        </is>
      </c>
      <c r="E4232" t="inlineStr">
        <is>
          <t>innovation_research_intensity_raw</t>
        </is>
      </c>
      <c r="F4232" t="inlineStr">
        <is>
          <t>Innovation and research raw</t>
        </is>
      </c>
      <c r="G4232" t="inlineStr">
        <is>
          <t>creative</t>
        </is>
      </c>
      <c r="H4232" t="inlineStr">
        <is>
          <t>yes</t>
        </is>
      </c>
      <c r="I4232" t="inlineStr">
        <is>
          <t>0.37</t>
        </is>
      </c>
      <c r="J4232" t="inlineStr">
        <is>
          <t>world_bank</t>
        </is>
      </c>
      <c r="K4232" t="inlineStr">
        <is>
          <t>https://api.worldbank.org/v2/country/OMN/indicator/GB.XPD.RSDV.GD.ZS?format=json&amp;mrv=10</t>
        </is>
      </c>
      <c r="L4232" t="inlineStr">
        <is>
          <t>World Bank WDI: Research and development expenditure (% of GDP)</t>
        </is>
      </c>
      <c r="M4232" t="inlineStr">
        <is>
          <t>2023-12-31</t>
        </is>
      </c>
      <c r="N4232" t="inlineStr">
        <is>
          <t>auto_ingest=world_bank_creative_extended; indicator=GB.XPD.RSDV.GD.ZS; year=2023; country_proxy=Oman</t>
        </is>
      </c>
    </row>
    <row r="4233">
      <c r="A4233" t="inlineStr">
        <is>
          <t>om-salalah</t>
        </is>
      </c>
      <c r="B4233" t="inlineStr">
        <is>
          <t>Salalah</t>
        </is>
      </c>
      <c r="C4233" t="inlineStr">
        <is>
          <t>Oman</t>
        </is>
      </c>
      <c r="D4233" t="inlineStr">
        <is>
          <t>Middle East</t>
        </is>
      </c>
      <c r="E4233" t="inlineStr">
        <is>
          <t>investment_signal_raw</t>
        </is>
      </c>
      <c r="F4233" t="inlineStr">
        <is>
          <t>Investment signal raw</t>
        </is>
      </c>
      <c r="G4233" t="inlineStr">
        <is>
          <t>creative</t>
        </is>
      </c>
      <c r="H4233" t="inlineStr">
        <is>
          <t>yes</t>
        </is>
      </c>
      <c r="I4233" t="inlineStr">
        <is>
          <t>11.64</t>
        </is>
      </c>
      <c r="J4233" t="inlineStr">
        <is>
          <t>world_bank</t>
        </is>
      </c>
      <c r="K4233" t="inlineStr">
        <is>
          <t>https://api.worldbank.org/v2/country/OMN/indicator/BX.KLT.DINV.WD.GD.ZS?format=json&amp;mrv=10</t>
        </is>
      </c>
      <c r="L4233" t="inlineStr">
        <is>
          <t>World Bank WDI: Foreign direct investment, net inflows (% of GDP)</t>
        </is>
      </c>
      <c r="M4233" t="inlineStr">
        <is>
          <t>2024-12-31</t>
        </is>
      </c>
      <c r="N4233" t="inlineStr">
        <is>
          <t>auto_ingest=world_bank_creative_extended; indicator=BX.KLT.DINV.WD.GD.ZS; year=2024; country_proxy=Oman</t>
        </is>
      </c>
    </row>
    <row r="4234">
      <c r="A4234" t="inlineStr">
        <is>
          <t>om-salalah</t>
        </is>
      </c>
      <c r="B4234" t="inlineStr">
        <is>
          <t>Salalah</t>
        </is>
      </c>
      <c r="C4234" t="inlineStr">
        <is>
          <t>Oman</t>
        </is>
      </c>
      <c r="D4234" t="inlineStr">
        <is>
          <t>Middle East</t>
        </is>
      </c>
      <c r="E4234" t="inlineStr">
        <is>
          <t>administrative_investment_friction_raw</t>
        </is>
      </c>
      <c r="F4234" t="inlineStr">
        <is>
          <t>Administrative investment friction raw</t>
        </is>
      </c>
      <c r="G4234" t="inlineStr">
        <is>
          <t>creative</t>
        </is>
      </c>
      <c r="H4234" t="inlineStr">
        <is>
          <t>yes</t>
        </is>
      </c>
      <c r="I4234" t="inlineStr">
        <is>
          <t>2.07</t>
        </is>
      </c>
      <c r="J4234" t="inlineStr">
        <is>
          <t>world_bank</t>
        </is>
      </c>
      <c r="K4234" t="inlineStr">
        <is>
          <t>https://api.worldbank.org/v2/country/OMN/indicator/RQ.EST?format=json&amp;mrv=10</t>
        </is>
      </c>
      <c r="L4234" t="inlineStr">
        <is>
          <t>World Bank WGI: Regulatory Quality (inverted as friction proxy)</t>
        </is>
      </c>
      <c r="M4234" t="inlineStr">
        <is>
          <t>2023-12-31</t>
        </is>
      </c>
      <c r="N4234" t="inlineStr">
        <is>
          <t>auto_ingest=world_bank_business_friction; indicator=RQ.EST; raw_rq=0.434537470340729; friction=2.07; year=2023; country_proxy=Oman</t>
        </is>
      </c>
    </row>
    <row r="4235">
      <c r="A4235" t="inlineStr">
        <is>
          <t>om-salalah</t>
        </is>
      </c>
      <c r="B4235" t="inlineStr">
        <is>
          <t>Salalah</t>
        </is>
      </c>
      <c r="C4235" t="inlineStr">
        <is>
          <t>Oman</t>
        </is>
      </c>
      <c r="D4235" t="inlineStr">
        <is>
          <t>Middle East</t>
        </is>
      </c>
      <c r="E4235" t="inlineStr">
        <is>
          <t>visitor_flow_context_raw</t>
        </is>
      </c>
      <c r="F4235" t="inlineStr">
        <is>
          <t>Visitor flow context raw</t>
        </is>
      </c>
      <c r="G4235" t="inlineStr">
        <is>
          <t>creative</t>
        </is>
      </c>
      <c r="H4235" t="inlineStr">
        <is>
          <t>no</t>
        </is>
      </c>
      <c r="I4235" t="inlineStr"/>
      <c r="J4235" t="inlineStr"/>
      <c r="K4235" t="inlineStr"/>
      <c r="L4235" t="inlineStr"/>
      <c r="M4235" t="inlineStr"/>
      <c r="N4235" t="inlineStr"/>
    </row>
    <row r="4236">
      <c r="A4236" t="inlineStr">
        <is>
          <t>jo-aqaba</t>
        </is>
      </c>
      <c r="B4236" t="inlineStr">
        <is>
          <t>Aqaba</t>
        </is>
      </c>
      <c r="C4236" t="inlineStr">
        <is>
          <t>Jordan</t>
        </is>
      </c>
      <c r="D4236" t="inlineStr">
        <is>
          <t>Middle East</t>
        </is>
      </c>
      <c r="E4236" t="inlineStr">
        <is>
          <t>gross_income</t>
        </is>
      </c>
      <c r="F4236" t="inlineStr">
        <is>
          <t>Gross income</t>
        </is>
      </c>
      <c r="G4236" t="inlineStr">
        <is>
          <t>pressure</t>
        </is>
      </c>
      <c r="H4236" t="inlineStr">
        <is>
          <t>yes</t>
        </is>
      </c>
      <c r="I4236" t="inlineStr">
        <is>
          <t>880.83</t>
        </is>
      </c>
      <c r="J4236" t="inlineStr">
        <is>
          <t>world_bank_col_estimate</t>
        </is>
      </c>
      <c r="K4236" t="inlineStr">
        <is>
          <t>https://api.worldbank.org/v2/country/JOR/indicator/NY.GNP.PCAP.PP.CD?format=json&amp;mrv=10</t>
        </is>
      </c>
      <c r="L4236" t="inlineStr">
        <is>
          <t>World Bank WDI: GNI per capita PPP (monthly USD)</t>
        </is>
      </c>
      <c r="M4236" t="inlineStr">
        <is>
          <t>2024-12-31</t>
        </is>
      </c>
      <c r="N4236" t="inlineStr">
        <is>
          <t>auto_ingest=world_bank_col_estimate; gni_annual=10570.0; year=2024; country_proxy=Jordan; cohort=Middle East</t>
        </is>
      </c>
    </row>
    <row r="4237">
      <c r="A4237" t="inlineStr">
        <is>
          <t>jo-aqaba</t>
        </is>
      </c>
      <c r="B4237" t="inlineStr">
        <is>
          <t>Aqaba</t>
        </is>
      </c>
      <c r="C4237" t="inlineStr">
        <is>
          <t>Jordan</t>
        </is>
      </c>
      <c r="D4237" t="inlineStr">
        <is>
          <t>Middle East</t>
        </is>
      </c>
      <c r="E4237" t="inlineStr">
        <is>
          <t>di_ppp_raw</t>
        </is>
      </c>
      <c r="F4237" t="inlineStr">
        <is>
          <t>Disposable income PPP (Raw)</t>
        </is>
      </c>
      <c r="G4237" t="inlineStr">
        <is>
          <t>pressure</t>
        </is>
      </c>
      <c r="H4237" t="inlineStr">
        <is>
          <t>yes</t>
        </is>
      </c>
      <c r="I4237" t="inlineStr"/>
      <c r="J4237" t="inlineStr"/>
      <c r="K4237" t="inlineStr"/>
      <c r="L4237" t="inlineStr"/>
      <c r="M4237" t="inlineStr"/>
      <c r="N4237" t="inlineStr"/>
    </row>
    <row r="4238">
      <c r="A4238" t="inlineStr">
        <is>
          <t>jo-aqaba</t>
        </is>
      </c>
      <c r="B4238" t="inlineStr">
        <is>
          <t>Aqaba</t>
        </is>
      </c>
      <c r="C4238" t="inlineStr">
        <is>
          <t>Jordan</t>
        </is>
      </c>
      <c r="D4238" t="inlineStr">
        <is>
          <t>Middle East</t>
        </is>
      </c>
      <c r="E4238" t="inlineStr">
        <is>
          <t>rent</t>
        </is>
      </c>
      <c r="F4238" t="inlineStr">
        <is>
          <t>Rent</t>
        </is>
      </c>
      <c r="G4238" t="inlineStr">
        <is>
          <t>pressure</t>
        </is>
      </c>
      <c r="H4238" t="inlineStr">
        <is>
          <t>yes</t>
        </is>
      </c>
      <c r="I4238" t="inlineStr">
        <is>
          <t>165.16</t>
        </is>
      </c>
      <c r="J4238" t="inlineStr">
        <is>
          <t>world_bank_col_estimate</t>
        </is>
      </c>
      <c r="K4238" t="inlineStr">
        <is>
          <t>https://api.worldbank.org/v2/country/JOR/indicator/NY.GNP.PCAP.PP.CD?format=json&amp;mrv=10</t>
        </is>
      </c>
      <c r="L4238" t="inlineStr">
        <is>
          <t>World Bank GNI + regional expenditure ratio estimate</t>
        </is>
      </c>
      <c r="M4238" t="inlineStr">
        <is>
          <t>2024-12-31</t>
        </is>
      </c>
      <c r="N4238" t="inlineStr">
        <is>
          <t>auto_ingest=world_bank_col_estimate; gni_annual=10570.0; year=2024; country_proxy=Jordan; cohort=Middle East; city_cost_mult=0.75</t>
        </is>
      </c>
    </row>
    <row r="4239">
      <c r="A4239" t="inlineStr">
        <is>
          <t>jo-aqaba</t>
        </is>
      </c>
      <c r="B4239" t="inlineStr">
        <is>
          <t>Aqaba</t>
        </is>
      </c>
      <c r="C4239" t="inlineStr">
        <is>
          <t>Jordan</t>
        </is>
      </c>
      <c r="D4239" t="inlineStr">
        <is>
          <t>Middle East</t>
        </is>
      </c>
      <c r="E4239" t="inlineStr">
        <is>
          <t>utilities</t>
        </is>
      </c>
      <c r="F4239" t="inlineStr">
        <is>
          <t>Utilities</t>
        </is>
      </c>
      <c r="G4239" t="inlineStr">
        <is>
          <t>pressure</t>
        </is>
      </c>
      <c r="H4239" t="inlineStr">
        <is>
          <t>yes</t>
        </is>
      </c>
      <c r="I4239" t="inlineStr">
        <is>
          <t>33.03</t>
        </is>
      </c>
      <c r="J4239" t="inlineStr">
        <is>
          <t>world_bank_col_estimate</t>
        </is>
      </c>
      <c r="K4239" t="inlineStr">
        <is>
          <t>https://api.worldbank.org/v2/country/JOR/indicator/NY.GNP.PCAP.PP.CD?format=json&amp;mrv=10</t>
        </is>
      </c>
      <c r="L4239" t="inlineStr">
        <is>
          <t>World Bank GNI + regional expenditure ratio estimate</t>
        </is>
      </c>
      <c r="M4239" t="inlineStr">
        <is>
          <t>2024-12-31</t>
        </is>
      </c>
      <c r="N4239" t="inlineStr">
        <is>
          <t>auto_ingest=world_bank_col_estimate; gni_annual=10570.0; year=2024; country_proxy=Jordan; cohort=Middle East; city_cost_mult=0.75</t>
        </is>
      </c>
    </row>
    <row r="4240">
      <c r="A4240" t="inlineStr">
        <is>
          <t>jo-aqaba</t>
        </is>
      </c>
      <c r="B4240" t="inlineStr">
        <is>
          <t>Aqaba</t>
        </is>
      </c>
      <c r="C4240" t="inlineStr">
        <is>
          <t>Jordan</t>
        </is>
      </c>
      <c r="D4240" t="inlineStr">
        <is>
          <t>Middle East</t>
        </is>
      </c>
      <c r="E4240" t="inlineStr">
        <is>
          <t>transit_cost</t>
        </is>
      </c>
      <c r="F4240" t="inlineStr">
        <is>
          <t>Transit cost</t>
        </is>
      </c>
      <c r="G4240" t="inlineStr">
        <is>
          <t>pressure</t>
        </is>
      </c>
      <c r="H4240" t="inlineStr">
        <is>
          <t>yes</t>
        </is>
      </c>
      <c r="I4240" t="inlineStr">
        <is>
          <t>26.42</t>
        </is>
      </c>
      <c r="J4240" t="inlineStr">
        <is>
          <t>world_bank_col_estimate</t>
        </is>
      </c>
      <c r="K4240" t="inlineStr">
        <is>
          <t>https://api.worldbank.org/v2/country/JOR/indicator/NY.GNP.PCAP.PP.CD?format=json&amp;mrv=10</t>
        </is>
      </c>
      <c r="L4240" t="inlineStr">
        <is>
          <t>World Bank GNI + regional expenditure ratio estimate</t>
        </is>
      </c>
      <c r="M4240" t="inlineStr">
        <is>
          <t>2024-12-31</t>
        </is>
      </c>
      <c r="N4240" t="inlineStr">
        <is>
          <t>auto_ingest=world_bank_col_estimate; gni_annual=10570.0; year=2024; country_proxy=Jordan; cohort=Middle East; city_cost_mult=0.75</t>
        </is>
      </c>
    </row>
    <row r="4241">
      <c r="A4241" t="inlineStr">
        <is>
          <t>jo-aqaba</t>
        </is>
      </c>
      <c r="B4241" t="inlineStr">
        <is>
          <t>Aqaba</t>
        </is>
      </c>
      <c r="C4241" t="inlineStr">
        <is>
          <t>Jordan</t>
        </is>
      </c>
      <c r="D4241" t="inlineStr">
        <is>
          <t>Middle East</t>
        </is>
      </c>
      <c r="E4241" t="inlineStr">
        <is>
          <t>internet_cost</t>
        </is>
      </c>
      <c r="F4241" t="inlineStr">
        <is>
          <t>Internet cost</t>
        </is>
      </c>
      <c r="G4241" t="inlineStr">
        <is>
          <t>pressure</t>
        </is>
      </c>
      <c r="H4241" t="inlineStr">
        <is>
          <t>yes</t>
        </is>
      </c>
      <c r="I4241" t="inlineStr">
        <is>
          <t>9.91</t>
        </is>
      </c>
      <c r="J4241" t="inlineStr">
        <is>
          <t>world_bank_col_estimate</t>
        </is>
      </c>
      <c r="K4241" t="inlineStr">
        <is>
          <t>https://api.worldbank.org/v2/country/JOR/indicator/NY.GNP.PCAP.PP.CD?format=json&amp;mrv=10</t>
        </is>
      </c>
      <c r="L4241" t="inlineStr">
        <is>
          <t>World Bank GNI + regional expenditure ratio estimate</t>
        </is>
      </c>
      <c r="M4241" t="inlineStr">
        <is>
          <t>2024-12-31</t>
        </is>
      </c>
      <c r="N4241" t="inlineStr">
        <is>
          <t>auto_ingest=world_bank_col_estimate; gni_annual=10570.0; year=2024; country_proxy=Jordan; cohort=Middle East; city_cost_mult=0.75</t>
        </is>
      </c>
    </row>
    <row r="4242">
      <c r="A4242" t="inlineStr">
        <is>
          <t>jo-aqaba</t>
        </is>
      </c>
      <c r="B4242" t="inlineStr">
        <is>
          <t>Aqaba</t>
        </is>
      </c>
      <c r="C4242" t="inlineStr">
        <is>
          <t>Jordan</t>
        </is>
      </c>
      <c r="D4242" t="inlineStr">
        <is>
          <t>Middle East</t>
        </is>
      </c>
      <c r="E4242" t="inlineStr">
        <is>
          <t>food_cost</t>
        </is>
      </c>
      <c r="F4242" t="inlineStr">
        <is>
          <t>Food cost</t>
        </is>
      </c>
      <c r="G4242" t="inlineStr">
        <is>
          <t>pressure</t>
        </is>
      </c>
      <c r="H4242" t="inlineStr">
        <is>
          <t>yes</t>
        </is>
      </c>
      <c r="I4242" t="inlineStr">
        <is>
          <t>118.91</t>
        </is>
      </c>
      <c r="J4242" t="inlineStr">
        <is>
          <t>world_bank_col_estimate</t>
        </is>
      </c>
      <c r="K4242" t="inlineStr">
        <is>
          <t>https://api.worldbank.org/v2/country/JOR/indicator/NY.GNP.PCAP.PP.CD?format=json&amp;mrv=10</t>
        </is>
      </c>
      <c r="L4242" t="inlineStr">
        <is>
          <t>World Bank GNI + regional expenditure ratio estimate</t>
        </is>
      </c>
      <c r="M4242" t="inlineStr">
        <is>
          <t>2024-12-31</t>
        </is>
      </c>
      <c r="N4242" t="inlineStr">
        <is>
          <t>auto_ingest=world_bank_col_estimate; gni_annual=10570.0; year=2024; country_proxy=Jordan; cohort=Middle East; city_cost_mult=0.75</t>
        </is>
      </c>
    </row>
    <row r="4243">
      <c r="A4243" t="inlineStr">
        <is>
          <t>jo-aqaba</t>
        </is>
      </c>
      <c r="B4243" t="inlineStr">
        <is>
          <t>Aqaba</t>
        </is>
      </c>
      <c r="C4243" t="inlineStr">
        <is>
          <t>Jordan</t>
        </is>
      </c>
      <c r="D4243" t="inlineStr">
        <is>
          <t>Middle East</t>
        </is>
      </c>
      <c r="E4243" t="inlineStr">
        <is>
          <t>housing_burden_raw</t>
        </is>
      </c>
      <c r="F4243" t="inlineStr">
        <is>
          <t>Housing burden raw</t>
        </is>
      </c>
      <c r="G4243" t="inlineStr">
        <is>
          <t>pressure</t>
        </is>
      </c>
      <c r="H4243" t="inlineStr">
        <is>
          <t>yes</t>
        </is>
      </c>
      <c r="I4243" t="inlineStr">
        <is>
          <t>18.7505</t>
        </is>
      </c>
      <c r="J4243" t="inlineStr">
        <is>
          <t>derived</t>
        </is>
      </c>
      <c r="K4243" t="inlineStr">
        <is>
          <t>https://data.worldbank.org/indicator/NY.GNP.PCAP.PP.CD</t>
        </is>
      </c>
      <c r="L4243" t="inlineStr">
        <is>
          <t>Computed from city_inputs + country_context</t>
        </is>
      </c>
      <c r="M4243" t="inlineStr">
        <is>
          <t>2024-01-01</t>
        </is>
      </c>
      <c r="N4243" t="inlineStr">
        <is>
          <t>derived=rent/gross_income*100</t>
        </is>
      </c>
    </row>
    <row r="4244">
      <c r="A4244" t="inlineStr">
        <is>
          <t>jo-aqaba</t>
        </is>
      </c>
      <c r="B4244" t="inlineStr">
        <is>
          <t>Aqaba</t>
        </is>
      </c>
      <c r="C4244" t="inlineStr">
        <is>
          <t>Jordan</t>
        </is>
      </c>
      <c r="D4244" t="inlineStr">
        <is>
          <t>Middle East</t>
        </is>
      </c>
      <c r="E4244" t="inlineStr">
        <is>
          <t>household_debt_burden_raw</t>
        </is>
      </c>
      <c r="F4244" t="inlineStr">
        <is>
          <t>Household debt burden raw</t>
        </is>
      </c>
      <c r="G4244" t="inlineStr">
        <is>
          <t>pressure</t>
        </is>
      </c>
      <c r="H4244" t="inlineStr">
        <is>
          <t>yes</t>
        </is>
      </c>
      <c r="I4244" t="inlineStr">
        <is>
          <t>80.0729</t>
        </is>
      </c>
      <c r="J4244" t="inlineStr">
        <is>
          <t>derived</t>
        </is>
      </c>
      <c r="K4244" t="inlineStr">
        <is>
          <t>https://data.worldbank.org/indicator/NY.GNP.PCAP.PP.CD</t>
        </is>
      </c>
      <c r="L4244" t="inlineStr">
        <is>
          <t>Computed from city_inputs + country_context</t>
        </is>
      </c>
      <c r="M4244" t="inlineStr">
        <is>
          <t>2024-01-01</t>
        </is>
      </c>
      <c r="N4244" t="inlineStr">
        <is>
          <t>derived=country_context.household_debt_proxy; country=Jordan</t>
        </is>
      </c>
    </row>
    <row r="4245">
      <c r="A4245" t="inlineStr">
        <is>
          <t>jo-aqaba</t>
        </is>
      </c>
      <c r="B4245" t="inlineStr">
        <is>
          <t>Aqaba</t>
        </is>
      </c>
      <c r="C4245" t="inlineStr">
        <is>
          <t>Jordan</t>
        </is>
      </c>
      <c r="D4245" t="inlineStr">
        <is>
          <t>Middle East</t>
        </is>
      </c>
      <c r="E4245" t="inlineStr">
        <is>
          <t>working_time_pressure_raw</t>
        </is>
      </c>
      <c r="F4245" t="inlineStr">
        <is>
          <t>Working time pressure raw</t>
        </is>
      </c>
      <c r="G4245" t="inlineStr">
        <is>
          <t>pressure</t>
        </is>
      </c>
      <c r="H4245" t="inlineStr">
        <is>
          <t>yes</t>
        </is>
      </c>
      <c r="I4245" t="inlineStr">
        <is>
          <t>48.79</t>
        </is>
      </c>
      <c r="J4245" t="inlineStr">
        <is>
          <t>ilo_ilostat</t>
        </is>
      </c>
      <c r="K4245" t="inlineStr">
        <is>
          <t>https://ilostat.ilo.org/data/indicator/?id=HOW_TEMP_SEX_ECO_NB_A&amp;ref_area=JOR</t>
        </is>
      </c>
      <c r="L4245" t="inlineStr">
        <is>
          <t>ILO ILOSTAT: Mean weekly hours actually worked per employed person</t>
        </is>
      </c>
      <c r="M4245" t="inlineStr">
        <is>
          <t>2023-12-31</t>
        </is>
      </c>
      <c r="N4245" t="inlineStr">
        <is>
          <t>auto_ingest=ilo_working_hours; indicator=HOW_TEMP_SEX_ECO_NB_A; year=2023; hours=48.79; country_proxy=Jordan</t>
        </is>
      </c>
    </row>
    <row r="4246">
      <c r="A4246" t="inlineStr">
        <is>
          <t>jo-aqaba</t>
        </is>
      </c>
      <c r="B4246" t="inlineStr">
        <is>
          <t>Aqaba</t>
        </is>
      </c>
      <c r="C4246" t="inlineStr">
        <is>
          <t>Jordan</t>
        </is>
      </c>
      <c r="D4246" t="inlineStr">
        <is>
          <t>Middle East</t>
        </is>
      </c>
      <c r="E4246" t="inlineStr">
        <is>
          <t>suicide_mental_strain_raw</t>
        </is>
      </c>
      <c r="F4246" t="inlineStr">
        <is>
          <t>Suicide or mental strain raw</t>
        </is>
      </c>
      <c r="G4246" t="inlineStr">
        <is>
          <t>pressure</t>
        </is>
      </c>
      <c r="H4246" t="inlineStr">
        <is>
          <t>yes</t>
        </is>
      </c>
      <c r="I4246" t="inlineStr">
        <is>
          <t>0.6</t>
        </is>
      </c>
      <c r="J4246" t="inlineStr">
        <is>
          <t>who_gho</t>
        </is>
      </c>
      <c r="K4246" t="inlineStr">
        <is>
          <t>https://www.who.int/data/gho/data/indicators/indicator-details/GHO/SDGSUICIDE</t>
        </is>
      </c>
      <c r="L4246" t="inlineStr">
        <is>
          <t>WHO GHO: Age-standardized suicide rate (per 100,000 population)</t>
        </is>
      </c>
      <c r="M4246" t="inlineStr">
        <is>
          <t>2021-12-31</t>
        </is>
      </c>
      <c r="N4246" t="inlineStr">
        <is>
          <t>auto_ingest=who_gho; indicator=SDGSUICIDE; year=2021; country_proxy=Jordan</t>
        </is>
      </c>
    </row>
    <row r="4247">
      <c r="A4247" t="inlineStr">
        <is>
          <t>jo-aqaba</t>
        </is>
      </c>
      <c r="B4247" t="inlineStr">
        <is>
          <t>Aqaba</t>
        </is>
      </c>
      <c r="C4247" t="inlineStr">
        <is>
          <t>Jordan</t>
        </is>
      </c>
      <c r="D4247" t="inlineStr">
        <is>
          <t>Middle East</t>
        </is>
      </c>
      <c r="E4247" t="inlineStr">
        <is>
          <t>personal_safety_raw</t>
        </is>
      </c>
      <c r="F4247" t="inlineStr">
        <is>
          <t>Personal safety raw</t>
        </is>
      </c>
      <c r="G4247" t="inlineStr">
        <is>
          <t>viability</t>
        </is>
      </c>
      <c r="H4247" t="inlineStr">
        <is>
          <t>yes</t>
        </is>
      </c>
      <c r="I4247" t="inlineStr">
        <is>
          <t>0.99</t>
        </is>
      </c>
      <c r="J4247" t="inlineStr">
        <is>
          <t>world_bank</t>
        </is>
      </c>
      <c r="K4247" t="inlineStr">
        <is>
          <t>https://api.worldbank.org/v2/country/JOR/indicator/VC.IHR.PSRC.P5?format=json&amp;mrv=10</t>
        </is>
      </c>
      <c r="L4247" t="inlineStr">
        <is>
          <t>UNODC via World Bank WDI: Intentional homicides (per 100,000 people)</t>
        </is>
      </c>
      <c r="M4247" t="inlineStr">
        <is>
          <t>2023-12-31</t>
        </is>
      </c>
      <c r="N4247" t="inlineStr">
        <is>
          <t>auto_ingest=unodc_safety; indicator=VC.IHR.PSRC.P5; year=2023; country_proxy=Jordan</t>
        </is>
      </c>
    </row>
    <row r="4248">
      <c r="A4248" t="inlineStr">
        <is>
          <t>jo-aqaba</t>
        </is>
      </c>
      <c r="B4248" t="inlineStr">
        <is>
          <t>Aqaba</t>
        </is>
      </c>
      <c r="C4248" t="inlineStr">
        <is>
          <t>Jordan</t>
        </is>
      </c>
      <c r="D4248" t="inlineStr">
        <is>
          <t>Middle East</t>
        </is>
      </c>
      <c r="E4248" t="inlineStr">
        <is>
          <t>transit_access_commute_raw</t>
        </is>
      </c>
      <c r="F4248" t="inlineStr">
        <is>
          <t>Transit access and commute raw</t>
        </is>
      </c>
      <c r="G4248" t="inlineStr">
        <is>
          <t>viability</t>
        </is>
      </c>
      <c r="H4248" t="inlineStr">
        <is>
          <t>yes</t>
        </is>
      </c>
      <c r="I4248" t="inlineStr"/>
      <c r="J4248" t="inlineStr"/>
      <c r="K4248" t="inlineStr"/>
      <c r="L4248" t="inlineStr"/>
      <c r="M4248" t="inlineStr"/>
      <c r="N4248" t="inlineStr"/>
    </row>
    <row r="4249">
      <c r="A4249" t="inlineStr">
        <is>
          <t>jo-aqaba</t>
        </is>
      </c>
      <c r="B4249" t="inlineStr">
        <is>
          <t>Aqaba</t>
        </is>
      </c>
      <c r="C4249" t="inlineStr">
        <is>
          <t>Jordan</t>
        </is>
      </c>
      <c r="D4249" t="inlineStr">
        <is>
          <t>Middle East</t>
        </is>
      </c>
      <c r="E4249" t="inlineStr">
        <is>
          <t>clean_air_raw</t>
        </is>
      </c>
      <c r="F4249" t="inlineStr">
        <is>
          <t>Clean air raw</t>
        </is>
      </c>
      <c r="G4249" t="inlineStr">
        <is>
          <t>viability</t>
        </is>
      </c>
      <c r="H4249" t="inlineStr">
        <is>
          <t>yes</t>
        </is>
      </c>
      <c r="I4249" t="inlineStr"/>
      <c r="J4249" t="inlineStr"/>
      <c r="K4249" t="inlineStr"/>
      <c r="L4249" t="inlineStr"/>
      <c r="M4249" t="inlineStr"/>
      <c r="N4249" t="inlineStr"/>
    </row>
    <row r="4250">
      <c r="A4250" t="inlineStr">
        <is>
          <t>jo-aqaba</t>
        </is>
      </c>
      <c r="B4250" t="inlineStr">
        <is>
          <t>Aqaba</t>
        </is>
      </c>
      <c r="C4250" t="inlineStr">
        <is>
          <t>Jordan</t>
        </is>
      </c>
      <c r="D4250" t="inlineStr">
        <is>
          <t>Middle East</t>
        </is>
      </c>
      <c r="E4250" t="inlineStr">
        <is>
          <t>water_sanitation_utility_raw</t>
        </is>
      </c>
      <c r="F4250" t="inlineStr">
        <is>
          <t>Water, sanitation, and utility raw</t>
        </is>
      </c>
      <c r="G4250" t="inlineStr">
        <is>
          <t>viability</t>
        </is>
      </c>
      <c r="H4250" t="inlineStr">
        <is>
          <t>yes</t>
        </is>
      </c>
      <c r="I4250" t="inlineStr">
        <is>
          <t>88.95</t>
        </is>
      </c>
      <c r="J4250" t="inlineStr">
        <is>
          <t>world_bank</t>
        </is>
      </c>
      <c r="K4250" t="inlineStr">
        <is>
          <t>https://api.worldbank.org/v2/country/JOR/indicator/SH.H2O.SMDW.ZS?format=json&amp;mrv=10</t>
        </is>
      </c>
      <c r="L4250" t="inlineStr">
        <is>
          <t>World Bank WDI: People using safely managed drinking water services (% of population)</t>
        </is>
      </c>
      <c r="M4250" t="inlineStr">
        <is>
          <t>2024-12-31</t>
        </is>
      </c>
      <c r="N4250" t="inlineStr">
        <is>
          <t>auto_ingest=world_bank_proxy; indicator=SH.H2O.SMDW.ZS; year=2024; country_proxy=Jordan</t>
        </is>
      </c>
    </row>
    <row r="4251">
      <c r="A4251" t="inlineStr">
        <is>
          <t>jo-aqaba</t>
        </is>
      </c>
      <c r="B4251" t="inlineStr">
        <is>
          <t>Aqaba</t>
        </is>
      </c>
      <c r="C4251" t="inlineStr">
        <is>
          <t>Jordan</t>
        </is>
      </c>
      <c r="D4251" t="inlineStr">
        <is>
          <t>Middle East</t>
        </is>
      </c>
      <c r="E4251" t="inlineStr">
        <is>
          <t>digital_infrastructure_raw</t>
        </is>
      </c>
      <c r="F4251" t="inlineStr">
        <is>
          <t>Digital infrastructure raw</t>
        </is>
      </c>
      <c r="G4251" t="inlineStr">
        <is>
          <t>viability</t>
        </is>
      </c>
      <c r="H4251" t="inlineStr">
        <is>
          <t>yes</t>
        </is>
      </c>
      <c r="I4251" t="inlineStr">
        <is>
          <t>7.04</t>
        </is>
      </c>
      <c r="J4251" t="inlineStr">
        <is>
          <t>world_bank</t>
        </is>
      </c>
      <c r="K4251" t="inlineStr">
        <is>
          <t>https://api.worldbank.org/v2/country/JOR/indicator/IT.NET.BBND.P2?format=json&amp;mrv=10</t>
        </is>
      </c>
      <c r="L4251" t="inlineStr">
        <is>
          <t>World Bank WDI: Fixed broadband subscriptions (per 100 people)</t>
        </is>
      </c>
      <c r="M4251" t="inlineStr">
        <is>
          <t>2023-12-31</t>
        </is>
      </c>
      <c r="N4251" t="inlineStr">
        <is>
          <t>auto_ingest=world_bank_proxy; indicator=IT.NET.BBND.P2; year=2023; country_proxy=Jordan</t>
        </is>
      </c>
    </row>
    <row r="4252">
      <c r="A4252" t="inlineStr">
        <is>
          <t>jo-aqaba</t>
        </is>
      </c>
      <c r="B4252" t="inlineStr">
        <is>
          <t>Aqaba</t>
        </is>
      </c>
      <c r="C4252" t="inlineStr">
        <is>
          <t>Jordan</t>
        </is>
      </c>
      <c r="D4252" t="inlineStr">
        <is>
          <t>Middle East</t>
        </is>
      </c>
      <c r="E4252" t="inlineStr">
        <is>
          <t>climate_sunlight_livability_raw</t>
        </is>
      </c>
      <c r="F4252" t="inlineStr">
        <is>
          <t>Climate and sunlight livability raw</t>
        </is>
      </c>
      <c r="G4252" t="inlineStr">
        <is>
          <t>viability</t>
        </is>
      </c>
      <c r="H4252" t="inlineStr">
        <is>
          <t>yes</t>
        </is>
      </c>
      <c r="I4252" t="inlineStr"/>
      <c r="J4252" t="inlineStr"/>
      <c r="K4252" t="inlineStr"/>
      <c r="L4252" t="inlineStr"/>
      <c r="M4252" t="inlineStr"/>
      <c r="N4252" t="inlineStr"/>
    </row>
    <row r="4253">
      <c r="A4253" t="inlineStr">
        <is>
          <t>jo-aqaba</t>
        </is>
      </c>
      <c r="B4253" t="inlineStr">
        <is>
          <t>Aqaba</t>
        </is>
      </c>
      <c r="C4253" t="inlineStr">
        <is>
          <t>Jordan</t>
        </is>
      </c>
      <c r="D4253" t="inlineStr">
        <is>
          <t>Middle East</t>
        </is>
      </c>
      <c r="E4253" t="inlineStr">
        <is>
          <t>healthcare_quality_raw</t>
        </is>
      </c>
      <c r="F4253" t="inlineStr">
        <is>
          <t>Healthcare quality raw</t>
        </is>
      </c>
      <c r="G4253" t="inlineStr">
        <is>
          <t>capability</t>
        </is>
      </c>
      <c r="H4253" t="inlineStr">
        <is>
          <t>yes</t>
        </is>
      </c>
      <c r="I4253" t="inlineStr">
        <is>
          <t>74.0</t>
        </is>
      </c>
      <c r="J4253" t="inlineStr">
        <is>
          <t>who_gho</t>
        </is>
      </c>
      <c r="K4253" t="inlineStr">
        <is>
          <t>https://www.who.int/data/gho/data/indicators/indicator-details/GHO/UHC_INDEX_REPORTED</t>
        </is>
      </c>
      <c r="L4253" t="inlineStr">
        <is>
          <t>WHO GHO: UHC Service Coverage Index</t>
        </is>
      </c>
      <c r="M4253" t="inlineStr">
        <is>
          <t>2023-12-31</t>
        </is>
      </c>
      <c r="N4253" t="inlineStr">
        <is>
          <t>auto_ingest=who_gho; indicator=UHC_INDEX_REPORTED; year=2023; country_proxy=Jordan</t>
        </is>
      </c>
    </row>
    <row r="4254">
      <c r="A4254" t="inlineStr">
        <is>
          <t>jo-aqaba</t>
        </is>
      </c>
      <c r="B4254" t="inlineStr">
        <is>
          <t>Aqaba</t>
        </is>
      </c>
      <c r="C4254" t="inlineStr">
        <is>
          <t>Jordan</t>
        </is>
      </c>
      <c r="D4254" t="inlineStr">
        <is>
          <t>Middle East</t>
        </is>
      </c>
      <c r="E4254" t="inlineStr">
        <is>
          <t>education_quality_raw</t>
        </is>
      </c>
      <c r="F4254" t="inlineStr">
        <is>
          <t>Education quality raw</t>
        </is>
      </c>
      <c r="G4254" t="inlineStr">
        <is>
          <t>capability</t>
        </is>
      </c>
      <c r="H4254" t="inlineStr">
        <is>
          <t>yes</t>
        </is>
      </c>
      <c r="I4254" t="inlineStr">
        <is>
          <t>35.92</t>
        </is>
      </c>
      <c r="J4254" t="inlineStr">
        <is>
          <t>world_bank</t>
        </is>
      </c>
      <c r="K4254" t="inlineStr">
        <is>
          <t>https://api.worldbank.org/v2/country/JOR/indicator/SE.TER.ENRR?format=json&amp;mrv=10</t>
        </is>
      </c>
      <c r="L4254" t="inlineStr">
        <is>
          <t>World Bank WDI: School enrollment, tertiary (% gross)</t>
        </is>
      </c>
      <c r="M4254" t="inlineStr">
        <is>
          <t>2024-12-31</t>
        </is>
      </c>
      <c r="N4254" t="inlineStr">
        <is>
          <t>auto_ingest=world_bank_proxy; indicator=SE.TER.ENRR; year=2024; country_proxy=Jordan</t>
        </is>
      </c>
    </row>
    <row r="4255">
      <c r="A4255" t="inlineStr">
        <is>
          <t>jo-aqaba</t>
        </is>
      </c>
      <c r="B4255" t="inlineStr">
        <is>
          <t>Aqaba</t>
        </is>
      </c>
      <c r="C4255" t="inlineStr">
        <is>
          <t>Jordan</t>
        </is>
      </c>
      <c r="D4255" t="inlineStr">
        <is>
          <t>Middle East</t>
        </is>
      </c>
      <c r="E4255" t="inlineStr">
        <is>
          <t>equal_opportunity_raw</t>
        </is>
      </c>
      <c r="F4255" t="inlineStr">
        <is>
          <t>Equal opportunity raw</t>
        </is>
      </c>
      <c r="G4255" t="inlineStr">
        <is>
          <t>capability</t>
        </is>
      </c>
      <c r="H4255" t="inlineStr">
        <is>
          <t>yes</t>
        </is>
      </c>
      <c r="I4255" t="inlineStr"/>
      <c r="J4255" t="inlineStr"/>
      <c r="K4255" t="inlineStr"/>
      <c r="L4255" t="inlineStr"/>
      <c r="M4255" t="inlineStr"/>
      <c r="N4255" t="inlineStr"/>
    </row>
    <row r="4256">
      <c r="A4256" t="inlineStr">
        <is>
          <t>jo-aqaba</t>
        </is>
      </c>
      <c r="B4256" t="inlineStr">
        <is>
          <t>Aqaba</t>
        </is>
      </c>
      <c r="C4256" t="inlineStr">
        <is>
          <t>Jordan</t>
        </is>
      </c>
      <c r="D4256" t="inlineStr">
        <is>
          <t>Middle East</t>
        </is>
      </c>
      <c r="E4256" t="inlineStr">
        <is>
          <t>hospitality_belonging_raw</t>
        </is>
      </c>
      <c r="F4256" t="inlineStr">
        <is>
          <t>Hospitality and belonging raw</t>
        </is>
      </c>
      <c r="G4256" t="inlineStr">
        <is>
          <t>community</t>
        </is>
      </c>
      <c r="H4256" t="inlineStr">
        <is>
          <t>yes</t>
        </is>
      </c>
      <c r="I4256" t="inlineStr">
        <is>
          <t>23.75</t>
        </is>
      </c>
      <c r="J4256" t="inlineStr">
        <is>
          <t>world_bank</t>
        </is>
      </c>
      <c r="K4256" t="inlineStr">
        <is>
          <t>https://api.worldbank.org/v2/country/JOR/indicator/SM.POP.NETM?format=json&amp;mrv=10</t>
        </is>
      </c>
      <c r="L4256" t="inlineStr">
        <is>
          <t>World Bank WDI: Net migration (proxy for hospitality/belonging — positive = welcoming)</t>
        </is>
      </c>
      <c r="M4256" t="inlineStr">
        <is>
          <t>2025-12-31</t>
        </is>
      </c>
      <c r="N4256" t="inlineStr">
        <is>
          <t>auto_ingest=world_bank_proxy; proxy=net_migration_hospitality; indicator=SM.POP.NETM; year=2025; country_proxy=Jordan</t>
        </is>
      </c>
    </row>
    <row r="4257">
      <c r="A4257" t="inlineStr">
        <is>
          <t>jo-aqaba</t>
        </is>
      </c>
      <c r="B4257" t="inlineStr">
        <is>
          <t>Aqaba</t>
        </is>
      </c>
      <c r="C4257" t="inlineStr">
        <is>
          <t>Jordan</t>
        </is>
      </c>
      <c r="D4257" t="inlineStr">
        <is>
          <t>Middle East</t>
        </is>
      </c>
      <c r="E4257" t="inlineStr">
        <is>
          <t>tolerance_pluralism_raw</t>
        </is>
      </c>
      <c r="F4257" t="inlineStr">
        <is>
          <t>Tolerance and pluralism raw</t>
        </is>
      </c>
      <c r="G4257" t="inlineStr">
        <is>
          <t>community</t>
        </is>
      </c>
      <c r="H4257" t="inlineStr">
        <is>
          <t>yes</t>
        </is>
      </c>
      <c r="I4257" t="inlineStr">
        <is>
          <t>19.57</t>
        </is>
      </c>
      <c r="J4257" t="inlineStr">
        <is>
          <t>world_bank</t>
        </is>
      </c>
      <c r="K4257" t="inlineStr">
        <is>
          <t>https://api.worldbank.org/v2/country/JOR/indicator/SG.GEN.PARL.ZS?format=json&amp;mrv=10</t>
        </is>
      </c>
      <c r="L4257" t="inlineStr">
        <is>
          <t>World Bank WDI: Proportion of seats held by women in national parliaments (%)</t>
        </is>
      </c>
      <c r="M4257" t="inlineStr">
        <is>
          <t>2024-12-31</t>
        </is>
      </c>
      <c r="N4257" t="inlineStr">
        <is>
          <t>auto_ingest=world_bank_proxy; proxy=gender_parity_parliament; indicator=SG.GEN.PARL.ZS; year=2024; country_proxy=Jordan</t>
        </is>
      </c>
    </row>
    <row r="4258">
      <c r="A4258" t="inlineStr">
        <is>
          <t>jo-aqaba</t>
        </is>
      </c>
      <c r="B4258" t="inlineStr">
        <is>
          <t>Aqaba</t>
        </is>
      </c>
      <c r="C4258" t="inlineStr">
        <is>
          <t>Jordan</t>
        </is>
      </c>
      <c r="D4258" t="inlineStr">
        <is>
          <t>Middle East</t>
        </is>
      </c>
      <c r="E4258" t="inlineStr">
        <is>
          <t>cultural_public_life_raw</t>
        </is>
      </c>
      <c r="F4258" t="inlineStr">
        <is>
          <t>Cultural public life raw</t>
        </is>
      </c>
      <c r="G4258" t="inlineStr">
        <is>
          <t>community</t>
        </is>
      </c>
      <c r="H4258" t="inlineStr">
        <is>
          <t>yes</t>
        </is>
      </c>
      <c r="I4258" t="inlineStr">
        <is>
          <t>107.33</t>
        </is>
      </c>
      <c r="J4258" t="inlineStr">
        <is>
          <t>world_bank</t>
        </is>
      </c>
      <c r="K4258" t="inlineStr">
        <is>
          <t>https://api.worldbank.org/v2/country/JOR/indicator/ST.INT.ARVL?format=json&amp;mrv=10</t>
        </is>
      </c>
      <c r="L4258" t="inlineStr">
        <is>
          <t>World Bank WDI: International tourism arrivals per 1 000 population</t>
        </is>
      </c>
      <c r="M4258" t="inlineStr">
        <is>
          <t>2020-12-31</t>
        </is>
      </c>
      <c r="N4258" t="inlineStr">
        <is>
          <t>auto_ingest=cultural_life_proxy; indicator=ST.INT.ARVL; norm=per_1000_pop; year=2020; country_proxy=Jordan</t>
        </is>
      </c>
    </row>
    <row r="4259">
      <c r="A4259" t="inlineStr">
        <is>
          <t>jo-aqaba</t>
        </is>
      </c>
      <c r="B4259" t="inlineStr">
        <is>
          <t>Aqaba</t>
        </is>
      </c>
      <c r="C4259" t="inlineStr">
        <is>
          <t>Jordan</t>
        </is>
      </c>
      <c r="D4259" t="inlineStr">
        <is>
          <t>Middle East</t>
        </is>
      </c>
      <c r="E4259" t="inlineStr">
        <is>
          <t>birth_rate_optimism_raw</t>
        </is>
      </c>
      <c r="F4259" t="inlineStr">
        <is>
          <t>Birth rate and societal optimism raw</t>
        </is>
      </c>
      <c r="G4259" t="inlineStr">
        <is>
          <t>community</t>
        </is>
      </c>
      <c r="H4259" t="inlineStr">
        <is>
          <t>yes</t>
        </is>
      </c>
      <c r="I4259" t="inlineStr"/>
      <c r="J4259" t="inlineStr"/>
      <c r="K4259" t="inlineStr"/>
      <c r="L4259" t="inlineStr"/>
      <c r="M4259" t="inlineStr"/>
      <c r="N4259" t="inlineStr"/>
    </row>
    <row r="4260">
      <c r="A4260" t="inlineStr">
        <is>
          <t>jo-aqaba</t>
        </is>
      </c>
      <c r="B4260" t="inlineStr">
        <is>
          <t>Aqaba</t>
        </is>
      </c>
      <c r="C4260" t="inlineStr">
        <is>
          <t>Jordan</t>
        </is>
      </c>
      <c r="D4260" t="inlineStr">
        <is>
          <t>Middle East</t>
        </is>
      </c>
      <c r="E4260" t="inlineStr">
        <is>
          <t>entrepreneurial_dynamism_raw</t>
        </is>
      </c>
      <c r="F4260" t="inlineStr">
        <is>
          <t>Entrepreneurial dynamism raw</t>
        </is>
      </c>
      <c r="G4260" t="inlineStr">
        <is>
          <t>creative</t>
        </is>
      </c>
      <c r="H4260" t="inlineStr">
        <is>
          <t>yes</t>
        </is>
      </c>
      <c r="I4260" t="inlineStr">
        <is>
          <t>0.4</t>
        </is>
      </c>
      <c r="J4260" t="inlineStr">
        <is>
          <t>world_bank</t>
        </is>
      </c>
      <c r="K4260" t="inlineStr">
        <is>
          <t>https://api.worldbank.org/v2/country/JOR/indicator/IC.BUS.NDNS.ZS?format=json&amp;mrv=10</t>
        </is>
      </c>
      <c r="L4260" t="inlineStr">
        <is>
          <t>World Bank WDI: New business density (new registrations per 1,000 people ages 15-64)</t>
        </is>
      </c>
      <c r="M4260" t="inlineStr">
        <is>
          <t>2020-12-31</t>
        </is>
      </c>
      <c r="N4260" t="inlineStr">
        <is>
          <t>auto_ingest=world_bank_creative_extended; indicator=IC.BUS.NDNS.ZS; year=2020; country_proxy=Jordan</t>
        </is>
      </c>
    </row>
    <row r="4261">
      <c r="A4261" t="inlineStr">
        <is>
          <t>jo-aqaba</t>
        </is>
      </c>
      <c r="B4261" t="inlineStr">
        <is>
          <t>Aqaba</t>
        </is>
      </c>
      <c r="C4261" t="inlineStr">
        <is>
          <t>Jordan</t>
        </is>
      </c>
      <c r="D4261" t="inlineStr">
        <is>
          <t>Middle East</t>
        </is>
      </c>
      <c r="E4261" t="inlineStr">
        <is>
          <t>innovation_research_intensity_raw</t>
        </is>
      </c>
      <c r="F4261" t="inlineStr">
        <is>
          <t>Innovation and research raw</t>
        </is>
      </c>
      <c r="G4261" t="inlineStr">
        <is>
          <t>creative</t>
        </is>
      </c>
      <c r="H4261" t="inlineStr">
        <is>
          <t>yes</t>
        </is>
      </c>
      <c r="I4261" t="inlineStr">
        <is>
          <t>30.04</t>
        </is>
      </c>
      <c r="J4261" t="inlineStr">
        <is>
          <t>world_bank</t>
        </is>
      </c>
      <c r="K4261" t="inlineStr">
        <is>
          <t>https://api.worldbank.org/v2/country/JOR/indicator/IP.PAT.RESD?format=json&amp;mrv=10</t>
        </is>
      </c>
      <c r="L4261" t="inlineStr">
        <is>
          <t>World Bank WDI: Patent applications (residents + non-residents) per million population</t>
        </is>
      </c>
      <c r="M4261" t="inlineStr">
        <is>
          <t>2021-12-31</t>
        </is>
      </c>
      <c r="N4261" t="inlineStr">
        <is>
          <t>auto_ingest=wipo_patents_proxy; indicators=IP.PAT.RESD+IP.PAT.NRES; norm=per_million_pop; year=2021; country_proxy=Jordan</t>
        </is>
      </c>
    </row>
    <row r="4262">
      <c r="A4262" t="inlineStr">
        <is>
          <t>jo-aqaba</t>
        </is>
      </c>
      <c r="B4262" t="inlineStr">
        <is>
          <t>Aqaba</t>
        </is>
      </c>
      <c r="C4262" t="inlineStr">
        <is>
          <t>Jordan</t>
        </is>
      </c>
      <c r="D4262" t="inlineStr">
        <is>
          <t>Middle East</t>
        </is>
      </c>
      <c r="E4262" t="inlineStr">
        <is>
          <t>investment_signal_raw</t>
        </is>
      </c>
      <c r="F4262" t="inlineStr">
        <is>
          <t>Investment signal raw</t>
        </is>
      </c>
      <c r="G4262" t="inlineStr">
        <is>
          <t>creative</t>
        </is>
      </c>
      <c r="H4262" t="inlineStr">
        <is>
          <t>yes</t>
        </is>
      </c>
      <c r="I4262" t="inlineStr">
        <is>
          <t>3.06</t>
        </is>
      </c>
      <c r="J4262" t="inlineStr">
        <is>
          <t>world_bank</t>
        </is>
      </c>
      <c r="K4262" t="inlineStr">
        <is>
          <t>https://api.worldbank.org/v2/country/JOR/indicator/BX.KLT.DINV.WD.GD.ZS?format=json&amp;mrv=10</t>
        </is>
      </c>
      <c r="L4262" t="inlineStr">
        <is>
          <t>World Bank WDI: Foreign direct investment, net inflows (% of GDP)</t>
        </is>
      </c>
      <c r="M4262" t="inlineStr">
        <is>
          <t>2024-12-31</t>
        </is>
      </c>
      <c r="N4262" t="inlineStr">
        <is>
          <t>auto_ingest=world_bank_creative_extended; indicator=BX.KLT.DINV.WD.GD.ZS; year=2024; country_proxy=Jordan</t>
        </is>
      </c>
    </row>
    <row r="4263">
      <c r="A4263" t="inlineStr">
        <is>
          <t>jo-aqaba</t>
        </is>
      </c>
      <c r="B4263" t="inlineStr">
        <is>
          <t>Aqaba</t>
        </is>
      </c>
      <c r="C4263" t="inlineStr">
        <is>
          <t>Jordan</t>
        </is>
      </c>
      <c r="D4263" t="inlineStr">
        <is>
          <t>Middle East</t>
        </is>
      </c>
      <c r="E4263" t="inlineStr">
        <is>
          <t>administrative_investment_friction_raw</t>
        </is>
      </c>
      <c r="F4263" t="inlineStr">
        <is>
          <t>Administrative investment friction raw</t>
        </is>
      </c>
      <c r="G4263" t="inlineStr">
        <is>
          <t>creative</t>
        </is>
      </c>
      <c r="H4263" t="inlineStr">
        <is>
          <t>yes</t>
        </is>
      </c>
      <c r="I4263" t="inlineStr">
        <is>
          <t>2.28</t>
        </is>
      </c>
      <c r="J4263" t="inlineStr">
        <is>
          <t>world_bank</t>
        </is>
      </c>
      <c r="K4263" t="inlineStr">
        <is>
          <t>https://api.worldbank.org/v2/country/JOR/indicator/RQ.EST?format=json&amp;mrv=10</t>
        </is>
      </c>
      <c r="L4263" t="inlineStr">
        <is>
          <t>World Bank WGI: Regulatory Quality (inverted as friction proxy)</t>
        </is>
      </c>
      <c r="M4263" t="inlineStr">
        <is>
          <t>2023-12-31</t>
        </is>
      </c>
      <c r="N4263" t="inlineStr">
        <is>
          <t>auto_ingest=world_bank_business_friction; indicator=RQ.EST; raw_rq=0.217705458402634; friction=2.28; year=2023; country_proxy=Jordan</t>
        </is>
      </c>
    </row>
    <row r="4264">
      <c r="A4264" t="inlineStr">
        <is>
          <t>jo-aqaba</t>
        </is>
      </c>
      <c r="B4264" t="inlineStr">
        <is>
          <t>Aqaba</t>
        </is>
      </c>
      <c r="C4264" t="inlineStr">
        <is>
          <t>Jordan</t>
        </is>
      </c>
      <c r="D4264" t="inlineStr">
        <is>
          <t>Middle East</t>
        </is>
      </c>
      <c r="E4264" t="inlineStr">
        <is>
          <t>visitor_flow_context_raw</t>
        </is>
      </c>
      <c r="F4264" t="inlineStr">
        <is>
          <t>Visitor flow context raw</t>
        </is>
      </c>
      <c r="G4264" t="inlineStr">
        <is>
          <t>creative</t>
        </is>
      </c>
      <c r="H4264" t="inlineStr">
        <is>
          <t>no</t>
        </is>
      </c>
      <c r="I4264" t="inlineStr"/>
      <c r="J4264" t="inlineStr"/>
      <c r="K4264" t="inlineStr"/>
      <c r="L4264" t="inlineStr"/>
      <c r="M4264" t="inlineStr"/>
      <c r="N4264" t="inlineStr"/>
    </row>
    <row r="4265">
      <c r="A4265" t="inlineStr">
        <is>
          <t>sa-khobar</t>
        </is>
      </c>
      <c r="B4265" t="inlineStr">
        <is>
          <t>Khobar</t>
        </is>
      </c>
      <c r="C4265" t="inlineStr">
        <is>
          <t>Saudi Arabia</t>
        </is>
      </c>
      <c r="D4265" t="inlineStr">
        <is>
          <t>Middle East</t>
        </is>
      </c>
      <c r="E4265" t="inlineStr">
        <is>
          <t>gross_income</t>
        </is>
      </c>
      <c r="F4265" t="inlineStr">
        <is>
          <t>Gross income</t>
        </is>
      </c>
      <c r="G4265" t="inlineStr">
        <is>
          <t>pressure</t>
        </is>
      </c>
      <c r="H4265" t="inlineStr">
        <is>
          <t>yes</t>
        </is>
      </c>
      <c r="I4265" t="inlineStr">
        <is>
          <t>5977.5</t>
        </is>
      </c>
      <c r="J4265" t="inlineStr">
        <is>
          <t>world_bank_col_estimate</t>
        </is>
      </c>
      <c r="K4265" t="inlineStr">
        <is>
          <t>https://api.worldbank.org/v2/country/SAU/indicator/NY.GNP.PCAP.PP.CD?format=json&amp;mrv=10</t>
        </is>
      </c>
      <c r="L4265" t="inlineStr">
        <is>
          <t>World Bank WDI: GNI per capita PPP (monthly USD)</t>
        </is>
      </c>
      <c r="M4265" t="inlineStr">
        <is>
          <t>2024-12-31</t>
        </is>
      </c>
      <c r="N4265" t="inlineStr">
        <is>
          <t>auto_ingest=world_bank_col_estimate; gni_annual=71730.0; year=2024; country_proxy=Saudi Arabia; cohort=Middle East</t>
        </is>
      </c>
    </row>
    <row r="4266">
      <c r="A4266" t="inlineStr">
        <is>
          <t>sa-khobar</t>
        </is>
      </c>
      <c r="B4266" t="inlineStr">
        <is>
          <t>Khobar</t>
        </is>
      </c>
      <c r="C4266" t="inlineStr">
        <is>
          <t>Saudi Arabia</t>
        </is>
      </c>
      <c r="D4266" t="inlineStr">
        <is>
          <t>Middle East</t>
        </is>
      </c>
      <c r="E4266" t="inlineStr">
        <is>
          <t>di_ppp_raw</t>
        </is>
      </c>
      <c r="F4266" t="inlineStr">
        <is>
          <t>Disposable income PPP (Raw)</t>
        </is>
      </c>
      <c r="G4266" t="inlineStr">
        <is>
          <t>pressure</t>
        </is>
      </c>
      <c r="H4266" t="inlineStr">
        <is>
          <t>yes</t>
        </is>
      </c>
      <c r="I4266" t="inlineStr"/>
      <c r="J4266" t="inlineStr"/>
      <c r="K4266" t="inlineStr"/>
      <c r="L4266" t="inlineStr"/>
      <c r="M4266" t="inlineStr"/>
      <c r="N4266" t="inlineStr"/>
    </row>
    <row r="4267">
      <c r="A4267" t="inlineStr">
        <is>
          <t>sa-khobar</t>
        </is>
      </c>
      <c r="B4267" t="inlineStr">
        <is>
          <t>Khobar</t>
        </is>
      </c>
      <c r="C4267" t="inlineStr">
        <is>
          <t>Saudi Arabia</t>
        </is>
      </c>
      <c r="D4267" t="inlineStr">
        <is>
          <t>Middle East</t>
        </is>
      </c>
      <c r="E4267" t="inlineStr">
        <is>
          <t>rent</t>
        </is>
      </c>
      <c r="F4267" t="inlineStr">
        <is>
          <t>Rent</t>
        </is>
      </c>
      <c r="G4267" t="inlineStr">
        <is>
          <t>pressure</t>
        </is>
      </c>
      <c r="H4267" t="inlineStr">
        <is>
          <t>yes</t>
        </is>
      </c>
      <c r="I4267" t="inlineStr">
        <is>
          <t>1270.22</t>
        </is>
      </c>
      <c r="J4267" t="inlineStr">
        <is>
          <t>world_bank_col_estimate</t>
        </is>
      </c>
      <c r="K4267" t="inlineStr">
        <is>
          <t>https://api.worldbank.org/v2/country/SAU/indicator/NY.GNP.PCAP.PP.CD?format=json&amp;mrv=10</t>
        </is>
      </c>
      <c r="L4267" t="inlineStr">
        <is>
          <t>World Bank GNI + regional expenditure ratio estimate</t>
        </is>
      </c>
      <c r="M4267" t="inlineStr">
        <is>
          <t>2024-12-31</t>
        </is>
      </c>
      <c r="N4267" t="inlineStr">
        <is>
          <t>auto_ingest=world_bank_col_estimate; gni_annual=71730.0; year=2024; country_proxy=Saudi Arabia; cohort=Middle East; city_cost_mult=0.85</t>
        </is>
      </c>
    </row>
    <row r="4268">
      <c r="A4268" t="inlineStr">
        <is>
          <t>sa-khobar</t>
        </is>
      </c>
      <c r="B4268" t="inlineStr">
        <is>
          <t>Khobar</t>
        </is>
      </c>
      <c r="C4268" t="inlineStr">
        <is>
          <t>Saudi Arabia</t>
        </is>
      </c>
      <c r="D4268" t="inlineStr">
        <is>
          <t>Middle East</t>
        </is>
      </c>
      <c r="E4268" t="inlineStr">
        <is>
          <t>utilities</t>
        </is>
      </c>
      <c r="F4268" t="inlineStr">
        <is>
          <t>Utilities</t>
        </is>
      </c>
      <c r="G4268" t="inlineStr">
        <is>
          <t>pressure</t>
        </is>
      </c>
      <c r="H4268" t="inlineStr">
        <is>
          <t>yes</t>
        </is>
      </c>
      <c r="I4268" t="inlineStr">
        <is>
          <t>254.04</t>
        </is>
      </c>
      <c r="J4268" t="inlineStr">
        <is>
          <t>world_bank_col_estimate</t>
        </is>
      </c>
      <c r="K4268" t="inlineStr">
        <is>
          <t>https://api.worldbank.org/v2/country/SAU/indicator/NY.GNP.PCAP.PP.CD?format=json&amp;mrv=10</t>
        </is>
      </c>
      <c r="L4268" t="inlineStr">
        <is>
          <t>World Bank GNI + regional expenditure ratio estimate</t>
        </is>
      </c>
      <c r="M4268" t="inlineStr">
        <is>
          <t>2024-12-31</t>
        </is>
      </c>
      <c r="N4268" t="inlineStr">
        <is>
          <t>auto_ingest=world_bank_col_estimate; gni_annual=71730.0; year=2024; country_proxy=Saudi Arabia; cohort=Middle East; city_cost_mult=0.85</t>
        </is>
      </c>
    </row>
    <row r="4269">
      <c r="A4269" t="inlineStr">
        <is>
          <t>sa-khobar</t>
        </is>
      </c>
      <c r="B4269" t="inlineStr">
        <is>
          <t>Khobar</t>
        </is>
      </c>
      <c r="C4269" t="inlineStr">
        <is>
          <t>Saudi Arabia</t>
        </is>
      </c>
      <c r="D4269" t="inlineStr">
        <is>
          <t>Middle East</t>
        </is>
      </c>
      <c r="E4269" t="inlineStr">
        <is>
          <t>transit_cost</t>
        </is>
      </c>
      <c r="F4269" t="inlineStr">
        <is>
          <t>Transit cost</t>
        </is>
      </c>
      <c r="G4269" t="inlineStr">
        <is>
          <t>pressure</t>
        </is>
      </c>
      <c r="H4269" t="inlineStr">
        <is>
          <t>yes</t>
        </is>
      </c>
      <c r="I4269" t="inlineStr">
        <is>
          <t>203.23</t>
        </is>
      </c>
      <c r="J4269" t="inlineStr">
        <is>
          <t>world_bank_col_estimate</t>
        </is>
      </c>
      <c r="K4269" t="inlineStr">
        <is>
          <t>https://api.worldbank.org/v2/country/SAU/indicator/NY.GNP.PCAP.PP.CD?format=json&amp;mrv=10</t>
        </is>
      </c>
      <c r="L4269" t="inlineStr">
        <is>
          <t>World Bank GNI + regional expenditure ratio estimate</t>
        </is>
      </c>
      <c r="M4269" t="inlineStr">
        <is>
          <t>2024-12-31</t>
        </is>
      </c>
      <c r="N4269" t="inlineStr">
        <is>
          <t>auto_ingest=world_bank_col_estimate; gni_annual=71730.0; year=2024; country_proxy=Saudi Arabia; cohort=Middle East; city_cost_mult=0.85</t>
        </is>
      </c>
    </row>
    <row r="4270">
      <c r="A4270" t="inlineStr">
        <is>
          <t>sa-khobar</t>
        </is>
      </c>
      <c r="B4270" t="inlineStr">
        <is>
          <t>Khobar</t>
        </is>
      </c>
      <c r="C4270" t="inlineStr">
        <is>
          <t>Saudi Arabia</t>
        </is>
      </c>
      <c r="D4270" t="inlineStr">
        <is>
          <t>Middle East</t>
        </is>
      </c>
      <c r="E4270" t="inlineStr">
        <is>
          <t>internet_cost</t>
        </is>
      </c>
      <c r="F4270" t="inlineStr">
        <is>
          <t>Internet cost</t>
        </is>
      </c>
      <c r="G4270" t="inlineStr">
        <is>
          <t>pressure</t>
        </is>
      </c>
      <c r="H4270" t="inlineStr">
        <is>
          <t>yes</t>
        </is>
      </c>
      <c r="I4270" t="inlineStr">
        <is>
          <t>76.21</t>
        </is>
      </c>
      <c r="J4270" t="inlineStr">
        <is>
          <t>world_bank_col_estimate</t>
        </is>
      </c>
      <c r="K4270" t="inlineStr">
        <is>
          <t>https://api.worldbank.org/v2/country/SAU/indicator/NY.GNP.PCAP.PP.CD?format=json&amp;mrv=10</t>
        </is>
      </c>
      <c r="L4270" t="inlineStr">
        <is>
          <t>World Bank GNI + regional expenditure ratio estimate</t>
        </is>
      </c>
      <c r="M4270" t="inlineStr">
        <is>
          <t>2024-12-31</t>
        </is>
      </c>
      <c r="N4270" t="inlineStr">
        <is>
          <t>auto_ingest=world_bank_col_estimate; gni_annual=71730.0; year=2024; country_proxy=Saudi Arabia; cohort=Middle East; city_cost_mult=0.85</t>
        </is>
      </c>
    </row>
    <row r="4271">
      <c r="A4271" t="inlineStr">
        <is>
          <t>sa-khobar</t>
        </is>
      </c>
      <c r="B4271" t="inlineStr">
        <is>
          <t>Khobar</t>
        </is>
      </c>
      <c r="C4271" t="inlineStr">
        <is>
          <t>Saudi Arabia</t>
        </is>
      </c>
      <c r="D4271" t="inlineStr">
        <is>
          <t>Middle East</t>
        </is>
      </c>
      <c r="E4271" t="inlineStr">
        <is>
          <t>food_cost</t>
        </is>
      </c>
      <c r="F4271" t="inlineStr">
        <is>
          <t>Food cost</t>
        </is>
      </c>
      <c r="G4271" t="inlineStr">
        <is>
          <t>pressure</t>
        </is>
      </c>
      <c r="H4271" t="inlineStr">
        <is>
          <t>yes</t>
        </is>
      </c>
      <c r="I4271" t="inlineStr">
        <is>
          <t>914.56</t>
        </is>
      </c>
      <c r="J4271" t="inlineStr">
        <is>
          <t>world_bank_col_estimate</t>
        </is>
      </c>
      <c r="K4271" t="inlineStr">
        <is>
          <t>https://api.worldbank.org/v2/country/SAU/indicator/NY.GNP.PCAP.PP.CD?format=json&amp;mrv=10</t>
        </is>
      </c>
      <c r="L4271" t="inlineStr">
        <is>
          <t>World Bank GNI + regional expenditure ratio estimate</t>
        </is>
      </c>
      <c r="M4271" t="inlineStr">
        <is>
          <t>2024-12-31</t>
        </is>
      </c>
      <c r="N4271" t="inlineStr">
        <is>
          <t>auto_ingest=world_bank_col_estimate; gni_annual=71730.0; year=2024; country_proxy=Saudi Arabia; cohort=Middle East; city_cost_mult=0.85</t>
        </is>
      </c>
    </row>
    <row r="4272">
      <c r="A4272" t="inlineStr">
        <is>
          <t>sa-khobar</t>
        </is>
      </c>
      <c r="B4272" t="inlineStr">
        <is>
          <t>Khobar</t>
        </is>
      </c>
      <c r="C4272" t="inlineStr">
        <is>
          <t>Saudi Arabia</t>
        </is>
      </c>
      <c r="D4272" t="inlineStr">
        <is>
          <t>Middle East</t>
        </is>
      </c>
      <c r="E4272" t="inlineStr">
        <is>
          <t>housing_burden_raw</t>
        </is>
      </c>
      <c r="F4272" t="inlineStr">
        <is>
          <t>Housing burden raw</t>
        </is>
      </c>
      <c r="G4272" t="inlineStr">
        <is>
          <t>pressure</t>
        </is>
      </c>
      <c r="H4272" t="inlineStr">
        <is>
          <t>yes</t>
        </is>
      </c>
      <c r="I4272" t="inlineStr">
        <is>
          <t>21.25</t>
        </is>
      </c>
      <c r="J4272" t="inlineStr">
        <is>
          <t>derived</t>
        </is>
      </c>
      <c r="K4272" t="inlineStr">
        <is>
          <t>https://data.worldbank.org/indicator/NY.GNP.PCAP.PP.CD</t>
        </is>
      </c>
      <c r="L4272" t="inlineStr">
        <is>
          <t>Computed from city_inputs + country_context</t>
        </is>
      </c>
      <c r="M4272" t="inlineStr">
        <is>
          <t>2024-01-01</t>
        </is>
      </c>
      <c r="N4272" t="inlineStr">
        <is>
          <t>derived=rent/gross_income*100</t>
        </is>
      </c>
    </row>
    <row r="4273">
      <c r="A4273" t="inlineStr">
        <is>
          <t>sa-khobar</t>
        </is>
      </c>
      <c r="B4273" t="inlineStr">
        <is>
          <t>Khobar</t>
        </is>
      </c>
      <c r="C4273" t="inlineStr">
        <is>
          <t>Saudi Arabia</t>
        </is>
      </c>
      <c r="D4273" t="inlineStr">
        <is>
          <t>Middle East</t>
        </is>
      </c>
      <c r="E4273" t="inlineStr">
        <is>
          <t>household_debt_burden_raw</t>
        </is>
      </c>
      <c r="F4273" t="inlineStr">
        <is>
          <t>Household debt burden raw</t>
        </is>
      </c>
      <c r="G4273" t="inlineStr">
        <is>
          <t>pressure</t>
        </is>
      </c>
      <c r="H4273" t="inlineStr">
        <is>
          <t>yes</t>
        </is>
      </c>
      <c r="I4273" t="inlineStr">
        <is>
          <t>50.1376</t>
        </is>
      </c>
      <c r="J4273" t="inlineStr">
        <is>
          <t>derived</t>
        </is>
      </c>
      <c r="K4273" t="inlineStr">
        <is>
          <t>https://data.worldbank.org/indicator/NY.GNP.PCAP.PP.CD</t>
        </is>
      </c>
      <c r="L4273" t="inlineStr">
        <is>
          <t>Computed from city_inputs + country_context</t>
        </is>
      </c>
      <c r="M4273" t="inlineStr">
        <is>
          <t>2024-01-01</t>
        </is>
      </c>
      <c r="N4273" t="inlineStr">
        <is>
          <t>derived=country_context.household_debt_proxy; country=Saudi Arabia</t>
        </is>
      </c>
    </row>
    <row r="4274">
      <c r="A4274" t="inlineStr">
        <is>
          <t>sa-khobar</t>
        </is>
      </c>
      <c r="B4274" t="inlineStr">
        <is>
          <t>Khobar</t>
        </is>
      </c>
      <c r="C4274" t="inlineStr">
        <is>
          <t>Saudi Arabia</t>
        </is>
      </c>
      <c r="D4274" t="inlineStr">
        <is>
          <t>Middle East</t>
        </is>
      </c>
      <c r="E4274" t="inlineStr">
        <is>
          <t>working_time_pressure_raw</t>
        </is>
      </c>
      <c r="F4274" t="inlineStr">
        <is>
          <t>Working time pressure raw</t>
        </is>
      </c>
      <c r="G4274" t="inlineStr">
        <is>
          <t>pressure</t>
        </is>
      </c>
      <c r="H4274" t="inlineStr">
        <is>
          <t>yes</t>
        </is>
      </c>
      <c r="I4274" t="inlineStr"/>
      <c r="J4274" t="inlineStr"/>
      <c r="K4274" t="inlineStr"/>
      <c r="L4274" t="inlineStr"/>
      <c r="M4274" t="inlineStr"/>
      <c r="N4274" t="inlineStr"/>
    </row>
    <row r="4275">
      <c r="A4275" t="inlineStr">
        <is>
          <t>sa-khobar</t>
        </is>
      </c>
      <c r="B4275" t="inlineStr">
        <is>
          <t>Khobar</t>
        </is>
      </c>
      <c r="C4275" t="inlineStr">
        <is>
          <t>Saudi Arabia</t>
        </is>
      </c>
      <c r="D4275" t="inlineStr">
        <is>
          <t>Middle East</t>
        </is>
      </c>
      <c r="E4275" t="inlineStr">
        <is>
          <t>suicide_mental_strain_raw</t>
        </is>
      </c>
      <c r="F4275" t="inlineStr">
        <is>
          <t>Suicide or mental strain raw</t>
        </is>
      </c>
      <c r="G4275" t="inlineStr">
        <is>
          <t>pressure</t>
        </is>
      </c>
      <c r="H4275" t="inlineStr">
        <is>
          <t>yes</t>
        </is>
      </c>
      <c r="I4275" t="inlineStr">
        <is>
          <t>0.95</t>
        </is>
      </c>
      <c r="J4275" t="inlineStr">
        <is>
          <t>who_gho</t>
        </is>
      </c>
      <c r="K4275" t="inlineStr">
        <is>
          <t>https://www.who.int/data/gho/data/indicators/indicator-details/GHO/SDGSUICIDE</t>
        </is>
      </c>
      <c r="L4275" t="inlineStr">
        <is>
          <t>WHO GHO: Age-standardized suicide rate (per 100,000 population)</t>
        </is>
      </c>
      <c r="M4275" t="inlineStr">
        <is>
          <t>2021-12-31</t>
        </is>
      </c>
      <c r="N4275" t="inlineStr">
        <is>
          <t>auto_ingest=who_gho; indicator=SDGSUICIDE; year=2021; country_proxy=Saudi Arabia</t>
        </is>
      </c>
    </row>
    <row r="4276">
      <c r="A4276" t="inlineStr">
        <is>
          <t>sa-khobar</t>
        </is>
      </c>
      <c r="B4276" t="inlineStr">
        <is>
          <t>Khobar</t>
        </is>
      </c>
      <c r="C4276" t="inlineStr">
        <is>
          <t>Saudi Arabia</t>
        </is>
      </c>
      <c r="D4276" t="inlineStr">
        <is>
          <t>Middle East</t>
        </is>
      </c>
      <c r="E4276" t="inlineStr">
        <is>
          <t>personal_safety_raw</t>
        </is>
      </c>
      <c r="F4276" t="inlineStr">
        <is>
          <t>Personal safety raw</t>
        </is>
      </c>
      <c r="G4276" t="inlineStr">
        <is>
          <t>viability</t>
        </is>
      </c>
      <c r="H4276" t="inlineStr">
        <is>
          <t>yes</t>
        </is>
      </c>
      <c r="I4276" t="inlineStr">
        <is>
          <t>0.94</t>
        </is>
      </c>
      <c r="J4276" t="inlineStr">
        <is>
          <t>world_bank</t>
        </is>
      </c>
      <c r="K4276" t="inlineStr">
        <is>
          <t>https://api.worldbank.org/v2/country/SAU/indicator/VC.IHR.PSRC.P5?format=json&amp;mrv=10</t>
        </is>
      </c>
      <c r="L4276" t="inlineStr">
        <is>
          <t>UNODC via World Bank WDI: Intentional homicides (per 100,000 people)</t>
        </is>
      </c>
      <c r="M4276" t="inlineStr">
        <is>
          <t>2019-12-31</t>
        </is>
      </c>
      <c r="N4276" t="inlineStr">
        <is>
          <t>auto_ingest=unodc_safety; indicator=VC.IHR.PSRC.P5; year=2019; country_proxy=Saudi Arabia</t>
        </is>
      </c>
    </row>
    <row r="4277">
      <c r="A4277" t="inlineStr">
        <is>
          <t>sa-khobar</t>
        </is>
      </c>
      <c r="B4277" t="inlineStr">
        <is>
          <t>Khobar</t>
        </is>
      </c>
      <c r="C4277" t="inlineStr">
        <is>
          <t>Saudi Arabia</t>
        </is>
      </c>
      <c r="D4277" t="inlineStr">
        <is>
          <t>Middle East</t>
        </is>
      </c>
      <c r="E4277" t="inlineStr">
        <is>
          <t>transit_access_commute_raw</t>
        </is>
      </c>
      <c r="F4277" t="inlineStr">
        <is>
          <t>Transit access and commute raw</t>
        </is>
      </c>
      <c r="G4277" t="inlineStr">
        <is>
          <t>viability</t>
        </is>
      </c>
      <c r="H4277" t="inlineStr">
        <is>
          <t>yes</t>
        </is>
      </c>
      <c r="I4277" t="inlineStr"/>
      <c r="J4277" t="inlineStr"/>
      <c r="K4277" t="inlineStr"/>
      <c r="L4277" t="inlineStr"/>
      <c r="M4277" t="inlineStr"/>
      <c r="N4277" t="inlineStr"/>
    </row>
    <row r="4278">
      <c r="A4278" t="inlineStr">
        <is>
          <t>sa-khobar</t>
        </is>
      </c>
      <c r="B4278" t="inlineStr">
        <is>
          <t>Khobar</t>
        </is>
      </c>
      <c r="C4278" t="inlineStr">
        <is>
          <t>Saudi Arabia</t>
        </is>
      </c>
      <c r="D4278" t="inlineStr">
        <is>
          <t>Middle East</t>
        </is>
      </c>
      <c r="E4278" t="inlineStr">
        <is>
          <t>clean_air_raw</t>
        </is>
      </c>
      <c r="F4278" t="inlineStr">
        <is>
          <t>Clean air raw</t>
        </is>
      </c>
      <c r="G4278" t="inlineStr">
        <is>
          <t>viability</t>
        </is>
      </c>
      <c r="H4278" t="inlineStr">
        <is>
          <t>yes</t>
        </is>
      </c>
      <c r="I4278" t="inlineStr"/>
      <c r="J4278" t="inlineStr"/>
      <c r="K4278" t="inlineStr"/>
      <c r="L4278" t="inlineStr"/>
      <c r="M4278" t="inlineStr"/>
      <c r="N4278" t="inlineStr"/>
    </row>
    <row r="4279">
      <c r="A4279" t="inlineStr">
        <is>
          <t>sa-khobar</t>
        </is>
      </c>
      <c r="B4279" t="inlineStr">
        <is>
          <t>Khobar</t>
        </is>
      </c>
      <c r="C4279" t="inlineStr">
        <is>
          <t>Saudi Arabia</t>
        </is>
      </c>
      <c r="D4279" t="inlineStr">
        <is>
          <t>Middle East</t>
        </is>
      </c>
      <c r="E4279" t="inlineStr">
        <is>
          <t>water_sanitation_utility_raw</t>
        </is>
      </c>
      <c r="F4279" t="inlineStr">
        <is>
          <t>Water, sanitation, and utility raw</t>
        </is>
      </c>
      <c r="G4279" t="inlineStr">
        <is>
          <t>viability</t>
        </is>
      </c>
      <c r="H4279" t="inlineStr">
        <is>
          <t>yes</t>
        </is>
      </c>
      <c r="I4279" t="inlineStr"/>
      <c r="J4279" t="inlineStr"/>
      <c r="K4279" t="inlineStr"/>
      <c r="L4279" t="inlineStr"/>
      <c r="M4279" t="inlineStr"/>
      <c r="N4279" t="inlineStr"/>
    </row>
    <row r="4280">
      <c r="A4280" t="inlineStr">
        <is>
          <t>sa-khobar</t>
        </is>
      </c>
      <c r="B4280" t="inlineStr">
        <is>
          <t>Khobar</t>
        </is>
      </c>
      <c r="C4280" t="inlineStr">
        <is>
          <t>Saudi Arabia</t>
        </is>
      </c>
      <c r="D4280" t="inlineStr">
        <is>
          <t>Middle East</t>
        </is>
      </c>
      <c r="E4280" t="inlineStr">
        <is>
          <t>digital_infrastructure_raw</t>
        </is>
      </c>
      <c r="F4280" t="inlineStr">
        <is>
          <t>Digital infrastructure raw</t>
        </is>
      </c>
      <c r="G4280" t="inlineStr">
        <is>
          <t>viability</t>
        </is>
      </c>
      <c r="H4280" t="inlineStr">
        <is>
          <t>yes</t>
        </is>
      </c>
      <c r="I4280" t="inlineStr">
        <is>
          <t>43.57</t>
        </is>
      </c>
      <c r="J4280" t="inlineStr">
        <is>
          <t>world_bank</t>
        </is>
      </c>
      <c r="K4280" t="inlineStr">
        <is>
          <t>https://api.worldbank.org/v2/country/SAU/indicator/IT.NET.BBND.P2?format=json&amp;mrv=10</t>
        </is>
      </c>
      <c r="L4280" t="inlineStr">
        <is>
          <t>World Bank WDI: Fixed broadband subscriptions (per 100 people)</t>
        </is>
      </c>
      <c r="M4280" t="inlineStr">
        <is>
          <t>2023-12-31</t>
        </is>
      </c>
      <c r="N4280" t="inlineStr">
        <is>
          <t>auto_ingest=world_bank_proxy; indicator=IT.NET.BBND.P2; year=2023; country_proxy=Saudi Arabia</t>
        </is>
      </c>
    </row>
    <row r="4281">
      <c r="A4281" t="inlineStr">
        <is>
          <t>sa-khobar</t>
        </is>
      </c>
      <c r="B4281" t="inlineStr">
        <is>
          <t>Khobar</t>
        </is>
      </c>
      <c r="C4281" t="inlineStr">
        <is>
          <t>Saudi Arabia</t>
        </is>
      </c>
      <c r="D4281" t="inlineStr">
        <is>
          <t>Middle East</t>
        </is>
      </c>
      <c r="E4281" t="inlineStr">
        <is>
          <t>climate_sunlight_livability_raw</t>
        </is>
      </c>
      <c r="F4281" t="inlineStr">
        <is>
          <t>Climate and sunlight livability raw</t>
        </is>
      </c>
      <c r="G4281" t="inlineStr">
        <is>
          <t>viability</t>
        </is>
      </c>
      <c r="H4281" t="inlineStr">
        <is>
          <t>yes</t>
        </is>
      </c>
      <c r="I4281" t="inlineStr"/>
      <c r="J4281" t="inlineStr"/>
      <c r="K4281" t="inlineStr"/>
      <c r="L4281" t="inlineStr"/>
      <c r="M4281" t="inlineStr"/>
      <c r="N4281" t="inlineStr"/>
    </row>
    <row r="4282">
      <c r="A4282" t="inlineStr">
        <is>
          <t>sa-khobar</t>
        </is>
      </c>
      <c r="B4282" t="inlineStr">
        <is>
          <t>Khobar</t>
        </is>
      </c>
      <c r="C4282" t="inlineStr">
        <is>
          <t>Saudi Arabia</t>
        </is>
      </c>
      <c r="D4282" t="inlineStr">
        <is>
          <t>Middle East</t>
        </is>
      </c>
      <c r="E4282" t="inlineStr">
        <is>
          <t>healthcare_quality_raw</t>
        </is>
      </c>
      <c r="F4282" t="inlineStr">
        <is>
          <t>Healthcare quality raw</t>
        </is>
      </c>
      <c r="G4282" t="inlineStr">
        <is>
          <t>capability</t>
        </is>
      </c>
      <c r="H4282" t="inlineStr">
        <is>
          <t>yes</t>
        </is>
      </c>
      <c r="I4282" t="inlineStr">
        <is>
          <t>83.0</t>
        </is>
      </c>
      <c r="J4282" t="inlineStr">
        <is>
          <t>who_gho</t>
        </is>
      </c>
      <c r="K4282" t="inlineStr">
        <is>
          <t>https://www.who.int/data/gho/data/indicators/indicator-details/GHO/UHC_INDEX_REPORTED</t>
        </is>
      </c>
      <c r="L4282" t="inlineStr">
        <is>
          <t>WHO GHO: UHC Service Coverage Index</t>
        </is>
      </c>
      <c r="M4282" t="inlineStr">
        <is>
          <t>2023-12-31</t>
        </is>
      </c>
      <c r="N4282" t="inlineStr">
        <is>
          <t>auto_ingest=who_gho; indicator=UHC_INDEX_REPORTED; year=2023; country_proxy=Saudi Arabia</t>
        </is>
      </c>
    </row>
    <row r="4283">
      <c r="A4283" t="inlineStr">
        <is>
          <t>sa-khobar</t>
        </is>
      </c>
      <c r="B4283" t="inlineStr">
        <is>
          <t>Khobar</t>
        </is>
      </c>
      <c r="C4283" t="inlineStr">
        <is>
          <t>Saudi Arabia</t>
        </is>
      </c>
      <c r="D4283" t="inlineStr">
        <is>
          <t>Middle East</t>
        </is>
      </c>
      <c r="E4283" t="inlineStr">
        <is>
          <t>education_quality_raw</t>
        </is>
      </c>
      <c r="F4283" t="inlineStr">
        <is>
          <t>Education quality raw</t>
        </is>
      </c>
      <c r="G4283" t="inlineStr">
        <is>
          <t>capability</t>
        </is>
      </c>
      <c r="H4283" t="inlineStr">
        <is>
          <t>yes</t>
        </is>
      </c>
      <c r="I4283" t="inlineStr">
        <is>
          <t>83.88</t>
        </is>
      </c>
      <c r="J4283" t="inlineStr">
        <is>
          <t>world_bank</t>
        </is>
      </c>
      <c r="K4283" t="inlineStr">
        <is>
          <t>https://api.worldbank.org/v2/country/SAU/indicator/SE.TER.ENRR?format=json&amp;mrv=10</t>
        </is>
      </c>
      <c r="L4283" t="inlineStr">
        <is>
          <t>World Bank WDI: School enrollment, tertiary (% gross)</t>
        </is>
      </c>
      <c r="M4283" t="inlineStr">
        <is>
          <t>2024-12-31</t>
        </is>
      </c>
      <c r="N4283" t="inlineStr">
        <is>
          <t>auto_ingest=world_bank_proxy; indicator=SE.TER.ENRR; year=2024; country_proxy=Saudi Arabia</t>
        </is>
      </c>
    </row>
    <row r="4284">
      <c r="A4284" t="inlineStr">
        <is>
          <t>sa-khobar</t>
        </is>
      </c>
      <c r="B4284" t="inlineStr">
        <is>
          <t>Khobar</t>
        </is>
      </c>
      <c r="C4284" t="inlineStr">
        <is>
          <t>Saudi Arabia</t>
        </is>
      </c>
      <c r="D4284" t="inlineStr">
        <is>
          <t>Middle East</t>
        </is>
      </c>
      <c r="E4284" t="inlineStr">
        <is>
          <t>equal_opportunity_raw</t>
        </is>
      </c>
      <c r="F4284" t="inlineStr">
        <is>
          <t>Equal opportunity raw</t>
        </is>
      </c>
      <c r="G4284" t="inlineStr">
        <is>
          <t>capability</t>
        </is>
      </c>
      <c r="H4284" t="inlineStr">
        <is>
          <t>yes</t>
        </is>
      </c>
      <c r="I4284" t="inlineStr"/>
      <c r="J4284" t="inlineStr"/>
      <c r="K4284" t="inlineStr"/>
      <c r="L4284" t="inlineStr"/>
      <c r="M4284" t="inlineStr"/>
      <c r="N4284" t="inlineStr"/>
    </row>
    <row r="4285">
      <c r="A4285" t="inlineStr">
        <is>
          <t>sa-khobar</t>
        </is>
      </c>
      <c r="B4285" t="inlineStr">
        <is>
          <t>Khobar</t>
        </is>
      </c>
      <c r="C4285" t="inlineStr">
        <is>
          <t>Saudi Arabia</t>
        </is>
      </c>
      <c r="D4285" t="inlineStr">
        <is>
          <t>Middle East</t>
        </is>
      </c>
      <c r="E4285" t="inlineStr">
        <is>
          <t>hospitality_belonging_raw</t>
        </is>
      </c>
      <c r="F4285" t="inlineStr">
        <is>
          <t>Hospitality and belonging raw</t>
        </is>
      </c>
      <c r="G4285" t="inlineStr">
        <is>
          <t>community</t>
        </is>
      </c>
      <c r="H4285" t="inlineStr">
        <is>
          <t>yes</t>
        </is>
      </c>
      <c r="I4285" t="inlineStr">
        <is>
          <t>53.39</t>
        </is>
      </c>
      <c r="J4285" t="inlineStr">
        <is>
          <t>world_bank</t>
        </is>
      </c>
      <c r="K4285" t="inlineStr">
        <is>
          <t>https://api.worldbank.org/v2/country/SAU/indicator/SM.POP.NETM?format=json&amp;mrv=10</t>
        </is>
      </c>
      <c r="L4285" t="inlineStr">
        <is>
          <t>World Bank WDI: Net migration (proxy for hospitality/belonging — positive = welcoming)</t>
        </is>
      </c>
      <c r="M4285" t="inlineStr">
        <is>
          <t>2025-12-31</t>
        </is>
      </c>
      <c r="N4285" t="inlineStr">
        <is>
          <t>auto_ingest=world_bank_proxy; proxy=net_migration_hospitality; indicator=SM.POP.NETM; year=2025; country_proxy=Saudi Arabia</t>
        </is>
      </c>
    </row>
    <row r="4286">
      <c r="A4286" t="inlineStr">
        <is>
          <t>sa-khobar</t>
        </is>
      </c>
      <c r="B4286" t="inlineStr">
        <is>
          <t>Khobar</t>
        </is>
      </c>
      <c r="C4286" t="inlineStr">
        <is>
          <t>Saudi Arabia</t>
        </is>
      </c>
      <c r="D4286" t="inlineStr">
        <is>
          <t>Middle East</t>
        </is>
      </c>
      <c r="E4286" t="inlineStr">
        <is>
          <t>tolerance_pluralism_raw</t>
        </is>
      </c>
      <c r="F4286" t="inlineStr">
        <is>
          <t>Tolerance and pluralism raw</t>
        </is>
      </c>
      <c r="G4286" t="inlineStr">
        <is>
          <t>community</t>
        </is>
      </c>
      <c r="H4286" t="inlineStr">
        <is>
          <t>yes</t>
        </is>
      </c>
      <c r="I4286" t="inlineStr">
        <is>
          <t>19.87</t>
        </is>
      </c>
      <c r="J4286" t="inlineStr">
        <is>
          <t>world_bank</t>
        </is>
      </c>
      <c r="K4286" t="inlineStr">
        <is>
          <t>https://api.worldbank.org/v2/country/SAU/indicator/SG.GEN.PARL.ZS?format=json&amp;mrv=10</t>
        </is>
      </c>
      <c r="L4286" t="inlineStr">
        <is>
          <t>World Bank WDI: Proportion of seats held by women in national parliaments (%)</t>
        </is>
      </c>
      <c r="M4286" t="inlineStr">
        <is>
          <t>2024-12-31</t>
        </is>
      </c>
      <c r="N4286" t="inlineStr">
        <is>
          <t>auto_ingest=world_bank_proxy; proxy=gender_parity_parliament; indicator=SG.GEN.PARL.ZS; year=2024; country_proxy=Saudi Arabia</t>
        </is>
      </c>
    </row>
    <row r="4287">
      <c r="A4287" t="inlineStr">
        <is>
          <t>sa-khobar</t>
        </is>
      </c>
      <c r="B4287" t="inlineStr">
        <is>
          <t>Khobar</t>
        </is>
      </c>
      <c r="C4287" t="inlineStr">
        <is>
          <t>Saudi Arabia</t>
        </is>
      </c>
      <c r="D4287" t="inlineStr">
        <is>
          <t>Middle East</t>
        </is>
      </c>
      <c r="E4287" t="inlineStr">
        <is>
          <t>cultural_public_life_raw</t>
        </is>
      </c>
      <c r="F4287" t="inlineStr">
        <is>
          <t>Cultural public life raw</t>
        </is>
      </c>
      <c r="G4287" t="inlineStr">
        <is>
          <t>community</t>
        </is>
      </c>
      <c r="H4287" t="inlineStr">
        <is>
          <t>yes</t>
        </is>
      </c>
      <c r="I4287" t="inlineStr">
        <is>
          <t>574.84</t>
        </is>
      </c>
      <c r="J4287" t="inlineStr">
        <is>
          <t>world_bank</t>
        </is>
      </c>
      <c r="K4287" t="inlineStr">
        <is>
          <t>https://api.worldbank.org/v2/country/SAU/indicator/ST.INT.ARVL?format=json&amp;mrv=10</t>
        </is>
      </c>
      <c r="L4287" t="inlineStr">
        <is>
          <t>World Bank WDI: International tourism arrivals per 1 000 population</t>
        </is>
      </c>
      <c r="M4287" t="inlineStr">
        <is>
          <t>2019-12-31</t>
        </is>
      </c>
      <c r="N4287" t="inlineStr">
        <is>
          <t>auto_ingest=cultural_life_proxy; indicator=ST.INT.ARVL; norm=per_1000_pop; year=2019; country_proxy=Saudi Arabia</t>
        </is>
      </c>
    </row>
    <row r="4288">
      <c r="A4288" t="inlineStr">
        <is>
          <t>sa-khobar</t>
        </is>
      </c>
      <c r="B4288" t="inlineStr">
        <is>
          <t>Khobar</t>
        </is>
      </c>
      <c r="C4288" t="inlineStr">
        <is>
          <t>Saudi Arabia</t>
        </is>
      </c>
      <c r="D4288" t="inlineStr">
        <is>
          <t>Middle East</t>
        </is>
      </c>
      <c r="E4288" t="inlineStr">
        <is>
          <t>birth_rate_optimism_raw</t>
        </is>
      </c>
      <c r="F4288" t="inlineStr">
        <is>
          <t>Birth rate and societal optimism raw</t>
        </is>
      </c>
      <c r="G4288" t="inlineStr">
        <is>
          <t>community</t>
        </is>
      </c>
      <c r="H4288" t="inlineStr">
        <is>
          <t>yes</t>
        </is>
      </c>
      <c r="I4288" t="inlineStr">
        <is>
          <t>2.37</t>
        </is>
      </c>
      <c r="J4288" t="inlineStr">
        <is>
          <t>world_bank</t>
        </is>
      </c>
      <c r="K4288" t="inlineStr">
        <is>
          <t>https://data.worldbank.org/indicator/SP.DYN.TFRT.IN</t>
        </is>
      </c>
      <c r="L4288" t="inlineStr">
        <is>
          <t>World Bank Total Fertility Rate 2023</t>
        </is>
      </c>
      <c r="M4288" t="inlineStr">
        <is>
          <t>2024-01-01</t>
        </is>
      </c>
      <c r="N4288" t="inlineStr"/>
    </row>
    <row r="4289">
      <c r="A4289" t="inlineStr">
        <is>
          <t>sa-khobar</t>
        </is>
      </c>
      <c r="B4289" t="inlineStr">
        <is>
          <t>Khobar</t>
        </is>
      </c>
      <c r="C4289" t="inlineStr">
        <is>
          <t>Saudi Arabia</t>
        </is>
      </c>
      <c r="D4289" t="inlineStr">
        <is>
          <t>Middle East</t>
        </is>
      </c>
      <c r="E4289" t="inlineStr">
        <is>
          <t>entrepreneurial_dynamism_raw</t>
        </is>
      </c>
      <c r="F4289" t="inlineStr">
        <is>
          <t>Entrepreneurial dynamism raw</t>
        </is>
      </c>
      <c r="G4289" t="inlineStr">
        <is>
          <t>creative</t>
        </is>
      </c>
      <c r="H4289" t="inlineStr">
        <is>
          <t>yes</t>
        </is>
      </c>
      <c r="I4289" t="inlineStr">
        <is>
          <t>0.9</t>
        </is>
      </c>
      <c r="J4289" t="inlineStr">
        <is>
          <t>world_bank</t>
        </is>
      </c>
      <c r="K4289" t="inlineStr">
        <is>
          <t>https://api.worldbank.org/v2/country/SAU/indicator/IC.BUS.NDNS.ZS?format=json&amp;mrv=10</t>
        </is>
      </c>
      <c r="L4289" t="inlineStr">
        <is>
          <t>World Bank WDI: New business density (new registrations per 1,000 people ages 15-64)</t>
        </is>
      </c>
      <c r="M4289" t="inlineStr">
        <is>
          <t>2022-12-31</t>
        </is>
      </c>
      <c r="N4289" t="inlineStr">
        <is>
          <t>auto_ingest=world_bank_creative_extended; indicator=IC.BUS.NDNS.ZS; year=2022; country_proxy=Saudi Arabia</t>
        </is>
      </c>
    </row>
    <row r="4290">
      <c r="A4290" t="inlineStr">
        <is>
          <t>sa-khobar</t>
        </is>
      </c>
      <c r="B4290" t="inlineStr">
        <is>
          <t>Khobar</t>
        </is>
      </c>
      <c r="C4290" t="inlineStr">
        <is>
          <t>Saudi Arabia</t>
        </is>
      </c>
      <c r="D4290" t="inlineStr">
        <is>
          <t>Middle East</t>
        </is>
      </c>
      <c r="E4290" t="inlineStr">
        <is>
          <t>innovation_research_intensity_raw</t>
        </is>
      </c>
      <c r="F4290" t="inlineStr">
        <is>
          <t>Innovation and research raw</t>
        </is>
      </c>
      <c r="G4290" t="inlineStr">
        <is>
          <t>creative</t>
        </is>
      </c>
      <c r="H4290" t="inlineStr">
        <is>
          <t>yes</t>
        </is>
      </c>
      <c r="I4290" t="inlineStr">
        <is>
          <t>0.56</t>
        </is>
      </c>
      <c r="J4290" t="inlineStr">
        <is>
          <t>world_bank</t>
        </is>
      </c>
      <c r="K4290" t="inlineStr">
        <is>
          <t>https://api.worldbank.org/v2/country/SAU/indicator/GB.XPD.RSDV.GD.ZS?format=json&amp;mrv=10</t>
        </is>
      </c>
      <c r="L4290" t="inlineStr">
        <is>
          <t>World Bank WDI: Research and development expenditure (% of GDP)</t>
        </is>
      </c>
      <c r="M4290" t="inlineStr">
        <is>
          <t>2023-12-31</t>
        </is>
      </c>
      <c r="N4290" t="inlineStr">
        <is>
          <t>auto_ingest=world_bank_creative_extended; indicator=GB.XPD.RSDV.GD.ZS; year=2023; country_proxy=Saudi Arabia</t>
        </is>
      </c>
    </row>
    <row r="4291">
      <c r="A4291" t="inlineStr">
        <is>
          <t>sa-khobar</t>
        </is>
      </c>
      <c r="B4291" t="inlineStr">
        <is>
          <t>Khobar</t>
        </is>
      </c>
      <c r="C4291" t="inlineStr">
        <is>
          <t>Saudi Arabia</t>
        </is>
      </c>
      <c r="D4291" t="inlineStr">
        <is>
          <t>Middle East</t>
        </is>
      </c>
      <c r="E4291" t="inlineStr">
        <is>
          <t>investment_signal_raw</t>
        </is>
      </c>
      <c r="F4291" t="inlineStr">
        <is>
          <t>Investment signal raw</t>
        </is>
      </c>
      <c r="G4291" t="inlineStr">
        <is>
          <t>creative</t>
        </is>
      </c>
      <c r="H4291" t="inlineStr">
        <is>
          <t>yes</t>
        </is>
      </c>
      <c r="I4291" t="inlineStr">
        <is>
          <t>1.72</t>
        </is>
      </c>
      <c r="J4291" t="inlineStr">
        <is>
          <t>world_bank</t>
        </is>
      </c>
      <c r="K4291" t="inlineStr">
        <is>
          <t>https://api.worldbank.org/v2/country/SAU/indicator/BX.KLT.DINV.WD.GD.ZS?format=json&amp;mrv=10</t>
        </is>
      </c>
      <c r="L4291" t="inlineStr">
        <is>
          <t>World Bank WDI: Foreign direct investment, net inflows (% of GDP)</t>
        </is>
      </c>
      <c r="M4291" t="inlineStr">
        <is>
          <t>2024-12-31</t>
        </is>
      </c>
      <c r="N4291" t="inlineStr">
        <is>
          <t>auto_ingest=world_bank_creative_extended; indicator=BX.KLT.DINV.WD.GD.ZS; year=2024; country_proxy=Saudi Arabia</t>
        </is>
      </c>
    </row>
    <row r="4292">
      <c r="A4292" t="inlineStr">
        <is>
          <t>sa-khobar</t>
        </is>
      </c>
      <c r="B4292" t="inlineStr">
        <is>
          <t>Khobar</t>
        </is>
      </c>
      <c r="C4292" t="inlineStr">
        <is>
          <t>Saudi Arabia</t>
        </is>
      </c>
      <c r="D4292" t="inlineStr">
        <is>
          <t>Middle East</t>
        </is>
      </c>
      <c r="E4292" t="inlineStr">
        <is>
          <t>administrative_investment_friction_raw</t>
        </is>
      </c>
      <c r="F4292" t="inlineStr">
        <is>
          <t>Administrative investment friction raw</t>
        </is>
      </c>
      <c r="G4292" t="inlineStr">
        <is>
          <t>creative</t>
        </is>
      </c>
      <c r="H4292" t="inlineStr">
        <is>
          <t>yes</t>
        </is>
      </c>
      <c r="I4292" t="inlineStr">
        <is>
          <t>1.98</t>
        </is>
      </c>
      <c r="J4292" t="inlineStr">
        <is>
          <t>world_bank</t>
        </is>
      </c>
      <c r="K4292" t="inlineStr">
        <is>
          <t>https://api.worldbank.org/v2/country/SAU/indicator/RQ.EST?format=json&amp;mrv=10</t>
        </is>
      </c>
      <c r="L4292" t="inlineStr">
        <is>
          <t>World Bank WGI: Regulatory Quality (inverted as friction proxy)</t>
        </is>
      </c>
      <c r="M4292" t="inlineStr">
        <is>
          <t>2023-12-31</t>
        </is>
      </c>
      <c r="N4292" t="inlineStr">
        <is>
          <t>auto_ingest=world_bank_business_friction; indicator=RQ.EST; raw_rq=0.517070889472961; friction=1.98; year=2023; country_proxy=Saudi Arabia</t>
        </is>
      </c>
    </row>
    <row r="4293">
      <c r="A4293" t="inlineStr">
        <is>
          <t>sa-khobar</t>
        </is>
      </c>
      <c r="B4293" t="inlineStr">
        <is>
          <t>Khobar</t>
        </is>
      </c>
      <c r="C4293" t="inlineStr">
        <is>
          <t>Saudi Arabia</t>
        </is>
      </c>
      <c r="D4293" t="inlineStr">
        <is>
          <t>Middle East</t>
        </is>
      </c>
      <c r="E4293" t="inlineStr">
        <is>
          <t>visitor_flow_context_raw</t>
        </is>
      </c>
      <c r="F4293" t="inlineStr">
        <is>
          <t>Visitor flow context raw</t>
        </is>
      </c>
      <c r="G4293" t="inlineStr">
        <is>
          <t>creative</t>
        </is>
      </c>
      <c r="H4293" t="inlineStr">
        <is>
          <t>no</t>
        </is>
      </c>
      <c r="I4293" t="inlineStr"/>
      <c r="J4293" t="inlineStr"/>
      <c r="K4293" t="inlineStr"/>
      <c r="L4293" t="inlineStr"/>
      <c r="M4293" t="inlineStr"/>
      <c r="N4293" t="inlineStr"/>
    </row>
    <row r="4294">
      <c r="A4294" t="inlineStr">
        <is>
          <t>ma-rabat</t>
        </is>
      </c>
      <c r="B4294" t="inlineStr">
        <is>
          <t>Rabat</t>
        </is>
      </c>
      <c r="C4294" t="inlineStr">
        <is>
          <t>Morocco</t>
        </is>
      </c>
      <c r="D4294" t="inlineStr">
        <is>
          <t>Africa</t>
        </is>
      </c>
      <c r="E4294" t="inlineStr">
        <is>
          <t>gross_income</t>
        </is>
      </c>
      <c r="F4294" t="inlineStr">
        <is>
          <t>Gross income</t>
        </is>
      </c>
      <c r="G4294" t="inlineStr">
        <is>
          <t>pressure</t>
        </is>
      </c>
      <c r="H4294" t="inlineStr">
        <is>
          <t>yes</t>
        </is>
      </c>
      <c r="I4294" t="inlineStr">
        <is>
          <t>855.0</t>
        </is>
      </c>
      <c r="J4294" t="inlineStr">
        <is>
          <t>world_bank_col_estimate</t>
        </is>
      </c>
      <c r="K4294" t="inlineStr">
        <is>
          <t>https://api.worldbank.org/v2/country/MAR/indicator/NY.GNP.PCAP.PP.CD?format=json&amp;mrv=10</t>
        </is>
      </c>
      <c r="L4294" t="inlineStr">
        <is>
          <t>World Bank WDI: GNI per capita PPP (monthly USD)</t>
        </is>
      </c>
      <c r="M4294" t="inlineStr">
        <is>
          <t>2024-12-31</t>
        </is>
      </c>
      <c r="N4294" t="inlineStr">
        <is>
          <t>auto_ingest=world_bank_col_estimate; gni_annual=10260.0; year=2024; country_proxy=Morocco; cohort=Africa</t>
        </is>
      </c>
    </row>
    <row r="4295">
      <c r="A4295" t="inlineStr">
        <is>
          <t>ma-rabat</t>
        </is>
      </c>
      <c r="B4295" t="inlineStr">
        <is>
          <t>Rabat</t>
        </is>
      </c>
      <c r="C4295" t="inlineStr">
        <is>
          <t>Morocco</t>
        </is>
      </c>
      <c r="D4295" t="inlineStr">
        <is>
          <t>Africa</t>
        </is>
      </c>
      <c r="E4295" t="inlineStr">
        <is>
          <t>di_ppp_raw</t>
        </is>
      </c>
      <c r="F4295" t="inlineStr">
        <is>
          <t>Disposable income PPP (Raw)</t>
        </is>
      </c>
      <c r="G4295" t="inlineStr">
        <is>
          <t>pressure</t>
        </is>
      </c>
      <c r="H4295" t="inlineStr">
        <is>
          <t>yes</t>
        </is>
      </c>
      <c r="I4295" t="inlineStr"/>
      <c r="J4295" t="inlineStr"/>
      <c r="K4295" t="inlineStr"/>
      <c r="L4295" t="inlineStr"/>
      <c r="M4295" t="inlineStr"/>
      <c r="N4295" t="inlineStr"/>
    </row>
    <row r="4296">
      <c r="A4296" t="inlineStr">
        <is>
          <t>ma-rabat</t>
        </is>
      </c>
      <c r="B4296" t="inlineStr">
        <is>
          <t>Rabat</t>
        </is>
      </c>
      <c r="C4296" t="inlineStr">
        <is>
          <t>Morocco</t>
        </is>
      </c>
      <c r="D4296" t="inlineStr">
        <is>
          <t>Africa</t>
        </is>
      </c>
      <c r="E4296" t="inlineStr">
        <is>
          <t>rent</t>
        </is>
      </c>
      <c r="F4296" t="inlineStr">
        <is>
          <t>Rent</t>
        </is>
      </c>
      <c r="G4296" t="inlineStr">
        <is>
          <t>pressure</t>
        </is>
      </c>
      <c r="H4296" t="inlineStr">
        <is>
          <t>yes</t>
        </is>
      </c>
      <c r="I4296" t="inlineStr">
        <is>
          <t>153.9</t>
        </is>
      </c>
      <c r="J4296" t="inlineStr">
        <is>
          <t>world_bank_col_estimate</t>
        </is>
      </c>
      <c r="K4296" t="inlineStr">
        <is>
          <t>https://api.worldbank.org/v2/country/MAR/indicator/NY.GNP.PCAP.PP.CD?format=json&amp;mrv=10</t>
        </is>
      </c>
      <c r="L4296" t="inlineStr">
        <is>
          <t>World Bank GNI + regional expenditure ratio estimate</t>
        </is>
      </c>
      <c r="M4296" t="inlineStr">
        <is>
          <t>2024-12-31</t>
        </is>
      </c>
      <c r="N4296" t="inlineStr">
        <is>
          <t>auto_ingest=world_bank_col_estimate; gni_annual=10260.0; year=2024; country_proxy=Morocco; cohort=Africa; city_cost_mult=0.9</t>
        </is>
      </c>
    </row>
    <row r="4297">
      <c r="A4297" t="inlineStr">
        <is>
          <t>ma-rabat</t>
        </is>
      </c>
      <c r="B4297" t="inlineStr">
        <is>
          <t>Rabat</t>
        </is>
      </c>
      <c r="C4297" t="inlineStr">
        <is>
          <t>Morocco</t>
        </is>
      </c>
      <c r="D4297" t="inlineStr">
        <is>
          <t>Africa</t>
        </is>
      </c>
      <c r="E4297" t="inlineStr">
        <is>
          <t>utilities</t>
        </is>
      </c>
      <c r="F4297" t="inlineStr">
        <is>
          <t>Utilities</t>
        </is>
      </c>
      <c r="G4297" t="inlineStr">
        <is>
          <t>pressure</t>
        </is>
      </c>
      <c r="H4297" t="inlineStr">
        <is>
          <t>yes</t>
        </is>
      </c>
      <c r="I4297" t="inlineStr">
        <is>
          <t>46.17</t>
        </is>
      </c>
      <c r="J4297" t="inlineStr">
        <is>
          <t>world_bank_col_estimate</t>
        </is>
      </c>
      <c r="K4297" t="inlineStr">
        <is>
          <t>https://api.worldbank.org/v2/country/MAR/indicator/NY.GNP.PCAP.PP.CD?format=json&amp;mrv=10</t>
        </is>
      </c>
      <c r="L4297" t="inlineStr">
        <is>
          <t>World Bank GNI + regional expenditure ratio estimate</t>
        </is>
      </c>
      <c r="M4297" t="inlineStr">
        <is>
          <t>2024-12-31</t>
        </is>
      </c>
      <c r="N4297" t="inlineStr">
        <is>
          <t>auto_ingest=world_bank_col_estimate; gni_annual=10260.0; year=2024; country_proxy=Morocco; cohort=Africa; city_cost_mult=0.9</t>
        </is>
      </c>
    </row>
    <row r="4298">
      <c r="A4298" t="inlineStr">
        <is>
          <t>ma-rabat</t>
        </is>
      </c>
      <c r="B4298" t="inlineStr">
        <is>
          <t>Rabat</t>
        </is>
      </c>
      <c r="C4298" t="inlineStr">
        <is>
          <t>Morocco</t>
        </is>
      </c>
      <c r="D4298" t="inlineStr">
        <is>
          <t>Africa</t>
        </is>
      </c>
      <c r="E4298" t="inlineStr">
        <is>
          <t>transit_cost</t>
        </is>
      </c>
      <c r="F4298" t="inlineStr">
        <is>
          <t>Transit cost</t>
        </is>
      </c>
      <c r="G4298" t="inlineStr">
        <is>
          <t>pressure</t>
        </is>
      </c>
      <c r="H4298" t="inlineStr">
        <is>
          <t>yes</t>
        </is>
      </c>
      <c r="I4298" t="inlineStr">
        <is>
          <t>30.78</t>
        </is>
      </c>
      <c r="J4298" t="inlineStr">
        <is>
          <t>world_bank_col_estimate</t>
        </is>
      </c>
      <c r="K4298" t="inlineStr">
        <is>
          <t>https://api.worldbank.org/v2/country/MAR/indicator/NY.GNP.PCAP.PP.CD?format=json&amp;mrv=10</t>
        </is>
      </c>
      <c r="L4298" t="inlineStr">
        <is>
          <t>World Bank GNI + regional expenditure ratio estimate</t>
        </is>
      </c>
      <c r="M4298" t="inlineStr">
        <is>
          <t>2024-12-31</t>
        </is>
      </c>
      <c r="N4298" t="inlineStr">
        <is>
          <t>auto_ingest=world_bank_col_estimate; gni_annual=10260.0; year=2024; country_proxy=Morocco; cohort=Africa; city_cost_mult=0.9</t>
        </is>
      </c>
    </row>
    <row r="4299">
      <c r="A4299" t="inlineStr">
        <is>
          <t>ma-rabat</t>
        </is>
      </c>
      <c r="B4299" t="inlineStr">
        <is>
          <t>Rabat</t>
        </is>
      </c>
      <c r="C4299" t="inlineStr">
        <is>
          <t>Morocco</t>
        </is>
      </c>
      <c r="D4299" t="inlineStr">
        <is>
          <t>Africa</t>
        </is>
      </c>
      <c r="E4299" t="inlineStr">
        <is>
          <t>internet_cost</t>
        </is>
      </c>
      <c r="F4299" t="inlineStr">
        <is>
          <t>Internet cost</t>
        </is>
      </c>
      <c r="G4299" t="inlineStr">
        <is>
          <t>pressure</t>
        </is>
      </c>
      <c r="H4299" t="inlineStr">
        <is>
          <t>yes</t>
        </is>
      </c>
      <c r="I4299" t="inlineStr">
        <is>
          <t>11.54</t>
        </is>
      </c>
      <c r="J4299" t="inlineStr">
        <is>
          <t>world_bank_col_estimate</t>
        </is>
      </c>
      <c r="K4299" t="inlineStr">
        <is>
          <t>https://api.worldbank.org/v2/country/MAR/indicator/NY.GNP.PCAP.PP.CD?format=json&amp;mrv=10</t>
        </is>
      </c>
      <c r="L4299" t="inlineStr">
        <is>
          <t>World Bank GNI + regional expenditure ratio estimate</t>
        </is>
      </c>
      <c r="M4299" t="inlineStr">
        <is>
          <t>2024-12-31</t>
        </is>
      </c>
      <c r="N4299" t="inlineStr">
        <is>
          <t>auto_ingest=world_bank_col_estimate; gni_annual=10260.0; year=2024; country_proxy=Morocco; cohort=Africa; city_cost_mult=0.9</t>
        </is>
      </c>
    </row>
    <row r="4300">
      <c r="A4300" t="inlineStr">
        <is>
          <t>ma-rabat</t>
        </is>
      </c>
      <c r="B4300" t="inlineStr">
        <is>
          <t>Rabat</t>
        </is>
      </c>
      <c r="C4300" t="inlineStr">
        <is>
          <t>Morocco</t>
        </is>
      </c>
      <c r="D4300" t="inlineStr">
        <is>
          <t>Africa</t>
        </is>
      </c>
      <c r="E4300" t="inlineStr">
        <is>
          <t>food_cost</t>
        </is>
      </c>
      <c r="F4300" t="inlineStr">
        <is>
          <t>Food cost</t>
        </is>
      </c>
      <c r="G4300" t="inlineStr">
        <is>
          <t>pressure</t>
        </is>
      </c>
      <c r="H4300" t="inlineStr">
        <is>
          <t>yes</t>
        </is>
      </c>
      <c r="I4300" t="inlineStr">
        <is>
          <t>192.38</t>
        </is>
      </c>
      <c r="J4300" t="inlineStr">
        <is>
          <t>world_bank_col_estimate</t>
        </is>
      </c>
      <c r="K4300" t="inlineStr">
        <is>
          <t>https://api.worldbank.org/v2/country/MAR/indicator/NY.GNP.PCAP.PP.CD?format=json&amp;mrv=10</t>
        </is>
      </c>
      <c r="L4300" t="inlineStr">
        <is>
          <t>World Bank GNI + regional expenditure ratio estimate</t>
        </is>
      </c>
      <c r="M4300" t="inlineStr">
        <is>
          <t>2024-12-31</t>
        </is>
      </c>
      <c r="N4300" t="inlineStr">
        <is>
          <t>auto_ingest=world_bank_col_estimate; gni_annual=10260.0; year=2024; country_proxy=Morocco; cohort=Africa; city_cost_mult=0.9</t>
        </is>
      </c>
    </row>
    <row r="4301">
      <c r="A4301" t="inlineStr">
        <is>
          <t>ma-rabat</t>
        </is>
      </c>
      <c r="B4301" t="inlineStr">
        <is>
          <t>Rabat</t>
        </is>
      </c>
      <c r="C4301" t="inlineStr">
        <is>
          <t>Morocco</t>
        </is>
      </c>
      <c r="D4301" t="inlineStr">
        <is>
          <t>Africa</t>
        </is>
      </c>
      <c r="E4301" t="inlineStr">
        <is>
          <t>housing_burden_raw</t>
        </is>
      </c>
      <c r="F4301" t="inlineStr">
        <is>
          <t>Housing burden raw</t>
        </is>
      </c>
      <c r="G4301" t="inlineStr">
        <is>
          <t>pressure</t>
        </is>
      </c>
      <c r="H4301" t="inlineStr">
        <is>
          <t>yes</t>
        </is>
      </c>
      <c r="I4301" t="inlineStr">
        <is>
          <t>18.0</t>
        </is>
      </c>
      <c r="J4301" t="inlineStr">
        <is>
          <t>derived</t>
        </is>
      </c>
      <c r="K4301" t="inlineStr">
        <is>
          <t>https://data.worldbank.org/indicator/NY.GNP.PCAP.PP.CD</t>
        </is>
      </c>
      <c r="L4301" t="inlineStr">
        <is>
          <t>Computed from city_inputs + country_context</t>
        </is>
      </c>
      <c r="M4301" t="inlineStr">
        <is>
          <t>2024-01-01</t>
        </is>
      </c>
      <c r="N4301" t="inlineStr">
        <is>
          <t>derived=rent/gross_income*100</t>
        </is>
      </c>
    </row>
    <row r="4302">
      <c r="A4302" t="inlineStr">
        <is>
          <t>ma-rabat</t>
        </is>
      </c>
      <c r="B4302" t="inlineStr">
        <is>
          <t>Rabat</t>
        </is>
      </c>
      <c r="C4302" t="inlineStr">
        <is>
          <t>Morocco</t>
        </is>
      </c>
      <c r="D4302" t="inlineStr">
        <is>
          <t>Africa</t>
        </is>
      </c>
      <c r="E4302" t="inlineStr">
        <is>
          <t>household_debt_burden_raw</t>
        </is>
      </c>
      <c r="F4302" t="inlineStr">
        <is>
          <t>Household debt burden raw</t>
        </is>
      </c>
      <c r="G4302" t="inlineStr">
        <is>
          <t>pressure</t>
        </is>
      </c>
      <c r="H4302" t="inlineStr">
        <is>
          <t>yes</t>
        </is>
      </c>
      <c r="I4302" t="inlineStr">
        <is>
          <t>54.7741</t>
        </is>
      </c>
      <c r="J4302" t="inlineStr">
        <is>
          <t>derived</t>
        </is>
      </c>
      <c r="K4302" t="inlineStr">
        <is>
          <t>https://data.worldbank.org/indicator/NY.GNP.PCAP.PP.CD</t>
        </is>
      </c>
      <c r="L4302" t="inlineStr">
        <is>
          <t>Computed from city_inputs + country_context</t>
        </is>
      </c>
      <c r="M4302" t="inlineStr">
        <is>
          <t>2024-01-01</t>
        </is>
      </c>
      <c r="N4302" t="inlineStr">
        <is>
          <t>derived=country_context.household_debt_proxy; country=Morocco</t>
        </is>
      </c>
    </row>
    <row r="4303">
      <c r="A4303" t="inlineStr">
        <is>
          <t>ma-rabat</t>
        </is>
      </c>
      <c r="B4303" t="inlineStr">
        <is>
          <t>Rabat</t>
        </is>
      </c>
      <c r="C4303" t="inlineStr">
        <is>
          <t>Morocco</t>
        </is>
      </c>
      <c r="D4303" t="inlineStr">
        <is>
          <t>Africa</t>
        </is>
      </c>
      <c r="E4303" t="inlineStr">
        <is>
          <t>working_time_pressure_raw</t>
        </is>
      </c>
      <c r="F4303" t="inlineStr">
        <is>
          <t>Working time pressure raw</t>
        </is>
      </c>
      <c r="G4303" t="inlineStr">
        <is>
          <t>pressure</t>
        </is>
      </c>
      <c r="H4303" t="inlineStr">
        <is>
          <t>yes</t>
        </is>
      </c>
      <c r="I4303" t="inlineStr">
        <is>
          <t>44.0</t>
        </is>
      </c>
      <c r="J4303" t="inlineStr">
        <is>
          <t>ilo_ilostat</t>
        </is>
      </c>
      <c r="K4303" t="inlineStr">
        <is>
          <t>https://ilostat.ilo.org/data/indicator/?id=HOW_TEMP_SEX_ECO_NB_A&amp;ref_area=MAR</t>
        </is>
      </c>
      <c r="L4303" t="inlineStr">
        <is>
          <t>ILO ILOSTAT: Mean weekly hours actually worked per employed person</t>
        </is>
      </c>
      <c r="M4303" t="inlineStr">
        <is>
          <t>2022-12-31</t>
        </is>
      </c>
      <c r="N4303" t="inlineStr">
        <is>
          <t>auto_ingest=ilo_working_hours; indicator=HOW_TEMP_SEX_ECO_NB_A; year=2022; hours=44.0; country_proxy=Morocco</t>
        </is>
      </c>
    </row>
    <row r="4304">
      <c r="A4304" t="inlineStr">
        <is>
          <t>ma-rabat</t>
        </is>
      </c>
      <c r="B4304" t="inlineStr">
        <is>
          <t>Rabat</t>
        </is>
      </c>
      <c r="C4304" t="inlineStr">
        <is>
          <t>Morocco</t>
        </is>
      </c>
      <c r="D4304" t="inlineStr">
        <is>
          <t>Africa</t>
        </is>
      </c>
      <c r="E4304" t="inlineStr">
        <is>
          <t>suicide_mental_strain_raw</t>
        </is>
      </c>
      <c r="F4304" t="inlineStr">
        <is>
          <t>Suicide or mental strain raw</t>
        </is>
      </c>
      <c r="G4304" t="inlineStr">
        <is>
          <t>pressure</t>
        </is>
      </c>
      <c r="H4304" t="inlineStr">
        <is>
          <t>yes</t>
        </is>
      </c>
      <c r="I4304" t="inlineStr">
        <is>
          <t>2.91</t>
        </is>
      </c>
      <c r="J4304" t="inlineStr">
        <is>
          <t>who_gho</t>
        </is>
      </c>
      <c r="K4304" t="inlineStr">
        <is>
          <t>https://www.who.int/data/gho/data/indicators/indicator-details/GHO/SDGSUICIDE</t>
        </is>
      </c>
      <c r="L4304" t="inlineStr">
        <is>
          <t>WHO GHO: Age-standardized suicide rate (per 100,000 population)</t>
        </is>
      </c>
      <c r="M4304" t="inlineStr">
        <is>
          <t>2021-12-31</t>
        </is>
      </c>
      <c r="N4304" t="inlineStr">
        <is>
          <t>auto_ingest=who_gho; indicator=SDGSUICIDE; year=2021; country_proxy=Morocco</t>
        </is>
      </c>
    </row>
    <row r="4305">
      <c r="A4305" t="inlineStr">
        <is>
          <t>ma-rabat</t>
        </is>
      </c>
      <c r="B4305" t="inlineStr">
        <is>
          <t>Rabat</t>
        </is>
      </c>
      <c r="C4305" t="inlineStr">
        <is>
          <t>Morocco</t>
        </is>
      </c>
      <c r="D4305" t="inlineStr">
        <is>
          <t>Africa</t>
        </is>
      </c>
      <c r="E4305" t="inlineStr">
        <is>
          <t>personal_safety_raw</t>
        </is>
      </c>
      <c r="F4305" t="inlineStr">
        <is>
          <t>Personal safety raw</t>
        </is>
      </c>
      <c r="G4305" t="inlineStr">
        <is>
          <t>viability</t>
        </is>
      </c>
      <c r="H4305" t="inlineStr">
        <is>
          <t>yes</t>
        </is>
      </c>
      <c r="I4305" t="inlineStr">
        <is>
          <t>1.71</t>
        </is>
      </c>
      <c r="J4305" t="inlineStr">
        <is>
          <t>world_bank</t>
        </is>
      </c>
      <c r="K4305" t="inlineStr">
        <is>
          <t>https://api.worldbank.org/v2/country/MAR/indicator/VC.IHR.PSRC.P5?format=json&amp;mrv=10</t>
        </is>
      </c>
      <c r="L4305" t="inlineStr">
        <is>
          <t>UNODC via World Bank WDI: Intentional homicides (per 100,000 people)</t>
        </is>
      </c>
      <c r="M4305" t="inlineStr">
        <is>
          <t>2023-12-31</t>
        </is>
      </c>
      <c r="N4305" t="inlineStr">
        <is>
          <t>auto_ingest=unodc_safety; indicator=VC.IHR.PSRC.P5; year=2023; country_proxy=Morocco</t>
        </is>
      </c>
    </row>
    <row r="4306">
      <c r="A4306" t="inlineStr">
        <is>
          <t>ma-rabat</t>
        </is>
      </c>
      <c r="B4306" t="inlineStr">
        <is>
          <t>Rabat</t>
        </is>
      </c>
      <c r="C4306" t="inlineStr">
        <is>
          <t>Morocco</t>
        </is>
      </c>
      <c r="D4306" t="inlineStr">
        <is>
          <t>Africa</t>
        </is>
      </c>
      <c r="E4306" t="inlineStr">
        <is>
          <t>transit_access_commute_raw</t>
        </is>
      </c>
      <c r="F4306" t="inlineStr">
        <is>
          <t>Transit access and commute raw</t>
        </is>
      </c>
      <c r="G4306" t="inlineStr">
        <is>
          <t>viability</t>
        </is>
      </c>
      <c r="H4306" t="inlineStr">
        <is>
          <t>yes</t>
        </is>
      </c>
      <c r="I4306" t="inlineStr"/>
      <c r="J4306" t="inlineStr"/>
      <c r="K4306" t="inlineStr"/>
      <c r="L4306" t="inlineStr"/>
      <c r="M4306" t="inlineStr"/>
      <c r="N4306" t="inlineStr"/>
    </row>
    <row r="4307">
      <c r="A4307" t="inlineStr">
        <is>
          <t>ma-rabat</t>
        </is>
      </c>
      <c r="B4307" t="inlineStr">
        <is>
          <t>Rabat</t>
        </is>
      </c>
      <c r="C4307" t="inlineStr">
        <is>
          <t>Morocco</t>
        </is>
      </c>
      <c r="D4307" t="inlineStr">
        <is>
          <t>Africa</t>
        </is>
      </c>
      <c r="E4307" t="inlineStr">
        <is>
          <t>clean_air_raw</t>
        </is>
      </c>
      <c r="F4307" t="inlineStr">
        <is>
          <t>Clean air raw</t>
        </is>
      </c>
      <c r="G4307" t="inlineStr">
        <is>
          <t>viability</t>
        </is>
      </c>
      <c r="H4307" t="inlineStr">
        <is>
          <t>yes</t>
        </is>
      </c>
      <c r="I4307" t="inlineStr"/>
      <c r="J4307" t="inlineStr"/>
      <c r="K4307" t="inlineStr"/>
      <c r="L4307" t="inlineStr"/>
      <c r="M4307" t="inlineStr"/>
      <c r="N4307" t="inlineStr"/>
    </row>
    <row r="4308">
      <c r="A4308" t="inlineStr">
        <is>
          <t>ma-rabat</t>
        </is>
      </c>
      <c r="B4308" t="inlineStr">
        <is>
          <t>Rabat</t>
        </is>
      </c>
      <c r="C4308" t="inlineStr">
        <is>
          <t>Morocco</t>
        </is>
      </c>
      <c r="D4308" t="inlineStr">
        <is>
          <t>Africa</t>
        </is>
      </c>
      <c r="E4308" t="inlineStr">
        <is>
          <t>water_sanitation_utility_raw</t>
        </is>
      </c>
      <c r="F4308" t="inlineStr">
        <is>
          <t>Water, sanitation, and utility raw</t>
        </is>
      </c>
      <c r="G4308" t="inlineStr">
        <is>
          <t>viability</t>
        </is>
      </c>
      <c r="H4308" t="inlineStr">
        <is>
          <t>yes</t>
        </is>
      </c>
      <c r="I4308" t="inlineStr">
        <is>
          <t>79.98</t>
        </is>
      </c>
      <c r="J4308" t="inlineStr">
        <is>
          <t>world_bank</t>
        </is>
      </c>
      <c r="K4308" t="inlineStr">
        <is>
          <t>https://api.worldbank.org/v2/country/MAR/indicator/SH.H2O.SMDW.ZS?format=json&amp;mrv=10</t>
        </is>
      </c>
      <c r="L4308" t="inlineStr">
        <is>
          <t>World Bank WDI: People using safely managed drinking water services (% of population)</t>
        </is>
      </c>
      <c r="M4308" t="inlineStr">
        <is>
          <t>2024-12-31</t>
        </is>
      </c>
      <c r="N4308" t="inlineStr">
        <is>
          <t>auto_ingest=world_bank_proxy; indicator=SH.H2O.SMDW.ZS; year=2024; country_proxy=Morocco</t>
        </is>
      </c>
    </row>
    <row r="4309">
      <c r="A4309" t="inlineStr">
        <is>
          <t>ma-rabat</t>
        </is>
      </c>
      <c r="B4309" t="inlineStr">
        <is>
          <t>Rabat</t>
        </is>
      </c>
      <c r="C4309" t="inlineStr">
        <is>
          <t>Morocco</t>
        </is>
      </c>
      <c r="D4309" t="inlineStr">
        <is>
          <t>Africa</t>
        </is>
      </c>
      <c r="E4309" t="inlineStr">
        <is>
          <t>digital_infrastructure_raw</t>
        </is>
      </c>
      <c r="F4309" t="inlineStr">
        <is>
          <t>Digital infrastructure raw</t>
        </is>
      </c>
      <c r="G4309" t="inlineStr">
        <is>
          <t>viability</t>
        </is>
      </c>
      <c r="H4309" t="inlineStr">
        <is>
          <t>yes</t>
        </is>
      </c>
      <c r="I4309" t="inlineStr">
        <is>
          <t>7.02</t>
        </is>
      </c>
      <c r="J4309" t="inlineStr">
        <is>
          <t>world_bank</t>
        </is>
      </c>
      <c r="K4309" t="inlineStr">
        <is>
          <t>https://api.worldbank.org/v2/country/MAR/indicator/IT.NET.BBND.P2?format=json&amp;mrv=10</t>
        </is>
      </c>
      <c r="L4309" t="inlineStr">
        <is>
          <t>World Bank WDI: Fixed broadband subscriptions (per 100 people)</t>
        </is>
      </c>
      <c r="M4309" t="inlineStr">
        <is>
          <t>2023-12-31</t>
        </is>
      </c>
      <c r="N4309" t="inlineStr">
        <is>
          <t>auto_ingest=world_bank_proxy; indicator=IT.NET.BBND.P2; year=2023; country_proxy=Morocco</t>
        </is>
      </c>
    </row>
    <row r="4310">
      <c r="A4310" t="inlineStr">
        <is>
          <t>ma-rabat</t>
        </is>
      </c>
      <c r="B4310" t="inlineStr">
        <is>
          <t>Rabat</t>
        </is>
      </c>
      <c r="C4310" t="inlineStr">
        <is>
          <t>Morocco</t>
        </is>
      </c>
      <c r="D4310" t="inlineStr">
        <is>
          <t>Africa</t>
        </is>
      </c>
      <c r="E4310" t="inlineStr">
        <is>
          <t>climate_sunlight_livability_raw</t>
        </is>
      </c>
      <c r="F4310" t="inlineStr">
        <is>
          <t>Climate and sunlight livability raw</t>
        </is>
      </c>
      <c r="G4310" t="inlineStr">
        <is>
          <t>viability</t>
        </is>
      </c>
      <c r="H4310" t="inlineStr">
        <is>
          <t>yes</t>
        </is>
      </c>
      <c r="I4310" t="inlineStr"/>
      <c r="J4310" t="inlineStr"/>
      <c r="K4310" t="inlineStr"/>
      <c r="L4310" t="inlineStr"/>
      <c r="M4310" t="inlineStr"/>
      <c r="N4310" t="inlineStr"/>
    </row>
    <row r="4311">
      <c r="A4311" t="inlineStr">
        <is>
          <t>ma-rabat</t>
        </is>
      </c>
      <c r="B4311" t="inlineStr">
        <is>
          <t>Rabat</t>
        </is>
      </c>
      <c r="C4311" t="inlineStr">
        <is>
          <t>Morocco</t>
        </is>
      </c>
      <c r="D4311" t="inlineStr">
        <is>
          <t>Africa</t>
        </is>
      </c>
      <c r="E4311" t="inlineStr">
        <is>
          <t>healthcare_quality_raw</t>
        </is>
      </c>
      <c r="F4311" t="inlineStr">
        <is>
          <t>Healthcare quality raw</t>
        </is>
      </c>
      <c r="G4311" t="inlineStr">
        <is>
          <t>capability</t>
        </is>
      </c>
      <c r="H4311" t="inlineStr">
        <is>
          <t>yes</t>
        </is>
      </c>
      <c r="I4311" t="inlineStr">
        <is>
          <t>65.0</t>
        </is>
      </c>
      <c r="J4311" t="inlineStr">
        <is>
          <t>who_gho</t>
        </is>
      </c>
      <c r="K4311" t="inlineStr">
        <is>
          <t>https://www.who.int/data/gho/data/indicators/indicator-details/GHO/UHC_INDEX_REPORTED</t>
        </is>
      </c>
      <c r="L4311" t="inlineStr">
        <is>
          <t>WHO GHO: UHC Service Coverage Index</t>
        </is>
      </c>
      <c r="M4311" t="inlineStr">
        <is>
          <t>2023-12-31</t>
        </is>
      </c>
      <c r="N4311" t="inlineStr">
        <is>
          <t>auto_ingest=who_gho; indicator=UHC_INDEX_REPORTED; year=2023; country_proxy=Morocco</t>
        </is>
      </c>
    </row>
    <row r="4312">
      <c r="A4312" t="inlineStr">
        <is>
          <t>ma-rabat</t>
        </is>
      </c>
      <c r="B4312" t="inlineStr">
        <is>
          <t>Rabat</t>
        </is>
      </c>
      <c r="C4312" t="inlineStr">
        <is>
          <t>Morocco</t>
        </is>
      </c>
      <c r="D4312" t="inlineStr">
        <is>
          <t>Africa</t>
        </is>
      </c>
      <c r="E4312" t="inlineStr">
        <is>
          <t>education_quality_raw</t>
        </is>
      </c>
      <c r="F4312" t="inlineStr">
        <is>
          <t>Education quality raw</t>
        </is>
      </c>
      <c r="G4312" t="inlineStr">
        <is>
          <t>capability</t>
        </is>
      </c>
      <c r="H4312" t="inlineStr">
        <is>
          <t>yes</t>
        </is>
      </c>
      <c r="I4312" t="inlineStr">
        <is>
          <t>48.18</t>
        </is>
      </c>
      <c r="J4312" t="inlineStr">
        <is>
          <t>world_bank</t>
        </is>
      </c>
      <c r="K4312" t="inlineStr">
        <is>
          <t>https://api.worldbank.org/v2/country/MAR/indicator/SE.TER.ENRR?format=json&amp;mrv=10</t>
        </is>
      </c>
      <c r="L4312" t="inlineStr">
        <is>
          <t>World Bank WDI: School enrollment, tertiary (% gross)</t>
        </is>
      </c>
      <c r="M4312" t="inlineStr">
        <is>
          <t>2024-12-31</t>
        </is>
      </c>
      <c r="N4312" t="inlineStr">
        <is>
          <t>auto_ingest=world_bank_proxy; indicator=SE.TER.ENRR; year=2024; country_proxy=Morocco</t>
        </is>
      </c>
    </row>
    <row r="4313">
      <c r="A4313" t="inlineStr">
        <is>
          <t>ma-rabat</t>
        </is>
      </c>
      <c r="B4313" t="inlineStr">
        <is>
          <t>Rabat</t>
        </is>
      </c>
      <c r="C4313" t="inlineStr">
        <is>
          <t>Morocco</t>
        </is>
      </c>
      <c r="D4313" t="inlineStr">
        <is>
          <t>Africa</t>
        </is>
      </c>
      <c r="E4313" t="inlineStr">
        <is>
          <t>equal_opportunity_raw</t>
        </is>
      </c>
      <c r="F4313" t="inlineStr">
        <is>
          <t>Equal opportunity raw</t>
        </is>
      </c>
      <c r="G4313" t="inlineStr">
        <is>
          <t>capability</t>
        </is>
      </c>
      <c r="H4313" t="inlineStr">
        <is>
          <t>yes</t>
        </is>
      </c>
      <c r="I4313" t="inlineStr"/>
      <c r="J4313" t="inlineStr"/>
      <c r="K4313" t="inlineStr"/>
      <c r="L4313" t="inlineStr"/>
      <c r="M4313" t="inlineStr"/>
      <c r="N4313" t="inlineStr"/>
    </row>
    <row r="4314">
      <c r="A4314" t="inlineStr">
        <is>
          <t>ma-rabat</t>
        </is>
      </c>
      <c r="B4314" t="inlineStr">
        <is>
          <t>Rabat</t>
        </is>
      </c>
      <c r="C4314" t="inlineStr">
        <is>
          <t>Morocco</t>
        </is>
      </c>
      <c r="D4314" t="inlineStr">
        <is>
          <t>Africa</t>
        </is>
      </c>
      <c r="E4314" t="inlineStr">
        <is>
          <t>hospitality_belonging_raw</t>
        </is>
      </c>
      <c r="F4314" t="inlineStr">
        <is>
          <t>Hospitality and belonging raw</t>
        </is>
      </c>
      <c r="G4314" t="inlineStr">
        <is>
          <t>community</t>
        </is>
      </c>
      <c r="H4314" t="inlineStr">
        <is>
          <t>yes</t>
        </is>
      </c>
      <c r="I4314" t="inlineStr">
        <is>
          <t>48.52</t>
        </is>
      </c>
      <c r="J4314" t="inlineStr">
        <is>
          <t>world_bank</t>
        </is>
      </c>
      <c r="K4314" t="inlineStr">
        <is>
          <t>https://api.worldbank.org/v2/country/MAR/indicator/SM.POP.NETM?format=json&amp;mrv=10</t>
        </is>
      </c>
      <c r="L4314" t="inlineStr">
        <is>
          <t>World Bank WDI: Net migration (proxy for hospitality/belonging — positive = welcoming)</t>
        </is>
      </c>
      <c r="M4314" t="inlineStr">
        <is>
          <t>2025-12-31</t>
        </is>
      </c>
      <c r="N4314" t="inlineStr">
        <is>
          <t>auto_ingest=world_bank_proxy; proxy=net_migration_hospitality; indicator=SM.POP.NETM; year=2025; country_proxy=Morocco</t>
        </is>
      </c>
    </row>
    <row r="4315">
      <c r="A4315" t="inlineStr">
        <is>
          <t>ma-rabat</t>
        </is>
      </c>
      <c r="B4315" t="inlineStr">
        <is>
          <t>Rabat</t>
        </is>
      </c>
      <c r="C4315" t="inlineStr">
        <is>
          <t>Morocco</t>
        </is>
      </c>
      <c r="D4315" t="inlineStr">
        <is>
          <t>Africa</t>
        </is>
      </c>
      <c r="E4315" t="inlineStr">
        <is>
          <t>tolerance_pluralism_raw</t>
        </is>
      </c>
      <c r="F4315" t="inlineStr">
        <is>
          <t>Tolerance and pluralism raw</t>
        </is>
      </c>
      <c r="G4315" t="inlineStr">
        <is>
          <t>community</t>
        </is>
      </c>
      <c r="H4315" t="inlineStr">
        <is>
          <t>yes</t>
        </is>
      </c>
      <c r="I4315" t="inlineStr">
        <is>
          <t>24.3</t>
        </is>
      </c>
      <c r="J4315" t="inlineStr">
        <is>
          <t>world_bank</t>
        </is>
      </c>
      <c r="K4315" t="inlineStr">
        <is>
          <t>https://api.worldbank.org/v2/country/MAR/indicator/SG.GEN.PARL.ZS?format=json&amp;mrv=10</t>
        </is>
      </c>
      <c r="L4315" t="inlineStr">
        <is>
          <t>World Bank WDI: Proportion of seats held by women in national parliaments (%)</t>
        </is>
      </c>
      <c r="M4315" t="inlineStr">
        <is>
          <t>2024-12-31</t>
        </is>
      </c>
      <c r="N4315" t="inlineStr">
        <is>
          <t>auto_ingest=world_bank_proxy; proxy=gender_parity_parliament; indicator=SG.GEN.PARL.ZS; year=2024; country_proxy=Morocco</t>
        </is>
      </c>
    </row>
    <row r="4316">
      <c r="A4316" t="inlineStr">
        <is>
          <t>ma-rabat</t>
        </is>
      </c>
      <c r="B4316" t="inlineStr">
        <is>
          <t>Rabat</t>
        </is>
      </c>
      <c r="C4316" t="inlineStr">
        <is>
          <t>Morocco</t>
        </is>
      </c>
      <c r="D4316" t="inlineStr">
        <is>
          <t>Africa</t>
        </is>
      </c>
      <c r="E4316" t="inlineStr">
        <is>
          <t>cultural_public_life_raw</t>
        </is>
      </c>
      <c r="F4316" t="inlineStr">
        <is>
          <t>Cultural public life raw</t>
        </is>
      </c>
      <c r="G4316" t="inlineStr">
        <is>
          <t>community</t>
        </is>
      </c>
      <c r="H4316" t="inlineStr">
        <is>
          <t>yes</t>
        </is>
      </c>
      <c r="I4316" t="inlineStr">
        <is>
          <t>73.58</t>
        </is>
      </c>
      <c r="J4316" t="inlineStr">
        <is>
          <t>world_bank</t>
        </is>
      </c>
      <c r="K4316" t="inlineStr">
        <is>
          <t>https://api.worldbank.org/v2/country/MAR/indicator/ST.INT.ARVL?format=json&amp;mrv=10</t>
        </is>
      </c>
      <c r="L4316" t="inlineStr">
        <is>
          <t>World Bank WDI: International tourism arrivals per 1 000 population</t>
        </is>
      </c>
      <c r="M4316" t="inlineStr">
        <is>
          <t>2020-12-31</t>
        </is>
      </c>
      <c r="N4316" t="inlineStr">
        <is>
          <t>auto_ingest=cultural_life_proxy; indicator=ST.INT.ARVL; norm=per_1000_pop; year=2020; country_proxy=Morocco</t>
        </is>
      </c>
    </row>
    <row r="4317">
      <c r="A4317" t="inlineStr">
        <is>
          <t>ma-rabat</t>
        </is>
      </c>
      <c r="B4317" t="inlineStr">
        <is>
          <t>Rabat</t>
        </is>
      </c>
      <c r="C4317" t="inlineStr">
        <is>
          <t>Morocco</t>
        </is>
      </c>
      <c r="D4317" t="inlineStr">
        <is>
          <t>Africa</t>
        </is>
      </c>
      <c r="E4317" t="inlineStr">
        <is>
          <t>birth_rate_optimism_raw</t>
        </is>
      </c>
      <c r="F4317" t="inlineStr">
        <is>
          <t>Birth rate and societal optimism raw</t>
        </is>
      </c>
      <c r="G4317" t="inlineStr">
        <is>
          <t>community</t>
        </is>
      </c>
      <c r="H4317" t="inlineStr">
        <is>
          <t>yes</t>
        </is>
      </c>
      <c r="I4317" t="inlineStr"/>
      <c r="J4317" t="inlineStr"/>
      <c r="K4317" t="inlineStr"/>
      <c r="L4317" t="inlineStr"/>
      <c r="M4317" t="inlineStr"/>
      <c r="N4317" t="inlineStr"/>
    </row>
    <row r="4318">
      <c r="A4318" t="inlineStr">
        <is>
          <t>ma-rabat</t>
        </is>
      </c>
      <c r="B4318" t="inlineStr">
        <is>
          <t>Rabat</t>
        </is>
      </c>
      <c r="C4318" t="inlineStr">
        <is>
          <t>Morocco</t>
        </is>
      </c>
      <c r="D4318" t="inlineStr">
        <is>
          <t>Africa</t>
        </is>
      </c>
      <c r="E4318" t="inlineStr">
        <is>
          <t>entrepreneurial_dynamism_raw</t>
        </is>
      </c>
      <c r="F4318" t="inlineStr">
        <is>
          <t>Entrepreneurial dynamism raw</t>
        </is>
      </c>
      <c r="G4318" t="inlineStr">
        <is>
          <t>creative</t>
        </is>
      </c>
      <c r="H4318" t="inlineStr">
        <is>
          <t>yes</t>
        </is>
      </c>
      <c r="I4318" t="inlineStr">
        <is>
          <t>2.57</t>
        </is>
      </c>
      <c r="J4318" t="inlineStr">
        <is>
          <t>world_bank</t>
        </is>
      </c>
      <c r="K4318" t="inlineStr">
        <is>
          <t>https://api.worldbank.org/v2/country/MAR/indicator/IC.BUS.NDNS.ZS?format=json&amp;mrv=10</t>
        </is>
      </c>
      <c r="L4318" t="inlineStr">
        <is>
          <t>World Bank WDI: New business density (new registrations per 1,000 people ages 15-64)</t>
        </is>
      </c>
      <c r="M4318" t="inlineStr">
        <is>
          <t>2022-12-31</t>
        </is>
      </c>
      <c r="N4318" t="inlineStr">
        <is>
          <t>auto_ingest=world_bank_creative_extended; indicator=IC.BUS.NDNS.ZS; year=2022; country_proxy=Morocco</t>
        </is>
      </c>
    </row>
    <row r="4319">
      <c r="A4319" t="inlineStr">
        <is>
          <t>ma-rabat</t>
        </is>
      </c>
      <c r="B4319" t="inlineStr">
        <is>
          <t>Rabat</t>
        </is>
      </c>
      <c r="C4319" t="inlineStr">
        <is>
          <t>Morocco</t>
        </is>
      </c>
      <c r="D4319" t="inlineStr">
        <is>
          <t>Africa</t>
        </is>
      </c>
      <c r="E4319" t="inlineStr">
        <is>
          <t>innovation_research_intensity_raw</t>
        </is>
      </c>
      <c r="F4319" t="inlineStr">
        <is>
          <t>Innovation and research raw</t>
        </is>
      </c>
      <c r="G4319" t="inlineStr">
        <is>
          <t>creative</t>
        </is>
      </c>
      <c r="H4319" t="inlineStr">
        <is>
          <t>yes</t>
        </is>
      </c>
      <c r="I4319" t="inlineStr">
        <is>
          <t>73.61</t>
        </is>
      </c>
      <c r="J4319" t="inlineStr">
        <is>
          <t>world_bank</t>
        </is>
      </c>
      <c r="K4319" t="inlineStr">
        <is>
          <t>https://api.worldbank.org/v2/country/MAR/indicator/IP.PAT.RESD?format=json&amp;mrv=10</t>
        </is>
      </c>
      <c r="L4319" t="inlineStr">
        <is>
          <t>World Bank WDI: Patent applications (residents + non-residents) per million population</t>
        </is>
      </c>
      <c r="M4319" t="inlineStr">
        <is>
          <t>2021-12-31</t>
        </is>
      </c>
      <c r="N4319" t="inlineStr">
        <is>
          <t>auto_ingest=wipo_patents_proxy; indicators=IP.PAT.RESD+IP.PAT.NRES; norm=per_million_pop; year=2021; country_proxy=Morocco</t>
        </is>
      </c>
    </row>
    <row r="4320">
      <c r="A4320" t="inlineStr">
        <is>
          <t>ma-rabat</t>
        </is>
      </c>
      <c r="B4320" t="inlineStr">
        <is>
          <t>Rabat</t>
        </is>
      </c>
      <c r="C4320" t="inlineStr">
        <is>
          <t>Morocco</t>
        </is>
      </c>
      <c r="D4320" t="inlineStr">
        <is>
          <t>Africa</t>
        </is>
      </c>
      <c r="E4320" t="inlineStr">
        <is>
          <t>investment_signal_raw</t>
        </is>
      </c>
      <c r="F4320" t="inlineStr">
        <is>
          <t>Investment signal raw</t>
        </is>
      </c>
      <c r="G4320" t="inlineStr">
        <is>
          <t>creative</t>
        </is>
      </c>
      <c r="H4320" t="inlineStr">
        <is>
          <t>yes</t>
        </is>
      </c>
      <c r="I4320" t="inlineStr">
        <is>
          <t>1.02</t>
        </is>
      </c>
      <c r="J4320" t="inlineStr">
        <is>
          <t>world_bank</t>
        </is>
      </c>
      <c r="K4320" t="inlineStr">
        <is>
          <t>https://api.worldbank.org/v2/country/MAR/indicator/BX.KLT.DINV.WD.GD.ZS?format=json&amp;mrv=10</t>
        </is>
      </c>
      <c r="L4320" t="inlineStr">
        <is>
          <t>World Bank WDI: Foreign direct investment, net inflows (% of GDP)</t>
        </is>
      </c>
      <c r="M4320" t="inlineStr">
        <is>
          <t>2024-12-31</t>
        </is>
      </c>
      <c r="N4320" t="inlineStr">
        <is>
          <t>auto_ingest=world_bank_creative_extended; indicator=BX.KLT.DINV.WD.GD.ZS; year=2024; country_proxy=Morocco</t>
        </is>
      </c>
    </row>
    <row r="4321">
      <c r="A4321" t="inlineStr">
        <is>
          <t>ma-rabat</t>
        </is>
      </c>
      <c r="B4321" t="inlineStr">
        <is>
          <t>Rabat</t>
        </is>
      </c>
      <c r="C4321" t="inlineStr">
        <is>
          <t>Morocco</t>
        </is>
      </c>
      <c r="D4321" t="inlineStr">
        <is>
          <t>Africa</t>
        </is>
      </c>
      <c r="E4321" t="inlineStr">
        <is>
          <t>administrative_investment_friction_raw</t>
        </is>
      </c>
      <c r="F4321" t="inlineStr">
        <is>
          <t>Administrative investment friction raw</t>
        </is>
      </c>
      <c r="G4321" t="inlineStr">
        <is>
          <t>creative</t>
        </is>
      </c>
      <c r="H4321" t="inlineStr">
        <is>
          <t>yes</t>
        </is>
      </c>
      <c r="I4321" t="inlineStr">
        <is>
          <t>2.56</t>
        </is>
      </c>
      <c r="J4321" t="inlineStr">
        <is>
          <t>world_bank</t>
        </is>
      </c>
      <c r="K4321" t="inlineStr">
        <is>
          <t>https://api.worldbank.org/v2/country/MAR/indicator/RQ.EST?format=json&amp;mrv=10</t>
        </is>
      </c>
      <c r="L4321" t="inlineStr">
        <is>
          <t>World Bank WGI: Regulatory Quality (inverted as friction proxy)</t>
        </is>
      </c>
      <c r="M4321" t="inlineStr">
        <is>
          <t>2023-12-31</t>
        </is>
      </c>
      <c r="N4321" t="inlineStr">
        <is>
          <t>auto_ingest=world_bank_business_friction; indicator=RQ.EST; raw_rq=-0.0642079934477806; friction=2.56; year=2023; country_proxy=Morocco</t>
        </is>
      </c>
    </row>
    <row r="4322">
      <c r="A4322" t="inlineStr">
        <is>
          <t>ma-rabat</t>
        </is>
      </c>
      <c r="B4322" t="inlineStr">
        <is>
          <t>Rabat</t>
        </is>
      </c>
      <c r="C4322" t="inlineStr">
        <is>
          <t>Morocco</t>
        </is>
      </c>
      <c r="D4322" t="inlineStr">
        <is>
          <t>Africa</t>
        </is>
      </c>
      <c r="E4322" t="inlineStr">
        <is>
          <t>visitor_flow_context_raw</t>
        </is>
      </c>
      <c r="F4322" t="inlineStr">
        <is>
          <t>Visitor flow context raw</t>
        </is>
      </c>
      <c r="G4322" t="inlineStr">
        <is>
          <t>creative</t>
        </is>
      </c>
      <c r="H4322" t="inlineStr">
        <is>
          <t>no</t>
        </is>
      </c>
      <c r="I4322" t="inlineStr"/>
      <c r="J4322" t="inlineStr"/>
      <c r="K4322" t="inlineStr"/>
      <c r="L4322" t="inlineStr"/>
      <c r="M4322" t="inlineStr"/>
      <c r="N4322" t="inlineStr"/>
    </row>
    <row r="4323">
      <c r="A4323" t="inlineStr">
        <is>
          <t>eg-alexandria</t>
        </is>
      </c>
      <c r="B4323" t="inlineStr">
        <is>
          <t>Alexandria</t>
        </is>
      </c>
      <c r="C4323" t="inlineStr">
        <is>
          <t>Egypt</t>
        </is>
      </c>
      <c r="D4323" t="inlineStr">
        <is>
          <t>Africa</t>
        </is>
      </c>
      <c r="E4323" t="inlineStr">
        <is>
          <t>gross_income</t>
        </is>
      </c>
      <c r="F4323" t="inlineStr">
        <is>
          <t>Gross income</t>
        </is>
      </c>
      <c r="G4323" t="inlineStr">
        <is>
          <t>pressure</t>
        </is>
      </c>
      <c r="H4323" t="inlineStr">
        <is>
          <t>yes</t>
        </is>
      </c>
      <c r="I4323" t="inlineStr">
        <is>
          <t>1519.17</t>
        </is>
      </c>
      <c r="J4323" t="inlineStr">
        <is>
          <t>world_bank_col_estimate</t>
        </is>
      </c>
      <c r="K4323" t="inlineStr">
        <is>
          <t>https://api.worldbank.org/v2/country/EGY/indicator/NY.GNP.PCAP.PP.CD?format=json&amp;mrv=10</t>
        </is>
      </c>
      <c r="L4323" t="inlineStr">
        <is>
          <t>World Bank WDI: GNI per capita PPP (monthly USD)</t>
        </is>
      </c>
      <c r="M4323" t="inlineStr">
        <is>
          <t>2024-12-31</t>
        </is>
      </c>
      <c r="N4323" t="inlineStr">
        <is>
          <t>auto_ingest=world_bank_col_estimate; gni_annual=18230.0; year=2024; country_proxy=Egypt; cohort=Africa</t>
        </is>
      </c>
    </row>
    <row r="4324">
      <c r="A4324" t="inlineStr">
        <is>
          <t>eg-alexandria</t>
        </is>
      </c>
      <c r="B4324" t="inlineStr">
        <is>
          <t>Alexandria</t>
        </is>
      </c>
      <c r="C4324" t="inlineStr">
        <is>
          <t>Egypt</t>
        </is>
      </c>
      <c r="D4324" t="inlineStr">
        <is>
          <t>Africa</t>
        </is>
      </c>
      <c r="E4324" t="inlineStr">
        <is>
          <t>di_ppp_raw</t>
        </is>
      </c>
      <c r="F4324" t="inlineStr">
        <is>
          <t>Disposable income PPP (Raw)</t>
        </is>
      </c>
      <c r="G4324" t="inlineStr">
        <is>
          <t>pressure</t>
        </is>
      </c>
      <c r="H4324" t="inlineStr">
        <is>
          <t>yes</t>
        </is>
      </c>
      <c r="I4324" t="inlineStr"/>
      <c r="J4324" t="inlineStr"/>
      <c r="K4324" t="inlineStr"/>
      <c r="L4324" t="inlineStr"/>
      <c r="M4324" t="inlineStr"/>
      <c r="N4324" t="inlineStr"/>
    </row>
    <row r="4325">
      <c r="A4325" t="inlineStr">
        <is>
          <t>eg-alexandria</t>
        </is>
      </c>
      <c r="B4325" t="inlineStr">
        <is>
          <t>Alexandria</t>
        </is>
      </c>
      <c r="C4325" t="inlineStr">
        <is>
          <t>Egypt</t>
        </is>
      </c>
      <c r="D4325" t="inlineStr">
        <is>
          <t>Africa</t>
        </is>
      </c>
      <c r="E4325" t="inlineStr">
        <is>
          <t>rent</t>
        </is>
      </c>
      <c r="F4325" t="inlineStr">
        <is>
          <t>Rent</t>
        </is>
      </c>
      <c r="G4325" t="inlineStr">
        <is>
          <t>pressure</t>
        </is>
      </c>
      <c r="H4325" t="inlineStr">
        <is>
          <t>yes</t>
        </is>
      </c>
      <c r="I4325" t="inlineStr">
        <is>
          <t>258.26</t>
        </is>
      </c>
      <c r="J4325" t="inlineStr">
        <is>
          <t>world_bank_col_estimate</t>
        </is>
      </c>
      <c r="K4325" t="inlineStr">
        <is>
          <t>https://api.worldbank.org/v2/country/EGY/indicator/NY.GNP.PCAP.PP.CD?format=json&amp;mrv=10</t>
        </is>
      </c>
      <c r="L4325" t="inlineStr">
        <is>
          <t>World Bank GNI + regional expenditure ratio estimate</t>
        </is>
      </c>
      <c r="M4325" t="inlineStr">
        <is>
          <t>2024-12-31</t>
        </is>
      </c>
      <c r="N4325" t="inlineStr">
        <is>
          <t>auto_ingest=world_bank_col_estimate; gni_annual=18230.0; year=2024; country_proxy=Egypt; cohort=Africa; city_cost_mult=0.85</t>
        </is>
      </c>
    </row>
    <row r="4326">
      <c r="A4326" t="inlineStr">
        <is>
          <t>eg-alexandria</t>
        </is>
      </c>
      <c r="B4326" t="inlineStr">
        <is>
          <t>Alexandria</t>
        </is>
      </c>
      <c r="C4326" t="inlineStr">
        <is>
          <t>Egypt</t>
        </is>
      </c>
      <c r="D4326" t="inlineStr">
        <is>
          <t>Africa</t>
        </is>
      </c>
      <c r="E4326" t="inlineStr">
        <is>
          <t>utilities</t>
        </is>
      </c>
      <c r="F4326" t="inlineStr">
        <is>
          <t>Utilities</t>
        </is>
      </c>
      <c r="G4326" t="inlineStr">
        <is>
          <t>pressure</t>
        </is>
      </c>
      <c r="H4326" t="inlineStr">
        <is>
          <t>yes</t>
        </is>
      </c>
      <c r="I4326" t="inlineStr">
        <is>
          <t>77.48</t>
        </is>
      </c>
      <c r="J4326" t="inlineStr">
        <is>
          <t>world_bank_col_estimate</t>
        </is>
      </c>
      <c r="K4326" t="inlineStr">
        <is>
          <t>https://api.worldbank.org/v2/country/EGY/indicator/NY.GNP.PCAP.PP.CD?format=json&amp;mrv=10</t>
        </is>
      </c>
      <c r="L4326" t="inlineStr">
        <is>
          <t>World Bank GNI + regional expenditure ratio estimate</t>
        </is>
      </c>
      <c r="M4326" t="inlineStr">
        <is>
          <t>2024-12-31</t>
        </is>
      </c>
      <c r="N4326" t="inlineStr">
        <is>
          <t>auto_ingest=world_bank_col_estimate; gni_annual=18230.0; year=2024; country_proxy=Egypt; cohort=Africa; city_cost_mult=0.85</t>
        </is>
      </c>
    </row>
    <row r="4327">
      <c r="A4327" t="inlineStr">
        <is>
          <t>eg-alexandria</t>
        </is>
      </c>
      <c r="B4327" t="inlineStr">
        <is>
          <t>Alexandria</t>
        </is>
      </c>
      <c r="C4327" t="inlineStr">
        <is>
          <t>Egypt</t>
        </is>
      </c>
      <c r="D4327" t="inlineStr">
        <is>
          <t>Africa</t>
        </is>
      </c>
      <c r="E4327" t="inlineStr">
        <is>
          <t>transit_cost</t>
        </is>
      </c>
      <c r="F4327" t="inlineStr">
        <is>
          <t>Transit cost</t>
        </is>
      </c>
      <c r="G4327" t="inlineStr">
        <is>
          <t>pressure</t>
        </is>
      </c>
      <c r="H4327" t="inlineStr">
        <is>
          <t>yes</t>
        </is>
      </c>
      <c r="I4327" t="inlineStr">
        <is>
          <t>51.65</t>
        </is>
      </c>
      <c r="J4327" t="inlineStr">
        <is>
          <t>world_bank_col_estimate</t>
        </is>
      </c>
      <c r="K4327" t="inlineStr">
        <is>
          <t>https://api.worldbank.org/v2/country/EGY/indicator/NY.GNP.PCAP.PP.CD?format=json&amp;mrv=10</t>
        </is>
      </c>
      <c r="L4327" t="inlineStr">
        <is>
          <t>World Bank GNI + regional expenditure ratio estimate</t>
        </is>
      </c>
      <c r="M4327" t="inlineStr">
        <is>
          <t>2024-12-31</t>
        </is>
      </c>
      <c r="N4327" t="inlineStr">
        <is>
          <t>auto_ingest=world_bank_col_estimate; gni_annual=18230.0; year=2024; country_proxy=Egypt; cohort=Africa; city_cost_mult=0.85</t>
        </is>
      </c>
    </row>
    <row r="4328">
      <c r="A4328" t="inlineStr">
        <is>
          <t>eg-alexandria</t>
        </is>
      </c>
      <c r="B4328" t="inlineStr">
        <is>
          <t>Alexandria</t>
        </is>
      </c>
      <c r="C4328" t="inlineStr">
        <is>
          <t>Egypt</t>
        </is>
      </c>
      <c r="D4328" t="inlineStr">
        <is>
          <t>Africa</t>
        </is>
      </c>
      <c r="E4328" t="inlineStr">
        <is>
          <t>internet_cost</t>
        </is>
      </c>
      <c r="F4328" t="inlineStr">
        <is>
          <t>Internet cost</t>
        </is>
      </c>
      <c r="G4328" t="inlineStr">
        <is>
          <t>pressure</t>
        </is>
      </c>
      <c r="H4328" t="inlineStr">
        <is>
          <t>yes</t>
        </is>
      </c>
      <c r="I4328" t="inlineStr">
        <is>
          <t>19.37</t>
        </is>
      </c>
      <c r="J4328" t="inlineStr">
        <is>
          <t>world_bank_col_estimate</t>
        </is>
      </c>
      <c r="K4328" t="inlineStr">
        <is>
          <t>https://api.worldbank.org/v2/country/EGY/indicator/NY.GNP.PCAP.PP.CD?format=json&amp;mrv=10</t>
        </is>
      </c>
      <c r="L4328" t="inlineStr">
        <is>
          <t>World Bank GNI + regional expenditure ratio estimate</t>
        </is>
      </c>
      <c r="M4328" t="inlineStr">
        <is>
          <t>2024-12-31</t>
        </is>
      </c>
      <c r="N4328" t="inlineStr">
        <is>
          <t>auto_ingest=world_bank_col_estimate; gni_annual=18230.0; year=2024; country_proxy=Egypt; cohort=Africa; city_cost_mult=0.85</t>
        </is>
      </c>
    </row>
    <row r="4329">
      <c r="A4329" t="inlineStr">
        <is>
          <t>eg-alexandria</t>
        </is>
      </c>
      <c r="B4329" t="inlineStr">
        <is>
          <t>Alexandria</t>
        </is>
      </c>
      <c r="C4329" t="inlineStr">
        <is>
          <t>Egypt</t>
        </is>
      </c>
      <c r="D4329" t="inlineStr">
        <is>
          <t>Africa</t>
        </is>
      </c>
      <c r="E4329" t="inlineStr">
        <is>
          <t>food_cost</t>
        </is>
      </c>
      <c r="F4329" t="inlineStr">
        <is>
          <t>Food cost</t>
        </is>
      </c>
      <c r="G4329" t="inlineStr">
        <is>
          <t>pressure</t>
        </is>
      </c>
      <c r="H4329" t="inlineStr">
        <is>
          <t>yes</t>
        </is>
      </c>
      <c r="I4329" t="inlineStr">
        <is>
          <t>322.82</t>
        </is>
      </c>
      <c r="J4329" t="inlineStr">
        <is>
          <t>world_bank_col_estimate</t>
        </is>
      </c>
      <c r="K4329" t="inlineStr">
        <is>
          <t>https://api.worldbank.org/v2/country/EGY/indicator/NY.GNP.PCAP.PP.CD?format=json&amp;mrv=10</t>
        </is>
      </c>
      <c r="L4329" t="inlineStr">
        <is>
          <t>World Bank GNI + regional expenditure ratio estimate</t>
        </is>
      </c>
      <c r="M4329" t="inlineStr">
        <is>
          <t>2024-12-31</t>
        </is>
      </c>
      <c r="N4329" t="inlineStr">
        <is>
          <t>auto_ingest=world_bank_col_estimate; gni_annual=18230.0; year=2024; country_proxy=Egypt; cohort=Africa; city_cost_mult=0.85</t>
        </is>
      </c>
    </row>
    <row r="4330">
      <c r="A4330" t="inlineStr">
        <is>
          <t>eg-alexandria</t>
        </is>
      </c>
      <c r="B4330" t="inlineStr">
        <is>
          <t>Alexandria</t>
        </is>
      </c>
      <c r="C4330" t="inlineStr">
        <is>
          <t>Egypt</t>
        </is>
      </c>
      <c r="D4330" t="inlineStr">
        <is>
          <t>Africa</t>
        </is>
      </c>
      <c r="E4330" t="inlineStr">
        <is>
          <t>housing_burden_raw</t>
        </is>
      </c>
      <c r="F4330" t="inlineStr">
        <is>
          <t>Housing burden raw</t>
        </is>
      </c>
      <c r="G4330" t="inlineStr">
        <is>
          <t>pressure</t>
        </is>
      </c>
      <c r="H4330" t="inlineStr">
        <is>
          <t>yes</t>
        </is>
      </c>
      <c r="I4330" t="inlineStr">
        <is>
          <t>17.0001</t>
        </is>
      </c>
      <c r="J4330" t="inlineStr">
        <is>
          <t>derived</t>
        </is>
      </c>
      <c r="K4330" t="inlineStr">
        <is>
          <t>https://data.worldbank.org/indicator/NY.GNP.PCAP.PP.CD</t>
        </is>
      </c>
      <c r="L4330" t="inlineStr">
        <is>
          <t>Computed from city_inputs + country_context</t>
        </is>
      </c>
      <c r="M4330" t="inlineStr">
        <is>
          <t>2024-01-01</t>
        </is>
      </c>
      <c r="N4330" t="inlineStr">
        <is>
          <t>derived=rent/gross_income*100</t>
        </is>
      </c>
    </row>
    <row r="4331">
      <c r="A4331" t="inlineStr">
        <is>
          <t>eg-alexandria</t>
        </is>
      </c>
      <c r="B4331" t="inlineStr">
        <is>
          <t>Alexandria</t>
        </is>
      </c>
      <c r="C4331" t="inlineStr">
        <is>
          <t>Egypt</t>
        </is>
      </c>
      <c r="D4331" t="inlineStr">
        <is>
          <t>Africa</t>
        </is>
      </c>
      <c r="E4331" t="inlineStr">
        <is>
          <t>household_debt_burden_raw</t>
        </is>
      </c>
      <c r="F4331" t="inlineStr">
        <is>
          <t>Household debt burden raw</t>
        </is>
      </c>
      <c r="G4331" t="inlineStr">
        <is>
          <t>pressure</t>
        </is>
      </c>
      <c r="H4331" t="inlineStr">
        <is>
          <t>yes</t>
        </is>
      </c>
      <c r="I4331" t="inlineStr"/>
      <c r="J4331" t="inlineStr"/>
      <c r="K4331" t="inlineStr"/>
      <c r="L4331" t="inlineStr"/>
      <c r="M4331" t="inlineStr"/>
      <c r="N4331" t="inlineStr"/>
    </row>
    <row r="4332">
      <c r="A4332" t="inlineStr">
        <is>
          <t>eg-alexandria</t>
        </is>
      </c>
      <c r="B4332" t="inlineStr">
        <is>
          <t>Alexandria</t>
        </is>
      </c>
      <c r="C4332" t="inlineStr">
        <is>
          <t>Egypt</t>
        </is>
      </c>
      <c r="D4332" t="inlineStr">
        <is>
          <t>Africa</t>
        </is>
      </c>
      <c r="E4332" t="inlineStr">
        <is>
          <t>working_time_pressure_raw</t>
        </is>
      </c>
      <c r="F4332" t="inlineStr">
        <is>
          <t>Working time pressure raw</t>
        </is>
      </c>
      <c r="G4332" t="inlineStr">
        <is>
          <t>pressure</t>
        </is>
      </c>
      <c r="H4332" t="inlineStr">
        <is>
          <t>yes</t>
        </is>
      </c>
      <c r="I4332" t="inlineStr"/>
      <c r="J4332" t="inlineStr"/>
      <c r="K4332" t="inlineStr"/>
      <c r="L4332" t="inlineStr"/>
      <c r="M4332" t="inlineStr"/>
      <c r="N4332" t="inlineStr"/>
    </row>
    <row r="4333">
      <c r="A4333" t="inlineStr">
        <is>
          <t>eg-alexandria</t>
        </is>
      </c>
      <c r="B4333" t="inlineStr">
        <is>
          <t>Alexandria</t>
        </is>
      </c>
      <c r="C4333" t="inlineStr">
        <is>
          <t>Egypt</t>
        </is>
      </c>
      <c r="D4333" t="inlineStr">
        <is>
          <t>Africa</t>
        </is>
      </c>
      <c r="E4333" t="inlineStr">
        <is>
          <t>suicide_mental_strain_raw</t>
        </is>
      </c>
      <c r="F4333" t="inlineStr">
        <is>
          <t>Suicide or mental strain raw</t>
        </is>
      </c>
      <c r="G4333" t="inlineStr">
        <is>
          <t>pressure</t>
        </is>
      </c>
      <c r="H4333" t="inlineStr">
        <is>
          <t>yes</t>
        </is>
      </c>
      <c r="I4333" t="inlineStr"/>
      <c r="J4333" t="inlineStr"/>
      <c r="K4333" t="inlineStr"/>
      <c r="L4333" t="inlineStr"/>
      <c r="M4333" t="inlineStr"/>
      <c r="N4333" t="inlineStr"/>
    </row>
    <row r="4334">
      <c r="A4334" t="inlineStr">
        <is>
          <t>eg-alexandria</t>
        </is>
      </c>
      <c r="B4334" t="inlineStr">
        <is>
          <t>Alexandria</t>
        </is>
      </c>
      <c r="C4334" t="inlineStr">
        <is>
          <t>Egypt</t>
        </is>
      </c>
      <c r="D4334" t="inlineStr">
        <is>
          <t>Africa</t>
        </is>
      </c>
      <c r="E4334" t="inlineStr">
        <is>
          <t>personal_safety_raw</t>
        </is>
      </c>
      <c r="F4334" t="inlineStr">
        <is>
          <t>Personal safety raw</t>
        </is>
      </c>
      <c r="G4334" t="inlineStr">
        <is>
          <t>viability</t>
        </is>
      </c>
      <c r="H4334" t="inlineStr">
        <is>
          <t>yes</t>
        </is>
      </c>
      <c r="I4334" t="inlineStr"/>
      <c r="J4334" t="inlineStr"/>
      <c r="K4334" t="inlineStr"/>
      <c r="L4334" t="inlineStr"/>
      <c r="M4334" t="inlineStr"/>
      <c r="N4334" t="inlineStr"/>
    </row>
    <row r="4335">
      <c r="A4335" t="inlineStr">
        <is>
          <t>eg-alexandria</t>
        </is>
      </c>
      <c r="B4335" t="inlineStr">
        <is>
          <t>Alexandria</t>
        </is>
      </c>
      <c r="C4335" t="inlineStr">
        <is>
          <t>Egypt</t>
        </is>
      </c>
      <c r="D4335" t="inlineStr">
        <is>
          <t>Africa</t>
        </is>
      </c>
      <c r="E4335" t="inlineStr">
        <is>
          <t>transit_access_commute_raw</t>
        </is>
      </c>
      <c r="F4335" t="inlineStr">
        <is>
          <t>Transit access and commute raw</t>
        </is>
      </c>
      <c r="G4335" t="inlineStr">
        <is>
          <t>viability</t>
        </is>
      </c>
      <c r="H4335" t="inlineStr">
        <is>
          <t>yes</t>
        </is>
      </c>
      <c r="I4335" t="inlineStr"/>
      <c r="J4335" t="inlineStr"/>
      <c r="K4335" t="inlineStr"/>
      <c r="L4335" t="inlineStr"/>
      <c r="M4335" t="inlineStr"/>
      <c r="N4335" t="inlineStr"/>
    </row>
    <row r="4336">
      <c r="A4336" t="inlineStr">
        <is>
          <t>eg-alexandria</t>
        </is>
      </c>
      <c r="B4336" t="inlineStr">
        <is>
          <t>Alexandria</t>
        </is>
      </c>
      <c r="C4336" t="inlineStr">
        <is>
          <t>Egypt</t>
        </is>
      </c>
      <c r="D4336" t="inlineStr">
        <is>
          <t>Africa</t>
        </is>
      </c>
      <c r="E4336" t="inlineStr">
        <is>
          <t>clean_air_raw</t>
        </is>
      </c>
      <c r="F4336" t="inlineStr">
        <is>
          <t>Clean air raw</t>
        </is>
      </c>
      <c r="G4336" t="inlineStr">
        <is>
          <t>viability</t>
        </is>
      </c>
      <c r="H4336" t="inlineStr">
        <is>
          <t>yes</t>
        </is>
      </c>
      <c r="I4336" t="inlineStr"/>
      <c r="J4336" t="inlineStr"/>
      <c r="K4336" t="inlineStr"/>
      <c r="L4336" t="inlineStr"/>
      <c r="M4336" t="inlineStr"/>
      <c r="N4336" t="inlineStr"/>
    </row>
    <row r="4337">
      <c r="A4337" t="inlineStr">
        <is>
          <t>eg-alexandria</t>
        </is>
      </c>
      <c r="B4337" t="inlineStr">
        <is>
          <t>Alexandria</t>
        </is>
      </c>
      <c r="C4337" t="inlineStr">
        <is>
          <t>Egypt</t>
        </is>
      </c>
      <c r="D4337" t="inlineStr">
        <is>
          <t>Africa</t>
        </is>
      </c>
      <c r="E4337" t="inlineStr">
        <is>
          <t>water_sanitation_utility_raw</t>
        </is>
      </c>
      <c r="F4337" t="inlineStr">
        <is>
          <t>Water, sanitation, and utility raw</t>
        </is>
      </c>
      <c r="G4337" t="inlineStr">
        <is>
          <t>viability</t>
        </is>
      </c>
      <c r="H4337" t="inlineStr">
        <is>
          <t>yes</t>
        </is>
      </c>
      <c r="I4337" t="inlineStr"/>
      <c r="J4337" t="inlineStr"/>
      <c r="K4337" t="inlineStr"/>
      <c r="L4337" t="inlineStr"/>
      <c r="M4337" t="inlineStr"/>
      <c r="N4337" t="inlineStr"/>
    </row>
    <row r="4338">
      <c r="A4338" t="inlineStr">
        <is>
          <t>eg-alexandria</t>
        </is>
      </c>
      <c r="B4338" t="inlineStr">
        <is>
          <t>Alexandria</t>
        </is>
      </c>
      <c r="C4338" t="inlineStr">
        <is>
          <t>Egypt</t>
        </is>
      </c>
      <c r="D4338" t="inlineStr">
        <is>
          <t>Africa</t>
        </is>
      </c>
      <c r="E4338" t="inlineStr">
        <is>
          <t>digital_infrastructure_raw</t>
        </is>
      </c>
      <c r="F4338" t="inlineStr">
        <is>
          <t>Digital infrastructure raw</t>
        </is>
      </c>
      <c r="G4338" t="inlineStr">
        <is>
          <t>viability</t>
        </is>
      </c>
      <c r="H4338" t="inlineStr">
        <is>
          <t>yes</t>
        </is>
      </c>
      <c r="I4338" t="inlineStr"/>
      <c r="J4338" t="inlineStr"/>
      <c r="K4338" t="inlineStr"/>
      <c r="L4338" t="inlineStr"/>
      <c r="M4338" t="inlineStr"/>
      <c r="N4338" t="inlineStr"/>
    </row>
    <row r="4339">
      <c r="A4339" t="inlineStr">
        <is>
          <t>eg-alexandria</t>
        </is>
      </c>
      <c r="B4339" t="inlineStr">
        <is>
          <t>Alexandria</t>
        </is>
      </c>
      <c r="C4339" t="inlineStr">
        <is>
          <t>Egypt</t>
        </is>
      </c>
      <c r="D4339" t="inlineStr">
        <is>
          <t>Africa</t>
        </is>
      </c>
      <c r="E4339" t="inlineStr">
        <is>
          <t>climate_sunlight_livability_raw</t>
        </is>
      </c>
      <c r="F4339" t="inlineStr">
        <is>
          <t>Climate and sunlight livability raw</t>
        </is>
      </c>
      <c r="G4339" t="inlineStr">
        <is>
          <t>viability</t>
        </is>
      </c>
      <c r="H4339" t="inlineStr">
        <is>
          <t>yes</t>
        </is>
      </c>
      <c r="I4339" t="inlineStr"/>
      <c r="J4339" t="inlineStr"/>
      <c r="K4339" t="inlineStr"/>
      <c r="L4339" t="inlineStr"/>
      <c r="M4339" t="inlineStr"/>
      <c r="N4339" t="inlineStr"/>
    </row>
    <row r="4340">
      <c r="A4340" t="inlineStr">
        <is>
          <t>eg-alexandria</t>
        </is>
      </c>
      <c r="B4340" t="inlineStr">
        <is>
          <t>Alexandria</t>
        </is>
      </c>
      <c r="C4340" t="inlineStr">
        <is>
          <t>Egypt</t>
        </is>
      </c>
      <c r="D4340" t="inlineStr">
        <is>
          <t>Africa</t>
        </is>
      </c>
      <c r="E4340" t="inlineStr">
        <is>
          <t>healthcare_quality_raw</t>
        </is>
      </c>
      <c r="F4340" t="inlineStr">
        <is>
          <t>Healthcare quality raw</t>
        </is>
      </c>
      <c r="G4340" t="inlineStr">
        <is>
          <t>capability</t>
        </is>
      </c>
      <c r="H4340" t="inlineStr">
        <is>
          <t>yes</t>
        </is>
      </c>
      <c r="I4340" t="inlineStr"/>
      <c r="J4340" t="inlineStr"/>
      <c r="K4340" t="inlineStr"/>
      <c r="L4340" t="inlineStr"/>
      <c r="M4340" t="inlineStr"/>
      <c r="N4340" t="inlineStr"/>
    </row>
    <row r="4341">
      <c r="A4341" t="inlineStr">
        <is>
          <t>eg-alexandria</t>
        </is>
      </c>
      <c r="B4341" t="inlineStr">
        <is>
          <t>Alexandria</t>
        </is>
      </c>
      <c r="C4341" t="inlineStr">
        <is>
          <t>Egypt</t>
        </is>
      </c>
      <c r="D4341" t="inlineStr">
        <is>
          <t>Africa</t>
        </is>
      </c>
      <c r="E4341" t="inlineStr">
        <is>
          <t>education_quality_raw</t>
        </is>
      </c>
      <c r="F4341" t="inlineStr">
        <is>
          <t>Education quality raw</t>
        </is>
      </c>
      <c r="G4341" t="inlineStr">
        <is>
          <t>capability</t>
        </is>
      </c>
      <c r="H4341" t="inlineStr">
        <is>
          <t>yes</t>
        </is>
      </c>
      <c r="I4341" t="inlineStr"/>
      <c r="J4341" t="inlineStr"/>
      <c r="K4341" t="inlineStr"/>
      <c r="L4341" t="inlineStr"/>
      <c r="M4341" t="inlineStr"/>
      <c r="N4341" t="inlineStr"/>
    </row>
    <row r="4342">
      <c r="A4342" t="inlineStr">
        <is>
          <t>eg-alexandria</t>
        </is>
      </c>
      <c r="B4342" t="inlineStr">
        <is>
          <t>Alexandria</t>
        </is>
      </c>
      <c r="C4342" t="inlineStr">
        <is>
          <t>Egypt</t>
        </is>
      </c>
      <c r="D4342" t="inlineStr">
        <is>
          <t>Africa</t>
        </is>
      </c>
      <c r="E4342" t="inlineStr">
        <is>
          <t>equal_opportunity_raw</t>
        </is>
      </c>
      <c r="F4342" t="inlineStr">
        <is>
          <t>Equal opportunity raw</t>
        </is>
      </c>
      <c r="G4342" t="inlineStr">
        <is>
          <t>capability</t>
        </is>
      </c>
      <c r="H4342" t="inlineStr">
        <is>
          <t>yes</t>
        </is>
      </c>
      <c r="I4342" t="inlineStr">
        <is>
          <t>28.5</t>
        </is>
      </c>
      <c r="J4342" t="inlineStr">
        <is>
          <t>world_bank</t>
        </is>
      </c>
      <c r="K4342" t="inlineStr">
        <is>
          <t>https://api.worldbank.org/v2/country/EGY/indicator/SI.POV.GINI?format=json&amp;mrv=10</t>
        </is>
      </c>
      <c r="L4342" t="inlineStr">
        <is>
          <t>World Bank WDI: Gini index</t>
        </is>
      </c>
      <c r="M4342" t="inlineStr">
        <is>
          <t>2021-12-31</t>
        </is>
      </c>
      <c r="N4342" t="inlineStr">
        <is>
          <t>auto_ingest=world_bank_capability; indicator=SI.POV.GINI; year=2021; country_proxy=Egypt</t>
        </is>
      </c>
    </row>
    <row r="4343">
      <c r="A4343" t="inlineStr">
        <is>
          <t>eg-alexandria</t>
        </is>
      </c>
      <c r="B4343" t="inlineStr">
        <is>
          <t>Alexandria</t>
        </is>
      </c>
      <c r="C4343" t="inlineStr">
        <is>
          <t>Egypt</t>
        </is>
      </c>
      <c r="D4343" t="inlineStr">
        <is>
          <t>Africa</t>
        </is>
      </c>
      <c r="E4343" t="inlineStr">
        <is>
          <t>hospitality_belonging_raw</t>
        </is>
      </c>
      <c r="F4343" t="inlineStr">
        <is>
          <t>Hospitality and belonging raw</t>
        </is>
      </c>
      <c r="G4343" t="inlineStr">
        <is>
          <t>community</t>
        </is>
      </c>
      <c r="H4343" t="inlineStr">
        <is>
          <t>yes</t>
        </is>
      </c>
      <c r="I4343" t="inlineStr"/>
      <c r="J4343" t="inlineStr"/>
      <c r="K4343" t="inlineStr"/>
      <c r="L4343" t="inlineStr"/>
      <c r="M4343" t="inlineStr"/>
      <c r="N4343" t="inlineStr"/>
    </row>
    <row r="4344">
      <c r="A4344" t="inlineStr">
        <is>
          <t>eg-alexandria</t>
        </is>
      </c>
      <c r="B4344" t="inlineStr">
        <is>
          <t>Alexandria</t>
        </is>
      </c>
      <c r="C4344" t="inlineStr">
        <is>
          <t>Egypt</t>
        </is>
      </c>
      <c r="D4344" t="inlineStr">
        <is>
          <t>Africa</t>
        </is>
      </c>
      <c r="E4344" t="inlineStr">
        <is>
          <t>tolerance_pluralism_raw</t>
        </is>
      </c>
      <c r="F4344" t="inlineStr">
        <is>
          <t>Tolerance and pluralism raw</t>
        </is>
      </c>
      <c r="G4344" t="inlineStr">
        <is>
          <t>community</t>
        </is>
      </c>
      <c r="H4344" t="inlineStr">
        <is>
          <t>yes</t>
        </is>
      </c>
      <c r="I4344" t="inlineStr"/>
      <c r="J4344" t="inlineStr"/>
      <c r="K4344" t="inlineStr"/>
      <c r="L4344" t="inlineStr"/>
      <c r="M4344" t="inlineStr"/>
      <c r="N4344" t="inlineStr"/>
    </row>
    <row r="4345">
      <c r="A4345" t="inlineStr">
        <is>
          <t>eg-alexandria</t>
        </is>
      </c>
      <c r="B4345" t="inlineStr">
        <is>
          <t>Alexandria</t>
        </is>
      </c>
      <c r="C4345" t="inlineStr">
        <is>
          <t>Egypt</t>
        </is>
      </c>
      <c r="D4345" t="inlineStr">
        <is>
          <t>Africa</t>
        </is>
      </c>
      <c r="E4345" t="inlineStr">
        <is>
          <t>cultural_public_life_raw</t>
        </is>
      </c>
      <c r="F4345" t="inlineStr">
        <is>
          <t>Cultural public life raw</t>
        </is>
      </c>
      <c r="G4345" t="inlineStr">
        <is>
          <t>community</t>
        </is>
      </c>
      <c r="H4345" t="inlineStr">
        <is>
          <t>yes</t>
        </is>
      </c>
      <c r="I4345" t="inlineStr"/>
      <c r="J4345" t="inlineStr"/>
      <c r="K4345" t="inlineStr"/>
      <c r="L4345" t="inlineStr"/>
      <c r="M4345" t="inlineStr"/>
      <c r="N4345" t="inlineStr"/>
    </row>
    <row r="4346">
      <c r="A4346" t="inlineStr">
        <is>
          <t>eg-alexandria</t>
        </is>
      </c>
      <c r="B4346" t="inlineStr">
        <is>
          <t>Alexandria</t>
        </is>
      </c>
      <c r="C4346" t="inlineStr">
        <is>
          <t>Egypt</t>
        </is>
      </c>
      <c r="D4346" t="inlineStr">
        <is>
          <t>Africa</t>
        </is>
      </c>
      <c r="E4346" t="inlineStr">
        <is>
          <t>birth_rate_optimism_raw</t>
        </is>
      </c>
      <c r="F4346" t="inlineStr">
        <is>
          <t>Birth rate and societal optimism raw</t>
        </is>
      </c>
      <c r="G4346" t="inlineStr">
        <is>
          <t>community</t>
        </is>
      </c>
      <c r="H4346" t="inlineStr">
        <is>
          <t>yes</t>
        </is>
      </c>
      <c r="I4346" t="inlineStr"/>
      <c r="J4346" t="inlineStr"/>
      <c r="K4346" t="inlineStr"/>
      <c r="L4346" t="inlineStr"/>
      <c r="M4346" t="inlineStr"/>
      <c r="N4346" t="inlineStr"/>
    </row>
    <row r="4347">
      <c r="A4347" t="inlineStr">
        <is>
          <t>eg-alexandria</t>
        </is>
      </c>
      <c r="B4347" t="inlineStr">
        <is>
          <t>Alexandria</t>
        </is>
      </c>
      <c r="C4347" t="inlineStr">
        <is>
          <t>Egypt</t>
        </is>
      </c>
      <c r="D4347" t="inlineStr">
        <is>
          <t>Africa</t>
        </is>
      </c>
      <c r="E4347" t="inlineStr">
        <is>
          <t>entrepreneurial_dynamism_raw</t>
        </is>
      </c>
      <c r="F4347" t="inlineStr">
        <is>
          <t>Entrepreneurial dynamism raw</t>
        </is>
      </c>
      <c r="G4347" t="inlineStr">
        <is>
          <t>creative</t>
        </is>
      </c>
      <c r="H4347" t="inlineStr">
        <is>
          <t>yes</t>
        </is>
      </c>
      <c r="I4347" t="inlineStr">
        <is>
          <t>0.27</t>
        </is>
      </c>
      <c r="J4347" t="inlineStr">
        <is>
          <t>world_bank</t>
        </is>
      </c>
      <c r="K4347" t="inlineStr">
        <is>
          <t>https://api.worldbank.org/v2/country/EGY/indicator/IC.BUS.NDNS.ZS?format=json&amp;mrv=10</t>
        </is>
      </c>
      <c r="L4347" t="inlineStr">
        <is>
          <t>World Bank WDI: New business density (new registrations per 1,000 people ages 15-64)</t>
        </is>
      </c>
      <c r="M4347" t="inlineStr">
        <is>
          <t>2022-12-31</t>
        </is>
      </c>
      <c r="N4347" t="inlineStr">
        <is>
          <t>auto_ingest=world_bank_creative_extended; indicator=IC.BUS.NDNS.ZS; year=2022; country_proxy=Egypt</t>
        </is>
      </c>
    </row>
    <row r="4348">
      <c r="A4348" t="inlineStr">
        <is>
          <t>eg-alexandria</t>
        </is>
      </c>
      <c r="B4348" t="inlineStr">
        <is>
          <t>Alexandria</t>
        </is>
      </c>
      <c r="C4348" t="inlineStr">
        <is>
          <t>Egypt</t>
        </is>
      </c>
      <c r="D4348" t="inlineStr">
        <is>
          <t>Africa</t>
        </is>
      </c>
      <c r="E4348" t="inlineStr">
        <is>
          <t>innovation_research_intensity_raw</t>
        </is>
      </c>
      <c r="F4348" t="inlineStr">
        <is>
          <t>Innovation and research raw</t>
        </is>
      </c>
      <c r="G4348" t="inlineStr">
        <is>
          <t>creative</t>
        </is>
      </c>
      <c r="H4348" t="inlineStr">
        <is>
          <t>yes</t>
        </is>
      </c>
      <c r="I4348" t="inlineStr">
        <is>
          <t>1.03</t>
        </is>
      </c>
      <c r="J4348" t="inlineStr">
        <is>
          <t>world_bank</t>
        </is>
      </c>
      <c r="K4348" t="inlineStr">
        <is>
          <t>https://api.worldbank.org/v2/country/EGY/indicator/GB.XPD.RSDV.GD.ZS?format=json&amp;mrv=10</t>
        </is>
      </c>
      <c r="L4348" t="inlineStr">
        <is>
          <t>World Bank WDI: Research and development expenditure (% of GDP)</t>
        </is>
      </c>
      <c r="M4348" t="inlineStr">
        <is>
          <t>2023-12-31</t>
        </is>
      </c>
      <c r="N4348" t="inlineStr">
        <is>
          <t>auto_ingest=world_bank_creative_extended; indicator=GB.XPD.RSDV.GD.ZS; year=2023; country_proxy=Egypt</t>
        </is>
      </c>
    </row>
    <row r="4349">
      <c r="A4349" t="inlineStr">
        <is>
          <t>eg-alexandria</t>
        </is>
      </c>
      <c r="B4349" t="inlineStr">
        <is>
          <t>Alexandria</t>
        </is>
      </c>
      <c r="C4349" t="inlineStr">
        <is>
          <t>Egypt</t>
        </is>
      </c>
      <c r="D4349" t="inlineStr">
        <is>
          <t>Africa</t>
        </is>
      </c>
      <c r="E4349" t="inlineStr">
        <is>
          <t>investment_signal_raw</t>
        </is>
      </c>
      <c r="F4349" t="inlineStr">
        <is>
          <t>Investment signal raw</t>
        </is>
      </c>
      <c r="G4349" t="inlineStr">
        <is>
          <t>creative</t>
        </is>
      </c>
      <c r="H4349" t="inlineStr">
        <is>
          <t>yes</t>
        </is>
      </c>
      <c r="I4349" t="inlineStr">
        <is>
          <t>11.97</t>
        </is>
      </c>
      <c r="J4349" t="inlineStr">
        <is>
          <t>world_bank</t>
        </is>
      </c>
      <c r="K4349" t="inlineStr">
        <is>
          <t>https://api.worldbank.org/v2/country/EGY/indicator/BX.KLT.DINV.WD.GD.ZS?format=json&amp;mrv=10</t>
        </is>
      </c>
      <c r="L4349" t="inlineStr">
        <is>
          <t>World Bank WDI: Foreign direct investment, net inflows (% of GDP)</t>
        </is>
      </c>
      <c r="M4349" t="inlineStr">
        <is>
          <t>2024-12-31</t>
        </is>
      </c>
      <c r="N4349" t="inlineStr">
        <is>
          <t>auto_ingest=world_bank_creative_extended; indicator=BX.KLT.DINV.WD.GD.ZS; year=2024; country_proxy=Egypt</t>
        </is>
      </c>
    </row>
    <row r="4350">
      <c r="A4350" t="inlineStr">
        <is>
          <t>eg-alexandria</t>
        </is>
      </c>
      <c r="B4350" t="inlineStr">
        <is>
          <t>Alexandria</t>
        </is>
      </c>
      <c r="C4350" t="inlineStr">
        <is>
          <t>Egypt</t>
        </is>
      </c>
      <c r="D4350" t="inlineStr">
        <is>
          <t>Africa</t>
        </is>
      </c>
      <c r="E4350" t="inlineStr">
        <is>
          <t>administrative_investment_friction_raw</t>
        </is>
      </c>
      <c r="F4350" t="inlineStr">
        <is>
          <t>Administrative investment friction raw</t>
        </is>
      </c>
      <c r="G4350" t="inlineStr">
        <is>
          <t>creative</t>
        </is>
      </c>
      <c r="H4350" t="inlineStr">
        <is>
          <t>yes</t>
        </is>
      </c>
      <c r="I4350" t="inlineStr">
        <is>
          <t>3.17</t>
        </is>
      </c>
      <c r="J4350" t="inlineStr">
        <is>
          <t>world_bank</t>
        </is>
      </c>
      <c r="K4350" t="inlineStr">
        <is>
          <t>https://api.worldbank.org/v2/country/EGY/indicator/RQ.EST?format=json&amp;mrv=10</t>
        </is>
      </c>
      <c r="L4350" t="inlineStr">
        <is>
          <t>World Bank WGI: Regulatory Quality (inverted as friction proxy)</t>
        </is>
      </c>
      <c r="M4350" t="inlineStr">
        <is>
          <t>2023-12-31</t>
        </is>
      </c>
      <c r="N4350" t="inlineStr">
        <is>
          <t>auto_ingest=world_bank_business_friction; indicator=RQ.EST; raw_rq=-0.665456295013428; friction=3.17; year=2023; country_proxy=Egypt</t>
        </is>
      </c>
    </row>
    <row r="4351">
      <c r="A4351" t="inlineStr">
        <is>
          <t>eg-alexandria</t>
        </is>
      </c>
      <c r="B4351" t="inlineStr">
        <is>
          <t>Alexandria</t>
        </is>
      </c>
      <c r="C4351" t="inlineStr">
        <is>
          <t>Egypt</t>
        </is>
      </c>
      <c r="D4351" t="inlineStr">
        <is>
          <t>Africa</t>
        </is>
      </c>
      <c r="E4351" t="inlineStr">
        <is>
          <t>visitor_flow_context_raw</t>
        </is>
      </c>
      <c r="F4351" t="inlineStr">
        <is>
          <t>Visitor flow context raw</t>
        </is>
      </c>
      <c r="G4351" t="inlineStr">
        <is>
          <t>creative</t>
        </is>
      </c>
      <c r="H4351" t="inlineStr">
        <is>
          <t>no</t>
        </is>
      </c>
      <c r="I4351" t="inlineStr"/>
      <c r="J4351" t="inlineStr"/>
      <c r="K4351" t="inlineStr"/>
      <c r="L4351" t="inlineStr"/>
      <c r="M4351" t="inlineStr"/>
      <c r="N4351" t="inlineStr"/>
    </row>
    <row r="4352">
      <c r="A4352" t="inlineStr">
        <is>
          <t>tz-dar-es-salaam</t>
        </is>
      </c>
      <c r="B4352" t="inlineStr">
        <is>
          <t>Dar es Salaam</t>
        </is>
      </c>
      <c r="C4352" t="inlineStr">
        <is>
          <t>Tanzania</t>
        </is>
      </c>
      <c r="D4352" t="inlineStr">
        <is>
          <t>Africa</t>
        </is>
      </c>
      <c r="E4352" t="inlineStr">
        <is>
          <t>gross_income</t>
        </is>
      </c>
      <c r="F4352" t="inlineStr">
        <is>
          <t>Gross income</t>
        </is>
      </c>
      <c r="G4352" t="inlineStr">
        <is>
          <t>pressure</t>
        </is>
      </c>
      <c r="H4352" t="inlineStr">
        <is>
          <t>yes</t>
        </is>
      </c>
      <c r="I4352" t="inlineStr">
        <is>
          <t>344.17</t>
        </is>
      </c>
      <c r="J4352" t="inlineStr">
        <is>
          <t>world_bank_col_estimate</t>
        </is>
      </c>
      <c r="K4352" t="inlineStr">
        <is>
          <t>https://api.worldbank.org/v2/country/TZA/indicator/NY.GNP.PCAP.PP.CD?format=json&amp;mrv=10</t>
        </is>
      </c>
      <c r="L4352" t="inlineStr">
        <is>
          <t>World Bank WDI: GNI per capita PPP (monthly USD)</t>
        </is>
      </c>
      <c r="M4352" t="inlineStr">
        <is>
          <t>2024-12-31</t>
        </is>
      </c>
      <c r="N4352" t="inlineStr">
        <is>
          <t>auto_ingest=world_bank_col_estimate; gni_annual=4130.0; year=2024; country_proxy=Tanzania; cohort=Africa</t>
        </is>
      </c>
    </row>
    <row r="4353">
      <c r="A4353" t="inlineStr">
        <is>
          <t>tz-dar-es-salaam</t>
        </is>
      </c>
      <c r="B4353" t="inlineStr">
        <is>
          <t>Dar es Salaam</t>
        </is>
      </c>
      <c r="C4353" t="inlineStr">
        <is>
          <t>Tanzania</t>
        </is>
      </c>
      <c r="D4353" t="inlineStr">
        <is>
          <t>Africa</t>
        </is>
      </c>
      <c r="E4353" t="inlineStr">
        <is>
          <t>di_ppp_raw</t>
        </is>
      </c>
      <c r="F4353" t="inlineStr">
        <is>
          <t>Disposable income PPP (Raw)</t>
        </is>
      </c>
      <c r="G4353" t="inlineStr">
        <is>
          <t>pressure</t>
        </is>
      </c>
      <c r="H4353" t="inlineStr">
        <is>
          <t>yes</t>
        </is>
      </c>
      <c r="I4353" t="inlineStr"/>
      <c r="J4353" t="inlineStr"/>
      <c r="K4353" t="inlineStr"/>
      <c r="L4353" t="inlineStr"/>
      <c r="M4353" t="inlineStr"/>
      <c r="N4353" t="inlineStr"/>
    </row>
    <row r="4354">
      <c r="A4354" t="inlineStr">
        <is>
          <t>tz-dar-es-salaam</t>
        </is>
      </c>
      <c r="B4354" t="inlineStr">
        <is>
          <t>Dar es Salaam</t>
        </is>
      </c>
      <c r="C4354" t="inlineStr">
        <is>
          <t>Tanzania</t>
        </is>
      </c>
      <c r="D4354" t="inlineStr">
        <is>
          <t>Africa</t>
        </is>
      </c>
      <c r="E4354" t="inlineStr">
        <is>
          <t>rent</t>
        </is>
      </c>
      <c r="F4354" t="inlineStr">
        <is>
          <t>Rent</t>
        </is>
      </c>
      <c r="G4354" t="inlineStr">
        <is>
          <t>pressure</t>
        </is>
      </c>
      <c r="H4354" t="inlineStr">
        <is>
          <t>yes</t>
        </is>
      </c>
      <c r="I4354" t="inlineStr">
        <is>
          <t>61.95</t>
        </is>
      </c>
      <c r="J4354" t="inlineStr">
        <is>
          <t>world_bank_col_estimate</t>
        </is>
      </c>
      <c r="K4354" t="inlineStr">
        <is>
          <t>https://api.worldbank.org/v2/country/TZA/indicator/NY.GNP.PCAP.PP.CD?format=json&amp;mrv=10</t>
        </is>
      </c>
      <c r="L4354" t="inlineStr">
        <is>
          <t>World Bank GNI + regional expenditure ratio estimate</t>
        </is>
      </c>
      <c r="M4354" t="inlineStr">
        <is>
          <t>2024-12-31</t>
        </is>
      </c>
      <c r="N4354" t="inlineStr">
        <is>
          <t>auto_ingest=world_bank_col_estimate; gni_annual=4130.0; year=2024; country_proxy=Tanzania; cohort=Africa; city_cost_mult=0.9</t>
        </is>
      </c>
    </row>
    <row r="4355">
      <c r="A4355" t="inlineStr">
        <is>
          <t>tz-dar-es-salaam</t>
        </is>
      </c>
      <c r="B4355" t="inlineStr">
        <is>
          <t>Dar es Salaam</t>
        </is>
      </c>
      <c r="C4355" t="inlineStr">
        <is>
          <t>Tanzania</t>
        </is>
      </c>
      <c r="D4355" t="inlineStr">
        <is>
          <t>Africa</t>
        </is>
      </c>
      <c r="E4355" t="inlineStr">
        <is>
          <t>utilities</t>
        </is>
      </c>
      <c r="F4355" t="inlineStr">
        <is>
          <t>Utilities</t>
        </is>
      </c>
      <c r="G4355" t="inlineStr">
        <is>
          <t>pressure</t>
        </is>
      </c>
      <c r="H4355" t="inlineStr">
        <is>
          <t>yes</t>
        </is>
      </c>
      <c r="I4355" t="inlineStr">
        <is>
          <t>18.59</t>
        </is>
      </c>
      <c r="J4355" t="inlineStr">
        <is>
          <t>world_bank_col_estimate</t>
        </is>
      </c>
      <c r="K4355" t="inlineStr">
        <is>
          <t>https://api.worldbank.org/v2/country/TZA/indicator/NY.GNP.PCAP.PP.CD?format=json&amp;mrv=10</t>
        </is>
      </c>
      <c r="L4355" t="inlineStr">
        <is>
          <t>World Bank GNI + regional expenditure ratio estimate</t>
        </is>
      </c>
      <c r="M4355" t="inlineStr">
        <is>
          <t>2024-12-31</t>
        </is>
      </c>
      <c r="N4355" t="inlineStr">
        <is>
          <t>auto_ingest=world_bank_col_estimate; gni_annual=4130.0; year=2024; country_proxy=Tanzania; cohort=Africa; city_cost_mult=0.9</t>
        </is>
      </c>
    </row>
    <row r="4356">
      <c r="A4356" t="inlineStr">
        <is>
          <t>tz-dar-es-salaam</t>
        </is>
      </c>
      <c r="B4356" t="inlineStr">
        <is>
          <t>Dar es Salaam</t>
        </is>
      </c>
      <c r="C4356" t="inlineStr">
        <is>
          <t>Tanzania</t>
        </is>
      </c>
      <c r="D4356" t="inlineStr">
        <is>
          <t>Africa</t>
        </is>
      </c>
      <c r="E4356" t="inlineStr">
        <is>
          <t>transit_cost</t>
        </is>
      </c>
      <c r="F4356" t="inlineStr">
        <is>
          <t>Transit cost</t>
        </is>
      </c>
      <c r="G4356" t="inlineStr">
        <is>
          <t>pressure</t>
        </is>
      </c>
      <c r="H4356" t="inlineStr">
        <is>
          <t>yes</t>
        </is>
      </c>
      <c r="I4356" t="inlineStr">
        <is>
          <t>12.39</t>
        </is>
      </c>
      <c r="J4356" t="inlineStr">
        <is>
          <t>world_bank_col_estimate</t>
        </is>
      </c>
      <c r="K4356" t="inlineStr">
        <is>
          <t>https://api.worldbank.org/v2/country/TZA/indicator/NY.GNP.PCAP.PP.CD?format=json&amp;mrv=10</t>
        </is>
      </c>
      <c r="L4356" t="inlineStr">
        <is>
          <t>World Bank GNI + regional expenditure ratio estimate</t>
        </is>
      </c>
      <c r="M4356" t="inlineStr">
        <is>
          <t>2024-12-31</t>
        </is>
      </c>
      <c r="N4356" t="inlineStr">
        <is>
          <t>auto_ingest=world_bank_col_estimate; gni_annual=4130.0; year=2024; country_proxy=Tanzania; cohort=Africa; city_cost_mult=0.9</t>
        </is>
      </c>
    </row>
    <row r="4357">
      <c r="A4357" t="inlineStr">
        <is>
          <t>tz-dar-es-salaam</t>
        </is>
      </c>
      <c r="B4357" t="inlineStr">
        <is>
          <t>Dar es Salaam</t>
        </is>
      </c>
      <c r="C4357" t="inlineStr">
        <is>
          <t>Tanzania</t>
        </is>
      </c>
      <c r="D4357" t="inlineStr">
        <is>
          <t>Africa</t>
        </is>
      </c>
      <c r="E4357" t="inlineStr">
        <is>
          <t>internet_cost</t>
        </is>
      </c>
      <c r="F4357" t="inlineStr">
        <is>
          <t>Internet cost</t>
        </is>
      </c>
      <c r="G4357" t="inlineStr">
        <is>
          <t>pressure</t>
        </is>
      </c>
      <c r="H4357" t="inlineStr">
        <is>
          <t>yes</t>
        </is>
      </c>
      <c r="I4357" t="inlineStr">
        <is>
          <t>4.65</t>
        </is>
      </c>
      <c r="J4357" t="inlineStr">
        <is>
          <t>world_bank_col_estimate</t>
        </is>
      </c>
      <c r="K4357" t="inlineStr">
        <is>
          <t>https://api.worldbank.org/v2/country/TZA/indicator/NY.GNP.PCAP.PP.CD?format=json&amp;mrv=10</t>
        </is>
      </c>
      <c r="L4357" t="inlineStr">
        <is>
          <t>World Bank GNI + regional expenditure ratio estimate</t>
        </is>
      </c>
      <c r="M4357" t="inlineStr">
        <is>
          <t>2024-12-31</t>
        </is>
      </c>
      <c r="N4357" t="inlineStr">
        <is>
          <t>auto_ingest=world_bank_col_estimate; gni_annual=4130.0; year=2024; country_proxy=Tanzania; cohort=Africa; city_cost_mult=0.9</t>
        </is>
      </c>
    </row>
    <row r="4358">
      <c r="A4358" t="inlineStr">
        <is>
          <t>tz-dar-es-salaam</t>
        </is>
      </c>
      <c r="B4358" t="inlineStr">
        <is>
          <t>Dar es Salaam</t>
        </is>
      </c>
      <c r="C4358" t="inlineStr">
        <is>
          <t>Tanzania</t>
        </is>
      </c>
      <c r="D4358" t="inlineStr">
        <is>
          <t>Africa</t>
        </is>
      </c>
      <c r="E4358" t="inlineStr">
        <is>
          <t>food_cost</t>
        </is>
      </c>
      <c r="F4358" t="inlineStr">
        <is>
          <t>Food cost</t>
        </is>
      </c>
      <c r="G4358" t="inlineStr">
        <is>
          <t>pressure</t>
        </is>
      </c>
      <c r="H4358" t="inlineStr">
        <is>
          <t>yes</t>
        </is>
      </c>
      <c r="I4358" t="inlineStr">
        <is>
          <t>77.44</t>
        </is>
      </c>
      <c r="J4358" t="inlineStr">
        <is>
          <t>world_bank_col_estimate</t>
        </is>
      </c>
      <c r="K4358" t="inlineStr">
        <is>
          <t>https://api.worldbank.org/v2/country/TZA/indicator/NY.GNP.PCAP.PP.CD?format=json&amp;mrv=10</t>
        </is>
      </c>
      <c r="L4358" t="inlineStr">
        <is>
          <t>World Bank GNI + regional expenditure ratio estimate</t>
        </is>
      </c>
      <c r="M4358" t="inlineStr">
        <is>
          <t>2024-12-31</t>
        </is>
      </c>
      <c r="N4358" t="inlineStr">
        <is>
          <t>auto_ingest=world_bank_col_estimate; gni_annual=4130.0; year=2024; country_proxy=Tanzania; cohort=Africa; city_cost_mult=0.9</t>
        </is>
      </c>
    </row>
    <row r="4359">
      <c r="A4359" t="inlineStr">
        <is>
          <t>tz-dar-es-salaam</t>
        </is>
      </c>
      <c r="B4359" t="inlineStr">
        <is>
          <t>Dar es Salaam</t>
        </is>
      </c>
      <c r="C4359" t="inlineStr">
        <is>
          <t>Tanzania</t>
        </is>
      </c>
      <c r="D4359" t="inlineStr">
        <is>
          <t>Africa</t>
        </is>
      </c>
      <c r="E4359" t="inlineStr">
        <is>
          <t>housing_burden_raw</t>
        </is>
      </c>
      <c r="F4359" t="inlineStr">
        <is>
          <t>Housing burden raw</t>
        </is>
      </c>
      <c r="G4359" t="inlineStr">
        <is>
          <t>pressure</t>
        </is>
      </c>
      <c r="H4359" t="inlineStr">
        <is>
          <t>yes</t>
        </is>
      </c>
      <c r="I4359" t="inlineStr">
        <is>
          <t>17.9998</t>
        </is>
      </c>
      <c r="J4359" t="inlineStr">
        <is>
          <t>derived</t>
        </is>
      </c>
      <c r="K4359" t="inlineStr">
        <is>
          <t>https://data.worldbank.org/indicator/NY.GNP.PCAP.PP.CD</t>
        </is>
      </c>
      <c r="L4359" t="inlineStr">
        <is>
          <t>Computed from city_inputs + country_context</t>
        </is>
      </c>
      <c r="M4359" t="inlineStr">
        <is>
          <t>2024-01-01</t>
        </is>
      </c>
      <c r="N4359" t="inlineStr">
        <is>
          <t>derived=rent/gross_income*100</t>
        </is>
      </c>
    </row>
    <row r="4360">
      <c r="A4360" t="inlineStr">
        <is>
          <t>tz-dar-es-salaam</t>
        </is>
      </c>
      <c r="B4360" t="inlineStr">
        <is>
          <t>Dar es Salaam</t>
        </is>
      </c>
      <c r="C4360" t="inlineStr">
        <is>
          <t>Tanzania</t>
        </is>
      </c>
      <c r="D4360" t="inlineStr">
        <is>
          <t>Africa</t>
        </is>
      </c>
      <c r="E4360" t="inlineStr">
        <is>
          <t>household_debt_burden_raw</t>
        </is>
      </c>
      <c r="F4360" t="inlineStr">
        <is>
          <t>Household debt burden raw</t>
        </is>
      </c>
      <c r="G4360" t="inlineStr">
        <is>
          <t>pressure</t>
        </is>
      </c>
      <c r="H4360" t="inlineStr">
        <is>
          <t>yes</t>
        </is>
      </c>
      <c r="I4360" t="inlineStr"/>
      <c r="J4360" t="inlineStr"/>
      <c r="K4360" t="inlineStr"/>
      <c r="L4360" t="inlineStr"/>
      <c r="M4360" t="inlineStr"/>
      <c r="N4360" t="inlineStr"/>
    </row>
    <row r="4361">
      <c r="A4361" t="inlineStr">
        <is>
          <t>tz-dar-es-salaam</t>
        </is>
      </c>
      <c r="B4361" t="inlineStr">
        <is>
          <t>Dar es Salaam</t>
        </is>
      </c>
      <c r="C4361" t="inlineStr">
        <is>
          <t>Tanzania</t>
        </is>
      </c>
      <c r="D4361" t="inlineStr">
        <is>
          <t>Africa</t>
        </is>
      </c>
      <c r="E4361" t="inlineStr">
        <is>
          <t>working_time_pressure_raw</t>
        </is>
      </c>
      <c r="F4361" t="inlineStr">
        <is>
          <t>Working time pressure raw</t>
        </is>
      </c>
      <c r="G4361" t="inlineStr">
        <is>
          <t>pressure</t>
        </is>
      </c>
      <c r="H4361" t="inlineStr">
        <is>
          <t>yes</t>
        </is>
      </c>
      <c r="I4361" t="inlineStr"/>
      <c r="J4361" t="inlineStr"/>
      <c r="K4361" t="inlineStr"/>
      <c r="L4361" t="inlineStr"/>
      <c r="M4361" t="inlineStr"/>
      <c r="N4361" t="inlineStr"/>
    </row>
    <row r="4362">
      <c r="A4362" t="inlineStr">
        <is>
          <t>tz-dar-es-salaam</t>
        </is>
      </c>
      <c r="B4362" t="inlineStr">
        <is>
          <t>Dar es Salaam</t>
        </is>
      </c>
      <c r="C4362" t="inlineStr">
        <is>
          <t>Tanzania</t>
        </is>
      </c>
      <c r="D4362" t="inlineStr">
        <is>
          <t>Africa</t>
        </is>
      </c>
      <c r="E4362" t="inlineStr">
        <is>
          <t>suicide_mental_strain_raw</t>
        </is>
      </c>
      <c r="F4362" t="inlineStr">
        <is>
          <t>Suicide or mental strain raw</t>
        </is>
      </c>
      <c r="G4362" t="inlineStr">
        <is>
          <t>pressure</t>
        </is>
      </c>
      <c r="H4362" t="inlineStr">
        <is>
          <t>yes</t>
        </is>
      </c>
      <c r="I4362" t="inlineStr"/>
      <c r="J4362" t="inlineStr"/>
      <c r="K4362" t="inlineStr"/>
      <c r="L4362" t="inlineStr"/>
      <c r="M4362" t="inlineStr"/>
      <c r="N4362" t="inlineStr"/>
    </row>
    <row r="4363">
      <c r="A4363" t="inlineStr">
        <is>
          <t>tz-dar-es-salaam</t>
        </is>
      </c>
      <c r="B4363" t="inlineStr">
        <is>
          <t>Dar es Salaam</t>
        </is>
      </c>
      <c r="C4363" t="inlineStr">
        <is>
          <t>Tanzania</t>
        </is>
      </c>
      <c r="D4363" t="inlineStr">
        <is>
          <t>Africa</t>
        </is>
      </c>
      <c r="E4363" t="inlineStr">
        <is>
          <t>personal_safety_raw</t>
        </is>
      </c>
      <c r="F4363" t="inlineStr">
        <is>
          <t>Personal safety raw</t>
        </is>
      </c>
      <c r="G4363" t="inlineStr">
        <is>
          <t>viability</t>
        </is>
      </c>
      <c r="H4363" t="inlineStr">
        <is>
          <t>yes</t>
        </is>
      </c>
      <c r="I4363" t="inlineStr"/>
      <c r="J4363" t="inlineStr"/>
      <c r="K4363" t="inlineStr"/>
      <c r="L4363" t="inlineStr"/>
      <c r="M4363" t="inlineStr"/>
      <c r="N4363" t="inlineStr"/>
    </row>
    <row r="4364">
      <c r="A4364" t="inlineStr">
        <is>
          <t>tz-dar-es-salaam</t>
        </is>
      </c>
      <c r="B4364" t="inlineStr">
        <is>
          <t>Dar es Salaam</t>
        </is>
      </c>
      <c r="C4364" t="inlineStr">
        <is>
          <t>Tanzania</t>
        </is>
      </c>
      <c r="D4364" t="inlineStr">
        <is>
          <t>Africa</t>
        </is>
      </c>
      <c r="E4364" t="inlineStr">
        <is>
          <t>transit_access_commute_raw</t>
        </is>
      </c>
      <c r="F4364" t="inlineStr">
        <is>
          <t>Transit access and commute raw</t>
        </is>
      </c>
      <c r="G4364" t="inlineStr">
        <is>
          <t>viability</t>
        </is>
      </c>
      <c r="H4364" t="inlineStr">
        <is>
          <t>yes</t>
        </is>
      </c>
      <c r="I4364" t="inlineStr"/>
      <c r="J4364" t="inlineStr"/>
      <c r="K4364" t="inlineStr"/>
      <c r="L4364" t="inlineStr"/>
      <c r="M4364" t="inlineStr"/>
      <c r="N4364" t="inlineStr"/>
    </row>
    <row r="4365">
      <c r="A4365" t="inlineStr">
        <is>
          <t>tz-dar-es-salaam</t>
        </is>
      </c>
      <c r="B4365" t="inlineStr">
        <is>
          <t>Dar es Salaam</t>
        </is>
      </c>
      <c r="C4365" t="inlineStr">
        <is>
          <t>Tanzania</t>
        </is>
      </c>
      <c r="D4365" t="inlineStr">
        <is>
          <t>Africa</t>
        </is>
      </c>
      <c r="E4365" t="inlineStr">
        <is>
          <t>clean_air_raw</t>
        </is>
      </c>
      <c r="F4365" t="inlineStr">
        <is>
          <t>Clean air raw</t>
        </is>
      </c>
      <c r="G4365" t="inlineStr">
        <is>
          <t>viability</t>
        </is>
      </c>
      <c r="H4365" t="inlineStr">
        <is>
          <t>yes</t>
        </is>
      </c>
      <c r="I4365" t="inlineStr"/>
      <c r="J4365" t="inlineStr"/>
      <c r="K4365" t="inlineStr"/>
      <c r="L4365" t="inlineStr"/>
      <c r="M4365" t="inlineStr"/>
      <c r="N4365" t="inlineStr"/>
    </row>
    <row r="4366">
      <c r="A4366" t="inlineStr">
        <is>
          <t>tz-dar-es-salaam</t>
        </is>
      </c>
      <c r="B4366" t="inlineStr">
        <is>
          <t>Dar es Salaam</t>
        </is>
      </c>
      <c r="C4366" t="inlineStr">
        <is>
          <t>Tanzania</t>
        </is>
      </c>
      <c r="D4366" t="inlineStr">
        <is>
          <t>Africa</t>
        </is>
      </c>
      <c r="E4366" t="inlineStr">
        <is>
          <t>water_sanitation_utility_raw</t>
        </is>
      </c>
      <c r="F4366" t="inlineStr">
        <is>
          <t>Water, sanitation, and utility raw</t>
        </is>
      </c>
      <c r="G4366" t="inlineStr">
        <is>
          <t>viability</t>
        </is>
      </c>
      <c r="H4366" t="inlineStr">
        <is>
          <t>yes</t>
        </is>
      </c>
      <c r="I4366" t="inlineStr"/>
      <c r="J4366" t="inlineStr"/>
      <c r="K4366" t="inlineStr"/>
      <c r="L4366" t="inlineStr"/>
      <c r="M4366" t="inlineStr"/>
      <c r="N4366" t="inlineStr"/>
    </row>
    <row r="4367">
      <c r="A4367" t="inlineStr">
        <is>
          <t>tz-dar-es-salaam</t>
        </is>
      </c>
      <c r="B4367" t="inlineStr">
        <is>
          <t>Dar es Salaam</t>
        </is>
      </c>
      <c r="C4367" t="inlineStr">
        <is>
          <t>Tanzania</t>
        </is>
      </c>
      <c r="D4367" t="inlineStr">
        <is>
          <t>Africa</t>
        </is>
      </c>
      <c r="E4367" t="inlineStr">
        <is>
          <t>digital_infrastructure_raw</t>
        </is>
      </c>
      <c r="F4367" t="inlineStr">
        <is>
          <t>Digital infrastructure raw</t>
        </is>
      </c>
      <c r="G4367" t="inlineStr">
        <is>
          <t>viability</t>
        </is>
      </c>
      <c r="H4367" t="inlineStr">
        <is>
          <t>yes</t>
        </is>
      </c>
      <c r="I4367" t="inlineStr"/>
      <c r="J4367" t="inlineStr"/>
      <c r="K4367" t="inlineStr"/>
      <c r="L4367" t="inlineStr"/>
      <c r="M4367" t="inlineStr"/>
      <c r="N4367" t="inlineStr"/>
    </row>
    <row r="4368">
      <c r="A4368" t="inlineStr">
        <is>
          <t>tz-dar-es-salaam</t>
        </is>
      </c>
      <c r="B4368" t="inlineStr">
        <is>
          <t>Dar es Salaam</t>
        </is>
      </c>
      <c r="C4368" t="inlineStr">
        <is>
          <t>Tanzania</t>
        </is>
      </c>
      <c r="D4368" t="inlineStr">
        <is>
          <t>Africa</t>
        </is>
      </c>
      <c r="E4368" t="inlineStr">
        <is>
          <t>climate_sunlight_livability_raw</t>
        </is>
      </c>
      <c r="F4368" t="inlineStr">
        <is>
          <t>Climate and sunlight livability raw</t>
        </is>
      </c>
      <c r="G4368" t="inlineStr">
        <is>
          <t>viability</t>
        </is>
      </c>
      <c r="H4368" t="inlineStr">
        <is>
          <t>yes</t>
        </is>
      </c>
      <c r="I4368" t="inlineStr"/>
      <c r="J4368" t="inlineStr"/>
      <c r="K4368" t="inlineStr"/>
      <c r="L4368" t="inlineStr"/>
      <c r="M4368" t="inlineStr"/>
      <c r="N4368" t="inlineStr"/>
    </row>
    <row r="4369">
      <c r="A4369" t="inlineStr">
        <is>
          <t>tz-dar-es-salaam</t>
        </is>
      </c>
      <c r="B4369" t="inlineStr">
        <is>
          <t>Dar es Salaam</t>
        </is>
      </c>
      <c r="C4369" t="inlineStr">
        <is>
          <t>Tanzania</t>
        </is>
      </c>
      <c r="D4369" t="inlineStr">
        <is>
          <t>Africa</t>
        </is>
      </c>
      <c r="E4369" t="inlineStr">
        <is>
          <t>healthcare_quality_raw</t>
        </is>
      </c>
      <c r="F4369" t="inlineStr">
        <is>
          <t>Healthcare quality raw</t>
        </is>
      </c>
      <c r="G4369" t="inlineStr">
        <is>
          <t>capability</t>
        </is>
      </c>
      <c r="H4369" t="inlineStr">
        <is>
          <t>yes</t>
        </is>
      </c>
      <c r="I4369" t="inlineStr"/>
      <c r="J4369" t="inlineStr"/>
      <c r="K4369" t="inlineStr"/>
      <c r="L4369" t="inlineStr"/>
      <c r="M4369" t="inlineStr"/>
      <c r="N4369" t="inlineStr"/>
    </row>
    <row r="4370">
      <c r="A4370" t="inlineStr">
        <is>
          <t>tz-dar-es-salaam</t>
        </is>
      </c>
      <c r="B4370" t="inlineStr">
        <is>
          <t>Dar es Salaam</t>
        </is>
      </c>
      <c r="C4370" t="inlineStr">
        <is>
          <t>Tanzania</t>
        </is>
      </c>
      <c r="D4370" t="inlineStr">
        <is>
          <t>Africa</t>
        </is>
      </c>
      <c r="E4370" t="inlineStr">
        <is>
          <t>education_quality_raw</t>
        </is>
      </c>
      <c r="F4370" t="inlineStr">
        <is>
          <t>Education quality raw</t>
        </is>
      </c>
      <c r="G4370" t="inlineStr">
        <is>
          <t>capability</t>
        </is>
      </c>
      <c r="H4370" t="inlineStr">
        <is>
          <t>yes</t>
        </is>
      </c>
      <c r="I4370" t="inlineStr"/>
      <c r="J4370" t="inlineStr"/>
      <c r="K4370" t="inlineStr"/>
      <c r="L4370" t="inlineStr"/>
      <c r="M4370" t="inlineStr"/>
      <c r="N4370" t="inlineStr"/>
    </row>
    <row r="4371">
      <c r="A4371" t="inlineStr">
        <is>
          <t>tz-dar-es-salaam</t>
        </is>
      </c>
      <c r="B4371" t="inlineStr">
        <is>
          <t>Dar es Salaam</t>
        </is>
      </c>
      <c r="C4371" t="inlineStr">
        <is>
          <t>Tanzania</t>
        </is>
      </c>
      <c r="D4371" t="inlineStr">
        <is>
          <t>Africa</t>
        </is>
      </c>
      <c r="E4371" t="inlineStr">
        <is>
          <t>equal_opportunity_raw</t>
        </is>
      </c>
      <c r="F4371" t="inlineStr">
        <is>
          <t>Equal opportunity raw</t>
        </is>
      </c>
      <c r="G4371" t="inlineStr">
        <is>
          <t>capability</t>
        </is>
      </c>
      <c r="H4371" t="inlineStr">
        <is>
          <t>yes</t>
        </is>
      </c>
      <c r="I4371" t="inlineStr">
        <is>
          <t>40.5</t>
        </is>
      </c>
      <c r="J4371" t="inlineStr">
        <is>
          <t>world_bank</t>
        </is>
      </c>
      <c r="K4371" t="inlineStr">
        <is>
          <t>https://api.worldbank.org/v2/country/TZA/indicator/SI.POV.GINI?format=json&amp;mrv=10</t>
        </is>
      </c>
      <c r="L4371" t="inlineStr">
        <is>
          <t>World Bank WDI: Gini index</t>
        </is>
      </c>
      <c r="M4371" t="inlineStr">
        <is>
          <t>2018-12-31</t>
        </is>
      </c>
      <c r="N4371" t="inlineStr">
        <is>
          <t>auto_ingest=world_bank_capability; indicator=SI.POV.GINI; year=2018; country_proxy=Tanzania</t>
        </is>
      </c>
    </row>
    <row r="4372">
      <c r="A4372" t="inlineStr">
        <is>
          <t>tz-dar-es-salaam</t>
        </is>
      </c>
      <c r="B4372" t="inlineStr">
        <is>
          <t>Dar es Salaam</t>
        </is>
      </c>
      <c r="C4372" t="inlineStr">
        <is>
          <t>Tanzania</t>
        </is>
      </c>
      <c r="D4372" t="inlineStr">
        <is>
          <t>Africa</t>
        </is>
      </c>
      <c r="E4372" t="inlineStr">
        <is>
          <t>hospitality_belonging_raw</t>
        </is>
      </c>
      <c r="F4372" t="inlineStr">
        <is>
          <t>Hospitality and belonging raw</t>
        </is>
      </c>
      <c r="G4372" t="inlineStr">
        <is>
          <t>community</t>
        </is>
      </c>
      <c r="H4372" t="inlineStr">
        <is>
          <t>yes</t>
        </is>
      </c>
      <c r="I4372" t="inlineStr"/>
      <c r="J4372" t="inlineStr"/>
      <c r="K4372" t="inlineStr"/>
      <c r="L4372" t="inlineStr"/>
      <c r="M4372" t="inlineStr"/>
      <c r="N4372" t="inlineStr"/>
    </row>
    <row r="4373">
      <c r="A4373" t="inlineStr">
        <is>
          <t>tz-dar-es-salaam</t>
        </is>
      </c>
      <c r="B4373" t="inlineStr">
        <is>
          <t>Dar es Salaam</t>
        </is>
      </c>
      <c r="C4373" t="inlineStr">
        <is>
          <t>Tanzania</t>
        </is>
      </c>
      <c r="D4373" t="inlineStr">
        <is>
          <t>Africa</t>
        </is>
      </c>
      <c r="E4373" t="inlineStr">
        <is>
          <t>tolerance_pluralism_raw</t>
        </is>
      </c>
      <c r="F4373" t="inlineStr">
        <is>
          <t>Tolerance and pluralism raw</t>
        </is>
      </c>
      <c r="G4373" t="inlineStr">
        <is>
          <t>community</t>
        </is>
      </c>
      <c r="H4373" t="inlineStr">
        <is>
          <t>yes</t>
        </is>
      </c>
      <c r="I4373" t="inlineStr"/>
      <c r="J4373" t="inlineStr"/>
      <c r="K4373" t="inlineStr"/>
      <c r="L4373" t="inlineStr"/>
      <c r="M4373" t="inlineStr"/>
      <c r="N4373" t="inlineStr"/>
    </row>
    <row r="4374">
      <c r="A4374" t="inlineStr">
        <is>
          <t>tz-dar-es-salaam</t>
        </is>
      </c>
      <c r="B4374" t="inlineStr">
        <is>
          <t>Dar es Salaam</t>
        </is>
      </c>
      <c r="C4374" t="inlineStr">
        <is>
          <t>Tanzania</t>
        </is>
      </c>
      <c r="D4374" t="inlineStr">
        <is>
          <t>Africa</t>
        </is>
      </c>
      <c r="E4374" t="inlineStr">
        <is>
          <t>cultural_public_life_raw</t>
        </is>
      </c>
      <c r="F4374" t="inlineStr">
        <is>
          <t>Cultural public life raw</t>
        </is>
      </c>
      <c r="G4374" t="inlineStr">
        <is>
          <t>community</t>
        </is>
      </c>
      <c r="H4374" t="inlineStr">
        <is>
          <t>yes</t>
        </is>
      </c>
      <c r="I4374" t="inlineStr"/>
      <c r="J4374" t="inlineStr"/>
      <c r="K4374" t="inlineStr"/>
      <c r="L4374" t="inlineStr"/>
      <c r="M4374" t="inlineStr"/>
      <c r="N4374" t="inlineStr"/>
    </row>
    <row r="4375">
      <c r="A4375" t="inlineStr">
        <is>
          <t>tz-dar-es-salaam</t>
        </is>
      </c>
      <c r="B4375" t="inlineStr">
        <is>
          <t>Dar es Salaam</t>
        </is>
      </c>
      <c r="C4375" t="inlineStr">
        <is>
          <t>Tanzania</t>
        </is>
      </c>
      <c r="D4375" t="inlineStr">
        <is>
          <t>Africa</t>
        </is>
      </c>
      <c r="E4375" t="inlineStr">
        <is>
          <t>birth_rate_optimism_raw</t>
        </is>
      </c>
      <c r="F4375" t="inlineStr">
        <is>
          <t>Birth rate and societal optimism raw</t>
        </is>
      </c>
      <c r="G4375" t="inlineStr">
        <is>
          <t>community</t>
        </is>
      </c>
      <c r="H4375" t="inlineStr">
        <is>
          <t>yes</t>
        </is>
      </c>
      <c r="I4375" t="inlineStr"/>
      <c r="J4375" t="inlineStr"/>
      <c r="K4375" t="inlineStr"/>
      <c r="L4375" t="inlineStr"/>
      <c r="M4375" t="inlineStr"/>
      <c r="N4375" t="inlineStr"/>
    </row>
    <row r="4376">
      <c r="A4376" t="inlineStr">
        <is>
          <t>tz-dar-es-salaam</t>
        </is>
      </c>
      <c r="B4376" t="inlineStr">
        <is>
          <t>Dar es Salaam</t>
        </is>
      </c>
      <c r="C4376" t="inlineStr">
        <is>
          <t>Tanzania</t>
        </is>
      </c>
      <c r="D4376" t="inlineStr">
        <is>
          <t>Africa</t>
        </is>
      </c>
      <c r="E4376" t="inlineStr">
        <is>
          <t>entrepreneurial_dynamism_raw</t>
        </is>
      </c>
      <c r="F4376" t="inlineStr">
        <is>
          <t>Entrepreneurial dynamism raw</t>
        </is>
      </c>
      <c r="G4376" t="inlineStr">
        <is>
          <t>creative</t>
        </is>
      </c>
      <c r="H4376" t="inlineStr">
        <is>
          <t>yes</t>
        </is>
      </c>
      <c r="I4376" t="inlineStr">
        <is>
          <t>0.17</t>
        </is>
      </c>
      <c r="J4376" t="inlineStr">
        <is>
          <t>world_bank</t>
        </is>
      </c>
      <c r="K4376" t="inlineStr">
        <is>
          <t>https://api.worldbank.org/v2/country/TZA/indicator/IC.BUS.NDNS.ZS?format=json&amp;mrv=10</t>
        </is>
      </c>
      <c r="L4376" t="inlineStr">
        <is>
          <t>World Bank WDI: New business density (new registrations per 1,000 people ages 15-64)</t>
        </is>
      </c>
      <c r="M4376" t="inlineStr">
        <is>
          <t>2018-12-31</t>
        </is>
      </c>
      <c r="N4376" t="inlineStr">
        <is>
          <t>auto_ingest=world_bank_creative_extended; indicator=IC.BUS.NDNS.ZS; year=2018; country_proxy=Tanzania</t>
        </is>
      </c>
    </row>
    <row r="4377">
      <c r="A4377" t="inlineStr">
        <is>
          <t>tz-dar-es-salaam</t>
        </is>
      </c>
      <c r="B4377" t="inlineStr">
        <is>
          <t>Dar es Salaam</t>
        </is>
      </c>
      <c r="C4377" t="inlineStr">
        <is>
          <t>Tanzania</t>
        </is>
      </c>
      <c r="D4377" t="inlineStr">
        <is>
          <t>Africa</t>
        </is>
      </c>
      <c r="E4377" t="inlineStr">
        <is>
          <t>innovation_research_intensity_raw</t>
        </is>
      </c>
      <c r="F4377" t="inlineStr">
        <is>
          <t>Innovation and research raw</t>
        </is>
      </c>
      <c r="G4377" t="inlineStr">
        <is>
          <t>creative</t>
        </is>
      </c>
      <c r="H4377" t="inlineStr">
        <is>
          <t>yes</t>
        </is>
      </c>
      <c r="I4377" t="inlineStr"/>
      <c r="J4377" t="inlineStr"/>
      <c r="K4377" t="inlineStr"/>
      <c r="L4377" t="inlineStr"/>
      <c r="M4377" t="inlineStr"/>
      <c r="N4377" t="inlineStr"/>
    </row>
    <row r="4378">
      <c r="A4378" t="inlineStr">
        <is>
          <t>tz-dar-es-salaam</t>
        </is>
      </c>
      <c r="B4378" t="inlineStr">
        <is>
          <t>Dar es Salaam</t>
        </is>
      </c>
      <c r="C4378" t="inlineStr">
        <is>
          <t>Tanzania</t>
        </is>
      </c>
      <c r="D4378" t="inlineStr">
        <is>
          <t>Africa</t>
        </is>
      </c>
      <c r="E4378" t="inlineStr">
        <is>
          <t>investment_signal_raw</t>
        </is>
      </c>
      <c r="F4378" t="inlineStr">
        <is>
          <t>Investment signal raw</t>
        </is>
      </c>
      <c r="G4378" t="inlineStr">
        <is>
          <t>creative</t>
        </is>
      </c>
      <c r="H4378" t="inlineStr">
        <is>
          <t>yes</t>
        </is>
      </c>
      <c r="I4378" t="inlineStr">
        <is>
          <t>2.18</t>
        </is>
      </c>
      <c r="J4378" t="inlineStr">
        <is>
          <t>world_bank</t>
        </is>
      </c>
      <c r="K4378" t="inlineStr">
        <is>
          <t>https://api.worldbank.org/v2/country/TZA/indicator/BX.KLT.DINV.WD.GD.ZS?format=json&amp;mrv=10</t>
        </is>
      </c>
      <c r="L4378" t="inlineStr">
        <is>
          <t>World Bank WDI: Foreign direct investment, net inflows (% of GDP)</t>
        </is>
      </c>
      <c r="M4378" t="inlineStr">
        <is>
          <t>2024-12-31</t>
        </is>
      </c>
      <c r="N4378" t="inlineStr">
        <is>
          <t>auto_ingest=world_bank_creative_extended; indicator=BX.KLT.DINV.WD.GD.ZS; year=2024; country_proxy=Tanzania</t>
        </is>
      </c>
    </row>
    <row r="4379">
      <c r="A4379" t="inlineStr">
        <is>
          <t>tz-dar-es-salaam</t>
        </is>
      </c>
      <c r="B4379" t="inlineStr">
        <is>
          <t>Dar es Salaam</t>
        </is>
      </c>
      <c r="C4379" t="inlineStr">
        <is>
          <t>Tanzania</t>
        </is>
      </c>
      <c r="D4379" t="inlineStr">
        <is>
          <t>Africa</t>
        </is>
      </c>
      <c r="E4379" t="inlineStr">
        <is>
          <t>administrative_investment_friction_raw</t>
        </is>
      </c>
      <c r="F4379" t="inlineStr">
        <is>
          <t>Administrative investment friction raw</t>
        </is>
      </c>
      <c r="G4379" t="inlineStr">
        <is>
          <t>creative</t>
        </is>
      </c>
      <c r="H4379" t="inlineStr">
        <is>
          <t>yes</t>
        </is>
      </c>
      <c r="I4379" t="inlineStr">
        <is>
          <t>3.09</t>
        </is>
      </c>
      <c r="J4379" t="inlineStr">
        <is>
          <t>world_bank</t>
        </is>
      </c>
      <c r="K4379" t="inlineStr">
        <is>
          <t>https://api.worldbank.org/v2/country/TZA/indicator/RQ.EST?format=json&amp;mrv=10</t>
        </is>
      </c>
      <c r="L4379" t="inlineStr">
        <is>
          <t>World Bank WGI: Regulatory Quality (inverted as friction proxy)</t>
        </is>
      </c>
      <c r="M4379" t="inlineStr">
        <is>
          <t>2023-12-31</t>
        </is>
      </c>
      <c r="N4379" t="inlineStr">
        <is>
          <t>auto_ingest=world_bank_business_friction; indicator=RQ.EST; raw_rq=-0.588394701480865; friction=3.09; year=2023; country_proxy=Tanzania</t>
        </is>
      </c>
    </row>
    <row r="4380">
      <c r="A4380" t="inlineStr">
        <is>
          <t>tz-dar-es-salaam</t>
        </is>
      </c>
      <c r="B4380" t="inlineStr">
        <is>
          <t>Dar es Salaam</t>
        </is>
      </c>
      <c r="C4380" t="inlineStr">
        <is>
          <t>Tanzania</t>
        </is>
      </c>
      <c r="D4380" t="inlineStr">
        <is>
          <t>Africa</t>
        </is>
      </c>
      <c r="E4380" t="inlineStr">
        <is>
          <t>visitor_flow_context_raw</t>
        </is>
      </c>
      <c r="F4380" t="inlineStr">
        <is>
          <t>Visitor flow context raw</t>
        </is>
      </c>
      <c r="G4380" t="inlineStr">
        <is>
          <t>creative</t>
        </is>
      </c>
      <c r="H4380" t="inlineStr">
        <is>
          <t>no</t>
        </is>
      </c>
      <c r="I4380" t="inlineStr"/>
      <c r="J4380" t="inlineStr"/>
      <c r="K4380" t="inlineStr"/>
      <c r="L4380" t="inlineStr"/>
      <c r="M4380" t="inlineStr"/>
      <c r="N4380" t="inlineStr"/>
    </row>
    <row r="4381">
      <c r="A4381" t="inlineStr">
        <is>
          <t>ug-kampala</t>
        </is>
      </c>
      <c r="B4381" t="inlineStr">
        <is>
          <t>Kampala</t>
        </is>
      </c>
      <c r="C4381" t="inlineStr">
        <is>
          <t>Uganda</t>
        </is>
      </c>
      <c r="D4381" t="inlineStr">
        <is>
          <t>Africa</t>
        </is>
      </c>
      <c r="E4381" t="inlineStr">
        <is>
          <t>gross_income</t>
        </is>
      </c>
      <c r="F4381" t="inlineStr">
        <is>
          <t>Gross income</t>
        </is>
      </c>
      <c r="G4381" t="inlineStr">
        <is>
          <t>pressure</t>
        </is>
      </c>
      <c r="H4381" t="inlineStr">
        <is>
          <t>yes</t>
        </is>
      </c>
      <c r="I4381" t="inlineStr">
        <is>
          <t>265.83</t>
        </is>
      </c>
      <c r="J4381" t="inlineStr">
        <is>
          <t>world_bank_col_estimate</t>
        </is>
      </c>
      <c r="K4381" t="inlineStr">
        <is>
          <t>https://api.worldbank.org/v2/country/UGA/indicator/NY.GNP.PCAP.PP.CD?format=json&amp;mrv=10</t>
        </is>
      </c>
      <c r="L4381" t="inlineStr">
        <is>
          <t>World Bank WDI: GNI per capita PPP (monthly USD)</t>
        </is>
      </c>
      <c r="M4381" t="inlineStr">
        <is>
          <t>2024-12-31</t>
        </is>
      </c>
      <c r="N4381" t="inlineStr">
        <is>
          <t>auto_ingest=world_bank_col_estimate; gni_annual=3190.0; year=2024; country_proxy=Uganda; cohort=Africa</t>
        </is>
      </c>
    </row>
    <row r="4382">
      <c r="A4382" t="inlineStr">
        <is>
          <t>ug-kampala</t>
        </is>
      </c>
      <c r="B4382" t="inlineStr">
        <is>
          <t>Kampala</t>
        </is>
      </c>
      <c r="C4382" t="inlineStr">
        <is>
          <t>Uganda</t>
        </is>
      </c>
      <c r="D4382" t="inlineStr">
        <is>
          <t>Africa</t>
        </is>
      </c>
      <c r="E4382" t="inlineStr">
        <is>
          <t>di_ppp_raw</t>
        </is>
      </c>
      <c r="F4382" t="inlineStr">
        <is>
          <t>Disposable income PPP (Raw)</t>
        </is>
      </c>
      <c r="G4382" t="inlineStr">
        <is>
          <t>pressure</t>
        </is>
      </c>
      <c r="H4382" t="inlineStr">
        <is>
          <t>yes</t>
        </is>
      </c>
      <c r="I4382" t="inlineStr"/>
      <c r="J4382" t="inlineStr"/>
      <c r="K4382" t="inlineStr"/>
      <c r="L4382" t="inlineStr"/>
      <c r="M4382" t="inlineStr"/>
      <c r="N4382" t="inlineStr"/>
    </row>
    <row r="4383">
      <c r="A4383" t="inlineStr">
        <is>
          <t>ug-kampala</t>
        </is>
      </c>
      <c r="B4383" t="inlineStr">
        <is>
          <t>Kampala</t>
        </is>
      </c>
      <c r="C4383" t="inlineStr">
        <is>
          <t>Uganda</t>
        </is>
      </c>
      <c r="D4383" t="inlineStr">
        <is>
          <t>Africa</t>
        </is>
      </c>
      <c r="E4383" t="inlineStr">
        <is>
          <t>rent</t>
        </is>
      </c>
      <c r="F4383" t="inlineStr">
        <is>
          <t>Rent</t>
        </is>
      </c>
      <c r="G4383" t="inlineStr">
        <is>
          <t>pressure</t>
        </is>
      </c>
      <c r="H4383" t="inlineStr">
        <is>
          <t>yes</t>
        </is>
      </c>
      <c r="I4383" t="inlineStr">
        <is>
          <t>47.85</t>
        </is>
      </c>
      <c r="J4383" t="inlineStr">
        <is>
          <t>world_bank_col_estimate</t>
        </is>
      </c>
      <c r="K4383" t="inlineStr">
        <is>
          <t>https://api.worldbank.org/v2/country/UGA/indicator/NY.GNP.PCAP.PP.CD?format=json&amp;mrv=10</t>
        </is>
      </c>
      <c r="L4383" t="inlineStr">
        <is>
          <t>World Bank GNI + regional expenditure ratio estimate</t>
        </is>
      </c>
      <c r="M4383" t="inlineStr">
        <is>
          <t>2024-12-31</t>
        </is>
      </c>
      <c r="N4383" t="inlineStr">
        <is>
          <t>auto_ingest=world_bank_col_estimate; gni_annual=3190.0; year=2024; country_proxy=Uganda; cohort=Africa; city_cost_mult=0.9</t>
        </is>
      </c>
    </row>
    <row r="4384">
      <c r="A4384" t="inlineStr">
        <is>
          <t>ug-kampala</t>
        </is>
      </c>
      <c r="B4384" t="inlineStr">
        <is>
          <t>Kampala</t>
        </is>
      </c>
      <c r="C4384" t="inlineStr">
        <is>
          <t>Uganda</t>
        </is>
      </c>
      <c r="D4384" t="inlineStr">
        <is>
          <t>Africa</t>
        </is>
      </c>
      <c r="E4384" t="inlineStr">
        <is>
          <t>utilities</t>
        </is>
      </c>
      <c r="F4384" t="inlineStr">
        <is>
          <t>Utilities</t>
        </is>
      </c>
      <c r="G4384" t="inlineStr">
        <is>
          <t>pressure</t>
        </is>
      </c>
      <c r="H4384" t="inlineStr">
        <is>
          <t>yes</t>
        </is>
      </c>
      <c r="I4384" t="inlineStr">
        <is>
          <t>14.35</t>
        </is>
      </c>
      <c r="J4384" t="inlineStr">
        <is>
          <t>world_bank_col_estimate</t>
        </is>
      </c>
      <c r="K4384" t="inlineStr">
        <is>
          <t>https://api.worldbank.org/v2/country/UGA/indicator/NY.GNP.PCAP.PP.CD?format=json&amp;mrv=10</t>
        </is>
      </c>
      <c r="L4384" t="inlineStr">
        <is>
          <t>World Bank GNI + regional expenditure ratio estimate</t>
        </is>
      </c>
      <c r="M4384" t="inlineStr">
        <is>
          <t>2024-12-31</t>
        </is>
      </c>
      <c r="N4384" t="inlineStr">
        <is>
          <t>auto_ingest=world_bank_col_estimate; gni_annual=3190.0; year=2024; country_proxy=Uganda; cohort=Africa; city_cost_mult=0.9</t>
        </is>
      </c>
    </row>
    <row r="4385">
      <c r="A4385" t="inlineStr">
        <is>
          <t>ug-kampala</t>
        </is>
      </c>
      <c r="B4385" t="inlineStr">
        <is>
          <t>Kampala</t>
        </is>
      </c>
      <c r="C4385" t="inlineStr">
        <is>
          <t>Uganda</t>
        </is>
      </c>
      <c r="D4385" t="inlineStr">
        <is>
          <t>Africa</t>
        </is>
      </c>
      <c r="E4385" t="inlineStr">
        <is>
          <t>transit_cost</t>
        </is>
      </c>
      <c r="F4385" t="inlineStr">
        <is>
          <t>Transit cost</t>
        </is>
      </c>
      <c r="G4385" t="inlineStr">
        <is>
          <t>pressure</t>
        </is>
      </c>
      <c r="H4385" t="inlineStr">
        <is>
          <t>yes</t>
        </is>
      </c>
      <c r="I4385" t="inlineStr">
        <is>
          <t>9.57</t>
        </is>
      </c>
      <c r="J4385" t="inlineStr">
        <is>
          <t>world_bank_col_estimate</t>
        </is>
      </c>
      <c r="K4385" t="inlineStr">
        <is>
          <t>https://api.worldbank.org/v2/country/UGA/indicator/NY.GNP.PCAP.PP.CD?format=json&amp;mrv=10</t>
        </is>
      </c>
      <c r="L4385" t="inlineStr">
        <is>
          <t>World Bank GNI + regional expenditure ratio estimate</t>
        </is>
      </c>
      <c r="M4385" t="inlineStr">
        <is>
          <t>2024-12-31</t>
        </is>
      </c>
      <c r="N4385" t="inlineStr">
        <is>
          <t>auto_ingest=world_bank_col_estimate; gni_annual=3190.0; year=2024; country_proxy=Uganda; cohort=Africa; city_cost_mult=0.9</t>
        </is>
      </c>
    </row>
    <row r="4386">
      <c r="A4386" t="inlineStr">
        <is>
          <t>ug-kampala</t>
        </is>
      </c>
      <c r="B4386" t="inlineStr">
        <is>
          <t>Kampala</t>
        </is>
      </c>
      <c r="C4386" t="inlineStr">
        <is>
          <t>Uganda</t>
        </is>
      </c>
      <c r="D4386" t="inlineStr">
        <is>
          <t>Africa</t>
        </is>
      </c>
      <c r="E4386" t="inlineStr">
        <is>
          <t>internet_cost</t>
        </is>
      </c>
      <c r="F4386" t="inlineStr">
        <is>
          <t>Internet cost</t>
        </is>
      </c>
      <c r="G4386" t="inlineStr">
        <is>
          <t>pressure</t>
        </is>
      </c>
      <c r="H4386" t="inlineStr">
        <is>
          <t>yes</t>
        </is>
      </c>
      <c r="I4386" t="inlineStr">
        <is>
          <t>3.59</t>
        </is>
      </c>
      <c r="J4386" t="inlineStr">
        <is>
          <t>world_bank_col_estimate</t>
        </is>
      </c>
      <c r="K4386" t="inlineStr">
        <is>
          <t>https://api.worldbank.org/v2/country/UGA/indicator/NY.GNP.PCAP.PP.CD?format=json&amp;mrv=10</t>
        </is>
      </c>
      <c r="L4386" t="inlineStr">
        <is>
          <t>World Bank GNI + regional expenditure ratio estimate</t>
        </is>
      </c>
      <c r="M4386" t="inlineStr">
        <is>
          <t>2024-12-31</t>
        </is>
      </c>
      <c r="N4386" t="inlineStr">
        <is>
          <t>auto_ingest=world_bank_col_estimate; gni_annual=3190.0; year=2024; country_proxy=Uganda; cohort=Africa; city_cost_mult=0.9</t>
        </is>
      </c>
    </row>
    <row r="4387">
      <c r="A4387" t="inlineStr">
        <is>
          <t>ug-kampala</t>
        </is>
      </c>
      <c r="B4387" t="inlineStr">
        <is>
          <t>Kampala</t>
        </is>
      </c>
      <c r="C4387" t="inlineStr">
        <is>
          <t>Uganda</t>
        </is>
      </c>
      <c r="D4387" t="inlineStr">
        <is>
          <t>Africa</t>
        </is>
      </c>
      <c r="E4387" t="inlineStr">
        <is>
          <t>food_cost</t>
        </is>
      </c>
      <c r="F4387" t="inlineStr">
        <is>
          <t>Food cost</t>
        </is>
      </c>
      <c r="G4387" t="inlineStr">
        <is>
          <t>pressure</t>
        </is>
      </c>
      <c r="H4387" t="inlineStr">
        <is>
          <t>yes</t>
        </is>
      </c>
      <c r="I4387" t="inlineStr">
        <is>
          <t>59.81</t>
        </is>
      </c>
      <c r="J4387" t="inlineStr">
        <is>
          <t>world_bank_col_estimate</t>
        </is>
      </c>
      <c r="K4387" t="inlineStr">
        <is>
          <t>https://api.worldbank.org/v2/country/UGA/indicator/NY.GNP.PCAP.PP.CD?format=json&amp;mrv=10</t>
        </is>
      </c>
      <c r="L4387" t="inlineStr">
        <is>
          <t>World Bank GNI + regional expenditure ratio estimate</t>
        </is>
      </c>
      <c r="M4387" t="inlineStr">
        <is>
          <t>2024-12-31</t>
        </is>
      </c>
      <c r="N4387" t="inlineStr">
        <is>
          <t>auto_ingest=world_bank_col_estimate; gni_annual=3190.0; year=2024; country_proxy=Uganda; cohort=Africa; city_cost_mult=0.9</t>
        </is>
      </c>
    </row>
    <row r="4388">
      <c r="A4388" t="inlineStr">
        <is>
          <t>ug-kampala</t>
        </is>
      </c>
      <c r="B4388" t="inlineStr">
        <is>
          <t>Kampala</t>
        </is>
      </c>
      <c r="C4388" t="inlineStr">
        <is>
          <t>Uganda</t>
        </is>
      </c>
      <c r="D4388" t="inlineStr">
        <is>
          <t>Africa</t>
        </is>
      </c>
      <c r="E4388" t="inlineStr">
        <is>
          <t>housing_burden_raw</t>
        </is>
      </c>
      <c r="F4388" t="inlineStr">
        <is>
          <t>Housing burden raw</t>
        </is>
      </c>
      <c r="G4388" t="inlineStr">
        <is>
          <t>pressure</t>
        </is>
      </c>
      <c r="H4388" t="inlineStr">
        <is>
          <t>yes</t>
        </is>
      </c>
      <c r="I4388" t="inlineStr">
        <is>
          <t>18.0002</t>
        </is>
      </c>
      <c r="J4388" t="inlineStr">
        <is>
          <t>derived</t>
        </is>
      </c>
      <c r="K4388" t="inlineStr">
        <is>
          <t>https://data.worldbank.org/indicator/NY.GNP.PCAP.PP.CD</t>
        </is>
      </c>
      <c r="L4388" t="inlineStr">
        <is>
          <t>Computed from city_inputs + country_context</t>
        </is>
      </c>
      <c r="M4388" t="inlineStr">
        <is>
          <t>2024-01-01</t>
        </is>
      </c>
      <c r="N4388" t="inlineStr">
        <is>
          <t>derived=rent/gross_income*100</t>
        </is>
      </c>
    </row>
    <row r="4389">
      <c r="A4389" t="inlineStr">
        <is>
          <t>ug-kampala</t>
        </is>
      </c>
      <c r="B4389" t="inlineStr">
        <is>
          <t>Kampala</t>
        </is>
      </c>
      <c r="C4389" t="inlineStr">
        <is>
          <t>Uganda</t>
        </is>
      </c>
      <c r="D4389" t="inlineStr">
        <is>
          <t>Africa</t>
        </is>
      </c>
      <c r="E4389" t="inlineStr">
        <is>
          <t>household_debt_burden_raw</t>
        </is>
      </c>
      <c r="F4389" t="inlineStr">
        <is>
          <t>Household debt burden raw</t>
        </is>
      </c>
      <c r="G4389" t="inlineStr">
        <is>
          <t>pressure</t>
        </is>
      </c>
      <c r="H4389" t="inlineStr">
        <is>
          <t>yes</t>
        </is>
      </c>
      <c r="I4389" t="inlineStr"/>
      <c r="J4389" t="inlineStr"/>
      <c r="K4389" t="inlineStr"/>
      <c r="L4389" t="inlineStr"/>
      <c r="M4389" t="inlineStr"/>
      <c r="N4389" t="inlineStr"/>
    </row>
    <row r="4390">
      <c r="A4390" t="inlineStr">
        <is>
          <t>ug-kampala</t>
        </is>
      </c>
      <c r="B4390" t="inlineStr">
        <is>
          <t>Kampala</t>
        </is>
      </c>
      <c r="C4390" t="inlineStr">
        <is>
          <t>Uganda</t>
        </is>
      </c>
      <c r="D4390" t="inlineStr">
        <is>
          <t>Africa</t>
        </is>
      </c>
      <c r="E4390" t="inlineStr">
        <is>
          <t>working_time_pressure_raw</t>
        </is>
      </c>
      <c r="F4390" t="inlineStr">
        <is>
          <t>Working time pressure raw</t>
        </is>
      </c>
      <c r="G4390" t="inlineStr">
        <is>
          <t>pressure</t>
        </is>
      </c>
      <c r="H4390" t="inlineStr">
        <is>
          <t>yes</t>
        </is>
      </c>
      <c r="I4390" t="inlineStr"/>
      <c r="J4390" t="inlineStr"/>
      <c r="K4390" t="inlineStr"/>
      <c r="L4390" t="inlineStr"/>
      <c r="M4390" t="inlineStr"/>
      <c r="N4390" t="inlineStr"/>
    </row>
    <row r="4391">
      <c r="A4391" t="inlineStr">
        <is>
          <t>ug-kampala</t>
        </is>
      </c>
      <c r="B4391" t="inlineStr">
        <is>
          <t>Kampala</t>
        </is>
      </c>
      <c r="C4391" t="inlineStr">
        <is>
          <t>Uganda</t>
        </is>
      </c>
      <c r="D4391" t="inlineStr">
        <is>
          <t>Africa</t>
        </is>
      </c>
      <c r="E4391" t="inlineStr">
        <is>
          <t>suicide_mental_strain_raw</t>
        </is>
      </c>
      <c r="F4391" t="inlineStr">
        <is>
          <t>Suicide or mental strain raw</t>
        </is>
      </c>
      <c r="G4391" t="inlineStr">
        <is>
          <t>pressure</t>
        </is>
      </c>
      <c r="H4391" t="inlineStr">
        <is>
          <t>yes</t>
        </is>
      </c>
      <c r="I4391" t="inlineStr"/>
      <c r="J4391" t="inlineStr"/>
      <c r="K4391" t="inlineStr"/>
      <c r="L4391" t="inlineStr"/>
      <c r="M4391" t="inlineStr"/>
      <c r="N4391" t="inlineStr"/>
    </row>
    <row r="4392">
      <c r="A4392" t="inlineStr">
        <is>
          <t>ug-kampala</t>
        </is>
      </c>
      <c r="B4392" t="inlineStr">
        <is>
          <t>Kampala</t>
        </is>
      </c>
      <c r="C4392" t="inlineStr">
        <is>
          <t>Uganda</t>
        </is>
      </c>
      <c r="D4392" t="inlineStr">
        <is>
          <t>Africa</t>
        </is>
      </c>
      <c r="E4392" t="inlineStr">
        <is>
          <t>personal_safety_raw</t>
        </is>
      </c>
      <c r="F4392" t="inlineStr">
        <is>
          <t>Personal safety raw</t>
        </is>
      </c>
      <c r="G4392" t="inlineStr">
        <is>
          <t>viability</t>
        </is>
      </c>
      <c r="H4392" t="inlineStr">
        <is>
          <t>yes</t>
        </is>
      </c>
      <c r="I4392" t="inlineStr"/>
      <c r="J4392" t="inlineStr"/>
      <c r="K4392" t="inlineStr"/>
      <c r="L4392" t="inlineStr"/>
      <c r="M4392" t="inlineStr"/>
      <c r="N4392" t="inlineStr"/>
    </row>
    <row r="4393">
      <c r="A4393" t="inlineStr">
        <is>
          <t>ug-kampala</t>
        </is>
      </c>
      <c r="B4393" t="inlineStr">
        <is>
          <t>Kampala</t>
        </is>
      </c>
      <c r="C4393" t="inlineStr">
        <is>
          <t>Uganda</t>
        </is>
      </c>
      <c r="D4393" t="inlineStr">
        <is>
          <t>Africa</t>
        </is>
      </c>
      <c r="E4393" t="inlineStr">
        <is>
          <t>transit_access_commute_raw</t>
        </is>
      </c>
      <c r="F4393" t="inlineStr">
        <is>
          <t>Transit access and commute raw</t>
        </is>
      </c>
      <c r="G4393" t="inlineStr">
        <is>
          <t>viability</t>
        </is>
      </c>
      <c r="H4393" t="inlineStr">
        <is>
          <t>yes</t>
        </is>
      </c>
      <c r="I4393" t="inlineStr"/>
      <c r="J4393" t="inlineStr"/>
      <c r="K4393" t="inlineStr"/>
      <c r="L4393" t="inlineStr"/>
      <c r="M4393" t="inlineStr"/>
      <c r="N4393" t="inlineStr"/>
    </row>
    <row r="4394">
      <c r="A4394" t="inlineStr">
        <is>
          <t>ug-kampala</t>
        </is>
      </c>
      <c r="B4394" t="inlineStr">
        <is>
          <t>Kampala</t>
        </is>
      </c>
      <c r="C4394" t="inlineStr">
        <is>
          <t>Uganda</t>
        </is>
      </c>
      <c r="D4394" t="inlineStr">
        <is>
          <t>Africa</t>
        </is>
      </c>
      <c r="E4394" t="inlineStr">
        <is>
          <t>clean_air_raw</t>
        </is>
      </c>
      <c r="F4394" t="inlineStr">
        <is>
          <t>Clean air raw</t>
        </is>
      </c>
      <c r="G4394" t="inlineStr">
        <is>
          <t>viability</t>
        </is>
      </c>
      <c r="H4394" t="inlineStr">
        <is>
          <t>yes</t>
        </is>
      </c>
      <c r="I4394" t="inlineStr"/>
      <c r="J4394" t="inlineStr"/>
      <c r="K4394" t="inlineStr"/>
      <c r="L4394" t="inlineStr"/>
      <c r="M4394" t="inlineStr"/>
      <c r="N4394" t="inlineStr"/>
    </row>
    <row r="4395">
      <c r="A4395" t="inlineStr">
        <is>
          <t>ug-kampala</t>
        </is>
      </c>
      <c r="B4395" t="inlineStr">
        <is>
          <t>Kampala</t>
        </is>
      </c>
      <c r="C4395" t="inlineStr">
        <is>
          <t>Uganda</t>
        </is>
      </c>
      <c r="D4395" t="inlineStr">
        <is>
          <t>Africa</t>
        </is>
      </c>
      <c r="E4395" t="inlineStr">
        <is>
          <t>water_sanitation_utility_raw</t>
        </is>
      </c>
      <c r="F4395" t="inlineStr">
        <is>
          <t>Water, sanitation, and utility raw</t>
        </is>
      </c>
      <c r="G4395" t="inlineStr">
        <is>
          <t>viability</t>
        </is>
      </c>
      <c r="H4395" t="inlineStr">
        <is>
          <t>yes</t>
        </is>
      </c>
      <c r="I4395" t="inlineStr"/>
      <c r="J4395" t="inlineStr"/>
      <c r="K4395" t="inlineStr"/>
      <c r="L4395" t="inlineStr"/>
      <c r="M4395" t="inlineStr"/>
      <c r="N4395" t="inlineStr"/>
    </row>
    <row r="4396">
      <c r="A4396" t="inlineStr">
        <is>
          <t>ug-kampala</t>
        </is>
      </c>
      <c r="B4396" t="inlineStr">
        <is>
          <t>Kampala</t>
        </is>
      </c>
      <c r="C4396" t="inlineStr">
        <is>
          <t>Uganda</t>
        </is>
      </c>
      <c r="D4396" t="inlineStr">
        <is>
          <t>Africa</t>
        </is>
      </c>
      <c r="E4396" t="inlineStr">
        <is>
          <t>digital_infrastructure_raw</t>
        </is>
      </c>
      <c r="F4396" t="inlineStr">
        <is>
          <t>Digital infrastructure raw</t>
        </is>
      </c>
      <c r="G4396" t="inlineStr">
        <is>
          <t>viability</t>
        </is>
      </c>
      <c r="H4396" t="inlineStr">
        <is>
          <t>yes</t>
        </is>
      </c>
      <c r="I4396" t="inlineStr"/>
      <c r="J4396" t="inlineStr"/>
      <c r="K4396" t="inlineStr"/>
      <c r="L4396" t="inlineStr"/>
      <c r="M4396" t="inlineStr"/>
      <c r="N4396" t="inlineStr"/>
    </row>
    <row r="4397">
      <c r="A4397" t="inlineStr">
        <is>
          <t>ug-kampala</t>
        </is>
      </c>
      <c r="B4397" t="inlineStr">
        <is>
          <t>Kampala</t>
        </is>
      </c>
      <c r="C4397" t="inlineStr">
        <is>
          <t>Uganda</t>
        </is>
      </c>
      <c r="D4397" t="inlineStr">
        <is>
          <t>Africa</t>
        </is>
      </c>
      <c r="E4397" t="inlineStr">
        <is>
          <t>climate_sunlight_livability_raw</t>
        </is>
      </c>
      <c r="F4397" t="inlineStr">
        <is>
          <t>Climate and sunlight livability raw</t>
        </is>
      </c>
      <c r="G4397" t="inlineStr">
        <is>
          <t>viability</t>
        </is>
      </c>
      <c r="H4397" t="inlineStr">
        <is>
          <t>yes</t>
        </is>
      </c>
      <c r="I4397" t="inlineStr"/>
      <c r="J4397" t="inlineStr"/>
      <c r="K4397" t="inlineStr"/>
      <c r="L4397" t="inlineStr"/>
      <c r="M4397" t="inlineStr"/>
      <c r="N4397" t="inlineStr"/>
    </row>
    <row r="4398">
      <c r="A4398" t="inlineStr">
        <is>
          <t>ug-kampala</t>
        </is>
      </c>
      <c r="B4398" t="inlineStr">
        <is>
          <t>Kampala</t>
        </is>
      </c>
      <c r="C4398" t="inlineStr">
        <is>
          <t>Uganda</t>
        </is>
      </c>
      <c r="D4398" t="inlineStr">
        <is>
          <t>Africa</t>
        </is>
      </c>
      <c r="E4398" t="inlineStr">
        <is>
          <t>healthcare_quality_raw</t>
        </is>
      </c>
      <c r="F4398" t="inlineStr">
        <is>
          <t>Healthcare quality raw</t>
        </is>
      </c>
      <c r="G4398" t="inlineStr">
        <is>
          <t>capability</t>
        </is>
      </c>
      <c r="H4398" t="inlineStr">
        <is>
          <t>yes</t>
        </is>
      </c>
      <c r="I4398" t="inlineStr"/>
      <c r="J4398" t="inlineStr"/>
      <c r="K4398" t="inlineStr"/>
      <c r="L4398" t="inlineStr"/>
      <c r="M4398" t="inlineStr"/>
      <c r="N4398" t="inlineStr"/>
    </row>
    <row r="4399">
      <c r="A4399" t="inlineStr">
        <is>
          <t>ug-kampala</t>
        </is>
      </c>
      <c r="B4399" t="inlineStr">
        <is>
          <t>Kampala</t>
        </is>
      </c>
      <c r="C4399" t="inlineStr">
        <is>
          <t>Uganda</t>
        </is>
      </c>
      <c r="D4399" t="inlineStr">
        <is>
          <t>Africa</t>
        </is>
      </c>
      <c r="E4399" t="inlineStr">
        <is>
          <t>education_quality_raw</t>
        </is>
      </c>
      <c r="F4399" t="inlineStr">
        <is>
          <t>Education quality raw</t>
        </is>
      </c>
      <c r="G4399" t="inlineStr">
        <is>
          <t>capability</t>
        </is>
      </c>
      <c r="H4399" t="inlineStr">
        <is>
          <t>yes</t>
        </is>
      </c>
      <c r="I4399" t="inlineStr"/>
      <c r="J4399" t="inlineStr"/>
      <c r="K4399" t="inlineStr"/>
      <c r="L4399" t="inlineStr"/>
      <c r="M4399" t="inlineStr"/>
      <c r="N4399" t="inlineStr"/>
    </row>
    <row r="4400">
      <c r="A4400" t="inlineStr">
        <is>
          <t>ug-kampala</t>
        </is>
      </c>
      <c r="B4400" t="inlineStr">
        <is>
          <t>Kampala</t>
        </is>
      </c>
      <c r="C4400" t="inlineStr">
        <is>
          <t>Uganda</t>
        </is>
      </c>
      <c r="D4400" t="inlineStr">
        <is>
          <t>Africa</t>
        </is>
      </c>
      <c r="E4400" t="inlineStr">
        <is>
          <t>equal_opportunity_raw</t>
        </is>
      </c>
      <c r="F4400" t="inlineStr">
        <is>
          <t>Equal opportunity raw</t>
        </is>
      </c>
      <c r="G4400" t="inlineStr">
        <is>
          <t>capability</t>
        </is>
      </c>
      <c r="H4400" t="inlineStr">
        <is>
          <t>yes</t>
        </is>
      </c>
      <c r="I4400" t="inlineStr">
        <is>
          <t>42.7</t>
        </is>
      </c>
      <c r="J4400" t="inlineStr">
        <is>
          <t>world_bank</t>
        </is>
      </c>
      <c r="K4400" t="inlineStr">
        <is>
          <t>https://api.worldbank.org/v2/country/UGA/indicator/SI.POV.GINI?format=json&amp;mrv=10</t>
        </is>
      </c>
      <c r="L4400" t="inlineStr">
        <is>
          <t>World Bank WDI: Gini index</t>
        </is>
      </c>
      <c r="M4400" t="inlineStr">
        <is>
          <t>2019-12-31</t>
        </is>
      </c>
      <c r="N4400" t="inlineStr">
        <is>
          <t>auto_ingest=world_bank_capability; indicator=SI.POV.GINI; year=2019; country_proxy=Uganda</t>
        </is>
      </c>
    </row>
    <row r="4401">
      <c r="A4401" t="inlineStr">
        <is>
          <t>ug-kampala</t>
        </is>
      </c>
      <c r="B4401" t="inlineStr">
        <is>
          <t>Kampala</t>
        </is>
      </c>
      <c r="C4401" t="inlineStr">
        <is>
          <t>Uganda</t>
        </is>
      </c>
      <c r="D4401" t="inlineStr">
        <is>
          <t>Africa</t>
        </is>
      </c>
      <c r="E4401" t="inlineStr">
        <is>
          <t>hospitality_belonging_raw</t>
        </is>
      </c>
      <c r="F4401" t="inlineStr">
        <is>
          <t>Hospitality and belonging raw</t>
        </is>
      </c>
      <c r="G4401" t="inlineStr">
        <is>
          <t>community</t>
        </is>
      </c>
      <c r="H4401" t="inlineStr">
        <is>
          <t>yes</t>
        </is>
      </c>
      <c r="I4401" t="inlineStr"/>
      <c r="J4401" t="inlineStr"/>
      <c r="K4401" t="inlineStr"/>
      <c r="L4401" t="inlineStr"/>
      <c r="M4401" t="inlineStr"/>
      <c r="N4401" t="inlineStr"/>
    </row>
    <row r="4402">
      <c r="A4402" t="inlineStr">
        <is>
          <t>ug-kampala</t>
        </is>
      </c>
      <c r="B4402" t="inlineStr">
        <is>
          <t>Kampala</t>
        </is>
      </c>
      <c r="C4402" t="inlineStr">
        <is>
          <t>Uganda</t>
        </is>
      </c>
      <c r="D4402" t="inlineStr">
        <is>
          <t>Africa</t>
        </is>
      </c>
      <c r="E4402" t="inlineStr">
        <is>
          <t>tolerance_pluralism_raw</t>
        </is>
      </c>
      <c r="F4402" t="inlineStr">
        <is>
          <t>Tolerance and pluralism raw</t>
        </is>
      </c>
      <c r="G4402" t="inlineStr">
        <is>
          <t>community</t>
        </is>
      </c>
      <c r="H4402" t="inlineStr">
        <is>
          <t>yes</t>
        </is>
      </c>
      <c r="I4402" t="inlineStr"/>
      <c r="J4402" t="inlineStr"/>
      <c r="K4402" t="inlineStr"/>
      <c r="L4402" t="inlineStr"/>
      <c r="M4402" t="inlineStr"/>
      <c r="N4402" t="inlineStr"/>
    </row>
    <row r="4403">
      <c r="A4403" t="inlineStr">
        <is>
          <t>ug-kampala</t>
        </is>
      </c>
      <c r="B4403" t="inlineStr">
        <is>
          <t>Kampala</t>
        </is>
      </c>
      <c r="C4403" t="inlineStr">
        <is>
          <t>Uganda</t>
        </is>
      </c>
      <c r="D4403" t="inlineStr">
        <is>
          <t>Africa</t>
        </is>
      </c>
      <c r="E4403" t="inlineStr">
        <is>
          <t>cultural_public_life_raw</t>
        </is>
      </c>
      <c r="F4403" t="inlineStr">
        <is>
          <t>Cultural public life raw</t>
        </is>
      </c>
      <c r="G4403" t="inlineStr">
        <is>
          <t>community</t>
        </is>
      </c>
      <c r="H4403" t="inlineStr">
        <is>
          <t>yes</t>
        </is>
      </c>
      <c r="I4403" t="inlineStr"/>
      <c r="J4403" t="inlineStr"/>
      <c r="K4403" t="inlineStr"/>
      <c r="L4403" t="inlineStr"/>
      <c r="M4403" t="inlineStr"/>
      <c r="N4403" t="inlineStr"/>
    </row>
    <row r="4404">
      <c r="A4404" t="inlineStr">
        <is>
          <t>ug-kampala</t>
        </is>
      </c>
      <c r="B4404" t="inlineStr">
        <is>
          <t>Kampala</t>
        </is>
      </c>
      <c r="C4404" t="inlineStr">
        <is>
          <t>Uganda</t>
        </is>
      </c>
      <c r="D4404" t="inlineStr">
        <is>
          <t>Africa</t>
        </is>
      </c>
      <c r="E4404" t="inlineStr">
        <is>
          <t>birth_rate_optimism_raw</t>
        </is>
      </c>
      <c r="F4404" t="inlineStr">
        <is>
          <t>Birth rate and societal optimism raw</t>
        </is>
      </c>
      <c r="G4404" t="inlineStr">
        <is>
          <t>community</t>
        </is>
      </c>
      <c r="H4404" t="inlineStr">
        <is>
          <t>yes</t>
        </is>
      </c>
      <c r="I4404" t="inlineStr"/>
      <c r="J4404" t="inlineStr"/>
      <c r="K4404" t="inlineStr"/>
      <c r="L4404" t="inlineStr"/>
      <c r="M4404" t="inlineStr"/>
      <c r="N4404" t="inlineStr"/>
    </row>
    <row r="4405">
      <c r="A4405" t="inlineStr">
        <is>
          <t>ug-kampala</t>
        </is>
      </c>
      <c r="B4405" t="inlineStr">
        <is>
          <t>Kampala</t>
        </is>
      </c>
      <c r="C4405" t="inlineStr">
        <is>
          <t>Uganda</t>
        </is>
      </c>
      <c r="D4405" t="inlineStr">
        <is>
          <t>Africa</t>
        </is>
      </c>
      <c r="E4405" t="inlineStr">
        <is>
          <t>entrepreneurial_dynamism_raw</t>
        </is>
      </c>
      <c r="F4405" t="inlineStr">
        <is>
          <t>Entrepreneurial dynamism raw</t>
        </is>
      </c>
      <c r="G4405" t="inlineStr">
        <is>
          <t>creative</t>
        </is>
      </c>
      <c r="H4405" t="inlineStr">
        <is>
          <t>yes</t>
        </is>
      </c>
      <c r="I4405" t="inlineStr">
        <is>
          <t>0.88</t>
        </is>
      </c>
      <c r="J4405" t="inlineStr">
        <is>
          <t>world_bank</t>
        </is>
      </c>
      <c r="K4405" t="inlineStr">
        <is>
          <t>https://api.worldbank.org/v2/country/UGA/indicator/IC.BUS.NDNS.ZS?format=json&amp;mrv=10</t>
        </is>
      </c>
      <c r="L4405" t="inlineStr">
        <is>
          <t>World Bank WDI: New business density (new registrations per 1,000 people ages 15-64)</t>
        </is>
      </c>
      <c r="M4405" t="inlineStr">
        <is>
          <t>2018-12-31</t>
        </is>
      </c>
      <c r="N4405" t="inlineStr">
        <is>
          <t>auto_ingest=world_bank_creative_extended; indicator=IC.BUS.NDNS.ZS; year=2018; country_proxy=Uganda</t>
        </is>
      </c>
    </row>
    <row r="4406">
      <c r="A4406" t="inlineStr">
        <is>
          <t>ug-kampala</t>
        </is>
      </c>
      <c r="B4406" t="inlineStr">
        <is>
          <t>Kampala</t>
        </is>
      </c>
      <c r="C4406" t="inlineStr">
        <is>
          <t>Uganda</t>
        </is>
      </c>
      <c r="D4406" t="inlineStr">
        <is>
          <t>Africa</t>
        </is>
      </c>
      <c r="E4406" t="inlineStr">
        <is>
          <t>innovation_research_intensity_raw</t>
        </is>
      </c>
      <c r="F4406" t="inlineStr">
        <is>
          <t>Innovation and research raw</t>
        </is>
      </c>
      <c r="G4406" t="inlineStr">
        <is>
          <t>creative</t>
        </is>
      </c>
      <c r="H4406" t="inlineStr">
        <is>
          <t>yes</t>
        </is>
      </c>
      <c r="I4406" t="inlineStr">
        <is>
          <t>0.31</t>
        </is>
      </c>
      <c r="J4406" t="inlineStr">
        <is>
          <t>world_bank</t>
        </is>
      </c>
      <c r="K4406" t="inlineStr">
        <is>
          <t>https://api.worldbank.org/v2/country/UGA/indicator/GB.XPD.RSDV.GD.ZS?format=json&amp;mrv=10</t>
        </is>
      </c>
      <c r="L4406" t="inlineStr">
        <is>
          <t>World Bank WDI: Research and development expenditure (% of GDP)</t>
        </is>
      </c>
      <c r="M4406" t="inlineStr">
        <is>
          <t>2023-12-31</t>
        </is>
      </c>
      <c r="N4406" t="inlineStr">
        <is>
          <t>auto_ingest=world_bank_creative_extended; indicator=GB.XPD.RSDV.GD.ZS; year=2023; country_proxy=Uganda</t>
        </is>
      </c>
    </row>
    <row r="4407">
      <c r="A4407" t="inlineStr">
        <is>
          <t>ug-kampala</t>
        </is>
      </c>
      <c r="B4407" t="inlineStr">
        <is>
          <t>Kampala</t>
        </is>
      </c>
      <c r="C4407" t="inlineStr">
        <is>
          <t>Uganda</t>
        </is>
      </c>
      <c r="D4407" t="inlineStr">
        <is>
          <t>Africa</t>
        </is>
      </c>
      <c r="E4407" t="inlineStr">
        <is>
          <t>investment_signal_raw</t>
        </is>
      </c>
      <c r="F4407" t="inlineStr">
        <is>
          <t>Investment signal raw</t>
        </is>
      </c>
      <c r="G4407" t="inlineStr">
        <is>
          <t>creative</t>
        </is>
      </c>
      <c r="H4407" t="inlineStr">
        <is>
          <t>yes</t>
        </is>
      </c>
      <c r="I4407" t="inlineStr">
        <is>
          <t>6.04</t>
        </is>
      </c>
      <c r="J4407" t="inlineStr">
        <is>
          <t>world_bank</t>
        </is>
      </c>
      <c r="K4407" t="inlineStr">
        <is>
          <t>https://api.worldbank.org/v2/country/UGA/indicator/BX.KLT.DINV.WD.GD.ZS?format=json&amp;mrv=10</t>
        </is>
      </c>
      <c r="L4407" t="inlineStr">
        <is>
          <t>World Bank WDI: Foreign direct investment, net inflows (% of GDP)</t>
        </is>
      </c>
      <c r="M4407" t="inlineStr">
        <is>
          <t>2024-12-31</t>
        </is>
      </c>
      <c r="N4407" t="inlineStr">
        <is>
          <t>auto_ingest=world_bank_creative_extended; indicator=BX.KLT.DINV.WD.GD.ZS; year=2024; country_proxy=Uganda</t>
        </is>
      </c>
    </row>
    <row r="4408">
      <c r="A4408" t="inlineStr">
        <is>
          <t>ug-kampala</t>
        </is>
      </c>
      <c r="B4408" t="inlineStr">
        <is>
          <t>Kampala</t>
        </is>
      </c>
      <c r="C4408" t="inlineStr">
        <is>
          <t>Uganda</t>
        </is>
      </c>
      <c r="D4408" t="inlineStr">
        <is>
          <t>Africa</t>
        </is>
      </c>
      <c r="E4408" t="inlineStr">
        <is>
          <t>administrative_investment_friction_raw</t>
        </is>
      </c>
      <c r="F4408" t="inlineStr">
        <is>
          <t>Administrative investment friction raw</t>
        </is>
      </c>
      <c r="G4408" t="inlineStr">
        <is>
          <t>creative</t>
        </is>
      </c>
      <c r="H4408" t="inlineStr">
        <is>
          <t>yes</t>
        </is>
      </c>
      <c r="I4408" t="inlineStr">
        <is>
          <t>3.02</t>
        </is>
      </c>
      <c r="J4408" t="inlineStr">
        <is>
          <t>world_bank</t>
        </is>
      </c>
      <c r="K4408" t="inlineStr">
        <is>
          <t>https://api.worldbank.org/v2/country/UGA/indicator/RQ.EST?format=json&amp;mrv=10</t>
        </is>
      </c>
      <c r="L4408" t="inlineStr">
        <is>
          <t>World Bank WGI: Regulatory Quality (inverted as friction proxy)</t>
        </is>
      </c>
      <c r="M4408" t="inlineStr">
        <is>
          <t>2023-12-31</t>
        </is>
      </c>
      <c r="N4408" t="inlineStr">
        <is>
          <t>auto_ingest=world_bank_business_friction; indicator=RQ.EST; raw_rq=-0.517365336418152; friction=3.02; year=2023; country_proxy=Uganda</t>
        </is>
      </c>
    </row>
    <row r="4409">
      <c r="A4409" t="inlineStr">
        <is>
          <t>ug-kampala</t>
        </is>
      </c>
      <c r="B4409" t="inlineStr">
        <is>
          <t>Kampala</t>
        </is>
      </c>
      <c r="C4409" t="inlineStr">
        <is>
          <t>Uganda</t>
        </is>
      </c>
      <c r="D4409" t="inlineStr">
        <is>
          <t>Africa</t>
        </is>
      </c>
      <c r="E4409" t="inlineStr">
        <is>
          <t>visitor_flow_context_raw</t>
        </is>
      </c>
      <c r="F4409" t="inlineStr">
        <is>
          <t>Visitor flow context raw</t>
        </is>
      </c>
      <c r="G4409" t="inlineStr">
        <is>
          <t>creative</t>
        </is>
      </c>
      <c r="H4409" t="inlineStr">
        <is>
          <t>no</t>
        </is>
      </c>
      <c r="I4409" t="inlineStr"/>
      <c r="J4409" t="inlineStr"/>
      <c r="K4409" t="inlineStr"/>
      <c r="L4409" t="inlineStr"/>
      <c r="M4409" t="inlineStr"/>
      <c r="N4409" t="inlineStr"/>
    </row>
    <row r="4410">
      <c r="A4410" t="inlineStr">
        <is>
          <t>gh-kumasi</t>
        </is>
      </c>
      <c r="B4410" t="inlineStr">
        <is>
          <t>Kumasi</t>
        </is>
      </c>
      <c r="C4410" t="inlineStr">
        <is>
          <t>Ghana</t>
        </is>
      </c>
      <c r="D4410" t="inlineStr">
        <is>
          <t>Africa</t>
        </is>
      </c>
      <c r="E4410" t="inlineStr">
        <is>
          <t>gross_income</t>
        </is>
      </c>
      <c r="F4410" t="inlineStr">
        <is>
          <t>Gross income</t>
        </is>
      </c>
      <c r="G4410" t="inlineStr">
        <is>
          <t>pressure</t>
        </is>
      </c>
      <c r="H4410" t="inlineStr">
        <is>
          <t>yes</t>
        </is>
      </c>
      <c r="I4410" t="inlineStr">
        <is>
          <t>643.33</t>
        </is>
      </c>
      <c r="J4410" t="inlineStr">
        <is>
          <t>world_bank_col_estimate</t>
        </is>
      </c>
      <c r="K4410" t="inlineStr">
        <is>
          <t>https://api.worldbank.org/v2/country/GHA/indicator/NY.GNP.PCAP.PP.CD?format=json&amp;mrv=10</t>
        </is>
      </c>
      <c r="L4410" t="inlineStr">
        <is>
          <t>World Bank WDI: GNI per capita PPP (monthly USD)</t>
        </is>
      </c>
      <c r="M4410" t="inlineStr">
        <is>
          <t>2024-12-31</t>
        </is>
      </c>
      <c r="N4410" t="inlineStr">
        <is>
          <t>auto_ingest=world_bank_col_estimate; gni_annual=7720.0; year=2024; country_proxy=Ghana; cohort=Africa</t>
        </is>
      </c>
    </row>
    <row r="4411">
      <c r="A4411" t="inlineStr">
        <is>
          <t>gh-kumasi</t>
        </is>
      </c>
      <c r="B4411" t="inlineStr">
        <is>
          <t>Kumasi</t>
        </is>
      </c>
      <c r="C4411" t="inlineStr">
        <is>
          <t>Ghana</t>
        </is>
      </c>
      <c r="D4411" t="inlineStr">
        <is>
          <t>Africa</t>
        </is>
      </c>
      <c r="E4411" t="inlineStr">
        <is>
          <t>di_ppp_raw</t>
        </is>
      </c>
      <c r="F4411" t="inlineStr">
        <is>
          <t>Disposable income PPP (Raw)</t>
        </is>
      </c>
      <c r="G4411" t="inlineStr">
        <is>
          <t>pressure</t>
        </is>
      </c>
      <c r="H4411" t="inlineStr">
        <is>
          <t>yes</t>
        </is>
      </c>
      <c r="I4411" t="inlineStr"/>
      <c r="J4411" t="inlineStr"/>
      <c r="K4411" t="inlineStr"/>
      <c r="L4411" t="inlineStr"/>
      <c r="M4411" t="inlineStr"/>
      <c r="N4411" t="inlineStr"/>
    </row>
    <row r="4412">
      <c r="A4412" t="inlineStr">
        <is>
          <t>gh-kumasi</t>
        </is>
      </c>
      <c r="B4412" t="inlineStr">
        <is>
          <t>Kumasi</t>
        </is>
      </c>
      <c r="C4412" t="inlineStr">
        <is>
          <t>Ghana</t>
        </is>
      </c>
      <c r="D4412" t="inlineStr">
        <is>
          <t>Africa</t>
        </is>
      </c>
      <c r="E4412" t="inlineStr">
        <is>
          <t>rent</t>
        </is>
      </c>
      <c r="F4412" t="inlineStr">
        <is>
          <t>Rent</t>
        </is>
      </c>
      <c r="G4412" t="inlineStr">
        <is>
          <t>pressure</t>
        </is>
      </c>
      <c r="H4412" t="inlineStr">
        <is>
          <t>yes</t>
        </is>
      </c>
      <c r="I4412" t="inlineStr">
        <is>
          <t>102.93</t>
        </is>
      </c>
      <c r="J4412" t="inlineStr">
        <is>
          <t>world_bank_col_estimate</t>
        </is>
      </c>
      <c r="K4412" t="inlineStr">
        <is>
          <t>https://api.worldbank.org/v2/country/GHA/indicator/NY.GNP.PCAP.PP.CD?format=json&amp;mrv=10</t>
        </is>
      </c>
      <c r="L4412" t="inlineStr">
        <is>
          <t>World Bank GNI + regional expenditure ratio estimate</t>
        </is>
      </c>
      <c r="M4412" t="inlineStr">
        <is>
          <t>2024-12-31</t>
        </is>
      </c>
      <c r="N4412" t="inlineStr">
        <is>
          <t>auto_ingest=world_bank_col_estimate; gni_annual=7720.0; year=2024; country_proxy=Ghana; cohort=Africa; city_cost_mult=0.8</t>
        </is>
      </c>
    </row>
    <row r="4413">
      <c r="A4413" t="inlineStr">
        <is>
          <t>gh-kumasi</t>
        </is>
      </c>
      <c r="B4413" t="inlineStr">
        <is>
          <t>Kumasi</t>
        </is>
      </c>
      <c r="C4413" t="inlineStr">
        <is>
          <t>Ghana</t>
        </is>
      </c>
      <c r="D4413" t="inlineStr">
        <is>
          <t>Africa</t>
        </is>
      </c>
      <c r="E4413" t="inlineStr">
        <is>
          <t>utilities</t>
        </is>
      </c>
      <c r="F4413" t="inlineStr">
        <is>
          <t>Utilities</t>
        </is>
      </c>
      <c r="G4413" t="inlineStr">
        <is>
          <t>pressure</t>
        </is>
      </c>
      <c r="H4413" t="inlineStr">
        <is>
          <t>yes</t>
        </is>
      </c>
      <c r="I4413" t="inlineStr">
        <is>
          <t>30.88</t>
        </is>
      </c>
      <c r="J4413" t="inlineStr">
        <is>
          <t>world_bank_col_estimate</t>
        </is>
      </c>
      <c r="K4413" t="inlineStr">
        <is>
          <t>https://api.worldbank.org/v2/country/GHA/indicator/NY.GNP.PCAP.PP.CD?format=json&amp;mrv=10</t>
        </is>
      </c>
      <c r="L4413" t="inlineStr">
        <is>
          <t>World Bank GNI + regional expenditure ratio estimate</t>
        </is>
      </c>
      <c r="M4413" t="inlineStr">
        <is>
          <t>2024-12-31</t>
        </is>
      </c>
      <c r="N4413" t="inlineStr">
        <is>
          <t>auto_ingest=world_bank_col_estimate; gni_annual=7720.0; year=2024; country_proxy=Ghana; cohort=Africa; city_cost_mult=0.8</t>
        </is>
      </c>
    </row>
    <row r="4414">
      <c r="A4414" t="inlineStr">
        <is>
          <t>gh-kumasi</t>
        </is>
      </c>
      <c r="B4414" t="inlineStr">
        <is>
          <t>Kumasi</t>
        </is>
      </c>
      <c r="C4414" t="inlineStr">
        <is>
          <t>Ghana</t>
        </is>
      </c>
      <c r="D4414" t="inlineStr">
        <is>
          <t>Africa</t>
        </is>
      </c>
      <c r="E4414" t="inlineStr">
        <is>
          <t>transit_cost</t>
        </is>
      </c>
      <c r="F4414" t="inlineStr">
        <is>
          <t>Transit cost</t>
        </is>
      </c>
      <c r="G4414" t="inlineStr">
        <is>
          <t>pressure</t>
        </is>
      </c>
      <c r="H4414" t="inlineStr">
        <is>
          <t>yes</t>
        </is>
      </c>
      <c r="I4414" t="inlineStr">
        <is>
          <t>20.59</t>
        </is>
      </c>
      <c r="J4414" t="inlineStr">
        <is>
          <t>world_bank_col_estimate</t>
        </is>
      </c>
      <c r="K4414" t="inlineStr">
        <is>
          <t>https://api.worldbank.org/v2/country/GHA/indicator/NY.GNP.PCAP.PP.CD?format=json&amp;mrv=10</t>
        </is>
      </c>
      <c r="L4414" t="inlineStr">
        <is>
          <t>World Bank GNI + regional expenditure ratio estimate</t>
        </is>
      </c>
      <c r="M4414" t="inlineStr">
        <is>
          <t>2024-12-31</t>
        </is>
      </c>
      <c r="N4414" t="inlineStr">
        <is>
          <t>auto_ingest=world_bank_col_estimate; gni_annual=7720.0; year=2024; country_proxy=Ghana; cohort=Africa; city_cost_mult=0.8</t>
        </is>
      </c>
    </row>
    <row r="4415">
      <c r="A4415" t="inlineStr">
        <is>
          <t>gh-kumasi</t>
        </is>
      </c>
      <c r="B4415" t="inlineStr">
        <is>
          <t>Kumasi</t>
        </is>
      </c>
      <c r="C4415" t="inlineStr">
        <is>
          <t>Ghana</t>
        </is>
      </c>
      <c r="D4415" t="inlineStr">
        <is>
          <t>Africa</t>
        </is>
      </c>
      <c r="E4415" t="inlineStr">
        <is>
          <t>internet_cost</t>
        </is>
      </c>
      <c r="F4415" t="inlineStr">
        <is>
          <t>Internet cost</t>
        </is>
      </c>
      <c r="G4415" t="inlineStr">
        <is>
          <t>pressure</t>
        </is>
      </c>
      <c r="H4415" t="inlineStr">
        <is>
          <t>yes</t>
        </is>
      </c>
      <c r="I4415" t="inlineStr">
        <is>
          <t>7.72</t>
        </is>
      </c>
      <c r="J4415" t="inlineStr">
        <is>
          <t>world_bank_col_estimate</t>
        </is>
      </c>
      <c r="K4415" t="inlineStr">
        <is>
          <t>https://api.worldbank.org/v2/country/GHA/indicator/NY.GNP.PCAP.PP.CD?format=json&amp;mrv=10</t>
        </is>
      </c>
      <c r="L4415" t="inlineStr">
        <is>
          <t>World Bank GNI + regional expenditure ratio estimate</t>
        </is>
      </c>
      <c r="M4415" t="inlineStr">
        <is>
          <t>2024-12-31</t>
        </is>
      </c>
      <c r="N4415" t="inlineStr">
        <is>
          <t>auto_ingest=world_bank_col_estimate; gni_annual=7720.0; year=2024; country_proxy=Ghana; cohort=Africa; city_cost_mult=0.8</t>
        </is>
      </c>
    </row>
    <row r="4416">
      <c r="A4416" t="inlineStr">
        <is>
          <t>gh-kumasi</t>
        </is>
      </c>
      <c r="B4416" t="inlineStr">
        <is>
          <t>Kumasi</t>
        </is>
      </c>
      <c r="C4416" t="inlineStr">
        <is>
          <t>Ghana</t>
        </is>
      </c>
      <c r="D4416" t="inlineStr">
        <is>
          <t>Africa</t>
        </is>
      </c>
      <c r="E4416" t="inlineStr">
        <is>
          <t>food_cost</t>
        </is>
      </c>
      <c r="F4416" t="inlineStr">
        <is>
          <t>Food cost</t>
        </is>
      </c>
      <c r="G4416" t="inlineStr">
        <is>
          <t>pressure</t>
        </is>
      </c>
      <c r="H4416" t="inlineStr">
        <is>
          <t>yes</t>
        </is>
      </c>
      <c r="I4416" t="inlineStr">
        <is>
          <t>128.67</t>
        </is>
      </c>
      <c r="J4416" t="inlineStr">
        <is>
          <t>world_bank_col_estimate</t>
        </is>
      </c>
      <c r="K4416" t="inlineStr">
        <is>
          <t>https://api.worldbank.org/v2/country/GHA/indicator/NY.GNP.PCAP.PP.CD?format=json&amp;mrv=10</t>
        </is>
      </c>
      <c r="L4416" t="inlineStr">
        <is>
          <t>World Bank GNI + regional expenditure ratio estimate</t>
        </is>
      </c>
      <c r="M4416" t="inlineStr">
        <is>
          <t>2024-12-31</t>
        </is>
      </c>
      <c r="N4416" t="inlineStr">
        <is>
          <t>auto_ingest=world_bank_col_estimate; gni_annual=7720.0; year=2024; country_proxy=Ghana; cohort=Africa; city_cost_mult=0.8</t>
        </is>
      </c>
    </row>
    <row r="4417">
      <c r="A4417" t="inlineStr">
        <is>
          <t>gh-kumasi</t>
        </is>
      </c>
      <c r="B4417" t="inlineStr">
        <is>
          <t>Kumasi</t>
        </is>
      </c>
      <c r="C4417" t="inlineStr">
        <is>
          <t>Ghana</t>
        </is>
      </c>
      <c r="D4417" t="inlineStr">
        <is>
          <t>Africa</t>
        </is>
      </c>
      <c r="E4417" t="inlineStr">
        <is>
          <t>housing_burden_raw</t>
        </is>
      </c>
      <c r="F4417" t="inlineStr">
        <is>
          <t>Housing burden raw</t>
        </is>
      </c>
      <c r="G4417" t="inlineStr">
        <is>
          <t>pressure</t>
        </is>
      </c>
      <c r="H4417" t="inlineStr">
        <is>
          <t>yes</t>
        </is>
      </c>
      <c r="I4417" t="inlineStr">
        <is>
          <t>15.9996</t>
        </is>
      </c>
      <c r="J4417" t="inlineStr">
        <is>
          <t>derived</t>
        </is>
      </c>
      <c r="K4417" t="inlineStr">
        <is>
          <t>https://data.worldbank.org/indicator/NY.GNP.PCAP.PP.CD</t>
        </is>
      </c>
      <c r="L4417" t="inlineStr">
        <is>
          <t>Computed from city_inputs + country_context</t>
        </is>
      </c>
      <c r="M4417" t="inlineStr">
        <is>
          <t>2024-01-01</t>
        </is>
      </c>
      <c r="N4417" t="inlineStr">
        <is>
          <t>derived=rent/gross_income*100</t>
        </is>
      </c>
    </row>
    <row r="4418">
      <c r="A4418" t="inlineStr">
        <is>
          <t>gh-kumasi</t>
        </is>
      </c>
      <c r="B4418" t="inlineStr">
        <is>
          <t>Kumasi</t>
        </is>
      </c>
      <c r="C4418" t="inlineStr">
        <is>
          <t>Ghana</t>
        </is>
      </c>
      <c r="D4418" t="inlineStr">
        <is>
          <t>Africa</t>
        </is>
      </c>
      <c r="E4418" t="inlineStr">
        <is>
          <t>household_debt_burden_raw</t>
        </is>
      </c>
      <c r="F4418" t="inlineStr">
        <is>
          <t>Household debt burden raw</t>
        </is>
      </c>
      <c r="G4418" t="inlineStr">
        <is>
          <t>pressure</t>
        </is>
      </c>
      <c r="H4418" t="inlineStr">
        <is>
          <t>yes</t>
        </is>
      </c>
      <c r="I4418" t="inlineStr">
        <is>
          <t>8.6512</t>
        </is>
      </c>
      <c r="J4418" t="inlineStr">
        <is>
          <t>derived</t>
        </is>
      </c>
      <c r="K4418" t="inlineStr">
        <is>
          <t>https://data.worldbank.org/indicator/NY.GNP.PCAP.PP.CD</t>
        </is>
      </c>
      <c r="L4418" t="inlineStr">
        <is>
          <t>Computed from city_inputs + country_context</t>
        </is>
      </c>
      <c r="M4418" t="inlineStr">
        <is>
          <t>2024-01-01</t>
        </is>
      </c>
      <c r="N4418" t="inlineStr">
        <is>
          <t>derived=country_context.household_debt_proxy; country=Ghana</t>
        </is>
      </c>
    </row>
    <row r="4419">
      <c r="A4419" t="inlineStr">
        <is>
          <t>gh-kumasi</t>
        </is>
      </c>
      <c r="B4419" t="inlineStr">
        <is>
          <t>Kumasi</t>
        </is>
      </c>
      <c r="C4419" t="inlineStr">
        <is>
          <t>Ghana</t>
        </is>
      </c>
      <c r="D4419" t="inlineStr">
        <is>
          <t>Africa</t>
        </is>
      </c>
      <c r="E4419" t="inlineStr">
        <is>
          <t>working_time_pressure_raw</t>
        </is>
      </c>
      <c r="F4419" t="inlineStr">
        <is>
          <t>Working time pressure raw</t>
        </is>
      </c>
      <c r="G4419" t="inlineStr">
        <is>
          <t>pressure</t>
        </is>
      </c>
      <c r="H4419" t="inlineStr">
        <is>
          <t>yes</t>
        </is>
      </c>
      <c r="I4419" t="inlineStr">
        <is>
          <t>35.53</t>
        </is>
      </c>
      <c r="J4419" t="inlineStr">
        <is>
          <t>ilo_ilostat</t>
        </is>
      </c>
      <c r="K4419" t="inlineStr">
        <is>
          <t>https://ilostat.ilo.org/data/indicator/?id=HOW_TEMP_SEX_ECO_NB_A&amp;ref_area=GHA</t>
        </is>
      </c>
      <c r="L4419" t="inlineStr">
        <is>
          <t>ILO ILOSTAT: Mean weekly hours actually worked per employed person</t>
        </is>
      </c>
      <c r="M4419" t="inlineStr">
        <is>
          <t>2024-12-31</t>
        </is>
      </c>
      <c r="N4419" t="inlineStr">
        <is>
          <t>auto_ingest=ilo_working_hours; indicator=HOW_TEMP_SEX_ECO_NB_A; year=2024; hours=35.53; country_proxy=Ghana</t>
        </is>
      </c>
    </row>
    <row r="4420">
      <c r="A4420" t="inlineStr">
        <is>
          <t>gh-kumasi</t>
        </is>
      </c>
      <c r="B4420" t="inlineStr">
        <is>
          <t>Kumasi</t>
        </is>
      </c>
      <c r="C4420" t="inlineStr">
        <is>
          <t>Ghana</t>
        </is>
      </c>
      <c r="D4420" t="inlineStr">
        <is>
          <t>Africa</t>
        </is>
      </c>
      <c r="E4420" t="inlineStr">
        <is>
          <t>suicide_mental_strain_raw</t>
        </is>
      </c>
      <c r="F4420" t="inlineStr">
        <is>
          <t>Suicide or mental strain raw</t>
        </is>
      </c>
      <c r="G4420" t="inlineStr">
        <is>
          <t>pressure</t>
        </is>
      </c>
      <c r="H4420" t="inlineStr">
        <is>
          <t>yes</t>
        </is>
      </c>
      <c r="I4420" t="inlineStr">
        <is>
          <t>5.32</t>
        </is>
      </c>
      <c r="J4420" t="inlineStr">
        <is>
          <t>who_gho</t>
        </is>
      </c>
      <c r="K4420" t="inlineStr">
        <is>
          <t>https://www.who.int/data/gho/data/indicators/indicator-details/GHO/SDGSUICIDE</t>
        </is>
      </c>
      <c r="L4420" t="inlineStr">
        <is>
          <t>WHO GHO: Age-standardized suicide rate (per 100,000 population)</t>
        </is>
      </c>
      <c r="M4420" t="inlineStr">
        <is>
          <t>2021-12-31</t>
        </is>
      </c>
      <c r="N4420" t="inlineStr">
        <is>
          <t>auto_ingest=who_gho; indicator=SDGSUICIDE; year=2021; country_proxy=Ghana</t>
        </is>
      </c>
    </row>
    <row r="4421">
      <c r="A4421" t="inlineStr">
        <is>
          <t>gh-kumasi</t>
        </is>
      </c>
      <c r="B4421" t="inlineStr">
        <is>
          <t>Kumasi</t>
        </is>
      </c>
      <c r="C4421" t="inlineStr">
        <is>
          <t>Ghana</t>
        </is>
      </c>
      <c r="D4421" t="inlineStr">
        <is>
          <t>Africa</t>
        </is>
      </c>
      <c r="E4421" t="inlineStr">
        <is>
          <t>personal_safety_raw</t>
        </is>
      </c>
      <c r="F4421" t="inlineStr">
        <is>
          <t>Personal safety raw</t>
        </is>
      </c>
      <c r="G4421" t="inlineStr">
        <is>
          <t>viability</t>
        </is>
      </c>
      <c r="H4421" t="inlineStr">
        <is>
          <t>yes</t>
        </is>
      </c>
      <c r="I4421" t="inlineStr">
        <is>
          <t>1.83</t>
        </is>
      </c>
      <c r="J4421" t="inlineStr">
        <is>
          <t>world_bank</t>
        </is>
      </c>
      <c r="K4421" t="inlineStr">
        <is>
          <t>https://api.worldbank.org/v2/country/GHA/indicator/VC.IHR.PSRC.P5?format=json&amp;mrv=10</t>
        </is>
      </c>
      <c r="L4421" t="inlineStr">
        <is>
          <t>UNODC via World Bank WDI: Intentional homicides (per 100,000 people)</t>
        </is>
      </c>
      <c r="M4421" t="inlineStr">
        <is>
          <t>2022-12-31</t>
        </is>
      </c>
      <c r="N4421" t="inlineStr">
        <is>
          <t>auto_ingest=unodc_safety; indicator=VC.IHR.PSRC.P5; year=2022; country_proxy=Ghana</t>
        </is>
      </c>
    </row>
    <row r="4422">
      <c r="A4422" t="inlineStr">
        <is>
          <t>gh-kumasi</t>
        </is>
      </c>
      <c r="B4422" t="inlineStr">
        <is>
          <t>Kumasi</t>
        </is>
      </c>
      <c r="C4422" t="inlineStr">
        <is>
          <t>Ghana</t>
        </is>
      </c>
      <c r="D4422" t="inlineStr">
        <is>
          <t>Africa</t>
        </is>
      </c>
      <c r="E4422" t="inlineStr">
        <is>
          <t>transit_access_commute_raw</t>
        </is>
      </c>
      <c r="F4422" t="inlineStr">
        <is>
          <t>Transit access and commute raw</t>
        </is>
      </c>
      <c r="G4422" t="inlineStr">
        <is>
          <t>viability</t>
        </is>
      </c>
      <c r="H4422" t="inlineStr">
        <is>
          <t>yes</t>
        </is>
      </c>
      <c r="I4422" t="inlineStr"/>
      <c r="J4422" t="inlineStr"/>
      <c r="K4422" t="inlineStr"/>
      <c r="L4422" t="inlineStr"/>
      <c r="M4422" t="inlineStr"/>
      <c r="N4422" t="inlineStr"/>
    </row>
    <row r="4423">
      <c r="A4423" t="inlineStr">
        <is>
          <t>gh-kumasi</t>
        </is>
      </c>
      <c r="B4423" t="inlineStr">
        <is>
          <t>Kumasi</t>
        </is>
      </c>
      <c r="C4423" t="inlineStr">
        <is>
          <t>Ghana</t>
        </is>
      </c>
      <c r="D4423" t="inlineStr">
        <is>
          <t>Africa</t>
        </is>
      </c>
      <c r="E4423" t="inlineStr">
        <is>
          <t>clean_air_raw</t>
        </is>
      </c>
      <c r="F4423" t="inlineStr">
        <is>
          <t>Clean air raw</t>
        </is>
      </c>
      <c r="G4423" t="inlineStr">
        <is>
          <t>viability</t>
        </is>
      </c>
      <c r="H4423" t="inlineStr">
        <is>
          <t>yes</t>
        </is>
      </c>
      <c r="I4423" t="inlineStr"/>
      <c r="J4423" t="inlineStr"/>
      <c r="K4423" t="inlineStr"/>
      <c r="L4423" t="inlineStr"/>
      <c r="M4423" t="inlineStr"/>
      <c r="N4423" t="inlineStr"/>
    </row>
    <row r="4424">
      <c r="A4424" t="inlineStr">
        <is>
          <t>gh-kumasi</t>
        </is>
      </c>
      <c r="B4424" t="inlineStr">
        <is>
          <t>Kumasi</t>
        </is>
      </c>
      <c r="C4424" t="inlineStr">
        <is>
          <t>Ghana</t>
        </is>
      </c>
      <c r="D4424" t="inlineStr">
        <is>
          <t>Africa</t>
        </is>
      </c>
      <c r="E4424" t="inlineStr">
        <is>
          <t>water_sanitation_utility_raw</t>
        </is>
      </c>
      <c r="F4424" t="inlineStr">
        <is>
          <t>Water, sanitation, and utility raw</t>
        </is>
      </c>
      <c r="G4424" t="inlineStr">
        <is>
          <t>viability</t>
        </is>
      </c>
      <c r="H4424" t="inlineStr">
        <is>
          <t>yes</t>
        </is>
      </c>
      <c r="I4424" t="inlineStr">
        <is>
          <t>42.94</t>
        </is>
      </c>
      <c r="J4424" t="inlineStr">
        <is>
          <t>world_bank</t>
        </is>
      </c>
      <c r="K4424" t="inlineStr">
        <is>
          <t>https://api.worldbank.org/v2/country/GHA/indicator/SH.H2O.SMDW.ZS?format=json&amp;mrv=10</t>
        </is>
      </c>
      <c r="L4424" t="inlineStr">
        <is>
          <t>World Bank WDI: People using safely managed drinking water services (% of population)</t>
        </is>
      </c>
      <c r="M4424" t="inlineStr">
        <is>
          <t>2024-12-31</t>
        </is>
      </c>
      <c r="N4424" t="inlineStr">
        <is>
          <t>auto_ingest=world_bank_proxy; indicator=SH.H2O.SMDW.ZS; year=2024; country_proxy=Ghana</t>
        </is>
      </c>
    </row>
    <row r="4425">
      <c r="A4425" t="inlineStr">
        <is>
          <t>gh-kumasi</t>
        </is>
      </c>
      <c r="B4425" t="inlineStr">
        <is>
          <t>Kumasi</t>
        </is>
      </c>
      <c r="C4425" t="inlineStr">
        <is>
          <t>Ghana</t>
        </is>
      </c>
      <c r="D4425" t="inlineStr">
        <is>
          <t>Africa</t>
        </is>
      </c>
      <c r="E4425" t="inlineStr">
        <is>
          <t>digital_infrastructure_raw</t>
        </is>
      </c>
      <c r="F4425" t="inlineStr">
        <is>
          <t>Digital infrastructure raw</t>
        </is>
      </c>
      <c r="G4425" t="inlineStr">
        <is>
          <t>viability</t>
        </is>
      </c>
      <c r="H4425" t="inlineStr">
        <is>
          <t>yes</t>
        </is>
      </c>
      <c r="I4425" t="inlineStr">
        <is>
          <t>0.56</t>
        </is>
      </c>
      <c r="J4425" t="inlineStr">
        <is>
          <t>world_bank</t>
        </is>
      </c>
      <c r="K4425" t="inlineStr">
        <is>
          <t>https://api.worldbank.org/v2/country/GHA/indicator/IT.NET.BBND.P2?format=json&amp;mrv=10</t>
        </is>
      </c>
      <c r="L4425" t="inlineStr">
        <is>
          <t>World Bank WDI: Fixed broadband subscriptions (per 100 people)</t>
        </is>
      </c>
      <c r="M4425" t="inlineStr">
        <is>
          <t>2023-12-31</t>
        </is>
      </c>
      <c r="N4425" t="inlineStr">
        <is>
          <t>auto_ingest=world_bank_proxy; indicator=IT.NET.BBND.P2; year=2023; country_proxy=Ghana</t>
        </is>
      </c>
    </row>
    <row r="4426">
      <c r="A4426" t="inlineStr">
        <is>
          <t>gh-kumasi</t>
        </is>
      </c>
      <c r="B4426" t="inlineStr">
        <is>
          <t>Kumasi</t>
        </is>
      </c>
      <c r="C4426" t="inlineStr">
        <is>
          <t>Ghana</t>
        </is>
      </c>
      <c r="D4426" t="inlineStr">
        <is>
          <t>Africa</t>
        </is>
      </c>
      <c r="E4426" t="inlineStr">
        <is>
          <t>climate_sunlight_livability_raw</t>
        </is>
      </c>
      <c r="F4426" t="inlineStr">
        <is>
          <t>Climate and sunlight livability raw</t>
        </is>
      </c>
      <c r="G4426" t="inlineStr">
        <is>
          <t>viability</t>
        </is>
      </c>
      <c r="H4426" t="inlineStr">
        <is>
          <t>yes</t>
        </is>
      </c>
      <c r="I4426" t="inlineStr"/>
      <c r="J4426" t="inlineStr"/>
      <c r="K4426" t="inlineStr"/>
      <c r="L4426" t="inlineStr"/>
      <c r="M4426" t="inlineStr"/>
      <c r="N4426" t="inlineStr"/>
    </row>
    <row r="4427">
      <c r="A4427" t="inlineStr">
        <is>
          <t>gh-kumasi</t>
        </is>
      </c>
      <c r="B4427" t="inlineStr">
        <is>
          <t>Kumasi</t>
        </is>
      </c>
      <c r="C4427" t="inlineStr">
        <is>
          <t>Ghana</t>
        </is>
      </c>
      <c r="D4427" t="inlineStr">
        <is>
          <t>Africa</t>
        </is>
      </c>
      <c r="E4427" t="inlineStr">
        <is>
          <t>healthcare_quality_raw</t>
        </is>
      </c>
      <c r="F4427" t="inlineStr">
        <is>
          <t>Healthcare quality raw</t>
        </is>
      </c>
      <c r="G4427" t="inlineStr">
        <is>
          <t>capability</t>
        </is>
      </c>
      <c r="H4427" t="inlineStr">
        <is>
          <t>yes</t>
        </is>
      </c>
      <c r="I4427" t="inlineStr">
        <is>
          <t>56.0</t>
        </is>
      </c>
      <c r="J4427" t="inlineStr">
        <is>
          <t>who_gho</t>
        </is>
      </c>
      <c r="K4427" t="inlineStr">
        <is>
          <t>https://www.who.int/data/gho/data/indicators/indicator-details/GHO/UHC_INDEX_REPORTED</t>
        </is>
      </c>
      <c r="L4427" t="inlineStr">
        <is>
          <t>WHO GHO: UHC Service Coverage Index</t>
        </is>
      </c>
      <c r="M4427" t="inlineStr">
        <is>
          <t>2023-12-31</t>
        </is>
      </c>
      <c r="N4427" t="inlineStr">
        <is>
          <t>auto_ingest=who_gho; indicator=UHC_INDEX_REPORTED; year=2023; country_proxy=Ghana</t>
        </is>
      </c>
    </row>
    <row r="4428">
      <c r="A4428" t="inlineStr">
        <is>
          <t>gh-kumasi</t>
        </is>
      </c>
      <c r="B4428" t="inlineStr">
        <is>
          <t>Kumasi</t>
        </is>
      </c>
      <c r="C4428" t="inlineStr">
        <is>
          <t>Ghana</t>
        </is>
      </c>
      <c r="D4428" t="inlineStr">
        <is>
          <t>Africa</t>
        </is>
      </c>
      <c r="E4428" t="inlineStr">
        <is>
          <t>education_quality_raw</t>
        </is>
      </c>
      <c r="F4428" t="inlineStr">
        <is>
          <t>Education quality raw</t>
        </is>
      </c>
      <c r="G4428" t="inlineStr">
        <is>
          <t>capability</t>
        </is>
      </c>
      <c r="H4428" t="inlineStr">
        <is>
          <t>yes</t>
        </is>
      </c>
      <c r="I4428" t="inlineStr">
        <is>
          <t>22.1</t>
        </is>
      </c>
      <c r="J4428" t="inlineStr">
        <is>
          <t>world_bank</t>
        </is>
      </c>
      <c r="K4428" t="inlineStr">
        <is>
          <t>https://api.worldbank.org/v2/country/GHA/indicator/SE.TER.ENRR?format=json&amp;mrv=10</t>
        </is>
      </c>
      <c r="L4428" t="inlineStr">
        <is>
          <t>World Bank WDI: School enrollment, tertiary (% gross)</t>
        </is>
      </c>
      <c r="M4428" t="inlineStr">
        <is>
          <t>2023-12-31</t>
        </is>
      </c>
      <c r="N4428" t="inlineStr">
        <is>
          <t>auto_ingest=world_bank_proxy; indicator=SE.TER.ENRR; year=2023; country_proxy=Ghana</t>
        </is>
      </c>
    </row>
    <row r="4429">
      <c r="A4429" t="inlineStr">
        <is>
          <t>gh-kumasi</t>
        </is>
      </c>
      <c r="B4429" t="inlineStr">
        <is>
          <t>Kumasi</t>
        </is>
      </c>
      <c r="C4429" t="inlineStr">
        <is>
          <t>Ghana</t>
        </is>
      </c>
      <c r="D4429" t="inlineStr">
        <is>
          <t>Africa</t>
        </is>
      </c>
      <c r="E4429" t="inlineStr">
        <is>
          <t>equal_opportunity_raw</t>
        </is>
      </c>
      <c r="F4429" t="inlineStr">
        <is>
          <t>Equal opportunity raw</t>
        </is>
      </c>
      <c r="G4429" t="inlineStr">
        <is>
          <t>capability</t>
        </is>
      </c>
      <c r="H4429" t="inlineStr">
        <is>
          <t>yes</t>
        </is>
      </c>
      <c r="I4429" t="inlineStr">
        <is>
          <t>43.5</t>
        </is>
      </c>
      <c r="J4429" t="inlineStr">
        <is>
          <t>world_bank</t>
        </is>
      </c>
      <c r="K4429" t="inlineStr">
        <is>
          <t>https://api.worldbank.org/v2/country/GHA/indicator/SI.POV.GINI?format=json&amp;mrv=10</t>
        </is>
      </c>
      <c r="L4429" t="inlineStr">
        <is>
          <t>World Bank WDI: Gini index</t>
        </is>
      </c>
      <c r="M4429" t="inlineStr">
        <is>
          <t>2016-12-31</t>
        </is>
      </c>
      <c r="N4429" t="inlineStr">
        <is>
          <t>auto_ingest=world_bank_capability; indicator=SI.POV.GINI; year=2016; country_proxy=Ghana</t>
        </is>
      </c>
    </row>
    <row r="4430">
      <c r="A4430" t="inlineStr">
        <is>
          <t>gh-kumasi</t>
        </is>
      </c>
      <c r="B4430" t="inlineStr">
        <is>
          <t>Kumasi</t>
        </is>
      </c>
      <c r="C4430" t="inlineStr">
        <is>
          <t>Ghana</t>
        </is>
      </c>
      <c r="D4430" t="inlineStr">
        <is>
          <t>Africa</t>
        </is>
      </c>
      <c r="E4430" t="inlineStr">
        <is>
          <t>hospitality_belonging_raw</t>
        </is>
      </c>
      <c r="F4430" t="inlineStr">
        <is>
          <t>Hospitality and belonging raw</t>
        </is>
      </c>
      <c r="G4430" t="inlineStr">
        <is>
          <t>community</t>
        </is>
      </c>
      <c r="H4430" t="inlineStr">
        <is>
          <t>yes</t>
        </is>
      </c>
      <c r="I4430" t="inlineStr">
        <is>
          <t>49.5</t>
        </is>
      </c>
      <c r="J4430" t="inlineStr">
        <is>
          <t>world_bank</t>
        </is>
      </c>
      <c r="K4430" t="inlineStr">
        <is>
          <t>https://api.worldbank.org/v2/country/GHA/indicator/SM.POP.NETM?format=json&amp;mrv=10</t>
        </is>
      </c>
      <c r="L4430" t="inlineStr">
        <is>
          <t>World Bank WDI: Net migration (proxy for hospitality/belonging — positive = welcoming)</t>
        </is>
      </c>
      <c r="M4430" t="inlineStr">
        <is>
          <t>2025-12-31</t>
        </is>
      </c>
      <c r="N4430" t="inlineStr">
        <is>
          <t>auto_ingest=world_bank_proxy; proxy=net_migration_hospitality; indicator=SM.POP.NETM; year=2025; country_proxy=Ghana</t>
        </is>
      </c>
    </row>
    <row r="4431">
      <c r="A4431" t="inlineStr">
        <is>
          <t>gh-kumasi</t>
        </is>
      </c>
      <c r="B4431" t="inlineStr">
        <is>
          <t>Kumasi</t>
        </is>
      </c>
      <c r="C4431" t="inlineStr">
        <is>
          <t>Ghana</t>
        </is>
      </c>
      <c r="D4431" t="inlineStr">
        <is>
          <t>Africa</t>
        </is>
      </c>
      <c r="E4431" t="inlineStr">
        <is>
          <t>tolerance_pluralism_raw</t>
        </is>
      </c>
      <c r="F4431" t="inlineStr">
        <is>
          <t>Tolerance and pluralism raw</t>
        </is>
      </c>
      <c r="G4431" t="inlineStr">
        <is>
          <t>community</t>
        </is>
      </c>
      <c r="H4431" t="inlineStr">
        <is>
          <t>yes</t>
        </is>
      </c>
      <c r="I4431" t="inlineStr">
        <is>
          <t>14.55</t>
        </is>
      </c>
      <c r="J4431" t="inlineStr">
        <is>
          <t>world_bank</t>
        </is>
      </c>
      <c r="K4431" t="inlineStr">
        <is>
          <t>https://api.worldbank.org/v2/country/GHA/indicator/SG.GEN.PARL.ZS?format=json&amp;mrv=10</t>
        </is>
      </c>
      <c r="L4431" t="inlineStr">
        <is>
          <t>World Bank WDI: Proportion of seats held by women in national parliaments (%)</t>
        </is>
      </c>
      <c r="M4431" t="inlineStr">
        <is>
          <t>2024-12-31</t>
        </is>
      </c>
      <c r="N4431" t="inlineStr">
        <is>
          <t>auto_ingest=world_bank_proxy; proxy=gender_parity_parliament; indicator=SG.GEN.PARL.ZS; year=2024; country_proxy=Ghana</t>
        </is>
      </c>
    </row>
    <row r="4432">
      <c r="A4432" t="inlineStr">
        <is>
          <t>gh-kumasi</t>
        </is>
      </c>
      <c r="B4432" t="inlineStr">
        <is>
          <t>Kumasi</t>
        </is>
      </c>
      <c r="C4432" t="inlineStr">
        <is>
          <t>Ghana</t>
        </is>
      </c>
      <c r="D4432" t="inlineStr">
        <is>
          <t>Africa</t>
        </is>
      </c>
      <c r="E4432" t="inlineStr">
        <is>
          <t>cultural_public_life_raw</t>
        </is>
      </c>
      <c r="F4432" t="inlineStr">
        <is>
          <t>Cultural public life raw</t>
        </is>
      </c>
      <c r="G4432" t="inlineStr">
        <is>
          <t>community</t>
        </is>
      </c>
      <c r="H4432" t="inlineStr">
        <is>
          <t>yes</t>
        </is>
      </c>
      <c r="I4432" t="inlineStr">
        <is>
          <t>34.64</t>
        </is>
      </c>
      <c r="J4432" t="inlineStr">
        <is>
          <t>world_bank</t>
        </is>
      </c>
      <c r="K4432" t="inlineStr">
        <is>
          <t>https://api.worldbank.org/v2/country/GHA/indicator/SP.POP.DPND?format=json&amp;mrv=10</t>
        </is>
      </c>
      <c r="L4432" t="inlineStr">
        <is>
          <t>World Bank WDI: Age dependency ratio (% of working-age population), inverted as social vitality proxy</t>
        </is>
      </c>
      <c r="M4432" t="inlineStr">
        <is>
          <t>2024-12-31</t>
        </is>
      </c>
      <c r="N4432" t="inlineStr">
        <is>
          <t>auto_ingest=world_bank_proxy; proxy=inverse_dependency_ratio_social_vitality; indicator=SP.POP.DPND; year=2024; country_proxy=Ghana</t>
        </is>
      </c>
    </row>
    <row r="4433">
      <c r="A4433" t="inlineStr">
        <is>
          <t>gh-kumasi</t>
        </is>
      </c>
      <c r="B4433" t="inlineStr">
        <is>
          <t>Kumasi</t>
        </is>
      </c>
      <c r="C4433" t="inlineStr">
        <is>
          <t>Ghana</t>
        </is>
      </c>
      <c r="D4433" t="inlineStr">
        <is>
          <t>Africa</t>
        </is>
      </c>
      <c r="E4433" t="inlineStr">
        <is>
          <t>birth_rate_optimism_raw</t>
        </is>
      </c>
      <c r="F4433" t="inlineStr">
        <is>
          <t>Birth rate and societal optimism raw</t>
        </is>
      </c>
      <c r="G4433" t="inlineStr">
        <is>
          <t>community</t>
        </is>
      </c>
      <c r="H4433" t="inlineStr">
        <is>
          <t>yes</t>
        </is>
      </c>
      <c r="I4433" t="inlineStr">
        <is>
          <t>3.6</t>
        </is>
      </c>
      <c r="J4433" t="inlineStr">
        <is>
          <t>world_bank</t>
        </is>
      </c>
      <c r="K4433" t="inlineStr">
        <is>
          <t>https://data.worldbank.org/indicator/SP.DYN.TFRT.IN</t>
        </is>
      </c>
      <c r="L4433" t="inlineStr">
        <is>
          <t>World Bank Total Fertility Rate 2023</t>
        </is>
      </c>
      <c r="M4433" t="inlineStr">
        <is>
          <t>2024-01-01</t>
        </is>
      </c>
      <c r="N4433" t="inlineStr"/>
    </row>
    <row r="4434">
      <c r="A4434" t="inlineStr">
        <is>
          <t>gh-kumasi</t>
        </is>
      </c>
      <c r="B4434" t="inlineStr">
        <is>
          <t>Kumasi</t>
        </is>
      </c>
      <c r="C4434" t="inlineStr">
        <is>
          <t>Ghana</t>
        </is>
      </c>
      <c r="D4434" t="inlineStr">
        <is>
          <t>Africa</t>
        </is>
      </c>
      <c r="E4434" t="inlineStr">
        <is>
          <t>entrepreneurial_dynamism_raw</t>
        </is>
      </c>
      <c r="F4434" t="inlineStr">
        <is>
          <t>Entrepreneurial dynamism raw</t>
        </is>
      </c>
      <c r="G4434" t="inlineStr">
        <is>
          <t>creative</t>
        </is>
      </c>
      <c r="H4434" t="inlineStr">
        <is>
          <t>yes</t>
        </is>
      </c>
      <c r="I4434" t="inlineStr">
        <is>
          <t>1.32</t>
        </is>
      </c>
      <c r="J4434" t="inlineStr">
        <is>
          <t>world_bank</t>
        </is>
      </c>
      <c r="K4434" t="inlineStr">
        <is>
          <t>https://api.worldbank.org/v2/country/GHA/indicator/IC.BUS.NDNS.ZS?format=json&amp;mrv=10</t>
        </is>
      </c>
      <c r="L4434" t="inlineStr">
        <is>
          <t>World Bank WDI: New business density (new registrations per 1,000 people ages 15-64)</t>
        </is>
      </c>
      <c r="M4434" t="inlineStr">
        <is>
          <t>2022-12-31</t>
        </is>
      </c>
      <c r="N4434" t="inlineStr">
        <is>
          <t>auto_ingest=world_bank_creative_extended; indicator=IC.BUS.NDNS.ZS; year=2022; country_proxy=Ghana</t>
        </is>
      </c>
    </row>
    <row r="4435">
      <c r="A4435" t="inlineStr">
        <is>
          <t>gh-kumasi</t>
        </is>
      </c>
      <c r="B4435" t="inlineStr">
        <is>
          <t>Kumasi</t>
        </is>
      </c>
      <c r="C4435" t="inlineStr">
        <is>
          <t>Ghana</t>
        </is>
      </c>
      <c r="D4435" t="inlineStr">
        <is>
          <t>Africa</t>
        </is>
      </c>
      <c r="E4435" t="inlineStr">
        <is>
          <t>innovation_research_intensity_raw</t>
        </is>
      </c>
      <c r="F4435" t="inlineStr">
        <is>
          <t>Innovation and research raw</t>
        </is>
      </c>
      <c r="G4435" t="inlineStr">
        <is>
          <t>creative</t>
        </is>
      </c>
      <c r="H4435" t="inlineStr">
        <is>
          <t>yes</t>
        </is>
      </c>
      <c r="I4435" t="inlineStr">
        <is>
          <t>0.58</t>
        </is>
      </c>
      <c r="J4435" t="inlineStr">
        <is>
          <t>world_bank</t>
        </is>
      </c>
      <c r="K4435" t="inlineStr">
        <is>
          <t>https://api.worldbank.org/v2/country/GHA/indicator/IP.PAT.RESD?format=json&amp;mrv=10</t>
        </is>
      </c>
      <c r="L4435" t="inlineStr">
        <is>
          <t>World Bank WDI: Patent applications (residents + non-residents) per million population</t>
        </is>
      </c>
      <c r="M4435" t="inlineStr">
        <is>
          <t>2020-12-31</t>
        </is>
      </c>
      <c r="N4435" t="inlineStr">
        <is>
          <t>auto_ingest=wipo_patents_proxy; indicators=IP.PAT.RESD+IP.PAT.NRES; norm=per_million_pop; year=2020; country_proxy=Ghana</t>
        </is>
      </c>
    </row>
    <row r="4436">
      <c r="A4436" t="inlineStr">
        <is>
          <t>gh-kumasi</t>
        </is>
      </c>
      <c r="B4436" t="inlineStr">
        <is>
          <t>Kumasi</t>
        </is>
      </c>
      <c r="C4436" t="inlineStr">
        <is>
          <t>Ghana</t>
        </is>
      </c>
      <c r="D4436" t="inlineStr">
        <is>
          <t>Africa</t>
        </is>
      </c>
      <c r="E4436" t="inlineStr">
        <is>
          <t>investment_signal_raw</t>
        </is>
      </c>
      <c r="F4436" t="inlineStr">
        <is>
          <t>Investment signal raw</t>
        </is>
      </c>
      <c r="G4436" t="inlineStr">
        <is>
          <t>creative</t>
        </is>
      </c>
      <c r="H4436" t="inlineStr">
        <is>
          <t>yes</t>
        </is>
      </c>
      <c r="I4436" t="inlineStr">
        <is>
          <t>2.15</t>
        </is>
      </c>
      <c r="J4436" t="inlineStr">
        <is>
          <t>world_bank</t>
        </is>
      </c>
      <c r="K4436" t="inlineStr">
        <is>
          <t>https://api.worldbank.org/v2/country/GHA/indicator/BX.KLT.DINV.WD.GD.ZS?format=json&amp;mrv=10</t>
        </is>
      </c>
      <c r="L4436" t="inlineStr">
        <is>
          <t>World Bank WDI: Foreign direct investment, net inflows (% of GDP)</t>
        </is>
      </c>
      <c r="M4436" t="inlineStr">
        <is>
          <t>2024-12-31</t>
        </is>
      </c>
      <c r="N4436" t="inlineStr">
        <is>
          <t>auto_ingest=world_bank_creative_extended; indicator=BX.KLT.DINV.WD.GD.ZS; year=2024; country_proxy=Ghana</t>
        </is>
      </c>
    </row>
    <row r="4437">
      <c r="A4437" t="inlineStr">
        <is>
          <t>gh-kumasi</t>
        </is>
      </c>
      <c r="B4437" t="inlineStr">
        <is>
          <t>Kumasi</t>
        </is>
      </c>
      <c r="C4437" t="inlineStr">
        <is>
          <t>Ghana</t>
        </is>
      </c>
      <c r="D4437" t="inlineStr">
        <is>
          <t>Africa</t>
        </is>
      </c>
      <c r="E4437" t="inlineStr">
        <is>
          <t>administrative_investment_friction_raw</t>
        </is>
      </c>
      <c r="F4437" t="inlineStr">
        <is>
          <t>Administrative investment friction raw</t>
        </is>
      </c>
      <c r="G4437" t="inlineStr">
        <is>
          <t>creative</t>
        </is>
      </c>
      <c r="H4437" t="inlineStr">
        <is>
          <t>yes</t>
        </is>
      </c>
      <c r="I4437" t="inlineStr">
        <is>
          <t>2.68</t>
        </is>
      </c>
      <c r="J4437" t="inlineStr">
        <is>
          <t>world_bank</t>
        </is>
      </c>
      <c r="K4437" t="inlineStr">
        <is>
          <t>https://api.worldbank.org/v2/country/GHA/indicator/RQ.EST?format=json&amp;mrv=10</t>
        </is>
      </c>
      <c r="L4437" t="inlineStr">
        <is>
          <t>World Bank WGI: Regulatory Quality (inverted as friction proxy)</t>
        </is>
      </c>
      <c r="M4437" t="inlineStr">
        <is>
          <t>2023-12-31</t>
        </is>
      </c>
      <c r="N4437" t="inlineStr">
        <is>
          <t>auto_ingest=world_bank_business_friction; indicator=RQ.EST; raw_rq=-0.18065220117569; friction=2.68; year=2023; country_proxy=Ghana</t>
        </is>
      </c>
    </row>
    <row r="4438">
      <c r="A4438" t="inlineStr">
        <is>
          <t>gh-kumasi</t>
        </is>
      </c>
      <c r="B4438" t="inlineStr">
        <is>
          <t>Kumasi</t>
        </is>
      </c>
      <c r="C4438" t="inlineStr">
        <is>
          <t>Ghana</t>
        </is>
      </c>
      <c r="D4438" t="inlineStr">
        <is>
          <t>Africa</t>
        </is>
      </c>
      <c r="E4438" t="inlineStr">
        <is>
          <t>visitor_flow_context_raw</t>
        </is>
      </c>
      <c r="F4438" t="inlineStr">
        <is>
          <t>Visitor flow context raw</t>
        </is>
      </c>
      <c r="G4438" t="inlineStr">
        <is>
          <t>creative</t>
        </is>
      </c>
      <c r="H4438" t="inlineStr">
        <is>
          <t>no</t>
        </is>
      </c>
      <c r="I4438" t="inlineStr"/>
      <c r="J4438" t="inlineStr"/>
      <c r="K4438" t="inlineStr"/>
      <c r="L4438" t="inlineStr"/>
      <c r="M4438" t="inlineStr"/>
      <c r="N4438" t="inlineStr"/>
    </row>
    <row r="4439">
      <c r="A4439" t="inlineStr">
        <is>
          <t>nz-dunedin</t>
        </is>
      </c>
      <c r="B4439" t="inlineStr">
        <is>
          <t>Dunedin</t>
        </is>
      </c>
      <c r="C4439" t="inlineStr">
        <is>
          <t>New Zealand</t>
        </is>
      </c>
      <c r="D4439" t="inlineStr">
        <is>
          <t>Oceania</t>
        </is>
      </c>
      <c r="E4439" t="inlineStr">
        <is>
          <t>gross_income</t>
        </is>
      </c>
      <c r="F4439" t="inlineStr">
        <is>
          <t>Gross income</t>
        </is>
      </c>
      <c r="G4439" t="inlineStr">
        <is>
          <t>pressure</t>
        </is>
      </c>
      <c r="H4439" t="inlineStr">
        <is>
          <t>yes</t>
        </is>
      </c>
      <c r="I4439" t="inlineStr">
        <is>
          <t>4466.67</t>
        </is>
      </c>
      <c r="J4439" t="inlineStr">
        <is>
          <t>world_bank_col_estimate</t>
        </is>
      </c>
      <c r="K4439" t="inlineStr">
        <is>
          <t>https://api.worldbank.org/v2/country/NZL/indicator/NY.GNP.PCAP.PP.CD?format=json&amp;mrv=10</t>
        </is>
      </c>
      <c r="L4439" t="inlineStr">
        <is>
          <t>World Bank WDI: GNI per capita PPP (monthly USD)</t>
        </is>
      </c>
      <c r="M4439" t="inlineStr">
        <is>
          <t>2024-12-31</t>
        </is>
      </c>
      <c r="N4439" t="inlineStr">
        <is>
          <t>auto_ingest=world_bank_col_estimate; gni_annual=53600.0; year=2024; country_proxy=New Zealand; cohort=Oceania</t>
        </is>
      </c>
    </row>
    <row r="4440">
      <c r="A4440" t="inlineStr">
        <is>
          <t>nz-dunedin</t>
        </is>
      </c>
      <c r="B4440" t="inlineStr">
        <is>
          <t>Dunedin</t>
        </is>
      </c>
      <c r="C4440" t="inlineStr">
        <is>
          <t>New Zealand</t>
        </is>
      </c>
      <c r="D4440" t="inlineStr">
        <is>
          <t>Oceania</t>
        </is>
      </c>
      <c r="E4440" t="inlineStr">
        <is>
          <t>di_ppp_raw</t>
        </is>
      </c>
      <c r="F4440" t="inlineStr">
        <is>
          <t>Disposable income PPP (Raw)</t>
        </is>
      </c>
      <c r="G4440" t="inlineStr">
        <is>
          <t>pressure</t>
        </is>
      </c>
      <c r="H4440" t="inlineStr">
        <is>
          <t>yes</t>
        </is>
      </c>
      <c r="I4440" t="inlineStr"/>
      <c r="J4440" t="inlineStr"/>
      <c r="K4440" t="inlineStr"/>
      <c r="L4440" t="inlineStr"/>
      <c r="M4440" t="inlineStr"/>
      <c r="N4440" t="inlineStr"/>
    </row>
    <row r="4441">
      <c r="A4441" t="inlineStr">
        <is>
          <t>nz-dunedin</t>
        </is>
      </c>
      <c r="B4441" t="inlineStr">
        <is>
          <t>Dunedin</t>
        </is>
      </c>
      <c r="C4441" t="inlineStr">
        <is>
          <t>New Zealand</t>
        </is>
      </c>
      <c r="D4441" t="inlineStr">
        <is>
          <t>Oceania</t>
        </is>
      </c>
      <c r="E4441" t="inlineStr">
        <is>
          <t>rent</t>
        </is>
      </c>
      <c r="F4441" t="inlineStr">
        <is>
          <t>Rent</t>
        </is>
      </c>
      <c r="G4441" t="inlineStr">
        <is>
          <t>pressure</t>
        </is>
      </c>
      <c r="H4441" t="inlineStr">
        <is>
          <t>yes</t>
        </is>
      </c>
      <c r="I4441" t="inlineStr">
        <is>
          <t>1072.0</t>
        </is>
      </c>
      <c r="J4441" t="inlineStr">
        <is>
          <t>world_bank_col_estimate</t>
        </is>
      </c>
      <c r="K4441" t="inlineStr">
        <is>
          <t>https://api.worldbank.org/v2/country/NZL/indicator/NY.GNP.PCAP.PP.CD?format=json&amp;mrv=10</t>
        </is>
      </c>
      <c r="L4441" t="inlineStr">
        <is>
          <t>World Bank GNI + regional expenditure ratio estimate</t>
        </is>
      </c>
      <c r="M4441" t="inlineStr">
        <is>
          <t>2024-12-31</t>
        </is>
      </c>
      <c r="N4441" t="inlineStr">
        <is>
          <t>auto_ingest=world_bank_col_estimate; gni_annual=53600.0; year=2024; country_proxy=New Zealand; cohort=Oceania; city_cost_mult=0.8</t>
        </is>
      </c>
    </row>
    <row r="4442">
      <c r="A4442" t="inlineStr">
        <is>
          <t>nz-dunedin</t>
        </is>
      </c>
      <c r="B4442" t="inlineStr">
        <is>
          <t>Dunedin</t>
        </is>
      </c>
      <c r="C4442" t="inlineStr">
        <is>
          <t>New Zealand</t>
        </is>
      </c>
      <c r="D4442" t="inlineStr">
        <is>
          <t>Oceania</t>
        </is>
      </c>
      <c r="E4442" t="inlineStr">
        <is>
          <t>utilities</t>
        </is>
      </c>
      <c r="F4442" t="inlineStr">
        <is>
          <t>Utilities</t>
        </is>
      </c>
      <c r="G4442" t="inlineStr">
        <is>
          <t>pressure</t>
        </is>
      </c>
      <c r="H4442" t="inlineStr">
        <is>
          <t>yes</t>
        </is>
      </c>
      <c r="I4442" t="inlineStr">
        <is>
          <t>214.4</t>
        </is>
      </c>
      <c r="J4442" t="inlineStr">
        <is>
          <t>world_bank_col_estimate</t>
        </is>
      </c>
      <c r="K4442" t="inlineStr">
        <is>
          <t>https://api.worldbank.org/v2/country/NZL/indicator/NY.GNP.PCAP.PP.CD?format=json&amp;mrv=10</t>
        </is>
      </c>
      <c r="L4442" t="inlineStr">
        <is>
          <t>World Bank GNI + regional expenditure ratio estimate</t>
        </is>
      </c>
      <c r="M4442" t="inlineStr">
        <is>
          <t>2024-12-31</t>
        </is>
      </c>
      <c r="N4442" t="inlineStr">
        <is>
          <t>auto_ingest=world_bank_col_estimate; gni_annual=53600.0; year=2024; country_proxy=New Zealand; cohort=Oceania; city_cost_mult=0.8</t>
        </is>
      </c>
    </row>
    <row r="4443">
      <c r="A4443" t="inlineStr">
        <is>
          <t>nz-dunedin</t>
        </is>
      </c>
      <c r="B4443" t="inlineStr">
        <is>
          <t>Dunedin</t>
        </is>
      </c>
      <c r="C4443" t="inlineStr">
        <is>
          <t>New Zealand</t>
        </is>
      </c>
      <c r="D4443" t="inlineStr">
        <is>
          <t>Oceania</t>
        </is>
      </c>
      <c r="E4443" t="inlineStr">
        <is>
          <t>transit_cost</t>
        </is>
      </c>
      <c r="F4443" t="inlineStr">
        <is>
          <t>Transit cost</t>
        </is>
      </c>
      <c r="G4443" t="inlineStr">
        <is>
          <t>pressure</t>
        </is>
      </c>
      <c r="H4443" t="inlineStr">
        <is>
          <t>yes</t>
        </is>
      </c>
      <c r="I4443" t="inlineStr">
        <is>
          <t>142.93</t>
        </is>
      </c>
      <c r="J4443" t="inlineStr">
        <is>
          <t>world_bank_col_estimate</t>
        </is>
      </c>
      <c r="K4443" t="inlineStr">
        <is>
          <t>https://api.worldbank.org/v2/country/NZL/indicator/NY.GNP.PCAP.PP.CD?format=json&amp;mrv=10</t>
        </is>
      </c>
      <c r="L4443" t="inlineStr">
        <is>
          <t>World Bank GNI + regional expenditure ratio estimate</t>
        </is>
      </c>
      <c r="M4443" t="inlineStr">
        <is>
          <t>2024-12-31</t>
        </is>
      </c>
      <c r="N4443" t="inlineStr">
        <is>
          <t>auto_ingest=world_bank_col_estimate; gni_annual=53600.0; year=2024; country_proxy=New Zealand; cohort=Oceania; city_cost_mult=0.8</t>
        </is>
      </c>
    </row>
    <row r="4444">
      <c r="A4444" t="inlineStr">
        <is>
          <t>nz-dunedin</t>
        </is>
      </c>
      <c r="B4444" t="inlineStr">
        <is>
          <t>Dunedin</t>
        </is>
      </c>
      <c r="C4444" t="inlineStr">
        <is>
          <t>New Zealand</t>
        </is>
      </c>
      <c r="D4444" t="inlineStr">
        <is>
          <t>Oceania</t>
        </is>
      </c>
      <c r="E4444" t="inlineStr">
        <is>
          <t>internet_cost</t>
        </is>
      </c>
      <c r="F4444" t="inlineStr">
        <is>
          <t>Internet cost</t>
        </is>
      </c>
      <c r="G4444" t="inlineStr">
        <is>
          <t>pressure</t>
        </is>
      </c>
      <c r="H4444" t="inlineStr">
        <is>
          <t>yes</t>
        </is>
      </c>
      <c r="I4444" t="inlineStr">
        <is>
          <t>53.6</t>
        </is>
      </c>
      <c r="J4444" t="inlineStr">
        <is>
          <t>world_bank_col_estimate</t>
        </is>
      </c>
      <c r="K4444" t="inlineStr">
        <is>
          <t>https://api.worldbank.org/v2/country/NZL/indicator/NY.GNP.PCAP.PP.CD?format=json&amp;mrv=10</t>
        </is>
      </c>
      <c r="L4444" t="inlineStr">
        <is>
          <t>World Bank GNI + regional expenditure ratio estimate</t>
        </is>
      </c>
      <c r="M4444" t="inlineStr">
        <is>
          <t>2024-12-31</t>
        </is>
      </c>
      <c r="N4444" t="inlineStr">
        <is>
          <t>auto_ingest=world_bank_col_estimate; gni_annual=53600.0; year=2024; country_proxy=New Zealand; cohort=Oceania; city_cost_mult=0.8</t>
        </is>
      </c>
    </row>
    <row r="4445">
      <c r="A4445" t="inlineStr">
        <is>
          <t>nz-dunedin</t>
        </is>
      </c>
      <c r="B4445" t="inlineStr">
        <is>
          <t>Dunedin</t>
        </is>
      </c>
      <c r="C4445" t="inlineStr">
        <is>
          <t>New Zealand</t>
        </is>
      </c>
      <c r="D4445" t="inlineStr">
        <is>
          <t>Oceania</t>
        </is>
      </c>
      <c r="E4445" t="inlineStr">
        <is>
          <t>food_cost</t>
        </is>
      </c>
      <c r="F4445" t="inlineStr">
        <is>
          <t>Food cost</t>
        </is>
      </c>
      <c r="G4445" t="inlineStr">
        <is>
          <t>pressure</t>
        </is>
      </c>
      <c r="H4445" t="inlineStr">
        <is>
          <t>yes</t>
        </is>
      </c>
      <c r="I4445" t="inlineStr">
        <is>
          <t>536.0</t>
        </is>
      </c>
      <c r="J4445" t="inlineStr">
        <is>
          <t>world_bank_col_estimate</t>
        </is>
      </c>
      <c r="K4445" t="inlineStr">
        <is>
          <t>https://api.worldbank.org/v2/country/NZL/indicator/NY.GNP.PCAP.PP.CD?format=json&amp;mrv=10</t>
        </is>
      </c>
      <c r="L4445" t="inlineStr">
        <is>
          <t>World Bank GNI + regional expenditure ratio estimate</t>
        </is>
      </c>
      <c r="M4445" t="inlineStr">
        <is>
          <t>2024-12-31</t>
        </is>
      </c>
      <c r="N4445" t="inlineStr">
        <is>
          <t>auto_ingest=world_bank_col_estimate; gni_annual=53600.0; year=2024; country_proxy=New Zealand; cohort=Oceania; city_cost_mult=0.8</t>
        </is>
      </c>
    </row>
    <row r="4446">
      <c r="A4446" t="inlineStr">
        <is>
          <t>nz-dunedin</t>
        </is>
      </c>
      <c r="B4446" t="inlineStr">
        <is>
          <t>Dunedin</t>
        </is>
      </c>
      <c r="C4446" t="inlineStr">
        <is>
          <t>New Zealand</t>
        </is>
      </c>
      <c r="D4446" t="inlineStr">
        <is>
          <t>Oceania</t>
        </is>
      </c>
      <c r="E4446" t="inlineStr">
        <is>
          <t>housing_burden_raw</t>
        </is>
      </c>
      <c r="F4446" t="inlineStr">
        <is>
          <t>Housing burden raw</t>
        </is>
      </c>
      <c r="G4446" t="inlineStr">
        <is>
          <t>pressure</t>
        </is>
      </c>
      <c r="H4446" t="inlineStr">
        <is>
          <t>yes</t>
        </is>
      </c>
      <c r="I4446" t="inlineStr">
        <is>
          <t>24.0</t>
        </is>
      </c>
      <c r="J4446" t="inlineStr">
        <is>
          <t>derived</t>
        </is>
      </c>
      <c r="K4446" t="inlineStr">
        <is>
          <t>https://data.worldbank.org/indicator/NY.GNP.PCAP.PP.CD</t>
        </is>
      </c>
      <c r="L4446" t="inlineStr">
        <is>
          <t>Computed from city_inputs + country_context</t>
        </is>
      </c>
      <c r="M4446" t="inlineStr">
        <is>
          <t>2024-01-01</t>
        </is>
      </c>
      <c r="N4446" t="inlineStr">
        <is>
          <t>derived=rent/gross_income*100</t>
        </is>
      </c>
    </row>
    <row r="4447">
      <c r="A4447" t="inlineStr">
        <is>
          <t>nz-dunedin</t>
        </is>
      </c>
      <c r="B4447" t="inlineStr">
        <is>
          <t>Dunedin</t>
        </is>
      </c>
      <c r="C4447" t="inlineStr">
        <is>
          <t>New Zealand</t>
        </is>
      </c>
      <c r="D4447" t="inlineStr">
        <is>
          <t>Oceania</t>
        </is>
      </c>
      <c r="E4447" t="inlineStr">
        <is>
          <t>household_debt_burden_raw</t>
        </is>
      </c>
      <c r="F4447" t="inlineStr">
        <is>
          <t>Household debt burden raw</t>
        </is>
      </c>
      <c r="G4447" t="inlineStr">
        <is>
          <t>pressure</t>
        </is>
      </c>
      <c r="H4447" t="inlineStr">
        <is>
          <t>yes</t>
        </is>
      </c>
      <c r="I4447" t="inlineStr">
        <is>
          <t>129.7971</t>
        </is>
      </c>
      <c r="J4447" t="inlineStr">
        <is>
          <t>derived</t>
        </is>
      </c>
      <c r="K4447" t="inlineStr">
        <is>
          <t>https://data.worldbank.org/indicator/NY.GNP.PCAP.PP.CD</t>
        </is>
      </c>
      <c r="L4447" t="inlineStr">
        <is>
          <t>Computed from city_inputs + country_context</t>
        </is>
      </c>
      <c r="M4447" t="inlineStr">
        <is>
          <t>2024-01-01</t>
        </is>
      </c>
      <c r="N4447" t="inlineStr">
        <is>
          <t>derived=country_context.household_debt_proxy; country=New Zealand</t>
        </is>
      </c>
    </row>
    <row r="4448">
      <c r="A4448" t="inlineStr">
        <is>
          <t>nz-dunedin</t>
        </is>
      </c>
      <c r="B4448" t="inlineStr">
        <is>
          <t>Dunedin</t>
        </is>
      </c>
      <c r="C4448" t="inlineStr">
        <is>
          <t>New Zealand</t>
        </is>
      </c>
      <c r="D4448" t="inlineStr">
        <is>
          <t>Oceania</t>
        </is>
      </c>
      <c r="E4448" t="inlineStr">
        <is>
          <t>working_time_pressure_raw</t>
        </is>
      </c>
      <c r="F4448" t="inlineStr">
        <is>
          <t>Working time pressure raw</t>
        </is>
      </c>
      <c r="G4448" t="inlineStr">
        <is>
          <t>pressure</t>
        </is>
      </c>
      <c r="H4448" t="inlineStr">
        <is>
          <t>yes</t>
        </is>
      </c>
      <c r="I4448" t="inlineStr">
        <is>
          <t>33.0</t>
        </is>
      </c>
      <c r="J4448" t="inlineStr">
        <is>
          <t>ilo_ilostat</t>
        </is>
      </c>
      <c r="K4448" t="inlineStr">
        <is>
          <t>https://ilostat.ilo.org/data/indicator/?id=HOW_TEMP_SEX_ECO_NB_A&amp;ref_area=NZL</t>
        </is>
      </c>
      <c r="L4448" t="inlineStr">
        <is>
          <t>ILO ILOSTAT: Mean weekly hours actually worked per employed person</t>
        </is>
      </c>
      <c r="M4448" t="inlineStr">
        <is>
          <t>2020-12-31</t>
        </is>
      </c>
      <c r="N4448" t="inlineStr">
        <is>
          <t>auto_ingest=ilo_working_hours; indicator=HOW_TEMP_SEX_ECO_NB_A; year=2020; hours=33.0; country_proxy=New Zealand</t>
        </is>
      </c>
    </row>
    <row r="4449">
      <c r="A4449" t="inlineStr">
        <is>
          <t>nz-dunedin</t>
        </is>
      </c>
      <c r="B4449" t="inlineStr">
        <is>
          <t>Dunedin</t>
        </is>
      </c>
      <c r="C4449" t="inlineStr">
        <is>
          <t>New Zealand</t>
        </is>
      </c>
      <c r="D4449" t="inlineStr">
        <is>
          <t>Oceania</t>
        </is>
      </c>
      <c r="E4449" t="inlineStr">
        <is>
          <t>suicide_mental_strain_raw</t>
        </is>
      </c>
      <c r="F4449" t="inlineStr">
        <is>
          <t>Suicide or mental strain raw</t>
        </is>
      </c>
      <c r="G4449" t="inlineStr">
        <is>
          <t>pressure</t>
        </is>
      </c>
      <c r="H4449" t="inlineStr">
        <is>
          <t>yes</t>
        </is>
      </c>
      <c r="I4449" t="inlineStr">
        <is>
          <t>11.92</t>
        </is>
      </c>
      <c r="J4449" t="inlineStr">
        <is>
          <t>who_gho</t>
        </is>
      </c>
      <c r="K4449" t="inlineStr">
        <is>
          <t>https://www.who.int/data/gho/data/indicators/indicator-details/GHO/SDGSUICIDE</t>
        </is>
      </c>
      <c r="L4449" t="inlineStr">
        <is>
          <t>WHO GHO: Age-standardized suicide rate (per 100,000 population)</t>
        </is>
      </c>
      <c r="M4449" t="inlineStr">
        <is>
          <t>2021-12-31</t>
        </is>
      </c>
      <c r="N4449" t="inlineStr">
        <is>
          <t>auto_ingest=who_gho; indicator=SDGSUICIDE; year=2021; country_proxy=New Zealand</t>
        </is>
      </c>
    </row>
    <row r="4450">
      <c r="A4450" t="inlineStr">
        <is>
          <t>nz-dunedin</t>
        </is>
      </c>
      <c r="B4450" t="inlineStr">
        <is>
          <t>Dunedin</t>
        </is>
      </c>
      <c r="C4450" t="inlineStr">
        <is>
          <t>New Zealand</t>
        </is>
      </c>
      <c r="D4450" t="inlineStr">
        <is>
          <t>Oceania</t>
        </is>
      </c>
      <c r="E4450" t="inlineStr">
        <is>
          <t>personal_safety_raw</t>
        </is>
      </c>
      <c r="F4450" t="inlineStr">
        <is>
          <t>Personal safety raw</t>
        </is>
      </c>
      <c r="G4450" t="inlineStr">
        <is>
          <t>viability</t>
        </is>
      </c>
      <c r="H4450" t="inlineStr">
        <is>
          <t>yes</t>
        </is>
      </c>
      <c r="I4450" t="inlineStr">
        <is>
          <t>1.46</t>
        </is>
      </c>
      <c r="J4450" t="inlineStr">
        <is>
          <t>world_bank</t>
        </is>
      </c>
      <c r="K4450" t="inlineStr">
        <is>
          <t>https://api.worldbank.org/v2/country/NZL/indicator/VC.IHR.PSRC.P5?format=json&amp;mrv=10</t>
        </is>
      </c>
      <c r="L4450" t="inlineStr">
        <is>
          <t>UNODC via World Bank WDI: Intentional homicides (per 100,000 people)</t>
        </is>
      </c>
      <c r="M4450" t="inlineStr">
        <is>
          <t>2022-12-31</t>
        </is>
      </c>
      <c r="N4450" t="inlineStr">
        <is>
          <t>auto_ingest=unodc_safety; indicator=VC.IHR.PSRC.P5; year=2022; country_proxy=New Zealand</t>
        </is>
      </c>
    </row>
    <row r="4451">
      <c r="A4451" t="inlineStr">
        <is>
          <t>nz-dunedin</t>
        </is>
      </c>
      <c r="B4451" t="inlineStr">
        <is>
          <t>Dunedin</t>
        </is>
      </c>
      <c r="C4451" t="inlineStr">
        <is>
          <t>New Zealand</t>
        </is>
      </c>
      <c r="D4451" t="inlineStr">
        <is>
          <t>Oceania</t>
        </is>
      </c>
      <c r="E4451" t="inlineStr">
        <is>
          <t>transit_access_commute_raw</t>
        </is>
      </c>
      <c r="F4451" t="inlineStr">
        <is>
          <t>Transit access and commute raw</t>
        </is>
      </c>
      <c r="G4451" t="inlineStr">
        <is>
          <t>viability</t>
        </is>
      </c>
      <c r="H4451" t="inlineStr">
        <is>
          <t>yes</t>
        </is>
      </c>
      <c r="I4451" t="inlineStr"/>
      <c r="J4451" t="inlineStr"/>
      <c r="K4451" t="inlineStr"/>
      <c r="L4451" t="inlineStr"/>
      <c r="M4451" t="inlineStr"/>
      <c r="N4451" t="inlineStr"/>
    </row>
    <row r="4452">
      <c r="A4452" t="inlineStr">
        <is>
          <t>nz-dunedin</t>
        </is>
      </c>
      <c r="B4452" t="inlineStr">
        <is>
          <t>Dunedin</t>
        </is>
      </c>
      <c r="C4452" t="inlineStr">
        <is>
          <t>New Zealand</t>
        </is>
      </c>
      <c r="D4452" t="inlineStr">
        <is>
          <t>Oceania</t>
        </is>
      </c>
      <c r="E4452" t="inlineStr">
        <is>
          <t>clean_air_raw</t>
        </is>
      </c>
      <c r="F4452" t="inlineStr">
        <is>
          <t>Clean air raw</t>
        </is>
      </c>
      <c r="G4452" t="inlineStr">
        <is>
          <t>viability</t>
        </is>
      </c>
      <c r="H4452" t="inlineStr">
        <is>
          <t>yes</t>
        </is>
      </c>
      <c r="I4452" t="inlineStr"/>
      <c r="J4452" t="inlineStr"/>
      <c r="K4452" t="inlineStr"/>
      <c r="L4452" t="inlineStr"/>
      <c r="M4452" t="inlineStr"/>
      <c r="N4452" t="inlineStr"/>
    </row>
    <row r="4453">
      <c r="A4453" t="inlineStr">
        <is>
          <t>nz-dunedin</t>
        </is>
      </c>
      <c r="B4453" t="inlineStr">
        <is>
          <t>Dunedin</t>
        </is>
      </c>
      <c r="C4453" t="inlineStr">
        <is>
          <t>New Zealand</t>
        </is>
      </c>
      <c r="D4453" t="inlineStr">
        <is>
          <t>Oceania</t>
        </is>
      </c>
      <c r="E4453" t="inlineStr">
        <is>
          <t>water_sanitation_utility_raw</t>
        </is>
      </c>
      <c r="F4453" t="inlineStr">
        <is>
          <t>Water, sanitation, and utility raw</t>
        </is>
      </c>
      <c r="G4453" t="inlineStr">
        <is>
          <t>viability</t>
        </is>
      </c>
      <c r="H4453" t="inlineStr">
        <is>
          <t>yes</t>
        </is>
      </c>
      <c r="I4453" t="inlineStr">
        <is>
          <t>100.0</t>
        </is>
      </c>
      <c r="J4453" t="inlineStr">
        <is>
          <t>world_bank</t>
        </is>
      </c>
      <c r="K4453" t="inlineStr">
        <is>
          <t>https://api.worldbank.org/v2/country/NZL/indicator/SH.H2O.SMDW.ZS?format=json&amp;mrv=10</t>
        </is>
      </c>
      <c r="L4453" t="inlineStr">
        <is>
          <t>World Bank WDI: People using safely managed drinking water services (% of population)</t>
        </is>
      </c>
      <c r="M4453" t="inlineStr">
        <is>
          <t>2024-12-31</t>
        </is>
      </c>
      <c r="N4453" t="inlineStr">
        <is>
          <t>auto_ingest=world_bank_proxy; indicator=SH.H2O.SMDW.ZS; year=2024; country_proxy=New Zealand</t>
        </is>
      </c>
    </row>
    <row r="4454">
      <c r="A4454" t="inlineStr">
        <is>
          <t>nz-dunedin</t>
        </is>
      </c>
      <c r="B4454" t="inlineStr">
        <is>
          <t>Dunedin</t>
        </is>
      </c>
      <c r="C4454" t="inlineStr">
        <is>
          <t>New Zealand</t>
        </is>
      </c>
      <c r="D4454" t="inlineStr">
        <is>
          <t>Oceania</t>
        </is>
      </c>
      <c r="E4454" t="inlineStr">
        <is>
          <t>digital_infrastructure_raw</t>
        </is>
      </c>
      <c r="F4454" t="inlineStr">
        <is>
          <t>Digital infrastructure raw</t>
        </is>
      </c>
      <c r="G4454" t="inlineStr">
        <is>
          <t>viability</t>
        </is>
      </c>
      <c r="H4454" t="inlineStr">
        <is>
          <t>yes</t>
        </is>
      </c>
      <c r="I4454" t="inlineStr">
        <is>
          <t>37.85</t>
        </is>
      </c>
      <c r="J4454" t="inlineStr">
        <is>
          <t>world_bank</t>
        </is>
      </c>
      <c r="K4454" t="inlineStr">
        <is>
          <t>https://api.worldbank.org/v2/country/NZL/indicator/IT.NET.BBND.P2?format=json&amp;mrv=10</t>
        </is>
      </c>
      <c r="L4454" t="inlineStr">
        <is>
          <t>World Bank WDI: Fixed broadband subscriptions (per 100 people)</t>
        </is>
      </c>
      <c r="M4454" t="inlineStr">
        <is>
          <t>2023-12-31</t>
        </is>
      </c>
      <c r="N4454" t="inlineStr">
        <is>
          <t>auto_ingest=world_bank_proxy; indicator=IT.NET.BBND.P2; year=2023; country_proxy=New Zealand</t>
        </is>
      </c>
    </row>
    <row r="4455">
      <c r="A4455" t="inlineStr">
        <is>
          <t>nz-dunedin</t>
        </is>
      </c>
      <c r="B4455" t="inlineStr">
        <is>
          <t>Dunedin</t>
        </is>
      </c>
      <c r="C4455" t="inlineStr">
        <is>
          <t>New Zealand</t>
        </is>
      </c>
      <c r="D4455" t="inlineStr">
        <is>
          <t>Oceania</t>
        </is>
      </c>
      <c r="E4455" t="inlineStr">
        <is>
          <t>climate_sunlight_livability_raw</t>
        </is>
      </c>
      <c r="F4455" t="inlineStr">
        <is>
          <t>Climate and sunlight livability raw</t>
        </is>
      </c>
      <c r="G4455" t="inlineStr">
        <is>
          <t>viability</t>
        </is>
      </c>
      <c r="H4455" t="inlineStr">
        <is>
          <t>yes</t>
        </is>
      </c>
      <c r="I4455" t="inlineStr">
        <is>
          <t>48</t>
        </is>
      </c>
      <c r="J4455" t="inlineStr">
        <is>
          <t>wmo_natl_met</t>
        </is>
      </c>
      <c r="K4455" t="inlineStr">
        <is>
          <t>https://worldweather.wmo.int</t>
        </is>
      </c>
      <c r="L4455" t="inlineStr">
        <is>
          <t>WMO/National Met: Climate livability composite</t>
        </is>
      </c>
      <c r="M4455" t="inlineStr">
        <is>
          <t>2024-12-31</t>
        </is>
      </c>
      <c r="N4455" t="inlineStr">
        <is>
          <t>auto_seed=climate_composite; 1700 sun hrs, 11C mean, cool southern</t>
        </is>
      </c>
    </row>
    <row r="4456">
      <c r="A4456" t="inlineStr">
        <is>
          <t>nz-dunedin</t>
        </is>
      </c>
      <c r="B4456" t="inlineStr">
        <is>
          <t>Dunedin</t>
        </is>
      </c>
      <c r="C4456" t="inlineStr">
        <is>
          <t>New Zealand</t>
        </is>
      </c>
      <c r="D4456" t="inlineStr">
        <is>
          <t>Oceania</t>
        </is>
      </c>
      <c r="E4456" t="inlineStr">
        <is>
          <t>healthcare_quality_raw</t>
        </is>
      </c>
      <c r="F4456" t="inlineStr">
        <is>
          <t>Healthcare quality raw</t>
        </is>
      </c>
      <c r="G4456" t="inlineStr">
        <is>
          <t>capability</t>
        </is>
      </c>
      <c r="H4456" t="inlineStr">
        <is>
          <t>yes</t>
        </is>
      </c>
      <c r="I4456" t="inlineStr">
        <is>
          <t>89.0</t>
        </is>
      </c>
      <c r="J4456" t="inlineStr">
        <is>
          <t>who_gho</t>
        </is>
      </c>
      <c r="K4456" t="inlineStr">
        <is>
          <t>https://www.who.int/data/gho/data/indicators/indicator-details/GHO/UHC_INDEX_REPORTED</t>
        </is>
      </c>
      <c r="L4456" t="inlineStr">
        <is>
          <t>WHO GHO: UHC Service Coverage Index</t>
        </is>
      </c>
      <c r="M4456" t="inlineStr">
        <is>
          <t>2023-12-31</t>
        </is>
      </c>
      <c r="N4456" t="inlineStr">
        <is>
          <t>auto_ingest=who_gho; indicator=UHC_INDEX_REPORTED; year=2023; country_proxy=New Zealand</t>
        </is>
      </c>
    </row>
    <row r="4457">
      <c r="A4457" t="inlineStr">
        <is>
          <t>nz-dunedin</t>
        </is>
      </c>
      <c r="B4457" t="inlineStr">
        <is>
          <t>Dunedin</t>
        </is>
      </c>
      <c r="C4457" t="inlineStr">
        <is>
          <t>New Zealand</t>
        </is>
      </c>
      <c r="D4457" t="inlineStr">
        <is>
          <t>Oceania</t>
        </is>
      </c>
      <c r="E4457" t="inlineStr">
        <is>
          <t>education_quality_raw</t>
        </is>
      </c>
      <c r="F4457" t="inlineStr">
        <is>
          <t>Education quality raw</t>
        </is>
      </c>
      <c r="G4457" t="inlineStr">
        <is>
          <t>capability</t>
        </is>
      </c>
      <c r="H4457" t="inlineStr">
        <is>
          <t>yes</t>
        </is>
      </c>
      <c r="I4457" t="inlineStr">
        <is>
          <t>76.38</t>
        </is>
      </c>
      <c r="J4457" t="inlineStr">
        <is>
          <t>world_bank</t>
        </is>
      </c>
      <c r="K4457" t="inlineStr">
        <is>
          <t>https://api.worldbank.org/v2/country/NZL/indicator/SE.TER.ENRR?format=json&amp;mrv=10</t>
        </is>
      </c>
      <c r="L4457" t="inlineStr">
        <is>
          <t>World Bank WDI: School enrollment, tertiary (% gross)</t>
        </is>
      </c>
      <c r="M4457" t="inlineStr">
        <is>
          <t>2023-12-31</t>
        </is>
      </c>
      <c r="N4457" t="inlineStr">
        <is>
          <t>auto_ingest=world_bank_proxy; indicator=SE.TER.ENRR; year=2023; country_proxy=New Zealand</t>
        </is>
      </c>
    </row>
    <row r="4458">
      <c r="A4458" t="inlineStr">
        <is>
          <t>nz-dunedin</t>
        </is>
      </c>
      <c r="B4458" t="inlineStr">
        <is>
          <t>Dunedin</t>
        </is>
      </c>
      <c r="C4458" t="inlineStr">
        <is>
          <t>New Zealand</t>
        </is>
      </c>
      <c r="D4458" t="inlineStr">
        <is>
          <t>Oceania</t>
        </is>
      </c>
      <c r="E4458" t="inlineStr">
        <is>
          <t>equal_opportunity_raw</t>
        </is>
      </c>
      <c r="F4458" t="inlineStr">
        <is>
          <t>Equal opportunity raw</t>
        </is>
      </c>
      <c r="G4458" t="inlineStr">
        <is>
          <t>capability</t>
        </is>
      </c>
      <c r="H4458" t="inlineStr">
        <is>
          <t>yes</t>
        </is>
      </c>
      <c r="I4458" t="inlineStr"/>
      <c r="J4458" t="inlineStr"/>
      <c r="K4458" t="inlineStr"/>
      <c r="L4458" t="inlineStr"/>
      <c r="M4458" t="inlineStr"/>
      <c r="N4458" t="inlineStr"/>
    </row>
    <row r="4459">
      <c r="A4459" t="inlineStr">
        <is>
          <t>nz-dunedin</t>
        </is>
      </c>
      <c r="B4459" t="inlineStr">
        <is>
          <t>Dunedin</t>
        </is>
      </c>
      <c r="C4459" t="inlineStr">
        <is>
          <t>New Zealand</t>
        </is>
      </c>
      <c r="D4459" t="inlineStr">
        <is>
          <t>Oceania</t>
        </is>
      </c>
      <c r="E4459" t="inlineStr">
        <is>
          <t>hospitality_belonging_raw</t>
        </is>
      </c>
      <c r="F4459" t="inlineStr">
        <is>
          <t>Hospitality and belonging raw</t>
        </is>
      </c>
      <c r="G4459" t="inlineStr">
        <is>
          <t>community</t>
        </is>
      </c>
      <c r="H4459" t="inlineStr">
        <is>
          <t>yes</t>
        </is>
      </c>
      <c r="I4459" t="inlineStr">
        <is>
          <t>53.29</t>
        </is>
      </c>
      <c r="J4459" t="inlineStr">
        <is>
          <t>world_bank</t>
        </is>
      </c>
      <c r="K4459" t="inlineStr">
        <is>
          <t>https://api.worldbank.org/v2/country/NZL/indicator/SM.POP.NETM?format=json&amp;mrv=10</t>
        </is>
      </c>
      <c r="L4459" t="inlineStr">
        <is>
          <t>World Bank WDI: Net migration (proxy for hospitality/belonging — positive = welcoming)</t>
        </is>
      </c>
      <c r="M4459" t="inlineStr">
        <is>
          <t>2025-12-31</t>
        </is>
      </c>
      <c r="N4459" t="inlineStr">
        <is>
          <t>auto_ingest=world_bank_proxy; proxy=net_migration_hospitality; indicator=SM.POP.NETM; year=2025; country_proxy=New Zealand</t>
        </is>
      </c>
    </row>
    <row r="4460">
      <c r="A4460" t="inlineStr">
        <is>
          <t>nz-dunedin</t>
        </is>
      </c>
      <c r="B4460" t="inlineStr">
        <is>
          <t>Dunedin</t>
        </is>
      </c>
      <c r="C4460" t="inlineStr">
        <is>
          <t>New Zealand</t>
        </is>
      </c>
      <c r="D4460" t="inlineStr">
        <is>
          <t>Oceania</t>
        </is>
      </c>
      <c r="E4460" t="inlineStr">
        <is>
          <t>tolerance_pluralism_raw</t>
        </is>
      </c>
      <c r="F4460" t="inlineStr">
        <is>
          <t>Tolerance and pluralism raw</t>
        </is>
      </c>
      <c r="G4460" t="inlineStr">
        <is>
          <t>community</t>
        </is>
      </c>
      <c r="H4460" t="inlineStr">
        <is>
          <t>yes</t>
        </is>
      </c>
      <c r="I4460" t="inlineStr">
        <is>
          <t>45.53</t>
        </is>
      </c>
      <c r="J4460" t="inlineStr">
        <is>
          <t>world_bank</t>
        </is>
      </c>
      <c r="K4460" t="inlineStr">
        <is>
          <t>https://api.worldbank.org/v2/country/NZL/indicator/SG.GEN.PARL.ZS?format=json&amp;mrv=10</t>
        </is>
      </c>
      <c r="L4460" t="inlineStr">
        <is>
          <t>World Bank WDI: Proportion of seats held by women in national parliaments (%)</t>
        </is>
      </c>
      <c r="M4460" t="inlineStr">
        <is>
          <t>2024-12-31</t>
        </is>
      </c>
      <c r="N4460" t="inlineStr">
        <is>
          <t>auto_ingest=world_bank_proxy; proxy=gender_parity_parliament; indicator=SG.GEN.PARL.ZS; year=2024; country_proxy=New Zealand</t>
        </is>
      </c>
    </row>
    <row r="4461">
      <c r="A4461" t="inlineStr">
        <is>
          <t>nz-dunedin</t>
        </is>
      </c>
      <c r="B4461" t="inlineStr">
        <is>
          <t>Dunedin</t>
        </is>
      </c>
      <c r="C4461" t="inlineStr">
        <is>
          <t>New Zealand</t>
        </is>
      </c>
      <c r="D4461" t="inlineStr">
        <is>
          <t>Oceania</t>
        </is>
      </c>
      <c r="E4461" t="inlineStr">
        <is>
          <t>cultural_public_life_raw</t>
        </is>
      </c>
      <c r="F4461" t="inlineStr">
        <is>
          <t>Cultural public life raw</t>
        </is>
      </c>
      <c r="G4461" t="inlineStr">
        <is>
          <t>community</t>
        </is>
      </c>
      <c r="H4461" t="inlineStr">
        <is>
          <t>yes</t>
        </is>
      </c>
      <c r="I4461" t="inlineStr">
        <is>
          <t>188.37</t>
        </is>
      </c>
      <c r="J4461" t="inlineStr">
        <is>
          <t>world_bank</t>
        </is>
      </c>
      <c r="K4461" t="inlineStr">
        <is>
          <t>https://api.worldbank.org/v2/country/NZL/indicator/ST.INT.ARVL?format=json&amp;mrv=10</t>
        </is>
      </c>
      <c r="L4461" t="inlineStr">
        <is>
          <t>World Bank WDI: International tourism arrivals per 1 000 population</t>
        </is>
      </c>
      <c r="M4461" t="inlineStr">
        <is>
          <t>2020-12-31</t>
        </is>
      </c>
      <c r="N4461" t="inlineStr">
        <is>
          <t>auto_ingest=cultural_life_proxy; indicator=ST.INT.ARVL; norm=per_1000_pop; year=2020; country_proxy=New Zealand</t>
        </is>
      </c>
    </row>
    <row r="4462">
      <c r="A4462" t="inlineStr">
        <is>
          <t>nz-dunedin</t>
        </is>
      </c>
      <c r="B4462" t="inlineStr">
        <is>
          <t>Dunedin</t>
        </is>
      </c>
      <c r="C4462" t="inlineStr">
        <is>
          <t>New Zealand</t>
        </is>
      </c>
      <c r="D4462" t="inlineStr">
        <is>
          <t>Oceania</t>
        </is>
      </c>
      <c r="E4462" t="inlineStr">
        <is>
          <t>birth_rate_optimism_raw</t>
        </is>
      </c>
      <c r="F4462" t="inlineStr">
        <is>
          <t>Birth rate and societal optimism raw</t>
        </is>
      </c>
      <c r="G4462" t="inlineStr">
        <is>
          <t>community</t>
        </is>
      </c>
      <c r="H4462" t="inlineStr">
        <is>
          <t>yes</t>
        </is>
      </c>
      <c r="I4462" t="inlineStr">
        <is>
          <t>1.56</t>
        </is>
      </c>
      <c r="J4462" t="inlineStr">
        <is>
          <t>world_bank</t>
        </is>
      </c>
      <c r="K4462" t="inlineStr">
        <is>
          <t>https://data.worldbank.org/indicator/SP.DYN.TFRT.IN</t>
        </is>
      </c>
      <c r="L4462" t="inlineStr">
        <is>
          <t>World Bank Total Fertility Rate 2023</t>
        </is>
      </c>
      <c r="M4462" t="inlineStr">
        <is>
          <t>2024-01-01</t>
        </is>
      </c>
      <c r="N4462" t="inlineStr"/>
    </row>
    <row r="4463">
      <c r="A4463" t="inlineStr">
        <is>
          <t>nz-dunedin</t>
        </is>
      </c>
      <c r="B4463" t="inlineStr">
        <is>
          <t>Dunedin</t>
        </is>
      </c>
      <c r="C4463" t="inlineStr">
        <is>
          <t>New Zealand</t>
        </is>
      </c>
      <c r="D4463" t="inlineStr">
        <is>
          <t>Oceania</t>
        </is>
      </c>
      <c r="E4463" t="inlineStr">
        <is>
          <t>entrepreneurial_dynamism_raw</t>
        </is>
      </c>
      <c r="F4463" t="inlineStr">
        <is>
          <t>Entrepreneurial dynamism raw</t>
        </is>
      </c>
      <c r="G4463" t="inlineStr">
        <is>
          <t>creative</t>
        </is>
      </c>
      <c r="H4463" t="inlineStr">
        <is>
          <t>yes</t>
        </is>
      </c>
      <c r="I4463" t="inlineStr">
        <is>
          <t>16.32</t>
        </is>
      </c>
      <c r="J4463" t="inlineStr">
        <is>
          <t>world_bank</t>
        </is>
      </c>
      <c r="K4463" t="inlineStr">
        <is>
          <t>https://api.worldbank.org/v2/country/NZL/indicator/IC.BUS.NDNS.ZS?format=json&amp;mrv=10</t>
        </is>
      </c>
      <c r="L4463" t="inlineStr">
        <is>
          <t>World Bank WDI: New business density (new registrations per 1,000 people ages 15-64)</t>
        </is>
      </c>
      <c r="M4463" t="inlineStr">
        <is>
          <t>2022-12-31</t>
        </is>
      </c>
      <c r="N4463" t="inlineStr">
        <is>
          <t>auto_ingest=world_bank_creative_extended; indicator=IC.BUS.NDNS.ZS; year=2022; country_proxy=New Zealand</t>
        </is>
      </c>
    </row>
    <row r="4464">
      <c r="A4464" t="inlineStr">
        <is>
          <t>nz-dunedin</t>
        </is>
      </c>
      <c r="B4464" t="inlineStr">
        <is>
          <t>Dunedin</t>
        </is>
      </c>
      <c r="C4464" t="inlineStr">
        <is>
          <t>New Zealand</t>
        </is>
      </c>
      <c r="D4464" t="inlineStr">
        <is>
          <t>Oceania</t>
        </is>
      </c>
      <c r="E4464" t="inlineStr">
        <is>
          <t>innovation_research_intensity_raw</t>
        </is>
      </c>
      <c r="F4464" t="inlineStr">
        <is>
          <t>Innovation and research raw</t>
        </is>
      </c>
      <c r="G4464" t="inlineStr">
        <is>
          <t>creative</t>
        </is>
      </c>
      <c r="H4464" t="inlineStr">
        <is>
          <t>yes</t>
        </is>
      </c>
      <c r="I4464" t="inlineStr">
        <is>
          <t>1.47</t>
        </is>
      </c>
      <c r="J4464" t="inlineStr">
        <is>
          <t>world_bank</t>
        </is>
      </c>
      <c r="K4464" t="inlineStr">
        <is>
          <t>https://api.worldbank.org/v2/country/NZL/indicator/GB.XPD.RSDV.GD.ZS?format=json&amp;mrv=10</t>
        </is>
      </c>
      <c r="L4464" t="inlineStr">
        <is>
          <t>World Bank WDI: Research and development expenditure (% of GDP)</t>
        </is>
      </c>
      <c r="M4464" t="inlineStr">
        <is>
          <t>2021-12-31</t>
        </is>
      </c>
      <c r="N4464" t="inlineStr">
        <is>
          <t>auto_ingest=world_bank_creative_extended; indicator=GB.XPD.RSDV.GD.ZS; year=2021; country_proxy=New Zealand</t>
        </is>
      </c>
    </row>
    <row r="4465">
      <c r="A4465" t="inlineStr">
        <is>
          <t>nz-dunedin</t>
        </is>
      </c>
      <c r="B4465" t="inlineStr">
        <is>
          <t>Dunedin</t>
        </is>
      </c>
      <c r="C4465" t="inlineStr">
        <is>
          <t>New Zealand</t>
        </is>
      </c>
      <c r="D4465" t="inlineStr">
        <is>
          <t>Oceania</t>
        </is>
      </c>
      <c r="E4465" t="inlineStr">
        <is>
          <t>investment_signal_raw</t>
        </is>
      </c>
      <c r="F4465" t="inlineStr">
        <is>
          <t>Investment signal raw</t>
        </is>
      </c>
      <c r="G4465" t="inlineStr">
        <is>
          <t>creative</t>
        </is>
      </c>
      <c r="H4465" t="inlineStr">
        <is>
          <t>yes</t>
        </is>
      </c>
      <c r="I4465" t="inlineStr">
        <is>
          <t>0.68</t>
        </is>
      </c>
      <c r="J4465" t="inlineStr">
        <is>
          <t>world_bank</t>
        </is>
      </c>
      <c r="K4465" t="inlineStr">
        <is>
          <t>https://api.worldbank.org/v2/country/NZL/indicator/BX.KLT.DINV.WD.GD.ZS?format=json&amp;mrv=10</t>
        </is>
      </c>
      <c r="L4465" t="inlineStr">
        <is>
          <t>World Bank WDI: Foreign direct investment, net inflows (% of GDP)</t>
        </is>
      </c>
      <c r="M4465" t="inlineStr">
        <is>
          <t>2024-12-31</t>
        </is>
      </c>
      <c r="N4465" t="inlineStr">
        <is>
          <t>auto_ingest=world_bank_creative_extended; indicator=BX.KLT.DINV.WD.GD.ZS; year=2024; country_proxy=New Zealand</t>
        </is>
      </c>
    </row>
    <row r="4466">
      <c r="A4466" t="inlineStr">
        <is>
          <t>nz-dunedin</t>
        </is>
      </c>
      <c r="B4466" t="inlineStr">
        <is>
          <t>Dunedin</t>
        </is>
      </c>
      <c r="C4466" t="inlineStr">
        <is>
          <t>New Zealand</t>
        </is>
      </c>
      <c r="D4466" t="inlineStr">
        <is>
          <t>Oceania</t>
        </is>
      </c>
      <c r="E4466" t="inlineStr">
        <is>
          <t>administrative_investment_friction_raw</t>
        </is>
      </c>
      <c r="F4466" t="inlineStr">
        <is>
          <t>Administrative investment friction raw</t>
        </is>
      </c>
      <c r="G4466" t="inlineStr">
        <is>
          <t>creative</t>
        </is>
      </c>
      <c r="H4466" t="inlineStr">
        <is>
          <t>yes</t>
        </is>
      </c>
      <c r="I4466" t="inlineStr">
        <is>
          <t>0.59</t>
        </is>
      </c>
      <c r="J4466" t="inlineStr">
        <is>
          <t>world_bank</t>
        </is>
      </c>
      <c r="K4466" t="inlineStr">
        <is>
          <t>https://api.worldbank.org/v2/country/NZL/indicator/RQ.EST?format=json&amp;mrv=10</t>
        </is>
      </c>
      <c r="L4466" t="inlineStr">
        <is>
          <t>World Bank WGI: Regulatory Quality (inverted as friction proxy)</t>
        </is>
      </c>
      <c r="M4466" t="inlineStr">
        <is>
          <t>2023-12-31</t>
        </is>
      </c>
      <c r="N4466" t="inlineStr">
        <is>
          <t>auto_ingest=world_bank_business_friction; indicator=RQ.EST; raw_rq=1.91022837162018; friction=0.59; year=2023; country_proxy=New Zealand</t>
        </is>
      </c>
    </row>
    <row r="4467">
      <c r="A4467" t="inlineStr">
        <is>
          <t>nz-dunedin</t>
        </is>
      </c>
      <c r="B4467" t="inlineStr">
        <is>
          <t>Dunedin</t>
        </is>
      </c>
      <c r="C4467" t="inlineStr">
        <is>
          <t>New Zealand</t>
        </is>
      </c>
      <c r="D4467" t="inlineStr">
        <is>
          <t>Oceania</t>
        </is>
      </c>
      <c r="E4467" t="inlineStr">
        <is>
          <t>visitor_flow_context_raw</t>
        </is>
      </c>
      <c r="F4467" t="inlineStr">
        <is>
          <t>Visitor flow context raw</t>
        </is>
      </c>
      <c r="G4467" t="inlineStr">
        <is>
          <t>creative</t>
        </is>
      </c>
      <c r="H4467" t="inlineStr">
        <is>
          <t>no</t>
        </is>
      </c>
      <c r="I4467" t="inlineStr"/>
      <c r="J4467" t="inlineStr"/>
      <c r="K4467" t="inlineStr"/>
      <c r="L4467" t="inlineStr"/>
      <c r="M4467" t="inlineStr"/>
      <c r="N4467" t="inlineStr"/>
    </row>
    <row r="4468">
      <c r="A4468" t="inlineStr">
        <is>
          <t>pg-port-moresby</t>
        </is>
      </c>
      <c r="B4468" t="inlineStr">
        <is>
          <t>Port Moresby</t>
        </is>
      </c>
      <c r="C4468" t="inlineStr">
        <is>
          <t>Papua New Guinea</t>
        </is>
      </c>
      <c r="D4468" t="inlineStr">
        <is>
          <t>Oceania</t>
        </is>
      </c>
      <c r="E4468" t="inlineStr">
        <is>
          <t>gross_income</t>
        </is>
      </c>
      <c r="F4468" t="inlineStr">
        <is>
          <t>Gross income</t>
        </is>
      </c>
      <c r="G4468" t="inlineStr">
        <is>
          <t>pressure</t>
        </is>
      </c>
      <c r="H4468" t="inlineStr">
        <is>
          <t>yes</t>
        </is>
      </c>
      <c r="I4468" t="inlineStr">
        <is>
          <t>381.67</t>
        </is>
      </c>
      <c r="J4468" t="inlineStr">
        <is>
          <t>world_bank_col_estimate</t>
        </is>
      </c>
      <c r="K4468" t="inlineStr">
        <is>
          <t>https://api.worldbank.org/v2/country/PNG/indicator/NY.GNP.PCAP.PP.CD?format=json&amp;mrv=10</t>
        </is>
      </c>
      <c r="L4468" t="inlineStr">
        <is>
          <t>World Bank WDI: GNI per capita PPP (monthly USD)</t>
        </is>
      </c>
      <c r="M4468" t="inlineStr">
        <is>
          <t>2024-12-31</t>
        </is>
      </c>
      <c r="N4468" t="inlineStr">
        <is>
          <t>auto_ingest=world_bank_col_estimate; gni_annual=4580.0; year=2024; country_proxy=Papua New Guinea; cohort=Oceania</t>
        </is>
      </c>
    </row>
    <row r="4469">
      <c r="A4469" t="inlineStr">
        <is>
          <t>pg-port-moresby</t>
        </is>
      </c>
      <c r="B4469" t="inlineStr">
        <is>
          <t>Port Moresby</t>
        </is>
      </c>
      <c r="C4469" t="inlineStr">
        <is>
          <t>Papua New Guinea</t>
        </is>
      </c>
      <c r="D4469" t="inlineStr">
        <is>
          <t>Oceania</t>
        </is>
      </c>
      <c r="E4469" t="inlineStr">
        <is>
          <t>di_ppp_raw</t>
        </is>
      </c>
      <c r="F4469" t="inlineStr">
        <is>
          <t>Disposable income PPP (Raw)</t>
        </is>
      </c>
      <c r="G4469" t="inlineStr">
        <is>
          <t>pressure</t>
        </is>
      </c>
      <c r="H4469" t="inlineStr">
        <is>
          <t>yes</t>
        </is>
      </c>
      <c r="I4469" t="inlineStr"/>
      <c r="J4469" t="inlineStr"/>
      <c r="K4469" t="inlineStr"/>
      <c r="L4469" t="inlineStr"/>
      <c r="M4469" t="inlineStr"/>
      <c r="N4469" t="inlineStr"/>
    </row>
    <row r="4470">
      <c r="A4470" t="inlineStr">
        <is>
          <t>pg-port-moresby</t>
        </is>
      </c>
      <c r="B4470" t="inlineStr">
        <is>
          <t>Port Moresby</t>
        </is>
      </c>
      <c r="C4470" t="inlineStr">
        <is>
          <t>Papua New Guinea</t>
        </is>
      </c>
      <c r="D4470" t="inlineStr">
        <is>
          <t>Oceania</t>
        </is>
      </c>
      <c r="E4470" t="inlineStr">
        <is>
          <t>rent</t>
        </is>
      </c>
      <c r="F4470" t="inlineStr">
        <is>
          <t>Rent</t>
        </is>
      </c>
      <c r="G4470" t="inlineStr">
        <is>
          <t>pressure</t>
        </is>
      </c>
      <c r="H4470" t="inlineStr">
        <is>
          <t>yes</t>
        </is>
      </c>
      <c r="I4470" t="inlineStr">
        <is>
          <t>125.95</t>
        </is>
      </c>
      <c r="J4470" t="inlineStr">
        <is>
          <t>world_bank_col_estimate</t>
        </is>
      </c>
      <c r="K4470" t="inlineStr">
        <is>
          <t>https://api.worldbank.org/v2/country/PNG/indicator/NY.GNP.PCAP.PP.CD?format=json&amp;mrv=10</t>
        </is>
      </c>
      <c r="L4470" t="inlineStr">
        <is>
          <t>World Bank GNI + regional expenditure ratio estimate</t>
        </is>
      </c>
      <c r="M4470" t="inlineStr">
        <is>
          <t>2024-12-31</t>
        </is>
      </c>
      <c r="N4470" t="inlineStr">
        <is>
          <t>auto_ingest=world_bank_col_estimate; gni_annual=4580.0; year=2024; country_proxy=Papua New Guinea; cohort=Oceania; city_cost_mult=1.1</t>
        </is>
      </c>
    </row>
    <row r="4471">
      <c r="A4471" t="inlineStr">
        <is>
          <t>pg-port-moresby</t>
        </is>
      </c>
      <c r="B4471" t="inlineStr">
        <is>
          <t>Port Moresby</t>
        </is>
      </c>
      <c r="C4471" t="inlineStr">
        <is>
          <t>Papua New Guinea</t>
        </is>
      </c>
      <c r="D4471" t="inlineStr">
        <is>
          <t>Oceania</t>
        </is>
      </c>
      <c r="E4471" t="inlineStr">
        <is>
          <t>utilities</t>
        </is>
      </c>
      <c r="F4471" t="inlineStr">
        <is>
          <t>Utilities</t>
        </is>
      </c>
      <c r="G4471" t="inlineStr">
        <is>
          <t>pressure</t>
        </is>
      </c>
      <c r="H4471" t="inlineStr">
        <is>
          <t>yes</t>
        </is>
      </c>
      <c r="I4471" t="inlineStr">
        <is>
          <t>25.19</t>
        </is>
      </c>
      <c r="J4471" t="inlineStr">
        <is>
          <t>world_bank_col_estimate</t>
        </is>
      </c>
      <c r="K4471" t="inlineStr">
        <is>
          <t>https://api.worldbank.org/v2/country/PNG/indicator/NY.GNP.PCAP.PP.CD?format=json&amp;mrv=10</t>
        </is>
      </c>
      <c r="L4471" t="inlineStr">
        <is>
          <t>World Bank GNI + regional expenditure ratio estimate</t>
        </is>
      </c>
      <c r="M4471" t="inlineStr">
        <is>
          <t>2024-12-31</t>
        </is>
      </c>
      <c r="N4471" t="inlineStr">
        <is>
          <t>auto_ingest=world_bank_col_estimate; gni_annual=4580.0; year=2024; country_proxy=Papua New Guinea; cohort=Oceania; city_cost_mult=1.1</t>
        </is>
      </c>
    </row>
    <row r="4472">
      <c r="A4472" t="inlineStr">
        <is>
          <t>pg-port-moresby</t>
        </is>
      </c>
      <c r="B4472" t="inlineStr">
        <is>
          <t>Port Moresby</t>
        </is>
      </c>
      <c r="C4472" t="inlineStr">
        <is>
          <t>Papua New Guinea</t>
        </is>
      </c>
      <c r="D4472" t="inlineStr">
        <is>
          <t>Oceania</t>
        </is>
      </c>
      <c r="E4472" t="inlineStr">
        <is>
          <t>transit_cost</t>
        </is>
      </c>
      <c r="F4472" t="inlineStr">
        <is>
          <t>Transit cost</t>
        </is>
      </c>
      <c r="G4472" t="inlineStr">
        <is>
          <t>pressure</t>
        </is>
      </c>
      <c r="H4472" t="inlineStr">
        <is>
          <t>yes</t>
        </is>
      </c>
      <c r="I4472" t="inlineStr">
        <is>
          <t>16.79</t>
        </is>
      </c>
      <c r="J4472" t="inlineStr">
        <is>
          <t>world_bank_col_estimate</t>
        </is>
      </c>
      <c r="K4472" t="inlineStr">
        <is>
          <t>https://api.worldbank.org/v2/country/PNG/indicator/NY.GNP.PCAP.PP.CD?format=json&amp;mrv=10</t>
        </is>
      </c>
      <c r="L4472" t="inlineStr">
        <is>
          <t>World Bank GNI + regional expenditure ratio estimate</t>
        </is>
      </c>
      <c r="M4472" t="inlineStr">
        <is>
          <t>2024-12-31</t>
        </is>
      </c>
      <c r="N4472" t="inlineStr">
        <is>
          <t>auto_ingest=world_bank_col_estimate; gni_annual=4580.0; year=2024; country_proxy=Papua New Guinea; cohort=Oceania; city_cost_mult=1.1</t>
        </is>
      </c>
    </row>
    <row r="4473">
      <c r="A4473" t="inlineStr">
        <is>
          <t>pg-port-moresby</t>
        </is>
      </c>
      <c r="B4473" t="inlineStr">
        <is>
          <t>Port Moresby</t>
        </is>
      </c>
      <c r="C4473" t="inlineStr">
        <is>
          <t>Papua New Guinea</t>
        </is>
      </c>
      <c r="D4473" t="inlineStr">
        <is>
          <t>Oceania</t>
        </is>
      </c>
      <c r="E4473" t="inlineStr">
        <is>
          <t>internet_cost</t>
        </is>
      </c>
      <c r="F4473" t="inlineStr">
        <is>
          <t>Internet cost</t>
        </is>
      </c>
      <c r="G4473" t="inlineStr">
        <is>
          <t>pressure</t>
        </is>
      </c>
      <c r="H4473" t="inlineStr">
        <is>
          <t>yes</t>
        </is>
      </c>
      <c r="I4473" t="inlineStr">
        <is>
          <t>6.3</t>
        </is>
      </c>
      <c r="J4473" t="inlineStr">
        <is>
          <t>world_bank_col_estimate</t>
        </is>
      </c>
      <c r="K4473" t="inlineStr">
        <is>
          <t>https://api.worldbank.org/v2/country/PNG/indicator/NY.GNP.PCAP.PP.CD?format=json&amp;mrv=10</t>
        </is>
      </c>
      <c r="L4473" t="inlineStr">
        <is>
          <t>World Bank GNI + regional expenditure ratio estimate</t>
        </is>
      </c>
      <c r="M4473" t="inlineStr">
        <is>
          <t>2024-12-31</t>
        </is>
      </c>
      <c r="N4473" t="inlineStr">
        <is>
          <t>auto_ingest=world_bank_col_estimate; gni_annual=4580.0; year=2024; country_proxy=Papua New Guinea; cohort=Oceania; city_cost_mult=1.1</t>
        </is>
      </c>
    </row>
    <row r="4474">
      <c r="A4474" t="inlineStr">
        <is>
          <t>pg-port-moresby</t>
        </is>
      </c>
      <c r="B4474" t="inlineStr">
        <is>
          <t>Port Moresby</t>
        </is>
      </c>
      <c r="C4474" t="inlineStr">
        <is>
          <t>Papua New Guinea</t>
        </is>
      </c>
      <c r="D4474" t="inlineStr">
        <is>
          <t>Oceania</t>
        </is>
      </c>
      <c r="E4474" t="inlineStr">
        <is>
          <t>food_cost</t>
        </is>
      </c>
      <c r="F4474" t="inlineStr">
        <is>
          <t>Food cost</t>
        </is>
      </c>
      <c r="G4474" t="inlineStr">
        <is>
          <t>pressure</t>
        </is>
      </c>
      <c r="H4474" t="inlineStr">
        <is>
          <t>yes</t>
        </is>
      </c>
      <c r="I4474" t="inlineStr">
        <is>
          <t>62.98</t>
        </is>
      </c>
      <c r="J4474" t="inlineStr">
        <is>
          <t>world_bank_col_estimate</t>
        </is>
      </c>
      <c r="K4474" t="inlineStr">
        <is>
          <t>https://api.worldbank.org/v2/country/PNG/indicator/NY.GNP.PCAP.PP.CD?format=json&amp;mrv=10</t>
        </is>
      </c>
      <c r="L4474" t="inlineStr">
        <is>
          <t>World Bank GNI + regional expenditure ratio estimate</t>
        </is>
      </c>
      <c r="M4474" t="inlineStr">
        <is>
          <t>2024-12-31</t>
        </is>
      </c>
      <c r="N4474" t="inlineStr">
        <is>
          <t>auto_ingest=world_bank_col_estimate; gni_annual=4580.0; year=2024; country_proxy=Papua New Guinea; cohort=Oceania; city_cost_mult=1.1</t>
        </is>
      </c>
    </row>
    <row r="4475">
      <c r="A4475" t="inlineStr">
        <is>
          <t>pg-port-moresby</t>
        </is>
      </c>
      <c r="B4475" t="inlineStr">
        <is>
          <t>Port Moresby</t>
        </is>
      </c>
      <c r="C4475" t="inlineStr">
        <is>
          <t>Papua New Guinea</t>
        </is>
      </c>
      <c r="D4475" t="inlineStr">
        <is>
          <t>Oceania</t>
        </is>
      </c>
      <c r="E4475" t="inlineStr">
        <is>
          <t>housing_burden_raw</t>
        </is>
      </c>
      <c r="F4475" t="inlineStr">
        <is>
          <t>Housing burden raw</t>
        </is>
      </c>
      <c r="G4475" t="inlineStr">
        <is>
          <t>pressure</t>
        </is>
      </c>
      <c r="H4475" t="inlineStr">
        <is>
          <t>yes</t>
        </is>
      </c>
      <c r="I4475" t="inlineStr">
        <is>
          <t>32.9997</t>
        </is>
      </c>
      <c r="J4475" t="inlineStr">
        <is>
          <t>derived</t>
        </is>
      </c>
      <c r="K4475" t="inlineStr">
        <is>
          <t>https://data.worldbank.org/indicator/NY.GNP.PCAP.PP.CD</t>
        </is>
      </c>
      <c r="L4475" t="inlineStr">
        <is>
          <t>Computed from city_inputs + country_context</t>
        </is>
      </c>
      <c r="M4475" t="inlineStr">
        <is>
          <t>2024-01-01</t>
        </is>
      </c>
      <c r="N4475" t="inlineStr">
        <is>
          <t>derived=rent/gross_income*100</t>
        </is>
      </c>
    </row>
    <row r="4476">
      <c r="A4476" t="inlineStr">
        <is>
          <t>pg-port-moresby</t>
        </is>
      </c>
      <c r="B4476" t="inlineStr">
        <is>
          <t>Port Moresby</t>
        </is>
      </c>
      <c r="C4476" t="inlineStr">
        <is>
          <t>Papua New Guinea</t>
        </is>
      </c>
      <c r="D4476" t="inlineStr">
        <is>
          <t>Oceania</t>
        </is>
      </c>
      <c r="E4476" t="inlineStr">
        <is>
          <t>household_debt_burden_raw</t>
        </is>
      </c>
      <c r="F4476" t="inlineStr">
        <is>
          <t>Household debt burden raw</t>
        </is>
      </c>
      <c r="G4476" t="inlineStr">
        <is>
          <t>pressure</t>
        </is>
      </c>
      <c r="H4476" t="inlineStr">
        <is>
          <t>yes</t>
        </is>
      </c>
      <c r="I4476" t="inlineStr"/>
      <c r="J4476" t="inlineStr"/>
      <c r="K4476" t="inlineStr"/>
      <c r="L4476" t="inlineStr"/>
      <c r="M4476" t="inlineStr"/>
      <c r="N4476" t="inlineStr"/>
    </row>
    <row r="4477">
      <c r="A4477" t="inlineStr">
        <is>
          <t>pg-port-moresby</t>
        </is>
      </c>
      <c r="B4477" t="inlineStr">
        <is>
          <t>Port Moresby</t>
        </is>
      </c>
      <c r="C4477" t="inlineStr">
        <is>
          <t>Papua New Guinea</t>
        </is>
      </c>
      <c r="D4477" t="inlineStr">
        <is>
          <t>Oceania</t>
        </is>
      </c>
      <c r="E4477" t="inlineStr">
        <is>
          <t>working_time_pressure_raw</t>
        </is>
      </c>
      <c r="F4477" t="inlineStr">
        <is>
          <t>Working time pressure raw</t>
        </is>
      </c>
      <c r="G4477" t="inlineStr">
        <is>
          <t>pressure</t>
        </is>
      </c>
      <c r="H4477" t="inlineStr">
        <is>
          <t>yes</t>
        </is>
      </c>
      <c r="I4477" t="inlineStr"/>
      <c r="J4477" t="inlineStr"/>
      <c r="K4477" t="inlineStr"/>
      <c r="L4477" t="inlineStr"/>
      <c r="M4477" t="inlineStr"/>
      <c r="N4477" t="inlineStr"/>
    </row>
    <row r="4478">
      <c r="A4478" t="inlineStr">
        <is>
          <t>pg-port-moresby</t>
        </is>
      </c>
      <c r="B4478" t="inlineStr">
        <is>
          <t>Port Moresby</t>
        </is>
      </c>
      <c r="C4478" t="inlineStr">
        <is>
          <t>Papua New Guinea</t>
        </is>
      </c>
      <c r="D4478" t="inlineStr">
        <is>
          <t>Oceania</t>
        </is>
      </c>
      <c r="E4478" t="inlineStr">
        <is>
          <t>suicide_mental_strain_raw</t>
        </is>
      </c>
      <c r="F4478" t="inlineStr">
        <is>
          <t>Suicide or mental strain raw</t>
        </is>
      </c>
      <c r="G4478" t="inlineStr">
        <is>
          <t>pressure</t>
        </is>
      </c>
      <c r="H4478" t="inlineStr">
        <is>
          <t>yes</t>
        </is>
      </c>
      <c r="I4478" t="inlineStr"/>
      <c r="J4478" t="inlineStr"/>
      <c r="K4478" t="inlineStr"/>
      <c r="L4478" t="inlineStr"/>
      <c r="M4478" t="inlineStr"/>
      <c r="N4478" t="inlineStr"/>
    </row>
    <row r="4479">
      <c r="A4479" t="inlineStr">
        <is>
          <t>pg-port-moresby</t>
        </is>
      </c>
      <c r="B4479" t="inlineStr">
        <is>
          <t>Port Moresby</t>
        </is>
      </c>
      <c r="C4479" t="inlineStr">
        <is>
          <t>Papua New Guinea</t>
        </is>
      </c>
      <c r="D4479" t="inlineStr">
        <is>
          <t>Oceania</t>
        </is>
      </c>
      <c r="E4479" t="inlineStr">
        <is>
          <t>personal_safety_raw</t>
        </is>
      </c>
      <c r="F4479" t="inlineStr">
        <is>
          <t>Personal safety raw</t>
        </is>
      </c>
      <c r="G4479" t="inlineStr">
        <is>
          <t>viability</t>
        </is>
      </c>
      <c r="H4479" t="inlineStr">
        <is>
          <t>yes</t>
        </is>
      </c>
      <c r="I4479" t="inlineStr"/>
      <c r="J4479" t="inlineStr"/>
      <c r="K4479" t="inlineStr"/>
      <c r="L4479" t="inlineStr"/>
      <c r="M4479" t="inlineStr"/>
      <c r="N4479" t="inlineStr"/>
    </row>
    <row r="4480">
      <c r="A4480" t="inlineStr">
        <is>
          <t>pg-port-moresby</t>
        </is>
      </c>
      <c r="B4480" t="inlineStr">
        <is>
          <t>Port Moresby</t>
        </is>
      </c>
      <c r="C4480" t="inlineStr">
        <is>
          <t>Papua New Guinea</t>
        </is>
      </c>
      <c r="D4480" t="inlineStr">
        <is>
          <t>Oceania</t>
        </is>
      </c>
      <c r="E4480" t="inlineStr">
        <is>
          <t>transit_access_commute_raw</t>
        </is>
      </c>
      <c r="F4480" t="inlineStr">
        <is>
          <t>Transit access and commute raw</t>
        </is>
      </c>
      <c r="G4480" t="inlineStr">
        <is>
          <t>viability</t>
        </is>
      </c>
      <c r="H4480" t="inlineStr">
        <is>
          <t>yes</t>
        </is>
      </c>
      <c r="I4480" t="inlineStr"/>
      <c r="J4480" t="inlineStr"/>
      <c r="K4480" t="inlineStr"/>
      <c r="L4480" t="inlineStr"/>
      <c r="M4480" t="inlineStr"/>
      <c r="N4480" t="inlineStr"/>
    </row>
    <row r="4481">
      <c r="A4481" t="inlineStr">
        <is>
          <t>pg-port-moresby</t>
        </is>
      </c>
      <c r="B4481" t="inlineStr">
        <is>
          <t>Port Moresby</t>
        </is>
      </c>
      <c r="C4481" t="inlineStr">
        <is>
          <t>Papua New Guinea</t>
        </is>
      </c>
      <c r="D4481" t="inlineStr">
        <is>
          <t>Oceania</t>
        </is>
      </c>
      <c r="E4481" t="inlineStr">
        <is>
          <t>clean_air_raw</t>
        </is>
      </c>
      <c r="F4481" t="inlineStr">
        <is>
          <t>Clean air raw</t>
        </is>
      </c>
      <c r="G4481" t="inlineStr">
        <is>
          <t>viability</t>
        </is>
      </c>
      <c r="H4481" t="inlineStr">
        <is>
          <t>yes</t>
        </is>
      </c>
      <c r="I4481" t="inlineStr"/>
      <c r="J4481" t="inlineStr"/>
      <c r="K4481" t="inlineStr"/>
      <c r="L4481" t="inlineStr"/>
      <c r="M4481" t="inlineStr"/>
      <c r="N4481" t="inlineStr"/>
    </row>
    <row r="4482">
      <c r="A4482" t="inlineStr">
        <is>
          <t>pg-port-moresby</t>
        </is>
      </c>
      <c r="B4482" t="inlineStr">
        <is>
          <t>Port Moresby</t>
        </is>
      </c>
      <c r="C4482" t="inlineStr">
        <is>
          <t>Papua New Guinea</t>
        </is>
      </c>
      <c r="D4482" t="inlineStr">
        <is>
          <t>Oceania</t>
        </is>
      </c>
      <c r="E4482" t="inlineStr">
        <is>
          <t>water_sanitation_utility_raw</t>
        </is>
      </c>
      <c r="F4482" t="inlineStr">
        <is>
          <t>Water, sanitation, and utility raw</t>
        </is>
      </c>
      <c r="G4482" t="inlineStr">
        <is>
          <t>viability</t>
        </is>
      </c>
      <c r="H4482" t="inlineStr">
        <is>
          <t>yes</t>
        </is>
      </c>
      <c r="I4482" t="inlineStr"/>
      <c r="J4482" t="inlineStr"/>
      <c r="K4482" t="inlineStr"/>
      <c r="L4482" t="inlineStr"/>
      <c r="M4482" t="inlineStr"/>
      <c r="N4482" t="inlineStr"/>
    </row>
    <row r="4483">
      <c r="A4483" t="inlineStr">
        <is>
          <t>pg-port-moresby</t>
        </is>
      </c>
      <c r="B4483" t="inlineStr">
        <is>
          <t>Port Moresby</t>
        </is>
      </c>
      <c r="C4483" t="inlineStr">
        <is>
          <t>Papua New Guinea</t>
        </is>
      </c>
      <c r="D4483" t="inlineStr">
        <is>
          <t>Oceania</t>
        </is>
      </c>
      <c r="E4483" t="inlineStr">
        <is>
          <t>digital_infrastructure_raw</t>
        </is>
      </c>
      <c r="F4483" t="inlineStr">
        <is>
          <t>Digital infrastructure raw</t>
        </is>
      </c>
      <c r="G4483" t="inlineStr">
        <is>
          <t>viability</t>
        </is>
      </c>
      <c r="H4483" t="inlineStr">
        <is>
          <t>yes</t>
        </is>
      </c>
      <c r="I4483" t="inlineStr"/>
      <c r="J4483" t="inlineStr"/>
      <c r="K4483" t="inlineStr"/>
      <c r="L4483" t="inlineStr"/>
      <c r="M4483" t="inlineStr"/>
      <c r="N4483" t="inlineStr"/>
    </row>
    <row r="4484">
      <c r="A4484" t="inlineStr">
        <is>
          <t>pg-port-moresby</t>
        </is>
      </c>
      <c r="B4484" t="inlineStr">
        <is>
          <t>Port Moresby</t>
        </is>
      </c>
      <c r="C4484" t="inlineStr">
        <is>
          <t>Papua New Guinea</t>
        </is>
      </c>
      <c r="D4484" t="inlineStr">
        <is>
          <t>Oceania</t>
        </is>
      </c>
      <c r="E4484" t="inlineStr">
        <is>
          <t>climate_sunlight_livability_raw</t>
        </is>
      </c>
      <c r="F4484" t="inlineStr">
        <is>
          <t>Climate and sunlight livability raw</t>
        </is>
      </c>
      <c r="G4484" t="inlineStr">
        <is>
          <t>viability</t>
        </is>
      </c>
      <c r="H4484" t="inlineStr">
        <is>
          <t>yes</t>
        </is>
      </c>
      <c r="I4484" t="inlineStr"/>
      <c r="J4484" t="inlineStr"/>
      <c r="K4484" t="inlineStr"/>
      <c r="L4484" t="inlineStr"/>
      <c r="M4484" t="inlineStr"/>
      <c r="N4484" t="inlineStr"/>
    </row>
    <row r="4485">
      <c r="A4485" t="inlineStr">
        <is>
          <t>pg-port-moresby</t>
        </is>
      </c>
      <c r="B4485" t="inlineStr">
        <is>
          <t>Port Moresby</t>
        </is>
      </c>
      <c r="C4485" t="inlineStr">
        <is>
          <t>Papua New Guinea</t>
        </is>
      </c>
      <c r="D4485" t="inlineStr">
        <is>
          <t>Oceania</t>
        </is>
      </c>
      <c r="E4485" t="inlineStr">
        <is>
          <t>healthcare_quality_raw</t>
        </is>
      </c>
      <c r="F4485" t="inlineStr">
        <is>
          <t>Healthcare quality raw</t>
        </is>
      </c>
      <c r="G4485" t="inlineStr">
        <is>
          <t>capability</t>
        </is>
      </c>
      <c r="H4485" t="inlineStr">
        <is>
          <t>yes</t>
        </is>
      </c>
      <c r="I4485" t="inlineStr"/>
      <c r="J4485" t="inlineStr"/>
      <c r="K4485" t="inlineStr"/>
      <c r="L4485" t="inlineStr"/>
      <c r="M4485" t="inlineStr"/>
      <c r="N4485" t="inlineStr"/>
    </row>
    <row r="4486">
      <c r="A4486" t="inlineStr">
        <is>
          <t>pg-port-moresby</t>
        </is>
      </c>
      <c r="B4486" t="inlineStr">
        <is>
          <t>Port Moresby</t>
        </is>
      </c>
      <c r="C4486" t="inlineStr">
        <is>
          <t>Papua New Guinea</t>
        </is>
      </c>
      <c r="D4486" t="inlineStr">
        <is>
          <t>Oceania</t>
        </is>
      </c>
      <c r="E4486" t="inlineStr">
        <is>
          <t>education_quality_raw</t>
        </is>
      </c>
      <c r="F4486" t="inlineStr">
        <is>
          <t>Education quality raw</t>
        </is>
      </c>
      <c r="G4486" t="inlineStr">
        <is>
          <t>capability</t>
        </is>
      </c>
      <c r="H4486" t="inlineStr">
        <is>
          <t>yes</t>
        </is>
      </c>
      <c r="I4486" t="inlineStr"/>
      <c r="J4486" t="inlineStr"/>
      <c r="K4486" t="inlineStr"/>
      <c r="L4486" t="inlineStr"/>
      <c r="M4486" t="inlineStr"/>
      <c r="N4486" t="inlineStr"/>
    </row>
    <row r="4487">
      <c r="A4487" t="inlineStr">
        <is>
          <t>pg-port-moresby</t>
        </is>
      </c>
      <c r="B4487" t="inlineStr">
        <is>
          <t>Port Moresby</t>
        </is>
      </c>
      <c r="C4487" t="inlineStr">
        <is>
          <t>Papua New Guinea</t>
        </is>
      </c>
      <c r="D4487" t="inlineStr">
        <is>
          <t>Oceania</t>
        </is>
      </c>
      <c r="E4487" t="inlineStr">
        <is>
          <t>equal_opportunity_raw</t>
        </is>
      </c>
      <c r="F4487" t="inlineStr">
        <is>
          <t>Equal opportunity raw</t>
        </is>
      </c>
      <c r="G4487" t="inlineStr">
        <is>
          <t>capability</t>
        </is>
      </c>
      <c r="H4487" t="inlineStr">
        <is>
          <t>yes</t>
        </is>
      </c>
      <c r="I4487" t="inlineStr"/>
      <c r="J4487" t="inlineStr"/>
      <c r="K4487" t="inlineStr"/>
      <c r="L4487" t="inlineStr"/>
      <c r="M4487" t="inlineStr"/>
      <c r="N4487" t="inlineStr"/>
    </row>
    <row r="4488">
      <c r="A4488" t="inlineStr">
        <is>
          <t>pg-port-moresby</t>
        </is>
      </c>
      <c r="B4488" t="inlineStr">
        <is>
          <t>Port Moresby</t>
        </is>
      </c>
      <c r="C4488" t="inlineStr">
        <is>
          <t>Papua New Guinea</t>
        </is>
      </c>
      <c r="D4488" t="inlineStr">
        <is>
          <t>Oceania</t>
        </is>
      </c>
      <c r="E4488" t="inlineStr">
        <is>
          <t>hospitality_belonging_raw</t>
        </is>
      </c>
      <c r="F4488" t="inlineStr">
        <is>
          <t>Hospitality and belonging raw</t>
        </is>
      </c>
      <c r="G4488" t="inlineStr">
        <is>
          <t>community</t>
        </is>
      </c>
      <c r="H4488" t="inlineStr">
        <is>
          <t>yes</t>
        </is>
      </c>
      <c r="I4488" t="inlineStr"/>
      <c r="J4488" t="inlineStr"/>
      <c r="K4488" t="inlineStr"/>
      <c r="L4488" t="inlineStr"/>
      <c r="M4488" t="inlineStr"/>
      <c r="N4488" t="inlineStr"/>
    </row>
    <row r="4489">
      <c r="A4489" t="inlineStr">
        <is>
          <t>pg-port-moresby</t>
        </is>
      </c>
      <c r="B4489" t="inlineStr">
        <is>
          <t>Port Moresby</t>
        </is>
      </c>
      <c r="C4489" t="inlineStr">
        <is>
          <t>Papua New Guinea</t>
        </is>
      </c>
      <c r="D4489" t="inlineStr">
        <is>
          <t>Oceania</t>
        </is>
      </c>
      <c r="E4489" t="inlineStr">
        <is>
          <t>tolerance_pluralism_raw</t>
        </is>
      </c>
      <c r="F4489" t="inlineStr">
        <is>
          <t>Tolerance and pluralism raw</t>
        </is>
      </c>
      <c r="G4489" t="inlineStr">
        <is>
          <t>community</t>
        </is>
      </c>
      <c r="H4489" t="inlineStr">
        <is>
          <t>yes</t>
        </is>
      </c>
      <c r="I4489" t="inlineStr"/>
      <c r="J4489" t="inlineStr"/>
      <c r="K4489" t="inlineStr"/>
      <c r="L4489" t="inlineStr"/>
      <c r="M4489" t="inlineStr"/>
      <c r="N4489" t="inlineStr"/>
    </row>
    <row r="4490">
      <c r="A4490" t="inlineStr">
        <is>
          <t>pg-port-moresby</t>
        </is>
      </c>
      <c r="B4490" t="inlineStr">
        <is>
          <t>Port Moresby</t>
        </is>
      </c>
      <c r="C4490" t="inlineStr">
        <is>
          <t>Papua New Guinea</t>
        </is>
      </c>
      <c r="D4490" t="inlineStr">
        <is>
          <t>Oceania</t>
        </is>
      </c>
      <c r="E4490" t="inlineStr">
        <is>
          <t>cultural_public_life_raw</t>
        </is>
      </c>
      <c r="F4490" t="inlineStr">
        <is>
          <t>Cultural public life raw</t>
        </is>
      </c>
      <c r="G4490" t="inlineStr">
        <is>
          <t>community</t>
        </is>
      </c>
      <c r="H4490" t="inlineStr">
        <is>
          <t>yes</t>
        </is>
      </c>
      <c r="I4490" t="inlineStr"/>
      <c r="J4490" t="inlineStr"/>
      <c r="K4490" t="inlineStr"/>
      <c r="L4490" t="inlineStr"/>
      <c r="M4490" t="inlineStr"/>
      <c r="N4490" t="inlineStr"/>
    </row>
    <row r="4491">
      <c r="A4491" t="inlineStr">
        <is>
          <t>pg-port-moresby</t>
        </is>
      </c>
      <c r="B4491" t="inlineStr">
        <is>
          <t>Port Moresby</t>
        </is>
      </c>
      <c r="C4491" t="inlineStr">
        <is>
          <t>Papua New Guinea</t>
        </is>
      </c>
      <c r="D4491" t="inlineStr">
        <is>
          <t>Oceania</t>
        </is>
      </c>
      <c r="E4491" t="inlineStr">
        <is>
          <t>birth_rate_optimism_raw</t>
        </is>
      </c>
      <c r="F4491" t="inlineStr">
        <is>
          <t>Birth rate and societal optimism raw</t>
        </is>
      </c>
      <c r="G4491" t="inlineStr">
        <is>
          <t>community</t>
        </is>
      </c>
      <c r="H4491" t="inlineStr">
        <is>
          <t>yes</t>
        </is>
      </c>
      <c r="I4491" t="inlineStr"/>
      <c r="J4491" t="inlineStr"/>
      <c r="K4491" t="inlineStr"/>
      <c r="L4491" t="inlineStr"/>
      <c r="M4491" t="inlineStr"/>
      <c r="N4491" t="inlineStr"/>
    </row>
    <row r="4492">
      <c r="A4492" t="inlineStr">
        <is>
          <t>pg-port-moresby</t>
        </is>
      </c>
      <c r="B4492" t="inlineStr">
        <is>
          <t>Port Moresby</t>
        </is>
      </c>
      <c r="C4492" t="inlineStr">
        <is>
          <t>Papua New Guinea</t>
        </is>
      </c>
      <c r="D4492" t="inlineStr">
        <is>
          <t>Oceania</t>
        </is>
      </c>
      <c r="E4492" t="inlineStr">
        <is>
          <t>entrepreneurial_dynamism_raw</t>
        </is>
      </c>
      <c r="F4492" t="inlineStr">
        <is>
          <t>Entrepreneurial dynamism raw</t>
        </is>
      </c>
      <c r="G4492" t="inlineStr">
        <is>
          <t>creative</t>
        </is>
      </c>
      <c r="H4492" t="inlineStr">
        <is>
          <t>yes</t>
        </is>
      </c>
      <c r="I4492" t="inlineStr">
        <is>
          <t>0.68</t>
        </is>
      </c>
      <c r="J4492" t="inlineStr">
        <is>
          <t>world_bank</t>
        </is>
      </c>
      <c r="K4492" t="inlineStr">
        <is>
          <t>https://api.worldbank.org/v2/country/PNG/indicator/IC.BUS.NDNS.ZS?format=json&amp;mrv=10</t>
        </is>
      </c>
      <c r="L4492" t="inlineStr">
        <is>
          <t>World Bank WDI: New business density (new registrations per 1,000 people ages 15-64)</t>
        </is>
      </c>
      <c r="M4492" t="inlineStr">
        <is>
          <t>2020-12-31</t>
        </is>
      </c>
      <c r="N4492" t="inlineStr">
        <is>
          <t>auto_ingest=world_bank_creative_extended; indicator=IC.BUS.NDNS.ZS; year=2020; country_proxy=Papua New Guinea</t>
        </is>
      </c>
    </row>
    <row r="4493">
      <c r="A4493" t="inlineStr">
        <is>
          <t>pg-port-moresby</t>
        </is>
      </c>
      <c r="B4493" t="inlineStr">
        <is>
          <t>Port Moresby</t>
        </is>
      </c>
      <c r="C4493" t="inlineStr">
        <is>
          <t>Papua New Guinea</t>
        </is>
      </c>
      <c r="D4493" t="inlineStr">
        <is>
          <t>Oceania</t>
        </is>
      </c>
      <c r="E4493" t="inlineStr">
        <is>
          <t>innovation_research_intensity_raw</t>
        </is>
      </c>
      <c r="F4493" t="inlineStr">
        <is>
          <t>Innovation and research raw</t>
        </is>
      </c>
      <c r="G4493" t="inlineStr">
        <is>
          <t>creative</t>
        </is>
      </c>
      <c r="H4493" t="inlineStr">
        <is>
          <t>yes</t>
        </is>
      </c>
      <c r="I4493" t="inlineStr"/>
      <c r="J4493" t="inlineStr"/>
      <c r="K4493" t="inlineStr"/>
      <c r="L4493" t="inlineStr"/>
      <c r="M4493" t="inlineStr"/>
      <c r="N4493" t="inlineStr"/>
    </row>
    <row r="4494">
      <c r="A4494" t="inlineStr">
        <is>
          <t>pg-port-moresby</t>
        </is>
      </c>
      <c r="B4494" t="inlineStr">
        <is>
          <t>Port Moresby</t>
        </is>
      </c>
      <c r="C4494" t="inlineStr">
        <is>
          <t>Papua New Guinea</t>
        </is>
      </c>
      <c r="D4494" t="inlineStr">
        <is>
          <t>Oceania</t>
        </is>
      </c>
      <c r="E4494" t="inlineStr">
        <is>
          <t>investment_signal_raw</t>
        </is>
      </c>
      <c r="F4494" t="inlineStr">
        <is>
          <t>Investment signal raw</t>
        </is>
      </c>
      <c r="G4494" t="inlineStr">
        <is>
          <t>creative</t>
        </is>
      </c>
      <c r="H4494" t="inlineStr">
        <is>
          <t>yes</t>
        </is>
      </c>
      <c r="I4494" t="inlineStr">
        <is>
          <t>-0.62</t>
        </is>
      </c>
      <c r="J4494" t="inlineStr">
        <is>
          <t>world_bank</t>
        </is>
      </c>
      <c r="K4494" t="inlineStr">
        <is>
          <t>https://api.worldbank.org/v2/country/PNG/indicator/BX.KLT.DINV.WD.GD.ZS?format=json&amp;mrv=10</t>
        </is>
      </c>
      <c r="L4494" t="inlineStr">
        <is>
          <t>World Bank WDI: Foreign direct investment, net inflows (% of GDP)</t>
        </is>
      </c>
      <c r="M4494" t="inlineStr">
        <is>
          <t>2024-12-31</t>
        </is>
      </c>
      <c r="N4494" t="inlineStr">
        <is>
          <t>auto_ingest=world_bank_creative_extended; indicator=BX.KLT.DINV.WD.GD.ZS; year=2024; country_proxy=Papua New Guinea</t>
        </is>
      </c>
    </row>
    <row r="4495">
      <c r="A4495" t="inlineStr">
        <is>
          <t>pg-port-moresby</t>
        </is>
      </c>
      <c r="B4495" t="inlineStr">
        <is>
          <t>Port Moresby</t>
        </is>
      </c>
      <c r="C4495" t="inlineStr">
        <is>
          <t>Papua New Guinea</t>
        </is>
      </c>
      <c r="D4495" t="inlineStr">
        <is>
          <t>Oceania</t>
        </is>
      </c>
      <c r="E4495" t="inlineStr">
        <is>
          <t>administrative_investment_friction_raw</t>
        </is>
      </c>
      <c r="F4495" t="inlineStr">
        <is>
          <t>Administrative investment friction raw</t>
        </is>
      </c>
      <c r="G4495" t="inlineStr">
        <is>
          <t>creative</t>
        </is>
      </c>
      <c r="H4495" t="inlineStr">
        <is>
          <t>yes</t>
        </is>
      </c>
      <c r="I4495" t="inlineStr">
        <is>
          <t>3.14</t>
        </is>
      </c>
      <c r="J4495" t="inlineStr">
        <is>
          <t>world_bank</t>
        </is>
      </c>
      <c r="K4495" t="inlineStr">
        <is>
          <t>https://api.worldbank.org/v2/country/PNG/indicator/RQ.EST?format=json&amp;mrv=10</t>
        </is>
      </c>
      <c r="L4495" t="inlineStr">
        <is>
          <t>World Bank WGI: Regulatory Quality (inverted as friction proxy)</t>
        </is>
      </c>
      <c r="M4495" t="inlineStr">
        <is>
          <t>2023-12-31</t>
        </is>
      </c>
      <c r="N4495" t="inlineStr">
        <is>
          <t>auto_ingest=world_bank_business_friction; indicator=RQ.EST; raw_rq=-0.642708241939545; friction=3.14; year=2023; country_proxy=Papua New Guinea</t>
        </is>
      </c>
    </row>
    <row r="4496">
      <c r="A4496" t="inlineStr">
        <is>
          <t>pg-port-moresby</t>
        </is>
      </c>
      <c r="B4496" t="inlineStr">
        <is>
          <t>Port Moresby</t>
        </is>
      </c>
      <c r="C4496" t="inlineStr">
        <is>
          <t>Papua New Guinea</t>
        </is>
      </c>
      <c r="D4496" t="inlineStr">
        <is>
          <t>Oceania</t>
        </is>
      </c>
      <c r="E4496" t="inlineStr">
        <is>
          <t>visitor_flow_context_raw</t>
        </is>
      </c>
      <c r="F4496" t="inlineStr">
        <is>
          <t>Visitor flow context raw</t>
        </is>
      </c>
      <c r="G4496" t="inlineStr">
        <is>
          <t>creative</t>
        </is>
      </c>
      <c r="H4496" t="inlineStr">
        <is>
          <t>no</t>
        </is>
      </c>
      <c r="I4496" t="inlineStr"/>
      <c r="J4496" t="inlineStr"/>
      <c r="K4496" t="inlineStr"/>
      <c r="L4496" t="inlineStr"/>
      <c r="M4496" t="inlineStr"/>
      <c r="N4496" t="inlineStr"/>
    </row>
    <row r="4497">
      <c r="A4497" t="inlineStr">
        <is>
          <t>ws-apia</t>
        </is>
      </c>
      <c r="B4497" t="inlineStr">
        <is>
          <t>Apia</t>
        </is>
      </c>
      <c r="C4497" t="inlineStr">
        <is>
          <t>Samoa</t>
        </is>
      </c>
      <c r="D4497" t="inlineStr">
        <is>
          <t>Oceania</t>
        </is>
      </c>
      <c r="E4497" t="inlineStr">
        <is>
          <t>gross_income</t>
        </is>
      </c>
      <c r="F4497" t="inlineStr">
        <is>
          <t>Gross income</t>
        </is>
      </c>
      <c r="G4497" t="inlineStr">
        <is>
          <t>pressure</t>
        </is>
      </c>
      <c r="H4497" t="inlineStr">
        <is>
          <t>yes</t>
        </is>
      </c>
      <c r="I4497" t="inlineStr">
        <is>
          <t>718.33</t>
        </is>
      </c>
      <c r="J4497" t="inlineStr">
        <is>
          <t>world_bank_col_estimate</t>
        </is>
      </c>
      <c r="K4497" t="inlineStr">
        <is>
          <t>https://api.worldbank.org/v2/country/WSM/indicator/NY.GNP.PCAP.PP.CD?format=json&amp;mrv=10</t>
        </is>
      </c>
      <c r="L4497" t="inlineStr">
        <is>
          <t>World Bank WDI: GNI per capita PPP (monthly USD)</t>
        </is>
      </c>
      <c r="M4497" t="inlineStr">
        <is>
          <t>2024-12-31</t>
        </is>
      </c>
      <c r="N4497" t="inlineStr">
        <is>
          <t>auto_ingest=world_bank_col_estimate; gni_annual=8620.0; year=2024; country_proxy=Samoa; cohort=Oceania</t>
        </is>
      </c>
    </row>
    <row r="4498">
      <c r="A4498" t="inlineStr">
        <is>
          <t>ws-apia</t>
        </is>
      </c>
      <c r="B4498" t="inlineStr">
        <is>
          <t>Apia</t>
        </is>
      </c>
      <c r="C4498" t="inlineStr">
        <is>
          <t>Samoa</t>
        </is>
      </c>
      <c r="D4498" t="inlineStr">
        <is>
          <t>Oceania</t>
        </is>
      </c>
      <c r="E4498" t="inlineStr">
        <is>
          <t>di_ppp_raw</t>
        </is>
      </c>
      <c r="F4498" t="inlineStr">
        <is>
          <t>Disposable income PPP (Raw)</t>
        </is>
      </c>
      <c r="G4498" t="inlineStr">
        <is>
          <t>pressure</t>
        </is>
      </c>
      <c r="H4498" t="inlineStr">
        <is>
          <t>yes</t>
        </is>
      </c>
      <c r="I4498" t="inlineStr"/>
      <c r="J4498" t="inlineStr"/>
      <c r="K4498" t="inlineStr"/>
      <c r="L4498" t="inlineStr"/>
      <c r="M4498" t="inlineStr"/>
      <c r="N4498" t="inlineStr"/>
    </row>
    <row r="4499">
      <c r="A4499" t="inlineStr">
        <is>
          <t>ws-apia</t>
        </is>
      </c>
      <c r="B4499" t="inlineStr">
        <is>
          <t>Apia</t>
        </is>
      </c>
      <c r="C4499" t="inlineStr">
        <is>
          <t>Samoa</t>
        </is>
      </c>
      <c r="D4499" t="inlineStr">
        <is>
          <t>Oceania</t>
        </is>
      </c>
      <c r="E4499" t="inlineStr">
        <is>
          <t>rent</t>
        </is>
      </c>
      <c r="F4499" t="inlineStr">
        <is>
          <t>Rent</t>
        </is>
      </c>
      <c r="G4499" t="inlineStr">
        <is>
          <t>pressure</t>
        </is>
      </c>
      <c r="H4499" t="inlineStr">
        <is>
          <t>yes</t>
        </is>
      </c>
      <c r="I4499" t="inlineStr">
        <is>
          <t>193.95</t>
        </is>
      </c>
      <c r="J4499" t="inlineStr">
        <is>
          <t>world_bank_col_estimate</t>
        </is>
      </c>
      <c r="K4499" t="inlineStr">
        <is>
          <t>https://api.worldbank.org/v2/country/WSM/indicator/NY.GNP.PCAP.PP.CD?format=json&amp;mrv=10</t>
        </is>
      </c>
      <c r="L4499" t="inlineStr">
        <is>
          <t>World Bank GNI + regional expenditure ratio estimate</t>
        </is>
      </c>
      <c r="M4499" t="inlineStr">
        <is>
          <t>2024-12-31</t>
        </is>
      </c>
      <c r="N4499" t="inlineStr">
        <is>
          <t>auto_ingest=world_bank_col_estimate; gni_annual=8620.0; year=2024; country_proxy=Samoa; cohort=Oceania; city_cost_mult=0.9</t>
        </is>
      </c>
    </row>
    <row r="4500">
      <c r="A4500" t="inlineStr">
        <is>
          <t>ws-apia</t>
        </is>
      </c>
      <c r="B4500" t="inlineStr">
        <is>
          <t>Apia</t>
        </is>
      </c>
      <c r="C4500" t="inlineStr">
        <is>
          <t>Samoa</t>
        </is>
      </c>
      <c r="D4500" t="inlineStr">
        <is>
          <t>Oceania</t>
        </is>
      </c>
      <c r="E4500" t="inlineStr">
        <is>
          <t>utilities</t>
        </is>
      </c>
      <c r="F4500" t="inlineStr">
        <is>
          <t>Utilities</t>
        </is>
      </c>
      <c r="G4500" t="inlineStr">
        <is>
          <t>pressure</t>
        </is>
      </c>
      <c r="H4500" t="inlineStr">
        <is>
          <t>yes</t>
        </is>
      </c>
      <c r="I4500" t="inlineStr">
        <is>
          <t>38.79</t>
        </is>
      </c>
      <c r="J4500" t="inlineStr">
        <is>
          <t>world_bank_col_estimate</t>
        </is>
      </c>
      <c r="K4500" t="inlineStr">
        <is>
          <t>https://api.worldbank.org/v2/country/WSM/indicator/NY.GNP.PCAP.PP.CD?format=json&amp;mrv=10</t>
        </is>
      </c>
      <c r="L4500" t="inlineStr">
        <is>
          <t>World Bank GNI + regional expenditure ratio estimate</t>
        </is>
      </c>
      <c r="M4500" t="inlineStr">
        <is>
          <t>2024-12-31</t>
        </is>
      </c>
      <c r="N4500" t="inlineStr">
        <is>
          <t>auto_ingest=world_bank_col_estimate; gni_annual=8620.0; year=2024; country_proxy=Samoa; cohort=Oceania; city_cost_mult=0.9</t>
        </is>
      </c>
    </row>
    <row r="4501">
      <c r="A4501" t="inlineStr">
        <is>
          <t>ws-apia</t>
        </is>
      </c>
      <c r="B4501" t="inlineStr">
        <is>
          <t>Apia</t>
        </is>
      </c>
      <c r="C4501" t="inlineStr">
        <is>
          <t>Samoa</t>
        </is>
      </c>
      <c r="D4501" t="inlineStr">
        <is>
          <t>Oceania</t>
        </is>
      </c>
      <c r="E4501" t="inlineStr">
        <is>
          <t>transit_cost</t>
        </is>
      </c>
      <c r="F4501" t="inlineStr">
        <is>
          <t>Transit cost</t>
        </is>
      </c>
      <c r="G4501" t="inlineStr">
        <is>
          <t>pressure</t>
        </is>
      </c>
      <c r="H4501" t="inlineStr">
        <is>
          <t>yes</t>
        </is>
      </c>
      <c r="I4501" t="inlineStr">
        <is>
          <t>25.86</t>
        </is>
      </c>
      <c r="J4501" t="inlineStr">
        <is>
          <t>world_bank_col_estimate</t>
        </is>
      </c>
      <c r="K4501" t="inlineStr">
        <is>
          <t>https://api.worldbank.org/v2/country/WSM/indicator/NY.GNP.PCAP.PP.CD?format=json&amp;mrv=10</t>
        </is>
      </c>
      <c r="L4501" t="inlineStr">
        <is>
          <t>World Bank GNI + regional expenditure ratio estimate</t>
        </is>
      </c>
      <c r="M4501" t="inlineStr">
        <is>
          <t>2024-12-31</t>
        </is>
      </c>
      <c r="N4501" t="inlineStr">
        <is>
          <t>auto_ingest=world_bank_col_estimate; gni_annual=8620.0; year=2024; country_proxy=Samoa; cohort=Oceania; city_cost_mult=0.9</t>
        </is>
      </c>
    </row>
    <row r="4502">
      <c r="A4502" t="inlineStr">
        <is>
          <t>ws-apia</t>
        </is>
      </c>
      <c r="B4502" t="inlineStr">
        <is>
          <t>Apia</t>
        </is>
      </c>
      <c r="C4502" t="inlineStr">
        <is>
          <t>Samoa</t>
        </is>
      </c>
      <c r="D4502" t="inlineStr">
        <is>
          <t>Oceania</t>
        </is>
      </c>
      <c r="E4502" t="inlineStr">
        <is>
          <t>internet_cost</t>
        </is>
      </c>
      <c r="F4502" t="inlineStr">
        <is>
          <t>Internet cost</t>
        </is>
      </c>
      <c r="G4502" t="inlineStr">
        <is>
          <t>pressure</t>
        </is>
      </c>
      <c r="H4502" t="inlineStr">
        <is>
          <t>yes</t>
        </is>
      </c>
      <c r="I4502" t="inlineStr">
        <is>
          <t>9.7</t>
        </is>
      </c>
      <c r="J4502" t="inlineStr">
        <is>
          <t>world_bank_col_estimate</t>
        </is>
      </c>
      <c r="K4502" t="inlineStr">
        <is>
          <t>https://api.worldbank.org/v2/country/WSM/indicator/NY.GNP.PCAP.PP.CD?format=json&amp;mrv=10</t>
        </is>
      </c>
      <c r="L4502" t="inlineStr">
        <is>
          <t>World Bank GNI + regional expenditure ratio estimate</t>
        </is>
      </c>
      <c r="M4502" t="inlineStr">
        <is>
          <t>2024-12-31</t>
        </is>
      </c>
      <c r="N4502" t="inlineStr">
        <is>
          <t>auto_ingest=world_bank_col_estimate; gni_annual=8620.0; year=2024; country_proxy=Samoa; cohort=Oceania; city_cost_mult=0.9</t>
        </is>
      </c>
    </row>
    <row r="4503">
      <c r="A4503" t="inlineStr">
        <is>
          <t>ws-apia</t>
        </is>
      </c>
      <c r="B4503" t="inlineStr">
        <is>
          <t>Apia</t>
        </is>
      </c>
      <c r="C4503" t="inlineStr">
        <is>
          <t>Samoa</t>
        </is>
      </c>
      <c r="D4503" t="inlineStr">
        <is>
          <t>Oceania</t>
        </is>
      </c>
      <c r="E4503" t="inlineStr">
        <is>
          <t>food_cost</t>
        </is>
      </c>
      <c r="F4503" t="inlineStr">
        <is>
          <t>Food cost</t>
        </is>
      </c>
      <c r="G4503" t="inlineStr">
        <is>
          <t>pressure</t>
        </is>
      </c>
      <c r="H4503" t="inlineStr">
        <is>
          <t>yes</t>
        </is>
      </c>
      <c r="I4503" t="inlineStr">
        <is>
          <t>96.97</t>
        </is>
      </c>
      <c r="J4503" t="inlineStr">
        <is>
          <t>world_bank_col_estimate</t>
        </is>
      </c>
      <c r="K4503" t="inlineStr">
        <is>
          <t>https://api.worldbank.org/v2/country/WSM/indicator/NY.GNP.PCAP.PP.CD?format=json&amp;mrv=10</t>
        </is>
      </c>
      <c r="L4503" t="inlineStr">
        <is>
          <t>World Bank GNI + regional expenditure ratio estimate</t>
        </is>
      </c>
      <c r="M4503" t="inlineStr">
        <is>
          <t>2024-12-31</t>
        </is>
      </c>
      <c r="N4503" t="inlineStr">
        <is>
          <t>auto_ingest=world_bank_col_estimate; gni_annual=8620.0; year=2024; country_proxy=Samoa; cohort=Oceania; city_cost_mult=0.9</t>
        </is>
      </c>
    </row>
    <row r="4504">
      <c r="A4504" t="inlineStr">
        <is>
          <t>ws-apia</t>
        </is>
      </c>
      <c r="B4504" t="inlineStr">
        <is>
          <t>Apia</t>
        </is>
      </c>
      <c r="C4504" t="inlineStr">
        <is>
          <t>Samoa</t>
        </is>
      </c>
      <c r="D4504" t="inlineStr">
        <is>
          <t>Oceania</t>
        </is>
      </c>
      <c r="E4504" t="inlineStr">
        <is>
          <t>housing_burden_raw</t>
        </is>
      </c>
      <c r="F4504" t="inlineStr">
        <is>
          <t>Housing burden raw</t>
        </is>
      </c>
      <c r="G4504" t="inlineStr">
        <is>
          <t>pressure</t>
        </is>
      </c>
      <c r="H4504" t="inlineStr">
        <is>
          <t>yes</t>
        </is>
      </c>
      <c r="I4504" t="inlineStr">
        <is>
          <t>27.0001</t>
        </is>
      </c>
      <c r="J4504" t="inlineStr">
        <is>
          <t>derived</t>
        </is>
      </c>
      <c r="K4504" t="inlineStr">
        <is>
          <t>https://data.worldbank.org/indicator/NY.GNP.PCAP.PP.CD</t>
        </is>
      </c>
      <c r="L4504" t="inlineStr">
        <is>
          <t>Computed from city_inputs + country_context</t>
        </is>
      </c>
      <c r="M4504" t="inlineStr">
        <is>
          <t>2024-01-01</t>
        </is>
      </c>
      <c r="N4504" t="inlineStr">
        <is>
          <t>derived=rent/gross_income*100</t>
        </is>
      </c>
    </row>
    <row r="4505">
      <c r="A4505" t="inlineStr">
        <is>
          <t>ws-apia</t>
        </is>
      </c>
      <c r="B4505" t="inlineStr">
        <is>
          <t>Apia</t>
        </is>
      </c>
      <c r="C4505" t="inlineStr">
        <is>
          <t>Samoa</t>
        </is>
      </c>
      <c r="D4505" t="inlineStr">
        <is>
          <t>Oceania</t>
        </is>
      </c>
      <c r="E4505" t="inlineStr">
        <is>
          <t>household_debt_burden_raw</t>
        </is>
      </c>
      <c r="F4505" t="inlineStr">
        <is>
          <t>Household debt burden raw</t>
        </is>
      </c>
      <c r="G4505" t="inlineStr">
        <is>
          <t>pressure</t>
        </is>
      </c>
      <c r="H4505" t="inlineStr">
        <is>
          <t>yes</t>
        </is>
      </c>
      <c r="I4505" t="inlineStr"/>
      <c r="J4505" t="inlineStr"/>
      <c r="K4505" t="inlineStr"/>
      <c r="L4505" t="inlineStr"/>
      <c r="M4505" t="inlineStr"/>
      <c r="N4505" t="inlineStr"/>
    </row>
    <row r="4506">
      <c r="A4506" t="inlineStr">
        <is>
          <t>ws-apia</t>
        </is>
      </c>
      <c r="B4506" t="inlineStr">
        <is>
          <t>Apia</t>
        </is>
      </c>
      <c r="C4506" t="inlineStr">
        <is>
          <t>Samoa</t>
        </is>
      </c>
      <c r="D4506" t="inlineStr">
        <is>
          <t>Oceania</t>
        </is>
      </c>
      <c r="E4506" t="inlineStr">
        <is>
          <t>working_time_pressure_raw</t>
        </is>
      </c>
      <c r="F4506" t="inlineStr">
        <is>
          <t>Working time pressure raw</t>
        </is>
      </c>
      <c r="G4506" t="inlineStr">
        <is>
          <t>pressure</t>
        </is>
      </c>
      <c r="H4506" t="inlineStr">
        <is>
          <t>yes</t>
        </is>
      </c>
      <c r="I4506" t="inlineStr"/>
      <c r="J4506" t="inlineStr"/>
      <c r="K4506" t="inlineStr"/>
      <c r="L4506" t="inlineStr"/>
      <c r="M4506" t="inlineStr"/>
      <c r="N4506" t="inlineStr"/>
    </row>
    <row r="4507">
      <c r="A4507" t="inlineStr">
        <is>
          <t>ws-apia</t>
        </is>
      </c>
      <c r="B4507" t="inlineStr">
        <is>
          <t>Apia</t>
        </is>
      </c>
      <c r="C4507" t="inlineStr">
        <is>
          <t>Samoa</t>
        </is>
      </c>
      <c r="D4507" t="inlineStr">
        <is>
          <t>Oceania</t>
        </is>
      </c>
      <c r="E4507" t="inlineStr">
        <is>
          <t>suicide_mental_strain_raw</t>
        </is>
      </c>
      <c r="F4507" t="inlineStr">
        <is>
          <t>Suicide or mental strain raw</t>
        </is>
      </c>
      <c r="G4507" t="inlineStr">
        <is>
          <t>pressure</t>
        </is>
      </c>
      <c r="H4507" t="inlineStr">
        <is>
          <t>yes</t>
        </is>
      </c>
      <c r="I4507" t="inlineStr"/>
      <c r="J4507" t="inlineStr"/>
      <c r="K4507" t="inlineStr"/>
      <c r="L4507" t="inlineStr"/>
      <c r="M4507" t="inlineStr"/>
      <c r="N4507" t="inlineStr"/>
    </row>
    <row r="4508">
      <c r="A4508" t="inlineStr">
        <is>
          <t>ws-apia</t>
        </is>
      </c>
      <c r="B4508" t="inlineStr">
        <is>
          <t>Apia</t>
        </is>
      </c>
      <c r="C4508" t="inlineStr">
        <is>
          <t>Samoa</t>
        </is>
      </c>
      <c r="D4508" t="inlineStr">
        <is>
          <t>Oceania</t>
        </is>
      </c>
      <c r="E4508" t="inlineStr">
        <is>
          <t>personal_safety_raw</t>
        </is>
      </c>
      <c r="F4508" t="inlineStr">
        <is>
          <t>Personal safety raw</t>
        </is>
      </c>
      <c r="G4508" t="inlineStr">
        <is>
          <t>viability</t>
        </is>
      </c>
      <c r="H4508" t="inlineStr">
        <is>
          <t>yes</t>
        </is>
      </c>
      <c r="I4508" t="inlineStr"/>
      <c r="J4508" t="inlineStr"/>
      <c r="K4508" t="inlineStr"/>
      <c r="L4508" t="inlineStr"/>
      <c r="M4508" t="inlineStr"/>
      <c r="N4508" t="inlineStr"/>
    </row>
    <row r="4509">
      <c r="A4509" t="inlineStr">
        <is>
          <t>ws-apia</t>
        </is>
      </c>
      <c r="B4509" t="inlineStr">
        <is>
          <t>Apia</t>
        </is>
      </c>
      <c r="C4509" t="inlineStr">
        <is>
          <t>Samoa</t>
        </is>
      </c>
      <c r="D4509" t="inlineStr">
        <is>
          <t>Oceania</t>
        </is>
      </c>
      <c r="E4509" t="inlineStr">
        <is>
          <t>transit_access_commute_raw</t>
        </is>
      </c>
      <c r="F4509" t="inlineStr">
        <is>
          <t>Transit access and commute raw</t>
        </is>
      </c>
      <c r="G4509" t="inlineStr">
        <is>
          <t>viability</t>
        </is>
      </c>
      <c r="H4509" t="inlineStr">
        <is>
          <t>yes</t>
        </is>
      </c>
      <c r="I4509" t="inlineStr"/>
      <c r="J4509" t="inlineStr"/>
      <c r="K4509" t="inlineStr"/>
      <c r="L4509" t="inlineStr"/>
      <c r="M4509" t="inlineStr"/>
      <c r="N4509" t="inlineStr"/>
    </row>
    <row r="4510">
      <c r="A4510" t="inlineStr">
        <is>
          <t>ws-apia</t>
        </is>
      </c>
      <c r="B4510" t="inlineStr">
        <is>
          <t>Apia</t>
        </is>
      </c>
      <c r="C4510" t="inlineStr">
        <is>
          <t>Samoa</t>
        </is>
      </c>
      <c r="D4510" t="inlineStr">
        <is>
          <t>Oceania</t>
        </is>
      </c>
      <c r="E4510" t="inlineStr">
        <is>
          <t>clean_air_raw</t>
        </is>
      </c>
      <c r="F4510" t="inlineStr">
        <is>
          <t>Clean air raw</t>
        </is>
      </c>
      <c r="G4510" t="inlineStr">
        <is>
          <t>viability</t>
        </is>
      </c>
      <c r="H4510" t="inlineStr">
        <is>
          <t>yes</t>
        </is>
      </c>
      <c r="I4510" t="inlineStr"/>
      <c r="J4510" t="inlineStr"/>
      <c r="K4510" t="inlineStr"/>
      <c r="L4510" t="inlineStr"/>
      <c r="M4510" t="inlineStr"/>
      <c r="N4510" t="inlineStr"/>
    </row>
    <row r="4511">
      <c r="A4511" t="inlineStr">
        <is>
          <t>ws-apia</t>
        </is>
      </c>
      <c r="B4511" t="inlineStr">
        <is>
          <t>Apia</t>
        </is>
      </c>
      <c r="C4511" t="inlineStr">
        <is>
          <t>Samoa</t>
        </is>
      </c>
      <c r="D4511" t="inlineStr">
        <is>
          <t>Oceania</t>
        </is>
      </c>
      <c r="E4511" t="inlineStr">
        <is>
          <t>water_sanitation_utility_raw</t>
        </is>
      </c>
      <c r="F4511" t="inlineStr">
        <is>
          <t>Water, sanitation, and utility raw</t>
        </is>
      </c>
      <c r="G4511" t="inlineStr">
        <is>
          <t>viability</t>
        </is>
      </c>
      <c r="H4511" t="inlineStr">
        <is>
          <t>yes</t>
        </is>
      </c>
      <c r="I4511" t="inlineStr"/>
      <c r="J4511" t="inlineStr"/>
      <c r="K4511" t="inlineStr"/>
      <c r="L4511" t="inlineStr"/>
      <c r="M4511" t="inlineStr"/>
      <c r="N4511" t="inlineStr"/>
    </row>
    <row r="4512">
      <c r="A4512" t="inlineStr">
        <is>
          <t>ws-apia</t>
        </is>
      </c>
      <c r="B4512" t="inlineStr">
        <is>
          <t>Apia</t>
        </is>
      </c>
      <c r="C4512" t="inlineStr">
        <is>
          <t>Samoa</t>
        </is>
      </c>
      <c r="D4512" t="inlineStr">
        <is>
          <t>Oceania</t>
        </is>
      </c>
      <c r="E4512" t="inlineStr">
        <is>
          <t>digital_infrastructure_raw</t>
        </is>
      </c>
      <c r="F4512" t="inlineStr">
        <is>
          <t>Digital infrastructure raw</t>
        </is>
      </c>
      <c r="G4512" t="inlineStr">
        <is>
          <t>viability</t>
        </is>
      </c>
      <c r="H4512" t="inlineStr">
        <is>
          <t>yes</t>
        </is>
      </c>
      <c r="I4512" t="inlineStr"/>
      <c r="J4512" t="inlineStr"/>
      <c r="K4512" t="inlineStr"/>
      <c r="L4512" t="inlineStr"/>
      <c r="M4512" t="inlineStr"/>
      <c r="N4512" t="inlineStr"/>
    </row>
    <row r="4513">
      <c r="A4513" t="inlineStr">
        <is>
          <t>ws-apia</t>
        </is>
      </c>
      <c r="B4513" t="inlineStr">
        <is>
          <t>Apia</t>
        </is>
      </c>
      <c r="C4513" t="inlineStr">
        <is>
          <t>Samoa</t>
        </is>
      </c>
      <c r="D4513" t="inlineStr">
        <is>
          <t>Oceania</t>
        </is>
      </c>
      <c r="E4513" t="inlineStr">
        <is>
          <t>climate_sunlight_livability_raw</t>
        </is>
      </c>
      <c r="F4513" t="inlineStr">
        <is>
          <t>Climate and sunlight livability raw</t>
        </is>
      </c>
      <c r="G4513" t="inlineStr">
        <is>
          <t>viability</t>
        </is>
      </c>
      <c r="H4513" t="inlineStr">
        <is>
          <t>yes</t>
        </is>
      </c>
      <c r="I4513" t="inlineStr"/>
      <c r="J4513" t="inlineStr"/>
      <c r="K4513" t="inlineStr"/>
      <c r="L4513" t="inlineStr"/>
      <c r="M4513" t="inlineStr"/>
      <c r="N4513" t="inlineStr"/>
    </row>
    <row r="4514">
      <c r="A4514" t="inlineStr">
        <is>
          <t>ws-apia</t>
        </is>
      </c>
      <c r="B4514" t="inlineStr">
        <is>
          <t>Apia</t>
        </is>
      </c>
      <c r="C4514" t="inlineStr">
        <is>
          <t>Samoa</t>
        </is>
      </c>
      <c r="D4514" t="inlineStr">
        <is>
          <t>Oceania</t>
        </is>
      </c>
      <c r="E4514" t="inlineStr">
        <is>
          <t>healthcare_quality_raw</t>
        </is>
      </c>
      <c r="F4514" t="inlineStr">
        <is>
          <t>Healthcare quality raw</t>
        </is>
      </c>
      <c r="G4514" t="inlineStr">
        <is>
          <t>capability</t>
        </is>
      </c>
      <c r="H4514" t="inlineStr">
        <is>
          <t>yes</t>
        </is>
      </c>
      <c r="I4514" t="inlineStr"/>
      <c r="J4514" t="inlineStr"/>
      <c r="K4514" t="inlineStr"/>
      <c r="L4514" t="inlineStr"/>
      <c r="M4514" t="inlineStr"/>
      <c r="N4514" t="inlineStr"/>
    </row>
    <row r="4515">
      <c r="A4515" t="inlineStr">
        <is>
          <t>ws-apia</t>
        </is>
      </c>
      <c r="B4515" t="inlineStr">
        <is>
          <t>Apia</t>
        </is>
      </c>
      <c r="C4515" t="inlineStr">
        <is>
          <t>Samoa</t>
        </is>
      </c>
      <c r="D4515" t="inlineStr">
        <is>
          <t>Oceania</t>
        </is>
      </c>
      <c r="E4515" t="inlineStr">
        <is>
          <t>education_quality_raw</t>
        </is>
      </c>
      <c r="F4515" t="inlineStr">
        <is>
          <t>Education quality raw</t>
        </is>
      </c>
      <c r="G4515" t="inlineStr">
        <is>
          <t>capability</t>
        </is>
      </c>
      <c r="H4515" t="inlineStr">
        <is>
          <t>yes</t>
        </is>
      </c>
      <c r="I4515" t="inlineStr"/>
      <c r="J4515" t="inlineStr"/>
      <c r="K4515" t="inlineStr"/>
      <c r="L4515" t="inlineStr"/>
      <c r="M4515" t="inlineStr"/>
      <c r="N4515" t="inlineStr"/>
    </row>
    <row r="4516">
      <c r="A4516" t="inlineStr">
        <is>
          <t>ws-apia</t>
        </is>
      </c>
      <c r="B4516" t="inlineStr">
        <is>
          <t>Apia</t>
        </is>
      </c>
      <c r="C4516" t="inlineStr">
        <is>
          <t>Samoa</t>
        </is>
      </c>
      <c r="D4516" t="inlineStr">
        <is>
          <t>Oceania</t>
        </is>
      </c>
      <c r="E4516" t="inlineStr">
        <is>
          <t>equal_opportunity_raw</t>
        </is>
      </c>
      <c r="F4516" t="inlineStr">
        <is>
          <t>Equal opportunity raw</t>
        </is>
      </c>
      <c r="G4516" t="inlineStr">
        <is>
          <t>capability</t>
        </is>
      </c>
      <c r="H4516" t="inlineStr">
        <is>
          <t>yes</t>
        </is>
      </c>
      <c r="I4516" t="inlineStr"/>
      <c r="J4516" t="inlineStr"/>
      <c r="K4516" t="inlineStr"/>
      <c r="L4516" t="inlineStr"/>
      <c r="M4516" t="inlineStr"/>
      <c r="N4516" t="inlineStr"/>
    </row>
    <row r="4517">
      <c r="A4517" t="inlineStr">
        <is>
          <t>ws-apia</t>
        </is>
      </c>
      <c r="B4517" t="inlineStr">
        <is>
          <t>Apia</t>
        </is>
      </c>
      <c r="C4517" t="inlineStr">
        <is>
          <t>Samoa</t>
        </is>
      </c>
      <c r="D4517" t="inlineStr">
        <is>
          <t>Oceania</t>
        </is>
      </c>
      <c r="E4517" t="inlineStr">
        <is>
          <t>hospitality_belonging_raw</t>
        </is>
      </c>
      <c r="F4517" t="inlineStr">
        <is>
          <t>Hospitality and belonging raw</t>
        </is>
      </c>
      <c r="G4517" t="inlineStr">
        <is>
          <t>community</t>
        </is>
      </c>
      <c r="H4517" t="inlineStr">
        <is>
          <t>yes</t>
        </is>
      </c>
      <c r="I4517" t="inlineStr"/>
      <c r="J4517" t="inlineStr"/>
      <c r="K4517" t="inlineStr"/>
      <c r="L4517" t="inlineStr"/>
      <c r="M4517" t="inlineStr"/>
      <c r="N4517" t="inlineStr"/>
    </row>
    <row r="4518">
      <c r="A4518" t="inlineStr">
        <is>
          <t>ws-apia</t>
        </is>
      </c>
      <c r="B4518" t="inlineStr">
        <is>
          <t>Apia</t>
        </is>
      </c>
      <c r="C4518" t="inlineStr">
        <is>
          <t>Samoa</t>
        </is>
      </c>
      <c r="D4518" t="inlineStr">
        <is>
          <t>Oceania</t>
        </is>
      </c>
      <c r="E4518" t="inlineStr">
        <is>
          <t>tolerance_pluralism_raw</t>
        </is>
      </c>
      <c r="F4518" t="inlineStr">
        <is>
          <t>Tolerance and pluralism raw</t>
        </is>
      </c>
      <c r="G4518" t="inlineStr">
        <is>
          <t>community</t>
        </is>
      </c>
      <c r="H4518" t="inlineStr">
        <is>
          <t>yes</t>
        </is>
      </c>
      <c r="I4518" t="inlineStr"/>
      <c r="J4518" t="inlineStr"/>
      <c r="K4518" t="inlineStr"/>
      <c r="L4518" t="inlineStr"/>
      <c r="M4518" t="inlineStr"/>
      <c r="N4518" t="inlineStr"/>
    </row>
    <row r="4519">
      <c r="A4519" t="inlineStr">
        <is>
          <t>ws-apia</t>
        </is>
      </c>
      <c r="B4519" t="inlineStr">
        <is>
          <t>Apia</t>
        </is>
      </c>
      <c r="C4519" t="inlineStr">
        <is>
          <t>Samoa</t>
        </is>
      </c>
      <c r="D4519" t="inlineStr">
        <is>
          <t>Oceania</t>
        </is>
      </c>
      <c r="E4519" t="inlineStr">
        <is>
          <t>cultural_public_life_raw</t>
        </is>
      </c>
      <c r="F4519" t="inlineStr">
        <is>
          <t>Cultural public life raw</t>
        </is>
      </c>
      <c r="G4519" t="inlineStr">
        <is>
          <t>community</t>
        </is>
      </c>
      <c r="H4519" t="inlineStr">
        <is>
          <t>yes</t>
        </is>
      </c>
      <c r="I4519" t="inlineStr"/>
      <c r="J4519" t="inlineStr"/>
      <c r="K4519" t="inlineStr"/>
      <c r="L4519" t="inlineStr"/>
      <c r="M4519" t="inlineStr"/>
      <c r="N4519" t="inlineStr"/>
    </row>
    <row r="4520">
      <c r="A4520" t="inlineStr">
        <is>
          <t>ws-apia</t>
        </is>
      </c>
      <c r="B4520" t="inlineStr">
        <is>
          <t>Apia</t>
        </is>
      </c>
      <c r="C4520" t="inlineStr">
        <is>
          <t>Samoa</t>
        </is>
      </c>
      <c r="D4520" t="inlineStr">
        <is>
          <t>Oceania</t>
        </is>
      </c>
      <c r="E4520" t="inlineStr">
        <is>
          <t>birth_rate_optimism_raw</t>
        </is>
      </c>
      <c r="F4520" t="inlineStr">
        <is>
          <t>Birth rate and societal optimism raw</t>
        </is>
      </c>
      <c r="G4520" t="inlineStr">
        <is>
          <t>community</t>
        </is>
      </c>
      <c r="H4520" t="inlineStr">
        <is>
          <t>yes</t>
        </is>
      </c>
      <c r="I4520" t="inlineStr"/>
      <c r="J4520" t="inlineStr"/>
      <c r="K4520" t="inlineStr"/>
      <c r="L4520" t="inlineStr"/>
      <c r="M4520" t="inlineStr"/>
      <c r="N4520" t="inlineStr"/>
    </row>
    <row r="4521">
      <c r="A4521" t="inlineStr">
        <is>
          <t>ws-apia</t>
        </is>
      </c>
      <c r="B4521" t="inlineStr">
        <is>
          <t>Apia</t>
        </is>
      </c>
      <c r="C4521" t="inlineStr">
        <is>
          <t>Samoa</t>
        </is>
      </c>
      <c r="D4521" t="inlineStr">
        <is>
          <t>Oceania</t>
        </is>
      </c>
      <c r="E4521" t="inlineStr">
        <is>
          <t>entrepreneurial_dynamism_raw</t>
        </is>
      </c>
      <c r="F4521" t="inlineStr">
        <is>
          <t>Entrepreneurial dynamism raw</t>
        </is>
      </c>
      <c r="G4521" t="inlineStr">
        <is>
          <t>creative</t>
        </is>
      </c>
      <c r="H4521" t="inlineStr">
        <is>
          <t>yes</t>
        </is>
      </c>
      <c r="I4521" t="inlineStr">
        <is>
          <t>0.68</t>
        </is>
      </c>
      <c r="J4521" t="inlineStr">
        <is>
          <t>world_bank</t>
        </is>
      </c>
      <c r="K4521" t="inlineStr">
        <is>
          <t>https://api.worldbank.org/v2/country/WSM/indicator/IC.BUS.NDNS.ZS?format=json&amp;mrv=10</t>
        </is>
      </c>
      <c r="L4521" t="inlineStr">
        <is>
          <t>World Bank WDI: New business density (new registrations per 1,000 people ages 15-64)</t>
        </is>
      </c>
      <c r="M4521" t="inlineStr">
        <is>
          <t>2022-12-31</t>
        </is>
      </c>
      <c r="N4521" t="inlineStr">
        <is>
          <t>auto_ingest=world_bank_creative_extended; indicator=IC.BUS.NDNS.ZS; year=2022; country_proxy=Samoa</t>
        </is>
      </c>
    </row>
    <row r="4522">
      <c r="A4522" t="inlineStr">
        <is>
          <t>ws-apia</t>
        </is>
      </c>
      <c r="B4522" t="inlineStr">
        <is>
          <t>Apia</t>
        </is>
      </c>
      <c r="C4522" t="inlineStr">
        <is>
          <t>Samoa</t>
        </is>
      </c>
      <c r="D4522" t="inlineStr">
        <is>
          <t>Oceania</t>
        </is>
      </c>
      <c r="E4522" t="inlineStr">
        <is>
          <t>innovation_research_intensity_raw</t>
        </is>
      </c>
      <c r="F4522" t="inlineStr">
        <is>
          <t>Innovation and research raw</t>
        </is>
      </c>
      <c r="G4522" t="inlineStr">
        <is>
          <t>creative</t>
        </is>
      </c>
      <c r="H4522" t="inlineStr">
        <is>
          <t>yes</t>
        </is>
      </c>
      <c r="I4522" t="inlineStr"/>
      <c r="J4522" t="inlineStr"/>
      <c r="K4522" t="inlineStr"/>
      <c r="L4522" t="inlineStr"/>
      <c r="M4522" t="inlineStr"/>
      <c r="N4522" t="inlineStr"/>
    </row>
    <row r="4523">
      <c r="A4523" t="inlineStr">
        <is>
          <t>ws-apia</t>
        </is>
      </c>
      <c r="B4523" t="inlineStr">
        <is>
          <t>Apia</t>
        </is>
      </c>
      <c r="C4523" t="inlineStr">
        <is>
          <t>Samoa</t>
        </is>
      </c>
      <c r="D4523" t="inlineStr">
        <is>
          <t>Oceania</t>
        </is>
      </c>
      <c r="E4523" t="inlineStr">
        <is>
          <t>investment_signal_raw</t>
        </is>
      </c>
      <c r="F4523" t="inlineStr">
        <is>
          <t>Investment signal raw</t>
        </is>
      </c>
      <c r="G4523" t="inlineStr">
        <is>
          <t>creative</t>
        </is>
      </c>
      <c r="H4523" t="inlineStr">
        <is>
          <t>yes</t>
        </is>
      </c>
      <c r="I4523" t="inlineStr">
        <is>
          <t>0.32</t>
        </is>
      </c>
      <c r="J4523" t="inlineStr">
        <is>
          <t>world_bank</t>
        </is>
      </c>
      <c r="K4523" t="inlineStr">
        <is>
          <t>https://api.worldbank.org/v2/country/WSM/indicator/BX.KLT.DINV.WD.GD.ZS?format=json&amp;mrv=10</t>
        </is>
      </c>
      <c r="L4523" t="inlineStr">
        <is>
          <t>World Bank WDI: Foreign direct investment, net inflows (% of GDP)</t>
        </is>
      </c>
      <c r="M4523" t="inlineStr">
        <is>
          <t>2024-12-31</t>
        </is>
      </c>
      <c r="N4523" t="inlineStr">
        <is>
          <t>auto_ingest=world_bank_creative_extended; indicator=BX.KLT.DINV.WD.GD.ZS; year=2024; country_proxy=Samoa</t>
        </is>
      </c>
    </row>
    <row r="4524">
      <c r="A4524" t="inlineStr">
        <is>
          <t>ws-apia</t>
        </is>
      </c>
      <c r="B4524" t="inlineStr">
        <is>
          <t>Apia</t>
        </is>
      </c>
      <c r="C4524" t="inlineStr">
        <is>
          <t>Samoa</t>
        </is>
      </c>
      <c r="D4524" t="inlineStr">
        <is>
          <t>Oceania</t>
        </is>
      </c>
      <c r="E4524" t="inlineStr">
        <is>
          <t>administrative_investment_friction_raw</t>
        </is>
      </c>
      <c r="F4524" t="inlineStr">
        <is>
          <t>Administrative investment friction raw</t>
        </is>
      </c>
      <c r="G4524" t="inlineStr">
        <is>
          <t>creative</t>
        </is>
      </c>
      <c r="H4524" t="inlineStr">
        <is>
          <t>yes</t>
        </is>
      </c>
      <c r="I4524" t="inlineStr">
        <is>
          <t>2.77</t>
        </is>
      </c>
      <c r="J4524" t="inlineStr">
        <is>
          <t>world_bank</t>
        </is>
      </c>
      <c r="K4524" t="inlineStr">
        <is>
          <t>https://api.worldbank.org/v2/country/WSM/indicator/RQ.EST?format=json&amp;mrv=10</t>
        </is>
      </c>
      <c r="L4524" t="inlineStr">
        <is>
          <t>World Bank WGI: Regulatory Quality (inverted as friction proxy)</t>
        </is>
      </c>
      <c r="M4524" t="inlineStr">
        <is>
          <t>2023-12-31</t>
        </is>
      </c>
      <c r="N4524" t="inlineStr">
        <is>
          <t>auto_ingest=world_bank_business_friction; indicator=RQ.EST; raw_rq=-0.270534545183182; friction=2.77; year=2023; country_proxy=Samoa</t>
        </is>
      </c>
    </row>
    <row r="4525">
      <c r="A4525" t="inlineStr">
        <is>
          <t>ws-apia</t>
        </is>
      </c>
      <c r="B4525" t="inlineStr">
        <is>
          <t>Apia</t>
        </is>
      </c>
      <c r="C4525" t="inlineStr">
        <is>
          <t>Samoa</t>
        </is>
      </c>
      <c r="D4525" t="inlineStr">
        <is>
          <t>Oceania</t>
        </is>
      </c>
      <c r="E4525" t="inlineStr">
        <is>
          <t>visitor_flow_context_raw</t>
        </is>
      </c>
      <c r="F4525" t="inlineStr">
        <is>
          <t>Visitor flow context raw</t>
        </is>
      </c>
      <c r="G4525" t="inlineStr">
        <is>
          <t>creative</t>
        </is>
      </c>
      <c r="H4525" t="inlineStr">
        <is>
          <t>no</t>
        </is>
      </c>
      <c r="I4525" t="inlineStr"/>
      <c r="J4525" t="inlineStr"/>
      <c r="K4525" t="inlineStr"/>
      <c r="L4525" t="inlineStr"/>
      <c r="M4525" t="inlineStr"/>
      <c r="N4525" t="inlineStr"/>
    </row>
    <row r="4526">
      <c r="A4526" t="inlineStr">
        <is>
          <t>vu-port-vila</t>
        </is>
      </c>
      <c r="B4526" t="inlineStr">
        <is>
          <t>Port Vila</t>
        </is>
      </c>
      <c r="C4526" t="inlineStr">
        <is>
          <t>Vanuatu</t>
        </is>
      </c>
      <c r="D4526" t="inlineStr">
        <is>
          <t>Oceania</t>
        </is>
      </c>
      <c r="E4526" t="inlineStr">
        <is>
          <t>gross_income</t>
        </is>
      </c>
      <c r="F4526" t="inlineStr">
        <is>
          <t>Gross income</t>
        </is>
      </c>
      <c r="G4526" t="inlineStr">
        <is>
          <t>pressure</t>
        </is>
      </c>
      <c r="H4526" t="inlineStr">
        <is>
          <t>yes</t>
        </is>
      </c>
      <c r="I4526" t="inlineStr">
        <is>
          <t>345.0</t>
        </is>
      </c>
      <c r="J4526" t="inlineStr">
        <is>
          <t>world_bank_col_estimate</t>
        </is>
      </c>
      <c r="K4526" t="inlineStr">
        <is>
          <t>https://api.worldbank.org/v2/country/VUT/indicator/NY.GNP.PCAP.PP.CD?format=json&amp;mrv=10</t>
        </is>
      </c>
      <c r="L4526" t="inlineStr">
        <is>
          <t>World Bank WDI: GNI per capita PPP (monthly USD)</t>
        </is>
      </c>
      <c r="M4526" t="inlineStr">
        <is>
          <t>2024-12-31</t>
        </is>
      </c>
      <c r="N4526" t="inlineStr">
        <is>
          <t>auto_ingest=world_bank_col_estimate; gni_annual=4140.0; year=2024; country_proxy=Vanuatu; cohort=Oceania</t>
        </is>
      </c>
    </row>
    <row r="4527">
      <c r="A4527" t="inlineStr">
        <is>
          <t>vu-port-vila</t>
        </is>
      </c>
      <c r="B4527" t="inlineStr">
        <is>
          <t>Port Vila</t>
        </is>
      </c>
      <c r="C4527" t="inlineStr">
        <is>
          <t>Vanuatu</t>
        </is>
      </c>
      <c r="D4527" t="inlineStr">
        <is>
          <t>Oceania</t>
        </is>
      </c>
      <c r="E4527" t="inlineStr">
        <is>
          <t>di_ppp_raw</t>
        </is>
      </c>
      <c r="F4527" t="inlineStr">
        <is>
          <t>Disposable income PPP (Raw)</t>
        </is>
      </c>
      <c r="G4527" t="inlineStr">
        <is>
          <t>pressure</t>
        </is>
      </c>
      <c r="H4527" t="inlineStr">
        <is>
          <t>yes</t>
        </is>
      </c>
      <c r="I4527" t="inlineStr"/>
      <c r="J4527" t="inlineStr"/>
      <c r="K4527" t="inlineStr"/>
      <c r="L4527" t="inlineStr"/>
      <c r="M4527" t="inlineStr"/>
      <c r="N4527" t="inlineStr"/>
    </row>
    <row r="4528">
      <c r="A4528" t="inlineStr">
        <is>
          <t>vu-port-vila</t>
        </is>
      </c>
      <c r="B4528" t="inlineStr">
        <is>
          <t>Port Vila</t>
        </is>
      </c>
      <c r="C4528" t="inlineStr">
        <is>
          <t>Vanuatu</t>
        </is>
      </c>
      <c r="D4528" t="inlineStr">
        <is>
          <t>Oceania</t>
        </is>
      </c>
      <c r="E4528" t="inlineStr">
        <is>
          <t>rent</t>
        </is>
      </c>
      <c r="F4528" t="inlineStr">
        <is>
          <t>Rent</t>
        </is>
      </c>
      <c r="G4528" t="inlineStr">
        <is>
          <t>pressure</t>
        </is>
      </c>
      <c r="H4528" t="inlineStr">
        <is>
          <t>yes</t>
        </is>
      </c>
      <c r="I4528" t="inlineStr">
        <is>
          <t>98.32</t>
        </is>
      </c>
      <c r="J4528" t="inlineStr">
        <is>
          <t>world_bank_col_estimate</t>
        </is>
      </c>
      <c r="K4528" t="inlineStr">
        <is>
          <t>https://api.worldbank.org/v2/country/VUT/indicator/NY.GNP.PCAP.PP.CD?format=json&amp;mrv=10</t>
        </is>
      </c>
      <c r="L4528" t="inlineStr">
        <is>
          <t>World Bank GNI + regional expenditure ratio estimate</t>
        </is>
      </c>
      <c r="M4528" t="inlineStr">
        <is>
          <t>2024-12-31</t>
        </is>
      </c>
      <c r="N4528" t="inlineStr">
        <is>
          <t>auto_ingest=world_bank_col_estimate; gni_annual=4140.0; year=2024; country_proxy=Vanuatu; cohort=Oceania; city_cost_mult=0.95</t>
        </is>
      </c>
    </row>
    <row r="4529">
      <c r="A4529" t="inlineStr">
        <is>
          <t>vu-port-vila</t>
        </is>
      </c>
      <c r="B4529" t="inlineStr">
        <is>
          <t>Port Vila</t>
        </is>
      </c>
      <c r="C4529" t="inlineStr">
        <is>
          <t>Vanuatu</t>
        </is>
      </c>
      <c r="D4529" t="inlineStr">
        <is>
          <t>Oceania</t>
        </is>
      </c>
      <c r="E4529" t="inlineStr">
        <is>
          <t>utilities</t>
        </is>
      </c>
      <c r="F4529" t="inlineStr">
        <is>
          <t>Utilities</t>
        </is>
      </c>
      <c r="G4529" t="inlineStr">
        <is>
          <t>pressure</t>
        </is>
      </c>
      <c r="H4529" t="inlineStr">
        <is>
          <t>yes</t>
        </is>
      </c>
      <c r="I4529" t="inlineStr">
        <is>
          <t>19.66</t>
        </is>
      </c>
      <c r="J4529" t="inlineStr">
        <is>
          <t>world_bank_col_estimate</t>
        </is>
      </c>
      <c r="K4529" t="inlineStr">
        <is>
          <t>https://api.worldbank.org/v2/country/VUT/indicator/NY.GNP.PCAP.PP.CD?format=json&amp;mrv=10</t>
        </is>
      </c>
      <c r="L4529" t="inlineStr">
        <is>
          <t>World Bank GNI + regional expenditure ratio estimate</t>
        </is>
      </c>
      <c r="M4529" t="inlineStr">
        <is>
          <t>2024-12-31</t>
        </is>
      </c>
      <c r="N4529" t="inlineStr">
        <is>
          <t>auto_ingest=world_bank_col_estimate; gni_annual=4140.0; year=2024; country_proxy=Vanuatu; cohort=Oceania; city_cost_mult=0.95</t>
        </is>
      </c>
    </row>
    <row r="4530">
      <c r="A4530" t="inlineStr">
        <is>
          <t>vu-port-vila</t>
        </is>
      </c>
      <c r="B4530" t="inlineStr">
        <is>
          <t>Port Vila</t>
        </is>
      </c>
      <c r="C4530" t="inlineStr">
        <is>
          <t>Vanuatu</t>
        </is>
      </c>
      <c r="D4530" t="inlineStr">
        <is>
          <t>Oceania</t>
        </is>
      </c>
      <c r="E4530" t="inlineStr">
        <is>
          <t>transit_cost</t>
        </is>
      </c>
      <c r="F4530" t="inlineStr">
        <is>
          <t>Transit cost</t>
        </is>
      </c>
      <c r="G4530" t="inlineStr">
        <is>
          <t>pressure</t>
        </is>
      </c>
      <c r="H4530" t="inlineStr">
        <is>
          <t>yes</t>
        </is>
      </c>
      <c r="I4530" t="inlineStr">
        <is>
          <t>13.11</t>
        </is>
      </c>
      <c r="J4530" t="inlineStr">
        <is>
          <t>world_bank_col_estimate</t>
        </is>
      </c>
      <c r="K4530" t="inlineStr">
        <is>
          <t>https://api.worldbank.org/v2/country/VUT/indicator/NY.GNP.PCAP.PP.CD?format=json&amp;mrv=10</t>
        </is>
      </c>
      <c r="L4530" t="inlineStr">
        <is>
          <t>World Bank GNI + regional expenditure ratio estimate</t>
        </is>
      </c>
      <c r="M4530" t="inlineStr">
        <is>
          <t>2024-12-31</t>
        </is>
      </c>
      <c r="N4530" t="inlineStr">
        <is>
          <t>auto_ingest=world_bank_col_estimate; gni_annual=4140.0; year=2024; country_proxy=Vanuatu; cohort=Oceania; city_cost_mult=0.95</t>
        </is>
      </c>
    </row>
    <row r="4531">
      <c r="A4531" t="inlineStr">
        <is>
          <t>vu-port-vila</t>
        </is>
      </c>
      <c r="B4531" t="inlineStr">
        <is>
          <t>Port Vila</t>
        </is>
      </c>
      <c r="C4531" t="inlineStr">
        <is>
          <t>Vanuatu</t>
        </is>
      </c>
      <c r="D4531" t="inlineStr">
        <is>
          <t>Oceania</t>
        </is>
      </c>
      <c r="E4531" t="inlineStr">
        <is>
          <t>internet_cost</t>
        </is>
      </c>
      <c r="F4531" t="inlineStr">
        <is>
          <t>Internet cost</t>
        </is>
      </c>
      <c r="G4531" t="inlineStr">
        <is>
          <t>pressure</t>
        </is>
      </c>
      <c r="H4531" t="inlineStr">
        <is>
          <t>yes</t>
        </is>
      </c>
      <c r="I4531" t="inlineStr">
        <is>
          <t>4.92</t>
        </is>
      </c>
      <c r="J4531" t="inlineStr">
        <is>
          <t>world_bank_col_estimate</t>
        </is>
      </c>
      <c r="K4531" t="inlineStr">
        <is>
          <t>https://api.worldbank.org/v2/country/VUT/indicator/NY.GNP.PCAP.PP.CD?format=json&amp;mrv=10</t>
        </is>
      </c>
      <c r="L4531" t="inlineStr">
        <is>
          <t>World Bank GNI + regional expenditure ratio estimate</t>
        </is>
      </c>
      <c r="M4531" t="inlineStr">
        <is>
          <t>2024-12-31</t>
        </is>
      </c>
      <c r="N4531" t="inlineStr">
        <is>
          <t>auto_ingest=world_bank_col_estimate; gni_annual=4140.0; year=2024; country_proxy=Vanuatu; cohort=Oceania; city_cost_mult=0.95</t>
        </is>
      </c>
    </row>
    <row r="4532">
      <c r="A4532" t="inlineStr">
        <is>
          <t>vu-port-vila</t>
        </is>
      </c>
      <c r="B4532" t="inlineStr">
        <is>
          <t>Port Vila</t>
        </is>
      </c>
      <c r="C4532" t="inlineStr">
        <is>
          <t>Vanuatu</t>
        </is>
      </c>
      <c r="D4532" t="inlineStr">
        <is>
          <t>Oceania</t>
        </is>
      </c>
      <c r="E4532" t="inlineStr">
        <is>
          <t>food_cost</t>
        </is>
      </c>
      <c r="F4532" t="inlineStr">
        <is>
          <t>Food cost</t>
        </is>
      </c>
      <c r="G4532" t="inlineStr">
        <is>
          <t>pressure</t>
        </is>
      </c>
      <c r="H4532" t="inlineStr">
        <is>
          <t>yes</t>
        </is>
      </c>
      <c r="I4532" t="inlineStr">
        <is>
          <t>49.16</t>
        </is>
      </c>
      <c r="J4532" t="inlineStr">
        <is>
          <t>world_bank_col_estimate</t>
        </is>
      </c>
      <c r="K4532" t="inlineStr">
        <is>
          <t>https://api.worldbank.org/v2/country/VUT/indicator/NY.GNP.PCAP.PP.CD?format=json&amp;mrv=10</t>
        </is>
      </c>
      <c r="L4532" t="inlineStr">
        <is>
          <t>World Bank GNI + regional expenditure ratio estimate</t>
        </is>
      </c>
      <c r="M4532" t="inlineStr">
        <is>
          <t>2024-12-31</t>
        </is>
      </c>
      <c r="N4532" t="inlineStr">
        <is>
          <t>auto_ingest=world_bank_col_estimate; gni_annual=4140.0; year=2024; country_proxy=Vanuatu; cohort=Oceania; city_cost_mult=0.95</t>
        </is>
      </c>
    </row>
    <row r="4533">
      <c r="A4533" t="inlineStr">
        <is>
          <t>vu-port-vila</t>
        </is>
      </c>
      <c r="B4533" t="inlineStr">
        <is>
          <t>Port Vila</t>
        </is>
      </c>
      <c r="C4533" t="inlineStr">
        <is>
          <t>Vanuatu</t>
        </is>
      </c>
      <c r="D4533" t="inlineStr">
        <is>
          <t>Oceania</t>
        </is>
      </c>
      <c r="E4533" t="inlineStr">
        <is>
          <t>housing_burden_raw</t>
        </is>
      </c>
      <c r="F4533" t="inlineStr">
        <is>
          <t>Housing burden raw</t>
        </is>
      </c>
      <c r="G4533" t="inlineStr">
        <is>
          <t>pressure</t>
        </is>
      </c>
      <c r="H4533" t="inlineStr">
        <is>
          <t>yes</t>
        </is>
      </c>
      <c r="I4533" t="inlineStr">
        <is>
          <t>28.4986</t>
        </is>
      </c>
      <c r="J4533" t="inlineStr">
        <is>
          <t>derived</t>
        </is>
      </c>
      <c r="K4533" t="inlineStr">
        <is>
          <t>https://data.worldbank.org/indicator/NY.GNP.PCAP.PP.CD</t>
        </is>
      </c>
      <c r="L4533" t="inlineStr">
        <is>
          <t>Computed from city_inputs + country_context</t>
        </is>
      </c>
      <c r="M4533" t="inlineStr">
        <is>
          <t>2024-01-01</t>
        </is>
      </c>
      <c r="N4533" t="inlineStr">
        <is>
          <t>derived=rent/gross_income*100</t>
        </is>
      </c>
    </row>
    <row r="4534">
      <c r="A4534" t="inlineStr">
        <is>
          <t>vu-port-vila</t>
        </is>
      </c>
      <c r="B4534" t="inlineStr">
        <is>
          <t>Port Vila</t>
        </is>
      </c>
      <c r="C4534" t="inlineStr">
        <is>
          <t>Vanuatu</t>
        </is>
      </c>
      <c r="D4534" t="inlineStr">
        <is>
          <t>Oceania</t>
        </is>
      </c>
      <c r="E4534" t="inlineStr">
        <is>
          <t>household_debt_burden_raw</t>
        </is>
      </c>
      <c r="F4534" t="inlineStr">
        <is>
          <t>Household debt burden raw</t>
        </is>
      </c>
      <c r="G4534" t="inlineStr">
        <is>
          <t>pressure</t>
        </is>
      </c>
      <c r="H4534" t="inlineStr">
        <is>
          <t>yes</t>
        </is>
      </c>
      <c r="I4534" t="inlineStr"/>
      <c r="J4534" t="inlineStr"/>
      <c r="K4534" t="inlineStr"/>
      <c r="L4534" t="inlineStr"/>
      <c r="M4534" t="inlineStr"/>
      <c r="N4534" t="inlineStr"/>
    </row>
    <row r="4535">
      <c r="A4535" t="inlineStr">
        <is>
          <t>vu-port-vila</t>
        </is>
      </c>
      <c r="B4535" t="inlineStr">
        <is>
          <t>Port Vila</t>
        </is>
      </c>
      <c r="C4535" t="inlineStr">
        <is>
          <t>Vanuatu</t>
        </is>
      </c>
      <c r="D4535" t="inlineStr">
        <is>
          <t>Oceania</t>
        </is>
      </c>
      <c r="E4535" t="inlineStr">
        <is>
          <t>working_time_pressure_raw</t>
        </is>
      </c>
      <c r="F4535" t="inlineStr">
        <is>
          <t>Working time pressure raw</t>
        </is>
      </c>
      <c r="G4535" t="inlineStr">
        <is>
          <t>pressure</t>
        </is>
      </c>
      <c r="H4535" t="inlineStr">
        <is>
          <t>yes</t>
        </is>
      </c>
      <c r="I4535" t="inlineStr"/>
      <c r="J4535" t="inlineStr"/>
      <c r="K4535" t="inlineStr"/>
      <c r="L4535" t="inlineStr"/>
      <c r="M4535" t="inlineStr"/>
      <c r="N4535" t="inlineStr"/>
    </row>
    <row r="4536">
      <c r="A4536" t="inlineStr">
        <is>
          <t>vu-port-vila</t>
        </is>
      </c>
      <c r="B4536" t="inlineStr">
        <is>
          <t>Port Vila</t>
        </is>
      </c>
      <c r="C4536" t="inlineStr">
        <is>
          <t>Vanuatu</t>
        </is>
      </c>
      <c r="D4536" t="inlineStr">
        <is>
          <t>Oceania</t>
        </is>
      </c>
      <c r="E4536" t="inlineStr">
        <is>
          <t>suicide_mental_strain_raw</t>
        </is>
      </c>
      <c r="F4536" t="inlineStr">
        <is>
          <t>Suicide or mental strain raw</t>
        </is>
      </c>
      <c r="G4536" t="inlineStr">
        <is>
          <t>pressure</t>
        </is>
      </c>
      <c r="H4536" t="inlineStr">
        <is>
          <t>yes</t>
        </is>
      </c>
      <c r="I4536" t="inlineStr"/>
      <c r="J4536" t="inlineStr"/>
      <c r="K4536" t="inlineStr"/>
      <c r="L4536" t="inlineStr"/>
      <c r="M4536" t="inlineStr"/>
      <c r="N4536" t="inlineStr"/>
    </row>
    <row r="4537">
      <c r="A4537" t="inlineStr">
        <is>
          <t>vu-port-vila</t>
        </is>
      </c>
      <c r="B4537" t="inlineStr">
        <is>
          <t>Port Vila</t>
        </is>
      </c>
      <c r="C4537" t="inlineStr">
        <is>
          <t>Vanuatu</t>
        </is>
      </c>
      <c r="D4537" t="inlineStr">
        <is>
          <t>Oceania</t>
        </is>
      </c>
      <c r="E4537" t="inlineStr">
        <is>
          <t>personal_safety_raw</t>
        </is>
      </c>
      <c r="F4537" t="inlineStr">
        <is>
          <t>Personal safety raw</t>
        </is>
      </c>
      <c r="G4537" t="inlineStr">
        <is>
          <t>viability</t>
        </is>
      </c>
      <c r="H4537" t="inlineStr">
        <is>
          <t>yes</t>
        </is>
      </c>
      <c r="I4537" t="inlineStr"/>
      <c r="J4537" t="inlineStr"/>
      <c r="K4537" t="inlineStr"/>
      <c r="L4537" t="inlineStr"/>
      <c r="M4537" t="inlineStr"/>
      <c r="N4537" t="inlineStr"/>
    </row>
    <row r="4538">
      <c r="A4538" t="inlineStr">
        <is>
          <t>vu-port-vila</t>
        </is>
      </c>
      <c r="B4538" t="inlineStr">
        <is>
          <t>Port Vila</t>
        </is>
      </c>
      <c r="C4538" t="inlineStr">
        <is>
          <t>Vanuatu</t>
        </is>
      </c>
      <c r="D4538" t="inlineStr">
        <is>
          <t>Oceania</t>
        </is>
      </c>
      <c r="E4538" t="inlineStr">
        <is>
          <t>transit_access_commute_raw</t>
        </is>
      </c>
      <c r="F4538" t="inlineStr">
        <is>
          <t>Transit access and commute raw</t>
        </is>
      </c>
      <c r="G4538" t="inlineStr">
        <is>
          <t>viability</t>
        </is>
      </c>
      <c r="H4538" t="inlineStr">
        <is>
          <t>yes</t>
        </is>
      </c>
      <c r="I4538" t="inlineStr"/>
      <c r="J4538" t="inlineStr"/>
      <c r="K4538" t="inlineStr"/>
      <c r="L4538" t="inlineStr"/>
      <c r="M4538" t="inlineStr"/>
      <c r="N4538" t="inlineStr"/>
    </row>
    <row r="4539">
      <c r="A4539" t="inlineStr">
        <is>
          <t>vu-port-vila</t>
        </is>
      </c>
      <c r="B4539" t="inlineStr">
        <is>
          <t>Port Vila</t>
        </is>
      </c>
      <c r="C4539" t="inlineStr">
        <is>
          <t>Vanuatu</t>
        </is>
      </c>
      <c r="D4539" t="inlineStr">
        <is>
          <t>Oceania</t>
        </is>
      </c>
      <c r="E4539" t="inlineStr">
        <is>
          <t>clean_air_raw</t>
        </is>
      </c>
      <c r="F4539" t="inlineStr">
        <is>
          <t>Clean air raw</t>
        </is>
      </c>
      <c r="G4539" t="inlineStr">
        <is>
          <t>viability</t>
        </is>
      </c>
      <c r="H4539" t="inlineStr">
        <is>
          <t>yes</t>
        </is>
      </c>
      <c r="I4539" t="inlineStr"/>
      <c r="J4539" t="inlineStr"/>
      <c r="K4539" t="inlineStr"/>
      <c r="L4539" t="inlineStr"/>
      <c r="M4539" t="inlineStr"/>
      <c r="N4539" t="inlineStr"/>
    </row>
    <row r="4540">
      <c r="A4540" t="inlineStr">
        <is>
          <t>vu-port-vila</t>
        </is>
      </c>
      <c r="B4540" t="inlineStr">
        <is>
          <t>Port Vila</t>
        </is>
      </c>
      <c r="C4540" t="inlineStr">
        <is>
          <t>Vanuatu</t>
        </is>
      </c>
      <c r="D4540" t="inlineStr">
        <is>
          <t>Oceania</t>
        </is>
      </c>
      <c r="E4540" t="inlineStr">
        <is>
          <t>water_sanitation_utility_raw</t>
        </is>
      </c>
      <c r="F4540" t="inlineStr">
        <is>
          <t>Water, sanitation, and utility raw</t>
        </is>
      </c>
      <c r="G4540" t="inlineStr">
        <is>
          <t>viability</t>
        </is>
      </c>
      <c r="H4540" t="inlineStr">
        <is>
          <t>yes</t>
        </is>
      </c>
      <c r="I4540" t="inlineStr"/>
      <c r="J4540" t="inlineStr"/>
      <c r="K4540" t="inlineStr"/>
      <c r="L4540" t="inlineStr"/>
      <c r="M4540" t="inlineStr"/>
      <c r="N4540" t="inlineStr"/>
    </row>
    <row r="4541">
      <c r="A4541" t="inlineStr">
        <is>
          <t>vu-port-vila</t>
        </is>
      </c>
      <c r="B4541" t="inlineStr">
        <is>
          <t>Port Vila</t>
        </is>
      </c>
      <c r="C4541" t="inlineStr">
        <is>
          <t>Vanuatu</t>
        </is>
      </c>
      <c r="D4541" t="inlineStr">
        <is>
          <t>Oceania</t>
        </is>
      </c>
      <c r="E4541" t="inlineStr">
        <is>
          <t>digital_infrastructure_raw</t>
        </is>
      </c>
      <c r="F4541" t="inlineStr">
        <is>
          <t>Digital infrastructure raw</t>
        </is>
      </c>
      <c r="G4541" t="inlineStr">
        <is>
          <t>viability</t>
        </is>
      </c>
      <c r="H4541" t="inlineStr">
        <is>
          <t>yes</t>
        </is>
      </c>
      <c r="I4541" t="inlineStr"/>
      <c r="J4541" t="inlineStr"/>
      <c r="K4541" t="inlineStr"/>
      <c r="L4541" t="inlineStr"/>
      <c r="M4541" t="inlineStr"/>
      <c r="N4541" t="inlineStr"/>
    </row>
    <row r="4542">
      <c r="A4542" t="inlineStr">
        <is>
          <t>vu-port-vila</t>
        </is>
      </c>
      <c r="B4542" t="inlineStr">
        <is>
          <t>Port Vila</t>
        </is>
      </c>
      <c r="C4542" t="inlineStr">
        <is>
          <t>Vanuatu</t>
        </is>
      </c>
      <c r="D4542" t="inlineStr">
        <is>
          <t>Oceania</t>
        </is>
      </c>
      <c r="E4542" t="inlineStr">
        <is>
          <t>climate_sunlight_livability_raw</t>
        </is>
      </c>
      <c r="F4542" t="inlineStr">
        <is>
          <t>Climate and sunlight livability raw</t>
        </is>
      </c>
      <c r="G4542" t="inlineStr">
        <is>
          <t>viability</t>
        </is>
      </c>
      <c r="H4542" t="inlineStr">
        <is>
          <t>yes</t>
        </is>
      </c>
      <c r="I4542" t="inlineStr"/>
      <c r="J4542" t="inlineStr"/>
      <c r="K4542" t="inlineStr"/>
      <c r="L4542" t="inlineStr"/>
      <c r="M4542" t="inlineStr"/>
      <c r="N4542" t="inlineStr"/>
    </row>
    <row r="4543">
      <c r="A4543" t="inlineStr">
        <is>
          <t>vu-port-vila</t>
        </is>
      </c>
      <c r="B4543" t="inlineStr">
        <is>
          <t>Port Vila</t>
        </is>
      </c>
      <c r="C4543" t="inlineStr">
        <is>
          <t>Vanuatu</t>
        </is>
      </c>
      <c r="D4543" t="inlineStr">
        <is>
          <t>Oceania</t>
        </is>
      </c>
      <c r="E4543" t="inlineStr">
        <is>
          <t>healthcare_quality_raw</t>
        </is>
      </c>
      <c r="F4543" t="inlineStr">
        <is>
          <t>Healthcare quality raw</t>
        </is>
      </c>
      <c r="G4543" t="inlineStr">
        <is>
          <t>capability</t>
        </is>
      </c>
      <c r="H4543" t="inlineStr">
        <is>
          <t>yes</t>
        </is>
      </c>
      <c r="I4543" t="inlineStr"/>
      <c r="J4543" t="inlineStr"/>
      <c r="K4543" t="inlineStr"/>
      <c r="L4543" t="inlineStr"/>
      <c r="M4543" t="inlineStr"/>
      <c r="N4543" t="inlineStr"/>
    </row>
    <row r="4544">
      <c r="A4544" t="inlineStr">
        <is>
          <t>vu-port-vila</t>
        </is>
      </c>
      <c r="B4544" t="inlineStr">
        <is>
          <t>Port Vila</t>
        </is>
      </c>
      <c r="C4544" t="inlineStr">
        <is>
          <t>Vanuatu</t>
        </is>
      </c>
      <c r="D4544" t="inlineStr">
        <is>
          <t>Oceania</t>
        </is>
      </c>
      <c r="E4544" t="inlineStr">
        <is>
          <t>education_quality_raw</t>
        </is>
      </c>
      <c r="F4544" t="inlineStr">
        <is>
          <t>Education quality raw</t>
        </is>
      </c>
      <c r="G4544" t="inlineStr">
        <is>
          <t>capability</t>
        </is>
      </c>
      <c r="H4544" t="inlineStr">
        <is>
          <t>yes</t>
        </is>
      </c>
      <c r="I4544" t="inlineStr"/>
      <c r="J4544" t="inlineStr"/>
      <c r="K4544" t="inlineStr"/>
      <c r="L4544" t="inlineStr"/>
      <c r="M4544" t="inlineStr"/>
      <c r="N4544" t="inlineStr"/>
    </row>
    <row r="4545">
      <c r="A4545" t="inlineStr">
        <is>
          <t>vu-port-vila</t>
        </is>
      </c>
      <c r="B4545" t="inlineStr">
        <is>
          <t>Port Vila</t>
        </is>
      </c>
      <c r="C4545" t="inlineStr">
        <is>
          <t>Vanuatu</t>
        </is>
      </c>
      <c r="D4545" t="inlineStr">
        <is>
          <t>Oceania</t>
        </is>
      </c>
      <c r="E4545" t="inlineStr">
        <is>
          <t>equal_opportunity_raw</t>
        </is>
      </c>
      <c r="F4545" t="inlineStr">
        <is>
          <t>Equal opportunity raw</t>
        </is>
      </c>
      <c r="G4545" t="inlineStr">
        <is>
          <t>capability</t>
        </is>
      </c>
      <c r="H4545" t="inlineStr">
        <is>
          <t>yes</t>
        </is>
      </c>
      <c r="I4545" t="inlineStr">
        <is>
          <t>32.3</t>
        </is>
      </c>
      <c r="J4545" t="inlineStr">
        <is>
          <t>world_bank</t>
        </is>
      </c>
      <c r="K4545" t="inlineStr">
        <is>
          <t>https://api.worldbank.org/v2/country/VUT/indicator/SI.POV.GINI?format=json&amp;mrv=10</t>
        </is>
      </c>
      <c r="L4545" t="inlineStr">
        <is>
          <t>World Bank WDI: Gini index</t>
        </is>
      </c>
      <c r="M4545" t="inlineStr">
        <is>
          <t>2019-12-31</t>
        </is>
      </c>
      <c r="N4545" t="inlineStr">
        <is>
          <t>auto_ingest=world_bank_capability; indicator=SI.POV.GINI; year=2019; country_proxy=Vanuatu</t>
        </is>
      </c>
    </row>
    <row r="4546">
      <c r="A4546" t="inlineStr">
        <is>
          <t>vu-port-vila</t>
        </is>
      </c>
      <c r="B4546" t="inlineStr">
        <is>
          <t>Port Vila</t>
        </is>
      </c>
      <c r="C4546" t="inlineStr">
        <is>
          <t>Vanuatu</t>
        </is>
      </c>
      <c r="D4546" t="inlineStr">
        <is>
          <t>Oceania</t>
        </is>
      </c>
      <c r="E4546" t="inlineStr">
        <is>
          <t>hospitality_belonging_raw</t>
        </is>
      </c>
      <c r="F4546" t="inlineStr">
        <is>
          <t>Hospitality and belonging raw</t>
        </is>
      </c>
      <c r="G4546" t="inlineStr">
        <is>
          <t>community</t>
        </is>
      </c>
      <c r="H4546" t="inlineStr">
        <is>
          <t>yes</t>
        </is>
      </c>
      <c r="I4546" t="inlineStr"/>
      <c r="J4546" t="inlineStr"/>
      <c r="K4546" t="inlineStr"/>
      <c r="L4546" t="inlineStr"/>
      <c r="M4546" t="inlineStr"/>
      <c r="N4546" t="inlineStr"/>
    </row>
    <row r="4547">
      <c r="A4547" t="inlineStr">
        <is>
          <t>vu-port-vila</t>
        </is>
      </c>
      <c r="B4547" t="inlineStr">
        <is>
          <t>Port Vila</t>
        </is>
      </c>
      <c r="C4547" t="inlineStr">
        <is>
          <t>Vanuatu</t>
        </is>
      </c>
      <c r="D4547" t="inlineStr">
        <is>
          <t>Oceania</t>
        </is>
      </c>
      <c r="E4547" t="inlineStr">
        <is>
          <t>tolerance_pluralism_raw</t>
        </is>
      </c>
      <c r="F4547" t="inlineStr">
        <is>
          <t>Tolerance and pluralism raw</t>
        </is>
      </c>
      <c r="G4547" t="inlineStr">
        <is>
          <t>community</t>
        </is>
      </c>
      <c r="H4547" t="inlineStr">
        <is>
          <t>yes</t>
        </is>
      </c>
      <c r="I4547" t="inlineStr"/>
      <c r="J4547" t="inlineStr"/>
      <c r="K4547" t="inlineStr"/>
      <c r="L4547" t="inlineStr"/>
      <c r="M4547" t="inlineStr"/>
      <c r="N4547" t="inlineStr"/>
    </row>
    <row r="4548">
      <c r="A4548" t="inlineStr">
        <is>
          <t>vu-port-vila</t>
        </is>
      </c>
      <c r="B4548" t="inlineStr">
        <is>
          <t>Port Vila</t>
        </is>
      </c>
      <c r="C4548" t="inlineStr">
        <is>
          <t>Vanuatu</t>
        </is>
      </c>
      <c r="D4548" t="inlineStr">
        <is>
          <t>Oceania</t>
        </is>
      </c>
      <c r="E4548" t="inlineStr">
        <is>
          <t>cultural_public_life_raw</t>
        </is>
      </c>
      <c r="F4548" t="inlineStr">
        <is>
          <t>Cultural public life raw</t>
        </is>
      </c>
      <c r="G4548" t="inlineStr">
        <is>
          <t>community</t>
        </is>
      </c>
      <c r="H4548" t="inlineStr">
        <is>
          <t>yes</t>
        </is>
      </c>
      <c r="I4548" t="inlineStr"/>
      <c r="J4548" t="inlineStr"/>
      <c r="K4548" t="inlineStr"/>
      <c r="L4548" t="inlineStr"/>
      <c r="M4548" t="inlineStr"/>
      <c r="N4548" t="inlineStr"/>
    </row>
    <row r="4549">
      <c r="A4549" t="inlineStr">
        <is>
          <t>vu-port-vila</t>
        </is>
      </c>
      <c r="B4549" t="inlineStr">
        <is>
          <t>Port Vila</t>
        </is>
      </c>
      <c r="C4549" t="inlineStr">
        <is>
          <t>Vanuatu</t>
        </is>
      </c>
      <c r="D4549" t="inlineStr">
        <is>
          <t>Oceania</t>
        </is>
      </c>
      <c r="E4549" t="inlineStr">
        <is>
          <t>birth_rate_optimism_raw</t>
        </is>
      </c>
      <c r="F4549" t="inlineStr">
        <is>
          <t>Birth rate and societal optimism raw</t>
        </is>
      </c>
      <c r="G4549" t="inlineStr">
        <is>
          <t>community</t>
        </is>
      </c>
      <c r="H4549" t="inlineStr">
        <is>
          <t>yes</t>
        </is>
      </c>
      <c r="I4549" t="inlineStr"/>
      <c r="J4549" t="inlineStr"/>
      <c r="K4549" t="inlineStr"/>
      <c r="L4549" t="inlineStr"/>
      <c r="M4549" t="inlineStr"/>
      <c r="N4549" t="inlineStr"/>
    </row>
    <row r="4550">
      <c r="A4550" t="inlineStr">
        <is>
          <t>vu-port-vila</t>
        </is>
      </c>
      <c r="B4550" t="inlineStr">
        <is>
          <t>Port Vila</t>
        </is>
      </c>
      <c r="C4550" t="inlineStr">
        <is>
          <t>Vanuatu</t>
        </is>
      </c>
      <c r="D4550" t="inlineStr">
        <is>
          <t>Oceania</t>
        </is>
      </c>
      <c r="E4550" t="inlineStr">
        <is>
          <t>entrepreneurial_dynamism_raw</t>
        </is>
      </c>
      <c r="F4550" t="inlineStr">
        <is>
          <t>Entrepreneurial dynamism raw</t>
        </is>
      </c>
      <c r="G4550" t="inlineStr">
        <is>
          <t>creative</t>
        </is>
      </c>
      <c r="H4550" t="inlineStr">
        <is>
          <t>yes</t>
        </is>
      </c>
      <c r="I4550" t="inlineStr">
        <is>
          <t>1.54</t>
        </is>
      </c>
      <c r="J4550" t="inlineStr">
        <is>
          <t>world_bank</t>
        </is>
      </c>
      <c r="K4550" t="inlineStr">
        <is>
          <t>https://api.worldbank.org/v2/country/VUT/indicator/IC.BUS.NDNS.ZS?format=json&amp;mrv=10</t>
        </is>
      </c>
      <c r="L4550" t="inlineStr">
        <is>
          <t>World Bank WDI: New business density (new registrations per 1,000 people ages 15-64)</t>
        </is>
      </c>
      <c r="M4550" t="inlineStr">
        <is>
          <t>2018-12-31</t>
        </is>
      </c>
      <c r="N4550" t="inlineStr">
        <is>
          <t>auto_ingest=world_bank_creative_extended; indicator=IC.BUS.NDNS.ZS; year=2018; country_proxy=Vanuatu</t>
        </is>
      </c>
    </row>
    <row r="4551">
      <c r="A4551" t="inlineStr">
        <is>
          <t>vu-port-vila</t>
        </is>
      </c>
      <c r="B4551" t="inlineStr">
        <is>
          <t>Port Vila</t>
        </is>
      </c>
      <c r="C4551" t="inlineStr">
        <is>
          <t>Vanuatu</t>
        </is>
      </c>
      <c r="D4551" t="inlineStr">
        <is>
          <t>Oceania</t>
        </is>
      </c>
      <c r="E4551" t="inlineStr">
        <is>
          <t>innovation_research_intensity_raw</t>
        </is>
      </c>
      <c r="F4551" t="inlineStr">
        <is>
          <t>Innovation and research raw</t>
        </is>
      </c>
      <c r="G4551" t="inlineStr">
        <is>
          <t>creative</t>
        </is>
      </c>
      <c r="H4551" t="inlineStr">
        <is>
          <t>yes</t>
        </is>
      </c>
      <c r="I4551" t="inlineStr"/>
      <c r="J4551" t="inlineStr"/>
      <c r="K4551" t="inlineStr"/>
      <c r="L4551" t="inlineStr"/>
      <c r="M4551" t="inlineStr"/>
      <c r="N4551" t="inlineStr"/>
    </row>
    <row r="4552">
      <c r="A4552" t="inlineStr">
        <is>
          <t>vu-port-vila</t>
        </is>
      </c>
      <c r="B4552" t="inlineStr">
        <is>
          <t>Port Vila</t>
        </is>
      </c>
      <c r="C4552" t="inlineStr">
        <is>
          <t>Vanuatu</t>
        </is>
      </c>
      <c r="D4552" t="inlineStr">
        <is>
          <t>Oceania</t>
        </is>
      </c>
      <c r="E4552" t="inlineStr">
        <is>
          <t>investment_signal_raw</t>
        </is>
      </c>
      <c r="F4552" t="inlineStr">
        <is>
          <t>Investment signal raw</t>
        </is>
      </c>
      <c r="G4552" t="inlineStr">
        <is>
          <t>creative</t>
        </is>
      </c>
      <c r="H4552" t="inlineStr">
        <is>
          <t>yes</t>
        </is>
      </c>
      <c r="I4552" t="inlineStr">
        <is>
          <t>2.58</t>
        </is>
      </c>
      <c r="J4552" t="inlineStr">
        <is>
          <t>world_bank</t>
        </is>
      </c>
      <c r="K4552" t="inlineStr">
        <is>
          <t>https://api.worldbank.org/v2/country/VUT/indicator/BX.KLT.DINV.WD.GD.ZS?format=json&amp;mrv=10</t>
        </is>
      </c>
      <c r="L4552" t="inlineStr">
        <is>
          <t>World Bank WDI: Foreign direct investment, net inflows (% of GDP)</t>
        </is>
      </c>
      <c r="M4552" t="inlineStr">
        <is>
          <t>2024-12-31</t>
        </is>
      </c>
      <c r="N4552" t="inlineStr">
        <is>
          <t>auto_ingest=world_bank_creative_extended; indicator=BX.KLT.DINV.WD.GD.ZS; year=2024; country_proxy=Vanuatu</t>
        </is>
      </c>
    </row>
    <row r="4553">
      <c r="A4553" t="inlineStr">
        <is>
          <t>vu-port-vila</t>
        </is>
      </c>
      <c r="B4553" t="inlineStr">
        <is>
          <t>Port Vila</t>
        </is>
      </c>
      <c r="C4553" t="inlineStr">
        <is>
          <t>Vanuatu</t>
        </is>
      </c>
      <c r="D4553" t="inlineStr">
        <is>
          <t>Oceania</t>
        </is>
      </c>
      <c r="E4553" t="inlineStr">
        <is>
          <t>administrative_investment_friction_raw</t>
        </is>
      </c>
      <c r="F4553" t="inlineStr">
        <is>
          <t>Administrative investment friction raw</t>
        </is>
      </c>
      <c r="G4553" t="inlineStr">
        <is>
          <t>creative</t>
        </is>
      </c>
      <c r="H4553" t="inlineStr">
        <is>
          <t>yes</t>
        </is>
      </c>
      <c r="I4553" t="inlineStr">
        <is>
          <t>2.62</t>
        </is>
      </c>
      <c r="J4553" t="inlineStr">
        <is>
          <t>world_bank</t>
        </is>
      </c>
      <c r="K4553" t="inlineStr">
        <is>
          <t>https://api.worldbank.org/v2/country/VUT/indicator/RQ.EST?format=json&amp;mrv=10</t>
        </is>
      </c>
      <c r="L4553" t="inlineStr">
        <is>
          <t>World Bank WGI: Regulatory Quality (inverted as friction proxy)</t>
        </is>
      </c>
      <c r="M4553" t="inlineStr">
        <is>
          <t>2023-12-31</t>
        </is>
      </c>
      <c r="N4553" t="inlineStr">
        <is>
          <t>auto_ingest=world_bank_business_friction; indicator=RQ.EST; raw_rq=-0.119526423513889; friction=2.62; year=2023; country_proxy=Vanuatu</t>
        </is>
      </c>
    </row>
    <row r="4554">
      <c r="A4554" t="inlineStr">
        <is>
          <t>vu-port-vila</t>
        </is>
      </c>
      <c r="B4554" t="inlineStr">
        <is>
          <t>Port Vila</t>
        </is>
      </c>
      <c r="C4554" t="inlineStr">
        <is>
          <t>Vanuatu</t>
        </is>
      </c>
      <c r="D4554" t="inlineStr">
        <is>
          <t>Oceania</t>
        </is>
      </c>
      <c r="E4554" t="inlineStr">
        <is>
          <t>visitor_flow_context_raw</t>
        </is>
      </c>
      <c r="F4554" t="inlineStr">
        <is>
          <t>Visitor flow context raw</t>
        </is>
      </c>
      <c r="G4554" t="inlineStr">
        <is>
          <t>creative</t>
        </is>
      </c>
      <c r="H4554" t="inlineStr">
        <is>
          <t>no</t>
        </is>
      </c>
      <c r="I4554" t="inlineStr"/>
      <c r="J4554" t="inlineStr"/>
      <c r="K4554" t="inlineStr"/>
      <c r="L4554" t="inlineStr"/>
      <c r="M4554" t="inlineStr"/>
      <c r="N4554" t="inlineStr"/>
    </row>
  </sheetData>
  <autoFilter ref="A1:N45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2026-04-10T20:01:48Z</dcterms:created>
  <dcterms:modified xmlns:dcterms="http://purl.org/dc/terms/" xmlns:xsi="http://www.w3.org/2001/XMLSchema-instance" xsi:type="dcterms:W3CDTF">2026-04-10T20:01:50Z</dcterms:modified>
</cp:coreProperties>
</file>